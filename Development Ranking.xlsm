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49768AA-8867-E04B-B2B8-A4D1D300E4A0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'DMT-M'!$A$1:$QD$4</definedName>
    <definedName name="_xlnm._FilterDatabase" localSheetId="6" hidden="1">'DMT-W'!$A$1:$QD$7</definedName>
    <definedName name="_xlnm._FilterDatabase" localSheetId="1" hidden="1">'TRA-M'!$A$1:$TV$24</definedName>
    <definedName name="_xlnm._FilterDatabase" localSheetId="2" hidden="1">'TRA-W'!$A$1:$TV$10</definedName>
    <definedName name="_xlnm._FilterDatabase" localSheetId="3" hidden="1">'TUM-M'!$A$1:$QD$9</definedName>
    <definedName name="_xlnm._FilterDatabase" localSheetId="4" hidden="1">'TUM-W'!$A$1:$QD$12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J5" i="21" l="1"/>
  <c r="PK5" i="21"/>
  <c r="PL5" i="21"/>
  <c r="PM5" i="21"/>
  <c r="PN5" i="21"/>
  <c r="PO5" i="21"/>
  <c r="PP5" i="21"/>
  <c r="PQ5" i="21"/>
  <c r="PR5" i="21"/>
  <c r="PS5" i="21"/>
  <c r="PT5" i="21"/>
  <c r="PU5" i="21"/>
  <c r="PV5" i="21"/>
  <c r="PW5" i="21"/>
  <c r="PX5" i="21"/>
  <c r="PJ4" i="21"/>
  <c r="PK4" i="21"/>
  <c r="PL4" i="21"/>
  <c r="PM4" i="21"/>
  <c r="PN4" i="21"/>
  <c r="PO4" i="21"/>
  <c r="PP4" i="21"/>
  <c r="PQ4" i="21"/>
  <c r="PR4" i="21"/>
  <c r="PS4" i="21"/>
  <c r="PT4" i="21"/>
  <c r="PU4" i="21"/>
  <c r="PV4" i="21"/>
  <c r="PW4" i="21"/>
  <c r="PX4" i="21"/>
  <c r="PJ6" i="21"/>
  <c r="PK6" i="21"/>
  <c r="PL6" i="21"/>
  <c r="PM6" i="21"/>
  <c r="PN6" i="21"/>
  <c r="PO6" i="21"/>
  <c r="PP6" i="21"/>
  <c r="PQ6" i="21"/>
  <c r="PR6" i="21"/>
  <c r="PS6" i="21"/>
  <c r="PT6" i="21"/>
  <c r="PU6" i="21"/>
  <c r="PV6" i="21"/>
  <c r="PW6" i="21"/>
  <c r="PX6" i="21"/>
  <c r="PJ7" i="21"/>
  <c r="PK7" i="21"/>
  <c r="PL7" i="21"/>
  <c r="PM7" i="21"/>
  <c r="PN7" i="21"/>
  <c r="PO7" i="21"/>
  <c r="PP7" i="21"/>
  <c r="PQ7" i="21"/>
  <c r="PR7" i="21"/>
  <c r="PS7" i="21"/>
  <c r="PT7" i="21"/>
  <c r="PU7" i="21"/>
  <c r="PV7" i="21"/>
  <c r="PW7" i="21"/>
  <c r="PX7" i="21"/>
  <c r="PJ9" i="21"/>
  <c r="PK9" i="21"/>
  <c r="PL9" i="21"/>
  <c r="PM9" i="21"/>
  <c r="PN9" i="21"/>
  <c r="PO9" i="21"/>
  <c r="PP9" i="21"/>
  <c r="PQ9" i="21"/>
  <c r="PR9" i="21"/>
  <c r="PS9" i="21"/>
  <c r="PT9" i="21"/>
  <c r="PU9" i="21"/>
  <c r="PV9" i="21"/>
  <c r="PW9" i="21"/>
  <c r="PX9" i="21"/>
  <c r="PJ8" i="21"/>
  <c r="PK8" i="21"/>
  <c r="PL8" i="21"/>
  <c r="PM8" i="21"/>
  <c r="PN8" i="21"/>
  <c r="PO8" i="21"/>
  <c r="PP8" i="21"/>
  <c r="PQ8" i="21"/>
  <c r="PR8" i="21"/>
  <c r="PS8" i="21"/>
  <c r="PT8" i="21"/>
  <c r="PU8" i="21"/>
  <c r="PV8" i="21"/>
  <c r="PW8" i="21"/>
  <c r="PX8" i="21"/>
  <c r="PJ10" i="21"/>
  <c r="PK10" i="21"/>
  <c r="PL10" i="21"/>
  <c r="PM10" i="21"/>
  <c r="PN10" i="21"/>
  <c r="PO10" i="21"/>
  <c r="PP10" i="21"/>
  <c r="PQ10" i="21"/>
  <c r="PR10" i="21"/>
  <c r="PS10" i="21"/>
  <c r="PT10" i="21"/>
  <c r="PU10" i="21"/>
  <c r="PV10" i="21"/>
  <c r="PW10" i="21"/>
  <c r="PX10" i="21"/>
  <c r="PJ11" i="21"/>
  <c r="PK11" i="21"/>
  <c r="PL11" i="21"/>
  <c r="PM11" i="21"/>
  <c r="PN11" i="21"/>
  <c r="PO11" i="21"/>
  <c r="PP11" i="21"/>
  <c r="PQ11" i="21"/>
  <c r="PR11" i="21"/>
  <c r="PS11" i="21"/>
  <c r="PT11" i="21"/>
  <c r="PU11" i="21"/>
  <c r="PV11" i="21"/>
  <c r="PW11" i="21"/>
  <c r="PX11" i="21"/>
  <c r="PJ12" i="21"/>
  <c r="PK12" i="21"/>
  <c r="PL12" i="21"/>
  <c r="PM12" i="21"/>
  <c r="PN12" i="21"/>
  <c r="PO12" i="21"/>
  <c r="PP12" i="21"/>
  <c r="PQ12" i="21"/>
  <c r="PR12" i="21"/>
  <c r="PS12" i="21"/>
  <c r="PT12" i="21"/>
  <c r="PU12" i="21"/>
  <c r="PV12" i="21"/>
  <c r="PW12" i="21"/>
  <c r="PX12" i="21"/>
  <c r="PJ13" i="21"/>
  <c r="PK13" i="21"/>
  <c r="PL13" i="21"/>
  <c r="PM13" i="21"/>
  <c r="PN13" i="21"/>
  <c r="PO13" i="21"/>
  <c r="PP13" i="21"/>
  <c r="PQ13" i="21"/>
  <c r="PR13" i="21"/>
  <c r="PS13" i="21"/>
  <c r="PT13" i="21"/>
  <c r="PU13" i="21"/>
  <c r="PV13" i="21"/>
  <c r="PW13" i="21"/>
  <c r="PX13" i="21"/>
  <c r="PJ14" i="21"/>
  <c r="PK14" i="21"/>
  <c r="PL14" i="21"/>
  <c r="PM14" i="21"/>
  <c r="PN14" i="21"/>
  <c r="PO14" i="21"/>
  <c r="PP14" i="21"/>
  <c r="PQ14" i="21"/>
  <c r="PR14" i="21"/>
  <c r="PS14" i="21"/>
  <c r="PT14" i="21"/>
  <c r="PU14" i="21"/>
  <c r="PV14" i="21"/>
  <c r="PW14" i="21"/>
  <c r="PX14" i="21"/>
  <c r="PJ15" i="21"/>
  <c r="PK15" i="21"/>
  <c r="PL15" i="21"/>
  <c r="PM15" i="21"/>
  <c r="PN15" i="21"/>
  <c r="PO15" i="21"/>
  <c r="PP15" i="21"/>
  <c r="PQ15" i="21"/>
  <c r="PR15" i="21"/>
  <c r="PS15" i="21"/>
  <c r="PT15" i="21"/>
  <c r="PU15" i="21"/>
  <c r="PV15" i="21"/>
  <c r="PW15" i="21"/>
  <c r="PX15" i="21"/>
  <c r="PJ16" i="21"/>
  <c r="PK16" i="21"/>
  <c r="PL16" i="21"/>
  <c r="PM16" i="21"/>
  <c r="PN16" i="21"/>
  <c r="PO16" i="21"/>
  <c r="PP16" i="21"/>
  <c r="PQ16" i="21"/>
  <c r="PR16" i="21"/>
  <c r="PS16" i="21"/>
  <c r="PT16" i="21"/>
  <c r="PU16" i="21"/>
  <c r="PV16" i="21"/>
  <c r="PW16" i="21"/>
  <c r="PX16" i="21"/>
  <c r="PJ17" i="21"/>
  <c r="PK17" i="21"/>
  <c r="PL17" i="21"/>
  <c r="PM17" i="21"/>
  <c r="PN17" i="21"/>
  <c r="PO17" i="21"/>
  <c r="PP17" i="21"/>
  <c r="PQ17" i="21"/>
  <c r="PR17" i="21"/>
  <c r="PS17" i="21"/>
  <c r="PT17" i="21"/>
  <c r="PU17" i="21"/>
  <c r="PV17" i="21"/>
  <c r="PW17" i="21"/>
  <c r="PX17" i="21"/>
  <c r="PJ18" i="21"/>
  <c r="PK18" i="21"/>
  <c r="PL18" i="21"/>
  <c r="PM18" i="21"/>
  <c r="PN18" i="21"/>
  <c r="PO18" i="21"/>
  <c r="PP18" i="21"/>
  <c r="PQ18" i="21"/>
  <c r="PR18" i="21"/>
  <c r="PS18" i="21"/>
  <c r="PT18" i="21"/>
  <c r="PU18" i="21"/>
  <c r="PV18" i="21"/>
  <c r="PW18" i="21"/>
  <c r="PX18" i="21"/>
  <c r="PJ19" i="21"/>
  <c r="PK19" i="21"/>
  <c r="PL19" i="21"/>
  <c r="PM19" i="21"/>
  <c r="PN19" i="21"/>
  <c r="PO19" i="21"/>
  <c r="PP19" i="21"/>
  <c r="PQ19" i="21"/>
  <c r="PR19" i="21"/>
  <c r="PS19" i="21"/>
  <c r="PT19" i="21"/>
  <c r="PU19" i="21"/>
  <c r="PV19" i="21"/>
  <c r="PW19" i="21"/>
  <c r="PX19" i="21"/>
  <c r="PJ20" i="21"/>
  <c r="PK20" i="21"/>
  <c r="PL20" i="21"/>
  <c r="PM20" i="21"/>
  <c r="PN20" i="21"/>
  <c r="PO20" i="21"/>
  <c r="PP20" i="21"/>
  <c r="PQ20" i="21"/>
  <c r="PR20" i="21"/>
  <c r="PS20" i="21"/>
  <c r="PT20" i="21"/>
  <c r="PU20" i="21"/>
  <c r="PV20" i="21"/>
  <c r="PW20" i="21"/>
  <c r="PX20" i="21"/>
  <c r="PJ21" i="21"/>
  <c r="PK21" i="21"/>
  <c r="PL21" i="21"/>
  <c r="PM21" i="21"/>
  <c r="PN21" i="21"/>
  <c r="PO21" i="21"/>
  <c r="PP21" i="21"/>
  <c r="PQ21" i="21"/>
  <c r="PR21" i="21"/>
  <c r="PS21" i="21"/>
  <c r="PT21" i="21"/>
  <c r="PU21" i="21"/>
  <c r="PV21" i="21"/>
  <c r="PW21" i="21"/>
  <c r="PX21" i="21"/>
  <c r="PJ22" i="21"/>
  <c r="PK22" i="21"/>
  <c r="PL22" i="21"/>
  <c r="PM22" i="21"/>
  <c r="PN22" i="21"/>
  <c r="PO22" i="21"/>
  <c r="PP22" i="21"/>
  <c r="PQ22" i="21"/>
  <c r="PR22" i="21"/>
  <c r="PS22" i="21"/>
  <c r="PT22" i="21"/>
  <c r="PU22" i="21"/>
  <c r="PV22" i="21"/>
  <c r="PW22" i="21"/>
  <c r="PX22" i="21"/>
  <c r="PJ23" i="21"/>
  <c r="PK23" i="21"/>
  <c r="PL23" i="21"/>
  <c r="PM23" i="21"/>
  <c r="PN23" i="21"/>
  <c r="PO23" i="21"/>
  <c r="PP23" i="21"/>
  <c r="PQ23" i="21"/>
  <c r="PR23" i="21"/>
  <c r="PS23" i="21"/>
  <c r="PT23" i="21"/>
  <c r="PU23" i="21"/>
  <c r="PV23" i="21"/>
  <c r="PW23" i="21"/>
  <c r="PX23" i="21"/>
  <c r="PJ24" i="21"/>
  <c r="PK24" i="21"/>
  <c r="PL24" i="21"/>
  <c r="PM24" i="21"/>
  <c r="PN24" i="21"/>
  <c r="PO24" i="21"/>
  <c r="PP24" i="21"/>
  <c r="PQ24" i="21"/>
  <c r="PR24" i="21"/>
  <c r="PS24" i="21"/>
  <c r="PT24" i="21"/>
  <c r="PU24" i="21"/>
  <c r="PV24" i="21"/>
  <c r="PW24" i="21"/>
  <c r="PX24" i="21"/>
  <c r="PJ25" i="21"/>
  <c r="PK25" i="21"/>
  <c r="PL25" i="21"/>
  <c r="PM25" i="21"/>
  <c r="PN25" i="21"/>
  <c r="PO25" i="21"/>
  <c r="PP25" i="21"/>
  <c r="PQ25" i="21"/>
  <c r="PR25" i="21"/>
  <c r="PS25" i="21"/>
  <c r="PT25" i="21"/>
  <c r="PU25" i="21"/>
  <c r="PV25" i="21"/>
  <c r="PW25" i="21"/>
  <c r="PX25" i="21"/>
  <c r="PJ26" i="21"/>
  <c r="PK26" i="21"/>
  <c r="PL26" i="21"/>
  <c r="PM26" i="21"/>
  <c r="PN26" i="21"/>
  <c r="PO26" i="21"/>
  <c r="PP26" i="21"/>
  <c r="PQ26" i="21"/>
  <c r="PR26" i="21"/>
  <c r="PS26" i="21"/>
  <c r="PT26" i="21"/>
  <c r="PU26" i="21"/>
  <c r="PV26" i="21"/>
  <c r="PW26" i="21"/>
  <c r="PX26" i="21"/>
  <c r="PJ27" i="21"/>
  <c r="PK27" i="21"/>
  <c r="PL27" i="21"/>
  <c r="PM27" i="21"/>
  <c r="PN27" i="21"/>
  <c r="PO27" i="21"/>
  <c r="PP27" i="21"/>
  <c r="PQ27" i="21"/>
  <c r="PR27" i="21"/>
  <c r="PS27" i="21"/>
  <c r="PT27" i="21"/>
  <c r="PU27" i="21"/>
  <c r="PV27" i="21"/>
  <c r="PW27" i="21"/>
  <c r="PX27" i="21"/>
  <c r="PJ28" i="21"/>
  <c r="PK28" i="21"/>
  <c r="PL28" i="21"/>
  <c r="PM28" i="21"/>
  <c r="PN28" i="21"/>
  <c r="PO28" i="21"/>
  <c r="PP28" i="21"/>
  <c r="PQ28" i="21"/>
  <c r="PR28" i="21"/>
  <c r="PS28" i="21"/>
  <c r="PT28" i="21"/>
  <c r="PU28" i="21"/>
  <c r="PV28" i="21"/>
  <c r="PW28" i="21"/>
  <c r="PX28" i="21"/>
  <c r="PJ29" i="21"/>
  <c r="PK29" i="21"/>
  <c r="PL29" i="21"/>
  <c r="PM29" i="21"/>
  <c r="PN29" i="21"/>
  <c r="PO29" i="21"/>
  <c r="PP29" i="21"/>
  <c r="PQ29" i="21"/>
  <c r="PR29" i="21"/>
  <c r="PS29" i="21"/>
  <c r="PT29" i="21"/>
  <c r="PU29" i="21"/>
  <c r="PV29" i="21"/>
  <c r="PW29" i="21"/>
  <c r="PX29" i="21"/>
  <c r="PJ30" i="21"/>
  <c r="PK30" i="21"/>
  <c r="PL30" i="21"/>
  <c r="PM30" i="21"/>
  <c r="PN30" i="21"/>
  <c r="PO30" i="21"/>
  <c r="PP30" i="21"/>
  <c r="PQ30" i="21"/>
  <c r="PR30" i="21"/>
  <c r="PS30" i="21"/>
  <c r="PT30" i="21"/>
  <c r="PU30" i="21"/>
  <c r="PV30" i="21"/>
  <c r="PW30" i="21"/>
  <c r="PX30" i="21"/>
  <c r="PJ31" i="21"/>
  <c r="PK31" i="21"/>
  <c r="PL31" i="21"/>
  <c r="PM31" i="21"/>
  <c r="PN31" i="21"/>
  <c r="PO31" i="21"/>
  <c r="PP31" i="21"/>
  <c r="PQ31" i="21"/>
  <c r="PR31" i="21"/>
  <c r="PS31" i="21"/>
  <c r="PT31" i="21"/>
  <c r="PU31" i="21"/>
  <c r="PV31" i="21"/>
  <c r="PW31" i="21"/>
  <c r="PX31" i="21"/>
  <c r="PJ32" i="21"/>
  <c r="PK32" i="21"/>
  <c r="PL32" i="21"/>
  <c r="PM32" i="21"/>
  <c r="PN32" i="21"/>
  <c r="PO32" i="21"/>
  <c r="PP32" i="21"/>
  <c r="PQ32" i="21"/>
  <c r="PR32" i="21"/>
  <c r="PS32" i="21"/>
  <c r="PT32" i="21"/>
  <c r="PU32" i="21"/>
  <c r="PV32" i="21"/>
  <c r="PW32" i="21"/>
  <c r="PX32" i="21"/>
  <c r="PJ33" i="21"/>
  <c r="PK33" i="21"/>
  <c r="PL33" i="21"/>
  <c r="PM33" i="21"/>
  <c r="PN33" i="21"/>
  <c r="PO33" i="21"/>
  <c r="PP33" i="21"/>
  <c r="PQ33" i="21"/>
  <c r="PR33" i="21"/>
  <c r="PS33" i="21"/>
  <c r="PT33" i="21"/>
  <c r="PU33" i="21"/>
  <c r="PV33" i="21"/>
  <c r="PW33" i="21"/>
  <c r="PX33" i="21"/>
  <c r="PI4" i="21"/>
  <c r="PI6" i="21"/>
  <c r="PI7" i="21"/>
  <c r="PI9" i="21"/>
  <c r="PI8" i="21"/>
  <c r="PI10" i="21"/>
  <c r="PI11" i="21"/>
  <c r="PI12" i="21"/>
  <c r="PI13" i="21"/>
  <c r="PI14" i="21"/>
  <c r="PI15" i="21"/>
  <c r="PI16" i="21"/>
  <c r="PI17" i="21"/>
  <c r="PI18" i="21"/>
  <c r="PI19" i="21"/>
  <c r="PI20" i="21"/>
  <c r="PI21" i="21"/>
  <c r="PI22" i="21"/>
  <c r="PI23" i="21"/>
  <c r="PI24" i="21"/>
  <c r="PI25" i="21"/>
  <c r="PI26" i="21"/>
  <c r="PI27" i="21"/>
  <c r="PI28" i="21"/>
  <c r="PI29" i="21"/>
  <c r="PI30" i="21"/>
  <c r="PI31" i="21"/>
  <c r="PI32" i="21"/>
  <c r="PI33" i="21"/>
  <c r="PI5" i="21"/>
  <c r="AL24" i="21"/>
  <c r="AM24" i="21"/>
  <c r="AN24" i="21"/>
  <c r="AO24" i="21"/>
  <c r="BH24" i="21"/>
  <c r="BI24" i="21"/>
  <c r="BJ24" i="21"/>
  <c r="BK24" i="21"/>
  <c r="CD24" i="21"/>
  <c r="CE24" i="21"/>
  <c r="CF24" i="21"/>
  <c r="CG24" i="21"/>
  <c r="DE24" i="21"/>
  <c r="DF24" i="21"/>
  <c r="DG24" i="21"/>
  <c r="DH24" i="21"/>
  <c r="DJ24" i="21"/>
  <c r="DK24" i="21"/>
  <c r="EG24" i="21"/>
  <c r="EH24" i="21"/>
  <c r="EI24" i="21"/>
  <c r="EJ24" i="21"/>
  <c r="EL24" i="21"/>
  <c r="EM24" i="21"/>
  <c r="FI24" i="21"/>
  <c r="FJ24" i="21"/>
  <c r="FK24" i="21"/>
  <c r="FL24" i="21"/>
  <c r="FN24" i="21"/>
  <c r="FO24" i="21"/>
  <c r="GK24" i="21"/>
  <c r="GL24" i="21"/>
  <c r="GM24" i="21"/>
  <c r="GN24" i="21"/>
  <c r="GP24" i="21"/>
  <c r="GQ24" i="21"/>
  <c r="HM24" i="21"/>
  <c r="HN24" i="21"/>
  <c r="HO24" i="21"/>
  <c r="HP24" i="21"/>
  <c r="HR24" i="21"/>
  <c r="HS24" i="21"/>
  <c r="IO24" i="21"/>
  <c r="IP24" i="21"/>
  <c r="IQ24" i="21"/>
  <c r="IR24" i="21"/>
  <c r="IT24" i="21"/>
  <c r="IU24" i="21"/>
  <c r="JQ24" i="21"/>
  <c r="JR24" i="21"/>
  <c r="JS24" i="21"/>
  <c r="JT24" i="21"/>
  <c r="JV24" i="21"/>
  <c r="JW24" i="21"/>
  <c r="KS24" i="21"/>
  <c r="KT24" i="21"/>
  <c r="KU24" i="21"/>
  <c r="KV24" i="21"/>
  <c r="KX24" i="21"/>
  <c r="KY24" i="21"/>
  <c r="LU24" i="21"/>
  <c r="LV24" i="21"/>
  <c r="LW24" i="21"/>
  <c r="LX24" i="21"/>
  <c r="LZ24" i="21"/>
  <c r="MA24" i="21"/>
  <c r="MW24" i="21"/>
  <c r="MX24" i="21"/>
  <c r="MY24" i="21"/>
  <c r="MZ24" i="21"/>
  <c r="NB24" i="21"/>
  <c r="NC24" i="21"/>
  <c r="NY24" i="21"/>
  <c r="NZ24" i="21"/>
  <c r="OA24" i="21"/>
  <c r="OB24" i="21"/>
  <c r="OD24" i="21"/>
  <c r="OE24" i="21"/>
  <c r="PA24" i="21"/>
  <c r="PB24" i="21"/>
  <c r="PC24" i="21"/>
  <c r="PD24" i="21"/>
  <c r="PF24" i="21"/>
  <c r="PG24" i="21"/>
  <c r="AO9" i="4"/>
  <c r="AP9" i="4"/>
  <c r="AQ9" i="4"/>
  <c r="AU9" i="4" s="1"/>
  <c r="AR9" i="4"/>
  <c r="AS9" i="4"/>
  <c r="AT9" i="4"/>
  <c r="AV9" i="4"/>
  <c r="AW9" i="4"/>
  <c r="AX9" i="4"/>
  <c r="BP9" i="4"/>
  <c r="BQ9" i="4"/>
  <c r="BR9" i="4"/>
  <c r="BV9" i="4" s="1"/>
  <c r="BS9" i="4"/>
  <c r="BT9" i="4"/>
  <c r="BU9" i="4"/>
  <c r="BW9" i="4"/>
  <c r="BX9" i="4"/>
  <c r="BY9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P9" i="4" s="1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BK33" i="21"/>
  <c r="BJ33" i="21"/>
  <c r="BI33" i="21"/>
  <c r="BH33" i="21"/>
  <c r="BK32" i="21"/>
  <c r="BJ32" i="21"/>
  <c r="BI32" i="21"/>
  <c r="BH32" i="21"/>
  <c r="BK31" i="21"/>
  <c r="BJ31" i="21"/>
  <c r="BI31" i="21"/>
  <c r="BL31" i="21" s="1"/>
  <c r="BH31" i="21"/>
  <c r="BK30" i="21"/>
  <c r="BJ30" i="21"/>
  <c r="BI30" i="21"/>
  <c r="BH30" i="21"/>
  <c r="BK29" i="21"/>
  <c r="BJ29" i="21"/>
  <c r="BI29" i="21"/>
  <c r="BH29" i="21"/>
  <c r="BK28" i="21"/>
  <c r="BJ28" i="21"/>
  <c r="BI28" i="21"/>
  <c r="BH28" i="21"/>
  <c r="BK27" i="21"/>
  <c r="BJ27" i="21"/>
  <c r="BI27" i="21"/>
  <c r="BH27" i="21"/>
  <c r="BK25" i="21"/>
  <c r="BJ25" i="21"/>
  <c r="BI25" i="21"/>
  <c r="BL25" i="21" s="1"/>
  <c r="BH25" i="21"/>
  <c r="BK23" i="21"/>
  <c r="BJ23" i="21"/>
  <c r="BI23" i="21"/>
  <c r="BH23" i="21"/>
  <c r="BK22" i="21"/>
  <c r="BJ22" i="21"/>
  <c r="BI22" i="21"/>
  <c r="BL22" i="21" s="1"/>
  <c r="BH22" i="21"/>
  <c r="BK21" i="21"/>
  <c r="BJ21" i="21"/>
  <c r="BI21" i="21"/>
  <c r="BH21" i="21"/>
  <c r="BK20" i="21"/>
  <c r="BJ20" i="21"/>
  <c r="BI20" i="21"/>
  <c r="BH20" i="21"/>
  <c r="BK19" i="21"/>
  <c r="BJ19" i="21"/>
  <c r="BI19" i="21"/>
  <c r="BH19" i="21"/>
  <c r="BK18" i="21"/>
  <c r="BJ18" i="21"/>
  <c r="BI18" i="21"/>
  <c r="BH18" i="21"/>
  <c r="BK16" i="21"/>
  <c r="BJ16" i="21"/>
  <c r="BI16" i="21"/>
  <c r="BL16" i="21" s="1"/>
  <c r="BH16" i="21"/>
  <c r="BK17" i="21"/>
  <c r="BJ17" i="21"/>
  <c r="BI17" i="21"/>
  <c r="BH17" i="21"/>
  <c r="BK15" i="21"/>
  <c r="BJ15" i="21"/>
  <c r="BI15" i="21"/>
  <c r="BL15" i="21" s="1"/>
  <c r="BH15" i="21"/>
  <c r="BK26" i="21"/>
  <c r="BJ26" i="21"/>
  <c r="BI26" i="21"/>
  <c r="BH26" i="21"/>
  <c r="BK14" i="21"/>
  <c r="BJ14" i="21"/>
  <c r="BI14" i="21"/>
  <c r="BH14" i="21"/>
  <c r="BK13" i="21"/>
  <c r="BJ13" i="21"/>
  <c r="BI13" i="21"/>
  <c r="BH13" i="21"/>
  <c r="BK12" i="21"/>
  <c r="BJ12" i="21"/>
  <c r="BI12" i="21"/>
  <c r="BH12" i="21"/>
  <c r="BK11" i="21"/>
  <c r="BJ11" i="21"/>
  <c r="BI11" i="21"/>
  <c r="BL11" i="21" s="1"/>
  <c r="BH11" i="21"/>
  <c r="BK10" i="21"/>
  <c r="BJ10" i="21"/>
  <c r="BI10" i="21"/>
  <c r="BH10" i="21"/>
  <c r="BK9" i="21"/>
  <c r="BJ9" i="21"/>
  <c r="BI9" i="21"/>
  <c r="BL9" i="21" s="1"/>
  <c r="BH9" i="21"/>
  <c r="BK4" i="21"/>
  <c r="BJ4" i="21"/>
  <c r="BI4" i="21"/>
  <c r="BH4" i="21"/>
  <c r="BK8" i="21"/>
  <c r="BJ8" i="21"/>
  <c r="BI8" i="21"/>
  <c r="BH8" i="21"/>
  <c r="BK6" i="21"/>
  <c r="BJ6" i="21"/>
  <c r="BI6" i="21"/>
  <c r="BH6" i="21"/>
  <c r="BK7" i="21"/>
  <c r="BJ7" i="21"/>
  <c r="BI7" i="21"/>
  <c r="BH7" i="21"/>
  <c r="BK5" i="21"/>
  <c r="BJ5" i="21"/>
  <c r="BI5" i="21"/>
  <c r="BL5" i="21" s="1"/>
  <c r="BH5" i="21"/>
  <c r="AO33" i="21"/>
  <c r="AN33" i="21"/>
  <c r="AM33" i="21"/>
  <c r="AL33" i="21"/>
  <c r="AO32" i="21"/>
  <c r="AN32" i="21"/>
  <c r="AM32" i="21"/>
  <c r="AP32" i="21" s="1"/>
  <c r="AL32" i="21"/>
  <c r="AO31" i="21"/>
  <c r="AN31" i="21"/>
  <c r="AM31" i="21"/>
  <c r="AL31" i="21"/>
  <c r="AO30" i="21"/>
  <c r="AN30" i="21"/>
  <c r="AM30" i="21"/>
  <c r="AL30" i="21"/>
  <c r="AO29" i="21"/>
  <c r="AN29" i="21"/>
  <c r="AM29" i="21"/>
  <c r="AP29" i="21" s="1"/>
  <c r="AL29" i="21"/>
  <c r="AO28" i="21"/>
  <c r="AN28" i="21"/>
  <c r="AM28" i="21"/>
  <c r="AL28" i="21"/>
  <c r="AO27" i="21"/>
  <c r="AN27" i="21"/>
  <c r="AM27" i="21"/>
  <c r="AP27" i="21" s="1"/>
  <c r="AL27" i="21"/>
  <c r="AO25" i="21"/>
  <c r="AN25" i="21"/>
  <c r="AM25" i="21"/>
  <c r="AL25" i="21"/>
  <c r="AO23" i="21"/>
  <c r="AN23" i="21"/>
  <c r="AM23" i="21"/>
  <c r="AP23" i="21" s="1"/>
  <c r="AL23" i="21"/>
  <c r="AO22" i="21"/>
  <c r="AN22" i="21"/>
  <c r="AM22" i="21"/>
  <c r="AL22" i="21"/>
  <c r="AO21" i="21"/>
  <c r="AN21" i="21"/>
  <c r="AM21" i="21"/>
  <c r="AL21" i="21"/>
  <c r="AO20" i="21"/>
  <c r="AN20" i="21"/>
  <c r="AM20" i="21"/>
  <c r="AP20" i="21" s="1"/>
  <c r="AL20" i="21"/>
  <c r="AO19" i="21"/>
  <c r="AN19" i="21"/>
  <c r="AM19" i="21"/>
  <c r="AL19" i="21"/>
  <c r="AO18" i="21"/>
  <c r="AN18" i="21"/>
  <c r="AM18" i="21"/>
  <c r="AP18" i="21" s="1"/>
  <c r="AL18" i="21"/>
  <c r="AO16" i="21"/>
  <c r="AN16" i="21"/>
  <c r="AM16" i="21"/>
  <c r="AL16" i="21"/>
  <c r="AO17" i="21"/>
  <c r="AN17" i="21"/>
  <c r="AM17" i="21"/>
  <c r="AP17" i="21" s="1"/>
  <c r="AL17" i="21"/>
  <c r="AO15" i="21"/>
  <c r="AN15" i="21"/>
  <c r="AM15" i="21"/>
  <c r="AL15" i="21"/>
  <c r="AO26" i="21"/>
  <c r="AN26" i="21"/>
  <c r="AM26" i="21"/>
  <c r="AL26" i="21"/>
  <c r="AO14" i="21"/>
  <c r="AN14" i="21"/>
  <c r="AM14" i="21"/>
  <c r="AP14" i="21" s="1"/>
  <c r="AL14" i="21"/>
  <c r="AO13" i="21"/>
  <c r="AN13" i="21"/>
  <c r="AM13" i="21"/>
  <c r="AL13" i="21"/>
  <c r="AO12" i="21"/>
  <c r="AN12" i="21"/>
  <c r="AM12" i="21"/>
  <c r="AP12" i="21" s="1"/>
  <c r="AL12" i="21"/>
  <c r="AO11" i="21"/>
  <c r="AN11" i="21"/>
  <c r="AM11" i="21"/>
  <c r="AL11" i="21"/>
  <c r="AO10" i="21"/>
  <c r="AN10" i="21"/>
  <c r="AM10" i="21"/>
  <c r="AP10" i="21" s="1"/>
  <c r="AL10" i="21"/>
  <c r="AO9" i="21"/>
  <c r="AN9" i="21"/>
  <c r="AM9" i="21"/>
  <c r="AL9" i="21"/>
  <c r="AO4" i="21"/>
  <c r="AN4" i="21"/>
  <c r="AM4" i="21"/>
  <c r="AL4" i="21"/>
  <c r="AO8" i="21"/>
  <c r="AN8" i="21"/>
  <c r="AM8" i="21"/>
  <c r="AP8" i="21" s="1"/>
  <c r="AL8" i="21"/>
  <c r="AO6" i="21"/>
  <c r="AN6" i="21"/>
  <c r="AM6" i="21"/>
  <c r="AL6" i="21"/>
  <c r="AO7" i="21"/>
  <c r="AN7" i="21"/>
  <c r="AM7" i="21"/>
  <c r="AP7" i="21" s="1"/>
  <c r="AL7" i="21"/>
  <c r="AO5" i="21"/>
  <c r="AN5" i="21"/>
  <c r="AM5" i="21"/>
  <c r="AL5" i="21"/>
  <c r="BK23" i="19"/>
  <c r="BJ23" i="19"/>
  <c r="BI23" i="19"/>
  <c r="BH23" i="19"/>
  <c r="BK34" i="19"/>
  <c r="BJ34" i="19"/>
  <c r="BI34" i="19"/>
  <c r="BH34" i="19"/>
  <c r="BK33" i="19"/>
  <c r="BJ33" i="19"/>
  <c r="BI33" i="19"/>
  <c r="BH33" i="19"/>
  <c r="BK32" i="19"/>
  <c r="BJ32" i="19"/>
  <c r="BI32" i="19"/>
  <c r="BH32" i="19"/>
  <c r="BK30" i="19"/>
  <c r="BJ30" i="19"/>
  <c r="BI30" i="19"/>
  <c r="BH30" i="19"/>
  <c r="BK35" i="19"/>
  <c r="BJ35" i="19"/>
  <c r="BI35" i="19"/>
  <c r="BH35" i="19"/>
  <c r="BK27" i="19"/>
  <c r="BJ27" i="19"/>
  <c r="BI27" i="19"/>
  <c r="BH27" i="19"/>
  <c r="BK24" i="19"/>
  <c r="BJ24" i="19"/>
  <c r="BI24" i="19"/>
  <c r="BH24" i="19"/>
  <c r="BK19" i="19"/>
  <c r="BJ19" i="19"/>
  <c r="BI19" i="19"/>
  <c r="BH19" i="19"/>
  <c r="BK22" i="19"/>
  <c r="BJ22" i="19"/>
  <c r="BI22" i="19"/>
  <c r="BH22" i="19"/>
  <c r="BK18" i="19"/>
  <c r="BJ18" i="19"/>
  <c r="BI18" i="19"/>
  <c r="BH18" i="19"/>
  <c r="BK15" i="19"/>
  <c r="BJ15" i="19"/>
  <c r="BI15" i="19"/>
  <c r="BH15" i="19"/>
  <c r="BK20" i="19"/>
  <c r="BJ20" i="19"/>
  <c r="BI20" i="19"/>
  <c r="BH20" i="19"/>
  <c r="BK14" i="19"/>
  <c r="BJ14" i="19"/>
  <c r="BI14" i="19"/>
  <c r="BH14" i="19"/>
  <c r="BK13" i="19"/>
  <c r="BJ13" i="19"/>
  <c r="BI13" i="19"/>
  <c r="BH13" i="19"/>
  <c r="BK31" i="19"/>
  <c r="BJ31" i="19"/>
  <c r="BI31" i="19"/>
  <c r="BH31" i="19"/>
  <c r="BK25" i="19"/>
  <c r="BJ25" i="19"/>
  <c r="BI25" i="19"/>
  <c r="BH25" i="19"/>
  <c r="BK10" i="19"/>
  <c r="BJ10" i="19"/>
  <c r="BI10" i="19"/>
  <c r="BH10" i="19"/>
  <c r="BK29" i="19"/>
  <c r="BJ29" i="19"/>
  <c r="BI29" i="19"/>
  <c r="BH29" i="19"/>
  <c r="BK28" i="19"/>
  <c r="BJ28" i="19"/>
  <c r="BI28" i="19"/>
  <c r="BH28" i="19"/>
  <c r="BK26" i="19"/>
  <c r="BJ26" i="19"/>
  <c r="BI26" i="19"/>
  <c r="BH26" i="19"/>
  <c r="BK17" i="19"/>
  <c r="BJ17" i="19"/>
  <c r="BI17" i="19"/>
  <c r="BH17" i="19"/>
  <c r="BK21" i="19"/>
  <c r="BJ21" i="19"/>
  <c r="BI21" i="19"/>
  <c r="BH21" i="19"/>
  <c r="BK12" i="19"/>
  <c r="BJ12" i="19"/>
  <c r="BI12" i="19"/>
  <c r="BH12" i="19"/>
  <c r="BK16" i="19"/>
  <c r="BJ16" i="19"/>
  <c r="BI16" i="19"/>
  <c r="BH16" i="19"/>
  <c r="BK11" i="19"/>
  <c r="BJ11" i="19"/>
  <c r="BI11" i="19"/>
  <c r="BH11" i="19"/>
  <c r="BK9" i="19"/>
  <c r="BJ9" i="19"/>
  <c r="BI9" i="19"/>
  <c r="BH9" i="19"/>
  <c r="BK8" i="19"/>
  <c r="BJ8" i="19"/>
  <c r="BI8" i="19"/>
  <c r="BH8" i="19"/>
  <c r="BK5" i="19"/>
  <c r="BJ5" i="19"/>
  <c r="BI5" i="19"/>
  <c r="BH5" i="19"/>
  <c r="BK6" i="19"/>
  <c r="BJ6" i="19"/>
  <c r="BI6" i="19"/>
  <c r="BH6" i="19"/>
  <c r="BK4" i="19"/>
  <c r="BJ4" i="19"/>
  <c r="BI4" i="19"/>
  <c r="BH4" i="19"/>
  <c r="BK7" i="19"/>
  <c r="BJ7" i="19"/>
  <c r="BI7" i="19"/>
  <c r="BH7" i="19"/>
  <c r="AO23" i="19"/>
  <c r="AN23" i="19"/>
  <c r="AM23" i="19"/>
  <c r="AL23" i="19"/>
  <c r="AO34" i="19"/>
  <c r="AN34" i="19"/>
  <c r="AM34" i="19"/>
  <c r="AL34" i="19"/>
  <c r="AO33" i="19"/>
  <c r="AN33" i="19"/>
  <c r="AM33" i="19"/>
  <c r="AL33" i="19"/>
  <c r="AO32" i="19"/>
  <c r="AN32" i="19"/>
  <c r="AM32" i="19"/>
  <c r="AL32" i="19"/>
  <c r="AO30" i="19"/>
  <c r="AN30" i="19"/>
  <c r="AM30" i="19"/>
  <c r="AL30" i="19"/>
  <c r="AO35" i="19"/>
  <c r="AN35" i="19"/>
  <c r="AM35" i="19"/>
  <c r="AL35" i="19"/>
  <c r="AO27" i="19"/>
  <c r="AN27" i="19"/>
  <c r="AM27" i="19"/>
  <c r="AL27" i="19"/>
  <c r="AO24" i="19"/>
  <c r="AN24" i="19"/>
  <c r="AM24" i="19"/>
  <c r="AL24" i="19"/>
  <c r="AO19" i="19"/>
  <c r="AN19" i="19"/>
  <c r="AM19" i="19"/>
  <c r="AL19" i="19"/>
  <c r="AO22" i="19"/>
  <c r="AN22" i="19"/>
  <c r="AM22" i="19"/>
  <c r="AL22" i="19"/>
  <c r="AO18" i="19"/>
  <c r="AN18" i="19"/>
  <c r="AM18" i="19"/>
  <c r="AL18" i="19"/>
  <c r="AO15" i="19"/>
  <c r="AN15" i="19"/>
  <c r="AM15" i="19"/>
  <c r="AL15" i="19"/>
  <c r="AO20" i="19"/>
  <c r="AN20" i="19"/>
  <c r="AM20" i="19"/>
  <c r="AL20" i="19"/>
  <c r="AO14" i="19"/>
  <c r="AN14" i="19"/>
  <c r="AM14" i="19"/>
  <c r="AL14" i="19"/>
  <c r="AO13" i="19"/>
  <c r="AN13" i="19"/>
  <c r="AM13" i="19"/>
  <c r="AL13" i="19"/>
  <c r="AO31" i="19"/>
  <c r="AN31" i="19"/>
  <c r="AM31" i="19"/>
  <c r="AL31" i="19"/>
  <c r="AO25" i="19"/>
  <c r="AN25" i="19"/>
  <c r="AM25" i="19"/>
  <c r="AL25" i="19"/>
  <c r="AO10" i="19"/>
  <c r="AN10" i="19"/>
  <c r="AM10" i="19"/>
  <c r="AL10" i="19"/>
  <c r="AO29" i="19"/>
  <c r="AN29" i="19"/>
  <c r="AM29" i="19"/>
  <c r="AL29" i="19"/>
  <c r="AO28" i="19"/>
  <c r="AN28" i="19"/>
  <c r="AM28" i="19"/>
  <c r="AL28" i="19"/>
  <c r="AO26" i="19"/>
  <c r="AN26" i="19"/>
  <c r="AM26" i="19"/>
  <c r="AL26" i="19"/>
  <c r="AO17" i="19"/>
  <c r="AN17" i="19"/>
  <c r="AM17" i="19"/>
  <c r="AL17" i="19"/>
  <c r="AO21" i="19"/>
  <c r="AN21" i="19"/>
  <c r="AM21" i="19"/>
  <c r="AL21" i="19"/>
  <c r="AO12" i="19"/>
  <c r="AN12" i="19"/>
  <c r="AM12" i="19"/>
  <c r="AL12" i="19"/>
  <c r="AO16" i="19"/>
  <c r="AN16" i="19"/>
  <c r="AM16" i="19"/>
  <c r="AL16" i="19"/>
  <c r="AO11" i="19"/>
  <c r="AN11" i="19"/>
  <c r="AM11" i="19"/>
  <c r="AL11" i="19"/>
  <c r="AO9" i="19"/>
  <c r="AN9" i="19"/>
  <c r="AM9" i="19"/>
  <c r="AL9" i="19"/>
  <c r="AO8" i="19"/>
  <c r="AN8" i="19"/>
  <c r="AM8" i="19"/>
  <c r="AL8" i="19"/>
  <c r="AO5" i="19"/>
  <c r="AN5" i="19"/>
  <c r="AM5" i="19"/>
  <c r="AL5" i="19"/>
  <c r="AO6" i="19"/>
  <c r="AN6" i="19"/>
  <c r="AM6" i="19"/>
  <c r="AL6" i="19"/>
  <c r="AO4" i="19"/>
  <c r="AN4" i="19"/>
  <c r="AM4" i="19"/>
  <c r="AL4" i="19"/>
  <c r="AO7" i="19"/>
  <c r="AN7" i="19"/>
  <c r="AM7" i="19"/>
  <c r="AL7" i="19"/>
  <c r="BK18" i="27"/>
  <c r="BJ18" i="27"/>
  <c r="BI18" i="27"/>
  <c r="BH18" i="27"/>
  <c r="BK16" i="27"/>
  <c r="BJ16" i="27"/>
  <c r="BI16" i="27"/>
  <c r="BH16" i="27"/>
  <c r="BK7" i="27"/>
  <c r="BJ7" i="27"/>
  <c r="BI7" i="27"/>
  <c r="BH7" i="27"/>
  <c r="BK12" i="27"/>
  <c r="BJ12" i="27"/>
  <c r="BI12" i="27"/>
  <c r="BH12" i="27"/>
  <c r="BK14" i="27"/>
  <c r="BJ14" i="27"/>
  <c r="BI14" i="27"/>
  <c r="BH14" i="27"/>
  <c r="BK11" i="27"/>
  <c r="BJ11" i="27"/>
  <c r="BI11" i="27"/>
  <c r="BH11" i="27"/>
  <c r="BK13" i="27"/>
  <c r="BJ13" i="27"/>
  <c r="BI13" i="27"/>
  <c r="BH13" i="27"/>
  <c r="BK15" i="27"/>
  <c r="BJ15" i="27"/>
  <c r="BI15" i="27"/>
  <c r="BH15" i="27"/>
  <c r="BK10" i="27"/>
  <c r="BJ10" i="27"/>
  <c r="BI10" i="27"/>
  <c r="BH10" i="27"/>
  <c r="BK8" i="27"/>
  <c r="BJ8" i="27"/>
  <c r="BI8" i="27"/>
  <c r="BH8" i="27"/>
  <c r="BK17" i="27"/>
  <c r="BJ17" i="27"/>
  <c r="BI17" i="27"/>
  <c r="BH17" i="27"/>
  <c r="BK9" i="27"/>
  <c r="BJ9" i="27"/>
  <c r="BI9" i="27"/>
  <c r="BH9" i="27"/>
  <c r="BK6" i="27"/>
  <c r="BL6" i="27" s="1"/>
  <c r="BJ6" i="27"/>
  <c r="BI6" i="27"/>
  <c r="BH6" i="27"/>
  <c r="BK5" i="27"/>
  <c r="BJ5" i="27"/>
  <c r="BI5" i="27"/>
  <c r="BH5" i="27"/>
  <c r="BK4" i="27"/>
  <c r="BJ4" i="27"/>
  <c r="BI4" i="27"/>
  <c r="BH4" i="27"/>
  <c r="AO18" i="27"/>
  <c r="AN18" i="27"/>
  <c r="AM18" i="27"/>
  <c r="AL18" i="27"/>
  <c r="AO16" i="27"/>
  <c r="AN16" i="27"/>
  <c r="AM16" i="27"/>
  <c r="AL16" i="27"/>
  <c r="AO7" i="27"/>
  <c r="AN7" i="27"/>
  <c r="AM7" i="27"/>
  <c r="AL7" i="27"/>
  <c r="AO12" i="27"/>
  <c r="AN12" i="27"/>
  <c r="AM12" i="27"/>
  <c r="AL12" i="27"/>
  <c r="AO14" i="27"/>
  <c r="AN14" i="27"/>
  <c r="AM14" i="27"/>
  <c r="AL14" i="27"/>
  <c r="AO11" i="27"/>
  <c r="AN11" i="27"/>
  <c r="AM11" i="27"/>
  <c r="AL11" i="27"/>
  <c r="AO13" i="27"/>
  <c r="AN13" i="27"/>
  <c r="AM13" i="27"/>
  <c r="AL13" i="27"/>
  <c r="AO15" i="27"/>
  <c r="AN15" i="27"/>
  <c r="AM15" i="27"/>
  <c r="AL15" i="27"/>
  <c r="AO10" i="27"/>
  <c r="AN10" i="27"/>
  <c r="AM10" i="27"/>
  <c r="AL10" i="27"/>
  <c r="AO8" i="27"/>
  <c r="AN8" i="27"/>
  <c r="AM8" i="27"/>
  <c r="AL8" i="27"/>
  <c r="AO17" i="27"/>
  <c r="AN17" i="27"/>
  <c r="AM17" i="27"/>
  <c r="AL17" i="27"/>
  <c r="AO9" i="27"/>
  <c r="AP9" i="27" s="1"/>
  <c r="AN9" i="27"/>
  <c r="AM9" i="27"/>
  <c r="AL9" i="27"/>
  <c r="AO6" i="27"/>
  <c r="AN6" i="27"/>
  <c r="AM6" i="27"/>
  <c r="AL6" i="27"/>
  <c r="AO5" i="27"/>
  <c r="AN5" i="27"/>
  <c r="AM5" i="27"/>
  <c r="AL5" i="27"/>
  <c r="AO4" i="27"/>
  <c r="AN4" i="27"/>
  <c r="AM4" i="27"/>
  <c r="AL4" i="27"/>
  <c r="BK18" i="26"/>
  <c r="BJ18" i="26"/>
  <c r="BI18" i="26"/>
  <c r="BH18" i="26"/>
  <c r="BK20" i="26"/>
  <c r="BJ20" i="26"/>
  <c r="BI20" i="26"/>
  <c r="BH20" i="26"/>
  <c r="BK17" i="26"/>
  <c r="BJ17" i="26"/>
  <c r="BI17" i="26"/>
  <c r="BL17" i="26" s="1"/>
  <c r="BH17" i="26"/>
  <c r="BK16" i="26"/>
  <c r="BJ16" i="26"/>
  <c r="BI16" i="26"/>
  <c r="BH16" i="26"/>
  <c r="BK15" i="26"/>
  <c r="BJ15" i="26"/>
  <c r="BI15" i="26"/>
  <c r="BH15" i="26"/>
  <c r="BK14" i="26"/>
  <c r="BJ14" i="26"/>
  <c r="BI14" i="26"/>
  <c r="BH14" i="26"/>
  <c r="BK13" i="26"/>
  <c r="BJ13" i="26"/>
  <c r="BI13" i="26"/>
  <c r="BH13" i="26"/>
  <c r="BK12" i="26"/>
  <c r="BJ12" i="26"/>
  <c r="BI12" i="26"/>
  <c r="BL12" i="26" s="1"/>
  <c r="BH12" i="26"/>
  <c r="BK11" i="26"/>
  <c r="BJ11" i="26"/>
  <c r="BI11" i="26"/>
  <c r="BH11" i="26"/>
  <c r="BK10" i="26"/>
  <c r="BJ10" i="26"/>
  <c r="BI10" i="26"/>
  <c r="BL10" i="26" s="1"/>
  <c r="BH10" i="26"/>
  <c r="BK19" i="26"/>
  <c r="BJ19" i="26"/>
  <c r="BI19" i="26"/>
  <c r="BH19" i="26"/>
  <c r="BK8" i="26"/>
  <c r="BJ8" i="26"/>
  <c r="BI8" i="26"/>
  <c r="BH8" i="26"/>
  <c r="BK9" i="26"/>
  <c r="BJ9" i="26"/>
  <c r="BI9" i="26"/>
  <c r="BH9" i="26"/>
  <c r="BK7" i="26"/>
  <c r="BJ7" i="26"/>
  <c r="BI7" i="26"/>
  <c r="BH7" i="26"/>
  <c r="BK6" i="26"/>
  <c r="BJ6" i="26"/>
  <c r="BI6" i="26"/>
  <c r="BL6" i="26" s="1"/>
  <c r="BH6" i="26"/>
  <c r="BK5" i="26"/>
  <c r="BJ5" i="26"/>
  <c r="BI5" i="26"/>
  <c r="BH5" i="26"/>
  <c r="BK4" i="26"/>
  <c r="BJ4" i="26"/>
  <c r="BI4" i="26"/>
  <c r="BL4" i="26" s="1"/>
  <c r="BH4" i="26"/>
  <c r="AO18" i="26"/>
  <c r="AN18" i="26"/>
  <c r="AM18" i="26"/>
  <c r="AL18" i="26"/>
  <c r="AO20" i="26"/>
  <c r="AN20" i="26"/>
  <c r="AM20" i="26"/>
  <c r="AL20" i="26"/>
  <c r="AO17" i="26"/>
  <c r="AN17" i="26"/>
  <c r="AM17" i="26"/>
  <c r="AL17" i="26"/>
  <c r="AO16" i="26"/>
  <c r="AN16" i="26"/>
  <c r="AM16" i="26"/>
  <c r="AL16" i="26"/>
  <c r="AO15" i="26"/>
  <c r="AN15" i="26"/>
  <c r="AM15" i="26"/>
  <c r="AL15" i="26"/>
  <c r="AO14" i="26"/>
  <c r="AN14" i="26"/>
  <c r="AM14" i="26"/>
  <c r="AL14" i="26"/>
  <c r="AO13" i="26"/>
  <c r="AN13" i="26"/>
  <c r="AM13" i="26"/>
  <c r="AP13" i="26" s="1"/>
  <c r="AL13" i="26"/>
  <c r="AO12" i="26"/>
  <c r="AN12" i="26"/>
  <c r="AM12" i="26"/>
  <c r="AL12" i="26"/>
  <c r="AO11" i="26"/>
  <c r="AN11" i="26"/>
  <c r="AM11" i="26"/>
  <c r="AL11" i="26"/>
  <c r="AO10" i="26"/>
  <c r="AN10" i="26"/>
  <c r="AM10" i="26"/>
  <c r="AL10" i="26"/>
  <c r="AO19" i="26"/>
  <c r="AN19" i="26"/>
  <c r="AM19" i="26"/>
  <c r="AL19" i="26"/>
  <c r="AO8" i="26"/>
  <c r="AN8" i="26"/>
  <c r="AM8" i="26"/>
  <c r="AL8" i="26"/>
  <c r="AO9" i="26"/>
  <c r="AN9" i="26"/>
  <c r="AM9" i="26"/>
  <c r="AL9" i="26"/>
  <c r="AO7" i="26"/>
  <c r="AN7" i="26"/>
  <c r="AM7" i="26"/>
  <c r="AP7" i="26" s="1"/>
  <c r="AL7" i="26"/>
  <c r="AO6" i="26"/>
  <c r="AN6" i="26"/>
  <c r="AM6" i="26"/>
  <c r="AL6" i="26"/>
  <c r="AO5" i="26"/>
  <c r="AN5" i="26"/>
  <c r="AM5" i="26"/>
  <c r="AL5" i="26"/>
  <c r="AO4" i="26"/>
  <c r="AN4" i="26"/>
  <c r="AM4" i="26"/>
  <c r="AL4" i="26"/>
  <c r="BY10" i="22"/>
  <c r="BX10" i="22"/>
  <c r="BW10" i="22"/>
  <c r="BU10" i="22"/>
  <c r="BT10" i="22"/>
  <c r="BS10" i="22"/>
  <c r="BR10" i="22"/>
  <c r="BV10" i="22" s="1"/>
  <c r="BQ10" i="22"/>
  <c r="BP10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9" i="22"/>
  <c r="BX9" i="22"/>
  <c r="BW9" i="22"/>
  <c r="BU9" i="22"/>
  <c r="BT9" i="22"/>
  <c r="BS9" i="22"/>
  <c r="BR9" i="22"/>
  <c r="BQ9" i="22"/>
  <c r="BP9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U8" i="22" s="1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9" i="22"/>
  <c r="AW9" i="22"/>
  <c r="AV9" i="22"/>
  <c r="AT9" i="22"/>
  <c r="AS9" i="22"/>
  <c r="AR9" i="22"/>
  <c r="AQ9" i="22"/>
  <c r="AP9" i="22"/>
  <c r="AO9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18" i="4"/>
  <c r="BX18" i="4"/>
  <c r="BW18" i="4"/>
  <c r="BU18" i="4"/>
  <c r="BT18" i="4"/>
  <c r="BS18" i="4"/>
  <c r="BR18" i="4"/>
  <c r="BQ18" i="4"/>
  <c r="BP18" i="4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1" i="4"/>
  <c r="BX21" i="4"/>
  <c r="BW21" i="4"/>
  <c r="BU21" i="4"/>
  <c r="BT21" i="4"/>
  <c r="BS21" i="4"/>
  <c r="BR21" i="4"/>
  <c r="BV21" i="4" s="1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23" i="4"/>
  <c r="BX23" i="4"/>
  <c r="BW23" i="4"/>
  <c r="BU23" i="4"/>
  <c r="BT23" i="4"/>
  <c r="BS23" i="4"/>
  <c r="BR23" i="4"/>
  <c r="BV23" i="4" s="1"/>
  <c r="BQ23" i="4"/>
  <c r="BP23" i="4"/>
  <c r="BY11" i="4"/>
  <c r="BX11" i="4"/>
  <c r="BW11" i="4"/>
  <c r="BU11" i="4"/>
  <c r="BT11" i="4"/>
  <c r="BS11" i="4"/>
  <c r="BR11" i="4"/>
  <c r="BQ11" i="4"/>
  <c r="BP11" i="4"/>
  <c r="BY22" i="4"/>
  <c r="BX22" i="4"/>
  <c r="BW22" i="4"/>
  <c r="BU22" i="4"/>
  <c r="BT22" i="4"/>
  <c r="BS22" i="4"/>
  <c r="BR22" i="4"/>
  <c r="BQ22" i="4"/>
  <c r="BP22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6" i="4"/>
  <c r="BX16" i="4"/>
  <c r="BW16" i="4"/>
  <c r="BU16" i="4"/>
  <c r="BT16" i="4"/>
  <c r="BS16" i="4"/>
  <c r="BR16" i="4"/>
  <c r="BQ16" i="4"/>
  <c r="BP1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8" i="4"/>
  <c r="AW18" i="4"/>
  <c r="AV18" i="4"/>
  <c r="AT18" i="4"/>
  <c r="AS18" i="4"/>
  <c r="AR18" i="4"/>
  <c r="AQ18" i="4"/>
  <c r="AU18" i="4" s="1"/>
  <c r="AP18" i="4"/>
  <c r="AO18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U25" i="4" s="1"/>
  <c r="AP25" i="4"/>
  <c r="AO25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23" i="4"/>
  <c r="AW23" i="4"/>
  <c r="AV23" i="4"/>
  <c r="AT23" i="4"/>
  <c r="AS23" i="4"/>
  <c r="AR23" i="4"/>
  <c r="AQ23" i="4"/>
  <c r="AP23" i="4"/>
  <c r="AO23" i="4"/>
  <c r="AX11" i="4"/>
  <c r="AW11" i="4"/>
  <c r="AV11" i="4"/>
  <c r="AT11" i="4"/>
  <c r="AS11" i="4"/>
  <c r="AR11" i="4"/>
  <c r="AQ11" i="4"/>
  <c r="AP11" i="4"/>
  <c r="AO11" i="4"/>
  <c r="AX22" i="4"/>
  <c r="AW22" i="4"/>
  <c r="AV22" i="4"/>
  <c r="AT22" i="4"/>
  <c r="AS22" i="4"/>
  <c r="AR22" i="4"/>
  <c r="AQ22" i="4"/>
  <c r="AP22" i="4"/>
  <c r="AO22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6" i="4"/>
  <c r="AW16" i="4"/>
  <c r="AV16" i="4"/>
  <c r="AT16" i="4"/>
  <c r="AS16" i="4"/>
  <c r="AR16" i="4"/>
  <c r="AQ16" i="4"/>
  <c r="AP16" i="4"/>
  <c r="AO1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OE33" i="21"/>
  <c r="OD33" i="21"/>
  <c r="OB33" i="21"/>
  <c r="OA33" i="21"/>
  <c r="NZ33" i="21"/>
  <c r="NY33" i="21"/>
  <c r="OE32" i="21"/>
  <c r="OD32" i="21"/>
  <c r="OB32" i="21"/>
  <c r="OA32" i="21"/>
  <c r="NZ32" i="21"/>
  <c r="NY32" i="21"/>
  <c r="OE31" i="21"/>
  <c r="OD31" i="21"/>
  <c r="OB31" i="21"/>
  <c r="OA31" i="21"/>
  <c r="NZ31" i="21"/>
  <c r="NY31" i="21"/>
  <c r="OE30" i="21"/>
  <c r="OD30" i="21"/>
  <c r="OB30" i="21"/>
  <c r="OA30" i="21"/>
  <c r="NZ30" i="21"/>
  <c r="NY30" i="21"/>
  <c r="OE29" i="21"/>
  <c r="OD29" i="21"/>
  <c r="OB29" i="21"/>
  <c r="OA29" i="21"/>
  <c r="NZ29" i="21"/>
  <c r="NY29" i="21"/>
  <c r="OE27" i="21"/>
  <c r="OD27" i="21"/>
  <c r="OB27" i="21"/>
  <c r="OA27" i="21"/>
  <c r="NZ27" i="21"/>
  <c r="NY27" i="21"/>
  <c r="OE28" i="21"/>
  <c r="OD28" i="21"/>
  <c r="OB28" i="21"/>
  <c r="OA28" i="21"/>
  <c r="NZ28" i="21"/>
  <c r="NY28" i="21"/>
  <c r="OE25" i="21"/>
  <c r="OD25" i="21"/>
  <c r="OB25" i="21"/>
  <c r="OA25" i="21"/>
  <c r="NZ25" i="21"/>
  <c r="NY25" i="21"/>
  <c r="OE23" i="21"/>
  <c r="OD23" i="21"/>
  <c r="OB23" i="21"/>
  <c r="OA23" i="21"/>
  <c r="NZ23" i="21"/>
  <c r="NY23" i="21"/>
  <c r="OE22" i="21"/>
  <c r="OD22" i="21"/>
  <c r="OB22" i="21"/>
  <c r="OA22" i="21"/>
  <c r="NZ22" i="21"/>
  <c r="NY22" i="21"/>
  <c r="OE21" i="21"/>
  <c r="OD21" i="21"/>
  <c r="OB21" i="21"/>
  <c r="OA21" i="21"/>
  <c r="NZ21" i="21"/>
  <c r="NY21" i="21"/>
  <c r="OE20" i="21"/>
  <c r="OD20" i="21"/>
  <c r="OB20" i="21"/>
  <c r="OA20" i="21"/>
  <c r="NZ20" i="21"/>
  <c r="NY20" i="21"/>
  <c r="OE19" i="21"/>
  <c r="OD19" i="21"/>
  <c r="OB19" i="21"/>
  <c r="OA19" i="21"/>
  <c r="NZ19" i="21"/>
  <c r="NY19" i="21"/>
  <c r="OE18" i="21"/>
  <c r="OD18" i="21"/>
  <c r="OB18" i="21"/>
  <c r="OA18" i="21"/>
  <c r="NZ18" i="21"/>
  <c r="NY18" i="21"/>
  <c r="OE16" i="21"/>
  <c r="OD16" i="21"/>
  <c r="OB16" i="21"/>
  <c r="OA16" i="21"/>
  <c r="NZ16" i="21"/>
  <c r="NY16" i="21"/>
  <c r="OE17" i="21"/>
  <c r="OD17" i="21"/>
  <c r="OB17" i="21"/>
  <c r="OA17" i="21"/>
  <c r="NZ17" i="21"/>
  <c r="NY17" i="21"/>
  <c r="OE15" i="21"/>
  <c r="OD15" i="21"/>
  <c r="OB15" i="21"/>
  <c r="OA15" i="21"/>
  <c r="NZ15" i="21"/>
  <c r="NY15" i="21"/>
  <c r="OE26" i="21"/>
  <c r="OD26" i="21"/>
  <c r="OB26" i="21"/>
  <c r="OA26" i="21"/>
  <c r="NZ26" i="21"/>
  <c r="NY26" i="21"/>
  <c r="OE13" i="21"/>
  <c r="OD13" i="21"/>
  <c r="OB13" i="21"/>
  <c r="OA13" i="21"/>
  <c r="NZ13" i="21"/>
  <c r="NY13" i="21"/>
  <c r="OE12" i="21"/>
  <c r="OD12" i="21"/>
  <c r="OB12" i="21"/>
  <c r="OA12" i="21"/>
  <c r="NZ12" i="21"/>
  <c r="NY12" i="21"/>
  <c r="OE14" i="21"/>
  <c r="OD14" i="21"/>
  <c r="OB14" i="21"/>
  <c r="OA14" i="21"/>
  <c r="NZ14" i="21"/>
  <c r="NY14" i="21"/>
  <c r="OE11" i="21"/>
  <c r="OD11" i="21"/>
  <c r="OB11" i="21"/>
  <c r="OA11" i="21"/>
  <c r="NZ11" i="21"/>
  <c r="NY11" i="21"/>
  <c r="OE10" i="21"/>
  <c r="OD10" i="21"/>
  <c r="OB10" i="21"/>
  <c r="OA10" i="21"/>
  <c r="NZ10" i="21"/>
  <c r="NY10" i="21"/>
  <c r="OE9" i="21"/>
  <c r="OD9" i="21"/>
  <c r="OB9" i="21"/>
  <c r="OA9" i="21"/>
  <c r="NZ9" i="21"/>
  <c r="NY9" i="21"/>
  <c r="OE8" i="21"/>
  <c r="OD8" i="21"/>
  <c r="OB8" i="21"/>
  <c r="OA8" i="21"/>
  <c r="NZ8" i="21"/>
  <c r="NY8" i="21"/>
  <c r="OE4" i="21"/>
  <c r="OD4" i="21"/>
  <c r="OB4" i="21"/>
  <c r="OA4" i="21"/>
  <c r="NZ4" i="21"/>
  <c r="NY4" i="21"/>
  <c r="OE6" i="21"/>
  <c r="OD6" i="21"/>
  <c r="OB6" i="21"/>
  <c r="OA6" i="21"/>
  <c r="NZ6" i="21"/>
  <c r="NY6" i="21"/>
  <c r="OE7" i="21"/>
  <c r="OD7" i="21"/>
  <c r="OB7" i="21"/>
  <c r="OA7" i="21"/>
  <c r="NZ7" i="21"/>
  <c r="NY7" i="21"/>
  <c r="OE5" i="21"/>
  <c r="OD5" i="21"/>
  <c r="OB5" i="21"/>
  <c r="OA5" i="21"/>
  <c r="NZ5" i="21"/>
  <c r="NY5" i="21"/>
  <c r="NC33" i="21"/>
  <c r="NB33" i="21"/>
  <c r="MZ33" i="21"/>
  <c r="MY33" i="21"/>
  <c r="MX33" i="21"/>
  <c r="MW33" i="21"/>
  <c r="NC32" i="21"/>
  <c r="NB32" i="21"/>
  <c r="MZ32" i="21"/>
  <c r="MY32" i="21"/>
  <c r="MX32" i="21"/>
  <c r="MW32" i="21"/>
  <c r="NC31" i="21"/>
  <c r="NB31" i="21"/>
  <c r="MZ31" i="21"/>
  <c r="MY31" i="21"/>
  <c r="MX31" i="21"/>
  <c r="MW31" i="21"/>
  <c r="NC30" i="21"/>
  <c r="NB30" i="21"/>
  <c r="MZ30" i="21"/>
  <c r="MY30" i="21"/>
  <c r="MX30" i="21"/>
  <c r="MW30" i="21"/>
  <c r="NC29" i="21"/>
  <c r="NB29" i="21"/>
  <c r="MZ29" i="21"/>
  <c r="MY29" i="21"/>
  <c r="MX29" i="21"/>
  <c r="MW29" i="21"/>
  <c r="NC27" i="21"/>
  <c r="NB27" i="21"/>
  <c r="MZ27" i="21"/>
  <c r="MY27" i="21"/>
  <c r="MX27" i="21"/>
  <c r="MW27" i="21"/>
  <c r="NC28" i="21"/>
  <c r="NB28" i="21"/>
  <c r="MZ28" i="21"/>
  <c r="MY28" i="21"/>
  <c r="MX28" i="21"/>
  <c r="MW28" i="21"/>
  <c r="NC25" i="21"/>
  <c r="NB25" i="21"/>
  <c r="MZ25" i="21"/>
  <c r="MY25" i="21"/>
  <c r="MX25" i="21"/>
  <c r="MW25" i="21"/>
  <c r="NC23" i="21"/>
  <c r="NB23" i="21"/>
  <c r="MZ23" i="21"/>
  <c r="MY23" i="21"/>
  <c r="MX23" i="21"/>
  <c r="MW23" i="21"/>
  <c r="NC22" i="21"/>
  <c r="NB22" i="21"/>
  <c r="MZ22" i="21"/>
  <c r="MY22" i="21"/>
  <c r="MX22" i="21"/>
  <c r="MW22" i="21"/>
  <c r="NC21" i="21"/>
  <c r="NB21" i="21"/>
  <c r="MZ21" i="21"/>
  <c r="MY21" i="21"/>
  <c r="MX21" i="21"/>
  <c r="MW21" i="21"/>
  <c r="NC20" i="21"/>
  <c r="NB20" i="21"/>
  <c r="MZ20" i="21"/>
  <c r="MY20" i="21"/>
  <c r="MX20" i="21"/>
  <c r="MW20" i="21"/>
  <c r="NC19" i="21"/>
  <c r="NB19" i="21"/>
  <c r="MZ19" i="21"/>
  <c r="MY19" i="21"/>
  <c r="MX19" i="21"/>
  <c r="MW19" i="21"/>
  <c r="NC18" i="21"/>
  <c r="NB18" i="21"/>
  <c r="MZ18" i="21"/>
  <c r="MY18" i="21"/>
  <c r="MX18" i="21"/>
  <c r="MW18" i="21"/>
  <c r="NC16" i="21"/>
  <c r="NB16" i="21"/>
  <c r="MZ16" i="21"/>
  <c r="MY16" i="21"/>
  <c r="MX16" i="21"/>
  <c r="MW16" i="21"/>
  <c r="NC17" i="21"/>
  <c r="NB17" i="21"/>
  <c r="MZ17" i="21"/>
  <c r="MY17" i="21"/>
  <c r="MX17" i="21"/>
  <c r="MW17" i="21"/>
  <c r="NC15" i="21"/>
  <c r="NB15" i="21"/>
  <c r="MZ15" i="21"/>
  <c r="MY15" i="21"/>
  <c r="MX15" i="21"/>
  <c r="MW15" i="21"/>
  <c r="NC26" i="21"/>
  <c r="NB26" i="21"/>
  <c r="MZ26" i="21"/>
  <c r="MY26" i="21"/>
  <c r="MX26" i="21"/>
  <c r="MW26" i="21"/>
  <c r="NC13" i="21"/>
  <c r="NB13" i="21"/>
  <c r="MZ13" i="21"/>
  <c r="MY13" i="21"/>
  <c r="MX13" i="21"/>
  <c r="MW13" i="21"/>
  <c r="NC12" i="21"/>
  <c r="NB12" i="21"/>
  <c r="MZ12" i="21"/>
  <c r="MY12" i="21"/>
  <c r="MX12" i="21"/>
  <c r="MW12" i="21"/>
  <c r="NC14" i="21"/>
  <c r="NB14" i="21"/>
  <c r="MZ14" i="21"/>
  <c r="MY14" i="21"/>
  <c r="MX14" i="21"/>
  <c r="MW14" i="21"/>
  <c r="NC11" i="21"/>
  <c r="NB11" i="21"/>
  <c r="MZ11" i="21"/>
  <c r="MY11" i="21"/>
  <c r="MX11" i="21"/>
  <c r="MW11" i="21"/>
  <c r="NC10" i="21"/>
  <c r="NB10" i="21"/>
  <c r="MZ10" i="21"/>
  <c r="MY10" i="21"/>
  <c r="MX10" i="21"/>
  <c r="MW10" i="21"/>
  <c r="NC9" i="21"/>
  <c r="NB9" i="21"/>
  <c r="MZ9" i="21"/>
  <c r="MY9" i="21"/>
  <c r="MX9" i="21"/>
  <c r="MW9" i="21"/>
  <c r="NC8" i="21"/>
  <c r="NB8" i="21"/>
  <c r="MZ8" i="21"/>
  <c r="MY8" i="21"/>
  <c r="MX8" i="21"/>
  <c r="MW8" i="21"/>
  <c r="NC4" i="21"/>
  <c r="NB4" i="21"/>
  <c r="MZ4" i="21"/>
  <c r="MY4" i="21"/>
  <c r="MX4" i="21"/>
  <c r="MW4" i="21"/>
  <c r="NC6" i="21"/>
  <c r="NB6" i="21"/>
  <c r="MZ6" i="21"/>
  <c r="MY6" i="21"/>
  <c r="MX6" i="21"/>
  <c r="MW6" i="21"/>
  <c r="NC7" i="21"/>
  <c r="NB7" i="21"/>
  <c r="MZ7" i="21"/>
  <c r="MY7" i="21"/>
  <c r="MX7" i="21"/>
  <c r="MW7" i="21"/>
  <c r="NC5" i="21"/>
  <c r="NB5" i="21"/>
  <c r="MZ5" i="21"/>
  <c r="MY5" i="21"/>
  <c r="MX5" i="21"/>
  <c r="MW5" i="21"/>
  <c r="MA33" i="21"/>
  <c r="LZ33" i="21"/>
  <c r="LX33" i="21"/>
  <c r="LW33" i="21"/>
  <c r="LV33" i="21"/>
  <c r="LU33" i="21"/>
  <c r="MA32" i="21"/>
  <c r="LZ32" i="21"/>
  <c r="LX32" i="21"/>
  <c r="LW32" i="21"/>
  <c r="LV32" i="21"/>
  <c r="LU32" i="21"/>
  <c r="MA31" i="21"/>
  <c r="LZ31" i="21"/>
  <c r="LX31" i="21"/>
  <c r="LW31" i="21"/>
  <c r="LV31" i="21"/>
  <c r="LU31" i="21"/>
  <c r="MA30" i="21"/>
  <c r="LZ30" i="21"/>
  <c r="LX30" i="21"/>
  <c r="LW30" i="21"/>
  <c r="LV30" i="21"/>
  <c r="LU30" i="21"/>
  <c r="MA29" i="21"/>
  <c r="LZ29" i="21"/>
  <c r="LX29" i="21"/>
  <c r="LW29" i="21"/>
  <c r="LV29" i="21"/>
  <c r="LU29" i="21"/>
  <c r="MA27" i="21"/>
  <c r="LZ27" i="21"/>
  <c r="LX27" i="21"/>
  <c r="LW27" i="21"/>
  <c r="LV27" i="21"/>
  <c r="LU27" i="21"/>
  <c r="MA28" i="21"/>
  <c r="LZ28" i="21"/>
  <c r="LX28" i="21"/>
  <c r="LW28" i="21"/>
  <c r="LV28" i="21"/>
  <c r="LU28" i="21"/>
  <c r="MA25" i="21"/>
  <c r="LZ25" i="21"/>
  <c r="LX25" i="21"/>
  <c r="LW25" i="21"/>
  <c r="LV25" i="21"/>
  <c r="LU25" i="21"/>
  <c r="MA23" i="21"/>
  <c r="LZ23" i="21"/>
  <c r="LX23" i="21"/>
  <c r="LW23" i="21"/>
  <c r="LV23" i="21"/>
  <c r="LU23" i="21"/>
  <c r="MA22" i="21"/>
  <c r="LZ22" i="21"/>
  <c r="LX22" i="21"/>
  <c r="LW22" i="21"/>
  <c r="LV22" i="21"/>
  <c r="LU22" i="21"/>
  <c r="MA21" i="21"/>
  <c r="LZ21" i="21"/>
  <c r="LX21" i="21"/>
  <c r="LW21" i="21"/>
  <c r="LV21" i="21"/>
  <c r="LU21" i="21"/>
  <c r="MA20" i="21"/>
  <c r="LZ20" i="21"/>
  <c r="LX20" i="21"/>
  <c r="LW20" i="21"/>
  <c r="LV20" i="21"/>
  <c r="LU20" i="21"/>
  <c r="MA19" i="21"/>
  <c r="LZ19" i="21"/>
  <c r="LX19" i="21"/>
  <c r="LW19" i="21"/>
  <c r="LV19" i="21"/>
  <c r="LU19" i="21"/>
  <c r="MA18" i="21"/>
  <c r="LZ18" i="21"/>
  <c r="LX18" i="21"/>
  <c r="LW18" i="21"/>
  <c r="LV18" i="21"/>
  <c r="LU18" i="21"/>
  <c r="MA16" i="21"/>
  <c r="LZ16" i="21"/>
  <c r="LX16" i="21"/>
  <c r="LW16" i="21"/>
  <c r="LV16" i="21"/>
  <c r="LU16" i="21"/>
  <c r="MA17" i="21"/>
  <c r="LZ17" i="21"/>
  <c r="LX17" i="21"/>
  <c r="LW17" i="21"/>
  <c r="LV17" i="21"/>
  <c r="LU17" i="21"/>
  <c r="MA15" i="21"/>
  <c r="LZ15" i="21"/>
  <c r="LX15" i="21"/>
  <c r="LW15" i="21"/>
  <c r="LV15" i="21"/>
  <c r="LU15" i="21"/>
  <c r="MA26" i="21"/>
  <c r="LZ26" i="21"/>
  <c r="LX26" i="21"/>
  <c r="LW26" i="21"/>
  <c r="LV26" i="21"/>
  <c r="LU26" i="21"/>
  <c r="MA13" i="21"/>
  <c r="LZ13" i="21"/>
  <c r="LX13" i="21"/>
  <c r="LW13" i="21"/>
  <c r="LV13" i="21"/>
  <c r="LU13" i="21"/>
  <c r="MA12" i="21"/>
  <c r="LZ12" i="21"/>
  <c r="LX12" i="21"/>
  <c r="LW12" i="21"/>
  <c r="LV12" i="21"/>
  <c r="LU12" i="21"/>
  <c r="MA14" i="21"/>
  <c r="LZ14" i="21"/>
  <c r="LX14" i="21"/>
  <c r="LW14" i="21"/>
  <c r="LV14" i="21"/>
  <c r="LU14" i="21"/>
  <c r="MA11" i="21"/>
  <c r="LZ11" i="21"/>
  <c r="LX11" i="21"/>
  <c r="LW11" i="21"/>
  <c r="LV11" i="21"/>
  <c r="LU11" i="21"/>
  <c r="MA10" i="21"/>
  <c r="LZ10" i="21"/>
  <c r="LX10" i="21"/>
  <c r="LW10" i="21"/>
  <c r="LV10" i="21"/>
  <c r="LU10" i="21"/>
  <c r="MA9" i="21"/>
  <c r="LZ9" i="21"/>
  <c r="LX9" i="21"/>
  <c r="LW9" i="21"/>
  <c r="LV9" i="21"/>
  <c r="LU9" i="21"/>
  <c r="MA8" i="21"/>
  <c r="LZ8" i="21"/>
  <c r="LX8" i="21"/>
  <c r="LW8" i="21"/>
  <c r="LV8" i="21"/>
  <c r="LU8" i="21"/>
  <c r="MA4" i="21"/>
  <c r="LZ4" i="21"/>
  <c r="LX4" i="21"/>
  <c r="LW4" i="21"/>
  <c r="LV4" i="21"/>
  <c r="LU4" i="21"/>
  <c r="MA6" i="21"/>
  <c r="LZ6" i="21"/>
  <c r="LX6" i="21"/>
  <c r="LW6" i="21"/>
  <c r="LV6" i="21"/>
  <c r="LU6" i="21"/>
  <c r="MA7" i="21"/>
  <c r="LZ7" i="21"/>
  <c r="LX7" i="21"/>
  <c r="LW7" i="21"/>
  <c r="LV7" i="21"/>
  <c r="LU7" i="21"/>
  <c r="MA5" i="21"/>
  <c r="LZ5" i="21"/>
  <c r="LX5" i="21"/>
  <c r="LW5" i="21"/>
  <c r="LV5" i="21"/>
  <c r="LU5" i="21"/>
  <c r="KY33" i="21"/>
  <c r="KX33" i="21"/>
  <c r="KV33" i="21"/>
  <c r="KU33" i="21"/>
  <c r="KT33" i="21"/>
  <c r="KS33" i="21"/>
  <c r="KY32" i="21"/>
  <c r="KX32" i="21"/>
  <c r="KV32" i="21"/>
  <c r="KU32" i="21"/>
  <c r="KT32" i="21"/>
  <c r="KS32" i="21"/>
  <c r="KY31" i="21"/>
  <c r="KX31" i="21"/>
  <c r="KV31" i="21"/>
  <c r="KU31" i="21"/>
  <c r="KT31" i="21"/>
  <c r="KS31" i="21"/>
  <c r="KY30" i="21"/>
  <c r="KX30" i="21"/>
  <c r="KV30" i="21"/>
  <c r="KU30" i="21"/>
  <c r="KT30" i="21"/>
  <c r="KS30" i="21"/>
  <c r="KY29" i="21"/>
  <c r="KX29" i="21"/>
  <c r="KV29" i="21"/>
  <c r="KU29" i="21"/>
  <c r="KT29" i="21"/>
  <c r="KS29" i="21"/>
  <c r="KY27" i="21"/>
  <c r="KX27" i="21"/>
  <c r="KV27" i="21"/>
  <c r="KU27" i="21"/>
  <c r="KT27" i="21"/>
  <c r="KS27" i="21"/>
  <c r="KY28" i="21"/>
  <c r="KX28" i="21"/>
  <c r="KV28" i="21"/>
  <c r="KU28" i="21"/>
  <c r="KT28" i="21"/>
  <c r="KS28" i="21"/>
  <c r="KY25" i="21"/>
  <c r="KX25" i="21"/>
  <c r="KV25" i="21"/>
  <c r="KU25" i="21"/>
  <c r="KT25" i="21"/>
  <c r="KS25" i="21"/>
  <c r="KY23" i="21"/>
  <c r="KX23" i="21"/>
  <c r="KV23" i="21"/>
  <c r="KU23" i="21"/>
  <c r="KT23" i="21"/>
  <c r="KS23" i="21"/>
  <c r="KY22" i="21"/>
  <c r="KX22" i="21"/>
  <c r="KV22" i="21"/>
  <c r="KU22" i="21"/>
  <c r="KT22" i="21"/>
  <c r="KS22" i="21"/>
  <c r="KY21" i="21"/>
  <c r="KX21" i="21"/>
  <c r="KV21" i="21"/>
  <c r="KU21" i="21"/>
  <c r="KT21" i="21"/>
  <c r="KS21" i="21"/>
  <c r="KY20" i="21"/>
  <c r="KX20" i="21"/>
  <c r="KV20" i="21"/>
  <c r="KU20" i="21"/>
  <c r="KT20" i="21"/>
  <c r="KS20" i="21"/>
  <c r="KY19" i="21"/>
  <c r="KX19" i="21"/>
  <c r="KV19" i="21"/>
  <c r="KU19" i="21"/>
  <c r="KT19" i="21"/>
  <c r="KS19" i="21"/>
  <c r="KY18" i="21"/>
  <c r="KX18" i="21"/>
  <c r="KV18" i="21"/>
  <c r="KU18" i="21"/>
  <c r="KT18" i="21"/>
  <c r="KS18" i="21"/>
  <c r="KY16" i="21"/>
  <c r="KX16" i="21"/>
  <c r="KV16" i="21"/>
  <c r="KU16" i="21"/>
  <c r="KT16" i="21"/>
  <c r="KS16" i="21"/>
  <c r="KY17" i="21"/>
  <c r="KX17" i="21"/>
  <c r="KV17" i="21"/>
  <c r="KU17" i="21"/>
  <c r="KT17" i="21"/>
  <c r="KS17" i="21"/>
  <c r="KY15" i="21"/>
  <c r="KX15" i="21"/>
  <c r="KV15" i="21"/>
  <c r="KU15" i="21"/>
  <c r="KT15" i="21"/>
  <c r="KS15" i="21"/>
  <c r="KY26" i="21"/>
  <c r="KX26" i="21"/>
  <c r="KV26" i="21"/>
  <c r="KU26" i="21"/>
  <c r="KT26" i="21"/>
  <c r="KS26" i="21"/>
  <c r="KY13" i="21"/>
  <c r="KX13" i="21"/>
  <c r="KV13" i="21"/>
  <c r="KU13" i="21"/>
  <c r="KT13" i="21"/>
  <c r="KS13" i="21"/>
  <c r="KY12" i="21"/>
  <c r="KX12" i="21"/>
  <c r="KV12" i="21"/>
  <c r="KU12" i="21"/>
  <c r="KT12" i="21"/>
  <c r="KS12" i="21"/>
  <c r="KY14" i="21"/>
  <c r="KX14" i="21"/>
  <c r="KV14" i="21"/>
  <c r="KU14" i="21"/>
  <c r="KT14" i="21"/>
  <c r="KS14" i="21"/>
  <c r="KY11" i="21"/>
  <c r="KX11" i="21"/>
  <c r="KV11" i="21"/>
  <c r="KU11" i="21"/>
  <c r="KT11" i="21"/>
  <c r="KS11" i="21"/>
  <c r="KY10" i="21"/>
  <c r="KX10" i="21"/>
  <c r="KV10" i="21"/>
  <c r="KU10" i="21"/>
  <c r="KT10" i="21"/>
  <c r="KS10" i="21"/>
  <c r="KY9" i="21"/>
  <c r="KX9" i="21"/>
  <c r="KV9" i="21"/>
  <c r="KU9" i="21"/>
  <c r="KT9" i="21"/>
  <c r="KS9" i="21"/>
  <c r="KY8" i="21"/>
  <c r="KX8" i="21"/>
  <c r="KV8" i="21"/>
  <c r="KU8" i="21"/>
  <c r="KT8" i="21"/>
  <c r="KS8" i="21"/>
  <c r="KY4" i="21"/>
  <c r="KX4" i="21"/>
  <c r="KV4" i="21"/>
  <c r="KU4" i="21"/>
  <c r="KT4" i="21"/>
  <c r="KS4" i="21"/>
  <c r="KY6" i="21"/>
  <c r="KX6" i="21"/>
  <c r="KV6" i="21"/>
  <c r="KU6" i="21"/>
  <c r="KT6" i="21"/>
  <c r="KS6" i="21"/>
  <c r="KY7" i="21"/>
  <c r="KX7" i="21"/>
  <c r="KV7" i="21"/>
  <c r="KU7" i="21"/>
  <c r="KT7" i="21"/>
  <c r="KS7" i="21"/>
  <c r="KY5" i="21"/>
  <c r="KX5" i="21"/>
  <c r="KV5" i="21"/>
  <c r="KU5" i="21"/>
  <c r="KT5" i="21"/>
  <c r="KS5" i="21"/>
  <c r="JW33" i="21"/>
  <c r="JV33" i="21"/>
  <c r="JT33" i="21"/>
  <c r="JS33" i="21"/>
  <c r="JR33" i="21"/>
  <c r="JQ33" i="21"/>
  <c r="JW32" i="21"/>
  <c r="JV32" i="21"/>
  <c r="JT32" i="21"/>
  <c r="JS32" i="21"/>
  <c r="JR32" i="21"/>
  <c r="JQ32" i="21"/>
  <c r="JW31" i="21"/>
  <c r="JV31" i="21"/>
  <c r="JT31" i="21"/>
  <c r="JS31" i="21"/>
  <c r="JR31" i="21"/>
  <c r="JQ31" i="21"/>
  <c r="JW30" i="21"/>
  <c r="JV30" i="21"/>
  <c r="JT30" i="21"/>
  <c r="JS30" i="21"/>
  <c r="JR30" i="21"/>
  <c r="JQ30" i="21"/>
  <c r="JW29" i="21"/>
  <c r="JV29" i="21"/>
  <c r="JT29" i="21"/>
  <c r="JS29" i="21"/>
  <c r="JR29" i="21"/>
  <c r="JQ29" i="21"/>
  <c r="JW27" i="21"/>
  <c r="JV27" i="21"/>
  <c r="JT27" i="21"/>
  <c r="JS27" i="21"/>
  <c r="JR27" i="21"/>
  <c r="JQ27" i="21"/>
  <c r="JW28" i="21"/>
  <c r="JV28" i="21"/>
  <c r="JT28" i="21"/>
  <c r="JS28" i="21"/>
  <c r="JR28" i="21"/>
  <c r="JQ28" i="21"/>
  <c r="JW25" i="21"/>
  <c r="JV25" i="21"/>
  <c r="JT25" i="21"/>
  <c r="JS25" i="21"/>
  <c r="JR25" i="21"/>
  <c r="JQ25" i="21"/>
  <c r="JW23" i="21"/>
  <c r="JV23" i="21"/>
  <c r="JT23" i="21"/>
  <c r="JS23" i="21"/>
  <c r="JR23" i="21"/>
  <c r="JQ23" i="21"/>
  <c r="JW22" i="21"/>
  <c r="JV22" i="21"/>
  <c r="JT22" i="21"/>
  <c r="JS22" i="21"/>
  <c r="JR22" i="21"/>
  <c r="JQ22" i="21"/>
  <c r="JW21" i="21"/>
  <c r="JV21" i="21"/>
  <c r="JT21" i="21"/>
  <c r="JS21" i="21"/>
  <c r="JR21" i="21"/>
  <c r="JQ21" i="21"/>
  <c r="JW20" i="21"/>
  <c r="JV20" i="21"/>
  <c r="JT20" i="21"/>
  <c r="JS20" i="21"/>
  <c r="JR20" i="21"/>
  <c r="JQ20" i="21"/>
  <c r="JW19" i="21"/>
  <c r="JV19" i="21"/>
  <c r="JT19" i="21"/>
  <c r="JS19" i="21"/>
  <c r="JR19" i="21"/>
  <c r="JQ19" i="21"/>
  <c r="JW18" i="21"/>
  <c r="JV18" i="21"/>
  <c r="JT18" i="21"/>
  <c r="JS18" i="21"/>
  <c r="JR18" i="21"/>
  <c r="JQ18" i="21"/>
  <c r="JW16" i="21"/>
  <c r="JV16" i="21"/>
  <c r="JT16" i="21"/>
  <c r="JS16" i="21"/>
  <c r="JR16" i="21"/>
  <c r="JQ16" i="21"/>
  <c r="JW17" i="21"/>
  <c r="JV17" i="21"/>
  <c r="JT17" i="21"/>
  <c r="JS17" i="21"/>
  <c r="JR17" i="21"/>
  <c r="JQ17" i="21"/>
  <c r="JW15" i="21"/>
  <c r="JV15" i="21"/>
  <c r="JT15" i="21"/>
  <c r="JS15" i="21"/>
  <c r="JR15" i="21"/>
  <c r="JQ15" i="21"/>
  <c r="JW26" i="21"/>
  <c r="JV26" i="21"/>
  <c r="JT26" i="21"/>
  <c r="JS26" i="21"/>
  <c r="JR26" i="21"/>
  <c r="JQ26" i="21"/>
  <c r="JW13" i="21"/>
  <c r="JV13" i="21"/>
  <c r="JT13" i="21"/>
  <c r="JS13" i="21"/>
  <c r="JR13" i="21"/>
  <c r="JQ13" i="21"/>
  <c r="JW12" i="21"/>
  <c r="JV12" i="21"/>
  <c r="JT12" i="21"/>
  <c r="JS12" i="21"/>
  <c r="JR12" i="21"/>
  <c r="JQ12" i="21"/>
  <c r="JW14" i="21"/>
  <c r="JV14" i="21"/>
  <c r="JT14" i="21"/>
  <c r="JS14" i="21"/>
  <c r="JR14" i="21"/>
  <c r="JQ14" i="21"/>
  <c r="JW11" i="21"/>
  <c r="JV11" i="21"/>
  <c r="JT11" i="21"/>
  <c r="JS11" i="21"/>
  <c r="JR11" i="21"/>
  <c r="JQ11" i="21"/>
  <c r="JW10" i="21"/>
  <c r="JV10" i="21"/>
  <c r="JT10" i="21"/>
  <c r="JS10" i="21"/>
  <c r="JR10" i="21"/>
  <c r="JQ10" i="21"/>
  <c r="JW9" i="21"/>
  <c r="JV9" i="21"/>
  <c r="JT9" i="21"/>
  <c r="JS9" i="21"/>
  <c r="JR9" i="21"/>
  <c r="JQ9" i="21"/>
  <c r="JW8" i="21"/>
  <c r="JV8" i="21"/>
  <c r="JT8" i="21"/>
  <c r="JS8" i="21"/>
  <c r="JR8" i="21"/>
  <c r="JQ8" i="21"/>
  <c r="JW4" i="21"/>
  <c r="JV4" i="21"/>
  <c r="JT4" i="21"/>
  <c r="JS4" i="21"/>
  <c r="JR4" i="21"/>
  <c r="JQ4" i="21"/>
  <c r="JW6" i="21"/>
  <c r="JV6" i="21"/>
  <c r="JT6" i="21"/>
  <c r="JS6" i="21"/>
  <c r="JR6" i="21"/>
  <c r="JQ6" i="21"/>
  <c r="JW7" i="21"/>
  <c r="JV7" i="21"/>
  <c r="JT7" i="21"/>
  <c r="JS7" i="21"/>
  <c r="JR7" i="21"/>
  <c r="JQ7" i="21"/>
  <c r="JW5" i="21"/>
  <c r="JV5" i="21"/>
  <c r="JT5" i="21"/>
  <c r="JS5" i="21"/>
  <c r="JR5" i="21"/>
  <c r="JQ5" i="21"/>
  <c r="IU33" i="21"/>
  <c r="IT33" i="21"/>
  <c r="IR33" i="21"/>
  <c r="IQ33" i="21"/>
  <c r="IP33" i="21"/>
  <c r="IO33" i="21"/>
  <c r="IU32" i="21"/>
  <c r="IT32" i="21"/>
  <c r="IR32" i="21"/>
  <c r="IQ32" i="21"/>
  <c r="IP32" i="21"/>
  <c r="IO32" i="21"/>
  <c r="IU31" i="21"/>
  <c r="IT31" i="21"/>
  <c r="IR31" i="21"/>
  <c r="IQ31" i="21"/>
  <c r="IP31" i="21"/>
  <c r="IO31" i="21"/>
  <c r="IU30" i="21"/>
  <c r="IT30" i="21"/>
  <c r="IR30" i="21"/>
  <c r="IQ30" i="21"/>
  <c r="IP30" i="21"/>
  <c r="IO30" i="21"/>
  <c r="IU29" i="21"/>
  <c r="IT29" i="21"/>
  <c r="IR29" i="21"/>
  <c r="IQ29" i="21"/>
  <c r="IP29" i="21"/>
  <c r="IO29" i="21"/>
  <c r="IU27" i="21"/>
  <c r="IT27" i="21"/>
  <c r="IR27" i="21"/>
  <c r="IQ27" i="21"/>
  <c r="IP27" i="21"/>
  <c r="IO27" i="21"/>
  <c r="IU28" i="21"/>
  <c r="IT28" i="21"/>
  <c r="IR28" i="21"/>
  <c r="IQ28" i="21"/>
  <c r="IP28" i="21"/>
  <c r="IO28" i="21"/>
  <c r="IU25" i="21"/>
  <c r="IT25" i="21"/>
  <c r="IR25" i="21"/>
  <c r="IQ25" i="21"/>
  <c r="IP25" i="21"/>
  <c r="IO25" i="21"/>
  <c r="IU23" i="21"/>
  <c r="IT23" i="21"/>
  <c r="IR23" i="21"/>
  <c r="IQ23" i="21"/>
  <c r="IP23" i="21"/>
  <c r="IO23" i="21"/>
  <c r="IU22" i="21"/>
  <c r="IT22" i="21"/>
  <c r="IR22" i="21"/>
  <c r="IQ22" i="21"/>
  <c r="IP22" i="21"/>
  <c r="IO22" i="21"/>
  <c r="IU21" i="21"/>
  <c r="IT21" i="21"/>
  <c r="IR21" i="21"/>
  <c r="IQ21" i="21"/>
  <c r="IP21" i="21"/>
  <c r="IO21" i="21"/>
  <c r="IU20" i="21"/>
  <c r="IT20" i="21"/>
  <c r="IR20" i="21"/>
  <c r="IQ20" i="21"/>
  <c r="IP20" i="21"/>
  <c r="IO20" i="21"/>
  <c r="IU19" i="21"/>
  <c r="IT19" i="21"/>
  <c r="IR19" i="21"/>
  <c r="IQ19" i="21"/>
  <c r="IP19" i="21"/>
  <c r="IO19" i="21"/>
  <c r="IU18" i="21"/>
  <c r="IT18" i="21"/>
  <c r="IR18" i="21"/>
  <c r="IQ18" i="21"/>
  <c r="IP18" i="21"/>
  <c r="IO18" i="21"/>
  <c r="IU16" i="21"/>
  <c r="IT16" i="21"/>
  <c r="IR16" i="21"/>
  <c r="IQ16" i="21"/>
  <c r="IP16" i="21"/>
  <c r="IO16" i="21"/>
  <c r="IU17" i="21"/>
  <c r="IT17" i="21"/>
  <c r="IR17" i="21"/>
  <c r="IQ17" i="21"/>
  <c r="IP17" i="21"/>
  <c r="IO17" i="21"/>
  <c r="IU15" i="21"/>
  <c r="IT15" i="21"/>
  <c r="IR15" i="21"/>
  <c r="IQ15" i="21"/>
  <c r="IP15" i="21"/>
  <c r="IO15" i="21"/>
  <c r="IU26" i="21"/>
  <c r="IT26" i="21"/>
  <c r="IR26" i="21"/>
  <c r="IQ26" i="21"/>
  <c r="IP26" i="21"/>
  <c r="IO26" i="21"/>
  <c r="IU13" i="21"/>
  <c r="IT13" i="21"/>
  <c r="IR13" i="21"/>
  <c r="IQ13" i="21"/>
  <c r="IP13" i="21"/>
  <c r="IO13" i="21"/>
  <c r="IU12" i="21"/>
  <c r="IT12" i="21"/>
  <c r="IR12" i="21"/>
  <c r="IQ12" i="21"/>
  <c r="IP12" i="21"/>
  <c r="IO12" i="21"/>
  <c r="IU14" i="21"/>
  <c r="IT14" i="21"/>
  <c r="IR14" i="21"/>
  <c r="IQ14" i="21"/>
  <c r="IP14" i="21"/>
  <c r="IO14" i="21"/>
  <c r="IU11" i="21"/>
  <c r="IT11" i="21"/>
  <c r="IR11" i="21"/>
  <c r="IQ11" i="21"/>
  <c r="IP11" i="21"/>
  <c r="IO11" i="21"/>
  <c r="IU10" i="21"/>
  <c r="IT10" i="21"/>
  <c r="IR10" i="21"/>
  <c r="IQ10" i="21"/>
  <c r="IP10" i="21"/>
  <c r="IO10" i="21"/>
  <c r="IU9" i="21"/>
  <c r="IT9" i="21"/>
  <c r="IR9" i="21"/>
  <c r="IQ9" i="21"/>
  <c r="IP9" i="21"/>
  <c r="IO9" i="21"/>
  <c r="IU8" i="21"/>
  <c r="IT8" i="21"/>
  <c r="IR8" i="21"/>
  <c r="IQ8" i="21"/>
  <c r="IP8" i="21"/>
  <c r="IO8" i="21"/>
  <c r="IU4" i="21"/>
  <c r="IT4" i="21"/>
  <c r="IR4" i="21"/>
  <c r="IQ4" i="21"/>
  <c r="IP4" i="21"/>
  <c r="IO4" i="21"/>
  <c r="IU6" i="21"/>
  <c r="IT6" i="21"/>
  <c r="IR6" i="21"/>
  <c r="IQ6" i="21"/>
  <c r="IP6" i="21"/>
  <c r="IO6" i="21"/>
  <c r="IU7" i="21"/>
  <c r="IT7" i="21"/>
  <c r="IR7" i="21"/>
  <c r="IQ7" i="21"/>
  <c r="IP7" i="21"/>
  <c r="IO7" i="21"/>
  <c r="IU5" i="21"/>
  <c r="IT5" i="21"/>
  <c r="IR5" i="21"/>
  <c r="IQ5" i="21"/>
  <c r="IP5" i="21"/>
  <c r="IO5" i="21"/>
  <c r="HS33" i="21"/>
  <c r="HR33" i="21"/>
  <c r="HP33" i="21"/>
  <c r="HO33" i="21"/>
  <c r="HN33" i="21"/>
  <c r="HM33" i="21"/>
  <c r="HS32" i="21"/>
  <c r="HR32" i="21"/>
  <c r="HP32" i="21"/>
  <c r="HO32" i="21"/>
  <c r="HN32" i="21"/>
  <c r="HM32" i="21"/>
  <c r="HS31" i="21"/>
  <c r="HR31" i="21"/>
  <c r="HP31" i="21"/>
  <c r="HO31" i="21"/>
  <c r="HN31" i="21"/>
  <c r="HM31" i="21"/>
  <c r="HS30" i="21"/>
  <c r="HR30" i="21"/>
  <c r="HP30" i="21"/>
  <c r="HO30" i="21"/>
  <c r="HN30" i="21"/>
  <c r="HM30" i="21"/>
  <c r="HS29" i="21"/>
  <c r="HR29" i="21"/>
  <c r="HP29" i="21"/>
  <c r="HO29" i="21"/>
  <c r="HN29" i="21"/>
  <c r="HM29" i="21"/>
  <c r="HS27" i="21"/>
  <c r="HR27" i="21"/>
  <c r="HP27" i="21"/>
  <c r="HO27" i="21"/>
  <c r="HN27" i="21"/>
  <c r="HM27" i="21"/>
  <c r="HS28" i="21"/>
  <c r="HR28" i="21"/>
  <c r="HP28" i="21"/>
  <c r="HO28" i="21"/>
  <c r="HN28" i="21"/>
  <c r="HM28" i="21"/>
  <c r="HS25" i="21"/>
  <c r="HR25" i="21"/>
  <c r="HP25" i="21"/>
  <c r="HO25" i="21"/>
  <c r="HN25" i="21"/>
  <c r="HM25" i="21"/>
  <c r="HS23" i="21"/>
  <c r="HR23" i="21"/>
  <c r="HP23" i="21"/>
  <c r="HO23" i="21"/>
  <c r="HN23" i="21"/>
  <c r="HM23" i="21"/>
  <c r="HS22" i="21"/>
  <c r="HR22" i="21"/>
  <c r="HP22" i="21"/>
  <c r="HO22" i="21"/>
  <c r="HN22" i="21"/>
  <c r="HM22" i="21"/>
  <c r="HS21" i="21"/>
  <c r="HR21" i="21"/>
  <c r="HP21" i="21"/>
  <c r="HO21" i="21"/>
  <c r="HN21" i="21"/>
  <c r="HM21" i="21"/>
  <c r="HS20" i="21"/>
  <c r="HR20" i="21"/>
  <c r="HP20" i="21"/>
  <c r="HO20" i="21"/>
  <c r="HN20" i="21"/>
  <c r="HM20" i="21"/>
  <c r="HS19" i="21"/>
  <c r="HR19" i="21"/>
  <c r="HP19" i="21"/>
  <c r="HO19" i="21"/>
  <c r="HN19" i="21"/>
  <c r="HM19" i="21"/>
  <c r="HS18" i="21"/>
  <c r="HR18" i="21"/>
  <c r="HP18" i="21"/>
  <c r="HO18" i="21"/>
  <c r="HN18" i="21"/>
  <c r="HM18" i="21"/>
  <c r="HS16" i="21"/>
  <c r="HR16" i="21"/>
  <c r="HP16" i="21"/>
  <c r="HO16" i="21"/>
  <c r="HN16" i="21"/>
  <c r="HM16" i="21"/>
  <c r="HS17" i="21"/>
  <c r="HR17" i="21"/>
  <c r="HP17" i="21"/>
  <c r="HO17" i="21"/>
  <c r="HN17" i="21"/>
  <c r="HM17" i="21"/>
  <c r="HS15" i="21"/>
  <c r="HR15" i="21"/>
  <c r="HP15" i="21"/>
  <c r="HO15" i="21"/>
  <c r="HN15" i="21"/>
  <c r="HM15" i="21"/>
  <c r="HS26" i="21"/>
  <c r="HR26" i="21"/>
  <c r="HP26" i="21"/>
  <c r="HO26" i="21"/>
  <c r="HN26" i="21"/>
  <c r="HM26" i="21"/>
  <c r="HS13" i="21"/>
  <c r="HR13" i="21"/>
  <c r="HP13" i="21"/>
  <c r="HO13" i="21"/>
  <c r="HN13" i="21"/>
  <c r="HM13" i="21"/>
  <c r="HS12" i="21"/>
  <c r="HR12" i="21"/>
  <c r="HP12" i="21"/>
  <c r="HO12" i="21"/>
  <c r="HN12" i="21"/>
  <c r="HM12" i="21"/>
  <c r="HS14" i="21"/>
  <c r="HR14" i="21"/>
  <c r="HP14" i="21"/>
  <c r="HO14" i="21"/>
  <c r="HN14" i="21"/>
  <c r="HM14" i="21"/>
  <c r="HS11" i="21"/>
  <c r="HR11" i="21"/>
  <c r="HP11" i="21"/>
  <c r="HO11" i="21"/>
  <c r="HN11" i="21"/>
  <c r="HM11" i="21"/>
  <c r="HS10" i="21"/>
  <c r="HR10" i="21"/>
  <c r="HP10" i="21"/>
  <c r="HO10" i="21"/>
  <c r="HN10" i="21"/>
  <c r="HM10" i="21"/>
  <c r="HS9" i="21"/>
  <c r="HR9" i="21"/>
  <c r="HP9" i="21"/>
  <c r="HO9" i="21"/>
  <c r="HN9" i="21"/>
  <c r="HM9" i="21"/>
  <c r="HS8" i="21"/>
  <c r="HR8" i="21"/>
  <c r="HP8" i="21"/>
  <c r="HO8" i="21"/>
  <c r="HN8" i="21"/>
  <c r="HM8" i="21"/>
  <c r="HS4" i="21"/>
  <c r="HR4" i="21"/>
  <c r="HP4" i="21"/>
  <c r="HO4" i="21"/>
  <c r="HN4" i="21"/>
  <c r="HM4" i="21"/>
  <c r="HS6" i="21"/>
  <c r="HR6" i="21"/>
  <c r="HP6" i="21"/>
  <c r="HO6" i="21"/>
  <c r="HN6" i="21"/>
  <c r="HM6" i="21"/>
  <c r="HS7" i="21"/>
  <c r="HR7" i="21"/>
  <c r="HP7" i="21"/>
  <c r="HO7" i="21"/>
  <c r="HN7" i="21"/>
  <c r="HM7" i="21"/>
  <c r="HS5" i="21"/>
  <c r="HR5" i="21"/>
  <c r="HP5" i="21"/>
  <c r="HO5" i="21"/>
  <c r="HN5" i="21"/>
  <c r="HM5" i="21"/>
  <c r="GQ33" i="21"/>
  <c r="GP33" i="21"/>
  <c r="GN33" i="21"/>
  <c r="GM33" i="21"/>
  <c r="GL33" i="21"/>
  <c r="GK33" i="21"/>
  <c r="GQ32" i="21"/>
  <c r="GP32" i="21"/>
  <c r="GN32" i="21"/>
  <c r="GM32" i="21"/>
  <c r="GL32" i="21"/>
  <c r="GK32" i="21"/>
  <c r="GQ31" i="21"/>
  <c r="GP31" i="21"/>
  <c r="GN31" i="21"/>
  <c r="GM31" i="21"/>
  <c r="GL31" i="21"/>
  <c r="GK31" i="21"/>
  <c r="GQ30" i="21"/>
  <c r="GP30" i="21"/>
  <c r="GN30" i="21"/>
  <c r="GM30" i="21"/>
  <c r="GL30" i="21"/>
  <c r="GK30" i="21"/>
  <c r="GQ29" i="21"/>
  <c r="GP29" i="21"/>
  <c r="GN29" i="21"/>
  <c r="GM29" i="21"/>
  <c r="GL29" i="21"/>
  <c r="GK29" i="21"/>
  <c r="GQ27" i="21"/>
  <c r="GP27" i="21"/>
  <c r="GN27" i="21"/>
  <c r="GM27" i="21"/>
  <c r="GL27" i="21"/>
  <c r="GK27" i="21"/>
  <c r="GQ28" i="21"/>
  <c r="GP28" i="21"/>
  <c r="GN28" i="21"/>
  <c r="GM28" i="21"/>
  <c r="GL28" i="21"/>
  <c r="GK28" i="21"/>
  <c r="GQ25" i="21"/>
  <c r="GP25" i="21"/>
  <c r="GN25" i="21"/>
  <c r="GM25" i="21"/>
  <c r="GL25" i="21"/>
  <c r="GK25" i="21"/>
  <c r="GQ23" i="21"/>
  <c r="GP23" i="21"/>
  <c r="GN23" i="21"/>
  <c r="GM23" i="21"/>
  <c r="GL23" i="21"/>
  <c r="GK23" i="21"/>
  <c r="GQ22" i="21"/>
  <c r="GP22" i="21"/>
  <c r="GN22" i="21"/>
  <c r="GM22" i="21"/>
  <c r="GL22" i="21"/>
  <c r="GK22" i="21"/>
  <c r="GQ21" i="21"/>
  <c r="GP21" i="21"/>
  <c r="GN21" i="21"/>
  <c r="GM21" i="21"/>
  <c r="GL21" i="21"/>
  <c r="GK21" i="21"/>
  <c r="GQ20" i="21"/>
  <c r="GP20" i="21"/>
  <c r="GN20" i="21"/>
  <c r="GM20" i="21"/>
  <c r="GL20" i="21"/>
  <c r="GK20" i="21"/>
  <c r="GQ19" i="21"/>
  <c r="GP19" i="21"/>
  <c r="GN19" i="21"/>
  <c r="GM19" i="21"/>
  <c r="GL19" i="21"/>
  <c r="GK19" i="21"/>
  <c r="GQ18" i="21"/>
  <c r="GP18" i="21"/>
  <c r="GN18" i="21"/>
  <c r="GM18" i="21"/>
  <c r="GL18" i="21"/>
  <c r="GK18" i="21"/>
  <c r="GQ16" i="21"/>
  <c r="GP16" i="21"/>
  <c r="GN16" i="21"/>
  <c r="GM16" i="21"/>
  <c r="GL16" i="21"/>
  <c r="GK16" i="21"/>
  <c r="GQ17" i="21"/>
  <c r="GP17" i="21"/>
  <c r="GN17" i="21"/>
  <c r="GM17" i="21"/>
  <c r="GL17" i="21"/>
  <c r="GK17" i="21"/>
  <c r="GQ15" i="21"/>
  <c r="GP15" i="21"/>
  <c r="GN15" i="21"/>
  <c r="GM15" i="21"/>
  <c r="GL15" i="21"/>
  <c r="GK15" i="21"/>
  <c r="GQ26" i="21"/>
  <c r="GP26" i="21"/>
  <c r="GN26" i="21"/>
  <c r="GM26" i="21"/>
  <c r="GL26" i="21"/>
  <c r="GK26" i="21"/>
  <c r="GQ13" i="21"/>
  <c r="GP13" i="21"/>
  <c r="GN13" i="21"/>
  <c r="GM13" i="21"/>
  <c r="GL13" i="21"/>
  <c r="GK13" i="21"/>
  <c r="GQ12" i="21"/>
  <c r="GP12" i="21"/>
  <c r="GN12" i="21"/>
  <c r="GM12" i="21"/>
  <c r="GL12" i="21"/>
  <c r="GK12" i="21"/>
  <c r="GQ14" i="21"/>
  <c r="GP14" i="21"/>
  <c r="GN14" i="21"/>
  <c r="GM14" i="21"/>
  <c r="GL14" i="21"/>
  <c r="GK14" i="21"/>
  <c r="GQ11" i="21"/>
  <c r="GP11" i="21"/>
  <c r="GN11" i="21"/>
  <c r="GM11" i="21"/>
  <c r="GL11" i="21"/>
  <c r="GK11" i="21"/>
  <c r="GQ10" i="21"/>
  <c r="GP10" i="21"/>
  <c r="GN10" i="21"/>
  <c r="GM10" i="21"/>
  <c r="GL10" i="21"/>
  <c r="GK10" i="21"/>
  <c r="GQ9" i="21"/>
  <c r="GP9" i="21"/>
  <c r="GN9" i="21"/>
  <c r="GM9" i="21"/>
  <c r="GL9" i="21"/>
  <c r="GK9" i="21"/>
  <c r="GQ8" i="21"/>
  <c r="GP8" i="21"/>
  <c r="GN8" i="21"/>
  <c r="GM8" i="21"/>
  <c r="GL8" i="21"/>
  <c r="GK8" i="21"/>
  <c r="GQ4" i="21"/>
  <c r="GP4" i="21"/>
  <c r="GN4" i="21"/>
  <c r="GM4" i="21"/>
  <c r="GL4" i="21"/>
  <c r="GK4" i="21"/>
  <c r="GQ6" i="21"/>
  <c r="GP6" i="21"/>
  <c r="GN6" i="21"/>
  <c r="GM6" i="21"/>
  <c r="GL6" i="21"/>
  <c r="GK6" i="21"/>
  <c r="GQ7" i="21"/>
  <c r="GP7" i="21"/>
  <c r="GN7" i="21"/>
  <c r="GM7" i="21"/>
  <c r="GL7" i="21"/>
  <c r="GK7" i="21"/>
  <c r="GQ5" i="21"/>
  <c r="GP5" i="21"/>
  <c r="GN5" i="21"/>
  <c r="GM5" i="21"/>
  <c r="GL5" i="21"/>
  <c r="GK5" i="21"/>
  <c r="FO33" i="21"/>
  <c r="FN33" i="21"/>
  <c r="FL33" i="21"/>
  <c r="FK33" i="21"/>
  <c r="FJ33" i="21"/>
  <c r="FI33" i="21"/>
  <c r="FO32" i="21"/>
  <c r="FN32" i="21"/>
  <c r="FL32" i="21"/>
  <c r="FK32" i="21"/>
  <c r="FJ32" i="21"/>
  <c r="FI32" i="21"/>
  <c r="FO31" i="21"/>
  <c r="FN31" i="21"/>
  <c r="FL31" i="21"/>
  <c r="FK31" i="21"/>
  <c r="FJ31" i="21"/>
  <c r="FI31" i="21"/>
  <c r="FO30" i="21"/>
  <c r="FN30" i="21"/>
  <c r="FL30" i="21"/>
  <c r="FK30" i="21"/>
  <c r="FJ30" i="21"/>
  <c r="FI30" i="21"/>
  <c r="FO29" i="21"/>
  <c r="FN29" i="21"/>
  <c r="FL29" i="21"/>
  <c r="FK29" i="21"/>
  <c r="FJ29" i="21"/>
  <c r="FI29" i="21"/>
  <c r="FO27" i="21"/>
  <c r="FN27" i="21"/>
  <c r="FL27" i="21"/>
  <c r="FK27" i="21"/>
  <c r="FJ27" i="21"/>
  <c r="FI27" i="21"/>
  <c r="FO28" i="21"/>
  <c r="FN28" i="21"/>
  <c r="FL28" i="21"/>
  <c r="FK28" i="21"/>
  <c r="FJ28" i="21"/>
  <c r="FI28" i="21"/>
  <c r="FO25" i="21"/>
  <c r="FN25" i="21"/>
  <c r="FL25" i="21"/>
  <c r="FK25" i="21"/>
  <c r="FJ25" i="21"/>
  <c r="FI25" i="21"/>
  <c r="FO23" i="21"/>
  <c r="FN23" i="21"/>
  <c r="FL23" i="21"/>
  <c r="FK23" i="21"/>
  <c r="FJ23" i="21"/>
  <c r="FI23" i="21"/>
  <c r="FO22" i="21"/>
  <c r="FN22" i="21"/>
  <c r="FL22" i="21"/>
  <c r="FK22" i="21"/>
  <c r="FJ22" i="21"/>
  <c r="FI22" i="21"/>
  <c r="FO21" i="21"/>
  <c r="FN21" i="21"/>
  <c r="FL21" i="21"/>
  <c r="FK21" i="21"/>
  <c r="FJ21" i="21"/>
  <c r="FI21" i="21"/>
  <c r="FO20" i="21"/>
  <c r="FN20" i="21"/>
  <c r="FL20" i="21"/>
  <c r="FK20" i="21"/>
  <c r="FJ20" i="21"/>
  <c r="FI20" i="21"/>
  <c r="FO19" i="21"/>
  <c r="FN19" i="21"/>
  <c r="FL19" i="21"/>
  <c r="FK19" i="21"/>
  <c r="FJ19" i="21"/>
  <c r="FI19" i="21"/>
  <c r="FO18" i="21"/>
  <c r="FN18" i="21"/>
  <c r="FL18" i="21"/>
  <c r="FK18" i="21"/>
  <c r="FJ18" i="21"/>
  <c r="FI18" i="21"/>
  <c r="FO16" i="21"/>
  <c r="FN16" i="21"/>
  <c r="FL16" i="21"/>
  <c r="FK16" i="21"/>
  <c r="FJ16" i="21"/>
  <c r="FI16" i="21"/>
  <c r="FO17" i="21"/>
  <c r="FN17" i="21"/>
  <c r="FL17" i="21"/>
  <c r="FK17" i="21"/>
  <c r="FJ17" i="21"/>
  <c r="FI17" i="21"/>
  <c r="FO15" i="21"/>
  <c r="FN15" i="21"/>
  <c r="FL15" i="21"/>
  <c r="FK15" i="21"/>
  <c r="FJ15" i="21"/>
  <c r="FI15" i="21"/>
  <c r="FO26" i="21"/>
  <c r="FN26" i="21"/>
  <c r="FL26" i="21"/>
  <c r="FK26" i="21"/>
  <c r="FJ26" i="21"/>
  <c r="FI26" i="21"/>
  <c r="FO13" i="21"/>
  <c r="FN13" i="21"/>
  <c r="FL13" i="21"/>
  <c r="FK13" i="21"/>
  <c r="FJ13" i="21"/>
  <c r="FI13" i="21"/>
  <c r="FO12" i="21"/>
  <c r="FN12" i="21"/>
  <c r="FL12" i="21"/>
  <c r="FK12" i="21"/>
  <c r="FJ12" i="21"/>
  <c r="FI12" i="21"/>
  <c r="FO14" i="21"/>
  <c r="FN14" i="21"/>
  <c r="FL14" i="21"/>
  <c r="FK14" i="21"/>
  <c r="FJ14" i="21"/>
  <c r="FI14" i="21"/>
  <c r="FO11" i="21"/>
  <c r="FN11" i="21"/>
  <c r="FL11" i="21"/>
  <c r="FK11" i="21"/>
  <c r="FJ11" i="21"/>
  <c r="FI11" i="21"/>
  <c r="FO10" i="21"/>
  <c r="FN10" i="21"/>
  <c r="FL10" i="21"/>
  <c r="FK10" i="21"/>
  <c r="FJ10" i="21"/>
  <c r="FI10" i="21"/>
  <c r="FO9" i="21"/>
  <c r="FN9" i="21"/>
  <c r="FL9" i="21"/>
  <c r="FK9" i="21"/>
  <c r="FJ9" i="21"/>
  <c r="FI9" i="21"/>
  <c r="FO8" i="21"/>
  <c r="FN8" i="21"/>
  <c r="FL8" i="21"/>
  <c r="FK8" i="21"/>
  <c r="FJ8" i="21"/>
  <c r="FI8" i="21"/>
  <c r="FO4" i="21"/>
  <c r="FN4" i="21"/>
  <c r="FL4" i="21"/>
  <c r="FK4" i="21"/>
  <c r="FJ4" i="21"/>
  <c r="FI4" i="21"/>
  <c r="FO6" i="21"/>
  <c r="FN6" i="21"/>
  <c r="FL6" i="21"/>
  <c r="FK6" i="21"/>
  <c r="FJ6" i="21"/>
  <c r="FI6" i="21"/>
  <c r="FO7" i="21"/>
  <c r="FN7" i="21"/>
  <c r="FL7" i="21"/>
  <c r="FK7" i="21"/>
  <c r="FJ7" i="21"/>
  <c r="FI7" i="21"/>
  <c r="FO5" i="21"/>
  <c r="FN5" i="21"/>
  <c r="FL5" i="21"/>
  <c r="FK5" i="21"/>
  <c r="FJ5" i="21"/>
  <c r="FI5" i="21"/>
  <c r="EM33" i="21"/>
  <c r="EL33" i="21"/>
  <c r="EJ33" i="21"/>
  <c r="EI33" i="21"/>
  <c r="EH33" i="21"/>
  <c r="EG33" i="21"/>
  <c r="EM32" i="21"/>
  <c r="EL32" i="21"/>
  <c r="EJ32" i="21"/>
  <c r="EI32" i="21"/>
  <c r="EH32" i="21"/>
  <c r="EG32" i="21"/>
  <c r="EM31" i="21"/>
  <c r="EL31" i="21"/>
  <c r="EJ31" i="21"/>
  <c r="EI31" i="21"/>
  <c r="EH31" i="21"/>
  <c r="EG31" i="21"/>
  <c r="EM30" i="21"/>
  <c r="EL30" i="21"/>
  <c r="EJ30" i="21"/>
  <c r="EI30" i="21"/>
  <c r="EH30" i="21"/>
  <c r="EG30" i="21"/>
  <c r="EM29" i="21"/>
  <c r="EL29" i="21"/>
  <c r="EJ29" i="21"/>
  <c r="EI29" i="21"/>
  <c r="EH29" i="21"/>
  <c r="EG29" i="21"/>
  <c r="EM27" i="21"/>
  <c r="EL27" i="21"/>
  <c r="EJ27" i="21"/>
  <c r="EI27" i="21"/>
  <c r="EH27" i="21"/>
  <c r="EG27" i="21"/>
  <c r="EM28" i="21"/>
  <c r="EL28" i="21"/>
  <c r="EJ28" i="21"/>
  <c r="EI28" i="21"/>
  <c r="EH28" i="21"/>
  <c r="EG28" i="21"/>
  <c r="EM25" i="21"/>
  <c r="EL25" i="21"/>
  <c r="EJ25" i="21"/>
  <c r="EI25" i="21"/>
  <c r="EH25" i="21"/>
  <c r="EG25" i="21"/>
  <c r="EM23" i="21"/>
  <c r="EL23" i="21"/>
  <c r="EJ23" i="21"/>
  <c r="EI23" i="21"/>
  <c r="EH23" i="21"/>
  <c r="EG23" i="21"/>
  <c r="EM22" i="21"/>
  <c r="EL22" i="21"/>
  <c r="EJ22" i="21"/>
  <c r="EI22" i="21"/>
  <c r="EH22" i="21"/>
  <c r="EG22" i="21"/>
  <c r="EM21" i="21"/>
  <c r="EL21" i="21"/>
  <c r="EJ21" i="21"/>
  <c r="EI21" i="21"/>
  <c r="EH21" i="21"/>
  <c r="EG21" i="21"/>
  <c r="EM20" i="21"/>
  <c r="EL20" i="21"/>
  <c r="EJ20" i="21"/>
  <c r="EI20" i="21"/>
  <c r="EH20" i="21"/>
  <c r="EG20" i="21"/>
  <c r="EM19" i="21"/>
  <c r="EL19" i="21"/>
  <c r="EJ19" i="21"/>
  <c r="EI19" i="21"/>
  <c r="EH19" i="21"/>
  <c r="EG19" i="21"/>
  <c r="EM18" i="21"/>
  <c r="EL18" i="21"/>
  <c r="EJ18" i="21"/>
  <c r="EI18" i="21"/>
  <c r="EH18" i="21"/>
  <c r="EG18" i="21"/>
  <c r="EM16" i="21"/>
  <c r="EL16" i="21"/>
  <c r="EJ16" i="21"/>
  <c r="EI16" i="21"/>
  <c r="EH16" i="21"/>
  <c r="EG16" i="21"/>
  <c r="EM17" i="21"/>
  <c r="EL17" i="21"/>
  <c r="EJ17" i="21"/>
  <c r="EI17" i="21"/>
  <c r="EH17" i="21"/>
  <c r="EG17" i="21"/>
  <c r="EM15" i="21"/>
  <c r="EL15" i="21"/>
  <c r="EJ15" i="21"/>
  <c r="EI15" i="21"/>
  <c r="EH15" i="21"/>
  <c r="EG15" i="21"/>
  <c r="EM26" i="21"/>
  <c r="EL26" i="21"/>
  <c r="EJ26" i="21"/>
  <c r="EI26" i="21"/>
  <c r="EH26" i="21"/>
  <c r="EG26" i="21"/>
  <c r="EM13" i="21"/>
  <c r="EL13" i="21"/>
  <c r="EJ13" i="21"/>
  <c r="EI13" i="21"/>
  <c r="EH13" i="21"/>
  <c r="EG13" i="21"/>
  <c r="EM12" i="21"/>
  <c r="EL12" i="21"/>
  <c r="EJ12" i="21"/>
  <c r="EI12" i="21"/>
  <c r="EH12" i="21"/>
  <c r="EG12" i="21"/>
  <c r="EM14" i="21"/>
  <c r="EL14" i="21"/>
  <c r="EJ14" i="21"/>
  <c r="EI14" i="21"/>
  <c r="EH14" i="21"/>
  <c r="EG14" i="21"/>
  <c r="EM11" i="21"/>
  <c r="EL11" i="21"/>
  <c r="EJ11" i="21"/>
  <c r="EI11" i="21"/>
  <c r="EH11" i="21"/>
  <c r="EG11" i="21"/>
  <c r="EM10" i="21"/>
  <c r="EL10" i="21"/>
  <c r="EJ10" i="21"/>
  <c r="EI10" i="21"/>
  <c r="EH10" i="21"/>
  <c r="EG10" i="21"/>
  <c r="EM9" i="21"/>
  <c r="EL9" i="21"/>
  <c r="EJ9" i="21"/>
  <c r="EI9" i="21"/>
  <c r="EH9" i="21"/>
  <c r="EG9" i="21"/>
  <c r="EM8" i="21"/>
  <c r="EL8" i="21"/>
  <c r="EJ8" i="21"/>
  <c r="EI8" i="21"/>
  <c r="EH8" i="21"/>
  <c r="EG8" i="21"/>
  <c r="EM4" i="21"/>
  <c r="EL4" i="21"/>
  <c r="EJ4" i="21"/>
  <c r="EI4" i="21"/>
  <c r="EH4" i="21"/>
  <c r="EG4" i="21"/>
  <c r="EM6" i="21"/>
  <c r="EL6" i="21"/>
  <c r="EJ6" i="21"/>
  <c r="EI6" i="21"/>
  <c r="EH6" i="21"/>
  <c r="EG6" i="21"/>
  <c r="EM7" i="21"/>
  <c r="EL7" i="21"/>
  <c r="EJ7" i="21"/>
  <c r="EI7" i="21"/>
  <c r="EH7" i="21"/>
  <c r="EG7" i="21"/>
  <c r="EM5" i="21"/>
  <c r="EL5" i="21"/>
  <c r="EJ5" i="21"/>
  <c r="EI5" i="21"/>
  <c r="EH5" i="21"/>
  <c r="EG5" i="21"/>
  <c r="DK33" i="21"/>
  <c r="DJ33" i="21"/>
  <c r="DH33" i="21"/>
  <c r="DG33" i="21"/>
  <c r="DF33" i="21"/>
  <c r="DE33" i="21"/>
  <c r="DK32" i="21"/>
  <c r="DJ32" i="21"/>
  <c r="DH32" i="21"/>
  <c r="DG32" i="21"/>
  <c r="DF32" i="21"/>
  <c r="DE32" i="21"/>
  <c r="DK31" i="21"/>
  <c r="DJ31" i="21"/>
  <c r="DH31" i="21"/>
  <c r="DG31" i="21"/>
  <c r="DF31" i="21"/>
  <c r="DE31" i="21"/>
  <c r="DK30" i="21"/>
  <c r="DJ30" i="21"/>
  <c r="DH30" i="21"/>
  <c r="DG30" i="21"/>
  <c r="DF30" i="21"/>
  <c r="DE30" i="21"/>
  <c r="DK29" i="21"/>
  <c r="DJ29" i="21"/>
  <c r="DH29" i="21"/>
  <c r="DG29" i="21"/>
  <c r="DF29" i="21"/>
  <c r="DE29" i="21"/>
  <c r="DK27" i="21"/>
  <c r="DJ27" i="21"/>
  <c r="DH27" i="21"/>
  <c r="DG27" i="21"/>
  <c r="DF27" i="21"/>
  <c r="DE27" i="21"/>
  <c r="DK28" i="21"/>
  <c r="DJ28" i="21"/>
  <c r="DH28" i="21"/>
  <c r="DG28" i="21"/>
  <c r="DF28" i="21"/>
  <c r="DE28" i="21"/>
  <c r="DK25" i="21"/>
  <c r="DJ25" i="21"/>
  <c r="DH25" i="21"/>
  <c r="DG25" i="21"/>
  <c r="DF25" i="21"/>
  <c r="DE25" i="21"/>
  <c r="DK23" i="21"/>
  <c r="DJ23" i="21"/>
  <c r="DH23" i="21"/>
  <c r="DG23" i="21"/>
  <c r="DF23" i="21"/>
  <c r="DE23" i="21"/>
  <c r="DK22" i="21"/>
  <c r="DJ22" i="21"/>
  <c r="DH22" i="21"/>
  <c r="DG22" i="21"/>
  <c r="DF22" i="21"/>
  <c r="DE22" i="21"/>
  <c r="DK21" i="21"/>
  <c r="DJ21" i="21"/>
  <c r="DH21" i="21"/>
  <c r="DG21" i="21"/>
  <c r="DF21" i="21"/>
  <c r="DE21" i="21"/>
  <c r="DK20" i="21"/>
  <c r="DJ20" i="21"/>
  <c r="DH20" i="21"/>
  <c r="DG20" i="21"/>
  <c r="DF20" i="21"/>
  <c r="DE20" i="21"/>
  <c r="DK19" i="21"/>
  <c r="DJ19" i="21"/>
  <c r="DH19" i="21"/>
  <c r="DG19" i="21"/>
  <c r="DF19" i="21"/>
  <c r="DE19" i="21"/>
  <c r="DK18" i="21"/>
  <c r="DJ18" i="21"/>
  <c r="DH18" i="21"/>
  <c r="DG18" i="21"/>
  <c r="DF18" i="21"/>
  <c r="DE18" i="21"/>
  <c r="DK16" i="21"/>
  <c r="DJ16" i="21"/>
  <c r="DH16" i="21"/>
  <c r="DG16" i="21"/>
  <c r="DF16" i="21"/>
  <c r="DE16" i="21"/>
  <c r="DK17" i="21"/>
  <c r="DJ17" i="21"/>
  <c r="DH17" i="21"/>
  <c r="DG17" i="21"/>
  <c r="DF17" i="21"/>
  <c r="DE17" i="21"/>
  <c r="DK15" i="21"/>
  <c r="DJ15" i="21"/>
  <c r="DH15" i="21"/>
  <c r="DG15" i="21"/>
  <c r="DF15" i="21"/>
  <c r="DE15" i="21"/>
  <c r="DK26" i="21"/>
  <c r="DJ26" i="21"/>
  <c r="DH26" i="21"/>
  <c r="DG26" i="21"/>
  <c r="DF26" i="21"/>
  <c r="DE26" i="21"/>
  <c r="DK13" i="21"/>
  <c r="DJ13" i="21"/>
  <c r="DH13" i="21"/>
  <c r="DG13" i="21"/>
  <c r="DF13" i="21"/>
  <c r="DE13" i="21"/>
  <c r="DK12" i="21"/>
  <c r="DJ12" i="21"/>
  <c r="DH12" i="21"/>
  <c r="DG12" i="21"/>
  <c r="DF12" i="21"/>
  <c r="DE12" i="21"/>
  <c r="DK14" i="21"/>
  <c r="DJ14" i="21"/>
  <c r="DH14" i="21"/>
  <c r="DG14" i="21"/>
  <c r="DF14" i="21"/>
  <c r="DE14" i="21"/>
  <c r="DK11" i="21"/>
  <c r="DJ11" i="21"/>
  <c r="DH11" i="21"/>
  <c r="DG11" i="21"/>
  <c r="DF11" i="21"/>
  <c r="DE11" i="21"/>
  <c r="DK10" i="21"/>
  <c r="DJ10" i="21"/>
  <c r="DH10" i="21"/>
  <c r="DG10" i="21"/>
  <c r="DF10" i="21"/>
  <c r="DE10" i="21"/>
  <c r="DK9" i="21"/>
  <c r="DJ9" i="21"/>
  <c r="DH9" i="21"/>
  <c r="DG9" i="21"/>
  <c r="DF9" i="21"/>
  <c r="DE9" i="21"/>
  <c r="DK8" i="21"/>
  <c r="DJ8" i="21"/>
  <c r="DH8" i="21"/>
  <c r="DG8" i="21"/>
  <c r="DF8" i="21"/>
  <c r="DE8" i="21"/>
  <c r="DK4" i="21"/>
  <c r="DJ4" i="21"/>
  <c r="DH4" i="21"/>
  <c r="DG4" i="21"/>
  <c r="DF4" i="21"/>
  <c r="DE4" i="21"/>
  <c r="DK6" i="21"/>
  <c r="DJ6" i="21"/>
  <c r="DH6" i="21"/>
  <c r="DG6" i="21"/>
  <c r="DF6" i="21"/>
  <c r="DE6" i="21"/>
  <c r="DK7" i="21"/>
  <c r="DJ7" i="21"/>
  <c r="DH7" i="21"/>
  <c r="DG7" i="21"/>
  <c r="DF7" i="21"/>
  <c r="DE7" i="21"/>
  <c r="DK5" i="21"/>
  <c r="DJ5" i="21"/>
  <c r="DH5" i="21"/>
  <c r="DG5" i="21"/>
  <c r="DF5" i="21"/>
  <c r="DE5" i="21"/>
  <c r="OE23" i="19"/>
  <c r="OD23" i="19"/>
  <c r="OB23" i="19"/>
  <c r="OA23" i="19"/>
  <c r="NZ23" i="19"/>
  <c r="NY23" i="19"/>
  <c r="OE34" i="19"/>
  <c r="OD34" i="19"/>
  <c r="OB34" i="19"/>
  <c r="OA34" i="19"/>
  <c r="NZ34" i="19"/>
  <c r="NY34" i="19"/>
  <c r="OE33" i="19"/>
  <c r="OD33" i="19"/>
  <c r="OB33" i="19"/>
  <c r="OA33" i="19"/>
  <c r="NZ33" i="19"/>
  <c r="NY33" i="19"/>
  <c r="OE32" i="19"/>
  <c r="OD32" i="19"/>
  <c r="OB32" i="19"/>
  <c r="OA32" i="19"/>
  <c r="NZ32" i="19"/>
  <c r="NY32" i="19"/>
  <c r="OE30" i="19"/>
  <c r="OD30" i="19"/>
  <c r="OB30" i="19"/>
  <c r="OA30" i="19"/>
  <c r="NZ30" i="19"/>
  <c r="NY30" i="19"/>
  <c r="OE35" i="19"/>
  <c r="OD35" i="19"/>
  <c r="OB35" i="19"/>
  <c r="OA35" i="19"/>
  <c r="NZ35" i="19"/>
  <c r="NY35" i="19"/>
  <c r="OE27" i="19"/>
  <c r="OD27" i="19"/>
  <c r="OB27" i="19"/>
  <c r="OA27" i="19"/>
  <c r="NZ27" i="19"/>
  <c r="NY27" i="19"/>
  <c r="OE24" i="19"/>
  <c r="OD24" i="19"/>
  <c r="OB24" i="19"/>
  <c r="OA24" i="19"/>
  <c r="NZ24" i="19"/>
  <c r="NY24" i="19"/>
  <c r="OE19" i="19"/>
  <c r="OD19" i="19"/>
  <c r="OB19" i="19"/>
  <c r="OA19" i="19"/>
  <c r="NZ19" i="19"/>
  <c r="NY19" i="19"/>
  <c r="OE22" i="19"/>
  <c r="OD22" i="19"/>
  <c r="OB22" i="19"/>
  <c r="OA22" i="19"/>
  <c r="NZ22" i="19"/>
  <c r="NY22" i="19"/>
  <c r="OE18" i="19"/>
  <c r="OD18" i="19"/>
  <c r="OB18" i="19"/>
  <c r="OA18" i="19"/>
  <c r="NZ18" i="19"/>
  <c r="NY18" i="19"/>
  <c r="OE15" i="19"/>
  <c r="OD15" i="19"/>
  <c r="OB15" i="19"/>
  <c r="OA15" i="19"/>
  <c r="NZ15" i="19"/>
  <c r="NY15" i="19"/>
  <c r="OE20" i="19"/>
  <c r="OD20" i="19"/>
  <c r="OB20" i="19"/>
  <c r="OA20" i="19"/>
  <c r="NZ20" i="19"/>
  <c r="NY20" i="19"/>
  <c r="OE13" i="19"/>
  <c r="OD13" i="19"/>
  <c r="OB13" i="19"/>
  <c r="OA13" i="19"/>
  <c r="NZ13" i="19"/>
  <c r="NY13" i="19"/>
  <c r="OE31" i="19"/>
  <c r="OD31" i="19"/>
  <c r="OB31" i="19"/>
  <c r="OA31" i="19"/>
  <c r="NZ31" i="19"/>
  <c r="NY31" i="19"/>
  <c r="OE25" i="19"/>
  <c r="OD25" i="19"/>
  <c r="OB25" i="19"/>
  <c r="OA25" i="19"/>
  <c r="NZ25" i="19"/>
  <c r="NY25" i="19"/>
  <c r="OE29" i="19"/>
  <c r="OD29" i="19"/>
  <c r="OB29" i="19"/>
  <c r="OA29" i="19"/>
  <c r="NZ29" i="19"/>
  <c r="NY29" i="19"/>
  <c r="OE28" i="19"/>
  <c r="OD28" i="19"/>
  <c r="OB28" i="19"/>
  <c r="OA28" i="19"/>
  <c r="NZ28" i="19"/>
  <c r="NY28" i="19"/>
  <c r="OE26" i="19"/>
  <c r="OD26" i="19"/>
  <c r="OB26" i="19"/>
  <c r="OA26" i="19"/>
  <c r="NZ26" i="19"/>
  <c r="NY26" i="19"/>
  <c r="OE17" i="19"/>
  <c r="OD17" i="19"/>
  <c r="OB17" i="19"/>
  <c r="OA17" i="19"/>
  <c r="NZ17" i="19"/>
  <c r="NY17" i="19"/>
  <c r="OE10" i="19"/>
  <c r="OD10" i="19"/>
  <c r="OB10" i="19"/>
  <c r="OA10" i="19"/>
  <c r="NZ10" i="19"/>
  <c r="NY10" i="19"/>
  <c r="OE21" i="19"/>
  <c r="OD21" i="19"/>
  <c r="OB21" i="19"/>
  <c r="OA21" i="19"/>
  <c r="NZ21" i="19"/>
  <c r="NY21" i="19"/>
  <c r="OE12" i="19"/>
  <c r="OD12" i="19"/>
  <c r="OB12" i="19"/>
  <c r="OA12" i="19"/>
  <c r="NZ12" i="19"/>
  <c r="NY12" i="19"/>
  <c r="OE16" i="19"/>
  <c r="OD16" i="19"/>
  <c r="OB16" i="19"/>
  <c r="OA16" i="19"/>
  <c r="NZ16" i="19"/>
  <c r="NY16" i="19"/>
  <c r="OE11" i="19"/>
  <c r="OD11" i="19"/>
  <c r="OB11" i="19"/>
  <c r="OA11" i="19"/>
  <c r="NZ11" i="19"/>
  <c r="NY11" i="19"/>
  <c r="OE14" i="19"/>
  <c r="OD14" i="19"/>
  <c r="OB14" i="19"/>
  <c r="OA14" i="19"/>
  <c r="NZ14" i="19"/>
  <c r="NY14" i="19"/>
  <c r="OE8" i="19"/>
  <c r="OD8" i="19"/>
  <c r="OB8" i="19"/>
  <c r="OA8" i="19"/>
  <c r="NZ8" i="19"/>
  <c r="NY8" i="19"/>
  <c r="OE9" i="19"/>
  <c r="OD9" i="19"/>
  <c r="OB9" i="19"/>
  <c r="OA9" i="19"/>
  <c r="NZ9" i="19"/>
  <c r="NY9" i="19"/>
  <c r="OE5" i="19"/>
  <c r="OD5" i="19"/>
  <c r="OB5" i="19"/>
  <c r="OA5" i="19"/>
  <c r="NZ5" i="19"/>
  <c r="NY5" i="19"/>
  <c r="OE6" i="19"/>
  <c r="OD6" i="19"/>
  <c r="OB6" i="19"/>
  <c r="OA6" i="19"/>
  <c r="NZ6" i="19"/>
  <c r="NY6" i="19"/>
  <c r="OE7" i="19"/>
  <c r="OD7" i="19"/>
  <c r="OB7" i="19"/>
  <c r="OA7" i="19"/>
  <c r="NZ7" i="19"/>
  <c r="NY7" i="19"/>
  <c r="OE4" i="19"/>
  <c r="OD4" i="19"/>
  <c r="OB4" i="19"/>
  <c r="OA4" i="19"/>
  <c r="NZ4" i="19"/>
  <c r="NY4" i="19"/>
  <c r="NC23" i="19"/>
  <c r="NB23" i="19"/>
  <c r="MZ23" i="19"/>
  <c r="MY23" i="19"/>
  <c r="MX23" i="19"/>
  <c r="MW23" i="19"/>
  <c r="NC34" i="19"/>
  <c r="NB34" i="19"/>
  <c r="MZ34" i="19"/>
  <c r="MY34" i="19"/>
  <c r="MX34" i="19"/>
  <c r="MW34" i="19"/>
  <c r="NC33" i="19"/>
  <c r="NB33" i="19"/>
  <c r="MZ33" i="19"/>
  <c r="MY33" i="19"/>
  <c r="MX33" i="19"/>
  <c r="MW33" i="19"/>
  <c r="NC32" i="19"/>
  <c r="NB32" i="19"/>
  <c r="MZ32" i="19"/>
  <c r="MY32" i="19"/>
  <c r="MX32" i="19"/>
  <c r="MW32" i="19"/>
  <c r="NC30" i="19"/>
  <c r="NB30" i="19"/>
  <c r="MZ30" i="19"/>
  <c r="MY30" i="19"/>
  <c r="MX30" i="19"/>
  <c r="MW30" i="19"/>
  <c r="NC35" i="19"/>
  <c r="NB35" i="19"/>
  <c r="MZ35" i="19"/>
  <c r="MY35" i="19"/>
  <c r="MX35" i="19"/>
  <c r="MW35" i="19"/>
  <c r="NC27" i="19"/>
  <c r="NB27" i="19"/>
  <c r="MZ27" i="19"/>
  <c r="MY27" i="19"/>
  <c r="MX27" i="19"/>
  <c r="MW27" i="19"/>
  <c r="NC24" i="19"/>
  <c r="NB24" i="19"/>
  <c r="MZ24" i="19"/>
  <c r="MY24" i="19"/>
  <c r="MX24" i="19"/>
  <c r="MW24" i="19"/>
  <c r="NC19" i="19"/>
  <c r="NB19" i="19"/>
  <c r="MZ19" i="19"/>
  <c r="MY19" i="19"/>
  <c r="MX19" i="19"/>
  <c r="MW19" i="19"/>
  <c r="NC22" i="19"/>
  <c r="NB22" i="19"/>
  <c r="MZ22" i="19"/>
  <c r="MY22" i="19"/>
  <c r="MX22" i="19"/>
  <c r="MW22" i="19"/>
  <c r="NC18" i="19"/>
  <c r="NB18" i="19"/>
  <c r="MZ18" i="19"/>
  <c r="MY18" i="19"/>
  <c r="MX18" i="19"/>
  <c r="MW18" i="19"/>
  <c r="NC15" i="19"/>
  <c r="NB15" i="19"/>
  <c r="MZ15" i="19"/>
  <c r="MY15" i="19"/>
  <c r="MX15" i="19"/>
  <c r="MW15" i="19"/>
  <c r="NC20" i="19"/>
  <c r="NB20" i="19"/>
  <c r="MZ20" i="19"/>
  <c r="MY20" i="19"/>
  <c r="MX20" i="19"/>
  <c r="MW20" i="19"/>
  <c r="NC13" i="19"/>
  <c r="NB13" i="19"/>
  <c r="MZ13" i="19"/>
  <c r="MY13" i="19"/>
  <c r="MX13" i="19"/>
  <c r="MW13" i="19"/>
  <c r="NC31" i="19"/>
  <c r="NB31" i="19"/>
  <c r="MZ31" i="19"/>
  <c r="MY31" i="19"/>
  <c r="MX31" i="19"/>
  <c r="MW31" i="19"/>
  <c r="NC25" i="19"/>
  <c r="NB25" i="19"/>
  <c r="MZ25" i="19"/>
  <c r="MY25" i="19"/>
  <c r="MX25" i="19"/>
  <c r="MW25" i="19"/>
  <c r="NC29" i="19"/>
  <c r="NB29" i="19"/>
  <c r="MZ29" i="19"/>
  <c r="MY29" i="19"/>
  <c r="MX29" i="19"/>
  <c r="MW29" i="19"/>
  <c r="NC28" i="19"/>
  <c r="NB28" i="19"/>
  <c r="MZ28" i="19"/>
  <c r="MY28" i="19"/>
  <c r="MX28" i="19"/>
  <c r="MW28" i="19"/>
  <c r="NC26" i="19"/>
  <c r="NB26" i="19"/>
  <c r="MZ26" i="19"/>
  <c r="MY26" i="19"/>
  <c r="MX26" i="19"/>
  <c r="MW26" i="19"/>
  <c r="NC17" i="19"/>
  <c r="NB17" i="19"/>
  <c r="MZ17" i="19"/>
  <c r="MY17" i="19"/>
  <c r="MX17" i="19"/>
  <c r="MW17" i="19"/>
  <c r="NC10" i="19"/>
  <c r="NB10" i="19"/>
  <c r="MZ10" i="19"/>
  <c r="MY10" i="19"/>
  <c r="MX10" i="19"/>
  <c r="MW10" i="19"/>
  <c r="NC21" i="19"/>
  <c r="NB21" i="19"/>
  <c r="MZ21" i="19"/>
  <c r="MY21" i="19"/>
  <c r="MX21" i="19"/>
  <c r="MW21" i="19"/>
  <c r="NC12" i="19"/>
  <c r="NB12" i="19"/>
  <c r="MZ12" i="19"/>
  <c r="MY12" i="19"/>
  <c r="MX12" i="19"/>
  <c r="MW12" i="19"/>
  <c r="NC16" i="19"/>
  <c r="NB16" i="19"/>
  <c r="MZ16" i="19"/>
  <c r="MY16" i="19"/>
  <c r="MX16" i="19"/>
  <c r="MW16" i="19"/>
  <c r="NC11" i="19"/>
  <c r="NB11" i="19"/>
  <c r="MZ11" i="19"/>
  <c r="MY11" i="19"/>
  <c r="MX11" i="19"/>
  <c r="MW11" i="19"/>
  <c r="NC14" i="19"/>
  <c r="NB14" i="19"/>
  <c r="MZ14" i="19"/>
  <c r="MY14" i="19"/>
  <c r="MX14" i="19"/>
  <c r="MW14" i="19"/>
  <c r="NC8" i="19"/>
  <c r="NB8" i="19"/>
  <c r="MZ8" i="19"/>
  <c r="MY8" i="19"/>
  <c r="MX8" i="19"/>
  <c r="MW8" i="19"/>
  <c r="NC9" i="19"/>
  <c r="NB9" i="19"/>
  <c r="MZ9" i="19"/>
  <c r="MY9" i="19"/>
  <c r="MX9" i="19"/>
  <c r="MW9" i="19"/>
  <c r="NC5" i="19"/>
  <c r="NB5" i="19"/>
  <c r="MZ5" i="19"/>
  <c r="MY5" i="19"/>
  <c r="MX5" i="19"/>
  <c r="MW5" i="19"/>
  <c r="NC6" i="19"/>
  <c r="NB6" i="19"/>
  <c r="MZ6" i="19"/>
  <c r="MY6" i="19"/>
  <c r="MX6" i="19"/>
  <c r="MW6" i="19"/>
  <c r="NC7" i="19"/>
  <c r="NB7" i="19"/>
  <c r="MZ7" i="19"/>
  <c r="MY7" i="19"/>
  <c r="MX7" i="19"/>
  <c r="MW7" i="19"/>
  <c r="NC4" i="19"/>
  <c r="NB4" i="19"/>
  <c r="MZ4" i="19"/>
  <c r="MY4" i="19"/>
  <c r="MX4" i="19"/>
  <c r="MW4" i="19"/>
  <c r="MA23" i="19"/>
  <c r="LZ23" i="19"/>
  <c r="LX23" i="19"/>
  <c r="LW23" i="19"/>
  <c r="LV23" i="19"/>
  <c r="LU23" i="19"/>
  <c r="MA34" i="19"/>
  <c r="LZ34" i="19"/>
  <c r="LX34" i="19"/>
  <c r="LW34" i="19"/>
  <c r="LV34" i="19"/>
  <c r="LU34" i="19"/>
  <c r="MA33" i="19"/>
  <c r="LZ33" i="19"/>
  <c r="LX33" i="19"/>
  <c r="LW33" i="19"/>
  <c r="LV33" i="19"/>
  <c r="LU33" i="19"/>
  <c r="MA32" i="19"/>
  <c r="LZ32" i="19"/>
  <c r="LX32" i="19"/>
  <c r="LW32" i="19"/>
  <c r="LV32" i="19"/>
  <c r="LU32" i="19"/>
  <c r="MA30" i="19"/>
  <c r="LZ30" i="19"/>
  <c r="LX30" i="19"/>
  <c r="LW30" i="19"/>
  <c r="LV30" i="19"/>
  <c r="LU30" i="19"/>
  <c r="MA35" i="19"/>
  <c r="LZ35" i="19"/>
  <c r="LX35" i="19"/>
  <c r="LW35" i="19"/>
  <c r="LV35" i="19"/>
  <c r="LU35" i="19"/>
  <c r="MA27" i="19"/>
  <c r="LZ27" i="19"/>
  <c r="LX27" i="19"/>
  <c r="LW27" i="19"/>
  <c r="LV27" i="19"/>
  <c r="LU27" i="19"/>
  <c r="MA24" i="19"/>
  <c r="LZ24" i="19"/>
  <c r="LX24" i="19"/>
  <c r="LW24" i="19"/>
  <c r="LV24" i="19"/>
  <c r="LU24" i="19"/>
  <c r="MA19" i="19"/>
  <c r="LZ19" i="19"/>
  <c r="LX19" i="19"/>
  <c r="LW19" i="19"/>
  <c r="LV19" i="19"/>
  <c r="LU19" i="19"/>
  <c r="MA22" i="19"/>
  <c r="LZ22" i="19"/>
  <c r="LX22" i="19"/>
  <c r="LW22" i="19"/>
  <c r="LV22" i="19"/>
  <c r="LU22" i="19"/>
  <c r="MA18" i="19"/>
  <c r="LZ18" i="19"/>
  <c r="LX18" i="19"/>
  <c r="LW18" i="19"/>
  <c r="LV18" i="19"/>
  <c r="LU18" i="19"/>
  <c r="MA15" i="19"/>
  <c r="LZ15" i="19"/>
  <c r="LX15" i="19"/>
  <c r="LW15" i="19"/>
  <c r="LV15" i="19"/>
  <c r="LU15" i="19"/>
  <c r="MA20" i="19"/>
  <c r="LZ20" i="19"/>
  <c r="LX20" i="19"/>
  <c r="LW20" i="19"/>
  <c r="LV20" i="19"/>
  <c r="LU20" i="19"/>
  <c r="MA13" i="19"/>
  <c r="LZ13" i="19"/>
  <c r="LX13" i="19"/>
  <c r="LW13" i="19"/>
  <c r="LV13" i="19"/>
  <c r="LU13" i="19"/>
  <c r="MA31" i="19"/>
  <c r="LZ31" i="19"/>
  <c r="LX31" i="19"/>
  <c r="LW31" i="19"/>
  <c r="LV31" i="19"/>
  <c r="LU31" i="19"/>
  <c r="MA25" i="19"/>
  <c r="LZ25" i="19"/>
  <c r="LX25" i="19"/>
  <c r="LW25" i="19"/>
  <c r="LV25" i="19"/>
  <c r="LU25" i="19"/>
  <c r="MA29" i="19"/>
  <c r="LZ29" i="19"/>
  <c r="LX29" i="19"/>
  <c r="LW29" i="19"/>
  <c r="LV29" i="19"/>
  <c r="LU29" i="19"/>
  <c r="MA28" i="19"/>
  <c r="LZ28" i="19"/>
  <c r="LX28" i="19"/>
  <c r="LW28" i="19"/>
  <c r="LV28" i="19"/>
  <c r="LU28" i="19"/>
  <c r="MA26" i="19"/>
  <c r="LZ26" i="19"/>
  <c r="LX26" i="19"/>
  <c r="LW26" i="19"/>
  <c r="LV26" i="19"/>
  <c r="LU26" i="19"/>
  <c r="MA17" i="19"/>
  <c r="LZ17" i="19"/>
  <c r="LX17" i="19"/>
  <c r="LW17" i="19"/>
  <c r="LV17" i="19"/>
  <c r="LU17" i="19"/>
  <c r="MA10" i="19"/>
  <c r="LZ10" i="19"/>
  <c r="LX10" i="19"/>
  <c r="LW10" i="19"/>
  <c r="LV10" i="19"/>
  <c r="LU10" i="19"/>
  <c r="MA21" i="19"/>
  <c r="LZ21" i="19"/>
  <c r="LX21" i="19"/>
  <c r="LW21" i="19"/>
  <c r="LV21" i="19"/>
  <c r="LU21" i="19"/>
  <c r="MA12" i="19"/>
  <c r="LZ12" i="19"/>
  <c r="LX12" i="19"/>
  <c r="LW12" i="19"/>
  <c r="LV12" i="19"/>
  <c r="LU12" i="19"/>
  <c r="MA16" i="19"/>
  <c r="LZ16" i="19"/>
  <c r="LX16" i="19"/>
  <c r="LW16" i="19"/>
  <c r="LV16" i="19"/>
  <c r="LU16" i="19"/>
  <c r="MA11" i="19"/>
  <c r="LZ11" i="19"/>
  <c r="LX11" i="19"/>
  <c r="LW11" i="19"/>
  <c r="LV11" i="19"/>
  <c r="LU11" i="19"/>
  <c r="MA14" i="19"/>
  <c r="LZ14" i="19"/>
  <c r="LX14" i="19"/>
  <c r="LW14" i="19"/>
  <c r="LV14" i="19"/>
  <c r="LU14" i="19"/>
  <c r="MA8" i="19"/>
  <c r="LZ8" i="19"/>
  <c r="LX8" i="19"/>
  <c r="LW8" i="19"/>
  <c r="LV8" i="19"/>
  <c r="LU8" i="19"/>
  <c r="MA9" i="19"/>
  <c r="LZ9" i="19"/>
  <c r="LX9" i="19"/>
  <c r="LW9" i="19"/>
  <c r="LV9" i="19"/>
  <c r="LU9" i="19"/>
  <c r="MA5" i="19"/>
  <c r="LZ5" i="19"/>
  <c r="LX5" i="19"/>
  <c r="LW5" i="19"/>
  <c r="LV5" i="19"/>
  <c r="LU5" i="19"/>
  <c r="MA6" i="19"/>
  <c r="LZ6" i="19"/>
  <c r="LX6" i="19"/>
  <c r="LW6" i="19"/>
  <c r="LV6" i="19"/>
  <c r="LU6" i="19"/>
  <c r="MA7" i="19"/>
  <c r="LZ7" i="19"/>
  <c r="LX7" i="19"/>
  <c r="LW7" i="19"/>
  <c r="LV7" i="19"/>
  <c r="LU7" i="19"/>
  <c r="MA4" i="19"/>
  <c r="LZ4" i="19"/>
  <c r="LX4" i="19"/>
  <c r="LW4" i="19"/>
  <c r="LV4" i="19"/>
  <c r="LU4" i="19"/>
  <c r="KY23" i="19"/>
  <c r="KX23" i="19"/>
  <c r="KV23" i="19"/>
  <c r="KU23" i="19"/>
  <c r="KT23" i="19"/>
  <c r="KS23" i="19"/>
  <c r="KY34" i="19"/>
  <c r="KX34" i="19"/>
  <c r="KV34" i="19"/>
  <c r="KU34" i="19"/>
  <c r="KT34" i="19"/>
  <c r="KS34" i="19"/>
  <c r="KY33" i="19"/>
  <c r="KX33" i="19"/>
  <c r="KV33" i="19"/>
  <c r="KU33" i="19"/>
  <c r="KT33" i="19"/>
  <c r="KS33" i="19"/>
  <c r="KY32" i="19"/>
  <c r="KX32" i="19"/>
  <c r="KV32" i="19"/>
  <c r="KU32" i="19"/>
  <c r="KT32" i="19"/>
  <c r="KS32" i="19"/>
  <c r="KY30" i="19"/>
  <c r="KX30" i="19"/>
  <c r="KV30" i="19"/>
  <c r="KU30" i="19"/>
  <c r="KT30" i="19"/>
  <c r="KS30" i="19"/>
  <c r="KY35" i="19"/>
  <c r="KX35" i="19"/>
  <c r="KV35" i="19"/>
  <c r="KU35" i="19"/>
  <c r="KT35" i="19"/>
  <c r="KS35" i="19"/>
  <c r="KY27" i="19"/>
  <c r="KX27" i="19"/>
  <c r="KV27" i="19"/>
  <c r="KU27" i="19"/>
  <c r="KT27" i="19"/>
  <c r="KS27" i="19"/>
  <c r="KY24" i="19"/>
  <c r="KX24" i="19"/>
  <c r="KV24" i="19"/>
  <c r="KU24" i="19"/>
  <c r="KT24" i="19"/>
  <c r="KS24" i="19"/>
  <c r="KY19" i="19"/>
  <c r="KX19" i="19"/>
  <c r="KV19" i="19"/>
  <c r="KU19" i="19"/>
  <c r="KT19" i="19"/>
  <c r="KS19" i="19"/>
  <c r="KY22" i="19"/>
  <c r="KX22" i="19"/>
  <c r="KV22" i="19"/>
  <c r="KU22" i="19"/>
  <c r="KT22" i="19"/>
  <c r="KS22" i="19"/>
  <c r="KY18" i="19"/>
  <c r="KX18" i="19"/>
  <c r="KV18" i="19"/>
  <c r="KU18" i="19"/>
  <c r="KT18" i="19"/>
  <c r="KS18" i="19"/>
  <c r="KY15" i="19"/>
  <c r="KX15" i="19"/>
  <c r="KV15" i="19"/>
  <c r="KU15" i="19"/>
  <c r="KT15" i="19"/>
  <c r="KS15" i="19"/>
  <c r="KY20" i="19"/>
  <c r="KX20" i="19"/>
  <c r="KV20" i="19"/>
  <c r="KU20" i="19"/>
  <c r="KT20" i="19"/>
  <c r="KS20" i="19"/>
  <c r="KY13" i="19"/>
  <c r="KX13" i="19"/>
  <c r="KV13" i="19"/>
  <c r="KU13" i="19"/>
  <c r="KT13" i="19"/>
  <c r="KS13" i="19"/>
  <c r="KY31" i="19"/>
  <c r="KX31" i="19"/>
  <c r="KV31" i="19"/>
  <c r="KU31" i="19"/>
  <c r="KT31" i="19"/>
  <c r="KS31" i="19"/>
  <c r="KY25" i="19"/>
  <c r="KX25" i="19"/>
  <c r="KV25" i="19"/>
  <c r="KU25" i="19"/>
  <c r="KT25" i="19"/>
  <c r="KS25" i="19"/>
  <c r="KY29" i="19"/>
  <c r="KX29" i="19"/>
  <c r="KV29" i="19"/>
  <c r="KU29" i="19"/>
  <c r="KT29" i="19"/>
  <c r="KS29" i="19"/>
  <c r="KY28" i="19"/>
  <c r="KX28" i="19"/>
  <c r="KV28" i="19"/>
  <c r="KU28" i="19"/>
  <c r="KT28" i="19"/>
  <c r="KS28" i="19"/>
  <c r="KY26" i="19"/>
  <c r="KX26" i="19"/>
  <c r="KV26" i="19"/>
  <c r="KU26" i="19"/>
  <c r="KT26" i="19"/>
  <c r="KS26" i="19"/>
  <c r="KY17" i="19"/>
  <c r="KX17" i="19"/>
  <c r="KV17" i="19"/>
  <c r="KU17" i="19"/>
  <c r="KT17" i="19"/>
  <c r="KS17" i="19"/>
  <c r="KY10" i="19"/>
  <c r="KX10" i="19"/>
  <c r="KV10" i="19"/>
  <c r="KU10" i="19"/>
  <c r="KT10" i="19"/>
  <c r="KS10" i="19"/>
  <c r="KY21" i="19"/>
  <c r="KX21" i="19"/>
  <c r="KV21" i="19"/>
  <c r="KU21" i="19"/>
  <c r="KT21" i="19"/>
  <c r="KS21" i="19"/>
  <c r="KY12" i="19"/>
  <c r="KX12" i="19"/>
  <c r="KV12" i="19"/>
  <c r="KU12" i="19"/>
  <c r="KT12" i="19"/>
  <c r="KS12" i="19"/>
  <c r="KY16" i="19"/>
  <c r="KX16" i="19"/>
  <c r="KV16" i="19"/>
  <c r="KU16" i="19"/>
  <c r="KT16" i="19"/>
  <c r="KS16" i="19"/>
  <c r="KY11" i="19"/>
  <c r="KX11" i="19"/>
  <c r="KV11" i="19"/>
  <c r="KU11" i="19"/>
  <c r="KT11" i="19"/>
  <c r="KS11" i="19"/>
  <c r="KY14" i="19"/>
  <c r="KX14" i="19"/>
  <c r="KV14" i="19"/>
  <c r="KU14" i="19"/>
  <c r="KT14" i="19"/>
  <c r="KS14" i="19"/>
  <c r="KY8" i="19"/>
  <c r="KX8" i="19"/>
  <c r="KV8" i="19"/>
  <c r="KU8" i="19"/>
  <c r="KT8" i="19"/>
  <c r="KS8" i="19"/>
  <c r="KY9" i="19"/>
  <c r="KX9" i="19"/>
  <c r="KV9" i="19"/>
  <c r="KU9" i="19"/>
  <c r="KT9" i="19"/>
  <c r="KS9" i="19"/>
  <c r="KY5" i="19"/>
  <c r="KX5" i="19"/>
  <c r="KV5" i="19"/>
  <c r="KU5" i="19"/>
  <c r="KT5" i="19"/>
  <c r="KS5" i="19"/>
  <c r="KY6" i="19"/>
  <c r="KX6" i="19"/>
  <c r="KV6" i="19"/>
  <c r="KU6" i="19"/>
  <c r="KT6" i="19"/>
  <c r="KS6" i="19"/>
  <c r="KY7" i="19"/>
  <c r="KX7" i="19"/>
  <c r="KV7" i="19"/>
  <c r="KU7" i="19"/>
  <c r="KT7" i="19"/>
  <c r="KS7" i="19"/>
  <c r="KY4" i="19"/>
  <c r="KX4" i="19"/>
  <c r="KV4" i="19"/>
  <c r="KU4" i="19"/>
  <c r="KT4" i="19"/>
  <c r="KS4" i="19"/>
  <c r="JW23" i="19"/>
  <c r="JV23" i="19"/>
  <c r="JT23" i="19"/>
  <c r="JS23" i="19"/>
  <c r="JR23" i="19"/>
  <c r="JQ23" i="19"/>
  <c r="JW34" i="19"/>
  <c r="JV34" i="19"/>
  <c r="JT34" i="19"/>
  <c r="JS34" i="19"/>
  <c r="JR34" i="19"/>
  <c r="JQ34" i="19"/>
  <c r="JW33" i="19"/>
  <c r="JV33" i="19"/>
  <c r="JT33" i="19"/>
  <c r="JS33" i="19"/>
  <c r="JR33" i="19"/>
  <c r="JQ33" i="19"/>
  <c r="JW32" i="19"/>
  <c r="JV32" i="19"/>
  <c r="JT32" i="19"/>
  <c r="JS32" i="19"/>
  <c r="JR32" i="19"/>
  <c r="JQ32" i="19"/>
  <c r="JW30" i="19"/>
  <c r="JV30" i="19"/>
  <c r="JT30" i="19"/>
  <c r="JS30" i="19"/>
  <c r="JR30" i="19"/>
  <c r="JQ30" i="19"/>
  <c r="JW35" i="19"/>
  <c r="JV35" i="19"/>
  <c r="JT35" i="19"/>
  <c r="JS35" i="19"/>
  <c r="JR35" i="19"/>
  <c r="JQ35" i="19"/>
  <c r="JW27" i="19"/>
  <c r="JV27" i="19"/>
  <c r="JT27" i="19"/>
  <c r="JS27" i="19"/>
  <c r="JR27" i="19"/>
  <c r="JQ27" i="19"/>
  <c r="JW24" i="19"/>
  <c r="JV24" i="19"/>
  <c r="JT24" i="19"/>
  <c r="JS24" i="19"/>
  <c r="JR24" i="19"/>
  <c r="JQ24" i="19"/>
  <c r="JW19" i="19"/>
  <c r="JV19" i="19"/>
  <c r="JT19" i="19"/>
  <c r="JS19" i="19"/>
  <c r="JR19" i="19"/>
  <c r="JQ19" i="19"/>
  <c r="JW22" i="19"/>
  <c r="JV22" i="19"/>
  <c r="JT22" i="19"/>
  <c r="JS22" i="19"/>
  <c r="JR22" i="19"/>
  <c r="JQ22" i="19"/>
  <c r="JW18" i="19"/>
  <c r="JV18" i="19"/>
  <c r="JT18" i="19"/>
  <c r="JS18" i="19"/>
  <c r="JR18" i="19"/>
  <c r="JQ18" i="19"/>
  <c r="JW15" i="19"/>
  <c r="JV15" i="19"/>
  <c r="JT15" i="19"/>
  <c r="JS15" i="19"/>
  <c r="JR15" i="19"/>
  <c r="JQ15" i="19"/>
  <c r="JW20" i="19"/>
  <c r="JV20" i="19"/>
  <c r="JT20" i="19"/>
  <c r="JS20" i="19"/>
  <c r="JR20" i="19"/>
  <c r="JQ20" i="19"/>
  <c r="JW13" i="19"/>
  <c r="JV13" i="19"/>
  <c r="JT13" i="19"/>
  <c r="JS13" i="19"/>
  <c r="JR13" i="19"/>
  <c r="JQ13" i="19"/>
  <c r="JW31" i="19"/>
  <c r="JV31" i="19"/>
  <c r="JT31" i="19"/>
  <c r="JS31" i="19"/>
  <c r="JR31" i="19"/>
  <c r="JQ31" i="19"/>
  <c r="JW25" i="19"/>
  <c r="JV25" i="19"/>
  <c r="JT25" i="19"/>
  <c r="JS25" i="19"/>
  <c r="JR25" i="19"/>
  <c r="JQ25" i="19"/>
  <c r="JW29" i="19"/>
  <c r="JV29" i="19"/>
  <c r="JT29" i="19"/>
  <c r="JS29" i="19"/>
  <c r="JR29" i="19"/>
  <c r="JQ29" i="19"/>
  <c r="JW28" i="19"/>
  <c r="JV28" i="19"/>
  <c r="JT28" i="19"/>
  <c r="JS28" i="19"/>
  <c r="JR28" i="19"/>
  <c r="JQ28" i="19"/>
  <c r="JW26" i="19"/>
  <c r="JV26" i="19"/>
  <c r="JT26" i="19"/>
  <c r="JS26" i="19"/>
  <c r="JR26" i="19"/>
  <c r="JQ26" i="19"/>
  <c r="JW17" i="19"/>
  <c r="JV17" i="19"/>
  <c r="JT17" i="19"/>
  <c r="JS17" i="19"/>
  <c r="JR17" i="19"/>
  <c r="JQ17" i="19"/>
  <c r="JW10" i="19"/>
  <c r="JV10" i="19"/>
  <c r="JT10" i="19"/>
  <c r="JS10" i="19"/>
  <c r="JR10" i="19"/>
  <c r="JQ10" i="19"/>
  <c r="JW21" i="19"/>
  <c r="JV21" i="19"/>
  <c r="JT21" i="19"/>
  <c r="JS21" i="19"/>
  <c r="JR21" i="19"/>
  <c r="JQ21" i="19"/>
  <c r="JW12" i="19"/>
  <c r="JV12" i="19"/>
  <c r="JT12" i="19"/>
  <c r="JS12" i="19"/>
  <c r="JR12" i="19"/>
  <c r="JQ12" i="19"/>
  <c r="JW16" i="19"/>
  <c r="JV16" i="19"/>
  <c r="JT16" i="19"/>
  <c r="JS16" i="19"/>
  <c r="JR16" i="19"/>
  <c r="JQ16" i="19"/>
  <c r="JW11" i="19"/>
  <c r="JV11" i="19"/>
  <c r="JT11" i="19"/>
  <c r="JS11" i="19"/>
  <c r="JR11" i="19"/>
  <c r="JQ11" i="19"/>
  <c r="JW14" i="19"/>
  <c r="JV14" i="19"/>
  <c r="JT14" i="19"/>
  <c r="JS14" i="19"/>
  <c r="JR14" i="19"/>
  <c r="JQ14" i="19"/>
  <c r="JW8" i="19"/>
  <c r="JV8" i="19"/>
  <c r="JT8" i="19"/>
  <c r="JS8" i="19"/>
  <c r="JR8" i="19"/>
  <c r="JQ8" i="19"/>
  <c r="JW9" i="19"/>
  <c r="JV9" i="19"/>
  <c r="JT9" i="19"/>
  <c r="JS9" i="19"/>
  <c r="JR9" i="19"/>
  <c r="JQ9" i="19"/>
  <c r="JW5" i="19"/>
  <c r="JV5" i="19"/>
  <c r="JT5" i="19"/>
  <c r="JS5" i="19"/>
  <c r="JR5" i="19"/>
  <c r="JQ5" i="19"/>
  <c r="JW6" i="19"/>
  <c r="JV6" i="19"/>
  <c r="JT6" i="19"/>
  <c r="JS6" i="19"/>
  <c r="JR6" i="19"/>
  <c r="JQ6" i="19"/>
  <c r="JW7" i="19"/>
  <c r="JV7" i="19"/>
  <c r="JT7" i="19"/>
  <c r="JS7" i="19"/>
  <c r="JR7" i="19"/>
  <c r="JQ7" i="19"/>
  <c r="JW4" i="19"/>
  <c r="JV4" i="19"/>
  <c r="JT4" i="19"/>
  <c r="JS4" i="19"/>
  <c r="JR4" i="19"/>
  <c r="JQ4" i="19"/>
  <c r="IU23" i="19"/>
  <c r="IT23" i="19"/>
  <c r="IR23" i="19"/>
  <c r="IQ23" i="19"/>
  <c r="IP23" i="19"/>
  <c r="IO23" i="19"/>
  <c r="IU34" i="19"/>
  <c r="IT34" i="19"/>
  <c r="IR34" i="19"/>
  <c r="IQ34" i="19"/>
  <c r="IP34" i="19"/>
  <c r="IO34" i="19"/>
  <c r="IU33" i="19"/>
  <c r="IT33" i="19"/>
  <c r="IR33" i="19"/>
  <c r="IQ33" i="19"/>
  <c r="IP33" i="19"/>
  <c r="IO33" i="19"/>
  <c r="IU32" i="19"/>
  <c r="IT32" i="19"/>
  <c r="IR32" i="19"/>
  <c r="IQ32" i="19"/>
  <c r="IP32" i="19"/>
  <c r="IO32" i="19"/>
  <c r="IU30" i="19"/>
  <c r="IT30" i="19"/>
  <c r="IR30" i="19"/>
  <c r="IQ30" i="19"/>
  <c r="IP30" i="19"/>
  <c r="IO30" i="19"/>
  <c r="IU35" i="19"/>
  <c r="IT35" i="19"/>
  <c r="IR35" i="19"/>
  <c r="IQ35" i="19"/>
  <c r="IP35" i="19"/>
  <c r="IO35" i="19"/>
  <c r="IU27" i="19"/>
  <c r="IT27" i="19"/>
  <c r="IR27" i="19"/>
  <c r="IQ27" i="19"/>
  <c r="IP27" i="19"/>
  <c r="IO27" i="19"/>
  <c r="IU24" i="19"/>
  <c r="IT24" i="19"/>
  <c r="IR24" i="19"/>
  <c r="IQ24" i="19"/>
  <c r="IP24" i="19"/>
  <c r="IO24" i="19"/>
  <c r="IU19" i="19"/>
  <c r="IT19" i="19"/>
  <c r="IR19" i="19"/>
  <c r="IQ19" i="19"/>
  <c r="IP19" i="19"/>
  <c r="IO19" i="19"/>
  <c r="IU22" i="19"/>
  <c r="IT22" i="19"/>
  <c r="IR22" i="19"/>
  <c r="IQ22" i="19"/>
  <c r="IP22" i="19"/>
  <c r="IO22" i="19"/>
  <c r="IU18" i="19"/>
  <c r="IT18" i="19"/>
  <c r="IR18" i="19"/>
  <c r="IQ18" i="19"/>
  <c r="IP18" i="19"/>
  <c r="IO18" i="19"/>
  <c r="IU15" i="19"/>
  <c r="IT15" i="19"/>
  <c r="IR15" i="19"/>
  <c r="IQ15" i="19"/>
  <c r="IP15" i="19"/>
  <c r="IO15" i="19"/>
  <c r="IU20" i="19"/>
  <c r="IT20" i="19"/>
  <c r="IR20" i="19"/>
  <c r="IQ20" i="19"/>
  <c r="IP20" i="19"/>
  <c r="IO20" i="19"/>
  <c r="IU13" i="19"/>
  <c r="IT13" i="19"/>
  <c r="IR13" i="19"/>
  <c r="IQ13" i="19"/>
  <c r="IP13" i="19"/>
  <c r="IO13" i="19"/>
  <c r="IU31" i="19"/>
  <c r="IT31" i="19"/>
  <c r="IR31" i="19"/>
  <c r="IQ31" i="19"/>
  <c r="IP31" i="19"/>
  <c r="IO31" i="19"/>
  <c r="IU25" i="19"/>
  <c r="IT25" i="19"/>
  <c r="IR25" i="19"/>
  <c r="IQ25" i="19"/>
  <c r="IP25" i="19"/>
  <c r="IO25" i="19"/>
  <c r="IU29" i="19"/>
  <c r="IT29" i="19"/>
  <c r="IR29" i="19"/>
  <c r="IQ29" i="19"/>
  <c r="IP29" i="19"/>
  <c r="IO29" i="19"/>
  <c r="IU28" i="19"/>
  <c r="IT28" i="19"/>
  <c r="IR28" i="19"/>
  <c r="IQ28" i="19"/>
  <c r="IP28" i="19"/>
  <c r="IO28" i="19"/>
  <c r="IU26" i="19"/>
  <c r="IT26" i="19"/>
  <c r="IR26" i="19"/>
  <c r="IQ26" i="19"/>
  <c r="IP26" i="19"/>
  <c r="IO26" i="19"/>
  <c r="IU17" i="19"/>
  <c r="IT17" i="19"/>
  <c r="IR17" i="19"/>
  <c r="IQ17" i="19"/>
  <c r="IP17" i="19"/>
  <c r="IO17" i="19"/>
  <c r="IU10" i="19"/>
  <c r="IT10" i="19"/>
  <c r="IR10" i="19"/>
  <c r="IQ10" i="19"/>
  <c r="IP10" i="19"/>
  <c r="IO10" i="19"/>
  <c r="IU21" i="19"/>
  <c r="IT21" i="19"/>
  <c r="IR21" i="19"/>
  <c r="IQ21" i="19"/>
  <c r="IP21" i="19"/>
  <c r="IO21" i="19"/>
  <c r="IU12" i="19"/>
  <c r="IT12" i="19"/>
  <c r="IR12" i="19"/>
  <c r="IQ12" i="19"/>
  <c r="IP12" i="19"/>
  <c r="IO12" i="19"/>
  <c r="IU16" i="19"/>
  <c r="IT16" i="19"/>
  <c r="IR16" i="19"/>
  <c r="IQ16" i="19"/>
  <c r="IP16" i="19"/>
  <c r="IO16" i="19"/>
  <c r="IU11" i="19"/>
  <c r="IT11" i="19"/>
  <c r="IR11" i="19"/>
  <c r="IQ11" i="19"/>
  <c r="IP11" i="19"/>
  <c r="IO11" i="19"/>
  <c r="IU14" i="19"/>
  <c r="IT14" i="19"/>
  <c r="IR14" i="19"/>
  <c r="IQ14" i="19"/>
  <c r="IP14" i="19"/>
  <c r="IO14" i="19"/>
  <c r="IU8" i="19"/>
  <c r="IT8" i="19"/>
  <c r="IR8" i="19"/>
  <c r="IQ8" i="19"/>
  <c r="IP8" i="19"/>
  <c r="IO8" i="19"/>
  <c r="IU9" i="19"/>
  <c r="IT9" i="19"/>
  <c r="IR9" i="19"/>
  <c r="IQ9" i="19"/>
  <c r="IP9" i="19"/>
  <c r="IO9" i="19"/>
  <c r="IU5" i="19"/>
  <c r="IT5" i="19"/>
  <c r="IR5" i="19"/>
  <c r="IQ5" i="19"/>
  <c r="IP5" i="19"/>
  <c r="IO5" i="19"/>
  <c r="IU6" i="19"/>
  <c r="IT6" i="19"/>
  <c r="IR6" i="19"/>
  <c r="IQ6" i="19"/>
  <c r="IP6" i="19"/>
  <c r="IO6" i="19"/>
  <c r="IU7" i="19"/>
  <c r="IT7" i="19"/>
  <c r="IR7" i="19"/>
  <c r="IQ7" i="19"/>
  <c r="IP7" i="19"/>
  <c r="IO7" i="19"/>
  <c r="IU4" i="19"/>
  <c r="IT4" i="19"/>
  <c r="IR4" i="19"/>
  <c r="IQ4" i="19"/>
  <c r="IP4" i="19"/>
  <c r="IO4" i="19"/>
  <c r="HS23" i="19"/>
  <c r="HR23" i="19"/>
  <c r="HP23" i="19"/>
  <c r="HO23" i="19"/>
  <c r="HN23" i="19"/>
  <c r="HM23" i="19"/>
  <c r="HS34" i="19"/>
  <c r="HR34" i="19"/>
  <c r="HP34" i="19"/>
  <c r="HO34" i="19"/>
  <c r="HN34" i="19"/>
  <c r="HM34" i="19"/>
  <c r="HS33" i="19"/>
  <c r="HR33" i="19"/>
  <c r="HP33" i="19"/>
  <c r="HO33" i="19"/>
  <c r="HN33" i="19"/>
  <c r="HM33" i="19"/>
  <c r="HS32" i="19"/>
  <c r="HR32" i="19"/>
  <c r="HP32" i="19"/>
  <c r="HO32" i="19"/>
  <c r="HN32" i="19"/>
  <c r="HM32" i="19"/>
  <c r="HS30" i="19"/>
  <c r="HR30" i="19"/>
  <c r="HP30" i="19"/>
  <c r="HO30" i="19"/>
  <c r="HN30" i="19"/>
  <c r="HM30" i="19"/>
  <c r="HS35" i="19"/>
  <c r="HR35" i="19"/>
  <c r="HP35" i="19"/>
  <c r="HO35" i="19"/>
  <c r="HN35" i="19"/>
  <c r="HM35" i="19"/>
  <c r="HS27" i="19"/>
  <c r="HR27" i="19"/>
  <c r="HP27" i="19"/>
  <c r="HO27" i="19"/>
  <c r="HN27" i="19"/>
  <c r="HM27" i="19"/>
  <c r="HS24" i="19"/>
  <c r="HR24" i="19"/>
  <c r="HP24" i="19"/>
  <c r="HO24" i="19"/>
  <c r="HN24" i="19"/>
  <c r="HM24" i="19"/>
  <c r="HS19" i="19"/>
  <c r="HR19" i="19"/>
  <c r="HP19" i="19"/>
  <c r="HO19" i="19"/>
  <c r="HN19" i="19"/>
  <c r="HM19" i="19"/>
  <c r="HS22" i="19"/>
  <c r="HR22" i="19"/>
  <c r="HP22" i="19"/>
  <c r="HO22" i="19"/>
  <c r="HN22" i="19"/>
  <c r="HM22" i="19"/>
  <c r="HS18" i="19"/>
  <c r="HR18" i="19"/>
  <c r="HP18" i="19"/>
  <c r="HO18" i="19"/>
  <c r="HN18" i="19"/>
  <c r="HM18" i="19"/>
  <c r="HS15" i="19"/>
  <c r="HR15" i="19"/>
  <c r="HP15" i="19"/>
  <c r="HO15" i="19"/>
  <c r="HN15" i="19"/>
  <c r="HM15" i="19"/>
  <c r="HS20" i="19"/>
  <c r="HR20" i="19"/>
  <c r="HP20" i="19"/>
  <c r="HO20" i="19"/>
  <c r="HN20" i="19"/>
  <c r="HM20" i="19"/>
  <c r="HS13" i="19"/>
  <c r="HR13" i="19"/>
  <c r="HP13" i="19"/>
  <c r="HO13" i="19"/>
  <c r="HN13" i="19"/>
  <c r="HM13" i="19"/>
  <c r="HS31" i="19"/>
  <c r="HR31" i="19"/>
  <c r="HP31" i="19"/>
  <c r="HO31" i="19"/>
  <c r="HN31" i="19"/>
  <c r="HM31" i="19"/>
  <c r="HS25" i="19"/>
  <c r="HR25" i="19"/>
  <c r="HP25" i="19"/>
  <c r="HO25" i="19"/>
  <c r="HN25" i="19"/>
  <c r="HM25" i="19"/>
  <c r="HS29" i="19"/>
  <c r="HR29" i="19"/>
  <c r="HP29" i="19"/>
  <c r="HO29" i="19"/>
  <c r="HN29" i="19"/>
  <c r="HM29" i="19"/>
  <c r="HS28" i="19"/>
  <c r="HR28" i="19"/>
  <c r="HP28" i="19"/>
  <c r="HO28" i="19"/>
  <c r="HN28" i="19"/>
  <c r="HM28" i="19"/>
  <c r="HS26" i="19"/>
  <c r="HR26" i="19"/>
  <c r="HP26" i="19"/>
  <c r="HO26" i="19"/>
  <c r="HN26" i="19"/>
  <c r="HM26" i="19"/>
  <c r="HS17" i="19"/>
  <c r="HR17" i="19"/>
  <c r="HP17" i="19"/>
  <c r="HO17" i="19"/>
  <c r="HN17" i="19"/>
  <c r="HM17" i="19"/>
  <c r="HS10" i="19"/>
  <c r="HR10" i="19"/>
  <c r="HP10" i="19"/>
  <c r="HO10" i="19"/>
  <c r="HN10" i="19"/>
  <c r="HM10" i="19"/>
  <c r="HS21" i="19"/>
  <c r="HR21" i="19"/>
  <c r="HP21" i="19"/>
  <c r="HO21" i="19"/>
  <c r="HN21" i="19"/>
  <c r="HM21" i="19"/>
  <c r="HS12" i="19"/>
  <c r="HR12" i="19"/>
  <c r="HP12" i="19"/>
  <c r="HO12" i="19"/>
  <c r="HN12" i="19"/>
  <c r="HM12" i="19"/>
  <c r="HS16" i="19"/>
  <c r="HR16" i="19"/>
  <c r="HP16" i="19"/>
  <c r="HO16" i="19"/>
  <c r="HN16" i="19"/>
  <c r="HM16" i="19"/>
  <c r="HS11" i="19"/>
  <c r="HR11" i="19"/>
  <c r="HP11" i="19"/>
  <c r="HO11" i="19"/>
  <c r="HN11" i="19"/>
  <c r="HM11" i="19"/>
  <c r="HS14" i="19"/>
  <c r="HR14" i="19"/>
  <c r="HP14" i="19"/>
  <c r="HO14" i="19"/>
  <c r="HN14" i="19"/>
  <c r="HM14" i="19"/>
  <c r="HS8" i="19"/>
  <c r="HR8" i="19"/>
  <c r="HP8" i="19"/>
  <c r="HO8" i="19"/>
  <c r="HN8" i="19"/>
  <c r="HM8" i="19"/>
  <c r="HS9" i="19"/>
  <c r="HR9" i="19"/>
  <c r="HP9" i="19"/>
  <c r="HO9" i="19"/>
  <c r="HN9" i="19"/>
  <c r="HM9" i="19"/>
  <c r="HS5" i="19"/>
  <c r="HR5" i="19"/>
  <c r="HP5" i="19"/>
  <c r="HO5" i="19"/>
  <c r="HN5" i="19"/>
  <c r="HM5" i="19"/>
  <c r="HS6" i="19"/>
  <c r="HR6" i="19"/>
  <c r="HP6" i="19"/>
  <c r="HO6" i="19"/>
  <c r="HN6" i="19"/>
  <c r="HM6" i="19"/>
  <c r="HS7" i="19"/>
  <c r="HR7" i="19"/>
  <c r="HP7" i="19"/>
  <c r="HO7" i="19"/>
  <c r="HN7" i="19"/>
  <c r="HM7" i="19"/>
  <c r="HS4" i="19"/>
  <c r="HR4" i="19"/>
  <c r="HP4" i="19"/>
  <c r="HO4" i="19"/>
  <c r="HN4" i="19"/>
  <c r="HM4" i="19"/>
  <c r="GQ23" i="19"/>
  <c r="GP23" i="19"/>
  <c r="GN23" i="19"/>
  <c r="GM23" i="19"/>
  <c r="GL23" i="19"/>
  <c r="GK23" i="19"/>
  <c r="GQ34" i="19"/>
  <c r="GP34" i="19"/>
  <c r="GN34" i="19"/>
  <c r="GM34" i="19"/>
  <c r="GL34" i="19"/>
  <c r="GK34" i="19"/>
  <c r="GQ33" i="19"/>
  <c r="GP33" i="19"/>
  <c r="GN33" i="19"/>
  <c r="GM33" i="19"/>
  <c r="GL33" i="19"/>
  <c r="GK33" i="19"/>
  <c r="GQ32" i="19"/>
  <c r="GP32" i="19"/>
  <c r="GN32" i="19"/>
  <c r="GM32" i="19"/>
  <c r="GL32" i="19"/>
  <c r="GK32" i="19"/>
  <c r="GQ30" i="19"/>
  <c r="GP30" i="19"/>
  <c r="GN30" i="19"/>
  <c r="GM30" i="19"/>
  <c r="GL30" i="19"/>
  <c r="GK30" i="19"/>
  <c r="GQ35" i="19"/>
  <c r="GP35" i="19"/>
  <c r="GN35" i="19"/>
  <c r="GM35" i="19"/>
  <c r="GL35" i="19"/>
  <c r="GK35" i="19"/>
  <c r="GQ27" i="19"/>
  <c r="GP27" i="19"/>
  <c r="GN27" i="19"/>
  <c r="GM27" i="19"/>
  <c r="GL27" i="19"/>
  <c r="GK27" i="19"/>
  <c r="GQ24" i="19"/>
  <c r="GP24" i="19"/>
  <c r="GN24" i="19"/>
  <c r="GM24" i="19"/>
  <c r="GL24" i="19"/>
  <c r="GK24" i="19"/>
  <c r="GQ19" i="19"/>
  <c r="GP19" i="19"/>
  <c r="GN19" i="19"/>
  <c r="GM19" i="19"/>
  <c r="GL19" i="19"/>
  <c r="GK19" i="19"/>
  <c r="GQ22" i="19"/>
  <c r="GP22" i="19"/>
  <c r="GN22" i="19"/>
  <c r="GM22" i="19"/>
  <c r="GL22" i="19"/>
  <c r="GK22" i="19"/>
  <c r="GQ18" i="19"/>
  <c r="GP18" i="19"/>
  <c r="GN18" i="19"/>
  <c r="GM18" i="19"/>
  <c r="GL18" i="19"/>
  <c r="GK18" i="19"/>
  <c r="GQ15" i="19"/>
  <c r="GP15" i="19"/>
  <c r="GN15" i="19"/>
  <c r="GM15" i="19"/>
  <c r="GL15" i="19"/>
  <c r="GK15" i="19"/>
  <c r="GQ20" i="19"/>
  <c r="GP20" i="19"/>
  <c r="GN20" i="19"/>
  <c r="GM20" i="19"/>
  <c r="GL20" i="19"/>
  <c r="GK20" i="19"/>
  <c r="GQ13" i="19"/>
  <c r="GP13" i="19"/>
  <c r="GN13" i="19"/>
  <c r="GM13" i="19"/>
  <c r="GL13" i="19"/>
  <c r="GK13" i="19"/>
  <c r="GQ31" i="19"/>
  <c r="GP31" i="19"/>
  <c r="GN31" i="19"/>
  <c r="GM31" i="19"/>
  <c r="GL31" i="19"/>
  <c r="GK31" i="19"/>
  <c r="GQ25" i="19"/>
  <c r="GP25" i="19"/>
  <c r="GN25" i="19"/>
  <c r="GM25" i="19"/>
  <c r="GL25" i="19"/>
  <c r="GK25" i="19"/>
  <c r="GQ29" i="19"/>
  <c r="GP29" i="19"/>
  <c r="GN29" i="19"/>
  <c r="GM29" i="19"/>
  <c r="GL29" i="19"/>
  <c r="GK29" i="19"/>
  <c r="GQ28" i="19"/>
  <c r="GP28" i="19"/>
  <c r="GN28" i="19"/>
  <c r="GM28" i="19"/>
  <c r="GL28" i="19"/>
  <c r="GK28" i="19"/>
  <c r="GQ26" i="19"/>
  <c r="GP26" i="19"/>
  <c r="GN26" i="19"/>
  <c r="GM26" i="19"/>
  <c r="GL26" i="19"/>
  <c r="GK26" i="19"/>
  <c r="GQ17" i="19"/>
  <c r="GP17" i="19"/>
  <c r="GN17" i="19"/>
  <c r="GM17" i="19"/>
  <c r="GL17" i="19"/>
  <c r="GK17" i="19"/>
  <c r="GQ10" i="19"/>
  <c r="GP10" i="19"/>
  <c r="GN10" i="19"/>
  <c r="GM10" i="19"/>
  <c r="GL10" i="19"/>
  <c r="GK10" i="19"/>
  <c r="GQ21" i="19"/>
  <c r="GP21" i="19"/>
  <c r="GN21" i="19"/>
  <c r="GM21" i="19"/>
  <c r="GL21" i="19"/>
  <c r="GK21" i="19"/>
  <c r="GQ12" i="19"/>
  <c r="GP12" i="19"/>
  <c r="GN12" i="19"/>
  <c r="GM12" i="19"/>
  <c r="GL12" i="19"/>
  <c r="GK12" i="19"/>
  <c r="GQ16" i="19"/>
  <c r="GP16" i="19"/>
  <c r="GN16" i="19"/>
  <c r="GM16" i="19"/>
  <c r="GL16" i="19"/>
  <c r="GK16" i="19"/>
  <c r="GQ11" i="19"/>
  <c r="GP11" i="19"/>
  <c r="GN11" i="19"/>
  <c r="GM11" i="19"/>
  <c r="GL11" i="19"/>
  <c r="GK11" i="19"/>
  <c r="GQ14" i="19"/>
  <c r="GP14" i="19"/>
  <c r="GN14" i="19"/>
  <c r="GM14" i="19"/>
  <c r="GL14" i="19"/>
  <c r="GK14" i="19"/>
  <c r="GQ8" i="19"/>
  <c r="GP8" i="19"/>
  <c r="GN8" i="19"/>
  <c r="GM8" i="19"/>
  <c r="GL8" i="19"/>
  <c r="GK8" i="19"/>
  <c r="GQ9" i="19"/>
  <c r="GP9" i="19"/>
  <c r="GN9" i="19"/>
  <c r="GM9" i="19"/>
  <c r="GL9" i="19"/>
  <c r="GK9" i="19"/>
  <c r="GQ5" i="19"/>
  <c r="GP5" i="19"/>
  <c r="GN5" i="19"/>
  <c r="GM5" i="19"/>
  <c r="GL5" i="19"/>
  <c r="GK5" i="19"/>
  <c r="GQ6" i="19"/>
  <c r="GP6" i="19"/>
  <c r="GN6" i="19"/>
  <c r="GM6" i="19"/>
  <c r="GL6" i="19"/>
  <c r="GK6" i="19"/>
  <c r="GQ7" i="19"/>
  <c r="GP7" i="19"/>
  <c r="GN7" i="19"/>
  <c r="GM7" i="19"/>
  <c r="GL7" i="19"/>
  <c r="GK7" i="19"/>
  <c r="GQ4" i="19"/>
  <c r="GP4" i="19"/>
  <c r="GN4" i="19"/>
  <c r="GM4" i="19"/>
  <c r="GL4" i="19"/>
  <c r="GK4" i="19"/>
  <c r="FO23" i="19"/>
  <c r="FN23" i="19"/>
  <c r="FL23" i="19"/>
  <c r="FK23" i="19"/>
  <c r="FJ23" i="19"/>
  <c r="FI23" i="19"/>
  <c r="FO34" i="19"/>
  <c r="FN34" i="19"/>
  <c r="FL34" i="19"/>
  <c r="FK34" i="19"/>
  <c r="FJ34" i="19"/>
  <c r="FI34" i="19"/>
  <c r="FO33" i="19"/>
  <c r="FN33" i="19"/>
  <c r="FL33" i="19"/>
  <c r="FK33" i="19"/>
  <c r="FJ33" i="19"/>
  <c r="FI33" i="19"/>
  <c r="FO32" i="19"/>
  <c r="FN32" i="19"/>
  <c r="FL32" i="19"/>
  <c r="FK32" i="19"/>
  <c r="FJ32" i="19"/>
  <c r="FI32" i="19"/>
  <c r="FO30" i="19"/>
  <c r="FN30" i="19"/>
  <c r="FL30" i="19"/>
  <c r="FK30" i="19"/>
  <c r="FJ30" i="19"/>
  <c r="FI30" i="19"/>
  <c r="FO35" i="19"/>
  <c r="FN35" i="19"/>
  <c r="FL35" i="19"/>
  <c r="FK35" i="19"/>
  <c r="FJ35" i="19"/>
  <c r="FI35" i="19"/>
  <c r="FO27" i="19"/>
  <c r="FN27" i="19"/>
  <c r="FL27" i="19"/>
  <c r="FK27" i="19"/>
  <c r="FJ27" i="19"/>
  <c r="FI27" i="19"/>
  <c r="FO24" i="19"/>
  <c r="FN24" i="19"/>
  <c r="FL24" i="19"/>
  <c r="FK24" i="19"/>
  <c r="FJ24" i="19"/>
  <c r="FI24" i="19"/>
  <c r="FO19" i="19"/>
  <c r="FN19" i="19"/>
  <c r="FL19" i="19"/>
  <c r="FK19" i="19"/>
  <c r="FJ19" i="19"/>
  <c r="FI19" i="19"/>
  <c r="FO22" i="19"/>
  <c r="FN22" i="19"/>
  <c r="FL22" i="19"/>
  <c r="FK22" i="19"/>
  <c r="FJ22" i="19"/>
  <c r="FI22" i="19"/>
  <c r="FO18" i="19"/>
  <c r="FN18" i="19"/>
  <c r="FL18" i="19"/>
  <c r="FK18" i="19"/>
  <c r="FJ18" i="19"/>
  <c r="FI18" i="19"/>
  <c r="FO15" i="19"/>
  <c r="FN15" i="19"/>
  <c r="FL15" i="19"/>
  <c r="FK15" i="19"/>
  <c r="FJ15" i="19"/>
  <c r="FI15" i="19"/>
  <c r="FO20" i="19"/>
  <c r="FN20" i="19"/>
  <c r="FL20" i="19"/>
  <c r="FK20" i="19"/>
  <c r="FJ20" i="19"/>
  <c r="FI20" i="19"/>
  <c r="FO13" i="19"/>
  <c r="FN13" i="19"/>
  <c r="FL13" i="19"/>
  <c r="FK13" i="19"/>
  <c r="FJ13" i="19"/>
  <c r="FI13" i="19"/>
  <c r="FO31" i="19"/>
  <c r="FN31" i="19"/>
  <c r="FL31" i="19"/>
  <c r="FK31" i="19"/>
  <c r="FJ31" i="19"/>
  <c r="FI31" i="19"/>
  <c r="FO25" i="19"/>
  <c r="FN25" i="19"/>
  <c r="FL25" i="19"/>
  <c r="FK25" i="19"/>
  <c r="FJ25" i="19"/>
  <c r="FI25" i="19"/>
  <c r="FO29" i="19"/>
  <c r="FN29" i="19"/>
  <c r="FL29" i="19"/>
  <c r="FK29" i="19"/>
  <c r="FJ29" i="19"/>
  <c r="FI29" i="19"/>
  <c r="FO28" i="19"/>
  <c r="FN28" i="19"/>
  <c r="FL28" i="19"/>
  <c r="FK28" i="19"/>
  <c r="FJ28" i="19"/>
  <c r="FI28" i="19"/>
  <c r="FO26" i="19"/>
  <c r="FN26" i="19"/>
  <c r="FL26" i="19"/>
  <c r="FK26" i="19"/>
  <c r="FJ26" i="19"/>
  <c r="FI26" i="19"/>
  <c r="FO17" i="19"/>
  <c r="FN17" i="19"/>
  <c r="FL17" i="19"/>
  <c r="FK17" i="19"/>
  <c r="FJ17" i="19"/>
  <c r="FI17" i="19"/>
  <c r="FO10" i="19"/>
  <c r="FN10" i="19"/>
  <c r="FL10" i="19"/>
  <c r="FK10" i="19"/>
  <c r="FJ10" i="19"/>
  <c r="FI10" i="19"/>
  <c r="FO21" i="19"/>
  <c r="FN21" i="19"/>
  <c r="FL21" i="19"/>
  <c r="FK21" i="19"/>
  <c r="FJ21" i="19"/>
  <c r="FI21" i="19"/>
  <c r="FO12" i="19"/>
  <c r="FN12" i="19"/>
  <c r="FL12" i="19"/>
  <c r="FK12" i="19"/>
  <c r="FJ12" i="19"/>
  <c r="FI12" i="19"/>
  <c r="FO16" i="19"/>
  <c r="FN16" i="19"/>
  <c r="FL16" i="19"/>
  <c r="FK16" i="19"/>
  <c r="FJ16" i="19"/>
  <c r="FI16" i="19"/>
  <c r="FO11" i="19"/>
  <c r="FN11" i="19"/>
  <c r="FL11" i="19"/>
  <c r="FK11" i="19"/>
  <c r="FJ11" i="19"/>
  <c r="FI11" i="19"/>
  <c r="FO14" i="19"/>
  <c r="FN14" i="19"/>
  <c r="FL14" i="19"/>
  <c r="FK14" i="19"/>
  <c r="FJ14" i="19"/>
  <c r="FI14" i="19"/>
  <c r="FO8" i="19"/>
  <c r="FN8" i="19"/>
  <c r="FL8" i="19"/>
  <c r="FK8" i="19"/>
  <c r="FJ8" i="19"/>
  <c r="FI8" i="19"/>
  <c r="FO9" i="19"/>
  <c r="FN9" i="19"/>
  <c r="FL9" i="19"/>
  <c r="FK9" i="19"/>
  <c r="FJ9" i="19"/>
  <c r="FI9" i="19"/>
  <c r="FO5" i="19"/>
  <c r="FN5" i="19"/>
  <c r="FL5" i="19"/>
  <c r="FK5" i="19"/>
  <c r="FJ5" i="19"/>
  <c r="FI5" i="19"/>
  <c r="FO6" i="19"/>
  <c r="FN6" i="19"/>
  <c r="FL6" i="19"/>
  <c r="FK6" i="19"/>
  <c r="FJ6" i="19"/>
  <c r="FI6" i="19"/>
  <c r="FO7" i="19"/>
  <c r="FN7" i="19"/>
  <c r="FL7" i="19"/>
  <c r="FK7" i="19"/>
  <c r="FJ7" i="19"/>
  <c r="FI7" i="19"/>
  <c r="FO4" i="19"/>
  <c r="FN4" i="19"/>
  <c r="FL4" i="19"/>
  <c r="FK4" i="19"/>
  <c r="FJ4" i="19"/>
  <c r="FI4" i="19"/>
  <c r="EM23" i="19"/>
  <c r="EL23" i="19"/>
  <c r="EJ23" i="19"/>
  <c r="EI23" i="19"/>
  <c r="EH23" i="19"/>
  <c r="EG23" i="19"/>
  <c r="EM34" i="19"/>
  <c r="EL34" i="19"/>
  <c r="EJ34" i="19"/>
  <c r="EI34" i="19"/>
  <c r="EH34" i="19"/>
  <c r="EG34" i="19"/>
  <c r="EM33" i="19"/>
  <c r="EL33" i="19"/>
  <c r="EJ33" i="19"/>
  <c r="EI33" i="19"/>
  <c r="EH33" i="19"/>
  <c r="EG33" i="19"/>
  <c r="EM32" i="19"/>
  <c r="EL32" i="19"/>
  <c r="EJ32" i="19"/>
  <c r="EI32" i="19"/>
  <c r="EH32" i="19"/>
  <c r="EG32" i="19"/>
  <c r="EM30" i="19"/>
  <c r="EL30" i="19"/>
  <c r="EJ30" i="19"/>
  <c r="EI30" i="19"/>
  <c r="EH30" i="19"/>
  <c r="EG30" i="19"/>
  <c r="EM35" i="19"/>
  <c r="EL35" i="19"/>
  <c r="EJ35" i="19"/>
  <c r="EI35" i="19"/>
  <c r="EH35" i="19"/>
  <c r="EG35" i="19"/>
  <c r="EM27" i="19"/>
  <c r="EL27" i="19"/>
  <c r="EJ27" i="19"/>
  <c r="EI27" i="19"/>
  <c r="EH27" i="19"/>
  <c r="EG27" i="19"/>
  <c r="EM24" i="19"/>
  <c r="EL24" i="19"/>
  <c r="EJ24" i="19"/>
  <c r="EI24" i="19"/>
  <c r="EH24" i="19"/>
  <c r="EG24" i="19"/>
  <c r="EM19" i="19"/>
  <c r="EL19" i="19"/>
  <c r="EJ19" i="19"/>
  <c r="EI19" i="19"/>
  <c r="EH19" i="19"/>
  <c r="EG19" i="19"/>
  <c r="EM22" i="19"/>
  <c r="EL22" i="19"/>
  <c r="EJ22" i="19"/>
  <c r="EI22" i="19"/>
  <c r="EH22" i="19"/>
  <c r="EG22" i="19"/>
  <c r="EM18" i="19"/>
  <c r="EL18" i="19"/>
  <c r="EJ18" i="19"/>
  <c r="EI18" i="19"/>
  <c r="EH18" i="19"/>
  <c r="EG18" i="19"/>
  <c r="EM15" i="19"/>
  <c r="EL15" i="19"/>
  <c r="EJ15" i="19"/>
  <c r="EI15" i="19"/>
  <c r="EH15" i="19"/>
  <c r="EG15" i="19"/>
  <c r="EM20" i="19"/>
  <c r="EL20" i="19"/>
  <c r="EJ20" i="19"/>
  <c r="EI20" i="19"/>
  <c r="EH20" i="19"/>
  <c r="EG20" i="19"/>
  <c r="EM13" i="19"/>
  <c r="EL13" i="19"/>
  <c r="EJ13" i="19"/>
  <c r="EI13" i="19"/>
  <c r="EH13" i="19"/>
  <c r="EG13" i="19"/>
  <c r="EM31" i="19"/>
  <c r="EL31" i="19"/>
  <c r="EJ31" i="19"/>
  <c r="EI31" i="19"/>
  <c r="EH31" i="19"/>
  <c r="EG31" i="19"/>
  <c r="EM25" i="19"/>
  <c r="EL25" i="19"/>
  <c r="EJ25" i="19"/>
  <c r="EI25" i="19"/>
  <c r="EH25" i="19"/>
  <c r="EG25" i="19"/>
  <c r="EM29" i="19"/>
  <c r="EL29" i="19"/>
  <c r="EJ29" i="19"/>
  <c r="EI29" i="19"/>
  <c r="EH29" i="19"/>
  <c r="EG29" i="19"/>
  <c r="EM28" i="19"/>
  <c r="EL28" i="19"/>
  <c r="EJ28" i="19"/>
  <c r="EI28" i="19"/>
  <c r="EH28" i="19"/>
  <c r="EG28" i="19"/>
  <c r="EM26" i="19"/>
  <c r="EL26" i="19"/>
  <c r="EJ26" i="19"/>
  <c r="EI26" i="19"/>
  <c r="EH26" i="19"/>
  <c r="EG26" i="19"/>
  <c r="EM17" i="19"/>
  <c r="EL17" i="19"/>
  <c r="EJ17" i="19"/>
  <c r="EI17" i="19"/>
  <c r="EH17" i="19"/>
  <c r="EG17" i="19"/>
  <c r="EM10" i="19"/>
  <c r="EL10" i="19"/>
  <c r="EJ10" i="19"/>
  <c r="EI10" i="19"/>
  <c r="EH10" i="19"/>
  <c r="EG10" i="19"/>
  <c r="EM21" i="19"/>
  <c r="EL21" i="19"/>
  <c r="EJ21" i="19"/>
  <c r="EI21" i="19"/>
  <c r="EH21" i="19"/>
  <c r="EG21" i="19"/>
  <c r="EM12" i="19"/>
  <c r="EL12" i="19"/>
  <c r="EJ12" i="19"/>
  <c r="EI12" i="19"/>
  <c r="EH12" i="19"/>
  <c r="EG12" i="19"/>
  <c r="EM16" i="19"/>
  <c r="EL16" i="19"/>
  <c r="EJ16" i="19"/>
  <c r="EI16" i="19"/>
  <c r="EH16" i="19"/>
  <c r="EG16" i="19"/>
  <c r="EM11" i="19"/>
  <c r="EL11" i="19"/>
  <c r="EJ11" i="19"/>
  <c r="EI11" i="19"/>
  <c r="EH11" i="19"/>
  <c r="EG11" i="19"/>
  <c r="EM14" i="19"/>
  <c r="EL14" i="19"/>
  <c r="EJ14" i="19"/>
  <c r="EI14" i="19"/>
  <c r="EH14" i="19"/>
  <c r="EG14" i="19"/>
  <c r="EM8" i="19"/>
  <c r="EL8" i="19"/>
  <c r="EJ8" i="19"/>
  <c r="EI8" i="19"/>
  <c r="EH8" i="19"/>
  <c r="EG8" i="19"/>
  <c r="EM9" i="19"/>
  <c r="EL9" i="19"/>
  <c r="EJ9" i="19"/>
  <c r="EI9" i="19"/>
  <c r="EH9" i="19"/>
  <c r="EG9" i="19"/>
  <c r="EM5" i="19"/>
  <c r="EL5" i="19"/>
  <c r="EJ5" i="19"/>
  <c r="EI5" i="19"/>
  <c r="EH5" i="19"/>
  <c r="EG5" i="19"/>
  <c r="EM6" i="19"/>
  <c r="EL6" i="19"/>
  <c r="EJ6" i="19"/>
  <c r="EI6" i="19"/>
  <c r="EH6" i="19"/>
  <c r="EG6" i="19"/>
  <c r="EM7" i="19"/>
  <c r="EL7" i="19"/>
  <c r="EJ7" i="19"/>
  <c r="EI7" i="19"/>
  <c r="EH7" i="19"/>
  <c r="EG7" i="19"/>
  <c r="EM4" i="19"/>
  <c r="EL4" i="19"/>
  <c r="EJ4" i="19"/>
  <c r="EI4" i="19"/>
  <c r="EH4" i="19"/>
  <c r="EG4" i="19"/>
  <c r="DK23" i="19"/>
  <c r="DJ23" i="19"/>
  <c r="DH23" i="19"/>
  <c r="DG23" i="19"/>
  <c r="DF23" i="19"/>
  <c r="DE23" i="19"/>
  <c r="DK34" i="19"/>
  <c r="DJ34" i="19"/>
  <c r="DH34" i="19"/>
  <c r="DG34" i="19"/>
  <c r="DF34" i="19"/>
  <c r="DE34" i="19"/>
  <c r="DK33" i="19"/>
  <c r="DJ33" i="19"/>
  <c r="DH33" i="19"/>
  <c r="DG33" i="19"/>
  <c r="DF33" i="19"/>
  <c r="DE33" i="19"/>
  <c r="DK32" i="19"/>
  <c r="DJ32" i="19"/>
  <c r="DH32" i="19"/>
  <c r="DG32" i="19"/>
  <c r="DF32" i="19"/>
  <c r="DE32" i="19"/>
  <c r="DK30" i="19"/>
  <c r="DJ30" i="19"/>
  <c r="DH30" i="19"/>
  <c r="DG30" i="19"/>
  <c r="DF30" i="19"/>
  <c r="DE30" i="19"/>
  <c r="DK35" i="19"/>
  <c r="DJ35" i="19"/>
  <c r="DH35" i="19"/>
  <c r="DG35" i="19"/>
  <c r="DF35" i="19"/>
  <c r="DE35" i="19"/>
  <c r="DK27" i="19"/>
  <c r="DJ27" i="19"/>
  <c r="DH27" i="19"/>
  <c r="DG27" i="19"/>
  <c r="DF27" i="19"/>
  <c r="DE27" i="19"/>
  <c r="DK24" i="19"/>
  <c r="DJ24" i="19"/>
  <c r="DH24" i="19"/>
  <c r="DG24" i="19"/>
  <c r="DF24" i="19"/>
  <c r="DE24" i="19"/>
  <c r="DK19" i="19"/>
  <c r="DJ19" i="19"/>
  <c r="DH19" i="19"/>
  <c r="DG19" i="19"/>
  <c r="DF19" i="19"/>
  <c r="DE19" i="19"/>
  <c r="DK22" i="19"/>
  <c r="DJ22" i="19"/>
  <c r="DH22" i="19"/>
  <c r="DG22" i="19"/>
  <c r="DF22" i="19"/>
  <c r="DE22" i="19"/>
  <c r="DK18" i="19"/>
  <c r="DJ18" i="19"/>
  <c r="DH18" i="19"/>
  <c r="DG18" i="19"/>
  <c r="DF18" i="19"/>
  <c r="DE18" i="19"/>
  <c r="DK15" i="19"/>
  <c r="DJ15" i="19"/>
  <c r="DH15" i="19"/>
  <c r="DG15" i="19"/>
  <c r="DF15" i="19"/>
  <c r="DE15" i="19"/>
  <c r="DK20" i="19"/>
  <c r="DJ20" i="19"/>
  <c r="DH20" i="19"/>
  <c r="DG20" i="19"/>
  <c r="DF20" i="19"/>
  <c r="DE20" i="19"/>
  <c r="DK13" i="19"/>
  <c r="DJ13" i="19"/>
  <c r="DH13" i="19"/>
  <c r="DG13" i="19"/>
  <c r="DF13" i="19"/>
  <c r="DE13" i="19"/>
  <c r="DK31" i="19"/>
  <c r="DJ31" i="19"/>
  <c r="DH31" i="19"/>
  <c r="DG31" i="19"/>
  <c r="DF31" i="19"/>
  <c r="DE31" i="19"/>
  <c r="DK25" i="19"/>
  <c r="DJ25" i="19"/>
  <c r="DH25" i="19"/>
  <c r="DG25" i="19"/>
  <c r="DF25" i="19"/>
  <c r="DE25" i="19"/>
  <c r="DK29" i="19"/>
  <c r="DJ29" i="19"/>
  <c r="DH29" i="19"/>
  <c r="DG29" i="19"/>
  <c r="DF29" i="19"/>
  <c r="DE29" i="19"/>
  <c r="DK28" i="19"/>
  <c r="DJ28" i="19"/>
  <c r="DH28" i="19"/>
  <c r="DG28" i="19"/>
  <c r="DF28" i="19"/>
  <c r="DE28" i="19"/>
  <c r="DK26" i="19"/>
  <c r="DJ26" i="19"/>
  <c r="DH26" i="19"/>
  <c r="DG26" i="19"/>
  <c r="DF26" i="19"/>
  <c r="DE26" i="19"/>
  <c r="DK17" i="19"/>
  <c r="DJ17" i="19"/>
  <c r="DH17" i="19"/>
  <c r="DG17" i="19"/>
  <c r="DF17" i="19"/>
  <c r="DE17" i="19"/>
  <c r="DK10" i="19"/>
  <c r="DJ10" i="19"/>
  <c r="DH10" i="19"/>
  <c r="DG10" i="19"/>
  <c r="DF10" i="19"/>
  <c r="DE10" i="19"/>
  <c r="DK21" i="19"/>
  <c r="DJ21" i="19"/>
  <c r="DH21" i="19"/>
  <c r="DG21" i="19"/>
  <c r="DF21" i="19"/>
  <c r="DE21" i="19"/>
  <c r="DK12" i="19"/>
  <c r="DJ12" i="19"/>
  <c r="DH12" i="19"/>
  <c r="DG12" i="19"/>
  <c r="DF12" i="19"/>
  <c r="DE12" i="19"/>
  <c r="DK16" i="19"/>
  <c r="DJ16" i="19"/>
  <c r="DH16" i="19"/>
  <c r="DG16" i="19"/>
  <c r="DF16" i="19"/>
  <c r="DE16" i="19"/>
  <c r="DK11" i="19"/>
  <c r="DJ11" i="19"/>
  <c r="DH11" i="19"/>
  <c r="DG11" i="19"/>
  <c r="DF11" i="19"/>
  <c r="DE11" i="19"/>
  <c r="DK14" i="19"/>
  <c r="DJ14" i="19"/>
  <c r="DH14" i="19"/>
  <c r="DG14" i="19"/>
  <c r="DF14" i="19"/>
  <c r="DE14" i="19"/>
  <c r="DK8" i="19"/>
  <c r="DJ8" i="19"/>
  <c r="DH8" i="19"/>
  <c r="DG8" i="19"/>
  <c r="DF8" i="19"/>
  <c r="DE8" i="19"/>
  <c r="DK9" i="19"/>
  <c r="DJ9" i="19"/>
  <c r="DH9" i="19"/>
  <c r="DG9" i="19"/>
  <c r="DF9" i="19"/>
  <c r="DE9" i="19"/>
  <c r="DK5" i="19"/>
  <c r="DJ5" i="19"/>
  <c r="DH5" i="19"/>
  <c r="DG5" i="19"/>
  <c r="DF5" i="19"/>
  <c r="DE5" i="19"/>
  <c r="DK6" i="19"/>
  <c r="DJ6" i="19"/>
  <c r="DH6" i="19"/>
  <c r="DG6" i="19"/>
  <c r="DF6" i="19"/>
  <c r="DE6" i="19"/>
  <c r="DK7" i="19"/>
  <c r="DJ7" i="19"/>
  <c r="DH7" i="19"/>
  <c r="DG7" i="19"/>
  <c r="DF7" i="19"/>
  <c r="DE7" i="19"/>
  <c r="DK4" i="19"/>
  <c r="DJ4" i="19"/>
  <c r="DH4" i="19"/>
  <c r="DG4" i="19"/>
  <c r="DF4" i="19"/>
  <c r="DE4" i="19"/>
  <c r="OE18" i="27"/>
  <c r="OD18" i="27"/>
  <c r="OB18" i="27"/>
  <c r="OA18" i="27"/>
  <c r="NZ18" i="27"/>
  <c r="NY18" i="27"/>
  <c r="OE16" i="27"/>
  <c r="OD16" i="27"/>
  <c r="OB16" i="27"/>
  <c r="OA16" i="27"/>
  <c r="NZ16" i="27"/>
  <c r="NY16" i="27"/>
  <c r="OE7" i="27"/>
  <c r="OD7" i="27"/>
  <c r="OB7" i="27"/>
  <c r="OA7" i="27"/>
  <c r="NZ7" i="27"/>
  <c r="NY7" i="27"/>
  <c r="OE14" i="27"/>
  <c r="OD14" i="27"/>
  <c r="OB14" i="27"/>
  <c r="OA14" i="27"/>
  <c r="NZ14" i="27"/>
  <c r="NY14" i="27"/>
  <c r="OE12" i="27"/>
  <c r="OD12" i="27"/>
  <c r="OB12" i="27"/>
  <c r="OA12" i="27"/>
  <c r="NZ12" i="27"/>
  <c r="NY12" i="27"/>
  <c r="OE11" i="27"/>
  <c r="OD11" i="27"/>
  <c r="OB11" i="27"/>
  <c r="OA11" i="27"/>
  <c r="NZ11" i="27"/>
  <c r="NY11" i="27"/>
  <c r="OE13" i="27"/>
  <c r="OD13" i="27"/>
  <c r="OB13" i="27"/>
  <c r="OA13" i="27"/>
  <c r="NZ13" i="27"/>
  <c r="NY13" i="27"/>
  <c r="OE15" i="27"/>
  <c r="OD15" i="27"/>
  <c r="OB15" i="27"/>
  <c r="OA15" i="27"/>
  <c r="NZ15" i="27"/>
  <c r="NY15" i="27"/>
  <c r="OE8" i="27"/>
  <c r="OD8" i="27"/>
  <c r="OB8" i="27"/>
  <c r="OA8" i="27"/>
  <c r="NZ8" i="27"/>
  <c r="NY8" i="27"/>
  <c r="OE17" i="27"/>
  <c r="OD17" i="27"/>
  <c r="OB17" i="27"/>
  <c r="OA17" i="27"/>
  <c r="NZ17" i="27"/>
  <c r="NY17" i="27"/>
  <c r="OE9" i="27"/>
  <c r="OD9" i="27"/>
  <c r="OB9" i="27"/>
  <c r="OA9" i="27"/>
  <c r="NZ9" i="27"/>
  <c r="NY9" i="27"/>
  <c r="OE10" i="27"/>
  <c r="OD10" i="27"/>
  <c r="OB10" i="27"/>
  <c r="OA10" i="27"/>
  <c r="NZ10" i="27"/>
  <c r="NY10" i="27"/>
  <c r="OE6" i="27"/>
  <c r="OD6" i="27"/>
  <c r="OB6" i="27"/>
  <c r="OA6" i="27"/>
  <c r="NZ6" i="27"/>
  <c r="NY6" i="27"/>
  <c r="OE5" i="27"/>
  <c r="OD5" i="27"/>
  <c r="OB5" i="27"/>
  <c r="OA5" i="27"/>
  <c r="NZ5" i="27"/>
  <c r="NY5" i="27"/>
  <c r="OE4" i="27"/>
  <c r="OD4" i="27"/>
  <c r="OB4" i="27"/>
  <c r="OA4" i="27"/>
  <c r="NZ4" i="27"/>
  <c r="NY4" i="27"/>
  <c r="NC18" i="27"/>
  <c r="NB18" i="27"/>
  <c r="MZ18" i="27"/>
  <c r="MY18" i="27"/>
  <c r="MX18" i="27"/>
  <c r="MW18" i="27"/>
  <c r="NC16" i="27"/>
  <c r="NB16" i="27"/>
  <c r="MZ16" i="27"/>
  <c r="MY16" i="27"/>
  <c r="MX16" i="27"/>
  <c r="MW16" i="27"/>
  <c r="NC7" i="27"/>
  <c r="NB7" i="27"/>
  <c r="MZ7" i="27"/>
  <c r="MY7" i="27"/>
  <c r="MX7" i="27"/>
  <c r="MW7" i="27"/>
  <c r="NC14" i="27"/>
  <c r="NB14" i="27"/>
  <c r="MZ14" i="27"/>
  <c r="MY14" i="27"/>
  <c r="MX14" i="27"/>
  <c r="MW14" i="27"/>
  <c r="NC12" i="27"/>
  <c r="NB12" i="27"/>
  <c r="MZ12" i="27"/>
  <c r="MY12" i="27"/>
  <c r="MX12" i="27"/>
  <c r="MW12" i="27"/>
  <c r="NC11" i="27"/>
  <c r="NB11" i="27"/>
  <c r="MZ11" i="27"/>
  <c r="MY11" i="27"/>
  <c r="MX11" i="27"/>
  <c r="MW11" i="27"/>
  <c r="NC13" i="27"/>
  <c r="NB13" i="27"/>
  <c r="MZ13" i="27"/>
  <c r="MY13" i="27"/>
  <c r="MX13" i="27"/>
  <c r="MW13" i="27"/>
  <c r="NC15" i="27"/>
  <c r="NB15" i="27"/>
  <c r="MZ15" i="27"/>
  <c r="MY15" i="27"/>
  <c r="MX15" i="27"/>
  <c r="MW15" i="27"/>
  <c r="NC8" i="27"/>
  <c r="NB8" i="27"/>
  <c r="MZ8" i="27"/>
  <c r="MY8" i="27"/>
  <c r="MX8" i="27"/>
  <c r="MW8" i="27"/>
  <c r="NC17" i="27"/>
  <c r="NB17" i="27"/>
  <c r="MZ17" i="27"/>
  <c r="MY17" i="27"/>
  <c r="MX17" i="27"/>
  <c r="MW17" i="27"/>
  <c r="NC9" i="27"/>
  <c r="NB9" i="27"/>
  <c r="MZ9" i="27"/>
  <c r="MY9" i="27"/>
  <c r="MX9" i="27"/>
  <c r="MW9" i="27"/>
  <c r="NC10" i="27"/>
  <c r="NB10" i="27"/>
  <c r="MZ10" i="27"/>
  <c r="MY10" i="27"/>
  <c r="MX10" i="27"/>
  <c r="MW10" i="27"/>
  <c r="NC6" i="27"/>
  <c r="NB6" i="27"/>
  <c r="MZ6" i="27"/>
  <c r="MY6" i="27"/>
  <c r="MX6" i="27"/>
  <c r="MW6" i="27"/>
  <c r="NC5" i="27"/>
  <c r="NB5" i="27"/>
  <c r="MZ5" i="27"/>
  <c r="MY5" i="27"/>
  <c r="MX5" i="27"/>
  <c r="MW5" i="27"/>
  <c r="NC4" i="27"/>
  <c r="NB4" i="27"/>
  <c r="MZ4" i="27"/>
  <c r="MY4" i="27"/>
  <c r="MX4" i="27"/>
  <c r="MW4" i="27"/>
  <c r="MA18" i="27"/>
  <c r="LZ18" i="27"/>
  <c r="LX18" i="27"/>
  <c r="LW18" i="27"/>
  <c r="LV18" i="27"/>
  <c r="LU18" i="27"/>
  <c r="MA16" i="27"/>
  <c r="LZ16" i="27"/>
  <c r="LX16" i="27"/>
  <c r="LW16" i="27"/>
  <c r="LV16" i="27"/>
  <c r="LU16" i="27"/>
  <c r="MA7" i="27"/>
  <c r="LZ7" i="27"/>
  <c r="LX7" i="27"/>
  <c r="LW7" i="27"/>
  <c r="LV7" i="27"/>
  <c r="LU7" i="27"/>
  <c r="MA14" i="27"/>
  <c r="LZ14" i="27"/>
  <c r="LX14" i="27"/>
  <c r="LW14" i="27"/>
  <c r="LV14" i="27"/>
  <c r="LU14" i="27"/>
  <c r="MA12" i="27"/>
  <c r="LZ12" i="27"/>
  <c r="LX12" i="27"/>
  <c r="LW12" i="27"/>
  <c r="LV12" i="27"/>
  <c r="LU12" i="27"/>
  <c r="MA11" i="27"/>
  <c r="LZ11" i="27"/>
  <c r="LX11" i="27"/>
  <c r="LW11" i="27"/>
  <c r="LV11" i="27"/>
  <c r="LU11" i="27"/>
  <c r="MA13" i="27"/>
  <c r="LZ13" i="27"/>
  <c r="LX13" i="27"/>
  <c r="LW13" i="27"/>
  <c r="LV13" i="27"/>
  <c r="LU13" i="27"/>
  <c r="MA15" i="27"/>
  <c r="LZ15" i="27"/>
  <c r="LX15" i="27"/>
  <c r="LW15" i="27"/>
  <c r="LV15" i="27"/>
  <c r="LU15" i="27"/>
  <c r="MA8" i="27"/>
  <c r="LZ8" i="27"/>
  <c r="LX8" i="27"/>
  <c r="LW8" i="27"/>
  <c r="LV8" i="27"/>
  <c r="LU8" i="27"/>
  <c r="MA17" i="27"/>
  <c r="LZ17" i="27"/>
  <c r="LX17" i="27"/>
  <c r="LW17" i="27"/>
  <c r="LV17" i="27"/>
  <c r="LU17" i="27"/>
  <c r="MA9" i="27"/>
  <c r="LZ9" i="27"/>
  <c r="LX9" i="27"/>
  <c r="LW9" i="27"/>
  <c r="LV9" i="27"/>
  <c r="LU9" i="27"/>
  <c r="MA10" i="27"/>
  <c r="LZ10" i="27"/>
  <c r="LX10" i="27"/>
  <c r="LW10" i="27"/>
  <c r="LV10" i="27"/>
  <c r="LU10" i="27"/>
  <c r="MA6" i="27"/>
  <c r="LZ6" i="27"/>
  <c r="LX6" i="27"/>
  <c r="LW6" i="27"/>
  <c r="LV6" i="27"/>
  <c r="LU6" i="27"/>
  <c r="MA5" i="27"/>
  <c r="LZ5" i="27"/>
  <c r="LX5" i="27"/>
  <c r="LW5" i="27"/>
  <c r="LV5" i="27"/>
  <c r="LU5" i="27"/>
  <c r="MA4" i="27"/>
  <c r="LZ4" i="27"/>
  <c r="LX4" i="27"/>
  <c r="LW4" i="27"/>
  <c r="LV4" i="27"/>
  <c r="LU4" i="27"/>
  <c r="KY18" i="27"/>
  <c r="KX18" i="27"/>
  <c r="KV18" i="27"/>
  <c r="KU18" i="27"/>
  <c r="KT18" i="27"/>
  <c r="KS18" i="27"/>
  <c r="KY16" i="27"/>
  <c r="KX16" i="27"/>
  <c r="KV16" i="27"/>
  <c r="KU16" i="27"/>
  <c r="KT16" i="27"/>
  <c r="KS16" i="27"/>
  <c r="KY7" i="27"/>
  <c r="KX7" i="27"/>
  <c r="KV7" i="27"/>
  <c r="KU7" i="27"/>
  <c r="KT7" i="27"/>
  <c r="KS7" i="27"/>
  <c r="KY14" i="27"/>
  <c r="KX14" i="27"/>
  <c r="KV14" i="27"/>
  <c r="KU14" i="27"/>
  <c r="KT14" i="27"/>
  <c r="KS14" i="27"/>
  <c r="KY12" i="27"/>
  <c r="KX12" i="27"/>
  <c r="KV12" i="27"/>
  <c r="KU12" i="27"/>
  <c r="KT12" i="27"/>
  <c r="KS12" i="27"/>
  <c r="KY11" i="27"/>
  <c r="KX11" i="27"/>
  <c r="KV11" i="27"/>
  <c r="KU11" i="27"/>
  <c r="KT11" i="27"/>
  <c r="KS11" i="27"/>
  <c r="KY13" i="27"/>
  <c r="KX13" i="27"/>
  <c r="KV13" i="27"/>
  <c r="KU13" i="27"/>
  <c r="KT13" i="27"/>
  <c r="KS13" i="27"/>
  <c r="KY15" i="27"/>
  <c r="KX15" i="27"/>
  <c r="KV15" i="27"/>
  <c r="KU15" i="27"/>
  <c r="KT15" i="27"/>
  <c r="KS15" i="27"/>
  <c r="KY8" i="27"/>
  <c r="KX8" i="27"/>
  <c r="KV8" i="27"/>
  <c r="KU8" i="27"/>
  <c r="KT8" i="27"/>
  <c r="KS8" i="27"/>
  <c r="KY17" i="27"/>
  <c r="KX17" i="27"/>
  <c r="KV17" i="27"/>
  <c r="KU17" i="27"/>
  <c r="KT17" i="27"/>
  <c r="KS17" i="27"/>
  <c r="KY9" i="27"/>
  <c r="KX9" i="27"/>
  <c r="KV9" i="27"/>
  <c r="KU9" i="27"/>
  <c r="KT9" i="27"/>
  <c r="KS9" i="27"/>
  <c r="KY10" i="27"/>
  <c r="KX10" i="27"/>
  <c r="KV10" i="27"/>
  <c r="KU10" i="27"/>
  <c r="KT10" i="27"/>
  <c r="KS10" i="27"/>
  <c r="KY6" i="27"/>
  <c r="KX6" i="27"/>
  <c r="KV6" i="27"/>
  <c r="KU6" i="27"/>
  <c r="KT6" i="27"/>
  <c r="KS6" i="27"/>
  <c r="KY5" i="27"/>
  <c r="KX5" i="27"/>
  <c r="KV5" i="27"/>
  <c r="KU5" i="27"/>
  <c r="KT5" i="27"/>
  <c r="KS5" i="27"/>
  <c r="KY4" i="27"/>
  <c r="KX4" i="27"/>
  <c r="KV4" i="27"/>
  <c r="KU4" i="27"/>
  <c r="KT4" i="27"/>
  <c r="KS4" i="27"/>
  <c r="JW18" i="27"/>
  <c r="JV18" i="27"/>
  <c r="JT18" i="27"/>
  <c r="JS18" i="27"/>
  <c r="JR18" i="27"/>
  <c r="JQ18" i="27"/>
  <c r="JW16" i="27"/>
  <c r="JV16" i="27"/>
  <c r="JT16" i="27"/>
  <c r="JS16" i="27"/>
  <c r="JR16" i="27"/>
  <c r="JQ16" i="27"/>
  <c r="JW7" i="27"/>
  <c r="JV7" i="27"/>
  <c r="JT7" i="27"/>
  <c r="JS7" i="27"/>
  <c r="JR7" i="27"/>
  <c r="JQ7" i="27"/>
  <c r="JW14" i="27"/>
  <c r="JV14" i="27"/>
  <c r="JT14" i="27"/>
  <c r="JS14" i="27"/>
  <c r="JR14" i="27"/>
  <c r="JQ14" i="27"/>
  <c r="JW12" i="27"/>
  <c r="JV12" i="27"/>
  <c r="JT12" i="27"/>
  <c r="JS12" i="27"/>
  <c r="JR12" i="27"/>
  <c r="JQ12" i="27"/>
  <c r="JW11" i="27"/>
  <c r="JV11" i="27"/>
  <c r="JT11" i="27"/>
  <c r="JS11" i="27"/>
  <c r="JR11" i="27"/>
  <c r="JQ11" i="27"/>
  <c r="JW13" i="27"/>
  <c r="JV13" i="27"/>
  <c r="JT13" i="27"/>
  <c r="JS13" i="27"/>
  <c r="JR13" i="27"/>
  <c r="JQ13" i="27"/>
  <c r="JW15" i="27"/>
  <c r="JV15" i="27"/>
  <c r="JT15" i="27"/>
  <c r="JS15" i="27"/>
  <c r="JR15" i="27"/>
  <c r="JQ15" i="27"/>
  <c r="JW8" i="27"/>
  <c r="JV8" i="27"/>
  <c r="JT8" i="27"/>
  <c r="JS8" i="27"/>
  <c r="JR8" i="27"/>
  <c r="JQ8" i="27"/>
  <c r="JW17" i="27"/>
  <c r="JV17" i="27"/>
  <c r="JT17" i="27"/>
  <c r="JS17" i="27"/>
  <c r="JR17" i="27"/>
  <c r="JQ17" i="27"/>
  <c r="JW9" i="27"/>
  <c r="JV9" i="27"/>
  <c r="JT9" i="27"/>
  <c r="JS9" i="27"/>
  <c r="JR9" i="27"/>
  <c r="JQ9" i="27"/>
  <c r="JW10" i="27"/>
  <c r="JV10" i="27"/>
  <c r="JT10" i="27"/>
  <c r="JS10" i="27"/>
  <c r="JR10" i="27"/>
  <c r="JQ10" i="27"/>
  <c r="JW6" i="27"/>
  <c r="JV6" i="27"/>
  <c r="JT6" i="27"/>
  <c r="JS6" i="27"/>
  <c r="JR6" i="27"/>
  <c r="JQ6" i="27"/>
  <c r="JW5" i="27"/>
  <c r="JV5" i="27"/>
  <c r="JT5" i="27"/>
  <c r="JS5" i="27"/>
  <c r="JR5" i="27"/>
  <c r="JQ5" i="27"/>
  <c r="JW4" i="27"/>
  <c r="JV4" i="27"/>
  <c r="JT4" i="27"/>
  <c r="JS4" i="27"/>
  <c r="JR4" i="27"/>
  <c r="JQ4" i="27"/>
  <c r="IU18" i="27"/>
  <c r="IT18" i="27"/>
  <c r="IR18" i="27"/>
  <c r="IQ18" i="27"/>
  <c r="IP18" i="27"/>
  <c r="IO18" i="27"/>
  <c r="IU16" i="27"/>
  <c r="IT16" i="27"/>
  <c r="IR16" i="27"/>
  <c r="IQ16" i="27"/>
  <c r="IP16" i="27"/>
  <c r="IO16" i="27"/>
  <c r="IU7" i="27"/>
  <c r="IT7" i="27"/>
  <c r="IR7" i="27"/>
  <c r="IQ7" i="27"/>
  <c r="IP7" i="27"/>
  <c r="IO7" i="27"/>
  <c r="IU14" i="27"/>
  <c r="IT14" i="27"/>
  <c r="IR14" i="27"/>
  <c r="IQ14" i="27"/>
  <c r="IP14" i="27"/>
  <c r="IO14" i="27"/>
  <c r="IU12" i="27"/>
  <c r="IT12" i="27"/>
  <c r="IR12" i="27"/>
  <c r="IQ12" i="27"/>
  <c r="IP12" i="27"/>
  <c r="IO12" i="27"/>
  <c r="IU11" i="27"/>
  <c r="IT11" i="27"/>
  <c r="IR11" i="27"/>
  <c r="IQ11" i="27"/>
  <c r="IP11" i="27"/>
  <c r="IO11" i="27"/>
  <c r="IU13" i="27"/>
  <c r="IT13" i="27"/>
  <c r="IR13" i="27"/>
  <c r="IQ13" i="27"/>
  <c r="IP13" i="27"/>
  <c r="IO13" i="27"/>
  <c r="IU15" i="27"/>
  <c r="IT15" i="27"/>
  <c r="IR15" i="27"/>
  <c r="IQ15" i="27"/>
  <c r="IP15" i="27"/>
  <c r="IO15" i="27"/>
  <c r="IU8" i="27"/>
  <c r="IT8" i="27"/>
  <c r="IR8" i="27"/>
  <c r="IQ8" i="27"/>
  <c r="IP8" i="27"/>
  <c r="IO8" i="27"/>
  <c r="IU17" i="27"/>
  <c r="IT17" i="27"/>
  <c r="IR17" i="27"/>
  <c r="IQ17" i="27"/>
  <c r="IP17" i="27"/>
  <c r="IO17" i="27"/>
  <c r="IU9" i="27"/>
  <c r="IT9" i="27"/>
  <c r="IR9" i="27"/>
  <c r="IQ9" i="27"/>
  <c r="IP9" i="27"/>
  <c r="IO9" i="27"/>
  <c r="IU10" i="27"/>
  <c r="IT10" i="27"/>
  <c r="IR10" i="27"/>
  <c r="IQ10" i="27"/>
  <c r="IP10" i="27"/>
  <c r="IO10" i="27"/>
  <c r="IU6" i="27"/>
  <c r="IT6" i="27"/>
  <c r="IR6" i="27"/>
  <c r="IQ6" i="27"/>
  <c r="IP6" i="27"/>
  <c r="IO6" i="27"/>
  <c r="IU5" i="27"/>
  <c r="IT5" i="27"/>
  <c r="IR5" i="27"/>
  <c r="IQ5" i="27"/>
  <c r="IP5" i="27"/>
  <c r="IO5" i="27"/>
  <c r="IU4" i="27"/>
  <c r="IT4" i="27"/>
  <c r="IR4" i="27"/>
  <c r="IQ4" i="27"/>
  <c r="IP4" i="27"/>
  <c r="IO4" i="27"/>
  <c r="HS18" i="27"/>
  <c r="HR18" i="27"/>
  <c r="HP18" i="27"/>
  <c r="HO18" i="27"/>
  <c r="HN18" i="27"/>
  <c r="HM18" i="27"/>
  <c r="HS16" i="27"/>
  <c r="HR16" i="27"/>
  <c r="HP16" i="27"/>
  <c r="HO16" i="27"/>
  <c r="HN16" i="27"/>
  <c r="HM16" i="27"/>
  <c r="HS7" i="27"/>
  <c r="HR7" i="27"/>
  <c r="HP7" i="27"/>
  <c r="HO7" i="27"/>
  <c r="HN7" i="27"/>
  <c r="HM7" i="27"/>
  <c r="HS14" i="27"/>
  <c r="HR14" i="27"/>
  <c r="HP14" i="27"/>
  <c r="HO14" i="27"/>
  <c r="HN14" i="27"/>
  <c r="HM14" i="27"/>
  <c r="HS12" i="27"/>
  <c r="HR12" i="27"/>
  <c r="HP12" i="27"/>
  <c r="HO12" i="27"/>
  <c r="HN12" i="27"/>
  <c r="HM12" i="27"/>
  <c r="HS11" i="27"/>
  <c r="HR11" i="27"/>
  <c r="HP11" i="27"/>
  <c r="HO11" i="27"/>
  <c r="HN11" i="27"/>
  <c r="HM11" i="27"/>
  <c r="HS13" i="27"/>
  <c r="HR13" i="27"/>
  <c r="HP13" i="27"/>
  <c r="HO13" i="27"/>
  <c r="HN13" i="27"/>
  <c r="HM13" i="27"/>
  <c r="HS15" i="27"/>
  <c r="HR15" i="27"/>
  <c r="HP15" i="27"/>
  <c r="HO15" i="27"/>
  <c r="HN15" i="27"/>
  <c r="HM15" i="27"/>
  <c r="HS8" i="27"/>
  <c r="HR8" i="27"/>
  <c r="HP8" i="27"/>
  <c r="HO8" i="27"/>
  <c r="HN8" i="27"/>
  <c r="HM8" i="27"/>
  <c r="HS17" i="27"/>
  <c r="HR17" i="27"/>
  <c r="HP17" i="27"/>
  <c r="HO17" i="27"/>
  <c r="HN17" i="27"/>
  <c r="HM17" i="27"/>
  <c r="HS9" i="27"/>
  <c r="HR9" i="27"/>
  <c r="HP9" i="27"/>
  <c r="HO9" i="27"/>
  <c r="HN9" i="27"/>
  <c r="HM9" i="27"/>
  <c r="HS10" i="27"/>
  <c r="HR10" i="27"/>
  <c r="HP10" i="27"/>
  <c r="HO10" i="27"/>
  <c r="HN10" i="27"/>
  <c r="HM10" i="27"/>
  <c r="HS6" i="27"/>
  <c r="HR6" i="27"/>
  <c r="HP6" i="27"/>
  <c r="HO6" i="27"/>
  <c r="HN6" i="27"/>
  <c r="HM6" i="27"/>
  <c r="HS5" i="27"/>
  <c r="HR5" i="27"/>
  <c r="HP5" i="27"/>
  <c r="HO5" i="27"/>
  <c r="HN5" i="27"/>
  <c r="HM5" i="27"/>
  <c r="HS4" i="27"/>
  <c r="HR4" i="27"/>
  <c r="HP4" i="27"/>
  <c r="HO4" i="27"/>
  <c r="HN4" i="27"/>
  <c r="HM4" i="27"/>
  <c r="GQ18" i="27"/>
  <c r="GP18" i="27"/>
  <c r="GN18" i="27"/>
  <c r="GM18" i="27"/>
  <c r="GL18" i="27"/>
  <c r="GK18" i="27"/>
  <c r="GQ16" i="27"/>
  <c r="GP16" i="27"/>
  <c r="GN16" i="27"/>
  <c r="GM16" i="27"/>
  <c r="GL16" i="27"/>
  <c r="GK16" i="27"/>
  <c r="GQ7" i="27"/>
  <c r="GP7" i="27"/>
  <c r="GN7" i="27"/>
  <c r="GM7" i="27"/>
  <c r="GL7" i="27"/>
  <c r="GK7" i="27"/>
  <c r="GQ14" i="27"/>
  <c r="GP14" i="27"/>
  <c r="GN14" i="27"/>
  <c r="GM14" i="27"/>
  <c r="GL14" i="27"/>
  <c r="GK14" i="27"/>
  <c r="GQ12" i="27"/>
  <c r="GP12" i="27"/>
  <c r="GN12" i="27"/>
  <c r="GM12" i="27"/>
  <c r="GL12" i="27"/>
  <c r="GK12" i="27"/>
  <c r="GQ11" i="27"/>
  <c r="GP11" i="27"/>
  <c r="GN11" i="27"/>
  <c r="GM11" i="27"/>
  <c r="GL11" i="27"/>
  <c r="GK11" i="27"/>
  <c r="GQ13" i="27"/>
  <c r="GP13" i="27"/>
  <c r="GN13" i="27"/>
  <c r="GM13" i="27"/>
  <c r="GL13" i="27"/>
  <c r="GK13" i="27"/>
  <c r="GQ15" i="27"/>
  <c r="GP15" i="27"/>
  <c r="GN15" i="27"/>
  <c r="GM15" i="27"/>
  <c r="GL15" i="27"/>
  <c r="GK15" i="27"/>
  <c r="GQ8" i="27"/>
  <c r="GP8" i="27"/>
  <c r="GN8" i="27"/>
  <c r="GM8" i="27"/>
  <c r="GL8" i="27"/>
  <c r="GK8" i="27"/>
  <c r="GQ17" i="27"/>
  <c r="GP17" i="27"/>
  <c r="GN17" i="27"/>
  <c r="GM17" i="27"/>
  <c r="GL17" i="27"/>
  <c r="GK17" i="27"/>
  <c r="GQ9" i="27"/>
  <c r="GP9" i="27"/>
  <c r="GN9" i="27"/>
  <c r="GM9" i="27"/>
  <c r="GL9" i="27"/>
  <c r="GK9" i="27"/>
  <c r="GQ10" i="27"/>
  <c r="GP10" i="27"/>
  <c r="GN10" i="27"/>
  <c r="GM10" i="27"/>
  <c r="GL10" i="27"/>
  <c r="GK10" i="27"/>
  <c r="GQ6" i="27"/>
  <c r="GP6" i="27"/>
  <c r="GN6" i="27"/>
  <c r="GM6" i="27"/>
  <c r="GL6" i="27"/>
  <c r="GK6" i="27"/>
  <c r="GQ5" i="27"/>
  <c r="GP5" i="27"/>
  <c r="GN5" i="27"/>
  <c r="GM5" i="27"/>
  <c r="GL5" i="27"/>
  <c r="GK5" i="27"/>
  <c r="GQ4" i="27"/>
  <c r="GP4" i="27"/>
  <c r="GN4" i="27"/>
  <c r="GM4" i="27"/>
  <c r="GL4" i="27"/>
  <c r="GK4" i="27"/>
  <c r="FO18" i="27"/>
  <c r="FN18" i="27"/>
  <c r="FL18" i="27"/>
  <c r="FK18" i="27"/>
  <c r="FJ18" i="27"/>
  <c r="FI18" i="27"/>
  <c r="FO16" i="27"/>
  <c r="FN16" i="27"/>
  <c r="FL16" i="27"/>
  <c r="FK16" i="27"/>
  <c r="FJ16" i="27"/>
  <c r="FI16" i="27"/>
  <c r="FO7" i="27"/>
  <c r="FN7" i="27"/>
  <c r="FL7" i="27"/>
  <c r="FK7" i="27"/>
  <c r="FJ7" i="27"/>
  <c r="FI7" i="27"/>
  <c r="FO14" i="27"/>
  <c r="FN14" i="27"/>
  <c r="FL14" i="27"/>
  <c r="FK14" i="27"/>
  <c r="FJ14" i="27"/>
  <c r="FI14" i="27"/>
  <c r="FO12" i="27"/>
  <c r="FN12" i="27"/>
  <c r="FL12" i="27"/>
  <c r="FK12" i="27"/>
  <c r="FJ12" i="27"/>
  <c r="FI12" i="27"/>
  <c r="FO11" i="27"/>
  <c r="FN11" i="27"/>
  <c r="FL11" i="27"/>
  <c r="FK11" i="27"/>
  <c r="FJ11" i="27"/>
  <c r="FI11" i="27"/>
  <c r="FO13" i="27"/>
  <c r="FN13" i="27"/>
  <c r="FL13" i="27"/>
  <c r="FK13" i="27"/>
  <c r="FJ13" i="27"/>
  <c r="FI13" i="27"/>
  <c r="FO15" i="27"/>
  <c r="FN15" i="27"/>
  <c r="FL15" i="27"/>
  <c r="FK15" i="27"/>
  <c r="FJ15" i="27"/>
  <c r="FI15" i="27"/>
  <c r="FO8" i="27"/>
  <c r="FN8" i="27"/>
  <c r="FL8" i="27"/>
  <c r="FK8" i="27"/>
  <c r="FJ8" i="27"/>
  <c r="FI8" i="27"/>
  <c r="FO17" i="27"/>
  <c r="FN17" i="27"/>
  <c r="FL17" i="27"/>
  <c r="FK17" i="27"/>
  <c r="FJ17" i="27"/>
  <c r="FI17" i="27"/>
  <c r="FO9" i="27"/>
  <c r="FN9" i="27"/>
  <c r="FL9" i="27"/>
  <c r="FK9" i="27"/>
  <c r="FJ9" i="27"/>
  <c r="FI9" i="27"/>
  <c r="FO10" i="27"/>
  <c r="FN10" i="27"/>
  <c r="FL10" i="27"/>
  <c r="FK10" i="27"/>
  <c r="FJ10" i="27"/>
  <c r="FI10" i="27"/>
  <c r="FO6" i="27"/>
  <c r="FN6" i="27"/>
  <c r="FL6" i="27"/>
  <c r="FK6" i="27"/>
  <c r="FJ6" i="27"/>
  <c r="FI6" i="27"/>
  <c r="FO5" i="27"/>
  <c r="FN5" i="27"/>
  <c r="FL5" i="27"/>
  <c r="FK5" i="27"/>
  <c r="FJ5" i="27"/>
  <c r="FI5" i="27"/>
  <c r="FO4" i="27"/>
  <c r="FN4" i="27"/>
  <c r="FL4" i="27"/>
  <c r="FK4" i="27"/>
  <c r="FJ4" i="27"/>
  <c r="FI4" i="27"/>
  <c r="EM18" i="27"/>
  <c r="EL18" i="27"/>
  <c r="EJ18" i="27"/>
  <c r="EI18" i="27"/>
  <c r="EH18" i="27"/>
  <c r="EG18" i="27"/>
  <c r="EM16" i="27"/>
  <c r="EL16" i="27"/>
  <c r="EJ16" i="27"/>
  <c r="EI16" i="27"/>
  <c r="EH16" i="27"/>
  <c r="EG16" i="27"/>
  <c r="EM7" i="27"/>
  <c r="EL7" i="27"/>
  <c r="EJ7" i="27"/>
  <c r="EI7" i="27"/>
  <c r="EH7" i="27"/>
  <c r="EG7" i="27"/>
  <c r="EM14" i="27"/>
  <c r="EL14" i="27"/>
  <c r="EJ14" i="27"/>
  <c r="EI14" i="27"/>
  <c r="EH14" i="27"/>
  <c r="EG14" i="27"/>
  <c r="EM12" i="27"/>
  <c r="EL12" i="27"/>
  <c r="EJ12" i="27"/>
  <c r="EI12" i="27"/>
  <c r="EH12" i="27"/>
  <c r="EG12" i="27"/>
  <c r="EM11" i="27"/>
  <c r="EL11" i="27"/>
  <c r="EJ11" i="27"/>
  <c r="EI11" i="27"/>
  <c r="EH11" i="27"/>
  <c r="EG11" i="27"/>
  <c r="EM13" i="27"/>
  <c r="EL13" i="27"/>
  <c r="EJ13" i="27"/>
  <c r="EI13" i="27"/>
  <c r="EH13" i="27"/>
  <c r="EG13" i="27"/>
  <c r="EM15" i="27"/>
  <c r="EL15" i="27"/>
  <c r="EJ15" i="27"/>
  <c r="EI15" i="27"/>
  <c r="EH15" i="27"/>
  <c r="EG15" i="27"/>
  <c r="EM8" i="27"/>
  <c r="EL8" i="27"/>
  <c r="EJ8" i="27"/>
  <c r="EI8" i="27"/>
  <c r="EH8" i="27"/>
  <c r="EG8" i="27"/>
  <c r="EM17" i="27"/>
  <c r="EL17" i="27"/>
  <c r="EJ17" i="27"/>
  <c r="EI17" i="27"/>
  <c r="EH17" i="27"/>
  <c r="EG17" i="27"/>
  <c r="EM9" i="27"/>
  <c r="EL9" i="27"/>
  <c r="EJ9" i="27"/>
  <c r="EI9" i="27"/>
  <c r="EH9" i="27"/>
  <c r="EG9" i="27"/>
  <c r="EM10" i="27"/>
  <c r="EL10" i="27"/>
  <c r="EJ10" i="27"/>
  <c r="EI10" i="27"/>
  <c r="EH10" i="27"/>
  <c r="EG10" i="27"/>
  <c r="EM6" i="27"/>
  <c r="EL6" i="27"/>
  <c r="EJ6" i="27"/>
  <c r="EI6" i="27"/>
  <c r="EH6" i="27"/>
  <c r="EG6" i="27"/>
  <c r="EM5" i="27"/>
  <c r="EL5" i="27"/>
  <c r="EJ5" i="27"/>
  <c r="EI5" i="27"/>
  <c r="EH5" i="27"/>
  <c r="EG5" i="27"/>
  <c r="EM4" i="27"/>
  <c r="EL4" i="27"/>
  <c r="EJ4" i="27"/>
  <c r="EI4" i="27"/>
  <c r="EH4" i="27"/>
  <c r="EG4" i="27"/>
  <c r="DK18" i="27"/>
  <c r="DJ18" i="27"/>
  <c r="DH18" i="27"/>
  <c r="DG18" i="27"/>
  <c r="DF18" i="27"/>
  <c r="DE18" i="27"/>
  <c r="DK16" i="27"/>
  <c r="DJ16" i="27"/>
  <c r="DH16" i="27"/>
  <c r="DG16" i="27"/>
  <c r="DF16" i="27"/>
  <c r="DE16" i="27"/>
  <c r="DK7" i="27"/>
  <c r="DJ7" i="27"/>
  <c r="DH7" i="27"/>
  <c r="DG7" i="27"/>
  <c r="DF7" i="27"/>
  <c r="DE7" i="27"/>
  <c r="DK14" i="27"/>
  <c r="DJ14" i="27"/>
  <c r="DH14" i="27"/>
  <c r="DG14" i="27"/>
  <c r="DF14" i="27"/>
  <c r="DE14" i="27"/>
  <c r="DK12" i="27"/>
  <c r="DJ12" i="27"/>
  <c r="DH12" i="27"/>
  <c r="DG12" i="27"/>
  <c r="DF12" i="27"/>
  <c r="DE12" i="27"/>
  <c r="DK11" i="27"/>
  <c r="DJ11" i="27"/>
  <c r="DH11" i="27"/>
  <c r="DG11" i="27"/>
  <c r="DF11" i="27"/>
  <c r="DE11" i="27"/>
  <c r="DK13" i="27"/>
  <c r="DJ13" i="27"/>
  <c r="DH13" i="27"/>
  <c r="DG13" i="27"/>
  <c r="DF13" i="27"/>
  <c r="DE13" i="27"/>
  <c r="DK15" i="27"/>
  <c r="DJ15" i="27"/>
  <c r="DH15" i="27"/>
  <c r="DG15" i="27"/>
  <c r="DF15" i="27"/>
  <c r="DE15" i="27"/>
  <c r="DK8" i="27"/>
  <c r="DJ8" i="27"/>
  <c r="DH8" i="27"/>
  <c r="DG8" i="27"/>
  <c r="DF8" i="27"/>
  <c r="DE8" i="27"/>
  <c r="DK17" i="27"/>
  <c r="DJ17" i="27"/>
  <c r="DH17" i="27"/>
  <c r="DG17" i="27"/>
  <c r="DF17" i="27"/>
  <c r="DE17" i="27"/>
  <c r="DK9" i="27"/>
  <c r="DJ9" i="27"/>
  <c r="DH9" i="27"/>
  <c r="DG9" i="27"/>
  <c r="DF9" i="27"/>
  <c r="DE9" i="27"/>
  <c r="DK10" i="27"/>
  <c r="DJ10" i="27"/>
  <c r="DH10" i="27"/>
  <c r="DG10" i="27"/>
  <c r="DF10" i="27"/>
  <c r="DE10" i="27"/>
  <c r="DK6" i="27"/>
  <c r="DJ6" i="27"/>
  <c r="DH6" i="27"/>
  <c r="DG6" i="27"/>
  <c r="DF6" i="27"/>
  <c r="DE6" i="27"/>
  <c r="DK5" i="27"/>
  <c r="DJ5" i="27"/>
  <c r="DH5" i="27"/>
  <c r="DG5" i="27"/>
  <c r="DF5" i="27"/>
  <c r="DE5" i="27"/>
  <c r="DK4" i="27"/>
  <c r="DJ4" i="27"/>
  <c r="DH4" i="27"/>
  <c r="DG4" i="27"/>
  <c r="DF4" i="27"/>
  <c r="DE4" i="27"/>
  <c r="OE18" i="26"/>
  <c r="OD18" i="26"/>
  <c r="OB18" i="26"/>
  <c r="OA18" i="26"/>
  <c r="NZ18" i="26"/>
  <c r="NY18" i="26"/>
  <c r="OE20" i="26"/>
  <c r="OD20" i="26"/>
  <c r="OB20" i="26"/>
  <c r="OA20" i="26"/>
  <c r="NZ20" i="26"/>
  <c r="NY20" i="26"/>
  <c r="OE17" i="26"/>
  <c r="OD17" i="26"/>
  <c r="OB17" i="26"/>
  <c r="OA17" i="26"/>
  <c r="NZ17" i="26"/>
  <c r="NY17" i="26"/>
  <c r="OE16" i="26"/>
  <c r="OD16" i="26"/>
  <c r="OB16" i="26"/>
  <c r="OA16" i="26"/>
  <c r="NZ16" i="26"/>
  <c r="NY16" i="26"/>
  <c r="OE15" i="26"/>
  <c r="OD15" i="26"/>
  <c r="OB15" i="26"/>
  <c r="OA15" i="26"/>
  <c r="NZ15" i="26"/>
  <c r="NY15" i="26"/>
  <c r="OE14" i="26"/>
  <c r="OD14" i="26"/>
  <c r="OB14" i="26"/>
  <c r="OA14" i="26"/>
  <c r="NZ14" i="26"/>
  <c r="NY14" i="26"/>
  <c r="OE13" i="26"/>
  <c r="OD13" i="26"/>
  <c r="OB13" i="26"/>
  <c r="OA13" i="26"/>
  <c r="NZ13" i="26"/>
  <c r="NY13" i="26"/>
  <c r="OE12" i="26"/>
  <c r="OD12" i="26"/>
  <c r="OB12" i="26"/>
  <c r="OA12" i="26"/>
  <c r="NZ12" i="26"/>
  <c r="NY12" i="26"/>
  <c r="OE10" i="26"/>
  <c r="OD10" i="26"/>
  <c r="OB10" i="26"/>
  <c r="OA10" i="26"/>
  <c r="NZ10" i="26"/>
  <c r="NY10" i="26"/>
  <c r="OE19" i="26"/>
  <c r="OD19" i="26"/>
  <c r="OB19" i="26"/>
  <c r="OA19" i="26"/>
  <c r="NZ19" i="26"/>
  <c r="NY19" i="26"/>
  <c r="OE9" i="26"/>
  <c r="OD9" i="26"/>
  <c r="OB9" i="26"/>
  <c r="OA9" i="26"/>
  <c r="NZ9" i="26"/>
  <c r="NY9" i="26"/>
  <c r="OE11" i="26"/>
  <c r="OD11" i="26"/>
  <c r="OB11" i="26"/>
  <c r="OA11" i="26"/>
  <c r="NZ11" i="26"/>
  <c r="NY11" i="26"/>
  <c r="OE8" i="26"/>
  <c r="OD8" i="26"/>
  <c r="OB8" i="26"/>
  <c r="OA8" i="26"/>
  <c r="NZ8" i="26"/>
  <c r="NY8" i="26"/>
  <c r="OE7" i="26"/>
  <c r="OD7" i="26"/>
  <c r="OB7" i="26"/>
  <c r="OA7" i="26"/>
  <c r="NZ7" i="26"/>
  <c r="NY7" i="26"/>
  <c r="OE6" i="26"/>
  <c r="OD6" i="26"/>
  <c r="OB6" i="26"/>
  <c r="OA6" i="26"/>
  <c r="NZ6" i="26"/>
  <c r="NY6" i="26"/>
  <c r="OE5" i="26"/>
  <c r="OD5" i="26"/>
  <c r="OB5" i="26"/>
  <c r="OA5" i="26"/>
  <c r="NZ5" i="26"/>
  <c r="NY5" i="26"/>
  <c r="OE4" i="26"/>
  <c r="OD4" i="26"/>
  <c r="OB4" i="26"/>
  <c r="OA4" i="26"/>
  <c r="NZ4" i="26"/>
  <c r="NY4" i="26"/>
  <c r="NC18" i="26"/>
  <c r="NB18" i="26"/>
  <c r="MZ18" i="26"/>
  <c r="MY18" i="26"/>
  <c r="MX18" i="26"/>
  <c r="MW18" i="26"/>
  <c r="NC20" i="26"/>
  <c r="NB20" i="26"/>
  <c r="MZ20" i="26"/>
  <c r="MY20" i="26"/>
  <c r="MX20" i="26"/>
  <c r="MW20" i="26"/>
  <c r="NC17" i="26"/>
  <c r="NB17" i="26"/>
  <c r="MZ17" i="26"/>
  <c r="MY17" i="26"/>
  <c r="MX17" i="26"/>
  <c r="MW17" i="26"/>
  <c r="NC16" i="26"/>
  <c r="NB16" i="26"/>
  <c r="MZ16" i="26"/>
  <c r="MY16" i="26"/>
  <c r="MX16" i="26"/>
  <c r="MW16" i="26"/>
  <c r="NC15" i="26"/>
  <c r="NB15" i="26"/>
  <c r="MZ15" i="26"/>
  <c r="MY15" i="26"/>
  <c r="MX15" i="26"/>
  <c r="MW15" i="26"/>
  <c r="NC14" i="26"/>
  <c r="NB14" i="26"/>
  <c r="MZ14" i="26"/>
  <c r="MY14" i="26"/>
  <c r="MX14" i="26"/>
  <c r="MW14" i="26"/>
  <c r="NC13" i="26"/>
  <c r="NB13" i="26"/>
  <c r="MZ13" i="26"/>
  <c r="MY13" i="26"/>
  <c r="MX13" i="26"/>
  <c r="MW13" i="26"/>
  <c r="NC12" i="26"/>
  <c r="NB12" i="26"/>
  <c r="MZ12" i="26"/>
  <c r="MY12" i="26"/>
  <c r="MX12" i="26"/>
  <c r="MW12" i="26"/>
  <c r="NC10" i="26"/>
  <c r="NB10" i="26"/>
  <c r="MZ10" i="26"/>
  <c r="MY10" i="26"/>
  <c r="MX10" i="26"/>
  <c r="MW10" i="26"/>
  <c r="NC19" i="26"/>
  <c r="NB19" i="26"/>
  <c r="MZ19" i="26"/>
  <c r="MY19" i="26"/>
  <c r="MX19" i="26"/>
  <c r="MW19" i="26"/>
  <c r="NC9" i="26"/>
  <c r="NB9" i="26"/>
  <c r="MZ9" i="26"/>
  <c r="MY9" i="26"/>
  <c r="MX9" i="26"/>
  <c r="MW9" i="26"/>
  <c r="NC11" i="26"/>
  <c r="NB11" i="26"/>
  <c r="MZ11" i="26"/>
  <c r="MY11" i="26"/>
  <c r="MX11" i="26"/>
  <c r="MW11" i="26"/>
  <c r="NC8" i="26"/>
  <c r="NB8" i="26"/>
  <c r="MZ8" i="26"/>
  <c r="MY8" i="26"/>
  <c r="MX8" i="26"/>
  <c r="MW8" i="26"/>
  <c r="NC7" i="26"/>
  <c r="NB7" i="26"/>
  <c r="MZ7" i="26"/>
  <c r="MY7" i="26"/>
  <c r="MX7" i="26"/>
  <c r="MW7" i="26"/>
  <c r="NC6" i="26"/>
  <c r="NB6" i="26"/>
  <c r="MZ6" i="26"/>
  <c r="MY6" i="26"/>
  <c r="MX6" i="26"/>
  <c r="MW6" i="26"/>
  <c r="NC5" i="26"/>
  <c r="NB5" i="26"/>
  <c r="MZ5" i="26"/>
  <c r="MY5" i="26"/>
  <c r="MX5" i="26"/>
  <c r="MW5" i="26"/>
  <c r="NC4" i="26"/>
  <c r="NB4" i="26"/>
  <c r="MZ4" i="26"/>
  <c r="MY4" i="26"/>
  <c r="MX4" i="26"/>
  <c r="MW4" i="26"/>
  <c r="MA18" i="26"/>
  <c r="LZ18" i="26"/>
  <c r="LX18" i="26"/>
  <c r="LW18" i="26"/>
  <c r="LV18" i="26"/>
  <c r="LU18" i="26"/>
  <c r="MA20" i="26"/>
  <c r="LZ20" i="26"/>
  <c r="LX20" i="26"/>
  <c r="LW20" i="26"/>
  <c r="LV20" i="26"/>
  <c r="LU20" i="26"/>
  <c r="MA17" i="26"/>
  <c r="LZ17" i="26"/>
  <c r="LX17" i="26"/>
  <c r="LW17" i="26"/>
  <c r="LV17" i="26"/>
  <c r="LU17" i="26"/>
  <c r="MA16" i="26"/>
  <c r="LZ16" i="26"/>
  <c r="LX16" i="26"/>
  <c r="LW16" i="26"/>
  <c r="LV16" i="26"/>
  <c r="LU16" i="26"/>
  <c r="MA15" i="26"/>
  <c r="LZ15" i="26"/>
  <c r="LX15" i="26"/>
  <c r="LW15" i="26"/>
  <c r="LV15" i="26"/>
  <c r="LU15" i="26"/>
  <c r="MA14" i="26"/>
  <c r="LZ14" i="26"/>
  <c r="LX14" i="26"/>
  <c r="LW14" i="26"/>
  <c r="LV14" i="26"/>
  <c r="LU14" i="26"/>
  <c r="MA13" i="26"/>
  <c r="LZ13" i="26"/>
  <c r="LX13" i="26"/>
  <c r="LW13" i="26"/>
  <c r="LV13" i="26"/>
  <c r="LU13" i="26"/>
  <c r="MA12" i="26"/>
  <c r="LZ12" i="26"/>
  <c r="LX12" i="26"/>
  <c r="LW12" i="26"/>
  <c r="LV12" i="26"/>
  <c r="LU12" i="26"/>
  <c r="MA10" i="26"/>
  <c r="LZ10" i="26"/>
  <c r="LX10" i="26"/>
  <c r="LW10" i="26"/>
  <c r="LV10" i="26"/>
  <c r="LU10" i="26"/>
  <c r="MA19" i="26"/>
  <c r="LZ19" i="26"/>
  <c r="LX19" i="26"/>
  <c r="LW19" i="26"/>
  <c r="LV19" i="26"/>
  <c r="LU19" i="26"/>
  <c r="MA9" i="26"/>
  <c r="LZ9" i="26"/>
  <c r="LX9" i="26"/>
  <c r="LW9" i="26"/>
  <c r="LV9" i="26"/>
  <c r="LU9" i="26"/>
  <c r="MA11" i="26"/>
  <c r="LZ11" i="26"/>
  <c r="LX11" i="26"/>
  <c r="LW11" i="26"/>
  <c r="LV11" i="26"/>
  <c r="LU11" i="26"/>
  <c r="MA8" i="26"/>
  <c r="LZ8" i="26"/>
  <c r="LX8" i="26"/>
  <c r="LW8" i="26"/>
  <c r="LV8" i="26"/>
  <c r="LU8" i="26"/>
  <c r="MA7" i="26"/>
  <c r="LZ7" i="26"/>
  <c r="LX7" i="26"/>
  <c r="LW7" i="26"/>
  <c r="LV7" i="26"/>
  <c r="LU7" i="26"/>
  <c r="MA6" i="26"/>
  <c r="LZ6" i="26"/>
  <c r="LX6" i="26"/>
  <c r="LW6" i="26"/>
  <c r="LV6" i="26"/>
  <c r="LU6" i="26"/>
  <c r="MA5" i="26"/>
  <c r="LZ5" i="26"/>
  <c r="LX5" i="26"/>
  <c r="LW5" i="26"/>
  <c r="LV5" i="26"/>
  <c r="LU5" i="26"/>
  <c r="MA4" i="26"/>
  <c r="LZ4" i="26"/>
  <c r="LX4" i="26"/>
  <c r="LW4" i="26"/>
  <c r="LV4" i="26"/>
  <c r="LU4" i="26"/>
  <c r="KY18" i="26"/>
  <c r="KX18" i="26"/>
  <c r="KV18" i="26"/>
  <c r="KU18" i="26"/>
  <c r="KT18" i="26"/>
  <c r="KS18" i="26"/>
  <c r="KY20" i="26"/>
  <c r="KX20" i="26"/>
  <c r="KV20" i="26"/>
  <c r="KU20" i="26"/>
  <c r="KT20" i="26"/>
  <c r="KS20" i="26"/>
  <c r="KY17" i="26"/>
  <c r="KX17" i="26"/>
  <c r="KV17" i="26"/>
  <c r="KU17" i="26"/>
  <c r="KT17" i="26"/>
  <c r="KS17" i="26"/>
  <c r="KY16" i="26"/>
  <c r="KX16" i="26"/>
  <c r="KV16" i="26"/>
  <c r="KU16" i="26"/>
  <c r="KT16" i="26"/>
  <c r="KS16" i="26"/>
  <c r="KY15" i="26"/>
  <c r="KX15" i="26"/>
  <c r="KV15" i="26"/>
  <c r="KU15" i="26"/>
  <c r="KT15" i="26"/>
  <c r="KS15" i="26"/>
  <c r="KY14" i="26"/>
  <c r="KX14" i="26"/>
  <c r="KV14" i="26"/>
  <c r="KU14" i="26"/>
  <c r="KT14" i="26"/>
  <c r="KS14" i="26"/>
  <c r="KY13" i="26"/>
  <c r="KX13" i="26"/>
  <c r="KV13" i="26"/>
  <c r="KU13" i="26"/>
  <c r="KT13" i="26"/>
  <c r="KS13" i="26"/>
  <c r="KY12" i="26"/>
  <c r="KX12" i="26"/>
  <c r="KV12" i="26"/>
  <c r="KU12" i="26"/>
  <c r="KT12" i="26"/>
  <c r="KS12" i="26"/>
  <c r="KY10" i="26"/>
  <c r="KX10" i="26"/>
  <c r="KV10" i="26"/>
  <c r="KU10" i="26"/>
  <c r="KT10" i="26"/>
  <c r="KS10" i="26"/>
  <c r="KY19" i="26"/>
  <c r="KX19" i="26"/>
  <c r="KV19" i="26"/>
  <c r="KU19" i="26"/>
  <c r="KT19" i="26"/>
  <c r="KS19" i="26"/>
  <c r="KY9" i="26"/>
  <c r="KX9" i="26"/>
  <c r="KV9" i="26"/>
  <c r="KU9" i="26"/>
  <c r="KT9" i="26"/>
  <c r="KS9" i="26"/>
  <c r="KY11" i="26"/>
  <c r="KX11" i="26"/>
  <c r="KV11" i="26"/>
  <c r="KU11" i="26"/>
  <c r="KT11" i="26"/>
  <c r="KS11" i="26"/>
  <c r="KY8" i="26"/>
  <c r="KX8" i="26"/>
  <c r="KV8" i="26"/>
  <c r="KU8" i="26"/>
  <c r="KT8" i="26"/>
  <c r="KS8" i="26"/>
  <c r="KY7" i="26"/>
  <c r="KX7" i="26"/>
  <c r="KV7" i="26"/>
  <c r="KU7" i="26"/>
  <c r="KT7" i="26"/>
  <c r="KS7" i="26"/>
  <c r="KY6" i="26"/>
  <c r="KX6" i="26"/>
  <c r="KV6" i="26"/>
  <c r="KU6" i="26"/>
  <c r="KT6" i="26"/>
  <c r="KS6" i="26"/>
  <c r="KY5" i="26"/>
  <c r="KX5" i="26"/>
  <c r="KV5" i="26"/>
  <c r="KU5" i="26"/>
  <c r="KT5" i="26"/>
  <c r="KS5" i="26"/>
  <c r="KY4" i="26"/>
  <c r="KX4" i="26"/>
  <c r="KV4" i="26"/>
  <c r="KU4" i="26"/>
  <c r="KT4" i="26"/>
  <c r="KS4" i="26"/>
  <c r="JW18" i="26"/>
  <c r="JV18" i="26"/>
  <c r="JT18" i="26"/>
  <c r="JS18" i="26"/>
  <c r="JR18" i="26"/>
  <c r="JQ18" i="26"/>
  <c r="JW20" i="26"/>
  <c r="JV20" i="26"/>
  <c r="JT20" i="26"/>
  <c r="JS20" i="26"/>
  <c r="JR20" i="26"/>
  <c r="JQ20" i="26"/>
  <c r="JW17" i="26"/>
  <c r="JV17" i="26"/>
  <c r="JT17" i="26"/>
  <c r="JS17" i="26"/>
  <c r="JR17" i="26"/>
  <c r="JQ17" i="26"/>
  <c r="JW16" i="26"/>
  <c r="JV16" i="26"/>
  <c r="JT16" i="26"/>
  <c r="JS16" i="26"/>
  <c r="JR16" i="26"/>
  <c r="JQ16" i="26"/>
  <c r="JW15" i="26"/>
  <c r="JV15" i="26"/>
  <c r="JT15" i="26"/>
  <c r="JS15" i="26"/>
  <c r="JR15" i="26"/>
  <c r="JQ15" i="26"/>
  <c r="JW14" i="26"/>
  <c r="JV14" i="26"/>
  <c r="JT14" i="26"/>
  <c r="JS14" i="26"/>
  <c r="JR14" i="26"/>
  <c r="JQ14" i="26"/>
  <c r="JW13" i="26"/>
  <c r="JV13" i="26"/>
  <c r="JT13" i="26"/>
  <c r="JS13" i="26"/>
  <c r="JR13" i="26"/>
  <c r="JQ13" i="26"/>
  <c r="JW12" i="26"/>
  <c r="JV12" i="26"/>
  <c r="JT12" i="26"/>
  <c r="JS12" i="26"/>
  <c r="JR12" i="26"/>
  <c r="JQ12" i="26"/>
  <c r="JW10" i="26"/>
  <c r="JV10" i="26"/>
  <c r="JT10" i="26"/>
  <c r="JS10" i="26"/>
  <c r="JR10" i="26"/>
  <c r="JQ10" i="26"/>
  <c r="JW19" i="26"/>
  <c r="JV19" i="26"/>
  <c r="JT19" i="26"/>
  <c r="JS19" i="26"/>
  <c r="JR19" i="26"/>
  <c r="JQ19" i="26"/>
  <c r="JW9" i="26"/>
  <c r="JV9" i="26"/>
  <c r="JT9" i="26"/>
  <c r="JS9" i="26"/>
  <c r="JR9" i="26"/>
  <c r="JQ9" i="26"/>
  <c r="JW11" i="26"/>
  <c r="JV11" i="26"/>
  <c r="JT11" i="26"/>
  <c r="JS11" i="26"/>
  <c r="JR11" i="26"/>
  <c r="JQ11" i="26"/>
  <c r="JW8" i="26"/>
  <c r="JV8" i="26"/>
  <c r="JT8" i="26"/>
  <c r="JS8" i="26"/>
  <c r="JR8" i="26"/>
  <c r="JQ8" i="26"/>
  <c r="JW7" i="26"/>
  <c r="JV7" i="26"/>
  <c r="JT7" i="26"/>
  <c r="JS7" i="26"/>
  <c r="JR7" i="26"/>
  <c r="JQ7" i="26"/>
  <c r="JW6" i="26"/>
  <c r="JV6" i="26"/>
  <c r="JT6" i="26"/>
  <c r="JS6" i="26"/>
  <c r="JR6" i="26"/>
  <c r="JQ6" i="26"/>
  <c r="JW5" i="26"/>
  <c r="JV5" i="26"/>
  <c r="JT5" i="26"/>
  <c r="JS5" i="26"/>
  <c r="JR5" i="26"/>
  <c r="JQ5" i="26"/>
  <c r="JW4" i="26"/>
  <c r="JV4" i="26"/>
  <c r="JT4" i="26"/>
  <c r="JS4" i="26"/>
  <c r="JR4" i="26"/>
  <c r="JQ4" i="26"/>
  <c r="IU18" i="26"/>
  <c r="IT18" i="26"/>
  <c r="IR18" i="26"/>
  <c r="IQ18" i="26"/>
  <c r="IP18" i="26"/>
  <c r="IO18" i="26"/>
  <c r="IU20" i="26"/>
  <c r="IT20" i="26"/>
  <c r="IR20" i="26"/>
  <c r="IQ20" i="26"/>
  <c r="IP20" i="26"/>
  <c r="IO20" i="26"/>
  <c r="IU17" i="26"/>
  <c r="IT17" i="26"/>
  <c r="IR17" i="26"/>
  <c r="IQ17" i="26"/>
  <c r="IP17" i="26"/>
  <c r="IO17" i="26"/>
  <c r="IU16" i="26"/>
  <c r="IT16" i="26"/>
  <c r="IR16" i="26"/>
  <c r="IQ16" i="26"/>
  <c r="IP16" i="26"/>
  <c r="IO16" i="26"/>
  <c r="IU15" i="26"/>
  <c r="IT15" i="26"/>
  <c r="IR15" i="26"/>
  <c r="IQ15" i="26"/>
  <c r="IP15" i="26"/>
  <c r="IO15" i="26"/>
  <c r="IU14" i="26"/>
  <c r="IT14" i="26"/>
  <c r="IR14" i="26"/>
  <c r="IQ14" i="26"/>
  <c r="IP14" i="26"/>
  <c r="IO14" i="26"/>
  <c r="IU13" i="26"/>
  <c r="IT13" i="26"/>
  <c r="IR13" i="26"/>
  <c r="IQ13" i="26"/>
  <c r="IP13" i="26"/>
  <c r="IO13" i="26"/>
  <c r="IU12" i="26"/>
  <c r="IT12" i="26"/>
  <c r="IR12" i="26"/>
  <c r="IQ12" i="26"/>
  <c r="IP12" i="26"/>
  <c r="IO12" i="26"/>
  <c r="IU10" i="26"/>
  <c r="IT10" i="26"/>
  <c r="IR10" i="26"/>
  <c r="IQ10" i="26"/>
  <c r="IP10" i="26"/>
  <c r="IO10" i="26"/>
  <c r="IU19" i="26"/>
  <c r="IT19" i="26"/>
  <c r="IR19" i="26"/>
  <c r="IQ19" i="26"/>
  <c r="IP19" i="26"/>
  <c r="IO19" i="26"/>
  <c r="IU9" i="26"/>
  <c r="IT9" i="26"/>
  <c r="IR9" i="26"/>
  <c r="IQ9" i="26"/>
  <c r="IP9" i="26"/>
  <c r="IO9" i="26"/>
  <c r="IU11" i="26"/>
  <c r="IT11" i="26"/>
  <c r="IR11" i="26"/>
  <c r="IQ11" i="26"/>
  <c r="IP11" i="26"/>
  <c r="IO11" i="26"/>
  <c r="IU8" i="26"/>
  <c r="IT8" i="26"/>
  <c r="IR8" i="26"/>
  <c r="IQ8" i="26"/>
  <c r="IP8" i="26"/>
  <c r="IO8" i="26"/>
  <c r="IU7" i="26"/>
  <c r="IT7" i="26"/>
  <c r="IR7" i="26"/>
  <c r="IQ7" i="26"/>
  <c r="IP7" i="26"/>
  <c r="IO7" i="26"/>
  <c r="IU6" i="26"/>
  <c r="IT6" i="26"/>
  <c r="IR6" i="26"/>
  <c r="IQ6" i="26"/>
  <c r="IP6" i="26"/>
  <c r="IO6" i="26"/>
  <c r="IU5" i="26"/>
  <c r="IT5" i="26"/>
  <c r="IR5" i="26"/>
  <c r="IQ5" i="26"/>
  <c r="IP5" i="26"/>
  <c r="IO5" i="26"/>
  <c r="IU4" i="26"/>
  <c r="IT4" i="26"/>
  <c r="IR4" i="26"/>
  <c r="IQ4" i="26"/>
  <c r="IP4" i="26"/>
  <c r="IO4" i="26"/>
  <c r="HS18" i="26"/>
  <c r="HR18" i="26"/>
  <c r="HP18" i="26"/>
  <c r="HO18" i="26"/>
  <c r="HN18" i="26"/>
  <c r="HM18" i="26"/>
  <c r="HS20" i="26"/>
  <c r="HR20" i="26"/>
  <c r="HP20" i="26"/>
  <c r="HO20" i="26"/>
  <c r="HN20" i="26"/>
  <c r="HM20" i="26"/>
  <c r="HS17" i="26"/>
  <c r="HR17" i="26"/>
  <c r="HP17" i="26"/>
  <c r="HO17" i="26"/>
  <c r="HN17" i="26"/>
  <c r="HM17" i="26"/>
  <c r="HS16" i="26"/>
  <c r="HR16" i="26"/>
  <c r="HP16" i="26"/>
  <c r="HO16" i="26"/>
  <c r="HN16" i="26"/>
  <c r="HM16" i="26"/>
  <c r="HS15" i="26"/>
  <c r="HR15" i="26"/>
  <c r="HP15" i="26"/>
  <c r="HO15" i="26"/>
  <c r="HN15" i="26"/>
  <c r="HM15" i="26"/>
  <c r="HS14" i="26"/>
  <c r="HR14" i="26"/>
  <c r="HP14" i="26"/>
  <c r="HO14" i="26"/>
  <c r="HN14" i="26"/>
  <c r="HM14" i="26"/>
  <c r="HS13" i="26"/>
  <c r="HR13" i="26"/>
  <c r="HP13" i="26"/>
  <c r="HO13" i="26"/>
  <c r="HN13" i="26"/>
  <c r="HM13" i="26"/>
  <c r="HS12" i="26"/>
  <c r="HR12" i="26"/>
  <c r="HP12" i="26"/>
  <c r="HO12" i="26"/>
  <c r="HN12" i="26"/>
  <c r="HM12" i="26"/>
  <c r="HS10" i="26"/>
  <c r="HR10" i="26"/>
  <c r="HP10" i="26"/>
  <c r="HO10" i="26"/>
  <c r="HN10" i="26"/>
  <c r="HM10" i="26"/>
  <c r="HS19" i="26"/>
  <c r="HR19" i="26"/>
  <c r="HP19" i="26"/>
  <c r="HO19" i="26"/>
  <c r="HN19" i="26"/>
  <c r="HM19" i="26"/>
  <c r="HS9" i="26"/>
  <c r="HR9" i="26"/>
  <c r="HP9" i="26"/>
  <c r="HO9" i="26"/>
  <c r="HN9" i="26"/>
  <c r="HM9" i="26"/>
  <c r="HS11" i="26"/>
  <c r="HR11" i="26"/>
  <c r="HP11" i="26"/>
  <c r="HO11" i="26"/>
  <c r="HN11" i="26"/>
  <c r="HM11" i="26"/>
  <c r="HS8" i="26"/>
  <c r="HR8" i="26"/>
  <c r="HP8" i="26"/>
  <c r="HO8" i="26"/>
  <c r="HN8" i="26"/>
  <c r="HM8" i="26"/>
  <c r="HS7" i="26"/>
  <c r="HR7" i="26"/>
  <c r="HP7" i="26"/>
  <c r="HO7" i="26"/>
  <c r="HN7" i="26"/>
  <c r="HM7" i="26"/>
  <c r="HS6" i="26"/>
  <c r="HR6" i="26"/>
  <c r="HP6" i="26"/>
  <c r="HO6" i="26"/>
  <c r="HN6" i="26"/>
  <c r="HM6" i="26"/>
  <c r="HS5" i="26"/>
  <c r="HR5" i="26"/>
  <c r="HP5" i="26"/>
  <c r="HO5" i="26"/>
  <c r="HN5" i="26"/>
  <c r="HM5" i="26"/>
  <c r="HS4" i="26"/>
  <c r="HR4" i="26"/>
  <c r="HP4" i="26"/>
  <c r="HO4" i="26"/>
  <c r="HN4" i="26"/>
  <c r="HM4" i="26"/>
  <c r="GQ18" i="26"/>
  <c r="GP18" i="26"/>
  <c r="GN18" i="26"/>
  <c r="GM18" i="26"/>
  <c r="GL18" i="26"/>
  <c r="GK18" i="26"/>
  <c r="GQ20" i="26"/>
  <c r="GP20" i="26"/>
  <c r="GN20" i="26"/>
  <c r="GM20" i="26"/>
  <c r="GL20" i="26"/>
  <c r="GK20" i="26"/>
  <c r="GQ17" i="26"/>
  <c r="GP17" i="26"/>
  <c r="GN17" i="26"/>
  <c r="GM17" i="26"/>
  <c r="GL17" i="26"/>
  <c r="GK17" i="26"/>
  <c r="GQ16" i="26"/>
  <c r="GP16" i="26"/>
  <c r="GN16" i="26"/>
  <c r="GM16" i="26"/>
  <c r="GL16" i="26"/>
  <c r="GK16" i="26"/>
  <c r="GQ15" i="26"/>
  <c r="GP15" i="26"/>
  <c r="GN15" i="26"/>
  <c r="GM15" i="26"/>
  <c r="GL15" i="26"/>
  <c r="GK15" i="26"/>
  <c r="GQ14" i="26"/>
  <c r="GP14" i="26"/>
  <c r="GN14" i="26"/>
  <c r="GM14" i="26"/>
  <c r="GL14" i="26"/>
  <c r="GK14" i="26"/>
  <c r="GQ13" i="26"/>
  <c r="GP13" i="26"/>
  <c r="GN13" i="26"/>
  <c r="GM13" i="26"/>
  <c r="GL13" i="26"/>
  <c r="GK13" i="26"/>
  <c r="GQ12" i="26"/>
  <c r="GP12" i="26"/>
  <c r="GN12" i="26"/>
  <c r="GM12" i="26"/>
  <c r="GL12" i="26"/>
  <c r="GK12" i="26"/>
  <c r="GQ10" i="26"/>
  <c r="GP10" i="26"/>
  <c r="GN10" i="26"/>
  <c r="GM10" i="26"/>
  <c r="GL10" i="26"/>
  <c r="GK10" i="26"/>
  <c r="GQ19" i="26"/>
  <c r="GP19" i="26"/>
  <c r="GN19" i="26"/>
  <c r="GM19" i="26"/>
  <c r="GL19" i="26"/>
  <c r="GK19" i="26"/>
  <c r="GQ9" i="26"/>
  <c r="GP9" i="26"/>
  <c r="GN9" i="26"/>
  <c r="GM9" i="26"/>
  <c r="GL9" i="26"/>
  <c r="GK9" i="26"/>
  <c r="GQ11" i="26"/>
  <c r="GP11" i="26"/>
  <c r="GN11" i="26"/>
  <c r="GM11" i="26"/>
  <c r="GL11" i="26"/>
  <c r="GK11" i="26"/>
  <c r="GQ8" i="26"/>
  <c r="GP8" i="26"/>
  <c r="GN8" i="26"/>
  <c r="GM8" i="26"/>
  <c r="GL8" i="26"/>
  <c r="GK8" i="26"/>
  <c r="GQ7" i="26"/>
  <c r="GP7" i="26"/>
  <c r="GN7" i="26"/>
  <c r="GM7" i="26"/>
  <c r="GL7" i="26"/>
  <c r="GK7" i="26"/>
  <c r="GQ6" i="26"/>
  <c r="GP6" i="26"/>
  <c r="GN6" i="26"/>
  <c r="GM6" i="26"/>
  <c r="GL6" i="26"/>
  <c r="GK6" i="26"/>
  <c r="GQ5" i="26"/>
  <c r="GP5" i="26"/>
  <c r="GN5" i="26"/>
  <c r="GM5" i="26"/>
  <c r="GL5" i="26"/>
  <c r="GK5" i="26"/>
  <c r="GQ4" i="26"/>
  <c r="GP4" i="26"/>
  <c r="GN4" i="26"/>
  <c r="GM4" i="26"/>
  <c r="GL4" i="26"/>
  <c r="GK4" i="26"/>
  <c r="FO18" i="26"/>
  <c r="FN18" i="26"/>
  <c r="FL18" i="26"/>
  <c r="FK18" i="26"/>
  <c r="FJ18" i="26"/>
  <c r="FI18" i="26"/>
  <c r="FO20" i="26"/>
  <c r="FN20" i="26"/>
  <c r="FL20" i="26"/>
  <c r="FK20" i="26"/>
  <c r="FJ20" i="26"/>
  <c r="FI20" i="26"/>
  <c r="FO17" i="26"/>
  <c r="FN17" i="26"/>
  <c r="FL17" i="26"/>
  <c r="FK17" i="26"/>
  <c r="FJ17" i="26"/>
  <c r="FI17" i="26"/>
  <c r="FO16" i="26"/>
  <c r="FN16" i="26"/>
  <c r="FL16" i="26"/>
  <c r="FK16" i="26"/>
  <c r="FJ16" i="26"/>
  <c r="FI16" i="26"/>
  <c r="FO15" i="26"/>
  <c r="FN15" i="26"/>
  <c r="FL15" i="26"/>
  <c r="FK15" i="26"/>
  <c r="FJ15" i="26"/>
  <c r="FI15" i="26"/>
  <c r="FO14" i="26"/>
  <c r="FN14" i="26"/>
  <c r="FL14" i="26"/>
  <c r="FK14" i="26"/>
  <c r="FJ14" i="26"/>
  <c r="FI14" i="26"/>
  <c r="FO13" i="26"/>
  <c r="FN13" i="26"/>
  <c r="FL13" i="26"/>
  <c r="FK13" i="26"/>
  <c r="FJ13" i="26"/>
  <c r="FI13" i="26"/>
  <c r="FO12" i="26"/>
  <c r="FN12" i="26"/>
  <c r="FL12" i="26"/>
  <c r="FK12" i="26"/>
  <c r="FJ12" i="26"/>
  <c r="FI12" i="26"/>
  <c r="FO10" i="26"/>
  <c r="FN10" i="26"/>
  <c r="FL10" i="26"/>
  <c r="FK10" i="26"/>
  <c r="FJ10" i="26"/>
  <c r="FI10" i="26"/>
  <c r="FO19" i="26"/>
  <c r="FN19" i="26"/>
  <c r="FL19" i="26"/>
  <c r="FK19" i="26"/>
  <c r="FJ19" i="26"/>
  <c r="FI19" i="26"/>
  <c r="FO9" i="26"/>
  <c r="FN9" i="26"/>
  <c r="FL9" i="26"/>
  <c r="FK9" i="26"/>
  <c r="FJ9" i="26"/>
  <c r="FI9" i="26"/>
  <c r="FO11" i="26"/>
  <c r="FN11" i="26"/>
  <c r="FL11" i="26"/>
  <c r="FK11" i="26"/>
  <c r="FJ11" i="26"/>
  <c r="FI11" i="26"/>
  <c r="FO8" i="26"/>
  <c r="FN8" i="26"/>
  <c r="FL8" i="26"/>
  <c r="FK8" i="26"/>
  <c r="FJ8" i="26"/>
  <c r="FI8" i="26"/>
  <c r="FO7" i="26"/>
  <c r="FN7" i="26"/>
  <c r="FL7" i="26"/>
  <c r="FK7" i="26"/>
  <c r="FJ7" i="26"/>
  <c r="FI7" i="26"/>
  <c r="FO6" i="26"/>
  <c r="FN6" i="26"/>
  <c r="FL6" i="26"/>
  <c r="FK6" i="26"/>
  <c r="FJ6" i="26"/>
  <c r="FI6" i="26"/>
  <c r="FO5" i="26"/>
  <c r="FN5" i="26"/>
  <c r="FL5" i="26"/>
  <c r="FK5" i="26"/>
  <c r="FJ5" i="26"/>
  <c r="FI5" i="26"/>
  <c r="FO4" i="26"/>
  <c r="FN4" i="26"/>
  <c r="FL4" i="26"/>
  <c r="FK4" i="26"/>
  <c r="FJ4" i="26"/>
  <c r="FI4" i="26"/>
  <c r="EM18" i="26"/>
  <c r="EL18" i="26"/>
  <c r="EJ18" i="26"/>
  <c r="EI18" i="26"/>
  <c r="EH18" i="26"/>
  <c r="EG18" i="26"/>
  <c r="EM20" i="26"/>
  <c r="EL20" i="26"/>
  <c r="EJ20" i="26"/>
  <c r="EI20" i="26"/>
  <c r="EH20" i="26"/>
  <c r="EG20" i="26"/>
  <c r="EM17" i="26"/>
  <c r="EL17" i="26"/>
  <c r="EJ17" i="26"/>
  <c r="EI17" i="26"/>
  <c r="EH17" i="26"/>
  <c r="EG17" i="26"/>
  <c r="EM16" i="26"/>
  <c r="EL16" i="26"/>
  <c r="EJ16" i="26"/>
  <c r="EI16" i="26"/>
  <c r="EH16" i="26"/>
  <c r="EG16" i="26"/>
  <c r="EM15" i="26"/>
  <c r="EL15" i="26"/>
  <c r="EJ15" i="26"/>
  <c r="EI15" i="26"/>
  <c r="EH15" i="26"/>
  <c r="EG15" i="26"/>
  <c r="EM14" i="26"/>
  <c r="EL14" i="26"/>
  <c r="EJ14" i="26"/>
  <c r="EI14" i="26"/>
  <c r="EH14" i="26"/>
  <c r="EG14" i="26"/>
  <c r="EM13" i="26"/>
  <c r="EL13" i="26"/>
  <c r="EJ13" i="26"/>
  <c r="EI13" i="26"/>
  <c r="EH13" i="26"/>
  <c r="EG13" i="26"/>
  <c r="EM12" i="26"/>
  <c r="EL12" i="26"/>
  <c r="EJ12" i="26"/>
  <c r="EI12" i="26"/>
  <c r="EH12" i="26"/>
  <c r="EG12" i="26"/>
  <c r="EM10" i="26"/>
  <c r="EL10" i="26"/>
  <c r="EJ10" i="26"/>
  <c r="EI10" i="26"/>
  <c r="EH10" i="26"/>
  <c r="EG10" i="26"/>
  <c r="EM19" i="26"/>
  <c r="EL19" i="26"/>
  <c r="EJ19" i="26"/>
  <c r="EI19" i="26"/>
  <c r="EH19" i="26"/>
  <c r="EG19" i="26"/>
  <c r="EM9" i="26"/>
  <c r="EL9" i="26"/>
  <c r="EJ9" i="26"/>
  <c r="EI9" i="26"/>
  <c r="EH9" i="26"/>
  <c r="EG9" i="26"/>
  <c r="EM11" i="26"/>
  <c r="EL11" i="26"/>
  <c r="EJ11" i="26"/>
  <c r="EI11" i="26"/>
  <c r="EH11" i="26"/>
  <c r="EG11" i="26"/>
  <c r="EM8" i="26"/>
  <c r="EL8" i="26"/>
  <c r="EJ8" i="26"/>
  <c r="EI8" i="26"/>
  <c r="EH8" i="26"/>
  <c r="EG8" i="26"/>
  <c r="EM7" i="26"/>
  <c r="EL7" i="26"/>
  <c r="EJ7" i="26"/>
  <c r="EI7" i="26"/>
  <c r="EH7" i="26"/>
  <c r="EG7" i="26"/>
  <c r="EM6" i="26"/>
  <c r="EL6" i="26"/>
  <c r="EJ6" i="26"/>
  <c r="EI6" i="26"/>
  <c r="EH6" i="26"/>
  <c r="EG6" i="26"/>
  <c r="EM5" i="26"/>
  <c r="EL5" i="26"/>
  <c r="EJ5" i="26"/>
  <c r="EI5" i="26"/>
  <c r="EH5" i="26"/>
  <c r="EG5" i="26"/>
  <c r="EM4" i="26"/>
  <c r="EL4" i="26"/>
  <c r="EJ4" i="26"/>
  <c r="EI4" i="26"/>
  <c r="EH4" i="26"/>
  <c r="EG4" i="26"/>
  <c r="DK18" i="26"/>
  <c r="DJ18" i="26"/>
  <c r="DH18" i="26"/>
  <c r="DG18" i="26"/>
  <c r="DF18" i="26"/>
  <c r="DE18" i="26"/>
  <c r="DK20" i="26"/>
  <c r="DJ20" i="26"/>
  <c r="DH20" i="26"/>
  <c r="DG20" i="26"/>
  <c r="DF20" i="26"/>
  <c r="DE20" i="26"/>
  <c r="DK17" i="26"/>
  <c r="DJ17" i="26"/>
  <c r="DH17" i="26"/>
  <c r="DG17" i="26"/>
  <c r="DF17" i="26"/>
  <c r="DE17" i="26"/>
  <c r="DK16" i="26"/>
  <c r="DJ16" i="26"/>
  <c r="DH16" i="26"/>
  <c r="DG16" i="26"/>
  <c r="DF16" i="26"/>
  <c r="DE16" i="26"/>
  <c r="DK15" i="26"/>
  <c r="DJ15" i="26"/>
  <c r="DH15" i="26"/>
  <c r="DG15" i="26"/>
  <c r="DF15" i="26"/>
  <c r="DE15" i="26"/>
  <c r="DK14" i="26"/>
  <c r="DJ14" i="26"/>
  <c r="DH14" i="26"/>
  <c r="DG14" i="26"/>
  <c r="DF14" i="26"/>
  <c r="DE14" i="26"/>
  <c r="DK13" i="26"/>
  <c r="DJ13" i="26"/>
  <c r="DH13" i="26"/>
  <c r="DG13" i="26"/>
  <c r="DF13" i="26"/>
  <c r="DE13" i="26"/>
  <c r="DK12" i="26"/>
  <c r="DJ12" i="26"/>
  <c r="DH12" i="26"/>
  <c r="DG12" i="26"/>
  <c r="DF12" i="26"/>
  <c r="DE12" i="26"/>
  <c r="DK10" i="26"/>
  <c r="DJ10" i="26"/>
  <c r="DH10" i="26"/>
  <c r="DG10" i="26"/>
  <c r="DF10" i="26"/>
  <c r="DE10" i="26"/>
  <c r="DK19" i="26"/>
  <c r="DJ19" i="26"/>
  <c r="DH19" i="26"/>
  <c r="DG19" i="26"/>
  <c r="DF19" i="26"/>
  <c r="DE19" i="26"/>
  <c r="DK9" i="26"/>
  <c r="DJ9" i="26"/>
  <c r="DH9" i="26"/>
  <c r="DG9" i="26"/>
  <c r="DF9" i="26"/>
  <c r="DE9" i="26"/>
  <c r="DK11" i="26"/>
  <c r="DJ11" i="26"/>
  <c r="DH11" i="26"/>
  <c r="DG11" i="26"/>
  <c r="DF11" i="26"/>
  <c r="DE11" i="26"/>
  <c r="DK8" i="26"/>
  <c r="DJ8" i="26"/>
  <c r="DH8" i="26"/>
  <c r="DG8" i="26"/>
  <c r="DF8" i="26"/>
  <c r="DE8" i="26"/>
  <c r="DK7" i="26"/>
  <c r="DJ7" i="26"/>
  <c r="DH7" i="26"/>
  <c r="DG7" i="26"/>
  <c r="DF7" i="26"/>
  <c r="DE7" i="26"/>
  <c r="DK6" i="26"/>
  <c r="DJ6" i="26"/>
  <c r="DH6" i="26"/>
  <c r="DG6" i="26"/>
  <c r="DF6" i="26"/>
  <c r="DE6" i="26"/>
  <c r="DK5" i="26"/>
  <c r="DJ5" i="26"/>
  <c r="DH5" i="26"/>
  <c r="DG5" i="26"/>
  <c r="DF5" i="26"/>
  <c r="DE5" i="26"/>
  <c r="DK4" i="26"/>
  <c r="DJ4" i="26"/>
  <c r="DH4" i="26"/>
  <c r="DG4" i="26"/>
  <c r="DF4" i="26"/>
  <c r="DE4" i="26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8" i="4"/>
  <c r="RK18" i="4"/>
  <c r="RJ18" i="4"/>
  <c r="RI18" i="4"/>
  <c r="RH18" i="4"/>
  <c r="RG18" i="4"/>
  <c r="RE18" i="4"/>
  <c r="RD18" i="4"/>
  <c r="RC18" i="4"/>
  <c r="RB18" i="4"/>
  <c r="RA18" i="4"/>
  <c r="QZ1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4" i="4"/>
  <c r="RK4" i="4"/>
  <c r="RJ4" i="4"/>
  <c r="RI4" i="4"/>
  <c r="RH4" i="4"/>
  <c r="RG4" i="4"/>
  <c r="RE4" i="4"/>
  <c r="RD4" i="4"/>
  <c r="RC4" i="4"/>
  <c r="RB4" i="4"/>
  <c r="RA4" i="4"/>
  <c r="QZ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4" i="4"/>
  <c r="QC4" i="4"/>
  <c r="QB4" i="4"/>
  <c r="QA4" i="4"/>
  <c r="PZ4" i="4"/>
  <c r="PY4" i="4"/>
  <c r="PW4" i="4"/>
  <c r="PV4" i="4"/>
  <c r="PU4" i="4"/>
  <c r="PT4" i="4"/>
  <c r="PS4" i="4"/>
  <c r="PR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4" i="4"/>
  <c r="OU4" i="4"/>
  <c r="OT4" i="4"/>
  <c r="OS4" i="4"/>
  <c r="OR4" i="4"/>
  <c r="OQ4" i="4"/>
  <c r="OO4" i="4"/>
  <c r="ON4" i="4"/>
  <c r="OM4" i="4"/>
  <c r="OL4" i="4"/>
  <c r="OK4" i="4"/>
  <c r="OJ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4" i="4"/>
  <c r="NM4" i="4"/>
  <c r="NL4" i="4"/>
  <c r="NK4" i="4"/>
  <c r="NJ4" i="4"/>
  <c r="NI4" i="4"/>
  <c r="NG4" i="4"/>
  <c r="NF4" i="4"/>
  <c r="NE4" i="4"/>
  <c r="ND4" i="4"/>
  <c r="NC4" i="4"/>
  <c r="NB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4" i="4"/>
  <c r="ME4" i="4"/>
  <c r="MD4" i="4"/>
  <c r="MC4" i="4"/>
  <c r="MB4" i="4"/>
  <c r="MA4" i="4"/>
  <c r="LY4" i="4"/>
  <c r="LX4" i="4"/>
  <c r="LW4" i="4"/>
  <c r="LV4" i="4"/>
  <c r="LU4" i="4"/>
  <c r="LT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4" i="4"/>
  <c r="KW4" i="4"/>
  <c r="KV4" i="4"/>
  <c r="KU4" i="4"/>
  <c r="KT4" i="4"/>
  <c r="KS4" i="4"/>
  <c r="KQ4" i="4"/>
  <c r="KP4" i="4"/>
  <c r="KO4" i="4"/>
  <c r="KN4" i="4"/>
  <c r="KM4" i="4"/>
  <c r="KL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4" i="4"/>
  <c r="JO4" i="4"/>
  <c r="JN4" i="4"/>
  <c r="JM4" i="4"/>
  <c r="JL4" i="4"/>
  <c r="JK4" i="4"/>
  <c r="JI4" i="4"/>
  <c r="JH4" i="4"/>
  <c r="JG4" i="4"/>
  <c r="JF4" i="4"/>
  <c r="JE4" i="4"/>
  <c r="JD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4" i="4"/>
  <c r="IG4" i="4"/>
  <c r="IF4" i="4"/>
  <c r="IE4" i="4"/>
  <c r="ID4" i="4"/>
  <c r="IC4" i="4"/>
  <c r="IA4" i="4"/>
  <c r="HZ4" i="4"/>
  <c r="HY4" i="4"/>
  <c r="HX4" i="4"/>
  <c r="HW4" i="4"/>
  <c r="HV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4" i="4"/>
  <c r="GY4" i="4"/>
  <c r="GX4" i="4"/>
  <c r="GW4" i="4"/>
  <c r="GV4" i="4"/>
  <c r="GU4" i="4"/>
  <c r="GS4" i="4"/>
  <c r="GR4" i="4"/>
  <c r="GQ4" i="4"/>
  <c r="GP4" i="4"/>
  <c r="GO4" i="4"/>
  <c r="GN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4" i="4"/>
  <c r="FQ4" i="4"/>
  <c r="FP4" i="4"/>
  <c r="FO4" i="4"/>
  <c r="FN4" i="4"/>
  <c r="FM4" i="4"/>
  <c r="FK4" i="4"/>
  <c r="FJ4" i="4"/>
  <c r="FI4" i="4"/>
  <c r="FH4" i="4"/>
  <c r="FG4" i="4"/>
  <c r="FF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4" i="4"/>
  <c r="EI4" i="4"/>
  <c r="EH4" i="4"/>
  <c r="EG4" i="4"/>
  <c r="EF4" i="4"/>
  <c r="EE4" i="4"/>
  <c r="EC4" i="4"/>
  <c r="EB4" i="4"/>
  <c r="EA4" i="4"/>
  <c r="DZ4" i="4"/>
  <c r="DY4" i="4"/>
  <c r="DX4" i="4"/>
  <c r="CD33" i="21"/>
  <c r="CE33" i="21"/>
  <c r="CF33" i="21"/>
  <c r="CG33" i="21"/>
  <c r="PA33" i="21"/>
  <c r="PB33" i="21"/>
  <c r="PC33" i="21"/>
  <c r="PD33" i="21"/>
  <c r="PF33" i="21"/>
  <c r="PG33" i="21"/>
  <c r="CD31" i="21"/>
  <c r="CE31" i="21"/>
  <c r="CF31" i="21"/>
  <c r="CG31" i="21"/>
  <c r="PA31" i="21"/>
  <c r="PB31" i="21"/>
  <c r="PC31" i="21"/>
  <c r="PD31" i="21"/>
  <c r="PF31" i="21"/>
  <c r="PG31" i="21"/>
  <c r="CD25" i="21"/>
  <c r="CE25" i="21"/>
  <c r="CF25" i="21"/>
  <c r="CG25" i="21"/>
  <c r="PA25" i="21"/>
  <c r="PB25" i="21"/>
  <c r="PC25" i="21"/>
  <c r="PD25" i="21"/>
  <c r="PF25" i="21"/>
  <c r="PG25" i="21"/>
  <c r="CD23" i="21"/>
  <c r="CE23" i="21"/>
  <c r="CF23" i="21"/>
  <c r="CG23" i="21"/>
  <c r="PA23" i="21"/>
  <c r="PB23" i="21"/>
  <c r="PC23" i="21"/>
  <c r="PD23" i="21"/>
  <c r="PF23" i="21"/>
  <c r="PG23" i="21"/>
  <c r="CD34" i="19"/>
  <c r="CE34" i="19"/>
  <c r="CF34" i="19"/>
  <c r="CG34" i="19"/>
  <c r="PA34" i="19"/>
  <c r="PB34" i="19"/>
  <c r="PC34" i="19"/>
  <c r="PD34" i="19"/>
  <c r="PF34" i="19"/>
  <c r="PG34" i="19"/>
  <c r="PI34" i="19"/>
  <c r="PJ34" i="19"/>
  <c r="PK34" i="19"/>
  <c r="PL34" i="19"/>
  <c r="PM34" i="19"/>
  <c r="PN34" i="19"/>
  <c r="PO34" i="19"/>
  <c r="PP34" i="19"/>
  <c r="PQ34" i="19"/>
  <c r="PR34" i="19"/>
  <c r="PS34" i="19"/>
  <c r="PT34" i="19"/>
  <c r="PU34" i="19"/>
  <c r="PV34" i="19"/>
  <c r="PW34" i="19"/>
  <c r="PX34" i="19"/>
  <c r="CD32" i="19"/>
  <c r="CE32" i="19"/>
  <c r="CF32" i="19"/>
  <c r="CG32" i="19"/>
  <c r="PA32" i="19"/>
  <c r="PB32" i="19"/>
  <c r="PC32" i="19"/>
  <c r="PD32" i="19"/>
  <c r="PF32" i="19"/>
  <c r="PG32" i="19"/>
  <c r="PI32" i="19"/>
  <c r="PJ32" i="19"/>
  <c r="PK32" i="19"/>
  <c r="PL32" i="19"/>
  <c r="PM32" i="19"/>
  <c r="PN32" i="19"/>
  <c r="PO32" i="19"/>
  <c r="PP32" i="19"/>
  <c r="PQ32" i="19"/>
  <c r="PR32" i="19"/>
  <c r="PS32" i="19"/>
  <c r="PT32" i="19"/>
  <c r="PU32" i="19"/>
  <c r="PV32" i="19"/>
  <c r="PW32" i="19"/>
  <c r="PX32" i="19"/>
  <c r="CD24" i="19"/>
  <c r="CE24" i="19"/>
  <c r="CF24" i="19"/>
  <c r="CG24" i="19"/>
  <c r="PA24" i="19"/>
  <c r="PB24" i="19"/>
  <c r="PC24" i="19"/>
  <c r="PD24" i="19"/>
  <c r="PF24" i="19"/>
  <c r="PG24" i="19"/>
  <c r="PI24" i="19"/>
  <c r="PJ24" i="19"/>
  <c r="PK24" i="19"/>
  <c r="PL24" i="19"/>
  <c r="PM24" i="19"/>
  <c r="PN24" i="19"/>
  <c r="PO24" i="19"/>
  <c r="PP24" i="19"/>
  <c r="PQ24" i="19"/>
  <c r="PR24" i="19"/>
  <c r="PS24" i="19"/>
  <c r="PT24" i="19"/>
  <c r="PU24" i="19"/>
  <c r="PV24" i="19"/>
  <c r="PW24" i="19"/>
  <c r="PX24" i="19"/>
  <c r="BL5" i="19" l="1"/>
  <c r="CH34" i="19"/>
  <c r="AP4" i="27"/>
  <c r="AP15" i="27"/>
  <c r="AP18" i="27"/>
  <c r="BL10" i="27"/>
  <c r="BL16" i="27"/>
  <c r="AP10" i="27"/>
  <c r="AP16" i="27"/>
  <c r="BL8" i="27"/>
  <c r="ED9" i="4"/>
  <c r="EK9" i="4" s="1"/>
  <c r="JJ9" i="4"/>
  <c r="JQ9" i="4" s="1"/>
  <c r="AP4" i="19"/>
  <c r="AP12" i="19"/>
  <c r="AP25" i="19"/>
  <c r="AP22" i="19"/>
  <c r="AP33" i="19"/>
  <c r="BL18" i="26"/>
  <c r="BZ21" i="4"/>
  <c r="AU5" i="4"/>
  <c r="AY5" i="4" s="1"/>
  <c r="HQ24" i="21"/>
  <c r="BL33" i="21"/>
  <c r="AP6" i="21"/>
  <c r="AP13" i="21"/>
  <c r="AP28" i="21"/>
  <c r="AP9" i="21"/>
  <c r="AP15" i="21"/>
  <c r="AP22" i="21"/>
  <c r="AP31" i="21"/>
  <c r="AP24" i="21"/>
  <c r="CH25" i="21"/>
  <c r="BL7" i="21"/>
  <c r="BL12" i="21"/>
  <c r="BL27" i="21"/>
  <c r="BL14" i="21"/>
  <c r="BL29" i="21"/>
  <c r="CH23" i="21"/>
  <c r="BL26" i="21"/>
  <c r="AP4" i="21"/>
  <c r="AP30" i="21"/>
  <c r="BL6" i="21"/>
  <c r="BL13" i="21"/>
  <c r="BL19" i="21"/>
  <c r="BL28" i="21"/>
  <c r="CH31" i="21"/>
  <c r="AP19" i="21"/>
  <c r="JU24" i="21"/>
  <c r="AP21" i="21"/>
  <c r="BL8" i="21"/>
  <c r="BL10" i="21"/>
  <c r="BL17" i="21"/>
  <c r="BL20" i="21"/>
  <c r="BL23" i="21"/>
  <c r="BL32" i="21"/>
  <c r="CH24" i="21"/>
  <c r="AP5" i="21"/>
  <c r="AP11" i="21"/>
  <c r="AP16" i="21"/>
  <c r="AP25" i="21"/>
  <c r="AP33" i="21"/>
  <c r="BL4" i="21"/>
  <c r="BL18" i="21"/>
  <c r="BL21" i="21"/>
  <c r="BL30" i="21"/>
  <c r="BL24" i="21"/>
  <c r="AP26" i="21"/>
  <c r="CH33" i="21"/>
  <c r="PH24" i="21"/>
  <c r="BL12" i="19"/>
  <c r="BL16" i="19"/>
  <c r="BL18" i="19"/>
  <c r="BL6" i="19"/>
  <c r="BL21" i="19"/>
  <c r="BL31" i="19"/>
  <c r="BL19" i="19"/>
  <c r="BL34" i="19"/>
  <c r="BL7" i="19"/>
  <c r="BL10" i="19"/>
  <c r="BL32" i="19"/>
  <c r="AP8" i="19"/>
  <c r="AP26" i="19"/>
  <c r="AP14" i="19"/>
  <c r="AP27" i="19"/>
  <c r="AP28" i="19"/>
  <c r="AP20" i="19"/>
  <c r="AP35" i="19"/>
  <c r="CH32" i="19"/>
  <c r="AP6" i="19"/>
  <c r="AP21" i="19"/>
  <c r="AP31" i="19"/>
  <c r="AP19" i="19"/>
  <c r="AP34" i="19"/>
  <c r="BL8" i="19"/>
  <c r="BL26" i="19"/>
  <c r="BL14" i="19"/>
  <c r="BL27" i="19"/>
  <c r="BL33" i="19"/>
  <c r="KW7" i="19"/>
  <c r="KW16" i="19"/>
  <c r="KW29" i="19"/>
  <c r="AP11" i="19"/>
  <c r="AP29" i="19"/>
  <c r="AP13" i="19"/>
  <c r="AP15" i="19"/>
  <c r="AP24" i="19"/>
  <c r="AP30" i="19"/>
  <c r="BL11" i="19"/>
  <c r="BL17" i="19"/>
  <c r="BL29" i="19"/>
  <c r="BL13" i="19"/>
  <c r="BL15" i="19"/>
  <c r="BL24" i="19"/>
  <c r="BL30" i="19"/>
  <c r="BL23" i="19"/>
  <c r="AP7" i="19"/>
  <c r="AP16" i="19"/>
  <c r="AP10" i="19"/>
  <c r="AP18" i="19"/>
  <c r="AP32" i="19"/>
  <c r="BL9" i="19"/>
  <c r="BL28" i="19"/>
  <c r="BL25" i="19"/>
  <c r="BL20" i="19"/>
  <c r="BL35" i="19"/>
  <c r="AP9" i="19"/>
  <c r="BL4" i="19"/>
  <c r="BL22" i="19"/>
  <c r="CH24" i="19"/>
  <c r="AP5" i="19"/>
  <c r="AP17" i="19"/>
  <c r="AP23" i="19"/>
  <c r="OC18" i="19"/>
  <c r="OC32" i="19"/>
  <c r="BL9" i="27"/>
  <c r="BL14" i="27"/>
  <c r="AP5" i="27"/>
  <c r="AP6" i="27"/>
  <c r="AP11" i="27"/>
  <c r="AP7" i="27"/>
  <c r="BL4" i="27"/>
  <c r="BL15" i="27"/>
  <c r="BL5" i="27"/>
  <c r="BL13" i="27"/>
  <c r="BL7" i="27"/>
  <c r="AP8" i="27"/>
  <c r="BL12" i="27"/>
  <c r="BL17" i="27"/>
  <c r="AP17" i="27"/>
  <c r="AP12" i="27"/>
  <c r="DI13" i="27"/>
  <c r="HQ9" i="27"/>
  <c r="HQ14" i="27"/>
  <c r="JU6" i="27"/>
  <c r="KW13" i="27"/>
  <c r="AP14" i="27"/>
  <c r="AP13" i="27"/>
  <c r="BL18" i="27"/>
  <c r="BL11" i="27"/>
  <c r="BL8" i="26"/>
  <c r="AP17" i="26"/>
  <c r="AP6" i="26"/>
  <c r="AP12" i="26"/>
  <c r="AP18" i="26"/>
  <c r="BL13" i="26"/>
  <c r="AP15" i="26"/>
  <c r="BL7" i="26"/>
  <c r="AP5" i="26"/>
  <c r="AP11" i="26"/>
  <c r="AP20" i="26"/>
  <c r="BL9" i="26"/>
  <c r="BL14" i="26"/>
  <c r="AP19" i="26"/>
  <c r="BL5" i="26"/>
  <c r="BL11" i="26"/>
  <c r="BL20" i="26"/>
  <c r="AP16" i="26"/>
  <c r="BL15" i="26"/>
  <c r="AP4" i="26"/>
  <c r="AP9" i="26"/>
  <c r="AP10" i="26"/>
  <c r="AP14" i="26"/>
  <c r="BL19" i="26"/>
  <c r="BL16" i="26"/>
  <c r="AP8" i="26"/>
  <c r="FM16" i="26"/>
  <c r="GO7" i="26"/>
  <c r="HQ19" i="26"/>
  <c r="IS8" i="26"/>
  <c r="IS14" i="26"/>
  <c r="NA9" i="26"/>
  <c r="NA16" i="26"/>
  <c r="OC13" i="26"/>
  <c r="HT24" i="21"/>
  <c r="JJ17" i="4"/>
  <c r="JQ17" i="4" s="1"/>
  <c r="JJ22" i="4"/>
  <c r="JQ22" i="4" s="1"/>
  <c r="LZ17" i="4"/>
  <c r="MG17" i="4" s="1"/>
  <c r="LZ22" i="4"/>
  <c r="MG22" i="4" s="1"/>
  <c r="IS24" i="21"/>
  <c r="KW24" i="21"/>
  <c r="PE24" i="21"/>
  <c r="PZ24" i="21"/>
  <c r="DI9" i="27"/>
  <c r="DI14" i="27"/>
  <c r="FM6" i="27"/>
  <c r="FM11" i="27"/>
  <c r="EK11" i="27"/>
  <c r="JU9" i="27"/>
  <c r="JU14" i="27"/>
  <c r="LY11" i="27"/>
  <c r="NA5" i="27"/>
  <c r="NA13" i="27"/>
  <c r="AU4" i="22"/>
  <c r="AY4" i="22" s="1"/>
  <c r="CW9" i="4"/>
  <c r="DA9" i="4" s="1"/>
  <c r="FL11" i="4"/>
  <c r="FS11" i="4" s="1"/>
  <c r="IB4" i="4"/>
  <c r="II4" i="4" s="1"/>
  <c r="IB8" i="4"/>
  <c r="II8" i="4" s="1"/>
  <c r="IB11" i="4"/>
  <c r="II11" i="4" s="1"/>
  <c r="OP4" i="4"/>
  <c r="OW4" i="4" s="1"/>
  <c r="OP8" i="4"/>
  <c r="OW8" i="4" s="1"/>
  <c r="OP11" i="4"/>
  <c r="OW11" i="4" s="1"/>
  <c r="RF4" i="4"/>
  <c r="RM4" i="4" s="1"/>
  <c r="RF8" i="4"/>
  <c r="RM8" i="4" s="1"/>
  <c r="RF11" i="4"/>
  <c r="RM11" i="4" s="1"/>
  <c r="KR9" i="4"/>
  <c r="KY9" i="4" s="1"/>
  <c r="BV25" i="4"/>
  <c r="BZ25" i="4" s="1"/>
  <c r="DI24" i="21"/>
  <c r="GO24" i="21"/>
  <c r="NA24" i="21"/>
  <c r="EK24" i="21"/>
  <c r="KZ24" i="21"/>
  <c r="DL20" i="21"/>
  <c r="FM7" i="21"/>
  <c r="GO11" i="21"/>
  <c r="GO16" i="21"/>
  <c r="GO25" i="21"/>
  <c r="HQ10" i="21"/>
  <c r="IS22" i="21"/>
  <c r="JX8" i="21"/>
  <c r="KZ20" i="21"/>
  <c r="KZ29" i="21"/>
  <c r="LY6" i="21"/>
  <c r="NA7" i="21"/>
  <c r="ND18" i="21"/>
  <c r="ND28" i="21"/>
  <c r="OC11" i="21"/>
  <c r="OC25" i="21"/>
  <c r="HT6" i="19"/>
  <c r="HQ19" i="19"/>
  <c r="HQ34" i="19"/>
  <c r="IV9" i="19"/>
  <c r="JU30" i="19"/>
  <c r="GO18" i="19"/>
  <c r="NA17" i="27"/>
  <c r="OC14" i="27"/>
  <c r="EK14" i="27"/>
  <c r="FP12" i="27"/>
  <c r="GO6" i="27"/>
  <c r="GO11" i="27"/>
  <c r="HT5" i="27"/>
  <c r="IV4" i="27"/>
  <c r="IV15" i="27"/>
  <c r="IV18" i="27"/>
  <c r="LY9" i="27"/>
  <c r="LY14" i="27"/>
  <c r="ND12" i="27"/>
  <c r="OC6" i="27"/>
  <c r="OC11" i="27"/>
  <c r="DL11" i="26"/>
  <c r="HT4" i="26"/>
  <c r="HT17" i="26"/>
  <c r="KZ15" i="26"/>
  <c r="MB6" i="26"/>
  <c r="MB12" i="26"/>
  <c r="MB18" i="26"/>
  <c r="EN11" i="26"/>
  <c r="EN15" i="26"/>
  <c r="FP6" i="26"/>
  <c r="FP12" i="26"/>
  <c r="FP18" i="26"/>
  <c r="GO9" i="26"/>
  <c r="GO16" i="26"/>
  <c r="HQ7" i="26"/>
  <c r="BV6" i="22"/>
  <c r="BZ6" i="22" s="1"/>
  <c r="NH9" i="4"/>
  <c r="NO9" i="4" s="1"/>
  <c r="LY5" i="19"/>
  <c r="LY21" i="19"/>
  <c r="LY31" i="19"/>
  <c r="AU6" i="22"/>
  <c r="AY6" i="22" s="1"/>
  <c r="BV9" i="22"/>
  <c r="BZ9" i="22" s="1"/>
  <c r="AU10" i="22"/>
  <c r="AY10" i="22" s="1"/>
  <c r="JJ9" i="22"/>
  <c r="JQ9" i="22" s="1"/>
  <c r="JJ10" i="22"/>
  <c r="JQ10" i="22" s="1"/>
  <c r="BV4" i="22"/>
  <c r="BZ4" i="22" s="1"/>
  <c r="BZ10" i="22"/>
  <c r="BV5" i="22"/>
  <c r="BZ5" i="22" s="1"/>
  <c r="BV7" i="22"/>
  <c r="BZ7" i="22" s="1"/>
  <c r="AY8" i="22"/>
  <c r="AU9" i="22"/>
  <c r="AY9" i="22" s="1"/>
  <c r="AU5" i="22"/>
  <c r="AY5" i="22" s="1"/>
  <c r="BV8" i="22"/>
  <c r="BZ8" i="22" s="1"/>
  <c r="AU7" i="22"/>
  <c r="AY7" i="22" s="1"/>
  <c r="BV15" i="4"/>
  <c r="BZ15" i="4" s="1"/>
  <c r="ED5" i="4"/>
  <c r="EK5" i="4" s="1"/>
  <c r="ED10" i="4"/>
  <c r="EK10" i="4" s="1"/>
  <c r="ED19" i="4"/>
  <c r="EK19" i="4" s="1"/>
  <c r="KR5" i="4"/>
  <c r="KY5" i="4" s="1"/>
  <c r="KR10" i="4"/>
  <c r="KY10" i="4" s="1"/>
  <c r="KR19" i="4"/>
  <c r="KY19" i="4" s="1"/>
  <c r="NH5" i="4"/>
  <c r="NO5" i="4" s="1"/>
  <c r="BV7" i="4"/>
  <c r="BZ7" i="4" s="1"/>
  <c r="JJ6" i="4"/>
  <c r="JQ6" i="4" s="1"/>
  <c r="JJ12" i="4"/>
  <c r="JQ12" i="4" s="1"/>
  <c r="JJ25" i="4"/>
  <c r="JQ25" i="4" s="1"/>
  <c r="LZ25" i="4"/>
  <c r="MG25" i="4" s="1"/>
  <c r="AU10" i="4"/>
  <c r="AY10" i="4" s="1"/>
  <c r="BV5" i="4"/>
  <c r="BZ5" i="4" s="1"/>
  <c r="BV19" i="4"/>
  <c r="BZ19" i="4" s="1"/>
  <c r="AU17" i="4"/>
  <c r="AY17" i="4" s="1"/>
  <c r="BV22" i="4"/>
  <c r="BZ22" i="4" s="1"/>
  <c r="ED7" i="4"/>
  <c r="EK7" i="4" s="1"/>
  <c r="ED14" i="4"/>
  <c r="EK14" i="4" s="1"/>
  <c r="JJ21" i="4"/>
  <c r="JQ21" i="4" s="1"/>
  <c r="NH7" i="4"/>
  <c r="NO7" i="4" s="1"/>
  <c r="NH14" i="4"/>
  <c r="NO14" i="4" s="1"/>
  <c r="BV14" i="4"/>
  <c r="OW9" i="4"/>
  <c r="NH10" i="4"/>
  <c r="NO10" i="4" s="1"/>
  <c r="NH19" i="4"/>
  <c r="NO19" i="4" s="1"/>
  <c r="AU4" i="4"/>
  <c r="AY4" i="4" s="1"/>
  <c r="AU23" i="4"/>
  <c r="AY23" i="4" s="1"/>
  <c r="AY25" i="4"/>
  <c r="AU22" i="4"/>
  <c r="AY22" i="4" s="1"/>
  <c r="KR16" i="4"/>
  <c r="KY16" i="4" s="1"/>
  <c r="KR20" i="4"/>
  <c r="KY20" i="4" s="1"/>
  <c r="KR23" i="4"/>
  <c r="KY23" i="4" s="1"/>
  <c r="BV13" i="4"/>
  <c r="BZ13" i="4" s="1"/>
  <c r="BV20" i="4"/>
  <c r="BZ20" i="4" s="1"/>
  <c r="AY18" i="4"/>
  <c r="BV11" i="4"/>
  <c r="BZ11" i="4" s="1"/>
  <c r="KR18" i="4"/>
  <c r="KY18" i="4" s="1"/>
  <c r="LZ15" i="4"/>
  <c r="MG15" i="4" s="1"/>
  <c r="LZ13" i="4"/>
  <c r="MG13" i="4" s="1"/>
  <c r="LZ24" i="4"/>
  <c r="MG24" i="4" s="1"/>
  <c r="AU6" i="4"/>
  <c r="AY6" i="4" s="1"/>
  <c r="AU21" i="4"/>
  <c r="AY21" i="4" s="1"/>
  <c r="BV12" i="4"/>
  <c r="BZ12" i="4" s="1"/>
  <c r="BV16" i="4"/>
  <c r="BZ16" i="4" s="1"/>
  <c r="AU11" i="4"/>
  <c r="AY11" i="4" s="1"/>
  <c r="BV6" i="4"/>
  <c r="BZ6" i="4" s="1"/>
  <c r="AU12" i="4"/>
  <c r="AY12" i="4" s="1"/>
  <c r="PX9" i="4"/>
  <c r="QE9" i="4" s="1"/>
  <c r="FL9" i="4"/>
  <c r="FS9" i="4" s="1"/>
  <c r="BZ14" i="4"/>
  <c r="RF9" i="4"/>
  <c r="RM9" i="4" s="1"/>
  <c r="GT9" i="4"/>
  <c r="HA9" i="4" s="1"/>
  <c r="BZ9" i="4"/>
  <c r="FL15" i="4"/>
  <c r="FS15" i="4" s="1"/>
  <c r="FL13" i="4"/>
  <c r="FS13" i="4" s="1"/>
  <c r="FL24" i="4"/>
  <c r="FS24" i="4" s="1"/>
  <c r="GT21" i="4"/>
  <c r="HA21" i="4" s="1"/>
  <c r="OP15" i="4"/>
  <c r="OW15" i="4" s="1"/>
  <c r="OP13" i="4"/>
  <c r="OW13" i="4" s="1"/>
  <c r="OP24" i="4"/>
  <c r="OW24" i="4" s="1"/>
  <c r="PX6" i="4"/>
  <c r="QE6" i="4" s="1"/>
  <c r="PX12" i="4"/>
  <c r="QE12" i="4" s="1"/>
  <c r="PX21" i="4"/>
  <c r="QE21" i="4" s="1"/>
  <c r="BV4" i="4"/>
  <c r="BZ4" i="4" s="1"/>
  <c r="SN9" i="4"/>
  <c r="SU9" i="4" s="1"/>
  <c r="IB9" i="4"/>
  <c r="II9" i="4" s="1"/>
  <c r="GT7" i="4"/>
  <c r="HA7" i="4" s="1"/>
  <c r="GT14" i="4"/>
  <c r="HA14" i="4" s="1"/>
  <c r="IB16" i="4"/>
  <c r="II16" i="4" s="1"/>
  <c r="IB20" i="4"/>
  <c r="II20" i="4" s="1"/>
  <c r="IB23" i="4"/>
  <c r="II23" i="4" s="1"/>
  <c r="IB18" i="4"/>
  <c r="II18" i="4" s="1"/>
  <c r="PX7" i="4"/>
  <c r="QE7" i="4" s="1"/>
  <c r="PX14" i="4"/>
  <c r="QE14" i="4" s="1"/>
  <c r="RF16" i="4"/>
  <c r="RM16" i="4" s="1"/>
  <c r="RF20" i="4"/>
  <c r="RM20" i="4" s="1"/>
  <c r="RF23" i="4"/>
  <c r="RM23" i="4" s="1"/>
  <c r="RF18" i="4"/>
  <c r="RM18" i="4" s="1"/>
  <c r="AU24" i="4"/>
  <c r="AY24" i="4" s="1"/>
  <c r="AU7" i="4"/>
  <c r="AY7" i="4" s="1"/>
  <c r="BV18" i="4"/>
  <c r="BZ18" i="4" s="1"/>
  <c r="LZ9" i="4"/>
  <c r="MG9" i="4" s="1"/>
  <c r="OC24" i="21"/>
  <c r="ND24" i="21"/>
  <c r="LY24" i="21"/>
  <c r="JX24" i="21"/>
  <c r="IV24" i="21"/>
  <c r="FP24" i="21"/>
  <c r="FM24" i="21"/>
  <c r="DL24" i="21"/>
  <c r="QA24" i="21"/>
  <c r="P24" i="21"/>
  <c r="Q24" i="21" s="1"/>
  <c r="QC24" i="21"/>
  <c r="QB24" i="21"/>
  <c r="H24" i="21"/>
  <c r="I24" i="21"/>
  <c r="L24" i="21"/>
  <c r="N24" i="21"/>
  <c r="GR24" i="21"/>
  <c r="MB24" i="21"/>
  <c r="EN24" i="21"/>
  <c r="OF24" i="21"/>
  <c r="FM11" i="21"/>
  <c r="FM16" i="21"/>
  <c r="FM25" i="21"/>
  <c r="FP33" i="21"/>
  <c r="GO10" i="21"/>
  <c r="GR17" i="21"/>
  <c r="GR23" i="21"/>
  <c r="HQ15" i="21"/>
  <c r="IV26" i="21"/>
  <c r="IS21" i="21"/>
  <c r="KW12" i="21"/>
  <c r="ND5" i="21"/>
  <c r="NA11" i="21"/>
  <c r="NA16" i="21"/>
  <c r="NA25" i="21"/>
  <c r="ND33" i="21"/>
  <c r="OF17" i="21"/>
  <c r="OF23" i="21"/>
  <c r="DL26" i="19"/>
  <c r="EN22" i="19"/>
  <c r="EN33" i="19"/>
  <c r="FM21" i="19"/>
  <c r="FM31" i="19"/>
  <c r="HQ18" i="19"/>
  <c r="HQ32" i="19"/>
  <c r="IS19" i="19"/>
  <c r="IS34" i="19"/>
  <c r="JX9" i="19"/>
  <c r="KW30" i="19"/>
  <c r="LY7" i="19"/>
  <c r="LY16" i="19"/>
  <c r="LY29" i="19"/>
  <c r="NA5" i="19"/>
  <c r="NA21" i="19"/>
  <c r="NA31" i="19"/>
  <c r="HQ16" i="19"/>
  <c r="HQ29" i="19"/>
  <c r="IS5" i="19"/>
  <c r="IS21" i="19"/>
  <c r="IS31" i="19"/>
  <c r="KW18" i="19"/>
  <c r="KW32" i="19"/>
  <c r="LY19" i="19"/>
  <c r="LY34" i="19"/>
  <c r="OC30" i="19"/>
  <c r="EK15" i="19"/>
  <c r="EK30" i="19"/>
  <c r="FM29" i="19"/>
  <c r="GO21" i="19"/>
  <c r="IS18" i="19"/>
  <c r="IS32" i="19"/>
  <c r="JU19" i="19"/>
  <c r="JU34" i="19"/>
  <c r="NA7" i="19"/>
  <c r="NA29" i="19"/>
  <c r="OC5" i="19"/>
  <c r="OC21" i="19"/>
  <c r="OC31" i="19"/>
  <c r="FM18" i="19"/>
  <c r="FM32" i="19"/>
  <c r="GO12" i="19"/>
  <c r="IS15" i="19"/>
  <c r="IS30" i="19"/>
  <c r="JU7" i="19"/>
  <c r="JU16" i="19"/>
  <c r="KW5" i="19"/>
  <c r="KW31" i="19"/>
  <c r="NA32" i="19"/>
  <c r="OC19" i="19"/>
  <c r="TU9" i="4"/>
  <c r="TQ9" i="4"/>
  <c r="TN9" i="4"/>
  <c r="P9" i="4"/>
  <c r="Q9" i="4" s="1"/>
  <c r="AY9" i="4"/>
  <c r="R9" i="4"/>
  <c r="S9" i="4" s="1"/>
  <c r="N9" i="4"/>
  <c r="L9" i="4"/>
  <c r="K9" i="4"/>
  <c r="I9" i="4"/>
  <c r="H9" i="4"/>
  <c r="T9" i="4"/>
  <c r="U9" i="4" s="1"/>
  <c r="AU13" i="4"/>
  <c r="AY13" i="4" s="1"/>
  <c r="BV8" i="4"/>
  <c r="BZ8" i="4" s="1"/>
  <c r="AU16" i="4"/>
  <c r="AY16" i="4" s="1"/>
  <c r="AU20" i="4"/>
  <c r="AY20" i="4" s="1"/>
  <c r="BZ24" i="4"/>
  <c r="AU8" i="4"/>
  <c r="AY8" i="4" s="1"/>
  <c r="AU19" i="4"/>
  <c r="AY19" i="4" s="1"/>
  <c r="BZ23" i="4"/>
  <c r="AU14" i="4"/>
  <c r="AY14" i="4" s="1"/>
  <c r="BV10" i="4"/>
  <c r="BZ10" i="4" s="1"/>
  <c r="AU15" i="4"/>
  <c r="AY15" i="4" s="1"/>
  <c r="BV17" i="4"/>
  <c r="BZ17" i="4" s="1"/>
  <c r="PE33" i="21"/>
  <c r="DI10" i="21"/>
  <c r="EK15" i="21"/>
  <c r="EK22" i="21"/>
  <c r="FM30" i="21"/>
  <c r="NA30" i="21"/>
  <c r="EK4" i="19"/>
  <c r="IS7" i="19"/>
  <c r="IS16" i="19"/>
  <c r="JU5" i="19"/>
  <c r="JU21" i="19"/>
  <c r="JU31" i="19"/>
  <c r="LY18" i="19"/>
  <c r="LY32" i="19"/>
  <c r="NA19" i="19"/>
  <c r="JU11" i="27"/>
  <c r="JU17" i="27"/>
  <c r="KW9" i="27"/>
  <c r="KW14" i="27"/>
  <c r="NA6" i="27"/>
  <c r="NA11" i="27"/>
  <c r="OC5" i="27"/>
  <c r="DI6" i="27"/>
  <c r="DI11" i="27"/>
  <c r="EK5" i="27"/>
  <c r="IS9" i="27"/>
  <c r="IS14" i="27"/>
  <c r="KW6" i="27"/>
  <c r="KW11" i="27"/>
  <c r="LY13" i="27"/>
  <c r="DI19" i="26"/>
  <c r="EK8" i="26"/>
  <c r="IS9" i="26"/>
  <c r="IS16" i="26"/>
  <c r="JU13" i="26"/>
  <c r="LY14" i="26"/>
  <c r="OC7" i="21"/>
  <c r="OF14" i="21"/>
  <c r="OF18" i="21"/>
  <c r="OF28" i="21"/>
  <c r="DI15" i="21"/>
  <c r="EK21" i="21"/>
  <c r="EK30" i="21"/>
  <c r="HQ7" i="21"/>
  <c r="IS11" i="21"/>
  <c r="IS16" i="21"/>
  <c r="KW15" i="21"/>
  <c r="KW22" i="21"/>
  <c r="LY26" i="21"/>
  <c r="OF5" i="21"/>
  <c r="OF33" i="21"/>
  <c r="OC15" i="21"/>
  <c r="OC22" i="21"/>
  <c r="JU11" i="21"/>
  <c r="JU16" i="21"/>
  <c r="KW10" i="21"/>
  <c r="LY9" i="21"/>
  <c r="LY22" i="21"/>
  <c r="DI30" i="21"/>
  <c r="HQ25" i="21"/>
  <c r="IS10" i="21"/>
  <c r="KW30" i="21"/>
  <c r="ND30" i="21"/>
  <c r="DL9" i="21"/>
  <c r="EN8" i="21"/>
  <c r="EN26" i="21"/>
  <c r="FP29" i="21"/>
  <c r="IV33" i="21"/>
  <c r="JX23" i="21"/>
  <c r="KZ9" i="21"/>
  <c r="MB8" i="21"/>
  <c r="OF6" i="21"/>
  <c r="EN34" i="19"/>
  <c r="FP11" i="19"/>
  <c r="FP28" i="19"/>
  <c r="HT9" i="19"/>
  <c r="HT10" i="19"/>
  <c r="IV14" i="19"/>
  <c r="IV26" i="19"/>
  <c r="OC34" i="19"/>
  <c r="EN24" i="19"/>
  <c r="EN23" i="19"/>
  <c r="FP14" i="19"/>
  <c r="FP26" i="19"/>
  <c r="GO7" i="19"/>
  <c r="GO16" i="19"/>
  <c r="GO29" i="19"/>
  <c r="GR22" i="19"/>
  <c r="GR33" i="19"/>
  <c r="HQ5" i="19"/>
  <c r="HQ21" i="19"/>
  <c r="HT24" i="19"/>
  <c r="IV20" i="19"/>
  <c r="JU18" i="19"/>
  <c r="KW19" i="19"/>
  <c r="KW34" i="19"/>
  <c r="ND15" i="19"/>
  <c r="ND30" i="19"/>
  <c r="OC7" i="19"/>
  <c r="OC16" i="19"/>
  <c r="OC29" i="19"/>
  <c r="ND4" i="19"/>
  <c r="ND11" i="19"/>
  <c r="ND28" i="19"/>
  <c r="DL9" i="19"/>
  <c r="DL10" i="19"/>
  <c r="FP22" i="19"/>
  <c r="FP33" i="19"/>
  <c r="GR24" i="19"/>
  <c r="KZ23" i="19"/>
  <c r="MB14" i="19"/>
  <c r="MB26" i="19"/>
  <c r="MB15" i="19"/>
  <c r="MB30" i="19"/>
  <c r="EN7" i="27"/>
  <c r="FM9" i="27"/>
  <c r="FM14" i="27"/>
  <c r="GR10" i="27"/>
  <c r="GR12" i="27"/>
  <c r="HQ6" i="27"/>
  <c r="JX15" i="27"/>
  <c r="JX18" i="27"/>
  <c r="MB7" i="27"/>
  <c r="NA9" i="27"/>
  <c r="NA14" i="27"/>
  <c r="OF12" i="27"/>
  <c r="FP5" i="27"/>
  <c r="GR4" i="27"/>
  <c r="GR18" i="27"/>
  <c r="IV17" i="27"/>
  <c r="IV7" i="27"/>
  <c r="OF4" i="27"/>
  <c r="OF18" i="27"/>
  <c r="FP13" i="27"/>
  <c r="EN4" i="27"/>
  <c r="EN15" i="27"/>
  <c r="EN18" i="27"/>
  <c r="GR17" i="27"/>
  <c r="GR7" i="27"/>
  <c r="IV10" i="27"/>
  <c r="MB4" i="27"/>
  <c r="MB15" i="27"/>
  <c r="MB18" i="27"/>
  <c r="OF17" i="27"/>
  <c r="OF12" i="26"/>
  <c r="OF18" i="26"/>
  <c r="HQ13" i="26"/>
  <c r="IV19" i="26"/>
  <c r="IV17" i="26"/>
  <c r="JU8" i="26"/>
  <c r="JU14" i="26"/>
  <c r="MB11" i="26"/>
  <c r="OC9" i="26"/>
  <c r="OC16" i="26"/>
  <c r="ED16" i="4"/>
  <c r="EK16" i="4" s="1"/>
  <c r="ED18" i="4"/>
  <c r="EK18" i="4" s="1"/>
  <c r="FL22" i="4"/>
  <c r="FS22" i="4" s="1"/>
  <c r="FL25" i="4"/>
  <c r="FS25" i="4" s="1"/>
  <c r="GT5" i="4"/>
  <c r="HA5" i="4" s="1"/>
  <c r="GT10" i="4"/>
  <c r="HA10" i="4" s="1"/>
  <c r="GT19" i="4"/>
  <c r="HA19" i="4" s="1"/>
  <c r="IB15" i="4"/>
  <c r="II15" i="4" s="1"/>
  <c r="IB13" i="4"/>
  <c r="II13" i="4" s="1"/>
  <c r="IB24" i="4"/>
  <c r="II24" i="4" s="1"/>
  <c r="JJ7" i="4"/>
  <c r="JQ7" i="4" s="1"/>
  <c r="JJ14" i="4"/>
  <c r="JQ14" i="4" s="1"/>
  <c r="KR4" i="4"/>
  <c r="KY4" i="4" s="1"/>
  <c r="KR8" i="4"/>
  <c r="KY8" i="4" s="1"/>
  <c r="KR11" i="4"/>
  <c r="KY11" i="4" s="1"/>
  <c r="LZ6" i="4"/>
  <c r="MG6" i="4" s="1"/>
  <c r="LZ12" i="4"/>
  <c r="MG12" i="4" s="1"/>
  <c r="LZ21" i="4"/>
  <c r="MG21" i="4" s="1"/>
  <c r="NH16" i="4"/>
  <c r="NO16" i="4" s="1"/>
  <c r="NH20" i="4"/>
  <c r="NO20" i="4" s="1"/>
  <c r="NH23" i="4"/>
  <c r="NO23" i="4" s="1"/>
  <c r="NH18" i="4"/>
  <c r="NO18" i="4" s="1"/>
  <c r="OP17" i="4"/>
  <c r="OW17" i="4" s="1"/>
  <c r="OP22" i="4"/>
  <c r="OW22" i="4" s="1"/>
  <c r="OP25" i="4"/>
  <c r="OW25" i="4" s="1"/>
  <c r="PX5" i="4"/>
  <c r="QE5" i="4" s="1"/>
  <c r="ED20" i="4"/>
  <c r="EK20" i="4" s="1"/>
  <c r="ED23" i="4"/>
  <c r="EK23" i="4" s="1"/>
  <c r="FL17" i="4"/>
  <c r="FS17" i="4" s="1"/>
  <c r="ED15" i="4"/>
  <c r="EK15" i="4" s="1"/>
  <c r="ED13" i="4"/>
  <c r="EK13" i="4" s="1"/>
  <c r="ED24" i="4"/>
  <c r="EK24" i="4" s="1"/>
  <c r="FL7" i="4"/>
  <c r="FS7" i="4" s="1"/>
  <c r="FL14" i="4"/>
  <c r="FS14" i="4" s="1"/>
  <c r="GT4" i="4"/>
  <c r="HA4" i="4" s="1"/>
  <c r="GT8" i="4"/>
  <c r="HA8" i="4" s="1"/>
  <c r="GT11" i="4"/>
  <c r="HA11" i="4" s="1"/>
  <c r="IB6" i="4"/>
  <c r="II6" i="4" s="1"/>
  <c r="IB12" i="4"/>
  <c r="II12" i="4" s="1"/>
  <c r="IB21" i="4"/>
  <c r="II21" i="4" s="1"/>
  <c r="JJ16" i="4"/>
  <c r="JQ16" i="4" s="1"/>
  <c r="JJ20" i="4"/>
  <c r="JQ20" i="4" s="1"/>
  <c r="JJ23" i="4"/>
  <c r="JQ23" i="4" s="1"/>
  <c r="JJ18" i="4"/>
  <c r="JQ18" i="4" s="1"/>
  <c r="KR17" i="4"/>
  <c r="KY17" i="4" s="1"/>
  <c r="KR22" i="4"/>
  <c r="KY22" i="4" s="1"/>
  <c r="KR25" i="4"/>
  <c r="KY25" i="4" s="1"/>
  <c r="LZ5" i="4"/>
  <c r="MG5" i="4" s="1"/>
  <c r="LZ10" i="4"/>
  <c r="MG10" i="4" s="1"/>
  <c r="LZ19" i="4"/>
  <c r="MG19" i="4" s="1"/>
  <c r="NH15" i="4"/>
  <c r="NO15" i="4" s="1"/>
  <c r="NH13" i="4"/>
  <c r="NO13" i="4" s="1"/>
  <c r="NH24" i="4"/>
  <c r="NO24" i="4" s="1"/>
  <c r="OP7" i="4"/>
  <c r="OW7" i="4" s="1"/>
  <c r="OP14" i="4"/>
  <c r="OW14" i="4" s="1"/>
  <c r="PX4" i="4"/>
  <c r="QE4" i="4" s="1"/>
  <c r="PX8" i="4"/>
  <c r="QE8" i="4" s="1"/>
  <c r="PX11" i="4"/>
  <c r="QE11" i="4" s="1"/>
  <c r="RF6" i="4"/>
  <c r="RM6" i="4" s="1"/>
  <c r="RF12" i="4"/>
  <c r="RM12" i="4" s="1"/>
  <c r="RF21" i="4"/>
  <c r="RM21" i="4" s="1"/>
  <c r="PX10" i="4"/>
  <c r="QE10" i="4" s="1"/>
  <c r="ED4" i="4"/>
  <c r="EK4" i="4" s="1"/>
  <c r="ED8" i="4"/>
  <c r="EK8" i="4" s="1"/>
  <c r="ED11" i="4"/>
  <c r="EK11" i="4" s="1"/>
  <c r="FL6" i="4"/>
  <c r="FS6" i="4" s="1"/>
  <c r="FL12" i="4"/>
  <c r="FS12" i="4" s="1"/>
  <c r="FL21" i="4"/>
  <c r="FS21" i="4" s="1"/>
  <c r="GT16" i="4"/>
  <c r="HA16" i="4" s="1"/>
  <c r="GT20" i="4"/>
  <c r="HA20" i="4" s="1"/>
  <c r="GT23" i="4"/>
  <c r="HA23" i="4" s="1"/>
  <c r="GT18" i="4"/>
  <c r="HA18" i="4" s="1"/>
  <c r="IB17" i="4"/>
  <c r="II17" i="4" s="1"/>
  <c r="IB22" i="4"/>
  <c r="II22" i="4" s="1"/>
  <c r="IB25" i="4"/>
  <c r="II25" i="4" s="1"/>
  <c r="JJ5" i="4"/>
  <c r="JQ5" i="4" s="1"/>
  <c r="JJ10" i="4"/>
  <c r="JQ10" i="4" s="1"/>
  <c r="JJ19" i="4"/>
  <c r="JQ19" i="4" s="1"/>
  <c r="KR15" i="4"/>
  <c r="KY15" i="4" s="1"/>
  <c r="KR13" i="4"/>
  <c r="KY13" i="4" s="1"/>
  <c r="KR24" i="4"/>
  <c r="KY24" i="4" s="1"/>
  <c r="LZ7" i="4"/>
  <c r="MG7" i="4" s="1"/>
  <c r="LZ14" i="4"/>
  <c r="MG14" i="4" s="1"/>
  <c r="NH4" i="4"/>
  <c r="NO4" i="4" s="1"/>
  <c r="NH8" i="4"/>
  <c r="NO8" i="4" s="1"/>
  <c r="NH11" i="4"/>
  <c r="NO11" i="4" s="1"/>
  <c r="OP6" i="4"/>
  <c r="OW6" i="4" s="1"/>
  <c r="OP12" i="4"/>
  <c r="OW12" i="4" s="1"/>
  <c r="OP21" i="4"/>
  <c r="OW21" i="4" s="1"/>
  <c r="PX16" i="4"/>
  <c r="QE16" i="4" s="1"/>
  <c r="PX20" i="4"/>
  <c r="QE20" i="4" s="1"/>
  <c r="PX23" i="4"/>
  <c r="QE23" i="4" s="1"/>
  <c r="PX18" i="4"/>
  <c r="QE18" i="4" s="1"/>
  <c r="RF17" i="4"/>
  <c r="RM17" i="4" s="1"/>
  <c r="RF22" i="4"/>
  <c r="RM22" i="4" s="1"/>
  <c r="RF25" i="4"/>
  <c r="RM25" i="4" s="1"/>
  <c r="OF8" i="21"/>
  <c r="OF26" i="21"/>
  <c r="OC21" i="21"/>
  <c r="OC30" i="21"/>
  <c r="DI7" i="21"/>
  <c r="DI28" i="21"/>
  <c r="EK11" i="21"/>
  <c r="EK16" i="21"/>
  <c r="EK25" i="21"/>
  <c r="HQ30" i="21"/>
  <c r="KW7" i="21"/>
  <c r="LY11" i="21"/>
  <c r="LY16" i="21"/>
  <c r="LY25" i="21"/>
  <c r="NA10" i="21"/>
  <c r="GO9" i="27"/>
  <c r="EK9" i="27"/>
  <c r="EN10" i="27"/>
  <c r="EN12" i="27"/>
  <c r="GR5" i="27"/>
  <c r="JX7" i="27"/>
  <c r="MB10" i="27"/>
  <c r="OF16" i="27"/>
  <c r="DI7" i="26"/>
  <c r="DI13" i="26"/>
  <c r="EN19" i="26"/>
  <c r="EN17" i="26"/>
  <c r="FM8" i="26"/>
  <c r="FM14" i="26"/>
  <c r="HT11" i="26"/>
  <c r="JU16" i="26"/>
  <c r="KZ7" i="26"/>
  <c r="KZ13" i="26"/>
  <c r="MB4" i="26"/>
  <c r="MB19" i="26"/>
  <c r="MB17" i="26"/>
  <c r="NA8" i="26"/>
  <c r="NA14" i="26"/>
  <c r="DI9" i="26"/>
  <c r="DI16" i="26"/>
  <c r="GO8" i="26"/>
  <c r="GO14" i="26"/>
  <c r="KW9" i="26"/>
  <c r="KW16" i="26"/>
  <c r="LY7" i="26"/>
  <c r="LY13" i="26"/>
  <c r="OF9" i="26"/>
  <c r="OF16" i="26"/>
  <c r="DL6" i="26"/>
  <c r="DL12" i="26"/>
  <c r="DL18" i="26"/>
  <c r="EK9" i="26"/>
  <c r="EK16" i="26"/>
  <c r="GR19" i="26"/>
  <c r="GR14" i="26"/>
  <c r="GR17" i="26"/>
  <c r="HQ8" i="26"/>
  <c r="HQ14" i="26"/>
  <c r="JX11" i="26"/>
  <c r="JX15" i="26"/>
  <c r="KZ6" i="26"/>
  <c r="LY9" i="26"/>
  <c r="LY16" i="26"/>
  <c r="ND13" i="26"/>
  <c r="OF4" i="26"/>
  <c r="OF19" i="26"/>
  <c r="OF17" i="26"/>
  <c r="DL4" i="26"/>
  <c r="DL17" i="26"/>
  <c r="GR11" i="26"/>
  <c r="GR15" i="26"/>
  <c r="HT6" i="26"/>
  <c r="HT12" i="26"/>
  <c r="HT18" i="26"/>
  <c r="JX7" i="26"/>
  <c r="OF11" i="26"/>
  <c r="OF15" i="26"/>
  <c r="ED8" i="22"/>
  <c r="EK8" i="22" s="1"/>
  <c r="NH8" i="22"/>
  <c r="NO8" i="22" s="1"/>
  <c r="KR4" i="22"/>
  <c r="KY4" i="22" s="1"/>
  <c r="JJ5" i="22"/>
  <c r="JQ5" i="22" s="1"/>
  <c r="JJ4" i="22"/>
  <c r="JQ4" i="22" s="1"/>
  <c r="ED22" i="4"/>
  <c r="EK22" i="4" s="1"/>
  <c r="FL19" i="4"/>
  <c r="FS19" i="4" s="1"/>
  <c r="KR21" i="4"/>
  <c r="KY21" i="4" s="1"/>
  <c r="NH17" i="4"/>
  <c r="NO17" i="4" s="1"/>
  <c r="NH25" i="4"/>
  <c r="NO25" i="4" s="1"/>
  <c r="OP10" i="4"/>
  <c r="OW10" i="4" s="1"/>
  <c r="OP19" i="4"/>
  <c r="OW19" i="4" s="1"/>
  <c r="PX15" i="4"/>
  <c r="QE15" i="4" s="1"/>
  <c r="PX13" i="4"/>
  <c r="QE13" i="4" s="1"/>
  <c r="PX24" i="4"/>
  <c r="QE24" i="4" s="1"/>
  <c r="RF7" i="4"/>
  <c r="RM7" i="4" s="1"/>
  <c r="RF14" i="4"/>
  <c r="RM14" i="4" s="1"/>
  <c r="ED17" i="4"/>
  <c r="EK17" i="4" s="1"/>
  <c r="FL5" i="4"/>
  <c r="FS5" i="4" s="1"/>
  <c r="GT24" i="4"/>
  <c r="HA24" i="4" s="1"/>
  <c r="IB7" i="4"/>
  <c r="II7" i="4" s="1"/>
  <c r="IB14" i="4"/>
  <c r="II14" i="4" s="1"/>
  <c r="JJ8" i="4"/>
  <c r="JQ8" i="4" s="1"/>
  <c r="KR12" i="4"/>
  <c r="KY12" i="4" s="1"/>
  <c r="LZ16" i="4"/>
  <c r="MG16" i="4" s="1"/>
  <c r="LZ20" i="4"/>
  <c r="MG20" i="4" s="1"/>
  <c r="LZ23" i="4"/>
  <c r="MG23" i="4" s="1"/>
  <c r="LZ18" i="4"/>
  <c r="MG18" i="4" s="1"/>
  <c r="NH22" i="4"/>
  <c r="NO22" i="4" s="1"/>
  <c r="ED25" i="4"/>
  <c r="EK25" i="4" s="1"/>
  <c r="GT15" i="4"/>
  <c r="HA15" i="4" s="1"/>
  <c r="GT13" i="4"/>
  <c r="HA13" i="4" s="1"/>
  <c r="JJ4" i="4"/>
  <c r="JQ4" i="4" s="1"/>
  <c r="JJ11" i="4"/>
  <c r="JQ11" i="4" s="1"/>
  <c r="KR6" i="4"/>
  <c r="KY6" i="4" s="1"/>
  <c r="OP5" i="4"/>
  <c r="OW5" i="4" s="1"/>
  <c r="JX10" i="19"/>
  <c r="JX23" i="19"/>
  <c r="KZ14" i="19"/>
  <c r="KZ26" i="19"/>
  <c r="EN6" i="19"/>
  <c r="EN12" i="19"/>
  <c r="EN25" i="19"/>
  <c r="FP23" i="19"/>
  <c r="GR14" i="19"/>
  <c r="GR26" i="19"/>
  <c r="JX20" i="19"/>
  <c r="JX35" i="19"/>
  <c r="KZ11" i="19"/>
  <c r="DL35" i="19"/>
  <c r="EN11" i="19"/>
  <c r="EN28" i="19"/>
  <c r="GR9" i="19"/>
  <c r="JX24" i="19"/>
  <c r="KZ20" i="19"/>
  <c r="MB11" i="19"/>
  <c r="MB28" i="19"/>
  <c r="FM13" i="19"/>
  <c r="FM19" i="19"/>
  <c r="EK13" i="19"/>
  <c r="FP21" i="19"/>
  <c r="FP5" i="19"/>
  <c r="DL6" i="19"/>
  <c r="FP9" i="19"/>
  <c r="FP31" i="19"/>
  <c r="FP20" i="19"/>
  <c r="FP35" i="19"/>
  <c r="ND26" i="19"/>
  <c r="ND20" i="19"/>
  <c r="FP10" i="19"/>
  <c r="DL15" i="19"/>
  <c r="DL30" i="19"/>
  <c r="FP6" i="19"/>
  <c r="FP12" i="19"/>
  <c r="GR23" i="19"/>
  <c r="HT14" i="19"/>
  <c r="HT26" i="19"/>
  <c r="HT20" i="19"/>
  <c r="HT35" i="19"/>
  <c r="FL8" i="22"/>
  <c r="FS8" i="22" s="1"/>
  <c r="OP8" i="22"/>
  <c r="OW8" i="22" s="1"/>
  <c r="ED9" i="22"/>
  <c r="EK9" i="22" s="1"/>
  <c r="ED10" i="22"/>
  <c r="EK10" i="22" s="1"/>
  <c r="IB5" i="22"/>
  <c r="II5" i="22" s="1"/>
  <c r="LZ4" i="22"/>
  <c r="MG4" i="22" s="1"/>
  <c r="NH9" i="22"/>
  <c r="NO9" i="22" s="1"/>
  <c r="NH10" i="22"/>
  <c r="NO10" i="22" s="1"/>
  <c r="FL5" i="22"/>
  <c r="FS5" i="22" s="1"/>
  <c r="KR8" i="22"/>
  <c r="KY8" i="22" s="1"/>
  <c r="GT5" i="22"/>
  <c r="HA5" i="22" s="1"/>
  <c r="IB9" i="22"/>
  <c r="II9" i="22" s="1"/>
  <c r="IB10" i="22"/>
  <c r="II10" i="22" s="1"/>
  <c r="LZ8" i="22"/>
  <c r="MG8" i="22" s="1"/>
  <c r="RF9" i="22"/>
  <c r="RM9" i="22" s="1"/>
  <c r="RF10" i="22"/>
  <c r="RM10" i="22" s="1"/>
  <c r="OP5" i="22"/>
  <c r="OW5" i="22" s="1"/>
  <c r="PX5" i="22"/>
  <c r="QE5" i="22" s="1"/>
  <c r="RF5" i="22"/>
  <c r="RM5" i="22" s="1"/>
  <c r="GT7" i="22"/>
  <c r="HA7" i="22" s="1"/>
  <c r="KR7" i="22"/>
  <c r="KY7" i="22" s="1"/>
  <c r="LZ7" i="22"/>
  <c r="MG7" i="22" s="1"/>
  <c r="PX7" i="22"/>
  <c r="QE7" i="22" s="1"/>
  <c r="ED6" i="22"/>
  <c r="EK6" i="22" s="1"/>
  <c r="FL6" i="22"/>
  <c r="FS6" i="22" s="1"/>
  <c r="GT6" i="22"/>
  <c r="HA6" i="22" s="1"/>
  <c r="IB6" i="22"/>
  <c r="II6" i="22" s="1"/>
  <c r="LZ6" i="22"/>
  <c r="MG6" i="22" s="1"/>
  <c r="NH6" i="22"/>
  <c r="NO6" i="22" s="1"/>
  <c r="OP6" i="22"/>
  <c r="OW6" i="22" s="1"/>
  <c r="PX6" i="22"/>
  <c r="QE6" i="22" s="1"/>
  <c r="RF6" i="22"/>
  <c r="RM6" i="22" s="1"/>
  <c r="ED5" i="22"/>
  <c r="EK5" i="22" s="1"/>
  <c r="FL4" i="22"/>
  <c r="FS4" i="22" s="1"/>
  <c r="JJ7" i="22"/>
  <c r="JQ7" i="22" s="1"/>
  <c r="LZ9" i="22"/>
  <c r="MG9" i="22" s="1"/>
  <c r="LZ10" i="22"/>
  <c r="MG10" i="22" s="1"/>
  <c r="NH5" i="22"/>
  <c r="NO5" i="22" s="1"/>
  <c r="OP4" i="22"/>
  <c r="OW4" i="22" s="1"/>
  <c r="ED4" i="22"/>
  <c r="EK4" i="22" s="1"/>
  <c r="GT8" i="22"/>
  <c r="HA8" i="22" s="1"/>
  <c r="IB7" i="22"/>
  <c r="II7" i="22" s="1"/>
  <c r="KR9" i="22"/>
  <c r="KY9" i="22" s="1"/>
  <c r="KR10" i="22"/>
  <c r="KY10" i="22" s="1"/>
  <c r="NH4" i="22"/>
  <c r="NO4" i="22" s="1"/>
  <c r="PX8" i="22"/>
  <c r="QE8" i="22" s="1"/>
  <c r="RF7" i="22"/>
  <c r="RM7" i="22" s="1"/>
  <c r="DI25" i="21"/>
  <c r="EK10" i="21"/>
  <c r="EN17" i="21"/>
  <c r="EN23" i="21"/>
  <c r="GR8" i="21"/>
  <c r="GO30" i="21"/>
  <c r="HT13" i="21"/>
  <c r="HT20" i="21"/>
  <c r="JU7" i="21"/>
  <c r="KZ16" i="21"/>
  <c r="KW25" i="21"/>
  <c r="LY10" i="21"/>
  <c r="MB23" i="21"/>
  <c r="ND9" i="21"/>
  <c r="NA15" i="21"/>
  <c r="NA22" i="21"/>
  <c r="GR31" i="21"/>
  <c r="HT21" i="21"/>
  <c r="IV13" i="21"/>
  <c r="IV20" i="21"/>
  <c r="KZ14" i="21"/>
  <c r="IS25" i="21"/>
  <c r="JX26" i="21"/>
  <c r="IV11" i="21"/>
  <c r="IV16" i="21"/>
  <c r="ND12" i="21"/>
  <c r="EN9" i="21"/>
  <c r="EN31" i="21"/>
  <c r="FP7" i="21"/>
  <c r="FP8" i="21"/>
  <c r="FP26" i="21"/>
  <c r="FP21" i="21"/>
  <c r="GR16" i="21"/>
  <c r="GR20" i="21"/>
  <c r="GR25" i="21"/>
  <c r="HT6" i="21"/>
  <c r="KZ18" i="21"/>
  <c r="MB5" i="21"/>
  <c r="ND17" i="21"/>
  <c r="ND23" i="21"/>
  <c r="DL21" i="21"/>
  <c r="IV18" i="21"/>
  <c r="EN29" i="21"/>
  <c r="FP6" i="21"/>
  <c r="GR14" i="21"/>
  <c r="GR18" i="21"/>
  <c r="GR28" i="21"/>
  <c r="HT33" i="21"/>
  <c r="KZ17" i="21"/>
  <c r="DI6" i="21"/>
  <c r="GO31" i="19"/>
  <c r="GO19" i="19"/>
  <c r="GO34" i="19"/>
  <c r="HT27" i="19"/>
  <c r="JU8" i="19"/>
  <c r="KW8" i="19"/>
  <c r="KW13" i="19"/>
  <c r="HQ31" i="19"/>
  <c r="GR34" i="19"/>
  <c r="OC8" i="19"/>
  <c r="HT5" i="19"/>
  <c r="KW21" i="19"/>
  <c r="EN18" i="19"/>
  <c r="GR32" i="19"/>
  <c r="HT21" i="19"/>
  <c r="JX31" i="19"/>
  <c r="JX19" i="19"/>
  <c r="NA34" i="19"/>
  <c r="EN32" i="19"/>
  <c r="JX34" i="19"/>
  <c r="JX16" i="19"/>
  <c r="JX29" i="19"/>
  <c r="JX18" i="19"/>
  <c r="KZ5" i="19"/>
  <c r="ND21" i="19"/>
  <c r="ND31" i="19"/>
  <c r="FM15" i="19"/>
  <c r="FM30" i="19"/>
  <c r="GO25" i="19"/>
  <c r="HT12" i="19"/>
  <c r="ND19" i="19"/>
  <c r="ND35" i="19"/>
  <c r="ND23" i="19"/>
  <c r="OF14" i="19"/>
  <c r="OF26" i="19"/>
  <c r="OF20" i="19"/>
  <c r="OF35" i="19"/>
  <c r="OF23" i="19"/>
  <c r="GR28" i="19"/>
  <c r="GR15" i="19"/>
  <c r="GR30" i="19"/>
  <c r="HT4" i="19"/>
  <c r="HT25" i="19"/>
  <c r="HT22" i="19"/>
  <c r="HT33" i="19"/>
  <c r="IV33" i="19"/>
  <c r="JX6" i="19"/>
  <c r="JX12" i="19"/>
  <c r="JX25" i="19"/>
  <c r="JX22" i="19"/>
  <c r="JX33" i="19"/>
  <c r="KZ9" i="19"/>
  <c r="KZ24" i="19"/>
  <c r="ND7" i="19"/>
  <c r="ND9" i="19"/>
  <c r="ND16" i="19"/>
  <c r="ND10" i="19"/>
  <c r="ND29" i="19"/>
  <c r="DI5" i="19"/>
  <c r="DI21" i="19"/>
  <c r="DI31" i="19"/>
  <c r="DI19" i="19"/>
  <c r="DI34" i="19"/>
  <c r="EK5" i="19"/>
  <c r="EK21" i="19"/>
  <c r="EK31" i="19"/>
  <c r="EK19" i="19"/>
  <c r="EK34" i="19"/>
  <c r="FM5" i="19"/>
  <c r="HT11" i="19"/>
  <c r="ND24" i="19"/>
  <c r="OF9" i="19"/>
  <c r="OF10" i="19"/>
  <c r="FP7" i="19"/>
  <c r="HT28" i="19"/>
  <c r="IV28" i="19"/>
  <c r="JX4" i="19"/>
  <c r="JX11" i="19"/>
  <c r="JX28" i="19"/>
  <c r="KZ12" i="19"/>
  <c r="KZ25" i="19"/>
  <c r="KZ22" i="19"/>
  <c r="MB33" i="19"/>
  <c r="ND6" i="19"/>
  <c r="ND12" i="19"/>
  <c r="ND25" i="19"/>
  <c r="ND22" i="19"/>
  <c r="PE32" i="19"/>
  <c r="MB22" i="19"/>
  <c r="DI7" i="19"/>
  <c r="DI16" i="19"/>
  <c r="DI29" i="19"/>
  <c r="DI18" i="19"/>
  <c r="DI32" i="19"/>
  <c r="EK29" i="19"/>
  <c r="EK18" i="19"/>
  <c r="FM34" i="19"/>
  <c r="GO5" i="19"/>
  <c r="KW4" i="19"/>
  <c r="ND33" i="19"/>
  <c r="OF6" i="19"/>
  <c r="OF12" i="19"/>
  <c r="OC17" i="19"/>
  <c r="OC13" i="19"/>
  <c r="MB8" i="19"/>
  <c r="ND18" i="19"/>
  <c r="DL27" i="19"/>
  <c r="FP29" i="19"/>
  <c r="FP19" i="19"/>
  <c r="GR17" i="19"/>
  <c r="GO22" i="19"/>
  <c r="HT16" i="19"/>
  <c r="HT31" i="19"/>
  <c r="IS13" i="19"/>
  <c r="KZ7" i="19"/>
  <c r="KZ21" i="19"/>
  <c r="MB17" i="19"/>
  <c r="ND34" i="19"/>
  <c r="EN8" i="19"/>
  <c r="FP18" i="19"/>
  <c r="FP34" i="19"/>
  <c r="HT29" i="19"/>
  <c r="HT19" i="19"/>
  <c r="IS27" i="19"/>
  <c r="KZ16" i="19"/>
  <c r="KZ31" i="19"/>
  <c r="MB13" i="19"/>
  <c r="ND32" i="19"/>
  <c r="OF5" i="19"/>
  <c r="JX32" i="19"/>
  <c r="PE34" i="19"/>
  <c r="DL5" i="19"/>
  <c r="DL14" i="19"/>
  <c r="EK17" i="19"/>
  <c r="FP4" i="19"/>
  <c r="FP25" i="19"/>
  <c r="FP24" i="19"/>
  <c r="FP32" i="19"/>
  <c r="GR13" i="19"/>
  <c r="GO33" i="19"/>
  <c r="HT18" i="19"/>
  <c r="HT34" i="19"/>
  <c r="HT23" i="19"/>
  <c r="IS29" i="19"/>
  <c r="JX15" i="19"/>
  <c r="KZ6" i="19"/>
  <c r="KZ10" i="19"/>
  <c r="KZ29" i="19"/>
  <c r="KZ19" i="19"/>
  <c r="KZ35" i="19"/>
  <c r="MB27" i="19"/>
  <c r="OF7" i="19"/>
  <c r="OF21" i="19"/>
  <c r="KW27" i="19"/>
  <c r="DL17" i="19"/>
  <c r="FP16" i="19"/>
  <c r="OC27" i="19"/>
  <c r="DL7" i="19"/>
  <c r="DL21" i="19"/>
  <c r="GR7" i="19"/>
  <c r="GR5" i="19"/>
  <c r="HT32" i="19"/>
  <c r="IV5" i="19"/>
  <c r="KZ18" i="19"/>
  <c r="KZ34" i="19"/>
  <c r="NA24" i="19"/>
  <c r="OF16" i="19"/>
  <c r="OF31" i="19"/>
  <c r="IS8" i="19"/>
  <c r="DL16" i="19"/>
  <c r="DL31" i="19"/>
  <c r="DL20" i="19"/>
  <c r="EK7" i="19"/>
  <c r="EK16" i="19"/>
  <c r="EK27" i="19"/>
  <c r="GR27" i="19"/>
  <c r="IV7" i="19"/>
  <c r="IV21" i="19"/>
  <c r="JU17" i="19"/>
  <c r="KZ32" i="19"/>
  <c r="MB5" i="19"/>
  <c r="ND8" i="19"/>
  <c r="OF29" i="19"/>
  <c r="OF19" i="19"/>
  <c r="DL29" i="19"/>
  <c r="DL19" i="19"/>
  <c r="GR6" i="19"/>
  <c r="GR16" i="19"/>
  <c r="GR21" i="19"/>
  <c r="IV16" i="19"/>
  <c r="IV31" i="19"/>
  <c r="JU13" i="19"/>
  <c r="MB7" i="19"/>
  <c r="MB21" i="19"/>
  <c r="ND17" i="19"/>
  <c r="OF18" i="19"/>
  <c r="OF34" i="19"/>
  <c r="DI13" i="19"/>
  <c r="DL12" i="19"/>
  <c r="DL18" i="19"/>
  <c r="DL34" i="19"/>
  <c r="DL23" i="19"/>
  <c r="EN14" i="19"/>
  <c r="FM8" i="19"/>
  <c r="HT15" i="19"/>
  <c r="IV6" i="19"/>
  <c r="IV10" i="19"/>
  <c r="IV29" i="19"/>
  <c r="IV19" i="19"/>
  <c r="IV35" i="19"/>
  <c r="JU27" i="19"/>
  <c r="KZ28" i="19"/>
  <c r="KZ33" i="19"/>
  <c r="MB9" i="19"/>
  <c r="MB16" i="19"/>
  <c r="MB31" i="19"/>
  <c r="MB20" i="19"/>
  <c r="ND13" i="19"/>
  <c r="OF4" i="19"/>
  <c r="OF25" i="19"/>
  <c r="OF24" i="19"/>
  <c r="OF32" i="19"/>
  <c r="DL8" i="19"/>
  <c r="DL4" i="19"/>
  <c r="DL25" i="19"/>
  <c r="DL24" i="19"/>
  <c r="DL32" i="19"/>
  <c r="EN21" i="19"/>
  <c r="EN26" i="19"/>
  <c r="EK32" i="19"/>
  <c r="FM17" i="19"/>
  <c r="GR4" i="19"/>
  <c r="GR12" i="19"/>
  <c r="GR10" i="19"/>
  <c r="GR29" i="19"/>
  <c r="GR31" i="19"/>
  <c r="GR20" i="19"/>
  <c r="GO32" i="19"/>
  <c r="HT8" i="19"/>
  <c r="HT30" i="19"/>
  <c r="IV12" i="19"/>
  <c r="IV18" i="19"/>
  <c r="IV34" i="19"/>
  <c r="IV23" i="19"/>
  <c r="JU29" i="19"/>
  <c r="KZ15" i="19"/>
  <c r="MB6" i="19"/>
  <c r="MB10" i="19"/>
  <c r="MB29" i="19"/>
  <c r="MB19" i="19"/>
  <c r="MB35" i="19"/>
  <c r="NA16" i="19"/>
  <c r="OF11" i="19"/>
  <c r="OF22" i="19"/>
  <c r="HT7" i="19"/>
  <c r="IS17" i="19"/>
  <c r="EN9" i="19"/>
  <c r="EN16" i="19"/>
  <c r="EN31" i="19"/>
  <c r="EN20" i="19"/>
  <c r="GO6" i="19"/>
  <c r="HT17" i="19"/>
  <c r="IV4" i="19"/>
  <c r="IV25" i="19"/>
  <c r="IV24" i="19"/>
  <c r="IV32" i="19"/>
  <c r="JX5" i="19"/>
  <c r="JX14" i="19"/>
  <c r="MB12" i="19"/>
  <c r="MB18" i="19"/>
  <c r="MB34" i="19"/>
  <c r="MB23" i="19"/>
  <c r="ND27" i="19"/>
  <c r="OF28" i="19"/>
  <c r="OF33" i="19"/>
  <c r="GR8" i="19"/>
  <c r="DL11" i="19"/>
  <c r="DL22" i="19"/>
  <c r="DL28" i="19"/>
  <c r="DL33" i="19"/>
  <c r="EN10" i="19"/>
  <c r="EN29" i="19"/>
  <c r="EN19" i="19"/>
  <c r="EN35" i="19"/>
  <c r="FM16" i="19"/>
  <c r="FM27" i="19"/>
  <c r="GR11" i="19"/>
  <c r="GR25" i="19"/>
  <c r="GR18" i="19"/>
  <c r="GR19" i="19"/>
  <c r="GR35" i="19"/>
  <c r="HQ7" i="19"/>
  <c r="HT13" i="19"/>
  <c r="IV11" i="19"/>
  <c r="IV22" i="19"/>
  <c r="JX7" i="19"/>
  <c r="JX21" i="19"/>
  <c r="JX26" i="19"/>
  <c r="JU32" i="19"/>
  <c r="KW17" i="19"/>
  <c r="MB4" i="19"/>
  <c r="MB25" i="19"/>
  <c r="MB24" i="19"/>
  <c r="MB32" i="19"/>
  <c r="ND5" i="19"/>
  <c r="ND14" i="19"/>
  <c r="NA18" i="19"/>
  <c r="OC15" i="19"/>
  <c r="FM8" i="27"/>
  <c r="MB9" i="27"/>
  <c r="LY8" i="27"/>
  <c r="OC9" i="27"/>
  <c r="JX9" i="27"/>
  <c r="JX14" i="27"/>
  <c r="MB14" i="27"/>
  <c r="EN9" i="27"/>
  <c r="NA8" i="27"/>
  <c r="JX6" i="27"/>
  <c r="JX11" i="27"/>
  <c r="EK13" i="27"/>
  <c r="MB12" i="27"/>
  <c r="DL4" i="27"/>
  <c r="DL15" i="27"/>
  <c r="DL18" i="27"/>
  <c r="FP4" i="27"/>
  <c r="HT17" i="27"/>
  <c r="HT11" i="27"/>
  <c r="HT7" i="27"/>
  <c r="JX10" i="27"/>
  <c r="MB5" i="27"/>
  <c r="EN14" i="27"/>
  <c r="GO16" i="27"/>
  <c r="GO14" i="27"/>
  <c r="HT10" i="27"/>
  <c r="HT12" i="27"/>
  <c r="IS6" i="27"/>
  <c r="JU5" i="27"/>
  <c r="JU13" i="27"/>
  <c r="KZ4" i="27"/>
  <c r="KZ15" i="27"/>
  <c r="KZ18" i="27"/>
  <c r="ND4" i="27"/>
  <c r="KW8" i="27"/>
  <c r="DI16" i="27"/>
  <c r="EN17" i="27"/>
  <c r="EN11" i="27"/>
  <c r="GR9" i="27"/>
  <c r="GR15" i="27"/>
  <c r="HT13" i="27"/>
  <c r="IS11" i="27"/>
  <c r="JX12" i="27"/>
  <c r="KW16" i="27"/>
  <c r="MB17" i="27"/>
  <c r="MB11" i="27"/>
  <c r="OF9" i="27"/>
  <c r="OF15" i="27"/>
  <c r="GR6" i="27"/>
  <c r="GR14" i="27"/>
  <c r="OF6" i="27"/>
  <c r="OF14" i="27"/>
  <c r="FP16" i="27"/>
  <c r="GR11" i="27"/>
  <c r="IV9" i="27"/>
  <c r="ND16" i="27"/>
  <c r="OF11" i="27"/>
  <c r="HT8" i="27"/>
  <c r="IV6" i="27"/>
  <c r="IV14" i="27"/>
  <c r="OF10" i="27"/>
  <c r="OF7" i="27"/>
  <c r="IV8" i="27"/>
  <c r="IV16" i="27"/>
  <c r="DI8" i="27"/>
  <c r="HT16" i="27"/>
  <c r="IV11" i="27"/>
  <c r="KZ9" i="27"/>
  <c r="MB6" i="27"/>
  <c r="DL6" i="27"/>
  <c r="DL14" i="27"/>
  <c r="JU8" i="27"/>
  <c r="KZ6" i="27"/>
  <c r="KZ14" i="27"/>
  <c r="DL17" i="27"/>
  <c r="DL11" i="27"/>
  <c r="FP9" i="27"/>
  <c r="FP15" i="27"/>
  <c r="GO13" i="27"/>
  <c r="HQ11" i="27"/>
  <c r="IV12" i="27"/>
  <c r="JU16" i="27"/>
  <c r="KZ17" i="27"/>
  <c r="KZ11" i="27"/>
  <c r="ND9" i="27"/>
  <c r="ND15" i="27"/>
  <c r="OC13" i="27"/>
  <c r="EN6" i="27"/>
  <c r="DL10" i="27"/>
  <c r="DL7" i="27"/>
  <c r="EN8" i="27"/>
  <c r="FP6" i="27"/>
  <c r="FP14" i="27"/>
  <c r="FP18" i="27"/>
  <c r="HT4" i="27"/>
  <c r="IV5" i="27"/>
  <c r="KZ10" i="27"/>
  <c r="KZ7" i="27"/>
  <c r="ND6" i="27"/>
  <c r="ND14" i="27"/>
  <c r="ND18" i="27"/>
  <c r="DL9" i="27"/>
  <c r="DL12" i="27"/>
  <c r="EN16" i="27"/>
  <c r="FP17" i="27"/>
  <c r="FP11" i="27"/>
  <c r="HT9" i="27"/>
  <c r="HT15" i="27"/>
  <c r="IV13" i="27"/>
  <c r="KZ12" i="27"/>
  <c r="LY16" i="27"/>
  <c r="ND11" i="27"/>
  <c r="DI5" i="27"/>
  <c r="EK6" i="27"/>
  <c r="FP10" i="27"/>
  <c r="FP7" i="27"/>
  <c r="GO8" i="27"/>
  <c r="HT6" i="27"/>
  <c r="HT14" i="27"/>
  <c r="HT18" i="27"/>
  <c r="JX4" i="27"/>
  <c r="KW5" i="27"/>
  <c r="LY6" i="27"/>
  <c r="ND10" i="27"/>
  <c r="ND7" i="27"/>
  <c r="OF8" i="27"/>
  <c r="FM9" i="26"/>
  <c r="JX20" i="26"/>
  <c r="MB9" i="26"/>
  <c r="MB16" i="26"/>
  <c r="JU9" i="26"/>
  <c r="IV14" i="26"/>
  <c r="OF8" i="26"/>
  <c r="DI5" i="26"/>
  <c r="MB15" i="26"/>
  <c r="EN7" i="26"/>
  <c r="EN13" i="26"/>
  <c r="FP4" i="26"/>
  <c r="FP19" i="26"/>
  <c r="FP17" i="26"/>
  <c r="IV11" i="26"/>
  <c r="IV15" i="26"/>
  <c r="JX6" i="26"/>
  <c r="JX12" i="26"/>
  <c r="JX18" i="26"/>
  <c r="ND6" i="26"/>
  <c r="ND12" i="26"/>
  <c r="ND18" i="26"/>
  <c r="OF14" i="26"/>
  <c r="HQ5" i="26"/>
  <c r="FM10" i="26"/>
  <c r="DI8" i="26"/>
  <c r="DI14" i="26"/>
  <c r="FP11" i="26"/>
  <c r="FP15" i="26"/>
  <c r="GR16" i="26"/>
  <c r="GR18" i="26"/>
  <c r="HQ9" i="26"/>
  <c r="HQ16" i="26"/>
  <c r="IV7" i="26"/>
  <c r="IV13" i="26"/>
  <c r="JX4" i="26"/>
  <c r="JX19" i="26"/>
  <c r="JX17" i="26"/>
  <c r="KW8" i="26"/>
  <c r="KW14" i="26"/>
  <c r="ND4" i="26"/>
  <c r="OC8" i="26"/>
  <c r="OC14" i="26"/>
  <c r="FP9" i="26"/>
  <c r="GR5" i="26"/>
  <c r="GO13" i="26"/>
  <c r="JX8" i="26"/>
  <c r="JX16" i="26"/>
  <c r="KW10" i="26"/>
  <c r="OC7" i="26"/>
  <c r="MB14" i="26"/>
  <c r="DL9" i="26"/>
  <c r="EN5" i="26"/>
  <c r="FP8" i="26"/>
  <c r="FP16" i="26"/>
  <c r="IV5" i="26"/>
  <c r="JX14" i="26"/>
  <c r="KW20" i="26"/>
  <c r="EK10" i="26"/>
  <c r="FP14" i="26"/>
  <c r="HT8" i="26"/>
  <c r="HT16" i="26"/>
  <c r="IS10" i="26"/>
  <c r="HT9" i="26"/>
  <c r="DL8" i="26"/>
  <c r="DL16" i="26"/>
  <c r="HT14" i="26"/>
  <c r="IV20" i="26"/>
  <c r="ND9" i="26"/>
  <c r="OC5" i="26"/>
  <c r="ND8" i="26"/>
  <c r="ND16" i="26"/>
  <c r="OF10" i="26"/>
  <c r="NA5" i="26"/>
  <c r="DL15" i="26"/>
  <c r="FP7" i="26"/>
  <c r="GR6" i="26"/>
  <c r="GR20" i="26"/>
  <c r="HT15" i="26"/>
  <c r="KZ9" i="26"/>
  <c r="KZ12" i="26"/>
  <c r="LY5" i="26"/>
  <c r="ND19" i="26"/>
  <c r="ND14" i="26"/>
  <c r="OC20" i="26"/>
  <c r="GO19" i="26"/>
  <c r="MB8" i="26"/>
  <c r="EN20" i="26"/>
  <c r="GR10" i="26"/>
  <c r="EN6" i="26"/>
  <c r="FP13" i="26"/>
  <c r="IV6" i="26"/>
  <c r="KZ4" i="26"/>
  <c r="KZ8" i="26"/>
  <c r="KZ16" i="26"/>
  <c r="KZ18" i="26"/>
  <c r="LY10" i="26"/>
  <c r="ND11" i="26"/>
  <c r="ND17" i="26"/>
  <c r="DI10" i="26"/>
  <c r="HQ10" i="26"/>
  <c r="DI20" i="26"/>
  <c r="HQ20" i="26"/>
  <c r="NA10" i="26"/>
  <c r="EN9" i="26"/>
  <c r="EN12" i="26"/>
  <c r="GR4" i="26"/>
  <c r="GR9" i="26"/>
  <c r="IV9" i="26"/>
  <c r="IV12" i="26"/>
  <c r="JX5" i="26"/>
  <c r="KZ19" i="26"/>
  <c r="KZ14" i="26"/>
  <c r="MB20" i="26"/>
  <c r="ND15" i="26"/>
  <c r="FM20" i="26"/>
  <c r="JX9" i="26"/>
  <c r="KZ5" i="26"/>
  <c r="NA20" i="26"/>
  <c r="FM4" i="26"/>
  <c r="EN4" i="26"/>
  <c r="EN8" i="26"/>
  <c r="EN16" i="26"/>
  <c r="EN18" i="26"/>
  <c r="FM5" i="26"/>
  <c r="GR8" i="26"/>
  <c r="GR12" i="26"/>
  <c r="IV4" i="26"/>
  <c r="IV8" i="26"/>
  <c r="IV16" i="26"/>
  <c r="IV18" i="26"/>
  <c r="JX10" i="26"/>
  <c r="KZ11" i="26"/>
  <c r="KZ17" i="26"/>
  <c r="LY8" i="26"/>
  <c r="ND7" i="26"/>
  <c r="OF6" i="26"/>
  <c r="ED7" i="22"/>
  <c r="EK7" i="22" s="1"/>
  <c r="FL9" i="22"/>
  <c r="FS9" i="22" s="1"/>
  <c r="FL10" i="22"/>
  <c r="FS10" i="22" s="1"/>
  <c r="GT4" i="22"/>
  <c r="HA4" i="22" s="1"/>
  <c r="IB8" i="22"/>
  <c r="II8" i="22" s="1"/>
  <c r="JJ6" i="22"/>
  <c r="JQ6" i="22" s="1"/>
  <c r="KR5" i="22"/>
  <c r="KY5" i="22" s="1"/>
  <c r="NH7" i="22"/>
  <c r="NO7" i="22" s="1"/>
  <c r="OP9" i="22"/>
  <c r="OW9" i="22" s="1"/>
  <c r="OP10" i="22"/>
  <c r="OW10" i="22" s="1"/>
  <c r="PX4" i="22"/>
  <c r="QE4" i="22" s="1"/>
  <c r="RF8" i="22"/>
  <c r="RM8" i="22" s="1"/>
  <c r="FL7" i="22"/>
  <c r="FS7" i="22" s="1"/>
  <c r="GT10" i="22"/>
  <c r="HA10" i="22" s="1"/>
  <c r="IB4" i="22"/>
  <c r="II4" i="22" s="1"/>
  <c r="JJ8" i="22"/>
  <c r="JQ8" i="22" s="1"/>
  <c r="KR6" i="22"/>
  <c r="KY6" i="22" s="1"/>
  <c r="LZ5" i="22"/>
  <c r="MG5" i="22" s="1"/>
  <c r="OP7" i="22"/>
  <c r="OW7" i="22" s="1"/>
  <c r="PX9" i="22"/>
  <c r="QE9" i="22" s="1"/>
  <c r="PX10" i="22"/>
  <c r="QE10" i="22" s="1"/>
  <c r="RF4" i="22"/>
  <c r="RM4" i="22" s="1"/>
  <c r="PX19" i="4"/>
  <c r="QE19" i="4" s="1"/>
  <c r="RF15" i="4"/>
  <c r="RM15" i="4" s="1"/>
  <c r="RF13" i="4"/>
  <c r="RM13" i="4" s="1"/>
  <c r="RF24" i="4"/>
  <c r="RM24" i="4" s="1"/>
  <c r="ED21" i="4"/>
  <c r="EK21" i="4" s="1"/>
  <c r="FL23" i="4"/>
  <c r="FS23" i="4" s="1"/>
  <c r="GT25" i="4"/>
  <c r="HA25" i="4" s="1"/>
  <c r="IB5" i="4"/>
  <c r="II5" i="4" s="1"/>
  <c r="IB10" i="4"/>
  <c r="II10" i="4" s="1"/>
  <c r="IB19" i="4"/>
  <c r="II19" i="4" s="1"/>
  <c r="JJ15" i="4"/>
  <c r="JQ15" i="4" s="1"/>
  <c r="JJ13" i="4"/>
  <c r="JQ13" i="4" s="1"/>
  <c r="JJ24" i="4"/>
  <c r="JQ24" i="4" s="1"/>
  <c r="KR7" i="4"/>
  <c r="KY7" i="4" s="1"/>
  <c r="KR14" i="4"/>
  <c r="KY14" i="4" s="1"/>
  <c r="LZ4" i="4"/>
  <c r="MG4" i="4" s="1"/>
  <c r="LZ8" i="4"/>
  <c r="MG8" i="4" s="1"/>
  <c r="LZ11" i="4"/>
  <c r="MG11" i="4" s="1"/>
  <c r="NH6" i="4"/>
  <c r="NO6" i="4" s="1"/>
  <c r="NH12" i="4"/>
  <c r="NO12" i="4" s="1"/>
  <c r="NH21" i="4"/>
  <c r="NO21" i="4" s="1"/>
  <c r="OP16" i="4"/>
  <c r="OW16" i="4" s="1"/>
  <c r="OP20" i="4"/>
  <c r="OW20" i="4" s="1"/>
  <c r="OP23" i="4"/>
  <c r="OW23" i="4" s="1"/>
  <c r="OP18" i="4"/>
  <c r="OW18" i="4" s="1"/>
  <c r="PX17" i="4"/>
  <c r="QE17" i="4" s="1"/>
  <c r="PX22" i="4"/>
  <c r="QE22" i="4" s="1"/>
  <c r="PX25" i="4"/>
  <c r="QE25" i="4" s="1"/>
  <c r="RF5" i="4"/>
  <c r="RM5" i="4" s="1"/>
  <c r="RF10" i="4"/>
  <c r="RM10" i="4" s="1"/>
  <c r="RF19" i="4"/>
  <c r="RM19" i="4" s="1"/>
  <c r="ED6" i="4"/>
  <c r="EK6" i="4" s="1"/>
  <c r="ED12" i="4"/>
  <c r="EK12" i="4" s="1"/>
  <c r="FL16" i="4"/>
  <c r="FS16" i="4" s="1"/>
  <c r="FL18" i="4"/>
  <c r="FS18" i="4" s="1"/>
  <c r="GR15" i="21"/>
  <c r="GR22" i="21"/>
  <c r="JX32" i="21"/>
  <c r="MB7" i="21"/>
  <c r="DI11" i="21"/>
  <c r="DI16" i="21"/>
  <c r="EK7" i="21"/>
  <c r="EN18" i="21"/>
  <c r="EN22" i="21"/>
  <c r="EN28" i="21"/>
  <c r="FP12" i="21"/>
  <c r="GO7" i="21"/>
  <c r="HT5" i="21"/>
  <c r="HQ11" i="21"/>
  <c r="HQ16" i="21"/>
  <c r="IS7" i="21"/>
  <c r="IV14" i="21"/>
  <c r="IV25" i="21"/>
  <c r="IV29" i="21"/>
  <c r="JX6" i="21"/>
  <c r="JX21" i="21"/>
  <c r="JU30" i="21"/>
  <c r="KW4" i="21"/>
  <c r="LY21" i="21"/>
  <c r="LY30" i="21"/>
  <c r="ND25" i="21"/>
  <c r="HT30" i="21"/>
  <c r="FP9" i="21"/>
  <c r="FM15" i="21"/>
  <c r="FM22" i="21"/>
  <c r="FP31" i="21"/>
  <c r="LY27" i="21"/>
  <c r="ND22" i="21"/>
  <c r="HT11" i="21"/>
  <c r="HT16" i="21"/>
  <c r="OF19" i="21"/>
  <c r="DI31" i="21"/>
  <c r="FP25" i="21"/>
  <c r="HQ4" i="21"/>
  <c r="HT25" i="21"/>
  <c r="JU25" i="21"/>
  <c r="JU10" i="21"/>
  <c r="DL14" i="21"/>
  <c r="DL29" i="21"/>
  <c r="EN6" i="21"/>
  <c r="HT14" i="21"/>
  <c r="HT15" i="21"/>
  <c r="HT18" i="21"/>
  <c r="IV6" i="21"/>
  <c r="JX31" i="21"/>
  <c r="KZ8" i="21"/>
  <c r="KZ32" i="21"/>
  <c r="MB31" i="21"/>
  <c r="OC16" i="21"/>
  <c r="MB10" i="21"/>
  <c r="EK19" i="21"/>
  <c r="FP14" i="21"/>
  <c r="FP15" i="21"/>
  <c r="FP18" i="21"/>
  <c r="FP22" i="21"/>
  <c r="FP28" i="21"/>
  <c r="GR5" i="21"/>
  <c r="HT28" i="21"/>
  <c r="IS30" i="21"/>
  <c r="JX11" i="21"/>
  <c r="JX13" i="21"/>
  <c r="KZ21" i="21"/>
  <c r="MB13" i="21"/>
  <c r="ND7" i="21"/>
  <c r="ND8" i="21"/>
  <c r="ND26" i="21"/>
  <c r="EN7" i="21"/>
  <c r="EN5" i="21"/>
  <c r="EN30" i="21"/>
  <c r="EN33" i="21"/>
  <c r="GR30" i="21"/>
  <c r="GR33" i="21"/>
  <c r="HT17" i="21"/>
  <c r="IV5" i="21"/>
  <c r="JX16" i="21"/>
  <c r="JX20" i="21"/>
  <c r="JX29" i="21"/>
  <c r="MB29" i="21"/>
  <c r="DL32" i="21"/>
  <c r="KW11" i="21"/>
  <c r="FP30" i="21"/>
  <c r="FM10" i="21"/>
  <c r="FP17" i="21"/>
  <c r="FP23" i="21"/>
  <c r="GO15" i="21"/>
  <c r="GO22" i="21"/>
  <c r="JX14" i="21"/>
  <c r="KW19" i="21"/>
  <c r="KW27" i="21"/>
  <c r="LY7" i="21"/>
  <c r="ND6" i="21"/>
  <c r="OF11" i="21"/>
  <c r="OF13" i="21"/>
  <c r="HT22" i="21"/>
  <c r="IV15" i="21"/>
  <c r="KZ4" i="21"/>
  <c r="EN10" i="21"/>
  <c r="GR7" i="21"/>
  <c r="IV22" i="21"/>
  <c r="IV30" i="21"/>
  <c r="JX15" i="21"/>
  <c r="JX25" i="21"/>
  <c r="KZ11" i="21"/>
  <c r="KW16" i="21"/>
  <c r="KZ27" i="21"/>
  <c r="LY12" i="21"/>
  <c r="ND10" i="21"/>
  <c r="NA17" i="21"/>
  <c r="OF16" i="21"/>
  <c r="OC32" i="21"/>
  <c r="DL4" i="21"/>
  <c r="DL11" i="21"/>
  <c r="DI27" i="21"/>
  <c r="FP10" i="21"/>
  <c r="GR26" i="21"/>
  <c r="GR29" i="21"/>
  <c r="HT7" i="21"/>
  <c r="HT8" i="21"/>
  <c r="HT23" i="21"/>
  <c r="HT31" i="21"/>
  <c r="IV17" i="21"/>
  <c r="IV28" i="21"/>
  <c r="JX18" i="21"/>
  <c r="JX22" i="21"/>
  <c r="JX30" i="21"/>
  <c r="JX33" i="21"/>
  <c r="KZ13" i="21"/>
  <c r="LY19" i="21"/>
  <c r="ND21" i="21"/>
  <c r="ND29" i="21"/>
  <c r="ND31" i="21"/>
  <c r="OC10" i="21"/>
  <c r="OF15" i="21"/>
  <c r="OF20" i="21"/>
  <c r="DL13" i="21"/>
  <c r="DI22" i="21"/>
  <c r="EK6" i="21"/>
  <c r="EK12" i="21"/>
  <c r="FP5" i="21"/>
  <c r="GR6" i="21"/>
  <c r="GR10" i="21"/>
  <c r="GR21" i="21"/>
  <c r="HT26" i="21"/>
  <c r="HT29" i="21"/>
  <c r="IV7" i="21"/>
  <c r="IV8" i="21"/>
  <c r="IV23" i="21"/>
  <c r="IV31" i="21"/>
  <c r="JX17" i="21"/>
  <c r="JX28" i="21"/>
  <c r="NA23" i="21"/>
  <c r="OF7" i="21"/>
  <c r="OF25" i="21"/>
  <c r="KZ15" i="21"/>
  <c r="LY15" i="21"/>
  <c r="LY32" i="21"/>
  <c r="NA5" i="21"/>
  <c r="OC14" i="21"/>
  <c r="OF22" i="21"/>
  <c r="EK27" i="21"/>
  <c r="FP19" i="21"/>
  <c r="GR12" i="21"/>
  <c r="IV10" i="21"/>
  <c r="KZ7" i="21"/>
  <c r="ND19" i="21"/>
  <c r="NA29" i="21"/>
  <c r="OF30" i="21"/>
  <c r="OC27" i="21"/>
  <c r="DL16" i="21"/>
  <c r="HT10" i="21"/>
  <c r="JX7" i="21"/>
  <c r="DL15" i="21"/>
  <c r="DL7" i="21"/>
  <c r="DL18" i="21"/>
  <c r="DL25" i="21"/>
  <c r="EK32" i="21"/>
  <c r="FP27" i="21"/>
  <c r="GR19" i="21"/>
  <c r="HQ12" i="21"/>
  <c r="JX10" i="21"/>
  <c r="KZ25" i="21"/>
  <c r="LY4" i="21"/>
  <c r="MB11" i="21"/>
  <c r="OF10" i="21"/>
  <c r="OC18" i="21"/>
  <c r="DL8" i="21"/>
  <c r="DI14" i="21"/>
  <c r="DL17" i="21"/>
  <c r="DL22" i="21"/>
  <c r="FP32" i="21"/>
  <c r="GR9" i="21"/>
  <c r="GR27" i="21"/>
  <c r="HQ19" i="21"/>
  <c r="IS12" i="21"/>
  <c r="JX5" i="21"/>
  <c r="KZ6" i="21"/>
  <c r="KZ22" i="21"/>
  <c r="MB16" i="21"/>
  <c r="MB20" i="21"/>
  <c r="ND27" i="21"/>
  <c r="OF31" i="21"/>
  <c r="IS4" i="21"/>
  <c r="KZ19" i="21"/>
  <c r="DL19" i="21"/>
  <c r="DL6" i="21"/>
  <c r="DL28" i="21"/>
  <c r="DL30" i="21"/>
  <c r="EK4" i="21"/>
  <c r="EN11" i="21"/>
  <c r="EN13" i="21"/>
  <c r="GR32" i="21"/>
  <c r="HT9" i="21"/>
  <c r="HQ27" i="21"/>
  <c r="IS19" i="21"/>
  <c r="JX12" i="21"/>
  <c r="KZ5" i="21"/>
  <c r="KZ10" i="21"/>
  <c r="KZ26" i="21"/>
  <c r="KZ28" i="21"/>
  <c r="KZ30" i="21"/>
  <c r="KZ33" i="21"/>
  <c r="MB14" i="21"/>
  <c r="MB15" i="21"/>
  <c r="MB25" i="21"/>
  <c r="ND4" i="21"/>
  <c r="ND11" i="21"/>
  <c r="ND13" i="21"/>
  <c r="OC6" i="21"/>
  <c r="OC28" i="21"/>
  <c r="OF29" i="21"/>
  <c r="JU15" i="21"/>
  <c r="JX4" i="21"/>
  <c r="JU22" i="21"/>
  <c r="OC4" i="21"/>
  <c r="DL5" i="21"/>
  <c r="DL10" i="21"/>
  <c r="DL26" i="21"/>
  <c r="DI18" i="21"/>
  <c r="DL23" i="21"/>
  <c r="DL33" i="21"/>
  <c r="EN16" i="21"/>
  <c r="EN20" i="21"/>
  <c r="FP4" i="21"/>
  <c r="FP11" i="21"/>
  <c r="FP13" i="21"/>
  <c r="HQ32" i="21"/>
  <c r="IV9" i="21"/>
  <c r="IS27" i="21"/>
  <c r="JX19" i="21"/>
  <c r="KZ23" i="21"/>
  <c r="MB18" i="21"/>
  <c r="MB22" i="21"/>
  <c r="MB30" i="21"/>
  <c r="MB33" i="21"/>
  <c r="ND32" i="21"/>
  <c r="OC12" i="21"/>
  <c r="DI12" i="21"/>
  <c r="DL31" i="21"/>
  <c r="EN14" i="21"/>
  <c r="EN15" i="21"/>
  <c r="EN25" i="21"/>
  <c r="FP16" i="21"/>
  <c r="FP20" i="21"/>
  <c r="GR4" i="21"/>
  <c r="GR11" i="21"/>
  <c r="GR13" i="21"/>
  <c r="HQ22" i="21"/>
  <c r="IS15" i="21"/>
  <c r="IS32" i="21"/>
  <c r="JX9" i="21"/>
  <c r="JX27" i="21"/>
  <c r="KZ12" i="21"/>
  <c r="KZ31" i="21"/>
  <c r="MB17" i="21"/>
  <c r="MB28" i="21"/>
  <c r="ND14" i="21"/>
  <c r="ND15" i="21"/>
  <c r="ND16" i="21"/>
  <c r="ND20" i="21"/>
  <c r="OF9" i="21"/>
  <c r="OC31" i="21"/>
  <c r="FM7" i="19"/>
  <c r="EN5" i="19"/>
  <c r="EN7" i="19"/>
  <c r="EK14" i="26"/>
  <c r="EN14" i="26"/>
  <c r="DL14" i="26"/>
  <c r="GT9" i="22"/>
  <c r="HA9" i="22" s="1"/>
  <c r="FL20" i="4"/>
  <c r="FS20" i="4" s="1"/>
  <c r="GT17" i="4"/>
  <c r="HA17" i="4" s="1"/>
  <c r="GT22" i="4"/>
  <c r="HA22" i="4" s="1"/>
  <c r="GT6" i="4"/>
  <c r="HA6" i="4" s="1"/>
  <c r="GT12" i="4"/>
  <c r="HA12" i="4" s="1"/>
  <c r="FL10" i="4"/>
  <c r="FS10" i="4" s="1"/>
  <c r="FL8" i="4"/>
  <c r="FS8" i="4" s="1"/>
  <c r="FL4" i="4"/>
  <c r="FS4" i="4" s="1"/>
  <c r="OC19" i="21"/>
  <c r="OC9" i="21"/>
  <c r="OC26" i="21"/>
  <c r="OF4" i="21"/>
  <c r="OF12" i="21"/>
  <c r="OF27" i="21"/>
  <c r="OF32" i="21"/>
  <c r="OC5" i="21"/>
  <c r="OC17" i="21"/>
  <c r="OC23" i="21"/>
  <c r="OC29" i="21"/>
  <c r="OF21" i="21"/>
  <c r="OC8" i="21"/>
  <c r="OC13" i="21"/>
  <c r="OC20" i="21"/>
  <c r="OC33" i="21"/>
  <c r="NA4" i="21"/>
  <c r="NA12" i="21"/>
  <c r="NA19" i="21"/>
  <c r="NA27" i="21"/>
  <c r="NA32" i="21"/>
  <c r="NA9" i="21"/>
  <c r="NA26" i="21"/>
  <c r="NA21" i="21"/>
  <c r="NA6" i="21"/>
  <c r="NA14" i="21"/>
  <c r="NA18" i="21"/>
  <c r="NA28" i="21"/>
  <c r="NA31" i="21"/>
  <c r="NA8" i="21"/>
  <c r="NA13" i="21"/>
  <c r="NA20" i="21"/>
  <c r="NA33" i="21"/>
  <c r="MB4" i="21"/>
  <c r="MB12" i="21"/>
  <c r="MB19" i="21"/>
  <c r="MB27" i="21"/>
  <c r="MB32" i="21"/>
  <c r="LY5" i="21"/>
  <c r="LY17" i="21"/>
  <c r="LY23" i="21"/>
  <c r="LY29" i="21"/>
  <c r="MB9" i="21"/>
  <c r="MB26" i="21"/>
  <c r="MB21" i="21"/>
  <c r="LY14" i="21"/>
  <c r="LY18" i="21"/>
  <c r="LY28" i="21"/>
  <c r="LY31" i="21"/>
  <c r="LY8" i="21"/>
  <c r="LY13" i="21"/>
  <c r="LY20" i="21"/>
  <c r="LY33" i="21"/>
  <c r="MB6" i="21"/>
  <c r="KW32" i="21"/>
  <c r="KW9" i="21"/>
  <c r="KW26" i="21"/>
  <c r="KW21" i="21"/>
  <c r="KW5" i="21"/>
  <c r="KW17" i="21"/>
  <c r="KW23" i="21"/>
  <c r="KW29" i="21"/>
  <c r="KW6" i="21"/>
  <c r="KW14" i="21"/>
  <c r="KW18" i="21"/>
  <c r="KW28" i="21"/>
  <c r="KW31" i="21"/>
  <c r="KW8" i="21"/>
  <c r="KW13" i="21"/>
  <c r="KW20" i="21"/>
  <c r="KW33" i="21"/>
  <c r="JU4" i="21"/>
  <c r="JU12" i="21"/>
  <c r="JU19" i="21"/>
  <c r="JU27" i="21"/>
  <c r="JU32" i="21"/>
  <c r="JU9" i="21"/>
  <c r="JU26" i="21"/>
  <c r="JU21" i="21"/>
  <c r="JU5" i="21"/>
  <c r="JU17" i="21"/>
  <c r="JU23" i="21"/>
  <c r="JU29" i="21"/>
  <c r="JU6" i="21"/>
  <c r="JU14" i="21"/>
  <c r="JU18" i="21"/>
  <c r="JU28" i="21"/>
  <c r="JU31" i="21"/>
  <c r="JU8" i="21"/>
  <c r="JU13" i="21"/>
  <c r="JU20" i="21"/>
  <c r="JU33" i="21"/>
  <c r="IS9" i="21"/>
  <c r="IS26" i="21"/>
  <c r="IV4" i="21"/>
  <c r="IV12" i="21"/>
  <c r="IV19" i="21"/>
  <c r="IV27" i="21"/>
  <c r="IV32" i="21"/>
  <c r="IS5" i="21"/>
  <c r="IS17" i="21"/>
  <c r="IS23" i="21"/>
  <c r="IS29" i="21"/>
  <c r="IV21" i="21"/>
  <c r="IS6" i="21"/>
  <c r="IS14" i="21"/>
  <c r="IS18" i="21"/>
  <c r="IS28" i="21"/>
  <c r="IS31" i="21"/>
  <c r="IS8" i="21"/>
  <c r="IS13" i="21"/>
  <c r="IS20" i="21"/>
  <c r="IS33" i="21"/>
  <c r="HT4" i="21"/>
  <c r="HT12" i="21"/>
  <c r="HT19" i="21"/>
  <c r="HT27" i="21"/>
  <c r="HT32" i="21"/>
  <c r="HQ9" i="21"/>
  <c r="HQ26" i="21"/>
  <c r="HQ5" i="21"/>
  <c r="HQ17" i="21"/>
  <c r="HQ23" i="21"/>
  <c r="HQ29" i="21"/>
  <c r="HQ21" i="21"/>
  <c r="HQ6" i="21"/>
  <c r="HQ14" i="21"/>
  <c r="HQ18" i="21"/>
  <c r="HQ28" i="21"/>
  <c r="HQ31" i="21"/>
  <c r="HQ8" i="21"/>
  <c r="HQ13" i="21"/>
  <c r="HQ20" i="21"/>
  <c r="HQ33" i="21"/>
  <c r="GO4" i="21"/>
  <c r="GO12" i="21"/>
  <c r="GO19" i="21"/>
  <c r="GO27" i="21"/>
  <c r="GO32" i="21"/>
  <c r="GO9" i="21"/>
  <c r="GO26" i="21"/>
  <c r="GO21" i="21"/>
  <c r="GO5" i="21"/>
  <c r="GO17" i="21"/>
  <c r="GO23" i="21"/>
  <c r="GO29" i="21"/>
  <c r="GO6" i="21"/>
  <c r="GO14" i="21"/>
  <c r="GO18" i="21"/>
  <c r="GO28" i="21"/>
  <c r="GO31" i="21"/>
  <c r="GO8" i="21"/>
  <c r="GO13" i="21"/>
  <c r="GO20" i="21"/>
  <c r="GO33" i="21"/>
  <c r="FM4" i="21"/>
  <c r="FM12" i="21"/>
  <c r="FM19" i="21"/>
  <c r="FM27" i="21"/>
  <c r="FM32" i="21"/>
  <c r="FM9" i="21"/>
  <c r="FM26" i="21"/>
  <c r="FM21" i="21"/>
  <c r="FM5" i="21"/>
  <c r="FM17" i="21"/>
  <c r="FM23" i="21"/>
  <c r="FM29" i="21"/>
  <c r="FM6" i="21"/>
  <c r="FM14" i="21"/>
  <c r="FM18" i="21"/>
  <c r="FM28" i="21"/>
  <c r="FM31" i="21"/>
  <c r="FM8" i="21"/>
  <c r="FM13" i="21"/>
  <c r="FM20" i="21"/>
  <c r="FM33" i="21"/>
  <c r="EK9" i="21"/>
  <c r="EK26" i="21"/>
  <c r="EN4" i="21"/>
  <c r="EN12" i="21"/>
  <c r="EN19" i="21"/>
  <c r="EN27" i="21"/>
  <c r="EN32" i="21"/>
  <c r="EK5" i="21"/>
  <c r="EK17" i="21"/>
  <c r="EK23" i="21"/>
  <c r="EK29" i="21"/>
  <c r="EN21" i="21"/>
  <c r="EK14" i="21"/>
  <c r="EK18" i="21"/>
  <c r="EK28" i="21"/>
  <c r="EK31" i="21"/>
  <c r="EK8" i="21"/>
  <c r="EK13" i="21"/>
  <c r="EK20" i="21"/>
  <c r="EK33" i="21"/>
  <c r="DI4" i="21"/>
  <c r="DI19" i="21"/>
  <c r="DI32" i="21"/>
  <c r="DI9" i="21"/>
  <c r="DI26" i="21"/>
  <c r="DI21" i="21"/>
  <c r="DL12" i="21"/>
  <c r="DL27" i="21"/>
  <c r="DI5" i="21"/>
  <c r="DI17" i="21"/>
  <c r="DI23" i="21"/>
  <c r="DI29" i="21"/>
  <c r="DI8" i="21"/>
  <c r="DI13" i="21"/>
  <c r="DI20" i="21"/>
  <c r="DI33" i="21"/>
  <c r="PH34" i="19"/>
  <c r="OC4" i="19"/>
  <c r="OC11" i="19"/>
  <c r="OC28" i="19"/>
  <c r="OF8" i="19"/>
  <c r="OF17" i="19"/>
  <c r="OF13" i="19"/>
  <c r="OF27" i="19"/>
  <c r="OC6" i="19"/>
  <c r="OC12" i="19"/>
  <c r="OC25" i="19"/>
  <c r="OC22" i="19"/>
  <c r="OC33" i="19"/>
  <c r="OF15" i="19"/>
  <c r="OF30" i="19"/>
  <c r="OC24" i="19"/>
  <c r="OC10" i="19"/>
  <c r="OC9" i="19"/>
  <c r="OC14" i="19"/>
  <c r="OC26" i="19"/>
  <c r="OC20" i="19"/>
  <c r="OC35" i="19"/>
  <c r="OC23" i="19"/>
  <c r="NA8" i="19"/>
  <c r="NA17" i="19"/>
  <c r="NA13" i="19"/>
  <c r="NA27" i="19"/>
  <c r="NA4" i="19"/>
  <c r="NA11" i="19"/>
  <c r="NA28" i="19"/>
  <c r="NA15" i="19"/>
  <c r="NA30" i="19"/>
  <c r="NA6" i="19"/>
  <c r="NA12" i="19"/>
  <c r="NA25" i="19"/>
  <c r="NA22" i="19"/>
  <c r="NA33" i="19"/>
  <c r="NA9" i="19"/>
  <c r="NA10" i="19"/>
  <c r="NA14" i="19"/>
  <c r="NA26" i="19"/>
  <c r="NA20" i="19"/>
  <c r="NA35" i="19"/>
  <c r="NA23" i="19"/>
  <c r="LY8" i="19"/>
  <c r="LY17" i="19"/>
  <c r="LY13" i="19"/>
  <c r="LY27" i="19"/>
  <c r="LY4" i="19"/>
  <c r="LY11" i="19"/>
  <c r="LY28" i="19"/>
  <c r="LY15" i="19"/>
  <c r="LY30" i="19"/>
  <c r="LY6" i="19"/>
  <c r="LY12" i="19"/>
  <c r="LY25" i="19"/>
  <c r="LY22" i="19"/>
  <c r="LY33" i="19"/>
  <c r="LY9" i="19"/>
  <c r="LY10" i="19"/>
  <c r="LY24" i="19"/>
  <c r="LY14" i="19"/>
  <c r="LY26" i="19"/>
  <c r="LY20" i="19"/>
  <c r="LY35" i="19"/>
  <c r="LY23" i="19"/>
  <c r="KZ8" i="19"/>
  <c r="KZ17" i="19"/>
  <c r="KZ13" i="19"/>
  <c r="KZ27" i="19"/>
  <c r="KW15" i="19"/>
  <c r="KW6" i="19"/>
  <c r="KW12" i="19"/>
  <c r="KW25" i="19"/>
  <c r="KW22" i="19"/>
  <c r="KW33" i="19"/>
  <c r="KW11" i="19"/>
  <c r="KW28" i="19"/>
  <c r="KZ4" i="19"/>
  <c r="KZ30" i="19"/>
  <c r="KW9" i="19"/>
  <c r="KW10" i="19"/>
  <c r="KW24" i="19"/>
  <c r="KW14" i="19"/>
  <c r="KW26" i="19"/>
  <c r="KW20" i="19"/>
  <c r="KW35" i="19"/>
  <c r="KW23" i="19"/>
  <c r="JU28" i="19"/>
  <c r="JX8" i="19"/>
  <c r="JX17" i="19"/>
  <c r="JX13" i="19"/>
  <c r="JX27" i="19"/>
  <c r="JU4" i="19"/>
  <c r="JU15" i="19"/>
  <c r="JU6" i="19"/>
  <c r="JU12" i="19"/>
  <c r="JU25" i="19"/>
  <c r="JU22" i="19"/>
  <c r="JU33" i="19"/>
  <c r="JU11" i="19"/>
  <c r="JX30" i="19"/>
  <c r="JU9" i="19"/>
  <c r="JU24" i="19"/>
  <c r="JU10" i="19"/>
  <c r="JU14" i="19"/>
  <c r="JU26" i="19"/>
  <c r="JU20" i="19"/>
  <c r="JU35" i="19"/>
  <c r="JU23" i="19"/>
  <c r="IV8" i="19"/>
  <c r="IV17" i="19"/>
  <c r="IV13" i="19"/>
  <c r="IV27" i="19"/>
  <c r="IS4" i="19"/>
  <c r="IS11" i="19"/>
  <c r="IS28" i="19"/>
  <c r="IS6" i="19"/>
  <c r="IS12" i="19"/>
  <c r="IS25" i="19"/>
  <c r="IS22" i="19"/>
  <c r="IS33" i="19"/>
  <c r="IV15" i="19"/>
  <c r="IV30" i="19"/>
  <c r="IS10" i="19"/>
  <c r="IS24" i="19"/>
  <c r="IS14" i="19"/>
  <c r="IS26" i="19"/>
  <c r="IS20" i="19"/>
  <c r="IS35" i="19"/>
  <c r="IS23" i="19"/>
  <c r="IS9" i="19"/>
  <c r="HQ8" i="19"/>
  <c r="HQ17" i="19"/>
  <c r="HQ13" i="19"/>
  <c r="HQ27" i="19"/>
  <c r="HQ4" i="19"/>
  <c r="HQ11" i="19"/>
  <c r="HQ28" i="19"/>
  <c r="HQ15" i="19"/>
  <c r="HQ30" i="19"/>
  <c r="HQ6" i="19"/>
  <c r="HQ12" i="19"/>
  <c r="HQ25" i="19"/>
  <c r="HQ22" i="19"/>
  <c r="HQ33" i="19"/>
  <c r="HQ9" i="19"/>
  <c r="HQ10" i="19"/>
  <c r="HQ24" i="19"/>
  <c r="HQ14" i="19"/>
  <c r="HQ26" i="19"/>
  <c r="HQ20" i="19"/>
  <c r="HQ35" i="19"/>
  <c r="HQ23" i="19"/>
  <c r="GO8" i="19"/>
  <c r="GO17" i="19"/>
  <c r="GO13" i="19"/>
  <c r="GO27" i="19"/>
  <c r="GO4" i="19"/>
  <c r="GO11" i="19"/>
  <c r="GO28" i="19"/>
  <c r="GO15" i="19"/>
  <c r="GO30" i="19"/>
  <c r="GO9" i="19"/>
  <c r="GO10" i="19"/>
  <c r="GO24" i="19"/>
  <c r="GO14" i="19"/>
  <c r="GO26" i="19"/>
  <c r="GO20" i="19"/>
  <c r="GO35" i="19"/>
  <c r="GO23" i="19"/>
  <c r="FP8" i="19"/>
  <c r="FP17" i="19"/>
  <c r="FP13" i="19"/>
  <c r="FP27" i="19"/>
  <c r="FM4" i="19"/>
  <c r="FM11" i="19"/>
  <c r="FM28" i="19"/>
  <c r="FM6" i="19"/>
  <c r="FM12" i="19"/>
  <c r="FM25" i="19"/>
  <c r="FM22" i="19"/>
  <c r="FM33" i="19"/>
  <c r="FP15" i="19"/>
  <c r="FP30" i="19"/>
  <c r="FM9" i="19"/>
  <c r="FM10" i="19"/>
  <c r="FM24" i="19"/>
  <c r="FM14" i="19"/>
  <c r="FM26" i="19"/>
  <c r="FM20" i="19"/>
  <c r="FM35" i="19"/>
  <c r="FM23" i="19"/>
  <c r="EK8" i="19"/>
  <c r="EK28" i="19"/>
  <c r="EN17" i="19"/>
  <c r="EN13" i="19"/>
  <c r="EN27" i="19"/>
  <c r="EK6" i="19"/>
  <c r="EK12" i="19"/>
  <c r="EK25" i="19"/>
  <c r="EK22" i="19"/>
  <c r="EK33" i="19"/>
  <c r="EK11" i="19"/>
  <c r="EN4" i="19"/>
  <c r="EN15" i="19"/>
  <c r="EN30" i="19"/>
  <c r="EK10" i="19"/>
  <c r="EK24" i="19"/>
  <c r="EK14" i="19"/>
  <c r="EK26" i="19"/>
  <c r="EK20" i="19"/>
  <c r="EK35" i="19"/>
  <c r="EK23" i="19"/>
  <c r="EK9" i="19"/>
  <c r="DI8" i="19"/>
  <c r="DI17" i="19"/>
  <c r="DI4" i="19"/>
  <c r="DI11" i="19"/>
  <c r="DI28" i="19"/>
  <c r="DI15" i="19"/>
  <c r="DI30" i="19"/>
  <c r="DI27" i="19"/>
  <c r="DL13" i="19"/>
  <c r="DI6" i="19"/>
  <c r="DI12" i="19"/>
  <c r="DI25" i="19"/>
  <c r="DI22" i="19"/>
  <c r="DI33" i="19"/>
  <c r="DI9" i="19"/>
  <c r="DI10" i="19"/>
  <c r="DI24" i="19"/>
  <c r="DI14" i="19"/>
  <c r="DI26" i="19"/>
  <c r="DI20" i="19"/>
  <c r="DI35" i="19"/>
  <c r="DI23" i="19"/>
  <c r="OC8" i="27"/>
  <c r="OC16" i="27"/>
  <c r="OC10" i="27"/>
  <c r="OC12" i="27"/>
  <c r="OF5" i="27"/>
  <c r="OF13" i="27"/>
  <c r="OC17" i="27"/>
  <c r="OC7" i="27"/>
  <c r="OC4" i="27"/>
  <c r="OC15" i="27"/>
  <c r="OC18" i="27"/>
  <c r="NA16" i="27"/>
  <c r="ND8" i="27"/>
  <c r="NA10" i="27"/>
  <c r="NA12" i="27"/>
  <c r="ND5" i="27"/>
  <c r="ND13" i="27"/>
  <c r="NA7" i="27"/>
  <c r="NA4" i="27"/>
  <c r="NA15" i="27"/>
  <c r="NA18" i="27"/>
  <c r="ND17" i="27"/>
  <c r="LY5" i="27"/>
  <c r="MB16" i="27"/>
  <c r="LY10" i="27"/>
  <c r="LY12" i="27"/>
  <c r="MB13" i="27"/>
  <c r="LY17" i="27"/>
  <c r="LY7" i="27"/>
  <c r="MB8" i="27"/>
  <c r="LY4" i="27"/>
  <c r="LY15" i="27"/>
  <c r="LY18" i="27"/>
  <c r="KZ8" i="27"/>
  <c r="KZ16" i="27"/>
  <c r="KW10" i="27"/>
  <c r="KW12" i="27"/>
  <c r="KZ5" i="27"/>
  <c r="KZ13" i="27"/>
  <c r="KW7" i="27"/>
  <c r="KW4" i="27"/>
  <c r="KW15" i="27"/>
  <c r="KW18" i="27"/>
  <c r="KW17" i="27"/>
  <c r="JX8" i="27"/>
  <c r="JX16" i="27"/>
  <c r="JU10" i="27"/>
  <c r="JU12" i="27"/>
  <c r="JX5" i="27"/>
  <c r="JX13" i="27"/>
  <c r="JU7" i="27"/>
  <c r="JU4" i="27"/>
  <c r="JU15" i="27"/>
  <c r="JU18" i="27"/>
  <c r="JX17" i="27"/>
  <c r="IS8" i="27"/>
  <c r="IS16" i="27"/>
  <c r="IS5" i="27"/>
  <c r="IS13" i="27"/>
  <c r="IS10" i="27"/>
  <c r="IS12" i="27"/>
  <c r="IS17" i="27"/>
  <c r="IS7" i="27"/>
  <c r="IS4" i="27"/>
  <c r="IS15" i="27"/>
  <c r="IS18" i="27"/>
  <c r="HQ8" i="27"/>
  <c r="HQ16" i="27"/>
  <c r="HQ5" i="27"/>
  <c r="HQ13" i="27"/>
  <c r="HQ10" i="27"/>
  <c r="HQ12" i="27"/>
  <c r="HQ17" i="27"/>
  <c r="HQ7" i="27"/>
  <c r="HQ4" i="27"/>
  <c r="HQ15" i="27"/>
  <c r="HQ18" i="27"/>
  <c r="GR8" i="27"/>
  <c r="GR16" i="27"/>
  <c r="GO10" i="27"/>
  <c r="GO12" i="27"/>
  <c r="GO5" i="27"/>
  <c r="GR13" i="27"/>
  <c r="GO17" i="27"/>
  <c r="GO7" i="27"/>
  <c r="GO4" i="27"/>
  <c r="GO15" i="27"/>
  <c r="GO18" i="27"/>
  <c r="FM16" i="27"/>
  <c r="FM5" i="27"/>
  <c r="FM13" i="27"/>
  <c r="FP8" i="27"/>
  <c r="FM10" i="27"/>
  <c r="FM12" i="27"/>
  <c r="FM17" i="27"/>
  <c r="FM7" i="27"/>
  <c r="FM4" i="27"/>
  <c r="FM15" i="27"/>
  <c r="FM18" i="27"/>
  <c r="EK16" i="27"/>
  <c r="EN5" i="27"/>
  <c r="EN13" i="27"/>
  <c r="EK10" i="27"/>
  <c r="EK17" i="27"/>
  <c r="EK8" i="27"/>
  <c r="EK12" i="27"/>
  <c r="EK7" i="27"/>
  <c r="EK4" i="27"/>
  <c r="EK15" i="27"/>
  <c r="EK18" i="27"/>
  <c r="DL8" i="27"/>
  <c r="DL16" i="27"/>
  <c r="DI10" i="27"/>
  <c r="DI12" i="27"/>
  <c r="DL5" i="27"/>
  <c r="DL13" i="27"/>
  <c r="DI17" i="27"/>
  <c r="DI7" i="27"/>
  <c r="DI4" i="27"/>
  <c r="DI15" i="27"/>
  <c r="DI18" i="27"/>
  <c r="OF5" i="26"/>
  <c r="OC11" i="26"/>
  <c r="OC15" i="26"/>
  <c r="OF7" i="26"/>
  <c r="OF13" i="26"/>
  <c r="OC10" i="26"/>
  <c r="OC4" i="26"/>
  <c r="OC19" i="26"/>
  <c r="OC17" i="26"/>
  <c r="OF20" i="26"/>
  <c r="OC6" i="26"/>
  <c r="OC12" i="26"/>
  <c r="OC18" i="26"/>
  <c r="NA7" i="26"/>
  <c r="NA13" i="26"/>
  <c r="ND5" i="26"/>
  <c r="ND10" i="26"/>
  <c r="ND20" i="26"/>
  <c r="NA11" i="26"/>
  <c r="NA15" i="26"/>
  <c r="NA4" i="26"/>
  <c r="NA19" i="26"/>
  <c r="NA17" i="26"/>
  <c r="NA6" i="26"/>
  <c r="NA12" i="26"/>
  <c r="NA18" i="26"/>
  <c r="LY20" i="26"/>
  <c r="MB5" i="26"/>
  <c r="MB10" i="26"/>
  <c r="LY11" i="26"/>
  <c r="LY15" i="26"/>
  <c r="MB7" i="26"/>
  <c r="MB13" i="26"/>
  <c r="LY4" i="26"/>
  <c r="LY19" i="26"/>
  <c r="LY17" i="26"/>
  <c r="LY6" i="26"/>
  <c r="LY12" i="26"/>
  <c r="LY18" i="26"/>
  <c r="KW5" i="26"/>
  <c r="KW7" i="26"/>
  <c r="KW13" i="26"/>
  <c r="KZ10" i="26"/>
  <c r="KZ20" i="26"/>
  <c r="KW11" i="26"/>
  <c r="KW15" i="26"/>
  <c r="KW4" i="26"/>
  <c r="KW19" i="26"/>
  <c r="KW17" i="26"/>
  <c r="KW6" i="26"/>
  <c r="KW12" i="26"/>
  <c r="KW18" i="26"/>
  <c r="JU5" i="26"/>
  <c r="JU10" i="26"/>
  <c r="JU20" i="26"/>
  <c r="JU7" i="26"/>
  <c r="JU11" i="26"/>
  <c r="JU15" i="26"/>
  <c r="JX13" i="26"/>
  <c r="JU4" i="26"/>
  <c r="JU19" i="26"/>
  <c r="JU17" i="26"/>
  <c r="JU6" i="26"/>
  <c r="JU12" i="26"/>
  <c r="JU18" i="26"/>
  <c r="IS5" i="26"/>
  <c r="IS20" i="26"/>
  <c r="IS13" i="26"/>
  <c r="IV10" i="26"/>
  <c r="IS11" i="26"/>
  <c r="IS15" i="26"/>
  <c r="IS7" i="26"/>
  <c r="IS4" i="26"/>
  <c r="IS19" i="26"/>
  <c r="IS17" i="26"/>
  <c r="IS6" i="26"/>
  <c r="IS12" i="26"/>
  <c r="IS18" i="26"/>
  <c r="HT5" i="26"/>
  <c r="HT10" i="26"/>
  <c r="HT20" i="26"/>
  <c r="HQ11" i="26"/>
  <c r="HQ15" i="26"/>
  <c r="HT7" i="26"/>
  <c r="HT13" i="26"/>
  <c r="HQ4" i="26"/>
  <c r="HQ17" i="26"/>
  <c r="HQ6" i="26"/>
  <c r="HQ12" i="26"/>
  <c r="HQ18" i="26"/>
  <c r="HT19" i="26"/>
  <c r="GO5" i="26"/>
  <c r="GO10" i="26"/>
  <c r="GO20" i="26"/>
  <c r="GO11" i="26"/>
  <c r="GO15" i="26"/>
  <c r="GR7" i="26"/>
  <c r="GR13" i="26"/>
  <c r="GO4" i="26"/>
  <c r="GO17" i="26"/>
  <c r="GO6" i="26"/>
  <c r="GO12" i="26"/>
  <c r="GO18" i="26"/>
  <c r="FM7" i="26"/>
  <c r="FM13" i="26"/>
  <c r="FP5" i="26"/>
  <c r="FP10" i="26"/>
  <c r="FP20" i="26"/>
  <c r="FM11" i="26"/>
  <c r="FM15" i="26"/>
  <c r="FM19" i="26"/>
  <c r="FM17" i="26"/>
  <c r="FM6" i="26"/>
  <c r="FM12" i="26"/>
  <c r="FM18" i="26"/>
  <c r="EK5" i="26"/>
  <c r="EK20" i="26"/>
  <c r="EK7" i="26"/>
  <c r="EK13" i="26"/>
  <c r="EN10" i="26"/>
  <c r="EK11" i="26"/>
  <c r="EK15" i="26"/>
  <c r="EK17" i="26"/>
  <c r="EK4" i="26"/>
  <c r="EK19" i="26"/>
  <c r="EK6" i="26"/>
  <c r="EK12" i="26"/>
  <c r="EK18" i="26"/>
  <c r="DL5" i="26"/>
  <c r="DL10" i="26"/>
  <c r="DL20" i="26"/>
  <c r="DI11" i="26"/>
  <c r="DI15" i="26"/>
  <c r="DL7" i="26"/>
  <c r="DL13" i="26"/>
  <c r="DI4" i="26"/>
  <c r="DI17" i="26"/>
  <c r="DI6" i="26"/>
  <c r="DI12" i="26"/>
  <c r="DI18" i="26"/>
  <c r="DL19" i="26"/>
  <c r="PH31" i="21"/>
  <c r="PH33" i="21"/>
  <c r="PE25" i="21"/>
  <c r="PE23" i="21"/>
  <c r="PZ31" i="21"/>
  <c r="PE31" i="21"/>
  <c r="PH32" i="19"/>
  <c r="PE24" i="19"/>
  <c r="L24" i="19"/>
  <c r="M24" i="19" s="1"/>
  <c r="PH25" i="21"/>
  <c r="L23" i="21"/>
  <c r="M23" i="21" s="1"/>
  <c r="PH23" i="21"/>
  <c r="PZ32" i="19"/>
  <c r="PZ23" i="21"/>
  <c r="PZ33" i="21"/>
  <c r="QC33" i="21"/>
  <c r="I33" i="21"/>
  <c r="QA33" i="21"/>
  <c r="QD33" i="21" s="1"/>
  <c r="H33" i="21"/>
  <c r="P33" i="21"/>
  <c r="Q33" i="21" s="1"/>
  <c r="QB33" i="21"/>
  <c r="N33" i="21"/>
  <c r="L33" i="21"/>
  <c r="QB31" i="21"/>
  <c r="QA31" i="21"/>
  <c r="I31" i="21"/>
  <c r="H31" i="21"/>
  <c r="P31" i="21"/>
  <c r="Q31" i="21" s="1"/>
  <c r="QC31" i="21"/>
  <c r="N31" i="21"/>
  <c r="L31" i="21"/>
  <c r="PZ25" i="21"/>
  <c r="QB25" i="21"/>
  <c r="QA25" i="21"/>
  <c r="QC25" i="21"/>
  <c r="I25" i="21"/>
  <c r="H25" i="21"/>
  <c r="P25" i="21"/>
  <c r="Q25" i="21" s="1"/>
  <c r="N25" i="21"/>
  <c r="L25" i="21"/>
  <c r="QB23" i="21"/>
  <c r="QA23" i="21"/>
  <c r="I23" i="21"/>
  <c r="H23" i="21"/>
  <c r="P23" i="21"/>
  <c r="Q23" i="21" s="1"/>
  <c r="QC23" i="21"/>
  <c r="N23" i="21"/>
  <c r="QA34" i="19"/>
  <c r="QC34" i="19"/>
  <c r="PZ34" i="19"/>
  <c r="I34" i="19"/>
  <c r="H34" i="19"/>
  <c r="P34" i="19"/>
  <c r="Q34" i="19" s="1"/>
  <c r="QB34" i="19"/>
  <c r="N34" i="19"/>
  <c r="L34" i="19"/>
  <c r="QB32" i="19"/>
  <c r="QA32" i="19"/>
  <c r="I32" i="19"/>
  <c r="H32" i="19"/>
  <c r="P32" i="19"/>
  <c r="Q32" i="19" s="1"/>
  <c r="L32" i="19"/>
  <c r="QC32" i="19"/>
  <c r="N32" i="19"/>
  <c r="PH24" i="19"/>
  <c r="PZ24" i="19"/>
  <c r="QB24" i="19"/>
  <c r="QA24" i="19"/>
  <c r="I24" i="19"/>
  <c r="H24" i="19"/>
  <c r="P24" i="19"/>
  <c r="Q24" i="19" s="1"/>
  <c r="QC24" i="19"/>
  <c r="N24" i="19"/>
  <c r="CD12" i="21"/>
  <c r="CE12" i="21"/>
  <c r="CF12" i="21"/>
  <c r="CG12" i="21"/>
  <c r="PA12" i="21"/>
  <c r="PB12" i="21"/>
  <c r="PC12" i="21"/>
  <c r="PD12" i="21"/>
  <c r="PF12" i="21"/>
  <c r="PG12" i="21"/>
  <c r="CD19" i="21"/>
  <c r="CE19" i="21"/>
  <c r="CF19" i="21"/>
  <c r="CG19" i="21"/>
  <c r="PA19" i="21"/>
  <c r="PB19" i="21"/>
  <c r="PC19" i="21"/>
  <c r="PD19" i="21"/>
  <c r="PF19" i="21"/>
  <c r="PG19" i="21"/>
  <c r="CD18" i="21"/>
  <c r="CE18" i="21"/>
  <c r="CF18" i="21"/>
  <c r="CG18" i="21"/>
  <c r="PA18" i="21"/>
  <c r="PB18" i="21"/>
  <c r="PC18" i="21"/>
  <c r="PD18" i="21"/>
  <c r="PF18" i="21"/>
  <c r="PG18" i="21"/>
  <c r="CD13" i="21"/>
  <c r="CE13" i="21"/>
  <c r="CF13" i="21"/>
  <c r="CG13" i="21"/>
  <c r="PA13" i="21"/>
  <c r="PB13" i="21"/>
  <c r="PC13" i="21"/>
  <c r="PD13" i="21"/>
  <c r="PF13" i="21"/>
  <c r="PG13" i="21"/>
  <c r="CD21" i="21"/>
  <c r="CE21" i="21"/>
  <c r="CF21" i="21"/>
  <c r="CG21" i="21"/>
  <c r="PA21" i="21"/>
  <c r="PB21" i="21"/>
  <c r="PC21" i="21"/>
  <c r="PD21" i="21"/>
  <c r="PF21" i="21"/>
  <c r="PG21" i="21"/>
  <c r="CD8" i="21"/>
  <c r="CE8" i="21"/>
  <c r="CF8" i="21"/>
  <c r="CG8" i="21"/>
  <c r="PA8" i="21"/>
  <c r="PB8" i="21"/>
  <c r="PC8" i="21"/>
  <c r="PD8" i="21"/>
  <c r="PF8" i="21"/>
  <c r="PG8" i="21"/>
  <c r="CD22" i="19"/>
  <c r="CE22" i="19"/>
  <c r="CF22" i="19"/>
  <c r="CG22" i="19"/>
  <c r="PA22" i="19"/>
  <c r="PB22" i="19"/>
  <c r="PC22" i="19"/>
  <c r="PD22" i="19"/>
  <c r="PF22" i="19"/>
  <c r="PG22" i="19"/>
  <c r="PI22" i="19"/>
  <c r="PJ22" i="19"/>
  <c r="PK22" i="19"/>
  <c r="PL22" i="19"/>
  <c r="PM22" i="19"/>
  <c r="PN22" i="19"/>
  <c r="PO22" i="19"/>
  <c r="PP22" i="19"/>
  <c r="PQ22" i="19"/>
  <c r="PR22" i="19"/>
  <c r="PS22" i="19"/>
  <c r="PT22" i="19"/>
  <c r="PU22" i="19"/>
  <c r="PV22" i="19"/>
  <c r="PW22" i="19"/>
  <c r="PX22" i="19"/>
  <c r="CD20" i="19"/>
  <c r="CE20" i="19"/>
  <c r="CF20" i="19"/>
  <c r="CG20" i="19"/>
  <c r="PA20" i="19"/>
  <c r="PB20" i="19"/>
  <c r="PC20" i="19"/>
  <c r="PD20" i="19"/>
  <c r="PF20" i="19"/>
  <c r="PG20" i="19"/>
  <c r="PI20" i="19"/>
  <c r="PJ20" i="19"/>
  <c r="PK20" i="19"/>
  <c r="PL20" i="19"/>
  <c r="PM20" i="19"/>
  <c r="PN20" i="19"/>
  <c r="PO20" i="19"/>
  <c r="PP20" i="19"/>
  <c r="PQ20" i="19"/>
  <c r="PR20" i="19"/>
  <c r="PS20" i="19"/>
  <c r="PT20" i="19"/>
  <c r="PU20" i="19"/>
  <c r="PV20" i="19"/>
  <c r="PW20" i="19"/>
  <c r="PX20" i="19"/>
  <c r="CD15" i="19"/>
  <c r="CE15" i="19"/>
  <c r="CF15" i="19"/>
  <c r="CG15" i="19"/>
  <c r="PA15" i="19"/>
  <c r="PB15" i="19"/>
  <c r="PC15" i="19"/>
  <c r="PD15" i="19"/>
  <c r="PF15" i="19"/>
  <c r="PG15" i="19"/>
  <c r="PI15" i="19"/>
  <c r="PJ15" i="19"/>
  <c r="PK15" i="19"/>
  <c r="PL15" i="19"/>
  <c r="PM15" i="19"/>
  <c r="PN15" i="19"/>
  <c r="PO15" i="19"/>
  <c r="PP15" i="19"/>
  <c r="PQ15" i="19"/>
  <c r="PR15" i="19"/>
  <c r="PS15" i="19"/>
  <c r="PT15" i="19"/>
  <c r="PU15" i="19"/>
  <c r="PV15" i="19"/>
  <c r="PW15" i="19"/>
  <c r="PX15" i="19"/>
  <c r="CD27" i="19"/>
  <c r="CE27" i="19"/>
  <c r="CF27" i="19"/>
  <c r="CG27" i="19"/>
  <c r="PA27" i="19"/>
  <c r="PB27" i="19"/>
  <c r="PC27" i="19"/>
  <c r="PD27" i="19"/>
  <c r="PF27" i="19"/>
  <c r="PG27" i="19"/>
  <c r="PI27" i="19"/>
  <c r="PJ27" i="19"/>
  <c r="PK27" i="19"/>
  <c r="PL27" i="19"/>
  <c r="PM27" i="19"/>
  <c r="PN27" i="19"/>
  <c r="PO27" i="19"/>
  <c r="PP27" i="19"/>
  <c r="PQ27" i="19"/>
  <c r="PR27" i="19"/>
  <c r="PS27" i="19"/>
  <c r="PT27" i="19"/>
  <c r="PU27" i="19"/>
  <c r="PV27" i="19"/>
  <c r="PW27" i="19"/>
  <c r="PX27" i="19"/>
  <c r="CD14" i="27"/>
  <c r="CE14" i="27"/>
  <c r="CF14" i="27"/>
  <c r="CG14" i="27"/>
  <c r="PA14" i="27"/>
  <c r="PB14" i="27"/>
  <c r="PC14" i="27"/>
  <c r="PD14" i="27"/>
  <c r="PF14" i="27"/>
  <c r="PG14" i="27"/>
  <c r="PI14" i="27"/>
  <c r="PJ14" i="27"/>
  <c r="PK14" i="27"/>
  <c r="PL14" i="27"/>
  <c r="PM14" i="27"/>
  <c r="PN14" i="27"/>
  <c r="PO14" i="27"/>
  <c r="PP14" i="27"/>
  <c r="PQ14" i="27"/>
  <c r="PR14" i="27"/>
  <c r="PS14" i="27"/>
  <c r="PT14" i="27"/>
  <c r="PU14" i="27"/>
  <c r="PV14" i="27"/>
  <c r="PW14" i="27"/>
  <c r="PX14" i="27"/>
  <c r="CD16" i="27"/>
  <c r="CE16" i="27"/>
  <c r="CF16" i="27"/>
  <c r="CG16" i="27"/>
  <c r="PA16" i="27"/>
  <c r="PB16" i="27"/>
  <c r="PC16" i="27"/>
  <c r="PD16" i="27"/>
  <c r="PF16" i="27"/>
  <c r="PG16" i="27"/>
  <c r="PI16" i="27"/>
  <c r="PJ16" i="27"/>
  <c r="PK16" i="27"/>
  <c r="PL16" i="27"/>
  <c r="PM16" i="27"/>
  <c r="PN16" i="27"/>
  <c r="PO16" i="27"/>
  <c r="PP16" i="27"/>
  <c r="PQ16" i="27"/>
  <c r="PR16" i="27"/>
  <c r="PS16" i="27"/>
  <c r="PT16" i="27"/>
  <c r="PU16" i="27"/>
  <c r="PV16" i="27"/>
  <c r="PW16" i="27"/>
  <c r="PX16" i="27"/>
  <c r="CD16" i="26"/>
  <c r="CE16" i="26"/>
  <c r="CF16" i="26"/>
  <c r="CG16" i="26"/>
  <c r="PA16" i="26"/>
  <c r="PB16" i="26"/>
  <c r="PC16" i="26"/>
  <c r="PD16" i="26"/>
  <c r="PF16" i="26"/>
  <c r="PG16" i="26"/>
  <c r="PI16" i="26"/>
  <c r="PJ16" i="26"/>
  <c r="PK16" i="26"/>
  <c r="PL16" i="26"/>
  <c r="PM16" i="26"/>
  <c r="PN16" i="26"/>
  <c r="PO16" i="26"/>
  <c r="PP16" i="26"/>
  <c r="PQ16" i="26"/>
  <c r="PR16" i="26"/>
  <c r="PS16" i="26"/>
  <c r="PT16" i="26"/>
  <c r="PU16" i="26"/>
  <c r="PV16" i="26"/>
  <c r="PW16" i="26"/>
  <c r="PX16" i="26"/>
  <c r="CD18" i="26"/>
  <c r="CE18" i="26"/>
  <c r="CF18" i="26"/>
  <c r="CG18" i="26"/>
  <c r="PA18" i="26"/>
  <c r="PB18" i="26"/>
  <c r="PC18" i="26"/>
  <c r="PD18" i="26"/>
  <c r="PF18" i="26"/>
  <c r="PG18" i="26"/>
  <c r="PI18" i="26"/>
  <c r="PJ18" i="26"/>
  <c r="PK18" i="26"/>
  <c r="PL18" i="26"/>
  <c r="PM18" i="26"/>
  <c r="PN18" i="26"/>
  <c r="PO18" i="26"/>
  <c r="PP18" i="26"/>
  <c r="PQ18" i="26"/>
  <c r="PR18" i="26"/>
  <c r="PS18" i="26"/>
  <c r="PT18" i="26"/>
  <c r="PU18" i="26"/>
  <c r="PV18" i="26"/>
  <c r="PW18" i="26"/>
  <c r="PX18" i="26"/>
  <c r="QD31" i="21" l="1"/>
  <c r="QD25" i="21"/>
  <c r="QD24" i="19"/>
  <c r="TR9" i="4"/>
  <c r="QD24" i="21"/>
  <c r="QD23" i="21"/>
  <c r="CH13" i="21"/>
  <c r="CH12" i="21"/>
  <c r="CH8" i="21"/>
  <c r="CH19" i="21"/>
  <c r="CH21" i="21"/>
  <c r="CH18" i="21"/>
  <c r="QD34" i="19"/>
  <c r="QD32" i="19"/>
  <c r="CH27" i="19"/>
  <c r="CH15" i="19"/>
  <c r="CH20" i="19"/>
  <c r="CH22" i="19"/>
  <c r="CH14" i="27"/>
  <c r="CH16" i="27"/>
  <c r="CH16" i="26"/>
  <c r="CH18" i="26"/>
  <c r="TV9" i="4"/>
  <c r="DC9" i="4"/>
  <c r="CJ24" i="21"/>
  <c r="M24" i="21"/>
  <c r="CI24" i="21"/>
  <c r="O24" i="21"/>
  <c r="J9" i="4"/>
  <c r="M9" i="4"/>
  <c r="O9" i="4"/>
  <c r="DB9" i="4"/>
  <c r="CJ31" i="21"/>
  <c r="CJ25" i="21"/>
  <c r="CJ33" i="21"/>
  <c r="M33" i="21"/>
  <c r="CI33" i="21"/>
  <c r="O33" i="21"/>
  <c r="M31" i="21"/>
  <c r="CI31" i="21"/>
  <c r="O31" i="21"/>
  <c r="M25" i="21"/>
  <c r="CI25" i="21"/>
  <c r="O25" i="21"/>
  <c r="CJ23" i="21"/>
  <c r="CI23" i="21"/>
  <c r="O23" i="21"/>
  <c r="CJ34" i="19"/>
  <c r="M34" i="19"/>
  <c r="CI34" i="19"/>
  <c r="O34" i="19"/>
  <c r="CJ32" i="19"/>
  <c r="CI32" i="19"/>
  <c r="O32" i="19"/>
  <c r="M32" i="19"/>
  <c r="CJ24" i="19"/>
  <c r="CI24" i="19"/>
  <c r="O24" i="19"/>
  <c r="PE22" i="19"/>
  <c r="PE20" i="19"/>
  <c r="PE14" i="27"/>
  <c r="K14" i="27" s="1"/>
  <c r="PE16" i="27"/>
  <c r="K16" i="27" s="1"/>
  <c r="PE21" i="21"/>
  <c r="PE27" i="19"/>
  <c r="PE15" i="19"/>
  <c r="PE16" i="26"/>
  <c r="K16" i="26" s="1"/>
  <c r="PE18" i="26"/>
  <c r="K18" i="26" s="1"/>
  <c r="PE13" i="21"/>
  <c r="PE12" i="21"/>
  <c r="L21" i="21"/>
  <c r="M21" i="21" s="1"/>
  <c r="PH13" i="21"/>
  <c r="PE18" i="21"/>
  <c r="PZ8" i="21"/>
  <c r="QB8" i="21"/>
  <c r="PZ12" i="21"/>
  <c r="QB13" i="21"/>
  <c r="PH18" i="21"/>
  <c r="QA12" i="21"/>
  <c r="PZ19" i="21"/>
  <c r="QB21" i="21"/>
  <c r="QC21" i="21"/>
  <c r="P21" i="21"/>
  <c r="Q21" i="21" s="1"/>
  <c r="PE8" i="21"/>
  <c r="PH21" i="21"/>
  <c r="I13" i="21"/>
  <c r="PE19" i="21"/>
  <c r="PH12" i="21"/>
  <c r="L18" i="21"/>
  <c r="M18" i="21" s="1"/>
  <c r="P19" i="21"/>
  <c r="CJ19" i="21" s="1"/>
  <c r="P13" i="21"/>
  <c r="Q13" i="21" s="1"/>
  <c r="QA19" i="21"/>
  <c r="P18" i="21"/>
  <c r="Q18" i="21" s="1"/>
  <c r="QB18" i="21"/>
  <c r="PZ14" i="27"/>
  <c r="PZ16" i="27"/>
  <c r="PZ18" i="26"/>
  <c r="PZ16" i="26"/>
  <c r="PZ21" i="21"/>
  <c r="H19" i="21"/>
  <c r="P8" i="21"/>
  <c r="Q8" i="21" s="1"/>
  <c r="H13" i="21"/>
  <c r="QA8" i="21"/>
  <c r="I12" i="21"/>
  <c r="QA13" i="21"/>
  <c r="QA18" i="21"/>
  <c r="PZ18" i="21"/>
  <c r="I21" i="21"/>
  <c r="H12" i="21"/>
  <c r="N19" i="21"/>
  <c r="P12" i="21"/>
  <c r="Q12" i="21" s="1"/>
  <c r="PZ13" i="21"/>
  <c r="L8" i="21"/>
  <c r="M8" i="21" s="1"/>
  <c r="QC18" i="21"/>
  <c r="QA21" i="21"/>
  <c r="H21" i="21"/>
  <c r="H8" i="21"/>
  <c r="QC13" i="21"/>
  <c r="N8" i="21"/>
  <c r="H18" i="21"/>
  <c r="QB19" i="21"/>
  <c r="QB12" i="21"/>
  <c r="N12" i="21"/>
  <c r="I18" i="21"/>
  <c r="L19" i="21"/>
  <c r="I19" i="21"/>
  <c r="L12" i="21"/>
  <c r="N21" i="21"/>
  <c r="I8" i="21"/>
  <c r="PH19" i="21"/>
  <c r="L13" i="21"/>
  <c r="QC19" i="21"/>
  <c r="PH8" i="21"/>
  <c r="N18" i="21"/>
  <c r="N13" i="21"/>
  <c r="QC8" i="21"/>
  <c r="QC12" i="21"/>
  <c r="PZ22" i="19"/>
  <c r="PH22" i="19"/>
  <c r="P22" i="19"/>
  <c r="Q22" i="19" s="1"/>
  <c r="QA22" i="19"/>
  <c r="QB22" i="19"/>
  <c r="I22" i="19"/>
  <c r="H22" i="19"/>
  <c r="N22" i="19"/>
  <c r="L22" i="19"/>
  <c r="QC22" i="19"/>
  <c r="QA20" i="19"/>
  <c r="PZ27" i="19"/>
  <c r="PZ20" i="19"/>
  <c r="PH20" i="19"/>
  <c r="P20" i="19"/>
  <c r="Q20" i="19" s="1"/>
  <c r="L20" i="19"/>
  <c r="M20" i="19" s="1"/>
  <c r="QB20" i="19"/>
  <c r="I20" i="19"/>
  <c r="H20" i="19"/>
  <c r="N20" i="19"/>
  <c r="QC20" i="19"/>
  <c r="QA27" i="19"/>
  <c r="QA15" i="19"/>
  <c r="PZ15" i="19"/>
  <c r="PH15" i="19"/>
  <c r="P15" i="19"/>
  <c r="Q15" i="19" s="1"/>
  <c r="H15" i="19"/>
  <c r="QB15" i="19"/>
  <c r="I15" i="19"/>
  <c r="N15" i="19"/>
  <c r="L15" i="19"/>
  <c r="QC15" i="19"/>
  <c r="PH27" i="19"/>
  <c r="P27" i="19"/>
  <c r="Q27" i="19" s="1"/>
  <c r="QB27" i="19"/>
  <c r="H27" i="19"/>
  <c r="I27" i="19"/>
  <c r="N27" i="19"/>
  <c r="L27" i="19"/>
  <c r="QC27" i="19"/>
  <c r="QA14" i="27"/>
  <c r="PH14" i="27"/>
  <c r="P14" i="27"/>
  <c r="Q14" i="27" s="1"/>
  <c r="QB14" i="27"/>
  <c r="H14" i="27"/>
  <c r="I14" i="27"/>
  <c r="N14" i="27"/>
  <c r="L14" i="27"/>
  <c r="QC14" i="27"/>
  <c r="QA16" i="27"/>
  <c r="PH16" i="27"/>
  <c r="P16" i="27"/>
  <c r="Q16" i="27" s="1"/>
  <c r="L16" i="27"/>
  <c r="M16" i="27" s="1"/>
  <c r="QB16" i="27"/>
  <c r="I16" i="27"/>
  <c r="H16" i="27"/>
  <c r="N16" i="27"/>
  <c r="QC16" i="27"/>
  <c r="QA18" i="26"/>
  <c r="QA16" i="26"/>
  <c r="QD16" i="26" s="1"/>
  <c r="P16" i="26"/>
  <c r="Q16" i="26" s="1"/>
  <c r="PH16" i="26"/>
  <c r="QB16" i="26"/>
  <c r="I16" i="26"/>
  <c r="H16" i="26"/>
  <c r="N16" i="26"/>
  <c r="L16" i="26"/>
  <c r="QC16" i="26"/>
  <c r="PH18" i="26"/>
  <c r="P18" i="26"/>
  <c r="CJ18" i="26" s="1"/>
  <c r="N18" i="26"/>
  <c r="CI18" i="26" s="1"/>
  <c r="QB18" i="26"/>
  <c r="H18" i="26"/>
  <c r="I18" i="26"/>
  <c r="L18" i="26"/>
  <c r="M18" i="26" s="1"/>
  <c r="QC18" i="26"/>
  <c r="CD26" i="21"/>
  <c r="CE26" i="21"/>
  <c r="CF26" i="21"/>
  <c r="CG26" i="21"/>
  <c r="PA26" i="21"/>
  <c r="PB26" i="21"/>
  <c r="PC26" i="21"/>
  <c r="PD26" i="21"/>
  <c r="PF26" i="21"/>
  <c r="PG26" i="21"/>
  <c r="CD10" i="21"/>
  <c r="CE10" i="21"/>
  <c r="CF10" i="21"/>
  <c r="CG10" i="21"/>
  <c r="PA10" i="21"/>
  <c r="PB10" i="21"/>
  <c r="PC10" i="21"/>
  <c r="PD10" i="21"/>
  <c r="PF10" i="21"/>
  <c r="PG10" i="21"/>
  <c r="CD6" i="21"/>
  <c r="CE6" i="21"/>
  <c r="CF6" i="21"/>
  <c r="CG6" i="21"/>
  <c r="PA6" i="21"/>
  <c r="PB6" i="21"/>
  <c r="PC6" i="21"/>
  <c r="PD6" i="21"/>
  <c r="PF6" i="21"/>
  <c r="PG6" i="21"/>
  <c r="CD33" i="19"/>
  <c r="CE33" i="19"/>
  <c r="CF33" i="19"/>
  <c r="CG33" i="19"/>
  <c r="PA33" i="19"/>
  <c r="PB33" i="19"/>
  <c r="PC33" i="19"/>
  <c r="PD33" i="19"/>
  <c r="PF33" i="19"/>
  <c r="PG33" i="19"/>
  <c r="PI33" i="19"/>
  <c r="PJ33" i="19"/>
  <c r="PK33" i="19"/>
  <c r="PL33" i="19"/>
  <c r="PM33" i="19"/>
  <c r="PN33" i="19"/>
  <c r="PO33" i="19"/>
  <c r="PP33" i="19"/>
  <c r="PQ33" i="19"/>
  <c r="PR33" i="19"/>
  <c r="PS33" i="19"/>
  <c r="PT33" i="19"/>
  <c r="PU33" i="19"/>
  <c r="PV33" i="19"/>
  <c r="PW33" i="19"/>
  <c r="PX33" i="19"/>
  <c r="CD11" i="19"/>
  <c r="CE11" i="19"/>
  <c r="CF11" i="19"/>
  <c r="CG11" i="19"/>
  <c r="PA11" i="19"/>
  <c r="PB11" i="19"/>
  <c r="PC11" i="19"/>
  <c r="PD11" i="19"/>
  <c r="PF11" i="19"/>
  <c r="PG11" i="19"/>
  <c r="PI11" i="19"/>
  <c r="PJ11" i="19"/>
  <c r="PK11" i="19"/>
  <c r="PL11" i="19"/>
  <c r="PM11" i="19"/>
  <c r="PN11" i="19"/>
  <c r="PO11" i="19"/>
  <c r="PP11" i="19"/>
  <c r="PQ11" i="19"/>
  <c r="PR11" i="19"/>
  <c r="PS11" i="19"/>
  <c r="PT11" i="19"/>
  <c r="PU11" i="19"/>
  <c r="PV11" i="19"/>
  <c r="PW11" i="19"/>
  <c r="PX11" i="19"/>
  <c r="CD16" i="19"/>
  <c r="CE16" i="19"/>
  <c r="CF16" i="19"/>
  <c r="CG16" i="19"/>
  <c r="PA16" i="19"/>
  <c r="PB16" i="19"/>
  <c r="PC16" i="19"/>
  <c r="PD16" i="19"/>
  <c r="PF16" i="19"/>
  <c r="PG16" i="19"/>
  <c r="PI16" i="19"/>
  <c r="PJ16" i="19"/>
  <c r="PK16" i="19"/>
  <c r="PL16" i="19"/>
  <c r="PM16" i="19"/>
  <c r="PN16" i="19"/>
  <c r="PO16" i="19"/>
  <c r="PP16" i="19"/>
  <c r="PQ16" i="19"/>
  <c r="PR16" i="19"/>
  <c r="PS16" i="19"/>
  <c r="PT16" i="19"/>
  <c r="PU16" i="19"/>
  <c r="PV16" i="19"/>
  <c r="PW16" i="19"/>
  <c r="PX16" i="19"/>
  <c r="CD10" i="19"/>
  <c r="CE10" i="19"/>
  <c r="CF10" i="19"/>
  <c r="CG10" i="19"/>
  <c r="PA10" i="19"/>
  <c r="PB10" i="19"/>
  <c r="PC10" i="19"/>
  <c r="PD10" i="19"/>
  <c r="PF10" i="19"/>
  <c r="PG10" i="19"/>
  <c r="PI10" i="19"/>
  <c r="PJ10" i="19"/>
  <c r="PK10" i="19"/>
  <c r="PL10" i="19"/>
  <c r="PM10" i="19"/>
  <c r="PN10" i="19"/>
  <c r="PO10" i="19"/>
  <c r="PP10" i="19"/>
  <c r="PQ10" i="19"/>
  <c r="PR10" i="19"/>
  <c r="PS10" i="19"/>
  <c r="PT10" i="19"/>
  <c r="PU10" i="19"/>
  <c r="PV10" i="19"/>
  <c r="PW10" i="19"/>
  <c r="PX10" i="19"/>
  <c r="CD4" i="19"/>
  <c r="CE4" i="19"/>
  <c r="CF4" i="19"/>
  <c r="CG4" i="19"/>
  <c r="PA4" i="19"/>
  <c r="PB4" i="19"/>
  <c r="PC4" i="19"/>
  <c r="PD4" i="19"/>
  <c r="PF4" i="19"/>
  <c r="PG4" i="19"/>
  <c r="PI4" i="19"/>
  <c r="PJ4" i="19"/>
  <c r="PK4" i="19"/>
  <c r="PL4" i="19"/>
  <c r="PM4" i="19"/>
  <c r="PN4" i="19"/>
  <c r="PO4" i="19"/>
  <c r="PP4" i="19"/>
  <c r="PQ4" i="19"/>
  <c r="PR4" i="19"/>
  <c r="PS4" i="19"/>
  <c r="PT4" i="19"/>
  <c r="PU4" i="19"/>
  <c r="PV4" i="19"/>
  <c r="PW4" i="19"/>
  <c r="PX4" i="19"/>
  <c r="CD18" i="27"/>
  <c r="CE18" i="27"/>
  <c r="CF18" i="27"/>
  <c r="CG18" i="27"/>
  <c r="PA18" i="27"/>
  <c r="PB18" i="27"/>
  <c r="PC18" i="27"/>
  <c r="PD18" i="27"/>
  <c r="PF18" i="27"/>
  <c r="PG18" i="27"/>
  <c r="PI18" i="27"/>
  <c r="PJ18" i="27"/>
  <c r="PK18" i="27"/>
  <c r="PL18" i="27"/>
  <c r="PM18" i="27"/>
  <c r="PN18" i="27"/>
  <c r="PO18" i="27"/>
  <c r="PP18" i="27"/>
  <c r="PQ18" i="27"/>
  <c r="PR18" i="27"/>
  <c r="PS18" i="27"/>
  <c r="PT18" i="27"/>
  <c r="PU18" i="27"/>
  <c r="PV18" i="27"/>
  <c r="PW18" i="27"/>
  <c r="PX18" i="27"/>
  <c r="CD6" i="27"/>
  <c r="CE6" i="27"/>
  <c r="CF6" i="27"/>
  <c r="CG6" i="27"/>
  <c r="PA6" i="27"/>
  <c r="PB6" i="27"/>
  <c r="PC6" i="27"/>
  <c r="PD6" i="27"/>
  <c r="PF6" i="27"/>
  <c r="PG6" i="27"/>
  <c r="PI6" i="27"/>
  <c r="PJ6" i="27"/>
  <c r="PK6" i="27"/>
  <c r="PL6" i="27"/>
  <c r="PM6" i="27"/>
  <c r="PN6" i="27"/>
  <c r="PO6" i="27"/>
  <c r="PP6" i="27"/>
  <c r="PQ6" i="27"/>
  <c r="PR6" i="27"/>
  <c r="PS6" i="27"/>
  <c r="PT6" i="27"/>
  <c r="PU6" i="27"/>
  <c r="PV6" i="27"/>
  <c r="PW6" i="27"/>
  <c r="PX6" i="27"/>
  <c r="CD11" i="26"/>
  <c r="CE11" i="26"/>
  <c r="CF11" i="26"/>
  <c r="CG11" i="26"/>
  <c r="PA11" i="26"/>
  <c r="PB11" i="26"/>
  <c r="PC11" i="26"/>
  <c r="PD11" i="26"/>
  <c r="PF11" i="26"/>
  <c r="PG11" i="26"/>
  <c r="PI11" i="26"/>
  <c r="PJ11" i="26"/>
  <c r="PK11" i="26"/>
  <c r="PL11" i="26"/>
  <c r="PM11" i="26"/>
  <c r="PN11" i="26"/>
  <c r="PO11" i="26"/>
  <c r="PP11" i="26"/>
  <c r="PQ11" i="26"/>
  <c r="PR11" i="26"/>
  <c r="PS11" i="26"/>
  <c r="PT11" i="26"/>
  <c r="PU11" i="26"/>
  <c r="PV11" i="26"/>
  <c r="PW11" i="26"/>
  <c r="PX11" i="26"/>
  <c r="CD19" i="26"/>
  <c r="CE19" i="26"/>
  <c r="CF19" i="26"/>
  <c r="CG19" i="26"/>
  <c r="PA19" i="26"/>
  <c r="PB19" i="26"/>
  <c r="PC19" i="26"/>
  <c r="PD19" i="26"/>
  <c r="PF19" i="26"/>
  <c r="PG19" i="26"/>
  <c r="PI19" i="26"/>
  <c r="PJ19" i="26"/>
  <c r="PK19" i="26"/>
  <c r="PL19" i="26"/>
  <c r="PM19" i="26"/>
  <c r="PN19" i="26"/>
  <c r="PO19" i="26"/>
  <c r="PP19" i="26"/>
  <c r="PQ19" i="26"/>
  <c r="PR19" i="26"/>
  <c r="PS19" i="26"/>
  <c r="PT19" i="26"/>
  <c r="PU19" i="26"/>
  <c r="PV19" i="26"/>
  <c r="PW19" i="26"/>
  <c r="PX19" i="26"/>
  <c r="CD8" i="26"/>
  <c r="CE8" i="26"/>
  <c r="CF8" i="26"/>
  <c r="CG8" i="26"/>
  <c r="PA8" i="26"/>
  <c r="PB8" i="26"/>
  <c r="PC8" i="26"/>
  <c r="PD8" i="26"/>
  <c r="PF8" i="26"/>
  <c r="PG8" i="26"/>
  <c r="PI8" i="26"/>
  <c r="PJ8" i="26"/>
  <c r="PK8" i="26"/>
  <c r="PL8" i="26"/>
  <c r="PM8" i="26"/>
  <c r="PN8" i="26"/>
  <c r="PO8" i="26"/>
  <c r="PP8" i="26"/>
  <c r="PQ8" i="26"/>
  <c r="PR8" i="26"/>
  <c r="PS8" i="26"/>
  <c r="PT8" i="26"/>
  <c r="PU8" i="26"/>
  <c r="PV8" i="26"/>
  <c r="PW8" i="26"/>
  <c r="PX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QD13" i="21" l="1"/>
  <c r="QD20" i="19"/>
  <c r="QD8" i="21"/>
  <c r="QD21" i="21"/>
  <c r="QD15" i="19"/>
  <c r="QD14" i="27"/>
  <c r="J14" i="27"/>
  <c r="QD16" i="27"/>
  <c r="QD18" i="26"/>
  <c r="V9" i="4"/>
  <c r="F9" i="4" s="1"/>
  <c r="QD12" i="21"/>
  <c r="QD18" i="21"/>
  <c r="QD19" i="21"/>
  <c r="CH6" i="21"/>
  <c r="CH26" i="21"/>
  <c r="CH10" i="21"/>
  <c r="R24" i="21"/>
  <c r="F24" i="21" s="1"/>
  <c r="QD27" i="19"/>
  <c r="QD22" i="19"/>
  <c r="CH16" i="19"/>
  <c r="CH33" i="19"/>
  <c r="CH11" i="19"/>
  <c r="CH4" i="19"/>
  <c r="CH10" i="19"/>
  <c r="J16" i="27"/>
  <c r="CH6" i="27"/>
  <c r="CH18" i="27"/>
  <c r="CH8" i="26"/>
  <c r="CH11" i="26"/>
  <c r="J16" i="26"/>
  <c r="CH19" i="26"/>
  <c r="J18" i="26"/>
  <c r="T24" i="21"/>
  <c r="R23" i="21"/>
  <c r="S23" i="21" s="1"/>
  <c r="O19" i="21"/>
  <c r="R25" i="21"/>
  <c r="T25" i="21" s="1"/>
  <c r="R31" i="21"/>
  <c r="S31" i="21" s="1"/>
  <c r="R33" i="21"/>
  <c r="F33" i="21" s="1"/>
  <c r="R34" i="19"/>
  <c r="S34" i="19" s="1"/>
  <c r="R24" i="19"/>
  <c r="F24" i="19" s="1"/>
  <c r="R32" i="19"/>
  <c r="T32" i="19" s="1"/>
  <c r="CJ16" i="26"/>
  <c r="Q19" i="21"/>
  <c r="CJ13" i="21"/>
  <c r="PE8" i="26"/>
  <c r="K8" i="26" s="1"/>
  <c r="PE19" i="26"/>
  <c r="K19" i="26" s="1"/>
  <c r="CI19" i="21"/>
  <c r="R19" i="21" s="1"/>
  <c r="PE26" i="21"/>
  <c r="CJ8" i="21"/>
  <c r="CJ21" i="21"/>
  <c r="CJ18" i="21"/>
  <c r="CJ27" i="19"/>
  <c r="CI8" i="21"/>
  <c r="O8" i="21"/>
  <c r="CJ12" i="21"/>
  <c r="CI12" i="21"/>
  <c r="O12" i="21"/>
  <c r="CI21" i="21"/>
  <c r="O21" i="21"/>
  <c r="O13" i="21"/>
  <c r="CI13" i="21"/>
  <c r="M12" i="21"/>
  <c r="M13" i="21"/>
  <c r="O18" i="21"/>
  <c r="CI18" i="21"/>
  <c r="M19" i="21"/>
  <c r="PE10" i="21"/>
  <c r="PE6" i="21"/>
  <c r="CJ22" i="19"/>
  <c r="CJ20" i="19"/>
  <c r="CI22" i="19"/>
  <c r="O22" i="19"/>
  <c r="M22" i="19"/>
  <c r="CI20" i="19"/>
  <c r="O20" i="19"/>
  <c r="CJ15" i="19"/>
  <c r="CI15" i="19"/>
  <c r="O15" i="19"/>
  <c r="M15" i="19"/>
  <c r="PE11" i="19"/>
  <c r="CI27" i="19"/>
  <c r="O27" i="19"/>
  <c r="M27" i="19"/>
  <c r="PE33" i="19"/>
  <c r="CJ14" i="27"/>
  <c r="CJ16" i="27"/>
  <c r="CI14" i="27"/>
  <c r="O14" i="27"/>
  <c r="M14" i="27"/>
  <c r="CI16" i="27"/>
  <c r="O16" i="27"/>
  <c r="R18" i="26"/>
  <c r="CI16" i="26"/>
  <c r="O16" i="26"/>
  <c r="M16" i="26"/>
  <c r="Q18" i="26"/>
  <c r="O18" i="26"/>
  <c r="CW13" i="4"/>
  <c r="DA13" i="4" s="1"/>
  <c r="PZ6" i="21"/>
  <c r="PZ26" i="21"/>
  <c r="PZ11" i="26"/>
  <c r="TN13" i="4"/>
  <c r="PE16" i="19"/>
  <c r="PZ33" i="19"/>
  <c r="PE18" i="27"/>
  <c r="K18" i="27" s="1"/>
  <c r="PE10" i="19"/>
  <c r="PE4" i="19"/>
  <c r="PZ16" i="19"/>
  <c r="QB33" i="19"/>
  <c r="PE6" i="27"/>
  <c r="K6" i="27" s="1"/>
  <c r="PE11" i="26"/>
  <c r="K11" i="26" s="1"/>
  <c r="PZ8" i="26"/>
  <c r="QB11" i="26"/>
  <c r="SN8" i="22"/>
  <c r="SU8" i="22" s="1"/>
  <c r="TQ8" i="22"/>
  <c r="CW8" i="22"/>
  <c r="DA8" i="22" s="1"/>
  <c r="TN6" i="4"/>
  <c r="SN6" i="4"/>
  <c r="SU6" i="4" s="1"/>
  <c r="SN13" i="4"/>
  <c r="SU13" i="4" s="1"/>
  <c r="TQ13" i="4"/>
  <c r="CW6" i="4"/>
  <c r="DA6" i="4" s="1"/>
  <c r="QA26" i="21"/>
  <c r="QB26" i="21"/>
  <c r="PZ11" i="19"/>
  <c r="QA6" i="27"/>
  <c r="QD6" i="27" s="1"/>
  <c r="PZ18" i="27"/>
  <c r="QA18" i="27"/>
  <c r="PZ6" i="27"/>
  <c r="PZ19" i="26"/>
  <c r="QA11" i="26"/>
  <c r="TQ6" i="4"/>
  <c r="PH26" i="21"/>
  <c r="P26" i="21"/>
  <c r="Q26" i="21" s="1"/>
  <c r="I26" i="21"/>
  <c r="H26" i="21"/>
  <c r="N26" i="21"/>
  <c r="L26" i="21"/>
  <c r="QC26" i="21"/>
  <c r="QB10" i="21"/>
  <c r="PZ10" i="21"/>
  <c r="PH10" i="21"/>
  <c r="QC10" i="21"/>
  <c r="QA10" i="21"/>
  <c r="QD10" i="21" s="1"/>
  <c r="P10" i="21"/>
  <c r="CJ10" i="21" s="1"/>
  <c r="I10" i="21"/>
  <c r="H10" i="21"/>
  <c r="N10" i="21"/>
  <c r="L10" i="21"/>
  <c r="QA6" i="21"/>
  <c r="PH6" i="21"/>
  <c r="P6" i="21"/>
  <c r="Q6" i="21" s="1"/>
  <c r="QB6" i="21"/>
  <c r="I6" i="21"/>
  <c r="H6" i="21"/>
  <c r="N6" i="21"/>
  <c r="L6" i="21"/>
  <c r="QC6" i="21"/>
  <c r="PH33" i="19"/>
  <c r="QA33" i="19"/>
  <c r="P33" i="19"/>
  <c r="Q33" i="19" s="1"/>
  <c r="I33" i="19"/>
  <c r="H33" i="19"/>
  <c r="N33" i="19"/>
  <c r="L33" i="19"/>
  <c r="QC33" i="19"/>
  <c r="QA11" i="19"/>
  <c r="QA16" i="19"/>
  <c r="PZ10" i="19"/>
  <c r="PH11" i="19"/>
  <c r="P11" i="19"/>
  <c r="Q11" i="19" s="1"/>
  <c r="QB11" i="19"/>
  <c r="I11" i="19"/>
  <c r="H11" i="19"/>
  <c r="N11" i="19"/>
  <c r="L11" i="19"/>
  <c r="QC11" i="19"/>
  <c r="QA10" i="19"/>
  <c r="PZ4" i="19"/>
  <c r="PH16" i="19"/>
  <c r="P16" i="19"/>
  <c r="Q16" i="19" s="1"/>
  <c r="QB16" i="19"/>
  <c r="I16" i="19"/>
  <c r="H16" i="19"/>
  <c r="N16" i="19"/>
  <c r="L16" i="19"/>
  <c r="QC16" i="19"/>
  <c r="QA4" i="19"/>
  <c r="PH10" i="19"/>
  <c r="P10" i="19"/>
  <c r="Q10" i="19" s="1"/>
  <c r="QB10" i="19"/>
  <c r="I10" i="19"/>
  <c r="H10" i="19"/>
  <c r="N10" i="19"/>
  <c r="L10" i="19"/>
  <c r="QC10" i="19"/>
  <c r="PH4" i="19"/>
  <c r="P4" i="19"/>
  <c r="Q4" i="19" s="1"/>
  <c r="QB4" i="19"/>
  <c r="I4" i="19"/>
  <c r="H4" i="19"/>
  <c r="N4" i="19"/>
  <c r="L4" i="19"/>
  <c r="QC4" i="19"/>
  <c r="PH18" i="27"/>
  <c r="P18" i="27"/>
  <c r="Q18" i="27" s="1"/>
  <c r="QB18" i="27"/>
  <c r="I18" i="27"/>
  <c r="H18" i="27"/>
  <c r="N18" i="27"/>
  <c r="L18" i="27"/>
  <c r="QC18" i="27"/>
  <c r="PH6" i="27"/>
  <c r="P6" i="27"/>
  <c r="Q6" i="27" s="1"/>
  <c r="QB6" i="27"/>
  <c r="I6" i="27"/>
  <c r="H6" i="27"/>
  <c r="N6" i="27"/>
  <c r="L6" i="27"/>
  <c r="QC6" i="27"/>
  <c r="PH11" i="26"/>
  <c r="P11" i="26"/>
  <c r="CJ11" i="26" s="1"/>
  <c r="I11" i="26"/>
  <c r="H11" i="26"/>
  <c r="N11" i="26"/>
  <c r="L11" i="26"/>
  <c r="QC11" i="26"/>
  <c r="QA8" i="26"/>
  <c r="QA19" i="26"/>
  <c r="PH19" i="26"/>
  <c r="P19" i="26"/>
  <c r="Q19" i="26" s="1"/>
  <c r="L19" i="26"/>
  <c r="M19" i="26" s="1"/>
  <c r="QB19" i="26"/>
  <c r="I19" i="26"/>
  <c r="H19" i="26"/>
  <c r="N19" i="26"/>
  <c r="QC19" i="26"/>
  <c r="PH8" i="26"/>
  <c r="P8" i="26"/>
  <c r="Q8" i="26" s="1"/>
  <c r="QB8" i="26"/>
  <c r="I8" i="26"/>
  <c r="H8" i="26"/>
  <c r="N8" i="26"/>
  <c r="L8" i="26"/>
  <c r="QC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3" i="4"/>
  <c r="O13" i="4" s="1"/>
  <c r="TU13" i="4"/>
  <c r="R13" i="4"/>
  <c r="S13" i="4" s="1"/>
  <c r="H13" i="4"/>
  <c r="K13" i="4"/>
  <c r="T13" i="4"/>
  <c r="U13" i="4" s="1"/>
  <c r="P13" i="4"/>
  <c r="L13" i="4"/>
  <c r="I13" i="4"/>
  <c r="N6" i="4"/>
  <c r="O6" i="4" s="1"/>
  <c r="TU6" i="4"/>
  <c r="R6" i="4"/>
  <c r="S6" i="4" s="1"/>
  <c r="I6" i="4"/>
  <c r="H6" i="4"/>
  <c r="T6" i="4"/>
  <c r="U6" i="4" s="1"/>
  <c r="P6" i="4"/>
  <c r="K6" i="4"/>
  <c r="L6" i="4"/>
  <c r="QD19" i="26" l="1"/>
  <c r="QD11" i="26"/>
  <c r="QD8" i="26"/>
  <c r="X9" i="4"/>
  <c r="W9" i="4"/>
  <c r="QD10" i="19"/>
  <c r="QD26" i="21"/>
  <c r="QD6" i="21"/>
  <c r="S24" i="21"/>
  <c r="QD33" i="19"/>
  <c r="QD4" i="19"/>
  <c r="QD16" i="19"/>
  <c r="QD11" i="19"/>
  <c r="QD18" i="27"/>
  <c r="J18" i="27"/>
  <c r="J6" i="27"/>
  <c r="J19" i="26"/>
  <c r="J11" i="26"/>
  <c r="J8" i="26"/>
  <c r="T23" i="21"/>
  <c r="F23" i="21"/>
  <c r="F31" i="21"/>
  <c r="S25" i="21"/>
  <c r="F25" i="21"/>
  <c r="T31" i="21"/>
  <c r="T34" i="19"/>
  <c r="F34" i="19"/>
  <c r="F32" i="19"/>
  <c r="T33" i="21"/>
  <c r="S33" i="21"/>
  <c r="S32" i="19"/>
  <c r="S24" i="19"/>
  <c r="T24" i="19"/>
  <c r="T19" i="21"/>
  <c r="S19" i="21"/>
  <c r="S18" i="26"/>
  <c r="T18" i="26"/>
  <c r="R16" i="26"/>
  <c r="F16" i="26" s="1"/>
  <c r="R8" i="21"/>
  <c r="R12" i="21"/>
  <c r="R18" i="21"/>
  <c r="R21" i="21"/>
  <c r="F19" i="21"/>
  <c r="R14" i="27"/>
  <c r="R13" i="21"/>
  <c r="R27" i="19"/>
  <c r="R22" i="19"/>
  <c r="R20" i="19"/>
  <c r="R15" i="19"/>
  <c r="R16" i="27"/>
  <c r="A14" i="27" a="1"/>
  <c r="A14" i="27" s="1"/>
  <c r="B14" i="27" a="1"/>
  <c r="B14" i="27" s="1"/>
  <c r="A16" i="27" a="1"/>
  <c r="A16" i="27" s="1"/>
  <c r="B16" i="27" a="1"/>
  <c r="B16" i="27" s="1"/>
  <c r="F18" i="26"/>
  <c r="Q10" i="21"/>
  <c r="TR13" i="4"/>
  <c r="TV13" i="4" s="1"/>
  <c r="TR6" i="4"/>
  <c r="TV6" i="4" s="1"/>
  <c r="CJ19" i="26"/>
  <c r="Q11" i="26"/>
  <c r="TR8" i="22"/>
  <c r="TV8" i="22" s="1"/>
  <c r="CJ26" i="21"/>
  <c r="CJ33" i="19"/>
  <c r="CJ18" i="27"/>
  <c r="CI26" i="21"/>
  <c r="O26" i="21"/>
  <c r="M26" i="21"/>
  <c r="CI10" i="21"/>
  <c r="R10" i="21" s="1"/>
  <c r="O10" i="21"/>
  <c r="M10" i="21"/>
  <c r="CJ6" i="21"/>
  <c r="CI6" i="21"/>
  <c r="O6" i="21"/>
  <c r="M6" i="21"/>
  <c r="CI33" i="19"/>
  <c r="O33" i="19"/>
  <c r="M33" i="19"/>
  <c r="CJ16" i="19"/>
  <c r="CJ10" i="19"/>
  <c r="CJ11" i="19"/>
  <c r="CI11" i="19"/>
  <c r="O11" i="19"/>
  <c r="M11" i="19"/>
  <c r="CI16" i="19"/>
  <c r="O16" i="19"/>
  <c r="M16" i="19"/>
  <c r="CI10" i="19"/>
  <c r="O10" i="19"/>
  <c r="M10" i="19"/>
  <c r="CJ4" i="19"/>
  <c r="CI4" i="19"/>
  <c r="O4" i="19"/>
  <c r="M4" i="19"/>
  <c r="CI18" i="27"/>
  <c r="O18" i="27"/>
  <c r="M18" i="27"/>
  <c r="CJ6" i="27"/>
  <c r="CI6" i="27"/>
  <c r="O6" i="27"/>
  <c r="M6" i="27"/>
  <c r="CI11" i="26"/>
  <c r="O11" i="26"/>
  <c r="M11" i="26"/>
  <c r="CI19" i="26"/>
  <c r="O19" i="26"/>
  <c r="CJ8" i="26"/>
  <c r="CI8" i="26"/>
  <c r="O8" i="26"/>
  <c r="M8" i="26"/>
  <c r="J8" i="22"/>
  <c r="B8" i="22" s="1" a="1"/>
  <c r="B8" i="22" s="1"/>
  <c r="M8" i="22"/>
  <c r="Q8" i="22"/>
  <c r="DC8" i="22"/>
  <c r="DB8" i="22"/>
  <c r="J13" i="4"/>
  <c r="A13" i="4" s="1" a="1"/>
  <c r="A13" i="4" s="1"/>
  <c r="M13" i="4"/>
  <c r="Q13" i="4"/>
  <c r="DC13" i="4"/>
  <c r="DB13" i="4"/>
  <c r="M6" i="4"/>
  <c r="J6" i="4"/>
  <c r="Q6" i="4"/>
  <c r="DC6" i="4"/>
  <c r="DB6" i="4"/>
  <c r="T8" i="21" l="1"/>
  <c r="S8" i="21"/>
  <c r="F13" i="21"/>
  <c r="S13" i="21"/>
  <c r="T13" i="21"/>
  <c r="S18" i="21"/>
  <c r="T18" i="21"/>
  <c r="S21" i="21"/>
  <c r="T21" i="21"/>
  <c r="S12" i="21"/>
  <c r="T12" i="21"/>
  <c r="F21" i="21"/>
  <c r="T10" i="21"/>
  <c r="S10" i="21"/>
  <c r="F8" i="21"/>
  <c r="F18" i="21"/>
  <c r="T22" i="19"/>
  <c r="S22" i="19"/>
  <c r="S27" i="19"/>
  <c r="T27" i="19"/>
  <c r="F15" i="19"/>
  <c r="S15" i="19"/>
  <c r="T15" i="19"/>
  <c r="S20" i="19"/>
  <c r="T20" i="19"/>
  <c r="S14" i="27"/>
  <c r="T14" i="27"/>
  <c r="F14" i="27"/>
  <c r="T16" i="27"/>
  <c r="S16" i="27"/>
  <c r="S16" i="26"/>
  <c r="T16" i="26"/>
  <c r="F12" i="21"/>
  <c r="F22" i="19"/>
  <c r="F27" i="19"/>
  <c r="F16" i="27"/>
  <c r="F20" i="19"/>
  <c r="R26" i="21"/>
  <c r="R33" i="19"/>
  <c r="R18" i="27"/>
  <c r="R11" i="26"/>
  <c r="R8" i="26"/>
  <c r="R6" i="21"/>
  <c r="R16" i="19"/>
  <c r="R6" i="27"/>
  <c r="V8" i="22"/>
  <c r="X8" i="22" s="1"/>
  <c r="V6" i="4"/>
  <c r="W6" i="4" s="1"/>
  <c r="F10" i="21"/>
  <c r="R11" i="19"/>
  <c r="R10" i="19"/>
  <c r="R4" i="19"/>
  <c r="R19" i="26"/>
  <c r="A8" i="22" a="1"/>
  <c r="A8" i="22" s="1"/>
  <c r="V13" i="4"/>
  <c r="X13" i="4" s="1"/>
  <c r="B13" i="4" a="1"/>
  <c r="B13" i="4" s="1"/>
  <c r="W13" i="4" l="1"/>
  <c r="T26" i="21"/>
  <c r="S26" i="21"/>
  <c r="F6" i="21"/>
  <c r="S6" i="21"/>
  <c r="T6" i="21"/>
  <c r="F4" i="19"/>
  <c r="S4" i="19"/>
  <c r="T4" i="19"/>
  <c r="S33" i="19"/>
  <c r="T33" i="19"/>
  <c r="S10" i="19"/>
  <c r="T10" i="19"/>
  <c r="S11" i="19"/>
  <c r="T11" i="19"/>
  <c r="T16" i="19"/>
  <c r="S16" i="19"/>
  <c r="S6" i="27"/>
  <c r="T6" i="27"/>
  <c r="S18" i="27"/>
  <c r="T18" i="27"/>
  <c r="T8" i="26"/>
  <c r="S8" i="26"/>
  <c r="S11" i="26"/>
  <c r="T11" i="26"/>
  <c r="S19" i="26"/>
  <c r="T19" i="26"/>
  <c r="F13" i="4"/>
  <c r="F18" i="27"/>
  <c r="F33" i="19"/>
  <c r="F11" i="26"/>
  <c r="F6" i="4"/>
  <c r="F26" i="21"/>
  <c r="F8" i="22"/>
  <c r="F16" i="19"/>
  <c r="F11" i="19"/>
  <c r="F8" i="26"/>
  <c r="W8" i="22"/>
  <c r="F6" i="27"/>
  <c r="X6" i="4"/>
  <c r="F19" i="26"/>
  <c r="F10" i="19"/>
  <c r="CD9" i="27" l="1"/>
  <c r="CE9" i="27"/>
  <c r="CF9" i="27"/>
  <c r="CG9" i="27"/>
  <c r="PA9" i="27"/>
  <c r="PB9" i="27"/>
  <c r="PC9" i="27"/>
  <c r="PD9" i="27"/>
  <c r="PF9" i="27"/>
  <c r="PG9" i="27"/>
  <c r="PI9" i="27"/>
  <c r="PJ9" i="27"/>
  <c r="PK9" i="27"/>
  <c r="PL9" i="27"/>
  <c r="PM9" i="27"/>
  <c r="PN9" i="27"/>
  <c r="PO9" i="27"/>
  <c r="PP9" i="27"/>
  <c r="PQ9" i="27"/>
  <c r="PR9" i="27"/>
  <c r="PS9" i="27"/>
  <c r="PT9" i="27"/>
  <c r="PU9" i="27"/>
  <c r="PV9" i="27"/>
  <c r="PW9" i="27"/>
  <c r="PX9" i="27"/>
  <c r="CD16" i="21"/>
  <c r="CE16" i="21"/>
  <c r="CH16" i="21" s="1"/>
  <c r="CF16" i="21"/>
  <c r="CG16" i="21"/>
  <c r="PA16" i="21"/>
  <c r="PB16" i="21"/>
  <c r="PC16" i="21"/>
  <c r="PD16" i="21"/>
  <c r="PF16" i="21"/>
  <c r="PG16" i="21"/>
  <c r="CD29" i="21"/>
  <c r="CE29" i="21"/>
  <c r="CF29" i="21"/>
  <c r="CG29" i="21"/>
  <c r="PA29" i="21"/>
  <c r="PB29" i="21"/>
  <c r="PC29" i="21"/>
  <c r="PD29" i="21"/>
  <c r="PF29" i="21"/>
  <c r="PG29" i="21"/>
  <c r="CD30" i="21"/>
  <c r="CE30" i="21"/>
  <c r="CF30" i="21"/>
  <c r="CG30" i="21"/>
  <c r="PA30" i="21"/>
  <c r="PB30" i="21"/>
  <c r="PC30" i="21"/>
  <c r="PD30" i="21"/>
  <c r="PF30" i="21"/>
  <c r="PG30" i="21"/>
  <c r="CD28" i="21"/>
  <c r="CE28" i="21"/>
  <c r="CF28" i="21"/>
  <c r="CG28" i="21"/>
  <c r="PA28" i="21"/>
  <c r="PB28" i="21"/>
  <c r="PC28" i="21"/>
  <c r="PD28" i="21"/>
  <c r="PF28" i="21"/>
  <c r="PG28" i="21"/>
  <c r="CD15" i="21"/>
  <c r="CE15" i="21"/>
  <c r="CF15" i="21"/>
  <c r="CG15" i="21"/>
  <c r="PA15" i="21"/>
  <c r="PB15" i="21"/>
  <c r="PC15" i="21"/>
  <c r="PD15" i="21"/>
  <c r="PF15" i="21"/>
  <c r="PG15" i="21"/>
  <c r="CD30" i="19"/>
  <c r="CE30" i="19"/>
  <c r="CF30" i="19"/>
  <c r="CG30" i="19"/>
  <c r="PA30" i="19"/>
  <c r="PB30" i="19"/>
  <c r="PC30" i="19"/>
  <c r="PD30" i="19"/>
  <c r="PF30" i="19"/>
  <c r="PG30" i="19"/>
  <c r="PI30" i="19"/>
  <c r="PJ30" i="19"/>
  <c r="PK30" i="19"/>
  <c r="PL30" i="19"/>
  <c r="PM30" i="19"/>
  <c r="PN30" i="19"/>
  <c r="PO30" i="19"/>
  <c r="PP30" i="19"/>
  <c r="PQ30" i="19"/>
  <c r="PR30" i="19"/>
  <c r="PS30" i="19"/>
  <c r="PT30" i="19"/>
  <c r="PU30" i="19"/>
  <c r="PV30" i="19"/>
  <c r="PW30" i="19"/>
  <c r="PX30" i="19"/>
  <c r="CD23" i="19"/>
  <c r="CE23" i="19"/>
  <c r="CF23" i="19"/>
  <c r="CG23" i="19"/>
  <c r="PA23" i="19"/>
  <c r="PB23" i="19"/>
  <c r="PC23" i="19"/>
  <c r="PD23" i="19"/>
  <c r="PF23" i="19"/>
  <c r="PG23" i="19"/>
  <c r="PI23" i="19"/>
  <c r="PJ23" i="19"/>
  <c r="PK23" i="19"/>
  <c r="PL23" i="19"/>
  <c r="PM23" i="19"/>
  <c r="PN23" i="19"/>
  <c r="PO23" i="19"/>
  <c r="PP23" i="19"/>
  <c r="PQ23" i="19"/>
  <c r="PR23" i="19"/>
  <c r="PS23" i="19"/>
  <c r="PT23" i="19"/>
  <c r="PU23" i="19"/>
  <c r="PV23" i="19"/>
  <c r="PW23" i="19"/>
  <c r="PX23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H28" i="21" l="1"/>
  <c r="CH30" i="21"/>
  <c r="CH29" i="21"/>
  <c r="CH15" i="21"/>
  <c r="CH23" i="19"/>
  <c r="CH30" i="19"/>
  <c r="CH9" i="27"/>
  <c r="P9" i="27"/>
  <c r="Q9" i="27" s="1"/>
  <c r="P16" i="21"/>
  <c r="Q16" i="21" s="1"/>
  <c r="PE9" i="27"/>
  <c r="K9" i="27" s="1"/>
  <c r="QB9" i="27"/>
  <c r="PZ9" i="27"/>
  <c r="PH9" i="27"/>
  <c r="QC9" i="27"/>
  <c r="QA9" i="27"/>
  <c r="H9" i="27"/>
  <c r="N9" i="27"/>
  <c r="I9" i="27"/>
  <c r="L9" i="27"/>
  <c r="PE16" i="21"/>
  <c r="PH16" i="21"/>
  <c r="QB16" i="21"/>
  <c r="QA16" i="21"/>
  <c r="PZ16" i="21"/>
  <c r="QC16" i="21"/>
  <c r="I16" i="21"/>
  <c r="H16" i="21"/>
  <c r="N16" i="21"/>
  <c r="L16" i="21"/>
  <c r="PE29" i="21"/>
  <c r="PH29" i="21"/>
  <c r="QB28" i="21"/>
  <c r="N30" i="21"/>
  <c r="PZ29" i="21"/>
  <c r="QB23" i="19"/>
  <c r="PZ23" i="19"/>
  <c r="PE23" i="19"/>
  <c r="P30" i="19"/>
  <c r="Q30" i="19" s="1"/>
  <c r="PZ28" i="21"/>
  <c r="PE28" i="21"/>
  <c r="K28" i="21" s="1"/>
  <c r="PH30" i="21"/>
  <c r="PE15" i="21"/>
  <c r="QB29" i="21"/>
  <c r="QC29" i="21"/>
  <c r="P29" i="21"/>
  <c r="Q29" i="21" s="1"/>
  <c r="QA29" i="21"/>
  <c r="QD29" i="21" s="1"/>
  <c r="I29" i="21"/>
  <c r="N29" i="21"/>
  <c r="L29" i="21"/>
  <c r="H29" i="21"/>
  <c r="P30" i="21"/>
  <c r="Q30" i="21" s="1"/>
  <c r="PZ30" i="21"/>
  <c r="PE30" i="21"/>
  <c r="P28" i="21"/>
  <c r="Q28" i="21" s="1"/>
  <c r="QB30" i="21"/>
  <c r="QA30" i="21"/>
  <c r="QD30" i="21" s="1"/>
  <c r="QC30" i="21"/>
  <c r="H30" i="21"/>
  <c r="I30" i="21"/>
  <c r="L30" i="21"/>
  <c r="N28" i="21"/>
  <c r="QA28" i="21"/>
  <c r="QC28" i="21"/>
  <c r="H28" i="21"/>
  <c r="L28" i="21"/>
  <c r="M28" i="21" s="1"/>
  <c r="PH28" i="21"/>
  <c r="K8" i="21" s="1"/>
  <c r="I28" i="21"/>
  <c r="P15" i="21"/>
  <c r="Q15" i="21" s="1"/>
  <c r="PH15" i="21"/>
  <c r="QA15" i="21"/>
  <c r="QD15" i="21" s="1"/>
  <c r="PZ15" i="21"/>
  <c r="QB15" i="21"/>
  <c r="QC15" i="21"/>
  <c r="H15" i="21"/>
  <c r="I15" i="21"/>
  <c r="N15" i="21"/>
  <c r="L15" i="21"/>
  <c r="PZ30" i="19"/>
  <c r="PE30" i="19"/>
  <c r="QB30" i="19"/>
  <c r="N30" i="19"/>
  <c r="QA30" i="19"/>
  <c r="L30" i="19"/>
  <c r="M30" i="19" s="1"/>
  <c r="H30" i="19"/>
  <c r="PH30" i="19"/>
  <c r="I30" i="19"/>
  <c r="QC30" i="19"/>
  <c r="P23" i="19"/>
  <c r="Q23" i="19" s="1"/>
  <c r="PH23" i="19"/>
  <c r="H23" i="19"/>
  <c r="QA23" i="19"/>
  <c r="QC23" i="19"/>
  <c r="N23" i="19"/>
  <c r="I23" i="19"/>
  <c r="L23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D14" i="21"/>
  <c r="CE14" i="21"/>
  <c r="CF14" i="21"/>
  <c r="CG14" i="21"/>
  <c r="PA14" i="21"/>
  <c r="PB14" i="21"/>
  <c r="PC14" i="21"/>
  <c r="PD14" i="21"/>
  <c r="PF14" i="21"/>
  <c r="PG14" i="21"/>
  <c r="CD22" i="21"/>
  <c r="CE22" i="21"/>
  <c r="CF22" i="21"/>
  <c r="CG22" i="21"/>
  <c r="PA22" i="21"/>
  <c r="PB22" i="21"/>
  <c r="PC22" i="21"/>
  <c r="PD22" i="21"/>
  <c r="PF22" i="21"/>
  <c r="PG22" i="21"/>
  <c r="CD20" i="21"/>
  <c r="CE20" i="21"/>
  <c r="CF20" i="21"/>
  <c r="CG20" i="21"/>
  <c r="PA20" i="21"/>
  <c r="PB20" i="21"/>
  <c r="PC20" i="21"/>
  <c r="PD20" i="21"/>
  <c r="PF20" i="21"/>
  <c r="PG20" i="21"/>
  <c r="CD17" i="21"/>
  <c r="CE17" i="21"/>
  <c r="CF17" i="21"/>
  <c r="CG17" i="21"/>
  <c r="PA17" i="21"/>
  <c r="PB17" i="21"/>
  <c r="PC17" i="21"/>
  <c r="PD17" i="21"/>
  <c r="PF17" i="21"/>
  <c r="PG17" i="21"/>
  <c r="CD32" i="21"/>
  <c r="CE32" i="21"/>
  <c r="CF32" i="21"/>
  <c r="CG32" i="21"/>
  <c r="PA32" i="21"/>
  <c r="PB32" i="21"/>
  <c r="PC32" i="21"/>
  <c r="PD32" i="21"/>
  <c r="PF32" i="21"/>
  <c r="PG32" i="21"/>
  <c r="CD17" i="19"/>
  <c r="CE17" i="19"/>
  <c r="CF17" i="19"/>
  <c r="CG17" i="19"/>
  <c r="PA17" i="19"/>
  <c r="PB17" i="19"/>
  <c r="PC17" i="19"/>
  <c r="PD17" i="19"/>
  <c r="PF17" i="19"/>
  <c r="PG17" i="19"/>
  <c r="PI17" i="19"/>
  <c r="PJ17" i="19"/>
  <c r="PK17" i="19"/>
  <c r="PL17" i="19"/>
  <c r="PM17" i="19"/>
  <c r="PN17" i="19"/>
  <c r="PO17" i="19"/>
  <c r="PP17" i="19"/>
  <c r="PQ17" i="19"/>
  <c r="PR17" i="19"/>
  <c r="PS17" i="19"/>
  <c r="PT17" i="19"/>
  <c r="PU17" i="19"/>
  <c r="PV17" i="19"/>
  <c r="PW17" i="19"/>
  <c r="PX17" i="19"/>
  <c r="CD15" i="27"/>
  <c r="CE15" i="27"/>
  <c r="CF15" i="27"/>
  <c r="CG15" i="27"/>
  <c r="PA15" i="27"/>
  <c r="PB15" i="27"/>
  <c r="PC15" i="27"/>
  <c r="PD15" i="27"/>
  <c r="PF15" i="27"/>
  <c r="PG15" i="27"/>
  <c r="PI15" i="27"/>
  <c r="PJ15" i="27"/>
  <c r="PK15" i="27"/>
  <c r="PL15" i="27"/>
  <c r="PM15" i="27"/>
  <c r="PN15" i="27"/>
  <c r="PO15" i="27"/>
  <c r="PP15" i="27"/>
  <c r="PQ15" i="27"/>
  <c r="PR15" i="27"/>
  <c r="PS15" i="27"/>
  <c r="PT15" i="27"/>
  <c r="PU15" i="27"/>
  <c r="PV15" i="27"/>
  <c r="PW15" i="27"/>
  <c r="PX15" i="27"/>
  <c r="CD7" i="27"/>
  <c r="CE7" i="27"/>
  <c r="CF7" i="27"/>
  <c r="CG7" i="27"/>
  <c r="PA7" i="27"/>
  <c r="PB7" i="27"/>
  <c r="PC7" i="27"/>
  <c r="PD7" i="27"/>
  <c r="PF7" i="27"/>
  <c r="PG7" i="27"/>
  <c r="PI7" i="27"/>
  <c r="PJ7" i="27"/>
  <c r="PK7" i="27"/>
  <c r="PL7" i="27"/>
  <c r="PM7" i="27"/>
  <c r="PN7" i="27"/>
  <c r="PO7" i="27"/>
  <c r="PP7" i="27"/>
  <c r="PQ7" i="27"/>
  <c r="PR7" i="27"/>
  <c r="PS7" i="27"/>
  <c r="PT7" i="27"/>
  <c r="PU7" i="27"/>
  <c r="PV7" i="27"/>
  <c r="PW7" i="27"/>
  <c r="PX7" i="27"/>
  <c r="CD11" i="27"/>
  <c r="CE11" i="27"/>
  <c r="CF11" i="27"/>
  <c r="CG11" i="27"/>
  <c r="PA11" i="27"/>
  <c r="PB11" i="27"/>
  <c r="PC11" i="27"/>
  <c r="PD11" i="27"/>
  <c r="PF11" i="27"/>
  <c r="PG11" i="27"/>
  <c r="PI11" i="27"/>
  <c r="PJ11" i="27"/>
  <c r="PK11" i="27"/>
  <c r="PL11" i="27"/>
  <c r="PM11" i="27"/>
  <c r="PN11" i="27"/>
  <c r="PO11" i="27"/>
  <c r="PP11" i="27"/>
  <c r="PQ11" i="27"/>
  <c r="PR11" i="27"/>
  <c r="PS11" i="27"/>
  <c r="PT11" i="27"/>
  <c r="PU11" i="27"/>
  <c r="PV11" i="27"/>
  <c r="PW11" i="27"/>
  <c r="PX11" i="27"/>
  <c r="CD13" i="26"/>
  <c r="CE13" i="26"/>
  <c r="CF13" i="26"/>
  <c r="CG13" i="26"/>
  <c r="PA13" i="26"/>
  <c r="PB13" i="26"/>
  <c r="PC13" i="26"/>
  <c r="PD13" i="26"/>
  <c r="PF13" i="26"/>
  <c r="PG13" i="26"/>
  <c r="PI13" i="26"/>
  <c r="PJ13" i="26"/>
  <c r="PK13" i="26"/>
  <c r="PL13" i="26"/>
  <c r="PM13" i="26"/>
  <c r="PN13" i="26"/>
  <c r="PO13" i="26"/>
  <c r="PP13" i="26"/>
  <c r="PQ13" i="26"/>
  <c r="PR13" i="26"/>
  <c r="PS13" i="26"/>
  <c r="PT13" i="26"/>
  <c r="PU13" i="26"/>
  <c r="PV13" i="26"/>
  <c r="PW13" i="26"/>
  <c r="PX13" i="26"/>
  <c r="CD17" i="26"/>
  <c r="CE17" i="26"/>
  <c r="CF17" i="26"/>
  <c r="CG17" i="26"/>
  <c r="PA17" i="26"/>
  <c r="PB17" i="26"/>
  <c r="PC17" i="26"/>
  <c r="PD17" i="26"/>
  <c r="PF17" i="26"/>
  <c r="PG17" i="26"/>
  <c r="PI17" i="26"/>
  <c r="PJ17" i="26"/>
  <c r="PK17" i="26"/>
  <c r="PL17" i="26"/>
  <c r="PM17" i="26"/>
  <c r="PN17" i="26"/>
  <c r="PO17" i="26"/>
  <c r="PP17" i="26"/>
  <c r="PQ17" i="26"/>
  <c r="PR17" i="26"/>
  <c r="PS17" i="26"/>
  <c r="PT17" i="26"/>
  <c r="PU17" i="26"/>
  <c r="PV17" i="26"/>
  <c r="PW17" i="26"/>
  <c r="PX17" i="26"/>
  <c r="CD15" i="26"/>
  <c r="CE15" i="26"/>
  <c r="CF15" i="26"/>
  <c r="CG15" i="26"/>
  <c r="PA15" i="26"/>
  <c r="PB15" i="26"/>
  <c r="PC15" i="26"/>
  <c r="PD15" i="26"/>
  <c r="PF15" i="26"/>
  <c r="PG15" i="26"/>
  <c r="PI15" i="26"/>
  <c r="PJ15" i="26"/>
  <c r="PK15" i="26"/>
  <c r="PL15" i="26"/>
  <c r="PM15" i="26"/>
  <c r="PN15" i="26"/>
  <c r="PO15" i="26"/>
  <c r="PP15" i="26"/>
  <c r="PQ15" i="26"/>
  <c r="PR15" i="26"/>
  <c r="PS15" i="26"/>
  <c r="PT15" i="26"/>
  <c r="PU15" i="26"/>
  <c r="PV15" i="26"/>
  <c r="PW15" i="26"/>
  <c r="PX15" i="26"/>
  <c r="CD14" i="26"/>
  <c r="CE14" i="26"/>
  <c r="CF14" i="26"/>
  <c r="CG14" i="26"/>
  <c r="PA14" i="26"/>
  <c r="PB14" i="26"/>
  <c r="PC14" i="26"/>
  <c r="PD14" i="26"/>
  <c r="PF14" i="26"/>
  <c r="PG14" i="26"/>
  <c r="PI14" i="26"/>
  <c r="PJ14" i="26"/>
  <c r="PK14" i="26"/>
  <c r="PL14" i="26"/>
  <c r="PM14" i="26"/>
  <c r="PN14" i="26"/>
  <c r="PO14" i="26"/>
  <c r="PP14" i="26"/>
  <c r="PQ14" i="26"/>
  <c r="PR14" i="26"/>
  <c r="PS14" i="26"/>
  <c r="PT14" i="26"/>
  <c r="PU14" i="26"/>
  <c r="PV14" i="26"/>
  <c r="PW14" i="26"/>
  <c r="PX14" i="26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QD23" i="19" l="1"/>
  <c r="QD9" i="27"/>
  <c r="QD16" i="21"/>
  <c r="QD28" i="21"/>
  <c r="CH17" i="21"/>
  <c r="CH20" i="21"/>
  <c r="K16" i="21"/>
  <c r="K29" i="21"/>
  <c r="J29" i="21" s="1"/>
  <c r="A29" i="21" s="1" a="1"/>
  <c r="A29" i="21" s="1"/>
  <c r="K30" i="21"/>
  <c r="J28" i="21"/>
  <c r="A28" i="21" s="1" a="1"/>
  <c r="A28" i="21" s="1"/>
  <c r="K13" i="21"/>
  <c r="J13" i="21" s="1"/>
  <c r="K12" i="21"/>
  <c r="J12" i="21" s="1"/>
  <c r="K21" i="21"/>
  <c r="J21" i="21" s="1"/>
  <c r="K19" i="21"/>
  <c r="J19" i="21" s="1"/>
  <c r="K15" i="21"/>
  <c r="J15" i="21" s="1"/>
  <c r="A15" i="21" s="1" a="1"/>
  <c r="A15" i="21" s="1"/>
  <c r="K18" i="21"/>
  <c r="J18" i="21" s="1"/>
  <c r="K33" i="21"/>
  <c r="J33" i="21" s="1"/>
  <c r="CH22" i="21"/>
  <c r="K31" i="21"/>
  <c r="J31" i="21" s="1"/>
  <c r="K24" i="21"/>
  <c r="J24" i="21" s="1"/>
  <c r="CH32" i="21"/>
  <c r="J16" i="21"/>
  <c r="K25" i="21"/>
  <c r="J25" i="21" s="1"/>
  <c r="K23" i="21"/>
  <c r="J23" i="21" s="1"/>
  <c r="CH14" i="21"/>
  <c r="K26" i="21"/>
  <c r="J26" i="21" s="1"/>
  <c r="J30" i="21"/>
  <c r="K6" i="21"/>
  <c r="J6" i="21" s="1"/>
  <c r="K10" i="21"/>
  <c r="J10" i="21" s="1"/>
  <c r="J8" i="21"/>
  <c r="QD30" i="19"/>
  <c r="CH17" i="19"/>
  <c r="CH15" i="27"/>
  <c r="J9" i="27"/>
  <c r="CH7" i="27"/>
  <c r="CH11" i="27"/>
  <c r="CH17" i="26"/>
  <c r="CH13" i="26"/>
  <c r="CH14" i="26"/>
  <c r="CH15" i="26"/>
  <c r="O23" i="19"/>
  <c r="O9" i="27"/>
  <c r="O28" i="21"/>
  <c r="O29" i="21"/>
  <c r="O30" i="19"/>
  <c r="CJ9" i="27"/>
  <c r="CJ16" i="21"/>
  <c r="CI9" i="27"/>
  <c r="M9" i="27"/>
  <c r="CI28" i="21"/>
  <c r="O15" i="21"/>
  <c r="O30" i="21"/>
  <c r="M16" i="21"/>
  <c r="O16" i="21"/>
  <c r="CI16" i="21"/>
  <c r="CI30" i="21"/>
  <c r="CJ30" i="19"/>
  <c r="CJ30" i="21"/>
  <c r="CJ29" i="21"/>
  <c r="CJ28" i="21"/>
  <c r="M29" i="21"/>
  <c r="CI29" i="21"/>
  <c r="M30" i="21"/>
  <c r="CJ15" i="21"/>
  <c r="M15" i="21"/>
  <c r="CI15" i="21"/>
  <c r="CI30" i="19"/>
  <c r="CJ23" i="19"/>
  <c r="CI23" i="19"/>
  <c r="M23" i="19"/>
  <c r="TR8" i="4"/>
  <c r="TV8" i="4" s="1"/>
  <c r="DC8" i="4"/>
  <c r="DB8" i="4"/>
  <c r="O8" i="4"/>
  <c r="J8" i="4"/>
  <c r="PE14" i="21"/>
  <c r="K14" i="21" s="1"/>
  <c r="PE22" i="21"/>
  <c r="K22" i="21" s="1"/>
  <c r="PH17" i="19"/>
  <c r="QB17" i="19"/>
  <c r="PZ17" i="19"/>
  <c r="PE7" i="27"/>
  <c r="K7" i="27" s="1"/>
  <c r="PH11" i="27"/>
  <c r="SN25" i="4"/>
  <c r="SU25" i="4" s="1"/>
  <c r="PE32" i="21"/>
  <c r="K32" i="21" s="1"/>
  <c r="QB14" i="21"/>
  <c r="P17" i="19"/>
  <c r="Q17" i="19" s="1"/>
  <c r="P15" i="27"/>
  <c r="Q15" i="27" s="1"/>
  <c r="PH15" i="27"/>
  <c r="PH7" i="27"/>
  <c r="PE13" i="26"/>
  <c r="K13" i="26" s="1"/>
  <c r="QB15" i="26"/>
  <c r="QB14" i="26"/>
  <c r="SN23" i="4"/>
  <c r="SU23" i="4" s="1"/>
  <c r="SN15" i="4"/>
  <c r="SU15" i="4" s="1"/>
  <c r="PE20" i="21"/>
  <c r="K20" i="21" s="1"/>
  <c r="P20" i="21"/>
  <c r="CJ20" i="21" s="1"/>
  <c r="PH22" i="21"/>
  <c r="QB22" i="21"/>
  <c r="PZ22" i="21"/>
  <c r="QB15" i="27"/>
  <c r="PZ15" i="27"/>
  <c r="PE15" i="27"/>
  <c r="K15" i="27" s="1"/>
  <c r="N7" i="27"/>
  <c r="QA11" i="27"/>
  <c r="QB11" i="27"/>
  <c r="QA7" i="27"/>
  <c r="I11" i="27"/>
  <c r="PE11" i="27"/>
  <c r="K11" i="27" s="1"/>
  <c r="P17" i="26"/>
  <c r="CJ17" i="26" s="1"/>
  <c r="PH13" i="26"/>
  <c r="QB17" i="26"/>
  <c r="TQ12" i="4"/>
  <c r="TQ25" i="4"/>
  <c r="CW12" i="4"/>
  <c r="DA12" i="4" s="1"/>
  <c r="TQ15" i="4"/>
  <c r="TU25" i="4"/>
  <c r="I25" i="4"/>
  <c r="SN12" i="4"/>
  <c r="SU12" i="4" s="1"/>
  <c r="N15" i="4"/>
  <c r="O15" i="4" s="1"/>
  <c r="P14" i="21"/>
  <c r="Q14" i="21" s="1"/>
  <c r="P17" i="21"/>
  <c r="Q17" i="21" s="1"/>
  <c r="QB17" i="21"/>
  <c r="PZ17" i="21"/>
  <c r="P22" i="21"/>
  <c r="Q22" i="21" s="1"/>
  <c r="QA14" i="21"/>
  <c r="PZ14" i="21"/>
  <c r="QC14" i="21"/>
  <c r="PZ32" i="21"/>
  <c r="H14" i="21"/>
  <c r="PH14" i="21"/>
  <c r="I14" i="21"/>
  <c r="N14" i="21"/>
  <c r="L14" i="21"/>
  <c r="I32" i="21"/>
  <c r="QA22" i="21"/>
  <c r="QC32" i="21"/>
  <c r="QB32" i="21"/>
  <c r="QA20" i="21"/>
  <c r="PH20" i="21"/>
  <c r="QC22" i="21"/>
  <c r="QC17" i="21"/>
  <c r="H20" i="21"/>
  <c r="PH32" i="21"/>
  <c r="P32" i="21"/>
  <c r="CJ32" i="21" s="1"/>
  <c r="PE17" i="21"/>
  <c r="K17" i="21" s="1"/>
  <c r="L17" i="21"/>
  <c r="M17" i="21" s="1"/>
  <c r="QB20" i="21"/>
  <c r="PZ20" i="21"/>
  <c r="I20" i="21"/>
  <c r="H22" i="21"/>
  <c r="QA32" i="21"/>
  <c r="QD32" i="21" s="1"/>
  <c r="H17" i="21"/>
  <c r="QC20" i="21"/>
  <c r="I22" i="21"/>
  <c r="N32" i="21"/>
  <c r="PH17" i="21"/>
  <c r="I17" i="21"/>
  <c r="N20" i="21"/>
  <c r="L32" i="21"/>
  <c r="QA17" i="21"/>
  <c r="N22" i="21"/>
  <c r="N17" i="21"/>
  <c r="L20" i="21"/>
  <c r="H32" i="21"/>
  <c r="L22" i="21"/>
  <c r="QC17" i="19"/>
  <c r="PE17" i="19"/>
  <c r="QA17" i="19"/>
  <c r="I17" i="19"/>
  <c r="H17" i="19"/>
  <c r="N17" i="19"/>
  <c r="L17" i="19"/>
  <c r="H7" i="27"/>
  <c r="QC15" i="27"/>
  <c r="I7" i="27"/>
  <c r="PZ11" i="27"/>
  <c r="QB7" i="27"/>
  <c r="QA15" i="27"/>
  <c r="QD15" i="27" s="1"/>
  <c r="QC7" i="27"/>
  <c r="P11" i="27"/>
  <c r="CJ11" i="27" s="1"/>
  <c r="I15" i="27"/>
  <c r="H11" i="27"/>
  <c r="PZ7" i="27"/>
  <c r="H15" i="27"/>
  <c r="N11" i="27"/>
  <c r="L7" i="27"/>
  <c r="N15" i="27"/>
  <c r="QC11" i="27"/>
  <c r="L11" i="27"/>
  <c r="P7" i="27"/>
  <c r="L15" i="27"/>
  <c r="PZ14" i="26"/>
  <c r="N17" i="26"/>
  <c r="QC14" i="26"/>
  <c r="P14" i="26"/>
  <c r="CJ14" i="26" s="1"/>
  <c r="P15" i="26"/>
  <c r="Q15" i="26" s="1"/>
  <c r="PZ13" i="26"/>
  <c r="QA15" i="26"/>
  <c r="N15" i="26"/>
  <c r="QC17" i="26"/>
  <c r="PE14" i="26"/>
  <c r="K14" i="26" s="1"/>
  <c r="QC15" i="26"/>
  <c r="H17" i="26"/>
  <c r="P13" i="26"/>
  <c r="Q13" i="26" s="1"/>
  <c r="QA14" i="26"/>
  <c r="PE15" i="26"/>
  <c r="K15" i="26" s="1"/>
  <c r="I17" i="26"/>
  <c r="L17" i="26"/>
  <c r="M17" i="26" s="1"/>
  <c r="QB13" i="26"/>
  <c r="PZ15" i="26"/>
  <c r="QC13" i="26"/>
  <c r="QA13" i="26"/>
  <c r="QD13" i="26" s="1"/>
  <c r="PH17" i="26"/>
  <c r="H13" i="26"/>
  <c r="QA17" i="26"/>
  <c r="QD17" i="26" s="1"/>
  <c r="N13" i="26"/>
  <c r="PH14" i="26"/>
  <c r="I14" i="26"/>
  <c r="L15" i="26"/>
  <c r="H14" i="26"/>
  <c r="PZ17" i="26"/>
  <c r="PE17" i="26"/>
  <c r="K17" i="26" s="1"/>
  <c r="I13" i="26"/>
  <c r="N14" i="26"/>
  <c r="PH15" i="26"/>
  <c r="I15" i="26"/>
  <c r="H15" i="26"/>
  <c r="L14" i="26"/>
  <c r="L13" i="26"/>
  <c r="TU18" i="4"/>
  <c r="R25" i="4"/>
  <c r="S25" i="4" s="1"/>
  <c r="L12" i="4"/>
  <c r="M12" i="4" s="1"/>
  <c r="TU15" i="4"/>
  <c r="R12" i="4"/>
  <c r="S12" i="4" s="1"/>
  <c r="CW18" i="4"/>
  <c r="DA18" i="4" s="1"/>
  <c r="T15" i="4"/>
  <c r="U15" i="4" s="1"/>
  <c r="TU23" i="4"/>
  <c r="R23" i="4"/>
  <c r="S23" i="4" s="1"/>
  <c r="TN18" i="4"/>
  <c r="CW15" i="4"/>
  <c r="DA15" i="4" s="1"/>
  <c r="I12" i="4"/>
  <c r="P12" i="4"/>
  <c r="Q12" i="4" s="1"/>
  <c r="I18" i="4"/>
  <c r="TQ18" i="4"/>
  <c r="TU12" i="4"/>
  <c r="I23" i="4"/>
  <c r="TQ23" i="4"/>
  <c r="L15" i="4"/>
  <c r="M15" i="4" s="1"/>
  <c r="TN12" i="4"/>
  <c r="CW25" i="4"/>
  <c r="DA25" i="4" s="1"/>
  <c r="TN23" i="4"/>
  <c r="CW23" i="4"/>
  <c r="DA23" i="4" s="1"/>
  <c r="H23" i="4"/>
  <c r="N12" i="4"/>
  <c r="O12" i="4" s="1"/>
  <c r="T18" i="4"/>
  <c r="U18" i="4" s="1"/>
  <c r="T25" i="4"/>
  <c r="U25" i="4" s="1"/>
  <c r="H15" i="4"/>
  <c r="K25" i="4"/>
  <c r="SN18" i="4"/>
  <c r="SU18" i="4" s="1"/>
  <c r="H18" i="4"/>
  <c r="H25" i="4"/>
  <c r="K18" i="4"/>
  <c r="L23" i="4"/>
  <c r="R18" i="4"/>
  <c r="S18" i="4" s="1"/>
  <c r="TN15" i="4"/>
  <c r="P23" i="4"/>
  <c r="Q23" i="4" s="1"/>
  <c r="TN25" i="4"/>
  <c r="K12" i="4"/>
  <c r="T12" i="4"/>
  <c r="U12" i="4" s="1"/>
  <c r="P15" i="4"/>
  <c r="Q15" i="4" s="1"/>
  <c r="L18" i="4"/>
  <c r="N18" i="4"/>
  <c r="P18" i="4"/>
  <c r="Q18" i="4" s="1"/>
  <c r="N25" i="4"/>
  <c r="P25" i="4"/>
  <c r="Q25" i="4" s="1"/>
  <c r="H12" i="4"/>
  <c r="K23" i="4"/>
  <c r="T23" i="4"/>
  <c r="U23" i="4" s="1"/>
  <c r="N23" i="4"/>
  <c r="L25" i="4"/>
  <c r="R15" i="4"/>
  <c r="S15" i="4" s="1"/>
  <c r="K15" i="4"/>
  <c r="I15" i="4"/>
  <c r="CD5" i="21"/>
  <c r="CE5" i="21"/>
  <c r="CF5" i="21"/>
  <c r="CG5" i="21"/>
  <c r="PA5" i="21"/>
  <c r="PB5" i="21"/>
  <c r="PC5" i="21"/>
  <c r="PD5" i="21"/>
  <c r="PF5" i="21"/>
  <c r="PG5" i="21"/>
  <c r="CD29" i="19"/>
  <c r="CE29" i="19"/>
  <c r="CF29" i="19"/>
  <c r="CG29" i="19"/>
  <c r="PA29" i="19"/>
  <c r="PB29" i="19"/>
  <c r="PC29" i="19"/>
  <c r="PD29" i="19"/>
  <c r="PF29" i="19"/>
  <c r="PG29" i="19"/>
  <c r="PI29" i="19"/>
  <c r="PJ29" i="19"/>
  <c r="PK29" i="19"/>
  <c r="PL29" i="19"/>
  <c r="PM29" i="19"/>
  <c r="PN29" i="19"/>
  <c r="PO29" i="19"/>
  <c r="PP29" i="19"/>
  <c r="PQ29" i="19"/>
  <c r="PR29" i="19"/>
  <c r="PS29" i="19"/>
  <c r="PT29" i="19"/>
  <c r="PU29" i="19"/>
  <c r="PV29" i="19"/>
  <c r="PW29" i="19"/>
  <c r="PX29" i="19"/>
  <c r="CD28" i="19"/>
  <c r="CE28" i="19"/>
  <c r="CF28" i="19"/>
  <c r="CG28" i="19"/>
  <c r="PA28" i="19"/>
  <c r="PB28" i="19"/>
  <c r="PC28" i="19"/>
  <c r="PD28" i="19"/>
  <c r="PF28" i="19"/>
  <c r="PG28" i="19"/>
  <c r="PI28" i="19"/>
  <c r="PJ28" i="19"/>
  <c r="PK28" i="19"/>
  <c r="PL28" i="19"/>
  <c r="PM28" i="19"/>
  <c r="PN28" i="19"/>
  <c r="PO28" i="19"/>
  <c r="PP28" i="19"/>
  <c r="PQ28" i="19"/>
  <c r="PR28" i="19"/>
  <c r="PS28" i="19"/>
  <c r="PT28" i="19"/>
  <c r="PU28" i="19"/>
  <c r="PV28" i="19"/>
  <c r="PW28" i="19"/>
  <c r="PX28" i="19"/>
  <c r="CD35" i="19"/>
  <c r="CE35" i="19"/>
  <c r="CF35" i="19"/>
  <c r="CG35" i="19"/>
  <c r="PA35" i="19"/>
  <c r="PB35" i="19"/>
  <c r="PC35" i="19"/>
  <c r="PD35" i="19"/>
  <c r="PF35" i="19"/>
  <c r="PG35" i="19"/>
  <c r="PI35" i="19"/>
  <c r="PJ35" i="19"/>
  <c r="PK35" i="19"/>
  <c r="PL35" i="19"/>
  <c r="PM35" i="19"/>
  <c r="PN35" i="19"/>
  <c r="PO35" i="19"/>
  <c r="PP35" i="19"/>
  <c r="PQ35" i="19"/>
  <c r="PR35" i="19"/>
  <c r="PS35" i="19"/>
  <c r="PT35" i="19"/>
  <c r="PU35" i="19"/>
  <c r="PV35" i="19"/>
  <c r="PW35" i="19"/>
  <c r="PX35" i="19"/>
  <c r="CD5" i="19"/>
  <c r="CE5" i="19"/>
  <c r="CF5" i="19"/>
  <c r="CG5" i="19"/>
  <c r="PA5" i="19"/>
  <c r="PB5" i="19"/>
  <c r="PC5" i="19"/>
  <c r="PD5" i="19"/>
  <c r="PF5" i="19"/>
  <c r="PG5" i="19"/>
  <c r="PI5" i="19"/>
  <c r="PJ5" i="19"/>
  <c r="PK5" i="19"/>
  <c r="PL5" i="19"/>
  <c r="PM5" i="19"/>
  <c r="PN5" i="19"/>
  <c r="PO5" i="19"/>
  <c r="PP5" i="19"/>
  <c r="PQ5" i="19"/>
  <c r="PR5" i="19"/>
  <c r="PS5" i="19"/>
  <c r="PT5" i="19"/>
  <c r="PU5" i="19"/>
  <c r="PV5" i="19"/>
  <c r="PW5" i="19"/>
  <c r="PX5" i="19"/>
  <c r="CD14" i="19"/>
  <c r="CE14" i="19"/>
  <c r="CF14" i="19"/>
  <c r="CG14" i="19"/>
  <c r="PA14" i="19"/>
  <c r="PB14" i="19"/>
  <c r="PC14" i="19"/>
  <c r="PD14" i="19"/>
  <c r="PF14" i="19"/>
  <c r="PG14" i="19"/>
  <c r="PI14" i="19"/>
  <c r="PJ14" i="19"/>
  <c r="PK14" i="19"/>
  <c r="PL14" i="19"/>
  <c r="PM14" i="19"/>
  <c r="PN14" i="19"/>
  <c r="PO14" i="19"/>
  <c r="PP14" i="19"/>
  <c r="PQ14" i="19"/>
  <c r="PR14" i="19"/>
  <c r="PS14" i="19"/>
  <c r="PT14" i="19"/>
  <c r="PU14" i="19"/>
  <c r="PV14" i="19"/>
  <c r="PW14" i="19"/>
  <c r="PX14" i="19"/>
  <c r="CD10" i="27"/>
  <c r="CE10" i="27"/>
  <c r="CF10" i="27"/>
  <c r="CG10" i="27"/>
  <c r="PA10" i="27"/>
  <c r="PB10" i="27"/>
  <c r="PC10" i="27"/>
  <c r="PD10" i="27"/>
  <c r="PF10" i="27"/>
  <c r="PG10" i="27"/>
  <c r="PI10" i="27"/>
  <c r="PJ10" i="27"/>
  <c r="PK10" i="27"/>
  <c r="PL10" i="27"/>
  <c r="PM10" i="27"/>
  <c r="PN10" i="27"/>
  <c r="PO10" i="27"/>
  <c r="PP10" i="27"/>
  <c r="PQ10" i="27"/>
  <c r="PR10" i="27"/>
  <c r="PS10" i="27"/>
  <c r="PT10" i="27"/>
  <c r="PU10" i="27"/>
  <c r="PV10" i="27"/>
  <c r="PW10" i="27"/>
  <c r="PX10" i="27"/>
  <c r="CD12" i="26"/>
  <c r="CE12" i="26"/>
  <c r="CF12" i="26"/>
  <c r="CG12" i="26"/>
  <c r="PA12" i="26"/>
  <c r="PB12" i="26"/>
  <c r="PC12" i="26"/>
  <c r="PD12" i="26"/>
  <c r="PF12" i="26"/>
  <c r="PG12" i="26"/>
  <c r="PI12" i="26"/>
  <c r="PJ12" i="26"/>
  <c r="PK12" i="26"/>
  <c r="PL12" i="26"/>
  <c r="PM12" i="26"/>
  <c r="PN12" i="26"/>
  <c r="PO12" i="26"/>
  <c r="PP12" i="26"/>
  <c r="PQ12" i="26"/>
  <c r="PR12" i="26"/>
  <c r="PS12" i="26"/>
  <c r="PT12" i="26"/>
  <c r="PU12" i="26"/>
  <c r="PV12" i="26"/>
  <c r="PW12" i="26"/>
  <c r="PX12" i="26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QD17" i="21" l="1"/>
  <c r="QD14" i="21"/>
  <c r="QD17" i="19"/>
  <c r="QD7" i="27"/>
  <c r="QD14" i="26"/>
  <c r="QD15" i="26"/>
  <c r="QD22" i="21"/>
  <c r="QD20" i="21"/>
  <c r="J20" i="21"/>
  <c r="B20" i="21" s="1" a="1"/>
  <c r="B20" i="21" s="1"/>
  <c r="J22" i="21"/>
  <c r="B22" i="21" s="1" a="1"/>
  <c r="B22" i="21" s="1"/>
  <c r="J14" i="21"/>
  <c r="A14" i="21" s="1" a="1"/>
  <c r="A14" i="21" s="1"/>
  <c r="J17" i="21"/>
  <c r="A17" i="21" s="1" a="1"/>
  <c r="A17" i="21" s="1"/>
  <c r="B31" i="21" a="1"/>
  <c r="B31" i="21" s="1"/>
  <c r="A31" i="21" a="1"/>
  <c r="A31" i="21" s="1"/>
  <c r="A21" i="21" a="1"/>
  <c r="A21" i="21" s="1"/>
  <c r="B21" i="21" a="1"/>
  <c r="B21" i="21" s="1"/>
  <c r="A24" i="21" a="1"/>
  <c r="A24" i="21" s="1"/>
  <c r="B24" i="21" a="1"/>
  <c r="B24" i="21" s="1"/>
  <c r="CH5" i="21"/>
  <c r="B26" i="21" a="1"/>
  <c r="B26" i="21" s="1"/>
  <c r="A26" i="21" a="1"/>
  <c r="A26" i="21" s="1"/>
  <c r="J32" i="21"/>
  <c r="A19" i="21" a="1"/>
  <c r="A19" i="21" s="1"/>
  <c r="B19" i="21" a="1"/>
  <c r="B19" i="21" s="1"/>
  <c r="B18" i="21" a="1"/>
  <c r="B18" i="21" s="1"/>
  <c r="A18" i="21" a="1"/>
  <c r="A18" i="21" s="1"/>
  <c r="B23" i="21" a="1"/>
  <c r="B23" i="21" s="1"/>
  <c r="A23" i="21" a="1"/>
  <c r="A23" i="21" s="1"/>
  <c r="A12" i="21" a="1"/>
  <c r="A12" i="21" s="1"/>
  <c r="B12" i="21" a="1"/>
  <c r="B12" i="21" s="1"/>
  <c r="A33" i="21" a="1"/>
  <c r="A33" i="21" s="1"/>
  <c r="B33" i="21" a="1"/>
  <c r="B33" i="21" s="1"/>
  <c r="A25" i="21" a="1"/>
  <c r="A25" i="21" s="1"/>
  <c r="B25" i="21" a="1"/>
  <c r="B25" i="21" s="1"/>
  <c r="A13" i="21" a="1"/>
  <c r="A13" i="21" s="1"/>
  <c r="B13" i="21" a="1"/>
  <c r="B13" i="21" s="1"/>
  <c r="CH29" i="19"/>
  <c r="CH14" i="19"/>
  <c r="CH5" i="19"/>
  <c r="CH35" i="19"/>
  <c r="CH28" i="19"/>
  <c r="QD11" i="27"/>
  <c r="CH10" i="27"/>
  <c r="J7" i="27"/>
  <c r="J15" i="27"/>
  <c r="J11" i="27"/>
  <c r="CH12" i="26"/>
  <c r="J15" i="26"/>
  <c r="J13" i="26"/>
  <c r="J14" i="26"/>
  <c r="B14" i="26" s="1" a="1"/>
  <c r="B14" i="26" s="1"/>
  <c r="J17" i="26"/>
  <c r="R16" i="21"/>
  <c r="R9" i="27"/>
  <c r="R28" i="21"/>
  <c r="O14" i="21"/>
  <c r="O17" i="21"/>
  <c r="O32" i="21"/>
  <c r="R30" i="19"/>
  <c r="A16" i="21" a="1"/>
  <c r="A16" i="21" s="1"/>
  <c r="B16" i="21" a="1"/>
  <c r="B16" i="21" s="1"/>
  <c r="O15" i="27"/>
  <c r="O22" i="21"/>
  <c r="O20" i="21"/>
  <c r="O11" i="27"/>
  <c r="O17" i="26"/>
  <c r="O17" i="19"/>
  <c r="CI7" i="27"/>
  <c r="O7" i="27"/>
  <c r="O15" i="26"/>
  <c r="O14" i="26"/>
  <c r="O13" i="26"/>
  <c r="R29" i="21"/>
  <c r="R30" i="21"/>
  <c r="TR23" i="4"/>
  <c r="TV23" i="4" s="1"/>
  <c r="B29" i="21" a="1"/>
  <c r="B29" i="21" s="1"/>
  <c r="R15" i="21"/>
  <c r="B30" i="21" a="1"/>
  <c r="B30" i="21" s="1"/>
  <c r="A30" i="21" a="1"/>
  <c r="A30" i="21" s="1"/>
  <c r="B28" i="21" a="1"/>
  <c r="B28" i="21" s="1"/>
  <c r="B15" i="21" a="1"/>
  <c r="B15" i="21" s="1"/>
  <c r="R23" i="19"/>
  <c r="V8" i="4"/>
  <c r="F8" i="4" s="1"/>
  <c r="CJ17" i="19"/>
  <c r="CI13" i="26"/>
  <c r="TR25" i="4"/>
  <c r="TV25" i="4" s="1"/>
  <c r="Q20" i="21"/>
  <c r="CJ22" i="21"/>
  <c r="TR12" i="4"/>
  <c r="TV12" i="4" s="1"/>
  <c r="TR15" i="4"/>
  <c r="TV15" i="4" s="1"/>
  <c r="CJ14" i="21"/>
  <c r="CJ17" i="21"/>
  <c r="TR18" i="4"/>
  <c r="TV18" i="4" s="1"/>
  <c r="CJ15" i="27"/>
  <c r="Q11" i="27"/>
  <c r="Q32" i="21"/>
  <c r="CJ15" i="26"/>
  <c r="Q17" i="26"/>
  <c r="CI17" i="26"/>
  <c r="R17" i="26" s="1"/>
  <c r="Q14" i="26"/>
  <c r="DB12" i="4"/>
  <c r="J25" i="4"/>
  <c r="A25" i="4" s="1" a="1"/>
  <c r="A25" i="4" s="1"/>
  <c r="DB15" i="4"/>
  <c r="M14" i="21"/>
  <c r="CI14" i="21"/>
  <c r="M22" i="21"/>
  <c r="CI17" i="21"/>
  <c r="M32" i="21"/>
  <c r="CI32" i="21"/>
  <c r="CI22" i="21"/>
  <c r="CI20" i="21"/>
  <c r="M20" i="21"/>
  <c r="CI17" i="19"/>
  <c r="M17" i="19"/>
  <c r="M15" i="27"/>
  <c r="CI15" i="27"/>
  <c r="CI11" i="27"/>
  <c r="CJ7" i="27"/>
  <c r="Q7" i="27"/>
  <c r="M7" i="27"/>
  <c r="M11" i="27"/>
  <c r="CJ13" i="26"/>
  <c r="CI15" i="26"/>
  <c r="CI14" i="26"/>
  <c r="M13" i="26"/>
  <c r="M15" i="26"/>
  <c r="M14" i="26"/>
  <c r="J18" i="4"/>
  <c r="B18" i="4" s="1" a="1"/>
  <c r="B18" i="4" s="1"/>
  <c r="J23" i="4"/>
  <c r="A23" i="4" s="1" a="1"/>
  <c r="A23" i="4" s="1"/>
  <c r="DC12" i="4"/>
  <c r="J15" i="4"/>
  <c r="J12" i="4"/>
  <c r="A12" i="4" s="1" a="1"/>
  <c r="A12" i="4" s="1"/>
  <c r="DC18" i="4"/>
  <c r="O18" i="4"/>
  <c r="DB18" i="4"/>
  <c r="M18" i="4"/>
  <c r="M25" i="4"/>
  <c r="O23" i="4"/>
  <c r="DB23" i="4"/>
  <c r="DC25" i="4"/>
  <c r="DC15" i="4"/>
  <c r="M23" i="4"/>
  <c r="O25" i="4"/>
  <c r="DB25" i="4"/>
  <c r="DC23" i="4"/>
  <c r="QB12" i="26"/>
  <c r="PE28" i="19"/>
  <c r="PZ12" i="26"/>
  <c r="CW7" i="22"/>
  <c r="DA7" i="22" s="1"/>
  <c r="PE5" i="21"/>
  <c r="K5" i="21" s="1"/>
  <c r="PH5" i="21"/>
  <c r="PE29" i="19"/>
  <c r="PH29" i="19"/>
  <c r="QB10" i="27"/>
  <c r="PZ10" i="27"/>
  <c r="PE10" i="27"/>
  <c r="K10" i="27" s="1"/>
  <c r="PH10" i="27"/>
  <c r="PH12" i="26"/>
  <c r="SN5" i="22"/>
  <c r="SU5" i="22" s="1"/>
  <c r="CW14" i="4"/>
  <c r="DA14" i="4" s="1"/>
  <c r="P28" i="19"/>
  <c r="Q28" i="19" s="1"/>
  <c r="PZ29" i="19"/>
  <c r="P29" i="19"/>
  <c r="Q29" i="19" s="1"/>
  <c r="P10" i="27"/>
  <c r="Q10" i="27" s="1"/>
  <c r="P12" i="26"/>
  <c r="Q12" i="26" s="1"/>
  <c r="P5" i="22"/>
  <c r="CW5" i="22"/>
  <c r="DA5" i="22" s="1"/>
  <c r="TN7" i="22"/>
  <c r="CW5" i="4"/>
  <c r="DA5" i="4" s="1"/>
  <c r="TQ14" i="4"/>
  <c r="QB5" i="21"/>
  <c r="P5" i="21"/>
  <c r="Q5" i="21" s="1"/>
  <c r="PZ5" i="21"/>
  <c r="QC5" i="21"/>
  <c r="QA5" i="21"/>
  <c r="QD5" i="21" s="1"/>
  <c r="H5" i="21"/>
  <c r="N5" i="21"/>
  <c r="I5" i="21"/>
  <c r="L5" i="21"/>
  <c r="QA29" i="19"/>
  <c r="QB29" i="19"/>
  <c r="QC29" i="19"/>
  <c r="H29" i="19"/>
  <c r="I29" i="19"/>
  <c r="N29" i="19"/>
  <c r="L29" i="19"/>
  <c r="PH28" i="19"/>
  <c r="QA28" i="19"/>
  <c r="QB28" i="19"/>
  <c r="PZ28" i="19"/>
  <c r="QC28" i="19"/>
  <c r="H28" i="19"/>
  <c r="I28" i="19"/>
  <c r="N28" i="19"/>
  <c r="L28" i="19"/>
  <c r="PE5" i="19"/>
  <c r="PE14" i="19"/>
  <c r="PE35" i="19"/>
  <c r="P5" i="19"/>
  <c r="Q5" i="19" s="1"/>
  <c r="QB5" i="19"/>
  <c r="PZ5" i="19"/>
  <c r="PH35" i="19"/>
  <c r="P35" i="19"/>
  <c r="Q35" i="19" s="1"/>
  <c r="QC35" i="19"/>
  <c r="QB35" i="19"/>
  <c r="PZ35" i="19"/>
  <c r="QA35" i="19"/>
  <c r="QD35" i="19" s="1"/>
  <c r="H35" i="19"/>
  <c r="I35" i="19"/>
  <c r="N35" i="19"/>
  <c r="L35" i="19"/>
  <c r="PH5" i="19"/>
  <c r="QB14" i="19"/>
  <c r="PZ14" i="19"/>
  <c r="P14" i="19"/>
  <c r="Q14" i="19" s="1"/>
  <c r="QC5" i="19"/>
  <c r="QA5" i="19"/>
  <c r="I5" i="19"/>
  <c r="N5" i="19"/>
  <c r="H5" i="19"/>
  <c r="L5" i="19"/>
  <c r="PH14" i="19"/>
  <c r="QC14" i="19"/>
  <c r="QA14" i="19"/>
  <c r="I14" i="19"/>
  <c r="H14" i="19"/>
  <c r="N14" i="19"/>
  <c r="L14" i="19"/>
  <c r="QC10" i="27"/>
  <c r="QA10" i="27"/>
  <c r="H10" i="27"/>
  <c r="I10" i="27"/>
  <c r="N10" i="27"/>
  <c r="L10" i="27"/>
  <c r="PE12" i="26"/>
  <c r="K12" i="26" s="1"/>
  <c r="QC12" i="26"/>
  <c r="QA12" i="26"/>
  <c r="QD12" i="26" s="1"/>
  <c r="I12" i="26"/>
  <c r="H12" i="26"/>
  <c r="N12" i="26"/>
  <c r="L12" i="26"/>
  <c r="SN7" i="22"/>
  <c r="SU7" i="22" s="1"/>
  <c r="TU7" i="22"/>
  <c r="TQ7" i="22"/>
  <c r="I7" i="22"/>
  <c r="K7" i="22"/>
  <c r="P7" i="22"/>
  <c r="L7" i="22"/>
  <c r="M7" i="22" s="1"/>
  <c r="R7" i="22"/>
  <c r="S7" i="22" s="1"/>
  <c r="H7" i="22"/>
  <c r="N7" i="22"/>
  <c r="T7" i="22"/>
  <c r="U7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P5" i="4"/>
  <c r="TN5" i="4"/>
  <c r="SN14" i="4"/>
  <c r="SU14" i="4" s="1"/>
  <c r="TN14" i="4"/>
  <c r="TU14" i="4"/>
  <c r="R14" i="4"/>
  <c r="S14" i="4" s="1"/>
  <c r="L14" i="4"/>
  <c r="M14" i="4" s="1"/>
  <c r="K14" i="4"/>
  <c r="I14" i="4"/>
  <c r="P14" i="4"/>
  <c r="Q14" i="4" s="1"/>
  <c r="H14" i="4"/>
  <c r="N14" i="4"/>
  <c r="T14" i="4"/>
  <c r="U14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QD14" i="19" l="1"/>
  <c r="QD28" i="19"/>
  <c r="J5" i="21"/>
  <c r="QD29" i="19"/>
  <c r="QD5" i="19"/>
  <c r="K28" i="19"/>
  <c r="K4" i="19"/>
  <c r="K32" i="19"/>
  <c r="K34" i="19"/>
  <c r="K24" i="19"/>
  <c r="K15" i="19"/>
  <c r="K20" i="19"/>
  <c r="K22" i="19"/>
  <c r="K27" i="19"/>
  <c r="K33" i="19"/>
  <c r="K16" i="19"/>
  <c r="K11" i="19"/>
  <c r="K10" i="19"/>
  <c r="K23" i="19"/>
  <c r="K30" i="19"/>
  <c r="K17" i="19"/>
  <c r="K35" i="19"/>
  <c r="K5" i="19"/>
  <c r="K14" i="19"/>
  <c r="K29" i="19"/>
  <c r="QD10" i="27"/>
  <c r="J10" i="27"/>
  <c r="J12" i="26"/>
  <c r="B12" i="26" s="1" a="1"/>
  <c r="B12" i="26" s="1"/>
  <c r="S30" i="21"/>
  <c r="T30" i="21"/>
  <c r="T28" i="21"/>
  <c r="S28" i="21"/>
  <c r="F29" i="21"/>
  <c r="T29" i="21"/>
  <c r="S29" i="21"/>
  <c r="F15" i="21"/>
  <c r="S15" i="21"/>
  <c r="T15" i="21"/>
  <c r="F16" i="21"/>
  <c r="S16" i="21"/>
  <c r="T16" i="21"/>
  <c r="S23" i="19"/>
  <c r="T23" i="19"/>
  <c r="T30" i="19"/>
  <c r="S30" i="19"/>
  <c r="T9" i="27"/>
  <c r="S9" i="27"/>
  <c r="S17" i="26"/>
  <c r="T17" i="26"/>
  <c r="F9" i="27"/>
  <c r="F28" i="21"/>
  <c r="F30" i="19"/>
  <c r="DC7" i="22"/>
  <c r="Q7" i="22"/>
  <c r="DC5" i="22"/>
  <c r="Q5" i="22"/>
  <c r="DC5" i="4"/>
  <c r="Q5" i="4"/>
  <c r="O12" i="26"/>
  <c r="F30" i="21"/>
  <c r="O5" i="21"/>
  <c r="R7" i="27"/>
  <c r="O5" i="19"/>
  <c r="O28" i="19"/>
  <c r="O29" i="19"/>
  <c r="O35" i="19"/>
  <c r="O14" i="19"/>
  <c r="O10" i="27"/>
  <c r="R13" i="26"/>
  <c r="F23" i="19"/>
  <c r="R11" i="27"/>
  <c r="W8" i="4"/>
  <c r="X8" i="4"/>
  <c r="R22" i="21"/>
  <c r="R14" i="26"/>
  <c r="R20" i="21"/>
  <c r="R14" i="21"/>
  <c r="R17" i="21"/>
  <c r="R32" i="21"/>
  <c r="V12" i="4"/>
  <c r="X12" i="4" s="1"/>
  <c r="B32" i="21" a="1"/>
  <c r="B32" i="21" s="1"/>
  <c r="A32" i="21" a="1"/>
  <c r="A32" i="21" s="1"/>
  <c r="R15" i="26"/>
  <c r="R15" i="27"/>
  <c r="A22" i="21" a="1"/>
  <c r="A22" i="21" s="1"/>
  <c r="R17" i="19"/>
  <c r="B25" i="4" a="1"/>
  <c r="B25" i="4" s="1"/>
  <c r="B14" i="21" a="1"/>
  <c r="B14" i="21" s="1"/>
  <c r="A20" i="21" a="1"/>
  <c r="A20" i="21" s="1"/>
  <c r="V15" i="4"/>
  <c r="F15" i="4" s="1"/>
  <c r="B17" i="21" a="1"/>
  <c r="B17" i="21" s="1"/>
  <c r="F17" i="26"/>
  <c r="A14" i="26" a="1"/>
  <c r="A14" i="26" s="1"/>
  <c r="B15" i="26" a="1"/>
  <c r="B15" i="26" s="1"/>
  <c r="A15" i="26" a="1"/>
  <c r="A15" i="26" s="1"/>
  <c r="A17" i="26" a="1"/>
  <c r="A17" i="26" s="1"/>
  <c r="B17" i="26" a="1"/>
  <c r="B17" i="26" s="1"/>
  <c r="A18" i="4" a="1"/>
  <c r="A18" i="4" s="1"/>
  <c r="B23" i="4" a="1"/>
  <c r="B23" i="4" s="1"/>
  <c r="V18" i="4"/>
  <c r="W18" i="4" s="1"/>
  <c r="V23" i="4"/>
  <c r="F23" i="4" s="1"/>
  <c r="B12" i="4" a="1"/>
  <c r="B12" i="4" s="1"/>
  <c r="V25" i="4"/>
  <c r="W25" i="4" s="1"/>
  <c r="CJ28" i="19"/>
  <c r="CJ10" i="27"/>
  <c r="DB5" i="22"/>
  <c r="CJ12" i="26"/>
  <c r="TR7" i="22"/>
  <c r="TV7" i="22" s="1"/>
  <c r="O5" i="22"/>
  <c r="CJ5" i="21"/>
  <c r="CJ29" i="19"/>
  <c r="CJ35" i="19"/>
  <c r="TR14" i="4"/>
  <c r="TV14" i="4" s="1"/>
  <c r="TR5" i="4"/>
  <c r="TV5" i="4" s="1"/>
  <c r="CI5" i="21"/>
  <c r="M5" i="21"/>
  <c r="M29" i="19"/>
  <c r="CI29" i="19"/>
  <c r="CJ14" i="19"/>
  <c r="CI28" i="19"/>
  <c r="M28" i="19"/>
  <c r="CJ5" i="19"/>
  <c r="CI35" i="19"/>
  <c r="M35" i="19"/>
  <c r="M5" i="19"/>
  <c r="CI5" i="19"/>
  <c r="M14" i="19"/>
  <c r="CI14" i="19"/>
  <c r="M10" i="27"/>
  <c r="CI10" i="27"/>
  <c r="M12" i="26"/>
  <c r="CI12" i="26"/>
  <c r="J7" i="22"/>
  <c r="DB7" i="22"/>
  <c r="O7" i="22"/>
  <c r="J5" i="22"/>
  <c r="TR5" i="22"/>
  <c r="TV5" i="22" s="1"/>
  <c r="DC14" i="4"/>
  <c r="J14" i="4"/>
  <c r="O14" i="4"/>
  <c r="DB14" i="4"/>
  <c r="J5" i="4"/>
  <c r="O5" i="4"/>
  <c r="DB5" i="4"/>
  <c r="F22" i="21" l="1"/>
  <c r="S22" i="21"/>
  <c r="T22" i="21"/>
  <c r="F20" i="21"/>
  <c r="S20" i="21"/>
  <c r="T20" i="21"/>
  <c r="F14" i="21"/>
  <c r="S14" i="21"/>
  <c r="T14" i="21"/>
  <c r="F32" i="21"/>
  <c r="S32" i="21"/>
  <c r="T32" i="21"/>
  <c r="F17" i="21"/>
  <c r="S17" i="21"/>
  <c r="T17" i="21"/>
  <c r="F17" i="19"/>
  <c r="T17" i="19"/>
  <c r="S17" i="19"/>
  <c r="F15" i="27"/>
  <c r="S15" i="27"/>
  <c r="T15" i="27"/>
  <c r="F11" i="27"/>
  <c r="T11" i="27"/>
  <c r="S11" i="27"/>
  <c r="F7" i="27"/>
  <c r="S7" i="27"/>
  <c r="T7" i="27"/>
  <c r="S13" i="26"/>
  <c r="T13" i="26"/>
  <c r="F14" i="26"/>
  <c r="S14" i="26"/>
  <c r="T14" i="26"/>
  <c r="S15" i="26"/>
  <c r="T15" i="26"/>
  <c r="V7" i="22"/>
  <c r="X7" i="22" s="1"/>
  <c r="V5" i="22"/>
  <c r="X5" i="22" s="1"/>
  <c r="V5" i="4"/>
  <c r="X5" i="4" s="1"/>
  <c r="F13" i="26"/>
  <c r="W12" i="4"/>
  <c r="F12" i="4"/>
  <c r="F15" i="26"/>
  <c r="W15" i="4"/>
  <c r="X15" i="4"/>
  <c r="R28" i="19"/>
  <c r="F25" i="4"/>
  <c r="X25" i="4"/>
  <c r="X18" i="4"/>
  <c r="F18" i="4"/>
  <c r="W23" i="4"/>
  <c r="X23" i="4"/>
  <c r="R10" i="27"/>
  <c r="R12" i="26"/>
  <c r="R29" i="19"/>
  <c r="V14" i="4"/>
  <c r="W14" i="4" s="1"/>
  <c r="R5" i="21"/>
  <c r="R5" i="19"/>
  <c r="R35" i="19"/>
  <c r="R14" i="19"/>
  <c r="A12" i="26" a="1"/>
  <c r="A12" i="26" s="1"/>
  <c r="A14" i="4" a="1"/>
  <c r="A14" i="4" s="1"/>
  <c r="B14" i="4" a="1"/>
  <c r="B14" i="4" s="1"/>
  <c r="W7" i="22" l="1"/>
  <c r="F7" i="22"/>
  <c r="T5" i="21"/>
  <c r="S5" i="21"/>
  <c r="F28" i="19"/>
  <c r="T28" i="19"/>
  <c r="S28" i="19"/>
  <c r="S29" i="19"/>
  <c r="T29" i="19"/>
  <c r="F14" i="19"/>
  <c r="T14" i="19"/>
  <c r="S14" i="19"/>
  <c r="S35" i="19"/>
  <c r="T35" i="19"/>
  <c r="S5" i="19"/>
  <c r="T5" i="19"/>
  <c r="S10" i="27"/>
  <c r="T10" i="27"/>
  <c r="F12" i="26"/>
  <c r="S12" i="26"/>
  <c r="T12" i="26"/>
  <c r="W5" i="22"/>
  <c r="F5" i="22"/>
  <c r="W5" i="4"/>
  <c r="F5" i="4"/>
  <c r="F10" i="27"/>
  <c r="X14" i="4"/>
  <c r="F29" i="19"/>
  <c r="F14" i="4"/>
  <c r="F5" i="19"/>
  <c r="F5" i="21"/>
  <c r="F35" i="19"/>
  <c r="CD12" i="19" l="1"/>
  <c r="CE12" i="19"/>
  <c r="CF12" i="19"/>
  <c r="CG12" i="19"/>
  <c r="PA12" i="19"/>
  <c r="PB12" i="19"/>
  <c r="PC12" i="19"/>
  <c r="PD12" i="19"/>
  <c r="PF12" i="19"/>
  <c r="PG12" i="19"/>
  <c r="PI12" i="19"/>
  <c r="PJ12" i="19"/>
  <c r="PK12" i="19"/>
  <c r="PL12" i="19"/>
  <c r="PM12" i="19"/>
  <c r="PN12" i="19"/>
  <c r="PO12" i="19"/>
  <c r="PP12" i="19"/>
  <c r="PQ12" i="19"/>
  <c r="PR12" i="19"/>
  <c r="PS12" i="19"/>
  <c r="PT12" i="19"/>
  <c r="PU12" i="19"/>
  <c r="PV12" i="19"/>
  <c r="PW12" i="19"/>
  <c r="PX12" i="19"/>
  <c r="CD20" i="26"/>
  <c r="CE20" i="26"/>
  <c r="CF20" i="26"/>
  <c r="CG20" i="26"/>
  <c r="PA20" i="26"/>
  <c r="PB20" i="26"/>
  <c r="PC20" i="26"/>
  <c r="PD20" i="26"/>
  <c r="PF20" i="26"/>
  <c r="PG20" i="26"/>
  <c r="PI20" i="26"/>
  <c r="PJ20" i="26"/>
  <c r="PK20" i="26"/>
  <c r="PL20" i="26"/>
  <c r="PM20" i="26"/>
  <c r="PN20" i="26"/>
  <c r="PO20" i="26"/>
  <c r="PP20" i="26"/>
  <c r="PQ20" i="26"/>
  <c r="PR20" i="26"/>
  <c r="PS20" i="26"/>
  <c r="PT20" i="26"/>
  <c r="PU20" i="26"/>
  <c r="PV20" i="26"/>
  <c r="PW20" i="26"/>
  <c r="PX20" i="26"/>
  <c r="CH12" i="19" l="1"/>
  <c r="CH20" i="26"/>
  <c r="PH12" i="19"/>
  <c r="PH20" i="26"/>
  <c r="P20" i="26"/>
  <c r="Q20" i="26" s="1"/>
  <c r="QB12" i="19"/>
  <c r="PZ12" i="19"/>
  <c r="P12" i="19"/>
  <c r="CJ12" i="19" s="1"/>
  <c r="PE12" i="19"/>
  <c r="K12" i="19" s="1"/>
  <c r="QC12" i="19"/>
  <c r="N12" i="19"/>
  <c r="H12" i="19"/>
  <c r="QA12" i="19"/>
  <c r="QD12" i="19" s="1"/>
  <c r="L12" i="19"/>
  <c r="M12" i="19" s="1"/>
  <c r="I12" i="19"/>
  <c r="PZ20" i="26"/>
  <c r="PE20" i="26"/>
  <c r="K20" i="26" s="1"/>
  <c r="QC20" i="26"/>
  <c r="QB20" i="26"/>
  <c r="N20" i="26"/>
  <c r="QA20" i="26"/>
  <c r="QD20" i="26" s="1"/>
  <c r="H20" i="26"/>
  <c r="L20" i="26"/>
  <c r="M20" i="26" s="1"/>
  <c r="I20" i="26"/>
  <c r="O12" i="19" l="1"/>
  <c r="J20" i="26"/>
  <c r="O20" i="26"/>
  <c r="CJ20" i="26"/>
  <c r="CI12" i="19"/>
  <c r="Q12" i="19"/>
  <c r="CI20" i="26"/>
  <c r="R20" i="26" l="1"/>
  <c r="R12" i="19"/>
  <c r="F12" i="19" l="1"/>
  <c r="S12" i="19"/>
  <c r="T12" i="19"/>
  <c r="F20" i="26"/>
  <c r="S20" i="26"/>
  <c r="T20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D13" i="27"/>
  <c r="CE13" i="27"/>
  <c r="CF13" i="27"/>
  <c r="CG13" i="27"/>
  <c r="PA13" i="27"/>
  <c r="PB13" i="27"/>
  <c r="PC13" i="27"/>
  <c r="PD13" i="27"/>
  <c r="PF13" i="27"/>
  <c r="PG13" i="27"/>
  <c r="PI13" i="27"/>
  <c r="PJ13" i="27"/>
  <c r="PK13" i="27"/>
  <c r="PL13" i="27"/>
  <c r="PM13" i="27"/>
  <c r="PN13" i="27"/>
  <c r="PO13" i="27"/>
  <c r="PP13" i="27"/>
  <c r="PQ13" i="27"/>
  <c r="PR13" i="27"/>
  <c r="PS13" i="27"/>
  <c r="PT13" i="27"/>
  <c r="PU13" i="27"/>
  <c r="PV13" i="27"/>
  <c r="PW13" i="27"/>
  <c r="PX13" i="27"/>
  <c r="CD5" i="26"/>
  <c r="CE5" i="26"/>
  <c r="CF5" i="26"/>
  <c r="CG5" i="26"/>
  <c r="PA5" i="26"/>
  <c r="PB5" i="26"/>
  <c r="PC5" i="26"/>
  <c r="PD5" i="26"/>
  <c r="PF5" i="26"/>
  <c r="PG5" i="26"/>
  <c r="PI5" i="26"/>
  <c r="PJ5" i="26"/>
  <c r="PK5" i="26"/>
  <c r="PL5" i="26"/>
  <c r="PM5" i="26"/>
  <c r="PN5" i="26"/>
  <c r="PO5" i="26"/>
  <c r="PP5" i="26"/>
  <c r="PQ5" i="26"/>
  <c r="PR5" i="26"/>
  <c r="PS5" i="26"/>
  <c r="PT5" i="26"/>
  <c r="PU5" i="26"/>
  <c r="PV5" i="26"/>
  <c r="PW5" i="26"/>
  <c r="PX5" i="26"/>
  <c r="CH13" i="27" l="1"/>
  <c r="CH5" i="26"/>
  <c r="K5" i="26"/>
  <c r="PH13" i="27"/>
  <c r="PH5" i="26"/>
  <c r="I13" i="27"/>
  <c r="H13" i="27"/>
  <c r="I5" i="26"/>
  <c r="H5" i="26"/>
  <c r="H10" i="22"/>
  <c r="I10" i="22"/>
  <c r="I24" i="4"/>
  <c r="I22" i="4"/>
  <c r="H24" i="4"/>
  <c r="H22" i="4"/>
  <c r="PE5" i="26"/>
  <c r="PE13" i="27"/>
  <c r="K13" i="27" s="1"/>
  <c r="P13" i="27"/>
  <c r="CJ13" i="27" s="1"/>
  <c r="QB13" i="27"/>
  <c r="PZ13" i="27"/>
  <c r="PZ5" i="26"/>
  <c r="CW10" i="22"/>
  <c r="DA10" i="22" s="1"/>
  <c r="SN22" i="4"/>
  <c r="SU22" i="4" s="1"/>
  <c r="SN10" i="22"/>
  <c r="SU10" i="22" s="1"/>
  <c r="TU10" i="22"/>
  <c r="TQ10" i="22"/>
  <c r="TN10" i="22"/>
  <c r="T10" i="22"/>
  <c r="U10" i="22" s="1"/>
  <c r="N10" i="22"/>
  <c r="O10" i="22" s="1"/>
  <c r="L10" i="22"/>
  <c r="M10" i="22" s="1"/>
  <c r="K10" i="22"/>
  <c r="R10" i="22"/>
  <c r="S10" i="22" s="1"/>
  <c r="P10" i="22"/>
  <c r="Q10" i="22" s="1"/>
  <c r="CW22" i="4"/>
  <c r="DA22" i="4" s="1"/>
  <c r="CW24" i="4"/>
  <c r="DA24" i="4" s="1"/>
  <c r="SN24" i="4"/>
  <c r="SU24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QC13" i="27"/>
  <c r="QA13" i="27"/>
  <c r="N13" i="27"/>
  <c r="L13" i="27"/>
  <c r="M13" i="27" s="1"/>
  <c r="QA5" i="26"/>
  <c r="QB5" i="26"/>
  <c r="P5" i="26"/>
  <c r="CJ5" i="26" s="1"/>
  <c r="N5" i="26"/>
  <c r="QC5" i="26"/>
  <c r="L5" i="26"/>
  <c r="M5" i="26" s="1"/>
  <c r="CD27" i="21"/>
  <c r="CE27" i="21"/>
  <c r="CF27" i="21"/>
  <c r="CG27" i="21"/>
  <c r="PA27" i="21"/>
  <c r="PB27" i="21"/>
  <c r="PC27" i="21"/>
  <c r="PD27" i="21"/>
  <c r="PF27" i="21"/>
  <c r="PG27" i="21"/>
  <c r="QD5" i="26" l="1"/>
  <c r="CH27" i="21"/>
  <c r="QD13" i="27"/>
  <c r="J13" i="27"/>
  <c r="J5" i="26"/>
  <c r="O13" i="27"/>
  <c r="O5" i="26"/>
  <c r="PH27" i="21"/>
  <c r="I27" i="21"/>
  <c r="H27" i="21"/>
  <c r="QB27" i="21"/>
  <c r="J24" i="4"/>
  <c r="TR24" i="4"/>
  <c r="TV24" i="4" s="1"/>
  <c r="Q13" i="27"/>
  <c r="CI13" i="27"/>
  <c r="TR10" i="22"/>
  <c r="TV10" i="22" s="1"/>
  <c r="DC10" i="22"/>
  <c r="DB10" i="22"/>
  <c r="J10" i="22"/>
  <c r="TR22" i="4"/>
  <c r="TV22" i="4" s="1"/>
  <c r="J22" i="4"/>
  <c r="DC22" i="4"/>
  <c r="DB22" i="4"/>
  <c r="DC24" i="4"/>
  <c r="O24" i="4"/>
  <c r="DB24" i="4"/>
  <c r="CI5" i="26"/>
  <c r="R5" i="26" s="1"/>
  <c r="Q5" i="26"/>
  <c r="PE27" i="21"/>
  <c r="K27" i="21" s="1"/>
  <c r="QC27" i="21"/>
  <c r="P27" i="21"/>
  <c r="Q27" i="21" s="1"/>
  <c r="QA27" i="21"/>
  <c r="QD27" i="21" s="1"/>
  <c r="PZ27" i="21"/>
  <c r="N27" i="21"/>
  <c r="L27" i="21"/>
  <c r="M27" i="21" s="1"/>
  <c r="CD7" i="21"/>
  <c r="CE7" i="21"/>
  <c r="CF7" i="21"/>
  <c r="CG7" i="21"/>
  <c r="PA7" i="21"/>
  <c r="PB7" i="21"/>
  <c r="PC7" i="21"/>
  <c r="PD7" i="21"/>
  <c r="PF7" i="21"/>
  <c r="PG7" i="21"/>
  <c r="CD25" i="19"/>
  <c r="CE25" i="19"/>
  <c r="CF25" i="19"/>
  <c r="CG25" i="19"/>
  <c r="PA25" i="19"/>
  <c r="PB25" i="19"/>
  <c r="PC25" i="19"/>
  <c r="PD25" i="19"/>
  <c r="PF25" i="19"/>
  <c r="PG25" i="19"/>
  <c r="PI25" i="19"/>
  <c r="PJ25" i="19"/>
  <c r="PK25" i="19"/>
  <c r="PL25" i="19"/>
  <c r="PM25" i="19"/>
  <c r="PN25" i="19"/>
  <c r="PO25" i="19"/>
  <c r="PP25" i="19"/>
  <c r="PQ25" i="19"/>
  <c r="PR25" i="19"/>
  <c r="PS25" i="19"/>
  <c r="PT25" i="19"/>
  <c r="PU25" i="19"/>
  <c r="PV25" i="19"/>
  <c r="PW25" i="19"/>
  <c r="PX25" i="19"/>
  <c r="CD4" i="26"/>
  <c r="CE4" i="26"/>
  <c r="CF4" i="26"/>
  <c r="CG4" i="26"/>
  <c r="PA4" i="26"/>
  <c r="PB4" i="26"/>
  <c r="PC4" i="26"/>
  <c r="PD4" i="26"/>
  <c r="PF4" i="26"/>
  <c r="PG4" i="26"/>
  <c r="PI4" i="26"/>
  <c r="PJ4" i="26"/>
  <c r="PK4" i="26"/>
  <c r="PL4" i="26"/>
  <c r="PM4" i="26"/>
  <c r="PN4" i="26"/>
  <c r="PO4" i="26"/>
  <c r="PP4" i="26"/>
  <c r="PQ4" i="26"/>
  <c r="PR4" i="26"/>
  <c r="PS4" i="26"/>
  <c r="PT4" i="26"/>
  <c r="PU4" i="26"/>
  <c r="PV4" i="26"/>
  <c r="PW4" i="26"/>
  <c r="PX4" i="26"/>
  <c r="CH25" i="19" l="1"/>
  <c r="J27" i="21"/>
  <c r="CH7" i="21"/>
  <c r="CH4" i="26"/>
  <c r="S5" i="26"/>
  <c r="T5" i="26"/>
  <c r="CI27" i="21"/>
  <c r="O27" i="21"/>
  <c r="A10" i="22" a="1"/>
  <c r="A10" i="22" s="1"/>
  <c r="B10" i="22" a="1"/>
  <c r="B10" i="22" s="1"/>
  <c r="A24" i="4" a="1"/>
  <c r="A24" i="4" s="1"/>
  <c r="B24" i="4" a="1"/>
  <c r="B24" i="4" s="1"/>
  <c r="A22" i="4" a="1"/>
  <c r="A22" i="4" s="1"/>
  <c r="B22" i="4" a="1"/>
  <c r="B22" i="4" s="1"/>
  <c r="PH7" i="21"/>
  <c r="PH25" i="19"/>
  <c r="PH4" i="26"/>
  <c r="H25" i="19"/>
  <c r="I7" i="21"/>
  <c r="H7" i="21"/>
  <c r="I25" i="19"/>
  <c r="I4" i="26"/>
  <c r="H4" i="26"/>
  <c r="B5" i="26" a="1"/>
  <c r="B5" i="26" s="1"/>
  <c r="R13" i="27"/>
  <c r="V10" i="22"/>
  <c r="X10" i="22" s="1"/>
  <c r="V22" i="4"/>
  <c r="W22" i="4" s="1"/>
  <c r="V24" i="4"/>
  <c r="W24" i="4" s="1"/>
  <c r="F5" i="26"/>
  <c r="CJ27" i="21"/>
  <c r="QB25" i="19"/>
  <c r="P25" i="19"/>
  <c r="CJ25" i="19" s="1"/>
  <c r="PZ25" i="19"/>
  <c r="PE25" i="19"/>
  <c r="K25" i="19" s="1"/>
  <c r="PE4" i="26"/>
  <c r="K4" i="26" s="1"/>
  <c r="PE7" i="21"/>
  <c r="K7" i="21" s="1"/>
  <c r="P7" i="21"/>
  <c r="Q7" i="21" s="1"/>
  <c r="PZ7" i="21"/>
  <c r="QA7" i="21"/>
  <c r="N7" i="21"/>
  <c r="QB7" i="21"/>
  <c r="QC7" i="21"/>
  <c r="L7" i="21"/>
  <c r="M7" i="21" s="1"/>
  <c r="QC25" i="19"/>
  <c r="N25" i="19"/>
  <c r="QA25" i="19"/>
  <c r="QD25" i="19" s="1"/>
  <c r="L25" i="19"/>
  <c r="PZ4" i="26"/>
  <c r="QB4" i="26"/>
  <c r="QC4" i="26"/>
  <c r="P4" i="26"/>
  <c r="CJ4" i="26" s="1"/>
  <c r="N4" i="26"/>
  <c r="QA4" i="26"/>
  <c r="QD4" i="26" s="1"/>
  <c r="L4" i="26"/>
  <c r="M4" i="26" s="1"/>
  <c r="QD7" i="21" l="1"/>
  <c r="J7" i="21"/>
  <c r="J4" i="26"/>
  <c r="F13" i="27"/>
  <c r="S13" i="27"/>
  <c r="T13" i="27"/>
  <c r="O7" i="21"/>
  <c r="O25" i="19"/>
  <c r="O4" i="26"/>
  <c r="R27" i="21"/>
  <c r="W10" i="22"/>
  <c r="F10" i="22"/>
  <c r="F22" i="4"/>
  <c r="X22" i="4"/>
  <c r="F24" i="4"/>
  <c r="X24" i="4"/>
  <c r="Q25" i="19"/>
  <c r="CJ7" i="21"/>
  <c r="CI7" i="21"/>
  <c r="CI25" i="19"/>
  <c r="R25" i="19" s="1"/>
  <c r="M25" i="19"/>
  <c r="CI4" i="26"/>
  <c r="R4" i="26" s="1"/>
  <c r="Q4" i="26"/>
  <c r="F27" i="21" l="1"/>
  <c r="T27" i="21"/>
  <c r="S27" i="21"/>
  <c r="T25" i="19"/>
  <c r="S25" i="19"/>
  <c r="T4" i="26"/>
  <c r="S4" i="26"/>
  <c r="A27" i="21" a="1"/>
  <c r="A27" i="21" s="1"/>
  <c r="B27" i="21" a="1"/>
  <c r="B27" i="21" s="1"/>
  <c r="A13" i="27" a="1"/>
  <c r="A13" i="27" s="1"/>
  <c r="B13" i="27" a="1"/>
  <c r="B13" i="27" s="1"/>
  <c r="R7" i="21"/>
  <c r="F25" i="19"/>
  <c r="F4" i="26"/>
  <c r="S7" i="21" l="1"/>
  <c r="T7" i="21"/>
  <c r="B4" i="26" a="1"/>
  <c r="B4" i="26" s="1"/>
  <c r="F7" i="21"/>
  <c r="CQ6" i="22" l="1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I6" i="22" l="1"/>
  <c r="H6" i="22"/>
  <c r="I16" i="4"/>
  <c r="H16" i="4"/>
  <c r="P6" i="22"/>
  <c r="Q6" i="22" s="1"/>
  <c r="CW16" i="4"/>
  <c r="DA16" i="4" s="1"/>
  <c r="SN6" i="22"/>
  <c r="SU6" i="22" s="1"/>
  <c r="CW6" i="22"/>
  <c r="DA6" i="22" s="1"/>
  <c r="SN16" i="4"/>
  <c r="SU16" i="4" s="1"/>
  <c r="TQ6" i="22"/>
  <c r="TN6" i="22"/>
  <c r="TU6" i="22"/>
  <c r="K6" i="22"/>
  <c r="N6" i="22"/>
  <c r="O6" i="22" s="1"/>
  <c r="T6" i="22"/>
  <c r="U6" i="22" s="1"/>
  <c r="L6" i="22"/>
  <c r="R6" i="22"/>
  <c r="S6" i="22" s="1"/>
  <c r="TQ16" i="4"/>
  <c r="TN16" i="4"/>
  <c r="TU16" i="4"/>
  <c r="N16" i="4"/>
  <c r="O16" i="4" s="1"/>
  <c r="T16" i="4"/>
  <c r="U16" i="4" s="1"/>
  <c r="L16" i="4"/>
  <c r="K16" i="4"/>
  <c r="R16" i="4"/>
  <c r="S16" i="4" s="1"/>
  <c r="P16" i="4"/>
  <c r="Q16" i="4" s="1"/>
  <c r="J6" i="22" l="1"/>
  <c r="J16" i="4"/>
  <c r="M6" i="22"/>
  <c r="TR16" i="4"/>
  <c r="TV16" i="4" s="1"/>
  <c r="M16" i="4"/>
  <c r="TR6" i="22"/>
  <c r="TV6" i="22" s="1"/>
  <c r="DC6" i="22"/>
  <c r="DB6" i="22"/>
  <c r="DB16" i="4"/>
  <c r="DC16" i="4"/>
  <c r="V16" i="4" l="1"/>
  <c r="F16" i="4" s="1"/>
  <c r="V6" i="22"/>
  <c r="W6" i="22" l="1"/>
  <c r="X6" i="22"/>
  <c r="F6" i="22"/>
  <c r="W16" i="4"/>
  <c r="X16" i="4"/>
  <c r="CD17" i="27"/>
  <c r="CE17" i="27"/>
  <c r="CF17" i="27"/>
  <c r="CG17" i="27"/>
  <c r="PA17" i="27"/>
  <c r="PB17" i="27"/>
  <c r="PC17" i="27"/>
  <c r="PD17" i="27"/>
  <c r="PF17" i="27"/>
  <c r="PG17" i="27"/>
  <c r="PI17" i="27"/>
  <c r="PJ17" i="27"/>
  <c r="PK17" i="27"/>
  <c r="PL17" i="27"/>
  <c r="PM17" i="27"/>
  <c r="PN17" i="27"/>
  <c r="PO17" i="27"/>
  <c r="PP17" i="27"/>
  <c r="PQ17" i="27"/>
  <c r="PR17" i="27"/>
  <c r="PS17" i="27"/>
  <c r="PT17" i="27"/>
  <c r="PU17" i="27"/>
  <c r="PV17" i="27"/>
  <c r="PW17" i="27"/>
  <c r="PX17" i="27"/>
  <c r="CD4" i="27"/>
  <c r="CE4" i="27"/>
  <c r="CF4" i="27"/>
  <c r="CG4" i="27"/>
  <c r="PA4" i="27"/>
  <c r="PB4" i="27"/>
  <c r="PC4" i="27"/>
  <c r="PD4" i="27"/>
  <c r="PF4" i="27"/>
  <c r="PG4" i="27"/>
  <c r="PI4" i="27"/>
  <c r="PJ4" i="27"/>
  <c r="PK4" i="27"/>
  <c r="PL4" i="27"/>
  <c r="PM4" i="27"/>
  <c r="PN4" i="27"/>
  <c r="PO4" i="27"/>
  <c r="PP4" i="27"/>
  <c r="PQ4" i="27"/>
  <c r="PR4" i="27"/>
  <c r="PS4" i="27"/>
  <c r="PT4" i="27"/>
  <c r="PU4" i="27"/>
  <c r="PV4" i="27"/>
  <c r="PW4" i="27"/>
  <c r="PX4" i="27"/>
  <c r="CH4" i="27" l="1"/>
  <c r="CH17" i="27"/>
  <c r="PH4" i="27"/>
  <c r="PH17" i="27"/>
  <c r="I17" i="27"/>
  <c r="I4" i="27"/>
  <c r="H4" i="27"/>
  <c r="H17" i="27"/>
  <c r="PE17" i="27"/>
  <c r="K17" i="27" s="1"/>
  <c r="PZ17" i="27"/>
  <c r="QB4" i="27"/>
  <c r="PZ4" i="27"/>
  <c r="PE4" i="27"/>
  <c r="K4" i="27" s="1"/>
  <c r="QA17" i="27"/>
  <c r="QD17" i="27" s="1"/>
  <c r="P17" i="27"/>
  <c r="CJ17" i="27" s="1"/>
  <c r="QB17" i="27"/>
  <c r="N17" i="27"/>
  <c r="QC17" i="27"/>
  <c r="L17" i="27"/>
  <c r="M17" i="27" s="1"/>
  <c r="P4" i="27"/>
  <c r="Q4" i="27" s="1"/>
  <c r="QA4" i="27"/>
  <c r="N4" i="27"/>
  <c r="QC4" i="27"/>
  <c r="L4" i="27"/>
  <c r="QD4" i="27" l="1"/>
  <c r="J17" i="27"/>
  <c r="J4" i="27"/>
  <c r="M4" i="27"/>
  <c r="O4" i="27"/>
  <c r="CI17" i="27"/>
  <c r="R17" i="27" s="1"/>
  <c r="O17" i="27"/>
  <c r="CJ4" i="27"/>
  <c r="Q17" i="27"/>
  <c r="CI4" i="27"/>
  <c r="T17" i="27" l="1"/>
  <c r="S17" i="27"/>
  <c r="R4" i="27"/>
  <c r="F17" i="27"/>
  <c r="T4" i="27" l="1"/>
  <c r="S4" i="27"/>
  <c r="F4" i="27"/>
  <c r="CD7" i="26"/>
  <c r="CE7" i="26"/>
  <c r="CF7" i="26"/>
  <c r="CG7" i="26"/>
  <c r="PA7" i="26"/>
  <c r="PB7" i="26"/>
  <c r="PC7" i="26"/>
  <c r="PD7" i="26"/>
  <c r="PF7" i="26"/>
  <c r="PG7" i="26"/>
  <c r="PI7" i="26"/>
  <c r="PJ7" i="26"/>
  <c r="PK7" i="26"/>
  <c r="PL7" i="26"/>
  <c r="PM7" i="26"/>
  <c r="PN7" i="26"/>
  <c r="PO7" i="26"/>
  <c r="PP7" i="26"/>
  <c r="PQ7" i="26"/>
  <c r="PR7" i="26"/>
  <c r="PS7" i="26"/>
  <c r="PT7" i="26"/>
  <c r="PU7" i="26"/>
  <c r="PV7" i="26"/>
  <c r="PW7" i="26"/>
  <c r="PX7" i="26"/>
  <c r="CD6" i="26"/>
  <c r="CE6" i="26"/>
  <c r="CF6" i="26"/>
  <c r="CG6" i="26"/>
  <c r="PA6" i="26"/>
  <c r="PB6" i="26"/>
  <c r="PC6" i="26"/>
  <c r="PD6" i="26"/>
  <c r="PF6" i="26"/>
  <c r="PG6" i="26"/>
  <c r="PI6" i="26"/>
  <c r="PJ6" i="26"/>
  <c r="PK6" i="26"/>
  <c r="PL6" i="26"/>
  <c r="PM6" i="26"/>
  <c r="PN6" i="26"/>
  <c r="PO6" i="26"/>
  <c r="PP6" i="26"/>
  <c r="PQ6" i="26"/>
  <c r="PR6" i="26"/>
  <c r="PS6" i="26"/>
  <c r="PT6" i="26"/>
  <c r="PU6" i="26"/>
  <c r="PV6" i="26"/>
  <c r="PW6" i="26"/>
  <c r="PX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D19" i="19"/>
  <c r="CE19" i="19"/>
  <c r="CF19" i="19"/>
  <c r="CG19" i="19"/>
  <c r="PA19" i="19"/>
  <c r="PB19" i="19"/>
  <c r="PC19" i="19"/>
  <c r="PD19" i="19"/>
  <c r="PF19" i="19"/>
  <c r="PG19" i="19"/>
  <c r="PI19" i="19"/>
  <c r="PJ19" i="19"/>
  <c r="PK19" i="19"/>
  <c r="PL19" i="19"/>
  <c r="PM19" i="19"/>
  <c r="PN19" i="19"/>
  <c r="PO19" i="19"/>
  <c r="PP19" i="19"/>
  <c r="PQ19" i="19"/>
  <c r="PR19" i="19"/>
  <c r="PS19" i="19"/>
  <c r="PT19" i="19"/>
  <c r="PU19" i="19"/>
  <c r="PV19" i="19"/>
  <c r="PW19" i="19"/>
  <c r="PX19" i="19"/>
  <c r="CD9" i="19"/>
  <c r="CE9" i="19"/>
  <c r="CF9" i="19"/>
  <c r="CG9" i="19"/>
  <c r="PA9" i="19"/>
  <c r="PB9" i="19"/>
  <c r="PC9" i="19"/>
  <c r="PD9" i="19"/>
  <c r="PF9" i="19"/>
  <c r="PG9" i="19"/>
  <c r="PI9" i="19"/>
  <c r="PJ9" i="19"/>
  <c r="PK9" i="19"/>
  <c r="PL9" i="19"/>
  <c r="PM9" i="19"/>
  <c r="PN9" i="19"/>
  <c r="PO9" i="19"/>
  <c r="PP9" i="19"/>
  <c r="PQ9" i="19"/>
  <c r="PR9" i="19"/>
  <c r="PS9" i="19"/>
  <c r="PT9" i="19"/>
  <c r="PU9" i="19"/>
  <c r="PV9" i="19"/>
  <c r="PW9" i="19"/>
  <c r="PX9" i="19"/>
  <c r="CD4" i="21"/>
  <c r="CE4" i="21"/>
  <c r="CH4" i="21" s="1"/>
  <c r="CF4" i="21"/>
  <c r="CG4" i="21"/>
  <c r="PA4" i="21"/>
  <c r="PB4" i="21"/>
  <c r="PC4" i="21"/>
  <c r="PD4" i="21"/>
  <c r="PF4" i="21"/>
  <c r="PG4" i="21"/>
  <c r="CD11" i="21"/>
  <c r="CE11" i="21"/>
  <c r="CF11" i="21"/>
  <c r="CG11" i="21"/>
  <c r="PA11" i="21"/>
  <c r="PB11" i="21"/>
  <c r="PC11" i="21"/>
  <c r="PD11" i="21"/>
  <c r="PF11" i="21"/>
  <c r="PG11" i="21"/>
  <c r="CD21" i="19"/>
  <c r="CE21" i="19"/>
  <c r="CF21" i="19"/>
  <c r="CG21" i="19"/>
  <c r="PA21" i="19"/>
  <c r="PB21" i="19"/>
  <c r="PC21" i="19"/>
  <c r="PD21" i="19"/>
  <c r="PF21" i="19"/>
  <c r="PG21" i="19"/>
  <c r="PI21" i="19"/>
  <c r="PJ21" i="19"/>
  <c r="PK21" i="19"/>
  <c r="PL21" i="19"/>
  <c r="PM21" i="19"/>
  <c r="PN21" i="19"/>
  <c r="PO21" i="19"/>
  <c r="PP21" i="19"/>
  <c r="PQ21" i="19"/>
  <c r="PR21" i="19"/>
  <c r="PS21" i="19"/>
  <c r="PT21" i="19"/>
  <c r="PU21" i="19"/>
  <c r="PV21" i="19"/>
  <c r="PW21" i="19"/>
  <c r="PX21" i="19"/>
  <c r="CD26" i="19"/>
  <c r="CE26" i="19"/>
  <c r="CF26" i="19"/>
  <c r="CG26" i="19"/>
  <c r="PA26" i="19"/>
  <c r="PB26" i="19"/>
  <c r="PC26" i="19"/>
  <c r="PD26" i="19"/>
  <c r="PF26" i="19"/>
  <c r="PG26" i="19"/>
  <c r="PI26" i="19"/>
  <c r="PJ26" i="19"/>
  <c r="PK26" i="19"/>
  <c r="PL26" i="19"/>
  <c r="PM26" i="19"/>
  <c r="PN26" i="19"/>
  <c r="PO26" i="19"/>
  <c r="PP26" i="19"/>
  <c r="PQ26" i="19"/>
  <c r="PR26" i="19"/>
  <c r="PS26" i="19"/>
  <c r="PT26" i="19"/>
  <c r="PU26" i="19"/>
  <c r="PV26" i="19"/>
  <c r="PW26" i="19"/>
  <c r="PX26" i="19"/>
  <c r="CD12" i="27"/>
  <c r="CE12" i="27"/>
  <c r="CF12" i="27"/>
  <c r="CG12" i="27"/>
  <c r="PA12" i="27"/>
  <c r="PB12" i="27"/>
  <c r="PC12" i="27"/>
  <c r="PD12" i="27"/>
  <c r="PF12" i="27"/>
  <c r="PG12" i="27"/>
  <c r="PI12" i="27"/>
  <c r="PJ12" i="27"/>
  <c r="PK12" i="27"/>
  <c r="PL12" i="27"/>
  <c r="PM12" i="27"/>
  <c r="PN12" i="27"/>
  <c r="PO12" i="27"/>
  <c r="PP12" i="27"/>
  <c r="PQ12" i="27"/>
  <c r="PR12" i="27"/>
  <c r="PS12" i="27"/>
  <c r="PT12" i="27"/>
  <c r="PU12" i="27"/>
  <c r="PV12" i="27"/>
  <c r="PW12" i="27"/>
  <c r="PX12" i="27"/>
  <c r="CD10" i="26"/>
  <c r="CE10" i="26"/>
  <c r="CF10" i="26"/>
  <c r="CG10" i="26"/>
  <c r="PA10" i="26"/>
  <c r="PB10" i="26"/>
  <c r="PC10" i="26"/>
  <c r="PD10" i="26"/>
  <c r="PF10" i="26"/>
  <c r="PG10" i="26"/>
  <c r="PI10" i="26"/>
  <c r="PJ10" i="26"/>
  <c r="PK10" i="26"/>
  <c r="PL10" i="26"/>
  <c r="PM10" i="26"/>
  <c r="PN10" i="26"/>
  <c r="PO10" i="26"/>
  <c r="PP10" i="26"/>
  <c r="PQ10" i="26"/>
  <c r="PR10" i="26"/>
  <c r="PS10" i="26"/>
  <c r="PT10" i="26"/>
  <c r="PU10" i="26"/>
  <c r="PV10" i="26"/>
  <c r="PW10" i="26"/>
  <c r="PX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D11" i="4"/>
  <c r="TP11" i="4" s="1"/>
  <c r="TE11" i="4"/>
  <c r="TF11" i="4"/>
  <c r="TG11" i="4"/>
  <c r="TH11" i="4"/>
  <c r="TS11" i="4" s="1"/>
  <c r="TI11" i="4"/>
  <c r="TT11" i="4" s="1"/>
  <c r="TJ11" i="4"/>
  <c r="CH12" i="27" l="1"/>
  <c r="CH11" i="21"/>
  <c r="CH9" i="19"/>
  <c r="CH26" i="19"/>
  <c r="CH19" i="19"/>
  <c r="CH21" i="19"/>
  <c r="CH6" i="26"/>
  <c r="CH7" i="26"/>
  <c r="K7" i="26"/>
  <c r="CH10" i="26"/>
  <c r="B4" i="27" a="1"/>
  <c r="B4" i="27" s="1"/>
  <c r="H12" i="27"/>
  <c r="PH11" i="21"/>
  <c r="PH4" i="21"/>
  <c r="H26" i="19"/>
  <c r="PH21" i="19"/>
  <c r="PH9" i="19"/>
  <c r="PH26" i="19"/>
  <c r="PH19" i="19"/>
  <c r="PH12" i="27"/>
  <c r="PH6" i="26"/>
  <c r="PH7" i="26"/>
  <c r="PH10" i="26"/>
  <c r="H11" i="21"/>
  <c r="H4" i="21"/>
  <c r="H9" i="19"/>
  <c r="H21" i="19"/>
  <c r="I11" i="21"/>
  <c r="I4" i="21"/>
  <c r="I26" i="19"/>
  <c r="I21" i="19"/>
  <c r="I19" i="19"/>
  <c r="H19" i="19"/>
  <c r="I9" i="19"/>
  <c r="I12" i="27"/>
  <c r="I6" i="26"/>
  <c r="I7" i="26"/>
  <c r="H10" i="26"/>
  <c r="H6" i="26"/>
  <c r="H7" i="26"/>
  <c r="I10" i="26"/>
  <c r="H4" i="22"/>
  <c r="I9" i="22"/>
  <c r="H9" i="22"/>
  <c r="I4" i="22"/>
  <c r="I4" i="4"/>
  <c r="H19" i="4"/>
  <c r="H20" i="4"/>
  <c r="H4" i="4"/>
  <c r="H21" i="4"/>
  <c r="H7" i="4"/>
  <c r="I19" i="4"/>
  <c r="I11" i="4"/>
  <c r="I20" i="4"/>
  <c r="I21" i="4"/>
  <c r="I7" i="4"/>
  <c r="H11" i="4"/>
  <c r="CW9" i="22"/>
  <c r="DA9" i="22" s="1"/>
  <c r="P9" i="22"/>
  <c r="Q9" i="22" s="1"/>
  <c r="P4" i="22"/>
  <c r="Q4" i="22" s="1"/>
  <c r="PE6" i="26"/>
  <c r="K6" i="26" s="1"/>
  <c r="CW21" i="4"/>
  <c r="DA21" i="4" s="1"/>
  <c r="PE7" i="26"/>
  <c r="PZ7" i="26"/>
  <c r="CW7" i="4"/>
  <c r="DA7" i="4" s="1"/>
  <c r="QA7" i="26"/>
  <c r="CW19" i="4"/>
  <c r="DA19" i="4" s="1"/>
  <c r="CW11" i="4"/>
  <c r="DA11" i="4" s="1"/>
  <c r="QB7" i="26"/>
  <c r="N7" i="26"/>
  <c r="QC7" i="26"/>
  <c r="L7" i="26"/>
  <c r="M7" i="26" s="1"/>
  <c r="P7" i="26"/>
  <c r="QB6" i="26"/>
  <c r="PZ6" i="26"/>
  <c r="QA6" i="26"/>
  <c r="N6" i="26"/>
  <c r="QC6" i="26"/>
  <c r="L6" i="26"/>
  <c r="M6" i="26" s="1"/>
  <c r="P6" i="26"/>
  <c r="QB19" i="19"/>
  <c r="PZ19" i="19"/>
  <c r="PE19" i="19"/>
  <c r="K19" i="19" s="1"/>
  <c r="J19" i="19" s="1"/>
  <c r="SN7" i="4"/>
  <c r="SU7" i="4" s="1"/>
  <c r="TQ7" i="4"/>
  <c r="SN21" i="4"/>
  <c r="SU21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1" i="4"/>
  <c r="TN21" i="4"/>
  <c r="TU21" i="4"/>
  <c r="T21" i="4"/>
  <c r="U21" i="4" s="1"/>
  <c r="N21" i="4"/>
  <c r="O21" i="4" s="1"/>
  <c r="L21" i="4"/>
  <c r="K21" i="4"/>
  <c r="R21" i="4"/>
  <c r="S21" i="4" s="1"/>
  <c r="P21" i="4"/>
  <c r="Q21" i="4" s="1"/>
  <c r="QC19" i="19"/>
  <c r="P19" i="19"/>
  <c r="CJ19" i="19" s="1"/>
  <c r="QA19" i="19"/>
  <c r="N19" i="19"/>
  <c r="L19" i="19"/>
  <c r="T4" i="22"/>
  <c r="U4" i="22" s="1"/>
  <c r="T9" i="22"/>
  <c r="U9" i="22" s="1"/>
  <c r="T11" i="4"/>
  <c r="U11" i="4" s="1"/>
  <c r="T20" i="4"/>
  <c r="U20" i="4" s="1"/>
  <c r="T4" i="4"/>
  <c r="U4" i="4" s="1"/>
  <c r="T19" i="4"/>
  <c r="U19" i="4" s="1"/>
  <c r="P9" i="19"/>
  <c r="CJ9" i="19" s="1"/>
  <c r="PZ9" i="19"/>
  <c r="PE9" i="19"/>
  <c r="K9" i="19" s="1"/>
  <c r="QA9" i="19"/>
  <c r="QB9" i="19"/>
  <c r="N9" i="19"/>
  <c r="QC9" i="19"/>
  <c r="L9" i="19"/>
  <c r="M9" i="19" s="1"/>
  <c r="QB10" i="26"/>
  <c r="PZ10" i="26"/>
  <c r="SN4" i="22"/>
  <c r="SU4" i="22" s="1"/>
  <c r="N4" i="22"/>
  <c r="O4" i="22" s="1"/>
  <c r="QB21" i="19"/>
  <c r="SN9" i="22"/>
  <c r="SU9" i="22" s="1"/>
  <c r="SN19" i="4"/>
  <c r="SU19" i="4" s="1"/>
  <c r="P4" i="4"/>
  <c r="SN20" i="4"/>
  <c r="SU20" i="4" s="1"/>
  <c r="P11" i="4"/>
  <c r="P20" i="4"/>
  <c r="SN11" i="4"/>
  <c r="SU11" i="4" s="1"/>
  <c r="P19" i="4"/>
  <c r="Q19" i="4" s="1"/>
  <c r="SN4" i="4"/>
  <c r="SU4" i="4" s="1"/>
  <c r="P11" i="21"/>
  <c r="Q11" i="21" s="1"/>
  <c r="PZ11" i="21"/>
  <c r="QB4" i="21"/>
  <c r="QB11" i="21"/>
  <c r="QC11" i="21"/>
  <c r="QC4" i="21"/>
  <c r="QA11" i="21"/>
  <c r="L21" i="19"/>
  <c r="M21" i="19" s="1"/>
  <c r="QB26" i="19"/>
  <c r="QC21" i="19"/>
  <c r="N21" i="19"/>
  <c r="P26" i="19"/>
  <c r="CJ26" i="19" s="1"/>
  <c r="L26" i="19"/>
  <c r="M26" i="19" s="1"/>
  <c r="QB12" i="27"/>
  <c r="PZ12" i="27"/>
  <c r="PE12" i="27"/>
  <c r="K12" i="27" s="1"/>
  <c r="TU4" i="22"/>
  <c r="TU9" i="22"/>
  <c r="TN19" i="4"/>
  <c r="TQ11" i="4"/>
  <c r="CW4" i="4"/>
  <c r="DA4" i="4" s="1"/>
  <c r="TN11" i="4"/>
  <c r="TU20" i="4"/>
  <c r="TQ4" i="4"/>
  <c r="TO11" i="4"/>
  <c r="TQ19" i="4"/>
  <c r="TQ20" i="4"/>
  <c r="TU4" i="4"/>
  <c r="TN20" i="4"/>
  <c r="TN4" i="4"/>
  <c r="TU19" i="4"/>
  <c r="N20" i="4"/>
  <c r="L20" i="4"/>
  <c r="N11" i="4"/>
  <c r="K20" i="4"/>
  <c r="PE11" i="21"/>
  <c r="K11" i="21" s="1"/>
  <c r="L11" i="21"/>
  <c r="N11" i="21"/>
  <c r="P4" i="21"/>
  <c r="PZ4" i="21"/>
  <c r="QA4" i="21"/>
  <c r="QD4" i="21" s="1"/>
  <c r="N4" i="21"/>
  <c r="L4" i="21"/>
  <c r="PE4" i="21"/>
  <c r="K4" i="21" s="1"/>
  <c r="QC26" i="19"/>
  <c r="QA26" i="19"/>
  <c r="QD26" i="19" s="1"/>
  <c r="PE26" i="19"/>
  <c r="K26" i="19" s="1"/>
  <c r="PZ26" i="19"/>
  <c r="N26" i="19"/>
  <c r="PE21" i="19"/>
  <c r="K21" i="19" s="1"/>
  <c r="QA21" i="19"/>
  <c r="PZ21" i="19"/>
  <c r="P21" i="19"/>
  <c r="L12" i="27"/>
  <c r="N12" i="27"/>
  <c r="QC12" i="27"/>
  <c r="P12" i="27"/>
  <c r="QA12" i="27"/>
  <c r="QD12" i="27" s="1"/>
  <c r="PE10" i="26"/>
  <c r="K10" i="26" s="1"/>
  <c r="QC10" i="26"/>
  <c r="P10" i="26"/>
  <c r="QA10" i="26"/>
  <c r="N10" i="26"/>
  <c r="L10" i="26"/>
  <c r="K9" i="22"/>
  <c r="R9" i="22"/>
  <c r="S9" i="22" s="1"/>
  <c r="TQ4" i="22"/>
  <c r="L9" i="22"/>
  <c r="TQ9" i="22"/>
  <c r="R4" i="22"/>
  <c r="S4" i="22" s="1"/>
  <c r="N9" i="22"/>
  <c r="TN4" i="22"/>
  <c r="TN9" i="22"/>
  <c r="CW4" i="22"/>
  <c r="DA4" i="22" s="1"/>
  <c r="L4" i="22"/>
  <c r="K4" i="22"/>
  <c r="R11" i="4"/>
  <c r="S11" i="4" s="1"/>
  <c r="TU11" i="4"/>
  <c r="L11" i="4"/>
  <c r="N4" i="4"/>
  <c r="K11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QD21" i="19" l="1"/>
  <c r="QD9" i="19"/>
  <c r="QD7" i="26"/>
  <c r="QD6" i="26"/>
  <c r="QD10" i="26"/>
  <c r="QD11" i="21"/>
  <c r="J4" i="21"/>
  <c r="J11" i="21"/>
  <c r="QD19" i="19"/>
  <c r="J9" i="19"/>
  <c r="J26" i="19"/>
  <c r="J21" i="19"/>
  <c r="J20" i="19"/>
  <c r="J10" i="19"/>
  <c r="J4" i="19"/>
  <c r="J16" i="19"/>
  <c r="J28" i="19"/>
  <c r="J35" i="19"/>
  <c r="J27" i="19"/>
  <c r="J14" i="19"/>
  <c r="J34" i="19"/>
  <c r="J23" i="19"/>
  <c r="J22" i="19"/>
  <c r="J15" i="19"/>
  <c r="J11" i="19"/>
  <c r="J30" i="19"/>
  <c r="J29" i="19"/>
  <c r="J24" i="19"/>
  <c r="J32" i="19"/>
  <c r="J33" i="19"/>
  <c r="J5" i="19"/>
  <c r="J17" i="19"/>
  <c r="J12" i="19"/>
  <c r="J25" i="19"/>
  <c r="J12" i="27"/>
  <c r="J10" i="26"/>
  <c r="J6" i="26"/>
  <c r="J7" i="26"/>
  <c r="O6" i="26"/>
  <c r="O11" i="21"/>
  <c r="DC11" i="4"/>
  <c r="Q11" i="4"/>
  <c r="DC4" i="4"/>
  <c r="Q4" i="4"/>
  <c r="DC20" i="4"/>
  <c r="Q20" i="4"/>
  <c r="O4" i="21"/>
  <c r="O21" i="19"/>
  <c r="O10" i="26"/>
  <c r="O7" i="26"/>
  <c r="CI19" i="19"/>
  <c r="R19" i="19" s="1"/>
  <c r="O19" i="19"/>
  <c r="O9" i="19"/>
  <c r="O26" i="19"/>
  <c r="O12" i="27"/>
  <c r="J11" i="4"/>
  <c r="J20" i="4"/>
  <c r="J21" i="4"/>
  <c r="DC9" i="22"/>
  <c r="DC4" i="22"/>
  <c r="M21" i="4"/>
  <c r="M20" i="4"/>
  <c r="M7" i="4"/>
  <c r="Q19" i="19"/>
  <c r="CI7" i="26"/>
  <c r="CI6" i="26"/>
  <c r="TR7" i="4"/>
  <c r="TV7" i="4" s="1"/>
  <c r="CJ7" i="26"/>
  <c r="Q7" i="26"/>
  <c r="CJ6" i="26"/>
  <c r="Q6" i="26"/>
  <c r="Q9" i="19"/>
  <c r="DB21" i="4"/>
  <c r="TR21" i="4"/>
  <c r="TV21" i="4" s="1"/>
  <c r="J7" i="4"/>
  <c r="DC7" i="4"/>
  <c r="DB7" i="4"/>
  <c r="DC21" i="4"/>
  <c r="DB19" i="4"/>
  <c r="M19" i="19"/>
  <c r="CI21" i="19"/>
  <c r="CI9" i="19"/>
  <c r="DB11" i="4"/>
  <c r="DB4" i="4"/>
  <c r="CJ11" i="21"/>
  <c r="Q26" i="19"/>
  <c r="DB4" i="22"/>
  <c r="DB9" i="22"/>
  <c r="DB20" i="4"/>
  <c r="TR11" i="4"/>
  <c r="TV11" i="4" s="1"/>
  <c r="O9" i="22"/>
  <c r="TR4" i="4"/>
  <c r="TV4" i="4" s="1"/>
  <c r="TR20" i="4"/>
  <c r="TV20" i="4" s="1"/>
  <c r="TR19" i="4"/>
  <c r="TV19" i="4" s="1"/>
  <c r="O4" i="4"/>
  <c r="DC19" i="4"/>
  <c r="O20" i="4"/>
  <c r="O11" i="4"/>
  <c r="O19" i="4"/>
  <c r="TR4" i="22"/>
  <c r="TV4" i="22" s="1"/>
  <c r="TR9" i="22"/>
  <c r="TV9" i="22" s="1"/>
  <c r="J9" i="22"/>
  <c r="J19" i="4"/>
  <c r="J4" i="4"/>
  <c r="CI4" i="21"/>
  <c r="CJ4" i="21"/>
  <c r="Q4" i="21"/>
  <c r="CI11" i="21"/>
  <c r="M4" i="21"/>
  <c r="M11" i="21"/>
  <c r="CI26" i="19"/>
  <c r="CJ21" i="19"/>
  <c r="Q21" i="19"/>
  <c r="CJ12" i="27"/>
  <c r="Q12" i="27"/>
  <c r="CI12" i="27"/>
  <c r="M12" i="27"/>
  <c r="Q10" i="26"/>
  <c r="CJ10" i="26"/>
  <c r="CI10" i="26"/>
  <c r="M10" i="26"/>
  <c r="M9" i="22"/>
  <c r="J4" i="22"/>
  <c r="M4" i="22"/>
  <c r="M4" i="4"/>
  <c r="M19" i="4"/>
  <c r="M11" i="4"/>
  <c r="A15" i="19" l="1" a="1"/>
  <c r="A15" i="19" s="1"/>
  <c r="B15" i="19" a="1"/>
  <c r="B15" i="19" s="1"/>
  <c r="A27" i="19" a="1"/>
  <c r="A27" i="19" s="1"/>
  <c r="B27" i="19" a="1"/>
  <c r="B27" i="19" s="1"/>
  <c r="A22" i="19" a="1"/>
  <c r="A22" i="19" s="1"/>
  <c r="B22" i="19" a="1"/>
  <c r="B22" i="19" s="1"/>
  <c r="A32" i="19" a="1"/>
  <c r="A32" i="19" s="1"/>
  <c r="B32" i="19" a="1"/>
  <c r="B32" i="19" s="1"/>
  <c r="A24" i="19" a="1"/>
  <c r="A24" i="19" s="1"/>
  <c r="B24" i="19" a="1"/>
  <c r="B24" i="19" s="1"/>
  <c r="A20" i="19" a="1"/>
  <c r="A20" i="19" s="1"/>
  <c r="B20" i="19" a="1"/>
  <c r="B20" i="19" s="1"/>
  <c r="A34" i="19" a="1"/>
  <c r="A34" i="19" s="1"/>
  <c r="B34" i="19" a="1"/>
  <c r="B34" i="19" s="1"/>
  <c r="A30" i="19" a="1"/>
  <c r="A30" i="19" s="1"/>
  <c r="B30" i="19" a="1"/>
  <c r="B30" i="19" s="1"/>
  <c r="B23" i="19" a="1"/>
  <c r="B23" i="19" s="1"/>
  <c r="A23" i="19" a="1"/>
  <c r="A23" i="19" s="1"/>
  <c r="S19" i="19"/>
  <c r="T19" i="19"/>
  <c r="V11" i="4"/>
  <c r="X11" i="4" s="1"/>
  <c r="V4" i="4"/>
  <c r="X4" i="4" s="1"/>
  <c r="B4" i="22" a="1"/>
  <c r="B4" i="22" s="1"/>
  <c r="A11" i="4" a="1"/>
  <c r="A11" i="4" s="1"/>
  <c r="B11" i="4" a="1"/>
  <c r="B11" i="4" s="1"/>
  <c r="A19" i="4" a="1"/>
  <c r="A19" i="4" s="1"/>
  <c r="B19" i="4" a="1"/>
  <c r="B19" i="4" s="1"/>
  <c r="A21" i="4" a="1"/>
  <c r="A21" i="4" s="1"/>
  <c r="B21" i="4" a="1"/>
  <c r="B21" i="4" s="1"/>
  <c r="B11" i="21" a="1"/>
  <c r="B11" i="21" s="1"/>
  <c r="V4" i="22"/>
  <c r="V9" i="22"/>
  <c r="R6" i="26"/>
  <c r="R7" i="26"/>
  <c r="V21" i="4"/>
  <c r="F21" i="4" s="1"/>
  <c r="R9" i="19"/>
  <c r="R21" i="19"/>
  <c r="V7" i="4"/>
  <c r="F7" i="4" s="1"/>
  <c r="F19" i="19"/>
  <c r="R26" i="19"/>
  <c r="R11" i="21"/>
  <c r="V19" i="4"/>
  <c r="X19" i="4" s="1"/>
  <c r="R10" i="26"/>
  <c r="V20" i="4"/>
  <c r="F20" i="4" s="1"/>
  <c r="R4" i="21"/>
  <c r="R12" i="27"/>
  <c r="F4" i="4" l="1"/>
  <c r="F11" i="4"/>
  <c r="W11" i="4"/>
  <c r="S11" i="21"/>
  <c r="T11" i="21"/>
  <c r="S4" i="21"/>
  <c r="T4" i="21"/>
  <c r="F26" i="19"/>
  <c r="S26" i="19"/>
  <c r="T26" i="19"/>
  <c r="S21" i="19"/>
  <c r="T21" i="19"/>
  <c r="F9" i="19"/>
  <c r="S9" i="19"/>
  <c r="T9" i="19"/>
  <c r="T12" i="27"/>
  <c r="S12" i="27"/>
  <c r="F10" i="26"/>
  <c r="S10" i="26"/>
  <c r="T10" i="26"/>
  <c r="F7" i="26"/>
  <c r="S7" i="26"/>
  <c r="T7" i="26"/>
  <c r="F6" i="26"/>
  <c r="S6" i="26"/>
  <c r="T6" i="26"/>
  <c r="W4" i="4"/>
  <c r="B10" i="26" a="1"/>
  <c r="B10" i="26" s="1"/>
  <c r="W9" i="22"/>
  <c r="X9" i="22"/>
  <c r="F4" i="22"/>
  <c r="X4" i="22"/>
  <c r="A19" i="19" a="1"/>
  <c r="A19" i="19" s="1"/>
  <c r="B19" i="19" a="1"/>
  <c r="B19" i="19" s="1"/>
  <c r="F9" i="22"/>
  <c r="A11" i="21" a="1"/>
  <c r="A11" i="21" s="1"/>
  <c r="W4" i="22"/>
  <c r="X21" i="4"/>
  <c r="W21" i="4"/>
  <c r="F19" i="4"/>
  <c r="X7" i="4"/>
  <c r="F21" i="19"/>
  <c r="W7" i="4"/>
  <c r="W19" i="4"/>
  <c r="F11" i="21"/>
  <c r="F4" i="21"/>
  <c r="X20" i="4"/>
  <c r="W20" i="4"/>
  <c r="F12" i="27"/>
  <c r="A7" i="22" l="1" a="1"/>
  <c r="A7" i="22" s="1"/>
  <c r="B7" i="22" a="1"/>
  <c r="B7" i="22" s="1"/>
  <c r="A5" i="22" a="1"/>
  <c r="A5" i="22" s="1"/>
  <c r="B5" i="22" a="1"/>
  <c r="B5" i="22" s="1"/>
  <c r="PX5" i="27"/>
  <c r="PW5" i="27"/>
  <c r="PV5" i="27"/>
  <c r="PU5" i="27"/>
  <c r="PT5" i="27"/>
  <c r="PS5" i="27"/>
  <c r="PR5" i="27"/>
  <c r="PQ5" i="27"/>
  <c r="PP5" i="27"/>
  <c r="PO5" i="27"/>
  <c r="PN5" i="27"/>
  <c r="PM5" i="27"/>
  <c r="PL5" i="27"/>
  <c r="PK5" i="27"/>
  <c r="PJ5" i="27"/>
  <c r="PI5" i="27"/>
  <c r="PG5" i="27"/>
  <c r="PF5" i="27"/>
  <c r="PD5" i="27"/>
  <c r="PC5" i="27"/>
  <c r="PB5" i="27"/>
  <c r="PA5" i="27"/>
  <c r="CG5" i="27"/>
  <c r="CF5" i="27"/>
  <c r="CE5" i="27"/>
  <c r="CD5" i="27"/>
  <c r="PX8" i="27"/>
  <c r="PW8" i="27"/>
  <c r="PV8" i="27"/>
  <c r="PU8" i="27"/>
  <c r="PT8" i="27"/>
  <c r="PS8" i="27"/>
  <c r="PR8" i="27"/>
  <c r="PQ8" i="27"/>
  <c r="PP8" i="27"/>
  <c r="PO8" i="27"/>
  <c r="PN8" i="27"/>
  <c r="PM8" i="27"/>
  <c r="PL8" i="27"/>
  <c r="PK8" i="27"/>
  <c r="PJ8" i="27"/>
  <c r="PI8" i="27"/>
  <c r="PG8" i="27"/>
  <c r="PF8" i="27"/>
  <c r="PD8" i="27"/>
  <c r="PC8" i="27"/>
  <c r="PB8" i="27"/>
  <c r="PA8" i="27"/>
  <c r="CG8" i="27"/>
  <c r="CF8" i="27"/>
  <c r="CE8" i="27"/>
  <c r="CH8" i="27" s="1"/>
  <c r="CD8" i="27"/>
  <c r="PX9" i="26"/>
  <c r="PW9" i="26"/>
  <c r="PV9" i="26"/>
  <c r="PU9" i="26"/>
  <c r="PT9" i="26"/>
  <c r="PS9" i="26"/>
  <c r="PR9" i="26"/>
  <c r="PQ9" i="26"/>
  <c r="PP9" i="26"/>
  <c r="PO9" i="26"/>
  <c r="PN9" i="26"/>
  <c r="PM9" i="26"/>
  <c r="PL9" i="26"/>
  <c r="PK9" i="26"/>
  <c r="PJ9" i="26"/>
  <c r="PI9" i="26"/>
  <c r="PG9" i="26"/>
  <c r="PF9" i="26"/>
  <c r="PD9" i="26"/>
  <c r="PC9" i="26"/>
  <c r="PB9" i="26"/>
  <c r="PA9" i="26"/>
  <c r="CG9" i="26"/>
  <c r="CF9" i="26"/>
  <c r="CE9" i="26"/>
  <c r="CD9" i="26"/>
  <c r="CH5" i="27" l="1"/>
  <c r="CH9" i="26"/>
  <c r="H8" i="27"/>
  <c r="H5" i="27"/>
  <c r="PH8" i="27"/>
  <c r="PH5" i="27"/>
  <c r="PH9" i="26"/>
  <c r="I8" i="27"/>
  <c r="I5" i="27"/>
  <c r="H9" i="26"/>
  <c r="I9" i="26"/>
  <c r="PE5" i="27"/>
  <c r="K5" i="27" s="1"/>
  <c r="PZ9" i="26"/>
  <c r="PE9" i="26"/>
  <c r="K9" i="26" s="1"/>
  <c r="P8" i="27"/>
  <c r="Q8" i="27" s="1"/>
  <c r="PZ5" i="27"/>
  <c r="QB5" i="27"/>
  <c r="P5" i="27"/>
  <c r="Q5" i="27" s="1"/>
  <c r="L8" i="27"/>
  <c r="M8" i="27" s="1"/>
  <c r="QA8" i="27"/>
  <c r="QD8" i="27" s="1"/>
  <c r="L5" i="27"/>
  <c r="M5" i="27" s="1"/>
  <c r="QB8" i="27"/>
  <c r="P9" i="26"/>
  <c r="Q9" i="26" s="1"/>
  <c r="QA9" i="26"/>
  <c r="QC9" i="26"/>
  <c r="QB9" i="26"/>
  <c r="QA5" i="27"/>
  <c r="QD5" i="27" s="1"/>
  <c r="N5" i="27"/>
  <c r="N8" i="27"/>
  <c r="QC8" i="27"/>
  <c r="PZ8" i="27"/>
  <c r="PE8" i="27"/>
  <c r="K8" i="27" s="1"/>
  <c r="QC5" i="27"/>
  <c r="L9" i="26"/>
  <c r="N9" i="26"/>
  <c r="QD9" i="26" l="1"/>
  <c r="J8" i="27"/>
  <c r="J5" i="27"/>
  <c r="J9" i="26"/>
  <c r="O9" i="26"/>
  <c r="O8" i="27"/>
  <c r="O5" i="27"/>
  <c r="CJ5" i="27"/>
  <c r="CJ8" i="27"/>
  <c r="CJ9" i="26"/>
  <c r="CI5" i="27"/>
  <c r="CI8" i="27"/>
  <c r="CI9" i="26"/>
  <c r="M9" i="26"/>
  <c r="R8" i="27" l="1"/>
  <c r="R5" i="27"/>
  <c r="R9" i="26"/>
  <c r="T5" i="27" l="1"/>
  <c r="S5" i="27"/>
  <c r="S8" i="27"/>
  <c r="T8" i="27"/>
  <c r="S9" i="26"/>
  <c r="T9" i="26"/>
  <c r="F8" i="27"/>
  <c r="F5" i="27"/>
  <c r="A6" i="27" s="1" a="1"/>
  <c r="A6" i="27" s="1"/>
  <c r="F9" i="26"/>
  <c r="CD18" i="19"/>
  <c r="CE18" i="19"/>
  <c r="CF18" i="19"/>
  <c r="CG18" i="19"/>
  <c r="PA18" i="19"/>
  <c r="PB18" i="19"/>
  <c r="PC18" i="19"/>
  <c r="PD18" i="19"/>
  <c r="PF18" i="19"/>
  <c r="PG18" i="19"/>
  <c r="PI18" i="19"/>
  <c r="PJ18" i="19"/>
  <c r="PK18" i="19"/>
  <c r="PL18" i="19"/>
  <c r="PM18" i="19"/>
  <c r="PN18" i="19"/>
  <c r="PO18" i="19"/>
  <c r="PP18" i="19"/>
  <c r="PQ18" i="19"/>
  <c r="PR18" i="19"/>
  <c r="PS18" i="19"/>
  <c r="PT18" i="19"/>
  <c r="PU18" i="19"/>
  <c r="PV18" i="19"/>
  <c r="PW18" i="19"/>
  <c r="PX18" i="19"/>
  <c r="CH18" i="19" l="1"/>
  <c r="B6" i="27" a="1"/>
  <c r="B6" i="27" s="1"/>
  <c r="B16" i="26" a="1"/>
  <c r="B16" i="26" s="1"/>
  <c r="B18" i="26" a="1"/>
  <c r="B18" i="26" s="1"/>
  <c r="A18" i="26" a="1"/>
  <c r="A18" i="26" s="1"/>
  <c r="A16" i="26" a="1"/>
  <c r="A16" i="26" s="1"/>
  <c r="B18" i="27" a="1"/>
  <c r="B18" i="27" s="1"/>
  <c r="A18" i="27" a="1"/>
  <c r="A18" i="27" s="1"/>
  <c r="B11" i="26" a="1"/>
  <c r="B11" i="26" s="1"/>
  <c r="A11" i="26" a="1"/>
  <c r="A11" i="26" s="1"/>
  <c r="B19" i="26" a="1"/>
  <c r="B19" i="26" s="1"/>
  <c r="A19" i="26" a="1"/>
  <c r="A19" i="26" s="1"/>
  <c r="B8" i="26" a="1"/>
  <c r="B8" i="26" s="1"/>
  <c r="A8" i="26" a="1"/>
  <c r="A8" i="26" s="1"/>
  <c r="B9" i="27" a="1"/>
  <c r="B9" i="27" s="1"/>
  <c r="B5" i="27" a="1"/>
  <c r="B5" i="27" s="1"/>
  <c r="A9" i="27" a="1"/>
  <c r="A9" i="27" s="1"/>
  <c r="A11" i="27" a="1"/>
  <c r="A11" i="27" s="1"/>
  <c r="B7" i="27" a="1"/>
  <c r="B7" i="27" s="1"/>
  <c r="A20" i="26" a="1"/>
  <c r="A20" i="26" s="1"/>
  <c r="B20" i="26" a="1"/>
  <c r="B20" i="26" s="1"/>
  <c r="A6" i="26" a="1"/>
  <c r="A6" i="26" s="1"/>
  <c r="B6" i="26" a="1"/>
  <c r="B6" i="26" s="1"/>
  <c r="B11" i="27" a="1"/>
  <c r="B11" i="27" s="1"/>
  <c r="A7" i="27" a="1"/>
  <c r="A7" i="27" s="1"/>
  <c r="B15" i="27" a="1"/>
  <c r="B15" i="27" s="1"/>
  <c r="A15" i="27" a="1"/>
  <c r="A15" i="27" s="1"/>
  <c r="A13" i="26" a="1"/>
  <c r="A13" i="26" s="1"/>
  <c r="B13" i="26" a="1"/>
  <c r="B13" i="26" s="1"/>
  <c r="B10" i="27" a="1"/>
  <c r="B10" i="27" s="1"/>
  <c r="A10" i="27" a="1"/>
  <c r="A10" i="27" s="1"/>
  <c r="B12" i="27" a="1"/>
  <c r="B12" i="27" s="1"/>
  <c r="B17" i="27" a="1"/>
  <c r="B17" i="27" s="1"/>
  <c r="B8" i="27" a="1"/>
  <c r="B8" i="27" s="1"/>
  <c r="A9" i="26" a="1"/>
  <c r="A9" i="26" s="1"/>
  <c r="B9" i="26" a="1"/>
  <c r="B9" i="26" s="1"/>
  <c r="B7" i="26" a="1"/>
  <c r="B7" i="26" s="1"/>
  <c r="PH18" i="19"/>
  <c r="A12" i="27" a="1"/>
  <c r="A12" i="27" s="1"/>
  <c r="A8" i="27" a="1"/>
  <c r="A8" i="27" s="1"/>
  <c r="I18" i="19"/>
  <c r="H18" i="19"/>
  <c r="A17" i="27" a="1"/>
  <c r="A17" i="27" s="1"/>
  <c r="A4" i="27" a="1"/>
  <c r="A4" i="27" s="1"/>
  <c r="A5" i="27" a="1"/>
  <c r="A5" i="27" s="1"/>
  <c r="A5" i="26" a="1"/>
  <c r="A5" i="26" s="1"/>
  <c r="A4" i="26" a="1"/>
  <c r="A4" i="26" s="1"/>
  <c r="A10" i="26" a="1"/>
  <c r="A10" i="26" s="1"/>
  <c r="A7" i="26" a="1"/>
  <c r="A7" i="26" s="1"/>
  <c r="PE18" i="19"/>
  <c r="K18" i="19" s="1"/>
  <c r="PZ18" i="19"/>
  <c r="P18" i="19"/>
  <c r="QB18" i="19"/>
  <c r="QC18" i="19"/>
  <c r="QA18" i="19"/>
  <c r="N18" i="19"/>
  <c r="L18" i="19"/>
  <c r="QD18" i="19" l="1"/>
  <c r="J18" i="19"/>
  <c r="O18" i="19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CI18" i="19"/>
  <c r="Q18" i="19"/>
  <c r="CJ18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M18" i="19"/>
  <c r="R18" i="19" l="1"/>
  <c r="S18" i="19" l="1"/>
  <c r="T18" i="19"/>
  <c r="F18" i="19"/>
  <c r="CD8" i="19" l="1"/>
  <c r="CE8" i="19"/>
  <c r="CF8" i="19"/>
  <c r="CG8" i="19"/>
  <c r="PA8" i="19"/>
  <c r="PB8" i="19"/>
  <c r="PC8" i="19"/>
  <c r="PD8" i="19"/>
  <c r="PF8" i="19"/>
  <c r="PG8" i="19"/>
  <c r="PI8" i="19"/>
  <c r="PJ8" i="19"/>
  <c r="PK8" i="19"/>
  <c r="PL8" i="19"/>
  <c r="PM8" i="19"/>
  <c r="PN8" i="19"/>
  <c r="PO8" i="19"/>
  <c r="PP8" i="19"/>
  <c r="PQ8" i="19"/>
  <c r="PR8" i="19"/>
  <c r="PS8" i="19"/>
  <c r="PT8" i="19"/>
  <c r="PU8" i="19"/>
  <c r="PV8" i="19"/>
  <c r="PW8" i="19"/>
  <c r="PX8" i="19"/>
  <c r="CD31" i="19"/>
  <c r="CE31" i="19"/>
  <c r="CF31" i="19"/>
  <c r="CG31" i="19"/>
  <c r="PA31" i="19"/>
  <c r="PB31" i="19"/>
  <c r="PC31" i="19"/>
  <c r="PD31" i="19"/>
  <c r="PF31" i="19"/>
  <c r="PG31" i="19"/>
  <c r="PI31" i="19"/>
  <c r="PJ31" i="19"/>
  <c r="PK31" i="19"/>
  <c r="PL31" i="19"/>
  <c r="PM31" i="19"/>
  <c r="PN31" i="19"/>
  <c r="PO31" i="19"/>
  <c r="PP31" i="19"/>
  <c r="PQ31" i="19"/>
  <c r="PR31" i="19"/>
  <c r="PS31" i="19"/>
  <c r="PT31" i="19"/>
  <c r="PU31" i="19"/>
  <c r="PV31" i="19"/>
  <c r="PW31" i="19"/>
  <c r="PX31" i="19"/>
  <c r="CH31" i="19" l="1"/>
  <c r="CH8" i="19"/>
  <c r="PH31" i="19"/>
  <c r="PH8" i="19"/>
  <c r="I31" i="19"/>
  <c r="I8" i="19"/>
  <c r="H31" i="19"/>
  <c r="H8" i="19"/>
  <c r="QB8" i="19"/>
  <c r="PZ8" i="19"/>
  <c r="P8" i="19"/>
  <c r="PE8" i="19"/>
  <c r="K8" i="19" s="1"/>
  <c r="QA8" i="19"/>
  <c r="QC8" i="19"/>
  <c r="N8" i="19"/>
  <c r="L8" i="19"/>
  <c r="QB31" i="19"/>
  <c r="PZ31" i="19"/>
  <c r="PE31" i="19"/>
  <c r="K31" i="19" s="1"/>
  <c r="P31" i="19"/>
  <c r="CJ31" i="19" s="1"/>
  <c r="QA31" i="19"/>
  <c r="QC31" i="19"/>
  <c r="N31" i="19"/>
  <c r="L31" i="19"/>
  <c r="M31" i="19" s="1"/>
  <c r="QD8" i="19" l="1"/>
  <c r="QD31" i="19"/>
  <c r="J31" i="19"/>
  <c r="J8" i="19"/>
  <c r="O8" i="19"/>
  <c r="CI31" i="19"/>
  <c r="R31" i="19" s="1"/>
  <c r="O31" i="19"/>
  <c r="Q8" i="19"/>
  <c r="CJ8" i="19"/>
  <c r="CI8" i="19"/>
  <c r="Q31" i="19"/>
  <c r="M8" i="19"/>
  <c r="S31" i="19" l="1"/>
  <c r="T31" i="19"/>
  <c r="R8" i="19"/>
  <c r="F31" i="19"/>
  <c r="S8" i="19" l="1"/>
  <c r="T8" i="19"/>
  <c r="F8" i="19"/>
  <c r="CD9" i="21" l="1"/>
  <c r="CE9" i="21"/>
  <c r="CF9" i="21"/>
  <c r="CG9" i="21"/>
  <c r="PA9" i="21"/>
  <c r="PB9" i="21"/>
  <c r="PC9" i="21"/>
  <c r="PD9" i="21"/>
  <c r="PF9" i="21"/>
  <c r="PG9" i="21"/>
  <c r="CH9" i="21" l="1"/>
  <c r="PH9" i="21"/>
  <c r="I9" i="21"/>
  <c r="H9" i="21"/>
  <c r="P9" i="21"/>
  <c r="CJ9" i="21" s="1"/>
  <c r="QB9" i="21"/>
  <c r="PZ9" i="21"/>
  <c r="PE9" i="21"/>
  <c r="K9" i="21" s="1"/>
  <c r="QA9" i="21"/>
  <c r="QC9" i="21"/>
  <c r="N9" i="21"/>
  <c r="L9" i="21"/>
  <c r="QD9" i="21" l="1"/>
  <c r="J9" i="21"/>
  <c r="O9" i="21"/>
  <c r="CI9" i="21"/>
  <c r="M9" i="21"/>
  <c r="Q9" i="21"/>
  <c r="R9" i="21" l="1"/>
  <c r="S9" i="21" l="1"/>
  <c r="T9" i="21"/>
  <c r="F9" i="21"/>
  <c r="A4" i="22" l="1" a="1"/>
  <c r="A4" i="22" s="1"/>
  <c r="B6" i="22" a="1"/>
  <c r="B6" i="22" s="1"/>
  <c r="B9" i="22" a="1"/>
  <c r="B9" i="22" s="1"/>
  <c r="A6" i="22" a="1"/>
  <c r="A6" i="22" s="1"/>
  <c r="A9" i="22" a="1"/>
  <c r="A9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0" i="4" l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I10" i="4" l="1"/>
  <c r="H10" i="4"/>
  <c r="T10" i="4"/>
  <c r="U10" i="4" s="1"/>
  <c r="P10" i="4"/>
  <c r="Q10" i="4" s="1"/>
  <c r="R10" i="4"/>
  <c r="S10" i="4" s="1"/>
  <c r="SN10" i="4"/>
  <c r="SU10" i="4" s="1"/>
  <c r="CW10" i="4"/>
  <c r="DA10" i="4" s="1"/>
  <c r="TQ10" i="4"/>
  <c r="TU10" i="4"/>
  <c r="N10" i="4"/>
  <c r="L10" i="4"/>
  <c r="K10" i="4"/>
  <c r="TN10" i="4"/>
  <c r="DB10" i="4" l="1"/>
  <c r="DC10" i="4"/>
  <c r="O10" i="4"/>
  <c r="TR10" i="4"/>
  <c r="TV10" i="4" s="1"/>
  <c r="M10" i="4"/>
  <c r="J10" i="4" l="1"/>
  <c r="V10" i="4"/>
  <c r="X10" i="4" s="1"/>
  <c r="A10" i="4" l="1" a="1"/>
  <c r="A10" i="4" s="1"/>
  <c r="B10" i="4" a="1"/>
  <c r="B10" i="4" s="1"/>
  <c r="F10" i="4"/>
  <c r="W10" i="4"/>
  <c r="PD7" i="19"/>
  <c r="PD13" i="19"/>
  <c r="PD6" i="19"/>
  <c r="PC6" i="19"/>
  <c r="PC13" i="19"/>
  <c r="PC7" i="19"/>
  <c r="CD13" i="19"/>
  <c r="CE13" i="19"/>
  <c r="CF13" i="19"/>
  <c r="CG13" i="19"/>
  <c r="PA13" i="19"/>
  <c r="PB13" i="19"/>
  <c r="PF13" i="19"/>
  <c r="PG13" i="19"/>
  <c r="PI13" i="19"/>
  <c r="PJ13" i="19"/>
  <c r="PK13" i="19"/>
  <c r="PL13" i="19"/>
  <c r="PM13" i="19"/>
  <c r="PN13" i="19"/>
  <c r="PO13" i="19"/>
  <c r="PP13" i="19"/>
  <c r="PQ13" i="19"/>
  <c r="PR13" i="19"/>
  <c r="PS13" i="19"/>
  <c r="PT13" i="19"/>
  <c r="PU13" i="19"/>
  <c r="PV13" i="19"/>
  <c r="PW13" i="19"/>
  <c r="PX13" i="19"/>
  <c r="CD7" i="19"/>
  <c r="CE7" i="19"/>
  <c r="CF7" i="19"/>
  <c r="CG7" i="19"/>
  <c r="PA7" i="19"/>
  <c r="PB7" i="19"/>
  <c r="PF7" i="19"/>
  <c r="PG7" i="19"/>
  <c r="PI7" i="19"/>
  <c r="PJ7" i="19"/>
  <c r="PK7" i="19"/>
  <c r="PL7" i="19"/>
  <c r="PM7" i="19"/>
  <c r="PN7" i="19"/>
  <c r="PO7" i="19"/>
  <c r="PP7" i="19"/>
  <c r="PQ7" i="19"/>
  <c r="PR7" i="19"/>
  <c r="PS7" i="19"/>
  <c r="PT7" i="19"/>
  <c r="PU7" i="19"/>
  <c r="PV7" i="19"/>
  <c r="PW7" i="19"/>
  <c r="PX7" i="19"/>
  <c r="PX6" i="19"/>
  <c r="PW6" i="19"/>
  <c r="PV6" i="19"/>
  <c r="PU6" i="19"/>
  <c r="PT6" i="19"/>
  <c r="PS6" i="19"/>
  <c r="PR6" i="19"/>
  <c r="PQ6" i="19"/>
  <c r="PP6" i="19"/>
  <c r="PO6" i="19"/>
  <c r="PN6" i="19"/>
  <c r="PM6" i="19"/>
  <c r="PL6" i="19"/>
  <c r="PK6" i="19"/>
  <c r="PJ6" i="19"/>
  <c r="PI6" i="19"/>
  <c r="PG6" i="19"/>
  <c r="PF6" i="19"/>
  <c r="PB6" i="19"/>
  <c r="PA6" i="19"/>
  <c r="CG6" i="19"/>
  <c r="CF6" i="19"/>
  <c r="CE6" i="19"/>
  <c r="CH6" i="19" s="1"/>
  <c r="CD6" i="19"/>
  <c r="CH13" i="19" l="1"/>
  <c r="CH7" i="19"/>
  <c r="PH7" i="19"/>
  <c r="PH6" i="19"/>
  <c r="PH13" i="19"/>
  <c r="I7" i="19"/>
  <c r="I13" i="19"/>
  <c r="H7" i="19"/>
  <c r="H13" i="19"/>
  <c r="H6" i="19"/>
  <c r="I6" i="19"/>
  <c r="PE13" i="19"/>
  <c r="K13" i="19" s="1"/>
  <c r="PE6" i="19"/>
  <c r="K6" i="19" s="1"/>
  <c r="PE7" i="19"/>
  <c r="K7" i="19" s="1"/>
  <c r="QB7" i="19"/>
  <c r="PZ7" i="19"/>
  <c r="P7" i="19"/>
  <c r="CJ7" i="19" s="1"/>
  <c r="QA7" i="19"/>
  <c r="P13" i="19"/>
  <c r="CJ13" i="19" s="1"/>
  <c r="QC7" i="19"/>
  <c r="L7" i="19"/>
  <c r="QA13" i="19"/>
  <c r="QB13" i="19"/>
  <c r="PZ13" i="19"/>
  <c r="N13" i="19"/>
  <c r="L13" i="19"/>
  <c r="QC13" i="19"/>
  <c r="N7" i="19"/>
  <c r="P6" i="19"/>
  <c r="CJ6" i="19" s="1"/>
  <c r="PZ6" i="19"/>
  <c r="QA6" i="19"/>
  <c r="QC6" i="19"/>
  <c r="QB6" i="19"/>
  <c r="L6" i="19"/>
  <c r="N6" i="19"/>
  <c r="QD7" i="19" l="1"/>
  <c r="QD13" i="19"/>
  <c r="QD6" i="19"/>
  <c r="J7" i="19"/>
  <c r="J6" i="19"/>
  <c r="J13" i="19"/>
  <c r="CI13" i="19"/>
  <c r="R13" i="19" s="1"/>
  <c r="O13" i="19"/>
  <c r="CI7" i="19"/>
  <c r="O7" i="19"/>
  <c r="CI6" i="19"/>
  <c r="O6" i="19"/>
  <c r="Q6" i="19"/>
  <c r="Q7" i="19"/>
  <c r="M6" i="19"/>
  <c r="M7" i="19"/>
  <c r="Q13" i="19"/>
  <c r="M13" i="19"/>
  <c r="S13" i="19" l="1"/>
  <c r="T13" i="19"/>
  <c r="F13" i="19"/>
  <c r="R7" i="19"/>
  <c r="R6" i="19"/>
  <c r="S6" i="19" l="1"/>
  <c r="T6" i="19"/>
  <c r="S7" i="19"/>
  <c r="T7" i="19"/>
  <c r="B21" i="19" a="1"/>
  <c r="B21" i="19" s="1"/>
  <c r="F7" i="19"/>
  <c r="F6" i="19"/>
  <c r="A8" i="21" l="1" a="1"/>
  <c r="A8" i="21" s="1"/>
  <c r="B8" i="21" a="1"/>
  <c r="B8" i="21" s="1"/>
  <c r="B10" i="21" a="1"/>
  <c r="B10" i="21" s="1"/>
  <c r="A9" i="21" a="1"/>
  <c r="A9" i="21" s="1"/>
  <c r="B9" i="21" a="1"/>
  <c r="B9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1" i="19" a="1"/>
  <c r="B11" i="19" s="1"/>
  <c r="A4" i="19" a="1"/>
  <c r="A4" i="19" s="1"/>
  <c r="A16" i="19" a="1"/>
  <c r="A16" i="19" s="1"/>
  <c r="A11" i="19" a="1"/>
  <c r="A11" i="19" s="1"/>
  <c r="A10" i="19" a="1"/>
  <c r="A10" i="19" s="1"/>
  <c r="B4" i="19" a="1"/>
  <c r="B4" i="19" s="1"/>
  <c r="B16" i="19" a="1"/>
  <c r="B16" i="19" s="1"/>
  <c r="B10" i="19" a="1"/>
  <c r="B10" i="19" s="1"/>
  <c r="B12" i="19" a="1"/>
  <c r="B12" i="19" s="1"/>
  <c r="A12" i="19" a="1"/>
  <c r="A12" i="19" s="1"/>
  <c r="A17" i="19" a="1"/>
  <c r="A17" i="19" s="1"/>
  <c r="B17" i="19" a="1"/>
  <c r="B17" i="19" s="1"/>
  <c r="B4" i="21" a="1"/>
  <c r="B4" i="21" s="1"/>
  <c r="A5" i="21" a="1"/>
  <c r="A5" i="21" s="1"/>
  <c r="B5" i="21" a="1"/>
  <c r="B5" i="21" s="1"/>
  <c r="B14" i="19" a="1"/>
  <c r="B14" i="19" s="1"/>
  <c r="A14" i="19" a="1"/>
  <c r="A14" i="19" s="1"/>
  <c r="A5" i="19" a="1"/>
  <c r="A5" i="19" s="1"/>
  <c r="B29" i="19" a="1"/>
  <c r="B29" i="19" s="1"/>
  <c r="B5" i="19" a="1"/>
  <c r="B5" i="19" s="1"/>
  <c r="A35" i="19" a="1"/>
  <c r="A35" i="19" s="1"/>
  <c r="B35" i="19" a="1"/>
  <c r="B35" i="19" s="1"/>
  <c r="A29" i="19" a="1"/>
  <c r="A29" i="19" s="1"/>
  <c r="B28" i="19" a="1"/>
  <c r="B28" i="19" s="1"/>
  <c r="A28" i="19" a="1"/>
  <c r="A28" i="19" s="1"/>
  <c r="B7" i="21" a="1"/>
  <c r="B7" i="21" s="1"/>
  <c r="B6" i="19" a="1"/>
  <c r="B6" i="19" s="1"/>
  <c r="B13" i="19" a="1"/>
  <c r="B13" i="19" s="1"/>
  <c r="B9" i="19" a="1"/>
  <c r="B9" i="19" s="1"/>
  <c r="B26" i="19" a="1"/>
  <c r="B26" i="19" s="1"/>
  <c r="B31" i="19" a="1"/>
  <c r="B31" i="19" s="1"/>
  <c r="B25" i="19" a="1"/>
  <c r="B25" i="19" s="1"/>
  <c r="B8" i="19" a="1"/>
  <c r="B8" i="19" s="1"/>
  <c r="B18" i="19" a="1"/>
  <c r="B18" i="19" s="1"/>
  <c r="B7" i="19" a="1"/>
  <c r="B7" i="19" s="1"/>
  <c r="A7" i="19" a="1"/>
  <c r="A7" i="19" s="1"/>
  <c r="A13" i="19" a="1"/>
  <c r="A13" i="19" s="1"/>
  <c r="A6" i="19" a="1"/>
  <c r="A6" i="19" s="1"/>
  <c r="A4" i="21" a="1"/>
  <c r="A4" i="21" s="1"/>
  <c r="A7" i="21" a="1"/>
  <c r="A7" i="21" s="1"/>
  <c r="A25" i="19" a="1"/>
  <c r="A25" i="19" s="1"/>
  <c r="A26" i="19" a="1"/>
  <c r="A26" i="19" s="1"/>
  <c r="A18" i="19" a="1"/>
  <c r="A18" i="19" s="1"/>
  <c r="A21" i="19" a="1"/>
  <c r="A21" i="19" s="1"/>
  <c r="A31" i="19" a="1"/>
  <c r="A31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U17" i="4"/>
  <c r="CR17" i="4"/>
  <c r="CQ17" i="4"/>
  <c r="SN17" i="4" l="1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7" i="4"/>
  <c r="CT17" i="4"/>
  <c r="CV17" i="4"/>
  <c r="CX17" i="4"/>
  <c r="CZ17" i="4"/>
  <c r="I17" i="4" l="1"/>
  <c r="H17" i="4"/>
  <c r="T17" i="4"/>
  <c r="U17" i="4" s="1"/>
  <c r="P17" i="4"/>
  <c r="Q17" i="4" s="1"/>
  <c r="R17" i="4"/>
  <c r="S17" i="4" s="1"/>
  <c r="L17" i="4"/>
  <c r="N17" i="4"/>
  <c r="K17" i="4"/>
  <c r="TQ17" i="4"/>
  <c r="TU17" i="4"/>
  <c r="CW17" i="4"/>
  <c r="DA17" i="4" s="1"/>
  <c r="SW17" i="4"/>
  <c r="SX17" i="4"/>
  <c r="TL17" i="4" s="1"/>
  <c r="SY17" i="4"/>
  <c r="TM17" i="4" s="1"/>
  <c r="SV17" i="4"/>
  <c r="J17" i="4" l="1"/>
  <c r="M17" i="4"/>
  <c r="DB17" i="4"/>
  <c r="DC17" i="4"/>
  <c r="TN17" i="4"/>
  <c r="TR17" i="4" s="1"/>
  <c r="TV17" i="4" s="1"/>
  <c r="O17" i="4"/>
  <c r="V17" i="4" l="1"/>
  <c r="X17" i="4" s="1"/>
  <c r="F17" i="4" l="1"/>
  <c r="W17" i="4"/>
  <c r="B5" i="4" l="1" a="1"/>
  <c r="B5" i="4" s="1"/>
  <c r="B9" i="4" a="1"/>
  <c r="B9" i="4" s="1"/>
  <c r="A9" i="4" a="1"/>
  <c r="A9" i="4" s="1"/>
  <c r="B6" i="4" a="1"/>
  <c r="B6" i="4" s="1"/>
  <c r="A6" i="4" a="1"/>
  <c r="A6" i="4" s="1"/>
  <c r="B8" i="4" a="1"/>
  <c r="B8" i="4" s="1"/>
  <c r="B15" i="4" a="1"/>
  <c r="B15" i="4" s="1"/>
  <c r="A15" i="4" a="1"/>
  <c r="A15" i="4" s="1"/>
  <c r="A8" i="4" a="1"/>
  <c r="A8" i="4" s="1"/>
  <c r="A5" i="4" a="1"/>
  <c r="A5" i="4" s="1"/>
  <c r="B17" i="4" a="1"/>
  <c r="B17" i="4" s="1"/>
  <c r="A17" i="4" a="1"/>
  <c r="A17" i="4" s="1"/>
  <c r="B7" i="4" a="1"/>
  <c r="B7" i="4" s="1"/>
  <c r="A7" i="4" a="1"/>
  <c r="A7" i="4" s="1"/>
  <c r="B16" i="4" a="1"/>
  <c r="B16" i="4" s="1"/>
  <c r="B4" i="4" a="1"/>
  <c r="B4" i="4" s="1"/>
  <c r="B20" i="4" a="1"/>
  <c r="B20" i="4" s="1"/>
  <c r="A4" i="4" a="1"/>
  <c r="A4" i="4" s="1"/>
  <c r="A16" i="4" a="1"/>
  <c r="A16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<sst xmlns="http://schemas.openxmlformats.org/spreadsheetml/2006/main" count="3846" uniqueCount="205">
  <si>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</si>
  <si>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</si>
  <si>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</si>
  <si>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</si>
  <si>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</si>
  <si>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</si>
  <si>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</si>
  <si>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</si>
  <si>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</si>
  <si>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</si>
  <si>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</si>
  <si>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</si>
  <si>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</si>
  <si>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</si>
  <si>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</si>
  <si>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</si>
  <si>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</si>
  <si>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</si>
  <si>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</si>
  <si>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</si>
  <si>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</si>
  <si>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</si>
  <si>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</si>
  <si>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</si>
  <si>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</si>
  <si>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</si>
  <si>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</si>
  <si>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</si>
  <si>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</si>
  <si>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</si>
  <si>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</si>
  <si>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</si>
  <si>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</si>
  <si>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</si>
  <si>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</si>
  <si>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</si>
  <si>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</si>
  <si>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</si>
  <si>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</si>
  <si>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</si>
  <si>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</si>
  <si>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</si>
  <si>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</si>
  <si>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</si>
  <si>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</si>
  <si>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</si>
  <si>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</si>
  <si>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</si>
  <si>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</si>
  <si>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</si>
  <si>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</si>
  <si>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</si>
  <si>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</si>
  <si>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</si>
  <si>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</si>
  <si>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</si>
  <si>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</si>
  <si>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</si>
  <si>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</si>
  <si>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</si>
  <si>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</si>
  <si>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</si>
  <si>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</si>
  <si>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</si>
  <si>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</si>
  <si>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</si>
  <si>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</si>
  <si>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</si>
  <si>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</si>
  <si>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</si>
  <si>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</si>
  <si>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</si>
  <si>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</si>
  <si>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</si>
  <si>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</si>
  <si>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</si>
  <si>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</si>
  <si>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</si>
  <si>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</si>
  <si>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</si>
  <si>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</si>
  <si>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</si>
  <si>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</si>
  <si>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</si>
  <si>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</si>
  <si>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</si>
  <si>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</si>
  <si>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</si>
  <si>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</si>
  <si>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</si>
  <si>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</si>
  <si>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</si>
  <si>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</si>
  <si>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</si>
  <si>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</si>
  <si>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</si>
  <si>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</si>
  <si>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</si>
  <si>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</si>
  <si>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</si>
  <si>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</si>
  <si>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</si>
  <si>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</si>
  <si>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</si>
  <si>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</si>
  <si>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</si>
  <si>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</si>
  <si>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</si>
  <si>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</si>
  <si>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</si>
  <si>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</si>
  <si>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</si>
  <si>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</si>
  <si>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</si>
  <si>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</si>
  <si>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</si>
  <si>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</si>
  <si>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</si>
  <si>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</si>
  <si>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</si>
  <si>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</si>
  <si>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</si>
  <si>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</si>
  <si>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</si>
  <si>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</si>
  <si>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</si>
  <si>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</si>
  <si>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</si>
  <si>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</si>
  <si>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</si>
  <si>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</si>
  <si>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</si>
  <si>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</si>
  <si>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</si>
  <si>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</si>
  <si>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</si>
  <si>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</si>
  <si>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</si>
  <si>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</si>
  <si>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</si>
  <si>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</si>
  <si>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</si>
  <si>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</si>
  <si>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</si>
  <si>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</si>
  <si>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</si>
  <si>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</si>
  <si>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</si>
  <si>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</si>
  <si>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</si>
  <si>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</si>
  <si>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</si>
  <si>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</si>
  <si>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</si>
  <si>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</si>
  <si>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</si>
  <si>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</si>
  <si>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</si>
  <si>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</si>
  <si>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</si>
  <si>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</si>
  <si>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</si>
  <si>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</si>
  <si>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</si>
  <si>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</si>
  <si>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</si>
  <si>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</si>
  <si>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</si>
  <si>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</si>
  <si>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</si>
  <si>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</si>
  <si>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</si>
  <si>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</si>
  <si>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</si>
  <si>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</si>
  <si>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</si>
  <si>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</si>
  <si>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</si>
  <si>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</si>
  <si>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</si>
  <si>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</si>
  <si>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</si>
  <si>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</si>
  <si>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</si>
  <si>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</si>
  <si>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</si>
  <si>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</si>
  <si>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</si>
  <si>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</si>
  <si>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</si>
  <si>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</si>
  <si>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</si>
  <si>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</si>
  <si>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</si>
  <si>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</si>
  <si>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</si>
  <si>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</si>
  <si>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NL</t>
  </si>
  <si>
    <t>EVSTIGNEEV, Gleb</t>
  </si>
  <si>
    <t>BECKETT, Aleisha</t>
  </si>
  <si>
    <t>2025 World Cup GER (Sept 21)</t>
  </si>
  <si>
    <t>2025 World Cup FRA (Oct 5)</t>
  </si>
  <si>
    <t>2025 Worlds (Nov 9)</t>
  </si>
  <si>
    <t>2025 WAGC (Nov 16)</t>
  </si>
  <si>
    <t>2025 WAGC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</si>
</sst>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64"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EVSTIGNEEV, Gleb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No DD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KUZNAK, Sienna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SARTISON, Torrance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MALLAIS, Rylan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HOWELL, Kayla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KUZNAK, Sienna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Emily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SCHMIDT, Makena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45977</v>
      </c>
      <c r="C34" s="66"/>
    </row>
    <row r="35" spans="1:3" x14ac:dyDescent="0.2">
      <c r="B35" t="s">
        <v>204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63" priority="6" operator="containsText" text="No DD">
      <formula>NOT(ISERROR(SEARCH("No DD",G2)))</formula>
    </cfRule>
    <cfRule type="containsText" dxfId="462" priority="9" operator="containsText" text="Merit">
      <formula>NOT(ISERROR(SEARCH("Merit",G2)))</formula>
    </cfRule>
    <cfRule type="containsText" dxfId="461" priority="10" operator="containsText" text="Excellence">
      <formula>NOT(ISERROR(SEARCH("Excellence",G2)))</formula>
    </cfRule>
    <cfRule type="containsText" dxfId="460" priority="11" operator="containsText" text="Worlds Team">
      <formula>NOT(ISERROR(SEARCH("Worlds Team",G2)))</formula>
    </cfRule>
    <cfRule type="containsText" dxfId="459" priority="12" operator="containsText" text="National Team">
      <formula>NOT(ISERROR(SEARCH("National Team",G2)))</formula>
    </cfRule>
  </conditionalFormatting>
  <conditionalFormatting sqref="D2:D25">
    <cfRule type="containsText" dxfId="458" priority="1" operator="containsText" text="No DD">
      <formula>NOT(ISERROR(SEARCH("No DD",D2)))</formula>
    </cfRule>
    <cfRule type="containsText" dxfId="457" priority="2" operator="containsText" text="Merit">
      <formula>NOT(ISERROR(SEARCH("Merit",D2)))</formula>
    </cfRule>
    <cfRule type="containsText" dxfId="456" priority="3" operator="containsText" text="Excellence">
      <formula>NOT(ISERROR(SEARCH("Excellence",D2)))</formula>
    </cfRule>
    <cfRule type="containsText" dxfId="455" priority="4" operator="containsText" text="Worlds Team">
      <formula>NOT(ISERROR(SEARCH("Worlds Team",D2)))</formula>
    </cfRule>
    <cfRule type="containsText" dxfId="454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168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184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182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193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195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200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201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202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203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DD"),SUMPRODUCT((J$4:J$26&lt;&gt;"")*(J$4:J$26&lt;&gt;"No DD")*(F$4:F$26&gt;F4))+1,IF(J4="No DD",SUMPRODUCT((J$4:J$26="No DD")*(F$4:F$26&gt;F4))+1+SUMPRODUCT((J$4:J$26&lt;&gt;"")*(J$4:J$26&lt;&gt;"No DD")),""))</f>
        <v>1</v>
      </c>
      <c r="B4" s="4" t="str" cm="1">
        <f t="array" ref="B4">IF(AND(J4&lt;&gt;"",J4&lt;&gt;"No DD",G4=""),SUMPRODUCT((J$4:J$26&lt;&gt;"")*(J$4:J$26&lt;&gt;"No DD")*(G$4:G$26="")*(F$4:F$26&gt;F4))+1,IF(J4="No DD",SUMPRODUCT((J$4:J$26="No DD")*(F$4:F$26&gt;F4)*(G$4:G$26=""))+1+SUMPRODUCT((J$4:J$26&lt;&gt;"")*(G$4:G$26="")*(J$4:J$26&lt;&gt;"No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203.82002035700566</v>
      </c>
      <c r="G4" s="64" t="s">
        <v>46</v>
      </c>
      <c r="H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I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J4" s="36" t="str">
        <f>IF(AND(I4="P",H4=""),"No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K4="P","Worlds Team",IF(H4="P","National Team","")))))</f>
        <v>National Team</v>
      </c>
      <c r="K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/>
      </c>
      <c r="L4" s="8">
        <f>IF(COUNT(AQ4,AT4,BR4,BU4,CS4,CV4)&gt;0,LARGE((AQ4,AT4,BR4,BU4,CS4,CV4),1),0)</f>
        <v>56.35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>IF(P4="","",IF(P4=CZ4,$CA$1,IF(P4=BY4,$AZ$1,IF(P4=AX4,$Y$1,IF(OR(P4=CS4,P4=CV4,P4=CZ4),$CA$1,IF(OR(P4=BR4,P4=BU4,P4=BY4),$AZ$1,IF(OR(P4=AQ4,P4=AT4,P4=AX4),$Y$1,"")))))))</f>
        <v>2025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Worlds (Nov 9)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16.28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>IF(AA4&gt;0,AA4,"")</f>
        <v>14.2</v>
      </c>
      <c r="AP4" s="38">
        <f>IF(AB4&gt;0,AB4,"")</f>
        <v>13.71</v>
      </c>
      <c r="AQ4" s="40">
        <f>IF(SUM(Y4:AB4)-AC4&gt;0,SUM(Y4:AB4)-AC4,"")</f>
        <v>48.71</v>
      </c>
      <c r="AR4" s="40">
        <f>IF(AF4&gt;0,AF4,"")</f>
        <v>15.1</v>
      </c>
      <c r="AS4" s="40">
        <f>IF(AG4&gt;0,AG4,"")</f>
        <v>15.19</v>
      </c>
      <c r="AT4" s="40">
        <f>IF(SUM(AD4:AG4)-AH4&gt;0,SUM(AD4:AG4)-AH4,"")</f>
        <v>51.989999999999995</v>
      </c>
      <c r="AU4" s="40">
        <f>IF(AQ4="","",MAX(AQ4,AT4))</f>
        <v>51.989999999999995</v>
      </c>
      <c r="AV4" s="40">
        <f>IF(AK4&gt;0,AK4,"")</f>
        <v>14.7</v>
      </c>
      <c r="AW4" s="40">
        <f>IF(AL4&gt;0,AL4,"")</f>
        <v>15.29</v>
      </c>
      <c r="AX4" s="40">
        <f>IF(SUM(AI4:AL4)-AM4&gt;0,SUM(AI4:AL4)-AM4,"")</f>
        <v>54.589999999999996</v>
      </c>
      <c r="AY4" s="40">
        <f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>IF(BB4&gt;0,BB4,"")</f>
        <v>15.9</v>
      </c>
      <c r="BQ4" s="39">
        <f>IF(BC4&gt;0,BC4,"")</f>
        <v>15.33</v>
      </c>
      <c r="BR4" s="11">
        <f>IF(SUM(AZ4:BC4)-BD4&gt;0,SUM(AZ4:BC4)-BD4,"")</f>
        <v>56.03</v>
      </c>
      <c r="BS4" s="11">
        <f>IF(BG4&gt;0,BG4,"")</f>
        <v>6.9</v>
      </c>
      <c r="BT4" s="11">
        <f>IF(BH4&gt;0,BH4,"")</f>
        <v>6.43</v>
      </c>
      <c r="BU4" s="11">
        <f>IF(SUM(BE4:BH4)-BI4&gt;0,SUM(BE4:BH4)-BI4,"")</f>
        <v>23.73</v>
      </c>
      <c r="BV4" s="11">
        <f>IF(BR4="","",MAX(BR4,BU4))</f>
        <v>56.03</v>
      </c>
      <c r="BW4" s="11">
        <f>IF(BL4&gt;0,BL4,"")</f>
        <v>13.9</v>
      </c>
      <c r="BX4" s="11">
        <f>IF(BM4&gt;0,BM4,"")</f>
        <v>15.04</v>
      </c>
      <c r="BY4" s="11">
        <f>IF(SUM(BJ4:BM4)-BN4&gt;0,SUM(BJ4:BM4)-BN4,"")</f>
        <v>53.339999999999996</v>
      </c>
      <c r="BZ4" s="11">
        <f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>IF(CC4&gt;0,CC4,"")</f>
        <v>15.3</v>
      </c>
      <c r="CR4" s="38">
        <f>IF(CD4&gt;0,CD4,"")</f>
        <v>15.96</v>
      </c>
      <c r="CS4" s="40">
        <f>IF(SUM(CA4:CD4)-CE4&gt;0,SUM(CA4:CD4)-CE4,"")</f>
        <v>56.26</v>
      </c>
      <c r="CT4" s="40">
        <f>IF(CH4&gt;0,CH4,"")</f>
        <v>15.3</v>
      </c>
      <c r="CU4" s="40">
        <f>IF(CI4&gt;0,CI4,"")</f>
        <v>16.149999999999999</v>
      </c>
      <c r="CV4" s="40">
        <f>IF(SUM(CF4:CI4)-CJ4&gt;0,SUM(CF4:CI4)-CJ4,"")</f>
        <v>56.35</v>
      </c>
      <c r="CW4" s="40">
        <f>IF(CS4="","",MAX(CS4,CV4))</f>
        <v>56.35</v>
      </c>
      <c r="CX4" s="40">
        <f>IF(CM4&gt;0,CM4,"")</f>
        <v>15.3</v>
      </c>
      <c r="CY4" s="40">
        <f>IF(CN4&gt;0,CN4,"")</f>
        <v>16.28</v>
      </c>
      <c r="CZ4" s="40">
        <f>IF(SUM(CK4:CN4)-CO4&gt;0,SUM(CK4:CN4)-CO4,"")</f>
        <v>57.680000000000007</v>
      </c>
      <c r="DA4" s="40">
        <f>IF(SUM(CW4,CZ4)&gt;0,SUM(CW4,CZ4),"")</f>
        <v>114.03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14.9</v>
      </c>
      <c r="HZ4" s="11">
        <f>IF(HJ4&gt;0,HJ4,"")</f>
        <v>15.56</v>
      </c>
      <c r="IA4" s="11">
        <f>IF(SUM(HG4:HJ4)-HK4&gt;0,SUM(HG4:HJ4)-HK4,"")</f>
        <v>56.26</v>
      </c>
      <c r="IB4" s="11">
        <f>IF(MAX(HX4,IA4)&gt;0,MAX(HX4,IA4),"")</f>
        <v>56.26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14.9</v>
      </c>
      <c r="IG4" s="11">
        <f>IF(HT4&gt;0,HT4,"")</f>
        <v>15.23</v>
      </c>
      <c r="IH4" s="11">
        <f>IF(SUM(HQ4:HT4)-HU4&gt;0,SUM(HQ4:HT4)-HU4,"")</f>
        <v>54.929999999999993</v>
      </c>
      <c r="II4" s="11">
        <f>IF(SUM(IB4,IE4,IH4)&gt;0,SUM(IB4,IE4,IH4),"")</f>
        <v>111.19</v>
      </c>
      <c r="IJ4" s="17">
        <v>15.6</v>
      </c>
      <c r="IK4" s="17">
        <v>8.6</v>
      </c>
      <c r="IL4" s="17">
        <v>13.7</v>
      </c>
      <c r="IM4" s="17">
        <v>15.29</v>
      </c>
      <c r="IN4" s="17">
        <v>0</v>
      </c>
      <c r="IO4" s="17">
        <v>14.1</v>
      </c>
      <c r="IP4" s="17">
        <v>7.6</v>
      </c>
      <c r="IQ4" s="17">
        <v>13.2</v>
      </c>
      <c r="IR4" s="17">
        <v>14.29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13.7</v>
      </c>
      <c r="JE4" s="40">
        <f>IF(IM4&gt;0,IM4,"")</f>
        <v>15.29</v>
      </c>
      <c r="JF4" s="40">
        <f>IF(SUM(IJ4:IM4)-IN4&gt;0,SUM(IJ4:IM4)-IN4,"")</f>
        <v>53.19</v>
      </c>
      <c r="JG4" s="40">
        <f>IF(IQ4&gt;0,IQ4,"")</f>
        <v>13.2</v>
      </c>
      <c r="JH4" s="40">
        <f>IF(IR4&gt;0,IR4,"")</f>
        <v>14.29</v>
      </c>
      <c r="JI4" s="40">
        <f>IF(SUM(IO4:IR4)-IS4&gt;0,SUM(IO4:IR4)-IS4,"")</f>
        <v>49.19</v>
      </c>
      <c r="JJ4" s="40">
        <f>IF(MAX(JF4,JI4)&gt;0,MAX(JF4,JI4),"")</f>
        <v>53.19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53.19</v>
      </c>
      <c r="JR4" s="18">
        <v>15</v>
      </c>
      <c r="JS4" s="18">
        <v>9.3000000000000007</v>
      </c>
      <c r="JT4" s="18">
        <v>16.2</v>
      </c>
      <c r="JU4" s="18">
        <v>15.85</v>
      </c>
      <c r="JV4" s="18">
        <v>0</v>
      </c>
      <c r="JW4" s="18">
        <v>13.6</v>
      </c>
      <c r="JX4" s="18">
        <v>8.1</v>
      </c>
      <c r="JY4" s="18">
        <v>13.2</v>
      </c>
      <c r="JZ4" s="18">
        <v>14.13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16.2</v>
      </c>
      <c r="KM4" s="11">
        <f>IF(JU4&gt;0,JU4,"")</f>
        <v>15.85</v>
      </c>
      <c r="KN4" s="11">
        <f>IF(SUM(JR4:JU4)-JV4&gt;0,SUM(JR4:JU4)-JV4,"")</f>
        <v>56.35</v>
      </c>
      <c r="KO4" s="11">
        <f>IF(JY4&gt;0,JY4,"")</f>
        <v>13.2</v>
      </c>
      <c r="KP4" s="11">
        <f>IF(JZ4&gt;0,JZ4,"")</f>
        <v>14.13</v>
      </c>
      <c r="KQ4" s="11">
        <f>IF(SUM(JW4:JZ4)-KA4&gt;0,SUM(JW4:JZ4)-KA4,"")</f>
        <v>49.03</v>
      </c>
      <c r="KR4" s="11">
        <f>IF(MAX(KN4,KQ4)&gt;0,MAX(KN4,KQ4),"")</f>
        <v>56.35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56.35</v>
      </c>
      <c r="KZ4" s="17">
        <v>13</v>
      </c>
      <c r="LA4" s="17">
        <v>9.1</v>
      </c>
      <c r="LB4" s="17">
        <v>16.8</v>
      </c>
      <c r="LC4" s="17">
        <v>15.41</v>
      </c>
      <c r="LD4" s="17">
        <v>0</v>
      </c>
      <c r="LE4" s="17">
        <v>14.1</v>
      </c>
      <c r="LF4" s="17">
        <v>9.5</v>
      </c>
      <c r="LG4" s="17">
        <v>17</v>
      </c>
      <c r="LH4" s="17">
        <v>15.64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>
        <f>IF(LB4&gt;0,LB4,"")</f>
        <v>16.8</v>
      </c>
      <c r="LU4" s="40">
        <f>IF(LC4&gt;0,LC4,"")</f>
        <v>15.41</v>
      </c>
      <c r="LV4" s="40">
        <f>IF(SUM(KZ4:LC4)-LD4&gt;0,SUM(KZ4:LC4)-LD4,"")</f>
        <v>54.31</v>
      </c>
      <c r="LW4" s="40">
        <f>IF(LG4&gt;0,LG4,"")</f>
        <v>17</v>
      </c>
      <c r="LX4" s="40">
        <f>IF(LH4&gt;0,LH4,"")</f>
        <v>15.64</v>
      </c>
      <c r="LY4" s="40">
        <f>IF(SUM(LE4:LH4)-LI4&gt;0,SUM(LE4:LH4)-LI4,"")</f>
        <v>56.24</v>
      </c>
      <c r="LZ4" s="40">
        <f>IF(MAX(LV4,LY4)&gt;0,MAX(LV4,LY4),"")</f>
        <v>56.24</v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>
        <f>IF(SUM(LZ4,MC4,MF4)&gt;0,SUM(LZ4,MC4,MF4),"")</f>
        <v>56.24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15.850000000000001</v>
      </c>
      <c r="SW4" s="22">
        <f>IF($CP4="P",CB4,(CB4+BA4)/2)</f>
        <v>9.0500000000000007</v>
      </c>
      <c r="SX4" s="22">
        <f>IF($CP4="P",CC4,(CC4+BB4)/2)</f>
        <v>15.600000000000001</v>
      </c>
      <c r="SY4" s="22">
        <f>IF($CP4="P",CD4,(CD4+BC4)/2)</f>
        <v>15.645</v>
      </c>
      <c r="SZ4" s="22">
        <f>IF($CP4="P",CE4,(CE4+BD4)/2)</f>
        <v>0</v>
      </c>
      <c r="TA4" s="22">
        <f>IF($CP4="P",CF4,(CF4+BE4)/2)</f>
        <v>11.450000000000001</v>
      </c>
      <c r="TB4" s="22">
        <f>IF($CP4="P",CG4,(CG4+BF4)/2)</f>
        <v>6.2</v>
      </c>
      <c r="TC4" s="22">
        <f>IF($CP4="P",CH4,(CH4+BG4)/2)</f>
        <v>11.100000000000001</v>
      </c>
      <c r="TD4" s="22">
        <f>IF($CP4="P",CI4,(CI4+BH4)/2)</f>
        <v>11.29</v>
      </c>
      <c r="TE4" s="22">
        <f>IF($CP4="P",CJ4,(CJ4+BI4)/2)</f>
        <v>0</v>
      </c>
      <c r="TF4" s="22">
        <f>IF($CP4="P",CK4,(CK4+BJ4)/2)</f>
        <v>16.25</v>
      </c>
      <c r="TG4" s="22">
        <f>IF($CP4="P",CL4,(CL4+BK4)/2)</f>
        <v>9.3000000000000007</v>
      </c>
      <c r="TH4" s="22">
        <f>IF($CP4="P",CM4,(CM4+BL4)/2)</f>
        <v>14.600000000000001</v>
      </c>
      <c r="TI4" s="22">
        <f>IF($CP4="P",CN4,(CN4+BM4)/2)</f>
        <v>15.66</v>
      </c>
      <c r="TJ4" s="22">
        <f>IF($CP4="P",CO4,(CO4+BN4)/2)</f>
        <v>0.3</v>
      </c>
      <c r="TK4" s="27" t="s">
        <v>46</v>
      </c>
      <c r="TL4" s="40">
        <f>IF(SX4&gt;0,SX4,"")</f>
        <v>15.600000000000001</v>
      </c>
      <c r="TM4" s="40">
        <f>IF(SY4&gt;0,SY4,"")</f>
        <v>15.645</v>
      </c>
      <c r="TN4" s="40">
        <f>IF(SUM(SV4:SY4)-SZ4&gt;0,SUM(SV4:SY4)-SZ4,"")</f>
        <v>56.144999999999996</v>
      </c>
      <c r="TO4" s="40">
        <f>IF(TC4&gt;0,TC4,"")</f>
        <v>11.100000000000001</v>
      </c>
      <c r="TP4" s="40">
        <f>IF(TD4&gt;0,TD4,"")</f>
        <v>11.29</v>
      </c>
      <c r="TQ4" s="40">
        <f>IF(SUM(TA4:TD4)-TE4&gt;0,SUM(TA4:TD4)-TE4,"")</f>
        <v>40.040000000000006</v>
      </c>
      <c r="TR4" s="40">
        <f>IF(MAX(TN4,TQ4)&gt;0,MAX(TN4,TQ4),"")</f>
        <v>56.144999999999996</v>
      </c>
      <c r="TS4" s="40">
        <f>IF(TH4&gt;0,TH4,"")</f>
        <v>14.600000000000001</v>
      </c>
      <c r="TT4" s="40">
        <f>IF(TI4&gt;0,TI4,"")</f>
        <v>15.66</v>
      </c>
      <c r="TU4" s="40">
        <f>IF(SUM(TF4:TI4)-TJ4&gt;0,SUM(TF4:TI4)-TJ4,"")</f>
        <v>55.510000000000005</v>
      </c>
      <c r="TV4" s="40">
        <f>IF(SUM(TR4,TU4)&gt;0,SUM(TR4,TU4),"")</f>
        <v>111.655</v>
      </c>
    </row>
    <row r="5" spans="1:542" x14ac:dyDescent="0.2">
      <c r="A5" s="4" cm="1">
        <f t="array" ref="A5">IF(AND(J5&lt;&gt;"",J5&lt;&gt;"No DD"),SUMPRODUCT((J$4:J$26&lt;&gt;"")*(J$4:J$26&lt;&gt;"No DD")*(F$4:F$26&gt;F5))+1,IF(J5="No DD",SUMPRODUCT((J$4:J$26="No DD")*(F$4:F$26&gt;F5))+1+SUMPRODUCT((J$4:J$26&lt;&gt;"")*(J$4:J$26&lt;&gt;"No DD")),""))</f>
        <v>2</v>
      </c>
      <c r="B5" s="4" cm="1">
        <f t="array" ref="B5">IF(AND(J5&lt;&gt;"",J5&lt;&gt;"No DD",G5=""),SUMPRODUCT((J$4:J$26&lt;&gt;"")*(J$4:J$26&lt;&gt;"No DD")*(G$4:G$26="")*(F$4:F$26&gt;F5))+1,IF(J5="No DD",SUMPRODUCT((J$4:J$26="No DD")*(F$4:F$26&gt;F5)*(G$4:G$26=""))+1+SUMPRODUCT((J$4:J$26&lt;&gt;"")*(G$4:G$26="")*(J$4:J$26&lt;&gt;"No DD")),""))</f>
        <v>1</v>
      </c>
      <c r="C5" s="5" t="s">
        <v>125</v>
      </c>
      <c r="D5" s="4" t="s">
        <v>4</v>
      </c>
      <c r="E5" s="4">
        <v>2007</v>
      </c>
      <c r="F5" s="9">
        <f>SUM(L5:V5)+SUM(L5:T5)*0.0000001+SUM(L5)*0.0000000000001</f>
        <v>199.69001885800563</v>
      </c>
      <c r="G5" s="64"/>
      <c r="H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I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),"P","")</f>
        <v>P</v>
      </c>
      <c r="J5" s="36" t="str">
        <f>IF(AND(I5="P",H5=""),"No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Excellence",IF(K5="P","Worlds Team",IF(H5="P","National Team","")))))</f>
        <v>National Team</v>
      </c>
      <c r="K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11.110000000000007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>IF(AA5&gt;0,AA5,"")</f>
        <v>14.4</v>
      </c>
      <c r="AP5" s="38">
        <f>IF(AB5&gt;0,AB5,"")</f>
        <v>15.81</v>
      </c>
      <c r="AQ5" s="40">
        <f>IF(SUM(Y5:AB5)-AC5&gt;0,SUM(Y5:AB5)-AC5,"")</f>
        <v>55.410000000000004</v>
      </c>
      <c r="AR5" s="40">
        <f>IF(AF5&gt;0,AF5,"")</f>
        <v>2</v>
      </c>
      <c r="AS5" s="40">
        <f>IF(AG5&gt;0,AG5,"")</f>
        <v>1.67</v>
      </c>
      <c r="AT5" s="40">
        <f>IF(SUM(AD5:AG5)-AH5&gt;0,SUM(AD5:AG5)-AH5,"")</f>
        <v>6.27</v>
      </c>
      <c r="AU5" s="40">
        <f>IF(AQ5="","",MAX(AQ5,AT5))</f>
        <v>55.410000000000004</v>
      </c>
      <c r="AV5" s="40">
        <f>IF(AK5&gt;0,AK5,"")</f>
        <v>7.6</v>
      </c>
      <c r="AW5" s="40">
        <f>IF(AL5&gt;0,AL5,"")</f>
        <v>7.8</v>
      </c>
      <c r="AX5" s="40">
        <f>IF(SUM(AI5:AL5)-AM5&gt;0,SUM(AI5:AL5)-AM5,"")</f>
        <v>27.099999999999998</v>
      </c>
      <c r="AY5" s="40">
        <f>IF(SUM(AU5,AX5)&gt;0,SUM(AU5,AX5),"")</f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>IF(BB5&gt;0,BB5,"")</f>
        <v>12.3</v>
      </c>
      <c r="BQ5" s="39">
        <f>IF(BC5&gt;0,BC5,"")</f>
        <v>13.37</v>
      </c>
      <c r="BR5" s="11">
        <f>IF(SUM(AZ5:BC5)-BD5&gt;0,SUM(AZ5:BC5)-BD5,"")</f>
        <v>44.97</v>
      </c>
      <c r="BS5" s="11">
        <f>IF(BG5&gt;0,BG5,"")</f>
        <v>15.5</v>
      </c>
      <c r="BT5" s="11">
        <f>IF(BH5&gt;0,BH5,"")</f>
        <v>16.52</v>
      </c>
      <c r="BU5" s="11">
        <f>IF(SUM(BE5:BH5)-BI5&gt;0,SUM(BE5:BH5)-BI5,"")</f>
        <v>56.019999999999996</v>
      </c>
      <c r="BV5" s="11">
        <f>IF(BR5="","",MAX(BR5,BU5))</f>
        <v>56.019999999999996</v>
      </c>
      <c r="BW5" s="11">
        <f>IF(BL5&gt;0,BL5,"")</f>
        <v>3.5</v>
      </c>
      <c r="BX5" s="11">
        <f>IF(BM5&gt;0,BM5,"")</f>
        <v>3.55</v>
      </c>
      <c r="BY5" s="11">
        <f>IF(SUM(BJ5:BM5)-BN5&gt;0,SUM(BJ5:BM5)-BN5,"")</f>
        <v>12.350000000000001</v>
      </c>
      <c r="BZ5" s="11">
        <f>IF(SUM(BV5,BY5)&gt;0,SUM(BV5,BY5),"")</f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8</v>
      </c>
      <c r="CR5" s="38">
        <f>IF(CD5&gt;0,CD5,"")</f>
        <v>8.42</v>
      </c>
      <c r="CS5" s="40">
        <f>IF(SUM(CA5:CD5)-CE5&gt;0,SUM(CA5:CD5)-CE5,"")</f>
        <v>27.619999999999997</v>
      </c>
      <c r="CT5" s="40">
        <f>IF(CH5&gt;0,CH5,"")</f>
        <v>8.4</v>
      </c>
      <c r="CU5" s="40">
        <f>IF(CI5&gt;0,CI5,"")</f>
        <v>8.77</v>
      </c>
      <c r="CV5" s="40">
        <f>IF(SUM(CF5:CI5)-CJ5&gt;0,SUM(CF5:CI5)-CJ5,"")</f>
        <v>29.97</v>
      </c>
      <c r="CW5" s="40">
        <f>IF(CS5="","",MAX(CS5,CV5))</f>
        <v>29.97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29.97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11.110000000000007</v>
      </c>
      <c r="DC5" s="50">
        <f>IF(MAX(EG5,EJ5,FO5,FR5,GW5,GZ5,IE5,IH5,JM5,JP5,KU5,KX5,MC5,MF5,NK5,NN5,OS5,OV5,QA5,QD5,RI5,RL5,SQ5,ST5)-IF(P5="",0,P5)&gt;0.001,MAX(EG5,EJ5,FO5,FR5,GW5,GZ5,IE5,IH5,JM5,JP5,KU5,KX5,MC5,MF5,NK5,NN5,OS5,OV5,QA5,QD5,RI5,RL5,SQ5,ST5)-IF(P5="",0,P5),"")</f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15.3</v>
      </c>
      <c r="HZ5" s="11">
        <f>IF(HJ5&gt;0,HJ5,"")</f>
        <v>16.239999999999998</v>
      </c>
      <c r="IA5" s="11">
        <f>IF(SUM(HG5:HJ5)-HK5&gt;0,SUM(HG5:HJ5)-HK5,"")</f>
        <v>54.94</v>
      </c>
      <c r="IB5" s="11">
        <f>IF(MAX(HX5,IA5)&gt;0,MAX(HX5,IA5),"")</f>
        <v>54.94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14.4</v>
      </c>
      <c r="IG5" s="11">
        <f>IF(HT5&gt;0,HT5,"")</f>
        <v>16.309999999999999</v>
      </c>
      <c r="IH5" s="11">
        <f>IF(SUM(HQ5:HT5)-HU5&gt;0,SUM(HQ5:HT5)-HU5,"")</f>
        <v>55.31</v>
      </c>
      <c r="II5" s="11">
        <f>IF(SUM(IB5,IE5,IH5)&gt;0,SUM(IB5,IE5,IH5),"")</f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>
        <v>15.1</v>
      </c>
      <c r="MI5" s="18">
        <v>9.3000000000000007</v>
      </c>
      <c r="MJ5" s="18">
        <v>2.8</v>
      </c>
      <c r="MK5" s="18">
        <v>17.149999999999999</v>
      </c>
      <c r="ML5" s="18">
        <v>0</v>
      </c>
      <c r="MM5" s="18">
        <v>5.9</v>
      </c>
      <c r="MN5" s="18">
        <v>3.6</v>
      </c>
      <c r="MO5" s="18">
        <v>6.5</v>
      </c>
      <c r="MP5" s="18">
        <v>6.82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2.8</v>
      </c>
      <c r="NC5" s="11">
        <f>IF(MK5&gt;0,MK5,"")</f>
        <v>17.149999999999999</v>
      </c>
      <c r="ND5" s="11">
        <f>IF(SUM(MH5:MK5)-ML5&gt;0,SUM(MH5:MK5)-ML5,"")</f>
        <v>44.349999999999994</v>
      </c>
      <c r="NE5" s="11">
        <f>IF(MO5&gt;0,MO5,"")</f>
        <v>6.5</v>
      </c>
      <c r="NF5" s="11">
        <f>IF(MP5&gt;0,MP5,"")</f>
        <v>6.82</v>
      </c>
      <c r="NG5" s="11">
        <f>IF(SUM(MM5:MP5)-MQ5&gt;0,SUM(MM5:MP5)-MQ5,"")</f>
        <v>22.82</v>
      </c>
      <c r="NH5" s="11">
        <f>IF(MAX(ND5,NG5)&gt;0,MAX(ND5,NG5),"")</f>
        <v>44.349999999999994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44.349999999999994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9.65</v>
      </c>
      <c r="SW5" s="22">
        <f>IF($CP5="P",CB5,(CB5+BA5)/2)</f>
        <v>5.6</v>
      </c>
      <c r="SX5" s="22">
        <f>IF($CP5="P",CC5,(CC5+BB5)/2)</f>
        <v>10.15</v>
      </c>
      <c r="SY5" s="22">
        <f>IF($CP5="P",CD5,(CD5+BC5)/2)</f>
        <v>10.895</v>
      </c>
      <c r="SZ5" s="22">
        <f>IF($CP5="P",CE5,(CE5+BD5)/2)</f>
        <v>0</v>
      </c>
      <c r="TA5" s="22">
        <f>IF($CP5="P",CF5,(CF5+BE5)/2)</f>
        <v>11.55</v>
      </c>
      <c r="TB5" s="22">
        <f>IF($CP5="P",CG5,(CG5+BF5)/2)</f>
        <v>6.85</v>
      </c>
      <c r="TC5" s="22">
        <f>IF($CP5="P",CH5,(CH5+BG5)/2)</f>
        <v>11.95</v>
      </c>
      <c r="TD5" s="22">
        <f>IF($CP5="P",CI5,(CI5+BH5)/2)</f>
        <v>12.645</v>
      </c>
      <c r="TE5" s="22">
        <f>IF($CP5="P",CJ5,(CJ5+BI5)/2)</f>
        <v>0</v>
      </c>
      <c r="TF5" s="22">
        <f>IF($CP5="P",CK5,(CK5+BJ5)/2)</f>
        <v>1.75</v>
      </c>
      <c r="TG5" s="22">
        <f>IF($CP5="P",CL5,(CL5+BK5)/2)</f>
        <v>0.9</v>
      </c>
      <c r="TH5" s="22">
        <f>IF($CP5="P",CM5,(CM5+BL5)/2)</f>
        <v>1.75</v>
      </c>
      <c r="TI5" s="22">
        <f>IF($CP5="P",CN5,(CN5+BM5)/2)</f>
        <v>1.7749999999999999</v>
      </c>
      <c r="TJ5" s="22">
        <f>IF($CP5="P",CO5,(CO5+BN5)/2)</f>
        <v>0</v>
      </c>
      <c r="TK5" s="27" t="s">
        <v>46</v>
      </c>
      <c r="TL5" s="40">
        <f>IF(SX5&gt;0,SX5,"")</f>
        <v>10.15</v>
      </c>
      <c r="TM5" s="40">
        <f>IF(SY5&gt;0,SY5,"")</f>
        <v>10.895</v>
      </c>
      <c r="TN5" s="40">
        <f>IF(SUM(SV5:SY5)-SZ5&gt;0,SUM(SV5:SY5)-SZ5,"")</f>
        <v>36.295000000000002</v>
      </c>
      <c r="TO5" s="40">
        <f>IF(TC5&gt;0,TC5,"")</f>
        <v>11.95</v>
      </c>
      <c r="TP5" s="40">
        <f>IF(TD5&gt;0,TD5,"")</f>
        <v>12.645</v>
      </c>
      <c r="TQ5" s="40">
        <f>IF(SUM(TA5:TD5)-TE5&gt;0,SUM(TA5:TD5)-TE5,"")</f>
        <v>42.994999999999997</v>
      </c>
      <c r="TR5" s="40">
        <f>IF(MAX(TN5,TQ5)&gt;0,MAX(TN5,TQ5),"")</f>
        <v>42.994999999999997</v>
      </c>
      <c r="TS5" s="40">
        <f>IF(TH5&gt;0,TH5,"")</f>
        <v>1.75</v>
      </c>
      <c r="TT5" s="40">
        <f>IF(TI5&gt;0,TI5,"")</f>
        <v>1.7749999999999999</v>
      </c>
      <c r="TU5" s="40">
        <f>IF(SUM(TF5:TI5)-TJ5&gt;0,SUM(TF5:TI5)-TJ5,"")</f>
        <v>6.1750000000000007</v>
      </c>
      <c r="TV5" s="40">
        <f>IF(SUM(TR5,TU5)&gt;0,SUM(TR5,TU5),"")</f>
        <v>49.17</v>
      </c>
    </row>
    <row r="6" spans="1:542" x14ac:dyDescent="0.2">
      <c r="A6" s="4" cm="1">
        <f t="array" ref="A6">IF(AND(J6&lt;&gt;"",J6&lt;&gt;"No DD"),SUMPRODUCT((J$4:J$26&lt;&gt;"")*(J$4:J$26&lt;&gt;"No DD")*(F$4:F$26&gt;F6))+1,IF(J6="No DD",SUMPRODUCT((J$4:J$26="No DD")*(F$4:F$26&gt;F6))+1+SUMPRODUCT((J$4:J$26&lt;&gt;"")*(J$4:J$26&lt;&gt;"No DD")),""))</f>
        <v>3</v>
      </c>
      <c r="B6" s="4" t="str" cm="1">
        <f t="array" ref="B6">IF(AND(J6&lt;&gt;"",J6&lt;&gt;"No DD",G6=""),SUMPRODUCT((J$4:J$26&lt;&gt;"")*(J$4:J$26&lt;&gt;"No DD")*(G$4:G$26="")*(F$4:F$26&gt;F6))+1,IF(J6="No DD",SUMPRODUCT((J$4:J$26="No DD")*(F$4:F$26&gt;F6)*(G$4:G$26=""))+1+SUMPRODUCT((J$4:J$26&lt;&gt;"")*(G$4:G$26="")*(J$4:J$26&lt;&gt;"No DD")),""))</f>
        <v/>
      </c>
      <c r="C6" s="5" t="s">
        <v>156</v>
      </c>
      <c r="D6" s="4" t="s">
        <v>6</v>
      </c>
      <c r="E6" s="4">
        <v>2008</v>
      </c>
      <c r="F6" s="9">
        <f>SUM(L6:V6)+SUM(L6:T6)*0.0000001+SUM(L6)*0.0000000000001</f>
        <v>199.26001992600558</v>
      </c>
      <c r="G6" s="64" t="s">
        <v>46</v>
      </c>
      <c r="H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I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),"P","")</f>
        <v>P</v>
      </c>
      <c r="J6" s="36" t="str">
        <f>IF(AND(I6="P",H6=""),"No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Excellence",IF(K6="P","Worlds Team",IF(H6="P","National Team","")))))</f>
        <v>National Team</v>
      </c>
      <c r="K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P","")</f>
        <v/>
      </c>
      <c r="L6" s="8">
        <f>IF(COUNT(AQ6,AT6,BR6,BU6,CS6,CV6)&gt;0,LARGE((AQ6,AT6,BR6,BU6,CS6,CV6),1),0)</f>
        <v>55.94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IF(COUNT(AQ6,AT6,BR6,BU6,CS6,CV6)&gt;1,LARGE((AQ6,AT6,BR6,BU6,CS6,CV6),2),0)</f>
        <v>55.58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15.9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Nationals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),0)</f>
        <v>16.32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>IF(AA6&gt;0,AA6,"")</f>
        <v>13.4</v>
      </c>
      <c r="AP6" s="38">
        <f>IF(AB6&gt;0,AB6,"")</f>
        <v>15.21</v>
      </c>
      <c r="AQ6" s="40">
        <f>IF(SUM(Y6:AB6)-AC6&gt;0,SUM(Y6:AB6)-AC6,"")</f>
        <v>50.71</v>
      </c>
      <c r="AR6" s="40">
        <f>IF(AF6&gt;0,AF6,"")</f>
        <v>5</v>
      </c>
      <c r="AS6" s="40">
        <f>IF(AG6&gt;0,AG6,"")</f>
        <v>5.03</v>
      </c>
      <c r="AT6" s="40">
        <f>IF(SUM(AD6:AG6)-AH6&gt;0,SUM(AD6:AG6)-AH6,"")</f>
        <v>17.73</v>
      </c>
      <c r="AU6" s="40">
        <f>IF(AQ6="","",MAX(AQ6,AT6))</f>
        <v>50.71</v>
      </c>
      <c r="AV6" s="40">
        <f>IF(AK6&gt;0,AK6,"")</f>
        <v>6.9</v>
      </c>
      <c r="AW6" s="40">
        <f>IF(AL6&gt;0,AL6,"")</f>
        <v>9.18</v>
      </c>
      <c r="AX6" s="40">
        <f>IF(SUM(AI6:AL6)-AM6&gt;0,SUM(AI6:AL6)-AM6,"")</f>
        <v>28.979999999999997</v>
      </c>
      <c r="AY6" s="40">
        <f>IF(SUM(AU6,AX6)&gt;0,SUM(AU6,AX6),"")</f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>IF(BB6&gt;0,BB6,"")</f>
        <v>6.9</v>
      </c>
      <c r="BQ6" s="39">
        <f>IF(BC6&gt;0,BC6,"")</f>
        <v>6.48</v>
      </c>
      <c r="BR6" s="11">
        <f>IF(SUM(AZ6:BC6)-BD6&gt;0,SUM(AZ6:BC6)-BD6,"")</f>
        <v>22.78</v>
      </c>
      <c r="BS6" s="11">
        <f>IF(BG6&gt;0,BG6,"")</f>
        <v>15.9</v>
      </c>
      <c r="BT6" s="11">
        <f>IF(BH6&gt;0,BH6,"")</f>
        <v>15.68</v>
      </c>
      <c r="BU6" s="11">
        <f>IF(SUM(BE6:BH6)-BI6&gt;0,SUM(BE6:BH6)-BI6,"")</f>
        <v>55.58</v>
      </c>
      <c r="BV6" s="11">
        <f>IF(BR6="","",MAX(BR6,BU6))</f>
        <v>55.58</v>
      </c>
      <c r="BW6" s="11">
        <f>IF(BL6&gt;0,BL6,"")</f>
        <v>14.9</v>
      </c>
      <c r="BX6" s="11">
        <f>IF(BM6&gt;0,BM6,"")</f>
        <v>15.17</v>
      </c>
      <c r="BY6" s="11">
        <f>IF(SUM(BJ6:BM6)-BN6&gt;0,SUM(BJ6:BM6)-BN6,"")</f>
        <v>54.57</v>
      </c>
      <c r="BZ6" s="11">
        <f>IF(SUM(BV6,BY6)&gt;0,SUM(BV6,BY6),"")</f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>IF(CC6&gt;0,CC6,"")</f>
        <v>2</v>
      </c>
      <c r="CR6" s="38">
        <f>IF(CD6&gt;0,CD6,"")</f>
        <v>1.75</v>
      </c>
      <c r="CS6" s="40">
        <f>IF(SUM(CA6:CD6)-CE6&gt;0,SUM(CA6:CD6)-CE6,"")</f>
        <v>6.05</v>
      </c>
      <c r="CT6" s="40">
        <f>IF(CH6&gt;0,CH6,"")</f>
        <v>15.3</v>
      </c>
      <c r="CU6" s="40">
        <f>IF(CI6&gt;0,CI6,"")</f>
        <v>16.14</v>
      </c>
      <c r="CV6" s="40">
        <f>IF(SUM(CF6:CI6)-CJ6&gt;0,SUM(CF6:CI6)-CJ6,"")</f>
        <v>55.94</v>
      </c>
      <c r="CW6" s="40">
        <f>IF(CS6="","",MAX(CS6,CV6))</f>
        <v>55.94</v>
      </c>
      <c r="CX6" s="40">
        <f>IF(CM6&gt;0,CM6,"")</f>
        <v>15.3</v>
      </c>
      <c r="CY6" s="40">
        <f>IF(CN6&gt;0,CN6,"")</f>
        <v>16.32</v>
      </c>
      <c r="CZ6" s="40">
        <f>IF(SUM(CK6:CN6)-CO6&gt;0,SUM(CK6:CN6)-CO6,"")</f>
        <v>55.52</v>
      </c>
      <c r="DA6" s="40">
        <f>IF(SUM(CW6,CZ6)&gt;0,SUM(CW6,CZ6),"")</f>
        <v>111.46000000000001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14.7</v>
      </c>
      <c r="JS6" s="18">
        <v>8.9</v>
      </c>
      <c r="JT6" s="18">
        <v>15.3</v>
      </c>
      <c r="JU6" s="18">
        <v>15.96</v>
      </c>
      <c r="JV6" s="18">
        <v>0</v>
      </c>
      <c r="JW6" s="18">
        <v>9.3000000000000007</v>
      </c>
      <c r="JX6" s="18">
        <v>6.5</v>
      </c>
      <c r="JY6" s="18">
        <v>9.8000000000000007</v>
      </c>
      <c r="JZ6" s="18">
        <v>11.14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15.3</v>
      </c>
      <c r="KM6" s="11">
        <f>IF(JU6&gt;0,JU6,"")</f>
        <v>15.96</v>
      </c>
      <c r="KN6" s="11">
        <f>IF(SUM(JR6:JU6)-JV6&gt;0,SUM(JR6:JU6)-JV6,"")</f>
        <v>54.860000000000007</v>
      </c>
      <c r="KO6" s="11">
        <f>IF(JY6&gt;0,JY6,"")</f>
        <v>9.8000000000000007</v>
      </c>
      <c r="KP6" s="11">
        <f>IF(JZ6&gt;0,JZ6,"")</f>
        <v>11.14</v>
      </c>
      <c r="KQ6" s="11">
        <f>IF(SUM(JW6:JZ6)-KA6&gt;0,SUM(JW6:JZ6)-KA6,"")</f>
        <v>36.74</v>
      </c>
      <c r="KR6" s="11">
        <f>IF(MAX(KN6,KQ6)&gt;0,MAX(KN6,KQ6),"")</f>
        <v>54.860000000000007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54.860000000000007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3.7</v>
      </c>
      <c r="SW6" s="22">
        <f>IF($CP6="P",CB6,(CB6+BA6)/2)</f>
        <v>2.25</v>
      </c>
      <c r="SX6" s="22">
        <f>IF($CP6="P",CC6,(CC6+BB6)/2)</f>
        <v>4.45</v>
      </c>
      <c r="SY6" s="22">
        <f>IF($CP6="P",CD6,(CD6+BC6)/2)</f>
        <v>4.1150000000000002</v>
      </c>
      <c r="SZ6" s="22">
        <f>IF($CP6="P",CE6,(CE6+BD6)/2)</f>
        <v>0.1</v>
      </c>
      <c r="TA6" s="22">
        <f>IF($CP6="P",CF6,(CF6+BE6)/2)</f>
        <v>14.899999999999999</v>
      </c>
      <c r="TB6" s="22">
        <f>IF($CP6="P",CG6,(CG6+BF6)/2)</f>
        <v>9.3500000000000014</v>
      </c>
      <c r="TC6" s="22">
        <f>IF($CP6="P",CH6,(CH6+BG6)/2)</f>
        <v>15.600000000000001</v>
      </c>
      <c r="TD6" s="22">
        <f>IF($CP6="P",CI6,(CI6+BH6)/2)</f>
        <v>15.91</v>
      </c>
      <c r="TE6" s="22">
        <f>IF($CP6="P",CJ6,(CJ6+BI6)/2)</f>
        <v>0</v>
      </c>
      <c r="TF6" s="22">
        <f>IF($CP6="P",CK6,(CK6+BJ6)/2)</f>
        <v>15.25</v>
      </c>
      <c r="TG6" s="22">
        <f>IF($CP6="P",CL6,(CL6+BK6)/2)</f>
        <v>8.9499999999999993</v>
      </c>
      <c r="TH6" s="22">
        <f>IF($CP6="P",CM6,(CM6+BL6)/2)</f>
        <v>15.100000000000001</v>
      </c>
      <c r="TI6" s="22">
        <f>IF($CP6="P",CN6,(CN6+BM6)/2)</f>
        <v>15.745000000000001</v>
      </c>
      <c r="TJ6" s="22">
        <f>IF($CP6="P",CO6,(CO6+BN6)/2)</f>
        <v>0</v>
      </c>
      <c r="TK6" s="27" t="s">
        <v>46</v>
      </c>
      <c r="TL6" s="40">
        <f>IF(SX6&gt;0,SX6,"")</f>
        <v>4.45</v>
      </c>
      <c r="TM6" s="40">
        <f>IF(SY6&gt;0,SY6,"")</f>
        <v>4.1150000000000002</v>
      </c>
      <c r="TN6" s="40">
        <f>IF(SUM(SV6:SY6)-SZ6&gt;0,SUM(SV6:SY6)-SZ6,"")</f>
        <v>14.415000000000001</v>
      </c>
      <c r="TO6" s="40">
        <f>IF(TC6&gt;0,TC6,"")</f>
        <v>15.600000000000001</v>
      </c>
      <c r="TP6" s="40">
        <f>IF(TD6&gt;0,TD6,"")</f>
        <v>15.91</v>
      </c>
      <c r="TQ6" s="40">
        <f>IF(SUM(TA6:TD6)-TE6&gt;0,SUM(TA6:TD6)-TE6,"")</f>
        <v>55.760000000000005</v>
      </c>
      <c r="TR6" s="40">
        <f>IF(MAX(TN6,TQ6)&gt;0,MAX(TN6,TQ6),"")</f>
        <v>55.760000000000005</v>
      </c>
      <c r="TS6" s="40">
        <f>IF(TH6&gt;0,TH6,"")</f>
        <v>15.100000000000001</v>
      </c>
      <c r="TT6" s="40">
        <f>IF(TI6&gt;0,TI6,"")</f>
        <v>15.745000000000001</v>
      </c>
      <c r="TU6" s="40">
        <f>IF(SUM(TF6:TI6)-TJ6&gt;0,SUM(TF6:TI6)-TJ6,"")</f>
        <v>55.045000000000002</v>
      </c>
      <c r="TV6" s="40">
        <f>IF(SUM(TR6,TU6)&gt;0,SUM(TR6,TU6),"")</f>
        <v>110.80500000000001</v>
      </c>
    </row>
    <row r="7" spans="1:542" x14ac:dyDescent="0.2">
      <c r="A7" s="4" cm="1">
        <f t="array" ref="A7">IF(AND(J7&lt;&gt;"",J7&lt;&gt;"No DD"),SUMPRODUCT((J$4:J$26&lt;&gt;"")*(J$4:J$26&lt;&gt;"No DD")*(F$4:F$26&gt;F7))+1,IF(J7="No DD",SUMPRODUCT((J$4:J$26="No DD")*(F$4:F$26&gt;F7))+1+SUMPRODUCT((J$4:J$26&lt;&gt;"")*(J$4:J$26&lt;&gt;"No DD")),""))</f>
        <v>4</v>
      </c>
      <c r="B7" s="4" cm="1">
        <f t="array" ref="B7">IF(AND(J7&lt;&gt;"",J7&lt;&gt;"No DD",G7=""),SUMPRODUCT((J$4:J$26&lt;&gt;"")*(J$4:J$26&lt;&gt;"No DD")*(G$4:G$26="")*(F$4:F$26&gt;F7))+1,IF(J7="No DD",SUMPRODUCT((J$4:J$26="No DD")*(F$4:F$26&gt;F7)*(G$4:G$26=""))+1+SUMPRODUCT((J$4:J$26&lt;&gt;"")*(G$4:G$26="")*(J$4:J$26&lt;&gt;"No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196.59001965900552</v>
      </c>
      <c r="G7" s="64"/>
      <c r="H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I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),"P","")</f>
        <v>P</v>
      </c>
      <c r="J7" s="36" t="str">
        <f>IF(AND(I7="P",H7=""),"No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Excellence",IF(K7="P","Worlds Team",IF(H7="P","National Team","")))))</f>
        <v>National Team</v>
      </c>
      <c r="K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P","")</f>
        <v/>
      </c>
      <c r="L7" s="8">
        <f>IF(COUNT(AQ7,AT7,BR7,BU7,CS7,CV7)&gt;0,LARGE((AQ7,AT7,BR7,BU7,CS7,CV7),1),0)</f>
        <v>55.05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IF(COUNT(AQ7,AT7,BR7,BU7,CS7,CV7)&gt;1,LARGE((AQ7,AT7,BR7,BU7,CS7,CV7),2),0)</f>
        <v>54.92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3rd Domestic Trial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),0)</f>
        <v>16.21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>IF(AA7&gt;0,AA7,"")</f>
        <v>14.9</v>
      </c>
      <c r="AP7" s="38">
        <f>IF(AB7&gt;0,AB7,"")</f>
        <v>15.32</v>
      </c>
      <c r="AQ7" s="40">
        <f>IF(SUM(Y7:AB7)-AC7&gt;0,SUM(Y7:AB7)-AC7,"")</f>
        <v>54.92</v>
      </c>
      <c r="AR7" s="40">
        <f>IF(AF7&gt;0,AF7,"")</f>
        <v>13.7</v>
      </c>
      <c r="AS7" s="40">
        <f>IF(AG7&gt;0,AG7,"")</f>
        <v>15.55</v>
      </c>
      <c r="AT7" s="40">
        <f>IF(SUM(AD7:AG7)-AH7&gt;0,SUM(AD7:AG7)-AH7,"")</f>
        <v>51.75</v>
      </c>
      <c r="AU7" s="40">
        <f>IF(AQ7="","",MAX(AQ7,AT7))</f>
        <v>54.92</v>
      </c>
      <c r="AV7" s="40">
        <f>IF(AK7&gt;0,AK7,"")</f>
        <v>14.9</v>
      </c>
      <c r="AW7" s="40">
        <f>IF(AL7&gt;0,AL7,"")</f>
        <v>15.41</v>
      </c>
      <c r="AX7" s="40">
        <f>IF(SUM(AI7:AL7)-AM7&gt;0,SUM(AI7:AL7)-AM7,"")</f>
        <v>54.41</v>
      </c>
      <c r="AY7" s="40">
        <f>IF(SUM(AU7,AX7)&gt;0,SUM(AU7,AX7),"")</f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>IF(BB7&gt;0,BB7,"")</f>
        <v>3.5</v>
      </c>
      <c r="BQ7" s="39">
        <f>IF(BC7&gt;0,BC7,"")</f>
        <v>3.26</v>
      </c>
      <c r="BR7" s="11">
        <f>IF(SUM(AZ7:BC7)-BD7&gt;0,SUM(AZ7:BC7)-BD7,"")</f>
        <v>11.36</v>
      </c>
      <c r="BS7" s="11">
        <f>IF(BG7&gt;0,BG7,"")</f>
        <v>15.1</v>
      </c>
      <c r="BT7" s="11">
        <f>IF(BH7&gt;0,BH7,"")</f>
        <v>15.1</v>
      </c>
      <c r="BU7" s="11">
        <f>IF(SUM(BE7:BH7)-BI7&gt;0,SUM(BE7:BH7)-BI7,"")</f>
        <v>50.300000000000004</v>
      </c>
      <c r="BV7" s="11">
        <f>IF(BR7="","",MAX(BR7,BU7))</f>
        <v>50.300000000000004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>IF(CC7&gt;0,CC7,"")</f>
        <v>15.3</v>
      </c>
      <c r="CR7" s="38">
        <f>IF(CD7&gt;0,CD7,"")</f>
        <v>16.05</v>
      </c>
      <c r="CS7" s="40">
        <f>IF(SUM(CA7:CD7)-CE7&gt;0,SUM(CA7:CD7)-CE7,"")</f>
        <v>55.05</v>
      </c>
      <c r="CT7" s="40">
        <f>IF(CH7&gt;0,CH7,"")</f>
        <v>16</v>
      </c>
      <c r="CU7" s="40">
        <f>IF(CI7&gt;0,CI7,"")</f>
        <v>16.21</v>
      </c>
      <c r="CV7" s="40">
        <f>IF(SUM(CF7:CI7)-CJ7&gt;0,SUM(CF7:CI7)-CJ7,"")</f>
        <v>54.410000000000004</v>
      </c>
      <c r="CW7" s="40">
        <f>IF(CS7="","",MAX(CS7,CV7))</f>
        <v>55.05</v>
      </c>
      <c r="CX7" s="40">
        <f>IF(CM7&gt;0,CM7,"")</f>
        <v>11.7</v>
      </c>
      <c r="CY7" s="40">
        <f>IF(CN7&gt;0,CN7,"")</f>
        <v>12.39</v>
      </c>
      <c r="CZ7" s="40">
        <f>IF(SUM(CK7:CN7)-CO7&gt;0,SUM(CK7:CN7)-CO7,"")</f>
        <v>40.89</v>
      </c>
      <c r="DA7" s="40">
        <f>IF(SUM(CW7,CZ7)&gt;0,SUM(CW7,CZ7),"")</f>
        <v>95.94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>
        <v>15.3</v>
      </c>
      <c r="MI7" s="18">
        <v>9.6</v>
      </c>
      <c r="MJ7" s="18">
        <v>3</v>
      </c>
      <c r="MK7" s="18">
        <v>15.83</v>
      </c>
      <c r="ML7" s="18">
        <v>0</v>
      </c>
      <c r="MM7" s="18">
        <v>12.7</v>
      </c>
      <c r="MN7" s="18">
        <v>9.1</v>
      </c>
      <c r="MO7" s="18">
        <v>12.2</v>
      </c>
      <c r="MP7" s="18">
        <v>15.36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3</v>
      </c>
      <c r="NC7" s="11">
        <f>IF(MK7&gt;0,MK7,"")</f>
        <v>15.83</v>
      </c>
      <c r="ND7" s="11">
        <f>IF(SUM(MH7:MK7)-ML7&gt;0,SUM(MH7:MK7)-ML7,"")</f>
        <v>43.73</v>
      </c>
      <c r="NE7" s="11">
        <f>IF(MO7&gt;0,MO7,"")</f>
        <v>12.2</v>
      </c>
      <c r="NF7" s="11">
        <f>IF(MP7&gt;0,MP7,"")</f>
        <v>15.36</v>
      </c>
      <c r="NG7" s="11">
        <f>IF(SUM(MM7:MP7)-MQ7&gt;0,SUM(MM7:MP7)-MQ7,"")</f>
        <v>49.36</v>
      </c>
      <c r="NH7" s="11">
        <f>IF(MAX(ND7,NG7)&gt;0,MAX(ND7,NG7),"")</f>
        <v>49.36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49.36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8.5500000000000007</v>
      </c>
      <c r="SW7" s="22">
        <f>IF($CP7="P",CB7,(CB7+BA7)/2)</f>
        <v>5.6000000000000005</v>
      </c>
      <c r="SX7" s="22">
        <f>IF($CP7="P",CC7,(CC7+BB7)/2)</f>
        <v>9.4</v>
      </c>
      <c r="SY7" s="22">
        <f>IF($CP7="P",CD7,(CD7+BC7)/2)</f>
        <v>9.6550000000000011</v>
      </c>
      <c r="SZ7" s="22">
        <f>IF($CP7="P",CE7,(CE7+BD7)/2)</f>
        <v>0</v>
      </c>
      <c r="TA7" s="22">
        <f>IF($CP7="P",CF7,(CF7+BE7)/2)</f>
        <v>11.95</v>
      </c>
      <c r="TB7" s="22">
        <f>IF($CP7="P",CG7,(CG7+BF7)/2)</f>
        <v>9.1999999999999993</v>
      </c>
      <c r="TC7" s="22">
        <f>IF($CP7="P",CH7,(CH7+BG7)/2)</f>
        <v>15.55</v>
      </c>
      <c r="TD7" s="22">
        <f>IF($CP7="P",CI7,(CI7+BH7)/2)</f>
        <v>15.655000000000001</v>
      </c>
      <c r="TE7" s="22">
        <f>IF($CP7="P",CJ7,(CJ7+BI7)/2)</f>
        <v>0</v>
      </c>
      <c r="TF7" s="22">
        <f>IF($CP7="P",CK7,(CK7+BJ7)/2)</f>
        <v>5.0999999999999996</v>
      </c>
      <c r="TG7" s="22">
        <f>IF($CP7="P",CL7,(CL7+BK7)/2)</f>
        <v>3.3</v>
      </c>
      <c r="TH7" s="22">
        <f>IF($CP7="P",CM7,(CM7+BL7)/2)</f>
        <v>5.85</v>
      </c>
      <c r="TI7" s="22">
        <f>IF($CP7="P",CN7,(CN7+BM7)/2)</f>
        <v>6.1950000000000003</v>
      </c>
      <c r="TJ7" s="22">
        <f>IF($CP7="P",CO7,(CO7+BN7)/2)</f>
        <v>0</v>
      </c>
      <c r="TK7" s="27" t="s">
        <v>46</v>
      </c>
      <c r="TL7" s="40">
        <f>IF(SX7&gt;0,SX7,"")</f>
        <v>9.4</v>
      </c>
      <c r="TM7" s="40">
        <f>IF(SY7&gt;0,SY7,"")</f>
        <v>9.6550000000000011</v>
      </c>
      <c r="TN7" s="40">
        <f>IF(SUM(SV7:SY7)-SZ7&gt;0,SUM(SV7:SY7)-SZ7,"")</f>
        <v>33.205000000000005</v>
      </c>
      <c r="TO7" s="40">
        <f>IF(TC7&gt;0,TC7,"")</f>
        <v>15.55</v>
      </c>
      <c r="TP7" s="40">
        <f>IF(TD7&gt;0,TD7,"")</f>
        <v>15.655000000000001</v>
      </c>
      <c r="TQ7" s="40">
        <f>IF(SUM(TA7:TD7)-TE7&gt;0,SUM(TA7:TD7)-TE7,"")</f>
        <v>52.355000000000004</v>
      </c>
      <c r="TR7" s="40">
        <f>IF(MAX(TN7,TQ7)&gt;0,MAX(TN7,TQ7),"")</f>
        <v>52.355000000000004</v>
      </c>
      <c r="TS7" s="40">
        <f>IF(TH7&gt;0,TH7,"")</f>
        <v>5.85</v>
      </c>
      <c r="TT7" s="40">
        <f>IF(TI7&gt;0,TI7,"")</f>
        <v>6.1950000000000003</v>
      </c>
      <c r="TU7" s="40">
        <f>IF(SUM(TF7:TI7)-TJ7&gt;0,SUM(TF7:TI7)-TJ7,"")</f>
        <v>20.445</v>
      </c>
      <c r="TV7" s="40">
        <f>IF(SUM(TR7,TU7)&gt;0,SUM(TR7,TU7),"")</f>
        <v>72.800000000000011</v>
      </c>
    </row>
    <row r="8" spans="1:542" x14ac:dyDescent="0.2">
      <c r="A8" s="4" cm="1">
        <f t="array" ref="A8">IF(AND(J8&lt;&gt;"",J8&lt;&gt;"No DD"),SUMPRODUCT((J$4:J$26&lt;&gt;"")*(J$4:J$26&lt;&gt;"No DD")*(F$4:F$26&gt;F8))+1,IF(J8="No DD",SUMPRODUCT((J$4:J$26="No DD")*(F$4:F$26&gt;F8))+1+SUMPRODUCT((J$4:J$26&lt;&gt;"")*(J$4:J$26&lt;&gt;"No DD")),""))</f>
        <v>5</v>
      </c>
      <c r="B8" s="4" cm="1">
        <f t="array" ref="B8">IF(AND(J8&lt;&gt;"",J8&lt;&gt;"No DD",G8=""),SUMPRODUCT((J$4:J$26&lt;&gt;"")*(J$4:J$26&lt;&gt;"No DD")*(G$4:G$26="")*(F$4:F$26&gt;F8))+1,IF(J8="No DD",SUMPRODUCT((J$4:J$26="No DD")*(F$4:F$26&gt;F8)*(G$4:G$26=""))+1+SUMPRODUCT((J$4:J$26&lt;&gt;"")*(G$4:G$26="")*(J$4:J$26&lt;&gt;"No DD")),""))</f>
        <v>3</v>
      </c>
      <c r="C8" s="5" t="s">
        <v>148</v>
      </c>
      <c r="D8" s="4" t="s">
        <v>3</v>
      </c>
      <c r="E8" s="4">
        <v>2007</v>
      </c>
      <c r="F8" s="9">
        <f>SUM(L8:V8)+SUM(L8:T8)*0.0000001+SUM(L8)*0.0000000000001</f>
        <v>187.76001877600524</v>
      </c>
      <c r="G8" s="64"/>
      <c r="H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I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),"P","")</f>
        <v>P</v>
      </c>
      <c r="J8" s="36" t="str">
        <f>IF(AND(I8="P",H8=""),"No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Excellence",IF(K8="P","Worlds Team",IF(H8="P","National Team","")))))</f>
        <v>National Team</v>
      </c>
      <c r="K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P","")</f>
        <v/>
      </c>
      <c r="L8" s="8">
        <f>IF(COUNT(AQ8,AT8,BR8,BU8,CS8,CV8)&gt;0,LARGE((AQ8,AT8,BR8,BU8,CS8,CV8),1),0)</f>
        <v>52.31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IF(COUNT(AQ8,AT8,BR8,BU8,CS8,CV8)&gt;1,LARGE((AQ8,AT8,BR8,BU8,CS8,CV8),2),0)</f>
        <v>50.37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>IF(P8="","",IF(P8=CZ8,$CA$1,IF(P8=BY8,$AZ$1,IF(P8=AX8,$Y$1,IF(OR(P8=CS8,P8=CV8,P8=CZ8),$CA$1,IF(OR(P8=BR8,P8=BU8,P8=BY8),$AZ$1,IF(OR(P8=AQ8,P8=AT8,P8=AX8),$Y$1,"")))))))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15.1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),0)</f>
        <v>15.24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Elite Canada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>IF(AA8&gt;0,AA8,"")</f>
        <v>12.8</v>
      </c>
      <c r="AP8" s="38">
        <f>IF(AB8&gt;0,AB8,"")</f>
        <v>13.33</v>
      </c>
      <c r="AQ8" s="40">
        <f>IF(SUM(Y8:AB8)-AC8&gt;0,SUM(Y8:AB8)-AC8,"")</f>
        <v>46.53</v>
      </c>
      <c r="AR8" s="40">
        <f>IF(AF8&gt;0,AF8,"")</f>
        <v>12.6</v>
      </c>
      <c r="AS8" s="40">
        <f>IF(AG8&gt;0,AG8,"")</f>
        <v>15.27</v>
      </c>
      <c r="AT8" s="40">
        <f>IF(SUM(AD8:AG8)-AH8&gt;0,SUM(AD8:AG8)-AH8,"")</f>
        <v>50.37</v>
      </c>
      <c r="AU8" s="40">
        <f>IF(AQ8="","",MAX(AQ8,AT8))</f>
        <v>50.37</v>
      </c>
      <c r="AV8" s="40">
        <f>IF(AK8&gt;0,AK8,"")</f>
        <v>15.1</v>
      </c>
      <c r="AW8" s="40">
        <f>IF(AL8&gt;0,AL8,"")</f>
        <v>15.24</v>
      </c>
      <c r="AX8" s="40">
        <f>IF(SUM(AI8:AL8)-AM8&gt;0,SUM(AI8:AL8)-AM8,"")</f>
        <v>54.74</v>
      </c>
      <c r="AY8" s="40">
        <f>IF(SUM(AU8,AX8)&gt;0,SUM(AU8,AX8),"")</f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>IF(BB8&gt;0,BB8,"")</f>
        <v>10.5</v>
      </c>
      <c r="BQ8" s="39">
        <f>IF(BC8&gt;0,BC8,"")</f>
        <v>15.53</v>
      </c>
      <c r="BR8" s="11">
        <f>IF(SUM(AZ8:BC8)-BD8&gt;0,SUM(AZ8:BC8)-BD8,"")</f>
        <v>42.53</v>
      </c>
      <c r="BS8" s="11">
        <f>IF(BG8&gt;0,BG8,"")</f>
        <v>9.6999999999999993</v>
      </c>
      <c r="BT8" s="11">
        <f>IF(BH8&gt;0,BH8,"")</f>
        <v>13.32</v>
      </c>
      <c r="BU8" s="11">
        <f>IF(SUM(BE8:BH8)-BI8&gt;0,SUM(BE8:BH8)-BI8,"")</f>
        <v>41.82</v>
      </c>
      <c r="BV8" s="11">
        <f>IF(BR8="","",MAX(BR8,BU8))</f>
        <v>42.53</v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>
        <f>IF(SUM(BV8,BY8)&gt;0,SUM(BV8,BY8),"")</f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>IF(CC8&gt;0,CC8,"")</f>
        <v>13.1</v>
      </c>
      <c r="CR8" s="38">
        <f>IF(CD8&gt;0,CD8,"")</f>
        <v>16.21</v>
      </c>
      <c r="CS8" s="40">
        <f>IF(SUM(CA8:CD8)-CE8&gt;0,SUM(CA8:CD8)-CE8,"")</f>
        <v>52.31</v>
      </c>
      <c r="CT8" s="40">
        <f>IF(CH8&gt;0,CH8,"")</f>
        <v>1.7</v>
      </c>
      <c r="CU8" s="40" t="str">
        <f>IF(CI8&gt;0,CI8,"")</f>
        <v/>
      </c>
      <c r="CV8" s="40">
        <f>IF(SUM(CF8:CI8)-CJ8&gt;0,SUM(CF8:CI8)-CJ8,"")</f>
        <v>4.2</v>
      </c>
      <c r="CW8" s="40">
        <f>IF(CS8="","",MAX(CS8,CV8))</f>
        <v>52.31</v>
      </c>
      <c r="CX8" s="40">
        <f>IF(CM8&gt;0,CM8,"")</f>
        <v>4</v>
      </c>
      <c r="CY8" s="40">
        <f>IF(CN8&gt;0,CN8,"")</f>
        <v>3.48</v>
      </c>
      <c r="CZ8" s="40">
        <f>IF(SUM(CK8:CN8)-CO8&gt;0,SUM(CK8:CN8)-CO8,"")</f>
        <v>11.88</v>
      </c>
      <c r="DA8" s="40">
        <f>IF(SUM(CW8,CZ8)&gt;0,SUM(CW8,CZ8),"")</f>
        <v>64.19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2</v>
      </c>
      <c r="GO8" s="40">
        <f>IF(FW8&gt;0,FW8,"")</f>
        <v>1.65</v>
      </c>
      <c r="GP8" s="40">
        <f>IF(SUM(FT8:FW8)-FX8&gt;0,SUM(FT8:FW8)-FX8,"")</f>
        <v>6.15</v>
      </c>
      <c r="GQ8" s="40">
        <f>IF(GA8&gt;0,GA8,"")</f>
        <v>3.5</v>
      </c>
      <c r="GR8" s="40">
        <f>IF(GB8&gt;0,GB8,"")</f>
        <v>3.19</v>
      </c>
      <c r="GS8" s="40">
        <f>IF(SUM(FY8:GB8)-GC8&gt;0,SUM(FY8:GB8)-GC8,"")</f>
        <v>10.69</v>
      </c>
      <c r="GT8" s="40">
        <f>IF(MAX(GP8,GS8)&gt;0,MAX(GP8,GS8),"")</f>
        <v>10.69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13.600000000000001</v>
      </c>
      <c r="SW8" s="22">
        <f>IF($CP8="P",CB8,(CB8+BA8)/2)</f>
        <v>8.85</v>
      </c>
      <c r="SX8" s="22">
        <f>IF($CP8="P",CC8,(CC8+BB8)/2)</f>
        <v>11.8</v>
      </c>
      <c r="SY8" s="22">
        <f>IF($CP8="P",CD8,(CD8+BC8)/2)</f>
        <v>15.870000000000001</v>
      </c>
      <c r="SZ8" s="22">
        <f>IF($CP8="P",CE8,(CE8+BD8)/2)</f>
        <v>2.7</v>
      </c>
      <c r="TA8" s="22">
        <f>IF($CP8="P",CF8,(CF8+BE8)/2)</f>
        <v>5.95</v>
      </c>
      <c r="TB8" s="22">
        <f>IF($CP8="P",CG8,(CG8+BF8)/2)</f>
        <v>4.7</v>
      </c>
      <c r="TC8" s="22">
        <f>IF($CP8="P",CH8,(CH8+BG8)/2)</f>
        <v>5.6999999999999993</v>
      </c>
      <c r="TD8" s="22">
        <f>IF($CP8="P",CI8,(CI8+BH8)/2)</f>
        <v>6.66</v>
      </c>
      <c r="TE8" s="22">
        <f>IF($CP8="P",CJ8,(CJ8+BI8)/2)</f>
        <v>0</v>
      </c>
      <c r="TF8" s="22">
        <f>IF($CP8="P",CK8,(CK8+BJ8)/2)</f>
        <v>1.35</v>
      </c>
      <c r="TG8" s="22">
        <f>IF($CP8="P",CL8,(CL8+BK8)/2)</f>
        <v>0.85</v>
      </c>
      <c r="TH8" s="22">
        <f>IF($CP8="P",CM8,(CM8+BL8)/2)</f>
        <v>2</v>
      </c>
      <c r="TI8" s="22">
        <f>IF($CP8="P",CN8,(CN8+BM8)/2)</f>
        <v>1.74</v>
      </c>
      <c r="TJ8" s="22">
        <f>IF($CP8="P",CO8,(CO8+BN8)/2)</f>
        <v>0</v>
      </c>
      <c r="TK8" s="27" t="s">
        <v>46</v>
      </c>
      <c r="TL8" s="40">
        <f>IF(SX8&gt;0,SX8,"")</f>
        <v>11.8</v>
      </c>
      <c r="TM8" s="40">
        <f>IF(SY8&gt;0,SY8,"")</f>
        <v>15.870000000000001</v>
      </c>
      <c r="TN8" s="40">
        <f>IF(SUM(SV8:SY8)-SZ8&gt;0,SUM(SV8:SY8)-SZ8,"")</f>
        <v>47.42</v>
      </c>
      <c r="TO8" s="40">
        <f>IF(TC8&gt;0,TC8,"")</f>
        <v>5.6999999999999993</v>
      </c>
      <c r="TP8" s="40">
        <f>IF(TD8&gt;0,TD8,"")</f>
        <v>6.66</v>
      </c>
      <c r="TQ8" s="40">
        <f>IF(SUM(TA8:TD8)-TE8&gt;0,SUM(TA8:TD8)-TE8,"")</f>
        <v>23.01</v>
      </c>
      <c r="TR8" s="40">
        <f>IF(MAX(TN8,TQ8)&gt;0,MAX(TN8,TQ8),"")</f>
        <v>47.42</v>
      </c>
      <c r="TS8" s="40">
        <f>IF(TH8&gt;0,TH8,"")</f>
        <v>2</v>
      </c>
      <c r="TT8" s="40">
        <f>IF(TI8&gt;0,TI8,"")</f>
        <v>1.74</v>
      </c>
      <c r="TU8" s="40">
        <f>IF(SUM(TF8:TI8)-TJ8&gt;0,SUM(TF8:TI8)-TJ8,"")</f>
        <v>5.94</v>
      </c>
      <c r="TV8" s="40">
        <f>IF(SUM(TR8,TU8)&gt;0,SUM(TR8,TU8),"")</f>
        <v>53.36</v>
      </c>
    </row>
    <row r="9" spans="1:542" x14ac:dyDescent="0.2">
      <c r="A9" s="4" cm="1">
        <f t="array" ref="A9">IF(AND(J9&lt;&gt;"",J9&lt;&gt;"No DD"),SUMPRODUCT((J$4:J$26&lt;&gt;"")*(J$4:J$26&lt;&gt;"No DD")*(F$4:F$26&gt;F9))+1,IF(J9="No DD",SUMPRODUCT((J$4:J$26="No DD")*(F$4:F$26&gt;F9))+1+SUMPRODUCT((J$4:J$26&lt;&gt;"")*(J$4:J$26&lt;&gt;"No DD")),""))</f>
        <v>6</v>
      </c>
      <c r="B9" s="4" cm="1">
        <f t="array" ref="B9">IF(AND(J9&lt;&gt;"",J9&lt;&gt;"No DD",G9=""),SUMPRODUCT((J$4:J$26&lt;&gt;"")*(J$4:J$26&lt;&gt;"No DD")*(G$4:G$26="")*(F$4:F$26&gt;F9))+1,IF(J9="No DD",SUMPRODUCT((J$4:J$26="No DD")*(F$4:F$26&gt;F9)*(G$4:G$26=""))+1+SUMPRODUCT((J$4:J$26&lt;&gt;"")*(G$4:G$26="")*(J$4:J$26&lt;&gt;"No DD")),""))</f>
        <v>4</v>
      </c>
      <c r="C9" s="5" t="s">
        <v>198</v>
      </c>
      <c r="D9" s="4" t="s">
        <v>197</v>
      </c>
      <c r="E9" s="4">
        <v>2004</v>
      </c>
      <c r="F9" s="9">
        <f>SUM(L9:V9)+SUM(L9:T9)*0.0000001+SUM(L9)*0.0000000000001</f>
        <v>146.48001464800558</v>
      </c>
      <c r="G9" s="64"/>
      <c r="H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>P</v>
      </c>
      <c r="I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),"P","")</f>
        <v>P</v>
      </c>
      <c r="J9" s="36" t="str">
        <f>IF(AND(I9="P",H9=""),"No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Excellence",IF(K9="P","Worlds Team",IF(H9="P","National Team","")))))</f>
        <v>National Team</v>
      </c>
      <c r="K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P","")</f>
        <v/>
      </c>
      <c r="L9" s="8">
        <f>IF(COUNT(AQ9,AT9,BR9,BU9,CS9,CV9)&gt;0,LARGE((AQ9,AT9,BR9,BU9,CS9,CV9),1),0)</f>
        <v>56.08</v>
      </c>
      <c r="M9" s="8" t="str">
        <f>IF(L9="","",IF(OR(L9=CS9,L9=CV9),$CA$1,IF(OR(L9=BR9,L9=BU9),$AZ$1,IF(OR(L9=AQ9,L9=AT9),$Y$1,""))))</f>
        <v>2025 3rd Domestic Trial</v>
      </c>
      <c r="N9" s="8">
        <f>IF(COUNT(AQ9,AT9,BR9,BU9,CS9,CV9)&gt;1,LARGE((AQ9,AT9,BR9,BU9,CS9,CV9),2),0)</f>
        <v>11.96</v>
      </c>
      <c r="O9" s="8" t="str">
        <f>IF(N9="","",IF(OR(N9=CS9,N9=CV9),$CA$1,IF(OR(N9=BR9,N9=BU9),$AZ$1,IF(OR(N9=AQ9,N9=AT9),$Y$1,""))))</f>
        <v>2025 3rd Domestic Trial</v>
      </c>
      <c r="P9" s="8">
        <f>IF(COUNT(AQ9,AT9,BR9,BU9,CS9,CV9)&gt;2,MAX(AX9,BY9,CZ9,LARGE((AQ9,AT9,BR9,BU9,CS9,CV9),3)),IF(MAX(AX9,BY9,CZ9)&gt;0,MAX(AX9,BY9,CZ9),0))</f>
        <v>47.260000000000005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),0)</f>
        <v>16.28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15.6</v>
      </c>
      <c r="CB9" s="22">
        <v>9.3000000000000007</v>
      </c>
      <c r="CC9" s="22">
        <v>14.9</v>
      </c>
      <c r="CD9" s="22">
        <v>16.28</v>
      </c>
      <c r="CE9" s="22">
        <v>0</v>
      </c>
      <c r="CF9" s="22">
        <v>3.2</v>
      </c>
      <c r="CG9" s="22">
        <v>1.7</v>
      </c>
      <c r="CH9" s="22">
        <v>3.5</v>
      </c>
      <c r="CI9" s="22">
        <v>3.56</v>
      </c>
      <c r="CJ9" s="22">
        <v>0</v>
      </c>
      <c r="CK9" s="22">
        <v>15</v>
      </c>
      <c r="CL9" s="22">
        <v>8.6999999999999993</v>
      </c>
      <c r="CM9" s="22">
        <v>11.2</v>
      </c>
      <c r="CN9" s="22">
        <v>15.66</v>
      </c>
      <c r="CO9" s="22">
        <v>3.3</v>
      </c>
      <c r="CP9" s="27"/>
      <c r="CQ9" s="38">
        <f>IF(CC9&gt;0,CC9,"")</f>
        <v>14.9</v>
      </c>
      <c r="CR9" s="38">
        <f>IF(CD9&gt;0,CD9,"")</f>
        <v>16.28</v>
      </c>
      <c r="CS9" s="40">
        <f>IF(SUM(CA9:CD9)-CE9&gt;0,SUM(CA9:CD9)-CE9,"")</f>
        <v>56.08</v>
      </c>
      <c r="CT9" s="40">
        <f>IF(CH9&gt;0,CH9,"")</f>
        <v>3.5</v>
      </c>
      <c r="CU9" s="40">
        <f>IF(CI9&gt;0,CI9,"")</f>
        <v>3.56</v>
      </c>
      <c r="CV9" s="40">
        <f>IF(SUM(CF9:CI9)-CJ9&gt;0,SUM(CF9:CI9)-CJ9,"")</f>
        <v>11.96</v>
      </c>
      <c r="CW9" s="40">
        <f>IF(CS9="","",MAX(CS9,CV9))</f>
        <v>56.08</v>
      </c>
      <c r="CX9" s="40">
        <f>IF(CM9&gt;0,CM9,"")</f>
        <v>11.2</v>
      </c>
      <c r="CY9" s="40">
        <f>IF(CN9&gt;0,CN9,"")</f>
        <v>15.66</v>
      </c>
      <c r="CZ9" s="40">
        <f>IF(SUM(CK9:CN9)-CO9&gt;0,SUM(CK9:CN9)-CO9,"")</f>
        <v>47.260000000000005</v>
      </c>
      <c r="DA9" s="40">
        <f>IF(SUM(CW9,CZ9)&gt;0,SUM(CW9,CZ9),"")</f>
        <v>103.34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7.8</v>
      </c>
      <c r="SW9" s="22">
        <f>IF($CP9="P",CB9,(CB9+BA9)/2)</f>
        <v>4.6500000000000004</v>
      </c>
      <c r="SX9" s="22">
        <f>IF($CP9="P",CC9,(CC9+BB9)/2)</f>
        <v>7.45</v>
      </c>
      <c r="SY9" s="22">
        <f>IF($CP9="P",CD9,(CD9+BC9)/2)</f>
        <v>8.14</v>
      </c>
      <c r="SZ9" s="22">
        <f>IF($CP9="P",CE9,(CE9+BD9)/2)</f>
        <v>0</v>
      </c>
      <c r="TA9" s="22">
        <f>IF($CP9="P",CF9,(CF9+BE9)/2)</f>
        <v>1.6</v>
      </c>
      <c r="TB9" s="22">
        <f>IF($CP9="P",CG9,(CG9+BF9)/2)</f>
        <v>0.85</v>
      </c>
      <c r="TC9" s="22">
        <f>IF($CP9="P",CH9,(CH9+BG9)/2)</f>
        <v>1.75</v>
      </c>
      <c r="TD9" s="22">
        <f>IF($CP9="P",CI9,(CI9+BH9)/2)</f>
        <v>1.78</v>
      </c>
      <c r="TE9" s="22">
        <f>IF($CP9="P",CJ9,(CJ9+BI9)/2)</f>
        <v>0</v>
      </c>
      <c r="TF9" s="22">
        <f>IF($CP9="P",CK9,(CK9+BJ9)/2)</f>
        <v>7.5</v>
      </c>
      <c r="TG9" s="22">
        <f>IF($CP9="P",CL9,(CL9+BK9)/2)</f>
        <v>4.3499999999999996</v>
      </c>
      <c r="TH9" s="22">
        <f>IF($CP9="P",CM9,(CM9+BL9)/2)</f>
        <v>5.6</v>
      </c>
      <c r="TI9" s="22">
        <f>IF($CP9="P",CN9,(CN9+BM9)/2)</f>
        <v>7.83</v>
      </c>
      <c r="TJ9" s="22">
        <f>IF($CP9="P",CO9,(CO9+BN9)/2)</f>
        <v>1.65</v>
      </c>
      <c r="TK9" s="27" t="s">
        <v>46</v>
      </c>
      <c r="TL9" s="40">
        <f>IF(SX9&gt;0,SX9,"")</f>
        <v>7.45</v>
      </c>
      <c r="TM9" s="40">
        <f>IF(SY9&gt;0,SY9,"")</f>
        <v>8.14</v>
      </c>
      <c r="TN9" s="40">
        <f>IF(SUM(SV9:SY9)-SZ9&gt;0,SUM(SV9:SY9)-SZ9,"")</f>
        <v>28.04</v>
      </c>
      <c r="TO9" s="40">
        <f>IF(TC9&gt;0,TC9,"")</f>
        <v>1.75</v>
      </c>
      <c r="TP9" s="40">
        <f>IF(TD9&gt;0,TD9,"")</f>
        <v>1.78</v>
      </c>
      <c r="TQ9" s="40">
        <f>IF(SUM(TA9:TD9)-TE9&gt;0,SUM(TA9:TD9)-TE9,"")</f>
        <v>5.98</v>
      </c>
      <c r="TR9" s="40">
        <f>IF(MAX(TN9,TQ9)&gt;0,MAX(TN9,TQ9),"")</f>
        <v>28.04</v>
      </c>
      <c r="TS9" s="40">
        <f>IF(TH9&gt;0,TH9,"")</f>
        <v>5.6</v>
      </c>
      <c r="TT9" s="40">
        <f>IF(TI9&gt;0,TI9,"")</f>
        <v>7.83</v>
      </c>
      <c r="TU9" s="40">
        <f>IF(SUM(TF9:TI9)-TJ9&gt;0,SUM(TF9:TI9)-TJ9,"")</f>
        <v>23.630000000000003</v>
      </c>
      <c r="TV9" s="40">
        <f>IF(SUM(TR9,TU9)&gt;0,SUM(TR9,TU9),"")</f>
        <v>51.67</v>
      </c>
    </row>
    <row r="10" spans="1:542" x14ac:dyDescent="0.2">
      <c r="A10" s="4" t="str" cm="1">
        <f t="array" ref="A10">IF(AND(J10&lt;&gt;"",J10&lt;&gt;"No DD"),SUMPRODUCT((J$4:J$26&lt;&gt;"")*(J$4:J$26&lt;&gt;"No DD")*(F$4:F$26&gt;F10))+1,IF(J10="No DD",SUMPRODUCT((J$4:J$26="No DD")*(F$4:F$26&gt;F10))+1+SUMPRODUCT((J$4:J$26&lt;&gt;"")*(J$4:J$26&lt;&gt;"No DD")),""))</f>
        <v/>
      </c>
      <c r="B10" s="4" t="str" cm="1">
        <f t="array" ref="B10">IF(AND(J10&lt;&gt;"",J10&lt;&gt;"No DD",G10=""),SUMPRODUCT((J$4:J$26&lt;&gt;"")*(J$4:J$26&lt;&gt;"No DD")*(G$4:G$26="")*(F$4:F$26&gt;F10))+1,IF(J10="No DD",SUMPRODUCT((J$4:J$26="No DD")*(F$4:F$26&gt;F10)*(G$4:G$26=""))+1+SUMPRODUCT((J$4:J$26&lt;&gt;"")*(G$4:G$26="")*(J$4:J$26&lt;&gt;"No DD")),""))</f>
        <v/>
      </c>
      <c r="C10" s="5" t="s">
        <v>95</v>
      </c>
      <c r="D10" s="4" t="s">
        <v>5</v>
      </c>
      <c r="E10" s="4">
        <v>2005</v>
      </c>
      <c r="F10" s="9">
        <f>SUM(L10:V10)+SUM(L10:T10)*0.0000001+SUM(L10)*0.0000000000001</f>
        <v>188.97001889700527</v>
      </c>
      <c r="G10" s="64"/>
      <c r="H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I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),"P","")</f>
        <v/>
      </c>
      <c r="J10" s="36" t="str">
        <f>IF(AND(I10="P",H10=""),"No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Excellence",IF(K10="P","Worlds Team",IF(H10="P","National Team","")))))</f>
        <v/>
      </c>
      <c r="K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P","")</f>
        <v/>
      </c>
      <c r="L10" s="8">
        <f>IF(COUNT(AQ10,AT10,BR10,BU10,CS10,CV10)&gt;0,LARGE((AQ10,AT10,BR10,BU10,CS10,CV10),1),0)</f>
        <v>52.489999999999995</v>
      </c>
      <c r="M10" s="8" t="str">
        <f>IF(L10="","",IF(OR(L10=CS10,L10=CV10),$CA$1,IF(OR(L10=BR10,L10=BU10),$AZ$1,IF(OR(L10=AQ10,L10=AT10),$Y$1,""))))</f>
        <v>2025 Nationals</v>
      </c>
      <c r="N10" s="8">
        <f>IF(COUNT(AQ10,AT10,BR10,BU10,CS10,CV10)&gt;1,LARGE((AQ10,AT10,BR10,BU10,CS10,CV10),2),0)</f>
        <v>52.05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53.38000000000001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Coimbra Gym Fest (July 6)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),0)</f>
        <v>15.75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2025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11.8</v>
      </c>
      <c r="Z10" s="22">
        <v>9.6</v>
      </c>
      <c r="AA10" s="22">
        <v>14.9</v>
      </c>
      <c r="AB10" s="22">
        <v>15.75</v>
      </c>
      <c r="AC10" s="22">
        <v>0</v>
      </c>
      <c r="AD10" s="22">
        <v>2.7</v>
      </c>
      <c r="AE10" s="22">
        <v>1.8</v>
      </c>
      <c r="AF10" s="22">
        <v>3.3</v>
      </c>
      <c r="AG10" s="22">
        <v>3.33</v>
      </c>
      <c r="AH10" s="22">
        <v>0</v>
      </c>
      <c r="AI10" s="22">
        <v>12.3</v>
      </c>
      <c r="AJ10" s="22">
        <v>8.4</v>
      </c>
      <c r="AK10" s="22">
        <v>13.2</v>
      </c>
      <c r="AL10" s="22">
        <v>14.33</v>
      </c>
      <c r="AM10" s="22">
        <v>0</v>
      </c>
      <c r="AN10" s="27"/>
      <c r="AO10" s="38">
        <f>IF(AA10&gt;0,AA10,"")</f>
        <v>14.9</v>
      </c>
      <c r="AP10" s="38">
        <f>IF(AB10&gt;0,AB10,"")</f>
        <v>15.75</v>
      </c>
      <c r="AQ10" s="40">
        <f>IF(SUM(Y10:AB10)-AC10&gt;0,SUM(Y10:AB10)-AC10,"")</f>
        <v>52.05</v>
      </c>
      <c r="AR10" s="40">
        <f>IF(AF10&gt;0,AF10,"")</f>
        <v>3.3</v>
      </c>
      <c r="AS10" s="40">
        <f>IF(AG10&gt;0,AG10,"")</f>
        <v>3.33</v>
      </c>
      <c r="AT10" s="40">
        <f>IF(SUM(AD10:AG10)-AH10&gt;0,SUM(AD10:AG10)-AH10,"")</f>
        <v>11.129999999999999</v>
      </c>
      <c r="AU10" s="40">
        <f>IF(AQ10="","",MAX(AQ10,AT10))</f>
        <v>52.05</v>
      </c>
      <c r="AV10" s="40">
        <f>IF(AK10&gt;0,AK10,"")</f>
        <v>13.2</v>
      </c>
      <c r="AW10" s="40">
        <f>IF(AL10&gt;0,AL10,"")</f>
        <v>14.33</v>
      </c>
      <c r="AX10" s="40">
        <f>IF(SUM(AI10:AL10)-AM10&gt;0,SUM(AI10:AL10)-AM10,"")</f>
        <v>48.230000000000004</v>
      </c>
      <c r="AY10" s="40">
        <f>IF(SUM(AU10,AX10)&gt;0,SUM(AU10,AX10),"")</f>
        <v>100.28</v>
      </c>
      <c r="AZ10" s="26">
        <v>10.1</v>
      </c>
      <c r="BA10" s="26">
        <v>7.7</v>
      </c>
      <c r="BB10" s="26">
        <v>12.6</v>
      </c>
      <c r="BC10" s="26">
        <v>13.81</v>
      </c>
      <c r="BD10" s="26">
        <v>0</v>
      </c>
      <c r="BE10" s="26">
        <v>13.1</v>
      </c>
      <c r="BF10" s="26">
        <v>9</v>
      </c>
      <c r="BG10" s="26">
        <v>14.7</v>
      </c>
      <c r="BH10" s="26">
        <v>15.69</v>
      </c>
      <c r="BI10" s="26">
        <v>0</v>
      </c>
      <c r="BJ10" s="26">
        <v>14.4</v>
      </c>
      <c r="BK10" s="26">
        <v>8.8000000000000007</v>
      </c>
      <c r="BL10" s="26">
        <v>14.7</v>
      </c>
      <c r="BM10" s="26">
        <v>15.48</v>
      </c>
      <c r="BN10" s="26">
        <v>0</v>
      </c>
      <c r="BO10" s="28"/>
      <c r="BP10" s="39">
        <f>IF(BB10&gt;0,BB10,"")</f>
        <v>12.6</v>
      </c>
      <c r="BQ10" s="39">
        <f>IF(BC10&gt;0,BC10,"")</f>
        <v>13.81</v>
      </c>
      <c r="BR10" s="11">
        <f>IF(SUM(AZ10:BC10)-BD10&gt;0,SUM(AZ10:BC10)-BD10,"")</f>
        <v>44.21</v>
      </c>
      <c r="BS10" s="11">
        <f>IF(BG10&gt;0,BG10,"")</f>
        <v>14.7</v>
      </c>
      <c r="BT10" s="11">
        <f>IF(BH10&gt;0,BH10,"")</f>
        <v>15.69</v>
      </c>
      <c r="BU10" s="11">
        <f>IF(SUM(BE10:BH10)-BI10&gt;0,SUM(BE10:BH10)-BI10,"")</f>
        <v>52.489999999999995</v>
      </c>
      <c r="BV10" s="11">
        <f>IF(BR10="","",MAX(BR10,BU10))</f>
        <v>52.489999999999995</v>
      </c>
      <c r="BW10" s="11">
        <f>IF(BL10&gt;0,BL10,"")</f>
        <v>14.7</v>
      </c>
      <c r="BX10" s="11">
        <f>IF(BM10&gt;0,BM10,"")</f>
        <v>15.48</v>
      </c>
      <c r="BY10" s="11">
        <f>IF(SUM(BJ10:BM10)-BN10&gt;0,SUM(BJ10:BM10)-BN10,"")</f>
        <v>53.38000000000001</v>
      </c>
      <c r="BZ10" s="11">
        <f>IF(SUM(BV10,BY10)&gt;0,SUM(BV10,BY10),"")</f>
        <v>105.87</v>
      </c>
      <c r="CA10" s="22">
        <v>11.3</v>
      </c>
      <c r="CB10" s="22">
        <v>9.4</v>
      </c>
      <c r="CC10" s="22">
        <v>14.4</v>
      </c>
      <c r="CD10" s="22">
        <v>15.17</v>
      </c>
      <c r="CE10" s="22">
        <v>0.1</v>
      </c>
      <c r="CF10" s="22">
        <v>1.4</v>
      </c>
      <c r="CG10" s="22">
        <v>1</v>
      </c>
      <c r="CH10" s="22">
        <v>2</v>
      </c>
      <c r="CI10" s="22">
        <v>1.67</v>
      </c>
      <c r="CJ10" s="22">
        <v>0</v>
      </c>
      <c r="CK10" s="22">
        <v>13</v>
      </c>
      <c r="CL10" s="22">
        <v>9</v>
      </c>
      <c r="CM10" s="22">
        <v>14.3</v>
      </c>
      <c r="CN10" s="22">
        <v>14.86</v>
      </c>
      <c r="CO10" s="22">
        <v>0.2</v>
      </c>
      <c r="CP10" s="27"/>
      <c r="CQ10" s="38">
        <f>IF(CC10&gt;0,CC10,"")</f>
        <v>14.4</v>
      </c>
      <c r="CR10" s="38">
        <f>IF(CD10&gt;0,CD10,"")</f>
        <v>15.17</v>
      </c>
      <c r="CS10" s="40">
        <f>IF(SUM(CA10:CD10)-CE10&gt;0,SUM(CA10:CD10)-CE10,"")</f>
        <v>50.17</v>
      </c>
      <c r="CT10" s="40">
        <f>IF(CH10&gt;0,CH10,"")</f>
        <v>2</v>
      </c>
      <c r="CU10" s="40">
        <f>IF(CI10&gt;0,CI10,"")</f>
        <v>1.67</v>
      </c>
      <c r="CV10" s="40">
        <f>IF(SUM(CF10:CI10)-CJ10&gt;0,SUM(CF10:CI10)-CJ10,"")</f>
        <v>6.07</v>
      </c>
      <c r="CW10" s="40">
        <f>IF(CS10="","",MAX(CS10,CV10))</f>
        <v>50.17</v>
      </c>
      <c r="CX10" s="40">
        <f>IF(CM10&gt;0,CM10,"")</f>
        <v>14.3</v>
      </c>
      <c r="CY10" s="40">
        <f>IF(CN10&gt;0,CN10,"")</f>
        <v>14.86</v>
      </c>
      <c r="CZ10" s="40">
        <f>IF(SUM(CK10:CN10)-CO10&gt;0,SUM(CK10:CN10)-CO10,"")</f>
        <v>50.959999999999994</v>
      </c>
      <c r="DA10" s="40">
        <f>IF(SUM(CW10,CZ10)&gt;0,SUM(CW10,CZ10),"")</f>
        <v>101.13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11.3</v>
      </c>
      <c r="FU10" s="17">
        <v>8.8000000000000007</v>
      </c>
      <c r="FV10" s="17">
        <v>14.7</v>
      </c>
      <c r="FW10" s="17">
        <v>15.45</v>
      </c>
      <c r="FX10" s="17">
        <v>0</v>
      </c>
      <c r="FY10" s="17">
        <v>11.9</v>
      </c>
      <c r="FZ10" s="17">
        <v>9.1999999999999993</v>
      </c>
      <c r="GA10" s="17">
        <v>15.3</v>
      </c>
      <c r="GB10" s="17">
        <v>15.51</v>
      </c>
      <c r="GC10" s="17">
        <v>0</v>
      </c>
      <c r="GD10" s="17">
        <v>6.4</v>
      </c>
      <c r="GE10" s="17">
        <v>4.4000000000000004</v>
      </c>
      <c r="GF10" s="17">
        <v>8</v>
      </c>
      <c r="GG10" s="17">
        <v>8.09</v>
      </c>
      <c r="GH10" s="17">
        <v>0.2</v>
      </c>
      <c r="GI10" s="17"/>
      <c r="GJ10" s="17"/>
      <c r="GK10" s="17"/>
      <c r="GL10" s="17"/>
      <c r="GM10" s="17"/>
      <c r="GN10" s="40">
        <f>IF(FV10&gt;0,FV10,"")</f>
        <v>14.7</v>
      </c>
      <c r="GO10" s="40">
        <f>IF(FW10&gt;0,FW10,"")</f>
        <v>15.45</v>
      </c>
      <c r="GP10" s="40">
        <f>IF(SUM(FT10:FW10)-FX10&gt;0,SUM(FT10:FW10)-FX10,"")</f>
        <v>50.25</v>
      </c>
      <c r="GQ10" s="40">
        <f>IF(GA10&gt;0,GA10,"")</f>
        <v>15.3</v>
      </c>
      <c r="GR10" s="40">
        <f>IF(GB10&gt;0,GB10,"")</f>
        <v>15.51</v>
      </c>
      <c r="GS10" s="40">
        <f>IF(SUM(FY10:GB10)-GC10&gt;0,SUM(FY10:GB10)-GC10,"")</f>
        <v>51.910000000000004</v>
      </c>
      <c r="GT10" s="40">
        <f>IF(MAX(GP10,GS10)&gt;0,MAX(GP10,GS10),"")</f>
        <v>51.910000000000004</v>
      </c>
      <c r="GU10" s="40">
        <f>IF(GF10&gt;0,GF10,"")</f>
        <v>8</v>
      </c>
      <c r="GV10" s="40">
        <f>IF(GG10&gt;0,GG10,"")</f>
        <v>8.09</v>
      </c>
      <c r="GW10" s="40">
        <f>IF(SUM(GD10:GG10)-GH10&gt;0,SUM(GD10:GG10)-GH10,"")</f>
        <v>26.69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78.600000000000009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10.7</v>
      </c>
      <c r="SW10" s="22">
        <f>IF($CP10="P",CB10,(CB10+BA10)/2)</f>
        <v>8.5500000000000007</v>
      </c>
      <c r="SX10" s="22">
        <f>IF($CP10="P",CC10,(CC10+BB10)/2)</f>
        <v>13.5</v>
      </c>
      <c r="SY10" s="22">
        <f>IF($CP10="P",CD10,(CD10+BC10)/2)</f>
        <v>14.49</v>
      </c>
      <c r="SZ10" s="22">
        <f>IF($CP10="P",CE10,(CE10+BD10)/2)</f>
        <v>0.05</v>
      </c>
      <c r="TA10" s="22">
        <f>IF($CP10="P",CF10,(CF10+BE10)/2)</f>
        <v>7.25</v>
      </c>
      <c r="TB10" s="22">
        <f>IF($CP10="P",CG10,(CG10+BF10)/2)</f>
        <v>5</v>
      </c>
      <c r="TC10" s="22">
        <f>IF($CP10="P",CH10,(CH10+BG10)/2)</f>
        <v>8.35</v>
      </c>
      <c r="TD10" s="22">
        <f>IF($CP10="P",CI10,(CI10+BH10)/2)</f>
        <v>8.68</v>
      </c>
      <c r="TE10" s="22">
        <f>IF($CP10="P",CJ10,(CJ10+BI10)/2)</f>
        <v>0</v>
      </c>
      <c r="TF10" s="22">
        <f>IF($CP10="P",CK10,(CK10+BJ10)/2)</f>
        <v>13.7</v>
      </c>
      <c r="TG10" s="22">
        <f>IF($CP10="P",CL10,(CL10+BK10)/2)</f>
        <v>8.9</v>
      </c>
      <c r="TH10" s="22">
        <f>IF($CP10="P",CM10,(CM10+BL10)/2)</f>
        <v>14.5</v>
      </c>
      <c r="TI10" s="22">
        <f>IF($CP10="P",CN10,(CN10+BM10)/2)</f>
        <v>15.17</v>
      </c>
      <c r="TJ10" s="22">
        <f>IF($CP10="P",CO10,(CO10+BN10)/2)</f>
        <v>0.1</v>
      </c>
      <c r="TK10" s="27" t="s">
        <v>46</v>
      </c>
      <c r="TL10" s="40">
        <f>IF(SX10&gt;0,SX10,"")</f>
        <v>13.5</v>
      </c>
      <c r="TM10" s="40">
        <f>IF(SY10&gt;0,SY10,"")</f>
        <v>14.49</v>
      </c>
      <c r="TN10" s="40">
        <f>IF(SUM(SV10:SY10)-SZ10&gt;0,SUM(SV10:SY10)-SZ10,"")</f>
        <v>47.190000000000005</v>
      </c>
      <c r="TO10" s="40">
        <f>IF(TC10&gt;0,TC10,"")</f>
        <v>8.35</v>
      </c>
      <c r="TP10" s="40">
        <f>IF(TD10&gt;0,TD10,"")</f>
        <v>8.68</v>
      </c>
      <c r="TQ10" s="40">
        <f>IF(SUM(TA10:TD10)-TE10&gt;0,SUM(TA10:TD10)-TE10,"")</f>
        <v>29.28</v>
      </c>
      <c r="TR10" s="40">
        <f>IF(MAX(TN10,TQ10)&gt;0,MAX(TN10,TQ10),"")</f>
        <v>47.190000000000005</v>
      </c>
      <c r="TS10" s="40">
        <f>IF(TH10&gt;0,TH10,"")</f>
        <v>14.5</v>
      </c>
      <c r="TT10" s="40">
        <f>IF(TI10&gt;0,TI10,"")</f>
        <v>15.17</v>
      </c>
      <c r="TU10" s="40">
        <f>IF(SUM(TF10:TI10)-TJ10&gt;0,SUM(TF10:TI10)-TJ10,"")</f>
        <v>52.17</v>
      </c>
      <c r="TV10" s="40">
        <f>IF(SUM(TR10,TU10)&gt;0,SUM(TR10,TU10),"")</f>
        <v>99.360000000000014</v>
      </c>
    </row>
    <row r="11" spans="1:542" x14ac:dyDescent="0.2">
      <c r="A11" s="4" t="str" cm="1">
        <f t="array" ref="A11">IF(AND(J11&lt;&gt;"",J11&lt;&gt;"No DD"),SUMPRODUCT((J$4:J$26&lt;&gt;"")*(J$4:J$26&lt;&gt;"No DD")*(F$4:F$26&gt;F11))+1,IF(J11="No DD",SUMPRODUCT((J$4:J$26="No DD")*(F$4:F$26&gt;F11))+1+SUMPRODUCT((J$4:J$26&lt;&gt;"")*(J$4:J$26&lt;&gt;"No DD")),""))</f>
        <v/>
      </c>
      <c r="B11" s="4" t="str" cm="1">
        <f t="array" ref="B11">IF(AND(J11&lt;&gt;"",J11&lt;&gt;"No DD",G11=""),SUMPRODUCT((J$4:J$26&lt;&gt;"")*(J$4:J$26&lt;&gt;"No DD")*(G$4:G$26="")*(F$4:F$26&gt;F11))+1,IF(J11="No DD",SUMPRODUCT((J$4:J$26="No DD")*(F$4:F$26&gt;F11)*(G$4:G$26=""))+1+SUMPRODUCT((J$4:J$26&lt;&gt;"")*(G$4:G$26="")*(J$4:J$26&lt;&gt;"No DD")),""))</f>
        <v/>
      </c>
      <c r="C11" s="5" t="s">
        <v>89</v>
      </c>
      <c r="D11" s="4" t="s">
        <v>4</v>
      </c>
      <c r="E11" s="4">
        <v>2004</v>
      </c>
      <c r="F11" s="9">
        <f>SUM(L11:V11)+SUM(L11:T11)*0.0000001+SUM(L11)*0.0000000000001</f>
        <v>185.1600185160051</v>
      </c>
      <c r="G11" s="64"/>
      <c r="H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I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),"P","")</f>
        <v/>
      </c>
      <c r="J11" s="36" t="str">
        <f>IF(AND(I11="P",H11=""),"No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Excellence",IF(K11="P","Worlds Team",IF(H11="P","National Team","")))))</f>
        <v/>
      </c>
      <c r="K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P","")</f>
        <v/>
      </c>
      <c r="L11" s="8">
        <f>IF(COUNT(AQ11,AT11,BR11,BU11,CS11,CV11)&gt;0,LARGE((AQ11,AT11,BR11,BU11,CS11,CV11),1),0)</f>
        <v>50.97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IF(COUNT(AQ11,AT11,BR11,BU11,CS11,CV11)&gt;1,LARGE((AQ11,AT11,BR11,BU11,CS11,CV11),2),0)</f>
        <v>48.97</v>
      </c>
      <c r="O11" s="8" t="str">
        <f>IF(N11="","",IF(OR(N11=CS11,N11=CV11),$CA$1,IF(OR(N11=BR11,N11=BU11),$AZ$1,IF(OR(N11=AQ11,N11=AT11),$Y$1,""))))</f>
        <v>2025 3rd Domestic Trial</v>
      </c>
      <c r="P11" s="8">
        <f>IF(COUNT(AQ11,AT11,BR11,BU11,CS11,CV11)&gt;2,MAX(AX11,BY11,CZ11,LARGE((AQ11,AT11,BR11,BU11,CS11,CV11),3)),IF(MAX(AX11,BY11,CZ11)&gt;0,MAX(AX11,BY11,CZ11),0))</f>
        <v>53.91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),0)</f>
        <v>16.41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11.3</v>
      </c>
      <c r="Z11" s="22">
        <v>9.5</v>
      </c>
      <c r="AA11" s="22">
        <v>14.5</v>
      </c>
      <c r="AB11" s="22">
        <v>15.67</v>
      </c>
      <c r="AC11" s="22">
        <v>0</v>
      </c>
      <c r="AD11" s="22">
        <v>8.3000000000000007</v>
      </c>
      <c r="AE11" s="22">
        <v>6.2</v>
      </c>
      <c r="AF11" s="22">
        <v>10.4</v>
      </c>
      <c r="AG11" s="22">
        <v>11.31</v>
      </c>
      <c r="AH11" s="22">
        <v>0</v>
      </c>
      <c r="AI11" s="22">
        <v>12.9</v>
      </c>
      <c r="AJ11" s="22">
        <v>9.6999999999999993</v>
      </c>
      <c r="AK11" s="22">
        <v>14.9</v>
      </c>
      <c r="AL11" s="22">
        <v>16.41</v>
      </c>
      <c r="AM11" s="22">
        <v>0</v>
      </c>
      <c r="AN11" s="27"/>
      <c r="AO11" s="38">
        <f>IF(AA11&gt;0,AA11,"")</f>
        <v>14.5</v>
      </c>
      <c r="AP11" s="38">
        <f>IF(AB11&gt;0,AB11,"")</f>
        <v>15.67</v>
      </c>
      <c r="AQ11" s="40">
        <f>IF(SUM(Y11:AB11)-AC11&gt;0,SUM(Y11:AB11)-AC11,"")</f>
        <v>50.97</v>
      </c>
      <c r="AR11" s="40">
        <f>IF(AF11&gt;0,AF11,"")</f>
        <v>10.4</v>
      </c>
      <c r="AS11" s="40">
        <f>IF(AG11&gt;0,AG11,"")</f>
        <v>11.31</v>
      </c>
      <c r="AT11" s="40">
        <f>IF(SUM(AD11:AG11)-AH11&gt;0,SUM(AD11:AG11)-AH11,"")</f>
        <v>36.21</v>
      </c>
      <c r="AU11" s="40">
        <f>IF(AQ11="","",MAX(AQ11,AT11))</f>
        <v>50.97</v>
      </c>
      <c r="AV11" s="40">
        <f>IF(AK11&gt;0,AK11,"")</f>
        <v>14.9</v>
      </c>
      <c r="AW11" s="40">
        <f>IF(AL11&gt;0,AL11,"")</f>
        <v>16.41</v>
      </c>
      <c r="AX11" s="40">
        <f>IF(SUM(AI11:AL11)-AM11&gt;0,SUM(AI11:AL11)-AM11,"")</f>
        <v>53.91</v>
      </c>
      <c r="AY11" s="40">
        <f>IF(SUM(AU11,AX11)&gt;0,SUM(AU11,AX11),"")</f>
        <v>104.88</v>
      </c>
      <c r="AZ11" s="26">
        <v>2.6</v>
      </c>
      <c r="BA11" s="26">
        <v>1.8</v>
      </c>
      <c r="BB11" s="26">
        <v>3.3</v>
      </c>
      <c r="BC11" s="26">
        <v>3.4</v>
      </c>
      <c r="BD11" s="26">
        <v>0</v>
      </c>
      <c r="BE11" s="26">
        <v>7.9</v>
      </c>
      <c r="BF11" s="26">
        <v>6.5</v>
      </c>
      <c r="BG11" s="26">
        <v>10.6</v>
      </c>
      <c r="BH11" s="26">
        <v>11.15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3.3</v>
      </c>
      <c r="BQ11" s="39">
        <f>IF(BC11&gt;0,BC11,"")</f>
        <v>3.4</v>
      </c>
      <c r="BR11" s="11">
        <f>IF(SUM(AZ11:BC11)-BD11&gt;0,SUM(AZ11:BC11)-BD11,"")</f>
        <v>11.1</v>
      </c>
      <c r="BS11" s="11">
        <f>IF(BG11&gt;0,BG11,"")</f>
        <v>10.6</v>
      </c>
      <c r="BT11" s="11">
        <f>IF(BH11&gt;0,BH11,"")</f>
        <v>11.15</v>
      </c>
      <c r="BU11" s="11">
        <f>IF(SUM(BE11:BH11)-BI11&gt;0,SUM(BE11:BH11)-BI11,"")</f>
        <v>36.15</v>
      </c>
      <c r="BV11" s="11">
        <f>IF(BR11="","",MAX(BR11,BU11))</f>
        <v>36.15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36.15</v>
      </c>
      <c r="CA11" s="22">
        <v>11.4</v>
      </c>
      <c r="CB11" s="22">
        <v>8.8000000000000007</v>
      </c>
      <c r="CC11" s="22">
        <v>13.4</v>
      </c>
      <c r="CD11" s="22">
        <v>16.47</v>
      </c>
      <c r="CE11" s="22">
        <v>1.1000000000000001</v>
      </c>
      <c r="CF11" s="22">
        <v>2.2000000000000002</v>
      </c>
      <c r="CG11" s="22">
        <v>1.7</v>
      </c>
      <c r="CH11" s="22">
        <v>4</v>
      </c>
      <c r="CI11" s="22">
        <v>3.57</v>
      </c>
      <c r="CJ11" s="22">
        <v>0.2</v>
      </c>
      <c r="CK11" s="22">
        <v>9.9</v>
      </c>
      <c r="CL11" s="22">
        <v>7.9</v>
      </c>
      <c r="CM11" s="22">
        <v>11.9</v>
      </c>
      <c r="CN11" s="22">
        <v>15.03</v>
      </c>
      <c r="CO11" s="22">
        <v>0</v>
      </c>
      <c r="CP11" s="27"/>
      <c r="CQ11" s="38">
        <f>IF(CC11&gt;0,CC11,"")</f>
        <v>13.4</v>
      </c>
      <c r="CR11" s="38">
        <f>IF(CD11&gt;0,CD11,"")</f>
        <v>16.47</v>
      </c>
      <c r="CS11" s="40">
        <f>IF(SUM(CA11:CD11)-CE11&gt;0,SUM(CA11:CD11)-CE11,"")</f>
        <v>48.97</v>
      </c>
      <c r="CT11" s="40">
        <f>IF(CH11&gt;0,CH11,"")</f>
        <v>4</v>
      </c>
      <c r="CU11" s="40">
        <f>IF(CI11&gt;0,CI11,"")</f>
        <v>3.57</v>
      </c>
      <c r="CV11" s="40">
        <f>IF(SUM(CF11:CI11)-CJ11&gt;0,SUM(CF11:CI11)-CJ11,"")</f>
        <v>11.270000000000001</v>
      </c>
      <c r="CW11" s="40">
        <f>IF(CS11="","",MAX(CS11,CV11))</f>
        <v>48.97</v>
      </c>
      <c r="CX11" s="40">
        <f>IF(CM11&gt;0,CM11,"")</f>
        <v>11.9</v>
      </c>
      <c r="CY11" s="40">
        <f>IF(CN11&gt;0,CN11,"")</f>
        <v>15.03</v>
      </c>
      <c r="CZ11" s="40">
        <f>IF(SUM(CK11:CN11)-CO11&gt;0,SUM(CK11:CN11)-CO11,"")</f>
        <v>44.730000000000004</v>
      </c>
      <c r="DA11" s="40">
        <f>IF(SUM(CW11,CZ11)&gt;0,SUM(CW11,CZ11),"")</f>
        <v>93.7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</v>
      </c>
      <c r="SW11" s="22">
        <f>IF($CP11="P",CB11,(CB11+BA11)/2)</f>
        <v>5.3000000000000007</v>
      </c>
      <c r="SX11" s="22">
        <f>IF($CP11="P",CC11,(CC11+BB11)/2)</f>
        <v>8.35</v>
      </c>
      <c r="SY11" s="22">
        <f>IF($CP11="P",CD11,(CD11+BC11)/2)</f>
        <v>9.9349999999999987</v>
      </c>
      <c r="SZ11" s="22">
        <f>IF($CP11="P",CE11,(CE11+BD11)/2)</f>
        <v>0.55000000000000004</v>
      </c>
      <c r="TA11" s="22">
        <f>IF($CP11="P",CF11,(CF11+BE11)/2)</f>
        <v>5.0500000000000007</v>
      </c>
      <c r="TB11" s="22">
        <f>IF($CP11="P",CG11,(CG11+BF11)/2)</f>
        <v>4.0999999999999996</v>
      </c>
      <c r="TC11" s="22">
        <f>IF($CP11="P",CH11,(CH11+BG11)/2)</f>
        <v>7.3</v>
      </c>
      <c r="TD11" s="22">
        <f>IF($CP11="P",CI11,(CI11+BH11)/2)</f>
        <v>7.36</v>
      </c>
      <c r="TE11" s="22">
        <f>IF($CP11="P",CJ11,(CJ11+BI11)/2)</f>
        <v>0.1</v>
      </c>
      <c r="TF11" s="22">
        <f>IF($CP11="P",CK11,(CK11+BJ11)/2)</f>
        <v>4.95</v>
      </c>
      <c r="TG11" s="22">
        <f>IF($CP11="P",CL11,(CL11+BK11)/2)</f>
        <v>3.95</v>
      </c>
      <c r="TH11" s="22">
        <f>IF($CP11="P",CM11,(CM11+BL11)/2)</f>
        <v>5.95</v>
      </c>
      <c r="TI11" s="22">
        <f>IF($CP11="P",CN11,(CN11+BM11)/2)</f>
        <v>7.5149999999999997</v>
      </c>
      <c r="TJ11" s="22">
        <f>IF($CP11="P",CO11,(CO11+BN11)/2)</f>
        <v>0</v>
      </c>
      <c r="TK11" s="27" t="s">
        <v>46</v>
      </c>
      <c r="TL11" s="40">
        <f>IF(SX11&gt;0,SX11,"")</f>
        <v>8.35</v>
      </c>
      <c r="TM11" s="40">
        <f>IF(SY11&gt;0,SY11,"")</f>
        <v>9.9349999999999987</v>
      </c>
      <c r="TN11" s="40">
        <f>IF(SUM(SV11:SY11)-SZ11&gt;0,SUM(SV11:SY11)-SZ11,"")</f>
        <v>30.034999999999997</v>
      </c>
      <c r="TO11" s="40">
        <f>IF(TC11&gt;0,TC11,"")</f>
        <v>7.3</v>
      </c>
      <c r="TP11" s="40">
        <f>IF(TD11&gt;0,TD11,"")</f>
        <v>7.36</v>
      </c>
      <c r="TQ11" s="40">
        <f>IF(SUM(TA11:TD11)-TE11&gt;0,SUM(TA11:TD11)-TE11,"")</f>
        <v>23.709999999999997</v>
      </c>
      <c r="TR11" s="40">
        <f>IF(MAX(TN11,TQ11)&gt;0,MAX(TN11,TQ11),"")</f>
        <v>30.034999999999997</v>
      </c>
      <c r="TS11" s="40">
        <f>IF(TH11&gt;0,TH11,"")</f>
        <v>5.95</v>
      </c>
      <c r="TT11" s="40">
        <f>IF(TI11&gt;0,TI11,"")</f>
        <v>7.5149999999999997</v>
      </c>
      <c r="TU11" s="40">
        <f>IF(SUM(TF11:TI11)-TJ11&gt;0,SUM(TF11:TI11)-TJ11,"")</f>
        <v>22.365000000000002</v>
      </c>
      <c r="TV11" s="40">
        <f>IF(SUM(TR11,TU11)&gt;0,SUM(TR11,TU11),"")</f>
        <v>52.4</v>
      </c>
    </row>
    <row r="12" spans="1:542" x14ac:dyDescent="0.2">
      <c r="A12" s="4" t="str" cm="1">
        <f t="array" ref="A12">IF(AND(J12&lt;&gt;"",J12&lt;&gt;"No DD"),SUMPRODUCT((J$4:J$26&lt;&gt;"")*(J$4:J$26&lt;&gt;"No DD")*(F$4:F$26&gt;F12))+1,IF(J12="No DD",SUMPRODUCT((J$4:J$26="No DD")*(F$4:F$26&gt;F12))+1+SUMPRODUCT((J$4:J$26&lt;&gt;"")*(J$4:J$26&lt;&gt;"No DD")),""))</f>
        <v/>
      </c>
      <c r="B12" s="4" t="str" cm="1">
        <f t="array" ref="B12">IF(AND(J12&lt;&gt;"",J12&lt;&gt;"No DD",G12=""),SUMPRODUCT((J$4:J$26&lt;&gt;"")*(J$4:J$26&lt;&gt;"No DD")*(G$4:G$26="")*(F$4:F$26&gt;F12))+1,IF(J12="No DD",SUMPRODUCT((J$4:J$26="No DD")*(F$4:F$26&gt;F12)*(G$4:G$26=""))+1+SUMPRODUCT((J$4:J$26&lt;&gt;"")*(G$4:G$26="")*(J$4:J$26&lt;&gt;"No DD")),""))</f>
        <v/>
      </c>
      <c r="C12" s="5" t="s">
        <v>114</v>
      </c>
      <c r="D12" s="4" t="s">
        <v>5</v>
      </c>
      <c r="E12" s="4">
        <v>2006</v>
      </c>
      <c r="F12" s="9">
        <f>SUM(L12:V12)+SUM(L12:T12)*0.0000001+SUM(L12)*0.0000000000001</f>
        <v>181.99001819900516</v>
      </c>
      <c r="G12" s="64"/>
      <c r="H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I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),"P","")</f>
        <v/>
      </c>
      <c r="J12" s="36" t="str">
        <f>IF(AND(I12="P",H12=""),"No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Excellence",IF(K12="P","Worlds Team",IF(H12="P","National Team","")))))</f>
        <v/>
      </c>
      <c r="K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P","")</f>
        <v/>
      </c>
      <c r="L12" s="8">
        <f>IF(COUNT(AQ12,AT12,BR12,BU12,CS12,CV12)&gt;0,LARGE((AQ12,AT12,BR12,BU12,CS12,CV12),1),0)</f>
        <v>51.33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50.49</v>
      </c>
      <c r="O12" s="8" t="str">
        <f>IF(N12="","",IF(OR(N12=CS12,N12=CV12),$CA$1,IF(OR(N12=BR12,N12=BU12),$AZ$1,IF(OR(N12=AQ12,N12=AT12),$Y$1,""))))</f>
        <v>2025 Nationals</v>
      </c>
      <c r="P12" s="8">
        <f>IF(COUNT(AQ12,AT12,BR12,BU12,CS12,CV12)&gt;2,MAX(AX12,BY12,CZ12,LARGE((AQ12,AT12,BR12,BU12,CS12,CV12),3)),IF(MAX(AX12,BY12,CZ12)&gt;0,MAX(AX12,BY12,CZ12),0))</f>
        <v>51.28</v>
      </c>
      <c r="Q12" s="8" t="str">
        <f>IF(P12="","",IF(P12=CZ12,$CA$1,IF(P12=BY12,$AZ$1,IF(P12=AX12,$Y$1,IF(OR(P12=CS12,P12=CV12,P12=CZ12),$CA$1,IF(OR(P12=BR12,P12=BU12,P12=BY12),$AZ$1,IF(OR(P12=AQ12,P12=AT12,P12=AX12),$Y$1,"")))))))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Nationals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),0)</f>
        <v>14.39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11.9</v>
      </c>
      <c r="Z12" s="22">
        <v>9</v>
      </c>
      <c r="AA12" s="22">
        <v>12.6</v>
      </c>
      <c r="AB12" s="22">
        <v>13.67</v>
      </c>
      <c r="AC12" s="22">
        <v>0</v>
      </c>
      <c r="AD12" s="22">
        <v>13.8</v>
      </c>
      <c r="AE12" s="22">
        <v>9.5</v>
      </c>
      <c r="AF12" s="22">
        <v>13.8</v>
      </c>
      <c r="AG12" s="22">
        <v>14.23</v>
      </c>
      <c r="AH12" s="22">
        <v>0</v>
      </c>
      <c r="AI12" s="22">
        <v>13.5</v>
      </c>
      <c r="AJ12" s="22">
        <v>9.5</v>
      </c>
      <c r="AK12" s="22">
        <v>13.8</v>
      </c>
      <c r="AL12" s="22">
        <v>14.48</v>
      </c>
      <c r="AM12" s="22">
        <v>0</v>
      </c>
      <c r="AN12" s="27"/>
      <c r="AO12" s="38">
        <f>IF(AA12&gt;0,AA12,"")</f>
        <v>12.6</v>
      </c>
      <c r="AP12" s="38">
        <f>IF(AB12&gt;0,AB12,"")</f>
        <v>13.67</v>
      </c>
      <c r="AQ12" s="40">
        <f>IF(SUM(Y12:AB12)-AC12&gt;0,SUM(Y12:AB12)-AC12,"")</f>
        <v>47.17</v>
      </c>
      <c r="AR12" s="40">
        <f>IF(AF12&gt;0,AF12,"")</f>
        <v>13.8</v>
      </c>
      <c r="AS12" s="40">
        <f>IF(AG12&gt;0,AG12,"")</f>
        <v>14.23</v>
      </c>
      <c r="AT12" s="40">
        <f>IF(SUM(AD12:AG12)-AH12&gt;0,SUM(AD12:AG12)-AH12,"")</f>
        <v>51.33</v>
      </c>
      <c r="AU12" s="40">
        <f>IF(AQ12="","",MAX(AQ12,AT12))</f>
        <v>51.33</v>
      </c>
      <c r="AV12" s="40">
        <f>IF(AK12&gt;0,AK12,"")</f>
        <v>13.8</v>
      </c>
      <c r="AW12" s="40">
        <f>IF(AL12&gt;0,AL12,"")</f>
        <v>14.48</v>
      </c>
      <c r="AX12" s="40">
        <f>IF(SUM(AI12:AL12)-AM12&gt;0,SUM(AI12:AL12)-AM12,"")</f>
        <v>51.28</v>
      </c>
      <c r="AY12" s="40">
        <f>IF(SUM(AU12,AX12)&gt;0,SUM(AU12,AX12),"")</f>
        <v>102.61</v>
      </c>
      <c r="AZ12" s="26">
        <v>2.6</v>
      </c>
      <c r="BA12" s="26">
        <v>1.8</v>
      </c>
      <c r="BB12" s="26">
        <v>3.5</v>
      </c>
      <c r="BC12" s="26">
        <v>3.06</v>
      </c>
      <c r="BD12" s="26">
        <v>0.2</v>
      </c>
      <c r="BE12" s="26">
        <v>12.4</v>
      </c>
      <c r="BF12" s="26">
        <v>9.1999999999999993</v>
      </c>
      <c r="BG12" s="26">
        <v>14.5</v>
      </c>
      <c r="BH12" s="26">
        <v>14.39</v>
      </c>
      <c r="BI12" s="26">
        <v>0</v>
      </c>
      <c r="BJ12" s="26">
        <v>1.4</v>
      </c>
      <c r="BK12" s="26">
        <v>1</v>
      </c>
      <c r="BL12" s="26">
        <v>2</v>
      </c>
      <c r="BM12" s="26">
        <v>1.59</v>
      </c>
      <c r="BN12" s="26">
        <v>0</v>
      </c>
      <c r="BO12" s="28"/>
      <c r="BP12" s="39">
        <f>IF(BB12&gt;0,BB12,"")</f>
        <v>3.5</v>
      </c>
      <c r="BQ12" s="39">
        <f>IF(BC12&gt;0,BC12,"")</f>
        <v>3.06</v>
      </c>
      <c r="BR12" s="11">
        <f>IF(SUM(AZ12:BC12)-BD12&gt;0,SUM(AZ12:BC12)-BD12,"")</f>
        <v>10.760000000000002</v>
      </c>
      <c r="BS12" s="11">
        <f>IF(BG12&gt;0,BG12,"")</f>
        <v>14.5</v>
      </c>
      <c r="BT12" s="11">
        <f>IF(BH12&gt;0,BH12,"")</f>
        <v>14.39</v>
      </c>
      <c r="BU12" s="11">
        <f>IF(SUM(BE12:BH12)-BI12&gt;0,SUM(BE12:BH12)-BI12,"")</f>
        <v>50.49</v>
      </c>
      <c r="BV12" s="11">
        <f>IF(BR12="","",MAX(BR12,BU12))</f>
        <v>50.49</v>
      </c>
      <c r="BW12" s="11">
        <f>IF(BL12&gt;0,BL12,"")</f>
        <v>2</v>
      </c>
      <c r="BX12" s="11">
        <f>IF(BM12&gt;0,BM12,"")</f>
        <v>1.59</v>
      </c>
      <c r="BY12" s="11">
        <f>IF(SUM(BJ12:BM12)-BN12&gt;0,SUM(BJ12:BM12)-BN12,"")</f>
        <v>5.99</v>
      </c>
      <c r="BZ12" s="11">
        <f>IF(SUM(BV12,BY12)&gt;0,SUM(BV12,BY12),"")</f>
        <v>56.480000000000004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1.3</v>
      </c>
      <c r="SW12" s="22">
        <f>IF($CP12="P",CB12,(CB12+BA12)/2)</f>
        <v>0.9</v>
      </c>
      <c r="SX12" s="22">
        <f>IF($CP12="P",CC12,(CC12+BB12)/2)</f>
        <v>1.75</v>
      </c>
      <c r="SY12" s="22">
        <f>IF($CP12="P",CD12,(CD12+BC12)/2)</f>
        <v>1.53</v>
      </c>
      <c r="SZ12" s="22">
        <f>IF($CP12="P",CE12,(CE12+BD12)/2)</f>
        <v>0.1</v>
      </c>
      <c r="TA12" s="22">
        <f>IF($CP12="P",CF12,(CF12+BE12)/2)</f>
        <v>6.2</v>
      </c>
      <c r="TB12" s="22">
        <f>IF($CP12="P",CG12,(CG12+BF12)/2)</f>
        <v>4.5999999999999996</v>
      </c>
      <c r="TC12" s="22">
        <f>IF($CP12="P",CH12,(CH12+BG12)/2)</f>
        <v>7.25</v>
      </c>
      <c r="TD12" s="22">
        <f>IF($CP12="P",CI12,(CI12+BH12)/2)</f>
        <v>7.1950000000000003</v>
      </c>
      <c r="TE12" s="22">
        <f>IF($CP12="P",CJ12,(CJ12+BI12)/2)</f>
        <v>0</v>
      </c>
      <c r="TF12" s="22">
        <f>IF($CP12="P",CK12,(CK12+BJ12)/2)</f>
        <v>0.7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0.79500000000000004</v>
      </c>
      <c r="TJ12" s="22">
        <f>IF($CP12="P",CO12,(CO12+BN12)/2)</f>
        <v>0</v>
      </c>
      <c r="TK12" s="27" t="s">
        <v>46</v>
      </c>
      <c r="TL12" s="40">
        <f>IF(SX12&gt;0,SX12,"")</f>
        <v>1.75</v>
      </c>
      <c r="TM12" s="40">
        <f>IF(SY12&gt;0,SY12,"")</f>
        <v>1.53</v>
      </c>
      <c r="TN12" s="40">
        <f>IF(SUM(SV12:SY12)-SZ12&gt;0,SUM(SV12:SY12)-SZ12,"")</f>
        <v>5.3800000000000008</v>
      </c>
      <c r="TO12" s="40">
        <f>IF(TC12&gt;0,TC12,"")</f>
        <v>7.25</v>
      </c>
      <c r="TP12" s="40">
        <f>IF(TD12&gt;0,TD12,"")</f>
        <v>7.1950000000000003</v>
      </c>
      <c r="TQ12" s="40">
        <f>IF(SUM(TA12:TD12)-TE12&gt;0,SUM(TA12:TD12)-TE12,"")</f>
        <v>25.245000000000001</v>
      </c>
      <c r="TR12" s="40">
        <f>IF(MAX(TN12,TQ12)&gt;0,MAX(TN12,TQ12),"")</f>
        <v>25.245000000000001</v>
      </c>
      <c r="TS12" s="40">
        <f>IF(TH12&gt;0,TH12,"")</f>
        <v>1</v>
      </c>
      <c r="TT12" s="40">
        <f>IF(TI12&gt;0,TI12,"")</f>
        <v>0.79500000000000004</v>
      </c>
      <c r="TU12" s="40">
        <f>IF(SUM(TF12:TI12)-TJ12&gt;0,SUM(TF12:TI12)-TJ12,"")</f>
        <v>2.9950000000000001</v>
      </c>
      <c r="TV12" s="40">
        <f>IF(SUM(TR12,TU12)&gt;0,SUM(TR12,TU12),"")</f>
        <v>28.240000000000002</v>
      </c>
    </row>
    <row r="13" spans="1:542" x14ac:dyDescent="0.2">
      <c r="A13" s="4" t="str" cm="1">
        <f t="array" ref="A13">IF(AND(J13&lt;&gt;"",J13&lt;&gt;"No DD"),SUMPRODUCT((J$4:J$26&lt;&gt;"")*(J$4:J$26&lt;&gt;"No DD")*(F$4:F$26&gt;F13))+1,IF(J13="No DD",SUMPRODUCT((J$4:J$26="No DD")*(F$4:F$26&gt;F13))+1+SUMPRODUCT((J$4:J$26&lt;&gt;"")*(J$4:J$26&lt;&gt;"No DD")),""))</f>
        <v/>
      </c>
      <c r="B13" s="4" t="str" cm="1">
        <f t="array" ref="B13">IF(AND(J13&lt;&gt;"",J13&lt;&gt;"No DD",G13=""),SUMPRODUCT((J$4:J$26&lt;&gt;"")*(J$4:J$26&lt;&gt;"No DD")*(G$4:G$26="")*(F$4:F$26&gt;F13))+1,IF(J13="No DD",SUMPRODUCT((J$4:J$26="No DD")*(F$4:F$26&gt;F13)*(G$4:G$26=""))+1+SUMPRODUCT((J$4:J$26&lt;&gt;"")*(G$4:G$26="")*(J$4:J$26&lt;&gt;"No DD")),""))</f>
        <v/>
      </c>
      <c r="C13" s="5" t="s">
        <v>157</v>
      </c>
      <c r="D13" s="4" t="s">
        <v>4</v>
      </c>
      <c r="E13" s="4">
        <v>2008</v>
      </c>
      <c r="F13" s="9">
        <f>SUM(L13:V13)+SUM(L13:T13)*0.0000001+SUM(L13)*0.0000000000001</f>
        <v>181.160017665005</v>
      </c>
      <c r="G13" s="64"/>
      <c r="H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I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),"P","")</f>
        <v/>
      </c>
      <c r="J13" s="36" t="str">
        <f>IF(AND(I13="P",H13=""),"No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Excellence",IF(K13="P","Worlds Team",IF(H13="P","National Team","")))))</f>
        <v/>
      </c>
      <c r="K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P","")</f>
        <v/>
      </c>
      <c r="L13" s="8">
        <f>IF(COUNT(AQ13,AT13,BR13,BU13,CS13,CV13)&gt;0,LARGE((AQ13,AT13,BR13,BU13,CS13,CV13),1),0)</f>
        <v>49.97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IF(COUNT(AQ13,AT13,BR13,BU13,CS13,CV13)&gt;1,LARGE((AQ13,AT13,BR13,BU13,CS13,CV13),2),0)</f>
        <v>47.010000000000005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50.15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),0)</f>
        <v>15.02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Coimbra Gym Fest (July 6)</v>
      </c>
      <c r="V13" s="8">
        <f>IF(MAX(DB13,DC13)&gt;0,MAX(DB13,DC13),"")</f>
        <v>4.5099999999999909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2025 Coimbra Gym Fest (July 6)</v>
      </c>
      <c r="Y13" s="22">
        <v>13.3</v>
      </c>
      <c r="Z13" s="22">
        <v>9.1</v>
      </c>
      <c r="AA13" s="22">
        <v>12.9</v>
      </c>
      <c r="AB13" s="22">
        <v>14.67</v>
      </c>
      <c r="AC13" s="22">
        <v>0</v>
      </c>
      <c r="AD13" s="22">
        <v>5.8</v>
      </c>
      <c r="AE13" s="22">
        <v>3.9</v>
      </c>
      <c r="AF13" s="22">
        <v>5.2</v>
      </c>
      <c r="AG13" s="22">
        <v>6.03</v>
      </c>
      <c r="AH13" s="22">
        <v>0</v>
      </c>
      <c r="AI13" s="22">
        <v>1.3</v>
      </c>
      <c r="AJ13" s="22">
        <v>1</v>
      </c>
      <c r="AK13" s="22">
        <v>2</v>
      </c>
      <c r="AL13" s="22">
        <v>1.63</v>
      </c>
      <c r="AM13" s="22">
        <v>0.2</v>
      </c>
      <c r="AN13" s="27"/>
      <c r="AO13" s="38">
        <f>IF(AA13&gt;0,AA13,"")</f>
        <v>12.9</v>
      </c>
      <c r="AP13" s="38">
        <f>IF(AB13&gt;0,AB13,"")</f>
        <v>14.67</v>
      </c>
      <c r="AQ13" s="40">
        <f>IF(SUM(Y13:AB13)-AC13&gt;0,SUM(Y13:AB13)-AC13,"")</f>
        <v>49.97</v>
      </c>
      <c r="AR13" s="40">
        <f>IF(AF13&gt;0,AF13,"")</f>
        <v>5.2</v>
      </c>
      <c r="AS13" s="40">
        <f>IF(AG13&gt;0,AG13,"")</f>
        <v>6.03</v>
      </c>
      <c r="AT13" s="40">
        <f>IF(SUM(AD13:AG13)-AH13&gt;0,SUM(AD13:AG13)-AH13,"")</f>
        <v>20.93</v>
      </c>
      <c r="AU13" s="40">
        <f>IF(AQ13="","",MAX(AQ13,AT13))</f>
        <v>49.97</v>
      </c>
      <c r="AV13" s="40">
        <f>IF(AK13&gt;0,AK13,"")</f>
        <v>2</v>
      </c>
      <c r="AW13" s="40">
        <f>IF(AL13&gt;0,AL13,"")</f>
        <v>1.63</v>
      </c>
      <c r="AX13" s="40">
        <f>IF(SUM(AI13:AL13)-AM13&gt;0,SUM(AI13:AL13)-AM13,"")</f>
        <v>5.7299999999999995</v>
      </c>
      <c r="AY13" s="40">
        <f>IF(SUM(AU13,AX13)&gt;0,SUM(AU13,AX13),"")</f>
        <v>55.699999999999996</v>
      </c>
      <c r="AZ13" s="26">
        <v>11.1</v>
      </c>
      <c r="BA13" s="26">
        <v>9.6</v>
      </c>
      <c r="BB13" s="26">
        <v>11.7</v>
      </c>
      <c r="BC13" s="26">
        <v>13.88</v>
      </c>
      <c r="BD13" s="26">
        <v>0.6</v>
      </c>
      <c r="BE13" s="26">
        <v>11.9</v>
      </c>
      <c r="BF13" s="26">
        <v>8.8000000000000007</v>
      </c>
      <c r="BG13" s="26">
        <v>12.1</v>
      </c>
      <c r="BH13" s="26">
        <v>14.61</v>
      </c>
      <c r="BI13" s="26">
        <v>0.4</v>
      </c>
      <c r="BJ13" s="26">
        <v>12.4</v>
      </c>
      <c r="BK13" s="26">
        <v>9</v>
      </c>
      <c r="BL13" s="26">
        <v>14.5</v>
      </c>
      <c r="BM13" s="26">
        <v>14.25</v>
      </c>
      <c r="BN13" s="26">
        <v>0</v>
      </c>
      <c r="BO13" s="28"/>
      <c r="BP13" s="39">
        <f>IF(BB13&gt;0,BB13,"")</f>
        <v>11.7</v>
      </c>
      <c r="BQ13" s="39">
        <f>IF(BC13&gt;0,BC13,"")</f>
        <v>13.88</v>
      </c>
      <c r="BR13" s="11">
        <f>IF(SUM(AZ13:BC13)-BD13&gt;0,SUM(AZ13:BC13)-BD13,"")</f>
        <v>45.68</v>
      </c>
      <c r="BS13" s="11">
        <f>IF(BG13&gt;0,BG13,"")</f>
        <v>12.1</v>
      </c>
      <c r="BT13" s="11">
        <f>IF(BH13&gt;0,BH13,"")</f>
        <v>14.61</v>
      </c>
      <c r="BU13" s="11">
        <f>IF(SUM(BE13:BH13)-BI13&gt;0,SUM(BE13:BH13)-BI13,"")</f>
        <v>47.010000000000005</v>
      </c>
      <c r="BV13" s="11">
        <f>IF(BR13="","",MAX(BR13,BU13))</f>
        <v>47.010000000000005</v>
      </c>
      <c r="BW13" s="11">
        <f>IF(BL13&gt;0,BL13,"")</f>
        <v>14.5</v>
      </c>
      <c r="BX13" s="11">
        <f>IF(BM13&gt;0,BM13,"")</f>
        <v>14.25</v>
      </c>
      <c r="BY13" s="11">
        <f>IF(SUM(BJ13:BM13)-BN13&gt;0,SUM(BJ13:BM13)-BN13,"")</f>
        <v>50.15</v>
      </c>
      <c r="BZ13" s="11">
        <f>IF(SUM(BV13,BY13)&gt;0,SUM(BV13,BY13),"")</f>
        <v>97.16</v>
      </c>
      <c r="CA13" s="22">
        <v>1.4</v>
      </c>
      <c r="CB13" s="22">
        <v>0.8</v>
      </c>
      <c r="CC13" s="22">
        <v>2</v>
      </c>
      <c r="CD13" s="22">
        <v>1.71</v>
      </c>
      <c r="CE13" s="22">
        <v>0</v>
      </c>
      <c r="CF13" s="22">
        <v>5.6</v>
      </c>
      <c r="CG13" s="22">
        <v>3.5</v>
      </c>
      <c r="CH13" s="22">
        <v>6.1</v>
      </c>
      <c r="CI13" s="22">
        <v>6.45</v>
      </c>
      <c r="CJ13" s="22">
        <v>0</v>
      </c>
      <c r="CK13" s="22">
        <v>1.6</v>
      </c>
      <c r="CL13" s="22">
        <v>0.7</v>
      </c>
      <c r="CM13" s="22">
        <v>2</v>
      </c>
      <c r="CN13" s="22">
        <v>1.74</v>
      </c>
      <c r="CO13" s="22">
        <v>0</v>
      </c>
      <c r="CP13" s="27"/>
      <c r="CQ13" s="38">
        <f>IF(CC13&gt;0,CC13,"")</f>
        <v>2</v>
      </c>
      <c r="CR13" s="38">
        <f>IF(CD13&gt;0,CD13,"")</f>
        <v>1.71</v>
      </c>
      <c r="CS13" s="40">
        <f>IF(SUM(CA13:CD13)-CE13&gt;0,SUM(CA13:CD13)-CE13,"")</f>
        <v>5.91</v>
      </c>
      <c r="CT13" s="40">
        <f>IF(CH13&gt;0,CH13,"")</f>
        <v>6.1</v>
      </c>
      <c r="CU13" s="40">
        <f>IF(CI13&gt;0,CI13,"")</f>
        <v>6.45</v>
      </c>
      <c r="CV13" s="40">
        <f>IF(SUM(CF13:CI13)-CJ13&gt;0,SUM(CF13:CI13)-CJ13,"")</f>
        <v>21.65</v>
      </c>
      <c r="CW13" s="40">
        <f>IF(CS13="","",MAX(CS13,CV13))</f>
        <v>21.65</v>
      </c>
      <c r="CX13" s="40">
        <f>IF(CM13&gt;0,CM13,"")</f>
        <v>2</v>
      </c>
      <c r="CY13" s="40">
        <f>IF(CN13&gt;0,CN13,"")</f>
        <v>1.74</v>
      </c>
      <c r="CZ13" s="40">
        <f>IF(SUM(CK13:CN13)-CO13&gt;0,SUM(CK13:CN13)-CO13,"")</f>
        <v>6.04</v>
      </c>
      <c r="DA13" s="40">
        <f>IF(SUM(CW13,CZ13)&gt;0,SUM(CW13,CZ13),"")</f>
        <v>27.689999999999998</v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4.5099999999999909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11.6</v>
      </c>
      <c r="FU13" s="17">
        <v>9.1999999999999993</v>
      </c>
      <c r="FV13" s="17">
        <v>14.5</v>
      </c>
      <c r="FW13" s="17">
        <v>14.97</v>
      </c>
      <c r="FX13" s="17">
        <v>0</v>
      </c>
      <c r="FY13" s="17">
        <v>12.5</v>
      </c>
      <c r="FZ13" s="17">
        <v>9.5</v>
      </c>
      <c r="GA13" s="17">
        <v>14.5</v>
      </c>
      <c r="GB13" s="17">
        <v>15.02</v>
      </c>
      <c r="GC13" s="17">
        <v>0</v>
      </c>
      <c r="GD13" s="17">
        <v>4.0999999999999996</v>
      </c>
      <c r="GE13" s="17">
        <v>2.8</v>
      </c>
      <c r="GF13" s="17">
        <v>5</v>
      </c>
      <c r="GG13" s="17">
        <v>4.92</v>
      </c>
      <c r="GH13" s="17">
        <v>0</v>
      </c>
      <c r="GI13" s="17"/>
      <c r="GJ13" s="17"/>
      <c r="GK13" s="17"/>
      <c r="GL13" s="17"/>
      <c r="GM13" s="17"/>
      <c r="GN13" s="40">
        <f>IF(FV13&gt;0,FV13,"")</f>
        <v>14.5</v>
      </c>
      <c r="GO13" s="40">
        <f>IF(FW13&gt;0,FW13,"")</f>
        <v>14.97</v>
      </c>
      <c r="GP13" s="40">
        <f>IF(SUM(FT13:FW13)-FX13&gt;0,SUM(FT13:FW13)-FX13,"")</f>
        <v>50.269999999999996</v>
      </c>
      <c r="GQ13" s="40">
        <f>IF(GA13&gt;0,GA13,"")</f>
        <v>14.5</v>
      </c>
      <c r="GR13" s="40">
        <f>IF(GB13&gt;0,GB13,"")</f>
        <v>15.02</v>
      </c>
      <c r="GS13" s="40">
        <f>IF(SUM(FY13:GB13)-GC13&gt;0,SUM(FY13:GB13)-GC13,"")</f>
        <v>51.519999999999996</v>
      </c>
      <c r="GT13" s="40">
        <f>IF(MAX(GP13,GS13)&gt;0,MAX(GP13,GS13),"")</f>
        <v>51.519999999999996</v>
      </c>
      <c r="GU13" s="40">
        <f>IF(GF13&gt;0,GF13,"")</f>
        <v>5</v>
      </c>
      <c r="GV13" s="40">
        <f>IF(GG13&gt;0,GG13,"")</f>
        <v>4.92</v>
      </c>
      <c r="GW13" s="40">
        <f>IF(SUM(GD13:GG13)-GH13&gt;0,SUM(GD13:GG13)-GH13,"")</f>
        <v>16.82</v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>
        <f>IF(SUM(GT13,GW13,GZ13)&gt;0,SUM(GT13,GW13,GZ13),"")</f>
        <v>68.34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6.25</v>
      </c>
      <c r="SW13" s="22">
        <f>IF($CP13="P",CB13,(CB13+BA13)/2)</f>
        <v>5.2</v>
      </c>
      <c r="SX13" s="22">
        <f>IF($CP13="P",CC13,(CC13+BB13)/2)</f>
        <v>6.85</v>
      </c>
      <c r="SY13" s="22">
        <f>IF($CP13="P",CD13,(CD13+BC13)/2)</f>
        <v>7.7949999999999999</v>
      </c>
      <c r="SZ13" s="22">
        <f>IF($CP13="P",CE13,(CE13+BD13)/2)</f>
        <v>0.3</v>
      </c>
      <c r="TA13" s="22">
        <f>IF($CP13="P",CF13,(CF13+BE13)/2)</f>
        <v>8.75</v>
      </c>
      <c r="TB13" s="22">
        <f>IF($CP13="P",CG13,(CG13+BF13)/2)</f>
        <v>6.15</v>
      </c>
      <c r="TC13" s="22">
        <f>IF($CP13="P",CH13,(CH13+BG13)/2)</f>
        <v>9.1</v>
      </c>
      <c r="TD13" s="22">
        <f>IF($CP13="P",CI13,(CI13+BH13)/2)</f>
        <v>10.53</v>
      </c>
      <c r="TE13" s="22">
        <f>IF($CP13="P",CJ13,(CJ13+BI13)/2)</f>
        <v>0.2</v>
      </c>
      <c r="TF13" s="22">
        <f>IF($CP13="P",CK13,(CK13+BJ13)/2)</f>
        <v>7</v>
      </c>
      <c r="TG13" s="22">
        <f>IF($CP13="P",CL13,(CL13+BK13)/2)</f>
        <v>4.8499999999999996</v>
      </c>
      <c r="TH13" s="22">
        <f>IF($CP13="P",CM13,(CM13+BL13)/2)</f>
        <v>8.25</v>
      </c>
      <c r="TI13" s="22">
        <f>IF($CP13="P",CN13,(CN13+BM13)/2)</f>
        <v>7.9950000000000001</v>
      </c>
      <c r="TJ13" s="22">
        <f>IF($CP13="P",CO13,(CO13+BN13)/2)</f>
        <v>0</v>
      </c>
      <c r="TK13" s="27" t="s">
        <v>46</v>
      </c>
      <c r="TL13" s="40">
        <f>IF(SX13&gt;0,SX13,"")</f>
        <v>6.85</v>
      </c>
      <c r="TM13" s="40">
        <f>IF(SY13&gt;0,SY13,"")</f>
        <v>7.7949999999999999</v>
      </c>
      <c r="TN13" s="40">
        <f>IF(SUM(SV13:SY13)-SZ13&gt;0,SUM(SV13:SY13)-SZ13,"")</f>
        <v>25.794999999999998</v>
      </c>
      <c r="TO13" s="40">
        <f>IF(TC13&gt;0,TC13,"")</f>
        <v>9.1</v>
      </c>
      <c r="TP13" s="40">
        <f>IF(TD13&gt;0,TD13,"")</f>
        <v>10.53</v>
      </c>
      <c r="TQ13" s="40">
        <f>IF(SUM(TA13:TD13)-TE13&gt;0,SUM(TA13:TD13)-TE13,"")</f>
        <v>34.33</v>
      </c>
      <c r="TR13" s="40">
        <f>IF(MAX(TN13,TQ13)&gt;0,MAX(TN13,TQ13),"")</f>
        <v>34.33</v>
      </c>
      <c r="TS13" s="40">
        <f>IF(TH13&gt;0,TH13,"")</f>
        <v>8.25</v>
      </c>
      <c r="TT13" s="40">
        <f>IF(TI13&gt;0,TI13,"")</f>
        <v>7.9950000000000001</v>
      </c>
      <c r="TU13" s="40">
        <f>IF(SUM(TF13:TI13)-TJ13&gt;0,SUM(TF13:TI13)-TJ13,"")</f>
        <v>28.095000000000002</v>
      </c>
      <c r="TV13" s="40">
        <f>IF(SUM(TR13,TU13)&gt;0,SUM(TR13,TU13),"")</f>
        <v>62.424999999999997</v>
      </c>
    </row>
    <row r="14" spans="1:542" x14ac:dyDescent="0.2">
      <c r="A14" s="4" t="str" cm="1">
        <f t="array" ref="A14">IF(AND(J14&lt;&gt;"",J14&lt;&gt;"No DD"),SUMPRODUCT((J$4:J$26&lt;&gt;"")*(J$4:J$26&lt;&gt;"No DD")*(F$4:F$26&gt;F14))+1,IF(J14="No DD",SUMPRODUCT((J$4:J$26="No DD")*(F$4:F$26&gt;F14))+1+SUMPRODUCT((J$4:J$26&lt;&gt;"")*(J$4:J$26&lt;&gt;"No DD")),""))</f>
        <v/>
      </c>
      <c r="B14" s="4" t="str" cm="1">
        <f t="array" ref="B14">IF(AND(J14&lt;&gt;"",J14&lt;&gt;"No DD",G14=""),SUMPRODUCT((J$4:J$26&lt;&gt;"")*(J$4:J$26&lt;&gt;"No DD")*(G$4:G$26="")*(F$4:F$26&gt;F14))+1,IF(J14="No DD",SUMPRODUCT((J$4:J$26="No DD")*(F$4:F$26&gt;F14)*(G$4:G$26=""))+1+SUMPRODUCT((J$4:J$26&lt;&gt;"")*(G$4:G$26="")*(J$4:J$26&lt;&gt;"No DD")),""))</f>
        <v/>
      </c>
      <c r="C14" s="5" t="s">
        <v>126</v>
      </c>
      <c r="D14" s="4" t="s">
        <v>4</v>
      </c>
      <c r="E14" s="4">
        <v>2007</v>
      </c>
      <c r="F14" s="9">
        <f>SUM(L14:V14)+SUM(L14:T14)*0.0000001+SUM(L14)*0.0000000000001</f>
        <v>175.16001751600518</v>
      </c>
      <c r="G14" s="64"/>
      <c r="H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I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),"P","")</f>
        <v/>
      </c>
      <c r="J14" s="36" t="str">
        <f>IF(AND(I14="P",H14=""),"No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Excellence",IF(K14="P","Worlds Team",IF(H14="P","National Team","")))))</f>
        <v/>
      </c>
      <c r="K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P","")</f>
        <v/>
      </c>
      <c r="L14" s="8">
        <f>IF(COUNT(AQ14,AT14,BR14,BU14,CS14,CV14)&gt;0,LARGE((AQ14,AT14,BR14,BU14,CS14,CV14),1),0)</f>
        <v>51.67</v>
      </c>
      <c r="M14" s="8" t="str">
        <f>IF(L14="","",IF(OR(L14=CS14,L14=CV14),$CA$1,IF(OR(L14=BR14,L14=BU14),$AZ$1,IF(OR(L14=AQ14,L14=AT14),$Y$1,""))))</f>
        <v>2025 Nationals</v>
      </c>
      <c r="N14" s="8">
        <f>IF(COUNT(AQ14,AT14,BR14,BU14,CS14,CV14)&gt;1,LARGE((AQ14,AT14,BR14,BU14,CS14,CV14),2),0)</f>
        <v>49.86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43.16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),0)</f>
        <v>15.57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11.3</v>
      </c>
      <c r="Z14" s="22">
        <v>7.7</v>
      </c>
      <c r="AA14" s="22">
        <v>11.7</v>
      </c>
      <c r="AB14" s="22">
        <v>12.46</v>
      </c>
      <c r="AC14" s="22">
        <v>0</v>
      </c>
      <c r="AD14" s="22">
        <v>2.8</v>
      </c>
      <c r="AE14" s="22">
        <v>1.7</v>
      </c>
      <c r="AF14" s="22">
        <v>3.3</v>
      </c>
      <c r="AG14" s="22">
        <v>3.3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11.7</v>
      </c>
      <c r="AP14" s="38">
        <f>IF(AB14&gt;0,AB14,"")</f>
        <v>12.46</v>
      </c>
      <c r="AQ14" s="40">
        <f>IF(SUM(Y14:AB14)-AC14&gt;0,SUM(Y14:AB14)-AC14,"")</f>
        <v>43.16</v>
      </c>
      <c r="AR14" s="40">
        <f>IF(AF14&gt;0,AF14,"")</f>
        <v>3.3</v>
      </c>
      <c r="AS14" s="40">
        <f>IF(AG14&gt;0,AG14,"")</f>
        <v>3.3</v>
      </c>
      <c r="AT14" s="40">
        <f>IF(SUM(AD14:AG14)-AH14&gt;0,SUM(AD14:AG14)-AH14,"")</f>
        <v>11.1</v>
      </c>
      <c r="AU14" s="40">
        <f>IF(AQ14="","",MAX(AQ14,AT14))</f>
        <v>43.16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43.16</v>
      </c>
      <c r="AZ14" s="26">
        <v>12.1</v>
      </c>
      <c r="BA14" s="26">
        <v>9.1</v>
      </c>
      <c r="BB14" s="26">
        <v>14.9</v>
      </c>
      <c r="BC14" s="26">
        <v>15.57</v>
      </c>
      <c r="BD14" s="26">
        <v>0</v>
      </c>
      <c r="BE14" s="26">
        <v>12.1</v>
      </c>
      <c r="BF14" s="26">
        <v>8.6999999999999993</v>
      </c>
      <c r="BG14" s="26">
        <v>14</v>
      </c>
      <c r="BH14" s="26">
        <v>15.56</v>
      </c>
      <c r="BI14" s="26">
        <v>0.5</v>
      </c>
      <c r="BJ14" s="26">
        <v>1.2</v>
      </c>
      <c r="BK14" s="26">
        <v>1</v>
      </c>
      <c r="BL14" s="26">
        <v>2</v>
      </c>
      <c r="BM14" s="26">
        <v>1.68</v>
      </c>
      <c r="BN14" s="26">
        <v>0.2</v>
      </c>
      <c r="BO14" s="28"/>
      <c r="BP14" s="39">
        <f>IF(BB14&gt;0,BB14,"")</f>
        <v>14.9</v>
      </c>
      <c r="BQ14" s="39">
        <f>IF(BC14&gt;0,BC14,"")</f>
        <v>15.57</v>
      </c>
      <c r="BR14" s="11">
        <f>IF(SUM(AZ14:BC14)-BD14&gt;0,SUM(AZ14:BC14)-BD14,"")</f>
        <v>51.67</v>
      </c>
      <c r="BS14" s="11">
        <f>IF(BG14&gt;0,BG14,"")</f>
        <v>14</v>
      </c>
      <c r="BT14" s="11">
        <f>IF(BH14&gt;0,BH14,"")</f>
        <v>15.56</v>
      </c>
      <c r="BU14" s="11">
        <f>IF(SUM(BE14:BH14)-BI14&gt;0,SUM(BE14:BH14)-BI14,"")</f>
        <v>49.86</v>
      </c>
      <c r="BV14" s="11">
        <f>IF(BR14="","",MAX(BR14,BU14))</f>
        <v>51.67</v>
      </c>
      <c r="BW14" s="11">
        <f>IF(BL14&gt;0,BL14,"")</f>
        <v>2</v>
      </c>
      <c r="BX14" s="11">
        <f>IF(BM14&gt;0,BM14,"")</f>
        <v>1.68</v>
      </c>
      <c r="BY14" s="11">
        <f>IF(SUM(BJ14:BM14)-BN14&gt;0,SUM(BJ14:BM14)-BN14,"")</f>
        <v>5.68</v>
      </c>
      <c r="BZ14" s="11">
        <f>IF(SUM(BV14,BY14)&gt;0,SUM(BV14,BY14),"")</f>
        <v>57.35</v>
      </c>
      <c r="CA14" s="22">
        <v>4.5999999999999996</v>
      </c>
      <c r="CB14" s="22">
        <v>2.9</v>
      </c>
      <c r="CC14" s="22">
        <v>5.2</v>
      </c>
      <c r="CD14" s="22">
        <v>5.0599999999999996</v>
      </c>
      <c r="CE14" s="22">
        <v>0</v>
      </c>
      <c r="CF14" s="22">
        <v>9.6999999999999993</v>
      </c>
      <c r="CG14" s="22">
        <v>6.4</v>
      </c>
      <c r="CH14" s="22">
        <v>10.6</v>
      </c>
      <c r="CI14" s="22">
        <v>11.69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5.2</v>
      </c>
      <c r="CR14" s="38">
        <f>IF(CD14&gt;0,CD14,"")</f>
        <v>5.0599999999999996</v>
      </c>
      <c r="CS14" s="40">
        <f>IF(SUM(CA14:CD14)-CE14&gt;0,SUM(CA14:CD14)-CE14,"")</f>
        <v>17.759999999999998</v>
      </c>
      <c r="CT14" s="40">
        <f>IF(CH14&gt;0,CH14,"")</f>
        <v>10.6</v>
      </c>
      <c r="CU14" s="40">
        <f>IF(CI14&gt;0,CI14,"")</f>
        <v>11.69</v>
      </c>
      <c r="CV14" s="40">
        <f>IF(SUM(CF14:CI14)-CJ14&gt;0,SUM(CF14:CI14)-CJ14,"")</f>
        <v>38.39</v>
      </c>
      <c r="CW14" s="40">
        <f>IF(CS14="","",MAX(CS14,CV14))</f>
        <v>38.39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38.39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8.35</v>
      </c>
      <c r="SW14" s="22">
        <f>IF($CP14="P",CB14,(CB14+BA14)/2)</f>
        <v>6</v>
      </c>
      <c r="SX14" s="22">
        <f>IF($CP14="P",CC14,(CC14+BB14)/2)</f>
        <v>10.050000000000001</v>
      </c>
      <c r="SY14" s="22">
        <f>IF($CP14="P",CD14,(CD14+BC14)/2)</f>
        <v>10.315</v>
      </c>
      <c r="SZ14" s="22">
        <f>IF($CP14="P",CE14,(CE14+BD14)/2)</f>
        <v>0</v>
      </c>
      <c r="TA14" s="22">
        <f>IF($CP14="P",CF14,(CF14+BE14)/2)</f>
        <v>10.899999999999999</v>
      </c>
      <c r="TB14" s="22">
        <f>IF($CP14="P",CG14,(CG14+BF14)/2)</f>
        <v>7.55</v>
      </c>
      <c r="TC14" s="22">
        <f>IF($CP14="P",CH14,(CH14+BG14)/2)</f>
        <v>12.3</v>
      </c>
      <c r="TD14" s="22">
        <f>IF($CP14="P",CI14,(CI14+BH14)/2)</f>
        <v>13.625</v>
      </c>
      <c r="TE14" s="22">
        <f>IF($CP14="P",CJ14,(CJ14+BI14)/2)</f>
        <v>0.25</v>
      </c>
      <c r="TF14" s="22">
        <f>IF($CP14="P",CK14,(CK14+BJ14)/2)</f>
        <v>0.6</v>
      </c>
      <c r="TG14" s="22">
        <f>IF($CP14="P",CL14,(CL14+BK14)/2)</f>
        <v>0.5</v>
      </c>
      <c r="TH14" s="22">
        <f>IF($CP14="P",CM14,(CM14+BL14)/2)</f>
        <v>1</v>
      </c>
      <c r="TI14" s="22">
        <f>IF($CP14="P",CN14,(CN14+BM14)/2)</f>
        <v>0.84</v>
      </c>
      <c r="TJ14" s="22">
        <f>IF($CP14="P",CO14,(CO14+BN14)/2)</f>
        <v>0.1</v>
      </c>
      <c r="TK14" s="27" t="s">
        <v>46</v>
      </c>
      <c r="TL14" s="40">
        <f>IF(SX14&gt;0,SX14,"")</f>
        <v>10.050000000000001</v>
      </c>
      <c r="TM14" s="40">
        <f>IF(SY14&gt;0,SY14,"")</f>
        <v>10.315</v>
      </c>
      <c r="TN14" s="40">
        <f>IF(SUM(SV14:SY14)-SZ14&gt;0,SUM(SV14:SY14)-SZ14,"")</f>
        <v>34.714999999999996</v>
      </c>
      <c r="TO14" s="40">
        <f>IF(TC14&gt;0,TC14,"")</f>
        <v>12.3</v>
      </c>
      <c r="TP14" s="40">
        <f>IF(TD14&gt;0,TD14,"")</f>
        <v>13.625</v>
      </c>
      <c r="TQ14" s="40">
        <f>IF(SUM(TA14:TD14)-TE14&gt;0,SUM(TA14:TD14)-TE14,"")</f>
        <v>44.125</v>
      </c>
      <c r="TR14" s="40">
        <f>IF(MAX(TN14,TQ14)&gt;0,MAX(TN14,TQ14),"")</f>
        <v>44.125</v>
      </c>
      <c r="TS14" s="40">
        <f>IF(TH14&gt;0,TH14,"")</f>
        <v>1</v>
      </c>
      <c r="TT14" s="40">
        <f>IF(TI14&gt;0,TI14,"")</f>
        <v>0.84</v>
      </c>
      <c r="TU14" s="40">
        <f>IF(SUM(TF14:TI14)-TJ14&gt;0,SUM(TF14:TI14)-TJ14,"")</f>
        <v>2.84</v>
      </c>
      <c r="TV14" s="40">
        <f>IF(SUM(TR14,TU14)&gt;0,SUM(TR14,TU14),"")</f>
        <v>46.965000000000003</v>
      </c>
    </row>
    <row r="15" spans="1:542" x14ac:dyDescent="0.2">
      <c r="A15" s="4" cm="1">
        <f t="array" ref="A15">IF(AND(J15&lt;&gt;"",J15&lt;&gt;"No DD"),SUMPRODUCT((J$4:J$26&lt;&gt;"")*(J$4:J$26&lt;&gt;"No DD")*(F$4:F$26&gt;F15))+1,IF(J15="No DD",SUMPRODUCT((J$4:J$26="No DD")*(F$4:F$26&gt;F15))+1+SUMPRODUCT((J$4:J$26&lt;&gt;"")*(J$4:J$26&lt;&gt;"No DD")),""))</f>
        <v>7</v>
      </c>
      <c r="B15" s="4" cm="1">
        <f t="array" ref="B15">IF(AND(J15&lt;&gt;"",J15&lt;&gt;"No DD",G15=""),SUMPRODUCT((J$4:J$26&lt;&gt;"")*(J$4:J$26&lt;&gt;"No DD")*(G$4:G$26="")*(F$4:F$26&gt;F15))+1,IF(J15="No DD",SUMPRODUCT((J$4:J$26="No DD")*(F$4:F$26&gt;F15)*(G$4:G$26=""))+1+SUMPRODUCT((J$4:J$26&lt;&gt;"")*(G$4:G$26="")*(J$4:J$26&lt;&gt;"No DD")),""))</f>
        <v>5</v>
      </c>
      <c r="C15" s="5" t="s">
        <v>134</v>
      </c>
      <c r="D15" s="4" t="s">
        <v>6</v>
      </c>
      <c r="E15" s="4">
        <v>2005</v>
      </c>
      <c r="F15" s="9">
        <f>SUM(L15:V15)+SUM(L15:T15)*0.0000001+SUM(L15)*0.0000000000001</f>
        <v>174.57001723300544</v>
      </c>
      <c r="G15" s="64"/>
      <c r="H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I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),"P","")</f>
        <v>P</v>
      </c>
      <c r="J15" s="36" t="str">
        <f>IF(AND(I15="P",H15=""),"No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Excellence",IF(K15="P","Worlds Team",IF(H15="P","National Team","")))))</f>
        <v>No DD</v>
      </c>
      <c r="K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P","")</f>
        <v/>
      </c>
      <c r="L15" s="8">
        <f>IF(COUNT(AQ15,AT15,BR15,BU15,CS15,CV15)&gt;0,LARGE((AQ15,AT15,BR15,BU15,CS15,CV15),1),0)</f>
        <v>54.440000000000005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IF(COUNT(AQ15,AT15,BR15,BU15,CS15,CV15)&gt;1,LARGE((AQ15,AT15,BR15,BU15,CS15,CV15),2),0)</f>
        <v>51.61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52.28</v>
      </c>
      <c r="Q15" s="8" t="str">
        <f>IF(P15="","",IF(P15=CZ15,$CA$1,IF(P15=BY15,$AZ$1,IF(P15=AX15,$Y$1,IF(OR(P15=CS15,P15=CV15,P15=CZ15),$CA$1,IF(OR(P15=BR15,P15=BU15,P15=BY15),$AZ$1,IF(OR(P15=AQ15,P15=AT15,P15=AX15),$Y$1,"")))))))</f>
        <v>2025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Nationals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2.2399999999999949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WAGC (Nov 16)</v>
      </c>
      <c r="Y15" s="22">
        <v>12.5</v>
      </c>
      <c r="Z15" s="22">
        <v>9.4</v>
      </c>
      <c r="AA15" s="22">
        <v>13.4</v>
      </c>
      <c r="AB15" s="22">
        <v>15.26</v>
      </c>
      <c r="AC15" s="22">
        <v>0</v>
      </c>
      <c r="AD15" s="22">
        <v>15.4</v>
      </c>
      <c r="AE15" s="22">
        <v>9.6999999999999993</v>
      </c>
      <c r="AF15" s="22">
        <v>13.8</v>
      </c>
      <c r="AG15" s="22">
        <v>15.54</v>
      </c>
      <c r="AH15" s="22">
        <v>0</v>
      </c>
      <c r="AI15" s="22">
        <v>12.6</v>
      </c>
      <c r="AJ15" s="22">
        <v>7.8</v>
      </c>
      <c r="AK15" s="22">
        <v>12.3</v>
      </c>
      <c r="AL15" s="22">
        <v>13.72</v>
      </c>
      <c r="AM15" s="22">
        <v>0</v>
      </c>
      <c r="AN15" s="27"/>
      <c r="AO15" s="38">
        <f>IF(AA15&gt;0,AA15,"")</f>
        <v>13.4</v>
      </c>
      <c r="AP15" s="38">
        <f>IF(AB15&gt;0,AB15,"")</f>
        <v>15.26</v>
      </c>
      <c r="AQ15" s="40">
        <f>IF(SUM(Y15:AB15)-AC15&gt;0,SUM(Y15:AB15)-AC15,"")</f>
        <v>50.559999999999995</v>
      </c>
      <c r="AR15" s="40">
        <f>IF(AF15&gt;0,AF15,"")</f>
        <v>13.8</v>
      </c>
      <c r="AS15" s="40">
        <f>IF(AG15&gt;0,AG15,"")</f>
        <v>15.54</v>
      </c>
      <c r="AT15" s="40">
        <f>IF(SUM(AD15:AG15)-AH15&gt;0,SUM(AD15:AG15)-AH15,"")</f>
        <v>54.440000000000005</v>
      </c>
      <c r="AU15" s="40">
        <f>IF(AQ15="","",MAX(AQ15,AT15))</f>
        <v>54.440000000000005</v>
      </c>
      <c r="AV15" s="40">
        <f>IF(AK15&gt;0,AK15,"")</f>
        <v>12.3</v>
      </c>
      <c r="AW15" s="40">
        <f>IF(AL15&gt;0,AL15,"")</f>
        <v>13.72</v>
      </c>
      <c r="AX15" s="40">
        <f>IF(SUM(AI15:AL15)-AM15&gt;0,SUM(AI15:AL15)-AM15,"")</f>
        <v>46.42</v>
      </c>
      <c r="AY15" s="40">
        <f>IF(SUM(AU15,AX15)&gt;0,SUM(AU15,AX15),"")</f>
        <v>100.86000000000001</v>
      </c>
      <c r="AZ15" s="26">
        <v>13.3</v>
      </c>
      <c r="BA15" s="26">
        <v>9</v>
      </c>
      <c r="BB15" s="26">
        <v>14</v>
      </c>
      <c r="BC15" s="26">
        <v>15.31</v>
      </c>
      <c r="BD15" s="26">
        <v>0</v>
      </c>
      <c r="BE15" s="26">
        <v>13.4</v>
      </c>
      <c r="BF15" s="26">
        <v>8.1999999999999993</v>
      </c>
      <c r="BG15" s="26">
        <v>10.3</v>
      </c>
      <c r="BH15" s="26">
        <v>13.58</v>
      </c>
      <c r="BI15" s="26">
        <v>0</v>
      </c>
      <c r="BJ15" s="26">
        <v>13.9</v>
      </c>
      <c r="BK15" s="26">
        <v>9.1999999999999993</v>
      </c>
      <c r="BL15" s="26">
        <v>14</v>
      </c>
      <c r="BM15" s="26">
        <v>15.18</v>
      </c>
      <c r="BN15" s="26">
        <v>0</v>
      </c>
      <c r="BO15" s="28"/>
      <c r="BP15" s="39">
        <f>IF(BB15&gt;0,BB15,"")</f>
        <v>14</v>
      </c>
      <c r="BQ15" s="39">
        <f>IF(BC15&gt;0,BC15,"")</f>
        <v>15.31</v>
      </c>
      <c r="BR15" s="11">
        <f>IF(SUM(AZ15:BC15)-BD15&gt;0,SUM(AZ15:BC15)-BD15,"")</f>
        <v>51.61</v>
      </c>
      <c r="BS15" s="11">
        <f>IF(BG15&gt;0,BG15,"")</f>
        <v>10.3</v>
      </c>
      <c r="BT15" s="11">
        <f>IF(BH15&gt;0,BH15,"")</f>
        <v>13.58</v>
      </c>
      <c r="BU15" s="11">
        <f>IF(SUM(BE15:BH15)-BI15&gt;0,SUM(BE15:BH15)-BI15,"")</f>
        <v>45.480000000000004</v>
      </c>
      <c r="BV15" s="11">
        <f>IF(BR15="","",MAX(BR15,BU15))</f>
        <v>51.61</v>
      </c>
      <c r="BW15" s="11">
        <f>IF(BL15&gt;0,BL15,"")</f>
        <v>14</v>
      </c>
      <c r="BX15" s="11">
        <f>IF(BM15&gt;0,BM15,"")</f>
        <v>15.18</v>
      </c>
      <c r="BY15" s="11">
        <f>IF(SUM(BJ15:BM15)-BN15&gt;0,SUM(BJ15:BM15)-BN15,"")</f>
        <v>52.28</v>
      </c>
      <c r="BZ15" s="11">
        <f>IF(SUM(BV15,BY15)&gt;0,SUM(BV15,BY15),"")</f>
        <v>103.89</v>
      </c>
      <c r="CA15" s="22">
        <v>5.5</v>
      </c>
      <c r="CB15" s="22">
        <v>3.5</v>
      </c>
      <c r="CC15" s="22">
        <v>4.0999999999999996</v>
      </c>
      <c r="CD15" s="22">
        <v>6.61</v>
      </c>
      <c r="CE15" s="22">
        <v>0</v>
      </c>
      <c r="CF15" s="22">
        <v>2.8</v>
      </c>
      <c r="CG15" s="22">
        <v>1.8</v>
      </c>
      <c r="CH15" s="22">
        <v>3</v>
      </c>
      <c r="CI15" s="22">
        <v>3.46</v>
      </c>
      <c r="CJ15" s="22">
        <v>0.4</v>
      </c>
      <c r="CK15" s="22">
        <v>1.4</v>
      </c>
      <c r="CL15" s="22">
        <v>1</v>
      </c>
      <c r="CM15" s="22">
        <v>1.7</v>
      </c>
      <c r="CN15" s="22">
        <v>1.78</v>
      </c>
      <c r="CO15" s="22">
        <v>0</v>
      </c>
      <c r="CP15" s="27"/>
      <c r="CQ15" s="38">
        <f>IF(CC15&gt;0,CC15,"")</f>
        <v>4.0999999999999996</v>
      </c>
      <c r="CR15" s="38">
        <f>IF(CD15&gt;0,CD15,"")</f>
        <v>6.61</v>
      </c>
      <c r="CS15" s="40">
        <f>IF(SUM(CA15:CD15)-CE15&gt;0,SUM(CA15:CD15)-CE15,"")</f>
        <v>19.71</v>
      </c>
      <c r="CT15" s="40">
        <f>IF(CH15&gt;0,CH15,"")</f>
        <v>3</v>
      </c>
      <c r="CU15" s="40">
        <f>IF(CI15&gt;0,CI15,"")</f>
        <v>3.46</v>
      </c>
      <c r="CV15" s="40">
        <f>IF(SUM(CF15:CI15)-CJ15&gt;0,SUM(CF15:CI15)-CJ15,"")</f>
        <v>10.659999999999998</v>
      </c>
      <c r="CW15" s="40">
        <f>IF(CS15="","",MAX(CS15,CV15))</f>
        <v>19.71</v>
      </c>
      <c r="CX15" s="40">
        <f>IF(CM15&gt;0,CM15,"")</f>
        <v>1.7</v>
      </c>
      <c r="CY15" s="40">
        <f>IF(CN15&gt;0,CN15,"")</f>
        <v>1.78</v>
      </c>
      <c r="CZ15" s="40">
        <f>IF(SUM(CK15:CN15)-CO15&gt;0,SUM(CK15:CN15)-CO15,"")</f>
        <v>5.88</v>
      </c>
      <c r="DA15" s="40">
        <f>IF(SUM(CW15,CZ15)&gt;0,SUM(CW15,CZ15),"")</f>
        <v>25.59</v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2.2399999999999949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>
        <v>15.4</v>
      </c>
      <c r="MI15" s="18">
        <v>9.6</v>
      </c>
      <c r="MJ15" s="18">
        <v>2.6</v>
      </c>
      <c r="MK15" s="18">
        <v>15.73</v>
      </c>
      <c r="ML15" s="18">
        <v>0</v>
      </c>
      <c r="MM15" s="18">
        <v>15</v>
      </c>
      <c r="MN15" s="18">
        <v>9.3000000000000007</v>
      </c>
      <c r="MO15" s="18">
        <v>14</v>
      </c>
      <c r="MP15" s="18">
        <v>15.55</v>
      </c>
      <c r="MQ15" s="18">
        <v>0</v>
      </c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>
        <f>IF(MJ15&gt;0,MJ15,"")</f>
        <v>2.6</v>
      </c>
      <c r="NC15" s="11">
        <f>IF(MK15&gt;0,MK15,"")</f>
        <v>15.73</v>
      </c>
      <c r="ND15" s="11">
        <f>IF(SUM(MH15:MK15)-ML15&gt;0,SUM(MH15:MK15)-ML15,"")</f>
        <v>43.33</v>
      </c>
      <c r="NE15" s="11">
        <f>IF(MO15&gt;0,MO15,"")</f>
        <v>14</v>
      </c>
      <c r="NF15" s="11">
        <f>IF(MP15&gt;0,MP15,"")</f>
        <v>15.55</v>
      </c>
      <c r="NG15" s="11">
        <f>IF(SUM(MM15:MP15)-MQ15&gt;0,SUM(MM15:MP15)-MQ15,"")</f>
        <v>53.849999999999994</v>
      </c>
      <c r="NH15" s="11">
        <f>IF(MAX(ND15,NG15)&gt;0,MAX(ND15,NG15),"")</f>
        <v>53.849999999999994</v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>
        <f>IF(SUM(NH15,NK15,NN15)&gt;0,SUM(NH15,NK15,NN15),"")</f>
        <v>53.849999999999994</v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9.4</v>
      </c>
      <c r="SW15" s="22">
        <f>IF($CP15="P",CB15,(CB15+BA15)/2)</f>
        <v>6.25</v>
      </c>
      <c r="SX15" s="22">
        <f>IF($CP15="P",CC15,(CC15+BB15)/2)</f>
        <v>9.0500000000000007</v>
      </c>
      <c r="SY15" s="22">
        <f>IF($CP15="P",CD15,(CD15+BC15)/2)</f>
        <v>10.96</v>
      </c>
      <c r="SZ15" s="22">
        <f>IF($CP15="P",CE15,(CE15+BD15)/2)</f>
        <v>0</v>
      </c>
      <c r="TA15" s="22">
        <f>IF($CP15="P",CF15,(CF15+BE15)/2)</f>
        <v>8.1</v>
      </c>
      <c r="TB15" s="22">
        <f>IF($CP15="P",CG15,(CG15+BF15)/2)</f>
        <v>5</v>
      </c>
      <c r="TC15" s="22">
        <f>IF($CP15="P",CH15,(CH15+BG15)/2)</f>
        <v>6.65</v>
      </c>
      <c r="TD15" s="22">
        <f>IF($CP15="P",CI15,(CI15+BH15)/2)</f>
        <v>8.52</v>
      </c>
      <c r="TE15" s="22">
        <f>IF($CP15="P",CJ15,(CJ15+BI15)/2)</f>
        <v>0.2</v>
      </c>
      <c r="TF15" s="22">
        <f>IF($CP15="P",CK15,(CK15+BJ15)/2)</f>
        <v>7.65</v>
      </c>
      <c r="TG15" s="22">
        <f>IF($CP15="P",CL15,(CL15+BK15)/2)</f>
        <v>5.0999999999999996</v>
      </c>
      <c r="TH15" s="22">
        <f>IF($CP15="P",CM15,(CM15+BL15)/2)</f>
        <v>7.85</v>
      </c>
      <c r="TI15" s="22">
        <f>IF($CP15="P",CN15,(CN15+BM15)/2)</f>
        <v>8.48</v>
      </c>
      <c r="TJ15" s="22">
        <f>IF($CP15="P",CO15,(CO15+BN15)/2)</f>
        <v>0</v>
      </c>
      <c r="TK15" s="27" t="s">
        <v>46</v>
      </c>
      <c r="TL15" s="40">
        <f>IF(SX15&gt;0,SX15,"")</f>
        <v>9.0500000000000007</v>
      </c>
      <c r="TM15" s="40">
        <f>IF(SY15&gt;0,SY15,"")</f>
        <v>10.96</v>
      </c>
      <c r="TN15" s="40">
        <f>IF(SUM(SV15:SY15)-SZ15&gt;0,SUM(SV15:SY15)-SZ15,"")</f>
        <v>35.660000000000004</v>
      </c>
      <c r="TO15" s="40">
        <f>IF(TC15&gt;0,TC15,"")</f>
        <v>6.65</v>
      </c>
      <c r="TP15" s="40">
        <f>IF(TD15&gt;0,TD15,"")</f>
        <v>8.52</v>
      </c>
      <c r="TQ15" s="40">
        <f>IF(SUM(TA15:TD15)-TE15&gt;0,SUM(TA15:TD15)-TE15,"")</f>
        <v>28.07</v>
      </c>
      <c r="TR15" s="40">
        <f>IF(MAX(TN15,TQ15)&gt;0,MAX(TN15,TQ15),"")</f>
        <v>35.660000000000004</v>
      </c>
      <c r="TS15" s="40">
        <f>IF(TH15&gt;0,TH15,"")</f>
        <v>7.85</v>
      </c>
      <c r="TT15" s="40">
        <f>IF(TI15&gt;0,TI15,"")</f>
        <v>8.48</v>
      </c>
      <c r="TU15" s="40">
        <f>IF(SUM(TF15:TI15)-TJ15&gt;0,SUM(TF15:TI15)-TJ15,"")</f>
        <v>29.080000000000002</v>
      </c>
      <c r="TV15" s="40">
        <f>IF(SUM(TR15,TU15)&gt;0,SUM(TR15,TU15),"")</f>
        <v>64.740000000000009</v>
      </c>
    </row>
    <row r="16" spans="1:542" x14ac:dyDescent="0.2">
      <c r="A16" s="4" t="str" cm="1">
        <f t="array" ref="A16">IF(AND(J16&lt;&gt;"",J16&lt;&gt;"No DD"),SUMPRODUCT((J$4:J$26&lt;&gt;"")*(J$4:J$26&lt;&gt;"No DD")*(F$4:F$26&gt;F16))+1,IF(J16="No DD",SUMPRODUCT((J$4:J$26="No DD")*(F$4:F$26&gt;F16))+1+SUMPRODUCT((J$4:J$26&lt;&gt;"")*(J$4:J$26&lt;&gt;"No DD")),""))</f>
        <v/>
      </c>
      <c r="B16" s="4" t="str" cm="1">
        <f t="array" ref="B16">IF(AND(J16&lt;&gt;"",J16&lt;&gt;"No DD",G16=""),SUMPRODUCT((J$4:J$26&lt;&gt;"")*(J$4:J$26&lt;&gt;"No DD")*(G$4:G$26="")*(F$4:F$26&gt;F16))+1,IF(J16="No DD",SUMPRODUCT((J$4:J$26="No DD")*(F$4:F$26&gt;F16)*(G$4:G$26=""))+1+SUMPRODUCT((J$4:J$26&lt;&gt;"")*(G$4:G$26="")*(J$4:J$26&lt;&gt;"No DD")),""))</f>
        <v/>
      </c>
      <c r="C16" s="5" t="s">
        <v>111</v>
      </c>
      <c r="D16" s="4" t="s">
        <v>6</v>
      </c>
      <c r="E16" s="4">
        <v>2006</v>
      </c>
      <c r="F16" s="9">
        <f>SUM(L16:V16)+SUM(L16:T16)*0.0000001+SUM(L16)*0.0000000000001</f>
        <v>173.47001564500499</v>
      </c>
      <c r="G16" s="64"/>
      <c r="H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I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),"P","")</f>
        <v/>
      </c>
      <c r="J16" s="36" t="str">
        <f>IF(AND(I16="P",H16=""),"No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Excellence",IF(K16="P","Worlds Team",IF(H16="P","National Team","")))))</f>
        <v/>
      </c>
      <c r="K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P","")</f>
        <v/>
      </c>
      <c r="L16" s="8">
        <f>IF(COUNT(AQ16,AT16,BR16,BU16,CS16,CV16)&gt;0,LARGE((AQ16,AT16,BR16,BU16,CS16,CV16),1),0)</f>
        <v>50.3</v>
      </c>
      <c r="M16" s="8" t="str">
        <f>IF(L16="","",IF(OR(L16=CS16,L16=CV16),$CA$1,IF(OR(L16=BR16,L16=BU16),$AZ$1,IF(OR(L16=AQ16,L16=AT16),$Y$1,""))))</f>
        <v>2025 Nationals</v>
      </c>
      <c r="N16" s="8">
        <f>IF(COUNT(AQ16,AT16,BR16,BU16,CS16,CV16)&gt;1,LARGE((AQ16,AT16,BR16,BU16,CS16,CV16),2),0)</f>
        <v>40.43</v>
      </c>
      <c r="O16" s="8" t="str">
        <f>IF(N16="","",IF(OR(N16=CS16,N16=CV16),$CA$1,IF(OR(N16=BR16,N16=BU16),$AZ$1,IF(OR(N16=AQ16,N16=AT16),$Y$1,""))))</f>
        <v>2025 Nationals</v>
      </c>
      <c r="P16" s="8">
        <f>IF(COUNT(AQ16,AT16,BR16,BU16,CS16,CV16)&gt;2,MAX(AX16,BY16,CZ16,LARGE((AQ16,AT16,BR16,BU16,CS16,CV16),3)),IF(MAX(AX16,BY16,CZ16)&gt;0,MAX(AX16,BY16,CZ16),0))</f>
        <v>35.85</v>
      </c>
      <c r="Q16" s="8" t="str">
        <f>IF(P16="","",IF(P16=CZ16,$CA$1,IF(P16=BY16,$AZ$1,IF(P16=AX16,$Y$1,IF(OR(P16=CS16,P16=CV16,P16=CZ16),$CA$1,IF(OR(P16=BR16,P16=BU16,P16=BY16),$AZ$1,IF(OR(P16=AQ16,P16=AT16,P16=AX16),$Y$1,"")))))))</f>
        <v>2025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14.8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2025 World Cup ITA (April 5)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),0)</f>
        <v>15.07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2025 World Cup ITA (April 5)</v>
      </c>
      <c r="V16" s="8">
        <f>IF(MAX(DB16,DC16)&gt;0,MAX(DB16,DC16),"")</f>
        <v>17.019999999999996</v>
      </c>
      <c r="W16" s="11" t="str">
        <f>IF(V16="","",IF(V16=DB16,"("&amp;DB$2&amp;")",IF(V16=DC16,"("&amp;DC$2&amp;")")))</f>
        <v>(Optional)</v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2025 World Cup ITA (April 5)</v>
      </c>
      <c r="Y16" s="22">
        <v>1.6</v>
      </c>
      <c r="Z16" s="22">
        <v>1</v>
      </c>
      <c r="AA16" s="22">
        <v>2</v>
      </c>
      <c r="AB16" s="22">
        <v>1.72</v>
      </c>
      <c r="AC16" s="22">
        <v>0</v>
      </c>
      <c r="AD16" s="22">
        <v>9.8000000000000007</v>
      </c>
      <c r="AE16" s="22">
        <v>5.9</v>
      </c>
      <c r="AF16" s="22">
        <v>9</v>
      </c>
      <c r="AG16" s="22">
        <v>11.15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2</v>
      </c>
      <c r="AP16" s="38">
        <f>IF(AB16&gt;0,AB16,"")</f>
        <v>1.72</v>
      </c>
      <c r="AQ16" s="40">
        <f>IF(SUM(Y16:AB16)-AC16&gt;0,SUM(Y16:AB16)-AC16,"")</f>
        <v>6.3199999999999994</v>
      </c>
      <c r="AR16" s="40">
        <f>IF(AF16&gt;0,AF16,"")</f>
        <v>9</v>
      </c>
      <c r="AS16" s="40">
        <f>IF(AG16&gt;0,AG16,"")</f>
        <v>11.15</v>
      </c>
      <c r="AT16" s="40">
        <f>IF(SUM(AD16:AG16)-AH16&gt;0,SUM(AD16:AG16)-AH16,"")</f>
        <v>35.85</v>
      </c>
      <c r="AU16" s="40">
        <f>IF(AQ16="","",MAX(AQ16,AT16))</f>
        <v>35.85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35.85</v>
      </c>
      <c r="AZ16" s="26">
        <v>12</v>
      </c>
      <c r="BA16" s="26">
        <v>6.3</v>
      </c>
      <c r="BB16" s="26">
        <v>11</v>
      </c>
      <c r="BC16" s="26">
        <v>11.13</v>
      </c>
      <c r="BD16" s="26">
        <v>0</v>
      </c>
      <c r="BE16" s="26">
        <v>14.7</v>
      </c>
      <c r="BF16" s="26">
        <v>7.6</v>
      </c>
      <c r="BG16" s="26">
        <v>13.8</v>
      </c>
      <c r="BH16" s="26">
        <v>14.2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11</v>
      </c>
      <c r="BQ16" s="39">
        <f>IF(BC16&gt;0,BC16,"")</f>
        <v>11.13</v>
      </c>
      <c r="BR16" s="11">
        <f>IF(SUM(AZ16:BC16)-BD16&gt;0,SUM(AZ16:BC16)-BD16,"")</f>
        <v>40.43</v>
      </c>
      <c r="BS16" s="11">
        <f>IF(BG16&gt;0,BG16,"")</f>
        <v>13.8</v>
      </c>
      <c r="BT16" s="11">
        <f>IF(BH16&gt;0,BH16,"")</f>
        <v>14.2</v>
      </c>
      <c r="BU16" s="11">
        <f>IF(SUM(BE16:BH16)-BI16&gt;0,SUM(BE16:BH16)-BI16,"")</f>
        <v>50.3</v>
      </c>
      <c r="BV16" s="11">
        <f>IF(BR16="","",MAX(BR16,BU16))</f>
        <v>50.3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50.3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>17.019999999999996</v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>
        <v>14.3</v>
      </c>
      <c r="DE16" s="17">
        <v>8.6999999999999993</v>
      </c>
      <c r="DF16" s="17">
        <v>14.8</v>
      </c>
      <c r="DG16" s="17">
        <v>15.07</v>
      </c>
      <c r="DH16" s="17">
        <v>0</v>
      </c>
      <c r="DI16" s="17">
        <v>13.8</v>
      </c>
      <c r="DJ16" s="17">
        <v>8.6999999999999993</v>
      </c>
      <c r="DK16" s="17">
        <v>14.4</v>
      </c>
      <c r="DL16" s="17">
        <v>15.35</v>
      </c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>
        <f>IF(DF16&gt;0,DF16,"")</f>
        <v>14.8</v>
      </c>
      <c r="DY16" s="40">
        <f>IF(DG16&gt;0,DG16,"")</f>
        <v>15.07</v>
      </c>
      <c r="DZ16" s="40">
        <f>IF(SUM(DD16:DG16)-DH16&gt;0,SUM(DD16:DG16)-DH16,"")</f>
        <v>52.87</v>
      </c>
      <c r="EA16" s="40">
        <f>IF(DK16&gt;0,DK16,"")</f>
        <v>14.4</v>
      </c>
      <c r="EB16" s="40">
        <f>IF(DL16&gt;0,DL16,"")</f>
        <v>15.35</v>
      </c>
      <c r="EC16" s="40">
        <f>IF(SUM(DI16:DL16)-DM16&gt;0,SUM(DI16:DL16)-DM16,"")</f>
        <v>52.25</v>
      </c>
      <c r="ED16" s="40">
        <f>IF(MAX(DZ16,EC16)&gt;0,MAX(DZ16,EC16),"")</f>
        <v>52.87</v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>
        <f>IF(SUM(ED16,EG16,EJ16)&gt;0,SUM(ED16,EG16,EJ16),"")</f>
        <v>52.87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</v>
      </c>
      <c r="SW16" s="22">
        <f>IF($CP16="P",CB16,(CB16+BA16)/2)</f>
        <v>3.15</v>
      </c>
      <c r="SX16" s="22">
        <f>IF($CP16="P",CC16,(CC16+BB16)/2)</f>
        <v>5.5</v>
      </c>
      <c r="SY16" s="22">
        <f>IF($CP16="P",CD16,(CD16+BC16)/2)</f>
        <v>5.5650000000000004</v>
      </c>
      <c r="SZ16" s="22">
        <f>IF($CP16="P",CE16,(CE16+BD16)/2)</f>
        <v>0</v>
      </c>
      <c r="TA16" s="22">
        <f>IF($CP16="P",CF16,(CF16+BE16)/2)</f>
        <v>7.35</v>
      </c>
      <c r="TB16" s="22">
        <f>IF($CP16="P",CG16,(CG16+BF16)/2)</f>
        <v>3.8</v>
      </c>
      <c r="TC16" s="22">
        <f>IF($CP16="P",CH16,(CH16+BG16)/2)</f>
        <v>6.9</v>
      </c>
      <c r="TD16" s="22">
        <f>IF($CP16="P",CI16,(CI16+BH16)/2)</f>
        <v>7.1</v>
      </c>
      <c r="TE16" s="22">
        <f>IF($CP16="P",CJ16,(CJ16+BI16)/2)</f>
        <v>0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>
        <f>IF(SX16&gt;0,SX16,"")</f>
        <v>5.5</v>
      </c>
      <c r="TM16" s="40">
        <f>IF(SY16&gt;0,SY16,"")</f>
        <v>5.5650000000000004</v>
      </c>
      <c r="TN16" s="40">
        <f>IF(SUM(SV16:SY16)-SZ16&gt;0,SUM(SV16:SY16)-SZ16,"")</f>
        <v>20.215</v>
      </c>
      <c r="TO16" s="40">
        <f>IF(TC16&gt;0,TC16,"")</f>
        <v>6.9</v>
      </c>
      <c r="TP16" s="40">
        <f>IF(TD16&gt;0,TD16,"")</f>
        <v>7.1</v>
      </c>
      <c r="TQ16" s="40">
        <f>IF(SUM(TA16:TD16)-TE16&gt;0,SUM(TA16:TD16)-TE16,"")</f>
        <v>25.15</v>
      </c>
      <c r="TR16" s="40">
        <f>IF(MAX(TN16,TQ16)&gt;0,MAX(TN16,TQ16),"")</f>
        <v>25.15</v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>
        <f>IF(SUM(TR16,TU16)&gt;0,SUM(TR16,TU16),"")</f>
        <v>25.15</v>
      </c>
    </row>
    <row r="17" spans="1:542" x14ac:dyDescent="0.2">
      <c r="A17" s="4" t="str" cm="1">
        <f t="array" ref="A17">IF(AND(J17&lt;&gt;"",J17&lt;&gt;"No DD"),SUMPRODUCT((J$4:J$26&lt;&gt;"")*(J$4:J$26&lt;&gt;"No DD")*(F$4:F$26&gt;F17))+1,IF(J17="No DD",SUMPRODUCT((J$4:J$26="No DD")*(F$4:F$26&gt;F17))+1+SUMPRODUCT((J$4:J$26&lt;&gt;"")*(J$4:J$26&lt;&gt;"No DD")),""))</f>
        <v/>
      </c>
      <c r="B17" s="4" t="str" cm="1">
        <f t="array" ref="B17">IF(AND(J17&lt;&gt;"",J17&lt;&gt;"No DD",G17=""),SUMPRODUCT((J$4:J$26&lt;&gt;"")*(J$4:J$26&lt;&gt;"No DD")*(G$4:G$26="")*(F$4:F$26&gt;F17))+1,IF(J17="No DD",SUMPRODUCT((J$4:J$26="No DD")*(F$4:F$26&gt;F17)*(G$4:G$26=""))+1+SUMPRODUCT((J$4:J$26&lt;&gt;"")*(G$4:G$26="")*(J$4:J$26&lt;&gt;"No DD")),""))</f>
        <v/>
      </c>
      <c r="C17" s="5" t="s">
        <v>94</v>
      </c>
      <c r="D17" s="4" t="s">
        <v>3</v>
      </c>
      <c r="E17" s="4">
        <v>2005</v>
      </c>
      <c r="F17" s="9">
        <f>SUM(L17:V17)+SUM(L17:T17)*0.0000001+SUM(L17)*0.0000000000001</f>
        <v>169.17001674400512</v>
      </c>
      <c r="G17" s="64"/>
      <c r="H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I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),"P","")</f>
        <v/>
      </c>
      <c r="J17" s="36" t="str">
        <f>IF(AND(I17="P",H17=""),"No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Excellence",IF(K17="P","Worlds Team",IF(H17="P","National Team","")))))</f>
        <v/>
      </c>
      <c r="K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P","")</f>
        <v/>
      </c>
      <c r="L17" s="8">
        <f>IF(COUNT(AQ17,AT17,BR17,BU17,CS17,CV17)&gt;0,LARGE((AQ17,AT17,BR17,BU17,CS17,CV17),1),0)</f>
        <v>51.749999999999993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51.01</v>
      </c>
      <c r="O17" s="8" t="str">
        <f>IF(N17="","",IF(OR(N17=CS17,N17=CV17),$CA$1,IF(OR(N17=BR17,N17=BU17),$AZ$1,IF(OR(N17=AQ17,N17=AT17),$Y$1,""))))</f>
        <v>2025 Nationals</v>
      </c>
      <c r="P17" s="8">
        <f>IF(COUNT(AQ17,AT17,BR17,BU17,CS17,CV17)&gt;2,MAX(AX17,BY17,CZ17,LARGE((AQ17,AT17,BR17,BU17,CS17,CV17),3)),IF(MAX(AX17,BY17,CZ17)&gt;0,MAX(AX17,BY17,CZ17),0))</f>
        <v>50.58</v>
      </c>
      <c r="Q17" s="8" t="str">
        <f>IF(P17="","",IF(P17=CZ17,$CA$1,IF(P17=BY17,$AZ$1,IF(P17=AX17,$Y$1,IF(OR(P17=CS17,P17=CV17,P17=CZ17),$CA$1,IF(OR(P17=BR17,P17=BU17,P17=BY17),$AZ$1,IF(OR(P17=AQ17,P17=AT17,P17=AX17),$Y$1,"")))))))</f>
        <v>2025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Nationals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1.730000000000004</v>
      </c>
      <c r="W17" s="11" t="str">
        <f>IF(V17="","",IF(V17=DB17,"("&amp;DB$2&amp;")",IF(V17=DC17,"("&amp;DC$2&amp;")")))</f>
        <v>(Optional)</v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2025 Coimbra Gym Fest (July 6)</v>
      </c>
      <c r="Y17" s="22">
        <v>13.1</v>
      </c>
      <c r="Z17" s="22">
        <v>9</v>
      </c>
      <c r="AA17" s="22">
        <v>12.5</v>
      </c>
      <c r="AB17" s="22">
        <v>15.37</v>
      </c>
      <c r="AC17" s="22">
        <v>2.4</v>
      </c>
      <c r="AD17" s="22">
        <v>14</v>
      </c>
      <c r="AE17" s="22">
        <v>8.9</v>
      </c>
      <c r="AF17" s="22">
        <v>13.9</v>
      </c>
      <c r="AG17" s="22">
        <v>15.55</v>
      </c>
      <c r="AH17" s="22">
        <v>0.6</v>
      </c>
      <c r="AI17" s="22">
        <v>1.6</v>
      </c>
      <c r="AJ17" s="22">
        <v>1</v>
      </c>
      <c r="AK17" s="22">
        <v>2</v>
      </c>
      <c r="AL17" s="22">
        <v>1.72</v>
      </c>
      <c r="AM17" s="22">
        <v>0</v>
      </c>
      <c r="AN17" s="27"/>
      <c r="AO17" s="38">
        <f>IF(AA17&gt;0,AA17,"")</f>
        <v>12.5</v>
      </c>
      <c r="AP17" s="38">
        <f>IF(AB17&gt;0,AB17,"")</f>
        <v>15.37</v>
      </c>
      <c r="AQ17" s="40">
        <f>IF(SUM(Y17:AB17)-AC17&gt;0,SUM(Y17:AB17)-AC17,"")</f>
        <v>47.57</v>
      </c>
      <c r="AR17" s="40">
        <f>IF(AF17&gt;0,AF17,"")</f>
        <v>13.9</v>
      </c>
      <c r="AS17" s="40">
        <f>IF(AG17&gt;0,AG17,"")</f>
        <v>15.55</v>
      </c>
      <c r="AT17" s="40">
        <f>IF(SUM(AD17:AG17)-AH17&gt;0,SUM(AD17:AG17)-AH17,"")</f>
        <v>51.749999999999993</v>
      </c>
      <c r="AU17" s="40">
        <f>IF(AQ17="","",MAX(AQ17,AT17))</f>
        <v>51.749999999999993</v>
      </c>
      <c r="AV17" s="40">
        <f>IF(AK17&gt;0,AK17,"")</f>
        <v>2</v>
      </c>
      <c r="AW17" s="40">
        <f>IF(AL17&gt;0,AL17,"")</f>
        <v>1.72</v>
      </c>
      <c r="AX17" s="40">
        <f>IF(SUM(AI17:AL17)-AM17&gt;0,SUM(AI17:AL17)-AM17,"")</f>
        <v>6.3199999999999994</v>
      </c>
      <c r="AY17" s="40">
        <f>IF(SUM(AU17,AX17)&gt;0,SUM(AU17,AX17),"")</f>
        <v>58.069999999999993</v>
      </c>
      <c r="AZ17" s="26">
        <v>12.8</v>
      </c>
      <c r="BA17" s="26">
        <v>9.1</v>
      </c>
      <c r="BB17" s="26">
        <v>14.1</v>
      </c>
      <c r="BC17" s="26">
        <v>15.41</v>
      </c>
      <c r="BD17" s="26">
        <v>0.4</v>
      </c>
      <c r="BE17" s="26">
        <v>12.3</v>
      </c>
      <c r="BF17" s="26">
        <v>9.5</v>
      </c>
      <c r="BG17" s="26">
        <v>11.1</v>
      </c>
      <c r="BH17" s="26">
        <v>15.73</v>
      </c>
      <c r="BI17" s="26">
        <v>3.4</v>
      </c>
      <c r="BJ17" s="26">
        <v>14.3</v>
      </c>
      <c r="BK17" s="26">
        <v>9</v>
      </c>
      <c r="BL17" s="26">
        <v>13.1</v>
      </c>
      <c r="BM17" s="26">
        <v>15.58</v>
      </c>
      <c r="BN17" s="26">
        <v>1.4</v>
      </c>
      <c r="BO17" s="28"/>
      <c r="BP17" s="39">
        <f>IF(BB17&gt;0,BB17,"")</f>
        <v>14.1</v>
      </c>
      <c r="BQ17" s="39">
        <f>IF(BC17&gt;0,BC17,"")</f>
        <v>15.41</v>
      </c>
      <c r="BR17" s="11">
        <f>IF(SUM(AZ17:BC17)-BD17&gt;0,SUM(AZ17:BC17)-BD17,"")</f>
        <v>51.01</v>
      </c>
      <c r="BS17" s="11">
        <f>IF(BG17&gt;0,BG17,"")</f>
        <v>11.1</v>
      </c>
      <c r="BT17" s="11">
        <f>IF(BH17&gt;0,BH17,"")</f>
        <v>15.73</v>
      </c>
      <c r="BU17" s="11">
        <f>IF(SUM(BE17:BH17)-BI17&gt;0,SUM(BE17:BH17)-BI17,"")</f>
        <v>45.23</v>
      </c>
      <c r="BV17" s="11">
        <f>IF(BR17="","",MAX(BR17,BU17))</f>
        <v>51.01</v>
      </c>
      <c r="BW17" s="11">
        <f>IF(BL17&gt;0,BL17,"")</f>
        <v>13.1</v>
      </c>
      <c r="BX17" s="11">
        <f>IF(BM17&gt;0,BM17,"")</f>
        <v>15.58</v>
      </c>
      <c r="BY17" s="11">
        <f>IF(SUM(BJ17:BM17)-BN17&gt;0,SUM(BJ17:BM17)-BN17,"")</f>
        <v>50.58</v>
      </c>
      <c r="BZ17" s="11">
        <f>IF(SUM(BV17,BY17)&gt;0,SUM(BV17,BY17),"")</f>
        <v>101.59</v>
      </c>
      <c r="CA17" s="22">
        <v>12</v>
      </c>
      <c r="CB17" s="22">
        <v>9.4</v>
      </c>
      <c r="CC17" s="22">
        <v>11.7</v>
      </c>
      <c r="CD17" s="22">
        <v>16.170000000000002</v>
      </c>
      <c r="CE17" s="22">
        <v>4</v>
      </c>
      <c r="CF17" s="22">
        <v>5.6</v>
      </c>
      <c r="CG17" s="22">
        <v>3.8</v>
      </c>
      <c r="CH17" s="22">
        <v>6.3</v>
      </c>
      <c r="CI17" s="22">
        <v>6.78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11.7</v>
      </c>
      <c r="CR17" s="38">
        <f>IF(CD17&gt;0,CD17,"")</f>
        <v>16.170000000000002</v>
      </c>
      <c r="CS17" s="40">
        <f>IF(SUM(CA17:CD17)-CE17&gt;0,SUM(CA17:CD17)-CE17,"")</f>
        <v>45.269999999999996</v>
      </c>
      <c r="CT17" s="40">
        <f>IF(CH17&gt;0,CH17,"")</f>
        <v>6.3</v>
      </c>
      <c r="CU17" s="40">
        <f>IF(CI17&gt;0,CI17,"")</f>
        <v>6.78</v>
      </c>
      <c r="CV17" s="40">
        <f>IF(SUM(CF17:CI17)-CJ17&gt;0,SUM(CF17:CI17)-CJ17,"")</f>
        <v>22.48</v>
      </c>
      <c r="CW17" s="40">
        <f>IF(CS17="","",MAX(CS17,CV17))</f>
        <v>45.269999999999996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45.269999999999996</v>
      </c>
      <c r="DB17" s="50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>1.730000000000004</v>
      </c>
      <c r="DC17" s="50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1.6299999999999955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</v>
      </c>
      <c r="FU17" s="17">
        <v>9.5</v>
      </c>
      <c r="FV17" s="17">
        <v>12.9</v>
      </c>
      <c r="FW17" s="17">
        <v>15.91</v>
      </c>
      <c r="FX17" s="17">
        <v>0</v>
      </c>
      <c r="FY17" s="17">
        <v>12.7</v>
      </c>
      <c r="FZ17" s="17">
        <v>9.4</v>
      </c>
      <c r="GA17" s="17">
        <v>12.9</v>
      </c>
      <c r="GB17" s="17">
        <v>15.75</v>
      </c>
      <c r="GC17" s="17">
        <v>0</v>
      </c>
      <c r="GD17" s="17">
        <v>13.6</v>
      </c>
      <c r="GE17" s="17">
        <v>9.6999999999999993</v>
      </c>
      <c r="GF17" s="17">
        <v>12.9</v>
      </c>
      <c r="GG17" s="17">
        <v>16.010000000000002</v>
      </c>
      <c r="GH17" s="17">
        <v>0</v>
      </c>
      <c r="GI17" s="17"/>
      <c r="GJ17" s="17"/>
      <c r="GK17" s="17"/>
      <c r="GL17" s="17"/>
      <c r="GM17" s="17"/>
      <c r="GN17" s="40">
        <f>IF(FV17&gt;0,FV17,"")</f>
        <v>12.9</v>
      </c>
      <c r="GO17" s="40">
        <f>IF(FW17&gt;0,FW17,"")</f>
        <v>15.91</v>
      </c>
      <c r="GP17" s="40">
        <f>IF(SUM(FT17:FW17)-FX17&gt;0,SUM(FT17:FW17)-FX17,"")</f>
        <v>52.31</v>
      </c>
      <c r="GQ17" s="40">
        <f>IF(GA17&gt;0,GA17,"")</f>
        <v>12.9</v>
      </c>
      <c r="GR17" s="40">
        <f>IF(GB17&gt;0,GB17,"")</f>
        <v>15.75</v>
      </c>
      <c r="GS17" s="40">
        <f>IF(SUM(FY17:GB17)-GC17&gt;0,SUM(FY17:GB17)-GC17,"")</f>
        <v>50.75</v>
      </c>
      <c r="GT17" s="40">
        <f>IF(MAX(GP17,GS17)&gt;0,MAX(GP17,GS17),"")</f>
        <v>52.31</v>
      </c>
      <c r="GU17" s="40">
        <f>IF(GF17&gt;0,GF17,"")</f>
        <v>12.9</v>
      </c>
      <c r="GV17" s="40">
        <f>IF(GG17&gt;0,GG17,"")</f>
        <v>16.010000000000002</v>
      </c>
      <c r="GW17" s="40">
        <f>IF(SUM(GD17:GG17)-GH17&gt;0,SUM(GD17:GG17)-GH17,"")</f>
        <v>52.209999999999994</v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104.52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>
        <v>15.1</v>
      </c>
      <c r="MI17" s="18">
        <v>9.4</v>
      </c>
      <c r="MJ17" s="18">
        <v>3.3</v>
      </c>
      <c r="MK17" s="18">
        <v>16.18</v>
      </c>
      <c r="ML17" s="18">
        <v>0</v>
      </c>
      <c r="MM17" s="18">
        <v>2.8</v>
      </c>
      <c r="MN17" s="18">
        <v>1.8</v>
      </c>
      <c r="MO17" s="18">
        <v>3.3</v>
      </c>
      <c r="MP17" s="18">
        <v>3.38</v>
      </c>
      <c r="MQ17" s="18">
        <v>0</v>
      </c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>
        <f>IF(MJ17&gt;0,MJ17,"")</f>
        <v>3.3</v>
      </c>
      <c r="NC17" s="11">
        <f>IF(MK17&gt;0,MK17,"")</f>
        <v>16.18</v>
      </c>
      <c r="ND17" s="11">
        <f>IF(SUM(MH17:MK17)-ML17&gt;0,SUM(MH17:MK17)-ML17,"")</f>
        <v>43.980000000000004</v>
      </c>
      <c r="NE17" s="11">
        <f>IF(MO17&gt;0,MO17,"")</f>
        <v>3.3</v>
      </c>
      <c r="NF17" s="11">
        <f>IF(MP17&gt;0,MP17,"")</f>
        <v>3.38</v>
      </c>
      <c r="NG17" s="11">
        <f>IF(SUM(MM17:MP17)-MQ17&gt;0,SUM(MM17:MP17)-MQ17,"")</f>
        <v>11.28</v>
      </c>
      <c r="NH17" s="11">
        <f>IF(MAX(ND17,NG17)&gt;0,MAX(ND17,NG17),"")</f>
        <v>43.980000000000004</v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>
        <f>IF(SUM(NH17,NK17,NN17)&gt;0,SUM(NH17,NK17,NN17),"")</f>
        <v>43.980000000000004</v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12.4</v>
      </c>
      <c r="SW17" s="22">
        <f>IF($CP17="P",CB17,(CB17+BA17)/2)</f>
        <v>9.25</v>
      </c>
      <c r="SX17" s="22">
        <f>IF($CP17="P",CC17,(CC17+BB17)/2)</f>
        <v>12.899999999999999</v>
      </c>
      <c r="SY17" s="22">
        <f>IF($CP17="P",CD17,(CD17+BC17)/2)</f>
        <v>15.790000000000001</v>
      </c>
      <c r="SZ17" s="22">
        <f>IF($CP17="P",CE17,(CE17+BD17)/2)</f>
        <v>2.2000000000000002</v>
      </c>
      <c r="TA17" s="22">
        <f>IF($CP17="P",CF17,(CF17+BE17)/2)</f>
        <v>8.9499999999999993</v>
      </c>
      <c r="TB17" s="22">
        <f>IF($CP17="P",CG17,(CG17+BF17)/2)</f>
        <v>6.65</v>
      </c>
      <c r="TC17" s="22">
        <f>IF($CP17="P",CH17,(CH17+BG17)/2)</f>
        <v>8.6999999999999993</v>
      </c>
      <c r="TD17" s="22">
        <f>IF($CP17="P",CI17,(CI17+BH17)/2)</f>
        <v>11.255000000000001</v>
      </c>
      <c r="TE17" s="22">
        <f>IF($CP17="P",CJ17,(CJ17+BI17)/2)</f>
        <v>1.7</v>
      </c>
      <c r="TF17" s="22">
        <f>IF($CP17="P",CK17,(CK17+BJ17)/2)</f>
        <v>7.15</v>
      </c>
      <c r="TG17" s="22">
        <f>IF($CP17="P",CL17,(CL17+BK17)/2)</f>
        <v>4.5</v>
      </c>
      <c r="TH17" s="22">
        <f>IF($CP17="P",CM17,(CM17+BL17)/2)</f>
        <v>6.55</v>
      </c>
      <c r="TI17" s="22">
        <f>IF($CP17="P",CN17,(CN17+BM17)/2)</f>
        <v>7.79</v>
      </c>
      <c r="TJ17" s="22">
        <f>IF($CP17="P",CO17,(CO17+BN17)/2)</f>
        <v>0.7</v>
      </c>
      <c r="TK17" s="27" t="s">
        <v>46</v>
      </c>
      <c r="TL17" s="40">
        <f>IF(SX17&gt;0,SX17,"")</f>
        <v>12.899999999999999</v>
      </c>
      <c r="TM17" s="40">
        <f>IF(SY17&gt;0,SY17,"")</f>
        <v>15.790000000000001</v>
      </c>
      <c r="TN17" s="40">
        <f>IF(SUM(SV17:SY17)-SZ17&gt;0,SUM(SV17:SY17)-SZ17,"")</f>
        <v>48.139999999999993</v>
      </c>
      <c r="TO17" s="40">
        <f>IF(TC17&gt;0,TC17,"")</f>
        <v>8.6999999999999993</v>
      </c>
      <c r="TP17" s="40">
        <f>IF(TD17&gt;0,TD17,"")</f>
        <v>11.255000000000001</v>
      </c>
      <c r="TQ17" s="40">
        <f>IF(SUM(TA17:TD17)-TE17&gt;0,SUM(TA17:TD17)-TE17,"")</f>
        <v>33.854999999999997</v>
      </c>
      <c r="TR17" s="40">
        <f>IF(MAX(TN17,TQ17)&gt;0,MAX(TN17,TQ17),"")</f>
        <v>48.139999999999993</v>
      </c>
      <c r="TS17" s="40">
        <f>IF(TH17&gt;0,TH17,"")</f>
        <v>6.55</v>
      </c>
      <c r="TT17" s="40">
        <f>IF(TI17&gt;0,TI17,"")</f>
        <v>7.79</v>
      </c>
      <c r="TU17" s="40">
        <f>IF(SUM(TF17:TI17)-TJ17&gt;0,SUM(TF17:TI17)-TJ17,"")</f>
        <v>25.29</v>
      </c>
      <c r="TV17" s="40">
        <f>IF(SUM(TR17,TU17)&gt;0,SUM(TR17,TU17),"")</f>
        <v>73.429999999999993</v>
      </c>
    </row>
    <row r="18" spans="1:542" x14ac:dyDescent="0.2">
      <c r="A18" s="4" t="str" cm="1">
        <f t="array" ref="A18">IF(AND(J18&lt;&gt;"",J18&lt;&gt;"No DD"),SUMPRODUCT((J$4:J$26&lt;&gt;"")*(J$4:J$26&lt;&gt;"No DD")*(F$4:F$26&gt;F18))+1,IF(J18="No DD",SUMPRODUCT((J$4:J$26="No DD")*(F$4:F$26&gt;F18))+1+SUMPRODUCT((J$4:J$26&lt;&gt;"")*(J$4:J$26&lt;&gt;"No DD")),""))</f>
        <v/>
      </c>
      <c r="B18" s="4" t="str" cm="1">
        <f t="array" ref="B18">IF(AND(J18&lt;&gt;"",J18&lt;&gt;"No DD",G18=""),SUMPRODUCT((J$4:J$26&lt;&gt;"")*(J$4:J$26&lt;&gt;"No DD")*(G$4:G$26="")*(F$4:F$26&gt;F18))+1,IF(J18="No DD",SUMPRODUCT((J$4:J$26="No DD")*(F$4:F$26&gt;F18)*(G$4:G$26=""))+1+SUMPRODUCT((J$4:J$26&lt;&gt;"")*(G$4:G$26="")*(J$4:J$26&lt;&gt;"No DD")),""))</f>
        <v/>
      </c>
      <c r="C18" s="5" t="s">
        <v>136</v>
      </c>
      <c r="D18" s="4" t="s">
        <v>6</v>
      </c>
      <c r="E18" s="4">
        <v>2007</v>
      </c>
      <c r="F18" s="9">
        <f>SUM(L18:V18)+SUM(L18:T18)*0.0000001+SUM(L18)*0.0000000000001</f>
        <v>163.90001639000525</v>
      </c>
      <c r="G18" s="64"/>
      <c r="H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I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),"P","")</f>
        <v/>
      </c>
      <c r="J18" s="36" t="str">
        <f>IF(AND(I18="P",H18=""),"No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Excellence",IF(K18="P","Worlds Team",IF(H18="P","National Team","")))))</f>
        <v/>
      </c>
      <c r="K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P","")</f>
        <v/>
      </c>
      <c r="L18" s="8">
        <f>IF(COUNT(AQ18,AT18,BR18,BU18,CS18,CV18)&gt;0,LARGE((AQ18,AT18,BR18,BU18,CS18,CV18),1),0)</f>
        <v>52.32</v>
      </c>
      <c r="M18" s="8" t="str">
        <f>IF(L18="","",IF(OR(L18=CS18,L18=CV18),$CA$1,IF(OR(L18=BR18,L18=BU18),$AZ$1,IF(OR(L18=AQ18,L18=AT18),$Y$1,""))))</f>
        <v>2025 3rd Domestic Trial</v>
      </c>
      <c r="N18" s="8">
        <f>IF(COUNT(AQ18,AT18,BR18,BU18,CS18,CV18)&gt;1,LARGE((AQ18,AT18,BR18,BU18,CS18,CV18),2),0)</f>
        <v>47.24</v>
      </c>
      <c r="O18" s="8" t="str">
        <f>IF(N18="","",IF(OR(N18=CS18,N18=CV18),$CA$1,IF(OR(N18=BR18,N18=BU18),$AZ$1,IF(OR(N18=AQ18,N18=AT18),$Y$1,""))))</f>
        <v>2025 3rd Domestic Trial</v>
      </c>
      <c r="P18" s="8">
        <f>IF(COUNT(AQ18,AT18,BR18,BU18,CS18,CV18)&gt;2,MAX(AX18,BY18,CZ18,LARGE((AQ18,AT18,BR18,BU18,CS18,CV18),3)),IF(MAX(AX18,BY18,CZ18)&gt;0,MAX(AX18,BY18,CZ18),0))</f>
        <v>51.84</v>
      </c>
      <c r="Q18" s="8" t="str">
        <f>IF(P18="","",IF(P18=CZ18,$CA$1,IF(P18=BY18,$AZ$1,IF(P18=AX18,$Y$1,IF(OR(P18=CS18,P18=CV18,P18=CZ18),$CA$1,IF(OR(P18=BR18,P18=BU18,P18=BY18),$AZ$1,IF(OR(P18=AQ18,P18=AT18,P18=AX18),$Y$1,"")))))))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Nationals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5</v>
      </c>
      <c r="BA18" s="26">
        <v>2.6</v>
      </c>
      <c r="BB18" s="26">
        <v>3.8</v>
      </c>
      <c r="BC18" s="26">
        <v>5.0999999999999996</v>
      </c>
      <c r="BD18" s="26">
        <v>0</v>
      </c>
      <c r="BE18" s="26">
        <v>5.2</v>
      </c>
      <c r="BF18" s="26">
        <v>2.8</v>
      </c>
      <c r="BG18" s="26">
        <v>3.8</v>
      </c>
      <c r="BH18" s="26">
        <v>5</v>
      </c>
      <c r="BI18" s="26">
        <v>0</v>
      </c>
      <c r="BJ18" s="26">
        <v>15.8</v>
      </c>
      <c r="BK18" s="26">
        <v>8.6999999999999993</v>
      </c>
      <c r="BL18" s="26">
        <v>12.5</v>
      </c>
      <c r="BM18" s="26">
        <v>14.84</v>
      </c>
      <c r="BN18" s="26">
        <v>0</v>
      </c>
      <c r="BO18" s="28"/>
      <c r="BP18" s="39">
        <f>IF(BB18&gt;0,BB18,"")</f>
        <v>3.8</v>
      </c>
      <c r="BQ18" s="39">
        <f>IF(BC18&gt;0,BC18,"")</f>
        <v>5.0999999999999996</v>
      </c>
      <c r="BR18" s="11">
        <f>IF(SUM(AZ18:BC18)-BD18&gt;0,SUM(AZ18:BC18)-BD18,"")</f>
        <v>16.5</v>
      </c>
      <c r="BS18" s="11">
        <f>IF(BG18&gt;0,BG18,"")</f>
        <v>3.8</v>
      </c>
      <c r="BT18" s="11">
        <f>IF(BH18&gt;0,BH18,"")</f>
        <v>5</v>
      </c>
      <c r="BU18" s="11">
        <f>IF(SUM(BE18:BH18)-BI18&gt;0,SUM(BE18:BH18)-BI18,"")</f>
        <v>16.8</v>
      </c>
      <c r="BV18" s="11">
        <f>IF(BR18="","",MAX(BR18,BU18))</f>
        <v>16.8</v>
      </c>
      <c r="BW18" s="11">
        <f>IF(BL18&gt;0,BL18,"")</f>
        <v>12.5</v>
      </c>
      <c r="BX18" s="11">
        <f>IF(BM18&gt;0,BM18,"")</f>
        <v>14.84</v>
      </c>
      <c r="BY18" s="11">
        <f>IF(SUM(BJ18:BM18)-BN18&gt;0,SUM(BJ18:BM18)-BN18,"")</f>
        <v>51.84</v>
      </c>
      <c r="BZ18" s="11">
        <f>IF(SUM(BV18,BY18)&gt;0,SUM(BV18,BY18),"")</f>
        <v>68.64</v>
      </c>
      <c r="CA18" s="22">
        <v>15.9</v>
      </c>
      <c r="CB18" s="22">
        <v>8.5</v>
      </c>
      <c r="CC18" s="22">
        <v>12</v>
      </c>
      <c r="CD18" s="22">
        <v>16.22</v>
      </c>
      <c r="CE18" s="22">
        <v>0.3</v>
      </c>
      <c r="CF18" s="22">
        <v>14.3</v>
      </c>
      <c r="CG18" s="22">
        <v>7.9</v>
      </c>
      <c r="CH18" s="22">
        <v>10.3</v>
      </c>
      <c r="CI18" s="22">
        <v>14.74</v>
      </c>
      <c r="CJ18" s="22">
        <v>0</v>
      </c>
      <c r="CK18" s="22">
        <v>9.6999999999999993</v>
      </c>
      <c r="CL18" s="22">
        <v>5.2</v>
      </c>
      <c r="CM18" s="22">
        <v>7.3</v>
      </c>
      <c r="CN18" s="22">
        <v>9.98</v>
      </c>
      <c r="CO18" s="22">
        <v>0</v>
      </c>
      <c r="CP18" s="27"/>
      <c r="CQ18" s="38">
        <f>IF(CC18&gt;0,CC18,"")</f>
        <v>12</v>
      </c>
      <c r="CR18" s="38">
        <f>IF(CD18&gt;0,CD18,"")</f>
        <v>16.22</v>
      </c>
      <c r="CS18" s="40">
        <f>IF(SUM(CA18:CD18)-CE18&gt;0,SUM(CA18:CD18)-CE18,"")</f>
        <v>52.32</v>
      </c>
      <c r="CT18" s="40">
        <f>IF(CH18&gt;0,CH18,"")</f>
        <v>10.3</v>
      </c>
      <c r="CU18" s="40">
        <f>IF(CI18&gt;0,CI18,"")</f>
        <v>14.74</v>
      </c>
      <c r="CV18" s="40">
        <f>IF(SUM(CF18:CI18)-CJ18&gt;0,SUM(CF18:CI18)-CJ18,"")</f>
        <v>47.24</v>
      </c>
      <c r="CW18" s="40">
        <f>IF(CS18="","",MAX(CS18,CV18))</f>
        <v>52.32</v>
      </c>
      <c r="CX18" s="40">
        <f>IF(CM18&gt;0,CM18,"")</f>
        <v>7.3</v>
      </c>
      <c r="CY18" s="40">
        <f>IF(CN18&gt;0,CN18,"")</f>
        <v>9.98</v>
      </c>
      <c r="CZ18" s="40">
        <f>IF(SUM(CK18:CN18)-CO18&gt;0,SUM(CK18:CN18)-CO18,"")</f>
        <v>32.18</v>
      </c>
      <c r="DA18" s="40">
        <f>IF(SUM(CW18,CZ18)&gt;0,SUM(CW18,CZ18),"")</f>
        <v>84.5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10.45</v>
      </c>
      <c r="SW18" s="22">
        <f>IF($CP18="P",CB18,(CB18+BA18)/2)</f>
        <v>5.55</v>
      </c>
      <c r="SX18" s="22">
        <f>IF($CP18="P",CC18,(CC18+BB18)/2)</f>
        <v>7.9</v>
      </c>
      <c r="SY18" s="22">
        <f>IF($CP18="P",CD18,(CD18+BC18)/2)</f>
        <v>10.66</v>
      </c>
      <c r="SZ18" s="22">
        <f>IF($CP18="P",CE18,(CE18+BD18)/2)</f>
        <v>0.15</v>
      </c>
      <c r="TA18" s="22">
        <f>IF($CP18="P",CF18,(CF18+BE18)/2)</f>
        <v>9.75</v>
      </c>
      <c r="TB18" s="22">
        <f>IF($CP18="P",CG18,(CG18+BF18)/2)</f>
        <v>5.35</v>
      </c>
      <c r="TC18" s="22">
        <f>IF($CP18="P",CH18,(CH18+BG18)/2)</f>
        <v>7.0500000000000007</v>
      </c>
      <c r="TD18" s="22">
        <f>IF($CP18="P",CI18,(CI18+BH18)/2)</f>
        <v>9.870000000000001</v>
      </c>
      <c r="TE18" s="22">
        <f>IF($CP18="P",CJ18,(CJ18+BI18)/2)</f>
        <v>0</v>
      </c>
      <c r="TF18" s="22">
        <f>IF($CP18="P",CK18,(CK18+BJ18)/2)</f>
        <v>12.75</v>
      </c>
      <c r="TG18" s="22">
        <f>IF($CP18="P",CL18,(CL18+BK18)/2)</f>
        <v>6.9499999999999993</v>
      </c>
      <c r="TH18" s="22">
        <f>IF($CP18="P",CM18,(CM18+BL18)/2)</f>
        <v>9.9</v>
      </c>
      <c r="TI18" s="22">
        <f>IF($CP18="P",CN18,(CN18+BM18)/2)</f>
        <v>12.41</v>
      </c>
      <c r="TJ18" s="22">
        <f>IF($CP18="P",CO18,(CO18+BN18)/2)</f>
        <v>0</v>
      </c>
      <c r="TK18" s="27" t="s">
        <v>46</v>
      </c>
      <c r="TL18" s="40">
        <f>IF(SX18&gt;0,SX18,"")</f>
        <v>7.9</v>
      </c>
      <c r="TM18" s="40">
        <f>IF(SY18&gt;0,SY18,"")</f>
        <v>10.66</v>
      </c>
      <c r="TN18" s="40">
        <f>IF(SUM(SV18:SY18)-SZ18&gt;0,SUM(SV18:SY18)-SZ18,"")</f>
        <v>34.410000000000004</v>
      </c>
      <c r="TO18" s="40">
        <f>IF(TC18&gt;0,TC18,"")</f>
        <v>7.0500000000000007</v>
      </c>
      <c r="TP18" s="40">
        <f>IF(TD18&gt;0,TD18,"")</f>
        <v>9.870000000000001</v>
      </c>
      <c r="TQ18" s="40">
        <f>IF(SUM(TA18:TD18)-TE18&gt;0,SUM(TA18:TD18)-TE18,"")</f>
        <v>32.019999999999996</v>
      </c>
      <c r="TR18" s="40">
        <f>IF(MAX(TN18,TQ18)&gt;0,MAX(TN18,TQ18),"")</f>
        <v>34.410000000000004</v>
      </c>
      <c r="TS18" s="40">
        <f>IF(TH18&gt;0,TH18,"")</f>
        <v>9.9</v>
      </c>
      <c r="TT18" s="40">
        <f>IF(TI18&gt;0,TI18,"")</f>
        <v>12.41</v>
      </c>
      <c r="TU18" s="40">
        <f>IF(SUM(TF18:TI18)-TJ18&gt;0,SUM(TF18:TI18)-TJ18,"")</f>
        <v>42.010000000000005</v>
      </c>
      <c r="TV18" s="40">
        <f>IF(SUM(TR18,TU18)&gt;0,SUM(TR18,TU18),"")</f>
        <v>76.420000000000016</v>
      </c>
    </row>
    <row r="19" spans="1:542" x14ac:dyDescent="0.2">
      <c r="A19" s="4" t="str" cm="1">
        <f t="array" ref="A19">IF(AND(J19&lt;&gt;"",J19&lt;&gt;"No DD"),SUMPRODUCT((J$4:J$26&lt;&gt;"")*(J$4:J$26&lt;&gt;"No DD")*(F$4:F$26&gt;F19))+1,IF(J19="No DD",SUMPRODUCT((J$4:J$26="No DD")*(F$4:F$26&gt;F19))+1+SUMPRODUCT((J$4:J$26&lt;&gt;"")*(J$4:J$26&lt;&gt;"No DD")),""))</f>
        <v/>
      </c>
      <c r="B19" s="4" t="str" cm="1">
        <f t="array" ref="B19">IF(AND(J19&lt;&gt;"",J19&lt;&gt;"No DD",G19=""),SUMPRODUCT((J$4:J$26&lt;&gt;"")*(J$4:J$26&lt;&gt;"No DD")*(G$4:G$26="")*(F$4:F$26&gt;F19))+1,IF(J19="No DD",SUMPRODUCT((J$4:J$26="No DD")*(F$4:F$26&gt;F19)*(G$4:G$26=""))+1+SUMPRODUCT((J$4:J$26&lt;&gt;"")*(G$4:G$26="")*(J$4:J$26&lt;&gt;"No DD")),""))</f>
        <v/>
      </c>
      <c r="C19" s="5" t="s">
        <v>107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I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),"P","")</f>
        <v/>
      </c>
      <c r="J19" s="36" t="str">
        <f>IF(AND(I19="P",H19=""),"No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Excellence",IF(K19="P","Worlds Team",IF(H19="P","National Team","")))))</f>
        <v/>
      </c>
      <c r="K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11.6</v>
      </c>
      <c r="Z19" s="22">
        <v>9.1</v>
      </c>
      <c r="AA19" s="22">
        <v>14.1</v>
      </c>
      <c r="AB19" s="22">
        <v>14.15</v>
      </c>
      <c r="AC19" s="22">
        <v>0</v>
      </c>
      <c r="AD19" s="22">
        <v>1</v>
      </c>
      <c r="AE19" s="22">
        <v>0.8</v>
      </c>
      <c r="AF19" s="22">
        <v>2</v>
      </c>
      <c r="AG19" s="22">
        <v>1.6</v>
      </c>
      <c r="AH19" s="22">
        <v>0</v>
      </c>
      <c r="AI19" s="22">
        <v>12.4</v>
      </c>
      <c r="AJ19" s="22">
        <v>9.4</v>
      </c>
      <c r="AK19" s="22">
        <v>12.7</v>
      </c>
      <c r="AL19" s="22">
        <v>14.41</v>
      </c>
      <c r="AM19" s="22">
        <v>0</v>
      </c>
      <c r="AN19" s="27"/>
      <c r="AO19" s="38">
        <f>IF(AA19&gt;0,AA19,"")</f>
        <v>14.1</v>
      </c>
      <c r="AP19" s="38">
        <f>IF(AB19&gt;0,AB19,"")</f>
        <v>14.15</v>
      </c>
      <c r="AQ19" s="40">
        <f>IF(SUM(Y19:AB19)-AC19&gt;0,SUM(Y19:AB19)-AC19,"")</f>
        <v>48.949999999999996</v>
      </c>
      <c r="AR19" s="40">
        <f>IF(AF19&gt;0,AF19,"")</f>
        <v>2</v>
      </c>
      <c r="AS19" s="40">
        <f>IF(AG19&gt;0,AG19,"")</f>
        <v>1.6</v>
      </c>
      <c r="AT19" s="40">
        <f>IF(SUM(AD19:AG19)-AH19&gt;0,SUM(AD19:AG19)-AH19,"")</f>
        <v>5.4</v>
      </c>
      <c r="AU19" s="40">
        <f>IF(AQ19="","",MAX(AQ19,AT19))</f>
        <v>48.949999999999996</v>
      </c>
      <c r="AV19" s="40">
        <f>IF(AK19&gt;0,AK19,"")</f>
        <v>12.7</v>
      </c>
      <c r="AW19" s="40">
        <f>IF(AL19&gt;0,AL19,"")</f>
        <v>14.41</v>
      </c>
      <c r="AX19" s="40">
        <f>IF(SUM(AI19:AL19)-AM19&gt;0,SUM(AI19:AL19)-AM19,"")</f>
        <v>48.91</v>
      </c>
      <c r="AY19" s="40">
        <f>IF(SUM(AU19,AX19)&gt;0,SUM(AU19,AX19),"")</f>
        <v>97.859999999999985</v>
      </c>
      <c r="AZ19" s="26">
        <v>11.9</v>
      </c>
      <c r="BA19" s="26">
        <v>8.5</v>
      </c>
      <c r="BB19" s="26">
        <v>11.3</v>
      </c>
      <c r="BC19" s="26">
        <v>14.57</v>
      </c>
      <c r="BD19" s="26">
        <v>1</v>
      </c>
      <c r="BE19" s="26">
        <v>1.2</v>
      </c>
      <c r="BF19" s="26">
        <v>0.8</v>
      </c>
      <c r="BG19" s="26">
        <v>1.7</v>
      </c>
      <c r="BH19" s="26">
        <v>1.67</v>
      </c>
      <c r="BI19" s="26">
        <v>0</v>
      </c>
      <c r="BJ19" s="26">
        <v>11.8</v>
      </c>
      <c r="BK19" s="26">
        <v>8.3000000000000007</v>
      </c>
      <c r="BL19" s="26">
        <v>14.1</v>
      </c>
      <c r="BM19" s="26">
        <v>14.52</v>
      </c>
      <c r="BN19" s="26">
        <v>0</v>
      </c>
      <c r="BO19" s="28"/>
      <c r="BP19" s="39">
        <f>IF(BB19&gt;0,BB19,"")</f>
        <v>11.3</v>
      </c>
      <c r="BQ19" s="39">
        <f>IF(BC19&gt;0,BC19,"")</f>
        <v>14.57</v>
      </c>
      <c r="BR19" s="11">
        <f>IF(SUM(AZ19:BC19)-BD19&gt;0,SUM(AZ19:BC19)-BD19,"")</f>
        <v>45.269999999999996</v>
      </c>
      <c r="BS19" s="11">
        <f>IF(BG19&gt;0,BG19,"")</f>
        <v>1.7</v>
      </c>
      <c r="BT19" s="11">
        <f>IF(BH19&gt;0,BH19,"")</f>
        <v>1.67</v>
      </c>
      <c r="BU19" s="11">
        <f>IF(SUM(BE19:BH19)-BI19&gt;0,SUM(BE19:BH19)-BI19,"")</f>
        <v>5.37</v>
      </c>
      <c r="BV19" s="11">
        <f>IF(BR19="","",MAX(BR19,BU19))</f>
        <v>45.269999999999996</v>
      </c>
      <c r="BW19" s="11">
        <f>IF(BL19&gt;0,BL19,"")</f>
        <v>14.1</v>
      </c>
      <c r="BX19" s="11">
        <f>IF(BM19&gt;0,BM19,"")</f>
        <v>14.52</v>
      </c>
      <c r="BY19" s="11">
        <f>IF(SUM(BJ19:BM19)-BN19&gt;0,SUM(BJ19:BM19)-BN19,"")</f>
        <v>48.72</v>
      </c>
      <c r="BZ19" s="11">
        <f>IF(SUM(BV19,BY19)&gt;0,SUM(BV19,BY19),"")</f>
        <v>93.99</v>
      </c>
      <c r="CA19" s="22">
        <v>1.4</v>
      </c>
      <c r="CB19" s="22">
        <v>1</v>
      </c>
      <c r="CC19" s="22">
        <v>1.7</v>
      </c>
      <c r="CD19" s="22">
        <v>1.73</v>
      </c>
      <c r="CE19" s="22">
        <v>0.2</v>
      </c>
      <c r="CF19" s="22">
        <v>11.4</v>
      </c>
      <c r="CG19" s="22">
        <v>9.1</v>
      </c>
      <c r="CH19" s="22">
        <v>8.1999999999999993</v>
      </c>
      <c r="CI19" s="22">
        <v>15.08</v>
      </c>
      <c r="CJ19" s="22">
        <v>4.3</v>
      </c>
      <c r="CK19" s="22">
        <v>1.3</v>
      </c>
      <c r="CL19" s="22">
        <v>0.9</v>
      </c>
      <c r="CM19" s="22">
        <v>1.7</v>
      </c>
      <c r="CN19" s="22">
        <v>1.68</v>
      </c>
      <c r="CO19" s="22">
        <v>0.2</v>
      </c>
      <c r="CP19" s="27"/>
      <c r="CQ19" s="38">
        <f>IF(CC19&gt;0,CC19,"")</f>
        <v>1.7</v>
      </c>
      <c r="CR19" s="38">
        <f>IF(CD19&gt;0,CD19,"")</f>
        <v>1.73</v>
      </c>
      <c r="CS19" s="40">
        <f>IF(SUM(CA19:CD19)-CE19&gt;0,SUM(CA19:CD19)-CE19,"")</f>
        <v>5.63</v>
      </c>
      <c r="CT19" s="40">
        <f>IF(CH19&gt;0,CH19,"")</f>
        <v>8.1999999999999993</v>
      </c>
      <c r="CU19" s="40">
        <f>IF(CI19&gt;0,CI19,"")</f>
        <v>15.08</v>
      </c>
      <c r="CV19" s="40">
        <f>IF(SUM(CF19:CI19)-CJ19&gt;0,SUM(CF19:CI19)-CJ19,"")</f>
        <v>39.480000000000004</v>
      </c>
      <c r="CW19" s="40">
        <f>IF(CS19="","",MAX(CS19,CV19))</f>
        <v>39.480000000000004</v>
      </c>
      <c r="CX19" s="40">
        <f>IF(CM19&gt;0,CM19,"")</f>
        <v>1.7</v>
      </c>
      <c r="CY19" s="40">
        <f>IF(CN19&gt;0,CN19,"")</f>
        <v>1.68</v>
      </c>
      <c r="CZ19" s="40">
        <f>IF(SUM(CK19:CN19)-CO19&gt;0,SUM(CK19:CN19)-CO19,"")</f>
        <v>5.38</v>
      </c>
      <c r="DA19" s="40">
        <f>IF(SUM(CW19,CZ19)&gt;0,SUM(CW19,CZ19),"")</f>
        <v>44.860000000000007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6.65</v>
      </c>
      <c r="SW19" s="22">
        <f>IF($CP19="P",CB19,(CB19+BA19)/2)</f>
        <v>4.75</v>
      </c>
      <c r="SX19" s="22">
        <f>IF($CP19="P",CC19,(CC19+BB19)/2)</f>
        <v>6.5</v>
      </c>
      <c r="SY19" s="22">
        <f>IF($CP19="P",CD19,(CD19+BC19)/2)</f>
        <v>8.15</v>
      </c>
      <c r="SZ19" s="22">
        <f>IF($CP19="P",CE19,(CE19+BD19)/2)</f>
        <v>0.6</v>
      </c>
      <c r="TA19" s="22">
        <f>IF($CP19="P",CF19,(CF19+BE19)/2)</f>
        <v>6.3</v>
      </c>
      <c r="TB19" s="22">
        <f>IF($CP19="P",CG19,(CG19+BF19)/2)</f>
        <v>4.95</v>
      </c>
      <c r="TC19" s="22">
        <f>IF($CP19="P",CH19,(CH19+BG19)/2)</f>
        <v>4.9499999999999993</v>
      </c>
      <c r="TD19" s="22">
        <f>IF($CP19="P",CI19,(CI19+BH19)/2)</f>
        <v>8.375</v>
      </c>
      <c r="TE19" s="22">
        <f>IF($CP19="P",CJ19,(CJ19+BI19)/2)</f>
        <v>2.15</v>
      </c>
      <c r="TF19" s="22">
        <f>IF($CP19="P",CK19,(CK19+BJ19)/2)</f>
        <v>6.5500000000000007</v>
      </c>
      <c r="TG19" s="22">
        <f>IF($CP19="P",CL19,(CL19+BK19)/2)</f>
        <v>4.6000000000000005</v>
      </c>
      <c r="TH19" s="22">
        <f>IF($CP19="P",CM19,(CM19+BL19)/2)</f>
        <v>7.8999999999999995</v>
      </c>
      <c r="TI19" s="22">
        <f>IF($CP19="P",CN19,(CN19+BM19)/2)</f>
        <v>8.1</v>
      </c>
      <c r="TJ19" s="22">
        <f>IF($CP19="P",CO19,(CO19+BN19)/2)</f>
        <v>0.1</v>
      </c>
      <c r="TK19" s="27" t="s">
        <v>46</v>
      </c>
      <c r="TL19" s="40">
        <f>IF(SX19&gt;0,SX19,"")</f>
        <v>6.5</v>
      </c>
      <c r="TM19" s="40">
        <f>IF(SY19&gt;0,SY19,"")</f>
        <v>8.15</v>
      </c>
      <c r="TN19" s="40">
        <f>IF(SUM(SV19:SY19)-SZ19&gt;0,SUM(SV19:SY19)-SZ19,"")</f>
        <v>25.449999999999996</v>
      </c>
      <c r="TO19" s="40">
        <f>IF(TC19&gt;0,TC19,"")</f>
        <v>4.9499999999999993</v>
      </c>
      <c r="TP19" s="40">
        <f>IF(TD19&gt;0,TD19,"")</f>
        <v>8.375</v>
      </c>
      <c r="TQ19" s="40">
        <f>IF(SUM(TA19:TD19)-TE19&gt;0,SUM(TA19:TD19)-TE19,"")</f>
        <v>22.425000000000001</v>
      </c>
      <c r="TR19" s="40">
        <f>IF(MAX(TN19,TQ19)&gt;0,MAX(TN19,TQ19),"")</f>
        <v>25.449999999999996</v>
      </c>
      <c r="TS19" s="40">
        <f>IF(TH19&gt;0,TH19,"")</f>
        <v>7.8999999999999995</v>
      </c>
      <c r="TT19" s="40">
        <f>IF(TI19&gt;0,TI19,"")</f>
        <v>8.1</v>
      </c>
      <c r="TU19" s="40">
        <f>IF(SUM(TF19:TI19)-TJ19&gt;0,SUM(TF19:TI19)-TJ19,"")</f>
        <v>27.049999999999997</v>
      </c>
      <c r="TV19" s="40">
        <f>IF(SUM(TR19,TU19)&gt;0,SUM(TR19,TU19),"")</f>
        <v>52.499999999999993</v>
      </c>
    </row>
    <row r="20" spans="1:542" x14ac:dyDescent="0.2">
      <c r="A20" s="4" t="str" cm="1">
        <f t="array" ref="A20">IF(AND(J20&lt;&gt;"",J20&lt;&gt;"No DD"),SUMPRODUCT((J$4:J$26&lt;&gt;"")*(J$4:J$26&lt;&gt;"No DD")*(F$4:F$26&gt;F20))+1,IF(J20="No DD",SUMPRODUCT((J$4:J$26="No DD")*(F$4:F$26&gt;F20))+1+SUMPRODUCT((J$4:J$26&lt;&gt;"")*(J$4:J$26&lt;&gt;"No DD")),""))</f>
        <v/>
      </c>
      <c r="B20" s="4" t="str" cm="1">
        <f t="array" ref="B20">IF(AND(J20&lt;&gt;"",J20&lt;&gt;"No DD",G20=""),SUMPRODUCT((J$4:J$26&lt;&gt;"")*(J$4:J$26&lt;&gt;"No DD")*(G$4:G$26="")*(F$4:F$26&gt;F20))+1,IF(J20="No DD",SUMPRODUCT((J$4:J$26="No DD")*(F$4:F$26&gt;F20)*(G$4:G$26=""))+1+SUMPRODUCT((J$4:J$26&lt;&gt;"")*(G$4:G$26="")*(J$4:J$26&lt;&gt;"No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I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),"P","")</f>
        <v/>
      </c>
      <c r="J20" s="36" t="str">
        <f>IF(AND(I20="P",H20=""),"No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Excellence",IF(K20="P","Worlds Team",IF(H20="P","National Team","")))))</f>
        <v/>
      </c>
      <c r="K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6.75</v>
      </c>
      <c r="SW20" s="22">
        <f>IF($CP20="P",CB20,(CB20+BA20)/2)</f>
        <v>4.75</v>
      </c>
      <c r="SX20" s="22">
        <f>IF($CP20="P",CC20,(CC20+BB20)/2)</f>
        <v>7.3</v>
      </c>
      <c r="SY20" s="22">
        <f>IF($CP20="P",CD20,(CD20+BC20)/2)</f>
        <v>7.5049999999999999</v>
      </c>
      <c r="SZ20" s="22">
        <f>IF($CP20="P",CE20,(CE20+BD20)/2)</f>
        <v>0</v>
      </c>
      <c r="TA20" s="22">
        <f>IF($CP20="P",CF20,(CF20+BE20)/2)</f>
        <v>0.65</v>
      </c>
      <c r="TB20" s="22">
        <f>IF($CP20="P",CG20,(CG20+BF20)/2)</f>
        <v>0.45</v>
      </c>
      <c r="TC20" s="22">
        <f>IF($CP20="P",CH20,(CH20+BG20)/2)</f>
        <v>1</v>
      </c>
      <c r="TD20" s="22">
        <f>IF($CP20="P",CI20,(CI20+BH20)/2)</f>
        <v>0.82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7.3</v>
      </c>
      <c r="TM20" s="40">
        <f>IF(SY20&gt;0,SY20,"")</f>
        <v>7.5049999999999999</v>
      </c>
      <c r="TN20" s="40">
        <f>IF(SUM(SV20:SY20)-SZ20&gt;0,SUM(SV20:SY20)-SZ20,"")</f>
        <v>26.305</v>
      </c>
      <c r="TO20" s="40">
        <f>IF(TC20&gt;0,TC20,"")</f>
        <v>1</v>
      </c>
      <c r="TP20" s="40">
        <f>IF(TD20&gt;0,TD20,"")</f>
        <v>0.82</v>
      </c>
      <c r="TQ20" s="40">
        <f>IF(SUM(TA20:TD20)-TE20&gt;0,SUM(TA20:TD20)-TE20,"")</f>
        <v>2.92</v>
      </c>
      <c r="TR20" s="40">
        <f>IF(MAX(TN20,TQ20)&gt;0,MAX(TN20,TQ20),"")</f>
        <v>26.305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52.730000000000004</v>
      </c>
    </row>
    <row r="21" spans="1:542" x14ac:dyDescent="0.2">
      <c r="A21" s="4" t="str" cm="1">
        <f t="array" ref="A21">IF(AND(J21&lt;&gt;"",J21&lt;&gt;"No DD"),SUMPRODUCT((J$4:J$26&lt;&gt;"")*(J$4:J$26&lt;&gt;"No DD")*(F$4:F$26&gt;F21))+1,IF(J21="No DD",SUMPRODUCT((J$4:J$26="No DD")*(F$4:F$26&gt;F21))+1+SUMPRODUCT((J$4:J$26&lt;&gt;"")*(J$4:J$26&lt;&gt;"No DD")),""))</f>
        <v/>
      </c>
      <c r="B21" s="4" t="str" cm="1">
        <f t="array" ref="B21">IF(AND(J21&lt;&gt;"",J21&lt;&gt;"No DD",G21=""),SUMPRODUCT((J$4:J$26&lt;&gt;"")*(J$4:J$26&lt;&gt;"No DD")*(G$4:G$26="")*(F$4:F$26&gt;F21))+1,IF(J21="No DD",SUMPRODUCT((J$4:J$26="No DD")*(F$4:F$26&gt;F21)*(G$4:G$26=""))+1+SUMPRODUCT((J$4:J$26&lt;&gt;"")*(G$4:G$26="")*(J$4:J$26&lt;&gt;"No DD")),""))</f>
        <v/>
      </c>
      <c r="C21" s="5" t="s">
        <v>108</v>
      </c>
      <c r="D21" s="4" t="s">
        <v>6</v>
      </c>
      <c r="E21" s="4">
        <v>2004</v>
      </c>
      <c r="F21" s="9">
        <f>SUM(L21:V21)+SUM(L21:T21)*0.0000001+SUM(L21)*0.0000000000001</f>
        <v>142.64001426400438</v>
      </c>
      <c r="G21" s="64"/>
      <c r="H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I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),"P","")</f>
        <v/>
      </c>
      <c r="J21" s="36" t="str">
        <f>IF(AND(I21="P",H21=""),"No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Excellence",IF(K21="P","Worlds Team",IF(H21="P","National Team","")))))</f>
        <v/>
      </c>
      <c r="K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P","")</f>
        <v/>
      </c>
      <c r="L21" s="8">
        <f>IF(COUNT(AQ21,AT21,BR21,BU21,CS21,CV21)&gt;0,LARGE((AQ21,AT21,BR21,BU21,CS21,CV21),1),0)</f>
        <v>43.96</v>
      </c>
      <c r="M21" s="8" t="str">
        <f>IF(L21="","",IF(OR(L21=CS21,L21=CV21),$CA$1,IF(OR(L21=BR21,L21=BU21),$AZ$1,IF(OR(L21=AQ21,L21=AT21),$Y$1,""))))</f>
        <v>2025 Elite Canada</v>
      </c>
      <c r="N21" s="8">
        <f>IF(COUNT(AQ21,AT21,BR21,BU21,CS21,CV21)&gt;1,LARGE((AQ21,AT21,BR21,BU21,CS21,CV21),2),0)</f>
        <v>36.6</v>
      </c>
      <c r="O21" s="8" t="str">
        <f>IF(N21="","",IF(OR(N21=CS21,N21=CV21),$CA$1,IF(OR(N21=BR21,N21=BU21),$AZ$1,IF(OR(N21=AQ21,N21=AT21),$Y$1,""))))</f>
        <v>2025 Elite Canada</v>
      </c>
      <c r="P21" s="8">
        <f>IF(COUNT(AQ21,AT21,BR21,BU21,CS21,CV21)&gt;2,MAX(AX21,BY21,CZ21,LARGE((AQ21,AT21,BR21,BU21,CS21,CV21),3)),IF(MAX(AX21,BY21,CZ21)&gt;0,MAX(AX21,BY21,CZ21),0))</f>
        <v>49.88</v>
      </c>
      <c r="Q21" s="8" t="str">
        <f>IF(P21="","",IF(P21=CZ21,$CA$1,IF(P21=BY21,$AZ$1,IF(P21=AX21,$Y$1,IF(OR(P21=CS21,P21=CV21,P21=CZ21),$CA$1,IF(OR(P21=BR21,P21=BU21,P21=BY21),$AZ$1,IF(OR(P21=AQ21,P21=AT21,P21=AX21),$Y$1,"")))))))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2025 3rd Domestic Trial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13.4</v>
      </c>
      <c r="Z21" s="22">
        <v>8.8000000000000007</v>
      </c>
      <c r="AA21" s="22">
        <v>9.9</v>
      </c>
      <c r="AB21" s="22">
        <v>14.26</v>
      </c>
      <c r="AC21" s="22">
        <v>2.4</v>
      </c>
      <c r="AD21" s="22">
        <v>9.6</v>
      </c>
      <c r="AE21" s="22">
        <v>6.4</v>
      </c>
      <c r="AF21" s="22">
        <v>9.6999999999999993</v>
      </c>
      <c r="AG21" s="22">
        <v>10.9</v>
      </c>
      <c r="AH21" s="22">
        <v>0</v>
      </c>
      <c r="AI21" s="22">
        <v>13.8</v>
      </c>
      <c r="AJ21" s="22">
        <v>8.4</v>
      </c>
      <c r="AK21" s="22">
        <v>11.5</v>
      </c>
      <c r="AL21" s="22">
        <v>15.18</v>
      </c>
      <c r="AM21" s="22">
        <v>0.8</v>
      </c>
      <c r="AN21" s="27"/>
      <c r="AO21" s="38">
        <f>IF(AA21&gt;0,AA21,"")</f>
        <v>9.9</v>
      </c>
      <c r="AP21" s="38">
        <f>IF(AB21&gt;0,AB21,"")</f>
        <v>14.26</v>
      </c>
      <c r="AQ21" s="40">
        <f>IF(SUM(Y21:AB21)-AC21&gt;0,SUM(Y21:AB21)-AC21,"")</f>
        <v>43.96</v>
      </c>
      <c r="AR21" s="40">
        <f>IF(AF21&gt;0,AF21,"")</f>
        <v>9.6999999999999993</v>
      </c>
      <c r="AS21" s="40">
        <f>IF(AG21&gt;0,AG21,"")</f>
        <v>10.9</v>
      </c>
      <c r="AT21" s="40">
        <f>IF(SUM(AD21:AG21)-AH21&gt;0,SUM(AD21:AG21)-AH21,"")</f>
        <v>36.6</v>
      </c>
      <c r="AU21" s="40">
        <f>IF(AQ21="","",MAX(AQ21,AT21))</f>
        <v>43.96</v>
      </c>
      <c r="AV21" s="40">
        <f>IF(AK21&gt;0,AK21,"")</f>
        <v>11.5</v>
      </c>
      <c r="AW21" s="40">
        <f>IF(AL21&gt;0,AL21,"")</f>
        <v>15.18</v>
      </c>
      <c r="AX21" s="40">
        <f>IF(SUM(AI21:AL21)-AM21&gt;0,SUM(AI21:AL21)-AM21,"")</f>
        <v>48.080000000000005</v>
      </c>
      <c r="AY21" s="40">
        <f>IF(SUM(AU21,AX21)&gt;0,SUM(AU21,AX21),"")</f>
        <v>92.04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9.5</v>
      </c>
      <c r="CB21" s="22">
        <v>5.9</v>
      </c>
      <c r="CC21" s="22">
        <v>9.6999999999999993</v>
      </c>
      <c r="CD21" s="22">
        <v>11.28</v>
      </c>
      <c r="CE21" s="22">
        <v>0</v>
      </c>
      <c r="CF21" s="22">
        <v>5.7</v>
      </c>
      <c r="CG21" s="22">
        <v>3.5</v>
      </c>
      <c r="CH21" s="22">
        <v>5.9</v>
      </c>
      <c r="CI21" s="22">
        <v>6.42</v>
      </c>
      <c r="CJ21" s="22">
        <v>0</v>
      </c>
      <c r="CK21" s="22">
        <v>13.5</v>
      </c>
      <c r="CL21" s="22">
        <v>8.8000000000000007</v>
      </c>
      <c r="CM21" s="22">
        <v>12.2</v>
      </c>
      <c r="CN21" s="22">
        <v>15.48</v>
      </c>
      <c r="CO21" s="22">
        <v>0.1</v>
      </c>
      <c r="CP21" s="27"/>
      <c r="CQ21" s="38">
        <f>IF(CC21&gt;0,CC21,"")</f>
        <v>9.6999999999999993</v>
      </c>
      <c r="CR21" s="38">
        <f>IF(CD21&gt;0,CD21,"")</f>
        <v>11.28</v>
      </c>
      <c r="CS21" s="40">
        <f>IF(SUM(CA21:CD21)-CE21&gt;0,SUM(CA21:CD21)-CE21,"")</f>
        <v>36.380000000000003</v>
      </c>
      <c r="CT21" s="40">
        <f>IF(CH21&gt;0,CH21,"")</f>
        <v>5.9</v>
      </c>
      <c r="CU21" s="40">
        <f>IF(CI21&gt;0,CI21,"")</f>
        <v>6.42</v>
      </c>
      <c r="CV21" s="40">
        <f>IF(SUM(CF21:CI21)-CJ21&gt;0,SUM(CF21:CI21)-CJ21,"")</f>
        <v>21.52</v>
      </c>
      <c r="CW21" s="40">
        <f>IF(CS21="","",MAX(CS21,CV21))</f>
        <v>36.380000000000003</v>
      </c>
      <c r="CX21" s="40">
        <f>IF(CM21&gt;0,CM21,"")</f>
        <v>12.2</v>
      </c>
      <c r="CY21" s="40">
        <f>IF(CN21&gt;0,CN21,"")</f>
        <v>15.48</v>
      </c>
      <c r="CZ21" s="40">
        <f>IF(SUM(CK21:CN21)-CO21&gt;0,SUM(CK21:CN21)-CO21,"")</f>
        <v>49.88</v>
      </c>
      <c r="DA21" s="40">
        <f>IF(SUM(CW21,CZ21)&gt;0,SUM(CW21,CZ21),"")</f>
        <v>86.26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4.75</v>
      </c>
      <c r="SW21" s="22">
        <f>IF($CP21="P",CB21,(CB21+BA21)/2)</f>
        <v>2.95</v>
      </c>
      <c r="SX21" s="22">
        <f>IF($CP21="P",CC21,(CC21+BB21)/2)</f>
        <v>4.8499999999999996</v>
      </c>
      <c r="SY21" s="22">
        <f>IF($CP21="P",CD21,(CD21+BC21)/2)</f>
        <v>5.64</v>
      </c>
      <c r="SZ21" s="22">
        <f>IF($CP21="P",CE21,(CE21+BD21)/2)</f>
        <v>0</v>
      </c>
      <c r="TA21" s="22">
        <f>IF($CP21="P",CF21,(CF21+BE21)/2)</f>
        <v>2.85</v>
      </c>
      <c r="TB21" s="22">
        <f>IF($CP21="P",CG21,(CG21+BF21)/2)</f>
        <v>1.75</v>
      </c>
      <c r="TC21" s="22">
        <f>IF($CP21="P",CH21,(CH21+BG21)/2)</f>
        <v>2.95</v>
      </c>
      <c r="TD21" s="22">
        <f>IF($CP21="P",CI21,(CI21+BH21)/2)</f>
        <v>3.21</v>
      </c>
      <c r="TE21" s="22">
        <f>IF($CP21="P",CJ21,(CJ21+BI21)/2)</f>
        <v>0</v>
      </c>
      <c r="TF21" s="22">
        <f>IF($CP21="P",CK21,(CK21+BJ21)/2)</f>
        <v>6.75</v>
      </c>
      <c r="TG21" s="22">
        <f>IF($CP21="P",CL21,(CL21+BK21)/2)</f>
        <v>4.4000000000000004</v>
      </c>
      <c r="TH21" s="22">
        <f>IF($CP21="P",CM21,(CM21+BL21)/2)</f>
        <v>6.1</v>
      </c>
      <c r="TI21" s="22">
        <f>IF($CP21="P",CN21,(CN21+BM21)/2)</f>
        <v>7.74</v>
      </c>
      <c r="TJ21" s="22">
        <f>IF($CP21="P",CO21,(CO21+BN21)/2)</f>
        <v>0.05</v>
      </c>
      <c r="TK21" s="27" t="s">
        <v>46</v>
      </c>
      <c r="TL21" s="40">
        <f>IF(SX21&gt;0,SX21,"")</f>
        <v>4.8499999999999996</v>
      </c>
      <c r="TM21" s="40">
        <f>IF(SY21&gt;0,SY21,"")</f>
        <v>5.64</v>
      </c>
      <c r="TN21" s="40">
        <f>IF(SUM(SV21:SY21)-SZ21&gt;0,SUM(SV21:SY21)-SZ21,"")</f>
        <v>18.190000000000001</v>
      </c>
      <c r="TO21" s="40">
        <f>IF(TC21&gt;0,TC21,"")</f>
        <v>2.95</v>
      </c>
      <c r="TP21" s="40">
        <f>IF(TD21&gt;0,TD21,"")</f>
        <v>3.21</v>
      </c>
      <c r="TQ21" s="40">
        <f>IF(SUM(TA21:TD21)-TE21&gt;0,SUM(TA21:TD21)-TE21,"")</f>
        <v>10.76</v>
      </c>
      <c r="TR21" s="40">
        <f>IF(MAX(TN21,TQ21)&gt;0,MAX(TN21,TQ21),"")</f>
        <v>18.190000000000001</v>
      </c>
      <c r="TS21" s="40">
        <f>IF(TH21&gt;0,TH21,"")</f>
        <v>6.1</v>
      </c>
      <c r="TT21" s="40">
        <f>IF(TI21&gt;0,TI21,"")</f>
        <v>7.74</v>
      </c>
      <c r="TU21" s="40">
        <f>IF(SUM(TF21:TI21)-TJ21&gt;0,SUM(TF21:TI21)-TJ21,"")</f>
        <v>24.94</v>
      </c>
      <c r="TV21" s="40">
        <f>IF(SUM(TR21,TU21)&gt;0,SUM(TR21,TU21),"")</f>
        <v>43.13</v>
      </c>
    </row>
    <row r="22" spans="1:542" x14ac:dyDescent="0.2">
      <c r="A22" s="4" t="str" cm="1">
        <f t="array" ref="A22">IF(AND(J22&lt;&gt;"",J22&lt;&gt;"No DD"),SUMPRODUCT((J$4:J$26&lt;&gt;"")*(J$4:J$26&lt;&gt;"No DD")*(F$4:F$26&gt;F22))+1,IF(J22="No DD",SUMPRODUCT((J$4:J$26="No DD")*(F$4:F$26&gt;F22))+1+SUMPRODUCT((J$4:J$26&lt;&gt;"")*(J$4:J$26&lt;&gt;"No DD")),""))</f>
        <v/>
      </c>
      <c r="B22" s="4" t="str" cm="1">
        <f t="array" ref="B22">IF(AND(J22&lt;&gt;"",J22&lt;&gt;"No DD",G22=""),SUMPRODUCT((J$4:J$26&lt;&gt;"")*(J$4:J$26&lt;&gt;"No DD")*(G$4:G$26="")*(F$4:F$26&gt;F22))+1,IF(J22="No DD",SUMPRODUCT((J$4:J$26="No DD")*(F$4:F$26&gt;F22)*(G$4:G$26=""))+1+SUMPRODUCT((J$4:J$26&lt;&gt;"")*(G$4:G$26="")*(J$4:J$26&lt;&gt;"No DD")),""))</f>
        <v/>
      </c>
      <c r="C22" s="5" t="s">
        <v>118</v>
      </c>
      <c r="D22" s="4" t="s">
        <v>117</v>
      </c>
      <c r="E22" s="4">
        <v>2006</v>
      </c>
      <c r="F22" s="9">
        <f>SUM(L22:V22)+SUM(L22:T22)*0.0000001+SUM(L22)*0.0000000000001</f>
        <v>139.64001396400477</v>
      </c>
      <c r="G22" s="64"/>
      <c r="H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I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),"P","")</f>
        <v/>
      </c>
      <c r="J22" s="36" t="str">
        <f>IF(AND(I22="P",H22=""),"No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Excellence",IF(K22="P","Worlds Team",IF(H22="P","National Team","")))))</f>
        <v/>
      </c>
      <c r="K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P","")</f>
        <v/>
      </c>
      <c r="L22" s="8">
        <f>IF(COUNT(AQ22,AT22,BR22,BU22,CS22,CV22)&gt;0,LARGE((AQ22,AT22,BR22,BU22,CS22,CV22),1),0)</f>
        <v>47.7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IF(COUNT(AQ22,AT22,BR22,BU22,CS22,CV22)&gt;1,LARGE((AQ22,AT22,BR22,BU22,CS22,CV22),2),0)</f>
        <v>42.09</v>
      </c>
      <c r="O22" s="8" t="str">
        <f>IF(N22="","",IF(OR(N22=CS22,N22=CV22),$CA$1,IF(OR(N22=BR22,N22=BU22),$AZ$1,IF(OR(N22=AQ22,N22=AT22),$Y$1,""))))</f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>IF(P22="","",IF(P22=CZ22,$CA$1,IF(P22=BY22,$AZ$1,IF(P22=AX22,$Y$1,IF(OR(P22=CS22,P22=CV22,P22=CZ22),$CA$1,IF(OR(P22=BR22,P22=BU22,P22=BY22),$AZ$1,IF(OR(P22=AQ22,P22=AT22,P22=AX22),$Y$1,"")))))))</f>
        <v>2025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3rd Domestic Trial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9.3000000000000007</v>
      </c>
      <c r="AP22" s="38">
        <f>IF(AB22&gt;0,AB22,"")</f>
        <v>9.1300000000000008</v>
      </c>
      <c r="AQ22" s="40">
        <f>IF(SUM(Y22:AB22)-AC22&gt;0,SUM(Y22:AB22)-AC22,"")</f>
        <v>30.43</v>
      </c>
      <c r="AR22" s="40">
        <f>IF(AF22&gt;0,AF22,"")</f>
        <v>7.8</v>
      </c>
      <c r="AS22" s="40">
        <f>IF(AG22&gt;0,AG22,"")</f>
        <v>9.14</v>
      </c>
      <c r="AT22" s="40">
        <f>IF(SUM(AD22:AG22)-AH22&gt;0,SUM(AD22:AG22)-AH22,"")</f>
        <v>28.34</v>
      </c>
      <c r="AU22" s="40">
        <f>IF(AQ22="","",MAX(AQ22,AT22))</f>
        <v>30.43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>IF(BB22&gt;0,BB22,"")</f>
        <v>3</v>
      </c>
      <c r="BQ22" s="39">
        <f>IF(BC22&gt;0,BC22,"")</f>
        <v>4.47</v>
      </c>
      <c r="BR22" s="11">
        <f>IF(SUM(AZ22:BC22)-BD22&gt;0,SUM(AZ22:BC22)-BD22,"")</f>
        <v>13.370000000000001</v>
      </c>
      <c r="BS22" s="11">
        <f>IF(BG22&gt;0,BG22,"")</f>
        <v>10.199999999999999</v>
      </c>
      <c r="BT22" s="11">
        <f>IF(BH22&gt;0,BH22,"")</f>
        <v>11.55</v>
      </c>
      <c r="BU22" s="11">
        <f>IF(SUM(BE22:BH22)-BI22&gt;0,SUM(BE22:BH22)-BI22,"")</f>
        <v>37.15</v>
      </c>
      <c r="BV22" s="11">
        <f>IF(BR22="","",MAX(BR22,BU22))</f>
        <v>37.15</v>
      </c>
      <c r="BW22" s="11">
        <f>IF(BL22&gt;0,BL22,"")</f>
        <v>2</v>
      </c>
      <c r="BX22" s="11">
        <f>IF(BM22&gt;0,BM22,"")</f>
        <v>1.53</v>
      </c>
      <c r="BY22" s="11">
        <f>IF(SUM(BJ22:BM22)-BN22&gt;0,SUM(BJ22:BM22)-BN22,"")</f>
        <v>5.33</v>
      </c>
      <c r="BZ22" s="11">
        <f>IF(SUM(BV22,BY22)&gt;0,SUM(BV22,BY22),"")</f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>IF(CC22&gt;0,CC22,"")</f>
        <v>12.7</v>
      </c>
      <c r="CR22" s="38">
        <f>IF(CD22&gt;0,CD22,"")</f>
        <v>15.3</v>
      </c>
      <c r="CS22" s="40">
        <f>IF(SUM(CA22:CD22)-CE22&gt;0,SUM(CA22:CD22)-CE22,"")</f>
        <v>47.7</v>
      </c>
      <c r="CT22" s="40">
        <f>IF(CH22&gt;0,CH22,"")</f>
        <v>9.9</v>
      </c>
      <c r="CU22" s="40">
        <f>IF(CI22&gt;0,CI22,"")</f>
        <v>15.29</v>
      </c>
      <c r="CV22" s="40">
        <f>IF(SUM(CF22:CI22)-CJ22&gt;0,SUM(CF22:CI22)-CJ22,"")</f>
        <v>42.09</v>
      </c>
      <c r="CW22" s="40">
        <f>IF(CS22="","",MAX(CS22,CV22))</f>
        <v>47.7</v>
      </c>
      <c r="CX22" s="40">
        <f>IF(CM22&gt;0,CM22,"")</f>
        <v>3</v>
      </c>
      <c r="CY22" s="40">
        <f>IF(CN22&gt;0,CN22,"")</f>
        <v>6.42</v>
      </c>
      <c r="CZ22" s="40">
        <f>IF(SUM(CK22:CN22)-CO22&gt;0,SUM(CK22:CN22)-CO22,"")</f>
        <v>17.22</v>
      </c>
      <c r="DA22" s="40">
        <f>IF(SUM(CW22,CZ22)&gt;0,SUM(CW22,CZ22),"")</f>
        <v>64.92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6.1</v>
      </c>
      <c r="SX22" s="22">
        <f>IF($CP22="P",CC22,(CC22+BB22)/2)</f>
        <v>7.85</v>
      </c>
      <c r="SY22" s="22">
        <f>IF($CP22="P",CD22,(CD22+BC22)/2)</f>
        <v>9.8849999999999998</v>
      </c>
      <c r="SZ22" s="22">
        <f>IF($CP22="P",CE22,(CE22+BD22)/2)</f>
        <v>0</v>
      </c>
      <c r="TA22" s="22">
        <f>IF($CP22="P",CF22,(CF22+BE22)/2)</f>
        <v>9.3000000000000007</v>
      </c>
      <c r="TB22" s="22">
        <f>IF($CP22="P",CG22,(CG22+BF22)/2)</f>
        <v>8.0500000000000007</v>
      </c>
      <c r="TC22" s="22">
        <f>IF($CP22="P",CH22,(CH22+BG22)/2)</f>
        <v>10.050000000000001</v>
      </c>
      <c r="TD22" s="22">
        <f>IF($CP22="P",CI22,(CI22+BH22)/2)</f>
        <v>13.42</v>
      </c>
      <c r="TE22" s="22">
        <f>IF($CP22="P",CJ22,(CJ22+BI22)/2)</f>
        <v>1.2</v>
      </c>
      <c r="TF22" s="22">
        <f>IF($CP22="P",CK22,(CK22+BJ22)/2)</f>
        <v>2.65</v>
      </c>
      <c r="TG22" s="22">
        <f>IF($CP22="P",CL22,(CL22+BK22)/2)</f>
        <v>2.15</v>
      </c>
      <c r="TH22" s="22">
        <f>IF($CP22="P",CM22,(CM22+BL22)/2)</f>
        <v>2.5</v>
      </c>
      <c r="TI22" s="22">
        <f>IF($CP22="P",CN22,(CN22+BM22)/2)</f>
        <v>3.9750000000000001</v>
      </c>
      <c r="TJ22" s="22">
        <f>IF($CP22="P",CO22,(CO22+BN22)/2)</f>
        <v>0</v>
      </c>
      <c r="TK22" s="27" t="s">
        <v>46</v>
      </c>
      <c r="TL22" s="40">
        <f>IF(SX22&gt;0,SX22,"")</f>
        <v>7.85</v>
      </c>
      <c r="TM22" s="40">
        <f>IF(SY22&gt;0,SY22,"")</f>
        <v>9.8849999999999998</v>
      </c>
      <c r="TN22" s="40">
        <f>IF(SUM(SV22:SY22)-SZ22&gt;0,SUM(SV22:SY22)-SZ22,"")</f>
        <v>30.534999999999997</v>
      </c>
      <c r="TO22" s="40">
        <f>IF(TC22&gt;0,TC22,"")</f>
        <v>10.050000000000001</v>
      </c>
      <c r="TP22" s="40">
        <f>IF(TD22&gt;0,TD22,"")</f>
        <v>13.42</v>
      </c>
      <c r="TQ22" s="40">
        <f>IF(SUM(TA22:TD22)-TE22&gt;0,SUM(TA22:TD22)-TE22,"")</f>
        <v>39.619999999999997</v>
      </c>
      <c r="TR22" s="40">
        <f>IF(MAX(TN22,TQ22)&gt;0,MAX(TN22,TQ22),"")</f>
        <v>39.619999999999997</v>
      </c>
      <c r="TS22" s="40">
        <f>IF(TH22&gt;0,TH22,"")</f>
        <v>2.5</v>
      </c>
      <c r="TT22" s="40">
        <f>IF(TI22&gt;0,TI22,"")</f>
        <v>3.9750000000000001</v>
      </c>
      <c r="TU22" s="40">
        <f>IF(SUM(TF22:TI22)-TJ22&gt;0,SUM(TF22:TI22)-TJ22,"")</f>
        <v>11.275</v>
      </c>
      <c r="TV22" s="40">
        <f>IF(SUM(TR22,TU22)&gt;0,SUM(TR22,TU22),"")</f>
        <v>50.894999999999996</v>
      </c>
    </row>
    <row r="23" spans="1:542" x14ac:dyDescent="0.2">
      <c r="A23" s="4" t="str" cm="1">
        <f t="array" ref="A23">IF(AND(J23&lt;&gt;"",J23&lt;&gt;"No DD"),SUMPRODUCT((J$4:J$26&lt;&gt;"")*(J$4:J$26&lt;&gt;"No DD")*(F$4:F$26&gt;F23))+1,IF(J23="No DD",SUMPRODUCT((J$4:J$26="No DD")*(F$4:F$26&gt;F23))+1+SUMPRODUCT((J$4:J$26&lt;&gt;"")*(J$4:J$26&lt;&gt;"No DD")),""))</f>
        <v/>
      </c>
      <c r="B23" s="4" t="str" cm="1">
        <f t="array" ref="B23">IF(AND(J23&lt;&gt;"",J23&lt;&gt;"No DD",G23=""),SUMPRODUCT((J$4:J$26&lt;&gt;"")*(J$4:J$26&lt;&gt;"No DD")*(G$4:G$26="")*(F$4:F$26&gt;F23))+1,IF(J23="No DD",SUMPRODUCT((J$4:J$26="No DD")*(F$4:F$26&gt;F23)*(G$4:G$26=""))+1+SUMPRODUCT((J$4:J$26&lt;&gt;"")*(G$4:G$26="")*(J$4:J$26&lt;&gt;"No DD")),""))</f>
        <v/>
      </c>
      <c r="C23" s="5" t="s">
        <v>132</v>
      </c>
      <c r="D23" s="4" t="s">
        <v>5</v>
      </c>
      <c r="E23" s="4">
        <v>2007</v>
      </c>
      <c r="F23" s="9">
        <f>SUM(L23:V23)+SUM(L23:T23)*0.0000001+SUM(L23)*0.0000000000001</f>
        <v>135.22501352250501</v>
      </c>
      <c r="G23" s="64"/>
      <c r="H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I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),"P","")</f>
        <v/>
      </c>
      <c r="J23" s="36" t="str">
        <f>IF(AND(I23="P",H23=""),"No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Excellence",IF(K23="P","Worlds Team",IF(H23="P","National Team","")))))</f>
        <v/>
      </c>
      <c r="K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P","")</f>
        <v/>
      </c>
      <c r="L23" s="8">
        <f>IF(COUNT(AQ23,AT23,BR23,BU23,CS23,CV23)&gt;0,LARGE((AQ23,AT23,BR23,BU23,CS23,CV23),1),0)</f>
        <v>49.954999999999998</v>
      </c>
      <c r="M23" s="8" t="str">
        <f>IF(L23="","",IF(OR(L23=CS23,L23=CV23),$CA$1,IF(OR(L23=BR23,L23=BU23),$AZ$1,IF(OR(L23=AQ23,L23=AT23),$Y$1,""))))</f>
        <v>2025 Elite Canada</v>
      </c>
      <c r="N23" s="8">
        <f>IF(COUNT(AQ23,AT23,BR23,BU23,CS23,CV23)&gt;1,LARGE((AQ23,AT23,BR23,BU23,CS23,CV23),2),0)</f>
        <v>48.465000000000003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11.65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>IF(AA23&gt;0,AA23,"")</f>
        <v>11.65</v>
      </c>
      <c r="AP23" s="38">
        <f>IF(AB23&gt;0,AB23,"")</f>
        <v>14.015000000000001</v>
      </c>
      <c r="AQ23" s="40">
        <f>IF(SUM(Y23:AB23)-AC23&gt;0,SUM(Y23:AB23)-AC23,"")</f>
        <v>48.465000000000003</v>
      </c>
      <c r="AR23" s="40">
        <f>IF(AF23&gt;0,AF23,"")</f>
        <v>11.65</v>
      </c>
      <c r="AS23" s="40">
        <f>IF(AG23&gt;0,AG23,"")</f>
        <v>14.555</v>
      </c>
      <c r="AT23" s="40">
        <f>IF(SUM(AD23:AG23)-AH23&gt;0,SUM(AD23:AG23)-AH23,"")</f>
        <v>49.954999999999998</v>
      </c>
      <c r="AU23" s="40">
        <f>IF(AQ23="","",MAX(AQ23,AT23))</f>
        <v>49.954999999999998</v>
      </c>
      <c r="AV23" s="40">
        <f>IF(AK23&gt;0,AK23,"")</f>
        <v>5.7</v>
      </c>
      <c r="AW23" s="40">
        <f>IF(AL23&gt;0,AL23,"")</f>
        <v>7.4550000000000001</v>
      </c>
      <c r="AX23" s="40">
        <f>IF(SUM(AI23:AL23)-AM23&gt;0,SUM(AI23:AL23)-AM23,"")</f>
        <v>25.155000000000001</v>
      </c>
      <c r="AY23" s="40">
        <f>IF(SUM(AU23,AX23)&gt;0,SUM(AU23,AX23),"")</f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DD"),SUMPRODUCT((J$4:J$26&lt;&gt;"")*(J$4:J$26&lt;&gt;"No DD")*(F$4:F$26&gt;F24))+1,IF(J24="No DD",SUMPRODUCT((J$4:J$26="No DD")*(F$4:F$26&gt;F24))+1+SUMPRODUCT((J$4:J$26&lt;&gt;"")*(J$4:J$26&lt;&gt;"No DD")),""))</f>
        <v/>
      </c>
      <c r="B24" s="4" t="str" cm="1">
        <f t="array" ref="B24">IF(AND(J24&lt;&gt;"",J24&lt;&gt;"No DD",G24=""),SUMPRODUCT((J$4:J$26&lt;&gt;"")*(J$4:J$26&lt;&gt;"No DD")*(G$4:G$26="")*(F$4:F$26&gt;F24))+1,IF(J24="No DD",SUMPRODUCT((J$4:J$26="No DD")*(F$4:F$26&gt;F24)*(G$4:G$26=""))+1+SUMPRODUCT((J$4:J$26&lt;&gt;"")*(G$4:G$26="")*(J$4:J$26&lt;&gt;"No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91.250009125004524</v>
      </c>
      <c r="G24" s="64"/>
      <c r="H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I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),"P","")</f>
        <v/>
      </c>
      <c r="J24" s="36" t="str">
        <f>IF(AND(I24="P",H24=""),"No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Excellence",IF(K24="P","Worlds Team",IF(H24="P","National Team","")))))</f>
        <v/>
      </c>
      <c r="K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35.47</v>
      </c>
      <c r="O24" s="8" t="str">
        <f>IF(N24="","",IF(OR(N24=CS24,N24=CV24),$CA$1,IF(OR(N24=BR24,N24=BU24),$AZ$1,IF(OR(N24=AQ24,N24=AT24),$Y$1,""))))</f>
        <v>2025 Elite Canada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IF(P24="","",IF(P24=CZ24,$CA$1,IF(P24=BY24,$AZ$1,IF(P24=AX24,$Y$1,IF(OR(P24=CS24,P24=CV24,P24=CZ24),$CA$1,IF(OR(P24=BR24,P24=BU24,P24=BY24),$AZ$1,IF(OR(P24=AQ24,P24=AT24,P24=AX24),$Y$1,"")))))))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10.65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2025 Elite Canada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8.8000000000000007</v>
      </c>
      <c r="Z24" s="22">
        <v>6.55</v>
      </c>
      <c r="AA24" s="22">
        <v>8.3500000000000014</v>
      </c>
      <c r="AB24" s="22">
        <v>11.77</v>
      </c>
      <c r="AC24" s="22">
        <v>0</v>
      </c>
      <c r="AD24" s="22">
        <v>11.95</v>
      </c>
      <c r="AE24" s="22">
        <v>8.1</v>
      </c>
      <c r="AF24" s="22">
        <v>10.65</v>
      </c>
      <c r="AG24" s="22">
        <v>14.43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7" t="s">
        <v>46</v>
      </c>
      <c r="AO24" s="38">
        <f>IF(AA24&gt;0,AA24,"")</f>
        <v>8.3500000000000014</v>
      </c>
      <c r="AP24" s="38">
        <f>IF(AB24&gt;0,AB24,"")</f>
        <v>11.77</v>
      </c>
      <c r="AQ24" s="40">
        <f>IF(SUM(Y24:AB24)-AC24&gt;0,SUM(Y24:AB24)-AC24,"")</f>
        <v>35.47</v>
      </c>
      <c r="AR24" s="40">
        <f>IF(AF24&gt;0,AF24,"")</f>
        <v>10.65</v>
      </c>
      <c r="AS24" s="40">
        <f>IF(AG24&gt;0,AG24,"")</f>
        <v>14.43</v>
      </c>
      <c r="AT24" s="40">
        <f>IF(SUM(AD24:AG24)-AH24&gt;0,SUM(AD24:AG24)-AH24,"")</f>
        <v>45.129999999999995</v>
      </c>
      <c r="AU24" s="40">
        <f>IF(AQ24="","",MAX(AQ24,AT24))</f>
        <v>45.129999999999995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45.129999999999995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DD"),SUMPRODUCT((J$4:J$26&lt;&gt;"")*(J$4:J$26&lt;&gt;"No DD")*(F$4:F$26&gt;F25))+1,IF(J25="No DD",SUMPRODUCT((J$4:J$26="No DD")*(F$4:F$26&gt;F25))+1+SUMPRODUCT((J$4:J$26&lt;&gt;"")*(J$4:J$26&lt;&gt;"No DD")),""))</f>
        <v/>
      </c>
      <c r="B25" s="4" t="str" cm="1">
        <f t="array" ref="B25">IF(AND(J25&lt;&gt;"",J25&lt;&gt;"No DD",G25=""),SUMPRODUCT((J$4:J$26&lt;&gt;"")*(J$4:J$26&lt;&gt;"No DD")*(G$4:G$26="")*(F$4:F$26&gt;F25))+1,IF(J25="No DD",SUMPRODUCT((J$4:J$26="No DD")*(F$4:F$26&gt;F25)*(G$4:G$26=""))+1+SUMPRODUCT((J$4:J$26&lt;&gt;"")*(G$4:G$26="")*(J$4:J$26&lt;&gt;"No DD")),""))</f>
        <v/>
      </c>
      <c r="C25" s="5" t="s">
        <v>133</v>
      </c>
      <c r="D25" s="4" t="s">
        <v>5</v>
      </c>
      <c r="E25" s="4">
        <v>2007</v>
      </c>
      <c r="F25" s="9">
        <f>SUM(L25:V25)+SUM(L25:T25)*0.0000001+SUM(L25)*0.0000000000001</f>
        <v>71.370007137000528</v>
      </c>
      <c r="G25" s="64"/>
      <c r="H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),"P","")</f>
        <v/>
      </c>
      <c r="I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),"P","")</f>
        <v/>
      </c>
      <c r="J25" s="36" t="str">
        <f>IF(AND(I25="P",H25=""),"No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Excellence",IF(K25="P","Worlds Team",IF(H25="P","National Team","")))))</f>
        <v/>
      </c>
      <c r="K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),"P","")</f>
        <v/>
      </c>
      <c r="L25" s="8">
        <f>IF(COUNT(AQ25,AT25,BR25,BU25,CS25,CV25)&gt;0,LARGE((AQ25,AT25,BR25,BU25,CS25,CV25),1),0)</f>
        <v>5.3</v>
      </c>
      <c r="M25" s="8" t="str">
        <f>IF(L25="","",IF(OR(L25=CS25,L25=CV25),$CA$1,IF(OR(L25=BR25,L25=BU25),$AZ$1,IF(OR(L25=AQ25,L25=AT25),$Y$1,""))))</f>
        <v>2025 Nationals</v>
      </c>
      <c r="N25" s="8">
        <f>IF(COUNT(AQ25,AT25,BR25,BU25,CS25,CV25)&gt;1,LARGE((AQ25,AT25,BR25,BU25,CS25,CV25),2),0)</f>
        <v>5.21</v>
      </c>
      <c r="O25" s="8" t="str">
        <f>IF(N25="","",IF(OR(N25=CS25,N25=CV25),$CA$1,IF(OR(N25=BR25,N25=BU25),$AZ$1,IF(OR(N25=AQ25,N25=AT25),$Y$1,""))))</f>
        <v>2025 Nationals</v>
      </c>
      <c r="P25" s="8">
        <f>IF(COUNT(AQ25,AT25,BR25,BU25,CS25,CV25)&gt;2,MAX(AX25,BY25,CZ25,LARGE((AQ25,AT25,BR25,BU25,CS25,CV25),3)),IF(MAX(AX25,BY25,CZ25)&gt;0,MAX(AX25,BY25,CZ25),0))</f>
        <v>49.06</v>
      </c>
      <c r="Q25" s="8" t="str">
        <f>IF(P25="","",IF(P25=CZ25,$CA$1,IF(P25=BY25,$AZ$1,IF(P25=AX25,$Y$1,IF(OR(P25=CS25,P25=CV25,P25=CZ25),$CA$1,IF(OR(P25=BR25,P25=BU25,P25=BY25),$AZ$1,IF(OR(P25=AQ25,P25=AT25,P25=AX25),$Y$1,"")))))))</f>
        <v>2025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11.8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2025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1.5</v>
      </c>
      <c r="BD25" s="26">
        <v>0</v>
      </c>
      <c r="BE25" s="26">
        <v>1.4</v>
      </c>
      <c r="BF25" s="26">
        <v>0.8</v>
      </c>
      <c r="BG25" s="26">
        <v>1.5</v>
      </c>
      <c r="BH25" s="26">
        <v>1.51</v>
      </c>
      <c r="BI25" s="26">
        <v>0</v>
      </c>
      <c r="BJ25" s="26">
        <v>14.4</v>
      </c>
      <c r="BK25" s="26">
        <v>9</v>
      </c>
      <c r="BL25" s="26">
        <v>11.8</v>
      </c>
      <c r="BM25" s="26">
        <v>14.36</v>
      </c>
      <c r="BN25" s="26">
        <v>0.5</v>
      </c>
      <c r="BO25" s="28"/>
      <c r="BP25" s="39">
        <f>IF(BB25&gt;0,BB25,"")</f>
        <v>1.5</v>
      </c>
      <c r="BQ25" s="39">
        <f>IF(BC25&gt;0,BC25,"")</f>
        <v>1.5</v>
      </c>
      <c r="BR25" s="11">
        <f>IF(SUM(AZ25:BC25)-BD25&gt;0,SUM(AZ25:BC25)-BD25,"")</f>
        <v>5.3</v>
      </c>
      <c r="BS25" s="11">
        <f>IF(BG25&gt;0,BG25,"")</f>
        <v>1.5</v>
      </c>
      <c r="BT25" s="11">
        <f>IF(BH25&gt;0,BH25,"")</f>
        <v>1.51</v>
      </c>
      <c r="BU25" s="11">
        <f>IF(SUM(BE25:BH25)-BI25&gt;0,SUM(BE25:BH25)-BI25,"")</f>
        <v>5.21</v>
      </c>
      <c r="BV25" s="11">
        <f>IF(BR25="","",MAX(BR25,BU25))</f>
        <v>5.3</v>
      </c>
      <c r="BW25" s="11">
        <f>IF(BL25&gt;0,BL25,"")</f>
        <v>11.8</v>
      </c>
      <c r="BX25" s="11">
        <f>IF(BM25&gt;0,BM25,"")</f>
        <v>14.36</v>
      </c>
      <c r="BY25" s="11">
        <f>IF(SUM(BJ25:BM25)-BN25&gt;0,SUM(BJ25:BM25)-BN25,"")</f>
        <v>49.06</v>
      </c>
      <c r="BZ25" s="11">
        <f>IF(SUM(BV25,BY25)&gt;0,SUM(BV25,BY25),"")</f>
        <v>54.36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0.75</v>
      </c>
      <c r="SW25" s="22">
        <f>IF($CP25="P",CB25,(CB25+BA25)/2)</f>
        <v>0.4</v>
      </c>
      <c r="SX25" s="22">
        <f>IF($CP25="P",CC25,(CC25+BB25)/2)</f>
        <v>0.75</v>
      </c>
      <c r="SY25" s="22">
        <f>IF($CP25="P",CD25,(CD25+BC25)/2)</f>
        <v>0.75</v>
      </c>
      <c r="SZ25" s="22">
        <f>IF($CP25="P",CE25,(CE25+BD25)/2)</f>
        <v>0</v>
      </c>
      <c r="TA25" s="22">
        <f>IF($CP25="P",CF25,(CF25+BE25)/2)</f>
        <v>0.7</v>
      </c>
      <c r="TB25" s="22">
        <f>IF($CP25="P",CG25,(CG25+BF25)/2)</f>
        <v>0.4</v>
      </c>
      <c r="TC25" s="22">
        <f>IF($CP25="P",CH25,(CH25+BG25)/2)</f>
        <v>0.75</v>
      </c>
      <c r="TD25" s="22">
        <f>IF($CP25="P",CI25,(CI25+BH25)/2)</f>
        <v>0.755</v>
      </c>
      <c r="TE25" s="22">
        <f>IF($CP25="P",CJ25,(CJ25+BI25)/2)</f>
        <v>0</v>
      </c>
      <c r="TF25" s="22">
        <f>IF($CP25="P",CK25,(CK25+BJ25)/2)</f>
        <v>7.2</v>
      </c>
      <c r="TG25" s="22">
        <f>IF($CP25="P",CL25,(CL25+BK25)/2)</f>
        <v>4.5</v>
      </c>
      <c r="TH25" s="22">
        <f>IF($CP25="P",CM25,(CM25+BL25)/2)</f>
        <v>5.9</v>
      </c>
      <c r="TI25" s="22">
        <f>IF($CP25="P",CN25,(CN25+BM25)/2)</f>
        <v>7.18</v>
      </c>
      <c r="TJ25" s="22">
        <f>IF($CP25="P",CO25,(CO25+BN25)/2)</f>
        <v>0.25</v>
      </c>
      <c r="TK25" s="27" t="s">
        <v>46</v>
      </c>
      <c r="TL25" s="40">
        <f>IF(SX25&gt;0,SX25,"")</f>
        <v>0.75</v>
      </c>
      <c r="TM25" s="40">
        <f>IF(SY25&gt;0,SY25,"")</f>
        <v>0.75</v>
      </c>
      <c r="TN25" s="40">
        <f>IF(SUM(SV25:SY25)-SZ25&gt;0,SUM(SV25:SY25)-SZ25,"")</f>
        <v>2.65</v>
      </c>
      <c r="TO25" s="40">
        <f>IF(TC25&gt;0,TC25,"")</f>
        <v>0.75</v>
      </c>
      <c r="TP25" s="40">
        <f>IF(TD25&gt;0,TD25,"")</f>
        <v>0.755</v>
      </c>
      <c r="TQ25" s="40">
        <f>IF(SUM(TA25:TD25)-TE25&gt;0,SUM(TA25:TD25)-TE25,"")</f>
        <v>2.605</v>
      </c>
      <c r="TR25" s="40">
        <f>IF(MAX(TN25,TQ25)&gt;0,MAX(TN25,TQ25),"")</f>
        <v>2.65</v>
      </c>
      <c r="TS25" s="40">
        <f>IF(TH25&gt;0,TH25,"")</f>
        <v>5.9</v>
      </c>
      <c r="TT25" s="40">
        <f>IF(TI25&gt;0,TI25,"")</f>
        <v>7.18</v>
      </c>
      <c r="TU25" s="40">
        <f>IF(SUM(TF25:TI25)-TJ25&gt;0,SUM(TF25:TI25)-TJ25,"")</f>
        <v>24.53</v>
      </c>
      <c r="TV25" s="40">
        <f>IF(SUM(TR25,TU25)&gt;0,SUM(TR25,TU25),"")</f>
        <v>27.18</v>
      </c>
    </row>
    <row r="26" spans="1:542" x14ac:dyDescent="0.2">
      <c r="C26" s="5"/>
      <c r="E26" s="1"/>
    </row>
    <row r="27" spans="1:542" x14ac:dyDescent="0.2">
      <c r="I27" s="36"/>
      <c r="K27" s="36"/>
    </row>
    <row r="28" spans="1:542" x14ac:dyDescent="0.2">
      <c r="C28" s="23" t="s">
        <v>44</v>
      </c>
      <c r="D28" s="5"/>
      <c r="I28" s="3"/>
      <c r="AR28" s="41"/>
      <c r="AS28" s="41"/>
      <c r="AT28" s="41"/>
      <c r="AV28" s="32"/>
      <c r="AW28" s="32"/>
      <c r="AY28" s="53">
        <v>14.5</v>
      </c>
      <c r="BS28" s="41"/>
      <c r="BT28" s="41"/>
      <c r="BU28" s="41"/>
      <c r="BW28" s="32"/>
      <c r="BX28" s="32"/>
      <c r="BZ28" s="53">
        <v>14.5</v>
      </c>
      <c r="CT28" s="41"/>
      <c r="CU28" s="41"/>
      <c r="CV28" s="41"/>
      <c r="CX28" s="32"/>
      <c r="CY28" s="32"/>
      <c r="DA28" s="53">
        <v>14.5</v>
      </c>
      <c r="DX28" s="5"/>
      <c r="DY28" s="5"/>
      <c r="EH28" s="2"/>
      <c r="EI28" s="2"/>
      <c r="EK28" s="53">
        <v>14.5</v>
      </c>
      <c r="FF28" s="5"/>
      <c r="FG28" s="5"/>
      <c r="FP28" s="2"/>
      <c r="FQ28" s="2"/>
      <c r="FS28" s="53">
        <v>14.5</v>
      </c>
      <c r="GN28" s="5"/>
      <c r="GO28" s="5"/>
      <c r="GX28" s="2"/>
      <c r="GY28" s="2"/>
      <c r="HA28" s="53">
        <v>14.5</v>
      </c>
      <c r="HV28" s="5"/>
      <c r="HW28" s="5"/>
      <c r="IF28" s="2"/>
      <c r="IG28" s="2"/>
      <c r="II28" s="53">
        <v>14.5</v>
      </c>
      <c r="JD28" s="5"/>
      <c r="JE28" s="5"/>
      <c r="JN28" s="2"/>
      <c r="JO28" s="2"/>
      <c r="JQ28" s="53">
        <v>14.5</v>
      </c>
      <c r="KL28" s="5"/>
      <c r="KM28" s="5"/>
      <c r="KV28" s="2"/>
      <c r="KW28" s="2"/>
      <c r="KY28" s="53">
        <v>14.5</v>
      </c>
      <c r="LT28" s="5"/>
      <c r="LU28" s="5"/>
      <c r="MD28" s="2"/>
      <c r="ME28" s="2"/>
      <c r="MG28" s="53">
        <v>14.5</v>
      </c>
      <c r="NB28" s="5"/>
      <c r="NC28" s="5"/>
      <c r="NL28" s="2"/>
      <c r="NM28" s="2"/>
      <c r="NO28" s="53">
        <v>14.5</v>
      </c>
      <c r="OJ28" s="5"/>
      <c r="OK28" s="5"/>
      <c r="OT28" s="2"/>
      <c r="OU28" s="2"/>
      <c r="OW28" s="53">
        <v>14.5</v>
      </c>
      <c r="PR28" s="5"/>
      <c r="PS28" s="5"/>
      <c r="QB28" s="2"/>
      <c r="QC28" s="2"/>
      <c r="QE28" s="53">
        <v>14.5</v>
      </c>
      <c r="QZ28" s="5"/>
      <c r="RA28" s="5"/>
      <c r="RJ28" s="2"/>
      <c r="RK28" s="2"/>
      <c r="RM28" s="53">
        <v>14.5</v>
      </c>
      <c r="SH28" s="5"/>
      <c r="SI28" s="5"/>
      <c r="SR28" s="2"/>
      <c r="SS28" s="2"/>
      <c r="SU28" s="53">
        <v>14.5</v>
      </c>
    </row>
    <row r="29" spans="1:542" hidden="1" x14ac:dyDescent="0.2">
      <c r="C29" s="30" t="s">
        <v>43</v>
      </c>
      <c r="D29" s="5"/>
      <c r="X29" s="2"/>
      <c r="AR29" s="41"/>
      <c r="AS29" s="41"/>
      <c r="AT29" s="41"/>
      <c r="AV29" s="32"/>
      <c r="AW29" s="32"/>
      <c r="AY29" s="54">
        <v>1000</v>
      </c>
      <c r="BS29" s="41"/>
      <c r="BT29" s="41"/>
      <c r="BU29" s="41"/>
      <c r="BW29" s="32"/>
      <c r="BX29" s="32"/>
      <c r="BZ29" s="54">
        <v>1000</v>
      </c>
      <c r="CT29" s="41"/>
      <c r="CU29" s="41"/>
      <c r="CV29" s="41"/>
      <c r="CX29" s="32"/>
      <c r="CY29" s="32"/>
      <c r="DA29" s="54">
        <v>1000</v>
      </c>
      <c r="DX29" s="5"/>
      <c r="DY29" s="5"/>
      <c r="EH29" s="2"/>
      <c r="EI29" s="2"/>
      <c r="EK29" s="54">
        <v>1000</v>
      </c>
      <c r="FF29" s="5"/>
      <c r="FG29" s="5"/>
      <c r="FP29" s="2"/>
      <c r="FQ29" s="2"/>
      <c r="FS29" s="54">
        <v>1000</v>
      </c>
      <c r="GN29" s="5"/>
      <c r="GO29" s="5"/>
      <c r="GX29" s="2"/>
      <c r="GY29" s="2"/>
      <c r="HA29" s="54">
        <v>1000</v>
      </c>
      <c r="HV29" s="5"/>
      <c r="HW29" s="5"/>
      <c r="IF29" s="2"/>
      <c r="IG29" s="2"/>
      <c r="II29" s="54">
        <v>1000</v>
      </c>
      <c r="JD29" s="5"/>
      <c r="JE29" s="5"/>
      <c r="JN29" s="2"/>
      <c r="JO29" s="2"/>
      <c r="JQ29" s="54">
        <v>1000</v>
      </c>
      <c r="KL29" s="5"/>
      <c r="KM29" s="5"/>
      <c r="KV29" s="2"/>
      <c r="KW29" s="2"/>
      <c r="KY29" s="54">
        <v>1000</v>
      </c>
      <c r="LT29" s="5"/>
      <c r="LU29" s="5"/>
      <c r="MD29" s="2"/>
      <c r="ME29" s="2"/>
      <c r="MG29" s="54">
        <v>1000</v>
      </c>
      <c r="NB29" s="5"/>
      <c r="NC29" s="5"/>
      <c r="NL29" s="2"/>
      <c r="NM29" s="2"/>
      <c r="NO29" s="54">
        <v>1000</v>
      </c>
      <c r="OJ29" s="5"/>
      <c r="OK29" s="5"/>
      <c r="OT29" s="2"/>
      <c r="OU29" s="2"/>
      <c r="OW29" s="54">
        <v>1000</v>
      </c>
      <c r="PR29" s="5"/>
      <c r="PS29" s="5"/>
      <c r="QB29" s="2"/>
      <c r="QC29" s="2"/>
      <c r="QE29" s="54">
        <v>1000</v>
      </c>
      <c r="QZ29" s="5"/>
      <c r="RA29" s="5"/>
      <c r="RJ29" s="2"/>
      <c r="RK29" s="2"/>
      <c r="RM29" s="54">
        <v>1000</v>
      </c>
      <c r="SH29" s="5"/>
      <c r="SI29" s="5"/>
      <c r="SR29" s="2"/>
      <c r="SS29" s="2"/>
      <c r="SU29" s="54">
        <v>1000</v>
      </c>
    </row>
    <row r="30" spans="1:542" hidden="1" x14ac:dyDescent="0.2">
      <c r="A30" s="5"/>
      <c r="B30" s="5"/>
      <c r="C30" s="31" t="s">
        <v>55</v>
      </c>
      <c r="D30" s="5"/>
      <c r="F30" s="2"/>
      <c r="G30" s="64"/>
      <c r="AR30" s="41"/>
      <c r="AS30" s="41"/>
      <c r="AT30" s="41"/>
      <c r="AU30" s="32"/>
      <c r="AV30" s="32"/>
      <c r="AW30" s="32"/>
      <c r="AX30" s="32"/>
      <c r="AY30" s="55">
        <v>1000</v>
      </c>
      <c r="BS30" s="41"/>
      <c r="BT30" s="41"/>
      <c r="BU30" s="41"/>
      <c r="BW30" s="32"/>
      <c r="BX30" s="32"/>
      <c r="BZ30" s="55">
        <v>1000</v>
      </c>
      <c r="CT30" s="41"/>
      <c r="CU30" s="41"/>
      <c r="CV30" s="41"/>
      <c r="CW30" s="32"/>
      <c r="CX30" s="32"/>
      <c r="CY30" s="32"/>
      <c r="CZ30" s="32"/>
      <c r="DA30" s="55">
        <v>1000</v>
      </c>
      <c r="DX30" s="5"/>
      <c r="DY30" s="5"/>
      <c r="EH30" s="2"/>
      <c r="EI30" s="2"/>
      <c r="EK30" s="55">
        <v>1000</v>
      </c>
      <c r="FF30" s="5"/>
      <c r="FG30" s="5"/>
      <c r="FP30" s="2"/>
      <c r="FQ30" s="2"/>
      <c r="FS30" s="55">
        <v>1000</v>
      </c>
      <c r="GN30" s="5"/>
      <c r="GO30" s="5"/>
      <c r="GX30" s="2"/>
      <c r="GY30" s="2"/>
      <c r="HA30" s="55">
        <v>1000</v>
      </c>
      <c r="HV30" s="5"/>
      <c r="HW30" s="5"/>
      <c r="IF30" s="2"/>
      <c r="IG30" s="2"/>
      <c r="II30" s="55">
        <v>1000</v>
      </c>
      <c r="JD30" s="5"/>
      <c r="JE30" s="5"/>
      <c r="JN30" s="2"/>
      <c r="JO30" s="2"/>
      <c r="JQ30" s="55">
        <v>1000</v>
      </c>
      <c r="KL30" s="5"/>
      <c r="KM30" s="5"/>
      <c r="KV30" s="2"/>
      <c r="KW30" s="2"/>
      <c r="KY30" s="55">
        <v>1000</v>
      </c>
      <c r="LT30" s="5"/>
      <c r="LU30" s="5"/>
      <c r="MD30" s="2"/>
      <c r="ME30" s="2"/>
      <c r="MG30" s="55">
        <v>1000</v>
      </c>
      <c r="NB30" s="5"/>
      <c r="NC30" s="5"/>
      <c r="NL30" s="2"/>
      <c r="NM30" s="2"/>
      <c r="NO30" s="55">
        <v>1000</v>
      </c>
      <c r="OJ30" s="5"/>
      <c r="OK30" s="5"/>
      <c r="OT30" s="2"/>
      <c r="OU30" s="2"/>
      <c r="OW30" s="55">
        <v>1000</v>
      </c>
      <c r="PR30" s="5"/>
      <c r="PS30" s="5"/>
      <c r="QB30" s="2"/>
      <c r="QC30" s="2"/>
      <c r="QE30" s="55">
        <v>1000</v>
      </c>
      <c r="QZ30" s="5"/>
      <c r="RA30" s="5"/>
      <c r="RJ30" s="2"/>
      <c r="RK30" s="2"/>
      <c r="RM30" s="55">
        <v>1000</v>
      </c>
      <c r="SH30" s="5"/>
      <c r="SI30" s="5"/>
      <c r="SR30" s="2"/>
      <c r="SS30" s="2"/>
      <c r="SU30" s="55">
        <v>1000</v>
      </c>
    </row>
    <row r="31" spans="1:542" hidden="1" x14ac:dyDescent="0.2">
      <c r="A31" s="5"/>
      <c r="B31" s="5"/>
      <c r="C31" s="35" t="s">
        <v>60</v>
      </c>
      <c r="D31" s="5"/>
      <c r="F31" s="2"/>
      <c r="G31" s="64"/>
      <c r="AR31" s="41"/>
      <c r="AS31" s="41"/>
      <c r="AT31" s="41"/>
      <c r="AU31" s="32"/>
      <c r="AV31" s="32"/>
      <c r="AW31" s="32"/>
      <c r="AX31" s="32"/>
      <c r="AY31" s="56">
        <v>1000</v>
      </c>
      <c r="BS31" s="41"/>
      <c r="BT31" s="41"/>
      <c r="BU31" s="41"/>
      <c r="BW31" s="32"/>
      <c r="BX31" s="32"/>
      <c r="BZ31" s="56">
        <v>1000</v>
      </c>
      <c r="CT31" s="41"/>
      <c r="CU31" s="41"/>
      <c r="CV31" s="41"/>
      <c r="CW31" s="32"/>
      <c r="CX31" s="32"/>
      <c r="CY31" s="32"/>
      <c r="CZ31" s="32"/>
      <c r="DA31" s="56">
        <v>1000</v>
      </c>
      <c r="DX31" s="5"/>
      <c r="DY31" s="5"/>
      <c r="EH31" s="2"/>
      <c r="EI31" s="2"/>
      <c r="EK31" s="56">
        <v>1000</v>
      </c>
      <c r="FF31" s="5"/>
      <c r="FG31" s="5"/>
      <c r="FP31" s="2"/>
      <c r="FQ31" s="2"/>
      <c r="FS31" s="56">
        <v>1000</v>
      </c>
      <c r="GN31" s="5"/>
      <c r="GO31" s="5"/>
      <c r="GX31" s="2"/>
      <c r="GY31" s="2"/>
      <c r="HA31" s="56">
        <v>1000</v>
      </c>
      <c r="HV31" s="5"/>
      <c r="HW31" s="5"/>
      <c r="IF31" s="2"/>
      <c r="IG31" s="2"/>
      <c r="II31" s="56">
        <v>1000</v>
      </c>
      <c r="JD31" s="5"/>
      <c r="JE31" s="5"/>
      <c r="JN31" s="2"/>
      <c r="JO31" s="2"/>
      <c r="JQ31" s="56">
        <v>1000</v>
      </c>
      <c r="KL31" s="5"/>
      <c r="KM31" s="5"/>
      <c r="KV31" s="2"/>
      <c r="KW31" s="2"/>
      <c r="KY31" s="56">
        <v>1000</v>
      </c>
      <c r="LT31" s="5"/>
      <c r="LU31" s="5"/>
      <c r="MD31" s="2"/>
      <c r="ME31" s="2"/>
      <c r="MG31" s="56">
        <v>1000</v>
      </c>
      <c r="NB31" s="5"/>
      <c r="NC31" s="5"/>
      <c r="NL31" s="2"/>
      <c r="NM31" s="2"/>
      <c r="NO31" s="56">
        <v>1000</v>
      </c>
      <c r="OJ31" s="5"/>
      <c r="OK31" s="5"/>
      <c r="OT31" s="2"/>
      <c r="OU31" s="2"/>
      <c r="OW31" s="56">
        <v>1000</v>
      </c>
      <c r="PR31" s="5"/>
      <c r="PS31" s="5"/>
      <c r="QB31" s="2"/>
      <c r="QC31" s="2"/>
      <c r="QE31" s="56">
        <v>1000</v>
      </c>
      <c r="QZ31" s="5"/>
      <c r="RA31" s="5"/>
      <c r="RJ31" s="2"/>
      <c r="RK31" s="2"/>
      <c r="RM31" s="56">
        <v>1000</v>
      </c>
      <c r="SH31" s="5"/>
      <c r="SI31" s="5"/>
      <c r="SR31" s="2"/>
      <c r="SS31" s="2"/>
      <c r="SU31" s="56">
        <v>1000</v>
      </c>
    </row>
    <row r="32" spans="1:542" x14ac:dyDescent="0.2">
      <c r="A32" s="5"/>
      <c r="B32" s="5"/>
      <c r="C32" s="34" t="s">
        <v>41</v>
      </c>
      <c r="D32" s="5"/>
      <c r="AR32" s="41"/>
      <c r="AS32" s="41"/>
      <c r="AT32" s="41"/>
      <c r="AU32" s="32"/>
      <c r="AV32" s="32"/>
      <c r="AW32" s="32"/>
      <c r="AX32" s="32"/>
      <c r="AY32" s="57">
        <v>54</v>
      </c>
      <c r="BS32" s="41"/>
      <c r="BT32" s="41"/>
      <c r="BU32" s="41"/>
      <c r="BW32" s="32"/>
      <c r="BX32" s="32"/>
      <c r="BZ32" s="57">
        <v>54</v>
      </c>
      <c r="CT32" s="41"/>
      <c r="CU32" s="41"/>
      <c r="CV32" s="41"/>
      <c r="CW32" s="32"/>
      <c r="CX32" s="32"/>
      <c r="CY32" s="32"/>
      <c r="CZ32" s="32"/>
      <c r="DA32" s="57">
        <v>54</v>
      </c>
      <c r="DX32" s="5"/>
      <c r="DY32" s="5"/>
      <c r="EH32" s="2"/>
      <c r="EI32" s="2"/>
      <c r="EK32" s="57">
        <v>54</v>
      </c>
      <c r="FF32" s="5"/>
      <c r="FG32" s="5"/>
      <c r="FP32" s="2"/>
      <c r="FQ32" s="2"/>
      <c r="FS32" s="57">
        <v>54</v>
      </c>
      <c r="GN32" s="5"/>
      <c r="GO32" s="5"/>
      <c r="GX32" s="2"/>
      <c r="GY32" s="2"/>
      <c r="HA32" s="57">
        <v>54</v>
      </c>
      <c r="HV32" s="5"/>
      <c r="HW32" s="5"/>
      <c r="IF32" s="2"/>
      <c r="IG32" s="2"/>
      <c r="II32" s="57">
        <v>54</v>
      </c>
      <c r="JD32" s="5"/>
      <c r="JE32" s="5"/>
      <c r="JN32" s="2"/>
      <c r="JO32" s="2"/>
      <c r="JQ32" s="57">
        <v>54</v>
      </c>
      <c r="KL32" s="5"/>
      <c r="KM32" s="5"/>
      <c r="KV32" s="2"/>
      <c r="KW32" s="2"/>
      <c r="KY32" s="57">
        <v>54</v>
      </c>
      <c r="LT32" s="5"/>
      <c r="LU32" s="5"/>
      <c r="MD32" s="2"/>
      <c r="ME32" s="2"/>
      <c r="MG32" s="57">
        <v>54</v>
      </c>
      <c r="NB32" s="5"/>
      <c r="NC32" s="5"/>
      <c r="NL32" s="2"/>
      <c r="NM32" s="2"/>
      <c r="NO32" s="57">
        <v>54</v>
      </c>
      <c r="OJ32" s="5"/>
      <c r="OK32" s="5"/>
      <c r="OT32" s="2"/>
      <c r="OU32" s="2"/>
      <c r="OW32" s="57">
        <v>54</v>
      </c>
      <c r="PR32" s="5"/>
      <c r="PS32" s="5"/>
      <c r="QB32" s="2"/>
      <c r="QC32" s="2"/>
      <c r="QE32" s="57">
        <v>54</v>
      </c>
      <c r="QZ32" s="5"/>
      <c r="RA32" s="5"/>
      <c r="RJ32" s="2"/>
      <c r="RK32" s="2"/>
      <c r="RM32" s="57">
        <v>54</v>
      </c>
      <c r="SH32" s="5"/>
      <c r="SI32" s="5"/>
      <c r="SR32" s="2"/>
      <c r="SS32" s="2"/>
      <c r="SU32" s="57">
        <v>54</v>
      </c>
    </row>
    <row r="33" spans="1:515" hidden="1" x14ac:dyDescent="0.2">
      <c r="A33" s="5"/>
      <c r="B33" s="5"/>
      <c r="C33" s="24" t="s">
        <v>42</v>
      </c>
      <c r="D33" s="5"/>
      <c r="AR33" s="41"/>
      <c r="AS33" s="41"/>
      <c r="AT33" s="41"/>
      <c r="AU33" s="32"/>
      <c r="AV33" s="32"/>
      <c r="AW33" s="32"/>
      <c r="AX33" s="32"/>
      <c r="AY33" s="58">
        <v>1000</v>
      </c>
      <c r="BS33" s="41"/>
      <c r="BT33" s="41"/>
      <c r="BU33" s="41"/>
      <c r="BW33" s="32"/>
      <c r="BX33" s="32"/>
      <c r="BZ33" s="58">
        <v>1000</v>
      </c>
      <c r="CT33" s="41"/>
      <c r="CU33" s="41"/>
      <c r="CV33" s="41"/>
      <c r="CW33" s="32"/>
      <c r="CX33" s="32"/>
      <c r="CY33" s="32"/>
      <c r="CZ33" s="32"/>
      <c r="DA33" s="58">
        <v>1000</v>
      </c>
      <c r="DX33" s="5"/>
      <c r="DY33" s="5"/>
      <c r="EH33" s="2"/>
      <c r="EI33" s="2"/>
      <c r="EK33" s="58">
        <v>1000</v>
      </c>
      <c r="FF33" s="5"/>
      <c r="FG33" s="5"/>
      <c r="FP33" s="2"/>
      <c r="FQ33" s="2"/>
      <c r="FS33" s="58">
        <v>1000</v>
      </c>
      <c r="GN33" s="5"/>
      <c r="GO33" s="5"/>
      <c r="GX33" s="2"/>
      <c r="GY33" s="2"/>
      <c r="HA33" s="58">
        <v>1000</v>
      </c>
      <c r="HV33" s="5"/>
      <c r="HW33" s="5"/>
      <c r="IF33" s="2"/>
      <c r="IG33" s="2"/>
      <c r="II33" s="58">
        <v>1000</v>
      </c>
      <c r="JD33" s="5"/>
      <c r="JE33" s="5"/>
      <c r="JN33" s="2"/>
      <c r="JO33" s="2"/>
      <c r="JQ33" s="58">
        <v>1000</v>
      </c>
      <c r="KL33" s="5"/>
      <c r="KM33" s="5"/>
      <c r="KV33" s="2"/>
      <c r="KW33" s="2"/>
      <c r="KY33" s="58">
        <v>1000</v>
      </c>
      <c r="LT33" s="5"/>
      <c r="LU33" s="5"/>
      <c r="MD33" s="2"/>
      <c r="ME33" s="2"/>
      <c r="MG33" s="58">
        <v>1000</v>
      </c>
      <c r="NB33" s="5"/>
      <c r="NC33" s="5"/>
      <c r="NL33" s="2"/>
      <c r="NM33" s="2"/>
      <c r="NO33" s="58">
        <v>1000</v>
      </c>
      <c r="OJ33" s="5"/>
      <c r="OK33" s="5"/>
      <c r="OT33" s="2"/>
      <c r="OU33" s="2"/>
      <c r="OW33" s="58">
        <v>1000</v>
      </c>
      <c r="PR33" s="5"/>
      <c r="PS33" s="5"/>
      <c r="QB33" s="2"/>
      <c r="QC33" s="2"/>
      <c r="QE33" s="58">
        <v>1000</v>
      </c>
      <c r="QZ33" s="5"/>
      <c r="RA33" s="5"/>
      <c r="RJ33" s="2"/>
      <c r="RK33" s="2"/>
      <c r="RM33" s="58">
        <v>1000</v>
      </c>
      <c r="SH33" s="5"/>
      <c r="SI33" s="5"/>
      <c r="SR33" s="2"/>
      <c r="SS33" s="2"/>
      <c r="SU33" s="58">
        <v>1000</v>
      </c>
    </row>
    <row r="34" spans="1:515" hidden="1" x14ac:dyDescent="0.2">
      <c r="A34" s="5"/>
      <c r="B34" s="5"/>
      <c r="C34" s="33" t="s">
        <v>54</v>
      </c>
      <c r="D34" s="5"/>
      <c r="AR34" s="41"/>
      <c r="AS34" s="41"/>
      <c r="AT34" s="41"/>
      <c r="AU34" s="32"/>
      <c r="AV34" s="32"/>
      <c r="AW34" s="32"/>
      <c r="AX34" s="32"/>
      <c r="AY34" s="59">
        <v>1000</v>
      </c>
      <c r="BS34" s="41"/>
      <c r="BT34" s="41"/>
      <c r="BU34" s="41"/>
      <c r="BW34" s="32"/>
      <c r="BX34" s="32"/>
      <c r="BZ34" s="59">
        <v>1000</v>
      </c>
      <c r="CT34" s="41"/>
      <c r="CU34" s="41"/>
      <c r="CV34" s="41"/>
      <c r="CW34" s="32"/>
      <c r="CX34" s="32"/>
      <c r="CY34" s="32"/>
      <c r="CZ34" s="32"/>
      <c r="DA34" s="59">
        <v>1000</v>
      </c>
      <c r="DX34" s="5"/>
      <c r="DY34" s="5"/>
      <c r="EH34" s="2"/>
      <c r="EI34" s="2"/>
      <c r="EJ34" s="37"/>
      <c r="EK34" s="59">
        <v>1000</v>
      </c>
      <c r="FF34" s="5"/>
      <c r="FG34" s="5"/>
      <c r="FP34" s="2"/>
      <c r="FQ34" s="2"/>
      <c r="FR34" s="37"/>
      <c r="FS34" s="59">
        <v>1000</v>
      </c>
      <c r="GN34" s="5"/>
      <c r="GO34" s="5"/>
      <c r="GX34" s="2"/>
      <c r="GY34" s="2"/>
      <c r="GZ34" s="37"/>
      <c r="HA34" s="59">
        <v>1000</v>
      </c>
      <c r="HV34" s="5"/>
      <c r="HW34" s="5"/>
      <c r="IF34" s="2"/>
      <c r="IG34" s="2"/>
      <c r="IH34" s="37"/>
      <c r="II34" s="59">
        <v>1000</v>
      </c>
      <c r="JD34" s="5"/>
      <c r="JE34" s="5"/>
      <c r="JN34" s="2"/>
      <c r="JO34" s="2"/>
      <c r="JP34" s="37"/>
      <c r="JQ34" s="59">
        <v>1000</v>
      </c>
      <c r="KL34" s="5"/>
      <c r="KM34" s="5"/>
      <c r="KV34" s="2"/>
      <c r="KW34" s="2"/>
      <c r="KX34" s="37"/>
      <c r="KY34" s="59">
        <v>1000</v>
      </c>
      <c r="LT34" s="5"/>
      <c r="LU34" s="5"/>
      <c r="MD34" s="2"/>
      <c r="ME34" s="2"/>
      <c r="MF34" s="37"/>
      <c r="MG34" s="59">
        <v>1000</v>
      </c>
      <c r="NB34" s="5"/>
      <c r="NC34" s="5"/>
      <c r="NL34" s="2"/>
      <c r="NM34" s="2"/>
      <c r="NN34" s="37"/>
      <c r="NO34" s="59">
        <v>1000</v>
      </c>
      <c r="OJ34" s="5"/>
      <c r="OK34" s="5"/>
      <c r="OT34" s="2"/>
      <c r="OU34" s="2"/>
      <c r="OV34" s="37"/>
      <c r="OW34" s="59">
        <v>1000</v>
      </c>
      <c r="PR34" s="5"/>
      <c r="PS34" s="5"/>
      <c r="QB34" s="2"/>
      <c r="QC34" s="2"/>
      <c r="QD34" s="37"/>
      <c r="QE34" s="59">
        <v>1000</v>
      </c>
      <c r="QZ34" s="5"/>
      <c r="RA34" s="5"/>
      <c r="RJ34" s="2"/>
      <c r="RK34" s="2"/>
      <c r="RL34" s="37"/>
      <c r="RM34" s="59">
        <v>1000</v>
      </c>
      <c r="SH34" s="5"/>
      <c r="SI34" s="5"/>
      <c r="SR34" s="2"/>
      <c r="SS34" s="2"/>
      <c r="ST34" s="37"/>
      <c r="SU34" s="59">
        <v>1000</v>
      </c>
    </row>
    <row r="35" spans="1:515" hidden="1" x14ac:dyDescent="0.2">
      <c r="A35" s="5"/>
      <c r="B35" s="5"/>
      <c r="C35" s="25" t="s">
        <v>27</v>
      </c>
      <c r="D35" s="5"/>
      <c r="AR35" s="41"/>
      <c r="AS35" s="41"/>
      <c r="AT35" s="41"/>
      <c r="AU35" s="32"/>
      <c r="AV35" s="41"/>
      <c r="AW35" s="41"/>
      <c r="AX35" s="32"/>
      <c r="AY35" s="60">
        <v>1000</v>
      </c>
      <c r="BS35" s="41"/>
      <c r="BT35" s="41"/>
      <c r="BU35" s="41"/>
      <c r="BW35" s="41"/>
      <c r="BX35" s="32"/>
      <c r="BZ35" s="60">
        <v>1000</v>
      </c>
      <c r="CT35" s="41"/>
      <c r="CU35" s="41"/>
      <c r="CV35" s="41"/>
      <c r="CW35" s="32"/>
      <c r="CX35" s="41"/>
      <c r="CY35" s="32"/>
      <c r="CZ35" s="32"/>
      <c r="DA35" s="60">
        <v>1000</v>
      </c>
      <c r="DX35" s="5"/>
      <c r="DY35" s="5"/>
      <c r="EH35" s="41"/>
      <c r="EI35" s="2"/>
      <c r="EK35" s="60">
        <v>1000</v>
      </c>
      <c r="FF35" s="5"/>
      <c r="FG35" s="5"/>
      <c r="FP35" s="41"/>
      <c r="FQ35" s="2"/>
      <c r="FS35" s="60">
        <v>1000</v>
      </c>
      <c r="GN35" s="5"/>
      <c r="GO35" s="5"/>
      <c r="GX35" s="2"/>
      <c r="GY35" s="2"/>
      <c r="HA35" s="60">
        <v>1000</v>
      </c>
      <c r="HV35" s="5"/>
      <c r="HW35" s="5"/>
      <c r="IF35" s="41"/>
      <c r="IG35" s="2"/>
      <c r="II35" s="60">
        <v>1000</v>
      </c>
      <c r="JD35" s="5"/>
      <c r="JE35" s="5"/>
      <c r="JN35" s="2"/>
      <c r="JO35" s="2"/>
      <c r="JQ35" s="60">
        <v>1000</v>
      </c>
      <c r="KL35" s="5"/>
      <c r="KM35" s="5"/>
      <c r="KV35" s="2"/>
      <c r="KW35" s="2"/>
      <c r="KY35" s="60">
        <v>1000</v>
      </c>
      <c r="LT35" s="5"/>
      <c r="LU35" s="5"/>
      <c r="MD35" s="2"/>
      <c r="ME35" s="2"/>
      <c r="MG35" s="60">
        <v>1000</v>
      </c>
      <c r="NB35" s="5"/>
      <c r="NC35" s="5"/>
      <c r="NL35" s="2"/>
      <c r="NM35" s="2"/>
      <c r="NO35" s="60">
        <v>1000</v>
      </c>
      <c r="OJ35" s="5"/>
      <c r="OK35" s="5"/>
      <c r="OT35" s="2"/>
      <c r="OU35" s="2"/>
      <c r="OW35" s="60">
        <v>1000</v>
      </c>
      <c r="PR35" s="5"/>
      <c r="PS35" s="5"/>
      <c r="QB35" s="2"/>
      <c r="QC35" s="2"/>
      <c r="QE35" s="60">
        <v>1000</v>
      </c>
      <c r="QZ35" s="5"/>
      <c r="RA35" s="5"/>
      <c r="RJ35" s="2"/>
      <c r="RK35" s="2"/>
      <c r="RM35" s="60">
        <v>1000</v>
      </c>
      <c r="SH35" s="5"/>
      <c r="SI35" s="5"/>
      <c r="SR35" s="2"/>
      <c r="SS35" s="2"/>
      <c r="SU35" s="60">
        <v>1000</v>
      </c>
    </row>
    <row r="36" spans="1:515" x14ac:dyDescent="0.2">
      <c r="C36" s="29" t="s">
        <v>47</v>
      </c>
      <c r="D36" s="2"/>
      <c r="AU36" s="32"/>
      <c r="AX36" s="32"/>
      <c r="CW36" s="32"/>
      <c r="CZ36" s="32"/>
    </row>
    <row r="37" spans="1:515" x14ac:dyDescent="0.2">
      <c r="A37" s="5"/>
      <c r="B37" s="5"/>
      <c r="C37" s="5"/>
      <c r="D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515" ht="17" x14ac:dyDescent="0.2">
      <c r="A38" s="5"/>
      <c r="B38" s="5"/>
      <c r="C38" s="5"/>
      <c r="D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515" ht="17" x14ac:dyDescent="0.2">
      <c r="A39" s="5"/>
      <c r="B39" s="5"/>
      <c r="C39" s="5"/>
      <c r="D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5">
      <sortCondition descending="1" ref="H1:H26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53" priority="229" operator="containsText" text="No DD">
      <formula>NOT(ISERROR(SEARCH("No DD",J1)))</formula>
    </cfRule>
    <cfRule type="containsText" dxfId="452" priority="230" operator="containsText" text="Merit">
      <formula>NOT(ISERROR(SEARCH("Merit",J1)))</formula>
    </cfRule>
    <cfRule type="containsText" dxfId="451" priority="231" operator="containsText" text="Excellence">
      <formula>NOT(ISERROR(SEARCH("Excellence",J1)))</formula>
    </cfRule>
    <cfRule type="containsText" dxfId="450" priority="232" operator="containsText" text="Worlds Team">
      <formula>NOT(ISERROR(SEARCH("Worlds Team",J1)))</formula>
    </cfRule>
    <cfRule type="containsText" dxfId="449" priority="233" operator="containsText" text="National Team">
      <formula>NOT(ISERROR(SEARCH("National Team",J1)))</formula>
    </cfRule>
  </conditionalFormatting>
  <conditionalFormatting sqref="Y4:AY25">
    <cfRule type="expression" dxfId="448" priority="22" stopIfTrue="1">
      <formula>IF($AN4&lt;&gt;"",1,0)</formula>
    </cfRule>
  </conditionalFormatting>
  <conditionalFormatting sqref="AZ4:BZ25">
    <cfRule type="expression" dxfId="447" priority="210" stopIfTrue="1">
      <formula>IF($BO4&lt;&gt;"",1,0)</formula>
    </cfRule>
  </conditionalFormatting>
  <conditionalFormatting sqref="CA4:DA25">
    <cfRule type="expression" dxfId="446" priority="206" stopIfTrue="1">
      <formula>IF($CP4&lt;&gt;"",1,0)</formula>
    </cfRule>
  </conditionalFormatting>
  <conditionalFormatting sqref="BW36:BW1048576 BP1:BP1048576 BS1:BS1048576 BW1:BW34">
    <cfRule type="cellIs" dxfId="445" priority="52632" operator="between">
      <formula>$BZ$31</formula>
      <formula>1000</formula>
    </cfRule>
    <cfRule type="cellIs" dxfId="444" priority="52633" operator="between">
      <formula>$BZ$30</formula>
      <formula>$BZ$31</formula>
    </cfRule>
    <cfRule type="cellIs" dxfId="443" priority="52634" operator="between">
      <formula>$BZ$29</formula>
      <formula>$BZ$30</formula>
    </cfRule>
    <cfRule type="cellIs" dxfId="442" priority="52635" operator="between">
      <formula>$BZ$28</formula>
      <formula>$BZ$29</formula>
    </cfRule>
  </conditionalFormatting>
  <conditionalFormatting sqref="CX36:CX1048576 CQ1:CQ1048576 CT1:CT1048576 CX1:CX34">
    <cfRule type="cellIs" dxfId="441" priority="51509" operator="between">
      <formula>$DA$31</formula>
      <formula>1000</formula>
    </cfRule>
    <cfRule type="cellIs" dxfId="440" priority="51510" operator="between">
      <formula>$DA$30</formula>
      <formula>$DA$31</formula>
    </cfRule>
    <cfRule type="cellIs" dxfId="439" priority="51511" operator="between">
      <formula>$DA$29</formula>
      <formula>$DA$30</formula>
    </cfRule>
    <cfRule type="cellIs" dxfId="438" priority="51512" operator="between">
      <formula>$DA$28</formula>
      <formula>$DA$29</formula>
    </cfRule>
  </conditionalFormatting>
  <conditionalFormatting sqref="EH36:EH1048576 DX1:DX1048576 EA1:EA1048576 EE1:EE1048576 EH1:EH34">
    <cfRule type="cellIs" dxfId="437" priority="52660" operator="between">
      <formula>$EK$31</formula>
      <formula>1000</formula>
    </cfRule>
    <cfRule type="cellIs" dxfId="436" priority="52661" operator="between">
      <formula>$EK$30</formula>
      <formula>$EK$31</formula>
    </cfRule>
    <cfRule type="cellIs" dxfId="435" priority="52662" operator="between">
      <formula>$EK$29</formula>
      <formula>$EK$30</formula>
    </cfRule>
    <cfRule type="cellIs" dxfId="434" priority="52663" operator="between">
      <formula>$EK$28</formula>
      <formula>$EK$29</formula>
    </cfRule>
  </conditionalFormatting>
  <conditionalFormatting sqref="FP36:FP1048576 FF1:FF1048576 FI1:FI1048576 FM1:FM1048576 FP1:FP34">
    <cfRule type="cellIs" dxfId="433" priority="190" operator="between">
      <formula>$FS$31</formula>
      <formula>1000</formula>
    </cfRule>
    <cfRule type="cellIs" dxfId="432" priority="191" operator="between">
      <formula>$FS$30</formula>
      <formula>$FS$31</formula>
    </cfRule>
    <cfRule type="cellIs" dxfId="431" priority="192" operator="between">
      <formula>$FS$29</formula>
      <formula>$FS$30</formula>
    </cfRule>
    <cfRule type="cellIs" dxfId="430" priority="193" operator="between">
      <formula>$FS$28</formula>
      <formula>$FS$29</formula>
    </cfRule>
  </conditionalFormatting>
  <conditionalFormatting sqref="IF36:IF1048576 HV1:HV1048576 HY1:HY1048576 IC1:IC1048576 IF1:IF34">
    <cfRule type="cellIs" dxfId="429" priority="158" operator="between">
      <formula>$II$31</formula>
      <formula>1000</formula>
    </cfRule>
    <cfRule type="cellIs" dxfId="428" priority="159" operator="between">
      <formula>$II$30</formula>
      <formula>$II$31</formula>
    </cfRule>
    <cfRule type="cellIs" dxfId="427" priority="160" operator="between">
      <formula>$II$29</formula>
      <formula>$II$30</formula>
    </cfRule>
    <cfRule type="cellIs" dxfId="426" priority="161" operator="between">
      <formula>$II$28</formula>
      <formula>$II$29</formula>
    </cfRule>
  </conditionalFormatting>
  <conditionalFormatting sqref="AW35 AO1:AO1048576 AR1:AR1048576 AV1:AV1048576">
    <cfRule type="cellIs" dxfId="425" priority="23" operator="between">
      <formula>$AY$31</formula>
      <formula>1000</formula>
    </cfRule>
    <cfRule type="cellIs" dxfId="424" priority="24" operator="between">
      <formula>$AY$30</formula>
      <formula>$AY$31</formula>
    </cfRule>
    <cfRule type="cellIs" dxfId="423" priority="25" operator="between">
      <formula>$AY$29</formula>
      <formula>$AY$30</formula>
    </cfRule>
    <cfRule type="cellIs" dxfId="422" priority="51275" operator="between">
      <formula>$AY$28</formula>
      <formula>$AY$29</formula>
    </cfRule>
  </conditionalFormatting>
  <conditionalFormatting sqref="BW35">
    <cfRule type="cellIs" dxfId="421" priority="18" operator="between">
      <formula>$AY$31</formula>
      <formula>1000</formula>
    </cfRule>
    <cfRule type="cellIs" dxfId="420" priority="19" operator="between">
      <formula>$AY$30</formula>
      <formula>$AY$31</formula>
    </cfRule>
    <cfRule type="cellIs" dxfId="419" priority="20" operator="between">
      <formula>$AY$29</formula>
      <formula>$AY$30</formula>
    </cfRule>
    <cfRule type="cellIs" dxfId="418" priority="21" operator="between">
      <formula>$AY$28</formula>
      <formula>$AY$29</formula>
    </cfRule>
  </conditionalFormatting>
  <conditionalFormatting sqref="CX35">
    <cfRule type="cellIs" dxfId="417" priority="14" operator="between">
      <formula>$AY$31</formula>
      <formula>1000</formula>
    </cfRule>
    <cfRule type="cellIs" dxfId="416" priority="15" operator="between">
      <formula>$AY$30</formula>
      <formula>$AY$31</formula>
    </cfRule>
    <cfRule type="cellIs" dxfId="415" priority="16" operator="between">
      <formula>$AY$29</formula>
      <formula>$AY$30</formula>
    </cfRule>
    <cfRule type="cellIs" dxfId="414" priority="17" operator="between">
      <formula>$AY$28</formula>
      <formula>$AY$29</formula>
    </cfRule>
  </conditionalFormatting>
  <conditionalFormatting sqref="EH35">
    <cfRule type="cellIs" dxfId="413" priority="10" operator="between">
      <formula>$AY$31</formula>
      <formula>1000</formula>
    </cfRule>
    <cfRule type="cellIs" dxfId="412" priority="11" operator="between">
      <formula>$AY$30</formula>
      <formula>$AY$31</formula>
    </cfRule>
    <cfRule type="cellIs" dxfId="411" priority="12" operator="between">
      <formula>$AY$29</formula>
      <formula>$AY$30</formula>
    </cfRule>
    <cfRule type="cellIs" dxfId="410" priority="13" operator="between">
      <formula>$AY$28</formula>
      <formula>$AY$29</formula>
    </cfRule>
  </conditionalFormatting>
  <conditionalFormatting sqref="FP35">
    <cfRule type="cellIs" dxfId="409" priority="6" operator="between">
      <formula>$AY$31</formula>
      <formula>1000</formula>
    </cfRule>
    <cfRule type="cellIs" dxfId="408" priority="7" operator="between">
      <formula>$AY$30</formula>
      <formula>$AY$31</formula>
    </cfRule>
    <cfRule type="cellIs" dxfId="407" priority="8" operator="between">
      <formula>$AY$29</formula>
      <formula>$AY$30</formula>
    </cfRule>
    <cfRule type="cellIs" dxfId="406" priority="9" operator="between">
      <formula>$AY$28</formula>
      <formula>$AY$29</formula>
    </cfRule>
  </conditionalFormatting>
  <conditionalFormatting sqref="IF35">
    <cfRule type="cellIs" dxfId="405" priority="2" operator="between">
      <formula>$AY$31</formula>
      <formula>1000</formula>
    </cfRule>
    <cfRule type="cellIs" dxfId="404" priority="3" operator="between">
      <formula>$AY$30</formula>
      <formula>$AY$31</formula>
    </cfRule>
    <cfRule type="cellIs" dxfId="403" priority="4" operator="between">
      <formula>$AY$29</formula>
      <formula>$AY$30</formula>
    </cfRule>
    <cfRule type="cellIs" dxfId="402" priority="5" operator="between">
      <formula>$AY$28</formula>
      <formula>$AY$29</formula>
    </cfRule>
  </conditionalFormatting>
  <conditionalFormatting sqref="M1:M1048576 O1:O1048576 S1:S1048576 U1:U1048576 Q1:Q1048576">
    <cfRule type="expression" dxfId="401" priority="52651" stopIfTrue="1">
      <formula>IF(M1=$CA$1,1,0)</formula>
    </cfRule>
    <cfRule type="expression" dxfId="400" priority="52652">
      <formula>IF(M1=$AZ$1,1,0)</formula>
    </cfRule>
    <cfRule type="expression" dxfId="399" priority="52653">
      <formula>IF(M1=$Y$1,1,0)</formula>
    </cfRule>
  </conditionalFormatting>
  <conditionalFormatting sqref="A4:B1048576">
    <cfRule type="expression" dxfId="398" priority="1" stopIfTrue="1">
      <formula>AND($I4&lt;&gt;"",$H4="")</formula>
    </cfRule>
    <cfRule type="expression" dxfId="397" priority="37563" stopIfTrue="1">
      <formula>IF(A4&gt;4,1,0)</formula>
    </cfRule>
  </conditionalFormatting>
  <conditionalFormatting sqref="CV1:CV1048576 AT1:AT1048576">
    <cfRule type="cellIs" dxfId="396" priority="258698" operator="between">
      <formula>AY$35</formula>
      <formula>1000</formula>
    </cfRule>
    <cfRule type="cellIs" dxfId="395" priority="258699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94" priority="258710" operator="between">
      <formula>EK$35</formula>
      <formula>1000</formula>
    </cfRule>
    <cfRule type="cellIs" dxfId="393" priority="258711" operator="between">
      <formula>EK$34</formula>
      <formula>EK$35</formula>
    </cfRule>
  </conditionalFormatting>
  <conditionalFormatting sqref="AQ1:AQ1048576 AT1:AT1048576 AX1:AX1048576">
    <cfRule type="cellIs" dxfId="392" priority="258782" operator="between">
      <formula>$AY$35</formula>
      <formula>1000</formula>
    </cfRule>
    <cfRule type="cellIs" dxfId="391" priority="258783" operator="between">
      <formula>$AY$34</formula>
      <formula>$AY$35</formula>
    </cfRule>
    <cfRule type="cellIs" dxfId="390" priority="258784" operator="between">
      <formula>$AY$33</formula>
      <formula>$AY$34</formula>
    </cfRule>
    <cfRule type="cellIs" dxfId="389" priority="258785" operator="between">
      <formula>$AY$32</formula>
      <formula>$AY$33</formula>
    </cfRule>
  </conditionalFormatting>
  <conditionalFormatting sqref="BR1:BR1048576 BU1:BU1048576 BY1:BY1048576">
    <cfRule type="cellIs" dxfId="388" priority="258818" operator="between">
      <formula>$BZ$35</formula>
      <formula>1000</formula>
    </cfRule>
    <cfRule type="cellIs" dxfId="387" priority="258819" operator="between">
      <formula>$BZ$34</formula>
      <formula>$BZ$35</formula>
    </cfRule>
    <cfRule type="cellIs" dxfId="386" priority="258820" operator="between">
      <formula>$BZ$33</formula>
      <formula>$BZ$34</formula>
    </cfRule>
    <cfRule type="cellIs" dxfId="385" priority="258821" operator="between">
      <formula>$BZ$32</formula>
      <formula>$BZ$33</formula>
    </cfRule>
  </conditionalFormatting>
  <conditionalFormatting sqref="CS1:CS1048576 CV1:CV1048576 CZ1:CZ1048576">
    <cfRule type="cellIs" dxfId="384" priority="258854" operator="between">
      <formula>$DA$35</formula>
      <formula>1000</formula>
    </cfRule>
    <cfRule type="cellIs" dxfId="383" priority="258855" operator="between">
      <formula>$DA$34</formula>
      <formula>$DA$35</formula>
    </cfRule>
    <cfRule type="cellIs" dxfId="382" priority="258856" operator="between">
      <formula>$DA$33</formula>
      <formula>$DA$34</formula>
    </cfRule>
    <cfRule type="cellIs" dxfId="381" priority="258857" operator="between">
      <formula>$DA$32</formula>
      <formula>$DA$33</formula>
    </cfRule>
  </conditionalFormatting>
  <conditionalFormatting sqref="NB1:NB1048576 NE1:NE1048576 NI1:NI1048576 NL1:NL1048576">
    <cfRule type="cellIs" dxfId="380" priority="258890" operator="between">
      <formula>$NO$28</formula>
      <formula>$NO$29</formula>
    </cfRule>
  </conditionalFormatting>
  <conditionalFormatting sqref="DZ1:DZ1048576 EC1:EC1048576 EG1:EG1048576 EJ1:EJ1048576">
    <cfRule type="cellIs" dxfId="379" priority="258902" operator="between">
      <formula>$EK$35</formula>
      <formula>1000</formula>
    </cfRule>
    <cfRule type="cellIs" dxfId="378" priority="258903" operator="between">
      <formula>$EK$34</formula>
      <formula>$EK$35</formula>
    </cfRule>
    <cfRule type="cellIs" dxfId="377" priority="258904" operator="between">
      <formula>$EK$33</formula>
      <formula>$EK$34</formula>
    </cfRule>
    <cfRule type="cellIs" dxfId="376" priority="258905" operator="between">
      <formula>$EK$32</formula>
      <formula>$EK$33</formula>
    </cfRule>
  </conditionalFormatting>
  <conditionalFormatting sqref="FH1:FH1048576 FK1:FK1048576 FO1:FO1048576 FR1:FR1048576">
    <cfRule type="cellIs" dxfId="375" priority="258950" operator="between">
      <formula>$FS$35</formula>
      <formula>1000</formula>
    </cfRule>
    <cfRule type="cellIs" dxfId="374" priority="258951" operator="between">
      <formula>$FS$34</formula>
      <formula>$FS$35</formula>
    </cfRule>
    <cfRule type="cellIs" dxfId="373" priority="258952" operator="between">
      <formula>$FS$33</formula>
      <formula>$FS$34</formula>
    </cfRule>
    <cfRule type="cellIs" dxfId="372" priority="258953" operator="between">
      <formula>$FS$32</formula>
      <formula>$FS$33</formula>
    </cfRule>
  </conditionalFormatting>
  <conditionalFormatting sqref="GN1:GN1048576 GQ1:GQ1048576 GU1:GU1048576 GX1:GX1048576">
    <cfRule type="cellIs" dxfId="371" priority="258998" operator="between">
      <formula>$HA$31</formula>
      <formula>1000</formula>
    </cfRule>
    <cfRule type="cellIs" dxfId="370" priority="258999" operator="between">
      <formula>$HA$30</formula>
      <formula>$HA$31</formula>
    </cfRule>
    <cfRule type="cellIs" dxfId="369" priority="259000" operator="between">
      <formula>$HA$29</formula>
      <formula>$HA$30</formula>
    </cfRule>
    <cfRule type="cellIs" dxfId="368" priority="259001" operator="between">
      <formula>$HA$28</formula>
      <formula>$HA$29</formula>
    </cfRule>
  </conditionalFormatting>
  <conditionalFormatting sqref="GP1:GP1048576 GS1:GS1048576 GW1:GW1048576 GZ1:GZ1048576">
    <cfRule type="cellIs" dxfId="367" priority="259046" operator="between">
      <formula>$HA$35</formula>
      <formula>1000</formula>
    </cfRule>
    <cfRule type="cellIs" dxfId="366" priority="259047" operator="between">
      <formula>$HA$34</formula>
      <formula>$HA$35</formula>
    </cfRule>
    <cfRule type="cellIs" dxfId="365" priority="259048" operator="between">
      <formula>$HA$33</formula>
      <formula>$HA$34</formula>
    </cfRule>
    <cfRule type="cellIs" dxfId="364" priority="259049" operator="between">
      <formula>$HA$32</formula>
      <formula>$HA$33</formula>
    </cfRule>
  </conditionalFormatting>
  <conditionalFormatting sqref="HX1:HX1048576 IA1:IA1048576 IE1:IE1048576 IH1:IH1048576">
    <cfRule type="cellIs" dxfId="363" priority="259094" operator="between">
      <formula>$II$35</formula>
      <formula>1000</formula>
    </cfRule>
    <cfRule type="cellIs" dxfId="362" priority="259095" operator="between">
      <formula>$II$34</formula>
      <formula>$II$35</formula>
    </cfRule>
    <cfRule type="cellIs" dxfId="361" priority="259096" operator="between">
      <formula>$II$33</formula>
      <formula>$II$34</formula>
    </cfRule>
    <cfRule type="cellIs" dxfId="360" priority="259097" operator="between">
      <formula>$II$32</formula>
      <formula>$II$33</formula>
    </cfRule>
  </conditionalFormatting>
  <conditionalFormatting sqref="JD1:JD1048576 JG1:JG1048576 JK1:JK1048576 JN1:JN1048576">
    <cfRule type="cellIs" dxfId="359" priority="259142" operator="between">
      <formula>$JQ$31</formula>
      <formula>1000</formula>
    </cfRule>
    <cfRule type="cellIs" dxfId="358" priority="259143" operator="between">
      <formula>$JQ$30</formula>
      <formula>$JQ$31</formula>
    </cfRule>
    <cfRule type="cellIs" dxfId="357" priority="259144" operator="between">
      <formula>$JQ$29</formula>
      <formula>$JQ$30</formula>
    </cfRule>
    <cfRule type="cellIs" dxfId="356" priority="259145" operator="between">
      <formula>$JQ$28</formula>
      <formula>$JQ$29</formula>
    </cfRule>
  </conditionalFormatting>
  <conditionalFormatting sqref="JF1:JF1048576 JI1:JI1048576 JM1:JM1048576 JP1:JP1048576">
    <cfRule type="cellIs" dxfId="355" priority="259190" operator="between">
      <formula>$JQ$35</formula>
      <formula>1000</formula>
    </cfRule>
    <cfRule type="cellIs" dxfId="354" priority="259191" operator="between">
      <formula>$JQ$34</formula>
      <formula>$JQ$35</formula>
    </cfRule>
    <cfRule type="cellIs" dxfId="353" priority="259192" operator="between">
      <formula>$JQ$33</formula>
      <formula>$JQ$34</formula>
    </cfRule>
    <cfRule type="cellIs" dxfId="352" priority="259193" operator="between">
      <formula>$JQ$32</formula>
      <formula>$JQ$33</formula>
    </cfRule>
  </conditionalFormatting>
  <conditionalFormatting sqref="KL1:KL1048576 KO1:KO1048576 KS1:KS1048576 KV1:KV1048576">
    <cfRule type="cellIs" dxfId="351" priority="259238" operator="between">
      <formula>$KY$31</formula>
      <formula>1000</formula>
    </cfRule>
    <cfRule type="cellIs" dxfId="350" priority="259239" operator="between">
      <formula>$KY$30</formula>
      <formula>$KY$31</formula>
    </cfRule>
    <cfRule type="cellIs" dxfId="349" priority="259240" operator="between">
      <formula>$KY$29</formula>
      <formula>$KY$30</formula>
    </cfRule>
    <cfRule type="cellIs" dxfId="348" priority="259241" operator="between">
      <formula>$KY$28</formula>
      <formula>$KY$29</formula>
    </cfRule>
  </conditionalFormatting>
  <conditionalFormatting sqref="KN1:KN1048576 KQ1:KQ1048576 KU1:KU1048576 KX1:KX1048576">
    <cfRule type="cellIs" dxfId="347" priority="259286" operator="between">
      <formula>$KY$35</formula>
      <formula>1000</formula>
    </cfRule>
    <cfRule type="cellIs" dxfId="346" priority="259287" operator="between">
      <formula>$KY$34</formula>
      <formula>$KY$35</formula>
    </cfRule>
    <cfRule type="cellIs" dxfId="345" priority="259288" operator="between">
      <formula>$KY$33</formula>
      <formula>$KY$34</formula>
    </cfRule>
    <cfRule type="cellIs" dxfId="344" priority="259289" operator="between">
      <formula>$KY$32</formula>
      <formula>$KY$33</formula>
    </cfRule>
  </conditionalFormatting>
  <conditionalFormatting sqref="LT1:LT1048576 LW1:LW1048576 MA1:MA1048576 MD1:MD1048576">
    <cfRule type="cellIs" dxfId="343" priority="259334" operator="between">
      <formula>$MG$31</formula>
      <formula>1000</formula>
    </cfRule>
    <cfRule type="cellIs" dxfId="342" priority="259335" operator="between">
      <formula>$MG$30</formula>
      <formula>$MG$31</formula>
    </cfRule>
    <cfRule type="cellIs" dxfId="341" priority="259336" operator="between">
      <formula>$MG$29</formula>
      <formula>$MG$30</formula>
    </cfRule>
    <cfRule type="cellIs" dxfId="340" priority="259337" operator="between">
      <formula>$MG$28</formula>
      <formula>$MG$29</formula>
    </cfRule>
  </conditionalFormatting>
  <conditionalFormatting sqref="LV1:LV1048576 LY1:LY1048576 MC1:MC1048576 MF1:MF1048576">
    <cfRule type="cellIs" dxfId="339" priority="259382" operator="between">
      <formula>$MG$35</formula>
      <formula>1000</formula>
    </cfRule>
    <cfRule type="cellIs" dxfId="338" priority="259383" operator="between">
      <formula>$MG$34</formula>
      <formula>$MG$35</formula>
    </cfRule>
    <cfRule type="cellIs" dxfId="337" priority="259384" operator="between">
      <formula>$MG$33</formula>
      <formula>$MG$34</formula>
    </cfRule>
    <cfRule type="cellIs" dxfId="336" priority="259385" operator="between">
      <formula>$MG$32</formula>
      <formula>$MG$33</formula>
    </cfRule>
  </conditionalFormatting>
  <conditionalFormatting sqref="NB1:NB1048576 NE1:NE1048576 NI1:NI1048576">
    <cfRule type="cellIs" dxfId="335" priority="259430" operator="between">
      <formula>$NO$31</formula>
      <formula>1000</formula>
    </cfRule>
    <cfRule type="cellIs" dxfId="334" priority="259431" operator="between">
      <formula>$NO$30</formula>
      <formula>$NO$31</formula>
    </cfRule>
    <cfRule type="cellIs" dxfId="333" priority="259432" operator="between">
      <formula>$NO$29</formula>
      <formula>$NO$30</formula>
    </cfRule>
  </conditionalFormatting>
  <conditionalFormatting sqref="ND1:ND1048576 NG1:NG1048576 NK1:NK1048576 NN1:NN1048576">
    <cfRule type="cellIs" dxfId="332" priority="259457" operator="between">
      <formula>$NO$35</formula>
      <formula>1000</formula>
    </cfRule>
    <cfRule type="cellIs" dxfId="331" priority="259458" operator="between">
      <formula>$NO$34</formula>
      <formula>$NO$35</formula>
    </cfRule>
    <cfRule type="cellIs" dxfId="330" priority="259459" operator="between">
      <formula>$NO$33</formula>
      <formula>$NO$34</formula>
    </cfRule>
    <cfRule type="cellIs" dxfId="329" priority="259460" operator="between">
      <formula>$NO$32</formula>
      <formula>$NO$33</formula>
    </cfRule>
  </conditionalFormatting>
  <conditionalFormatting sqref="OJ1:OJ1048576 OM1:OM1048576 OQ1:OQ1048576 OT1:OT1048576">
    <cfRule type="cellIs" dxfId="328" priority="259505" operator="between">
      <formula>$OW$31</formula>
      <formula>1000</formula>
    </cfRule>
    <cfRule type="cellIs" dxfId="327" priority="259506" operator="between">
      <formula>$OW$30</formula>
      <formula>$OW$31</formula>
    </cfRule>
    <cfRule type="cellIs" dxfId="326" priority="259507" operator="between">
      <formula>$OW$29</formula>
      <formula>$OW$30</formula>
    </cfRule>
    <cfRule type="cellIs" dxfId="325" priority="259508" operator="between">
      <formula>$OW$28</formula>
      <formula>$OW$29</formula>
    </cfRule>
  </conditionalFormatting>
  <conditionalFormatting sqref="OL1:OL1048576 OO1:OO1048576 OS1:OS1048576 OV1:OV1048576">
    <cfRule type="cellIs" dxfId="324" priority="259553" operator="between">
      <formula>$OW$35</formula>
      <formula>1000</formula>
    </cfRule>
    <cfRule type="cellIs" dxfId="323" priority="259554" operator="between">
      <formula>$OW$34</formula>
      <formula>$OW$35</formula>
    </cfRule>
    <cfRule type="cellIs" dxfId="322" priority="259555" operator="between">
      <formula>$OW$33</formula>
      <formula>$OW$34</formula>
    </cfRule>
    <cfRule type="cellIs" dxfId="321" priority="259556" operator="between">
      <formula>$OW$32</formula>
      <formula>$OW$33</formula>
    </cfRule>
  </conditionalFormatting>
  <conditionalFormatting sqref="PR1:PR1048576 PU1:PU1048576 PY1:PY1048576 QB1:QB1048576">
    <cfRule type="cellIs" dxfId="320" priority="259601" operator="between">
      <formula>$QE$31</formula>
      <formula>1000</formula>
    </cfRule>
    <cfRule type="cellIs" dxfId="319" priority="259602" operator="between">
      <formula>$QE$30</formula>
      <formula>$QE$31</formula>
    </cfRule>
    <cfRule type="cellIs" dxfId="318" priority="259603" operator="between">
      <formula>$QE$29</formula>
      <formula>$QE$30</formula>
    </cfRule>
    <cfRule type="cellIs" dxfId="317" priority="259604" operator="between">
      <formula>$QE$28</formula>
      <formula>$QE$29</formula>
    </cfRule>
  </conditionalFormatting>
  <conditionalFormatting sqref="PT1:PT1048576 PW1:PW1048576 QA1:QA1048576 QD1:QD1048576">
    <cfRule type="cellIs" dxfId="316" priority="259649" operator="between">
      <formula>$QE$35</formula>
      <formula>1000</formula>
    </cfRule>
    <cfRule type="cellIs" dxfId="315" priority="259650" operator="between">
      <formula>$QE$34</formula>
      <formula>$QE$35</formula>
    </cfRule>
    <cfRule type="cellIs" dxfId="314" priority="259651" operator="between">
      <formula>$QE$33</formula>
      <formula>$QE$34</formula>
    </cfRule>
    <cfRule type="cellIs" dxfId="313" priority="259652" operator="between">
      <formula>$QE$32</formula>
      <formula>$QE$33</formula>
    </cfRule>
  </conditionalFormatting>
  <conditionalFormatting sqref="QZ1:QZ1048576 RC1:RC1048576 RG1:RG1048576 RJ1:RJ1048576">
    <cfRule type="cellIs" dxfId="312" priority="259697" operator="between">
      <formula>$RM$31</formula>
      <formula>1000</formula>
    </cfRule>
    <cfRule type="cellIs" dxfId="311" priority="259698" operator="between">
      <formula>$RM$30</formula>
      <formula>$RM$31</formula>
    </cfRule>
    <cfRule type="cellIs" dxfId="310" priority="259699" operator="between">
      <formula>$RM$29</formula>
      <formula>$RM$30</formula>
    </cfRule>
    <cfRule type="cellIs" dxfId="309" priority="259700" operator="between">
      <formula>$RM$28</formula>
      <formula>$RM$29</formula>
    </cfRule>
  </conditionalFormatting>
  <conditionalFormatting sqref="RB1:RB1048576 RE1:RE1048576 RI1:RI1048576 RL1:RL1048576">
    <cfRule type="cellIs" dxfId="308" priority="259745" operator="between">
      <formula>$RM$35</formula>
      <formula>1000</formula>
    </cfRule>
    <cfRule type="cellIs" dxfId="307" priority="259746" operator="between">
      <formula>$RM$34</formula>
      <formula>$RM$35</formula>
    </cfRule>
    <cfRule type="cellIs" dxfId="306" priority="259747" operator="between">
      <formula>$RM$33</formula>
      <formula>$RM$34</formula>
    </cfRule>
    <cfRule type="cellIs" dxfId="305" priority="259748" operator="between">
      <formula>$RM$32</formula>
      <formula>$RM$33</formula>
    </cfRule>
  </conditionalFormatting>
  <conditionalFormatting sqref="SH1:SH1048576 SK1:SK1048576 SO1:SO1048576 SR1:SR1048576">
    <cfRule type="cellIs" dxfId="304" priority="259793" operator="between">
      <formula>$SU$31</formula>
      <formula>1000</formula>
    </cfRule>
    <cfRule type="cellIs" dxfId="303" priority="259794" operator="between">
      <formula>$SU$30</formula>
      <formula>$SU$31</formula>
    </cfRule>
    <cfRule type="cellIs" dxfId="302" priority="259795" operator="between">
      <formula>$SU$29</formula>
      <formula>$SU$30</formula>
    </cfRule>
    <cfRule type="cellIs" dxfId="301" priority="259796" operator="between">
      <formula>$SU$28</formula>
      <formula>$SU$29</formula>
    </cfRule>
  </conditionalFormatting>
  <conditionalFormatting sqref="SJ1:SJ1048576 SM1:SM1048576 SQ1:SQ1048576 ST1:ST1048576">
    <cfRule type="cellIs" dxfId="300" priority="259841" operator="between">
      <formula>$SU$35</formula>
      <formula>1000</formula>
    </cfRule>
    <cfRule type="cellIs" dxfId="299" priority="259842" operator="between">
      <formula>$SU$34</formula>
      <formula>$SU$35</formula>
    </cfRule>
    <cfRule type="cellIs" dxfId="298" priority="259843" operator="between">
      <formula>$SU$33</formula>
      <formula>$SU$34</formula>
    </cfRule>
    <cfRule type="cellIs" dxfId="297" priority="25984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168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184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196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183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193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195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202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203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DD"),SUMPRODUCT((J$4:J$11&lt;&gt;"")*(J$4:J$11&lt;&gt;"No DD")*(F$4:F$11&gt;F4))+1,IF(J4="No DD",SUMPRODUCT((J$4:J$11="No DD")*(F$4:F$11&gt;F4))+1+SUMPRODUCT((J$4:J$11&lt;&gt;"")*(J$4:J$11&lt;&gt;"No DD")),""))</f>
        <v>1</v>
      </c>
      <c r="B4" s="4" t="str" cm="1">
        <f t="array" ref="B4">IF(AND(J4&lt;&gt;"",J4&lt;&gt;"No DD",G4=""),SUMPRODUCT((J$4:J$11&lt;&gt;"")*(J$4:J$11&lt;&gt;"No DD")*(G$4:G$11="")*(F$4:F$11&gt;F4))+1,IF(J4="No DD",SUMPRODUCT((J$4:J$11="No DD")*(F$4:F$11&gt;F4)*(G$4:G$11=""))+1+SUMPRODUCT((J$4:J$11&lt;&gt;"")*(G$4:G$11="")*(J$4:J$11&lt;&gt;"No DD")),""))</f>
        <v/>
      </c>
      <c r="C4" s="5" t="s">
        <v>90</v>
      </c>
      <c r="D4" s="4" t="s">
        <v>3</v>
      </c>
      <c r="E4" s="4">
        <v>2004</v>
      </c>
      <c r="F4" s="9">
        <f>SUM(L4:V4)+SUM(L4:T4)*0.0000001+SUM(L4)*0.0000000000001</f>
        <v>188.46001873800532</v>
      </c>
      <c r="G4" s="64" t="s">
        <v>46</v>
      </c>
      <c r="H4" s="3" t="str">
        <f>IF(OR(AND(AO4&gt;=AY$13,AO4&lt;&gt;"",AQ4&gt;=AY$17,AQ4&lt;&gt;"",AN4=""),AND(AR4&gt;=AY$13,AR4&lt;&gt;"",AT4&gt;=AY$17,AT4&lt;&gt;"",AN4=""),AND(AV4&gt;=AY$13,AV4&lt;&gt;"",AX4&gt;=AY$17,AX4&lt;&gt;"",AN4=""),AND(BP4&gt;=BZ$13,BP4&lt;&gt;"",BR4&gt;=BZ$17,BR4&lt;&gt;"",BO4=""),AND(BS4&gt;=BZ$13,BS4&lt;&gt;"",BU4&gt;=BZ$17,BU4&lt;&gt;"",BO4=""),AND(BW4&gt;=BZ$13,BW4&lt;&gt;"",BY4&gt;=BZ$17,BY4&lt;&gt;"",BO4=""),AND(CQ4&gt;=DA$13,CQ4&lt;&gt;"",CS4&gt;=DA$17,CS4&lt;&gt;"",CP4=""),AND(CT4&gt;=DA$13,CT4&lt;&gt;"",CV4&gt;=DA$17,CV4&lt;&gt;"",CP4=""),AND(CX4&gt;=DA$13,CX4&lt;&gt;"",CZ4&gt;=DA$17,CZ4&lt;&gt;"",CP4=""),AND(DX4&gt;=EK$13,DX4&lt;&gt;"",DZ4&gt;=EK$17,DZ4&lt;&gt;""),AND(EA4&gt;=EK$13,EA4&lt;&gt;"",EC4&gt;=EK$17,EC4&lt;&gt;""),AND(EE4&gt;=EK$13,EE4&lt;&gt;"",EG4&gt;=EK$17,EG4&lt;&gt;""),AND(EH4&gt;=EK$13,EH4&lt;&gt;"",EJ4&gt;=EK$17,EJ4&lt;&gt;""),AND(FF4&gt;=FS$13,FF4&lt;&gt;"",FH4&gt;=FS$17,FH4&lt;&gt;""),AND(FI4&gt;=FS$13,FI4&lt;&gt;"",FK4&gt;=FS$17,FK4&lt;&gt;""),AND(FM4&gt;=FS$13,FM4&lt;&gt;"",FO4&gt;=FS$17,FO4&lt;&gt;""),AND(FP4&gt;=FS$13,FP4&lt;&gt;"",FR4&gt;=FS$17,FR4&lt;&gt;""),AND(GN4&gt;=HA$13,GN4&lt;&gt;"",GP4&gt;=HA$17,GP4&lt;&gt;""),AND(GQ4&gt;=HA$13,GQ4&lt;&gt;"",GS4&gt;=HA$17,GS4&lt;&gt;""),AND(GU4&gt;=HA$13,GU4&lt;&gt;"",GW4&gt;=HA$17,GW4&lt;&gt;""),AND(GX4&gt;=HA$13,GX4&lt;&gt;"",GZ4&gt;=HA$17,GZ4&lt;&gt;""),AND(HV4&gt;=II$13,HV4&lt;&gt;"",HX4&gt;=II$17,HX4&lt;&gt;""),AND(HY4&gt;=II$13,HY4&lt;&gt;"",IA4&gt;=II$17,IA4&lt;&gt;""),AND(IC4&gt;=II$13,IC4&lt;&gt;"",IE4&gt;=II$17,IE4&lt;&gt;""),AND(IF4&gt;=II$13,IF4&lt;&gt;"",IH4&gt;=II$17,IH4&lt;&gt;""),AND(JD4&gt;=JQ$13,JD4&lt;&gt;"",JF4&gt;=JQ$17,JF4&lt;&gt;""),AND(JG4&gt;=JQ$13,JG4&lt;&gt;"",JI4&gt;=JQ$17,JI4&lt;&gt;""),AND(JK4&gt;=JQ$13,JK4&lt;&gt;"",JM4&gt;=JQ$17,JM4&lt;&gt;""),AND(JN4&gt;=JQ$13,JN4&lt;&gt;"",JP4&gt;=JQ$17,JP4&lt;&gt;""),AND(KL4&gt;=KY$13,KL4&lt;&gt;"",KN4&gt;=KY$17,KN4&lt;&gt;""),AND(KO4&gt;=KY$13,KO4&lt;&gt;"",KQ4&gt;=KY$17,KQ4&lt;&gt;""),AND(KS4&gt;=KY$13,KS4&lt;&gt;"",KU4&gt;=KY$17,KU4&lt;&gt;""),AND(KV4&gt;=KY$13,KV4&lt;&gt;"",KX4&gt;=KY$17,KX4&lt;&gt;""),AND(LT4&gt;=MG$13,LT4&lt;&gt;"",LV4&gt;=MG$17,LV4&lt;&gt;""),AND(LW4&gt;=MG$13,LW4&lt;&gt;"",LY4&gt;=MG$17,LY4&lt;&gt;""),AND(MA4&gt;=MG$13,MA4&lt;&gt;"",MC4&gt;=MG$17,MC4&lt;&gt;""),AND(MD4&gt;=MG$13,MD4&lt;&gt;"",MF4&gt;=MG$17,MF4&lt;&gt;""),AND(NB4&gt;=NO$13,NB4&lt;&gt;"",ND4&gt;=NO$17,ND4&lt;&gt;""),AND(NE4&gt;=NO$13,NE4&lt;&gt;"",NG4&gt;=NO$17,NG4&lt;&gt;""),AND(NI4&gt;=NO$13,NI4&lt;&gt;"",NK4&gt;=NO$17,NK4&lt;&gt;""),AND(NL4&gt;=NO$13,NL4&lt;&gt;"",NN4&gt;=NO$17,NN4&lt;&gt;""),AND(OJ4&gt;=OW$13,OJ4&lt;&gt;"",OL4&gt;=OW$17,OL4&lt;&gt;""),AND(OM4&gt;=OW$13,OM4&lt;&gt;"",OO4&gt;=OW$17,OO4&lt;&gt;""),AND(OQ4&gt;=OW$13,OQ4&lt;&gt;"",OS4&gt;=OW$17,OS4&lt;&gt;""),AND(OT4&gt;=OW$13,OT4&lt;&gt;"",OV4&gt;=OW$17,OV4&lt;&gt;""),AND(PR4&gt;=QE$13,PR4&lt;&gt;"",PT4&gt;=QE$17,PT4&lt;&gt;""),AND(PU4&gt;=QE$13,PU4&lt;&gt;"",PW4&gt;=QE$17,PW4&lt;&gt;""),AND(PY4&gt;=QE$13,PY4&lt;&gt;"",QA4&gt;=QE$17,QA4&lt;&gt;""),AND(QB4&gt;=QE$13,QB4&lt;&gt;"",QD4&gt;=QE$17,QD4&lt;&gt;""),AND(QZ4&gt;=RM$13,QZ4&lt;&gt;"",RB4&gt;=RM$17,RB4&lt;&gt;""),AND(RC4&gt;=RM$13,RC4&lt;&gt;"",RE4&gt;=RM$17,RE4&lt;&gt;""),AND(RG4&gt;=RM$13,RG4&lt;&gt;"",RI4&gt;=RM$17,RI4&lt;&gt;""),AND(RJ4&gt;=RM$13,RJ4&lt;&gt;"",RL4&gt;=RM$17,RL4&lt;&gt;""),AND(SH4&gt;=SU$13,SH4&lt;&gt;"",SJ4&gt;=SU$17,SJ4&lt;&gt;""),AND(SK4&gt;=SU$13,SK4&lt;&gt;"",SM4&gt;=SU$17,SM4&lt;&gt;""),AND(SO4&gt;=SU$13,SO4&lt;&gt;"",SQ4&gt;=SU$17,SQ4&lt;&gt;""),AND(SR4&gt;=SU$13,SR4&lt;&gt;"",ST4&gt;=SU$17,ST4&lt;&gt;"")),"P","")</f>
        <v>P</v>
      </c>
      <c r="I4" s="3" t="str">
        <f>IF(OR(AND(AQ4&gt;=AY$17,AQ4&lt;&gt;"",AN4=""),AND(AT4&gt;=AY$17,AT4&lt;&gt;"",AN4=""),AND(AX4&gt;=AY$17,AX4&lt;&gt;"",AN4=""),AND(BR4&gt;=BZ$17,BR4&lt;&gt;"",BO4=""),AND(BU4&gt;=BZ$17,BU4&lt;&gt;"",BO4=""),AND(BY4&gt;=BZ$17,BY4&lt;&gt;"",BO4=""),AND(CS4&gt;=DA$17,CS4&lt;&gt;"",CP4=""),AND(CV4&gt;=DA$17,CV4&lt;&gt;"",CP4=""),AND(CZ4&gt;=DA$17,CZ4&lt;&gt;"",CP4=""),AND(DZ4&gt;=EK$17,DZ4&lt;&gt;""),AND(EC4&gt;=EK$17,EC4&lt;&gt;""),AND(EG4&gt;=EK$17,EG4&lt;&gt;""),AND(EJ4&gt;=EK$17,EJ4&lt;&gt;""),AND(FH4&gt;=FS$17,FH4&lt;&gt;""),AND(FK4&gt;=FS$17,FK4&lt;&gt;""),AND(FO4&gt;=FS$17,FO4&lt;&gt;""),AND(FR4&gt;=FS$17,FR4&lt;&gt;""),AND(GP4&gt;=HA$17,GP4&lt;&gt;""),AND(GS4&gt;=HA$17,GS4&lt;&gt;""),AND(GW4&gt;=HA$17,GW4&lt;&gt;""),AND(GZ4&gt;=HA$17,GZ4&lt;&gt;""),AND(HX4&gt;=II$17,HX4&lt;&gt;""),AND(IA4&gt;=II$17,IA4&lt;&gt;""),AND(IE4&gt;=II$17,IE4&lt;&gt;""),AND(IH4&gt;=II$17,IH4&lt;&gt;""),AND(JF4&gt;=JQ$17,JF4&lt;&gt;""),AND(JI4&gt;=JQ$17,JI4&lt;&gt;""),AND(JM4&gt;=JQ$17,JM4&lt;&gt;""),AND(JP4&gt;=JQ$17,JP4&lt;&gt;""),AND(KN4&gt;=KY$17,KN4&lt;&gt;""),AND(KQ4&gt;=KY$17,KQ4&lt;&gt;""),AND(KU4&gt;=KY$17,KU4&lt;&gt;""),AND(KX4&gt;=KY$17,KX4&lt;&gt;""),AND(LV4&gt;=MG$17,LV4&lt;&gt;""),AND(LY4&gt;=MG$17,LY4&lt;&gt;""),AND(MC4&gt;=MG$17,MC4&lt;&gt;""),AND(MF4&gt;=MG$17,MF4&lt;&gt;""),AND(ND4&gt;=NO$17,ND4&lt;&gt;""),AND(NG4&gt;=NO$17,NG4&lt;&gt;""),AND(NK4&gt;=NO$17,NK4&lt;&gt;""),AND(NN4&gt;=NO$17,NN4&lt;&gt;""),AND(OL4&gt;=OW$17,OL4&lt;&gt;""),AND(OO4&gt;=OW$17,OO4&lt;&gt;""),AND(OS4&gt;=OW$17,OS4&lt;&gt;""),AND(OV4&gt;=OW$17,OV4&lt;&gt;""),AND(PT4&gt;=QE$17,PT4&lt;&gt;""),AND(PW4&gt;=QE$17,PW4&lt;&gt;""),AND(QA4&gt;=QE$17,QA4&lt;&gt;""),AND(QD4&gt;=QE$17,QD4&lt;&gt;""),AND(RB4&gt;=RM$17,RB4&lt;&gt;""),AND(RE4&gt;=RM$17,RE4&lt;&gt;""),AND(RI4&gt;=RM$17,RI4&lt;&gt;""),AND(RL4&gt;=RM$17,RL4&lt;&gt;""),AND(SJ4&gt;=SU$17,SJ4&lt;&gt;""),AND(SM4&gt;=SU$17,SM4&lt;&gt;""),AND(SQ4&gt;=SU$17,SQ4&lt;&gt;""),AND(ST4&gt;=SU$17,ST4&lt;&gt;"")),"P","")</f>
        <v>P</v>
      </c>
      <c r="J4" s="36" t="str">
        <f>IF(AND(I4="P",H4=""),"No DD",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Merit",IF(OR(AND(AO4&gt;=AY$15,AO4&lt;&gt;"",AQ4&gt;=AY$19,AQ4&lt;&gt;"",AN4=""),AND(AR4&gt;=AY$15,AR4&lt;&gt;"",AT4&gt;=AY$19,AT4&lt;&gt;"",AN4=""),AND(AV4&gt;=AY$15,AV4&lt;&gt;"",AX4&gt;=AY$19,AX4&lt;&gt;"",AN4=""),AND(BP4&gt;=BZ$15,BP4&lt;&gt;"",BR4&gt;=BZ$19,BR4&lt;&gt;"",BO4=""),AND(BS4&gt;=BZ$15,BS4&lt;&gt;"",BU4&gt;=BZ$19,BU4&lt;&gt;"",BO4=""),AND(BW4&gt;=BZ$15,BW4&lt;&gt;"",BY4&gt;=BZ$19,BY4&lt;&gt;"",BO4=""),AND(CQ4&gt;=DA$15,CQ4&lt;&gt;"",CS4&gt;=DA$19,CS4&lt;&gt;"",CP4=""),AND(CT4&gt;=DA$15,CT4&lt;&gt;"",CV4&gt;=DA$19,CV4&lt;&gt;"",CP4=""),AND(CX4&gt;=DA$15,CX4&lt;&gt;"",CZ4&gt;=DA$19,CZ4&lt;&gt;"",CP4=""),AND(DX4&gt;=EK$15,DX4&lt;&gt;"",DZ4&gt;=EK$19,DZ4&lt;&gt;""),AND(EA4&gt;=EK$15,EA4&lt;&gt;"",EC4&gt;=EK$19,EC4&lt;&gt;""),AND(EE4&gt;=EK$15,EE4&lt;&gt;"",EG4&gt;=EK$19,EG4&lt;&gt;""),AND(EH4&gt;=EK$15,EH4&lt;&gt;"",EJ4&gt;=EK$19,EJ4&lt;&gt;""),AND(FF4&gt;=FS$15,FF4&lt;&gt;"",FH4&gt;=FS$19,FH4&lt;&gt;""),AND(FI4&gt;=FS$15,FI4&lt;&gt;"",FK4&gt;=FS$19,FK4&lt;&gt;""),AND(FM4&gt;=FS$15,FM4&lt;&gt;"",FO4&gt;=FS$19,FO4&lt;&gt;""),AND(FP4&gt;=FS$15,FP4&lt;&gt;"",FR4&gt;=FS$19,FR4&lt;&gt;""),AND(GN4&gt;=HA$15,GN4&lt;&gt;"",GP4&gt;=HA$19,GP4&lt;&gt;""),AND(GQ4&gt;=HA$15,GQ4&lt;&gt;"",GS4&gt;=HA$19,GS4&lt;&gt;""),AND(GU4&gt;=HA$15,GU4&lt;&gt;"",GW4&gt;=HA$19,GW4&lt;&gt;""),AND(GX4&gt;=HA$15,GX4&lt;&gt;"",GZ4&gt;=HA$19,GZ4&lt;&gt;""),AND(HV4&gt;=II$15,HV4&lt;&gt;"",HX4&gt;=II$19,HX4&lt;&gt;""),AND(HY4&gt;=II$15,HY4&lt;&gt;"",IA4&gt;=II$19,IA4&lt;&gt;""),AND(IC4&gt;=II$15,IC4&lt;&gt;"",IE4&gt;=II$19,IE4&lt;&gt;""),AND(IF4&gt;=II$15,IF4&lt;&gt;"",IH4&gt;=II$19,IH4&lt;&gt;""),AND(JD4&gt;=JQ$15,JD4&lt;&gt;"",JF4&gt;=JQ$19,JF4&lt;&gt;""),AND(JG4&gt;=JQ$15,JG4&lt;&gt;"",JI4&gt;=JQ$19,JI4&lt;&gt;""),AND(JK4&gt;=JQ$15,JK4&lt;&gt;"",JM4&gt;=JQ$19,JM4&lt;&gt;""),AND(JN4&gt;=JQ$15,JN4&lt;&gt;"",JP4&gt;=JQ$19,JP4&lt;&gt;""),AND(KL4&gt;=KY$15,KL4&lt;&gt;"",KN4&gt;=KY$19,KN4&lt;&gt;""),AND(KO4&gt;=KY$15,KO4&lt;&gt;"",KQ4&gt;=KY$19,KQ4&lt;&gt;""),AND(KS4&gt;=KY$15,KS4&lt;&gt;"",KU4&gt;=KY$19,KU4&lt;&gt;""),AND(KV4&gt;=KY$15,KV4&lt;&gt;"",KX4&gt;=KY$19,KX4&lt;&gt;""),AND(LT4&gt;=MG$15,LT4&lt;&gt;"",LV4&gt;=MG$19,LV4&lt;&gt;""),AND(LW4&gt;=MG$15,LW4&lt;&gt;"",LY4&gt;=MG$19,LY4&lt;&gt;""),AND(MA4&gt;=MG$15,MA4&lt;&gt;"",MC4&gt;=MG$19,MC4&lt;&gt;""),AND(MD4&gt;=MG$15,MD4&lt;&gt;"",MF4&gt;=MG$19,MF4&lt;&gt;""),AND(NB4&gt;=NO$15,NB4&lt;&gt;"",ND4&gt;=NO$19,ND4&lt;&gt;""),AND(NE4&gt;=NO$15,NE4&lt;&gt;"",NG4&gt;=NO$19,NG4&lt;&gt;""),AND(NI4&gt;=NO$15,NI4&lt;&gt;"",NK4&gt;=NO$19,NK4&lt;&gt;""),AND(NL4&gt;=NO$15,NL4&lt;&gt;"",NN4&gt;=NO$19,NN4&lt;&gt;""),AND(OJ4&gt;=OW$15,OJ4&lt;&gt;"",OL4&gt;=OW$19,OL4&lt;&gt;""),AND(OM4&gt;=OW$15,OM4&lt;&gt;"",OO4&gt;=OW$19,OO4&lt;&gt;""),AND(OQ4&gt;=OW$15,OQ4&lt;&gt;"",OS4&gt;=OW$19,OS4&lt;&gt;""),AND(OT4&gt;=OW$15,OT4&lt;&gt;"",OV4&gt;=OW$19,OV4&lt;&gt;""),AND(PR4&gt;=QE$15,PR4&lt;&gt;"",PT4&gt;=QE$19,PT4&lt;&gt;""),AND(PU4&gt;=QE$15,PU4&lt;&gt;"",PW4&gt;=QE$19,PW4&lt;&gt;""),AND(PY4&gt;=QE$15,PY4&lt;&gt;"",QA4&gt;=QE$19,QA4&lt;&gt;""),AND(QB4&gt;=QE$15,QB4&lt;&gt;"",QD4&gt;=QE$19,QD4&lt;&gt;""),AND(QZ4&gt;=RM$15,QZ4&lt;&gt;"",RB4&gt;=RM$19,RB4&lt;&gt;""),AND(RC4&gt;=RM$15,RC4&lt;&gt;"",RE4&gt;=RM$19,RE4&lt;&gt;""),AND(RG4&gt;=RM$15,RG4&lt;&gt;"",RI4&gt;=RM$19,RI4&lt;&gt;""),AND(RJ4&gt;=RM$15,RJ4&lt;&gt;"",RL4&gt;=RM$19,RL4&lt;&gt;""),AND(SH4&gt;=SU$15,SH4&lt;&gt;"",SJ4&gt;=SU$19,SJ4&lt;&gt;""),AND(SK4&gt;=SU$15,SK4&lt;&gt;"",SM4&gt;=SU$19,SM4&lt;&gt;""),AND(SO4&gt;=SU$15,SO4&lt;&gt;"",SQ4&gt;=SU$19,SQ4&lt;&gt;""),AND(SR4&gt;=SU$15,SR4&lt;&gt;"",ST4&gt;=SU$19,ST4&lt;&gt;"")),"Excellence",IF(K4="P","Worlds Team",IF(H4="P","National Team","")))))</f>
        <v>National Team</v>
      </c>
      <c r="K4" s="3" t="str">
        <f>IF(OR(AND(AO4&gt;=AY$14,AO4&lt;&gt;"",AQ4&gt;=AY$18,AQ4&lt;&gt;"",AN4=""),AND(AR4&gt;=AY$14,AR4&lt;&gt;"",AT4&gt;=AY$18,AT4&lt;&gt;"",AN4=""),AND(AV4&gt;=AY$14,AV4&lt;&gt;"",AX4&gt;=AY$18,AX4&lt;&gt;"",AN4=""),AND(BP4&gt;=BZ$14,BP4&lt;&gt;"",BR4&gt;=BZ$18,BR4&lt;&gt;"",BO4=""),AND(BS4&gt;=BZ$14,BS4&lt;&gt;"",BU4&gt;=BZ$18,BU4&lt;&gt;"",BO4=""),AND(BW4&gt;=BZ$14,BW4&lt;&gt;"",BY4&gt;=BZ$18,BY4&lt;&gt;"",BO4=""),AND(CQ4&gt;=DA$14,CQ4&lt;&gt;"",CS4&gt;=DA$18,CS4&lt;&gt;"",CP4=""),AND(CT4&gt;=DA$14,CT4&lt;&gt;"",CV4&gt;=DA$18,CV4&lt;&gt;"",CP4=""),AND(CX4&gt;=DA$14,CX4&lt;&gt;"",CZ4&gt;=DA$18,CZ4&lt;&gt;"",CP4=""),AND(DX4&gt;=EK$14,DX4&lt;&gt;"",DZ4&gt;=EK$18,DZ4&lt;&gt;""),AND(EA4&gt;=EK$14,EA4&lt;&gt;"",EC4&gt;=EK$18,EC4&lt;&gt;""),AND(EE4&gt;=EK$14,EE4&lt;&gt;"",EG4&gt;=EK$18,EG4&lt;&gt;""),AND(EH4&gt;=EK$14,EH4&lt;&gt;"",EJ4&gt;=EK$18,EJ4&lt;&gt;""),AND(FF4&gt;=FS$14,FF4&lt;&gt;"",FH4&gt;=FS$18,FH4&lt;&gt;""),AND(FI4&gt;=FS$14,FI4&lt;&gt;"",FK4&gt;=FS$18,FK4&lt;&gt;""),AND(FM4&gt;=FS$14,FM4&lt;&gt;"",FO4&gt;=FS$18,FO4&lt;&gt;""),AND(FP4&gt;=FS$14,FP4&lt;&gt;"",FR4&gt;=FS$18,FR4&lt;&gt;""),AND(GN4&gt;=HA$14,GN4&lt;&gt;"",GP4&gt;=HA$18,GP4&lt;&gt;""),AND(GQ4&gt;=HA$14,GQ4&lt;&gt;"",GS4&gt;=HA$18,GS4&lt;&gt;""),AND(GU4&gt;=HA$14,GU4&lt;&gt;"",GW4&gt;=HA$18,GW4&lt;&gt;""),AND(GX4&gt;=HA$14,GX4&lt;&gt;"",GZ4&gt;=HA$18,GZ4&lt;&gt;""),AND(HV4&gt;=II$14,HV4&lt;&gt;"",HX4&gt;=II$18,HX4&lt;&gt;""),AND(HY4&gt;=II$14,HY4&lt;&gt;"",IA4&gt;=II$18,IA4&lt;&gt;""),AND(IC4&gt;=II$14,IC4&lt;&gt;"",IE4&gt;=II$18,IE4&lt;&gt;""),AND(IF4&gt;=II$14,IF4&lt;&gt;"",IH4&gt;=II$18,IH4&lt;&gt;""),AND(JD4&gt;=JQ$14,JD4&lt;&gt;"",JF4&gt;=JQ$18,JF4&lt;&gt;""),AND(JG4&gt;=JQ$14,JG4&lt;&gt;"",JI4&gt;=JQ$18,JI4&lt;&gt;""),AND(JK4&gt;=JQ$14,JK4&lt;&gt;"",JM4&gt;=JQ$18,JM4&lt;&gt;""),AND(JN4&gt;=JQ$14,JN4&lt;&gt;"",JP4&gt;=JQ$18,JP4&lt;&gt;""),AND(KL4&gt;=KY$14,KL4&lt;&gt;"",KN4&gt;=KY$18,KN4&lt;&gt;""),AND(KO4&gt;=KY$14,KO4&lt;&gt;"",KQ4&gt;=KY$18,KQ4&lt;&gt;""),AND(KS4&gt;=KY$14,KS4&lt;&gt;"",KU4&gt;=KY$18,KU4&lt;&gt;""),AND(KV4&gt;=KY$14,KV4&lt;&gt;"",KX4&gt;=KY$18,KX4&lt;&gt;""),AND(LT4&gt;=MG$14,LT4&lt;&gt;"",LV4&gt;=MG$18,LV4&lt;&gt;""),AND(LW4&gt;=MG$14,LW4&lt;&gt;"",LY4&gt;=MG$18,LY4&lt;&gt;""),AND(MA4&gt;=MG$14,MA4&lt;&gt;"",MC4&gt;=MG$18,MC4&lt;&gt;""),AND(MD4&gt;=MG$14,MD4&lt;&gt;"",MF4&gt;=MG$18,MF4&lt;&gt;""),AND(NB4&gt;=NO$14,NB4&lt;&gt;"",ND4&gt;=NO$18,ND4&lt;&gt;""),AND(NE4&gt;=NO$14,NE4&lt;&gt;"",NG4&gt;=NO$18,NG4&lt;&gt;""),AND(NI4&gt;=NO$14,NI4&lt;&gt;"",NK4&gt;=NO$18,NK4&lt;&gt;""),AND(NL4&gt;=NO$14,NL4&lt;&gt;"",NN4&gt;=NO$18,NN4&lt;&gt;""),AND(OJ4&gt;=OW$14,OJ4&lt;&gt;"",OL4&gt;=OW$18,OL4&lt;&gt;""),AND(OM4&gt;=OW$14,OM4&lt;&gt;"",OO4&gt;=OW$18,OO4&lt;&gt;""),AND(OQ4&gt;=OW$14,OQ4&lt;&gt;"",OS4&gt;=OW$18,OS4&lt;&gt;""),AND(OT4&gt;=OW$14,OT4&lt;&gt;"",OV4&gt;=OW$18,OV4&lt;&gt;""),AND(PR4&gt;=QE$14,PR4&lt;&gt;"",PT4&gt;=QE$18,PT4&lt;&gt;""),AND(PU4&gt;=QE$14,PU4&lt;&gt;"",PW4&gt;=QE$18,PW4&lt;&gt;""),AND(PY4&gt;=QE$14,PY4&lt;&gt;"",QA4&gt;=QE$18,QA4&lt;&gt;""),AND(QB4&gt;=QE$14,QB4&lt;&gt;"",QD4&gt;=QE$18,QD4&lt;&gt;""),AND(QZ4&gt;=RM$14,QZ4&lt;&gt;"",RB4&gt;=RM$18,RB4&lt;&gt;""),AND(RC4&gt;=RM$14,RC4&lt;&gt;"",RE4&gt;=RM$18,RE4&lt;&gt;""),AND(RG4&gt;=RM$14,RG4&lt;&gt;"",RI4&gt;=RM$18,RI4&lt;&gt;""),AND(RJ4&gt;=RM$14,RJ4&lt;&gt;"",RL4&gt;=RM$18,RL4&lt;&gt;""),AND(SH4&gt;=SU$14,SH4&lt;&gt;"",SJ4&gt;=SU$18,SJ4&lt;&gt;""),AND(SK4&gt;=SU$14,SK4&lt;&gt;"",SM4&gt;=SU$18,SM4&lt;&gt;""),AND(SO4&gt;=SU$14,SO4&lt;&gt;"",SQ4&gt;=SU$18,SQ4&lt;&gt;""),AND(SR4&gt;=SU$14,SR4&lt;&gt;"",ST4&gt;=SU$18,ST4&lt;&gt;"")),"P","")</f>
        <v/>
      </c>
      <c r="L4" s="8">
        <f>IF(COUNT(AQ4,AT4,BR4,BU4,CS4,CV4)&gt;0,LARGE((AQ4,AT4,BR4,BU4,CS4,CV4),1),0)</f>
        <v>53.55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52.18</v>
      </c>
      <c r="O4" s="8" t="str">
        <f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51.6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&gt;0,MAX(IF(AO4&gt;=$AY$13,AP4,0),IF(AR4&gt;=$AY$13,AS4,0),IF(AV4&gt;=$AY$13,AW4,0),IF(BP4&gt;=$BZ$13,BQ4,0),IF(BS4&gt;=$BZ$13,BT4,0),IF(BW4&gt;=$BZ$13,BX4,0),IF(CQ4&gt;=$DA$13,CR4,0),IF(CT4&gt;=$DA$13,CU4,0),IF(CX4&gt;=$DA$13,CY4,0),IF(DX4&gt;=$EK$13,DY4,0),IF(EA4&gt;=$EK$13,EB4,0),IF(EE4&gt;=$EK$13,EF4,0),IF(EH4&gt;=$EK$13,EI4,0),IF(FF4&gt;=$FS$13,FG4,0),IF(FI4&gt;=$FS$13,FJ4,0),IF(FM4&gt;=$FS$13,FN4,0),IF(FP4&gt;=$FS$13,FQ4,0),IF(GN4&gt;=$HA$13,GO4,0),IF(GQ4&gt;=$HA$13,GR4,0),IF(GU4&gt;=$HA$13,GV4,0),IF(GX4&gt;=$HA$13,GY4,0),IF(HV4&gt;=$II$13,HW4,0),IF(HY4&gt;=$II$13,HZ4,0),IF(IC4&gt;=$II$13,ID4,0),IF(IF4&gt;=$II$13,IG4,0),IF(JD4&gt;=$JQ$13,JE4,0),IF(JG4&gt;=$JQ$13,JH4,0),IF(JK4&gt;=$JQ$13,JL4,0),IF(JN4&gt;=$JQ$13,JO4,0),IF(KL4&gt;=$KY$13,KM4,0),IF(KO4&gt;=$KY$13,KP4,0),IF(KS4&gt;=$KY$13,KT4,0),IF(KV4&gt;=$KY$13,KW4,0),IF(LT4&gt;=$MG$13,LU4,0),IF(LW4&gt;=$MG$13,LX4,0),IF(MA4&gt;=$MG$13,MB4,0),IF(MD4&gt;=$MG$13,ME4,0),IF(NB4&gt;=$NO$13,NC4,0),IF(NE4&gt;=$NO$13,NF4,0),IF(NI4&gt;=$NO$13,NJ4,0),IF(NL4&gt;=$NO$13,NM4,0),IF(OJ4&gt;=$OW$13,OK4,0),IF(OM4&gt;=$OW$13,ON4,0),IF(OQ4&gt;=$OW$13,OR4,0),IF(OT4&gt;=$OW$13,OU4,0),IF(PR4&gt;=$QE$13,PS4,0),IF(PU4&gt;=$QE$13,PV4,0),IF(PY4&gt;=$QE$13,PZ4,0),IF(QB4&gt;=$QE$13,QC4,0),IF(QZ4&gt;=$RM$13,RA4,0),IF(RC4&gt;=$RM$13,RD4,0),IF(RG4&gt;=$RM$13,RH4,0),IF(RJ4&gt;=$RM$13,RK4,0),IF(SH4&gt;=$SU$13,SI4,0),IF(SK4&gt;=$SU$13,SL4,0),IF(SO4&gt;=$SU$13,SP4,0),IF(SR4&gt;=$SU$13,SS4,0)),0)</f>
        <v>15.55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>IF(MAX(DB4,DC4)&gt;0,MAX(DB4,DC4),"")</f>
        <v>1.0799999999999983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Worlds (Nov 9)</v>
      </c>
      <c r="Y4" s="22">
        <v>14</v>
      </c>
      <c r="Z4" s="22">
        <v>8.6999999999999993</v>
      </c>
      <c r="AA4" s="22">
        <v>13.9</v>
      </c>
      <c r="AB4" s="22">
        <v>14.55</v>
      </c>
      <c r="AC4" s="22">
        <v>0</v>
      </c>
      <c r="AD4" s="22">
        <v>1.4</v>
      </c>
      <c r="AE4" s="22">
        <v>0.9</v>
      </c>
      <c r="AF4" s="22">
        <v>2</v>
      </c>
      <c r="AG4" s="22">
        <v>1.55</v>
      </c>
      <c r="AH4" s="22">
        <v>0</v>
      </c>
      <c r="AI4" s="22">
        <v>12.5</v>
      </c>
      <c r="AJ4" s="22">
        <v>9.3000000000000007</v>
      </c>
      <c r="AK4" s="22">
        <v>14.3</v>
      </c>
      <c r="AL4" s="22">
        <v>14.79</v>
      </c>
      <c r="AM4" s="22">
        <v>0</v>
      </c>
      <c r="AN4" s="27"/>
      <c r="AO4" s="38">
        <f>IF(AA4&gt;0,AA4,"")</f>
        <v>13.9</v>
      </c>
      <c r="AP4" s="38">
        <f>IF(AB4&gt;0,AB4,"")</f>
        <v>14.55</v>
      </c>
      <c r="AQ4" s="40">
        <f>IF(SUM(Y4:AB4)-AC4&gt;0,SUM(Y4:AB4)-AC4,"")</f>
        <v>51.150000000000006</v>
      </c>
      <c r="AR4" s="40">
        <f>IF(AF4&gt;0,AF4,"")</f>
        <v>2</v>
      </c>
      <c r="AS4" s="40">
        <f>IF(AG4&gt;0,AG4,"")</f>
        <v>1.55</v>
      </c>
      <c r="AT4" s="40">
        <f>IF(SUM(AD4:AG4)-AH4&gt;0,SUM(AD4:AG4)-AH4,"")</f>
        <v>5.85</v>
      </c>
      <c r="AU4" s="40">
        <f>IF(AQ4="","",MAX(AQ4,AT4))</f>
        <v>51.150000000000006</v>
      </c>
      <c r="AV4" s="40">
        <f>IF(AK4&gt;0,AK4,"")</f>
        <v>14.3</v>
      </c>
      <c r="AW4" s="40">
        <f>IF(AL4&gt;0,AL4,"")</f>
        <v>14.79</v>
      </c>
      <c r="AX4" s="40">
        <f>IF(SUM(AI4:AL4)-AM4&gt;0,SUM(AI4:AL4)-AM4,"")</f>
        <v>50.89</v>
      </c>
      <c r="AY4" s="40">
        <f>IF(SUM(AU4,AX4)&gt;0,SUM(AU4,AX4),"")</f>
        <v>102.04</v>
      </c>
      <c r="AZ4" s="26">
        <v>11.8</v>
      </c>
      <c r="BA4" s="26">
        <v>9.4</v>
      </c>
      <c r="BB4" s="26">
        <v>11.3</v>
      </c>
      <c r="BC4" s="26">
        <v>14.35</v>
      </c>
      <c r="BD4" s="26">
        <v>1.4</v>
      </c>
      <c r="BE4" s="26">
        <v>13</v>
      </c>
      <c r="BF4" s="26">
        <v>9.1999999999999993</v>
      </c>
      <c r="BG4" s="26">
        <v>14.5</v>
      </c>
      <c r="BH4" s="26">
        <v>14.9</v>
      </c>
      <c r="BI4" s="26">
        <v>0</v>
      </c>
      <c r="BJ4" s="26">
        <v>13.1</v>
      </c>
      <c r="BK4" s="26">
        <v>9.1999999999999993</v>
      </c>
      <c r="BL4" s="26">
        <v>14.1</v>
      </c>
      <c r="BM4" s="26">
        <v>14.87</v>
      </c>
      <c r="BN4" s="26">
        <v>0</v>
      </c>
      <c r="BO4" s="28"/>
      <c r="BP4" s="39">
        <f>IF(BB4&gt;0,BB4,"")</f>
        <v>11.3</v>
      </c>
      <c r="BQ4" s="39">
        <f>IF(BC4&gt;0,BC4,"")</f>
        <v>14.35</v>
      </c>
      <c r="BR4" s="11">
        <f>IF(SUM(AZ4:BC4)-BD4&gt;0,SUM(AZ4:BC4)-BD4,"")</f>
        <v>45.45</v>
      </c>
      <c r="BS4" s="11">
        <f>IF(BG4&gt;0,BG4,"")</f>
        <v>14.5</v>
      </c>
      <c r="BT4" s="11">
        <f>IF(BH4&gt;0,BH4,"")</f>
        <v>14.9</v>
      </c>
      <c r="BU4" s="11">
        <f>IF(SUM(BE4:BH4)-BI4&gt;0,SUM(BE4:BH4)-BI4,"")</f>
        <v>51.6</v>
      </c>
      <c r="BV4" s="11">
        <f>IF(BR4="","",MAX(BR4,BU4))</f>
        <v>51.6</v>
      </c>
      <c r="BW4" s="11">
        <f>IF(BL4&gt;0,BL4,"")</f>
        <v>14.1</v>
      </c>
      <c r="BX4" s="11">
        <f>IF(BM4&gt;0,BM4,"")</f>
        <v>14.87</v>
      </c>
      <c r="BY4" s="11">
        <f>IF(SUM(BJ4:BM4)-BN4&gt;0,SUM(BJ4:BM4)-BN4,"")</f>
        <v>51.269999999999996</v>
      </c>
      <c r="BZ4" s="11">
        <f>IF(SUM(BV4,BY4)&gt;0,SUM(BV4,BY4),"")</f>
        <v>102.87</v>
      </c>
      <c r="CA4" s="22">
        <v>14.5</v>
      </c>
      <c r="CB4" s="22">
        <v>9.6</v>
      </c>
      <c r="CC4" s="22">
        <v>13.9</v>
      </c>
      <c r="CD4" s="22">
        <v>15.55</v>
      </c>
      <c r="CE4" s="22">
        <v>0</v>
      </c>
      <c r="CF4" s="22">
        <v>13.9</v>
      </c>
      <c r="CG4" s="22">
        <v>9</v>
      </c>
      <c r="CH4" s="22">
        <v>14.1</v>
      </c>
      <c r="CI4" s="22">
        <v>15.18</v>
      </c>
      <c r="CJ4" s="22">
        <v>0</v>
      </c>
      <c r="CK4" s="22">
        <v>1.4</v>
      </c>
      <c r="CL4" s="22">
        <v>1</v>
      </c>
      <c r="CM4" s="22">
        <v>2</v>
      </c>
      <c r="CN4" s="22">
        <v>1.63</v>
      </c>
      <c r="CO4" s="22">
        <v>0</v>
      </c>
      <c r="CP4" s="27"/>
      <c r="CQ4" s="38">
        <f>IF(CC4&gt;0,CC4,"")</f>
        <v>13.9</v>
      </c>
      <c r="CR4" s="38">
        <f>IF(CD4&gt;0,CD4,"")</f>
        <v>15.55</v>
      </c>
      <c r="CS4" s="40">
        <f>IF(SUM(CA4:CD4)-CE4&gt;0,SUM(CA4:CD4)-CE4,"")</f>
        <v>53.55</v>
      </c>
      <c r="CT4" s="40">
        <f>IF(CH4&gt;0,CH4,"")</f>
        <v>14.1</v>
      </c>
      <c r="CU4" s="40">
        <f>IF(CI4&gt;0,CI4,"")</f>
        <v>15.18</v>
      </c>
      <c r="CV4" s="40">
        <f>IF(SUM(CF4:CI4)-CJ4&gt;0,SUM(CF4:CI4)-CJ4,"")</f>
        <v>52.18</v>
      </c>
      <c r="CW4" s="40">
        <f>IF(CS4="","",MAX(CS4,CV4))</f>
        <v>53.55</v>
      </c>
      <c r="CX4" s="40">
        <f>IF(CM4&gt;0,CM4,"")</f>
        <v>2</v>
      </c>
      <c r="CY4" s="40">
        <f>IF(CN4&gt;0,CN4,"")</f>
        <v>1.63</v>
      </c>
      <c r="CZ4" s="40">
        <f>IF(SUM(CK4:CN4)-CO4&gt;0,SUM(CK4:CN4)-CO4,"")</f>
        <v>6.03</v>
      </c>
      <c r="DA4" s="40">
        <f>IF(SUM(CW4,CZ4)&gt;0,SUM(CW4,CZ4),"")</f>
        <v>59.58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1.0799999999999983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0.17999999999999972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>IF(DF4&gt;0,DF4,"")</f>
        <v>14.5</v>
      </c>
      <c r="DY4" s="40">
        <f>IF(DG4&gt;0,DG4,"")</f>
        <v>15.28</v>
      </c>
      <c r="DZ4" s="40">
        <f>IF(SUM(DD4:DG4)-DH4&gt;0,SUM(DD4:DG4)-DH4,"")</f>
        <v>51.78</v>
      </c>
      <c r="EA4" s="40">
        <f>IF(DK4&gt;0,DK4,"")</f>
        <v>10.199999999999999</v>
      </c>
      <c r="EB4" s="40">
        <f>IF(DL4&gt;0,DL4,"")</f>
        <v>10.88</v>
      </c>
      <c r="EC4" s="40">
        <f>IF(SUM(DI4:DL4)-DM4&gt;0,SUM(DI4:DL4)-DM4,"")</f>
        <v>37.08</v>
      </c>
      <c r="ED4" s="40">
        <f>IF(MAX(DZ4,EC4)&gt;0,MAX(DZ4,EC4),"")</f>
        <v>51.78</v>
      </c>
      <c r="EE4" s="40">
        <f>IF(DP4&gt;0,DP4,"")</f>
        <v>4.5999999999999996</v>
      </c>
      <c r="EF4" s="40">
        <f>IF(DQ4&gt;0,DQ4,"")</f>
        <v>4.58</v>
      </c>
      <c r="EG4" s="40">
        <f>IF(SUM(DN4:DQ4)-DR4&gt;0,SUM(DN4:DQ4)-DR4,"")</f>
        <v>15.78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14.1</v>
      </c>
      <c r="FG4" s="11">
        <f>IF(EO4&gt;0,EO4,"")</f>
        <v>14.96</v>
      </c>
      <c r="FH4" s="11">
        <f>IF(SUM(EL4:EO4)-EP4&gt;0,SUM(EL4:EO4)-EP4,"")</f>
        <v>48.06</v>
      </c>
      <c r="FI4" s="11">
        <f>IF(ES4&gt;0,ES4,"")</f>
        <v>13.9</v>
      </c>
      <c r="FJ4" s="11">
        <f>IF(ET4&gt;0,ET4,"")</f>
        <v>15.01</v>
      </c>
      <c r="FK4" s="11">
        <f>IF(SUM(EQ4:ET4)-EU4&gt;0,SUM(EQ4:ET4)-EU4,"")</f>
        <v>51.01</v>
      </c>
      <c r="FL4" s="11">
        <f>IF(MAX(FH4,FK4)&gt;0,MAX(FH4,FK4),"")</f>
        <v>51.01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>
        <f>IF(HI4&gt;0,HI4,"")</f>
        <v>14.1</v>
      </c>
      <c r="HZ4" s="11">
        <f>IF(HJ4&gt;0,HJ4,"")</f>
        <v>14.99</v>
      </c>
      <c r="IA4" s="11">
        <f>IF(SUM(HG4:HJ4)-HK4&gt;0,SUM(HG4:HJ4)-HK4,"")</f>
        <v>52.29</v>
      </c>
      <c r="IB4" s="11">
        <f>IF(MAX(HX4,IA4)&gt;0,MAX(HX4,IA4),"")</f>
        <v>52.29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14.1</v>
      </c>
      <c r="IG4" s="11">
        <f>IF(HT4&gt;0,HT4,"")</f>
        <v>14.88</v>
      </c>
      <c r="IH4" s="11">
        <f>IF(SUM(HQ4:HT4)-HU4&gt;0,SUM(HQ4:HT4)-HU4,"")</f>
        <v>51.78</v>
      </c>
      <c r="II4" s="11">
        <f>IF(SUM(IB4,IE4,IH4)&gt;0,SUM(IB4,IE4,IH4),"")</f>
        <v>104.07</v>
      </c>
      <c r="IJ4" s="17">
        <v>13.9</v>
      </c>
      <c r="IK4" s="17">
        <v>9.4</v>
      </c>
      <c r="IL4" s="17">
        <v>14.3</v>
      </c>
      <c r="IM4" s="17">
        <v>15.08</v>
      </c>
      <c r="IN4" s="17">
        <v>0</v>
      </c>
      <c r="IO4" s="17">
        <v>1.2</v>
      </c>
      <c r="IP4" s="17">
        <v>1</v>
      </c>
      <c r="IQ4" s="17">
        <v>2</v>
      </c>
      <c r="IR4" s="17">
        <v>1.52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14.3</v>
      </c>
      <c r="JE4" s="40">
        <f>IF(IM4&gt;0,IM4,"")</f>
        <v>15.08</v>
      </c>
      <c r="JF4" s="40">
        <f>IF(SUM(IJ4:IM4)-IN4&gt;0,SUM(IJ4:IM4)-IN4,"")</f>
        <v>52.68</v>
      </c>
      <c r="JG4" s="40">
        <f>IF(IQ4&gt;0,IQ4,"")</f>
        <v>2</v>
      </c>
      <c r="JH4" s="40">
        <f>IF(IR4&gt;0,IR4,"")</f>
        <v>1.52</v>
      </c>
      <c r="JI4" s="40">
        <f>IF(SUM(IO4:IR4)-IS4&gt;0,SUM(IO4:IR4)-IS4,"")</f>
        <v>5.7200000000000006</v>
      </c>
      <c r="JJ4" s="40">
        <f>IF(MAX(JF4,JI4)&gt;0,MAX(JF4,JI4),"")</f>
        <v>52.68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52.68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13.15</v>
      </c>
      <c r="SW4" s="22">
        <f>IF($CP4="P",CB4,(CB4+BA4)/2)</f>
        <v>9.5</v>
      </c>
      <c r="SX4" s="22">
        <f>IF($CP4="P",CC4,(CC4+BB4)/2)</f>
        <v>12.600000000000001</v>
      </c>
      <c r="SY4" s="22">
        <f>IF($CP4="P",CD4,(CD4+BC4)/2)</f>
        <v>14.95</v>
      </c>
      <c r="SZ4" s="22">
        <f>IF($CP4="P",CE4,(CE4+BD4)/2)</f>
        <v>0.7</v>
      </c>
      <c r="TA4" s="22">
        <f>IF($CP4="P",CF4,(CF4+BE4)/2)</f>
        <v>13.45</v>
      </c>
      <c r="TB4" s="22">
        <f>IF($CP4="P",CG4,(CG4+BF4)/2)</f>
        <v>9.1</v>
      </c>
      <c r="TC4" s="22">
        <f>IF($CP4="P",CH4,(CH4+BG4)/2)</f>
        <v>14.3</v>
      </c>
      <c r="TD4" s="22">
        <f>IF($CP4="P",CI4,(CI4+BH4)/2)</f>
        <v>15.04</v>
      </c>
      <c r="TE4" s="22">
        <f>IF($CP4="P",CJ4,(CJ4+BI4)/2)</f>
        <v>0</v>
      </c>
      <c r="TF4" s="22">
        <f>IF($CP4="P",CK4,(CK4+BJ4)/2)</f>
        <v>7.25</v>
      </c>
      <c r="TG4" s="22">
        <f>IF($CP4="P",CL4,(CL4+BK4)/2)</f>
        <v>5.0999999999999996</v>
      </c>
      <c r="TH4" s="22">
        <f>IF($CP4="P",CM4,(CM4+BL4)/2)</f>
        <v>8.0500000000000007</v>
      </c>
      <c r="TI4" s="22">
        <f>IF($CP4="P",CN4,(CN4+BM4)/2)</f>
        <v>8.25</v>
      </c>
      <c r="TJ4" s="22">
        <f>IF($CP4="P",CO4,(CO4+BN4)/2)</f>
        <v>0</v>
      </c>
      <c r="TK4" s="27" t="s">
        <v>46</v>
      </c>
      <c r="TL4" s="40">
        <f>IF(SX4&gt;0,SX4,"")</f>
        <v>12.600000000000001</v>
      </c>
      <c r="TM4" s="40">
        <f>IF(SY4&gt;0,SY4,"")</f>
        <v>14.95</v>
      </c>
      <c r="TN4" s="40">
        <f>IF(SUM(SV4:SY4)-SZ4&gt;0,SUM(SV4:SY4)-SZ4,"")</f>
        <v>49.5</v>
      </c>
      <c r="TO4" s="40">
        <f>IF(TC4&gt;0,TC4,"")</f>
        <v>14.3</v>
      </c>
      <c r="TP4" s="40">
        <f>IF(TD4&gt;0,TD4,"")</f>
        <v>15.04</v>
      </c>
      <c r="TQ4" s="40">
        <f>IF(SUM(TA4:TD4)-TE4&gt;0,SUM(TA4:TD4)-TE4,"")</f>
        <v>51.889999999999993</v>
      </c>
      <c r="TR4" s="40">
        <f>IF(MAX(TN4,TQ4)&gt;0,MAX(TN4,TQ4),"")</f>
        <v>51.889999999999993</v>
      </c>
      <c r="TS4" s="40">
        <f>IF(TH4&gt;0,TH4,"")</f>
        <v>8.0500000000000007</v>
      </c>
      <c r="TT4" s="40">
        <f>IF(TI4&gt;0,TI4,"")</f>
        <v>8.25</v>
      </c>
      <c r="TU4" s="40">
        <f>IF(SUM(TF4:TI4)-TJ4&gt;0,SUM(TF4:TI4)-TJ4,"")</f>
        <v>28.65</v>
      </c>
      <c r="TV4" s="40">
        <f>IF(SUM(TR4,TU4)&gt;0,SUM(TR4,TU4),"")</f>
        <v>80.539999999999992</v>
      </c>
    </row>
    <row r="5" spans="1:542" x14ac:dyDescent="0.2">
      <c r="A5" s="4" cm="1">
        <f t="array" ref="A5">IF(AND(J5&lt;&gt;"",J5&lt;&gt;"No DD"),SUMPRODUCT((J$4:J$11&lt;&gt;"")*(J$4:J$11&lt;&gt;"No DD")*(F$4:F$11&gt;F5))+1,IF(J5="No DD",SUMPRODUCT((J$4:J$11="No DD")*(F$4:F$11&gt;F5))+1+SUMPRODUCT((J$4:J$11&lt;&gt;"")*(J$4:J$11&lt;&gt;"No DD")),""))</f>
        <v>2</v>
      </c>
      <c r="B5" s="4" t="str" cm="1">
        <f t="array" ref="B5">IF(AND(J5&lt;&gt;"",J5&lt;&gt;"No DD",G5=""),SUMPRODUCT((J$4:J$11&lt;&gt;"")*(J$4:J$11&lt;&gt;"No DD")*(G$4:G$11="")*(F$4:F$11&gt;F5))+1,IF(J5="No DD",SUMPRODUCT((J$4:J$11="No DD")*(F$4:F$11&gt;F5)*(G$4:G$11=""))+1+SUMPRODUCT((J$4:J$11&lt;&gt;"")*(G$4:G$11="")*(J$4:J$11&lt;&gt;"No DD")),""))</f>
        <v/>
      </c>
      <c r="C5" s="5" t="s">
        <v>127</v>
      </c>
      <c r="D5" s="4" t="s">
        <v>6</v>
      </c>
      <c r="E5" s="4">
        <v>2007</v>
      </c>
      <c r="F5" s="9">
        <f>SUM(L5:V5)+SUM(L5:T5)*0.0000001+SUM(L5)*0.0000000000001</f>
        <v>184.62001846200519</v>
      </c>
      <c r="G5" s="64" t="s">
        <v>46</v>
      </c>
      <c r="H5" s="3" t="str">
        <f>IF(OR(AND(AO5&gt;=AY$13,AO5&lt;&gt;"",AQ5&gt;=AY$17,AQ5&lt;&gt;"",AN5=""),AND(AR5&gt;=AY$13,AR5&lt;&gt;"",AT5&gt;=AY$17,AT5&lt;&gt;"",AN5=""),AND(AV5&gt;=AY$13,AV5&lt;&gt;"",AX5&gt;=AY$17,AX5&lt;&gt;"",AN5=""),AND(BP5&gt;=BZ$13,BP5&lt;&gt;"",BR5&gt;=BZ$17,BR5&lt;&gt;"",BO5=""),AND(BS5&gt;=BZ$13,BS5&lt;&gt;"",BU5&gt;=BZ$17,BU5&lt;&gt;"",BO5=""),AND(BW5&gt;=BZ$13,BW5&lt;&gt;"",BY5&gt;=BZ$17,BY5&lt;&gt;"",BO5=""),AND(CQ5&gt;=DA$13,CQ5&lt;&gt;"",CS5&gt;=DA$17,CS5&lt;&gt;"",CP5=""),AND(CT5&gt;=DA$13,CT5&lt;&gt;"",CV5&gt;=DA$17,CV5&lt;&gt;"",CP5=""),AND(CX5&gt;=DA$13,CX5&lt;&gt;"",CZ5&gt;=DA$17,CZ5&lt;&gt;"",CP5=""),AND(DX5&gt;=EK$13,DX5&lt;&gt;"",DZ5&gt;=EK$17,DZ5&lt;&gt;""),AND(EA5&gt;=EK$13,EA5&lt;&gt;"",EC5&gt;=EK$17,EC5&lt;&gt;""),AND(EE5&gt;=EK$13,EE5&lt;&gt;"",EG5&gt;=EK$17,EG5&lt;&gt;""),AND(EH5&gt;=EK$13,EH5&lt;&gt;"",EJ5&gt;=EK$17,EJ5&lt;&gt;""),AND(FF5&gt;=FS$13,FF5&lt;&gt;"",FH5&gt;=FS$17,FH5&lt;&gt;""),AND(FI5&gt;=FS$13,FI5&lt;&gt;"",FK5&gt;=FS$17,FK5&lt;&gt;""),AND(FM5&gt;=FS$13,FM5&lt;&gt;"",FO5&gt;=FS$17,FO5&lt;&gt;""),AND(FP5&gt;=FS$13,FP5&lt;&gt;"",FR5&gt;=FS$17,FR5&lt;&gt;""),AND(GN5&gt;=HA$13,GN5&lt;&gt;"",GP5&gt;=HA$17,GP5&lt;&gt;""),AND(GQ5&gt;=HA$13,GQ5&lt;&gt;"",GS5&gt;=HA$17,GS5&lt;&gt;""),AND(GU5&gt;=HA$13,GU5&lt;&gt;"",GW5&gt;=HA$17,GW5&lt;&gt;""),AND(GX5&gt;=HA$13,GX5&lt;&gt;"",GZ5&gt;=HA$17,GZ5&lt;&gt;""),AND(HV5&gt;=II$13,HV5&lt;&gt;"",HX5&gt;=II$17,HX5&lt;&gt;""),AND(HY5&gt;=II$13,HY5&lt;&gt;"",IA5&gt;=II$17,IA5&lt;&gt;""),AND(IC5&gt;=II$13,IC5&lt;&gt;"",IE5&gt;=II$17,IE5&lt;&gt;""),AND(IF5&gt;=II$13,IF5&lt;&gt;"",IH5&gt;=II$17,IH5&lt;&gt;""),AND(JD5&gt;=JQ$13,JD5&lt;&gt;"",JF5&gt;=JQ$17,JF5&lt;&gt;""),AND(JG5&gt;=JQ$13,JG5&lt;&gt;"",JI5&gt;=JQ$17,JI5&lt;&gt;""),AND(JK5&gt;=JQ$13,JK5&lt;&gt;"",JM5&gt;=JQ$17,JM5&lt;&gt;""),AND(JN5&gt;=JQ$13,JN5&lt;&gt;"",JP5&gt;=JQ$17,JP5&lt;&gt;""),AND(KL5&gt;=KY$13,KL5&lt;&gt;"",KN5&gt;=KY$17,KN5&lt;&gt;""),AND(KO5&gt;=KY$13,KO5&lt;&gt;"",KQ5&gt;=KY$17,KQ5&lt;&gt;""),AND(KS5&gt;=KY$13,KS5&lt;&gt;"",KU5&gt;=KY$17,KU5&lt;&gt;""),AND(KV5&gt;=KY$13,KV5&lt;&gt;"",KX5&gt;=KY$17,KX5&lt;&gt;""),AND(LT5&gt;=MG$13,LT5&lt;&gt;"",LV5&gt;=MG$17,LV5&lt;&gt;""),AND(LW5&gt;=MG$13,LW5&lt;&gt;"",LY5&gt;=MG$17,LY5&lt;&gt;""),AND(MA5&gt;=MG$13,MA5&lt;&gt;"",MC5&gt;=MG$17,MC5&lt;&gt;""),AND(MD5&gt;=MG$13,MD5&lt;&gt;"",MF5&gt;=MG$17,MF5&lt;&gt;""),AND(NB5&gt;=NO$13,NB5&lt;&gt;"",ND5&gt;=NO$17,ND5&lt;&gt;""),AND(NE5&gt;=NO$13,NE5&lt;&gt;"",NG5&gt;=NO$17,NG5&lt;&gt;""),AND(NI5&gt;=NO$13,NI5&lt;&gt;"",NK5&gt;=NO$17,NK5&lt;&gt;""),AND(NL5&gt;=NO$13,NL5&lt;&gt;"",NN5&gt;=NO$17,NN5&lt;&gt;""),AND(OJ5&gt;=OW$13,OJ5&lt;&gt;"",OL5&gt;=OW$17,OL5&lt;&gt;""),AND(OM5&gt;=OW$13,OM5&lt;&gt;"",OO5&gt;=OW$17,OO5&lt;&gt;""),AND(OQ5&gt;=OW$13,OQ5&lt;&gt;"",OS5&gt;=OW$17,OS5&lt;&gt;""),AND(OT5&gt;=OW$13,OT5&lt;&gt;"",OV5&gt;=OW$17,OV5&lt;&gt;""),AND(PR5&gt;=QE$13,PR5&lt;&gt;"",PT5&gt;=QE$17,PT5&lt;&gt;""),AND(PU5&gt;=QE$13,PU5&lt;&gt;"",PW5&gt;=QE$17,PW5&lt;&gt;""),AND(PY5&gt;=QE$13,PY5&lt;&gt;"",QA5&gt;=QE$17,QA5&lt;&gt;""),AND(QB5&gt;=QE$13,QB5&lt;&gt;"",QD5&gt;=QE$17,QD5&lt;&gt;""),AND(QZ5&gt;=RM$13,QZ5&lt;&gt;"",RB5&gt;=RM$17,RB5&lt;&gt;""),AND(RC5&gt;=RM$13,RC5&lt;&gt;"",RE5&gt;=RM$17,RE5&lt;&gt;""),AND(RG5&gt;=RM$13,RG5&lt;&gt;"",RI5&gt;=RM$17,RI5&lt;&gt;""),AND(RJ5&gt;=RM$13,RJ5&lt;&gt;"",RL5&gt;=RM$17,RL5&lt;&gt;""),AND(SH5&gt;=SU$13,SH5&lt;&gt;"",SJ5&gt;=SU$17,SJ5&lt;&gt;""),AND(SK5&gt;=SU$13,SK5&lt;&gt;"",SM5&gt;=SU$17,SM5&lt;&gt;""),AND(SO5&gt;=SU$13,SO5&lt;&gt;"",SQ5&gt;=SU$17,SQ5&lt;&gt;""),AND(SR5&gt;=SU$13,SR5&lt;&gt;"",ST5&gt;=SU$17,ST5&lt;&gt;"")),"P","")</f>
        <v>P</v>
      </c>
      <c r="I5" s="3" t="str">
        <f>IF(OR(AND(AQ5&gt;=AY$17,AQ5&lt;&gt;"",AN5=""),AND(AT5&gt;=AY$17,AT5&lt;&gt;"",AN5=""),AND(AX5&gt;=AY$17,AX5&lt;&gt;"",AN5=""),AND(BR5&gt;=BZ$17,BR5&lt;&gt;"",BO5=""),AND(BU5&gt;=BZ$17,BU5&lt;&gt;"",BO5=""),AND(BY5&gt;=BZ$17,BY5&lt;&gt;"",BO5=""),AND(CS5&gt;=DA$17,CS5&lt;&gt;"",CP5=""),AND(CV5&gt;=DA$17,CV5&lt;&gt;"",CP5=""),AND(CZ5&gt;=DA$17,CZ5&lt;&gt;"",CP5=""),AND(DZ5&gt;=EK$17,DZ5&lt;&gt;""),AND(EC5&gt;=EK$17,EC5&lt;&gt;""),AND(EG5&gt;=EK$17,EG5&lt;&gt;""),AND(EJ5&gt;=EK$17,EJ5&lt;&gt;""),AND(FH5&gt;=FS$17,FH5&lt;&gt;""),AND(FK5&gt;=FS$17,FK5&lt;&gt;""),AND(FO5&gt;=FS$17,FO5&lt;&gt;""),AND(FR5&gt;=FS$17,FR5&lt;&gt;""),AND(GP5&gt;=HA$17,GP5&lt;&gt;""),AND(GS5&gt;=HA$17,GS5&lt;&gt;""),AND(GW5&gt;=HA$17,GW5&lt;&gt;""),AND(GZ5&gt;=HA$17,GZ5&lt;&gt;""),AND(HX5&gt;=II$17,HX5&lt;&gt;""),AND(IA5&gt;=II$17,IA5&lt;&gt;""),AND(IE5&gt;=II$17,IE5&lt;&gt;""),AND(IH5&gt;=II$17,IH5&lt;&gt;""),AND(JF5&gt;=JQ$17,JF5&lt;&gt;""),AND(JI5&gt;=JQ$17,JI5&lt;&gt;""),AND(JM5&gt;=JQ$17,JM5&lt;&gt;""),AND(JP5&gt;=JQ$17,JP5&lt;&gt;""),AND(KN5&gt;=KY$17,KN5&lt;&gt;""),AND(KQ5&gt;=KY$17,KQ5&lt;&gt;""),AND(KU5&gt;=KY$17,KU5&lt;&gt;""),AND(KX5&gt;=KY$17,KX5&lt;&gt;""),AND(LV5&gt;=MG$17,LV5&lt;&gt;""),AND(LY5&gt;=MG$17,LY5&lt;&gt;""),AND(MC5&gt;=MG$17,MC5&lt;&gt;""),AND(MF5&gt;=MG$17,MF5&lt;&gt;""),AND(ND5&gt;=NO$17,ND5&lt;&gt;""),AND(NG5&gt;=NO$17,NG5&lt;&gt;""),AND(NK5&gt;=NO$17,NK5&lt;&gt;""),AND(NN5&gt;=NO$17,NN5&lt;&gt;""),AND(OL5&gt;=OW$17,OL5&lt;&gt;""),AND(OO5&gt;=OW$17,OO5&lt;&gt;""),AND(OS5&gt;=OW$17,OS5&lt;&gt;""),AND(OV5&gt;=OW$17,OV5&lt;&gt;""),AND(PT5&gt;=QE$17,PT5&lt;&gt;""),AND(PW5&gt;=QE$17,PW5&lt;&gt;""),AND(QA5&gt;=QE$17,QA5&lt;&gt;""),AND(QD5&gt;=QE$17,QD5&lt;&gt;""),AND(RB5&gt;=RM$17,RB5&lt;&gt;""),AND(RE5&gt;=RM$17,RE5&lt;&gt;""),AND(RI5&gt;=RM$17,RI5&lt;&gt;""),AND(RL5&gt;=RM$17,RL5&lt;&gt;""),AND(SJ5&gt;=SU$17,SJ5&lt;&gt;""),AND(SM5&gt;=SU$17,SM5&lt;&gt;""),AND(SQ5&gt;=SU$17,SQ5&lt;&gt;""),AND(ST5&gt;=SU$17,ST5&lt;&gt;"")),"P","")</f>
        <v>P</v>
      </c>
      <c r="J5" s="36" t="str">
        <f>IF(AND(I5="P",H5=""),"No DD",IF(OR(AND(AO5&gt;=AY$16,AO5&lt;&gt;"",AQ5&gt;=AY$20,AQ5&lt;&gt;"",AN5=""),AND(AR5&gt;=AY$16,AR5&lt;&gt;"",AT5&gt;=AY$20,AT5&lt;&gt;"",AN5=""),AND(AV5&gt;=AY$16,AV5&lt;&gt;"",AX5&gt;=AY$20,AX5&lt;&gt;"",AN5=""),AND(BP5&gt;=BZ$16,BP5&lt;&gt;"",BR5&gt;=BZ$20,BR5&lt;&gt;"",BO5=""),AND(BS5&gt;=BZ$16,BS5&lt;&gt;"",BU5&gt;=BZ$20,BU5&lt;&gt;"",BO5=""),AND(BW5&gt;=BZ$16,BW5&lt;&gt;"",BY5&gt;=BZ$20,BY5&lt;&gt;"",BO5=""),AND(CQ5&gt;=DA$16,CQ5&lt;&gt;"",CS5&gt;=DA$20,CS5&lt;&gt;"",CP5=""),AND(CT5&gt;=DA$16,CT5&lt;&gt;"",CV5&gt;=DA$20,CV5&lt;&gt;"",CP5=""),AND(CX5&gt;=DA$16,CX5&lt;&gt;"",CZ5&gt;=DA$20,CZ5&lt;&gt;"",CP5=""),AND(DX5&gt;=EK$16,DX5&lt;&gt;"",DZ5&gt;=EK$20,DZ5&lt;&gt;""),AND(EA5&gt;=EK$16,EA5&lt;&gt;"",EC5&gt;=EK$20,EC5&lt;&gt;""),AND(EE5&gt;=EK$16,EE5&lt;&gt;"",EG5&gt;=EK$20,EG5&lt;&gt;""),AND(EH5&gt;=EK$16,EH5&lt;&gt;"",EJ5&gt;=EK$20,EJ5&lt;&gt;""),AND(FF5&gt;=FS$16,FF5&lt;&gt;"",FH5&gt;=FS$20,FH5&lt;&gt;""),AND(FI5&gt;=FS$16,FI5&lt;&gt;"",FK5&gt;=FS$20,FK5&lt;&gt;""),AND(FM5&gt;=FS$16,FM5&lt;&gt;"",FO5&gt;=FS$20,FO5&lt;&gt;""),AND(FP5&gt;=FS$16,FP5&lt;&gt;"",FR5&gt;=FS$20,FR5&lt;&gt;""),AND(GN5&gt;=HA$16,GN5&lt;&gt;"",GP5&gt;=HA$20,GP5&lt;&gt;""),AND(GQ5&gt;=HA$16,GQ5&lt;&gt;"",GS5&gt;=HA$20,GS5&lt;&gt;""),AND(GU5&gt;=HA$16,GU5&lt;&gt;"",GW5&gt;=HA$20,GW5&lt;&gt;""),AND(GX5&gt;=HA$16,GX5&lt;&gt;"",GZ5&gt;=HA$20,GZ5&lt;&gt;""),AND(HV5&gt;=II$16,HV5&lt;&gt;"",HX5&gt;=II$20,HX5&lt;&gt;""),AND(HY5&gt;=II$16,HY5&lt;&gt;"",IA5&gt;=II$20,IA5&lt;&gt;""),AND(IC5&gt;=II$16,IC5&lt;&gt;"",IE5&gt;=II$20,IE5&lt;&gt;""),AND(IF5&gt;=II$16,IF5&lt;&gt;"",IH5&gt;=II$20,IH5&lt;&gt;""),AND(JD5&gt;=JQ$16,JD5&lt;&gt;"",JF5&gt;=JQ$20,JF5&lt;&gt;""),AND(JG5&gt;=JQ$16,JG5&lt;&gt;"",JI5&gt;=JQ$20,JI5&lt;&gt;""),AND(JK5&gt;=JQ$16,JK5&lt;&gt;"",JM5&gt;=JQ$20,JM5&lt;&gt;""),AND(JN5&gt;=JQ$16,JN5&lt;&gt;"",JP5&gt;=JQ$20,JP5&lt;&gt;""),AND(KL5&gt;=KY$16,KL5&lt;&gt;"",KN5&gt;=KY$20,KN5&lt;&gt;""),AND(KO5&gt;=KY$16,KO5&lt;&gt;"",KQ5&gt;=KY$20,KQ5&lt;&gt;""),AND(KS5&gt;=KY$16,KS5&lt;&gt;"",KU5&gt;=KY$20,KU5&lt;&gt;""),AND(KV5&gt;=KY$16,KV5&lt;&gt;"",KX5&gt;=KY$20,KX5&lt;&gt;""),AND(LT5&gt;=MG$16,LT5&lt;&gt;"",LV5&gt;=MG$20,LV5&lt;&gt;""),AND(LW5&gt;=MG$16,LW5&lt;&gt;"",LY5&gt;=MG$20,LY5&lt;&gt;""),AND(MA5&gt;=MG$16,MA5&lt;&gt;"",MC5&gt;=MG$20,MC5&lt;&gt;""),AND(MD5&gt;=MG$16,MD5&lt;&gt;"",MF5&gt;=MG$20,MF5&lt;&gt;""),AND(NB5&gt;=NO$16,NB5&lt;&gt;"",ND5&gt;=NO$20,ND5&lt;&gt;""),AND(NE5&gt;=NO$16,NE5&lt;&gt;"",NG5&gt;=NO$20,NG5&lt;&gt;""),AND(NI5&gt;=NO$16,NI5&lt;&gt;"",NK5&gt;=NO$20,NK5&lt;&gt;""),AND(NL5&gt;=NO$16,NL5&lt;&gt;"",NN5&gt;=NO$20,NN5&lt;&gt;""),AND(OJ5&gt;=OW$16,OJ5&lt;&gt;"",OL5&gt;=OW$20,OL5&lt;&gt;""),AND(OM5&gt;=OW$16,OM5&lt;&gt;"",OO5&gt;=OW$20,OO5&lt;&gt;""),AND(OQ5&gt;=OW$16,OQ5&lt;&gt;"",OS5&gt;=OW$20,OS5&lt;&gt;""),AND(OT5&gt;=OW$16,OT5&lt;&gt;"",OV5&gt;=OW$20,OV5&lt;&gt;""),AND(PR5&gt;=QE$16,PR5&lt;&gt;"",PT5&gt;=QE$20,PT5&lt;&gt;""),AND(PU5&gt;=QE$16,PU5&lt;&gt;"",PW5&gt;=QE$20,PW5&lt;&gt;""),AND(PY5&gt;=QE$16,PY5&lt;&gt;"",QA5&gt;=QE$20,QA5&lt;&gt;""),AND(QB5&gt;=QE$16,QB5&lt;&gt;"",QD5&gt;=QE$20,QD5&lt;&gt;""),AND(QZ5&gt;=RM$16,QZ5&lt;&gt;"",RB5&gt;=RM$20,RB5&lt;&gt;""),AND(RC5&gt;=RM$16,RC5&lt;&gt;"",RE5&gt;=RM$20,RE5&lt;&gt;""),AND(RG5&gt;=RM$16,RG5&lt;&gt;"",RI5&gt;=RM$20,RI5&lt;&gt;""),AND(RJ5&gt;=RM$16,RJ5&lt;&gt;"",RL5&gt;=RM$20,RL5&lt;&gt;""),AND(SH5&gt;=SU$16,SH5&lt;&gt;"",SJ5&gt;=SU$20,SJ5&lt;&gt;""),AND(SK5&gt;=SU$16,SK5&lt;&gt;"",SM5&gt;=SU$20,SM5&lt;&gt;""),AND(SO5&gt;=SU$16,SO5&lt;&gt;"",SQ5&gt;=SU$20,SQ5&lt;&gt;""),AND(SR5&gt;=SU$16,SR5&lt;&gt;"",ST5&gt;=SU$20,ST5&lt;&gt;"")),"Merit",IF(OR(AND(AO5&gt;=AY$15,AO5&lt;&gt;"",AQ5&gt;=AY$19,AQ5&lt;&gt;"",AN5=""),AND(AR5&gt;=AY$15,AR5&lt;&gt;"",AT5&gt;=AY$19,AT5&lt;&gt;"",AN5=""),AND(AV5&gt;=AY$15,AV5&lt;&gt;"",AX5&gt;=AY$19,AX5&lt;&gt;"",AN5=""),AND(BP5&gt;=BZ$15,BP5&lt;&gt;"",BR5&gt;=BZ$19,BR5&lt;&gt;"",BO5=""),AND(BS5&gt;=BZ$15,BS5&lt;&gt;"",BU5&gt;=BZ$19,BU5&lt;&gt;"",BO5=""),AND(BW5&gt;=BZ$15,BW5&lt;&gt;"",BY5&gt;=BZ$19,BY5&lt;&gt;"",BO5=""),AND(CQ5&gt;=DA$15,CQ5&lt;&gt;"",CS5&gt;=DA$19,CS5&lt;&gt;"",CP5=""),AND(CT5&gt;=DA$15,CT5&lt;&gt;"",CV5&gt;=DA$19,CV5&lt;&gt;"",CP5=""),AND(CX5&gt;=DA$15,CX5&lt;&gt;"",CZ5&gt;=DA$19,CZ5&lt;&gt;"",CP5=""),AND(DX5&gt;=EK$15,DX5&lt;&gt;"",DZ5&gt;=EK$19,DZ5&lt;&gt;""),AND(EA5&gt;=EK$15,EA5&lt;&gt;"",EC5&gt;=EK$19,EC5&lt;&gt;""),AND(EE5&gt;=EK$15,EE5&lt;&gt;"",EG5&gt;=EK$19,EG5&lt;&gt;""),AND(EH5&gt;=EK$15,EH5&lt;&gt;"",EJ5&gt;=EK$19,EJ5&lt;&gt;""),AND(FF5&gt;=FS$15,FF5&lt;&gt;"",FH5&gt;=FS$19,FH5&lt;&gt;""),AND(FI5&gt;=FS$15,FI5&lt;&gt;"",FK5&gt;=FS$19,FK5&lt;&gt;""),AND(FM5&gt;=FS$15,FM5&lt;&gt;"",FO5&gt;=FS$19,FO5&lt;&gt;""),AND(FP5&gt;=FS$15,FP5&lt;&gt;"",FR5&gt;=FS$19,FR5&lt;&gt;""),AND(GN5&gt;=HA$15,GN5&lt;&gt;"",GP5&gt;=HA$19,GP5&lt;&gt;""),AND(GQ5&gt;=HA$15,GQ5&lt;&gt;"",GS5&gt;=HA$19,GS5&lt;&gt;""),AND(GU5&gt;=HA$15,GU5&lt;&gt;"",GW5&gt;=HA$19,GW5&lt;&gt;""),AND(GX5&gt;=HA$15,GX5&lt;&gt;"",GZ5&gt;=HA$19,GZ5&lt;&gt;""),AND(HV5&gt;=II$15,HV5&lt;&gt;"",HX5&gt;=II$19,HX5&lt;&gt;""),AND(HY5&gt;=II$15,HY5&lt;&gt;"",IA5&gt;=II$19,IA5&lt;&gt;""),AND(IC5&gt;=II$15,IC5&lt;&gt;"",IE5&gt;=II$19,IE5&lt;&gt;""),AND(IF5&gt;=II$15,IF5&lt;&gt;"",IH5&gt;=II$19,IH5&lt;&gt;""),AND(JD5&gt;=JQ$15,JD5&lt;&gt;"",JF5&gt;=JQ$19,JF5&lt;&gt;""),AND(JG5&gt;=JQ$15,JG5&lt;&gt;"",JI5&gt;=JQ$19,JI5&lt;&gt;""),AND(JK5&gt;=JQ$15,JK5&lt;&gt;"",JM5&gt;=JQ$19,JM5&lt;&gt;""),AND(JN5&gt;=JQ$15,JN5&lt;&gt;"",JP5&gt;=JQ$19,JP5&lt;&gt;""),AND(KL5&gt;=KY$15,KL5&lt;&gt;"",KN5&gt;=KY$19,KN5&lt;&gt;""),AND(KO5&gt;=KY$15,KO5&lt;&gt;"",KQ5&gt;=KY$19,KQ5&lt;&gt;""),AND(KS5&gt;=KY$15,KS5&lt;&gt;"",KU5&gt;=KY$19,KU5&lt;&gt;""),AND(KV5&gt;=KY$15,KV5&lt;&gt;"",KX5&gt;=KY$19,KX5&lt;&gt;""),AND(LT5&gt;=MG$15,LT5&lt;&gt;"",LV5&gt;=MG$19,LV5&lt;&gt;""),AND(LW5&gt;=MG$15,LW5&lt;&gt;"",LY5&gt;=MG$19,LY5&lt;&gt;""),AND(MA5&gt;=MG$15,MA5&lt;&gt;"",MC5&gt;=MG$19,MC5&lt;&gt;""),AND(MD5&gt;=MG$15,MD5&lt;&gt;"",MF5&gt;=MG$19,MF5&lt;&gt;""),AND(NB5&gt;=NO$15,NB5&lt;&gt;"",ND5&gt;=NO$19,ND5&lt;&gt;""),AND(NE5&gt;=NO$15,NE5&lt;&gt;"",NG5&gt;=NO$19,NG5&lt;&gt;""),AND(NI5&gt;=NO$15,NI5&lt;&gt;"",NK5&gt;=NO$19,NK5&lt;&gt;""),AND(NL5&gt;=NO$15,NL5&lt;&gt;"",NN5&gt;=NO$19,NN5&lt;&gt;""),AND(OJ5&gt;=OW$15,OJ5&lt;&gt;"",OL5&gt;=OW$19,OL5&lt;&gt;""),AND(OM5&gt;=OW$15,OM5&lt;&gt;"",OO5&gt;=OW$19,OO5&lt;&gt;""),AND(OQ5&gt;=OW$15,OQ5&lt;&gt;"",OS5&gt;=OW$19,OS5&lt;&gt;""),AND(OT5&gt;=OW$15,OT5&lt;&gt;"",OV5&gt;=OW$19,OV5&lt;&gt;""),AND(PR5&gt;=QE$15,PR5&lt;&gt;"",PT5&gt;=QE$19,PT5&lt;&gt;""),AND(PU5&gt;=QE$15,PU5&lt;&gt;"",PW5&gt;=QE$19,PW5&lt;&gt;""),AND(PY5&gt;=QE$15,PY5&lt;&gt;"",QA5&gt;=QE$19,QA5&lt;&gt;""),AND(QB5&gt;=QE$15,QB5&lt;&gt;"",QD5&gt;=QE$19,QD5&lt;&gt;""),AND(QZ5&gt;=RM$15,QZ5&lt;&gt;"",RB5&gt;=RM$19,RB5&lt;&gt;""),AND(RC5&gt;=RM$15,RC5&lt;&gt;"",RE5&gt;=RM$19,RE5&lt;&gt;""),AND(RG5&gt;=RM$15,RG5&lt;&gt;"",RI5&gt;=RM$19,RI5&lt;&gt;""),AND(RJ5&gt;=RM$15,RJ5&lt;&gt;"",RL5&gt;=RM$19,RL5&lt;&gt;""),AND(SH5&gt;=SU$15,SH5&lt;&gt;"",SJ5&gt;=SU$19,SJ5&lt;&gt;""),AND(SK5&gt;=SU$15,SK5&lt;&gt;"",SM5&gt;=SU$19,SM5&lt;&gt;""),AND(SO5&gt;=SU$15,SO5&lt;&gt;"",SQ5&gt;=SU$19,SQ5&lt;&gt;""),AND(SR5&gt;=SU$15,SR5&lt;&gt;"",ST5&gt;=SU$19,ST5&lt;&gt;"")),"Excellence",IF(K5="P","Worlds Team",IF(H5="P","National Team","")))))</f>
        <v>National Team</v>
      </c>
      <c r="K5" s="3" t="str">
        <f>IF(OR(AND(AO5&gt;=AY$14,AO5&lt;&gt;"",AQ5&gt;=AY$18,AQ5&lt;&gt;"",AN5=""),AND(AR5&gt;=AY$14,AR5&lt;&gt;"",AT5&gt;=AY$18,AT5&lt;&gt;"",AN5=""),AND(AV5&gt;=AY$14,AV5&lt;&gt;"",AX5&gt;=AY$18,AX5&lt;&gt;"",AN5=""),AND(BP5&gt;=BZ$14,BP5&lt;&gt;"",BR5&gt;=BZ$18,BR5&lt;&gt;"",BO5=""),AND(BS5&gt;=BZ$14,BS5&lt;&gt;"",BU5&gt;=BZ$18,BU5&lt;&gt;"",BO5=""),AND(BW5&gt;=BZ$14,BW5&lt;&gt;"",BY5&gt;=BZ$18,BY5&lt;&gt;"",BO5=""),AND(CQ5&gt;=DA$14,CQ5&lt;&gt;"",CS5&gt;=DA$18,CS5&lt;&gt;"",CP5=""),AND(CT5&gt;=DA$14,CT5&lt;&gt;"",CV5&gt;=DA$18,CV5&lt;&gt;"",CP5=""),AND(CX5&gt;=DA$14,CX5&lt;&gt;"",CZ5&gt;=DA$18,CZ5&lt;&gt;"",CP5=""),AND(DX5&gt;=EK$14,DX5&lt;&gt;"",DZ5&gt;=EK$18,DZ5&lt;&gt;""),AND(EA5&gt;=EK$14,EA5&lt;&gt;"",EC5&gt;=EK$18,EC5&lt;&gt;""),AND(EE5&gt;=EK$14,EE5&lt;&gt;"",EG5&gt;=EK$18,EG5&lt;&gt;""),AND(EH5&gt;=EK$14,EH5&lt;&gt;"",EJ5&gt;=EK$18,EJ5&lt;&gt;""),AND(FF5&gt;=FS$14,FF5&lt;&gt;"",FH5&gt;=FS$18,FH5&lt;&gt;""),AND(FI5&gt;=FS$14,FI5&lt;&gt;"",FK5&gt;=FS$18,FK5&lt;&gt;""),AND(FM5&gt;=FS$14,FM5&lt;&gt;"",FO5&gt;=FS$18,FO5&lt;&gt;""),AND(FP5&gt;=FS$14,FP5&lt;&gt;"",FR5&gt;=FS$18,FR5&lt;&gt;""),AND(GN5&gt;=HA$14,GN5&lt;&gt;"",GP5&gt;=HA$18,GP5&lt;&gt;""),AND(GQ5&gt;=HA$14,GQ5&lt;&gt;"",GS5&gt;=HA$18,GS5&lt;&gt;""),AND(GU5&gt;=HA$14,GU5&lt;&gt;"",GW5&gt;=HA$18,GW5&lt;&gt;""),AND(GX5&gt;=HA$14,GX5&lt;&gt;"",GZ5&gt;=HA$18,GZ5&lt;&gt;""),AND(HV5&gt;=II$14,HV5&lt;&gt;"",HX5&gt;=II$18,HX5&lt;&gt;""),AND(HY5&gt;=II$14,HY5&lt;&gt;"",IA5&gt;=II$18,IA5&lt;&gt;""),AND(IC5&gt;=II$14,IC5&lt;&gt;"",IE5&gt;=II$18,IE5&lt;&gt;""),AND(IF5&gt;=II$14,IF5&lt;&gt;"",IH5&gt;=II$18,IH5&lt;&gt;""),AND(JD5&gt;=JQ$14,JD5&lt;&gt;"",JF5&gt;=JQ$18,JF5&lt;&gt;""),AND(JG5&gt;=JQ$14,JG5&lt;&gt;"",JI5&gt;=JQ$18,JI5&lt;&gt;""),AND(JK5&gt;=JQ$14,JK5&lt;&gt;"",JM5&gt;=JQ$18,JM5&lt;&gt;""),AND(JN5&gt;=JQ$14,JN5&lt;&gt;"",JP5&gt;=JQ$18,JP5&lt;&gt;""),AND(KL5&gt;=KY$14,KL5&lt;&gt;"",KN5&gt;=KY$18,KN5&lt;&gt;""),AND(KO5&gt;=KY$14,KO5&lt;&gt;"",KQ5&gt;=KY$18,KQ5&lt;&gt;""),AND(KS5&gt;=KY$14,KS5&lt;&gt;"",KU5&gt;=KY$18,KU5&lt;&gt;""),AND(KV5&gt;=KY$14,KV5&lt;&gt;"",KX5&gt;=KY$18,KX5&lt;&gt;""),AND(LT5&gt;=MG$14,LT5&lt;&gt;"",LV5&gt;=MG$18,LV5&lt;&gt;""),AND(LW5&gt;=MG$14,LW5&lt;&gt;"",LY5&gt;=MG$18,LY5&lt;&gt;""),AND(MA5&gt;=MG$14,MA5&lt;&gt;"",MC5&gt;=MG$18,MC5&lt;&gt;""),AND(MD5&gt;=MG$14,MD5&lt;&gt;"",MF5&gt;=MG$18,MF5&lt;&gt;""),AND(NB5&gt;=NO$14,NB5&lt;&gt;"",ND5&gt;=NO$18,ND5&lt;&gt;""),AND(NE5&gt;=NO$14,NE5&lt;&gt;"",NG5&gt;=NO$18,NG5&lt;&gt;""),AND(NI5&gt;=NO$14,NI5&lt;&gt;"",NK5&gt;=NO$18,NK5&lt;&gt;""),AND(NL5&gt;=NO$14,NL5&lt;&gt;"",NN5&gt;=NO$18,NN5&lt;&gt;""),AND(OJ5&gt;=OW$14,OJ5&lt;&gt;"",OL5&gt;=OW$18,OL5&lt;&gt;""),AND(OM5&gt;=OW$14,OM5&lt;&gt;"",OO5&gt;=OW$18,OO5&lt;&gt;""),AND(OQ5&gt;=OW$14,OQ5&lt;&gt;"",OS5&gt;=OW$18,OS5&lt;&gt;""),AND(OT5&gt;=OW$14,OT5&lt;&gt;"",OV5&gt;=OW$18,OV5&lt;&gt;""),AND(PR5&gt;=QE$14,PR5&lt;&gt;"",PT5&gt;=QE$18,PT5&lt;&gt;""),AND(PU5&gt;=QE$14,PU5&lt;&gt;"",PW5&gt;=QE$18,PW5&lt;&gt;""),AND(PY5&gt;=QE$14,PY5&lt;&gt;"",QA5&gt;=QE$18,QA5&lt;&gt;""),AND(QB5&gt;=QE$14,QB5&lt;&gt;"",QD5&gt;=QE$18,QD5&lt;&gt;""),AND(QZ5&gt;=RM$14,QZ5&lt;&gt;"",RB5&gt;=RM$18,RB5&lt;&gt;""),AND(RC5&gt;=RM$14,RC5&lt;&gt;"",RE5&gt;=RM$18,RE5&lt;&gt;""),AND(RG5&gt;=RM$14,RG5&lt;&gt;"",RI5&gt;=RM$18,RI5&lt;&gt;""),AND(RJ5&gt;=RM$14,RJ5&lt;&gt;"",RL5&gt;=RM$18,RL5&lt;&gt;""),AND(SH5&gt;=SU$14,SH5&lt;&gt;"",SJ5&gt;=SU$18,SJ5&lt;&gt;""),AND(SK5&gt;=SU$14,SK5&lt;&gt;"",SM5&gt;=SU$18,SM5&lt;&gt;""),AND(SO5&gt;=SU$14,SO5&lt;&gt;"",SQ5&gt;=SU$18,SQ5&lt;&gt;""),AND(SR5&gt;=SU$14,SR5&lt;&gt;"",ST5&gt;=SU$18,ST5&lt;&gt;"")),"P","")</f>
        <v/>
      </c>
      <c r="L5" s="8">
        <f>IF(COUNT(AQ5,AT5,BR5,BU5,CS5,CV5)&gt;0,LARGE((AQ5,AT5,BR5,BU5,CS5,CV5),1),0)</f>
        <v>52.15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51.820000000000007</v>
      </c>
      <c r="O5" s="8" t="str">
        <f>IF(N5="","",IF(OR(N5=CS5,N5=CV5),$CA$1,IF(OR(N5=BR5,N5=BU5),$AZ$1,IF(OR(N5=AQ5,N5=AT5),$Y$1,""))))</f>
        <v>2025 3rd Domestic Trial</v>
      </c>
      <c r="P5" s="8">
        <f>IF(COUNT(AQ5,AT5,BR5,BU5,CS5,CV5)&gt;2,MAX(AX5,BY5,CZ5,LARGE((AQ5,AT5,BR5,BU5,CS5,CV5),3)),IF(MAX(AX5,BY5,CZ5)&gt;0,MAX(AX5,BY5,CZ5),0))</f>
        <v>51.86999999999999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3rd Domestic Trial</v>
      </c>
      <c r="T5" s="8">
        <f>IF(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&gt;0,MAX(IF(AO5&gt;=$AY$13,AP5,0),IF(AR5&gt;=$AY$13,AS5,0),IF(AV5&gt;=$AY$13,AW5,0),IF(BP5&gt;=$BZ$13,BQ5,0),IF(BS5&gt;=$BZ$13,BT5,0),IF(BW5&gt;=$BZ$13,BX5,0),IF(CQ5&gt;=$DA$13,CR5,0),IF(CT5&gt;=$DA$13,CU5,0),IF(CX5&gt;=$DA$13,CY5,0),IF(DX5&gt;=$EK$13,DY5,0),IF(EA5&gt;=$EK$13,EB5,0),IF(EE5&gt;=$EK$13,EF5,0),IF(EH5&gt;=$EK$13,EI5,0),IF(FF5&gt;=$FS$13,FG5,0),IF(FI5&gt;=$FS$13,FJ5,0),IF(FM5&gt;=$FS$13,FN5,0),IF(FP5&gt;=$FS$13,FQ5,0),IF(GN5&gt;=$HA$13,GO5,0),IF(GQ5&gt;=$HA$13,GR5,0),IF(GU5&gt;=$HA$13,GV5,0),IF(GX5&gt;=$HA$13,GY5,0),IF(HV5&gt;=$II$13,HW5,0),IF(HY5&gt;=$II$13,HZ5,0),IF(IC5&gt;=$II$13,ID5,0),IF(IF5&gt;=$II$13,IG5,0),IF(JD5&gt;=$JQ$13,JE5,0),IF(JG5&gt;=$JQ$13,JH5,0),IF(JK5&gt;=$JQ$13,JL5,0),IF(JN5&gt;=$JQ$13,JO5,0),IF(KL5&gt;=$KY$13,KM5,0),IF(KO5&gt;=$KY$13,KP5,0),IF(KS5&gt;=$KY$13,KT5,0),IF(KV5&gt;=$KY$13,KW5,0),IF(LT5&gt;=$MG$13,LU5,0),IF(LW5&gt;=$MG$13,LX5,0),IF(MA5&gt;=$MG$13,MB5,0),IF(MD5&gt;=$MG$13,ME5,0),IF(NB5&gt;=$NO$13,NC5,0),IF(NE5&gt;=$NO$13,NF5,0),IF(NI5&gt;=$NO$13,NJ5,0),IF(NL5&gt;=$NO$13,NM5,0),IF(OJ5&gt;=$OW$13,OK5,0),IF(OM5&gt;=$OW$13,ON5,0),IF(OQ5&gt;=$OW$13,OR5,0),IF(OT5&gt;=$OW$13,OU5,0),IF(PR5&gt;=$QE$13,PS5,0),IF(PU5&gt;=$QE$13,PV5,0),IF(PY5&gt;=$QE$13,PZ5,0),IF(QB5&gt;=$QE$13,QC5,0),IF(QZ5&gt;=$RM$13,RA5,0),IF(RC5&gt;=$RM$13,RD5,0),IF(RG5&gt;=$RM$13,RH5,0),IF(RJ5&gt;=$RM$13,RK5,0),IF(SH5&gt;=$SU$13,SI5,0),IF(SK5&gt;=$SU$13,SL5,0),IF(SO5&gt;=$SU$13,SP5,0),IF(SR5&gt;=$SU$13,SS5,0)),0)</f>
        <v>14.48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Junior Pan Am Games (Aug 12)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13.5</v>
      </c>
      <c r="Z5" s="22">
        <v>9.1</v>
      </c>
      <c r="AA5" s="22">
        <v>12.4</v>
      </c>
      <c r="AB5" s="22">
        <v>14.35</v>
      </c>
      <c r="AC5" s="22">
        <v>0.3</v>
      </c>
      <c r="AD5" s="22">
        <v>14.8</v>
      </c>
      <c r="AE5" s="22">
        <v>9.1999999999999993</v>
      </c>
      <c r="AF5" s="22">
        <v>13.4</v>
      </c>
      <c r="AG5" s="22">
        <v>14.09</v>
      </c>
      <c r="AH5" s="22">
        <v>0</v>
      </c>
      <c r="AI5" s="22">
        <v>13.7</v>
      </c>
      <c r="AJ5" s="22">
        <v>9.1999999999999993</v>
      </c>
      <c r="AK5" s="22">
        <v>14.3</v>
      </c>
      <c r="AL5" s="22">
        <v>14.26</v>
      </c>
      <c r="AM5" s="22">
        <v>0</v>
      </c>
      <c r="AN5" s="27"/>
      <c r="AO5" s="38">
        <f>IF(AA5&gt;0,AA5,"")</f>
        <v>12.4</v>
      </c>
      <c r="AP5" s="38">
        <f>IF(AB5&gt;0,AB5,"")</f>
        <v>14.35</v>
      </c>
      <c r="AQ5" s="40">
        <f>IF(SUM(Y5:AB5)-AC5&gt;0,SUM(Y5:AB5)-AC5,"")</f>
        <v>49.050000000000004</v>
      </c>
      <c r="AR5" s="40">
        <f>IF(AF5&gt;0,AF5,"")</f>
        <v>13.4</v>
      </c>
      <c r="AS5" s="40">
        <f>IF(AG5&gt;0,AG5,"")</f>
        <v>14.09</v>
      </c>
      <c r="AT5" s="40">
        <f>IF(SUM(AD5:AG5)-AH5&gt;0,SUM(AD5:AG5)-AH5,"")</f>
        <v>51.489999999999995</v>
      </c>
      <c r="AU5" s="40">
        <f>IF(AQ5="","",MAX(AQ5,AT5))</f>
        <v>51.489999999999995</v>
      </c>
      <c r="AV5" s="40">
        <f>IF(AK5&gt;0,AK5,"")</f>
        <v>14.3</v>
      </c>
      <c r="AW5" s="40">
        <f>IF(AL5&gt;0,AL5,"")</f>
        <v>14.26</v>
      </c>
      <c r="AX5" s="40">
        <f>IF(SUM(AI5:AL5)-AM5&gt;0,SUM(AI5:AL5)-AM5,"")</f>
        <v>51.46</v>
      </c>
      <c r="AY5" s="40">
        <f>IF(SUM(AU5,AX5)&gt;0,SUM(AU5,AX5),"")</f>
        <v>102.94999999999999</v>
      </c>
      <c r="AZ5" s="26">
        <v>14.1</v>
      </c>
      <c r="BA5" s="26">
        <v>9.6999999999999993</v>
      </c>
      <c r="BB5" s="26">
        <v>10.8</v>
      </c>
      <c r="BC5" s="26">
        <v>14.25</v>
      </c>
      <c r="BD5" s="26">
        <v>1.9</v>
      </c>
      <c r="BE5" s="26">
        <v>14.6</v>
      </c>
      <c r="BF5" s="26">
        <v>9.1</v>
      </c>
      <c r="BG5" s="26">
        <v>14.3</v>
      </c>
      <c r="BH5" s="26">
        <v>14.15</v>
      </c>
      <c r="BI5" s="26">
        <v>0</v>
      </c>
      <c r="BJ5" s="26">
        <v>13.7</v>
      </c>
      <c r="BK5" s="26">
        <v>9.6</v>
      </c>
      <c r="BL5" s="26">
        <v>14.3</v>
      </c>
      <c r="BM5" s="26">
        <v>14.27</v>
      </c>
      <c r="BN5" s="26">
        <v>0</v>
      </c>
      <c r="BO5" s="28"/>
      <c r="BP5" s="39">
        <f>IF(BB5&gt;0,BB5,"")</f>
        <v>10.8</v>
      </c>
      <c r="BQ5" s="39">
        <f>IF(BC5&gt;0,BC5,"")</f>
        <v>14.25</v>
      </c>
      <c r="BR5" s="11">
        <f>IF(SUM(AZ5:BC5)-BD5&gt;0,SUM(AZ5:BC5)-BD5,"")</f>
        <v>46.949999999999996</v>
      </c>
      <c r="BS5" s="11">
        <f>IF(BG5&gt;0,BG5,"")</f>
        <v>14.3</v>
      </c>
      <c r="BT5" s="11">
        <f>IF(BH5&gt;0,BH5,"")</f>
        <v>14.15</v>
      </c>
      <c r="BU5" s="11">
        <f>IF(SUM(BE5:BH5)-BI5&gt;0,SUM(BE5:BH5)-BI5,"")</f>
        <v>52.15</v>
      </c>
      <c r="BV5" s="11">
        <f>IF(BR5="","",MAX(BR5,BU5))</f>
        <v>52.15</v>
      </c>
      <c r="BW5" s="11">
        <f>IF(BL5&gt;0,BL5,"")</f>
        <v>14.3</v>
      </c>
      <c r="BX5" s="11">
        <f>IF(BM5&gt;0,BM5,"")</f>
        <v>14.27</v>
      </c>
      <c r="BY5" s="11">
        <f>IF(SUM(BJ5:BM5)-BN5&gt;0,SUM(BJ5:BM5)-BN5,"")</f>
        <v>51.86999999999999</v>
      </c>
      <c r="BZ5" s="11">
        <f>IF(SUM(BV5,BY5)&gt;0,SUM(BV5,BY5),"")</f>
        <v>104.01999999999998</v>
      </c>
      <c r="CA5" s="22">
        <v>13.8</v>
      </c>
      <c r="CB5" s="22">
        <v>9.3999999999999986</v>
      </c>
      <c r="CC5" s="22">
        <v>11.600000000000001</v>
      </c>
      <c r="CD5" s="22">
        <v>14.3</v>
      </c>
      <c r="CE5" s="22">
        <v>1.0999999999999999</v>
      </c>
      <c r="CF5" s="22">
        <v>14.7</v>
      </c>
      <c r="CG5" s="22">
        <v>9.1499999999999986</v>
      </c>
      <c r="CH5" s="22">
        <v>13.850000000000001</v>
      </c>
      <c r="CI5" s="22">
        <v>14.120000000000001</v>
      </c>
      <c r="CJ5" s="22">
        <v>0</v>
      </c>
      <c r="CK5" s="22">
        <v>13.7</v>
      </c>
      <c r="CL5" s="22">
        <v>9.3999999999999986</v>
      </c>
      <c r="CM5" s="22">
        <v>14.3</v>
      </c>
      <c r="CN5" s="22">
        <v>14.265000000000001</v>
      </c>
      <c r="CO5" s="22">
        <v>0</v>
      </c>
      <c r="CP5" s="27" t="s">
        <v>46</v>
      </c>
      <c r="CQ5" s="38">
        <f>IF(CC5&gt;0,CC5,"")</f>
        <v>11.600000000000001</v>
      </c>
      <c r="CR5" s="38">
        <f>IF(CD5&gt;0,CD5,"")</f>
        <v>14.3</v>
      </c>
      <c r="CS5" s="40">
        <f>IF(SUM(CA5:CD5)-CE5&gt;0,SUM(CA5:CD5)-CE5,"")</f>
        <v>47.999999999999993</v>
      </c>
      <c r="CT5" s="40">
        <f>IF(CH5&gt;0,CH5,"")</f>
        <v>13.850000000000001</v>
      </c>
      <c r="CU5" s="40">
        <f>IF(CI5&gt;0,CI5,"")</f>
        <v>14.120000000000001</v>
      </c>
      <c r="CV5" s="40">
        <f>IF(SUM(CF5:CI5)-CJ5&gt;0,SUM(CF5:CI5)-CJ5,"")</f>
        <v>51.820000000000007</v>
      </c>
      <c r="CW5" s="40">
        <f>IF(CS5="","",MAX(CS5,CV5))</f>
        <v>51.820000000000007</v>
      </c>
      <c r="CX5" s="40">
        <f>IF(CM5&gt;0,CM5,"")</f>
        <v>14.3</v>
      </c>
      <c r="CY5" s="40">
        <f>IF(CN5&gt;0,CN5,"")</f>
        <v>14.265000000000001</v>
      </c>
      <c r="CZ5" s="40">
        <f>IF(SUM(CK5:CN5)-CO5&gt;0,SUM(CK5:CN5)-CO5,"")</f>
        <v>51.664999999999999</v>
      </c>
      <c r="DA5" s="40">
        <f>IF(SUM(CW5,CZ5)&gt;0,SUM(CW5,CZ5),"")</f>
        <v>103.48500000000001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14.3</v>
      </c>
      <c r="FG5" s="11">
        <f>IF(EO5&gt;0,EO5,"")</f>
        <v>14.44</v>
      </c>
      <c r="FH5" s="11">
        <f>IF(SUM(EL5:EO5)-EP5&gt;0,SUM(EL5:EO5)-EP5,"")</f>
        <v>51.54</v>
      </c>
      <c r="FI5" s="11">
        <f>IF(ES5&gt;0,ES5,"")</f>
        <v>14.3</v>
      </c>
      <c r="FJ5" s="11">
        <f>IF(ET5&gt;0,ET5,"")</f>
        <v>14.25</v>
      </c>
      <c r="FK5" s="11">
        <f>IF(SUM(EQ5:ET5)-EU5&gt;0,SUM(EQ5:ET5)-EU5,"")</f>
        <v>51.150000000000006</v>
      </c>
      <c r="FL5" s="11">
        <f>IF(MAX(FH5,FK5)&gt;0,MAX(FH5,FK5),"")</f>
        <v>51.54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>
        <f>IF(HI5&gt;0,HI5,"")</f>
        <v>13.4</v>
      </c>
      <c r="HZ5" s="11">
        <f>IF(HJ5&gt;0,HJ5,"")</f>
        <v>14.48</v>
      </c>
      <c r="IA5" s="11">
        <f>IF(SUM(HG5:HJ5)-HK5&gt;0,SUM(HG5:HJ5)-HK5,"")</f>
        <v>51.480000000000004</v>
      </c>
      <c r="IB5" s="11">
        <f>IF(MAX(HX5,IA5)&gt;0,MAX(HX5,IA5),"")</f>
        <v>51.480000000000004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14.3</v>
      </c>
      <c r="IG5" s="11">
        <f>IF(HT5&gt;0,HT5,"")</f>
        <v>14.37</v>
      </c>
      <c r="IH5" s="11">
        <f>IF(SUM(HQ5:HT5)-HU5&gt;0,SUM(HQ5:HT5)-HU5,"")</f>
        <v>51.47</v>
      </c>
      <c r="II5" s="11">
        <f>IF(SUM(IB5,IE5,IH5)&gt;0,SUM(IB5,IE5,IH5),"")</f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17.5</v>
      </c>
      <c r="JS5" s="18">
        <v>9.5</v>
      </c>
      <c r="JT5" s="18">
        <v>1.6</v>
      </c>
      <c r="JU5" s="18">
        <v>15.48</v>
      </c>
      <c r="JV5" s="18">
        <v>0</v>
      </c>
      <c r="JW5" s="18">
        <v>15.2</v>
      </c>
      <c r="JX5" s="18">
        <v>9.4</v>
      </c>
      <c r="JY5" s="18">
        <v>12.1</v>
      </c>
      <c r="JZ5" s="18">
        <v>14.75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1.6</v>
      </c>
      <c r="KM5" s="11">
        <f>IF(JU5&gt;0,JU5,"")</f>
        <v>15.48</v>
      </c>
      <c r="KN5" s="11">
        <f>IF(SUM(JR5:JU5)-JV5&gt;0,SUM(JR5:JU5)-JV5,"")</f>
        <v>44.08</v>
      </c>
      <c r="KO5" s="11">
        <f>IF(JY5&gt;0,JY5,"")</f>
        <v>12.1</v>
      </c>
      <c r="KP5" s="11">
        <f>IF(JZ5&gt;0,JZ5,"")</f>
        <v>14.75</v>
      </c>
      <c r="KQ5" s="11">
        <f>IF(SUM(JW5:JZ5)-KA5&gt;0,SUM(JW5:JZ5)-KA5,"")</f>
        <v>51.45</v>
      </c>
      <c r="KR5" s="11">
        <f>IF(MAX(KN5,KQ5)&gt;0,MAX(KN5,KQ5),"")</f>
        <v>51.45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51.45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9.3999999999999986</v>
      </c>
      <c r="SX5" s="22">
        <f>IF($CP5="P",CC5,(CC5+BB5)/2)</f>
        <v>11.600000000000001</v>
      </c>
      <c r="SY5" s="22">
        <f>IF($CP5="P",CD5,(CD5+BC5)/2)</f>
        <v>14.3</v>
      </c>
      <c r="SZ5" s="22">
        <f>IF($CP5="P",CE5,(CE5+BD5)/2)</f>
        <v>1.0999999999999999</v>
      </c>
      <c r="TA5" s="22">
        <f>IF($CP5="P",CF5,(CF5+BE5)/2)</f>
        <v>14.7</v>
      </c>
      <c r="TB5" s="22">
        <f>IF($CP5="P",CG5,(CG5+BF5)/2)</f>
        <v>9.1499999999999986</v>
      </c>
      <c r="TC5" s="22">
        <f>IF($CP5="P",CH5,(CH5+BG5)/2)</f>
        <v>13.850000000000001</v>
      </c>
      <c r="TD5" s="22">
        <f>IF($CP5="P",CI5,(CI5+BH5)/2)</f>
        <v>14.120000000000001</v>
      </c>
      <c r="TE5" s="22">
        <f>IF($CP5="P",CJ5,(CJ5+BI5)/2)</f>
        <v>0</v>
      </c>
      <c r="TF5" s="22">
        <f>IF($CP5="P",CK5,(CK5+BJ5)/2)</f>
        <v>13.7</v>
      </c>
      <c r="TG5" s="22">
        <f>IF($CP5="P",CL5,(CL5+BK5)/2)</f>
        <v>9.3999999999999986</v>
      </c>
      <c r="TH5" s="22">
        <f>IF($CP5="P",CM5,(CM5+BL5)/2)</f>
        <v>14.3</v>
      </c>
      <c r="TI5" s="22">
        <f>IF($CP5="P",CN5,(CN5+BM5)/2)</f>
        <v>14.265000000000001</v>
      </c>
      <c r="TJ5" s="22">
        <f>IF($CP5="P",CO5,(CO5+BN5)/2)</f>
        <v>0</v>
      </c>
      <c r="TK5" s="27" t="s">
        <v>46</v>
      </c>
      <c r="TL5" s="40">
        <f>IF(SX5&gt;0,SX5,"")</f>
        <v>11.600000000000001</v>
      </c>
      <c r="TM5" s="40">
        <f>IF(SY5&gt;0,SY5,"")</f>
        <v>14.3</v>
      </c>
      <c r="TN5" s="40">
        <f>IF(SUM(SV5:SY5)-SZ5&gt;0,SUM(SV5:SY5)-SZ5,"")</f>
        <v>47.999999999999993</v>
      </c>
      <c r="TO5" s="40">
        <f>IF(TC5&gt;0,TC5,"")</f>
        <v>13.850000000000001</v>
      </c>
      <c r="TP5" s="40">
        <f>IF(TD5&gt;0,TD5,"")</f>
        <v>14.120000000000001</v>
      </c>
      <c r="TQ5" s="40">
        <f>IF(SUM(TA5:TD5)-TE5&gt;0,SUM(TA5:TD5)-TE5,"")</f>
        <v>51.820000000000007</v>
      </c>
      <c r="TR5" s="40">
        <f>IF(MAX(TN5,TQ5)&gt;0,MAX(TN5,TQ5),"")</f>
        <v>51.820000000000007</v>
      </c>
      <c r="TS5" s="40">
        <f>IF(TH5&gt;0,TH5,"")</f>
        <v>14.3</v>
      </c>
      <c r="TT5" s="40">
        <f>IF(TI5&gt;0,TI5,"")</f>
        <v>14.265000000000001</v>
      </c>
      <c r="TU5" s="40">
        <f>IF(SUM(TF5:TI5)-TJ5&gt;0,SUM(TF5:TI5)-TJ5,"")</f>
        <v>51.664999999999999</v>
      </c>
      <c r="TV5" s="40">
        <f>IF(SUM(TR5,TU5)&gt;0,SUM(TR5,TU5),"")</f>
        <v>103.48500000000001</v>
      </c>
    </row>
    <row r="6" spans="1:542" x14ac:dyDescent="0.2">
      <c r="A6" s="4" cm="1">
        <f t="array" ref="A6">IF(AND(J6&lt;&gt;"",J6&lt;&gt;"No DD"),SUMPRODUCT((J$4:J$11&lt;&gt;"")*(J$4:J$11&lt;&gt;"No DD")*(F$4:F$11&gt;F6))+1,IF(J6="No DD",SUMPRODUCT((J$4:J$11="No DD")*(F$4:F$11&gt;F6))+1+SUMPRODUCT((J$4:J$11&lt;&gt;"")*(J$4:J$11&lt;&gt;"No DD")),""))</f>
        <v>3</v>
      </c>
      <c r="B6" s="4" cm="1">
        <f t="array" ref="B6">IF(AND(J6&lt;&gt;"",J6&lt;&gt;"No DD",G6=""),SUMPRODUCT((J$4:J$11&lt;&gt;"")*(J$4:J$11&lt;&gt;"No DD")*(G$4:G$11="")*(F$4:F$11&gt;F6))+1,IF(J6="No DD",SUMPRODUCT((J$4:J$11="No DD")*(F$4:F$11&gt;F6)*(G$4:G$11=""))+1+SUMPRODUCT((J$4:J$11&lt;&gt;"")*(G$4:G$11="")*(J$4:J$11&lt;&gt;"No DD")),""))</f>
        <v>1</v>
      </c>
      <c r="C6" s="5" t="s">
        <v>112</v>
      </c>
      <c r="D6" s="4" t="s">
        <v>3</v>
      </c>
      <c r="E6" s="4">
        <v>2006</v>
      </c>
      <c r="F6" s="9">
        <f>SUM(L6:V6)+SUM(L6:T6)*0.0000001+SUM(L6)*0.0000000000001</f>
        <v>180.33001803300502</v>
      </c>
      <c r="G6" s="64"/>
      <c r="H6" s="3" t="str">
        <f>IF(OR(AND(AO6&gt;=AY$13,AO6&lt;&gt;"",AQ6&gt;=AY$17,AQ6&lt;&gt;"",AN6=""),AND(AR6&gt;=AY$13,AR6&lt;&gt;"",AT6&gt;=AY$17,AT6&lt;&gt;"",AN6=""),AND(AV6&gt;=AY$13,AV6&lt;&gt;"",AX6&gt;=AY$17,AX6&lt;&gt;"",AN6=""),AND(BP6&gt;=BZ$13,BP6&lt;&gt;"",BR6&gt;=BZ$17,BR6&lt;&gt;"",BO6=""),AND(BS6&gt;=BZ$13,BS6&lt;&gt;"",BU6&gt;=BZ$17,BU6&lt;&gt;"",BO6=""),AND(BW6&gt;=BZ$13,BW6&lt;&gt;"",BY6&gt;=BZ$17,BY6&lt;&gt;"",BO6=""),AND(CQ6&gt;=DA$13,CQ6&lt;&gt;"",CS6&gt;=DA$17,CS6&lt;&gt;"",CP6=""),AND(CT6&gt;=DA$13,CT6&lt;&gt;"",CV6&gt;=DA$17,CV6&lt;&gt;"",CP6=""),AND(CX6&gt;=DA$13,CX6&lt;&gt;"",CZ6&gt;=DA$17,CZ6&lt;&gt;"",CP6=""),AND(DX6&gt;=EK$13,DX6&lt;&gt;"",DZ6&gt;=EK$17,DZ6&lt;&gt;""),AND(EA6&gt;=EK$13,EA6&lt;&gt;"",EC6&gt;=EK$17,EC6&lt;&gt;""),AND(EE6&gt;=EK$13,EE6&lt;&gt;"",EG6&gt;=EK$17,EG6&lt;&gt;""),AND(EH6&gt;=EK$13,EH6&lt;&gt;"",EJ6&gt;=EK$17,EJ6&lt;&gt;""),AND(FF6&gt;=FS$13,FF6&lt;&gt;"",FH6&gt;=FS$17,FH6&lt;&gt;""),AND(FI6&gt;=FS$13,FI6&lt;&gt;"",FK6&gt;=FS$17,FK6&lt;&gt;""),AND(FM6&gt;=FS$13,FM6&lt;&gt;"",FO6&gt;=FS$17,FO6&lt;&gt;""),AND(FP6&gt;=FS$13,FP6&lt;&gt;"",FR6&gt;=FS$17,FR6&lt;&gt;""),AND(GN6&gt;=HA$13,GN6&lt;&gt;"",GP6&gt;=HA$17,GP6&lt;&gt;""),AND(GQ6&gt;=HA$13,GQ6&lt;&gt;"",GS6&gt;=HA$17,GS6&lt;&gt;""),AND(GU6&gt;=HA$13,GU6&lt;&gt;"",GW6&gt;=HA$17,GW6&lt;&gt;""),AND(GX6&gt;=HA$13,GX6&lt;&gt;"",GZ6&gt;=HA$17,GZ6&lt;&gt;""),AND(HV6&gt;=II$13,HV6&lt;&gt;"",HX6&gt;=II$17,HX6&lt;&gt;""),AND(HY6&gt;=II$13,HY6&lt;&gt;"",IA6&gt;=II$17,IA6&lt;&gt;""),AND(IC6&gt;=II$13,IC6&lt;&gt;"",IE6&gt;=II$17,IE6&lt;&gt;""),AND(IF6&gt;=II$13,IF6&lt;&gt;"",IH6&gt;=II$17,IH6&lt;&gt;""),AND(JD6&gt;=JQ$13,JD6&lt;&gt;"",JF6&gt;=JQ$17,JF6&lt;&gt;""),AND(JG6&gt;=JQ$13,JG6&lt;&gt;"",JI6&gt;=JQ$17,JI6&lt;&gt;""),AND(JK6&gt;=JQ$13,JK6&lt;&gt;"",JM6&gt;=JQ$17,JM6&lt;&gt;""),AND(JN6&gt;=JQ$13,JN6&lt;&gt;"",JP6&gt;=JQ$17,JP6&lt;&gt;""),AND(KL6&gt;=KY$13,KL6&lt;&gt;"",KN6&gt;=KY$17,KN6&lt;&gt;""),AND(KO6&gt;=KY$13,KO6&lt;&gt;"",KQ6&gt;=KY$17,KQ6&lt;&gt;""),AND(KS6&gt;=KY$13,KS6&lt;&gt;"",KU6&gt;=KY$17,KU6&lt;&gt;""),AND(KV6&gt;=KY$13,KV6&lt;&gt;"",KX6&gt;=KY$17,KX6&lt;&gt;""),AND(LT6&gt;=MG$13,LT6&lt;&gt;"",LV6&gt;=MG$17,LV6&lt;&gt;""),AND(LW6&gt;=MG$13,LW6&lt;&gt;"",LY6&gt;=MG$17,LY6&lt;&gt;""),AND(MA6&gt;=MG$13,MA6&lt;&gt;"",MC6&gt;=MG$17,MC6&lt;&gt;""),AND(MD6&gt;=MG$13,MD6&lt;&gt;"",MF6&gt;=MG$17,MF6&lt;&gt;""),AND(NB6&gt;=NO$13,NB6&lt;&gt;"",ND6&gt;=NO$17,ND6&lt;&gt;""),AND(NE6&gt;=NO$13,NE6&lt;&gt;"",NG6&gt;=NO$17,NG6&lt;&gt;""),AND(NI6&gt;=NO$13,NI6&lt;&gt;"",NK6&gt;=NO$17,NK6&lt;&gt;""),AND(NL6&gt;=NO$13,NL6&lt;&gt;"",NN6&gt;=NO$17,NN6&lt;&gt;""),AND(OJ6&gt;=OW$13,OJ6&lt;&gt;"",OL6&gt;=OW$17,OL6&lt;&gt;""),AND(OM6&gt;=OW$13,OM6&lt;&gt;"",OO6&gt;=OW$17,OO6&lt;&gt;""),AND(OQ6&gt;=OW$13,OQ6&lt;&gt;"",OS6&gt;=OW$17,OS6&lt;&gt;""),AND(OT6&gt;=OW$13,OT6&lt;&gt;"",OV6&gt;=OW$17,OV6&lt;&gt;""),AND(PR6&gt;=QE$13,PR6&lt;&gt;"",PT6&gt;=QE$17,PT6&lt;&gt;""),AND(PU6&gt;=QE$13,PU6&lt;&gt;"",PW6&gt;=QE$17,PW6&lt;&gt;""),AND(PY6&gt;=QE$13,PY6&lt;&gt;"",QA6&gt;=QE$17,QA6&lt;&gt;""),AND(QB6&gt;=QE$13,QB6&lt;&gt;"",QD6&gt;=QE$17,QD6&lt;&gt;""),AND(QZ6&gt;=RM$13,QZ6&lt;&gt;"",RB6&gt;=RM$17,RB6&lt;&gt;""),AND(RC6&gt;=RM$13,RC6&lt;&gt;"",RE6&gt;=RM$17,RE6&lt;&gt;""),AND(RG6&gt;=RM$13,RG6&lt;&gt;"",RI6&gt;=RM$17,RI6&lt;&gt;""),AND(RJ6&gt;=RM$13,RJ6&lt;&gt;"",RL6&gt;=RM$17,RL6&lt;&gt;""),AND(SH6&gt;=SU$13,SH6&lt;&gt;"",SJ6&gt;=SU$17,SJ6&lt;&gt;""),AND(SK6&gt;=SU$13,SK6&lt;&gt;"",SM6&gt;=SU$17,SM6&lt;&gt;""),AND(SO6&gt;=SU$13,SO6&lt;&gt;"",SQ6&gt;=SU$17,SQ6&lt;&gt;""),AND(SR6&gt;=SU$13,SR6&lt;&gt;"",ST6&gt;=SU$17,ST6&lt;&gt;"")),"P","")</f>
        <v>P</v>
      </c>
      <c r="I6" s="3" t="str">
        <f>IF(OR(AND(AQ6&gt;=AY$17,AQ6&lt;&gt;"",AN6=""),AND(AT6&gt;=AY$17,AT6&lt;&gt;"",AN6=""),AND(AX6&gt;=AY$17,AX6&lt;&gt;"",AN6=""),AND(BR6&gt;=BZ$17,BR6&lt;&gt;"",BO6=""),AND(BU6&gt;=BZ$17,BU6&lt;&gt;"",BO6=""),AND(BY6&gt;=BZ$17,BY6&lt;&gt;"",BO6=""),AND(CS6&gt;=DA$17,CS6&lt;&gt;"",CP6=""),AND(CV6&gt;=DA$17,CV6&lt;&gt;"",CP6=""),AND(CZ6&gt;=DA$17,CZ6&lt;&gt;"",CP6=""),AND(DZ6&gt;=EK$17,DZ6&lt;&gt;""),AND(EC6&gt;=EK$17,EC6&lt;&gt;""),AND(EG6&gt;=EK$17,EG6&lt;&gt;""),AND(EJ6&gt;=EK$17,EJ6&lt;&gt;""),AND(FH6&gt;=FS$17,FH6&lt;&gt;""),AND(FK6&gt;=FS$17,FK6&lt;&gt;""),AND(FO6&gt;=FS$17,FO6&lt;&gt;""),AND(FR6&gt;=FS$17,FR6&lt;&gt;""),AND(GP6&gt;=HA$17,GP6&lt;&gt;""),AND(GS6&gt;=HA$17,GS6&lt;&gt;""),AND(GW6&gt;=HA$17,GW6&lt;&gt;""),AND(GZ6&gt;=HA$17,GZ6&lt;&gt;""),AND(HX6&gt;=II$17,HX6&lt;&gt;""),AND(IA6&gt;=II$17,IA6&lt;&gt;""),AND(IE6&gt;=II$17,IE6&lt;&gt;""),AND(IH6&gt;=II$17,IH6&lt;&gt;""),AND(JF6&gt;=JQ$17,JF6&lt;&gt;""),AND(JI6&gt;=JQ$17,JI6&lt;&gt;""),AND(JM6&gt;=JQ$17,JM6&lt;&gt;""),AND(JP6&gt;=JQ$17,JP6&lt;&gt;""),AND(KN6&gt;=KY$17,KN6&lt;&gt;""),AND(KQ6&gt;=KY$17,KQ6&lt;&gt;""),AND(KU6&gt;=KY$17,KU6&lt;&gt;""),AND(KX6&gt;=KY$17,KX6&lt;&gt;""),AND(LV6&gt;=MG$17,LV6&lt;&gt;""),AND(LY6&gt;=MG$17,LY6&lt;&gt;""),AND(MC6&gt;=MG$17,MC6&lt;&gt;""),AND(MF6&gt;=MG$17,MF6&lt;&gt;""),AND(ND6&gt;=NO$17,ND6&lt;&gt;""),AND(NG6&gt;=NO$17,NG6&lt;&gt;""),AND(NK6&gt;=NO$17,NK6&lt;&gt;""),AND(NN6&gt;=NO$17,NN6&lt;&gt;""),AND(OL6&gt;=OW$17,OL6&lt;&gt;""),AND(OO6&gt;=OW$17,OO6&lt;&gt;""),AND(OS6&gt;=OW$17,OS6&lt;&gt;""),AND(OV6&gt;=OW$17,OV6&lt;&gt;""),AND(PT6&gt;=QE$17,PT6&lt;&gt;""),AND(PW6&gt;=QE$17,PW6&lt;&gt;""),AND(QA6&gt;=QE$17,QA6&lt;&gt;""),AND(QD6&gt;=QE$17,QD6&lt;&gt;""),AND(RB6&gt;=RM$17,RB6&lt;&gt;""),AND(RE6&gt;=RM$17,RE6&lt;&gt;""),AND(RI6&gt;=RM$17,RI6&lt;&gt;""),AND(RL6&gt;=RM$17,RL6&lt;&gt;""),AND(SJ6&gt;=SU$17,SJ6&lt;&gt;""),AND(SM6&gt;=SU$17,SM6&lt;&gt;""),AND(SQ6&gt;=SU$17,SQ6&lt;&gt;""),AND(ST6&gt;=SU$17,ST6&lt;&gt;"")),"P","")</f>
        <v>P</v>
      </c>
      <c r="J6" s="36" t="str">
        <f>IF(AND(I6="P",H6=""),"No DD",IF(OR(AND(AO6&gt;=AY$16,AO6&lt;&gt;"",AQ6&gt;=AY$20,AQ6&lt;&gt;"",AN6=""),AND(AR6&gt;=AY$16,AR6&lt;&gt;"",AT6&gt;=AY$20,AT6&lt;&gt;"",AN6=""),AND(AV6&gt;=AY$16,AV6&lt;&gt;"",AX6&gt;=AY$20,AX6&lt;&gt;"",AN6=""),AND(BP6&gt;=BZ$16,BP6&lt;&gt;"",BR6&gt;=BZ$20,BR6&lt;&gt;"",BO6=""),AND(BS6&gt;=BZ$16,BS6&lt;&gt;"",BU6&gt;=BZ$20,BU6&lt;&gt;"",BO6=""),AND(BW6&gt;=BZ$16,BW6&lt;&gt;"",BY6&gt;=BZ$20,BY6&lt;&gt;"",BO6=""),AND(CQ6&gt;=DA$16,CQ6&lt;&gt;"",CS6&gt;=DA$20,CS6&lt;&gt;"",CP6=""),AND(CT6&gt;=DA$16,CT6&lt;&gt;"",CV6&gt;=DA$20,CV6&lt;&gt;"",CP6=""),AND(CX6&gt;=DA$16,CX6&lt;&gt;"",CZ6&gt;=DA$20,CZ6&lt;&gt;"",CP6=""),AND(DX6&gt;=EK$16,DX6&lt;&gt;"",DZ6&gt;=EK$20,DZ6&lt;&gt;""),AND(EA6&gt;=EK$16,EA6&lt;&gt;"",EC6&gt;=EK$20,EC6&lt;&gt;""),AND(EE6&gt;=EK$16,EE6&lt;&gt;"",EG6&gt;=EK$20,EG6&lt;&gt;""),AND(EH6&gt;=EK$16,EH6&lt;&gt;"",EJ6&gt;=EK$20,EJ6&lt;&gt;""),AND(FF6&gt;=FS$16,FF6&lt;&gt;"",FH6&gt;=FS$20,FH6&lt;&gt;""),AND(FI6&gt;=FS$16,FI6&lt;&gt;"",FK6&gt;=FS$20,FK6&lt;&gt;""),AND(FM6&gt;=FS$16,FM6&lt;&gt;"",FO6&gt;=FS$20,FO6&lt;&gt;""),AND(FP6&gt;=FS$16,FP6&lt;&gt;"",FR6&gt;=FS$20,FR6&lt;&gt;""),AND(GN6&gt;=HA$16,GN6&lt;&gt;"",GP6&gt;=HA$20,GP6&lt;&gt;""),AND(GQ6&gt;=HA$16,GQ6&lt;&gt;"",GS6&gt;=HA$20,GS6&lt;&gt;""),AND(GU6&gt;=HA$16,GU6&lt;&gt;"",GW6&gt;=HA$20,GW6&lt;&gt;""),AND(GX6&gt;=HA$16,GX6&lt;&gt;"",GZ6&gt;=HA$20,GZ6&lt;&gt;""),AND(HV6&gt;=II$16,HV6&lt;&gt;"",HX6&gt;=II$20,HX6&lt;&gt;""),AND(HY6&gt;=II$16,HY6&lt;&gt;"",IA6&gt;=II$20,IA6&lt;&gt;""),AND(IC6&gt;=II$16,IC6&lt;&gt;"",IE6&gt;=II$20,IE6&lt;&gt;""),AND(IF6&gt;=II$16,IF6&lt;&gt;"",IH6&gt;=II$20,IH6&lt;&gt;""),AND(JD6&gt;=JQ$16,JD6&lt;&gt;"",JF6&gt;=JQ$20,JF6&lt;&gt;""),AND(JG6&gt;=JQ$16,JG6&lt;&gt;"",JI6&gt;=JQ$20,JI6&lt;&gt;""),AND(JK6&gt;=JQ$16,JK6&lt;&gt;"",JM6&gt;=JQ$20,JM6&lt;&gt;""),AND(JN6&gt;=JQ$16,JN6&lt;&gt;"",JP6&gt;=JQ$20,JP6&lt;&gt;""),AND(KL6&gt;=KY$16,KL6&lt;&gt;"",KN6&gt;=KY$20,KN6&lt;&gt;""),AND(KO6&gt;=KY$16,KO6&lt;&gt;"",KQ6&gt;=KY$20,KQ6&lt;&gt;""),AND(KS6&gt;=KY$16,KS6&lt;&gt;"",KU6&gt;=KY$20,KU6&lt;&gt;""),AND(KV6&gt;=KY$16,KV6&lt;&gt;"",KX6&gt;=KY$20,KX6&lt;&gt;""),AND(LT6&gt;=MG$16,LT6&lt;&gt;"",LV6&gt;=MG$20,LV6&lt;&gt;""),AND(LW6&gt;=MG$16,LW6&lt;&gt;"",LY6&gt;=MG$20,LY6&lt;&gt;""),AND(MA6&gt;=MG$16,MA6&lt;&gt;"",MC6&gt;=MG$20,MC6&lt;&gt;""),AND(MD6&gt;=MG$16,MD6&lt;&gt;"",MF6&gt;=MG$20,MF6&lt;&gt;""),AND(NB6&gt;=NO$16,NB6&lt;&gt;"",ND6&gt;=NO$20,ND6&lt;&gt;""),AND(NE6&gt;=NO$16,NE6&lt;&gt;"",NG6&gt;=NO$20,NG6&lt;&gt;""),AND(NI6&gt;=NO$16,NI6&lt;&gt;"",NK6&gt;=NO$20,NK6&lt;&gt;""),AND(NL6&gt;=NO$16,NL6&lt;&gt;"",NN6&gt;=NO$20,NN6&lt;&gt;""),AND(OJ6&gt;=OW$16,OJ6&lt;&gt;"",OL6&gt;=OW$20,OL6&lt;&gt;""),AND(OM6&gt;=OW$16,OM6&lt;&gt;"",OO6&gt;=OW$20,OO6&lt;&gt;""),AND(OQ6&gt;=OW$16,OQ6&lt;&gt;"",OS6&gt;=OW$20,OS6&lt;&gt;""),AND(OT6&gt;=OW$16,OT6&lt;&gt;"",OV6&gt;=OW$20,OV6&lt;&gt;""),AND(PR6&gt;=QE$16,PR6&lt;&gt;"",PT6&gt;=QE$20,PT6&lt;&gt;""),AND(PU6&gt;=QE$16,PU6&lt;&gt;"",PW6&gt;=QE$20,PW6&lt;&gt;""),AND(PY6&gt;=QE$16,PY6&lt;&gt;"",QA6&gt;=QE$20,QA6&lt;&gt;""),AND(QB6&gt;=QE$16,QB6&lt;&gt;"",QD6&gt;=QE$20,QD6&lt;&gt;""),AND(QZ6&gt;=RM$16,QZ6&lt;&gt;"",RB6&gt;=RM$20,RB6&lt;&gt;""),AND(RC6&gt;=RM$16,RC6&lt;&gt;"",RE6&gt;=RM$20,RE6&lt;&gt;""),AND(RG6&gt;=RM$16,RG6&lt;&gt;"",RI6&gt;=RM$20,RI6&lt;&gt;""),AND(RJ6&gt;=RM$16,RJ6&lt;&gt;"",RL6&gt;=RM$20,RL6&lt;&gt;""),AND(SH6&gt;=SU$16,SH6&lt;&gt;"",SJ6&gt;=SU$20,SJ6&lt;&gt;""),AND(SK6&gt;=SU$16,SK6&lt;&gt;"",SM6&gt;=SU$20,SM6&lt;&gt;""),AND(SO6&gt;=SU$16,SO6&lt;&gt;"",SQ6&gt;=SU$20,SQ6&lt;&gt;""),AND(SR6&gt;=SU$16,SR6&lt;&gt;"",ST6&gt;=SU$20,ST6&lt;&gt;"")),"Merit",IF(OR(AND(AO6&gt;=AY$15,AO6&lt;&gt;"",AQ6&gt;=AY$19,AQ6&lt;&gt;"",AN6=""),AND(AR6&gt;=AY$15,AR6&lt;&gt;"",AT6&gt;=AY$19,AT6&lt;&gt;"",AN6=""),AND(AV6&gt;=AY$15,AV6&lt;&gt;"",AX6&gt;=AY$19,AX6&lt;&gt;"",AN6=""),AND(BP6&gt;=BZ$15,BP6&lt;&gt;"",BR6&gt;=BZ$19,BR6&lt;&gt;"",BO6=""),AND(BS6&gt;=BZ$15,BS6&lt;&gt;"",BU6&gt;=BZ$19,BU6&lt;&gt;"",BO6=""),AND(BW6&gt;=BZ$15,BW6&lt;&gt;"",BY6&gt;=BZ$19,BY6&lt;&gt;"",BO6=""),AND(CQ6&gt;=DA$15,CQ6&lt;&gt;"",CS6&gt;=DA$19,CS6&lt;&gt;"",CP6=""),AND(CT6&gt;=DA$15,CT6&lt;&gt;"",CV6&gt;=DA$19,CV6&lt;&gt;"",CP6=""),AND(CX6&gt;=DA$15,CX6&lt;&gt;"",CZ6&gt;=DA$19,CZ6&lt;&gt;"",CP6=""),AND(DX6&gt;=EK$15,DX6&lt;&gt;"",DZ6&gt;=EK$19,DZ6&lt;&gt;""),AND(EA6&gt;=EK$15,EA6&lt;&gt;"",EC6&gt;=EK$19,EC6&lt;&gt;""),AND(EE6&gt;=EK$15,EE6&lt;&gt;"",EG6&gt;=EK$19,EG6&lt;&gt;""),AND(EH6&gt;=EK$15,EH6&lt;&gt;"",EJ6&gt;=EK$19,EJ6&lt;&gt;""),AND(FF6&gt;=FS$15,FF6&lt;&gt;"",FH6&gt;=FS$19,FH6&lt;&gt;""),AND(FI6&gt;=FS$15,FI6&lt;&gt;"",FK6&gt;=FS$19,FK6&lt;&gt;""),AND(FM6&gt;=FS$15,FM6&lt;&gt;"",FO6&gt;=FS$19,FO6&lt;&gt;""),AND(FP6&gt;=FS$15,FP6&lt;&gt;"",FR6&gt;=FS$19,FR6&lt;&gt;""),AND(GN6&gt;=HA$15,GN6&lt;&gt;"",GP6&gt;=HA$19,GP6&lt;&gt;""),AND(GQ6&gt;=HA$15,GQ6&lt;&gt;"",GS6&gt;=HA$19,GS6&lt;&gt;""),AND(GU6&gt;=HA$15,GU6&lt;&gt;"",GW6&gt;=HA$19,GW6&lt;&gt;""),AND(GX6&gt;=HA$15,GX6&lt;&gt;"",GZ6&gt;=HA$19,GZ6&lt;&gt;""),AND(HV6&gt;=II$15,HV6&lt;&gt;"",HX6&gt;=II$19,HX6&lt;&gt;""),AND(HY6&gt;=II$15,HY6&lt;&gt;"",IA6&gt;=II$19,IA6&lt;&gt;""),AND(IC6&gt;=II$15,IC6&lt;&gt;"",IE6&gt;=II$19,IE6&lt;&gt;""),AND(IF6&gt;=II$15,IF6&lt;&gt;"",IH6&gt;=II$19,IH6&lt;&gt;""),AND(JD6&gt;=JQ$15,JD6&lt;&gt;"",JF6&gt;=JQ$19,JF6&lt;&gt;""),AND(JG6&gt;=JQ$15,JG6&lt;&gt;"",JI6&gt;=JQ$19,JI6&lt;&gt;""),AND(JK6&gt;=JQ$15,JK6&lt;&gt;"",JM6&gt;=JQ$19,JM6&lt;&gt;""),AND(JN6&gt;=JQ$15,JN6&lt;&gt;"",JP6&gt;=JQ$19,JP6&lt;&gt;""),AND(KL6&gt;=KY$15,KL6&lt;&gt;"",KN6&gt;=KY$19,KN6&lt;&gt;""),AND(KO6&gt;=KY$15,KO6&lt;&gt;"",KQ6&gt;=KY$19,KQ6&lt;&gt;""),AND(KS6&gt;=KY$15,KS6&lt;&gt;"",KU6&gt;=KY$19,KU6&lt;&gt;""),AND(KV6&gt;=KY$15,KV6&lt;&gt;"",KX6&gt;=KY$19,KX6&lt;&gt;""),AND(LT6&gt;=MG$15,LT6&lt;&gt;"",LV6&gt;=MG$19,LV6&lt;&gt;""),AND(LW6&gt;=MG$15,LW6&lt;&gt;"",LY6&gt;=MG$19,LY6&lt;&gt;""),AND(MA6&gt;=MG$15,MA6&lt;&gt;"",MC6&gt;=MG$19,MC6&lt;&gt;""),AND(MD6&gt;=MG$15,MD6&lt;&gt;"",MF6&gt;=MG$19,MF6&lt;&gt;""),AND(NB6&gt;=NO$15,NB6&lt;&gt;"",ND6&gt;=NO$19,ND6&lt;&gt;""),AND(NE6&gt;=NO$15,NE6&lt;&gt;"",NG6&gt;=NO$19,NG6&lt;&gt;""),AND(NI6&gt;=NO$15,NI6&lt;&gt;"",NK6&gt;=NO$19,NK6&lt;&gt;""),AND(NL6&gt;=NO$15,NL6&lt;&gt;"",NN6&gt;=NO$19,NN6&lt;&gt;""),AND(OJ6&gt;=OW$15,OJ6&lt;&gt;"",OL6&gt;=OW$19,OL6&lt;&gt;""),AND(OM6&gt;=OW$15,OM6&lt;&gt;"",OO6&gt;=OW$19,OO6&lt;&gt;""),AND(OQ6&gt;=OW$15,OQ6&lt;&gt;"",OS6&gt;=OW$19,OS6&lt;&gt;""),AND(OT6&gt;=OW$15,OT6&lt;&gt;"",OV6&gt;=OW$19,OV6&lt;&gt;""),AND(PR6&gt;=QE$15,PR6&lt;&gt;"",PT6&gt;=QE$19,PT6&lt;&gt;""),AND(PU6&gt;=QE$15,PU6&lt;&gt;"",PW6&gt;=QE$19,PW6&lt;&gt;""),AND(PY6&gt;=QE$15,PY6&lt;&gt;"",QA6&gt;=QE$19,QA6&lt;&gt;""),AND(QB6&gt;=QE$15,QB6&lt;&gt;"",QD6&gt;=QE$19,QD6&lt;&gt;""),AND(QZ6&gt;=RM$15,QZ6&lt;&gt;"",RB6&gt;=RM$19,RB6&lt;&gt;""),AND(RC6&gt;=RM$15,RC6&lt;&gt;"",RE6&gt;=RM$19,RE6&lt;&gt;""),AND(RG6&gt;=RM$15,RG6&lt;&gt;"",RI6&gt;=RM$19,RI6&lt;&gt;""),AND(RJ6&gt;=RM$15,RJ6&lt;&gt;"",RL6&gt;=RM$19,RL6&lt;&gt;""),AND(SH6&gt;=SU$15,SH6&lt;&gt;"",SJ6&gt;=SU$19,SJ6&lt;&gt;""),AND(SK6&gt;=SU$15,SK6&lt;&gt;"",SM6&gt;=SU$19,SM6&lt;&gt;""),AND(SO6&gt;=SU$15,SO6&lt;&gt;"",SQ6&gt;=SU$19,SQ6&lt;&gt;""),AND(SR6&gt;=SU$15,SR6&lt;&gt;"",ST6&gt;=SU$19,ST6&lt;&gt;"")),"Excellence",IF(K6="P","Worlds Team",IF(H6="P","National Team","")))))</f>
        <v>National Team</v>
      </c>
      <c r="K6" s="3" t="str">
        <f>IF(OR(AND(AO6&gt;=AY$14,AO6&lt;&gt;"",AQ6&gt;=AY$18,AQ6&lt;&gt;"",AN6=""),AND(AR6&gt;=AY$14,AR6&lt;&gt;"",AT6&gt;=AY$18,AT6&lt;&gt;"",AN6=""),AND(AV6&gt;=AY$14,AV6&lt;&gt;"",AX6&gt;=AY$18,AX6&lt;&gt;"",AN6=""),AND(BP6&gt;=BZ$14,BP6&lt;&gt;"",BR6&gt;=BZ$18,BR6&lt;&gt;"",BO6=""),AND(BS6&gt;=BZ$14,BS6&lt;&gt;"",BU6&gt;=BZ$18,BU6&lt;&gt;"",BO6=""),AND(BW6&gt;=BZ$14,BW6&lt;&gt;"",BY6&gt;=BZ$18,BY6&lt;&gt;"",BO6=""),AND(CQ6&gt;=DA$14,CQ6&lt;&gt;"",CS6&gt;=DA$18,CS6&lt;&gt;"",CP6=""),AND(CT6&gt;=DA$14,CT6&lt;&gt;"",CV6&gt;=DA$18,CV6&lt;&gt;"",CP6=""),AND(CX6&gt;=DA$14,CX6&lt;&gt;"",CZ6&gt;=DA$18,CZ6&lt;&gt;"",CP6=""),AND(DX6&gt;=EK$14,DX6&lt;&gt;"",DZ6&gt;=EK$18,DZ6&lt;&gt;""),AND(EA6&gt;=EK$14,EA6&lt;&gt;"",EC6&gt;=EK$18,EC6&lt;&gt;""),AND(EE6&gt;=EK$14,EE6&lt;&gt;"",EG6&gt;=EK$18,EG6&lt;&gt;""),AND(EH6&gt;=EK$14,EH6&lt;&gt;"",EJ6&gt;=EK$18,EJ6&lt;&gt;""),AND(FF6&gt;=FS$14,FF6&lt;&gt;"",FH6&gt;=FS$18,FH6&lt;&gt;""),AND(FI6&gt;=FS$14,FI6&lt;&gt;"",FK6&gt;=FS$18,FK6&lt;&gt;""),AND(FM6&gt;=FS$14,FM6&lt;&gt;"",FO6&gt;=FS$18,FO6&lt;&gt;""),AND(FP6&gt;=FS$14,FP6&lt;&gt;"",FR6&gt;=FS$18,FR6&lt;&gt;""),AND(GN6&gt;=HA$14,GN6&lt;&gt;"",GP6&gt;=HA$18,GP6&lt;&gt;""),AND(GQ6&gt;=HA$14,GQ6&lt;&gt;"",GS6&gt;=HA$18,GS6&lt;&gt;""),AND(GU6&gt;=HA$14,GU6&lt;&gt;"",GW6&gt;=HA$18,GW6&lt;&gt;""),AND(GX6&gt;=HA$14,GX6&lt;&gt;"",GZ6&gt;=HA$18,GZ6&lt;&gt;""),AND(HV6&gt;=II$14,HV6&lt;&gt;"",HX6&gt;=II$18,HX6&lt;&gt;""),AND(HY6&gt;=II$14,HY6&lt;&gt;"",IA6&gt;=II$18,IA6&lt;&gt;""),AND(IC6&gt;=II$14,IC6&lt;&gt;"",IE6&gt;=II$18,IE6&lt;&gt;""),AND(IF6&gt;=II$14,IF6&lt;&gt;"",IH6&gt;=II$18,IH6&lt;&gt;""),AND(JD6&gt;=JQ$14,JD6&lt;&gt;"",JF6&gt;=JQ$18,JF6&lt;&gt;""),AND(JG6&gt;=JQ$14,JG6&lt;&gt;"",JI6&gt;=JQ$18,JI6&lt;&gt;""),AND(JK6&gt;=JQ$14,JK6&lt;&gt;"",JM6&gt;=JQ$18,JM6&lt;&gt;""),AND(JN6&gt;=JQ$14,JN6&lt;&gt;"",JP6&gt;=JQ$18,JP6&lt;&gt;""),AND(KL6&gt;=KY$14,KL6&lt;&gt;"",KN6&gt;=KY$18,KN6&lt;&gt;""),AND(KO6&gt;=KY$14,KO6&lt;&gt;"",KQ6&gt;=KY$18,KQ6&lt;&gt;""),AND(KS6&gt;=KY$14,KS6&lt;&gt;"",KU6&gt;=KY$18,KU6&lt;&gt;""),AND(KV6&gt;=KY$14,KV6&lt;&gt;"",KX6&gt;=KY$18,KX6&lt;&gt;""),AND(LT6&gt;=MG$14,LT6&lt;&gt;"",LV6&gt;=MG$18,LV6&lt;&gt;""),AND(LW6&gt;=MG$14,LW6&lt;&gt;"",LY6&gt;=MG$18,LY6&lt;&gt;""),AND(MA6&gt;=MG$14,MA6&lt;&gt;"",MC6&gt;=MG$18,MC6&lt;&gt;""),AND(MD6&gt;=MG$14,MD6&lt;&gt;"",MF6&gt;=MG$18,MF6&lt;&gt;""),AND(NB6&gt;=NO$14,NB6&lt;&gt;"",ND6&gt;=NO$18,ND6&lt;&gt;""),AND(NE6&gt;=NO$14,NE6&lt;&gt;"",NG6&gt;=NO$18,NG6&lt;&gt;""),AND(NI6&gt;=NO$14,NI6&lt;&gt;"",NK6&gt;=NO$18,NK6&lt;&gt;""),AND(NL6&gt;=NO$14,NL6&lt;&gt;"",NN6&gt;=NO$18,NN6&lt;&gt;""),AND(OJ6&gt;=OW$14,OJ6&lt;&gt;"",OL6&gt;=OW$18,OL6&lt;&gt;""),AND(OM6&gt;=OW$14,OM6&lt;&gt;"",OO6&gt;=OW$18,OO6&lt;&gt;""),AND(OQ6&gt;=OW$14,OQ6&lt;&gt;"",OS6&gt;=OW$18,OS6&lt;&gt;""),AND(OT6&gt;=OW$14,OT6&lt;&gt;"",OV6&gt;=OW$18,OV6&lt;&gt;""),AND(PR6&gt;=QE$14,PR6&lt;&gt;"",PT6&gt;=QE$18,PT6&lt;&gt;""),AND(PU6&gt;=QE$14,PU6&lt;&gt;"",PW6&gt;=QE$18,PW6&lt;&gt;""),AND(PY6&gt;=QE$14,PY6&lt;&gt;"",QA6&gt;=QE$18,QA6&lt;&gt;""),AND(QB6&gt;=QE$14,QB6&lt;&gt;"",QD6&gt;=QE$18,QD6&lt;&gt;""),AND(QZ6&gt;=RM$14,QZ6&lt;&gt;"",RB6&gt;=RM$18,RB6&lt;&gt;""),AND(RC6&gt;=RM$14,RC6&lt;&gt;"",RE6&gt;=RM$18,RE6&lt;&gt;""),AND(RG6&gt;=RM$14,RG6&lt;&gt;"",RI6&gt;=RM$18,RI6&lt;&gt;""),AND(RJ6&gt;=RM$14,RJ6&lt;&gt;"",RL6&gt;=RM$18,RL6&lt;&gt;""),AND(SH6&gt;=SU$14,SH6&lt;&gt;"",SJ6&gt;=SU$18,SJ6&lt;&gt;""),AND(SK6&gt;=SU$14,SK6&lt;&gt;"",SM6&gt;=SU$18,SM6&lt;&gt;""),AND(SO6&gt;=SU$14,SO6&lt;&gt;"",SQ6&gt;=SU$18,SQ6&lt;&gt;""),AND(SR6&gt;=SU$14,SR6&lt;&gt;"",ST6&gt;=SU$18,ST6&lt;&gt;"")),"P","")</f>
        <v/>
      </c>
      <c r="L6" s="8">
        <f>IF(COUNT(AQ6,AT6,BR6,BU6,CS6,CV6)&gt;0,LARGE((AQ6,AT6,BR6,BU6,CS6,CV6),1),0)</f>
        <v>50.180000000000007</v>
      </c>
      <c r="M6" s="8" t="str">
        <f>IF(L6="","",IF(OR(L6=CS6,L6=CV6),$CA$1,IF(OR(L6=BR6,L6=BU6),$AZ$1,IF(OR(L6=AQ6,L6=AT6),$Y$1,""))))</f>
        <v>2025 Nationals</v>
      </c>
      <c r="N6" s="8">
        <f>IF(COUNT(AQ6,AT6,BR6,BU6,CS6,CV6)&gt;1,LARGE((AQ6,AT6,BR6,BU6,CS6,CV6),2),0)</f>
        <v>49.569999999999993</v>
      </c>
      <c r="O6" s="8" t="str">
        <f>IF(N6="","",IF(OR(N6=CS6,N6=CV6),$CA$1,IF(OR(N6=BR6,N6=BU6),$AZ$1,IF(OR(N6=AQ6,N6=AT6),$Y$1,""))))</f>
        <v>2025 3rd Domestic Trial</v>
      </c>
      <c r="P6" s="8">
        <f>IF(COUNT(AQ6,AT6,BR6,BU6,CS6,CV6)&gt;2,MAX(AX6,BY6,CZ6,LARGE((AQ6,AT6,BR6,BU6,CS6,CV6),3)),IF(MAX(AX6,BY6,CZ6)&gt;0,MAX(AX6,BY6,CZ6),0))</f>
        <v>51.89</v>
      </c>
      <c r="Q6" s="8" t="str">
        <f>IF(P6="","",IF(P6=CZ6,$CA$1,IF(P6=BY6,$AZ$1,IF(P6=AX6,$Y$1,IF(OR(P6=CS6,P6=CV6,P6=CZ6),$CA$1,IF(OR(P6=BR6,P6=BU6,P6=BY6),$AZ$1,IF(OR(P6=AQ6,P6=AT6,P6=AX6),$Y$1,"")))))))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13.8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3rd Domestic Trial</v>
      </c>
      <c r="T6" s="8">
        <f>IF(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&gt;0,MAX(IF(AO6&gt;=$AY$13,AP6,0),IF(AR6&gt;=$AY$13,AS6,0),IF(AV6&gt;=$AY$13,AW6,0),IF(BP6&gt;=$BZ$13,BQ6,0),IF(BS6&gt;=$BZ$13,BT6,0),IF(BW6&gt;=$BZ$13,BX6,0),IF(CQ6&gt;=$DA$13,CR6,0),IF(CT6&gt;=$DA$13,CU6,0),IF(CX6&gt;=$DA$13,CY6,0),IF(DX6&gt;=$EK$13,DY6,0),IF(EA6&gt;=$EK$13,EB6,0),IF(EE6&gt;=$EK$13,EF6,0),IF(EH6&gt;=$EK$13,EI6,0),IF(FF6&gt;=$FS$13,FG6,0),IF(FI6&gt;=$FS$13,FJ6,0),IF(FM6&gt;=$FS$13,FN6,0),IF(FP6&gt;=$FS$13,FQ6,0),IF(GN6&gt;=$HA$13,GO6,0),IF(GQ6&gt;=$HA$13,GR6,0),IF(GU6&gt;=$HA$13,GV6,0),IF(GX6&gt;=$HA$13,GY6,0),IF(HV6&gt;=$II$13,HW6,0),IF(HY6&gt;=$II$13,HZ6,0),IF(IC6&gt;=$II$13,ID6,0),IF(IF6&gt;=$II$13,IG6,0),IF(JD6&gt;=$JQ$13,JE6,0),IF(JG6&gt;=$JQ$13,JH6,0),IF(JK6&gt;=$JQ$13,JL6,0),IF(JN6&gt;=$JQ$13,JO6,0),IF(KL6&gt;=$KY$13,KM6,0),IF(KO6&gt;=$KY$13,KP6,0),IF(KS6&gt;=$KY$13,KT6,0),IF(KV6&gt;=$KY$13,KW6,0),IF(LT6&gt;=$MG$13,LU6,0),IF(LW6&gt;=$MG$13,LX6,0),IF(MA6&gt;=$MG$13,MB6,0),IF(MD6&gt;=$MG$13,ME6,0),IF(NB6&gt;=$NO$13,NC6,0),IF(NE6&gt;=$NO$13,NF6,0),IF(NI6&gt;=$NO$13,NJ6,0),IF(NL6&gt;=$NO$13,NM6,0),IF(OJ6&gt;=$OW$13,OK6,0),IF(OM6&gt;=$OW$13,ON6,0),IF(OQ6&gt;=$OW$13,OR6,0),IF(OT6&gt;=$OW$13,OU6,0),IF(PR6&gt;=$QE$13,PS6,0),IF(PU6&gt;=$QE$13,PV6,0),IF(PY6&gt;=$QE$13,PZ6,0),IF(QB6&gt;=$QE$13,QC6,0),IF(QZ6&gt;=$RM$13,RA6,0),IF(RC6&gt;=$RM$13,RD6,0),IF(RG6&gt;=$RM$13,RH6,0),IF(RJ6&gt;=$RM$13,RK6,0),IF(SH6&gt;=$SU$13,SI6,0),IF(SK6&gt;=$SU$13,SL6,0),IF(SO6&gt;=$SU$13,SP6,0),IF(SR6&gt;=$SU$13,SS6,0)),0)</f>
        <v>14.89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2025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13.55</v>
      </c>
      <c r="Z6" s="22">
        <v>9.3000000000000007</v>
      </c>
      <c r="AA6" s="22">
        <v>11.7</v>
      </c>
      <c r="AB6" s="22">
        <v>13.84</v>
      </c>
      <c r="AC6" s="22">
        <v>0</v>
      </c>
      <c r="AD6" s="22">
        <v>8.4</v>
      </c>
      <c r="AE6" s="22">
        <v>5.1999999999999993</v>
      </c>
      <c r="AF6" s="22">
        <v>7.2</v>
      </c>
      <c r="AG6" s="22">
        <v>8.26</v>
      </c>
      <c r="AH6" s="22">
        <v>0</v>
      </c>
      <c r="AI6" s="22">
        <v>11.8</v>
      </c>
      <c r="AJ6" s="22">
        <v>8.85</v>
      </c>
      <c r="AK6" s="22">
        <v>12</v>
      </c>
      <c r="AL6" s="22">
        <v>14.02</v>
      </c>
      <c r="AM6" s="22">
        <v>0.1</v>
      </c>
      <c r="AN6" s="27" t="s">
        <v>46</v>
      </c>
      <c r="AO6" s="38">
        <f>IF(AA6&gt;0,AA6,"")</f>
        <v>11.7</v>
      </c>
      <c r="AP6" s="38">
        <f>IF(AB6&gt;0,AB6,"")</f>
        <v>13.84</v>
      </c>
      <c r="AQ6" s="40">
        <f>IF(SUM(Y6:AB6)-AC6&gt;0,SUM(Y6:AB6)-AC6,"")</f>
        <v>48.39</v>
      </c>
      <c r="AR6" s="40">
        <f>IF(AF6&gt;0,AF6,"")</f>
        <v>7.2</v>
      </c>
      <c r="AS6" s="40">
        <f>IF(AG6&gt;0,AG6,"")</f>
        <v>8.26</v>
      </c>
      <c r="AT6" s="40">
        <f>IF(SUM(AD6:AG6)-AH6&gt;0,SUM(AD6:AG6)-AH6,"")</f>
        <v>29.060000000000002</v>
      </c>
      <c r="AU6" s="40">
        <f>IF(AQ6="","",MAX(AQ6,AT6))</f>
        <v>48.39</v>
      </c>
      <c r="AV6" s="40">
        <f>IF(AK6&gt;0,AK6,"")</f>
        <v>12</v>
      </c>
      <c r="AW6" s="40">
        <f>IF(AL6&gt;0,AL6,"")</f>
        <v>14.02</v>
      </c>
      <c r="AX6" s="40">
        <f>IF(SUM(AI6:AL6)-AM6&gt;0,SUM(AI6:AL6)-AM6,"")</f>
        <v>46.57</v>
      </c>
      <c r="AY6" s="40">
        <f>IF(SUM(AU6,AX6)&gt;0,SUM(AU6,AX6),"")</f>
        <v>94.960000000000008</v>
      </c>
      <c r="AZ6" s="26">
        <v>14.4</v>
      </c>
      <c r="BA6" s="26">
        <v>9.3000000000000007</v>
      </c>
      <c r="BB6" s="26">
        <v>12.7</v>
      </c>
      <c r="BC6" s="26">
        <v>13.78</v>
      </c>
      <c r="BD6" s="26">
        <v>0</v>
      </c>
      <c r="BE6" s="26">
        <v>2.9</v>
      </c>
      <c r="BF6" s="26">
        <v>1.8</v>
      </c>
      <c r="BG6" s="26">
        <v>3</v>
      </c>
      <c r="BH6" s="26">
        <v>3</v>
      </c>
      <c r="BI6" s="26">
        <v>0</v>
      </c>
      <c r="BJ6" s="26">
        <v>12.8</v>
      </c>
      <c r="BK6" s="26">
        <v>9.1999999999999993</v>
      </c>
      <c r="BL6" s="26">
        <v>12.5</v>
      </c>
      <c r="BM6" s="26">
        <v>14.4</v>
      </c>
      <c r="BN6" s="26">
        <v>0.2</v>
      </c>
      <c r="BO6" s="28"/>
      <c r="BP6" s="39">
        <f>IF(BB6&gt;0,BB6,"")</f>
        <v>12.7</v>
      </c>
      <c r="BQ6" s="39">
        <f>IF(BC6&gt;0,BC6,"")</f>
        <v>13.78</v>
      </c>
      <c r="BR6" s="11">
        <f>IF(SUM(AZ6:BC6)-BD6&gt;0,SUM(AZ6:BC6)-BD6,"")</f>
        <v>50.180000000000007</v>
      </c>
      <c r="BS6" s="11">
        <f>IF(BG6&gt;0,BG6,"")</f>
        <v>3</v>
      </c>
      <c r="BT6" s="11">
        <f>IF(BH6&gt;0,BH6,"")</f>
        <v>3</v>
      </c>
      <c r="BU6" s="11">
        <f>IF(SUM(BE6:BH6)-BI6&gt;0,SUM(BE6:BH6)-BI6,"")</f>
        <v>10.7</v>
      </c>
      <c r="BV6" s="11">
        <f>IF(BR6="","",MAX(BR6,BU6))</f>
        <v>50.180000000000007</v>
      </c>
      <c r="BW6" s="11">
        <f>IF(BL6&gt;0,BL6,"")</f>
        <v>12.5</v>
      </c>
      <c r="BX6" s="11">
        <f>IF(BM6&gt;0,BM6,"")</f>
        <v>14.4</v>
      </c>
      <c r="BY6" s="11">
        <f>IF(SUM(BJ6:BM6)-BN6&gt;0,SUM(BJ6:BM6)-BN6,"")</f>
        <v>48.699999999999996</v>
      </c>
      <c r="BZ6" s="11">
        <f>IF(SUM(BV6,BY6)&gt;0,SUM(BV6,BY6),"")</f>
        <v>98.88</v>
      </c>
      <c r="CA6" s="22">
        <v>11.9</v>
      </c>
      <c r="CB6" s="22">
        <v>9.1</v>
      </c>
      <c r="CC6" s="22">
        <v>13.8</v>
      </c>
      <c r="CD6" s="22">
        <v>14.77</v>
      </c>
      <c r="CE6" s="22">
        <v>0</v>
      </c>
      <c r="CF6" s="22">
        <v>6.1</v>
      </c>
      <c r="CG6" s="22">
        <v>4.5999999999999996</v>
      </c>
      <c r="CH6" s="22">
        <v>7.1</v>
      </c>
      <c r="CI6" s="22">
        <v>6.38</v>
      </c>
      <c r="CJ6" s="22">
        <v>0</v>
      </c>
      <c r="CK6" s="22">
        <v>13.8</v>
      </c>
      <c r="CL6" s="22">
        <v>9.4</v>
      </c>
      <c r="CM6" s="22">
        <v>13.8</v>
      </c>
      <c r="CN6" s="22">
        <v>14.89</v>
      </c>
      <c r="CO6" s="22">
        <v>0</v>
      </c>
      <c r="CP6" s="27"/>
      <c r="CQ6" s="38">
        <f>IF(CC6&gt;0,CC6,"")</f>
        <v>13.8</v>
      </c>
      <c r="CR6" s="38">
        <f>IF(CD6&gt;0,CD6,"")</f>
        <v>14.77</v>
      </c>
      <c r="CS6" s="40">
        <f>IF(SUM(CA6:CD6)-CE6&gt;0,SUM(CA6:CD6)-CE6,"")</f>
        <v>49.569999999999993</v>
      </c>
      <c r="CT6" s="40">
        <f>IF(CH6&gt;0,CH6,"")</f>
        <v>7.1</v>
      </c>
      <c r="CU6" s="40">
        <f>IF(CI6&gt;0,CI6,"")</f>
        <v>6.38</v>
      </c>
      <c r="CV6" s="40">
        <f>IF(SUM(CF6:CI6)-CJ6&gt;0,SUM(CF6:CI6)-CJ6,"")</f>
        <v>24.179999999999996</v>
      </c>
      <c r="CW6" s="40">
        <f>IF(CS6="","",MAX(CS6,CV6))</f>
        <v>49.569999999999993</v>
      </c>
      <c r="CX6" s="40">
        <f>IF(CM6&gt;0,CM6,"")</f>
        <v>13.8</v>
      </c>
      <c r="CY6" s="40">
        <f>IF(CN6&gt;0,CN6,"")</f>
        <v>14.89</v>
      </c>
      <c r="CZ6" s="40">
        <f>IF(SUM(CK6:CN6)-CO6&gt;0,SUM(CK6:CN6)-CO6,"")</f>
        <v>51.89</v>
      </c>
      <c r="DA6" s="40">
        <f>IF(SUM(CW6,CZ6)&gt;0,SUM(CW6,CZ6),"")</f>
        <v>101.46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</v>
      </c>
      <c r="FV6" s="17">
        <v>12.7</v>
      </c>
      <c r="FW6" s="17">
        <v>13.87</v>
      </c>
      <c r="FX6" s="17">
        <v>0</v>
      </c>
      <c r="FY6" s="17">
        <v>11.7</v>
      </c>
      <c r="FZ6" s="17">
        <v>7.2</v>
      </c>
      <c r="GA6" s="17">
        <v>8.3000000000000007</v>
      </c>
      <c r="GB6" s="17">
        <v>11.08</v>
      </c>
      <c r="GC6" s="17">
        <v>0.2</v>
      </c>
      <c r="GD6" s="17">
        <v>13.3</v>
      </c>
      <c r="GE6" s="17">
        <v>9.1</v>
      </c>
      <c r="GF6" s="17">
        <v>12.7</v>
      </c>
      <c r="GG6" s="17">
        <v>13.85</v>
      </c>
      <c r="GH6" s="17">
        <v>0</v>
      </c>
      <c r="GI6" s="17"/>
      <c r="GJ6" s="17"/>
      <c r="GK6" s="17"/>
      <c r="GL6" s="17"/>
      <c r="GM6" s="17"/>
      <c r="GN6" s="40">
        <f>IF(FV6&gt;0,FV6,"")</f>
        <v>12.7</v>
      </c>
      <c r="GO6" s="40">
        <f>IF(FW6&gt;0,FW6,"")</f>
        <v>13.87</v>
      </c>
      <c r="GP6" s="40">
        <f>IF(SUM(FT6:FW6)-FX6&gt;0,SUM(FT6:FW6)-FX6,"")</f>
        <v>49.269999999999996</v>
      </c>
      <c r="GQ6" s="40">
        <f>IF(GA6&gt;0,GA6,"")</f>
        <v>8.3000000000000007</v>
      </c>
      <c r="GR6" s="40">
        <f>IF(GB6&gt;0,GB6,"")</f>
        <v>11.08</v>
      </c>
      <c r="GS6" s="40">
        <f>IF(SUM(FY6:GB6)-GC6&gt;0,SUM(FY6:GB6)-GC6,"")</f>
        <v>38.08</v>
      </c>
      <c r="GT6" s="40">
        <f>IF(MAX(GP6,GS6)&gt;0,MAX(GP6,GS6),"")</f>
        <v>49.269999999999996</v>
      </c>
      <c r="GU6" s="40">
        <f>IF(GF6&gt;0,GF6,"")</f>
        <v>12.7</v>
      </c>
      <c r="GV6" s="40">
        <f>IF(GG6&gt;0,GG6,"")</f>
        <v>13.85</v>
      </c>
      <c r="GW6" s="40">
        <f>IF(SUM(GD6:GG6)-GH6&gt;0,SUM(GD6:GG6)-GH6,"")</f>
        <v>48.949999999999996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98.22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15.3</v>
      </c>
      <c r="JS6" s="18">
        <v>8.9</v>
      </c>
      <c r="JT6" s="18">
        <v>2.8</v>
      </c>
      <c r="JU6" s="18">
        <v>14.8</v>
      </c>
      <c r="JV6" s="18">
        <v>0</v>
      </c>
      <c r="JW6" s="18">
        <v>12.1</v>
      </c>
      <c r="JX6" s="18">
        <v>9.4</v>
      </c>
      <c r="JY6" s="18">
        <v>13.8</v>
      </c>
      <c r="JZ6" s="18">
        <v>13.68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2.8</v>
      </c>
      <c r="KM6" s="11">
        <f>IF(JU6&gt;0,JU6,"")</f>
        <v>14.8</v>
      </c>
      <c r="KN6" s="11">
        <f>IF(SUM(JR6:JU6)-JV6&gt;0,SUM(JR6:JU6)-JV6,"")</f>
        <v>41.800000000000004</v>
      </c>
      <c r="KO6" s="11">
        <f>IF(JY6&gt;0,JY6,"")</f>
        <v>13.8</v>
      </c>
      <c r="KP6" s="11">
        <f>IF(JZ6&gt;0,JZ6,"")</f>
        <v>13.68</v>
      </c>
      <c r="KQ6" s="11">
        <f>IF(SUM(JW6:JZ6)-KA6&gt;0,SUM(JW6:JZ6)-KA6,"")</f>
        <v>48.98</v>
      </c>
      <c r="KR6" s="11">
        <f>IF(MAX(KN6,KQ6)&gt;0,MAX(KN6,KQ6),"")</f>
        <v>48.98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48.98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13.15</v>
      </c>
      <c r="SW6" s="22">
        <f>IF($CP6="P",CB6,(CB6+BA6)/2)</f>
        <v>9.1999999999999993</v>
      </c>
      <c r="SX6" s="22">
        <f>IF($CP6="P",CC6,(CC6+BB6)/2)</f>
        <v>13.25</v>
      </c>
      <c r="SY6" s="22">
        <f>IF($CP6="P",CD6,(CD6+BC6)/2)</f>
        <v>14.274999999999999</v>
      </c>
      <c r="SZ6" s="22">
        <f>IF($CP6="P",CE6,(CE6+BD6)/2)</f>
        <v>0</v>
      </c>
      <c r="TA6" s="22">
        <f>IF($CP6="P",CF6,(CF6+BE6)/2)</f>
        <v>4.5</v>
      </c>
      <c r="TB6" s="22">
        <f>IF($CP6="P",CG6,(CG6+BF6)/2)</f>
        <v>3.1999999999999997</v>
      </c>
      <c r="TC6" s="22">
        <f>IF($CP6="P",CH6,(CH6+BG6)/2)</f>
        <v>5.05</v>
      </c>
      <c r="TD6" s="22">
        <f>IF($CP6="P",CI6,(CI6+BH6)/2)</f>
        <v>4.6899999999999995</v>
      </c>
      <c r="TE6" s="22">
        <f>IF($CP6="P",CJ6,(CJ6+BI6)/2)</f>
        <v>0</v>
      </c>
      <c r="TF6" s="22">
        <f>IF($CP6="P",CK6,(CK6+BJ6)/2)</f>
        <v>13.3</v>
      </c>
      <c r="TG6" s="22">
        <f>IF($CP6="P",CL6,(CL6+BK6)/2)</f>
        <v>9.3000000000000007</v>
      </c>
      <c r="TH6" s="22">
        <f>IF($CP6="P",CM6,(CM6+BL6)/2)</f>
        <v>13.15</v>
      </c>
      <c r="TI6" s="22">
        <f>IF($CP6="P",CN6,(CN6+BM6)/2)</f>
        <v>14.645</v>
      </c>
      <c r="TJ6" s="22">
        <f>IF($CP6="P",CO6,(CO6+BN6)/2)</f>
        <v>0.1</v>
      </c>
      <c r="TK6" s="27" t="s">
        <v>46</v>
      </c>
      <c r="TL6" s="40">
        <f>IF(SX6&gt;0,SX6,"")</f>
        <v>13.25</v>
      </c>
      <c r="TM6" s="40">
        <f>IF(SY6&gt;0,SY6,"")</f>
        <v>14.274999999999999</v>
      </c>
      <c r="TN6" s="40">
        <f>IF(SUM(SV6:SY6)-SZ6&gt;0,SUM(SV6:SY6)-SZ6,"")</f>
        <v>49.875</v>
      </c>
      <c r="TO6" s="40">
        <f>IF(TC6&gt;0,TC6,"")</f>
        <v>5.05</v>
      </c>
      <c r="TP6" s="40">
        <f>IF(TD6&gt;0,TD6,"")</f>
        <v>4.6899999999999995</v>
      </c>
      <c r="TQ6" s="40">
        <f>IF(SUM(TA6:TD6)-TE6&gt;0,SUM(TA6:TD6)-TE6,"")</f>
        <v>17.439999999999998</v>
      </c>
      <c r="TR6" s="40">
        <f>IF(MAX(TN6,TQ6)&gt;0,MAX(TN6,TQ6),"")</f>
        <v>49.875</v>
      </c>
      <c r="TS6" s="40">
        <f>IF(TH6&gt;0,TH6,"")</f>
        <v>13.15</v>
      </c>
      <c r="TT6" s="40">
        <f>IF(TI6&gt;0,TI6,"")</f>
        <v>14.645</v>
      </c>
      <c r="TU6" s="40">
        <f>IF(SUM(TF6:TI6)-TJ6&gt;0,SUM(TF6:TI6)-TJ6,"")</f>
        <v>50.294999999999995</v>
      </c>
      <c r="TV6" s="40">
        <f>IF(SUM(TR6,TU6)&gt;0,SUM(TR6,TU6),"")</f>
        <v>100.16999999999999</v>
      </c>
    </row>
    <row r="7" spans="1:542" x14ac:dyDescent="0.2">
      <c r="A7" s="4" cm="1">
        <f t="array" ref="A7">IF(AND(J7&lt;&gt;"",J7&lt;&gt;"No DD"),SUMPRODUCT((J$4:J$11&lt;&gt;"")*(J$4:J$11&lt;&gt;"No DD")*(F$4:F$11&gt;F7))+1,IF(J7="No DD",SUMPRODUCT((J$4:J$11="No DD")*(F$4:F$11&gt;F7))+1+SUMPRODUCT((J$4:J$11&lt;&gt;"")*(J$4:J$11&lt;&gt;"No DD")),""))</f>
        <v>4</v>
      </c>
      <c r="B7" s="4" cm="1">
        <f t="array" ref="B7">IF(AND(J7&lt;&gt;"",J7&lt;&gt;"No DD",G7=""),SUMPRODUCT((J$4:J$11&lt;&gt;"")*(J$4:J$11&lt;&gt;"No DD")*(G$4:G$11="")*(F$4:F$11&gt;F7))+1,IF(J7="No DD",SUMPRODUCT((J$4:J$11="No DD")*(F$4:F$11&gt;F7)*(G$4:G$11=""))+1+SUMPRODUCT((J$4:J$11&lt;&gt;"")*(G$4:G$11="")*(J$4:J$11&lt;&gt;"No DD")),""))</f>
        <v>2</v>
      </c>
      <c r="C7" s="5" t="s">
        <v>128</v>
      </c>
      <c r="D7" s="4" t="s">
        <v>5</v>
      </c>
      <c r="E7" s="4">
        <v>2007</v>
      </c>
      <c r="F7" s="9">
        <f>SUM(L7:V7)+SUM(L7:T7)*0.0000001+SUM(L7)*0.0000000000001</f>
        <v>173.24001678400501</v>
      </c>
      <c r="G7" s="64"/>
      <c r="H7" s="3" t="str">
        <f>IF(OR(AND(AO7&gt;=AY$13,AO7&lt;&gt;"",AQ7&gt;=AY$17,AQ7&lt;&gt;"",AN7=""),AND(AR7&gt;=AY$13,AR7&lt;&gt;"",AT7&gt;=AY$17,AT7&lt;&gt;"",AN7=""),AND(AV7&gt;=AY$13,AV7&lt;&gt;"",AX7&gt;=AY$17,AX7&lt;&gt;"",AN7=""),AND(BP7&gt;=BZ$13,BP7&lt;&gt;"",BR7&gt;=BZ$17,BR7&lt;&gt;"",BO7=""),AND(BS7&gt;=BZ$13,BS7&lt;&gt;"",BU7&gt;=BZ$17,BU7&lt;&gt;"",BO7=""),AND(BW7&gt;=BZ$13,BW7&lt;&gt;"",BY7&gt;=BZ$17,BY7&lt;&gt;"",BO7=""),AND(CQ7&gt;=DA$13,CQ7&lt;&gt;"",CS7&gt;=DA$17,CS7&lt;&gt;"",CP7=""),AND(CT7&gt;=DA$13,CT7&lt;&gt;"",CV7&gt;=DA$17,CV7&lt;&gt;"",CP7=""),AND(CX7&gt;=DA$13,CX7&lt;&gt;"",CZ7&gt;=DA$17,CZ7&lt;&gt;"",CP7=""),AND(DX7&gt;=EK$13,DX7&lt;&gt;"",DZ7&gt;=EK$17,DZ7&lt;&gt;""),AND(EA7&gt;=EK$13,EA7&lt;&gt;"",EC7&gt;=EK$17,EC7&lt;&gt;""),AND(EE7&gt;=EK$13,EE7&lt;&gt;"",EG7&gt;=EK$17,EG7&lt;&gt;""),AND(EH7&gt;=EK$13,EH7&lt;&gt;"",EJ7&gt;=EK$17,EJ7&lt;&gt;""),AND(FF7&gt;=FS$13,FF7&lt;&gt;"",FH7&gt;=FS$17,FH7&lt;&gt;""),AND(FI7&gt;=FS$13,FI7&lt;&gt;"",FK7&gt;=FS$17,FK7&lt;&gt;""),AND(FM7&gt;=FS$13,FM7&lt;&gt;"",FO7&gt;=FS$17,FO7&lt;&gt;""),AND(FP7&gt;=FS$13,FP7&lt;&gt;"",FR7&gt;=FS$17,FR7&lt;&gt;""),AND(GN7&gt;=HA$13,GN7&lt;&gt;"",GP7&gt;=HA$17,GP7&lt;&gt;""),AND(GQ7&gt;=HA$13,GQ7&lt;&gt;"",GS7&gt;=HA$17,GS7&lt;&gt;""),AND(GU7&gt;=HA$13,GU7&lt;&gt;"",GW7&gt;=HA$17,GW7&lt;&gt;""),AND(GX7&gt;=HA$13,GX7&lt;&gt;"",GZ7&gt;=HA$17,GZ7&lt;&gt;""),AND(HV7&gt;=II$13,HV7&lt;&gt;"",HX7&gt;=II$17,HX7&lt;&gt;""),AND(HY7&gt;=II$13,HY7&lt;&gt;"",IA7&gt;=II$17,IA7&lt;&gt;""),AND(IC7&gt;=II$13,IC7&lt;&gt;"",IE7&gt;=II$17,IE7&lt;&gt;""),AND(IF7&gt;=II$13,IF7&lt;&gt;"",IH7&gt;=II$17,IH7&lt;&gt;""),AND(JD7&gt;=JQ$13,JD7&lt;&gt;"",JF7&gt;=JQ$17,JF7&lt;&gt;""),AND(JG7&gt;=JQ$13,JG7&lt;&gt;"",JI7&gt;=JQ$17,JI7&lt;&gt;""),AND(JK7&gt;=JQ$13,JK7&lt;&gt;"",JM7&gt;=JQ$17,JM7&lt;&gt;""),AND(JN7&gt;=JQ$13,JN7&lt;&gt;"",JP7&gt;=JQ$17,JP7&lt;&gt;""),AND(KL7&gt;=KY$13,KL7&lt;&gt;"",KN7&gt;=KY$17,KN7&lt;&gt;""),AND(KO7&gt;=KY$13,KO7&lt;&gt;"",KQ7&gt;=KY$17,KQ7&lt;&gt;""),AND(KS7&gt;=KY$13,KS7&lt;&gt;"",KU7&gt;=KY$17,KU7&lt;&gt;""),AND(KV7&gt;=KY$13,KV7&lt;&gt;"",KX7&gt;=KY$17,KX7&lt;&gt;""),AND(LT7&gt;=MG$13,LT7&lt;&gt;"",LV7&gt;=MG$17,LV7&lt;&gt;""),AND(LW7&gt;=MG$13,LW7&lt;&gt;"",LY7&gt;=MG$17,LY7&lt;&gt;""),AND(MA7&gt;=MG$13,MA7&lt;&gt;"",MC7&gt;=MG$17,MC7&lt;&gt;""),AND(MD7&gt;=MG$13,MD7&lt;&gt;"",MF7&gt;=MG$17,MF7&lt;&gt;""),AND(NB7&gt;=NO$13,NB7&lt;&gt;"",ND7&gt;=NO$17,ND7&lt;&gt;""),AND(NE7&gt;=NO$13,NE7&lt;&gt;"",NG7&gt;=NO$17,NG7&lt;&gt;""),AND(NI7&gt;=NO$13,NI7&lt;&gt;"",NK7&gt;=NO$17,NK7&lt;&gt;""),AND(NL7&gt;=NO$13,NL7&lt;&gt;"",NN7&gt;=NO$17,NN7&lt;&gt;""),AND(OJ7&gt;=OW$13,OJ7&lt;&gt;"",OL7&gt;=OW$17,OL7&lt;&gt;""),AND(OM7&gt;=OW$13,OM7&lt;&gt;"",OO7&gt;=OW$17,OO7&lt;&gt;""),AND(OQ7&gt;=OW$13,OQ7&lt;&gt;"",OS7&gt;=OW$17,OS7&lt;&gt;""),AND(OT7&gt;=OW$13,OT7&lt;&gt;"",OV7&gt;=OW$17,OV7&lt;&gt;""),AND(PR7&gt;=QE$13,PR7&lt;&gt;"",PT7&gt;=QE$17,PT7&lt;&gt;""),AND(PU7&gt;=QE$13,PU7&lt;&gt;"",PW7&gt;=QE$17,PW7&lt;&gt;""),AND(PY7&gt;=QE$13,PY7&lt;&gt;"",QA7&gt;=QE$17,QA7&lt;&gt;""),AND(QB7&gt;=QE$13,QB7&lt;&gt;"",QD7&gt;=QE$17,QD7&lt;&gt;""),AND(QZ7&gt;=RM$13,QZ7&lt;&gt;"",RB7&gt;=RM$17,RB7&lt;&gt;""),AND(RC7&gt;=RM$13,RC7&lt;&gt;"",RE7&gt;=RM$17,RE7&lt;&gt;""),AND(RG7&gt;=RM$13,RG7&lt;&gt;"",RI7&gt;=RM$17,RI7&lt;&gt;""),AND(RJ7&gt;=RM$13,RJ7&lt;&gt;"",RL7&gt;=RM$17,RL7&lt;&gt;""),AND(SH7&gt;=SU$13,SH7&lt;&gt;"",SJ7&gt;=SU$17,SJ7&lt;&gt;""),AND(SK7&gt;=SU$13,SK7&lt;&gt;"",SM7&gt;=SU$17,SM7&lt;&gt;""),AND(SO7&gt;=SU$13,SO7&lt;&gt;"",SQ7&gt;=SU$17,SQ7&lt;&gt;""),AND(SR7&gt;=SU$13,SR7&lt;&gt;"",ST7&gt;=SU$17,ST7&lt;&gt;"")),"P","")</f>
        <v>P</v>
      </c>
      <c r="I7" s="3" t="str">
        <f>IF(OR(AND(AQ7&gt;=AY$17,AQ7&lt;&gt;"",AN7=""),AND(AT7&gt;=AY$17,AT7&lt;&gt;"",AN7=""),AND(AX7&gt;=AY$17,AX7&lt;&gt;"",AN7=""),AND(BR7&gt;=BZ$17,BR7&lt;&gt;"",BO7=""),AND(BU7&gt;=BZ$17,BU7&lt;&gt;"",BO7=""),AND(BY7&gt;=BZ$17,BY7&lt;&gt;"",BO7=""),AND(CS7&gt;=DA$17,CS7&lt;&gt;"",CP7=""),AND(CV7&gt;=DA$17,CV7&lt;&gt;"",CP7=""),AND(CZ7&gt;=DA$17,CZ7&lt;&gt;"",CP7=""),AND(DZ7&gt;=EK$17,DZ7&lt;&gt;""),AND(EC7&gt;=EK$17,EC7&lt;&gt;""),AND(EG7&gt;=EK$17,EG7&lt;&gt;""),AND(EJ7&gt;=EK$17,EJ7&lt;&gt;""),AND(FH7&gt;=FS$17,FH7&lt;&gt;""),AND(FK7&gt;=FS$17,FK7&lt;&gt;""),AND(FO7&gt;=FS$17,FO7&lt;&gt;""),AND(FR7&gt;=FS$17,FR7&lt;&gt;""),AND(GP7&gt;=HA$17,GP7&lt;&gt;""),AND(GS7&gt;=HA$17,GS7&lt;&gt;""),AND(GW7&gt;=HA$17,GW7&lt;&gt;""),AND(GZ7&gt;=HA$17,GZ7&lt;&gt;""),AND(HX7&gt;=II$17,HX7&lt;&gt;""),AND(IA7&gt;=II$17,IA7&lt;&gt;""),AND(IE7&gt;=II$17,IE7&lt;&gt;""),AND(IH7&gt;=II$17,IH7&lt;&gt;""),AND(JF7&gt;=JQ$17,JF7&lt;&gt;""),AND(JI7&gt;=JQ$17,JI7&lt;&gt;""),AND(JM7&gt;=JQ$17,JM7&lt;&gt;""),AND(JP7&gt;=JQ$17,JP7&lt;&gt;""),AND(KN7&gt;=KY$17,KN7&lt;&gt;""),AND(KQ7&gt;=KY$17,KQ7&lt;&gt;""),AND(KU7&gt;=KY$17,KU7&lt;&gt;""),AND(KX7&gt;=KY$17,KX7&lt;&gt;""),AND(LV7&gt;=MG$17,LV7&lt;&gt;""),AND(LY7&gt;=MG$17,LY7&lt;&gt;""),AND(MC7&gt;=MG$17,MC7&lt;&gt;""),AND(MF7&gt;=MG$17,MF7&lt;&gt;""),AND(ND7&gt;=NO$17,ND7&lt;&gt;""),AND(NG7&gt;=NO$17,NG7&lt;&gt;""),AND(NK7&gt;=NO$17,NK7&lt;&gt;""),AND(NN7&gt;=NO$17,NN7&lt;&gt;""),AND(OL7&gt;=OW$17,OL7&lt;&gt;""),AND(OO7&gt;=OW$17,OO7&lt;&gt;""),AND(OS7&gt;=OW$17,OS7&lt;&gt;""),AND(OV7&gt;=OW$17,OV7&lt;&gt;""),AND(PT7&gt;=QE$17,PT7&lt;&gt;""),AND(PW7&gt;=QE$17,PW7&lt;&gt;""),AND(QA7&gt;=QE$17,QA7&lt;&gt;""),AND(QD7&gt;=QE$17,QD7&lt;&gt;""),AND(RB7&gt;=RM$17,RB7&lt;&gt;""),AND(RE7&gt;=RM$17,RE7&lt;&gt;""),AND(RI7&gt;=RM$17,RI7&lt;&gt;""),AND(RL7&gt;=RM$17,RL7&lt;&gt;""),AND(SJ7&gt;=SU$17,SJ7&lt;&gt;""),AND(SM7&gt;=SU$17,SM7&lt;&gt;""),AND(SQ7&gt;=SU$17,SQ7&lt;&gt;""),AND(ST7&gt;=SU$17,ST7&lt;&gt;"")),"P","")</f>
        <v>P</v>
      </c>
      <c r="J7" s="36" t="str">
        <f>IF(AND(I7="P",H7=""),"No DD",IF(OR(AND(AO7&gt;=AY$16,AO7&lt;&gt;"",AQ7&gt;=AY$20,AQ7&lt;&gt;"",AN7=""),AND(AR7&gt;=AY$16,AR7&lt;&gt;"",AT7&gt;=AY$20,AT7&lt;&gt;"",AN7=""),AND(AV7&gt;=AY$16,AV7&lt;&gt;"",AX7&gt;=AY$20,AX7&lt;&gt;"",AN7=""),AND(BP7&gt;=BZ$16,BP7&lt;&gt;"",BR7&gt;=BZ$20,BR7&lt;&gt;"",BO7=""),AND(BS7&gt;=BZ$16,BS7&lt;&gt;"",BU7&gt;=BZ$20,BU7&lt;&gt;"",BO7=""),AND(BW7&gt;=BZ$16,BW7&lt;&gt;"",BY7&gt;=BZ$20,BY7&lt;&gt;"",BO7=""),AND(CQ7&gt;=DA$16,CQ7&lt;&gt;"",CS7&gt;=DA$20,CS7&lt;&gt;"",CP7=""),AND(CT7&gt;=DA$16,CT7&lt;&gt;"",CV7&gt;=DA$20,CV7&lt;&gt;"",CP7=""),AND(CX7&gt;=DA$16,CX7&lt;&gt;"",CZ7&gt;=DA$20,CZ7&lt;&gt;"",CP7=""),AND(DX7&gt;=EK$16,DX7&lt;&gt;"",DZ7&gt;=EK$20,DZ7&lt;&gt;""),AND(EA7&gt;=EK$16,EA7&lt;&gt;"",EC7&gt;=EK$20,EC7&lt;&gt;""),AND(EE7&gt;=EK$16,EE7&lt;&gt;"",EG7&gt;=EK$20,EG7&lt;&gt;""),AND(EH7&gt;=EK$16,EH7&lt;&gt;"",EJ7&gt;=EK$20,EJ7&lt;&gt;""),AND(FF7&gt;=FS$16,FF7&lt;&gt;"",FH7&gt;=FS$20,FH7&lt;&gt;""),AND(FI7&gt;=FS$16,FI7&lt;&gt;"",FK7&gt;=FS$20,FK7&lt;&gt;""),AND(FM7&gt;=FS$16,FM7&lt;&gt;"",FO7&gt;=FS$20,FO7&lt;&gt;""),AND(FP7&gt;=FS$16,FP7&lt;&gt;"",FR7&gt;=FS$20,FR7&lt;&gt;""),AND(GN7&gt;=HA$16,GN7&lt;&gt;"",GP7&gt;=HA$20,GP7&lt;&gt;""),AND(GQ7&gt;=HA$16,GQ7&lt;&gt;"",GS7&gt;=HA$20,GS7&lt;&gt;""),AND(GU7&gt;=HA$16,GU7&lt;&gt;"",GW7&gt;=HA$20,GW7&lt;&gt;""),AND(GX7&gt;=HA$16,GX7&lt;&gt;"",GZ7&gt;=HA$20,GZ7&lt;&gt;""),AND(HV7&gt;=II$16,HV7&lt;&gt;"",HX7&gt;=II$20,HX7&lt;&gt;""),AND(HY7&gt;=II$16,HY7&lt;&gt;"",IA7&gt;=II$20,IA7&lt;&gt;""),AND(IC7&gt;=II$16,IC7&lt;&gt;"",IE7&gt;=II$20,IE7&lt;&gt;""),AND(IF7&gt;=II$16,IF7&lt;&gt;"",IH7&gt;=II$20,IH7&lt;&gt;""),AND(JD7&gt;=JQ$16,JD7&lt;&gt;"",JF7&gt;=JQ$20,JF7&lt;&gt;""),AND(JG7&gt;=JQ$16,JG7&lt;&gt;"",JI7&gt;=JQ$20,JI7&lt;&gt;""),AND(JK7&gt;=JQ$16,JK7&lt;&gt;"",JM7&gt;=JQ$20,JM7&lt;&gt;""),AND(JN7&gt;=JQ$16,JN7&lt;&gt;"",JP7&gt;=JQ$20,JP7&lt;&gt;""),AND(KL7&gt;=KY$16,KL7&lt;&gt;"",KN7&gt;=KY$20,KN7&lt;&gt;""),AND(KO7&gt;=KY$16,KO7&lt;&gt;"",KQ7&gt;=KY$20,KQ7&lt;&gt;""),AND(KS7&gt;=KY$16,KS7&lt;&gt;"",KU7&gt;=KY$20,KU7&lt;&gt;""),AND(KV7&gt;=KY$16,KV7&lt;&gt;"",KX7&gt;=KY$20,KX7&lt;&gt;""),AND(LT7&gt;=MG$16,LT7&lt;&gt;"",LV7&gt;=MG$20,LV7&lt;&gt;""),AND(LW7&gt;=MG$16,LW7&lt;&gt;"",LY7&gt;=MG$20,LY7&lt;&gt;""),AND(MA7&gt;=MG$16,MA7&lt;&gt;"",MC7&gt;=MG$20,MC7&lt;&gt;""),AND(MD7&gt;=MG$16,MD7&lt;&gt;"",MF7&gt;=MG$20,MF7&lt;&gt;""),AND(NB7&gt;=NO$16,NB7&lt;&gt;"",ND7&gt;=NO$20,ND7&lt;&gt;""),AND(NE7&gt;=NO$16,NE7&lt;&gt;"",NG7&gt;=NO$20,NG7&lt;&gt;""),AND(NI7&gt;=NO$16,NI7&lt;&gt;"",NK7&gt;=NO$20,NK7&lt;&gt;""),AND(NL7&gt;=NO$16,NL7&lt;&gt;"",NN7&gt;=NO$20,NN7&lt;&gt;""),AND(OJ7&gt;=OW$16,OJ7&lt;&gt;"",OL7&gt;=OW$20,OL7&lt;&gt;""),AND(OM7&gt;=OW$16,OM7&lt;&gt;"",OO7&gt;=OW$20,OO7&lt;&gt;""),AND(OQ7&gt;=OW$16,OQ7&lt;&gt;"",OS7&gt;=OW$20,OS7&lt;&gt;""),AND(OT7&gt;=OW$16,OT7&lt;&gt;"",OV7&gt;=OW$20,OV7&lt;&gt;""),AND(PR7&gt;=QE$16,PR7&lt;&gt;"",PT7&gt;=QE$20,PT7&lt;&gt;""),AND(PU7&gt;=QE$16,PU7&lt;&gt;"",PW7&gt;=QE$20,PW7&lt;&gt;""),AND(PY7&gt;=QE$16,PY7&lt;&gt;"",QA7&gt;=QE$20,QA7&lt;&gt;""),AND(QB7&gt;=QE$16,QB7&lt;&gt;"",QD7&gt;=QE$20,QD7&lt;&gt;""),AND(QZ7&gt;=RM$16,QZ7&lt;&gt;"",RB7&gt;=RM$20,RB7&lt;&gt;""),AND(RC7&gt;=RM$16,RC7&lt;&gt;"",RE7&gt;=RM$20,RE7&lt;&gt;""),AND(RG7&gt;=RM$16,RG7&lt;&gt;"",RI7&gt;=RM$20,RI7&lt;&gt;""),AND(RJ7&gt;=RM$16,RJ7&lt;&gt;"",RL7&gt;=RM$20,RL7&lt;&gt;""),AND(SH7&gt;=SU$16,SH7&lt;&gt;"",SJ7&gt;=SU$20,SJ7&lt;&gt;""),AND(SK7&gt;=SU$16,SK7&lt;&gt;"",SM7&gt;=SU$20,SM7&lt;&gt;""),AND(SO7&gt;=SU$16,SO7&lt;&gt;"",SQ7&gt;=SU$20,SQ7&lt;&gt;""),AND(SR7&gt;=SU$16,SR7&lt;&gt;"",ST7&gt;=SU$20,ST7&lt;&gt;"")),"Merit",IF(OR(AND(AO7&gt;=AY$15,AO7&lt;&gt;"",AQ7&gt;=AY$19,AQ7&lt;&gt;"",AN7=""),AND(AR7&gt;=AY$15,AR7&lt;&gt;"",AT7&gt;=AY$19,AT7&lt;&gt;"",AN7=""),AND(AV7&gt;=AY$15,AV7&lt;&gt;"",AX7&gt;=AY$19,AX7&lt;&gt;"",AN7=""),AND(BP7&gt;=BZ$15,BP7&lt;&gt;"",BR7&gt;=BZ$19,BR7&lt;&gt;"",BO7=""),AND(BS7&gt;=BZ$15,BS7&lt;&gt;"",BU7&gt;=BZ$19,BU7&lt;&gt;"",BO7=""),AND(BW7&gt;=BZ$15,BW7&lt;&gt;"",BY7&gt;=BZ$19,BY7&lt;&gt;"",BO7=""),AND(CQ7&gt;=DA$15,CQ7&lt;&gt;"",CS7&gt;=DA$19,CS7&lt;&gt;"",CP7=""),AND(CT7&gt;=DA$15,CT7&lt;&gt;"",CV7&gt;=DA$19,CV7&lt;&gt;"",CP7=""),AND(CX7&gt;=DA$15,CX7&lt;&gt;"",CZ7&gt;=DA$19,CZ7&lt;&gt;"",CP7=""),AND(DX7&gt;=EK$15,DX7&lt;&gt;"",DZ7&gt;=EK$19,DZ7&lt;&gt;""),AND(EA7&gt;=EK$15,EA7&lt;&gt;"",EC7&gt;=EK$19,EC7&lt;&gt;""),AND(EE7&gt;=EK$15,EE7&lt;&gt;"",EG7&gt;=EK$19,EG7&lt;&gt;""),AND(EH7&gt;=EK$15,EH7&lt;&gt;"",EJ7&gt;=EK$19,EJ7&lt;&gt;""),AND(FF7&gt;=FS$15,FF7&lt;&gt;"",FH7&gt;=FS$19,FH7&lt;&gt;""),AND(FI7&gt;=FS$15,FI7&lt;&gt;"",FK7&gt;=FS$19,FK7&lt;&gt;""),AND(FM7&gt;=FS$15,FM7&lt;&gt;"",FO7&gt;=FS$19,FO7&lt;&gt;""),AND(FP7&gt;=FS$15,FP7&lt;&gt;"",FR7&gt;=FS$19,FR7&lt;&gt;""),AND(GN7&gt;=HA$15,GN7&lt;&gt;"",GP7&gt;=HA$19,GP7&lt;&gt;""),AND(GQ7&gt;=HA$15,GQ7&lt;&gt;"",GS7&gt;=HA$19,GS7&lt;&gt;""),AND(GU7&gt;=HA$15,GU7&lt;&gt;"",GW7&gt;=HA$19,GW7&lt;&gt;""),AND(GX7&gt;=HA$15,GX7&lt;&gt;"",GZ7&gt;=HA$19,GZ7&lt;&gt;""),AND(HV7&gt;=II$15,HV7&lt;&gt;"",HX7&gt;=II$19,HX7&lt;&gt;""),AND(HY7&gt;=II$15,HY7&lt;&gt;"",IA7&gt;=II$19,IA7&lt;&gt;""),AND(IC7&gt;=II$15,IC7&lt;&gt;"",IE7&gt;=II$19,IE7&lt;&gt;""),AND(IF7&gt;=II$15,IF7&lt;&gt;"",IH7&gt;=II$19,IH7&lt;&gt;""),AND(JD7&gt;=JQ$15,JD7&lt;&gt;"",JF7&gt;=JQ$19,JF7&lt;&gt;""),AND(JG7&gt;=JQ$15,JG7&lt;&gt;"",JI7&gt;=JQ$19,JI7&lt;&gt;""),AND(JK7&gt;=JQ$15,JK7&lt;&gt;"",JM7&gt;=JQ$19,JM7&lt;&gt;""),AND(JN7&gt;=JQ$15,JN7&lt;&gt;"",JP7&gt;=JQ$19,JP7&lt;&gt;""),AND(KL7&gt;=KY$15,KL7&lt;&gt;"",KN7&gt;=KY$19,KN7&lt;&gt;""),AND(KO7&gt;=KY$15,KO7&lt;&gt;"",KQ7&gt;=KY$19,KQ7&lt;&gt;""),AND(KS7&gt;=KY$15,KS7&lt;&gt;"",KU7&gt;=KY$19,KU7&lt;&gt;""),AND(KV7&gt;=KY$15,KV7&lt;&gt;"",KX7&gt;=KY$19,KX7&lt;&gt;""),AND(LT7&gt;=MG$15,LT7&lt;&gt;"",LV7&gt;=MG$19,LV7&lt;&gt;""),AND(LW7&gt;=MG$15,LW7&lt;&gt;"",LY7&gt;=MG$19,LY7&lt;&gt;""),AND(MA7&gt;=MG$15,MA7&lt;&gt;"",MC7&gt;=MG$19,MC7&lt;&gt;""),AND(MD7&gt;=MG$15,MD7&lt;&gt;"",MF7&gt;=MG$19,MF7&lt;&gt;""),AND(NB7&gt;=NO$15,NB7&lt;&gt;"",ND7&gt;=NO$19,ND7&lt;&gt;""),AND(NE7&gt;=NO$15,NE7&lt;&gt;"",NG7&gt;=NO$19,NG7&lt;&gt;""),AND(NI7&gt;=NO$15,NI7&lt;&gt;"",NK7&gt;=NO$19,NK7&lt;&gt;""),AND(NL7&gt;=NO$15,NL7&lt;&gt;"",NN7&gt;=NO$19,NN7&lt;&gt;""),AND(OJ7&gt;=OW$15,OJ7&lt;&gt;"",OL7&gt;=OW$19,OL7&lt;&gt;""),AND(OM7&gt;=OW$15,OM7&lt;&gt;"",OO7&gt;=OW$19,OO7&lt;&gt;""),AND(OQ7&gt;=OW$15,OQ7&lt;&gt;"",OS7&gt;=OW$19,OS7&lt;&gt;""),AND(OT7&gt;=OW$15,OT7&lt;&gt;"",OV7&gt;=OW$19,OV7&lt;&gt;""),AND(PR7&gt;=QE$15,PR7&lt;&gt;"",PT7&gt;=QE$19,PT7&lt;&gt;""),AND(PU7&gt;=QE$15,PU7&lt;&gt;"",PW7&gt;=QE$19,PW7&lt;&gt;""),AND(PY7&gt;=QE$15,PY7&lt;&gt;"",QA7&gt;=QE$19,QA7&lt;&gt;""),AND(QB7&gt;=QE$15,QB7&lt;&gt;"",QD7&gt;=QE$19,QD7&lt;&gt;""),AND(QZ7&gt;=RM$15,QZ7&lt;&gt;"",RB7&gt;=RM$19,RB7&lt;&gt;""),AND(RC7&gt;=RM$15,RC7&lt;&gt;"",RE7&gt;=RM$19,RE7&lt;&gt;""),AND(RG7&gt;=RM$15,RG7&lt;&gt;"",RI7&gt;=RM$19,RI7&lt;&gt;""),AND(RJ7&gt;=RM$15,RJ7&lt;&gt;"",RL7&gt;=RM$19,RL7&lt;&gt;""),AND(SH7&gt;=SU$15,SH7&lt;&gt;"",SJ7&gt;=SU$19,SJ7&lt;&gt;""),AND(SK7&gt;=SU$15,SK7&lt;&gt;"",SM7&gt;=SU$19,SM7&lt;&gt;""),AND(SO7&gt;=SU$15,SO7&lt;&gt;"",SQ7&gt;=SU$19,SQ7&lt;&gt;""),AND(SR7&gt;=SU$15,SR7&lt;&gt;"",ST7&gt;=SU$19,ST7&lt;&gt;"")),"Excellence",IF(K7="P","Worlds Team",IF(H7="P","National Team","")))))</f>
        <v>National Team</v>
      </c>
      <c r="K7" s="3" t="str">
        <f>IF(OR(AND(AO7&gt;=AY$14,AO7&lt;&gt;"",AQ7&gt;=AY$18,AQ7&lt;&gt;"",AN7=""),AND(AR7&gt;=AY$14,AR7&lt;&gt;"",AT7&gt;=AY$18,AT7&lt;&gt;"",AN7=""),AND(AV7&gt;=AY$14,AV7&lt;&gt;"",AX7&gt;=AY$18,AX7&lt;&gt;"",AN7=""),AND(BP7&gt;=BZ$14,BP7&lt;&gt;"",BR7&gt;=BZ$18,BR7&lt;&gt;"",BO7=""),AND(BS7&gt;=BZ$14,BS7&lt;&gt;"",BU7&gt;=BZ$18,BU7&lt;&gt;"",BO7=""),AND(BW7&gt;=BZ$14,BW7&lt;&gt;"",BY7&gt;=BZ$18,BY7&lt;&gt;"",BO7=""),AND(CQ7&gt;=DA$14,CQ7&lt;&gt;"",CS7&gt;=DA$18,CS7&lt;&gt;"",CP7=""),AND(CT7&gt;=DA$14,CT7&lt;&gt;"",CV7&gt;=DA$18,CV7&lt;&gt;"",CP7=""),AND(CX7&gt;=DA$14,CX7&lt;&gt;"",CZ7&gt;=DA$18,CZ7&lt;&gt;"",CP7=""),AND(DX7&gt;=EK$14,DX7&lt;&gt;"",DZ7&gt;=EK$18,DZ7&lt;&gt;""),AND(EA7&gt;=EK$14,EA7&lt;&gt;"",EC7&gt;=EK$18,EC7&lt;&gt;""),AND(EE7&gt;=EK$14,EE7&lt;&gt;"",EG7&gt;=EK$18,EG7&lt;&gt;""),AND(EH7&gt;=EK$14,EH7&lt;&gt;"",EJ7&gt;=EK$18,EJ7&lt;&gt;""),AND(FF7&gt;=FS$14,FF7&lt;&gt;"",FH7&gt;=FS$18,FH7&lt;&gt;""),AND(FI7&gt;=FS$14,FI7&lt;&gt;"",FK7&gt;=FS$18,FK7&lt;&gt;""),AND(FM7&gt;=FS$14,FM7&lt;&gt;"",FO7&gt;=FS$18,FO7&lt;&gt;""),AND(FP7&gt;=FS$14,FP7&lt;&gt;"",FR7&gt;=FS$18,FR7&lt;&gt;""),AND(GN7&gt;=HA$14,GN7&lt;&gt;"",GP7&gt;=HA$18,GP7&lt;&gt;""),AND(GQ7&gt;=HA$14,GQ7&lt;&gt;"",GS7&gt;=HA$18,GS7&lt;&gt;""),AND(GU7&gt;=HA$14,GU7&lt;&gt;"",GW7&gt;=HA$18,GW7&lt;&gt;""),AND(GX7&gt;=HA$14,GX7&lt;&gt;"",GZ7&gt;=HA$18,GZ7&lt;&gt;""),AND(HV7&gt;=II$14,HV7&lt;&gt;"",HX7&gt;=II$18,HX7&lt;&gt;""),AND(HY7&gt;=II$14,HY7&lt;&gt;"",IA7&gt;=II$18,IA7&lt;&gt;""),AND(IC7&gt;=II$14,IC7&lt;&gt;"",IE7&gt;=II$18,IE7&lt;&gt;""),AND(IF7&gt;=II$14,IF7&lt;&gt;"",IH7&gt;=II$18,IH7&lt;&gt;""),AND(JD7&gt;=JQ$14,JD7&lt;&gt;"",JF7&gt;=JQ$18,JF7&lt;&gt;""),AND(JG7&gt;=JQ$14,JG7&lt;&gt;"",JI7&gt;=JQ$18,JI7&lt;&gt;""),AND(JK7&gt;=JQ$14,JK7&lt;&gt;"",JM7&gt;=JQ$18,JM7&lt;&gt;""),AND(JN7&gt;=JQ$14,JN7&lt;&gt;"",JP7&gt;=JQ$18,JP7&lt;&gt;""),AND(KL7&gt;=KY$14,KL7&lt;&gt;"",KN7&gt;=KY$18,KN7&lt;&gt;""),AND(KO7&gt;=KY$14,KO7&lt;&gt;"",KQ7&gt;=KY$18,KQ7&lt;&gt;""),AND(KS7&gt;=KY$14,KS7&lt;&gt;"",KU7&gt;=KY$18,KU7&lt;&gt;""),AND(KV7&gt;=KY$14,KV7&lt;&gt;"",KX7&gt;=KY$18,KX7&lt;&gt;""),AND(LT7&gt;=MG$14,LT7&lt;&gt;"",LV7&gt;=MG$18,LV7&lt;&gt;""),AND(LW7&gt;=MG$14,LW7&lt;&gt;"",LY7&gt;=MG$18,LY7&lt;&gt;""),AND(MA7&gt;=MG$14,MA7&lt;&gt;"",MC7&gt;=MG$18,MC7&lt;&gt;""),AND(MD7&gt;=MG$14,MD7&lt;&gt;"",MF7&gt;=MG$18,MF7&lt;&gt;""),AND(NB7&gt;=NO$14,NB7&lt;&gt;"",ND7&gt;=NO$18,ND7&lt;&gt;""),AND(NE7&gt;=NO$14,NE7&lt;&gt;"",NG7&gt;=NO$18,NG7&lt;&gt;""),AND(NI7&gt;=NO$14,NI7&lt;&gt;"",NK7&gt;=NO$18,NK7&lt;&gt;""),AND(NL7&gt;=NO$14,NL7&lt;&gt;"",NN7&gt;=NO$18,NN7&lt;&gt;""),AND(OJ7&gt;=OW$14,OJ7&lt;&gt;"",OL7&gt;=OW$18,OL7&lt;&gt;""),AND(OM7&gt;=OW$14,OM7&lt;&gt;"",OO7&gt;=OW$18,OO7&lt;&gt;""),AND(OQ7&gt;=OW$14,OQ7&lt;&gt;"",OS7&gt;=OW$18,OS7&lt;&gt;""),AND(OT7&gt;=OW$14,OT7&lt;&gt;"",OV7&gt;=OW$18,OV7&lt;&gt;""),AND(PR7&gt;=QE$14,PR7&lt;&gt;"",PT7&gt;=QE$18,PT7&lt;&gt;""),AND(PU7&gt;=QE$14,PU7&lt;&gt;"",PW7&gt;=QE$18,PW7&lt;&gt;""),AND(PY7&gt;=QE$14,PY7&lt;&gt;"",QA7&gt;=QE$18,QA7&lt;&gt;""),AND(QB7&gt;=QE$14,QB7&lt;&gt;"",QD7&gt;=QE$18,QD7&lt;&gt;""),AND(QZ7&gt;=RM$14,QZ7&lt;&gt;"",RB7&gt;=RM$18,RB7&lt;&gt;""),AND(RC7&gt;=RM$14,RC7&lt;&gt;"",RE7&gt;=RM$18,RE7&lt;&gt;""),AND(RG7&gt;=RM$14,RG7&lt;&gt;"",RI7&gt;=RM$18,RI7&lt;&gt;""),AND(RJ7&gt;=RM$14,RJ7&lt;&gt;"",RL7&gt;=RM$18,RL7&lt;&gt;""),AND(SH7&gt;=SU$14,SH7&lt;&gt;"",SJ7&gt;=SU$18,SJ7&lt;&gt;""),AND(SK7&gt;=SU$14,SK7&lt;&gt;"",SM7&gt;=SU$18,SM7&lt;&gt;""),AND(SO7&gt;=SU$14,SO7&lt;&gt;"",SQ7&gt;=SU$18,SQ7&lt;&gt;""),AND(SR7&gt;=SU$14,SR7&lt;&gt;"",ST7&gt;=SU$18,ST7&lt;&gt;"")),"P","")</f>
        <v/>
      </c>
      <c r="L7" s="8">
        <f>IF(COUNT(AQ7,AT7,BR7,BU7,CS7,CV7)&gt;0,LARGE((AQ7,AT7,BR7,BU7,CS7,CV7),1),0)</f>
        <v>50.1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47.01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44.13</v>
      </c>
      <c r="Q7" s="8" t="str">
        <f>IF(P7="","",IF(P7=CZ7,$CA$1,IF(P7=BY7,$AZ$1,IF(P7=AX7,$Y$1,IF(OR(P7=CS7,P7=CV7,P7=CZ7),$CA$1,IF(OR(P7=BR7,P7=BU7,P7=BY7),$AZ$1,IF(OR(P7=AQ7,P7=AT7,P7=AX7),$Y$1,"")))))))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&gt;0,MAX(IF(AO7&gt;=$AY$13,AP7,0),IF(AR7&gt;=$AY$13,AS7,0),IF(AV7&gt;=$AY$13,AW7,0),IF(BP7&gt;=$BZ$13,BQ7,0),IF(BS7&gt;=$BZ$13,BT7,0),IF(BW7&gt;=$BZ$13,BX7,0),IF(CQ7&gt;=$DA$13,CR7,0),IF(CT7&gt;=$DA$13,CU7,0),IF(CX7&gt;=$DA$13,CY7,0),IF(DX7&gt;=$EK$13,DY7,0),IF(EA7&gt;=$EK$13,EB7,0),IF(EE7&gt;=$EK$13,EF7,0),IF(EH7&gt;=$EK$13,EI7,0),IF(FF7&gt;=$FS$13,FG7,0),IF(FI7&gt;=$FS$13,FJ7,0),IF(FM7&gt;=$FS$13,FN7,0),IF(FP7&gt;=$FS$13,FQ7,0),IF(GN7&gt;=$HA$13,GO7,0),IF(GQ7&gt;=$HA$13,GR7,0),IF(GU7&gt;=$HA$13,GV7,0),IF(GX7&gt;=$HA$13,GY7,0),IF(HV7&gt;=$II$13,HW7,0),IF(HY7&gt;=$II$13,HZ7,0),IF(IC7&gt;=$II$13,ID7,0),IF(IF7&gt;=$II$13,IG7,0),IF(JD7&gt;=$JQ$13,JE7,0),IF(JG7&gt;=$JQ$13,JH7,0),IF(JK7&gt;=$JQ$13,JL7,0),IF(JN7&gt;=$JQ$13,JO7,0),IF(KL7&gt;=$KY$13,KM7,0),IF(KO7&gt;=$KY$13,KP7,0),IF(KS7&gt;=$KY$13,KT7,0),IF(KV7&gt;=$KY$13,KW7,0),IF(LT7&gt;=$MG$13,LU7,0),IF(LW7&gt;=$MG$13,LX7,0),IF(MA7&gt;=$MG$13,MB7,0),IF(MD7&gt;=$MG$13,ME7,0),IF(NB7&gt;=$NO$13,NC7,0),IF(NE7&gt;=$NO$13,NF7,0),IF(NI7&gt;=$NO$13,NJ7,0),IF(NL7&gt;=$NO$13,NM7,0),IF(OJ7&gt;=$OW$13,OK7,0),IF(OM7&gt;=$OW$13,ON7,0),IF(OQ7&gt;=$OW$13,OR7,0),IF(OT7&gt;=$OW$13,OU7,0),IF(PR7&gt;=$QE$13,PS7,0),IF(PU7&gt;=$QE$13,PV7,0),IF(PY7&gt;=$QE$13,PZ7,0),IF(QB7&gt;=$QE$13,QC7,0),IF(QZ7&gt;=$RM$13,RA7,0),IF(RC7&gt;=$RM$13,RD7,0),IF(RG7&gt;=$RM$13,RH7,0),IF(RJ7&gt;=$RM$13,RK7,0),IF(SH7&gt;=$SU$13,SI7,0),IF(SK7&gt;=$SU$13,SL7,0),IF(SO7&gt;=$SU$13,SP7,0),IF(SR7&gt;=$SU$13,SS7,0)),0)</f>
        <v>13.9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Nationals</v>
      </c>
      <c r="V7" s="8">
        <f>IF(MAX(DB7,DC7)&gt;0,MAX(DB7,DC7),"")</f>
        <v>5.3999999999999986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2025 WAGC (Nov 16)</v>
      </c>
      <c r="Y7" s="22">
        <v>13.7</v>
      </c>
      <c r="Z7" s="22">
        <v>9.3000000000000007</v>
      </c>
      <c r="AA7" s="22">
        <v>10.3</v>
      </c>
      <c r="AB7" s="22">
        <v>14.21</v>
      </c>
      <c r="AC7" s="22">
        <v>0.5</v>
      </c>
      <c r="AD7" s="22">
        <v>7.4</v>
      </c>
      <c r="AE7" s="22">
        <v>4.8</v>
      </c>
      <c r="AF7" s="22">
        <v>5.8</v>
      </c>
      <c r="AG7" s="22">
        <v>7.22</v>
      </c>
      <c r="AH7" s="22">
        <v>0</v>
      </c>
      <c r="AI7" s="22">
        <v>6</v>
      </c>
      <c r="AJ7" s="22">
        <v>3.7</v>
      </c>
      <c r="AK7" s="22">
        <v>4.7</v>
      </c>
      <c r="AL7" s="22">
        <v>5.71</v>
      </c>
      <c r="AM7" s="22">
        <v>0</v>
      </c>
      <c r="AN7" s="27"/>
      <c r="AO7" s="38">
        <f>IF(AA7&gt;0,AA7,"")</f>
        <v>10.3</v>
      </c>
      <c r="AP7" s="38">
        <f>IF(AB7&gt;0,AB7,"")</f>
        <v>14.21</v>
      </c>
      <c r="AQ7" s="40">
        <f>IF(SUM(Y7:AB7)-AC7&gt;0,SUM(Y7:AB7)-AC7,"")</f>
        <v>47.01</v>
      </c>
      <c r="AR7" s="40">
        <f>IF(AF7&gt;0,AF7,"")</f>
        <v>5.8</v>
      </c>
      <c r="AS7" s="40">
        <f>IF(AG7&gt;0,AG7,"")</f>
        <v>7.22</v>
      </c>
      <c r="AT7" s="40">
        <f>IF(SUM(AD7:AG7)-AH7&gt;0,SUM(AD7:AG7)-AH7,"")</f>
        <v>25.22</v>
      </c>
      <c r="AU7" s="40">
        <f>IF(AQ7="","",MAX(AQ7,AT7))</f>
        <v>47.01</v>
      </c>
      <c r="AV7" s="40">
        <f>IF(AK7&gt;0,AK7,"")</f>
        <v>4.7</v>
      </c>
      <c r="AW7" s="40">
        <f>IF(AL7&gt;0,AL7,"")</f>
        <v>5.71</v>
      </c>
      <c r="AX7" s="40">
        <f>IF(SUM(AI7:AL7)-AM7&gt;0,SUM(AI7:AL7)-AM7,"")</f>
        <v>20.11</v>
      </c>
      <c r="AY7" s="40">
        <f>IF(SUM(AU7,AX7)&gt;0,SUM(AU7,AX7),"")</f>
        <v>67.12</v>
      </c>
      <c r="AZ7" s="26">
        <v>7.4</v>
      </c>
      <c r="BA7" s="26">
        <v>4.5999999999999996</v>
      </c>
      <c r="BB7" s="26">
        <v>6</v>
      </c>
      <c r="BC7" s="26">
        <v>7.15</v>
      </c>
      <c r="BD7" s="26">
        <v>0</v>
      </c>
      <c r="BE7" s="26">
        <v>14.6</v>
      </c>
      <c r="BF7" s="26">
        <v>8.9</v>
      </c>
      <c r="BG7" s="26">
        <v>12.7</v>
      </c>
      <c r="BH7" s="26">
        <v>13.9</v>
      </c>
      <c r="BI7" s="26">
        <v>0</v>
      </c>
      <c r="BJ7" s="26">
        <v>4.5999999999999996</v>
      </c>
      <c r="BK7" s="26">
        <v>2.9</v>
      </c>
      <c r="BL7" s="26">
        <v>3.6</v>
      </c>
      <c r="BM7" s="26">
        <v>4.32</v>
      </c>
      <c r="BN7" s="26">
        <v>0</v>
      </c>
      <c r="BO7" s="28"/>
      <c r="BP7" s="39">
        <f>IF(BB7&gt;0,BB7,"")</f>
        <v>6</v>
      </c>
      <c r="BQ7" s="39">
        <f>IF(BC7&gt;0,BC7,"")</f>
        <v>7.15</v>
      </c>
      <c r="BR7" s="11">
        <f>IF(SUM(AZ7:BC7)-BD7&gt;0,SUM(AZ7:BC7)-BD7,"")</f>
        <v>25.15</v>
      </c>
      <c r="BS7" s="11">
        <f>IF(BG7&gt;0,BG7,"")</f>
        <v>12.7</v>
      </c>
      <c r="BT7" s="11">
        <f>IF(BH7&gt;0,BH7,"")</f>
        <v>13.9</v>
      </c>
      <c r="BU7" s="11">
        <f>IF(SUM(BE7:BH7)-BI7&gt;0,SUM(BE7:BH7)-BI7,"")</f>
        <v>50.1</v>
      </c>
      <c r="BV7" s="11">
        <f>IF(BR7="","",MAX(BR7,BU7))</f>
        <v>50.1</v>
      </c>
      <c r="BW7" s="11">
        <f>IF(BL7&gt;0,BL7,"")</f>
        <v>3.6</v>
      </c>
      <c r="BX7" s="11">
        <f>IF(BM7&gt;0,BM7,"")</f>
        <v>4.32</v>
      </c>
      <c r="BY7" s="11">
        <f>IF(SUM(BJ7:BM7)-BN7&gt;0,SUM(BJ7:BM7)-BN7,"")</f>
        <v>15.42</v>
      </c>
      <c r="BZ7" s="11">
        <f>IF(SUM(BV7,BY7)&gt;0,SUM(BV7,BY7),"")</f>
        <v>65.52</v>
      </c>
      <c r="CA7" s="22">
        <v>1.6</v>
      </c>
      <c r="CB7" s="22">
        <v>0.8</v>
      </c>
      <c r="CC7" s="22">
        <v>1.5</v>
      </c>
      <c r="CD7" s="22">
        <v>1.45</v>
      </c>
      <c r="CE7" s="22">
        <v>0</v>
      </c>
      <c r="CF7" s="22">
        <v>14.2</v>
      </c>
      <c r="CG7" s="22">
        <v>9.1999999999999993</v>
      </c>
      <c r="CH7" s="22">
        <v>8.8000000000000007</v>
      </c>
      <c r="CI7" s="22">
        <v>13.93</v>
      </c>
      <c r="CJ7" s="22">
        <v>2</v>
      </c>
      <c r="CK7" s="22">
        <v>9.5</v>
      </c>
      <c r="CL7" s="22">
        <v>6.3</v>
      </c>
      <c r="CM7" s="22">
        <v>8.1999999999999993</v>
      </c>
      <c r="CN7" s="22">
        <v>9.86</v>
      </c>
      <c r="CO7" s="22">
        <v>0</v>
      </c>
      <c r="CP7" s="27"/>
      <c r="CQ7" s="38">
        <f>IF(CC7&gt;0,CC7,"")</f>
        <v>1.5</v>
      </c>
      <c r="CR7" s="38">
        <f>IF(CD7&gt;0,CD7,"")</f>
        <v>1.45</v>
      </c>
      <c r="CS7" s="40">
        <f>IF(SUM(CA7:CD7)-CE7&gt;0,SUM(CA7:CD7)-CE7,"")</f>
        <v>5.3500000000000005</v>
      </c>
      <c r="CT7" s="40">
        <f>IF(CH7&gt;0,CH7,"")</f>
        <v>8.8000000000000007</v>
      </c>
      <c r="CU7" s="40">
        <f>IF(CI7&gt;0,CI7,"")</f>
        <v>13.93</v>
      </c>
      <c r="CV7" s="40">
        <f>IF(SUM(CF7:CI7)-CJ7&gt;0,SUM(CF7:CI7)-CJ7,"")</f>
        <v>44.13</v>
      </c>
      <c r="CW7" s="40">
        <f>IF(CS7="","",MAX(CS7,CV7))</f>
        <v>44.13</v>
      </c>
      <c r="CX7" s="40">
        <f>IF(CM7&gt;0,CM7,"")</f>
        <v>8.1999999999999993</v>
      </c>
      <c r="CY7" s="40">
        <f>IF(CN7&gt;0,CN7,"")</f>
        <v>9.86</v>
      </c>
      <c r="CZ7" s="40">
        <f>IF(SUM(CK7:CN7)-CO7&gt;0,SUM(CK7:CN7)-CO7,"")</f>
        <v>33.86</v>
      </c>
      <c r="DA7" s="40">
        <f>IF(SUM(CW7,CZ7)&gt;0,SUM(CW7,CZ7),"")</f>
        <v>77.990000000000009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5.3999999999999986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15.1</v>
      </c>
      <c r="JS7" s="18">
        <v>9.4</v>
      </c>
      <c r="JT7" s="18">
        <v>2.6</v>
      </c>
      <c r="JU7" s="18">
        <v>14.29</v>
      </c>
      <c r="JV7" s="18">
        <v>0</v>
      </c>
      <c r="JW7" s="18">
        <v>14.8</v>
      </c>
      <c r="JX7" s="18">
        <v>9.6999999999999993</v>
      </c>
      <c r="JY7" s="18">
        <v>11</v>
      </c>
      <c r="JZ7" s="18">
        <v>14.03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2.6</v>
      </c>
      <c r="KM7" s="11">
        <f>IF(JU7&gt;0,JU7,"")</f>
        <v>14.29</v>
      </c>
      <c r="KN7" s="11">
        <f>IF(SUM(JR7:JU7)-JV7&gt;0,SUM(JR7:JU7)-JV7,"")</f>
        <v>41.39</v>
      </c>
      <c r="KO7" s="11">
        <f>IF(JY7&gt;0,JY7,"")</f>
        <v>11</v>
      </c>
      <c r="KP7" s="11">
        <f>IF(JZ7&gt;0,JZ7,"")</f>
        <v>14.03</v>
      </c>
      <c r="KQ7" s="11">
        <f>IF(SUM(JW7:JZ7)-KA7&gt;0,SUM(JW7:JZ7)-KA7,"")</f>
        <v>49.53</v>
      </c>
      <c r="KR7" s="11">
        <f>IF(MAX(KN7,KQ7)&gt;0,MAX(KN7,KQ7),"")</f>
        <v>49.53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49.53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4.5</v>
      </c>
      <c r="SW7" s="22">
        <f>IF($CP7="P",CB7,(CB7+BA7)/2)</f>
        <v>2.6999999999999997</v>
      </c>
      <c r="SX7" s="22">
        <f>IF($CP7="P",CC7,(CC7+BB7)/2)</f>
        <v>3.75</v>
      </c>
      <c r="SY7" s="22">
        <f>IF($CP7="P",CD7,(CD7+BC7)/2)</f>
        <v>4.3</v>
      </c>
      <c r="SZ7" s="22">
        <f>IF($CP7="P",CE7,(CE7+BD7)/2)</f>
        <v>0</v>
      </c>
      <c r="TA7" s="22">
        <f>IF($CP7="P",CF7,(CF7+BE7)/2)</f>
        <v>14.399999999999999</v>
      </c>
      <c r="TB7" s="22">
        <f>IF($CP7="P",CG7,(CG7+BF7)/2)</f>
        <v>9.0500000000000007</v>
      </c>
      <c r="TC7" s="22">
        <f>IF($CP7="P",CH7,(CH7+BG7)/2)</f>
        <v>10.75</v>
      </c>
      <c r="TD7" s="22">
        <f>IF($CP7="P",CI7,(CI7+BH7)/2)</f>
        <v>13.914999999999999</v>
      </c>
      <c r="TE7" s="22">
        <f>IF($CP7="P",CJ7,(CJ7+BI7)/2)</f>
        <v>1</v>
      </c>
      <c r="TF7" s="22">
        <f>IF($CP7="P",CK7,(CK7+BJ7)/2)</f>
        <v>7.05</v>
      </c>
      <c r="TG7" s="22">
        <f>IF($CP7="P",CL7,(CL7+BK7)/2)</f>
        <v>4.5999999999999996</v>
      </c>
      <c r="TH7" s="22">
        <f>IF($CP7="P",CM7,(CM7+BL7)/2)</f>
        <v>5.8999999999999995</v>
      </c>
      <c r="TI7" s="22">
        <f>IF($CP7="P",CN7,(CN7+BM7)/2)</f>
        <v>7.09</v>
      </c>
      <c r="TJ7" s="22">
        <f>IF($CP7="P",CO7,(CO7+BN7)/2)</f>
        <v>0</v>
      </c>
      <c r="TK7" s="27" t="s">
        <v>46</v>
      </c>
      <c r="TL7" s="40">
        <f>IF(SX7&gt;0,SX7,"")</f>
        <v>3.75</v>
      </c>
      <c r="TM7" s="40">
        <f>IF(SY7&gt;0,SY7,"")</f>
        <v>4.3</v>
      </c>
      <c r="TN7" s="40">
        <f>IF(SUM(SV7:SY7)-SZ7&gt;0,SUM(SV7:SY7)-SZ7,"")</f>
        <v>15.25</v>
      </c>
      <c r="TO7" s="40">
        <f>IF(TC7&gt;0,TC7,"")</f>
        <v>10.75</v>
      </c>
      <c r="TP7" s="40">
        <f>IF(TD7&gt;0,TD7,"")</f>
        <v>13.914999999999999</v>
      </c>
      <c r="TQ7" s="40">
        <f>IF(SUM(TA7:TD7)-TE7&gt;0,SUM(TA7:TD7)-TE7,"")</f>
        <v>47.115000000000002</v>
      </c>
      <c r="TR7" s="40">
        <f>IF(MAX(TN7,TQ7)&gt;0,MAX(TN7,TQ7),"")</f>
        <v>47.115000000000002</v>
      </c>
      <c r="TS7" s="40">
        <f>IF(TH7&gt;0,TH7,"")</f>
        <v>5.8999999999999995</v>
      </c>
      <c r="TT7" s="40">
        <f>IF(TI7&gt;0,TI7,"")</f>
        <v>7.09</v>
      </c>
      <c r="TU7" s="40">
        <f>IF(SUM(TF7:TI7)-TJ7&gt;0,SUM(TF7:TI7)-TJ7,"")</f>
        <v>24.639999999999997</v>
      </c>
      <c r="TV7" s="40">
        <f>IF(SUM(TR7,TU7)&gt;0,SUM(TR7,TU7),"")</f>
        <v>71.754999999999995</v>
      </c>
    </row>
    <row r="8" spans="1:542" x14ac:dyDescent="0.2">
      <c r="A8" s="4" t="str" cm="1">
        <f t="array" ref="A8">IF(AND(J8&lt;&gt;"",J8&lt;&gt;"No DD"),SUMPRODUCT((J$4:J$11&lt;&gt;"")*(J$4:J$11&lt;&gt;"No DD")*(F$4:F$11&gt;F8))+1,IF(J8="No DD",SUMPRODUCT((J$4:J$11="No DD")*(F$4:F$11&gt;F8))+1+SUMPRODUCT((J$4:J$11&lt;&gt;"")*(J$4:J$11&lt;&gt;"No DD")),""))</f>
        <v/>
      </c>
      <c r="B8" s="4" t="str" cm="1">
        <f t="array" ref="B8">IF(AND(J8&lt;&gt;"",J8&lt;&gt;"No DD",G8=""),SUMPRODUCT((J$4:J$11&lt;&gt;"")*(J$4:J$11&lt;&gt;"No DD")*(G$4:G$11="")*(F$4:F$11&gt;F8))+1,IF(J8="No DD",SUMPRODUCT((J$4:J$11="No DD")*(F$4:F$11&gt;F8)*(G$4:G$11=""))+1+SUMPRODUCT((J$4:J$11&lt;&gt;"")*(G$4:G$11="")*(J$4:J$11&lt;&gt;"No DD")),""))</f>
        <v/>
      </c>
      <c r="C8" s="5" t="s">
        <v>158</v>
      </c>
      <c r="D8" s="4" t="s">
        <v>5</v>
      </c>
      <c r="E8" s="4">
        <v>2008</v>
      </c>
      <c r="F8" s="9">
        <f>SUM(L8:V8)+SUM(L8:T8)*0.0000001+SUM(L8)*0.0000000000001</f>
        <v>171.58001715800484</v>
      </c>
      <c r="G8" s="64"/>
      <c r="H8" s="3" t="str">
        <f>IF(OR(AND(AO8&gt;=AY$13,AO8&lt;&gt;"",AQ8&gt;=AY$17,AQ8&lt;&gt;"",AN8=""),AND(AR8&gt;=AY$13,AR8&lt;&gt;"",AT8&gt;=AY$17,AT8&lt;&gt;"",AN8=""),AND(AV8&gt;=AY$13,AV8&lt;&gt;"",AX8&gt;=AY$17,AX8&lt;&gt;"",AN8=""),AND(BP8&gt;=BZ$13,BP8&lt;&gt;"",BR8&gt;=BZ$17,BR8&lt;&gt;"",BO8=""),AND(BS8&gt;=BZ$13,BS8&lt;&gt;"",BU8&gt;=BZ$17,BU8&lt;&gt;"",BO8=""),AND(BW8&gt;=BZ$13,BW8&lt;&gt;"",BY8&gt;=BZ$17,BY8&lt;&gt;"",BO8=""),AND(CQ8&gt;=DA$13,CQ8&lt;&gt;"",CS8&gt;=DA$17,CS8&lt;&gt;"",CP8=""),AND(CT8&gt;=DA$13,CT8&lt;&gt;"",CV8&gt;=DA$17,CV8&lt;&gt;"",CP8=""),AND(CX8&gt;=DA$13,CX8&lt;&gt;"",CZ8&gt;=DA$17,CZ8&lt;&gt;"",CP8=""),AND(DX8&gt;=EK$13,DX8&lt;&gt;"",DZ8&gt;=EK$17,DZ8&lt;&gt;""),AND(EA8&gt;=EK$13,EA8&lt;&gt;"",EC8&gt;=EK$17,EC8&lt;&gt;""),AND(EE8&gt;=EK$13,EE8&lt;&gt;"",EG8&gt;=EK$17,EG8&lt;&gt;""),AND(EH8&gt;=EK$13,EH8&lt;&gt;"",EJ8&gt;=EK$17,EJ8&lt;&gt;""),AND(FF8&gt;=FS$13,FF8&lt;&gt;"",FH8&gt;=FS$17,FH8&lt;&gt;""),AND(FI8&gt;=FS$13,FI8&lt;&gt;"",FK8&gt;=FS$17,FK8&lt;&gt;""),AND(FM8&gt;=FS$13,FM8&lt;&gt;"",FO8&gt;=FS$17,FO8&lt;&gt;""),AND(FP8&gt;=FS$13,FP8&lt;&gt;"",FR8&gt;=FS$17,FR8&lt;&gt;""),AND(GN8&gt;=HA$13,GN8&lt;&gt;"",GP8&gt;=HA$17,GP8&lt;&gt;""),AND(GQ8&gt;=HA$13,GQ8&lt;&gt;"",GS8&gt;=HA$17,GS8&lt;&gt;""),AND(GU8&gt;=HA$13,GU8&lt;&gt;"",GW8&gt;=HA$17,GW8&lt;&gt;""),AND(GX8&gt;=HA$13,GX8&lt;&gt;"",GZ8&gt;=HA$17,GZ8&lt;&gt;""),AND(HV8&gt;=II$13,HV8&lt;&gt;"",HX8&gt;=II$17,HX8&lt;&gt;""),AND(HY8&gt;=II$13,HY8&lt;&gt;"",IA8&gt;=II$17,IA8&lt;&gt;""),AND(IC8&gt;=II$13,IC8&lt;&gt;"",IE8&gt;=II$17,IE8&lt;&gt;""),AND(IF8&gt;=II$13,IF8&lt;&gt;"",IH8&gt;=II$17,IH8&lt;&gt;""),AND(JD8&gt;=JQ$13,JD8&lt;&gt;"",JF8&gt;=JQ$17,JF8&lt;&gt;""),AND(JG8&gt;=JQ$13,JG8&lt;&gt;"",JI8&gt;=JQ$17,JI8&lt;&gt;""),AND(JK8&gt;=JQ$13,JK8&lt;&gt;"",JM8&gt;=JQ$17,JM8&lt;&gt;""),AND(JN8&gt;=JQ$13,JN8&lt;&gt;"",JP8&gt;=JQ$17,JP8&lt;&gt;""),AND(KL8&gt;=KY$13,KL8&lt;&gt;"",KN8&gt;=KY$17,KN8&lt;&gt;""),AND(KO8&gt;=KY$13,KO8&lt;&gt;"",KQ8&gt;=KY$17,KQ8&lt;&gt;""),AND(KS8&gt;=KY$13,KS8&lt;&gt;"",KU8&gt;=KY$17,KU8&lt;&gt;""),AND(KV8&gt;=KY$13,KV8&lt;&gt;"",KX8&gt;=KY$17,KX8&lt;&gt;""),AND(LT8&gt;=MG$13,LT8&lt;&gt;"",LV8&gt;=MG$17,LV8&lt;&gt;""),AND(LW8&gt;=MG$13,LW8&lt;&gt;"",LY8&gt;=MG$17,LY8&lt;&gt;""),AND(MA8&gt;=MG$13,MA8&lt;&gt;"",MC8&gt;=MG$17,MC8&lt;&gt;""),AND(MD8&gt;=MG$13,MD8&lt;&gt;"",MF8&gt;=MG$17,MF8&lt;&gt;""),AND(NB8&gt;=NO$13,NB8&lt;&gt;"",ND8&gt;=NO$17,ND8&lt;&gt;""),AND(NE8&gt;=NO$13,NE8&lt;&gt;"",NG8&gt;=NO$17,NG8&lt;&gt;""),AND(NI8&gt;=NO$13,NI8&lt;&gt;"",NK8&gt;=NO$17,NK8&lt;&gt;""),AND(NL8&gt;=NO$13,NL8&lt;&gt;"",NN8&gt;=NO$17,NN8&lt;&gt;""),AND(OJ8&gt;=OW$13,OJ8&lt;&gt;"",OL8&gt;=OW$17,OL8&lt;&gt;""),AND(OM8&gt;=OW$13,OM8&lt;&gt;"",OO8&gt;=OW$17,OO8&lt;&gt;""),AND(OQ8&gt;=OW$13,OQ8&lt;&gt;"",OS8&gt;=OW$17,OS8&lt;&gt;""),AND(OT8&gt;=OW$13,OT8&lt;&gt;"",OV8&gt;=OW$17,OV8&lt;&gt;""),AND(PR8&gt;=QE$13,PR8&lt;&gt;"",PT8&gt;=QE$17,PT8&lt;&gt;""),AND(PU8&gt;=QE$13,PU8&lt;&gt;"",PW8&gt;=QE$17,PW8&lt;&gt;""),AND(PY8&gt;=QE$13,PY8&lt;&gt;"",QA8&gt;=QE$17,QA8&lt;&gt;""),AND(QB8&gt;=QE$13,QB8&lt;&gt;"",QD8&gt;=QE$17,QD8&lt;&gt;""),AND(QZ8&gt;=RM$13,QZ8&lt;&gt;"",RB8&gt;=RM$17,RB8&lt;&gt;""),AND(RC8&gt;=RM$13,RC8&lt;&gt;"",RE8&gt;=RM$17,RE8&lt;&gt;""),AND(RG8&gt;=RM$13,RG8&lt;&gt;"",RI8&gt;=RM$17,RI8&lt;&gt;""),AND(RJ8&gt;=RM$13,RJ8&lt;&gt;"",RL8&gt;=RM$17,RL8&lt;&gt;""),AND(SH8&gt;=SU$13,SH8&lt;&gt;"",SJ8&gt;=SU$17,SJ8&lt;&gt;""),AND(SK8&gt;=SU$13,SK8&lt;&gt;"",SM8&gt;=SU$17,SM8&lt;&gt;""),AND(SO8&gt;=SU$13,SO8&lt;&gt;"",SQ8&gt;=SU$17,SQ8&lt;&gt;""),AND(SR8&gt;=SU$13,SR8&lt;&gt;"",ST8&gt;=SU$17,ST8&lt;&gt;"")),"P","")</f>
        <v/>
      </c>
      <c r="I8" s="3" t="str">
        <f>IF(OR(AND(AQ8&gt;=AY$17,AQ8&lt;&gt;"",AN8=""),AND(AT8&gt;=AY$17,AT8&lt;&gt;"",AN8=""),AND(AX8&gt;=AY$17,AX8&lt;&gt;"",AN8=""),AND(BR8&gt;=BZ$17,BR8&lt;&gt;"",BO8=""),AND(BU8&gt;=BZ$17,BU8&lt;&gt;"",BO8=""),AND(BY8&gt;=BZ$17,BY8&lt;&gt;"",BO8=""),AND(CS8&gt;=DA$17,CS8&lt;&gt;"",CP8=""),AND(CV8&gt;=DA$17,CV8&lt;&gt;"",CP8=""),AND(CZ8&gt;=DA$17,CZ8&lt;&gt;"",CP8=""),AND(DZ8&gt;=EK$17,DZ8&lt;&gt;""),AND(EC8&gt;=EK$17,EC8&lt;&gt;""),AND(EG8&gt;=EK$17,EG8&lt;&gt;""),AND(EJ8&gt;=EK$17,EJ8&lt;&gt;""),AND(FH8&gt;=FS$17,FH8&lt;&gt;""),AND(FK8&gt;=FS$17,FK8&lt;&gt;""),AND(FO8&gt;=FS$17,FO8&lt;&gt;""),AND(FR8&gt;=FS$17,FR8&lt;&gt;""),AND(GP8&gt;=HA$17,GP8&lt;&gt;""),AND(GS8&gt;=HA$17,GS8&lt;&gt;""),AND(GW8&gt;=HA$17,GW8&lt;&gt;""),AND(GZ8&gt;=HA$17,GZ8&lt;&gt;""),AND(HX8&gt;=II$17,HX8&lt;&gt;""),AND(IA8&gt;=II$17,IA8&lt;&gt;""),AND(IE8&gt;=II$17,IE8&lt;&gt;""),AND(IH8&gt;=II$17,IH8&lt;&gt;""),AND(JF8&gt;=JQ$17,JF8&lt;&gt;""),AND(JI8&gt;=JQ$17,JI8&lt;&gt;""),AND(JM8&gt;=JQ$17,JM8&lt;&gt;""),AND(JP8&gt;=JQ$17,JP8&lt;&gt;""),AND(KN8&gt;=KY$17,KN8&lt;&gt;""),AND(KQ8&gt;=KY$17,KQ8&lt;&gt;""),AND(KU8&gt;=KY$17,KU8&lt;&gt;""),AND(KX8&gt;=KY$17,KX8&lt;&gt;""),AND(LV8&gt;=MG$17,LV8&lt;&gt;""),AND(LY8&gt;=MG$17,LY8&lt;&gt;""),AND(MC8&gt;=MG$17,MC8&lt;&gt;""),AND(MF8&gt;=MG$17,MF8&lt;&gt;""),AND(ND8&gt;=NO$17,ND8&lt;&gt;""),AND(NG8&gt;=NO$17,NG8&lt;&gt;""),AND(NK8&gt;=NO$17,NK8&lt;&gt;""),AND(NN8&gt;=NO$17,NN8&lt;&gt;""),AND(OL8&gt;=OW$17,OL8&lt;&gt;""),AND(OO8&gt;=OW$17,OO8&lt;&gt;""),AND(OS8&gt;=OW$17,OS8&lt;&gt;""),AND(OV8&gt;=OW$17,OV8&lt;&gt;""),AND(PT8&gt;=QE$17,PT8&lt;&gt;""),AND(PW8&gt;=QE$17,PW8&lt;&gt;""),AND(QA8&gt;=QE$17,QA8&lt;&gt;""),AND(QD8&gt;=QE$17,QD8&lt;&gt;""),AND(RB8&gt;=RM$17,RB8&lt;&gt;""),AND(RE8&gt;=RM$17,RE8&lt;&gt;""),AND(RI8&gt;=RM$17,RI8&lt;&gt;""),AND(RL8&gt;=RM$17,RL8&lt;&gt;""),AND(SJ8&gt;=SU$17,SJ8&lt;&gt;""),AND(SM8&gt;=SU$17,SM8&lt;&gt;""),AND(SQ8&gt;=SU$17,SQ8&lt;&gt;""),AND(ST8&gt;=SU$17,ST8&lt;&gt;"")),"P","")</f>
        <v/>
      </c>
      <c r="J8" s="36" t="str">
        <f>IF(AND(I8="P",H8=""),"No DD",IF(OR(AND(AO8&gt;=AY$16,AO8&lt;&gt;"",AQ8&gt;=AY$20,AQ8&lt;&gt;"",AN8=""),AND(AR8&gt;=AY$16,AR8&lt;&gt;"",AT8&gt;=AY$20,AT8&lt;&gt;"",AN8=""),AND(AV8&gt;=AY$16,AV8&lt;&gt;"",AX8&gt;=AY$20,AX8&lt;&gt;"",AN8=""),AND(BP8&gt;=BZ$16,BP8&lt;&gt;"",BR8&gt;=BZ$20,BR8&lt;&gt;"",BO8=""),AND(BS8&gt;=BZ$16,BS8&lt;&gt;"",BU8&gt;=BZ$20,BU8&lt;&gt;"",BO8=""),AND(BW8&gt;=BZ$16,BW8&lt;&gt;"",BY8&gt;=BZ$20,BY8&lt;&gt;"",BO8=""),AND(CQ8&gt;=DA$16,CQ8&lt;&gt;"",CS8&gt;=DA$20,CS8&lt;&gt;"",CP8=""),AND(CT8&gt;=DA$16,CT8&lt;&gt;"",CV8&gt;=DA$20,CV8&lt;&gt;"",CP8=""),AND(CX8&gt;=DA$16,CX8&lt;&gt;"",CZ8&gt;=DA$20,CZ8&lt;&gt;"",CP8=""),AND(DX8&gt;=EK$16,DX8&lt;&gt;"",DZ8&gt;=EK$20,DZ8&lt;&gt;""),AND(EA8&gt;=EK$16,EA8&lt;&gt;"",EC8&gt;=EK$20,EC8&lt;&gt;""),AND(EE8&gt;=EK$16,EE8&lt;&gt;"",EG8&gt;=EK$20,EG8&lt;&gt;""),AND(EH8&gt;=EK$16,EH8&lt;&gt;"",EJ8&gt;=EK$20,EJ8&lt;&gt;""),AND(FF8&gt;=FS$16,FF8&lt;&gt;"",FH8&gt;=FS$20,FH8&lt;&gt;""),AND(FI8&gt;=FS$16,FI8&lt;&gt;"",FK8&gt;=FS$20,FK8&lt;&gt;""),AND(FM8&gt;=FS$16,FM8&lt;&gt;"",FO8&gt;=FS$20,FO8&lt;&gt;""),AND(FP8&gt;=FS$16,FP8&lt;&gt;"",FR8&gt;=FS$20,FR8&lt;&gt;""),AND(GN8&gt;=HA$16,GN8&lt;&gt;"",GP8&gt;=HA$20,GP8&lt;&gt;""),AND(GQ8&gt;=HA$16,GQ8&lt;&gt;"",GS8&gt;=HA$20,GS8&lt;&gt;""),AND(GU8&gt;=HA$16,GU8&lt;&gt;"",GW8&gt;=HA$20,GW8&lt;&gt;""),AND(GX8&gt;=HA$16,GX8&lt;&gt;"",GZ8&gt;=HA$20,GZ8&lt;&gt;""),AND(HV8&gt;=II$16,HV8&lt;&gt;"",HX8&gt;=II$20,HX8&lt;&gt;""),AND(HY8&gt;=II$16,HY8&lt;&gt;"",IA8&gt;=II$20,IA8&lt;&gt;""),AND(IC8&gt;=II$16,IC8&lt;&gt;"",IE8&gt;=II$20,IE8&lt;&gt;""),AND(IF8&gt;=II$16,IF8&lt;&gt;"",IH8&gt;=II$20,IH8&lt;&gt;""),AND(JD8&gt;=JQ$16,JD8&lt;&gt;"",JF8&gt;=JQ$20,JF8&lt;&gt;""),AND(JG8&gt;=JQ$16,JG8&lt;&gt;"",JI8&gt;=JQ$20,JI8&lt;&gt;""),AND(JK8&gt;=JQ$16,JK8&lt;&gt;"",JM8&gt;=JQ$20,JM8&lt;&gt;""),AND(JN8&gt;=JQ$16,JN8&lt;&gt;"",JP8&gt;=JQ$20,JP8&lt;&gt;""),AND(KL8&gt;=KY$16,KL8&lt;&gt;"",KN8&gt;=KY$20,KN8&lt;&gt;""),AND(KO8&gt;=KY$16,KO8&lt;&gt;"",KQ8&gt;=KY$20,KQ8&lt;&gt;""),AND(KS8&gt;=KY$16,KS8&lt;&gt;"",KU8&gt;=KY$20,KU8&lt;&gt;""),AND(KV8&gt;=KY$16,KV8&lt;&gt;"",KX8&gt;=KY$20,KX8&lt;&gt;""),AND(LT8&gt;=MG$16,LT8&lt;&gt;"",LV8&gt;=MG$20,LV8&lt;&gt;""),AND(LW8&gt;=MG$16,LW8&lt;&gt;"",LY8&gt;=MG$20,LY8&lt;&gt;""),AND(MA8&gt;=MG$16,MA8&lt;&gt;"",MC8&gt;=MG$20,MC8&lt;&gt;""),AND(MD8&gt;=MG$16,MD8&lt;&gt;"",MF8&gt;=MG$20,MF8&lt;&gt;""),AND(NB8&gt;=NO$16,NB8&lt;&gt;"",ND8&gt;=NO$20,ND8&lt;&gt;""),AND(NE8&gt;=NO$16,NE8&lt;&gt;"",NG8&gt;=NO$20,NG8&lt;&gt;""),AND(NI8&gt;=NO$16,NI8&lt;&gt;"",NK8&gt;=NO$20,NK8&lt;&gt;""),AND(NL8&gt;=NO$16,NL8&lt;&gt;"",NN8&gt;=NO$20,NN8&lt;&gt;""),AND(OJ8&gt;=OW$16,OJ8&lt;&gt;"",OL8&gt;=OW$20,OL8&lt;&gt;""),AND(OM8&gt;=OW$16,OM8&lt;&gt;"",OO8&gt;=OW$20,OO8&lt;&gt;""),AND(OQ8&gt;=OW$16,OQ8&lt;&gt;"",OS8&gt;=OW$20,OS8&lt;&gt;""),AND(OT8&gt;=OW$16,OT8&lt;&gt;"",OV8&gt;=OW$20,OV8&lt;&gt;""),AND(PR8&gt;=QE$16,PR8&lt;&gt;"",PT8&gt;=QE$20,PT8&lt;&gt;""),AND(PU8&gt;=QE$16,PU8&lt;&gt;"",PW8&gt;=QE$20,PW8&lt;&gt;""),AND(PY8&gt;=QE$16,PY8&lt;&gt;"",QA8&gt;=QE$20,QA8&lt;&gt;""),AND(QB8&gt;=QE$16,QB8&lt;&gt;"",QD8&gt;=QE$20,QD8&lt;&gt;""),AND(QZ8&gt;=RM$16,QZ8&lt;&gt;"",RB8&gt;=RM$20,RB8&lt;&gt;""),AND(RC8&gt;=RM$16,RC8&lt;&gt;"",RE8&gt;=RM$20,RE8&lt;&gt;""),AND(RG8&gt;=RM$16,RG8&lt;&gt;"",RI8&gt;=RM$20,RI8&lt;&gt;""),AND(RJ8&gt;=RM$16,RJ8&lt;&gt;"",RL8&gt;=RM$20,RL8&lt;&gt;""),AND(SH8&gt;=SU$16,SH8&lt;&gt;"",SJ8&gt;=SU$20,SJ8&lt;&gt;""),AND(SK8&gt;=SU$16,SK8&lt;&gt;"",SM8&gt;=SU$20,SM8&lt;&gt;""),AND(SO8&gt;=SU$16,SO8&lt;&gt;"",SQ8&gt;=SU$20,SQ8&lt;&gt;""),AND(SR8&gt;=SU$16,SR8&lt;&gt;"",ST8&gt;=SU$20,ST8&lt;&gt;"")),"Merit",IF(OR(AND(AO8&gt;=AY$15,AO8&lt;&gt;"",AQ8&gt;=AY$19,AQ8&lt;&gt;"",AN8=""),AND(AR8&gt;=AY$15,AR8&lt;&gt;"",AT8&gt;=AY$19,AT8&lt;&gt;"",AN8=""),AND(AV8&gt;=AY$15,AV8&lt;&gt;"",AX8&gt;=AY$19,AX8&lt;&gt;"",AN8=""),AND(BP8&gt;=BZ$15,BP8&lt;&gt;"",BR8&gt;=BZ$19,BR8&lt;&gt;"",BO8=""),AND(BS8&gt;=BZ$15,BS8&lt;&gt;"",BU8&gt;=BZ$19,BU8&lt;&gt;"",BO8=""),AND(BW8&gt;=BZ$15,BW8&lt;&gt;"",BY8&gt;=BZ$19,BY8&lt;&gt;"",BO8=""),AND(CQ8&gt;=DA$15,CQ8&lt;&gt;"",CS8&gt;=DA$19,CS8&lt;&gt;"",CP8=""),AND(CT8&gt;=DA$15,CT8&lt;&gt;"",CV8&gt;=DA$19,CV8&lt;&gt;"",CP8=""),AND(CX8&gt;=DA$15,CX8&lt;&gt;"",CZ8&gt;=DA$19,CZ8&lt;&gt;"",CP8=""),AND(DX8&gt;=EK$15,DX8&lt;&gt;"",DZ8&gt;=EK$19,DZ8&lt;&gt;""),AND(EA8&gt;=EK$15,EA8&lt;&gt;"",EC8&gt;=EK$19,EC8&lt;&gt;""),AND(EE8&gt;=EK$15,EE8&lt;&gt;"",EG8&gt;=EK$19,EG8&lt;&gt;""),AND(EH8&gt;=EK$15,EH8&lt;&gt;"",EJ8&gt;=EK$19,EJ8&lt;&gt;""),AND(FF8&gt;=FS$15,FF8&lt;&gt;"",FH8&gt;=FS$19,FH8&lt;&gt;""),AND(FI8&gt;=FS$15,FI8&lt;&gt;"",FK8&gt;=FS$19,FK8&lt;&gt;""),AND(FM8&gt;=FS$15,FM8&lt;&gt;"",FO8&gt;=FS$19,FO8&lt;&gt;""),AND(FP8&gt;=FS$15,FP8&lt;&gt;"",FR8&gt;=FS$19,FR8&lt;&gt;""),AND(GN8&gt;=HA$15,GN8&lt;&gt;"",GP8&gt;=HA$19,GP8&lt;&gt;""),AND(GQ8&gt;=HA$15,GQ8&lt;&gt;"",GS8&gt;=HA$19,GS8&lt;&gt;""),AND(GU8&gt;=HA$15,GU8&lt;&gt;"",GW8&gt;=HA$19,GW8&lt;&gt;""),AND(GX8&gt;=HA$15,GX8&lt;&gt;"",GZ8&gt;=HA$19,GZ8&lt;&gt;""),AND(HV8&gt;=II$15,HV8&lt;&gt;"",HX8&gt;=II$19,HX8&lt;&gt;""),AND(HY8&gt;=II$15,HY8&lt;&gt;"",IA8&gt;=II$19,IA8&lt;&gt;""),AND(IC8&gt;=II$15,IC8&lt;&gt;"",IE8&gt;=II$19,IE8&lt;&gt;""),AND(IF8&gt;=II$15,IF8&lt;&gt;"",IH8&gt;=II$19,IH8&lt;&gt;""),AND(JD8&gt;=JQ$15,JD8&lt;&gt;"",JF8&gt;=JQ$19,JF8&lt;&gt;""),AND(JG8&gt;=JQ$15,JG8&lt;&gt;"",JI8&gt;=JQ$19,JI8&lt;&gt;""),AND(JK8&gt;=JQ$15,JK8&lt;&gt;"",JM8&gt;=JQ$19,JM8&lt;&gt;""),AND(JN8&gt;=JQ$15,JN8&lt;&gt;"",JP8&gt;=JQ$19,JP8&lt;&gt;""),AND(KL8&gt;=KY$15,KL8&lt;&gt;"",KN8&gt;=KY$19,KN8&lt;&gt;""),AND(KO8&gt;=KY$15,KO8&lt;&gt;"",KQ8&gt;=KY$19,KQ8&lt;&gt;""),AND(KS8&gt;=KY$15,KS8&lt;&gt;"",KU8&gt;=KY$19,KU8&lt;&gt;""),AND(KV8&gt;=KY$15,KV8&lt;&gt;"",KX8&gt;=KY$19,KX8&lt;&gt;""),AND(LT8&gt;=MG$15,LT8&lt;&gt;"",LV8&gt;=MG$19,LV8&lt;&gt;""),AND(LW8&gt;=MG$15,LW8&lt;&gt;"",LY8&gt;=MG$19,LY8&lt;&gt;""),AND(MA8&gt;=MG$15,MA8&lt;&gt;"",MC8&gt;=MG$19,MC8&lt;&gt;""),AND(MD8&gt;=MG$15,MD8&lt;&gt;"",MF8&gt;=MG$19,MF8&lt;&gt;""),AND(NB8&gt;=NO$15,NB8&lt;&gt;"",ND8&gt;=NO$19,ND8&lt;&gt;""),AND(NE8&gt;=NO$15,NE8&lt;&gt;"",NG8&gt;=NO$19,NG8&lt;&gt;""),AND(NI8&gt;=NO$15,NI8&lt;&gt;"",NK8&gt;=NO$19,NK8&lt;&gt;""),AND(NL8&gt;=NO$15,NL8&lt;&gt;"",NN8&gt;=NO$19,NN8&lt;&gt;""),AND(OJ8&gt;=OW$15,OJ8&lt;&gt;"",OL8&gt;=OW$19,OL8&lt;&gt;""),AND(OM8&gt;=OW$15,OM8&lt;&gt;"",OO8&gt;=OW$19,OO8&lt;&gt;""),AND(OQ8&gt;=OW$15,OQ8&lt;&gt;"",OS8&gt;=OW$19,OS8&lt;&gt;""),AND(OT8&gt;=OW$15,OT8&lt;&gt;"",OV8&gt;=OW$19,OV8&lt;&gt;""),AND(PR8&gt;=QE$15,PR8&lt;&gt;"",PT8&gt;=QE$19,PT8&lt;&gt;""),AND(PU8&gt;=QE$15,PU8&lt;&gt;"",PW8&gt;=QE$19,PW8&lt;&gt;""),AND(PY8&gt;=QE$15,PY8&lt;&gt;"",QA8&gt;=QE$19,QA8&lt;&gt;""),AND(QB8&gt;=QE$15,QB8&lt;&gt;"",QD8&gt;=QE$19,QD8&lt;&gt;""),AND(QZ8&gt;=RM$15,QZ8&lt;&gt;"",RB8&gt;=RM$19,RB8&lt;&gt;""),AND(RC8&gt;=RM$15,RC8&lt;&gt;"",RE8&gt;=RM$19,RE8&lt;&gt;""),AND(RG8&gt;=RM$15,RG8&lt;&gt;"",RI8&gt;=RM$19,RI8&lt;&gt;""),AND(RJ8&gt;=RM$15,RJ8&lt;&gt;"",RL8&gt;=RM$19,RL8&lt;&gt;""),AND(SH8&gt;=SU$15,SH8&lt;&gt;"",SJ8&gt;=SU$19,SJ8&lt;&gt;""),AND(SK8&gt;=SU$15,SK8&lt;&gt;"",SM8&gt;=SU$19,SM8&lt;&gt;""),AND(SO8&gt;=SU$15,SO8&lt;&gt;"",SQ8&gt;=SU$19,SQ8&lt;&gt;""),AND(SR8&gt;=SU$15,SR8&lt;&gt;"",ST8&gt;=SU$19,ST8&lt;&gt;"")),"Excellence",IF(K8="P","Worlds Team",IF(H8="P","National Team","")))))</f>
        <v/>
      </c>
      <c r="K8" s="3" t="str">
        <f>IF(OR(AND(AO8&gt;=AY$14,AO8&lt;&gt;"",AQ8&gt;=AY$18,AQ8&lt;&gt;"",AN8=""),AND(AR8&gt;=AY$14,AR8&lt;&gt;"",AT8&gt;=AY$18,AT8&lt;&gt;"",AN8=""),AND(AV8&gt;=AY$14,AV8&lt;&gt;"",AX8&gt;=AY$18,AX8&lt;&gt;"",AN8=""),AND(BP8&gt;=BZ$14,BP8&lt;&gt;"",BR8&gt;=BZ$18,BR8&lt;&gt;"",BO8=""),AND(BS8&gt;=BZ$14,BS8&lt;&gt;"",BU8&gt;=BZ$18,BU8&lt;&gt;"",BO8=""),AND(BW8&gt;=BZ$14,BW8&lt;&gt;"",BY8&gt;=BZ$18,BY8&lt;&gt;"",BO8=""),AND(CQ8&gt;=DA$14,CQ8&lt;&gt;"",CS8&gt;=DA$18,CS8&lt;&gt;"",CP8=""),AND(CT8&gt;=DA$14,CT8&lt;&gt;"",CV8&gt;=DA$18,CV8&lt;&gt;"",CP8=""),AND(CX8&gt;=DA$14,CX8&lt;&gt;"",CZ8&gt;=DA$18,CZ8&lt;&gt;"",CP8=""),AND(DX8&gt;=EK$14,DX8&lt;&gt;"",DZ8&gt;=EK$18,DZ8&lt;&gt;""),AND(EA8&gt;=EK$14,EA8&lt;&gt;"",EC8&gt;=EK$18,EC8&lt;&gt;""),AND(EE8&gt;=EK$14,EE8&lt;&gt;"",EG8&gt;=EK$18,EG8&lt;&gt;""),AND(EH8&gt;=EK$14,EH8&lt;&gt;"",EJ8&gt;=EK$18,EJ8&lt;&gt;""),AND(FF8&gt;=FS$14,FF8&lt;&gt;"",FH8&gt;=FS$18,FH8&lt;&gt;""),AND(FI8&gt;=FS$14,FI8&lt;&gt;"",FK8&gt;=FS$18,FK8&lt;&gt;""),AND(FM8&gt;=FS$14,FM8&lt;&gt;"",FO8&gt;=FS$18,FO8&lt;&gt;""),AND(FP8&gt;=FS$14,FP8&lt;&gt;"",FR8&gt;=FS$18,FR8&lt;&gt;""),AND(GN8&gt;=HA$14,GN8&lt;&gt;"",GP8&gt;=HA$18,GP8&lt;&gt;""),AND(GQ8&gt;=HA$14,GQ8&lt;&gt;"",GS8&gt;=HA$18,GS8&lt;&gt;""),AND(GU8&gt;=HA$14,GU8&lt;&gt;"",GW8&gt;=HA$18,GW8&lt;&gt;""),AND(GX8&gt;=HA$14,GX8&lt;&gt;"",GZ8&gt;=HA$18,GZ8&lt;&gt;""),AND(HV8&gt;=II$14,HV8&lt;&gt;"",HX8&gt;=II$18,HX8&lt;&gt;""),AND(HY8&gt;=II$14,HY8&lt;&gt;"",IA8&gt;=II$18,IA8&lt;&gt;""),AND(IC8&gt;=II$14,IC8&lt;&gt;"",IE8&gt;=II$18,IE8&lt;&gt;""),AND(IF8&gt;=II$14,IF8&lt;&gt;"",IH8&gt;=II$18,IH8&lt;&gt;""),AND(JD8&gt;=JQ$14,JD8&lt;&gt;"",JF8&gt;=JQ$18,JF8&lt;&gt;""),AND(JG8&gt;=JQ$14,JG8&lt;&gt;"",JI8&gt;=JQ$18,JI8&lt;&gt;""),AND(JK8&gt;=JQ$14,JK8&lt;&gt;"",JM8&gt;=JQ$18,JM8&lt;&gt;""),AND(JN8&gt;=JQ$14,JN8&lt;&gt;"",JP8&gt;=JQ$18,JP8&lt;&gt;""),AND(KL8&gt;=KY$14,KL8&lt;&gt;"",KN8&gt;=KY$18,KN8&lt;&gt;""),AND(KO8&gt;=KY$14,KO8&lt;&gt;"",KQ8&gt;=KY$18,KQ8&lt;&gt;""),AND(KS8&gt;=KY$14,KS8&lt;&gt;"",KU8&gt;=KY$18,KU8&lt;&gt;""),AND(KV8&gt;=KY$14,KV8&lt;&gt;"",KX8&gt;=KY$18,KX8&lt;&gt;""),AND(LT8&gt;=MG$14,LT8&lt;&gt;"",LV8&gt;=MG$18,LV8&lt;&gt;""),AND(LW8&gt;=MG$14,LW8&lt;&gt;"",LY8&gt;=MG$18,LY8&lt;&gt;""),AND(MA8&gt;=MG$14,MA8&lt;&gt;"",MC8&gt;=MG$18,MC8&lt;&gt;""),AND(MD8&gt;=MG$14,MD8&lt;&gt;"",MF8&gt;=MG$18,MF8&lt;&gt;""),AND(NB8&gt;=NO$14,NB8&lt;&gt;"",ND8&gt;=NO$18,ND8&lt;&gt;""),AND(NE8&gt;=NO$14,NE8&lt;&gt;"",NG8&gt;=NO$18,NG8&lt;&gt;""),AND(NI8&gt;=NO$14,NI8&lt;&gt;"",NK8&gt;=NO$18,NK8&lt;&gt;""),AND(NL8&gt;=NO$14,NL8&lt;&gt;"",NN8&gt;=NO$18,NN8&lt;&gt;""),AND(OJ8&gt;=OW$14,OJ8&lt;&gt;"",OL8&gt;=OW$18,OL8&lt;&gt;""),AND(OM8&gt;=OW$14,OM8&lt;&gt;"",OO8&gt;=OW$18,OO8&lt;&gt;""),AND(OQ8&gt;=OW$14,OQ8&lt;&gt;"",OS8&gt;=OW$18,OS8&lt;&gt;""),AND(OT8&gt;=OW$14,OT8&lt;&gt;"",OV8&gt;=OW$18,OV8&lt;&gt;""),AND(PR8&gt;=QE$14,PR8&lt;&gt;"",PT8&gt;=QE$18,PT8&lt;&gt;""),AND(PU8&gt;=QE$14,PU8&lt;&gt;"",PW8&gt;=QE$18,PW8&lt;&gt;""),AND(PY8&gt;=QE$14,PY8&lt;&gt;"",QA8&gt;=QE$18,QA8&lt;&gt;""),AND(QB8&gt;=QE$14,QB8&lt;&gt;"",QD8&gt;=QE$18,QD8&lt;&gt;""),AND(QZ8&gt;=RM$14,QZ8&lt;&gt;"",RB8&gt;=RM$18,RB8&lt;&gt;""),AND(RC8&gt;=RM$14,RC8&lt;&gt;"",RE8&gt;=RM$18,RE8&lt;&gt;""),AND(RG8&gt;=RM$14,RG8&lt;&gt;"",RI8&gt;=RM$18,RI8&lt;&gt;""),AND(RJ8&gt;=RM$14,RJ8&lt;&gt;"",RL8&gt;=RM$18,RL8&lt;&gt;""),AND(SH8&gt;=SU$14,SH8&lt;&gt;"",SJ8&gt;=SU$18,SJ8&lt;&gt;""),AND(SK8&gt;=SU$14,SK8&lt;&gt;"",SM8&gt;=SU$18,SM8&lt;&gt;""),AND(SO8&gt;=SU$14,SO8&lt;&gt;"",SQ8&gt;=SU$18,SQ8&lt;&gt;""),AND(SR8&gt;=SU$14,SR8&lt;&gt;"",ST8&gt;=SU$18,ST8&lt;&gt;"")),"P","")</f>
        <v/>
      </c>
      <c r="L8" s="8">
        <f>IF(COUNT(AQ8,AT8,BR8,BU8,CS8,CV8)&gt;0,LARGE((AQ8,AT8,BR8,BU8,CS8,CV8),1),0)</f>
        <v>48.58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48.37</v>
      </c>
      <c r="O8" s="8" t="str">
        <f>IF(N8="","",IF(OR(N8=CS8,N8=CV8),$CA$1,IF(OR(N8=BR8,N8=BU8),$AZ$1,IF(OR(N8=AQ8,N8=AT8),$Y$1,""))))</f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>IF(P8="","",IF(P8=CZ8,$CA$1,IF(P8=BY8,$AZ$1,IF(P8=AX8,$Y$1,IF(OR(P8=CS8,P8=CV8,P8=CZ8),$CA$1,IF(OR(P8=BR8,P8=BU8,P8=BY8),$AZ$1,IF(OR(P8=AQ8,P8=AT8,P8=AX8),$Y$1,"")))))))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&gt;0,MAX(IF(AO8&gt;=$AY$13,AP8,0),IF(AR8&gt;=$AY$13,AS8,0),IF(AV8&gt;=$AY$13,AW8,0),IF(BP8&gt;=$BZ$13,BQ8,0),IF(BS8&gt;=$BZ$13,BT8,0),IF(BW8&gt;=$BZ$13,BX8,0),IF(CQ8&gt;=$DA$13,CR8,0),IF(CT8&gt;=$DA$13,CU8,0),IF(CX8&gt;=$DA$13,CY8,0),IF(DX8&gt;=$EK$13,DY8,0),IF(EA8&gt;=$EK$13,EB8,0),IF(EE8&gt;=$EK$13,EF8,0),IF(EH8&gt;=$EK$13,EI8,0),IF(FF8&gt;=$FS$13,FG8,0),IF(FI8&gt;=$FS$13,FJ8,0),IF(FM8&gt;=$FS$13,FN8,0),IF(FP8&gt;=$FS$13,FQ8,0),IF(GN8&gt;=$HA$13,GO8,0),IF(GQ8&gt;=$HA$13,GR8,0),IF(GU8&gt;=$HA$13,GV8,0),IF(GX8&gt;=$HA$13,GY8,0),IF(HV8&gt;=$II$13,HW8,0),IF(HY8&gt;=$II$13,HZ8,0),IF(IC8&gt;=$II$13,ID8,0),IF(IF8&gt;=$II$13,IG8,0),IF(JD8&gt;=$JQ$13,JE8,0),IF(JG8&gt;=$JQ$13,JH8,0),IF(JK8&gt;=$JQ$13,JL8,0),IF(JN8&gt;=$JQ$13,JO8,0),IF(KL8&gt;=$KY$13,KM8,0),IF(KO8&gt;=$KY$13,KP8,0),IF(KS8&gt;=$KY$13,KT8,0),IF(KV8&gt;=$KY$13,KW8,0),IF(LT8&gt;=$MG$13,LU8,0),IF(LW8&gt;=$MG$13,LX8,0),IF(MA8&gt;=$MG$13,MB8,0),IF(MD8&gt;=$MG$13,ME8,0),IF(NB8&gt;=$NO$13,NC8,0),IF(NE8&gt;=$NO$13,NF8,0),IF(NI8&gt;=$NO$13,NJ8,0),IF(NL8&gt;=$NO$13,NM8,0),IF(OJ8&gt;=$OW$13,OK8,0),IF(OM8&gt;=$OW$13,ON8,0),IF(OQ8&gt;=$OW$13,OR8,0),IF(OT8&gt;=$OW$13,OU8,0),IF(PR8&gt;=$QE$13,PS8,0),IF(PU8&gt;=$QE$13,PV8,0),IF(PY8&gt;=$QE$13,PZ8,0),IF(QB8&gt;=$QE$13,QC8,0),IF(QZ8&gt;=$RM$13,RA8,0),IF(RC8&gt;=$RM$13,RD8,0),IF(RG8&gt;=$RM$13,RH8,0),IF(RJ8&gt;=$RM$13,RK8,0),IF(SH8&gt;=$SU$13,SI8,0),IF(SK8&gt;=$SU$13,SL8,0),IF(SO8&gt;=$SU$13,SP8,0),IF(SR8&gt;=$SU$13,SS8,0)),0)</f>
        <v>13.71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>IF(BB8&gt;0,BB8,"")</f>
        <v>12.7</v>
      </c>
      <c r="BQ8" s="39">
        <f>IF(BC8&gt;0,BC8,"")</f>
        <v>13.71</v>
      </c>
      <c r="BR8" s="11">
        <f>IF(SUM(AZ8:BC8)-BD8&gt;0,SUM(AZ8:BC8)-BD8,"")</f>
        <v>47.410000000000004</v>
      </c>
      <c r="BS8" s="11">
        <f>IF(BG8&gt;0,BG8,"")</f>
        <v>12.5</v>
      </c>
      <c r="BT8" s="11">
        <f>IF(BH8&gt;0,BH8,"")</f>
        <v>13.68</v>
      </c>
      <c r="BU8" s="11">
        <f>IF(SUM(BE8:BH8)-BI8&gt;0,SUM(BE8:BH8)-BI8,"")</f>
        <v>48.58</v>
      </c>
      <c r="BV8" s="11">
        <f>IF(BR8="","",MAX(BR8,BU8))</f>
        <v>48.58</v>
      </c>
      <c r="BW8" s="11">
        <f>IF(BL8&gt;0,BL8,"")</f>
        <v>12.7</v>
      </c>
      <c r="BX8" s="11">
        <f>IF(BM8&gt;0,BM8,"")</f>
        <v>13.31</v>
      </c>
      <c r="BY8" s="11">
        <f>IF(SUM(BJ8:BM8)-BN8&gt;0,SUM(BJ8:BM8)-BN8,"")</f>
        <v>48.21</v>
      </c>
      <c r="BZ8" s="11">
        <f>IF(SUM(BV8,BY8)&gt;0,SUM(BV8,BY8),"")</f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>IF(CC8&gt;0,CC8,"")</f>
        <v>11.5</v>
      </c>
      <c r="CR8" s="38">
        <f>IF(CD8&gt;0,CD8,"")</f>
        <v>13.52</v>
      </c>
      <c r="CS8" s="40">
        <f>IF(SUM(CA8:CD8)-CE8&gt;0,SUM(CA8:CD8)-CE8,"")</f>
        <v>48.22</v>
      </c>
      <c r="CT8" s="40">
        <f>IF(CH8&gt;0,CH8,"")</f>
        <v>12.3</v>
      </c>
      <c r="CU8" s="40">
        <f>IF(CI8&gt;0,CI8,"")</f>
        <v>13.87</v>
      </c>
      <c r="CV8" s="40">
        <f>IF(SUM(CF8:CI8)-CJ8&gt;0,SUM(CF8:CI8)-CJ8,"")</f>
        <v>48.37</v>
      </c>
      <c r="CW8" s="40">
        <f>IF(CS8="","",MAX(CS8,CV8))</f>
        <v>48.37</v>
      </c>
      <c r="CX8" s="40">
        <f>IF(CM8&gt;0,CM8,"")</f>
        <v>12.3</v>
      </c>
      <c r="CY8" s="40">
        <f>IF(CN8&gt;0,CN8,"")</f>
        <v>13.47</v>
      </c>
      <c r="CZ8" s="40">
        <f>IF(SUM(CK8:CN8)-CO8&gt;0,SUM(CK8:CN8)-CO8,"")</f>
        <v>47.370000000000005</v>
      </c>
      <c r="DA8" s="40">
        <f>IF(SUM(CW8,CZ8)&gt;0,SUM(CW8,CZ8),"")</f>
        <v>95.740000000000009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13.05</v>
      </c>
      <c r="SW8" s="22">
        <f>IF($CP8="P",CB8,(CB8+BA8)/2)</f>
        <v>9.0500000000000007</v>
      </c>
      <c r="SX8" s="22">
        <f>IF($CP8="P",CC8,(CC8+BB8)/2)</f>
        <v>12.1</v>
      </c>
      <c r="SY8" s="22">
        <f>IF($CP8="P",CD8,(CD8+BC8)/2)</f>
        <v>13.615</v>
      </c>
      <c r="SZ8" s="22">
        <f>IF($CP8="P",CE8,(CE8+BD8)/2)</f>
        <v>0</v>
      </c>
      <c r="TA8" s="22">
        <f>IF($CP8="P",CF8,(CF8+BE8)/2)</f>
        <v>13.1</v>
      </c>
      <c r="TB8" s="22">
        <f>IF($CP8="P",CG8,(CG8+BF8)/2)</f>
        <v>9.1999999999999993</v>
      </c>
      <c r="TC8" s="22">
        <f>IF($CP8="P",CH8,(CH8+BG8)/2)</f>
        <v>12.4</v>
      </c>
      <c r="TD8" s="22">
        <f>IF($CP8="P",CI8,(CI8+BH8)/2)</f>
        <v>13.774999999999999</v>
      </c>
      <c r="TE8" s="22">
        <f>IF($CP8="P",CJ8,(CJ8+BI8)/2)</f>
        <v>0</v>
      </c>
      <c r="TF8" s="22">
        <f>IF($CP8="P",CK8,(CK8+BJ8)/2)</f>
        <v>13.2</v>
      </c>
      <c r="TG8" s="22">
        <f>IF($CP8="P",CL8,(CL8+BK8)/2)</f>
        <v>8.6999999999999993</v>
      </c>
      <c r="TH8" s="22">
        <f>IF($CP8="P",CM8,(CM8+BL8)/2)</f>
        <v>12.5</v>
      </c>
      <c r="TI8" s="22">
        <f>IF($CP8="P",CN8,(CN8+BM8)/2)</f>
        <v>13.39</v>
      </c>
      <c r="TJ8" s="22">
        <f>IF($CP8="P",CO8,(CO8+BN8)/2)</f>
        <v>0</v>
      </c>
      <c r="TK8" s="27" t="s">
        <v>46</v>
      </c>
      <c r="TL8" s="40">
        <f>IF(SX8&gt;0,SX8,"")</f>
        <v>12.1</v>
      </c>
      <c r="TM8" s="40">
        <f>IF(SY8&gt;0,SY8,"")</f>
        <v>13.615</v>
      </c>
      <c r="TN8" s="40">
        <f>IF(SUM(SV8:SY8)-SZ8&gt;0,SUM(SV8:SY8)-SZ8,"")</f>
        <v>47.815000000000005</v>
      </c>
      <c r="TO8" s="40">
        <f>IF(TC8&gt;0,TC8,"")</f>
        <v>12.4</v>
      </c>
      <c r="TP8" s="40">
        <f>IF(TD8&gt;0,TD8,"")</f>
        <v>13.774999999999999</v>
      </c>
      <c r="TQ8" s="40">
        <f>IF(SUM(TA8:TD8)-TE8&gt;0,SUM(TA8:TD8)-TE8,"")</f>
        <v>48.474999999999994</v>
      </c>
      <c r="TR8" s="40">
        <f>IF(MAX(TN8,TQ8)&gt;0,MAX(TN8,TQ8),"")</f>
        <v>48.474999999999994</v>
      </c>
      <c r="TS8" s="40">
        <f>IF(TH8&gt;0,TH8,"")</f>
        <v>12.5</v>
      </c>
      <c r="TT8" s="40">
        <f>IF(TI8&gt;0,TI8,"")</f>
        <v>13.39</v>
      </c>
      <c r="TU8" s="40">
        <f>IF(SUM(TF8:TI8)-TJ8&gt;0,SUM(TF8:TI8)-TJ8,"")</f>
        <v>47.79</v>
      </c>
      <c r="TV8" s="40">
        <f>IF(SUM(TR8,TU8)&gt;0,SUM(TR8,TU8),"")</f>
        <v>96.264999999999986</v>
      </c>
    </row>
    <row r="9" spans="1:542" x14ac:dyDescent="0.2">
      <c r="A9" s="4" cm="1">
        <f t="array" ref="A9">IF(AND(J9&lt;&gt;"",J9&lt;&gt;"No DD"),SUMPRODUCT((J$4:J$11&lt;&gt;"")*(J$4:J$11&lt;&gt;"No DD")*(F$4:F$11&gt;F9))+1,IF(J9="No DD",SUMPRODUCT((J$4:J$11="No DD")*(F$4:F$11&gt;F9))+1+SUMPRODUCT((J$4:J$11&lt;&gt;"")*(J$4:J$11&lt;&gt;"No DD")),""))</f>
        <v>5</v>
      </c>
      <c r="B9" s="4" cm="1">
        <f t="array" ref="B9">IF(AND(J9&lt;&gt;"",J9&lt;&gt;"No DD",G9=""),SUMPRODUCT((J$4:J$11&lt;&gt;"")*(J$4:J$11&lt;&gt;"No DD")*(G$4:G$11="")*(F$4:F$11&gt;F9))+1,IF(J9="No DD",SUMPRODUCT((J$4:J$11="No DD")*(F$4:F$11&gt;F9)*(G$4:G$11=""))+1+SUMPRODUCT((J$4:J$11&lt;&gt;"")*(G$4:G$11="")*(J$4:J$11&lt;&gt;"No DD")),""))</f>
        <v>3</v>
      </c>
      <c r="C9" s="5" t="s">
        <v>96</v>
      </c>
      <c r="D9" s="4" t="s">
        <v>3</v>
      </c>
      <c r="E9" s="4">
        <v>2004</v>
      </c>
      <c r="F9" s="9">
        <f>SUM(L9:V9)+SUM(L9:T9)*0.0000001+SUM(L9)*0.0000000000001</f>
        <v>159.65001546900481</v>
      </c>
      <c r="G9" s="64"/>
      <c r="H9" s="3" t="str">
        <f>IF(OR(AND(AO9&gt;=AY$13,AO9&lt;&gt;"",AQ9&gt;=AY$17,AQ9&lt;&gt;"",AN9=""),AND(AR9&gt;=AY$13,AR9&lt;&gt;"",AT9&gt;=AY$17,AT9&lt;&gt;"",AN9=""),AND(AV9&gt;=AY$13,AV9&lt;&gt;"",AX9&gt;=AY$17,AX9&lt;&gt;"",AN9=""),AND(BP9&gt;=BZ$13,BP9&lt;&gt;"",BR9&gt;=BZ$17,BR9&lt;&gt;"",BO9=""),AND(BS9&gt;=BZ$13,BS9&lt;&gt;"",BU9&gt;=BZ$17,BU9&lt;&gt;"",BO9=""),AND(BW9&gt;=BZ$13,BW9&lt;&gt;"",BY9&gt;=BZ$17,BY9&lt;&gt;"",BO9=""),AND(CQ9&gt;=DA$13,CQ9&lt;&gt;"",CS9&gt;=DA$17,CS9&lt;&gt;"",CP9=""),AND(CT9&gt;=DA$13,CT9&lt;&gt;"",CV9&gt;=DA$17,CV9&lt;&gt;"",CP9=""),AND(CX9&gt;=DA$13,CX9&lt;&gt;"",CZ9&gt;=DA$17,CZ9&lt;&gt;"",CP9=""),AND(DX9&gt;=EK$13,DX9&lt;&gt;"",DZ9&gt;=EK$17,DZ9&lt;&gt;""),AND(EA9&gt;=EK$13,EA9&lt;&gt;"",EC9&gt;=EK$17,EC9&lt;&gt;""),AND(EE9&gt;=EK$13,EE9&lt;&gt;"",EG9&gt;=EK$17,EG9&lt;&gt;""),AND(EH9&gt;=EK$13,EH9&lt;&gt;"",EJ9&gt;=EK$17,EJ9&lt;&gt;""),AND(FF9&gt;=FS$13,FF9&lt;&gt;"",FH9&gt;=FS$17,FH9&lt;&gt;""),AND(FI9&gt;=FS$13,FI9&lt;&gt;"",FK9&gt;=FS$17,FK9&lt;&gt;""),AND(FM9&gt;=FS$13,FM9&lt;&gt;"",FO9&gt;=FS$17,FO9&lt;&gt;""),AND(FP9&gt;=FS$13,FP9&lt;&gt;"",FR9&gt;=FS$17,FR9&lt;&gt;""),AND(GN9&gt;=HA$13,GN9&lt;&gt;"",GP9&gt;=HA$17,GP9&lt;&gt;""),AND(GQ9&gt;=HA$13,GQ9&lt;&gt;"",GS9&gt;=HA$17,GS9&lt;&gt;""),AND(GU9&gt;=HA$13,GU9&lt;&gt;"",GW9&gt;=HA$17,GW9&lt;&gt;""),AND(GX9&gt;=HA$13,GX9&lt;&gt;"",GZ9&gt;=HA$17,GZ9&lt;&gt;""),AND(HV9&gt;=II$13,HV9&lt;&gt;"",HX9&gt;=II$17,HX9&lt;&gt;""),AND(HY9&gt;=II$13,HY9&lt;&gt;"",IA9&gt;=II$17,IA9&lt;&gt;""),AND(IC9&gt;=II$13,IC9&lt;&gt;"",IE9&gt;=II$17,IE9&lt;&gt;""),AND(IF9&gt;=II$13,IF9&lt;&gt;"",IH9&gt;=II$17,IH9&lt;&gt;""),AND(JD9&gt;=JQ$13,JD9&lt;&gt;"",JF9&gt;=JQ$17,JF9&lt;&gt;""),AND(JG9&gt;=JQ$13,JG9&lt;&gt;"",JI9&gt;=JQ$17,JI9&lt;&gt;""),AND(JK9&gt;=JQ$13,JK9&lt;&gt;"",JM9&gt;=JQ$17,JM9&lt;&gt;""),AND(JN9&gt;=JQ$13,JN9&lt;&gt;"",JP9&gt;=JQ$17,JP9&lt;&gt;""),AND(KL9&gt;=KY$13,KL9&lt;&gt;"",KN9&gt;=KY$17,KN9&lt;&gt;""),AND(KO9&gt;=KY$13,KO9&lt;&gt;"",KQ9&gt;=KY$17,KQ9&lt;&gt;""),AND(KS9&gt;=KY$13,KS9&lt;&gt;"",KU9&gt;=KY$17,KU9&lt;&gt;""),AND(KV9&gt;=KY$13,KV9&lt;&gt;"",KX9&gt;=KY$17,KX9&lt;&gt;""),AND(LT9&gt;=MG$13,LT9&lt;&gt;"",LV9&gt;=MG$17,LV9&lt;&gt;""),AND(LW9&gt;=MG$13,LW9&lt;&gt;"",LY9&gt;=MG$17,LY9&lt;&gt;""),AND(MA9&gt;=MG$13,MA9&lt;&gt;"",MC9&gt;=MG$17,MC9&lt;&gt;""),AND(MD9&gt;=MG$13,MD9&lt;&gt;"",MF9&gt;=MG$17,MF9&lt;&gt;""),AND(NB9&gt;=NO$13,NB9&lt;&gt;"",ND9&gt;=NO$17,ND9&lt;&gt;""),AND(NE9&gt;=NO$13,NE9&lt;&gt;"",NG9&gt;=NO$17,NG9&lt;&gt;""),AND(NI9&gt;=NO$13,NI9&lt;&gt;"",NK9&gt;=NO$17,NK9&lt;&gt;""),AND(NL9&gt;=NO$13,NL9&lt;&gt;"",NN9&gt;=NO$17,NN9&lt;&gt;""),AND(OJ9&gt;=OW$13,OJ9&lt;&gt;"",OL9&gt;=OW$17,OL9&lt;&gt;""),AND(OM9&gt;=OW$13,OM9&lt;&gt;"",OO9&gt;=OW$17,OO9&lt;&gt;""),AND(OQ9&gt;=OW$13,OQ9&lt;&gt;"",OS9&gt;=OW$17,OS9&lt;&gt;""),AND(OT9&gt;=OW$13,OT9&lt;&gt;"",OV9&gt;=OW$17,OV9&lt;&gt;""),AND(PR9&gt;=QE$13,PR9&lt;&gt;"",PT9&gt;=QE$17,PT9&lt;&gt;""),AND(PU9&gt;=QE$13,PU9&lt;&gt;"",PW9&gt;=QE$17,PW9&lt;&gt;""),AND(PY9&gt;=QE$13,PY9&lt;&gt;"",QA9&gt;=QE$17,QA9&lt;&gt;""),AND(QB9&gt;=QE$13,QB9&lt;&gt;"",QD9&gt;=QE$17,QD9&lt;&gt;""),AND(QZ9&gt;=RM$13,QZ9&lt;&gt;"",RB9&gt;=RM$17,RB9&lt;&gt;""),AND(RC9&gt;=RM$13,RC9&lt;&gt;"",RE9&gt;=RM$17,RE9&lt;&gt;""),AND(RG9&gt;=RM$13,RG9&lt;&gt;"",RI9&gt;=RM$17,RI9&lt;&gt;""),AND(RJ9&gt;=RM$13,RJ9&lt;&gt;"",RL9&gt;=RM$17,RL9&lt;&gt;""),AND(SH9&gt;=SU$13,SH9&lt;&gt;"",SJ9&gt;=SU$17,SJ9&lt;&gt;""),AND(SK9&gt;=SU$13,SK9&lt;&gt;"",SM9&gt;=SU$17,SM9&lt;&gt;""),AND(SO9&gt;=SU$13,SO9&lt;&gt;"",SQ9&gt;=SU$17,SQ9&lt;&gt;""),AND(SR9&gt;=SU$13,SR9&lt;&gt;"",ST9&gt;=SU$17,ST9&lt;&gt;"")),"P","")</f>
        <v/>
      </c>
      <c r="I9" s="3" t="str">
        <f>IF(OR(AND(AQ9&gt;=AY$17,AQ9&lt;&gt;"",AN9=""),AND(AT9&gt;=AY$17,AT9&lt;&gt;"",AN9=""),AND(AX9&gt;=AY$17,AX9&lt;&gt;"",AN9=""),AND(BR9&gt;=BZ$17,BR9&lt;&gt;"",BO9=""),AND(BU9&gt;=BZ$17,BU9&lt;&gt;"",BO9=""),AND(BY9&gt;=BZ$17,BY9&lt;&gt;"",BO9=""),AND(CS9&gt;=DA$17,CS9&lt;&gt;"",CP9=""),AND(CV9&gt;=DA$17,CV9&lt;&gt;"",CP9=""),AND(CZ9&gt;=DA$17,CZ9&lt;&gt;"",CP9=""),AND(DZ9&gt;=EK$17,DZ9&lt;&gt;""),AND(EC9&gt;=EK$17,EC9&lt;&gt;""),AND(EG9&gt;=EK$17,EG9&lt;&gt;""),AND(EJ9&gt;=EK$17,EJ9&lt;&gt;""),AND(FH9&gt;=FS$17,FH9&lt;&gt;""),AND(FK9&gt;=FS$17,FK9&lt;&gt;""),AND(FO9&gt;=FS$17,FO9&lt;&gt;""),AND(FR9&gt;=FS$17,FR9&lt;&gt;""),AND(GP9&gt;=HA$17,GP9&lt;&gt;""),AND(GS9&gt;=HA$17,GS9&lt;&gt;""),AND(GW9&gt;=HA$17,GW9&lt;&gt;""),AND(GZ9&gt;=HA$17,GZ9&lt;&gt;""),AND(HX9&gt;=II$17,HX9&lt;&gt;""),AND(IA9&gt;=II$17,IA9&lt;&gt;""),AND(IE9&gt;=II$17,IE9&lt;&gt;""),AND(IH9&gt;=II$17,IH9&lt;&gt;""),AND(JF9&gt;=JQ$17,JF9&lt;&gt;""),AND(JI9&gt;=JQ$17,JI9&lt;&gt;""),AND(JM9&gt;=JQ$17,JM9&lt;&gt;""),AND(JP9&gt;=JQ$17,JP9&lt;&gt;""),AND(KN9&gt;=KY$17,KN9&lt;&gt;""),AND(KQ9&gt;=KY$17,KQ9&lt;&gt;""),AND(KU9&gt;=KY$17,KU9&lt;&gt;""),AND(KX9&gt;=KY$17,KX9&lt;&gt;""),AND(LV9&gt;=MG$17,LV9&lt;&gt;""),AND(LY9&gt;=MG$17,LY9&lt;&gt;""),AND(MC9&gt;=MG$17,MC9&lt;&gt;""),AND(MF9&gt;=MG$17,MF9&lt;&gt;""),AND(ND9&gt;=NO$17,ND9&lt;&gt;""),AND(NG9&gt;=NO$17,NG9&lt;&gt;""),AND(NK9&gt;=NO$17,NK9&lt;&gt;""),AND(NN9&gt;=NO$17,NN9&lt;&gt;""),AND(OL9&gt;=OW$17,OL9&lt;&gt;""),AND(OO9&gt;=OW$17,OO9&lt;&gt;""),AND(OS9&gt;=OW$17,OS9&lt;&gt;""),AND(OV9&gt;=OW$17,OV9&lt;&gt;""),AND(PT9&gt;=QE$17,PT9&lt;&gt;""),AND(PW9&gt;=QE$17,PW9&lt;&gt;""),AND(QA9&gt;=QE$17,QA9&lt;&gt;""),AND(QD9&gt;=QE$17,QD9&lt;&gt;""),AND(RB9&gt;=RM$17,RB9&lt;&gt;""),AND(RE9&gt;=RM$17,RE9&lt;&gt;""),AND(RI9&gt;=RM$17,RI9&lt;&gt;""),AND(RL9&gt;=RM$17,RL9&lt;&gt;""),AND(SJ9&gt;=SU$17,SJ9&lt;&gt;""),AND(SM9&gt;=SU$17,SM9&lt;&gt;""),AND(SQ9&gt;=SU$17,SQ9&lt;&gt;""),AND(ST9&gt;=SU$17,ST9&lt;&gt;"")),"P","")</f>
        <v>P</v>
      </c>
      <c r="J9" s="36" t="str">
        <f>IF(AND(I9="P",H9=""),"No DD",IF(OR(AND(AO9&gt;=AY$16,AO9&lt;&gt;"",AQ9&gt;=AY$20,AQ9&lt;&gt;"",AN9=""),AND(AR9&gt;=AY$16,AR9&lt;&gt;"",AT9&gt;=AY$20,AT9&lt;&gt;"",AN9=""),AND(AV9&gt;=AY$16,AV9&lt;&gt;"",AX9&gt;=AY$20,AX9&lt;&gt;"",AN9=""),AND(BP9&gt;=BZ$16,BP9&lt;&gt;"",BR9&gt;=BZ$20,BR9&lt;&gt;"",BO9=""),AND(BS9&gt;=BZ$16,BS9&lt;&gt;"",BU9&gt;=BZ$20,BU9&lt;&gt;"",BO9=""),AND(BW9&gt;=BZ$16,BW9&lt;&gt;"",BY9&gt;=BZ$20,BY9&lt;&gt;"",BO9=""),AND(CQ9&gt;=DA$16,CQ9&lt;&gt;"",CS9&gt;=DA$20,CS9&lt;&gt;"",CP9=""),AND(CT9&gt;=DA$16,CT9&lt;&gt;"",CV9&gt;=DA$20,CV9&lt;&gt;"",CP9=""),AND(CX9&gt;=DA$16,CX9&lt;&gt;"",CZ9&gt;=DA$20,CZ9&lt;&gt;"",CP9=""),AND(DX9&gt;=EK$16,DX9&lt;&gt;"",DZ9&gt;=EK$20,DZ9&lt;&gt;""),AND(EA9&gt;=EK$16,EA9&lt;&gt;"",EC9&gt;=EK$20,EC9&lt;&gt;""),AND(EE9&gt;=EK$16,EE9&lt;&gt;"",EG9&gt;=EK$20,EG9&lt;&gt;""),AND(EH9&gt;=EK$16,EH9&lt;&gt;"",EJ9&gt;=EK$20,EJ9&lt;&gt;""),AND(FF9&gt;=FS$16,FF9&lt;&gt;"",FH9&gt;=FS$20,FH9&lt;&gt;""),AND(FI9&gt;=FS$16,FI9&lt;&gt;"",FK9&gt;=FS$20,FK9&lt;&gt;""),AND(FM9&gt;=FS$16,FM9&lt;&gt;"",FO9&gt;=FS$20,FO9&lt;&gt;""),AND(FP9&gt;=FS$16,FP9&lt;&gt;"",FR9&gt;=FS$20,FR9&lt;&gt;""),AND(GN9&gt;=HA$16,GN9&lt;&gt;"",GP9&gt;=HA$20,GP9&lt;&gt;""),AND(GQ9&gt;=HA$16,GQ9&lt;&gt;"",GS9&gt;=HA$20,GS9&lt;&gt;""),AND(GU9&gt;=HA$16,GU9&lt;&gt;"",GW9&gt;=HA$20,GW9&lt;&gt;""),AND(GX9&gt;=HA$16,GX9&lt;&gt;"",GZ9&gt;=HA$20,GZ9&lt;&gt;""),AND(HV9&gt;=II$16,HV9&lt;&gt;"",HX9&gt;=II$20,HX9&lt;&gt;""),AND(HY9&gt;=II$16,HY9&lt;&gt;"",IA9&gt;=II$20,IA9&lt;&gt;""),AND(IC9&gt;=II$16,IC9&lt;&gt;"",IE9&gt;=II$20,IE9&lt;&gt;""),AND(IF9&gt;=II$16,IF9&lt;&gt;"",IH9&gt;=II$20,IH9&lt;&gt;""),AND(JD9&gt;=JQ$16,JD9&lt;&gt;"",JF9&gt;=JQ$20,JF9&lt;&gt;""),AND(JG9&gt;=JQ$16,JG9&lt;&gt;"",JI9&gt;=JQ$20,JI9&lt;&gt;""),AND(JK9&gt;=JQ$16,JK9&lt;&gt;"",JM9&gt;=JQ$20,JM9&lt;&gt;""),AND(JN9&gt;=JQ$16,JN9&lt;&gt;"",JP9&gt;=JQ$20,JP9&lt;&gt;""),AND(KL9&gt;=KY$16,KL9&lt;&gt;"",KN9&gt;=KY$20,KN9&lt;&gt;""),AND(KO9&gt;=KY$16,KO9&lt;&gt;"",KQ9&gt;=KY$20,KQ9&lt;&gt;""),AND(KS9&gt;=KY$16,KS9&lt;&gt;"",KU9&gt;=KY$20,KU9&lt;&gt;""),AND(KV9&gt;=KY$16,KV9&lt;&gt;"",KX9&gt;=KY$20,KX9&lt;&gt;""),AND(LT9&gt;=MG$16,LT9&lt;&gt;"",LV9&gt;=MG$20,LV9&lt;&gt;""),AND(LW9&gt;=MG$16,LW9&lt;&gt;"",LY9&gt;=MG$20,LY9&lt;&gt;""),AND(MA9&gt;=MG$16,MA9&lt;&gt;"",MC9&gt;=MG$20,MC9&lt;&gt;""),AND(MD9&gt;=MG$16,MD9&lt;&gt;"",MF9&gt;=MG$20,MF9&lt;&gt;""),AND(NB9&gt;=NO$16,NB9&lt;&gt;"",ND9&gt;=NO$20,ND9&lt;&gt;""),AND(NE9&gt;=NO$16,NE9&lt;&gt;"",NG9&gt;=NO$20,NG9&lt;&gt;""),AND(NI9&gt;=NO$16,NI9&lt;&gt;"",NK9&gt;=NO$20,NK9&lt;&gt;""),AND(NL9&gt;=NO$16,NL9&lt;&gt;"",NN9&gt;=NO$20,NN9&lt;&gt;""),AND(OJ9&gt;=OW$16,OJ9&lt;&gt;"",OL9&gt;=OW$20,OL9&lt;&gt;""),AND(OM9&gt;=OW$16,OM9&lt;&gt;"",OO9&gt;=OW$20,OO9&lt;&gt;""),AND(OQ9&gt;=OW$16,OQ9&lt;&gt;"",OS9&gt;=OW$20,OS9&lt;&gt;""),AND(OT9&gt;=OW$16,OT9&lt;&gt;"",OV9&gt;=OW$20,OV9&lt;&gt;""),AND(PR9&gt;=QE$16,PR9&lt;&gt;"",PT9&gt;=QE$20,PT9&lt;&gt;""),AND(PU9&gt;=QE$16,PU9&lt;&gt;"",PW9&gt;=QE$20,PW9&lt;&gt;""),AND(PY9&gt;=QE$16,PY9&lt;&gt;"",QA9&gt;=QE$20,QA9&lt;&gt;""),AND(QB9&gt;=QE$16,QB9&lt;&gt;"",QD9&gt;=QE$20,QD9&lt;&gt;""),AND(QZ9&gt;=RM$16,QZ9&lt;&gt;"",RB9&gt;=RM$20,RB9&lt;&gt;""),AND(RC9&gt;=RM$16,RC9&lt;&gt;"",RE9&gt;=RM$20,RE9&lt;&gt;""),AND(RG9&gt;=RM$16,RG9&lt;&gt;"",RI9&gt;=RM$20,RI9&lt;&gt;""),AND(RJ9&gt;=RM$16,RJ9&lt;&gt;"",RL9&gt;=RM$20,RL9&lt;&gt;""),AND(SH9&gt;=SU$16,SH9&lt;&gt;"",SJ9&gt;=SU$20,SJ9&lt;&gt;""),AND(SK9&gt;=SU$16,SK9&lt;&gt;"",SM9&gt;=SU$20,SM9&lt;&gt;""),AND(SO9&gt;=SU$16,SO9&lt;&gt;"",SQ9&gt;=SU$20,SQ9&lt;&gt;""),AND(SR9&gt;=SU$16,SR9&lt;&gt;"",ST9&gt;=SU$20,ST9&lt;&gt;"")),"Merit",IF(OR(AND(AO9&gt;=AY$15,AO9&lt;&gt;"",AQ9&gt;=AY$19,AQ9&lt;&gt;"",AN9=""),AND(AR9&gt;=AY$15,AR9&lt;&gt;"",AT9&gt;=AY$19,AT9&lt;&gt;"",AN9=""),AND(AV9&gt;=AY$15,AV9&lt;&gt;"",AX9&gt;=AY$19,AX9&lt;&gt;"",AN9=""),AND(BP9&gt;=BZ$15,BP9&lt;&gt;"",BR9&gt;=BZ$19,BR9&lt;&gt;"",BO9=""),AND(BS9&gt;=BZ$15,BS9&lt;&gt;"",BU9&gt;=BZ$19,BU9&lt;&gt;"",BO9=""),AND(BW9&gt;=BZ$15,BW9&lt;&gt;"",BY9&gt;=BZ$19,BY9&lt;&gt;"",BO9=""),AND(CQ9&gt;=DA$15,CQ9&lt;&gt;"",CS9&gt;=DA$19,CS9&lt;&gt;"",CP9=""),AND(CT9&gt;=DA$15,CT9&lt;&gt;"",CV9&gt;=DA$19,CV9&lt;&gt;"",CP9=""),AND(CX9&gt;=DA$15,CX9&lt;&gt;"",CZ9&gt;=DA$19,CZ9&lt;&gt;"",CP9=""),AND(DX9&gt;=EK$15,DX9&lt;&gt;"",DZ9&gt;=EK$19,DZ9&lt;&gt;""),AND(EA9&gt;=EK$15,EA9&lt;&gt;"",EC9&gt;=EK$19,EC9&lt;&gt;""),AND(EE9&gt;=EK$15,EE9&lt;&gt;"",EG9&gt;=EK$19,EG9&lt;&gt;""),AND(EH9&gt;=EK$15,EH9&lt;&gt;"",EJ9&gt;=EK$19,EJ9&lt;&gt;""),AND(FF9&gt;=FS$15,FF9&lt;&gt;"",FH9&gt;=FS$19,FH9&lt;&gt;""),AND(FI9&gt;=FS$15,FI9&lt;&gt;"",FK9&gt;=FS$19,FK9&lt;&gt;""),AND(FM9&gt;=FS$15,FM9&lt;&gt;"",FO9&gt;=FS$19,FO9&lt;&gt;""),AND(FP9&gt;=FS$15,FP9&lt;&gt;"",FR9&gt;=FS$19,FR9&lt;&gt;""),AND(GN9&gt;=HA$15,GN9&lt;&gt;"",GP9&gt;=HA$19,GP9&lt;&gt;""),AND(GQ9&gt;=HA$15,GQ9&lt;&gt;"",GS9&gt;=HA$19,GS9&lt;&gt;""),AND(GU9&gt;=HA$15,GU9&lt;&gt;"",GW9&gt;=HA$19,GW9&lt;&gt;""),AND(GX9&gt;=HA$15,GX9&lt;&gt;"",GZ9&gt;=HA$19,GZ9&lt;&gt;""),AND(HV9&gt;=II$15,HV9&lt;&gt;"",HX9&gt;=II$19,HX9&lt;&gt;""),AND(HY9&gt;=II$15,HY9&lt;&gt;"",IA9&gt;=II$19,IA9&lt;&gt;""),AND(IC9&gt;=II$15,IC9&lt;&gt;"",IE9&gt;=II$19,IE9&lt;&gt;""),AND(IF9&gt;=II$15,IF9&lt;&gt;"",IH9&gt;=II$19,IH9&lt;&gt;""),AND(JD9&gt;=JQ$15,JD9&lt;&gt;"",JF9&gt;=JQ$19,JF9&lt;&gt;""),AND(JG9&gt;=JQ$15,JG9&lt;&gt;"",JI9&gt;=JQ$19,JI9&lt;&gt;""),AND(JK9&gt;=JQ$15,JK9&lt;&gt;"",JM9&gt;=JQ$19,JM9&lt;&gt;""),AND(JN9&gt;=JQ$15,JN9&lt;&gt;"",JP9&gt;=JQ$19,JP9&lt;&gt;""),AND(KL9&gt;=KY$15,KL9&lt;&gt;"",KN9&gt;=KY$19,KN9&lt;&gt;""),AND(KO9&gt;=KY$15,KO9&lt;&gt;"",KQ9&gt;=KY$19,KQ9&lt;&gt;""),AND(KS9&gt;=KY$15,KS9&lt;&gt;"",KU9&gt;=KY$19,KU9&lt;&gt;""),AND(KV9&gt;=KY$15,KV9&lt;&gt;"",KX9&gt;=KY$19,KX9&lt;&gt;""),AND(LT9&gt;=MG$15,LT9&lt;&gt;"",LV9&gt;=MG$19,LV9&lt;&gt;""),AND(LW9&gt;=MG$15,LW9&lt;&gt;"",LY9&gt;=MG$19,LY9&lt;&gt;""),AND(MA9&gt;=MG$15,MA9&lt;&gt;"",MC9&gt;=MG$19,MC9&lt;&gt;""),AND(MD9&gt;=MG$15,MD9&lt;&gt;"",MF9&gt;=MG$19,MF9&lt;&gt;""),AND(NB9&gt;=NO$15,NB9&lt;&gt;"",ND9&gt;=NO$19,ND9&lt;&gt;""),AND(NE9&gt;=NO$15,NE9&lt;&gt;"",NG9&gt;=NO$19,NG9&lt;&gt;""),AND(NI9&gt;=NO$15,NI9&lt;&gt;"",NK9&gt;=NO$19,NK9&lt;&gt;""),AND(NL9&gt;=NO$15,NL9&lt;&gt;"",NN9&gt;=NO$19,NN9&lt;&gt;""),AND(OJ9&gt;=OW$15,OJ9&lt;&gt;"",OL9&gt;=OW$19,OL9&lt;&gt;""),AND(OM9&gt;=OW$15,OM9&lt;&gt;"",OO9&gt;=OW$19,OO9&lt;&gt;""),AND(OQ9&gt;=OW$15,OQ9&lt;&gt;"",OS9&gt;=OW$19,OS9&lt;&gt;""),AND(OT9&gt;=OW$15,OT9&lt;&gt;"",OV9&gt;=OW$19,OV9&lt;&gt;""),AND(PR9&gt;=QE$15,PR9&lt;&gt;"",PT9&gt;=QE$19,PT9&lt;&gt;""),AND(PU9&gt;=QE$15,PU9&lt;&gt;"",PW9&gt;=QE$19,PW9&lt;&gt;""),AND(PY9&gt;=QE$15,PY9&lt;&gt;"",QA9&gt;=QE$19,QA9&lt;&gt;""),AND(QB9&gt;=QE$15,QB9&lt;&gt;"",QD9&gt;=QE$19,QD9&lt;&gt;""),AND(QZ9&gt;=RM$15,QZ9&lt;&gt;"",RB9&gt;=RM$19,RB9&lt;&gt;""),AND(RC9&gt;=RM$15,RC9&lt;&gt;"",RE9&gt;=RM$19,RE9&lt;&gt;""),AND(RG9&gt;=RM$15,RG9&lt;&gt;"",RI9&gt;=RM$19,RI9&lt;&gt;""),AND(RJ9&gt;=RM$15,RJ9&lt;&gt;"",RL9&gt;=RM$19,RL9&lt;&gt;""),AND(SH9&gt;=SU$15,SH9&lt;&gt;"",SJ9&gt;=SU$19,SJ9&lt;&gt;""),AND(SK9&gt;=SU$15,SK9&lt;&gt;"",SM9&gt;=SU$19,SM9&lt;&gt;""),AND(SO9&gt;=SU$15,SO9&lt;&gt;"",SQ9&gt;=SU$19,SQ9&lt;&gt;""),AND(SR9&gt;=SU$15,SR9&lt;&gt;"",ST9&gt;=SU$19,ST9&lt;&gt;"")),"Excellence",IF(K9="P","Worlds Team",IF(H9="P","National Team","")))))</f>
        <v>No DD</v>
      </c>
      <c r="K9" s="3" t="str">
        <f>IF(OR(AND(AO9&gt;=AY$14,AO9&lt;&gt;"",AQ9&gt;=AY$18,AQ9&lt;&gt;"",AN9=""),AND(AR9&gt;=AY$14,AR9&lt;&gt;"",AT9&gt;=AY$18,AT9&lt;&gt;"",AN9=""),AND(AV9&gt;=AY$14,AV9&lt;&gt;"",AX9&gt;=AY$18,AX9&lt;&gt;"",AN9=""),AND(BP9&gt;=BZ$14,BP9&lt;&gt;"",BR9&gt;=BZ$18,BR9&lt;&gt;"",BO9=""),AND(BS9&gt;=BZ$14,BS9&lt;&gt;"",BU9&gt;=BZ$18,BU9&lt;&gt;"",BO9=""),AND(BW9&gt;=BZ$14,BW9&lt;&gt;"",BY9&gt;=BZ$18,BY9&lt;&gt;"",BO9=""),AND(CQ9&gt;=DA$14,CQ9&lt;&gt;"",CS9&gt;=DA$18,CS9&lt;&gt;"",CP9=""),AND(CT9&gt;=DA$14,CT9&lt;&gt;"",CV9&gt;=DA$18,CV9&lt;&gt;"",CP9=""),AND(CX9&gt;=DA$14,CX9&lt;&gt;"",CZ9&gt;=DA$18,CZ9&lt;&gt;"",CP9=""),AND(DX9&gt;=EK$14,DX9&lt;&gt;"",DZ9&gt;=EK$18,DZ9&lt;&gt;""),AND(EA9&gt;=EK$14,EA9&lt;&gt;"",EC9&gt;=EK$18,EC9&lt;&gt;""),AND(EE9&gt;=EK$14,EE9&lt;&gt;"",EG9&gt;=EK$18,EG9&lt;&gt;""),AND(EH9&gt;=EK$14,EH9&lt;&gt;"",EJ9&gt;=EK$18,EJ9&lt;&gt;""),AND(FF9&gt;=FS$14,FF9&lt;&gt;"",FH9&gt;=FS$18,FH9&lt;&gt;""),AND(FI9&gt;=FS$14,FI9&lt;&gt;"",FK9&gt;=FS$18,FK9&lt;&gt;""),AND(FM9&gt;=FS$14,FM9&lt;&gt;"",FO9&gt;=FS$18,FO9&lt;&gt;""),AND(FP9&gt;=FS$14,FP9&lt;&gt;"",FR9&gt;=FS$18,FR9&lt;&gt;""),AND(GN9&gt;=HA$14,GN9&lt;&gt;"",GP9&gt;=HA$18,GP9&lt;&gt;""),AND(GQ9&gt;=HA$14,GQ9&lt;&gt;"",GS9&gt;=HA$18,GS9&lt;&gt;""),AND(GU9&gt;=HA$14,GU9&lt;&gt;"",GW9&gt;=HA$18,GW9&lt;&gt;""),AND(GX9&gt;=HA$14,GX9&lt;&gt;"",GZ9&gt;=HA$18,GZ9&lt;&gt;""),AND(HV9&gt;=II$14,HV9&lt;&gt;"",HX9&gt;=II$18,HX9&lt;&gt;""),AND(HY9&gt;=II$14,HY9&lt;&gt;"",IA9&gt;=II$18,IA9&lt;&gt;""),AND(IC9&gt;=II$14,IC9&lt;&gt;"",IE9&gt;=II$18,IE9&lt;&gt;""),AND(IF9&gt;=II$14,IF9&lt;&gt;"",IH9&gt;=II$18,IH9&lt;&gt;""),AND(JD9&gt;=JQ$14,JD9&lt;&gt;"",JF9&gt;=JQ$18,JF9&lt;&gt;""),AND(JG9&gt;=JQ$14,JG9&lt;&gt;"",JI9&gt;=JQ$18,JI9&lt;&gt;""),AND(JK9&gt;=JQ$14,JK9&lt;&gt;"",JM9&gt;=JQ$18,JM9&lt;&gt;""),AND(JN9&gt;=JQ$14,JN9&lt;&gt;"",JP9&gt;=JQ$18,JP9&lt;&gt;""),AND(KL9&gt;=KY$14,KL9&lt;&gt;"",KN9&gt;=KY$18,KN9&lt;&gt;""),AND(KO9&gt;=KY$14,KO9&lt;&gt;"",KQ9&gt;=KY$18,KQ9&lt;&gt;""),AND(KS9&gt;=KY$14,KS9&lt;&gt;"",KU9&gt;=KY$18,KU9&lt;&gt;""),AND(KV9&gt;=KY$14,KV9&lt;&gt;"",KX9&gt;=KY$18,KX9&lt;&gt;""),AND(LT9&gt;=MG$14,LT9&lt;&gt;"",LV9&gt;=MG$18,LV9&lt;&gt;""),AND(LW9&gt;=MG$14,LW9&lt;&gt;"",LY9&gt;=MG$18,LY9&lt;&gt;""),AND(MA9&gt;=MG$14,MA9&lt;&gt;"",MC9&gt;=MG$18,MC9&lt;&gt;""),AND(MD9&gt;=MG$14,MD9&lt;&gt;"",MF9&gt;=MG$18,MF9&lt;&gt;""),AND(NB9&gt;=NO$14,NB9&lt;&gt;"",ND9&gt;=NO$18,ND9&lt;&gt;""),AND(NE9&gt;=NO$14,NE9&lt;&gt;"",NG9&gt;=NO$18,NG9&lt;&gt;""),AND(NI9&gt;=NO$14,NI9&lt;&gt;"",NK9&gt;=NO$18,NK9&lt;&gt;""),AND(NL9&gt;=NO$14,NL9&lt;&gt;"",NN9&gt;=NO$18,NN9&lt;&gt;""),AND(OJ9&gt;=OW$14,OJ9&lt;&gt;"",OL9&gt;=OW$18,OL9&lt;&gt;""),AND(OM9&gt;=OW$14,OM9&lt;&gt;"",OO9&gt;=OW$18,OO9&lt;&gt;""),AND(OQ9&gt;=OW$14,OQ9&lt;&gt;"",OS9&gt;=OW$18,OS9&lt;&gt;""),AND(OT9&gt;=OW$14,OT9&lt;&gt;"",OV9&gt;=OW$18,OV9&lt;&gt;""),AND(PR9&gt;=QE$14,PR9&lt;&gt;"",PT9&gt;=QE$18,PT9&lt;&gt;""),AND(PU9&gt;=QE$14,PU9&lt;&gt;"",PW9&gt;=QE$18,PW9&lt;&gt;""),AND(PY9&gt;=QE$14,PY9&lt;&gt;"",QA9&gt;=QE$18,QA9&lt;&gt;""),AND(QB9&gt;=QE$14,QB9&lt;&gt;"",QD9&gt;=QE$18,QD9&lt;&gt;""),AND(QZ9&gt;=RM$14,QZ9&lt;&gt;"",RB9&gt;=RM$18,RB9&lt;&gt;""),AND(RC9&gt;=RM$14,RC9&lt;&gt;"",RE9&gt;=RM$18,RE9&lt;&gt;""),AND(RG9&gt;=RM$14,RG9&lt;&gt;"",RI9&gt;=RM$18,RI9&lt;&gt;""),AND(RJ9&gt;=RM$14,RJ9&lt;&gt;"",RL9&gt;=RM$18,RL9&lt;&gt;""),AND(SH9&gt;=SU$14,SH9&lt;&gt;"",SJ9&gt;=SU$18,SJ9&lt;&gt;""),AND(SK9&gt;=SU$14,SK9&lt;&gt;"",SM9&gt;=SU$18,SM9&lt;&gt;""),AND(SO9&gt;=SU$14,SO9&lt;&gt;"",SQ9&gt;=SU$18,SQ9&lt;&gt;""),AND(SR9&gt;=SU$14,SR9&lt;&gt;"",ST9&gt;=SU$18,ST9&lt;&gt;"")),"P","")</f>
        <v/>
      </c>
      <c r="L9" s="8">
        <f>IF(COUNT(AQ9,AT9,BR9,BU9,CS9,CV9)&gt;0,LARGE((AQ9,AT9,BR9,BU9,CS9,CV9),1),0)</f>
        <v>48.08</v>
      </c>
      <c r="M9" s="8" t="str">
        <f>IF(L9="","",IF(OR(L9=CS9,L9=CV9),$CA$1,IF(OR(L9=BR9,L9=BU9),$AZ$1,IF(OR(L9=AQ9,L9=AT9),$Y$1,""))))</f>
        <v>2025 Elite Canada</v>
      </c>
      <c r="N9" s="8">
        <f>IF(COUNT(AQ9,AT9,BR9,BU9,CS9,CV9)&gt;1,LARGE((AQ9,AT9,BR9,BU9,CS9,CV9),2),0)</f>
        <v>44.709999999999994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50.300000000000004</v>
      </c>
      <c r="Q9" s="8" t="str">
        <f>IF(P9="","",IF(P9=CZ9,$CA$1,IF(P9=BY9,$AZ$1,IF(P9=AX9,$Y$1,IF(OR(P9=CS9,P9=CV9,P9=CZ9),$CA$1,IF(OR(P9=BR9,P9=BU9,P9=BY9),$AZ$1,IF(OR(P9=AQ9,P9=AT9,P9=AX9),$Y$1,"")))))))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3rd Domestic Trial</v>
      </c>
      <c r="T9" s="8">
        <f>IF(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&gt;0,MAX(IF(AO9&gt;=$AY$13,AP9,0),IF(AR9&gt;=$AY$13,AS9,0),IF(AV9&gt;=$AY$13,AW9,0),IF(BP9&gt;=$BZ$13,BQ9,0),IF(BS9&gt;=$BZ$13,BT9,0),IF(BW9&gt;=$BZ$13,BX9,0),IF(CQ9&gt;=$DA$13,CR9,0),IF(CT9&gt;=$DA$13,CU9,0),IF(CX9&gt;=$DA$13,CY9,0),IF(DX9&gt;=$EK$13,DY9,0),IF(EA9&gt;=$EK$13,EB9,0),IF(EE9&gt;=$EK$13,EF9,0),IF(EH9&gt;=$EK$13,EI9,0),IF(FF9&gt;=$FS$13,FG9,0),IF(FI9&gt;=$FS$13,FJ9,0),IF(FM9&gt;=$FS$13,FN9,0),IF(FP9&gt;=$FS$13,FQ9,0),IF(GN9&gt;=$HA$13,GO9,0),IF(GQ9&gt;=$HA$13,GR9,0),IF(GU9&gt;=$HA$13,GV9,0),IF(GX9&gt;=$HA$13,GY9,0),IF(HV9&gt;=$II$13,HW9,0),IF(HY9&gt;=$II$13,HZ9,0),IF(IC9&gt;=$II$13,ID9,0),IF(IF9&gt;=$II$13,IG9,0),IF(JD9&gt;=$JQ$13,JE9,0),IF(JG9&gt;=$JQ$13,JH9,0),IF(JK9&gt;=$JQ$13,JL9,0),IF(JN9&gt;=$JQ$13,JO9,0),IF(KL9&gt;=$KY$13,KM9,0),IF(KO9&gt;=$KY$13,KP9,0),IF(KS9&gt;=$KY$13,KT9,0),IF(KV9&gt;=$KY$13,KW9,0),IF(LT9&gt;=$MG$13,LU9,0),IF(LW9&gt;=$MG$13,LX9,0),IF(MA9&gt;=$MG$13,MB9,0),IF(MD9&gt;=$MG$13,ME9,0),IF(NB9&gt;=$NO$13,NC9,0),IF(NE9&gt;=$NO$13,NF9,0),IF(NI9&gt;=$NO$13,NJ9,0),IF(NL9&gt;=$NO$13,NM9,0),IF(OJ9&gt;=$OW$13,OK9,0),IF(OM9&gt;=$OW$13,ON9,0),IF(OQ9&gt;=$OW$13,OR9,0),IF(OT9&gt;=$OW$13,OU9,0),IF(PR9&gt;=$QE$13,PS9,0),IF(PU9&gt;=$QE$13,PV9,0),IF(PY9&gt;=$QE$13,PZ9,0),IF(QB9&gt;=$QE$13,QC9,0),IF(QZ9&gt;=$RM$13,RA9,0),IF(RC9&gt;=$RM$13,RD9,0),IF(RG9&gt;=$RM$13,RH9,0),IF(RJ9&gt;=$RM$13,RK9,0),IF(SH9&gt;=$SU$13,SI9,0),IF(SK9&gt;=$SU$13,SL9,0),IF(SO9&gt;=$SU$13,SP9,0),IF(SR9&gt;=$SU$13,SS9,0)),0)</f>
        <v>0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/>
      </c>
      <c r="V9" s="8">
        <f>IF(MAX(DB9,DC9)&gt;0,MAX(DB9,DC9),"")</f>
        <v>4.960000000000008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2025 Coimbra Gym Fest (July 6)</v>
      </c>
      <c r="Y9" s="22">
        <v>14</v>
      </c>
      <c r="Z9" s="22">
        <v>9.4</v>
      </c>
      <c r="AA9" s="22">
        <v>10.9</v>
      </c>
      <c r="AB9" s="22">
        <v>13.78</v>
      </c>
      <c r="AC9" s="22">
        <v>0</v>
      </c>
      <c r="AD9" s="22">
        <v>13</v>
      </c>
      <c r="AE9" s="22">
        <v>9.3000000000000007</v>
      </c>
      <c r="AF9" s="22">
        <v>9.6</v>
      </c>
      <c r="AG9" s="22">
        <v>14.01</v>
      </c>
      <c r="AH9" s="22">
        <v>1.2</v>
      </c>
      <c r="AI9" s="22">
        <v>13.2</v>
      </c>
      <c r="AJ9" s="22">
        <v>9.1</v>
      </c>
      <c r="AK9" s="22">
        <v>11.6</v>
      </c>
      <c r="AL9" s="22">
        <v>13.87</v>
      </c>
      <c r="AM9" s="22">
        <v>0</v>
      </c>
      <c r="AN9" s="27"/>
      <c r="AO9" s="38">
        <f>IF(AA9&gt;0,AA9,"")</f>
        <v>10.9</v>
      </c>
      <c r="AP9" s="38">
        <f>IF(AB9&gt;0,AB9,"")</f>
        <v>13.78</v>
      </c>
      <c r="AQ9" s="40">
        <f>IF(SUM(Y9:AB9)-AC9&gt;0,SUM(Y9:AB9)-AC9,"")</f>
        <v>48.08</v>
      </c>
      <c r="AR9" s="40">
        <f>IF(AF9&gt;0,AF9,"")</f>
        <v>9.6</v>
      </c>
      <c r="AS9" s="40">
        <f>IF(AG9&gt;0,AG9,"")</f>
        <v>14.01</v>
      </c>
      <c r="AT9" s="40">
        <f>IF(SUM(AD9:AG9)-AH9&gt;0,SUM(AD9:AG9)-AH9,"")</f>
        <v>44.709999999999994</v>
      </c>
      <c r="AU9" s="40">
        <f>IF(AQ9="","",MAX(AQ9,AT9))</f>
        <v>48.08</v>
      </c>
      <c r="AV9" s="40">
        <f>IF(AK9&gt;0,AK9,"")</f>
        <v>11.6</v>
      </c>
      <c r="AW9" s="40">
        <f>IF(AL9&gt;0,AL9,"")</f>
        <v>13.87</v>
      </c>
      <c r="AX9" s="40">
        <f>IF(SUM(AI9:AL9)-AM9&gt;0,SUM(AI9:AL9)-AM9,"")</f>
        <v>47.769999999999996</v>
      </c>
      <c r="AY9" s="40">
        <f>IF(SUM(AU9,AX9)&gt;0,SUM(AU9,AX9),"")</f>
        <v>95.85</v>
      </c>
      <c r="AZ9" s="26">
        <v>2</v>
      </c>
      <c r="BA9" s="26">
        <v>1.4</v>
      </c>
      <c r="BB9" s="26">
        <v>2</v>
      </c>
      <c r="BC9" s="26">
        <v>2.87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12</v>
      </c>
      <c r="BK9" s="26">
        <v>8.9</v>
      </c>
      <c r="BL9" s="26">
        <v>10.6</v>
      </c>
      <c r="BM9" s="26">
        <v>13.7</v>
      </c>
      <c r="BN9" s="26">
        <v>0.2</v>
      </c>
      <c r="BO9" s="28"/>
      <c r="BP9" s="39">
        <f>IF(BB9&gt;0,BB9,"")</f>
        <v>2</v>
      </c>
      <c r="BQ9" s="39">
        <f>IF(BC9&gt;0,BC9,"")</f>
        <v>2.87</v>
      </c>
      <c r="BR9" s="11">
        <f>IF(SUM(AZ9:BC9)-BD9&gt;0,SUM(AZ9:BC9)-BD9,"")</f>
        <v>8.27</v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>
        <f>IF(BR9="","",MAX(BR9,BU9))</f>
        <v>8.27</v>
      </c>
      <c r="BW9" s="11">
        <f>IF(BL9&gt;0,BL9,"")</f>
        <v>10.6</v>
      </c>
      <c r="BX9" s="11">
        <f>IF(BM9&gt;0,BM9,"")</f>
        <v>13.7</v>
      </c>
      <c r="BY9" s="11">
        <f>IF(SUM(BJ9:BM9)-BN9&gt;0,SUM(BJ9:BM9)-BN9,"")</f>
        <v>45</v>
      </c>
      <c r="BZ9" s="11">
        <f>IF(SUM(BV9,BY9)&gt;0,SUM(BV9,BY9),"")</f>
        <v>53.269999999999996</v>
      </c>
      <c r="CA9" s="22">
        <v>6.1</v>
      </c>
      <c r="CB9" s="22">
        <v>3.7</v>
      </c>
      <c r="CC9" s="22">
        <v>4.7</v>
      </c>
      <c r="CD9" s="22">
        <v>6.62</v>
      </c>
      <c r="CE9" s="22">
        <v>0</v>
      </c>
      <c r="CF9" s="22">
        <v>4.2</v>
      </c>
      <c r="CG9" s="22">
        <v>2.1</v>
      </c>
      <c r="CH9" s="22">
        <v>3.2</v>
      </c>
      <c r="CI9" s="22">
        <v>4.72</v>
      </c>
      <c r="CJ9" s="22">
        <v>0</v>
      </c>
      <c r="CK9" s="22">
        <v>13.9</v>
      </c>
      <c r="CL9" s="22">
        <v>9.6999999999999993</v>
      </c>
      <c r="CM9" s="22">
        <v>11.6</v>
      </c>
      <c r="CN9" s="22">
        <v>15.1</v>
      </c>
      <c r="CO9" s="22">
        <v>0</v>
      </c>
      <c r="CP9" s="27"/>
      <c r="CQ9" s="38">
        <f>IF(CC9&gt;0,CC9,"")</f>
        <v>4.7</v>
      </c>
      <c r="CR9" s="38">
        <f>IF(CD9&gt;0,CD9,"")</f>
        <v>6.62</v>
      </c>
      <c r="CS9" s="40">
        <f>IF(SUM(CA9:CD9)-CE9&gt;0,SUM(CA9:CD9)-CE9,"")</f>
        <v>21.12</v>
      </c>
      <c r="CT9" s="40">
        <f>IF(CH9&gt;0,CH9,"")</f>
        <v>3.2</v>
      </c>
      <c r="CU9" s="40">
        <f>IF(CI9&gt;0,CI9,"")</f>
        <v>4.72</v>
      </c>
      <c r="CV9" s="40">
        <f>IF(SUM(CF9:CI9)-CJ9&gt;0,SUM(CF9:CI9)-CJ9,"")</f>
        <v>14.219999999999999</v>
      </c>
      <c r="CW9" s="40">
        <f>IF(CS9="","",MAX(CS9,CV9))</f>
        <v>21.12</v>
      </c>
      <c r="CX9" s="40">
        <f>IF(CM9&gt;0,CM9,"")</f>
        <v>11.6</v>
      </c>
      <c r="CY9" s="40">
        <f>IF(CN9&gt;0,CN9,"")</f>
        <v>15.1</v>
      </c>
      <c r="CZ9" s="40">
        <f>IF(SUM(CK9:CN9)-CO9&gt;0,SUM(CK9:CN9)-CO9,"")</f>
        <v>50.300000000000004</v>
      </c>
      <c r="DA9" s="40">
        <f>IF(SUM(CW9,CZ9)&gt;0,SUM(CW9,CZ9),"")</f>
        <v>71.42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4.960000000000008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13.7</v>
      </c>
      <c r="FU9" s="17">
        <v>9.4</v>
      </c>
      <c r="FV9" s="17">
        <v>11.4</v>
      </c>
      <c r="FW9" s="17">
        <v>14.3</v>
      </c>
      <c r="FX9" s="17">
        <v>0</v>
      </c>
      <c r="FY9" s="17">
        <v>14.2</v>
      </c>
      <c r="FZ9" s="17">
        <v>9.5</v>
      </c>
      <c r="GA9" s="17">
        <v>11.4</v>
      </c>
      <c r="GB9" s="17">
        <v>14.57</v>
      </c>
      <c r="GC9" s="17">
        <v>0</v>
      </c>
      <c r="GD9" s="17">
        <v>13.7</v>
      </c>
      <c r="GE9" s="17">
        <v>8.9</v>
      </c>
      <c r="GF9" s="17">
        <v>11.4</v>
      </c>
      <c r="GG9" s="17">
        <v>14.37</v>
      </c>
      <c r="GH9" s="17">
        <v>0</v>
      </c>
      <c r="GI9" s="17"/>
      <c r="GJ9" s="17"/>
      <c r="GK9" s="17"/>
      <c r="GL9" s="17"/>
      <c r="GM9" s="17"/>
      <c r="GN9" s="40">
        <f>IF(FV9&gt;0,FV9,"")</f>
        <v>11.4</v>
      </c>
      <c r="GO9" s="40">
        <f>IF(FW9&gt;0,FW9,"")</f>
        <v>14.3</v>
      </c>
      <c r="GP9" s="40">
        <f>IF(SUM(FT9:FW9)-FX9&gt;0,SUM(FT9:FW9)-FX9,"")</f>
        <v>48.8</v>
      </c>
      <c r="GQ9" s="40">
        <f>IF(GA9&gt;0,GA9,"")</f>
        <v>11.4</v>
      </c>
      <c r="GR9" s="40">
        <f>IF(GB9&gt;0,GB9,"")</f>
        <v>14.57</v>
      </c>
      <c r="GS9" s="40">
        <f>IF(SUM(FY9:GB9)-GC9&gt;0,SUM(FY9:GB9)-GC9,"")</f>
        <v>49.67</v>
      </c>
      <c r="GT9" s="40">
        <f>IF(MAX(GP9,GS9)&gt;0,MAX(GP9,GS9),"")</f>
        <v>49.67</v>
      </c>
      <c r="GU9" s="40">
        <f>IF(GF9&gt;0,GF9,"")</f>
        <v>11.4</v>
      </c>
      <c r="GV9" s="40">
        <f>IF(GG9&gt;0,GG9,"")</f>
        <v>14.37</v>
      </c>
      <c r="GW9" s="40">
        <f>IF(SUM(GD9:GG9)-GH9&gt;0,SUM(GD9:GG9)-GH9,"")</f>
        <v>48.37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98.039999999999992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>
        <v>15.2</v>
      </c>
      <c r="JS9" s="18">
        <v>9.6</v>
      </c>
      <c r="JT9" s="18">
        <v>3.2</v>
      </c>
      <c r="JU9" s="18">
        <v>15.43</v>
      </c>
      <c r="JV9" s="18">
        <v>0</v>
      </c>
      <c r="JW9" s="18">
        <v>8.1999999999999993</v>
      </c>
      <c r="JX9" s="18">
        <v>5.0999999999999996</v>
      </c>
      <c r="JY9" s="18">
        <v>7.1</v>
      </c>
      <c r="JZ9" s="18">
        <v>9.18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3.2</v>
      </c>
      <c r="KM9" s="11">
        <f>IF(JU9&gt;0,JU9,"")</f>
        <v>15.43</v>
      </c>
      <c r="KN9" s="11">
        <f>IF(SUM(JR9:JU9)-JV9&gt;0,SUM(JR9:JU9)-JV9,"")</f>
        <v>43.429999999999993</v>
      </c>
      <c r="KO9" s="11">
        <f>IF(JY9&gt;0,JY9,"")</f>
        <v>7.1</v>
      </c>
      <c r="KP9" s="11">
        <f>IF(JZ9&gt;0,JZ9,"")</f>
        <v>9.18</v>
      </c>
      <c r="KQ9" s="11">
        <f>IF(SUM(JW9:JZ9)-KA9&gt;0,SUM(JW9:JZ9)-KA9,"")</f>
        <v>29.58</v>
      </c>
      <c r="KR9" s="11">
        <f>IF(MAX(KN9,KQ9)&gt;0,MAX(KN9,KQ9),"")</f>
        <v>43.429999999999993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43.429999999999993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4.05</v>
      </c>
      <c r="SW9" s="22">
        <f>IF($CP9="P",CB9,(CB9+BA9)/2)</f>
        <v>2.5499999999999998</v>
      </c>
      <c r="SX9" s="22">
        <f>IF($CP9="P",CC9,(CC9+BB9)/2)</f>
        <v>3.35</v>
      </c>
      <c r="SY9" s="22">
        <f>IF($CP9="P",CD9,(CD9+BC9)/2)</f>
        <v>4.7450000000000001</v>
      </c>
      <c r="SZ9" s="22">
        <f>IF($CP9="P",CE9,(CE9+BD9)/2)</f>
        <v>0</v>
      </c>
      <c r="TA9" s="22">
        <f>IF($CP9="P",CF9,(CF9+BE9)/2)</f>
        <v>2.1</v>
      </c>
      <c r="TB9" s="22">
        <f>IF($CP9="P",CG9,(CG9+BF9)/2)</f>
        <v>1.05</v>
      </c>
      <c r="TC9" s="22">
        <f>IF($CP9="P",CH9,(CH9+BG9)/2)</f>
        <v>1.6</v>
      </c>
      <c r="TD9" s="22">
        <f>IF($CP9="P",CI9,(CI9+BH9)/2)</f>
        <v>2.36</v>
      </c>
      <c r="TE9" s="22">
        <f>IF($CP9="P",CJ9,(CJ9+BI9)/2)</f>
        <v>0</v>
      </c>
      <c r="TF9" s="22">
        <f>IF($CP9="P",CK9,(CK9+BJ9)/2)</f>
        <v>12.95</v>
      </c>
      <c r="TG9" s="22">
        <f>IF($CP9="P",CL9,(CL9+BK9)/2)</f>
        <v>9.3000000000000007</v>
      </c>
      <c r="TH9" s="22">
        <f>IF($CP9="P",CM9,(CM9+BL9)/2)</f>
        <v>11.1</v>
      </c>
      <c r="TI9" s="22">
        <f>IF($CP9="P",CN9,(CN9+BM9)/2)</f>
        <v>14.399999999999999</v>
      </c>
      <c r="TJ9" s="22">
        <f>IF($CP9="P",CO9,(CO9+BN9)/2)</f>
        <v>0.1</v>
      </c>
      <c r="TK9" s="27" t="s">
        <v>46</v>
      </c>
      <c r="TL9" s="40">
        <f>IF(SX9&gt;0,SX9,"")</f>
        <v>3.35</v>
      </c>
      <c r="TM9" s="40">
        <f>IF(SY9&gt;0,SY9,"")</f>
        <v>4.7450000000000001</v>
      </c>
      <c r="TN9" s="40">
        <f>IF(SUM(SV9:SY9)-SZ9&gt;0,SUM(SV9:SY9)-SZ9,"")</f>
        <v>14.695</v>
      </c>
      <c r="TO9" s="40">
        <f>IF(TC9&gt;0,TC9,"")</f>
        <v>1.6</v>
      </c>
      <c r="TP9" s="40">
        <f>IF(TD9&gt;0,TD9,"")</f>
        <v>2.36</v>
      </c>
      <c r="TQ9" s="40">
        <f>IF(SUM(TA9:TD9)-TE9&gt;0,SUM(TA9:TD9)-TE9,"")</f>
        <v>7.1099999999999994</v>
      </c>
      <c r="TR9" s="40">
        <f>IF(MAX(TN9,TQ9)&gt;0,MAX(TN9,TQ9),"")</f>
        <v>14.695</v>
      </c>
      <c r="TS9" s="40">
        <f>IF(TH9&gt;0,TH9,"")</f>
        <v>11.1</v>
      </c>
      <c r="TT9" s="40">
        <f>IF(TI9&gt;0,TI9,"")</f>
        <v>14.399999999999999</v>
      </c>
      <c r="TU9" s="40">
        <f>IF(SUM(TF9:TI9)-TJ9&gt;0,SUM(TF9:TI9)-TJ9,"")</f>
        <v>47.65</v>
      </c>
      <c r="TV9" s="40">
        <f>IF(SUM(TR9,TU9)&gt;0,SUM(TR9,TU9),"")</f>
        <v>62.344999999999999</v>
      </c>
    </row>
    <row r="10" spans="1:542" x14ac:dyDescent="0.2">
      <c r="A10" s="4" t="str" cm="1">
        <f t="array" ref="A10">IF(AND(J10&lt;&gt;"",J10&lt;&gt;"No DD"),SUMPRODUCT((J$4:J$11&lt;&gt;"")*(J$4:J$11&lt;&gt;"No DD")*(F$4:F$11&gt;F10))+1,IF(J10="No DD",SUMPRODUCT((J$4:J$11="No DD")*(F$4:F$11&gt;F10))+1+SUMPRODUCT((J$4:J$11&lt;&gt;"")*(J$4:J$11&lt;&gt;"No DD")),""))</f>
        <v/>
      </c>
      <c r="B10" s="4" t="str" cm="1">
        <f t="array" ref="B10">IF(AND(J10&lt;&gt;"",J10&lt;&gt;"No DD",G10=""),SUMPRODUCT((J$4:J$11&lt;&gt;"")*(J$4:J$11&lt;&gt;"No DD")*(G$4:G$11="")*(F$4:F$11&gt;F10))+1,IF(J10="No DD",SUMPRODUCT((J$4:J$11="No DD")*(F$4:F$11&gt;F10)*(G$4:G$11=""))+1+SUMPRODUCT((J$4:J$11&lt;&gt;"")*(G$4:G$11="")*(J$4:J$11&lt;&gt;"No DD")),""))</f>
        <v/>
      </c>
      <c r="C10" s="5" t="s">
        <v>119</v>
      </c>
      <c r="D10" s="4" t="s">
        <v>4</v>
      </c>
      <c r="E10" s="4">
        <v>2004</v>
      </c>
      <c r="F10" s="9">
        <f>SUM(L10:V10)+SUM(L10:T10)*0.0000001+SUM(L10)*0.0000000000001</f>
        <v>115.47001154700413</v>
      </c>
      <c r="G10" s="64"/>
      <c r="H10" s="3" t="str">
        <f>IF(OR(AND(AO10&gt;=AY$13,AO10&lt;&gt;"",AQ10&gt;=AY$17,AQ10&lt;&gt;"",AN10=""),AND(AR10&gt;=AY$13,AR10&lt;&gt;"",AT10&gt;=AY$17,AT10&lt;&gt;"",AN10=""),AND(AV10&gt;=AY$13,AV10&lt;&gt;"",AX10&gt;=AY$17,AX10&lt;&gt;"",AN10=""),AND(BP10&gt;=BZ$13,BP10&lt;&gt;"",BR10&gt;=BZ$17,BR10&lt;&gt;"",BO10=""),AND(BS10&gt;=BZ$13,BS10&lt;&gt;"",BU10&gt;=BZ$17,BU10&lt;&gt;"",BO10=""),AND(BW10&gt;=BZ$13,BW10&lt;&gt;"",BY10&gt;=BZ$17,BY10&lt;&gt;"",BO10=""),AND(CQ10&gt;=DA$13,CQ10&lt;&gt;"",CS10&gt;=DA$17,CS10&lt;&gt;"",CP10=""),AND(CT10&gt;=DA$13,CT10&lt;&gt;"",CV10&gt;=DA$17,CV10&lt;&gt;"",CP10=""),AND(CX10&gt;=DA$13,CX10&lt;&gt;"",CZ10&gt;=DA$17,CZ10&lt;&gt;"",CP10=""),AND(DX10&gt;=EK$13,DX10&lt;&gt;"",DZ10&gt;=EK$17,DZ10&lt;&gt;""),AND(EA10&gt;=EK$13,EA10&lt;&gt;"",EC10&gt;=EK$17,EC10&lt;&gt;""),AND(EE10&gt;=EK$13,EE10&lt;&gt;"",EG10&gt;=EK$17,EG10&lt;&gt;""),AND(EH10&gt;=EK$13,EH10&lt;&gt;"",EJ10&gt;=EK$17,EJ10&lt;&gt;""),AND(FF10&gt;=FS$13,FF10&lt;&gt;"",FH10&gt;=FS$17,FH10&lt;&gt;""),AND(FI10&gt;=FS$13,FI10&lt;&gt;"",FK10&gt;=FS$17,FK10&lt;&gt;""),AND(FM10&gt;=FS$13,FM10&lt;&gt;"",FO10&gt;=FS$17,FO10&lt;&gt;""),AND(FP10&gt;=FS$13,FP10&lt;&gt;"",FR10&gt;=FS$17,FR10&lt;&gt;""),AND(GN10&gt;=HA$13,GN10&lt;&gt;"",GP10&gt;=HA$17,GP10&lt;&gt;""),AND(GQ10&gt;=HA$13,GQ10&lt;&gt;"",GS10&gt;=HA$17,GS10&lt;&gt;""),AND(GU10&gt;=HA$13,GU10&lt;&gt;"",GW10&gt;=HA$17,GW10&lt;&gt;""),AND(GX10&gt;=HA$13,GX10&lt;&gt;"",GZ10&gt;=HA$17,GZ10&lt;&gt;""),AND(HV10&gt;=II$13,HV10&lt;&gt;"",HX10&gt;=II$17,HX10&lt;&gt;""),AND(HY10&gt;=II$13,HY10&lt;&gt;"",IA10&gt;=II$17,IA10&lt;&gt;""),AND(IC10&gt;=II$13,IC10&lt;&gt;"",IE10&gt;=II$17,IE10&lt;&gt;""),AND(IF10&gt;=II$13,IF10&lt;&gt;"",IH10&gt;=II$17,IH10&lt;&gt;""),AND(JD10&gt;=JQ$13,JD10&lt;&gt;"",JF10&gt;=JQ$17,JF10&lt;&gt;""),AND(JG10&gt;=JQ$13,JG10&lt;&gt;"",JI10&gt;=JQ$17,JI10&lt;&gt;""),AND(JK10&gt;=JQ$13,JK10&lt;&gt;"",JM10&gt;=JQ$17,JM10&lt;&gt;""),AND(JN10&gt;=JQ$13,JN10&lt;&gt;"",JP10&gt;=JQ$17,JP10&lt;&gt;""),AND(KL10&gt;=KY$13,KL10&lt;&gt;"",KN10&gt;=KY$17,KN10&lt;&gt;""),AND(KO10&gt;=KY$13,KO10&lt;&gt;"",KQ10&gt;=KY$17,KQ10&lt;&gt;""),AND(KS10&gt;=KY$13,KS10&lt;&gt;"",KU10&gt;=KY$17,KU10&lt;&gt;""),AND(KV10&gt;=KY$13,KV10&lt;&gt;"",KX10&gt;=KY$17,KX10&lt;&gt;""),AND(LT10&gt;=MG$13,LT10&lt;&gt;"",LV10&gt;=MG$17,LV10&lt;&gt;""),AND(LW10&gt;=MG$13,LW10&lt;&gt;"",LY10&gt;=MG$17,LY10&lt;&gt;""),AND(MA10&gt;=MG$13,MA10&lt;&gt;"",MC10&gt;=MG$17,MC10&lt;&gt;""),AND(MD10&gt;=MG$13,MD10&lt;&gt;"",MF10&gt;=MG$17,MF10&lt;&gt;""),AND(NB10&gt;=NO$13,NB10&lt;&gt;"",ND10&gt;=NO$17,ND10&lt;&gt;""),AND(NE10&gt;=NO$13,NE10&lt;&gt;"",NG10&gt;=NO$17,NG10&lt;&gt;""),AND(NI10&gt;=NO$13,NI10&lt;&gt;"",NK10&gt;=NO$17,NK10&lt;&gt;""),AND(NL10&gt;=NO$13,NL10&lt;&gt;"",NN10&gt;=NO$17,NN10&lt;&gt;""),AND(OJ10&gt;=OW$13,OJ10&lt;&gt;"",OL10&gt;=OW$17,OL10&lt;&gt;""),AND(OM10&gt;=OW$13,OM10&lt;&gt;"",OO10&gt;=OW$17,OO10&lt;&gt;""),AND(OQ10&gt;=OW$13,OQ10&lt;&gt;"",OS10&gt;=OW$17,OS10&lt;&gt;""),AND(OT10&gt;=OW$13,OT10&lt;&gt;"",OV10&gt;=OW$17,OV10&lt;&gt;""),AND(PR10&gt;=QE$13,PR10&lt;&gt;"",PT10&gt;=QE$17,PT10&lt;&gt;""),AND(PU10&gt;=QE$13,PU10&lt;&gt;"",PW10&gt;=QE$17,PW10&lt;&gt;""),AND(PY10&gt;=QE$13,PY10&lt;&gt;"",QA10&gt;=QE$17,QA10&lt;&gt;""),AND(QB10&gt;=QE$13,QB10&lt;&gt;"",QD10&gt;=QE$17,QD10&lt;&gt;""),AND(QZ10&gt;=RM$13,QZ10&lt;&gt;"",RB10&gt;=RM$17,RB10&lt;&gt;""),AND(RC10&gt;=RM$13,RC10&lt;&gt;"",RE10&gt;=RM$17,RE10&lt;&gt;""),AND(RG10&gt;=RM$13,RG10&lt;&gt;"",RI10&gt;=RM$17,RI10&lt;&gt;""),AND(RJ10&gt;=RM$13,RJ10&lt;&gt;"",RL10&gt;=RM$17,RL10&lt;&gt;""),AND(SH10&gt;=SU$13,SH10&lt;&gt;"",SJ10&gt;=SU$17,SJ10&lt;&gt;""),AND(SK10&gt;=SU$13,SK10&lt;&gt;"",SM10&gt;=SU$17,SM10&lt;&gt;""),AND(SO10&gt;=SU$13,SO10&lt;&gt;"",SQ10&gt;=SU$17,SQ10&lt;&gt;""),AND(SR10&gt;=SU$13,SR10&lt;&gt;"",ST10&gt;=SU$17,ST10&lt;&gt;"")),"P","")</f>
        <v/>
      </c>
      <c r="I10" s="3" t="str">
        <f>IF(OR(AND(AQ10&gt;=AY$17,AQ10&lt;&gt;"",AN10=""),AND(AT10&gt;=AY$17,AT10&lt;&gt;"",AN10=""),AND(AX10&gt;=AY$17,AX10&lt;&gt;"",AN10=""),AND(BR10&gt;=BZ$17,BR10&lt;&gt;"",BO10=""),AND(BU10&gt;=BZ$17,BU10&lt;&gt;"",BO10=""),AND(BY10&gt;=BZ$17,BY10&lt;&gt;"",BO10=""),AND(CS10&gt;=DA$17,CS10&lt;&gt;"",CP10=""),AND(CV10&gt;=DA$17,CV10&lt;&gt;"",CP10=""),AND(CZ10&gt;=DA$17,CZ10&lt;&gt;"",CP10=""),AND(DZ10&gt;=EK$17,DZ10&lt;&gt;""),AND(EC10&gt;=EK$17,EC10&lt;&gt;""),AND(EG10&gt;=EK$17,EG10&lt;&gt;""),AND(EJ10&gt;=EK$17,EJ10&lt;&gt;""),AND(FH10&gt;=FS$17,FH10&lt;&gt;""),AND(FK10&gt;=FS$17,FK10&lt;&gt;""),AND(FO10&gt;=FS$17,FO10&lt;&gt;""),AND(FR10&gt;=FS$17,FR10&lt;&gt;""),AND(GP10&gt;=HA$17,GP10&lt;&gt;""),AND(GS10&gt;=HA$17,GS10&lt;&gt;""),AND(GW10&gt;=HA$17,GW10&lt;&gt;""),AND(GZ10&gt;=HA$17,GZ10&lt;&gt;""),AND(HX10&gt;=II$17,HX10&lt;&gt;""),AND(IA10&gt;=II$17,IA10&lt;&gt;""),AND(IE10&gt;=II$17,IE10&lt;&gt;""),AND(IH10&gt;=II$17,IH10&lt;&gt;""),AND(JF10&gt;=JQ$17,JF10&lt;&gt;""),AND(JI10&gt;=JQ$17,JI10&lt;&gt;""),AND(JM10&gt;=JQ$17,JM10&lt;&gt;""),AND(JP10&gt;=JQ$17,JP10&lt;&gt;""),AND(KN10&gt;=KY$17,KN10&lt;&gt;""),AND(KQ10&gt;=KY$17,KQ10&lt;&gt;""),AND(KU10&gt;=KY$17,KU10&lt;&gt;""),AND(KX10&gt;=KY$17,KX10&lt;&gt;""),AND(LV10&gt;=MG$17,LV10&lt;&gt;""),AND(LY10&gt;=MG$17,LY10&lt;&gt;""),AND(MC10&gt;=MG$17,MC10&lt;&gt;""),AND(MF10&gt;=MG$17,MF10&lt;&gt;""),AND(ND10&gt;=NO$17,ND10&lt;&gt;""),AND(NG10&gt;=NO$17,NG10&lt;&gt;""),AND(NK10&gt;=NO$17,NK10&lt;&gt;""),AND(NN10&gt;=NO$17,NN10&lt;&gt;""),AND(OL10&gt;=OW$17,OL10&lt;&gt;""),AND(OO10&gt;=OW$17,OO10&lt;&gt;""),AND(OS10&gt;=OW$17,OS10&lt;&gt;""),AND(OV10&gt;=OW$17,OV10&lt;&gt;""),AND(PT10&gt;=QE$17,PT10&lt;&gt;""),AND(PW10&gt;=QE$17,PW10&lt;&gt;""),AND(QA10&gt;=QE$17,QA10&lt;&gt;""),AND(QD10&gt;=QE$17,QD10&lt;&gt;""),AND(RB10&gt;=RM$17,RB10&lt;&gt;""),AND(RE10&gt;=RM$17,RE10&lt;&gt;""),AND(RI10&gt;=RM$17,RI10&lt;&gt;""),AND(RL10&gt;=RM$17,RL10&lt;&gt;""),AND(SJ10&gt;=SU$17,SJ10&lt;&gt;""),AND(SM10&gt;=SU$17,SM10&lt;&gt;""),AND(SQ10&gt;=SU$17,SQ10&lt;&gt;""),AND(ST10&gt;=SU$17,ST10&lt;&gt;"")),"P","")</f>
        <v/>
      </c>
      <c r="J10" s="36" t="str">
        <f>IF(AND(I10="P",H10=""),"No DD",IF(OR(AND(AO10&gt;=AY$16,AO10&lt;&gt;"",AQ10&gt;=AY$20,AQ10&lt;&gt;"",AN10=""),AND(AR10&gt;=AY$16,AR10&lt;&gt;"",AT10&gt;=AY$20,AT10&lt;&gt;"",AN10=""),AND(AV10&gt;=AY$16,AV10&lt;&gt;"",AX10&gt;=AY$20,AX10&lt;&gt;"",AN10=""),AND(BP10&gt;=BZ$16,BP10&lt;&gt;"",BR10&gt;=BZ$20,BR10&lt;&gt;"",BO10=""),AND(BS10&gt;=BZ$16,BS10&lt;&gt;"",BU10&gt;=BZ$20,BU10&lt;&gt;"",BO10=""),AND(BW10&gt;=BZ$16,BW10&lt;&gt;"",BY10&gt;=BZ$20,BY10&lt;&gt;"",BO10=""),AND(CQ10&gt;=DA$16,CQ10&lt;&gt;"",CS10&gt;=DA$20,CS10&lt;&gt;"",CP10=""),AND(CT10&gt;=DA$16,CT10&lt;&gt;"",CV10&gt;=DA$20,CV10&lt;&gt;"",CP10=""),AND(CX10&gt;=DA$16,CX10&lt;&gt;"",CZ10&gt;=DA$20,CZ10&lt;&gt;"",CP10=""),AND(DX10&gt;=EK$16,DX10&lt;&gt;"",DZ10&gt;=EK$20,DZ10&lt;&gt;""),AND(EA10&gt;=EK$16,EA10&lt;&gt;"",EC10&gt;=EK$20,EC10&lt;&gt;""),AND(EE10&gt;=EK$16,EE10&lt;&gt;"",EG10&gt;=EK$20,EG10&lt;&gt;""),AND(EH10&gt;=EK$16,EH10&lt;&gt;"",EJ10&gt;=EK$20,EJ10&lt;&gt;""),AND(FF10&gt;=FS$16,FF10&lt;&gt;"",FH10&gt;=FS$20,FH10&lt;&gt;""),AND(FI10&gt;=FS$16,FI10&lt;&gt;"",FK10&gt;=FS$20,FK10&lt;&gt;""),AND(FM10&gt;=FS$16,FM10&lt;&gt;"",FO10&gt;=FS$20,FO10&lt;&gt;""),AND(FP10&gt;=FS$16,FP10&lt;&gt;"",FR10&gt;=FS$20,FR10&lt;&gt;""),AND(GN10&gt;=HA$16,GN10&lt;&gt;"",GP10&gt;=HA$20,GP10&lt;&gt;""),AND(GQ10&gt;=HA$16,GQ10&lt;&gt;"",GS10&gt;=HA$20,GS10&lt;&gt;""),AND(GU10&gt;=HA$16,GU10&lt;&gt;"",GW10&gt;=HA$20,GW10&lt;&gt;""),AND(GX10&gt;=HA$16,GX10&lt;&gt;"",GZ10&gt;=HA$20,GZ10&lt;&gt;""),AND(HV10&gt;=II$16,HV10&lt;&gt;"",HX10&gt;=II$20,HX10&lt;&gt;""),AND(HY10&gt;=II$16,HY10&lt;&gt;"",IA10&gt;=II$20,IA10&lt;&gt;""),AND(IC10&gt;=II$16,IC10&lt;&gt;"",IE10&gt;=II$20,IE10&lt;&gt;""),AND(IF10&gt;=II$16,IF10&lt;&gt;"",IH10&gt;=II$20,IH10&lt;&gt;""),AND(JD10&gt;=JQ$16,JD10&lt;&gt;"",JF10&gt;=JQ$20,JF10&lt;&gt;""),AND(JG10&gt;=JQ$16,JG10&lt;&gt;"",JI10&gt;=JQ$20,JI10&lt;&gt;""),AND(JK10&gt;=JQ$16,JK10&lt;&gt;"",JM10&gt;=JQ$20,JM10&lt;&gt;""),AND(JN10&gt;=JQ$16,JN10&lt;&gt;"",JP10&gt;=JQ$20,JP10&lt;&gt;""),AND(KL10&gt;=KY$16,KL10&lt;&gt;"",KN10&gt;=KY$20,KN10&lt;&gt;""),AND(KO10&gt;=KY$16,KO10&lt;&gt;"",KQ10&gt;=KY$20,KQ10&lt;&gt;""),AND(KS10&gt;=KY$16,KS10&lt;&gt;"",KU10&gt;=KY$20,KU10&lt;&gt;""),AND(KV10&gt;=KY$16,KV10&lt;&gt;"",KX10&gt;=KY$20,KX10&lt;&gt;""),AND(LT10&gt;=MG$16,LT10&lt;&gt;"",LV10&gt;=MG$20,LV10&lt;&gt;""),AND(LW10&gt;=MG$16,LW10&lt;&gt;"",LY10&gt;=MG$20,LY10&lt;&gt;""),AND(MA10&gt;=MG$16,MA10&lt;&gt;"",MC10&gt;=MG$20,MC10&lt;&gt;""),AND(MD10&gt;=MG$16,MD10&lt;&gt;"",MF10&gt;=MG$20,MF10&lt;&gt;""),AND(NB10&gt;=NO$16,NB10&lt;&gt;"",ND10&gt;=NO$20,ND10&lt;&gt;""),AND(NE10&gt;=NO$16,NE10&lt;&gt;"",NG10&gt;=NO$20,NG10&lt;&gt;""),AND(NI10&gt;=NO$16,NI10&lt;&gt;"",NK10&gt;=NO$20,NK10&lt;&gt;""),AND(NL10&gt;=NO$16,NL10&lt;&gt;"",NN10&gt;=NO$20,NN10&lt;&gt;""),AND(OJ10&gt;=OW$16,OJ10&lt;&gt;"",OL10&gt;=OW$20,OL10&lt;&gt;""),AND(OM10&gt;=OW$16,OM10&lt;&gt;"",OO10&gt;=OW$20,OO10&lt;&gt;""),AND(OQ10&gt;=OW$16,OQ10&lt;&gt;"",OS10&gt;=OW$20,OS10&lt;&gt;""),AND(OT10&gt;=OW$16,OT10&lt;&gt;"",OV10&gt;=OW$20,OV10&lt;&gt;""),AND(PR10&gt;=QE$16,PR10&lt;&gt;"",PT10&gt;=QE$20,PT10&lt;&gt;""),AND(PU10&gt;=QE$16,PU10&lt;&gt;"",PW10&gt;=QE$20,PW10&lt;&gt;""),AND(PY10&gt;=QE$16,PY10&lt;&gt;"",QA10&gt;=QE$20,QA10&lt;&gt;""),AND(QB10&gt;=QE$16,QB10&lt;&gt;"",QD10&gt;=QE$20,QD10&lt;&gt;""),AND(QZ10&gt;=RM$16,QZ10&lt;&gt;"",RB10&gt;=RM$20,RB10&lt;&gt;""),AND(RC10&gt;=RM$16,RC10&lt;&gt;"",RE10&gt;=RM$20,RE10&lt;&gt;""),AND(RG10&gt;=RM$16,RG10&lt;&gt;"",RI10&gt;=RM$20,RI10&lt;&gt;""),AND(RJ10&gt;=RM$16,RJ10&lt;&gt;"",RL10&gt;=RM$20,RL10&lt;&gt;""),AND(SH10&gt;=SU$16,SH10&lt;&gt;"",SJ10&gt;=SU$20,SJ10&lt;&gt;""),AND(SK10&gt;=SU$16,SK10&lt;&gt;"",SM10&gt;=SU$20,SM10&lt;&gt;""),AND(SO10&gt;=SU$16,SO10&lt;&gt;"",SQ10&gt;=SU$20,SQ10&lt;&gt;""),AND(SR10&gt;=SU$16,SR10&lt;&gt;"",ST10&gt;=SU$20,ST10&lt;&gt;"")),"Merit",IF(OR(AND(AO10&gt;=AY$15,AO10&lt;&gt;"",AQ10&gt;=AY$19,AQ10&lt;&gt;"",AN10=""),AND(AR10&gt;=AY$15,AR10&lt;&gt;"",AT10&gt;=AY$19,AT10&lt;&gt;"",AN10=""),AND(AV10&gt;=AY$15,AV10&lt;&gt;"",AX10&gt;=AY$19,AX10&lt;&gt;"",AN10=""),AND(BP10&gt;=BZ$15,BP10&lt;&gt;"",BR10&gt;=BZ$19,BR10&lt;&gt;"",BO10=""),AND(BS10&gt;=BZ$15,BS10&lt;&gt;"",BU10&gt;=BZ$19,BU10&lt;&gt;"",BO10=""),AND(BW10&gt;=BZ$15,BW10&lt;&gt;"",BY10&gt;=BZ$19,BY10&lt;&gt;"",BO10=""),AND(CQ10&gt;=DA$15,CQ10&lt;&gt;"",CS10&gt;=DA$19,CS10&lt;&gt;"",CP10=""),AND(CT10&gt;=DA$15,CT10&lt;&gt;"",CV10&gt;=DA$19,CV10&lt;&gt;"",CP10=""),AND(CX10&gt;=DA$15,CX10&lt;&gt;"",CZ10&gt;=DA$19,CZ10&lt;&gt;"",CP10=""),AND(DX10&gt;=EK$15,DX10&lt;&gt;"",DZ10&gt;=EK$19,DZ10&lt;&gt;""),AND(EA10&gt;=EK$15,EA10&lt;&gt;"",EC10&gt;=EK$19,EC10&lt;&gt;""),AND(EE10&gt;=EK$15,EE10&lt;&gt;"",EG10&gt;=EK$19,EG10&lt;&gt;""),AND(EH10&gt;=EK$15,EH10&lt;&gt;"",EJ10&gt;=EK$19,EJ10&lt;&gt;""),AND(FF10&gt;=FS$15,FF10&lt;&gt;"",FH10&gt;=FS$19,FH10&lt;&gt;""),AND(FI10&gt;=FS$15,FI10&lt;&gt;"",FK10&gt;=FS$19,FK10&lt;&gt;""),AND(FM10&gt;=FS$15,FM10&lt;&gt;"",FO10&gt;=FS$19,FO10&lt;&gt;""),AND(FP10&gt;=FS$15,FP10&lt;&gt;"",FR10&gt;=FS$19,FR10&lt;&gt;""),AND(GN10&gt;=HA$15,GN10&lt;&gt;"",GP10&gt;=HA$19,GP10&lt;&gt;""),AND(GQ10&gt;=HA$15,GQ10&lt;&gt;"",GS10&gt;=HA$19,GS10&lt;&gt;""),AND(GU10&gt;=HA$15,GU10&lt;&gt;"",GW10&gt;=HA$19,GW10&lt;&gt;""),AND(GX10&gt;=HA$15,GX10&lt;&gt;"",GZ10&gt;=HA$19,GZ10&lt;&gt;""),AND(HV10&gt;=II$15,HV10&lt;&gt;"",HX10&gt;=II$19,HX10&lt;&gt;""),AND(HY10&gt;=II$15,HY10&lt;&gt;"",IA10&gt;=II$19,IA10&lt;&gt;""),AND(IC10&gt;=II$15,IC10&lt;&gt;"",IE10&gt;=II$19,IE10&lt;&gt;""),AND(IF10&gt;=II$15,IF10&lt;&gt;"",IH10&gt;=II$19,IH10&lt;&gt;""),AND(JD10&gt;=JQ$15,JD10&lt;&gt;"",JF10&gt;=JQ$19,JF10&lt;&gt;""),AND(JG10&gt;=JQ$15,JG10&lt;&gt;"",JI10&gt;=JQ$19,JI10&lt;&gt;""),AND(JK10&gt;=JQ$15,JK10&lt;&gt;"",JM10&gt;=JQ$19,JM10&lt;&gt;""),AND(JN10&gt;=JQ$15,JN10&lt;&gt;"",JP10&gt;=JQ$19,JP10&lt;&gt;""),AND(KL10&gt;=KY$15,KL10&lt;&gt;"",KN10&gt;=KY$19,KN10&lt;&gt;""),AND(KO10&gt;=KY$15,KO10&lt;&gt;"",KQ10&gt;=KY$19,KQ10&lt;&gt;""),AND(KS10&gt;=KY$15,KS10&lt;&gt;"",KU10&gt;=KY$19,KU10&lt;&gt;""),AND(KV10&gt;=KY$15,KV10&lt;&gt;"",KX10&gt;=KY$19,KX10&lt;&gt;""),AND(LT10&gt;=MG$15,LT10&lt;&gt;"",LV10&gt;=MG$19,LV10&lt;&gt;""),AND(LW10&gt;=MG$15,LW10&lt;&gt;"",LY10&gt;=MG$19,LY10&lt;&gt;""),AND(MA10&gt;=MG$15,MA10&lt;&gt;"",MC10&gt;=MG$19,MC10&lt;&gt;""),AND(MD10&gt;=MG$15,MD10&lt;&gt;"",MF10&gt;=MG$19,MF10&lt;&gt;""),AND(NB10&gt;=NO$15,NB10&lt;&gt;"",ND10&gt;=NO$19,ND10&lt;&gt;""),AND(NE10&gt;=NO$15,NE10&lt;&gt;"",NG10&gt;=NO$19,NG10&lt;&gt;""),AND(NI10&gt;=NO$15,NI10&lt;&gt;"",NK10&gt;=NO$19,NK10&lt;&gt;""),AND(NL10&gt;=NO$15,NL10&lt;&gt;"",NN10&gt;=NO$19,NN10&lt;&gt;""),AND(OJ10&gt;=OW$15,OJ10&lt;&gt;"",OL10&gt;=OW$19,OL10&lt;&gt;""),AND(OM10&gt;=OW$15,OM10&lt;&gt;"",OO10&gt;=OW$19,OO10&lt;&gt;""),AND(OQ10&gt;=OW$15,OQ10&lt;&gt;"",OS10&gt;=OW$19,OS10&lt;&gt;""),AND(OT10&gt;=OW$15,OT10&lt;&gt;"",OV10&gt;=OW$19,OV10&lt;&gt;""),AND(PR10&gt;=QE$15,PR10&lt;&gt;"",PT10&gt;=QE$19,PT10&lt;&gt;""),AND(PU10&gt;=QE$15,PU10&lt;&gt;"",PW10&gt;=QE$19,PW10&lt;&gt;""),AND(PY10&gt;=QE$15,PY10&lt;&gt;"",QA10&gt;=QE$19,QA10&lt;&gt;""),AND(QB10&gt;=QE$15,QB10&lt;&gt;"",QD10&gt;=QE$19,QD10&lt;&gt;""),AND(QZ10&gt;=RM$15,QZ10&lt;&gt;"",RB10&gt;=RM$19,RB10&lt;&gt;""),AND(RC10&gt;=RM$15,RC10&lt;&gt;"",RE10&gt;=RM$19,RE10&lt;&gt;""),AND(RG10&gt;=RM$15,RG10&lt;&gt;"",RI10&gt;=RM$19,RI10&lt;&gt;""),AND(RJ10&gt;=RM$15,RJ10&lt;&gt;"",RL10&gt;=RM$19,RL10&lt;&gt;""),AND(SH10&gt;=SU$15,SH10&lt;&gt;"",SJ10&gt;=SU$19,SJ10&lt;&gt;""),AND(SK10&gt;=SU$15,SK10&lt;&gt;"",SM10&gt;=SU$19,SM10&lt;&gt;""),AND(SO10&gt;=SU$15,SO10&lt;&gt;"",SQ10&gt;=SU$19,SQ10&lt;&gt;""),AND(SR10&gt;=SU$15,SR10&lt;&gt;"",ST10&gt;=SU$19,ST10&lt;&gt;"")),"Excellence",IF(K10="P","Worlds Team",IF(H10="P","National Team","")))))</f>
        <v/>
      </c>
      <c r="K10" s="3" t="str">
        <f>IF(OR(AND(AO10&gt;=AY$14,AO10&lt;&gt;"",AQ10&gt;=AY$18,AQ10&lt;&gt;"",AN10=""),AND(AR10&gt;=AY$14,AR10&lt;&gt;"",AT10&gt;=AY$18,AT10&lt;&gt;"",AN10=""),AND(AV10&gt;=AY$14,AV10&lt;&gt;"",AX10&gt;=AY$18,AX10&lt;&gt;"",AN10=""),AND(BP10&gt;=BZ$14,BP10&lt;&gt;"",BR10&gt;=BZ$18,BR10&lt;&gt;"",BO10=""),AND(BS10&gt;=BZ$14,BS10&lt;&gt;"",BU10&gt;=BZ$18,BU10&lt;&gt;"",BO10=""),AND(BW10&gt;=BZ$14,BW10&lt;&gt;"",BY10&gt;=BZ$18,BY10&lt;&gt;"",BO10=""),AND(CQ10&gt;=DA$14,CQ10&lt;&gt;"",CS10&gt;=DA$18,CS10&lt;&gt;"",CP10=""),AND(CT10&gt;=DA$14,CT10&lt;&gt;"",CV10&gt;=DA$18,CV10&lt;&gt;"",CP10=""),AND(CX10&gt;=DA$14,CX10&lt;&gt;"",CZ10&gt;=DA$18,CZ10&lt;&gt;"",CP10=""),AND(DX10&gt;=EK$14,DX10&lt;&gt;"",DZ10&gt;=EK$18,DZ10&lt;&gt;""),AND(EA10&gt;=EK$14,EA10&lt;&gt;"",EC10&gt;=EK$18,EC10&lt;&gt;""),AND(EE10&gt;=EK$14,EE10&lt;&gt;"",EG10&gt;=EK$18,EG10&lt;&gt;""),AND(EH10&gt;=EK$14,EH10&lt;&gt;"",EJ10&gt;=EK$18,EJ10&lt;&gt;""),AND(FF10&gt;=FS$14,FF10&lt;&gt;"",FH10&gt;=FS$18,FH10&lt;&gt;""),AND(FI10&gt;=FS$14,FI10&lt;&gt;"",FK10&gt;=FS$18,FK10&lt;&gt;""),AND(FM10&gt;=FS$14,FM10&lt;&gt;"",FO10&gt;=FS$18,FO10&lt;&gt;""),AND(FP10&gt;=FS$14,FP10&lt;&gt;"",FR10&gt;=FS$18,FR10&lt;&gt;""),AND(GN10&gt;=HA$14,GN10&lt;&gt;"",GP10&gt;=HA$18,GP10&lt;&gt;""),AND(GQ10&gt;=HA$14,GQ10&lt;&gt;"",GS10&gt;=HA$18,GS10&lt;&gt;""),AND(GU10&gt;=HA$14,GU10&lt;&gt;"",GW10&gt;=HA$18,GW10&lt;&gt;""),AND(GX10&gt;=HA$14,GX10&lt;&gt;"",GZ10&gt;=HA$18,GZ10&lt;&gt;""),AND(HV10&gt;=II$14,HV10&lt;&gt;"",HX10&gt;=II$18,HX10&lt;&gt;""),AND(HY10&gt;=II$14,HY10&lt;&gt;"",IA10&gt;=II$18,IA10&lt;&gt;""),AND(IC10&gt;=II$14,IC10&lt;&gt;"",IE10&gt;=II$18,IE10&lt;&gt;""),AND(IF10&gt;=II$14,IF10&lt;&gt;"",IH10&gt;=II$18,IH10&lt;&gt;""),AND(JD10&gt;=JQ$14,JD10&lt;&gt;"",JF10&gt;=JQ$18,JF10&lt;&gt;""),AND(JG10&gt;=JQ$14,JG10&lt;&gt;"",JI10&gt;=JQ$18,JI10&lt;&gt;""),AND(JK10&gt;=JQ$14,JK10&lt;&gt;"",JM10&gt;=JQ$18,JM10&lt;&gt;""),AND(JN10&gt;=JQ$14,JN10&lt;&gt;"",JP10&gt;=JQ$18,JP10&lt;&gt;""),AND(KL10&gt;=KY$14,KL10&lt;&gt;"",KN10&gt;=KY$18,KN10&lt;&gt;""),AND(KO10&gt;=KY$14,KO10&lt;&gt;"",KQ10&gt;=KY$18,KQ10&lt;&gt;""),AND(KS10&gt;=KY$14,KS10&lt;&gt;"",KU10&gt;=KY$18,KU10&lt;&gt;""),AND(KV10&gt;=KY$14,KV10&lt;&gt;"",KX10&gt;=KY$18,KX10&lt;&gt;""),AND(LT10&gt;=MG$14,LT10&lt;&gt;"",LV10&gt;=MG$18,LV10&lt;&gt;""),AND(LW10&gt;=MG$14,LW10&lt;&gt;"",LY10&gt;=MG$18,LY10&lt;&gt;""),AND(MA10&gt;=MG$14,MA10&lt;&gt;"",MC10&gt;=MG$18,MC10&lt;&gt;""),AND(MD10&gt;=MG$14,MD10&lt;&gt;"",MF10&gt;=MG$18,MF10&lt;&gt;""),AND(NB10&gt;=NO$14,NB10&lt;&gt;"",ND10&gt;=NO$18,ND10&lt;&gt;""),AND(NE10&gt;=NO$14,NE10&lt;&gt;"",NG10&gt;=NO$18,NG10&lt;&gt;""),AND(NI10&gt;=NO$14,NI10&lt;&gt;"",NK10&gt;=NO$18,NK10&lt;&gt;""),AND(NL10&gt;=NO$14,NL10&lt;&gt;"",NN10&gt;=NO$18,NN10&lt;&gt;""),AND(OJ10&gt;=OW$14,OJ10&lt;&gt;"",OL10&gt;=OW$18,OL10&lt;&gt;""),AND(OM10&gt;=OW$14,OM10&lt;&gt;"",OO10&gt;=OW$18,OO10&lt;&gt;""),AND(OQ10&gt;=OW$14,OQ10&lt;&gt;"",OS10&gt;=OW$18,OS10&lt;&gt;""),AND(OT10&gt;=OW$14,OT10&lt;&gt;"",OV10&gt;=OW$18,OV10&lt;&gt;""),AND(PR10&gt;=QE$14,PR10&lt;&gt;"",PT10&gt;=QE$18,PT10&lt;&gt;""),AND(PU10&gt;=QE$14,PU10&lt;&gt;"",PW10&gt;=QE$18,PW10&lt;&gt;""),AND(PY10&gt;=QE$14,PY10&lt;&gt;"",QA10&gt;=QE$18,QA10&lt;&gt;""),AND(QB10&gt;=QE$14,QB10&lt;&gt;"",QD10&gt;=QE$18,QD10&lt;&gt;""),AND(QZ10&gt;=RM$14,QZ10&lt;&gt;"",RB10&gt;=RM$18,RB10&lt;&gt;""),AND(RC10&gt;=RM$14,RC10&lt;&gt;"",RE10&gt;=RM$18,RE10&lt;&gt;""),AND(RG10&gt;=RM$14,RG10&lt;&gt;"",RI10&gt;=RM$18,RI10&lt;&gt;""),AND(RJ10&gt;=RM$14,RJ10&lt;&gt;"",RL10&gt;=RM$18,RL10&lt;&gt;""),AND(SH10&gt;=SU$14,SH10&lt;&gt;"",SJ10&gt;=SU$18,SJ10&lt;&gt;""),AND(SK10&gt;=SU$14,SK10&lt;&gt;"",SM10&gt;=SU$18,SM10&lt;&gt;""),AND(SO10&gt;=SU$14,SO10&lt;&gt;"",SQ10&gt;=SU$18,SQ10&lt;&gt;""),AND(SR10&gt;=SU$14,SR10&lt;&gt;"",ST10&gt;=SU$18,ST10&lt;&gt;"")),"P","")</f>
        <v/>
      </c>
      <c r="L10" s="8">
        <f>IF(COUNT(AQ10,AT10,BR10,BU10,CS10,CV10)&gt;0,LARGE((AQ10,AT10,BR10,BU10,CS10,CV10),1),0)</f>
        <v>41.37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23.55</v>
      </c>
      <c r="O10" s="8" t="str">
        <f>IF(N10="","",IF(OR(N10=CS10,N10=CV10),$CA$1,IF(OR(N10=BR10,N10=BU10),$AZ$1,IF(OR(N10=AQ10,N10=AT10),$Y$1,""))))</f>
        <v>2025 Elite Canada</v>
      </c>
      <c r="P10" s="8">
        <f>IF(COUNT(AQ10,AT10,BR10,BU10,CS10,CV10)&gt;2,MAX(AX10,BY10,CZ10,LARGE((AQ10,AT10,BR10,BU10,CS10,CV10),3)),IF(MAX(AX10,BY10,CZ10)&gt;0,MAX(AX10,BY10,CZ10),0))</f>
        <v>41.45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&gt;0,MAX(IF(AO10&gt;=$AY$13,AP10,0),IF(AR10&gt;=$AY$13,AS10,0),IF(AV10&gt;=$AY$13,AW10,0),IF(BP10&gt;=$BZ$13,BQ10,0),IF(BS10&gt;=$BZ$13,BT10,0),IF(BW10&gt;=$BZ$13,BX10,0),IF(CQ10&gt;=$DA$13,CR10,0),IF(CT10&gt;=$DA$13,CU10,0),IF(CX10&gt;=$DA$13,CY10,0),IF(DX10&gt;=$EK$13,DY10,0),IF(EA10&gt;=$EK$13,EB10,0),IF(EE10&gt;=$EK$13,EF10,0),IF(EH10&gt;=$EK$13,EI10,0),IF(FF10&gt;=$FS$13,FG10,0),IF(FI10&gt;=$FS$13,FJ10,0),IF(FM10&gt;=$FS$13,FN10,0),IF(FP10&gt;=$FS$13,FQ10,0),IF(GN10&gt;=$HA$13,GO10,0),IF(GQ10&gt;=$HA$13,GR10,0),IF(GU10&gt;=$HA$13,GV10,0),IF(GX10&gt;=$HA$13,GY10,0),IF(HV10&gt;=$II$13,HW10,0),IF(HY10&gt;=$II$13,HZ10,0),IF(IC10&gt;=$II$13,ID10,0),IF(IF10&gt;=$II$13,IG10,0),IF(JD10&gt;=$JQ$13,JE10,0),IF(JG10&gt;=$JQ$13,JH10,0),IF(JK10&gt;=$JQ$13,JL10,0),IF(JN10&gt;=$JQ$13,JO10,0),IF(KL10&gt;=$KY$13,KM10,0),IF(KO10&gt;=$KY$13,KP10,0),IF(KS10&gt;=$KY$13,KT10,0),IF(KV10&gt;=$KY$13,KW10,0),IF(LT10&gt;=$MG$13,LU10,0),IF(LW10&gt;=$MG$13,LX10,0),IF(MA10&gt;=$MG$13,MB10,0),IF(MD10&gt;=$MG$13,ME10,0),IF(NB10&gt;=$NO$13,NC10,0),IF(NE10&gt;=$NO$13,NF10,0),IF(NI10&gt;=$NO$13,NJ10,0),IF(NL10&gt;=$NO$13,NM10,0),IF(OJ10&gt;=$OW$13,OK10,0),IF(OM10&gt;=$OW$13,ON10,0),IF(OQ10&gt;=$OW$13,OR10,0),IF(OT10&gt;=$OW$13,OU10,0),IF(PR10&gt;=$QE$13,PS10,0),IF(PU10&gt;=$QE$13,PV10,0),IF(PY10&gt;=$QE$13,PZ10,0),IF(QB10&gt;=$QE$13,QC10,0),IF(QZ10&gt;=$RM$13,RA10,0),IF(RC10&gt;=$RM$13,RD10,0),IF(RG10&gt;=$RM$13,RH10,0),IF(RJ10&gt;=$RM$13,RK10,0),IF(SH10&gt;=$SU$13,SI10,0),IF(SK10&gt;=$SU$13,SL10,0),IF(SO10&gt;=$SU$13,SP10,0),IF(SR10&gt;=$SU$13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6.3</v>
      </c>
      <c r="Z10" s="22">
        <v>4.7</v>
      </c>
      <c r="AA10" s="22">
        <v>5.8</v>
      </c>
      <c r="AB10" s="22">
        <v>6.75</v>
      </c>
      <c r="AC10" s="22">
        <v>0</v>
      </c>
      <c r="AD10" s="22">
        <v>12.7</v>
      </c>
      <c r="AE10" s="22">
        <v>8.6</v>
      </c>
      <c r="AF10" s="22">
        <v>7.6</v>
      </c>
      <c r="AG10" s="22">
        <v>12.47</v>
      </c>
      <c r="AH10" s="22">
        <v>0</v>
      </c>
      <c r="AI10" s="22">
        <v>13.7</v>
      </c>
      <c r="AJ10" s="22">
        <v>8.9</v>
      </c>
      <c r="AK10" s="22">
        <v>9.1</v>
      </c>
      <c r="AL10" s="22">
        <v>13.35</v>
      </c>
      <c r="AM10" s="22">
        <v>3.6</v>
      </c>
      <c r="AN10" s="27"/>
      <c r="AO10" s="38">
        <f>IF(AA10&gt;0,AA10,"")</f>
        <v>5.8</v>
      </c>
      <c r="AP10" s="38">
        <f>IF(AB10&gt;0,AB10,"")</f>
        <v>6.75</v>
      </c>
      <c r="AQ10" s="40">
        <f>IF(SUM(Y10:AB10)-AC10&gt;0,SUM(Y10:AB10)-AC10,"")</f>
        <v>23.55</v>
      </c>
      <c r="AR10" s="40">
        <f>IF(AF10&gt;0,AF10,"")</f>
        <v>7.6</v>
      </c>
      <c r="AS10" s="40">
        <f>IF(AG10&gt;0,AG10,"")</f>
        <v>12.47</v>
      </c>
      <c r="AT10" s="40">
        <f>IF(SUM(AD10:AG10)-AH10&gt;0,SUM(AD10:AG10)-AH10,"")</f>
        <v>41.37</v>
      </c>
      <c r="AU10" s="40">
        <f>IF(AQ10="","",MAX(AQ10,AT10))</f>
        <v>41.37</v>
      </c>
      <c r="AV10" s="40">
        <f>IF(AK10&gt;0,AK10,"")</f>
        <v>9.1</v>
      </c>
      <c r="AW10" s="40">
        <f>IF(AL10&gt;0,AL10,"")</f>
        <v>13.35</v>
      </c>
      <c r="AX10" s="40">
        <f>IF(SUM(AI10:AL10)-AM10&gt;0,SUM(AI10:AL10)-AM10,"")</f>
        <v>41.45</v>
      </c>
      <c r="AY10" s="40">
        <f>IF(SUM(AU10,AX10)&gt;0,SUM(AU10,AX10),"")</f>
        <v>82.82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C11" s="5"/>
      <c r="E11" s="1"/>
    </row>
    <row r="12" spans="1:542" x14ac:dyDescent="0.2">
      <c r="I12" s="36"/>
      <c r="K12" s="36"/>
    </row>
    <row r="13" spans="1:542" x14ac:dyDescent="0.2">
      <c r="C13" s="23" t="s">
        <v>44</v>
      </c>
      <c r="D13" s="5"/>
      <c r="I13" s="3"/>
      <c r="AR13" s="41"/>
      <c r="AS13" s="41"/>
      <c r="AT13" s="41"/>
      <c r="AV13" s="32"/>
      <c r="AW13" s="32"/>
      <c r="AY13" s="53">
        <v>12.7</v>
      </c>
      <c r="BS13" s="41"/>
      <c r="BT13" s="41"/>
      <c r="BU13" s="41"/>
      <c r="BW13" s="32"/>
      <c r="BX13" s="32"/>
      <c r="BZ13" s="53">
        <v>12.7</v>
      </c>
      <c r="CT13" s="41"/>
      <c r="CU13" s="41"/>
      <c r="CV13" s="41"/>
      <c r="CX13" s="32"/>
      <c r="CY13" s="32"/>
      <c r="DA13" s="53">
        <v>12.7</v>
      </c>
      <c r="DX13" s="5"/>
      <c r="DY13" s="5"/>
      <c r="EH13" s="2"/>
      <c r="EI13" s="2"/>
      <c r="EK13" s="53">
        <v>12.7</v>
      </c>
      <c r="FF13" s="5"/>
      <c r="FG13" s="5"/>
      <c r="FP13" s="2"/>
      <c r="FQ13" s="2"/>
      <c r="FS13" s="53">
        <v>12.7</v>
      </c>
      <c r="GN13" s="5"/>
      <c r="GO13" s="5"/>
      <c r="GX13" s="2"/>
      <c r="GY13" s="2"/>
      <c r="HA13" s="53">
        <v>12.7</v>
      </c>
      <c r="HV13" s="5"/>
      <c r="HW13" s="5"/>
      <c r="IF13" s="2"/>
      <c r="IG13" s="2"/>
      <c r="II13" s="53">
        <v>12.7</v>
      </c>
      <c r="JD13" s="5"/>
      <c r="JE13" s="5"/>
      <c r="JN13" s="2"/>
      <c r="JO13" s="2"/>
      <c r="JQ13" s="53">
        <v>12.7</v>
      </c>
      <c r="KL13" s="5"/>
      <c r="KM13" s="5"/>
      <c r="KV13" s="2"/>
      <c r="KW13" s="2"/>
      <c r="KY13" s="53">
        <v>12.7</v>
      </c>
      <c r="LT13" s="5"/>
      <c r="LU13" s="5"/>
      <c r="MD13" s="2"/>
      <c r="ME13" s="2"/>
      <c r="MG13" s="53">
        <v>12.7</v>
      </c>
      <c r="NB13" s="5"/>
      <c r="NC13" s="5"/>
      <c r="NL13" s="2"/>
      <c r="NM13" s="2"/>
      <c r="NO13" s="53">
        <v>12.7</v>
      </c>
      <c r="OJ13" s="5"/>
      <c r="OK13" s="5"/>
      <c r="OT13" s="2"/>
      <c r="OU13" s="2"/>
      <c r="OW13" s="53">
        <v>12.7</v>
      </c>
      <c r="PR13" s="5"/>
      <c r="PS13" s="5"/>
      <c r="QB13" s="2"/>
      <c r="QC13" s="2"/>
      <c r="QE13" s="53">
        <v>12.7</v>
      </c>
      <c r="QZ13" s="5"/>
      <c r="RA13" s="5"/>
      <c r="RJ13" s="2"/>
      <c r="RK13" s="2"/>
      <c r="RM13" s="53">
        <v>12.7</v>
      </c>
      <c r="SH13" s="5"/>
      <c r="SI13" s="5"/>
      <c r="SR13" s="2"/>
      <c r="SS13" s="2"/>
      <c r="SU13" s="53">
        <v>12.7</v>
      </c>
    </row>
    <row r="14" spans="1:542" hidden="1" x14ac:dyDescent="0.2">
      <c r="C14" s="30" t="s">
        <v>43</v>
      </c>
      <c r="D14" s="5"/>
      <c r="X14" s="2"/>
      <c r="AR14" s="41"/>
      <c r="AS14" s="41"/>
      <c r="AT14" s="41"/>
      <c r="AV14" s="32"/>
      <c r="AW14" s="32"/>
      <c r="AY14" s="54">
        <v>1000</v>
      </c>
      <c r="BS14" s="41"/>
      <c r="BT14" s="41"/>
      <c r="BU14" s="41"/>
      <c r="BW14" s="32"/>
      <c r="BX14" s="32"/>
      <c r="BZ14" s="54">
        <v>1000</v>
      </c>
      <c r="CT14" s="41"/>
      <c r="CU14" s="41"/>
      <c r="CV14" s="41"/>
      <c r="CX14" s="32"/>
      <c r="CY14" s="32"/>
      <c r="DA14" s="54">
        <v>1000</v>
      </c>
      <c r="DX14" s="5"/>
      <c r="DY14" s="5"/>
      <c r="EH14" s="2"/>
      <c r="EI14" s="2"/>
      <c r="EK14" s="54">
        <v>1000</v>
      </c>
      <c r="FF14" s="5"/>
      <c r="FG14" s="5"/>
      <c r="FP14" s="2"/>
      <c r="FQ14" s="2"/>
      <c r="FS14" s="54">
        <v>1000</v>
      </c>
      <c r="GN14" s="5"/>
      <c r="GO14" s="5"/>
      <c r="GX14" s="2"/>
      <c r="GY14" s="2"/>
      <c r="HA14" s="54">
        <v>1000</v>
      </c>
      <c r="HV14" s="5"/>
      <c r="HW14" s="5"/>
      <c r="IF14" s="2"/>
      <c r="IG14" s="2"/>
      <c r="II14" s="54">
        <v>1000</v>
      </c>
      <c r="JD14" s="5"/>
      <c r="JE14" s="5"/>
      <c r="JN14" s="2"/>
      <c r="JO14" s="2"/>
      <c r="JQ14" s="54">
        <v>1000</v>
      </c>
      <c r="KL14" s="5"/>
      <c r="KM14" s="5"/>
      <c r="KV14" s="2"/>
      <c r="KW14" s="2"/>
      <c r="KY14" s="54">
        <v>1000</v>
      </c>
      <c r="LT14" s="5"/>
      <c r="LU14" s="5"/>
      <c r="MD14" s="2"/>
      <c r="ME14" s="2"/>
      <c r="MG14" s="54">
        <v>1000</v>
      </c>
      <c r="NB14" s="5"/>
      <c r="NC14" s="5"/>
      <c r="NL14" s="2"/>
      <c r="NM14" s="2"/>
      <c r="NO14" s="54">
        <v>1000</v>
      </c>
      <c r="OJ14" s="5"/>
      <c r="OK14" s="5"/>
      <c r="OT14" s="2"/>
      <c r="OU14" s="2"/>
      <c r="OW14" s="54">
        <v>1000</v>
      </c>
      <c r="PR14" s="5"/>
      <c r="PS14" s="5"/>
      <c r="QB14" s="2"/>
      <c r="QC14" s="2"/>
      <c r="QE14" s="54">
        <v>1000</v>
      </c>
      <c r="QZ14" s="5"/>
      <c r="RA14" s="5"/>
      <c r="RJ14" s="2"/>
      <c r="RK14" s="2"/>
      <c r="RM14" s="54">
        <v>1000</v>
      </c>
      <c r="SH14" s="5"/>
      <c r="SI14" s="5"/>
      <c r="SR14" s="2"/>
      <c r="SS14" s="2"/>
      <c r="SU14" s="54">
        <v>1000</v>
      </c>
    </row>
    <row r="15" spans="1:542" hidden="1" x14ac:dyDescent="0.2">
      <c r="A15" s="5"/>
      <c r="B15" s="5"/>
      <c r="C15" s="31" t="s">
        <v>55</v>
      </c>
      <c r="D15" s="5"/>
      <c r="F15" s="2"/>
      <c r="G15" s="64"/>
      <c r="AR15" s="41"/>
      <c r="AS15" s="41"/>
      <c r="AT15" s="41"/>
      <c r="AU15" s="32"/>
      <c r="AV15" s="32"/>
      <c r="AW15" s="32"/>
      <c r="AX15" s="32"/>
      <c r="AY15" s="55">
        <v>1000</v>
      </c>
      <c r="BS15" s="41"/>
      <c r="BT15" s="41"/>
      <c r="BU15" s="41"/>
      <c r="BW15" s="32"/>
      <c r="BX15" s="32"/>
      <c r="BZ15" s="55">
        <v>1000</v>
      </c>
      <c r="CT15" s="41"/>
      <c r="CU15" s="41"/>
      <c r="CV15" s="41"/>
      <c r="CW15" s="32"/>
      <c r="CX15" s="32"/>
      <c r="CY15" s="32"/>
      <c r="CZ15" s="32"/>
      <c r="DA15" s="55">
        <v>1000</v>
      </c>
      <c r="DX15" s="5"/>
      <c r="DY15" s="5"/>
      <c r="EH15" s="2"/>
      <c r="EI15" s="2"/>
      <c r="EK15" s="55">
        <v>1000</v>
      </c>
      <c r="FF15" s="5"/>
      <c r="FG15" s="5"/>
      <c r="FP15" s="2"/>
      <c r="FQ15" s="2"/>
      <c r="FS15" s="55">
        <v>1000</v>
      </c>
      <c r="GN15" s="5"/>
      <c r="GO15" s="5"/>
      <c r="GX15" s="2"/>
      <c r="GY15" s="2"/>
      <c r="HA15" s="55">
        <v>1000</v>
      </c>
      <c r="HV15" s="5"/>
      <c r="HW15" s="5"/>
      <c r="IF15" s="2"/>
      <c r="IG15" s="2"/>
      <c r="II15" s="55">
        <v>1000</v>
      </c>
      <c r="JD15" s="5"/>
      <c r="JE15" s="5"/>
      <c r="JN15" s="2"/>
      <c r="JO15" s="2"/>
      <c r="JQ15" s="55">
        <v>1000</v>
      </c>
      <c r="KL15" s="5"/>
      <c r="KM15" s="5"/>
      <c r="KV15" s="2"/>
      <c r="KW15" s="2"/>
      <c r="KY15" s="55">
        <v>1000</v>
      </c>
      <c r="LT15" s="5"/>
      <c r="LU15" s="5"/>
      <c r="MD15" s="2"/>
      <c r="ME15" s="2"/>
      <c r="MG15" s="55">
        <v>1000</v>
      </c>
      <c r="NB15" s="5"/>
      <c r="NC15" s="5"/>
      <c r="NL15" s="2"/>
      <c r="NM15" s="2"/>
      <c r="NO15" s="55">
        <v>1000</v>
      </c>
      <c r="OJ15" s="5"/>
      <c r="OK15" s="5"/>
      <c r="OT15" s="2"/>
      <c r="OU15" s="2"/>
      <c r="OW15" s="55">
        <v>1000</v>
      </c>
      <c r="PR15" s="5"/>
      <c r="PS15" s="5"/>
      <c r="QB15" s="2"/>
      <c r="QC15" s="2"/>
      <c r="QE15" s="55">
        <v>1000</v>
      </c>
      <c r="QZ15" s="5"/>
      <c r="RA15" s="5"/>
      <c r="RJ15" s="2"/>
      <c r="RK15" s="2"/>
      <c r="RM15" s="55">
        <v>1000</v>
      </c>
      <c r="SH15" s="5"/>
      <c r="SI15" s="5"/>
      <c r="SR15" s="2"/>
      <c r="SS15" s="2"/>
      <c r="SU15" s="55">
        <v>1000</v>
      </c>
    </row>
    <row r="16" spans="1:542" hidden="1" x14ac:dyDescent="0.2">
      <c r="A16" s="5"/>
      <c r="B16" s="5"/>
      <c r="C16" s="35" t="s">
        <v>60</v>
      </c>
      <c r="D16" s="5"/>
      <c r="F16" s="2"/>
      <c r="G16" s="64"/>
      <c r="AR16" s="41"/>
      <c r="AS16" s="41"/>
      <c r="AT16" s="41"/>
      <c r="AU16" s="32"/>
      <c r="AV16" s="32"/>
      <c r="AW16" s="32"/>
      <c r="AX16" s="32"/>
      <c r="AY16" s="56">
        <v>1000</v>
      </c>
      <c r="BS16" s="41"/>
      <c r="BT16" s="41"/>
      <c r="BU16" s="41"/>
      <c r="BW16" s="32"/>
      <c r="BX16" s="32"/>
      <c r="BZ16" s="56">
        <v>1000</v>
      </c>
      <c r="CT16" s="41"/>
      <c r="CU16" s="41"/>
      <c r="CV16" s="41"/>
      <c r="CW16" s="32"/>
      <c r="CX16" s="32"/>
      <c r="CY16" s="32"/>
      <c r="CZ16" s="32"/>
      <c r="DA16" s="56">
        <v>1000</v>
      </c>
      <c r="DX16" s="5"/>
      <c r="DY16" s="5"/>
      <c r="EH16" s="2"/>
      <c r="EI16" s="2"/>
      <c r="EK16" s="56">
        <v>1000</v>
      </c>
      <c r="FF16" s="5"/>
      <c r="FG16" s="5"/>
      <c r="FP16" s="2"/>
      <c r="FQ16" s="2"/>
      <c r="FS16" s="56">
        <v>1000</v>
      </c>
      <c r="GN16" s="5"/>
      <c r="GO16" s="5"/>
      <c r="GX16" s="2"/>
      <c r="GY16" s="2"/>
      <c r="HA16" s="56">
        <v>1000</v>
      </c>
      <c r="HV16" s="5"/>
      <c r="HW16" s="5"/>
      <c r="IF16" s="2"/>
      <c r="IG16" s="2"/>
      <c r="II16" s="56">
        <v>1000</v>
      </c>
      <c r="JD16" s="5"/>
      <c r="JE16" s="5"/>
      <c r="JN16" s="2"/>
      <c r="JO16" s="2"/>
      <c r="JQ16" s="56">
        <v>1000</v>
      </c>
      <c r="KL16" s="5"/>
      <c r="KM16" s="5"/>
      <c r="KV16" s="2"/>
      <c r="KW16" s="2"/>
      <c r="KY16" s="56">
        <v>1000</v>
      </c>
      <c r="LT16" s="5"/>
      <c r="LU16" s="5"/>
      <c r="MD16" s="2"/>
      <c r="ME16" s="2"/>
      <c r="MG16" s="56">
        <v>1000</v>
      </c>
      <c r="NB16" s="5"/>
      <c r="NC16" s="5"/>
      <c r="NL16" s="2"/>
      <c r="NM16" s="2"/>
      <c r="NO16" s="56">
        <v>1000</v>
      </c>
      <c r="OJ16" s="5"/>
      <c r="OK16" s="5"/>
      <c r="OT16" s="2"/>
      <c r="OU16" s="2"/>
      <c r="OW16" s="56">
        <v>1000</v>
      </c>
      <c r="PR16" s="5"/>
      <c r="PS16" s="5"/>
      <c r="QB16" s="2"/>
      <c r="QC16" s="2"/>
      <c r="QE16" s="56">
        <v>1000</v>
      </c>
      <c r="QZ16" s="5"/>
      <c r="RA16" s="5"/>
      <c r="RJ16" s="2"/>
      <c r="RK16" s="2"/>
      <c r="RM16" s="56">
        <v>1000</v>
      </c>
      <c r="SH16" s="5"/>
      <c r="SI16" s="5"/>
      <c r="SR16" s="2"/>
      <c r="SS16" s="2"/>
      <c r="SU16" s="56">
        <v>1000</v>
      </c>
    </row>
    <row r="17" spans="1:544" x14ac:dyDescent="0.2">
      <c r="A17" s="5"/>
      <c r="B17" s="5"/>
      <c r="C17" s="34" t="s">
        <v>41</v>
      </c>
      <c r="D17" s="5"/>
      <c r="AR17" s="41"/>
      <c r="AS17" s="41"/>
      <c r="AT17" s="41"/>
      <c r="AU17" s="32"/>
      <c r="AV17" s="32"/>
      <c r="AW17" s="32"/>
      <c r="AX17" s="32"/>
      <c r="AY17" s="57">
        <v>50</v>
      </c>
      <c r="BS17" s="41"/>
      <c r="BT17" s="41"/>
      <c r="BU17" s="41"/>
      <c r="BW17" s="32"/>
      <c r="BX17" s="32"/>
      <c r="BZ17" s="57">
        <v>50</v>
      </c>
      <c r="CT17" s="41"/>
      <c r="CU17" s="41"/>
      <c r="CV17" s="41"/>
      <c r="CW17" s="32"/>
      <c r="CX17" s="32"/>
      <c r="CY17" s="32"/>
      <c r="CZ17" s="32"/>
      <c r="DA17" s="57">
        <v>50</v>
      </c>
      <c r="DX17" s="5"/>
      <c r="DY17" s="5"/>
      <c r="EH17" s="2"/>
      <c r="EI17" s="2"/>
      <c r="EK17" s="57">
        <v>50</v>
      </c>
      <c r="FF17" s="5"/>
      <c r="FG17" s="5"/>
      <c r="FP17" s="2"/>
      <c r="FQ17" s="2"/>
      <c r="FS17" s="57">
        <v>50</v>
      </c>
      <c r="GN17" s="5"/>
      <c r="GO17" s="5"/>
      <c r="GX17" s="2"/>
      <c r="GY17" s="2"/>
      <c r="HA17" s="57">
        <v>50</v>
      </c>
      <c r="HV17" s="5"/>
      <c r="HW17" s="5"/>
      <c r="IF17" s="2"/>
      <c r="IG17" s="2"/>
      <c r="II17" s="57">
        <v>50</v>
      </c>
      <c r="JD17" s="5"/>
      <c r="JE17" s="5"/>
      <c r="JN17" s="2"/>
      <c r="JO17" s="2"/>
      <c r="JQ17" s="57">
        <v>50</v>
      </c>
      <c r="KL17" s="5"/>
      <c r="KM17" s="5"/>
      <c r="KV17" s="2"/>
      <c r="KW17" s="2"/>
      <c r="KY17" s="57">
        <v>50</v>
      </c>
      <c r="LT17" s="5"/>
      <c r="LU17" s="5"/>
      <c r="MD17" s="2"/>
      <c r="ME17" s="2"/>
      <c r="MG17" s="57">
        <v>50</v>
      </c>
      <c r="NB17" s="5"/>
      <c r="NC17" s="5"/>
      <c r="NL17" s="2"/>
      <c r="NM17" s="2"/>
      <c r="NO17" s="57">
        <v>50</v>
      </c>
      <c r="OJ17" s="5"/>
      <c r="OK17" s="5"/>
      <c r="OT17" s="2"/>
      <c r="OU17" s="2"/>
      <c r="OW17" s="57">
        <v>50</v>
      </c>
      <c r="PR17" s="5"/>
      <c r="PS17" s="5"/>
      <c r="QB17" s="2"/>
      <c r="QC17" s="2"/>
      <c r="QE17" s="57">
        <v>50</v>
      </c>
      <c r="QZ17" s="5"/>
      <c r="RA17" s="5"/>
      <c r="RJ17" s="2"/>
      <c r="RK17" s="2"/>
      <c r="RM17" s="57">
        <v>50</v>
      </c>
      <c r="SH17" s="5"/>
      <c r="SI17" s="5"/>
      <c r="SR17" s="2"/>
      <c r="SS17" s="2"/>
      <c r="SU17" s="57">
        <v>50</v>
      </c>
    </row>
    <row r="18" spans="1:544" hidden="1" x14ac:dyDescent="0.2">
      <c r="A18" s="5"/>
      <c r="B18" s="5"/>
      <c r="C18" s="24" t="s">
        <v>42</v>
      </c>
      <c r="D18" s="5"/>
      <c r="AR18" s="41"/>
      <c r="AS18" s="41"/>
      <c r="AT18" s="41"/>
      <c r="AU18" s="32"/>
      <c r="AV18" s="32"/>
      <c r="AW18" s="32"/>
      <c r="AX18" s="32"/>
      <c r="AY18" s="58">
        <v>1000</v>
      </c>
      <c r="BS18" s="41"/>
      <c r="BT18" s="41"/>
      <c r="BU18" s="41"/>
      <c r="BW18" s="32"/>
      <c r="BX18" s="32"/>
      <c r="BZ18" s="58">
        <v>1000</v>
      </c>
      <c r="CT18" s="41"/>
      <c r="CU18" s="41"/>
      <c r="CV18" s="41"/>
      <c r="CW18" s="32"/>
      <c r="CX18" s="32"/>
      <c r="CY18" s="32"/>
      <c r="CZ18" s="32"/>
      <c r="DA18" s="58">
        <v>1000</v>
      </c>
      <c r="DX18" s="5"/>
      <c r="DY18" s="5"/>
      <c r="EH18" s="2"/>
      <c r="EI18" s="2"/>
      <c r="EK18" s="58">
        <v>1000</v>
      </c>
      <c r="FF18" s="5"/>
      <c r="FG18" s="5"/>
      <c r="FP18" s="2"/>
      <c r="FQ18" s="2"/>
      <c r="FS18" s="58">
        <v>1000</v>
      </c>
      <c r="GN18" s="5"/>
      <c r="GO18" s="5"/>
      <c r="GX18" s="2"/>
      <c r="GY18" s="2"/>
      <c r="HA18" s="58">
        <v>1000</v>
      </c>
      <c r="HV18" s="5"/>
      <c r="HW18" s="5"/>
      <c r="IF18" s="2"/>
      <c r="IG18" s="2"/>
      <c r="II18" s="58">
        <v>1000</v>
      </c>
      <c r="JD18" s="5"/>
      <c r="JE18" s="5"/>
      <c r="JN18" s="2"/>
      <c r="JO18" s="2"/>
      <c r="JQ18" s="58">
        <v>1000</v>
      </c>
      <c r="KL18" s="5"/>
      <c r="KM18" s="5"/>
      <c r="KV18" s="2"/>
      <c r="KW18" s="2"/>
      <c r="KY18" s="58">
        <v>1000</v>
      </c>
      <c r="LT18" s="5"/>
      <c r="LU18" s="5"/>
      <c r="MD18" s="2"/>
      <c r="ME18" s="2"/>
      <c r="MG18" s="58">
        <v>1000</v>
      </c>
      <c r="NB18" s="5"/>
      <c r="NC18" s="5"/>
      <c r="NL18" s="2"/>
      <c r="NM18" s="2"/>
      <c r="NO18" s="58">
        <v>1000</v>
      </c>
      <c r="OJ18" s="5"/>
      <c r="OK18" s="5"/>
      <c r="OT18" s="2"/>
      <c r="OU18" s="2"/>
      <c r="OW18" s="58">
        <v>1000</v>
      </c>
      <c r="PR18" s="5"/>
      <c r="PS18" s="5"/>
      <c r="QB18" s="2"/>
      <c r="QC18" s="2"/>
      <c r="QE18" s="58">
        <v>1000</v>
      </c>
      <c r="QZ18" s="5"/>
      <c r="RA18" s="5"/>
      <c r="RJ18" s="2"/>
      <c r="RK18" s="2"/>
      <c r="RM18" s="58">
        <v>1000</v>
      </c>
      <c r="SH18" s="5"/>
      <c r="SI18" s="5"/>
      <c r="SR18" s="2"/>
      <c r="SS18" s="2"/>
      <c r="SU18" s="58">
        <v>1000</v>
      </c>
    </row>
    <row r="19" spans="1:544" hidden="1" x14ac:dyDescent="0.2">
      <c r="A19" s="5"/>
      <c r="B19" s="5"/>
      <c r="C19" s="33" t="s">
        <v>54</v>
      </c>
      <c r="D19" s="5"/>
      <c r="AR19" s="41"/>
      <c r="AS19" s="41"/>
      <c r="AT19" s="41"/>
      <c r="AU19" s="32"/>
      <c r="AV19" s="32"/>
      <c r="AW19" s="32"/>
      <c r="AX19" s="32"/>
      <c r="AY19" s="59">
        <v>1000</v>
      </c>
      <c r="BS19" s="41"/>
      <c r="BT19" s="41"/>
      <c r="BU19" s="41"/>
      <c r="BW19" s="32"/>
      <c r="BX19" s="32"/>
      <c r="BZ19" s="59">
        <v>1000</v>
      </c>
      <c r="CT19" s="41"/>
      <c r="CU19" s="41"/>
      <c r="CV19" s="41"/>
      <c r="CW19" s="32"/>
      <c r="CX19" s="32"/>
      <c r="CY19" s="32"/>
      <c r="CZ19" s="32"/>
      <c r="DA19" s="59">
        <v>1000</v>
      </c>
      <c r="DX19" s="5"/>
      <c r="DY19" s="5"/>
      <c r="EH19" s="2"/>
      <c r="EI19" s="2"/>
      <c r="EJ19" s="37"/>
      <c r="EK19" s="59">
        <v>1000</v>
      </c>
      <c r="FF19" s="5"/>
      <c r="FG19" s="5"/>
      <c r="FP19" s="2"/>
      <c r="FQ19" s="2"/>
      <c r="FR19" s="37"/>
      <c r="FS19" s="59">
        <v>1000</v>
      </c>
      <c r="GN19" s="5"/>
      <c r="GO19" s="5"/>
      <c r="GX19" s="2"/>
      <c r="GY19" s="2"/>
      <c r="GZ19" s="37"/>
      <c r="HA19" s="59">
        <v>1000</v>
      </c>
      <c r="HV19" s="5"/>
      <c r="HW19" s="5"/>
      <c r="IF19" s="2"/>
      <c r="IG19" s="2"/>
      <c r="IH19" s="37"/>
      <c r="II19" s="59">
        <v>1000</v>
      </c>
      <c r="JD19" s="5"/>
      <c r="JE19" s="5"/>
      <c r="JN19" s="2"/>
      <c r="JO19" s="2"/>
      <c r="JP19" s="37"/>
      <c r="JQ19" s="59">
        <v>1000</v>
      </c>
      <c r="KL19" s="5"/>
      <c r="KM19" s="5"/>
      <c r="KV19" s="2"/>
      <c r="KW19" s="2"/>
      <c r="KX19" s="37"/>
      <c r="KY19" s="59">
        <v>1000</v>
      </c>
      <c r="LT19" s="5"/>
      <c r="LU19" s="5"/>
      <c r="MD19" s="2"/>
      <c r="ME19" s="2"/>
      <c r="MF19" s="37"/>
      <c r="MG19" s="59">
        <v>1000</v>
      </c>
      <c r="NB19" s="5"/>
      <c r="NC19" s="5"/>
      <c r="NL19" s="2"/>
      <c r="NM19" s="2"/>
      <c r="NN19" s="37"/>
      <c r="NO19" s="59">
        <v>1000</v>
      </c>
      <c r="OJ19" s="5"/>
      <c r="OK19" s="5"/>
      <c r="OT19" s="2"/>
      <c r="OU19" s="2"/>
      <c r="OV19" s="37"/>
      <c r="OW19" s="59">
        <v>1000</v>
      </c>
      <c r="PR19" s="5"/>
      <c r="PS19" s="5"/>
      <c r="QB19" s="2"/>
      <c r="QC19" s="2"/>
      <c r="QD19" s="37"/>
      <c r="QE19" s="59">
        <v>1000</v>
      </c>
      <c r="QZ19" s="5"/>
      <c r="RA19" s="5"/>
      <c r="RJ19" s="2"/>
      <c r="RK19" s="2"/>
      <c r="RL19" s="37"/>
      <c r="RM19" s="59">
        <v>1000</v>
      </c>
      <c r="SH19" s="5"/>
      <c r="SI19" s="5"/>
      <c r="SR19" s="2"/>
      <c r="SS19" s="2"/>
      <c r="ST19" s="37"/>
      <c r="SU19" s="59">
        <v>1000</v>
      </c>
    </row>
    <row r="20" spans="1:544" hidden="1" x14ac:dyDescent="0.2">
      <c r="A20" s="5"/>
      <c r="B20" s="5"/>
      <c r="C20" s="25" t="s">
        <v>27</v>
      </c>
      <c r="D20" s="5"/>
      <c r="AR20" s="41"/>
      <c r="AS20" s="41"/>
      <c r="AT20" s="41"/>
      <c r="AU20" s="32"/>
      <c r="AV20" s="41"/>
      <c r="AW20" s="41"/>
      <c r="AX20" s="32"/>
      <c r="AY20" s="60">
        <v>1000</v>
      </c>
      <c r="BS20" s="41"/>
      <c r="BT20" s="41"/>
      <c r="BU20" s="41"/>
      <c r="BW20" s="41"/>
      <c r="BX20" s="32"/>
      <c r="BZ20" s="60">
        <v>1000</v>
      </c>
      <c r="CT20" s="41"/>
      <c r="CU20" s="41"/>
      <c r="CV20" s="41"/>
      <c r="CW20" s="32"/>
      <c r="CX20" s="41"/>
      <c r="CY20" s="32"/>
      <c r="CZ20" s="32"/>
      <c r="DA20" s="60">
        <v>1000</v>
      </c>
      <c r="DX20" s="5"/>
      <c r="DY20" s="5"/>
      <c r="EH20" s="41"/>
      <c r="EI20" s="2"/>
      <c r="EK20" s="60">
        <v>1000</v>
      </c>
      <c r="FF20" s="5"/>
      <c r="FG20" s="5"/>
      <c r="FP20" s="41"/>
      <c r="FQ20" s="2"/>
      <c r="FS20" s="60">
        <v>1000</v>
      </c>
      <c r="GN20" s="5"/>
      <c r="GO20" s="5"/>
      <c r="GX20" s="2"/>
      <c r="GY20" s="2"/>
      <c r="HA20" s="60">
        <v>1000</v>
      </c>
      <c r="HV20" s="5"/>
      <c r="HW20" s="5"/>
      <c r="IF20" s="41"/>
      <c r="IG20" s="2"/>
      <c r="II20" s="60">
        <v>1000</v>
      </c>
      <c r="JD20" s="5"/>
      <c r="JE20" s="5"/>
      <c r="JN20" s="2"/>
      <c r="JO20" s="2"/>
      <c r="JQ20" s="60">
        <v>1000</v>
      </c>
      <c r="KL20" s="5"/>
      <c r="KM20" s="5"/>
      <c r="KV20" s="2"/>
      <c r="KW20" s="2"/>
      <c r="KY20" s="60">
        <v>1000</v>
      </c>
      <c r="LT20" s="5"/>
      <c r="LU20" s="5"/>
      <c r="MD20" s="2"/>
      <c r="ME20" s="2"/>
      <c r="MG20" s="60">
        <v>1000</v>
      </c>
      <c r="NB20" s="5"/>
      <c r="NC20" s="5"/>
      <c r="NL20" s="2"/>
      <c r="NM20" s="2"/>
      <c r="NO20" s="60">
        <v>1000</v>
      </c>
      <c r="OJ20" s="5"/>
      <c r="OK20" s="5"/>
      <c r="OT20" s="2"/>
      <c r="OU20" s="2"/>
      <c r="OW20" s="60">
        <v>1000</v>
      </c>
      <c r="PR20" s="5"/>
      <c r="PS20" s="5"/>
      <c r="QB20" s="2"/>
      <c r="QC20" s="2"/>
      <c r="QE20" s="60">
        <v>1000</v>
      </c>
      <c r="QZ20" s="5"/>
      <c r="RA20" s="5"/>
      <c r="RJ20" s="2"/>
      <c r="RK20" s="2"/>
      <c r="RM20" s="60">
        <v>1000</v>
      </c>
      <c r="SH20" s="5"/>
      <c r="SI20" s="5"/>
      <c r="SR20" s="2"/>
      <c r="SS20" s="2"/>
      <c r="SU20" s="60">
        <v>1000</v>
      </c>
    </row>
    <row r="21" spans="1:544" s="36" customFormat="1" x14ac:dyDescent="0.2">
      <c r="A21"/>
      <c r="B21"/>
      <c r="C21" s="29" t="s">
        <v>47</v>
      </c>
      <c r="D21" s="2"/>
      <c r="E21"/>
      <c r="F21"/>
      <c r="G21" s="65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U21" s="32"/>
      <c r="AX21" s="32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W21" s="32"/>
      <c r="CZ21" s="32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</row>
    <row r="22" spans="1:544" s="36" customFormat="1" x14ac:dyDescent="0.2">
      <c r="A22" s="5"/>
      <c r="B22" s="5"/>
      <c r="C22" s="5"/>
      <c r="D22" s="20"/>
      <c r="E22"/>
      <c r="F22"/>
      <c r="G22" s="65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Q22" s="32"/>
      <c r="AR22" s="32"/>
      <c r="AS22" s="32"/>
      <c r="AT22" s="32"/>
      <c r="AU22" s="32"/>
      <c r="AX22" s="3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S22" s="32"/>
      <c r="CT22" s="32"/>
      <c r="CU22" s="32"/>
      <c r="CV22" s="32"/>
      <c r="CW22" s="32"/>
      <c r="CZ22" s="3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</row>
    <row r="23" spans="1:544" s="36" customFormat="1" ht="17" x14ac:dyDescent="0.2">
      <c r="A23" s="5"/>
      <c r="B23" s="5"/>
      <c r="C23" s="5"/>
      <c r="D23" s="20"/>
      <c r="E23"/>
      <c r="F23"/>
      <c r="G23" s="65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0"/>
      <c r="W23" s="10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Q23" s="32"/>
      <c r="AR23" s="32"/>
      <c r="AS23" s="32"/>
      <c r="AT23" s="32"/>
      <c r="AU23" s="32"/>
      <c r="AX23" s="32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S23" s="32"/>
      <c r="CT23" s="32"/>
      <c r="CU23" s="32"/>
      <c r="CV23" s="32"/>
      <c r="CW23" s="32"/>
      <c r="CZ23" s="32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</row>
    <row r="24" spans="1:544" s="36" customFormat="1" ht="17" x14ac:dyDescent="0.2">
      <c r="A24" s="5"/>
      <c r="B24" s="5"/>
      <c r="C24" s="5"/>
      <c r="D24" s="20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0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Q24" s="32"/>
      <c r="AR24" s="32"/>
      <c r="AS24" s="32"/>
      <c r="AT24" s="32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S24" s="32"/>
      <c r="CT24" s="32"/>
      <c r="CU24" s="32"/>
      <c r="CV24" s="32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ht="17" x14ac:dyDescent="0.2">
      <c r="A25"/>
      <c r="B25"/>
      <c r="C25"/>
      <c r="D25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0"/>
      <c r="W25" s="10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/>
      <c r="B26"/>
      <c r="C26"/>
      <c r="D26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/>
      <c r="B27"/>
      <c r="C27"/>
      <c r="D27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 s="10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 s="10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 s="1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ht="17" x14ac:dyDescent="0.2">
      <c r="V37" s="10"/>
      <c r="W37" s="10"/>
      <c r="X37" s="10"/>
    </row>
    <row r="38" spans="1:544" ht="17" x14ac:dyDescent="0.2">
      <c r="V38" s="10"/>
      <c r="W38" s="10"/>
      <c r="X38" s="10"/>
    </row>
    <row r="39" spans="1:544" ht="17" x14ac:dyDescent="0.2">
      <c r="V39" s="10"/>
      <c r="W39" s="10"/>
      <c r="X39" s="10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</sheetData>
  <sheetProtection sheet="1" formatCells="0" formatColumns="0" formatRows="0"/>
  <autoFilter ref="A1:TV1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0">
      <sortCondition descending="1" ref="H1:H11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96" priority="37" operator="containsText" text="No DD">
      <formula>NOT(ISERROR(SEARCH("No DD",J1)))</formula>
    </cfRule>
    <cfRule type="containsText" dxfId="295" priority="38" operator="containsText" text="Merit">
      <formula>NOT(ISERROR(SEARCH("Merit",J1)))</formula>
    </cfRule>
    <cfRule type="containsText" dxfId="294" priority="39" operator="containsText" text="Excellence">
      <formula>NOT(ISERROR(SEARCH("Excellence",J1)))</formula>
    </cfRule>
    <cfRule type="containsText" dxfId="293" priority="40" operator="containsText" text="Worlds Team">
      <formula>NOT(ISERROR(SEARCH("Worlds Team",J1)))</formula>
    </cfRule>
    <cfRule type="containsText" dxfId="292" priority="41" operator="containsText" text="National Team">
      <formula>NOT(ISERROR(SEARCH("National Team",J1)))</formula>
    </cfRule>
  </conditionalFormatting>
  <conditionalFormatting sqref="A4:B1048576">
    <cfRule type="expression" dxfId="291" priority="1">
      <formula>AND($I4&lt;&gt;"",$H4="")</formula>
    </cfRule>
    <cfRule type="expression" dxfId="290" priority="42">
      <formula>IF(A4&gt;4,1,0)</formula>
    </cfRule>
  </conditionalFormatting>
  <conditionalFormatting sqref="Y4:AY10">
    <cfRule type="expression" dxfId="289" priority="23" stopIfTrue="1">
      <formula>IF($AN4&lt;&gt;"",1,0)</formula>
    </cfRule>
  </conditionalFormatting>
  <conditionalFormatting sqref="AZ4:BZ10">
    <cfRule type="expression" dxfId="288" priority="36" stopIfTrue="1">
      <formula>IF($BO4&lt;&gt;"",1,0)</formula>
    </cfRule>
  </conditionalFormatting>
  <conditionalFormatting sqref="CA4:DA10">
    <cfRule type="expression" dxfId="287" priority="35" stopIfTrue="1">
      <formula>IF($CP4&lt;&gt;"",1,0)</formula>
    </cfRule>
  </conditionalFormatting>
  <conditionalFormatting sqref="BW21:BW1048576 BP1:BP1048576 BS1:BS1048576 BW1:BW19">
    <cfRule type="cellIs" dxfId="286" priority="48" operator="between">
      <formula>$BZ$16</formula>
      <formula>1000</formula>
    </cfRule>
    <cfRule type="cellIs" dxfId="285" priority="49" operator="between">
      <formula>$BZ$15</formula>
      <formula>$BZ$16</formula>
    </cfRule>
    <cfRule type="cellIs" dxfId="284" priority="50" operator="between">
      <formula>$BZ$14</formula>
      <formula>$BZ$15</formula>
    </cfRule>
    <cfRule type="cellIs" dxfId="283" priority="51" operator="between">
      <formula>$BZ$13</formula>
      <formula>$BZ$14</formula>
    </cfRule>
  </conditionalFormatting>
  <conditionalFormatting sqref="CX21:CX1048576 CQ1:CQ1048576 CT1:CT1048576 CX1:CX19">
    <cfRule type="cellIs" dxfId="282" priority="44" operator="between">
      <formula>$DA$16</formula>
      <formula>1000</formula>
    </cfRule>
    <cfRule type="cellIs" dxfId="281" priority="45" operator="between">
      <formula>$DA$15</formula>
      <formula>$DA$16</formula>
    </cfRule>
    <cfRule type="cellIs" dxfId="280" priority="46" operator="between">
      <formula>$DA$14</formula>
      <formula>$DA$15</formula>
    </cfRule>
    <cfRule type="cellIs" dxfId="279" priority="47" operator="between">
      <formula>$DA$13</formula>
      <formula>$DA$14</formula>
    </cfRule>
  </conditionalFormatting>
  <conditionalFormatting sqref="EH21:EH1048576 DX1:DX1048576 EA1:EA1048576 EE1:EE1048576 EH1:EH19">
    <cfRule type="cellIs" dxfId="278" priority="55" operator="between">
      <formula>$EK$16</formula>
      <formula>1000</formula>
    </cfRule>
    <cfRule type="cellIs" dxfId="277" priority="56" operator="between">
      <formula>$EK$15</formula>
      <formula>$EK$16</formula>
    </cfRule>
    <cfRule type="cellIs" dxfId="276" priority="57" operator="between">
      <formula>$EK$14</formula>
      <formula>$EK$15</formula>
    </cfRule>
    <cfRule type="cellIs" dxfId="275" priority="58" operator="between">
      <formula>$EK$13</formula>
      <formula>$EK$14</formula>
    </cfRule>
  </conditionalFormatting>
  <conditionalFormatting sqref="FP21:FP1048576 FF1:FF1048576 FI1:FI1048576 FM1:FM1048576 FP1:FP19">
    <cfRule type="cellIs" dxfId="274" priority="31" operator="between">
      <formula>$FS$16</formula>
      <formula>1000</formula>
    </cfRule>
    <cfRule type="cellIs" dxfId="273" priority="32" operator="between">
      <formula>$FS$15</formula>
      <formula>$FS$16</formula>
    </cfRule>
    <cfRule type="cellIs" dxfId="272" priority="33" operator="between">
      <formula>$FS$14</formula>
      <formula>$FS$15</formula>
    </cfRule>
    <cfRule type="cellIs" dxfId="271" priority="34" operator="between">
      <formula>$FS$13</formula>
      <formula>$FS$14</formula>
    </cfRule>
  </conditionalFormatting>
  <conditionalFormatting sqref="IF21:IF1048576 HV1:HV1048576 HY1:HY1048576 IC1:IC1048576 IF1:IF19">
    <cfRule type="cellIs" dxfId="270" priority="27" operator="between">
      <formula>$II$16</formula>
      <formula>1000</formula>
    </cfRule>
    <cfRule type="cellIs" dxfId="269" priority="28" operator="between">
      <formula>$II$15</formula>
      <formula>$II$16</formula>
    </cfRule>
    <cfRule type="cellIs" dxfId="268" priority="29" operator="between">
      <formula>$II$14</formula>
      <formula>$II$15</formula>
    </cfRule>
    <cfRule type="cellIs" dxfId="267" priority="30" operator="between">
      <formula>$II$13</formula>
      <formula>$II$14</formula>
    </cfRule>
  </conditionalFormatting>
  <conditionalFormatting sqref="AW20 AO1:AO1048576 AR1:AR1048576 AV1:AV1048576">
    <cfRule type="cellIs" dxfId="266" priority="24" operator="between">
      <formula>$AY$16</formula>
      <formula>1000</formula>
    </cfRule>
    <cfRule type="cellIs" dxfId="265" priority="25" operator="between">
      <formula>$AY$15</formula>
      <formula>$AY$16</formula>
    </cfRule>
    <cfRule type="cellIs" dxfId="264" priority="26" operator="between">
      <formula>$AY$14</formula>
      <formula>$AY$15</formula>
    </cfRule>
    <cfRule type="cellIs" dxfId="263" priority="43" operator="between">
      <formula>$AY$13</formula>
      <formula>$AY$14</formula>
    </cfRule>
  </conditionalFormatting>
  <conditionalFormatting sqref="BW20">
    <cfRule type="cellIs" dxfId="262" priority="19" operator="between">
      <formula>$AY$16</formula>
      <formula>1000</formula>
    </cfRule>
    <cfRule type="cellIs" dxfId="261" priority="20" operator="between">
      <formula>$AY$15</formula>
      <formula>$AY$16</formula>
    </cfRule>
    <cfRule type="cellIs" dxfId="260" priority="21" operator="between">
      <formula>$AY$14</formula>
      <formula>$AY$15</formula>
    </cfRule>
    <cfRule type="cellIs" dxfId="259" priority="22" operator="between">
      <formula>$AY$13</formula>
      <formula>$AY$14</formula>
    </cfRule>
  </conditionalFormatting>
  <conditionalFormatting sqref="CX20">
    <cfRule type="cellIs" dxfId="258" priority="15" operator="between">
      <formula>$AY$16</formula>
      <formula>1000</formula>
    </cfRule>
    <cfRule type="cellIs" dxfId="257" priority="16" operator="between">
      <formula>$AY$15</formula>
      <formula>$AY$16</formula>
    </cfRule>
    <cfRule type="cellIs" dxfId="256" priority="17" operator="between">
      <formula>$AY$14</formula>
      <formula>$AY$15</formula>
    </cfRule>
    <cfRule type="cellIs" dxfId="255" priority="18" operator="between">
      <formula>$AY$13</formula>
      <formula>$AY$14</formula>
    </cfRule>
  </conditionalFormatting>
  <conditionalFormatting sqref="EH20">
    <cfRule type="cellIs" dxfId="254" priority="11" operator="between">
      <formula>$AY$16</formula>
      <formula>1000</formula>
    </cfRule>
    <cfRule type="cellIs" dxfId="253" priority="12" operator="between">
      <formula>$AY$15</formula>
      <formula>$AY$16</formula>
    </cfRule>
    <cfRule type="cellIs" dxfId="252" priority="13" operator="between">
      <formula>$AY$14</formula>
      <formula>$AY$15</formula>
    </cfRule>
    <cfRule type="cellIs" dxfId="251" priority="14" operator="between">
      <formula>$AY$13</formula>
      <formula>$AY$14</formula>
    </cfRule>
  </conditionalFormatting>
  <conditionalFormatting sqref="FP20">
    <cfRule type="cellIs" dxfId="250" priority="7" operator="between">
      <formula>$AY$16</formula>
      <formula>1000</formula>
    </cfRule>
    <cfRule type="cellIs" dxfId="249" priority="8" operator="between">
      <formula>$AY$15</formula>
      <formula>$AY$16</formula>
    </cfRule>
    <cfRule type="cellIs" dxfId="248" priority="9" operator="between">
      <formula>$AY$14</formula>
      <formula>$AY$15</formula>
    </cfRule>
    <cfRule type="cellIs" dxfId="247" priority="10" operator="between">
      <formula>$AY$13</formula>
      <formula>$AY$14</formula>
    </cfRule>
  </conditionalFormatting>
  <conditionalFormatting sqref="IF20">
    <cfRule type="cellIs" dxfId="246" priority="3" operator="between">
      <formula>$AY$16</formula>
      <formula>1000</formula>
    </cfRule>
    <cfRule type="cellIs" dxfId="245" priority="4" operator="between">
      <formula>$AY$15</formula>
      <formula>$AY$16</formula>
    </cfRule>
    <cfRule type="cellIs" dxfId="244" priority="5" operator="between">
      <formula>$AY$14</formula>
      <formula>$AY$15</formula>
    </cfRule>
    <cfRule type="cellIs" dxfId="243" priority="6" operator="between">
      <formula>$AY$13</formula>
      <formula>$AY$14</formula>
    </cfRule>
  </conditionalFormatting>
  <conditionalFormatting sqref="M1:M1048576 O1:O1048576 S1:S1048576 U1:U1048576 Q1:Q1048576">
    <cfRule type="expression" dxfId="242" priority="52">
      <formula>IF(M1=$CA$1,1,0)</formula>
    </cfRule>
    <cfRule type="expression" dxfId="241" priority="53" stopIfTrue="1">
      <formula>IF(M1=$AZ$1,1,0)</formula>
    </cfRule>
    <cfRule type="expression" dxfId="240" priority="54">
      <formula>IF(M1=$Y$1,1,0)</formula>
    </cfRule>
  </conditionalFormatting>
  <conditionalFormatting sqref="A1:B3">
    <cfRule type="expression" dxfId="239" priority="2">
      <formula>AND(I1&lt;&gt;"",H1="")</formula>
    </cfRule>
  </conditionalFormatting>
  <conditionalFormatting sqref="CV1:CV1048576 AT1:AT1048576">
    <cfRule type="cellIs" dxfId="238" priority="265941" operator="between">
      <formula>AY$20</formula>
      <formula>1000</formula>
    </cfRule>
    <cfRule type="cellIs" dxfId="237" priority="265942" operator="between">
      <formula>AY$19</formula>
      <formula>AY$20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36" priority="265953" operator="between">
      <formula>EK$20</formula>
      <formula>1000</formula>
    </cfRule>
    <cfRule type="cellIs" dxfId="235" priority="265954" operator="between">
      <formula>EK$19</formula>
      <formula>EK$20</formula>
    </cfRule>
  </conditionalFormatting>
  <conditionalFormatting sqref="AQ1:AQ1048576 AT1:AT1048576 AX1:AX1048576">
    <cfRule type="cellIs" dxfId="234" priority="266025" operator="between">
      <formula>$AY$20</formula>
      <formula>1000</formula>
    </cfRule>
    <cfRule type="cellIs" dxfId="233" priority="266026" operator="between">
      <formula>$AY$19</formula>
      <formula>$AY$20</formula>
    </cfRule>
    <cfRule type="cellIs" dxfId="232" priority="266027" operator="between">
      <formula>$AY$18</formula>
      <formula>$AY$19</formula>
    </cfRule>
    <cfRule type="cellIs" dxfId="231" priority="266028" operator="between">
      <formula>$AY$17</formula>
      <formula>$AY$18</formula>
    </cfRule>
  </conditionalFormatting>
  <conditionalFormatting sqref="BR1:BR1048576 BU1:BU1048576 BY1:BY1048576">
    <cfRule type="cellIs" dxfId="230" priority="266061" operator="between">
      <formula>$BZ$20</formula>
      <formula>1000</formula>
    </cfRule>
    <cfRule type="cellIs" dxfId="229" priority="266062" operator="between">
      <formula>$BZ$19</formula>
      <formula>$BZ$20</formula>
    </cfRule>
    <cfRule type="cellIs" dxfId="228" priority="266063" operator="between">
      <formula>$BZ$18</formula>
      <formula>$BZ$19</formula>
    </cfRule>
    <cfRule type="cellIs" dxfId="227" priority="266064" operator="between">
      <formula>$BZ$17</formula>
      <formula>$BZ$18</formula>
    </cfRule>
  </conditionalFormatting>
  <conditionalFormatting sqref="CS1:CS1048576 CV1:CV1048576 CZ1:CZ1048576">
    <cfRule type="cellIs" dxfId="226" priority="266097" operator="between">
      <formula>$DA$20</formula>
      <formula>1000</formula>
    </cfRule>
    <cfRule type="cellIs" dxfId="225" priority="266098" operator="between">
      <formula>$DA$19</formula>
      <formula>$DA$20</formula>
    </cfRule>
    <cfRule type="cellIs" dxfId="224" priority="266099" operator="between">
      <formula>$DA$18</formula>
      <formula>$DA$19</formula>
    </cfRule>
    <cfRule type="cellIs" dxfId="223" priority="266100" operator="between">
      <formula>$DA$17</formula>
      <formula>$DA$18</formula>
    </cfRule>
  </conditionalFormatting>
  <conditionalFormatting sqref="NB1:NB1048576 NE1:NE1048576 NI1:NI1048576 NL1:NL1048576">
    <cfRule type="cellIs" dxfId="222" priority="266133" operator="between">
      <formula>$NO$13</formula>
      <formula>$NO$14</formula>
    </cfRule>
  </conditionalFormatting>
  <conditionalFormatting sqref="DZ1:DZ1048576 EC1:EC1048576 EG1:EG1048576 EJ1:EJ1048576">
    <cfRule type="cellIs" dxfId="221" priority="266145" operator="between">
      <formula>$EK$20</formula>
      <formula>1000</formula>
    </cfRule>
    <cfRule type="cellIs" dxfId="220" priority="266146" operator="between">
      <formula>$EK$19</formula>
      <formula>$EK$20</formula>
    </cfRule>
    <cfRule type="cellIs" dxfId="219" priority="266147" operator="between">
      <formula>$EK$18</formula>
      <formula>$EK$19</formula>
    </cfRule>
    <cfRule type="cellIs" dxfId="218" priority="266148" operator="between">
      <formula>$EK$17</formula>
      <formula>$EK$18</formula>
    </cfRule>
  </conditionalFormatting>
  <conditionalFormatting sqref="FH1:FH1048576 FK1:FK1048576 FO1:FO1048576 FR1:FR1048576">
    <cfRule type="cellIs" dxfId="217" priority="266193" operator="between">
      <formula>$FS$20</formula>
      <formula>1000</formula>
    </cfRule>
    <cfRule type="cellIs" dxfId="216" priority="266194" operator="between">
      <formula>$FS$19</formula>
      <formula>$FS$20</formula>
    </cfRule>
    <cfRule type="cellIs" dxfId="215" priority="266195" operator="between">
      <formula>$FS$18</formula>
      <formula>$FS$19</formula>
    </cfRule>
    <cfRule type="cellIs" dxfId="214" priority="266196" operator="between">
      <formula>$FS$17</formula>
      <formula>$FS$18</formula>
    </cfRule>
  </conditionalFormatting>
  <conditionalFormatting sqref="GN1:GN1048576 GQ1:GQ1048576 GU1:GU1048576 GX1:GX1048576">
    <cfRule type="cellIs" dxfId="213" priority="266241" operator="between">
      <formula>$HA$16</formula>
      <formula>1000</formula>
    </cfRule>
    <cfRule type="cellIs" dxfId="212" priority="266242" operator="between">
      <formula>$HA$15</formula>
      <formula>$HA$16</formula>
    </cfRule>
    <cfRule type="cellIs" dxfId="211" priority="266243" operator="between">
      <formula>$HA$14</formula>
      <formula>$HA$15</formula>
    </cfRule>
    <cfRule type="cellIs" dxfId="210" priority="266244" operator="between">
      <formula>$HA$13</formula>
      <formula>$HA$14</formula>
    </cfRule>
  </conditionalFormatting>
  <conditionalFormatting sqref="GP1:GP1048576 GS1:GS1048576 GW1:GW1048576 GZ1:GZ1048576">
    <cfRule type="cellIs" dxfId="209" priority="266289" operator="between">
      <formula>$HA$20</formula>
      <formula>1000</formula>
    </cfRule>
    <cfRule type="cellIs" dxfId="208" priority="266290" operator="between">
      <formula>$HA$19</formula>
      <formula>$HA$20</formula>
    </cfRule>
    <cfRule type="cellIs" dxfId="207" priority="266291" operator="between">
      <formula>$HA$18</formula>
      <formula>$HA$19</formula>
    </cfRule>
    <cfRule type="cellIs" dxfId="206" priority="266292" operator="between">
      <formula>$HA$17</formula>
      <formula>$HA$18</formula>
    </cfRule>
  </conditionalFormatting>
  <conditionalFormatting sqref="HX1:HX1048576 IA1:IA1048576 IE1:IE1048576 IH1:IH1048576">
    <cfRule type="cellIs" dxfId="205" priority="266337" operator="between">
      <formula>$II$20</formula>
      <formula>1000</formula>
    </cfRule>
    <cfRule type="cellIs" dxfId="204" priority="266338" operator="between">
      <formula>$II$19</formula>
      <formula>$II$20</formula>
    </cfRule>
    <cfRule type="cellIs" dxfId="203" priority="266339" operator="between">
      <formula>$II$18</formula>
      <formula>$II$19</formula>
    </cfRule>
    <cfRule type="cellIs" dxfId="202" priority="266340" operator="between">
      <formula>$II$17</formula>
      <formula>$II$18</formula>
    </cfRule>
  </conditionalFormatting>
  <conditionalFormatting sqref="JD1:JD1048576 JG1:JG1048576 JK1:JK1048576 JN1:JN1048576">
    <cfRule type="cellIs" dxfId="201" priority="266385" operator="between">
      <formula>$JQ$16</formula>
      <formula>1000</formula>
    </cfRule>
    <cfRule type="cellIs" dxfId="200" priority="266386" operator="between">
      <formula>$JQ$15</formula>
      <formula>$JQ$16</formula>
    </cfRule>
    <cfRule type="cellIs" dxfId="199" priority="266387" operator="between">
      <formula>$JQ$14</formula>
      <formula>$JQ$15</formula>
    </cfRule>
    <cfRule type="cellIs" dxfId="198" priority="266388" operator="between">
      <formula>$JQ$13</formula>
      <formula>$JQ$14</formula>
    </cfRule>
  </conditionalFormatting>
  <conditionalFormatting sqref="JF1:JF1048576 JI1:JI1048576 JM1:JM1048576 JP1:JP1048576">
    <cfRule type="cellIs" dxfId="197" priority="266433" operator="between">
      <formula>$JQ$20</formula>
      <formula>1000</formula>
    </cfRule>
    <cfRule type="cellIs" dxfId="196" priority="266434" operator="between">
      <formula>$JQ$19</formula>
      <formula>$JQ$20</formula>
    </cfRule>
    <cfRule type="cellIs" dxfId="195" priority="266435" operator="between">
      <formula>$JQ$18</formula>
      <formula>$JQ$19</formula>
    </cfRule>
    <cfRule type="cellIs" dxfId="194" priority="266436" operator="between">
      <formula>$JQ$17</formula>
      <formula>$JQ$18</formula>
    </cfRule>
  </conditionalFormatting>
  <conditionalFormatting sqref="KL1:KL1048576 KO1:KO1048576 KS1:KS1048576 KV1:KV1048576">
    <cfRule type="cellIs" dxfId="193" priority="266481" operator="between">
      <formula>$KY$16</formula>
      <formula>1000</formula>
    </cfRule>
    <cfRule type="cellIs" dxfId="192" priority="266482" operator="between">
      <formula>$KY$15</formula>
      <formula>$KY$16</formula>
    </cfRule>
    <cfRule type="cellIs" dxfId="191" priority="266483" operator="between">
      <formula>$KY$14</formula>
      <formula>$KY$15</formula>
    </cfRule>
    <cfRule type="cellIs" dxfId="190" priority="266484" operator="between">
      <formula>$KY$13</formula>
      <formula>$KY$14</formula>
    </cfRule>
  </conditionalFormatting>
  <conditionalFormatting sqref="KN1:KN1048576 KQ1:KQ1048576 KU1:KU1048576 KX1:KX1048576">
    <cfRule type="cellIs" dxfId="189" priority="266529" operator="between">
      <formula>$KY$20</formula>
      <formula>1000</formula>
    </cfRule>
    <cfRule type="cellIs" dxfId="188" priority="266530" operator="between">
      <formula>$KY$19</formula>
      <formula>$KY$20</formula>
    </cfRule>
    <cfRule type="cellIs" dxfId="187" priority="266531" operator="between">
      <formula>$KY$18</formula>
      <formula>$KY$19</formula>
    </cfRule>
    <cfRule type="cellIs" dxfId="186" priority="266532" operator="between">
      <formula>$KY$17</formula>
      <formula>$KY$18</formula>
    </cfRule>
  </conditionalFormatting>
  <conditionalFormatting sqref="LT1:LT1048576 LW1:LW1048576 MA1:MA1048576 MD1:MD1048576">
    <cfRule type="cellIs" dxfId="185" priority="266577" operator="between">
      <formula>$MG$16</formula>
      <formula>1000</formula>
    </cfRule>
    <cfRule type="cellIs" dxfId="184" priority="266578" operator="between">
      <formula>$MG$15</formula>
      <formula>$MG$16</formula>
    </cfRule>
    <cfRule type="cellIs" dxfId="183" priority="266579" operator="between">
      <formula>$MG$14</formula>
      <formula>$MG$15</formula>
    </cfRule>
    <cfRule type="cellIs" dxfId="182" priority="266580" operator="between">
      <formula>$MG$13</formula>
      <formula>$MG$14</formula>
    </cfRule>
  </conditionalFormatting>
  <conditionalFormatting sqref="LV1:LV1048576 LY1:LY1048576 MC1:MC1048576 MF1:MF1048576">
    <cfRule type="cellIs" dxfId="181" priority="266625" operator="between">
      <formula>$MG$20</formula>
      <formula>1000</formula>
    </cfRule>
    <cfRule type="cellIs" dxfId="180" priority="266626" operator="between">
      <formula>$MG$19</formula>
      <formula>$MG$20</formula>
    </cfRule>
    <cfRule type="cellIs" dxfId="179" priority="266627" operator="between">
      <formula>$MG$18</formula>
      <formula>$MG$19</formula>
    </cfRule>
    <cfRule type="cellIs" dxfId="178" priority="266628" operator="between">
      <formula>$MG$17</formula>
      <formula>$MG$18</formula>
    </cfRule>
  </conditionalFormatting>
  <conditionalFormatting sqref="NB1:NB1048576 NE1:NE1048576 NI1:NI1048576">
    <cfRule type="cellIs" dxfId="177" priority="266673" operator="between">
      <formula>$NO$16</formula>
      <formula>1000</formula>
    </cfRule>
    <cfRule type="cellIs" dxfId="176" priority="266674" operator="between">
      <formula>$NO$15</formula>
      <formula>$NO$16</formula>
    </cfRule>
    <cfRule type="cellIs" dxfId="175" priority="266675" operator="between">
      <formula>$NO$14</formula>
      <formula>$NO$15</formula>
    </cfRule>
  </conditionalFormatting>
  <conditionalFormatting sqref="ND1:ND1048576 NG1:NG1048576 NK1:NK1048576 NN1:NN1048576">
    <cfRule type="cellIs" dxfId="174" priority="266700" operator="between">
      <formula>$NO$20</formula>
      <formula>1000</formula>
    </cfRule>
    <cfRule type="cellIs" dxfId="173" priority="266701" operator="between">
      <formula>$NO$19</formula>
      <formula>$NO$20</formula>
    </cfRule>
    <cfRule type="cellIs" dxfId="172" priority="266702" operator="between">
      <formula>$NO$18</formula>
      <formula>$NO$19</formula>
    </cfRule>
    <cfRule type="cellIs" dxfId="171" priority="266703" operator="between">
      <formula>$NO$17</formula>
      <formula>$NO$18</formula>
    </cfRule>
  </conditionalFormatting>
  <conditionalFormatting sqref="OJ1:OJ1048576 OM1:OM1048576 OQ1:OQ1048576 OT1:OT1048576">
    <cfRule type="cellIs" dxfId="170" priority="266748" operator="between">
      <formula>$OW$16</formula>
      <formula>1000</formula>
    </cfRule>
    <cfRule type="cellIs" dxfId="169" priority="266749" operator="between">
      <formula>$OW$15</formula>
      <formula>$OW$16</formula>
    </cfRule>
    <cfRule type="cellIs" dxfId="168" priority="266750" operator="between">
      <formula>$OW$14</formula>
      <formula>$OW$15</formula>
    </cfRule>
    <cfRule type="cellIs" dxfId="167" priority="266751" operator="between">
      <formula>$OW$13</formula>
      <formula>$OW$14</formula>
    </cfRule>
  </conditionalFormatting>
  <conditionalFormatting sqref="OL1:OL1048576 OO1:OO1048576 OS1:OS1048576 OV1:OV1048576">
    <cfRule type="cellIs" dxfId="166" priority="266796" operator="between">
      <formula>$OW$20</formula>
      <formula>1000</formula>
    </cfRule>
    <cfRule type="cellIs" dxfId="165" priority="266797" operator="between">
      <formula>$OW$19</formula>
      <formula>$OW$20</formula>
    </cfRule>
    <cfRule type="cellIs" dxfId="164" priority="266798" operator="between">
      <formula>$OW$18</formula>
      <formula>$OW$19</formula>
    </cfRule>
    <cfRule type="cellIs" dxfId="163" priority="266799" operator="between">
      <formula>$OW$17</formula>
      <formula>$OW$18</formula>
    </cfRule>
  </conditionalFormatting>
  <conditionalFormatting sqref="PR1:PR1048576 PU1:PU1048576 PY1:PY1048576 QB1:QB1048576">
    <cfRule type="cellIs" dxfId="162" priority="266844" operator="between">
      <formula>$QE$16</formula>
      <formula>1000</formula>
    </cfRule>
    <cfRule type="cellIs" dxfId="161" priority="266845" operator="between">
      <formula>$QE$15</formula>
      <formula>$QE$16</formula>
    </cfRule>
    <cfRule type="cellIs" dxfId="160" priority="266846" operator="between">
      <formula>$QE$14</formula>
      <formula>$QE$15</formula>
    </cfRule>
    <cfRule type="cellIs" dxfId="159" priority="266847" operator="between">
      <formula>$QE$13</formula>
      <formula>$QE$14</formula>
    </cfRule>
  </conditionalFormatting>
  <conditionalFormatting sqref="PT1:PT1048576 PW1:PW1048576 QA1:QA1048576 QD1:QD1048576">
    <cfRule type="cellIs" dxfId="158" priority="266892" operator="between">
      <formula>$QE$20</formula>
      <formula>1000</formula>
    </cfRule>
    <cfRule type="cellIs" dxfId="157" priority="266893" operator="between">
      <formula>$QE$19</formula>
      <formula>$QE$20</formula>
    </cfRule>
    <cfRule type="cellIs" dxfId="156" priority="266894" operator="between">
      <formula>$QE$18</formula>
      <formula>$QE$19</formula>
    </cfRule>
    <cfRule type="cellIs" dxfId="155" priority="266895" operator="between">
      <formula>$QE$17</formula>
      <formula>$QE$18</formula>
    </cfRule>
  </conditionalFormatting>
  <conditionalFormatting sqref="QZ1:QZ1048576 RC1:RC1048576 RG1:RG1048576 RJ1:RJ1048576">
    <cfRule type="cellIs" dxfId="154" priority="266940" operator="between">
      <formula>$RM$16</formula>
      <formula>1000</formula>
    </cfRule>
    <cfRule type="cellIs" dxfId="153" priority="266941" operator="between">
      <formula>$RM$15</formula>
      <formula>$RM$16</formula>
    </cfRule>
    <cfRule type="cellIs" dxfId="152" priority="266942" operator="between">
      <formula>$RM$14</formula>
      <formula>$RM$15</formula>
    </cfRule>
    <cfRule type="cellIs" dxfId="151" priority="266943" operator="between">
      <formula>$RM$13</formula>
      <formula>$RM$14</formula>
    </cfRule>
  </conditionalFormatting>
  <conditionalFormatting sqref="RB1:RB1048576 RE1:RE1048576 RI1:RI1048576 RL1:RL1048576">
    <cfRule type="cellIs" dxfId="150" priority="266988" operator="between">
      <formula>$RM$20</formula>
      <formula>1000</formula>
    </cfRule>
    <cfRule type="cellIs" dxfId="149" priority="266989" operator="between">
      <formula>$RM$19</formula>
      <formula>$RM$20</formula>
    </cfRule>
    <cfRule type="cellIs" dxfId="148" priority="266990" operator="between">
      <formula>$RM$18</formula>
      <formula>$RM$19</formula>
    </cfRule>
    <cfRule type="cellIs" dxfId="147" priority="266991" operator="between">
      <formula>$RM$17</formula>
      <formula>$RM$18</formula>
    </cfRule>
  </conditionalFormatting>
  <conditionalFormatting sqref="SH1:SH1048576 SK1:SK1048576 SO1:SO1048576 SR1:SR1048576">
    <cfRule type="cellIs" dxfId="146" priority="267036" operator="between">
      <formula>$SU$16</formula>
      <formula>1000</formula>
    </cfRule>
    <cfRule type="cellIs" dxfId="145" priority="267037" operator="between">
      <formula>$SU$15</formula>
      <formula>$SU$16</formula>
    </cfRule>
    <cfRule type="cellIs" dxfId="144" priority="267038" operator="between">
      <formula>$SU$14</formula>
      <formula>$SU$15</formula>
    </cfRule>
    <cfRule type="cellIs" dxfId="143" priority="267039" operator="between">
      <formula>$SU$13</formula>
      <formula>$SU$14</formula>
    </cfRule>
  </conditionalFormatting>
  <conditionalFormatting sqref="SJ1:SJ1048576 SM1:SM1048576 SQ1:SQ1048576 ST1:ST1048576">
    <cfRule type="cellIs" dxfId="142" priority="267084" operator="between">
      <formula>$SU$20</formula>
      <formula>1000</formula>
    </cfRule>
    <cfRule type="cellIs" dxfId="141" priority="267085" operator="between">
      <formula>$SU$19</formula>
      <formula>$SU$20</formula>
    </cfRule>
    <cfRule type="cellIs" dxfId="140" priority="267086" operator="between">
      <formula>$SU$18</formula>
      <formula>$SU$19</formula>
    </cfRule>
    <cfRule type="cellIs" dxfId="139" priority="267087" operator="between">
      <formula>$SU$17</formula>
      <formula>$SU$18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QD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5" t="s">
        <v>184</v>
      </c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0" t="s">
        <v>196</v>
      </c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6" t="s">
        <v>52</v>
      </c>
      <c r="CJ1" s="76"/>
      <c r="CK1" s="70" t="s">
        <v>193</v>
      </c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5" t="s">
        <v>201</v>
      </c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  <c r="ED1" s="75"/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0" t="s">
        <v>202</v>
      </c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5" t="s">
        <v>203</v>
      </c>
      <c r="FR1" s="75"/>
      <c r="FS1" s="75"/>
      <c r="FT1" s="75"/>
      <c r="FU1" s="75"/>
      <c r="FV1" s="75"/>
      <c r="FW1" s="75"/>
      <c r="FX1" s="75"/>
      <c r="FY1" s="75"/>
      <c r="FZ1" s="75"/>
      <c r="GA1" s="75"/>
      <c r="GB1" s="75"/>
      <c r="GC1" s="75"/>
      <c r="GD1" s="75"/>
      <c r="GE1" s="75"/>
      <c r="GF1" s="75"/>
      <c r="GG1" s="75"/>
      <c r="GH1" s="75"/>
      <c r="GI1" s="75"/>
      <c r="GJ1" s="75"/>
      <c r="GK1" s="75"/>
      <c r="GL1" s="75"/>
      <c r="GM1" s="75"/>
      <c r="GN1" s="75"/>
      <c r="GO1" s="75"/>
      <c r="GP1" s="75"/>
      <c r="GQ1" s="75"/>
      <c r="GR1" s="75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5"/>
      <c r="IK1" s="75"/>
      <c r="IL1" s="75"/>
      <c r="IM1" s="75"/>
      <c r="IN1" s="75"/>
      <c r="IO1" s="75"/>
      <c r="IP1" s="75"/>
      <c r="IQ1" s="75"/>
      <c r="IR1" s="75"/>
      <c r="IS1" s="75"/>
      <c r="IT1" s="75"/>
      <c r="IU1" s="75"/>
      <c r="IV1" s="75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5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5"/>
      <c r="OH1" s="75"/>
      <c r="OI1" s="75"/>
      <c r="OJ1" s="75"/>
      <c r="OK1" s="75"/>
      <c r="OL1" s="75"/>
      <c r="OM1" s="75"/>
      <c r="ON1" s="75"/>
      <c r="OO1" s="75"/>
      <c r="OP1" s="75"/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0" t="s">
        <v>56</v>
      </c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</row>
    <row r="2" spans="1:446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79</v>
      </c>
      <c r="AD2" s="71"/>
      <c r="AE2" s="71"/>
      <c r="AF2" s="71"/>
      <c r="AG2" s="78" t="s">
        <v>80</v>
      </c>
      <c r="AH2" s="78"/>
      <c r="AI2" s="78"/>
      <c r="AJ2" s="78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7" t="s">
        <v>76</v>
      </c>
      <c r="AR2" s="67"/>
      <c r="AS2" s="67"/>
      <c r="AT2" s="67"/>
      <c r="AU2" s="67" t="s">
        <v>77</v>
      </c>
      <c r="AV2" s="67"/>
      <c r="AW2" s="67"/>
      <c r="AX2" s="67"/>
      <c r="AY2" s="67" t="s">
        <v>79</v>
      </c>
      <c r="AZ2" s="67"/>
      <c r="BA2" s="67"/>
      <c r="BB2" s="67"/>
      <c r="BC2" s="77" t="s">
        <v>80</v>
      </c>
      <c r="BD2" s="77"/>
      <c r="BE2" s="77"/>
      <c r="BF2" s="77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71" t="s">
        <v>76</v>
      </c>
      <c r="BN2" s="71"/>
      <c r="BO2" s="71"/>
      <c r="BP2" s="71"/>
      <c r="BQ2" s="71" t="s">
        <v>77</v>
      </c>
      <c r="BR2" s="71"/>
      <c r="BS2" s="71"/>
      <c r="BT2" s="71"/>
      <c r="BU2" s="71" t="s">
        <v>79</v>
      </c>
      <c r="BV2" s="71"/>
      <c r="BW2" s="71"/>
      <c r="BX2" s="71"/>
      <c r="BY2" s="78" t="s">
        <v>80</v>
      </c>
      <c r="BZ2" s="78"/>
      <c r="CA2" s="78"/>
      <c r="CB2" s="78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71" t="s">
        <v>76</v>
      </c>
      <c r="CL2" s="71"/>
      <c r="CM2" s="71"/>
      <c r="CN2" s="71"/>
      <c r="CO2" s="71" t="s">
        <v>77</v>
      </c>
      <c r="CP2" s="71"/>
      <c r="CQ2" s="71"/>
      <c r="CR2" s="71"/>
      <c r="CS2" s="71" t="s">
        <v>78</v>
      </c>
      <c r="CT2" s="71"/>
      <c r="CU2" s="71"/>
      <c r="CV2" s="71"/>
      <c r="CW2" s="71" t="s">
        <v>79</v>
      </c>
      <c r="CX2" s="71"/>
      <c r="CY2" s="71"/>
      <c r="CZ2" s="71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7" t="s">
        <v>76</v>
      </c>
      <c r="DN2" s="67"/>
      <c r="DO2" s="67"/>
      <c r="DP2" s="67"/>
      <c r="DQ2" s="67" t="s">
        <v>77</v>
      </c>
      <c r="DR2" s="67"/>
      <c r="DS2" s="67"/>
      <c r="DT2" s="67"/>
      <c r="DU2" s="67" t="s">
        <v>78</v>
      </c>
      <c r="DV2" s="67"/>
      <c r="DW2" s="67"/>
      <c r="DX2" s="67"/>
      <c r="DY2" s="67" t="s">
        <v>79</v>
      </c>
      <c r="DZ2" s="67"/>
      <c r="EA2" s="67"/>
      <c r="EB2" s="67"/>
      <c r="EC2" s="77" t="s">
        <v>80</v>
      </c>
      <c r="ED2" s="77"/>
      <c r="EE2" s="77"/>
      <c r="EF2" s="77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71" t="s">
        <v>76</v>
      </c>
      <c r="EP2" s="71"/>
      <c r="EQ2" s="71"/>
      <c r="ER2" s="71"/>
      <c r="ES2" s="71" t="s">
        <v>77</v>
      </c>
      <c r="ET2" s="71"/>
      <c r="EU2" s="71"/>
      <c r="EV2" s="71"/>
      <c r="EW2" s="71" t="s">
        <v>78</v>
      </c>
      <c r="EX2" s="71"/>
      <c r="EY2" s="71"/>
      <c r="EZ2" s="71"/>
      <c r="FA2" s="71" t="s">
        <v>79</v>
      </c>
      <c r="FB2" s="71"/>
      <c r="FC2" s="71"/>
      <c r="FD2" s="71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7" t="s">
        <v>76</v>
      </c>
      <c r="FR2" s="67"/>
      <c r="FS2" s="67"/>
      <c r="FT2" s="67"/>
      <c r="FU2" s="67" t="s">
        <v>77</v>
      </c>
      <c r="FV2" s="67"/>
      <c r="FW2" s="67"/>
      <c r="FX2" s="67"/>
      <c r="FY2" s="67" t="s">
        <v>78</v>
      </c>
      <c r="FZ2" s="67"/>
      <c r="GA2" s="67"/>
      <c r="GB2" s="67"/>
      <c r="GC2" s="67" t="s">
        <v>79</v>
      </c>
      <c r="GD2" s="67"/>
      <c r="GE2" s="67"/>
      <c r="GF2" s="67"/>
      <c r="GG2" s="77" t="s">
        <v>80</v>
      </c>
      <c r="GH2" s="77"/>
      <c r="GI2" s="77"/>
      <c r="GJ2" s="77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71" t="s">
        <v>76</v>
      </c>
      <c r="GT2" s="71"/>
      <c r="GU2" s="71"/>
      <c r="GV2" s="71"/>
      <c r="GW2" s="71" t="s">
        <v>77</v>
      </c>
      <c r="GX2" s="71"/>
      <c r="GY2" s="71"/>
      <c r="GZ2" s="71"/>
      <c r="HA2" s="71" t="s">
        <v>78</v>
      </c>
      <c r="HB2" s="71"/>
      <c r="HC2" s="71"/>
      <c r="HD2" s="71"/>
      <c r="HE2" s="71" t="s">
        <v>79</v>
      </c>
      <c r="HF2" s="71"/>
      <c r="HG2" s="71"/>
      <c r="HH2" s="71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7" t="s">
        <v>76</v>
      </c>
      <c r="HV2" s="67"/>
      <c r="HW2" s="67"/>
      <c r="HX2" s="67"/>
      <c r="HY2" s="67" t="s">
        <v>77</v>
      </c>
      <c r="HZ2" s="67"/>
      <c r="IA2" s="67"/>
      <c r="IB2" s="67"/>
      <c r="IC2" s="67" t="s">
        <v>78</v>
      </c>
      <c r="ID2" s="67"/>
      <c r="IE2" s="67"/>
      <c r="IF2" s="67"/>
      <c r="IG2" s="67" t="s">
        <v>79</v>
      </c>
      <c r="IH2" s="67"/>
      <c r="II2" s="67"/>
      <c r="IJ2" s="67"/>
      <c r="IK2" s="77" t="s">
        <v>80</v>
      </c>
      <c r="IL2" s="77"/>
      <c r="IM2" s="77"/>
      <c r="IN2" s="77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71" t="s">
        <v>76</v>
      </c>
      <c r="IX2" s="71"/>
      <c r="IY2" s="71"/>
      <c r="IZ2" s="71"/>
      <c r="JA2" s="71" t="s">
        <v>77</v>
      </c>
      <c r="JB2" s="71"/>
      <c r="JC2" s="71"/>
      <c r="JD2" s="71"/>
      <c r="JE2" s="71" t="s">
        <v>78</v>
      </c>
      <c r="JF2" s="71"/>
      <c r="JG2" s="71"/>
      <c r="JH2" s="71"/>
      <c r="JI2" s="71" t="s">
        <v>79</v>
      </c>
      <c r="JJ2" s="71"/>
      <c r="JK2" s="71"/>
      <c r="JL2" s="71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7" t="s">
        <v>76</v>
      </c>
      <c r="JZ2" s="67"/>
      <c r="KA2" s="67"/>
      <c r="KB2" s="67"/>
      <c r="KC2" s="67" t="s">
        <v>77</v>
      </c>
      <c r="KD2" s="67"/>
      <c r="KE2" s="67"/>
      <c r="KF2" s="67"/>
      <c r="KG2" s="67" t="s">
        <v>78</v>
      </c>
      <c r="KH2" s="67"/>
      <c r="KI2" s="67"/>
      <c r="KJ2" s="67"/>
      <c r="KK2" s="67" t="s">
        <v>79</v>
      </c>
      <c r="KL2" s="67"/>
      <c r="KM2" s="67"/>
      <c r="KN2" s="67"/>
      <c r="KO2" s="77" t="s">
        <v>80</v>
      </c>
      <c r="KP2" s="77"/>
      <c r="KQ2" s="77"/>
      <c r="KR2" s="77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71" t="s">
        <v>76</v>
      </c>
      <c r="LB2" s="71"/>
      <c r="LC2" s="71"/>
      <c r="LD2" s="71"/>
      <c r="LE2" s="71" t="s">
        <v>77</v>
      </c>
      <c r="LF2" s="71"/>
      <c r="LG2" s="71"/>
      <c r="LH2" s="71"/>
      <c r="LI2" s="71" t="s">
        <v>78</v>
      </c>
      <c r="LJ2" s="71"/>
      <c r="LK2" s="71"/>
      <c r="LL2" s="71"/>
      <c r="LM2" s="71" t="s">
        <v>79</v>
      </c>
      <c r="LN2" s="71"/>
      <c r="LO2" s="71"/>
      <c r="LP2" s="71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7" t="s">
        <v>76</v>
      </c>
      <c r="MD2" s="67"/>
      <c r="ME2" s="67"/>
      <c r="MF2" s="67"/>
      <c r="MG2" s="67" t="s">
        <v>77</v>
      </c>
      <c r="MH2" s="67"/>
      <c r="MI2" s="67"/>
      <c r="MJ2" s="67"/>
      <c r="MK2" s="67" t="s">
        <v>78</v>
      </c>
      <c r="ML2" s="67"/>
      <c r="MM2" s="67"/>
      <c r="MN2" s="67"/>
      <c r="MO2" s="67" t="s">
        <v>79</v>
      </c>
      <c r="MP2" s="67"/>
      <c r="MQ2" s="67"/>
      <c r="MR2" s="67"/>
      <c r="MS2" s="77" t="s">
        <v>80</v>
      </c>
      <c r="MT2" s="77"/>
      <c r="MU2" s="77"/>
      <c r="MV2" s="77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71" t="s">
        <v>76</v>
      </c>
      <c r="NF2" s="71"/>
      <c r="NG2" s="71"/>
      <c r="NH2" s="71"/>
      <c r="NI2" s="71" t="s">
        <v>77</v>
      </c>
      <c r="NJ2" s="71"/>
      <c r="NK2" s="71"/>
      <c r="NL2" s="71"/>
      <c r="NM2" s="71" t="s">
        <v>78</v>
      </c>
      <c r="NN2" s="71"/>
      <c r="NO2" s="71"/>
      <c r="NP2" s="71"/>
      <c r="NQ2" s="71" t="s">
        <v>79</v>
      </c>
      <c r="NR2" s="71"/>
      <c r="NS2" s="71"/>
      <c r="NT2" s="71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7" t="s">
        <v>76</v>
      </c>
      <c r="OH2" s="67"/>
      <c r="OI2" s="67"/>
      <c r="OJ2" s="67"/>
      <c r="OK2" s="67" t="s">
        <v>77</v>
      </c>
      <c r="OL2" s="67"/>
      <c r="OM2" s="67"/>
      <c r="ON2" s="67"/>
      <c r="OO2" s="67" t="s">
        <v>78</v>
      </c>
      <c r="OP2" s="67"/>
      <c r="OQ2" s="67"/>
      <c r="OR2" s="67"/>
      <c r="OS2" s="67" t="s">
        <v>79</v>
      </c>
      <c r="OT2" s="67"/>
      <c r="OU2" s="67"/>
      <c r="OV2" s="67"/>
      <c r="OW2" s="77" t="s">
        <v>80</v>
      </c>
      <c r="OX2" s="77"/>
      <c r="OY2" s="77"/>
      <c r="OZ2" s="77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71" t="s">
        <v>76</v>
      </c>
      <c r="PJ2" s="71"/>
      <c r="PK2" s="71"/>
      <c r="PL2" s="71"/>
      <c r="PM2" s="71" t="s">
        <v>77</v>
      </c>
      <c r="PN2" s="71"/>
      <c r="PO2" s="71"/>
      <c r="PP2" s="71"/>
      <c r="PQ2" s="71" t="s">
        <v>79</v>
      </c>
      <c r="PR2" s="71"/>
      <c r="PS2" s="71"/>
      <c r="PT2" s="71"/>
      <c r="PU2" s="78" t="s">
        <v>80</v>
      </c>
      <c r="PV2" s="78"/>
      <c r="PW2" s="78"/>
      <c r="PX2" s="78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113</v>
      </c>
      <c r="D4" s="4" t="s">
        <v>3</v>
      </c>
      <c r="E4" s="4">
        <v>2006</v>
      </c>
      <c r="F4" s="9">
        <f>SUM(L4:R4)+SUM(L4:O4)*0.0000001+SUM(L4)*0.0000000000001</f>
        <v>162.50001039000534</v>
      </c>
      <c r="G4" s="64" t="s">
        <v>46</v>
      </c>
      <c r="H4" s="3" t="str">
        <f>IF(OR(AND(AL4&gt;=AP$23,AM4&gt;=AP$27,AL4&lt;&gt;"",AK4=""),AND(AN4&gt;=AP$23,AO4&gt;=AP$27,AN4&lt;&gt;"",AK4=""),AND(BH4&gt;=BL$23,BI4&gt;=BL$27,BH4&lt;&gt;"",BG4=""),AND(BJ4&gt;=BL$23,BK4&gt;=BL$27,BJ4&lt;&gt;"",BG4=""),AND(CD4&gt;=CH$23,CE4&gt;=CH$27,CD4&lt;&gt;"",CC4=""),AND(CF4&gt;=CH$23,CG4&gt;=CH$27,CF4&lt;&gt;""),AND(DE4&gt;=DL$23,DF4&gt;=DL$27,DE4&lt;&gt;""),AND(DJ4&gt;=DL$23,DK4&gt;=DL$27,DJ4&lt;&gt;""),AND(EG4&gt;=EN$23,EH4&gt;=EN$27,EG4&lt;&gt;""),AND(EL4&gt;=EN$23,EM4&gt;=EN$27,EL4&lt;&gt;""),AND(FI4&gt;=FP$23,FJ4&gt;=FP$27,FI4&lt;&gt;""),AND(FN4&gt;=FP$23,FO4&gt;=FP$27,FN4&lt;&gt;""),AND(GK4&gt;=GR$23,GL4&gt;=GR$27,GK4&lt;&gt;""),AND(GP4&gt;=GR$23,GQ4&gt;=GR$27,GP4&lt;&gt;""),AND(HM4&gt;=HT$23,HN4&gt;=HT$27,HM4&lt;&gt;""),AND(HR4&gt;=HT$23,HS4&gt;=HT$27,HR4&lt;&gt;""),AND(IO4&gt;=IV$23,IP4&gt;=IV$27,IO4&lt;&gt;""),AND(IT4&gt;=IV$23,IU4&gt;=IV$27,IT4&lt;&gt;""),AND(JQ4&gt;=JX$23,JR4&gt;=JX$27,JQ4&lt;&gt;""),AND(JV4&gt;=JX$23,JW4&gt;=JX$27,JV4&lt;&gt;""),AND(KS4&gt;=KZ$23,KT4&gt;=KZ$27,KS4&lt;&gt;""),AND(KX4&gt;=KZ$23,KY4&gt;=KZ$27,KX4&lt;&gt;""),AND(LU4&gt;=MB$23,LV4&gt;=MB$27,LU4&lt;&gt;""),AND(LZ4&gt;=MB$23,MA4&gt;=MB$27,LZ4&lt;&gt;""),AND(MW4&gt;=ND$23,MX4&gt;=ND$27,MW4&lt;&gt;""),AND(NB4&gt;=ND$23,NC4&gt;=ND$27,NB4&lt;&gt;""),AND(NY4&gt;=OF$23,NZ4&gt;=OF$27,NY4&lt;&gt;""),AND(OD4&gt;=OF$23,OE4&gt;=OF$27,OD4&lt;&gt;""),AND(PA4&gt;=PH$23,PB4&gt;=PH$27,PA4&lt;&gt;""),AND(PF4&gt;=PH$23,PG4&gt;=PH$27,PF4&lt;&gt;"")),"P","")</f>
        <v>P</v>
      </c>
      <c r="I4" s="3" t="str">
        <f>IF(OR(AND(AM4&gt;=AP$27,AM4&lt;&gt;"",AK4=""),AND(AO4&gt;=AP$27,AO4&lt;&gt;"",AK4=""),AND(BI4&gt;=BL$27,BI4&lt;&gt;"",BG4=""),AND(BK4&gt;=BL$27,BK4&lt;&gt;"",BG4=""),AND(CE4&gt;=CH$27,CE4&lt;&gt;"",CC4=""),AND(CG4&gt;=CH$27,CG4&lt;&gt;"",CC4=""),AND(DF4&gt;=DL$27,DF4&lt;&gt;""),AND(DK4&gt;=DL$27,DK4&lt;&gt;""),AND(EH4&gt;=EN$27,EH4&lt;&gt;""),AND(EM4&gt;=EN$27,EM4&lt;&gt;""),AND(FJ4&gt;=FP$27,FJ4&lt;&gt;""),AND(FO4&gt;=FP$27,FO4&lt;&gt;""),AND(GL4&gt;=GR$27,GL4&lt;&gt;""),AND(GQ4&gt;=GR$27,GQ4&lt;&gt;""),AND(HN4&gt;=HT$27,HN4&lt;&gt;""),AND(HS4&gt;=HT$27,HS4&lt;&gt;""),AND(IP4&gt;=IV$27,IP4&lt;&gt;""),AND(IU4&gt;=IV$27,IU4&lt;&gt;""),AND(JR4&gt;=JX$27,JR4&lt;&gt;""),AND(JW4&gt;=JX$27,JW4&lt;&gt;""),AND(KT4&gt;=KZ$27,KT4&lt;&gt;""),AND(KY4&gt;=KZ$27,KY4&lt;&gt;""),AND(LV4&gt;=MB$27,LV4&lt;&gt;""),AND(MA4&gt;=MB$27,MA4&lt;&gt;""),AND(MX4&gt;=ND$27,MX4&lt;&gt;""),AND(NC4&gt;=ND$27,NC4&lt;&gt;""),AND(NZ4&gt;=OF$27,NZ4&lt;&gt;""),AND(OE4&gt;=OF$27,OE4&lt;&gt;""),AND(PB4&gt;=PH$27,PB4&lt;&gt;""),AND(PG4&gt;=PH$27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53.399999999999991</v>
      </c>
      <c r="M4" s="8" t="str">
        <f>IF(L4=0,"",IF(L4=CE4,$BM$1,IF(L4=BI4,$AQ$1,IF(L4=AM4,$U$1,""))))</f>
        <v>2025 Elite Canada</v>
      </c>
      <c r="N4" s="8">
        <f>IF(COUNT(AM4,BI4,CE4)&gt;1,LARGE((AM4,BI4,CE4),2),0)</f>
        <v>50.499999999999993</v>
      </c>
      <c r="O4" s="8" t="str">
        <f>IF(N4=0,"",IF(AND(N4=L4,N4=AM4,N4=BI4),$U$1,IF(AND(N4=L4,N4=AM4,N4=CE4),$U$1,IF(AND(N4=L4,N4=BI4,N4=CE4),$AQ$1,IF(N4=CE4,$BM$1,IF(N4=BI4,$AQ$1,IF(N4=AM4,$U$1,"")))))))</f>
        <v>2025 Nationals</v>
      </c>
      <c r="P4" s="8">
        <f>IF(MAX(AO4,BK4,CG4)&gt;0,MAX(AO4,BK4,CG4),0)</f>
        <v>54.8</v>
      </c>
      <c r="Q4" s="8" t="str">
        <f>IF(P4=0,"",IF(P4=CG4,$BM$1,IF(P4=BK4,$AQ$1,IF(P4=AO4,$U$1,""))))</f>
        <v>2025 Nationals</v>
      </c>
      <c r="R4" s="8">
        <f>IF(MAX(CI4:CJ4)&gt;0,MAX(CI4:CJ4),"")</f>
        <v>3.8000000000000043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>
        <v>18.8</v>
      </c>
      <c r="AD4" s="19">
        <v>8.5</v>
      </c>
      <c r="AE4" s="19">
        <v>0.2</v>
      </c>
      <c r="AF4" s="19">
        <v>0</v>
      </c>
      <c r="AG4" s="19">
        <v>18.7</v>
      </c>
      <c r="AH4" s="19">
        <v>8.8000000000000007</v>
      </c>
      <c r="AI4" s="19">
        <v>0</v>
      </c>
      <c r="AJ4" s="19">
        <v>0</v>
      </c>
      <c r="AK4" s="27"/>
      <c r="AL4" s="40">
        <f>IF(SUM(V4,Z4)&gt;0,SUM(V4,Z4),"")</f>
        <v>16.7</v>
      </c>
      <c r="AM4" s="40">
        <f>IF(SUM(U4:V4,X4:Z4,AB4)-W4-AA4&gt;0,SUM(U4:V4,X4:Z4,AB4)-W4-AA4,"")</f>
        <v>53.399999999999991</v>
      </c>
      <c r="AN4" s="40">
        <f>IF(SUM(AD4,AH4)&gt;0,SUM(AD4,AH4),"")</f>
        <v>17.3</v>
      </c>
      <c r="AO4" s="40">
        <f>IF(SUM(AC4:AD4,AF4:AH4,AJ4)-SUM(AE4,AI4)&gt;0,SUM(AC4:AD4,AF4:AH4,AJ4)-SUM(AE4,AI4),"")</f>
        <v>54.599999999999994</v>
      </c>
      <c r="AP4" s="40">
        <f>IF(SUM(AM4,AO4)&gt;0,SUM(AM4,AO4),"")</f>
        <v>107.99999999999999</v>
      </c>
      <c r="AQ4" s="18">
        <v>18.399999999999999</v>
      </c>
      <c r="AR4" s="18">
        <v>7.3</v>
      </c>
      <c r="AS4" s="18">
        <v>0</v>
      </c>
      <c r="AT4" s="18">
        <v>0</v>
      </c>
      <c r="AU4" s="18">
        <v>17.899999999999999</v>
      </c>
      <c r="AV4" s="18">
        <v>6.9</v>
      </c>
      <c r="AW4" s="18">
        <v>0</v>
      </c>
      <c r="AX4" s="18">
        <v>0</v>
      </c>
      <c r="AY4" s="18">
        <v>18.600000000000001</v>
      </c>
      <c r="AZ4" s="18">
        <v>8.8000000000000007</v>
      </c>
      <c r="BA4" s="18">
        <v>0</v>
      </c>
      <c r="BB4" s="18">
        <v>0</v>
      </c>
      <c r="BC4" s="18">
        <v>18.100000000000001</v>
      </c>
      <c r="BD4" s="18">
        <v>9.3000000000000007</v>
      </c>
      <c r="BE4" s="18">
        <v>0</v>
      </c>
      <c r="BF4" s="18">
        <v>0</v>
      </c>
      <c r="BG4" s="28"/>
      <c r="BH4" s="11">
        <f>IF(SUM(AR4,AV4)&gt;0,SUM(AR4,AV4),"")</f>
        <v>14.2</v>
      </c>
      <c r="BI4" s="11">
        <f>IF(SUM(AQ4:AR4,AT4:AV4,AX4)-AS4-AW4&gt;0,SUM(AQ4:AR4,AT4:AV4,AX4)-AS4-AW4,"")</f>
        <v>50.499999999999993</v>
      </c>
      <c r="BJ4" s="11">
        <f>IF(SUM(AZ4,BD4)&gt;0,SUM(AZ4,BD4),"")</f>
        <v>18.100000000000001</v>
      </c>
      <c r="BK4" s="11">
        <f>IF(SUM(AY4:AZ4,BB4:BD4,BF4)-SUM(BA4,BE4)&gt;0,SUM(AY4:AZ4,BB4:BD4,BF4)-SUM(BA4,BE4),"")</f>
        <v>54.8</v>
      </c>
      <c r="BL4" s="11">
        <f>IF(SUM(BI4,BK4)&gt;0,SUM(BI4,BK4),"")</f>
        <v>105.29999999999998</v>
      </c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27"/>
      <c r="CD4" s="40" t="str">
        <f>IF(SUM(BN4,BR4)&gt;0,SUM(BN4,BR4),"")</f>
        <v/>
      </c>
      <c r="CE4" s="40" t="str">
        <f>IF(SUM(BM4:BN4,BP4:BR4,BT4)-BO4-BS4&gt;0,SUM(BM4:BN4,BP4:BR4,BT4)-BO4-BS4,"")</f>
        <v/>
      </c>
      <c r="CF4" s="40" t="str">
        <f>IF(SUM(BV4,BZ4)&gt;0,SUM(BV4,BZ4),"")</f>
        <v/>
      </c>
      <c r="CG4" s="40" t="str">
        <f>IF(SUM(BU4:BV4,BX4:BZ4,CB4)-SUM(BW4,CA4)&gt;0,SUM(BU4:BV4,BX4:BZ4,CB4)-SUM(BW4,CA4),"")</f>
        <v/>
      </c>
      <c r="CH4" s="40" t="str">
        <f>IF(SUM(CE4,CG4)&gt;0,SUM(CE4,CG4),"")</f>
        <v/>
      </c>
      <c r="CI4" s="50">
        <f>IF(MAX(DF4,EH4,FJ4,GL4,HN4,IP4,JR4,KT4,LV4,MX4,NZ4,PB4)-IF(N4="",0,N4)&gt;0.001,MAX(DF4,EH4,FJ4,GL4,HN4,IP4,JR4,KT4,LV4,MX4,NZ4,PB4)-IF(N4="",0,N4),"")</f>
        <v>3.8000000000000043</v>
      </c>
      <c r="CJ4" s="50" t="str">
        <f>IF(MAX(DK4,EM4,FO4,GQ4,HS4,IU4,JW4,KY4,MA4,NC4,OE4,PG4)-IF(P4="",0,P4)&gt;0.001,MAX(DK4,EM4,FO4,GQ4,HS4,IU4,JW4,KY4,MA4,NC4,OE4,PG4)-IF(P4="",0,P4),"")</f>
        <v/>
      </c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 t="str">
        <f>IF(SUM(CL4,CP4)&gt;0,SUM(CL4,CP4),"")</f>
        <v/>
      </c>
      <c r="DF4" s="40" t="str">
        <f>IF(SUM(CK4:CL4,CN4:CP4,CR4)-CM4-CQ4&gt;0,SUM(CK4:CL4,CN4:CP4,CR4)-CM4-CQ4,"")</f>
        <v/>
      </c>
      <c r="DG4" s="40" t="str">
        <f>IF(SUM(CS4:CT4,CV4)-CU4&gt;0,SUM(CS4:CT4,CV4)-CU4,"")</f>
        <v/>
      </c>
      <c r="DH4" s="40" t="str">
        <f>IF(SUM(CL4,CP4,CT4)&gt;0,SUM(CL4,CP4,CT4),"")</f>
        <v/>
      </c>
      <c r="DI4" s="40" t="str">
        <f>IF(SUM(DF4,DG4)&gt;0,SUM(DF4,DG4),"")</f>
        <v/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 t="str">
        <f>IF(SUM(DF4,DG4,DK4)&gt;0,SUM(DF4,DG4,DK4),"")</f>
        <v/>
      </c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 t="str">
        <f>IF(SUM(DN4,DR4)&gt;0,SUM(DN4,DR4),"")</f>
        <v/>
      </c>
      <c r="EH4" s="11" t="str">
        <f>IF(SUM(DM4:DN4,DP4:DR4,DT4)-DO4-DS4&gt;0,SUM(DM4:DN4,DP4:DR4,DT4)-DO4-DS4,"")</f>
        <v/>
      </c>
      <c r="EI4" s="11" t="str">
        <f>IF(SUM(DU4:DV4,DX4)-DW4&gt;0,SUM(DU4:DV4,DX4)-DW4,"")</f>
        <v/>
      </c>
      <c r="EJ4" s="11" t="str">
        <f>IF(SUM(DN4,DR4,DV4)&gt;0,SUM(DN4,DR4,DV4),"")</f>
        <v/>
      </c>
      <c r="EK4" s="11" t="str">
        <f>IF(SUM(EH4,EI4)&gt;0,SUM(EH4,EI4),"")</f>
        <v/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 t="str">
        <f>IF(SUM(EH4,EI4,EM4)&gt;0,SUM(EH4,EI4,EM4),"")</f>
        <v/>
      </c>
      <c r="EO4" s="17">
        <v>17.8</v>
      </c>
      <c r="EP4" s="17">
        <v>8.8000000000000007</v>
      </c>
      <c r="EQ4" s="17">
        <v>0</v>
      </c>
      <c r="ER4" s="17">
        <v>0</v>
      </c>
      <c r="ES4" s="17">
        <v>18.399999999999999</v>
      </c>
      <c r="ET4" s="17">
        <v>9.3000000000000007</v>
      </c>
      <c r="EU4" s="17">
        <v>0</v>
      </c>
      <c r="EV4" s="17">
        <v>0</v>
      </c>
      <c r="EW4" s="17">
        <v>18.100000000000001</v>
      </c>
      <c r="EX4" s="17">
        <v>9.3000000000000007</v>
      </c>
      <c r="EY4" s="17">
        <v>0</v>
      </c>
      <c r="EZ4" s="17">
        <v>0</v>
      </c>
      <c r="FA4" s="17">
        <v>18</v>
      </c>
      <c r="FB4" s="17">
        <v>9.6</v>
      </c>
      <c r="FC4" s="17">
        <v>0</v>
      </c>
      <c r="FD4" s="17">
        <v>0</v>
      </c>
      <c r="FE4" s="17"/>
      <c r="FF4" s="17"/>
      <c r="FG4" s="17"/>
      <c r="FH4" s="17"/>
      <c r="FI4" s="40">
        <f>IF(SUM(EP4,ET4)&gt;0,SUM(EP4,ET4),"")</f>
        <v>18.100000000000001</v>
      </c>
      <c r="FJ4" s="40">
        <f>IF(SUM(EO4:EP4,ER4:ET4,EV4)-EQ4-EU4&gt;0,SUM(EO4:EP4,ER4:ET4,EV4)-EQ4-EU4,"")</f>
        <v>54.3</v>
      </c>
      <c r="FK4" s="40">
        <f>IF(SUM(EW4:EX4,EZ4)-EY4&gt;0,SUM(EW4:EX4,EZ4)-EY4,"")</f>
        <v>27.400000000000002</v>
      </c>
      <c r="FL4" s="40">
        <f>IF(SUM(EP4,ET4,EX4)&gt;0,SUM(EP4,ET4,EX4),"")</f>
        <v>27.400000000000002</v>
      </c>
      <c r="FM4" s="40">
        <f>IF(SUM(FJ4,FK4)&gt;0,SUM(FJ4,FK4),"")</f>
        <v>81.7</v>
      </c>
      <c r="FN4" s="40">
        <f>IF(SUM(FB4,FF4)&gt;0,SUM(FB4,FF4),"")</f>
        <v>9.6</v>
      </c>
      <c r="FO4" s="40">
        <f>IF(SUM(FA4:FB4,FD4:FF4,FH4)-SUM(FC4,FG4)&gt;0,SUM(FA4:FB4,FD4:FF4,FH4)-SUM(FC4,FG4),"")</f>
        <v>27.6</v>
      </c>
      <c r="FP4" s="40">
        <f>IF(SUM(FJ4,FK4,FO4)&gt;0,SUM(FJ4,FK4,FO4),"")</f>
        <v>109.30000000000001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9.1999999999999993</v>
      </c>
      <c r="PJ4" s="22">
        <f>IF($CC4="P",BN4,(BN4+AR4)/2)</f>
        <v>3.65</v>
      </c>
      <c r="PK4" s="22">
        <f>IF($CC4="P",BO4,(BO4+AS4)/2)</f>
        <v>0</v>
      </c>
      <c r="PL4" s="22">
        <f>IF($CC4="P",BP4,(BP4+AT4)/2)</f>
        <v>0</v>
      </c>
      <c r="PM4" s="22">
        <f>IF($CC4="P",BQ4,(BQ4+AU4)/2)</f>
        <v>8.9499999999999993</v>
      </c>
      <c r="PN4" s="22">
        <f>IF($CC4="P",BR4,(BR4+AV4)/2)</f>
        <v>3.45</v>
      </c>
      <c r="PO4" s="22">
        <f>IF($CC4="P",BS4,(BS4+AW4)/2)</f>
        <v>0</v>
      </c>
      <c r="PP4" s="22">
        <f>IF($CC4="P",BT4,(BT4+AX4)/2)</f>
        <v>0</v>
      </c>
      <c r="PQ4" s="22">
        <f>IF($CC4="P",BU4,(BU4+AY4)/2)</f>
        <v>9.3000000000000007</v>
      </c>
      <c r="PR4" s="22">
        <f>IF($CC4="P",BV4,(BV4+AZ4)/2)</f>
        <v>4.4000000000000004</v>
      </c>
      <c r="PS4" s="22">
        <f>IF($CC4="P",BW4,(BW4+BA4)/2)</f>
        <v>0</v>
      </c>
      <c r="PT4" s="22">
        <f>IF($CC4="P",BX4,(BX4+BB4)/2)</f>
        <v>0</v>
      </c>
      <c r="PU4" s="22">
        <f>IF($CC4="P",BY4,(BY4+BC4)/2)</f>
        <v>9.0500000000000007</v>
      </c>
      <c r="PV4" s="22">
        <f>IF($CC4="P",BZ4,(BZ4+BD4)/2)</f>
        <v>4.6500000000000004</v>
      </c>
      <c r="PW4" s="22">
        <f>IF($CC4="P",CA4,(CA4+BE4)/2)</f>
        <v>0</v>
      </c>
      <c r="PX4" s="22">
        <f>IF($CC4="P",CB4,(CB4+BF4)/2)</f>
        <v>0</v>
      </c>
      <c r="PY4" s="27" t="s">
        <v>46</v>
      </c>
      <c r="PZ4" s="40">
        <f>IF(SUM(PJ4,PN4)&gt;0,SUM(PJ4,PN4),"")</f>
        <v>7.1</v>
      </c>
      <c r="QA4" s="40">
        <f>IF(SUM(PI4:PJ4,PL4:PN4,PP4)-PK4-PO4&gt;0,SUM(PI4:PJ4,PL4:PN4,PP4)-PK4-PO4,"")</f>
        <v>25.249999999999996</v>
      </c>
      <c r="QB4" s="40">
        <f>IF(SUM(PR4,PV4)&gt;0,SUM(PR4,PV4),"")</f>
        <v>9.0500000000000007</v>
      </c>
      <c r="QC4" s="40">
        <f>IF(SUM(PQ4:PR4,PT4:PV4,PX4)-SUM(PS4,PW4)&gt;0,SUM(PQ4:PR4,PT4:PV4,PX4)-SUM(PS4,PW4),"")</f>
        <v>27.4</v>
      </c>
      <c r="QD4" s="40">
        <f>IF(SUM(QA4,QC4)&gt;0,SUM(QA4,QC4),"")</f>
        <v>52.649999999999991</v>
      </c>
    </row>
    <row r="5" spans="1:446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115</v>
      </c>
      <c r="D5" s="4" t="s">
        <v>6</v>
      </c>
      <c r="E5" s="4">
        <v>2006</v>
      </c>
      <c r="F5" s="9">
        <f>SUM(L5:R5)+SUM(L5:O5)*0.0000001+SUM(L5)*0.0000000000001</f>
        <v>158.20001022000517</v>
      </c>
      <c r="G5" s="64" t="s">
        <v>46</v>
      </c>
      <c r="H5" s="3" t="str">
        <f>IF(OR(AND(AL5&gt;=AP$23,AM5&gt;=AP$27,AL5&lt;&gt;"",AK5=""),AND(AN5&gt;=AP$23,AO5&gt;=AP$27,AN5&lt;&gt;"",AK5=""),AND(BH5&gt;=BL$23,BI5&gt;=BL$27,BH5&lt;&gt;"",BG5=""),AND(BJ5&gt;=BL$23,BK5&gt;=BL$27,BJ5&lt;&gt;"",BG5=""),AND(CD5&gt;=CH$23,CE5&gt;=CH$27,CD5&lt;&gt;"",CC5=""),AND(CF5&gt;=CH$23,CG5&gt;=CH$27,CF5&lt;&gt;""),AND(DE5&gt;=DL$23,DF5&gt;=DL$27,DE5&lt;&gt;""),AND(DJ5&gt;=DL$23,DK5&gt;=DL$27,DJ5&lt;&gt;""),AND(EG5&gt;=EN$23,EH5&gt;=EN$27,EG5&lt;&gt;""),AND(EL5&gt;=EN$23,EM5&gt;=EN$27,EL5&lt;&gt;""),AND(FI5&gt;=FP$23,FJ5&gt;=FP$27,FI5&lt;&gt;""),AND(FN5&gt;=FP$23,FO5&gt;=FP$27,FN5&lt;&gt;""),AND(GK5&gt;=GR$23,GL5&gt;=GR$27,GK5&lt;&gt;""),AND(GP5&gt;=GR$23,GQ5&gt;=GR$27,GP5&lt;&gt;""),AND(HM5&gt;=HT$23,HN5&gt;=HT$27,HM5&lt;&gt;""),AND(HR5&gt;=HT$23,HS5&gt;=HT$27,HR5&lt;&gt;""),AND(IO5&gt;=IV$23,IP5&gt;=IV$27,IO5&lt;&gt;""),AND(IT5&gt;=IV$23,IU5&gt;=IV$27,IT5&lt;&gt;""),AND(JQ5&gt;=JX$23,JR5&gt;=JX$27,JQ5&lt;&gt;""),AND(JV5&gt;=JX$23,JW5&gt;=JX$27,JV5&lt;&gt;""),AND(KS5&gt;=KZ$23,KT5&gt;=KZ$27,KS5&lt;&gt;""),AND(KX5&gt;=KZ$23,KY5&gt;=KZ$27,KX5&lt;&gt;""),AND(LU5&gt;=MB$23,LV5&gt;=MB$27,LU5&lt;&gt;""),AND(LZ5&gt;=MB$23,MA5&gt;=MB$27,LZ5&lt;&gt;""),AND(MW5&gt;=ND$23,MX5&gt;=ND$27,MW5&lt;&gt;""),AND(NB5&gt;=ND$23,NC5&gt;=ND$27,NB5&lt;&gt;""),AND(NY5&gt;=OF$23,NZ5&gt;=OF$27,NY5&lt;&gt;""),AND(OD5&gt;=OF$23,OE5&gt;=OF$27,OD5&lt;&gt;""),AND(PA5&gt;=PH$23,PB5&gt;=PH$27,PA5&lt;&gt;""),AND(PF5&gt;=PH$23,PG5&gt;=PH$27,PF5&lt;&gt;"")),"P","")</f>
        <v>P</v>
      </c>
      <c r="I5" s="3" t="str">
        <f>IF(OR(AND(AM5&gt;=AP$27,AM5&lt;&gt;"",AK5=""),AND(AO5&gt;=AP$27,AO5&lt;&gt;"",AK5=""),AND(BI5&gt;=BL$27,BI5&lt;&gt;"",BG5=""),AND(BK5&gt;=BL$27,BK5&lt;&gt;"",BG5=""),AND(CE5&gt;=CH$27,CE5&lt;&gt;"",CC5=""),AND(CG5&gt;=CH$27,CG5&lt;&gt;"",CC5=""),AND(DF5&gt;=DL$27,DF5&lt;&gt;""),AND(DK5&gt;=DL$27,DK5&lt;&gt;""),AND(EH5&gt;=EN$27,EH5&lt;&gt;""),AND(EM5&gt;=EN$27,EM5&lt;&gt;""),AND(FJ5&gt;=FP$27,FJ5&lt;&gt;""),AND(FO5&gt;=FP$27,FO5&lt;&gt;""),AND(GL5&gt;=GR$27,GL5&lt;&gt;""),AND(GQ5&gt;=GR$27,GQ5&lt;&gt;""),AND(HN5&gt;=HT$27,HN5&lt;&gt;""),AND(HS5&gt;=HT$27,HS5&lt;&gt;""),AND(IP5&gt;=IV$27,IP5&lt;&gt;""),AND(IU5&gt;=IV$27,IU5&lt;&gt;""),AND(JR5&gt;=JX$27,JR5&lt;&gt;""),AND(JW5&gt;=JX$27,JW5&lt;&gt;""),AND(KT5&gt;=KZ$27,KT5&lt;&gt;""),AND(KY5&gt;=KZ$27,KY5&lt;&gt;""),AND(LV5&gt;=MB$27,LV5&lt;&gt;""),AND(MA5&gt;=MB$27,MA5&lt;&gt;""),AND(MX5&gt;=ND$27,MX5&lt;&gt;""),AND(NC5&gt;=ND$27,NC5&lt;&gt;""),AND(NZ5&gt;=OF$27,NZ5&lt;&gt;""),AND(OE5&gt;=OF$27,OE5&lt;&gt;""),AND(PB5&gt;=PH$27,PB5&lt;&gt;""),AND(PG5&gt;=PH$27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51.6</v>
      </c>
      <c r="M5" s="8" t="str">
        <f>IF(L5=0,"",IF(L5=CE5,$BM$1,IF(L5=BI5,$AQ$1,IF(L5=AM5,$U$1,""))))</f>
        <v>2025 Nationals</v>
      </c>
      <c r="N5" s="8">
        <f>IF(COUNT(AM5,BI5,CE5)&gt;1,LARGE((AM5,BI5,CE5),2),0)</f>
        <v>50.6</v>
      </c>
      <c r="O5" s="8" t="str">
        <f>IF(N5=0,"",IF(AND(N5=L5,N5=AM5,N5=BI5),$U$1,IF(AND(N5=L5,N5=AM5,N5=CE5),$U$1,IF(AND(N5=L5,N5=BI5,N5=CE5),$AQ$1,IF(N5=CE5,$BM$1,IF(N5=BI5,$AQ$1,IF(N5=AM5,$U$1,"")))))))</f>
        <v>2025 Elite Canada</v>
      </c>
      <c r="P5" s="8">
        <f>IF(MAX(AO5,BK5,CG5)&gt;0,MAX(AO5,BK5,CG5),0)</f>
        <v>53.5</v>
      </c>
      <c r="Q5" s="8" t="str">
        <f>IF(P5=0,"",IF(P5=CG5,$BM$1,IF(P5=BK5,$AQ$1,IF(P5=AO5,$U$1,""))))</f>
        <v>2025 Elite Canada</v>
      </c>
      <c r="R5" s="8">
        <f>IF(MAX(CI5:CJ5)&gt;0,MAX(CI5:CJ5),"")</f>
        <v>2.5</v>
      </c>
      <c r="S5" s="11" t="str">
        <f>IF(R5="","",IF(R5=CI5,"("&amp;CI$2&amp;")",IF(R5=CJ5,"("&amp;CJ$2&amp;")")))</f>
        <v>(Q1)</v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>2025 World Cup FRA (Oct 5)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>
        <v>18.3</v>
      </c>
      <c r="AD5" s="19">
        <v>8.3000000000000007</v>
      </c>
      <c r="AE5" s="19">
        <v>0</v>
      </c>
      <c r="AF5" s="19">
        <v>0</v>
      </c>
      <c r="AG5" s="19">
        <v>19</v>
      </c>
      <c r="AH5" s="19">
        <v>7.9</v>
      </c>
      <c r="AI5" s="19">
        <v>0</v>
      </c>
      <c r="AJ5" s="19">
        <v>0</v>
      </c>
      <c r="AK5" s="27"/>
      <c r="AL5" s="40">
        <f>IF(SUM(V5,Z5)&gt;0,SUM(V5,Z5),"")</f>
        <v>14.600000000000001</v>
      </c>
      <c r="AM5" s="40">
        <f>IF(SUM(U5:V5,X5:Z5,AB5)-W5-AA5&gt;0,SUM(U5:V5,X5:Z5,AB5)-W5-AA5,"")</f>
        <v>50.6</v>
      </c>
      <c r="AN5" s="40">
        <f>IF(SUM(AD5,AH5)&gt;0,SUM(AD5,AH5),"")</f>
        <v>16.200000000000003</v>
      </c>
      <c r="AO5" s="40">
        <f>IF(SUM(AC5:AD5,AF5:AH5,AJ5)-SUM(AE5,AI5)&gt;0,SUM(AC5:AD5,AF5:AH5,AJ5)-SUM(AE5,AI5),"")</f>
        <v>53.5</v>
      </c>
      <c r="AP5" s="40">
        <f>IF(SUM(AM5,AO5)&gt;0,SUM(AM5,AO5),"")</f>
        <v>104.1</v>
      </c>
      <c r="AQ5" s="18">
        <v>18.399999999999999</v>
      </c>
      <c r="AR5" s="18">
        <v>6.5</v>
      </c>
      <c r="AS5" s="18">
        <v>0</v>
      </c>
      <c r="AT5" s="18">
        <v>0</v>
      </c>
      <c r="AU5" s="18">
        <v>18.8</v>
      </c>
      <c r="AV5" s="18">
        <v>7.9</v>
      </c>
      <c r="AW5" s="18">
        <v>0</v>
      </c>
      <c r="AX5" s="18">
        <v>0</v>
      </c>
      <c r="AY5" s="18">
        <v>16.600000000000001</v>
      </c>
      <c r="AZ5" s="18">
        <v>4.5</v>
      </c>
      <c r="BA5" s="18">
        <v>0</v>
      </c>
      <c r="BB5" s="18">
        <v>0</v>
      </c>
      <c r="BC5" s="18">
        <v>17.2</v>
      </c>
      <c r="BD5" s="18">
        <v>8.3000000000000007</v>
      </c>
      <c r="BE5" s="18">
        <v>0</v>
      </c>
      <c r="BF5" s="18">
        <v>0</v>
      </c>
      <c r="BG5" s="28"/>
      <c r="BH5" s="11">
        <f>IF(SUM(AR5,AV5)&gt;0,SUM(AR5,AV5),"")</f>
        <v>14.4</v>
      </c>
      <c r="BI5" s="11">
        <f>IF(SUM(AQ5:AR5,AT5:AV5,AX5)-AS5-AW5&gt;0,SUM(AQ5:AR5,AT5:AV5,AX5)-AS5-AW5,"")</f>
        <v>51.6</v>
      </c>
      <c r="BJ5" s="11">
        <f>IF(SUM(AZ5,BD5)&gt;0,SUM(AZ5,BD5),"")</f>
        <v>12.8</v>
      </c>
      <c r="BK5" s="11">
        <f>IF(SUM(AY5:AZ5,BB5:BD5,BF5)-SUM(BA5,BE5)&gt;0,SUM(AY5:AZ5,BB5:BD5,BF5)-SUM(BA5,BE5),"")</f>
        <v>46.599999999999994</v>
      </c>
      <c r="BL5" s="11">
        <f>IF(SUM(BI5,BK5)&gt;0,SUM(BI5,BK5),"")</f>
        <v>98.199999999999989</v>
      </c>
      <c r="BM5" s="19">
        <v>17.600000000000001</v>
      </c>
      <c r="BN5" s="19">
        <v>7.7</v>
      </c>
      <c r="BO5" s="19">
        <v>0</v>
      </c>
      <c r="BP5" s="19">
        <v>0</v>
      </c>
      <c r="BQ5" s="19">
        <v>11.1</v>
      </c>
      <c r="BR5" s="19">
        <v>3.1</v>
      </c>
      <c r="BS5" s="19">
        <v>0</v>
      </c>
      <c r="BT5" s="19">
        <v>0</v>
      </c>
      <c r="BU5" s="19">
        <v>17.2</v>
      </c>
      <c r="BV5" s="19">
        <v>7.7</v>
      </c>
      <c r="BW5" s="19">
        <v>0</v>
      </c>
      <c r="BX5" s="19">
        <v>0</v>
      </c>
      <c r="BY5" s="19">
        <v>18.100000000000001</v>
      </c>
      <c r="BZ5" s="19">
        <v>7.5</v>
      </c>
      <c r="CA5" s="19">
        <v>0</v>
      </c>
      <c r="CB5" s="19">
        <v>0</v>
      </c>
      <c r="CC5" s="27"/>
      <c r="CD5" s="40">
        <f>IF(SUM(BN5,BR5)&gt;0,SUM(BN5,BR5),"")</f>
        <v>10.8</v>
      </c>
      <c r="CE5" s="40">
        <f>IF(SUM(BM5:BN5,BP5:BR5,BT5)-BO5-BS5&gt;0,SUM(BM5:BN5,BP5:BR5,BT5)-BO5-BS5,"")</f>
        <v>39.5</v>
      </c>
      <c r="CF5" s="40">
        <f>IF(SUM(BV5,BZ5)&gt;0,SUM(BV5,BZ5),"")</f>
        <v>15.2</v>
      </c>
      <c r="CG5" s="40">
        <f>IF(SUM(BU5:BV5,BX5:BZ5,CB5)-SUM(BW5,CA5)&gt;0,SUM(BU5:BV5,BX5:BZ5,CB5)-SUM(BW5,CA5),"")</f>
        <v>50.5</v>
      </c>
      <c r="CH5" s="40">
        <f>IF(SUM(CE5,CG5)&gt;0,SUM(CE5,CG5),"")</f>
        <v>90</v>
      </c>
      <c r="CI5" s="50">
        <f>IF(MAX(DF5,EH5,FJ5,GL5,HN5,IP5,JR5,KT5,LV5,MX5,NZ5,PB5)-IF(N5="",0,N5)&gt;0.001,MAX(DF5,EH5,FJ5,GL5,HN5,IP5,JR5,KT5,LV5,MX5,NZ5,PB5)-IF(N5="",0,N5),"")</f>
        <v>2.5</v>
      </c>
      <c r="CJ5" s="50" t="str">
        <f>IF(MAX(DK5,EM5,FO5,GQ5,HS5,IU5,JW5,KY5,MA5,NC5,OE5,PG5)-IF(P5="",0,P5)&gt;0.001,MAX(DK5,EM5,FO5,GQ5,HS5,IU5,JW5,KY5,MA5,NC5,OE5,PG5)-IF(P5="",0,P5),"")</f>
        <v/>
      </c>
      <c r="CK5" s="17">
        <v>18.399999999999999</v>
      </c>
      <c r="CL5" s="17">
        <v>8.3000000000000007</v>
      </c>
      <c r="CM5" s="17">
        <v>0</v>
      </c>
      <c r="CN5" s="17">
        <v>0</v>
      </c>
      <c r="CO5" s="17">
        <v>17.899999999999999</v>
      </c>
      <c r="CP5" s="17">
        <v>7.9</v>
      </c>
      <c r="CQ5" s="17">
        <v>0</v>
      </c>
      <c r="CR5" s="17">
        <v>0</v>
      </c>
      <c r="CS5" s="17">
        <v>16.600000000000001</v>
      </c>
      <c r="CT5" s="17">
        <v>4.5</v>
      </c>
      <c r="CU5" s="17">
        <v>0</v>
      </c>
      <c r="CV5" s="17">
        <v>0</v>
      </c>
      <c r="CW5" s="17"/>
      <c r="CX5" s="17"/>
      <c r="CY5" s="17"/>
      <c r="CZ5" s="17"/>
      <c r="DA5" s="17"/>
      <c r="DB5" s="17"/>
      <c r="DC5" s="17"/>
      <c r="DD5" s="17"/>
      <c r="DE5" s="40">
        <f>IF(SUM(CL5,CP5)&gt;0,SUM(CL5,CP5),"")</f>
        <v>16.200000000000003</v>
      </c>
      <c r="DF5" s="40">
        <f>IF(SUM(CK5:CL5,CN5:CP5,CR5)-CM5-CQ5&gt;0,SUM(CK5:CL5,CN5:CP5,CR5)-CM5-CQ5,"")</f>
        <v>52.499999999999993</v>
      </c>
      <c r="DG5" s="40">
        <f>IF(SUM(CS5:CT5,CV5)-CU5&gt;0,SUM(CS5:CT5,CV5)-CU5,"")</f>
        <v>21.1</v>
      </c>
      <c r="DH5" s="40">
        <f>IF(SUM(CL5,CP5,CT5)&gt;0,SUM(CL5,CP5,CT5),"")</f>
        <v>20.700000000000003</v>
      </c>
      <c r="DI5" s="40">
        <f>IF(SUM(DF5,DG5)&gt;0,SUM(DF5,DG5),"")</f>
        <v>73.599999999999994</v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>
        <f>IF(SUM(DF5,DG5,DK5)&gt;0,SUM(DF5,DG5,DK5),"")</f>
        <v>73.599999999999994</v>
      </c>
      <c r="DM5" s="18">
        <v>17.7</v>
      </c>
      <c r="DN5" s="18">
        <v>8.9</v>
      </c>
      <c r="DO5" s="18">
        <v>0.2</v>
      </c>
      <c r="DP5" s="18">
        <v>0</v>
      </c>
      <c r="DQ5" s="18">
        <v>18.8</v>
      </c>
      <c r="DR5" s="18">
        <v>7.9</v>
      </c>
      <c r="DS5" s="18">
        <v>0</v>
      </c>
      <c r="DT5" s="18">
        <v>0</v>
      </c>
      <c r="DU5" s="18"/>
      <c r="DV5" s="18"/>
      <c r="DW5" s="18"/>
      <c r="DX5" s="18"/>
      <c r="DY5" s="18">
        <v>18.100000000000001</v>
      </c>
      <c r="DZ5" s="18">
        <v>8.6999999999999993</v>
      </c>
      <c r="EA5" s="18">
        <v>0</v>
      </c>
      <c r="EB5" s="18">
        <v>0</v>
      </c>
      <c r="EC5" s="18"/>
      <c r="ED5" s="18"/>
      <c r="EE5" s="18"/>
      <c r="EF5" s="18"/>
      <c r="EG5" s="11">
        <f>IF(SUM(DN5,DR5)&gt;0,SUM(DN5,DR5),"")</f>
        <v>16.8</v>
      </c>
      <c r="EH5" s="11">
        <f>IF(SUM(DM5:DN5,DP5:DR5,DT5)-DO5-DS5&gt;0,SUM(DM5:DN5,DP5:DR5,DT5)-DO5-DS5,"")</f>
        <v>53.1</v>
      </c>
      <c r="EI5" s="11" t="str">
        <f>IF(SUM(DU5:DV5,DX5)-DW5&gt;0,SUM(DU5:DV5,DX5)-DW5,"")</f>
        <v/>
      </c>
      <c r="EJ5" s="11">
        <f>IF(SUM(DN5,DR5,DV5)&gt;0,SUM(DN5,DR5,DV5),"")</f>
        <v>16.8</v>
      </c>
      <c r="EK5" s="11">
        <f>IF(SUM(EH5,EI5)&gt;0,SUM(EH5,EI5),"")</f>
        <v>53.1</v>
      </c>
      <c r="EL5" s="11">
        <f>IF(SUM(DZ5,ED5)&gt;0,SUM(DZ5,ED5),"")</f>
        <v>8.6999999999999993</v>
      </c>
      <c r="EM5" s="11">
        <f>IF(SUM(DY5:DZ5,EB5:ED5,EF5)-SUM(EA5,EE5)&gt;0,SUM(DY5:DZ5,EB5:ED5,EF5)-SUM(EA5,EE5),"")</f>
        <v>26.8</v>
      </c>
      <c r="EN5" s="11">
        <f>IF(SUM(EH5,EI5,EM5)&gt;0,SUM(EH5,EI5,EM5),"")</f>
        <v>79.900000000000006</v>
      </c>
      <c r="EO5" s="17">
        <v>17.7</v>
      </c>
      <c r="EP5" s="17">
        <v>8.6999999999999993</v>
      </c>
      <c r="EQ5" s="17">
        <v>0.2</v>
      </c>
      <c r="ER5" s="17">
        <v>0</v>
      </c>
      <c r="ES5" s="17">
        <v>17.899999999999999</v>
      </c>
      <c r="ET5" s="17">
        <v>7.5</v>
      </c>
      <c r="EU5" s="17">
        <v>0</v>
      </c>
      <c r="EV5" s="17">
        <v>0</v>
      </c>
      <c r="EW5" s="17">
        <v>17</v>
      </c>
      <c r="EX5" s="17">
        <v>4.5</v>
      </c>
      <c r="EY5" s="17">
        <v>0</v>
      </c>
      <c r="EZ5" s="17">
        <v>0</v>
      </c>
      <c r="FA5" s="17"/>
      <c r="FB5" s="17"/>
      <c r="FC5" s="17"/>
      <c r="FD5" s="17"/>
      <c r="FE5" s="17"/>
      <c r="FF5" s="17"/>
      <c r="FG5" s="17"/>
      <c r="FH5" s="17"/>
      <c r="FI5" s="40">
        <f>IF(SUM(EP5,ET5)&gt;0,SUM(EP5,ET5),"")</f>
        <v>16.2</v>
      </c>
      <c r="FJ5" s="40">
        <f>IF(SUM(EO5:EP5,ER5:ET5,EV5)-EQ5-EU5&gt;0,SUM(EO5:EP5,ER5:ET5,EV5)-EQ5-EU5,"")</f>
        <v>51.599999999999994</v>
      </c>
      <c r="FK5" s="40">
        <f>IF(SUM(EW5:EX5,EZ5)-EY5&gt;0,SUM(EW5:EX5,EZ5)-EY5,"")</f>
        <v>21.5</v>
      </c>
      <c r="FL5" s="40">
        <f>IF(SUM(EP5,ET5,EX5)&gt;0,SUM(EP5,ET5,EX5),"")</f>
        <v>20.7</v>
      </c>
      <c r="FM5" s="40">
        <f>IF(SUM(FJ5,FK5)&gt;0,SUM(FJ5,FK5),"")</f>
        <v>73.099999999999994</v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>
        <f>IF(SUM(FJ5,FK5,FO5)&gt;0,SUM(FJ5,FK5,FO5),"")</f>
        <v>73.099999999999994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18</v>
      </c>
      <c r="PJ5" s="22">
        <f>IF($CC5="P",BN5,(BN5+AR5)/2)</f>
        <v>7.1</v>
      </c>
      <c r="PK5" s="22">
        <f>IF($CC5="P",BO5,(BO5+AS5)/2)</f>
        <v>0</v>
      </c>
      <c r="PL5" s="22">
        <f>IF($CC5="P",BP5,(BP5+AT5)/2)</f>
        <v>0</v>
      </c>
      <c r="PM5" s="22">
        <f>IF($CC5="P",BQ5,(BQ5+AU5)/2)</f>
        <v>14.95</v>
      </c>
      <c r="PN5" s="22">
        <f>IF($CC5="P",BR5,(BR5+AV5)/2)</f>
        <v>5.5</v>
      </c>
      <c r="PO5" s="22">
        <f>IF($CC5="P",BS5,(BS5+AW5)/2)</f>
        <v>0</v>
      </c>
      <c r="PP5" s="22">
        <f>IF($CC5="P",BT5,(BT5+AX5)/2)</f>
        <v>0</v>
      </c>
      <c r="PQ5" s="22">
        <f>IF($CC5="P",BU5,(BU5+AY5)/2)</f>
        <v>16.899999999999999</v>
      </c>
      <c r="PR5" s="22">
        <f>IF($CC5="P",BV5,(BV5+AZ5)/2)</f>
        <v>6.1</v>
      </c>
      <c r="PS5" s="22">
        <f>IF($CC5="P",BW5,(BW5+BA5)/2)</f>
        <v>0</v>
      </c>
      <c r="PT5" s="22">
        <f>IF($CC5="P",BX5,(BX5+BB5)/2)</f>
        <v>0</v>
      </c>
      <c r="PU5" s="22">
        <f>IF($CC5="P",BY5,(BY5+BC5)/2)</f>
        <v>17.649999999999999</v>
      </c>
      <c r="PV5" s="22">
        <f>IF($CC5="P",BZ5,(BZ5+BD5)/2)</f>
        <v>7.9</v>
      </c>
      <c r="PW5" s="22">
        <f>IF($CC5="P",CA5,(CA5+BE5)/2)</f>
        <v>0</v>
      </c>
      <c r="PX5" s="22">
        <f>IF($CC5="P",CB5,(CB5+BF5)/2)</f>
        <v>0</v>
      </c>
      <c r="PY5" s="27" t="s">
        <v>46</v>
      </c>
      <c r="PZ5" s="40">
        <f>IF(SUM(PJ5,PN5)&gt;0,SUM(PJ5,PN5),"")</f>
        <v>12.6</v>
      </c>
      <c r="QA5" s="40">
        <f>IF(SUM(PI5:PJ5,PL5:PN5,PP5)-PK5-PO5&gt;0,SUM(PI5:PJ5,PL5:PN5,PP5)-PK5-PO5,"")</f>
        <v>45.55</v>
      </c>
      <c r="QB5" s="40">
        <f>IF(SUM(PR5,PV5)&gt;0,SUM(PR5,PV5),"")</f>
        <v>14</v>
      </c>
      <c r="QC5" s="40">
        <f>IF(SUM(PQ5:PR5,PT5:PV5,PX5)-SUM(PS5,PW5)&gt;0,SUM(PQ5:PR5,PT5:PV5,PX5)-SUM(PS5,PW5),"")</f>
        <v>48.55</v>
      </c>
      <c r="QD5" s="40">
        <f>IF(SUM(QA5,QC5)&gt;0,SUM(QA5,QC5),"")</f>
        <v>94.1</v>
      </c>
    </row>
    <row r="6" spans="1:446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143.00000888000483</v>
      </c>
      <c r="G6" s="64" t="s">
        <v>46</v>
      </c>
      <c r="H6" s="3" t="str">
        <f>IF(OR(AND(AL6&gt;=AP$23,AM6&gt;=AP$27,AL6&lt;&gt;"",AK6=""),AND(AN6&gt;=AP$23,AO6&gt;=AP$27,AN6&lt;&gt;"",AK6=""),AND(BH6&gt;=BL$23,BI6&gt;=BL$27,BH6&lt;&gt;"",BG6=""),AND(BJ6&gt;=BL$23,BK6&gt;=BL$27,BJ6&lt;&gt;"",BG6=""),AND(CD6&gt;=CH$23,CE6&gt;=CH$27,CD6&lt;&gt;"",CC6=""),AND(CF6&gt;=CH$23,CG6&gt;=CH$27,CF6&lt;&gt;""),AND(DE6&gt;=DL$23,DF6&gt;=DL$27,DE6&lt;&gt;""),AND(DJ6&gt;=DL$23,DK6&gt;=DL$27,DJ6&lt;&gt;""),AND(EG6&gt;=EN$23,EH6&gt;=EN$27,EG6&lt;&gt;""),AND(EL6&gt;=EN$23,EM6&gt;=EN$27,EL6&lt;&gt;""),AND(FI6&gt;=FP$23,FJ6&gt;=FP$27,FI6&lt;&gt;""),AND(FN6&gt;=FP$23,FO6&gt;=FP$27,FN6&lt;&gt;""),AND(GK6&gt;=GR$23,GL6&gt;=GR$27,GK6&lt;&gt;""),AND(GP6&gt;=GR$23,GQ6&gt;=GR$27,GP6&lt;&gt;""),AND(HM6&gt;=HT$23,HN6&gt;=HT$27,HM6&lt;&gt;""),AND(HR6&gt;=HT$23,HS6&gt;=HT$27,HR6&lt;&gt;""),AND(IO6&gt;=IV$23,IP6&gt;=IV$27,IO6&lt;&gt;""),AND(IT6&gt;=IV$23,IU6&gt;=IV$27,IT6&lt;&gt;""),AND(JQ6&gt;=JX$23,JR6&gt;=JX$27,JQ6&lt;&gt;""),AND(JV6&gt;=JX$23,JW6&gt;=JX$27,JV6&lt;&gt;""),AND(KS6&gt;=KZ$23,KT6&gt;=KZ$27,KS6&lt;&gt;""),AND(KX6&gt;=KZ$23,KY6&gt;=KZ$27,KX6&lt;&gt;""),AND(LU6&gt;=MB$23,LV6&gt;=MB$27,LU6&lt;&gt;""),AND(LZ6&gt;=MB$23,MA6&gt;=MB$27,LZ6&lt;&gt;""),AND(MW6&gt;=ND$23,MX6&gt;=ND$27,MW6&lt;&gt;""),AND(NB6&gt;=ND$23,NC6&gt;=ND$27,NB6&lt;&gt;""),AND(NY6&gt;=OF$23,NZ6&gt;=OF$27,NY6&lt;&gt;""),AND(OD6&gt;=OF$23,OE6&gt;=OF$27,OD6&lt;&gt;""),AND(PA6&gt;=PH$23,PB6&gt;=PH$27,PA6&lt;&gt;""),AND(PF6&gt;=PH$23,PG6&gt;=PH$27,PF6&lt;&gt;"")),"P","")</f>
        <v>P</v>
      </c>
      <c r="I6" s="3" t="str">
        <f>IF(OR(AND(AM6&gt;=AP$27,AM6&lt;&gt;"",AK6=""),AND(AO6&gt;=AP$27,AO6&lt;&gt;"",AK6=""),AND(BI6&gt;=BL$27,BI6&lt;&gt;"",BG6=""),AND(BK6&gt;=BL$27,BK6&lt;&gt;"",BG6=""),AND(CE6&gt;=CH$27,CE6&lt;&gt;"",CC6=""),AND(CG6&gt;=CH$27,CG6&lt;&gt;"",CC6=""),AND(DF6&gt;=DL$27,DF6&lt;&gt;""),AND(DK6&gt;=DL$27,DK6&lt;&gt;""),AND(EH6&gt;=EN$27,EH6&lt;&gt;""),AND(EM6&gt;=EN$27,EM6&lt;&gt;""),AND(FJ6&gt;=FP$27,FJ6&lt;&gt;""),AND(FO6&gt;=FP$27,FO6&lt;&gt;""),AND(GL6&gt;=GR$27,GL6&lt;&gt;""),AND(GQ6&gt;=GR$27,GQ6&lt;&gt;""),AND(HN6&gt;=HT$27,HN6&lt;&gt;""),AND(HS6&gt;=HT$27,HS6&lt;&gt;""),AND(IP6&gt;=IV$27,IP6&lt;&gt;""),AND(IU6&gt;=IV$27,IU6&lt;&gt;""),AND(JR6&gt;=JX$27,JR6&lt;&gt;""),AND(JW6&gt;=JX$27,JW6&lt;&gt;""),AND(KT6&gt;=KZ$27,KT6&lt;&gt;""),AND(KY6&gt;=KZ$27,KY6&lt;&gt;""),AND(LV6&gt;=MB$27,LV6&lt;&gt;""),AND(MA6&gt;=MB$27,MA6&lt;&gt;""),AND(MX6&gt;=ND$27,MX6&lt;&gt;""),AND(NC6&gt;=ND$27,NC6&lt;&gt;""),AND(NZ6&gt;=OF$27,NZ6&lt;&gt;""),AND(OE6&gt;=OF$27,OE6&lt;&gt;""),AND(PB6&gt;=PH$27,PB6&lt;&gt;""),AND(PG6&gt;=PH$27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48.3</v>
      </c>
      <c r="M6" s="8" t="str">
        <f>IF(L6=0,"",IF(L6=CE6,$BM$1,IF(L6=BI6,$AQ$1,IF(L6=AM6,$U$1,""))))</f>
        <v>2025 Elite Canada</v>
      </c>
      <c r="N6" s="8">
        <f>IF(COUNT(AM6,BI6,CE6)&gt;1,LARGE((AM6,BI6,CE6),2),0)</f>
        <v>40.5</v>
      </c>
      <c r="O6" s="8" t="str">
        <f>IF(N6=0,"",IF(AND(N6=L6,N6=AM6,N6=BI6),$U$1,IF(AND(N6=L6,N6=AM6,N6=CE6),$U$1,IF(AND(N6=L6,N6=BI6,N6=CE6),$AQ$1,IF(N6=CE6,$BM$1,IF(N6=BI6,$AQ$1,IF(N6=AM6,$U$1,"")))))))</f>
        <v>2025 3rd Domestic Trial</v>
      </c>
      <c r="P6" s="8">
        <f>IF(MAX(AO6,BK6,CG6)&gt;0,MAX(AO6,BK6,CG6),0)</f>
        <v>46.800000000000004</v>
      </c>
      <c r="Q6" s="8" t="str">
        <f>IF(P6=0,"",IF(P6=CG6,$BM$1,IF(P6=BK6,$AQ$1,IF(P6=AO6,$U$1,""))))</f>
        <v>2025 Nationals</v>
      </c>
      <c r="R6" s="8">
        <f>IF(MAX(CI6:CJ6)&gt;0,MAX(CI6:CJ6),"")</f>
        <v>7.3999999999999915</v>
      </c>
      <c r="S6" s="11" t="str">
        <f>IF(R6="","",IF(R6=CI6,"("&amp;CI$2&amp;")",IF(R6=CJ6,"("&amp;CJ$2&amp;")")))</f>
        <v>(Q1)</v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>
        <v>16.600000000000001</v>
      </c>
      <c r="AD6" s="19">
        <v>3.3</v>
      </c>
      <c r="AE6" s="19">
        <v>0</v>
      </c>
      <c r="AF6" s="19">
        <v>0</v>
      </c>
      <c r="AG6" s="19">
        <v>14.9</v>
      </c>
      <c r="AH6" s="19">
        <v>6.1</v>
      </c>
      <c r="AI6" s="19">
        <v>0.2</v>
      </c>
      <c r="AJ6" s="19">
        <v>0</v>
      </c>
      <c r="AK6" s="27"/>
      <c r="AL6" s="40">
        <f>IF(SUM(V6,Z6)&gt;0,SUM(V6,Z6),"")</f>
        <v>12</v>
      </c>
      <c r="AM6" s="40">
        <f>IF(SUM(U6:V6,X6:Z6,AB6)-W6-AA6&gt;0,SUM(U6:V6,X6:Z6,AB6)-W6-AA6,"")</f>
        <v>48.3</v>
      </c>
      <c r="AN6" s="40">
        <f>IF(SUM(AD6,AH6)&gt;0,SUM(AD6,AH6),"")</f>
        <v>9.3999999999999986</v>
      </c>
      <c r="AO6" s="40">
        <f>IF(SUM(AC6:AD6,AF6:AH6,AJ6)-SUM(AE6,AI6)&gt;0,SUM(AC6:AD6,AF6:AH6,AJ6)-SUM(AE6,AI6),"")</f>
        <v>40.700000000000003</v>
      </c>
      <c r="AP6" s="40">
        <f>IF(SUM(AM6,AO6)&gt;0,SUM(AM6,AO6),"")</f>
        <v>89</v>
      </c>
      <c r="AQ6" s="18">
        <v>13.7</v>
      </c>
      <c r="AR6" s="18">
        <v>5.0999999999999996</v>
      </c>
      <c r="AS6" s="18">
        <v>2.4</v>
      </c>
      <c r="AT6" s="18">
        <v>0</v>
      </c>
      <c r="AU6" s="18">
        <v>15.1</v>
      </c>
      <c r="AV6" s="18">
        <v>6.5</v>
      </c>
      <c r="AW6" s="18">
        <v>0.2</v>
      </c>
      <c r="AX6" s="18">
        <v>0</v>
      </c>
      <c r="AY6" s="18">
        <v>18.3</v>
      </c>
      <c r="AZ6" s="18">
        <v>6.5</v>
      </c>
      <c r="BA6" s="18">
        <v>0</v>
      </c>
      <c r="BB6" s="18">
        <v>0</v>
      </c>
      <c r="BC6" s="18">
        <v>16.899999999999999</v>
      </c>
      <c r="BD6" s="18">
        <v>5.0999999999999996</v>
      </c>
      <c r="BE6" s="18">
        <v>0</v>
      </c>
      <c r="BF6" s="18">
        <v>0</v>
      </c>
      <c r="BG6" s="28"/>
      <c r="BH6" s="11">
        <f>IF(SUM(AR6,AV6)&gt;0,SUM(AR6,AV6),"")</f>
        <v>11.6</v>
      </c>
      <c r="BI6" s="11">
        <f>IF(SUM(AQ6:AR6,AT6:AV6,AX6)-AS6-AW6&gt;0,SUM(AQ6:AR6,AT6:AV6,AX6)-AS6-AW6,"")</f>
        <v>37.799999999999997</v>
      </c>
      <c r="BJ6" s="11">
        <f>IF(SUM(AZ6,BD6)&gt;0,SUM(AZ6,BD6),"")</f>
        <v>11.6</v>
      </c>
      <c r="BK6" s="11">
        <f>IF(SUM(AY6:AZ6,BB6:BD6,BF6)-SUM(BA6,BE6)&gt;0,SUM(AY6:AZ6,BB6:BD6,BF6)-SUM(BA6,BE6),"")</f>
        <v>46.800000000000004</v>
      </c>
      <c r="BL6" s="11">
        <f>IF(SUM(BI6,BK6)&gt;0,SUM(BI6,BK6),"")</f>
        <v>84.6</v>
      </c>
      <c r="BM6" s="19">
        <v>16.899999999999999</v>
      </c>
      <c r="BN6" s="19">
        <v>6.3</v>
      </c>
      <c r="BO6" s="19">
        <v>0</v>
      </c>
      <c r="BP6" s="19">
        <v>0</v>
      </c>
      <c r="BQ6" s="19">
        <v>16.7</v>
      </c>
      <c r="BR6" s="19">
        <v>3.6</v>
      </c>
      <c r="BS6" s="19">
        <v>3</v>
      </c>
      <c r="BT6" s="19">
        <v>0</v>
      </c>
      <c r="BU6" s="19">
        <v>15.9</v>
      </c>
      <c r="BV6" s="19">
        <v>3.1</v>
      </c>
      <c r="BW6" s="19">
        <v>0</v>
      </c>
      <c r="BX6" s="19">
        <v>0</v>
      </c>
      <c r="BY6" s="19">
        <v>14.5</v>
      </c>
      <c r="BZ6" s="19">
        <v>3.6</v>
      </c>
      <c r="CA6" s="19">
        <v>3</v>
      </c>
      <c r="CB6" s="19">
        <v>0</v>
      </c>
      <c r="CC6" s="27"/>
      <c r="CD6" s="40">
        <f>IF(SUM(BN6,BR6)&gt;0,SUM(BN6,BR6),"")</f>
        <v>9.9</v>
      </c>
      <c r="CE6" s="40">
        <f>IF(SUM(BM6:BN6,BP6:BR6,BT6)-BO6-BS6&gt;0,SUM(BM6:BN6,BP6:BR6,BT6)-BO6-BS6,"")</f>
        <v>40.5</v>
      </c>
      <c r="CF6" s="40">
        <f>IF(SUM(BV6,BZ6)&gt;0,SUM(BV6,BZ6),"")</f>
        <v>6.7</v>
      </c>
      <c r="CG6" s="40">
        <f>IF(SUM(BU6:BV6,BX6:BZ6,CB6)-SUM(BW6,CA6)&gt;0,SUM(BU6:BV6,BX6:BZ6,CB6)-SUM(BW6,CA6),"")</f>
        <v>34.1</v>
      </c>
      <c r="CH6" s="40">
        <f>IF(SUM(CE6,CG6)&gt;0,SUM(CE6,CG6),"")</f>
        <v>74.599999999999994</v>
      </c>
      <c r="CI6" s="50">
        <f>IF(MAX(DF6,EH6,FJ6,GL6,HN6,IP6,JR6,KT6,LV6,MX6,NZ6,PB6)-IF(N6="",0,N6)&gt;0.001,MAX(DF6,EH6,FJ6,GL6,HN6,IP6,JR6,KT6,LV6,MX6,NZ6,PB6)-IF(N6="",0,N6),"")</f>
        <v>7.3999999999999915</v>
      </c>
      <c r="CJ6" s="50" t="str">
        <f>IF(MAX(DK6,EM6,FO6,GQ6,HS6,IU6,JW6,KY6,MA6,NC6,OE6,PG6)-IF(P6="",0,P6)&gt;0.001,MAX(DK6,EM6,FO6,GQ6,HS6,IU6,JW6,KY6,MA6,NC6,OE6,PG6)-IF(P6="",0,P6),"")</f>
        <v/>
      </c>
      <c r="CK6" s="17">
        <v>17.399999999999999</v>
      </c>
      <c r="CL6" s="17">
        <v>6.9</v>
      </c>
      <c r="CM6" s="17">
        <v>0</v>
      </c>
      <c r="CN6" s="17">
        <v>0</v>
      </c>
      <c r="CO6" s="17">
        <v>17.3</v>
      </c>
      <c r="CP6" s="17">
        <v>6.3</v>
      </c>
      <c r="CQ6" s="17">
        <v>0</v>
      </c>
      <c r="CR6" s="17">
        <v>0</v>
      </c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>
        <f>IF(SUM(CL6,CP6)&gt;0,SUM(CL6,CP6),"")</f>
        <v>13.2</v>
      </c>
      <c r="DF6" s="40">
        <f>IF(SUM(CK6:CL6,CN6:CP6,CR6)-CM6-CQ6&gt;0,SUM(CK6:CL6,CN6:CP6,CR6)-CM6-CQ6,"")</f>
        <v>47.899999999999991</v>
      </c>
      <c r="DG6" s="40" t="str">
        <f>IF(SUM(CS6:CT6,CV6)-CU6&gt;0,SUM(CS6:CT6,CV6)-CU6,"")</f>
        <v/>
      </c>
      <c r="DH6" s="40">
        <f>IF(SUM(CL6,CP6,CT6)&gt;0,SUM(CL6,CP6,CT6),"")</f>
        <v>13.2</v>
      </c>
      <c r="DI6" s="40">
        <f>IF(SUM(DF6,DG6)&gt;0,SUM(DF6,DG6),"")</f>
        <v>47.899999999999991</v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>
        <f>IF(SUM(DF6,DG6,DK6)&gt;0,SUM(DF6,DG6,DK6),"")</f>
        <v>47.899999999999991</v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>
        <v>17.2</v>
      </c>
      <c r="EP6" s="17">
        <v>6.5</v>
      </c>
      <c r="EQ6" s="17">
        <v>0.2</v>
      </c>
      <c r="ER6" s="17">
        <v>0</v>
      </c>
      <c r="ES6" s="17">
        <v>16.5</v>
      </c>
      <c r="ET6" s="17">
        <v>5.0999999999999996</v>
      </c>
      <c r="EU6" s="17">
        <v>0</v>
      </c>
      <c r="EV6" s="17">
        <v>0</v>
      </c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>
        <f>IF(SUM(EP6,ET6)&gt;0,SUM(EP6,ET6),"")</f>
        <v>11.6</v>
      </c>
      <c r="FJ6" s="40">
        <f>IF(SUM(EO6:EP6,ER6:ET6,EV6)-EQ6-EU6&gt;0,SUM(EO6:EP6,ER6:ET6,EV6)-EQ6-EU6,"")</f>
        <v>45.1</v>
      </c>
      <c r="FK6" s="40" t="str">
        <f>IF(SUM(EW6:EX6,EZ6)-EY6&gt;0,SUM(EW6:EX6,EZ6)-EY6,"")</f>
        <v/>
      </c>
      <c r="FL6" s="40">
        <f>IF(SUM(EP6,ET6,EX6)&gt;0,SUM(EP6,ET6,EX6),"")</f>
        <v>11.6</v>
      </c>
      <c r="FM6" s="40">
        <f>IF(SUM(FJ6,FK6)&gt;0,SUM(FJ6,FK6),"")</f>
        <v>45.1</v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>
        <f>IF(SUM(FJ6,FK6,FO6)&gt;0,SUM(FJ6,FK6,FO6),"")</f>
        <v>45.1</v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15.299999999999999</v>
      </c>
      <c r="PJ6" s="22">
        <f>IF($CC6="P",BN6,(BN6+AR6)/2)</f>
        <v>5.6999999999999993</v>
      </c>
      <c r="PK6" s="22">
        <f>IF($CC6="P",BO6,(BO6+AS6)/2)</f>
        <v>1.2</v>
      </c>
      <c r="PL6" s="22">
        <f>IF($CC6="P",BP6,(BP6+AT6)/2)</f>
        <v>0</v>
      </c>
      <c r="PM6" s="22">
        <f>IF($CC6="P",BQ6,(BQ6+AU6)/2)</f>
        <v>15.899999999999999</v>
      </c>
      <c r="PN6" s="22">
        <f>IF($CC6="P",BR6,(BR6+AV6)/2)</f>
        <v>5.05</v>
      </c>
      <c r="PO6" s="22">
        <f>IF($CC6="P",BS6,(BS6+AW6)/2)</f>
        <v>1.6</v>
      </c>
      <c r="PP6" s="22">
        <f>IF($CC6="P",BT6,(BT6+AX6)/2)</f>
        <v>0</v>
      </c>
      <c r="PQ6" s="22">
        <f>IF($CC6="P",BU6,(BU6+AY6)/2)</f>
        <v>17.100000000000001</v>
      </c>
      <c r="PR6" s="22">
        <f>IF($CC6="P",BV6,(BV6+AZ6)/2)</f>
        <v>4.8</v>
      </c>
      <c r="PS6" s="22">
        <f>IF($CC6="P",BW6,(BW6+BA6)/2)</f>
        <v>0</v>
      </c>
      <c r="PT6" s="22">
        <f>IF($CC6="P",BX6,(BX6+BB6)/2)</f>
        <v>0</v>
      </c>
      <c r="PU6" s="22">
        <f>IF($CC6="P",BY6,(BY6+BC6)/2)</f>
        <v>15.7</v>
      </c>
      <c r="PV6" s="22">
        <f>IF($CC6="P",BZ6,(BZ6+BD6)/2)</f>
        <v>4.3499999999999996</v>
      </c>
      <c r="PW6" s="22">
        <f>IF($CC6="P",CA6,(CA6+BE6)/2)</f>
        <v>1.5</v>
      </c>
      <c r="PX6" s="22">
        <f>IF($CC6="P",CB6,(CB6+BF6)/2)</f>
        <v>0</v>
      </c>
      <c r="PY6" s="27" t="s">
        <v>46</v>
      </c>
      <c r="PZ6" s="40">
        <f>IF(SUM(PJ6,PN6)&gt;0,SUM(PJ6,PN6),"")</f>
        <v>10.75</v>
      </c>
      <c r="QA6" s="40">
        <f>IF(SUM(PI6:PJ6,PL6:PN6,PP6)-PK6-PO6&gt;0,SUM(PI6:PJ6,PL6:PN6,PP6)-PK6-PO6,"")</f>
        <v>39.149999999999991</v>
      </c>
      <c r="QB6" s="40">
        <f>IF(SUM(PR6,PV6)&gt;0,SUM(PR6,PV6),"")</f>
        <v>9.1499999999999986</v>
      </c>
      <c r="QC6" s="40">
        <f>IF(SUM(PQ6:PR6,PT6:PV6,PX6)-SUM(PS6,PW6)&gt;0,SUM(PQ6:PR6,PT6:PV6,PX6)-SUM(PS6,PW6),"")</f>
        <v>40.450000000000003</v>
      </c>
      <c r="QD6" s="40">
        <f>IF(SUM(QA6,QC6)&gt;0,SUM(QA6,QC6),"")</f>
        <v>79.599999999999994</v>
      </c>
    </row>
    <row r="7" spans="1:446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138.80000904000465</v>
      </c>
      <c r="G7" s="64" t="s">
        <v>46</v>
      </c>
      <c r="H7" s="3" t="str">
        <f>IF(OR(AND(AL7&gt;=AP$23,AM7&gt;=AP$27,AL7&lt;&gt;"",AK7=""),AND(AN7&gt;=AP$23,AO7&gt;=AP$27,AN7&lt;&gt;"",AK7=""),AND(BH7&gt;=BL$23,BI7&gt;=BL$27,BH7&lt;&gt;"",BG7=""),AND(BJ7&gt;=BL$23,BK7&gt;=BL$27,BJ7&lt;&gt;"",BG7=""),AND(CD7&gt;=CH$23,CE7&gt;=CH$27,CD7&lt;&gt;"",CC7=""),AND(CF7&gt;=CH$23,CG7&gt;=CH$27,CF7&lt;&gt;""),AND(DE7&gt;=DL$23,DF7&gt;=DL$27,DE7&lt;&gt;""),AND(DJ7&gt;=DL$23,DK7&gt;=DL$27,DJ7&lt;&gt;""),AND(EG7&gt;=EN$23,EH7&gt;=EN$27,EG7&lt;&gt;""),AND(EL7&gt;=EN$23,EM7&gt;=EN$27,EL7&lt;&gt;""),AND(FI7&gt;=FP$23,FJ7&gt;=FP$27,FI7&lt;&gt;""),AND(FN7&gt;=FP$23,FO7&gt;=FP$27,FN7&lt;&gt;""),AND(GK7&gt;=GR$23,GL7&gt;=GR$27,GK7&lt;&gt;""),AND(GP7&gt;=GR$23,GQ7&gt;=GR$27,GP7&lt;&gt;""),AND(HM7&gt;=HT$23,HN7&gt;=HT$27,HM7&lt;&gt;""),AND(HR7&gt;=HT$23,HS7&gt;=HT$27,HR7&lt;&gt;""),AND(IO7&gt;=IV$23,IP7&gt;=IV$27,IO7&lt;&gt;""),AND(IT7&gt;=IV$23,IU7&gt;=IV$27,IT7&lt;&gt;""),AND(JQ7&gt;=JX$23,JR7&gt;=JX$27,JQ7&lt;&gt;""),AND(JV7&gt;=JX$23,JW7&gt;=JX$27,JV7&lt;&gt;""),AND(KS7&gt;=KZ$23,KT7&gt;=KZ$27,KS7&lt;&gt;""),AND(KX7&gt;=KZ$23,KY7&gt;=KZ$27,KX7&lt;&gt;""),AND(LU7&gt;=MB$23,LV7&gt;=MB$27,LU7&lt;&gt;""),AND(LZ7&gt;=MB$23,MA7&gt;=MB$27,LZ7&lt;&gt;""),AND(MW7&gt;=ND$23,MX7&gt;=ND$27,MW7&lt;&gt;""),AND(NB7&gt;=ND$23,NC7&gt;=ND$27,NB7&lt;&gt;""),AND(NY7&gt;=OF$23,NZ7&gt;=OF$27,NY7&lt;&gt;""),AND(OD7&gt;=OF$23,OE7&gt;=OF$27,OD7&lt;&gt;""),AND(PA7&gt;=PH$23,PB7&gt;=PH$27,PA7&lt;&gt;""),AND(PF7&gt;=PH$23,PG7&gt;=PH$27,PF7&lt;&gt;"")),"P","")</f>
        <v>P</v>
      </c>
      <c r="I7" s="3" t="str">
        <f>IF(OR(AND(AM7&gt;=AP$27,AM7&lt;&gt;"",AK7=""),AND(AO7&gt;=AP$27,AO7&lt;&gt;"",AK7=""),AND(BI7&gt;=BL$27,BI7&lt;&gt;"",BG7=""),AND(BK7&gt;=BL$27,BK7&lt;&gt;"",BG7=""),AND(CE7&gt;=CH$27,CE7&lt;&gt;"",CC7=""),AND(CG7&gt;=CH$27,CG7&lt;&gt;"",CC7=""),AND(DF7&gt;=DL$27,DF7&lt;&gt;""),AND(DK7&gt;=DL$27,DK7&lt;&gt;""),AND(EH7&gt;=EN$27,EH7&lt;&gt;""),AND(EM7&gt;=EN$27,EM7&lt;&gt;""),AND(FJ7&gt;=FP$27,FJ7&lt;&gt;""),AND(FO7&gt;=FP$27,FO7&lt;&gt;""),AND(GL7&gt;=GR$27,GL7&lt;&gt;""),AND(GQ7&gt;=GR$27,GQ7&lt;&gt;""),AND(HN7&gt;=HT$27,HN7&lt;&gt;""),AND(HS7&gt;=HT$27,HS7&lt;&gt;""),AND(IP7&gt;=IV$27,IP7&lt;&gt;""),AND(IU7&gt;=IV$27,IU7&lt;&gt;""),AND(JR7&gt;=JX$27,JR7&lt;&gt;""),AND(JW7&gt;=JX$27,JW7&lt;&gt;""),AND(KT7&gt;=KZ$27,KT7&lt;&gt;""),AND(KY7&gt;=KZ$27,KY7&lt;&gt;""),AND(LV7&gt;=MB$27,LV7&lt;&gt;""),AND(MA7&gt;=MB$27,MA7&lt;&gt;""),AND(MX7&gt;=ND$27,MX7&lt;&gt;""),AND(NC7&gt;=ND$27,NC7&lt;&gt;""),AND(NZ7&gt;=OF$27,NZ7&lt;&gt;""),AND(OE7&gt;=OF$27,OE7&lt;&gt;""),AND(PB7&gt;=PH$27,PB7&lt;&gt;""),AND(PG7&gt;=PH$27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46.4</v>
      </c>
      <c r="M7" s="8" t="str">
        <f>IF(L7=0,"",IF(L7=CE7,$BM$1,IF(L7=BI7,$AQ$1,IF(L7=AM7,$U$1,""))))</f>
        <v>2025 Elite Canada</v>
      </c>
      <c r="N7" s="8">
        <f>IF(COUNT(AM7,BI7,CE7)&gt;1,LARGE((AM7,BI7,CE7),2),0)</f>
        <v>44</v>
      </c>
      <c r="O7" s="8" t="str">
        <f>IF(N7=0,"",IF(AND(N7=L7,N7=AM7,N7=BI7),$U$1,IF(AND(N7=L7,N7=AM7,N7=CE7),$U$1,IF(AND(N7=L7,N7=BI7,N7=CE7),$AQ$1,IF(N7=CE7,$BM$1,IF(N7=BI7,$AQ$1,IF(N7=AM7,$U$1,"")))))))</f>
        <v>2025 3rd Domestic Trial</v>
      </c>
      <c r="P7" s="8">
        <f>IF(MAX(AO7,BK7,CG7)&gt;0,MAX(AO7,BK7,CG7),0)</f>
        <v>47</v>
      </c>
      <c r="Q7" s="8" t="str">
        <f>IF(P7=0,"",IF(P7=CG7,$BM$1,IF(P7=BK7,$AQ$1,IF(P7=AO7,$U$1,""))))</f>
        <v>2025 Elite Canada</v>
      </c>
      <c r="R7" s="8">
        <f>IF(MAX(CI7:CJ7)&gt;0,MAX(CI7:CJ7),"")</f>
        <v>1.3999999999999986</v>
      </c>
      <c r="S7" s="11" t="str">
        <f>IF(R7="","",IF(R7=CI7,"("&amp;CI$2&amp;")",IF(R7=CJ7,"("&amp;CJ$2&amp;")")))</f>
        <v>(Q1)</v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>2025 WAGC (Nov 16)</v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>
        <v>18.2</v>
      </c>
      <c r="AD7" s="19">
        <v>5.8</v>
      </c>
      <c r="AE7" s="19">
        <v>0</v>
      </c>
      <c r="AF7" s="19">
        <v>0</v>
      </c>
      <c r="AG7" s="19">
        <v>17.3</v>
      </c>
      <c r="AH7" s="19">
        <v>5.7</v>
      </c>
      <c r="AI7" s="19">
        <v>0</v>
      </c>
      <c r="AJ7" s="19">
        <v>0</v>
      </c>
      <c r="AK7" s="27"/>
      <c r="AL7" s="40">
        <f>IF(SUM(V7,Z7)&gt;0,SUM(V7,Z7),"")</f>
        <v>11.7</v>
      </c>
      <c r="AM7" s="40">
        <f>IF(SUM(U7:V7,X7:Z7,AB7)-W7-AA7&gt;0,SUM(U7:V7,X7:Z7,AB7)-W7-AA7,"")</f>
        <v>46.4</v>
      </c>
      <c r="AN7" s="40">
        <f>IF(SUM(AD7,AH7)&gt;0,SUM(AD7,AH7),"")</f>
        <v>11.5</v>
      </c>
      <c r="AO7" s="40">
        <f>IF(SUM(AC7:AD7,AF7:AH7,AJ7)-SUM(AE7,AI7)&gt;0,SUM(AC7:AD7,AF7:AH7,AJ7)-SUM(AE7,AI7),"")</f>
        <v>47</v>
      </c>
      <c r="AP7" s="40">
        <f>IF(SUM(AM7,AO7)&gt;0,SUM(AM7,AO7),"")</f>
        <v>93.4</v>
      </c>
      <c r="AQ7" s="18">
        <v>14.4</v>
      </c>
      <c r="AR7" s="18">
        <v>6.1</v>
      </c>
      <c r="AS7" s="18">
        <v>0.2</v>
      </c>
      <c r="AT7" s="18">
        <v>0</v>
      </c>
      <c r="AU7" s="18">
        <v>17.2</v>
      </c>
      <c r="AV7" s="18">
        <v>5.2</v>
      </c>
      <c r="AW7" s="18">
        <v>0.1</v>
      </c>
      <c r="AX7" s="18">
        <v>0</v>
      </c>
      <c r="AY7" s="18">
        <v>16.7</v>
      </c>
      <c r="AZ7" s="18">
        <v>5.3</v>
      </c>
      <c r="BA7" s="18">
        <v>0.2</v>
      </c>
      <c r="BB7" s="18">
        <v>0</v>
      </c>
      <c r="BC7" s="18">
        <v>17.7</v>
      </c>
      <c r="BD7" s="18">
        <v>3.2</v>
      </c>
      <c r="BE7" s="18">
        <v>1</v>
      </c>
      <c r="BF7" s="18">
        <v>0</v>
      </c>
      <c r="BG7" s="28"/>
      <c r="BH7" s="11">
        <f>IF(SUM(AR7,AV7)&gt;0,SUM(AR7,AV7),"")</f>
        <v>11.3</v>
      </c>
      <c r="BI7" s="11">
        <f>IF(SUM(AQ7:AR7,AT7:AV7,AX7)-AS7-AW7&gt;0,SUM(AQ7:AR7,AT7:AV7,AX7)-AS7-AW7,"")</f>
        <v>42.6</v>
      </c>
      <c r="BJ7" s="11">
        <f>IF(SUM(AZ7,BD7)&gt;0,SUM(AZ7,BD7),"")</f>
        <v>8.5</v>
      </c>
      <c r="BK7" s="11">
        <f>IF(SUM(AY7:AZ7,BB7:BD7,BF7)-SUM(BA7,BE7)&gt;0,SUM(AY7:AZ7,BB7:BD7,BF7)-SUM(BA7,BE7),"")</f>
        <v>41.7</v>
      </c>
      <c r="BL7" s="11">
        <f>IF(SUM(BI7,BK7)&gt;0,SUM(BI7,BK7),"")</f>
        <v>84.300000000000011</v>
      </c>
      <c r="BM7" s="19">
        <v>16.7</v>
      </c>
      <c r="BN7" s="19">
        <v>5.8</v>
      </c>
      <c r="BO7" s="19">
        <v>0</v>
      </c>
      <c r="BP7" s="19">
        <v>0</v>
      </c>
      <c r="BQ7" s="19">
        <v>15.8</v>
      </c>
      <c r="BR7" s="19">
        <v>5.7</v>
      </c>
      <c r="BS7" s="19">
        <v>0</v>
      </c>
      <c r="BT7" s="19">
        <v>0</v>
      </c>
      <c r="BU7" s="19">
        <v>16.5</v>
      </c>
      <c r="BV7" s="19">
        <v>5.8</v>
      </c>
      <c r="BW7" s="19">
        <v>0</v>
      </c>
      <c r="BX7" s="19">
        <v>0</v>
      </c>
      <c r="BY7" s="19">
        <v>15.6</v>
      </c>
      <c r="BZ7" s="19">
        <v>5.7</v>
      </c>
      <c r="CA7" s="19">
        <v>0</v>
      </c>
      <c r="CB7" s="19">
        <v>0</v>
      </c>
      <c r="CC7" s="27"/>
      <c r="CD7" s="40">
        <f>IF(SUM(BN7,BR7)&gt;0,SUM(BN7,BR7),"")</f>
        <v>11.5</v>
      </c>
      <c r="CE7" s="40">
        <f>IF(SUM(BM7:BN7,BP7:BR7,BT7)-BO7-BS7&gt;0,SUM(BM7:BN7,BP7:BR7,BT7)-BO7-BS7,"")</f>
        <v>44</v>
      </c>
      <c r="CF7" s="40">
        <f>IF(SUM(BV7,BZ7)&gt;0,SUM(BV7,BZ7),"")</f>
        <v>11.5</v>
      </c>
      <c r="CG7" s="40">
        <f>IF(SUM(BU7:BV7,BX7:BZ7,CB7)-SUM(BW7,CA7)&gt;0,SUM(BU7:BV7,BX7:BZ7,CB7)-SUM(BW7,CA7),"")</f>
        <v>43.6</v>
      </c>
      <c r="CH7" s="40">
        <f>IF(SUM(CE7,CG7)&gt;0,SUM(CE7,CG7),"")</f>
        <v>87.6</v>
      </c>
      <c r="CI7" s="50">
        <f>IF(MAX(DF7,EH7,FJ7,GL7,HN7,IP7,JR7,KT7,LV7,MX7,NZ7,PB7)-IF(N7="",0,N7)&gt;0.001,MAX(DF7,EH7,FJ7,GL7,HN7,IP7,JR7,KT7,LV7,MX7,NZ7,PB7)-IF(N7="",0,N7),"")</f>
        <v>1.3999999999999986</v>
      </c>
      <c r="CJ7" s="50" t="str">
        <f>IF(MAX(DK7,EM7,FO7,GQ7,HS7,IU7,JW7,KY7,MA7,NC7,OE7,PG7)-IF(P7="",0,P7)&gt;0.001,MAX(DK7,EM7,FO7,GQ7,HS7,IU7,JW7,KY7,MA7,NC7,OE7,PG7)-IF(P7="",0,P7),"")</f>
        <v/>
      </c>
      <c r="CK7" s="17">
        <v>16</v>
      </c>
      <c r="CL7" s="17">
        <v>2.9</v>
      </c>
      <c r="CM7" s="17">
        <v>0</v>
      </c>
      <c r="CN7" s="17">
        <v>0</v>
      </c>
      <c r="CO7" s="17">
        <v>16.5</v>
      </c>
      <c r="CP7" s="17">
        <v>6.5</v>
      </c>
      <c r="CQ7" s="17">
        <v>0</v>
      </c>
      <c r="CR7" s="17">
        <v>0</v>
      </c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>
        <f>IF(SUM(CL7,CP7)&gt;0,SUM(CL7,CP7),"")</f>
        <v>9.4</v>
      </c>
      <c r="DF7" s="40">
        <f>IF(SUM(CK7:CL7,CN7:CP7,CR7)-CM7-CQ7&gt;0,SUM(CK7:CL7,CN7:CP7,CR7)-CM7-CQ7,"")</f>
        <v>41.9</v>
      </c>
      <c r="DG7" s="40" t="str">
        <f>IF(SUM(CS7:CT7,CV7)-CU7&gt;0,SUM(CS7:CT7,CV7)-CU7,"")</f>
        <v/>
      </c>
      <c r="DH7" s="40">
        <f>IF(SUM(CL7,CP7,CT7)&gt;0,SUM(CL7,CP7,CT7),"")</f>
        <v>9.4</v>
      </c>
      <c r="DI7" s="40">
        <f>IF(SUM(DF7,DG7)&gt;0,SUM(DF7,DG7),"")</f>
        <v>41.9</v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>
        <f>IF(SUM(DF7,DG7,DK7)&gt;0,SUM(DF7,DG7,DK7),"")</f>
        <v>41.9</v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>
        <v>17.3</v>
      </c>
      <c r="FR7" s="18">
        <v>5.8</v>
      </c>
      <c r="FS7" s="18">
        <v>0</v>
      </c>
      <c r="FT7" s="18">
        <v>0</v>
      </c>
      <c r="FU7" s="18">
        <v>16.399999999999999</v>
      </c>
      <c r="FV7" s="18">
        <v>5.9</v>
      </c>
      <c r="FW7" s="18">
        <v>0</v>
      </c>
      <c r="FX7" s="18">
        <v>0</v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>
        <f>IF(SUM(FR7,FV7)&gt;0,SUM(FR7,FV7),"")</f>
        <v>11.7</v>
      </c>
      <c r="GL7" s="11">
        <f>IF(SUM(FQ7:FR7,FT7:FV7,FX7)-FS7-FW7&gt;0,SUM(FQ7:FR7,FT7:FV7,FX7)-FS7-FW7,"")</f>
        <v>45.4</v>
      </c>
      <c r="GM7" s="11" t="str">
        <f>IF(SUM(FY7:FZ7,GB7)-GA7&gt;0,SUM(FY7:FZ7,GB7)-GA7,"")</f>
        <v/>
      </c>
      <c r="GN7" s="11">
        <f>IF(SUM(FR7,FV7,FZ7)&gt;0,SUM(FR7,FV7,FZ7),"")</f>
        <v>11.7</v>
      </c>
      <c r="GO7" s="11">
        <f>IF(SUM(GL7,GM7)&gt;0,SUM(GL7,GM7),"")</f>
        <v>45.4</v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>
        <f>IF(SUM(GL7,GM7,GQ7)&gt;0,SUM(GL7,GM7,GQ7),"")</f>
        <v>45.4</v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15.55</v>
      </c>
      <c r="PJ7" s="22">
        <f>IF($CC7="P",BN7,(BN7+AR7)/2)</f>
        <v>5.9499999999999993</v>
      </c>
      <c r="PK7" s="22">
        <f>IF($CC7="P",BO7,(BO7+AS7)/2)</f>
        <v>0.1</v>
      </c>
      <c r="PL7" s="22">
        <f>IF($CC7="P",BP7,(BP7+AT7)/2)</f>
        <v>0</v>
      </c>
      <c r="PM7" s="22">
        <f>IF($CC7="P",BQ7,(BQ7+AU7)/2)</f>
        <v>16.5</v>
      </c>
      <c r="PN7" s="22">
        <f>IF($CC7="P",BR7,(BR7+AV7)/2)</f>
        <v>5.45</v>
      </c>
      <c r="PO7" s="22">
        <f>IF($CC7="P",BS7,(BS7+AW7)/2)</f>
        <v>0.05</v>
      </c>
      <c r="PP7" s="22">
        <f>IF($CC7="P",BT7,(BT7+AX7)/2)</f>
        <v>0</v>
      </c>
      <c r="PQ7" s="22">
        <f>IF($CC7="P",BU7,(BU7+AY7)/2)</f>
        <v>16.600000000000001</v>
      </c>
      <c r="PR7" s="22">
        <f>IF($CC7="P",BV7,(BV7+AZ7)/2)</f>
        <v>5.55</v>
      </c>
      <c r="PS7" s="22">
        <f>IF($CC7="P",BW7,(BW7+BA7)/2)</f>
        <v>0.1</v>
      </c>
      <c r="PT7" s="22">
        <f>IF($CC7="P",BX7,(BX7+BB7)/2)</f>
        <v>0</v>
      </c>
      <c r="PU7" s="22">
        <f>IF($CC7="P",BY7,(BY7+BC7)/2)</f>
        <v>16.649999999999999</v>
      </c>
      <c r="PV7" s="22">
        <f>IF($CC7="P",BZ7,(BZ7+BD7)/2)</f>
        <v>4.45</v>
      </c>
      <c r="PW7" s="22">
        <f>IF($CC7="P",CA7,(CA7+BE7)/2)</f>
        <v>0.5</v>
      </c>
      <c r="PX7" s="22">
        <f>IF($CC7="P",CB7,(CB7+BF7)/2)</f>
        <v>0</v>
      </c>
      <c r="PY7" s="27" t="s">
        <v>46</v>
      </c>
      <c r="PZ7" s="40">
        <f>IF(SUM(PJ7,PN7)&gt;0,SUM(PJ7,PN7),"")</f>
        <v>11.399999999999999</v>
      </c>
      <c r="QA7" s="40">
        <f>IF(SUM(PI7:PJ7,PL7:PN7,PP7)-PK7-PO7&gt;0,SUM(PI7:PJ7,PL7:PN7,PP7)-PK7-PO7,"")</f>
        <v>43.300000000000004</v>
      </c>
      <c r="QB7" s="40">
        <f>IF(SUM(PR7,PV7)&gt;0,SUM(PR7,PV7),"")</f>
        <v>10</v>
      </c>
      <c r="QC7" s="40">
        <f>IF(SUM(PQ7:PR7,PT7:PV7,PX7)-SUM(PS7,PW7)&gt;0,SUM(PQ7:PR7,PT7:PV7,PX7)-SUM(PS7,PW7),"")</f>
        <v>42.65</v>
      </c>
      <c r="QD7" s="40">
        <f>IF(SUM(QA7,QC7)&gt;0,SUM(QA7,QC7),"")</f>
        <v>85.95</v>
      </c>
    </row>
    <row r="8" spans="1:446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160</v>
      </c>
      <c r="D8" s="4" t="s">
        <v>4</v>
      </c>
      <c r="E8" s="4">
        <v>2008</v>
      </c>
      <c r="F8" s="9">
        <f>SUM(L8:R8)+SUM(L8:O8)*0.0000001+SUM(L8)*0.0000000000001</f>
        <v>133.40000865000445</v>
      </c>
      <c r="G8" s="64"/>
      <c r="H8" s="3" t="str">
        <f>IF(OR(AND(AL8&gt;=AP$23,AM8&gt;=AP$27,AL8&lt;&gt;"",AK8=""),AND(AN8&gt;=AP$23,AO8&gt;=AP$27,AN8&lt;&gt;"",AK8=""),AND(BH8&gt;=BL$23,BI8&gt;=BL$27,BH8&lt;&gt;"",BG8=""),AND(BJ8&gt;=BL$23,BK8&gt;=BL$27,BJ8&lt;&gt;"",BG8=""),AND(CD8&gt;=CH$23,CE8&gt;=CH$27,CD8&lt;&gt;"",CC8=""),AND(CF8&gt;=CH$23,CG8&gt;=CH$27,CF8&lt;&gt;""),AND(DE8&gt;=DL$23,DF8&gt;=DL$27,DE8&lt;&gt;""),AND(DJ8&gt;=DL$23,DK8&gt;=DL$27,DJ8&lt;&gt;""),AND(EG8&gt;=EN$23,EH8&gt;=EN$27,EG8&lt;&gt;""),AND(EL8&gt;=EN$23,EM8&gt;=EN$27,EL8&lt;&gt;""),AND(FI8&gt;=FP$23,FJ8&gt;=FP$27,FI8&lt;&gt;""),AND(FN8&gt;=FP$23,FO8&gt;=FP$27,FN8&lt;&gt;""),AND(GK8&gt;=GR$23,GL8&gt;=GR$27,GK8&lt;&gt;""),AND(GP8&gt;=GR$23,GQ8&gt;=GR$27,GP8&lt;&gt;""),AND(HM8&gt;=HT$23,HN8&gt;=HT$27,HM8&lt;&gt;""),AND(HR8&gt;=HT$23,HS8&gt;=HT$27,HR8&lt;&gt;""),AND(IO8&gt;=IV$23,IP8&gt;=IV$27,IO8&lt;&gt;""),AND(IT8&gt;=IV$23,IU8&gt;=IV$27,IT8&lt;&gt;""),AND(JQ8&gt;=JX$23,JR8&gt;=JX$27,JQ8&lt;&gt;""),AND(JV8&gt;=JX$23,JW8&gt;=JX$27,JV8&lt;&gt;""),AND(KS8&gt;=KZ$23,KT8&gt;=KZ$27,KS8&lt;&gt;""),AND(KX8&gt;=KZ$23,KY8&gt;=KZ$27,KX8&lt;&gt;""),AND(LU8&gt;=MB$23,LV8&gt;=MB$27,LU8&lt;&gt;""),AND(LZ8&gt;=MB$23,MA8&gt;=MB$27,LZ8&lt;&gt;""),AND(MW8&gt;=ND$23,MX8&gt;=ND$27,MW8&lt;&gt;""),AND(NB8&gt;=ND$23,NC8&gt;=ND$27,NB8&lt;&gt;""),AND(NY8&gt;=OF$23,NZ8&gt;=OF$27,NY8&lt;&gt;""),AND(OD8&gt;=OF$23,OE8&gt;=OF$27,OD8&lt;&gt;""),AND(PA8&gt;=PH$23,PB8&gt;=PH$27,PA8&lt;&gt;""),AND(PF8&gt;=PH$23,PG8&gt;=PH$27,PF8&lt;&gt;"")),"P","")</f>
        <v>P</v>
      </c>
      <c r="I8" s="3" t="str">
        <f>IF(OR(AND(AM8&gt;=AP$27,AM8&lt;&gt;"",AK8=""),AND(AO8&gt;=AP$27,AO8&lt;&gt;"",AK8=""),AND(BI8&gt;=BL$27,BI8&lt;&gt;"",BG8=""),AND(BK8&gt;=BL$27,BK8&lt;&gt;"",BG8=""),AND(CE8&gt;=CH$27,CE8&lt;&gt;"",CC8=""),AND(CG8&gt;=CH$27,CG8&lt;&gt;"",CC8=""),AND(DF8&gt;=DL$27,DF8&lt;&gt;""),AND(DK8&gt;=DL$27,DK8&lt;&gt;""),AND(EH8&gt;=EN$27,EH8&lt;&gt;""),AND(EM8&gt;=EN$27,EM8&lt;&gt;""),AND(FJ8&gt;=FP$27,FJ8&lt;&gt;""),AND(FO8&gt;=FP$27,FO8&lt;&gt;""),AND(GL8&gt;=GR$27,GL8&lt;&gt;""),AND(GQ8&gt;=GR$27,GQ8&lt;&gt;""),AND(HN8&gt;=HT$27,HN8&lt;&gt;""),AND(HS8&gt;=HT$27,HS8&lt;&gt;""),AND(IP8&gt;=IV$27,IP8&lt;&gt;""),AND(IU8&gt;=IV$27,IU8&lt;&gt;""),AND(JR8&gt;=JX$27,JR8&lt;&gt;""),AND(JW8&gt;=JX$27,JW8&lt;&gt;""),AND(KT8&gt;=KZ$27,KT8&lt;&gt;""),AND(KY8&gt;=KZ$27,KY8&lt;&gt;""),AND(LV8&gt;=MB$27,LV8&lt;&gt;""),AND(MA8&gt;=MB$27,MA8&lt;&gt;""),AND(MX8&gt;=ND$27,MX8&lt;&gt;""),AND(NC8&gt;=ND$27,NC8&lt;&gt;""),AND(NZ8&gt;=OF$27,NZ8&lt;&gt;""),AND(OE8&gt;=OF$27,OE8&lt;&gt;""),AND(PB8&gt;=PH$27,PB8&lt;&gt;""),AND(PG8&gt;=PH$27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44.3</v>
      </c>
      <c r="M8" s="8" t="str">
        <f>IF(L8=0,"",IF(L8=CE8,$BM$1,IF(L8=BI8,$AQ$1,IF(L8=AM8,$U$1,""))))</f>
        <v>2025 Nationals</v>
      </c>
      <c r="N8" s="8">
        <f>IF(COUNT(AM8,BI8,CE8)&gt;1,LARGE((AM8,BI8,CE8),2),0)</f>
        <v>42.199999999999996</v>
      </c>
      <c r="O8" s="8" t="str">
        <f>IF(N8=0,"",IF(AND(N8=L8,N8=AM8,N8=BI8),$U$1,IF(AND(N8=L8,N8=AM8,N8=CE8),$U$1,IF(AND(N8=L8,N8=BI8,N8=CE8),$AQ$1,IF(N8=CE8,$BM$1,IF(N8=BI8,$AQ$1,IF(N8=AM8,$U$1,"")))))))</f>
        <v>2025 Elite Canada</v>
      </c>
      <c r="P8" s="8">
        <f>IF(MAX(AO8,BK8,CG8)&gt;0,MAX(AO8,BK8,CG8),0)</f>
        <v>45</v>
      </c>
      <c r="Q8" s="8" t="str">
        <f>IF(P8=0,"",IF(P8=CG8,$BM$1,IF(P8=BK8,$AQ$1,IF(P8=AO8,$U$1,""))))</f>
        <v>2025 Nationals</v>
      </c>
      <c r="R8" s="8">
        <f>IF(MAX(CI8:CJ8)&gt;0,MAX(CI8:CJ8),"")</f>
        <v>1.9000000000000057</v>
      </c>
      <c r="S8" s="11" t="str">
        <f>IF(R8="","",IF(R8=CI8,"("&amp;CI$2&amp;")",IF(R8=CJ8,"("&amp;CJ$2&amp;")")))</f>
        <v>(Q1)</v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>2025 WAGC (Nov 16)</v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>
        <v>16.3</v>
      </c>
      <c r="AD8" s="19">
        <v>5.7</v>
      </c>
      <c r="AE8" s="19">
        <v>0</v>
      </c>
      <c r="AF8" s="19">
        <v>0</v>
      </c>
      <c r="AG8" s="19">
        <v>15.4</v>
      </c>
      <c r="AH8" s="19">
        <v>4</v>
      </c>
      <c r="AI8" s="19">
        <v>0</v>
      </c>
      <c r="AJ8" s="19">
        <v>0</v>
      </c>
      <c r="AK8" s="27"/>
      <c r="AL8" s="40">
        <f>IF(SUM(V8,Z8)&gt;0,SUM(V8,Z8),"")</f>
        <v>12</v>
      </c>
      <c r="AM8" s="40">
        <f>IF(SUM(U8:V8,X8:Z8,AB8)-W8-AA8&gt;0,SUM(U8:V8,X8:Z8,AB8)-W8-AA8,"")</f>
        <v>42.199999999999996</v>
      </c>
      <c r="AN8" s="40">
        <f>IF(SUM(AD8,AH8)&gt;0,SUM(AD8,AH8),"")</f>
        <v>9.6999999999999993</v>
      </c>
      <c r="AO8" s="40">
        <f>IF(SUM(AC8:AD8,AF8:AH8,AJ8)-SUM(AE8,AI8)&gt;0,SUM(AC8:AD8,AF8:AH8,AJ8)-SUM(AE8,AI8),"")</f>
        <v>41.4</v>
      </c>
      <c r="AP8" s="40">
        <f>IF(SUM(AM8,AO8)&gt;0,SUM(AM8,AO8),"")</f>
        <v>83.6</v>
      </c>
      <c r="AQ8" s="18">
        <v>16.399999999999999</v>
      </c>
      <c r="AR8" s="18">
        <v>5.7</v>
      </c>
      <c r="AS8" s="18">
        <v>0</v>
      </c>
      <c r="AT8" s="18">
        <v>0</v>
      </c>
      <c r="AU8" s="18">
        <v>15.6</v>
      </c>
      <c r="AV8" s="18">
        <v>6.6</v>
      </c>
      <c r="AW8" s="18">
        <v>0</v>
      </c>
      <c r="AX8" s="18">
        <v>0</v>
      </c>
      <c r="AY8" s="18">
        <v>16.5</v>
      </c>
      <c r="AZ8" s="18">
        <v>5.7</v>
      </c>
      <c r="BA8" s="18">
        <v>0</v>
      </c>
      <c r="BB8" s="18">
        <v>0</v>
      </c>
      <c r="BC8" s="18">
        <v>16</v>
      </c>
      <c r="BD8" s="18">
        <v>6.8</v>
      </c>
      <c r="BE8" s="18">
        <v>0</v>
      </c>
      <c r="BF8" s="18">
        <v>0</v>
      </c>
      <c r="BG8" s="28"/>
      <c r="BH8" s="11">
        <f>IF(SUM(AR8,AV8)&gt;0,SUM(AR8,AV8),"")</f>
        <v>12.3</v>
      </c>
      <c r="BI8" s="11">
        <f>IF(SUM(AQ8:AR8,AT8:AV8,AX8)-AS8-AW8&gt;0,SUM(AQ8:AR8,AT8:AV8,AX8)-AS8-AW8,"")</f>
        <v>44.3</v>
      </c>
      <c r="BJ8" s="11">
        <f>IF(SUM(AZ8,BD8)&gt;0,SUM(AZ8,BD8),"")</f>
        <v>12.5</v>
      </c>
      <c r="BK8" s="11">
        <f>IF(SUM(AY8:AZ8,BB8:BD8,BF8)-SUM(BA8,BE8)&gt;0,SUM(AY8:AZ8,BB8:BD8,BF8)-SUM(BA8,BE8),"")</f>
        <v>45</v>
      </c>
      <c r="BL8" s="11">
        <f>IF(SUM(BI8,BK8)&gt;0,SUM(BI8,BK8),"")</f>
        <v>89.3</v>
      </c>
      <c r="BM8" s="19">
        <v>15.8</v>
      </c>
      <c r="BN8" s="19">
        <v>6.3</v>
      </c>
      <c r="BO8" s="19">
        <v>0</v>
      </c>
      <c r="BP8" s="19">
        <v>0</v>
      </c>
      <c r="BQ8" s="19">
        <v>15.4</v>
      </c>
      <c r="BR8" s="19">
        <v>4.7</v>
      </c>
      <c r="BS8" s="19">
        <v>1</v>
      </c>
      <c r="BT8" s="19">
        <v>0</v>
      </c>
      <c r="BU8" s="19">
        <v>16</v>
      </c>
      <c r="BV8" s="19">
        <v>5.8</v>
      </c>
      <c r="BW8" s="19">
        <v>0</v>
      </c>
      <c r="BX8" s="19">
        <v>0</v>
      </c>
      <c r="BY8" s="19">
        <v>15.1</v>
      </c>
      <c r="BZ8" s="19">
        <v>5.9</v>
      </c>
      <c r="CA8" s="19">
        <v>2</v>
      </c>
      <c r="CB8" s="19">
        <v>0</v>
      </c>
      <c r="CC8" s="27"/>
      <c r="CD8" s="40">
        <f>IF(SUM(BN8,BR8)&gt;0,SUM(BN8,BR8),"")</f>
        <v>11</v>
      </c>
      <c r="CE8" s="40">
        <f>IF(SUM(BM8:BN8,BP8:BR8,BT8)-BO8-BS8&gt;0,SUM(BM8:BN8,BP8:BR8,BT8)-BO8-BS8,"")</f>
        <v>41.2</v>
      </c>
      <c r="CF8" s="40">
        <f>IF(SUM(BV8,BZ8)&gt;0,SUM(BV8,BZ8),"")</f>
        <v>11.7</v>
      </c>
      <c r="CG8" s="40">
        <f>IF(SUM(BU8:BV8,BX8:BZ8,CB8)-SUM(BW8,CA8)&gt;0,SUM(BU8:BV8,BX8:BZ8,CB8)-SUM(BW8,CA8),"")</f>
        <v>40.799999999999997</v>
      </c>
      <c r="CH8" s="40">
        <f>IF(SUM(CE8,CG8)&gt;0,SUM(CE8,CG8),"")</f>
        <v>82</v>
      </c>
      <c r="CI8" s="50">
        <f>IF(MAX(DF8,EH8,FJ8,GL8,HN8,IP8,JR8,KT8,LV8,MX8,NZ8,PB8)-IF(N8="",0,N8)&gt;0.001,MAX(DF8,EH8,FJ8,GL8,HN8,IP8,JR8,KT8,LV8,MX8,NZ8,PB8)-IF(N8="",0,N8),"")</f>
        <v>1.9000000000000057</v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>
        <v>16.8</v>
      </c>
      <c r="FR8" s="18">
        <v>5.8</v>
      </c>
      <c r="FS8" s="18">
        <v>0</v>
      </c>
      <c r="FT8" s="18">
        <v>0</v>
      </c>
      <c r="FU8" s="18">
        <v>16.100000000000001</v>
      </c>
      <c r="FV8" s="18">
        <v>5.8</v>
      </c>
      <c r="FW8" s="18">
        <v>0.4</v>
      </c>
      <c r="FX8" s="18">
        <v>0</v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>
        <f>IF(SUM(FR8,FV8)&gt;0,SUM(FR8,FV8),"")</f>
        <v>11.6</v>
      </c>
      <c r="GL8" s="11">
        <f>IF(SUM(FQ8:FR8,FT8:FV8,FX8)-FS8-FW8&gt;0,SUM(FQ8:FR8,FT8:FV8,FX8)-FS8-FW8,"")</f>
        <v>44.1</v>
      </c>
      <c r="GM8" s="11" t="str">
        <f>IF(SUM(FY8:FZ8,GB8)-GA8&gt;0,SUM(FY8:FZ8,GB8)-GA8,"")</f>
        <v/>
      </c>
      <c r="GN8" s="11">
        <f>IF(SUM(FR8,FV8,FZ8)&gt;0,SUM(FR8,FV8,FZ8),"")</f>
        <v>11.6</v>
      </c>
      <c r="GO8" s="11">
        <f>IF(SUM(GL8,GM8)&gt;0,SUM(GL8,GM8),"")</f>
        <v>44.1</v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>
        <f>IF(SUM(GL8,GM8,GQ8)&gt;0,SUM(GL8,GM8,GQ8),"")</f>
        <v>44.1</v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16.100000000000001</v>
      </c>
      <c r="PJ8" s="22">
        <f>IF($CC8="P",BN8,(BN8+AR8)/2)</f>
        <v>6</v>
      </c>
      <c r="PK8" s="22">
        <f>IF($CC8="P",BO8,(BO8+AS8)/2)</f>
        <v>0</v>
      </c>
      <c r="PL8" s="22">
        <f>IF($CC8="P",BP8,(BP8+AT8)/2)</f>
        <v>0</v>
      </c>
      <c r="PM8" s="22">
        <f>IF($CC8="P",BQ8,(BQ8+AU8)/2)</f>
        <v>15.5</v>
      </c>
      <c r="PN8" s="22">
        <f>IF($CC8="P",BR8,(BR8+AV8)/2)</f>
        <v>5.65</v>
      </c>
      <c r="PO8" s="22">
        <f>IF($CC8="P",BS8,(BS8+AW8)/2)</f>
        <v>0.5</v>
      </c>
      <c r="PP8" s="22">
        <f>IF($CC8="P",BT8,(BT8+AX8)/2)</f>
        <v>0</v>
      </c>
      <c r="PQ8" s="22">
        <f>IF($CC8="P",BU8,(BU8+AY8)/2)</f>
        <v>16.25</v>
      </c>
      <c r="PR8" s="22">
        <f>IF($CC8="P",BV8,(BV8+AZ8)/2)</f>
        <v>5.75</v>
      </c>
      <c r="PS8" s="22">
        <f>IF($CC8="P",BW8,(BW8+BA8)/2)</f>
        <v>0</v>
      </c>
      <c r="PT8" s="22">
        <f>IF($CC8="P",BX8,(BX8+BB8)/2)</f>
        <v>0</v>
      </c>
      <c r="PU8" s="22">
        <f>IF($CC8="P",BY8,(BY8+BC8)/2)</f>
        <v>15.55</v>
      </c>
      <c r="PV8" s="22">
        <f>IF($CC8="P",BZ8,(BZ8+BD8)/2)</f>
        <v>6.35</v>
      </c>
      <c r="PW8" s="22">
        <f>IF($CC8="P",CA8,(CA8+BE8)/2)</f>
        <v>1</v>
      </c>
      <c r="PX8" s="22">
        <f>IF($CC8="P",CB8,(CB8+BF8)/2)</f>
        <v>0</v>
      </c>
      <c r="PY8" s="27" t="s">
        <v>46</v>
      </c>
      <c r="PZ8" s="40">
        <f>IF(SUM(PJ8,PN8)&gt;0,SUM(PJ8,PN8),"")</f>
        <v>11.65</v>
      </c>
      <c r="QA8" s="40">
        <f>IF(SUM(PI8:PJ8,PL8:PN8,PP8)-PK8-PO8&gt;0,SUM(PI8:PJ8,PL8:PN8,PP8)-PK8-PO8,"")</f>
        <v>42.75</v>
      </c>
      <c r="QB8" s="40">
        <f>IF(SUM(PR8,PV8)&gt;0,SUM(PR8,PV8),"")</f>
        <v>12.1</v>
      </c>
      <c r="QC8" s="40">
        <f>IF(SUM(PQ8:PR8,PT8:PV8,PX8)-SUM(PS8,PW8)&gt;0,SUM(PQ8:PR8,PT8:PV8,PX8)-SUM(PS8,PW8),"")</f>
        <v>42.9</v>
      </c>
      <c r="QD8" s="40">
        <f>IF(SUM(QA8,QC8)&gt;0,SUM(QA8,QC8),"")</f>
        <v>85.65</v>
      </c>
    </row>
    <row r="9" spans="1:446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97</v>
      </c>
      <c r="D9" s="4" t="s">
        <v>4</v>
      </c>
      <c r="E9" s="4">
        <v>2005</v>
      </c>
      <c r="F9" s="9">
        <f>SUM(L9:R9)+SUM(L9:O9)*0.0000001+SUM(L9)*0.0000000000001</f>
        <v>130.10000834000459</v>
      </c>
      <c r="G9" s="64"/>
      <c r="H9" s="3" t="str">
        <f>IF(OR(AND(AL9&gt;=AP$23,AM9&gt;=AP$27,AL9&lt;&gt;"",AK9=""),AND(AN9&gt;=AP$23,AO9&gt;=AP$27,AN9&lt;&gt;"",AK9=""),AND(BH9&gt;=BL$23,BI9&gt;=BL$27,BH9&lt;&gt;"",BG9=""),AND(BJ9&gt;=BL$23,BK9&gt;=BL$27,BJ9&lt;&gt;"",BG9=""),AND(CD9&gt;=CH$23,CE9&gt;=CH$27,CD9&lt;&gt;"",CC9=""),AND(CF9&gt;=CH$23,CG9&gt;=CH$27,CF9&lt;&gt;""),AND(DE9&gt;=DL$23,DF9&gt;=DL$27,DE9&lt;&gt;""),AND(DJ9&gt;=DL$23,DK9&gt;=DL$27,DJ9&lt;&gt;""),AND(EG9&gt;=EN$23,EH9&gt;=EN$27,EG9&lt;&gt;""),AND(EL9&gt;=EN$23,EM9&gt;=EN$27,EL9&lt;&gt;""),AND(FI9&gt;=FP$23,FJ9&gt;=FP$27,FI9&lt;&gt;""),AND(FN9&gt;=FP$23,FO9&gt;=FP$27,FN9&lt;&gt;""),AND(GK9&gt;=GR$23,GL9&gt;=GR$27,GK9&lt;&gt;""),AND(GP9&gt;=GR$23,GQ9&gt;=GR$27,GP9&lt;&gt;""),AND(HM9&gt;=HT$23,HN9&gt;=HT$27,HM9&lt;&gt;""),AND(HR9&gt;=HT$23,HS9&gt;=HT$27,HR9&lt;&gt;""),AND(IO9&gt;=IV$23,IP9&gt;=IV$27,IO9&lt;&gt;""),AND(IT9&gt;=IV$23,IU9&gt;=IV$27,IT9&lt;&gt;""),AND(JQ9&gt;=JX$23,JR9&gt;=JX$27,JQ9&lt;&gt;""),AND(JV9&gt;=JX$23,JW9&gt;=JX$27,JV9&lt;&gt;""),AND(KS9&gt;=KZ$23,KT9&gt;=KZ$27,KS9&lt;&gt;""),AND(KX9&gt;=KZ$23,KY9&gt;=KZ$27,KX9&lt;&gt;""),AND(LU9&gt;=MB$23,LV9&gt;=MB$27,LU9&lt;&gt;""),AND(LZ9&gt;=MB$23,MA9&gt;=MB$27,LZ9&lt;&gt;""),AND(MW9&gt;=ND$23,MX9&gt;=ND$27,MW9&lt;&gt;""),AND(NB9&gt;=ND$23,NC9&gt;=ND$27,NB9&lt;&gt;""),AND(NY9&gt;=OF$23,NZ9&gt;=OF$27,NY9&lt;&gt;""),AND(OD9&gt;=OF$23,OE9&gt;=OF$27,OD9&lt;&gt;""),AND(PA9&gt;=PH$23,PB9&gt;=PH$27,PA9&lt;&gt;""),AND(PF9&gt;=PH$23,PG9&gt;=PH$27,PF9&lt;&gt;"")),"P","")</f>
        <v>P</v>
      </c>
      <c r="I9" s="3" t="str">
        <f>IF(OR(AND(AM9&gt;=AP$27,AM9&lt;&gt;"",AK9=""),AND(AO9&gt;=AP$27,AO9&lt;&gt;"",AK9=""),AND(BI9&gt;=BL$27,BI9&lt;&gt;"",BG9=""),AND(BK9&gt;=BL$27,BK9&lt;&gt;"",BG9=""),AND(CE9&gt;=CH$27,CE9&lt;&gt;"",CC9=""),AND(CG9&gt;=CH$27,CG9&lt;&gt;"",CC9=""),AND(DF9&gt;=DL$27,DF9&lt;&gt;""),AND(DK9&gt;=DL$27,DK9&lt;&gt;""),AND(EH9&gt;=EN$27,EH9&lt;&gt;""),AND(EM9&gt;=EN$27,EM9&lt;&gt;""),AND(FJ9&gt;=FP$27,FJ9&lt;&gt;""),AND(FO9&gt;=FP$27,FO9&lt;&gt;""),AND(GL9&gt;=GR$27,GL9&lt;&gt;""),AND(GQ9&gt;=GR$27,GQ9&lt;&gt;""),AND(HN9&gt;=HT$27,HN9&lt;&gt;""),AND(HS9&gt;=HT$27,HS9&lt;&gt;""),AND(IP9&gt;=IV$27,IP9&lt;&gt;""),AND(IU9&gt;=IV$27,IU9&lt;&gt;""),AND(JR9&gt;=JX$27,JR9&lt;&gt;""),AND(JW9&gt;=JX$27,JW9&lt;&gt;""),AND(KT9&gt;=KZ$27,KT9&lt;&gt;""),AND(KY9&gt;=KZ$27,KY9&lt;&gt;""),AND(LV9&gt;=MB$27,LV9&lt;&gt;""),AND(MA9&gt;=MB$27,MA9&lt;&gt;""),AND(MX9&gt;=ND$27,MX9&lt;&gt;""),AND(NC9&gt;=ND$27,NC9&lt;&gt;""),AND(NZ9&gt;=OF$27,NZ9&lt;&gt;""),AND(OE9&gt;=OF$27,OE9&lt;&gt;""),AND(PB9&gt;=PH$27,PB9&lt;&gt;""),AND(PG9&gt;=PH$27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46</v>
      </c>
      <c r="M9" s="8" t="str">
        <f>IF(L9=0,"",IF(L9=CE9,$BM$1,IF(L9=BI9,$AQ$1,IF(L9=AM9,$U$1,""))))</f>
        <v>2025 Nationals</v>
      </c>
      <c r="N9" s="8">
        <f>IF(COUNT(AM9,BI9,CE9)&gt;1,LARGE((AM9,BI9,CE9),2),0)</f>
        <v>37.400000000000006</v>
      </c>
      <c r="O9" s="8" t="str">
        <f>IF(N9=0,"",IF(AND(N9=L9,N9=AM9,N9=BI9),$U$1,IF(AND(N9=L9,N9=AM9,N9=CE9),$U$1,IF(AND(N9=L9,N9=BI9,N9=CE9),$AQ$1,IF(N9=CE9,$BM$1,IF(N9=BI9,$AQ$1,IF(N9=AM9,$U$1,"")))))))</f>
        <v>2025 3rd Domestic Trial</v>
      </c>
      <c r="P9" s="8">
        <f>IF(MAX(AO9,BK9,CG9)&gt;0,MAX(AO9,BK9,CG9),0)</f>
        <v>42.6</v>
      </c>
      <c r="Q9" s="8" t="str">
        <f>IF(P9=0,"",IF(P9=CG9,$BM$1,IF(P9=BK9,$AQ$1,IF(P9=AO9,$U$1,""))))</f>
        <v>2025 3rd Domestic Trial</v>
      </c>
      <c r="R9" s="8">
        <f>IF(MAX(CI9:CJ9)&gt;0,MAX(CI9:CJ9),"")</f>
        <v>4.1000000000000014</v>
      </c>
      <c r="S9" s="11" t="str">
        <f>IF(R9="","",IF(R9=CI9,"("&amp;CI$2&amp;")",IF(R9=CJ9,"("&amp;CJ$2&amp;")")))</f>
        <v>(Q1)</v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>2025 WAGC (Nov 16)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27"/>
      <c r="AL9" s="40" t="str">
        <f>IF(SUM(V9,Z9)&gt;0,SUM(V9,Z9),"")</f>
        <v/>
      </c>
      <c r="AM9" s="40" t="str">
        <f>IF(SUM(U9:V9,X9:Z9,AB9)-W9-AA9&gt;0,SUM(U9:V9,X9:Z9,AB9)-W9-AA9,"")</f>
        <v/>
      </c>
      <c r="AN9" s="40" t="str">
        <f>IF(SUM(AD9,AH9)&gt;0,SUM(AD9,AH9),"")</f>
        <v/>
      </c>
      <c r="AO9" s="40" t="str">
        <f>IF(SUM(AC9:AD9,AF9:AH9,AJ9)-SUM(AE9,AI9)&gt;0,SUM(AC9:AD9,AF9:AH9,AJ9)-SUM(AE9,AI9),"")</f>
        <v/>
      </c>
      <c r="AP9" s="40" t="str">
        <f>IF(SUM(AM9,AO9)&gt;0,SUM(AM9,AO9),"")</f>
        <v/>
      </c>
      <c r="AQ9" s="18">
        <v>16.8</v>
      </c>
      <c r="AR9" s="18">
        <v>5.7</v>
      </c>
      <c r="AS9" s="18">
        <v>0</v>
      </c>
      <c r="AT9" s="18">
        <v>0.7</v>
      </c>
      <c r="AU9" s="18">
        <v>16.8</v>
      </c>
      <c r="AV9" s="18">
        <v>5.3</v>
      </c>
      <c r="AW9" s="18">
        <v>0</v>
      </c>
      <c r="AX9" s="18">
        <v>0.7</v>
      </c>
      <c r="AY9" s="18">
        <v>15.8</v>
      </c>
      <c r="AZ9" s="18">
        <v>3.1</v>
      </c>
      <c r="BA9" s="18">
        <v>0</v>
      </c>
      <c r="BB9" s="18">
        <v>0.7</v>
      </c>
      <c r="BC9" s="18">
        <v>16.600000000000001</v>
      </c>
      <c r="BD9" s="18">
        <v>5.3</v>
      </c>
      <c r="BE9" s="18">
        <v>0</v>
      </c>
      <c r="BF9" s="18">
        <v>0.7</v>
      </c>
      <c r="BG9" s="28"/>
      <c r="BH9" s="11">
        <f>IF(SUM(AR9,AV9)&gt;0,SUM(AR9,AV9),"")</f>
        <v>11</v>
      </c>
      <c r="BI9" s="11">
        <f>IF(SUM(AQ9:AR9,AT9:AV9,AX9)-AS9-AW9&gt;0,SUM(AQ9:AR9,AT9:AV9,AX9)-AS9-AW9,"")</f>
        <v>46</v>
      </c>
      <c r="BJ9" s="11">
        <f>IF(SUM(AZ9,BD9)&gt;0,SUM(AZ9,BD9),"")</f>
        <v>8.4</v>
      </c>
      <c r="BK9" s="11">
        <f>IF(SUM(AY9:AZ9,BB9:BD9,BF9)-SUM(BA9,BE9)&gt;0,SUM(AY9:AZ9,BB9:BD9,BF9)-SUM(BA9,BE9),"")</f>
        <v>42.2</v>
      </c>
      <c r="BL9" s="11">
        <f>IF(SUM(BI9,BK9)&gt;0,SUM(BI9,BK9),"")</f>
        <v>88.2</v>
      </c>
      <c r="BM9" s="19">
        <v>11.8</v>
      </c>
      <c r="BN9" s="19">
        <v>3</v>
      </c>
      <c r="BO9" s="19">
        <v>0</v>
      </c>
      <c r="BP9" s="19">
        <v>0</v>
      </c>
      <c r="BQ9" s="19">
        <v>17.100000000000001</v>
      </c>
      <c r="BR9" s="19">
        <v>5.5</v>
      </c>
      <c r="BS9" s="19">
        <v>0</v>
      </c>
      <c r="BT9" s="19">
        <v>0</v>
      </c>
      <c r="BU9" s="19">
        <v>16.600000000000001</v>
      </c>
      <c r="BV9" s="19">
        <v>5.7</v>
      </c>
      <c r="BW9" s="19">
        <v>0</v>
      </c>
      <c r="BX9" s="19">
        <v>0</v>
      </c>
      <c r="BY9" s="19">
        <v>15.4</v>
      </c>
      <c r="BZ9" s="19">
        <v>5.0999999999999996</v>
      </c>
      <c r="CA9" s="19">
        <v>0.2</v>
      </c>
      <c r="CB9" s="19">
        <v>0</v>
      </c>
      <c r="CC9" s="27"/>
      <c r="CD9" s="40">
        <f>IF(SUM(BN9,BR9)&gt;0,SUM(BN9,BR9),"")</f>
        <v>8.5</v>
      </c>
      <c r="CE9" s="40">
        <f>IF(SUM(BM9:BN9,BP9:BR9,BT9)-BO9-BS9&gt;0,SUM(BM9:BN9,BP9:BR9,BT9)-BO9-BS9,"")</f>
        <v>37.400000000000006</v>
      </c>
      <c r="CF9" s="40">
        <f>IF(SUM(BV9,BZ9)&gt;0,SUM(BV9,BZ9),"")</f>
        <v>10.8</v>
      </c>
      <c r="CG9" s="40">
        <f>IF(SUM(BU9:BV9,BX9:BZ9,CB9)-SUM(BW9,CA9)&gt;0,SUM(BU9:BV9,BX9:BZ9,CB9)-SUM(BW9,CA9),"")</f>
        <v>42.6</v>
      </c>
      <c r="CH9" s="40">
        <f>IF(SUM(CE9,CG9)&gt;0,SUM(CE9,CG9),"")</f>
        <v>80</v>
      </c>
      <c r="CI9" s="50">
        <f>IF(MAX(DF9,EH9,FJ9,GL9,HN9,IP9,JR9,KT9,LV9,MX9,NZ9,PB9)-IF(N9="",0,N9)&gt;0.001,MAX(DF9,EH9,FJ9,GL9,HN9,IP9,JR9,KT9,LV9,MX9,NZ9,PB9)-IF(N9="",0,N9),"")</f>
        <v>4.1000000000000014</v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>
        <v>16.8</v>
      </c>
      <c r="FR9" s="18">
        <v>5.9</v>
      </c>
      <c r="FS9" s="18">
        <v>0</v>
      </c>
      <c r="FT9" s="18">
        <v>0</v>
      </c>
      <c r="FU9" s="18">
        <v>15.7</v>
      </c>
      <c r="FV9" s="18">
        <v>3.1</v>
      </c>
      <c r="FW9" s="18">
        <v>0</v>
      </c>
      <c r="FX9" s="18">
        <v>0</v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>
        <f>IF(SUM(FR9,FV9)&gt;0,SUM(FR9,FV9),"")</f>
        <v>9</v>
      </c>
      <c r="GL9" s="11">
        <f>IF(SUM(FQ9:FR9,FT9:FV9,FX9)-FS9-FW9&gt;0,SUM(FQ9:FR9,FT9:FV9,FX9)-FS9-FW9,"")</f>
        <v>41.500000000000007</v>
      </c>
      <c r="GM9" s="11" t="str">
        <f>IF(SUM(FY9:FZ9,GB9)-GA9&gt;0,SUM(FY9:FZ9,GB9)-GA9,"")</f>
        <v/>
      </c>
      <c r="GN9" s="11">
        <f>IF(SUM(FR9,FV9,FZ9)&gt;0,SUM(FR9,FV9,FZ9),"")</f>
        <v>9</v>
      </c>
      <c r="GO9" s="11">
        <f>IF(SUM(GL9,GM9)&gt;0,SUM(GL9,GM9),"")</f>
        <v>41.500000000000007</v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>
        <f>IF(SUM(GL9,GM9,GQ9)&gt;0,SUM(GL9,GM9,GQ9),"")</f>
        <v>41.500000000000007</v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14.3</v>
      </c>
      <c r="PJ9" s="22">
        <f>IF($CC9="P",BN9,(BN9+AR9)/2)</f>
        <v>4.3499999999999996</v>
      </c>
      <c r="PK9" s="22">
        <f>IF($CC9="P",BO9,(BO9+AS9)/2)</f>
        <v>0</v>
      </c>
      <c r="PL9" s="22">
        <f>IF($CC9="P",BP9,(BP9+AT9)/2)</f>
        <v>0.35</v>
      </c>
      <c r="PM9" s="22">
        <f>IF($CC9="P",BQ9,(BQ9+AU9)/2)</f>
        <v>16.950000000000003</v>
      </c>
      <c r="PN9" s="22">
        <f>IF($CC9="P",BR9,(BR9+AV9)/2)</f>
        <v>5.4</v>
      </c>
      <c r="PO9" s="22">
        <f>IF($CC9="P",BS9,(BS9+AW9)/2)</f>
        <v>0</v>
      </c>
      <c r="PP9" s="22">
        <f>IF($CC9="P",BT9,(BT9+AX9)/2)</f>
        <v>0.35</v>
      </c>
      <c r="PQ9" s="22">
        <f>IF($CC9="P",BU9,(BU9+AY9)/2)</f>
        <v>16.200000000000003</v>
      </c>
      <c r="PR9" s="22">
        <f>IF($CC9="P",BV9,(BV9+AZ9)/2)</f>
        <v>4.4000000000000004</v>
      </c>
      <c r="PS9" s="22">
        <f>IF($CC9="P",BW9,(BW9+BA9)/2)</f>
        <v>0</v>
      </c>
      <c r="PT9" s="22">
        <f>IF($CC9="P",BX9,(BX9+BB9)/2)</f>
        <v>0.35</v>
      </c>
      <c r="PU9" s="22">
        <f>IF($CC9="P",BY9,(BY9+BC9)/2)</f>
        <v>16</v>
      </c>
      <c r="PV9" s="22">
        <f>IF($CC9="P",BZ9,(BZ9+BD9)/2)</f>
        <v>5.1999999999999993</v>
      </c>
      <c r="PW9" s="22">
        <f>IF($CC9="P",CA9,(CA9+BE9)/2)</f>
        <v>0.1</v>
      </c>
      <c r="PX9" s="22">
        <f>IF($CC9="P",CB9,(CB9+BF9)/2)</f>
        <v>0.35</v>
      </c>
      <c r="PY9" s="27" t="s">
        <v>46</v>
      </c>
      <c r="PZ9" s="40">
        <f>IF(SUM(PJ9,PN9)&gt;0,SUM(PJ9,PN9),"")</f>
        <v>9.75</v>
      </c>
      <c r="QA9" s="40">
        <f>IF(SUM(PI9:PJ9,PL9:PN9,PP9)-PK9-PO9&gt;0,SUM(PI9:PJ9,PL9:PN9,PP9)-PK9-PO9,"")</f>
        <v>41.7</v>
      </c>
      <c r="QB9" s="40">
        <f>IF(SUM(PR9,PV9)&gt;0,SUM(PR9,PV9),"")</f>
        <v>9.6</v>
      </c>
      <c r="QC9" s="40">
        <f>IF(SUM(PQ9:PR9,PT9:PV9,PX9)-SUM(PS9,PW9)&gt;0,SUM(PQ9:PR9,PT9:PV9,PX9)-SUM(PS9,PW9),"")</f>
        <v>42.400000000000006</v>
      </c>
      <c r="QD9" s="40">
        <f>IF(SUM(QA9,QC9)&gt;0,SUM(QA9,QC9),"")</f>
        <v>84.100000000000009</v>
      </c>
    </row>
    <row r="10" spans="1:446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t="str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/>
      </c>
      <c r="C10" s="5" t="s">
        <v>87</v>
      </c>
      <c r="D10" s="4" t="s">
        <v>4</v>
      </c>
      <c r="E10" s="4">
        <v>2004</v>
      </c>
      <c r="F10" s="9">
        <f>SUM(L10:R10)+SUM(L10:O10)*0.0000001+SUM(L10)*0.0000000000001</f>
        <v>73.350007335004889</v>
      </c>
      <c r="G10" s="64" t="s">
        <v>46</v>
      </c>
      <c r="H10" s="3" t="str">
        <f>IF(OR(AND(AL10&gt;=AP$23,AM10&gt;=AP$27,AL10&lt;&gt;"",AK10=""),AND(AN10&gt;=AP$23,AO10&gt;=AP$27,AN10&lt;&gt;"",AK10=""),AND(BH10&gt;=BL$23,BI10&gt;=BL$27,BH10&lt;&gt;"",BG10=""),AND(BJ10&gt;=BL$23,BK10&gt;=BL$27,BJ10&lt;&gt;"",BG10=""),AND(CD10&gt;=CH$23,CE10&gt;=CH$27,CD10&lt;&gt;"",CC10=""),AND(CF10&gt;=CH$23,CG10&gt;=CH$27,CF10&lt;&gt;""),AND(DE10&gt;=DL$23,DF10&gt;=DL$27,DE10&lt;&gt;""),AND(DJ10&gt;=DL$23,DK10&gt;=DL$27,DJ10&lt;&gt;""),AND(EG10&gt;=EN$23,EH10&gt;=EN$27,EG10&lt;&gt;""),AND(EL10&gt;=EN$23,EM10&gt;=EN$27,EL10&lt;&gt;""),AND(FI10&gt;=FP$23,FJ10&gt;=FP$27,FI10&lt;&gt;""),AND(FN10&gt;=FP$23,FO10&gt;=FP$27,FN10&lt;&gt;""),AND(GK10&gt;=GR$23,GL10&gt;=GR$27,GK10&lt;&gt;""),AND(GP10&gt;=GR$23,GQ10&gt;=GR$27,GP10&lt;&gt;""),AND(HM10&gt;=HT$23,HN10&gt;=HT$27,HM10&lt;&gt;""),AND(HR10&gt;=HT$23,HS10&gt;=HT$27,HR10&lt;&gt;""),AND(IO10&gt;=IV$23,IP10&gt;=IV$27,IO10&lt;&gt;""),AND(IT10&gt;=IV$23,IU10&gt;=IV$27,IT10&lt;&gt;""),AND(JQ10&gt;=JX$23,JR10&gt;=JX$27,JQ10&lt;&gt;""),AND(JV10&gt;=JX$23,JW10&gt;=JX$27,JV10&lt;&gt;""),AND(KS10&gt;=KZ$23,KT10&gt;=KZ$27,KS10&lt;&gt;""),AND(KX10&gt;=KZ$23,KY10&gt;=KZ$27,KX10&lt;&gt;""),AND(LU10&gt;=MB$23,LV10&gt;=MB$27,LU10&lt;&gt;""),AND(LZ10&gt;=MB$23,MA10&gt;=MB$27,LZ10&lt;&gt;""),AND(MW10&gt;=ND$23,MX10&gt;=ND$27,MW10&lt;&gt;""),AND(NB10&gt;=ND$23,NC10&gt;=ND$27,NB10&lt;&gt;""),AND(NY10&gt;=OF$23,NZ10&gt;=OF$27,NY10&lt;&gt;""),AND(OD10&gt;=OF$23,OE10&gt;=OF$27,OD10&lt;&gt;""),AND(PA10&gt;=PH$23,PB10&gt;=PH$27,PA10&lt;&gt;""),AND(PF10&gt;=PH$23,PG10&gt;=PH$27,PF10&lt;&gt;"")),"P","")</f>
        <v>P</v>
      </c>
      <c r="I10" s="3" t="str">
        <f>IF(OR(AND(AM10&gt;=AP$27,AM10&lt;&gt;"",AK10=""),AND(AO10&gt;=AP$27,AO10&lt;&gt;"",AK10=""),AND(BI10&gt;=BL$27,BI10&lt;&gt;"",BG10=""),AND(BK10&gt;=BL$27,BK10&lt;&gt;"",BG10=""),AND(CE10&gt;=CH$27,CE10&lt;&gt;"",CC10=""),AND(CG10&gt;=CH$27,CG10&lt;&gt;"",CC10=""),AND(DF10&gt;=DL$27,DF10&lt;&gt;""),AND(DK10&gt;=DL$27,DK10&lt;&gt;""),AND(EH10&gt;=EN$27,EH10&lt;&gt;""),AND(EM10&gt;=EN$27,EM10&lt;&gt;""),AND(FJ10&gt;=FP$27,FJ10&lt;&gt;""),AND(FO10&gt;=FP$27,FO10&lt;&gt;""),AND(GL10&gt;=GR$27,GL10&lt;&gt;""),AND(GQ10&gt;=GR$27,GQ10&lt;&gt;""),AND(HN10&gt;=HT$27,HN10&lt;&gt;""),AND(HS10&gt;=HT$27,HS10&lt;&gt;""),AND(IP10&gt;=IV$27,IP10&lt;&gt;""),AND(IU10&gt;=IV$27,IU10&lt;&gt;""),AND(JR10&gt;=JX$27,JR10&lt;&gt;""),AND(JW10&gt;=JX$27,JW10&lt;&gt;""),AND(KT10&gt;=KZ$27,KT10&lt;&gt;""),AND(KY10&gt;=KZ$27,KY10&lt;&gt;""),AND(LV10&gt;=MB$27,LV10&lt;&gt;""),AND(MA10&gt;=MB$27,MA10&lt;&gt;""),AND(MX10&gt;=ND$27,MX10&lt;&gt;""),AND(NC10&gt;=ND$27,NC10&lt;&gt;""),AND(NZ10&gt;=OF$27,NZ10&lt;&gt;""),AND(OE10&gt;=OF$27,OE10&lt;&gt;""),AND(PB10&gt;=PH$27,PB10&lt;&gt;""),AND(PG10&gt;=PH$27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48.899999999999991</v>
      </c>
      <c r="M10" s="8" t="str">
        <f>IF(L10=0,"",IF(L10=CE10,$BM$1,IF(L10=BI10,$AQ$1,IF(L10=AM10,$U$1,""))))</f>
        <v>2025 Elite Canada</v>
      </c>
      <c r="N10" s="8">
        <f>IF(COUNT(AM10,BI10,CE10)&gt;1,LARGE((AM10,BI10,CE10),2),0)</f>
        <v>24.449999999999996</v>
      </c>
      <c r="O10" s="8" t="str">
        <f>IF(N10=0,"",IF(AND(N10=L10,N10=AM10,N10=BI10),$U$1,IF(AND(N10=L10,N10=AM10,N10=CE10),$U$1,IF(AND(N10=L10,N10=BI10,N10=CE10),$AQ$1,IF(N10=CE10,$BM$1,IF(N10=BI10,$AQ$1,IF(N10=AM10,$U$1,"")))))))</f>
        <v>2025 3rd Domestic Trial</v>
      </c>
      <c r="P10" s="8">
        <f>IF(MAX(AO10,BK10,CG10)&gt;0,MAX(AO10,BK10,CG10),0)</f>
        <v>0</v>
      </c>
      <c r="Q10" s="8" t="str">
        <f>IF(P10=0,"",IF(P10=CG10,$BM$1,IF(P10=BK10,$AQ$1,IF(P10=AO10,$U$1,""))))</f>
        <v/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17.7</v>
      </c>
      <c r="V10" s="19">
        <v>6.5</v>
      </c>
      <c r="W10" s="19">
        <v>0</v>
      </c>
      <c r="X10" s="19">
        <v>0</v>
      </c>
      <c r="Y10" s="19">
        <v>17.399999999999999</v>
      </c>
      <c r="Z10" s="19">
        <v>7.3</v>
      </c>
      <c r="AA10" s="19">
        <v>0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27"/>
      <c r="AL10" s="40">
        <f>IF(SUM(V10,Z10)&gt;0,SUM(V10,Z10),"")</f>
        <v>13.8</v>
      </c>
      <c r="AM10" s="40">
        <f>IF(SUM(U10:V10,X10:Z10,AB10)-W10-AA10&gt;0,SUM(U10:V10,X10:Z10,AB10)-W10-AA10,"")</f>
        <v>48.899999999999991</v>
      </c>
      <c r="AN10" s="40" t="str">
        <f>IF(SUM(AD10,AH10)&gt;0,SUM(AD10,AH10),"")</f>
        <v/>
      </c>
      <c r="AO10" s="40" t="str">
        <f>IF(SUM(AC10:AD10,AF10:AH10,AJ10)-SUM(AE10,AI10)&gt;0,SUM(AC10:AD10,AF10:AH10,AJ10)-SUM(AE10,AI10),"")</f>
        <v/>
      </c>
      <c r="AP10" s="40">
        <f>IF(SUM(AM10,AO10)&gt;0,SUM(AM10,AO10),"")</f>
        <v>48.899999999999991</v>
      </c>
      <c r="AQ10" s="18">
        <v>8.85</v>
      </c>
      <c r="AR10" s="18">
        <v>3.25</v>
      </c>
      <c r="AS10" s="18">
        <v>0</v>
      </c>
      <c r="AT10" s="18">
        <v>0</v>
      </c>
      <c r="AU10" s="18">
        <v>8.6999999999999993</v>
      </c>
      <c r="AV10" s="18">
        <v>3.65</v>
      </c>
      <c r="AW10" s="18">
        <v>0</v>
      </c>
      <c r="AX10" s="18">
        <v>0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0</v>
      </c>
      <c r="BG10" s="28" t="s">
        <v>46</v>
      </c>
      <c r="BH10" s="11">
        <f>IF(SUM(AR10,AV10)&gt;0,SUM(AR10,AV10),"")</f>
        <v>6.9</v>
      </c>
      <c r="BI10" s="11">
        <f>IF(SUM(AQ10:AR10,AT10:AV10,AX10)-AS10-AW10&gt;0,SUM(AQ10:AR10,AT10:AV10,AX10)-AS10-AW10,"")</f>
        <v>24.449999999999996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24.449999999999996</v>
      </c>
      <c r="BM10" s="19">
        <v>8.85</v>
      </c>
      <c r="BN10" s="19">
        <v>3.25</v>
      </c>
      <c r="BO10" s="19">
        <v>0</v>
      </c>
      <c r="BP10" s="19">
        <v>0</v>
      </c>
      <c r="BQ10" s="19">
        <v>8.6999999999999993</v>
      </c>
      <c r="BR10" s="19">
        <v>3.65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19">
        <v>0</v>
      </c>
      <c r="CB10" s="19">
        <v>0</v>
      </c>
      <c r="CC10" s="27" t="s">
        <v>46</v>
      </c>
      <c r="CD10" s="40">
        <f>IF(SUM(BN10,BR10)&gt;0,SUM(BN10,BR10),"")</f>
        <v>6.9</v>
      </c>
      <c r="CE10" s="40">
        <f>IF(SUM(BM10:BN10,BP10:BR10,BT10)-BO10-BS10&gt;0,SUM(BM10:BN10,BP10:BR10,BT10)-BO10-BS10,"")</f>
        <v>24.449999999999996</v>
      </c>
      <c r="CF10" s="40" t="str">
        <f>IF(SUM(BV10,BZ10)&gt;0,SUM(BV10,BZ10),"")</f>
        <v/>
      </c>
      <c r="CG10" s="40" t="str">
        <f>IF(SUM(BU10:BV10,BX10:BZ10,CB10)-SUM(BW10,CA10)&gt;0,SUM(BU10:BV10,BX10:BZ10,CB10)-SUM(BW10,CA10),"")</f>
        <v/>
      </c>
      <c r="CH10" s="40">
        <f>IF(SUM(CE10,CG10)&gt;0,SUM(CE10,CG10),"")</f>
        <v>24.449999999999996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8.85</v>
      </c>
      <c r="PJ10" s="22">
        <f>IF($CC10="P",BN10,(BN10+AR10)/2)</f>
        <v>3.25</v>
      </c>
      <c r="PK10" s="22">
        <f>IF($CC10="P",BO10,(BO10+AS10)/2)</f>
        <v>0</v>
      </c>
      <c r="PL10" s="22">
        <f>IF($CC10="P",BP10,(BP10+AT10)/2)</f>
        <v>0</v>
      </c>
      <c r="PM10" s="22">
        <f>IF($CC10="P",BQ10,(BQ10+AU10)/2)</f>
        <v>8.6999999999999993</v>
      </c>
      <c r="PN10" s="22">
        <f>IF($CC10="P",BR10,(BR10+AV10)/2)</f>
        <v>3.65</v>
      </c>
      <c r="PO10" s="22">
        <f>IF($CC10="P",BS10,(BS10+AW10)/2)</f>
        <v>0</v>
      </c>
      <c r="PP10" s="22">
        <f>IF($CC10="P",BT10,(BT10+AX10)/2)</f>
        <v>0</v>
      </c>
      <c r="PQ10" s="22">
        <f>IF($CC10="P",BU10,(BU10+AY10)/2)</f>
        <v>0</v>
      </c>
      <c r="PR10" s="22">
        <f>IF($CC10="P",BV10,(BV10+AZ10)/2)</f>
        <v>0</v>
      </c>
      <c r="PS10" s="22">
        <f>IF($CC10="P",BW10,(BW10+BA10)/2)</f>
        <v>0</v>
      </c>
      <c r="PT10" s="22">
        <f>IF($CC10="P",BX10,(BX10+BB10)/2)</f>
        <v>0</v>
      </c>
      <c r="PU10" s="22">
        <f>IF($CC10="P",BY10,(BY10+BC10)/2)</f>
        <v>0</v>
      </c>
      <c r="PV10" s="22">
        <f>IF($CC10="P",BZ10,(BZ10+BD10)/2)</f>
        <v>0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6.9</v>
      </c>
      <c r="QA10" s="40">
        <f>IF(SUM(PI10:PJ10,PL10:PN10,PP10)-PK10-PO10&gt;0,SUM(PI10:PJ10,PL10:PN10,PP10)-PK10-PO10,"")</f>
        <v>24.449999999999996</v>
      </c>
      <c r="QB10" s="40" t="str">
        <f>IF(SUM(PR10,PV10)&gt;0,SUM(PR10,PV10),"")</f>
        <v/>
      </c>
      <c r="QC10" s="40" t="str">
        <f>IF(SUM(PQ10:PR10,PT10:PV10,PX10)-SUM(PS10,PW10)&gt;0,SUM(PQ10:PR10,PT10:PV10,PX10)-SUM(PS10,PW10),"")</f>
        <v/>
      </c>
      <c r="QD10" s="40">
        <f>IF(SUM(QA10,QC10)&gt;0,SUM(QA10,QC10),"")</f>
        <v>24.449999999999996</v>
      </c>
    </row>
    <row r="11" spans="1:446" x14ac:dyDescent="0.2">
      <c r="A11" s="4" t="str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/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157</v>
      </c>
      <c r="D11" s="4" t="s">
        <v>4</v>
      </c>
      <c r="E11" s="4">
        <v>2008</v>
      </c>
      <c r="F11" s="9">
        <f>SUM(L11:R11)+SUM(L11:O11)*0.0000001+SUM(L11)*0.0000000000001</f>
        <v>130.70000873000436</v>
      </c>
      <c r="G11" s="64"/>
      <c r="H11" s="3" t="str">
        <f>IF(OR(AND(AL11&gt;=AP$23,AM11&gt;=AP$27,AL11&lt;&gt;"",AK11=""),AND(AN11&gt;=AP$23,AO11&gt;=AP$27,AN11&lt;&gt;"",AK11=""),AND(BH11&gt;=BL$23,BI11&gt;=BL$27,BH11&lt;&gt;"",BG11=""),AND(BJ11&gt;=BL$23,BK11&gt;=BL$27,BJ11&lt;&gt;"",BG11=""),AND(CD11&gt;=CH$23,CE11&gt;=CH$27,CD11&lt;&gt;"",CC11=""),AND(CF11&gt;=CH$23,CG11&gt;=CH$27,CF11&lt;&gt;""),AND(DE11&gt;=DL$23,DF11&gt;=DL$27,DE11&lt;&gt;""),AND(DJ11&gt;=DL$23,DK11&gt;=DL$27,DJ11&lt;&gt;""),AND(EG11&gt;=EN$23,EH11&gt;=EN$27,EG11&lt;&gt;""),AND(EL11&gt;=EN$23,EM11&gt;=EN$27,EL11&lt;&gt;""),AND(FI11&gt;=FP$23,FJ11&gt;=FP$27,FI11&lt;&gt;""),AND(FN11&gt;=FP$23,FO11&gt;=FP$27,FN11&lt;&gt;""),AND(GK11&gt;=GR$23,GL11&gt;=GR$27,GK11&lt;&gt;""),AND(GP11&gt;=GR$23,GQ11&gt;=GR$27,GP11&lt;&gt;""),AND(HM11&gt;=HT$23,HN11&gt;=HT$27,HM11&lt;&gt;""),AND(HR11&gt;=HT$23,HS11&gt;=HT$27,HR11&lt;&gt;""),AND(IO11&gt;=IV$23,IP11&gt;=IV$27,IO11&lt;&gt;""),AND(IT11&gt;=IV$23,IU11&gt;=IV$27,IT11&lt;&gt;""),AND(JQ11&gt;=JX$23,JR11&gt;=JX$27,JQ11&lt;&gt;""),AND(JV11&gt;=JX$23,JW11&gt;=JX$27,JV11&lt;&gt;""),AND(KS11&gt;=KZ$23,KT11&gt;=KZ$27,KS11&lt;&gt;""),AND(KX11&gt;=KZ$23,KY11&gt;=KZ$27,KX11&lt;&gt;""),AND(LU11&gt;=MB$23,LV11&gt;=MB$27,LU11&lt;&gt;""),AND(LZ11&gt;=MB$23,MA11&gt;=MB$27,LZ11&lt;&gt;""),AND(MW11&gt;=ND$23,MX11&gt;=ND$27,MW11&lt;&gt;""),AND(NB11&gt;=ND$23,NC11&gt;=ND$27,NB11&lt;&gt;""),AND(NY11&gt;=OF$23,NZ11&gt;=OF$27,NY11&lt;&gt;""),AND(OD11&gt;=OF$23,OE11&gt;=OF$27,OD11&lt;&gt;""),AND(PA11&gt;=PH$23,PB11&gt;=PH$27,PA11&lt;&gt;""),AND(PF11&gt;=PH$23,PG11&gt;=PH$27,PF11&lt;&gt;"")),"P","")</f>
        <v/>
      </c>
      <c r="I11" s="3" t="str">
        <f>IF(OR(AND(AM11&gt;=AP$27,AM11&lt;&gt;"",AK11=""),AND(AO11&gt;=AP$27,AO11&lt;&gt;"",AK11=""),AND(BI11&gt;=BL$27,BI11&lt;&gt;"",BG11=""),AND(BK11&gt;=BL$27,BK11&lt;&gt;"",BG11=""),AND(CE11&gt;=CH$27,CE11&lt;&gt;"",CC11=""),AND(CG11&gt;=CH$27,CG11&lt;&gt;"",CC11=""),AND(DF11&gt;=DL$27,DF11&lt;&gt;""),AND(DK11&gt;=DL$27,DK11&lt;&gt;""),AND(EH11&gt;=EN$27,EH11&lt;&gt;""),AND(EM11&gt;=EN$27,EM11&lt;&gt;""),AND(FJ11&gt;=FP$27,FJ11&lt;&gt;""),AND(FO11&gt;=FP$27,FO11&lt;&gt;""),AND(GL11&gt;=GR$27,GL11&lt;&gt;""),AND(GQ11&gt;=GR$27,GQ11&lt;&gt;""),AND(HN11&gt;=HT$27,HN11&lt;&gt;""),AND(HS11&gt;=HT$27,HS11&lt;&gt;""),AND(IP11&gt;=IV$27,IP11&lt;&gt;""),AND(IU11&gt;=IV$27,IU11&lt;&gt;""),AND(JR11&gt;=JX$27,JR11&lt;&gt;""),AND(JW11&gt;=JX$27,JW11&lt;&gt;""),AND(KT11&gt;=KZ$27,KT11&lt;&gt;""),AND(KY11&gt;=KZ$27,KY11&lt;&gt;""),AND(LV11&gt;=MB$27,LV11&lt;&gt;""),AND(MA11&gt;=MB$27,MA11&lt;&gt;""),AND(MX11&gt;=ND$27,MX11&lt;&gt;""),AND(NC11&gt;=ND$27,NC11&lt;&gt;""),AND(NZ11&gt;=OF$27,NZ11&lt;&gt;""),AND(OE11&gt;=OF$27,OE11&lt;&gt;""),AND(PB11&gt;=PH$27,PB11&lt;&gt;""),AND(PG11&gt;=PH$27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43.8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43.5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43.4</v>
      </c>
      <c r="Q11" s="8" t="str">
        <f>IF(P11=0,"",IF(P11=CG11,$BM$1,IF(P11=BK11,$AQ$1,IF(P11=AO11,$U$1,""))))</f>
        <v>2025 Nationals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16.3</v>
      </c>
      <c r="V11" s="19">
        <v>5.4</v>
      </c>
      <c r="W11" s="19">
        <v>0</v>
      </c>
      <c r="X11" s="19">
        <v>0</v>
      </c>
      <c r="Y11" s="19">
        <v>15.5</v>
      </c>
      <c r="Z11" s="19">
        <v>6.3</v>
      </c>
      <c r="AA11" s="19">
        <v>0</v>
      </c>
      <c r="AB11" s="19">
        <v>0</v>
      </c>
      <c r="AC11" s="19">
        <v>15.3</v>
      </c>
      <c r="AD11" s="19">
        <v>5.4</v>
      </c>
      <c r="AE11" s="19">
        <v>0</v>
      </c>
      <c r="AF11" s="19">
        <v>0</v>
      </c>
      <c r="AG11" s="19">
        <v>15</v>
      </c>
      <c r="AH11" s="19">
        <v>6.3</v>
      </c>
      <c r="AI11" s="19">
        <v>0</v>
      </c>
      <c r="AJ11" s="19">
        <v>0</v>
      </c>
      <c r="AK11" s="27"/>
      <c r="AL11" s="40">
        <f>IF(SUM(V11,Z11)&gt;0,SUM(V11,Z11),"")</f>
        <v>11.7</v>
      </c>
      <c r="AM11" s="40">
        <f>IF(SUM(U11:V11,X11:Z11,AB11)-W11-AA11&gt;0,SUM(U11:V11,X11:Z11,AB11)-W11-AA11,"")</f>
        <v>43.5</v>
      </c>
      <c r="AN11" s="40">
        <f>IF(SUM(AD11,AH11)&gt;0,SUM(AD11,AH11),"")</f>
        <v>11.7</v>
      </c>
      <c r="AO11" s="40">
        <f>IF(SUM(AC11:AD11,AF11:AH11,AJ11)-SUM(AE11,AI11)&gt;0,SUM(AC11:AD11,AF11:AH11,AJ11)-SUM(AE11,AI11),"")</f>
        <v>42</v>
      </c>
      <c r="AP11" s="40">
        <f>IF(SUM(AM11,AO11)&gt;0,SUM(AM11,AO11),"")</f>
        <v>85.5</v>
      </c>
      <c r="AQ11" s="18">
        <v>15.9</v>
      </c>
      <c r="AR11" s="18">
        <v>5.4</v>
      </c>
      <c r="AS11" s="18">
        <v>0</v>
      </c>
      <c r="AT11" s="18">
        <v>0</v>
      </c>
      <c r="AU11" s="18">
        <v>16.2</v>
      </c>
      <c r="AV11" s="18">
        <v>6.3</v>
      </c>
      <c r="AW11" s="18">
        <v>0</v>
      </c>
      <c r="AX11" s="18">
        <v>0</v>
      </c>
      <c r="AY11" s="18">
        <v>15.2</v>
      </c>
      <c r="AZ11" s="18">
        <v>6.5</v>
      </c>
      <c r="BA11" s="18">
        <v>0.4</v>
      </c>
      <c r="BB11" s="18">
        <v>0.7</v>
      </c>
      <c r="BC11" s="18">
        <v>15.3</v>
      </c>
      <c r="BD11" s="18">
        <v>6.3</v>
      </c>
      <c r="BE11" s="18">
        <v>0.2</v>
      </c>
      <c r="BF11" s="18">
        <v>0</v>
      </c>
      <c r="BG11" s="28"/>
      <c r="BH11" s="11">
        <f>IF(SUM(AR11,AV11)&gt;0,SUM(AR11,AV11),"")</f>
        <v>11.7</v>
      </c>
      <c r="BI11" s="11">
        <f>IF(SUM(AQ11:AR11,AT11:AV11,AX11)-AS11-AW11&gt;0,SUM(AQ11:AR11,AT11:AV11,AX11)-AS11-AW11,"")</f>
        <v>43.8</v>
      </c>
      <c r="BJ11" s="11">
        <f>IF(SUM(AZ11,BD11)&gt;0,SUM(AZ11,BD11),"")</f>
        <v>12.8</v>
      </c>
      <c r="BK11" s="11">
        <f>IF(SUM(AY11:AZ11,BB11:BD11,BF11)-SUM(BA11,BE11)&gt;0,SUM(AY11:AZ11,BB11:BD11,BF11)-SUM(BA11,BE11),"")</f>
        <v>43.4</v>
      </c>
      <c r="BL11" s="11">
        <f>IF(SUM(BI11,BK11)&gt;0,SUM(BI11,BK11),"")</f>
        <v>87.199999999999989</v>
      </c>
      <c r="BM11" s="19">
        <v>15.9</v>
      </c>
      <c r="BN11" s="19">
        <v>5.4</v>
      </c>
      <c r="BO11" s="19">
        <v>0</v>
      </c>
      <c r="BP11" s="19">
        <v>0</v>
      </c>
      <c r="BQ11" s="19">
        <v>13.7</v>
      </c>
      <c r="BR11" s="19">
        <v>6.3</v>
      </c>
      <c r="BS11" s="19">
        <v>0</v>
      </c>
      <c r="BT11" s="19">
        <v>0</v>
      </c>
      <c r="BU11" s="19">
        <v>15.6</v>
      </c>
      <c r="BV11" s="19">
        <v>5.4</v>
      </c>
      <c r="BW11" s="19">
        <v>0</v>
      </c>
      <c r="BX11" s="19">
        <v>0</v>
      </c>
      <c r="BY11" s="19">
        <v>15.3</v>
      </c>
      <c r="BZ11" s="19">
        <v>6.3</v>
      </c>
      <c r="CA11" s="19">
        <v>0</v>
      </c>
      <c r="CB11" s="19">
        <v>0</v>
      </c>
      <c r="CC11" s="27"/>
      <c r="CD11" s="40">
        <f>IF(SUM(BN11,BR11)&gt;0,SUM(BN11,BR11),"")</f>
        <v>11.7</v>
      </c>
      <c r="CE11" s="40">
        <f>IF(SUM(BM11:BN11,BP11:BR11,BT11)-BO11-BS11&gt;0,SUM(BM11:BN11,BP11:BR11,BT11)-BO11-BS11,"")</f>
        <v>41.3</v>
      </c>
      <c r="CF11" s="40">
        <f>IF(SUM(BV11,BZ11)&gt;0,SUM(BV11,BZ11),"")</f>
        <v>11.7</v>
      </c>
      <c r="CG11" s="40">
        <f>IF(SUM(BU11:BV11,BX11:BZ11,CB11)-SUM(BW11,CA11)&gt;0,SUM(BU11:BV11,BX11:BZ11,CB11)-SUM(BW11,CA11),"")</f>
        <v>42.599999999999994</v>
      </c>
      <c r="CH11" s="40">
        <f>IF(SUM(CE11,CG11)&gt;0,SUM(CE11,CG11),"")</f>
        <v>83.899999999999991</v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>
        <v>16</v>
      </c>
      <c r="FR11" s="18">
        <v>5.4</v>
      </c>
      <c r="FS11" s="18">
        <v>0</v>
      </c>
      <c r="FT11" s="18">
        <v>0</v>
      </c>
      <c r="FU11" s="18">
        <v>15.6</v>
      </c>
      <c r="FV11" s="18">
        <v>4.0999999999999996</v>
      </c>
      <c r="FW11" s="18">
        <v>0</v>
      </c>
      <c r="FX11" s="18">
        <v>0</v>
      </c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>
        <f>IF(SUM(FR11,FV11)&gt;0,SUM(FR11,FV11),"")</f>
        <v>9.5</v>
      </c>
      <c r="GL11" s="11">
        <f>IF(SUM(FQ11:FR11,FT11:FV11,FX11)-FS11-FW11&gt;0,SUM(FQ11:FR11,FT11:FV11,FX11)-FS11-FW11,"")</f>
        <v>41.1</v>
      </c>
      <c r="GM11" s="11" t="str">
        <f>IF(SUM(FY11:FZ11,GB11)-GA11&gt;0,SUM(FY11:FZ11,GB11)-GA11,"")</f>
        <v/>
      </c>
      <c r="GN11" s="11">
        <f>IF(SUM(FR11,FV11,FZ11)&gt;0,SUM(FR11,FV11,FZ11),"")</f>
        <v>9.5</v>
      </c>
      <c r="GO11" s="11">
        <f>IF(SUM(GL11,GM11)&gt;0,SUM(GL11,GM11),"")</f>
        <v>41.1</v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>
        <f>IF(SUM(GL11,GM11,GQ11)&gt;0,SUM(GL11,GM11,GQ11),"")</f>
        <v>41.1</v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15.9</v>
      </c>
      <c r="PJ11" s="22">
        <f>IF($CC11="P",BN11,(BN11+AR11)/2)</f>
        <v>5.4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14.95</v>
      </c>
      <c r="PN11" s="22">
        <f>IF($CC11="P",BR11,(BR11+AV11)/2)</f>
        <v>6.3</v>
      </c>
      <c r="PO11" s="22">
        <f>IF($CC11="P",BS11,(BS11+AW11)/2)</f>
        <v>0</v>
      </c>
      <c r="PP11" s="22">
        <f>IF($CC11="P",BT11,(BT11+AX11)/2)</f>
        <v>0</v>
      </c>
      <c r="PQ11" s="22">
        <f>IF($CC11="P",BU11,(BU11+AY11)/2)</f>
        <v>15.399999999999999</v>
      </c>
      <c r="PR11" s="22">
        <f>IF($CC11="P",BV11,(BV11+AZ11)/2)</f>
        <v>5.95</v>
      </c>
      <c r="PS11" s="22">
        <f>IF($CC11="P",BW11,(BW11+BA11)/2)</f>
        <v>0.2</v>
      </c>
      <c r="PT11" s="22">
        <f>IF($CC11="P",BX11,(BX11+BB11)/2)</f>
        <v>0.35</v>
      </c>
      <c r="PU11" s="22">
        <f>IF($CC11="P",BY11,(BY11+BC11)/2)</f>
        <v>15.3</v>
      </c>
      <c r="PV11" s="22">
        <f>IF($CC11="P",BZ11,(BZ11+BD11)/2)</f>
        <v>6.3</v>
      </c>
      <c r="PW11" s="22">
        <f>IF($CC11="P",CA11,(CA11+BE11)/2)</f>
        <v>0.1</v>
      </c>
      <c r="PX11" s="22">
        <f>IF($CC11="P",CB11,(CB11+BF11)/2)</f>
        <v>0</v>
      </c>
      <c r="PY11" s="27" t="s">
        <v>46</v>
      </c>
      <c r="PZ11" s="40">
        <f>IF(SUM(PJ11,PN11)&gt;0,SUM(PJ11,PN11),"")</f>
        <v>11.7</v>
      </c>
      <c r="QA11" s="40">
        <f>IF(SUM(PI11:PJ11,PL11:PN11,PP11)-PK11-PO11&gt;0,SUM(PI11:PJ11,PL11:PN11,PP11)-PK11-PO11,"")</f>
        <v>42.55</v>
      </c>
      <c r="QB11" s="40">
        <f>IF(SUM(PR11,PV11)&gt;0,SUM(PR11,PV11),"")</f>
        <v>12.25</v>
      </c>
      <c r="QC11" s="40">
        <f>IF(SUM(PQ11:PR11,PT11:PV11,PX11)-SUM(PS11,PW11)&gt;0,SUM(PQ11:PR11,PT11:PV11,PX11)-SUM(PS11,PW11),"")</f>
        <v>43</v>
      </c>
      <c r="QD11" s="40">
        <f>IF(SUM(QA11,QC11)&gt;0,SUM(QA11,QC11),"")</f>
        <v>85.55</v>
      </c>
    </row>
    <row r="12" spans="1:446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129</v>
      </c>
      <c r="D12" s="4" t="s">
        <v>5</v>
      </c>
      <c r="E12" s="4">
        <v>2007</v>
      </c>
      <c r="F12" s="9">
        <f>SUM(L12:R12)+SUM(L12:O12)*0.0000001+SUM(L12)*0.0000000000001</f>
        <v>129.0000085400043</v>
      </c>
      <c r="G12" s="64"/>
      <c r="H12" s="3" t="str">
        <f>IF(OR(AND(AL12&gt;=AP$23,AM12&gt;=AP$27,AL12&lt;&gt;"",AK12=""),AND(AN12&gt;=AP$23,AO12&gt;=AP$27,AN12&lt;&gt;"",AK12=""),AND(BH12&gt;=BL$23,BI12&gt;=BL$27,BH12&lt;&gt;"",BG12=""),AND(BJ12&gt;=BL$23,BK12&gt;=BL$27,BJ12&lt;&gt;"",BG12=""),AND(CD12&gt;=CH$23,CE12&gt;=CH$27,CD12&lt;&gt;"",CC12=""),AND(CF12&gt;=CH$23,CG12&gt;=CH$27,CF12&lt;&gt;""),AND(DE12&gt;=DL$23,DF12&gt;=DL$27,DE12&lt;&gt;""),AND(DJ12&gt;=DL$23,DK12&gt;=DL$27,DJ12&lt;&gt;""),AND(EG12&gt;=EN$23,EH12&gt;=EN$27,EG12&lt;&gt;""),AND(EL12&gt;=EN$23,EM12&gt;=EN$27,EL12&lt;&gt;""),AND(FI12&gt;=FP$23,FJ12&gt;=FP$27,FI12&lt;&gt;""),AND(FN12&gt;=FP$23,FO12&gt;=FP$27,FN12&lt;&gt;""),AND(GK12&gt;=GR$23,GL12&gt;=GR$27,GK12&lt;&gt;""),AND(GP12&gt;=GR$23,GQ12&gt;=GR$27,GP12&lt;&gt;""),AND(HM12&gt;=HT$23,HN12&gt;=HT$27,HM12&lt;&gt;""),AND(HR12&gt;=HT$23,HS12&gt;=HT$27,HR12&lt;&gt;""),AND(IO12&gt;=IV$23,IP12&gt;=IV$27,IO12&lt;&gt;""),AND(IT12&gt;=IV$23,IU12&gt;=IV$27,IT12&lt;&gt;""),AND(JQ12&gt;=JX$23,JR12&gt;=JX$27,JQ12&lt;&gt;""),AND(JV12&gt;=JX$23,JW12&gt;=JX$27,JV12&lt;&gt;""),AND(KS12&gt;=KZ$23,KT12&gt;=KZ$27,KS12&lt;&gt;""),AND(KX12&gt;=KZ$23,KY12&gt;=KZ$27,KX12&lt;&gt;""),AND(LU12&gt;=MB$23,LV12&gt;=MB$27,LU12&lt;&gt;""),AND(LZ12&gt;=MB$23,MA12&gt;=MB$27,LZ12&lt;&gt;""),AND(MW12&gt;=ND$23,MX12&gt;=ND$27,MW12&lt;&gt;""),AND(NB12&gt;=ND$23,NC12&gt;=ND$27,NB12&lt;&gt;""),AND(NY12&gt;=OF$23,NZ12&gt;=OF$27,NY12&lt;&gt;""),AND(OD12&gt;=OF$23,OE12&gt;=OF$27,OD12&lt;&gt;""),AND(PA12&gt;=PH$23,PB12&gt;=PH$27,PA12&lt;&gt;""),AND(PF12&gt;=PH$23,PG12&gt;=PH$27,PF12&lt;&gt;"")),"P","")</f>
        <v/>
      </c>
      <c r="I12" s="3" t="str">
        <f>IF(OR(AND(AM12&gt;=AP$27,AM12&lt;&gt;"",AK12=""),AND(AO12&gt;=AP$27,AO12&lt;&gt;"",AK12=""),AND(BI12&gt;=BL$27,BI12&lt;&gt;"",BG12=""),AND(BK12&gt;=BL$27,BK12&lt;&gt;"",BG12=""),AND(CE12&gt;=CH$27,CE12&lt;&gt;"",CC12=""),AND(CG12&gt;=CH$27,CG12&lt;&gt;"",CC12=""),AND(DF12&gt;=DL$27,DF12&lt;&gt;""),AND(DK12&gt;=DL$27,DK12&lt;&gt;""),AND(EH12&gt;=EN$27,EH12&lt;&gt;""),AND(EM12&gt;=EN$27,EM12&lt;&gt;""),AND(FJ12&gt;=FP$27,FJ12&lt;&gt;""),AND(FO12&gt;=FP$27,FO12&lt;&gt;""),AND(GL12&gt;=GR$27,GL12&lt;&gt;""),AND(GQ12&gt;=GR$27,GQ12&lt;&gt;""),AND(HN12&gt;=HT$27,HN12&lt;&gt;""),AND(HS12&gt;=HT$27,HS12&lt;&gt;""),AND(IP12&gt;=IV$27,IP12&lt;&gt;""),AND(IU12&gt;=IV$27,IU12&lt;&gt;""),AND(JR12&gt;=JX$27,JR12&lt;&gt;""),AND(JW12&gt;=JX$27,JW12&lt;&gt;""),AND(KT12&gt;=KZ$27,KT12&lt;&gt;""),AND(KY12&gt;=KZ$27,KY12&lt;&gt;""),AND(LV12&gt;=MB$27,LV12&lt;&gt;""),AND(MA12&gt;=MB$27,MA12&lt;&gt;""),AND(MX12&gt;=ND$27,MX12&lt;&gt;""),AND(NC12&gt;=ND$27,NC12&lt;&gt;""),AND(NZ12&gt;=OF$27,NZ12&lt;&gt;""),AND(OE12&gt;=OF$27,OE12&lt;&gt;""),AND(PB12&gt;=PH$27,PB12&lt;&gt;""),AND(PG12&gt;=PH$27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42.70000000000001</v>
      </c>
      <c r="M12" s="8" t="str">
        <f>IF(L12=0,"",IF(L12=CE12,$BM$1,IF(L12=BI12,$AQ$1,IF(L12=AM12,$U$1,""))))</f>
        <v>2025 Nationals</v>
      </c>
      <c r="N12" s="8">
        <f>IF(COUNT(AM12,BI12,CE12)&gt;1,LARGE((AM12,BI12,CE12),2),0)</f>
        <v>42.70000000000001</v>
      </c>
      <c r="O12" s="8" t="str">
        <f>IF(N12=0,"",IF(AND(N12=L12,N12=AM12,N12=BI12),$U$1,IF(AND(N12=L12,N12=AM12,N12=CE12),$U$1,IF(AND(N12=L12,N12=BI12,N12=CE12),$AQ$1,IF(N12=CE12,$BM$1,IF(N12=BI12,$AQ$1,IF(N12=AM12,$U$1,"")))))))</f>
        <v>2025 Elite Canada</v>
      </c>
      <c r="P12" s="8">
        <f>IF(MAX(AO12,BK12,CG12)&gt;0,MAX(AO12,BK12,CG12),0)</f>
        <v>43.600000000000009</v>
      </c>
      <c r="Q12" s="8" t="str">
        <f>IF(P12=0,"",IF(P12=CG12,$BM$1,IF(P12=BK12,$AQ$1,IF(P12=AO12,$U$1,""))))</f>
        <v>2025 Nationals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16.100000000000001</v>
      </c>
      <c r="V12" s="19">
        <v>4</v>
      </c>
      <c r="W12" s="19">
        <v>0</v>
      </c>
      <c r="X12" s="19">
        <v>0.7</v>
      </c>
      <c r="Y12" s="19">
        <v>16.100000000000001</v>
      </c>
      <c r="Z12" s="19">
        <v>5.0999999999999996</v>
      </c>
      <c r="AA12" s="19">
        <v>0</v>
      </c>
      <c r="AB12" s="19">
        <v>0.7</v>
      </c>
      <c r="AC12" s="19">
        <v>15.2</v>
      </c>
      <c r="AD12" s="19">
        <v>4.0999999999999996</v>
      </c>
      <c r="AE12" s="19">
        <v>0</v>
      </c>
      <c r="AF12" s="19">
        <v>0</v>
      </c>
      <c r="AG12" s="19">
        <v>16.100000000000001</v>
      </c>
      <c r="AH12" s="19">
        <v>3.2</v>
      </c>
      <c r="AI12" s="19">
        <v>0.7</v>
      </c>
      <c r="AJ12" s="19">
        <v>0</v>
      </c>
      <c r="AK12" s="27"/>
      <c r="AL12" s="40">
        <f>IF(SUM(V12,Z12)&gt;0,SUM(V12,Z12),"")</f>
        <v>9.1</v>
      </c>
      <c r="AM12" s="40">
        <f>IF(SUM(U12:V12,X12:Z12,AB12)-W12-AA12&gt;0,SUM(U12:V12,X12:Z12,AB12)-W12-AA12,"")</f>
        <v>42.70000000000001</v>
      </c>
      <c r="AN12" s="40">
        <f>IF(SUM(AD12,AH12)&gt;0,SUM(AD12,AH12),"")</f>
        <v>7.3</v>
      </c>
      <c r="AO12" s="40">
        <f>IF(SUM(AC12:AD12,AF12:AH12,AJ12)-SUM(AE12,AI12)&gt;0,SUM(AC12:AD12,AF12:AH12,AJ12)-SUM(AE12,AI12),"")</f>
        <v>37.9</v>
      </c>
      <c r="AP12" s="40">
        <f>IF(SUM(AM12,AO12)&gt;0,SUM(AM12,AO12),"")</f>
        <v>80.600000000000009</v>
      </c>
      <c r="AQ12" s="18">
        <v>16.100000000000001</v>
      </c>
      <c r="AR12" s="18">
        <v>3.3</v>
      </c>
      <c r="AS12" s="18">
        <v>0</v>
      </c>
      <c r="AT12" s="18">
        <v>0.7</v>
      </c>
      <c r="AU12" s="18">
        <v>16.8</v>
      </c>
      <c r="AV12" s="18">
        <v>5.0999999999999996</v>
      </c>
      <c r="AW12" s="18">
        <v>0</v>
      </c>
      <c r="AX12" s="18">
        <v>0.7</v>
      </c>
      <c r="AY12" s="18">
        <v>15.9</v>
      </c>
      <c r="AZ12" s="18">
        <v>5.0999999999999996</v>
      </c>
      <c r="BA12" s="18">
        <v>0</v>
      </c>
      <c r="BB12" s="18">
        <v>0.7</v>
      </c>
      <c r="BC12" s="18">
        <v>17</v>
      </c>
      <c r="BD12" s="18">
        <v>4.2</v>
      </c>
      <c r="BE12" s="18">
        <v>0</v>
      </c>
      <c r="BF12" s="18">
        <v>0.7</v>
      </c>
      <c r="BG12" s="28"/>
      <c r="BH12" s="11">
        <f>IF(SUM(AR12,AV12)&gt;0,SUM(AR12,AV12),"")</f>
        <v>8.3999999999999986</v>
      </c>
      <c r="BI12" s="11">
        <f>IF(SUM(AQ12:AR12,AT12:AV12,AX12)-AS12-AW12&gt;0,SUM(AQ12:AR12,AT12:AV12,AX12)-AS12-AW12,"")</f>
        <v>42.70000000000001</v>
      </c>
      <c r="BJ12" s="11">
        <f>IF(SUM(AZ12,BD12)&gt;0,SUM(AZ12,BD12),"")</f>
        <v>9.3000000000000007</v>
      </c>
      <c r="BK12" s="11">
        <f>IF(SUM(AY12:AZ12,BB12:BD12,BF12)-SUM(BA12,BE12)&gt;0,SUM(AY12:AZ12,BB12:BD12,BF12)-SUM(BA12,BE12),"")</f>
        <v>43.600000000000009</v>
      </c>
      <c r="BL12" s="11">
        <f>IF(SUM(BI12,BK12)&gt;0,SUM(BI12,BK12),"")</f>
        <v>86.300000000000011</v>
      </c>
      <c r="BM12" s="19">
        <v>15.9</v>
      </c>
      <c r="BN12" s="19">
        <v>5.5</v>
      </c>
      <c r="BO12" s="19">
        <v>0.2</v>
      </c>
      <c r="BP12" s="19">
        <v>0.7</v>
      </c>
      <c r="BQ12" s="19">
        <v>15.1</v>
      </c>
      <c r="BR12" s="19">
        <v>3.7</v>
      </c>
      <c r="BS12" s="19">
        <v>0.2</v>
      </c>
      <c r="BT12" s="19">
        <v>0.7</v>
      </c>
      <c r="BU12" s="19">
        <v>15.8</v>
      </c>
      <c r="BV12" s="19">
        <v>3.3</v>
      </c>
      <c r="BW12" s="19">
        <v>0.2</v>
      </c>
      <c r="BX12" s="19">
        <v>0.7</v>
      </c>
      <c r="BY12" s="19">
        <v>15.6</v>
      </c>
      <c r="BZ12" s="19">
        <v>5.5</v>
      </c>
      <c r="CA12" s="19">
        <v>0.2</v>
      </c>
      <c r="CB12" s="19">
        <v>0.7</v>
      </c>
      <c r="CC12" s="27"/>
      <c r="CD12" s="40">
        <f>IF(SUM(BN12,BR12)&gt;0,SUM(BN12,BR12),"")</f>
        <v>9.1999999999999993</v>
      </c>
      <c r="CE12" s="40">
        <f>IF(SUM(BM12:BN12,BP12:BR12,BT12)-BO12-BS12&gt;0,SUM(BM12:BN12,BP12:BR12,BT12)-BO12-BS12,"")</f>
        <v>41.199999999999996</v>
      </c>
      <c r="CF12" s="40">
        <f>IF(SUM(BV12,BZ12)&gt;0,SUM(BV12,BZ12),"")</f>
        <v>8.8000000000000007</v>
      </c>
      <c r="CG12" s="40">
        <f>IF(SUM(BU12:BV12,BX12:BZ12,CB12)-SUM(BW12,CA12)&gt;0,SUM(BU12:BV12,BX12:BZ12,CB12)-SUM(BW12,CA12),"")</f>
        <v>41.2</v>
      </c>
      <c r="CH12" s="40">
        <f>IF(SUM(CE12,CG12)&gt;0,SUM(CE12,CG12),"")</f>
        <v>82.4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16</v>
      </c>
      <c r="PJ12" s="22">
        <f>IF($CC12="P",BN12,(BN12+AR12)/2)</f>
        <v>4.4000000000000004</v>
      </c>
      <c r="PK12" s="22">
        <f>IF($CC12="P",BO12,(BO12+AS12)/2)</f>
        <v>0.1</v>
      </c>
      <c r="PL12" s="22">
        <f>IF($CC12="P",BP12,(BP12+AT12)/2)</f>
        <v>0.7</v>
      </c>
      <c r="PM12" s="22">
        <f>IF($CC12="P",BQ12,(BQ12+AU12)/2)</f>
        <v>15.95</v>
      </c>
      <c r="PN12" s="22">
        <f>IF($CC12="P",BR12,(BR12+AV12)/2)</f>
        <v>4.4000000000000004</v>
      </c>
      <c r="PO12" s="22">
        <f>IF($CC12="P",BS12,(BS12+AW12)/2)</f>
        <v>0.1</v>
      </c>
      <c r="PP12" s="22">
        <f>IF($CC12="P",BT12,(BT12+AX12)/2)</f>
        <v>0.7</v>
      </c>
      <c r="PQ12" s="22">
        <f>IF($CC12="P",BU12,(BU12+AY12)/2)</f>
        <v>15.850000000000001</v>
      </c>
      <c r="PR12" s="22">
        <f>IF($CC12="P",BV12,(BV12+AZ12)/2)</f>
        <v>4.1999999999999993</v>
      </c>
      <c r="PS12" s="22">
        <f>IF($CC12="P",BW12,(BW12+BA12)/2)</f>
        <v>0.1</v>
      </c>
      <c r="PT12" s="22">
        <f>IF($CC12="P",BX12,(BX12+BB12)/2)</f>
        <v>0.7</v>
      </c>
      <c r="PU12" s="22">
        <f>IF($CC12="P",BY12,(BY12+BC12)/2)</f>
        <v>16.3</v>
      </c>
      <c r="PV12" s="22">
        <f>IF($CC12="P",BZ12,(BZ12+BD12)/2)</f>
        <v>4.8499999999999996</v>
      </c>
      <c r="PW12" s="22">
        <f>IF($CC12="P",CA12,(CA12+BE12)/2)</f>
        <v>0.1</v>
      </c>
      <c r="PX12" s="22">
        <f>IF($CC12="P",CB12,(CB12+BF12)/2)</f>
        <v>0.7</v>
      </c>
      <c r="PY12" s="27" t="s">
        <v>46</v>
      </c>
      <c r="PZ12" s="40">
        <f>IF(SUM(PJ12,PN12)&gt;0,SUM(PJ12,PN12),"")</f>
        <v>8.8000000000000007</v>
      </c>
      <c r="QA12" s="40">
        <f>IF(SUM(PI12:PJ12,PL12:PN12,PP12)-PK12-PO12&gt;0,SUM(PI12:PJ12,PL12:PN12,PP12)-PK12-PO12,"")</f>
        <v>41.949999999999996</v>
      </c>
      <c r="QB12" s="40">
        <f>IF(SUM(PR12,PV12)&gt;0,SUM(PR12,PV12),"")</f>
        <v>9.0499999999999989</v>
      </c>
      <c r="QC12" s="40">
        <f>IF(SUM(PQ12:PR12,PT12:PV12,PX12)-SUM(PS12,PW12)&gt;0,SUM(PQ12:PR12,PT12:PV12,PX12)-SUM(PS12,PW12),"")</f>
        <v>42.4</v>
      </c>
      <c r="QD12" s="40">
        <f>IF(SUM(QA12,QC12)&gt;0,SUM(QA12,QC12),"")</f>
        <v>84.35</v>
      </c>
    </row>
    <row r="13" spans="1:446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138</v>
      </c>
      <c r="D13" s="4" t="s">
        <v>3</v>
      </c>
      <c r="E13" s="4">
        <v>2007</v>
      </c>
      <c r="F13" s="9">
        <f>SUM(L13:R13)+SUM(L13:O13)*0.0000001+SUM(L13)*0.0000000000001</f>
        <v>126.4000083300043</v>
      </c>
      <c r="G13" s="64"/>
      <c r="H13" s="3" t="str">
        <f>IF(OR(AND(AL13&gt;=AP$23,AM13&gt;=AP$27,AL13&lt;&gt;"",AK13=""),AND(AN13&gt;=AP$23,AO13&gt;=AP$27,AN13&lt;&gt;"",AK13=""),AND(BH13&gt;=BL$23,BI13&gt;=BL$27,BH13&lt;&gt;"",BG13=""),AND(BJ13&gt;=BL$23,BK13&gt;=BL$27,BJ13&lt;&gt;"",BG13=""),AND(CD13&gt;=CH$23,CE13&gt;=CH$27,CD13&lt;&gt;"",CC13=""),AND(CF13&gt;=CH$23,CG13&gt;=CH$27,CF13&lt;&gt;""),AND(DE13&gt;=DL$23,DF13&gt;=DL$27,DE13&lt;&gt;""),AND(DJ13&gt;=DL$23,DK13&gt;=DL$27,DJ13&lt;&gt;""),AND(EG13&gt;=EN$23,EH13&gt;=EN$27,EG13&lt;&gt;""),AND(EL13&gt;=EN$23,EM13&gt;=EN$27,EL13&lt;&gt;""),AND(FI13&gt;=FP$23,FJ13&gt;=FP$27,FI13&lt;&gt;""),AND(FN13&gt;=FP$23,FO13&gt;=FP$27,FN13&lt;&gt;""),AND(GK13&gt;=GR$23,GL13&gt;=GR$27,GK13&lt;&gt;""),AND(GP13&gt;=GR$23,GQ13&gt;=GR$27,GP13&lt;&gt;""),AND(HM13&gt;=HT$23,HN13&gt;=HT$27,HM13&lt;&gt;""),AND(HR13&gt;=HT$23,HS13&gt;=HT$27,HR13&lt;&gt;""),AND(IO13&gt;=IV$23,IP13&gt;=IV$27,IO13&lt;&gt;""),AND(IT13&gt;=IV$23,IU13&gt;=IV$27,IT13&lt;&gt;""),AND(JQ13&gt;=JX$23,JR13&gt;=JX$27,JQ13&lt;&gt;""),AND(JV13&gt;=JX$23,JW13&gt;=JX$27,JV13&lt;&gt;""),AND(KS13&gt;=KZ$23,KT13&gt;=KZ$27,KS13&lt;&gt;""),AND(KX13&gt;=KZ$23,KY13&gt;=KZ$27,KX13&lt;&gt;""),AND(LU13&gt;=MB$23,LV13&gt;=MB$27,LU13&lt;&gt;""),AND(LZ13&gt;=MB$23,MA13&gt;=MB$27,LZ13&lt;&gt;""),AND(MW13&gt;=ND$23,MX13&gt;=ND$27,MW13&lt;&gt;""),AND(NB13&gt;=ND$23,NC13&gt;=ND$27,NB13&lt;&gt;""),AND(NY13&gt;=OF$23,NZ13&gt;=OF$27,NY13&lt;&gt;""),AND(OD13&gt;=OF$23,OE13&gt;=OF$27,OD13&lt;&gt;""),AND(PA13&gt;=PH$23,PB13&gt;=PH$27,PA13&lt;&gt;""),AND(PF13&gt;=PH$23,PG13&gt;=PH$27,PF13&lt;&gt;"")),"P","")</f>
        <v/>
      </c>
      <c r="I13" s="3" t="str">
        <f>IF(OR(AND(AM13&gt;=AP$27,AM13&lt;&gt;"",AK13=""),AND(AO13&gt;=AP$27,AO13&lt;&gt;"",AK13=""),AND(BI13&gt;=BL$27,BI13&lt;&gt;"",BG13=""),AND(BK13&gt;=BL$27,BK13&lt;&gt;"",BG13=""),AND(CE13&gt;=CH$27,CE13&lt;&gt;"",CC13=""),AND(CG13&gt;=CH$27,CG13&lt;&gt;"",CC13=""),AND(DF13&gt;=DL$27,DF13&lt;&gt;""),AND(DK13&gt;=DL$27,DK13&lt;&gt;""),AND(EH13&gt;=EN$27,EH13&lt;&gt;""),AND(EM13&gt;=EN$27,EM13&lt;&gt;""),AND(FJ13&gt;=FP$27,FJ13&lt;&gt;""),AND(FO13&gt;=FP$27,FO13&lt;&gt;""),AND(GL13&gt;=GR$27,GL13&lt;&gt;""),AND(GQ13&gt;=GR$27,GQ13&lt;&gt;""),AND(HN13&gt;=HT$27,HN13&lt;&gt;""),AND(HS13&gt;=HT$27,HS13&lt;&gt;""),AND(IP13&gt;=IV$27,IP13&lt;&gt;""),AND(IU13&gt;=IV$27,IU13&lt;&gt;""),AND(JR13&gt;=JX$27,JR13&lt;&gt;""),AND(JW13&gt;=JX$27,JW13&lt;&gt;""),AND(KT13&gt;=KZ$27,KT13&lt;&gt;""),AND(KY13&gt;=KZ$27,KY13&lt;&gt;""),AND(LV13&gt;=MB$27,LV13&lt;&gt;""),AND(MA13&gt;=MB$27,MA13&lt;&gt;""),AND(MX13&gt;=ND$27,MX13&lt;&gt;""),AND(NC13&gt;=ND$27,NC13&lt;&gt;""),AND(NZ13&gt;=OF$27,NZ13&lt;&gt;""),AND(OE13&gt;=OF$27,OE13&lt;&gt;""),AND(PB13&gt;=PH$27,PB13&lt;&gt;""),AND(PG13&gt;=PH$27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42.9</v>
      </c>
      <c r="M13" s="8" t="str">
        <f>IF(L13=0,"",IF(L13=CE13,$BM$1,IF(L13=BI13,$AQ$1,IF(L13=AM13,$U$1,""))))</f>
        <v>2025 Elite Canada</v>
      </c>
      <c r="N13" s="8">
        <f>IF(COUNT(AM13,BI13,CE13)&gt;1,LARGE((AM13,BI13,CE13),2),0)</f>
        <v>40.4</v>
      </c>
      <c r="O13" s="8" t="str">
        <f>IF(N13=0,"",IF(AND(N13=L13,N13=AM13,N13=BI13),$U$1,IF(AND(N13=L13,N13=AM13,N13=CE13),$U$1,IF(AND(N13=L13,N13=BI13,N13=CE13),$AQ$1,IF(N13=CE13,$BM$1,IF(N13=BI13,$AQ$1,IF(N13=AM13,$U$1,"")))))))</f>
        <v>2025 Nationals</v>
      </c>
      <c r="P13" s="8">
        <f>IF(MAX(AO13,BK13,CG13)&gt;0,MAX(AO13,BK13,CG13),0)</f>
        <v>43.1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15.4</v>
      </c>
      <c r="V13" s="19">
        <v>5.6</v>
      </c>
      <c r="W13" s="19">
        <v>0</v>
      </c>
      <c r="X13" s="19">
        <v>0</v>
      </c>
      <c r="Y13" s="19">
        <v>16.5</v>
      </c>
      <c r="Z13" s="19">
        <v>5.4</v>
      </c>
      <c r="AA13" s="19">
        <v>0</v>
      </c>
      <c r="AB13" s="19">
        <v>0</v>
      </c>
      <c r="AC13" s="19">
        <v>15.9</v>
      </c>
      <c r="AD13" s="19">
        <v>5.6</v>
      </c>
      <c r="AE13" s="19">
        <v>0</v>
      </c>
      <c r="AF13" s="19">
        <v>0</v>
      </c>
      <c r="AG13" s="19">
        <v>16.2</v>
      </c>
      <c r="AH13" s="19">
        <v>5.4</v>
      </c>
      <c r="AI13" s="19">
        <v>0</v>
      </c>
      <c r="AJ13" s="19">
        <v>0</v>
      </c>
      <c r="AK13" s="27"/>
      <c r="AL13" s="40">
        <f>IF(SUM(V13,Z13)&gt;0,SUM(V13,Z13),"")</f>
        <v>11</v>
      </c>
      <c r="AM13" s="40">
        <f>IF(SUM(U13:V13,X13:Z13,AB13)-W13-AA13&gt;0,SUM(U13:V13,X13:Z13,AB13)-W13-AA13,"")</f>
        <v>42.9</v>
      </c>
      <c r="AN13" s="40">
        <f>IF(SUM(AD13,AH13)&gt;0,SUM(AD13,AH13),"")</f>
        <v>11</v>
      </c>
      <c r="AO13" s="40">
        <f>IF(SUM(AC13:AD13,AF13:AH13,AJ13)-SUM(AE13,AI13)&gt;0,SUM(AC13:AD13,AF13:AH13,AJ13)-SUM(AE13,AI13),"")</f>
        <v>43.1</v>
      </c>
      <c r="AP13" s="40">
        <f>IF(SUM(AM13,AO13)&gt;0,SUM(AM13,AO13),"")</f>
        <v>86</v>
      </c>
      <c r="AQ13" s="18">
        <v>15.7</v>
      </c>
      <c r="AR13" s="18">
        <v>3.4</v>
      </c>
      <c r="AS13" s="18">
        <v>0</v>
      </c>
      <c r="AT13" s="18">
        <v>0</v>
      </c>
      <c r="AU13" s="18">
        <v>15.9</v>
      </c>
      <c r="AV13" s="18">
        <v>5.4</v>
      </c>
      <c r="AW13" s="18">
        <v>0</v>
      </c>
      <c r="AX13" s="18">
        <v>0</v>
      </c>
      <c r="AY13" s="18">
        <v>16.5</v>
      </c>
      <c r="AZ13" s="18">
        <v>4.9000000000000004</v>
      </c>
      <c r="BA13" s="18">
        <v>0</v>
      </c>
      <c r="BB13" s="18">
        <v>0</v>
      </c>
      <c r="BC13" s="18">
        <v>16.5</v>
      </c>
      <c r="BD13" s="18">
        <v>4.4000000000000004</v>
      </c>
      <c r="BE13" s="18">
        <v>0</v>
      </c>
      <c r="BF13" s="18">
        <v>0</v>
      </c>
      <c r="BG13" s="28"/>
      <c r="BH13" s="11">
        <f>IF(SUM(AR13,AV13)&gt;0,SUM(AR13,AV13),"")</f>
        <v>8.8000000000000007</v>
      </c>
      <c r="BI13" s="11">
        <f>IF(SUM(AQ13:AR13,AT13:AV13,AX13)-AS13-AW13&gt;0,SUM(AQ13:AR13,AT13:AV13,AX13)-AS13-AW13,"")</f>
        <v>40.4</v>
      </c>
      <c r="BJ13" s="11">
        <f>IF(SUM(AZ13,BD13)&gt;0,SUM(AZ13,BD13),"")</f>
        <v>9.3000000000000007</v>
      </c>
      <c r="BK13" s="11">
        <f>IF(SUM(AY13:AZ13,BB13:BD13,BF13)-SUM(BA13,BE13)&gt;0,SUM(AY13:AZ13,BB13:BD13,BF13)-SUM(BA13,BE13),"")</f>
        <v>42.3</v>
      </c>
      <c r="BL13" s="11">
        <f>IF(SUM(BI13,BK13)&gt;0,SUM(BI13,BK13),"")</f>
        <v>82.699999999999989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>IF(SUM(BN13,BR13)&gt;0,SUM(BN13,BR13),"")</f>
        <v/>
      </c>
      <c r="CE13" s="40" t="str">
        <f>IF(SUM(BM13:BN13,BP13:BR13,BT13)-BO13-BS13&gt;0,SUM(BM13:BN13,BP13:BR13,BT13)-BO13-BS13,"")</f>
        <v/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 t="str">
        <f>IF(SUM(CE13,CG13)&gt;0,SUM(CE13,CG13),"")</f>
        <v/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7.85</v>
      </c>
      <c r="PJ13" s="22">
        <f>IF($CC13="P",BN13,(BN13+AR13)/2)</f>
        <v>1.7</v>
      </c>
      <c r="PK13" s="22">
        <f>IF($CC13="P",BO13,(BO13+AS13)/2)</f>
        <v>0</v>
      </c>
      <c r="PL13" s="22">
        <f>IF($CC13="P",BP13,(BP13+AT13)/2)</f>
        <v>0</v>
      </c>
      <c r="PM13" s="22">
        <f>IF($CC13="P",BQ13,(BQ13+AU13)/2)</f>
        <v>7.95</v>
      </c>
      <c r="PN13" s="22">
        <f>IF($CC13="P",BR13,(BR13+AV13)/2)</f>
        <v>2.7</v>
      </c>
      <c r="PO13" s="22">
        <f>IF($CC13="P",BS13,(BS13+AW13)/2)</f>
        <v>0</v>
      </c>
      <c r="PP13" s="22">
        <f>IF($CC13="P",BT13,(BT13+AX13)/2)</f>
        <v>0</v>
      </c>
      <c r="PQ13" s="22">
        <f>IF($CC13="P",BU13,(BU13+AY13)/2)</f>
        <v>8.25</v>
      </c>
      <c r="PR13" s="22">
        <f>IF($CC13="P",BV13,(BV13+AZ13)/2)</f>
        <v>2.4500000000000002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8.25</v>
      </c>
      <c r="PV13" s="22">
        <f>IF($CC13="P",BZ13,(BZ13+BD13)/2)</f>
        <v>2.2000000000000002</v>
      </c>
      <c r="PW13" s="22">
        <f>IF($CC13="P",CA13,(CA13+BE13)/2)</f>
        <v>0</v>
      </c>
      <c r="PX13" s="22">
        <f>IF($CC13="P",CB13,(CB13+BF13)/2)</f>
        <v>0</v>
      </c>
      <c r="PY13" s="27" t="s">
        <v>46</v>
      </c>
      <c r="PZ13" s="40">
        <f>IF(SUM(PJ13,PN13)&gt;0,SUM(PJ13,PN13),"")</f>
        <v>4.4000000000000004</v>
      </c>
      <c r="QA13" s="40">
        <f>IF(SUM(PI13:PJ13,PL13:PN13,PP13)-PK13-PO13&gt;0,SUM(PI13:PJ13,PL13:PN13,PP13)-PK13-PO13,"")</f>
        <v>20.2</v>
      </c>
      <c r="QB13" s="40">
        <f>IF(SUM(PR13,PV13)&gt;0,SUM(PR13,PV13),"")</f>
        <v>4.6500000000000004</v>
      </c>
      <c r="QC13" s="40">
        <f>IF(SUM(PQ13:PR13,PT13:PV13,PX13)-SUM(PS13,PW13)&gt;0,SUM(PQ13:PR13,PT13:PV13,PX13)-SUM(PS13,PW13),"")</f>
        <v>21.15</v>
      </c>
      <c r="QD13" s="40">
        <f>IF(SUM(QA13,QC13)&gt;0,SUM(QA13,QC13),"")</f>
        <v>41.349999999999994</v>
      </c>
    </row>
    <row r="14" spans="1:446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131</v>
      </c>
      <c r="D14" s="4" t="s">
        <v>4</v>
      </c>
      <c r="E14" s="4">
        <v>2007</v>
      </c>
      <c r="F14" s="9">
        <f>SUM(L14:R14)+SUM(L14:O14)*0.0000001+SUM(L14)*0.0000000000001</f>
        <v>126.20000841000424</v>
      </c>
      <c r="G14" s="64"/>
      <c r="H14" s="3" t="str">
        <f>IF(OR(AND(AL14&gt;=AP$23,AM14&gt;=AP$27,AL14&lt;&gt;"",AK14=""),AND(AN14&gt;=AP$23,AO14&gt;=AP$27,AN14&lt;&gt;"",AK14=""),AND(BH14&gt;=BL$23,BI14&gt;=BL$27,BH14&lt;&gt;"",BG14=""),AND(BJ14&gt;=BL$23,BK14&gt;=BL$27,BJ14&lt;&gt;"",BG14=""),AND(CD14&gt;=CH$23,CE14&gt;=CH$27,CD14&lt;&gt;"",CC14=""),AND(CF14&gt;=CH$23,CG14&gt;=CH$27,CF14&lt;&gt;""),AND(DE14&gt;=DL$23,DF14&gt;=DL$27,DE14&lt;&gt;""),AND(DJ14&gt;=DL$23,DK14&gt;=DL$27,DJ14&lt;&gt;""),AND(EG14&gt;=EN$23,EH14&gt;=EN$27,EG14&lt;&gt;""),AND(EL14&gt;=EN$23,EM14&gt;=EN$27,EL14&lt;&gt;""),AND(FI14&gt;=FP$23,FJ14&gt;=FP$27,FI14&lt;&gt;""),AND(FN14&gt;=FP$23,FO14&gt;=FP$27,FN14&lt;&gt;""),AND(GK14&gt;=GR$23,GL14&gt;=GR$27,GK14&lt;&gt;""),AND(GP14&gt;=GR$23,GQ14&gt;=GR$27,GP14&lt;&gt;""),AND(HM14&gt;=HT$23,HN14&gt;=HT$27,HM14&lt;&gt;""),AND(HR14&gt;=HT$23,HS14&gt;=HT$27,HR14&lt;&gt;""),AND(IO14&gt;=IV$23,IP14&gt;=IV$27,IO14&lt;&gt;""),AND(IT14&gt;=IV$23,IU14&gt;=IV$27,IT14&lt;&gt;""),AND(JQ14&gt;=JX$23,JR14&gt;=JX$27,JQ14&lt;&gt;""),AND(JV14&gt;=JX$23,JW14&gt;=JX$27,JV14&lt;&gt;""),AND(KS14&gt;=KZ$23,KT14&gt;=KZ$27,KS14&lt;&gt;""),AND(KX14&gt;=KZ$23,KY14&gt;=KZ$27,KX14&lt;&gt;""),AND(LU14&gt;=MB$23,LV14&gt;=MB$27,LU14&lt;&gt;""),AND(LZ14&gt;=MB$23,MA14&gt;=MB$27,LZ14&lt;&gt;""),AND(MW14&gt;=ND$23,MX14&gt;=ND$27,MW14&lt;&gt;""),AND(NB14&gt;=ND$23,NC14&gt;=ND$27,NB14&lt;&gt;""),AND(NY14&gt;=OF$23,NZ14&gt;=OF$27,NY14&lt;&gt;""),AND(OD14&gt;=OF$23,OE14&gt;=OF$27,OD14&lt;&gt;""),AND(PA14&gt;=PH$23,PB14&gt;=PH$27,PA14&lt;&gt;""),AND(PF14&gt;=PH$23,PG14&gt;=PH$27,PF14&lt;&gt;"")),"P","")</f>
        <v/>
      </c>
      <c r="I14" s="3" t="str">
        <f>IF(OR(AND(AM14&gt;=AP$27,AM14&lt;&gt;"",AK14=""),AND(AO14&gt;=AP$27,AO14&lt;&gt;"",AK14=""),AND(BI14&gt;=BL$27,BI14&lt;&gt;"",BG14=""),AND(BK14&gt;=BL$27,BK14&lt;&gt;"",BG14=""),AND(CE14&gt;=CH$27,CE14&lt;&gt;"",CC14=""),AND(CG14&gt;=CH$27,CG14&lt;&gt;"",CC14=""),AND(DF14&gt;=DL$27,DF14&lt;&gt;""),AND(DK14&gt;=DL$27,DK14&lt;&gt;""),AND(EH14&gt;=EN$27,EH14&lt;&gt;""),AND(EM14&gt;=EN$27,EM14&lt;&gt;""),AND(FJ14&gt;=FP$27,FJ14&lt;&gt;""),AND(FO14&gt;=FP$27,FO14&lt;&gt;""),AND(GL14&gt;=GR$27,GL14&lt;&gt;""),AND(GQ14&gt;=GR$27,GQ14&lt;&gt;""),AND(HN14&gt;=HT$27,HN14&lt;&gt;""),AND(HS14&gt;=HT$27,HS14&lt;&gt;""),AND(IP14&gt;=IV$27,IP14&lt;&gt;""),AND(IU14&gt;=IV$27,IU14&lt;&gt;""),AND(JR14&gt;=JX$27,JR14&lt;&gt;""),AND(JW14&gt;=JX$27,JW14&lt;&gt;""),AND(KT14&gt;=KZ$27,KT14&lt;&gt;""),AND(KY14&gt;=KZ$27,KY14&lt;&gt;""),AND(LV14&gt;=MB$27,LV14&lt;&gt;""),AND(MA14&gt;=MB$27,MA14&lt;&gt;""),AND(MX14&gt;=ND$27,MX14&lt;&gt;""),AND(NC14&gt;=ND$27,NC14&lt;&gt;""),AND(NZ14&gt;=OF$27,NZ14&lt;&gt;""),AND(OE14&gt;=OF$27,OE14&lt;&gt;""),AND(PB14&gt;=PH$27,PB14&lt;&gt;""),AND(PG14&gt;=PH$27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42.5</v>
      </c>
      <c r="M14" s="8" t="str">
        <f>IF(L14=0,"",IF(L14=CE14,$BM$1,IF(L14=BI14,$AQ$1,IF(L14=AM14,$U$1,""))))</f>
        <v>2025 3rd Domestic Trial</v>
      </c>
      <c r="N14" s="8">
        <f>IF(COUNT(AM14,BI14,CE14)&gt;1,LARGE((AM14,BI14,CE14),2),0)</f>
        <v>41.599999999999994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42.099999999999994</v>
      </c>
      <c r="Q14" s="8" t="str">
        <f>IF(P14=0,"",IF(P14=CG14,$BM$1,IF(P14=BK14,$AQ$1,IF(P14=AO14,$U$1,""))))</f>
        <v>2025 3rd Domestic Trial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15.2</v>
      </c>
      <c r="V14" s="19">
        <v>4.5999999999999996</v>
      </c>
      <c r="W14" s="19">
        <v>0</v>
      </c>
      <c r="X14" s="19">
        <v>0</v>
      </c>
      <c r="Y14" s="19">
        <v>15.4</v>
      </c>
      <c r="Z14" s="19">
        <v>4.8</v>
      </c>
      <c r="AA14" s="19">
        <v>0</v>
      </c>
      <c r="AB14" s="19">
        <v>0</v>
      </c>
      <c r="AC14" s="19">
        <v>15.4</v>
      </c>
      <c r="AD14" s="19">
        <v>4.8</v>
      </c>
      <c r="AE14" s="19">
        <v>0.2</v>
      </c>
      <c r="AF14" s="19">
        <v>0</v>
      </c>
      <c r="AG14" s="19">
        <v>15.5</v>
      </c>
      <c r="AH14" s="19">
        <v>5.3</v>
      </c>
      <c r="AI14" s="19">
        <v>0.4</v>
      </c>
      <c r="AJ14" s="19">
        <v>0</v>
      </c>
      <c r="AK14" s="27"/>
      <c r="AL14" s="40">
        <f>IF(SUM(V14,Z14)&gt;0,SUM(V14,Z14),"")</f>
        <v>9.3999999999999986</v>
      </c>
      <c r="AM14" s="40">
        <f>IF(SUM(U14:V14,X14:Z14,AB14)-W14-AA14&gt;0,SUM(U14:V14,X14:Z14,AB14)-W14-AA14,"")</f>
        <v>39.999999999999993</v>
      </c>
      <c r="AN14" s="40">
        <f>IF(SUM(AD14,AH14)&gt;0,SUM(AD14,AH14),"")</f>
        <v>10.1</v>
      </c>
      <c r="AO14" s="40">
        <f>IF(SUM(AC14:AD14,AF14:AH14,AJ14)-SUM(AE14,AI14)&gt;0,SUM(AC14:AD14,AF14:AH14,AJ14)-SUM(AE14,AI14),"")</f>
        <v>40.4</v>
      </c>
      <c r="AP14" s="40">
        <f>IF(SUM(AM14,AO14)&gt;0,SUM(AM14,AO14),"")</f>
        <v>80.399999999999991</v>
      </c>
      <c r="AQ14" s="18">
        <v>16</v>
      </c>
      <c r="AR14" s="18">
        <v>4.8</v>
      </c>
      <c r="AS14" s="18">
        <v>0</v>
      </c>
      <c r="AT14" s="18">
        <v>0</v>
      </c>
      <c r="AU14" s="18">
        <v>15.5</v>
      </c>
      <c r="AV14" s="18">
        <v>5.3</v>
      </c>
      <c r="AW14" s="18">
        <v>0</v>
      </c>
      <c r="AX14" s="18">
        <v>0</v>
      </c>
      <c r="AY14" s="18">
        <v>15.7</v>
      </c>
      <c r="AZ14" s="18">
        <v>4.8</v>
      </c>
      <c r="BA14" s="18">
        <v>0.2</v>
      </c>
      <c r="BB14" s="18">
        <v>0</v>
      </c>
      <c r="BC14" s="18">
        <v>15.6</v>
      </c>
      <c r="BD14" s="18">
        <v>5.3</v>
      </c>
      <c r="BE14" s="18">
        <v>0</v>
      </c>
      <c r="BF14" s="18">
        <v>0</v>
      </c>
      <c r="BG14" s="28"/>
      <c r="BH14" s="11">
        <f>IF(SUM(AR14,AV14)&gt;0,SUM(AR14,AV14),"")</f>
        <v>10.1</v>
      </c>
      <c r="BI14" s="11">
        <f>IF(SUM(AQ14:AR14,AT14:AV14,AX14)-AS14-AW14&gt;0,SUM(AQ14:AR14,AT14:AV14,AX14)-AS14-AW14,"")</f>
        <v>41.599999999999994</v>
      </c>
      <c r="BJ14" s="11">
        <f>IF(SUM(AZ14,BD14)&gt;0,SUM(AZ14,BD14),"")</f>
        <v>10.1</v>
      </c>
      <c r="BK14" s="11">
        <f>IF(SUM(AY14:AZ14,BB14:BD14,BF14)-SUM(BA14,BE14)&gt;0,SUM(AY14:AZ14,BB14:BD14,BF14)-SUM(BA14,BE14),"")</f>
        <v>41.199999999999996</v>
      </c>
      <c r="BL14" s="11">
        <f>IF(SUM(BI14,BK14)&gt;0,SUM(BI14,BK14),"")</f>
        <v>82.799999999999983</v>
      </c>
      <c r="BM14" s="19">
        <v>15.9</v>
      </c>
      <c r="BN14" s="19">
        <v>5.5</v>
      </c>
      <c r="BO14" s="19">
        <v>0</v>
      </c>
      <c r="BP14" s="19">
        <v>0</v>
      </c>
      <c r="BQ14" s="19">
        <v>15.8</v>
      </c>
      <c r="BR14" s="19">
        <v>5.3</v>
      </c>
      <c r="BS14" s="19">
        <v>0</v>
      </c>
      <c r="BT14" s="19">
        <v>0</v>
      </c>
      <c r="BU14" s="19">
        <v>15.8</v>
      </c>
      <c r="BV14" s="19">
        <v>5.5</v>
      </c>
      <c r="BW14" s="19">
        <v>0</v>
      </c>
      <c r="BX14" s="19">
        <v>0</v>
      </c>
      <c r="BY14" s="19">
        <v>15.5</v>
      </c>
      <c r="BZ14" s="19">
        <v>5.3</v>
      </c>
      <c r="CA14" s="19">
        <v>0</v>
      </c>
      <c r="CB14" s="19">
        <v>0</v>
      </c>
      <c r="CC14" s="27"/>
      <c r="CD14" s="40">
        <f>IF(SUM(BN14,BR14)&gt;0,SUM(BN14,BR14),"")</f>
        <v>10.8</v>
      </c>
      <c r="CE14" s="40">
        <f>IF(SUM(BM14:BN14,BP14:BR14,BT14)-BO14-BS14&gt;0,SUM(BM14:BN14,BP14:BR14,BT14)-BO14-BS14,"")</f>
        <v>42.5</v>
      </c>
      <c r="CF14" s="40">
        <f>IF(SUM(BV14,BZ14)&gt;0,SUM(BV14,BZ14),"")</f>
        <v>10.8</v>
      </c>
      <c r="CG14" s="40">
        <f>IF(SUM(BU14:BV14,BX14:BZ14,CB14)-SUM(BW14,CA14)&gt;0,SUM(BU14:BV14,BX14:BZ14,CB14)-SUM(BW14,CA14),"")</f>
        <v>42.099999999999994</v>
      </c>
      <c r="CH14" s="40">
        <f>IF(SUM(CE14,CG14)&gt;0,SUM(CE14,CG14),"")</f>
        <v>84.6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15.95</v>
      </c>
      <c r="PJ14" s="22">
        <f>IF($CC14="P",BN14,(BN14+AR14)/2)</f>
        <v>5.15</v>
      </c>
      <c r="PK14" s="22">
        <f>IF($CC14="P",BO14,(BO14+AS14)/2)</f>
        <v>0</v>
      </c>
      <c r="PL14" s="22">
        <f>IF($CC14="P",BP14,(BP14+AT14)/2)</f>
        <v>0</v>
      </c>
      <c r="PM14" s="22">
        <f>IF($CC14="P",BQ14,(BQ14+AU14)/2)</f>
        <v>15.65</v>
      </c>
      <c r="PN14" s="22">
        <f>IF($CC14="P",BR14,(BR14+AV14)/2)</f>
        <v>5.3</v>
      </c>
      <c r="PO14" s="22">
        <f>IF($CC14="P",BS14,(BS14+AW14)/2)</f>
        <v>0</v>
      </c>
      <c r="PP14" s="22">
        <f>IF($CC14="P",BT14,(BT14+AX14)/2)</f>
        <v>0</v>
      </c>
      <c r="PQ14" s="22">
        <f>IF($CC14="P",BU14,(BU14+AY14)/2)</f>
        <v>15.75</v>
      </c>
      <c r="PR14" s="22">
        <f>IF($CC14="P",BV14,(BV14+AZ14)/2)</f>
        <v>5.15</v>
      </c>
      <c r="PS14" s="22">
        <f>IF($CC14="P",BW14,(BW14+BA14)/2)</f>
        <v>0.1</v>
      </c>
      <c r="PT14" s="22">
        <f>IF($CC14="P",BX14,(BX14+BB14)/2)</f>
        <v>0</v>
      </c>
      <c r="PU14" s="22">
        <f>IF($CC14="P",BY14,(BY14+BC14)/2)</f>
        <v>15.55</v>
      </c>
      <c r="PV14" s="22">
        <f>IF($CC14="P",BZ14,(BZ14+BD14)/2)</f>
        <v>5.3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10.45</v>
      </c>
      <c r="QA14" s="40">
        <f>IF(SUM(PI14:PJ14,PL14:PN14,PP14)-PK14-PO14&gt;0,SUM(PI14:PJ14,PL14:PN14,PP14)-PK14-PO14,"")</f>
        <v>42.05</v>
      </c>
      <c r="QB14" s="40">
        <f>IF(SUM(PR14,PV14)&gt;0,SUM(PR14,PV14),"")</f>
        <v>10.45</v>
      </c>
      <c r="QC14" s="40">
        <f>IF(SUM(PQ14:PR14,PT14:PV14,PX14)-SUM(PS14,PW14)&gt;0,SUM(PQ14:PR14,PT14:PV14,PX14)-SUM(PS14,PW14),"")</f>
        <v>41.65</v>
      </c>
      <c r="QD14" s="40">
        <f>IF(SUM(QA14,QC14)&gt;0,SUM(QA14,QC14),"")</f>
        <v>83.699999999999989</v>
      </c>
    </row>
    <row r="15" spans="1:446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95</v>
      </c>
      <c r="D15" s="4" t="s">
        <v>5</v>
      </c>
      <c r="E15" s="4">
        <v>2005</v>
      </c>
      <c r="F15" s="9">
        <f>SUM(L15:R15)+SUM(L15:O15)*0.0000001+SUM(L15)*0.0000000000001</f>
        <v>120.3000079700044</v>
      </c>
      <c r="G15" s="64"/>
      <c r="H15" s="3" t="str">
        <f>IF(OR(AND(AL15&gt;=AP$23,AM15&gt;=AP$27,AL15&lt;&gt;"",AK15=""),AND(AN15&gt;=AP$23,AO15&gt;=AP$27,AN15&lt;&gt;"",AK15=""),AND(BH15&gt;=BL$23,BI15&gt;=BL$27,BH15&lt;&gt;"",BG15=""),AND(BJ15&gt;=BL$23,BK15&gt;=BL$27,BJ15&lt;&gt;"",BG15=""),AND(CD15&gt;=CH$23,CE15&gt;=CH$27,CD15&lt;&gt;"",CC15=""),AND(CF15&gt;=CH$23,CG15&gt;=CH$27,CF15&lt;&gt;""),AND(DE15&gt;=DL$23,DF15&gt;=DL$27,DE15&lt;&gt;""),AND(DJ15&gt;=DL$23,DK15&gt;=DL$27,DJ15&lt;&gt;""),AND(EG15&gt;=EN$23,EH15&gt;=EN$27,EG15&lt;&gt;""),AND(EL15&gt;=EN$23,EM15&gt;=EN$27,EL15&lt;&gt;""),AND(FI15&gt;=FP$23,FJ15&gt;=FP$27,FI15&lt;&gt;""),AND(FN15&gt;=FP$23,FO15&gt;=FP$27,FN15&lt;&gt;""),AND(GK15&gt;=GR$23,GL15&gt;=GR$27,GK15&lt;&gt;""),AND(GP15&gt;=GR$23,GQ15&gt;=GR$27,GP15&lt;&gt;""),AND(HM15&gt;=HT$23,HN15&gt;=HT$27,HM15&lt;&gt;""),AND(HR15&gt;=HT$23,HS15&gt;=HT$27,HR15&lt;&gt;""),AND(IO15&gt;=IV$23,IP15&gt;=IV$27,IO15&lt;&gt;""),AND(IT15&gt;=IV$23,IU15&gt;=IV$27,IT15&lt;&gt;""),AND(JQ15&gt;=JX$23,JR15&gt;=JX$27,JQ15&lt;&gt;""),AND(JV15&gt;=JX$23,JW15&gt;=JX$27,JV15&lt;&gt;""),AND(KS15&gt;=KZ$23,KT15&gt;=KZ$27,KS15&lt;&gt;""),AND(KX15&gt;=KZ$23,KY15&gt;=KZ$27,KX15&lt;&gt;""),AND(LU15&gt;=MB$23,LV15&gt;=MB$27,LU15&lt;&gt;""),AND(LZ15&gt;=MB$23,MA15&gt;=MB$27,LZ15&lt;&gt;""),AND(MW15&gt;=ND$23,MX15&gt;=ND$27,MW15&lt;&gt;""),AND(NB15&gt;=ND$23,NC15&gt;=ND$27,NB15&lt;&gt;""),AND(NY15&gt;=OF$23,NZ15&gt;=OF$27,NY15&lt;&gt;""),AND(OD15&gt;=OF$23,OE15&gt;=OF$27,OD15&lt;&gt;""),AND(PA15&gt;=PH$23,PB15&gt;=PH$27,PA15&lt;&gt;""),AND(PF15&gt;=PH$23,PG15&gt;=PH$27,PF15&lt;&gt;"")),"P","")</f>
        <v/>
      </c>
      <c r="I15" s="3" t="str">
        <f>IF(OR(AND(AM15&gt;=AP$27,AM15&lt;&gt;"",AK15=""),AND(AO15&gt;=AP$27,AO15&lt;&gt;"",AK15=""),AND(BI15&gt;=BL$27,BI15&lt;&gt;"",BG15=""),AND(BK15&gt;=BL$27,BK15&lt;&gt;"",BG15=""),AND(CE15&gt;=CH$27,CE15&lt;&gt;"",CC15=""),AND(CG15&gt;=CH$27,CG15&lt;&gt;"",CC15=""),AND(DF15&gt;=DL$27,DF15&lt;&gt;""),AND(DK15&gt;=DL$27,DK15&lt;&gt;""),AND(EH15&gt;=EN$27,EH15&lt;&gt;""),AND(EM15&gt;=EN$27,EM15&lt;&gt;""),AND(FJ15&gt;=FP$27,FJ15&lt;&gt;""),AND(FO15&gt;=FP$27,FO15&lt;&gt;""),AND(GL15&gt;=GR$27,GL15&lt;&gt;""),AND(GQ15&gt;=GR$27,GQ15&lt;&gt;""),AND(HN15&gt;=HT$27,HN15&lt;&gt;""),AND(HS15&gt;=HT$27,HS15&lt;&gt;""),AND(IP15&gt;=IV$27,IP15&lt;&gt;""),AND(IU15&gt;=IV$27,IU15&lt;&gt;""),AND(JR15&gt;=JX$27,JR15&lt;&gt;""),AND(JW15&gt;=JX$27,JW15&lt;&gt;""),AND(KT15&gt;=KZ$27,KT15&lt;&gt;""),AND(KY15&gt;=KZ$27,KY15&lt;&gt;""),AND(LV15&gt;=MB$27,LV15&lt;&gt;""),AND(MA15&gt;=MB$27,MA15&lt;&gt;""),AND(MX15&gt;=ND$27,MX15&lt;&gt;""),AND(NC15&gt;=ND$27,NC15&lt;&gt;""),AND(NZ15&gt;=OF$27,NZ15&lt;&gt;""),AND(OE15&gt;=OF$27,OE15&lt;&gt;""),AND(PB15&gt;=PH$27,PB15&lt;&gt;""),AND(PG15&gt;=PH$27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44.1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35.599999999999994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40.600000000000009</v>
      </c>
      <c r="Q15" s="8" t="str">
        <f>IF(P15=0,"",IF(P15=CG15,$BM$1,IF(P15=BK15,$AQ$1,IF(P15=AO15,$U$1,""))))</f>
        <v>2025 Nationals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14</v>
      </c>
      <c r="V15" s="19">
        <v>4.2</v>
      </c>
      <c r="W15" s="19">
        <v>0.4</v>
      </c>
      <c r="X15" s="19">
        <v>0.7</v>
      </c>
      <c r="Y15" s="19">
        <v>14.2</v>
      </c>
      <c r="Z15" s="19">
        <v>3.5</v>
      </c>
      <c r="AA15" s="19">
        <v>0.6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27"/>
      <c r="AL15" s="40">
        <f>IF(SUM(V15,Z15)&gt;0,SUM(V15,Z15),"")</f>
        <v>7.7</v>
      </c>
      <c r="AM15" s="40">
        <f>IF(SUM(U15:V15,X15:Z15,AB15)-W15-AA15&gt;0,SUM(U15:V15,X15:Z15,AB15)-W15-AA15,"")</f>
        <v>35.599999999999994</v>
      </c>
      <c r="AN15" s="40" t="str">
        <f>IF(SUM(AD15,AH15)&gt;0,SUM(AD15,AH15),"")</f>
        <v/>
      </c>
      <c r="AO15" s="40" t="str">
        <f>IF(SUM(AC15:AD15,AF15:AH15,AJ15)-SUM(AE15,AI15)&gt;0,SUM(AC15:AD15,AF15:AH15,AJ15)-SUM(AE15,AI15),"")</f>
        <v/>
      </c>
      <c r="AP15" s="40">
        <f>IF(SUM(AM15,AO15)&gt;0,SUM(AM15,AO15),"")</f>
        <v>35.599999999999994</v>
      </c>
      <c r="AQ15" s="18">
        <v>15.9</v>
      </c>
      <c r="AR15" s="18">
        <v>6</v>
      </c>
      <c r="AS15" s="18">
        <v>0</v>
      </c>
      <c r="AT15" s="18">
        <v>0.7</v>
      </c>
      <c r="AU15" s="18">
        <v>15.3</v>
      </c>
      <c r="AV15" s="18">
        <v>5.5</v>
      </c>
      <c r="AW15" s="18">
        <v>0</v>
      </c>
      <c r="AX15" s="18">
        <v>0.7</v>
      </c>
      <c r="AY15" s="18">
        <v>15.3</v>
      </c>
      <c r="AZ15" s="18">
        <v>5.7</v>
      </c>
      <c r="BA15" s="18">
        <v>0</v>
      </c>
      <c r="BB15" s="18">
        <v>0.7</v>
      </c>
      <c r="BC15" s="18">
        <v>14</v>
      </c>
      <c r="BD15" s="18">
        <v>4.5999999999999996</v>
      </c>
      <c r="BE15" s="18">
        <v>0.4</v>
      </c>
      <c r="BF15" s="18">
        <v>0.7</v>
      </c>
      <c r="BG15" s="28"/>
      <c r="BH15" s="11">
        <f>IF(SUM(AR15,AV15)&gt;0,SUM(AR15,AV15),"")</f>
        <v>11.5</v>
      </c>
      <c r="BI15" s="11">
        <f>IF(SUM(AQ15:AR15,AT15:AV15,AX15)-AS15-AW15&gt;0,SUM(AQ15:AR15,AT15:AV15,AX15)-AS15-AW15,"")</f>
        <v>44.1</v>
      </c>
      <c r="BJ15" s="11">
        <f>IF(SUM(AZ15,BD15)&gt;0,SUM(AZ15,BD15),"")</f>
        <v>10.3</v>
      </c>
      <c r="BK15" s="11">
        <f>IF(SUM(AY15:AZ15,BB15:BD15,BF15)-SUM(BA15,BE15)&gt;0,SUM(AY15:AZ15,BB15:BD15,BF15)-SUM(BA15,BE15),"")</f>
        <v>40.600000000000009</v>
      </c>
      <c r="BL15" s="11">
        <f>IF(SUM(BI15,BK15)&gt;0,SUM(BI15,BK15),"")</f>
        <v>84.700000000000017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>IF(SUM(BN15,BR15)&gt;0,SUM(BN15,BR15),"")</f>
        <v/>
      </c>
      <c r="CE15" s="40" t="str">
        <f>IF(SUM(BM15:BN15,BP15:BR15,BT15)-BO15-BS15&gt;0,SUM(BM15:BN15,BP15:BR15,BT15)-BO15-BS15,"")</f>
        <v/>
      </c>
      <c r="CF15" s="40" t="str">
        <f>IF(SUM(BV15,BZ15)&gt;0,SUM(BV15,BZ15),"")</f>
        <v/>
      </c>
      <c r="CG15" s="40" t="str">
        <f>IF(SUM(BU15:BV15,BX15:BZ15,CB15)-SUM(BW15,CA15)&gt;0,SUM(BU15:BV15,BX15:BZ15,CB15)-SUM(BW15,CA15),"")</f>
        <v/>
      </c>
      <c r="CH15" s="40" t="str">
        <f>IF(SUM(CE15,CG15)&gt;0,SUM(CE15,CG15),"")</f>
        <v/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7.95</v>
      </c>
      <c r="PJ15" s="22">
        <f>IF($CC15="P",BN15,(BN15+AR15)/2)</f>
        <v>3</v>
      </c>
      <c r="PK15" s="22">
        <f>IF($CC15="P",BO15,(BO15+AS15)/2)</f>
        <v>0</v>
      </c>
      <c r="PL15" s="22">
        <f>IF($CC15="P",BP15,(BP15+AT15)/2)</f>
        <v>0.35</v>
      </c>
      <c r="PM15" s="22">
        <f>IF($CC15="P",BQ15,(BQ15+AU15)/2)</f>
        <v>7.65</v>
      </c>
      <c r="PN15" s="22">
        <f>IF($CC15="P",BR15,(BR15+AV15)/2)</f>
        <v>2.75</v>
      </c>
      <c r="PO15" s="22">
        <f>IF($CC15="P",BS15,(BS15+AW15)/2)</f>
        <v>0</v>
      </c>
      <c r="PP15" s="22">
        <f>IF($CC15="P",BT15,(BT15+AX15)/2)</f>
        <v>0.35</v>
      </c>
      <c r="PQ15" s="22">
        <f>IF($CC15="P",BU15,(BU15+AY15)/2)</f>
        <v>7.65</v>
      </c>
      <c r="PR15" s="22">
        <f>IF($CC15="P",BV15,(BV15+AZ15)/2)</f>
        <v>2.85</v>
      </c>
      <c r="PS15" s="22">
        <f>IF($CC15="P",BW15,(BW15+BA15)/2)</f>
        <v>0</v>
      </c>
      <c r="PT15" s="22">
        <f>IF($CC15="P",BX15,(BX15+BB15)/2)</f>
        <v>0.35</v>
      </c>
      <c r="PU15" s="22">
        <f>IF($CC15="P",BY15,(BY15+BC15)/2)</f>
        <v>7</v>
      </c>
      <c r="PV15" s="22">
        <f>IF($CC15="P",BZ15,(BZ15+BD15)/2)</f>
        <v>2.2999999999999998</v>
      </c>
      <c r="PW15" s="22">
        <f>IF($CC15="P",CA15,(CA15+BE15)/2)</f>
        <v>0.2</v>
      </c>
      <c r="PX15" s="22">
        <f>IF($CC15="P",CB15,(CB15+BF15)/2)</f>
        <v>0.35</v>
      </c>
      <c r="PY15" s="27" t="s">
        <v>46</v>
      </c>
      <c r="PZ15" s="40">
        <f>IF(SUM(PJ15,PN15)&gt;0,SUM(PJ15,PN15),"")</f>
        <v>5.75</v>
      </c>
      <c r="QA15" s="40">
        <f>IF(SUM(PI15:PJ15,PL15:PN15,PP15)-PK15-PO15&gt;0,SUM(PI15:PJ15,PL15:PN15,PP15)-PK15-PO15,"")</f>
        <v>22.05</v>
      </c>
      <c r="QB15" s="40">
        <f>IF(SUM(PR15,PV15)&gt;0,SUM(PR15,PV15),"")</f>
        <v>5.15</v>
      </c>
      <c r="QC15" s="40">
        <f>IF(SUM(PQ15:PR15,PT15:PV15,PX15)-SUM(PS15,PW15)&gt;0,SUM(PQ15:PR15,PT15:PV15,PX15)-SUM(PS15,PW15),"")</f>
        <v>20.300000000000004</v>
      </c>
      <c r="QD15" s="40">
        <f>IF(SUM(QA15,QC15)&gt;0,SUM(QA15,QC15),"")</f>
        <v>42.350000000000009</v>
      </c>
    </row>
    <row r="16" spans="1:446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170</v>
      </c>
      <c r="D16" s="4" t="s">
        <v>4</v>
      </c>
      <c r="E16" s="4">
        <v>2004</v>
      </c>
      <c r="F16" s="9">
        <f>SUM(L16:R16)+SUM(L16:O16)*0.0000001+SUM(L16)*0.0000000000001</f>
        <v>120.20000766000385</v>
      </c>
      <c r="G16" s="64"/>
      <c r="H16" s="3" t="str">
        <f>IF(OR(AND(AL16&gt;=AP$23,AM16&gt;=AP$27,AL16&lt;&gt;"",AK16=""),AND(AN16&gt;=AP$23,AO16&gt;=AP$27,AN16&lt;&gt;"",AK16=""),AND(BH16&gt;=BL$23,BI16&gt;=BL$27,BH16&lt;&gt;"",BG16=""),AND(BJ16&gt;=BL$23,BK16&gt;=BL$27,BJ16&lt;&gt;"",BG16=""),AND(CD16&gt;=CH$23,CE16&gt;=CH$27,CD16&lt;&gt;"",CC16=""),AND(CF16&gt;=CH$23,CG16&gt;=CH$27,CF16&lt;&gt;""),AND(DE16&gt;=DL$23,DF16&gt;=DL$27,DE16&lt;&gt;""),AND(DJ16&gt;=DL$23,DK16&gt;=DL$27,DJ16&lt;&gt;""),AND(EG16&gt;=EN$23,EH16&gt;=EN$27,EG16&lt;&gt;""),AND(EL16&gt;=EN$23,EM16&gt;=EN$27,EL16&lt;&gt;""),AND(FI16&gt;=FP$23,FJ16&gt;=FP$27,FI16&lt;&gt;""),AND(FN16&gt;=FP$23,FO16&gt;=FP$27,FN16&lt;&gt;""),AND(GK16&gt;=GR$23,GL16&gt;=GR$27,GK16&lt;&gt;""),AND(GP16&gt;=GR$23,GQ16&gt;=GR$27,GP16&lt;&gt;""),AND(HM16&gt;=HT$23,HN16&gt;=HT$27,HM16&lt;&gt;""),AND(HR16&gt;=HT$23,HS16&gt;=HT$27,HR16&lt;&gt;""),AND(IO16&gt;=IV$23,IP16&gt;=IV$27,IO16&lt;&gt;""),AND(IT16&gt;=IV$23,IU16&gt;=IV$27,IT16&lt;&gt;""),AND(JQ16&gt;=JX$23,JR16&gt;=JX$27,JQ16&lt;&gt;""),AND(JV16&gt;=JX$23,JW16&gt;=JX$27,JV16&lt;&gt;""),AND(KS16&gt;=KZ$23,KT16&gt;=KZ$27,KS16&lt;&gt;""),AND(KX16&gt;=KZ$23,KY16&gt;=KZ$27,KX16&lt;&gt;""),AND(LU16&gt;=MB$23,LV16&gt;=MB$27,LU16&lt;&gt;""),AND(LZ16&gt;=MB$23,MA16&gt;=MB$27,LZ16&lt;&gt;""),AND(MW16&gt;=ND$23,MX16&gt;=ND$27,MW16&lt;&gt;""),AND(NB16&gt;=ND$23,NC16&gt;=ND$27,NB16&lt;&gt;""),AND(NY16&gt;=OF$23,NZ16&gt;=OF$27,NY16&lt;&gt;""),AND(OD16&gt;=OF$23,OE16&gt;=OF$27,OD16&lt;&gt;""),AND(PA16&gt;=PH$23,PB16&gt;=PH$27,PA16&lt;&gt;""),AND(PF16&gt;=PH$23,PG16&gt;=PH$27,PF16&lt;&gt;"")),"P","")</f>
        <v/>
      </c>
      <c r="I16" s="3" t="str">
        <f>IF(OR(AND(AM16&gt;=AP$27,AM16&lt;&gt;"",AK16=""),AND(AO16&gt;=AP$27,AO16&lt;&gt;"",AK16=""),AND(BI16&gt;=BL$27,BI16&lt;&gt;"",BG16=""),AND(BK16&gt;=BL$27,BK16&lt;&gt;"",BG16=""),AND(CE16&gt;=CH$27,CE16&lt;&gt;"",CC16=""),AND(CG16&gt;=CH$27,CG16&lt;&gt;"",CC16=""),AND(DF16&gt;=DL$27,DF16&lt;&gt;""),AND(DK16&gt;=DL$27,DK16&lt;&gt;""),AND(EH16&gt;=EN$27,EH16&lt;&gt;""),AND(EM16&gt;=EN$27,EM16&lt;&gt;""),AND(FJ16&gt;=FP$27,FJ16&lt;&gt;""),AND(FO16&gt;=FP$27,FO16&lt;&gt;""),AND(GL16&gt;=GR$27,GL16&lt;&gt;""),AND(GQ16&gt;=GR$27,GQ16&lt;&gt;""),AND(HN16&gt;=HT$27,HN16&lt;&gt;""),AND(HS16&gt;=HT$27,HS16&lt;&gt;""),AND(IP16&gt;=IV$27,IP16&lt;&gt;""),AND(IU16&gt;=IV$27,IU16&lt;&gt;""),AND(JR16&gt;=JX$27,JR16&lt;&gt;""),AND(JW16&gt;=JX$27,JW16&lt;&gt;""),AND(KT16&gt;=KZ$27,KT16&lt;&gt;""),AND(KY16&gt;=KZ$27,KY16&lt;&gt;""),AND(LV16&gt;=MB$27,LV16&lt;&gt;""),AND(MA16&gt;=MB$27,MA16&lt;&gt;""),AND(MX16&gt;=ND$27,MX16&lt;&gt;""),AND(NC16&gt;=ND$27,NC16&lt;&gt;""),AND(NZ16&gt;=OF$27,NZ16&lt;&gt;""),AND(OE16&gt;=OF$27,OE16&lt;&gt;""),AND(PB16&gt;=PH$27,PB16&lt;&gt;""),AND(PG16&gt;=PH$27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38.699999999999996</v>
      </c>
      <c r="M16" s="8" t="str">
        <f>IF(L16=0,"",IF(L16=CE16,$BM$1,IF(L16=BI16,$AQ$1,IF(L16=AM16,$U$1,""))))</f>
        <v>2025 Elite Canada</v>
      </c>
      <c r="N16" s="8">
        <f>IF(COUNT(AM16,BI16,CE16)&gt;1,LARGE((AM16,BI16,CE16),2),0)</f>
        <v>37.9</v>
      </c>
      <c r="O16" s="8" t="str">
        <f>IF(N16=0,"",IF(AND(N16=L16,N16=AM16,N16=BI16),$U$1,IF(AND(N16=L16,N16=AM16,N16=CE16),$U$1,IF(AND(N16=L16,N16=BI16,N16=CE16),$AQ$1,IF(N16=CE16,$BM$1,IF(N16=BI16,$AQ$1,IF(N16=AM16,$U$1,"")))))))</f>
        <v>2025 Nationals</v>
      </c>
      <c r="P16" s="8">
        <f>IF(MAX(AO16,BK16,CG16)&gt;0,MAX(AO16,BK16,CG16),0)</f>
        <v>43.599999999999994</v>
      </c>
      <c r="Q16" s="8" t="str">
        <f>IF(P16=0,"",IF(P16=CG16,$BM$1,IF(P16=BK16,$AQ$1,IF(P16=AO16,$U$1,""))))</f>
        <v>2025 Elite Canada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14.2</v>
      </c>
      <c r="V16" s="19">
        <v>5.3</v>
      </c>
      <c r="W16" s="19">
        <v>0.2</v>
      </c>
      <c r="X16" s="19">
        <v>0</v>
      </c>
      <c r="Y16" s="19">
        <v>15.6</v>
      </c>
      <c r="Z16" s="19">
        <v>4</v>
      </c>
      <c r="AA16" s="19">
        <v>0.2</v>
      </c>
      <c r="AB16" s="19">
        <v>0</v>
      </c>
      <c r="AC16" s="19">
        <v>15.7</v>
      </c>
      <c r="AD16" s="19">
        <v>6.2</v>
      </c>
      <c r="AE16" s="19">
        <v>0</v>
      </c>
      <c r="AF16" s="19">
        <v>0</v>
      </c>
      <c r="AG16" s="19">
        <v>16.399999999999999</v>
      </c>
      <c r="AH16" s="19">
        <v>5.3</v>
      </c>
      <c r="AI16" s="19">
        <v>0</v>
      </c>
      <c r="AJ16" s="19">
        <v>0</v>
      </c>
      <c r="AK16" s="27"/>
      <c r="AL16" s="40">
        <f>IF(SUM(V16,Z16)&gt;0,SUM(V16,Z16),"")</f>
        <v>9.3000000000000007</v>
      </c>
      <c r="AM16" s="40">
        <f>IF(SUM(U16:V16,X16:Z16,AB16)-W16-AA16&gt;0,SUM(U16:V16,X16:Z16,AB16)-W16-AA16,"")</f>
        <v>38.699999999999996</v>
      </c>
      <c r="AN16" s="40">
        <f>IF(SUM(AD16,AH16)&gt;0,SUM(AD16,AH16),"")</f>
        <v>11.5</v>
      </c>
      <c r="AO16" s="40">
        <f>IF(SUM(AC16:AD16,AF16:AH16,AJ16)-SUM(AE16,AI16)&gt;0,SUM(AC16:AD16,AF16:AH16,AJ16)-SUM(AE16,AI16),"")</f>
        <v>43.599999999999994</v>
      </c>
      <c r="AP16" s="40">
        <f>IF(SUM(AM16,AO16)&gt;0,SUM(AM16,AO16),"")</f>
        <v>82.299999999999983</v>
      </c>
      <c r="AQ16" s="18">
        <v>16.100000000000001</v>
      </c>
      <c r="AR16" s="18">
        <v>4.5999999999999996</v>
      </c>
      <c r="AS16" s="18">
        <v>0.2</v>
      </c>
      <c r="AT16" s="18">
        <v>0</v>
      </c>
      <c r="AU16" s="18">
        <v>15.5</v>
      </c>
      <c r="AV16" s="18">
        <v>3.9</v>
      </c>
      <c r="AW16" s="18">
        <v>2</v>
      </c>
      <c r="AX16" s="18">
        <v>0</v>
      </c>
      <c r="AY16" s="18">
        <v>14.8</v>
      </c>
      <c r="AZ16" s="18">
        <v>2.9</v>
      </c>
      <c r="BA16" s="18">
        <v>0</v>
      </c>
      <c r="BB16" s="18">
        <v>0.7</v>
      </c>
      <c r="BC16" s="18"/>
      <c r="BD16" s="18"/>
      <c r="BE16" s="18"/>
      <c r="BF16" s="18"/>
      <c r="BG16" s="28"/>
      <c r="BH16" s="11">
        <f>IF(SUM(AR16,AV16)&gt;0,SUM(AR16,AV16),"")</f>
        <v>8.5</v>
      </c>
      <c r="BI16" s="11">
        <f>IF(SUM(AQ16:AR16,AT16:AV16,AX16)-AS16-AW16&gt;0,SUM(AQ16:AR16,AT16:AV16,AX16)-AS16-AW16,"")</f>
        <v>37.9</v>
      </c>
      <c r="BJ16" s="11">
        <f>IF(SUM(AZ16,BD16)&gt;0,SUM(AZ16,BD16),"")</f>
        <v>2.9</v>
      </c>
      <c r="BK16" s="11">
        <f>IF(SUM(AY16:AZ16,BB16:BD16,BF16)-SUM(BA16,BE16)&gt;0,SUM(AY16:AZ16,BB16:BD16,BF16)-SUM(BA16,BE16),"")</f>
        <v>18.399999999999999</v>
      </c>
      <c r="BL16" s="11">
        <f>IF(SUM(BI16,BK16)&gt;0,SUM(BI16,BK16),"")</f>
        <v>56.3</v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>IF(SUM(BN16,BR16)&gt;0,SUM(BN16,BR16),"")</f>
        <v/>
      </c>
      <c r="CE16" s="40" t="str">
        <f>IF(SUM(BM16:BN16,BP16:BR16,BT16)-BO16-BS16&gt;0,SUM(BM16:BN16,BP16:BR16,BT16)-BO16-BS16,"")</f>
        <v/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 t="str">
        <f>IF(SUM(CE16,CG16)&gt;0,SUM(CE16,CG16),"")</f>
        <v/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8.0500000000000007</v>
      </c>
      <c r="PJ16" s="22">
        <f>IF($CC16="P",BN16,(BN16+AR16)/2)</f>
        <v>2.2999999999999998</v>
      </c>
      <c r="PK16" s="22">
        <f>IF($CC16="P",BO16,(BO16+AS16)/2)</f>
        <v>0.1</v>
      </c>
      <c r="PL16" s="22">
        <f>IF($CC16="P",BP16,(BP16+AT16)/2)</f>
        <v>0</v>
      </c>
      <c r="PM16" s="22">
        <f>IF($CC16="P",BQ16,(BQ16+AU16)/2)</f>
        <v>7.75</v>
      </c>
      <c r="PN16" s="22">
        <f>IF($CC16="P",BR16,(BR16+AV16)/2)</f>
        <v>1.95</v>
      </c>
      <c r="PO16" s="22">
        <f>IF($CC16="P",BS16,(BS16+AW16)/2)</f>
        <v>1</v>
      </c>
      <c r="PP16" s="22">
        <f>IF($CC16="P",BT16,(BT16+AX16)/2)</f>
        <v>0</v>
      </c>
      <c r="PQ16" s="22">
        <f>IF($CC16="P",BU16,(BU16+AY16)/2)</f>
        <v>7.4</v>
      </c>
      <c r="PR16" s="22">
        <f>IF($CC16="P",BV16,(BV16+AZ16)/2)</f>
        <v>1.45</v>
      </c>
      <c r="PS16" s="22">
        <f>IF($CC16="P",BW16,(BW16+BA16)/2)</f>
        <v>0</v>
      </c>
      <c r="PT16" s="22">
        <f>IF($CC16="P",BX16,(BX16+BB16)/2)</f>
        <v>0.35</v>
      </c>
      <c r="PU16" s="22">
        <f>IF($CC16="P",BY16,(BY16+BC16)/2)</f>
        <v>0</v>
      </c>
      <c r="PV16" s="22">
        <f>IF($CC16="P",BZ16,(BZ16+BD16)/2)</f>
        <v>0</v>
      </c>
      <c r="PW16" s="22">
        <f>IF($CC16="P",CA16,(CA16+BE16)/2)</f>
        <v>0</v>
      </c>
      <c r="PX16" s="22">
        <f>IF($CC16="P",CB16,(CB16+BF16)/2)</f>
        <v>0</v>
      </c>
      <c r="PY16" s="27" t="s">
        <v>46</v>
      </c>
      <c r="PZ16" s="40">
        <f>IF(SUM(PJ16,PN16)&gt;0,SUM(PJ16,PN16),"")</f>
        <v>4.25</v>
      </c>
      <c r="QA16" s="40">
        <f>IF(SUM(PI16:PJ16,PL16:PN16,PP16)-PK16-PO16&gt;0,SUM(PI16:PJ16,PL16:PN16,PP16)-PK16-PO16,"")</f>
        <v>18.95</v>
      </c>
      <c r="QB16" s="40">
        <f>IF(SUM(PR16,PV16)&gt;0,SUM(PR16,PV16),"")</f>
        <v>1.45</v>
      </c>
      <c r="QC16" s="40">
        <f>IF(SUM(PQ16:PR16,PT16:PV16,PX16)-SUM(PS16,PW16)&gt;0,SUM(PQ16:PR16,PT16:PV16,PX16)-SUM(PS16,PW16),"")</f>
        <v>9.1999999999999993</v>
      </c>
      <c r="QD16" s="40">
        <f>IF(SUM(QA16,QC16)&gt;0,SUM(QA16,QC16),"")</f>
        <v>28.15</v>
      </c>
    </row>
    <row r="17" spans="1:446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118.80000785000401</v>
      </c>
      <c r="G17" s="64"/>
      <c r="H17" s="3" t="str">
        <f>IF(OR(AND(AL17&gt;=AP$23,AM17&gt;=AP$27,AL17&lt;&gt;"",AK17=""),AND(AN17&gt;=AP$23,AO17&gt;=AP$27,AN17&lt;&gt;"",AK17=""),AND(BH17&gt;=BL$23,BI17&gt;=BL$27,BH17&lt;&gt;"",BG17=""),AND(BJ17&gt;=BL$23,BK17&gt;=BL$27,BJ17&lt;&gt;"",BG17=""),AND(CD17&gt;=CH$23,CE17&gt;=CH$27,CD17&lt;&gt;"",CC17=""),AND(CF17&gt;=CH$23,CG17&gt;=CH$27,CF17&lt;&gt;""),AND(DE17&gt;=DL$23,DF17&gt;=DL$27,DE17&lt;&gt;""),AND(DJ17&gt;=DL$23,DK17&gt;=DL$27,DJ17&lt;&gt;""),AND(EG17&gt;=EN$23,EH17&gt;=EN$27,EG17&lt;&gt;""),AND(EL17&gt;=EN$23,EM17&gt;=EN$27,EL17&lt;&gt;""),AND(FI17&gt;=FP$23,FJ17&gt;=FP$27,FI17&lt;&gt;""),AND(FN17&gt;=FP$23,FO17&gt;=FP$27,FN17&lt;&gt;""),AND(GK17&gt;=GR$23,GL17&gt;=GR$27,GK17&lt;&gt;""),AND(GP17&gt;=GR$23,GQ17&gt;=GR$27,GP17&lt;&gt;""),AND(HM17&gt;=HT$23,HN17&gt;=HT$27,HM17&lt;&gt;""),AND(HR17&gt;=HT$23,HS17&gt;=HT$27,HR17&lt;&gt;""),AND(IO17&gt;=IV$23,IP17&gt;=IV$27,IO17&lt;&gt;""),AND(IT17&gt;=IV$23,IU17&gt;=IV$27,IT17&lt;&gt;""),AND(JQ17&gt;=JX$23,JR17&gt;=JX$27,JQ17&lt;&gt;""),AND(JV17&gt;=JX$23,JW17&gt;=JX$27,JV17&lt;&gt;""),AND(KS17&gt;=KZ$23,KT17&gt;=KZ$27,KS17&lt;&gt;""),AND(KX17&gt;=KZ$23,KY17&gt;=KZ$27,KX17&lt;&gt;""),AND(LU17&gt;=MB$23,LV17&gt;=MB$27,LU17&lt;&gt;""),AND(LZ17&gt;=MB$23,MA17&gt;=MB$27,LZ17&lt;&gt;""),AND(MW17&gt;=ND$23,MX17&gt;=ND$27,MW17&lt;&gt;""),AND(NB17&gt;=ND$23,NC17&gt;=ND$27,NB17&lt;&gt;""),AND(NY17&gt;=OF$23,NZ17&gt;=OF$27,NY17&lt;&gt;""),AND(OD17&gt;=OF$23,OE17&gt;=OF$27,OD17&lt;&gt;""),AND(PA17&gt;=PH$23,PB17&gt;=PH$27,PA17&lt;&gt;""),AND(PF17&gt;=PH$23,PG17&gt;=PH$27,PF17&lt;&gt;"")),"P","")</f>
        <v/>
      </c>
      <c r="I17" s="3" t="str">
        <f>IF(OR(AND(AM17&gt;=AP$27,AM17&lt;&gt;"",AK17=""),AND(AO17&gt;=AP$27,AO17&lt;&gt;"",AK17=""),AND(BI17&gt;=BL$27,BI17&lt;&gt;"",BG17=""),AND(BK17&gt;=BL$27,BK17&lt;&gt;"",BG17=""),AND(CE17&gt;=CH$27,CE17&lt;&gt;"",CC17=""),AND(CG17&gt;=CH$27,CG17&lt;&gt;"",CC17=""),AND(DF17&gt;=DL$27,DF17&lt;&gt;""),AND(DK17&gt;=DL$27,DK17&lt;&gt;""),AND(EH17&gt;=EN$27,EH17&lt;&gt;""),AND(EM17&gt;=EN$27,EM17&lt;&gt;""),AND(FJ17&gt;=FP$27,FJ17&lt;&gt;""),AND(FO17&gt;=FP$27,FO17&lt;&gt;""),AND(GL17&gt;=GR$27,GL17&lt;&gt;""),AND(GQ17&gt;=GR$27,GQ17&lt;&gt;""),AND(HN17&gt;=HT$27,HN17&lt;&gt;""),AND(HS17&gt;=HT$27,HS17&lt;&gt;""),AND(IP17&gt;=IV$27,IP17&lt;&gt;""),AND(IU17&gt;=IV$27,IU17&lt;&gt;""),AND(JR17&gt;=JX$27,JR17&lt;&gt;""),AND(JW17&gt;=JX$27,JW17&lt;&gt;""),AND(KT17&gt;=KZ$27,KT17&lt;&gt;""),AND(KY17&gt;=KZ$27,KY17&lt;&gt;""),AND(LV17&gt;=MB$27,LV17&lt;&gt;""),AND(MA17&gt;=MB$27,MA17&lt;&gt;""),AND(MX17&gt;=ND$27,MX17&lt;&gt;""),AND(NC17&gt;=ND$27,NC17&lt;&gt;""),AND(NZ17&gt;=OF$27,NZ17&lt;&gt;""),AND(OE17&gt;=OF$27,OE17&lt;&gt;""),AND(PB17&gt;=PH$27,PB17&lt;&gt;""),AND(PG17&gt;=PH$27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40.1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38.4</v>
      </c>
      <c r="O17" s="8" t="str">
        <f>IF(N17=0,"",IF(AND(N17=L17,N17=AM17,N17=BI17),$U$1,IF(AND(N17=L17,N17=AM17,N17=CE17),$U$1,IF(AND(N17=L17,N17=BI17,N17=CE17),$AQ$1,IF(N17=CE17,$BM$1,IF(N17=BI17,$AQ$1,IF(N17=AM17,$U$1,"")))))))</f>
        <v>2025 Nationals</v>
      </c>
      <c r="P17" s="8">
        <f>IF(MAX(AO17,BK17,CG17)&gt;0,MAX(AO17,BK17,CG17),0)</f>
        <v>40.299999999999997</v>
      </c>
      <c r="Q17" s="8" t="str">
        <f>IF(P17=0,"",IF(P17=CG17,$BM$1,IF(P17=BK17,$AQ$1,IF(P17=AO17,$U$1,""))))</f>
        <v>2025 Elite Canada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16</v>
      </c>
      <c r="V17" s="19">
        <v>4.2</v>
      </c>
      <c r="W17" s="19">
        <v>0</v>
      </c>
      <c r="X17" s="19">
        <v>0</v>
      </c>
      <c r="Y17" s="19">
        <v>15.9</v>
      </c>
      <c r="Z17" s="19">
        <v>4</v>
      </c>
      <c r="AA17" s="19">
        <v>0</v>
      </c>
      <c r="AB17" s="19">
        <v>0</v>
      </c>
      <c r="AC17" s="19">
        <v>16</v>
      </c>
      <c r="AD17" s="19">
        <v>4.2</v>
      </c>
      <c r="AE17" s="19">
        <v>0</v>
      </c>
      <c r="AF17" s="19">
        <v>0</v>
      </c>
      <c r="AG17" s="19">
        <v>16.100000000000001</v>
      </c>
      <c r="AH17" s="19">
        <v>4</v>
      </c>
      <c r="AI17" s="19">
        <v>0</v>
      </c>
      <c r="AJ17" s="19">
        <v>0</v>
      </c>
      <c r="AK17" s="27"/>
      <c r="AL17" s="40">
        <f>IF(SUM(V17,Z17)&gt;0,SUM(V17,Z17),"")</f>
        <v>8.1999999999999993</v>
      </c>
      <c r="AM17" s="40">
        <f>IF(SUM(U17:V17,X17:Z17,AB17)-W17-AA17&gt;0,SUM(U17:V17,X17:Z17,AB17)-W17-AA17,"")</f>
        <v>40.1</v>
      </c>
      <c r="AN17" s="40">
        <f>IF(SUM(AD17,AH17)&gt;0,SUM(AD17,AH17),"")</f>
        <v>8.1999999999999993</v>
      </c>
      <c r="AO17" s="40">
        <f>IF(SUM(AC17:AD17,AF17:AH17,AJ17)-SUM(AE17,AI17)&gt;0,SUM(AC17:AD17,AF17:AH17,AJ17)-SUM(AE17,AI17),"")</f>
        <v>40.299999999999997</v>
      </c>
      <c r="AP17" s="40">
        <f>IF(SUM(AM17,AO17)&gt;0,SUM(AM17,AO17),"")</f>
        <v>80.400000000000006</v>
      </c>
      <c r="AQ17" s="18">
        <v>15.7</v>
      </c>
      <c r="AR17" s="18">
        <v>2</v>
      </c>
      <c r="AS17" s="18">
        <v>0</v>
      </c>
      <c r="AT17" s="18">
        <v>0</v>
      </c>
      <c r="AU17" s="18">
        <v>16.7</v>
      </c>
      <c r="AV17" s="18">
        <v>4</v>
      </c>
      <c r="AW17" s="18">
        <v>0</v>
      </c>
      <c r="AX17" s="18">
        <v>0</v>
      </c>
      <c r="AY17" s="18">
        <v>16.2</v>
      </c>
      <c r="AZ17" s="18">
        <v>4.2</v>
      </c>
      <c r="BA17" s="18">
        <v>0</v>
      </c>
      <c r="BB17" s="18">
        <v>0</v>
      </c>
      <c r="BC17" s="18">
        <v>14.3</v>
      </c>
      <c r="BD17" s="18">
        <v>4</v>
      </c>
      <c r="BE17" s="18">
        <v>0.2</v>
      </c>
      <c r="BF17" s="18">
        <v>0</v>
      </c>
      <c r="BG17" s="28"/>
      <c r="BH17" s="11">
        <f>IF(SUM(AR17,AV17)&gt;0,SUM(AR17,AV17),"")</f>
        <v>6</v>
      </c>
      <c r="BI17" s="11">
        <f>IF(SUM(AQ17:AR17,AT17:AV17,AX17)-AS17-AW17&gt;0,SUM(AQ17:AR17,AT17:AV17,AX17)-AS17-AW17,"")</f>
        <v>38.4</v>
      </c>
      <c r="BJ17" s="11">
        <f>IF(SUM(AZ17,BD17)&gt;0,SUM(AZ17,BD17),"")</f>
        <v>8.1999999999999993</v>
      </c>
      <c r="BK17" s="11">
        <f>IF(SUM(AY17:AZ17,BB17:BD17,BF17)-SUM(BA17,BE17)&gt;0,SUM(AY17:AZ17,BB17:BD17,BF17)-SUM(BA17,BE17),"")</f>
        <v>38.5</v>
      </c>
      <c r="BL17" s="11">
        <f>IF(SUM(BI17,BK17)&gt;0,SUM(BI17,BK17),"")</f>
        <v>76.900000000000006</v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>IF(SUM(BN17,BR17)&gt;0,SUM(BN17,BR17),"")</f>
        <v/>
      </c>
      <c r="CE17" s="40" t="str">
        <f>IF(SUM(BM17:BN17,BP17:BR17,BT17)-BO17-BS17&gt;0,SUM(BM17:BN17,BP17:BR17,BT17)-BO17-BS17,"")</f>
        <v/>
      </c>
      <c r="CF17" s="40" t="str">
        <f>IF(SUM(BV17,BZ17)&gt;0,SUM(BV17,BZ17),"")</f>
        <v/>
      </c>
      <c r="CG17" s="40" t="str">
        <f>IF(SUM(BU17:BV17,BX17:BZ17,CB17)-SUM(BW17,CA17)&gt;0,SUM(BU17:BV17,BX17:BZ17,CB17)-SUM(BW17,CA17),"")</f>
        <v/>
      </c>
      <c r="CH17" s="40" t="str">
        <f>IF(SUM(CE17,CG17)&gt;0,SUM(CE17,CG17),"")</f>
        <v/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7.85</v>
      </c>
      <c r="PJ17" s="22">
        <f>IF($CC17="P",BN17,(BN17+AR17)/2)</f>
        <v>1</v>
      </c>
      <c r="PK17" s="22">
        <f>IF($CC17="P",BO17,(BO17+AS17)/2)</f>
        <v>0</v>
      </c>
      <c r="PL17" s="22">
        <f>IF($CC17="P",BP17,(BP17+AT17)/2)</f>
        <v>0</v>
      </c>
      <c r="PM17" s="22">
        <f>IF($CC17="P",BQ17,(BQ17+AU17)/2)</f>
        <v>8.35</v>
      </c>
      <c r="PN17" s="22">
        <f>IF($CC17="P",BR17,(BR17+AV17)/2)</f>
        <v>2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8.1</v>
      </c>
      <c r="PR17" s="22">
        <f>IF($CC17="P",BV17,(BV17+AZ17)/2)</f>
        <v>2.1</v>
      </c>
      <c r="PS17" s="22">
        <f>IF($CC17="P",BW17,(BW17+BA17)/2)</f>
        <v>0</v>
      </c>
      <c r="PT17" s="22">
        <f>IF($CC17="P",BX17,(BX17+BB17)/2)</f>
        <v>0</v>
      </c>
      <c r="PU17" s="22">
        <f>IF($CC17="P",BY17,(BY17+BC17)/2)</f>
        <v>7.15</v>
      </c>
      <c r="PV17" s="22">
        <f>IF($CC17="P",BZ17,(BZ17+BD17)/2)</f>
        <v>2</v>
      </c>
      <c r="PW17" s="22">
        <f>IF($CC17="P",CA17,(CA17+BE17)/2)</f>
        <v>0.1</v>
      </c>
      <c r="PX17" s="22">
        <f>IF($CC17="P",CB17,(CB17+BF17)/2)</f>
        <v>0</v>
      </c>
      <c r="PY17" s="27" t="s">
        <v>46</v>
      </c>
      <c r="PZ17" s="40">
        <f>IF(SUM(PJ17,PN17)&gt;0,SUM(PJ17,PN17),"")</f>
        <v>3</v>
      </c>
      <c r="QA17" s="40">
        <f>IF(SUM(PI17:PJ17,PL17:PN17,PP17)-PK17-PO17&gt;0,SUM(PI17:PJ17,PL17:PN17,PP17)-PK17-PO17,"")</f>
        <v>19.2</v>
      </c>
      <c r="QB17" s="40">
        <f>IF(SUM(PR17,PV17)&gt;0,SUM(PR17,PV17),"")</f>
        <v>4.0999999999999996</v>
      </c>
      <c r="QC17" s="40">
        <f>IF(SUM(PQ17:PR17,PT17:PV17,PX17)-SUM(PS17,PW17)&gt;0,SUM(PQ17:PR17,PT17:PV17,PX17)-SUM(PS17,PW17),"")</f>
        <v>19.25</v>
      </c>
      <c r="QD17" s="40">
        <f>IF(SUM(QA17,QC17)&gt;0,SUM(QA17,QC17),"")</f>
        <v>38.450000000000003</v>
      </c>
    </row>
    <row r="18" spans="1:446" x14ac:dyDescent="0.2">
      <c r="A18" s="4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>8</v>
      </c>
      <c r="B18" s="4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>3</v>
      </c>
      <c r="C18" s="5" t="s">
        <v>169</v>
      </c>
      <c r="D18" s="4" t="s">
        <v>6</v>
      </c>
      <c r="E18" s="4">
        <v>2007</v>
      </c>
      <c r="F18" s="9">
        <f>SUM(L18:R18)+SUM(L18:O18)*0.0000001+SUM(L18)*0.0000000000001</f>
        <v>89.600004470004464</v>
      </c>
      <c r="G18" s="64"/>
      <c r="H18" s="3" t="str">
        <f>IF(OR(AND(AL18&gt;=AP$23,AM18&gt;=AP$27,AL18&lt;&gt;"",AK18=""),AND(AN18&gt;=AP$23,AO18&gt;=AP$27,AN18&lt;&gt;"",AK18=""),AND(BH18&gt;=BL$23,BI18&gt;=BL$27,BH18&lt;&gt;"",BG18=""),AND(BJ18&gt;=BL$23,BK18&gt;=BL$27,BJ18&lt;&gt;"",BG18=""),AND(CD18&gt;=CH$23,CE18&gt;=CH$27,CD18&lt;&gt;"",CC18=""),AND(CF18&gt;=CH$23,CG18&gt;=CH$27,CF18&lt;&gt;""),AND(DE18&gt;=DL$23,DF18&gt;=DL$27,DE18&lt;&gt;""),AND(DJ18&gt;=DL$23,DK18&gt;=DL$27,DJ18&lt;&gt;""),AND(EG18&gt;=EN$23,EH18&gt;=EN$27,EG18&lt;&gt;""),AND(EL18&gt;=EN$23,EM18&gt;=EN$27,EL18&lt;&gt;""),AND(FI18&gt;=FP$23,FJ18&gt;=FP$27,FI18&lt;&gt;""),AND(FN18&gt;=FP$23,FO18&gt;=FP$27,FN18&lt;&gt;""),AND(GK18&gt;=GR$23,GL18&gt;=GR$27,GK18&lt;&gt;""),AND(GP18&gt;=GR$23,GQ18&gt;=GR$27,GP18&lt;&gt;""),AND(HM18&gt;=HT$23,HN18&gt;=HT$27,HM18&lt;&gt;""),AND(HR18&gt;=HT$23,HS18&gt;=HT$27,HR18&lt;&gt;""),AND(IO18&gt;=IV$23,IP18&gt;=IV$27,IO18&lt;&gt;""),AND(IT18&gt;=IV$23,IU18&gt;=IV$27,IT18&lt;&gt;""),AND(JQ18&gt;=JX$23,JR18&gt;=JX$27,JQ18&lt;&gt;""),AND(JV18&gt;=JX$23,JW18&gt;=JX$27,JV18&lt;&gt;""),AND(KS18&gt;=KZ$23,KT18&gt;=KZ$27,KS18&lt;&gt;""),AND(KX18&gt;=KZ$23,KY18&gt;=KZ$27,KX18&lt;&gt;""),AND(LU18&gt;=MB$23,LV18&gt;=MB$27,LU18&lt;&gt;""),AND(LZ18&gt;=MB$23,MA18&gt;=MB$27,LZ18&lt;&gt;""),AND(MW18&gt;=ND$23,MX18&gt;=ND$27,MW18&lt;&gt;""),AND(NB18&gt;=ND$23,NC18&gt;=ND$27,NB18&lt;&gt;""),AND(NY18&gt;=OF$23,NZ18&gt;=OF$27,NY18&lt;&gt;""),AND(OD18&gt;=OF$23,OE18&gt;=OF$27,OD18&lt;&gt;""),AND(PA18&gt;=PH$23,PB18&gt;=PH$27,PA18&lt;&gt;""),AND(PF18&gt;=PH$23,PG18&gt;=PH$27,PF18&lt;&gt;"")),"P","")</f>
        <v/>
      </c>
      <c r="I18" s="3" t="str">
        <f>IF(OR(AND(AM18&gt;=AP$27,AM18&lt;&gt;"",AK18=""),AND(AO18&gt;=AP$27,AO18&lt;&gt;"",AK18=""),AND(BI18&gt;=BL$27,BI18&lt;&gt;"",BG18=""),AND(BK18&gt;=BL$27,BK18&lt;&gt;"",BG18=""),AND(CE18&gt;=CH$27,CE18&lt;&gt;"",CC18=""),AND(CG18&gt;=CH$27,CG18&lt;&gt;"",CC18=""),AND(DF18&gt;=DL$27,DF18&lt;&gt;""),AND(DK18&gt;=DL$27,DK18&lt;&gt;""),AND(EH18&gt;=EN$27,EH18&lt;&gt;""),AND(EM18&gt;=EN$27,EM18&lt;&gt;""),AND(FJ18&gt;=FP$27,FJ18&lt;&gt;""),AND(FO18&gt;=FP$27,FO18&lt;&gt;""),AND(GL18&gt;=GR$27,GL18&lt;&gt;""),AND(GQ18&gt;=GR$27,GQ18&lt;&gt;""),AND(HN18&gt;=HT$27,HN18&lt;&gt;""),AND(HS18&gt;=HT$27,HS18&lt;&gt;""),AND(IP18&gt;=IV$27,IP18&lt;&gt;""),AND(IU18&gt;=IV$27,IU18&lt;&gt;""),AND(JR18&gt;=JX$27,JR18&lt;&gt;""),AND(JW18&gt;=JX$27,JW18&lt;&gt;""),AND(KT18&gt;=KZ$27,KT18&lt;&gt;""),AND(KY18&gt;=KZ$27,KY18&lt;&gt;""),AND(LV18&gt;=MB$27,LV18&lt;&gt;""),AND(MA18&gt;=MB$27,MA18&lt;&gt;""),AND(MX18&gt;=ND$27,MX18&lt;&gt;""),AND(NC18&gt;=ND$27,NC18&lt;&gt;""),AND(NZ18&gt;=OF$27,NZ18&lt;&gt;""),AND(OE18&gt;=OF$27,OE18&lt;&gt;""),AND(PB18&gt;=PH$27,PB18&lt;&gt;""),AND(PG18&gt;=PH$27,PG18&lt;&gt;"")),"P","")</f>
        <v>P</v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>No DD</v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44.7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0</v>
      </c>
      <c r="O18" s="8" t="str">
        <f>IF(N18=0,"",IF(AND(N18=L18,N18=AM18,N18=BI18),$U$1,IF(AND(N18=L18,N18=AM18,N18=CE18),$U$1,IF(AND(N18=L18,N18=BI18,N18=CE18),$AQ$1,IF(N18=CE18,$BM$1,IF(N18=BI18,$AQ$1,IF(N18=AM18,$U$1,"")))))))</f>
        <v/>
      </c>
      <c r="P18" s="8">
        <f>IF(MAX(AO18,BK18,CG18)&gt;0,MAX(AO18,BK18,CG18),0)</f>
        <v>44.899999999999991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</v>
      </c>
      <c r="V18" s="19">
        <v>4.3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</v>
      </c>
      <c r="AB18" s="19">
        <v>0</v>
      </c>
      <c r="AC18" s="19">
        <v>17.899999999999999</v>
      </c>
      <c r="AD18" s="19">
        <v>4.0999999999999996</v>
      </c>
      <c r="AE18" s="19">
        <v>0.2</v>
      </c>
      <c r="AF18" s="19">
        <v>0</v>
      </c>
      <c r="AG18" s="19">
        <v>18.8</v>
      </c>
      <c r="AH18" s="19">
        <v>4.3</v>
      </c>
      <c r="AI18" s="19">
        <v>0</v>
      </c>
      <c r="AJ18" s="19">
        <v>0</v>
      </c>
      <c r="AK18" s="27"/>
      <c r="AL18" s="40">
        <f>IF(SUM(V18,Z18)&gt;0,SUM(V18,Z18),"")</f>
        <v>8.6</v>
      </c>
      <c r="AM18" s="40">
        <f>IF(SUM(U18:V18,X18:Z18,AB18)-W18-AA18&gt;0,SUM(U18:V18,X18:Z18,AB18)-W18-AA18,"")</f>
        <v>44.7</v>
      </c>
      <c r="AN18" s="40">
        <f>IF(SUM(AD18,AH18)&gt;0,SUM(AD18,AH18),"")</f>
        <v>8.3999999999999986</v>
      </c>
      <c r="AO18" s="40">
        <f>IF(SUM(AC18:AD18,AF18:AH18,AJ18)-SUM(AE18,AI18)&gt;0,SUM(AC18:AD18,AF18:AH18,AJ18)-SUM(AE18,AI18),"")</f>
        <v>44.899999999999991</v>
      </c>
      <c r="AP18" s="40">
        <f>IF(SUM(AM18,AO18)&gt;0,SUM(AM18,AO18),"")</f>
        <v>89.6</v>
      </c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28"/>
      <c r="BH18" s="11" t="str">
        <f>IF(SUM(AR18,AV18)&gt;0,SUM(AR18,AV18),"")</f>
        <v/>
      </c>
      <c r="BI18" s="11" t="str">
        <f>IF(SUM(AQ18:AR18,AT18:AV18,AX18)-AS18-AW18&gt;0,SUM(AQ18:AR18,AT18:AV18,AX18)-AS18-AW18,"")</f>
        <v/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 t="str">
        <f>IF(SUM(BI18,BK18)&gt;0,SUM(BI18,BK18),"")</f>
        <v/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0</v>
      </c>
      <c r="PJ18" s="22">
        <f>IF($CC18="P",BN18,(BN18+AR18)/2)</f>
        <v>0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0</v>
      </c>
      <c r="PN18" s="22">
        <f>IF($CC18="P",BR18,(BR18+AV18)/2)</f>
        <v>0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161</v>
      </c>
      <c r="D19" s="4" t="s">
        <v>3</v>
      </c>
      <c r="E19" s="4">
        <v>2008</v>
      </c>
      <c r="F19" s="9">
        <f>SUM(L19:R19)+SUM(L19:O19)*0.0000001+SUM(L19)*0.0000000000001</f>
        <v>81.600004280004271</v>
      </c>
      <c r="G19" s="64"/>
      <c r="H19" s="3" t="str">
        <f>IF(OR(AND(AL19&gt;=AP$23,AM19&gt;=AP$27,AL19&lt;&gt;"",AK19=""),AND(AN19&gt;=AP$23,AO19&gt;=AP$27,AN19&lt;&gt;"",AK19=""),AND(BH19&gt;=BL$23,BI19&gt;=BL$27,BH19&lt;&gt;"",BG19=""),AND(BJ19&gt;=BL$23,BK19&gt;=BL$27,BJ19&lt;&gt;"",BG19=""),AND(CD19&gt;=CH$23,CE19&gt;=CH$27,CD19&lt;&gt;"",CC19=""),AND(CF19&gt;=CH$23,CG19&gt;=CH$27,CF19&lt;&gt;""),AND(DE19&gt;=DL$23,DF19&gt;=DL$27,DE19&lt;&gt;""),AND(DJ19&gt;=DL$23,DK19&gt;=DL$27,DJ19&lt;&gt;""),AND(EG19&gt;=EN$23,EH19&gt;=EN$27,EG19&lt;&gt;""),AND(EL19&gt;=EN$23,EM19&gt;=EN$27,EL19&lt;&gt;""),AND(FI19&gt;=FP$23,FJ19&gt;=FP$27,FI19&lt;&gt;""),AND(FN19&gt;=FP$23,FO19&gt;=FP$27,FN19&lt;&gt;""),AND(GK19&gt;=GR$23,GL19&gt;=GR$27,GK19&lt;&gt;""),AND(GP19&gt;=GR$23,GQ19&gt;=GR$27,GP19&lt;&gt;""),AND(HM19&gt;=HT$23,HN19&gt;=HT$27,HM19&lt;&gt;""),AND(HR19&gt;=HT$23,HS19&gt;=HT$27,HR19&lt;&gt;""),AND(IO19&gt;=IV$23,IP19&gt;=IV$27,IO19&lt;&gt;""),AND(IT19&gt;=IV$23,IU19&gt;=IV$27,IT19&lt;&gt;""),AND(JQ19&gt;=JX$23,JR19&gt;=JX$27,JQ19&lt;&gt;""),AND(JV19&gt;=JX$23,JW19&gt;=JX$27,JV19&lt;&gt;""),AND(KS19&gt;=KZ$23,KT19&gt;=KZ$27,KS19&lt;&gt;""),AND(KX19&gt;=KZ$23,KY19&gt;=KZ$27,KX19&lt;&gt;""),AND(LU19&gt;=MB$23,LV19&gt;=MB$27,LU19&lt;&gt;""),AND(LZ19&gt;=MB$23,MA19&gt;=MB$27,LZ19&lt;&gt;""),AND(MW19&gt;=ND$23,MX19&gt;=ND$27,MW19&lt;&gt;""),AND(NB19&gt;=ND$23,NC19&gt;=ND$27,NB19&lt;&gt;""),AND(NY19&gt;=OF$23,NZ19&gt;=OF$27,NY19&lt;&gt;""),AND(OD19&gt;=OF$23,OE19&gt;=OF$27,OD19&lt;&gt;""),AND(PA19&gt;=PH$23,PB19&gt;=PH$27,PA19&lt;&gt;""),AND(PF19&gt;=PH$23,PG19&gt;=PH$27,PF19&lt;&gt;"")),"P","")</f>
        <v/>
      </c>
      <c r="I19" s="3" t="str">
        <f>IF(OR(AND(AM19&gt;=AP$27,AM19&lt;&gt;"",AK19=""),AND(AO19&gt;=AP$27,AO19&lt;&gt;"",AK19=""),AND(BI19&gt;=BL$27,BI19&lt;&gt;"",BG19=""),AND(BK19&gt;=BL$27,BK19&lt;&gt;"",BG19=""),AND(CE19&gt;=CH$27,CE19&lt;&gt;"",CC19=""),AND(CG19&gt;=CH$27,CG19&lt;&gt;"",CC19=""),AND(DF19&gt;=DL$27,DF19&lt;&gt;""),AND(DK19&gt;=DL$27,DK19&lt;&gt;""),AND(EH19&gt;=EN$27,EH19&lt;&gt;""),AND(EM19&gt;=EN$27,EM19&lt;&gt;""),AND(FJ19&gt;=FP$27,FJ19&lt;&gt;""),AND(FO19&gt;=FP$27,FO19&lt;&gt;""),AND(GL19&gt;=GR$27,GL19&lt;&gt;""),AND(GQ19&gt;=GR$27,GQ19&lt;&gt;""),AND(HN19&gt;=HT$27,HN19&lt;&gt;""),AND(HS19&gt;=HT$27,HS19&lt;&gt;""),AND(IP19&gt;=IV$27,IP19&lt;&gt;""),AND(IU19&gt;=IV$27,IU19&lt;&gt;""),AND(JR19&gt;=JX$27,JR19&lt;&gt;""),AND(JW19&gt;=JX$27,JW19&lt;&gt;""),AND(KT19&gt;=KZ$27,KT19&lt;&gt;""),AND(KY19&gt;=KZ$27,KY19&lt;&gt;""),AND(LV19&gt;=MB$27,LV19&lt;&gt;""),AND(MA19&gt;=MB$27,MA19&lt;&gt;""),AND(MX19&gt;=ND$27,MX19&lt;&gt;""),AND(NC19&gt;=ND$27,NC19&lt;&gt;""),AND(NZ19&gt;=OF$27,NZ19&lt;&gt;""),AND(OE19&gt;=OF$27,OE19&lt;&gt;""),AND(PB19&gt;=PH$27,PB19&lt;&gt;""),AND(PG19&gt;=PH$27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42.8</v>
      </c>
      <c r="M19" s="8" t="str">
        <f>IF(L19=0,"",IF(L19=CE19,$BM$1,IF(L19=BI19,$AQ$1,IF(L19=AM19,$U$1,""))))</f>
        <v>2025 Elite Canada</v>
      </c>
      <c r="N19" s="8">
        <f>IF(COUNT(AM19,BI19,CE19)&gt;1,LARGE((AM19,BI19,CE19),2),0)</f>
        <v>0</v>
      </c>
      <c r="O19" s="8" t="str">
        <f>IF(N19=0,"",IF(AND(N19=L19,N19=AM19,N19=BI19),$U$1,IF(AND(N19=L19,N19=AM19,N19=CE19),$U$1,IF(AND(N19=L19,N19=BI19,N19=CE19),$AQ$1,IF(N19=CE19,$BM$1,IF(N19=BI19,$AQ$1,IF(N19=AM19,$U$1,"")))))))</f>
        <v/>
      </c>
      <c r="P19" s="8">
        <f>IF(MAX(AO19,BK19,CG19)&gt;0,MAX(AO19,BK19,CG19),0)</f>
        <v>38.799999999999997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17.3</v>
      </c>
      <c r="V19" s="19">
        <v>5.5</v>
      </c>
      <c r="W19" s="19">
        <v>0</v>
      </c>
      <c r="X19" s="19">
        <v>0</v>
      </c>
      <c r="Y19" s="19">
        <v>14.3</v>
      </c>
      <c r="Z19" s="19">
        <v>5.9</v>
      </c>
      <c r="AA19" s="19">
        <v>0.2</v>
      </c>
      <c r="AB19" s="19">
        <v>0</v>
      </c>
      <c r="AC19" s="19">
        <v>14.2</v>
      </c>
      <c r="AD19" s="19">
        <v>3.2</v>
      </c>
      <c r="AE19" s="19">
        <v>0</v>
      </c>
      <c r="AF19" s="19">
        <v>0</v>
      </c>
      <c r="AG19" s="19">
        <v>15.9</v>
      </c>
      <c r="AH19" s="19">
        <v>5.5</v>
      </c>
      <c r="AI19" s="19">
        <v>0</v>
      </c>
      <c r="AJ19" s="19">
        <v>0</v>
      </c>
      <c r="AK19" s="27"/>
      <c r="AL19" s="40">
        <f>IF(SUM(V19,Z19)&gt;0,SUM(V19,Z19),"")</f>
        <v>11.4</v>
      </c>
      <c r="AM19" s="40">
        <f>IF(SUM(U19:V19,X19:Z19,AB19)-W19-AA19&gt;0,SUM(U19:V19,X19:Z19,AB19)-W19-AA19,"")</f>
        <v>42.8</v>
      </c>
      <c r="AN19" s="40">
        <f>IF(SUM(AD19,AH19)&gt;0,SUM(AD19,AH19),"")</f>
        <v>8.6999999999999993</v>
      </c>
      <c r="AO19" s="40">
        <f>IF(SUM(AC19:AD19,AF19:AH19,AJ19)-SUM(AE19,AI19)&gt;0,SUM(AC19:AD19,AF19:AH19,AJ19)-SUM(AE19,AI19),"")</f>
        <v>38.799999999999997</v>
      </c>
      <c r="AP19" s="40">
        <f>IF(SUM(AM19,AO19)&gt;0,SUM(AM19,AO19),"")</f>
        <v>81.599999999999994</v>
      </c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28"/>
      <c r="BH19" s="11" t="str">
        <f>IF(SUM(AR19,AV19)&gt;0,SUM(AR19,AV19),"")</f>
        <v/>
      </c>
      <c r="BI19" s="11" t="str">
        <f>IF(SUM(AQ19:AR19,AT19:AV19,AX19)-AS19-AW19&gt;0,SUM(AQ19:AR19,AT19:AV19,AX19)-AS19-AW19,"")</f>
        <v/>
      </c>
      <c r="BJ19" s="11" t="str">
        <f>IF(SUM(AZ19,BD19)&gt;0,SUM(AZ19,BD19),"")</f>
        <v/>
      </c>
      <c r="BK19" s="11" t="str">
        <f>IF(SUM(AY19:AZ19,BB19:BD19,BF19)-SUM(BA19,BE19)&gt;0,SUM(AY19:AZ19,BB19:BD19,BF19)-SUM(BA19,BE19),"")</f>
        <v/>
      </c>
      <c r="BL19" s="11" t="str">
        <f>IF(SUM(BI19,BK19)&gt;0,SUM(BI19,BK19),"")</f>
        <v/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IF($CC19="P",BM19,(BM19+AQ19)/2)</f>
        <v>0</v>
      </c>
      <c r="PJ19" s="22">
        <f>IF($CC19="P",BN19,(BN19+AR19)/2)</f>
        <v>0</v>
      </c>
      <c r="PK19" s="22">
        <f>IF($CC19="P",BO19,(BO19+AS19)/2)</f>
        <v>0</v>
      </c>
      <c r="PL19" s="22">
        <f>IF($CC19="P",BP19,(BP19+AT19)/2)</f>
        <v>0</v>
      </c>
      <c r="PM19" s="22">
        <f>IF($CC19="P",BQ19,(BQ19+AU19)/2)</f>
        <v>0</v>
      </c>
      <c r="PN19" s="22">
        <f>IF($CC19="P",BR19,(BR19+AV19)/2)</f>
        <v>0</v>
      </c>
      <c r="PO19" s="22">
        <f>IF($CC19="P",BS19,(BS19+AW19)/2)</f>
        <v>0</v>
      </c>
      <c r="PP19" s="22">
        <f>IF($CC19="P",BT19,(BT19+AX19)/2)</f>
        <v>0</v>
      </c>
      <c r="PQ19" s="22">
        <f>IF($CC19="P",BU19,(BU19+AY19)/2)</f>
        <v>0</v>
      </c>
      <c r="PR19" s="22">
        <f>IF($CC19="P",BV19,(BV19+AZ19)/2)</f>
        <v>0</v>
      </c>
      <c r="PS19" s="22">
        <f>IF($CC19="P",BW19,(BW19+BA19)/2)</f>
        <v>0</v>
      </c>
      <c r="PT19" s="22">
        <f>IF($CC19="P",BX19,(BX19+BB19)/2)</f>
        <v>0</v>
      </c>
      <c r="PU19" s="22">
        <f>IF($CC19="P",BY19,(BY19+BC19)/2)</f>
        <v>0</v>
      </c>
      <c r="PV19" s="22">
        <f>IF($CC19="P",BZ19,(BZ19+BD19)/2)</f>
        <v>0</v>
      </c>
      <c r="PW19" s="22">
        <f>IF($CC19="P",CA19,(CA19+BE19)/2)</f>
        <v>0</v>
      </c>
      <c r="PX19" s="22">
        <f>IF($CC19="P",CB19,(CB19+BF19)/2)</f>
        <v>0</v>
      </c>
      <c r="PY19" s="27" t="s">
        <v>46</v>
      </c>
      <c r="PZ19" s="40" t="str">
        <f>IF(SUM(PJ19,PN19)&gt;0,SUM(PJ19,PN19),"")</f>
        <v/>
      </c>
      <c r="QA19" s="40" t="str">
        <f>IF(SUM(PI19:PJ19,PL19:PN19,PP19)-PK19-PO19&gt;0,SUM(PI19:PJ19,PL19:PN19,PP19)-PK19-PO19,"")</f>
        <v/>
      </c>
      <c r="QB19" s="40" t="str">
        <f>IF(SUM(PR19,PV19)&gt;0,SUM(PR19,PV19),"")</f>
        <v/>
      </c>
      <c r="QC19" s="40" t="str">
        <f>IF(SUM(PQ19:PR19,PT19:PV19,PX19)-SUM(PS19,PW19)&gt;0,SUM(PQ19:PR19,PT19:PV19,PX19)-SUM(PS19,PW19),"")</f>
        <v/>
      </c>
      <c r="QD19" s="40" t="str">
        <f>IF(SUM(QA19,QC19)&gt;0,SUM(QA19,QC19),"")</f>
        <v/>
      </c>
    </row>
    <row r="20" spans="1:446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121</v>
      </c>
      <c r="D20" s="4" t="s">
        <v>4</v>
      </c>
      <c r="E20" s="4">
        <v>2005</v>
      </c>
      <c r="F20" s="9">
        <f>SUM(L20:R20)+SUM(L20:O20)*0.0000001+SUM(L20)*0.0000000000001</f>
        <v>80.700003890003885</v>
      </c>
      <c r="G20" s="64"/>
      <c r="H20" s="3" t="str">
        <f>IF(OR(AND(AL20&gt;=AP$23,AM20&gt;=AP$27,AL20&lt;&gt;"",AK20=""),AND(AN20&gt;=AP$23,AO20&gt;=AP$27,AN20&lt;&gt;"",AK20=""),AND(BH20&gt;=BL$23,BI20&gt;=BL$27,BH20&lt;&gt;"",BG20=""),AND(BJ20&gt;=BL$23,BK20&gt;=BL$27,BJ20&lt;&gt;"",BG20=""),AND(CD20&gt;=CH$23,CE20&gt;=CH$27,CD20&lt;&gt;"",CC20=""),AND(CF20&gt;=CH$23,CG20&gt;=CH$27,CF20&lt;&gt;""),AND(DE20&gt;=DL$23,DF20&gt;=DL$27,DE20&lt;&gt;""),AND(DJ20&gt;=DL$23,DK20&gt;=DL$27,DJ20&lt;&gt;""),AND(EG20&gt;=EN$23,EH20&gt;=EN$27,EG20&lt;&gt;""),AND(EL20&gt;=EN$23,EM20&gt;=EN$27,EL20&lt;&gt;""),AND(FI20&gt;=FP$23,FJ20&gt;=FP$27,FI20&lt;&gt;""),AND(FN20&gt;=FP$23,FO20&gt;=FP$27,FN20&lt;&gt;""),AND(GK20&gt;=GR$23,GL20&gt;=GR$27,GK20&lt;&gt;""),AND(GP20&gt;=GR$23,GQ20&gt;=GR$27,GP20&lt;&gt;""),AND(HM20&gt;=HT$23,HN20&gt;=HT$27,HM20&lt;&gt;""),AND(HR20&gt;=HT$23,HS20&gt;=HT$27,HR20&lt;&gt;""),AND(IO20&gt;=IV$23,IP20&gt;=IV$27,IO20&lt;&gt;""),AND(IT20&gt;=IV$23,IU20&gt;=IV$27,IT20&lt;&gt;""),AND(JQ20&gt;=JX$23,JR20&gt;=JX$27,JQ20&lt;&gt;""),AND(JV20&gt;=JX$23,JW20&gt;=JX$27,JV20&lt;&gt;""),AND(KS20&gt;=KZ$23,KT20&gt;=KZ$27,KS20&lt;&gt;""),AND(KX20&gt;=KZ$23,KY20&gt;=KZ$27,KX20&lt;&gt;""),AND(LU20&gt;=MB$23,LV20&gt;=MB$27,LU20&lt;&gt;""),AND(LZ20&gt;=MB$23,MA20&gt;=MB$27,LZ20&lt;&gt;""),AND(MW20&gt;=ND$23,MX20&gt;=ND$27,MW20&lt;&gt;""),AND(NB20&gt;=ND$23,NC20&gt;=ND$27,NB20&lt;&gt;""),AND(NY20&gt;=OF$23,NZ20&gt;=OF$27,NY20&lt;&gt;""),AND(OD20&gt;=OF$23,OE20&gt;=OF$27,OD20&lt;&gt;""),AND(PA20&gt;=PH$23,PB20&gt;=PH$27,PA20&lt;&gt;""),AND(PF20&gt;=PH$23,PG20&gt;=PH$27,PF20&lt;&gt;"")),"P","")</f>
        <v/>
      </c>
      <c r="I20" s="3" t="str">
        <f>IF(OR(AND(AM20&gt;=AP$27,AM20&lt;&gt;"",AK20=""),AND(AO20&gt;=AP$27,AO20&lt;&gt;"",AK20=""),AND(BI20&gt;=BL$27,BI20&lt;&gt;"",BG20=""),AND(BK20&gt;=BL$27,BK20&lt;&gt;"",BG20=""),AND(CE20&gt;=CH$27,CE20&lt;&gt;"",CC20=""),AND(CG20&gt;=CH$27,CG20&lt;&gt;"",CC20=""),AND(DF20&gt;=DL$27,DF20&lt;&gt;""),AND(DK20&gt;=DL$27,DK20&lt;&gt;""),AND(EH20&gt;=EN$27,EH20&lt;&gt;""),AND(EM20&gt;=EN$27,EM20&lt;&gt;""),AND(FJ20&gt;=FP$27,FJ20&lt;&gt;""),AND(FO20&gt;=FP$27,FO20&lt;&gt;""),AND(GL20&gt;=GR$27,GL20&lt;&gt;""),AND(GQ20&gt;=GR$27,GQ20&lt;&gt;""),AND(HN20&gt;=HT$27,HN20&lt;&gt;""),AND(HS20&gt;=HT$27,HS20&lt;&gt;""),AND(IP20&gt;=IV$27,IP20&lt;&gt;""),AND(IU20&gt;=IV$27,IU20&lt;&gt;""),AND(JR20&gt;=JX$27,JR20&lt;&gt;""),AND(JW20&gt;=JX$27,JW20&lt;&gt;""),AND(KT20&gt;=KZ$27,KT20&lt;&gt;""),AND(KY20&gt;=KZ$27,KY20&lt;&gt;""),AND(LV20&gt;=MB$27,LV20&lt;&gt;""),AND(MA20&gt;=MB$27,MA20&lt;&gt;""),AND(MX20&gt;=ND$27,MX20&lt;&gt;""),AND(NC20&gt;=ND$27,NC20&lt;&gt;""),AND(NZ20&gt;=OF$27,NZ20&lt;&gt;""),AND(OE20&gt;=OF$27,OE20&lt;&gt;""),AND(PB20&gt;=PH$27,PB20&lt;&gt;""),AND(PG20&gt;=PH$27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38.9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0</v>
      </c>
      <c r="O20" s="8" t="str">
        <f>IF(N20=0,"",IF(AND(N20=L20,N20=AM20,N20=BI20),$U$1,IF(AND(N20=L20,N20=AM20,N20=CE20),$U$1,IF(AND(N20=L20,N20=BI20,N20=CE20),$AQ$1,IF(N20=CE20,$BM$1,IF(N20=BI20,$AQ$1,IF(N20=AM20,$U$1,"")))))))</f>
        <v/>
      </c>
      <c r="P20" s="8">
        <f>IF(MAX(AO20,BK20,CG20)&gt;0,MAX(AO20,BK20,CG20),0)</f>
        <v>41.8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27"/>
      <c r="AL20" s="40" t="str">
        <f>IF(SUM(V20,Z20)&gt;0,SUM(V20,Z20),"")</f>
        <v/>
      </c>
      <c r="AM20" s="40" t="str">
        <f>IF(SUM(U20:V20,X20:Z20,AB20)-W20-AA20&gt;0,SUM(U20:V20,X20:Z20,AB20)-W20-AA20,"")</f>
        <v/>
      </c>
      <c r="AN20" s="40" t="str">
        <f>IF(SUM(AD20,AH20)&gt;0,SUM(AD20,AH20),"")</f>
        <v/>
      </c>
      <c r="AO20" s="40" t="str">
        <f>IF(SUM(AC20:AD20,AF20:AH20,AJ20)-SUM(AE20,AI20)&gt;0,SUM(AC20:AD20,AF20:AH20,AJ20)-SUM(AE20,AI20),"")</f>
        <v/>
      </c>
      <c r="AP20" s="40" t="str">
        <f>IF(SUM(AM20,AO20)&gt;0,SUM(AM20,AO20),"")</f>
        <v/>
      </c>
      <c r="AQ20" s="18">
        <v>15.7</v>
      </c>
      <c r="AR20" s="18">
        <v>4.8</v>
      </c>
      <c r="AS20" s="18">
        <v>0.2</v>
      </c>
      <c r="AT20" s="18">
        <v>0</v>
      </c>
      <c r="AU20" s="18">
        <v>14.4</v>
      </c>
      <c r="AV20" s="18">
        <v>4.2</v>
      </c>
      <c r="AW20" s="18">
        <v>0</v>
      </c>
      <c r="AX20" s="18">
        <v>0</v>
      </c>
      <c r="AY20" s="18">
        <v>16.100000000000001</v>
      </c>
      <c r="AZ20" s="18">
        <v>4.8</v>
      </c>
      <c r="BA20" s="18">
        <v>0</v>
      </c>
      <c r="BB20" s="18">
        <v>0</v>
      </c>
      <c r="BC20" s="18">
        <v>15.6</v>
      </c>
      <c r="BD20" s="18">
        <v>5.3</v>
      </c>
      <c r="BE20" s="18">
        <v>0</v>
      </c>
      <c r="BF20" s="18">
        <v>0</v>
      </c>
      <c r="BG20" s="28"/>
      <c r="BH20" s="11">
        <f>IF(SUM(AR20,AV20)&gt;0,SUM(AR20,AV20),"")</f>
        <v>9</v>
      </c>
      <c r="BI20" s="11">
        <f>IF(SUM(AQ20:AR20,AT20:AV20,AX20)-AS20-AW20&gt;0,SUM(AQ20:AR20,AT20:AV20,AX20)-AS20-AW20,"")</f>
        <v>38.9</v>
      </c>
      <c r="BJ20" s="11">
        <f>IF(SUM(AZ20,BD20)&gt;0,SUM(AZ20,BD20),"")</f>
        <v>10.1</v>
      </c>
      <c r="BK20" s="11">
        <f>IF(SUM(AY20:AZ20,BB20:BD20,BF20)-SUM(BA20,BE20)&gt;0,SUM(AY20:AZ20,BB20:BD20,BF20)-SUM(BA20,BE20),"")</f>
        <v>41.8</v>
      </c>
      <c r="BL20" s="11">
        <f>IF(SUM(BI20,BK20)&gt;0,SUM(BI20,BK20),"")</f>
        <v>80.699999999999989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IF($CC20="P",BM20,(BM20+AQ20)/2)</f>
        <v>7.85</v>
      </c>
      <c r="PJ20" s="22">
        <f>IF($CC20="P",BN20,(BN20+AR20)/2)</f>
        <v>2.4</v>
      </c>
      <c r="PK20" s="22">
        <f>IF($CC20="P",BO20,(BO20+AS20)/2)</f>
        <v>0.1</v>
      </c>
      <c r="PL20" s="22">
        <f>IF($CC20="P",BP20,(BP20+AT20)/2)</f>
        <v>0</v>
      </c>
      <c r="PM20" s="22">
        <f>IF($CC20="P",BQ20,(BQ20+AU20)/2)</f>
        <v>7.2</v>
      </c>
      <c r="PN20" s="22">
        <f>IF($CC20="P",BR20,(BR20+AV20)/2)</f>
        <v>2.1</v>
      </c>
      <c r="PO20" s="22">
        <f>IF($CC20="P",BS20,(BS20+AW20)/2)</f>
        <v>0</v>
      </c>
      <c r="PP20" s="22">
        <f>IF($CC20="P",BT20,(BT20+AX20)/2)</f>
        <v>0</v>
      </c>
      <c r="PQ20" s="22">
        <f>IF($CC20="P",BU20,(BU20+AY20)/2)</f>
        <v>8.0500000000000007</v>
      </c>
      <c r="PR20" s="22">
        <f>IF($CC20="P",BV20,(BV20+AZ20)/2)</f>
        <v>2.4</v>
      </c>
      <c r="PS20" s="22">
        <f>IF($CC20="P",BW20,(BW20+BA20)/2)</f>
        <v>0</v>
      </c>
      <c r="PT20" s="22">
        <f>IF($CC20="P",BX20,(BX20+BB20)/2)</f>
        <v>0</v>
      </c>
      <c r="PU20" s="22">
        <f>IF($CC20="P",BY20,(BY20+BC20)/2)</f>
        <v>7.8</v>
      </c>
      <c r="PV20" s="22">
        <f>IF($CC20="P",BZ20,(BZ20+BD20)/2)</f>
        <v>2.65</v>
      </c>
      <c r="PW20" s="22">
        <f>IF($CC20="P",CA20,(CA20+BE20)/2)</f>
        <v>0</v>
      </c>
      <c r="PX20" s="22">
        <f>IF($CC20="P",CB20,(CB20+BF20)/2)</f>
        <v>0</v>
      </c>
      <c r="PY20" s="27" t="s">
        <v>46</v>
      </c>
      <c r="PZ20" s="40">
        <f>IF(SUM(PJ20,PN20)&gt;0,SUM(PJ20,PN20),"")</f>
        <v>4.5</v>
      </c>
      <c r="QA20" s="40">
        <f>IF(SUM(PI20:PJ20,PL20:PN20,PP20)-PK20-PO20&gt;0,SUM(PI20:PJ20,PL20:PN20,PP20)-PK20-PO20,"")</f>
        <v>19.45</v>
      </c>
      <c r="QB20" s="40">
        <f>IF(SUM(PR20,PV20)&gt;0,SUM(PR20,PV20),"")</f>
        <v>5.05</v>
      </c>
      <c r="QC20" s="40">
        <f>IF(SUM(PQ20:PR20,PT20:PV20,PX20)-SUM(PS20,PW20)&gt;0,SUM(PQ20:PR20,PT20:PV20,PX20)-SUM(PS20,PW20),"")</f>
        <v>20.9</v>
      </c>
      <c r="QD20" s="40">
        <f>IF(SUM(QA20,QC20)&gt;0,SUM(QA20,QC20),"")</f>
        <v>40.349999999999994</v>
      </c>
    </row>
    <row r="21" spans="1:446" ht="17" x14ac:dyDescent="0.2">
      <c r="G21" s="64"/>
      <c r="R21" s="10"/>
      <c r="S21" s="10"/>
      <c r="T21" s="10"/>
    </row>
    <row r="22" spans="1:446" ht="17" x14ac:dyDescent="0.2">
      <c r="G22" s="64"/>
      <c r="R22" s="10"/>
      <c r="S22" s="10"/>
      <c r="T22" s="10"/>
    </row>
    <row r="23" spans="1:446" ht="17" x14ac:dyDescent="0.2">
      <c r="C23" s="23" t="s">
        <v>44</v>
      </c>
      <c r="G23" s="64"/>
      <c r="R23" s="10"/>
      <c r="S23" s="10"/>
      <c r="T23" s="10"/>
      <c r="AL23" s="4"/>
      <c r="AP23" s="42">
        <v>10.4</v>
      </c>
      <c r="BH23" s="4"/>
      <c r="BL23" s="42">
        <v>10.4</v>
      </c>
      <c r="CD23" s="4"/>
      <c r="CH23" s="42">
        <v>10.4</v>
      </c>
      <c r="DE23" s="4"/>
      <c r="DL23" s="42">
        <v>10.4</v>
      </c>
      <c r="EG23" s="4"/>
      <c r="EN23" s="42">
        <v>10.4</v>
      </c>
      <c r="FI23" s="4"/>
      <c r="FP23" s="42">
        <v>10.4</v>
      </c>
      <c r="GK23" s="4"/>
      <c r="GR23" s="42">
        <v>10.4</v>
      </c>
      <c r="HM23" s="4"/>
      <c r="HT23" s="42">
        <v>10.4</v>
      </c>
      <c r="IO23" s="4"/>
      <c r="IV23" s="42">
        <v>10.4</v>
      </c>
      <c r="JQ23" s="4"/>
      <c r="JX23" s="42">
        <v>10.4</v>
      </c>
      <c r="KS23" s="4"/>
      <c r="KZ23" s="42">
        <v>10.4</v>
      </c>
      <c r="LU23" s="4"/>
      <c r="MB23" s="42">
        <v>10.4</v>
      </c>
      <c r="MW23" s="4"/>
      <c r="ND23" s="42">
        <v>10.4</v>
      </c>
      <c r="NY23" s="4"/>
      <c r="OF23" s="42">
        <v>10.4</v>
      </c>
      <c r="PA23" s="4"/>
      <c r="PH23" s="42">
        <v>10.4</v>
      </c>
    </row>
    <row r="24" spans="1:446" ht="17" hidden="1" x14ac:dyDescent="0.2">
      <c r="C24" s="30" t="s">
        <v>43</v>
      </c>
      <c r="G24" s="64"/>
      <c r="R24" s="10"/>
      <c r="S24" s="10"/>
      <c r="T24" s="10"/>
      <c r="AL24" s="4"/>
      <c r="AP24" s="51">
        <v>1000</v>
      </c>
      <c r="BH24" s="4"/>
      <c r="BL24" s="51">
        <v>1000</v>
      </c>
      <c r="CD24" s="4"/>
      <c r="CH24" s="51">
        <v>1000</v>
      </c>
      <c r="DE24" s="4"/>
      <c r="DL24" s="51">
        <v>1000</v>
      </c>
      <c r="EG24" s="4"/>
      <c r="EN24" s="51">
        <v>1000</v>
      </c>
      <c r="FI24" s="4"/>
      <c r="FP24" s="51">
        <v>1000</v>
      </c>
      <c r="GK24" s="4"/>
      <c r="GR24" s="51">
        <v>1000</v>
      </c>
      <c r="HM24" s="4"/>
      <c r="HT24" s="51">
        <v>1000</v>
      </c>
      <c r="IO24" s="4"/>
      <c r="IV24" s="51">
        <v>1000</v>
      </c>
      <c r="JQ24" s="4"/>
      <c r="JX24" s="51">
        <v>1000</v>
      </c>
      <c r="KS24" s="4"/>
      <c r="KZ24" s="51">
        <v>1000</v>
      </c>
      <c r="LU24" s="4"/>
      <c r="MB24" s="51">
        <v>1000</v>
      </c>
      <c r="MW24" s="4"/>
      <c r="ND24" s="51">
        <v>1000</v>
      </c>
      <c r="NY24" s="4"/>
      <c r="OF24" s="51">
        <v>1000</v>
      </c>
      <c r="PA24" s="4"/>
      <c r="PH24" s="51">
        <v>1000</v>
      </c>
    </row>
    <row r="25" spans="1:446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L25" s="4"/>
      <c r="AP25" s="43">
        <v>1000</v>
      </c>
      <c r="BH25" s="4"/>
      <c r="BL25" s="43">
        <v>1000</v>
      </c>
      <c r="CD25" s="4"/>
      <c r="CH25" s="43">
        <v>1000</v>
      </c>
      <c r="DE25" s="4"/>
      <c r="DL25" s="43">
        <v>1000</v>
      </c>
      <c r="EG25" s="4"/>
      <c r="EN25" s="43">
        <v>1000</v>
      </c>
      <c r="FI25" s="4"/>
      <c r="FP25" s="43">
        <v>1000</v>
      </c>
      <c r="GK25" s="4"/>
      <c r="GR25" s="43">
        <v>1000</v>
      </c>
      <c r="HM25" s="4"/>
      <c r="HT25" s="43">
        <v>1000</v>
      </c>
      <c r="IO25" s="4"/>
      <c r="IV25" s="43">
        <v>1000</v>
      </c>
      <c r="JQ25" s="4"/>
      <c r="JX25" s="43">
        <v>1000</v>
      </c>
      <c r="KS25" s="4"/>
      <c r="KZ25" s="43">
        <v>1000</v>
      </c>
      <c r="LU25" s="4"/>
      <c r="MB25" s="43">
        <v>1000</v>
      </c>
      <c r="MW25" s="4"/>
      <c r="ND25" s="43">
        <v>1000</v>
      </c>
      <c r="NY25" s="4"/>
      <c r="OF25" s="43">
        <v>1000</v>
      </c>
      <c r="PA25" s="4"/>
      <c r="PH25" s="43">
        <v>1000</v>
      </c>
    </row>
    <row r="26" spans="1:446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L26" s="4"/>
      <c r="AP26" s="44">
        <v>1000</v>
      </c>
      <c r="BH26" s="4"/>
      <c r="BL26" s="44">
        <v>1000</v>
      </c>
      <c r="CD26" s="4"/>
      <c r="CH26" s="44">
        <v>1000</v>
      </c>
      <c r="DE26" s="4"/>
      <c r="DL26" s="44">
        <v>1000</v>
      </c>
      <c r="EG26" s="4"/>
      <c r="EN26" s="44">
        <v>1000</v>
      </c>
      <c r="FI26" s="4"/>
      <c r="FP26" s="44">
        <v>1000</v>
      </c>
      <c r="GK26" s="4"/>
      <c r="GR26" s="44">
        <v>1000</v>
      </c>
      <c r="HM26" s="4"/>
      <c r="HT26" s="44">
        <v>1000</v>
      </c>
      <c r="IO26" s="4"/>
      <c r="IV26" s="44">
        <v>1000</v>
      </c>
      <c r="JQ26" s="4"/>
      <c r="JX26" s="44">
        <v>1000</v>
      </c>
      <c r="KS26" s="4"/>
      <c r="KZ26" s="44">
        <v>1000</v>
      </c>
      <c r="LU26" s="4"/>
      <c r="MB26" s="44">
        <v>1000</v>
      </c>
      <c r="MW26" s="4"/>
      <c r="ND26" s="44">
        <v>1000</v>
      </c>
      <c r="NY26" s="4"/>
      <c r="OF26" s="44">
        <v>1000</v>
      </c>
      <c r="PA26" s="4"/>
      <c r="PH26" s="44">
        <v>1000</v>
      </c>
    </row>
    <row r="27" spans="1:446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L27" s="4"/>
      <c r="AP27" s="45">
        <v>44.8</v>
      </c>
      <c r="BH27" s="4"/>
      <c r="BL27" s="45">
        <v>44.8</v>
      </c>
      <c r="CD27" s="4"/>
      <c r="CH27" s="45">
        <v>44.8</v>
      </c>
      <c r="DE27" s="4"/>
      <c r="DL27" s="45">
        <v>44.8</v>
      </c>
      <c r="EG27" s="4"/>
      <c r="EN27" s="45">
        <v>44.8</v>
      </c>
      <c r="FI27" s="4"/>
      <c r="FP27" s="45">
        <v>44.8</v>
      </c>
      <c r="GK27" s="4"/>
      <c r="GR27" s="45">
        <v>44.8</v>
      </c>
      <c r="HM27" s="4"/>
      <c r="HT27" s="45">
        <v>44.8</v>
      </c>
      <c r="IO27" s="4"/>
      <c r="IV27" s="45">
        <v>44.8</v>
      </c>
      <c r="JQ27" s="4"/>
      <c r="JX27" s="45">
        <v>44.8</v>
      </c>
      <c r="KS27" s="4"/>
      <c r="KZ27" s="45">
        <v>44.8</v>
      </c>
      <c r="LU27" s="4"/>
      <c r="MB27" s="45">
        <v>44.8</v>
      </c>
      <c r="MW27" s="4"/>
      <c r="ND27" s="45">
        <v>44.8</v>
      </c>
      <c r="NY27" s="4"/>
      <c r="OF27" s="45">
        <v>44.8</v>
      </c>
      <c r="PA27" s="4"/>
      <c r="PH27" s="45">
        <v>44.8</v>
      </c>
    </row>
    <row r="28" spans="1:446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L28" s="4"/>
      <c r="AP28" s="46">
        <v>1000</v>
      </c>
      <c r="BH28" s="4"/>
      <c r="BL28" s="46">
        <v>1000</v>
      </c>
      <c r="CD28" s="4"/>
      <c r="CH28" s="46">
        <v>1000</v>
      </c>
      <c r="DE28" s="4"/>
      <c r="DL28" s="46">
        <v>1000</v>
      </c>
      <c r="EG28" s="4"/>
      <c r="EN28" s="46">
        <v>1000</v>
      </c>
      <c r="FI28" s="4"/>
      <c r="FP28" s="46">
        <v>1000</v>
      </c>
      <c r="GK28" s="4"/>
      <c r="GR28" s="46">
        <v>1000</v>
      </c>
      <c r="HM28" s="4"/>
      <c r="HT28" s="46">
        <v>1000</v>
      </c>
      <c r="IO28" s="4"/>
      <c r="IV28" s="46">
        <v>1000</v>
      </c>
      <c r="JQ28" s="4"/>
      <c r="JX28" s="46">
        <v>1000</v>
      </c>
      <c r="KS28" s="4"/>
      <c r="KZ28" s="46">
        <v>1000</v>
      </c>
      <c r="LU28" s="4"/>
      <c r="MB28" s="46">
        <v>1000</v>
      </c>
      <c r="MW28" s="4"/>
      <c r="ND28" s="46">
        <v>1000</v>
      </c>
      <c r="NY28" s="4"/>
      <c r="OF28" s="46">
        <v>1000</v>
      </c>
      <c r="PA28" s="4"/>
      <c r="PH28" s="46">
        <v>1000</v>
      </c>
    </row>
    <row r="29" spans="1:446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L29" s="4"/>
      <c r="AP29" s="47">
        <v>1000</v>
      </c>
      <c r="BH29" s="4"/>
      <c r="BL29" s="47">
        <v>1000</v>
      </c>
      <c r="CD29" s="4"/>
      <c r="CH29" s="47">
        <v>1000</v>
      </c>
      <c r="DE29" s="4"/>
      <c r="DL29" s="47">
        <v>1000</v>
      </c>
      <c r="EG29" s="4"/>
      <c r="EN29" s="47">
        <v>1000</v>
      </c>
      <c r="FI29" s="4"/>
      <c r="FP29" s="47">
        <v>1000</v>
      </c>
      <c r="GK29" s="4"/>
      <c r="GR29" s="47">
        <v>1000</v>
      </c>
      <c r="HM29" s="4"/>
      <c r="HT29" s="47">
        <v>1000</v>
      </c>
      <c r="IO29" s="4"/>
      <c r="IV29" s="47">
        <v>1000</v>
      </c>
      <c r="JQ29" s="4"/>
      <c r="JX29" s="47">
        <v>1000</v>
      </c>
      <c r="KS29" s="4"/>
      <c r="KZ29" s="47">
        <v>1000</v>
      </c>
      <c r="LU29" s="4"/>
      <c r="MB29" s="47">
        <v>1000</v>
      </c>
      <c r="MW29" s="4"/>
      <c r="ND29" s="47">
        <v>1000</v>
      </c>
      <c r="NY29" s="4"/>
      <c r="OF29" s="47">
        <v>1000</v>
      </c>
      <c r="PA29" s="4"/>
      <c r="PH29" s="47">
        <v>1000</v>
      </c>
    </row>
    <row r="30" spans="1:446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L30" s="4"/>
      <c r="AP30" s="48">
        <v>1000</v>
      </c>
      <c r="BH30" s="4"/>
      <c r="BL30" s="48">
        <v>1000</v>
      </c>
      <c r="CD30" s="4"/>
      <c r="CH30" s="48">
        <v>1000</v>
      </c>
      <c r="DE30" s="4"/>
      <c r="DL30" s="48">
        <v>1000</v>
      </c>
      <c r="EG30" s="4"/>
      <c r="EN30" s="48">
        <v>1000</v>
      </c>
      <c r="FI30" s="4"/>
      <c r="FP30" s="48">
        <v>1000</v>
      </c>
      <c r="GK30" s="4"/>
      <c r="GR30" s="48">
        <v>1000</v>
      </c>
      <c r="HM30" s="4"/>
      <c r="HT30" s="48">
        <v>1000</v>
      </c>
      <c r="IO30" s="4"/>
      <c r="IV30" s="48">
        <v>1000</v>
      </c>
      <c r="JQ30" s="4"/>
      <c r="JX30" s="48">
        <v>1000</v>
      </c>
      <c r="KS30" s="4"/>
      <c r="KZ30" s="48">
        <v>1000</v>
      </c>
      <c r="LU30" s="4"/>
      <c r="MB30" s="48">
        <v>1000</v>
      </c>
      <c r="MW30" s="4"/>
      <c r="ND30" s="48">
        <v>1000</v>
      </c>
      <c r="NY30" s="4"/>
      <c r="OF30" s="48">
        <v>1000</v>
      </c>
      <c r="PA30" s="4"/>
      <c r="PH30" s="48">
        <v>1000</v>
      </c>
    </row>
    <row r="31" spans="1:446" x14ac:dyDescent="0.2">
      <c r="C31" s="29" t="s">
        <v>47</v>
      </c>
      <c r="D31" s="2"/>
      <c r="G31" s="64"/>
    </row>
    <row r="32" spans="1:446" x14ac:dyDescent="0.2">
      <c r="A32" s="5"/>
      <c r="B32" s="5"/>
      <c r="C32" s="5"/>
      <c r="D32" s="20"/>
      <c r="G32" s="64"/>
      <c r="PJ32" s="2"/>
      <c r="PK32" s="2"/>
      <c r="PL32" s="2"/>
      <c r="PM32" s="2"/>
      <c r="PN32" s="2"/>
      <c r="PO32" s="2"/>
      <c r="PP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QD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20">
      <sortCondition descending="1" ref="H1:H21"/>
    </sortState>
  </autoFilter>
  <mergeCells count="113"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A4:B1048576">
    <cfRule type="expression" dxfId="138" priority="6">
      <formula>AND($I4="P",$H4="")</formula>
    </cfRule>
    <cfRule type="expression" dxfId="137" priority="29">
      <formula>IF(A4&gt;4,1,0)</formula>
    </cfRule>
  </conditionalFormatting>
  <conditionalFormatting sqref="J1:J1048576">
    <cfRule type="containsText" dxfId="136" priority="24" operator="containsText" text="No DD">
      <formula>NOT(ISERROR(SEARCH("No DD",J1)))</formula>
    </cfRule>
    <cfRule type="containsText" dxfId="135" priority="25" operator="containsText" text="Merit">
      <formula>NOT(ISERROR(SEARCH("Merit",J1)))</formula>
    </cfRule>
    <cfRule type="containsText" dxfId="134" priority="26" operator="containsText" text="Excellence">
      <formula>NOT(ISERROR(SEARCH("Excellence",J1)))</formula>
    </cfRule>
    <cfRule type="containsText" dxfId="133" priority="27" operator="containsText" text="Worlds Team">
      <formula>NOT(ISERROR(SEARCH("Worlds Team",J1)))</formula>
    </cfRule>
    <cfRule type="containsText" dxfId="132" priority="28" operator="containsText" text="National Team">
      <formula>NOT(ISERROR(SEARCH("National Team",J1)))</formula>
    </cfRule>
  </conditionalFormatting>
  <conditionalFormatting sqref="DI31:DI1048576 DI1:DI29 EK1:EK1048576 FM1:FM1048576 GO1:GO1048576 HQ1:HQ1048576 IS1:IS1048576 JU1:JU1048576 KW1:KW1048576 LY1:LY1048576 NA1:NA1048576 OC1:OC1048576 PE1:PE1048576">
    <cfRule type="cellIs" dxfId="131" priority="21" operator="between">
      <formula>DL$30</formula>
      <formula>1000</formula>
    </cfRule>
    <cfRule type="cellIs" dxfId="130" priority="22" operator="between">
      <formula>DL$29</formula>
      <formula>DL$30</formula>
    </cfRule>
    <cfRule type="cellIs" dxfId="129" priority="23" operator="between">
      <formula>DL$28</formula>
      <formula>DL$29</formula>
    </cfRule>
  </conditionalFormatting>
  <conditionalFormatting sqref="A1:B3">
    <cfRule type="expression" dxfId="128" priority="7">
      <formula>AND(I1&lt;&gt;"",H1="")</formula>
    </cfRule>
  </conditionalFormatting>
  <conditionalFormatting sqref="K50">
    <cfRule type="containsText" dxfId="127" priority="1" operator="containsText" text="No DD">
      <formula>NOT(ISERROR(SEARCH("No DD",K50)))</formula>
    </cfRule>
    <cfRule type="containsText" dxfId="126" priority="2" operator="containsText" text="Merit">
      <formula>NOT(ISERROR(SEARCH("Merit",K50)))</formula>
    </cfRule>
    <cfRule type="containsText" dxfId="125" priority="3" operator="containsText" text="Excellence">
      <formula>NOT(ISERROR(SEARCH("Excellence",K50)))</formula>
    </cfRule>
    <cfRule type="containsText" dxfId="124" priority="4" operator="containsText" text="Worlds Team">
      <formula>NOT(ISERROR(SEARCH("Worlds Team",K50)))</formula>
    </cfRule>
    <cfRule type="containsText" dxfId="123" priority="5" operator="containsText" text="National Team">
      <formula>NOT(ISERROR(SEARCH("National Team",K50)))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122" priority="239065" operator="between">
      <formula>DL$23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21" priority="239110" operator="between">
      <formula>DL$27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20" priority="239155" operator="between">
      <formula>AP$23</formula>
      <formula>AP$24</formula>
    </cfRule>
    <cfRule type="cellIs" dxfId="119" priority="239156" operator="between">
      <formula>AP$24</formula>
      <formula>AP$25</formula>
    </cfRule>
    <cfRule type="cellIs" dxfId="118" priority="239157" operator="between">
      <formula>AP$25</formula>
      <formula>AP$26</formula>
    </cfRule>
    <cfRule type="cellIs" dxfId="117" priority="239158" operator="between">
      <formula>AP$26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116" priority="239335" operator="between">
      <formula>AP$27</formula>
      <formula>AP$28</formula>
    </cfRule>
    <cfRule type="cellIs" dxfId="115" priority="239336" operator="between">
      <formula>AP$28</formula>
      <formula>AP$29</formula>
    </cfRule>
    <cfRule type="cellIs" dxfId="114" priority="239337" operator="between">
      <formula>AP$29</formula>
      <formula>AP$30</formula>
    </cfRule>
    <cfRule type="cellIs" dxfId="113" priority="239338" operator="between">
      <formula>AP$30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112" priority="239515" operator="between">
      <formula>DL$26</formula>
      <formula>1000</formula>
    </cfRule>
    <cfRule type="cellIs" dxfId="111" priority="239516" operator="between">
      <formula>DL$25</formula>
      <formula>DL$26</formula>
    </cfRule>
    <cfRule type="cellIs" dxfId="110" priority="239517" operator="between">
      <formula>DL$24</formula>
      <formula>DL$25</formula>
    </cfRule>
  </conditionalFormatting>
  <conditionalFormatting sqref="BH1:BH1048576 CD1:CD1048576 AL1:AL1048576">
    <cfRule type="cellIs" dxfId="109" priority="267738" operator="between">
      <formula>AP$23</formula>
      <formula>1000</formula>
    </cfRule>
  </conditionalFormatting>
  <conditionalFormatting sqref="BI1:BI1048576 CE1:CE1048576 AM1:AM1048576">
    <cfRule type="cellIs" dxfId="108" priority="267739" operator="between">
      <formula>AP$27</formula>
      <formula>1000</formula>
    </cfRule>
  </conditionalFormatting>
  <conditionalFormatting sqref="AQ4:BL20">
    <cfRule type="expression" dxfId="107" priority="267740" stopIfTrue="1">
      <formula>IF($BG4&lt;&gt;"",1,0)</formula>
    </cfRule>
  </conditionalFormatting>
  <conditionalFormatting sqref="BM4:CH20">
    <cfRule type="expression" dxfId="106" priority="267745" stopIfTrue="1">
      <formula>IF($CC4&lt;&gt;"",1,0)</formula>
    </cfRule>
  </conditionalFormatting>
  <conditionalFormatting sqref="U4:AP20">
    <cfRule type="expression" dxfId="105" priority="267746" stopIfTrue="1">
      <formula>IF($AK4&lt;&gt;"",1,0)</formula>
    </cfRule>
  </conditionalFormatting>
  <conditionalFormatting sqref="M1:M1048576 Q1:Q1048576 O1:O1048576">
    <cfRule type="expression" dxfId="104" priority="267755">
      <formula>IF(M1=$BM$1,1,0)</formula>
    </cfRule>
    <cfRule type="expression" dxfId="103" priority="267756">
      <formula>IF(M1=$AQ$1,1,0)</formula>
    </cfRule>
    <cfRule type="expression" dxfId="102" priority="267757">
      <formula>IF(M1=$U$1,1,0)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QD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5" t="s">
        <v>184</v>
      </c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0" t="s">
        <v>196</v>
      </c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6" t="s">
        <v>52</v>
      </c>
      <c r="CJ1" s="76"/>
      <c r="CK1" s="70" t="s">
        <v>193</v>
      </c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5" t="s">
        <v>201</v>
      </c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  <c r="ED1" s="75"/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0" t="s">
        <v>202</v>
      </c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5" t="s">
        <v>203</v>
      </c>
      <c r="FR1" s="75"/>
      <c r="FS1" s="75"/>
      <c r="FT1" s="75"/>
      <c r="FU1" s="75"/>
      <c r="FV1" s="75"/>
      <c r="FW1" s="75"/>
      <c r="FX1" s="75"/>
      <c r="FY1" s="75"/>
      <c r="FZ1" s="75"/>
      <c r="GA1" s="75"/>
      <c r="GB1" s="75"/>
      <c r="GC1" s="75"/>
      <c r="GD1" s="75"/>
      <c r="GE1" s="75"/>
      <c r="GF1" s="75"/>
      <c r="GG1" s="75"/>
      <c r="GH1" s="75"/>
      <c r="GI1" s="75"/>
      <c r="GJ1" s="75"/>
      <c r="GK1" s="75"/>
      <c r="GL1" s="75"/>
      <c r="GM1" s="75"/>
      <c r="GN1" s="75"/>
      <c r="GO1" s="75"/>
      <c r="GP1" s="75"/>
      <c r="GQ1" s="75"/>
      <c r="GR1" s="75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5"/>
      <c r="IK1" s="75"/>
      <c r="IL1" s="75"/>
      <c r="IM1" s="75"/>
      <c r="IN1" s="75"/>
      <c r="IO1" s="75"/>
      <c r="IP1" s="75"/>
      <c r="IQ1" s="75"/>
      <c r="IR1" s="75"/>
      <c r="IS1" s="75"/>
      <c r="IT1" s="75"/>
      <c r="IU1" s="75"/>
      <c r="IV1" s="75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5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5"/>
      <c r="OH1" s="75"/>
      <c r="OI1" s="75"/>
      <c r="OJ1" s="75"/>
      <c r="OK1" s="75"/>
      <c r="OL1" s="75"/>
      <c r="OM1" s="75"/>
      <c r="ON1" s="75"/>
      <c r="OO1" s="75"/>
      <c r="OP1" s="75"/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0" t="s">
        <v>56</v>
      </c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</row>
    <row r="2" spans="1:446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79</v>
      </c>
      <c r="AD2" s="71"/>
      <c r="AE2" s="71"/>
      <c r="AF2" s="71"/>
      <c r="AG2" s="78" t="s">
        <v>80</v>
      </c>
      <c r="AH2" s="78"/>
      <c r="AI2" s="78"/>
      <c r="AJ2" s="78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7" t="s">
        <v>76</v>
      </c>
      <c r="AR2" s="67"/>
      <c r="AS2" s="67"/>
      <c r="AT2" s="67"/>
      <c r="AU2" s="67" t="s">
        <v>77</v>
      </c>
      <c r="AV2" s="67"/>
      <c r="AW2" s="67"/>
      <c r="AX2" s="67"/>
      <c r="AY2" s="67" t="s">
        <v>79</v>
      </c>
      <c r="AZ2" s="67"/>
      <c r="BA2" s="67"/>
      <c r="BB2" s="67"/>
      <c r="BC2" s="77" t="s">
        <v>80</v>
      </c>
      <c r="BD2" s="77"/>
      <c r="BE2" s="77"/>
      <c r="BF2" s="77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71" t="s">
        <v>76</v>
      </c>
      <c r="BN2" s="71"/>
      <c r="BO2" s="71"/>
      <c r="BP2" s="71"/>
      <c r="BQ2" s="71" t="s">
        <v>77</v>
      </c>
      <c r="BR2" s="71"/>
      <c r="BS2" s="71"/>
      <c r="BT2" s="71"/>
      <c r="BU2" s="71" t="s">
        <v>79</v>
      </c>
      <c r="BV2" s="71"/>
      <c r="BW2" s="71"/>
      <c r="BX2" s="71"/>
      <c r="BY2" s="78" t="s">
        <v>80</v>
      </c>
      <c r="BZ2" s="78"/>
      <c r="CA2" s="78"/>
      <c r="CB2" s="78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71" t="s">
        <v>76</v>
      </c>
      <c r="CL2" s="71"/>
      <c r="CM2" s="71"/>
      <c r="CN2" s="71"/>
      <c r="CO2" s="71" t="s">
        <v>77</v>
      </c>
      <c r="CP2" s="71"/>
      <c r="CQ2" s="71"/>
      <c r="CR2" s="71"/>
      <c r="CS2" s="71" t="s">
        <v>78</v>
      </c>
      <c r="CT2" s="71"/>
      <c r="CU2" s="71"/>
      <c r="CV2" s="71"/>
      <c r="CW2" s="71" t="s">
        <v>79</v>
      </c>
      <c r="CX2" s="71"/>
      <c r="CY2" s="71"/>
      <c r="CZ2" s="71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7" t="s">
        <v>76</v>
      </c>
      <c r="DN2" s="67"/>
      <c r="DO2" s="67"/>
      <c r="DP2" s="67"/>
      <c r="DQ2" s="67" t="s">
        <v>77</v>
      </c>
      <c r="DR2" s="67"/>
      <c r="DS2" s="67"/>
      <c r="DT2" s="67"/>
      <c r="DU2" s="67" t="s">
        <v>78</v>
      </c>
      <c r="DV2" s="67"/>
      <c r="DW2" s="67"/>
      <c r="DX2" s="67"/>
      <c r="DY2" s="67" t="s">
        <v>79</v>
      </c>
      <c r="DZ2" s="67"/>
      <c r="EA2" s="67"/>
      <c r="EB2" s="67"/>
      <c r="EC2" s="77" t="s">
        <v>80</v>
      </c>
      <c r="ED2" s="77"/>
      <c r="EE2" s="77"/>
      <c r="EF2" s="77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71" t="s">
        <v>76</v>
      </c>
      <c r="EP2" s="71"/>
      <c r="EQ2" s="71"/>
      <c r="ER2" s="71"/>
      <c r="ES2" s="71" t="s">
        <v>77</v>
      </c>
      <c r="ET2" s="71"/>
      <c r="EU2" s="71"/>
      <c r="EV2" s="71"/>
      <c r="EW2" s="71" t="s">
        <v>78</v>
      </c>
      <c r="EX2" s="71"/>
      <c r="EY2" s="71"/>
      <c r="EZ2" s="71"/>
      <c r="FA2" s="71" t="s">
        <v>79</v>
      </c>
      <c r="FB2" s="71"/>
      <c r="FC2" s="71"/>
      <c r="FD2" s="71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7" t="s">
        <v>76</v>
      </c>
      <c r="FR2" s="67"/>
      <c r="FS2" s="67"/>
      <c r="FT2" s="67"/>
      <c r="FU2" s="67" t="s">
        <v>77</v>
      </c>
      <c r="FV2" s="67"/>
      <c r="FW2" s="67"/>
      <c r="FX2" s="67"/>
      <c r="FY2" s="67" t="s">
        <v>78</v>
      </c>
      <c r="FZ2" s="67"/>
      <c r="GA2" s="67"/>
      <c r="GB2" s="67"/>
      <c r="GC2" s="67" t="s">
        <v>79</v>
      </c>
      <c r="GD2" s="67"/>
      <c r="GE2" s="67"/>
      <c r="GF2" s="67"/>
      <c r="GG2" s="77" t="s">
        <v>80</v>
      </c>
      <c r="GH2" s="77"/>
      <c r="GI2" s="77"/>
      <c r="GJ2" s="77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71" t="s">
        <v>76</v>
      </c>
      <c r="GT2" s="71"/>
      <c r="GU2" s="71"/>
      <c r="GV2" s="71"/>
      <c r="GW2" s="71" t="s">
        <v>77</v>
      </c>
      <c r="GX2" s="71"/>
      <c r="GY2" s="71"/>
      <c r="GZ2" s="71"/>
      <c r="HA2" s="71" t="s">
        <v>78</v>
      </c>
      <c r="HB2" s="71"/>
      <c r="HC2" s="71"/>
      <c r="HD2" s="71"/>
      <c r="HE2" s="71" t="s">
        <v>79</v>
      </c>
      <c r="HF2" s="71"/>
      <c r="HG2" s="71"/>
      <c r="HH2" s="71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7" t="s">
        <v>76</v>
      </c>
      <c r="HV2" s="67"/>
      <c r="HW2" s="67"/>
      <c r="HX2" s="67"/>
      <c r="HY2" s="67" t="s">
        <v>77</v>
      </c>
      <c r="HZ2" s="67"/>
      <c r="IA2" s="67"/>
      <c r="IB2" s="67"/>
      <c r="IC2" s="67" t="s">
        <v>78</v>
      </c>
      <c r="ID2" s="67"/>
      <c r="IE2" s="67"/>
      <c r="IF2" s="67"/>
      <c r="IG2" s="67" t="s">
        <v>79</v>
      </c>
      <c r="IH2" s="67"/>
      <c r="II2" s="67"/>
      <c r="IJ2" s="67"/>
      <c r="IK2" s="77" t="s">
        <v>80</v>
      </c>
      <c r="IL2" s="77"/>
      <c r="IM2" s="77"/>
      <c r="IN2" s="77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71" t="s">
        <v>76</v>
      </c>
      <c r="IX2" s="71"/>
      <c r="IY2" s="71"/>
      <c r="IZ2" s="71"/>
      <c r="JA2" s="71" t="s">
        <v>77</v>
      </c>
      <c r="JB2" s="71"/>
      <c r="JC2" s="71"/>
      <c r="JD2" s="71"/>
      <c r="JE2" s="71" t="s">
        <v>78</v>
      </c>
      <c r="JF2" s="71"/>
      <c r="JG2" s="71"/>
      <c r="JH2" s="71"/>
      <c r="JI2" s="71" t="s">
        <v>79</v>
      </c>
      <c r="JJ2" s="71"/>
      <c r="JK2" s="71"/>
      <c r="JL2" s="71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7" t="s">
        <v>76</v>
      </c>
      <c r="JZ2" s="67"/>
      <c r="KA2" s="67"/>
      <c r="KB2" s="67"/>
      <c r="KC2" s="67" t="s">
        <v>77</v>
      </c>
      <c r="KD2" s="67"/>
      <c r="KE2" s="67"/>
      <c r="KF2" s="67"/>
      <c r="KG2" s="67" t="s">
        <v>78</v>
      </c>
      <c r="KH2" s="67"/>
      <c r="KI2" s="67"/>
      <c r="KJ2" s="67"/>
      <c r="KK2" s="67" t="s">
        <v>79</v>
      </c>
      <c r="KL2" s="67"/>
      <c r="KM2" s="67"/>
      <c r="KN2" s="67"/>
      <c r="KO2" s="77" t="s">
        <v>80</v>
      </c>
      <c r="KP2" s="77"/>
      <c r="KQ2" s="77"/>
      <c r="KR2" s="77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71" t="s">
        <v>76</v>
      </c>
      <c r="LB2" s="71"/>
      <c r="LC2" s="71"/>
      <c r="LD2" s="71"/>
      <c r="LE2" s="71" t="s">
        <v>77</v>
      </c>
      <c r="LF2" s="71"/>
      <c r="LG2" s="71"/>
      <c r="LH2" s="71"/>
      <c r="LI2" s="71" t="s">
        <v>78</v>
      </c>
      <c r="LJ2" s="71"/>
      <c r="LK2" s="71"/>
      <c r="LL2" s="71"/>
      <c r="LM2" s="71" t="s">
        <v>79</v>
      </c>
      <c r="LN2" s="71"/>
      <c r="LO2" s="71"/>
      <c r="LP2" s="71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7" t="s">
        <v>76</v>
      </c>
      <c r="MD2" s="67"/>
      <c r="ME2" s="67"/>
      <c r="MF2" s="67"/>
      <c r="MG2" s="67" t="s">
        <v>77</v>
      </c>
      <c r="MH2" s="67"/>
      <c r="MI2" s="67"/>
      <c r="MJ2" s="67"/>
      <c r="MK2" s="67" t="s">
        <v>78</v>
      </c>
      <c r="ML2" s="67"/>
      <c r="MM2" s="67"/>
      <c r="MN2" s="67"/>
      <c r="MO2" s="67" t="s">
        <v>79</v>
      </c>
      <c r="MP2" s="67"/>
      <c r="MQ2" s="67"/>
      <c r="MR2" s="67"/>
      <c r="MS2" s="77" t="s">
        <v>80</v>
      </c>
      <c r="MT2" s="77"/>
      <c r="MU2" s="77"/>
      <c r="MV2" s="77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71" t="s">
        <v>76</v>
      </c>
      <c r="NF2" s="71"/>
      <c r="NG2" s="71"/>
      <c r="NH2" s="71"/>
      <c r="NI2" s="71" t="s">
        <v>77</v>
      </c>
      <c r="NJ2" s="71"/>
      <c r="NK2" s="71"/>
      <c r="NL2" s="71"/>
      <c r="NM2" s="71" t="s">
        <v>78</v>
      </c>
      <c r="NN2" s="71"/>
      <c r="NO2" s="71"/>
      <c r="NP2" s="71"/>
      <c r="NQ2" s="71" t="s">
        <v>79</v>
      </c>
      <c r="NR2" s="71"/>
      <c r="NS2" s="71"/>
      <c r="NT2" s="71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7" t="s">
        <v>76</v>
      </c>
      <c r="OH2" s="67"/>
      <c r="OI2" s="67"/>
      <c r="OJ2" s="67"/>
      <c r="OK2" s="67" t="s">
        <v>77</v>
      </c>
      <c r="OL2" s="67"/>
      <c r="OM2" s="67"/>
      <c r="ON2" s="67"/>
      <c r="OO2" s="67" t="s">
        <v>78</v>
      </c>
      <c r="OP2" s="67"/>
      <c r="OQ2" s="67"/>
      <c r="OR2" s="67"/>
      <c r="OS2" s="67" t="s">
        <v>79</v>
      </c>
      <c r="OT2" s="67"/>
      <c r="OU2" s="67"/>
      <c r="OV2" s="67"/>
      <c r="OW2" s="77" t="s">
        <v>80</v>
      </c>
      <c r="OX2" s="77"/>
      <c r="OY2" s="77"/>
      <c r="OZ2" s="77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71" t="s">
        <v>76</v>
      </c>
      <c r="PJ2" s="71"/>
      <c r="PK2" s="71"/>
      <c r="PL2" s="71"/>
      <c r="PM2" s="71" t="s">
        <v>77</v>
      </c>
      <c r="PN2" s="71"/>
      <c r="PO2" s="71"/>
      <c r="PP2" s="71"/>
      <c r="PQ2" s="71" t="s">
        <v>79</v>
      </c>
      <c r="PR2" s="71"/>
      <c r="PS2" s="71"/>
      <c r="PT2" s="71"/>
      <c r="PU2" s="78" t="s">
        <v>80</v>
      </c>
      <c r="PV2" s="78"/>
      <c r="PW2" s="78"/>
      <c r="PX2" s="78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109</v>
      </c>
      <c r="D4" s="4" t="s">
        <v>4</v>
      </c>
      <c r="E4" s="4">
        <v>2006</v>
      </c>
      <c r="F4" s="9">
        <f>SUM(L4:R4)+SUM(L4:O4)*0.0000001+SUM(L4)*0.0000000000001</f>
        <v>138.45000916500462</v>
      </c>
      <c r="G4" s="64" t="s">
        <v>46</v>
      </c>
      <c r="H4" s="3" t="str">
        <f>IF(OR(AND(AL4&gt;=AP$21,AM4&gt;=AP$25,AL4&lt;&gt;"",AK4=""),AND(AN4&gt;=AP$21,AO4&gt;=AP$25,AN4&lt;&gt;"",AK4=""),AND(BH4&gt;=BL$21,BI4&gt;=BL$25,BH4&lt;&gt;"",BG4=""),AND(BJ4&gt;=BL$21,BK4&gt;=BL$25,BJ4&lt;&gt;"",BG4=""),AND(CD4&gt;=CH$21,CE4&gt;=CH$25,CD4&lt;&gt;"",CC4=""),AND(CF4&gt;=CH$21,CG4&gt;=CH$25,CF4&lt;&gt;""),AND(DE4&gt;=DL$21,DF4&gt;=DL$25,DE4&lt;&gt;""),AND(DJ4&gt;=DL$21,DK4&gt;=DL$25,DJ4&lt;&gt;""),AND(EG4&gt;=EN$21,EH4&gt;=EN$25,EG4&lt;&gt;""),AND(EL4&gt;=EN$21,EM4&gt;=EN$25,EL4&lt;&gt;""),AND(FI4&gt;=FP$21,FJ4&gt;=FP$25,FI4&lt;&gt;""),AND(FN4&gt;=FP$21,FO4&gt;=FP$25,FN4&lt;&gt;""),AND(GK4&gt;=GR$21,GL4&gt;=GR$25,GK4&lt;&gt;""),AND(GP4&gt;=GR$21,GQ4&gt;=GR$25,GP4&lt;&gt;""),AND(HM4&gt;=HT$21,HN4&gt;=HT$25,HM4&lt;&gt;""),AND(HR4&gt;=HT$21,HS4&gt;=HT$25,HR4&lt;&gt;""),AND(IO4&gt;=IV$21,IP4&gt;=IV$25,IO4&lt;&gt;""),AND(IT4&gt;=IV$21,IU4&gt;=IV$25,IT4&lt;&gt;""),AND(JQ4&gt;=JX$21,JR4&gt;=JX$25,JQ4&lt;&gt;""),AND(JV4&gt;=JX$21,JW4&gt;=JX$25,JV4&lt;&gt;""),AND(KS4&gt;=KZ$21,KT4&gt;=KZ$25,KS4&lt;&gt;""),AND(KX4&gt;=KZ$21,KY4&gt;=KZ$25,KX4&lt;&gt;""),AND(LU4&gt;=MB$21,LV4&gt;=MB$25,LU4&lt;&gt;""),AND(LZ4&gt;=MB$21,MA4&gt;=MB$25,LZ4&lt;&gt;""),AND(MW4&gt;=ND$21,MX4&gt;=ND$25,MW4&lt;&gt;""),AND(NB4&gt;=ND$21,NC4&gt;=ND$25,NB4&lt;&gt;""),AND(NY4&gt;=OF$21,NZ4&gt;=OF$25,NY4&lt;&gt;""),AND(OD4&gt;=OF$21,OE4&gt;=OF$25,OD4&lt;&gt;""),AND(PA4&gt;=PH$21,PB4&gt;=PH$25,PA4&lt;&gt;""),AND(PF4&gt;=PH$21,PG4&gt;=PH$25,PF4&lt;&gt;"")),"P","")</f>
        <v>P</v>
      </c>
      <c r="I4" s="3" t="str">
        <f>IF(OR(AND(AM4&gt;=AP$25,AM4&lt;&gt;"",AK4=""),AND(AO4&gt;=AP$25,AO4&lt;&gt;"",AK4=""),AND(BI4&gt;=BL$25,BI4&lt;&gt;"",BG4=""),AND(BK4&gt;=BL$25,BK4&lt;&gt;"",BG4=""),AND(CE4&gt;=CH$25,CE4&lt;&gt;"",CC4=""),AND(CG4&gt;=CH$25,CG4&lt;&gt;"",CC4=""),AND(DF4&gt;=DL$25,DF4&lt;&gt;""),AND(DK4&gt;=DL$25,DK4&lt;&gt;""),AND(EH4&gt;=EN$25,EH4&lt;&gt;""),AND(EM4&gt;=EN$25,EM4&lt;&gt;""),AND(FJ4&gt;=FP$25,FJ4&lt;&gt;""),AND(FO4&gt;=FP$25,FO4&lt;&gt;""),AND(GL4&gt;=GR$25,GL4&lt;&gt;""),AND(GQ4&gt;=GR$25,GQ4&lt;&gt;""),AND(HN4&gt;=HT$25,HN4&lt;&gt;""),AND(HS4&gt;=HT$25,HS4&lt;&gt;""),AND(IP4&gt;=IV$25,IP4&lt;&gt;""),AND(IU4&gt;=IV$25,IU4&lt;&gt;""),AND(JR4&gt;=JX$25,JR4&lt;&gt;""),AND(JW4&gt;=JX$25,JW4&lt;&gt;""),AND(KT4&gt;=KZ$25,KT4&lt;&gt;""),AND(KY4&gt;=KZ$25,KY4&lt;&gt;""),AND(LV4&gt;=MB$25,LV4&lt;&gt;""),AND(MA4&gt;=MB$25,MA4&lt;&gt;""),AND(MX4&gt;=ND$25,MX4&lt;&gt;""),AND(NC4&gt;=ND$25,NC4&lt;&gt;""),AND(NZ4&gt;=OF$25,NZ4&lt;&gt;""),AND(OE4&gt;=OF$25,OE4&lt;&gt;""),AND(PB4&gt;=PH$25,PB4&lt;&gt;""),AND(PG4&gt;=PH$25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46.1</v>
      </c>
      <c r="M4" s="8" t="str">
        <f>IF(L4=0,"",IF(L4=CE4,$BM$1,IF(L4=BI4,$AQ$1,IF(L4=AM4,$U$1,""))))</f>
        <v>2025 Nationals</v>
      </c>
      <c r="N4" s="8">
        <f>IF(COUNT(AM4,BI4,CE4)&gt;1,LARGE((AM4,BI4,CE4),2),0)</f>
        <v>45.550000000000004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46.800000000000004</v>
      </c>
      <c r="Q4" s="8" t="str">
        <f>IF(P4=0,"",IF(P4=CG4,$BM$1,IF(P4=BK4,$AQ$1,IF(P4=AO4,$U$1,""))))</f>
        <v>2025 Elite Canada</v>
      </c>
      <c r="R4" s="8" t="str">
        <f>IF(MAX(CI4:CJ4)&gt;0,MAX(CI4:CJ4),"")</f>
        <v/>
      </c>
      <c r="S4" s="11" t="str">
        <f>IF(R4="","",IF(R4=CI4,"("&amp;CI$2&amp;")",IF(R4=CJ4,"("&amp;CJ$2&amp;")")))</f>
        <v/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>
        <v>18.100000000000001</v>
      </c>
      <c r="AD4" s="19">
        <v>4.3</v>
      </c>
      <c r="AE4" s="19">
        <v>0</v>
      </c>
      <c r="AF4" s="19">
        <v>0.7</v>
      </c>
      <c r="AG4" s="19">
        <v>16.899999999999999</v>
      </c>
      <c r="AH4" s="19">
        <v>6.1</v>
      </c>
      <c r="AI4" s="19">
        <v>0</v>
      </c>
      <c r="AJ4" s="19">
        <v>0.7</v>
      </c>
      <c r="AK4" s="27"/>
      <c r="AL4" s="40">
        <f>IF(SUM(V4,Z4)&gt;0,SUM(V4,Z4),"")</f>
        <v>10.399999999999999</v>
      </c>
      <c r="AM4" s="40">
        <f>IF(SUM(U4:V4,X4:Z4,AB4)-W4-AA4&gt;0,SUM(U4:V4,X4:Z4,AB4)-W4-AA4,"")</f>
        <v>45.000000000000007</v>
      </c>
      <c r="AN4" s="40">
        <f>IF(SUM(AD4,AH4)&gt;0,SUM(AD4,AH4),"")</f>
        <v>10.399999999999999</v>
      </c>
      <c r="AO4" s="40">
        <f>IF(SUM(AC4:AD4,AF4:AH4,AJ4)-SUM(AE4,AI4)&gt;0,SUM(AC4:AD4,AF4:AH4,AJ4)-SUM(AE4,AI4),"")</f>
        <v>46.800000000000004</v>
      </c>
      <c r="AP4" s="40">
        <f>IF(SUM(AM4,AO4)&gt;0,SUM(AM4,AO4),"")</f>
        <v>91.800000000000011</v>
      </c>
      <c r="AQ4" s="18">
        <v>17.5</v>
      </c>
      <c r="AR4" s="18">
        <v>4.3</v>
      </c>
      <c r="AS4" s="18">
        <v>0</v>
      </c>
      <c r="AT4" s="18">
        <v>0.7</v>
      </c>
      <c r="AU4" s="18">
        <v>16.8</v>
      </c>
      <c r="AV4" s="18">
        <v>6.1</v>
      </c>
      <c r="AW4" s="18">
        <v>0</v>
      </c>
      <c r="AX4" s="18">
        <v>0.7</v>
      </c>
      <c r="AY4" s="18">
        <v>17.7</v>
      </c>
      <c r="AZ4" s="18">
        <v>4.3</v>
      </c>
      <c r="BA4" s="18">
        <v>0</v>
      </c>
      <c r="BB4" s="18">
        <v>0.7</v>
      </c>
      <c r="BC4" s="18">
        <v>16.8</v>
      </c>
      <c r="BD4" s="18">
        <v>6.1</v>
      </c>
      <c r="BE4" s="18">
        <v>0</v>
      </c>
      <c r="BF4" s="18">
        <v>0.7</v>
      </c>
      <c r="BG4" s="28"/>
      <c r="BH4" s="11">
        <f>IF(SUM(AR4,AV4)&gt;0,SUM(AR4,AV4),"")</f>
        <v>10.399999999999999</v>
      </c>
      <c r="BI4" s="11">
        <f>IF(SUM(AQ4:AR4,AT4:AV4,AX4)-AS4-AW4&gt;0,SUM(AQ4:AR4,AT4:AV4,AX4)-AS4-AW4,"")</f>
        <v>46.1</v>
      </c>
      <c r="BJ4" s="11">
        <f>IF(SUM(AZ4,BD4)&gt;0,SUM(AZ4,BD4),"")</f>
        <v>10.399999999999999</v>
      </c>
      <c r="BK4" s="11">
        <f>IF(SUM(AY4:AZ4,BB4:BD4,BF4)-SUM(BA4,BE4)&gt;0,SUM(AY4:AZ4,BB4:BD4,BF4)-SUM(BA4,BE4),"")</f>
        <v>46.300000000000004</v>
      </c>
      <c r="BL4" s="11">
        <f>IF(SUM(BI4,BK4)&gt;0,SUM(BI4,BK4),"")</f>
        <v>92.4</v>
      </c>
      <c r="BM4" s="19">
        <v>17.600000000000001</v>
      </c>
      <c r="BN4" s="19">
        <v>4.3</v>
      </c>
      <c r="BO4" s="19">
        <v>0</v>
      </c>
      <c r="BP4" s="19">
        <v>0.7</v>
      </c>
      <c r="BQ4" s="19">
        <v>16.149999999999999</v>
      </c>
      <c r="BR4" s="19">
        <v>6.1</v>
      </c>
      <c r="BS4" s="19">
        <v>0</v>
      </c>
      <c r="BT4" s="19">
        <v>0.7</v>
      </c>
      <c r="BU4" s="19">
        <v>17.899999999999999</v>
      </c>
      <c r="BV4" s="19">
        <v>4.3</v>
      </c>
      <c r="BW4" s="19">
        <v>0</v>
      </c>
      <c r="BX4" s="19">
        <v>0.7</v>
      </c>
      <c r="BY4" s="19">
        <v>16.850000000000001</v>
      </c>
      <c r="BZ4" s="19">
        <v>6.1</v>
      </c>
      <c r="CA4" s="19">
        <v>0</v>
      </c>
      <c r="CB4" s="19">
        <v>0.7</v>
      </c>
      <c r="CC4" s="27" t="s">
        <v>46</v>
      </c>
      <c r="CD4" s="40">
        <f>IF(SUM(BN4,BR4)&gt;0,SUM(BN4,BR4),"")</f>
        <v>10.399999999999999</v>
      </c>
      <c r="CE4" s="40">
        <f>IF(SUM(BM4:BN4,BP4:BR4,BT4)-BO4-BS4&gt;0,SUM(BM4:BN4,BP4:BR4,BT4)-BO4-BS4,"")</f>
        <v>45.550000000000004</v>
      </c>
      <c r="CF4" s="40">
        <f>IF(SUM(BV4,BZ4)&gt;0,SUM(BV4,BZ4),"")</f>
        <v>10.399999999999999</v>
      </c>
      <c r="CG4" s="40">
        <f>IF(SUM(BU4:BV4,BX4:BZ4,CB4)-SUM(BW4,CA4)&gt;0,SUM(BU4:BV4,BX4:BZ4,CB4)-SUM(BW4,CA4),"")</f>
        <v>46.550000000000004</v>
      </c>
      <c r="CH4" s="40">
        <f>IF(SUM(CE4,CG4)&gt;0,SUM(CE4,CG4),"")</f>
        <v>92.100000000000009</v>
      </c>
      <c r="CI4" s="50" t="str">
        <f>IF(MAX(DF4,EH4,FJ4,GL4,HN4,IP4,JR4,KT4,LV4,MX4,NZ4,PB4)-IF(N4="",0,N4)&gt;0.001,MAX(DF4,EH4,FJ4,GL4,HN4,IP4,JR4,KT4,LV4,MX4,NZ4,PB4)-IF(N4="",0,N4),"")</f>
        <v/>
      </c>
      <c r="CJ4" s="50" t="str">
        <f>IF(MAX(DK4,EM4,FO4,GQ4,HS4,IU4,JW4,KY4,MA4,NC4,OE4,PG4)-IF(P4="",0,P4)&gt;0.001,MAX(DK4,EM4,FO4,GQ4,HS4,IU4,JW4,KY4,MA4,NC4,OE4,PG4)-IF(P4="",0,P4),"")</f>
        <v/>
      </c>
      <c r="CK4" s="17">
        <v>17.600000000000001</v>
      </c>
      <c r="CL4" s="17">
        <v>4.3</v>
      </c>
      <c r="CM4" s="17">
        <v>0.2</v>
      </c>
      <c r="CN4" s="17">
        <v>0</v>
      </c>
      <c r="CO4" s="17">
        <v>16.899999999999999</v>
      </c>
      <c r="CP4" s="17">
        <v>5.0999999999999996</v>
      </c>
      <c r="CQ4" s="17">
        <v>0</v>
      </c>
      <c r="CR4" s="17">
        <v>1</v>
      </c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9.3999999999999986</v>
      </c>
      <c r="DF4" s="40">
        <f>IF(SUM(CK4:CL4,CN4:CP4,CR4)-CM4-CQ4&gt;0,SUM(CK4:CL4,CN4:CP4,CR4)-CM4-CQ4,"")</f>
        <v>44.699999999999996</v>
      </c>
      <c r="DG4" s="40" t="str">
        <f>IF(SUM(CS4:CT4,CV4)-CU4&gt;0,SUM(CS4:CT4,CV4)-CU4,"")</f>
        <v/>
      </c>
      <c r="DH4" s="40">
        <f>IF(SUM(CL4,CP4,CT4)&gt;0,SUM(CL4,CP4,CT4),"")</f>
        <v>9.3999999999999986</v>
      </c>
      <c r="DI4" s="40">
        <f>IF(SUM(DF4,DG4)&gt;0,SUM(DF4,DG4),"")</f>
        <v>44.699999999999996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44.699999999999996</v>
      </c>
      <c r="DM4" s="18">
        <v>17.2</v>
      </c>
      <c r="DN4" s="18">
        <v>4.3</v>
      </c>
      <c r="DO4" s="18">
        <v>0</v>
      </c>
      <c r="DP4" s="18">
        <v>0</v>
      </c>
      <c r="DQ4" s="18">
        <v>14.8</v>
      </c>
      <c r="DR4" s="18">
        <v>2.9</v>
      </c>
      <c r="DS4" s="18">
        <v>0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>IF(SUM(DN4,DR4)&gt;0,SUM(DN4,DR4),"")</f>
        <v>7.1999999999999993</v>
      </c>
      <c r="EH4" s="11">
        <f>IF(SUM(DM4:DN4,DP4:DR4,DT4)-DO4-DS4&gt;0,SUM(DM4:DN4,DP4:DR4,DT4)-DO4-DS4,"")</f>
        <v>39.199999999999996</v>
      </c>
      <c r="EI4" s="11" t="str">
        <f>IF(SUM(DU4:DV4,DX4)-DW4&gt;0,SUM(DU4:DV4,DX4)-DW4,"")</f>
        <v/>
      </c>
      <c r="EJ4" s="11">
        <f>IF(SUM(DN4,DR4,DV4)&gt;0,SUM(DN4,DR4,DV4),"")</f>
        <v>7.1999999999999993</v>
      </c>
      <c r="EK4" s="11">
        <f>IF(SUM(EH4,EI4)&gt;0,SUM(EH4,EI4),"")</f>
        <v>39.199999999999996</v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>
        <f>IF(SUM(EH4,EI4,EM4)&gt;0,SUM(EH4,EI4,EM4),"")</f>
        <v>39.199999999999996</v>
      </c>
      <c r="EO4" s="17">
        <v>17.5</v>
      </c>
      <c r="EP4" s="17">
        <v>4.3</v>
      </c>
      <c r="EQ4" s="17">
        <v>0</v>
      </c>
      <c r="ER4" s="17">
        <v>0</v>
      </c>
      <c r="ES4" s="17">
        <v>16.899999999999999</v>
      </c>
      <c r="ET4" s="17">
        <v>6.1</v>
      </c>
      <c r="EU4" s="17">
        <v>0</v>
      </c>
      <c r="EV4" s="17">
        <v>0</v>
      </c>
      <c r="EW4" s="17">
        <v>16.899999999999999</v>
      </c>
      <c r="EX4" s="17">
        <v>6.1</v>
      </c>
      <c r="EY4" s="17">
        <v>0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>IF(SUM(EP4,ET4)&gt;0,SUM(EP4,ET4),"")</f>
        <v>10.399999999999999</v>
      </c>
      <c r="FJ4" s="40">
        <f>IF(SUM(EO4:EP4,ER4:ET4,EV4)-EQ4-EU4&gt;0,SUM(EO4:EP4,ER4:ET4,EV4)-EQ4-EU4,"")</f>
        <v>44.800000000000004</v>
      </c>
      <c r="FK4" s="40">
        <f>IF(SUM(EW4:EX4,EZ4)-EY4&gt;0,SUM(EW4:EX4,EZ4)-EY4,"")</f>
        <v>23</v>
      </c>
      <c r="FL4" s="40">
        <f>IF(SUM(EP4,ET4,EX4)&gt;0,SUM(EP4,ET4,EX4),"")</f>
        <v>16.5</v>
      </c>
      <c r="FM4" s="40">
        <f>IF(SUM(FJ4,FK4)&gt;0,SUM(FJ4,FK4),"")</f>
        <v>67.800000000000011</v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>
        <f>IF(SUM(FJ4,FK4,FO4)&gt;0,SUM(FJ4,FK4,FO4),"")</f>
        <v>67.800000000000011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17.600000000000001</v>
      </c>
      <c r="PJ4" s="22">
        <f>IF($CC4="P",BN4,(BN4+AR4)/2)</f>
        <v>4.3</v>
      </c>
      <c r="PK4" s="22">
        <f>IF($CC4="P",BO4,(BO4+AS4)/2)</f>
        <v>0</v>
      </c>
      <c r="PL4" s="22">
        <f>IF($CC4="P",BP4,(BP4+AT4)/2)</f>
        <v>0.7</v>
      </c>
      <c r="PM4" s="22">
        <f>IF($CC4="P",BQ4,(BQ4+AU4)/2)</f>
        <v>16.149999999999999</v>
      </c>
      <c r="PN4" s="22">
        <f>IF($CC4="P",BR4,(BR4+AV4)/2)</f>
        <v>6.1</v>
      </c>
      <c r="PO4" s="22">
        <f>IF($CC4="P",BS4,(BS4+AW4)/2)</f>
        <v>0</v>
      </c>
      <c r="PP4" s="22">
        <f>IF($CC4="P",BT4,(BT4+AX4)/2)</f>
        <v>0.7</v>
      </c>
      <c r="PQ4" s="22">
        <f>IF($CC4="P",BU4,(BU4+AY4)/2)</f>
        <v>17.899999999999999</v>
      </c>
      <c r="PR4" s="22">
        <f>IF($CC4="P",BV4,(BV4+AZ4)/2)</f>
        <v>4.3</v>
      </c>
      <c r="PS4" s="22">
        <f>IF($CC4="P",BW4,(BW4+BA4)/2)</f>
        <v>0</v>
      </c>
      <c r="PT4" s="22">
        <f>IF($CC4="P",BX4,(BX4+BB4)/2)</f>
        <v>0.7</v>
      </c>
      <c r="PU4" s="22">
        <f>IF($CC4="P",BY4,(BY4+BC4)/2)</f>
        <v>16.850000000000001</v>
      </c>
      <c r="PV4" s="22">
        <f>IF($CC4="P",BZ4,(BZ4+BD4)/2)</f>
        <v>6.1</v>
      </c>
      <c r="PW4" s="22">
        <f>IF($CC4="P",CA4,(CA4+BE4)/2)</f>
        <v>0</v>
      </c>
      <c r="PX4" s="22">
        <f>IF($CC4="P",CB4,(CB4+BF4)/2)</f>
        <v>0.7</v>
      </c>
      <c r="PY4" s="27" t="s">
        <v>46</v>
      </c>
      <c r="PZ4" s="40">
        <f>IF(SUM(PJ4,PN4)&gt;0,SUM(PJ4,PN4),"")</f>
        <v>10.399999999999999</v>
      </c>
      <c r="QA4" s="40">
        <f>IF(SUM(PI4:PJ4,PL4:PN4,PP4)-PK4-PO4&gt;0,SUM(PI4:PJ4,PL4:PN4,PP4)-PK4-PO4,"")</f>
        <v>45.550000000000004</v>
      </c>
      <c r="QB4" s="40">
        <f>IF(SUM(PR4,PV4)&gt;0,SUM(PR4,PV4),"")</f>
        <v>10.399999999999999</v>
      </c>
      <c r="QC4" s="40">
        <f>IF(SUM(PQ4:PR4,PT4:PV4,PX4)-SUM(PS4,PW4)&gt;0,SUM(PQ4:PR4,PT4:PV4,PX4)-SUM(PS4,PW4),"")</f>
        <v>46.550000000000004</v>
      </c>
      <c r="QD4" s="40">
        <f>IF(SUM(QA4,QC4)&gt;0,SUM(QA4,QC4),"")</f>
        <v>92.100000000000009</v>
      </c>
    </row>
    <row r="5" spans="1:446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130.0000085500044</v>
      </c>
      <c r="G5" s="64" t="s">
        <v>46</v>
      </c>
      <c r="H5" s="3" t="str">
        <f>IF(OR(AND(AL5&gt;=AP$21,AM5&gt;=AP$25,AL5&lt;&gt;"",AK5=""),AND(AN5&gt;=AP$21,AO5&gt;=AP$25,AN5&lt;&gt;"",AK5=""),AND(BH5&gt;=BL$21,BI5&gt;=BL$25,BH5&lt;&gt;"",BG5=""),AND(BJ5&gt;=BL$21,BK5&gt;=BL$25,BJ5&lt;&gt;"",BG5=""),AND(CD5&gt;=CH$21,CE5&gt;=CH$25,CD5&lt;&gt;"",CC5=""),AND(CF5&gt;=CH$21,CG5&gt;=CH$25,CF5&lt;&gt;""),AND(DE5&gt;=DL$21,DF5&gt;=DL$25,DE5&lt;&gt;""),AND(DJ5&gt;=DL$21,DK5&gt;=DL$25,DJ5&lt;&gt;""),AND(EG5&gt;=EN$21,EH5&gt;=EN$25,EG5&lt;&gt;""),AND(EL5&gt;=EN$21,EM5&gt;=EN$25,EL5&lt;&gt;""),AND(FI5&gt;=FP$21,FJ5&gt;=FP$25,FI5&lt;&gt;""),AND(FN5&gt;=FP$21,FO5&gt;=FP$25,FN5&lt;&gt;""),AND(GK5&gt;=GR$21,GL5&gt;=GR$25,GK5&lt;&gt;""),AND(GP5&gt;=GR$21,GQ5&gt;=GR$25,GP5&lt;&gt;""),AND(HM5&gt;=HT$21,HN5&gt;=HT$25,HM5&lt;&gt;""),AND(HR5&gt;=HT$21,HS5&gt;=HT$25,HR5&lt;&gt;""),AND(IO5&gt;=IV$21,IP5&gt;=IV$25,IO5&lt;&gt;""),AND(IT5&gt;=IV$21,IU5&gt;=IV$25,IT5&lt;&gt;""),AND(JQ5&gt;=JX$21,JR5&gt;=JX$25,JQ5&lt;&gt;""),AND(JV5&gt;=JX$21,JW5&gt;=JX$25,JV5&lt;&gt;""),AND(KS5&gt;=KZ$21,KT5&gt;=KZ$25,KS5&lt;&gt;""),AND(KX5&gt;=KZ$21,KY5&gt;=KZ$25,KX5&lt;&gt;""),AND(LU5&gt;=MB$21,LV5&gt;=MB$25,LU5&lt;&gt;""),AND(LZ5&gt;=MB$21,MA5&gt;=MB$25,LZ5&lt;&gt;""),AND(MW5&gt;=ND$21,MX5&gt;=ND$25,MW5&lt;&gt;""),AND(NB5&gt;=ND$21,NC5&gt;=ND$25,NB5&lt;&gt;""),AND(NY5&gt;=OF$21,NZ5&gt;=OF$25,NY5&lt;&gt;""),AND(OD5&gt;=OF$21,OE5&gt;=OF$25,OD5&lt;&gt;""),AND(PA5&gt;=PH$21,PB5&gt;=PH$25,PA5&lt;&gt;""),AND(PF5&gt;=PH$21,PG5&gt;=PH$25,PF5&lt;&gt;"")),"P","")</f>
        <v>P</v>
      </c>
      <c r="I5" s="3" t="str">
        <f>IF(OR(AND(AM5&gt;=AP$25,AM5&lt;&gt;"",AK5=""),AND(AO5&gt;=AP$25,AO5&lt;&gt;"",AK5=""),AND(BI5&gt;=BL$25,BI5&lt;&gt;"",BG5=""),AND(BK5&gt;=BL$25,BK5&lt;&gt;"",BG5=""),AND(CE5&gt;=CH$25,CE5&lt;&gt;"",CC5=""),AND(CG5&gt;=CH$25,CG5&lt;&gt;"",CC5=""),AND(DF5&gt;=DL$25,DF5&lt;&gt;""),AND(DK5&gt;=DL$25,DK5&lt;&gt;""),AND(EH5&gt;=EN$25,EH5&lt;&gt;""),AND(EM5&gt;=EN$25,EM5&lt;&gt;""),AND(FJ5&gt;=FP$25,FJ5&lt;&gt;""),AND(FO5&gt;=FP$25,FO5&lt;&gt;""),AND(GL5&gt;=GR$25,GL5&lt;&gt;""),AND(GQ5&gt;=GR$25,GQ5&lt;&gt;""),AND(HN5&gt;=HT$25,HN5&lt;&gt;""),AND(HS5&gt;=HT$25,HS5&lt;&gt;""),AND(IP5&gt;=IV$25,IP5&lt;&gt;""),AND(IU5&gt;=IV$25,IU5&lt;&gt;""),AND(JR5&gt;=JX$25,JR5&lt;&gt;""),AND(JW5&gt;=JX$25,JW5&lt;&gt;""),AND(KT5&gt;=KZ$25,KT5&lt;&gt;""),AND(KY5&gt;=KZ$25,KY5&lt;&gt;""),AND(LV5&gt;=MB$25,LV5&lt;&gt;""),AND(MA5&gt;=MB$25,MA5&lt;&gt;""),AND(MX5&gt;=ND$25,MX5&lt;&gt;""),AND(NC5&gt;=ND$25,NC5&lt;&gt;""),AND(NZ5&gt;=OF$25,NZ5&lt;&gt;""),AND(OE5&gt;=OF$25,OE5&lt;&gt;""),AND(PB5&gt;=PH$25,PB5&lt;&gt;""),AND(PG5&gt;=PH$25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44</v>
      </c>
      <c r="M5" s="8" t="str">
        <f>IF(L5=0,"",IF(L5=CE5,$BM$1,IF(L5=BI5,$AQ$1,IF(L5=AM5,$U$1,""))))</f>
        <v>2025 Elite Canada</v>
      </c>
      <c r="N5" s="8">
        <f>IF(COUNT(AM5,BI5,CE5)&gt;1,LARGE((AM5,BI5,CE5),2),0)</f>
        <v>41.5</v>
      </c>
      <c r="O5" s="8" t="str">
        <f>IF(N5=0,"",IF(AND(N5=L5,N5=AM5,N5=BI5),$U$1,IF(AND(N5=L5,N5=AM5,N5=CE5),$U$1,IF(AND(N5=L5,N5=BI5,N5=CE5),$AQ$1,IF(N5=CE5,$BM$1,IF(N5=BI5,$AQ$1,IF(N5=AM5,$U$1,"")))))))</f>
        <v>2025 3rd Domestic Trial</v>
      </c>
      <c r="P5" s="8">
        <f>IF(MAX(AO5,BK5,CG5)&gt;0,MAX(AO5,BK5,CG5),0)</f>
        <v>44.5</v>
      </c>
      <c r="Q5" s="8" t="str">
        <f>IF(P5=0,"",IF(P5=CG5,$BM$1,IF(P5=BK5,$AQ$1,IF(P5=AO5,$U$1,""))))</f>
        <v>2025 Elite Canada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16.399999999999999</v>
      </c>
      <c r="V5" s="19">
        <v>4.3</v>
      </c>
      <c r="W5" s="19">
        <v>0.2</v>
      </c>
      <c r="X5" s="19">
        <v>0.7</v>
      </c>
      <c r="Y5" s="19">
        <v>17.600000000000001</v>
      </c>
      <c r="Z5" s="19">
        <v>4.5</v>
      </c>
      <c r="AA5" s="19">
        <v>0</v>
      </c>
      <c r="AB5" s="19">
        <v>0.7</v>
      </c>
      <c r="AC5" s="19">
        <v>17.7</v>
      </c>
      <c r="AD5" s="19">
        <v>4.5</v>
      </c>
      <c r="AE5" s="19">
        <v>0</v>
      </c>
      <c r="AF5" s="19">
        <v>0.7</v>
      </c>
      <c r="AG5" s="19">
        <v>16.8</v>
      </c>
      <c r="AH5" s="19">
        <v>4.3</v>
      </c>
      <c r="AI5" s="19">
        <v>0.2</v>
      </c>
      <c r="AJ5" s="19">
        <v>0.7</v>
      </c>
      <c r="AK5" s="27"/>
      <c r="AL5" s="40">
        <f>IF(SUM(V5,Z5)&gt;0,SUM(V5,Z5),"")</f>
        <v>8.8000000000000007</v>
      </c>
      <c r="AM5" s="40">
        <f>IF(SUM(U5:V5,X5:Z5,AB5)-W5-AA5&gt;0,SUM(U5:V5,X5:Z5,AB5)-W5-AA5,"")</f>
        <v>44</v>
      </c>
      <c r="AN5" s="40">
        <f>IF(SUM(AD5,AH5)&gt;0,SUM(AD5,AH5),"")</f>
        <v>8.8000000000000007</v>
      </c>
      <c r="AO5" s="40">
        <f>IF(SUM(AC5:AD5,AF5:AH5,AJ5)-SUM(AE5,AI5)&gt;0,SUM(AC5:AD5,AF5:AH5,AJ5)-SUM(AE5,AI5),"")</f>
        <v>44.5</v>
      </c>
      <c r="AP5" s="40">
        <f>IF(SUM(AM5,AO5)&gt;0,SUM(AM5,AO5),"")</f>
        <v>88.5</v>
      </c>
      <c r="AQ5" s="18">
        <v>15.4</v>
      </c>
      <c r="AR5" s="18">
        <v>1.9</v>
      </c>
      <c r="AS5" s="18">
        <v>0</v>
      </c>
      <c r="AT5" s="18">
        <v>0</v>
      </c>
      <c r="AU5" s="18">
        <v>16.7</v>
      </c>
      <c r="AV5" s="18">
        <v>4.3</v>
      </c>
      <c r="AW5" s="18">
        <v>0</v>
      </c>
      <c r="AX5" s="18">
        <v>0.7</v>
      </c>
      <c r="AY5" s="18">
        <v>15.6</v>
      </c>
      <c r="AZ5" s="18">
        <v>1.9</v>
      </c>
      <c r="BA5" s="18">
        <v>0</v>
      </c>
      <c r="BB5" s="18">
        <v>0</v>
      </c>
      <c r="BC5" s="18">
        <v>17.7</v>
      </c>
      <c r="BD5" s="18">
        <v>3.6</v>
      </c>
      <c r="BE5" s="18">
        <v>0</v>
      </c>
      <c r="BF5" s="18">
        <v>0.7</v>
      </c>
      <c r="BG5" s="28"/>
      <c r="BH5" s="11">
        <f>IF(SUM(AR5,AV5)&gt;0,SUM(AR5,AV5),"")</f>
        <v>6.1999999999999993</v>
      </c>
      <c r="BI5" s="11">
        <f>IF(SUM(AQ5:AR5,AT5:AV5,AX5)-AS5-AW5&gt;0,SUM(AQ5:AR5,AT5:AV5,AX5)-AS5-AW5,"")</f>
        <v>39</v>
      </c>
      <c r="BJ5" s="11">
        <f>IF(SUM(AZ5,BD5)&gt;0,SUM(AZ5,BD5),"")</f>
        <v>5.5</v>
      </c>
      <c r="BK5" s="11">
        <f>IF(SUM(AY5:AZ5,BB5:BD5,BF5)-SUM(BA5,BE5)&gt;0,SUM(AY5:AZ5,BB5:BD5,BF5)-SUM(BA5,BE5),"")</f>
        <v>39.500000000000007</v>
      </c>
      <c r="BL5" s="11">
        <f>IF(SUM(BI5,BK5)&gt;0,SUM(BI5,BK5),"")</f>
        <v>78.5</v>
      </c>
      <c r="BM5" s="19">
        <v>15.899999999999999</v>
      </c>
      <c r="BN5" s="19">
        <v>3.0999999999999996</v>
      </c>
      <c r="BO5" s="19">
        <v>0.1</v>
      </c>
      <c r="BP5" s="19">
        <v>0.35</v>
      </c>
      <c r="BQ5" s="19">
        <v>17.149999999999999</v>
      </c>
      <c r="BR5" s="19">
        <v>4.4000000000000004</v>
      </c>
      <c r="BS5" s="19">
        <v>0</v>
      </c>
      <c r="BT5" s="19">
        <v>0.7</v>
      </c>
      <c r="BU5" s="19">
        <v>16.649999999999999</v>
      </c>
      <c r="BV5" s="19">
        <v>3.2</v>
      </c>
      <c r="BW5" s="19">
        <v>0</v>
      </c>
      <c r="BX5" s="19">
        <v>0.35</v>
      </c>
      <c r="BY5" s="19">
        <v>17.25</v>
      </c>
      <c r="BZ5" s="19">
        <v>3.95</v>
      </c>
      <c r="CA5" s="19">
        <v>0.1</v>
      </c>
      <c r="CB5" s="19">
        <v>0.7</v>
      </c>
      <c r="CC5" s="27" t="s">
        <v>46</v>
      </c>
      <c r="CD5" s="40">
        <f>IF(SUM(BN5,BR5)&gt;0,SUM(BN5,BR5),"")</f>
        <v>7.5</v>
      </c>
      <c r="CE5" s="40">
        <f>IF(SUM(BM5:BN5,BP5:BR5,BT5)-BO5-BS5&gt;0,SUM(BM5:BN5,BP5:BR5,BT5)-BO5-BS5,"")</f>
        <v>41.5</v>
      </c>
      <c r="CF5" s="40">
        <f>IF(SUM(BV5,BZ5)&gt;0,SUM(BV5,BZ5),"")</f>
        <v>7.15</v>
      </c>
      <c r="CG5" s="40">
        <f>IF(SUM(BU5:BV5,BX5:BZ5,CB5)-SUM(BW5,CA5)&gt;0,SUM(BU5:BV5,BX5:BZ5,CB5)-SUM(BW5,CA5),"")</f>
        <v>42.000000000000007</v>
      </c>
      <c r="CH5" s="40">
        <f>IF(SUM(CE5,CG5)&gt;0,SUM(CE5,CG5),"")</f>
        <v>83.5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 t="str">
        <f>IF(SUM(DN5,DR5)&gt;0,SUM(DN5,DR5),"")</f>
        <v/>
      </c>
      <c r="EH5" s="11" t="str">
        <f>IF(SUM(DM5:DN5,DP5:DR5,DT5)-DO5-DS5&gt;0,SUM(DM5:DN5,DP5:DR5,DT5)-DO5-DS5,"")</f>
        <v/>
      </c>
      <c r="EI5" s="11" t="str">
        <f>IF(SUM(DU5:DV5,DX5)-DW5&gt;0,SUM(DU5:DV5,DX5)-DW5,"")</f>
        <v/>
      </c>
      <c r="EJ5" s="11" t="str">
        <f>IF(SUM(DN5,DR5,DV5)&gt;0,SUM(DN5,DR5,DV5),"")</f>
        <v/>
      </c>
      <c r="EK5" s="11" t="str">
        <f>IF(SUM(EH5,EI5)&gt;0,SUM(EH5,EI5),"")</f>
        <v/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 t="str">
        <f>IF(SUM(EH5,EI5,EM5)&gt;0,SUM(EH5,EI5,EM5),"")</f>
        <v/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>IF(SUM(EP5,ET5)&gt;0,SUM(EP5,ET5),"")</f>
        <v/>
      </c>
      <c r="FJ5" s="40" t="str">
        <f>IF(SUM(EO5:EP5,ER5:ET5,EV5)-EQ5-EU5&gt;0,SUM(EO5:EP5,ER5:ET5,EV5)-EQ5-EU5,"")</f>
        <v/>
      </c>
      <c r="FK5" s="40" t="str">
        <f>IF(SUM(EW5:EX5,EZ5)-EY5&gt;0,SUM(EW5:EX5,EZ5)-EY5,"")</f>
        <v/>
      </c>
      <c r="FL5" s="40" t="str">
        <f>IF(SUM(EP5,ET5,EX5)&gt;0,SUM(EP5,ET5,EX5),"")</f>
        <v/>
      </c>
      <c r="FM5" s="40" t="str">
        <f>IF(SUM(FJ5,FK5)&gt;0,SUM(FJ5,FK5),"")</f>
        <v/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 t="str">
        <f>IF(SUM(FJ5,FK5,FO5)&gt;0,SUM(FJ5,FK5,FO5),"")</f>
        <v/>
      </c>
      <c r="FQ5" s="18">
        <v>15.5</v>
      </c>
      <c r="FR5" s="18">
        <v>3.9</v>
      </c>
      <c r="FS5" s="18">
        <v>0.2</v>
      </c>
      <c r="FT5" s="18">
        <v>0</v>
      </c>
      <c r="FU5" s="18">
        <v>16.8</v>
      </c>
      <c r="FV5" s="18">
        <v>4.3</v>
      </c>
      <c r="FW5" s="18">
        <v>0</v>
      </c>
      <c r="FX5" s="18">
        <v>0</v>
      </c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>
        <f>IF(SUM(FR5,FV5)&gt;0,SUM(FR5,FV5),"")</f>
        <v>8.1999999999999993</v>
      </c>
      <c r="GL5" s="11">
        <f>IF(SUM(FQ5:FR5,FT5:FV5,FX5)-FS5-FW5&gt;0,SUM(FQ5:FR5,FT5:FV5,FX5)-FS5-FW5,"")</f>
        <v>40.299999999999997</v>
      </c>
      <c r="GM5" s="11" t="str">
        <f>IF(SUM(FY5:FZ5,GB5)-GA5&gt;0,SUM(FY5:FZ5,GB5)-GA5,"")</f>
        <v/>
      </c>
      <c r="GN5" s="11">
        <f>IF(SUM(FR5,FV5,FZ5)&gt;0,SUM(FR5,FV5,FZ5),"")</f>
        <v>8.1999999999999993</v>
      </c>
      <c r="GO5" s="11">
        <f>IF(SUM(GL5,GM5)&gt;0,SUM(GL5,GM5),"")</f>
        <v>40.299999999999997</v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>
        <f>IF(SUM(GL5,GM5,GQ5)&gt;0,SUM(GL5,GM5,GQ5),"")</f>
        <v>40.299999999999997</v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15.899999999999999</v>
      </c>
      <c r="PJ5" s="22">
        <f>IF($CC5="P",BN5,(BN5+AR5)/2)</f>
        <v>3.0999999999999996</v>
      </c>
      <c r="PK5" s="22">
        <f>IF($CC5="P",BO5,(BO5+AS5)/2)</f>
        <v>0.1</v>
      </c>
      <c r="PL5" s="22">
        <f>IF($CC5="P",BP5,(BP5+AT5)/2)</f>
        <v>0.35</v>
      </c>
      <c r="PM5" s="22">
        <f>IF($CC5="P",BQ5,(BQ5+AU5)/2)</f>
        <v>17.149999999999999</v>
      </c>
      <c r="PN5" s="22">
        <f>IF($CC5="P",BR5,(BR5+AV5)/2)</f>
        <v>4.4000000000000004</v>
      </c>
      <c r="PO5" s="22">
        <f>IF($CC5="P",BS5,(BS5+AW5)/2)</f>
        <v>0</v>
      </c>
      <c r="PP5" s="22">
        <f>IF($CC5="P",BT5,(BT5+AX5)/2)</f>
        <v>0.7</v>
      </c>
      <c r="PQ5" s="22">
        <f>IF($CC5="P",BU5,(BU5+AY5)/2)</f>
        <v>16.649999999999999</v>
      </c>
      <c r="PR5" s="22">
        <f>IF($CC5="P",BV5,(BV5+AZ5)/2)</f>
        <v>3.2</v>
      </c>
      <c r="PS5" s="22">
        <f>IF($CC5="P",BW5,(BW5+BA5)/2)</f>
        <v>0</v>
      </c>
      <c r="PT5" s="22">
        <f>IF($CC5="P",BX5,(BX5+BB5)/2)</f>
        <v>0.35</v>
      </c>
      <c r="PU5" s="22">
        <f>IF($CC5="P",BY5,(BY5+BC5)/2)</f>
        <v>17.25</v>
      </c>
      <c r="PV5" s="22">
        <f>IF($CC5="P",BZ5,(BZ5+BD5)/2)</f>
        <v>3.95</v>
      </c>
      <c r="PW5" s="22">
        <f>IF($CC5="P",CA5,(CA5+BE5)/2)</f>
        <v>0.1</v>
      </c>
      <c r="PX5" s="22">
        <f>IF($CC5="P",CB5,(CB5+BF5)/2)</f>
        <v>0.7</v>
      </c>
      <c r="PY5" s="27" t="s">
        <v>46</v>
      </c>
      <c r="PZ5" s="40">
        <f>IF(SUM(PJ5,PN5)&gt;0,SUM(PJ5,PN5),"")</f>
        <v>7.5</v>
      </c>
      <c r="QA5" s="40">
        <f>IF(SUM(PI5:PJ5,PL5:PN5,PP5)-PK5-PO5&gt;0,SUM(PI5:PJ5,PL5:PN5,PP5)-PK5-PO5,"")</f>
        <v>41.5</v>
      </c>
      <c r="QB5" s="40">
        <f>IF(SUM(PR5,PV5)&gt;0,SUM(PR5,PV5),"")</f>
        <v>7.15</v>
      </c>
      <c r="QC5" s="40">
        <f>IF(SUM(PQ5:PR5,PT5:PV5,PX5)-SUM(PS5,PW5)&gt;0,SUM(PQ5:PR5,PT5:PV5,PX5)-SUM(PS5,PW5),"")</f>
        <v>42.000000000000007</v>
      </c>
      <c r="QD5" s="40">
        <f>IF(SUM(QA5,QC5)&gt;0,SUM(QA5,QC5),"")</f>
        <v>83.5</v>
      </c>
    </row>
    <row r="6" spans="1:446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162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L6&gt;=AP$21,AM6&gt;=AP$25,AL6&lt;&gt;"",AK6=""),AND(AN6&gt;=AP$21,AO6&gt;=AP$25,AN6&lt;&gt;"",AK6=""),AND(BH6&gt;=BL$21,BI6&gt;=BL$25,BH6&lt;&gt;"",BG6=""),AND(BJ6&gt;=BL$21,BK6&gt;=BL$25,BJ6&lt;&gt;"",BG6=""),AND(CD6&gt;=CH$21,CE6&gt;=CH$25,CD6&lt;&gt;"",CC6=""),AND(CF6&gt;=CH$21,CG6&gt;=CH$25,CF6&lt;&gt;""),AND(DE6&gt;=DL$21,DF6&gt;=DL$25,DE6&lt;&gt;""),AND(DJ6&gt;=DL$21,DK6&gt;=DL$25,DJ6&lt;&gt;""),AND(EG6&gt;=EN$21,EH6&gt;=EN$25,EG6&lt;&gt;""),AND(EL6&gt;=EN$21,EM6&gt;=EN$25,EL6&lt;&gt;""),AND(FI6&gt;=FP$21,FJ6&gt;=FP$25,FI6&lt;&gt;""),AND(FN6&gt;=FP$21,FO6&gt;=FP$25,FN6&lt;&gt;""),AND(GK6&gt;=GR$21,GL6&gt;=GR$25,GK6&lt;&gt;""),AND(GP6&gt;=GR$21,GQ6&gt;=GR$25,GP6&lt;&gt;""),AND(HM6&gt;=HT$21,HN6&gt;=HT$25,HM6&lt;&gt;""),AND(HR6&gt;=HT$21,HS6&gt;=HT$25,HR6&lt;&gt;""),AND(IO6&gt;=IV$21,IP6&gt;=IV$25,IO6&lt;&gt;""),AND(IT6&gt;=IV$21,IU6&gt;=IV$25,IT6&lt;&gt;""),AND(JQ6&gt;=JX$21,JR6&gt;=JX$25,JQ6&lt;&gt;""),AND(JV6&gt;=JX$21,JW6&gt;=JX$25,JV6&lt;&gt;""),AND(KS6&gt;=KZ$21,KT6&gt;=KZ$25,KS6&lt;&gt;""),AND(KX6&gt;=KZ$21,KY6&gt;=KZ$25,KX6&lt;&gt;""),AND(LU6&gt;=MB$21,LV6&gt;=MB$25,LU6&lt;&gt;""),AND(LZ6&gt;=MB$21,MA6&gt;=MB$25,LZ6&lt;&gt;""),AND(MW6&gt;=ND$21,MX6&gt;=ND$25,MW6&lt;&gt;""),AND(NB6&gt;=ND$21,NC6&gt;=ND$25,NB6&lt;&gt;""),AND(NY6&gt;=OF$21,NZ6&gt;=OF$25,NY6&lt;&gt;""),AND(OD6&gt;=OF$21,OE6&gt;=OF$25,OD6&lt;&gt;""),AND(PA6&gt;=PH$21,PB6&gt;=PH$25,PA6&lt;&gt;""),AND(PF6&gt;=PH$21,PG6&gt;=PH$25,PF6&lt;&gt;"")),"P","")</f>
        <v>P</v>
      </c>
      <c r="I6" s="3" t="str">
        <f>IF(OR(AND(AM6&gt;=AP$25,AM6&lt;&gt;"",AK6=""),AND(AO6&gt;=AP$25,AO6&lt;&gt;"",AK6=""),AND(BI6&gt;=BL$25,BI6&lt;&gt;"",BG6=""),AND(BK6&gt;=BL$25,BK6&lt;&gt;"",BG6=""),AND(CE6&gt;=CH$25,CE6&lt;&gt;"",CC6=""),AND(CG6&gt;=CH$25,CG6&lt;&gt;"",CC6=""),AND(DF6&gt;=DL$25,DF6&lt;&gt;""),AND(DK6&gt;=DL$25,DK6&lt;&gt;""),AND(EH6&gt;=EN$25,EH6&lt;&gt;""),AND(EM6&gt;=EN$25,EM6&lt;&gt;""),AND(FJ6&gt;=FP$25,FJ6&lt;&gt;""),AND(FO6&gt;=FP$25,FO6&lt;&gt;""),AND(GL6&gt;=GR$25,GL6&lt;&gt;""),AND(GQ6&gt;=GR$25,GQ6&lt;&gt;""),AND(HN6&gt;=HT$25,HN6&lt;&gt;""),AND(HS6&gt;=HT$25,HS6&lt;&gt;""),AND(IP6&gt;=IV$25,IP6&lt;&gt;""),AND(IU6&gt;=IV$25,IU6&lt;&gt;""),AND(JR6&gt;=JX$25,JR6&lt;&gt;""),AND(JW6&gt;=JX$25,JW6&lt;&gt;""),AND(KT6&gt;=KZ$25,KT6&lt;&gt;""),AND(KY6&gt;=KZ$25,KY6&lt;&gt;""),AND(LV6&gt;=MB$25,LV6&lt;&gt;""),AND(MA6&gt;=MB$25,MA6&lt;&gt;""),AND(MX6&gt;=ND$25,MX6&lt;&gt;""),AND(NC6&gt;=ND$25,NC6&lt;&gt;""),AND(NZ6&gt;=OF$25,NZ6&lt;&gt;""),AND(OE6&gt;=OF$25,OE6&lt;&gt;""),AND(PB6&gt;=PH$25,PB6&lt;&gt;""),AND(PG6&gt;=PH$25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41</v>
      </c>
      <c r="M6" s="8" t="str">
        <f>IF(L6=0,"",IF(L6=CE6,$BM$1,IF(L6=BI6,$AQ$1,IF(L6=AM6,$U$1,""))))</f>
        <v>2025 Nationals</v>
      </c>
      <c r="N6" s="8">
        <f>IF(COUNT(AM6,BI6,CE6)&gt;1,LARGE((AM6,BI6,CE6),2),0)</f>
        <v>38.5</v>
      </c>
      <c r="O6" s="8" t="str">
        <f>IF(N6=0,"",IF(AND(N6=L6,N6=AM6,N6=BI6),$U$1,IF(AND(N6=L6,N6=AM6,N6=CE6),$U$1,IF(AND(N6=L6,N6=BI6,N6=CE6),$AQ$1,IF(N6=CE6,$BM$1,IF(N6=BI6,$AQ$1,IF(N6=AM6,$U$1,"")))))))</f>
        <v>2025 Elite Canada</v>
      </c>
      <c r="P6" s="8">
        <f>IF(MAX(AO6,BK6,CG6)&gt;0,MAX(AO6,BK6,CG6),0)</f>
        <v>45.5</v>
      </c>
      <c r="Q6" s="8" t="str">
        <f>IF(P6=0,"",IF(P6=CG6,$BM$1,IF(P6=BK6,$AQ$1,IF(P6=AO6,$U$1,""))))</f>
        <v>2025 Elite Canada</v>
      </c>
      <c r="R6" s="8" t="str">
        <f>IF(MAX(CI6:CJ6)&gt;0,MAX(CI6:CJ6),"")</f>
        <v/>
      </c>
      <c r="S6" s="11" t="str">
        <f>IF(R6="","",IF(R6=CI6,"("&amp;CI$2&amp;")",IF(R6=CJ6,"("&amp;CJ$2&amp;")")))</f>
        <v/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/>
      </c>
      <c r="U6" s="19">
        <v>16.5</v>
      </c>
      <c r="V6" s="19">
        <v>3.5</v>
      </c>
      <c r="W6" s="19">
        <v>0.1</v>
      </c>
      <c r="X6" s="19">
        <v>0</v>
      </c>
      <c r="Y6" s="19">
        <v>14.3</v>
      </c>
      <c r="Z6" s="19">
        <v>4</v>
      </c>
      <c r="AA6" s="19">
        <v>0.4</v>
      </c>
      <c r="AB6" s="19">
        <v>0.7</v>
      </c>
      <c r="AC6" s="19">
        <v>16.399999999999999</v>
      </c>
      <c r="AD6" s="19">
        <v>6.3</v>
      </c>
      <c r="AE6" s="19">
        <v>0</v>
      </c>
      <c r="AF6" s="19">
        <v>0.7</v>
      </c>
      <c r="AG6" s="19">
        <v>17.600000000000001</v>
      </c>
      <c r="AH6" s="19">
        <v>3.8</v>
      </c>
      <c r="AI6" s="19">
        <v>0</v>
      </c>
      <c r="AJ6" s="19">
        <v>0.7</v>
      </c>
      <c r="AK6" s="27"/>
      <c r="AL6" s="40">
        <f>IF(SUM(V6,Z6)&gt;0,SUM(V6,Z6),"")</f>
        <v>7.5</v>
      </c>
      <c r="AM6" s="40">
        <f>IF(SUM(U6:V6,X6:Z6,AB6)-W6-AA6&gt;0,SUM(U6:V6,X6:Z6,AB6)-W6-AA6,"")</f>
        <v>38.5</v>
      </c>
      <c r="AN6" s="40">
        <f>IF(SUM(AD6,AH6)&gt;0,SUM(AD6,AH6),"")</f>
        <v>10.1</v>
      </c>
      <c r="AO6" s="40">
        <f>IF(SUM(AC6:AD6,AF6:AH6,AJ6)-SUM(AE6,AI6)&gt;0,SUM(AC6:AD6,AF6:AH6,AJ6)-SUM(AE6,AI6),"")</f>
        <v>45.5</v>
      </c>
      <c r="AP6" s="40">
        <f>IF(SUM(AM6,AO6)&gt;0,SUM(AM6,AO6),"")</f>
        <v>84</v>
      </c>
      <c r="AQ6" s="18">
        <v>15.5</v>
      </c>
      <c r="AR6" s="18">
        <v>3.4</v>
      </c>
      <c r="AS6" s="18">
        <v>0.2</v>
      </c>
      <c r="AT6" s="18">
        <v>0.7</v>
      </c>
      <c r="AU6" s="18">
        <v>17.100000000000001</v>
      </c>
      <c r="AV6" s="18">
        <v>3.8</v>
      </c>
      <c r="AW6" s="18">
        <v>0</v>
      </c>
      <c r="AX6" s="18">
        <v>0.7</v>
      </c>
      <c r="AY6" s="18">
        <v>14.8</v>
      </c>
      <c r="AZ6" s="18">
        <v>6.1</v>
      </c>
      <c r="BA6" s="18">
        <v>0</v>
      </c>
      <c r="BB6" s="18">
        <v>0.7</v>
      </c>
      <c r="BC6" s="18">
        <v>16.100000000000001</v>
      </c>
      <c r="BD6" s="18">
        <v>1.2</v>
      </c>
      <c r="BE6" s="18">
        <v>0</v>
      </c>
      <c r="BF6" s="18">
        <v>0</v>
      </c>
      <c r="BG6" s="28"/>
      <c r="BH6" s="11">
        <f>IF(SUM(AR6,AV6)&gt;0,SUM(AR6,AV6),"")</f>
        <v>7.1999999999999993</v>
      </c>
      <c r="BI6" s="11">
        <f>IF(SUM(AQ6:AR6,AT6:AV6,AX6)-AS6-AW6&gt;0,SUM(AQ6:AR6,AT6:AV6,AX6)-AS6-AW6,"")</f>
        <v>41</v>
      </c>
      <c r="BJ6" s="11">
        <f>IF(SUM(AZ6,BD6)&gt;0,SUM(AZ6,BD6),"")</f>
        <v>7.3</v>
      </c>
      <c r="BK6" s="11">
        <f>IF(SUM(AY6:AZ6,BB6:BD6,BF6)-SUM(BA6,BE6)&gt;0,SUM(AY6:AZ6,BB6:BD6,BF6)-SUM(BA6,BE6),"")</f>
        <v>38.900000000000006</v>
      </c>
      <c r="BL6" s="11">
        <f>IF(SUM(BI6,BK6)&gt;0,SUM(BI6,BK6),"")</f>
        <v>79.900000000000006</v>
      </c>
      <c r="BM6" s="19">
        <v>16.600000000000001</v>
      </c>
      <c r="BN6" s="19">
        <v>3.4</v>
      </c>
      <c r="BO6" s="19">
        <v>0.2</v>
      </c>
      <c r="BP6" s="19">
        <v>0</v>
      </c>
      <c r="BQ6" s="19">
        <v>14.5</v>
      </c>
      <c r="BR6" s="19">
        <v>2.9</v>
      </c>
      <c r="BS6" s="19">
        <v>0</v>
      </c>
      <c r="BT6" s="19">
        <v>0.7</v>
      </c>
      <c r="BU6" s="19">
        <v>17.2</v>
      </c>
      <c r="BV6" s="19">
        <v>3.6</v>
      </c>
      <c r="BW6" s="19">
        <v>0.2</v>
      </c>
      <c r="BX6" s="19">
        <v>0.7</v>
      </c>
      <c r="BY6" s="19">
        <v>16.5</v>
      </c>
      <c r="BZ6" s="19">
        <v>3.8</v>
      </c>
      <c r="CA6" s="19">
        <v>0.4</v>
      </c>
      <c r="CB6" s="19">
        <v>0.7</v>
      </c>
      <c r="CC6" s="27"/>
      <c r="CD6" s="40">
        <f>IF(SUM(BN6,BR6)&gt;0,SUM(BN6,BR6),"")</f>
        <v>6.3</v>
      </c>
      <c r="CE6" s="40">
        <f>IF(SUM(BM6:BN6,BP6:BR6,BT6)-BO6-BS6&gt;0,SUM(BM6:BN6,BP6:BR6,BT6)-BO6-BS6,"")</f>
        <v>37.9</v>
      </c>
      <c r="CF6" s="40">
        <f>IF(SUM(BV6,BZ6)&gt;0,SUM(BV6,BZ6),"")</f>
        <v>7.4</v>
      </c>
      <c r="CG6" s="40">
        <f>IF(SUM(BU6:BV6,BX6:BZ6,CB6)-SUM(BW6,CA6)&gt;0,SUM(BU6:BV6,BX6:BZ6,CB6)-SUM(BW6,CA6),"")</f>
        <v>41.9</v>
      </c>
      <c r="CH6" s="40">
        <f>IF(SUM(CE6,CG6)&gt;0,SUM(CE6,CG6),"")</f>
        <v>79.8</v>
      </c>
      <c r="CI6" s="50" t="str">
        <f>IF(MAX(DF6,EH6,FJ6,GL6,HN6,IP6,JR6,KT6,LV6,MX6,NZ6,PB6)-IF(N6="",0,N6)&gt;0.001,MAX(DF6,EH6,FJ6,GL6,HN6,IP6,JR6,KT6,LV6,MX6,NZ6,PB6)-IF(N6="",0,N6),"")</f>
        <v/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16.05</v>
      </c>
      <c r="PJ6" s="22">
        <f>IF($CC6="P",BN6,(BN6+AR6)/2)</f>
        <v>3.4</v>
      </c>
      <c r="PK6" s="22">
        <f>IF($CC6="P",BO6,(BO6+AS6)/2)</f>
        <v>0.2</v>
      </c>
      <c r="PL6" s="22">
        <f>IF($CC6="P",BP6,(BP6+AT6)/2)</f>
        <v>0.35</v>
      </c>
      <c r="PM6" s="22">
        <f>IF($CC6="P",BQ6,(BQ6+AU6)/2)</f>
        <v>15.8</v>
      </c>
      <c r="PN6" s="22">
        <f>IF($CC6="P",BR6,(BR6+AV6)/2)</f>
        <v>3.3499999999999996</v>
      </c>
      <c r="PO6" s="22">
        <f>IF($CC6="P",BS6,(BS6+AW6)/2)</f>
        <v>0</v>
      </c>
      <c r="PP6" s="22">
        <f>IF($CC6="P",BT6,(BT6+AX6)/2)</f>
        <v>0.7</v>
      </c>
      <c r="PQ6" s="22">
        <f>IF($CC6="P",BU6,(BU6+AY6)/2)</f>
        <v>16</v>
      </c>
      <c r="PR6" s="22">
        <f>IF($CC6="P",BV6,(BV6+AZ6)/2)</f>
        <v>4.8499999999999996</v>
      </c>
      <c r="PS6" s="22">
        <f>IF($CC6="P",BW6,(BW6+BA6)/2)</f>
        <v>0.1</v>
      </c>
      <c r="PT6" s="22">
        <f>IF($CC6="P",BX6,(BX6+BB6)/2)</f>
        <v>0.7</v>
      </c>
      <c r="PU6" s="22">
        <f>IF($CC6="P",BY6,(BY6+BC6)/2)</f>
        <v>16.3</v>
      </c>
      <c r="PV6" s="22">
        <f>IF($CC6="P",BZ6,(BZ6+BD6)/2)</f>
        <v>2.5</v>
      </c>
      <c r="PW6" s="22">
        <f>IF($CC6="P",CA6,(CA6+BE6)/2)</f>
        <v>0.2</v>
      </c>
      <c r="PX6" s="22">
        <f>IF($CC6="P",CB6,(CB6+BF6)/2)</f>
        <v>0.35</v>
      </c>
      <c r="PY6" s="27" t="s">
        <v>46</v>
      </c>
      <c r="PZ6" s="40">
        <f>IF(SUM(PJ6,PN6)&gt;0,SUM(PJ6,PN6),"")</f>
        <v>6.75</v>
      </c>
      <c r="QA6" s="40">
        <f>IF(SUM(PI6:PJ6,PL6:PN6,PP6)-PK6-PO6&gt;0,SUM(PI6:PJ6,PL6:PN6,PP6)-PK6-PO6,"")</f>
        <v>39.450000000000003</v>
      </c>
      <c r="QB6" s="40">
        <f>IF(SUM(PR6,PV6)&gt;0,SUM(PR6,PV6),"")</f>
        <v>7.35</v>
      </c>
      <c r="QC6" s="40">
        <f>IF(SUM(PQ6:PR6,PT6:PV6,PX6)-SUM(PS6,PW6)&gt;0,SUM(PQ6:PR6,PT6:PV6,PX6)-SUM(PS6,PW6),"")</f>
        <v>40.400000000000006</v>
      </c>
      <c r="QD6" s="40">
        <f>IF(SUM(QA6,QC6)&gt;0,SUM(QA6,QC6),"")</f>
        <v>79.850000000000009</v>
      </c>
    </row>
    <row r="7" spans="1:446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140</v>
      </c>
      <c r="D7" s="4" t="s">
        <v>4</v>
      </c>
      <c r="E7" s="4">
        <v>2004</v>
      </c>
      <c r="F7" s="9">
        <f>SUM(L7:R7)+SUM(L7:O7)*0.0000001+SUM(L7)*0.0000000000001</f>
        <v>124.90000828000433</v>
      </c>
      <c r="G7" s="64" t="s">
        <v>46</v>
      </c>
      <c r="H7" s="3" t="str">
        <f>IF(OR(AND(AL7&gt;=AP$21,AM7&gt;=AP$25,AL7&lt;&gt;"",AK7=""),AND(AN7&gt;=AP$21,AO7&gt;=AP$25,AN7&lt;&gt;"",AK7=""),AND(BH7&gt;=BL$21,BI7&gt;=BL$25,BH7&lt;&gt;"",BG7=""),AND(BJ7&gt;=BL$21,BK7&gt;=BL$25,BJ7&lt;&gt;"",BG7=""),AND(CD7&gt;=CH$21,CE7&gt;=CH$25,CD7&lt;&gt;"",CC7=""),AND(CF7&gt;=CH$21,CG7&gt;=CH$25,CF7&lt;&gt;""),AND(DE7&gt;=DL$21,DF7&gt;=DL$25,DE7&lt;&gt;""),AND(DJ7&gt;=DL$21,DK7&gt;=DL$25,DJ7&lt;&gt;""),AND(EG7&gt;=EN$21,EH7&gt;=EN$25,EG7&lt;&gt;""),AND(EL7&gt;=EN$21,EM7&gt;=EN$25,EL7&lt;&gt;""),AND(FI7&gt;=FP$21,FJ7&gt;=FP$25,FI7&lt;&gt;""),AND(FN7&gt;=FP$21,FO7&gt;=FP$25,FN7&lt;&gt;""),AND(GK7&gt;=GR$21,GL7&gt;=GR$25,GK7&lt;&gt;""),AND(GP7&gt;=GR$21,GQ7&gt;=GR$25,GP7&lt;&gt;""),AND(HM7&gt;=HT$21,HN7&gt;=HT$25,HM7&lt;&gt;""),AND(HR7&gt;=HT$21,HS7&gt;=HT$25,HR7&lt;&gt;""),AND(IO7&gt;=IV$21,IP7&gt;=IV$25,IO7&lt;&gt;""),AND(IT7&gt;=IV$21,IU7&gt;=IV$25,IT7&lt;&gt;""),AND(JQ7&gt;=JX$21,JR7&gt;=JX$25,JQ7&lt;&gt;""),AND(JV7&gt;=JX$21,JW7&gt;=JX$25,JV7&lt;&gt;""),AND(KS7&gt;=KZ$21,KT7&gt;=KZ$25,KS7&lt;&gt;""),AND(KX7&gt;=KZ$21,KY7&gt;=KZ$25,KX7&lt;&gt;""),AND(LU7&gt;=MB$21,LV7&gt;=MB$25,LU7&lt;&gt;""),AND(LZ7&gt;=MB$21,MA7&gt;=MB$25,LZ7&lt;&gt;""),AND(MW7&gt;=ND$21,MX7&gt;=ND$25,MW7&lt;&gt;""),AND(NB7&gt;=ND$21,NC7&gt;=ND$25,NB7&lt;&gt;""),AND(NY7&gt;=OF$21,NZ7&gt;=OF$25,NY7&lt;&gt;""),AND(OD7&gt;=OF$21,OE7&gt;=OF$25,OD7&lt;&gt;""),AND(PA7&gt;=PH$21,PB7&gt;=PH$25,PA7&lt;&gt;""),AND(PF7&gt;=PH$21,PG7&gt;=PH$25,PF7&lt;&gt;"")),"P","")</f>
        <v>P</v>
      </c>
      <c r="I7" s="3" t="str">
        <f>IF(OR(AND(AM7&gt;=AP$25,AM7&lt;&gt;"",AK7=""),AND(AO7&gt;=AP$25,AO7&lt;&gt;"",AK7=""),AND(BI7&gt;=BL$25,BI7&lt;&gt;"",BG7=""),AND(BK7&gt;=BL$25,BK7&lt;&gt;"",BG7=""),AND(CE7&gt;=CH$25,CE7&lt;&gt;"",CC7=""),AND(CG7&gt;=CH$25,CG7&lt;&gt;"",CC7=""),AND(DF7&gt;=DL$25,DF7&lt;&gt;""),AND(DK7&gt;=DL$25,DK7&lt;&gt;""),AND(EH7&gt;=EN$25,EH7&lt;&gt;""),AND(EM7&gt;=EN$25,EM7&lt;&gt;""),AND(FJ7&gt;=FP$25,FJ7&lt;&gt;""),AND(FO7&gt;=FP$25,FO7&lt;&gt;""),AND(GL7&gt;=GR$25,GL7&lt;&gt;""),AND(GQ7&gt;=GR$25,GQ7&lt;&gt;""),AND(HN7&gt;=HT$25,HN7&lt;&gt;""),AND(HS7&gt;=HT$25,HS7&lt;&gt;""),AND(IP7&gt;=IV$25,IP7&lt;&gt;""),AND(IU7&gt;=IV$25,IU7&lt;&gt;""),AND(JR7&gt;=JX$25,JR7&lt;&gt;""),AND(JW7&gt;=JX$25,JW7&lt;&gt;""),AND(KT7&gt;=KZ$25,KT7&lt;&gt;""),AND(KY7&gt;=KZ$25,KY7&lt;&gt;""),AND(LV7&gt;=MB$25,LV7&lt;&gt;""),AND(MA7&gt;=MB$25,MA7&lt;&gt;""),AND(MX7&gt;=ND$25,MX7&lt;&gt;""),AND(NC7&gt;=ND$25,NC7&lt;&gt;""),AND(NZ7&gt;=OF$25,NZ7&lt;&gt;""),AND(OE7&gt;=OF$25,OE7&lt;&gt;""),AND(PB7&gt;=PH$25,PB7&lt;&gt;""),AND(PG7&gt;=PH$25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43.2</v>
      </c>
      <c r="M7" s="8" t="str">
        <f>IF(L7=0,"",IF(L7=CE7,$BM$1,IF(L7=BI7,$AQ$1,IF(L7=AM7,$U$1,""))))</f>
        <v>2025 3rd Domestic Trial</v>
      </c>
      <c r="N7" s="8">
        <f>IF(COUNT(AM7,BI7,CE7)&gt;1,LARGE((AM7,BI7,CE7),2),0)</f>
        <v>39.6</v>
      </c>
      <c r="O7" s="8" t="str">
        <f>IF(N7=0,"",IF(AND(N7=L7,N7=AM7,N7=BI7),$U$1,IF(AND(N7=L7,N7=AM7,N7=CE7),$U$1,IF(AND(N7=L7,N7=BI7,N7=CE7),$AQ$1,IF(N7=CE7,$BM$1,IF(N7=BI7,$AQ$1,IF(N7=AM7,$U$1,"")))))))</f>
        <v>2025 Nationals</v>
      </c>
      <c r="P7" s="8">
        <f>IF(MAX(AO7,BK7,CG7)&gt;0,MAX(AO7,BK7,CG7),0)</f>
        <v>42.1</v>
      </c>
      <c r="Q7" s="8" t="str">
        <f>IF(P7=0,"",IF(P7=CG7,$BM$1,IF(P7=BK7,$AQ$1,IF(P7=AO7,$U$1,""))))</f>
        <v>2025 Nationals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27"/>
      <c r="AL7" s="40" t="str">
        <f>IF(SUM(V7,Z7)&gt;0,SUM(V7,Z7),"")</f>
        <v/>
      </c>
      <c r="AM7" s="40" t="str">
        <f>IF(SUM(U7:V7,X7:Z7,AB7)-W7-AA7&gt;0,SUM(U7:V7,X7:Z7,AB7)-W7-AA7,"")</f>
        <v/>
      </c>
      <c r="AN7" s="40" t="str">
        <f>IF(SUM(AD7,AH7)&gt;0,SUM(AD7,AH7),"")</f>
        <v/>
      </c>
      <c r="AO7" s="40" t="str">
        <f>IF(SUM(AC7:AD7,AF7:AH7,AJ7)-SUM(AE7,AI7)&gt;0,SUM(AC7:AD7,AF7:AH7,AJ7)-SUM(AE7,AI7),"")</f>
        <v/>
      </c>
      <c r="AP7" s="40" t="str">
        <f>IF(SUM(AM7,AO7)&gt;0,SUM(AM7,AO7),"")</f>
        <v/>
      </c>
      <c r="AQ7" s="18">
        <v>16.600000000000001</v>
      </c>
      <c r="AR7" s="18">
        <v>6.1</v>
      </c>
      <c r="AS7" s="18">
        <v>0</v>
      </c>
      <c r="AT7" s="18">
        <v>0.7</v>
      </c>
      <c r="AU7" s="18">
        <v>17.100000000000001</v>
      </c>
      <c r="AV7" s="18">
        <v>2.1</v>
      </c>
      <c r="AW7" s="18">
        <v>3</v>
      </c>
      <c r="AX7" s="18">
        <v>0</v>
      </c>
      <c r="AY7" s="18">
        <v>16.899999999999999</v>
      </c>
      <c r="AZ7" s="18">
        <v>6.1</v>
      </c>
      <c r="BA7" s="18">
        <v>0</v>
      </c>
      <c r="BB7" s="18">
        <v>0.7</v>
      </c>
      <c r="BC7" s="18">
        <v>17.5</v>
      </c>
      <c r="BD7" s="18">
        <v>2.1</v>
      </c>
      <c r="BE7" s="18">
        <v>1.2</v>
      </c>
      <c r="BF7" s="18">
        <v>0</v>
      </c>
      <c r="BG7" s="28"/>
      <c r="BH7" s="11">
        <f>IF(SUM(AR7,AV7)&gt;0,SUM(AR7,AV7),"")</f>
        <v>8.1999999999999993</v>
      </c>
      <c r="BI7" s="11">
        <f>IF(SUM(AQ7:AR7,AT7:AV7,AX7)-AS7-AW7&gt;0,SUM(AQ7:AR7,AT7:AV7,AX7)-AS7-AW7,"")</f>
        <v>39.6</v>
      </c>
      <c r="BJ7" s="11">
        <f>IF(SUM(AZ7,BD7)&gt;0,SUM(AZ7,BD7),"")</f>
        <v>8.1999999999999993</v>
      </c>
      <c r="BK7" s="11">
        <f>IF(SUM(AY7:AZ7,BB7:BD7,BF7)-SUM(BA7,BE7)&gt;0,SUM(AY7:AZ7,BB7:BD7,BF7)-SUM(BA7,BE7),"")</f>
        <v>42.1</v>
      </c>
      <c r="BL7" s="11">
        <f>IF(SUM(BI7,BK7)&gt;0,SUM(BI7,BK7),"")</f>
        <v>81.7</v>
      </c>
      <c r="BM7" s="19">
        <v>15.9</v>
      </c>
      <c r="BN7" s="19">
        <v>6.1</v>
      </c>
      <c r="BO7" s="19">
        <v>0</v>
      </c>
      <c r="BP7" s="19">
        <v>0.7</v>
      </c>
      <c r="BQ7" s="19">
        <v>15.6</v>
      </c>
      <c r="BR7" s="19">
        <v>4.2</v>
      </c>
      <c r="BS7" s="19">
        <v>0</v>
      </c>
      <c r="BT7" s="19">
        <v>0.7</v>
      </c>
      <c r="BU7" s="19">
        <v>16.3</v>
      </c>
      <c r="BV7" s="19">
        <v>6.1</v>
      </c>
      <c r="BW7" s="19">
        <v>0</v>
      </c>
      <c r="BX7" s="19">
        <v>0.7</v>
      </c>
      <c r="BY7" s="19">
        <v>13.5</v>
      </c>
      <c r="BZ7" s="19">
        <v>3.9</v>
      </c>
      <c r="CA7" s="19">
        <v>0</v>
      </c>
      <c r="CB7" s="19">
        <v>0.7</v>
      </c>
      <c r="CC7" s="27"/>
      <c r="CD7" s="40">
        <f>IF(SUM(BN7,BR7)&gt;0,SUM(BN7,BR7),"")</f>
        <v>10.3</v>
      </c>
      <c r="CE7" s="40">
        <f>IF(SUM(BM7:BN7,BP7:BR7,BT7)-BO7-BS7&gt;0,SUM(BM7:BN7,BP7:BR7,BT7)-BO7-BS7,"")</f>
        <v>43.2</v>
      </c>
      <c r="CF7" s="40">
        <f>IF(SUM(BV7,BZ7)&gt;0,SUM(BV7,BZ7),"")</f>
        <v>10</v>
      </c>
      <c r="CG7" s="40">
        <f>IF(SUM(BU7:BV7,BX7:BZ7,CB7)-SUM(BW7,CA7)&gt;0,SUM(BU7:BV7,BX7:BZ7,CB7)-SUM(BW7,CA7),"")</f>
        <v>41.199999999999996</v>
      </c>
      <c r="CH7" s="40">
        <f>IF(SUM(CE7,CG7)&gt;0,SUM(CE7,CG7),"")</f>
        <v>84.4</v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16.25</v>
      </c>
      <c r="PJ7" s="22">
        <f>IF($CC7="P",BN7,(BN7+AR7)/2)</f>
        <v>6.1</v>
      </c>
      <c r="PK7" s="22">
        <f>IF($CC7="P",BO7,(BO7+AS7)/2)</f>
        <v>0</v>
      </c>
      <c r="PL7" s="22">
        <f>IF($CC7="P",BP7,(BP7+AT7)/2)</f>
        <v>0.7</v>
      </c>
      <c r="PM7" s="22">
        <f>IF($CC7="P",BQ7,(BQ7+AU7)/2)</f>
        <v>16.350000000000001</v>
      </c>
      <c r="PN7" s="22">
        <f>IF($CC7="P",BR7,(BR7+AV7)/2)</f>
        <v>3.1500000000000004</v>
      </c>
      <c r="PO7" s="22">
        <f>IF($CC7="P",BS7,(BS7+AW7)/2)</f>
        <v>1.5</v>
      </c>
      <c r="PP7" s="22">
        <f>IF($CC7="P",BT7,(BT7+AX7)/2)</f>
        <v>0.35</v>
      </c>
      <c r="PQ7" s="22">
        <f>IF($CC7="P",BU7,(BU7+AY7)/2)</f>
        <v>16.600000000000001</v>
      </c>
      <c r="PR7" s="22">
        <f>IF($CC7="P",BV7,(BV7+AZ7)/2)</f>
        <v>6.1</v>
      </c>
      <c r="PS7" s="22">
        <f>IF($CC7="P",BW7,(BW7+BA7)/2)</f>
        <v>0</v>
      </c>
      <c r="PT7" s="22">
        <f>IF($CC7="P",BX7,(BX7+BB7)/2)</f>
        <v>0.7</v>
      </c>
      <c r="PU7" s="22">
        <f>IF($CC7="P",BY7,(BY7+BC7)/2)</f>
        <v>15.5</v>
      </c>
      <c r="PV7" s="22">
        <f>IF($CC7="P",BZ7,(BZ7+BD7)/2)</f>
        <v>3</v>
      </c>
      <c r="PW7" s="22">
        <f>IF($CC7="P",CA7,(CA7+BE7)/2)</f>
        <v>0.6</v>
      </c>
      <c r="PX7" s="22">
        <f>IF($CC7="P",CB7,(CB7+BF7)/2)</f>
        <v>0.35</v>
      </c>
      <c r="PY7" s="27" t="s">
        <v>46</v>
      </c>
      <c r="PZ7" s="40">
        <f>IF(SUM(PJ7,PN7)&gt;0,SUM(PJ7,PN7),"")</f>
        <v>9.25</v>
      </c>
      <c r="QA7" s="40">
        <f>IF(SUM(PI7:PJ7,PL7:PN7,PP7)-PK7-PO7&gt;0,SUM(PI7:PJ7,PL7:PN7,PP7)-PK7-PO7,"")</f>
        <v>41.400000000000006</v>
      </c>
      <c r="QB7" s="40">
        <f>IF(SUM(PR7,PV7)&gt;0,SUM(PR7,PV7),"")</f>
        <v>9.1</v>
      </c>
      <c r="QC7" s="40">
        <f>IF(SUM(PQ7:PR7,PT7:PV7,PX7)-SUM(PS7,PW7)&gt;0,SUM(PQ7:PR7,PT7:PV7,PX7)-SUM(PS7,PW7),"")</f>
        <v>41.650000000000006</v>
      </c>
      <c r="QD7" s="40">
        <f>IF(SUM(QA7,QC7)&gt;0,SUM(QA7,QC7),"")</f>
        <v>83.050000000000011</v>
      </c>
    </row>
    <row r="8" spans="1:446" x14ac:dyDescent="0.2">
      <c r="A8" s="4" t="str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/>
      </c>
      <c r="B8" s="4" t="str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/>
      </c>
      <c r="C8" s="5" t="s">
        <v>98</v>
      </c>
      <c r="D8" s="4" t="s">
        <v>6</v>
      </c>
      <c r="E8" s="4">
        <v>2005</v>
      </c>
      <c r="F8" s="9">
        <f>SUM(L8:R8)+SUM(L8:O8)*0.0000001+SUM(L8)*0.0000000000001</f>
        <v>126.60000842000423</v>
      </c>
      <c r="G8" s="64"/>
      <c r="H8" s="3" t="str">
        <f>IF(OR(AND(AL8&gt;=AP$21,AM8&gt;=AP$25,AL8&lt;&gt;"",AK8=""),AND(AN8&gt;=AP$21,AO8&gt;=AP$25,AN8&lt;&gt;"",AK8=""),AND(BH8&gt;=BL$21,BI8&gt;=BL$25,BH8&lt;&gt;"",BG8=""),AND(BJ8&gt;=BL$21,BK8&gt;=BL$25,BJ8&lt;&gt;"",BG8=""),AND(CD8&gt;=CH$21,CE8&gt;=CH$25,CD8&lt;&gt;"",CC8=""),AND(CF8&gt;=CH$21,CG8&gt;=CH$25,CF8&lt;&gt;""),AND(DE8&gt;=DL$21,DF8&gt;=DL$25,DE8&lt;&gt;""),AND(DJ8&gt;=DL$21,DK8&gt;=DL$25,DJ8&lt;&gt;""),AND(EG8&gt;=EN$21,EH8&gt;=EN$25,EG8&lt;&gt;""),AND(EL8&gt;=EN$21,EM8&gt;=EN$25,EL8&lt;&gt;""),AND(FI8&gt;=FP$21,FJ8&gt;=FP$25,FI8&lt;&gt;""),AND(FN8&gt;=FP$21,FO8&gt;=FP$25,FN8&lt;&gt;""),AND(GK8&gt;=GR$21,GL8&gt;=GR$25,GK8&lt;&gt;""),AND(GP8&gt;=GR$21,GQ8&gt;=GR$25,GP8&lt;&gt;""),AND(HM8&gt;=HT$21,HN8&gt;=HT$25,HM8&lt;&gt;""),AND(HR8&gt;=HT$21,HS8&gt;=HT$25,HR8&lt;&gt;""),AND(IO8&gt;=IV$21,IP8&gt;=IV$25,IO8&lt;&gt;""),AND(IT8&gt;=IV$21,IU8&gt;=IV$25,IT8&lt;&gt;""),AND(JQ8&gt;=JX$21,JR8&gt;=JX$25,JQ8&lt;&gt;""),AND(JV8&gt;=JX$21,JW8&gt;=JX$25,JV8&lt;&gt;""),AND(KS8&gt;=KZ$21,KT8&gt;=KZ$25,KS8&lt;&gt;""),AND(KX8&gt;=KZ$21,KY8&gt;=KZ$25,KX8&lt;&gt;""),AND(LU8&gt;=MB$21,LV8&gt;=MB$25,LU8&lt;&gt;""),AND(LZ8&gt;=MB$21,MA8&gt;=MB$25,LZ8&lt;&gt;""),AND(MW8&gt;=ND$21,MX8&gt;=ND$25,MW8&lt;&gt;""),AND(NB8&gt;=ND$21,NC8&gt;=ND$25,NB8&lt;&gt;""),AND(NY8&gt;=OF$21,NZ8&gt;=OF$25,NY8&lt;&gt;""),AND(OD8&gt;=OF$21,OE8&gt;=OF$25,OD8&lt;&gt;""),AND(PA8&gt;=PH$21,PB8&gt;=PH$25,PA8&lt;&gt;""),AND(PF8&gt;=PH$21,PG8&gt;=PH$25,PF8&lt;&gt;"")),"P","")</f>
        <v/>
      </c>
      <c r="I8" s="3" t="str">
        <f>IF(OR(AND(AM8&gt;=AP$25,AM8&lt;&gt;"",AK8=""),AND(AO8&gt;=AP$25,AO8&lt;&gt;"",AK8=""),AND(BI8&gt;=BL$25,BI8&lt;&gt;"",BG8=""),AND(BK8&gt;=BL$25,BK8&lt;&gt;"",BG8=""),AND(CE8&gt;=CH$25,CE8&lt;&gt;"",CC8=""),AND(CG8&gt;=CH$25,CG8&lt;&gt;"",CC8=""),AND(DF8&gt;=DL$25,DF8&lt;&gt;""),AND(DK8&gt;=DL$25,DK8&lt;&gt;""),AND(EH8&gt;=EN$25,EH8&lt;&gt;""),AND(EM8&gt;=EN$25,EM8&lt;&gt;""),AND(FJ8&gt;=FP$25,FJ8&lt;&gt;""),AND(FO8&gt;=FP$25,FO8&lt;&gt;""),AND(GL8&gt;=GR$25,GL8&lt;&gt;""),AND(GQ8&gt;=GR$25,GQ8&lt;&gt;""),AND(HN8&gt;=HT$25,HN8&lt;&gt;""),AND(HS8&gt;=HT$25,HS8&lt;&gt;""),AND(IP8&gt;=IV$25,IP8&lt;&gt;""),AND(IU8&gt;=IV$25,IU8&lt;&gt;""),AND(JR8&gt;=JX$25,JR8&lt;&gt;""),AND(JW8&gt;=JX$25,JW8&lt;&gt;""),AND(KT8&gt;=KZ$25,KT8&lt;&gt;""),AND(KY8&gt;=KZ$25,KY8&lt;&gt;""),AND(LV8&gt;=MB$25,LV8&lt;&gt;""),AND(MA8&gt;=MB$25,MA8&lt;&gt;""),AND(MX8&gt;=ND$25,MX8&lt;&gt;""),AND(NC8&gt;=ND$25,NC8&lt;&gt;""),AND(NZ8&gt;=OF$25,NZ8&lt;&gt;""),AND(OE8&gt;=OF$25,OE8&lt;&gt;""),AND(PB8&gt;=PH$25,PB8&lt;&gt;""),AND(PG8&gt;=PH$25,PG8&lt;&gt;"")),"P","")</f>
        <v/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/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42.300000000000004</v>
      </c>
      <c r="M8" s="8" t="str">
        <f>IF(L8=0,"",IF(L8=CE8,$BM$1,IF(L8=BI8,$AQ$1,IF(L8=AM8,$U$1,""))))</f>
        <v>2025 Nationals</v>
      </c>
      <c r="N8" s="8">
        <f>IF(COUNT(AM8,BI8,CE8)&gt;1,LARGE((AM8,BI8,CE8),2),0)</f>
        <v>41.9</v>
      </c>
      <c r="O8" s="8" t="str">
        <f>IF(N8=0,"",IF(AND(N8=L8,N8=AM8,N8=BI8),$U$1,IF(AND(N8=L8,N8=AM8,N8=CE8),$U$1,IF(AND(N8=L8,N8=BI8,N8=CE8),$AQ$1,IF(N8=CE8,$BM$1,IF(N8=BI8,$AQ$1,IF(N8=AM8,$U$1,"")))))))</f>
        <v>2025 Elite Canada</v>
      </c>
      <c r="P8" s="8">
        <f>IF(MAX(AO8,BK8,CG8)&gt;0,MAX(AO8,BK8,CG8),0)</f>
        <v>42.4</v>
      </c>
      <c r="Q8" s="8" t="str">
        <f>IF(P8=0,"",IF(P8=CG8,$BM$1,IF(P8=BK8,$AQ$1,IF(P8=AO8,$U$1,""))))</f>
        <v>2025 Nationals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>
        <v>16.899999999999999</v>
      </c>
      <c r="V8" s="19">
        <v>4.0999999999999996</v>
      </c>
      <c r="W8" s="19">
        <v>0</v>
      </c>
      <c r="X8" s="19">
        <v>0</v>
      </c>
      <c r="Y8" s="19">
        <v>17</v>
      </c>
      <c r="Z8" s="19">
        <v>3.9</v>
      </c>
      <c r="AA8" s="19">
        <v>0</v>
      </c>
      <c r="AB8" s="19">
        <v>0</v>
      </c>
      <c r="AC8" s="19">
        <v>16.8</v>
      </c>
      <c r="AD8" s="19">
        <v>4.0999999999999996</v>
      </c>
      <c r="AE8" s="19">
        <v>0</v>
      </c>
      <c r="AF8" s="19">
        <v>0</v>
      </c>
      <c r="AG8" s="19">
        <v>14.8</v>
      </c>
      <c r="AH8" s="19">
        <v>4.5999999999999996</v>
      </c>
      <c r="AI8" s="19">
        <v>0</v>
      </c>
      <c r="AJ8" s="19">
        <v>0</v>
      </c>
      <c r="AK8" s="27"/>
      <c r="AL8" s="40">
        <f>IF(SUM(V8,Z8)&gt;0,SUM(V8,Z8),"")</f>
        <v>8</v>
      </c>
      <c r="AM8" s="40">
        <f>IF(SUM(U8:V8,X8:Z8,AB8)-W8-AA8&gt;0,SUM(U8:V8,X8:Z8,AB8)-W8-AA8,"")</f>
        <v>41.9</v>
      </c>
      <c r="AN8" s="40">
        <f>IF(SUM(AD8,AH8)&gt;0,SUM(AD8,AH8),"")</f>
        <v>8.6999999999999993</v>
      </c>
      <c r="AO8" s="40">
        <f>IF(SUM(AC8:AD8,AF8:AH8,AJ8)-SUM(AE8,AI8)&gt;0,SUM(AC8:AD8,AF8:AH8,AJ8)-SUM(AE8,AI8),"")</f>
        <v>40.300000000000004</v>
      </c>
      <c r="AP8" s="40">
        <f>IF(SUM(AM8,AO8)&gt;0,SUM(AM8,AO8),"")</f>
        <v>82.2</v>
      </c>
      <c r="AQ8" s="18">
        <v>16.899999999999999</v>
      </c>
      <c r="AR8" s="18">
        <v>4.0999999999999996</v>
      </c>
      <c r="AS8" s="18">
        <v>0</v>
      </c>
      <c r="AT8" s="18">
        <v>0</v>
      </c>
      <c r="AU8" s="18">
        <v>16.7</v>
      </c>
      <c r="AV8" s="18">
        <v>4.5999999999999996</v>
      </c>
      <c r="AW8" s="18">
        <v>0</v>
      </c>
      <c r="AX8" s="18">
        <v>0</v>
      </c>
      <c r="AY8" s="18">
        <v>16.5</v>
      </c>
      <c r="AZ8" s="18">
        <v>4.8</v>
      </c>
      <c r="BA8" s="18">
        <v>0</v>
      </c>
      <c r="BB8" s="18">
        <v>0</v>
      </c>
      <c r="BC8" s="18">
        <v>16.5</v>
      </c>
      <c r="BD8" s="18">
        <v>4.5999999999999996</v>
      </c>
      <c r="BE8" s="18">
        <v>0</v>
      </c>
      <c r="BF8" s="18">
        <v>0</v>
      </c>
      <c r="BG8" s="28"/>
      <c r="BH8" s="11">
        <f>IF(SUM(AR8,AV8)&gt;0,SUM(AR8,AV8),"")</f>
        <v>8.6999999999999993</v>
      </c>
      <c r="BI8" s="11">
        <f>IF(SUM(AQ8:AR8,AT8:AV8,AX8)-AS8-AW8&gt;0,SUM(AQ8:AR8,AT8:AV8,AX8)-AS8-AW8,"")</f>
        <v>42.300000000000004</v>
      </c>
      <c r="BJ8" s="11">
        <f>IF(SUM(AZ8,BD8)&gt;0,SUM(AZ8,BD8),"")</f>
        <v>9.3999999999999986</v>
      </c>
      <c r="BK8" s="11">
        <f>IF(SUM(AY8:AZ8,BB8:BD8,BF8)-SUM(BA8,BE8)&gt;0,SUM(AY8:AZ8,BB8:BD8,BF8)-SUM(BA8,BE8),"")</f>
        <v>42.4</v>
      </c>
      <c r="BL8" s="11">
        <f>IF(SUM(BI8,BK8)&gt;0,SUM(BI8,BK8),"")</f>
        <v>84.7</v>
      </c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27"/>
      <c r="CD8" s="40" t="str">
        <f>IF(SUM(BN8,BR8)&gt;0,SUM(BN8,BR8),"")</f>
        <v/>
      </c>
      <c r="CE8" s="40" t="str">
        <f>IF(SUM(BM8:BN8,BP8:BR8,BT8)-BO8-BS8&gt;0,SUM(BM8:BN8,BP8:BR8,BT8)-BO8-BS8,"")</f>
        <v/>
      </c>
      <c r="CF8" s="40" t="str">
        <f>IF(SUM(BV8,BZ8)&gt;0,SUM(BV8,BZ8),"")</f>
        <v/>
      </c>
      <c r="CG8" s="40" t="str">
        <f>IF(SUM(BU8:BV8,BX8:BZ8,CB8)-SUM(BW8,CA8)&gt;0,SUM(BU8:BV8,BX8:BZ8,CB8)-SUM(BW8,CA8),"")</f>
        <v/>
      </c>
      <c r="CH8" s="40" t="str">
        <f>IF(SUM(CE8,CG8)&gt;0,SUM(CE8,CG8),"")</f>
        <v/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>
        <v>16.600000000000001</v>
      </c>
      <c r="FR8" s="18">
        <v>4.0999999999999996</v>
      </c>
      <c r="FS8" s="18">
        <v>0</v>
      </c>
      <c r="FT8" s="18">
        <v>0</v>
      </c>
      <c r="FU8" s="18">
        <v>16.899999999999999</v>
      </c>
      <c r="FV8" s="18">
        <v>3.9</v>
      </c>
      <c r="FW8" s="18">
        <v>0</v>
      </c>
      <c r="FX8" s="18">
        <v>0</v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>
        <f>IF(SUM(FR8,FV8)&gt;0,SUM(FR8,FV8),"")</f>
        <v>8</v>
      </c>
      <c r="GL8" s="11">
        <f>IF(SUM(FQ8:FR8,FT8:FV8,FX8)-FS8-FW8&gt;0,SUM(FQ8:FR8,FT8:FV8,FX8)-FS8-FW8,"")</f>
        <v>41.5</v>
      </c>
      <c r="GM8" s="11" t="str">
        <f>IF(SUM(FY8:FZ8,GB8)-GA8&gt;0,SUM(FY8:FZ8,GB8)-GA8,"")</f>
        <v/>
      </c>
      <c r="GN8" s="11">
        <f>IF(SUM(FR8,FV8,FZ8)&gt;0,SUM(FR8,FV8,FZ8),"")</f>
        <v>8</v>
      </c>
      <c r="GO8" s="11">
        <f>IF(SUM(GL8,GM8)&gt;0,SUM(GL8,GM8),"")</f>
        <v>41.5</v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>
        <f>IF(SUM(GL8,GM8,GQ8)&gt;0,SUM(GL8,GM8,GQ8),"")</f>
        <v>41.5</v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8.4499999999999993</v>
      </c>
      <c r="PJ8" s="22">
        <f>IF($CC8="P",BN8,(BN8+AR8)/2)</f>
        <v>2.0499999999999998</v>
      </c>
      <c r="PK8" s="22">
        <f>IF($CC8="P",BO8,(BO8+AS8)/2)</f>
        <v>0</v>
      </c>
      <c r="PL8" s="22">
        <f>IF($CC8="P",BP8,(BP8+AT8)/2)</f>
        <v>0</v>
      </c>
      <c r="PM8" s="22">
        <f>IF($CC8="P",BQ8,(BQ8+AU8)/2)</f>
        <v>8.35</v>
      </c>
      <c r="PN8" s="22">
        <f>IF($CC8="P",BR8,(BR8+AV8)/2)</f>
        <v>2.2999999999999998</v>
      </c>
      <c r="PO8" s="22">
        <f>IF($CC8="P",BS8,(BS8+AW8)/2)</f>
        <v>0</v>
      </c>
      <c r="PP8" s="22">
        <f>IF($CC8="P",BT8,(BT8+AX8)/2)</f>
        <v>0</v>
      </c>
      <c r="PQ8" s="22">
        <f>IF($CC8="P",BU8,(BU8+AY8)/2)</f>
        <v>8.25</v>
      </c>
      <c r="PR8" s="22">
        <f>IF($CC8="P",BV8,(BV8+AZ8)/2)</f>
        <v>2.4</v>
      </c>
      <c r="PS8" s="22">
        <f>IF($CC8="P",BW8,(BW8+BA8)/2)</f>
        <v>0</v>
      </c>
      <c r="PT8" s="22">
        <f>IF($CC8="P",BX8,(BX8+BB8)/2)</f>
        <v>0</v>
      </c>
      <c r="PU8" s="22">
        <f>IF($CC8="P",BY8,(BY8+BC8)/2)</f>
        <v>8.25</v>
      </c>
      <c r="PV8" s="22">
        <f>IF($CC8="P",BZ8,(BZ8+BD8)/2)</f>
        <v>2.2999999999999998</v>
      </c>
      <c r="PW8" s="22">
        <f>IF($CC8="P",CA8,(CA8+BE8)/2)</f>
        <v>0</v>
      </c>
      <c r="PX8" s="22">
        <f>IF($CC8="P",CB8,(CB8+BF8)/2)</f>
        <v>0</v>
      </c>
      <c r="PY8" s="27" t="s">
        <v>46</v>
      </c>
      <c r="PZ8" s="40">
        <f>IF(SUM(PJ8,PN8)&gt;0,SUM(PJ8,PN8),"")</f>
        <v>4.3499999999999996</v>
      </c>
      <c r="QA8" s="40">
        <f>IF(SUM(PI8:PJ8,PL8:PN8,PP8)-PK8-PO8&gt;0,SUM(PI8:PJ8,PL8:PN8,PP8)-PK8-PO8,"")</f>
        <v>21.150000000000002</v>
      </c>
      <c r="QB8" s="40">
        <f>IF(SUM(PR8,PV8)&gt;0,SUM(PR8,PV8),"")</f>
        <v>4.6999999999999993</v>
      </c>
      <c r="QC8" s="40">
        <f>IF(SUM(PQ8:PR8,PT8:PV8,PX8)-SUM(PS8,PW8)&gt;0,SUM(PQ8:PR8,PT8:PV8,PX8)-SUM(PS8,PW8),"")</f>
        <v>21.2</v>
      </c>
      <c r="QD8" s="40">
        <f>IF(SUM(QA8,QC8)&gt;0,SUM(QA8,QC8),"")</f>
        <v>42.35</v>
      </c>
    </row>
    <row r="9" spans="1:446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116</v>
      </c>
      <c r="D9" s="4" t="s">
        <v>3</v>
      </c>
      <c r="E9" s="4">
        <v>2005</v>
      </c>
      <c r="F9" s="9">
        <f>SUM(L9:R9)+SUM(L9:O9)*0.0000001+SUM(L9)*0.0000000000001</f>
        <v>126.40000800000411</v>
      </c>
      <c r="G9" s="64"/>
      <c r="H9" s="3" t="str">
        <f>IF(OR(AND(AL9&gt;=AP$21,AM9&gt;=AP$25,AL9&lt;&gt;"",AK9=""),AND(AN9&gt;=AP$21,AO9&gt;=AP$25,AN9&lt;&gt;"",AK9=""),AND(BH9&gt;=BL$21,BI9&gt;=BL$25,BH9&lt;&gt;"",BG9=""),AND(BJ9&gt;=BL$21,BK9&gt;=BL$25,BJ9&lt;&gt;"",BG9=""),AND(CD9&gt;=CH$21,CE9&gt;=CH$25,CD9&lt;&gt;"",CC9=""),AND(CF9&gt;=CH$21,CG9&gt;=CH$25,CF9&lt;&gt;""),AND(DE9&gt;=DL$21,DF9&gt;=DL$25,DE9&lt;&gt;""),AND(DJ9&gt;=DL$21,DK9&gt;=DL$25,DJ9&lt;&gt;""),AND(EG9&gt;=EN$21,EH9&gt;=EN$25,EG9&lt;&gt;""),AND(EL9&gt;=EN$21,EM9&gt;=EN$25,EL9&lt;&gt;""),AND(FI9&gt;=FP$21,FJ9&gt;=FP$25,FI9&lt;&gt;""),AND(FN9&gt;=FP$21,FO9&gt;=FP$25,FN9&lt;&gt;""),AND(GK9&gt;=GR$21,GL9&gt;=GR$25,GK9&lt;&gt;""),AND(GP9&gt;=GR$21,GQ9&gt;=GR$25,GP9&lt;&gt;""),AND(HM9&gt;=HT$21,HN9&gt;=HT$25,HM9&lt;&gt;""),AND(HR9&gt;=HT$21,HS9&gt;=HT$25,HR9&lt;&gt;""),AND(IO9&gt;=IV$21,IP9&gt;=IV$25,IO9&lt;&gt;""),AND(IT9&gt;=IV$21,IU9&gt;=IV$25,IT9&lt;&gt;""),AND(JQ9&gt;=JX$21,JR9&gt;=JX$25,JQ9&lt;&gt;""),AND(JV9&gt;=JX$21,JW9&gt;=JX$25,JV9&lt;&gt;""),AND(KS9&gt;=KZ$21,KT9&gt;=KZ$25,KS9&lt;&gt;""),AND(KX9&gt;=KZ$21,KY9&gt;=KZ$25,KX9&lt;&gt;""),AND(LU9&gt;=MB$21,LV9&gt;=MB$25,LU9&lt;&gt;""),AND(LZ9&gt;=MB$21,MA9&gt;=MB$25,LZ9&lt;&gt;""),AND(MW9&gt;=ND$21,MX9&gt;=ND$25,MW9&lt;&gt;""),AND(NB9&gt;=ND$21,NC9&gt;=ND$25,NB9&lt;&gt;""),AND(NY9&gt;=OF$21,NZ9&gt;=OF$25,NY9&lt;&gt;""),AND(OD9&gt;=OF$21,OE9&gt;=OF$25,OD9&lt;&gt;""),AND(PA9&gt;=PH$21,PB9&gt;=PH$25,PA9&lt;&gt;""),AND(PF9&gt;=PH$21,PG9&gt;=PH$25,PF9&lt;&gt;"")),"P","")</f>
        <v/>
      </c>
      <c r="I9" s="3" t="str">
        <f>IF(OR(AND(AM9&gt;=AP$25,AM9&lt;&gt;"",AK9=""),AND(AO9&gt;=AP$25,AO9&lt;&gt;"",AK9=""),AND(BI9&gt;=BL$25,BI9&lt;&gt;"",BG9=""),AND(BK9&gt;=BL$25,BK9&lt;&gt;"",BG9=""),AND(CE9&gt;=CH$25,CE9&lt;&gt;"",CC9=""),AND(CG9&gt;=CH$25,CG9&lt;&gt;"",CC9=""),AND(DF9&gt;=DL$25,DF9&lt;&gt;""),AND(DK9&gt;=DL$25,DK9&lt;&gt;""),AND(EH9&gt;=EN$25,EH9&lt;&gt;""),AND(EM9&gt;=EN$25,EM9&lt;&gt;""),AND(FJ9&gt;=FP$25,FJ9&lt;&gt;""),AND(FO9&gt;=FP$25,FO9&lt;&gt;""),AND(GL9&gt;=GR$25,GL9&lt;&gt;""),AND(GQ9&gt;=GR$25,GQ9&lt;&gt;""),AND(HN9&gt;=HT$25,HN9&lt;&gt;""),AND(HS9&gt;=HT$25,HS9&lt;&gt;""),AND(IP9&gt;=IV$25,IP9&lt;&gt;""),AND(IU9&gt;=IV$25,IU9&lt;&gt;""),AND(JR9&gt;=JX$25,JR9&lt;&gt;""),AND(JW9&gt;=JX$25,JW9&lt;&gt;""),AND(KT9&gt;=KZ$25,KT9&lt;&gt;""),AND(KY9&gt;=KZ$25,KY9&lt;&gt;""),AND(LV9&gt;=MB$25,LV9&lt;&gt;""),AND(MA9&gt;=MB$25,MA9&lt;&gt;""),AND(MX9&gt;=ND$25,MX9&lt;&gt;""),AND(NC9&gt;=ND$25,NC9&lt;&gt;""),AND(NZ9&gt;=OF$25,NZ9&lt;&gt;""),AND(OE9&gt;=OF$25,OE9&lt;&gt;""),AND(PB9&gt;=PH$25,PB9&lt;&gt;""),AND(PG9&gt;=PH$25,PG9&lt;&gt;"")),"P","")</f>
        <v/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/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41.399999999999991</v>
      </c>
      <c r="M9" s="8" t="str">
        <f>IF(L9=0,"",IF(L9=CE9,$BM$1,IF(L9=BI9,$AQ$1,IF(L9=AM9,$U$1,""))))</f>
        <v>2025 3rd Domestic Trial</v>
      </c>
      <c r="N9" s="8">
        <f>IF(COUNT(AM9,BI9,CE9)&gt;1,LARGE((AM9,BI9,CE9),2),0)</f>
        <v>38.599999999999994</v>
      </c>
      <c r="O9" s="8" t="str">
        <f>IF(N9=0,"",IF(AND(N9=L9,N9=AM9,N9=BI9),$U$1,IF(AND(N9=L9,N9=AM9,N9=CE9),$U$1,IF(AND(N9=L9,N9=BI9,N9=CE9),$AQ$1,IF(N9=CE9,$BM$1,IF(N9=BI9,$AQ$1,IF(N9=AM9,$U$1,"")))))))</f>
        <v>2025 Elite Canada</v>
      </c>
      <c r="P9" s="8">
        <f>IF(MAX(AO9,BK9,CG9)&gt;0,MAX(AO9,BK9,CG9),0)</f>
        <v>42.4</v>
      </c>
      <c r="Q9" s="8" t="str">
        <f>IF(P9=0,"",IF(P9=CG9,$BM$1,IF(P9=BK9,$AQ$1,IF(P9=AO9,$U$1,""))))</f>
        <v>2025 Nationals</v>
      </c>
      <c r="R9" s="8">
        <f>IF(MAX(CI9:CJ9)&gt;0,MAX(CI9:CJ9),"")</f>
        <v>4.0000000000000071</v>
      </c>
      <c r="S9" s="11" t="str">
        <f>IF(R9="","",IF(R9=CI9,"("&amp;CI$2&amp;")",IF(R9=CJ9,"("&amp;CJ$2&amp;")")))</f>
        <v>(Q1)</v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>2025 WAGC (Nov 16)</v>
      </c>
      <c r="U9" s="19">
        <v>16.2</v>
      </c>
      <c r="V9" s="19">
        <v>3.9</v>
      </c>
      <c r="W9" s="19">
        <v>0</v>
      </c>
      <c r="X9" s="19">
        <v>0</v>
      </c>
      <c r="Y9" s="19">
        <v>14.6</v>
      </c>
      <c r="Z9" s="19">
        <v>4.0999999999999996</v>
      </c>
      <c r="AA9" s="19">
        <v>0.2</v>
      </c>
      <c r="AB9" s="19">
        <v>0</v>
      </c>
      <c r="AC9" s="19">
        <v>14.3</v>
      </c>
      <c r="AD9" s="19">
        <v>4.5999999999999996</v>
      </c>
      <c r="AE9" s="19">
        <v>0</v>
      </c>
      <c r="AF9" s="19">
        <v>0</v>
      </c>
      <c r="AG9" s="19">
        <v>16.3</v>
      </c>
      <c r="AH9" s="19">
        <v>4.0999999999999996</v>
      </c>
      <c r="AI9" s="19">
        <v>0</v>
      </c>
      <c r="AJ9" s="19">
        <v>0</v>
      </c>
      <c r="AK9" s="27"/>
      <c r="AL9" s="40">
        <f>IF(SUM(V9,Z9)&gt;0,SUM(V9,Z9),"")</f>
        <v>8</v>
      </c>
      <c r="AM9" s="40">
        <f>IF(SUM(U9:V9,X9:Z9,AB9)-W9-AA9&gt;0,SUM(U9:V9,X9:Z9,AB9)-W9-AA9,"")</f>
        <v>38.599999999999994</v>
      </c>
      <c r="AN9" s="40">
        <f>IF(SUM(AD9,AH9)&gt;0,SUM(AD9,AH9),"")</f>
        <v>8.6999999999999993</v>
      </c>
      <c r="AO9" s="40">
        <f>IF(SUM(AC9:AD9,AF9:AH9,AJ9)-SUM(AE9,AI9)&gt;0,SUM(AC9:AD9,AF9:AH9,AJ9)-SUM(AE9,AI9),"")</f>
        <v>39.300000000000004</v>
      </c>
      <c r="AP9" s="40">
        <f>IF(SUM(AM9,AO9)&gt;0,SUM(AM9,AO9),"")</f>
        <v>77.900000000000006</v>
      </c>
      <c r="AQ9" s="18">
        <v>14.5</v>
      </c>
      <c r="AR9" s="18">
        <v>4.5999999999999996</v>
      </c>
      <c r="AS9" s="18">
        <v>0</v>
      </c>
      <c r="AT9" s="18">
        <v>0</v>
      </c>
      <c r="AU9" s="18">
        <v>14.5</v>
      </c>
      <c r="AV9" s="18">
        <v>4.8</v>
      </c>
      <c r="AW9" s="18">
        <v>0</v>
      </c>
      <c r="AX9" s="18">
        <v>0</v>
      </c>
      <c r="AY9" s="18">
        <v>16.399999999999999</v>
      </c>
      <c r="AZ9" s="18">
        <v>4.5999999999999996</v>
      </c>
      <c r="BA9" s="18">
        <v>0</v>
      </c>
      <c r="BB9" s="18">
        <v>0</v>
      </c>
      <c r="BC9" s="18">
        <v>16.600000000000001</v>
      </c>
      <c r="BD9" s="18">
        <v>4.8</v>
      </c>
      <c r="BE9" s="18">
        <v>0</v>
      </c>
      <c r="BF9" s="18">
        <v>0</v>
      </c>
      <c r="BG9" s="28"/>
      <c r="BH9" s="11">
        <f>IF(SUM(AR9,AV9)&gt;0,SUM(AR9,AV9),"")</f>
        <v>9.3999999999999986</v>
      </c>
      <c r="BI9" s="11">
        <f>IF(SUM(AQ9:AR9,AT9:AV9,AX9)-AS9-AW9&gt;0,SUM(AQ9:AR9,AT9:AV9,AX9)-AS9-AW9,"")</f>
        <v>38.4</v>
      </c>
      <c r="BJ9" s="11">
        <f>IF(SUM(AZ9,BD9)&gt;0,SUM(AZ9,BD9),"")</f>
        <v>9.3999999999999986</v>
      </c>
      <c r="BK9" s="11">
        <f>IF(SUM(AY9:AZ9,BB9:BD9,BF9)-SUM(BA9,BE9)&gt;0,SUM(AY9:AZ9,BB9:BD9,BF9)-SUM(BA9,BE9),"")</f>
        <v>42.4</v>
      </c>
      <c r="BL9" s="11">
        <f>IF(SUM(BI9,BK9)&gt;0,SUM(BI9,BK9),"")</f>
        <v>80.8</v>
      </c>
      <c r="BM9" s="19">
        <v>16.2</v>
      </c>
      <c r="BN9" s="19">
        <v>4.5999999999999996</v>
      </c>
      <c r="BO9" s="19">
        <v>0</v>
      </c>
      <c r="BP9" s="19">
        <v>0</v>
      </c>
      <c r="BQ9" s="19">
        <v>16</v>
      </c>
      <c r="BR9" s="19">
        <v>4.8</v>
      </c>
      <c r="BS9" s="19">
        <v>0.2</v>
      </c>
      <c r="BT9" s="19">
        <v>0</v>
      </c>
      <c r="BU9" s="19">
        <v>16.100000000000001</v>
      </c>
      <c r="BV9" s="19">
        <v>4.5999999999999996</v>
      </c>
      <c r="BW9" s="19">
        <v>0</v>
      </c>
      <c r="BX9" s="19">
        <v>0</v>
      </c>
      <c r="BY9" s="19">
        <v>16.2</v>
      </c>
      <c r="BZ9" s="19">
        <v>4.8</v>
      </c>
      <c r="CA9" s="19">
        <v>0</v>
      </c>
      <c r="CB9" s="19">
        <v>0</v>
      </c>
      <c r="CC9" s="27"/>
      <c r="CD9" s="40">
        <f>IF(SUM(BN9,BR9)&gt;0,SUM(BN9,BR9),"")</f>
        <v>9.3999999999999986</v>
      </c>
      <c r="CE9" s="40">
        <f>IF(SUM(BM9:BN9,BP9:BR9,BT9)-BO9-BS9&gt;0,SUM(BM9:BN9,BP9:BR9,BT9)-BO9-BS9,"")</f>
        <v>41.399999999999991</v>
      </c>
      <c r="CF9" s="40">
        <f>IF(SUM(BV9,BZ9)&gt;0,SUM(BV9,BZ9),"")</f>
        <v>9.3999999999999986</v>
      </c>
      <c r="CG9" s="40">
        <f>IF(SUM(BU9:BV9,BX9:BZ9,CB9)-SUM(BW9,CA9)&gt;0,SUM(BU9:BV9,BX9:BZ9,CB9)-SUM(BW9,CA9),"")</f>
        <v>41.7</v>
      </c>
      <c r="CH9" s="40">
        <f>IF(SUM(CE9,CG9)&gt;0,SUM(CE9,CG9),"")</f>
        <v>83.1</v>
      </c>
      <c r="CI9" s="50">
        <f>IF(MAX(DF9,EH9,FJ9,GL9,HN9,IP9,JR9,KT9,LV9,MX9,NZ9,PB9)-IF(N9="",0,N9)&gt;0.001,MAX(DF9,EH9,FJ9,GL9,HN9,IP9,JR9,KT9,LV9,MX9,NZ9,PB9)-IF(N9="",0,N9),"")</f>
        <v>4.0000000000000071</v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>
        <v>16.600000000000001</v>
      </c>
      <c r="FR9" s="18">
        <v>4.5999999999999996</v>
      </c>
      <c r="FS9" s="18">
        <v>0</v>
      </c>
      <c r="FT9" s="18">
        <v>0</v>
      </c>
      <c r="FU9" s="18">
        <v>16.600000000000001</v>
      </c>
      <c r="FV9" s="18">
        <v>4.8</v>
      </c>
      <c r="FW9" s="18">
        <v>0</v>
      </c>
      <c r="FX9" s="18">
        <v>0</v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>
        <f>IF(SUM(FR9,FV9)&gt;0,SUM(FR9,FV9),"")</f>
        <v>9.3999999999999986</v>
      </c>
      <c r="GL9" s="11">
        <f>IF(SUM(FQ9:FR9,FT9:FV9,FX9)-FS9-FW9&gt;0,SUM(FQ9:FR9,FT9:FV9,FX9)-FS9-FW9,"")</f>
        <v>42.6</v>
      </c>
      <c r="GM9" s="11" t="str">
        <f>IF(SUM(FY9:FZ9,GB9)-GA9&gt;0,SUM(FY9:FZ9,GB9)-GA9,"")</f>
        <v/>
      </c>
      <c r="GN9" s="11">
        <f>IF(SUM(FR9,FV9,FZ9)&gt;0,SUM(FR9,FV9,FZ9),"")</f>
        <v>9.3999999999999986</v>
      </c>
      <c r="GO9" s="11">
        <f>IF(SUM(GL9,GM9)&gt;0,SUM(GL9,GM9),"")</f>
        <v>42.6</v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>
        <f>IF(SUM(GL9,GM9,GQ9)&gt;0,SUM(GL9,GM9,GQ9),"")</f>
        <v>42.6</v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15.35</v>
      </c>
      <c r="PJ9" s="22">
        <f>IF($CC9="P",BN9,(BN9+AR9)/2)</f>
        <v>4.5999999999999996</v>
      </c>
      <c r="PK9" s="22">
        <f>IF($CC9="P",BO9,(BO9+AS9)/2)</f>
        <v>0</v>
      </c>
      <c r="PL9" s="22">
        <f>IF($CC9="P",BP9,(BP9+AT9)/2)</f>
        <v>0</v>
      </c>
      <c r="PM9" s="22">
        <f>IF($CC9="P",BQ9,(BQ9+AU9)/2)</f>
        <v>15.25</v>
      </c>
      <c r="PN9" s="22">
        <f>IF($CC9="P",BR9,(BR9+AV9)/2)</f>
        <v>4.8</v>
      </c>
      <c r="PO9" s="22">
        <f>IF($CC9="P",BS9,(BS9+AW9)/2)</f>
        <v>0.1</v>
      </c>
      <c r="PP9" s="22">
        <f>IF($CC9="P",BT9,(BT9+AX9)/2)</f>
        <v>0</v>
      </c>
      <c r="PQ9" s="22">
        <f>IF($CC9="P",BU9,(BU9+AY9)/2)</f>
        <v>16.25</v>
      </c>
      <c r="PR9" s="22">
        <f>IF($CC9="P",BV9,(BV9+AZ9)/2)</f>
        <v>4.5999999999999996</v>
      </c>
      <c r="PS9" s="22">
        <f>IF($CC9="P",BW9,(BW9+BA9)/2)</f>
        <v>0</v>
      </c>
      <c r="PT9" s="22">
        <f>IF($CC9="P",BX9,(BX9+BB9)/2)</f>
        <v>0</v>
      </c>
      <c r="PU9" s="22">
        <f>IF($CC9="P",BY9,(BY9+BC9)/2)</f>
        <v>16.399999999999999</v>
      </c>
      <c r="PV9" s="22">
        <f>IF($CC9="P",BZ9,(BZ9+BD9)/2)</f>
        <v>4.8</v>
      </c>
      <c r="PW9" s="22">
        <f>IF($CC9="P",CA9,(CA9+BE9)/2)</f>
        <v>0</v>
      </c>
      <c r="PX9" s="22">
        <f>IF($CC9="P",CB9,(CB9+BF9)/2)</f>
        <v>0</v>
      </c>
      <c r="PY9" s="27" t="s">
        <v>46</v>
      </c>
      <c r="PZ9" s="40">
        <f>IF(SUM(PJ9,PN9)&gt;0,SUM(PJ9,PN9),"")</f>
        <v>9.3999999999999986</v>
      </c>
      <c r="QA9" s="40">
        <f>IF(SUM(PI9:PJ9,PL9:PN9,PP9)-PK9-PO9&gt;0,SUM(PI9:PJ9,PL9:PN9,PP9)-PK9-PO9,"")</f>
        <v>39.9</v>
      </c>
      <c r="QB9" s="40">
        <f>IF(SUM(PR9,PV9)&gt;0,SUM(PR9,PV9),"")</f>
        <v>9.3999999999999986</v>
      </c>
      <c r="QC9" s="40">
        <f>IF(SUM(PQ9:PR9,PT9:PV9,PX9)-SUM(PS9,PW9)&gt;0,SUM(PQ9:PR9,PT9:PV9,PX9)-SUM(PS9,PW9),"")</f>
        <v>42.05</v>
      </c>
      <c r="QD9" s="40">
        <f>IF(SUM(QA9,QC9)&gt;0,SUM(QA9,QC9),"")</f>
        <v>81.949999999999989</v>
      </c>
    </row>
    <row r="10" spans="1:446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130</v>
      </c>
      <c r="D10" s="4" t="s">
        <v>3</v>
      </c>
      <c r="E10" s="4">
        <v>2007</v>
      </c>
      <c r="F10" s="9">
        <f>SUM(L10:R10)+SUM(L10:O10)*0.0000001+SUM(L10)*0.0000000000001</f>
        <v>123.70000820000418</v>
      </c>
      <c r="G10" s="64"/>
      <c r="H10" s="3" t="str">
        <f>IF(OR(AND(AL10&gt;=AP$21,AM10&gt;=AP$25,AL10&lt;&gt;"",AK10=""),AND(AN10&gt;=AP$21,AO10&gt;=AP$25,AN10&lt;&gt;"",AK10=""),AND(BH10&gt;=BL$21,BI10&gt;=BL$25,BH10&lt;&gt;"",BG10=""),AND(BJ10&gt;=BL$21,BK10&gt;=BL$25,BJ10&lt;&gt;"",BG10=""),AND(CD10&gt;=CH$21,CE10&gt;=CH$25,CD10&lt;&gt;"",CC10=""),AND(CF10&gt;=CH$21,CG10&gt;=CH$25,CF10&lt;&gt;""),AND(DE10&gt;=DL$21,DF10&gt;=DL$25,DE10&lt;&gt;""),AND(DJ10&gt;=DL$21,DK10&gt;=DL$25,DJ10&lt;&gt;""),AND(EG10&gt;=EN$21,EH10&gt;=EN$25,EG10&lt;&gt;""),AND(EL10&gt;=EN$21,EM10&gt;=EN$25,EL10&lt;&gt;""),AND(FI10&gt;=FP$21,FJ10&gt;=FP$25,FI10&lt;&gt;""),AND(FN10&gt;=FP$21,FO10&gt;=FP$25,FN10&lt;&gt;""),AND(GK10&gt;=GR$21,GL10&gt;=GR$25,GK10&lt;&gt;""),AND(GP10&gt;=GR$21,GQ10&gt;=GR$25,GP10&lt;&gt;""),AND(HM10&gt;=HT$21,HN10&gt;=HT$25,HM10&lt;&gt;""),AND(HR10&gt;=HT$21,HS10&gt;=HT$25,HR10&lt;&gt;""),AND(IO10&gt;=IV$21,IP10&gt;=IV$25,IO10&lt;&gt;""),AND(IT10&gt;=IV$21,IU10&gt;=IV$25,IT10&lt;&gt;""),AND(JQ10&gt;=JX$21,JR10&gt;=JX$25,JQ10&lt;&gt;""),AND(JV10&gt;=JX$21,JW10&gt;=JX$25,JV10&lt;&gt;""),AND(KS10&gt;=KZ$21,KT10&gt;=KZ$25,KS10&lt;&gt;""),AND(KX10&gt;=KZ$21,KY10&gt;=KZ$25,KX10&lt;&gt;""),AND(LU10&gt;=MB$21,LV10&gt;=MB$25,LU10&lt;&gt;""),AND(LZ10&gt;=MB$21,MA10&gt;=MB$25,LZ10&lt;&gt;""),AND(MW10&gt;=ND$21,MX10&gt;=ND$25,MW10&lt;&gt;""),AND(NB10&gt;=ND$21,NC10&gt;=ND$25,NB10&lt;&gt;""),AND(NY10&gt;=OF$21,NZ10&gt;=OF$25,NY10&lt;&gt;""),AND(OD10&gt;=OF$21,OE10&gt;=OF$25,OD10&lt;&gt;""),AND(PA10&gt;=PH$21,PB10&gt;=PH$25,PA10&lt;&gt;""),AND(PF10&gt;=PH$21,PG10&gt;=PH$25,PF10&lt;&gt;"")),"P","")</f>
        <v/>
      </c>
      <c r="I10" s="3" t="str">
        <f>IF(OR(AND(AM10&gt;=AP$25,AM10&lt;&gt;"",AK10=""),AND(AO10&gt;=AP$25,AO10&lt;&gt;"",AK10=""),AND(BI10&gt;=BL$25,BI10&lt;&gt;"",BG10=""),AND(BK10&gt;=BL$25,BK10&lt;&gt;"",BG10=""),AND(CE10&gt;=CH$25,CE10&lt;&gt;"",CC10=""),AND(CG10&gt;=CH$25,CG10&lt;&gt;"",CC10=""),AND(DF10&gt;=DL$25,DF10&lt;&gt;""),AND(DK10&gt;=DL$25,DK10&lt;&gt;""),AND(EH10&gt;=EN$25,EH10&lt;&gt;""),AND(EM10&gt;=EN$25,EM10&lt;&gt;""),AND(FJ10&gt;=FP$25,FJ10&lt;&gt;""),AND(FO10&gt;=FP$25,FO10&lt;&gt;""),AND(GL10&gt;=GR$25,GL10&lt;&gt;""),AND(GQ10&gt;=GR$25,GQ10&lt;&gt;""),AND(HN10&gt;=HT$25,HN10&lt;&gt;""),AND(HS10&gt;=HT$25,HS10&lt;&gt;""),AND(IP10&gt;=IV$25,IP10&lt;&gt;""),AND(IU10&gt;=IV$25,IU10&lt;&gt;""),AND(JR10&gt;=JX$25,JR10&lt;&gt;""),AND(JW10&gt;=JX$25,JW10&lt;&gt;""),AND(KT10&gt;=KZ$25,KT10&lt;&gt;""),AND(KY10&gt;=KZ$25,KY10&lt;&gt;""),AND(LV10&gt;=MB$25,LV10&lt;&gt;""),AND(MA10&gt;=MB$25,MA10&lt;&gt;""),AND(MX10&gt;=ND$25,MX10&lt;&gt;""),AND(NC10&gt;=ND$25,NC10&lt;&gt;""),AND(NZ10&gt;=OF$25,NZ10&lt;&gt;""),AND(OE10&gt;=OF$25,OE10&lt;&gt;""),AND(PB10&gt;=PH$25,PB10&lt;&gt;""),AND(PG10&gt;=PH$25,PG10&lt;&gt;"")),"P","")</f>
        <v/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/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41.9</v>
      </c>
      <c r="M10" s="8" t="str">
        <f>IF(L10=0,"",IF(L10=CE10,$BM$1,IF(L10=BI10,$AQ$1,IF(L10=AM10,$U$1,""))))</f>
        <v>2025 Nationals</v>
      </c>
      <c r="N10" s="8">
        <f>IF(COUNT(AM10,BI10,CE10)&gt;1,LARGE((AM10,BI10,CE10),2),0)</f>
        <v>40.1</v>
      </c>
      <c r="O10" s="8" t="str">
        <f>IF(N10=0,"",IF(AND(N10=L10,N10=AM10,N10=BI10),$U$1,IF(AND(N10=L10,N10=AM10,N10=CE10),$U$1,IF(AND(N10=L10,N10=BI10,N10=CE10),$AQ$1,IF(N10=CE10,$BM$1,IF(N10=BI10,$AQ$1,IF(N10=AM10,$U$1,"")))))))</f>
        <v>2025 Elite Canada</v>
      </c>
      <c r="P10" s="8">
        <f>IF(MAX(AO10,BK10,CG10)&gt;0,MAX(AO10,BK10,CG10),0)</f>
        <v>41.699999999999996</v>
      </c>
      <c r="Q10" s="8" t="str">
        <f>IF(P10=0,"",IF(P10=CG10,$BM$1,IF(P10=BK10,$AQ$1,IF(P10=AO10,$U$1,""))))</f>
        <v>2025 Nationals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15.3</v>
      </c>
      <c r="V10" s="19">
        <v>4.2</v>
      </c>
      <c r="W10" s="19">
        <v>0.4</v>
      </c>
      <c r="X10" s="19">
        <v>0.7</v>
      </c>
      <c r="Y10" s="19">
        <v>15.7</v>
      </c>
      <c r="Z10" s="19">
        <v>4.5999999999999996</v>
      </c>
      <c r="AA10" s="19">
        <v>0</v>
      </c>
      <c r="AB10" s="19">
        <v>0</v>
      </c>
      <c r="AC10" s="19">
        <v>15.6</v>
      </c>
      <c r="AD10" s="19">
        <v>4.0999999999999996</v>
      </c>
      <c r="AE10" s="19">
        <v>0</v>
      </c>
      <c r="AF10" s="19">
        <v>0.7</v>
      </c>
      <c r="AG10" s="19">
        <v>16.399999999999999</v>
      </c>
      <c r="AH10" s="19">
        <v>4.8</v>
      </c>
      <c r="AI10" s="19">
        <v>0</v>
      </c>
      <c r="AJ10" s="19">
        <v>0</v>
      </c>
      <c r="AK10" s="27"/>
      <c r="AL10" s="40">
        <f>IF(SUM(V10,Z10)&gt;0,SUM(V10,Z10),"")</f>
        <v>8.8000000000000007</v>
      </c>
      <c r="AM10" s="40">
        <f>IF(SUM(U10:V10,X10:Z10,AB10)-W10-AA10&gt;0,SUM(U10:V10,X10:Z10,AB10)-W10-AA10,"")</f>
        <v>40.1</v>
      </c>
      <c r="AN10" s="40">
        <f>IF(SUM(AD10,AH10)&gt;0,SUM(AD10,AH10),"")</f>
        <v>8.8999999999999986</v>
      </c>
      <c r="AO10" s="40">
        <f>IF(SUM(AC10:AD10,AF10:AH10,AJ10)-SUM(AE10,AI10)&gt;0,SUM(AC10:AD10,AF10:AH10,AJ10)-SUM(AE10,AI10),"")</f>
        <v>41.599999999999994</v>
      </c>
      <c r="AP10" s="40">
        <f>IF(SUM(AM10,AO10)&gt;0,SUM(AM10,AO10),"")</f>
        <v>81.699999999999989</v>
      </c>
      <c r="AQ10" s="18">
        <v>16.399999999999999</v>
      </c>
      <c r="AR10" s="18">
        <v>4.2</v>
      </c>
      <c r="AS10" s="18">
        <v>0</v>
      </c>
      <c r="AT10" s="18">
        <v>0.7</v>
      </c>
      <c r="AU10" s="18">
        <v>16</v>
      </c>
      <c r="AV10" s="18">
        <v>4.5999999999999996</v>
      </c>
      <c r="AW10" s="18">
        <v>0</v>
      </c>
      <c r="AX10" s="18">
        <v>0</v>
      </c>
      <c r="AY10" s="18">
        <v>16.2</v>
      </c>
      <c r="AZ10" s="18">
        <v>3.3</v>
      </c>
      <c r="BA10" s="18">
        <v>0</v>
      </c>
      <c r="BB10" s="18">
        <v>0.7</v>
      </c>
      <c r="BC10" s="18">
        <v>16.7</v>
      </c>
      <c r="BD10" s="18">
        <v>4.8</v>
      </c>
      <c r="BE10" s="18">
        <v>0</v>
      </c>
      <c r="BF10" s="18">
        <v>0</v>
      </c>
      <c r="BG10" s="28"/>
      <c r="BH10" s="11">
        <f>IF(SUM(AR10,AV10)&gt;0,SUM(AR10,AV10),"")</f>
        <v>8.8000000000000007</v>
      </c>
      <c r="BI10" s="11">
        <f>IF(SUM(AQ10:AR10,AT10:AV10,AX10)-AS10-AW10&gt;0,SUM(AQ10:AR10,AT10:AV10,AX10)-AS10-AW10,"")</f>
        <v>41.9</v>
      </c>
      <c r="BJ10" s="11">
        <f>IF(SUM(AZ10,BD10)&gt;0,SUM(AZ10,BD10),"")</f>
        <v>8.1</v>
      </c>
      <c r="BK10" s="11">
        <f>IF(SUM(AY10:AZ10,BB10:BD10,BF10)-SUM(BA10,BE10)&gt;0,SUM(AY10:AZ10,BB10:BD10,BF10)-SUM(BA10,BE10),"")</f>
        <v>41.699999999999996</v>
      </c>
      <c r="BL10" s="11">
        <f>IF(SUM(BI10,BK10)&gt;0,SUM(BI10,BK10),"")</f>
        <v>83.6</v>
      </c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27"/>
      <c r="CD10" s="40" t="str">
        <f>IF(SUM(BN10,BR10)&gt;0,SUM(BN10,BR10),"")</f>
        <v/>
      </c>
      <c r="CE10" s="40" t="str">
        <f>IF(SUM(BM10:BN10,BP10:BR10,BT10)-BO10-BS10&gt;0,SUM(BM10:BN10,BP10:BR10,BT10)-BO10-BS10,"")</f>
        <v/>
      </c>
      <c r="CF10" s="40" t="str">
        <f>IF(SUM(BV10,BZ10)&gt;0,SUM(BV10,BZ10),"")</f>
        <v/>
      </c>
      <c r="CG10" s="40" t="str">
        <f>IF(SUM(BU10:BV10,BX10:BZ10,CB10)-SUM(BW10,CA10)&gt;0,SUM(BU10:BV10,BX10:BZ10,CB10)-SUM(BW10,CA10),"")</f>
        <v/>
      </c>
      <c r="CH10" s="40" t="str">
        <f>IF(SUM(CE10,CG10)&gt;0,SUM(CE10,CG10),"")</f>
        <v/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8.1999999999999993</v>
      </c>
      <c r="PJ10" s="22">
        <f>IF($CC10="P",BN10,(BN10+AR10)/2)</f>
        <v>2.1</v>
      </c>
      <c r="PK10" s="22">
        <f>IF($CC10="P",BO10,(BO10+AS10)/2)</f>
        <v>0</v>
      </c>
      <c r="PL10" s="22">
        <f>IF($CC10="P",BP10,(BP10+AT10)/2)</f>
        <v>0.35</v>
      </c>
      <c r="PM10" s="22">
        <f>IF($CC10="P",BQ10,(BQ10+AU10)/2)</f>
        <v>8</v>
      </c>
      <c r="PN10" s="22">
        <f>IF($CC10="P",BR10,(BR10+AV10)/2)</f>
        <v>2.2999999999999998</v>
      </c>
      <c r="PO10" s="22">
        <f>IF($CC10="P",BS10,(BS10+AW10)/2)</f>
        <v>0</v>
      </c>
      <c r="PP10" s="22">
        <f>IF($CC10="P",BT10,(BT10+AX10)/2)</f>
        <v>0</v>
      </c>
      <c r="PQ10" s="22">
        <f>IF($CC10="P",BU10,(BU10+AY10)/2)</f>
        <v>8.1</v>
      </c>
      <c r="PR10" s="22">
        <f>IF($CC10="P",BV10,(BV10+AZ10)/2)</f>
        <v>1.65</v>
      </c>
      <c r="PS10" s="22">
        <f>IF($CC10="P",BW10,(BW10+BA10)/2)</f>
        <v>0</v>
      </c>
      <c r="PT10" s="22">
        <f>IF($CC10="P",BX10,(BX10+BB10)/2)</f>
        <v>0.35</v>
      </c>
      <c r="PU10" s="22">
        <f>IF($CC10="P",BY10,(BY10+BC10)/2)</f>
        <v>8.35</v>
      </c>
      <c r="PV10" s="22">
        <f>IF($CC10="P",BZ10,(BZ10+BD10)/2)</f>
        <v>2.4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4.4000000000000004</v>
      </c>
      <c r="QA10" s="40">
        <f>IF(SUM(PI10:PJ10,PL10:PN10,PP10)-PK10-PO10&gt;0,SUM(PI10:PJ10,PL10:PN10,PP10)-PK10-PO10,"")</f>
        <v>20.95</v>
      </c>
      <c r="QB10" s="40">
        <f>IF(SUM(PR10,PV10)&gt;0,SUM(PR10,PV10),"")</f>
        <v>4.05</v>
      </c>
      <c r="QC10" s="40">
        <f>IF(SUM(PQ10:PR10,PT10:PV10,PX10)-SUM(PS10,PW10)&gt;0,SUM(PQ10:PR10,PT10:PV10,PX10)-SUM(PS10,PW10),"")</f>
        <v>20.849999999999998</v>
      </c>
      <c r="QD10" s="40">
        <f>IF(SUM(QA10,QC10)&gt;0,SUM(QA10,QC10),"")</f>
        <v>41.8</v>
      </c>
    </row>
    <row r="11" spans="1:446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141</v>
      </c>
      <c r="D11" s="4" t="s">
        <v>6</v>
      </c>
      <c r="E11" s="4">
        <v>2006</v>
      </c>
      <c r="F11" s="9">
        <f>SUM(L11:R11)+SUM(L11:O11)*0.0000001+SUM(L11)*0.0000000000001</f>
        <v>122.10000817000413</v>
      </c>
      <c r="G11" s="64"/>
      <c r="H11" s="3" t="str">
        <f>IF(OR(AND(AL11&gt;=AP$21,AM11&gt;=AP$25,AL11&lt;&gt;"",AK11=""),AND(AN11&gt;=AP$21,AO11&gt;=AP$25,AN11&lt;&gt;"",AK11=""),AND(BH11&gt;=BL$21,BI11&gt;=BL$25,BH11&lt;&gt;"",BG11=""),AND(BJ11&gt;=BL$21,BK11&gt;=BL$25,BJ11&lt;&gt;"",BG11=""),AND(CD11&gt;=CH$21,CE11&gt;=CH$25,CD11&lt;&gt;"",CC11=""),AND(CF11&gt;=CH$21,CG11&gt;=CH$25,CF11&lt;&gt;""),AND(DE11&gt;=DL$21,DF11&gt;=DL$25,DE11&lt;&gt;""),AND(DJ11&gt;=DL$21,DK11&gt;=DL$25,DJ11&lt;&gt;""),AND(EG11&gt;=EN$21,EH11&gt;=EN$25,EG11&lt;&gt;""),AND(EL11&gt;=EN$21,EM11&gt;=EN$25,EL11&lt;&gt;""),AND(FI11&gt;=FP$21,FJ11&gt;=FP$25,FI11&lt;&gt;""),AND(FN11&gt;=FP$21,FO11&gt;=FP$25,FN11&lt;&gt;""),AND(GK11&gt;=GR$21,GL11&gt;=GR$25,GK11&lt;&gt;""),AND(GP11&gt;=GR$21,GQ11&gt;=GR$25,GP11&lt;&gt;""),AND(HM11&gt;=HT$21,HN11&gt;=HT$25,HM11&lt;&gt;""),AND(HR11&gt;=HT$21,HS11&gt;=HT$25,HR11&lt;&gt;""),AND(IO11&gt;=IV$21,IP11&gt;=IV$25,IO11&lt;&gt;""),AND(IT11&gt;=IV$21,IU11&gt;=IV$25,IT11&lt;&gt;""),AND(JQ11&gt;=JX$21,JR11&gt;=JX$25,JQ11&lt;&gt;""),AND(JV11&gt;=JX$21,JW11&gt;=JX$25,JV11&lt;&gt;""),AND(KS11&gt;=KZ$21,KT11&gt;=KZ$25,KS11&lt;&gt;""),AND(KX11&gt;=KZ$21,KY11&gt;=KZ$25,KX11&lt;&gt;""),AND(LU11&gt;=MB$21,LV11&gt;=MB$25,LU11&lt;&gt;""),AND(LZ11&gt;=MB$21,MA11&gt;=MB$25,LZ11&lt;&gt;""),AND(MW11&gt;=ND$21,MX11&gt;=ND$25,MW11&lt;&gt;""),AND(NB11&gt;=ND$21,NC11&gt;=ND$25,NB11&lt;&gt;""),AND(NY11&gt;=OF$21,NZ11&gt;=OF$25,NY11&lt;&gt;""),AND(OD11&gt;=OF$21,OE11&gt;=OF$25,OD11&lt;&gt;""),AND(PA11&gt;=PH$21,PB11&gt;=PH$25,PA11&lt;&gt;""),AND(PF11&gt;=PH$21,PG11&gt;=PH$25,PF11&lt;&gt;"")),"P","")</f>
        <v/>
      </c>
      <c r="I11" s="3" t="str">
        <f>IF(OR(AND(AM11&gt;=AP$25,AM11&lt;&gt;"",AK11=""),AND(AO11&gt;=AP$25,AO11&lt;&gt;"",AK11=""),AND(BI11&gt;=BL$25,BI11&lt;&gt;"",BG11=""),AND(BK11&gt;=BL$25,BK11&lt;&gt;"",BG11=""),AND(CE11&gt;=CH$25,CE11&lt;&gt;"",CC11=""),AND(CG11&gt;=CH$25,CG11&lt;&gt;"",CC11=""),AND(DF11&gt;=DL$25,DF11&lt;&gt;""),AND(DK11&gt;=DL$25,DK11&lt;&gt;""),AND(EH11&gt;=EN$25,EH11&lt;&gt;""),AND(EM11&gt;=EN$25,EM11&lt;&gt;""),AND(FJ11&gt;=FP$25,FJ11&lt;&gt;""),AND(FO11&gt;=FP$25,FO11&lt;&gt;""),AND(GL11&gt;=GR$25,GL11&lt;&gt;""),AND(GQ11&gt;=GR$25,GQ11&lt;&gt;""),AND(HN11&gt;=HT$25,HN11&lt;&gt;""),AND(HS11&gt;=HT$25,HS11&lt;&gt;""),AND(IP11&gt;=IV$25,IP11&lt;&gt;""),AND(IU11&gt;=IV$25,IU11&lt;&gt;""),AND(JR11&gt;=JX$25,JR11&lt;&gt;""),AND(JW11&gt;=JX$25,JW11&lt;&gt;""),AND(KT11&gt;=KZ$25,KT11&lt;&gt;""),AND(KY11&gt;=KZ$25,KY11&lt;&gt;""),AND(LV11&gt;=MB$25,LV11&lt;&gt;""),AND(MA11&gt;=MB$25,MA11&lt;&gt;""),AND(MX11&gt;=ND$25,MX11&lt;&gt;""),AND(NC11&gt;=ND$25,NC11&lt;&gt;""),AND(NZ11&gt;=OF$25,NZ11&lt;&gt;""),AND(OE11&gt;=OF$25,OE11&lt;&gt;""),AND(PB11&gt;=PH$25,PB11&lt;&gt;""),AND(PG11&gt;=PH$25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41.4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40.299999999999997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40.4</v>
      </c>
      <c r="Q11" s="8" t="str">
        <f>IF(P11=0,"",IF(P11=CG11,$BM$1,IF(P11=BK11,$AQ$1,IF(P11=AO11,$U$1,""))))</f>
        <v>2025 Elite Canada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15.9</v>
      </c>
      <c r="V11" s="19">
        <v>4.0999999999999996</v>
      </c>
      <c r="W11" s="19">
        <v>0</v>
      </c>
      <c r="X11" s="19">
        <v>0</v>
      </c>
      <c r="Y11" s="19">
        <v>16.399999999999999</v>
      </c>
      <c r="Z11" s="19">
        <v>3.9</v>
      </c>
      <c r="AA11" s="19">
        <v>0</v>
      </c>
      <c r="AB11" s="19">
        <v>0</v>
      </c>
      <c r="AC11" s="19">
        <v>15.5</v>
      </c>
      <c r="AD11" s="19">
        <v>4.5999999999999996</v>
      </c>
      <c r="AE11" s="19">
        <v>0</v>
      </c>
      <c r="AF11" s="19">
        <v>0</v>
      </c>
      <c r="AG11" s="19">
        <v>16.2</v>
      </c>
      <c r="AH11" s="19">
        <v>4.0999999999999996</v>
      </c>
      <c r="AI11" s="19">
        <v>0</v>
      </c>
      <c r="AJ11" s="19">
        <v>0</v>
      </c>
      <c r="AK11" s="27"/>
      <c r="AL11" s="40">
        <f>IF(SUM(V11,Z11)&gt;0,SUM(V11,Z11),"")</f>
        <v>8</v>
      </c>
      <c r="AM11" s="40">
        <f>IF(SUM(U11:V11,X11:Z11,AB11)-W11-AA11&gt;0,SUM(U11:V11,X11:Z11,AB11)-W11-AA11,"")</f>
        <v>40.299999999999997</v>
      </c>
      <c r="AN11" s="40">
        <f>IF(SUM(AD11,AH11)&gt;0,SUM(AD11,AH11),"")</f>
        <v>8.6999999999999993</v>
      </c>
      <c r="AO11" s="40">
        <f>IF(SUM(AC11:AD11,AF11:AH11,AJ11)-SUM(AE11,AI11)&gt;0,SUM(AC11:AD11,AF11:AH11,AJ11)-SUM(AE11,AI11),"")</f>
        <v>40.4</v>
      </c>
      <c r="AP11" s="40">
        <f>IF(SUM(AM11,AO11)&gt;0,SUM(AM11,AO11),"")</f>
        <v>80.699999999999989</v>
      </c>
      <c r="AQ11" s="18">
        <v>16.3</v>
      </c>
      <c r="AR11" s="18">
        <v>4.0999999999999996</v>
      </c>
      <c r="AS11" s="18">
        <v>0</v>
      </c>
      <c r="AT11" s="18">
        <v>0</v>
      </c>
      <c r="AU11" s="18">
        <v>17.100000000000001</v>
      </c>
      <c r="AV11" s="18">
        <v>3.9</v>
      </c>
      <c r="AW11" s="18">
        <v>0</v>
      </c>
      <c r="AX11" s="18">
        <v>0</v>
      </c>
      <c r="AY11" s="18">
        <v>13.7</v>
      </c>
      <c r="AZ11" s="18">
        <v>1.8</v>
      </c>
      <c r="BA11" s="18">
        <v>0</v>
      </c>
      <c r="BB11" s="18">
        <v>0</v>
      </c>
      <c r="BC11" s="18">
        <v>14.6</v>
      </c>
      <c r="BD11" s="18">
        <v>2.8</v>
      </c>
      <c r="BE11" s="18">
        <v>0.6</v>
      </c>
      <c r="BF11" s="18">
        <v>0</v>
      </c>
      <c r="BG11" s="28"/>
      <c r="BH11" s="11">
        <f>IF(SUM(AR11,AV11)&gt;0,SUM(AR11,AV11),"")</f>
        <v>8</v>
      </c>
      <c r="BI11" s="11">
        <f>IF(SUM(AQ11:AR11,AT11:AV11,AX11)-AS11-AW11&gt;0,SUM(AQ11:AR11,AT11:AV11,AX11)-AS11-AW11,"")</f>
        <v>41.4</v>
      </c>
      <c r="BJ11" s="11">
        <f>IF(SUM(AZ11,BD11)&gt;0,SUM(AZ11,BD11),"")</f>
        <v>4.5999999999999996</v>
      </c>
      <c r="BK11" s="11">
        <f>IF(SUM(AY11:AZ11,BB11:BD11,BF11)-SUM(BA11,BE11)&gt;0,SUM(AY11:AZ11,BB11:BD11,BF11)-SUM(BA11,BE11),"")</f>
        <v>32.299999999999997</v>
      </c>
      <c r="BL11" s="11">
        <f>IF(SUM(BI11,BK11)&gt;0,SUM(BI11,BK11),"")</f>
        <v>73.699999999999989</v>
      </c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27"/>
      <c r="CD11" s="40" t="str">
        <f>IF(SUM(BN11,BR11)&gt;0,SUM(BN11,BR11),"")</f>
        <v/>
      </c>
      <c r="CE11" s="40" t="str">
        <f>IF(SUM(BM11:BN11,BP11:BR11,BT11)-BO11-BS11&gt;0,SUM(BM11:BN11,BP11:BR11,BT11)-BO11-BS11,"")</f>
        <v/>
      </c>
      <c r="CF11" s="40" t="str">
        <f>IF(SUM(BV11,BZ11)&gt;0,SUM(BV11,BZ11),"")</f>
        <v/>
      </c>
      <c r="CG11" s="40" t="str">
        <f>IF(SUM(BU11:BV11,BX11:BZ11,CB11)-SUM(BW11,CA11)&gt;0,SUM(BU11:BV11,BX11:BZ11,CB11)-SUM(BW11,CA11),"")</f>
        <v/>
      </c>
      <c r="CH11" s="40" t="str">
        <f>IF(SUM(CE11,CG11)&gt;0,SUM(CE11,CG11),"")</f>
        <v/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8.15</v>
      </c>
      <c r="PJ11" s="22">
        <f>IF($CC11="P",BN11,(BN11+AR11)/2)</f>
        <v>2.0499999999999998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8.5500000000000007</v>
      </c>
      <c r="PN11" s="22">
        <f>IF($CC11="P",BR11,(BR11+AV11)/2)</f>
        <v>1.95</v>
      </c>
      <c r="PO11" s="22">
        <f>IF($CC11="P",BS11,(BS11+AW11)/2)</f>
        <v>0</v>
      </c>
      <c r="PP11" s="22">
        <f>IF($CC11="P",BT11,(BT11+AX11)/2)</f>
        <v>0</v>
      </c>
      <c r="PQ11" s="22">
        <f>IF($CC11="P",BU11,(BU11+AY11)/2)</f>
        <v>6.85</v>
      </c>
      <c r="PR11" s="22">
        <f>IF($CC11="P",BV11,(BV11+AZ11)/2)</f>
        <v>0.9</v>
      </c>
      <c r="PS11" s="22">
        <f>IF($CC11="P",BW11,(BW11+BA11)/2)</f>
        <v>0</v>
      </c>
      <c r="PT11" s="22">
        <f>IF($CC11="P",BX11,(BX11+BB11)/2)</f>
        <v>0</v>
      </c>
      <c r="PU11" s="22">
        <f>IF($CC11="P",BY11,(BY11+BC11)/2)</f>
        <v>7.3</v>
      </c>
      <c r="PV11" s="22">
        <f>IF($CC11="P",BZ11,(BZ11+BD11)/2)</f>
        <v>1.4</v>
      </c>
      <c r="PW11" s="22">
        <f>IF($CC11="P",CA11,(CA11+BE11)/2)</f>
        <v>0.3</v>
      </c>
      <c r="PX11" s="22">
        <f>IF($CC11="P",CB11,(CB11+BF11)/2)</f>
        <v>0</v>
      </c>
      <c r="PY11" s="27" t="s">
        <v>46</v>
      </c>
      <c r="PZ11" s="40">
        <f>IF(SUM(PJ11,PN11)&gt;0,SUM(PJ11,PN11),"")</f>
        <v>4</v>
      </c>
      <c r="QA11" s="40">
        <f>IF(SUM(PI11:PJ11,PL11:PN11,PP11)-PK11-PO11&gt;0,SUM(PI11:PJ11,PL11:PN11,PP11)-PK11-PO11,"")</f>
        <v>20.7</v>
      </c>
      <c r="QB11" s="40">
        <f>IF(SUM(PR11,PV11)&gt;0,SUM(PR11,PV11),"")</f>
        <v>2.2999999999999998</v>
      </c>
      <c r="QC11" s="40">
        <f>IF(SUM(PQ11:PR11,PT11:PV11,PX11)-SUM(PS11,PW11)&gt;0,SUM(PQ11:PR11,PT11:PV11,PX11)-SUM(PS11,PW11),"")</f>
        <v>16.149999999999999</v>
      </c>
      <c r="QD11" s="40">
        <f>IF(SUM(QA11,QC11)&gt;0,SUM(QA11,QC11),"")</f>
        <v>36.849999999999994</v>
      </c>
    </row>
    <row r="12" spans="1:446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63</v>
      </c>
      <c r="D12" s="4" t="s">
        <v>5</v>
      </c>
      <c r="E12" s="4">
        <v>2004</v>
      </c>
      <c r="F12" s="9">
        <f>SUM(L12:R12)+SUM(L12:O12)*0.0000001+SUM(L12)*0.0000000000001</f>
        <v>120.20000804000412</v>
      </c>
      <c r="G12" s="64"/>
      <c r="H12" s="3" t="str">
        <f>IF(OR(AND(AL12&gt;=AP$21,AM12&gt;=AP$25,AL12&lt;&gt;"",AK12=""),AND(AN12&gt;=AP$21,AO12&gt;=AP$25,AN12&lt;&gt;"",AK12=""),AND(BH12&gt;=BL$21,BI12&gt;=BL$25,BH12&lt;&gt;"",BG12=""),AND(BJ12&gt;=BL$21,BK12&gt;=BL$25,BJ12&lt;&gt;"",BG12=""),AND(CD12&gt;=CH$21,CE12&gt;=CH$25,CD12&lt;&gt;"",CC12=""),AND(CF12&gt;=CH$21,CG12&gt;=CH$25,CF12&lt;&gt;""),AND(DE12&gt;=DL$21,DF12&gt;=DL$25,DE12&lt;&gt;""),AND(DJ12&gt;=DL$21,DK12&gt;=DL$25,DJ12&lt;&gt;""),AND(EG12&gt;=EN$21,EH12&gt;=EN$25,EG12&lt;&gt;""),AND(EL12&gt;=EN$21,EM12&gt;=EN$25,EL12&lt;&gt;""),AND(FI12&gt;=FP$21,FJ12&gt;=FP$25,FI12&lt;&gt;""),AND(FN12&gt;=FP$21,FO12&gt;=FP$25,FN12&lt;&gt;""),AND(GK12&gt;=GR$21,GL12&gt;=GR$25,GK12&lt;&gt;""),AND(GP12&gt;=GR$21,GQ12&gt;=GR$25,GP12&lt;&gt;""),AND(HM12&gt;=HT$21,HN12&gt;=HT$25,HM12&lt;&gt;""),AND(HR12&gt;=HT$21,HS12&gt;=HT$25,HR12&lt;&gt;""),AND(IO12&gt;=IV$21,IP12&gt;=IV$25,IO12&lt;&gt;""),AND(IT12&gt;=IV$21,IU12&gt;=IV$25,IT12&lt;&gt;""),AND(JQ12&gt;=JX$21,JR12&gt;=JX$25,JQ12&lt;&gt;""),AND(JV12&gt;=JX$21,JW12&gt;=JX$25,JV12&lt;&gt;""),AND(KS12&gt;=KZ$21,KT12&gt;=KZ$25,KS12&lt;&gt;""),AND(KX12&gt;=KZ$21,KY12&gt;=KZ$25,KX12&lt;&gt;""),AND(LU12&gt;=MB$21,LV12&gt;=MB$25,LU12&lt;&gt;""),AND(LZ12&gt;=MB$21,MA12&gt;=MB$25,LZ12&lt;&gt;""),AND(MW12&gt;=ND$21,MX12&gt;=ND$25,MW12&lt;&gt;""),AND(NB12&gt;=ND$21,NC12&gt;=ND$25,NB12&lt;&gt;""),AND(NY12&gt;=OF$21,NZ12&gt;=OF$25,NY12&lt;&gt;""),AND(OD12&gt;=OF$21,OE12&gt;=OF$25,OD12&lt;&gt;""),AND(PA12&gt;=PH$21,PB12&gt;=PH$25,PA12&lt;&gt;""),AND(PF12&gt;=PH$21,PG12&gt;=PH$25,PF12&lt;&gt;"")),"P","")</f>
        <v/>
      </c>
      <c r="I12" s="3" t="str">
        <f>IF(OR(AND(AM12&gt;=AP$25,AM12&lt;&gt;"",AK12=""),AND(AO12&gt;=AP$25,AO12&lt;&gt;"",AK12=""),AND(BI12&gt;=BL$25,BI12&lt;&gt;"",BG12=""),AND(BK12&gt;=BL$25,BK12&lt;&gt;"",BG12=""),AND(CE12&gt;=CH$25,CE12&lt;&gt;"",CC12=""),AND(CG12&gt;=CH$25,CG12&lt;&gt;"",CC12=""),AND(DF12&gt;=DL$25,DF12&lt;&gt;""),AND(DK12&gt;=DL$25,DK12&lt;&gt;""),AND(EH12&gt;=EN$25,EH12&lt;&gt;""),AND(EM12&gt;=EN$25,EM12&lt;&gt;""),AND(FJ12&gt;=FP$25,FJ12&lt;&gt;""),AND(FO12&gt;=FP$25,FO12&lt;&gt;""),AND(GL12&gt;=GR$25,GL12&lt;&gt;""),AND(GQ12&gt;=GR$25,GQ12&lt;&gt;""),AND(HN12&gt;=HT$25,HN12&lt;&gt;""),AND(HS12&gt;=HT$25,HS12&lt;&gt;""),AND(IP12&gt;=IV$25,IP12&lt;&gt;""),AND(IU12&gt;=IV$25,IU12&lt;&gt;""),AND(JR12&gt;=JX$25,JR12&lt;&gt;""),AND(JW12&gt;=JX$25,JW12&lt;&gt;""),AND(KT12&gt;=KZ$25,KT12&lt;&gt;""),AND(KY12&gt;=KZ$25,KY12&lt;&gt;""),AND(LV12&gt;=MB$25,LV12&lt;&gt;""),AND(MA12&gt;=MB$25,MA12&lt;&gt;""),AND(MX12&gt;=ND$25,MX12&lt;&gt;""),AND(NC12&gt;=ND$25,NC12&lt;&gt;""),AND(NZ12&gt;=OF$25,NZ12&lt;&gt;""),AND(OE12&gt;=OF$25,OE12&lt;&gt;""),AND(PB12&gt;=PH$25,PB12&lt;&gt;""),AND(PG12&gt;=PH$25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41.199999999999996</v>
      </c>
      <c r="M12" s="8" t="str">
        <f>IF(L12=0,"",IF(L12=CE12,$BM$1,IF(L12=BI12,$AQ$1,IF(L12=AM12,$U$1,""))))</f>
        <v>2025 3rd Domestic Trial</v>
      </c>
      <c r="N12" s="8">
        <f>IF(COUNT(AM12,BI12,CE12)&gt;1,LARGE((AM12,BI12,CE12),2),0)</f>
        <v>39.200000000000003</v>
      </c>
      <c r="O12" s="8" t="str">
        <f>IF(N12=0,"",IF(AND(N12=L12,N12=AM12,N12=BI12),$U$1,IF(AND(N12=L12,N12=AM12,N12=CE12),$U$1,IF(AND(N12=L12,N12=BI12,N12=CE12),$AQ$1,IF(N12=CE12,$BM$1,IF(N12=BI12,$AQ$1,IF(N12=AM12,$U$1,"")))))))</f>
        <v>2025 Elite Canada</v>
      </c>
      <c r="P12" s="8">
        <f>IF(MAX(AO12,BK12,CG12)&gt;0,MAX(AO12,BK12,CG12),0)</f>
        <v>39.799999999999997</v>
      </c>
      <c r="Q12" s="8" t="str">
        <f>IF(P12=0,"",IF(P12=CG12,$BM$1,IF(P12=BK12,$AQ$1,IF(P12=AO12,$U$1,""))))</f>
        <v>2025 3rd Domestic Trial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16.8</v>
      </c>
      <c r="V12" s="19">
        <v>3.5</v>
      </c>
      <c r="W12" s="19">
        <v>0.5</v>
      </c>
      <c r="X12" s="19">
        <v>0.7</v>
      </c>
      <c r="Y12" s="19">
        <v>14.6</v>
      </c>
      <c r="Z12" s="19">
        <v>4.0999999999999996</v>
      </c>
      <c r="AA12" s="19">
        <v>0</v>
      </c>
      <c r="AB12" s="19">
        <v>0</v>
      </c>
      <c r="AC12" s="19">
        <v>16.899999999999999</v>
      </c>
      <c r="AD12" s="19">
        <v>3.8</v>
      </c>
      <c r="AE12" s="19">
        <v>0.4</v>
      </c>
      <c r="AF12" s="19">
        <v>0.7</v>
      </c>
      <c r="AG12" s="19">
        <v>15.5</v>
      </c>
      <c r="AH12" s="19">
        <v>1.9</v>
      </c>
      <c r="AI12" s="19">
        <v>0</v>
      </c>
      <c r="AJ12" s="19">
        <v>0</v>
      </c>
      <c r="AK12" s="27"/>
      <c r="AL12" s="40">
        <f>IF(SUM(V12,Z12)&gt;0,SUM(V12,Z12),"")</f>
        <v>7.6</v>
      </c>
      <c r="AM12" s="40">
        <f>IF(SUM(U12:V12,X12:Z12,AB12)-W12-AA12&gt;0,SUM(U12:V12,X12:Z12,AB12)-W12-AA12,"")</f>
        <v>39.200000000000003</v>
      </c>
      <c r="AN12" s="40">
        <f>IF(SUM(AD12,AH12)&gt;0,SUM(AD12,AH12),"")</f>
        <v>5.6999999999999993</v>
      </c>
      <c r="AO12" s="40">
        <f>IF(SUM(AC12:AD12,AF12:AH12,AJ12)-SUM(AE12,AI12)&gt;0,SUM(AC12:AD12,AF12:AH12,AJ12)-SUM(AE12,AI12),"")</f>
        <v>38.4</v>
      </c>
      <c r="AP12" s="40">
        <f>IF(SUM(AM12,AO12)&gt;0,SUM(AM12,AO12),"")</f>
        <v>77.599999999999994</v>
      </c>
      <c r="AQ12" s="18">
        <v>16.100000000000001</v>
      </c>
      <c r="AR12" s="18">
        <v>3.8</v>
      </c>
      <c r="AS12" s="18">
        <v>0.4</v>
      </c>
      <c r="AT12" s="18">
        <v>0.7</v>
      </c>
      <c r="AU12" s="18">
        <v>15.5</v>
      </c>
      <c r="AV12" s="18">
        <v>1.9</v>
      </c>
      <c r="AW12" s="18">
        <v>0</v>
      </c>
      <c r="AX12" s="18">
        <v>0</v>
      </c>
      <c r="AY12" s="18"/>
      <c r="AZ12" s="18"/>
      <c r="BA12" s="18"/>
      <c r="BB12" s="18"/>
      <c r="BC12" s="18"/>
      <c r="BD12" s="18"/>
      <c r="BE12" s="18"/>
      <c r="BF12" s="18"/>
      <c r="BG12" s="28"/>
      <c r="BH12" s="11">
        <f>IF(SUM(AR12,AV12)&gt;0,SUM(AR12,AV12),"")</f>
        <v>5.6999999999999993</v>
      </c>
      <c r="BI12" s="11">
        <f>IF(SUM(AQ12:AR12,AT12:AV12,AX12)-AS12-AW12&gt;0,SUM(AQ12:AR12,AT12:AV12,AX12)-AS12-AW12,"")</f>
        <v>37.6</v>
      </c>
      <c r="BJ12" s="11" t="str">
        <f>IF(SUM(AZ12,BD12)&gt;0,SUM(AZ12,BD12),"")</f>
        <v/>
      </c>
      <c r="BK12" s="11" t="str">
        <f>IF(SUM(AY12:AZ12,BB12:BD12,BF12)-SUM(BA12,BE12)&gt;0,SUM(AY12:AZ12,BB12:BD12,BF12)-SUM(BA12,BE12),"")</f>
        <v/>
      </c>
      <c r="BL12" s="11">
        <f>IF(SUM(BI12,BK12)&gt;0,SUM(BI12,BK12),"")</f>
        <v>37.6</v>
      </c>
      <c r="BM12" s="19">
        <v>16.8</v>
      </c>
      <c r="BN12" s="19">
        <v>3.6</v>
      </c>
      <c r="BO12" s="19">
        <v>0.2</v>
      </c>
      <c r="BP12" s="19">
        <v>0.7</v>
      </c>
      <c r="BQ12" s="19">
        <v>16</v>
      </c>
      <c r="BR12" s="19">
        <v>3.8</v>
      </c>
      <c r="BS12" s="19">
        <v>0.2</v>
      </c>
      <c r="BT12" s="19">
        <v>0.7</v>
      </c>
      <c r="BU12" s="19">
        <v>17.2</v>
      </c>
      <c r="BV12" s="19">
        <v>3.6</v>
      </c>
      <c r="BW12" s="19">
        <v>0</v>
      </c>
      <c r="BX12" s="19">
        <v>0.7</v>
      </c>
      <c r="BY12" s="19">
        <v>17</v>
      </c>
      <c r="BZ12" s="19">
        <v>2.2999999999999998</v>
      </c>
      <c r="CA12" s="19">
        <v>1</v>
      </c>
      <c r="CB12" s="19">
        <v>0</v>
      </c>
      <c r="CC12" s="27"/>
      <c r="CD12" s="40">
        <f>IF(SUM(BN12,BR12)&gt;0,SUM(BN12,BR12),"")</f>
        <v>7.4</v>
      </c>
      <c r="CE12" s="40">
        <f>IF(SUM(BM12:BN12,BP12:BR12,BT12)-BO12-BS12&gt;0,SUM(BM12:BN12,BP12:BR12,BT12)-BO12-BS12,"")</f>
        <v>41.199999999999996</v>
      </c>
      <c r="CF12" s="40">
        <f>IF(SUM(BV12,BZ12)&gt;0,SUM(BV12,BZ12),"")</f>
        <v>5.9</v>
      </c>
      <c r="CG12" s="40">
        <f>IF(SUM(BU12:BV12,BX12:BZ12,CB12)-SUM(BW12,CA12)&gt;0,SUM(BU12:BV12,BX12:BZ12,CB12)-SUM(BW12,CA12),"")</f>
        <v>39.799999999999997</v>
      </c>
      <c r="CH12" s="40">
        <f>IF(SUM(CE12,CG12)&gt;0,SUM(CE12,CG12),"")</f>
        <v>81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16.450000000000003</v>
      </c>
      <c r="PJ12" s="22">
        <f>IF($CC12="P",BN12,(BN12+AR12)/2)</f>
        <v>3.7</v>
      </c>
      <c r="PK12" s="22">
        <f>IF($CC12="P",BO12,(BO12+AS12)/2)</f>
        <v>0.30000000000000004</v>
      </c>
      <c r="PL12" s="22">
        <f>IF($CC12="P",BP12,(BP12+AT12)/2)</f>
        <v>0.7</v>
      </c>
      <c r="PM12" s="22">
        <f>IF($CC12="P",BQ12,(BQ12+AU12)/2)</f>
        <v>15.75</v>
      </c>
      <c r="PN12" s="22">
        <f>IF($CC12="P",BR12,(BR12+AV12)/2)</f>
        <v>2.8499999999999996</v>
      </c>
      <c r="PO12" s="22">
        <f>IF($CC12="P",BS12,(BS12+AW12)/2)</f>
        <v>0.1</v>
      </c>
      <c r="PP12" s="22">
        <f>IF($CC12="P",BT12,(BT12+AX12)/2)</f>
        <v>0.35</v>
      </c>
      <c r="PQ12" s="22">
        <f>IF($CC12="P",BU12,(BU12+AY12)/2)</f>
        <v>8.6</v>
      </c>
      <c r="PR12" s="22">
        <f>IF($CC12="P",BV12,(BV12+AZ12)/2)</f>
        <v>1.8</v>
      </c>
      <c r="PS12" s="22">
        <f>IF($CC12="P",BW12,(BW12+BA12)/2)</f>
        <v>0</v>
      </c>
      <c r="PT12" s="22">
        <f>IF($CC12="P",BX12,(BX12+BB12)/2)</f>
        <v>0.35</v>
      </c>
      <c r="PU12" s="22">
        <f>IF($CC12="P",BY12,(BY12+BC12)/2)</f>
        <v>8.5</v>
      </c>
      <c r="PV12" s="22">
        <f>IF($CC12="P",BZ12,(BZ12+BD12)/2)</f>
        <v>1.1499999999999999</v>
      </c>
      <c r="PW12" s="22">
        <f>IF($CC12="P",CA12,(CA12+BE12)/2)</f>
        <v>0.5</v>
      </c>
      <c r="PX12" s="22">
        <f>IF($CC12="P",CB12,(CB12+BF12)/2)</f>
        <v>0</v>
      </c>
      <c r="PY12" s="27" t="s">
        <v>46</v>
      </c>
      <c r="PZ12" s="40">
        <f>IF(SUM(PJ12,PN12)&gt;0,SUM(PJ12,PN12),"")</f>
        <v>6.55</v>
      </c>
      <c r="QA12" s="40">
        <f>IF(SUM(PI12:PJ12,PL12:PN12,PP12)-PK12-PO12&gt;0,SUM(PI12:PJ12,PL12:PN12,PP12)-PK12-PO12,"")</f>
        <v>39.400000000000006</v>
      </c>
      <c r="QB12" s="40">
        <f>IF(SUM(PR12,PV12)&gt;0,SUM(PR12,PV12),"")</f>
        <v>2.95</v>
      </c>
      <c r="QC12" s="40">
        <f>IF(SUM(PQ12:PR12,PT12:PV12,PX12)-SUM(PS12,PW12)&gt;0,SUM(PQ12:PR12,PT12:PV12,PX12)-SUM(PS12,PW12),"")</f>
        <v>19.899999999999999</v>
      </c>
      <c r="QD12" s="40">
        <f>IF(SUM(QA12,QC12)&gt;0,SUM(QA12,QC12),"")</f>
        <v>59.300000000000004</v>
      </c>
    </row>
    <row r="13" spans="1:446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147</v>
      </c>
      <c r="D13" s="4" t="s">
        <v>4</v>
      </c>
      <c r="E13" s="4">
        <v>2005</v>
      </c>
      <c r="F13" s="9">
        <f>SUM(L13:R13)+SUM(L13:O13)*0.0000001+SUM(L13)*0.0000000000001</f>
        <v>118.10000777000396</v>
      </c>
      <c r="G13" s="64"/>
      <c r="H13" s="3" t="str">
        <f>IF(OR(AND(AL13&gt;=AP$21,AM13&gt;=AP$25,AL13&lt;&gt;"",AK13=""),AND(AN13&gt;=AP$21,AO13&gt;=AP$25,AN13&lt;&gt;"",AK13=""),AND(BH13&gt;=BL$21,BI13&gt;=BL$25,BH13&lt;&gt;"",BG13=""),AND(BJ13&gt;=BL$21,BK13&gt;=BL$25,BJ13&lt;&gt;"",BG13=""),AND(CD13&gt;=CH$21,CE13&gt;=CH$25,CD13&lt;&gt;"",CC13=""),AND(CF13&gt;=CH$21,CG13&gt;=CH$25,CF13&lt;&gt;""),AND(DE13&gt;=DL$21,DF13&gt;=DL$25,DE13&lt;&gt;""),AND(DJ13&gt;=DL$21,DK13&gt;=DL$25,DJ13&lt;&gt;""),AND(EG13&gt;=EN$21,EH13&gt;=EN$25,EG13&lt;&gt;""),AND(EL13&gt;=EN$21,EM13&gt;=EN$25,EL13&lt;&gt;""),AND(FI13&gt;=FP$21,FJ13&gt;=FP$25,FI13&lt;&gt;""),AND(FN13&gt;=FP$21,FO13&gt;=FP$25,FN13&lt;&gt;""),AND(GK13&gt;=GR$21,GL13&gt;=GR$25,GK13&lt;&gt;""),AND(GP13&gt;=GR$21,GQ13&gt;=GR$25,GP13&lt;&gt;""),AND(HM13&gt;=HT$21,HN13&gt;=HT$25,HM13&lt;&gt;""),AND(HR13&gt;=HT$21,HS13&gt;=HT$25,HR13&lt;&gt;""),AND(IO13&gt;=IV$21,IP13&gt;=IV$25,IO13&lt;&gt;""),AND(IT13&gt;=IV$21,IU13&gt;=IV$25,IT13&lt;&gt;""),AND(JQ13&gt;=JX$21,JR13&gt;=JX$25,JQ13&lt;&gt;""),AND(JV13&gt;=JX$21,JW13&gt;=JX$25,JV13&lt;&gt;""),AND(KS13&gt;=KZ$21,KT13&gt;=KZ$25,KS13&lt;&gt;""),AND(KX13&gt;=KZ$21,KY13&gt;=KZ$25,KX13&lt;&gt;""),AND(LU13&gt;=MB$21,LV13&gt;=MB$25,LU13&lt;&gt;""),AND(LZ13&gt;=MB$21,MA13&gt;=MB$25,LZ13&lt;&gt;""),AND(MW13&gt;=ND$21,MX13&gt;=ND$25,MW13&lt;&gt;""),AND(NB13&gt;=ND$21,NC13&gt;=ND$25,NB13&lt;&gt;""),AND(NY13&gt;=OF$21,NZ13&gt;=OF$25,NY13&lt;&gt;""),AND(OD13&gt;=OF$21,OE13&gt;=OF$25,OD13&lt;&gt;""),AND(PA13&gt;=PH$21,PB13&gt;=PH$25,PA13&lt;&gt;""),AND(PF13&gt;=PH$21,PG13&gt;=PH$25,PF13&lt;&gt;"")),"P","")</f>
        <v/>
      </c>
      <c r="I13" s="3" t="str">
        <f>IF(OR(AND(AM13&gt;=AP$25,AM13&lt;&gt;"",AK13=""),AND(AO13&gt;=AP$25,AO13&lt;&gt;"",AK13=""),AND(BI13&gt;=BL$25,BI13&lt;&gt;"",BG13=""),AND(BK13&gt;=BL$25,BK13&lt;&gt;"",BG13=""),AND(CE13&gt;=CH$25,CE13&lt;&gt;"",CC13=""),AND(CG13&gt;=CH$25,CG13&lt;&gt;"",CC13=""),AND(DF13&gt;=DL$25,DF13&lt;&gt;""),AND(DK13&gt;=DL$25,DK13&lt;&gt;""),AND(EH13&gt;=EN$25,EH13&lt;&gt;""),AND(EM13&gt;=EN$25,EM13&lt;&gt;""),AND(FJ13&gt;=FP$25,FJ13&lt;&gt;""),AND(FO13&gt;=FP$25,FO13&lt;&gt;""),AND(GL13&gt;=GR$25,GL13&lt;&gt;""),AND(GQ13&gt;=GR$25,GQ13&lt;&gt;""),AND(HN13&gt;=HT$25,HN13&lt;&gt;""),AND(HS13&gt;=HT$25,HS13&lt;&gt;""),AND(IP13&gt;=IV$25,IP13&lt;&gt;""),AND(IU13&gt;=IV$25,IU13&lt;&gt;""),AND(JR13&gt;=JX$25,JR13&lt;&gt;""),AND(JW13&gt;=JX$25,JW13&lt;&gt;""),AND(KT13&gt;=KZ$25,KT13&lt;&gt;""),AND(KY13&gt;=KZ$25,KY13&lt;&gt;""),AND(LV13&gt;=MB$25,LV13&lt;&gt;""),AND(MA13&gt;=MB$25,MA13&lt;&gt;""),AND(MX13&gt;=ND$25,MX13&lt;&gt;""),AND(NC13&gt;=ND$25,NC13&lt;&gt;""),AND(NZ13&gt;=OF$25,NZ13&lt;&gt;""),AND(OE13&gt;=OF$25,OE13&lt;&gt;""),AND(PB13&gt;=PH$25,PB13&lt;&gt;""),AND(PG13&gt;=PH$25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39.599999999999994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38.099999999999994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40.4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16.899999999999999</v>
      </c>
      <c r="V13" s="19">
        <v>3.9</v>
      </c>
      <c r="W13" s="19">
        <v>0</v>
      </c>
      <c r="X13" s="19">
        <v>0</v>
      </c>
      <c r="Y13" s="19">
        <v>16.399999999999999</v>
      </c>
      <c r="Z13" s="19">
        <v>1.9</v>
      </c>
      <c r="AA13" s="19">
        <v>1</v>
      </c>
      <c r="AB13" s="19">
        <v>0</v>
      </c>
      <c r="AC13" s="19">
        <v>16</v>
      </c>
      <c r="AD13" s="19">
        <v>4.0999999999999996</v>
      </c>
      <c r="AE13" s="19">
        <v>0.2</v>
      </c>
      <c r="AF13" s="19">
        <v>0</v>
      </c>
      <c r="AG13" s="19">
        <v>16.600000000000001</v>
      </c>
      <c r="AH13" s="19">
        <v>3.9</v>
      </c>
      <c r="AI13" s="19">
        <v>0</v>
      </c>
      <c r="AJ13" s="19">
        <v>0</v>
      </c>
      <c r="AK13" s="27"/>
      <c r="AL13" s="40">
        <f>IF(SUM(V13,Z13)&gt;0,SUM(V13,Z13),"")</f>
        <v>5.8</v>
      </c>
      <c r="AM13" s="40">
        <f>IF(SUM(U13:V13,X13:Z13,AB13)-W13-AA13&gt;0,SUM(U13:V13,X13:Z13,AB13)-W13-AA13,"")</f>
        <v>38.099999999999994</v>
      </c>
      <c r="AN13" s="40">
        <f>IF(SUM(AD13,AH13)&gt;0,SUM(AD13,AH13),"")</f>
        <v>8</v>
      </c>
      <c r="AO13" s="40">
        <f>IF(SUM(AC13:AD13,AF13:AH13,AJ13)-SUM(AE13,AI13)&gt;0,SUM(AC13:AD13,AF13:AH13,AJ13)-SUM(AE13,AI13),"")</f>
        <v>40.4</v>
      </c>
      <c r="AP13" s="40">
        <f>IF(SUM(AM13,AO13)&gt;0,SUM(AM13,AO13),"")</f>
        <v>78.5</v>
      </c>
      <c r="AQ13" s="18">
        <v>16.5</v>
      </c>
      <c r="AR13" s="18">
        <v>3.9</v>
      </c>
      <c r="AS13" s="18">
        <v>0</v>
      </c>
      <c r="AT13" s="18">
        <v>0</v>
      </c>
      <c r="AU13" s="18">
        <v>16.600000000000001</v>
      </c>
      <c r="AV13" s="18">
        <v>2.8</v>
      </c>
      <c r="AW13" s="18">
        <v>0.2</v>
      </c>
      <c r="AX13" s="18">
        <v>0</v>
      </c>
      <c r="AY13" s="18">
        <v>16.399999999999999</v>
      </c>
      <c r="AZ13" s="18">
        <v>3.9</v>
      </c>
      <c r="BA13" s="18">
        <v>0</v>
      </c>
      <c r="BB13" s="18">
        <v>0</v>
      </c>
      <c r="BC13" s="18">
        <v>15.7</v>
      </c>
      <c r="BD13" s="18">
        <v>1.9</v>
      </c>
      <c r="BE13" s="18">
        <v>0</v>
      </c>
      <c r="BF13" s="18">
        <v>0</v>
      </c>
      <c r="BG13" s="28"/>
      <c r="BH13" s="11">
        <f>IF(SUM(AR13,AV13)&gt;0,SUM(AR13,AV13),"")</f>
        <v>6.6999999999999993</v>
      </c>
      <c r="BI13" s="11">
        <f>IF(SUM(AQ13:AR13,AT13:AV13,AX13)-AS13-AW13&gt;0,SUM(AQ13:AR13,AT13:AV13,AX13)-AS13-AW13,"")</f>
        <v>39.599999999999994</v>
      </c>
      <c r="BJ13" s="11">
        <f>IF(SUM(AZ13,BD13)&gt;0,SUM(AZ13,BD13),"")</f>
        <v>5.8</v>
      </c>
      <c r="BK13" s="11">
        <f>IF(SUM(AY13:AZ13,BB13:BD13,BF13)-SUM(BA13,BE13)&gt;0,SUM(AY13:AZ13,BB13:BD13,BF13)-SUM(BA13,BE13),"")</f>
        <v>37.9</v>
      </c>
      <c r="BL13" s="11">
        <f>IF(SUM(BI13,BK13)&gt;0,SUM(BI13,BK13),"")</f>
        <v>77.5</v>
      </c>
      <c r="BM13" s="19">
        <v>15.6</v>
      </c>
      <c r="BN13" s="19">
        <v>1.9</v>
      </c>
      <c r="BO13" s="19">
        <v>0</v>
      </c>
      <c r="BP13" s="19">
        <v>0</v>
      </c>
      <c r="BQ13" s="19">
        <v>16.3</v>
      </c>
      <c r="BR13" s="19">
        <v>2.8</v>
      </c>
      <c r="BS13" s="19">
        <v>0.2</v>
      </c>
      <c r="BT13" s="19">
        <v>0</v>
      </c>
      <c r="BU13" s="19"/>
      <c r="BV13" s="19"/>
      <c r="BW13" s="19"/>
      <c r="BX13" s="19"/>
      <c r="BY13" s="19"/>
      <c r="BZ13" s="19"/>
      <c r="CA13" s="19"/>
      <c r="CB13" s="19"/>
      <c r="CC13" s="27"/>
      <c r="CD13" s="40">
        <f>IF(SUM(BN13,BR13)&gt;0,SUM(BN13,BR13),"")</f>
        <v>4.6999999999999993</v>
      </c>
      <c r="CE13" s="40">
        <f>IF(SUM(BM13:BN13,BP13:BR13,BT13)-BO13-BS13&gt;0,SUM(BM13:BN13,BP13:BR13,BT13)-BO13-BS13,"")</f>
        <v>36.399999999999991</v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>
        <f>IF(SUM(CE13,CG13)&gt;0,SUM(CE13,CG13),"")</f>
        <v>36.399999999999991</v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16.05</v>
      </c>
      <c r="PJ13" s="22">
        <f>IF($CC13="P",BN13,(BN13+AR13)/2)</f>
        <v>2.9</v>
      </c>
      <c r="PK13" s="22">
        <f>IF($CC13="P",BO13,(BO13+AS13)/2)</f>
        <v>0</v>
      </c>
      <c r="PL13" s="22">
        <f>IF($CC13="P",BP13,(BP13+AT13)/2)</f>
        <v>0</v>
      </c>
      <c r="PM13" s="22">
        <f>IF($CC13="P",BQ13,(BQ13+AU13)/2)</f>
        <v>16.450000000000003</v>
      </c>
      <c r="PN13" s="22">
        <f>IF($CC13="P",BR13,(BR13+AV13)/2)</f>
        <v>2.8</v>
      </c>
      <c r="PO13" s="22">
        <f>IF($CC13="P",BS13,(BS13+AW13)/2)</f>
        <v>0.2</v>
      </c>
      <c r="PP13" s="22">
        <f>IF($CC13="P",BT13,(BT13+AX13)/2)</f>
        <v>0</v>
      </c>
      <c r="PQ13" s="22">
        <f>IF($CC13="P",BU13,(BU13+AY13)/2)</f>
        <v>8.1999999999999993</v>
      </c>
      <c r="PR13" s="22">
        <f>IF($CC13="P",BV13,(BV13+AZ13)/2)</f>
        <v>1.95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7.85</v>
      </c>
      <c r="PV13" s="22">
        <f>IF($CC13="P",BZ13,(BZ13+BD13)/2)</f>
        <v>0.95</v>
      </c>
      <c r="PW13" s="22">
        <f>IF($CC13="P",CA13,(CA13+BE13)/2)</f>
        <v>0</v>
      </c>
      <c r="PX13" s="22">
        <f>IF($CC13="P",CB13,(CB13+BF13)/2)</f>
        <v>0</v>
      </c>
      <c r="PY13" s="27" t="s">
        <v>46</v>
      </c>
      <c r="PZ13" s="40">
        <f>IF(SUM(PJ13,PN13)&gt;0,SUM(PJ13,PN13),"")</f>
        <v>5.6999999999999993</v>
      </c>
      <c r="QA13" s="40">
        <f>IF(SUM(PI13:PJ13,PL13:PN13,PP13)-PK13-PO13&gt;0,SUM(PI13:PJ13,PL13:PN13,PP13)-PK13-PO13,"")</f>
        <v>38</v>
      </c>
      <c r="QB13" s="40">
        <f>IF(SUM(PR13,PV13)&gt;0,SUM(PR13,PV13),"")</f>
        <v>2.9</v>
      </c>
      <c r="QC13" s="40">
        <f>IF(SUM(PQ13:PR13,PT13:PV13,PX13)-SUM(PS13,PW13)&gt;0,SUM(PQ13:PR13,PT13:PV13,PX13)-SUM(PS13,PW13),"")</f>
        <v>18.95</v>
      </c>
      <c r="QD13" s="40">
        <f>IF(SUM(QA13,QC13)&gt;0,SUM(QA13,QC13),"")</f>
        <v>56.95</v>
      </c>
    </row>
    <row r="14" spans="1:446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172</v>
      </c>
      <c r="D14" s="4" t="s">
        <v>4</v>
      </c>
      <c r="E14" s="4">
        <v>2008</v>
      </c>
      <c r="F14" s="9">
        <f>SUM(L14:R14)+SUM(L14:O14)*0.0000001+SUM(L14)*0.0000000000001</f>
        <v>114.00000754000392</v>
      </c>
      <c r="G14" s="64"/>
      <c r="H14" s="3" t="str">
        <f>IF(OR(AND(AL14&gt;=AP$21,AM14&gt;=AP$25,AL14&lt;&gt;"",AK14=""),AND(AN14&gt;=AP$21,AO14&gt;=AP$25,AN14&lt;&gt;"",AK14=""),AND(BH14&gt;=BL$21,BI14&gt;=BL$25,BH14&lt;&gt;"",BG14=""),AND(BJ14&gt;=BL$21,BK14&gt;=BL$25,BJ14&lt;&gt;"",BG14=""),AND(CD14&gt;=CH$21,CE14&gt;=CH$25,CD14&lt;&gt;"",CC14=""),AND(CF14&gt;=CH$21,CG14&gt;=CH$25,CF14&lt;&gt;""),AND(DE14&gt;=DL$21,DF14&gt;=DL$25,DE14&lt;&gt;""),AND(DJ14&gt;=DL$21,DK14&gt;=DL$25,DJ14&lt;&gt;""),AND(EG14&gt;=EN$21,EH14&gt;=EN$25,EG14&lt;&gt;""),AND(EL14&gt;=EN$21,EM14&gt;=EN$25,EL14&lt;&gt;""),AND(FI14&gt;=FP$21,FJ14&gt;=FP$25,FI14&lt;&gt;""),AND(FN14&gt;=FP$21,FO14&gt;=FP$25,FN14&lt;&gt;""),AND(GK14&gt;=GR$21,GL14&gt;=GR$25,GK14&lt;&gt;""),AND(GP14&gt;=GR$21,GQ14&gt;=GR$25,GP14&lt;&gt;""),AND(HM14&gt;=HT$21,HN14&gt;=HT$25,HM14&lt;&gt;""),AND(HR14&gt;=HT$21,HS14&gt;=HT$25,HR14&lt;&gt;""),AND(IO14&gt;=IV$21,IP14&gt;=IV$25,IO14&lt;&gt;""),AND(IT14&gt;=IV$21,IU14&gt;=IV$25,IT14&lt;&gt;""),AND(JQ14&gt;=JX$21,JR14&gt;=JX$25,JQ14&lt;&gt;""),AND(JV14&gt;=JX$21,JW14&gt;=JX$25,JV14&lt;&gt;""),AND(KS14&gt;=KZ$21,KT14&gt;=KZ$25,KS14&lt;&gt;""),AND(KX14&gt;=KZ$21,KY14&gt;=KZ$25,KX14&lt;&gt;""),AND(LU14&gt;=MB$21,LV14&gt;=MB$25,LU14&lt;&gt;""),AND(LZ14&gt;=MB$21,MA14&gt;=MB$25,LZ14&lt;&gt;""),AND(MW14&gt;=ND$21,MX14&gt;=ND$25,MW14&lt;&gt;""),AND(NB14&gt;=ND$21,NC14&gt;=ND$25,NB14&lt;&gt;""),AND(NY14&gt;=OF$21,NZ14&gt;=OF$25,NY14&lt;&gt;""),AND(OD14&gt;=OF$21,OE14&gt;=OF$25,OD14&lt;&gt;""),AND(PA14&gt;=PH$21,PB14&gt;=PH$25,PA14&lt;&gt;""),AND(PF14&gt;=PH$21,PG14&gt;=PH$25,PF14&lt;&gt;"")),"P","")</f>
        <v/>
      </c>
      <c r="I14" s="3" t="str">
        <f>IF(OR(AND(AM14&gt;=AP$25,AM14&lt;&gt;"",AK14=""),AND(AO14&gt;=AP$25,AO14&lt;&gt;"",AK14=""),AND(BI14&gt;=BL$25,BI14&lt;&gt;"",BG14=""),AND(BK14&gt;=BL$25,BK14&lt;&gt;"",BG14=""),AND(CE14&gt;=CH$25,CE14&lt;&gt;"",CC14=""),AND(CG14&gt;=CH$25,CG14&lt;&gt;"",CC14=""),AND(DF14&gt;=DL$25,DF14&lt;&gt;""),AND(DK14&gt;=DL$25,DK14&lt;&gt;""),AND(EH14&gt;=EN$25,EH14&lt;&gt;""),AND(EM14&gt;=EN$25,EM14&lt;&gt;""),AND(FJ14&gt;=FP$25,FJ14&lt;&gt;""),AND(FO14&gt;=FP$25,FO14&lt;&gt;""),AND(GL14&gt;=GR$25,GL14&lt;&gt;""),AND(GQ14&gt;=GR$25,GQ14&lt;&gt;""),AND(HN14&gt;=HT$25,HN14&lt;&gt;""),AND(HS14&gt;=HT$25,HS14&lt;&gt;""),AND(IP14&gt;=IV$25,IP14&lt;&gt;""),AND(IU14&gt;=IV$25,IU14&lt;&gt;""),AND(JR14&gt;=JX$25,JR14&lt;&gt;""),AND(JW14&gt;=JX$25,JW14&lt;&gt;""),AND(KT14&gt;=KZ$25,KT14&lt;&gt;""),AND(KY14&gt;=KZ$25,KY14&lt;&gt;""),AND(LV14&gt;=MB$25,LV14&lt;&gt;""),AND(MA14&gt;=MB$25,MA14&lt;&gt;""),AND(MX14&gt;=ND$25,MX14&lt;&gt;""),AND(NC14&gt;=ND$25,NC14&lt;&gt;""),AND(NZ14&gt;=OF$25,NZ14&lt;&gt;""),AND(OE14&gt;=OF$25,OE14&lt;&gt;""),AND(PB14&gt;=PH$25,PB14&lt;&gt;""),AND(PG14&gt;=PH$25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39.199999999999996</v>
      </c>
      <c r="M14" s="8" t="str">
        <f>IF(L14=0,"",IF(L14=CE14,$BM$1,IF(L14=BI14,$AQ$1,IF(L14=AM14,$U$1,""))))</f>
        <v>2025 Elite Canada</v>
      </c>
      <c r="N14" s="8">
        <f>IF(COUNT(AM14,BI14,CE14)&gt;1,LARGE((AM14,BI14,CE14),2),0)</f>
        <v>36.199999999999996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38.6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16.3</v>
      </c>
      <c r="V14" s="19">
        <v>3.4</v>
      </c>
      <c r="W14" s="19">
        <v>0.2</v>
      </c>
      <c r="X14" s="19">
        <v>0</v>
      </c>
      <c r="Y14" s="19">
        <v>15.1</v>
      </c>
      <c r="Z14" s="19">
        <v>4.5999999999999996</v>
      </c>
      <c r="AA14" s="19">
        <v>0</v>
      </c>
      <c r="AB14" s="19">
        <v>0</v>
      </c>
      <c r="AC14" s="19">
        <v>15.1</v>
      </c>
      <c r="AD14" s="19">
        <v>3.4</v>
      </c>
      <c r="AE14" s="19">
        <v>0</v>
      </c>
      <c r="AF14" s="19">
        <v>0</v>
      </c>
      <c r="AG14" s="19">
        <v>15.5</v>
      </c>
      <c r="AH14" s="19">
        <v>4.5999999999999996</v>
      </c>
      <c r="AI14" s="19">
        <v>0</v>
      </c>
      <c r="AJ14" s="19">
        <v>0</v>
      </c>
      <c r="AK14" s="27"/>
      <c r="AL14" s="40">
        <f>IF(SUM(V14,Z14)&gt;0,SUM(V14,Z14),"")</f>
        <v>8</v>
      </c>
      <c r="AM14" s="40">
        <f>IF(SUM(U14:V14,X14:Z14,AB14)-W14-AA14&gt;0,SUM(U14:V14,X14:Z14,AB14)-W14-AA14,"")</f>
        <v>39.199999999999996</v>
      </c>
      <c r="AN14" s="40">
        <f>IF(SUM(AD14,AH14)&gt;0,SUM(AD14,AH14),"")</f>
        <v>8</v>
      </c>
      <c r="AO14" s="40">
        <f>IF(SUM(AC14:AD14,AF14:AH14,AJ14)-SUM(AE14,AI14)&gt;0,SUM(AC14:AD14,AF14:AH14,AJ14)-SUM(AE14,AI14),"")</f>
        <v>38.6</v>
      </c>
      <c r="AP14" s="40">
        <f>IF(SUM(AM14,AO14)&gt;0,SUM(AM14,AO14),"")</f>
        <v>77.8</v>
      </c>
      <c r="AQ14" s="18">
        <v>15.6</v>
      </c>
      <c r="AR14" s="18">
        <v>1.2</v>
      </c>
      <c r="AS14" s="18">
        <v>0</v>
      </c>
      <c r="AT14" s="18">
        <v>0</v>
      </c>
      <c r="AU14" s="18">
        <v>15</v>
      </c>
      <c r="AV14" s="18">
        <v>4.5999999999999996</v>
      </c>
      <c r="AW14" s="18">
        <v>0.2</v>
      </c>
      <c r="AX14" s="18">
        <v>0</v>
      </c>
      <c r="AY14" s="18">
        <v>14.6</v>
      </c>
      <c r="AZ14" s="18">
        <v>3.4</v>
      </c>
      <c r="BA14" s="18">
        <v>0</v>
      </c>
      <c r="BB14" s="18">
        <v>0</v>
      </c>
      <c r="BC14" s="18">
        <v>15.2</v>
      </c>
      <c r="BD14" s="18">
        <v>2.6</v>
      </c>
      <c r="BE14" s="18">
        <v>0</v>
      </c>
      <c r="BF14" s="18">
        <v>0</v>
      </c>
      <c r="BG14" s="28"/>
      <c r="BH14" s="11">
        <f>IF(SUM(AR14,AV14)&gt;0,SUM(AR14,AV14),"")</f>
        <v>5.8</v>
      </c>
      <c r="BI14" s="11">
        <f>IF(SUM(AQ14:AR14,AT14:AV14,AX14)-AS14-AW14&gt;0,SUM(AQ14:AR14,AT14:AV14,AX14)-AS14-AW14,"")</f>
        <v>36.199999999999996</v>
      </c>
      <c r="BJ14" s="11">
        <f>IF(SUM(AZ14,BD14)&gt;0,SUM(AZ14,BD14),"")</f>
        <v>6</v>
      </c>
      <c r="BK14" s="11">
        <f>IF(SUM(AY14:AZ14,BB14:BD14,BF14)-SUM(BA14,BE14)&gt;0,SUM(AY14:AZ14,BB14:BD14,BF14)-SUM(BA14,BE14),"")</f>
        <v>35.800000000000004</v>
      </c>
      <c r="BL14" s="11">
        <f>IF(SUM(BI14,BK14)&gt;0,SUM(BI14,BK14),"")</f>
        <v>72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>IF(SUM(BN14,BR14)&gt;0,SUM(BN14,BR14),"")</f>
        <v/>
      </c>
      <c r="CE14" s="40" t="str">
        <f>IF(SUM(BM14:BN14,BP14:BR14,BT14)-BO14-BS14&gt;0,SUM(BM14:BN14,BP14:BR14,BT14)-BO14-BS14,"")</f>
        <v/>
      </c>
      <c r="CF14" s="40" t="str">
        <f>IF(SUM(BV14,BZ14)&gt;0,SUM(BV14,BZ14),"")</f>
        <v/>
      </c>
      <c r="CG14" s="40" t="str">
        <f>IF(SUM(BU14:BV14,BX14:BZ14,CB14)-SUM(BW14,CA14)&gt;0,SUM(BU14:BV14,BX14:BZ14,CB14)-SUM(BW14,CA14),"")</f>
        <v/>
      </c>
      <c r="CH14" s="40" t="str">
        <f>IF(SUM(CE14,CG14)&gt;0,SUM(CE14,CG14),"")</f>
        <v/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7.8</v>
      </c>
      <c r="PJ14" s="22">
        <f>IF($CC14="P",BN14,(BN14+AR14)/2)</f>
        <v>0.6</v>
      </c>
      <c r="PK14" s="22">
        <f>IF($CC14="P",BO14,(BO14+AS14)/2)</f>
        <v>0</v>
      </c>
      <c r="PL14" s="22">
        <f>IF($CC14="P",BP14,(BP14+AT14)/2)</f>
        <v>0</v>
      </c>
      <c r="PM14" s="22">
        <f>IF($CC14="P",BQ14,(BQ14+AU14)/2)</f>
        <v>7.5</v>
      </c>
      <c r="PN14" s="22">
        <f>IF($CC14="P",BR14,(BR14+AV14)/2)</f>
        <v>2.2999999999999998</v>
      </c>
      <c r="PO14" s="22">
        <f>IF($CC14="P",BS14,(BS14+AW14)/2)</f>
        <v>0.1</v>
      </c>
      <c r="PP14" s="22">
        <f>IF($CC14="P",BT14,(BT14+AX14)/2)</f>
        <v>0</v>
      </c>
      <c r="PQ14" s="22">
        <f>IF($CC14="P",BU14,(BU14+AY14)/2)</f>
        <v>7.3</v>
      </c>
      <c r="PR14" s="22">
        <f>IF($CC14="P",BV14,(BV14+AZ14)/2)</f>
        <v>1.7</v>
      </c>
      <c r="PS14" s="22">
        <f>IF($CC14="P",BW14,(BW14+BA14)/2)</f>
        <v>0</v>
      </c>
      <c r="PT14" s="22">
        <f>IF($CC14="P",BX14,(BX14+BB14)/2)</f>
        <v>0</v>
      </c>
      <c r="PU14" s="22">
        <f>IF($CC14="P",BY14,(BY14+BC14)/2)</f>
        <v>7.6</v>
      </c>
      <c r="PV14" s="22">
        <f>IF($CC14="P",BZ14,(BZ14+BD14)/2)</f>
        <v>1.3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2.9</v>
      </c>
      <c r="QA14" s="40">
        <f>IF(SUM(PI14:PJ14,PL14:PN14,PP14)-PK14-PO14&gt;0,SUM(PI14:PJ14,PL14:PN14,PP14)-PK14-PO14,"")</f>
        <v>18.099999999999998</v>
      </c>
      <c r="QB14" s="40">
        <f>IF(SUM(PR14,PV14)&gt;0,SUM(PR14,PV14),"")</f>
        <v>3</v>
      </c>
      <c r="QC14" s="40">
        <f>IF(SUM(PQ14:PR14,PT14:PV14,PX14)-SUM(PS14,PW14)&gt;0,SUM(PQ14:PR14,PT14:PV14,PX14)-SUM(PS14,PW14),"")</f>
        <v>17.900000000000002</v>
      </c>
      <c r="QD14" s="40">
        <f>IF(SUM(QA14,QC14)&gt;0,SUM(QA14,QC14),"")</f>
        <v>36</v>
      </c>
    </row>
    <row r="15" spans="1:446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139</v>
      </c>
      <c r="D15" s="4" t="s">
        <v>3</v>
      </c>
      <c r="E15" s="4">
        <v>2007</v>
      </c>
      <c r="F15" s="9">
        <f>SUM(L15:R15)+SUM(L15:O15)*0.0000001+SUM(L15)*0.0000000000001</f>
        <v>113.80000732000397</v>
      </c>
      <c r="G15" s="64"/>
      <c r="H15" s="3" t="str">
        <f>IF(OR(AND(AL15&gt;=AP$21,AM15&gt;=AP$25,AL15&lt;&gt;"",AK15=""),AND(AN15&gt;=AP$21,AO15&gt;=AP$25,AN15&lt;&gt;"",AK15=""),AND(BH15&gt;=BL$21,BI15&gt;=BL$25,BH15&lt;&gt;"",BG15=""),AND(BJ15&gt;=BL$21,BK15&gt;=BL$25,BJ15&lt;&gt;"",BG15=""),AND(CD15&gt;=CH$21,CE15&gt;=CH$25,CD15&lt;&gt;"",CC15=""),AND(CF15&gt;=CH$21,CG15&gt;=CH$25,CF15&lt;&gt;""),AND(DE15&gt;=DL$21,DF15&gt;=DL$25,DE15&lt;&gt;""),AND(DJ15&gt;=DL$21,DK15&gt;=DL$25,DJ15&lt;&gt;""),AND(EG15&gt;=EN$21,EH15&gt;=EN$25,EG15&lt;&gt;""),AND(EL15&gt;=EN$21,EM15&gt;=EN$25,EL15&lt;&gt;""),AND(FI15&gt;=FP$21,FJ15&gt;=FP$25,FI15&lt;&gt;""),AND(FN15&gt;=FP$21,FO15&gt;=FP$25,FN15&lt;&gt;""),AND(GK15&gt;=GR$21,GL15&gt;=GR$25,GK15&lt;&gt;""),AND(GP15&gt;=GR$21,GQ15&gt;=GR$25,GP15&lt;&gt;""),AND(HM15&gt;=HT$21,HN15&gt;=HT$25,HM15&lt;&gt;""),AND(HR15&gt;=HT$21,HS15&gt;=HT$25,HR15&lt;&gt;""),AND(IO15&gt;=IV$21,IP15&gt;=IV$25,IO15&lt;&gt;""),AND(IT15&gt;=IV$21,IU15&gt;=IV$25,IT15&lt;&gt;""),AND(JQ15&gt;=JX$21,JR15&gt;=JX$25,JQ15&lt;&gt;""),AND(JV15&gt;=JX$21,JW15&gt;=JX$25,JV15&lt;&gt;""),AND(KS15&gt;=KZ$21,KT15&gt;=KZ$25,KS15&lt;&gt;""),AND(KX15&gt;=KZ$21,KY15&gt;=KZ$25,KX15&lt;&gt;""),AND(LU15&gt;=MB$21,LV15&gt;=MB$25,LU15&lt;&gt;""),AND(LZ15&gt;=MB$21,MA15&gt;=MB$25,LZ15&lt;&gt;""),AND(MW15&gt;=ND$21,MX15&gt;=ND$25,MW15&lt;&gt;""),AND(NB15&gt;=ND$21,NC15&gt;=ND$25,NB15&lt;&gt;""),AND(NY15&gt;=OF$21,NZ15&gt;=OF$25,NY15&lt;&gt;""),AND(OD15&gt;=OF$21,OE15&gt;=OF$25,OD15&lt;&gt;""),AND(PA15&gt;=PH$21,PB15&gt;=PH$25,PA15&lt;&gt;""),AND(PF15&gt;=PH$21,PG15&gt;=PH$25,PF15&lt;&gt;"")),"P","")</f>
        <v/>
      </c>
      <c r="I15" s="3" t="str">
        <f>IF(OR(AND(AM15&gt;=AP$25,AM15&lt;&gt;"",AK15=""),AND(AO15&gt;=AP$25,AO15&lt;&gt;"",AK15=""),AND(BI15&gt;=BL$25,BI15&lt;&gt;"",BG15=""),AND(BK15&gt;=BL$25,BK15&lt;&gt;"",BG15=""),AND(CE15&gt;=CH$25,CE15&lt;&gt;"",CC15=""),AND(CG15&gt;=CH$25,CG15&lt;&gt;"",CC15=""),AND(DF15&gt;=DL$25,DF15&lt;&gt;""),AND(DK15&gt;=DL$25,DK15&lt;&gt;""),AND(EH15&gt;=EN$25,EH15&lt;&gt;""),AND(EM15&gt;=EN$25,EM15&lt;&gt;""),AND(FJ15&gt;=FP$25,FJ15&lt;&gt;""),AND(FO15&gt;=FP$25,FO15&lt;&gt;""),AND(GL15&gt;=GR$25,GL15&lt;&gt;""),AND(GQ15&gt;=GR$25,GQ15&lt;&gt;""),AND(HN15&gt;=HT$25,HN15&lt;&gt;""),AND(HS15&gt;=HT$25,HS15&lt;&gt;""),AND(IP15&gt;=IV$25,IP15&lt;&gt;""),AND(IU15&gt;=IV$25,IU15&lt;&gt;""),AND(JR15&gt;=JX$25,JR15&lt;&gt;""),AND(JW15&gt;=JX$25,JW15&lt;&gt;""),AND(KT15&gt;=KZ$25,KT15&lt;&gt;""),AND(KY15&gt;=KZ$25,KY15&lt;&gt;""),AND(LV15&gt;=MB$25,LV15&lt;&gt;""),AND(MA15&gt;=MB$25,MA15&lt;&gt;""),AND(MX15&gt;=ND$25,MX15&lt;&gt;""),AND(NC15&gt;=ND$25,NC15&lt;&gt;""),AND(NZ15&gt;=OF$25,NZ15&lt;&gt;""),AND(OE15&gt;=OF$25,OE15&lt;&gt;""),AND(PB15&gt;=PH$25,PB15&lt;&gt;""),AND(PG15&gt;=PH$25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39.799999999999997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33.400000000000006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40.599999999999994</v>
      </c>
      <c r="Q15" s="8" t="str">
        <f>IF(P15=0,"",IF(P15=CG15,$BM$1,IF(P15=BK15,$AQ$1,IF(P15=AO15,$U$1,""))))</f>
        <v>2025 Nationals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14.5</v>
      </c>
      <c r="V15" s="19">
        <v>1.6</v>
      </c>
      <c r="W15" s="19">
        <v>0</v>
      </c>
      <c r="X15" s="19">
        <v>0</v>
      </c>
      <c r="Y15" s="19">
        <v>16.3</v>
      </c>
      <c r="Z15" s="19">
        <v>1.2</v>
      </c>
      <c r="AA15" s="19">
        <v>0.2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27"/>
      <c r="AL15" s="40">
        <f>IF(SUM(V15,Z15)&gt;0,SUM(V15,Z15),"")</f>
        <v>2.8</v>
      </c>
      <c r="AM15" s="40">
        <f>IF(SUM(U15:V15,X15:Z15,AB15)-W15-AA15&gt;0,SUM(U15:V15,X15:Z15,AB15)-W15-AA15,"")</f>
        <v>33.400000000000006</v>
      </c>
      <c r="AN15" s="40" t="str">
        <f>IF(SUM(AD15,AH15)&gt;0,SUM(AD15,AH15),"")</f>
        <v/>
      </c>
      <c r="AO15" s="40" t="str">
        <f>IF(SUM(AC15:AD15,AF15:AH15,AJ15)-SUM(AE15,AI15)&gt;0,SUM(AC15:AD15,AF15:AH15,AJ15)-SUM(AE15,AI15),"")</f>
        <v/>
      </c>
      <c r="AP15" s="40">
        <f>IF(SUM(AM15,AO15)&gt;0,SUM(AM15,AO15),"")</f>
        <v>33.400000000000006</v>
      </c>
      <c r="AQ15" s="18">
        <v>16.7</v>
      </c>
      <c r="AR15" s="18">
        <v>3.4</v>
      </c>
      <c r="AS15" s="18">
        <v>0.2</v>
      </c>
      <c r="AT15" s="18">
        <v>0</v>
      </c>
      <c r="AU15" s="18">
        <v>16.8</v>
      </c>
      <c r="AV15" s="18">
        <v>3.1</v>
      </c>
      <c r="AW15" s="18">
        <v>0</v>
      </c>
      <c r="AX15" s="18">
        <v>0</v>
      </c>
      <c r="AY15" s="18">
        <v>17.100000000000001</v>
      </c>
      <c r="AZ15" s="18">
        <v>3.4</v>
      </c>
      <c r="BA15" s="18">
        <v>0</v>
      </c>
      <c r="BB15" s="18">
        <v>0</v>
      </c>
      <c r="BC15" s="18">
        <v>17.3</v>
      </c>
      <c r="BD15" s="18">
        <v>2.9</v>
      </c>
      <c r="BE15" s="18">
        <v>0.1</v>
      </c>
      <c r="BF15" s="18">
        <v>0</v>
      </c>
      <c r="BG15" s="28"/>
      <c r="BH15" s="11">
        <f>IF(SUM(AR15,AV15)&gt;0,SUM(AR15,AV15),"")</f>
        <v>6.5</v>
      </c>
      <c r="BI15" s="11">
        <f>IF(SUM(AQ15:AR15,AT15:AV15,AX15)-AS15-AW15&gt;0,SUM(AQ15:AR15,AT15:AV15,AX15)-AS15-AW15,"")</f>
        <v>39.799999999999997</v>
      </c>
      <c r="BJ15" s="11">
        <f>IF(SUM(AZ15,BD15)&gt;0,SUM(AZ15,BD15),"")</f>
        <v>6.3</v>
      </c>
      <c r="BK15" s="11">
        <f>IF(SUM(AY15:AZ15,BB15:BD15,BF15)-SUM(BA15,BE15)&gt;0,SUM(AY15:AZ15,BB15:BD15,BF15)-SUM(BA15,BE15),"")</f>
        <v>40.599999999999994</v>
      </c>
      <c r="BL15" s="11">
        <f>IF(SUM(BI15,BK15)&gt;0,SUM(BI15,BK15),"")</f>
        <v>80.399999999999991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>IF(SUM(BN15,BR15)&gt;0,SUM(BN15,BR15),"")</f>
        <v/>
      </c>
      <c r="CE15" s="40" t="str">
        <f>IF(SUM(BM15:BN15,BP15:BR15,BT15)-BO15-BS15&gt;0,SUM(BM15:BN15,BP15:BR15,BT15)-BO15-BS15,"")</f>
        <v/>
      </c>
      <c r="CF15" s="40" t="str">
        <f>IF(SUM(BV15,BZ15)&gt;0,SUM(BV15,BZ15),"")</f>
        <v/>
      </c>
      <c r="CG15" s="40" t="str">
        <f>IF(SUM(BU15:BV15,BX15:BZ15,CB15)-SUM(BW15,CA15)&gt;0,SUM(BU15:BV15,BX15:BZ15,CB15)-SUM(BW15,CA15),"")</f>
        <v/>
      </c>
      <c r="CH15" s="40" t="str">
        <f>IF(SUM(CE15,CG15)&gt;0,SUM(CE15,CG15),"")</f>
        <v/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8.35</v>
      </c>
      <c r="PJ15" s="22">
        <f>IF($CC15="P",BN15,(BN15+AR15)/2)</f>
        <v>1.7</v>
      </c>
      <c r="PK15" s="22">
        <f>IF($CC15="P",BO15,(BO15+AS15)/2)</f>
        <v>0.1</v>
      </c>
      <c r="PL15" s="22">
        <f>IF($CC15="P",BP15,(BP15+AT15)/2)</f>
        <v>0</v>
      </c>
      <c r="PM15" s="22">
        <f>IF($CC15="P",BQ15,(BQ15+AU15)/2)</f>
        <v>8.4</v>
      </c>
      <c r="PN15" s="22">
        <f>IF($CC15="P",BR15,(BR15+AV15)/2)</f>
        <v>1.55</v>
      </c>
      <c r="PO15" s="22">
        <f>IF($CC15="P",BS15,(BS15+AW15)/2)</f>
        <v>0</v>
      </c>
      <c r="PP15" s="22">
        <f>IF($CC15="P",BT15,(BT15+AX15)/2)</f>
        <v>0</v>
      </c>
      <c r="PQ15" s="22">
        <f>IF($CC15="P",BU15,(BU15+AY15)/2)</f>
        <v>8.5500000000000007</v>
      </c>
      <c r="PR15" s="22">
        <f>IF($CC15="P",BV15,(BV15+AZ15)/2)</f>
        <v>1.7</v>
      </c>
      <c r="PS15" s="22">
        <f>IF($CC15="P",BW15,(BW15+BA15)/2)</f>
        <v>0</v>
      </c>
      <c r="PT15" s="22">
        <f>IF($CC15="P",BX15,(BX15+BB15)/2)</f>
        <v>0</v>
      </c>
      <c r="PU15" s="22">
        <f>IF($CC15="P",BY15,(BY15+BC15)/2)</f>
        <v>8.65</v>
      </c>
      <c r="PV15" s="22">
        <f>IF($CC15="P",BZ15,(BZ15+BD15)/2)</f>
        <v>1.45</v>
      </c>
      <c r="PW15" s="22">
        <f>IF($CC15="P",CA15,(CA15+BE15)/2)</f>
        <v>0.05</v>
      </c>
      <c r="PX15" s="22">
        <f>IF($CC15="P",CB15,(CB15+BF15)/2)</f>
        <v>0</v>
      </c>
      <c r="PY15" s="27" t="s">
        <v>46</v>
      </c>
      <c r="PZ15" s="40">
        <f>IF(SUM(PJ15,PN15)&gt;0,SUM(PJ15,PN15),"")</f>
        <v>3.25</v>
      </c>
      <c r="QA15" s="40">
        <f>IF(SUM(PI15:PJ15,PL15:PN15,PP15)-PK15-PO15&gt;0,SUM(PI15:PJ15,PL15:PN15,PP15)-PK15-PO15,"")</f>
        <v>19.899999999999999</v>
      </c>
      <c r="QB15" s="40">
        <f>IF(SUM(PR15,PV15)&gt;0,SUM(PR15,PV15),"")</f>
        <v>3.15</v>
      </c>
      <c r="QC15" s="40">
        <f>IF(SUM(PQ15:PR15,PT15:PV15,PX15)-SUM(PS15,PW15)&gt;0,SUM(PQ15:PR15,PT15:PV15,PX15)-SUM(PS15,PW15),"")</f>
        <v>20.299999999999997</v>
      </c>
      <c r="QD15" s="40">
        <f>IF(SUM(QA15,QC15)&gt;0,SUM(QA15,QC15),"")</f>
        <v>40.199999999999996</v>
      </c>
    </row>
    <row r="16" spans="1:446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171</v>
      </c>
      <c r="D16" s="4" t="s">
        <v>6</v>
      </c>
      <c r="E16" s="4">
        <v>2004</v>
      </c>
      <c r="F16" s="9">
        <f>SUM(L16:R16)+SUM(L16:O16)*0.0000001+SUM(L16)*0.0000000000001</f>
        <v>112.30000734000372</v>
      </c>
      <c r="G16" s="64"/>
      <c r="H16" s="3" t="str">
        <f>IF(OR(AND(AL16&gt;=AP$21,AM16&gt;=AP$25,AL16&lt;&gt;"",AK16=""),AND(AN16&gt;=AP$21,AO16&gt;=AP$25,AN16&lt;&gt;"",AK16=""),AND(BH16&gt;=BL$21,BI16&gt;=BL$25,BH16&lt;&gt;"",BG16=""),AND(BJ16&gt;=BL$21,BK16&gt;=BL$25,BJ16&lt;&gt;"",BG16=""),AND(CD16&gt;=CH$21,CE16&gt;=CH$25,CD16&lt;&gt;"",CC16=""),AND(CF16&gt;=CH$21,CG16&gt;=CH$25,CF16&lt;&gt;""),AND(DE16&gt;=DL$21,DF16&gt;=DL$25,DE16&lt;&gt;""),AND(DJ16&gt;=DL$21,DK16&gt;=DL$25,DJ16&lt;&gt;""),AND(EG16&gt;=EN$21,EH16&gt;=EN$25,EG16&lt;&gt;""),AND(EL16&gt;=EN$21,EM16&gt;=EN$25,EL16&lt;&gt;""),AND(FI16&gt;=FP$21,FJ16&gt;=FP$25,FI16&lt;&gt;""),AND(FN16&gt;=FP$21,FO16&gt;=FP$25,FN16&lt;&gt;""),AND(GK16&gt;=GR$21,GL16&gt;=GR$25,GK16&lt;&gt;""),AND(GP16&gt;=GR$21,GQ16&gt;=GR$25,GP16&lt;&gt;""),AND(HM16&gt;=HT$21,HN16&gt;=HT$25,HM16&lt;&gt;""),AND(HR16&gt;=HT$21,HS16&gt;=HT$25,HR16&lt;&gt;""),AND(IO16&gt;=IV$21,IP16&gt;=IV$25,IO16&lt;&gt;""),AND(IT16&gt;=IV$21,IU16&gt;=IV$25,IT16&lt;&gt;""),AND(JQ16&gt;=JX$21,JR16&gt;=JX$25,JQ16&lt;&gt;""),AND(JV16&gt;=JX$21,JW16&gt;=JX$25,JV16&lt;&gt;""),AND(KS16&gt;=KZ$21,KT16&gt;=KZ$25,KS16&lt;&gt;""),AND(KX16&gt;=KZ$21,KY16&gt;=KZ$25,KX16&lt;&gt;""),AND(LU16&gt;=MB$21,LV16&gt;=MB$25,LU16&lt;&gt;""),AND(LZ16&gt;=MB$21,MA16&gt;=MB$25,LZ16&lt;&gt;""),AND(MW16&gt;=ND$21,MX16&gt;=ND$25,MW16&lt;&gt;""),AND(NB16&gt;=ND$21,NC16&gt;=ND$25,NB16&lt;&gt;""),AND(NY16&gt;=OF$21,NZ16&gt;=OF$25,NY16&lt;&gt;""),AND(OD16&gt;=OF$21,OE16&gt;=OF$25,OD16&lt;&gt;""),AND(PA16&gt;=PH$21,PB16&gt;=PH$25,PA16&lt;&gt;""),AND(PF16&gt;=PH$21,PG16&gt;=PH$25,PF16&lt;&gt;"")),"P","")</f>
        <v/>
      </c>
      <c r="I16" s="3" t="str">
        <f>IF(OR(AND(AM16&gt;=AP$25,AM16&lt;&gt;"",AK16=""),AND(AO16&gt;=AP$25,AO16&lt;&gt;"",AK16=""),AND(BI16&gt;=BL$25,BI16&lt;&gt;"",BG16=""),AND(BK16&gt;=BL$25,BK16&lt;&gt;"",BG16=""),AND(CE16&gt;=CH$25,CE16&lt;&gt;"",CC16=""),AND(CG16&gt;=CH$25,CG16&lt;&gt;"",CC16=""),AND(DF16&gt;=DL$25,DF16&lt;&gt;""),AND(DK16&gt;=DL$25,DK16&lt;&gt;""),AND(EH16&gt;=EN$25,EH16&lt;&gt;""),AND(EM16&gt;=EN$25,EM16&lt;&gt;""),AND(FJ16&gt;=FP$25,FJ16&lt;&gt;""),AND(FO16&gt;=FP$25,FO16&lt;&gt;""),AND(GL16&gt;=GR$25,GL16&lt;&gt;""),AND(GQ16&gt;=GR$25,GQ16&lt;&gt;""),AND(HN16&gt;=HT$25,HN16&lt;&gt;""),AND(HS16&gt;=HT$25,HS16&lt;&gt;""),AND(IP16&gt;=IV$25,IP16&lt;&gt;""),AND(IU16&gt;=IV$25,IU16&lt;&gt;""),AND(JR16&gt;=JX$25,JR16&lt;&gt;""),AND(JW16&gt;=JX$25,JW16&lt;&gt;""),AND(KT16&gt;=KZ$25,KT16&lt;&gt;""),AND(KY16&gt;=KZ$25,KY16&lt;&gt;""),AND(LV16&gt;=MB$25,LV16&lt;&gt;""),AND(MA16&gt;=MB$25,MA16&lt;&gt;""),AND(MX16&gt;=ND$25,MX16&lt;&gt;""),AND(NC16&gt;=ND$25,NC16&lt;&gt;""),AND(NZ16&gt;=OF$25,NZ16&lt;&gt;""),AND(OE16&gt;=OF$25,OE16&lt;&gt;""),AND(PB16&gt;=PH$25,PB16&lt;&gt;""),AND(PG16&gt;=PH$25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37.100000000000009</v>
      </c>
      <c r="M16" s="8" t="str">
        <f>IF(L16=0,"",IF(L16=CE16,$BM$1,IF(L16=BI16,$AQ$1,IF(L16=AM16,$U$1,""))))</f>
        <v>2025 Nationals</v>
      </c>
      <c r="N16" s="8">
        <f>IF(COUNT(AM16,BI16,CE16)&gt;1,LARGE((AM16,BI16,CE16),2),0)</f>
        <v>36.299999999999997</v>
      </c>
      <c r="O16" s="8" t="str">
        <f>IF(N16=0,"",IF(AND(N16=L16,N16=AM16,N16=BI16),$U$1,IF(AND(N16=L16,N16=AM16,N16=CE16),$U$1,IF(AND(N16=L16,N16=BI16,N16=CE16),$AQ$1,IF(N16=CE16,$BM$1,IF(N16=BI16,$AQ$1,IF(N16=AM16,$U$1,"")))))))</f>
        <v>2025 Elite Canada</v>
      </c>
      <c r="P16" s="8">
        <f>IF(MAX(AO16,BK16,CG16)&gt;0,MAX(AO16,BK16,CG16),0)</f>
        <v>38.9</v>
      </c>
      <c r="Q16" s="8" t="str">
        <f>IF(P16=0,"",IF(P16=CG16,$BM$1,IF(P16=BK16,$AQ$1,IF(P16=AO16,$U$1,""))))</f>
        <v>2025 Elite Canada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15.7</v>
      </c>
      <c r="V16" s="19">
        <v>1.5</v>
      </c>
      <c r="W16" s="19">
        <v>0</v>
      </c>
      <c r="X16" s="19">
        <v>0</v>
      </c>
      <c r="Y16" s="19">
        <v>16.899999999999999</v>
      </c>
      <c r="Z16" s="19">
        <v>2.6</v>
      </c>
      <c r="AA16" s="19">
        <v>0.4</v>
      </c>
      <c r="AB16" s="19">
        <v>0</v>
      </c>
      <c r="AC16" s="19">
        <v>16.3</v>
      </c>
      <c r="AD16" s="19">
        <v>3.7</v>
      </c>
      <c r="AE16" s="19">
        <v>0.2</v>
      </c>
      <c r="AF16" s="19">
        <v>0</v>
      </c>
      <c r="AG16" s="19">
        <v>15.5</v>
      </c>
      <c r="AH16" s="19">
        <v>3.6</v>
      </c>
      <c r="AI16" s="19">
        <v>0</v>
      </c>
      <c r="AJ16" s="19">
        <v>0</v>
      </c>
      <c r="AK16" s="27"/>
      <c r="AL16" s="40">
        <f>IF(SUM(V16,Z16)&gt;0,SUM(V16,Z16),"")</f>
        <v>4.0999999999999996</v>
      </c>
      <c r="AM16" s="40">
        <f>IF(SUM(U16:V16,X16:Z16,AB16)-W16-AA16&gt;0,SUM(U16:V16,X16:Z16,AB16)-W16-AA16,"")</f>
        <v>36.299999999999997</v>
      </c>
      <c r="AN16" s="40">
        <f>IF(SUM(AD16,AH16)&gt;0,SUM(AD16,AH16),"")</f>
        <v>7.3000000000000007</v>
      </c>
      <c r="AO16" s="40">
        <f>IF(SUM(AC16:AD16,AF16:AH16,AJ16)-SUM(AE16,AI16)&gt;0,SUM(AC16:AD16,AF16:AH16,AJ16)-SUM(AE16,AI16),"")</f>
        <v>38.9</v>
      </c>
      <c r="AP16" s="40">
        <f>IF(SUM(AM16,AO16)&gt;0,SUM(AM16,AO16),"")</f>
        <v>75.199999999999989</v>
      </c>
      <c r="AQ16" s="18">
        <v>17.100000000000001</v>
      </c>
      <c r="AR16" s="18">
        <v>2.5</v>
      </c>
      <c r="AS16" s="18">
        <v>0.5</v>
      </c>
      <c r="AT16" s="18">
        <v>0</v>
      </c>
      <c r="AU16" s="18">
        <v>16.3</v>
      </c>
      <c r="AV16" s="18">
        <v>1.7</v>
      </c>
      <c r="AW16" s="18">
        <v>0</v>
      </c>
      <c r="AX16" s="18">
        <v>0</v>
      </c>
      <c r="AY16" s="18">
        <v>17.100000000000001</v>
      </c>
      <c r="AZ16" s="18">
        <v>2.5</v>
      </c>
      <c r="BA16" s="18">
        <v>0.5</v>
      </c>
      <c r="BB16" s="18">
        <v>0</v>
      </c>
      <c r="BC16" s="18">
        <v>17.399999999999999</v>
      </c>
      <c r="BD16" s="18">
        <v>2.2999999999999998</v>
      </c>
      <c r="BE16" s="18">
        <v>0.7</v>
      </c>
      <c r="BF16" s="18">
        <v>0</v>
      </c>
      <c r="BG16" s="28"/>
      <c r="BH16" s="11">
        <f>IF(SUM(AR16,AV16)&gt;0,SUM(AR16,AV16),"")</f>
        <v>4.2</v>
      </c>
      <c r="BI16" s="11">
        <f>IF(SUM(AQ16:AR16,AT16:AV16,AX16)-AS16-AW16&gt;0,SUM(AQ16:AR16,AT16:AV16,AX16)-AS16-AW16,"")</f>
        <v>37.100000000000009</v>
      </c>
      <c r="BJ16" s="11">
        <f>IF(SUM(AZ16,BD16)&gt;0,SUM(AZ16,BD16),"")</f>
        <v>4.8</v>
      </c>
      <c r="BK16" s="11">
        <f>IF(SUM(AY16:AZ16,BB16:BD16,BF16)-SUM(BA16,BE16)&gt;0,SUM(AY16:AZ16,BB16:BD16,BF16)-SUM(BA16,BE16),"")</f>
        <v>38.099999999999994</v>
      </c>
      <c r="BL16" s="11">
        <f>IF(SUM(BI16,BK16)&gt;0,SUM(BI16,BK16),"")</f>
        <v>75.2</v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>IF(SUM(BN16,BR16)&gt;0,SUM(BN16,BR16),"")</f>
        <v/>
      </c>
      <c r="CE16" s="40" t="str">
        <f>IF(SUM(BM16:BN16,BP16:BR16,BT16)-BO16-BS16&gt;0,SUM(BM16:BN16,BP16:BR16,BT16)-BO16-BS16,"")</f>
        <v/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 t="str">
        <f>IF(SUM(CE16,CG16)&gt;0,SUM(CE16,CG16),"")</f>
        <v/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8.5500000000000007</v>
      </c>
      <c r="PJ16" s="22">
        <f>IF($CC16="P",BN16,(BN16+AR16)/2)</f>
        <v>1.25</v>
      </c>
      <c r="PK16" s="22">
        <f>IF($CC16="P",BO16,(BO16+AS16)/2)</f>
        <v>0.25</v>
      </c>
      <c r="PL16" s="22">
        <f>IF($CC16="P",BP16,(BP16+AT16)/2)</f>
        <v>0</v>
      </c>
      <c r="PM16" s="22">
        <f>IF($CC16="P",BQ16,(BQ16+AU16)/2)</f>
        <v>8.15</v>
      </c>
      <c r="PN16" s="22">
        <f>IF($CC16="P",BR16,(BR16+AV16)/2)</f>
        <v>0.85</v>
      </c>
      <c r="PO16" s="22">
        <f>IF($CC16="P",BS16,(BS16+AW16)/2)</f>
        <v>0</v>
      </c>
      <c r="PP16" s="22">
        <f>IF($CC16="P",BT16,(BT16+AX16)/2)</f>
        <v>0</v>
      </c>
      <c r="PQ16" s="22">
        <f>IF($CC16="P",BU16,(BU16+AY16)/2)</f>
        <v>8.5500000000000007</v>
      </c>
      <c r="PR16" s="22">
        <f>IF($CC16="P",BV16,(BV16+AZ16)/2)</f>
        <v>1.25</v>
      </c>
      <c r="PS16" s="22">
        <f>IF($CC16="P",BW16,(BW16+BA16)/2)</f>
        <v>0.25</v>
      </c>
      <c r="PT16" s="22">
        <f>IF($CC16="P",BX16,(BX16+BB16)/2)</f>
        <v>0</v>
      </c>
      <c r="PU16" s="22">
        <f>IF($CC16="P",BY16,(BY16+BC16)/2)</f>
        <v>8.6999999999999993</v>
      </c>
      <c r="PV16" s="22">
        <f>IF($CC16="P",BZ16,(BZ16+BD16)/2)</f>
        <v>1.1499999999999999</v>
      </c>
      <c r="PW16" s="22">
        <f>IF($CC16="P",CA16,(CA16+BE16)/2)</f>
        <v>0.35</v>
      </c>
      <c r="PX16" s="22">
        <f>IF($CC16="P",CB16,(CB16+BF16)/2)</f>
        <v>0</v>
      </c>
      <c r="PY16" s="27" t="s">
        <v>46</v>
      </c>
      <c r="PZ16" s="40">
        <f>IF(SUM(PJ16,PN16)&gt;0,SUM(PJ16,PN16),"")</f>
        <v>2.1</v>
      </c>
      <c r="QA16" s="40">
        <f>IF(SUM(PI16:PJ16,PL16:PN16,PP16)-PK16-PO16&gt;0,SUM(PI16:PJ16,PL16:PN16,PP16)-PK16-PO16,"")</f>
        <v>18.550000000000004</v>
      </c>
      <c r="QB16" s="40">
        <f>IF(SUM(PR16,PV16)&gt;0,SUM(PR16,PV16),"")</f>
        <v>2.4</v>
      </c>
      <c r="QC16" s="40">
        <f>IF(SUM(PQ16:PR16,PT16:PV16,PX16)-SUM(PS16,PW16)&gt;0,SUM(PQ16:PR16,PT16:PV16,PX16)-SUM(PS16,PW16),"")</f>
        <v>19.049999999999997</v>
      </c>
      <c r="QD16" s="40">
        <f>IF(SUM(QA16,QC16)&gt;0,SUM(QA16,QC16),"")</f>
        <v>37.6</v>
      </c>
    </row>
    <row r="17" spans="1:446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110</v>
      </c>
      <c r="D17" s="4" t="s">
        <v>4</v>
      </c>
      <c r="E17" s="4">
        <v>2005</v>
      </c>
      <c r="F17" s="9">
        <f>SUM(L17:R17)+SUM(L17:O17)*0.0000001+SUM(L17)*0.0000000000001</f>
        <v>73.700003380003366</v>
      </c>
      <c r="G17" s="64"/>
      <c r="H17" s="3" t="str">
        <f>IF(OR(AND(AL17&gt;=AP$21,AM17&gt;=AP$25,AL17&lt;&gt;"",AK17=""),AND(AN17&gt;=AP$21,AO17&gt;=AP$25,AN17&lt;&gt;"",AK17=""),AND(BH17&gt;=BL$21,BI17&gt;=BL$25,BH17&lt;&gt;"",BG17=""),AND(BJ17&gt;=BL$21,BK17&gt;=BL$25,BJ17&lt;&gt;"",BG17=""),AND(CD17&gt;=CH$21,CE17&gt;=CH$25,CD17&lt;&gt;"",CC17=""),AND(CF17&gt;=CH$21,CG17&gt;=CH$25,CF17&lt;&gt;""),AND(DE17&gt;=DL$21,DF17&gt;=DL$25,DE17&lt;&gt;""),AND(DJ17&gt;=DL$21,DK17&gt;=DL$25,DJ17&lt;&gt;""),AND(EG17&gt;=EN$21,EH17&gt;=EN$25,EG17&lt;&gt;""),AND(EL17&gt;=EN$21,EM17&gt;=EN$25,EL17&lt;&gt;""),AND(FI17&gt;=FP$21,FJ17&gt;=FP$25,FI17&lt;&gt;""),AND(FN17&gt;=FP$21,FO17&gt;=FP$25,FN17&lt;&gt;""),AND(GK17&gt;=GR$21,GL17&gt;=GR$25,GK17&lt;&gt;""),AND(GP17&gt;=GR$21,GQ17&gt;=GR$25,GP17&lt;&gt;""),AND(HM17&gt;=HT$21,HN17&gt;=HT$25,HM17&lt;&gt;""),AND(HR17&gt;=HT$21,HS17&gt;=HT$25,HR17&lt;&gt;""),AND(IO17&gt;=IV$21,IP17&gt;=IV$25,IO17&lt;&gt;""),AND(IT17&gt;=IV$21,IU17&gt;=IV$25,IT17&lt;&gt;""),AND(JQ17&gt;=JX$21,JR17&gt;=JX$25,JQ17&lt;&gt;""),AND(JV17&gt;=JX$21,JW17&gt;=JX$25,JV17&lt;&gt;""),AND(KS17&gt;=KZ$21,KT17&gt;=KZ$25,KS17&lt;&gt;""),AND(KX17&gt;=KZ$21,KY17&gt;=KZ$25,KX17&lt;&gt;""),AND(LU17&gt;=MB$21,LV17&gt;=MB$25,LU17&lt;&gt;""),AND(LZ17&gt;=MB$21,MA17&gt;=MB$25,LZ17&lt;&gt;""),AND(MW17&gt;=ND$21,MX17&gt;=ND$25,MW17&lt;&gt;""),AND(NB17&gt;=ND$21,NC17&gt;=ND$25,NB17&lt;&gt;""),AND(NY17&gt;=OF$21,NZ17&gt;=OF$25,NY17&lt;&gt;""),AND(OD17&gt;=OF$21,OE17&gt;=OF$25,OD17&lt;&gt;""),AND(PA17&gt;=PH$21,PB17&gt;=PH$25,PA17&lt;&gt;""),AND(PF17&gt;=PH$21,PG17&gt;=PH$25,PF17&lt;&gt;"")),"P","")</f>
        <v/>
      </c>
      <c r="I17" s="3" t="str">
        <f>IF(OR(AND(AM17&gt;=AP$25,AM17&lt;&gt;"",AK17=""),AND(AO17&gt;=AP$25,AO17&lt;&gt;"",AK17=""),AND(BI17&gt;=BL$25,BI17&lt;&gt;"",BG17=""),AND(BK17&gt;=BL$25,BK17&lt;&gt;"",BG17=""),AND(CE17&gt;=CH$25,CE17&lt;&gt;"",CC17=""),AND(CG17&gt;=CH$25,CG17&lt;&gt;"",CC17=""),AND(DF17&gt;=DL$25,DF17&lt;&gt;""),AND(DK17&gt;=DL$25,DK17&lt;&gt;""),AND(EH17&gt;=EN$25,EH17&lt;&gt;""),AND(EM17&gt;=EN$25,EM17&lt;&gt;""),AND(FJ17&gt;=FP$25,FJ17&lt;&gt;""),AND(FO17&gt;=FP$25,FO17&lt;&gt;""),AND(GL17&gt;=GR$25,GL17&lt;&gt;""),AND(GQ17&gt;=GR$25,GQ17&lt;&gt;""),AND(HN17&gt;=HT$25,HN17&lt;&gt;""),AND(HS17&gt;=HT$25,HS17&lt;&gt;""),AND(IP17&gt;=IV$25,IP17&lt;&gt;""),AND(IU17&gt;=IV$25,IU17&lt;&gt;""),AND(JR17&gt;=JX$25,JR17&lt;&gt;""),AND(JW17&gt;=JX$25,JW17&lt;&gt;""),AND(KT17&gt;=KZ$25,KT17&lt;&gt;""),AND(KY17&gt;=KZ$25,KY17&lt;&gt;""),AND(LV17&gt;=MB$25,LV17&lt;&gt;""),AND(MA17&gt;=MB$25,MA17&lt;&gt;""),AND(MX17&gt;=ND$25,MX17&lt;&gt;""),AND(NC17&gt;=ND$25,NC17&lt;&gt;""),AND(NZ17&gt;=OF$25,NZ17&lt;&gt;""),AND(OE17&gt;=OF$25,OE17&lt;&gt;""),AND(PB17&gt;=PH$25,PB17&lt;&gt;""),AND(PG17&gt;=PH$25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33.799999999999997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0</v>
      </c>
      <c r="O17" s="8" t="str">
        <f>IF(N17=0,"",IF(AND(N17=L17,N17=AM17,N17=BI17),$U$1,IF(AND(N17=L17,N17=AM17,N17=CE17),$U$1,IF(AND(N17=L17,N17=BI17,N17=CE17),$AQ$1,IF(N17=CE17,$BM$1,IF(N17=BI17,$AQ$1,IF(N17=AM17,$U$1,"")))))))</f>
        <v/>
      </c>
      <c r="P17" s="8">
        <f>IF(MAX(AO17,BK17,CG17)&gt;0,MAX(AO17,BK17,CG17),0)</f>
        <v>0</v>
      </c>
      <c r="Q17" s="8" t="str">
        <f>IF(P17=0,"",IF(P17=CG17,$BM$1,IF(P17=BK17,$AQ$1,IF(P17=AO17,$U$1,""))))</f>
        <v/>
      </c>
      <c r="R17" s="8">
        <f>IF(MAX(CI17:CJ17)&gt;0,MAX(CI17:CJ17),"")</f>
        <v>39.9</v>
      </c>
      <c r="S17" s="11" t="str">
        <f>IF(R17="","",IF(R17=CI17,"("&amp;CI$2&amp;")",IF(R17=CJ17,"("&amp;CJ$2&amp;")")))</f>
        <v>(Q1)</v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>2025 WAGC (Nov 16)</v>
      </c>
      <c r="U17" s="19">
        <v>16.100000000000001</v>
      </c>
      <c r="V17" s="19">
        <v>4.2</v>
      </c>
      <c r="W17" s="19">
        <v>0.2</v>
      </c>
      <c r="X17" s="19">
        <v>0</v>
      </c>
      <c r="Y17" s="19">
        <v>10.6</v>
      </c>
      <c r="Z17" s="19">
        <v>2.4</v>
      </c>
      <c r="AA17" s="19">
        <v>0</v>
      </c>
      <c r="AB17" s="19">
        <v>0.7</v>
      </c>
      <c r="AC17" s="19"/>
      <c r="AD17" s="19"/>
      <c r="AE17" s="19"/>
      <c r="AF17" s="19"/>
      <c r="AG17" s="19"/>
      <c r="AH17" s="19"/>
      <c r="AI17" s="19"/>
      <c r="AJ17" s="19"/>
      <c r="AK17" s="27"/>
      <c r="AL17" s="40">
        <f>IF(SUM(V17,Z17)&gt;0,SUM(V17,Z17),"")</f>
        <v>6.6</v>
      </c>
      <c r="AM17" s="40">
        <f>IF(SUM(U17:V17,X17:Z17,AB17)-W17-AA17&gt;0,SUM(U17:V17,X17:Z17,AB17)-W17-AA17,"")</f>
        <v>33.799999999999997</v>
      </c>
      <c r="AN17" s="40" t="str">
        <f>IF(SUM(AD17,AH17)&gt;0,SUM(AD17,AH17),"")</f>
        <v/>
      </c>
      <c r="AO17" s="40" t="str">
        <f>IF(SUM(AC17:AD17,AF17:AH17,AJ17)-SUM(AE17,AI17)&gt;0,SUM(AC17:AD17,AF17:AH17,AJ17)-SUM(AE17,AI17),"")</f>
        <v/>
      </c>
      <c r="AP17" s="40">
        <f>IF(SUM(AM17,AO17)&gt;0,SUM(AM17,AO17),"")</f>
        <v>33.799999999999997</v>
      </c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28"/>
      <c r="BH17" s="11" t="str">
        <f>IF(SUM(AR17,AV17)&gt;0,SUM(AR17,AV17),"")</f>
        <v/>
      </c>
      <c r="BI17" s="11" t="str">
        <f>IF(SUM(AQ17:AR17,AT17:AV17,AX17)-AS17-AW17&gt;0,SUM(AQ17:AR17,AT17:AV17,AX17)-AS17-AW17,"")</f>
        <v/>
      </c>
      <c r="BJ17" s="11" t="str">
        <f>IF(SUM(AZ17,BD17)&gt;0,SUM(AZ17,BD17),"")</f>
        <v/>
      </c>
      <c r="BK17" s="11" t="str">
        <f>IF(SUM(AY17:AZ17,BB17:BD17,BF17)-SUM(BA17,BE17)&gt;0,SUM(AY17:AZ17,BB17:BD17,BF17)-SUM(BA17,BE17),"")</f>
        <v/>
      </c>
      <c r="BL17" s="11" t="str">
        <f>IF(SUM(BI17,BK17)&gt;0,SUM(BI17,BK17),"")</f>
        <v/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>IF(SUM(BN17,BR17)&gt;0,SUM(BN17,BR17),"")</f>
        <v/>
      </c>
      <c r="CE17" s="40" t="str">
        <f>IF(SUM(BM17:BN17,BP17:BR17,BT17)-BO17-BS17&gt;0,SUM(BM17:BN17,BP17:BR17,BT17)-BO17-BS17,"")</f>
        <v/>
      </c>
      <c r="CF17" s="40" t="str">
        <f>IF(SUM(BV17,BZ17)&gt;0,SUM(BV17,BZ17),"")</f>
        <v/>
      </c>
      <c r="CG17" s="40" t="str">
        <f>IF(SUM(BU17:BV17,BX17:BZ17,CB17)-SUM(BW17,CA17)&gt;0,SUM(BU17:BV17,BX17:BZ17,CB17)-SUM(BW17,CA17),"")</f>
        <v/>
      </c>
      <c r="CH17" s="40" t="str">
        <f>IF(SUM(CE17,CG17)&gt;0,SUM(CE17,CG17),"")</f>
        <v/>
      </c>
      <c r="CI17" s="50">
        <f>IF(MAX(DF17,EH17,FJ17,GL17,HN17,IP17,JR17,KT17,LV17,MX17,NZ17,PB17)-IF(N17="",0,N17)&gt;0.001,MAX(DF17,EH17,FJ17,GL17,HN17,IP17,JR17,KT17,LV17,MX17,NZ17,PB17)-IF(N17="",0,N17),"")</f>
        <v>39.9</v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>
        <v>15.9</v>
      </c>
      <c r="FR17" s="18">
        <v>3.9</v>
      </c>
      <c r="FS17" s="18">
        <v>0</v>
      </c>
      <c r="FT17" s="18">
        <v>0</v>
      </c>
      <c r="FU17" s="18">
        <v>16</v>
      </c>
      <c r="FV17" s="18">
        <v>4.0999999999999996</v>
      </c>
      <c r="FW17" s="18">
        <v>0</v>
      </c>
      <c r="FX17" s="18">
        <v>0</v>
      </c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>
        <f>IF(SUM(FR17,FV17)&gt;0,SUM(FR17,FV17),"")</f>
        <v>8</v>
      </c>
      <c r="GL17" s="11">
        <f>IF(SUM(FQ17:FR17,FT17:FV17,FX17)-FS17-FW17&gt;0,SUM(FQ17:FR17,FT17:FV17,FX17)-FS17-FW17,"")</f>
        <v>39.9</v>
      </c>
      <c r="GM17" s="11" t="str">
        <f>IF(SUM(FY17:FZ17,GB17)-GA17&gt;0,SUM(FY17:FZ17,GB17)-GA17,"")</f>
        <v/>
      </c>
      <c r="GN17" s="11">
        <f>IF(SUM(FR17,FV17,FZ17)&gt;0,SUM(FR17,FV17,FZ17),"")</f>
        <v>8</v>
      </c>
      <c r="GO17" s="11">
        <f>IF(SUM(GL17,GM17)&gt;0,SUM(GL17,GM17),"")</f>
        <v>39.9</v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>
        <f>IF(SUM(GL17,GM17,GQ17)&gt;0,SUM(GL17,GM17,GQ17),"")</f>
        <v>39.9</v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0</v>
      </c>
      <c r="PJ17" s="22">
        <f>IF($CC17="P",BN17,(BN17+AR17)/2)</f>
        <v>0</v>
      </c>
      <c r="PK17" s="22">
        <f>IF($CC17="P",BO17,(BO17+AS17)/2)</f>
        <v>0</v>
      </c>
      <c r="PL17" s="22">
        <f>IF($CC17="P",BP17,(BP17+AT17)/2)</f>
        <v>0</v>
      </c>
      <c r="PM17" s="22">
        <f>IF($CC17="P",BQ17,(BQ17+AU17)/2)</f>
        <v>0</v>
      </c>
      <c r="PN17" s="22">
        <f>IF($CC17="P",BR17,(BR17+AV17)/2)</f>
        <v>0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0</v>
      </c>
      <c r="PR17" s="22">
        <f>IF($CC17="P",BV17,(BV17+AZ17)/2)</f>
        <v>0</v>
      </c>
      <c r="PS17" s="22">
        <f>IF($CC17="P",BW17,(BW17+BA17)/2)</f>
        <v>0</v>
      </c>
      <c r="PT17" s="22">
        <f>IF($CC17="P",BX17,(BX17+BB17)/2)</f>
        <v>0</v>
      </c>
      <c r="PU17" s="22">
        <f>IF($CC17="P",BY17,(BY17+BC17)/2)</f>
        <v>0</v>
      </c>
      <c r="PV17" s="22">
        <f>IF($CC17="P",BZ17,(BZ17+BD17)/2)</f>
        <v>0</v>
      </c>
      <c r="PW17" s="22">
        <f>IF($CC17="P",CA17,(CA17+BE17)/2)</f>
        <v>0</v>
      </c>
      <c r="PX17" s="22">
        <f>IF($CC17="P",CB17,(CB17+BF17)/2)</f>
        <v>0</v>
      </c>
      <c r="PY17" s="27" t="s">
        <v>46</v>
      </c>
      <c r="PZ17" s="40" t="str">
        <f>IF(SUM(PJ17,PN17)&gt;0,SUM(PJ17,PN17),"")</f>
        <v/>
      </c>
      <c r="QA17" s="40" t="str">
        <f>IF(SUM(PI17:PJ17,PL17:PN17,PP17)-PK17-PO17&gt;0,SUM(PI17:PJ17,PL17:PN17,PP17)-PK17-PO17,"")</f>
        <v/>
      </c>
      <c r="QB17" s="40" t="str">
        <f>IF(SUM(PR17,PV17)&gt;0,SUM(PR17,PV17),"")</f>
        <v/>
      </c>
      <c r="QC17" s="40" t="str">
        <f>IF(SUM(PQ17:PR17,PT17:PV17,PX17)-SUM(PS17,PW17)&gt;0,SUM(PQ17:PR17,PT17:PV17,PX17)-SUM(PS17,PW17),"")</f>
        <v/>
      </c>
      <c r="QD17" s="40" t="str">
        <f>IF(SUM(QA17,QC17)&gt;0,SUM(QA17,QC17),"")</f>
        <v/>
      </c>
    </row>
    <row r="18" spans="1:446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163</v>
      </c>
      <c r="D18" s="4" t="s">
        <v>3</v>
      </c>
      <c r="E18" s="4">
        <v>2008</v>
      </c>
      <c r="F18" s="9">
        <f>SUM(L18:R18)+SUM(L18:O18)*0.0000001+SUM(L18)*0.0000000000001</f>
        <v>33.000003300003293</v>
      </c>
      <c r="G18" s="64"/>
      <c r="H18" s="3" t="str">
        <f>IF(OR(AND(AL18&gt;=AP$21,AM18&gt;=AP$25,AL18&lt;&gt;"",AK18=""),AND(AN18&gt;=AP$21,AO18&gt;=AP$25,AN18&lt;&gt;"",AK18=""),AND(BH18&gt;=BL$21,BI18&gt;=BL$25,BH18&lt;&gt;"",BG18=""),AND(BJ18&gt;=BL$21,BK18&gt;=BL$25,BJ18&lt;&gt;"",BG18=""),AND(CD18&gt;=CH$21,CE18&gt;=CH$25,CD18&lt;&gt;"",CC18=""),AND(CF18&gt;=CH$21,CG18&gt;=CH$25,CF18&lt;&gt;""),AND(DE18&gt;=DL$21,DF18&gt;=DL$25,DE18&lt;&gt;""),AND(DJ18&gt;=DL$21,DK18&gt;=DL$25,DJ18&lt;&gt;""),AND(EG18&gt;=EN$21,EH18&gt;=EN$25,EG18&lt;&gt;""),AND(EL18&gt;=EN$21,EM18&gt;=EN$25,EL18&lt;&gt;""),AND(FI18&gt;=FP$21,FJ18&gt;=FP$25,FI18&lt;&gt;""),AND(FN18&gt;=FP$21,FO18&gt;=FP$25,FN18&lt;&gt;""),AND(GK18&gt;=GR$21,GL18&gt;=GR$25,GK18&lt;&gt;""),AND(GP18&gt;=GR$21,GQ18&gt;=GR$25,GP18&lt;&gt;""),AND(HM18&gt;=HT$21,HN18&gt;=HT$25,HM18&lt;&gt;""),AND(HR18&gt;=HT$21,HS18&gt;=HT$25,HR18&lt;&gt;""),AND(IO18&gt;=IV$21,IP18&gt;=IV$25,IO18&lt;&gt;""),AND(IT18&gt;=IV$21,IU18&gt;=IV$25,IT18&lt;&gt;""),AND(JQ18&gt;=JX$21,JR18&gt;=JX$25,JQ18&lt;&gt;""),AND(JV18&gt;=JX$21,JW18&gt;=JX$25,JV18&lt;&gt;""),AND(KS18&gt;=KZ$21,KT18&gt;=KZ$25,KS18&lt;&gt;""),AND(KX18&gt;=KZ$21,KY18&gt;=KZ$25,KX18&lt;&gt;""),AND(LU18&gt;=MB$21,LV18&gt;=MB$25,LU18&lt;&gt;""),AND(LZ18&gt;=MB$21,MA18&gt;=MB$25,LZ18&lt;&gt;""),AND(MW18&gt;=ND$21,MX18&gt;=ND$25,MW18&lt;&gt;""),AND(NB18&gt;=ND$21,NC18&gt;=ND$25,NB18&lt;&gt;""),AND(NY18&gt;=OF$21,NZ18&gt;=OF$25,NY18&lt;&gt;""),AND(OD18&gt;=OF$21,OE18&gt;=OF$25,OD18&lt;&gt;""),AND(PA18&gt;=PH$21,PB18&gt;=PH$25,PA18&lt;&gt;""),AND(PF18&gt;=PH$21,PG18&gt;=PH$25,PF18&lt;&gt;"")),"P","")</f>
        <v/>
      </c>
      <c r="I18" s="3" t="str">
        <f>IF(OR(AND(AM18&gt;=AP$25,AM18&lt;&gt;"",AK18=""),AND(AO18&gt;=AP$25,AO18&lt;&gt;"",AK18=""),AND(BI18&gt;=BL$25,BI18&lt;&gt;"",BG18=""),AND(BK18&gt;=BL$25,BK18&lt;&gt;"",BG18=""),AND(CE18&gt;=CH$25,CE18&lt;&gt;"",CC18=""),AND(CG18&gt;=CH$25,CG18&lt;&gt;"",CC18=""),AND(DF18&gt;=DL$25,DF18&lt;&gt;""),AND(DK18&gt;=DL$25,DK18&lt;&gt;""),AND(EH18&gt;=EN$25,EH18&lt;&gt;""),AND(EM18&gt;=EN$25,EM18&lt;&gt;""),AND(FJ18&gt;=FP$25,FJ18&lt;&gt;""),AND(FO18&gt;=FP$25,FO18&lt;&gt;""),AND(GL18&gt;=GR$25,GL18&lt;&gt;""),AND(GQ18&gt;=GR$25,GQ18&lt;&gt;""),AND(HN18&gt;=HT$25,HN18&lt;&gt;""),AND(HS18&gt;=HT$25,HS18&lt;&gt;""),AND(IP18&gt;=IV$25,IP18&lt;&gt;""),AND(IU18&gt;=IV$25,IU18&lt;&gt;""),AND(JR18&gt;=JX$25,JR18&lt;&gt;""),AND(JW18&gt;=JX$25,JW18&lt;&gt;""),AND(KT18&gt;=KZ$25,KT18&lt;&gt;""),AND(KY18&gt;=KZ$25,KY18&lt;&gt;""),AND(LV18&gt;=MB$25,LV18&lt;&gt;""),AND(MA18&gt;=MB$25,MA18&lt;&gt;""),AND(MX18&gt;=ND$25,MX18&lt;&gt;""),AND(NC18&gt;=ND$25,NC18&lt;&gt;""),AND(NZ18&gt;=OF$25,NZ18&lt;&gt;""),AND(OE18&gt;=OF$25,OE18&lt;&gt;""),AND(PB18&gt;=PH$25,PB18&lt;&gt;""),AND(PG18&gt;=PH$25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32.999999999999993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0</v>
      </c>
      <c r="O18" s="8" t="str">
        <f>IF(N18=0,"",IF(AND(N18=L18,N18=AM18,N18=BI18),$U$1,IF(AND(N18=L18,N18=AM18,N18=CE18),$U$1,IF(AND(N18=L18,N18=BI18,N18=CE18),$AQ$1,IF(N18=CE18,$BM$1,IF(N18=BI18,$AQ$1,IF(N18=AM18,$U$1,"")))))))</f>
        <v/>
      </c>
      <c r="P18" s="8">
        <f>IF(MAX(AO18,BK18,CG18)&gt;0,MAX(AO18,BK18,CG18),0)</f>
        <v>0</v>
      </c>
      <c r="Q18" s="8" t="str">
        <f>IF(P18=0,"",IF(P18=CG18,$BM$1,IF(P18=BK18,$AQ$1,IF(P18=AO18,$U$1,""))))</f>
        <v/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15.7</v>
      </c>
      <c r="V18" s="19">
        <v>1.9</v>
      </c>
      <c r="W18" s="19">
        <v>0</v>
      </c>
      <c r="X18" s="19">
        <v>0</v>
      </c>
      <c r="Y18" s="19">
        <v>16</v>
      </c>
      <c r="Z18" s="19">
        <v>2.4</v>
      </c>
      <c r="AA18" s="19">
        <v>3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27"/>
      <c r="AL18" s="40">
        <f>IF(SUM(V18,Z18)&gt;0,SUM(V18,Z18),"")</f>
        <v>4.3</v>
      </c>
      <c r="AM18" s="40">
        <f>IF(SUM(U18:V18,X18:Z18,AB18)-W18-AA18&gt;0,SUM(U18:V18,X18:Z18,AB18)-W18-AA18,"")</f>
        <v>32.999999999999993</v>
      </c>
      <c r="AN18" s="40" t="str">
        <f>IF(SUM(AD18,AH18)&gt;0,SUM(AD18,AH18),"")</f>
        <v/>
      </c>
      <c r="AO18" s="40" t="str">
        <f>IF(SUM(AC18:AD18,AF18:AH18,AJ18)-SUM(AE18,AI18)&gt;0,SUM(AC18:AD18,AF18:AH18,AJ18)-SUM(AE18,AI18),"")</f>
        <v/>
      </c>
      <c r="AP18" s="40">
        <f>IF(SUM(AM18,AO18)&gt;0,SUM(AM18,AO18),"")</f>
        <v>32.999999999999993</v>
      </c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28"/>
      <c r="BH18" s="11" t="str">
        <f>IF(SUM(AR18,AV18)&gt;0,SUM(AR18,AV18),"")</f>
        <v/>
      </c>
      <c r="BI18" s="11" t="str">
        <f>IF(SUM(AQ18:AR18,AT18:AV18,AX18)-AS18-AW18&gt;0,SUM(AQ18:AR18,AT18:AV18,AX18)-AS18-AW18,"")</f>
        <v/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 t="str">
        <f>IF(SUM(BI18,BK18)&gt;0,SUM(BI18,BK18),"")</f>
        <v/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0</v>
      </c>
      <c r="PJ18" s="22">
        <f>IF($CC18="P",BN18,(BN18+AR18)/2)</f>
        <v>0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0</v>
      </c>
      <c r="PN18" s="22">
        <f>IF($CC18="P",BR18,(BR18+AV18)/2)</f>
        <v>0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ht="17" x14ac:dyDescent="0.2">
      <c r="G19" s="64"/>
      <c r="R19" s="10"/>
      <c r="S19" s="10"/>
      <c r="T19" s="10"/>
    </row>
    <row r="20" spans="1:446" ht="17" x14ac:dyDescent="0.2">
      <c r="G20" s="64"/>
      <c r="R20" s="10"/>
      <c r="S20" s="10"/>
      <c r="T20" s="10"/>
    </row>
    <row r="21" spans="1:446" ht="17" x14ac:dyDescent="0.2">
      <c r="C21" s="23" t="s">
        <v>44</v>
      </c>
      <c r="G21" s="64"/>
      <c r="R21" s="10"/>
      <c r="S21" s="10"/>
      <c r="T21" s="10"/>
      <c r="AL21" s="4"/>
      <c r="AP21" s="42">
        <v>8.4</v>
      </c>
      <c r="BH21" s="4"/>
      <c r="BL21" s="42">
        <v>8.4</v>
      </c>
      <c r="CD21" s="4"/>
      <c r="CH21" s="42">
        <v>8.4</v>
      </c>
      <c r="DE21" s="4"/>
      <c r="DL21" s="42">
        <v>8.4</v>
      </c>
      <c r="EG21" s="4"/>
      <c r="EN21" s="42">
        <v>8.4</v>
      </c>
      <c r="FI21" s="4"/>
      <c r="FP21" s="42">
        <v>8.4</v>
      </c>
      <c r="GK21" s="4"/>
      <c r="GR21" s="42">
        <v>8.4</v>
      </c>
      <c r="HM21" s="4"/>
      <c r="HT21" s="42">
        <v>8.4</v>
      </c>
      <c r="IO21" s="4"/>
      <c r="IV21" s="42">
        <v>8.4</v>
      </c>
      <c r="JQ21" s="4"/>
      <c r="JX21" s="42">
        <v>8.4</v>
      </c>
      <c r="KS21" s="4"/>
      <c r="KZ21" s="42">
        <v>8.4</v>
      </c>
      <c r="LU21" s="4"/>
      <c r="MB21" s="42">
        <v>8.4</v>
      </c>
      <c r="MW21" s="4"/>
      <c r="ND21" s="42">
        <v>8.4</v>
      </c>
      <c r="NY21" s="4"/>
      <c r="OF21" s="42">
        <v>8.4</v>
      </c>
      <c r="PA21" s="4"/>
      <c r="PH21" s="42">
        <v>8.4</v>
      </c>
    </row>
    <row r="22" spans="1:446" ht="17" hidden="1" x14ac:dyDescent="0.2">
      <c r="C22" s="30" t="s">
        <v>43</v>
      </c>
      <c r="G22" s="64"/>
      <c r="R22" s="10"/>
      <c r="S22" s="10"/>
      <c r="T22" s="10"/>
      <c r="AL22" s="4"/>
      <c r="AP22" s="51">
        <v>1000</v>
      </c>
      <c r="BH22" s="4"/>
      <c r="BL22" s="51">
        <v>1000</v>
      </c>
      <c r="CD22" s="4"/>
      <c r="CH22" s="51">
        <v>1000</v>
      </c>
      <c r="DE22" s="4"/>
      <c r="DL22" s="51">
        <v>1000</v>
      </c>
      <c r="EG22" s="4"/>
      <c r="EN22" s="51">
        <v>1000</v>
      </c>
      <c r="FI22" s="4"/>
      <c r="FP22" s="51">
        <v>1000</v>
      </c>
      <c r="GK22" s="4"/>
      <c r="GR22" s="51">
        <v>1000</v>
      </c>
      <c r="HM22" s="4"/>
      <c r="HT22" s="51">
        <v>1000</v>
      </c>
      <c r="IO22" s="4"/>
      <c r="IV22" s="51">
        <v>1000</v>
      </c>
      <c r="JQ22" s="4"/>
      <c r="JX22" s="51">
        <v>1000</v>
      </c>
      <c r="KS22" s="4"/>
      <c r="KZ22" s="51">
        <v>1000</v>
      </c>
      <c r="LU22" s="4"/>
      <c r="MB22" s="51">
        <v>1000</v>
      </c>
      <c r="MW22" s="4"/>
      <c r="ND22" s="51">
        <v>1000</v>
      </c>
      <c r="NY22" s="4"/>
      <c r="OF22" s="51">
        <v>1000</v>
      </c>
      <c r="PA22" s="4"/>
      <c r="PH22" s="51">
        <v>1000</v>
      </c>
    </row>
    <row r="23" spans="1:446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L23" s="4"/>
      <c r="AP23" s="43">
        <v>1000</v>
      </c>
      <c r="BH23" s="4"/>
      <c r="BL23" s="43">
        <v>1000</v>
      </c>
      <c r="CD23" s="4"/>
      <c r="CH23" s="43">
        <v>1000</v>
      </c>
      <c r="DE23" s="4"/>
      <c r="DL23" s="43">
        <v>1000</v>
      </c>
      <c r="EG23" s="4"/>
      <c r="EN23" s="43">
        <v>1000</v>
      </c>
      <c r="FI23" s="4"/>
      <c r="FP23" s="43">
        <v>1000</v>
      </c>
      <c r="GK23" s="4"/>
      <c r="GR23" s="43">
        <v>1000</v>
      </c>
      <c r="HM23" s="4"/>
      <c r="HT23" s="43">
        <v>1000</v>
      </c>
      <c r="IO23" s="4"/>
      <c r="IV23" s="43">
        <v>1000</v>
      </c>
      <c r="JQ23" s="4"/>
      <c r="JX23" s="43">
        <v>1000</v>
      </c>
      <c r="KS23" s="4"/>
      <c r="KZ23" s="43">
        <v>1000</v>
      </c>
      <c r="LU23" s="4"/>
      <c r="MB23" s="43">
        <v>1000</v>
      </c>
      <c r="MW23" s="4"/>
      <c r="ND23" s="43">
        <v>1000</v>
      </c>
      <c r="NY23" s="4"/>
      <c r="OF23" s="43">
        <v>1000</v>
      </c>
      <c r="PA23" s="4"/>
      <c r="PH23" s="43">
        <v>1000</v>
      </c>
    </row>
    <row r="24" spans="1:446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L24" s="4"/>
      <c r="AP24" s="44">
        <v>1000</v>
      </c>
      <c r="BH24" s="4"/>
      <c r="BL24" s="44">
        <v>1000</v>
      </c>
      <c r="CD24" s="4"/>
      <c r="CH24" s="44">
        <v>1000</v>
      </c>
      <c r="DE24" s="4"/>
      <c r="DL24" s="44">
        <v>1000</v>
      </c>
      <c r="EG24" s="4"/>
      <c r="EN24" s="44">
        <v>1000</v>
      </c>
      <c r="FI24" s="4"/>
      <c r="FP24" s="44">
        <v>1000</v>
      </c>
      <c r="GK24" s="4"/>
      <c r="GR24" s="44">
        <v>1000</v>
      </c>
      <c r="HM24" s="4"/>
      <c r="HT24" s="44">
        <v>1000</v>
      </c>
      <c r="IO24" s="4"/>
      <c r="IV24" s="44">
        <v>1000</v>
      </c>
      <c r="JQ24" s="4"/>
      <c r="JX24" s="44">
        <v>1000</v>
      </c>
      <c r="KS24" s="4"/>
      <c r="KZ24" s="44">
        <v>1000</v>
      </c>
      <c r="LU24" s="4"/>
      <c r="MB24" s="44">
        <v>1000</v>
      </c>
      <c r="MW24" s="4"/>
      <c r="ND24" s="44">
        <v>1000</v>
      </c>
      <c r="NY24" s="4"/>
      <c r="OF24" s="44">
        <v>1000</v>
      </c>
      <c r="PA24" s="4"/>
      <c r="PH24" s="44">
        <v>1000</v>
      </c>
    </row>
    <row r="25" spans="1:446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L25" s="4"/>
      <c r="AP25" s="45">
        <v>42.8</v>
      </c>
      <c r="BH25" s="4"/>
      <c r="BL25" s="45">
        <v>42.8</v>
      </c>
      <c r="CD25" s="4"/>
      <c r="CH25" s="45">
        <v>42.8</v>
      </c>
      <c r="DE25" s="4"/>
      <c r="DL25" s="45">
        <v>42.8</v>
      </c>
      <c r="EG25" s="4"/>
      <c r="EN25" s="45">
        <v>42.8</v>
      </c>
      <c r="FI25" s="4"/>
      <c r="FP25" s="45">
        <v>42.8</v>
      </c>
      <c r="GK25" s="4"/>
      <c r="GR25" s="45">
        <v>42.8</v>
      </c>
      <c r="HM25" s="4"/>
      <c r="HT25" s="45">
        <v>42.8</v>
      </c>
      <c r="IO25" s="4"/>
      <c r="IV25" s="45">
        <v>42.8</v>
      </c>
      <c r="JQ25" s="4"/>
      <c r="JX25" s="45">
        <v>42.8</v>
      </c>
      <c r="KS25" s="4"/>
      <c r="KZ25" s="45">
        <v>42.8</v>
      </c>
      <c r="LU25" s="4"/>
      <c r="MB25" s="45">
        <v>42.8</v>
      </c>
      <c r="MW25" s="4"/>
      <c r="ND25" s="45">
        <v>42.8</v>
      </c>
      <c r="NY25" s="4"/>
      <c r="OF25" s="45">
        <v>42.8</v>
      </c>
      <c r="PA25" s="4"/>
      <c r="PH25" s="45">
        <v>42.8</v>
      </c>
    </row>
    <row r="26" spans="1:446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L26" s="4"/>
      <c r="AP26" s="46">
        <v>1000</v>
      </c>
      <c r="BH26" s="4"/>
      <c r="BL26" s="46">
        <v>1000</v>
      </c>
      <c r="CD26" s="4"/>
      <c r="CH26" s="46">
        <v>1000</v>
      </c>
      <c r="DE26" s="4"/>
      <c r="DL26" s="46">
        <v>1000</v>
      </c>
      <c r="EG26" s="4"/>
      <c r="EN26" s="46">
        <v>1000</v>
      </c>
      <c r="FI26" s="4"/>
      <c r="FP26" s="46">
        <v>1000</v>
      </c>
      <c r="GK26" s="4"/>
      <c r="GR26" s="46">
        <v>1000</v>
      </c>
      <c r="HM26" s="4"/>
      <c r="HT26" s="46">
        <v>1000</v>
      </c>
      <c r="IO26" s="4"/>
      <c r="IV26" s="46">
        <v>1000</v>
      </c>
      <c r="JQ26" s="4"/>
      <c r="JX26" s="46">
        <v>1000</v>
      </c>
      <c r="KS26" s="4"/>
      <c r="KZ26" s="46">
        <v>1000</v>
      </c>
      <c r="LU26" s="4"/>
      <c r="MB26" s="46">
        <v>1000</v>
      </c>
      <c r="MW26" s="4"/>
      <c r="ND26" s="46">
        <v>1000</v>
      </c>
      <c r="NY26" s="4"/>
      <c r="OF26" s="46">
        <v>1000</v>
      </c>
      <c r="PA26" s="4"/>
      <c r="PH26" s="46">
        <v>1000</v>
      </c>
    </row>
    <row r="27" spans="1:446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L27" s="4"/>
      <c r="AP27" s="47">
        <v>1000</v>
      </c>
      <c r="BH27" s="4"/>
      <c r="BL27" s="47">
        <v>1000</v>
      </c>
      <c r="CD27" s="4"/>
      <c r="CH27" s="47">
        <v>1000</v>
      </c>
      <c r="DE27" s="4"/>
      <c r="DL27" s="47">
        <v>1000</v>
      </c>
      <c r="EG27" s="4"/>
      <c r="EN27" s="47">
        <v>1000</v>
      </c>
      <c r="FI27" s="4"/>
      <c r="FP27" s="47">
        <v>1000</v>
      </c>
      <c r="GK27" s="4"/>
      <c r="GR27" s="47">
        <v>1000</v>
      </c>
      <c r="HM27" s="4"/>
      <c r="HT27" s="47">
        <v>1000</v>
      </c>
      <c r="IO27" s="4"/>
      <c r="IV27" s="47">
        <v>1000</v>
      </c>
      <c r="JQ27" s="4"/>
      <c r="JX27" s="47">
        <v>1000</v>
      </c>
      <c r="KS27" s="4"/>
      <c r="KZ27" s="47">
        <v>1000</v>
      </c>
      <c r="LU27" s="4"/>
      <c r="MB27" s="47">
        <v>1000</v>
      </c>
      <c r="MW27" s="4"/>
      <c r="ND27" s="47">
        <v>1000</v>
      </c>
      <c r="NY27" s="4"/>
      <c r="OF27" s="47">
        <v>1000</v>
      </c>
      <c r="PA27" s="4"/>
      <c r="PH27" s="47">
        <v>1000</v>
      </c>
    </row>
    <row r="28" spans="1:446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L28" s="4"/>
      <c r="AP28" s="48">
        <v>1000</v>
      </c>
      <c r="BH28" s="4"/>
      <c r="BL28" s="48">
        <v>1000</v>
      </c>
      <c r="CD28" s="4"/>
      <c r="CH28" s="48">
        <v>1000</v>
      </c>
      <c r="DE28" s="4"/>
      <c r="DL28" s="48">
        <v>1000</v>
      </c>
      <c r="EG28" s="4"/>
      <c r="EN28" s="48">
        <v>1000</v>
      </c>
      <c r="FI28" s="4"/>
      <c r="FP28" s="48">
        <v>1000</v>
      </c>
      <c r="GK28" s="4"/>
      <c r="GR28" s="48">
        <v>1000</v>
      </c>
      <c r="HM28" s="4"/>
      <c r="HT28" s="48">
        <v>1000</v>
      </c>
      <c r="IO28" s="4"/>
      <c r="IV28" s="48">
        <v>1000</v>
      </c>
      <c r="JQ28" s="4"/>
      <c r="JX28" s="48">
        <v>1000</v>
      </c>
      <c r="KS28" s="4"/>
      <c r="KZ28" s="48">
        <v>1000</v>
      </c>
      <c r="LU28" s="4"/>
      <c r="MB28" s="48">
        <v>1000</v>
      </c>
      <c r="MW28" s="4"/>
      <c r="ND28" s="48">
        <v>1000</v>
      </c>
      <c r="NY28" s="4"/>
      <c r="OF28" s="48">
        <v>1000</v>
      </c>
      <c r="PA28" s="4"/>
      <c r="PH28" s="48">
        <v>1000</v>
      </c>
    </row>
    <row r="29" spans="1:446" x14ac:dyDescent="0.2">
      <c r="C29" s="29" t="s">
        <v>47</v>
      </c>
      <c r="D29" s="2"/>
      <c r="G29" s="64"/>
    </row>
    <row r="30" spans="1:446" x14ac:dyDescent="0.2">
      <c r="A30" s="5"/>
      <c r="B30" s="5"/>
      <c r="C30" s="5"/>
      <c r="D30" s="20"/>
      <c r="G30" s="64"/>
      <c r="PJ30" s="2"/>
      <c r="PK30" s="2"/>
      <c r="PL30" s="2"/>
      <c r="PM30" s="2"/>
      <c r="PN30" s="2"/>
      <c r="PO30" s="2"/>
      <c r="PP30" s="2"/>
    </row>
    <row r="31" spans="1:446" x14ac:dyDescent="0.2">
      <c r="A31" s="5"/>
      <c r="B31" s="5"/>
      <c r="C31" s="5"/>
      <c r="D31" s="20"/>
      <c r="G31" s="64"/>
    </row>
    <row r="32" spans="1:446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QD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18">
      <sortCondition descending="1" ref="H1:H19"/>
    </sortState>
  </autoFilter>
  <mergeCells count="113"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A4:B1048576">
    <cfRule type="expression" dxfId="101" priority="7">
      <formula>AND($I4="P",$H4="")</formula>
    </cfRule>
    <cfRule type="expression" dxfId="100" priority="31">
      <formula>IF(A4&gt;4,1,0)</formula>
    </cfRule>
  </conditionalFormatting>
  <conditionalFormatting sqref="J1:J1048576">
    <cfRule type="containsText" dxfId="99" priority="26" operator="containsText" text="No DD">
      <formula>NOT(ISERROR(SEARCH("No DD",J1)))</formula>
    </cfRule>
    <cfRule type="containsText" dxfId="98" priority="27" operator="containsText" text="Merit">
      <formula>NOT(ISERROR(SEARCH("Merit",J1)))</formula>
    </cfRule>
    <cfRule type="containsText" dxfId="97" priority="28" operator="containsText" text="Excellence">
      <formula>NOT(ISERROR(SEARCH("Excellence",J1)))</formula>
    </cfRule>
    <cfRule type="containsText" dxfId="96" priority="29" operator="containsText" text="Worlds Team">
      <formula>NOT(ISERROR(SEARCH("Worlds Team",J1)))</formula>
    </cfRule>
    <cfRule type="containsText" dxfId="95" priority="30" operator="containsText" text="National Team">
      <formula>NOT(ISERROR(SEARCH("National Team",J1)))</formula>
    </cfRule>
  </conditionalFormatting>
  <conditionalFormatting sqref="DI29:DI1048576 DI1:DI27 EK1:EK1048576 FM1:FM1048576 GO1:GO1048576 HQ1:HQ1048576 JU1:JU1048576 KW1:KW1048576 LY1:LY1048576 NA1:NA1048576 OC1:OC1048576 PE1:PE1048576 IS1:IS1048576">
    <cfRule type="cellIs" dxfId="94" priority="23" operator="between">
      <formula>DL$28</formula>
      <formula>1000</formula>
    </cfRule>
    <cfRule type="cellIs" dxfId="93" priority="24" operator="between">
      <formula>DL$27</formula>
      <formula>DL$28</formula>
    </cfRule>
    <cfRule type="cellIs" dxfId="92" priority="25" operator="between">
      <formula>DL$26</formula>
      <formula>DL$27</formula>
    </cfRule>
  </conditionalFormatting>
  <conditionalFormatting sqref="A1:B3">
    <cfRule type="expression" dxfId="91" priority="8">
      <formula>AND(I1&lt;&gt;"",H1="")</formula>
    </cfRule>
  </conditionalFormatting>
  <conditionalFormatting sqref="PA1:PA1048576 DE1:DE1048576 EG1:EG1048576 FI1:FI1048576 GK1:GK1048576 HM1:HM1048576 JQ1:JQ1048576 KS1:KS1048576 LU1:LU1048576 MW1:MW1048576 NY1:NY1048576 IO1:IO1048576">
    <cfRule type="cellIs" dxfId="90" priority="240343" operator="between">
      <formula>DL$21</formula>
      <formula>1000</formula>
    </cfRule>
  </conditionalFormatting>
  <conditionalFormatting sqref="PB1:PB1048576 DF1:DF1048576 EH1:EH1048576 FJ1:FJ1048576 GL1:GL1048576 HN1:HN1048576 JR1:JR1048576 KT1:KT1048576 LV1:LV1048576 MX1:MX1048576 NZ1:NZ1048576 IP1:IP1048576">
    <cfRule type="cellIs" dxfId="89" priority="240388" operator="between">
      <formula>DL$25</formula>
      <formula>1000</formula>
    </cfRule>
  </conditionalFormatting>
  <conditionalFormatting sqref="AN1:AN1048576 BJ1:BJ1048576 CF1:CF1048576 DJ1:DJ1048576 EL1:EL1048576 FN1:FN1048576 GP1:GP1048576 HR1:HR1048576 JV1:JV1048576 KX1:KX1048576 LZ1:LZ1048576 NB1:NB1048576 OD1:OD1048576 PF1:PF1048576 IT1:IT1048576">
    <cfRule type="cellIs" dxfId="88" priority="240433" operator="between">
      <formula>AP$21</formula>
      <formula>AP$22</formula>
    </cfRule>
    <cfRule type="cellIs" dxfId="87" priority="240434" operator="between">
      <formula>AP$22</formula>
      <formula>AP$23</formula>
    </cfRule>
    <cfRule type="cellIs" dxfId="86" priority="240435" operator="between">
      <formula>AP$23</formula>
      <formula>AP$24</formula>
    </cfRule>
    <cfRule type="cellIs" dxfId="85" priority="240436" operator="between">
      <formula>AP$24</formula>
      <formula>1000</formula>
    </cfRule>
  </conditionalFormatting>
  <conditionalFormatting sqref="AO1:AO1048576 BK1:BK1048576 CG1:CG1048576 DK1:DK1048576 EM1:EM1048576 FO1:FO1048576 GQ1:GQ1048576 HS1:HS1048576 JW1:JW1048576 KY1:KY1048576 MA1:MA1048576 NC1:NC1048576 OE1:OE1048576 PG1:PG1048576 IU1:IU1048576">
    <cfRule type="cellIs" dxfId="84" priority="240613" operator="between">
      <formula>AP$25</formula>
      <formula>AP$26</formula>
    </cfRule>
    <cfRule type="cellIs" dxfId="83" priority="240614" operator="between">
      <formula>AP$26</formula>
      <formula>AP$27</formula>
    </cfRule>
    <cfRule type="cellIs" dxfId="82" priority="240615" operator="between">
      <formula>AP$27</formula>
      <formula>AP$28</formula>
    </cfRule>
    <cfRule type="cellIs" dxfId="81" priority="240616" operator="between">
      <formula>AP$28</formula>
      <formula>1000</formula>
    </cfRule>
  </conditionalFormatting>
  <conditionalFormatting sqref="EJ1:EJ1048576 FL1:FL1048576 GN1:GN1048576 HP1:HP1048576 JT1:JT1048576 KV1:KV1048576 LX1:LX1048576 MZ1:MZ1048576 OB1:OB1048576 PD1:PD1048576 DH1:DH1048576 IR1:IR1048576">
    <cfRule type="cellIs" dxfId="80" priority="240793" operator="between">
      <formula>DL$24</formula>
      <formula>1000</formula>
    </cfRule>
    <cfRule type="cellIs" dxfId="79" priority="240794" operator="between">
      <formula>DL$23</formula>
      <formula>DL$24</formula>
    </cfRule>
    <cfRule type="cellIs" dxfId="78" priority="240795" operator="between">
      <formula>DL$22</formula>
      <formula>DL$23</formula>
    </cfRule>
  </conditionalFormatting>
  <conditionalFormatting sqref="AL2">
    <cfRule type="cellIs" dxfId="77" priority="6" operator="between">
      <formula>AP$23</formula>
      <formula>1000</formula>
    </cfRule>
  </conditionalFormatting>
  <conditionalFormatting sqref="AM2">
    <cfRule type="cellIs" dxfId="76" priority="5" operator="between">
      <formula>AP$27</formula>
      <formula>1000</formula>
    </cfRule>
  </conditionalFormatting>
  <conditionalFormatting sqref="BH2">
    <cfRule type="cellIs" dxfId="75" priority="4" operator="between">
      <formula>BL$23</formula>
      <formula>1000</formula>
    </cfRule>
  </conditionalFormatting>
  <conditionalFormatting sqref="BI2">
    <cfRule type="cellIs" dxfId="74" priority="3" operator="between">
      <formula>BL$27</formula>
      <formula>1000</formula>
    </cfRule>
  </conditionalFormatting>
  <conditionalFormatting sqref="CD2">
    <cfRule type="cellIs" dxfId="73" priority="2" operator="between">
      <formula>CH$23</formula>
      <formula>1000</formula>
    </cfRule>
  </conditionalFormatting>
  <conditionalFormatting sqref="CE2">
    <cfRule type="cellIs" dxfId="72" priority="1" operator="between">
      <formula>CH$27</formula>
      <formula>1000</formula>
    </cfRule>
  </conditionalFormatting>
  <conditionalFormatting sqref="AL3:AL1048576 AL1 BH3:BH1048576 BH1 CD3:CD1048576 CD1">
    <cfRule type="cellIs" dxfId="71" priority="267769" operator="between">
      <formula>AP$21</formula>
      <formula>1000</formula>
    </cfRule>
  </conditionalFormatting>
  <conditionalFormatting sqref="AM3:AM1048576 AM1 BI3:BI1048576 BI1 CE3:CE1048576 CE1">
    <cfRule type="cellIs" dxfId="70" priority="267771" operator="between">
      <formula>AP$25</formula>
      <formula>1000</formula>
    </cfRule>
  </conditionalFormatting>
  <conditionalFormatting sqref="U4:AP18">
    <cfRule type="expression" dxfId="69" priority="267772" stopIfTrue="1">
      <formula>IF($AK4&lt;&gt;"",1,0)</formula>
    </cfRule>
  </conditionalFormatting>
  <conditionalFormatting sqref="AQ4:BL18">
    <cfRule type="expression" dxfId="68" priority="267777" stopIfTrue="1">
      <formula>IF($BG4&lt;&gt;"",1,0)</formula>
    </cfRule>
  </conditionalFormatting>
  <conditionalFormatting sqref="M1:M1048576 Q1:Q1048576 O1:O1048576">
    <cfRule type="expression" dxfId="67" priority="267788">
      <formula>IF(M1=$BM$1,1,0)</formula>
    </cfRule>
    <cfRule type="expression" dxfId="66" priority="267789">
      <formula>IF(M1=$AQ$1,1,0)</formula>
    </cfRule>
    <cfRule type="expression" dxfId="65" priority="267790">
      <formula>IF(M1=$U$1,1,0)</formula>
    </cfRule>
  </conditionalFormatting>
  <conditionalFormatting sqref="BM4:CH18">
    <cfRule type="expression" dxfId="64" priority="267791" stopIfTrue="1">
      <formula>IF($CC4&lt;&gt;"",1,0)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QD5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5" t="s">
        <v>184</v>
      </c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0" t="s">
        <v>196</v>
      </c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6" t="s">
        <v>52</v>
      </c>
      <c r="CJ1" s="76"/>
      <c r="CK1" s="70" t="s">
        <v>183</v>
      </c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5" t="s">
        <v>193</v>
      </c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  <c r="ED1" s="75"/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0" t="s">
        <v>202</v>
      </c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5" t="s">
        <v>203</v>
      </c>
      <c r="FR1" s="75"/>
      <c r="FS1" s="75"/>
      <c r="FT1" s="75"/>
      <c r="FU1" s="75"/>
      <c r="FV1" s="75"/>
      <c r="FW1" s="75"/>
      <c r="FX1" s="75"/>
      <c r="FY1" s="75"/>
      <c r="FZ1" s="75"/>
      <c r="GA1" s="75"/>
      <c r="GB1" s="75"/>
      <c r="GC1" s="75"/>
      <c r="GD1" s="75"/>
      <c r="GE1" s="75"/>
      <c r="GF1" s="75"/>
      <c r="GG1" s="75"/>
      <c r="GH1" s="75"/>
      <c r="GI1" s="75"/>
      <c r="GJ1" s="75"/>
      <c r="GK1" s="75"/>
      <c r="GL1" s="75"/>
      <c r="GM1" s="75"/>
      <c r="GN1" s="75"/>
      <c r="GO1" s="75"/>
      <c r="GP1" s="75"/>
      <c r="GQ1" s="75"/>
      <c r="GR1" s="75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5"/>
      <c r="IK1" s="75"/>
      <c r="IL1" s="75"/>
      <c r="IM1" s="75"/>
      <c r="IN1" s="75"/>
      <c r="IO1" s="75"/>
      <c r="IP1" s="75"/>
      <c r="IQ1" s="75"/>
      <c r="IR1" s="75"/>
      <c r="IS1" s="75"/>
      <c r="IT1" s="75"/>
      <c r="IU1" s="75"/>
      <c r="IV1" s="75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5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5"/>
      <c r="OH1" s="75"/>
      <c r="OI1" s="75"/>
      <c r="OJ1" s="75"/>
      <c r="OK1" s="75"/>
      <c r="OL1" s="75"/>
      <c r="OM1" s="75"/>
      <c r="ON1" s="75"/>
      <c r="OO1" s="75"/>
      <c r="OP1" s="75"/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0" t="s">
        <v>56</v>
      </c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</row>
    <row r="2" spans="1:446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79</v>
      </c>
      <c r="AD2" s="71"/>
      <c r="AE2" s="71"/>
      <c r="AF2" s="71"/>
      <c r="AG2" s="78" t="s">
        <v>80</v>
      </c>
      <c r="AH2" s="78"/>
      <c r="AI2" s="78"/>
      <c r="AJ2" s="78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7" t="s">
        <v>76</v>
      </c>
      <c r="AR2" s="67"/>
      <c r="AS2" s="67"/>
      <c r="AT2" s="67"/>
      <c r="AU2" s="67" t="s">
        <v>77</v>
      </c>
      <c r="AV2" s="67"/>
      <c r="AW2" s="67"/>
      <c r="AX2" s="67"/>
      <c r="AY2" s="67" t="s">
        <v>79</v>
      </c>
      <c r="AZ2" s="67"/>
      <c r="BA2" s="67"/>
      <c r="BB2" s="67"/>
      <c r="BC2" s="77" t="s">
        <v>80</v>
      </c>
      <c r="BD2" s="77"/>
      <c r="BE2" s="77"/>
      <c r="BF2" s="77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71" t="s">
        <v>76</v>
      </c>
      <c r="BN2" s="71"/>
      <c r="BO2" s="71"/>
      <c r="BP2" s="71"/>
      <c r="BQ2" s="71" t="s">
        <v>77</v>
      </c>
      <c r="BR2" s="71"/>
      <c r="BS2" s="71"/>
      <c r="BT2" s="71"/>
      <c r="BU2" s="71" t="s">
        <v>79</v>
      </c>
      <c r="BV2" s="71"/>
      <c r="BW2" s="71"/>
      <c r="BX2" s="71"/>
      <c r="BY2" s="78" t="s">
        <v>80</v>
      </c>
      <c r="BZ2" s="78"/>
      <c r="CA2" s="78"/>
      <c r="CB2" s="78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71" t="s">
        <v>76</v>
      </c>
      <c r="CL2" s="71"/>
      <c r="CM2" s="71"/>
      <c r="CN2" s="71"/>
      <c r="CO2" s="71" t="s">
        <v>77</v>
      </c>
      <c r="CP2" s="71"/>
      <c r="CQ2" s="71"/>
      <c r="CR2" s="71"/>
      <c r="CS2" s="71" t="s">
        <v>78</v>
      </c>
      <c r="CT2" s="71"/>
      <c r="CU2" s="71"/>
      <c r="CV2" s="71"/>
      <c r="CW2" s="71" t="s">
        <v>79</v>
      </c>
      <c r="CX2" s="71"/>
      <c r="CY2" s="71"/>
      <c r="CZ2" s="71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7" t="s">
        <v>76</v>
      </c>
      <c r="DN2" s="67"/>
      <c r="DO2" s="67"/>
      <c r="DP2" s="67"/>
      <c r="DQ2" s="67" t="s">
        <v>77</v>
      </c>
      <c r="DR2" s="67"/>
      <c r="DS2" s="67"/>
      <c r="DT2" s="67"/>
      <c r="DU2" s="67" t="s">
        <v>78</v>
      </c>
      <c r="DV2" s="67"/>
      <c r="DW2" s="67"/>
      <c r="DX2" s="67"/>
      <c r="DY2" s="67" t="s">
        <v>79</v>
      </c>
      <c r="DZ2" s="67"/>
      <c r="EA2" s="67"/>
      <c r="EB2" s="67"/>
      <c r="EC2" s="77" t="s">
        <v>80</v>
      </c>
      <c r="ED2" s="77"/>
      <c r="EE2" s="77"/>
      <c r="EF2" s="77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71" t="s">
        <v>76</v>
      </c>
      <c r="EP2" s="71"/>
      <c r="EQ2" s="71"/>
      <c r="ER2" s="71"/>
      <c r="ES2" s="71" t="s">
        <v>77</v>
      </c>
      <c r="ET2" s="71"/>
      <c r="EU2" s="71"/>
      <c r="EV2" s="71"/>
      <c r="EW2" s="71" t="s">
        <v>78</v>
      </c>
      <c r="EX2" s="71"/>
      <c r="EY2" s="71"/>
      <c r="EZ2" s="71"/>
      <c r="FA2" s="71" t="s">
        <v>79</v>
      </c>
      <c r="FB2" s="71"/>
      <c r="FC2" s="71"/>
      <c r="FD2" s="71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7" t="s">
        <v>76</v>
      </c>
      <c r="FR2" s="67"/>
      <c r="FS2" s="67"/>
      <c r="FT2" s="67"/>
      <c r="FU2" s="67" t="s">
        <v>77</v>
      </c>
      <c r="FV2" s="67"/>
      <c r="FW2" s="67"/>
      <c r="FX2" s="67"/>
      <c r="FY2" s="67" t="s">
        <v>78</v>
      </c>
      <c r="FZ2" s="67"/>
      <c r="GA2" s="67"/>
      <c r="GB2" s="67"/>
      <c r="GC2" s="67" t="s">
        <v>79</v>
      </c>
      <c r="GD2" s="67"/>
      <c r="GE2" s="67"/>
      <c r="GF2" s="67"/>
      <c r="GG2" s="77" t="s">
        <v>80</v>
      </c>
      <c r="GH2" s="77"/>
      <c r="GI2" s="77"/>
      <c r="GJ2" s="77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71" t="s">
        <v>76</v>
      </c>
      <c r="GT2" s="71"/>
      <c r="GU2" s="71"/>
      <c r="GV2" s="71"/>
      <c r="GW2" s="71" t="s">
        <v>77</v>
      </c>
      <c r="GX2" s="71"/>
      <c r="GY2" s="71"/>
      <c r="GZ2" s="71"/>
      <c r="HA2" s="71" t="s">
        <v>78</v>
      </c>
      <c r="HB2" s="71"/>
      <c r="HC2" s="71"/>
      <c r="HD2" s="71"/>
      <c r="HE2" s="71" t="s">
        <v>79</v>
      </c>
      <c r="HF2" s="71"/>
      <c r="HG2" s="71"/>
      <c r="HH2" s="71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7" t="s">
        <v>76</v>
      </c>
      <c r="HV2" s="67"/>
      <c r="HW2" s="67"/>
      <c r="HX2" s="67"/>
      <c r="HY2" s="67" t="s">
        <v>77</v>
      </c>
      <c r="HZ2" s="67"/>
      <c r="IA2" s="67"/>
      <c r="IB2" s="67"/>
      <c r="IC2" s="67" t="s">
        <v>78</v>
      </c>
      <c r="ID2" s="67"/>
      <c r="IE2" s="67"/>
      <c r="IF2" s="67"/>
      <c r="IG2" s="67" t="s">
        <v>79</v>
      </c>
      <c r="IH2" s="67"/>
      <c r="II2" s="67"/>
      <c r="IJ2" s="67"/>
      <c r="IK2" s="77" t="s">
        <v>80</v>
      </c>
      <c r="IL2" s="77"/>
      <c r="IM2" s="77"/>
      <c r="IN2" s="77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71" t="s">
        <v>76</v>
      </c>
      <c r="IX2" s="71"/>
      <c r="IY2" s="71"/>
      <c r="IZ2" s="71"/>
      <c r="JA2" s="71" t="s">
        <v>77</v>
      </c>
      <c r="JB2" s="71"/>
      <c r="JC2" s="71"/>
      <c r="JD2" s="71"/>
      <c r="JE2" s="71" t="s">
        <v>78</v>
      </c>
      <c r="JF2" s="71"/>
      <c r="JG2" s="71"/>
      <c r="JH2" s="71"/>
      <c r="JI2" s="71" t="s">
        <v>79</v>
      </c>
      <c r="JJ2" s="71"/>
      <c r="JK2" s="71"/>
      <c r="JL2" s="71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7" t="s">
        <v>76</v>
      </c>
      <c r="JZ2" s="67"/>
      <c r="KA2" s="67"/>
      <c r="KB2" s="67"/>
      <c r="KC2" s="67" t="s">
        <v>77</v>
      </c>
      <c r="KD2" s="67"/>
      <c r="KE2" s="67"/>
      <c r="KF2" s="67"/>
      <c r="KG2" s="67" t="s">
        <v>78</v>
      </c>
      <c r="KH2" s="67"/>
      <c r="KI2" s="67"/>
      <c r="KJ2" s="67"/>
      <c r="KK2" s="67" t="s">
        <v>79</v>
      </c>
      <c r="KL2" s="67"/>
      <c r="KM2" s="67"/>
      <c r="KN2" s="67"/>
      <c r="KO2" s="77" t="s">
        <v>80</v>
      </c>
      <c r="KP2" s="77"/>
      <c r="KQ2" s="77"/>
      <c r="KR2" s="77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71" t="s">
        <v>76</v>
      </c>
      <c r="LB2" s="71"/>
      <c r="LC2" s="71"/>
      <c r="LD2" s="71"/>
      <c r="LE2" s="71" t="s">
        <v>77</v>
      </c>
      <c r="LF2" s="71"/>
      <c r="LG2" s="71"/>
      <c r="LH2" s="71"/>
      <c r="LI2" s="71" t="s">
        <v>78</v>
      </c>
      <c r="LJ2" s="71"/>
      <c r="LK2" s="71"/>
      <c r="LL2" s="71"/>
      <c r="LM2" s="71" t="s">
        <v>79</v>
      </c>
      <c r="LN2" s="71"/>
      <c r="LO2" s="71"/>
      <c r="LP2" s="71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7" t="s">
        <v>76</v>
      </c>
      <c r="MD2" s="67"/>
      <c r="ME2" s="67"/>
      <c r="MF2" s="67"/>
      <c r="MG2" s="67" t="s">
        <v>77</v>
      </c>
      <c r="MH2" s="67"/>
      <c r="MI2" s="67"/>
      <c r="MJ2" s="67"/>
      <c r="MK2" s="67" t="s">
        <v>78</v>
      </c>
      <c r="ML2" s="67"/>
      <c r="MM2" s="67"/>
      <c r="MN2" s="67"/>
      <c r="MO2" s="67" t="s">
        <v>79</v>
      </c>
      <c r="MP2" s="67"/>
      <c r="MQ2" s="67"/>
      <c r="MR2" s="67"/>
      <c r="MS2" s="77" t="s">
        <v>80</v>
      </c>
      <c r="MT2" s="77"/>
      <c r="MU2" s="77"/>
      <c r="MV2" s="77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71" t="s">
        <v>76</v>
      </c>
      <c r="NF2" s="71"/>
      <c r="NG2" s="71"/>
      <c r="NH2" s="71"/>
      <c r="NI2" s="71" t="s">
        <v>77</v>
      </c>
      <c r="NJ2" s="71"/>
      <c r="NK2" s="71"/>
      <c r="NL2" s="71"/>
      <c r="NM2" s="71" t="s">
        <v>78</v>
      </c>
      <c r="NN2" s="71"/>
      <c r="NO2" s="71"/>
      <c r="NP2" s="71"/>
      <c r="NQ2" s="71" t="s">
        <v>79</v>
      </c>
      <c r="NR2" s="71"/>
      <c r="NS2" s="71"/>
      <c r="NT2" s="71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7" t="s">
        <v>76</v>
      </c>
      <c r="OH2" s="67"/>
      <c r="OI2" s="67"/>
      <c r="OJ2" s="67"/>
      <c r="OK2" s="67" t="s">
        <v>77</v>
      </c>
      <c r="OL2" s="67"/>
      <c r="OM2" s="67"/>
      <c r="ON2" s="67"/>
      <c r="OO2" s="67" t="s">
        <v>78</v>
      </c>
      <c r="OP2" s="67"/>
      <c r="OQ2" s="67"/>
      <c r="OR2" s="67"/>
      <c r="OS2" s="67" t="s">
        <v>79</v>
      </c>
      <c r="OT2" s="67"/>
      <c r="OU2" s="67"/>
      <c r="OV2" s="67"/>
      <c r="OW2" s="77" t="s">
        <v>80</v>
      </c>
      <c r="OX2" s="77"/>
      <c r="OY2" s="77"/>
      <c r="OZ2" s="77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71" t="s">
        <v>76</v>
      </c>
      <c r="PJ2" s="71"/>
      <c r="PK2" s="71"/>
      <c r="PL2" s="71"/>
      <c r="PM2" s="71" t="s">
        <v>77</v>
      </c>
      <c r="PN2" s="71"/>
      <c r="PO2" s="71"/>
      <c r="PP2" s="71"/>
      <c r="PQ2" s="71" t="s">
        <v>79</v>
      </c>
      <c r="PR2" s="71"/>
      <c r="PS2" s="71"/>
      <c r="PT2" s="71"/>
      <c r="PU2" s="78" t="s">
        <v>80</v>
      </c>
      <c r="PV2" s="78"/>
      <c r="PW2" s="78"/>
      <c r="PX2" s="78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157</v>
      </c>
      <c r="D4" s="4" t="s">
        <v>4</v>
      </c>
      <c r="E4" s="4">
        <v>2008</v>
      </c>
      <c r="F4" s="9">
        <f>SUM(L4:R4)+SUM(L4:O4)*0.0000001+SUM(L4)*0.0000000000001</f>
        <v>163.10001078000539</v>
      </c>
      <c r="G4" s="65" t="s">
        <v>46</v>
      </c>
      <c r="H4" s="3" t="str">
        <f>IF(OR(AND(AL4&gt;=AP$38,AM4&gt;=AP$42,AL4&lt;&gt;"",AK4=""),AND(AN4&gt;=AP$38,AO4&gt;=AP$42,AN4&lt;&gt;"",AK4=""),AND(BH4&gt;=BL$38,BI4&gt;=BL$42,BH4&lt;&gt;"",BG4=""),AND(BJ4&gt;=BL$38,BK4&gt;=BL$42,BJ4&lt;&gt;"",BG4=""),AND(CD4&gt;=CH$38,CE4&gt;=CH$42,CD4&lt;&gt;"",CC4=""),AND(CF4&gt;=CH$38,CG4&gt;=CH$42,CF4&lt;&gt;""),AND(DE4&gt;=DL$38,DF4&gt;=DL$42,DE4&lt;&gt;""),AND(DJ4&gt;=DL$38,DK4&gt;=DL$42,DJ4&lt;&gt;""),AND(EG4&gt;=EN$38,EH4&gt;=EN$42,EG4&lt;&gt;""),AND(EL4&gt;=EN$38,EM4&gt;=EN$42,EL4&lt;&gt;""),AND(FI4&gt;=FP$38,FJ4&gt;=FP$42,FI4&lt;&gt;""),AND(FN4&gt;=FP$38,FO4&gt;=FP$42,FN4&lt;&gt;""),AND(GK4&gt;=GR$38,GL4&gt;=GR$42,GK4&lt;&gt;""),AND(GP4&gt;=GR$38,GQ4&gt;=GR$42,GP4&lt;&gt;""),AND(HM4&gt;=HT$38,HN4&gt;=HT$42,HM4&lt;&gt;""),AND(HR4&gt;=HT$38,HS4&gt;=HT$42,HR4&lt;&gt;""),AND(IO4&gt;=IV$38,IP4&gt;=IV$42,IO4&lt;&gt;""),AND(IT4&gt;=IV$38,IU4&gt;=IV$42,IT4&lt;&gt;""),AND(JQ4&gt;=JX$38,JR4&gt;=JX$42,JQ4&lt;&gt;""),AND(JV4&gt;=JX$38,JW4&gt;=JX$42,JV4&lt;&gt;""),AND(KS4&gt;=KZ$38,KT4&gt;=KZ$42,KS4&lt;&gt;""),AND(KX4&gt;=KZ$38,KY4&gt;=KZ$42,KX4&lt;&gt;""),AND(LU4&gt;=MB$38,LV4&gt;=MB$42,LU4&lt;&gt;""),AND(LZ4&gt;=MB$38,MA4&gt;=MB$42,LZ4&lt;&gt;""),AND(MW4&gt;=ND$38,MX4&gt;=ND$42,MW4&lt;&gt;""),AND(NB4&gt;=ND$38,NC4&gt;=ND$42,NB4&lt;&gt;""),AND(NY4&gt;=OF$38,NZ4&gt;=OF$42,NY4&lt;&gt;""),AND(OD4&gt;=OF$38,OE4&gt;=OF$42,OD4&lt;&gt;""),AND(PA4&gt;=PH$38,PB4&gt;=PH$42,PA4&lt;&gt;""),AND(PF4&gt;=PH$38,PG4&gt;=PH$42,PF4&lt;&gt;"")),"P","")</f>
        <v>P</v>
      </c>
      <c r="I4" s="3" t="str">
        <f>IF(OR(AND(AM4&gt;=AP$42,AM4&lt;&gt;"",AK4=""),AND(AO4&gt;=AP$42,AO4&lt;&gt;"",AK4=""),AND(BI4&gt;=BL$42,BI4&lt;&gt;"",BG4=""),AND(BK4&gt;=BL$42,BK4&lt;&gt;"",BG4=""),AND(CE4&gt;=CH$42,CE4&lt;&gt;"",CC4=""),AND(CG4&gt;=CH$42,CG4&lt;&gt;"",CC4=""),AND(DF4&gt;=DL$42,DF4&lt;&gt;""),AND(DK4&gt;=DL$42,DK4&lt;&gt;""),AND(EH4&gt;=EN$42,EH4&lt;&gt;""),AND(EM4&gt;=EN$42,EM4&lt;&gt;""),AND(FJ4&gt;=FP$42,FJ4&lt;&gt;""),AND(FO4&gt;=FP$42,FO4&lt;&gt;""),AND(GL4&gt;=GR$42,GL4&lt;&gt;""),AND(GQ4&gt;=GR$42,GQ4&lt;&gt;""),AND(HN4&gt;=HT$42,HN4&lt;&gt;""),AND(HS4&gt;=HT$42,HS4&lt;&gt;""),AND(IP4&gt;=IV$42,IP4&lt;&gt;""),AND(IU4&gt;=IV$42,IU4&lt;&gt;""),AND(JR4&gt;=JX$42,JR4&lt;&gt;""),AND(JW4&gt;=JX$42,JW4&lt;&gt;""),AND(KT4&gt;=KZ$42,KT4&lt;&gt;""),AND(KY4&gt;=KZ$42,KY4&lt;&gt;""),AND(LV4&gt;=MB$42,LV4&lt;&gt;""),AND(MA4&gt;=MB$42,MA4&lt;&gt;""),AND(MX4&gt;=ND$42,MX4&lt;&gt;""),AND(NC4&gt;=ND$42,NC4&lt;&gt;""),AND(NZ4&gt;=OF$42,NZ4&lt;&gt;""),AND(OE4&gt;=OF$42,OE4&lt;&gt;""),AND(PB4&gt;=PH$42,PB4&lt;&gt;""),AND(PG4&gt;=PH$42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54.199999999999996</v>
      </c>
      <c r="M4" s="8" t="str">
        <f>IF(L4=0,"",IF(L4=CE4,$BM$1,IF(L4=BI4,$AQ$1,IF(L4=AM4,$U$1,""))))</f>
        <v>2025 Elite Canada</v>
      </c>
      <c r="N4" s="8">
        <f>IF(COUNT(AM4,BI4,CE4)&gt;1,LARGE((AM4,BI4,CE4),2),0)</f>
        <v>53.599999999999994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55.099999999999994</v>
      </c>
      <c r="Q4" s="8" t="str">
        <f>IF(P4=0,"",IF(P4=CG4,$BM$1,IF(P4=BK4,$AQ$1,IF(P4=AO4,$U$1,""))))</f>
        <v>2025 3rd Domestic Trial</v>
      </c>
      <c r="R4" s="8">
        <f>IF(MAX(CI4:CJ4)&gt;0,MAX(CI4:CJ4),"")</f>
        <v>0.20000000000000284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>
        <v>19</v>
      </c>
      <c r="AD4" s="19">
        <v>8.4</v>
      </c>
      <c r="AE4" s="19">
        <v>0.6</v>
      </c>
      <c r="AF4" s="19">
        <v>0</v>
      </c>
      <c r="AG4" s="19">
        <v>18.399999999999999</v>
      </c>
      <c r="AH4" s="19">
        <v>7.3</v>
      </c>
      <c r="AI4" s="19">
        <v>0</v>
      </c>
      <c r="AJ4" s="19">
        <v>0</v>
      </c>
      <c r="AK4" s="27"/>
      <c r="AL4" s="40">
        <f>IF(SUM(V4,Z4)&gt;0,SUM(V4,Z4),"")</f>
        <v>16.5</v>
      </c>
      <c r="AM4" s="40">
        <f>IF(SUM(U4:V4,X4:Z4,AB4)-W4-AA4&gt;0,SUM(U4:V4,X4:Z4,AB4)-W4-AA4,"")</f>
        <v>54.199999999999996</v>
      </c>
      <c r="AN4" s="40">
        <f>IF(SUM(AD4,AH4)&gt;0,SUM(AD4,AH4),"")</f>
        <v>15.7</v>
      </c>
      <c r="AO4" s="40">
        <f>IF(SUM(AC4:AD4,AF4:AH4,AJ4)-SUM(AE4,AI4)&gt;0,SUM(AC4:AD4,AF4:AH4,AJ4)-SUM(AE4,AI4),"")</f>
        <v>52.499999999999993</v>
      </c>
      <c r="AP4" s="40">
        <f>IF(SUM(AM4,AO4)&gt;0,SUM(AM4,AO4),"")</f>
        <v>106.69999999999999</v>
      </c>
      <c r="AQ4" s="18">
        <v>19.100000000000001</v>
      </c>
      <c r="AR4" s="18">
        <v>8.4</v>
      </c>
      <c r="AS4" s="18">
        <v>0</v>
      </c>
      <c r="AT4" s="18">
        <v>0</v>
      </c>
      <c r="AU4" s="18">
        <v>18.600000000000001</v>
      </c>
      <c r="AV4" s="18">
        <v>7.3</v>
      </c>
      <c r="AW4" s="18">
        <v>0</v>
      </c>
      <c r="AX4" s="18">
        <v>0</v>
      </c>
      <c r="AY4" s="18">
        <v>18.7</v>
      </c>
      <c r="AZ4" s="18">
        <v>7.6</v>
      </c>
      <c r="BA4" s="18">
        <v>0</v>
      </c>
      <c r="BB4" s="18">
        <v>0</v>
      </c>
      <c r="BC4" s="18">
        <v>15.1</v>
      </c>
      <c r="BD4" s="18">
        <v>5.0999999999999996</v>
      </c>
      <c r="BE4" s="18">
        <v>0</v>
      </c>
      <c r="BF4" s="18">
        <v>0.3</v>
      </c>
      <c r="BG4" s="28"/>
      <c r="BH4" s="11">
        <f>IF(SUM(AR4,AV4)&gt;0,SUM(AR4,AV4),"")</f>
        <v>15.7</v>
      </c>
      <c r="BI4" s="11">
        <f>IF(SUM(AQ4:AR4,AT4:AV4,AX4)-AS4-AW4&gt;0,SUM(AQ4:AR4,AT4:AV4,AX4)-AS4-AW4,"")</f>
        <v>53.4</v>
      </c>
      <c r="BJ4" s="11">
        <f>IF(SUM(AZ4,BD4)&gt;0,SUM(AZ4,BD4),"")</f>
        <v>12.7</v>
      </c>
      <c r="BK4" s="11">
        <f>IF(SUM(AY4:AZ4,BB4:BD4,BF4)-SUM(BA4,BE4)&gt;0,SUM(AY4:AZ4,BB4:BD4,BF4)-SUM(BA4,BE4),"")</f>
        <v>46.8</v>
      </c>
      <c r="BL4" s="11">
        <f>IF(SUM(BI4,BK4)&gt;0,SUM(BI4,BK4),"")</f>
        <v>100.19999999999999</v>
      </c>
      <c r="BM4" s="19">
        <v>19</v>
      </c>
      <c r="BN4" s="19">
        <v>8.4</v>
      </c>
      <c r="BO4" s="19">
        <v>0.6</v>
      </c>
      <c r="BP4" s="19">
        <v>0</v>
      </c>
      <c r="BQ4" s="19">
        <v>18.7</v>
      </c>
      <c r="BR4" s="19">
        <v>8.1</v>
      </c>
      <c r="BS4" s="19">
        <v>0</v>
      </c>
      <c r="BT4" s="19">
        <v>0</v>
      </c>
      <c r="BU4" s="19">
        <v>19.100000000000001</v>
      </c>
      <c r="BV4" s="19">
        <v>8.4</v>
      </c>
      <c r="BW4" s="19">
        <v>0</v>
      </c>
      <c r="BX4" s="19">
        <v>0</v>
      </c>
      <c r="BY4" s="19">
        <v>18.600000000000001</v>
      </c>
      <c r="BZ4" s="19">
        <v>8.9</v>
      </c>
      <c r="CA4" s="19">
        <v>0.2</v>
      </c>
      <c r="CB4" s="19">
        <v>0.3</v>
      </c>
      <c r="CC4" s="27"/>
      <c r="CD4" s="40">
        <f>IF(SUM(BN4,BR4)&gt;0,SUM(BN4,BR4),"")</f>
        <v>16.5</v>
      </c>
      <c r="CE4" s="40">
        <f>IF(SUM(BM4:BN4,BP4:BR4,BT4)-BO4-BS4&gt;0,SUM(BM4:BN4,BP4:BR4,BT4)-BO4-BS4,"")</f>
        <v>53.599999999999994</v>
      </c>
      <c r="CF4" s="40">
        <f>IF(SUM(BV4,BZ4)&gt;0,SUM(BV4,BZ4),"")</f>
        <v>17.3</v>
      </c>
      <c r="CG4" s="40">
        <f>IF(SUM(BU4:BV4,BX4:BZ4,CB4)-SUM(BW4,CA4)&gt;0,SUM(BU4:BV4,BX4:BZ4,CB4)-SUM(BW4,CA4),"")</f>
        <v>55.099999999999994</v>
      </c>
      <c r="CH4" s="40">
        <f>IF(SUM(CE4,CG4)&gt;0,SUM(CE4,CG4),"")</f>
        <v>108.69999999999999</v>
      </c>
      <c r="CI4" s="50">
        <f>IF(MAX(DF4,EH4,FJ4,GL4,HN4,IP4,JR4,KT4,LV4,MX4,NZ4,PB4)-IF(N4="",0,N4)&gt;0.001,MAX(DF4,EH4,FJ4,GL4,HN4,IP4,JR4,KT4,LV4,MX4,NZ4,PB4)-IF(N4="",0,N4),"")</f>
        <v>0.20000000000000284</v>
      </c>
      <c r="CJ4" s="50" t="str">
        <f>IF(MAX(DK4,EM4,FO4,GQ4,HS4,IU4,JW4,KY4,MA4,NC4,OE4,PG4)-IF(P4="",0,P4)&gt;0.001,MAX(DK4,EM4,FO4,GQ4,HS4,IU4,JW4,KY4,MA4,NC4,OE4,PG4)-IF(P4="",0,P4),"")</f>
        <v/>
      </c>
      <c r="CK4" s="17">
        <v>18.8</v>
      </c>
      <c r="CL4" s="17">
        <v>8.4</v>
      </c>
      <c r="CM4" s="17">
        <v>0</v>
      </c>
      <c r="CN4" s="17">
        <v>0</v>
      </c>
      <c r="CO4" s="17">
        <v>18.399999999999999</v>
      </c>
      <c r="CP4" s="17">
        <v>8.1</v>
      </c>
      <c r="CQ4" s="17">
        <v>0</v>
      </c>
      <c r="CR4" s="17">
        <v>0</v>
      </c>
      <c r="CS4" s="17">
        <v>17.8</v>
      </c>
      <c r="CT4" s="17">
        <v>9.3000000000000007</v>
      </c>
      <c r="CU4" s="17">
        <v>0.8</v>
      </c>
      <c r="CV4" s="17">
        <v>0</v>
      </c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16.5</v>
      </c>
      <c r="DF4" s="40">
        <f>IF(SUM(CK4:CL4,CN4:CP4,CR4)-CM4-CQ4&gt;0,SUM(CK4:CL4,CN4:CP4,CR4)-CM4-CQ4,"")</f>
        <v>53.7</v>
      </c>
      <c r="DG4" s="40">
        <f>IF(SUM(CS4:CT4,CV4)-CU4&gt;0,SUM(CS4:CT4,CV4)-CU4,"")</f>
        <v>26.3</v>
      </c>
      <c r="DH4" s="40">
        <f>IF(SUM(CL4,CP4,CT4)&gt;0,SUM(CL4,CP4,CT4),"")</f>
        <v>25.8</v>
      </c>
      <c r="DI4" s="40">
        <f>IF(SUM(DF4,DG4)&gt;0,SUM(DF4,DG4),"")</f>
        <v>80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80</v>
      </c>
      <c r="DM4" s="18">
        <v>16.600000000000001</v>
      </c>
      <c r="DN4" s="18">
        <v>9.1999999999999993</v>
      </c>
      <c r="DO4" s="18">
        <v>0.8</v>
      </c>
      <c r="DP4" s="18">
        <v>0</v>
      </c>
      <c r="DQ4" s="18">
        <v>18</v>
      </c>
      <c r="DR4" s="18">
        <v>8.9</v>
      </c>
      <c r="DS4" s="18">
        <v>0.8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>IF(SUM(DN4,DR4)&gt;0,SUM(DN4,DR4),"")</f>
        <v>18.100000000000001</v>
      </c>
      <c r="EH4" s="11">
        <f>IF(SUM(DM4:DN4,DP4:DR4,DT4)-DO4-DS4&gt;0,SUM(DM4:DN4,DP4:DR4,DT4)-DO4-DS4,"")</f>
        <v>51.1</v>
      </c>
      <c r="EI4" s="11" t="str">
        <f>IF(SUM(DU4:DV4,DX4)-DW4&gt;0,SUM(DU4:DV4,DX4)-DW4,"")</f>
        <v/>
      </c>
      <c r="EJ4" s="11">
        <f>IF(SUM(DN4,DR4,DV4)&gt;0,SUM(DN4,DR4,DV4),"")</f>
        <v>18.100000000000001</v>
      </c>
      <c r="EK4" s="11">
        <f>IF(SUM(EH4,EI4)&gt;0,SUM(EH4,EI4),"")</f>
        <v>51.1</v>
      </c>
      <c r="EL4" s="11" t="str">
        <f>IF(SUM(DZ4,ED4)&gt;0,SUM(DZ4,ED4),"")</f>
        <v/>
      </c>
      <c r="EM4" s="11" t="str">
        <f>IF(SUM(DY4:DZ4,EB4:ED4,EF4)-SUM(EA4,EE4)&gt;0,SUM(DY4:DZ4,EB4:ED4,EF4)-SUM(EA4,EE4),"")</f>
        <v/>
      </c>
      <c r="EN4" s="11">
        <f>IF(SUM(EH4,EI4,EM4)&gt;0,SUM(EH4,EI4,EM4),"")</f>
        <v>51.1</v>
      </c>
      <c r="EO4" s="17">
        <v>18.399999999999999</v>
      </c>
      <c r="EP4" s="17">
        <v>9.5</v>
      </c>
      <c r="EQ4" s="17">
        <v>0</v>
      </c>
      <c r="ER4" s="17">
        <v>0</v>
      </c>
      <c r="ES4" s="17">
        <v>18.2</v>
      </c>
      <c r="ET4" s="17">
        <v>8.5</v>
      </c>
      <c r="EU4" s="17">
        <v>0.8</v>
      </c>
      <c r="EV4" s="17">
        <v>0</v>
      </c>
      <c r="EW4" s="17">
        <v>18.2</v>
      </c>
      <c r="EX4" s="17">
        <v>10.4</v>
      </c>
      <c r="EY4" s="17">
        <v>0.6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>IF(SUM(EP4,ET4)&gt;0,SUM(EP4,ET4),"")</f>
        <v>18</v>
      </c>
      <c r="FJ4" s="40">
        <f>IF(SUM(EO4:EP4,ER4:ET4,EV4)-EQ4-EU4&gt;0,SUM(EO4:EP4,ER4:ET4,EV4)-EQ4-EU4,"")</f>
        <v>53.8</v>
      </c>
      <c r="FK4" s="40">
        <f>IF(SUM(EW4:EX4,EZ4)-EY4&gt;0,SUM(EW4:EX4,EZ4)-EY4,"")</f>
        <v>28</v>
      </c>
      <c r="FL4" s="40">
        <f>IF(SUM(EP4,ET4,EX4)&gt;0,SUM(EP4,ET4,EX4),"")</f>
        <v>28.4</v>
      </c>
      <c r="FM4" s="40">
        <f>IF(SUM(FJ4,FK4)&gt;0,SUM(FJ4,FK4),"")</f>
        <v>81.8</v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>
        <f>IF(SUM(FJ4,FK4,FO4)&gt;0,SUM(FJ4,FK4,FO4),"")</f>
        <v>81.8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IF($CC4="P",BM4,(BM4+AQ4)/2)</f>
        <v>19.05</v>
      </c>
      <c r="PJ4" s="22">
        <f>IF($CC4="P",BN4,(BN4+AR4)/2)</f>
        <v>8.4</v>
      </c>
      <c r="PK4" s="22">
        <f>IF($CC4="P",BO4,(BO4+AS4)/2)</f>
        <v>0.3</v>
      </c>
      <c r="PL4" s="22">
        <f>IF($CC4="P",BP4,(BP4+AT4)/2)</f>
        <v>0</v>
      </c>
      <c r="PM4" s="22">
        <f>IF($CC4="P",BQ4,(BQ4+AU4)/2)</f>
        <v>18.649999999999999</v>
      </c>
      <c r="PN4" s="22">
        <f>IF($CC4="P",BR4,(BR4+AV4)/2)</f>
        <v>7.6999999999999993</v>
      </c>
      <c r="PO4" s="22">
        <f>IF($CC4="P",BS4,(BS4+AW4)/2)</f>
        <v>0</v>
      </c>
      <c r="PP4" s="22">
        <f>IF($CC4="P",BT4,(BT4+AX4)/2)</f>
        <v>0</v>
      </c>
      <c r="PQ4" s="22">
        <f>IF($CC4="P",BU4,(BU4+AY4)/2)</f>
        <v>18.899999999999999</v>
      </c>
      <c r="PR4" s="22">
        <f>IF($CC4="P",BV4,(BV4+AZ4)/2)</f>
        <v>8</v>
      </c>
      <c r="PS4" s="22">
        <f>IF($CC4="P",BW4,(BW4+BA4)/2)</f>
        <v>0</v>
      </c>
      <c r="PT4" s="22">
        <f>IF($CC4="P",BX4,(BX4+BB4)/2)</f>
        <v>0</v>
      </c>
      <c r="PU4" s="22">
        <f>IF($CC4="P",BY4,(BY4+BC4)/2)</f>
        <v>16.850000000000001</v>
      </c>
      <c r="PV4" s="22">
        <f>IF($CC4="P",BZ4,(BZ4+BD4)/2)</f>
        <v>7</v>
      </c>
      <c r="PW4" s="22">
        <f>IF($CC4="P",CA4,(CA4+BE4)/2)</f>
        <v>0.1</v>
      </c>
      <c r="PX4" s="22">
        <f>IF($CC4="P",CB4,(CB4+BF4)/2)</f>
        <v>0.3</v>
      </c>
      <c r="PY4" s="27" t="s">
        <v>46</v>
      </c>
      <c r="PZ4" s="40">
        <f>IF(SUM(PJ4,PN4)&gt;0,SUM(PJ4,PN4),"")</f>
        <v>16.100000000000001</v>
      </c>
      <c r="QA4" s="40">
        <f>IF(SUM(PI4:PJ4,PL4:PN4,PP4)-PK4-PO4&gt;0,SUM(PI4:PJ4,PL4:PN4,PP4)-PK4-PO4,"")</f>
        <v>53.5</v>
      </c>
      <c r="QB4" s="40">
        <f>IF(SUM(PR4,PV4)&gt;0,SUM(PR4,PV4),"")</f>
        <v>15</v>
      </c>
      <c r="QC4" s="40">
        <f>IF(SUM(PQ4:PR4,PT4:PV4,PX4)-SUM(PS4,PW4)&gt;0,SUM(PQ4:PR4,PT4:PV4,PX4)-SUM(PS4,PW4),"")</f>
        <v>50.949999999999996</v>
      </c>
      <c r="QD4" s="40">
        <f>IF(SUM(QA4,QC4)&gt;0,SUM(QA4,QC4),"")</f>
        <v>104.44999999999999</v>
      </c>
    </row>
    <row r="5" spans="1:446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131</v>
      </c>
      <c r="D5" s="4" t="s">
        <v>4</v>
      </c>
      <c r="E5" s="4">
        <v>2007</v>
      </c>
      <c r="F5" s="9">
        <f>SUM(L5:R5)+SUM(L5:O5)*0.0000001+SUM(L5)*0.0000000000001</f>
        <v>160.90001063000528</v>
      </c>
      <c r="G5" s="64" t="s">
        <v>46</v>
      </c>
      <c r="H5" s="3" t="str">
        <f>IF(OR(AND(AL5&gt;=AP$38,AM5&gt;=AP$42,AL5&lt;&gt;"",AK5=""),AND(AN5&gt;=AP$38,AO5&gt;=AP$42,AN5&lt;&gt;"",AK5=""),AND(BH5&gt;=BL$38,BI5&gt;=BL$42,BH5&lt;&gt;"",BG5=""),AND(BJ5&gt;=BL$38,BK5&gt;=BL$42,BJ5&lt;&gt;"",BG5=""),AND(CD5&gt;=CH$38,CE5&gt;=CH$42,CD5&lt;&gt;"",CC5=""),AND(CF5&gt;=CH$38,CG5&gt;=CH$42,CF5&lt;&gt;""),AND(DE5&gt;=DL$38,DF5&gt;=DL$42,DE5&lt;&gt;""),AND(DJ5&gt;=DL$38,DK5&gt;=DL$42,DJ5&lt;&gt;""),AND(EG5&gt;=EN$38,EH5&gt;=EN$42,EG5&lt;&gt;""),AND(EL5&gt;=EN$38,EM5&gt;=EN$42,EL5&lt;&gt;""),AND(FI5&gt;=FP$38,FJ5&gt;=FP$42,FI5&lt;&gt;""),AND(FN5&gt;=FP$38,FO5&gt;=FP$42,FN5&lt;&gt;""),AND(GK5&gt;=GR$38,GL5&gt;=GR$42,GK5&lt;&gt;""),AND(GP5&gt;=GR$38,GQ5&gt;=GR$42,GP5&lt;&gt;""),AND(HM5&gt;=HT$38,HN5&gt;=HT$42,HM5&lt;&gt;""),AND(HR5&gt;=HT$38,HS5&gt;=HT$42,HR5&lt;&gt;""),AND(IO5&gt;=IV$38,IP5&gt;=IV$42,IO5&lt;&gt;""),AND(IT5&gt;=IV$38,IU5&gt;=IV$42,IT5&lt;&gt;""),AND(JQ5&gt;=JX$38,JR5&gt;=JX$42,JQ5&lt;&gt;""),AND(JV5&gt;=JX$38,JW5&gt;=JX$42,JV5&lt;&gt;""),AND(KS5&gt;=KZ$38,KT5&gt;=KZ$42,KS5&lt;&gt;""),AND(KX5&gt;=KZ$38,KY5&gt;=KZ$42,KX5&lt;&gt;""),AND(LU5&gt;=MB$38,LV5&gt;=MB$42,LU5&lt;&gt;""),AND(LZ5&gt;=MB$38,MA5&gt;=MB$42,LZ5&lt;&gt;""),AND(MW5&gt;=ND$38,MX5&gt;=ND$42,MW5&lt;&gt;""),AND(NB5&gt;=ND$38,NC5&gt;=ND$42,NB5&lt;&gt;""),AND(NY5&gt;=OF$38,NZ5&gt;=OF$42,NY5&lt;&gt;""),AND(OD5&gt;=OF$38,OE5&gt;=OF$42,OD5&lt;&gt;""),AND(PA5&gt;=PH$38,PB5&gt;=PH$42,PA5&lt;&gt;""),AND(PF5&gt;=PH$38,PG5&gt;=PH$42,PF5&lt;&gt;"")),"P","")</f>
        <v>P</v>
      </c>
      <c r="I5" s="3" t="str">
        <f>IF(OR(AND(AM5&gt;=AP$42,AM5&lt;&gt;"",AK5=""),AND(AO5&gt;=AP$42,AO5&lt;&gt;"",AK5=""),AND(BI5&gt;=BL$42,BI5&lt;&gt;"",BG5=""),AND(BK5&gt;=BL$42,BK5&lt;&gt;"",BG5=""),AND(CE5&gt;=CH$42,CE5&lt;&gt;"",CC5=""),AND(CG5&gt;=CH$42,CG5&lt;&gt;"",CC5=""),AND(DF5&gt;=DL$42,DF5&lt;&gt;""),AND(DK5&gt;=DL$42,DK5&lt;&gt;""),AND(EH5&gt;=EN$42,EH5&lt;&gt;""),AND(EM5&gt;=EN$42,EM5&lt;&gt;""),AND(FJ5&gt;=FP$42,FJ5&lt;&gt;""),AND(FO5&gt;=FP$42,FO5&lt;&gt;""),AND(GL5&gt;=GR$42,GL5&lt;&gt;""),AND(GQ5&gt;=GR$42,GQ5&lt;&gt;""),AND(HN5&gt;=HT$42,HN5&lt;&gt;""),AND(HS5&gt;=HT$42,HS5&lt;&gt;""),AND(IP5&gt;=IV$42,IP5&lt;&gt;""),AND(IU5&gt;=IV$42,IU5&lt;&gt;""),AND(JR5&gt;=JX$42,JR5&lt;&gt;""),AND(JW5&gt;=JX$42,JW5&lt;&gt;""),AND(KT5&gt;=KZ$42,KT5&lt;&gt;""),AND(KY5&gt;=KZ$42,KY5&lt;&gt;""),AND(LV5&gt;=MB$42,LV5&lt;&gt;""),AND(MA5&gt;=MB$42,MA5&lt;&gt;""),AND(MX5&gt;=ND$42,MX5&lt;&gt;""),AND(NC5&gt;=ND$42,NC5&lt;&gt;""),AND(NZ5&gt;=OF$42,NZ5&lt;&gt;""),AND(OE5&gt;=OF$42,OE5&lt;&gt;""),AND(PB5&gt;=PH$42,PB5&lt;&gt;""),AND(PG5&gt;=PH$42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53.2</v>
      </c>
      <c r="M5" s="8" t="str">
        <f>IF(L5=0,"",IF(L5=CE5,$BM$1,IF(L5=BI5,$AQ$1,IF(L5=AM5,$U$1,""))))</f>
        <v>2025 3rd Domestic Trial</v>
      </c>
      <c r="N5" s="8">
        <f>IF(COUNT(AM5,BI5,CE5)&gt;1,LARGE((AM5,BI5,CE5),2),0)</f>
        <v>53.099999999999994</v>
      </c>
      <c r="O5" s="8" t="str">
        <f>IF(N5=0,"",IF(AND(N5=L5,N5=AM5,N5=BI5),$U$1,IF(AND(N5=L5,N5=AM5,N5=CE5),$U$1,IF(AND(N5=L5,N5=BI5,N5=CE5),$AQ$1,IF(N5=CE5,$BM$1,IF(N5=BI5,$AQ$1,IF(N5=AM5,$U$1,"")))))))</f>
        <v>2025 Nationals</v>
      </c>
      <c r="P5" s="8">
        <f>IF(MAX(AO5,BK5,CG5)&gt;0,MAX(AO5,BK5,CG5),0)</f>
        <v>54.599999999999994</v>
      </c>
      <c r="Q5" s="8" t="str">
        <f>IF(P5=0,"",IF(P5=CG5,$BM$1,IF(P5=BK5,$AQ$1,IF(P5=AO5,$U$1,""))))</f>
        <v>2025 3rd Domestic Trial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>
        <v>18.600000000000001</v>
      </c>
      <c r="AD5" s="19">
        <v>8.4</v>
      </c>
      <c r="AE5" s="19">
        <v>0.6</v>
      </c>
      <c r="AF5" s="19">
        <v>0</v>
      </c>
      <c r="AG5" s="19">
        <v>18.2</v>
      </c>
      <c r="AH5" s="19">
        <v>7.7</v>
      </c>
      <c r="AI5" s="19">
        <v>0.2</v>
      </c>
      <c r="AJ5" s="19">
        <v>0</v>
      </c>
      <c r="AK5" s="27"/>
      <c r="AL5" s="40">
        <f>IF(SUM(V5,Z5)&gt;0,SUM(V5,Z5),"")</f>
        <v>16.100000000000001</v>
      </c>
      <c r="AM5" s="40">
        <f>IF(SUM(U5:V5,X5:Z5,AB5)-W5-AA5&gt;0,SUM(U5:V5,X5:Z5,AB5)-W5-AA5,"")</f>
        <v>52.7</v>
      </c>
      <c r="AN5" s="40">
        <f>IF(SUM(AD5,AH5)&gt;0,SUM(AD5,AH5),"")</f>
        <v>16.100000000000001</v>
      </c>
      <c r="AO5" s="40">
        <f>IF(SUM(AC5:AD5,AF5:AH5,AJ5)-SUM(AE5,AI5)&gt;0,SUM(AC5:AD5,AF5:AH5,AJ5)-SUM(AE5,AI5),"")</f>
        <v>52.100000000000009</v>
      </c>
      <c r="AP5" s="40">
        <f>IF(SUM(AM5,AO5)&gt;0,SUM(AM5,AO5),"")</f>
        <v>104.80000000000001</v>
      </c>
      <c r="AQ5" s="18">
        <v>19</v>
      </c>
      <c r="AR5" s="18">
        <v>8.4</v>
      </c>
      <c r="AS5" s="18">
        <v>0.2</v>
      </c>
      <c r="AT5" s="18">
        <v>0</v>
      </c>
      <c r="AU5" s="18">
        <v>18.2</v>
      </c>
      <c r="AV5" s="18">
        <v>7.7</v>
      </c>
      <c r="AW5" s="18">
        <v>0</v>
      </c>
      <c r="AX5" s="18">
        <v>0</v>
      </c>
      <c r="AY5" s="18">
        <v>18.7</v>
      </c>
      <c r="AZ5" s="18">
        <v>8.4</v>
      </c>
      <c r="BA5" s="18">
        <v>0.8</v>
      </c>
      <c r="BB5" s="18">
        <v>0</v>
      </c>
      <c r="BC5" s="18">
        <v>18.5</v>
      </c>
      <c r="BD5" s="18">
        <v>7.7</v>
      </c>
      <c r="BE5" s="18">
        <v>0.2</v>
      </c>
      <c r="BF5" s="18">
        <v>0</v>
      </c>
      <c r="BG5" s="28"/>
      <c r="BH5" s="11">
        <f>IF(SUM(AR5,AV5)&gt;0,SUM(AR5,AV5),"")</f>
        <v>16.100000000000001</v>
      </c>
      <c r="BI5" s="11">
        <f>IF(SUM(AQ5:AR5,AT5:AV5,AX5)-AS5-AW5&gt;0,SUM(AQ5:AR5,AT5:AV5,AX5)-AS5-AW5,"")</f>
        <v>53.099999999999994</v>
      </c>
      <c r="BJ5" s="11">
        <f>IF(SUM(AZ5,BD5)&gt;0,SUM(AZ5,BD5),"")</f>
        <v>16.100000000000001</v>
      </c>
      <c r="BK5" s="11">
        <f>IF(SUM(AY5:AZ5,BB5:BD5,BF5)-SUM(BA5,BE5)&gt;0,SUM(AY5:AZ5,BB5:BD5,BF5)-SUM(BA5,BE5),"")</f>
        <v>52.300000000000004</v>
      </c>
      <c r="BL5" s="11">
        <f>IF(SUM(BI5,BK5)&gt;0,SUM(BI5,BK5),"")</f>
        <v>105.4</v>
      </c>
      <c r="BM5" s="19">
        <v>19.100000000000001</v>
      </c>
      <c r="BN5" s="19">
        <v>8</v>
      </c>
      <c r="BO5" s="19">
        <v>0</v>
      </c>
      <c r="BP5" s="19">
        <v>0.3</v>
      </c>
      <c r="BQ5" s="19">
        <v>18.8</v>
      </c>
      <c r="BR5" s="19">
        <v>7.6</v>
      </c>
      <c r="BS5" s="19">
        <v>0.6</v>
      </c>
      <c r="BT5" s="19">
        <v>0</v>
      </c>
      <c r="BU5" s="19">
        <v>18.899999999999999</v>
      </c>
      <c r="BV5" s="19">
        <v>8</v>
      </c>
      <c r="BW5" s="19">
        <v>0.2</v>
      </c>
      <c r="BX5" s="19">
        <v>0.3</v>
      </c>
      <c r="BY5" s="19">
        <v>19.2</v>
      </c>
      <c r="BZ5" s="19">
        <v>8.4</v>
      </c>
      <c r="CA5" s="19">
        <v>0</v>
      </c>
      <c r="CB5" s="19">
        <v>0</v>
      </c>
      <c r="CC5" s="27"/>
      <c r="CD5" s="40">
        <f>IF(SUM(BN5,BR5)&gt;0,SUM(BN5,BR5),"")</f>
        <v>15.6</v>
      </c>
      <c r="CE5" s="40">
        <f>IF(SUM(BM5:BN5,BP5:BR5,BT5)-BO5-BS5&gt;0,SUM(BM5:BN5,BP5:BR5,BT5)-BO5-BS5,"")</f>
        <v>53.2</v>
      </c>
      <c r="CF5" s="40">
        <f>IF(SUM(BV5,BZ5)&gt;0,SUM(BV5,BZ5),"")</f>
        <v>16.399999999999999</v>
      </c>
      <c r="CG5" s="40">
        <f>IF(SUM(BU5:BV5,BX5:BZ5,CB5)-SUM(BW5,CA5)&gt;0,SUM(BU5:BV5,BX5:BZ5,CB5)-SUM(BW5,CA5),"")</f>
        <v>54.599999999999994</v>
      </c>
      <c r="CH5" s="40">
        <f>IF(SUM(CE5,CG5)&gt;0,SUM(CE5,CG5),"")</f>
        <v>107.8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>
        <v>18.399999999999999</v>
      </c>
      <c r="DN5" s="18">
        <v>5.2</v>
      </c>
      <c r="DO5" s="18">
        <v>0.6</v>
      </c>
      <c r="DP5" s="18">
        <v>0</v>
      </c>
      <c r="DQ5" s="18">
        <v>19</v>
      </c>
      <c r="DR5" s="18">
        <v>8.4</v>
      </c>
      <c r="DS5" s="18">
        <v>0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>IF(SUM(DN5,DR5)&gt;0,SUM(DN5,DR5),"")</f>
        <v>13.600000000000001</v>
      </c>
      <c r="EH5" s="11">
        <f>IF(SUM(DM5:DN5,DP5:DR5,DT5)-DO5-DS5&gt;0,SUM(DM5:DN5,DP5:DR5,DT5)-DO5-DS5,"")</f>
        <v>50.399999999999991</v>
      </c>
      <c r="EI5" s="11" t="str">
        <f>IF(SUM(DU5:DV5,DX5)-DW5&gt;0,SUM(DU5:DV5,DX5)-DW5,"")</f>
        <v/>
      </c>
      <c r="EJ5" s="11">
        <f>IF(SUM(DN5,DR5,DV5)&gt;0,SUM(DN5,DR5,DV5),"")</f>
        <v>13.600000000000001</v>
      </c>
      <c r="EK5" s="11">
        <f>IF(SUM(EH5,EI5)&gt;0,SUM(EH5,EI5),"")</f>
        <v>50.399999999999991</v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>
        <f>IF(SUM(EH5,EI5,EM5)&gt;0,SUM(EH5,EI5,EM5),"")</f>
        <v>50.399999999999991</v>
      </c>
      <c r="EO5" s="17">
        <v>15.5</v>
      </c>
      <c r="EP5" s="17">
        <v>4</v>
      </c>
      <c r="EQ5" s="17">
        <v>0</v>
      </c>
      <c r="ER5" s="17">
        <v>0</v>
      </c>
      <c r="ES5" s="17">
        <v>18</v>
      </c>
      <c r="ET5" s="17">
        <v>9.5</v>
      </c>
      <c r="EU5" s="17">
        <v>0.8</v>
      </c>
      <c r="EV5" s="17">
        <v>0</v>
      </c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>
        <f>IF(SUM(EP5,ET5)&gt;0,SUM(EP5,ET5),"")</f>
        <v>13.5</v>
      </c>
      <c r="FJ5" s="40">
        <f>IF(SUM(EO5:EP5,ER5:ET5,EV5)-EQ5-EU5&gt;0,SUM(EO5:EP5,ER5:ET5,EV5)-EQ5-EU5,"")</f>
        <v>46.2</v>
      </c>
      <c r="FK5" s="40" t="str">
        <f>IF(SUM(EW5:EX5,EZ5)-EY5&gt;0,SUM(EW5:EX5,EZ5)-EY5,"")</f>
        <v/>
      </c>
      <c r="FL5" s="40">
        <f>IF(SUM(EP5,ET5,EX5)&gt;0,SUM(EP5,ET5,EX5),"")</f>
        <v>13.5</v>
      </c>
      <c r="FM5" s="40">
        <f>IF(SUM(FJ5,FK5)&gt;0,SUM(FJ5,FK5),"")</f>
        <v>46.2</v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>
        <f>IF(SUM(FJ5,FK5,FO5)&gt;0,SUM(FJ5,FK5,FO5),"")</f>
        <v>46.2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IF($CC5="P",BM5,(BM5+AQ5)/2)</f>
        <v>19.05</v>
      </c>
      <c r="PJ5" s="22">
        <f>IF($CC5="P",BN5,(BN5+AR5)/2)</f>
        <v>8.1999999999999993</v>
      </c>
      <c r="PK5" s="22">
        <f>IF($CC5="P",BO5,(BO5+AS5)/2)</f>
        <v>0.1</v>
      </c>
      <c r="PL5" s="22">
        <f>IF($CC5="P",BP5,(BP5+AT5)/2)</f>
        <v>0.15</v>
      </c>
      <c r="PM5" s="22">
        <f>IF($CC5="P",BQ5,(BQ5+AU5)/2)</f>
        <v>18.5</v>
      </c>
      <c r="PN5" s="22">
        <f>IF($CC5="P",BR5,(BR5+AV5)/2)</f>
        <v>7.65</v>
      </c>
      <c r="PO5" s="22">
        <f>IF($CC5="P",BS5,(BS5+AW5)/2)</f>
        <v>0.3</v>
      </c>
      <c r="PP5" s="22">
        <f>IF($CC5="P",BT5,(BT5+AX5)/2)</f>
        <v>0</v>
      </c>
      <c r="PQ5" s="22">
        <f>IF($CC5="P",BU5,(BU5+AY5)/2)</f>
        <v>18.799999999999997</v>
      </c>
      <c r="PR5" s="22">
        <f>IF($CC5="P",BV5,(BV5+AZ5)/2)</f>
        <v>8.1999999999999993</v>
      </c>
      <c r="PS5" s="22">
        <f>IF($CC5="P",BW5,(BW5+BA5)/2)</f>
        <v>0.5</v>
      </c>
      <c r="PT5" s="22">
        <f>IF($CC5="P",BX5,(BX5+BB5)/2)</f>
        <v>0.15</v>
      </c>
      <c r="PU5" s="22">
        <f>IF($CC5="P",BY5,(BY5+BC5)/2)</f>
        <v>18.850000000000001</v>
      </c>
      <c r="PV5" s="22">
        <f>IF($CC5="P",BZ5,(BZ5+BD5)/2)</f>
        <v>8.0500000000000007</v>
      </c>
      <c r="PW5" s="22">
        <f>IF($CC5="P",CA5,(CA5+BE5)/2)</f>
        <v>0.1</v>
      </c>
      <c r="PX5" s="22">
        <f>IF($CC5="P",CB5,(CB5+BF5)/2)</f>
        <v>0</v>
      </c>
      <c r="PY5" s="27" t="s">
        <v>46</v>
      </c>
      <c r="PZ5" s="40">
        <f>IF(SUM(PJ5,PN5)&gt;0,SUM(PJ5,PN5),"")</f>
        <v>15.85</v>
      </c>
      <c r="QA5" s="40">
        <f>IF(SUM(PI5:PJ5,PL5:PN5,PP5)-PK5-PO5&gt;0,SUM(PI5:PJ5,PL5:PN5,PP5)-PK5-PO5,"")</f>
        <v>53.15</v>
      </c>
      <c r="QB5" s="40">
        <f>IF(SUM(PR5,PV5)&gt;0,SUM(PR5,PV5),"")</f>
        <v>16.25</v>
      </c>
      <c r="QC5" s="40">
        <f>IF(SUM(PQ5:PR5,PT5:PV5,PX5)-SUM(PS5,PW5)&gt;0,SUM(PQ5:PR5,PT5:PV5,PX5)-SUM(PS5,PW5),"")</f>
        <v>53.449999999999996</v>
      </c>
      <c r="QD5" s="40">
        <f>IF(SUM(QA5,QC5)&gt;0,SUM(QA5,QC5),"")</f>
        <v>106.6</v>
      </c>
    </row>
    <row r="6" spans="1:446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89</v>
      </c>
      <c r="D6" s="4" t="s">
        <v>4</v>
      </c>
      <c r="E6" s="4">
        <v>2004</v>
      </c>
      <c r="F6" s="9">
        <f>SUM(L6:R6)+SUM(L6:O6)*0.0000001+SUM(L6)*0.0000000000001</f>
        <v>160.60001053000539</v>
      </c>
      <c r="G6" s="64" t="s">
        <v>46</v>
      </c>
      <c r="H6" s="3" t="str">
        <f>IF(OR(AND(AL6&gt;=AP$38,AM6&gt;=AP$42,AL6&lt;&gt;"",AK6=""),AND(AN6&gt;=AP$38,AO6&gt;=AP$42,AN6&lt;&gt;"",AK6=""),AND(BH6&gt;=BL$38,BI6&gt;=BL$42,BH6&lt;&gt;"",BG6=""),AND(BJ6&gt;=BL$38,BK6&gt;=BL$42,BJ6&lt;&gt;"",BG6=""),AND(CD6&gt;=CH$38,CE6&gt;=CH$42,CD6&lt;&gt;"",CC6=""),AND(CF6&gt;=CH$38,CG6&gt;=CH$42,CF6&lt;&gt;""),AND(DE6&gt;=DL$38,DF6&gt;=DL$42,DE6&lt;&gt;""),AND(DJ6&gt;=DL$38,DK6&gt;=DL$42,DJ6&lt;&gt;""),AND(EG6&gt;=EN$38,EH6&gt;=EN$42,EG6&lt;&gt;""),AND(EL6&gt;=EN$38,EM6&gt;=EN$42,EL6&lt;&gt;""),AND(FI6&gt;=FP$38,FJ6&gt;=FP$42,FI6&lt;&gt;""),AND(FN6&gt;=FP$38,FO6&gt;=FP$42,FN6&lt;&gt;""),AND(GK6&gt;=GR$38,GL6&gt;=GR$42,GK6&lt;&gt;""),AND(GP6&gt;=GR$38,GQ6&gt;=GR$42,GP6&lt;&gt;""),AND(HM6&gt;=HT$38,HN6&gt;=HT$42,HM6&lt;&gt;""),AND(HR6&gt;=HT$38,HS6&gt;=HT$42,HR6&lt;&gt;""),AND(IO6&gt;=IV$38,IP6&gt;=IV$42,IO6&lt;&gt;""),AND(IT6&gt;=IV$38,IU6&gt;=IV$42,IT6&lt;&gt;""),AND(JQ6&gt;=JX$38,JR6&gt;=JX$42,JQ6&lt;&gt;""),AND(JV6&gt;=JX$38,JW6&gt;=JX$42,JV6&lt;&gt;""),AND(KS6&gt;=KZ$38,KT6&gt;=KZ$42,KS6&lt;&gt;""),AND(KX6&gt;=KZ$38,KY6&gt;=KZ$42,KX6&lt;&gt;""),AND(LU6&gt;=MB$38,LV6&gt;=MB$42,LU6&lt;&gt;""),AND(LZ6&gt;=MB$38,MA6&gt;=MB$42,LZ6&lt;&gt;""),AND(MW6&gt;=ND$38,MX6&gt;=ND$42,MW6&lt;&gt;""),AND(NB6&gt;=ND$38,NC6&gt;=ND$42,NB6&lt;&gt;""),AND(NY6&gt;=OF$38,NZ6&gt;=OF$42,NY6&lt;&gt;""),AND(OD6&gt;=OF$38,OE6&gt;=OF$42,OD6&lt;&gt;""),AND(PA6&gt;=PH$38,PB6&gt;=PH$42,PA6&lt;&gt;""),AND(PF6&gt;=PH$38,PG6&gt;=PH$42,PF6&lt;&gt;"")),"P","")</f>
        <v>P</v>
      </c>
      <c r="I6" s="3" t="str">
        <f>IF(OR(AND(AM6&gt;=AP$42,AM6&lt;&gt;"",AK6=""),AND(AO6&gt;=AP$42,AO6&lt;&gt;"",AK6=""),AND(BI6&gt;=BL$42,BI6&lt;&gt;"",BG6=""),AND(BK6&gt;=BL$42,BK6&lt;&gt;"",BG6=""),AND(CE6&gt;=CH$42,CE6&lt;&gt;"",CC6=""),AND(CG6&gt;=CH$42,CG6&lt;&gt;"",CC6=""),AND(DF6&gt;=DL$42,DF6&lt;&gt;""),AND(DK6&gt;=DL$42,DK6&lt;&gt;""),AND(EH6&gt;=EN$42,EH6&lt;&gt;""),AND(EM6&gt;=EN$42,EM6&lt;&gt;""),AND(FJ6&gt;=FP$42,FJ6&lt;&gt;""),AND(FO6&gt;=FP$42,FO6&lt;&gt;""),AND(GL6&gt;=GR$42,GL6&lt;&gt;""),AND(GQ6&gt;=GR$42,GQ6&lt;&gt;""),AND(HN6&gt;=HT$42,HN6&lt;&gt;""),AND(HS6&gt;=HT$42,HS6&lt;&gt;""),AND(IP6&gt;=IV$42,IP6&lt;&gt;""),AND(IU6&gt;=IV$42,IU6&lt;&gt;""),AND(JR6&gt;=JX$42,JR6&lt;&gt;""),AND(JW6&gt;=JX$42,JW6&lt;&gt;""),AND(KT6&gt;=KZ$42,KT6&lt;&gt;""),AND(KY6&gt;=KZ$42,KY6&lt;&gt;""),AND(LV6&gt;=MB$42,LV6&lt;&gt;""),AND(MA6&gt;=MB$42,MA6&lt;&gt;""),AND(MX6&gt;=ND$42,MX6&lt;&gt;""),AND(NC6&gt;=ND$42,NC6&lt;&gt;""),AND(NZ6&gt;=OF$42,NZ6&lt;&gt;""),AND(OE6&gt;=OF$42,OE6&lt;&gt;""),AND(PB6&gt;=PH$42,PB6&lt;&gt;""),AND(PG6&gt;=PH$42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54.399999999999991</v>
      </c>
      <c r="M6" s="8" t="str">
        <f>IF(L6=0,"",IF(L6=CE6,$BM$1,IF(L6=BI6,$AQ$1,IF(L6=AM6,$U$1,""))))</f>
        <v>2025 Nationals</v>
      </c>
      <c r="N6" s="8">
        <f>IF(COUNT(AM6,BI6,CE6)&gt;1,LARGE((AM6,BI6,CE6),2),0)</f>
        <v>50.900000000000006</v>
      </c>
      <c r="O6" s="8" t="str">
        <f>IF(N6=0,"",IF(AND(N6=L6,N6=AM6,N6=BI6),$U$1,IF(AND(N6=L6,N6=AM6,N6=CE6),$U$1,IF(AND(N6=L6,N6=BI6,N6=CE6),$AQ$1,IF(N6=CE6,$BM$1,IF(N6=BI6,$AQ$1,IF(N6=AM6,$U$1,"")))))))</f>
        <v>2025 Elite Canada</v>
      </c>
      <c r="P6" s="8">
        <f>IF(MAX(AO6,BK6,CG6)&gt;0,MAX(AO6,BK6,CG6),0)</f>
        <v>53.099999999999994</v>
      </c>
      <c r="Q6" s="8" t="str">
        <f>IF(P6=0,"",IF(P6=CG6,$BM$1,IF(P6=BK6,$AQ$1,IF(P6=AO6,$U$1,""))))</f>
        <v>2025 Nationals</v>
      </c>
      <c r="R6" s="8">
        <f>IF(MAX(CI6:CJ6)&gt;0,MAX(CI6:CJ6),"")</f>
        <v>2.2000000000000028</v>
      </c>
      <c r="S6" s="11" t="str">
        <f>IF(R6="","",IF(R6=CI6,"("&amp;CI$2&amp;")",IF(R6=CJ6,"("&amp;CJ$2&amp;")")))</f>
        <v>(Q1)</v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>2025 WAGC (Nov 16)</v>
      </c>
      <c r="U6" s="19">
        <v>18.399999999999999</v>
      </c>
      <c r="V6" s="19">
        <v>8</v>
      </c>
      <c r="W6" s="19">
        <v>0.2</v>
      </c>
      <c r="X6" s="19">
        <v>0</v>
      </c>
      <c r="Y6" s="19">
        <v>17.8</v>
      </c>
      <c r="Z6" s="19">
        <v>7.7</v>
      </c>
      <c r="AA6" s="19">
        <v>0.8</v>
      </c>
      <c r="AB6" s="19">
        <v>0</v>
      </c>
      <c r="AC6" s="19">
        <v>18.100000000000001</v>
      </c>
      <c r="AD6" s="19">
        <v>7.2</v>
      </c>
      <c r="AE6" s="19">
        <v>0.6</v>
      </c>
      <c r="AF6" s="19">
        <v>0</v>
      </c>
      <c r="AG6" s="19">
        <v>17.899999999999999</v>
      </c>
      <c r="AH6" s="19">
        <v>7.7</v>
      </c>
      <c r="AI6" s="19">
        <v>0.8</v>
      </c>
      <c r="AJ6" s="19">
        <v>0</v>
      </c>
      <c r="AK6" s="27"/>
      <c r="AL6" s="40">
        <f>IF(SUM(V6,Z6)&gt;0,SUM(V6,Z6),"")</f>
        <v>15.7</v>
      </c>
      <c r="AM6" s="40">
        <f>IF(SUM(U6:V6,X6:Z6,AB6)-W6-AA6&gt;0,SUM(U6:V6,X6:Z6,AB6)-W6-AA6,"")</f>
        <v>50.900000000000006</v>
      </c>
      <c r="AN6" s="40">
        <f>IF(SUM(AD6,AH6)&gt;0,SUM(AD6,AH6),"")</f>
        <v>14.9</v>
      </c>
      <c r="AO6" s="40">
        <f>IF(SUM(AC6:AD6,AF6:AH6,AJ6)-SUM(AE6,AI6)&gt;0,SUM(AC6:AD6,AF6:AH6,AJ6)-SUM(AE6,AI6),"")</f>
        <v>49.500000000000007</v>
      </c>
      <c r="AP6" s="40">
        <f>IF(SUM(AM6,AO6)&gt;0,SUM(AM6,AO6),"")</f>
        <v>100.4</v>
      </c>
      <c r="AQ6" s="18">
        <v>19</v>
      </c>
      <c r="AR6" s="18">
        <v>8.4</v>
      </c>
      <c r="AS6" s="18">
        <v>0</v>
      </c>
      <c r="AT6" s="18">
        <v>0</v>
      </c>
      <c r="AU6" s="18">
        <v>18</v>
      </c>
      <c r="AV6" s="18">
        <v>8.6999999999999993</v>
      </c>
      <c r="AW6" s="18">
        <v>0</v>
      </c>
      <c r="AX6" s="18">
        <v>0.3</v>
      </c>
      <c r="AY6" s="18">
        <v>18.7</v>
      </c>
      <c r="AZ6" s="18">
        <v>8.4</v>
      </c>
      <c r="BA6" s="18">
        <v>1</v>
      </c>
      <c r="BB6" s="18">
        <v>0</v>
      </c>
      <c r="BC6" s="18">
        <v>18.2</v>
      </c>
      <c r="BD6" s="18">
        <v>8.6999999999999993</v>
      </c>
      <c r="BE6" s="18">
        <v>0.2</v>
      </c>
      <c r="BF6" s="18">
        <v>0.3</v>
      </c>
      <c r="BG6" s="28"/>
      <c r="BH6" s="11">
        <f>IF(SUM(AR6,AV6)&gt;0,SUM(AR6,AV6),"")</f>
        <v>17.100000000000001</v>
      </c>
      <c r="BI6" s="11">
        <f>IF(SUM(AQ6:AR6,AT6:AV6,AX6)-AS6-AW6&gt;0,SUM(AQ6:AR6,AT6:AV6,AX6)-AS6-AW6,"")</f>
        <v>54.399999999999991</v>
      </c>
      <c r="BJ6" s="11">
        <f>IF(SUM(AZ6,BD6)&gt;0,SUM(AZ6,BD6),"")</f>
        <v>17.100000000000001</v>
      </c>
      <c r="BK6" s="11">
        <f>IF(SUM(AY6:AZ6,BB6:BD6,BF6)-SUM(BA6,BE6)&gt;0,SUM(AY6:AZ6,BB6:BD6,BF6)-SUM(BA6,BE6),"")</f>
        <v>53.099999999999994</v>
      </c>
      <c r="BL6" s="11">
        <f>IF(SUM(BI6,BK6)&gt;0,SUM(BI6,BK6),"")</f>
        <v>107.49999999999999</v>
      </c>
      <c r="BM6" s="19">
        <v>15.7</v>
      </c>
      <c r="BN6" s="19">
        <v>4</v>
      </c>
      <c r="BO6" s="19">
        <v>0</v>
      </c>
      <c r="BP6" s="19">
        <v>0</v>
      </c>
      <c r="BQ6" s="19">
        <v>18.600000000000001</v>
      </c>
      <c r="BR6" s="19">
        <v>9.5</v>
      </c>
      <c r="BS6" s="19">
        <v>0</v>
      </c>
      <c r="BT6" s="19">
        <v>0.3</v>
      </c>
      <c r="BU6" s="19">
        <v>15.3</v>
      </c>
      <c r="BV6" s="19">
        <v>3.2</v>
      </c>
      <c r="BW6" s="19">
        <v>0</v>
      </c>
      <c r="BX6" s="19">
        <v>0</v>
      </c>
      <c r="BY6" s="19">
        <v>15.1</v>
      </c>
      <c r="BZ6" s="19">
        <v>5.0999999999999996</v>
      </c>
      <c r="CA6" s="19">
        <v>0</v>
      </c>
      <c r="CB6" s="19">
        <v>0.3</v>
      </c>
      <c r="CC6" s="27"/>
      <c r="CD6" s="40">
        <f>IF(SUM(BN6,BR6)&gt;0,SUM(BN6,BR6),"")</f>
        <v>13.5</v>
      </c>
      <c r="CE6" s="40">
        <f>IF(SUM(BM6:BN6,BP6:BR6,BT6)-BO6-BS6&gt;0,SUM(BM6:BN6,BP6:BR6,BT6)-BO6-BS6,"")</f>
        <v>48.099999999999994</v>
      </c>
      <c r="CF6" s="40">
        <f>IF(SUM(BV6,BZ6)&gt;0,SUM(BV6,BZ6),"")</f>
        <v>8.3000000000000007</v>
      </c>
      <c r="CG6" s="40">
        <f>IF(SUM(BU6:BV6,BX6:BZ6,CB6)-SUM(BW6,CA6)&gt;0,SUM(BU6:BV6,BX6:BZ6,CB6)-SUM(BW6,CA6),"")</f>
        <v>39</v>
      </c>
      <c r="CH6" s="40">
        <f>IF(SUM(CE6,CG6)&gt;0,SUM(CE6,CG6),"")</f>
        <v>87.1</v>
      </c>
      <c r="CI6" s="50">
        <f>IF(MAX(DF6,EH6,FJ6,GL6,HN6,IP6,JR6,KT6,LV6,MX6,NZ6,PB6)-IF(N6="",0,N6)&gt;0.001,MAX(DF6,EH6,FJ6,GL6,HN6,IP6,JR6,KT6,LV6,MX6,NZ6,PB6)-IF(N6="",0,N6),"")</f>
        <v>2.2000000000000028</v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>
        <v>18.600000000000001</v>
      </c>
      <c r="FR6" s="18">
        <v>8.4</v>
      </c>
      <c r="FS6" s="18">
        <v>0</v>
      </c>
      <c r="FT6" s="18">
        <v>0</v>
      </c>
      <c r="FU6" s="18">
        <v>18.2</v>
      </c>
      <c r="FV6" s="18">
        <v>8.6999999999999993</v>
      </c>
      <c r="FW6" s="18">
        <v>0.8</v>
      </c>
      <c r="FX6" s="18">
        <v>0</v>
      </c>
      <c r="FY6" s="18"/>
      <c r="FZ6" s="18"/>
      <c r="GA6" s="18"/>
      <c r="GB6" s="18"/>
      <c r="GC6" s="18">
        <v>18.399999999999999</v>
      </c>
      <c r="GD6" s="18">
        <v>9.5</v>
      </c>
      <c r="GE6" s="18">
        <v>0</v>
      </c>
      <c r="GF6" s="18">
        <v>0</v>
      </c>
      <c r="GG6" s="18">
        <v>18.399999999999999</v>
      </c>
      <c r="GH6" s="18">
        <v>7.6</v>
      </c>
      <c r="GI6" s="18">
        <v>0.8</v>
      </c>
      <c r="GJ6" s="18">
        <v>0</v>
      </c>
      <c r="GK6" s="11">
        <f>IF(SUM(FR6,FV6)&gt;0,SUM(FR6,FV6),"")</f>
        <v>17.100000000000001</v>
      </c>
      <c r="GL6" s="11">
        <f>IF(SUM(FQ6:FR6,FT6:FV6,FX6)-FS6-FW6&gt;0,SUM(FQ6:FR6,FT6:FV6,FX6)-FS6-FW6,"")</f>
        <v>53.100000000000009</v>
      </c>
      <c r="GM6" s="11" t="str">
        <f>IF(SUM(FY6:FZ6,GB6)-GA6&gt;0,SUM(FY6:FZ6,GB6)-GA6,"")</f>
        <v/>
      </c>
      <c r="GN6" s="11">
        <f>IF(SUM(FR6,FV6,FZ6)&gt;0,SUM(FR6,FV6,FZ6),"")</f>
        <v>17.100000000000001</v>
      </c>
      <c r="GO6" s="11">
        <f>IF(SUM(GL6,GM6)&gt;0,SUM(GL6,GM6),"")</f>
        <v>53.100000000000009</v>
      </c>
      <c r="GP6" s="11">
        <f>IF(SUM(GD6,GH6)&gt;0,SUM(GD6,GH6),"")</f>
        <v>17.100000000000001</v>
      </c>
      <c r="GQ6" s="11">
        <f>IF(SUM(GC6:GD6,GF6:GH6,GJ6)-SUM(GE6,GI6)&gt;0,SUM(GC6:GD6,GF6:GH6,GJ6)-SUM(GE6,GI6),"")</f>
        <v>53.1</v>
      </c>
      <c r="GR6" s="11">
        <f>IF(SUM(GL6,GM6,GQ6)&gt;0,SUM(GL6,GM6,GQ6),"")</f>
        <v>106.20000000000002</v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IF($CC6="P",BM6,(BM6+AQ6)/2)</f>
        <v>17.350000000000001</v>
      </c>
      <c r="PJ6" s="22">
        <f>IF($CC6="P",BN6,(BN6+AR6)/2)</f>
        <v>6.2</v>
      </c>
      <c r="PK6" s="22">
        <f>IF($CC6="P",BO6,(BO6+AS6)/2)</f>
        <v>0</v>
      </c>
      <c r="PL6" s="22">
        <f>IF($CC6="P",BP6,(BP6+AT6)/2)</f>
        <v>0</v>
      </c>
      <c r="PM6" s="22">
        <f>IF($CC6="P",BQ6,(BQ6+AU6)/2)</f>
        <v>18.3</v>
      </c>
      <c r="PN6" s="22">
        <f>IF($CC6="P",BR6,(BR6+AV6)/2)</f>
        <v>9.1</v>
      </c>
      <c r="PO6" s="22">
        <f>IF($CC6="P",BS6,(BS6+AW6)/2)</f>
        <v>0</v>
      </c>
      <c r="PP6" s="22">
        <f>IF($CC6="P",BT6,(BT6+AX6)/2)</f>
        <v>0.3</v>
      </c>
      <c r="PQ6" s="22">
        <f>IF($CC6="P",BU6,(BU6+AY6)/2)</f>
        <v>17</v>
      </c>
      <c r="PR6" s="22">
        <f>IF($CC6="P",BV6,(BV6+AZ6)/2)</f>
        <v>5.8000000000000007</v>
      </c>
      <c r="PS6" s="22">
        <f>IF($CC6="P",BW6,(BW6+BA6)/2)</f>
        <v>0.5</v>
      </c>
      <c r="PT6" s="22">
        <f>IF($CC6="P",BX6,(BX6+BB6)/2)</f>
        <v>0</v>
      </c>
      <c r="PU6" s="22">
        <f>IF($CC6="P",BY6,(BY6+BC6)/2)</f>
        <v>16.649999999999999</v>
      </c>
      <c r="PV6" s="22">
        <f>IF($CC6="P",BZ6,(BZ6+BD6)/2)</f>
        <v>6.8999999999999995</v>
      </c>
      <c r="PW6" s="22">
        <f>IF($CC6="P",CA6,(CA6+BE6)/2)</f>
        <v>0.1</v>
      </c>
      <c r="PX6" s="22">
        <f>IF($CC6="P",CB6,(CB6+BF6)/2)</f>
        <v>0.3</v>
      </c>
      <c r="PY6" s="27" t="s">
        <v>46</v>
      </c>
      <c r="PZ6" s="40">
        <f>IF(SUM(PJ6,PN6)&gt;0,SUM(PJ6,PN6),"")</f>
        <v>15.3</v>
      </c>
      <c r="QA6" s="40">
        <f>IF(SUM(PI6:PJ6,PL6:PN6,PP6)-PK6-PO6&gt;0,SUM(PI6:PJ6,PL6:PN6,PP6)-PK6-PO6,"")</f>
        <v>51.25</v>
      </c>
      <c r="QB6" s="40">
        <f>IF(SUM(PR6,PV6)&gt;0,SUM(PR6,PV6),"")</f>
        <v>12.7</v>
      </c>
      <c r="QC6" s="40">
        <f>IF(SUM(PQ6:PR6,PT6:PV6,PX6)-SUM(PS6,PW6)&gt;0,SUM(PQ6:PR6,PT6:PV6,PX6)-SUM(PS6,PW6),"")</f>
        <v>46.05</v>
      </c>
      <c r="QD6" s="40">
        <f>IF(SUM(QA6,QC6)&gt;0,SUM(QA6,QC6),"")</f>
        <v>97.3</v>
      </c>
    </row>
    <row r="7" spans="1:446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t="str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/>
      </c>
      <c r="C7" s="5" t="s">
        <v>95</v>
      </c>
      <c r="D7" s="4" t="s">
        <v>5</v>
      </c>
      <c r="E7" s="4">
        <v>2005</v>
      </c>
      <c r="F7" s="9">
        <f>SUM(L7:R7)+SUM(L7:O7)*0.0000001+SUM(L7)*0.0000000000001</f>
        <v>160.50001030000527</v>
      </c>
      <c r="G7" s="64" t="s">
        <v>46</v>
      </c>
      <c r="H7" s="3" t="str">
        <f>IF(OR(AND(AL7&gt;=AP$38,AM7&gt;=AP$42,AL7&lt;&gt;"",AK7=""),AND(AN7&gt;=AP$38,AO7&gt;=AP$42,AN7&lt;&gt;"",AK7=""),AND(BH7&gt;=BL$38,BI7&gt;=BL$42,BH7&lt;&gt;"",BG7=""),AND(BJ7&gt;=BL$38,BK7&gt;=BL$42,BJ7&lt;&gt;"",BG7=""),AND(CD7&gt;=CH$38,CE7&gt;=CH$42,CD7&lt;&gt;"",CC7=""),AND(CF7&gt;=CH$38,CG7&gt;=CH$42,CF7&lt;&gt;""),AND(DE7&gt;=DL$38,DF7&gt;=DL$42,DE7&lt;&gt;""),AND(DJ7&gt;=DL$38,DK7&gt;=DL$42,DJ7&lt;&gt;""),AND(EG7&gt;=EN$38,EH7&gt;=EN$42,EG7&lt;&gt;""),AND(EL7&gt;=EN$38,EM7&gt;=EN$42,EL7&lt;&gt;""),AND(FI7&gt;=FP$38,FJ7&gt;=FP$42,FI7&lt;&gt;""),AND(FN7&gt;=FP$38,FO7&gt;=FP$42,FN7&lt;&gt;""),AND(GK7&gt;=GR$38,GL7&gt;=GR$42,GK7&lt;&gt;""),AND(GP7&gt;=GR$38,GQ7&gt;=GR$42,GP7&lt;&gt;""),AND(HM7&gt;=HT$38,HN7&gt;=HT$42,HM7&lt;&gt;""),AND(HR7&gt;=HT$38,HS7&gt;=HT$42,HR7&lt;&gt;""),AND(IO7&gt;=IV$38,IP7&gt;=IV$42,IO7&lt;&gt;""),AND(IT7&gt;=IV$38,IU7&gt;=IV$42,IT7&lt;&gt;""),AND(JQ7&gt;=JX$38,JR7&gt;=JX$42,JQ7&lt;&gt;""),AND(JV7&gt;=JX$38,JW7&gt;=JX$42,JV7&lt;&gt;""),AND(KS7&gt;=KZ$38,KT7&gt;=KZ$42,KS7&lt;&gt;""),AND(KX7&gt;=KZ$38,KY7&gt;=KZ$42,KX7&lt;&gt;""),AND(LU7&gt;=MB$38,LV7&gt;=MB$42,LU7&lt;&gt;""),AND(LZ7&gt;=MB$38,MA7&gt;=MB$42,LZ7&lt;&gt;""),AND(MW7&gt;=ND$38,MX7&gt;=ND$42,MW7&lt;&gt;""),AND(NB7&gt;=ND$38,NC7&gt;=ND$42,NB7&lt;&gt;""),AND(NY7&gt;=OF$38,NZ7&gt;=OF$42,NY7&lt;&gt;""),AND(OD7&gt;=OF$38,OE7&gt;=OF$42,OD7&lt;&gt;""),AND(PA7&gt;=PH$38,PB7&gt;=PH$42,PA7&lt;&gt;""),AND(PF7&gt;=PH$38,PG7&gt;=PH$42,PF7&lt;&gt;"")),"P","")</f>
        <v>P</v>
      </c>
      <c r="I7" s="3" t="str">
        <f>IF(OR(AND(AM7&gt;=AP$42,AM7&lt;&gt;"",AK7=""),AND(AO7&gt;=AP$42,AO7&lt;&gt;"",AK7=""),AND(BI7&gt;=BL$42,BI7&lt;&gt;"",BG7=""),AND(BK7&gt;=BL$42,BK7&lt;&gt;"",BG7=""),AND(CE7&gt;=CH$42,CE7&lt;&gt;"",CC7=""),AND(CG7&gt;=CH$42,CG7&lt;&gt;"",CC7=""),AND(DF7&gt;=DL$42,DF7&lt;&gt;""),AND(DK7&gt;=DL$42,DK7&lt;&gt;""),AND(EH7&gt;=EN$42,EH7&lt;&gt;""),AND(EM7&gt;=EN$42,EM7&lt;&gt;""),AND(FJ7&gt;=FP$42,FJ7&lt;&gt;""),AND(FO7&gt;=FP$42,FO7&lt;&gt;""),AND(GL7&gt;=GR$42,GL7&lt;&gt;""),AND(GQ7&gt;=GR$42,GQ7&lt;&gt;""),AND(HN7&gt;=HT$42,HN7&lt;&gt;""),AND(HS7&gt;=HT$42,HS7&lt;&gt;""),AND(IP7&gt;=IV$42,IP7&lt;&gt;""),AND(IU7&gt;=IV$42,IU7&lt;&gt;""),AND(JR7&gt;=JX$42,JR7&lt;&gt;""),AND(JW7&gt;=JX$42,JW7&lt;&gt;""),AND(KT7&gt;=KZ$42,KT7&lt;&gt;""),AND(KY7&gt;=KZ$42,KY7&lt;&gt;""),AND(LV7&gt;=MB$42,LV7&lt;&gt;""),AND(MA7&gt;=MB$42,MA7&lt;&gt;""),AND(MX7&gt;=ND$42,MX7&lt;&gt;""),AND(NC7&gt;=ND$42,NC7&lt;&gt;""),AND(NZ7&gt;=OF$42,NZ7&lt;&gt;""),AND(OE7&gt;=OF$42,OE7&lt;&gt;""),AND(PB7&gt;=PH$42,PB7&lt;&gt;""),AND(PG7&gt;=PH$42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52.600000000000009</v>
      </c>
      <c r="M7" s="8" t="str">
        <f>IF(L7=0,"",IF(L7=CE7,$BM$1,IF(L7=BI7,$AQ$1,IF(L7=AM7,$U$1,""))))</f>
        <v>2025 Elite Canada</v>
      </c>
      <c r="N7" s="8">
        <f>IF(COUNT(AM7,BI7,CE7)&gt;1,LARGE((AM7,BI7,CE7),2),0)</f>
        <v>50.400000000000006</v>
      </c>
      <c r="O7" s="8" t="str">
        <f>IF(N7=0,"",IF(AND(N7=L7,N7=AM7,N7=BI7),$U$1,IF(AND(N7=L7,N7=AM7,N7=CE7),$U$1,IF(AND(N7=L7,N7=BI7,N7=CE7),$AQ$1,IF(N7=CE7,$BM$1,IF(N7=BI7,$AQ$1,IF(N7=AM7,$U$1,"")))))))</f>
        <v>2025 Nationals</v>
      </c>
      <c r="P7" s="8">
        <f>IF(MAX(AO7,BK7,CG7)&gt;0,MAX(AO7,BK7,CG7),0)</f>
        <v>54</v>
      </c>
      <c r="Q7" s="8" t="str">
        <f>IF(P7=0,"",IF(P7=CG7,$BM$1,IF(P7=BK7,$AQ$1,IF(P7=AO7,$U$1,""))))</f>
        <v>2025 Elite Canada</v>
      </c>
      <c r="R7" s="8">
        <f>IF(MAX(CI7:CJ7)&gt;0,MAX(CI7:CJ7),"")</f>
        <v>3.4999999999999858</v>
      </c>
      <c r="S7" s="11" t="str">
        <f>IF(R7="","",IF(R7=CI7,"("&amp;CI$2&amp;")",IF(R7=CJ7,"("&amp;CJ$2&amp;")")))</f>
        <v>(Q1)</v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>2025 World Cup POR (July 6)</v>
      </c>
      <c r="U7" s="19">
        <v>18.2</v>
      </c>
      <c r="V7" s="19">
        <v>8.4</v>
      </c>
      <c r="W7" s="19">
        <v>0.8</v>
      </c>
      <c r="X7" s="19">
        <v>0.3</v>
      </c>
      <c r="Y7" s="19">
        <v>18.5</v>
      </c>
      <c r="Z7" s="19">
        <v>8</v>
      </c>
      <c r="AA7" s="19">
        <v>0</v>
      </c>
      <c r="AB7" s="19">
        <v>0</v>
      </c>
      <c r="AC7" s="19">
        <v>18.100000000000001</v>
      </c>
      <c r="AD7" s="19">
        <v>8.5</v>
      </c>
      <c r="AE7" s="19">
        <v>0.2</v>
      </c>
      <c r="AF7" s="19">
        <v>0.3</v>
      </c>
      <c r="AG7" s="19">
        <v>18.8</v>
      </c>
      <c r="AH7" s="19">
        <v>8.8000000000000007</v>
      </c>
      <c r="AI7" s="19">
        <v>0.6</v>
      </c>
      <c r="AJ7" s="19">
        <v>0.3</v>
      </c>
      <c r="AK7" s="27"/>
      <c r="AL7" s="40">
        <f>IF(SUM(V7,Z7)&gt;0,SUM(V7,Z7),"")</f>
        <v>16.399999999999999</v>
      </c>
      <c r="AM7" s="40">
        <f>IF(SUM(U7:V7,X7:Z7,AB7)-W7-AA7&gt;0,SUM(U7:V7,X7:Z7,AB7)-W7-AA7,"")</f>
        <v>52.600000000000009</v>
      </c>
      <c r="AN7" s="40">
        <f>IF(SUM(AD7,AH7)&gt;0,SUM(AD7,AH7),"")</f>
        <v>17.3</v>
      </c>
      <c r="AO7" s="40">
        <f>IF(SUM(AC7:AD7,AF7:AH7,AJ7)-SUM(AE7,AI7)&gt;0,SUM(AC7:AD7,AF7:AH7,AJ7)-SUM(AE7,AI7),"")</f>
        <v>54</v>
      </c>
      <c r="AP7" s="40">
        <f>IF(SUM(AM7,AO7)&gt;0,SUM(AM7,AO7),"")</f>
        <v>106.60000000000001</v>
      </c>
      <c r="AQ7" s="18">
        <v>18.2</v>
      </c>
      <c r="AR7" s="18">
        <v>8.5</v>
      </c>
      <c r="AS7" s="18">
        <v>0.8</v>
      </c>
      <c r="AT7" s="18">
        <v>0.3</v>
      </c>
      <c r="AU7" s="18">
        <v>18.2</v>
      </c>
      <c r="AV7" s="18">
        <v>6.4</v>
      </c>
      <c r="AW7" s="18">
        <v>0.4</v>
      </c>
      <c r="AX7" s="18">
        <v>0</v>
      </c>
      <c r="AY7" s="18">
        <v>0</v>
      </c>
      <c r="AZ7" s="18">
        <v>0</v>
      </c>
      <c r="BA7" s="18">
        <v>0</v>
      </c>
      <c r="BB7" s="18">
        <v>0</v>
      </c>
      <c r="BC7" s="18">
        <v>18.100000000000001</v>
      </c>
      <c r="BD7" s="18">
        <v>7.6</v>
      </c>
      <c r="BE7" s="18">
        <v>0</v>
      </c>
      <c r="BF7" s="18">
        <v>0</v>
      </c>
      <c r="BG7" s="28"/>
      <c r="BH7" s="11">
        <f>IF(SUM(AR7,AV7)&gt;0,SUM(AR7,AV7),"")</f>
        <v>14.9</v>
      </c>
      <c r="BI7" s="11">
        <f>IF(SUM(AQ7:AR7,AT7:AV7,AX7)-AS7-AW7&gt;0,SUM(AQ7:AR7,AT7:AV7,AX7)-AS7-AW7,"")</f>
        <v>50.400000000000006</v>
      </c>
      <c r="BJ7" s="11">
        <f>IF(SUM(AZ7,BD7)&gt;0,SUM(AZ7,BD7),"")</f>
        <v>7.6</v>
      </c>
      <c r="BK7" s="11">
        <f>IF(SUM(AY7:AZ7,BB7:BD7,BF7)-SUM(BA7,BE7)&gt;0,SUM(AY7:AZ7,BB7:BD7,BF7)-SUM(BA7,BE7),"")</f>
        <v>25.700000000000003</v>
      </c>
      <c r="BL7" s="11">
        <f>IF(SUM(BI7,BK7)&gt;0,SUM(BI7,BK7),"")</f>
        <v>76.100000000000009</v>
      </c>
      <c r="BM7" s="19">
        <v>18.5</v>
      </c>
      <c r="BN7" s="19">
        <v>6.4</v>
      </c>
      <c r="BO7" s="19">
        <v>1.4</v>
      </c>
      <c r="BP7" s="19">
        <v>0</v>
      </c>
      <c r="BQ7" s="19">
        <v>15.4</v>
      </c>
      <c r="BR7" s="19">
        <v>3.2</v>
      </c>
      <c r="BS7" s="19">
        <v>0</v>
      </c>
      <c r="BT7" s="19">
        <v>0</v>
      </c>
      <c r="BU7" s="19"/>
      <c r="BV7" s="19"/>
      <c r="BW7" s="19"/>
      <c r="BX7" s="19"/>
      <c r="BY7" s="19"/>
      <c r="BZ7" s="19"/>
      <c r="CA7" s="19"/>
      <c r="CB7" s="19"/>
      <c r="CC7" s="27"/>
      <c r="CD7" s="40">
        <f>IF(SUM(BN7,BR7)&gt;0,SUM(BN7,BR7),"")</f>
        <v>9.6000000000000014</v>
      </c>
      <c r="CE7" s="40">
        <f>IF(SUM(BM7:BN7,BP7:BR7,BT7)-BO7-BS7&gt;0,SUM(BM7:BN7,BP7:BR7,BT7)-BO7-BS7,"")</f>
        <v>42.1</v>
      </c>
      <c r="CF7" s="40" t="str">
        <f>IF(SUM(BV7,BZ7)&gt;0,SUM(BV7,BZ7),"")</f>
        <v/>
      </c>
      <c r="CG7" s="40" t="str">
        <f>IF(SUM(BU7:BV7,BX7:BZ7,CB7)-SUM(BW7,CA7)&gt;0,SUM(BU7:BV7,BX7:BZ7,CB7)-SUM(BW7,CA7),"")</f>
        <v/>
      </c>
      <c r="CH7" s="40">
        <f>IF(SUM(CE7,CG7)&gt;0,SUM(CE7,CG7),"")</f>
        <v>42.1</v>
      </c>
      <c r="CI7" s="50">
        <f>IF(MAX(DF7,EH7,FJ7,GL7,HN7,IP7,JR7,KT7,LV7,MX7,NZ7,PB7)-IF(N7="",0,N7)&gt;0.001,MAX(DF7,EH7,FJ7,GL7,HN7,IP7,JR7,KT7,LV7,MX7,NZ7,PB7)-IF(N7="",0,N7),"")</f>
        <v>3.4999999999999858</v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>
        <v>18.399999999999999</v>
      </c>
      <c r="DN7" s="18">
        <v>8.8000000000000007</v>
      </c>
      <c r="DO7" s="18">
        <v>0.6</v>
      </c>
      <c r="DP7" s="18">
        <v>0</v>
      </c>
      <c r="DQ7" s="18">
        <v>18.899999999999999</v>
      </c>
      <c r="DR7" s="18">
        <v>8.4</v>
      </c>
      <c r="DS7" s="18">
        <v>0</v>
      </c>
      <c r="DT7" s="18">
        <v>0</v>
      </c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>
        <f>IF(SUM(DN7,DR7)&gt;0,SUM(DN7,DR7),"")</f>
        <v>17.200000000000003</v>
      </c>
      <c r="EH7" s="11">
        <f>IF(SUM(DM7:DN7,DP7:DR7,DT7)-DO7-DS7&gt;0,SUM(DM7:DN7,DP7:DR7,DT7)-DO7-DS7,"")</f>
        <v>53.899999999999991</v>
      </c>
      <c r="EI7" s="11" t="str">
        <f>IF(SUM(DU7:DV7,DX7)-DW7&gt;0,SUM(DU7:DV7,DX7)-DW7,"")</f>
        <v/>
      </c>
      <c r="EJ7" s="11">
        <f>IF(SUM(DN7,DR7,DV7)&gt;0,SUM(DN7,DR7,DV7),"")</f>
        <v>17.200000000000003</v>
      </c>
      <c r="EK7" s="11">
        <f>IF(SUM(EH7,EI7)&gt;0,SUM(EH7,EI7),"")</f>
        <v>53.899999999999991</v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>
        <f>IF(SUM(EH7,EI7,EM7)&gt;0,SUM(EH7,EI7,EM7),"")</f>
        <v>53.899999999999991</v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>IF(SUM(EP7,ET7)&gt;0,SUM(EP7,ET7),"")</f>
        <v/>
      </c>
      <c r="FJ7" s="40" t="str">
        <f>IF(SUM(EO7:EP7,ER7:ET7,EV7)-EQ7-EU7&gt;0,SUM(EO7:EP7,ER7:ET7,EV7)-EQ7-EU7,"")</f>
        <v/>
      </c>
      <c r="FK7" s="40" t="str">
        <f>IF(SUM(EW7:EX7,EZ7)-EY7&gt;0,SUM(EW7:EX7,EZ7)-EY7,"")</f>
        <v/>
      </c>
      <c r="FL7" s="40" t="str">
        <f>IF(SUM(EP7,ET7,EX7)&gt;0,SUM(EP7,ET7,EX7),"")</f>
        <v/>
      </c>
      <c r="FM7" s="40" t="str">
        <f>IF(SUM(FJ7,FK7)&gt;0,SUM(FJ7,FK7),"")</f>
        <v/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 t="str">
        <f>IF(SUM(FJ7,FK7,FO7)&gt;0,SUM(FJ7,FK7,FO7),"")</f>
        <v/>
      </c>
      <c r="FQ7" s="18">
        <v>18.600000000000001</v>
      </c>
      <c r="FR7" s="18">
        <v>8</v>
      </c>
      <c r="FS7" s="18">
        <v>0.6</v>
      </c>
      <c r="FT7" s="18">
        <v>0</v>
      </c>
      <c r="FU7" s="18">
        <v>17.7</v>
      </c>
      <c r="FV7" s="18">
        <v>8</v>
      </c>
      <c r="FW7" s="18">
        <v>0.2</v>
      </c>
      <c r="FX7" s="18">
        <v>0</v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>
        <f>IF(SUM(FR7,FV7)&gt;0,SUM(FR7,FV7),"")</f>
        <v>16</v>
      </c>
      <c r="GL7" s="11">
        <f>IF(SUM(FQ7:FR7,FT7:FV7,FX7)-FS7-FW7&gt;0,SUM(FQ7:FR7,FT7:FV7,FX7)-FS7-FW7,"")</f>
        <v>51.499999999999993</v>
      </c>
      <c r="GM7" s="11" t="str">
        <f>IF(SUM(FY7:FZ7,GB7)-GA7&gt;0,SUM(FY7:FZ7,GB7)-GA7,"")</f>
        <v/>
      </c>
      <c r="GN7" s="11">
        <f>IF(SUM(FR7,FV7,FZ7)&gt;0,SUM(FR7,FV7,FZ7),"")</f>
        <v>16</v>
      </c>
      <c r="GO7" s="11">
        <f>IF(SUM(GL7,GM7)&gt;0,SUM(GL7,GM7),"")</f>
        <v>51.499999999999993</v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>
        <f>IF(SUM(GL7,GM7,GQ7)&gt;0,SUM(GL7,GM7,GQ7),"")</f>
        <v>51.499999999999993</v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IF($CC7="P",BM7,(BM7+AQ7)/2)</f>
        <v>18.350000000000001</v>
      </c>
      <c r="PJ7" s="22">
        <f>IF($CC7="P",BN7,(BN7+AR7)/2)</f>
        <v>7.45</v>
      </c>
      <c r="PK7" s="22">
        <f>IF($CC7="P",BO7,(BO7+AS7)/2)</f>
        <v>1.1000000000000001</v>
      </c>
      <c r="PL7" s="22">
        <f>IF($CC7="P",BP7,(BP7+AT7)/2)</f>
        <v>0.15</v>
      </c>
      <c r="PM7" s="22">
        <f>IF($CC7="P",BQ7,(BQ7+AU7)/2)</f>
        <v>16.8</v>
      </c>
      <c r="PN7" s="22">
        <f>IF($CC7="P",BR7,(BR7+AV7)/2)</f>
        <v>4.8000000000000007</v>
      </c>
      <c r="PO7" s="22">
        <f>IF($CC7="P",BS7,(BS7+AW7)/2)</f>
        <v>0.2</v>
      </c>
      <c r="PP7" s="22">
        <f>IF($CC7="P",BT7,(BT7+AX7)/2)</f>
        <v>0</v>
      </c>
      <c r="PQ7" s="22">
        <f>IF($CC7="P",BU7,(BU7+AY7)/2)</f>
        <v>0</v>
      </c>
      <c r="PR7" s="22">
        <f>IF($CC7="P",BV7,(BV7+AZ7)/2)</f>
        <v>0</v>
      </c>
      <c r="PS7" s="22">
        <f>IF($CC7="P",BW7,(BW7+BA7)/2)</f>
        <v>0</v>
      </c>
      <c r="PT7" s="22">
        <f>IF($CC7="P",BX7,(BX7+BB7)/2)</f>
        <v>0</v>
      </c>
      <c r="PU7" s="22">
        <f>IF($CC7="P",BY7,(BY7+BC7)/2)</f>
        <v>9.0500000000000007</v>
      </c>
      <c r="PV7" s="22">
        <f>IF($CC7="P",BZ7,(BZ7+BD7)/2)</f>
        <v>3.8</v>
      </c>
      <c r="PW7" s="22">
        <f>IF($CC7="P",CA7,(CA7+BE7)/2)</f>
        <v>0</v>
      </c>
      <c r="PX7" s="22">
        <f>IF($CC7="P",CB7,(CB7+BF7)/2)</f>
        <v>0</v>
      </c>
      <c r="PY7" s="27" t="s">
        <v>46</v>
      </c>
      <c r="PZ7" s="40">
        <f>IF(SUM(PJ7,PN7)&gt;0,SUM(PJ7,PN7),"")</f>
        <v>12.25</v>
      </c>
      <c r="QA7" s="40">
        <f>IF(SUM(PI7:PJ7,PL7:PN7,PP7)-PK7-PO7&gt;0,SUM(PI7:PJ7,PL7:PN7,PP7)-PK7-PO7,"")</f>
        <v>46.249999999999993</v>
      </c>
      <c r="QB7" s="40">
        <f>IF(SUM(PR7,PV7)&gt;0,SUM(PR7,PV7),"")</f>
        <v>3.8</v>
      </c>
      <c r="QC7" s="40">
        <f>IF(SUM(PQ7:PR7,PT7:PV7,PX7)-SUM(PS7,PW7)&gt;0,SUM(PQ7:PR7,PT7:PV7,PX7)-SUM(PS7,PW7),"")</f>
        <v>12.850000000000001</v>
      </c>
      <c r="QD7" s="40">
        <f>IF(SUM(QA7,QC7)&gt;0,SUM(QA7,QC7),"")</f>
        <v>59.099999999999994</v>
      </c>
    </row>
    <row r="8" spans="1:446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t="str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155.20001027000521</v>
      </c>
      <c r="G8" s="64" t="s">
        <v>46</v>
      </c>
      <c r="H8" s="3" t="str">
        <f>IF(OR(AND(AL8&gt;=AP$38,AM8&gt;=AP$42,AL8&lt;&gt;"",AK8=""),AND(AN8&gt;=AP$38,AO8&gt;=AP$42,AN8&lt;&gt;"",AK8=""),AND(BH8&gt;=BL$38,BI8&gt;=BL$42,BH8&lt;&gt;"",BG8=""),AND(BJ8&gt;=BL$38,BK8&gt;=BL$42,BJ8&lt;&gt;"",BG8=""),AND(CD8&gt;=CH$38,CE8&gt;=CH$42,CD8&lt;&gt;"",CC8=""),AND(CF8&gt;=CH$38,CG8&gt;=CH$42,CF8&lt;&gt;""),AND(DE8&gt;=DL$38,DF8&gt;=DL$42,DE8&lt;&gt;""),AND(DJ8&gt;=DL$38,DK8&gt;=DL$42,DJ8&lt;&gt;""),AND(EG8&gt;=EN$38,EH8&gt;=EN$42,EG8&lt;&gt;""),AND(EL8&gt;=EN$38,EM8&gt;=EN$42,EL8&lt;&gt;""),AND(FI8&gt;=FP$38,FJ8&gt;=FP$42,FI8&lt;&gt;""),AND(FN8&gt;=FP$38,FO8&gt;=FP$42,FN8&lt;&gt;""),AND(GK8&gt;=GR$38,GL8&gt;=GR$42,GK8&lt;&gt;""),AND(GP8&gt;=GR$38,GQ8&gt;=GR$42,GP8&lt;&gt;""),AND(HM8&gt;=HT$38,HN8&gt;=HT$42,HM8&lt;&gt;""),AND(HR8&gt;=HT$38,HS8&gt;=HT$42,HR8&lt;&gt;""),AND(IO8&gt;=IV$38,IP8&gt;=IV$42,IO8&lt;&gt;""),AND(IT8&gt;=IV$38,IU8&gt;=IV$42,IT8&lt;&gt;""),AND(JQ8&gt;=JX$38,JR8&gt;=JX$42,JQ8&lt;&gt;""),AND(JV8&gt;=JX$38,JW8&gt;=JX$42,JV8&lt;&gt;""),AND(KS8&gt;=KZ$38,KT8&gt;=KZ$42,KS8&lt;&gt;""),AND(KX8&gt;=KZ$38,KY8&gt;=KZ$42,KX8&lt;&gt;""),AND(LU8&gt;=MB$38,LV8&gt;=MB$42,LU8&lt;&gt;""),AND(LZ8&gt;=MB$38,MA8&gt;=MB$42,LZ8&lt;&gt;""),AND(MW8&gt;=ND$38,MX8&gt;=ND$42,MW8&lt;&gt;""),AND(NB8&gt;=ND$38,NC8&gt;=ND$42,NB8&lt;&gt;""),AND(NY8&gt;=OF$38,NZ8&gt;=OF$42,NY8&lt;&gt;""),AND(OD8&gt;=OF$38,OE8&gt;=OF$42,OD8&lt;&gt;""),AND(PA8&gt;=PH$38,PB8&gt;=PH$42,PA8&lt;&gt;""),AND(PF8&gt;=PH$38,PG8&gt;=PH$42,PF8&lt;&gt;"")),"P","")</f>
        <v>P</v>
      </c>
      <c r="I8" s="3" t="str">
        <f>IF(OR(AND(AM8&gt;=AP$42,AM8&lt;&gt;"",AK8=""),AND(AO8&gt;=AP$42,AO8&lt;&gt;"",AK8=""),AND(BI8&gt;=BL$42,BI8&lt;&gt;"",BG8=""),AND(BK8&gt;=BL$42,BK8&lt;&gt;"",BG8=""),AND(CE8&gt;=CH$42,CE8&lt;&gt;"",CC8=""),AND(CG8&gt;=CH$42,CG8&lt;&gt;"",CC8=""),AND(DF8&gt;=DL$42,DF8&lt;&gt;""),AND(DK8&gt;=DL$42,DK8&lt;&gt;""),AND(EH8&gt;=EN$42,EH8&lt;&gt;""),AND(EM8&gt;=EN$42,EM8&lt;&gt;""),AND(FJ8&gt;=FP$42,FJ8&lt;&gt;""),AND(FO8&gt;=FP$42,FO8&lt;&gt;""),AND(GL8&gt;=GR$42,GL8&lt;&gt;""),AND(GQ8&gt;=GR$42,GQ8&lt;&gt;""),AND(HN8&gt;=HT$42,HN8&lt;&gt;""),AND(HS8&gt;=HT$42,HS8&lt;&gt;""),AND(IP8&gt;=IV$42,IP8&lt;&gt;""),AND(IU8&gt;=IV$42,IU8&lt;&gt;""),AND(JR8&gt;=JX$42,JR8&lt;&gt;""),AND(JW8&gt;=JX$42,JW8&lt;&gt;""),AND(KT8&gt;=KZ$42,KT8&lt;&gt;""),AND(KY8&gt;=KZ$42,KY8&lt;&gt;""),AND(LV8&gt;=MB$42,LV8&lt;&gt;""),AND(MA8&gt;=MB$42,MA8&lt;&gt;""),AND(MX8&gt;=ND$42,MX8&lt;&gt;""),AND(NC8&gt;=ND$42,NC8&lt;&gt;""),AND(NZ8&gt;=OF$42,NZ8&lt;&gt;""),AND(OE8&gt;=OF$42,OE8&lt;&gt;""),AND(PB8&gt;=PH$42,PB8&lt;&gt;""),AND(PG8&gt;=PH$42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52.199999999999996</v>
      </c>
      <c r="M8" s="8" t="str">
        <f>IF(L8=0,"",IF(L8=CE8,$BM$1,IF(L8=BI8,$AQ$1,IF(L8=AM8,$U$1,""))))</f>
        <v>2025 Nationals</v>
      </c>
      <c r="N8" s="8">
        <f>IF(COUNT(AM8,BI8,CE8)&gt;1,LARGE((AM8,BI8,CE8),2),0)</f>
        <v>50.500000000000007</v>
      </c>
      <c r="O8" s="8" t="str">
        <f>IF(N8=0,"",IF(AND(N8=L8,N8=AM8,N8=BI8),$U$1,IF(AND(N8=L8,N8=AM8,N8=CE8),$U$1,IF(AND(N8=L8,N8=BI8,N8=CE8),$AQ$1,IF(N8=CE8,$BM$1,IF(N8=BI8,$AQ$1,IF(N8=AM8,$U$1,"")))))))</f>
        <v>2025 3rd Domestic Trial</v>
      </c>
      <c r="P8" s="8">
        <f>IF(MAX(AO8,BK8,CG8)&gt;0,MAX(AO8,BK8,CG8),0)</f>
        <v>52.5</v>
      </c>
      <c r="Q8" s="8" t="str">
        <f>IF(P8=0,"",IF(P8=CG8,$BM$1,IF(P8=BK8,$AQ$1,IF(P8=AO8,$U$1,""))))</f>
        <v>2025 3rd Domestic Trial</v>
      </c>
      <c r="R8" s="8" t="str">
        <f>IF(MAX(CI8:CJ8)&gt;0,MAX(CI8:CJ8),"")</f>
        <v/>
      </c>
      <c r="S8" s="11" t="str">
        <f>IF(R8="","",IF(R8=CI8,"("&amp;CI$2&amp;")",IF(R8=CJ8,"("&amp;CJ$2&amp;")")))</f>
        <v/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27"/>
      <c r="AL8" s="40" t="str">
        <f>IF(SUM(V8,Z8)&gt;0,SUM(V8,Z8),"")</f>
        <v/>
      </c>
      <c r="AM8" s="40" t="str">
        <f>IF(SUM(U8:V8,X8:Z8,AB8)-W8-AA8&gt;0,SUM(U8:V8,X8:Z8,AB8)-W8-AA8,"")</f>
        <v/>
      </c>
      <c r="AN8" s="40" t="str">
        <f>IF(SUM(AD8,AH8)&gt;0,SUM(AD8,AH8),"")</f>
        <v/>
      </c>
      <c r="AO8" s="40" t="str">
        <f>IF(SUM(AC8:AD8,AF8:AH8,AJ8)-SUM(AE8,AI8)&gt;0,SUM(AC8:AD8,AF8:AH8,AJ8)-SUM(AE8,AI8),"")</f>
        <v/>
      </c>
      <c r="AP8" s="40" t="str">
        <f>IF(SUM(AM8,AO8)&gt;0,SUM(AM8,AO8),"")</f>
        <v/>
      </c>
      <c r="AQ8" s="18">
        <v>18.8</v>
      </c>
      <c r="AR8" s="18">
        <v>8.4</v>
      </c>
      <c r="AS8" s="18">
        <v>0</v>
      </c>
      <c r="AT8" s="18">
        <v>0</v>
      </c>
      <c r="AU8" s="18">
        <v>16.8</v>
      </c>
      <c r="AV8" s="18">
        <v>8.1</v>
      </c>
      <c r="AW8" s="18">
        <v>0.2</v>
      </c>
      <c r="AX8" s="18">
        <v>0.3</v>
      </c>
      <c r="AY8" s="18">
        <v>16.3</v>
      </c>
      <c r="AZ8" s="18">
        <v>7.6</v>
      </c>
      <c r="BA8" s="18">
        <v>1</v>
      </c>
      <c r="BB8" s="18">
        <v>0</v>
      </c>
      <c r="BC8" s="18">
        <v>18.399999999999999</v>
      </c>
      <c r="BD8" s="18">
        <v>8.1</v>
      </c>
      <c r="BE8" s="18">
        <v>0.2</v>
      </c>
      <c r="BF8" s="18">
        <v>0.3</v>
      </c>
      <c r="BG8" s="28"/>
      <c r="BH8" s="11">
        <f>IF(SUM(AR8,AV8)&gt;0,SUM(AR8,AV8),"")</f>
        <v>16.5</v>
      </c>
      <c r="BI8" s="11">
        <f>IF(SUM(AQ8:AR8,AT8:AV8,AX8)-AS8-AW8&gt;0,SUM(AQ8:AR8,AT8:AV8,AX8)-AS8-AW8,"")</f>
        <v>52.199999999999996</v>
      </c>
      <c r="BJ8" s="11">
        <f>IF(SUM(AZ8,BD8)&gt;0,SUM(AZ8,BD8),"")</f>
        <v>15.7</v>
      </c>
      <c r="BK8" s="11">
        <f>IF(SUM(AY8:AZ8,BB8:BD8,BF8)-SUM(BA8,BE8)&gt;0,SUM(AY8:AZ8,BB8:BD8,BF8)-SUM(BA8,BE8),"")</f>
        <v>49.499999999999993</v>
      </c>
      <c r="BL8" s="11">
        <f>IF(SUM(BI8,BK8)&gt;0,SUM(BI8,BK8),"")</f>
        <v>101.69999999999999</v>
      </c>
      <c r="BM8" s="19">
        <v>18.7</v>
      </c>
      <c r="BN8" s="19">
        <v>8.4</v>
      </c>
      <c r="BO8" s="19">
        <v>0.8</v>
      </c>
      <c r="BP8" s="19">
        <v>0</v>
      </c>
      <c r="BQ8" s="19">
        <v>16.899999999999999</v>
      </c>
      <c r="BR8" s="19">
        <v>8.1</v>
      </c>
      <c r="BS8" s="19">
        <v>0.8</v>
      </c>
      <c r="BT8" s="19">
        <v>0</v>
      </c>
      <c r="BU8" s="19">
        <v>18.8</v>
      </c>
      <c r="BV8" s="19">
        <v>8.4</v>
      </c>
      <c r="BW8" s="19">
        <v>0.8</v>
      </c>
      <c r="BX8" s="19">
        <v>0</v>
      </c>
      <c r="BY8" s="19">
        <v>18.8</v>
      </c>
      <c r="BZ8" s="19">
        <v>8.1</v>
      </c>
      <c r="CA8" s="19">
        <v>0.8</v>
      </c>
      <c r="CB8" s="19">
        <v>0</v>
      </c>
      <c r="CC8" s="27"/>
      <c r="CD8" s="40">
        <f>IF(SUM(BN8,BR8)&gt;0,SUM(BN8,BR8),"")</f>
        <v>16.5</v>
      </c>
      <c r="CE8" s="40">
        <f>IF(SUM(BM8:BN8,BP8:BR8,BT8)-BO8-BS8&gt;0,SUM(BM8:BN8,BP8:BR8,BT8)-BO8-BS8,"")</f>
        <v>50.500000000000007</v>
      </c>
      <c r="CF8" s="40">
        <f>IF(SUM(BV8,BZ8)&gt;0,SUM(BV8,BZ8),"")</f>
        <v>16.5</v>
      </c>
      <c r="CG8" s="40">
        <f>IF(SUM(BU8:BV8,BX8:BZ8,CB8)-SUM(BW8,CA8)&gt;0,SUM(BU8:BV8,BX8:BZ8,CB8)-SUM(BW8,CA8),"")</f>
        <v>52.5</v>
      </c>
      <c r="CH8" s="40">
        <f>IF(SUM(CE8,CG8)&gt;0,SUM(CE8,CG8),"")</f>
        <v>103</v>
      </c>
      <c r="CI8" s="50" t="str">
        <f>IF(MAX(DF8,EH8,FJ8,GL8,HN8,IP8,JR8,KT8,LV8,MX8,NZ8,PB8)-IF(N8="",0,N8)&gt;0.001,MAX(DF8,EH8,FJ8,GL8,HN8,IP8,JR8,KT8,LV8,MX8,NZ8,PB8)-IF(N8="",0,N8),"")</f>
        <v/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>IF(SUM(EP8,ET8)&gt;0,SUM(EP8,ET8),"")</f>
        <v/>
      </c>
      <c r="FJ8" s="40" t="str">
        <f>IF(SUM(EO8:EP8,ER8:ET8,EV8)-EQ8-EU8&gt;0,SUM(EO8:EP8,ER8:ET8,EV8)-EQ8-EU8,"")</f>
        <v/>
      </c>
      <c r="FK8" s="40" t="str">
        <f>IF(SUM(EW8:EX8,EZ8)-EY8&gt;0,SUM(EW8:EX8,EZ8)-EY8,"")</f>
        <v/>
      </c>
      <c r="FL8" s="40" t="str">
        <f>IF(SUM(EP8,ET8,EX8)&gt;0,SUM(EP8,ET8,EX8),"")</f>
        <v/>
      </c>
      <c r="FM8" s="40" t="str">
        <f>IF(SUM(FJ8,FK8)&gt;0,SUM(FJ8,FK8),"")</f>
        <v/>
      </c>
      <c r="FN8" s="40" t="str">
        <f>IF(SUM(FB8,FF8)&gt;0,SUM(FB8,FF8),"")</f>
        <v/>
      </c>
      <c r="FO8" s="40" t="str">
        <f>IF(SUM(FA8:FB8,FD8:FF8,FH8)-SUM(FC8,FG8)&gt;0,SUM(FA8:FB8,FD8:FF8,FH8)-SUM(FC8,FG8),"")</f>
        <v/>
      </c>
      <c r="FP8" s="40" t="str">
        <f>IF(SUM(FJ8,FK8,FO8)&gt;0,SUM(FJ8,FK8,FO8),"")</f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IF($CC8="P",BM8,(BM8+AQ8)/2)</f>
        <v>18.75</v>
      </c>
      <c r="PJ8" s="22">
        <f>IF($CC8="P",BN8,(BN8+AR8)/2)</f>
        <v>8.4</v>
      </c>
      <c r="PK8" s="22">
        <f>IF($CC8="P",BO8,(BO8+AS8)/2)</f>
        <v>0.4</v>
      </c>
      <c r="PL8" s="22">
        <f>IF($CC8="P",BP8,(BP8+AT8)/2)</f>
        <v>0</v>
      </c>
      <c r="PM8" s="22">
        <f>IF($CC8="P",BQ8,(BQ8+AU8)/2)</f>
        <v>16.850000000000001</v>
      </c>
      <c r="PN8" s="22">
        <f>IF($CC8="P",BR8,(BR8+AV8)/2)</f>
        <v>8.1</v>
      </c>
      <c r="PO8" s="22">
        <f>IF($CC8="P",BS8,(BS8+AW8)/2)</f>
        <v>0.5</v>
      </c>
      <c r="PP8" s="22">
        <f>IF($CC8="P",BT8,(BT8+AX8)/2)</f>
        <v>0.15</v>
      </c>
      <c r="PQ8" s="22">
        <f>IF($CC8="P",BU8,(BU8+AY8)/2)</f>
        <v>17.55</v>
      </c>
      <c r="PR8" s="22">
        <f>IF($CC8="P",BV8,(BV8+AZ8)/2)</f>
        <v>8</v>
      </c>
      <c r="PS8" s="22">
        <f>IF($CC8="P",BW8,(BW8+BA8)/2)</f>
        <v>0.9</v>
      </c>
      <c r="PT8" s="22">
        <f>IF($CC8="P",BX8,(BX8+BB8)/2)</f>
        <v>0</v>
      </c>
      <c r="PU8" s="22">
        <f>IF($CC8="P",BY8,(BY8+BC8)/2)</f>
        <v>18.600000000000001</v>
      </c>
      <c r="PV8" s="22">
        <f>IF($CC8="P",BZ8,(BZ8+BD8)/2)</f>
        <v>8.1</v>
      </c>
      <c r="PW8" s="22">
        <f>IF($CC8="P",CA8,(CA8+BE8)/2)</f>
        <v>0.5</v>
      </c>
      <c r="PX8" s="22">
        <f>IF($CC8="P",CB8,(CB8+BF8)/2)</f>
        <v>0.15</v>
      </c>
      <c r="PY8" s="27" t="s">
        <v>46</v>
      </c>
      <c r="PZ8" s="40">
        <f>IF(SUM(PJ8,PN8)&gt;0,SUM(PJ8,PN8),"")</f>
        <v>16.5</v>
      </c>
      <c r="QA8" s="40">
        <f>IF(SUM(PI8:PJ8,PL8:PN8,PP8)-PK8-PO8&gt;0,SUM(PI8:PJ8,PL8:PN8,PP8)-PK8-PO8,"")</f>
        <v>51.35</v>
      </c>
      <c r="QB8" s="40">
        <f>IF(SUM(PR8,PV8)&gt;0,SUM(PR8,PV8),"")</f>
        <v>16.100000000000001</v>
      </c>
      <c r="QC8" s="40">
        <f>IF(SUM(PQ8:PR8,PT8:PV8,PX8)-SUM(PS8,PW8)&gt;0,SUM(PQ8:PR8,PT8:PV8,PX8)-SUM(PS8,PW8),"")</f>
        <v>51.000000000000007</v>
      </c>
      <c r="QD8" s="40">
        <f>IF(SUM(QA8,QC8)&gt;0,SUM(QA8,QC8),"")</f>
        <v>102.35000000000001</v>
      </c>
    </row>
    <row r="9" spans="1:446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150.00000995000528</v>
      </c>
      <c r="G9" s="64"/>
      <c r="H9" s="3" t="str">
        <f>IF(OR(AND(AL9&gt;=AP$38,AM9&gt;=AP$42,AL9&lt;&gt;"",AK9=""),AND(AN9&gt;=AP$38,AO9&gt;=AP$42,AN9&lt;&gt;"",AK9=""),AND(BH9&gt;=BL$38,BI9&gt;=BL$42,BH9&lt;&gt;"",BG9=""),AND(BJ9&gt;=BL$38,BK9&gt;=BL$42,BJ9&lt;&gt;"",BG9=""),AND(CD9&gt;=CH$38,CE9&gt;=CH$42,CD9&lt;&gt;"",CC9=""),AND(CF9&gt;=CH$38,CG9&gt;=CH$42,CF9&lt;&gt;""),AND(DE9&gt;=DL$38,DF9&gt;=DL$42,DE9&lt;&gt;""),AND(DJ9&gt;=DL$38,DK9&gt;=DL$42,DJ9&lt;&gt;""),AND(EG9&gt;=EN$38,EH9&gt;=EN$42,EG9&lt;&gt;""),AND(EL9&gt;=EN$38,EM9&gt;=EN$42,EL9&lt;&gt;""),AND(FI9&gt;=FP$38,FJ9&gt;=FP$42,FI9&lt;&gt;""),AND(FN9&gt;=FP$38,FO9&gt;=FP$42,FN9&lt;&gt;""),AND(GK9&gt;=GR$38,GL9&gt;=GR$42,GK9&lt;&gt;""),AND(GP9&gt;=GR$38,GQ9&gt;=GR$42,GP9&lt;&gt;""),AND(HM9&gt;=HT$38,HN9&gt;=HT$42,HM9&lt;&gt;""),AND(HR9&gt;=HT$38,HS9&gt;=HT$42,HR9&lt;&gt;""),AND(IO9&gt;=IV$38,IP9&gt;=IV$42,IO9&lt;&gt;""),AND(IT9&gt;=IV$38,IU9&gt;=IV$42,IT9&lt;&gt;""),AND(JQ9&gt;=JX$38,JR9&gt;=JX$42,JQ9&lt;&gt;""),AND(JV9&gt;=JX$38,JW9&gt;=JX$42,JV9&lt;&gt;""),AND(KS9&gt;=KZ$38,KT9&gt;=KZ$42,KS9&lt;&gt;""),AND(KX9&gt;=KZ$38,KY9&gt;=KZ$42,KX9&lt;&gt;""),AND(LU9&gt;=MB$38,LV9&gt;=MB$42,LU9&lt;&gt;""),AND(LZ9&gt;=MB$38,MA9&gt;=MB$42,LZ9&lt;&gt;""),AND(MW9&gt;=ND$38,MX9&gt;=ND$42,MW9&lt;&gt;""),AND(NB9&gt;=ND$38,NC9&gt;=ND$42,NB9&lt;&gt;""),AND(NY9&gt;=OF$38,NZ9&gt;=OF$42,NY9&lt;&gt;""),AND(OD9&gt;=OF$38,OE9&gt;=OF$42,OD9&lt;&gt;""),AND(PA9&gt;=PH$38,PB9&gt;=PH$42,PA9&lt;&gt;""),AND(PF9&gt;=PH$38,PG9&gt;=PH$42,PF9&lt;&gt;"")),"P","")</f>
        <v>P</v>
      </c>
      <c r="I9" s="3" t="str">
        <f>IF(OR(AND(AM9&gt;=AP$42,AM9&lt;&gt;"",AK9=""),AND(AO9&gt;=AP$42,AO9&lt;&gt;"",AK9=""),AND(BI9&gt;=BL$42,BI9&lt;&gt;"",BG9=""),AND(BK9&gt;=BL$42,BK9&lt;&gt;"",BG9=""),AND(CE9&gt;=CH$42,CE9&lt;&gt;"",CC9=""),AND(CG9&gt;=CH$42,CG9&lt;&gt;"",CC9=""),AND(DF9&gt;=DL$42,DF9&lt;&gt;""),AND(DK9&gt;=DL$42,DK9&lt;&gt;""),AND(EH9&gt;=EN$42,EH9&lt;&gt;""),AND(EM9&gt;=EN$42,EM9&lt;&gt;""),AND(FJ9&gt;=FP$42,FJ9&lt;&gt;""),AND(FO9&gt;=FP$42,FO9&lt;&gt;""),AND(GL9&gt;=GR$42,GL9&lt;&gt;""),AND(GQ9&gt;=GR$42,GQ9&lt;&gt;""),AND(HN9&gt;=HT$42,HN9&lt;&gt;""),AND(HS9&gt;=HT$42,HS9&lt;&gt;""),AND(IP9&gt;=IV$42,IP9&lt;&gt;""),AND(IU9&gt;=IV$42,IU9&lt;&gt;""),AND(JR9&gt;=JX$42,JR9&lt;&gt;""),AND(JW9&gt;=JX$42,JW9&lt;&gt;""),AND(KT9&gt;=KZ$42,KT9&lt;&gt;""),AND(KY9&gt;=KZ$42,KY9&lt;&gt;""),AND(LV9&gt;=MB$42,LV9&lt;&gt;""),AND(MA9&gt;=MB$42,MA9&lt;&gt;""),AND(MX9&gt;=ND$42,MX9&lt;&gt;""),AND(NC9&gt;=ND$42,NC9&lt;&gt;""),AND(NZ9&gt;=OF$42,NZ9&lt;&gt;""),AND(OE9&gt;=OF$42,OE9&lt;&gt;""),AND(PB9&gt;=PH$42,PB9&lt;&gt;""),AND(PG9&gt;=PH$42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52.999999999999993</v>
      </c>
      <c r="M9" s="8" t="str">
        <f>IF(L9=0,"",IF(L9=CE9,$BM$1,IF(L9=BI9,$AQ$1,IF(L9=AM9,$U$1,""))))</f>
        <v>2025 Elite Canada</v>
      </c>
      <c r="N9" s="8">
        <f>IF(COUNT(AM9,BI9,CE9)&gt;1,LARGE((AM9,BI9,CE9),2),0)</f>
        <v>46.5</v>
      </c>
      <c r="O9" s="8" t="str">
        <f>IF(N9=0,"",IF(AND(N9=L9,N9=AM9,N9=BI9),$U$1,IF(AND(N9=L9,N9=AM9,N9=CE9),$U$1,IF(AND(N9=L9,N9=BI9,N9=CE9),$AQ$1,IF(N9=CE9,$BM$1,IF(N9=BI9,$AQ$1,IF(N9=AM9,$U$1,"")))))))</f>
        <v>2025 3rd Domestic Trial</v>
      </c>
      <c r="P9" s="8">
        <f>IF(MAX(AO9,BK9,CG9)&gt;0,MAX(AO9,BK9,CG9),0)</f>
        <v>50.499999999999993</v>
      </c>
      <c r="Q9" s="8" t="str">
        <f>IF(P9=0,"",IF(P9=CG9,$BM$1,IF(P9=BK9,$AQ$1,IF(P9=AO9,$U$1,""))))</f>
        <v>2025 Elite Canada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>
        <v>19.2</v>
      </c>
      <c r="V9" s="19">
        <v>8.4</v>
      </c>
      <c r="W9" s="19">
        <v>0.6</v>
      </c>
      <c r="X9" s="19">
        <v>0</v>
      </c>
      <c r="Y9" s="19">
        <v>18.7</v>
      </c>
      <c r="Z9" s="19">
        <v>7.3</v>
      </c>
      <c r="AA9" s="19">
        <v>0</v>
      </c>
      <c r="AB9" s="19">
        <v>0</v>
      </c>
      <c r="AC9" s="19">
        <v>18.7</v>
      </c>
      <c r="AD9" s="19">
        <v>6</v>
      </c>
      <c r="AE9" s="19">
        <v>1.4</v>
      </c>
      <c r="AF9" s="19">
        <v>0</v>
      </c>
      <c r="AG9" s="19">
        <v>17.899999999999999</v>
      </c>
      <c r="AH9" s="19">
        <v>9.6</v>
      </c>
      <c r="AI9" s="19">
        <v>0.6</v>
      </c>
      <c r="AJ9" s="19">
        <v>0.3</v>
      </c>
      <c r="AK9" s="27"/>
      <c r="AL9" s="40">
        <f>IF(SUM(V9,Z9)&gt;0,SUM(V9,Z9),"")</f>
        <v>15.7</v>
      </c>
      <c r="AM9" s="40">
        <f>IF(SUM(U9:V9,X9:Z9,AB9)-W9-AA9&gt;0,SUM(U9:V9,X9:Z9,AB9)-W9-AA9,"")</f>
        <v>52.999999999999993</v>
      </c>
      <c r="AN9" s="40">
        <f>IF(SUM(AD9,AH9)&gt;0,SUM(AD9,AH9),"")</f>
        <v>15.6</v>
      </c>
      <c r="AO9" s="40">
        <f>IF(SUM(AC9:AD9,AF9:AH9,AJ9)-SUM(AE9,AI9)&gt;0,SUM(AC9:AD9,AF9:AH9,AJ9)-SUM(AE9,AI9),"")</f>
        <v>50.499999999999993</v>
      </c>
      <c r="AP9" s="40">
        <f>IF(SUM(AM9,AO9)&gt;0,SUM(AM9,AO9),"")</f>
        <v>103.49999999999999</v>
      </c>
      <c r="AQ9" s="18">
        <v>18.2</v>
      </c>
      <c r="AR9" s="18">
        <v>8.4</v>
      </c>
      <c r="AS9" s="18">
        <v>0.8</v>
      </c>
      <c r="AT9" s="18">
        <v>0</v>
      </c>
      <c r="AU9" s="18">
        <v>15.4</v>
      </c>
      <c r="AV9" s="18">
        <v>3.6</v>
      </c>
      <c r="AW9" s="18">
        <v>0</v>
      </c>
      <c r="AX9" s="18">
        <v>0</v>
      </c>
      <c r="AY9" s="18"/>
      <c r="AZ9" s="18"/>
      <c r="BA9" s="18"/>
      <c r="BB9" s="18"/>
      <c r="BC9" s="18"/>
      <c r="BD9" s="18"/>
      <c r="BE9" s="18"/>
      <c r="BF9" s="18"/>
      <c r="BG9" s="28"/>
      <c r="BH9" s="11">
        <f>IF(SUM(AR9,AV9)&gt;0,SUM(AR9,AV9),"")</f>
        <v>12</v>
      </c>
      <c r="BI9" s="11">
        <f>IF(SUM(AQ9:AR9,AT9:AV9,AX9)-AS9-AW9&gt;0,SUM(AQ9:AR9,AT9:AV9,AX9)-AS9-AW9,"")</f>
        <v>44.800000000000004</v>
      </c>
      <c r="BJ9" s="11" t="str">
        <f>IF(SUM(AZ9,BD9)&gt;0,SUM(AZ9,BD9),"")</f>
        <v/>
      </c>
      <c r="BK9" s="11" t="str">
        <f>IF(SUM(AY9:AZ9,BB9:BD9,BF9)-SUM(BA9,BE9)&gt;0,SUM(AY9:AZ9,BB9:BD9,BF9)-SUM(BA9,BE9),"")</f>
        <v/>
      </c>
      <c r="BL9" s="11">
        <f>IF(SUM(BI9,BK9)&gt;0,SUM(BI9,BK9),"")</f>
        <v>44.800000000000004</v>
      </c>
      <c r="BM9" s="19">
        <v>19</v>
      </c>
      <c r="BN9" s="19">
        <v>8.4</v>
      </c>
      <c r="BO9" s="19">
        <v>0</v>
      </c>
      <c r="BP9" s="19">
        <v>0</v>
      </c>
      <c r="BQ9" s="19">
        <v>15.5</v>
      </c>
      <c r="BR9" s="19">
        <v>3.6</v>
      </c>
      <c r="BS9" s="19">
        <v>0</v>
      </c>
      <c r="BT9" s="19">
        <v>0</v>
      </c>
      <c r="BU9" s="19"/>
      <c r="BV9" s="19"/>
      <c r="BW9" s="19"/>
      <c r="BX9" s="19"/>
      <c r="BY9" s="19"/>
      <c r="BZ9" s="19"/>
      <c r="CA9" s="19"/>
      <c r="CB9" s="19"/>
      <c r="CC9" s="27"/>
      <c r="CD9" s="40">
        <f>IF(SUM(BN9,BR9)&gt;0,SUM(BN9,BR9),"")</f>
        <v>12</v>
      </c>
      <c r="CE9" s="40">
        <f>IF(SUM(BM9:BN9,BP9:BR9,BT9)-BO9-BS9&gt;0,SUM(BM9:BN9,BP9:BR9,BT9)-BO9-BS9,"")</f>
        <v>46.5</v>
      </c>
      <c r="CF9" s="40" t="str">
        <f>IF(SUM(BV9,BZ9)&gt;0,SUM(BV9,BZ9),"")</f>
        <v/>
      </c>
      <c r="CG9" s="40" t="str">
        <f>IF(SUM(BU9:BV9,BX9:BZ9,CB9)-SUM(BW9,CA9)&gt;0,SUM(BU9:BV9,BX9:BZ9,CB9)-SUM(BW9,CA9),"")</f>
        <v/>
      </c>
      <c r="CH9" s="40">
        <f>IF(SUM(CE9,CG9)&gt;0,SUM(CE9,CG9),"")</f>
        <v>46.5</v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>IF(SUM(EP9,ET9)&gt;0,SUM(EP9,ET9),"")</f>
        <v/>
      </c>
      <c r="FJ9" s="40" t="str">
        <f>IF(SUM(EO9:EP9,ER9:ET9,EV9)-EQ9-EU9&gt;0,SUM(EO9:EP9,ER9:ET9,EV9)-EQ9-EU9,"")</f>
        <v/>
      </c>
      <c r="FK9" s="40" t="str">
        <f>IF(SUM(EW9:EX9,EZ9)-EY9&gt;0,SUM(EW9:EX9,EZ9)-EY9,"")</f>
        <v/>
      </c>
      <c r="FL9" s="40" t="str">
        <f>IF(SUM(EP9,ET9,EX9)&gt;0,SUM(EP9,ET9,EX9),"")</f>
        <v/>
      </c>
      <c r="FM9" s="40" t="str">
        <f>IF(SUM(FJ9,FK9)&gt;0,SUM(FJ9,FK9),"")</f>
        <v/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 t="str">
        <f>IF(SUM(FJ9,FK9,FO9)&gt;0,SUM(FJ9,FK9,FO9),"")</f>
        <v/>
      </c>
      <c r="FQ9" s="18">
        <v>19</v>
      </c>
      <c r="FR9" s="18">
        <v>8.4</v>
      </c>
      <c r="FS9" s="18">
        <v>0</v>
      </c>
      <c r="FT9" s="18">
        <v>0</v>
      </c>
      <c r="FU9" s="18">
        <v>15.2</v>
      </c>
      <c r="FV9" s="18">
        <v>3.6</v>
      </c>
      <c r="FW9" s="18">
        <v>0</v>
      </c>
      <c r="FX9" s="18">
        <v>0</v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>
        <f>IF(SUM(FR9,FV9)&gt;0,SUM(FR9,FV9),"")</f>
        <v>12</v>
      </c>
      <c r="GL9" s="11">
        <f>IF(SUM(FQ9:FR9,FT9:FV9,FX9)-FS9-FW9&gt;0,SUM(FQ9:FR9,FT9:FV9,FX9)-FS9-FW9,"")</f>
        <v>46.199999999999996</v>
      </c>
      <c r="GM9" s="11" t="str">
        <f>IF(SUM(FY9:FZ9,GB9)-GA9&gt;0,SUM(FY9:FZ9,GB9)-GA9,"")</f>
        <v/>
      </c>
      <c r="GN9" s="11">
        <f>IF(SUM(FR9,FV9,FZ9)&gt;0,SUM(FR9,FV9,FZ9),"")</f>
        <v>12</v>
      </c>
      <c r="GO9" s="11">
        <f>IF(SUM(GL9,GM9)&gt;0,SUM(GL9,GM9),"")</f>
        <v>46.199999999999996</v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>
        <f>IF(SUM(GL9,GM9,GQ9)&gt;0,SUM(GL9,GM9,GQ9),"")</f>
        <v>46.199999999999996</v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IF($CC9="P",BM9,(BM9+AQ9)/2)</f>
        <v>18.600000000000001</v>
      </c>
      <c r="PJ9" s="22">
        <f>IF($CC9="P",BN9,(BN9+AR9)/2)</f>
        <v>8.4</v>
      </c>
      <c r="PK9" s="22">
        <f>IF($CC9="P",BO9,(BO9+AS9)/2)</f>
        <v>0.4</v>
      </c>
      <c r="PL9" s="22">
        <f>IF($CC9="P",BP9,(BP9+AT9)/2)</f>
        <v>0</v>
      </c>
      <c r="PM9" s="22">
        <f>IF($CC9="P",BQ9,(BQ9+AU9)/2)</f>
        <v>15.45</v>
      </c>
      <c r="PN9" s="22">
        <f>IF($CC9="P",BR9,(BR9+AV9)/2)</f>
        <v>3.6</v>
      </c>
      <c r="PO9" s="22">
        <f>IF($CC9="P",BS9,(BS9+AW9)/2)</f>
        <v>0</v>
      </c>
      <c r="PP9" s="22">
        <f>IF($CC9="P",BT9,(BT9+AX9)/2)</f>
        <v>0</v>
      </c>
      <c r="PQ9" s="22">
        <f>IF($CC9="P",BU9,(BU9+AY9)/2)</f>
        <v>0</v>
      </c>
      <c r="PR9" s="22">
        <f>IF($CC9="P",BV9,(BV9+AZ9)/2)</f>
        <v>0</v>
      </c>
      <c r="PS9" s="22">
        <f>IF($CC9="P",BW9,(BW9+BA9)/2)</f>
        <v>0</v>
      </c>
      <c r="PT9" s="22">
        <f>IF($CC9="P",BX9,(BX9+BB9)/2)</f>
        <v>0</v>
      </c>
      <c r="PU9" s="22">
        <f>IF($CC9="P",BY9,(BY9+BC9)/2)</f>
        <v>0</v>
      </c>
      <c r="PV9" s="22">
        <f>IF($CC9="P",BZ9,(BZ9+BD9)/2)</f>
        <v>0</v>
      </c>
      <c r="PW9" s="22">
        <f>IF($CC9="P",CA9,(CA9+BE9)/2)</f>
        <v>0</v>
      </c>
      <c r="PX9" s="22">
        <f>IF($CC9="P",CB9,(CB9+BF9)/2)</f>
        <v>0</v>
      </c>
      <c r="PY9" s="27" t="s">
        <v>46</v>
      </c>
      <c r="PZ9" s="40">
        <f>IF(SUM(PJ9,PN9)&gt;0,SUM(PJ9,PN9),"")</f>
        <v>12</v>
      </c>
      <c r="QA9" s="40">
        <f>IF(SUM(PI9:PJ9,PL9:PN9,PP9)-PK9-PO9&gt;0,SUM(PI9:PJ9,PL9:PN9,PP9)-PK9-PO9,"")</f>
        <v>45.650000000000006</v>
      </c>
      <c r="QB9" s="40" t="str">
        <f>IF(SUM(PR9,PV9)&gt;0,SUM(PR9,PV9),"")</f>
        <v/>
      </c>
      <c r="QC9" s="40" t="str">
        <f>IF(SUM(PQ9:PR9,PT9:PV9,PX9)-SUM(PS9,PW9)&gt;0,SUM(PQ9:PR9,PT9:PV9,PX9)-SUM(PS9,PW9),"")</f>
        <v/>
      </c>
      <c r="QD9" s="40">
        <f>IF(SUM(QA9,QC9)&gt;0,SUM(QA9,QC9),"")</f>
        <v>45.650000000000006</v>
      </c>
    </row>
    <row r="10" spans="1:446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2</v>
      </c>
      <c r="C10" s="5" t="s">
        <v>160</v>
      </c>
      <c r="D10" s="4" t="s">
        <v>4</v>
      </c>
      <c r="E10" s="4">
        <v>2008</v>
      </c>
      <c r="F10" s="9">
        <f>SUM(L10:R10)+SUM(L10:O10)*0.0000001+SUM(L10)*0.0000000000001</f>
        <v>149.90000969000531</v>
      </c>
      <c r="H10" s="3" t="str">
        <f>IF(OR(AND(AL10&gt;=AP$38,AM10&gt;=AP$42,AL10&lt;&gt;"",AK10=""),AND(AN10&gt;=AP$38,AO10&gt;=AP$42,AN10&lt;&gt;"",AK10=""),AND(BH10&gt;=BL$38,BI10&gt;=BL$42,BH10&lt;&gt;"",BG10=""),AND(BJ10&gt;=BL$38,BK10&gt;=BL$42,BJ10&lt;&gt;"",BG10=""),AND(CD10&gt;=CH$38,CE10&gt;=CH$42,CD10&lt;&gt;"",CC10=""),AND(CF10&gt;=CH$38,CG10&gt;=CH$42,CF10&lt;&gt;""),AND(DE10&gt;=DL$38,DF10&gt;=DL$42,DE10&lt;&gt;""),AND(DJ10&gt;=DL$38,DK10&gt;=DL$42,DJ10&lt;&gt;""),AND(EG10&gt;=EN$38,EH10&gt;=EN$42,EG10&lt;&gt;""),AND(EL10&gt;=EN$38,EM10&gt;=EN$42,EL10&lt;&gt;""),AND(FI10&gt;=FP$38,FJ10&gt;=FP$42,FI10&lt;&gt;""),AND(FN10&gt;=FP$38,FO10&gt;=FP$42,FN10&lt;&gt;""),AND(GK10&gt;=GR$38,GL10&gt;=GR$42,GK10&lt;&gt;""),AND(GP10&gt;=GR$38,GQ10&gt;=GR$42,GP10&lt;&gt;""),AND(HM10&gt;=HT$38,HN10&gt;=HT$42,HM10&lt;&gt;""),AND(HR10&gt;=HT$38,HS10&gt;=HT$42,HR10&lt;&gt;""),AND(IO10&gt;=IV$38,IP10&gt;=IV$42,IO10&lt;&gt;""),AND(IT10&gt;=IV$38,IU10&gt;=IV$42,IT10&lt;&gt;""),AND(JQ10&gt;=JX$38,JR10&gt;=JX$42,JQ10&lt;&gt;""),AND(JV10&gt;=JX$38,JW10&gt;=JX$42,JV10&lt;&gt;""),AND(KS10&gt;=KZ$38,KT10&gt;=KZ$42,KS10&lt;&gt;""),AND(KX10&gt;=KZ$38,KY10&gt;=KZ$42,KX10&lt;&gt;""),AND(LU10&gt;=MB$38,LV10&gt;=MB$42,LU10&lt;&gt;""),AND(LZ10&gt;=MB$38,MA10&gt;=MB$42,LZ10&lt;&gt;""),AND(MW10&gt;=ND$38,MX10&gt;=ND$42,MW10&lt;&gt;""),AND(NB10&gt;=ND$38,NC10&gt;=ND$42,NB10&lt;&gt;""),AND(NY10&gt;=OF$38,NZ10&gt;=OF$42,NY10&lt;&gt;""),AND(OD10&gt;=OF$38,OE10&gt;=OF$42,OD10&lt;&gt;""),AND(PA10&gt;=PH$38,PB10&gt;=PH$42,PA10&lt;&gt;""),AND(PF10&gt;=PH$38,PG10&gt;=PH$42,PF10&lt;&gt;"")),"P","")</f>
        <v>P</v>
      </c>
      <c r="I10" s="3" t="str">
        <f>IF(OR(AND(AM10&gt;=AP$42,AM10&lt;&gt;"",AK10=""),AND(AO10&gt;=AP$42,AO10&lt;&gt;"",AK10=""),AND(BI10&gt;=BL$42,BI10&lt;&gt;"",BG10=""),AND(BK10&gt;=BL$42,BK10&lt;&gt;"",BG10=""),AND(CE10&gt;=CH$42,CE10&lt;&gt;"",CC10=""),AND(CG10&gt;=CH$42,CG10&lt;&gt;"",CC10=""),AND(DF10&gt;=DL$42,DF10&lt;&gt;""),AND(DK10&gt;=DL$42,DK10&lt;&gt;""),AND(EH10&gt;=EN$42,EH10&lt;&gt;""),AND(EM10&gt;=EN$42,EM10&lt;&gt;""),AND(FJ10&gt;=FP$42,FJ10&lt;&gt;""),AND(FO10&gt;=FP$42,FO10&lt;&gt;""),AND(GL10&gt;=GR$42,GL10&lt;&gt;""),AND(GQ10&gt;=GR$42,GQ10&lt;&gt;""),AND(HN10&gt;=HT$42,HN10&lt;&gt;""),AND(HS10&gt;=HT$42,HS10&lt;&gt;""),AND(IP10&gt;=IV$42,IP10&lt;&gt;""),AND(IU10&gt;=IV$42,IU10&lt;&gt;""),AND(JR10&gt;=JX$42,JR10&lt;&gt;""),AND(JW10&gt;=JX$42,JW10&lt;&gt;""),AND(KT10&gt;=KZ$42,KT10&lt;&gt;""),AND(KY10&gt;=KZ$42,KY10&lt;&gt;""),AND(LV10&gt;=MB$42,LV10&lt;&gt;""),AND(MA10&gt;=MB$42,MA10&lt;&gt;""),AND(MX10&gt;=ND$42,MX10&lt;&gt;""),AND(NC10&gt;=ND$42,NC10&lt;&gt;""),AND(NZ10&gt;=OF$42,NZ10&lt;&gt;""),AND(OE10&gt;=OF$42,OE10&lt;&gt;""),AND(PB10&gt;=PH$42,PB10&lt;&gt;""),AND(PG10&gt;=PH$42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53.199999999999996</v>
      </c>
      <c r="M10" s="8" t="str">
        <f>IF(L10=0,"",IF(L10=CE10,$BM$1,IF(L10=BI10,$AQ$1,IF(L10=AM10,$U$1,""))))</f>
        <v>2025 3rd Domestic Trial</v>
      </c>
      <c r="N10" s="8">
        <f>IF(COUNT(AM10,BI10,CE10)&gt;1,LARGE((AM10,BI10,CE10),2),0)</f>
        <v>43.699999999999996</v>
      </c>
      <c r="O10" s="8" t="str">
        <f>IF(N10=0,"",IF(AND(N10=L10,N10=AM10,N10=BI10),$U$1,IF(AND(N10=L10,N10=AM10,N10=CE10),$U$1,IF(AND(N10=L10,N10=BI10,N10=CE10),$AQ$1,IF(N10=CE10,$BM$1,IF(N10=BI10,$AQ$1,IF(N10=AM10,$U$1,"")))))))</f>
        <v>2025 Nationals</v>
      </c>
      <c r="P10" s="8">
        <f>IF(MAX(AO10,BK10,CG10)&gt;0,MAX(AO10,BK10,CG10),0)</f>
        <v>53</v>
      </c>
      <c r="Q10" s="8" t="str">
        <f>IF(P10=0,"",IF(P10=CG10,$BM$1,IF(P10=BK10,$AQ$1,IF(P10=AO10,$U$1,""))))</f>
        <v>2025 3rd Domestic Trial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8.1</v>
      </c>
      <c r="AA10" s="19">
        <v>0.2</v>
      </c>
      <c r="AB10" s="19">
        <v>0</v>
      </c>
      <c r="AC10" s="19"/>
      <c r="AD10" s="19"/>
      <c r="AE10" s="19"/>
      <c r="AF10" s="19"/>
      <c r="AG10" s="19"/>
      <c r="AH10" s="19"/>
      <c r="AI10" s="19"/>
      <c r="AJ10" s="19"/>
      <c r="AK10" s="27"/>
      <c r="AL10" s="40">
        <f>IF(SUM(V10,Z10)&gt;0,SUM(V10,Z10),"")</f>
        <v>8.1</v>
      </c>
      <c r="AM10" s="40">
        <f>IF(SUM(U10:V10,X10:Z10,AB10)-W10-AA10&gt;0,SUM(U10:V10,X10:Z10,AB10)-W10-AA10,"")</f>
        <v>26.099999999999998</v>
      </c>
      <c r="AN10" s="40" t="str">
        <f>IF(SUM(AD10,AH10)&gt;0,SUM(AD10,AH10),"")</f>
        <v/>
      </c>
      <c r="AO10" s="40" t="str">
        <f>IF(SUM(AC10:AD10,AF10:AH10,AJ10)-SUM(AE10,AI10)&gt;0,SUM(AC10:AD10,AF10:AH10,AJ10)-SUM(AE10,AI10),"")</f>
        <v/>
      </c>
      <c r="AP10" s="40">
        <f>IF(SUM(AM10,AO10)&gt;0,SUM(AM10,AO10),"")</f>
        <v>26.099999999999998</v>
      </c>
      <c r="AQ10" s="18">
        <v>15.4</v>
      </c>
      <c r="AR10" s="18">
        <v>2.8</v>
      </c>
      <c r="AS10" s="18">
        <v>0</v>
      </c>
      <c r="AT10" s="18">
        <v>0</v>
      </c>
      <c r="AU10" s="18">
        <v>18.100000000000001</v>
      </c>
      <c r="AV10" s="18">
        <v>8</v>
      </c>
      <c r="AW10" s="18">
        <v>0.6</v>
      </c>
      <c r="AX10" s="18">
        <v>0</v>
      </c>
      <c r="AY10" s="18"/>
      <c r="AZ10" s="18"/>
      <c r="BA10" s="18"/>
      <c r="BB10" s="18"/>
      <c r="BC10" s="18"/>
      <c r="BD10" s="18"/>
      <c r="BE10" s="18"/>
      <c r="BF10" s="18"/>
      <c r="BG10" s="28"/>
      <c r="BH10" s="11">
        <f>IF(SUM(AR10,AV10)&gt;0,SUM(AR10,AV10),"")</f>
        <v>10.8</v>
      </c>
      <c r="BI10" s="11">
        <f>IF(SUM(AQ10:AR10,AT10:AV10,AX10)-AS10-AW10&gt;0,SUM(AQ10:AR10,AT10:AV10,AX10)-AS10-AW10,"")</f>
        <v>43.699999999999996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43.699999999999996</v>
      </c>
      <c r="BM10" s="19">
        <v>18.3</v>
      </c>
      <c r="BN10" s="19">
        <v>8.8000000000000007</v>
      </c>
      <c r="BO10" s="19">
        <v>0.6</v>
      </c>
      <c r="BP10" s="19">
        <v>0.3</v>
      </c>
      <c r="BQ10" s="19">
        <v>18.600000000000001</v>
      </c>
      <c r="BR10" s="19">
        <v>8.4</v>
      </c>
      <c r="BS10" s="19">
        <v>0.6</v>
      </c>
      <c r="BT10" s="19">
        <v>0</v>
      </c>
      <c r="BU10" s="19">
        <v>18.600000000000001</v>
      </c>
      <c r="BV10" s="19">
        <v>8.4</v>
      </c>
      <c r="BW10" s="19">
        <v>0.9</v>
      </c>
      <c r="BX10" s="19">
        <v>0</v>
      </c>
      <c r="BY10" s="19">
        <v>18.5</v>
      </c>
      <c r="BZ10" s="19">
        <v>8.4</v>
      </c>
      <c r="CA10" s="19">
        <v>0</v>
      </c>
      <c r="CB10" s="19">
        <v>0</v>
      </c>
      <c r="CC10" s="27"/>
      <c r="CD10" s="40">
        <f>IF(SUM(BN10,BR10)&gt;0,SUM(BN10,BR10),"")</f>
        <v>17.200000000000003</v>
      </c>
      <c r="CE10" s="40">
        <f>IF(SUM(BM10:BN10,BP10:BR10,BT10)-BO10-BS10&gt;0,SUM(BM10:BN10,BP10:BR10,BT10)-BO10-BS10,"")</f>
        <v>53.199999999999996</v>
      </c>
      <c r="CF10" s="40">
        <f>IF(SUM(BV10,BZ10)&gt;0,SUM(BV10,BZ10),"")</f>
        <v>16.8</v>
      </c>
      <c r="CG10" s="40">
        <f>IF(SUM(BU10:BV10,BX10:BZ10,CB10)-SUM(BW10,CA10)&gt;0,SUM(BU10:BV10,BX10:BZ10,CB10)-SUM(BW10,CA10),"")</f>
        <v>53</v>
      </c>
      <c r="CH10" s="40">
        <f>IF(SUM(CE10,CG10)&gt;0,SUM(CE10,CG10),"")</f>
        <v>106.19999999999999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>IF(SUM(EP10,ET10)&gt;0,SUM(EP10,ET10),"")</f>
        <v/>
      </c>
      <c r="FJ10" s="40" t="str">
        <f>IF(SUM(EO10:EP10,ER10:ET10,EV10)-EQ10-EU10&gt;0,SUM(EO10:EP10,ER10:ET10,EV10)-EQ10-EU10,"")</f>
        <v/>
      </c>
      <c r="FK10" s="40" t="str">
        <f>IF(SUM(EW10:EX10,EZ10)-EY10&gt;0,SUM(EW10:EX10,EZ10)-EY10,"")</f>
        <v/>
      </c>
      <c r="FL10" s="40" t="str">
        <f>IF(SUM(EP10,ET10,EX10)&gt;0,SUM(EP10,ET10,EX10),"")</f>
        <v/>
      </c>
      <c r="FM10" s="40" t="str">
        <f>IF(SUM(FJ10,FK10)&gt;0,SUM(FJ10,FK10),"")</f>
        <v/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 t="str">
        <f>IF(SUM(FJ10,FK10,FO10)&gt;0,SUM(FJ10,FK10,FO10),"")</f>
        <v/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IF($CC10="P",BM10,(BM10+AQ10)/2)</f>
        <v>16.850000000000001</v>
      </c>
      <c r="PJ10" s="22">
        <f>IF($CC10="P",BN10,(BN10+AR10)/2)</f>
        <v>5.8000000000000007</v>
      </c>
      <c r="PK10" s="22">
        <f>IF($CC10="P",BO10,(BO10+AS10)/2)</f>
        <v>0.3</v>
      </c>
      <c r="PL10" s="22">
        <f>IF($CC10="P",BP10,(BP10+AT10)/2)</f>
        <v>0.15</v>
      </c>
      <c r="PM10" s="22">
        <f>IF($CC10="P",BQ10,(BQ10+AU10)/2)</f>
        <v>18.350000000000001</v>
      </c>
      <c r="PN10" s="22">
        <f>IF($CC10="P",BR10,(BR10+AV10)/2)</f>
        <v>8.1999999999999993</v>
      </c>
      <c r="PO10" s="22">
        <f>IF($CC10="P",BS10,(BS10+AW10)/2)</f>
        <v>0.6</v>
      </c>
      <c r="PP10" s="22">
        <f>IF($CC10="P",BT10,(BT10+AX10)/2)</f>
        <v>0</v>
      </c>
      <c r="PQ10" s="22">
        <f>IF($CC10="P",BU10,(BU10+AY10)/2)</f>
        <v>9.3000000000000007</v>
      </c>
      <c r="PR10" s="22">
        <f>IF($CC10="P",BV10,(BV10+AZ10)/2)</f>
        <v>4.2</v>
      </c>
      <c r="PS10" s="22">
        <f>IF($CC10="P",BW10,(BW10+BA10)/2)</f>
        <v>0.45</v>
      </c>
      <c r="PT10" s="22">
        <f>IF($CC10="P",BX10,(BX10+BB10)/2)</f>
        <v>0</v>
      </c>
      <c r="PU10" s="22">
        <f>IF($CC10="P",BY10,(BY10+BC10)/2)</f>
        <v>9.25</v>
      </c>
      <c r="PV10" s="22">
        <f>IF($CC10="P",BZ10,(BZ10+BD10)/2)</f>
        <v>4.2</v>
      </c>
      <c r="PW10" s="22">
        <f>IF($CC10="P",CA10,(CA10+BE10)/2)</f>
        <v>0</v>
      </c>
      <c r="PX10" s="22">
        <f>IF($CC10="P",CB10,(CB10+BF10)/2)</f>
        <v>0</v>
      </c>
      <c r="PY10" s="27" t="s">
        <v>46</v>
      </c>
      <c r="PZ10" s="40">
        <f>IF(SUM(PJ10,PN10)&gt;0,SUM(PJ10,PN10),"")</f>
        <v>14</v>
      </c>
      <c r="QA10" s="40">
        <f>IF(SUM(PI10:PJ10,PL10:PN10,PP10)-PK10-PO10&gt;0,SUM(PI10:PJ10,PL10:PN10,PP10)-PK10-PO10,"")</f>
        <v>48.45000000000001</v>
      </c>
      <c r="QB10" s="40">
        <f>IF(SUM(PR10,PV10)&gt;0,SUM(PR10,PV10),"")</f>
        <v>8.4</v>
      </c>
      <c r="QC10" s="40">
        <f>IF(SUM(PQ10:PR10,PT10:PV10,PX10)-SUM(PS10,PW10)&gt;0,SUM(PQ10:PR10,PT10:PV10,PX10)-SUM(PS10,PW10),"")</f>
        <v>26.5</v>
      </c>
      <c r="QD10" s="40">
        <f>IF(SUM(QA10,QC10)&gt;0,SUM(QA10,QC10),"")</f>
        <v>74.950000000000017</v>
      </c>
    </row>
    <row r="11" spans="1:446" x14ac:dyDescent="0.2">
      <c r="A11" s="4" t="str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/>
      </c>
      <c r="B11" s="4" t="str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/>
      </c>
      <c r="C11" s="5" t="s">
        <v>165</v>
      </c>
      <c r="D11" s="4" t="s">
        <v>3</v>
      </c>
      <c r="E11" s="4">
        <v>2008</v>
      </c>
      <c r="F11" s="9">
        <f>SUM(L11:R11)+SUM(L11:O11)*0.0000001+SUM(L11)*0.0000000000001</f>
        <v>153.50001020000511</v>
      </c>
      <c r="H11" s="3" t="str">
        <f>IF(OR(AND(AL11&gt;=AP$38,AM11&gt;=AP$42,AL11&lt;&gt;"",AK11=""),AND(AN11&gt;=AP$38,AO11&gt;=AP$42,AN11&lt;&gt;"",AK11=""),AND(BH11&gt;=BL$38,BI11&gt;=BL$42,BH11&lt;&gt;"",BG11=""),AND(BJ11&gt;=BL$38,BK11&gt;=BL$42,BJ11&lt;&gt;"",BG11=""),AND(CD11&gt;=CH$38,CE11&gt;=CH$42,CD11&lt;&gt;"",CC11=""),AND(CF11&gt;=CH$38,CG11&gt;=CH$42,CF11&lt;&gt;""),AND(DE11&gt;=DL$38,DF11&gt;=DL$42,DE11&lt;&gt;""),AND(DJ11&gt;=DL$38,DK11&gt;=DL$42,DJ11&lt;&gt;""),AND(EG11&gt;=EN$38,EH11&gt;=EN$42,EG11&lt;&gt;""),AND(EL11&gt;=EN$38,EM11&gt;=EN$42,EL11&lt;&gt;""),AND(FI11&gt;=FP$38,FJ11&gt;=FP$42,FI11&lt;&gt;""),AND(FN11&gt;=FP$38,FO11&gt;=FP$42,FN11&lt;&gt;""),AND(GK11&gt;=GR$38,GL11&gt;=GR$42,GK11&lt;&gt;""),AND(GP11&gt;=GR$38,GQ11&gt;=GR$42,GP11&lt;&gt;""),AND(HM11&gt;=HT$38,HN11&gt;=HT$42,HM11&lt;&gt;""),AND(HR11&gt;=HT$38,HS11&gt;=HT$42,HR11&lt;&gt;""),AND(IO11&gt;=IV$38,IP11&gt;=IV$42,IO11&lt;&gt;""),AND(IT11&gt;=IV$38,IU11&gt;=IV$42,IT11&lt;&gt;""),AND(JQ11&gt;=JX$38,JR11&gt;=JX$42,JQ11&lt;&gt;""),AND(JV11&gt;=JX$38,JW11&gt;=JX$42,JV11&lt;&gt;""),AND(KS11&gt;=KZ$38,KT11&gt;=KZ$42,KS11&lt;&gt;""),AND(KX11&gt;=KZ$38,KY11&gt;=KZ$42,KX11&lt;&gt;""),AND(LU11&gt;=MB$38,LV11&gt;=MB$42,LU11&lt;&gt;""),AND(LZ11&gt;=MB$38,MA11&gt;=MB$42,LZ11&lt;&gt;""),AND(MW11&gt;=ND$38,MX11&gt;=ND$42,MW11&lt;&gt;""),AND(NB11&gt;=ND$38,NC11&gt;=ND$42,NB11&lt;&gt;""),AND(NY11&gt;=OF$38,NZ11&gt;=OF$42,NY11&lt;&gt;""),AND(OD11&gt;=OF$38,OE11&gt;=OF$42,OD11&lt;&gt;""),AND(PA11&gt;=PH$38,PB11&gt;=PH$42,PA11&lt;&gt;""),AND(PF11&gt;=PH$38,PG11&gt;=PH$42,PF11&lt;&gt;"")),"P","")</f>
        <v/>
      </c>
      <c r="I11" s="3" t="str">
        <f>IF(OR(AND(AM11&gt;=AP$42,AM11&lt;&gt;"",AK11=""),AND(AO11&gt;=AP$42,AO11&lt;&gt;"",AK11=""),AND(BI11&gt;=BL$42,BI11&lt;&gt;"",BG11=""),AND(BK11&gt;=BL$42,BK11&lt;&gt;"",BG11=""),AND(CE11&gt;=CH$42,CE11&lt;&gt;"",CC11=""),AND(CG11&gt;=CH$42,CG11&lt;&gt;"",CC11=""),AND(DF11&gt;=DL$42,DF11&lt;&gt;""),AND(DK11&gt;=DL$42,DK11&lt;&gt;""),AND(EH11&gt;=EN$42,EH11&lt;&gt;""),AND(EM11&gt;=EN$42,EM11&lt;&gt;""),AND(FJ11&gt;=FP$42,FJ11&lt;&gt;""),AND(FO11&gt;=FP$42,FO11&lt;&gt;""),AND(GL11&gt;=GR$42,GL11&lt;&gt;""),AND(GQ11&gt;=GR$42,GQ11&lt;&gt;""),AND(HN11&gt;=HT$42,HN11&lt;&gt;""),AND(HS11&gt;=HT$42,HS11&lt;&gt;""),AND(IP11&gt;=IV$42,IP11&lt;&gt;""),AND(IU11&gt;=IV$42,IU11&lt;&gt;""),AND(JR11&gt;=JX$42,JR11&lt;&gt;""),AND(JW11&gt;=JX$42,JW11&lt;&gt;""),AND(KT11&gt;=KZ$42,KT11&lt;&gt;""),AND(KY11&gt;=KZ$42,KY11&lt;&gt;""),AND(LV11&gt;=MB$42,LV11&lt;&gt;""),AND(MA11&gt;=MB$42,MA11&lt;&gt;""),AND(MX11&gt;=ND$42,MX11&lt;&gt;""),AND(NC11&gt;=ND$42,NC11&lt;&gt;""),AND(NZ11&gt;=OF$42,NZ11&lt;&gt;""),AND(OE11&gt;=OF$42,OE11&lt;&gt;""),AND(PB11&gt;=PH$42,PB11&lt;&gt;""),AND(PG11&gt;=PH$42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51.3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50.7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51.300000000000004</v>
      </c>
      <c r="Q11" s="8" t="str">
        <f>IF(P11=0,"",IF(P11=CG11,$BM$1,IF(P11=BK11,$AQ$1,IF(P11=AO11,$U$1,""))))</f>
        <v>2025 Nationals</v>
      </c>
      <c r="R11" s="8">
        <f>IF(MAX(CI11:CJ11)&gt;0,MAX(CI11:CJ11),"")</f>
        <v>0.19999999999998863</v>
      </c>
      <c r="S11" s="11" t="str">
        <f>IF(R11="","",IF(R11=CI11,"("&amp;CI$2&amp;")",IF(R11=CJ11,"("&amp;CJ$2&amp;")")))</f>
        <v>(Q1)</v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>2025 WAGC (Nov 16)</v>
      </c>
      <c r="U11" s="19">
        <v>19</v>
      </c>
      <c r="V11" s="19">
        <v>6.8</v>
      </c>
      <c r="W11" s="19">
        <v>0</v>
      </c>
      <c r="X11" s="19">
        <v>0</v>
      </c>
      <c r="Y11" s="19">
        <v>19.100000000000001</v>
      </c>
      <c r="Z11" s="19">
        <v>6.4</v>
      </c>
      <c r="AA11" s="19">
        <v>0.6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16.3</v>
      </c>
      <c r="AH11" s="19">
        <v>6</v>
      </c>
      <c r="AI11" s="19">
        <v>0.2</v>
      </c>
      <c r="AJ11" s="19">
        <v>0</v>
      </c>
      <c r="AK11" s="27"/>
      <c r="AL11" s="40">
        <f>IF(SUM(V11,Z11)&gt;0,SUM(V11,Z11),"")</f>
        <v>13.2</v>
      </c>
      <c r="AM11" s="40">
        <f>IF(SUM(U11:V11,X11:Z11,AB11)-W11-AA11&gt;0,SUM(U11:V11,X11:Z11,AB11)-W11-AA11,"")</f>
        <v>50.7</v>
      </c>
      <c r="AN11" s="40">
        <f>IF(SUM(AD11,AH11)&gt;0,SUM(AD11,AH11),"")</f>
        <v>6</v>
      </c>
      <c r="AO11" s="40">
        <f>IF(SUM(AC11:AD11,AF11:AH11,AJ11)-SUM(AE11,AI11)&gt;0,SUM(AC11:AD11,AF11:AH11,AJ11)-SUM(AE11,AI11),"")</f>
        <v>22.1</v>
      </c>
      <c r="AP11" s="40">
        <f>IF(SUM(AM11,AO11)&gt;0,SUM(AM11,AO11),"")</f>
        <v>72.800000000000011</v>
      </c>
      <c r="AQ11" s="18">
        <v>18.899999999999999</v>
      </c>
      <c r="AR11" s="18">
        <v>7.2</v>
      </c>
      <c r="AS11" s="18">
        <v>0</v>
      </c>
      <c r="AT11" s="18">
        <v>0</v>
      </c>
      <c r="AU11" s="18">
        <v>18.600000000000001</v>
      </c>
      <c r="AV11" s="18">
        <v>6.8</v>
      </c>
      <c r="AW11" s="18">
        <v>0.2</v>
      </c>
      <c r="AX11" s="18">
        <v>0</v>
      </c>
      <c r="AY11" s="18">
        <v>18.600000000000001</v>
      </c>
      <c r="AZ11" s="18">
        <v>7.2</v>
      </c>
      <c r="BA11" s="18">
        <v>0.8</v>
      </c>
      <c r="BB11" s="18">
        <v>0</v>
      </c>
      <c r="BC11" s="18">
        <v>18.899999999999999</v>
      </c>
      <c r="BD11" s="18">
        <v>7.6</v>
      </c>
      <c r="BE11" s="18">
        <v>0.2</v>
      </c>
      <c r="BF11" s="18">
        <v>0</v>
      </c>
      <c r="BG11" s="28"/>
      <c r="BH11" s="11">
        <f>IF(SUM(AR11,AV11)&gt;0,SUM(AR11,AV11),"")</f>
        <v>14</v>
      </c>
      <c r="BI11" s="11">
        <f>IF(SUM(AQ11:AR11,AT11:AV11,AX11)-AS11-AW11&gt;0,SUM(AQ11:AR11,AT11:AV11,AX11)-AS11-AW11,"")</f>
        <v>51.3</v>
      </c>
      <c r="BJ11" s="11">
        <f>IF(SUM(AZ11,BD11)&gt;0,SUM(AZ11,BD11),"")</f>
        <v>14.8</v>
      </c>
      <c r="BK11" s="11">
        <f>IF(SUM(AY11:AZ11,BB11:BD11,BF11)-SUM(BA11,BE11)&gt;0,SUM(AY11:AZ11,BB11:BD11,BF11)-SUM(BA11,BE11),"")</f>
        <v>51.300000000000004</v>
      </c>
      <c r="BL11" s="11">
        <f>IF(SUM(BI11,BK11)&gt;0,SUM(BI11,BK11),"")</f>
        <v>102.6</v>
      </c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27"/>
      <c r="CD11" s="40" t="str">
        <f>IF(SUM(BN11,BR11)&gt;0,SUM(BN11,BR11),"")</f>
        <v/>
      </c>
      <c r="CE11" s="40" t="str">
        <f>IF(SUM(BM11:BN11,BP11:BR11,BT11)-BO11-BS11&gt;0,SUM(BM11:BN11,BP11:BR11,BT11)-BO11-BS11,"")</f>
        <v/>
      </c>
      <c r="CF11" s="40" t="str">
        <f>IF(SUM(BV11,BZ11)&gt;0,SUM(BV11,BZ11),"")</f>
        <v/>
      </c>
      <c r="CG11" s="40" t="str">
        <f>IF(SUM(BU11:BV11,BX11:BZ11,CB11)-SUM(BW11,CA11)&gt;0,SUM(BU11:BV11,BX11:BZ11,CB11)-SUM(BW11,CA11),"")</f>
        <v/>
      </c>
      <c r="CH11" s="40" t="str">
        <f>IF(SUM(CE11,CG11)&gt;0,SUM(CE11,CG11),"")</f>
        <v/>
      </c>
      <c r="CI11" s="50">
        <f>IF(MAX(DF11,EH11,FJ11,GL11,HN11,IP11,JR11,KT11,LV11,MX11,NZ11,PB11)-IF(N11="",0,N11)&gt;0.001,MAX(DF11,EH11,FJ11,GL11,HN11,IP11,JR11,KT11,LV11,MX11,NZ11,PB11)-IF(N11="",0,N11),"")</f>
        <v>0.19999999999998863</v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>
        <v>18.5</v>
      </c>
      <c r="FR11" s="18">
        <v>6</v>
      </c>
      <c r="FS11" s="18">
        <v>0.2</v>
      </c>
      <c r="FT11" s="18">
        <v>0</v>
      </c>
      <c r="FU11" s="18">
        <v>18.8</v>
      </c>
      <c r="FV11" s="18">
        <v>8.4</v>
      </c>
      <c r="FW11" s="18">
        <v>0.6</v>
      </c>
      <c r="FX11" s="18">
        <v>0</v>
      </c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>
        <f>IF(SUM(FR11,FV11)&gt;0,SUM(FR11,FV11),"")</f>
        <v>14.4</v>
      </c>
      <c r="GL11" s="11">
        <f>IF(SUM(FQ11:FR11,FT11:FV11,FX11)-FS11-FW11&gt;0,SUM(FQ11:FR11,FT11:FV11,FX11)-FS11-FW11,"")</f>
        <v>50.899999999999991</v>
      </c>
      <c r="GM11" s="11" t="str">
        <f>IF(SUM(FY11:FZ11,GB11)-GA11&gt;0,SUM(FY11:FZ11,GB11)-GA11,"")</f>
        <v/>
      </c>
      <c r="GN11" s="11">
        <f>IF(SUM(FR11,FV11,FZ11)&gt;0,SUM(FR11,FV11,FZ11),"")</f>
        <v>14.4</v>
      </c>
      <c r="GO11" s="11">
        <f>IF(SUM(GL11,GM11)&gt;0,SUM(GL11,GM11),"")</f>
        <v>50.899999999999991</v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>
        <f>IF(SUM(GL11,GM11,GQ11)&gt;0,SUM(GL11,GM11,GQ11),"")</f>
        <v>50.899999999999991</v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IF($CC11="P",BM11,(BM11+AQ11)/2)</f>
        <v>9.4499999999999993</v>
      </c>
      <c r="PJ11" s="22">
        <f>IF($CC11="P",BN11,(BN11+AR11)/2)</f>
        <v>3.6</v>
      </c>
      <c r="PK11" s="22">
        <f>IF($CC11="P",BO11,(BO11+AS11)/2)</f>
        <v>0</v>
      </c>
      <c r="PL11" s="22">
        <f>IF($CC11="P",BP11,(BP11+AT11)/2)</f>
        <v>0</v>
      </c>
      <c r="PM11" s="22">
        <f>IF($CC11="P",BQ11,(BQ11+AU11)/2)</f>
        <v>9.3000000000000007</v>
      </c>
      <c r="PN11" s="22">
        <f>IF($CC11="P",BR11,(BR11+AV11)/2)</f>
        <v>3.4</v>
      </c>
      <c r="PO11" s="22">
        <f>IF($CC11="P",BS11,(BS11+AW11)/2)</f>
        <v>0.1</v>
      </c>
      <c r="PP11" s="22">
        <f>IF($CC11="P",BT11,(BT11+AX11)/2)</f>
        <v>0</v>
      </c>
      <c r="PQ11" s="22">
        <f>IF($CC11="P",BU11,(BU11+AY11)/2)</f>
        <v>9.3000000000000007</v>
      </c>
      <c r="PR11" s="22">
        <f>IF($CC11="P",BV11,(BV11+AZ11)/2)</f>
        <v>3.6</v>
      </c>
      <c r="PS11" s="22">
        <f>IF($CC11="P",BW11,(BW11+BA11)/2)</f>
        <v>0.4</v>
      </c>
      <c r="PT11" s="22">
        <f>IF($CC11="P",BX11,(BX11+BB11)/2)</f>
        <v>0</v>
      </c>
      <c r="PU11" s="22">
        <f>IF($CC11="P",BY11,(BY11+BC11)/2)</f>
        <v>9.4499999999999993</v>
      </c>
      <c r="PV11" s="22">
        <f>IF($CC11="P",BZ11,(BZ11+BD11)/2)</f>
        <v>3.8</v>
      </c>
      <c r="PW11" s="22">
        <f>IF($CC11="P",CA11,(CA11+BE11)/2)</f>
        <v>0.1</v>
      </c>
      <c r="PX11" s="22">
        <f>IF($CC11="P",CB11,(CB11+BF11)/2)</f>
        <v>0</v>
      </c>
      <c r="PY11" s="27" t="s">
        <v>46</v>
      </c>
      <c r="PZ11" s="40">
        <f>IF(SUM(PJ11,PN11)&gt;0,SUM(PJ11,PN11),"")</f>
        <v>7</v>
      </c>
      <c r="QA11" s="40">
        <f>IF(SUM(PI11:PJ11,PL11:PN11,PP11)-PK11-PO11&gt;0,SUM(PI11:PJ11,PL11:PN11,PP11)-PK11-PO11,"")</f>
        <v>25.65</v>
      </c>
      <c r="QB11" s="40">
        <f>IF(SUM(PR11,PV11)&gt;0,SUM(PR11,PV11),"")</f>
        <v>7.4</v>
      </c>
      <c r="QC11" s="40">
        <f>IF(SUM(PQ11:PR11,PT11:PV11,PX11)-SUM(PS11,PW11)&gt;0,SUM(PQ11:PR11,PT11:PV11,PX11)-SUM(PS11,PW11),"")</f>
        <v>25.650000000000002</v>
      </c>
      <c r="QD11" s="40">
        <f>IF(SUM(QA11,QC11)&gt;0,SUM(QA11,QC11),"")</f>
        <v>51.3</v>
      </c>
    </row>
    <row r="12" spans="1:446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155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L12&gt;=AP$38,AM12&gt;=AP$42,AL12&lt;&gt;"",AK12=""),AND(AN12&gt;=AP$38,AO12&gt;=AP$42,AN12&lt;&gt;"",AK12=""),AND(BH12&gt;=BL$38,BI12&gt;=BL$42,BH12&lt;&gt;"",BG12=""),AND(BJ12&gt;=BL$38,BK12&gt;=BL$42,BJ12&lt;&gt;"",BG12=""),AND(CD12&gt;=CH$38,CE12&gt;=CH$42,CD12&lt;&gt;"",CC12=""),AND(CF12&gt;=CH$38,CG12&gt;=CH$42,CF12&lt;&gt;""),AND(DE12&gt;=DL$38,DF12&gt;=DL$42,DE12&lt;&gt;""),AND(DJ12&gt;=DL$38,DK12&gt;=DL$42,DJ12&lt;&gt;""),AND(EG12&gt;=EN$38,EH12&gt;=EN$42,EG12&lt;&gt;""),AND(EL12&gt;=EN$38,EM12&gt;=EN$42,EL12&lt;&gt;""),AND(FI12&gt;=FP$38,FJ12&gt;=FP$42,FI12&lt;&gt;""),AND(FN12&gt;=FP$38,FO12&gt;=FP$42,FN12&lt;&gt;""),AND(GK12&gt;=GR$38,GL12&gt;=GR$42,GK12&lt;&gt;""),AND(GP12&gt;=GR$38,GQ12&gt;=GR$42,GP12&lt;&gt;""),AND(HM12&gt;=HT$38,HN12&gt;=HT$42,HM12&lt;&gt;""),AND(HR12&gt;=HT$38,HS12&gt;=HT$42,HR12&lt;&gt;""),AND(IO12&gt;=IV$38,IP12&gt;=IV$42,IO12&lt;&gt;""),AND(IT12&gt;=IV$38,IU12&gt;=IV$42,IT12&lt;&gt;""),AND(JQ12&gt;=JX$38,JR12&gt;=JX$42,JQ12&lt;&gt;""),AND(JV12&gt;=JX$38,JW12&gt;=JX$42,JV12&lt;&gt;""),AND(KS12&gt;=KZ$38,KT12&gt;=KZ$42,KS12&lt;&gt;""),AND(KX12&gt;=KZ$38,KY12&gt;=KZ$42,KX12&lt;&gt;""),AND(LU12&gt;=MB$38,LV12&gt;=MB$42,LU12&lt;&gt;""),AND(LZ12&gt;=MB$38,MA12&gt;=MB$42,LZ12&lt;&gt;""),AND(MW12&gt;=ND$38,MX12&gt;=ND$42,MW12&lt;&gt;""),AND(NB12&gt;=ND$38,NC12&gt;=ND$42,NB12&lt;&gt;""),AND(NY12&gt;=OF$38,NZ12&gt;=OF$42,NY12&lt;&gt;""),AND(OD12&gt;=OF$38,OE12&gt;=OF$42,OD12&lt;&gt;""),AND(PA12&gt;=PH$38,PB12&gt;=PH$42,PA12&lt;&gt;""),AND(PF12&gt;=PH$38,PG12&gt;=PH$42,PF12&lt;&gt;"")),"P","")</f>
        <v/>
      </c>
      <c r="I12" s="3" t="str">
        <f>IF(OR(AND(AM12&gt;=AP$42,AM12&lt;&gt;"",AK12=""),AND(AO12&gt;=AP$42,AO12&lt;&gt;"",AK12=""),AND(BI12&gt;=BL$42,BI12&lt;&gt;"",BG12=""),AND(BK12&gt;=BL$42,BK12&lt;&gt;"",BG12=""),AND(CE12&gt;=CH$42,CE12&lt;&gt;"",CC12=""),AND(CG12&gt;=CH$42,CG12&lt;&gt;"",CC12=""),AND(DF12&gt;=DL$42,DF12&lt;&gt;""),AND(DK12&gt;=DL$42,DK12&lt;&gt;""),AND(EH12&gt;=EN$42,EH12&lt;&gt;""),AND(EM12&gt;=EN$42,EM12&lt;&gt;""),AND(FJ12&gt;=FP$42,FJ12&lt;&gt;""),AND(FO12&gt;=FP$42,FO12&lt;&gt;""),AND(GL12&gt;=GR$42,GL12&lt;&gt;""),AND(GQ12&gt;=GR$42,GQ12&lt;&gt;""),AND(HN12&gt;=HT$42,HN12&lt;&gt;""),AND(HS12&gt;=HT$42,HS12&lt;&gt;""),AND(IP12&gt;=IV$42,IP12&lt;&gt;""),AND(IU12&gt;=IV$42,IU12&lt;&gt;""),AND(JR12&gt;=JX$42,JR12&lt;&gt;""),AND(JW12&gt;=JX$42,JW12&lt;&gt;""),AND(KT12&gt;=KZ$42,KT12&lt;&gt;""),AND(KY12&gt;=KZ$42,KY12&lt;&gt;""),AND(LV12&gt;=MB$42,LV12&lt;&gt;""),AND(MA12&gt;=MB$42,MA12&lt;&gt;""),AND(MX12&gt;=ND$42,MX12&lt;&gt;""),AND(NC12&gt;=ND$42,NC12&lt;&gt;""),AND(NZ12&gt;=OF$42,NZ12&lt;&gt;""),AND(OE12&gt;=OF$42,OE12&lt;&gt;""),AND(PB12&gt;=PH$42,PB12&lt;&gt;""),AND(PG12&gt;=PH$42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50.999999999999993</v>
      </c>
      <c r="M12" s="8" t="str">
        <f>IF(L12=0,"",IF(L12=CE12,$BM$1,IF(L12=BI12,$AQ$1,IF(L12=AM12,$U$1,""))))</f>
        <v>2025 Elite Canada</v>
      </c>
      <c r="N12" s="8">
        <f>IF(COUNT(AM12,BI12,CE12)&gt;1,LARGE((AM12,BI12,CE12),2),0)</f>
        <v>50.599999999999994</v>
      </c>
      <c r="O12" s="8" t="str">
        <f>IF(N12=0,"",IF(AND(N12=L12,N12=AM12,N12=BI12),$U$1,IF(AND(N12=L12,N12=AM12,N12=CE12),$U$1,IF(AND(N12=L12,N12=BI12,N12=CE12),$AQ$1,IF(N12=CE12,$BM$1,IF(N12=BI12,$AQ$1,IF(N12=AM12,$U$1,"")))))))</f>
        <v>2025 Nationals</v>
      </c>
      <c r="P12" s="8">
        <f>IF(MAX(AO12,BK12,CG12)&gt;0,MAX(AO12,BK12,CG12),0)</f>
        <v>50.4</v>
      </c>
      <c r="Q12" s="8" t="str">
        <f>IF(P12=0,"",IF(P12=CG12,$BM$1,IF(P12=BK12,$AQ$1,IF(P12=AO12,$U$1,""))))</f>
        <v>2025 Elite Canada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18.8</v>
      </c>
      <c r="V12" s="19">
        <v>7.2</v>
      </c>
      <c r="W12" s="19">
        <v>0.2</v>
      </c>
      <c r="X12" s="19">
        <v>0</v>
      </c>
      <c r="Y12" s="19">
        <v>18.600000000000001</v>
      </c>
      <c r="Z12" s="19">
        <v>6.8</v>
      </c>
      <c r="AA12" s="19">
        <v>0.2</v>
      </c>
      <c r="AB12" s="19">
        <v>0</v>
      </c>
      <c r="AC12" s="19">
        <v>18.5</v>
      </c>
      <c r="AD12" s="19">
        <v>7.2</v>
      </c>
      <c r="AE12" s="19">
        <v>0</v>
      </c>
      <c r="AF12" s="19">
        <v>0</v>
      </c>
      <c r="AG12" s="19">
        <v>18.5</v>
      </c>
      <c r="AH12" s="19">
        <v>6.8</v>
      </c>
      <c r="AI12" s="19">
        <v>0.6</v>
      </c>
      <c r="AJ12" s="19">
        <v>0</v>
      </c>
      <c r="AK12" s="27"/>
      <c r="AL12" s="40">
        <f>IF(SUM(V12,Z12)&gt;0,SUM(V12,Z12),"")</f>
        <v>14</v>
      </c>
      <c r="AM12" s="40">
        <f>IF(SUM(U12:V12,X12:Z12,AB12)-W12-AA12&gt;0,SUM(U12:V12,X12:Z12,AB12)-W12-AA12,"")</f>
        <v>50.999999999999993</v>
      </c>
      <c r="AN12" s="40">
        <f>IF(SUM(AD12,AH12)&gt;0,SUM(AD12,AH12),"")</f>
        <v>14</v>
      </c>
      <c r="AO12" s="40">
        <f>IF(SUM(AC12:AD12,AF12:AH12,AJ12)-SUM(AE12,AI12)&gt;0,SUM(AC12:AD12,AF12:AH12,AJ12)-SUM(AE12,AI12),"")</f>
        <v>50.4</v>
      </c>
      <c r="AP12" s="40">
        <f>IF(SUM(AM12,AO12)&gt;0,SUM(AM12,AO12),"")</f>
        <v>101.39999999999999</v>
      </c>
      <c r="AQ12" s="18">
        <v>18.600000000000001</v>
      </c>
      <c r="AR12" s="18">
        <v>7.2</v>
      </c>
      <c r="AS12" s="18">
        <v>0.2</v>
      </c>
      <c r="AT12" s="18">
        <v>0</v>
      </c>
      <c r="AU12" s="18">
        <v>18.399999999999999</v>
      </c>
      <c r="AV12" s="18">
        <v>6.8</v>
      </c>
      <c r="AW12" s="18">
        <v>0.2</v>
      </c>
      <c r="AX12" s="18">
        <v>0</v>
      </c>
      <c r="AY12" s="18">
        <v>18.600000000000001</v>
      </c>
      <c r="AZ12" s="18">
        <v>6.8</v>
      </c>
      <c r="BA12" s="18">
        <v>0</v>
      </c>
      <c r="BB12" s="18">
        <v>0</v>
      </c>
      <c r="BC12" s="18">
        <v>18.5</v>
      </c>
      <c r="BD12" s="18">
        <v>6.8</v>
      </c>
      <c r="BE12" s="18">
        <v>0.6</v>
      </c>
      <c r="BF12" s="18">
        <v>0</v>
      </c>
      <c r="BG12" s="28"/>
      <c r="BH12" s="11">
        <f>IF(SUM(AR12,AV12)&gt;0,SUM(AR12,AV12),"")</f>
        <v>14</v>
      </c>
      <c r="BI12" s="11">
        <f>IF(SUM(AQ12:AR12,AT12:AV12,AX12)-AS12-AW12&gt;0,SUM(AQ12:AR12,AT12:AV12,AX12)-AS12-AW12,"")</f>
        <v>50.599999999999994</v>
      </c>
      <c r="BJ12" s="11">
        <f>IF(SUM(AZ12,BD12)&gt;0,SUM(AZ12,BD12),"")</f>
        <v>13.6</v>
      </c>
      <c r="BK12" s="11">
        <f>IF(SUM(AY12:AZ12,BB12:BD12,BF12)-SUM(BA12,BE12)&gt;0,SUM(AY12:AZ12,BB12:BD12,BF12)-SUM(BA12,BE12),"")</f>
        <v>50.1</v>
      </c>
      <c r="BL12" s="11">
        <f>IF(SUM(BI12,BK12)&gt;0,SUM(BI12,BK12),"")</f>
        <v>100.69999999999999</v>
      </c>
      <c r="BM12" s="19">
        <v>18.3</v>
      </c>
      <c r="BN12" s="19">
        <v>7.2</v>
      </c>
      <c r="BO12" s="19">
        <v>0.2</v>
      </c>
      <c r="BP12" s="19">
        <v>0</v>
      </c>
      <c r="BQ12" s="19">
        <v>18.100000000000001</v>
      </c>
      <c r="BR12" s="19">
        <v>6.8</v>
      </c>
      <c r="BS12" s="19">
        <v>0.2</v>
      </c>
      <c r="BT12" s="19">
        <v>0</v>
      </c>
      <c r="BU12" s="19">
        <v>18.100000000000001</v>
      </c>
      <c r="BV12" s="19">
        <v>7.2</v>
      </c>
      <c r="BW12" s="19">
        <v>0.2</v>
      </c>
      <c r="BX12" s="19">
        <v>0</v>
      </c>
      <c r="BY12" s="19">
        <v>18</v>
      </c>
      <c r="BZ12" s="19">
        <v>6</v>
      </c>
      <c r="CA12" s="19">
        <v>1</v>
      </c>
      <c r="CB12" s="19">
        <v>0</v>
      </c>
      <c r="CC12" s="27"/>
      <c r="CD12" s="40">
        <f>IF(SUM(BN12,BR12)&gt;0,SUM(BN12,BR12),"")</f>
        <v>14</v>
      </c>
      <c r="CE12" s="40">
        <f>IF(SUM(BM12:BN12,BP12:BR12,BT12)-BO12-BS12&gt;0,SUM(BM12:BN12,BP12:BR12,BT12)-BO12-BS12,"")</f>
        <v>49.999999999999993</v>
      </c>
      <c r="CF12" s="40">
        <f>IF(SUM(BV12,BZ12)&gt;0,SUM(BV12,BZ12),"")</f>
        <v>13.2</v>
      </c>
      <c r="CG12" s="40">
        <f>IF(SUM(BU12:BV12,BX12:BZ12,CB12)-SUM(BW12,CA12)&gt;0,SUM(BU12:BV12,BX12:BZ12,CB12)-SUM(BW12,CA12),"")</f>
        <v>48.099999999999994</v>
      </c>
      <c r="CH12" s="40">
        <f>IF(SUM(CE12,CG12)&gt;0,SUM(CE12,CG12),"")</f>
        <v>98.1</v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IF($CC12="P",BM12,(BM12+AQ12)/2)</f>
        <v>18.450000000000003</v>
      </c>
      <c r="PJ12" s="22">
        <f>IF($CC12="P",BN12,(BN12+AR12)/2)</f>
        <v>7.2</v>
      </c>
      <c r="PK12" s="22">
        <f>IF($CC12="P",BO12,(BO12+AS12)/2)</f>
        <v>0.2</v>
      </c>
      <c r="PL12" s="22">
        <f>IF($CC12="P",BP12,(BP12+AT12)/2)</f>
        <v>0</v>
      </c>
      <c r="PM12" s="22">
        <f>IF($CC12="P",BQ12,(BQ12+AU12)/2)</f>
        <v>18.25</v>
      </c>
      <c r="PN12" s="22">
        <f>IF($CC12="P",BR12,(BR12+AV12)/2)</f>
        <v>6.8</v>
      </c>
      <c r="PO12" s="22">
        <f>IF($CC12="P",BS12,(BS12+AW12)/2)</f>
        <v>0.2</v>
      </c>
      <c r="PP12" s="22">
        <f>IF($CC12="P",BT12,(BT12+AX12)/2)</f>
        <v>0</v>
      </c>
      <c r="PQ12" s="22">
        <f>IF($CC12="P",BU12,(BU12+AY12)/2)</f>
        <v>18.350000000000001</v>
      </c>
      <c r="PR12" s="22">
        <f>IF($CC12="P",BV12,(BV12+AZ12)/2)</f>
        <v>7</v>
      </c>
      <c r="PS12" s="22">
        <f>IF($CC12="P",BW12,(BW12+BA12)/2)</f>
        <v>0.1</v>
      </c>
      <c r="PT12" s="22">
        <f>IF($CC12="P",BX12,(BX12+BB12)/2)</f>
        <v>0</v>
      </c>
      <c r="PU12" s="22">
        <f>IF($CC12="P",BY12,(BY12+BC12)/2)</f>
        <v>18.25</v>
      </c>
      <c r="PV12" s="22">
        <f>IF($CC12="P",BZ12,(BZ12+BD12)/2)</f>
        <v>6.4</v>
      </c>
      <c r="PW12" s="22">
        <f>IF($CC12="P",CA12,(CA12+BE12)/2)</f>
        <v>0.8</v>
      </c>
      <c r="PX12" s="22">
        <f>IF($CC12="P",CB12,(CB12+BF12)/2)</f>
        <v>0</v>
      </c>
      <c r="PY12" s="27" t="s">
        <v>46</v>
      </c>
      <c r="PZ12" s="40">
        <f>IF(SUM(PJ12,PN12)&gt;0,SUM(PJ12,PN12),"")</f>
        <v>14</v>
      </c>
      <c r="QA12" s="40">
        <f>IF(SUM(PI12:PJ12,PL12:PN12,PP12)-PK12-PO12&gt;0,SUM(PI12:PJ12,PL12:PN12,PP12)-PK12-PO12,"")</f>
        <v>50.3</v>
      </c>
      <c r="QB12" s="40">
        <f>IF(SUM(PR12,PV12)&gt;0,SUM(PR12,PV12),"")</f>
        <v>13.4</v>
      </c>
      <c r="QC12" s="40">
        <f>IF(SUM(PQ12:PR12,PT12:PV12,PX12)-SUM(PS12,PW12)&gt;0,SUM(PQ12:PR12,PT12:PV12,PX12)-SUM(PS12,PW12),"")</f>
        <v>49.1</v>
      </c>
      <c r="QD12" s="40">
        <f>IF(SUM(QA12,QC12)&gt;0,SUM(QA12,QC12),"")</f>
        <v>99.4</v>
      </c>
    </row>
    <row r="13" spans="1:446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94</v>
      </c>
      <c r="D13" s="4" t="s">
        <v>3</v>
      </c>
      <c r="E13" s="4">
        <v>2005</v>
      </c>
      <c r="F13" s="9">
        <f>SUM(L13:R13)+SUM(L13:O13)*0.0000001+SUM(L13)*0.0000000000001</f>
        <v>151.80001013000512</v>
      </c>
      <c r="G13" s="64"/>
      <c r="H13" s="3" t="str">
        <f>IF(OR(AND(AL13&gt;=AP$38,AM13&gt;=AP$42,AL13&lt;&gt;"",AK13=""),AND(AN13&gt;=AP$38,AO13&gt;=AP$42,AN13&lt;&gt;"",AK13=""),AND(BH13&gt;=BL$38,BI13&gt;=BL$42,BH13&lt;&gt;"",BG13=""),AND(BJ13&gt;=BL$38,BK13&gt;=BL$42,BJ13&lt;&gt;"",BG13=""),AND(CD13&gt;=CH$38,CE13&gt;=CH$42,CD13&lt;&gt;"",CC13=""),AND(CF13&gt;=CH$38,CG13&gt;=CH$42,CF13&lt;&gt;""),AND(DE13&gt;=DL$38,DF13&gt;=DL$42,DE13&lt;&gt;""),AND(DJ13&gt;=DL$38,DK13&gt;=DL$42,DJ13&lt;&gt;""),AND(EG13&gt;=EN$38,EH13&gt;=EN$42,EG13&lt;&gt;""),AND(EL13&gt;=EN$38,EM13&gt;=EN$42,EL13&lt;&gt;""),AND(FI13&gt;=FP$38,FJ13&gt;=FP$42,FI13&lt;&gt;""),AND(FN13&gt;=FP$38,FO13&gt;=FP$42,FN13&lt;&gt;""),AND(GK13&gt;=GR$38,GL13&gt;=GR$42,GK13&lt;&gt;""),AND(GP13&gt;=GR$38,GQ13&gt;=GR$42,GP13&lt;&gt;""),AND(HM13&gt;=HT$38,HN13&gt;=HT$42,HM13&lt;&gt;""),AND(HR13&gt;=HT$38,HS13&gt;=HT$42,HR13&lt;&gt;""),AND(IO13&gt;=IV$38,IP13&gt;=IV$42,IO13&lt;&gt;""),AND(IT13&gt;=IV$38,IU13&gt;=IV$42,IT13&lt;&gt;""),AND(JQ13&gt;=JX$38,JR13&gt;=JX$42,JQ13&lt;&gt;""),AND(JV13&gt;=JX$38,JW13&gt;=JX$42,JV13&lt;&gt;""),AND(KS13&gt;=KZ$38,KT13&gt;=KZ$42,KS13&lt;&gt;""),AND(KX13&gt;=KZ$38,KY13&gt;=KZ$42,KX13&lt;&gt;""),AND(LU13&gt;=MB$38,LV13&gt;=MB$42,LU13&lt;&gt;""),AND(LZ13&gt;=MB$38,MA13&gt;=MB$42,LZ13&lt;&gt;""),AND(MW13&gt;=ND$38,MX13&gt;=ND$42,MW13&lt;&gt;""),AND(NB13&gt;=ND$38,NC13&gt;=ND$42,NB13&lt;&gt;""),AND(NY13&gt;=OF$38,NZ13&gt;=OF$42,NY13&lt;&gt;""),AND(OD13&gt;=OF$38,OE13&gt;=OF$42,OD13&lt;&gt;""),AND(PA13&gt;=PH$38,PB13&gt;=PH$42,PA13&lt;&gt;""),AND(PF13&gt;=PH$38,PG13&gt;=PH$42,PF13&lt;&gt;"")),"P","")</f>
        <v/>
      </c>
      <c r="I13" s="3" t="str">
        <f>IF(OR(AND(AM13&gt;=AP$42,AM13&lt;&gt;"",AK13=""),AND(AO13&gt;=AP$42,AO13&lt;&gt;"",AK13=""),AND(BI13&gt;=BL$42,BI13&lt;&gt;"",BG13=""),AND(BK13&gt;=BL$42,BK13&lt;&gt;"",BG13=""),AND(CE13&gt;=CH$42,CE13&lt;&gt;"",CC13=""),AND(CG13&gt;=CH$42,CG13&lt;&gt;"",CC13=""),AND(DF13&gt;=DL$42,DF13&lt;&gt;""),AND(DK13&gt;=DL$42,DK13&lt;&gt;""),AND(EH13&gt;=EN$42,EH13&lt;&gt;""),AND(EM13&gt;=EN$42,EM13&lt;&gt;""),AND(FJ13&gt;=FP$42,FJ13&lt;&gt;""),AND(FO13&gt;=FP$42,FO13&lt;&gt;""),AND(GL13&gt;=GR$42,GL13&lt;&gt;""),AND(GQ13&gt;=GR$42,GQ13&lt;&gt;""),AND(HN13&gt;=HT$42,HN13&lt;&gt;""),AND(HS13&gt;=HT$42,HS13&lt;&gt;""),AND(IP13&gt;=IV$42,IP13&lt;&gt;""),AND(IU13&gt;=IV$42,IU13&lt;&gt;""),AND(JR13&gt;=JX$42,JR13&lt;&gt;""),AND(JW13&gt;=JX$42,JW13&lt;&gt;""),AND(KT13&gt;=KZ$42,KT13&lt;&gt;""),AND(KY13&gt;=KZ$42,KY13&lt;&gt;""),AND(LV13&gt;=MB$42,LV13&lt;&gt;""),AND(MA13&gt;=MB$42,MA13&lt;&gt;""),AND(MX13&gt;=ND$42,MX13&lt;&gt;""),AND(NC13&gt;=ND$42,NC13&lt;&gt;""),AND(NZ13&gt;=OF$42,NZ13&lt;&gt;""),AND(OE13&gt;=OF$42,OE13&lt;&gt;""),AND(PB13&gt;=PH$42,PB13&lt;&gt;""),AND(PG13&gt;=PH$42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51.2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50.099999999999994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50.5</v>
      </c>
      <c r="Q13" s="8" t="str">
        <f>IF(P13=0,"",IF(P13=CG13,$BM$1,IF(P13=BK13,$AQ$1,IF(P13=AO13,$U$1,""))))</f>
        <v>2025 Elite Canada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>
        <v>19.2</v>
      </c>
      <c r="AD13" s="19">
        <v>7.2</v>
      </c>
      <c r="AE13" s="19">
        <v>0</v>
      </c>
      <c r="AF13" s="19">
        <v>0</v>
      </c>
      <c r="AG13" s="19">
        <v>18.100000000000001</v>
      </c>
      <c r="AH13" s="19">
        <v>6.8</v>
      </c>
      <c r="AI13" s="19">
        <v>0.8</v>
      </c>
      <c r="AJ13" s="19">
        <v>0</v>
      </c>
      <c r="AK13" s="27"/>
      <c r="AL13" s="40">
        <f>IF(SUM(V13,Z13)&gt;0,SUM(V13,Z13),"")</f>
        <v>14</v>
      </c>
      <c r="AM13" s="40">
        <f>IF(SUM(U13:V13,X13:Z13,AB13)-W13-AA13&gt;0,SUM(U13:V13,X13:Z13,AB13)-W13-AA13,"")</f>
        <v>50.099999999999994</v>
      </c>
      <c r="AN13" s="40">
        <f>IF(SUM(AD13,AH13)&gt;0,SUM(AD13,AH13),"")</f>
        <v>14</v>
      </c>
      <c r="AO13" s="40">
        <f>IF(SUM(AC13:AD13,AF13:AH13,AJ13)-SUM(AE13,AI13)&gt;0,SUM(AC13:AD13,AF13:AH13,AJ13)-SUM(AE13,AI13),"")</f>
        <v>50.5</v>
      </c>
      <c r="AP13" s="40">
        <f>IF(SUM(AM13,AO13)&gt;0,SUM(AM13,AO13),"")</f>
        <v>100.6</v>
      </c>
      <c r="AQ13" s="18">
        <v>18.8</v>
      </c>
      <c r="AR13" s="18">
        <v>8</v>
      </c>
      <c r="AS13" s="18">
        <v>0</v>
      </c>
      <c r="AT13" s="18">
        <v>0.3</v>
      </c>
      <c r="AU13" s="18">
        <v>18.100000000000001</v>
      </c>
      <c r="AV13" s="18">
        <v>6.8</v>
      </c>
      <c r="AW13" s="18">
        <v>0.8</v>
      </c>
      <c r="AX13" s="18">
        <v>0</v>
      </c>
      <c r="AY13" s="18">
        <v>15.4</v>
      </c>
      <c r="AZ13" s="18">
        <v>2.8</v>
      </c>
      <c r="BA13" s="18">
        <v>0</v>
      </c>
      <c r="BB13" s="18">
        <v>0</v>
      </c>
      <c r="BC13" s="18">
        <v>18.7</v>
      </c>
      <c r="BD13" s="18">
        <v>6.8</v>
      </c>
      <c r="BE13" s="18">
        <v>0.2</v>
      </c>
      <c r="BF13" s="18">
        <v>0</v>
      </c>
      <c r="BG13" s="28"/>
      <c r="BH13" s="11">
        <f>IF(SUM(AR13,AV13)&gt;0,SUM(AR13,AV13),"")</f>
        <v>14.8</v>
      </c>
      <c r="BI13" s="11">
        <f>IF(SUM(AQ13:AR13,AT13:AV13,AX13)-AS13-AW13&gt;0,SUM(AQ13:AR13,AT13:AV13,AX13)-AS13-AW13,"")</f>
        <v>51.2</v>
      </c>
      <c r="BJ13" s="11">
        <f>IF(SUM(AZ13,BD13)&gt;0,SUM(AZ13,BD13),"")</f>
        <v>9.6</v>
      </c>
      <c r="BK13" s="11">
        <f>IF(SUM(AY13:AZ13,BB13:BD13,BF13)-SUM(BA13,BE13)&gt;0,SUM(AY13:AZ13,BB13:BD13,BF13)-SUM(BA13,BE13),"")</f>
        <v>43.499999999999993</v>
      </c>
      <c r="BL13" s="11">
        <f>IF(SUM(BI13,BK13)&gt;0,SUM(BI13,BK13),"")</f>
        <v>94.699999999999989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>IF(SUM(BN13,BR13)&gt;0,SUM(BN13,BR13),"")</f>
        <v/>
      </c>
      <c r="CE13" s="40" t="str">
        <f>IF(SUM(BM13:BN13,BP13:BR13,BT13)-BO13-BS13&gt;0,SUM(BM13:BN13,BP13:BR13,BT13)-BO13-BS13,"")</f>
        <v/>
      </c>
      <c r="CF13" s="40" t="str">
        <f>IF(SUM(BV13,BZ13)&gt;0,SUM(BV13,BZ13),"")</f>
        <v/>
      </c>
      <c r="CG13" s="40" t="str">
        <f>IF(SUM(BU13:BV13,BX13:BZ13,CB13)-SUM(BW13,CA13)&gt;0,SUM(BU13:BV13,BX13:BZ13,CB13)-SUM(BW13,CA13),"")</f>
        <v/>
      </c>
      <c r="CH13" s="40" t="str">
        <f>IF(SUM(CE13,CG13)&gt;0,SUM(CE13,CG13),"")</f>
        <v/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IF($CC13="P",BM13,(BM13+AQ13)/2)</f>
        <v>9.4</v>
      </c>
      <c r="PJ13" s="22">
        <f>IF($CC13="P",BN13,(BN13+AR13)/2)</f>
        <v>4</v>
      </c>
      <c r="PK13" s="22">
        <f>IF($CC13="P",BO13,(BO13+AS13)/2)</f>
        <v>0</v>
      </c>
      <c r="PL13" s="22">
        <f>IF($CC13="P",BP13,(BP13+AT13)/2)</f>
        <v>0.15</v>
      </c>
      <c r="PM13" s="22">
        <f>IF($CC13="P",BQ13,(BQ13+AU13)/2)</f>
        <v>9.0500000000000007</v>
      </c>
      <c r="PN13" s="22">
        <f>IF($CC13="P",BR13,(BR13+AV13)/2)</f>
        <v>3.4</v>
      </c>
      <c r="PO13" s="22">
        <f>IF($CC13="P",BS13,(BS13+AW13)/2)</f>
        <v>0.4</v>
      </c>
      <c r="PP13" s="22">
        <f>IF($CC13="P",BT13,(BT13+AX13)/2)</f>
        <v>0</v>
      </c>
      <c r="PQ13" s="22">
        <f>IF($CC13="P",BU13,(BU13+AY13)/2)</f>
        <v>7.7</v>
      </c>
      <c r="PR13" s="22">
        <f>IF($CC13="P",BV13,(BV13+AZ13)/2)</f>
        <v>1.4</v>
      </c>
      <c r="PS13" s="22">
        <f>IF($CC13="P",BW13,(BW13+BA13)/2)</f>
        <v>0</v>
      </c>
      <c r="PT13" s="22">
        <f>IF($CC13="P",BX13,(BX13+BB13)/2)</f>
        <v>0</v>
      </c>
      <c r="PU13" s="22">
        <f>IF($CC13="P",BY13,(BY13+BC13)/2)</f>
        <v>9.35</v>
      </c>
      <c r="PV13" s="22">
        <f>IF($CC13="P",BZ13,(BZ13+BD13)/2)</f>
        <v>3.4</v>
      </c>
      <c r="PW13" s="22">
        <f>IF($CC13="P",CA13,(CA13+BE13)/2)</f>
        <v>0.1</v>
      </c>
      <c r="PX13" s="22">
        <f>IF($CC13="P",CB13,(CB13+BF13)/2)</f>
        <v>0</v>
      </c>
      <c r="PY13" s="27" t="s">
        <v>46</v>
      </c>
      <c r="PZ13" s="40">
        <f>IF(SUM(PJ13,PN13)&gt;0,SUM(PJ13,PN13),"")</f>
        <v>7.4</v>
      </c>
      <c r="QA13" s="40">
        <f>IF(SUM(PI13:PJ13,PL13:PN13,PP13)-PK13-PO13&gt;0,SUM(PI13:PJ13,PL13:PN13,PP13)-PK13-PO13,"")</f>
        <v>25.6</v>
      </c>
      <c r="QB13" s="40">
        <f>IF(SUM(PR13,PV13)&gt;0,SUM(PR13,PV13),"")</f>
        <v>4.8</v>
      </c>
      <c r="QC13" s="40">
        <f>IF(SUM(PQ13:PR13,PT13:PV13,PX13)-SUM(PS13,PW13)&gt;0,SUM(PQ13:PR13,PT13:PV13,PX13)-SUM(PS13,PW13),"")</f>
        <v>21.749999999999996</v>
      </c>
      <c r="QD13" s="40">
        <f>IF(SUM(QA13,QC13)&gt;0,SUM(QA13,QC13),"")</f>
        <v>47.349999999999994</v>
      </c>
    </row>
    <row r="14" spans="1:446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129</v>
      </c>
      <c r="D14" s="4" t="s">
        <v>5</v>
      </c>
      <c r="E14" s="4">
        <v>2007</v>
      </c>
      <c r="F14" s="9">
        <f>SUM(L14:R14)+SUM(L14:O14)*0.0000001+SUM(L14)*0.0000000000001</f>
        <v>146.90000961000501</v>
      </c>
      <c r="G14" s="64"/>
      <c r="H14" s="3" t="str">
        <f>IF(OR(AND(AL14&gt;=AP$38,AM14&gt;=AP$42,AL14&lt;&gt;"",AK14=""),AND(AN14&gt;=AP$38,AO14&gt;=AP$42,AN14&lt;&gt;"",AK14=""),AND(BH14&gt;=BL$38,BI14&gt;=BL$42,BH14&lt;&gt;"",BG14=""),AND(BJ14&gt;=BL$38,BK14&gt;=BL$42,BJ14&lt;&gt;"",BG14=""),AND(CD14&gt;=CH$38,CE14&gt;=CH$42,CD14&lt;&gt;"",CC14=""),AND(CF14&gt;=CH$38,CG14&gt;=CH$42,CF14&lt;&gt;""),AND(DE14&gt;=DL$38,DF14&gt;=DL$42,DE14&lt;&gt;""),AND(DJ14&gt;=DL$38,DK14&gt;=DL$42,DJ14&lt;&gt;""),AND(EG14&gt;=EN$38,EH14&gt;=EN$42,EG14&lt;&gt;""),AND(EL14&gt;=EN$38,EM14&gt;=EN$42,EL14&lt;&gt;""),AND(FI14&gt;=FP$38,FJ14&gt;=FP$42,FI14&lt;&gt;""),AND(FN14&gt;=FP$38,FO14&gt;=FP$42,FN14&lt;&gt;""),AND(GK14&gt;=GR$38,GL14&gt;=GR$42,GK14&lt;&gt;""),AND(GP14&gt;=GR$38,GQ14&gt;=GR$42,GP14&lt;&gt;""),AND(HM14&gt;=HT$38,HN14&gt;=HT$42,HM14&lt;&gt;""),AND(HR14&gt;=HT$38,HS14&gt;=HT$42,HR14&lt;&gt;""),AND(IO14&gt;=IV$38,IP14&gt;=IV$42,IO14&lt;&gt;""),AND(IT14&gt;=IV$38,IU14&gt;=IV$42,IT14&lt;&gt;""),AND(JQ14&gt;=JX$38,JR14&gt;=JX$42,JQ14&lt;&gt;""),AND(JV14&gt;=JX$38,JW14&gt;=JX$42,JV14&lt;&gt;""),AND(KS14&gt;=KZ$38,KT14&gt;=KZ$42,KS14&lt;&gt;""),AND(KX14&gt;=KZ$38,KY14&gt;=KZ$42,KX14&lt;&gt;""),AND(LU14&gt;=MB$38,LV14&gt;=MB$42,LU14&lt;&gt;""),AND(LZ14&gt;=MB$38,MA14&gt;=MB$42,LZ14&lt;&gt;""),AND(MW14&gt;=ND$38,MX14&gt;=ND$42,MW14&lt;&gt;""),AND(NB14&gt;=ND$38,NC14&gt;=ND$42,NB14&lt;&gt;""),AND(NY14&gt;=OF$38,NZ14&gt;=OF$42,NY14&lt;&gt;""),AND(OD14&gt;=OF$38,OE14&gt;=OF$42,OD14&lt;&gt;""),AND(PA14&gt;=PH$38,PB14&gt;=PH$42,PA14&lt;&gt;""),AND(PF14&gt;=PH$38,PG14&gt;=PH$42,PF14&lt;&gt;"")),"P","")</f>
        <v/>
      </c>
      <c r="I14" s="3" t="str">
        <f>IF(OR(AND(AM14&gt;=AP$42,AM14&lt;&gt;"",AK14=""),AND(AO14&gt;=AP$42,AO14&lt;&gt;"",AK14=""),AND(BI14&gt;=BL$42,BI14&lt;&gt;"",BG14=""),AND(BK14&gt;=BL$42,BK14&lt;&gt;"",BG14=""),AND(CE14&gt;=CH$42,CE14&lt;&gt;"",CC14=""),AND(CG14&gt;=CH$42,CG14&lt;&gt;"",CC14=""),AND(DF14&gt;=DL$42,DF14&lt;&gt;""),AND(DK14&gt;=DL$42,DK14&lt;&gt;""),AND(EH14&gt;=EN$42,EH14&lt;&gt;""),AND(EM14&gt;=EN$42,EM14&lt;&gt;""),AND(FJ14&gt;=FP$42,FJ14&lt;&gt;""),AND(FO14&gt;=FP$42,FO14&lt;&gt;""),AND(GL14&gt;=GR$42,GL14&lt;&gt;""),AND(GQ14&gt;=GR$42,GQ14&lt;&gt;""),AND(HN14&gt;=HT$42,HN14&lt;&gt;""),AND(HS14&gt;=HT$42,HS14&lt;&gt;""),AND(IP14&gt;=IV$42,IP14&lt;&gt;""),AND(IU14&gt;=IV$42,IU14&lt;&gt;""),AND(JR14&gt;=JX$42,JR14&lt;&gt;""),AND(JW14&gt;=JX$42,JW14&lt;&gt;""),AND(KT14&gt;=KZ$42,KT14&lt;&gt;""),AND(KY14&gt;=KZ$42,KY14&lt;&gt;""),AND(LV14&gt;=MB$42,LV14&lt;&gt;""),AND(MA14&gt;=MB$42,MA14&lt;&gt;""),AND(MX14&gt;=ND$42,MX14&lt;&gt;""),AND(NC14&gt;=ND$42,NC14&lt;&gt;""),AND(NZ14&gt;=OF$42,NZ14&lt;&gt;""),AND(OE14&gt;=OF$42,OE14&lt;&gt;""),AND(PB14&gt;=PH$42,PB14&lt;&gt;""),AND(PG14&gt;=PH$42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49.999999999999993</v>
      </c>
      <c r="M14" s="8" t="str">
        <f>IF(L14=0,"",IF(L14=CE14,$BM$1,IF(L14=BI14,$AQ$1,IF(L14=AM14,$U$1,""))))</f>
        <v>2025 Elite Canada</v>
      </c>
      <c r="N14" s="8">
        <f>IF(COUNT(AM14,BI14,CE14)&gt;1,LARGE((AM14,BI14,CE14),2),0)</f>
        <v>46.099999999999994</v>
      </c>
      <c r="O14" s="8" t="str">
        <f>IF(N14=0,"",IF(AND(N14=L14,N14=AM14,N14=BI14),$U$1,IF(AND(N14=L14,N14=AM14,N14=CE14),$U$1,IF(AND(N14=L14,N14=BI14,N14=CE14),$AQ$1,IF(N14=CE14,$BM$1,IF(N14=BI14,$AQ$1,IF(N14=AM14,$U$1,"")))))))</f>
        <v>2025 Nationals</v>
      </c>
      <c r="P14" s="8">
        <f>IF(MAX(AO14,BK14,CG14)&gt;0,MAX(AO14,BK14,CG14),0)</f>
        <v>50.800000000000004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18.899999999999999</v>
      </c>
      <c r="V14" s="19">
        <v>6.4</v>
      </c>
      <c r="W14" s="19">
        <v>0.4</v>
      </c>
      <c r="X14" s="19">
        <v>0</v>
      </c>
      <c r="Y14" s="19">
        <v>18.600000000000001</v>
      </c>
      <c r="Z14" s="19">
        <v>6.8</v>
      </c>
      <c r="AA14" s="19">
        <v>0.6</v>
      </c>
      <c r="AB14" s="19">
        <v>0.3</v>
      </c>
      <c r="AC14" s="19">
        <v>16.8</v>
      </c>
      <c r="AD14" s="19">
        <v>9.3000000000000007</v>
      </c>
      <c r="AE14" s="19">
        <v>1</v>
      </c>
      <c r="AF14" s="19">
        <v>0.3</v>
      </c>
      <c r="AG14" s="19">
        <v>18.7</v>
      </c>
      <c r="AH14" s="19">
        <v>7.2</v>
      </c>
      <c r="AI14" s="19">
        <v>0.8</v>
      </c>
      <c r="AJ14" s="19">
        <v>0.3</v>
      </c>
      <c r="AK14" s="27"/>
      <c r="AL14" s="40">
        <f>IF(SUM(V14,Z14)&gt;0,SUM(V14,Z14),"")</f>
        <v>13.2</v>
      </c>
      <c r="AM14" s="40">
        <f>IF(SUM(U14:V14,X14:Z14,AB14)-W14-AA14&gt;0,SUM(U14:V14,X14:Z14,AB14)-W14-AA14,"")</f>
        <v>49.999999999999993</v>
      </c>
      <c r="AN14" s="40">
        <f>IF(SUM(AD14,AH14)&gt;0,SUM(AD14,AH14),"")</f>
        <v>16.5</v>
      </c>
      <c r="AO14" s="40">
        <f>IF(SUM(AC14:AD14,AF14:AH14,AJ14)-SUM(AE14,AI14)&gt;0,SUM(AC14:AD14,AF14:AH14,AJ14)-SUM(AE14,AI14),"")</f>
        <v>50.800000000000004</v>
      </c>
      <c r="AP14" s="40">
        <f>IF(SUM(AM14,AO14)&gt;0,SUM(AM14,AO14),"")</f>
        <v>100.8</v>
      </c>
      <c r="AQ14" s="18">
        <v>18.3</v>
      </c>
      <c r="AR14" s="18">
        <v>9.3000000000000007</v>
      </c>
      <c r="AS14" s="18">
        <v>0.2</v>
      </c>
      <c r="AT14" s="18">
        <v>0.3</v>
      </c>
      <c r="AU14" s="18">
        <v>15.6</v>
      </c>
      <c r="AV14" s="18">
        <v>2.8</v>
      </c>
      <c r="AW14" s="18">
        <v>0</v>
      </c>
      <c r="AX14" s="18">
        <v>0</v>
      </c>
      <c r="AY14" s="18"/>
      <c r="AZ14" s="18"/>
      <c r="BA14" s="18"/>
      <c r="BB14" s="18"/>
      <c r="BC14" s="18"/>
      <c r="BD14" s="18"/>
      <c r="BE14" s="18"/>
      <c r="BF14" s="18"/>
      <c r="BG14" s="28"/>
      <c r="BH14" s="11">
        <f>IF(SUM(AR14,AV14)&gt;0,SUM(AR14,AV14),"")</f>
        <v>12.100000000000001</v>
      </c>
      <c r="BI14" s="11">
        <f>IF(SUM(AQ14:AR14,AT14:AV14,AX14)-AS14-AW14&gt;0,SUM(AQ14:AR14,AT14:AV14,AX14)-AS14-AW14,"")</f>
        <v>46.099999999999994</v>
      </c>
      <c r="BJ14" s="11" t="str">
        <f>IF(SUM(AZ14,BD14)&gt;0,SUM(AZ14,BD14),"")</f>
        <v/>
      </c>
      <c r="BK14" s="11" t="str">
        <f>IF(SUM(AY14:AZ14,BB14:BD14,BF14)-SUM(BA14,BE14)&gt;0,SUM(AY14:AZ14,BB14:BD14,BF14)-SUM(BA14,BE14),"")</f>
        <v/>
      </c>
      <c r="BL14" s="11">
        <f>IF(SUM(BI14,BK14)&gt;0,SUM(BI14,BK14),"")</f>
        <v>46.099999999999994</v>
      </c>
      <c r="BM14" s="19">
        <v>15.5</v>
      </c>
      <c r="BN14" s="19">
        <v>4.8</v>
      </c>
      <c r="BO14" s="19">
        <v>0</v>
      </c>
      <c r="BP14" s="19">
        <v>0.3</v>
      </c>
      <c r="BQ14" s="19">
        <v>16.8</v>
      </c>
      <c r="BR14" s="19">
        <v>7.6</v>
      </c>
      <c r="BS14" s="19">
        <v>1</v>
      </c>
      <c r="BT14" s="19">
        <v>0</v>
      </c>
      <c r="BU14" s="19"/>
      <c r="BV14" s="19"/>
      <c r="BW14" s="19"/>
      <c r="BX14" s="19"/>
      <c r="BY14" s="19"/>
      <c r="BZ14" s="19"/>
      <c r="CA14" s="19"/>
      <c r="CB14" s="19"/>
      <c r="CC14" s="27"/>
      <c r="CD14" s="40">
        <f>IF(SUM(BN14,BR14)&gt;0,SUM(BN14,BR14),"")</f>
        <v>12.399999999999999</v>
      </c>
      <c r="CE14" s="40">
        <f>IF(SUM(BM14:BN14,BP14:BR14,BT14)-BO14-BS14&gt;0,SUM(BM14:BN14,BP14:BR14,BT14)-BO14-BS14,"")</f>
        <v>44.000000000000007</v>
      </c>
      <c r="CF14" s="40" t="str">
        <f>IF(SUM(BV14,BZ14)&gt;0,SUM(BV14,BZ14),"")</f>
        <v/>
      </c>
      <c r="CG14" s="40" t="str">
        <f>IF(SUM(BU14:BV14,BX14:BZ14,CB14)-SUM(BW14,CA14)&gt;0,SUM(BU14:BV14,BX14:BZ14,CB14)-SUM(BW14,CA14),"")</f>
        <v/>
      </c>
      <c r="CH14" s="40">
        <f>IF(SUM(CE14,CG14)&gt;0,SUM(CE14,CG14),"")</f>
        <v>44.000000000000007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IF($CC14="P",BM14,(BM14+AQ14)/2)</f>
        <v>16.899999999999999</v>
      </c>
      <c r="PJ14" s="22">
        <f>IF($CC14="P",BN14,(BN14+AR14)/2)</f>
        <v>7.0500000000000007</v>
      </c>
      <c r="PK14" s="22">
        <f>IF($CC14="P",BO14,(BO14+AS14)/2)</f>
        <v>0.1</v>
      </c>
      <c r="PL14" s="22">
        <f>IF($CC14="P",BP14,(BP14+AT14)/2)</f>
        <v>0.3</v>
      </c>
      <c r="PM14" s="22">
        <f>IF($CC14="P",BQ14,(BQ14+AU14)/2)</f>
        <v>16.2</v>
      </c>
      <c r="PN14" s="22">
        <f>IF($CC14="P",BR14,(BR14+AV14)/2)</f>
        <v>5.1999999999999993</v>
      </c>
      <c r="PO14" s="22">
        <f>IF($CC14="P",BS14,(BS14+AW14)/2)</f>
        <v>0.5</v>
      </c>
      <c r="PP14" s="22">
        <f>IF($CC14="P",BT14,(BT14+AX14)/2)</f>
        <v>0</v>
      </c>
      <c r="PQ14" s="22">
        <f>IF($CC14="P",BU14,(BU14+AY14)/2)</f>
        <v>0</v>
      </c>
      <c r="PR14" s="22">
        <f>IF($CC14="P",BV14,(BV14+AZ14)/2)</f>
        <v>0</v>
      </c>
      <c r="PS14" s="22">
        <f>IF($CC14="P",BW14,(BW14+BA14)/2)</f>
        <v>0</v>
      </c>
      <c r="PT14" s="22">
        <f>IF($CC14="P",BX14,(BX14+BB14)/2)</f>
        <v>0</v>
      </c>
      <c r="PU14" s="22">
        <f>IF($CC14="P",BY14,(BY14+BC14)/2)</f>
        <v>0</v>
      </c>
      <c r="PV14" s="22">
        <f>IF($CC14="P",BZ14,(BZ14+BD14)/2)</f>
        <v>0</v>
      </c>
      <c r="PW14" s="22">
        <f>IF($CC14="P",CA14,(CA14+BE14)/2)</f>
        <v>0</v>
      </c>
      <c r="PX14" s="22">
        <f>IF($CC14="P",CB14,(CB14+BF14)/2)</f>
        <v>0</v>
      </c>
      <c r="PY14" s="27" t="s">
        <v>46</v>
      </c>
      <c r="PZ14" s="40">
        <f>IF(SUM(PJ14,PN14)&gt;0,SUM(PJ14,PN14),"")</f>
        <v>12.25</v>
      </c>
      <c r="QA14" s="40">
        <f>IF(SUM(PI14:PJ14,PL14:PN14,PP14)-PK14-PO14&gt;0,SUM(PI14:PJ14,PL14:PN14,PP14)-PK14-PO14,"")</f>
        <v>45.050000000000004</v>
      </c>
      <c r="QB14" s="40" t="str">
        <f>IF(SUM(PR14,PV14)&gt;0,SUM(PR14,PV14),"")</f>
        <v/>
      </c>
      <c r="QC14" s="40" t="str">
        <f>IF(SUM(PQ14:PR14,PT14:PV14,PX14)-SUM(PS14,PW14)&gt;0,SUM(PQ14:PR14,PT14:PV14,PX14)-SUM(PS14,PW14),"")</f>
        <v/>
      </c>
      <c r="QD14" s="40">
        <f>IF(SUM(QA14,QC14)&gt;0,SUM(QA14,QC14),"")</f>
        <v>45.050000000000004</v>
      </c>
    </row>
    <row r="15" spans="1:446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174</v>
      </c>
      <c r="D15" s="4" t="s">
        <v>4</v>
      </c>
      <c r="E15" s="4">
        <v>2008</v>
      </c>
      <c r="F15" s="9">
        <f>SUM(L15:R15)+SUM(L15:O15)*0.0000001+SUM(L15)*0.0000000000001</f>
        <v>142.4000094800048</v>
      </c>
      <c r="H15" s="3" t="str">
        <f>IF(OR(AND(AL15&gt;=AP$38,AM15&gt;=AP$42,AL15&lt;&gt;"",AK15=""),AND(AN15&gt;=AP$38,AO15&gt;=AP$42,AN15&lt;&gt;"",AK15=""),AND(BH15&gt;=BL$38,BI15&gt;=BL$42,BH15&lt;&gt;"",BG15=""),AND(BJ15&gt;=BL$38,BK15&gt;=BL$42,BJ15&lt;&gt;"",BG15=""),AND(CD15&gt;=CH$38,CE15&gt;=CH$42,CD15&lt;&gt;"",CC15=""),AND(CF15&gt;=CH$38,CG15&gt;=CH$42,CF15&lt;&gt;""),AND(DE15&gt;=DL$38,DF15&gt;=DL$42,DE15&lt;&gt;""),AND(DJ15&gt;=DL$38,DK15&gt;=DL$42,DJ15&lt;&gt;""),AND(EG15&gt;=EN$38,EH15&gt;=EN$42,EG15&lt;&gt;""),AND(EL15&gt;=EN$38,EM15&gt;=EN$42,EL15&lt;&gt;""),AND(FI15&gt;=FP$38,FJ15&gt;=FP$42,FI15&lt;&gt;""),AND(FN15&gt;=FP$38,FO15&gt;=FP$42,FN15&lt;&gt;""),AND(GK15&gt;=GR$38,GL15&gt;=GR$42,GK15&lt;&gt;""),AND(GP15&gt;=GR$38,GQ15&gt;=GR$42,GP15&lt;&gt;""),AND(HM15&gt;=HT$38,HN15&gt;=HT$42,HM15&lt;&gt;""),AND(HR15&gt;=HT$38,HS15&gt;=HT$42,HR15&lt;&gt;""),AND(IO15&gt;=IV$38,IP15&gt;=IV$42,IO15&lt;&gt;""),AND(IT15&gt;=IV$38,IU15&gt;=IV$42,IT15&lt;&gt;""),AND(JQ15&gt;=JX$38,JR15&gt;=JX$42,JQ15&lt;&gt;""),AND(JV15&gt;=JX$38,JW15&gt;=JX$42,JV15&lt;&gt;""),AND(KS15&gt;=KZ$38,KT15&gt;=KZ$42,KS15&lt;&gt;""),AND(KX15&gt;=KZ$38,KY15&gt;=KZ$42,KX15&lt;&gt;""),AND(LU15&gt;=MB$38,LV15&gt;=MB$42,LU15&lt;&gt;""),AND(LZ15&gt;=MB$38,MA15&gt;=MB$42,LZ15&lt;&gt;""),AND(MW15&gt;=ND$38,MX15&gt;=ND$42,MW15&lt;&gt;""),AND(NB15&gt;=ND$38,NC15&gt;=ND$42,NB15&lt;&gt;""),AND(NY15&gt;=OF$38,NZ15&gt;=OF$42,NY15&lt;&gt;""),AND(OD15&gt;=OF$38,OE15&gt;=OF$42,OD15&lt;&gt;""),AND(PA15&gt;=PH$38,PB15&gt;=PH$42,PA15&lt;&gt;""),AND(PF15&gt;=PH$38,PG15&gt;=PH$42,PF15&lt;&gt;"")),"P","")</f>
        <v/>
      </c>
      <c r="I15" s="3" t="str">
        <f>IF(OR(AND(AM15&gt;=AP$42,AM15&lt;&gt;"",AK15=""),AND(AO15&gt;=AP$42,AO15&lt;&gt;"",AK15=""),AND(BI15&gt;=BL$42,BI15&lt;&gt;"",BG15=""),AND(BK15&gt;=BL$42,BK15&lt;&gt;"",BG15=""),AND(CE15&gt;=CH$42,CE15&lt;&gt;"",CC15=""),AND(CG15&gt;=CH$42,CG15&lt;&gt;"",CC15=""),AND(DF15&gt;=DL$42,DF15&lt;&gt;""),AND(DK15&gt;=DL$42,DK15&lt;&gt;""),AND(EH15&gt;=EN$42,EH15&lt;&gt;""),AND(EM15&gt;=EN$42,EM15&lt;&gt;""),AND(FJ15&gt;=FP$42,FJ15&lt;&gt;""),AND(FO15&gt;=FP$42,FO15&lt;&gt;""),AND(GL15&gt;=GR$42,GL15&lt;&gt;""),AND(GQ15&gt;=GR$42,GQ15&lt;&gt;""),AND(HN15&gt;=HT$42,HN15&lt;&gt;""),AND(HS15&gt;=HT$42,HS15&lt;&gt;""),AND(IP15&gt;=IV$42,IP15&lt;&gt;""),AND(IU15&gt;=IV$42,IU15&lt;&gt;""),AND(JR15&gt;=JX$42,JR15&lt;&gt;""),AND(JW15&gt;=JX$42,JW15&lt;&gt;""),AND(KT15&gt;=KZ$42,KT15&lt;&gt;""),AND(KY15&gt;=KZ$42,KY15&lt;&gt;""),AND(LV15&gt;=MB$42,LV15&lt;&gt;""),AND(MA15&gt;=MB$42,MA15&lt;&gt;""),AND(MX15&gt;=ND$42,MX15&lt;&gt;""),AND(NC15&gt;=ND$42,NC15&lt;&gt;""),AND(NZ15&gt;=OF$42,NZ15&lt;&gt;""),AND(OE15&gt;=OF$42,OE15&lt;&gt;""),AND(PB15&gt;=PH$42,PB15&lt;&gt;""),AND(PG15&gt;=PH$42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48.3</v>
      </c>
      <c r="M15" s="8" t="str">
        <f>IF(L15=0,"",IF(L15=CE15,$BM$1,IF(L15=BI15,$AQ$1,IF(L15=AM15,$U$1,""))))</f>
        <v>2025 3rd Domestic Trial</v>
      </c>
      <c r="N15" s="8">
        <f>IF(COUNT(AM15,BI15,CE15)&gt;1,LARGE((AM15,BI15,CE15),2),0)</f>
        <v>46.5</v>
      </c>
      <c r="O15" s="8" t="str">
        <f>IF(N15=0,"",IF(AND(N15=L15,N15=AM15,N15=BI15),$U$1,IF(AND(N15=L15,N15=AM15,N15=CE15),$U$1,IF(AND(N15=L15,N15=BI15,N15=CE15),$AQ$1,IF(N15=CE15,$BM$1,IF(N15=BI15,$AQ$1,IF(N15=AM15,$U$1,"")))))))</f>
        <v>2025 Nationals</v>
      </c>
      <c r="P15" s="8">
        <f>IF(MAX(AO15,BK15,CG15)&gt;0,MAX(AO15,BK15,CG15),0)</f>
        <v>47.599999999999994</v>
      </c>
      <c r="Q15" s="8" t="str">
        <f>IF(P15=0,"",IF(P15=CG15,$BM$1,IF(P15=BK15,$AQ$1,IF(P15=AO15,$U$1,""))))</f>
        <v>2025 3rd Domestic Trial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16.600000000000001</v>
      </c>
      <c r="V15" s="19">
        <v>6</v>
      </c>
      <c r="W15" s="19">
        <v>0.2</v>
      </c>
      <c r="X15" s="19">
        <v>0</v>
      </c>
      <c r="Y15" s="19">
        <v>18.5</v>
      </c>
      <c r="Z15" s="19">
        <v>4.3</v>
      </c>
      <c r="AA15" s="19">
        <v>0.3</v>
      </c>
      <c r="AB15" s="19">
        <v>0</v>
      </c>
      <c r="AC15" s="19">
        <v>18.100000000000001</v>
      </c>
      <c r="AD15" s="19">
        <v>6</v>
      </c>
      <c r="AE15" s="19">
        <v>0.6</v>
      </c>
      <c r="AF15" s="19">
        <v>0</v>
      </c>
      <c r="AG15" s="19">
        <v>18.399999999999999</v>
      </c>
      <c r="AH15" s="19">
        <v>4.3</v>
      </c>
      <c r="AI15" s="19">
        <v>0.9</v>
      </c>
      <c r="AJ15" s="19">
        <v>0</v>
      </c>
      <c r="AK15" s="27"/>
      <c r="AL15" s="40">
        <f>IF(SUM(V15,Z15)&gt;0,SUM(V15,Z15),"")</f>
        <v>10.3</v>
      </c>
      <c r="AM15" s="40">
        <f>IF(SUM(U15:V15,X15:Z15,AB15)-W15-AA15&gt;0,SUM(U15:V15,X15:Z15,AB15)-W15-AA15,"")</f>
        <v>44.9</v>
      </c>
      <c r="AN15" s="40">
        <f>IF(SUM(AD15,AH15)&gt;0,SUM(AD15,AH15),"")</f>
        <v>10.3</v>
      </c>
      <c r="AO15" s="40">
        <f>IF(SUM(AC15:AD15,AF15:AH15,AJ15)-SUM(AE15,AI15)&gt;0,SUM(AC15:AD15,AF15:AH15,AJ15)-SUM(AE15,AI15),"")</f>
        <v>45.3</v>
      </c>
      <c r="AP15" s="40">
        <f>IF(SUM(AM15,AO15)&gt;0,SUM(AM15,AO15),"")</f>
        <v>90.199999999999989</v>
      </c>
      <c r="AQ15" s="18">
        <v>18.100000000000001</v>
      </c>
      <c r="AR15" s="18">
        <v>4.8</v>
      </c>
      <c r="AS15" s="18">
        <v>0.2</v>
      </c>
      <c r="AT15" s="18">
        <v>0</v>
      </c>
      <c r="AU15" s="18">
        <v>18.2</v>
      </c>
      <c r="AV15" s="18">
        <v>5.6</v>
      </c>
      <c r="AW15" s="18">
        <v>0</v>
      </c>
      <c r="AX15" s="18">
        <v>0</v>
      </c>
      <c r="AY15" s="18">
        <v>18.100000000000001</v>
      </c>
      <c r="AZ15" s="18">
        <v>6</v>
      </c>
      <c r="BA15" s="18">
        <v>0.6</v>
      </c>
      <c r="BB15" s="18">
        <v>0</v>
      </c>
      <c r="BC15" s="18">
        <v>17.899999999999999</v>
      </c>
      <c r="BD15" s="18">
        <v>5.6</v>
      </c>
      <c r="BE15" s="18">
        <v>0.2</v>
      </c>
      <c r="BF15" s="18">
        <v>0</v>
      </c>
      <c r="BG15" s="28"/>
      <c r="BH15" s="11">
        <f>IF(SUM(AR15,AV15)&gt;0,SUM(AR15,AV15),"")</f>
        <v>10.399999999999999</v>
      </c>
      <c r="BI15" s="11">
        <f>IF(SUM(AQ15:AR15,AT15:AV15,AX15)-AS15-AW15&gt;0,SUM(AQ15:AR15,AT15:AV15,AX15)-AS15-AW15,"")</f>
        <v>46.5</v>
      </c>
      <c r="BJ15" s="11">
        <f>IF(SUM(AZ15,BD15)&gt;0,SUM(AZ15,BD15),"")</f>
        <v>11.6</v>
      </c>
      <c r="BK15" s="11">
        <f>IF(SUM(AY15:AZ15,BB15:BD15,BF15)-SUM(BA15,BE15)&gt;0,SUM(AY15:AZ15,BB15:BD15,BF15)-SUM(BA15,BE15),"")</f>
        <v>46.800000000000004</v>
      </c>
      <c r="BL15" s="11">
        <f>IF(SUM(BI15,BK15)&gt;0,SUM(BI15,BK15),"")</f>
        <v>93.300000000000011</v>
      </c>
      <c r="BM15" s="19">
        <v>18.600000000000001</v>
      </c>
      <c r="BN15" s="19">
        <v>6.4</v>
      </c>
      <c r="BO15" s="19">
        <v>0.6</v>
      </c>
      <c r="BP15" s="19">
        <v>0</v>
      </c>
      <c r="BQ15" s="19">
        <v>18.5</v>
      </c>
      <c r="BR15" s="19">
        <v>6</v>
      </c>
      <c r="BS15" s="19">
        <v>0.6</v>
      </c>
      <c r="BT15" s="19">
        <v>0</v>
      </c>
      <c r="BU15" s="19">
        <v>18.5</v>
      </c>
      <c r="BV15" s="19">
        <v>5.2</v>
      </c>
      <c r="BW15" s="19">
        <v>0.6</v>
      </c>
      <c r="BX15" s="19">
        <v>0</v>
      </c>
      <c r="BY15" s="19">
        <v>18.3</v>
      </c>
      <c r="BZ15" s="19">
        <v>6.8</v>
      </c>
      <c r="CA15" s="19">
        <v>0.6</v>
      </c>
      <c r="CB15" s="19">
        <v>0</v>
      </c>
      <c r="CC15" s="27"/>
      <c r="CD15" s="40">
        <f>IF(SUM(BN15,BR15)&gt;0,SUM(BN15,BR15),"")</f>
        <v>12.4</v>
      </c>
      <c r="CE15" s="40">
        <f>IF(SUM(BM15:BN15,BP15:BR15,BT15)-BO15-BS15&gt;0,SUM(BM15:BN15,BP15:BR15,BT15)-BO15-BS15,"")</f>
        <v>48.3</v>
      </c>
      <c r="CF15" s="40">
        <f>IF(SUM(BV15,BZ15)&gt;0,SUM(BV15,BZ15),"")</f>
        <v>12</v>
      </c>
      <c r="CG15" s="40">
        <f>IF(SUM(BU15:BV15,BX15:BZ15,CB15)-SUM(BW15,CA15)&gt;0,SUM(BU15:BV15,BX15:BZ15,CB15)-SUM(BW15,CA15),"")</f>
        <v>47.599999999999994</v>
      </c>
      <c r="CH15" s="40">
        <f>IF(SUM(CE15,CG15)&gt;0,SUM(CE15,CG15),"")</f>
        <v>95.899999999999991</v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IF($CC15="P",BM15,(BM15+AQ15)/2)</f>
        <v>18.350000000000001</v>
      </c>
      <c r="PJ15" s="22">
        <f>IF($CC15="P",BN15,(BN15+AR15)/2)</f>
        <v>5.6</v>
      </c>
      <c r="PK15" s="22">
        <f>IF($CC15="P",BO15,(BO15+AS15)/2)</f>
        <v>0.4</v>
      </c>
      <c r="PL15" s="22">
        <f>IF($CC15="P",BP15,(BP15+AT15)/2)</f>
        <v>0</v>
      </c>
      <c r="PM15" s="22">
        <f>IF($CC15="P",BQ15,(BQ15+AU15)/2)</f>
        <v>18.350000000000001</v>
      </c>
      <c r="PN15" s="22">
        <f>IF($CC15="P",BR15,(BR15+AV15)/2)</f>
        <v>5.8</v>
      </c>
      <c r="PO15" s="22">
        <f>IF($CC15="P",BS15,(BS15+AW15)/2)</f>
        <v>0.3</v>
      </c>
      <c r="PP15" s="22">
        <f>IF($CC15="P",BT15,(BT15+AX15)/2)</f>
        <v>0</v>
      </c>
      <c r="PQ15" s="22">
        <f>IF($CC15="P",BU15,(BU15+AY15)/2)</f>
        <v>18.3</v>
      </c>
      <c r="PR15" s="22">
        <f>IF($CC15="P",BV15,(BV15+AZ15)/2)</f>
        <v>5.6</v>
      </c>
      <c r="PS15" s="22">
        <f>IF($CC15="P",BW15,(BW15+BA15)/2)</f>
        <v>0.6</v>
      </c>
      <c r="PT15" s="22">
        <f>IF($CC15="P",BX15,(BX15+BB15)/2)</f>
        <v>0</v>
      </c>
      <c r="PU15" s="22">
        <f>IF($CC15="P",BY15,(BY15+BC15)/2)</f>
        <v>18.100000000000001</v>
      </c>
      <c r="PV15" s="22">
        <f>IF($CC15="P",BZ15,(BZ15+BD15)/2)</f>
        <v>6.1999999999999993</v>
      </c>
      <c r="PW15" s="22">
        <f>IF($CC15="P",CA15,(CA15+BE15)/2)</f>
        <v>0.4</v>
      </c>
      <c r="PX15" s="22">
        <f>IF($CC15="P",CB15,(CB15+BF15)/2)</f>
        <v>0</v>
      </c>
      <c r="PY15" s="27" t="s">
        <v>46</v>
      </c>
      <c r="PZ15" s="40">
        <f>IF(SUM(PJ15,PN15)&gt;0,SUM(PJ15,PN15),"")</f>
        <v>11.399999999999999</v>
      </c>
      <c r="QA15" s="40">
        <f>IF(SUM(PI15:PJ15,PL15:PN15,PP15)-PK15-PO15&gt;0,SUM(PI15:PJ15,PL15:PN15,PP15)-PK15-PO15,"")</f>
        <v>47.400000000000006</v>
      </c>
      <c r="QB15" s="40">
        <f>IF(SUM(PR15,PV15)&gt;0,SUM(PR15,PV15),"")</f>
        <v>11.799999999999999</v>
      </c>
      <c r="QC15" s="40">
        <f>IF(SUM(PQ15:PR15,PT15:PV15,PX15)-SUM(PS15,PW15)&gt;0,SUM(PQ15:PR15,PT15:PV15,PX15)-SUM(PS15,PW15),"")</f>
        <v>47.2</v>
      </c>
      <c r="QD15" s="40">
        <f>IF(SUM(QA15,QC15)&gt;0,SUM(QA15,QC15),"")</f>
        <v>94.600000000000009</v>
      </c>
    </row>
    <row r="16" spans="1:446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164</v>
      </c>
      <c r="D16" s="4" t="s">
        <v>5</v>
      </c>
      <c r="E16" s="4">
        <v>2008</v>
      </c>
      <c r="F16" s="9">
        <f>SUM(L16:R16)+SUM(L16:O16)*0.0000001+SUM(L16)*0.0000000000001</f>
        <v>141.70000968000502</v>
      </c>
      <c r="H16" s="3" t="str">
        <f>IF(OR(AND(AL16&gt;=AP$38,AM16&gt;=AP$42,AL16&lt;&gt;"",AK16=""),AND(AN16&gt;=AP$38,AO16&gt;=AP$42,AN16&lt;&gt;"",AK16=""),AND(BH16&gt;=BL$38,BI16&gt;=BL$42,BH16&lt;&gt;"",BG16=""),AND(BJ16&gt;=BL$38,BK16&gt;=BL$42,BJ16&lt;&gt;"",BG16=""),AND(CD16&gt;=CH$38,CE16&gt;=CH$42,CD16&lt;&gt;"",CC16=""),AND(CF16&gt;=CH$38,CG16&gt;=CH$42,CF16&lt;&gt;""),AND(DE16&gt;=DL$38,DF16&gt;=DL$42,DE16&lt;&gt;""),AND(DJ16&gt;=DL$38,DK16&gt;=DL$42,DJ16&lt;&gt;""),AND(EG16&gt;=EN$38,EH16&gt;=EN$42,EG16&lt;&gt;""),AND(EL16&gt;=EN$38,EM16&gt;=EN$42,EL16&lt;&gt;""),AND(FI16&gt;=FP$38,FJ16&gt;=FP$42,FI16&lt;&gt;""),AND(FN16&gt;=FP$38,FO16&gt;=FP$42,FN16&lt;&gt;""),AND(GK16&gt;=GR$38,GL16&gt;=GR$42,GK16&lt;&gt;""),AND(GP16&gt;=GR$38,GQ16&gt;=GR$42,GP16&lt;&gt;""),AND(HM16&gt;=HT$38,HN16&gt;=HT$42,HM16&lt;&gt;""),AND(HR16&gt;=HT$38,HS16&gt;=HT$42,HR16&lt;&gt;""),AND(IO16&gt;=IV$38,IP16&gt;=IV$42,IO16&lt;&gt;""),AND(IT16&gt;=IV$38,IU16&gt;=IV$42,IT16&lt;&gt;""),AND(JQ16&gt;=JX$38,JR16&gt;=JX$42,JQ16&lt;&gt;""),AND(JV16&gt;=JX$38,JW16&gt;=JX$42,JV16&lt;&gt;""),AND(KS16&gt;=KZ$38,KT16&gt;=KZ$42,KS16&lt;&gt;""),AND(KX16&gt;=KZ$38,KY16&gt;=KZ$42,KX16&lt;&gt;""),AND(LU16&gt;=MB$38,LV16&gt;=MB$42,LU16&lt;&gt;""),AND(LZ16&gt;=MB$38,MA16&gt;=MB$42,LZ16&lt;&gt;""),AND(MW16&gt;=ND$38,MX16&gt;=ND$42,MW16&lt;&gt;""),AND(NB16&gt;=ND$38,NC16&gt;=ND$42,NB16&lt;&gt;""),AND(NY16&gt;=OF$38,NZ16&gt;=OF$42,NY16&lt;&gt;""),AND(OD16&gt;=OF$38,OE16&gt;=OF$42,OD16&lt;&gt;""),AND(PA16&gt;=PH$38,PB16&gt;=PH$42,PA16&lt;&gt;""),AND(PF16&gt;=PH$38,PG16&gt;=PH$42,PF16&lt;&gt;"")),"P","")</f>
        <v/>
      </c>
      <c r="I16" s="3" t="str">
        <f>IF(OR(AND(AM16&gt;=AP$42,AM16&lt;&gt;"",AK16=""),AND(AO16&gt;=AP$42,AO16&lt;&gt;"",AK16=""),AND(BI16&gt;=BL$42,BI16&lt;&gt;"",BG16=""),AND(BK16&gt;=BL$42,BK16&lt;&gt;"",BG16=""),AND(CE16&gt;=CH$42,CE16&lt;&gt;"",CC16=""),AND(CG16&gt;=CH$42,CG16&lt;&gt;"",CC16=""),AND(DF16&gt;=DL$42,DF16&lt;&gt;""),AND(DK16&gt;=DL$42,DK16&lt;&gt;""),AND(EH16&gt;=EN$42,EH16&lt;&gt;""),AND(EM16&gt;=EN$42,EM16&lt;&gt;""),AND(FJ16&gt;=FP$42,FJ16&lt;&gt;""),AND(FO16&gt;=FP$42,FO16&lt;&gt;""),AND(GL16&gt;=GR$42,GL16&lt;&gt;""),AND(GQ16&gt;=GR$42,GQ16&lt;&gt;""),AND(HN16&gt;=HT$42,HN16&lt;&gt;""),AND(HS16&gt;=HT$42,HS16&lt;&gt;""),AND(IP16&gt;=IV$42,IP16&lt;&gt;""),AND(IU16&gt;=IV$42,IU16&lt;&gt;""),AND(JR16&gt;=JX$42,JR16&lt;&gt;""),AND(JW16&gt;=JX$42,JW16&lt;&gt;""),AND(KT16&gt;=KZ$42,KT16&lt;&gt;""),AND(KY16&gt;=KZ$42,KY16&lt;&gt;""),AND(LV16&gt;=MB$42,LV16&lt;&gt;""),AND(MA16&gt;=MB$42,MA16&lt;&gt;""),AND(MX16&gt;=ND$42,MX16&lt;&gt;""),AND(NC16&gt;=ND$42,NC16&lt;&gt;""),AND(NZ16&gt;=OF$42,NZ16&lt;&gt;""),AND(OE16&gt;=OF$42,OE16&lt;&gt;""),AND(PB16&gt;=PH$42,PB16&lt;&gt;""),AND(PG16&gt;=PH$42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50.099999999999994</v>
      </c>
      <c r="M16" s="8" t="str">
        <f>IF(L16=0,"",IF(L16=CE16,$BM$1,IF(L16=BI16,$AQ$1,IF(L16=AM16,$U$1,""))))</f>
        <v>2025 Nationals</v>
      </c>
      <c r="N16" s="8">
        <f>IF(COUNT(AM16,BI16,CE16)&gt;1,LARGE((AM16,BI16,CE16),2),0)</f>
        <v>46.70000000000001</v>
      </c>
      <c r="O16" s="8" t="str">
        <f>IF(N16=0,"",IF(AND(N16=L16,N16=AM16,N16=BI16),$U$1,IF(AND(N16=L16,N16=AM16,N16=CE16),$U$1,IF(AND(N16=L16,N16=BI16,N16=CE16),$AQ$1,IF(N16=CE16,$BM$1,IF(N16=BI16,$AQ$1,IF(N16=AM16,$U$1,"")))))))</f>
        <v>2025 Elite Canada</v>
      </c>
      <c r="P16" s="8">
        <f>IF(MAX(AO16,BK16,CG16)&gt;0,MAX(AO16,BK16,CG16),0)</f>
        <v>44.900000000000006</v>
      </c>
      <c r="Q16" s="8" t="str">
        <f>IF(P16=0,"",IF(P16=CG16,$BM$1,IF(P16=BK16,$AQ$1,IF(P16=AO16,$U$1,""))))</f>
        <v>2025 Nationals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18.600000000000001</v>
      </c>
      <c r="V16" s="19">
        <v>7.2</v>
      </c>
      <c r="W16" s="19">
        <v>0.6</v>
      </c>
      <c r="X16" s="19">
        <v>0</v>
      </c>
      <c r="Y16" s="19">
        <v>18.100000000000001</v>
      </c>
      <c r="Z16" s="19">
        <v>5.2</v>
      </c>
      <c r="AA16" s="19">
        <v>1.8</v>
      </c>
      <c r="AB16" s="19">
        <v>0</v>
      </c>
      <c r="AC16" s="19"/>
      <c r="AD16" s="19"/>
      <c r="AE16" s="19"/>
      <c r="AF16" s="19"/>
      <c r="AG16" s="19"/>
      <c r="AH16" s="19"/>
      <c r="AI16" s="19"/>
      <c r="AJ16" s="19"/>
      <c r="AK16" s="27"/>
      <c r="AL16" s="40">
        <f>IF(SUM(V16,Z16)&gt;0,SUM(V16,Z16),"")</f>
        <v>12.4</v>
      </c>
      <c r="AM16" s="40">
        <f>IF(SUM(U16:V16,X16:Z16,AB16)-W16-AA16&gt;0,SUM(U16:V16,X16:Z16,AB16)-W16-AA16,"")</f>
        <v>46.70000000000001</v>
      </c>
      <c r="AN16" s="40" t="str">
        <f>IF(SUM(AD16,AH16)&gt;0,SUM(AD16,AH16),"")</f>
        <v/>
      </c>
      <c r="AO16" s="40" t="str">
        <f>IF(SUM(AC16:AD16,AF16:AH16,AJ16)-SUM(AE16,AI16)&gt;0,SUM(AC16:AD16,AF16:AH16,AJ16)-SUM(AE16,AI16),"")</f>
        <v/>
      </c>
      <c r="AP16" s="40">
        <f>IF(SUM(AM16,AO16)&gt;0,SUM(AM16,AO16),"")</f>
        <v>46.70000000000001</v>
      </c>
      <c r="AQ16" s="18">
        <v>18.899999999999999</v>
      </c>
      <c r="AR16" s="18">
        <v>7.2</v>
      </c>
      <c r="AS16" s="18">
        <v>0.2</v>
      </c>
      <c r="AT16" s="18">
        <v>0</v>
      </c>
      <c r="AU16" s="18">
        <v>18.399999999999999</v>
      </c>
      <c r="AV16" s="18">
        <v>6.8</v>
      </c>
      <c r="AW16" s="18">
        <v>1</v>
      </c>
      <c r="AX16" s="18">
        <v>0</v>
      </c>
      <c r="AY16" s="18">
        <v>17.8</v>
      </c>
      <c r="AZ16" s="18">
        <v>5.2</v>
      </c>
      <c r="BA16" s="18">
        <v>1</v>
      </c>
      <c r="BB16" s="18">
        <v>0</v>
      </c>
      <c r="BC16" s="18">
        <v>16.5</v>
      </c>
      <c r="BD16" s="18">
        <v>7.2</v>
      </c>
      <c r="BE16" s="18">
        <v>0.8</v>
      </c>
      <c r="BF16" s="18">
        <v>0</v>
      </c>
      <c r="BG16" s="28"/>
      <c r="BH16" s="11">
        <f>IF(SUM(AR16,AV16)&gt;0,SUM(AR16,AV16),"")</f>
        <v>14</v>
      </c>
      <c r="BI16" s="11">
        <f>IF(SUM(AQ16:AR16,AT16:AV16,AX16)-AS16-AW16&gt;0,SUM(AQ16:AR16,AT16:AV16,AX16)-AS16-AW16,"")</f>
        <v>50.099999999999994</v>
      </c>
      <c r="BJ16" s="11">
        <f>IF(SUM(AZ16,BD16)&gt;0,SUM(AZ16,BD16),"")</f>
        <v>12.4</v>
      </c>
      <c r="BK16" s="11">
        <f>IF(SUM(AY16:AZ16,BB16:BD16,BF16)-SUM(BA16,BE16)&gt;0,SUM(AY16:AZ16,BB16:BD16,BF16)-SUM(BA16,BE16),"")</f>
        <v>44.900000000000006</v>
      </c>
      <c r="BL16" s="11">
        <f>IF(SUM(BI16,BK16)&gt;0,SUM(BI16,BK16),"")</f>
        <v>95</v>
      </c>
      <c r="BM16" s="19">
        <v>17.399999999999999</v>
      </c>
      <c r="BN16" s="19">
        <v>6</v>
      </c>
      <c r="BO16" s="19">
        <v>1.8</v>
      </c>
      <c r="BP16" s="19">
        <v>0</v>
      </c>
      <c r="BQ16" s="19">
        <v>15.4</v>
      </c>
      <c r="BR16" s="19">
        <v>2.4</v>
      </c>
      <c r="BS16" s="19">
        <v>0</v>
      </c>
      <c r="BT16" s="19">
        <v>0</v>
      </c>
      <c r="BU16" s="19"/>
      <c r="BV16" s="19"/>
      <c r="BW16" s="19"/>
      <c r="BX16" s="19"/>
      <c r="BY16" s="19"/>
      <c r="BZ16" s="19"/>
      <c r="CA16" s="19"/>
      <c r="CB16" s="19"/>
      <c r="CC16" s="27"/>
      <c r="CD16" s="40">
        <f>IF(SUM(BN16,BR16)&gt;0,SUM(BN16,BR16),"")</f>
        <v>8.4</v>
      </c>
      <c r="CE16" s="40">
        <f>IF(SUM(BM16:BN16,BP16:BR16,BT16)-BO16-BS16&gt;0,SUM(BM16:BN16,BP16:BR16,BT16)-BO16-BS16,"")</f>
        <v>39.4</v>
      </c>
      <c r="CF16" s="40" t="str">
        <f>IF(SUM(BV16,BZ16)&gt;0,SUM(BV16,BZ16),"")</f>
        <v/>
      </c>
      <c r="CG16" s="40" t="str">
        <f>IF(SUM(BU16:BV16,BX16:BZ16,CB16)-SUM(BW16,CA16)&gt;0,SUM(BU16:BV16,BX16:BZ16,CB16)-SUM(BW16,CA16),"")</f>
        <v/>
      </c>
      <c r="CH16" s="40">
        <f>IF(SUM(CE16,CG16)&gt;0,SUM(CE16,CG16),"")</f>
        <v>39.4</v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IF($CC16="P",BM16,(BM16+AQ16)/2)</f>
        <v>18.149999999999999</v>
      </c>
      <c r="PJ16" s="22">
        <f>IF($CC16="P",BN16,(BN16+AR16)/2)</f>
        <v>6.6</v>
      </c>
      <c r="PK16" s="22">
        <f>IF($CC16="P",BO16,(BO16+AS16)/2)</f>
        <v>1</v>
      </c>
      <c r="PL16" s="22">
        <f>IF($CC16="P",BP16,(BP16+AT16)/2)</f>
        <v>0</v>
      </c>
      <c r="PM16" s="22">
        <f>IF($CC16="P",BQ16,(BQ16+AU16)/2)</f>
        <v>16.899999999999999</v>
      </c>
      <c r="PN16" s="22">
        <f>IF($CC16="P",BR16,(BR16+AV16)/2)</f>
        <v>4.5999999999999996</v>
      </c>
      <c r="PO16" s="22">
        <f>IF($CC16="P",BS16,(BS16+AW16)/2)</f>
        <v>0.5</v>
      </c>
      <c r="PP16" s="22">
        <f>IF($CC16="P",BT16,(BT16+AX16)/2)</f>
        <v>0</v>
      </c>
      <c r="PQ16" s="22">
        <f>IF($CC16="P",BU16,(BU16+AY16)/2)</f>
        <v>8.9</v>
      </c>
      <c r="PR16" s="22">
        <f>IF($CC16="P",BV16,(BV16+AZ16)/2)</f>
        <v>2.6</v>
      </c>
      <c r="PS16" s="22">
        <f>IF($CC16="P",BW16,(BW16+BA16)/2)</f>
        <v>0.5</v>
      </c>
      <c r="PT16" s="22">
        <f>IF($CC16="P",BX16,(BX16+BB16)/2)</f>
        <v>0</v>
      </c>
      <c r="PU16" s="22">
        <f>IF($CC16="P",BY16,(BY16+BC16)/2)</f>
        <v>8.25</v>
      </c>
      <c r="PV16" s="22">
        <f>IF($CC16="P",BZ16,(BZ16+BD16)/2)</f>
        <v>3.6</v>
      </c>
      <c r="PW16" s="22">
        <f>IF($CC16="P",CA16,(CA16+BE16)/2)</f>
        <v>0.4</v>
      </c>
      <c r="PX16" s="22">
        <f>IF($CC16="P",CB16,(CB16+BF16)/2)</f>
        <v>0</v>
      </c>
      <c r="PY16" s="27" t="s">
        <v>46</v>
      </c>
      <c r="PZ16" s="40">
        <f>IF(SUM(PJ16,PN16)&gt;0,SUM(PJ16,PN16),"")</f>
        <v>11.2</v>
      </c>
      <c r="QA16" s="40">
        <f>IF(SUM(PI16:PJ16,PL16:PN16,PP16)-PK16-PO16&gt;0,SUM(PI16:PJ16,PL16:PN16,PP16)-PK16-PO16,"")</f>
        <v>44.75</v>
      </c>
      <c r="QB16" s="40">
        <f>IF(SUM(PR16,PV16)&gt;0,SUM(PR16,PV16),"")</f>
        <v>6.2</v>
      </c>
      <c r="QC16" s="40">
        <f>IF(SUM(PQ16:PR16,PT16:PV16,PX16)-SUM(PS16,PW16)&gt;0,SUM(PQ16:PR16,PT16:PV16,PX16)-SUM(PS16,PW16),"")</f>
        <v>22.450000000000003</v>
      </c>
      <c r="QD16" s="40">
        <f>IF(SUM(QA16,QC16)&gt;0,SUM(QA16,QC16),"")</f>
        <v>67.2</v>
      </c>
    </row>
    <row r="17" spans="1:446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142</v>
      </c>
      <c r="D17" s="4" t="s">
        <v>92</v>
      </c>
      <c r="E17" s="4">
        <v>2007</v>
      </c>
      <c r="F17" s="9">
        <f>SUM(L17:R17)+SUM(L17:O17)*0.0000001+SUM(L17)*0.0000000000001</f>
        <v>141.60000912000498</v>
      </c>
      <c r="G17" s="64"/>
      <c r="H17" s="3" t="str">
        <f>IF(OR(AND(AL17&gt;=AP$38,AM17&gt;=AP$42,AL17&lt;&gt;"",AK17=""),AND(AN17&gt;=AP$38,AO17&gt;=AP$42,AN17&lt;&gt;"",AK17=""),AND(BH17&gt;=BL$38,BI17&gt;=BL$42,BH17&lt;&gt;"",BG17=""),AND(BJ17&gt;=BL$38,BK17&gt;=BL$42,BJ17&lt;&gt;"",BG17=""),AND(CD17&gt;=CH$38,CE17&gt;=CH$42,CD17&lt;&gt;"",CC17=""),AND(CF17&gt;=CH$38,CG17&gt;=CH$42,CF17&lt;&gt;""),AND(DE17&gt;=DL$38,DF17&gt;=DL$42,DE17&lt;&gt;""),AND(DJ17&gt;=DL$38,DK17&gt;=DL$42,DJ17&lt;&gt;""),AND(EG17&gt;=EN$38,EH17&gt;=EN$42,EG17&lt;&gt;""),AND(EL17&gt;=EN$38,EM17&gt;=EN$42,EL17&lt;&gt;""),AND(FI17&gt;=FP$38,FJ17&gt;=FP$42,FI17&lt;&gt;""),AND(FN17&gt;=FP$38,FO17&gt;=FP$42,FN17&lt;&gt;""),AND(GK17&gt;=GR$38,GL17&gt;=GR$42,GK17&lt;&gt;""),AND(GP17&gt;=GR$38,GQ17&gt;=GR$42,GP17&lt;&gt;""),AND(HM17&gt;=HT$38,HN17&gt;=HT$42,HM17&lt;&gt;""),AND(HR17&gt;=HT$38,HS17&gt;=HT$42,HR17&lt;&gt;""),AND(IO17&gt;=IV$38,IP17&gt;=IV$42,IO17&lt;&gt;""),AND(IT17&gt;=IV$38,IU17&gt;=IV$42,IT17&lt;&gt;""),AND(JQ17&gt;=JX$38,JR17&gt;=JX$42,JQ17&lt;&gt;""),AND(JV17&gt;=JX$38,JW17&gt;=JX$42,JV17&lt;&gt;""),AND(KS17&gt;=KZ$38,KT17&gt;=KZ$42,KS17&lt;&gt;""),AND(KX17&gt;=KZ$38,KY17&gt;=KZ$42,KX17&lt;&gt;""),AND(LU17&gt;=MB$38,LV17&gt;=MB$42,LU17&lt;&gt;""),AND(LZ17&gt;=MB$38,MA17&gt;=MB$42,LZ17&lt;&gt;""),AND(MW17&gt;=ND$38,MX17&gt;=ND$42,MW17&lt;&gt;""),AND(NB17&gt;=ND$38,NC17&gt;=ND$42,NB17&lt;&gt;""),AND(NY17&gt;=OF$38,NZ17&gt;=OF$42,NY17&lt;&gt;""),AND(OD17&gt;=OF$38,OE17&gt;=OF$42,OD17&lt;&gt;""),AND(PA17&gt;=PH$38,PB17&gt;=PH$42,PA17&lt;&gt;""),AND(PF17&gt;=PH$38,PG17&gt;=PH$42,PF17&lt;&gt;"")),"P","")</f>
        <v/>
      </c>
      <c r="I17" s="3" t="str">
        <f>IF(OR(AND(AM17&gt;=AP$42,AM17&lt;&gt;"",AK17=""),AND(AO17&gt;=AP$42,AO17&lt;&gt;"",AK17=""),AND(BI17&gt;=BL$42,BI17&lt;&gt;"",BG17=""),AND(BK17&gt;=BL$42,BK17&lt;&gt;"",BG17=""),AND(CE17&gt;=CH$42,CE17&lt;&gt;"",CC17=""),AND(CG17&gt;=CH$42,CG17&lt;&gt;"",CC17=""),AND(DF17&gt;=DL$42,DF17&lt;&gt;""),AND(DK17&gt;=DL$42,DK17&lt;&gt;""),AND(EH17&gt;=EN$42,EH17&lt;&gt;""),AND(EM17&gt;=EN$42,EM17&lt;&gt;""),AND(FJ17&gt;=FP$42,FJ17&lt;&gt;""),AND(FO17&gt;=FP$42,FO17&lt;&gt;""),AND(GL17&gt;=GR$42,GL17&lt;&gt;""),AND(GQ17&gt;=GR$42,GQ17&lt;&gt;""),AND(HN17&gt;=HT$42,HN17&lt;&gt;""),AND(HS17&gt;=HT$42,HS17&lt;&gt;""),AND(IP17&gt;=IV$42,IP17&lt;&gt;""),AND(IU17&gt;=IV$42,IU17&lt;&gt;""),AND(JR17&gt;=JX$42,JR17&lt;&gt;""),AND(JW17&gt;=JX$42,JW17&lt;&gt;""),AND(KT17&gt;=KZ$42,KT17&lt;&gt;""),AND(KY17&gt;=KZ$42,KY17&lt;&gt;""),AND(LV17&gt;=MB$42,LV17&lt;&gt;""),AND(MA17&gt;=MB$42,MA17&lt;&gt;""),AND(MX17&gt;=ND$42,MX17&lt;&gt;""),AND(NC17&gt;=ND$42,NC17&lt;&gt;""),AND(NZ17&gt;=OF$42,NZ17&lt;&gt;""),AND(OE17&gt;=OF$42,OE17&lt;&gt;""),AND(PB17&gt;=PH$42,PB17&lt;&gt;""),AND(PG17&gt;=PH$42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49.999999999999993</v>
      </c>
      <c r="M17" s="8" t="str">
        <f>IF(L17=0,"",IF(L17=CE17,$BM$1,IF(L17=BI17,$AQ$1,IF(L17=AM17,$U$1,""))))</f>
        <v>2025 Elite Canada</v>
      </c>
      <c r="N17" s="8">
        <f>IF(COUNT(AM17,BI17,CE17)&gt;1,LARGE((AM17,BI17,CE17),2),0)</f>
        <v>41.199999999999996</v>
      </c>
      <c r="O17" s="8" t="str">
        <f>IF(N17=0,"",IF(AND(N17=L17,N17=AM17,N17=BI17),$U$1,IF(AND(N17=L17,N17=AM17,N17=CE17),$U$1,IF(AND(N17=L17,N17=BI17,N17=CE17),$AQ$1,IF(N17=CE17,$BM$1,IF(N17=BI17,$AQ$1,IF(N17=AM17,$U$1,"")))))))</f>
        <v>2025 Nationals</v>
      </c>
      <c r="P17" s="8">
        <f>IF(MAX(AO17,BK17,CG17)&gt;0,MAX(AO17,BK17,CG17),0)</f>
        <v>50.4</v>
      </c>
      <c r="Q17" s="8" t="str">
        <f>IF(P17=0,"",IF(P17=CG17,$BM$1,IF(P17=BK17,$AQ$1,IF(P17=AO17,$U$1,""))))</f>
        <v>2025 Elite Canada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18.600000000000001</v>
      </c>
      <c r="V17" s="19">
        <v>6.8</v>
      </c>
      <c r="W17" s="19">
        <v>0.2</v>
      </c>
      <c r="X17" s="19">
        <v>0</v>
      </c>
      <c r="Y17" s="19">
        <v>18.600000000000001</v>
      </c>
      <c r="Z17" s="19">
        <v>6.4</v>
      </c>
      <c r="AA17" s="19">
        <v>0.2</v>
      </c>
      <c r="AB17" s="19">
        <v>0</v>
      </c>
      <c r="AC17" s="19">
        <v>18.5</v>
      </c>
      <c r="AD17" s="19">
        <v>6.8</v>
      </c>
      <c r="AE17" s="19">
        <v>0.2</v>
      </c>
      <c r="AF17" s="19">
        <v>0</v>
      </c>
      <c r="AG17" s="19">
        <v>18.899999999999999</v>
      </c>
      <c r="AH17" s="19">
        <v>6.4</v>
      </c>
      <c r="AI17" s="19">
        <v>0</v>
      </c>
      <c r="AJ17" s="19">
        <v>0</v>
      </c>
      <c r="AK17" s="27"/>
      <c r="AL17" s="40">
        <f>IF(SUM(V17,Z17)&gt;0,SUM(V17,Z17),"")</f>
        <v>13.2</v>
      </c>
      <c r="AM17" s="40">
        <f>IF(SUM(U17:V17,X17:Z17,AB17)-W17-AA17&gt;0,SUM(U17:V17,X17:Z17,AB17)-W17-AA17,"")</f>
        <v>49.999999999999993</v>
      </c>
      <c r="AN17" s="40">
        <f>IF(SUM(AD17,AH17)&gt;0,SUM(AD17,AH17),"")</f>
        <v>13.2</v>
      </c>
      <c r="AO17" s="40">
        <f>IF(SUM(AC17:AD17,AF17:AH17,AJ17)-SUM(AE17,AI17)&gt;0,SUM(AC17:AD17,AF17:AH17,AJ17)-SUM(AE17,AI17),"")</f>
        <v>50.4</v>
      </c>
      <c r="AP17" s="40">
        <f>IF(SUM(AM17,AO17)&gt;0,SUM(AM17,AO17),"")</f>
        <v>100.39999999999999</v>
      </c>
      <c r="AQ17" s="18">
        <v>18</v>
      </c>
      <c r="AR17" s="18">
        <v>5.2</v>
      </c>
      <c r="AS17" s="18">
        <v>0</v>
      </c>
      <c r="AT17" s="18">
        <v>0</v>
      </c>
      <c r="AU17" s="18">
        <v>15.2</v>
      </c>
      <c r="AV17" s="18">
        <v>2.8</v>
      </c>
      <c r="AW17" s="18">
        <v>0</v>
      </c>
      <c r="AX17" s="18">
        <v>0</v>
      </c>
      <c r="AY17" s="18">
        <v>17.899999999999999</v>
      </c>
      <c r="AZ17" s="18">
        <v>5.2</v>
      </c>
      <c r="BA17" s="18">
        <v>1</v>
      </c>
      <c r="BB17" s="18">
        <v>0</v>
      </c>
      <c r="BC17" s="18">
        <v>18</v>
      </c>
      <c r="BD17" s="18">
        <v>6.4</v>
      </c>
      <c r="BE17" s="18">
        <v>0.2</v>
      </c>
      <c r="BF17" s="18">
        <v>0</v>
      </c>
      <c r="BG17" s="28"/>
      <c r="BH17" s="11">
        <f>IF(SUM(AR17,AV17)&gt;0,SUM(AR17,AV17),"")</f>
        <v>8</v>
      </c>
      <c r="BI17" s="11">
        <f>IF(SUM(AQ17:AR17,AT17:AV17,AX17)-AS17-AW17&gt;0,SUM(AQ17:AR17,AT17:AV17,AX17)-AS17-AW17,"")</f>
        <v>41.199999999999996</v>
      </c>
      <c r="BJ17" s="11">
        <f>IF(SUM(AZ17,BD17)&gt;0,SUM(AZ17,BD17),"")</f>
        <v>11.600000000000001</v>
      </c>
      <c r="BK17" s="11">
        <f>IF(SUM(AY17:AZ17,BB17:BD17,BF17)-SUM(BA17,BE17)&gt;0,SUM(AY17:AZ17,BB17:BD17,BF17)-SUM(BA17,BE17),"")</f>
        <v>46.29999999999999</v>
      </c>
      <c r="BL17" s="11">
        <f>IF(SUM(BI17,BK17)&gt;0,SUM(BI17,BK17),"")</f>
        <v>87.499999999999986</v>
      </c>
      <c r="BM17" s="19">
        <v>16.7</v>
      </c>
      <c r="BN17" s="19">
        <v>6</v>
      </c>
      <c r="BO17" s="19">
        <v>0.8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18.5</v>
      </c>
      <c r="BZ17" s="19">
        <v>6.4</v>
      </c>
      <c r="CA17" s="19">
        <v>0.6</v>
      </c>
      <c r="CB17" s="19">
        <v>0</v>
      </c>
      <c r="CC17" s="27"/>
      <c r="CD17" s="40">
        <f>IF(SUM(BN17,BR17)&gt;0,SUM(BN17,BR17),"")</f>
        <v>6</v>
      </c>
      <c r="CE17" s="40">
        <f>IF(SUM(BM17:BN17,BP17:BR17,BT17)-BO17-BS17&gt;0,SUM(BM17:BN17,BP17:BR17,BT17)-BO17-BS17,"")</f>
        <v>21.9</v>
      </c>
      <c r="CF17" s="40">
        <f>IF(SUM(BV17,BZ17)&gt;0,SUM(BV17,BZ17),"")</f>
        <v>6.4</v>
      </c>
      <c r="CG17" s="40">
        <f>IF(SUM(BU17:BV17,BX17:BZ17,CB17)-SUM(BW17,CA17)&gt;0,SUM(BU17:BV17,BX17:BZ17,CB17)-SUM(BW17,CA17),"")</f>
        <v>24.299999999999997</v>
      </c>
      <c r="CH17" s="40">
        <f>IF(SUM(CE17,CG17)&gt;0,SUM(CE17,CG17),"")</f>
        <v>46.199999999999996</v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IF($CC17="P",BM17,(BM17+AQ17)/2)</f>
        <v>17.350000000000001</v>
      </c>
      <c r="PJ17" s="22">
        <f>IF($CC17="P",BN17,(BN17+AR17)/2)</f>
        <v>5.6</v>
      </c>
      <c r="PK17" s="22">
        <f>IF($CC17="P",BO17,(BO17+AS17)/2)</f>
        <v>0.4</v>
      </c>
      <c r="PL17" s="22">
        <f>IF($CC17="P",BP17,(BP17+AT17)/2)</f>
        <v>0</v>
      </c>
      <c r="PM17" s="22">
        <f>IF($CC17="P",BQ17,(BQ17+AU17)/2)</f>
        <v>7.6</v>
      </c>
      <c r="PN17" s="22">
        <f>IF($CC17="P",BR17,(BR17+AV17)/2)</f>
        <v>1.4</v>
      </c>
      <c r="PO17" s="22">
        <f>IF($CC17="P",BS17,(BS17+AW17)/2)</f>
        <v>0</v>
      </c>
      <c r="PP17" s="22">
        <f>IF($CC17="P",BT17,(BT17+AX17)/2)</f>
        <v>0</v>
      </c>
      <c r="PQ17" s="22">
        <f>IF($CC17="P",BU17,(BU17+AY17)/2)</f>
        <v>8.9499999999999993</v>
      </c>
      <c r="PR17" s="22">
        <f>IF($CC17="P",BV17,(BV17+AZ17)/2)</f>
        <v>2.6</v>
      </c>
      <c r="PS17" s="22">
        <f>IF($CC17="P",BW17,(BW17+BA17)/2)</f>
        <v>0.5</v>
      </c>
      <c r="PT17" s="22">
        <f>IF($CC17="P",BX17,(BX17+BB17)/2)</f>
        <v>0</v>
      </c>
      <c r="PU17" s="22">
        <f>IF($CC17="P",BY17,(BY17+BC17)/2)</f>
        <v>18.25</v>
      </c>
      <c r="PV17" s="22">
        <f>IF($CC17="P",BZ17,(BZ17+BD17)/2)</f>
        <v>6.4</v>
      </c>
      <c r="PW17" s="22">
        <f>IF($CC17="P",CA17,(CA17+BE17)/2)</f>
        <v>0.4</v>
      </c>
      <c r="PX17" s="22">
        <f>IF($CC17="P",CB17,(CB17+BF17)/2)</f>
        <v>0</v>
      </c>
      <c r="PY17" s="27" t="s">
        <v>46</v>
      </c>
      <c r="PZ17" s="40">
        <f>IF(SUM(PJ17,PN17)&gt;0,SUM(PJ17,PN17),"")</f>
        <v>7</v>
      </c>
      <c r="QA17" s="40">
        <f>IF(SUM(PI17:PJ17,PL17:PN17,PP17)-PK17-PO17&gt;0,SUM(PI17:PJ17,PL17:PN17,PP17)-PK17-PO17,"")</f>
        <v>31.550000000000004</v>
      </c>
      <c r="QB17" s="40">
        <f>IF(SUM(PR17,PV17)&gt;0,SUM(PR17,PV17),"")</f>
        <v>9</v>
      </c>
      <c r="QC17" s="40">
        <f>IF(SUM(PQ17:PR17,PT17:PV17,PX17)-SUM(PS17,PW17)&gt;0,SUM(PQ17:PR17,PT17:PV17,PX17)-SUM(PS17,PW17),"")</f>
        <v>35.299999999999997</v>
      </c>
      <c r="QD17" s="40">
        <f>IF(SUM(QA17,QC17)&gt;0,SUM(QA17,QC17),"")</f>
        <v>66.849999999999994</v>
      </c>
    </row>
    <row r="18" spans="1:446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108</v>
      </c>
      <c r="D18" s="4" t="s">
        <v>6</v>
      </c>
      <c r="E18" s="4">
        <v>2004</v>
      </c>
      <c r="F18" s="9">
        <f>SUM(L18:R18)+SUM(L18:O18)*0.0000001+SUM(L18)*0.0000000000001</f>
        <v>135.6000085500049</v>
      </c>
      <c r="G18" s="64"/>
      <c r="H18" s="3" t="str">
        <f>IF(OR(AND(AL18&gt;=AP$38,AM18&gt;=AP$42,AL18&lt;&gt;"",AK18=""),AND(AN18&gt;=AP$38,AO18&gt;=AP$42,AN18&lt;&gt;"",AK18=""),AND(BH18&gt;=BL$38,BI18&gt;=BL$42,BH18&lt;&gt;"",BG18=""),AND(BJ18&gt;=BL$38,BK18&gt;=BL$42,BJ18&lt;&gt;"",BG18=""),AND(CD18&gt;=CH$38,CE18&gt;=CH$42,CD18&lt;&gt;"",CC18=""),AND(CF18&gt;=CH$38,CG18&gt;=CH$42,CF18&lt;&gt;""),AND(DE18&gt;=DL$38,DF18&gt;=DL$42,DE18&lt;&gt;""),AND(DJ18&gt;=DL$38,DK18&gt;=DL$42,DJ18&lt;&gt;""),AND(EG18&gt;=EN$38,EH18&gt;=EN$42,EG18&lt;&gt;""),AND(EL18&gt;=EN$38,EM18&gt;=EN$42,EL18&lt;&gt;""),AND(FI18&gt;=FP$38,FJ18&gt;=FP$42,FI18&lt;&gt;""),AND(FN18&gt;=FP$38,FO18&gt;=FP$42,FN18&lt;&gt;""),AND(GK18&gt;=GR$38,GL18&gt;=GR$42,GK18&lt;&gt;""),AND(GP18&gt;=GR$38,GQ18&gt;=GR$42,GP18&lt;&gt;""),AND(HM18&gt;=HT$38,HN18&gt;=HT$42,HM18&lt;&gt;""),AND(HR18&gt;=HT$38,HS18&gt;=HT$42,HR18&lt;&gt;""),AND(IO18&gt;=IV$38,IP18&gt;=IV$42,IO18&lt;&gt;""),AND(IT18&gt;=IV$38,IU18&gt;=IV$42,IT18&lt;&gt;""),AND(JQ18&gt;=JX$38,JR18&gt;=JX$42,JQ18&lt;&gt;""),AND(JV18&gt;=JX$38,JW18&gt;=JX$42,JV18&lt;&gt;""),AND(KS18&gt;=KZ$38,KT18&gt;=KZ$42,KS18&lt;&gt;""),AND(KX18&gt;=KZ$38,KY18&gt;=KZ$42,KX18&lt;&gt;""),AND(LU18&gt;=MB$38,LV18&gt;=MB$42,LU18&lt;&gt;""),AND(LZ18&gt;=MB$38,MA18&gt;=MB$42,LZ18&lt;&gt;""),AND(MW18&gt;=ND$38,MX18&gt;=ND$42,MW18&lt;&gt;""),AND(NB18&gt;=ND$38,NC18&gt;=ND$42,NB18&lt;&gt;""),AND(NY18&gt;=OF$38,NZ18&gt;=OF$42,NY18&lt;&gt;""),AND(OD18&gt;=OF$38,OE18&gt;=OF$42,OD18&lt;&gt;""),AND(PA18&gt;=PH$38,PB18&gt;=PH$42,PA18&lt;&gt;""),AND(PF18&gt;=PH$38,PG18&gt;=PH$42,PF18&lt;&gt;"")),"P","")</f>
        <v/>
      </c>
      <c r="I18" s="3" t="str">
        <f>IF(OR(AND(AM18&gt;=AP$42,AM18&lt;&gt;"",AK18=""),AND(AO18&gt;=AP$42,AO18&lt;&gt;"",AK18=""),AND(BI18&gt;=BL$42,BI18&lt;&gt;"",BG18=""),AND(BK18&gt;=BL$42,BK18&lt;&gt;"",BG18=""),AND(CE18&gt;=CH$42,CE18&lt;&gt;"",CC18=""),AND(CG18&gt;=CH$42,CG18&lt;&gt;"",CC18=""),AND(DF18&gt;=DL$42,DF18&lt;&gt;""),AND(DK18&gt;=DL$42,DK18&lt;&gt;""),AND(EH18&gt;=EN$42,EH18&lt;&gt;""),AND(EM18&gt;=EN$42,EM18&lt;&gt;""),AND(FJ18&gt;=FP$42,FJ18&lt;&gt;""),AND(FO18&gt;=FP$42,FO18&lt;&gt;""),AND(GL18&gt;=GR$42,GL18&lt;&gt;""),AND(GQ18&gt;=GR$42,GQ18&lt;&gt;""),AND(HN18&gt;=HT$42,HN18&lt;&gt;""),AND(HS18&gt;=HT$42,HS18&lt;&gt;""),AND(IP18&gt;=IV$42,IP18&lt;&gt;""),AND(IU18&gt;=IV$42,IU18&lt;&gt;""),AND(JR18&gt;=JX$42,JR18&lt;&gt;""),AND(JW18&gt;=JX$42,JW18&lt;&gt;""),AND(KT18&gt;=KZ$42,KT18&lt;&gt;""),AND(KY18&gt;=KZ$42,KY18&lt;&gt;""),AND(LV18&gt;=MB$42,LV18&lt;&gt;""),AND(MA18&gt;=MB$42,MA18&lt;&gt;""),AND(MX18&gt;=ND$42,MX18&lt;&gt;""),AND(NC18&gt;=ND$42,NC18&lt;&gt;""),AND(NZ18&gt;=OF$42,NZ18&lt;&gt;""),AND(OE18&gt;=OF$42,OE18&lt;&gt;""),AND(PB18&gt;=PH$42,PB18&lt;&gt;""),AND(PG18&gt;=PH$42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49.2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36.299999999999997</v>
      </c>
      <c r="O18" s="8" t="str">
        <f>IF(N18=0,"",IF(AND(N18=L18,N18=AM18,N18=BI18),$U$1,IF(AND(N18=L18,N18=AM18,N18=CE18),$U$1,IF(AND(N18=L18,N18=BI18,N18=CE18),$AQ$1,IF(N18=CE18,$BM$1,IF(N18=BI18,$AQ$1,IF(N18=AM18,$U$1,"")))))))</f>
        <v>2025 Nationals</v>
      </c>
      <c r="P18" s="8">
        <f>IF(MAX(AO18,BK18,CG18)&gt;0,MAX(AO18,BK18,CG18),0)</f>
        <v>50.1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18.600000000000001</v>
      </c>
      <c r="V18" s="19">
        <v>6.8</v>
      </c>
      <c r="W18" s="19">
        <v>0.8</v>
      </c>
      <c r="X18" s="19">
        <v>0</v>
      </c>
      <c r="Y18" s="19">
        <v>18</v>
      </c>
      <c r="Z18" s="19">
        <v>6.8</v>
      </c>
      <c r="AA18" s="19">
        <v>0.2</v>
      </c>
      <c r="AB18" s="19">
        <v>0</v>
      </c>
      <c r="AC18" s="19">
        <v>19.100000000000001</v>
      </c>
      <c r="AD18" s="19">
        <v>6.8</v>
      </c>
      <c r="AE18" s="19">
        <v>0</v>
      </c>
      <c r="AF18" s="19">
        <v>0</v>
      </c>
      <c r="AG18" s="19">
        <v>18</v>
      </c>
      <c r="AH18" s="19">
        <v>6.8</v>
      </c>
      <c r="AI18" s="19">
        <v>0.6</v>
      </c>
      <c r="AJ18" s="19">
        <v>0</v>
      </c>
      <c r="AK18" s="27"/>
      <c r="AL18" s="40">
        <f>IF(SUM(V18,Z18)&gt;0,SUM(V18,Z18),"")</f>
        <v>13.6</v>
      </c>
      <c r="AM18" s="40">
        <f>IF(SUM(U18:V18,X18:Z18,AB18)-W18-AA18&gt;0,SUM(U18:V18,X18:Z18,AB18)-W18-AA18,"")</f>
        <v>49.2</v>
      </c>
      <c r="AN18" s="40">
        <f>IF(SUM(AD18,AH18)&gt;0,SUM(AD18,AH18),"")</f>
        <v>13.6</v>
      </c>
      <c r="AO18" s="40">
        <f>IF(SUM(AC18:AD18,AF18:AH18,AJ18)-SUM(AE18,AI18)&gt;0,SUM(AC18:AD18,AF18:AH18,AJ18)-SUM(AE18,AI18),"")</f>
        <v>50.1</v>
      </c>
      <c r="AP18" s="40">
        <f>IF(SUM(AM18,AO18)&gt;0,SUM(AM18,AO18),"")</f>
        <v>99.300000000000011</v>
      </c>
      <c r="AQ18" s="18">
        <v>15.7</v>
      </c>
      <c r="AR18" s="18">
        <v>2.4</v>
      </c>
      <c r="AS18" s="18">
        <v>0</v>
      </c>
      <c r="AT18" s="18">
        <v>0</v>
      </c>
      <c r="AU18" s="18">
        <v>15.4</v>
      </c>
      <c r="AV18" s="18">
        <v>2.8</v>
      </c>
      <c r="AW18" s="18">
        <v>0</v>
      </c>
      <c r="AX18" s="18">
        <v>0</v>
      </c>
      <c r="AY18" s="18"/>
      <c r="AZ18" s="18"/>
      <c r="BA18" s="18"/>
      <c r="BB18" s="18"/>
      <c r="BC18" s="18"/>
      <c r="BD18" s="18"/>
      <c r="BE18" s="18"/>
      <c r="BF18" s="18"/>
      <c r="BG18" s="28"/>
      <c r="BH18" s="11">
        <f>IF(SUM(AR18,AV18)&gt;0,SUM(AR18,AV18),"")</f>
        <v>5.1999999999999993</v>
      </c>
      <c r="BI18" s="11">
        <f>IF(SUM(AQ18:AR18,AT18:AV18,AX18)-AS18-AW18&gt;0,SUM(AQ18:AR18,AT18:AV18,AX18)-AS18-AW18,"")</f>
        <v>36.299999999999997</v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>
        <f>IF(SUM(BI18,BK18)&gt;0,SUM(BI18,BK18),"")</f>
        <v>36.299999999999997</v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IF($CC18="P",BM18,(BM18+AQ18)/2)</f>
        <v>7.85</v>
      </c>
      <c r="PJ18" s="22">
        <f>IF($CC18="P",BN18,(BN18+AR18)/2)</f>
        <v>1.2</v>
      </c>
      <c r="PK18" s="22">
        <f>IF($CC18="P",BO18,(BO18+AS18)/2)</f>
        <v>0</v>
      </c>
      <c r="PL18" s="22">
        <f>IF($CC18="P",BP18,(BP18+AT18)/2)</f>
        <v>0</v>
      </c>
      <c r="PM18" s="22">
        <f>IF($CC18="P",BQ18,(BQ18+AU18)/2)</f>
        <v>7.7</v>
      </c>
      <c r="PN18" s="22">
        <f>IF($CC18="P",BR18,(BR18+AV18)/2)</f>
        <v>1.4</v>
      </c>
      <c r="PO18" s="22">
        <f>IF($CC18="P",BS18,(BS18+AW18)/2)</f>
        <v>0</v>
      </c>
      <c r="PP18" s="22">
        <f>IF($CC18="P",BT18,(BT18+AX18)/2)</f>
        <v>0</v>
      </c>
      <c r="PQ18" s="22">
        <f>IF($CC18="P",BU18,(BU18+AY18)/2)</f>
        <v>0</v>
      </c>
      <c r="PR18" s="22">
        <f>IF($CC18="P",BV18,(BV18+AZ18)/2)</f>
        <v>0</v>
      </c>
      <c r="PS18" s="22">
        <f>IF($CC18="P",BW18,(BW18+BA18)/2)</f>
        <v>0</v>
      </c>
      <c r="PT18" s="22">
        <f>IF($CC18="P",BX18,(BX18+BB18)/2)</f>
        <v>0</v>
      </c>
      <c r="PU18" s="22">
        <f>IF($CC18="P",BY18,(BY18+BC18)/2)</f>
        <v>0</v>
      </c>
      <c r="PV18" s="22">
        <f>IF($CC18="P",BZ18,(BZ18+BD18)/2)</f>
        <v>0</v>
      </c>
      <c r="PW18" s="22">
        <f>IF($CC18="P",CA18,(CA18+BE18)/2)</f>
        <v>0</v>
      </c>
      <c r="PX18" s="22">
        <f>IF($CC18="P",CB18,(CB18+BF18)/2)</f>
        <v>0</v>
      </c>
      <c r="PY18" s="27" t="s">
        <v>46</v>
      </c>
      <c r="PZ18" s="40">
        <f>IF(SUM(PJ18,PN18)&gt;0,SUM(PJ18,PN18),"")</f>
        <v>2.5999999999999996</v>
      </c>
      <c r="QA18" s="40">
        <f>IF(SUM(PI18:PJ18,PL18:PN18,PP18)-PK18-PO18&gt;0,SUM(PI18:PJ18,PL18:PN18,PP18)-PK18-PO18,"")</f>
        <v>18.149999999999999</v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>
        <f>IF(SUM(QA18,QC18)&gt;0,SUM(QA18,QC18),"")</f>
        <v>18.149999999999999</v>
      </c>
    </row>
    <row r="19" spans="1:446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143</v>
      </c>
      <c r="D19" s="4" t="s">
        <v>4</v>
      </c>
      <c r="E19" s="4">
        <v>2005</v>
      </c>
      <c r="F19" s="9">
        <f>SUM(L19:R19)+SUM(L19:O19)*0.0000001+SUM(L19)*0.0000000000001</f>
        <v>131.40000859000443</v>
      </c>
      <c r="G19" s="64"/>
      <c r="H19" s="3" t="str">
        <f>IF(OR(AND(AL19&gt;=AP$38,AM19&gt;=AP$42,AL19&lt;&gt;"",AK19=""),AND(AN19&gt;=AP$38,AO19&gt;=AP$42,AN19&lt;&gt;"",AK19=""),AND(BH19&gt;=BL$38,BI19&gt;=BL$42,BH19&lt;&gt;"",BG19=""),AND(BJ19&gt;=BL$38,BK19&gt;=BL$42,BJ19&lt;&gt;"",BG19=""),AND(CD19&gt;=CH$38,CE19&gt;=CH$42,CD19&lt;&gt;"",CC19=""),AND(CF19&gt;=CH$38,CG19&gt;=CH$42,CF19&lt;&gt;""),AND(DE19&gt;=DL$38,DF19&gt;=DL$42,DE19&lt;&gt;""),AND(DJ19&gt;=DL$38,DK19&gt;=DL$42,DJ19&lt;&gt;""),AND(EG19&gt;=EN$38,EH19&gt;=EN$42,EG19&lt;&gt;""),AND(EL19&gt;=EN$38,EM19&gt;=EN$42,EL19&lt;&gt;""),AND(FI19&gt;=FP$38,FJ19&gt;=FP$42,FI19&lt;&gt;""),AND(FN19&gt;=FP$38,FO19&gt;=FP$42,FN19&lt;&gt;""),AND(GK19&gt;=GR$38,GL19&gt;=GR$42,GK19&lt;&gt;""),AND(GP19&gt;=GR$38,GQ19&gt;=GR$42,GP19&lt;&gt;""),AND(HM19&gt;=HT$38,HN19&gt;=HT$42,HM19&lt;&gt;""),AND(HR19&gt;=HT$38,HS19&gt;=HT$42,HR19&lt;&gt;""),AND(IO19&gt;=IV$38,IP19&gt;=IV$42,IO19&lt;&gt;""),AND(IT19&gt;=IV$38,IU19&gt;=IV$42,IT19&lt;&gt;""),AND(JQ19&gt;=JX$38,JR19&gt;=JX$42,JQ19&lt;&gt;""),AND(JV19&gt;=JX$38,JW19&gt;=JX$42,JV19&lt;&gt;""),AND(KS19&gt;=KZ$38,KT19&gt;=KZ$42,KS19&lt;&gt;""),AND(KX19&gt;=KZ$38,KY19&gt;=KZ$42,KX19&lt;&gt;""),AND(LU19&gt;=MB$38,LV19&gt;=MB$42,LU19&lt;&gt;""),AND(LZ19&gt;=MB$38,MA19&gt;=MB$42,LZ19&lt;&gt;""),AND(MW19&gt;=ND$38,MX19&gt;=ND$42,MW19&lt;&gt;""),AND(NB19&gt;=ND$38,NC19&gt;=ND$42,NB19&lt;&gt;""),AND(NY19&gt;=OF$38,NZ19&gt;=OF$42,NY19&lt;&gt;""),AND(OD19&gt;=OF$38,OE19&gt;=OF$42,OD19&lt;&gt;""),AND(PA19&gt;=PH$38,PB19&gt;=PH$42,PA19&lt;&gt;""),AND(PF19&gt;=PH$38,PG19&gt;=PH$42,PF19&lt;&gt;"")),"P","")</f>
        <v/>
      </c>
      <c r="I19" s="3" t="str">
        <f>IF(OR(AND(AM19&gt;=AP$42,AM19&lt;&gt;"",AK19=""),AND(AO19&gt;=AP$42,AO19&lt;&gt;"",AK19=""),AND(BI19&gt;=BL$42,BI19&lt;&gt;"",BG19=""),AND(BK19&gt;=BL$42,BK19&lt;&gt;"",BG19=""),AND(CE19&gt;=CH$42,CE19&lt;&gt;"",CC19=""),AND(CG19&gt;=CH$42,CG19&lt;&gt;"",CC19=""),AND(DF19&gt;=DL$42,DF19&lt;&gt;""),AND(DK19&gt;=DL$42,DK19&lt;&gt;""),AND(EH19&gt;=EN$42,EH19&lt;&gt;""),AND(EM19&gt;=EN$42,EM19&lt;&gt;""),AND(FJ19&gt;=FP$42,FJ19&lt;&gt;""),AND(FO19&gt;=FP$42,FO19&lt;&gt;""),AND(GL19&gt;=GR$42,GL19&lt;&gt;""),AND(GQ19&gt;=GR$42,GQ19&lt;&gt;""),AND(HN19&gt;=HT$42,HN19&lt;&gt;""),AND(HS19&gt;=HT$42,HS19&lt;&gt;""),AND(IP19&gt;=IV$42,IP19&lt;&gt;""),AND(IU19&gt;=IV$42,IU19&lt;&gt;""),AND(JR19&gt;=JX$42,JR19&lt;&gt;""),AND(JW19&gt;=JX$42,JW19&lt;&gt;""),AND(KT19&gt;=KZ$42,KT19&lt;&gt;""),AND(KY19&gt;=KZ$42,KY19&lt;&gt;""),AND(LV19&gt;=MB$42,LV19&lt;&gt;""),AND(MA19&gt;=MB$42,MA19&lt;&gt;""),AND(MX19&gt;=ND$42,MX19&lt;&gt;""),AND(NC19&gt;=ND$42,NC19&lt;&gt;""),AND(NZ19&gt;=OF$42,NZ19&lt;&gt;""),AND(OE19&gt;=OF$42,OE19&lt;&gt;""),AND(PB19&gt;=PH$42,PB19&lt;&gt;""),AND(PG19&gt;=PH$42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44.400000000000006</v>
      </c>
      <c r="M19" s="8" t="str">
        <f>IF(L19=0,"",IF(L19=CE19,$BM$1,IF(L19=BI19,$AQ$1,IF(L19=AM19,$U$1,""))))</f>
        <v>2025 Nationals</v>
      </c>
      <c r="N19" s="8">
        <f>IF(COUNT(AM19,BI19,CE19)&gt;1,LARGE((AM19,BI19,CE19),2),0)</f>
        <v>41.500000000000007</v>
      </c>
      <c r="O19" s="8" t="str">
        <f>IF(N19=0,"",IF(AND(N19=L19,N19=AM19,N19=BI19),$U$1,IF(AND(N19=L19,N19=AM19,N19=CE19),$U$1,IF(AND(N19=L19,N19=BI19,N19=CE19),$AQ$1,IF(N19=CE19,$BM$1,IF(N19=BI19,$AQ$1,IF(N19=AM19,$U$1,"")))))))</f>
        <v>2025 Elite Canada</v>
      </c>
      <c r="P19" s="8">
        <f>IF(MAX(AO19,BK19,CG19)&gt;0,MAX(AO19,BK19,CG19),0)</f>
        <v>45.5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15.1</v>
      </c>
      <c r="V19" s="19">
        <v>3.2</v>
      </c>
      <c r="W19" s="19">
        <v>0</v>
      </c>
      <c r="X19" s="19">
        <v>0</v>
      </c>
      <c r="Y19" s="19">
        <v>18.8</v>
      </c>
      <c r="Z19" s="19">
        <v>5.2</v>
      </c>
      <c r="AA19" s="19">
        <v>0.8</v>
      </c>
      <c r="AB19" s="19">
        <v>0</v>
      </c>
      <c r="AC19" s="19">
        <v>18.100000000000001</v>
      </c>
      <c r="AD19" s="19">
        <v>6.4</v>
      </c>
      <c r="AE19" s="19">
        <v>0.8</v>
      </c>
      <c r="AF19" s="19">
        <v>0</v>
      </c>
      <c r="AG19" s="19">
        <v>17.399999999999999</v>
      </c>
      <c r="AH19" s="19">
        <v>5.2</v>
      </c>
      <c r="AI19" s="19">
        <v>0.8</v>
      </c>
      <c r="AJ19" s="19">
        <v>0</v>
      </c>
      <c r="AK19" s="27"/>
      <c r="AL19" s="40">
        <f>IF(SUM(V19,Z19)&gt;0,SUM(V19,Z19),"")</f>
        <v>8.4</v>
      </c>
      <c r="AM19" s="40">
        <f>IF(SUM(U19:V19,X19:Z19,AB19)-W19-AA19&gt;0,SUM(U19:V19,X19:Z19,AB19)-W19-AA19,"")</f>
        <v>41.500000000000007</v>
      </c>
      <c r="AN19" s="40">
        <f>IF(SUM(AD19,AH19)&gt;0,SUM(AD19,AH19),"")</f>
        <v>11.600000000000001</v>
      </c>
      <c r="AO19" s="40">
        <f>IF(SUM(AC19:AD19,AF19:AH19,AJ19)-SUM(AE19,AI19)&gt;0,SUM(AC19:AD19,AF19:AH19,AJ19)-SUM(AE19,AI19),"")</f>
        <v>45.5</v>
      </c>
      <c r="AP19" s="40">
        <f>IF(SUM(AM19,AO19)&gt;0,SUM(AM19,AO19),"")</f>
        <v>87</v>
      </c>
      <c r="AQ19" s="18">
        <v>16.600000000000001</v>
      </c>
      <c r="AR19" s="18">
        <v>4.4000000000000004</v>
      </c>
      <c r="AS19" s="18">
        <v>0.8</v>
      </c>
      <c r="AT19" s="18">
        <v>0</v>
      </c>
      <c r="AU19" s="18">
        <v>18.600000000000001</v>
      </c>
      <c r="AV19" s="18">
        <v>5.6</v>
      </c>
      <c r="AW19" s="18">
        <v>0</v>
      </c>
      <c r="AX19" s="18">
        <v>0</v>
      </c>
      <c r="AY19" s="18">
        <v>15.1</v>
      </c>
      <c r="AZ19" s="18">
        <v>2.4</v>
      </c>
      <c r="BA19" s="18">
        <v>0</v>
      </c>
      <c r="BB19" s="18">
        <v>0</v>
      </c>
      <c r="BC19" s="18">
        <v>18.600000000000001</v>
      </c>
      <c r="BD19" s="18">
        <v>1.3</v>
      </c>
      <c r="BE19" s="18">
        <v>4.2</v>
      </c>
      <c r="BF19" s="18">
        <v>0</v>
      </c>
      <c r="BG19" s="28"/>
      <c r="BH19" s="11">
        <f>IF(SUM(AR19,AV19)&gt;0,SUM(AR19,AV19),"")</f>
        <v>10</v>
      </c>
      <c r="BI19" s="11">
        <f>IF(SUM(AQ19:AR19,AT19:AV19,AX19)-AS19-AW19&gt;0,SUM(AQ19:AR19,AT19:AV19,AX19)-AS19-AW19,"")</f>
        <v>44.400000000000006</v>
      </c>
      <c r="BJ19" s="11">
        <f>IF(SUM(AZ19,BD19)&gt;0,SUM(AZ19,BD19),"")</f>
        <v>3.7</v>
      </c>
      <c r="BK19" s="11">
        <f>IF(SUM(AY19:AZ19,BB19:BD19,BF19)-SUM(BA19,BE19)&gt;0,SUM(AY19:AZ19,BB19:BD19,BF19)-SUM(BA19,BE19),"")</f>
        <v>33.199999999999996</v>
      </c>
      <c r="BL19" s="11">
        <f>IF(SUM(BI19,BK19)&gt;0,SUM(BI19,BK19),"")</f>
        <v>77.599999999999994</v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IF($CC19="P",BM19,(BM19+AQ19)/2)</f>
        <v>8.3000000000000007</v>
      </c>
      <c r="PJ19" s="22">
        <f>IF($CC19="P",BN19,(BN19+AR19)/2)</f>
        <v>2.2000000000000002</v>
      </c>
      <c r="PK19" s="22">
        <f>IF($CC19="P",BO19,(BO19+AS19)/2)</f>
        <v>0.4</v>
      </c>
      <c r="PL19" s="22">
        <f>IF($CC19="P",BP19,(BP19+AT19)/2)</f>
        <v>0</v>
      </c>
      <c r="PM19" s="22">
        <f>IF($CC19="P",BQ19,(BQ19+AU19)/2)</f>
        <v>9.3000000000000007</v>
      </c>
      <c r="PN19" s="22">
        <f>IF($CC19="P",BR19,(BR19+AV19)/2)</f>
        <v>2.8</v>
      </c>
      <c r="PO19" s="22">
        <f>IF($CC19="P",BS19,(BS19+AW19)/2)</f>
        <v>0</v>
      </c>
      <c r="PP19" s="22">
        <f>IF($CC19="P",BT19,(BT19+AX19)/2)</f>
        <v>0</v>
      </c>
      <c r="PQ19" s="22">
        <f>IF($CC19="P",BU19,(BU19+AY19)/2)</f>
        <v>7.55</v>
      </c>
      <c r="PR19" s="22">
        <f>IF($CC19="P",BV19,(BV19+AZ19)/2)</f>
        <v>1.2</v>
      </c>
      <c r="PS19" s="22">
        <f>IF($CC19="P",BW19,(BW19+BA19)/2)</f>
        <v>0</v>
      </c>
      <c r="PT19" s="22">
        <f>IF($CC19="P",BX19,(BX19+BB19)/2)</f>
        <v>0</v>
      </c>
      <c r="PU19" s="22">
        <f>IF($CC19="P",BY19,(BY19+BC19)/2)</f>
        <v>9.3000000000000007</v>
      </c>
      <c r="PV19" s="22">
        <f>IF($CC19="P",BZ19,(BZ19+BD19)/2)</f>
        <v>0.65</v>
      </c>
      <c r="PW19" s="22">
        <f>IF($CC19="P",CA19,(CA19+BE19)/2)</f>
        <v>2.1</v>
      </c>
      <c r="PX19" s="22">
        <f>IF($CC19="P",CB19,(CB19+BF19)/2)</f>
        <v>0</v>
      </c>
      <c r="PY19" s="27" t="s">
        <v>46</v>
      </c>
      <c r="PZ19" s="40">
        <f>IF(SUM(PJ19,PN19)&gt;0,SUM(PJ19,PN19),"")</f>
        <v>5</v>
      </c>
      <c r="QA19" s="40">
        <f>IF(SUM(PI19:PJ19,PL19:PN19,PP19)-PK19-PO19&gt;0,SUM(PI19:PJ19,PL19:PN19,PP19)-PK19-PO19,"")</f>
        <v>22.200000000000003</v>
      </c>
      <c r="QB19" s="40">
        <f>IF(SUM(PR19,PV19)&gt;0,SUM(PR19,PV19),"")</f>
        <v>1.85</v>
      </c>
      <c r="QC19" s="40">
        <f>IF(SUM(PQ19:PR19,PT19:PV19,PX19)-SUM(PS19,PW19)&gt;0,SUM(PQ19:PR19,PT19:PV19,PX19)-SUM(PS19,PW19),"")</f>
        <v>16.599999999999998</v>
      </c>
      <c r="QD19" s="40">
        <f>IF(SUM(QA19,QC19)&gt;0,SUM(QA19,QC19),"")</f>
        <v>38.799999999999997</v>
      </c>
    </row>
    <row r="20" spans="1:446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175</v>
      </c>
      <c r="D20" s="4" t="s">
        <v>3</v>
      </c>
      <c r="E20" s="4">
        <v>2008</v>
      </c>
      <c r="F20" s="9">
        <f>SUM(L20:R20)+SUM(L20:O20)*0.0000001+SUM(L20)*0.0000000000001</f>
        <v>130.80000821000465</v>
      </c>
      <c r="H20" s="3" t="str">
        <f>IF(OR(AND(AL20&gt;=AP$38,AM20&gt;=AP$42,AL20&lt;&gt;"",AK20=""),AND(AN20&gt;=AP$38,AO20&gt;=AP$42,AN20&lt;&gt;"",AK20=""),AND(BH20&gt;=BL$38,BI20&gt;=BL$42,BH20&lt;&gt;"",BG20=""),AND(BJ20&gt;=BL$38,BK20&gt;=BL$42,BJ20&lt;&gt;"",BG20=""),AND(CD20&gt;=CH$38,CE20&gt;=CH$42,CD20&lt;&gt;"",CC20=""),AND(CF20&gt;=CH$38,CG20&gt;=CH$42,CF20&lt;&gt;""),AND(DE20&gt;=DL$38,DF20&gt;=DL$42,DE20&lt;&gt;""),AND(DJ20&gt;=DL$38,DK20&gt;=DL$42,DJ20&lt;&gt;""),AND(EG20&gt;=EN$38,EH20&gt;=EN$42,EG20&lt;&gt;""),AND(EL20&gt;=EN$38,EM20&gt;=EN$42,EL20&lt;&gt;""),AND(FI20&gt;=FP$38,FJ20&gt;=FP$42,FI20&lt;&gt;""),AND(FN20&gt;=FP$38,FO20&gt;=FP$42,FN20&lt;&gt;""),AND(GK20&gt;=GR$38,GL20&gt;=GR$42,GK20&lt;&gt;""),AND(GP20&gt;=GR$38,GQ20&gt;=GR$42,GP20&lt;&gt;""),AND(HM20&gt;=HT$38,HN20&gt;=HT$42,HM20&lt;&gt;""),AND(HR20&gt;=HT$38,HS20&gt;=HT$42,HR20&lt;&gt;""),AND(IO20&gt;=IV$38,IP20&gt;=IV$42,IO20&lt;&gt;""),AND(IT20&gt;=IV$38,IU20&gt;=IV$42,IT20&lt;&gt;""),AND(JQ20&gt;=JX$38,JR20&gt;=JX$42,JQ20&lt;&gt;""),AND(JV20&gt;=JX$38,JW20&gt;=JX$42,JV20&lt;&gt;""),AND(KS20&gt;=KZ$38,KT20&gt;=KZ$42,KS20&lt;&gt;""),AND(KX20&gt;=KZ$38,KY20&gt;=KZ$42,KX20&lt;&gt;""),AND(LU20&gt;=MB$38,LV20&gt;=MB$42,LU20&lt;&gt;""),AND(LZ20&gt;=MB$38,MA20&gt;=MB$42,LZ20&lt;&gt;""),AND(MW20&gt;=ND$38,MX20&gt;=ND$42,MW20&lt;&gt;""),AND(NB20&gt;=ND$38,NC20&gt;=ND$42,NB20&lt;&gt;""),AND(NY20&gt;=OF$38,NZ20&gt;=OF$42,NY20&lt;&gt;""),AND(OD20&gt;=OF$38,OE20&gt;=OF$42,OD20&lt;&gt;""),AND(PA20&gt;=PH$38,PB20&gt;=PH$42,PA20&lt;&gt;""),AND(PF20&gt;=PH$38,PG20&gt;=PH$42,PF20&lt;&gt;"")),"P","")</f>
        <v/>
      </c>
      <c r="I20" s="3" t="str">
        <f>IF(OR(AND(AM20&gt;=AP$42,AM20&lt;&gt;"",AK20=""),AND(AO20&gt;=AP$42,AO20&lt;&gt;"",AK20=""),AND(BI20&gt;=BL$42,BI20&lt;&gt;"",BG20=""),AND(BK20&gt;=BL$42,BK20&lt;&gt;"",BG20=""),AND(CE20&gt;=CH$42,CE20&lt;&gt;"",CC20=""),AND(CG20&gt;=CH$42,CG20&lt;&gt;"",CC20=""),AND(DF20&gt;=DL$42,DF20&lt;&gt;""),AND(DK20&gt;=DL$42,DK20&lt;&gt;""),AND(EH20&gt;=EN$42,EH20&lt;&gt;""),AND(EM20&gt;=EN$42,EM20&lt;&gt;""),AND(FJ20&gt;=FP$42,FJ20&lt;&gt;""),AND(FO20&gt;=FP$42,FO20&lt;&gt;""),AND(GL20&gt;=GR$42,GL20&lt;&gt;""),AND(GQ20&gt;=GR$42,GQ20&lt;&gt;""),AND(HN20&gt;=HT$42,HN20&lt;&gt;""),AND(HS20&gt;=HT$42,HS20&lt;&gt;""),AND(IP20&gt;=IV$42,IP20&lt;&gt;""),AND(IU20&gt;=IV$42,IU20&lt;&gt;""),AND(JR20&gt;=JX$42,JR20&lt;&gt;""),AND(JW20&gt;=JX$42,JW20&lt;&gt;""),AND(KT20&gt;=KZ$42,KT20&lt;&gt;""),AND(KY20&gt;=KZ$42,KY20&lt;&gt;""),AND(LV20&gt;=MB$42,LV20&lt;&gt;""),AND(MA20&gt;=MB$42,MA20&lt;&gt;""),AND(MX20&gt;=ND$42,MX20&lt;&gt;""),AND(NC20&gt;=ND$42,NC20&lt;&gt;""),AND(NZ20&gt;=OF$42,NZ20&lt;&gt;""),AND(OE20&gt;=OF$42,OE20&lt;&gt;""),AND(PB20&gt;=PH$42,PB20&lt;&gt;""),AND(PG20&gt;=PH$42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46.20000000000001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35.9</v>
      </c>
      <c r="O20" s="8" t="str">
        <f>IF(N20=0,"",IF(AND(N20=L20,N20=AM20,N20=BI20),$U$1,IF(AND(N20=L20,N20=AM20,N20=CE20),$U$1,IF(AND(N20=L20,N20=BI20,N20=CE20),$AQ$1,IF(N20=CE20,$BM$1,IF(N20=BI20,$AQ$1,IF(N20=AM20,$U$1,"")))))))</f>
        <v>2025 Elite Canada</v>
      </c>
      <c r="P20" s="8">
        <f>IF(MAX(AO20,BK20,CG20)&gt;0,MAX(AO20,BK20,CG20),0)</f>
        <v>48.699999999999996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>
        <v>15.4</v>
      </c>
      <c r="V20" s="19">
        <v>2.4</v>
      </c>
      <c r="W20" s="19">
        <v>0</v>
      </c>
      <c r="X20" s="19">
        <v>0</v>
      </c>
      <c r="Y20" s="19">
        <v>15.3</v>
      </c>
      <c r="Z20" s="19">
        <v>2.8</v>
      </c>
      <c r="AA20" s="19">
        <v>0</v>
      </c>
      <c r="AB20" s="19">
        <v>0</v>
      </c>
      <c r="AC20" s="19">
        <v>18.2</v>
      </c>
      <c r="AD20" s="19">
        <v>6</v>
      </c>
      <c r="AE20" s="19">
        <v>0.6</v>
      </c>
      <c r="AF20" s="19">
        <v>0</v>
      </c>
      <c r="AG20" s="19">
        <v>15.4</v>
      </c>
      <c r="AH20" s="19">
        <v>2.8</v>
      </c>
      <c r="AI20" s="19">
        <v>0</v>
      </c>
      <c r="AJ20" s="19">
        <v>0</v>
      </c>
      <c r="AK20" s="27"/>
      <c r="AL20" s="40">
        <f>IF(SUM(V20,Z20)&gt;0,SUM(V20,Z20),"")</f>
        <v>5.1999999999999993</v>
      </c>
      <c r="AM20" s="40">
        <f>IF(SUM(U20:V20,X20:Z20,AB20)-W20-AA20&gt;0,SUM(U20:V20,X20:Z20,AB20)-W20-AA20,"")</f>
        <v>35.9</v>
      </c>
      <c r="AN20" s="40">
        <f>IF(SUM(AD20,AH20)&gt;0,SUM(AD20,AH20),"")</f>
        <v>8.8000000000000007</v>
      </c>
      <c r="AO20" s="40">
        <f>IF(SUM(AC20:AD20,AF20:AH20,AJ20)-SUM(AE20,AI20)&gt;0,SUM(AC20:AD20,AF20:AH20,AJ20)-SUM(AE20,AI20),"")</f>
        <v>41.8</v>
      </c>
      <c r="AP20" s="40">
        <f>IF(SUM(AM20,AO20)&gt;0,SUM(AM20,AO20),"")</f>
        <v>77.699999999999989</v>
      </c>
      <c r="AQ20" s="18">
        <v>16.5</v>
      </c>
      <c r="AR20" s="18">
        <v>6.8</v>
      </c>
      <c r="AS20" s="18">
        <v>0.8</v>
      </c>
      <c r="AT20" s="18">
        <v>0</v>
      </c>
      <c r="AU20" s="18">
        <v>18.100000000000001</v>
      </c>
      <c r="AV20" s="18">
        <v>6.4</v>
      </c>
      <c r="AW20" s="18">
        <v>0.8</v>
      </c>
      <c r="AX20" s="18">
        <v>0</v>
      </c>
      <c r="AY20" s="18">
        <v>18.3</v>
      </c>
      <c r="AZ20" s="18">
        <v>6.8</v>
      </c>
      <c r="BA20" s="18">
        <v>0.8</v>
      </c>
      <c r="BB20" s="18">
        <v>0</v>
      </c>
      <c r="BC20" s="18">
        <v>18.2</v>
      </c>
      <c r="BD20" s="18">
        <v>6.4</v>
      </c>
      <c r="BE20" s="18">
        <v>0.2</v>
      </c>
      <c r="BF20" s="18">
        <v>0</v>
      </c>
      <c r="BG20" s="28"/>
      <c r="BH20" s="11">
        <f>IF(SUM(AR20,AV20)&gt;0,SUM(AR20,AV20),"")</f>
        <v>13.2</v>
      </c>
      <c r="BI20" s="11">
        <f>IF(SUM(AQ20:AR20,AT20:AV20,AX20)-AS20-AW20&gt;0,SUM(AQ20:AR20,AT20:AV20,AX20)-AS20-AW20,"")</f>
        <v>46.20000000000001</v>
      </c>
      <c r="BJ20" s="11">
        <f>IF(SUM(AZ20,BD20)&gt;0,SUM(AZ20,BD20),"")</f>
        <v>13.2</v>
      </c>
      <c r="BK20" s="11">
        <f>IF(SUM(AY20:AZ20,BB20:BD20,BF20)-SUM(BA20,BE20)&gt;0,SUM(AY20:AZ20,BB20:BD20,BF20)-SUM(BA20,BE20),"")</f>
        <v>48.699999999999996</v>
      </c>
      <c r="BL20" s="11">
        <f>IF(SUM(BI20,BK20)&gt;0,SUM(BI20,BK20),"")</f>
        <v>94.9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IF($CC20="P",BM20,(BM20+AQ20)/2)</f>
        <v>8.25</v>
      </c>
      <c r="PJ20" s="22">
        <f>IF($CC20="P",BN20,(BN20+AR20)/2)</f>
        <v>3.4</v>
      </c>
      <c r="PK20" s="22">
        <f>IF($CC20="P",BO20,(BO20+AS20)/2)</f>
        <v>0.4</v>
      </c>
      <c r="PL20" s="22">
        <f>IF($CC20="P",BP20,(BP20+AT20)/2)</f>
        <v>0</v>
      </c>
      <c r="PM20" s="22">
        <f>IF($CC20="P",BQ20,(BQ20+AU20)/2)</f>
        <v>9.0500000000000007</v>
      </c>
      <c r="PN20" s="22">
        <f>IF($CC20="P",BR20,(BR20+AV20)/2)</f>
        <v>3.2</v>
      </c>
      <c r="PO20" s="22">
        <f>IF($CC20="P",BS20,(BS20+AW20)/2)</f>
        <v>0.4</v>
      </c>
      <c r="PP20" s="22">
        <f>IF($CC20="P",BT20,(BT20+AX20)/2)</f>
        <v>0</v>
      </c>
      <c r="PQ20" s="22">
        <f>IF($CC20="P",BU20,(BU20+AY20)/2)</f>
        <v>9.15</v>
      </c>
      <c r="PR20" s="22">
        <f>IF($CC20="P",BV20,(BV20+AZ20)/2)</f>
        <v>3.4</v>
      </c>
      <c r="PS20" s="22">
        <f>IF($CC20="P",BW20,(BW20+BA20)/2)</f>
        <v>0.4</v>
      </c>
      <c r="PT20" s="22">
        <f>IF($CC20="P",BX20,(BX20+BB20)/2)</f>
        <v>0</v>
      </c>
      <c r="PU20" s="22">
        <f>IF($CC20="P",BY20,(BY20+BC20)/2)</f>
        <v>9.1</v>
      </c>
      <c r="PV20" s="22">
        <f>IF($CC20="P",BZ20,(BZ20+BD20)/2)</f>
        <v>3.2</v>
      </c>
      <c r="PW20" s="22">
        <f>IF($CC20="P",CA20,(CA20+BE20)/2)</f>
        <v>0.1</v>
      </c>
      <c r="PX20" s="22">
        <f>IF($CC20="P",CB20,(CB20+BF20)/2)</f>
        <v>0</v>
      </c>
      <c r="PY20" s="27" t="s">
        <v>46</v>
      </c>
      <c r="PZ20" s="40">
        <f>IF(SUM(PJ20,PN20)&gt;0,SUM(PJ20,PN20),"")</f>
        <v>6.6</v>
      </c>
      <c r="QA20" s="40">
        <f>IF(SUM(PI20:PJ20,PL20:PN20,PP20)-PK20-PO20&gt;0,SUM(PI20:PJ20,PL20:PN20,PP20)-PK20-PO20,"")</f>
        <v>23.100000000000005</v>
      </c>
      <c r="QB20" s="40">
        <f>IF(SUM(PR20,PV20)&gt;0,SUM(PR20,PV20),"")</f>
        <v>6.6</v>
      </c>
      <c r="QC20" s="40">
        <f>IF(SUM(PQ20:PR20,PT20:PV20,PX20)-SUM(PS20,PW20)&gt;0,SUM(PQ20:PR20,PT20:PV20,PX20)-SUM(PS20,PW20),"")</f>
        <v>24.349999999999998</v>
      </c>
      <c r="QD20" s="40">
        <f>IF(SUM(QA20,QC20)&gt;0,SUM(QA20,QC20),"")</f>
        <v>47.45</v>
      </c>
    </row>
    <row r="21" spans="1:446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87</v>
      </c>
      <c r="D21" s="4" t="s">
        <v>4</v>
      </c>
      <c r="E21" s="4">
        <v>2004</v>
      </c>
      <c r="F21" s="9">
        <f>SUM(L21:R21)+SUM(L21:O21)*0.0000001+SUM(L21)*0.0000000000001</f>
        <v>123.95000963500483</v>
      </c>
      <c r="G21" s="64"/>
      <c r="H21" s="3" t="str">
        <f>IF(OR(AND(AL21&gt;=AP$38,AM21&gt;=AP$42,AL21&lt;&gt;"",AK21=""),AND(AN21&gt;=AP$38,AO21&gt;=AP$42,AN21&lt;&gt;"",AK21=""),AND(BH21&gt;=BL$38,BI21&gt;=BL$42,BH21&lt;&gt;"",BG21=""),AND(BJ21&gt;=BL$38,BK21&gt;=BL$42,BJ21&lt;&gt;"",BG21=""),AND(CD21&gt;=CH$38,CE21&gt;=CH$42,CD21&lt;&gt;"",CC21=""),AND(CF21&gt;=CH$38,CG21&gt;=CH$42,CF21&lt;&gt;""),AND(DE21&gt;=DL$38,DF21&gt;=DL$42,DE21&lt;&gt;""),AND(DJ21&gt;=DL$38,DK21&gt;=DL$42,DJ21&lt;&gt;""),AND(EG21&gt;=EN$38,EH21&gt;=EN$42,EG21&lt;&gt;""),AND(EL21&gt;=EN$38,EM21&gt;=EN$42,EL21&lt;&gt;""),AND(FI21&gt;=FP$38,FJ21&gt;=FP$42,FI21&lt;&gt;""),AND(FN21&gt;=FP$38,FO21&gt;=FP$42,FN21&lt;&gt;""),AND(GK21&gt;=GR$38,GL21&gt;=GR$42,GK21&lt;&gt;""),AND(GP21&gt;=GR$38,GQ21&gt;=GR$42,GP21&lt;&gt;""),AND(HM21&gt;=HT$38,HN21&gt;=HT$42,HM21&lt;&gt;""),AND(HR21&gt;=HT$38,HS21&gt;=HT$42,HR21&lt;&gt;""),AND(IO21&gt;=IV$38,IP21&gt;=IV$42,IO21&lt;&gt;""),AND(IT21&gt;=IV$38,IU21&gt;=IV$42,IT21&lt;&gt;""),AND(JQ21&gt;=JX$38,JR21&gt;=JX$42,JQ21&lt;&gt;""),AND(JV21&gt;=JX$38,JW21&gt;=JX$42,JV21&lt;&gt;""),AND(KS21&gt;=KZ$38,KT21&gt;=KZ$42,KS21&lt;&gt;""),AND(KX21&gt;=KZ$38,KY21&gt;=KZ$42,KX21&lt;&gt;""),AND(LU21&gt;=MB$38,LV21&gt;=MB$42,LU21&lt;&gt;""),AND(LZ21&gt;=MB$38,MA21&gt;=MB$42,LZ21&lt;&gt;""),AND(MW21&gt;=ND$38,MX21&gt;=ND$42,MW21&lt;&gt;""),AND(NB21&gt;=ND$38,NC21&gt;=ND$42,NB21&lt;&gt;""),AND(NY21&gt;=OF$38,NZ21&gt;=OF$42,NY21&lt;&gt;""),AND(OD21&gt;=OF$38,OE21&gt;=OF$42,OD21&lt;&gt;""),AND(PA21&gt;=PH$38,PB21&gt;=PH$42,PA21&lt;&gt;""),AND(PF21&gt;=PH$38,PG21&gt;=PH$42,PF21&lt;&gt;"")),"P","")</f>
        <v/>
      </c>
      <c r="I21" s="3" t="str">
        <f>IF(OR(AND(AM21&gt;=AP$42,AM21&lt;&gt;"",AK21=""),AND(AO21&gt;=AP$42,AO21&lt;&gt;"",AK21=""),AND(BI21&gt;=BL$42,BI21&lt;&gt;"",BG21=""),AND(BK21&gt;=BL$42,BK21&lt;&gt;"",BG21=""),AND(CE21&gt;=CH$42,CE21&lt;&gt;"",CC21=""),AND(CG21&gt;=CH$42,CG21&lt;&gt;"",CC21=""),AND(DF21&gt;=DL$42,DF21&lt;&gt;""),AND(DK21&gt;=DL$42,DK21&lt;&gt;""),AND(EH21&gt;=EN$42,EH21&lt;&gt;""),AND(EM21&gt;=EN$42,EM21&lt;&gt;""),AND(FJ21&gt;=FP$42,FJ21&lt;&gt;""),AND(FO21&gt;=FP$42,FO21&lt;&gt;""),AND(GL21&gt;=GR$42,GL21&lt;&gt;""),AND(GQ21&gt;=GR$42,GQ21&lt;&gt;""),AND(HN21&gt;=HT$42,HN21&lt;&gt;""),AND(HS21&gt;=HT$42,HS21&lt;&gt;""),AND(IP21&gt;=IV$42,IP21&lt;&gt;""),AND(IU21&gt;=IV$42,IU21&lt;&gt;""),AND(JR21&gt;=JX$42,JR21&lt;&gt;""),AND(JW21&gt;=JX$42,JW21&lt;&gt;""),AND(KT21&gt;=KZ$42,KT21&lt;&gt;""),AND(KY21&gt;=KZ$42,KY21&lt;&gt;""),AND(LV21&gt;=MB$42,LV21&lt;&gt;""),AND(MA21&gt;=MB$42,MA21&lt;&gt;""),AND(MX21&gt;=ND$42,MX21&lt;&gt;""),AND(NC21&gt;=ND$42,NC21&lt;&gt;""),AND(NZ21&gt;=OF$42,NZ21&lt;&gt;""),AND(OE21&gt;=OF$42,OE21&lt;&gt;""),AND(PB21&gt;=PH$42,PB21&lt;&gt;""),AND(PG21&gt;=PH$42,PG21&lt;&gt;"")),"P","")</f>
        <v/>
      </c>
      <c r="J21" s="36" t="str">
        <f>IF(AND(I21="P",H21=""),"No DD",IF(OR(AND(AL21&gt;=AP$26,AM21&gt;=AP$30,AL21&lt;&gt;"",AK21=""),AND(BH21&gt;=BL$26,BI21&gt;=BL$30,BH21&lt;&gt;"",BG21=""),AND(CD21&gt;=CH$26,CE21&gt;=CH$30,CD21&lt;&gt;"",CC21=""),AND(DH21&gt;=DL$26,DI21&gt;=DL$30,DH21&lt;&gt;""),AND(EJ21&gt;=EN$26,EK21&gt;=EN$30,EJ21&lt;&gt;""),AND(FL21&gt;=FP$26,FM21&gt;=FP$30,FL21&lt;&gt;""),AND(GN21&gt;=GR$26,GO21&gt;=GR$30,GN21&lt;&gt;""),AND(HP21&gt;=HT$26,HQ21&gt;=HT$30,HP21&lt;&gt;""),AND(IR21&gt;=IV$26,IS21&gt;=IV$30,IR21&lt;&gt;""),AND(JT21&gt;=JX$26,JU21&gt;=JX$30,JT21&lt;&gt;""),AND(KV21&gt;=KZ$26,KW21&gt;=KZ$30,KV21&lt;&gt;""),AND(LX21&gt;=MB$26,LY21&gt;=MB$30,LX21&lt;&gt;""),AND(MZ21&gt;=ND$26,NA21&gt;=ND$30,MZ21&lt;&gt;""),AND(OB21&gt;=OF$26,OC21&gt;=OF$30,OB21&lt;&gt;""),AND(PD21&gt;=PH$26,PE21&gt;=PH$30,PD21&lt;&gt;"")),"Merit",IF(OR(AND(AL21&gt;=AP$25,AM21&gt;=AP$29,AL21&lt;&gt;"",AK21=""),AND(BH21&gt;=BL$25,BI21&gt;=BL$29,BH21&lt;&gt;"",BG21=""),AND(CD21&gt;=CH$25,CE21&gt;=CH$29,CD21&lt;&gt;"",CC21=""),AND(DH21&gt;=DL$25,DI21&gt;=DL$29,DH21&lt;&gt;""),AND(EJ21&gt;=EN$25,EK21&gt;=EN$29,EJ21&lt;&gt;""),AND(FL21&gt;=FP$25,FM21&gt;=FP$29,FL21&lt;&gt;""),AND(GN21&gt;=GR$25,GO21&gt;=GR$29,GN21&lt;&gt;""),AND(HP21&gt;=HT$25,HQ21&gt;=HT$29,HP21&lt;&gt;""),AND(IR21&gt;=IV$25,IS21&gt;=IV$29,IR21&lt;&gt;""),AND(JT21&gt;=JX$25,JU21&gt;=JX$29,JT21&lt;&gt;""),AND(KV21&gt;=KZ$25,KW21&gt;=KZ$29,KV21&lt;&gt;""),AND(LX21&gt;=MB$25,LY21&gt;=MB$29,LX21&lt;&gt;""),AND(MZ21&gt;=ND$25,NA21&gt;=ND$29,MZ21&lt;&gt;""),AND(OB21&gt;=OF$25,OC21&gt;=OF$29,OB21&lt;&gt;""),AND(PD21&gt;=PH$25,PE21&gt;=PH$29,PD21&lt;&gt;"")),"Excellence",IF(K21="P","Worlds Team",IF(H21="P","National Team","")))))</f>
        <v/>
      </c>
      <c r="K21" s="3" t="str">
        <f>IF(OR(AND(AL21&gt;=AP$24,AM21&gt;=AP$28,AL21&lt;&gt;"",AK21=""),AND(BH21&gt;=BL$24,BI21&gt;=BL$28,BH21&lt;&gt;"",BG21=""),AND(CD21&gt;=CH$24,CE21&gt;=CH$28,CD21&lt;&gt;"",CC21=""),AND(DH21&gt;=DL$24,DI21&gt;=DL$28,DH21&lt;&gt;""),AND(EJ21&gt;=EN$24,EK21&gt;=EN$28,EJ21&lt;&gt;""),AND(FL21&gt;=FP$24,FM21&gt;=FP$28,FL21&lt;&gt;""),AND(GN21&gt;=GR$24,GO21&gt;=GR$28,GN21&lt;&gt;""),AND(HP21&gt;=HT$24,HQ21&gt;=HT$28,HP21&lt;&gt;""),AND(IR21&gt;=IV$24,IS21&gt;=IV$28,IR21&lt;&gt;""),AND(JT21&gt;=JX$24,JU21&gt;=JX$28,JT21&lt;&gt;""),AND(KV21&gt;=KZ$24,KW21&gt;=KZ$28,KV21&lt;&gt;""),AND(LX21&gt;=MB$24,LY21&gt;=MB$28,LX21&lt;&gt;""),AND(MZ21&gt;=ND$24,NA21&gt;=ND$28,MZ21&lt;&gt;""),AND(OB21&gt;=OF$24,OC21&gt;=OF$28,OB21&lt;&gt;""),AND(PD21&gt;=PH$24,PE21&gt;=PH$28,PD21&lt;&gt;"")),"P","")</f>
        <v/>
      </c>
      <c r="L21" s="8">
        <f>IF(COUNT(AM21,BI21,CE21)&gt;0,LARGE((AM21,BI21,CE21),1),0)</f>
        <v>48.2</v>
      </c>
      <c r="M21" s="8" t="str">
        <f>IF(L21=0,"",IF(L21=CE21,$BM$1,IF(L21=BI21,$AQ$1,IF(L21=AM21,$U$1,""))))</f>
        <v>2025 Elite Canada</v>
      </c>
      <c r="N21" s="8">
        <f>IF(COUNT(AM21,BI21,CE21)&gt;1,LARGE((AM21,BI21,CE21),2),0)</f>
        <v>48.150000000000006</v>
      </c>
      <c r="O21" s="8" t="str">
        <f>IF(N21=0,"",IF(AND(N21=L21,N21=AM21,N21=BI21),$U$1,IF(AND(N21=L21,N21=AM21,N21=CE21),$U$1,IF(AND(N21=L21,N21=BI21,N21=CE21),$AQ$1,IF(N21=CE21,$BM$1,IF(N21=BI21,$AQ$1,IF(N21=AM21,$U$1,"")))))))</f>
        <v>2025 3rd Domestic Trial</v>
      </c>
      <c r="P21" s="8">
        <f>IF(MAX(AO21,BK21,CG21)&gt;0,MAX(AO21,BK21,CG21),0)</f>
        <v>27.6</v>
      </c>
      <c r="Q21" s="8" t="str">
        <f>IF(P21=0,"",IF(P21=CG21,$BM$1,IF(P21=BK21,$AQ$1,IF(P21=AO21,$U$1,""))))</f>
        <v>2025 3rd Domestic Trial</v>
      </c>
      <c r="R21" s="8" t="str">
        <f>IF(MAX(CI21:CJ21)&gt;0,MAX(CI21:CJ21),"")</f>
        <v/>
      </c>
      <c r="S21" s="11" t="str">
        <f>IF(R21="","",IF(R21=CI21,"("&amp;CI$2&amp;")",IF(R21=CJ21,"("&amp;CJ$2&amp;")")))</f>
        <v/>
      </c>
      <c r="T21" s="8" t="str">
        <f>IF(R21="","",IF(R21=CI21,IF(R21+IF(N21="",0,N21)=PB21,$OG$1,IF(R21+IF(N21="",0,N21)=NZ21,$NE$1,IF(R21+IF(N21="",0,N21)=MX21,$MC$1,IF(R21+IF(N21="",0,N21)=LV21,$LA$1,IF(R21+IF(N21="",0,N21)=KT21,$JY$1,IF(R21+IF(N21="",0,N21)=JR21,$IW$1,IF(R21+IF(N21="",0,N21)=IP21,$HU$1,IF(R21+IF(N21="",0,N21)=HN21,$GS$1,IF(R21+IF(N21="",0,N21)=GL21,$FQ$1,IF(R21+IF(N21="",0,N21)=FJ21,$EO$1,IF(R21+IF(N21="",0,N21)=EH21,$DM$1,IF(R21+IF(N21="",0,N21)=DF21,$CK$1)))))))))))),IF(R21=CJ21,IF(R21+IF(P21="",0,P21)=PG21,$OG$1,IF(R21+IF(P21="",0,P21)=OE21,$NE$1,IF(R21+IF(P21="",0,P21)=NC21,$MC$1,IF(R21+IF(P21="",0,P21)=MA21,$LA$1,IF(R21+IF(P21="",0,P21)=KY21,$JY$1,IF(R21+IF(P21="",0,P21)=JW21,$IW$1,IF(R21+IF(P21="",0,P21)=IU21,$HU$1,IF(R21+IF(P21="",0,P21)=HS21,$GS$1,IF(R21+IF(P21="",0,P21)=GQ21,$FQ$1,IF(R21+IF(P21="",0,P21)=FO21,$EO$1,IF(R21+IF(P21="",0,P21)=EM21,$DM$1,IF(R21+IF(P21="",0,P21)=DK21,$CK$1)))))))))))))))</f>
        <v/>
      </c>
      <c r="U21" s="19">
        <v>15.3</v>
      </c>
      <c r="V21" s="19">
        <v>4</v>
      </c>
      <c r="W21" s="19">
        <v>0</v>
      </c>
      <c r="X21" s="19">
        <v>0</v>
      </c>
      <c r="Y21" s="19">
        <v>18.3</v>
      </c>
      <c r="Z21" s="19">
        <v>10</v>
      </c>
      <c r="AA21" s="19">
        <v>0</v>
      </c>
      <c r="AB21" s="19">
        <v>0.6</v>
      </c>
      <c r="AC21" s="19"/>
      <c r="AD21" s="19"/>
      <c r="AE21" s="19"/>
      <c r="AF21" s="19"/>
      <c r="AG21" s="19"/>
      <c r="AH21" s="19"/>
      <c r="AI21" s="19"/>
      <c r="AJ21" s="19"/>
      <c r="AK21" s="27"/>
      <c r="AL21" s="40">
        <f>IF(SUM(V21,Z21)&gt;0,SUM(V21,Z21),"")</f>
        <v>14</v>
      </c>
      <c r="AM21" s="40">
        <f>IF(SUM(U21:V21,X21:Z21,AB21)-W21-AA21&gt;0,SUM(U21:V21,X21:Z21,AB21)-W21-AA21,"")</f>
        <v>48.2</v>
      </c>
      <c r="AN21" s="40" t="str">
        <f>IF(SUM(AD21,AH21)&gt;0,SUM(AD21,AH21),"")</f>
        <v/>
      </c>
      <c r="AO21" s="40" t="str">
        <f>IF(SUM(AC21:AD21,AF21:AH21,AJ21)-SUM(AE21,AI21)&gt;0,SUM(AC21:AD21,AF21:AH21,AJ21)-SUM(AE21,AI21),"")</f>
        <v/>
      </c>
      <c r="AP21" s="40">
        <f>IF(SUM(AM21,AO21)&gt;0,SUM(AM21,AO21),"")</f>
        <v>48.2</v>
      </c>
      <c r="AQ21" s="18">
        <v>16.25</v>
      </c>
      <c r="AR21" s="18">
        <v>3.8</v>
      </c>
      <c r="AS21" s="18">
        <v>0</v>
      </c>
      <c r="AT21" s="18">
        <v>0</v>
      </c>
      <c r="AU21" s="18">
        <v>18.450000000000003</v>
      </c>
      <c r="AV21" s="18">
        <v>9.6</v>
      </c>
      <c r="AW21" s="18">
        <v>0.4</v>
      </c>
      <c r="AX21" s="18">
        <v>0.44999999999999996</v>
      </c>
      <c r="AY21" s="18">
        <v>9.1999999999999993</v>
      </c>
      <c r="AZ21" s="18">
        <v>4.45</v>
      </c>
      <c r="BA21" s="18">
        <v>0.4</v>
      </c>
      <c r="BB21" s="18">
        <v>0.15</v>
      </c>
      <c r="BC21" s="18">
        <v>9.5500000000000007</v>
      </c>
      <c r="BD21" s="18">
        <v>4.5999999999999996</v>
      </c>
      <c r="BE21" s="18">
        <v>0.1</v>
      </c>
      <c r="BF21" s="18">
        <v>0.15</v>
      </c>
      <c r="BG21" s="28" t="s">
        <v>46</v>
      </c>
      <c r="BH21" s="11">
        <f>IF(SUM(AR21,AV21)&gt;0,SUM(AR21,AV21),"")</f>
        <v>13.399999999999999</v>
      </c>
      <c r="BI21" s="11">
        <f>IF(SUM(AQ21:AR21,AT21:AV21,AX21)-AS21-AW21&gt;0,SUM(AQ21:AR21,AT21:AV21,AX21)-AS21-AW21,"")</f>
        <v>48.150000000000006</v>
      </c>
      <c r="BJ21" s="11">
        <f>IF(SUM(AZ21,BD21)&gt;0,SUM(AZ21,BD21),"")</f>
        <v>9.0500000000000007</v>
      </c>
      <c r="BK21" s="11">
        <f>IF(SUM(AY21:AZ21,BB21:BD21,BF21)-SUM(BA21,BE21)&gt;0,SUM(AY21:AZ21,BB21:BD21,BF21)-SUM(BA21,BE21),"")</f>
        <v>27.6</v>
      </c>
      <c r="BL21" s="11">
        <f>IF(SUM(BI21,BK21)&gt;0,SUM(BI21,BK21),"")</f>
        <v>75.75</v>
      </c>
      <c r="BM21" s="19">
        <v>16.25</v>
      </c>
      <c r="BN21" s="19">
        <v>3.8</v>
      </c>
      <c r="BO21" s="19">
        <v>0</v>
      </c>
      <c r="BP21" s="19">
        <v>0</v>
      </c>
      <c r="BQ21" s="19">
        <v>18.450000000000003</v>
      </c>
      <c r="BR21" s="19">
        <v>9.6</v>
      </c>
      <c r="BS21" s="19">
        <v>0.4</v>
      </c>
      <c r="BT21" s="19">
        <v>0.44999999999999996</v>
      </c>
      <c r="BU21" s="19">
        <v>9.1999999999999993</v>
      </c>
      <c r="BV21" s="19">
        <v>4.45</v>
      </c>
      <c r="BW21" s="19">
        <v>0.4</v>
      </c>
      <c r="BX21" s="19">
        <v>0.15</v>
      </c>
      <c r="BY21" s="19">
        <v>9.5500000000000007</v>
      </c>
      <c r="BZ21" s="19">
        <v>4.5999999999999996</v>
      </c>
      <c r="CA21" s="19">
        <v>0.1</v>
      </c>
      <c r="CB21" s="19">
        <v>0.15</v>
      </c>
      <c r="CC21" s="27" t="s">
        <v>46</v>
      </c>
      <c r="CD21" s="40">
        <f>IF(SUM(BN21,BR21)&gt;0,SUM(BN21,BR21),"")</f>
        <v>13.399999999999999</v>
      </c>
      <c r="CE21" s="40">
        <f>IF(SUM(BM21:BN21,BP21:BR21,BT21)-BO21-BS21&gt;0,SUM(BM21:BN21,BP21:BR21,BT21)-BO21-BS21,"")</f>
        <v>48.150000000000006</v>
      </c>
      <c r="CF21" s="40">
        <f>IF(SUM(BV21,BZ21)&gt;0,SUM(BV21,BZ21),"")</f>
        <v>9.0500000000000007</v>
      </c>
      <c r="CG21" s="40">
        <f>IF(SUM(BU21:BV21,BX21:BZ21,CB21)-SUM(BW21,CA21)&gt;0,SUM(BU21:BV21,BX21:BZ21,CB21)-SUM(BW21,CA21),"")</f>
        <v>27.6</v>
      </c>
      <c r="CH21" s="40">
        <f>IF(SUM(CE21,CG21)&gt;0,SUM(CE21,CG21),"")</f>
        <v>75.75</v>
      </c>
      <c r="CI21" s="50" t="str">
        <f>IF(MAX(DF21,EH21,FJ21,GL21,HN21,IP21,JR21,KT21,LV21,MX21,NZ21,PB21)-IF(N21="",0,N21)&gt;0.001,MAX(DF21,EH21,FJ21,GL21,HN21,IP21,JR21,KT21,LV21,MX21,NZ21,PB21)-IF(N21="",0,N21),"")</f>
        <v/>
      </c>
      <c r="CJ21" s="50" t="str">
        <f>IF(MAX(DK21,EM21,FO21,GQ21,HS21,IU21,JW21,KY21,MA21,NC21,OE21,PG21)-IF(P21="",0,P21)&gt;0.001,MAX(DK21,EM21,FO21,GQ21,HS21,IU21,JW21,KY21,MA21,NC21,OE21,PG21)-IF(P21="",0,P21),"")</f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>IF(SUM(CL21,CP21)&gt;0,SUM(CL21,CP21),"")</f>
        <v/>
      </c>
      <c r="DF21" s="40" t="str">
        <f>IF(SUM(CK21:CL21,CN21:CP21,CR21)-CM21-CQ21&gt;0,SUM(CK21:CL21,CN21:CP21,CR21)-CM21-CQ21,"")</f>
        <v/>
      </c>
      <c r="DG21" s="40" t="str">
        <f>IF(SUM(CS21:CT21,CV21)-CU21&gt;0,SUM(CS21:CT21,CV21)-CU21,"")</f>
        <v/>
      </c>
      <c r="DH21" s="40" t="str">
        <f>IF(SUM(CL21,CP21,CT21)&gt;0,SUM(CL21,CP21,CT21),"")</f>
        <v/>
      </c>
      <c r="DI21" s="40" t="str">
        <f>IF(SUM(DF21,DG21)&gt;0,SUM(DF21,DG21),"")</f>
        <v/>
      </c>
      <c r="DJ21" s="40" t="str">
        <f>IF(SUM(CX21,DB21)&gt;0,SUM(CX21,DB21),"")</f>
        <v/>
      </c>
      <c r="DK21" s="40" t="str">
        <f>IF(SUM(CW21:CX21,CZ21:DB21,DD21)-SUM(CY21,DC21)&gt;0,SUM(CW21:CX21,CZ21:DB21,DD21)-SUM(CY21,DC21),"")</f>
        <v/>
      </c>
      <c r="DL21" s="40" t="str">
        <f>IF(SUM(DF21,DG21,DK21)&gt;0,SUM(DF21,DG21,DK21),"")</f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>IF(SUM(DN21,DR21)&gt;0,SUM(DN21,DR21),"")</f>
        <v/>
      </c>
      <c r="EH21" s="11" t="str">
        <f>IF(SUM(DM21:DN21,DP21:DR21,DT21)-DO21-DS21&gt;0,SUM(DM21:DN21,DP21:DR21,DT21)-DO21-DS21,"")</f>
        <v/>
      </c>
      <c r="EI21" s="11" t="str">
        <f>IF(SUM(DU21:DV21,DX21)-DW21&gt;0,SUM(DU21:DV21,DX21)-DW21,"")</f>
        <v/>
      </c>
      <c r="EJ21" s="11" t="str">
        <f>IF(SUM(DN21,DR21,DV21)&gt;0,SUM(DN21,DR21,DV21),"")</f>
        <v/>
      </c>
      <c r="EK21" s="11" t="str">
        <f>IF(SUM(EH21,EI21)&gt;0,SUM(EH21,EI21),"")</f>
        <v/>
      </c>
      <c r="EL21" s="11" t="str">
        <f>IF(SUM(DZ21,ED21)&gt;0,SUM(DZ21,ED21),"")</f>
        <v/>
      </c>
      <c r="EM21" s="11" t="str">
        <f>IF(SUM(DY21:DZ21,EB21:ED21,EF21)-SUM(EA21,EE21)&gt;0,SUM(DY21:DZ21,EB21:ED21,EF21)-SUM(EA21,EE21),"")</f>
        <v/>
      </c>
      <c r="EN21" s="11" t="str">
        <f>IF(SUM(EH21,EI21,EM21)&gt;0,SUM(EH21,EI21,EM21),"")</f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>IF(SUM(EP21,ET21)&gt;0,SUM(EP21,ET21),"")</f>
        <v/>
      </c>
      <c r="FJ21" s="40" t="str">
        <f>IF(SUM(EO21:EP21,ER21:ET21,EV21)-EQ21-EU21&gt;0,SUM(EO21:EP21,ER21:ET21,EV21)-EQ21-EU21,"")</f>
        <v/>
      </c>
      <c r="FK21" s="40" t="str">
        <f>IF(SUM(EW21:EX21,EZ21)-EY21&gt;0,SUM(EW21:EX21,EZ21)-EY21,"")</f>
        <v/>
      </c>
      <c r="FL21" s="40" t="str">
        <f>IF(SUM(EP21,ET21,EX21)&gt;0,SUM(EP21,ET21,EX21),"")</f>
        <v/>
      </c>
      <c r="FM21" s="40" t="str">
        <f>IF(SUM(FJ21,FK21)&gt;0,SUM(FJ21,FK21),"")</f>
        <v/>
      </c>
      <c r="FN21" s="40" t="str">
        <f>IF(SUM(FB21,FF21)&gt;0,SUM(FB21,FF21),"")</f>
        <v/>
      </c>
      <c r="FO21" s="40" t="str">
        <f>IF(SUM(FA21:FB21,FD21:FF21,FH21)-SUM(FC21,FG21)&gt;0,SUM(FA21:FB21,FD21:FF21,FH21)-SUM(FC21,FG21),"")</f>
        <v/>
      </c>
      <c r="FP21" s="40" t="str">
        <f>IF(SUM(FJ21,FK21,FO21)&gt;0,SUM(FJ21,FK21,FO21),"")</f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>IF(SUM(FR21,FV21)&gt;0,SUM(FR21,FV21),"")</f>
        <v/>
      </c>
      <c r="GL21" s="11" t="str">
        <f>IF(SUM(FQ21:FR21,FT21:FV21,FX21)-FS21-FW21&gt;0,SUM(FQ21:FR21,FT21:FV21,FX21)-FS21-FW21,"")</f>
        <v/>
      </c>
      <c r="GM21" s="11" t="str">
        <f>IF(SUM(FY21:FZ21,GB21)-GA21&gt;0,SUM(FY21:FZ21,GB21)-GA21,"")</f>
        <v/>
      </c>
      <c r="GN21" s="11" t="str">
        <f>IF(SUM(FR21,FV21,FZ21)&gt;0,SUM(FR21,FV21,FZ21),"")</f>
        <v/>
      </c>
      <c r="GO21" s="11" t="str">
        <f>IF(SUM(GL21,GM21)&gt;0,SUM(GL21,GM21),"")</f>
        <v/>
      </c>
      <c r="GP21" s="11" t="str">
        <f>IF(SUM(GD21,GH21)&gt;0,SUM(GD21,GH21),"")</f>
        <v/>
      </c>
      <c r="GQ21" s="11" t="str">
        <f>IF(SUM(GC21:GD21,GF21:GH21,GJ21)-SUM(GE21,GI21)&gt;0,SUM(GC21:GD21,GF21:GH21,GJ21)-SUM(GE21,GI21),"")</f>
        <v/>
      </c>
      <c r="GR21" s="11" t="str">
        <f>IF(SUM(GL21,GM21,GQ21)&gt;0,SUM(GL21,GM21,GQ21),"")</f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>IF(SUM(GT21,GX21)&gt;0,SUM(GT21,GX21),"")</f>
        <v/>
      </c>
      <c r="HN21" s="40" t="str">
        <f>IF(SUM(GS21:GT21,GV21:GX21,GZ21)-GU21-GY21&gt;0,SUM(GS21:GT21,GV21:GX21,GZ21)-GU21-GY21,"")</f>
        <v/>
      </c>
      <c r="HO21" s="40" t="str">
        <f>IF(SUM(HA21:HB21,HD21)-HC21&gt;0,SUM(HA21:HB21,HD21)-HC21,"")</f>
        <v/>
      </c>
      <c r="HP21" s="40" t="str">
        <f>IF(SUM(GT21,GX21,HB21)&gt;0,SUM(GT21,GX21,HB21),"")</f>
        <v/>
      </c>
      <c r="HQ21" s="40" t="str">
        <f>IF(SUM(HN21,HO21)&gt;0,SUM(HN21,HO21),"")</f>
        <v/>
      </c>
      <c r="HR21" s="40" t="str">
        <f>IF(SUM(HF21,HJ21)&gt;0,SUM(HF21,HJ21),"")</f>
        <v/>
      </c>
      <c r="HS21" s="40" t="str">
        <f>IF(SUM(HE21:HF21,HH21:HJ21,HL21)-SUM(HG21,HK21)&gt;0,SUM(HE21:HF21,HH21:HJ21,HL21)-SUM(HG21,HK21),"")</f>
        <v/>
      </c>
      <c r="HT21" s="40" t="str">
        <f>IF(SUM(HN21,HO21,HS21)&gt;0,SUM(HN21,HO21,HS21),"")</f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>IF(SUM(HV21,HZ21)&gt;0,SUM(HV21,HZ21),"")</f>
        <v/>
      </c>
      <c r="IP21" s="11" t="str">
        <f>IF(SUM(HU21:HV21,HX21:HZ21,IB21)-HW21-IA21&gt;0,SUM(HU21:HV21,HX21:HZ21,IB21)-HW21-IA21,"")</f>
        <v/>
      </c>
      <c r="IQ21" s="11" t="str">
        <f>IF(SUM(IC21:ID21,IF21)-IE21&gt;0,SUM(IC21:ID21,IF21)-IE21,"")</f>
        <v/>
      </c>
      <c r="IR21" s="11" t="str">
        <f>IF(SUM(HV21,HZ21,ID21)&gt;0,SUM(HV21,HZ21,ID21),"")</f>
        <v/>
      </c>
      <c r="IS21" s="11" t="str">
        <f>IF(SUM(IP21,IQ21)&gt;0,SUM(IP21,IQ21),"")</f>
        <v/>
      </c>
      <c r="IT21" s="11" t="str">
        <f>IF(SUM(IH21,IL21)&gt;0,SUM(IH21,IL21),"")</f>
        <v/>
      </c>
      <c r="IU21" s="11" t="str">
        <f>IF(SUM(IG21:IH21,IJ21:IL21,IN21)-SUM(II21,IM21)&gt;0,SUM(IG21:IH21,IJ21:IL21,IN21)-SUM(II21,IM21),"")</f>
        <v/>
      </c>
      <c r="IV21" s="11" t="str">
        <f>IF(SUM(IP21,IQ21,IU21)&gt;0,SUM(IP21,IQ21,IU21),"")</f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>IF(SUM(IX21,JB21)&gt;0,SUM(IX21,JB21),"")</f>
        <v/>
      </c>
      <c r="JR21" s="40" t="str">
        <f>IF(SUM(IW21:IX21,IZ21:JB21,JD21)-IY21-JC21&gt;0,SUM(IW21:IX21,IZ21:JB21,JD21)-IY21-JC21,"")</f>
        <v/>
      </c>
      <c r="JS21" s="40" t="str">
        <f>IF(SUM(JE21:JF21,JH21)-JG21&gt;0,SUM(JE21:JF21,JH21)-JG21,"")</f>
        <v/>
      </c>
      <c r="JT21" s="40" t="str">
        <f>IF(SUM(IX21,JB21,JF21)&gt;0,SUM(IX21,JB21,JF21),"")</f>
        <v/>
      </c>
      <c r="JU21" s="40" t="str">
        <f>IF(SUM(JR21,JS21)&gt;0,SUM(JR21,JS21),"")</f>
        <v/>
      </c>
      <c r="JV21" s="40" t="str">
        <f>IF(SUM(JJ21,JN21)&gt;0,SUM(JJ21,JN21),"")</f>
        <v/>
      </c>
      <c r="JW21" s="40" t="str">
        <f>IF(SUM(JI21:JJ21,JL21:JN21,JP21)-SUM(JK21,JO21)&gt;0,SUM(JI21:JJ21,JL21:JN21,JP21)-SUM(JK21,JO21),"")</f>
        <v/>
      </c>
      <c r="JX21" s="40" t="str">
        <f>IF(SUM(JR21,JS21,JW21)&gt;0,SUM(JR21,JS21,JW21),"")</f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>IF(SUM(JZ21,KD21)&gt;0,SUM(JZ21,KD21),"")</f>
        <v/>
      </c>
      <c r="KT21" s="11" t="str">
        <f>IF(SUM(JY21:JZ21,KB21:KD21,KF21)-KA21-KE21&gt;0,SUM(JY21:JZ21,KB21:KD21,KF21)-KA21-KE21,"")</f>
        <v/>
      </c>
      <c r="KU21" s="11" t="str">
        <f>IF(SUM(KG21:KH21,KJ21)-KI21&gt;0,SUM(KG21:KH21,KJ21)-KI21,"")</f>
        <v/>
      </c>
      <c r="KV21" s="11" t="str">
        <f>IF(SUM(JZ21,KD21,KH21)&gt;0,SUM(JZ21,KD21,KH21),"")</f>
        <v/>
      </c>
      <c r="KW21" s="11" t="str">
        <f>IF(SUM(KT21,KU21)&gt;0,SUM(KT21,KU21),"")</f>
        <v/>
      </c>
      <c r="KX21" s="11" t="str">
        <f>IF(SUM(KL21,KP21)&gt;0,SUM(KL21,KP21),"")</f>
        <v/>
      </c>
      <c r="KY21" s="11" t="str">
        <f>IF(SUM(KK21:KL21,KN21:KP21,KR21)-SUM(KM21,KQ21)&gt;0,SUM(KK21:KL21,KN21:KP21,KR21)-SUM(KM21,KQ21),"")</f>
        <v/>
      </c>
      <c r="KZ21" s="11" t="str">
        <f>IF(SUM(KT21,KU21,KY21)&gt;0,SUM(KT21,KU21,KY21),"")</f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>IF(SUM(LB21,LF21)&gt;0,SUM(LB21,LF21),"")</f>
        <v/>
      </c>
      <c r="LV21" s="40" t="str">
        <f>IF(SUM(LA21:LB21,LD21:LF21,LH21)-LC21-LG21&gt;0,SUM(LA21:LB21,LD21:LF21,LH21)-LC21-LG21,"")</f>
        <v/>
      </c>
      <c r="LW21" s="40" t="str">
        <f>IF(SUM(LI21:LJ21,LL21)-LK21&gt;0,SUM(LI21:LJ21,LL21)-LK21,"")</f>
        <v/>
      </c>
      <c r="LX21" s="40" t="str">
        <f>IF(SUM(LB21,LF21,LJ21)&gt;0,SUM(LB21,LF21,LJ21),"")</f>
        <v/>
      </c>
      <c r="LY21" s="40" t="str">
        <f>IF(SUM(LV21,LW21)&gt;0,SUM(LV21,LW21),"")</f>
        <v/>
      </c>
      <c r="LZ21" s="40" t="str">
        <f>IF(SUM(LN21,LR21)&gt;0,SUM(LN21,LR21),"")</f>
        <v/>
      </c>
      <c r="MA21" s="40" t="str">
        <f>IF(SUM(LM21:LN21,LP21:LR21,LT21)-SUM(LO21,LS21)&gt;0,SUM(LM21:LN21,LP21:LR21,LT21)-SUM(LO21,LS21),"")</f>
        <v/>
      </c>
      <c r="MB21" s="40" t="str">
        <f>IF(SUM(LV21,LW21,MA21)&gt;0,SUM(LV21,LW21,MA21),"")</f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>IF(SUM(MD21,MH21)&gt;0,SUM(MD21,MH21),"")</f>
        <v/>
      </c>
      <c r="MX21" s="11" t="str">
        <f>IF(SUM(MC21:MD21,MF21:MH21,MJ21)-ME21-MI21&gt;0,SUM(MC21:MD21,MF21:MH21,MJ21)-ME21-MI21,"")</f>
        <v/>
      </c>
      <c r="MY21" s="11" t="str">
        <f>IF(SUM(MK21:ML21,MN21)-MM21&gt;0,SUM(MK21:ML21,MN21)-MM21,"")</f>
        <v/>
      </c>
      <c r="MZ21" s="11" t="str">
        <f>IF(SUM(MD21,MH21,ML21)&gt;0,SUM(MD21,MH21,ML21),"")</f>
        <v/>
      </c>
      <c r="NA21" s="11" t="str">
        <f>IF(SUM(MX21,MY21)&gt;0,SUM(MX21,MY21),"")</f>
        <v/>
      </c>
      <c r="NB21" s="11" t="str">
        <f>IF(SUM(MP21,MT21)&gt;0,SUM(MP21,MT21),"")</f>
        <v/>
      </c>
      <c r="NC21" s="11" t="str">
        <f>IF(SUM(MO21:MP21,MR21:MT21,MV21)-SUM(MQ21,MU21)&gt;0,SUM(MO21:MP21,MR21:MT21,MV21)-SUM(MQ21,MU21),"")</f>
        <v/>
      </c>
      <c r="ND21" s="11" t="str">
        <f>IF(SUM(MX21,MY21,NC21)&gt;0,SUM(MX21,MY21,NC21),"")</f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>IF(SUM(NF21,NJ21)&gt;0,SUM(NF21,NJ21),"")</f>
        <v/>
      </c>
      <c r="NZ21" s="40" t="str">
        <f>IF(SUM(NE21:NF21,NH21:NJ21,NL21)-NG21-NK21&gt;0,SUM(NE21:NF21,NH21:NJ21,NL21)-NG21-NK21,"")</f>
        <v/>
      </c>
      <c r="OA21" s="40" t="str">
        <f>IF(SUM(NM21:NN21,NP21)-NO21&gt;0,SUM(NM21:NN21,NP21)-NO21,"")</f>
        <v/>
      </c>
      <c r="OB21" s="40" t="str">
        <f>IF(SUM(NF21,NJ21,NN21)&gt;0,SUM(NF21,NJ21,NN21),"")</f>
        <v/>
      </c>
      <c r="OC21" s="40" t="str">
        <f>IF(SUM(NZ21,OA21)&gt;0,SUM(NZ21,OA21),"")</f>
        <v/>
      </c>
      <c r="OD21" s="40" t="str">
        <f>IF(SUM(NR21,NV21)&gt;0,SUM(NR21,NV21),"")</f>
        <v/>
      </c>
      <c r="OE21" s="40" t="str">
        <f>IF(SUM(NQ21:NR21,NT21:NV21,NX21)-SUM(NS21,NW21)&gt;0,SUM(NQ21:NR21,NT21:NV21,NX21)-SUM(NS21,NW21),"")</f>
        <v/>
      </c>
      <c r="OF21" s="40" t="str">
        <f>IF(SUM(NZ21,OA21,OE21)&gt;0,SUM(NZ21,OA21,OE21),"")</f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>IF(SUM(OH21,OL21)&gt;0,SUM(OH21,OL21),"")</f>
        <v/>
      </c>
      <c r="PB21" s="11" t="str">
        <f>IF(SUM(OG21:OH21,OJ21:OL21,ON21)-OI21-OM21&gt;0,SUM(OG21:OH21,OJ21:OL21,ON21)-OI21-OM21,"")</f>
        <v/>
      </c>
      <c r="PC21" s="11" t="str">
        <f>IF(SUM(OO21:OP21,OR21)-OQ21&gt;0,SUM(OO21:OP21,OR21)-OQ21,"")</f>
        <v/>
      </c>
      <c r="PD21" s="11" t="str">
        <f>IF(SUM(OH21,OL21,OP21)&gt;0,SUM(OH21,OL21,OP21),"")</f>
        <v/>
      </c>
      <c r="PE21" s="11" t="str">
        <f>IF(SUM(PB21,PC21)&gt;0,SUM(PB21,PC21),"")</f>
        <v/>
      </c>
      <c r="PF21" s="11" t="str">
        <f>IF(SUM(OT21,OX21)&gt;0,SUM(OT21,OX21),"")</f>
        <v/>
      </c>
      <c r="PG21" s="11" t="str">
        <f>IF(SUM(OS21:OT21,OV21:OX21,OZ21)-SUM(OU21,OY21)&gt;0,SUM(OS21:OT21,OV21:OX21,OZ21)-SUM(OU21,OY21),"")</f>
        <v/>
      </c>
      <c r="PH21" s="11" t="str">
        <f>IF(SUM(PB21,PC21,PG21)&gt;0,SUM(PB21,PC21,PG21),"")</f>
        <v/>
      </c>
      <c r="PI21" s="22">
        <f>IF($CC21="P",BM21,(BM21+AQ21)/2)</f>
        <v>16.25</v>
      </c>
      <c r="PJ21" s="22">
        <f>IF($CC21="P",BN21,(BN21+AR21)/2)</f>
        <v>3.8</v>
      </c>
      <c r="PK21" s="22">
        <f>IF($CC21="P",BO21,(BO21+AS21)/2)</f>
        <v>0</v>
      </c>
      <c r="PL21" s="22">
        <f>IF($CC21="P",BP21,(BP21+AT21)/2)</f>
        <v>0</v>
      </c>
      <c r="PM21" s="22">
        <f>IF($CC21="P",BQ21,(BQ21+AU21)/2)</f>
        <v>18.450000000000003</v>
      </c>
      <c r="PN21" s="22">
        <f>IF($CC21="P",BR21,(BR21+AV21)/2)</f>
        <v>9.6</v>
      </c>
      <c r="PO21" s="22">
        <f>IF($CC21="P",BS21,(BS21+AW21)/2)</f>
        <v>0.4</v>
      </c>
      <c r="PP21" s="22">
        <f>IF($CC21="P",BT21,(BT21+AX21)/2)</f>
        <v>0.44999999999999996</v>
      </c>
      <c r="PQ21" s="22">
        <f>IF($CC21="P",BU21,(BU21+AY21)/2)</f>
        <v>9.1999999999999993</v>
      </c>
      <c r="PR21" s="22">
        <f>IF($CC21="P",BV21,(BV21+AZ21)/2)</f>
        <v>4.45</v>
      </c>
      <c r="PS21" s="22">
        <f>IF($CC21="P",BW21,(BW21+BA21)/2)</f>
        <v>0.4</v>
      </c>
      <c r="PT21" s="22">
        <f>IF($CC21="P",BX21,(BX21+BB21)/2)</f>
        <v>0.15</v>
      </c>
      <c r="PU21" s="22">
        <f>IF($CC21="P",BY21,(BY21+BC21)/2)</f>
        <v>9.5500000000000007</v>
      </c>
      <c r="PV21" s="22">
        <f>IF($CC21="P",BZ21,(BZ21+BD21)/2)</f>
        <v>4.5999999999999996</v>
      </c>
      <c r="PW21" s="22">
        <f>IF($CC21="P",CA21,(CA21+BE21)/2)</f>
        <v>0.1</v>
      </c>
      <c r="PX21" s="22">
        <f>IF($CC21="P",CB21,(CB21+BF21)/2)</f>
        <v>0.15</v>
      </c>
      <c r="PY21" s="27" t="s">
        <v>46</v>
      </c>
      <c r="PZ21" s="40">
        <f>IF(SUM(PJ21,PN21)&gt;0,SUM(PJ21,PN21),"")</f>
        <v>13.399999999999999</v>
      </c>
      <c r="QA21" s="40">
        <f>IF(SUM(PI21:PJ21,PL21:PN21,PP21)-PK21-PO21&gt;0,SUM(PI21:PJ21,PL21:PN21,PP21)-PK21-PO21,"")</f>
        <v>48.150000000000006</v>
      </c>
      <c r="QB21" s="40">
        <f>IF(SUM(PR21,PV21)&gt;0,SUM(PR21,PV21),"")</f>
        <v>9.0500000000000007</v>
      </c>
      <c r="QC21" s="40">
        <f>IF(SUM(PQ21:PR21,PT21:PV21,PX21)-SUM(PS21,PW21)&gt;0,SUM(PQ21:PR21,PT21:PV21,PX21)-SUM(PS21,PW21),"")</f>
        <v>27.6</v>
      </c>
      <c r="QD21" s="40">
        <f>IF(SUM(QA21,QC21)&gt;0,SUM(QA21,QC21),"")</f>
        <v>75.75</v>
      </c>
    </row>
    <row r="22" spans="1:446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176</v>
      </c>
      <c r="D22" s="4" t="s">
        <v>5</v>
      </c>
      <c r="E22" s="4">
        <v>2008</v>
      </c>
      <c r="F22" s="9">
        <f>SUM(L22:R22)+SUM(L22:O22)*0.0000001+SUM(L22)*0.0000000000001</f>
        <v>115.90000766000439</v>
      </c>
      <c r="H22" s="3" t="str">
        <f>IF(OR(AND(AL22&gt;=AP$38,AM22&gt;=AP$42,AL22&lt;&gt;"",AK22=""),AND(AN22&gt;=AP$38,AO22&gt;=AP$42,AN22&lt;&gt;"",AK22=""),AND(BH22&gt;=BL$38,BI22&gt;=BL$42,BH22&lt;&gt;"",BG22=""),AND(BJ22&gt;=BL$38,BK22&gt;=BL$42,BJ22&lt;&gt;"",BG22=""),AND(CD22&gt;=CH$38,CE22&gt;=CH$42,CD22&lt;&gt;"",CC22=""),AND(CF22&gt;=CH$38,CG22&gt;=CH$42,CF22&lt;&gt;""),AND(DE22&gt;=DL$38,DF22&gt;=DL$42,DE22&lt;&gt;""),AND(DJ22&gt;=DL$38,DK22&gt;=DL$42,DJ22&lt;&gt;""),AND(EG22&gt;=EN$38,EH22&gt;=EN$42,EG22&lt;&gt;""),AND(EL22&gt;=EN$38,EM22&gt;=EN$42,EL22&lt;&gt;""),AND(FI22&gt;=FP$38,FJ22&gt;=FP$42,FI22&lt;&gt;""),AND(FN22&gt;=FP$38,FO22&gt;=FP$42,FN22&lt;&gt;""),AND(GK22&gt;=GR$38,GL22&gt;=GR$42,GK22&lt;&gt;""),AND(GP22&gt;=GR$38,GQ22&gt;=GR$42,GP22&lt;&gt;""),AND(HM22&gt;=HT$38,HN22&gt;=HT$42,HM22&lt;&gt;""),AND(HR22&gt;=HT$38,HS22&gt;=HT$42,HR22&lt;&gt;""),AND(IO22&gt;=IV$38,IP22&gt;=IV$42,IO22&lt;&gt;""),AND(IT22&gt;=IV$38,IU22&gt;=IV$42,IT22&lt;&gt;""),AND(JQ22&gt;=JX$38,JR22&gt;=JX$42,JQ22&lt;&gt;""),AND(JV22&gt;=JX$38,JW22&gt;=JX$42,JV22&lt;&gt;""),AND(KS22&gt;=KZ$38,KT22&gt;=KZ$42,KS22&lt;&gt;""),AND(KX22&gt;=KZ$38,KY22&gt;=KZ$42,KX22&lt;&gt;""),AND(LU22&gt;=MB$38,LV22&gt;=MB$42,LU22&lt;&gt;""),AND(LZ22&gt;=MB$38,MA22&gt;=MB$42,LZ22&lt;&gt;""),AND(MW22&gt;=ND$38,MX22&gt;=ND$42,MW22&lt;&gt;""),AND(NB22&gt;=ND$38,NC22&gt;=ND$42,NB22&lt;&gt;""),AND(NY22&gt;=OF$38,NZ22&gt;=OF$42,NY22&lt;&gt;""),AND(OD22&gt;=OF$38,OE22&gt;=OF$42,OD22&lt;&gt;""),AND(PA22&gt;=PH$38,PB22&gt;=PH$42,PA22&lt;&gt;""),AND(PF22&gt;=PH$38,PG22&gt;=PH$42,PF22&lt;&gt;"")),"P","")</f>
        <v/>
      </c>
      <c r="I22" s="3" t="str">
        <f>IF(OR(AND(AM22&gt;=AP$42,AM22&lt;&gt;"",AK22=""),AND(AO22&gt;=AP$42,AO22&lt;&gt;"",AK22=""),AND(BI22&gt;=BL$42,BI22&lt;&gt;"",BG22=""),AND(BK22&gt;=BL$42,BK22&lt;&gt;"",BG22=""),AND(CE22&gt;=CH$42,CE22&lt;&gt;"",CC22=""),AND(CG22&gt;=CH$42,CG22&lt;&gt;"",CC22=""),AND(DF22&gt;=DL$42,DF22&lt;&gt;""),AND(DK22&gt;=DL$42,DK22&lt;&gt;""),AND(EH22&gt;=EN$42,EH22&lt;&gt;""),AND(EM22&gt;=EN$42,EM22&lt;&gt;""),AND(FJ22&gt;=FP$42,FJ22&lt;&gt;""),AND(FO22&gt;=FP$42,FO22&lt;&gt;""),AND(GL22&gt;=GR$42,GL22&lt;&gt;""),AND(GQ22&gt;=GR$42,GQ22&lt;&gt;""),AND(HN22&gt;=HT$42,HN22&lt;&gt;""),AND(HS22&gt;=HT$42,HS22&lt;&gt;""),AND(IP22&gt;=IV$42,IP22&lt;&gt;""),AND(IU22&gt;=IV$42,IU22&lt;&gt;""),AND(JR22&gt;=JX$42,JR22&lt;&gt;""),AND(JW22&gt;=JX$42,JW22&lt;&gt;""),AND(KT22&gt;=KZ$42,KT22&lt;&gt;""),AND(KY22&gt;=KZ$42,KY22&lt;&gt;""),AND(LV22&gt;=MB$42,LV22&lt;&gt;""),AND(MA22&gt;=MB$42,MA22&lt;&gt;""),AND(MX22&gt;=ND$42,MX22&lt;&gt;""),AND(NC22&gt;=ND$42,NC22&lt;&gt;""),AND(NZ22&gt;=OF$42,NZ22&lt;&gt;""),AND(OE22&gt;=OF$42,OE22&lt;&gt;""),AND(PB22&gt;=PH$42,PB22&lt;&gt;""),AND(PG22&gt;=PH$42,PG22&lt;&gt;"")),"P","")</f>
        <v/>
      </c>
      <c r="J22" s="36" t="str">
        <f>IF(AND(I22="P",H22=""),"No DD",IF(OR(AND(AL22&gt;=AP$26,AM22&gt;=AP$30,AL22&lt;&gt;"",AK22=""),AND(BH22&gt;=BL$26,BI22&gt;=BL$30,BH22&lt;&gt;"",BG22=""),AND(CD22&gt;=CH$26,CE22&gt;=CH$30,CD22&lt;&gt;"",CC22=""),AND(DH22&gt;=DL$26,DI22&gt;=DL$30,DH22&lt;&gt;""),AND(EJ22&gt;=EN$26,EK22&gt;=EN$30,EJ22&lt;&gt;""),AND(FL22&gt;=FP$26,FM22&gt;=FP$30,FL22&lt;&gt;""),AND(GN22&gt;=GR$26,GO22&gt;=GR$30,GN22&lt;&gt;""),AND(HP22&gt;=HT$26,HQ22&gt;=HT$30,HP22&lt;&gt;""),AND(IR22&gt;=IV$26,IS22&gt;=IV$30,IR22&lt;&gt;""),AND(JT22&gt;=JX$26,JU22&gt;=JX$30,JT22&lt;&gt;""),AND(KV22&gt;=KZ$26,KW22&gt;=KZ$30,KV22&lt;&gt;""),AND(LX22&gt;=MB$26,LY22&gt;=MB$30,LX22&lt;&gt;""),AND(MZ22&gt;=ND$26,NA22&gt;=ND$30,MZ22&lt;&gt;""),AND(OB22&gt;=OF$26,OC22&gt;=OF$30,OB22&lt;&gt;""),AND(PD22&gt;=PH$26,PE22&gt;=PH$30,PD22&lt;&gt;"")),"Merit",IF(OR(AND(AL22&gt;=AP$25,AM22&gt;=AP$29,AL22&lt;&gt;"",AK22=""),AND(BH22&gt;=BL$25,BI22&gt;=BL$29,BH22&lt;&gt;"",BG22=""),AND(CD22&gt;=CH$25,CE22&gt;=CH$29,CD22&lt;&gt;"",CC22=""),AND(DH22&gt;=DL$25,DI22&gt;=DL$29,DH22&lt;&gt;""),AND(EJ22&gt;=EN$25,EK22&gt;=EN$29,EJ22&lt;&gt;""),AND(FL22&gt;=FP$25,FM22&gt;=FP$29,FL22&lt;&gt;""),AND(GN22&gt;=GR$25,GO22&gt;=GR$29,GN22&lt;&gt;""),AND(HP22&gt;=HT$25,HQ22&gt;=HT$29,HP22&lt;&gt;""),AND(IR22&gt;=IV$25,IS22&gt;=IV$29,IR22&lt;&gt;""),AND(JT22&gt;=JX$25,JU22&gt;=JX$29,JT22&lt;&gt;""),AND(KV22&gt;=KZ$25,KW22&gt;=KZ$29,KV22&lt;&gt;""),AND(LX22&gt;=MB$25,LY22&gt;=MB$29,LX22&lt;&gt;""),AND(MZ22&gt;=ND$25,NA22&gt;=ND$29,MZ22&lt;&gt;""),AND(OB22&gt;=OF$25,OC22&gt;=OF$29,OB22&lt;&gt;""),AND(PD22&gt;=PH$25,PE22&gt;=PH$29,PD22&lt;&gt;"")),"Excellence",IF(K22="P","Worlds Team",IF(H22="P","National Team","")))))</f>
        <v/>
      </c>
      <c r="K22" s="3" t="str">
        <f>IF(OR(AND(AL22&gt;=AP$24,AM22&gt;=AP$28,AL22&lt;&gt;"",AK22=""),AND(BH22&gt;=BL$24,BI22&gt;=BL$28,BH22&lt;&gt;"",BG22=""),AND(CD22&gt;=CH$24,CE22&gt;=CH$28,CD22&lt;&gt;"",CC22=""),AND(DH22&gt;=DL$24,DI22&gt;=DL$28,DH22&lt;&gt;""),AND(EJ22&gt;=EN$24,EK22&gt;=EN$28,EJ22&lt;&gt;""),AND(FL22&gt;=FP$24,FM22&gt;=FP$28,FL22&lt;&gt;""),AND(GN22&gt;=GR$24,GO22&gt;=GR$28,GN22&lt;&gt;""),AND(HP22&gt;=HT$24,HQ22&gt;=HT$28,HP22&lt;&gt;""),AND(IR22&gt;=IV$24,IS22&gt;=IV$28,IR22&lt;&gt;""),AND(JT22&gt;=JX$24,JU22&gt;=JX$28,JT22&lt;&gt;""),AND(KV22&gt;=KZ$24,KW22&gt;=KZ$28,KV22&lt;&gt;""),AND(LX22&gt;=MB$24,LY22&gt;=MB$28,LX22&lt;&gt;""),AND(MZ22&gt;=ND$24,NA22&gt;=ND$28,MZ22&lt;&gt;""),AND(OB22&gt;=OF$24,OC22&gt;=OF$28,OB22&lt;&gt;""),AND(PD22&gt;=PH$24,PE22&gt;=PH$28,PD22&lt;&gt;"")),"P","")</f>
        <v/>
      </c>
      <c r="L22" s="8">
        <f>IF(COUNT(AM22,BI22,CE22)&gt;0,LARGE((AM22,BI22,CE22),1),0)</f>
        <v>44.1</v>
      </c>
      <c r="M22" s="8" t="str">
        <f>IF(L22=0,"",IF(L22=CE22,$BM$1,IF(L22=BI22,$AQ$1,IF(L22=AM22,$U$1,""))))</f>
        <v>2025 Elite Canada</v>
      </c>
      <c r="N22" s="8">
        <f>IF(COUNT(AM22,BI22,CE22)&gt;1,LARGE((AM22,BI22,CE22),2),0)</f>
        <v>32.5</v>
      </c>
      <c r="O22" s="8" t="str">
        <f>IF(N22=0,"",IF(AND(N22=L22,N22=AM22,N22=BI22),$U$1,IF(AND(N22=L22,N22=AM22,N22=CE22),$U$1,IF(AND(N22=L22,N22=BI22,N22=CE22),$AQ$1,IF(N22=CE22,$BM$1,IF(N22=BI22,$AQ$1,IF(N22=AM22,$U$1,"")))))))</f>
        <v>2025 3rd Domestic Trial</v>
      </c>
      <c r="P22" s="8">
        <f>IF(MAX(AO22,BK22,CG22)&gt;0,MAX(AO22,BK22,CG22),0)</f>
        <v>39.299999999999997</v>
      </c>
      <c r="Q22" s="8" t="str">
        <f>IF(P22=0,"",IF(P22=CG22,$BM$1,IF(P22=BK22,$AQ$1,IF(P22=AO22,$U$1,""))))</f>
        <v>2025 Elite Canada</v>
      </c>
      <c r="R22" s="8" t="str">
        <f>IF(MAX(CI22:CJ22)&gt;0,MAX(CI22:CJ22),"")</f>
        <v/>
      </c>
      <c r="S22" s="11" t="str">
        <f>IF(R22="","",IF(R22=CI22,"("&amp;CI$2&amp;")",IF(R22=CJ22,"("&amp;CJ$2&amp;")")))</f>
        <v/>
      </c>
      <c r="T22" s="8" t="str">
        <f>IF(R22="","",IF(R22=CI22,IF(R22+IF(N22="",0,N22)=PB22,$OG$1,IF(R22+IF(N22="",0,N22)=NZ22,$NE$1,IF(R22+IF(N22="",0,N22)=MX22,$MC$1,IF(R22+IF(N22="",0,N22)=LV22,$LA$1,IF(R22+IF(N22="",0,N22)=KT22,$JY$1,IF(R22+IF(N22="",0,N22)=JR22,$IW$1,IF(R22+IF(N22="",0,N22)=IP22,$HU$1,IF(R22+IF(N22="",0,N22)=HN22,$GS$1,IF(R22+IF(N22="",0,N22)=GL22,$FQ$1,IF(R22+IF(N22="",0,N22)=FJ22,$EO$1,IF(R22+IF(N22="",0,N22)=EH22,$DM$1,IF(R22+IF(N22="",0,N22)=DF22,$CK$1)))))))))))),IF(R22=CJ22,IF(R22+IF(P22="",0,P22)=PG22,$OG$1,IF(R22+IF(P22="",0,P22)=OE22,$NE$1,IF(R22+IF(P22="",0,P22)=NC22,$MC$1,IF(R22+IF(P22="",0,P22)=MA22,$LA$1,IF(R22+IF(P22="",0,P22)=KY22,$JY$1,IF(R22+IF(P22="",0,P22)=JW22,$IW$1,IF(R22+IF(P22="",0,P22)=IU22,$HU$1,IF(R22+IF(P22="",0,P22)=HS22,$GS$1,IF(R22+IF(P22="",0,P22)=GQ22,$FQ$1,IF(R22+IF(P22="",0,P22)=FO22,$EO$1,IF(R22+IF(P22="",0,P22)=EM22,$DM$1,IF(R22+IF(P22="",0,P22)=DK22,$CK$1)))))))))))))))</f>
        <v/>
      </c>
      <c r="U22" s="19">
        <v>17.600000000000001</v>
      </c>
      <c r="V22" s="19">
        <v>4.4000000000000004</v>
      </c>
      <c r="W22" s="19">
        <v>0.8</v>
      </c>
      <c r="X22" s="19">
        <v>0</v>
      </c>
      <c r="Y22" s="19">
        <v>18.899999999999999</v>
      </c>
      <c r="Z22" s="19">
        <v>4.3</v>
      </c>
      <c r="AA22" s="19">
        <v>0.3</v>
      </c>
      <c r="AB22" s="19">
        <v>0</v>
      </c>
      <c r="AC22" s="19">
        <v>17.600000000000001</v>
      </c>
      <c r="AD22" s="19">
        <v>4.8</v>
      </c>
      <c r="AE22" s="19">
        <v>0.6</v>
      </c>
      <c r="AF22" s="19">
        <v>0</v>
      </c>
      <c r="AG22" s="19">
        <v>15.1</v>
      </c>
      <c r="AH22" s="19">
        <v>2.4</v>
      </c>
      <c r="AI22" s="19">
        <v>0</v>
      </c>
      <c r="AJ22" s="19">
        <v>0</v>
      </c>
      <c r="AK22" s="27"/>
      <c r="AL22" s="40">
        <f>IF(SUM(V22,Z22)&gt;0,SUM(V22,Z22),"")</f>
        <v>8.6999999999999993</v>
      </c>
      <c r="AM22" s="40">
        <f>IF(SUM(U22:V22,X22:Z22,AB22)-W22-AA22&gt;0,SUM(U22:V22,X22:Z22,AB22)-W22-AA22,"")</f>
        <v>44.1</v>
      </c>
      <c r="AN22" s="40">
        <f>IF(SUM(AD22,AH22)&gt;0,SUM(AD22,AH22),"")</f>
        <v>7.1999999999999993</v>
      </c>
      <c r="AO22" s="40">
        <f>IF(SUM(AC22:AD22,AF22:AH22,AJ22)-SUM(AE22,AI22)&gt;0,SUM(AC22:AD22,AF22:AH22,AJ22)-SUM(AE22,AI22),"")</f>
        <v>39.299999999999997</v>
      </c>
      <c r="AP22" s="40">
        <f>IF(SUM(AM22,AO22)&gt;0,SUM(AM22,AO22),"")</f>
        <v>83.4</v>
      </c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28"/>
      <c r="BH22" s="11" t="str">
        <f>IF(SUM(AR22,AV22)&gt;0,SUM(AR22,AV22),"")</f>
        <v/>
      </c>
      <c r="BI22" s="11" t="str">
        <f>IF(SUM(AQ22:AR22,AT22:AV22,AX22)-AS22-AW22&gt;0,SUM(AQ22:AR22,AT22:AV22,AX22)-AS22-AW22,"")</f>
        <v/>
      </c>
      <c r="BJ22" s="11" t="str">
        <f>IF(SUM(AZ22,BD22)&gt;0,SUM(AZ22,BD22),"")</f>
        <v/>
      </c>
      <c r="BK22" s="11" t="str">
        <f>IF(SUM(AY22:AZ22,BB22:BD22,BF22)-SUM(BA22,BE22)&gt;0,SUM(AY22:AZ22,BB22:BD22,BF22)-SUM(BA22,BE22),"")</f>
        <v/>
      </c>
      <c r="BL22" s="11" t="str">
        <f>IF(SUM(BI22,BK22)&gt;0,SUM(BI22,BK22),"")</f>
        <v/>
      </c>
      <c r="BM22" s="19">
        <v>15.1</v>
      </c>
      <c r="BN22" s="19">
        <v>2.4</v>
      </c>
      <c r="BO22" s="19">
        <v>0</v>
      </c>
      <c r="BP22" s="19">
        <v>0</v>
      </c>
      <c r="BQ22" s="19">
        <v>15</v>
      </c>
      <c r="BR22" s="19">
        <v>0</v>
      </c>
      <c r="BS22" s="19">
        <v>0</v>
      </c>
      <c r="BT22" s="19">
        <v>0</v>
      </c>
      <c r="BU22" s="19">
        <v>15</v>
      </c>
      <c r="BV22" s="19">
        <v>2.4</v>
      </c>
      <c r="BW22" s="19">
        <v>0</v>
      </c>
      <c r="BX22" s="19">
        <v>0</v>
      </c>
      <c r="BY22" s="19">
        <v>0</v>
      </c>
      <c r="BZ22" s="19">
        <v>0</v>
      </c>
      <c r="CA22" s="19">
        <v>0</v>
      </c>
      <c r="CB22" s="19">
        <v>0</v>
      </c>
      <c r="CC22" s="27"/>
      <c r="CD22" s="40">
        <f>IF(SUM(BN22,BR22)&gt;0,SUM(BN22,BR22),"")</f>
        <v>2.4</v>
      </c>
      <c r="CE22" s="40">
        <f>IF(SUM(BM22:BN22,BP22:BR22,BT22)-BO22-BS22&gt;0,SUM(BM22:BN22,BP22:BR22,BT22)-BO22-BS22,"")</f>
        <v>32.5</v>
      </c>
      <c r="CF22" s="40">
        <f>IF(SUM(BV22,BZ22)&gt;0,SUM(BV22,BZ22),"")</f>
        <v>2.4</v>
      </c>
      <c r="CG22" s="40">
        <f>IF(SUM(BU22:BV22,BX22:BZ22,CB22)-SUM(BW22,CA22)&gt;0,SUM(BU22:BV22,BX22:BZ22,CB22)-SUM(BW22,CA22),"")</f>
        <v>17.399999999999999</v>
      </c>
      <c r="CH22" s="40">
        <f>IF(SUM(CE22,CG22)&gt;0,SUM(CE22,CG22),"")</f>
        <v>49.9</v>
      </c>
      <c r="CI22" s="50" t="str">
        <f>IF(MAX(DF22,EH22,FJ22,GL22,HN22,IP22,JR22,KT22,LV22,MX22,NZ22,PB22)-IF(N22="",0,N22)&gt;0.001,MAX(DF22,EH22,FJ22,GL22,HN22,IP22,JR22,KT22,LV22,MX22,NZ22,PB22)-IF(N22="",0,N22),"")</f>
        <v/>
      </c>
      <c r="CJ22" s="50" t="str">
        <f>IF(MAX(DK22,EM22,FO22,GQ22,HS22,IU22,JW22,KY22,MA22,NC22,OE22,PG22)-IF(P22="",0,P22)&gt;0.001,MAX(DK22,EM22,FO22,GQ22,HS22,IU22,JW22,KY22,MA22,NC22,OE22,PG22)-IF(P22="",0,P22),"")</f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>IF(SUM(CL22,CP22)&gt;0,SUM(CL22,CP22),"")</f>
        <v/>
      </c>
      <c r="DF22" s="40" t="str">
        <f>IF(SUM(CK22:CL22,CN22:CP22,CR22)-CM22-CQ22&gt;0,SUM(CK22:CL22,CN22:CP22,CR22)-CM22-CQ22,"")</f>
        <v/>
      </c>
      <c r="DG22" s="40" t="str">
        <f>IF(SUM(CS22:CT22,CV22)-CU22&gt;0,SUM(CS22:CT22,CV22)-CU22,"")</f>
        <v/>
      </c>
      <c r="DH22" s="40" t="str">
        <f>IF(SUM(CL22,CP22,CT22)&gt;0,SUM(CL22,CP22,CT22),"")</f>
        <v/>
      </c>
      <c r="DI22" s="40" t="str">
        <f>IF(SUM(DF22,DG22)&gt;0,SUM(DF22,DG22),"")</f>
        <v/>
      </c>
      <c r="DJ22" s="40" t="str">
        <f>IF(SUM(CX22,DB22)&gt;0,SUM(CX22,DB22),"")</f>
        <v/>
      </c>
      <c r="DK22" s="40" t="str">
        <f>IF(SUM(CW22:CX22,CZ22:DB22,DD22)-SUM(CY22,DC22)&gt;0,SUM(CW22:CX22,CZ22:DB22,DD22)-SUM(CY22,DC22),"")</f>
        <v/>
      </c>
      <c r="DL22" s="40" t="str">
        <f>IF(SUM(DF22,DG22,DK22)&gt;0,SUM(DF22,DG22,DK22),"")</f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>IF(SUM(DN22,DR22)&gt;0,SUM(DN22,DR22),"")</f>
        <v/>
      </c>
      <c r="EH22" s="11" t="str">
        <f>IF(SUM(DM22:DN22,DP22:DR22,DT22)-DO22-DS22&gt;0,SUM(DM22:DN22,DP22:DR22,DT22)-DO22-DS22,"")</f>
        <v/>
      </c>
      <c r="EI22" s="11" t="str">
        <f>IF(SUM(DU22:DV22,DX22)-DW22&gt;0,SUM(DU22:DV22,DX22)-DW22,"")</f>
        <v/>
      </c>
      <c r="EJ22" s="11" t="str">
        <f>IF(SUM(DN22,DR22,DV22)&gt;0,SUM(DN22,DR22,DV22),"")</f>
        <v/>
      </c>
      <c r="EK22" s="11" t="str">
        <f>IF(SUM(EH22,EI22)&gt;0,SUM(EH22,EI22),"")</f>
        <v/>
      </c>
      <c r="EL22" s="11" t="str">
        <f>IF(SUM(DZ22,ED22)&gt;0,SUM(DZ22,ED22),"")</f>
        <v/>
      </c>
      <c r="EM22" s="11" t="str">
        <f>IF(SUM(DY22:DZ22,EB22:ED22,EF22)-SUM(EA22,EE22)&gt;0,SUM(DY22:DZ22,EB22:ED22,EF22)-SUM(EA22,EE22),"")</f>
        <v/>
      </c>
      <c r="EN22" s="11" t="str">
        <f>IF(SUM(EH22,EI22,EM22)&gt;0,SUM(EH22,EI22,EM22),"")</f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>IF(SUM(EP22,ET22)&gt;0,SUM(EP22,ET22),"")</f>
        <v/>
      </c>
      <c r="FJ22" s="40" t="str">
        <f>IF(SUM(EO22:EP22,ER22:ET22,EV22)-EQ22-EU22&gt;0,SUM(EO22:EP22,ER22:ET22,EV22)-EQ22-EU22,"")</f>
        <v/>
      </c>
      <c r="FK22" s="40" t="str">
        <f>IF(SUM(EW22:EX22,EZ22)-EY22&gt;0,SUM(EW22:EX22,EZ22)-EY22,"")</f>
        <v/>
      </c>
      <c r="FL22" s="40" t="str">
        <f>IF(SUM(EP22,ET22,EX22)&gt;0,SUM(EP22,ET22,EX22),"")</f>
        <v/>
      </c>
      <c r="FM22" s="40" t="str">
        <f>IF(SUM(FJ22,FK22)&gt;0,SUM(FJ22,FK22),"")</f>
        <v/>
      </c>
      <c r="FN22" s="40" t="str">
        <f>IF(SUM(FB22,FF22)&gt;0,SUM(FB22,FF22),"")</f>
        <v/>
      </c>
      <c r="FO22" s="40" t="str">
        <f>IF(SUM(FA22:FB22,FD22:FF22,FH22)-SUM(FC22,FG22)&gt;0,SUM(FA22:FB22,FD22:FF22,FH22)-SUM(FC22,FG22),"")</f>
        <v/>
      </c>
      <c r="FP22" s="40" t="str">
        <f>IF(SUM(FJ22,FK22,FO22)&gt;0,SUM(FJ22,FK22,FO22),"")</f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>IF(SUM(FR22,FV22)&gt;0,SUM(FR22,FV22),"")</f>
        <v/>
      </c>
      <c r="GL22" s="11" t="str">
        <f>IF(SUM(FQ22:FR22,FT22:FV22,FX22)-FS22-FW22&gt;0,SUM(FQ22:FR22,FT22:FV22,FX22)-FS22-FW22,"")</f>
        <v/>
      </c>
      <c r="GM22" s="11" t="str">
        <f>IF(SUM(FY22:FZ22,GB22)-GA22&gt;0,SUM(FY22:FZ22,GB22)-GA22,"")</f>
        <v/>
      </c>
      <c r="GN22" s="11" t="str">
        <f>IF(SUM(FR22,FV22,FZ22)&gt;0,SUM(FR22,FV22,FZ22),"")</f>
        <v/>
      </c>
      <c r="GO22" s="11" t="str">
        <f>IF(SUM(GL22,GM22)&gt;0,SUM(GL22,GM22),"")</f>
        <v/>
      </c>
      <c r="GP22" s="11" t="str">
        <f>IF(SUM(GD22,GH22)&gt;0,SUM(GD22,GH22),"")</f>
        <v/>
      </c>
      <c r="GQ22" s="11" t="str">
        <f>IF(SUM(GC22:GD22,GF22:GH22,GJ22)-SUM(GE22,GI22)&gt;0,SUM(GC22:GD22,GF22:GH22,GJ22)-SUM(GE22,GI22),"")</f>
        <v/>
      </c>
      <c r="GR22" s="11" t="str">
        <f>IF(SUM(GL22,GM22,GQ22)&gt;0,SUM(GL22,GM22,GQ22),"")</f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>IF(SUM(GT22,GX22)&gt;0,SUM(GT22,GX22),"")</f>
        <v/>
      </c>
      <c r="HN22" s="40" t="str">
        <f>IF(SUM(GS22:GT22,GV22:GX22,GZ22)-GU22-GY22&gt;0,SUM(GS22:GT22,GV22:GX22,GZ22)-GU22-GY22,"")</f>
        <v/>
      </c>
      <c r="HO22" s="40" t="str">
        <f>IF(SUM(HA22:HB22,HD22)-HC22&gt;0,SUM(HA22:HB22,HD22)-HC22,"")</f>
        <v/>
      </c>
      <c r="HP22" s="40" t="str">
        <f>IF(SUM(GT22,GX22,HB22)&gt;0,SUM(GT22,GX22,HB22),"")</f>
        <v/>
      </c>
      <c r="HQ22" s="40" t="str">
        <f>IF(SUM(HN22,HO22)&gt;0,SUM(HN22,HO22),"")</f>
        <v/>
      </c>
      <c r="HR22" s="40" t="str">
        <f>IF(SUM(HF22,HJ22)&gt;0,SUM(HF22,HJ22),"")</f>
        <v/>
      </c>
      <c r="HS22" s="40" t="str">
        <f>IF(SUM(HE22:HF22,HH22:HJ22,HL22)-SUM(HG22,HK22)&gt;0,SUM(HE22:HF22,HH22:HJ22,HL22)-SUM(HG22,HK22),"")</f>
        <v/>
      </c>
      <c r="HT22" s="40" t="str">
        <f>IF(SUM(HN22,HO22,HS22)&gt;0,SUM(HN22,HO22,HS22),"")</f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>IF(SUM(HV22,HZ22)&gt;0,SUM(HV22,HZ22),"")</f>
        <v/>
      </c>
      <c r="IP22" s="11" t="str">
        <f>IF(SUM(HU22:HV22,HX22:HZ22,IB22)-HW22-IA22&gt;0,SUM(HU22:HV22,HX22:HZ22,IB22)-HW22-IA22,"")</f>
        <v/>
      </c>
      <c r="IQ22" s="11" t="str">
        <f>IF(SUM(IC22:ID22,IF22)-IE22&gt;0,SUM(IC22:ID22,IF22)-IE22,"")</f>
        <v/>
      </c>
      <c r="IR22" s="11" t="str">
        <f>IF(SUM(HV22,HZ22,ID22)&gt;0,SUM(HV22,HZ22,ID22),"")</f>
        <v/>
      </c>
      <c r="IS22" s="11" t="str">
        <f>IF(SUM(IP22,IQ22)&gt;0,SUM(IP22,IQ22),"")</f>
        <v/>
      </c>
      <c r="IT22" s="11" t="str">
        <f>IF(SUM(IH22,IL22)&gt;0,SUM(IH22,IL22),"")</f>
        <v/>
      </c>
      <c r="IU22" s="11" t="str">
        <f>IF(SUM(IG22:IH22,IJ22:IL22,IN22)-SUM(II22,IM22)&gt;0,SUM(IG22:IH22,IJ22:IL22,IN22)-SUM(II22,IM22),"")</f>
        <v/>
      </c>
      <c r="IV22" s="11" t="str">
        <f>IF(SUM(IP22,IQ22,IU22)&gt;0,SUM(IP22,IQ22,IU22),"")</f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>IF(SUM(IX22,JB22)&gt;0,SUM(IX22,JB22),"")</f>
        <v/>
      </c>
      <c r="JR22" s="40" t="str">
        <f>IF(SUM(IW22:IX22,IZ22:JB22,JD22)-IY22-JC22&gt;0,SUM(IW22:IX22,IZ22:JB22,JD22)-IY22-JC22,"")</f>
        <v/>
      </c>
      <c r="JS22" s="40" t="str">
        <f>IF(SUM(JE22:JF22,JH22)-JG22&gt;0,SUM(JE22:JF22,JH22)-JG22,"")</f>
        <v/>
      </c>
      <c r="JT22" s="40" t="str">
        <f>IF(SUM(IX22,JB22,JF22)&gt;0,SUM(IX22,JB22,JF22),"")</f>
        <v/>
      </c>
      <c r="JU22" s="40" t="str">
        <f>IF(SUM(JR22,JS22)&gt;0,SUM(JR22,JS22),"")</f>
        <v/>
      </c>
      <c r="JV22" s="40" t="str">
        <f>IF(SUM(JJ22,JN22)&gt;0,SUM(JJ22,JN22),"")</f>
        <v/>
      </c>
      <c r="JW22" s="40" t="str">
        <f>IF(SUM(JI22:JJ22,JL22:JN22,JP22)-SUM(JK22,JO22)&gt;0,SUM(JI22:JJ22,JL22:JN22,JP22)-SUM(JK22,JO22),"")</f>
        <v/>
      </c>
      <c r="JX22" s="40" t="str">
        <f>IF(SUM(JR22,JS22,JW22)&gt;0,SUM(JR22,JS22,JW22),"")</f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>IF(SUM(JZ22,KD22)&gt;0,SUM(JZ22,KD22),"")</f>
        <v/>
      </c>
      <c r="KT22" s="11" t="str">
        <f>IF(SUM(JY22:JZ22,KB22:KD22,KF22)-KA22-KE22&gt;0,SUM(JY22:JZ22,KB22:KD22,KF22)-KA22-KE22,"")</f>
        <v/>
      </c>
      <c r="KU22" s="11" t="str">
        <f>IF(SUM(KG22:KH22,KJ22)-KI22&gt;0,SUM(KG22:KH22,KJ22)-KI22,"")</f>
        <v/>
      </c>
      <c r="KV22" s="11" t="str">
        <f>IF(SUM(JZ22,KD22,KH22)&gt;0,SUM(JZ22,KD22,KH22),"")</f>
        <v/>
      </c>
      <c r="KW22" s="11" t="str">
        <f>IF(SUM(KT22,KU22)&gt;0,SUM(KT22,KU22),"")</f>
        <v/>
      </c>
      <c r="KX22" s="11" t="str">
        <f>IF(SUM(KL22,KP22)&gt;0,SUM(KL22,KP22),"")</f>
        <v/>
      </c>
      <c r="KY22" s="11" t="str">
        <f>IF(SUM(KK22:KL22,KN22:KP22,KR22)-SUM(KM22,KQ22)&gt;0,SUM(KK22:KL22,KN22:KP22,KR22)-SUM(KM22,KQ22),"")</f>
        <v/>
      </c>
      <c r="KZ22" s="11" t="str">
        <f>IF(SUM(KT22,KU22,KY22)&gt;0,SUM(KT22,KU22,KY22),"")</f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>IF(SUM(LB22,LF22)&gt;0,SUM(LB22,LF22),"")</f>
        <v/>
      </c>
      <c r="LV22" s="40" t="str">
        <f>IF(SUM(LA22:LB22,LD22:LF22,LH22)-LC22-LG22&gt;0,SUM(LA22:LB22,LD22:LF22,LH22)-LC22-LG22,"")</f>
        <v/>
      </c>
      <c r="LW22" s="40" t="str">
        <f>IF(SUM(LI22:LJ22,LL22)-LK22&gt;0,SUM(LI22:LJ22,LL22)-LK22,"")</f>
        <v/>
      </c>
      <c r="LX22" s="40" t="str">
        <f>IF(SUM(LB22,LF22,LJ22)&gt;0,SUM(LB22,LF22,LJ22),"")</f>
        <v/>
      </c>
      <c r="LY22" s="40" t="str">
        <f>IF(SUM(LV22,LW22)&gt;0,SUM(LV22,LW22),"")</f>
        <v/>
      </c>
      <c r="LZ22" s="40" t="str">
        <f>IF(SUM(LN22,LR22)&gt;0,SUM(LN22,LR22),"")</f>
        <v/>
      </c>
      <c r="MA22" s="40" t="str">
        <f>IF(SUM(LM22:LN22,LP22:LR22,LT22)-SUM(LO22,LS22)&gt;0,SUM(LM22:LN22,LP22:LR22,LT22)-SUM(LO22,LS22),"")</f>
        <v/>
      </c>
      <c r="MB22" s="40" t="str">
        <f>IF(SUM(LV22,LW22,MA22)&gt;0,SUM(LV22,LW22,MA22),"")</f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>IF(SUM(MD22,MH22)&gt;0,SUM(MD22,MH22),"")</f>
        <v/>
      </c>
      <c r="MX22" s="11" t="str">
        <f>IF(SUM(MC22:MD22,MF22:MH22,MJ22)-ME22-MI22&gt;0,SUM(MC22:MD22,MF22:MH22,MJ22)-ME22-MI22,"")</f>
        <v/>
      </c>
      <c r="MY22" s="11" t="str">
        <f>IF(SUM(MK22:ML22,MN22)-MM22&gt;0,SUM(MK22:ML22,MN22)-MM22,"")</f>
        <v/>
      </c>
      <c r="MZ22" s="11" t="str">
        <f>IF(SUM(MD22,MH22,ML22)&gt;0,SUM(MD22,MH22,ML22),"")</f>
        <v/>
      </c>
      <c r="NA22" s="11" t="str">
        <f>IF(SUM(MX22,MY22)&gt;0,SUM(MX22,MY22),"")</f>
        <v/>
      </c>
      <c r="NB22" s="11" t="str">
        <f>IF(SUM(MP22,MT22)&gt;0,SUM(MP22,MT22),"")</f>
        <v/>
      </c>
      <c r="NC22" s="11" t="str">
        <f>IF(SUM(MO22:MP22,MR22:MT22,MV22)-SUM(MQ22,MU22)&gt;0,SUM(MO22:MP22,MR22:MT22,MV22)-SUM(MQ22,MU22),"")</f>
        <v/>
      </c>
      <c r="ND22" s="11" t="str">
        <f>IF(SUM(MX22,MY22,NC22)&gt;0,SUM(MX22,MY22,NC22),"")</f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>IF(SUM(NF22,NJ22)&gt;0,SUM(NF22,NJ22),"")</f>
        <v/>
      </c>
      <c r="NZ22" s="40" t="str">
        <f>IF(SUM(NE22:NF22,NH22:NJ22,NL22)-NG22-NK22&gt;0,SUM(NE22:NF22,NH22:NJ22,NL22)-NG22-NK22,"")</f>
        <v/>
      </c>
      <c r="OA22" s="40" t="str">
        <f>IF(SUM(NM22:NN22,NP22)-NO22&gt;0,SUM(NM22:NN22,NP22)-NO22,"")</f>
        <v/>
      </c>
      <c r="OB22" s="40" t="str">
        <f>IF(SUM(NF22,NJ22,NN22)&gt;0,SUM(NF22,NJ22,NN22),"")</f>
        <v/>
      </c>
      <c r="OC22" s="40" t="str">
        <f>IF(SUM(NZ22,OA22)&gt;0,SUM(NZ22,OA22),"")</f>
        <v/>
      </c>
      <c r="OD22" s="40" t="str">
        <f>IF(SUM(NR22,NV22)&gt;0,SUM(NR22,NV22),"")</f>
        <v/>
      </c>
      <c r="OE22" s="40" t="str">
        <f>IF(SUM(NQ22:NR22,NT22:NV22,NX22)-SUM(NS22,NW22)&gt;0,SUM(NQ22:NR22,NT22:NV22,NX22)-SUM(NS22,NW22),"")</f>
        <v/>
      </c>
      <c r="OF22" s="40" t="str">
        <f>IF(SUM(NZ22,OA22,OE22)&gt;0,SUM(NZ22,OA22,OE22),"")</f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>IF(SUM(OH22,OL22)&gt;0,SUM(OH22,OL22),"")</f>
        <v/>
      </c>
      <c r="PB22" s="11" t="str">
        <f>IF(SUM(OG22:OH22,OJ22:OL22,ON22)-OI22-OM22&gt;0,SUM(OG22:OH22,OJ22:OL22,ON22)-OI22-OM22,"")</f>
        <v/>
      </c>
      <c r="PC22" s="11" t="str">
        <f>IF(SUM(OO22:OP22,OR22)-OQ22&gt;0,SUM(OO22:OP22,OR22)-OQ22,"")</f>
        <v/>
      </c>
      <c r="PD22" s="11" t="str">
        <f>IF(SUM(OH22,OL22,OP22)&gt;0,SUM(OH22,OL22,OP22),"")</f>
        <v/>
      </c>
      <c r="PE22" s="11" t="str">
        <f>IF(SUM(PB22,PC22)&gt;0,SUM(PB22,PC22),"")</f>
        <v/>
      </c>
      <c r="PF22" s="11" t="str">
        <f>IF(SUM(OT22,OX22)&gt;0,SUM(OT22,OX22),"")</f>
        <v/>
      </c>
      <c r="PG22" s="11" t="str">
        <f>IF(SUM(OS22:OT22,OV22:OX22,OZ22)-SUM(OU22,OY22)&gt;0,SUM(OS22:OT22,OV22:OX22,OZ22)-SUM(OU22,OY22),"")</f>
        <v/>
      </c>
      <c r="PH22" s="11" t="str">
        <f>IF(SUM(PB22,PC22,PG22)&gt;0,SUM(PB22,PC22,PG22),"")</f>
        <v/>
      </c>
      <c r="PI22" s="22">
        <f>IF($CC22="P",BM22,(BM22+AQ22)/2)</f>
        <v>7.55</v>
      </c>
      <c r="PJ22" s="22">
        <f>IF($CC22="P",BN22,(BN22+AR22)/2)</f>
        <v>1.2</v>
      </c>
      <c r="PK22" s="22">
        <f>IF($CC22="P",BO22,(BO22+AS22)/2)</f>
        <v>0</v>
      </c>
      <c r="PL22" s="22">
        <f>IF($CC22="P",BP22,(BP22+AT22)/2)</f>
        <v>0</v>
      </c>
      <c r="PM22" s="22">
        <f>IF($CC22="P",BQ22,(BQ22+AU22)/2)</f>
        <v>7.5</v>
      </c>
      <c r="PN22" s="22">
        <f>IF($CC22="P",BR22,(BR22+AV22)/2)</f>
        <v>0</v>
      </c>
      <c r="PO22" s="22">
        <f>IF($CC22="P",BS22,(BS22+AW22)/2)</f>
        <v>0</v>
      </c>
      <c r="PP22" s="22">
        <f>IF($CC22="P",BT22,(BT22+AX22)/2)</f>
        <v>0</v>
      </c>
      <c r="PQ22" s="22">
        <f>IF($CC22="P",BU22,(BU22+AY22)/2)</f>
        <v>7.5</v>
      </c>
      <c r="PR22" s="22">
        <f>IF($CC22="P",BV22,(BV22+AZ22)/2)</f>
        <v>1.2</v>
      </c>
      <c r="PS22" s="22">
        <f>IF($CC22="P",BW22,(BW22+BA22)/2)</f>
        <v>0</v>
      </c>
      <c r="PT22" s="22">
        <f>IF($CC22="P",BX22,(BX22+BB22)/2)</f>
        <v>0</v>
      </c>
      <c r="PU22" s="22">
        <f>IF($CC22="P",BY22,(BY22+BC22)/2)</f>
        <v>0</v>
      </c>
      <c r="PV22" s="22">
        <f>IF($CC22="P",BZ22,(BZ22+BD22)/2)</f>
        <v>0</v>
      </c>
      <c r="PW22" s="22">
        <f>IF($CC22="P",CA22,(CA22+BE22)/2)</f>
        <v>0</v>
      </c>
      <c r="PX22" s="22">
        <f>IF($CC22="P",CB22,(CB22+BF22)/2)</f>
        <v>0</v>
      </c>
      <c r="PY22" s="27" t="s">
        <v>46</v>
      </c>
      <c r="PZ22" s="40">
        <f>IF(SUM(PJ22,PN22)&gt;0,SUM(PJ22,PN22),"")</f>
        <v>1.2</v>
      </c>
      <c r="QA22" s="40">
        <f>IF(SUM(PI22:PJ22,PL22:PN22,PP22)-PK22-PO22&gt;0,SUM(PI22:PJ22,PL22:PN22,PP22)-PK22-PO22,"")</f>
        <v>16.25</v>
      </c>
      <c r="QB22" s="40">
        <f>IF(SUM(PR22,PV22)&gt;0,SUM(PR22,PV22),"")</f>
        <v>1.2</v>
      </c>
      <c r="QC22" s="40">
        <f>IF(SUM(PQ22:PR22,PT22:PV22,PX22)-SUM(PS22,PW22)&gt;0,SUM(PQ22:PR22,PT22:PV22,PX22)-SUM(PS22,PW22),"")</f>
        <v>8.6999999999999993</v>
      </c>
      <c r="QD22" s="40">
        <f>IF(SUM(QA22,QC22)&gt;0,SUM(QA22,QC22),"")</f>
        <v>24.95</v>
      </c>
    </row>
    <row r="23" spans="1:446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149</v>
      </c>
      <c r="D23" s="4" t="s">
        <v>6</v>
      </c>
      <c r="E23" s="4">
        <v>2006</v>
      </c>
      <c r="F23" s="9">
        <f>SUM(L23:R23)+SUM(L23:O23)*0.0000001+SUM(L23)*0.0000000000001</f>
        <v>112.90000749000387</v>
      </c>
      <c r="H23" s="3" t="str">
        <f>IF(OR(AND(AL23&gt;=AP$38,AM23&gt;=AP$42,AL23&lt;&gt;"",AK23=""),AND(AN23&gt;=AP$38,AO23&gt;=AP$42,AN23&lt;&gt;"",AK23=""),AND(BH23&gt;=BL$38,BI23&gt;=BL$42,BH23&lt;&gt;"",BG23=""),AND(BJ23&gt;=BL$38,BK23&gt;=BL$42,BJ23&lt;&gt;"",BG23=""),AND(CD23&gt;=CH$38,CE23&gt;=CH$42,CD23&lt;&gt;"",CC23=""),AND(CF23&gt;=CH$38,CG23&gt;=CH$42,CF23&lt;&gt;""),AND(DE23&gt;=DL$38,DF23&gt;=DL$42,DE23&lt;&gt;""),AND(DJ23&gt;=DL$38,DK23&gt;=DL$42,DJ23&lt;&gt;""),AND(EG23&gt;=EN$38,EH23&gt;=EN$42,EG23&lt;&gt;""),AND(EL23&gt;=EN$38,EM23&gt;=EN$42,EL23&lt;&gt;""),AND(FI23&gt;=FP$38,FJ23&gt;=FP$42,FI23&lt;&gt;""),AND(FN23&gt;=FP$38,FO23&gt;=FP$42,FN23&lt;&gt;""),AND(GK23&gt;=GR$38,GL23&gt;=GR$42,GK23&lt;&gt;""),AND(GP23&gt;=GR$38,GQ23&gt;=GR$42,GP23&lt;&gt;""),AND(HM23&gt;=HT$38,HN23&gt;=HT$42,HM23&lt;&gt;""),AND(HR23&gt;=HT$38,HS23&gt;=HT$42,HR23&lt;&gt;""),AND(IO23&gt;=IV$38,IP23&gt;=IV$42,IO23&lt;&gt;""),AND(IT23&gt;=IV$38,IU23&gt;=IV$42,IT23&lt;&gt;""),AND(JQ23&gt;=JX$38,JR23&gt;=JX$42,JQ23&lt;&gt;""),AND(JV23&gt;=JX$38,JW23&gt;=JX$42,JV23&lt;&gt;""),AND(KS23&gt;=KZ$38,KT23&gt;=KZ$42,KS23&lt;&gt;""),AND(KX23&gt;=KZ$38,KY23&gt;=KZ$42,KX23&lt;&gt;""),AND(LU23&gt;=MB$38,LV23&gt;=MB$42,LU23&lt;&gt;""),AND(LZ23&gt;=MB$38,MA23&gt;=MB$42,LZ23&lt;&gt;""),AND(MW23&gt;=ND$38,MX23&gt;=ND$42,MW23&lt;&gt;""),AND(NB23&gt;=ND$38,NC23&gt;=ND$42,NB23&lt;&gt;""),AND(NY23&gt;=OF$38,NZ23&gt;=OF$42,NY23&lt;&gt;""),AND(OD23&gt;=OF$38,OE23&gt;=OF$42,OD23&lt;&gt;""),AND(PA23&gt;=PH$38,PB23&gt;=PH$42,PA23&lt;&gt;""),AND(PF23&gt;=PH$38,PG23&gt;=PH$42,PF23&lt;&gt;"")),"P","")</f>
        <v/>
      </c>
      <c r="I23" s="3" t="str">
        <f>IF(OR(AND(AM23&gt;=AP$42,AM23&lt;&gt;"",AK23=""),AND(AO23&gt;=AP$42,AO23&lt;&gt;"",AK23=""),AND(BI23&gt;=BL$42,BI23&lt;&gt;"",BG23=""),AND(BK23&gt;=BL$42,BK23&lt;&gt;"",BG23=""),AND(CE23&gt;=CH$42,CE23&lt;&gt;"",CC23=""),AND(CG23&gt;=CH$42,CG23&lt;&gt;"",CC23=""),AND(DF23&gt;=DL$42,DF23&lt;&gt;""),AND(DK23&gt;=DL$42,DK23&lt;&gt;""),AND(EH23&gt;=EN$42,EH23&lt;&gt;""),AND(EM23&gt;=EN$42,EM23&lt;&gt;""),AND(FJ23&gt;=FP$42,FJ23&lt;&gt;""),AND(FO23&gt;=FP$42,FO23&lt;&gt;""),AND(GL23&gt;=GR$42,GL23&lt;&gt;""),AND(GQ23&gt;=GR$42,GQ23&lt;&gt;""),AND(HN23&gt;=HT$42,HN23&lt;&gt;""),AND(HS23&gt;=HT$42,HS23&lt;&gt;""),AND(IP23&gt;=IV$42,IP23&lt;&gt;""),AND(IU23&gt;=IV$42,IU23&lt;&gt;""),AND(JR23&gt;=JX$42,JR23&lt;&gt;""),AND(JW23&gt;=JX$42,JW23&lt;&gt;""),AND(KT23&gt;=KZ$42,KT23&lt;&gt;""),AND(KY23&gt;=KZ$42,KY23&lt;&gt;""),AND(LV23&gt;=MB$42,LV23&lt;&gt;""),AND(MA23&gt;=MB$42,MA23&lt;&gt;""),AND(MX23&gt;=ND$42,MX23&lt;&gt;""),AND(NC23&gt;=ND$42,NC23&lt;&gt;""),AND(NZ23&gt;=OF$42,NZ23&lt;&gt;""),AND(OE23&gt;=OF$42,OE23&lt;&gt;""),AND(PB23&gt;=PH$42,PB23&lt;&gt;""),AND(PG23&gt;=PH$42,PG23&lt;&gt;"")),"P","")</f>
        <v/>
      </c>
      <c r="J23" s="36" t="str">
        <f>IF(AND(I23="P",H23=""),"No DD",IF(OR(AND(AL23&gt;=AP$26,AM23&gt;=AP$30,AL23&lt;&gt;"",AK23=""),AND(BH23&gt;=BL$26,BI23&gt;=BL$30,BH23&lt;&gt;"",BG23=""),AND(CD23&gt;=CH$26,CE23&gt;=CH$30,CD23&lt;&gt;"",CC23=""),AND(DH23&gt;=DL$26,DI23&gt;=DL$30,DH23&lt;&gt;""),AND(EJ23&gt;=EN$26,EK23&gt;=EN$30,EJ23&lt;&gt;""),AND(FL23&gt;=FP$26,FM23&gt;=FP$30,FL23&lt;&gt;""),AND(GN23&gt;=GR$26,GO23&gt;=GR$30,GN23&lt;&gt;""),AND(HP23&gt;=HT$26,HQ23&gt;=HT$30,HP23&lt;&gt;""),AND(IR23&gt;=IV$26,IS23&gt;=IV$30,IR23&lt;&gt;""),AND(JT23&gt;=JX$26,JU23&gt;=JX$30,JT23&lt;&gt;""),AND(KV23&gt;=KZ$26,KW23&gt;=KZ$30,KV23&lt;&gt;""),AND(LX23&gt;=MB$26,LY23&gt;=MB$30,LX23&lt;&gt;""),AND(MZ23&gt;=ND$26,NA23&gt;=ND$30,MZ23&lt;&gt;""),AND(OB23&gt;=OF$26,OC23&gt;=OF$30,OB23&lt;&gt;""),AND(PD23&gt;=PH$26,PE23&gt;=PH$30,PD23&lt;&gt;"")),"Merit",IF(OR(AND(AL23&gt;=AP$25,AM23&gt;=AP$29,AL23&lt;&gt;"",AK23=""),AND(BH23&gt;=BL$25,BI23&gt;=BL$29,BH23&lt;&gt;"",BG23=""),AND(CD23&gt;=CH$25,CE23&gt;=CH$29,CD23&lt;&gt;"",CC23=""),AND(DH23&gt;=DL$25,DI23&gt;=DL$29,DH23&lt;&gt;""),AND(EJ23&gt;=EN$25,EK23&gt;=EN$29,EJ23&lt;&gt;""),AND(FL23&gt;=FP$25,FM23&gt;=FP$29,FL23&lt;&gt;""),AND(GN23&gt;=GR$25,GO23&gt;=GR$29,GN23&lt;&gt;""),AND(HP23&gt;=HT$25,HQ23&gt;=HT$29,HP23&lt;&gt;""),AND(IR23&gt;=IV$25,IS23&gt;=IV$29,IR23&lt;&gt;""),AND(JT23&gt;=JX$25,JU23&gt;=JX$29,JT23&lt;&gt;""),AND(KV23&gt;=KZ$25,KW23&gt;=KZ$29,KV23&lt;&gt;""),AND(LX23&gt;=MB$25,LY23&gt;=MB$29,LX23&lt;&gt;""),AND(MZ23&gt;=ND$25,NA23&gt;=ND$29,MZ23&lt;&gt;""),AND(OB23&gt;=OF$25,OC23&gt;=OF$29,OB23&lt;&gt;""),AND(PD23&gt;=PH$25,PE23&gt;=PH$29,PD23&lt;&gt;"")),"Excellence",IF(K23="P","Worlds Team",IF(H23="P","National Team","")))))</f>
        <v/>
      </c>
      <c r="K23" s="3" t="str">
        <f>IF(OR(AND(AL23&gt;=AP$24,AM23&gt;=AP$28,AL23&lt;&gt;"",AK23=""),AND(BH23&gt;=BL$24,BI23&gt;=BL$28,BH23&lt;&gt;"",BG23=""),AND(CD23&gt;=CH$24,CE23&gt;=CH$28,CD23&lt;&gt;"",CC23=""),AND(DH23&gt;=DL$24,DI23&gt;=DL$28,DH23&lt;&gt;""),AND(EJ23&gt;=EN$24,EK23&gt;=EN$28,EJ23&lt;&gt;""),AND(FL23&gt;=FP$24,FM23&gt;=FP$28,FL23&lt;&gt;""),AND(GN23&gt;=GR$24,GO23&gt;=GR$28,GN23&lt;&gt;""),AND(HP23&gt;=HT$24,HQ23&gt;=HT$28,HP23&lt;&gt;""),AND(IR23&gt;=IV$24,IS23&gt;=IV$28,IR23&lt;&gt;""),AND(JT23&gt;=JX$24,JU23&gt;=JX$28,JT23&lt;&gt;""),AND(KV23&gt;=KZ$24,KW23&gt;=KZ$28,KV23&lt;&gt;""),AND(LX23&gt;=MB$24,LY23&gt;=MB$28,LX23&lt;&gt;""),AND(MZ23&gt;=ND$24,NA23&gt;=ND$28,MZ23&lt;&gt;""),AND(OB23&gt;=OF$24,OC23&gt;=OF$28,OB23&lt;&gt;""),AND(PD23&gt;=PH$24,PE23&gt;=PH$28,PD23&lt;&gt;"")),"P","")</f>
        <v/>
      </c>
      <c r="L23" s="8">
        <f>IF(COUNT(AM23,BI23,CE23)&gt;0,LARGE((AM23,BI23,CE23),1),0)</f>
        <v>38.799999999999997</v>
      </c>
      <c r="M23" s="8" t="str">
        <f>IF(L23=0,"",IF(L23=CE23,$BM$1,IF(L23=BI23,$AQ$1,IF(L23=AM23,$U$1,""))))</f>
        <v>2025 3rd Domestic Trial</v>
      </c>
      <c r="N23" s="8">
        <f>IF(COUNT(AM23,BI23,CE23)&gt;1,LARGE((AM23,BI23,CE23),2),0)</f>
        <v>36.099999999999994</v>
      </c>
      <c r="O23" s="8" t="str">
        <f>IF(N23=0,"",IF(AND(N23=L23,N23=AM23,N23=BI23),$U$1,IF(AND(N23=L23,N23=AM23,N23=CE23),$U$1,IF(AND(N23=L23,N23=BI23,N23=CE23),$AQ$1,IF(N23=CE23,$BM$1,IF(N23=BI23,$AQ$1,IF(N23=AM23,$U$1,"")))))))</f>
        <v>2025 Elite Canada</v>
      </c>
      <c r="P23" s="8">
        <f>IF(MAX(AO23,BK23,CG23)&gt;0,MAX(AO23,BK23,CG23),0)</f>
        <v>38</v>
      </c>
      <c r="Q23" s="8" t="str">
        <f>IF(P23=0,"",IF(P23=CG23,$BM$1,IF(P23=BK23,$AQ$1,IF(P23=AO23,$U$1,""))))</f>
        <v>2025 3rd Domestic Trial</v>
      </c>
      <c r="R23" s="8" t="str">
        <f>IF(MAX(CI23:CJ23)&gt;0,MAX(CI23:CJ23),"")</f>
        <v/>
      </c>
      <c r="S23" s="11" t="str">
        <f>IF(R23="","",IF(R23=CI23,"("&amp;CI$2&amp;")",IF(R23=CJ23,"("&amp;CJ$2&amp;")")))</f>
        <v/>
      </c>
      <c r="T23" s="8" t="str">
        <f>IF(R23="","",IF(R23=CI23,IF(R23+IF(N23="",0,N23)=PB23,$OG$1,IF(R23+IF(N23="",0,N23)=NZ23,$NE$1,IF(R23+IF(N23="",0,N23)=MX23,$MC$1,IF(R23+IF(N23="",0,N23)=LV23,$LA$1,IF(R23+IF(N23="",0,N23)=KT23,$JY$1,IF(R23+IF(N23="",0,N23)=JR23,$IW$1,IF(R23+IF(N23="",0,N23)=IP23,$HU$1,IF(R23+IF(N23="",0,N23)=HN23,$GS$1,IF(R23+IF(N23="",0,N23)=GL23,$FQ$1,IF(R23+IF(N23="",0,N23)=FJ23,$EO$1,IF(R23+IF(N23="",0,N23)=EH23,$DM$1,IF(R23+IF(N23="",0,N23)=DF23,$CK$1)))))))))))),IF(R23=CJ23,IF(R23+IF(P23="",0,P23)=PG23,$OG$1,IF(R23+IF(P23="",0,P23)=OE23,$NE$1,IF(R23+IF(P23="",0,P23)=NC23,$MC$1,IF(R23+IF(P23="",0,P23)=MA23,$LA$1,IF(R23+IF(P23="",0,P23)=KY23,$JY$1,IF(R23+IF(P23="",0,P23)=JW23,$IW$1,IF(R23+IF(P23="",0,P23)=IU23,$HU$1,IF(R23+IF(P23="",0,P23)=HS23,$GS$1,IF(R23+IF(P23="",0,P23)=GQ23,$FQ$1,IF(R23+IF(P23="",0,P23)=FO23,$EO$1,IF(R23+IF(P23="",0,P23)=EM23,$DM$1,IF(R23+IF(P23="",0,P23)=DK23,$CK$1)))))))))))))))</f>
        <v/>
      </c>
      <c r="U23" s="19">
        <v>15.6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27"/>
      <c r="AL23" s="40">
        <f>IF(SUM(V23,Z23)&gt;0,SUM(V23,Z23),"")</f>
        <v>5.1999999999999993</v>
      </c>
      <c r="AM23" s="40">
        <f>IF(SUM(U23:V23,X23:Z23,AB23)-W23-AA23&gt;0,SUM(U23:V23,X23:Z23,AB23)-W23-AA23,"")</f>
        <v>36.099999999999994</v>
      </c>
      <c r="AN23" s="40" t="str">
        <f>IF(SUM(AD23,AH23)&gt;0,SUM(AD23,AH23),"")</f>
        <v/>
      </c>
      <c r="AO23" s="40" t="str">
        <f>IF(SUM(AC23:AD23,AF23:AH23,AJ23)-SUM(AE23,AI23)&gt;0,SUM(AC23:AD23,AF23:AH23,AJ23)-SUM(AE23,AI23),"")</f>
        <v/>
      </c>
      <c r="AP23" s="40">
        <f>IF(SUM(AM23,AO23)&gt;0,SUM(AM23,AO23),"")</f>
        <v>36.099999999999994</v>
      </c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28"/>
      <c r="BH23" s="11" t="str">
        <f>IF(SUM(AR23,AV23)&gt;0,SUM(AR23,AV23),"")</f>
        <v/>
      </c>
      <c r="BI23" s="11" t="str">
        <f>IF(SUM(AQ23:AR23,AT23:AV23,AX23)-AS23-AW23&gt;0,SUM(AQ23:AR23,AT23:AV23,AX23)-AS23-AW23,"")</f>
        <v/>
      </c>
      <c r="BJ23" s="11" t="str">
        <f>IF(SUM(AZ23,BD23)&gt;0,SUM(AZ23,BD23),"")</f>
        <v/>
      </c>
      <c r="BK23" s="11" t="str">
        <f>IF(SUM(AY23:AZ23,BB23:BD23,BF23)-SUM(BA23,BE23)&gt;0,SUM(AY23:AZ23,BB23:BD23,BF23)-SUM(BA23,BE23),"")</f>
        <v/>
      </c>
      <c r="BL23" s="11" t="str">
        <f>IF(SUM(BI23,BK23)&gt;0,SUM(BI23,BK23),"")</f>
        <v/>
      </c>
      <c r="BM23" s="19">
        <v>15.7</v>
      </c>
      <c r="BN23" s="19">
        <v>0.7</v>
      </c>
      <c r="BO23" s="19">
        <v>0.2</v>
      </c>
      <c r="BP23" s="19">
        <v>0</v>
      </c>
      <c r="BQ23" s="19">
        <v>18</v>
      </c>
      <c r="BR23" s="19">
        <v>5.6</v>
      </c>
      <c r="BS23" s="19">
        <v>1</v>
      </c>
      <c r="BT23" s="19">
        <v>0</v>
      </c>
      <c r="BU23" s="19">
        <v>15.5</v>
      </c>
      <c r="BV23" s="19">
        <v>0.7</v>
      </c>
      <c r="BW23" s="19">
        <v>0.2</v>
      </c>
      <c r="BX23" s="19">
        <v>0</v>
      </c>
      <c r="BY23" s="19">
        <v>18</v>
      </c>
      <c r="BZ23" s="19">
        <v>4.8</v>
      </c>
      <c r="CA23" s="19">
        <v>0.8</v>
      </c>
      <c r="CB23" s="19">
        <v>0</v>
      </c>
      <c r="CC23" s="27"/>
      <c r="CD23" s="40">
        <f>IF(SUM(BN23,BR23)&gt;0,SUM(BN23,BR23),"")</f>
        <v>6.3</v>
      </c>
      <c r="CE23" s="40">
        <f>IF(SUM(BM23:BN23,BP23:BR23,BT23)-BO23-BS23&gt;0,SUM(BM23:BN23,BP23:BR23,BT23)-BO23-BS23,"")</f>
        <v>38.799999999999997</v>
      </c>
      <c r="CF23" s="40">
        <f>IF(SUM(BV23,BZ23)&gt;0,SUM(BV23,BZ23),"")</f>
        <v>5.5</v>
      </c>
      <c r="CG23" s="40">
        <f>IF(SUM(BU23:BV23,BX23:BZ23,CB23)-SUM(BW23,CA23)&gt;0,SUM(BU23:BV23,BX23:BZ23,CB23)-SUM(BW23,CA23),"")</f>
        <v>38</v>
      </c>
      <c r="CH23" s="40">
        <f>IF(SUM(CE23,CG23)&gt;0,SUM(CE23,CG23),"")</f>
        <v>76.8</v>
      </c>
      <c r="CI23" s="50" t="str">
        <f>IF(MAX(DF23,EH23,FJ23,GL23,HN23,IP23,JR23,KT23,LV23,MX23,NZ23,PB23)-IF(N23="",0,N23)&gt;0.001,MAX(DF23,EH23,FJ23,GL23,HN23,IP23,JR23,KT23,LV23,MX23,NZ23,PB23)-IF(N23="",0,N23),"")</f>
        <v/>
      </c>
      <c r="CJ23" s="50" t="str">
        <f>IF(MAX(DK23,EM23,FO23,GQ23,HS23,IU23,JW23,KY23,MA23,NC23,OE23,PG23)-IF(P23="",0,P23)&gt;0.001,MAX(DK23,EM23,FO23,GQ23,HS23,IU23,JW23,KY23,MA23,NC23,OE23,PG23)-IF(P23="",0,P23),"")</f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>IF(SUM(CL23,CP23)&gt;0,SUM(CL23,CP23),"")</f>
        <v/>
      </c>
      <c r="DF23" s="40" t="str">
        <f>IF(SUM(CK23:CL23,CN23:CP23,CR23)-CM23-CQ23&gt;0,SUM(CK23:CL23,CN23:CP23,CR23)-CM23-CQ23,"")</f>
        <v/>
      </c>
      <c r="DG23" s="40" t="str">
        <f>IF(SUM(CS23:CT23,CV23)-CU23&gt;0,SUM(CS23:CT23,CV23)-CU23,"")</f>
        <v/>
      </c>
      <c r="DH23" s="40" t="str">
        <f>IF(SUM(CL23,CP23,CT23)&gt;0,SUM(CL23,CP23,CT23),"")</f>
        <v/>
      </c>
      <c r="DI23" s="40" t="str">
        <f>IF(SUM(DF23,DG23)&gt;0,SUM(DF23,DG23),"")</f>
        <v/>
      </c>
      <c r="DJ23" s="40" t="str">
        <f>IF(SUM(CX23,DB23)&gt;0,SUM(CX23,DB23),"")</f>
        <v/>
      </c>
      <c r="DK23" s="40" t="str">
        <f>IF(SUM(CW23:CX23,CZ23:DB23,DD23)-SUM(CY23,DC23)&gt;0,SUM(CW23:CX23,CZ23:DB23,DD23)-SUM(CY23,DC23),"")</f>
        <v/>
      </c>
      <c r="DL23" s="40" t="str">
        <f>IF(SUM(DF23,DG23,DK23)&gt;0,SUM(DF23,DG23,DK23),"")</f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>IF(SUM(DN23,DR23)&gt;0,SUM(DN23,DR23),"")</f>
        <v/>
      </c>
      <c r="EH23" s="11" t="str">
        <f>IF(SUM(DM23:DN23,DP23:DR23,DT23)-DO23-DS23&gt;0,SUM(DM23:DN23,DP23:DR23,DT23)-DO23-DS23,"")</f>
        <v/>
      </c>
      <c r="EI23" s="11" t="str">
        <f>IF(SUM(DU23:DV23,DX23)-DW23&gt;0,SUM(DU23:DV23,DX23)-DW23,"")</f>
        <v/>
      </c>
      <c r="EJ23" s="11" t="str">
        <f>IF(SUM(DN23,DR23,DV23)&gt;0,SUM(DN23,DR23,DV23),"")</f>
        <v/>
      </c>
      <c r="EK23" s="11" t="str">
        <f>IF(SUM(EH23,EI23)&gt;0,SUM(EH23,EI23),"")</f>
        <v/>
      </c>
      <c r="EL23" s="11" t="str">
        <f>IF(SUM(DZ23,ED23)&gt;0,SUM(DZ23,ED23),"")</f>
        <v/>
      </c>
      <c r="EM23" s="11" t="str">
        <f>IF(SUM(DY23:DZ23,EB23:ED23,EF23)-SUM(EA23,EE23)&gt;0,SUM(DY23:DZ23,EB23:ED23,EF23)-SUM(EA23,EE23),"")</f>
        <v/>
      </c>
      <c r="EN23" s="11" t="str">
        <f>IF(SUM(EH23,EI23,EM23)&gt;0,SUM(EH23,EI23,EM23),"")</f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>IF(SUM(EP23,ET23)&gt;0,SUM(EP23,ET23),"")</f>
        <v/>
      </c>
      <c r="FJ23" s="40" t="str">
        <f>IF(SUM(EO23:EP23,ER23:ET23,EV23)-EQ23-EU23&gt;0,SUM(EO23:EP23,ER23:ET23,EV23)-EQ23-EU23,"")</f>
        <v/>
      </c>
      <c r="FK23" s="40" t="str">
        <f>IF(SUM(EW23:EX23,EZ23)-EY23&gt;0,SUM(EW23:EX23,EZ23)-EY23,"")</f>
        <v/>
      </c>
      <c r="FL23" s="40" t="str">
        <f>IF(SUM(EP23,ET23,EX23)&gt;0,SUM(EP23,ET23,EX23),"")</f>
        <v/>
      </c>
      <c r="FM23" s="40" t="str">
        <f>IF(SUM(FJ23,FK23)&gt;0,SUM(FJ23,FK23),"")</f>
        <v/>
      </c>
      <c r="FN23" s="40" t="str">
        <f>IF(SUM(FB23,FF23)&gt;0,SUM(FB23,FF23),"")</f>
        <v/>
      </c>
      <c r="FO23" s="40" t="str">
        <f>IF(SUM(FA23:FB23,FD23:FF23,FH23)-SUM(FC23,FG23)&gt;0,SUM(FA23:FB23,FD23:FF23,FH23)-SUM(FC23,FG23),"")</f>
        <v/>
      </c>
      <c r="FP23" s="40" t="str">
        <f>IF(SUM(FJ23,FK23,FO23)&gt;0,SUM(FJ23,FK23,FO23),"")</f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>IF(SUM(FR23,FV23)&gt;0,SUM(FR23,FV23),"")</f>
        <v/>
      </c>
      <c r="GL23" s="11" t="str">
        <f>IF(SUM(FQ23:FR23,FT23:FV23,FX23)-FS23-FW23&gt;0,SUM(FQ23:FR23,FT23:FV23,FX23)-FS23-FW23,"")</f>
        <v/>
      </c>
      <c r="GM23" s="11" t="str">
        <f>IF(SUM(FY23:FZ23,GB23)-GA23&gt;0,SUM(FY23:FZ23,GB23)-GA23,"")</f>
        <v/>
      </c>
      <c r="GN23" s="11" t="str">
        <f>IF(SUM(FR23,FV23,FZ23)&gt;0,SUM(FR23,FV23,FZ23),"")</f>
        <v/>
      </c>
      <c r="GO23" s="11" t="str">
        <f>IF(SUM(GL23,GM23)&gt;0,SUM(GL23,GM23),"")</f>
        <v/>
      </c>
      <c r="GP23" s="11" t="str">
        <f>IF(SUM(GD23,GH23)&gt;0,SUM(GD23,GH23),"")</f>
        <v/>
      </c>
      <c r="GQ23" s="11" t="str">
        <f>IF(SUM(GC23:GD23,GF23:GH23,GJ23)-SUM(GE23,GI23)&gt;0,SUM(GC23:GD23,GF23:GH23,GJ23)-SUM(GE23,GI23),"")</f>
        <v/>
      </c>
      <c r="GR23" s="11" t="str">
        <f>IF(SUM(GL23,GM23,GQ23)&gt;0,SUM(GL23,GM23,GQ23),"")</f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>IF(SUM(GT23,GX23)&gt;0,SUM(GT23,GX23),"")</f>
        <v/>
      </c>
      <c r="HN23" s="40" t="str">
        <f>IF(SUM(GS23:GT23,GV23:GX23,GZ23)-GU23-GY23&gt;0,SUM(GS23:GT23,GV23:GX23,GZ23)-GU23-GY23,"")</f>
        <v/>
      </c>
      <c r="HO23" s="40" t="str">
        <f>IF(SUM(HA23:HB23,HD23)-HC23&gt;0,SUM(HA23:HB23,HD23)-HC23,"")</f>
        <v/>
      </c>
      <c r="HP23" s="40" t="str">
        <f>IF(SUM(GT23,GX23,HB23)&gt;0,SUM(GT23,GX23,HB23),"")</f>
        <v/>
      </c>
      <c r="HQ23" s="40" t="str">
        <f>IF(SUM(HN23,HO23)&gt;0,SUM(HN23,HO23),"")</f>
        <v/>
      </c>
      <c r="HR23" s="40" t="str">
        <f>IF(SUM(HF23,HJ23)&gt;0,SUM(HF23,HJ23),"")</f>
        <v/>
      </c>
      <c r="HS23" s="40" t="str">
        <f>IF(SUM(HE23:HF23,HH23:HJ23,HL23)-SUM(HG23,HK23)&gt;0,SUM(HE23:HF23,HH23:HJ23,HL23)-SUM(HG23,HK23),"")</f>
        <v/>
      </c>
      <c r="HT23" s="40" t="str">
        <f>IF(SUM(HN23,HO23,HS23)&gt;0,SUM(HN23,HO23,HS23),"")</f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>IF(SUM(HV23,HZ23)&gt;0,SUM(HV23,HZ23),"")</f>
        <v/>
      </c>
      <c r="IP23" s="11" t="str">
        <f>IF(SUM(HU23:HV23,HX23:HZ23,IB23)-HW23-IA23&gt;0,SUM(HU23:HV23,HX23:HZ23,IB23)-HW23-IA23,"")</f>
        <v/>
      </c>
      <c r="IQ23" s="11" t="str">
        <f>IF(SUM(IC23:ID23,IF23)-IE23&gt;0,SUM(IC23:ID23,IF23)-IE23,"")</f>
        <v/>
      </c>
      <c r="IR23" s="11" t="str">
        <f>IF(SUM(HV23,HZ23,ID23)&gt;0,SUM(HV23,HZ23,ID23),"")</f>
        <v/>
      </c>
      <c r="IS23" s="11" t="str">
        <f>IF(SUM(IP23,IQ23)&gt;0,SUM(IP23,IQ23),"")</f>
        <v/>
      </c>
      <c r="IT23" s="11" t="str">
        <f>IF(SUM(IH23,IL23)&gt;0,SUM(IH23,IL23),"")</f>
        <v/>
      </c>
      <c r="IU23" s="11" t="str">
        <f>IF(SUM(IG23:IH23,IJ23:IL23,IN23)-SUM(II23,IM23)&gt;0,SUM(IG23:IH23,IJ23:IL23,IN23)-SUM(II23,IM23),"")</f>
        <v/>
      </c>
      <c r="IV23" s="11" t="str">
        <f>IF(SUM(IP23,IQ23,IU23)&gt;0,SUM(IP23,IQ23,IU23),"")</f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>IF(SUM(IX23,JB23)&gt;0,SUM(IX23,JB23),"")</f>
        <v/>
      </c>
      <c r="JR23" s="40" t="str">
        <f>IF(SUM(IW23:IX23,IZ23:JB23,JD23)-IY23-JC23&gt;0,SUM(IW23:IX23,IZ23:JB23,JD23)-IY23-JC23,"")</f>
        <v/>
      </c>
      <c r="JS23" s="40" t="str">
        <f>IF(SUM(JE23:JF23,JH23)-JG23&gt;0,SUM(JE23:JF23,JH23)-JG23,"")</f>
        <v/>
      </c>
      <c r="JT23" s="40" t="str">
        <f>IF(SUM(IX23,JB23,JF23)&gt;0,SUM(IX23,JB23,JF23),"")</f>
        <v/>
      </c>
      <c r="JU23" s="40" t="str">
        <f>IF(SUM(JR23,JS23)&gt;0,SUM(JR23,JS23),"")</f>
        <v/>
      </c>
      <c r="JV23" s="40" t="str">
        <f>IF(SUM(JJ23,JN23)&gt;0,SUM(JJ23,JN23),"")</f>
        <v/>
      </c>
      <c r="JW23" s="40" t="str">
        <f>IF(SUM(JI23:JJ23,JL23:JN23,JP23)-SUM(JK23,JO23)&gt;0,SUM(JI23:JJ23,JL23:JN23,JP23)-SUM(JK23,JO23),"")</f>
        <v/>
      </c>
      <c r="JX23" s="40" t="str">
        <f>IF(SUM(JR23,JS23,JW23)&gt;0,SUM(JR23,JS23,JW23),"")</f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>IF(SUM(JZ23,KD23)&gt;0,SUM(JZ23,KD23),"")</f>
        <v/>
      </c>
      <c r="KT23" s="11" t="str">
        <f>IF(SUM(JY23:JZ23,KB23:KD23,KF23)-KA23-KE23&gt;0,SUM(JY23:JZ23,KB23:KD23,KF23)-KA23-KE23,"")</f>
        <v/>
      </c>
      <c r="KU23" s="11" t="str">
        <f>IF(SUM(KG23:KH23,KJ23)-KI23&gt;0,SUM(KG23:KH23,KJ23)-KI23,"")</f>
        <v/>
      </c>
      <c r="KV23" s="11" t="str">
        <f>IF(SUM(JZ23,KD23,KH23)&gt;0,SUM(JZ23,KD23,KH23),"")</f>
        <v/>
      </c>
      <c r="KW23" s="11" t="str">
        <f>IF(SUM(KT23,KU23)&gt;0,SUM(KT23,KU23),"")</f>
        <v/>
      </c>
      <c r="KX23" s="11" t="str">
        <f>IF(SUM(KL23,KP23)&gt;0,SUM(KL23,KP23),"")</f>
        <v/>
      </c>
      <c r="KY23" s="11" t="str">
        <f>IF(SUM(KK23:KL23,KN23:KP23,KR23)-SUM(KM23,KQ23)&gt;0,SUM(KK23:KL23,KN23:KP23,KR23)-SUM(KM23,KQ23),"")</f>
        <v/>
      </c>
      <c r="KZ23" s="11" t="str">
        <f>IF(SUM(KT23,KU23,KY23)&gt;0,SUM(KT23,KU23,KY23),"")</f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>IF(SUM(LB23,LF23)&gt;0,SUM(LB23,LF23),"")</f>
        <v/>
      </c>
      <c r="LV23" s="40" t="str">
        <f>IF(SUM(LA23:LB23,LD23:LF23,LH23)-LC23-LG23&gt;0,SUM(LA23:LB23,LD23:LF23,LH23)-LC23-LG23,"")</f>
        <v/>
      </c>
      <c r="LW23" s="40" t="str">
        <f>IF(SUM(LI23:LJ23,LL23)-LK23&gt;0,SUM(LI23:LJ23,LL23)-LK23,"")</f>
        <v/>
      </c>
      <c r="LX23" s="40" t="str">
        <f>IF(SUM(LB23,LF23,LJ23)&gt;0,SUM(LB23,LF23,LJ23),"")</f>
        <v/>
      </c>
      <c r="LY23" s="40" t="str">
        <f>IF(SUM(LV23,LW23)&gt;0,SUM(LV23,LW23),"")</f>
        <v/>
      </c>
      <c r="LZ23" s="40" t="str">
        <f>IF(SUM(LN23,LR23)&gt;0,SUM(LN23,LR23),"")</f>
        <v/>
      </c>
      <c r="MA23" s="40" t="str">
        <f>IF(SUM(LM23:LN23,LP23:LR23,LT23)-SUM(LO23,LS23)&gt;0,SUM(LM23:LN23,LP23:LR23,LT23)-SUM(LO23,LS23),"")</f>
        <v/>
      </c>
      <c r="MB23" s="40" t="str">
        <f>IF(SUM(LV23,LW23,MA23)&gt;0,SUM(LV23,LW23,MA23),"")</f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>IF(SUM(MD23,MH23)&gt;0,SUM(MD23,MH23),"")</f>
        <v/>
      </c>
      <c r="MX23" s="11" t="str">
        <f>IF(SUM(MC23:MD23,MF23:MH23,MJ23)-ME23-MI23&gt;0,SUM(MC23:MD23,MF23:MH23,MJ23)-ME23-MI23,"")</f>
        <v/>
      </c>
      <c r="MY23" s="11" t="str">
        <f>IF(SUM(MK23:ML23,MN23)-MM23&gt;0,SUM(MK23:ML23,MN23)-MM23,"")</f>
        <v/>
      </c>
      <c r="MZ23" s="11" t="str">
        <f>IF(SUM(MD23,MH23,ML23)&gt;0,SUM(MD23,MH23,ML23),"")</f>
        <v/>
      </c>
      <c r="NA23" s="11" t="str">
        <f>IF(SUM(MX23,MY23)&gt;0,SUM(MX23,MY23),"")</f>
        <v/>
      </c>
      <c r="NB23" s="11" t="str">
        <f>IF(SUM(MP23,MT23)&gt;0,SUM(MP23,MT23),"")</f>
        <v/>
      </c>
      <c r="NC23" s="11" t="str">
        <f>IF(SUM(MO23:MP23,MR23:MT23,MV23)-SUM(MQ23,MU23)&gt;0,SUM(MO23:MP23,MR23:MT23,MV23)-SUM(MQ23,MU23),"")</f>
        <v/>
      </c>
      <c r="ND23" s="11" t="str">
        <f>IF(SUM(MX23,MY23,NC23)&gt;0,SUM(MX23,MY23,NC23),"")</f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>IF(SUM(NF23,NJ23)&gt;0,SUM(NF23,NJ23),"")</f>
        <v/>
      </c>
      <c r="NZ23" s="40" t="str">
        <f>IF(SUM(NE23:NF23,NH23:NJ23,NL23)-NG23-NK23&gt;0,SUM(NE23:NF23,NH23:NJ23,NL23)-NG23-NK23,"")</f>
        <v/>
      </c>
      <c r="OA23" s="40" t="str">
        <f>IF(SUM(NM23:NN23,NP23)-NO23&gt;0,SUM(NM23:NN23,NP23)-NO23,"")</f>
        <v/>
      </c>
      <c r="OB23" s="40" t="str">
        <f>IF(SUM(NF23,NJ23,NN23)&gt;0,SUM(NF23,NJ23,NN23),"")</f>
        <v/>
      </c>
      <c r="OC23" s="40" t="str">
        <f>IF(SUM(NZ23,OA23)&gt;0,SUM(NZ23,OA23),"")</f>
        <v/>
      </c>
      <c r="OD23" s="40" t="str">
        <f>IF(SUM(NR23,NV23)&gt;0,SUM(NR23,NV23),"")</f>
        <v/>
      </c>
      <c r="OE23" s="40" t="str">
        <f>IF(SUM(NQ23:NR23,NT23:NV23,NX23)-SUM(NS23,NW23)&gt;0,SUM(NQ23:NR23,NT23:NV23,NX23)-SUM(NS23,NW23),"")</f>
        <v/>
      </c>
      <c r="OF23" s="40" t="str">
        <f>IF(SUM(NZ23,OA23,OE23)&gt;0,SUM(NZ23,OA23,OE23),"")</f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>IF(SUM(OH23,OL23)&gt;0,SUM(OH23,OL23),"")</f>
        <v/>
      </c>
      <c r="PB23" s="11" t="str">
        <f>IF(SUM(OG23:OH23,OJ23:OL23,ON23)-OI23-OM23&gt;0,SUM(OG23:OH23,OJ23:OL23,ON23)-OI23-OM23,"")</f>
        <v/>
      </c>
      <c r="PC23" s="11" t="str">
        <f>IF(SUM(OO23:OP23,OR23)-OQ23&gt;0,SUM(OO23:OP23,OR23)-OQ23,"")</f>
        <v/>
      </c>
      <c r="PD23" s="11" t="str">
        <f>IF(SUM(OH23,OL23,OP23)&gt;0,SUM(OH23,OL23,OP23),"")</f>
        <v/>
      </c>
      <c r="PE23" s="11" t="str">
        <f>IF(SUM(PB23,PC23)&gt;0,SUM(PB23,PC23),"")</f>
        <v/>
      </c>
      <c r="PF23" s="11" t="str">
        <f>IF(SUM(OT23,OX23)&gt;0,SUM(OT23,OX23),"")</f>
        <v/>
      </c>
      <c r="PG23" s="11" t="str">
        <f>IF(SUM(OS23:OT23,OV23:OX23,OZ23)-SUM(OU23,OY23)&gt;0,SUM(OS23:OT23,OV23:OX23,OZ23)-SUM(OU23,OY23),"")</f>
        <v/>
      </c>
      <c r="PH23" s="11" t="str">
        <f>IF(SUM(PB23,PC23,PG23)&gt;0,SUM(PB23,PC23,PG23),"")</f>
        <v/>
      </c>
      <c r="PI23" s="22">
        <f>IF($CC23="P",BM23,(BM23+AQ23)/2)</f>
        <v>7.85</v>
      </c>
      <c r="PJ23" s="22">
        <f>IF($CC23="P",BN23,(BN23+AR23)/2)</f>
        <v>0.35</v>
      </c>
      <c r="PK23" s="22">
        <f>IF($CC23="P",BO23,(BO23+AS23)/2)</f>
        <v>0.1</v>
      </c>
      <c r="PL23" s="22">
        <f>IF($CC23="P",BP23,(BP23+AT23)/2)</f>
        <v>0</v>
      </c>
      <c r="PM23" s="22">
        <f>IF($CC23="P",BQ23,(BQ23+AU23)/2)</f>
        <v>9</v>
      </c>
      <c r="PN23" s="22">
        <f>IF($CC23="P",BR23,(BR23+AV23)/2)</f>
        <v>2.8</v>
      </c>
      <c r="PO23" s="22">
        <f>IF($CC23="P",BS23,(BS23+AW23)/2)</f>
        <v>0.5</v>
      </c>
      <c r="PP23" s="22">
        <f>IF($CC23="P",BT23,(BT23+AX23)/2)</f>
        <v>0</v>
      </c>
      <c r="PQ23" s="22">
        <f>IF($CC23="P",BU23,(BU23+AY23)/2)</f>
        <v>7.75</v>
      </c>
      <c r="PR23" s="22">
        <f>IF($CC23="P",BV23,(BV23+AZ23)/2)</f>
        <v>0.35</v>
      </c>
      <c r="PS23" s="22">
        <f>IF($CC23="P",BW23,(BW23+BA23)/2)</f>
        <v>0.1</v>
      </c>
      <c r="PT23" s="22">
        <f>IF($CC23="P",BX23,(BX23+BB23)/2)</f>
        <v>0</v>
      </c>
      <c r="PU23" s="22">
        <f>IF($CC23="P",BY23,(BY23+BC23)/2)</f>
        <v>9</v>
      </c>
      <c r="PV23" s="22">
        <f>IF($CC23="P",BZ23,(BZ23+BD23)/2)</f>
        <v>2.4</v>
      </c>
      <c r="PW23" s="22">
        <f>IF($CC23="P",CA23,(CA23+BE23)/2)</f>
        <v>0.4</v>
      </c>
      <c r="PX23" s="22">
        <f>IF($CC23="P",CB23,(CB23+BF23)/2)</f>
        <v>0</v>
      </c>
      <c r="PY23" s="27" t="s">
        <v>46</v>
      </c>
      <c r="PZ23" s="40">
        <f>IF(SUM(PJ23,PN23)&gt;0,SUM(PJ23,PN23),"")</f>
        <v>3.15</v>
      </c>
      <c r="QA23" s="40">
        <f>IF(SUM(PI23:PJ23,PL23:PN23,PP23)-PK23-PO23&gt;0,SUM(PI23:PJ23,PL23:PN23,PP23)-PK23-PO23,"")</f>
        <v>19.399999999999999</v>
      </c>
      <c r="QB23" s="40">
        <f>IF(SUM(PR23,PV23)&gt;0,SUM(PR23,PV23),"")</f>
        <v>2.75</v>
      </c>
      <c r="QC23" s="40">
        <f>IF(SUM(PQ23:PR23,PT23:PV23,PX23)-SUM(PS23,PW23)&gt;0,SUM(PQ23:PR23,PT23:PV23,PX23)-SUM(PS23,PW23),"")</f>
        <v>19</v>
      </c>
      <c r="QD23" s="40">
        <f>IF(SUM(QA23,QC23)&gt;0,SUM(QA23,QC23),"")</f>
        <v>38.4</v>
      </c>
    </row>
    <row r="24" spans="1:446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186</v>
      </c>
      <c r="D24" s="4" t="s">
        <v>5</v>
      </c>
      <c r="E24" s="4">
        <v>2007</v>
      </c>
      <c r="F24" s="9">
        <f>SUM(L24:R24)+SUM(L24:O24)*0.0000001+SUM(L24)*0.0000000000001</f>
        <v>97.500004860004864</v>
      </c>
      <c r="G24" s="64"/>
      <c r="H24" s="3" t="str">
        <f>IF(OR(AND(AL24&gt;=AP$38,AM24&gt;=AP$42,AL24&lt;&gt;"",AK24=""),AND(AN24&gt;=AP$38,AO24&gt;=AP$42,AN24&lt;&gt;"",AK24=""),AND(BH24&gt;=BL$38,BI24&gt;=BL$42,BH24&lt;&gt;"",BG24=""),AND(BJ24&gt;=BL$38,BK24&gt;=BL$42,BJ24&lt;&gt;"",BG24=""),AND(CD24&gt;=CH$38,CE24&gt;=CH$42,CD24&lt;&gt;"",CC24=""),AND(CF24&gt;=CH$38,CG24&gt;=CH$42,CF24&lt;&gt;""),AND(DE24&gt;=DL$38,DF24&gt;=DL$42,DE24&lt;&gt;""),AND(DJ24&gt;=DL$38,DK24&gt;=DL$42,DJ24&lt;&gt;""),AND(EG24&gt;=EN$38,EH24&gt;=EN$42,EG24&lt;&gt;""),AND(EL24&gt;=EN$38,EM24&gt;=EN$42,EL24&lt;&gt;""),AND(FI24&gt;=FP$38,FJ24&gt;=FP$42,FI24&lt;&gt;""),AND(FN24&gt;=FP$38,FO24&gt;=FP$42,FN24&lt;&gt;""),AND(GK24&gt;=GR$38,GL24&gt;=GR$42,GK24&lt;&gt;""),AND(GP24&gt;=GR$38,GQ24&gt;=GR$42,GP24&lt;&gt;""),AND(HM24&gt;=HT$38,HN24&gt;=HT$42,HM24&lt;&gt;""),AND(HR24&gt;=HT$38,HS24&gt;=HT$42,HR24&lt;&gt;""),AND(IO24&gt;=IV$38,IP24&gt;=IV$42,IO24&lt;&gt;""),AND(IT24&gt;=IV$38,IU24&gt;=IV$42,IT24&lt;&gt;""),AND(JQ24&gt;=JX$38,JR24&gt;=JX$42,JQ24&lt;&gt;""),AND(JV24&gt;=JX$38,JW24&gt;=JX$42,JV24&lt;&gt;""),AND(KS24&gt;=KZ$38,KT24&gt;=KZ$42,KS24&lt;&gt;""),AND(KX24&gt;=KZ$38,KY24&gt;=KZ$42,KX24&lt;&gt;""),AND(LU24&gt;=MB$38,LV24&gt;=MB$42,LU24&lt;&gt;""),AND(LZ24&gt;=MB$38,MA24&gt;=MB$42,LZ24&lt;&gt;""),AND(MW24&gt;=ND$38,MX24&gt;=ND$42,MW24&lt;&gt;""),AND(NB24&gt;=ND$38,NC24&gt;=ND$42,NB24&lt;&gt;""),AND(NY24&gt;=OF$38,NZ24&gt;=OF$42,NY24&lt;&gt;""),AND(OD24&gt;=OF$38,OE24&gt;=OF$42,OD24&lt;&gt;""),AND(PA24&gt;=PH$38,PB24&gt;=PH$42,PA24&lt;&gt;""),AND(PF24&gt;=PH$38,PG24&gt;=PH$42,PF24&lt;&gt;"")),"P","")</f>
        <v/>
      </c>
      <c r="I24" s="3" t="str">
        <f>IF(OR(AND(AM24&gt;=AP$42,AM24&lt;&gt;"",AK24=""),AND(AO24&gt;=AP$42,AO24&lt;&gt;"",AK24=""),AND(BI24&gt;=BL$42,BI24&lt;&gt;"",BG24=""),AND(BK24&gt;=BL$42,BK24&lt;&gt;"",BG24=""),AND(CE24&gt;=CH$42,CE24&lt;&gt;"",CC24=""),AND(CG24&gt;=CH$42,CG24&lt;&gt;"",CC24=""),AND(DF24&gt;=DL$42,DF24&lt;&gt;""),AND(DK24&gt;=DL$42,DK24&lt;&gt;""),AND(EH24&gt;=EN$42,EH24&lt;&gt;""),AND(EM24&gt;=EN$42,EM24&lt;&gt;""),AND(FJ24&gt;=FP$42,FJ24&lt;&gt;""),AND(FO24&gt;=FP$42,FO24&lt;&gt;""),AND(GL24&gt;=GR$42,GL24&lt;&gt;""),AND(GQ24&gt;=GR$42,GQ24&lt;&gt;""),AND(HN24&gt;=HT$42,HN24&lt;&gt;""),AND(HS24&gt;=HT$42,HS24&lt;&gt;""),AND(IP24&gt;=IV$42,IP24&lt;&gt;""),AND(IU24&gt;=IV$42,IU24&lt;&gt;""),AND(JR24&gt;=JX$42,JR24&lt;&gt;""),AND(JW24&gt;=JX$42,JW24&lt;&gt;""),AND(KT24&gt;=KZ$42,KT24&lt;&gt;""),AND(KY24&gt;=KZ$42,KY24&lt;&gt;""),AND(LV24&gt;=MB$42,LV24&lt;&gt;""),AND(MA24&gt;=MB$42,MA24&lt;&gt;""),AND(MX24&gt;=ND$42,MX24&lt;&gt;""),AND(NC24&gt;=ND$42,NC24&lt;&gt;""),AND(NZ24&gt;=OF$42,NZ24&lt;&gt;""),AND(OE24&gt;=OF$42,OE24&lt;&gt;""),AND(PB24&gt;=PH$42,PB24&lt;&gt;""),AND(PG24&gt;=PH$42,PG24&lt;&gt;"")),"P","")</f>
        <v/>
      </c>
      <c r="J24" s="36" t="str">
        <f>IF(AND(I24="P",H24=""),"No DD",IF(OR(AND(AL24&gt;=AP$26,AM24&gt;=AP$30,AL24&lt;&gt;"",AK24=""),AND(BH24&gt;=BL$26,BI24&gt;=BL$30,BH24&lt;&gt;"",BG24=""),AND(CD24&gt;=CH$26,CE24&gt;=CH$30,CD24&lt;&gt;"",CC24=""),AND(DH24&gt;=DL$26,DI24&gt;=DL$30,DH24&lt;&gt;""),AND(EJ24&gt;=EN$26,EK24&gt;=EN$30,EJ24&lt;&gt;""),AND(FL24&gt;=FP$26,FM24&gt;=FP$30,FL24&lt;&gt;""),AND(GN24&gt;=GR$26,GO24&gt;=GR$30,GN24&lt;&gt;""),AND(HP24&gt;=HT$26,HQ24&gt;=HT$30,HP24&lt;&gt;""),AND(IR24&gt;=IV$26,IS24&gt;=IV$30,IR24&lt;&gt;""),AND(JT24&gt;=JX$26,JU24&gt;=JX$30,JT24&lt;&gt;""),AND(KV24&gt;=KZ$26,KW24&gt;=KZ$30,KV24&lt;&gt;""),AND(LX24&gt;=MB$26,LY24&gt;=MB$30,LX24&lt;&gt;""),AND(MZ24&gt;=ND$26,NA24&gt;=ND$30,MZ24&lt;&gt;""),AND(OB24&gt;=OF$26,OC24&gt;=OF$30,OB24&lt;&gt;""),AND(PD24&gt;=PH$26,PE24&gt;=PH$30,PD24&lt;&gt;"")),"Merit",IF(OR(AND(AL24&gt;=AP$25,AM24&gt;=AP$29,AL24&lt;&gt;"",AK24=""),AND(BH24&gt;=BL$25,BI24&gt;=BL$29,BH24&lt;&gt;"",BG24=""),AND(CD24&gt;=CH$25,CE24&gt;=CH$29,CD24&lt;&gt;"",CC24=""),AND(DH24&gt;=DL$25,DI24&gt;=DL$29,DH24&lt;&gt;""),AND(EJ24&gt;=EN$25,EK24&gt;=EN$29,EJ24&lt;&gt;""),AND(FL24&gt;=FP$25,FM24&gt;=FP$29,FL24&lt;&gt;""),AND(GN24&gt;=GR$25,GO24&gt;=GR$29,GN24&lt;&gt;""),AND(HP24&gt;=HT$25,HQ24&gt;=HT$29,HP24&lt;&gt;""),AND(IR24&gt;=IV$25,IS24&gt;=IV$29,IR24&lt;&gt;""),AND(JT24&gt;=JX$25,JU24&gt;=JX$29,JT24&lt;&gt;""),AND(KV24&gt;=KZ$25,KW24&gt;=KZ$29,KV24&lt;&gt;""),AND(LX24&gt;=MB$25,LY24&gt;=MB$29,LX24&lt;&gt;""),AND(MZ24&gt;=ND$25,NA24&gt;=ND$29,MZ24&lt;&gt;""),AND(OB24&gt;=OF$25,OC24&gt;=OF$29,OB24&lt;&gt;""),AND(PD24&gt;=PH$25,PE24&gt;=PH$29,PD24&lt;&gt;"")),"Excellence",IF(K24="P","Worlds Team",IF(H24="P","National Team","")))))</f>
        <v/>
      </c>
      <c r="K24" s="3" t="str">
        <f>IF(OR(AND(AL24&gt;=AP$24,AM24&gt;=AP$28,AL24&lt;&gt;"",AK24=""),AND(BH24&gt;=BL$24,BI24&gt;=BL$28,BH24&lt;&gt;"",BG24=""),AND(CD24&gt;=CH$24,CE24&gt;=CH$28,CD24&lt;&gt;"",CC24=""),AND(DH24&gt;=DL$24,DI24&gt;=DL$28,DH24&lt;&gt;""),AND(EJ24&gt;=EN$24,EK24&gt;=EN$28,EJ24&lt;&gt;""),AND(FL24&gt;=FP$24,FM24&gt;=FP$28,FL24&lt;&gt;""),AND(GN24&gt;=GR$24,GO24&gt;=GR$28,GN24&lt;&gt;""),AND(HP24&gt;=HT$24,HQ24&gt;=HT$28,HP24&lt;&gt;""),AND(IR24&gt;=IV$24,IS24&gt;=IV$28,IR24&lt;&gt;""),AND(JT24&gt;=JX$24,JU24&gt;=JX$28,JT24&lt;&gt;""),AND(KV24&gt;=KZ$24,KW24&gt;=KZ$28,KV24&lt;&gt;""),AND(LX24&gt;=MB$24,LY24&gt;=MB$28,LX24&lt;&gt;""),AND(MZ24&gt;=ND$24,NA24&gt;=ND$28,MZ24&lt;&gt;""),AND(OB24&gt;=OF$24,OC24&gt;=OF$28,OB24&lt;&gt;""),AND(PD24&gt;=PH$24,PE24&gt;=PH$28,PD24&lt;&gt;"")),"P","")</f>
        <v/>
      </c>
      <c r="L24" s="8">
        <f>IF(COUNT(AM24,BI24,CE24)&gt;0,LARGE((AM24,BI24,CE24),1),0)</f>
        <v>48.6</v>
      </c>
      <c r="M24" s="8" t="str">
        <f>IF(L24=0,"",IF(L24=CE24,$BM$1,IF(L24=BI24,$AQ$1,IF(L24=AM24,$U$1,""))))</f>
        <v>2025 Nationals</v>
      </c>
      <c r="N24" s="8">
        <f>IF(COUNT(AM24,BI24,CE24)&gt;1,LARGE((AM24,BI24,CE24),2),0)</f>
        <v>0</v>
      </c>
      <c r="O24" s="8" t="str">
        <f>IF(N24=0,"",IF(AND(N24=L24,N24=AM24,N24=BI24),$U$1,IF(AND(N24=L24,N24=AM24,N24=CE24),$U$1,IF(AND(N24=L24,N24=BI24,N24=CE24),$AQ$1,IF(N24=CE24,$BM$1,IF(N24=BI24,$AQ$1,IF(N24=AM24,$U$1,"")))))))</f>
        <v/>
      </c>
      <c r="P24" s="8">
        <f>IF(MAX(AO24,BK24,CG24)&gt;0,MAX(AO24,BK24,CG24),0)</f>
        <v>48.9</v>
      </c>
      <c r="Q24" s="8" t="str">
        <f>IF(P24=0,"",IF(P24=CG24,$BM$1,IF(P24=BK24,$AQ$1,IF(P24=AO24,$U$1,""))))</f>
        <v>2025 Nationals</v>
      </c>
      <c r="R24" s="8" t="str">
        <f>IF(MAX(CI24:CJ24)&gt;0,MAX(CI24:CJ24),"")</f>
        <v/>
      </c>
      <c r="S24" s="11" t="str">
        <f>IF(R24="","",IF(R24=CI24,"("&amp;CI$2&amp;")",IF(R24=CJ24,"("&amp;CJ$2&amp;")")))</f>
        <v/>
      </c>
      <c r="T24" s="8" t="str">
        <f>IF(R24="","",IF(R24=CI24,IF(R24+IF(N24="",0,N24)=PB24,$OG$1,IF(R24+IF(N24="",0,N24)=NZ24,$NE$1,IF(R24+IF(N24="",0,N24)=MX24,$MC$1,IF(R24+IF(N24="",0,N24)=LV24,$LA$1,IF(R24+IF(N24="",0,N24)=KT24,$JY$1,IF(R24+IF(N24="",0,N24)=JR24,$IW$1,IF(R24+IF(N24="",0,N24)=IP24,$HU$1,IF(R24+IF(N24="",0,N24)=HN24,$GS$1,IF(R24+IF(N24="",0,N24)=GL24,$FQ$1,IF(R24+IF(N24="",0,N24)=FJ24,$EO$1,IF(R24+IF(N24="",0,N24)=EH24,$DM$1,IF(R24+IF(N24="",0,N24)=DF24,$CK$1)))))))))))),IF(R24=CJ24,IF(R24+IF(P24="",0,P24)=PG24,$OG$1,IF(R24+IF(P24="",0,P24)=OE24,$NE$1,IF(R24+IF(P24="",0,P24)=NC24,$MC$1,IF(R24+IF(P24="",0,P24)=MA24,$LA$1,IF(R24+IF(P24="",0,P24)=KY24,$JY$1,IF(R24+IF(P24="",0,P24)=JW24,$IW$1,IF(R24+IF(P24="",0,P24)=IU24,$HU$1,IF(R24+IF(P24="",0,P24)=HS24,$GS$1,IF(R24+IF(P24="",0,P24)=GQ24,$FQ$1,IF(R24+IF(P24="",0,P24)=FO24,$EO$1,IF(R24+IF(P24="",0,P24)=EM24,$DM$1,IF(R24+IF(P24="",0,P24)=DK24,$CK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27"/>
      <c r="AL24" s="40" t="str">
        <f>IF(SUM(V24,Z24)&gt;0,SUM(V24,Z24),"")</f>
        <v/>
      </c>
      <c r="AM24" s="40" t="str">
        <f>IF(SUM(U24:V24,X24:Z24,AB24)-W24-AA24&gt;0,SUM(U24:V24,X24:Z24,AB24)-W24-AA24,"")</f>
        <v/>
      </c>
      <c r="AN24" s="40" t="str">
        <f>IF(SUM(AD24,AH24)&gt;0,SUM(AD24,AH24),"")</f>
        <v/>
      </c>
      <c r="AO24" s="40" t="str">
        <f>IF(SUM(AC24:AD24,AF24:AH24,AJ24)-SUM(AE24,AI24)&gt;0,SUM(AC24:AD24,AF24:AH24,AJ24)-SUM(AE24,AI24),"")</f>
        <v/>
      </c>
      <c r="AP24" s="40" t="str">
        <f>IF(SUM(AM24,AO24)&gt;0,SUM(AM24,AO24),"")</f>
        <v/>
      </c>
      <c r="AQ24" s="18">
        <v>19</v>
      </c>
      <c r="AR24" s="18">
        <v>5.2</v>
      </c>
      <c r="AS24" s="18">
        <v>0.8</v>
      </c>
      <c r="AT24" s="18">
        <v>0</v>
      </c>
      <c r="AU24" s="18">
        <v>18.8</v>
      </c>
      <c r="AV24" s="18">
        <v>6.4</v>
      </c>
      <c r="AW24" s="18">
        <v>0</v>
      </c>
      <c r="AX24" s="18">
        <v>0</v>
      </c>
      <c r="AY24" s="18">
        <v>19.100000000000001</v>
      </c>
      <c r="AZ24" s="18">
        <v>5.2</v>
      </c>
      <c r="BA24" s="18">
        <v>0.4</v>
      </c>
      <c r="BB24" s="18">
        <v>0</v>
      </c>
      <c r="BC24" s="18">
        <v>18.8</v>
      </c>
      <c r="BD24" s="18">
        <v>6.4</v>
      </c>
      <c r="BE24" s="18">
        <v>0.2</v>
      </c>
      <c r="BF24" s="18">
        <v>0</v>
      </c>
      <c r="BG24" s="28"/>
      <c r="BH24" s="11">
        <f>IF(SUM(AR24,AV24)&gt;0,SUM(AR24,AV24),"")</f>
        <v>11.600000000000001</v>
      </c>
      <c r="BI24" s="11">
        <f>IF(SUM(AQ24:AR24,AT24:AV24,AX24)-AS24-AW24&gt;0,SUM(AQ24:AR24,AT24:AV24,AX24)-AS24-AW24,"")</f>
        <v>48.6</v>
      </c>
      <c r="BJ24" s="11">
        <f>IF(SUM(AZ24,BD24)&gt;0,SUM(AZ24,BD24),"")</f>
        <v>11.600000000000001</v>
      </c>
      <c r="BK24" s="11">
        <f>IF(SUM(AY24:AZ24,BB24:BD24,BF24)-SUM(BA24,BE24)&gt;0,SUM(AY24:AZ24,BB24:BD24,BF24)-SUM(BA24,BE24),"")</f>
        <v>48.9</v>
      </c>
      <c r="BL24" s="11">
        <f>IF(SUM(BI24,BK24)&gt;0,SUM(BI24,BK24),"")</f>
        <v>97.5</v>
      </c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27"/>
      <c r="CD24" s="40" t="str">
        <f>IF(SUM(BN24,BR24)&gt;0,SUM(BN24,BR24),"")</f>
        <v/>
      </c>
      <c r="CE24" s="40" t="str">
        <f>IF(SUM(BM24:BN24,BP24:BR24,BT24)-BO24-BS24&gt;0,SUM(BM24:BN24,BP24:BR24,BT24)-BO24-BS24,"")</f>
        <v/>
      </c>
      <c r="CF24" s="40" t="str">
        <f>IF(SUM(BV24,BZ24)&gt;0,SUM(BV24,BZ24),"")</f>
        <v/>
      </c>
      <c r="CG24" s="40" t="str">
        <f>IF(SUM(BU24:BV24,BX24:BZ24,CB24)-SUM(BW24,CA24)&gt;0,SUM(BU24:BV24,BX24:BZ24,CB24)-SUM(BW24,CA24),"")</f>
        <v/>
      </c>
      <c r="CH24" s="40" t="str">
        <f>IF(SUM(CE24,CG24)&gt;0,SUM(CE24,CG24),"")</f>
        <v/>
      </c>
      <c r="CI24" s="50" t="str">
        <f>IF(MAX(DF24,EH24,FJ24,GL24,HN24,IP24,JR24,KT24,LV24,MX24,NZ24,PB24)-IF(N24="",0,N24)&gt;0.001,MAX(DF24,EH24,FJ24,GL24,HN24,IP24,JR24,KT24,LV24,MX24,NZ24,PB24)-IF(N24="",0,N24),"")</f>
        <v/>
      </c>
      <c r="CJ24" s="50" t="str">
        <f>IF(MAX(DK24,EM24,FO24,GQ24,HS24,IU24,JW24,KY24,MA24,NC24,OE24,PG24)-IF(P24="",0,P24)&gt;0.001,MAX(DK24,EM24,FO24,GQ24,HS24,IU24,JW24,KY24,MA24,NC24,OE24,PG24)-IF(P24="",0,P24),"")</f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>IF(SUM(CL24,CP24)&gt;0,SUM(CL24,CP24),"")</f>
        <v/>
      </c>
      <c r="DF24" s="40" t="str">
        <f>IF(SUM(CK24:CL24,CN24:CP24,CR24)-CM24-CQ24&gt;0,SUM(CK24:CL24,CN24:CP24,CR24)-CM24-CQ24,"")</f>
        <v/>
      </c>
      <c r="DG24" s="40" t="str">
        <f>IF(SUM(CS24:CT24,CV24)-CU24&gt;0,SUM(CS24:CT24,CV24)-CU24,"")</f>
        <v/>
      </c>
      <c r="DH24" s="40" t="str">
        <f>IF(SUM(CL24,CP24,CT24)&gt;0,SUM(CL24,CP24,CT24),"")</f>
        <v/>
      </c>
      <c r="DI24" s="40" t="str">
        <f>IF(SUM(DF24,DG24)&gt;0,SUM(DF24,DG24),"")</f>
        <v/>
      </c>
      <c r="DJ24" s="40" t="str">
        <f>IF(SUM(CX24,DB24)&gt;0,SUM(CX24,DB24),"")</f>
        <v/>
      </c>
      <c r="DK24" s="40" t="str">
        <f>IF(SUM(CW24:CX24,CZ24:DB24,DD24)-SUM(CY24,DC24)&gt;0,SUM(CW24:CX24,CZ24:DB24,DD24)-SUM(CY24,DC24),"")</f>
        <v/>
      </c>
      <c r="DL24" s="40" t="str">
        <f>IF(SUM(DF24,DG24,DK24)&gt;0,SUM(DF24,DG24,DK24),"")</f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>IF(SUM(DN24,DR24)&gt;0,SUM(DN24,DR24),"")</f>
        <v/>
      </c>
      <c r="EH24" s="11" t="str">
        <f>IF(SUM(DM24:DN24,DP24:DR24,DT24)-DO24-DS24&gt;0,SUM(DM24:DN24,DP24:DR24,DT24)-DO24-DS24,"")</f>
        <v/>
      </c>
      <c r="EI24" s="11" t="str">
        <f>IF(SUM(DU24:DV24,DX24)-DW24&gt;0,SUM(DU24:DV24,DX24)-DW24,"")</f>
        <v/>
      </c>
      <c r="EJ24" s="11" t="str">
        <f>IF(SUM(DN24,DR24,DV24)&gt;0,SUM(DN24,DR24,DV24),"")</f>
        <v/>
      </c>
      <c r="EK24" s="11" t="str">
        <f>IF(SUM(EH24,EI24)&gt;0,SUM(EH24,EI24),"")</f>
        <v/>
      </c>
      <c r="EL24" s="11" t="str">
        <f>IF(SUM(DZ24,ED24)&gt;0,SUM(DZ24,ED24),"")</f>
        <v/>
      </c>
      <c r="EM24" s="11" t="str">
        <f>IF(SUM(DY24:DZ24,EB24:ED24,EF24)-SUM(EA24,EE24)&gt;0,SUM(DY24:DZ24,EB24:ED24,EF24)-SUM(EA24,EE24),"")</f>
        <v/>
      </c>
      <c r="EN24" s="11" t="str">
        <f>IF(SUM(EH24,EI24,EM24)&gt;0,SUM(EH24,EI24,EM24),"")</f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>IF(SUM(EP24,ET24)&gt;0,SUM(EP24,ET24),"")</f>
        <v/>
      </c>
      <c r="FJ24" s="40" t="str">
        <f>IF(SUM(EO24:EP24,ER24:ET24,EV24)-EQ24-EU24&gt;0,SUM(EO24:EP24,ER24:ET24,EV24)-EQ24-EU24,"")</f>
        <v/>
      </c>
      <c r="FK24" s="40" t="str">
        <f>IF(SUM(EW24:EX24,EZ24)-EY24&gt;0,SUM(EW24:EX24,EZ24)-EY24,"")</f>
        <v/>
      </c>
      <c r="FL24" s="40" t="str">
        <f>IF(SUM(EP24,ET24,EX24)&gt;0,SUM(EP24,ET24,EX24),"")</f>
        <v/>
      </c>
      <c r="FM24" s="40" t="str">
        <f>IF(SUM(FJ24,FK24)&gt;0,SUM(FJ24,FK24),"")</f>
        <v/>
      </c>
      <c r="FN24" s="40" t="str">
        <f>IF(SUM(FB24,FF24)&gt;0,SUM(FB24,FF24),"")</f>
        <v/>
      </c>
      <c r="FO24" s="40" t="str">
        <f>IF(SUM(FA24:FB24,FD24:FF24,FH24)-SUM(FC24,FG24)&gt;0,SUM(FA24:FB24,FD24:FF24,FH24)-SUM(FC24,FG24),"")</f>
        <v/>
      </c>
      <c r="FP24" s="40" t="str">
        <f>IF(SUM(FJ24,FK24,FO24)&gt;0,SUM(FJ24,FK24,FO24),"")</f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>IF(SUM(FR24,FV24)&gt;0,SUM(FR24,FV24),"")</f>
        <v/>
      </c>
      <c r="GL24" s="11" t="str">
        <f>IF(SUM(FQ24:FR24,FT24:FV24,FX24)-FS24-FW24&gt;0,SUM(FQ24:FR24,FT24:FV24,FX24)-FS24-FW24,"")</f>
        <v/>
      </c>
      <c r="GM24" s="11" t="str">
        <f>IF(SUM(FY24:FZ24,GB24)-GA24&gt;0,SUM(FY24:FZ24,GB24)-GA24,"")</f>
        <v/>
      </c>
      <c r="GN24" s="11" t="str">
        <f>IF(SUM(FR24,FV24,FZ24)&gt;0,SUM(FR24,FV24,FZ24),"")</f>
        <v/>
      </c>
      <c r="GO24" s="11" t="str">
        <f>IF(SUM(GL24,GM24)&gt;0,SUM(GL24,GM24),"")</f>
        <v/>
      </c>
      <c r="GP24" s="11" t="str">
        <f>IF(SUM(GD24,GH24)&gt;0,SUM(GD24,GH24),"")</f>
        <v/>
      </c>
      <c r="GQ24" s="11" t="str">
        <f>IF(SUM(GC24:GD24,GF24:GH24,GJ24)-SUM(GE24,GI24)&gt;0,SUM(GC24:GD24,GF24:GH24,GJ24)-SUM(GE24,GI24),"")</f>
        <v/>
      </c>
      <c r="GR24" s="11" t="str">
        <f>IF(SUM(GL24,GM24,GQ24)&gt;0,SUM(GL24,GM24,GQ24),"")</f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>IF(SUM(GT24,GX24)&gt;0,SUM(GT24,GX24),"")</f>
        <v/>
      </c>
      <c r="HN24" s="40" t="str">
        <f>IF(SUM(GS24:GT24,GV24:GX24,GZ24)-GU24-GY24&gt;0,SUM(GS24:GT24,GV24:GX24,GZ24)-GU24-GY24,"")</f>
        <v/>
      </c>
      <c r="HO24" s="40" t="str">
        <f>IF(SUM(HA24:HB24,HD24)-HC24&gt;0,SUM(HA24:HB24,HD24)-HC24,"")</f>
        <v/>
      </c>
      <c r="HP24" s="40" t="str">
        <f>IF(SUM(GT24,GX24,HB24)&gt;0,SUM(GT24,GX24,HB24),"")</f>
        <v/>
      </c>
      <c r="HQ24" s="40" t="str">
        <f>IF(SUM(HN24,HO24)&gt;0,SUM(HN24,HO24),"")</f>
        <v/>
      </c>
      <c r="HR24" s="40" t="str">
        <f>IF(SUM(HF24,HJ24)&gt;0,SUM(HF24,HJ24),"")</f>
        <v/>
      </c>
      <c r="HS24" s="40" t="str">
        <f>IF(SUM(HE24:HF24,HH24:HJ24,HL24)-SUM(HG24,HK24)&gt;0,SUM(HE24:HF24,HH24:HJ24,HL24)-SUM(HG24,HK24),"")</f>
        <v/>
      </c>
      <c r="HT24" s="40" t="str">
        <f>IF(SUM(HN24,HO24,HS24)&gt;0,SUM(HN24,HO24,HS24),"")</f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>IF(SUM(HV24,HZ24)&gt;0,SUM(HV24,HZ24),"")</f>
        <v/>
      </c>
      <c r="IP24" s="11" t="str">
        <f>IF(SUM(HU24:HV24,HX24:HZ24,IB24)-HW24-IA24&gt;0,SUM(HU24:HV24,HX24:HZ24,IB24)-HW24-IA24,"")</f>
        <v/>
      </c>
      <c r="IQ24" s="11" t="str">
        <f>IF(SUM(IC24:ID24,IF24)-IE24&gt;0,SUM(IC24:ID24,IF24)-IE24,"")</f>
        <v/>
      </c>
      <c r="IR24" s="11" t="str">
        <f>IF(SUM(HV24,HZ24,ID24)&gt;0,SUM(HV24,HZ24,ID24),"")</f>
        <v/>
      </c>
      <c r="IS24" s="11" t="str">
        <f>IF(SUM(IP24,IQ24)&gt;0,SUM(IP24,IQ24),"")</f>
        <v/>
      </c>
      <c r="IT24" s="11" t="str">
        <f>IF(SUM(IH24,IL24)&gt;0,SUM(IH24,IL24),"")</f>
        <v/>
      </c>
      <c r="IU24" s="11" t="str">
        <f>IF(SUM(IG24:IH24,IJ24:IL24,IN24)-SUM(II24,IM24)&gt;0,SUM(IG24:IH24,IJ24:IL24,IN24)-SUM(II24,IM24),"")</f>
        <v/>
      </c>
      <c r="IV24" s="11" t="str">
        <f>IF(SUM(IP24,IQ24,IU24)&gt;0,SUM(IP24,IQ24,IU24),"")</f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>IF(SUM(IX24,JB24)&gt;0,SUM(IX24,JB24),"")</f>
        <v/>
      </c>
      <c r="JR24" s="40" t="str">
        <f>IF(SUM(IW24:IX24,IZ24:JB24,JD24)-IY24-JC24&gt;0,SUM(IW24:IX24,IZ24:JB24,JD24)-IY24-JC24,"")</f>
        <v/>
      </c>
      <c r="JS24" s="40" t="str">
        <f>IF(SUM(JE24:JF24,JH24)-JG24&gt;0,SUM(JE24:JF24,JH24)-JG24,"")</f>
        <v/>
      </c>
      <c r="JT24" s="40" t="str">
        <f>IF(SUM(IX24,JB24,JF24)&gt;0,SUM(IX24,JB24,JF24),"")</f>
        <v/>
      </c>
      <c r="JU24" s="40" t="str">
        <f>IF(SUM(JR24,JS24)&gt;0,SUM(JR24,JS24),"")</f>
        <v/>
      </c>
      <c r="JV24" s="40" t="str">
        <f>IF(SUM(JJ24,JN24)&gt;0,SUM(JJ24,JN24),"")</f>
        <v/>
      </c>
      <c r="JW24" s="40" t="str">
        <f>IF(SUM(JI24:JJ24,JL24:JN24,JP24)-SUM(JK24,JO24)&gt;0,SUM(JI24:JJ24,JL24:JN24,JP24)-SUM(JK24,JO24),"")</f>
        <v/>
      </c>
      <c r="JX24" s="40" t="str">
        <f>IF(SUM(JR24,JS24,JW24)&gt;0,SUM(JR24,JS24,JW24),"")</f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>IF(SUM(JZ24,KD24)&gt;0,SUM(JZ24,KD24),"")</f>
        <v/>
      </c>
      <c r="KT24" s="11" t="str">
        <f>IF(SUM(JY24:JZ24,KB24:KD24,KF24)-KA24-KE24&gt;0,SUM(JY24:JZ24,KB24:KD24,KF24)-KA24-KE24,"")</f>
        <v/>
      </c>
      <c r="KU24" s="11" t="str">
        <f>IF(SUM(KG24:KH24,KJ24)-KI24&gt;0,SUM(KG24:KH24,KJ24)-KI24,"")</f>
        <v/>
      </c>
      <c r="KV24" s="11" t="str">
        <f>IF(SUM(JZ24,KD24,KH24)&gt;0,SUM(JZ24,KD24,KH24),"")</f>
        <v/>
      </c>
      <c r="KW24" s="11" t="str">
        <f>IF(SUM(KT24,KU24)&gt;0,SUM(KT24,KU24),"")</f>
        <v/>
      </c>
      <c r="KX24" s="11" t="str">
        <f>IF(SUM(KL24,KP24)&gt;0,SUM(KL24,KP24),"")</f>
        <v/>
      </c>
      <c r="KY24" s="11" t="str">
        <f>IF(SUM(KK24:KL24,KN24:KP24,KR24)-SUM(KM24,KQ24)&gt;0,SUM(KK24:KL24,KN24:KP24,KR24)-SUM(KM24,KQ24),"")</f>
        <v/>
      </c>
      <c r="KZ24" s="11" t="str">
        <f>IF(SUM(KT24,KU24,KY24)&gt;0,SUM(KT24,KU24,KY24),"")</f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>IF(SUM(LB24,LF24)&gt;0,SUM(LB24,LF24),"")</f>
        <v/>
      </c>
      <c r="LV24" s="40" t="str">
        <f>IF(SUM(LA24:LB24,LD24:LF24,LH24)-LC24-LG24&gt;0,SUM(LA24:LB24,LD24:LF24,LH24)-LC24-LG24,"")</f>
        <v/>
      </c>
      <c r="LW24" s="40" t="str">
        <f>IF(SUM(LI24:LJ24,LL24)-LK24&gt;0,SUM(LI24:LJ24,LL24)-LK24,"")</f>
        <v/>
      </c>
      <c r="LX24" s="40" t="str">
        <f>IF(SUM(LB24,LF24,LJ24)&gt;0,SUM(LB24,LF24,LJ24),"")</f>
        <v/>
      </c>
      <c r="LY24" s="40" t="str">
        <f>IF(SUM(LV24,LW24)&gt;0,SUM(LV24,LW24),"")</f>
        <v/>
      </c>
      <c r="LZ24" s="40" t="str">
        <f>IF(SUM(LN24,LR24)&gt;0,SUM(LN24,LR24),"")</f>
        <v/>
      </c>
      <c r="MA24" s="40" t="str">
        <f>IF(SUM(LM24:LN24,LP24:LR24,LT24)-SUM(LO24,LS24)&gt;0,SUM(LM24:LN24,LP24:LR24,LT24)-SUM(LO24,LS24),"")</f>
        <v/>
      </c>
      <c r="MB24" s="40" t="str">
        <f>IF(SUM(LV24,LW24,MA24)&gt;0,SUM(LV24,LW24,MA24),"")</f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>IF(SUM(MD24,MH24)&gt;0,SUM(MD24,MH24),"")</f>
        <v/>
      </c>
      <c r="MX24" s="11" t="str">
        <f>IF(SUM(MC24:MD24,MF24:MH24,MJ24)-ME24-MI24&gt;0,SUM(MC24:MD24,MF24:MH24,MJ24)-ME24-MI24,"")</f>
        <v/>
      </c>
      <c r="MY24" s="11" t="str">
        <f>IF(SUM(MK24:ML24,MN24)-MM24&gt;0,SUM(MK24:ML24,MN24)-MM24,"")</f>
        <v/>
      </c>
      <c r="MZ24" s="11" t="str">
        <f>IF(SUM(MD24,MH24,ML24)&gt;0,SUM(MD24,MH24,ML24),"")</f>
        <v/>
      </c>
      <c r="NA24" s="11" t="str">
        <f>IF(SUM(MX24,MY24)&gt;0,SUM(MX24,MY24),"")</f>
        <v/>
      </c>
      <c r="NB24" s="11" t="str">
        <f>IF(SUM(MP24,MT24)&gt;0,SUM(MP24,MT24),"")</f>
        <v/>
      </c>
      <c r="NC24" s="11" t="str">
        <f>IF(SUM(MO24:MP24,MR24:MT24,MV24)-SUM(MQ24,MU24)&gt;0,SUM(MO24:MP24,MR24:MT24,MV24)-SUM(MQ24,MU24),"")</f>
        <v/>
      </c>
      <c r="ND24" s="11" t="str">
        <f>IF(SUM(MX24,MY24,NC24)&gt;0,SUM(MX24,MY24,NC24),"")</f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>IF(SUM(NF24,NJ24)&gt;0,SUM(NF24,NJ24),"")</f>
        <v/>
      </c>
      <c r="NZ24" s="40" t="str">
        <f>IF(SUM(NE24:NF24,NH24:NJ24,NL24)-NG24-NK24&gt;0,SUM(NE24:NF24,NH24:NJ24,NL24)-NG24-NK24,"")</f>
        <v/>
      </c>
      <c r="OA24" s="40" t="str">
        <f>IF(SUM(NM24:NN24,NP24)-NO24&gt;0,SUM(NM24:NN24,NP24)-NO24,"")</f>
        <v/>
      </c>
      <c r="OB24" s="40" t="str">
        <f>IF(SUM(NF24,NJ24,NN24)&gt;0,SUM(NF24,NJ24,NN24),"")</f>
        <v/>
      </c>
      <c r="OC24" s="40" t="str">
        <f>IF(SUM(NZ24,OA24)&gt;0,SUM(NZ24,OA24),"")</f>
        <v/>
      </c>
      <c r="OD24" s="40" t="str">
        <f>IF(SUM(NR24,NV24)&gt;0,SUM(NR24,NV24),"")</f>
        <v/>
      </c>
      <c r="OE24" s="40" t="str">
        <f>IF(SUM(NQ24:NR24,NT24:NV24,NX24)-SUM(NS24,NW24)&gt;0,SUM(NQ24:NR24,NT24:NV24,NX24)-SUM(NS24,NW24),"")</f>
        <v/>
      </c>
      <c r="OF24" s="40" t="str">
        <f>IF(SUM(NZ24,OA24,OE24)&gt;0,SUM(NZ24,OA24,OE24),"")</f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>IF(SUM(OH24,OL24)&gt;0,SUM(OH24,OL24),"")</f>
        <v/>
      </c>
      <c r="PB24" s="11" t="str">
        <f>IF(SUM(OG24:OH24,OJ24:OL24,ON24)-OI24-OM24&gt;0,SUM(OG24:OH24,OJ24:OL24,ON24)-OI24-OM24,"")</f>
        <v/>
      </c>
      <c r="PC24" s="11" t="str">
        <f>IF(SUM(OO24:OP24,OR24)-OQ24&gt;0,SUM(OO24:OP24,OR24)-OQ24,"")</f>
        <v/>
      </c>
      <c r="PD24" s="11" t="str">
        <f>IF(SUM(OH24,OL24,OP24)&gt;0,SUM(OH24,OL24,OP24),"")</f>
        <v/>
      </c>
      <c r="PE24" s="11" t="str">
        <f>IF(SUM(PB24,PC24)&gt;0,SUM(PB24,PC24),"")</f>
        <v/>
      </c>
      <c r="PF24" s="11" t="str">
        <f>IF(SUM(OT24,OX24)&gt;0,SUM(OT24,OX24),"")</f>
        <v/>
      </c>
      <c r="PG24" s="11" t="str">
        <f>IF(SUM(OS24:OT24,OV24:OX24,OZ24)-SUM(OU24,OY24)&gt;0,SUM(OS24:OT24,OV24:OX24,OZ24)-SUM(OU24,OY24),"")</f>
        <v/>
      </c>
      <c r="PH24" s="11" t="str">
        <f>IF(SUM(PB24,PC24,PG24)&gt;0,SUM(PB24,PC24,PG24),"")</f>
        <v/>
      </c>
      <c r="PI24" s="22">
        <f>IF($CC24="P",BM24,(BM24+AQ24)/2)</f>
        <v>9.5</v>
      </c>
      <c r="PJ24" s="22">
        <f>IF($CC24="P",BN24,(BN24+AR24)/2)</f>
        <v>2.6</v>
      </c>
      <c r="PK24" s="22">
        <f>IF($CC24="P",BO24,(BO24+AS24)/2)</f>
        <v>0.4</v>
      </c>
      <c r="PL24" s="22">
        <f>IF($CC24="P",BP24,(BP24+AT24)/2)</f>
        <v>0</v>
      </c>
      <c r="PM24" s="22">
        <f>IF($CC24="P",BQ24,(BQ24+AU24)/2)</f>
        <v>9.4</v>
      </c>
      <c r="PN24" s="22">
        <f>IF($CC24="P",BR24,(BR24+AV24)/2)</f>
        <v>3.2</v>
      </c>
      <c r="PO24" s="22">
        <f>IF($CC24="P",BS24,(BS24+AW24)/2)</f>
        <v>0</v>
      </c>
      <c r="PP24" s="22">
        <f>IF($CC24="P",BT24,(BT24+AX24)/2)</f>
        <v>0</v>
      </c>
      <c r="PQ24" s="22">
        <f>IF($CC24="P",BU24,(BU24+AY24)/2)</f>
        <v>9.5500000000000007</v>
      </c>
      <c r="PR24" s="22">
        <f>IF($CC24="P",BV24,(BV24+AZ24)/2)</f>
        <v>2.6</v>
      </c>
      <c r="PS24" s="22">
        <f>IF($CC24="P",BW24,(BW24+BA24)/2)</f>
        <v>0.2</v>
      </c>
      <c r="PT24" s="22">
        <f>IF($CC24="P",BX24,(BX24+BB24)/2)</f>
        <v>0</v>
      </c>
      <c r="PU24" s="22">
        <f>IF($CC24="P",BY24,(BY24+BC24)/2)</f>
        <v>9.4</v>
      </c>
      <c r="PV24" s="22">
        <f>IF($CC24="P",BZ24,(BZ24+BD24)/2)</f>
        <v>3.2</v>
      </c>
      <c r="PW24" s="22">
        <f>IF($CC24="P",CA24,(CA24+BE24)/2)</f>
        <v>0.1</v>
      </c>
      <c r="PX24" s="22">
        <f>IF($CC24="P",CB24,(CB24+BF24)/2)</f>
        <v>0</v>
      </c>
      <c r="PY24" s="27" t="s">
        <v>46</v>
      </c>
      <c r="PZ24" s="40">
        <f>IF(SUM(PJ24,PN24)&gt;0,SUM(PJ24,PN24),"")</f>
        <v>5.8000000000000007</v>
      </c>
      <c r="QA24" s="40">
        <f>IF(SUM(PI24:PJ24,PL24:PN24,PP24)-PK24-PO24&gt;0,SUM(PI24:PJ24,PL24:PN24,PP24)-PK24-PO24,"")</f>
        <v>24.3</v>
      </c>
      <c r="QB24" s="40">
        <f>IF(SUM(PR24,PV24)&gt;0,SUM(PR24,PV24),"")</f>
        <v>5.8000000000000007</v>
      </c>
      <c r="QC24" s="40">
        <f>IF(SUM(PQ24:PR24,PT24:PV24,PX24)-SUM(PS24,PW24)&gt;0,SUM(PQ24:PR24,PT24:PV24,PX24)-SUM(PS24,PW24),"")</f>
        <v>24.45</v>
      </c>
      <c r="QD24" s="40">
        <f>IF(SUM(QA24,QC24)&gt;0,SUM(QA24,QC24),"")</f>
        <v>48.75</v>
      </c>
    </row>
    <row r="25" spans="1:446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114</v>
      </c>
      <c r="D25" s="4" t="s">
        <v>5</v>
      </c>
      <c r="E25" s="4">
        <v>2006</v>
      </c>
      <c r="F25" s="9">
        <f>SUM(L25:R25)+SUM(L25:O25)*0.0000001+SUM(L25)*0.0000000000001</f>
        <v>96.700009670005002</v>
      </c>
      <c r="G25" s="64"/>
      <c r="H25" s="3" t="str">
        <f>IF(OR(AND(AL25&gt;=AP$38,AM25&gt;=AP$42,AL25&lt;&gt;"",AK25=""),AND(AN25&gt;=AP$38,AO25&gt;=AP$42,AN25&lt;&gt;"",AK25=""),AND(BH25&gt;=BL$38,BI25&gt;=BL$42,BH25&lt;&gt;"",BG25=""),AND(BJ25&gt;=BL$38,BK25&gt;=BL$42,BJ25&lt;&gt;"",BG25=""),AND(CD25&gt;=CH$38,CE25&gt;=CH$42,CD25&lt;&gt;"",CC25=""),AND(CF25&gt;=CH$38,CG25&gt;=CH$42,CF25&lt;&gt;""),AND(DE25&gt;=DL$38,DF25&gt;=DL$42,DE25&lt;&gt;""),AND(DJ25&gt;=DL$38,DK25&gt;=DL$42,DJ25&lt;&gt;""),AND(EG25&gt;=EN$38,EH25&gt;=EN$42,EG25&lt;&gt;""),AND(EL25&gt;=EN$38,EM25&gt;=EN$42,EL25&lt;&gt;""),AND(FI25&gt;=FP$38,FJ25&gt;=FP$42,FI25&lt;&gt;""),AND(FN25&gt;=FP$38,FO25&gt;=FP$42,FN25&lt;&gt;""),AND(GK25&gt;=GR$38,GL25&gt;=GR$42,GK25&lt;&gt;""),AND(GP25&gt;=GR$38,GQ25&gt;=GR$42,GP25&lt;&gt;""),AND(HM25&gt;=HT$38,HN25&gt;=HT$42,HM25&lt;&gt;""),AND(HR25&gt;=HT$38,HS25&gt;=HT$42,HR25&lt;&gt;""),AND(IO25&gt;=IV$38,IP25&gt;=IV$42,IO25&lt;&gt;""),AND(IT25&gt;=IV$38,IU25&gt;=IV$42,IT25&lt;&gt;""),AND(JQ25&gt;=JX$38,JR25&gt;=JX$42,JQ25&lt;&gt;""),AND(JV25&gt;=JX$38,JW25&gt;=JX$42,JV25&lt;&gt;""),AND(KS25&gt;=KZ$38,KT25&gt;=KZ$42,KS25&lt;&gt;""),AND(KX25&gt;=KZ$38,KY25&gt;=KZ$42,KX25&lt;&gt;""),AND(LU25&gt;=MB$38,LV25&gt;=MB$42,LU25&lt;&gt;""),AND(LZ25&gt;=MB$38,MA25&gt;=MB$42,LZ25&lt;&gt;""),AND(MW25&gt;=ND$38,MX25&gt;=ND$42,MW25&lt;&gt;""),AND(NB25&gt;=ND$38,NC25&gt;=ND$42,NB25&lt;&gt;""),AND(NY25&gt;=OF$38,NZ25&gt;=OF$42,NY25&lt;&gt;""),AND(OD25&gt;=OF$38,OE25&gt;=OF$42,OD25&lt;&gt;""),AND(PA25&gt;=PH$38,PB25&gt;=PH$42,PA25&lt;&gt;""),AND(PF25&gt;=PH$38,PG25&gt;=PH$42,PF25&lt;&gt;"")),"P","")</f>
        <v/>
      </c>
      <c r="I25" s="3" t="str">
        <f>IF(OR(AND(AM25&gt;=AP$42,AM25&lt;&gt;"",AK25=""),AND(AO25&gt;=AP$42,AO25&lt;&gt;"",AK25=""),AND(BI25&gt;=BL$42,BI25&lt;&gt;"",BG25=""),AND(BK25&gt;=BL$42,BK25&lt;&gt;"",BG25=""),AND(CE25&gt;=CH$42,CE25&lt;&gt;"",CC25=""),AND(CG25&gt;=CH$42,CG25&lt;&gt;"",CC25=""),AND(DF25&gt;=DL$42,DF25&lt;&gt;""),AND(DK25&gt;=DL$42,DK25&lt;&gt;""),AND(EH25&gt;=EN$42,EH25&lt;&gt;""),AND(EM25&gt;=EN$42,EM25&lt;&gt;""),AND(FJ25&gt;=FP$42,FJ25&lt;&gt;""),AND(FO25&gt;=FP$42,FO25&lt;&gt;""),AND(GL25&gt;=GR$42,GL25&lt;&gt;""),AND(GQ25&gt;=GR$42,GQ25&lt;&gt;""),AND(HN25&gt;=HT$42,HN25&lt;&gt;""),AND(HS25&gt;=HT$42,HS25&lt;&gt;""),AND(IP25&gt;=IV$42,IP25&lt;&gt;""),AND(IU25&gt;=IV$42,IU25&lt;&gt;""),AND(JR25&gt;=JX$42,JR25&lt;&gt;""),AND(JW25&gt;=JX$42,JW25&lt;&gt;""),AND(KT25&gt;=KZ$42,KT25&lt;&gt;""),AND(KY25&gt;=KZ$42,KY25&lt;&gt;""),AND(LV25&gt;=MB$42,LV25&lt;&gt;""),AND(MA25&gt;=MB$42,MA25&lt;&gt;""),AND(MX25&gt;=ND$42,MX25&lt;&gt;""),AND(NC25&gt;=ND$42,NC25&lt;&gt;""),AND(NZ25&gt;=OF$42,NZ25&lt;&gt;""),AND(OE25&gt;=OF$42,OE25&lt;&gt;""),AND(PB25&gt;=PH$42,PB25&lt;&gt;""),AND(PG25&gt;=PH$42,PG25&lt;&gt;"")),"P","")</f>
        <v/>
      </c>
      <c r="J25" s="36" t="str">
        <f>IF(AND(I25="P",H25=""),"No DD",IF(OR(AND(AL25&gt;=AP$26,AM25&gt;=AP$30,AL25&lt;&gt;"",AK25=""),AND(BH25&gt;=BL$26,BI25&gt;=BL$30,BH25&lt;&gt;"",BG25=""),AND(CD25&gt;=CH$26,CE25&gt;=CH$30,CD25&lt;&gt;"",CC25=""),AND(DH25&gt;=DL$26,DI25&gt;=DL$30,DH25&lt;&gt;""),AND(EJ25&gt;=EN$26,EK25&gt;=EN$30,EJ25&lt;&gt;""),AND(FL25&gt;=FP$26,FM25&gt;=FP$30,FL25&lt;&gt;""),AND(GN25&gt;=GR$26,GO25&gt;=GR$30,GN25&lt;&gt;""),AND(HP25&gt;=HT$26,HQ25&gt;=HT$30,HP25&lt;&gt;""),AND(IR25&gt;=IV$26,IS25&gt;=IV$30,IR25&lt;&gt;""),AND(JT25&gt;=JX$26,JU25&gt;=JX$30,JT25&lt;&gt;""),AND(KV25&gt;=KZ$26,KW25&gt;=KZ$30,KV25&lt;&gt;""),AND(LX25&gt;=MB$26,LY25&gt;=MB$30,LX25&lt;&gt;""),AND(MZ25&gt;=ND$26,NA25&gt;=ND$30,MZ25&lt;&gt;""),AND(OB25&gt;=OF$26,OC25&gt;=OF$30,OB25&lt;&gt;""),AND(PD25&gt;=PH$26,PE25&gt;=PH$30,PD25&lt;&gt;"")),"Merit",IF(OR(AND(AL25&gt;=AP$25,AM25&gt;=AP$29,AL25&lt;&gt;"",AK25=""),AND(BH25&gt;=BL$25,BI25&gt;=BL$29,BH25&lt;&gt;"",BG25=""),AND(CD25&gt;=CH$25,CE25&gt;=CH$29,CD25&lt;&gt;"",CC25=""),AND(DH25&gt;=DL$25,DI25&gt;=DL$29,DH25&lt;&gt;""),AND(EJ25&gt;=EN$25,EK25&gt;=EN$29,EJ25&lt;&gt;""),AND(FL25&gt;=FP$25,FM25&gt;=FP$29,FL25&lt;&gt;""),AND(GN25&gt;=GR$25,GO25&gt;=GR$29,GN25&lt;&gt;""),AND(HP25&gt;=HT$25,HQ25&gt;=HT$29,HP25&lt;&gt;""),AND(IR25&gt;=IV$25,IS25&gt;=IV$29,IR25&lt;&gt;""),AND(JT25&gt;=JX$25,JU25&gt;=JX$29,JT25&lt;&gt;""),AND(KV25&gt;=KZ$25,KW25&gt;=KZ$29,KV25&lt;&gt;""),AND(LX25&gt;=MB$25,LY25&gt;=MB$29,LX25&lt;&gt;""),AND(MZ25&gt;=ND$25,NA25&gt;=ND$29,MZ25&lt;&gt;""),AND(OB25&gt;=OF$25,OC25&gt;=OF$29,OB25&lt;&gt;""),AND(PD25&gt;=PH$25,PE25&gt;=PH$29,PD25&lt;&gt;"")),"Excellence",IF(K25="P","Worlds Team",IF(H25="P","National Team","")))))</f>
        <v/>
      </c>
      <c r="K25" s="3" t="str">
        <f>IF(OR(AND(AL25&gt;=AP$24,AM25&gt;=AP$28,AL25&lt;&gt;"",AK25=""),AND(BH25&gt;=BL$24,BI25&gt;=BL$28,BH25&lt;&gt;"",BG25=""),AND(CD25&gt;=CH$24,CE25&gt;=CH$28,CD25&lt;&gt;"",CC25=""),AND(DH25&gt;=DL$24,DI25&gt;=DL$28,DH25&lt;&gt;""),AND(EJ25&gt;=EN$24,EK25&gt;=EN$28,EJ25&lt;&gt;""),AND(FL25&gt;=FP$24,FM25&gt;=FP$28,FL25&lt;&gt;""),AND(GN25&gt;=GR$24,GO25&gt;=GR$28,GN25&lt;&gt;""),AND(HP25&gt;=HT$24,HQ25&gt;=HT$28,HP25&lt;&gt;""),AND(IR25&gt;=IV$24,IS25&gt;=IV$28,IR25&lt;&gt;""),AND(JT25&gt;=JX$24,JU25&gt;=JX$28,JT25&lt;&gt;""),AND(KV25&gt;=KZ$24,KW25&gt;=KZ$28,KV25&lt;&gt;""),AND(LX25&gt;=MB$24,LY25&gt;=MB$28,LX25&lt;&gt;""),AND(MZ25&gt;=ND$24,NA25&gt;=ND$28,MZ25&lt;&gt;""),AND(OB25&gt;=OF$24,OC25&gt;=OF$28,OB25&lt;&gt;""),AND(PD25&gt;=PH$24,PE25&gt;=PH$28,PD25&lt;&gt;"")),"P","")</f>
        <v/>
      </c>
      <c r="L25" s="8">
        <f>IF(COUNT(AM25,BI25,CE25)&gt;0,LARGE((AM25,BI25,CE25),1),0)</f>
        <v>49.900000000000006</v>
      </c>
      <c r="M25" s="8" t="str">
        <f>IF(L25=0,"",IF(L25=CE25,$BM$1,IF(L25=BI25,$AQ$1,IF(L25=AM25,$U$1,""))))</f>
        <v>2025 Nationals</v>
      </c>
      <c r="N25" s="8">
        <f>IF(COUNT(AM25,BI25,CE25)&gt;1,LARGE((AM25,BI25,CE25),2),0)</f>
        <v>46.800000000000004</v>
      </c>
      <c r="O25" s="8" t="str">
        <f>IF(N25=0,"",IF(AND(N25=L25,N25=AM25,N25=BI25),$U$1,IF(AND(N25=L25,N25=AM25,N25=CE25),$U$1,IF(AND(N25=L25,N25=BI25,N25=CE25),$AQ$1,IF(N25=CE25,$BM$1,IF(N25=BI25,$AQ$1,IF(N25=AM25,$U$1,"")))))))</f>
        <v>2025 Elite Canada</v>
      </c>
      <c r="P25" s="8">
        <f>IF(MAX(AO25,BK25,CG25)&gt;0,MAX(AO25,BK25,CG25),0)</f>
        <v>0</v>
      </c>
      <c r="Q25" s="8" t="str">
        <f>IF(P25=0,"",IF(P25=CG25,$BM$1,IF(P25=BK25,$AQ$1,IF(P25=AO25,$U$1,""))))</f>
        <v/>
      </c>
      <c r="R25" s="8" t="str">
        <f>IF(MAX(CI25:CJ25)&gt;0,MAX(CI25:CJ25),"")</f>
        <v/>
      </c>
      <c r="S25" s="11" t="str">
        <f>IF(R25="","",IF(R25=CI25,"("&amp;CI$2&amp;")",IF(R25=CJ25,"("&amp;CJ$2&amp;")")))</f>
        <v/>
      </c>
      <c r="T25" s="8" t="str">
        <f>IF(R25="","",IF(R25=CI25,IF(R25+IF(N25="",0,N25)=PB25,$OG$1,IF(R25+IF(N25="",0,N25)=NZ25,$NE$1,IF(R25+IF(N25="",0,N25)=MX25,$MC$1,IF(R25+IF(N25="",0,N25)=LV25,$LA$1,IF(R25+IF(N25="",0,N25)=KT25,$JY$1,IF(R25+IF(N25="",0,N25)=JR25,$IW$1,IF(R25+IF(N25="",0,N25)=IP25,$HU$1,IF(R25+IF(N25="",0,N25)=HN25,$GS$1,IF(R25+IF(N25="",0,N25)=GL25,$FQ$1,IF(R25+IF(N25="",0,N25)=FJ25,$EO$1,IF(R25+IF(N25="",0,N25)=EH25,$DM$1,IF(R25+IF(N25="",0,N25)=DF25,$CK$1)))))))))))),IF(R25=CJ25,IF(R25+IF(P25="",0,P25)=PG25,$OG$1,IF(R25+IF(P25="",0,P25)=OE25,$NE$1,IF(R25+IF(P25="",0,P25)=NC25,$MC$1,IF(R25+IF(P25="",0,P25)=MA25,$LA$1,IF(R25+IF(P25="",0,P25)=KY25,$JY$1,IF(R25+IF(P25="",0,P25)=JW25,$IW$1,IF(R25+IF(P25="",0,P25)=IU25,$HU$1,IF(R25+IF(P25="",0,P25)=HS25,$GS$1,IF(R25+IF(P25="",0,P25)=GQ25,$FQ$1,IF(R25+IF(P25="",0,P25)=FO25,$EO$1,IF(R25+IF(P25="",0,P25)=EM25,$DM$1,IF(R25+IF(P25="",0,P25)=DK25,$CK$1)))))))))))))))</f>
        <v/>
      </c>
      <c r="U25" s="19">
        <v>17.7</v>
      </c>
      <c r="V25" s="19">
        <v>5.6</v>
      </c>
      <c r="W25" s="19">
        <v>1.6</v>
      </c>
      <c r="X25" s="19">
        <v>0</v>
      </c>
      <c r="Y25" s="19">
        <v>18.7</v>
      </c>
      <c r="Z25" s="19">
        <v>7.2</v>
      </c>
      <c r="AA25" s="19">
        <v>0.8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27"/>
      <c r="AL25" s="40">
        <f>IF(SUM(V25,Z25)&gt;0,SUM(V25,Z25),"")</f>
        <v>12.8</v>
      </c>
      <c r="AM25" s="40">
        <f>IF(SUM(U25:V25,X25:Z25,AB25)-W25-AA25&gt;0,SUM(U25:V25,X25:Z25,AB25)-W25-AA25,"")</f>
        <v>46.800000000000004</v>
      </c>
      <c r="AN25" s="40" t="str">
        <f>IF(SUM(AD25,AH25)&gt;0,SUM(AD25,AH25),"")</f>
        <v/>
      </c>
      <c r="AO25" s="40" t="str">
        <f>IF(SUM(AC25:AD25,AF25:AH25,AJ25)-SUM(AE25,AI25)&gt;0,SUM(AC25:AD25,AF25:AH25,AJ25)-SUM(AE25,AI25),"")</f>
        <v/>
      </c>
      <c r="AP25" s="40">
        <f>IF(SUM(AM25,AO25)&gt;0,SUM(AM25,AO25),"")</f>
        <v>46.800000000000004</v>
      </c>
      <c r="AQ25" s="18">
        <v>18.2</v>
      </c>
      <c r="AR25" s="18">
        <v>8</v>
      </c>
      <c r="AS25" s="18">
        <v>0.8</v>
      </c>
      <c r="AT25" s="18">
        <v>0</v>
      </c>
      <c r="AU25" s="18">
        <v>18</v>
      </c>
      <c r="AV25" s="18">
        <v>7.3</v>
      </c>
      <c r="AW25" s="18">
        <v>0.8</v>
      </c>
      <c r="AX25" s="18">
        <v>0</v>
      </c>
      <c r="AY25" s="18"/>
      <c r="AZ25" s="18"/>
      <c r="BA25" s="18"/>
      <c r="BB25" s="18"/>
      <c r="BC25" s="18"/>
      <c r="BD25" s="18"/>
      <c r="BE25" s="18"/>
      <c r="BF25" s="18"/>
      <c r="BG25" s="28"/>
      <c r="BH25" s="11">
        <f>IF(SUM(AR25,AV25)&gt;0,SUM(AR25,AV25),"")</f>
        <v>15.3</v>
      </c>
      <c r="BI25" s="11">
        <f>IF(SUM(AQ25:AR25,AT25:AV25,AX25)-AS25-AW25&gt;0,SUM(AQ25:AR25,AT25:AV25,AX25)-AS25-AW25,"")</f>
        <v>49.900000000000006</v>
      </c>
      <c r="BJ25" s="11" t="str">
        <f>IF(SUM(AZ25,BD25)&gt;0,SUM(AZ25,BD25),"")</f>
        <v/>
      </c>
      <c r="BK25" s="11" t="str">
        <f>IF(SUM(AY25:AZ25,BB25:BD25,BF25)-SUM(BA25,BE25)&gt;0,SUM(AY25:AZ25,BB25:BD25,BF25)-SUM(BA25,BE25),"")</f>
        <v/>
      </c>
      <c r="BL25" s="11">
        <f>IF(SUM(BI25,BK25)&gt;0,SUM(BI25,BK25),"")</f>
        <v>49.900000000000006</v>
      </c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7"/>
      <c r="CD25" s="40" t="str">
        <f>IF(SUM(BN25,BR25)&gt;0,SUM(BN25,BR25),"")</f>
        <v/>
      </c>
      <c r="CE25" s="40" t="str">
        <f>IF(SUM(BM25:BN25,BP25:BR25,BT25)-BO25-BS25&gt;0,SUM(BM25:BN25,BP25:BR25,BT25)-BO25-BS25,"")</f>
        <v/>
      </c>
      <c r="CF25" s="40" t="str">
        <f>IF(SUM(BV25,BZ25)&gt;0,SUM(BV25,BZ25),"")</f>
        <v/>
      </c>
      <c r="CG25" s="40" t="str">
        <f>IF(SUM(BU25:BV25,BX25:BZ25,CB25)-SUM(BW25,CA25)&gt;0,SUM(BU25:BV25,BX25:BZ25,CB25)-SUM(BW25,CA25),"")</f>
        <v/>
      </c>
      <c r="CH25" s="40" t="str">
        <f>IF(SUM(CE25,CG25)&gt;0,SUM(CE25,CG25),"")</f>
        <v/>
      </c>
      <c r="CI25" s="50" t="str">
        <f>IF(MAX(DF25,EH25,FJ25,GL25,HN25,IP25,JR25,KT25,LV25,MX25,NZ25,PB25)-IF(N25="",0,N25)&gt;0.001,MAX(DF25,EH25,FJ25,GL25,HN25,IP25,JR25,KT25,LV25,MX25,NZ25,PB25)-IF(N25="",0,N25),"")</f>
        <v/>
      </c>
      <c r="CJ25" s="50" t="str">
        <f>IF(MAX(DK25,EM25,FO25,GQ25,HS25,IU25,JW25,KY25,MA25,NC25,OE25,PG25)-IF(P25="",0,P25)&gt;0.001,MAX(DK25,EM25,FO25,GQ25,HS25,IU25,JW25,KY25,MA25,NC25,OE25,PG25)-IF(P25="",0,P25),"")</f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>IF(SUM(CL25,CP25)&gt;0,SUM(CL25,CP25),"")</f>
        <v/>
      </c>
      <c r="DF25" s="40" t="str">
        <f>IF(SUM(CK25:CL25,CN25:CP25,CR25)-CM25-CQ25&gt;0,SUM(CK25:CL25,CN25:CP25,CR25)-CM25-CQ25,"")</f>
        <v/>
      </c>
      <c r="DG25" s="40" t="str">
        <f>IF(SUM(CS25:CT25,CV25)-CU25&gt;0,SUM(CS25:CT25,CV25)-CU25,"")</f>
        <v/>
      </c>
      <c r="DH25" s="40" t="str">
        <f>IF(SUM(CL25,CP25,CT25)&gt;0,SUM(CL25,CP25,CT25),"")</f>
        <v/>
      </c>
      <c r="DI25" s="40" t="str">
        <f>IF(SUM(DF25,DG25)&gt;0,SUM(DF25,DG25),"")</f>
        <v/>
      </c>
      <c r="DJ25" s="40" t="str">
        <f>IF(SUM(CX25,DB25)&gt;0,SUM(CX25,DB25),"")</f>
        <v/>
      </c>
      <c r="DK25" s="40" t="str">
        <f>IF(SUM(CW25:CX25,CZ25:DB25,DD25)-SUM(CY25,DC25)&gt;0,SUM(CW25:CX25,CZ25:DB25,DD25)-SUM(CY25,DC25),"")</f>
        <v/>
      </c>
      <c r="DL25" s="40" t="str">
        <f>IF(SUM(DF25,DG25,DK25)&gt;0,SUM(DF25,DG25,DK25),"")</f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>IF(SUM(DN25,DR25)&gt;0,SUM(DN25,DR25),"")</f>
        <v/>
      </c>
      <c r="EH25" s="11" t="str">
        <f>IF(SUM(DM25:DN25,DP25:DR25,DT25)-DO25-DS25&gt;0,SUM(DM25:DN25,DP25:DR25,DT25)-DO25-DS25,"")</f>
        <v/>
      </c>
      <c r="EI25" s="11" t="str">
        <f>IF(SUM(DU25:DV25,DX25)-DW25&gt;0,SUM(DU25:DV25,DX25)-DW25,"")</f>
        <v/>
      </c>
      <c r="EJ25" s="11" t="str">
        <f>IF(SUM(DN25,DR25,DV25)&gt;0,SUM(DN25,DR25,DV25),"")</f>
        <v/>
      </c>
      <c r="EK25" s="11" t="str">
        <f>IF(SUM(EH25,EI25)&gt;0,SUM(EH25,EI25),"")</f>
        <v/>
      </c>
      <c r="EL25" s="11" t="str">
        <f>IF(SUM(DZ25,ED25)&gt;0,SUM(DZ25,ED25),"")</f>
        <v/>
      </c>
      <c r="EM25" s="11" t="str">
        <f>IF(SUM(DY25:DZ25,EB25:ED25,EF25)-SUM(EA25,EE25)&gt;0,SUM(DY25:DZ25,EB25:ED25,EF25)-SUM(EA25,EE25),"")</f>
        <v/>
      </c>
      <c r="EN25" s="11" t="str">
        <f>IF(SUM(EH25,EI25,EM25)&gt;0,SUM(EH25,EI25,EM25),"")</f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>IF(SUM(EP25,ET25)&gt;0,SUM(EP25,ET25),"")</f>
        <v/>
      </c>
      <c r="FJ25" s="40" t="str">
        <f>IF(SUM(EO25:EP25,ER25:ET25,EV25)-EQ25-EU25&gt;0,SUM(EO25:EP25,ER25:ET25,EV25)-EQ25-EU25,"")</f>
        <v/>
      </c>
      <c r="FK25" s="40" t="str">
        <f>IF(SUM(EW25:EX25,EZ25)-EY25&gt;0,SUM(EW25:EX25,EZ25)-EY25,"")</f>
        <v/>
      </c>
      <c r="FL25" s="40" t="str">
        <f>IF(SUM(EP25,ET25,EX25)&gt;0,SUM(EP25,ET25,EX25),"")</f>
        <v/>
      </c>
      <c r="FM25" s="40" t="str">
        <f>IF(SUM(FJ25,FK25)&gt;0,SUM(FJ25,FK25),"")</f>
        <v/>
      </c>
      <c r="FN25" s="40" t="str">
        <f>IF(SUM(FB25,FF25)&gt;0,SUM(FB25,FF25),"")</f>
        <v/>
      </c>
      <c r="FO25" s="40" t="str">
        <f>IF(SUM(FA25:FB25,FD25:FF25,FH25)-SUM(FC25,FG25)&gt;0,SUM(FA25:FB25,FD25:FF25,FH25)-SUM(FC25,FG25),"")</f>
        <v/>
      </c>
      <c r="FP25" s="40" t="str">
        <f>IF(SUM(FJ25,FK25,FO25)&gt;0,SUM(FJ25,FK25,FO25),"")</f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>IF(SUM(FR25,FV25)&gt;0,SUM(FR25,FV25),"")</f>
        <v/>
      </c>
      <c r="GL25" s="11" t="str">
        <f>IF(SUM(FQ25:FR25,FT25:FV25,FX25)-FS25-FW25&gt;0,SUM(FQ25:FR25,FT25:FV25,FX25)-FS25-FW25,"")</f>
        <v/>
      </c>
      <c r="GM25" s="11" t="str">
        <f>IF(SUM(FY25:FZ25,GB25)-GA25&gt;0,SUM(FY25:FZ25,GB25)-GA25,"")</f>
        <v/>
      </c>
      <c r="GN25" s="11" t="str">
        <f>IF(SUM(FR25,FV25,FZ25)&gt;0,SUM(FR25,FV25,FZ25),"")</f>
        <v/>
      </c>
      <c r="GO25" s="11" t="str">
        <f>IF(SUM(GL25,GM25)&gt;0,SUM(GL25,GM25),"")</f>
        <v/>
      </c>
      <c r="GP25" s="11" t="str">
        <f>IF(SUM(GD25,GH25)&gt;0,SUM(GD25,GH25),"")</f>
        <v/>
      </c>
      <c r="GQ25" s="11" t="str">
        <f>IF(SUM(GC25:GD25,GF25:GH25,GJ25)-SUM(GE25,GI25)&gt;0,SUM(GC25:GD25,GF25:GH25,GJ25)-SUM(GE25,GI25),"")</f>
        <v/>
      </c>
      <c r="GR25" s="11" t="str">
        <f>IF(SUM(GL25,GM25,GQ25)&gt;0,SUM(GL25,GM25,GQ25),"")</f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>IF(SUM(GT25,GX25)&gt;0,SUM(GT25,GX25),"")</f>
        <v/>
      </c>
      <c r="HN25" s="40" t="str">
        <f>IF(SUM(GS25:GT25,GV25:GX25,GZ25)-GU25-GY25&gt;0,SUM(GS25:GT25,GV25:GX25,GZ25)-GU25-GY25,"")</f>
        <v/>
      </c>
      <c r="HO25" s="40" t="str">
        <f>IF(SUM(HA25:HB25,HD25)-HC25&gt;0,SUM(HA25:HB25,HD25)-HC25,"")</f>
        <v/>
      </c>
      <c r="HP25" s="40" t="str">
        <f>IF(SUM(GT25,GX25,HB25)&gt;0,SUM(GT25,GX25,HB25),"")</f>
        <v/>
      </c>
      <c r="HQ25" s="40" t="str">
        <f>IF(SUM(HN25,HO25)&gt;0,SUM(HN25,HO25),"")</f>
        <v/>
      </c>
      <c r="HR25" s="40" t="str">
        <f>IF(SUM(HF25,HJ25)&gt;0,SUM(HF25,HJ25),"")</f>
        <v/>
      </c>
      <c r="HS25" s="40" t="str">
        <f>IF(SUM(HE25:HF25,HH25:HJ25,HL25)-SUM(HG25,HK25)&gt;0,SUM(HE25:HF25,HH25:HJ25,HL25)-SUM(HG25,HK25),"")</f>
        <v/>
      </c>
      <c r="HT25" s="40" t="str">
        <f>IF(SUM(HN25,HO25,HS25)&gt;0,SUM(HN25,HO25,HS25),"")</f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>IF(SUM(HV25,HZ25)&gt;0,SUM(HV25,HZ25),"")</f>
        <v/>
      </c>
      <c r="IP25" s="11" t="str">
        <f>IF(SUM(HU25:HV25,HX25:HZ25,IB25)-HW25-IA25&gt;0,SUM(HU25:HV25,HX25:HZ25,IB25)-HW25-IA25,"")</f>
        <v/>
      </c>
      <c r="IQ25" s="11" t="str">
        <f>IF(SUM(IC25:ID25,IF25)-IE25&gt;0,SUM(IC25:ID25,IF25)-IE25,"")</f>
        <v/>
      </c>
      <c r="IR25" s="11" t="str">
        <f>IF(SUM(HV25,HZ25,ID25)&gt;0,SUM(HV25,HZ25,ID25),"")</f>
        <v/>
      </c>
      <c r="IS25" s="11" t="str">
        <f>IF(SUM(IP25,IQ25)&gt;0,SUM(IP25,IQ25),"")</f>
        <v/>
      </c>
      <c r="IT25" s="11" t="str">
        <f>IF(SUM(IH25,IL25)&gt;0,SUM(IH25,IL25),"")</f>
        <v/>
      </c>
      <c r="IU25" s="11" t="str">
        <f>IF(SUM(IG25:IH25,IJ25:IL25,IN25)-SUM(II25,IM25)&gt;0,SUM(IG25:IH25,IJ25:IL25,IN25)-SUM(II25,IM25),"")</f>
        <v/>
      </c>
      <c r="IV25" s="11" t="str">
        <f>IF(SUM(IP25,IQ25,IU25)&gt;0,SUM(IP25,IQ25,IU25),"")</f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>IF(SUM(IX25,JB25)&gt;0,SUM(IX25,JB25),"")</f>
        <v/>
      </c>
      <c r="JR25" s="40" t="str">
        <f>IF(SUM(IW25:IX25,IZ25:JB25,JD25)-IY25-JC25&gt;0,SUM(IW25:IX25,IZ25:JB25,JD25)-IY25-JC25,"")</f>
        <v/>
      </c>
      <c r="JS25" s="40" t="str">
        <f>IF(SUM(JE25:JF25,JH25)-JG25&gt;0,SUM(JE25:JF25,JH25)-JG25,"")</f>
        <v/>
      </c>
      <c r="JT25" s="40" t="str">
        <f>IF(SUM(IX25,JB25,JF25)&gt;0,SUM(IX25,JB25,JF25),"")</f>
        <v/>
      </c>
      <c r="JU25" s="40" t="str">
        <f>IF(SUM(JR25,JS25)&gt;0,SUM(JR25,JS25),"")</f>
        <v/>
      </c>
      <c r="JV25" s="40" t="str">
        <f>IF(SUM(JJ25,JN25)&gt;0,SUM(JJ25,JN25),"")</f>
        <v/>
      </c>
      <c r="JW25" s="40" t="str">
        <f>IF(SUM(JI25:JJ25,JL25:JN25,JP25)-SUM(JK25,JO25)&gt;0,SUM(JI25:JJ25,JL25:JN25,JP25)-SUM(JK25,JO25),"")</f>
        <v/>
      </c>
      <c r="JX25" s="40" t="str">
        <f>IF(SUM(JR25,JS25,JW25)&gt;0,SUM(JR25,JS25,JW25),"")</f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>IF(SUM(JZ25,KD25)&gt;0,SUM(JZ25,KD25),"")</f>
        <v/>
      </c>
      <c r="KT25" s="11" t="str">
        <f>IF(SUM(JY25:JZ25,KB25:KD25,KF25)-KA25-KE25&gt;0,SUM(JY25:JZ25,KB25:KD25,KF25)-KA25-KE25,"")</f>
        <v/>
      </c>
      <c r="KU25" s="11" t="str">
        <f>IF(SUM(KG25:KH25,KJ25)-KI25&gt;0,SUM(KG25:KH25,KJ25)-KI25,"")</f>
        <v/>
      </c>
      <c r="KV25" s="11" t="str">
        <f>IF(SUM(JZ25,KD25,KH25)&gt;0,SUM(JZ25,KD25,KH25),"")</f>
        <v/>
      </c>
      <c r="KW25" s="11" t="str">
        <f>IF(SUM(KT25,KU25)&gt;0,SUM(KT25,KU25),"")</f>
        <v/>
      </c>
      <c r="KX25" s="11" t="str">
        <f>IF(SUM(KL25,KP25)&gt;0,SUM(KL25,KP25),"")</f>
        <v/>
      </c>
      <c r="KY25" s="11" t="str">
        <f>IF(SUM(KK25:KL25,KN25:KP25,KR25)-SUM(KM25,KQ25)&gt;0,SUM(KK25:KL25,KN25:KP25,KR25)-SUM(KM25,KQ25),"")</f>
        <v/>
      </c>
      <c r="KZ25" s="11" t="str">
        <f>IF(SUM(KT25,KU25,KY25)&gt;0,SUM(KT25,KU25,KY25),"")</f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>IF(SUM(LB25,LF25)&gt;0,SUM(LB25,LF25),"")</f>
        <v/>
      </c>
      <c r="LV25" s="40" t="str">
        <f>IF(SUM(LA25:LB25,LD25:LF25,LH25)-LC25-LG25&gt;0,SUM(LA25:LB25,LD25:LF25,LH25)-LC25-LG25,"")</f>
        <v/>
      </c>
      <c r="LW25" s="40" t="str">
        <f>IF(SUM(LI25:LJ25,LL25)-LK25&gt;0,SUM(LI25:LJ25,LL25)-LK25,"")</f>
        <v/>
      </c>
      <c r="LX25" s="40" t="str">
        <f>IF(SUM(LB25,LF25,LJ25)&gt;0,SUM(LB25,LF25,LJ25),"")</f>
        <v/>
      </c>
      <c r="LY25" s="40" t="str">
        <f>IF(SUM(LV25,LW25)&gt;0,SUM(LV25,LW25),"")</f>
        <v/>
      </c>
      <c r="LZ25" s="40" t="str">
        <f>IF(SUM(LN25,LR25)&gt;0,SUM(LN25,LR25),"")</f>
        <v/>
      </c>
      <c r="MA25" s="40" t="str">
        <f>IF(SUM(LM25:LN25,LP25:LR25,LT25)-SUM(LO25,LS25)&gt;0,SUM(LM25:LN25,LP25:LR25,LT25)-SUM(LO25,LS25),"")</f>
        <v/>
      </c>
      <c r="MB25" s="40" t="str">
        <f>IF(SUM(LV25,LW25,MA25)&gt;0,SUM(LV25,LW25,MA25),"")</f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>IF(SUM(MD25,MH25)&gt;0,SUM(MD25,MH25),"")</f>
        <v/>
      </c>
      <c r="MX25" s="11" t="str">
        <f>IF(SUM(MC25:MD25,MF25:MH25,MJ25)-ME25-MI25&gt;0,SUM(MC25:MD25,MF25:MH25,MJ25)-ME25-MI25,"")</f>
        <v/>
      </c>
      <c r="MY25" s="11" t="str">
        <f>IF(SUM(MK25:ML25,MN25)-MM25&gt;0,SUM(MK25:ML25,MN25)-MM25,"")</f>
        <v/>
      </c>
      <c r="MZ25" s="11" t="str">
        <f>IF(SUM(MD25,MH25,ML25)&gt;0,SUM(MD25,MH25,ML25),"")</f>
        <v/>
      </c>
      <c r="NA25" s="11" t="str">
        <f>IF(SUM(MX25,MY25)&gt;0,SUM(MX25,MY25),"")</f>
        <v/>
      </c>
      <c r="NB25" s="11" t="str">
        <f>IF(SUM(MP25,MT25)&gt;0,SUM(MP25,MT25),"")</f>
        <v/>
      </c>
      <c r="NC25" s="11" t="str">
        <f>IF(SUM(MO25:MP25,MR25:MT25,MV25)-SUM(MQ25,MU25)&gt;0,SUM(MO25:MP25,MR25:MT25,MV25)-SUM(MQ25,MU25),"")</f>
        <v/>
      </c>
      <c r="ND25" s="11" t="str">
        <f>IF(SUM(MX25,MY25,NC25)&gt;0,SUM(MX25,MY25,NC25),"")</f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>IF(SUM(NF25,NJ25)&gt;0,SUM(NF25,NJ25),"")</f>
        <v/>
      </c>
      <c r="NZ25" s="40" t="str">
        <f>IF(SUM(NE25:NF25,NH25:NJ25,NL25)-NG25-NK25&gt;0,SUM(NE25:NF25,NH25:NJ25,NL25)-NG25-NK25,"")</f>
        <v/>
      </c>
      <c r="OA25" s="40" t="str">
        <f>IF(SUM(NM25:NN25,NP25)-NO25&gt;0,SUM(NM25:NN25,NP25)-NO25,"")</f>
        <v/>
      </c>
      <c r="OB25" s="40" t="str">
        <f>IF(SUM(NF25,NJ25,NN25)&gt;0,SUM(NF25,NJ25,NN25),"")</f>
        <v/>
      </c>
      <c r="OC25" s="40" t="str">
        <f>IF(SUM(NZ25,OA25)&gt;0,SUM(NZ25,OA25),"")</f>
        <v/>
      </c>
      <c r="OD25" s="40" t="str">
        <f>IF(SUM(NR25,NV25)&gt;0,SUM(NR25,NV25),"")</f>
        <v/>
      </c>
      <c r="OE25" s="40" t="str">
        <f>IF(SUM(NQ25:NR25,NT25:NV25,NX25)-SUM(NS25,NW25)&gt;0,SUM(NQ25:NR25,NT25:NV25,NX25)-SUM(NS25,NW25),"")</f>
        <v/>
      </c>
      <c r="OF25" s="40" t="str">
        <f>IF(SUM(NZ25,OA25,OE25)&gt;0,SUM(NZ25,OA25,OE25),"")</f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>IF(SUM(OH25,OL25)&gt;0,SUM(OH25,OL25),"")</f>
        <v/>
      </c>
      <c r="PB25" s="11" t="str">
        <f>IF(SUM(OG25:OH25,OJ25:OL25,ON25)-OI25-OM25&gt;0,SUM(OG25:OH25,OJ25:OL25,ON25)-OI25-OM25,"")</f>
        <v/>
      </c>
      <c r="PC25" s="11" t="str">
        <f>IF(SUM(OO25:OP25,OR25)-OQ25&gt;0,SUM(OO25:OP25,OR25)-OQ25,"")</f>
        <v/>
      </c>
      <c r="PD25" s="11" t="str">
        <f>IF(SUM(OH25,OL25,OP25)&gt;0,SUM(OH25,OL25,OP25),"")</f>
        <v/>
      </c>
      <c r="PE25" s="11" t="str">
        <f>IF(SUM(PB25,PC25)&gt;0,SUM(PB25,PC25),"")</f>
        <v/>
      </c>
      <c r="PF25" s="11" t="str">
        <f>IF(SUM(OT25,OX25)&gt;0,SUM(OT25,OX25),"")</f>
        <v/>
      </c>
      <c r="PG25" s="11" t="str">
        <f>IF(SUM(OS25:OT25,OV25:OX25,OZ25)-SUM(OU25,OY25)&gt;0,SUM(OS25:OT25,OV25:OX25,OZ25)-SUM(OU25,OY25),"")</f>
        <v/>
      </c>
      <c r="PH25" s="11" t="str">
        <f>IF(SUM(PB25,PC25,PG25)&gt;0,SUM(PB25,PC25,PG25),"")</f>
        <v/>
      </c>
      <c r="PI25" s="22">
        <f>IF($CC25="P",BM25,(BM25+AQ25)/2)</f>
        <v>9.1</v>
      </c>
      <c r="PJ25" s="22">
        <f>IF($CC25="P",BN25,(BN25+AR25)/2)</f>
        <v>4</v>
      </c>
      <c r="PK25" s="22">
        <f>IF($CC25="P",BO25,(BO25+AS25)/2)</f>
        <v>0.4</v>
      </c>
      <c r="PL25" s="22">
        <f>IF($CC25="P",BP25,(BP25+AT25)/2)</f>
        <v>0</v>
      </c>
      <c r="PM25" s="22">
        <f>IF($CC25="P",BQ25,(BQ25+AU25)/2)</f>
        <v>9</v>
      </c>
      <c r="PN25" s="22">
        <f>IF($CC25="P",BR25,(BR25+AV25)/2)</f>
        <v>3.65</v>
      </c>
      <c r="PO25" s="22">
        <f>IF($CC25="P",BS25,(BS25+AW25)/2)</f>
        <v>0.4</v>
      </c>
      <c r="PP25" s="22">
        <f>IF($CC25="P",BT25,(BT25+AX25)/2)</f>
        <v>0</v>
      </c>
      <c r="PQ25" s="22">
        <f>IF($CC25="P",BU25,(BU25+AY25)/2)</f>
        <v>0</v>
      </c>
      <c r="PR25" s="22">
        <f>IF($CC25="P",BV25,(BV25+AZ25)/2)</f>
        <v>0</v>
      </c>
      <c r="PS25" s="22">
        <f>IF($CC25="P",BW25,(BW25+BA25)/2)</f>
        <v>0</v>
      </c>
      <c r="PT25" s="22">
        <f>IF($CC25="P",BX25,(BX25+BB25)/2)</f>
        <v>0</v>
      </c>
      <c r="PU25" s="22">
        <f>IF($CC25="P",BY25,(BY25+BC25)/2)</f>
        <v>0</v>
      </c>
      <c r="PV25" s="22">
        <f>IF($CC25="P",BZ25,(BZ25+BD25)/2)</f>
        <v>0</v>
      </c>
      <c r="PW25" s="22">
        <f>IF($CC25="P",CA25,(CA25+BE25)/2)</f>
        <v>0</v>
      </c>
      <c r="PX25" s="22">
        <f>IF($CC25="P",CB25,(CB25+BF25)/2)</f>
        <v>0</v>
      </c>
      <c r="PY25" s="27" t="s">
        <v>46</v>
      </c>
      <c r="PZ25" s="40">
        <f>IF(SUM(PJ25,PN25)&gt;0,SUM(PJ25,PN25),"")</f>
        <v>7.65</v>
      </c>
      <c r="QA25" s="40">
        <f>IF(SUM(PI25:PJ25,PL25:PN25,PP25)-PK25-PO25&gt;0,SUM(PI25:PJ25,PL25:PN25,PP25)-PK25-PO25,"")</f>
        <v>24.950000000000003</v>
      </c>
      <c r="QB25" s="40" t="str">
        <f>IF(SUM(PR25,PV25)&gt;0,SUM(PR25,PV25),"")</f>
        <v/>
      </c>
      <c r="QC25" s="40" t="str">
        <f>IF(SUM(PQ25:PR25,PT25:PV25,PX25)-SUM(PS25,PW25)&gt;0,SUM(PQ25:PR25,PT25:PV25,PX25)-SUM(PS25,PW25),"")</f>
        <v/>
      </c>
      <c r="QD25" s="40">
        <f>IF(SUM(QA25,QC25)&gt;0,SUM(QA25,QC25),"")</f>
        <v>24.950000000000003</v>
      </c>
    </row>
    <row r="26" spans="1:446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135</v>
      </c>
      <c r="D26" s="4" t="s">
        <v>5</v>
      </c>
      <c r="E26" s="4">
        <v>2007</v>
      </c>
      <c r="F26" s="9">
        <f>SUM(L26:R26)+SUM(L26:O26)*0.0000001+SUM(L26)*0.0000000000001</f>
        <v>95.000009500004879</v>
      </c>
      <c r="G26" s="64"/>
      <c r="H26" s="3" t="str">
        <f>IF(OR(AND(AL26&gt;=AP$38,AM26&gt;=AP$42,AL26&lt;&gt;"",AK26=""),AND(AN26&gt;=AP$38,AO26&gt;=AP$42,AN26&lt;&gt;"",AK26=""),AND(BH26&gt;=BL$38,BI26&gt;=BL$42,BH26&lt;&gt;"",BG26=""),AND(BJ26&gt;=BL$38,BK26&gt;=BL$42,BJ26&lt;&gt;"",BG26=""),AND(CD26&gt;=CH$38,CE26&gt;=CH$42,CD26&lt;&gt;"",CC26=""),AND(CF26&gt;=CH$38,CG26&gt;=CH$42,CF26&lt;&gt;""),AND(DE26&gt;=DL$38,DF26&gt;=DL$42,DE26&lt;&gt;""),AND(DJ26&gt;=DL$38,DK26&gt;=DL$42,DJ26&lt;&gt;""),AND(EG26&gt;=EN$38,EH26&gt;=EN$42,EG26&lt;&gt;""),AND(EL26&gt;=EN$38,EM26&gt;=EN$42,EL26&lt;&gt;""),AND(FI26&gt;=FP$38,FJ26&gt;=FP$42,FI26&lt;&gt;""),AND(FN26&gt;=FP$38,FO26&gt;=FP$42,FN26&lt;&gt;""),AND(GK26&gt;=GR$38,GL26&gt;=GR$42,GK26&lt;&gt;""),AND(GP26&gt;=GR$38,GQ26&gt;=GR$42,GP26&lt;&gt;""),AND(HM26&gt;=HT$38,HN26&gt;=HT$42,HM26&lt;&gt;""),AND(HR26&gt;=HT$38,HS26&gt;=HT$42,HR26&lt;&gt;""),AND(IO26&gt;=IV$38,IP26&gt;=IV$42,IO26&lt;&gt;""),AND(IT26&gt;=IV$38,IU26&gt;=IV$42,IT26&lt;&gt;""),AND(JQ26&gt;=JX$38,JR26&gt;=JX$42,JQ26&lt;&gt;""),AND(JV26&gt;=JX$38,JW26&gt;=JX$42,JV26&lt;&gt;""),AND(KS26&gt;=KZ$38,KT26&gt;=KZ$42,KS26&lt;&gt;""),AND(KX26&gt;=KZ$38,KY26&gt;=KZ$42,KX26&lt;&gt;""),AND(LU26&gt;=MB$38,LV26&gt;=MB$42,LU26&lt;&gt;""),AND(LZ26&gt;=MB$38,MA26&gt;=MB$42,LZ26&lt;&gt;""),AND(MW26&gt;=ND$38,MX26&gt;=ND$42,MW26&lt;&gt;""),AND(NB26&gt;=ND$38,NC26&gt;=ND$42,NB26&lt;&gt;""),AND(NY26&gt;=OF$38,NZ26&gt;=OF$42,NY26&lt;&gt;""),AND(OD26&gt;=OF$38,OE26&gt;=OF$42,OD26&lt;&gt;""),AND(PA26&gt;=PH$38,PB26&gt;=PH$42,PA26&lt;&gt;""),AND(PF26&gt;=PH$38,PG26&gt;=PH$42,PF26&lt;&gt;"")),"P","")</f>
        <v/>
      </c>
      <c r="I26" s="3" t="str">
        <f>IF(OR(AND(AM26&gt;=AP$42,AM26&lt;&gt;"",AK26=""),AND(AO26&gt;=AP$42,AO26&lt;&gt;"",AK26=""),AND(BI26&gt;=BL$42,BI26&lt;&gt;"",BG26=""),AND(BK26&gt;=BL$42,BK26&lt;&gt;"",BG26=""),AND(CE26&gt;=CH$42,CE26&lt;&gt;"",CC26=""),AND(CG26&gt;=CH$42,CG26&lt;&gt;"",CC26=""),AND(DF26&gt;=DL$42,DF26&lt;&gt;""),AND(DK26&gt;=DL$42,DK26&lt;&gt;""),AND(EH26&gt;=EN$42,EH26&lt;&gt;""),AND(EM26&gt;=EN$42,EM26&lt;&gt;""),AND(FJ26&gt;=FP$42,FJ26&lt;&gt;""),AND(FO26&gt;=FP$42,FO26&lt;&gt;""),AND(GL26&gt;=GR$42,GL26&lt;&gt;""),AND(GQ26&gt;=GR$42,GQ26&lt;&gt;""),AND(HN26&gt;=HT$42,HN26&lt;&gt;""),AND(HS26&gt;=HT$42,HS26&lt;&gt;""),AND(IP26&gt;=IV$42,IP26&lt;&gt;""),AND(IU26&gt;=IV$42,IU26&lt;&gt;""),AND(JR26&gt;=JX$42,JR26&lt;&gt;""),AND(JW26&gt;=JX$42,JW26&lt;&gt;""),AND(KT26&gt;=KZ$42,KT26&lt;&gt;""),AND(KY26&gt;=KZ$42,KY26&lt;&gt;""),AND(LV26&gt;=MB$42,LV26&lt;&gt;""),AND(MA26&gt;=MB$42,MA26&lt;&gt;""),AND(MX26&gt;=ND$42,MX26&lt;&gt;""),AND(NC26&gt;=ND$42,NC26&lt;&gt;""),AND(NZ26&gt;=OF$42,NZ26&lt;&gt;""),AND(OE26&gt;=OF$42,OE26&lt;&gt;""),AND(PB26&gt;=PH$42,PB26&lt;&gt;""),AND(PG26&gt;=PH$42,PG26&lt;&gt;"")),"P","")</f>
        <v/>
      </c>
      <c r="J26" s="36" t="str">
        <f>IF(AND(I26="P",H26=""),"No DD",IF(OR(AND(AL26&gt;=AP$26,AM26&gt;=AP$30,AL26&lt;&gt;"",AK26=""),AND(BH26&gt;=BL$26,BI26&gt;=BL$30,BH26&lt;&gt;"",BG26=""),AND(CD26&gt;=CH$26,CE26&gt;=CH$30,CD26&lt;&gt;"",CC26=""),AND(DH26&gt;=DL$26,DI26&gt;=DL$30,DH26&lt;&gt;""),AND(EJ26&gt;=EN$26,EK26&gt;=EN$30,EJ26&lt;&gt;""),AND(FL26&gt;=FP$26,FM26&gt;=FP$30,FL26&lt;&gt;""),AND(GN26&gt;=GR$26,GO26&gt;=GR$30,GN26&lt;&gt;""),AND(HP26&gt;=HT$26,HQ26&gt;=HT$30,HP26&lt;&gt;""),AND(IR26&gt;=IV$26,IS26&gt;=IV$30,IR26&lt;&gt;""),AND(JT26&gt;=JX$26,JU26&gt;=JX$30,JT26&lt;&gt;""),AND(KV26&gt;=KZ$26,KW26&gt;=KZ$30,KV26&lt;&gt;""),AND(LX26&gt;=MB$26,LY26&gt;=MB$30,LX26&lt;&gt;""),AND(MZ26&gt;=ND$26,NA26&gt;=ND$30,MZ26&lt;&gt;""),AND(OB26&gt;=OF$26,OC26&gt;=OF$30,OB26&lt;&gt;""),AND(PD26&gt;=PH$26,PE26&gt;=PH$30,PD26&lt;&gt;"")),"Merit",IF(OR(AND(AL26&gt;=AP$25,AM26&gt;=AP$29,AL26&lt;&gt;"",AK26=""),AND(BH26&gt;=BL$25,BI26&gt;=BL$29,BH26&lt;&gt;"",BG26=""),AND(CD26&gt;=CH$25,CE26&gt;=CH$29,CD26&lt;&gt;"",CC26=""),AND(DH26&gt;=DL$25,DI26&gt;=DL$29,DH26&lt;&gt;""),AND(EJ26&gt;=EN$25,EK26&gt;=EN$29,EJ26&lt;&gt;""),AND(FL26&gt;=FP$25,FM26&gt;=FP$29,FL26&lt;&gt;""),AND(GN26&gt;=GR$25,GO26&gt;=GR$29,GN26&lt;&gt;""),AND(HP26&gt;=HT$25,HQ26&gt;=HT$29,HP26&lt;&gt;""),AND(IR26&gt;=IV$25,IS26&gt;=IV$29,IR26&lt;&gt;""),AND(JT26&gt;=JX$25,JU26&gt;=JX$29,JT26&lt;&gt;""),AND(KV26&gt;=KZ$25,KW26&gt;=KZ$29,KV26&lt;&gt;""),AND(LX26&gt;=MB$25,LY26&gt;=MB$29,LX26&lt;&gt;""),AND(MZ26&gt;=ND$25,NA26&gt;=ND$29,MZ26&lt;&gt;""),AND(OB26&gt;=OF$25,OC26&gt;=OF$29,OB26&lt;&gt;""),AND(PD26&gt;=PH$25,PE26&gt;=PH$29,PD26&lt;&gt;"")),"Excellence",IF(K26="P","Worlds Team",IF(H26="P","National Team","")))))</f>
        <v/>
      </c>
      <c r="K26" s="3" t="str">
        <f>IF(OR(AND(AL26&gt;=AP$24,AM26&gt;=AP$28,AL26&lt;&gt;"",AK26=""),AND(BH26&gt;=BL$24,BI26&gt;=BL$28,BH26&lt;&gt;"",BG26=""),AND(CD26&gt;=CH$24,CE26&gt;=CH$28,CD26&lt;&gt;"",CC26=""),AND(DH26&gt;=DL$24,DI26&gt;=DL$28,DH26&lt;&gt;""),AND(EJ26&gt;=EN$24,EK26&gt;=EN$28,EJ26&lt;&gt;""),AND(FL26&gt;=FP$24,FM26&gt;=FP$28,FL26&lt;&gt;""),AND(GN26&gt;=GR$24,GO26&gt;=GR$28,GN26&lt;&gt;""),AND(HP26&gt;=HT$24,HQ26&gt;=HT$28,HP26&lt;&gt;""),AND(IR26&gt;=IV$24,IS26&gt;=IV$28,IR26&lt;&gt;""),AND(JT26&gt;=JX$24,JU26&gt;=JX$28,JT26&lt;&gt;""),AND(KV26&gt;=KZ$24,KW26&gt;=KZ$28,KV26&lt;&gt;""),AND(LX26&gt;=MB$24,LY26&gt;=MB$28,LX26&lt;&gt;""),AND(MZ26&gt;=ND$24,NA26&gt;=ND$28,MZ26&lt;&gt;""),AND(OB26&gt;=OF$24,OC26&gt;=OF$28,OB26&lt;&gt;""),AND(PD26&gt;=PH$24,PE26&gt;=PH$28,PD26&lt;&gt;"")),"P","")</f>
        <v/>
      </c>
      <c r="L26" s="8">
        <f>IF(COUNT(AM26,BI26,CE26)&gt;0,LARGE((AM26,BI26,CE26),1),0)</f>
        <v>48.8</v>
      </c>
      <c r="M26" s="8" t="str">
        <f>IF(L26=0,"",IF(L26=CE26,$BM$1,IF(L26=BI26,$AQ$1,IF(L26=AM26,$U$1,""))))</f>
        <v>2025 Nationals</v>
      </c>
      <c r="N26" s="8">
        <f>IF(COUNT(AM26,BI26,CE26)&gt;1,LARGE((AM26,BI26,CE26),2),0)</f>
        <v>46.2</v>
      </c>
      <c r="O26" s="8" t="str">
        <f>IF(N26=0,"",IF(AND(N26=L26,N26=AM26,N26=BI26),$U$1,IF(AND(N26=L26,N26=AM26,N26=CE26),$U$1,IF(AND(N26=L26,N26=BI26,N26=CE26),$AQ$1,IF(N26=CE26,$BM$1,IF(N26=BI26,$AQ$1,IF(N26=AM26,$U$1,"")))))))</f>
        <v>2025 Elite Canada</v>
      </c>
      <c r="P26" s="8">
        <f>IF(MAX(AO26,BK26,CG26)&gt;0,MAX(AO26,BK26,CG26),0)</f>
        <v>0</v>
      </c>
      <c r="Q26" s="8" t="str">
        <f>IF(P26=0,"",IF(P26=CG26,$BM$1,IF(P26=BK26,$AQ$1,IF(P26=AO26,$U$1,""))))</f>
        <v/>
      </c>
      <c r="R26" s="8" t="str">
        <f>IF(MAX(CI26:CJ26)&gt;0,MAX(CI26:CJ26),"")</f>
        <v/>
      </c>
      <c r="S26" s="11" t="str">
        <f>IF(R26="","",IF(R26=CI26,"("&amp;CI$2&amp;")",IF(R26=CJ26,"("&amp;CJ$2&amp;")")))</f>
        <v/>
      </c>
      <c r="T26" s="8" t="str">
        <f>IF(R26="","",IF(R26=CI26,IF(R26+IF(N26="",0,N26)=PB26,$OG$1,IF(R26+IF(N26="",0,N26)=NZ26,$NE$1,IF(R26+IF(N26="",0,N26)=MX26,$MC$1,IF(R26+IF(N26="",0,N26)=LV26,$LA$1,IF(R26+IF(N26="",0,N26)=KT26,$JY$1,IF(R26+IF(N26="",0,N26)=JR26,$IW$1,IF(R26+IF(N26="",0,N26)=IP26,$HU$1,IF(R26+IF(N26="",0,N26)=HN26,$GS$1,IF(R26+IF(N26="",0,N26)=GL26,$FQ$1,IF(R26+IF(N26="",0,N26)=FJ26,$EO$1,IF(R26+IF(N26="",0,N26)=EH26,$DM$1,IF(R26+IF(N26="",0,N26)=DF26,$CK$1)))))))))))),IF(R26=CJ26,IF(R26+IF(P26="",0,P26)=PG26,$OG$1,IF(R26+IF(P26="",0,P26)=OE26,$NE$1,IF(R26+IF(P26="",0,P26)=NC26,$MC$1,IF(R26+IF(P26="",0,P26)=MA26,$LA$1,IF(R26+IF(P26="",0,P26)=KY26,$JY$1,IF(R26+IF(P26="",0,P26)=JW26,$IW$1,IF(R26+IF(P26="",0,P26)=IU26,$HU$1,IF(R26+IF(P26="",0,P26)=HS26,$GS$1,IF(R26+IF(P26="",0,P26)=GQ26,$FQ$1,IF(R26+IF(P26="",0,P26)=FO26,$EO$1,IF(R26+IF(P26="",0,P26)=EM26,$DM$1,IF(R26+IF(P26="",0,P26)=DK26,$CK$1)))))))))))))))</f>
        <v/>
      </c>
      <c r="U26" s="19">
        <v>18.2</v>
      </c>
      <c r="V26" s="19">
        <v>6.4</v>
      </c>
      <c r="W26" s="19">
        <v>0.6</v>
      </c>
      <c r="X26" s="19">
        <v>0</v>
      </c>
      <c r="Y26" s="19">
        <v>17.8</v>
      </c>
      <c r="Z26" s="19">
        <v>6</v>
      </c>
      <c r="AA26" s="19">
        <v>1.6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27"/>
      <c r="AL26" s="40">
        <f>IF(SUM(V26,Z26)&gt;0,SUM(V26,Z26),"")</f>
        <v>12.4</v>
      </c>
      <c r="AM26" s="40">
        <f>IF(SUM(U26:V26,X26:Z26,AB26)-W26-AA26&gt;0,SUM(U26:V26,X26:Z26,AB26)-W26-AA26,"")</f>
        <v>46.2</v>
      </c>
      <c r="AN26" s="40" t="str">
        <f>IF(SUM(AD26,AH26)&gt;0,SUM(AD26,AH26),"")</f>
        <v/>
      </c>
      <c r="AO26" s="40" t="str">
        <f>IF(SUM(AC26:AD26,AF26:AH26,AJ26)-SUM(AE26,AI26)&gt;0,SUM(AC26:AD26,AF26:AH26,AJ26)-SUM(AE26,AI26),"")</f>
        <v/>
      </c>
      <c r="AP26" s="40">
        <f>IF(SUM(AM26,AO26)&gt;0,SUM(AM26,AO26),"")</f>
        <v>46.2</v>
      </c>
      <c r="AQ26" s="18">
        <v>18.600000000000001</v>
      </c>
      <c r="AR26" s="18">
        <v>7.2</v>
      </c>
      <c r="AS26" s="18">
        <v>0.2</v>
      </c>
      <c r="AT26" s="18">
        <v>0</v>
      </c>
      <c r="AU26" s="18">
        <v>18</v>
      </c>
      <c r="AV26" s="18">
        <v>6</v>
      </c>
      <c r="AW26" s="18">
        <v>0.8</v>
      </c>
      <c r="AX26" s="18">
        <v>0</v>
      </c>
      <c r="AY26" s="18"/>
      <c r="AZ26" s="18"/>
      <c r="BA26" s="18"/>
      <c r="BB26" s="18"/>
      <c r="BC26" s="18"/>
      <c r="BD26" s="18"/>
      <c r="BE26" s="18"/>
      <c r="BF26" s="18"/>
      <c r="BG26" s="28"/>
      <c r="BH26" s="11">
        <f>IF(SUM(AR26,AV26)&gt;0,SUM(AR26,AV26),"")</f>
        <v>13.2</v>
      </c>
      <c r="BI26" s="11">
        <f>IF(SUM(AQ26:AR26,AT26:AV26,AX26)-AS26-AW26&gt;0,SUM(AQ26:AR26,AT26:AV26,AX26)-AS26-AW26,"")</f>
        <v>48.8</v>
      </c>
      <c r="BJ26" s="11" t="str">
        <f>IF(SUM(AZ26,BD26)&gt;0,SUM(AZ26,BD26),"")</f>
        <v/>
      </c>
      <c r="BK26" s="11" t="str">
        <f>IF(SUM(AY26:AZ26,BB26:BD26,BF26)-SUM(BA26,BE26)&gt;0,SUM(AY26:AZ26,BB26:BD26,BF26)-SUM(BA26,BE26),"")</f>
        <v/>
      </c>
      <c r="BL26" s="11">
        <f>IF(SUM(BI26,BK26)&gt;0,SUM(BI26,BK26),"")</f>
        <v>48.8</v>
      </c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27"/>
      <c r="CD26" s="40" t="str">
        <f>IF(SUM(BN26,BR26)&gt;0,SUM(BN26,BR26),"")</f>
        <v/>
      </c>
      <c r="CE26" s="40" t="str">
        <f>IF(SUM(BM26:BN26,BP26:BR26,BT26)-BO26-BS26&gt;0,SUM(BM26:BN26,BP26:BR26,BT26)-BO26-BS26,"")</f>
        <v/>
      </c>
      <c r="CF26" s="40" t="str">
        <f>IF(SUM(BV26,BZ26)&gt;0,SUM(BV26,BZ26),"")</f>
        <v/>
      </c>
      <c r="CG26" s="40" t="str">
        <f>IF(SUM(BU26:BV26,BX26:BZ26,CB26)-SUM(BW26,CA26)&gt;0,SUM(BU26:BV26,BX26:BZ26,CB26)-SUM(BW26,CA26),"")</f>
        <v/>
      </c>
      <c r="CH26" s="40" t="str">
        <f>IF(SUM(CE26,CG26)&gt;0,SUM(CE26,CG26),"")</f>
        <v/>
      </c>
      <c r="CI26" s="50" t="str">
        <f>IF(MAX(DF26,EH26,FJ26,GL26,HN26,IP26,JR26,KT26,LV26,MX26,NZ26,PB26)-IF(N26="",0,N26)&gt;0.001,MAX(DF26,EH26,FJ26,GL26,HN26,IP26,JR26,KT26,LV26,MX26,NZ26,PB26)-IF(N26="",0,N26),"")</f>
        <v/>
      </c>
      <c r="CJ26" s="50" t="str">
        <f>IF(MAX(DK26,EM26,FO26,GQ26,HS26,IU26,JW26,KY26,MA26,NC26,OE26,PG26)-IF(P26="",0,P26)&gt;0.001,MAX(DK26,EM26,FO26,GQ26,HS26,IU26,JW26,KY26,MA26,NC26,OE26,PG26)-IF(P26="",0,P26),"")</f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>IF(SUM(CL26,CP26)&gt;0,SUM(CL26,CP26),"")</f>
        <v/>
      </c>
      <c r="DF26" s="40" t="str">
        <f>IF(SUM(CK26:CL26,CN26:CP26,CR26)-CM26-CQ26&gt;0,SUM(CK26:CL26,CN26:CP26,CR26)-CM26-CQ26,"")</f>
        <v/>
      </c>
      <c r="DG26" s="40" t="str">
        <f>IF(SUM(CS26:CT26,CV26)-CU26&gt;0,SUM(CS26:CT26,CV26)-CU26,"")</f>
        <v/>
      </c>
      <c r="DH26" s="40" t="str">
        <f>IF(SUM(CL26,CP26,CT26)&gt;0,SUM(CL26,CP26,CT26),"")</f>
        <v/>
      </c>
      <c r="DI26" s="40" t="str">
        <f>IF(SUM(DF26,DG26)&gt;0,SUM(DF26,DG26),"")</f>
        <v/>
      </c>
      <c r="DJ26" s="40" t="str">
        <f>IF(SUM(CX26,DB26)&gt;0,SUM(CX26,DB26),"")</f>
        <v/>
      </c>
      <c r="DK26" s="40" t="str">
        <f>IF(SUM(CW26:CX26,CZ26:DB26,DD26)-SUM(CY26,DC26)&gt;0,SUM(CW26:CX26,CZ26:DB26,DD26)-SUM(CY26,DC26),"")</f>
        <v/>
      </c>
      <c r="DL26" s="40" t="str">
        <f>IF(SUM(DF26,DG26,DK26)&gt;0,SUM(DF26,DG26,DK26),"")</f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>IF(SUM(DN26,DR26)&gt;0,SUM(DN26,DR26),"")</f>
        <v/>
      </c>
      <c r="EH26" s="11" t="str">
        <f>IF(SUM(DM26:DN26,DP26:DR26,DT26)-DO26-DS26&gt;0,SUM(DM26:DN26,DP26:DR26,DT26)-DO26-DS26,"")</f>
        <v/>
      </c>
      <c r="EI26" s="11" t="str">
        <f>IF(SUM(DU26:DV26,DX26)-DW26&gt;0,SUM(DU26:DV26,DX26)-DW26,"")</f>
        <v/>
      </c>
      <c r="EJ26" s="11" t="str">
        <f>IF(SUM(DN26,DR26,DV26)&gt;0,SUM(DN26,DR26,DV26),"")</f>
        <v/>
      </c>
      <c r="EK26" s="11" t="str">
        <f>IF(SUM(EH26,EI26)&gt;0,SUM(EH26,EI26),"")</f>
        <v/>
      </c>
      <c r="EL26" s="11" t="str">
        <f>IF(SUM(DZ26,ED26)&gt;0,SUM(DZ26,ED26),"")</f>
        <v/>
      </c>
      <c r="EM26" s="11" t="str">
        <f>IF(SUM(DY26:DZ26,EB26:ED26,EF26)-SUM(EA26,EE26)&gt;0,SUM(DY26:DZ26,EB26:ED26,EF26)-SUM(EA26,EE26),"")</f>
        <v/>
      </c>
      <c r="EN26" s="11" t="str">
        <f>IF(SUM(EH26,EI26,EM26)&gt;0,SUM(EH26,EI26,EM26),"")</f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>IF(SUM(EP26,ET26)&gt;0,SUM(EP26,ET26),"")</f>
        <v/>
      </c>
      <c r="FJ26" s="40" t="str">
        <f>IF(SUM(EO26:EP26,ER26:ET26,EV26)-EQ26-EU26&gt;0,SUM(EO26:EP26,ER26:ET26,EV26)-EQ26-EU26,"")</f>
        <v/>
      </c>
      <c r="FK26" s="40" t="str">
        <f>IF(SUM(EW26:EX26,EZ26)-EY26&gt;0,SUM(EW26:EX26,EZ26)-EY26,"")</f>
        <v/>
      </c>
      <c r="FL26" s="40" t="str">
        <f>IF(SUM(EP26,ET26,EX26)&gt;0,SUM(EP26,ET26,EX26),"")</f>
        <v/>
      </c>
      <c r="FM26" s="40" t="str">
        <f>IF(SUM(FJ26,FK26)&gt;0,SUM(FJ26,FK26),"")</f>
        <v/>
      </c>
      <c r="FN26" s="40" t="str">
        <f>IF(SUM(FB26,FF26)&gt;0,SUM(FB26,FF26),"")</f>
        <v/>
      </c>
      <c r="FO26" s="40" t="str">
        <f>IF(SUM(FA26:FB26,FD26:FF26,FH26)-SUM(FC26,FG26)&gt;0,SUM(FA26:FB26,FD26:FF26,FH26)-SUM(FC26,FG26),"")</f>
        <v/>
      </c>
      <c r="FP26" s="40" t="str">
        <f>IF(SUM(FJ26,FK26,FO26)&gt;0,SUM(FJ26,FK26,FO26),"")</f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>IF(SUM(FR26,FV26)&gt;0,SUM(FR26,FV26),"")</f>
        <v/>
      </c>
      <c r="GL26" s="11" t="str">
        <f>IF(SUM(FQ26:FR26,FT26:FV26,FX26)-FS26-FW26&gt;0,SUM(FQ26:FR26,FT26:FV26,FX26)-FS26-FW26,"")</f>
        <v/>
      </c>
      <c r="GM26" s="11" t="str">
        <f>IF(SUM(FY26:FZ26,GB26)-GA26&gt;0,SUM(FY26:FZ26,GB26)-GA26,"")</f>
        <v/>
      </c>
      <c r="GN26" s="11" t="str">
        <f>IF(SUM(FR26,FV26,FZ26)&gt;0,SUM(FR26,FV26,FZ26),"")</f>
        <v/>
      </c>
      <c r="GO26" s="11" t="str">
        <f>IF(SUM(GL26,GM26)&gt;0,SUM(GL26,GM26),"")</f>
        <v/>
      </c>
      <c r="GP26" s="11" t="str">
        <f>IF(SUM(GD26,GH26)&gt;0,SUM(GD26,GH26),"")</f>
        <v/>
      </c>
      <c r="GQ26" s="11" t="str">
        <f>IF(SUM(GC26:GD26,GF26:GH26,GJ26)-SUM(GE26,GI26)&gt;0,SUM(GC26:GD26,GF26:GH26,GJ26)-SUM(GE26,GI26),"")</f>
        <v/>
      </c>
      <c r="GR26" s="11" t="str">
        <f>IF(SUM(GL26,GM26,GQ26)&gt;0,SUM(GL26,GM26,GQ26),"")</f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>IF(SUM(GT26,GX26)&gt;0,SUM(GT26,GX26),"")</f>
        <v/>
      </c>
      <c r="HN26" s="40" t="str">
        <f>IF(SUM(GS26:GT26,GV26:GX26,GZ26)-GU26-GY26&gt;0,SUM(GS26:GT26,GV26:GX26,GZ26)-GU26-GY26,"")</f>
        <v/>
      </c>
      <c r="HO26" s="40" t="str">
        <f>IF(SUM(HA26:HB26,HD26)-HC26&gt;0,SUM(HA26:HB26,HD26)-HC26,"")</f>
        <v/>
      </c>
      <c r="HP26" s="40" t="str">
        <f>IF(SUM(GT26,GX26,HB26)&gt;0,SUM(GT26,GX26,HB26),"")</f>
        <v/>
      </c>
      <c r="HQ26" s="40" t="str">
        <f>IF(SUM(HN26,HO26)&gt;0,SUM(HN26,HO26),"")</f>
        <v/>
      </c>
      <c r="HR26" s="40" t="str">
        <f>IF(SUM(HF26,HJ26)&gt;0,SUM(HF26,HJ26),"")</f>
        <v/>
      </c>
      <c r="HS26" s="40" t="str">
        <f>IF(SUM(HE26:HF26,HH26:HJ26,HL26)-SUM(HG26,HK26)&gt;0,SUM(HE26:HF26,HH26:HJ26,HL26)-SUM(HG26,HK26),"")</f>
        <v/>
      </c>
      <c r="HT26" s="40" t="str">
        <f>IF(SUM(HN26,HO26,HS26)&gt;0,SUM(HN26,HO26,HS26),"")</f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>IF(SUM(HV26,HZ26)&gt;0,SUM(HV26,HZ26),"")</f>
        <v/>
      </c>
      <c r="IP26" s="11" t="str">
        <f>IF(SUM(HU26:HV26,HX26:HZ26,IB26)-HW26-IA26&gt;0,SUM(HU26:HV26,HX26:HZ26,IB26)-HW26-IA26,"")</f>
        <v/>
      </c>
      <c r="IQ26" s="11" t="str">
        <f>IF(SUM(IC26:ID26,IF26)-IE26&gt;0,SUM(IC26:ID26,IF26)-IE26,"")</f>
        <v/>
      </c>
      <c r="IR26" s="11" t="str">
        <f>IF(SUM(HV26,HZ26,ID26)&gt;0,SUM(HV26,HZ26,ID26),"")</f>
        <v/>
      </c>
      <c r="IS26" s="11" t="str">
        <f>IF(SUM(IP26,IQ26)&gt;0,SUM(IP26,IQ26),"")</f>
        <v/>
      </c>
      <c r="IT26" s="11" t="str">
        <f>IF(SUM(IH26,IL26)&gt;0,SUM(IH26,IL26),"")</f>
        <v/>
      </c>
      <c r="IU26" s="11" t="str">
        <f>IF(SUM(IG26:IH26,IJ26:IL26,IN26)-SUM(II26,IM26)&gt;0,SUM(IG26:IH26,IJ26:IL26,IN26)-SUM(II26,IM26),"")</f>
        <v/>
      </c>
      <c r="IV26" s="11" t="str">
        <f>IF(SUM(IP26,IQ26,IU26)&gt;0,SUM(IP26,IQ26,IU26),"")</f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>IF(SUM(IX26,JB26)&gt;0,SUM(IX26,JB26),"")</f>
        <v/>
      </c>
      <c r="JR26" s="40" t="str">
        <f>IF(SUM(IW26:IX26,IZ26:JB26,JD26)-IY26-JC26&gt;0,SUM(IW26:IX26,IZ26:JB26,JD26)-IY26-JC26,"")</f>
        <v/>
      </c>
      <c r="JS26" s="40" t="str">
        <f>IF(SUM(JE26:JF26,JH26)-JG26&gt;0,SUM(JE26:JF26,JH26)-JG26,"")</f>
        <v/>
      </c>
      <c r="JT26" s="40" t="str">
        <f>IF(SUM(IX26,JB26,JF26)&gt;0,SUM(IX26,JB26,JF26),"")</f>
        <v/>
      </c>
      <c r="JU26" s="40" t="str">
        <f>IF(SUM(JR26,JS26)&gt;0,SUM(JR26,JS26),"")</f>
        <v/>
      </c>
      <c r="JV26" s="40" t="str">
        <f>IF(SUM(JJ26,JN26)&gt;0,SUM(JJ26,JN26),"")</f>
        <v/>
      </c>
      <c r="JW26" s="40" t="str">
        <f>IF(SUM(JI26:JJ26,JL26:JN26,JP26)-SUM(JK26,JO26)&gt;0,SUM(JI26:JJ26,JL26:JN26,JP26)-SUM(JK26,JO26),"")</f>
        <v/>
      </c>
      <c r="JX26" s="40" t="str">
        <f>IF(SUM(JR26,JS26,JW26)&gt;0,SUM(JR26,JS26,JW26),"")</f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>IF(SUM(JZ26,KD26)&gt;0,SUM(JZ26,KD26),"")</f>
        <v/>
      </c>
      <c r="KT26" s="11" t="str">
        <f>IF(SUM(JY26:JZ26,KB26:KD26,KF26)-KA26-KE26&gt;0,SUM(JY26:JZ26,KB26:KD26,KF26)-KA26-KE26,"")</f>
        <v/>
      </c>
      <c r="KU26" s="11" t="str">
        <f>IF(SUM(KG26:KH26,KJ26)-KI26&gt;0,SUM(KG26:KH26,KJ26)-KI26,"")</f>
        <v/>
      </c>
      <c r="KV26" s="11" t="str">
        <f>IF(SUM(JZ26,KD26,KH26)&gt;0,SUM(JZ26,KD26,KH26),"")</f>
        <v/>
      </c>
      <c r="KW26" s="11" t="str">
        <f>IF(SUM(KT26,KU26)&gt;0,SUM(KT26,KU26),"")</f>
        <v/>
      </c>
      <c r="KX26" s="11" t="str">
        <f>IF(SUM(KL26,KP26)&gt;0,SUM(KL26,KP26),"")</f>
        <v/>
      </c>
      <c r="KY26" s="11" t="str">
        <f>IF(SUM(KK26:KL26,KN26:KP26,KR26)-SUM(KM26,KQ26)&gt;0,SUM(KK26:KL26,KN26:KP26,KR26)-SUM(KM26,KQ26),"")</f>
        <v/>
      </c>
      <c r="KZ26" s="11" t="str">
        <f>IF(SUM(KT26,KU26,KY26)&gt;0,SUM(KT26,KU26,KY26),"")</f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>IF(SUM(LB26,LF26)&gt;0,SUM(LB26,LF26),"")</f>
        <v/>
      </c>
      <c r="LV26" s="40" t="str">
        <f>IF(SUM(LA26:LB26,LD26:LF26,LH26)-LC26-LG26&gt;0,SUM(LA26:LB26,LD26:LF26,LH26)-LC26-LG26,"")</f>
        <v/>
      </c>
      <c r="LW26" s="40" t="str">
        <f>IF(SUM(LI26:LJ26,LL26)-LK26&gt;0,SUM(LI26:LJ26,LL26)-LK26,"")</f>
        <v/>
      </c>
      <c r="LX26" s="40" t="str">
        <f>IF(SUM(LB26,LF26,LJ26)&gt;0,SUM(LB26,LF26,LJ26),"")</f>
        <v/>
      </c>
      <c r="LY26" s="40" t="str">
        <f>IF(SUM(LV26,LW26)&gt;0,SUM(LV26,LW26),"")</f>
        <v/>
      </c>
      <c r="LZ26" s="40" t="str">
        <f>IF(SUM(LN26,LR26)&gt;0,SUM(LN26,LR26),"")</f>
        <v/>
      </c>
      <c r="MA26" s="40" t="str">
        <f>IF(SUM(LM26:LN26,LP26:LR26,LT26)-SUM(LO26,LS26)&gt;0,SUM(LM26:LN26,LP26:LR26,LT26)-SUM(LO26,LS26),"")</f>
        <v/>
      </c>
      <c r="MB26" s="40" t="str">
        <f>IF(SUM(LV26,LW26,MA26)&gt;0,SUM(LV26,LW26,MA26),"")</f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>IF(SUM(MD26,MH26)&gt;0,SUM(MD26,MH26),"")</f>
        <v/>
      </c>
      <c r="MX26" s="11" t="str">
        <f>IF(SUM(MC26:MD26,MF26:MH26,MJ26)-ME26-MI26&gt;0,SUM(MC26:MD26,MF26:MH26,MJ26)-ME26-MI26,"")</f>
        <v/>
      </c>
      <c r="MY26" s="11" t="str">
        <f>IF(SUM(MK26:ML26,MN26)-MM26&gt;0,SUM(MK26:ML26,MN26)-MM26,"")</f>
        <v/>
      </c>
      <c r="MZ26" s="11" t="str">
        <f>IF(SUM(MD26,MH26,ML26)&gt;0,SUM(MD26,MH26,ML26),"")</f>
        <v/>
      </c>
      <c r="NA26" s="11" t="str">
        <f>IF(SUM(MX26,MY26)&gt;0,SUM(MX26,MY26),"")</f>
        <v/>
      </c>
      <c r="NB26" s="11" t="str">
        <f>IF(SUM(MP26,MT26)&gt;0,SUM(MP26,MT26),"")</f>
        <v/>
      </c>
      <c r="NC26" s="11" t="str">
        <f>IF(SUM(MO26:MP26,MR26:MT26,MV26)-SUM(MQ26,MU26)&gt;0,SUM(MO26:MP26,MR26:MT26,MV26)-SUM(MQ26,MU26),"")</f>
        <v/>
      </c>
      <c r="ND26" s="11" t="str">
        <f>IF(SUM(MX26,MY26,NC26)&gt;0,SUM(MX26,MY26,NC26),"")</f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>IF(SUM(NF26,NJ26)&gt;0,SUM(NF26,NJ26),"")</f>
        <v/>
      </c>
      <c r="NZ26" s="40" t="str">
        <f>IF(SUM(NE26:NF26,NH26:NJ26,NL26)-NG26-NK26&gt;0,SUM(NE26:NF26,NH26:NJ26,NL26)-NG26-NK26,"")</f>
        <v/>
      </c>
      <c r="OA26" s="40" t="str">
        <f>IF(SUM(NM26:NN26,NP26)-NO26&gt;0,SUM(NM26:NN26,NP26)-NO26,"")</f>
        <v/>
      </c>
      <c r="OB26" s="40" t="str">
        <f>IF(SUM(NF26,NJ26,NN26)&gt;0,SUM(NF26,NJ26,NN26),"")</f>
        <v/>
      </c>
      <c r="OC26" s="40" t="str">
        <f>IF(SUM(NZ26,OA26)&gt;0,SUM(NZ26,OA26),"")</f>
        <v/>
      </c>
      <c r="OD26" s="40" t="str">
        <f>IF(SUM(NR26,NV26)&gt;0,SUM(NR26,NV26),"")</f>
        <v/>
      </c>
      <c r="OE26" s="40" t="str">
        <f>IF(SUM(NQ26:NR26,NT26:NV26,NX26)-SUM(NS26,NW26)&gt;0,SUM(NQ26:NR26,NT26:NV26,NX26)-SUM(NS26,NW26),"")</f>
        <v/>
      </c>
      <c r="OF26" s="40" t="str">
        <f>IF(SUM(NZ26,OA26,OE26)&gt;0,SUM(NZ26,OA26,OE26),"")</f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>IF(SUM(OH26,OL26)&gt;0,SUM(OH26,OL26),"")</f>
        <v/>
      </c>
      <c r="PB26" s="11" t="str">
        <f>IF(SUM(OG26:OH26,OJ26:OL26,ON26)-OI26-OM26&gt;0,SUM(OG26:OH26,OJ26:OL26,ON26)-OI26-OM26,"")</f>
        <v/>
      </c>
      <c r="PC26" s="11" t="str">
        <f>IF(SUM(OO26:OP26,OR26)-OQ26&gt;0,SUM(OO26:OP26,OR26)-OQ26,"")</f>
        <v/>
      </c>
      <c r="PD26" s="11" t="str">
        <f>IF(SUM(OH26,OL26,OP26)&gt;0,SUM(OH26,OL26,OP26),"")</f>
        <v/>
      </c>
      <c r="PE26" s="11" t="str">
        <f>IF(SUM(PB26,PC26)&gt;0,SUM(PB26,PC26),"")</f>
        <v/>
      </c>
      <c r="PF26" s="11" t="str">
        <f>IF(SUM(OT26,OX26)&gt;0,SUM(OT26,OX26),"")</f>
        <v/>
      </c>
      <c r="PG26" s="11" t="str">
        <f>IF(SUM(OS26:OT26,OV26:OX26,OZ26)-SUM(OU26,OY26)&gt;0,SUM(OS26:OT26,OV26:OX26,OZ26)-SUM(OU26,OY26),"")</f>
        <v/>
      </c>
      <c r="PH26" s="11" t="str">
        <f>IF(SUM(PB26,PC26,PG26)&gt;0,SUM(PB26,PC26,PG26),"")</f>
        <v/>
      </c>
      <c r="PI26" s="22">
        <f>IF($CC26="P",BM26,(BM26+AQ26)/2)</f>
        <v>9.3000000000000007</v>
      </c>
      <c r="PJ26" s="22">
        <f>IF($CC26="P",BN26,(BN26+AR26)/2)</f>
        <v>3.6</v>
      </c>
      <c r="PK26" s="22">
        <f>IF($CC26="P",BO26,(BO26+AS26)/2)</f>
        <v>0.1</v>
      </c>
      <c r="PL26" s="22">
        <f>IF($CC26="P",BP26,(BP26+AT26)/2)</f>
        <v>0</v>
      </c>
      <c r="PM26" s="22">
        <f>IF($CC26="P",BQ26,(BQ26+AU26)/2)</f>
        <v>9</v>
      </c>
      <c r="PN26" s="22">
        <f>IF($CC26="P",BR26,(BR26+AV26)/2)</f>
        <v>3</v>
      </c>
      <c r="PO26" s="22">
        <f>IF($CC26="P",BS26,(BS26+AW26)/2)</f>
        <v>0.4</v>
      </c>
      <c r="PP26" s="22">
        <f>IF($CC26="P",BT26,(BT26+AX26)/2)</f>
        <v>0</v>
      </c>
      <c r="PQ26" s="22">
        <f>IF($CC26="P",BU26,(BU26+AY26)/2)</f>
        <v>0</v>
      </c>
      <c r="PR26" s="22">
        <f>IF($CC26="P",BV26,(BV26+AZ26)/2)</f>
        <v>0</v>
      </c>
      <c r="PS26" s="22">
        <f>IF($CC26="P",BW26,(BW26+BA26)/2)</f>
        <v>0</v>
      </c>
      <c r="PT26" s="22">
        <f>IF($CC26="P",BX26,(BX26+BB26)/2)</f>
        <v>0</v>
      </c>
      <c r="PU26" s="22">
        <f>IF($CC26="P",BY26,(BY26+BC26)/2)</f>
        <v>0</v>
      </c>
      <c r="PV26" s="22">
        <f>IF($CC26="P",BZ26,(BZ26+BD26)/2)</f>
        <v>0</v>
      </c>
      <c r="PW26" s="22">
        <f>IF($CC26="P",CA26,(CA26+BE26)/2)</f>
        <v>0</v>
      </c>
      <c r="PX26" s="22">
        <f>IF($CC26="P",CB26,(CB26+BF26)/2)</f>
        <v>0</v>
      </c>
      <c r="PY26" s="27" t="s">
        <v>46</v>
      </c>
      <c r="PZ26" s="40">
        <f>IF(SUM(PJ26,PN26)&gt;0,SUM(PJ26,PN26),"")</f>
        <v>6.6</v>
      </c>
      <c r="QA26" s="40">
        <f>IF(SUM(PI26:PJ26,PL26:PN26,PP26)-PK26-PO26&gt;0,SUM(PI26:PJ26,PL26:PN26,PP26)-PK26-PO26,"")</f>
        <v>24.4</v>
      </c>
      <c r="QB26" s="40" t="str">
        <f>IF(SUM(PR26,PV26)&gt;0,SUM(PR26,PV26),"")</f>
        <v/>
      </c>
      <c r="QC26" s="40" t="str">
        <f>IF(SUM(PQ26:PR26,PT26:PV26,PX26)-SUM(PS26,PW26)&gt;0,SUM(PQ26:PR26,PT26:PV26,PX26)-SUM(PS26,PW26),"")</f>
        <v/>
      </c>
      <c r="QD26" s="40">
        <f>IF(SUM(QA26,QC26)&gt;0,SUM(QA26,QC26),"")</f>
        <v>24.4</v>
      </c>
    </row>
    <row r="27" spans="1:446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173</v>
      </c>
      <c r="D27" s="4" t="s">
        <v>5</v>
      </c>
      <c r="E27" s="4">
        <v>2005</v>
      </c>
      <c r="F27" s="9">
        <f>SUM(L27:R27)+SUM(L27:O27)*0.0000001+SUM(L27)*0.0000000000001</f>
        <v>93.200004650004644</v>
      </c>
      <c r="H27" s="3" t="str">
        <f>IF(OR(AND(AL27&gt;=AP$38,AM27&gt;=AP$42,AL27&lt;&gt;"",AK27=""),AND(AN27&gt;=AP$38,AO27&gt;=AP$42,AN27&lt;&gt;"",AK27=""),AND(BH27&gt;=BL$38,BI27&gt;=BL$42,BH27&lt;&gt;"",BG27=""),AND(BJ27&gt;=BL$38,BK27&gt;=BL$42,BJ27&lt;&gt;"",BG27=""),AND(CD27&gt;=CH$38,CE27&gt;=CH$42,CD27&lt;&gt;"",CC27=""),AND(CF27&gt;=CH$38,CG27&gt;=CH$42,CF27&lt;&gt;""),AND(DE27&gt;=DL$38,DF27&gt;=DL$42,DE27&lt;&gt;""),AND(DJ27&gt;=DL$38,DK27&gt;=DL$42,DJ27&lt;&gt;""),AND(EG27&gt;=EN$38,EH27&gt;=EN$42,EG27&lt;&gt;""),AND(EL27&gt;=EN$38,EM27&gt;=EN$42,EL27&lt;&gt;""),AND(FI27&gt;=FP$38,FJ27&gt;=FP$42,FI27&lt;&gt;""),AND(FN27&gt;=FP$38,FO27&gt;=FP$42,FN27&lt;&gt;""),AND(GK27&gt;=GR$38,GL27&gt;=GR$42,GK27&lt;&gt;""),AND(GP27&gt;=GR$38,GQ27&gt;=GR$42,GP27&lt;&gt;""),AND(HM27&gt;=HT$38,HN27&gt;=HT$42,HM27&lt;&gt;""),AND(HR27&gt;=HT$38,HS27&gt;=HT$42,HR27&lt;&gt;""),AND(IO27&gt;=IV$38,IP27&gt;=IV$42,IO27&lt;&gt;""),AND(IT27&gt;=IV$38,IU27&gt;=IV$42,IT27&lt;&gt;""),AND(JQ27&gt;=JX$38,JR27&gt;=JX$42,JQ27&lt;&gt;""),AND(JV27&gt;=JX$38,JW27&gt;=JX$42,JV27&lt;&gt;""),AND(KS27&gt;=KZ$38,KT27&gt;=KZ$42,KS27&lt;&gt;""),AND(KX27&gt;=KZ$38,KY27&gt;=KZ$42,KX27&lt;&gt;""),AND(LU27&gt;=MB$38,LV27&gt;=MB$42,LU27&lt;&gt;""),AND(LZ27&gt;=MB$38,MA27&gt;=MB$42,LZ27&lt;&gt;""),AND(MW27&gt;=ND$38,MX27&gt;=ND$42,MW27&lt;&gt;""),AND(NB27&gt;=ND$38,NC27&gt;=ND$42,NB27&lt;&gt;""),AND(NY27&gt;=OF$38,NZ27&gt;=OF$42,NY27&lt;&gt;""),AND(OD27&gt;=OF$38,OE27&gt;=OF$42,OD27&lt;&gt;""),AND(PA27&gt;=PH$38,PB27&gt;=PH$42,PA27&lt;&gt;""),AND(PF27&gt;=PH$38,PG27&gt;=PH$42,PF27&lt;&gt;"")),"P","")</f>
        <v/>
      </c>
      <c r="I27" s="3" t="str">
        <f>IF(OR(AND(AM27&gt;=AP$42,AM27&lt;&gt;"",AK27=""),AND(AO27&gt;=AP$42,AO27&lt;&gt;"",AK27=""),AND(BI27&gt;=BL$42,BI27&lt;&gt;"",BG27=""),AND(BK27&gt;=BL$42,BK27&lt;&gt;"",BG27=""),AND(CE27&gt;=CH$42,CE27&lt;&gt;"",CC27=""),AND(CG27&gt;=CH$42,CG27&lt;&gt;"",CC27=""),AND(DF27&gt;=DL$42,DF27&lt;&gt;""),AND(DK27&gt;=DL$42,DK27&lt;&gt;""),AND(EH27&gt;=EN$42,EH27&lt;&gt;""),AND(EM27&gt;=EN$42,EM27&lt;&gt;""),AND(FJ27&gt;=FP$42,FJ27&lt;&gt;""),AND(FO27&gt;=FP$42,FO27&lt;&gt;""),AND(GL27&gt;=GR$42,GL27&lt;&gt;""),AND(GQ27&gt;=GR$42,GQ27&lt;&gt;""),AND(HN27&gt;=HT$42,HN27&lt;&gt;""),AND(HS27&gt;=HT$42,HS27&lt;&gt;""),AND(IP27&gt;=IV$42,IP27&lt;&gt;""),AND(IU27&gt;=IV$42,IU27&lt;&gt;""),AND(JR27&gt;=JX$42,JR27&lt;&gt;""),AND(JW27&gt;=JX$42,JW27&lt;&gt;""),AND(KT27&gt;=KZ$42,KT27&lt;&gt;""),AND(KY27&gt;=KZ$42,KY27&lt;&gt;""),AND(LV27&gt;=MB$42,LV27&lt;&gt;""),AND(MA27&gt;=MB$42,MA27&lt;&gt;""),AND(MX27&gt;=ND$42,MX27&lt;&gt;""),AND(NC27&gt;=ND$42,NC27&lt;&gt;""),AND(NZ27&gt;=OF$42,NZ27&lt;&gt;""),AND(OE27&gt;=OF$42,OE27&lt;&gt;""),AND(PB27&gt;=PH$42,PB27&lt;&gt;""),AND(PG27&gt;=PH$42,PG27&lt;&gt;"")),"P","")</f>
        <v/>
      </c>
      <c r="J27" s="36" t="str">
        <f>IF(AND(I27="P",H27=""),"No DD",IF(OR(AND(AL27&gt;=AP$26,AM27&gt;=AP$30,AL27&lt;&gt;"",AK27=""),AND(BH27&gt;=BL$26,BI27&gt;=BL$30,BH27&lt;&gt;"",BG27=""),AND(CD27&gt;=CH$26,CE27&gt;=CH$30,CD27&lt;&gt;"",CC27=""),AND(DH27&gt;=DL$26,DI27&gt;=DL$30,DH27&lt;&gt;""),AND(EJ27&gt;=EN$26,EK27&gt;=EN$30,EJ27&lt;&gt;""),AND(FL27&gt;=FP$26,FM27&gt;=FP$30,FL27&lt;&gt;""),AND(GN27&gt;=GR$26,GO27&gt;=GR$30,GN27&lt;&gt;""),AND(HP27&gt;=HT$26,HQ27&gt;=HT$30,HP27&lt;&gt;""),AND(IR27&gt;=IV$26,IS27&gt;=IV$30,IR27&lt;&gt;""),AND(JT27&gt;=JX$26,JU27&gt;=JX$30,JT27&lt;&gt;""),AND(KV27&gt;=KZ$26,KW27&gt;=KZ$30,KV27&lt;&gt;""),AND(LX27&gt;=MB$26,LY27&gt;=MB$30,LX27&lt;&gt;""),AND(MZ27&gt;=ND$26,NA27&gt;=ND$30,MZ27&lt;&gt;""),AND(OB27&gt;=OF$26,OC27&gt;=OF$30,OB27&lt;&gt;""),AND(PD27&gt;=PH$26,PE27&gt;=PH$30,PD27&lt;&gt;"")),"Merit",IF(OR(AND(AL27&gt;=AP$25,AM27&gt;=AP$29,AL27&lt;&gt;"",AK27=""),AND(BH27&gt;=BL$25,BI27&gt;=BL$29,BH27&lt;&gt;"",BG27=""),AND(CD27&gt;=CH$25,CE27&gt;=CH$29,CD27&lt;&gt;"",CC27=""),AND(DH27&gt;=DL$25,DI27&gt;=DL$29,DH27&lt;&gt;""),AND(EJ27&gt;=EN$25,EK27&gt;=EN$29,EJ27&lt;&gt;""),AND(FL27&gt;=FP$25,FM27&gt;=FP$29,FL27&lt;&gt;""),AND(GN27&gt;=GR$25,GO27&gt;=GR$29,GN27&lt;&gt;""),AND(HP27&gt;=HT$25,HQ27&gt;=HT$29,HP27&lt;&gt;""),AND(IR27&gt;=IV$25,IS27&gt;=IV$29,IR27&lt;&gt;""),AND(JT27&gt;=JX$25,JU27&gt;=JX$29,JT27&lt;&gt;""),AND(KV27&gt;=KZ$25,KW27&gt;=KZ$29,KV27&lt;&gt;""),AND(LX27&gt;=MB$25,LY27&gt;=MB$29,LX27&lt;&gt;""),AND(MZ27&gt;=ND$25,NA27&gt;=ND$29,MZ27&lt;&gt;""),AND(OB27&gt;=OF$25,OC27&gt;=OF$29,OB27&lt;&gt;""),AND(PD27&gt;=PH$25,PE27&gt;=PH$29,PD27&lt;&gt;"")),"Excellence",IF(K27="P","Worlds Team",IF(H27="P","National Team","")))))</f>
        <v/>
      </c>
      <c r="K27" s="3" t="str">
        <f>IF(OR(AND(AL27&gt;=AP$24,AM27&gt;=AP$28,AL27&lt;&gt;"",AK27=""),AND(BH27&gt;=BL$24,BI27&gt;=BL$28,BH27&lt;&gt;"",BG27=""),AND(CD27&gt;=CH$24,CE27&gt;=CH$28,CD27&lt;&gt;"",CC27=""),AND(DH27&gt;=DL$24,DI27&gt;=DL$28,DH27&lt;&gt;""),AND(EJ27&gt;=EN$24,EK27&gt;=EN$28,EJ27&lt;&gt;""),AND(FL27&gt;=FP$24,FM27&gt;=FP$28,FL27&lt;&gt;""),AND(GN27&gt;=GR$24,GO27&gt;=GR$28,GN27&lt;&gt;""),AND(HP27&gt;=HT$24,HQ27&gt;=HT$28,HP27&lt;&gt;""),AND(IR27&gt;=IV$24,IS27&gt;=IV$28,IR27&lt;&gt;""),AND(JT27&gt;=JX$24,JU27&gt;=JX$28,JT27&lt;&gt;""),AND(KV27&gt;=KZ$24,KW27&gt;=KZ$28,KV27&lt;&gt;""),AND(LX27&gt;=MB$24,LY27&gt;=MB$28,LX27&lt;&gt;""),AND(MZ27&gt;=ND$24,NA27&gt;=ND$28,MZ27&lt;&gt;""),AND(OB27&gt;=OF$24,OC27&gt;=OF$28,OB27&lt;&gt;""),AND(PD27&gt;=PH$24,PE27&gt;=PH$28,PD27&lt;&gt;"")),"P","")</f>
        <v/>
      </c>
      <c r="L27" s="8">
        <f>IF(COUNT(AM27,BI27,CE27)&gt;0,LARGE((AM27,BI27,CE27),1),0)</f>
        <v>46.5</v>
      </c>
      <c r="M27" s="8" t="str">
        <f>IF(L27=0,"",IF(L27=CE27,$BM$1,IF(L27=BI27,$AQ$1,IF(L27=AM27,$U$1,""))))</f>
        <v>2025 Elite Canada</v>
      </c>
      <c r="N27" s="8">
        <f>IF(COUNT(AM27,BI27,CE27)&gt;1,LARGE((AM27,BI27,CE27),2),0)</f>
        <v>0</v>
      </c>
      <c r="O27" s="8" t="str">
        <f>IF(N27=0,"",IF(AND(N27=L27,N27=AM27,N27=BI27),$U$1,IF(AND(N27=L27,N27=AM27,N27=CE27),$U$1,IF(AND(N27=L27,N27=BI27,N27=CE27),$AQ$1,IF(N27=CE27,$BM$1,IF(N27=BI27,$AQ$1,IF(N27=AM27,$U$1,"")))))))</f>
        <v/>
      </c>
      <c r="P27" s="8">
        <f>IF(MAX(AO27,BK27,CG27)&gt;0,MAX(AO27,BK27,CG27),0)</f>
        <v>46.7</v>
      </c>
      <c r="Q27" s="8" t="str">
        <f>IF(P27=0,"",IF(P27=CG27,$BM$1,IF(P27=BK27,$AQ$1,IF(P27=AO27,$U$1,""))))</f>
        <v>2025 Elite Canada</v>
      </c>
      <c r="R27" s="8" t="str">
        <f>IF(MAX(CI27:CJ27)&gt;0,MAX(CI27:CJ27),"")</f>
        <v/>
      </c>
      <c r="S27" s="11" t="str">
        <f>IF(R27="","",IF(R27=CI27,"("&amp;CI$2&amp;")",IF(R27=CJ27,"("&amp;CJ$2&amp;")")))</f>
        <v/>
      </c>
      <c r="T27" s="8" t="str">
        <f>IF(R27="","",IF(R27=CI27,IF(R27+IF(N27="",0,N27)=PB27,$OG$1,IF(R27+IF(N27="",0,N27)=NZ27,$NE$1,IF(R27+IF(N27="",0,N27)=MX27,$MC$1,IF(R27+IF(N27="",0,N27)=LV27,$LA$1,IF(R27+IF(N27="",0,N27)=KT27,$JY$1,IF(R27+IF(N27="",0,N27)=JR27,$IW$1,IF(R27+IF(N27="",0,N27)=IP27,$HU$1,IF(R27+IF(N27="",0,N27)=HN27,$GS$1,IF(R27+IF(N27="",0,N27)=GL27,$FQ$1,IF(R27+IF(N27="",0,N27)=FJ27,$EO$1,IF(R27+IF(N27="",0,N27)=EH27,$DM$1,IF(R27+IF(N27="",0,N27)=DF27,$CK$1)))))))))))),IF(R27=CJ27,IF(R27+IF(P27="",0,P27)=PG27,$OG$1,IF(R27+IF(P27="",0,P27)=OE27,$NE$1,IF(R27+IF(P27="",0,P27)=NC27,$MC$1,IF(R27+IF(P27="",0,P27)=MA27,$LA$1,IF(R27+IF(P27="",0,P27)=KY27,$JY$1,IF(R27+IF(P27="",0,P27)=JW27,$IW$1,IF(R27+IF(P27="",0,P27)=IU27,$HU$1,IF(R27+IF(P27="",0,P27)=HS27,$GS$1,IF(R27+IF(P27="",0,P27)=GQ27,$FQ$1,IF(R27+IF(P27="",0,P27)=FO27,$EO$1,IF(R27+IF(P27="",0,P27)=EM27,$DM$1,IF(R27+IF(P27="",0,P27)=DK27,$CK$1)))))))))))))))</f>
        <v/>
      </c>
      <c r="U27" s="19">
        <v>18.7</v>
      </c>
      <c r="V27" s="19">
        <v>4.4000000000000004</v>
      </c>
      <c r="W27" s="19">
        <v>0.2</v>
      </c>
      <c r="X27" s="19">
        <v>0</v>
      </c>
      <c r="Y27" s="19">
        <v>18.399999999999999</v>
      </c>
      <c r="Z27" s="19">
        <v>5.2</v>
      </c>
      <c r="AA27" s="19">
        <v>0</v>
      </c>
      <c r="AB27" s="19">
        <v>0</v>
      </c>
      <c r="AC27" s="19">
        <v>18.8</v>
      </c>
      <c r="AD27" s="19">
        <v>5.2</v>
      </c>
      <c r="AE27" s="19">
        <v>0.2</v>
      </c>
      <c r="AF27" s="19">
        <v>0</v>
      </c>
      <c r="AG27" s="19">
        <v>18.5</v>
      </c>
      <c r="AH27" s="19">
        <v>5.2</v>
      </c>
      <c r="AI27" s="19">
        <v>0.8</v>
      </c>
      <c r="AJ27" s="19">
        <v>0</v>
      </c>
      <c r="AK27" s="27"/>
      <c r="AL27" s="40">
        <f>IF(SUM(V27,Z27)&gt;0,SUM(V27,Z27),"")</f>
        <v>9.6000000000000014</v>
      </c>
      <c r="AM27" s="40">
        <f>IF(SUM(U27:V27,X27:Z27,AB27)-W27-AA27&gt;0,SUM(U27:V27,X27:Z27,AB27)-W27-AA27,"")</f>
        <v>46.5</v>
      </c>
      <c r="AN27" s="40">
        <f>IF(SUM(AD27,AH27)&gt;0,SUM(AD27,AH27),"")</f>
        <v>10.4</v>
      </c>
      <c r="AO27" s="40">
        <f>IF(SUM(AC27:AD27,AF27:AH27,AJ27)-SUM(AE27,AI27)&gt;0,SUM(AC27:AD27,AF27:AH27,AJ27)-SUM(AE27,AI27),"")</f>
        <v>46.7</v>
      </c>
      <c r="AP27" s="40">
        <f>IF(SUM(AM27,AO27)&gt;0,SUM(AM27,AO27),"")</f>
        <v>93.2</v>
      </c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28"/>
      <c r="BH27" s="11" t="str">
        <f>IF(SUM(AR27,AV27)&gt;0,SUM(AR27,AV27),"")</f>
        <v/>
      </c>
      <c r="BI27" s="11" t="str">
        <f>IF(SUM(AQ27:AR27,AT27:AV27,AX27)-AS27-AW27&gt;0,SUM(AQ27:AR27,AT27:AV27,AX27)-AS27-AW27,"")</f>
        <v/>
      </c>
      <c r="BJ27" s="11" t="str">
        <f>IF(SUM(AZ27,BD27)&gt;0,SUM(AZ27,BD27),"")</f>
        <v/>
      </c>
      <c r="BK27" s="11" t="str">
        <f>IF(SUM(AY27:AZ27,BB27:BD27,BF27)-SUM(BA27,BE27)&gt;0,SUM(AY27:AZ27,BB27:BD27,BF27)-SUM(BA27,BE27),"")</f>
        <v/>
      </c>
      <c r="BL27" s="11" t="str">
        <f>IF(SUM(BI27,BK27)&gt;0,SUM(BI27,BK27),"")</f>
        <v/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>IF(SUM(BN27,BR27)&gt;0,SUM(BN27,BR27),"")</f>
        <v/>
      </c>
      <c r="CE27" s="40" t="str">
        <f>IF(SUM(BM27:BN27,BP27:BR27,BT27)-BO27-BS27&gt;0,SUM(BM27:BN27,BP27:BR27,BT27)-BO27-BS27,"")</f>
        <v/>
      </c>
      <c r="CF27" s="40" t="str">
        <f>IF(SUM(BV27,BZ27)&gt;0,SUM(BV27,BZ27),"")</f>
        <v/>
      </c>
      <c r="CG27" s="40" t="str">
        <f>IF(SUM(BU27:BV27,BX27:BZ27,CB27)-SUM(BW27,CA27)&gt;0,SUM(BU27:BV27,BX27:BZ27,CB27)-SUM(BW27,CA27),"")</f>
        <v/>
      </c>
      <c r="CH27" s="40" t="str">
        <f>IF(SUM(CE27,CG27)&gt;0,SUM(CE27,CG27),"")</f>
        <v/>
      </c>
      <c r="CI27" s="50" t="str">
        <f>IF(MAX(DF27,EH27,FJ27,GL27,HN27,IP27,JR27,KT27,LV27,MX27,NZ27,PB27)-IF(N27="",0,N27)&gt;0.001,MAX(DF27,EH27,FJ27,GL27,HN27,IP27,JR27,KT27,LV27,MX27,NZ27,PB27)-IF(N27="",0,N27),"")</f>
        <v/>
      </c>
      <c r="CJ27" s="50" t="str">
        <f>IF(MAX(DK27,EM27,FO27,GQ27,HS27,IU27,JW27,KY27,MA27,NC27,OE27,PG27)-IF(P27="",0,P27)&gt;0.001,MAX(DK27,EM27,FO27,GQ27,HS27,IU27,JW27,KY27,MA27,NC27,OE27,PG27)-IF(P27="",0,P27),"")</f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>IF(SUM(CL27,CP27)&gt;0,SUM(CL27,CP27),"")</f>
        <v/>
      </c>
      <c r="DF27" s="40" t="str">
        <f>IF(SUM(CK27:CL27,CN27:CP27,CR27)-CM27-CQ27&gt;0,SUM(CK27:CL27,CN27:CP27,CR27)-CM27-CQ27,"")</f>
        <v/>
      </c>
      <c r="DG27" s="40" t="str">
        <f>IF(SUM(CS27:CT27,CV27)-CU27&gt;0,SUM(CS27:CT27,CV27)-CU27,"")</f>
        <v/>
      </c>
      <c r="DH27" s="40" t="str">
        <f>IF(SUM(CL27,CP27,CT27)&gt;0,SUM(CL27,CP27,CT27),"")</f>
        <v/>
      </c>
      <c r="DI27" s="40" t="str">
        <f>IF(SUM(DF27,DG27)&gt;0,SUM(DF27,DG27),"")</f>
        <v/>
      </c>
      <c r="DJ27" s="40" t="str">
        <f>IF(SUM(CX27,DB27)&gt;0,SUM(CX27,DB27),"")</f>
        <v/>
      </c>
      <c r="DK27" s="40" t="str">
        <f>IF(SUM(CW27:CX27,CZ27:DB27,DD27)-SUM(CY27,DC27)&gt;0,SUM(CW27:CX27,CZ27:DB27,DD27)-SUM(CY27,DC27),"")</f>
        <v/>
      </c>
      <c r="DL27" s="40" t="str">
        <f>IF(SUM(DF27,DG27,DK27)&gt;0,SUM(DF27,DG27,DK27),"")</f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>IF(SUM(DN27,DR27)&gt;0,SUM(DN27,DR27),"")</f>
        <v/>
      </c>
      <c r="EH27" s="11" t="str">
        <f>IF(SUM(DM27:DN27,DP27:DR27,DT27)-DO27-DS27&gt;0,SUM(DM27:DN27,DP27:DR27,DT27)-DO27-DS27,"")</f>
        <v/>
      </c>
      <c r="EI27" s="11" t="str">
        <f>IF(SUM(DU27:DV27,DX27)-DW27&gt;0,SUM(DU27:DV27,DX27)-DW27,"")</f>
        <v/>
      </c>
      <c r="EJ27" s="11" t="str">
        <f>IF(SUM(DN27,DR27,DV27)&gt;0,SUM(DN27,DR27,DV27),"")</f>
        <v/>
      </c>
      <c r="EK27" s="11" t="str">
        <f>IF(SUM(EH27,EI27)&gt;0,SUM(EH27,EI27),"")</f>
        <v/>
      </c>
      <c r="EL27" s="11" t="str">
        <f>IF(SUM(DZ27,ED27)&gt;0,SUM(DZ27,ED27),"")</f>
        <v/>
      </c>
      <c r="EM27" s="11" t="str">
        <f>IF(SUM(DY27:DZ27,EB27:ED27,EF27)-SUM(EA27,EE27)&gt;0,SUM(DY27:DZ27,EB27:ED27,EF27)-SUM(EA27,EE27),"")</f>
        <v/>
      </c>
      <c r="EN27" s="11" t="str">
        <f>IF(SUM(EH27,EI27,EM27)&gt;0,SUM(EH27,EI27,EM27),"")</f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>IF(SUM(EP27,ET27)&gt;0,SUM(EP27,ET27),"")</f>
        <v/>
      </c>
      <c r="FJ27" s="40" t="str">
        <f>IF(SUM(EO27:EP27,ER27:ET27,EV27)-EQ27-EU27&gt;0,SUM(EO27:EP27,ER27:ET27,EV27)-EQ27-EU27,"")</f>
        <v/>
      </c>
      <c r="FK27" s="40" t="str">
        <f>IF(SUM(EW27:EX27,EZ27)-EY27&gt;0,SUM(EW27:EX27,EZ27)-EY27,"")</f>
        <v/>
      </c>
      <c r="FL27" s="40" t="str">
        <f>IF(SUM(EP27,ET27,EX27)&gt;0,SUM(EP27,ET27,EX27),"")</f>
        <v/>
      </c>
      <c r="FM27" s="40" t="str">
        <f>IF(SUM(FJ27,FK27)&gt;0,SUM(FJ27,FK27),"")</f>
        <v/>
      </c>
      <c r="FN27" s="40" t="str">
        <f>IF(SUM(FB27,FF27)&gt;0,SUM(FB27,FF27),"")</f>
        <v/>
      </c>
      <c r="FO27" s="40" t="str">
        <f>IF(SUM(FA27:FB27,FD27:FF27,FH27)-SUM(FC27,FG27)&gt;0,SUM(FA27:FB27,FD27:FF27,FH27)-SUM(FC27,FG27),"")</f>
        <v/>
      </c>
      <c r="FP27" s="40" t="str">
        <f>IF(SUM(FJ27,FK27,FO27)&gt;0,SUM(FJ27,FK27,FO27),"")</f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>IF(SUM(FR27,FV27)&gt;0,SUM(FR27,FV27),"")</f>
        <v/>
      </c>
      <c r="GL27" s="11" t="str">
        <f>IF(SUM(FQ27:FR27,FT27:FV27,FX27)-FS27-FW27&gt;0,SUM(FQ27:FR27,FT27:FV27,FX27)-FS27-FW27,"")</f>
        <v/>
      </c>
      <c r="GM27" s="11" t="str">
        <f>IF(SUM(FY27:FZ27,GB27)-GA27&gt;0,SUM(FY27:FZ27,GB27)-GA27,"")</f>
        <v/>
      </c>
      <c r="GN27" s="11" t="str">
        <f>IF(SUM(FR27,FV27,FZ27)&gt;0,SUM(FR27,FV27,FZ27),"")</f>
        <v/>
      </c>
      <c r="GO27" s="11" t="str">
        <f>IF(SUM(GL27,GM27)&gt;0,SUM(GL27,GM27),"")</f>
        <v/>
      </c>
      <c r="GP27" s="11" t="str">
        <f>IF(SUM(GD27,GH27)&gt;0,SUM(GD27,GH27),"")</f>
        <v/>
      </c>
      <c r="GQ27" s="11" t="str">
        <f>IF(SUM(GC27:GD27,GF27:GH27,GJ27)-SUM(GE27,GI27)&gt;0,SUM(GC27:GD27,GF27:GH27,GJ27)-SUM(GE27,GI27),"")</f>
        <v/>
      </c>
      <c r="GR27" s="11" t="str">
        <f>IF(SUM(GL27,GM27,GQ27)&gt;0,SUM(GL27,GM27,GQ27),"")</f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>IF(SUM(GT27,GX27)&gt;0,SUM(GT27,GX27),"")</f>
        <v/>
      </c>
      <c r="HN27" s="40" t="str">
        <f>IF(SUM(GS27:GT27,GV27:GX27,GZ27)-GU27-GY27&gt;0,SUM(GS27:GT27,GV27:GX27,GZ27)-GU27-GY27,"")</f>
        <v/>
      </c>
      <c r="HO27" s="40" t="str">
        <f>IF(SUM(HA27:HB27,HD27)-HC27&gt;0,SUM(HA27:HB27,HD27)-HC27,"")</f>
        <v/>
      </c>
      <c r="HP27" s="40" t="str">
        <f>IF(SUM(GT27,GX27,HB27)&gt;0,SUM(GT27,GX27,HB27),"")</f>
        <v/>
      </c>
      <c r="HQ27" s="40" t="str">
        <f>IF(SUM(HN27,HO27)&gt;0,SUM(HN27,HO27),"")</f>
        <v/>
      </c>
      <c r="HR27" s="40" t="str">
        <f>IF(SUM(HF27,HJ27)&gt;0,SUM(HF27,HJ27),"")</f>
        <v/>
      </c>
      <c r="HS27" s="40" t="str">
        <f>IF(SUM(HE27:HF27,HH27:HJ27,HL27)-SUM(HG27,HK27)&gt;0,SUM(HE27:HF27,HH27:HJ27,HL27)-SUM(HG27,HK27),"")</f>
        <v/>
      </c>
      <c r="HT27" s="40" t="str">
        <f>IF(SUM(HN27,HO27,HS27)&gt;0,SUM(HN27,HO27,HS27),"")</f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>IF(SUM(HV27,HZ27)&gt;0,SUM(HV27,HZ27),"")</f>
        <v/>
      </c>
      <c r="IP27" s="11" t="str">
        <f>IF(SUM(HU27:HV27,HX27:HZ27,IB27)-HW27-IA27&gt;0,SUM(HU27:HV27,HX27:HZ27,IB27)-HW27-IA27,"")</f>
        <v/>
      </c>
      <c r="IQ27" s="11" t="str">
        <f>IF(SUM(IC27:ID27,IF27)-IE27&gt;0,SUM(IC27:ID27,IF27)-IE27,"")</f>
        <v/>
      </c>
      <c r="IR27" s="11" t="str">
        <f>IF(SUM(HV27,HZ27,ID27)&gt;0,SUM(HV27,HZ27,ID27),"")</f>
        <v/>
      </c>
      <c r="IS27" s="11" t="str">
        <f>IF(SUM(IP27,IQ27)&gt;0,SUM(IP27,IQ27),"")</f>
        <v/>
      </c>
      <c r="IT27" s="11" t="str">
        <f>IF(SUM(IH27,IL27)&gt;0,SUM(IH27,IL27),"")</f>
        <v/>
      </c>
      <c r="IU27" s="11" t="str">
        <f>IF(SUM(IG27:IH27,IJ27:IL27,IN27)-SUM(II27,IM27)&gt;0,SUM(IG27:IH27,IJ27:IL27,IN27)-SUM(II27,IM27),"")</f>
        <v/>
      </c>
      <c r="IV27" s="11" t="str">
        <f>IF(SUM(IP27,IQ27,IU27)&gt;0,SUM(IP27,IQ27,IU27),"")</f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>IF(SUM(IX27,JB27)&gt;0,SUM(IX27,JB27),"")</f>
        <v/>
      </c>
      <c r="JR27" s="40" t="str">
        <f>IF(SUM(IW27:IX27,IZ27:JB27,JD27)-IY27-JC27&gt;0,SUM(IW27:IX27,IZ27:JB27,JD27)-IY27-JC27,"")</f>
        <v/>
      </c>
      <c r="JS27" s="40" t="str">
        <f>IF(SUM(JE27:JF27,JH27)-JG27&gt;0,SUM(JE27:JF27,JH27)-JG27,"")</f>
        <v/>
      </c>
      <c r="JT27" s="40" t="str">
        <f>IF(SUM(IX27,JB27,JF27)&gt;0,SUM(IX27,JB27,JF27),"")</f>
        <v/>
      </c>
      <c r="JU27" s="40" t="str">
        <f>IF(SUM(JR27,JS27)&gt;0,SUM(JR27,JS27),"")</f>
        <v/>
      </c>
      <c r="JV27" s="40" t="str">
        <f>IF(SUM(JJ27,JN27)&gt;0,SUM(JJ27,JN27),"")</f>
        <v/>
      </c>
      <c r="JW27" s="40" t="str">
        <f>IF(SUM(JI27:JJ27,JL27:JN27,JP27)-SUM(JK27,JO27)&gt;0,SUM(JI27:JJ27,JL27:JN27,JP27)-SUM(JK27,JO27),"")</f>
        <v/>
      </c>
      <c r="JX27" s="40" t="str">
        <f>IF(SUM(JR27,JS27,JW27)&gt;0,SUM(JR27,JS27,JW27),"")</f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>IF(SUM(JZ27,KD27)&gt;0,SUM(JZ27,KD27),"")</f>
        <v/>
      </c>
      <c r="KT27" s="11" t="str">
        <f>IF(SUM(JY27:JZ27,KB27:KD27,KF27)-KA27-KE27&gt;0,SUM(JY27:JZ27,KB27:KD27,KF27)-KA27-KE27,"")</f>
        <v/>
      </c>
      <c r="KU27" s="11" t="str">
        <f>IF(SUM(KG27:KH27,KJ27)-KI27&gt;0,SUM(KG27:KH27,KJ27)-KI27,"")</f>
        <v/>
      </c>
      <c r="KV27" s="11" t="str">
        <f>IF(SUM(JZ27,KD27,KH27)&gt;0,SUM(JZ27,KD27,KH27),"")</f>
        <v/>
      </c>
      <c r="KW27" s="11" t="str">
        <f>IF(SUM(KT27,KU27)&gt;0,SUM(KT27,KU27),"")</f>
        <v/>
      </c>
      <c r="KX27" s="11" t="str">
        <f>IF(SUM(KL27,KP27)&gt;0,SUM(KL27,KP27),"")</f>
        <v/>
      </c>
      <c r="KY27" s="11" t="str">
        <f>IF(SUM(KK27:KL27,KN27:KP27,KR27)-SUM(KM27,KQ27)&gt;0,SUM(KK27:KL27,KN27:KP27,KR27)-SUM(KM27,KQ27),"")</f>
        <v/>
      </c>
      <c r="KZ27" s="11" t="str">
        <f>IF(SUM(KT27,KU27,KY27)&gt;0,SUM(KT27,KU27,KY27),"")</f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>IF(SUM(LB27,LF27)&gt;0,SUM(LB27,LF27),"")</f>
        <v/>
      </c>
      <c r="LV27" s="40" t="str">
        <f>IF(SUM(LA27:LB27,LD27:LF27,LH27)-LC27-LG27&gt;0,SUM(LA27:LB27,LD27:LF27,LH27)-LC27-LG27,"")</f>
        <v/>
      </c>
      <c r="LW27" s="40" t="str">
        <f>IF(SUM(LI27:LJ27,LL27)-LK27&gt;0,SUM(LI27:LJ27,LL27)-LK27,"")</f>
        <v/>
      </c>
      <c r="LX27" s="40" t="str">
        <f>IF(SUM(LB27,LF27,LJ27)&gt;0,SUM(LB27,LF27,LJ27),"")</f>
        <v/>
      </c>
      <c r="LY27" s="40" t="str">
        <f>IF(SUM(LV27,LW27)&gt;0,SUM(LV27,LW27),"")</f>
        <v/>
      </c>
      <c r="LZ27" s="40" t="str">
        <f>IF(SUM(LN27,LR27)&gt;0,SUM(LN27,LR27),"")</f>
        <v/>
      </c>
      <c r="MA27" s="40" t="str">
        <f>IF(SUM(LM27:LN27,LP27:LR27,LT27)-SUM(LO27,LS27)&gt;0,SUM(LM27:LN27,LP27:LR27,LT27)-SUM(LO27,LS27),"")</f>
        <v/>
      </c>
      <c r="MB27" s="40" t="str">
        <f>IF(SUM(LV27,LW27,MA27)&gt;0,SUM(LV27,LW27,MA27),"")</f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>IF(SUM(MD27,MH27)&gt;0,SUM(MD27,MH27),"")</f>
        <v/>
      </c>
      <c r="MX27" s="11" t="str">
        <f>IF(SUM(MC27:MD27,MF27:MH27,MJ27)-ME27-MI27&gt;0,SUM(MC27:MD27,MF27:MH27,MJ27)-ME27-MI27,"")</f>
        <v/>
      </c>
      <c r="MY27" s="11" t="str">
        <f>IF(SUM(MK27:ML27,MN27)-MM27&gt;0,SUM(MK27:ML27,MN27)-MM27,"")</f>
        <v/>
      </c>
      <c r="MZ27" s="11" t="str">
        <f>IF(SUM(MD27,MH27,ML27)&gt;0,SUM(MD27,MH27,ML27),"")</f>
        <v/>
      </c>
      <c r="NA27" s="11" t="str">
        <f>IF(SUM(MX27,MY27)&gt;0,SUM(MX27,MY27),"")</f>
        <v/>
      </c>
      <c r="NB27" s="11" t="str">
        <f>IF(SUM(MP27,MT27)&gt;0,SUM(MP27,MT27),"")</f>
        <v/>
      </c>
      <c r="NC27" s="11" t="str">
        <f>IF(SUM(MO27:MP27,MR27:MT27,MV27)-SUM(MQ27,MU27)&gt;0,SUM(MO27:MP27,MR27:MT27,MV27)-SUM(MQ27,MU27),"")</f>
        <v/>
      </c>
      <c r="ND27" s="11" t="str">
        <f>IF(SUM(MX27,MY27,NC27)&gt;0,SUM(MX27,MY27,NC27),"")</f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>IF(SUM(NF27,NJ27)&gt;0,SUM(NF27,NJ27),"")</f>
        <v/>
      </c>
      <c r="NZ27" s="40" t="str">
        <f>IF(SUM(NE27:NF27,NH27:NJ27,NL27)-NG27-NK27&gt;0,SUM(NE27:NF27,NH27:NJ27,NL27)-NG27-NK27,"")</f>
        <v/>
      </c>
      <c r="OA27" s="40" t="str">
        <f>IF(SUM(NM27:NN27,NP27)-NO27&gt;0,SUM(NM27:NN27,NP27)-NO27,"")</f>
        <v/>
      </c>
      <c r="OB27" s="40" t="str">
        <f>IF(SUM(NF27,NJ27,NN27)&gt;0,SUM(NF27,NJ27,NN27),"")</f>
        <v/>
      </c>
      <c r="OC27" s="40" t="str">
        <f>IF(SUM(NZ27,OA27)&gt;0,SUM(NZ27,OA27),"")</f>
        <v/>
      </c>
      <c r="OD27" s="40" t="str">
        <f>IF(SUM(NR27,NV27)&gt;0,SUM(NR27,NV27),"")</f>
        <v/>
      </c>
      <c r="OE27" s="40" t="str">
        <f>IF(SUM(NQ27:NR27,NT27:NV27,NX27)-SUM(NS27,NW27)&gt;0,SUM(NQ27:NR27,NT27:NV27,NX27)-SUM(NS27,NW27),"")</f>
        <v/>
      </c>
      <c r="OF27" s="40" t="str">
        <f>IF(SUM(NZ27,OA27,OE27)&gt;0,SUM(NZ27,OA27,OE27),"")</f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>IF(SUM(OH27,OL27)&gt;0,SUM(OH27,OL27),"")</f>
        <v/>
      </c>
      <c r="PB27" s="11" t="str">
        <f>IF(SUM(OG27:OH27,OJ27:OL27,ON27)-OI27-OM27&gt;0,SUM(OG27:OH27,OJ27:OL27,ON27)-OI27-OM27,"")</f>
        <v/>
      </c>
      <c r="PC27" s="11" t="str">
        <f>IF(SUM(OO27:OP27,OR27)-OQ27&gt;0,SUM(OO27:OP27,OR27)-OQ27,"")</f>
        <v/>
      </c>
      <c r="PD27" s="11" t="str">
        <f>IF(SUM(OH27,OL27,OP27)&gt;0,SUM(OH27,OL27,OP27),"")</f>
        <v/>
      </c>
      <c r="PE27" s="11" t="str">
        <f>IF(SUM(PB27,PC27)&gt;0,SUM(PB27,PC27),"")</f>
        <v/>
      </c>
      <c r="PF27" s="11" t="str">
        <f>IF(SUM(OT27,OX27)&gt;0,SUM(OT27,OX27),"")</f>
        <v/>
      </c>
      <c r="PG27" s="11" t="str">
        <f>IF(SUM(OS27:OT27,OV27:OX27,OZ27)-SUM(OU27,OY27)&gt;0,SUM(OS27:OT27,OV27:OX27,OZ27)-SUM(OU27,OY27),"")</f>
        <v/>
      </c>
      <c r="PH27" s="11" t="str">
        <f>IF(SUM(PB27,PC27,PG27)&gt;0,SUM(PB27,PC27,PG27),"")</f>
        <v/>
      </c>
      <c r="PI27" s="22">
        <f>IF($CC27="P",BM27,(BM27+AQ27)/2)</f>
        <v>0</v>
      </c>
      <c r="PJ27" s="22">
        <f>IF($CC27="P",BN27,(BN27+AR27)/2)</f>
        <v>0</v>
      </c>
      <c r="PK27" s="22">
        <f>IF($CC27="P",BO27,(BO27+AS27)/2)</f>
        <v>0</v>
      </c>
      <c r="PL27" s="22">
        <f>IF($CC27="P",BP27,(BP27+AT27)/2)</f>
        <v>0</v>
      </c>
      <c r="PM27" s="22">
        <f>IF($CC27="P",BQ27,(BQ27+AU27)/2)</f>
        <v>0</v>
      </c>
      <c r="PN27" s="22">
        <f>IF($CC27="P",BR27,(BR27+AV27)/2)</f>
        <v>0</v>
      </c>
      <c r="PO27" s="22">
        <f>IF($CC27="P",BS27,(BS27+AW27)/2)</f>
        <v>0</v>
      </c>
      <c r="PP27" s="22">
        <f>IF($CC27="P",BT27,(BT27+AX27)/2)</f>
        <v>0</v>
      </c>
      <c r="PQ27" s="22">
        <f>IF($CC27="P",BU27,(BU27+AY27)/2)</f>
        <v>0</v>
      </c>
      <c r="PR27" s="22">
        <f>IF($CC27="P",BV27,(BV27+AZ27)/2)</f>
        <v>0</v>
      </c>
      <c r="PS27" s="22">
        <f>IF($CC27="P",BW27,(BW27+BA27)/2)</f>
        <v>0</v>
      </c>
      <c r="PT27" s="22">
        <f>IF($CC27="P",BX27,(BX27+BB27)/2)</f>
        <v>0</v>
      </c>
      <c r="PU27" s="22">
        <f>IF($CC27="P",BY27,(BY27+BC27)/2)</f>
        <v>0</v>
      </c>
      <c r="PV27" s="22">
        <f>IF($CC27="P",BZ27,(BZ27+BD27)/2)</f>
        <v>0</v>
      </c>
      <c r="PW27" s="22">
        <f>IF($CC27="P",CA27,(CA27+BE27)/2)</f>
        <v>0</v>
      </c>
      <c r="PX27" s="22">
        <f>IF($CC27="P",CB27,(CB27+BF27)/2)</f>
        <v>0</v>
      </c>
      <c r="PY27" s="27" t="s">
        <v>46</v>
      </c>
      <c r="PZ27" s="40" t="str">
        <f>IF(SUM(PJ27,PN27)&gt;0,SUM(PJ27,PN27),"")</f>
        <v/>
      </c>
      <c r="QA27" s="40" t="str">
        <f>IF(SUM(PI27:PJ27,PL27:PN27,PP27)-PK27-PO27&gt;0,SUM(PI27:PJ27,PL27:PN27,PP27)-PK27-PO27,"")</f>
        <v/>
      </c>
      <c r="QB27" s="40" t="str">
        <f>IF(SUM(PR27,PV27)&gt;0,SUM(PR27,PV27),"")</f>
        <v/>
      </c>
      <c r="QC27" s="40" t="str">
        <f>IF(SUM(PQ27:PR27,PT27:PV27,PX27)-SUM(PS27,PW27)&gt;0,SUM(PQ27:PR27,PT27:PV27,PX27)-SUM(PS27,PW27),"")</f>
        <v/>
      </c>
      <c r="QD27" s="40" t="str">
        <f>IF(SUM(QA27,QC27)&gt;0,SUM(QA27,QC27),"")</f>
        <v/>
      </c>
    </row>
    <row r="28" spans="1:446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133</v>
      </c>
      <c r="D28" s="4" t="s">
        <v>5</v>
      </c>
      <c r="E28" s="4">
        <v>2007</v>
      </c>
      <c r="F28" s="9">
        <f>SUM(L28:R28)+SUM(L28:O28)*0.0000001+SUM(L28)*0.0000000000001</f>
        <v>93.000009300004805</v>
      </c>
      <c r="G28" s="64"/>
      <c r="H28" s="3" t="str">
        <f>IF(OR(AND(AL28&gt;=AP$38,AM28&gt;=AP$42,AL28&lt;&gt;"",AK28=""),AND(AN28&gt;=AP$38,AO28&gt;=AP$42,AN28&lt;&gt;"",AK28=""),AND(BH28&gt;=BL$38,BI28&gt;=BL$42,BH28&lt;&gt;"",BG28=""),AND(BJ28&gt;=BL$38,BK28&gt;=BL$42,BJ28&lt;&gt;"",BG28=""),AND(CD28&gt;=CH$38,CE28&gt;=CH$42,CD28&lt;&gt;"",CC28=""),AND(CF28&gt;=CH$38,CG28&gt;=CH$42,CF28&lt;&gt;""),AND(DE28&gt;=DL$38,DF28&gt;=DL$42,DE28&lt;&gt;""),AND(DJ28&gt;=DL$38,DK28&gt;=DL$42,DJ28&lt;&gt;""),AND(EG28&gt;=EN$38,EH28&gt;=EN$42,EG28&lt;&gt;""),AND(EL28&gt;=EN$38,EM28&gt;=EN$42,EL28&lt;&gt;""),AND(FI28&gt;=FP$38,FJ28&gt;=FP$42,FI28&lt;&gt;""),AND(FN28&gt;=FP$38,FO28&gt;=FP$42,FN28&lt;&gt;""),AND(GK28&gt;=GR$38,GL28&gt;=GR$42,GK28&lt;&gt;""),AND(GP28&gt;=GR$38,GQ28&gt;=GR$42,GP28&lt;&gt;""),AND(HM28&gt;=HT$38,HN28&gt;=HT$42,HM28&lt;&gt;""),AND(HR28&gt;=HT$38,HS28&gt;=HT$42,HR28&lt;&gt;""),AND(IO28&gt;=IV$38,IP28&gt;=IV$42,IO28&lt;&gt;""),AND(IT28&gt;=IV$38,IU28&gt;=IV$42,IT28&lt;&gt;""),AND(JQ28&gt;=JX$38,JR28&gt;=JX$42,JQ28&lt;&gt;""),AND(JV28&gt;=JX$38,JW28&gt;=JX$42,JV28&lt;&gt;""),AND(KS28&gt;=KZ$38,KT28&gt;=KZ$42,KS28&lt;&gt;""),AND(KX28&gt;=KZ$38,KY28&gt;=KZ$42,KX28&lt;&gt;""),AND(LU28&gt;=MB$38,LV28&gt;=MB$42,LU28&lt;&gt;""),AND(LZ28&gt;=MB$38,MA28&gt;=MB$42,LZ28&lt;&gt;""),AND(MW28&gt;=ND$38,MX28&gt;=ND$42,MW28&lt;&gt;""),AND(NB28&gt;=ND$38,NC28&gt;=ND$42,NB28&lt;&gt;""),AND(NY28&gt;=OF$38,NZ28&gt;=OF$42,NY28&lt;&gt;""),AND(OD28&gt;=OF$38,OE28&gt;=OF$42,OD28&lt;&gt;""),AND(PA28&gt;=PH$38,PB28&gt;=PH$42,PA28&lt;&gt;""),AND(PF28&gt;=PH$38,PG28&gt;=PH$42,PF28&lt;&gt;"")),"P","")</f>
        <v/>
      </c>
      <c r="I28" s="3" t="str">
        <f>IF(OR(AND(AM28&gt;=AP$42,AM28&lt;&gt;"",AK28=""),AND(AO28&gt;=AP$42,AO28&lt;&gt;"",AK28=""),AND(BI28&gt;=BL$42,BI28&lt;&gt;"",BG28=""),AND(BK28&gt;=BL$42,BK28&lt;&gt;"",BG28=""),AND(CE28&gt;=CH$42,CE28&lt;&gt;"",CC28=""),AND(CG28&gt;=CH$42,CG28&lt;&gt;"",CC28=""),AND(DF28&gt;=DL$42,DF28&lt;&gt;""),AND(DK28&gt;=DL$42,DK28&lt;&gt;""),AND(EH28&gt;=EN$42,EH28&lt;&gt;""),AND(EM28&gt;=EN$42,EM28&lt;&gt;""),AND(FJ28&gt;=FP$42,FJ28&lt;&gt;""),AND(FO28&gt;=FP$42,FO28&lt;&gt;""),AND(GL28&gt;=GR$42,GL28&lt;&gt;""),AND(GQ28&gt;=GR$42,GQ28&lt;&gt;""),AND(HN28&gt;=HT$42,HN28&lt;&gt;""),AND(HS28&gt;=HT$42,HS28&lt;&gt;""),AND(IP28&gt;=IV$42,IP28&lt;&gt;""),AND(IU28&gt;=IV$42,IU28&lt;&gt;""),AND(JR28&gt;=JX$42,JR28&lt;&gt;""),AND(JW28&gt;=JX$42,JW28&lt;&gt;""),AND(KT28&gt;=KZ$42,KT28&lt;&gt;""),AND(KY28&gt;=KZ$42,KY28&lt;&gt;""),AND(LV28&gt;=MB$42,LV28&lt;&gt;""),AND(MA28&gt;=MB$42,MA28&lt;&gt;""),AND(MX28&gt;=ND$42,MX28&lt;&gt;""),AND(NC28&gt;=ND$42,NC28&lt;&gt;""),AND(NZ28&gt;=OF$42,NZ28&lt;&gt;""),AND(OE28&gt;=OF$42,OE28&lt;&gt;""),AND(PB28&gt;=PH$42,PB28&lt;&gt;""),AND(PG28&gt;=PH$42,PG28&lt;&gt;"")),"P","")</f>
        <v/>
      </c>
      <c r="J28" s="36" t="str">
        <f>IF(AND(I28="P",H28=""),"No DD",IF(OR(AND(AL28&gt;=AP$26,AM28&gt;=AP$30,AL28&lt;&gt;"",AK28=""),AND(BH28&gt;=BL$26,BI28&gt;=BL$30,BH28&lt;&gt;"",BG28=""),AND(CD28&gt;=CH$26,CE28&gt;=CH$30,CD28&lt;&gt;"",CC28=""),AND(DH28&gt;=DL$26,DI28&gt;=DL$30,DH28&lt;&gt;""),AND(EJ28&gt;=EN$26,EK28&gt;=EN$30,EJ28&lt;&gt;""),AND(FL28&gt;=FP$26,FM28&gt;=FP$30,FL28&lt;&gt;""),AND(GN28&gt;=GR$26,GO28&gt;=GR$30,GN28&lt;&gt;""),AND(HP28&gt;=HT$26,HQ28&gt;=HT$30,HP28&lt;&gt;""),AND(IR28&gt;=IV$26,IS28&gt;=IV$30,IR28&lt;&gt;""),AND(JT28&gt;=JX$26,JU28&gt;=JX$30,JT28&lt;&gt;""),AND(KV28&gt;=KZ$26,KW28&gt;=KZ$30,KV28&lt;&gt;""),AND(LX28&gt;=MB$26,LY28&gt;=MB$30,LX28&lt;&gt;""),AND(MZ28&gt;=ND$26,NA28&gt;=ND$30,MZ28&lt;&gt;""),AND(OB28&gt;=OF$26,OC28&gt;=OF$30,OB28&lt;&gt;""),AND(PD28&gt;=PH$26,PE28&gt;=PH$30,PD28&lt;&gt;"")),"Merit",IF(OR(AND(AL28&gt;=AP$25,AM28&gt;=AP$29,AL28&lt;&gt;"",AK28=""),AND(BH28&gt;=BL$25,BI28&gt;=BL$29,BH28&lt;&gt;"",BG28=""),AND(CD28&gt;=CH$25,CE28&gt;=CH$29,CD28&lt;&gt;"",CC28=""),AND(DH28&gt;=DL$25,DI28&gt;=DL$29,DH28&lt;&gt;""),AND(EJ28&gt;=EN$25,EK28&gt;=EN$29,EJ28&lt;&gt;""),AND(FL28&gt;=FP$25,FM28&gt;=FP$29,FL28&lt;&gt;""),AND(GN28&gt;=GR$25,GO28&gt;=GR$29,GN28&lt;&gt;""),AND(HP28&gt;=HT$25,HQ28&gt;=HT$29,HP28&lt;&gt;""),AND(IR28&gt;=IV$25,IS28&gt;=IV$29,IR28&lt;&gt;""),AND(JT28&gt;=JX$25,JU28&gt;=JX$29,JT28&lt;&gt;""),AND(KV28&gt;=KZ$25,KW28&gt;=KZ$29,KV28&lt;&gt;""),AND(LX28&gt;=MB$25,LY28&gt;=MB$29,LX28&lt;&gt;""),AND(MZ28&gt;=ND$25,NA28&gt;=ND$29,MZ28&lt;&gt;""),AND(OB28&gt;=OF$25,OC28&gt;=OF$29,OB28&lt;&gt;""),AND(PD28&gt;=PH$25,PE28&gt;=PH$29,PD28&lt;&gt;"")),"Excellence",IF(K28="P","Worlds Team",IF(H28="P","National Team","")))))</f>
        <v/>
      </c>
      <c r="K28" s="3" t="str">
        <f>IF(OR(AND(AL28&gt;=AP$24,AM28&gt;=AP$28,AL28&lt;&gt;"",AK28=""),AND(BH28&gt;=BL$24,BI28&gt;=BL$28,BH28&lt;&gt;"",BG28=""),AND(CD28&gt;=CH$24,CE28&gt;=CH$28,CD28&lt;&gt;"",CC28=""),AND(DH28&gt;=DL$24,DI28&gt;=DL$28,DH28&lt;&gt;""),AND(EJ28&gt;=EN$24,EK28&gt;=EN$28,EJ28&lt;&gt;""),AND(FL28&gt;=FP$24,FM28&gt;=FP$28,FL28&lt;&gt;""),AND(GN28&gt;=GR$24,GO28&gt;=GR$28,GN28&lt;&gt;""),AND(HP28&gt;=HT$24,HQ28&gt;=HT$28,HP28&lt;&gt;""),AND(IR28&gt;=IV$24,IS28&gt;=IV$28,IR28&lt;&gt;""),AND(JT28&gt;=JX$24,JU28&gt;=JX$28,JT28&lt;&gt;""),AND(KV28&gt;=KZ$24,KW28&gt;=KZ$28,KV28&lt;&gt;""),AND(LX28&gt;=MB$24,LY28&gt;=MB$28,LX28&lt;&gt;""),AND(MZ28&gt;=ND$24,NA28&gt;=ND$28,MZ28&lt;&gt;""),AND(OB28&gt;=OF$24,OC28&gt;=OF$28,OB28&lt;&gt;""),AND(PD28&gt;=PH$24,PE28&gt;=PH$28,PD28&lt;&gt;"")),"P","")</f>
        <v/>
      </c>
      <c r="L28" s="8">
        <f>IF(COUNT(AM28,BI28,CE28)&gt;0,LARGE((AM28,BI28,CE28),1),0)</f>
        <v>48.099999999999994</v>
      </c>
      <c r="M28" s="8" t="str">
        <f>IF(L28=0,"",IF(L28=CE28,$BM$1,IF(L28=BI28,$AQ$1,IF(L28=AM28,$U$1,""))))</f>
        <v>2025 Elite Canada</v>
      </c>
      <c r="N28" s="8">
        <f>IF(COUNT(AM28,BI28,CE28)&gt;1,LARGE((AM28,BI28,CE28),2),0)</f>
        <v>44.900000000000013</v>
      </c>
      <c r="O28" s="8" t="str">
        <f>IF(N28=0,"",IF(AND(N28=L28,N28=AM28,N28=BI28),$U$1,IF(AND(N28=L28,N28=AM28,N28=CE28),$U$1,IF(AND(N28=L28,N28=BI28,N28=CE28),$AQ$1,IF(N28=CE28,$BM$1,IF(N28=BI28,$AQ$1,IF(N28=AM28,$U$1,"")))))))</f>
        <v>2025 Nationals</v>
      </c>
      <c r="P28" s="8">
        <f>IF(MAX(AO28,BK28,CG28)&gt;0,MAX(AO28,BK28,CG28),0)</f>
        <v>0</v>
      </c>
      <c r="Q28" s="8" t="str">
        <f>IF(P28=0,"",IF(P28=CG28,$BM$1,IF(P28=BK28,$AQ$1,IF(P28=AO28,$U$1,""))))</f>
        <v/>
      </c>
      <c r="R28" s="8" t="str">
        <f>IF(MAX(CI28:CJ28)&gt;0,MAX(CI28:CJ28),"")</f>
        <v/>
      </c>
      <c r="S28" s="11" t="str">
        <f>IF(R28="","",IF(R28=CI28,"("&amp;CI$2&amp;")",IF(R28=CJ28,"("&amp;CJ$2&amp;")")))</f>
        <v/>
      </c>
      <c r="T28" s="8" t="str">
        <f>IF(R28="","",IF(R28=CI28,IF(R28+IF(N28="",0,N28)=PB28,$OG$1,IF(R28+IF(N28="",0,N28)=NZ28,$NE$1,IF(R28+IF(N28="",0,N28)=MX28,$MC$1,IF(R28+IF(N28="",0,N28)=LV28,$LA$1,IF(R28+IF(N28="",0,N28)=KT28,$JY$1,IF(R28+IF(N28="",0,N28)=JR28,$IW$1,IF(R28+IF(N28="",0,N28)=IP28,$HU$1,IF(R28+IF(N28="",0,N28)=HN28,$GS$1,IF(R28+IF(N28="",0,N28)=GL28,$FQ$1,IF(R28+IF(N28="",0,N28)=FJ28,$EO$1,IF(R28+IF(N28="",0,N28)=EH28,$DM$1,IF(R28+IF(N28="",0,N28)=DF28,$CK$1)))))))))))),IF(R28=CJ28,IF(R28+IF(P28="",0,P28)=PG28,$OG$1,IF(R28+IF(P28="",0,P28)=OE28,$NE$1,IF(R28+IF(P28="",0,P28)=NC28,$MC$1,IF(R28+IF(P28="",0,P28)=MA28,$LA$1,IF(R28+IF(P28="",0,P28)=KY28,$JY$1,IF(R28+IF(P28="",0,P28)=JW28,$IW$1,IF(R28+IF(P28="",0,P28)=IU28,$HU$1,IF(R28+IF(P28="",0,P28)=HS28,$GS$1,IF(R28+IF(P28="",0,P28)=GQ28,$FQ$1,IF(R28+IF(P28="",0,P28)=FO28,$EO$1,IF(R28+IF(P28="",0,P28)=EM28,$DM$1,IF(R28+IF(P28="",0,P28)=DK28,$CK$1)))))))))))))))</f>
        <v/>
      </c>
      <c r="U28" s="19">
        <v>18</v>
      </c>
      <c r="V28" s="19">
        <v>6.8</v>
      </c>
      <c r="W28" s="19">
        <v>0.2</v>
      </c>
      <c r="X28" s="19">
        <v>0</v>
      </c>
      <c r="Y28" s="19">
        <v>18.3</v>
      </c>
      <c r="Z28" s="19">
        <v>6.4</v>
      </c>
      <c r="AA28" s="19">
        <v>1.2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27"/>
      <c r="AL28" s="40">
        <f>IF(SUM(V28,Z28)&gt;0,SUM(V28,Z28),"")</f>
        <v>13.2</v>
      </c>
      <c r="AM28" s="40">
        <f>IF(SUM(U28:V28,X28:Z28,AB28)-W28-AA28&gt;0,SUM(U28:V28,X28:Z28,AB28)-W28-AA28,"")</f>
        <v>48.099999999999994</v>
      </c>
      <c r="AN28" s="40" t="str">
        <f>IF(SUM(AD28,AH28)&gt;0,SUM(AD28,AH28),"")</f>
        <v/>
      </c>
      <c r="AO28" s="40" t="str">
        <f>IF(SUM(AC28:AD28,AF28:AH28,AJ28)-SUM(AE28,AI28)&gt;0,SUM(AC28:AD28,AF28:AH28,AJ28)-SUM(AE28,AI28),"")</f>
        <v/>
      </c>
      <c r="AP28" s="40">
        <f>IF(SUM(AM28,AO28)&gt;0,SUM(AM28,AO28),"")</f>
        <v>48.099999999999994</v>
      </c>
      <c r="AQ28" s="18">
        <v>16.8</v>
      </c>
      <c r="AR28" s="18">
        <v>6.8</v>
      </c>
      <c r="AS28" s="18">
        <v>0.8</v>
      </c>
      <c r="AT28" s="18">
        <v>0</v>
      </c>
      <c r="AU28" s="18">
        <v>18.3</v>
      </c>
      <c r="AV28" s="18">
        <v>5.6</v>
      </c>
      <c r="AW28" s="18">
        <v>1.8</v>
      </c>
      <c r="AX28" s="18">
        <v>0</v>
      </c>
      <c r="AY28" s="18"/>
      <c r="AZ28" s="18"/>
      <c r="BA28" s="18"/>
      <c r="BB28" s="18"/>
      <c r="BC28" s="18"/>
      <c r="BD28" s="18"/>
      <c r="BE28" s="18"/>
      <c r="BF28" s="18"/>
      <c r="BG28" s="28"/>
      <c r="BH28" s="11">
        <f>IF(SUM(AR28,AV28)&gt;0,SUM(AR28,AV28),"")</f>
        <v>12.399999999999999</v>
      </c>
      <c r="BI28" s="11">
        <f>IF(SUM(AQ28:AR28,AT28:AV28,AX28)-AS28-AW28&gt;0,SUM(AQ28:AR28,AT28:AV28,AX28)-AS28-AW28,"")</f>
        <v>44.900000000000013</v>
      </c>
      <c r="BJ28" s="11" t="str">
        <f>IF(SUM(AZ28,BD28)&gt;0,SUM(AZ28,BD28),"")</f>
        <v/>
      </c>
      <c r="BK28" s="11" t="str">
        <f>IF(SUM(AY28:AZ28,BB28:BD28,BF28)-SUM(BA28,BE28)&gt;0,SUM(AY28:AZ28,BB28:BD28,BF28)-SUM(BA28,BE28),"")</f>
        <v/>
      </c>
      <c r="BL28" s="11">
        <f>IF(SUM(BI28,BK28)&gt;0,SUM(BI28,BK28),"")</f>
        <v>44.900000000000013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>IF(SUM(BN28,BR28)&gt;0,SUM(BN28,BR28),"")</f>
        <v/>
      </c>
      <c r="CE28" s="40" t="str">
        <f>IF(SUM(BM28:BN28,BP28:BR28,BT28)-BO28-BS28&gt;0,SUM(BM28:BN28,BP28:BR28,BT28)-BO28-BS28,"")</f>
        <v/>
      </c>
      <c r="CF28" s="40" t="str">
        <f>IF(SUM(BV28,BZ28)&gt;0,SUM(BV28,BZ28),"")</f>
        <v/>
      </c>
      <c r="CG28" s="40" t="str">
        <f>IF(SUM(BU28:BV28,BX28:BZ28,CB28)-SUM(BW28,CA28)&gt;0,SUM(BU28:BV28,BX28:BZ28,CB28)-SUM(BW28,CA28),"")</f>
        <v/>
      </c>
      <c r="CH28" s="40" t="str">
        <f>IF(SUM(CE28,CG28)&gt;0,SUM(CE28,CG28),"")</f>
        <v/>
      </c>
      <c r="CI28" s="50" t="str">
        <f>IF(MAX(DF28,EH28,FJ28,GL28,HN28,IP28,JR28,KT28,LV28,MX28,NZ28,PB28)-IF(N28="",0,N28)&gt;0.001,MAX(DF28,EH28,FJ28,GL28,HN28,IP28,JR28,KT28,LV28,MX28,NZ28,PB28)-IF(N28="",0,N28),"")</f>
        <v/>
      </c>
      <c r="CJ28" s="50" t="str">
        <f>IF(MAX(DK28,EM28,FO28,GQ28,HS28,IU28,JW28,KY28,MA28,NC28,OE28,PG28)-IF(P28="",0,P28)&gt;0.001,MAX(DK28,EM28,FO28,GQ28,HS28,IU28,JW28,KY28,MA28,NC28,OE28,PG28)-IF(P28="",0,P28),"")</f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>IF(SUM(CL28,CP28)&gt;0,SUM(CL28,CP28),"")</f>
        <v/>
      </c>
      <c r="DF28" s="40" t="str">
        <f>IF(SUM(CK28:CL28,CN28:CP28,CR28)-CM28-CQ28&gt;0,SUM(CK28:CL28,CN28:CP28,CR28)-CM28-CQ28,"")</f>
        <v/>
      </c>
      <c r="DG28" s="40" t="str">
        <f>IF(SUM(CS28:CT28,CV28)-CU28&gt;0,SUM(CS28:CT28,CV28)-CU28,"")</f>
        <v/>
      </c>
      <c r="DH28" s="40" t="str">
        <f>IF(SUM(CL28,CP28,CT28)&gt;0,SUM(CL28,CP28,CT28),"")</f>
        <v/>
      </c>
      <c r="DI28" s="40" t="str">
        <f>IF(SUM(DF28,DG28)&gt;0,SUM(DF28,DG28),"")</f>
        <v/>
      </c>
      <c r="DJ28" s="40" t="str">
        <f>IF(SUM(CX28,DB28)&gt;0,SUM(CX28,DB28),"")</f>
        <v/>
      </c>
      <c r="DK28" s="40" t="str">
        <f>IF(SUM(CW28:CX28,CZ28:DB28,DD28)-SUM(CY28,DC28)&gt;0,SUM(CW28:CX28,CZ28:DB28,DD28)-SUM(CY28,DC28),"")</f>
        <v/>
      </c>
      <c r="DL28" s="40" t="str">
        <f>IF(SUM(DF28,DG28,DK28)&gt;0,SUM(DF28,DG28,DK28),"")</f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>IF(SUM(DN28,DR28)&gt;0,SUM(DN28,DR28),"")</f>
        <v/>
      </c>
      <c r="EH28" s="11" t="str">
        <f>IF(SUM(DM28:DN28,DP28:DR28,DT28)-DO28-DS28&gt;0,SUM(DM28:DN28,DP28:DR28,DT28)-DO28-DS28,"")</f>
        <v/>
      </c>
      <c r="EI28" s="11" t="str">
        <f>IF(SUM(DU28:DV28,DX28)-DW28&gt;0,SUM(DU28:DV28,DX28)-DW28,"")</f>
        <v/>
      </c>
      <c r="EJ28" s="11" t="str">
        <f>IF(SUM(DN28,DR28,DV28)&gt;0,SUM(DN28,DR28,DV28),"")</f>
        <v/>
      </c>
      <c r="EK28" s="11" t="str">
        <f>IF(SUM(EH28,EI28)&gt;0,SUM(EH28,EI28),"")</f>
        <v/>
      </c>
      <c r="EL28" s="11" t="str">
        <f>IF(SUM(DZ28,ED28)&gt;0,SUM(DZ28,ED28),"")</f>
        <v/>
      </c>
      <c r="EM28" s="11" t="str">
        <f>IF(SUM(DY28:DZ28,EB28:ED28,EF28)-SUM(EA28,EE28)&gt;0,SUM(DY28:DZ28,EB28:ED28,EF28)-SUM(EA28,EE28),"")</f>
        <v/>
      </c>
      <c r="EN28" s="11" t="str">
        <f>IF(SUM(EH28,EI28,EM28)&gt;0,SUM(EH28,EI28,EM28),"")</f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>IF(SUM(EP28,ET28)&gt;0,SUM(EP28,ET28),"")</f>
        <v/>
      </c>
      <c r="FJ28" s="40" t="str">
        <f>IF(SUM(EO28:EP28,ER28:ET28,EV28)-EQ28-EU28&gt;0,SUM(EO28:EP28,ER28:ET28,EV28)-EQ28-EU28,"")</f>
        <v/>
      </c>
      <c r="FK28" s="40" t="str">
        <f>IF(SUM(EW28:EX28,EZ28)-EY28&gt;0,SUM(EW28:EX28,EZ28)-EY28,"")</f>
        <v/>
      </c>
      <c r="FL28" s="40" t="str">
        <f>IF(SUM(EP28,ET28,EX28)&gt;0,SUM(EP28,ET28,EX28),"")</f>
        <v/>
      </c>
      <c r="FM28" s="40" t="str">
        <f>IF(SUM(FJ28,FK28)&gt;0,SUM(FJ28,FK28),"")</f>
        <v/>
      </c>
      <c r="FN28" s="40" t="str">
        <f>IF(SUM(FB28,FF28)&gt;0,SUM(FB28,FF28),"")</f>
        <v/>
      </c>
      <c r="FO28" s="40" t="str">
        <f>IF(SUM(FA28:FB28,FD28:FF28,FH28)-SUM(FC28,FG28)&gt;0,SUM(FA28:FB28,FD28:FF28,FH28)-SUM(FC28,FG28),"")</f>
        <v/>
      </c>
      <c r="FP28" s="40" t="str">
        <f>IF(SUM(FJ28,FK28,FO28)&gt;0,SUM(FJ28,FK28,FO28),"")</f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>IF(SUM(FR28,FV28)&gt;0,SUM(FR28,FV28),"")</f>
        <v/>
      </c>
      <c r="GL28" s="11" t="str">
        <f>IF(SUM(FQ28:FR28,FT28:FV28,FX28)-FS28-FW28&gt;0,SUM(FQ28:FR28,FT28:FV28,FX28)-FS28-FW28,"")</f>
        <v/>
      </c>
      <c r="GM28" s="11" t="str">
        <f>IF(SUM(FY28:FZ28,GB28)-GA28&gt;0,SUM(FY28:FZ28,GB28)-GA28,"")</f>
        <v/>
      </c>
      <c r="GN28" s="11" t="str">
        <f>IF(SUM(FR28,FV28,FZ28)&gt;0,SUM(FR28,FV28,FZ28),"")</f>
        <v/>
      </c>
      <c r="GO28" s="11" t="str">
        <f>IF(SUM(GL28,GM28)&gt;0,SUM(GL28,GM28),"")</f>
        <v/>
      </c>
      <c r="GP28" s="11" t="str">
        <f>IF(SUM(GD28,GH28)&gt;0,SUM(GD28,GH28),"")</f>
        <v/>
      </c>
      <c r="GQ28" s="11" t="str">
        <f>IF(SUM(GC28:GD28,GF28:GH28,GJ28)-SUM(GE28,GI28)&gt;0,SUM(GC28:GD28,GF28:GH28,GJ28)-SUM(GE28,GI28),"")</f>
        <v/>
      </c>
      <c r="GR28" s="11" t="str">
        <f>IF(SUM(GL28,GM28,GQ28)&gt;0,SUM(GL28,GM28,GQ28),"")</f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>IF(SUM(GT28,GX28)&gt;0,SUM(GT28,GX28),"")</f>
        <v/>
      </c>
      <c r="HN28" s="40" t="str">
        <f>IF(SUM(GS28:GT28,GV28:GX28,GZ28)-GU28-GY28&gt;0,SUM(GS28:GT28,GV28:GX28,GZ28)-GU28-GY28,"")</f>
        <v/>
      </c>
      <c r="HO28" s="40" t="str">
        <f>IF(SUM(HA28:HB28,HD28)-HC28&gt;0,SUM(HA28:HB28,HD28)-HC28,"")</f>
        <v/>
      </c>
      <c r="HP28" s="40" t="str">
        <f>IF(SUM(GT28,GX28,HB28)&gt;0,SUM(GT28,GX28,HB28),"")</f>
        <v/>
      </c>
      <c r="HQ28" s="40" t="str">
        <f>IF(SUM(HN28,HO28)&gt;0,SUM(HN28,HO28),"")</f>
        <v/>
      </c>
      <c r="HR28" s="40" t="str">
        <f>IF(SUM(HF28,HJ28)&gt;0,SUM(HF28,HJ28),"")</f>
        <v/>
      </c>
      <c r="HS28" s="40" t="str">
        <f>IF(SUM(HE28:HF28,HH28:HJ28,HL28)-SUM(HG28,HK28)&gt;0,SUM(HE28:HF28,HH28:HJ28,HL28)-SUM(HG28,HK28),"")</f>
        <v/>
      </c>
      <c r="HT28" s="40" t="str">
        <f>IF(SUM(HN28,HO28,HS28)&gt;0,SUM(HN28,HO28,HS28),"")</f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>IF(SUM(HV28,HZ28)&gt;0,SUM(HV28,HZ28),"")</f>
        <v/>
      </c>
      <c r="IP28" s="11" t="str">
        <f>IF(SUM(HU28:HV28,HX28:HZ28,IB28)-HW28-IA28&gt;0,SUM(HU28:HV28,HX28:HZ28,IB28)-HW28-IA28,"")</f>
        <v/>
      </c>
      <c r="IQ28" s="11" t="str">
        <f>IF(SUM(IC28:ID28,IF28)-IE28&gt;0,SUM(IC28:ID28,IF28)-IE28,"")</f>
        <v/>
      </c>
      <c r="IR28" s="11" t="str">
        <f>IF(SUM(HV28,HZ28,ID28)&gt;0,SUM(HV28,HZ28,ID28),"")</f>
        <v/>
      </c>
      <c r="IS28" s="11" t="str">
        <f>IF(SUM(IP28,IQ28)&gt;0,SUM(IP28,IQ28),"")</f>
        <v/>
      </c>
      <c r="IT28" s="11" t="str">
        <f>IF(SUM(IH28,IL28)&gt;0,SUM(IH28,IL28),"")</f>
        <v/>
      </c>
      <c r="IU28" s="11" t="str">
        <f>IF(SUM(IG28:IH28,IJ28:IL28,IN28)-SUM(II28,IM28)&gt;0,SUM(IG28:IH28,IJ28:IL28,IN28)-SUM(II28,IM28),"")</f>
        <v/>
      </c>
      <c r="IV28" s="11" t="str">
        <f>IF(SUM(IP28,IQ28,IU28)&gt;0,SUM(IP28,IQ28,IU28),"")</f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>IF(SUM(IX28,JB28)&gt;0,SUM(IX28,JB28),"")</f>
        <v/>
      </c>
      <c r="JR28" s="40" t="str">
        <f>IF(SUM(IW28:IX28,IZ28:JB28,JD28)-IY28-JC28&gt;0,SUM(IW28:IX28,IZ28:JB28,JD28)-IY28-JC28,"")</f>
        <v/>
      </c>
      <c r="JS28" s="40" t="str">
        <f>IF(SUM(JE28:JF28,JH28)-JG28&gt;0,SUM(JE28:JF28,JH28)-JG28,"")</f>
        <v/>
      </c>
      <c r="JT28" s="40" t="str">
        <f>IF(SUM(IX28,JB28,JF28)&gt;0,SUM(IX28,JB28,JF28),"")</f>
        <v/>
      </c>
      <c r="JU28" s="40" t="str">
        <f>IF(SUM(JR28,JS28)&gt;0,SUM(JR28,JS28),"")</f>
        <v/>
      </c>
      <c r="JV28" s="40" t="str">
        <f>IF(SUM(JJ28,JN28)&gt;0,SUM(JJ28,JN28),"")</f>
        <v/>
      </c>
      <c r="JW28" s="40" t="str">
        <f>IF(SUM(JI28:JJ28,JL28:JN28,JP28)-SUM(JK28,JO28)&gt;0,SUM(JI28:JJ28,JL28:JN28,JP28)-SUM(JK28,JO28),"")</f>
        <v/>
      </c>
      <c r="JX28" s="40" t="str">
        <f>IF(SUM(JR28,JS28,JW28)&gt;0,SUM(JR28,JS28,JW28),"")</f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>IF(SUM(JZ28,KD28)&gt;0,SUM(JZ28,KD28),"")</f>
        <v/>
      </c>
      <c r="KT28" s="11" t="str">
        <f>IF(SUM(JY28:JZ28,KB28:KD28,KF28)-KA28-KE28&gt;0,SUM(JY28:JZ28,KB28:KD28,KF28)-KA28-KE28,"")</f>
        <v/>
      </c>
      <c r="KU28" s="11" t="str">
        <f>IF(SUM(KG28:KH28,KJ28)-KI28&gt;0,SUM(KG28:KH28,KJ28)-KI28,"")</f>
        <v/>
      </c>
      <c r="KV28" s="11" t="str">
        <f>IF(SUM(JZ28,KD28,KH28)&gt;0,SUM(JZ28,KD28,KH28),"")</f>
        <v/>
      </c>
      <c r="KW28" s="11" t="str">
        <f>IF(SUM(KT28,KU28)&gt;0,SUM(KT28,KU28),"")</f>
        <v/>
      </c>
      <c r="KX28" s="11" t="str">
        <f>IF(SUM(KL28,KP28)&gt;0,SUM(KL28,KP28),"")</f>
        <v/>
      </c>
      <c r="KY28" s="11" t="str">
        <f>IF(SUM(KK28:KL28,KN28:KP28,KR28)-SUM(KM28,KQ28)&gt;0,SUM(KK28:KL28,KN28:KP28,KR28)-SUM(KM28,KQ28),"")</f>
        <v/>
      </c>
      <c r="KZ28" s="11" t="str">
        <f>IF(SUM(KT28,KU28,KY28)&gt;0,SUM(KT28,KU28,KY28),"")</f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>IF(SUM(LB28,LF28)&gt;0,SUM(LB28,LF28),"")</f>
        <v/>
      </c>
      <c r="LV28" s="40" t="str">
        <f>IF(SUM(LA28:LB28,LD28:LF28,LH28)-LC28-LG28&gt;0,SUM(LA28:LB28,LD28:LF28,LH28)-LC28-LG28,"")</f>
        <v/>
      </c>
      <c r="LW28" s="40" t="str">
        <f>IF(SUM(LI28:LJ28,LL28)-LK28&gt;0,SUM(LI28:LJ28,LL28)-LK28,"")</f>
        <v/>
      </c>
      <c r="LX28" s="40" t="str">
        <f>IF(SUM(LB28,LF28,LJ28)&gt;0,SUM(LB28,LF28,LJ28),"")</f>
        <v/>
      </c>
      <c r="LY28" s="40" t="str">
        <f>IF(SUM(LV28,LW28)&gt;0,SUM(LV28,LW28),"")</f>
        <v/>
      </c>
      <c r="LZ28" s="40" t="str">
        <f>IF(SUM(LN28,LR28)&gt;0,SUM(LN28,LR28),"")</f>
        <v/>
      </c>
      <c r="MA28" s="40" t="str">
        <f>IF(SUM(LM28:LN28,LP28:LR28,LT28)-SUM(LO28,LS28)&gt;0,SUM(LM28:LN28,LP28:LR28,LT28)-SUM(LO28,LS28),"")</f>
        <v/>
      </c>
      <c r="MB28" s="40" t="str">
        <f>IF(SUM(LV28,LW28,MA28)&gt;0,SUM(LV28,LW28,MA28),"")</f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>IF(SUM(MD28,MH28)&gt;0,SUM(MD28,MH28),"")</f>
        <v/>
      </c>
      <c r="MX28" s="11" t="str">
        <f>IF(SUM(MC28:MD28,MF28:MH28,MJ28)-ME28-MI28&gt;0,SUM(MC28:MD28,MF28:MH28,MJ28)-ME28-MI28,"")</f>
        <v/>
      </c>
      <c r="MY28" s="11" t="str">
        <f>IF(SUM(MK28:ML28,MN28)-MM28&gt;0,SUM(MK28:ML28,MN28)-MM28,"")</f>
        <v/>
      </c>
      <c r="MZ28" s="11" t="str">
        <f>IF(SUM(MD28,MH28,ML28)&gt;0,SUM(MD28,MH28,ML28),"")</f>
        <v/>
      </c>
      <c r="NA28" s="11" t="str">
        <f>IF(SUM(MX28,MY28)&gt;0,SUM(MX28,MY28),"")</f>
        <v/>
      </c>
      <c r="NB28" s="11" t="str">
        <f>IF(SUM(MP28,MT28)&gt;0,SUM(MP28,MT28),"")</f>
        <v/>
      </c>
      <c r="NC28" s="11" t="str">
        <f>IF(SUM(MO28:MP28,MR28:MT28,MV28)-SUM(MQ28,MU28)&gt;0,SUM(MO28:MP28,MR28:MT28,MV28)-SUM(MQ28,MU28),"")</f>
        <v/>
      </c>
      <c r="ND28" s="11" t="str">
        <f>IF(SUM(MX28,MY28,NC28)&gt;0,SUM(MX28,MY28,NC28),"")</f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>IF(SUM(NF28,NJ28)&gt;0,SUM(NF28,NJ28),"")</f>
        <v/>
      </c>
      <c r="NZ28" s="40" t="str">
        <f>IF(SUM(NE28:NF28,NH28:NJ28,NL28)-NG28-NK28&gt;0,SUM(NE28:NF28,NH28:NJ28,NL28)-NG28-NK28,"")</f>
        <v/>
      </c>
      <c r="OA28" s="40" t="str">
        <f>IF(SUM(NM28:NN28,NP28)-NO28&gt;0,SUM(NM28:NN28,NP28)-NO28,"")</f>
        <v/>
      </c>
      <c r="OB28" s="40" t="str">
        <f>IF(SUM(NF28,NJ28,NN28)&gt;0,SUM(NF28,NJ28,NN28),"")</f>
        <v/>
      </c>
      <c r="OC28" s="40" t="str">
        <f>IF(SUM(NZ28,OA28)&gt;0,SUM(NZ28,OA28),"")</f>
        <v/>
      </c>
      <c r="OD28" s="40" t="str">
        <f>IF(SUM(NR28,NV28)&gt;0,SUM(NR28,NV28),"")</f>
        <v/>
      </c>
      <c r="OE28" s="40" t="str">
        <f>IF(SUM(NQ28:NR28,NT28:NV28,NX28)-SUM(NS28,NW28)&gt;0,SUM(NQ28:NR28,NT28:NV28,NX28)-SUM(NS28,NW28),"")</f>
        <v/>
      </c>
      <c r="OF28" s="40" t="str">
        <f>IF(SUM(NZ28,OA28,OE28)&gt;0,SUM(NZ28,OA28,OE28),"")</f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>IF(SUM(OH28,OL28)&gt;0,SUM(OH28,OL28),"")</f>
        <v/>
      </c>
      <c r="PB28" s="11" t="str">
        <f>IF(SUM(OG28:OH28,OJ28:OL28,ON28)-OI28-OM28&gt;0,SUM(OG28:OH28,OJ28:OL28,ON28)-OI28-OM28,"")</f>
        <v/>
      </c>
      <c r="PC28" s="11" t="str">
        <f>IF(SUM(OO28:OP28,OR28)-OQ28&gt;0,SUM(OO28:OP28,OR28)-OQ28,"")</f>
        <v/>
      </c>
      <c r="PD28" s="11" t="str">
        <f>IF(SUM(OH28,OL28,OP28)&gt;0,SUM(OH28,OL28,OP28),"")</f>
        <v/>
      </c>
      <c r="PE28" s="11" t="str">
        <f>IF(SUM(PB28,PC28)&gt;0,SUM(PB28,PC28),"")</f>
        <v/>
      </c>
      <c r="PF28" s="11" t="str">
        <f>IF(SUM(OT28,OX28)&gt;0,SUM(OT28,OX28),"")</f>
        <v/>
      </c>
      <c r="PG28" s="11" t="str">
        <f>IF(SUM(OS28:OT28,OV28:OX28,OZ28)-SUM(OU28,OY28)&gt;0,SUM(OS28:OT28,OV28:OX28,OZ28)-SUM(OU28,OY28),"")</f>
        <v/>
      </c>
      <c r="PH28" s="11" t="str">
        <f>IF(SUM(PB28,PC28,PG28)&gt;0,SUM(PB28,PC28,PG28),"")</f>
        <v/>
      </c>
      <c r="PI28" s="22">
        <f>IF($CC28="P",BM28,(BM28+AQ28)/2)</f>
        <v>8.4</v>
      </c>
      <c r="PJ28" s="22">
        <f>IF($CC28="P",BN28,(BN28+AR28)/2)</f>
        <v>3.4</v>
      </c>
      <c r="PK28" s="22">
        <f>IF($CC28="P",BO28,(BO28+AS28)/2)</f>
        <v>0.4</v>
      </c>
      <c r="PL28" s="22">
        <f>IF($CC28="P",BP28,(BP28+AT28)/2)</f>
        <v>0</v>
      </c>
      <c r="PM28" s="22">
        <f>IF($CC28="P",BQ28,(BQ28+AU28)/2)</f>
        <v>9.15</v>
      </c>
      <c r="PN28" s="22">
        <f>IF($CC28="P",BR28,(BR28+AV28)/2)</f>
        <v>2.8</v>
      </c>
      <c r="PO28" s="22">
        <f>IF($CC28="P",BS28,(BS28+AW28)/2)</f>
        <v>0.9</v>
      </c>
      <c r="PP28" s="22">
        <f>IF($CC28="P",BT28,(BT28+AX28)/2)</f>
        <v>0</v>
      </c>
      <c r="PQ28" s="22">
        <f>IF($CC28="P",BU28,(BU28+AY28)/2)</f>
        <v>0</v>
      </c>
      <c r="PR28" s="22">
        <f>IF($CC28="P",BV28,(BV28+AZ28)/2)</f>
        <v>0</v>
      </c>
      <c r="PS28" s="22">
        <f>IF($CC28="P",BW28,(BW28+BA28)/2)</f>
        <v>0</v>
      </c>
      <c r="PT28" s="22">
        <f>IF($CC28="P",BX28,(BX28+BB28)/2)</f>
        <v>0</v>
      </c>
      <c r="PU28" s="22">
        <f>IF($CC28="P",BY28,(BY28+BC28)/2)</f>
        <v>0</v>
      </c>
      <c r="PV28" s="22">
        <f>IF($CC28="P",BZ28,(BZ28+BD28)/2)</f>
        <v>0</v>
      </c>
      <c r="PW28" s="22">
        <f>IF($CC28="P",CA28,(CA28+BE28)/2)</f>
        <v>0</v>
      </c>
      <c r="PX28" s="22">
        <f>IF($CC28="P",CB28,(CB28+BF28)/2)</f>
        <v>0</v>
      </c>
      <c r="PY28" s="27" t="s">
        <v>46</v>
      </c>
      <c r="PZ28" s="40">
        <f>IF(SUM(PJ28,PN28)&gt;0,SUM(PJ28,PN28),"")</f>
        <v>6.1999999999999993</v>
      </c>
      <c r="QA28" s="40">
        <f>IF(SUM(PI28:PJ28,PL28:PN28,PP28)-PK28-PO28&gt;0,SUM(PI28:PJ28,PL28:PN28,PP28)-PK28-PO28,"")</f>
        <v>22.450000000000006</v>
      </c>
      <c r="QB28" s="40" t="str">
        <f>IF(SUM(PR28,PV28)&gt;0,SUM(PR28,PV28),"")</f>
        <v/>
      </c>
      <c r="QC28" s="40" t="str">
        <f>IF(SUM(PQ28:PR28,PT28:PV28,PX28)-SUM(PS28,PW28)&gt;0,SUM(PQ28:PR28,PT28:PV28,PX28)-SUM(PS28,PW28),"")</f>
        <v/>
      </c>
      <c r="QD28" s="40">
        <f>IF(SUM(QA28,QC28)&gt;0,SUM(QA28,QC28),"")</f>
        <v>22.450000000000006</v>
      </c>
    </row>
    <row r="29" spans="1:446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126</v>
      </c>
      <c r="D29" s="4" t="s">
        <v>4</v>
      </c>
      <c r="E29" s="4">
        <v>2007</v>
      </c>
      <c r="F29" s="9">
        <f>SUM(L29:R29)+SUM(L29:O29)*0.0000001+SUM(L29)*0.0000000000001</f>
        <v>90.800009080004656</v>
      </c>
      <c r="G29" s="64"/>
      <c r="H29" s="3" t="str">
        <f>IF(OR(AND(AL29&gt;=AP$38,AM29&gt;=AP$42,AL29&lt;&gt;"",AK29=""),AND(AN29&gt;=AP$38,AO29&gt;=AP$42,AN29&lt;&gt;"",AK29=""),AND(BH29&gt;=BL$38,BI29&gt;=BL$42,BH29&lt;&gt;"",BG29=""),AND(BJ29&gt;=BL$38,BK29&gt;=BL$42,BJ29&lt;&gt;"",BG29=""),AND(CD29&gt;=CH$38,CE29&gt;=CH$42,CD29&lt;&gt;"",CC29=""),AND(CF29&gt;=CH$38,CG29&gt;=CH$42,CF29&lt;&gt;""),AND(DE29&gt;=DL$38,DF29&gt;=DL$42,DE29&lt;&gt;""),AND(DJ29&gt;=DL$38,DK29&gt;=DL$42,DJ29&lt;&gt;""),AND(EG29&gt;=EN$38,EH29&gt;=EN$42,EG29&lt;&gt;""),AND(EL29&gt;=EN$38,EM29&gt;=EN$42,EL29&lt;&gt;""),AND(FI29&gt;=FP$38,FJ29&gt;=FP$42,FI29&lt;&gt;""),AND(FN29&gt;=FP$38,FO29&gt;=FP$42,FN29&lt;&gt;""),AND(GK29&gt;=GR$38,GL29&gt;=GR$42,GK29&lt;&gt;""),AND(GP29&gt;=GR$38,GQ29&gt;=GR$42,GP29&lt;&gt;""),AND(HM29&gt;=HT$38,HN29&gt;=HT$42,HM29&lt;&gt;""),AND(HR29&gt;=HT$38,HS29&gt;=HT$42,HR29&lt;&gt;""),AND(IO29&gt;=IV$38,IP29&gt;=IV$42,IO29&lt;&gt;""),AND(IT29&gt;=IV$38,IU29&gt;=IV$42,IT29&lt;&gt;""),AND(JQ29&gt;=JX$38,JR29&gt;=JX$42,JQ29&lt;&gt;""),AND(JV29&gt;=JX$38,JW29&gt;=JX$42,JV29&lt;&gt;""),AND(KS29&gt;=KZ$38,KT29&gt;=KZ$42,KS29&lt;&gt;""),AND(KX29&gt;=KZ$38,KY29&gt;=KZ$42,KX29&lt;&gt;""),AND(LU29&gt;=MB$38,LV29&gt;=MB$42,LU29&lt;&gt;""),AND(LZ29&gt;=MB$38,MA29&gt;=MB$42,LZ29&lt;&gt;""),AND(MW29&gt;=ND$38,MX29&gt;=ND$42,MW29&lt;&gt;""),AND(NB29&gt;=ND$38,NC29&gt;=ND$42,NB29&lt;&gt;""),AND(NY29&gt;=OF$38,NZ29&gt;=OF$42,NY29&lt;&gt;""),AND(OD29&gt;=OF$38,OE29&gt;=OF$42,OD29&lt;&gt;""),AND(PA29&gt;=PH$38,PB29&gt;=PH$42,PA29&lt;&gt;""),AND(PF29&gt;=PH$38,PG29&gt;=PH$42,PF29&lt;&gt;"")),"P","")</f>
        <v/>
      </c>
      <c r="I29" s="3" t="str">
        <f>IF(OR(AND(AM29&gt;=AP$42,AM29&lt;&gt;"",AK29=""),AND(AO29&gt;=AP$42,AO29&lt;&gt;"",AK29=""),AND(BI29&gt;=BL$42,BI29&lt;&gt;"",BG29=""),AND(BK29&gt;=BL$42,BK29&lt;&gt;"",BG29=""),AND(CE29&gt;=CH$42,CE29&lt;&gt;"",CC29=""),AND(CG29&gt;=CH$42,CG29&lt;&gt;"",CC29=""),AND(DF29&gt;=DL$42,DF29&lt;&gt;""),AND(DK29&gt;=DL$42,DK29&lt;&gt;""),AND(EH29&gt;=EN$42,EH29&lt;&gt;""),AND(EM29&gt;=EN$42,EM29&lt;&gt;""),AND(FJ29&gt;=FP$42,FJ29&lt;&gt;""),AND(FO29&gt;=FP$42,FO29&lt;&gt;""),AND(GL29&gt;=GR$42,GL29&lt;&gt;""),AND(GQ29&gt;=GR$42,GQ29&lt;&gt;""),AND(HN29&gt;=HT$42,HN29&lt;&gt;""),AND(HS29&gt;=HT$42,HS29&lt;&gt;""),AND(IP29&gt;=IV$42,IP29&lt;&gt;""),AND(IU29&gt;=IV$42,IU29&lt;&gt;""),AND(JR29&gt;=JX$42,JR29&lt;&gt;""),AND(JW29&gt;=JX$42,JW29&lt;&gt;""),AND(KT29&gt;=KZ$42,KT29&lt;&gt;""),AND(KY29&gt;=KZ$42,KY29&lt;&gt;""),AND(LV29&gt;=MB$42,LV29&lt;&gt;""),AND(MA29&gt;=MB$42,MA29&lt;&gt;""),AND(MX29&gt;=ND$42,MX29&lt;&gt;""),AND(NC29&gt;=ND$42,NC29&lt;&gt;""),AND(NZ29&gt;=OF$42,NZ29&lt;&gt;""),AND(OE29&gt;=OF$42,OE29&lt;&gt;""),AND(PB29&gt;=PH$42,PB29&lt;&gt;""),AND(PG29&gt;=PH$42,PG29&lt;&gt;"")),"P","")</f>
        <v/>
      </c>
      <c r="J29" s="36" t="str">
        <f>IF(AND(I29="P",H29=""),"No DD",IF(OR(AND(AL29&gt;=AP$26,AM29&gt;=AP$30,AL29&lt;&gt;"",AK29=""),AND(BH29&gt;=BL$26,BI29&gt;=BL$30,BH29&lt;&gt;"",BG29=""),AND(CD29&gt;=CH$26,CE29&gt;=CH$30,CD29&lt;&gt;"",CC29=""),AND(DH29&gt;=DL$26,DI29&gt;=DL$30,DH29&lt;&gt;""),AND(EJ29&gt;=EN$26,EK29&gt;=EN$30,EJ29&lt;&gt;""),AND(FL29&gt;=FP$26,FM29&gt;=FP$30,FL29&lt;&gt;""),AND(GN29&gt;=GR$26,GO29&gt;=GR$30,GN29&lt;&gt;""),AND(HP29&gt;=HT$26,HQ29&gt;=HT$30,HP29&lt;&gt;""),AND(IR29&gt;=IV$26,IS29&gt;=IV$30,IR29&lt;&gt;""),AND(JT29&gt;=JX$26,JU29&gt;=JX$30,JT29&lt;&gt;""),AND(KV29&gt;=KZ$26,KW29&gt;=KZ$30,KV29&lt;&gt;""),AND(LX29&gt;=MB$26,LY29&gt;=MB$30,LX29&lt;&gt;""),AND(MZ29&gt;=ND$26,NA29&gt;=ND$30,MZ29&lt;&gt;""),AND(OB29&gt;=OF$26,OC29&gt;=OF$30,OB29&lt;&gt;""),AND(PD29&gt;=PH$26,PE29&gt;=PH$30,PD29&lt;&gt;"")),"Merit",IF(OR(AND(AL29&gt;=AP$25,AM29&gt;=AP$29,AL29&lt;&gt;"",AK29=""),AND(BH29&gt;=BL$25,BI29&gt;=BL$29,BH29&lt;&gt;"",BG29=""),AND(CD29&gt;=CH$25,CE29&gt;=CH$29,CD29&lt;&gt;"",CC29=""),AND(DH29&gt;=DL$25,DI29&gt;=DL$29,DH29&lt;&gt;""),AND(EJ29&gt;=EN$25,EK29&gt;=EN$29,EJ29&lt;&gt;""),AND(FL29&gt;=FP$25,FM29&gt;=FP$29,FL29&lt;&gt;""),AND(GN29&gt;=GR$25,GO29&gt;=GR$29,GN29&lt;&gt;""),AND(HP29&gt;=HT$25,HQ29&gt;=HT$29,HP29&lt;&gt;""),AND(IR29&gt;=IV$25,IS29&gt;=IV$29,IR29&lt;&gt;""),AND(JT29&gt;=JX$25,JU29&gt;=JX$29,JT29&lt;&gt;""),AND(KV29&gt;=KZ$25,KW29&gt;=KZ$29,KV29&lt;&gt;""),AND(LX29&gt;=MB$25,LY29&gt;=MB$29,LX29&lt;&gt;""),AND(MZ29&gt;=ND$25,NA29&gt;=ND$29,MZ29&lt;&gt;""),AND(OB29&gt;=OF$25,OC29&gt;=OF$29,OB29&lt;&gt;""),AND(PD29&gt;=PH$25,PE29&gt;=PH$29,PD29&lt;&gt;"")),"Excellence",IF(K29="P","Worlds Team",IF(H29="P","National Team","")))))</f>
        <v/>
      </c>
      <c r="K29" s="3" t="str">
        <f>IF(OR(AND(AL29&gt;=AP$24,AM29&gt;=AP$28,AL29&lt;&gt;"",AK29=""),AND(BH29&gt;=BL$24,BI29&gt;=BL$28,BH29&lt;&gt;"",BG29=""),AND(CD29&gt;=CH$24,CE29&gt;=CH$28,CD29&lt;&gt;"",CC29=""),AND(DH29&gt;=DL$24,DI29&gt;=DL$28,DH29&lt;&gt;""),AND(EJ29&gt;=EN$24,EK29&gt;=EN$28,EJ29&lt;&gt;""),AND(FL29&gt;=FP$24,FM29&gt;=FP$28,FL29&lt;&gt;""),AND(GN29&gt;=GR$24,GO29&gt;=GR$28,GN29&lt;&gt;""),AND(HP29&gt;=HT$24,HQ29&gt;=HT$28,HP29&lt;&gt;""),AND(IR29&gt;=IV$24,IS29&gt;=IV$28,IR29&lt;&gt;""),AND(JT29&gt;=JX$24,JU29&gt;=JX$28,JT29&lt;&gt;""),AND(KV29&gt;=KZ$24,KW29&gt;=KZ$28,KV29&lt;&gt;""),AND(LX29&gt;=MB$24,LY29&gt;=MB$28,LX29&lt;&gt;""),AND(MZ29&gt;=ND$24,NA29&gt;=ND$28,MZ29&lt;&gt;""),AND(OB29&gt;=OF$24,OC29&gt;=OF$28,OB29&lt;&gt;""),AND(PD29&gt;=PH$24,PE29&gt;=PH$28,PD29&lt;&gt;"")),"P","")</f>
        <v/>
      </c>
      <c r="L29" s="8">
        <f>IF(COUNT(AM29,BI29,CE29)&gt;0,LARGE((AM29,BI29,CE29),1),0)</f>
        <v>46.4</v>
      </c>
      <c r="M29" s="8" t="str">
        <f>IF(L29=0,"",IF(L29=CE29,$BM$1,IF(L29=BI29,$AQ$1,IF(L29=AM29,$U$1,""))))</f>
        <v>2025 Elite Canada</v>
      </c>
      <c r="N29" s="8">
        <f>IF(COUNT(AM29,BI29,CE29)&gt;1,LARGE((AM29,BI29,CE29),2),0)</f>
        <v>44.400000000000006</v>
      </c>
      <c r="O29" s="8" t="str">
        <f>IF(N29=0,"",IF(AND(N29=L29,N29=AM29,N29=BI29),$U$1,IF(AND(N29=L29,N29=AM29,N29=CE29),$U$1,IF(AND(N29=L29,N29=BI29,N29=CE29),$AQ$1,IF(N29=CE29,$BM$1,IF(N29=BI29,$AQ$1,IF(N29=AM29,$U$1,"")))))))</f>
        <v>2025 3rd Domestic Trial</v>
      </c>
      <c r="P29" s="8">
        <f>IF(MAX(AO29,BK29,CG29)&gt;0,MAX(AO29,BK29,CG29),0)</f>
        <v>0</v>
      </c>
      <c r="Q29" s="8" t="str">
        <f>IF(P29=0,"",IF(P29=CG29,$BM$1,IF(P29=BK29,$AQ$1,IF(P29=AO29,$U$1,""))))</f>
        <v/>
      </c>
      <c r="R29" s="8" t="str">
        <f>IF(MAX(CI29:CJ29)&gt;0,MAX(CI29:CJ29),"")</f>
        <v/>
      </c>
      <c r="S29" s="11" t="str">
        <f>IF(R29="","",IF(R29=CI29,"("&amp;CI$2&amp;")",IF(R29=CJ29,"("&amp;CJ$2&amp;")")))</f>
        <v/>
      </c>
      <c r="T29" s="8" t="str">
        <f>IF(R29="","",IF(R29=CI29,IF(R29+IF(N29="",0,N29)=PB29,$OG$1,IF(R29+IF(N29="",0,N29)=NZ29,$NE$1,IF(R29+IF(N29="",0,N29)=MX29,$MC$1,IF(R29+IF(N29="",0,N29)=LV29,$LA$1,IF(R29+IF(N29="",0,N29)=KT29,$JY$1,IF(R29+IF(N29="",0,N29)=JR29,$IW$1,IF(R29+IF(N29="",0,N29)=IP29,$HU$1,IF(R29+IF(N29="",0,N29)=HN29,$GS$1,IF(R29+IF(N29="",0,N29)=GL29,$FQ$1,IF(R29+IF(N29="",0,N29)=FJ29,$EO$1,IF(R29+IF(N29="",0,N29)=EH29,$DM$1,IF(R29+IF(N29="",0,N29)=DF29,$CK$1)))))))))))),IF(R29=CJ29,IF(R29+IF(P29="",0,P29)=PG29,$OG$1,IF(R29+IF(P29="",0,P29)=OE29,$NE$1,IF(R29+IF(P29="",0,P29)=NC29,$MC$1,IF(R29+IF(P29="",0,P29)=MA29,$LA$1,IF(R29+IF(P29="",0,P29)=KY29,$JY$1,IF(R29+IF(P29="",0,P29)=JW29,$IW$1,IF(R29+IF(P29="",0,P29)=IU29,$HU$1,IF(R29+IF(P29="",0,P29)=HS29,$GS$1,IF(R29+IF(P29="",0,P29)=GQ29,$FQ$1,IF(R29+IF(P29="",0,P29)=FO29,$EO$1,IF(R29+IF(P29="",0,P29)=EM29,$DM$1,IF(R29+IF(P29="",0,P29)=DK29,$CK$1)))))))))))))))</f>
        <v/>
      </c>
      <c r="U29" s="19">
        <v>19</v>
      </c>
      <c r="V29" s="19">
        <v>7.2</v>
      </c>
      <c r="W29" s="19">
        <v>0.2</v>
      </c>
      <c r="X29" s="19">
        <v>0</v>
      </c>
      <c r="Y29" s="19">
        <v>16.2</v>
      </c>
      <c r="Z29" s="19">
        <v>6</v>
      </c>
      <c r="AA29" s="19">
        <v>1.8</v>
      </c>
      <c r="AB29" s="19">
        <v>0</v>
      </c>
      <c r="AC29" s="19"/>
      <c r="AD29" s="19"/>
      <c r="AE29" s="19"/>
      <c r="AF29" s="19"/>
      <c r="AG29" s="19"/>
      <c r="AH29" s="19"/>
      <c r="AI29" s="19"/>
      <c r="AJ29" s="19"/>
      <c r="AK29" s="27"/>
      <c r="AL29" s="40">
        <f>IF(SUM(V29,Z29)&gt;0,SUM(V29,Z29),"")</f>
        <v>13.2</v>
      </c>
      <c r="AM29" s="40">
        <f>IF(SUM(U29:V29,X29:Z29,AB29)-W29-AA29&gt;0,SUM(U29:V29,X29:Z29,AB29)-W29-AA29,"")</f>
        <v>46.4</v>
      </c>
      <c r="AN29" s="40" t="str">
        <f>IF(SUM(AD29,AH29)&gt;0,SUM(AD29,AH29),"")</f>
        <v/>
      </c>
      <c r="AO29" s="40" t="str">
        <f>IF(SUM(AC29:AD29,AF29:AH29,AJ29)-SUM(AE29,AI29)&gt;0,SUM(AC29:AD29,AF29:AH29,AJ29)-SUM(AE29,AI29),"")</f>
        <v/>
      </c>
      <c r="AP29" s="40">
        <f>IF(SUM(AM29,AO29)&gt;0,SUM(AM29,AO29),"")</f>
        <v>46.4</v>
      </c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28"/>
      <c r="BH29" s="11" t="str">
        <f>IF(SUM(AR29,AV29)&gt;0,SUM(AR29,AV29),"")</f>
        <v/>
      </c>
      <c r="BI29" s="11" t="str">
        <f>IF(SUM(AQ29:AR29,AT29:AV29,AX29)-AS29-AW29&gt;0,SUM(AQ29:AR29,AT29:AV29,AX29)-AS29-AW29,"")</f>
        <v/>
      </c>
      <c r="BJ29" s="11" t="str">
        <f>IF(SUM(AZ29,BD29)&gt;0,SUM(AZ29,BD29),"")</f>
        <v/>
      </c>
      <c r="BK29" s="11" t="str">
        <f>IF(SUM(AY29:AZ29,BB29:BD29,BF29)-SUM(BA29,BE29)&gt;0,SUM(AY29:AZ29,BB29:BD29,BF29)-SUM(BA29,BE29),"")</f>
        <v/>
      </c>
      <c r="BL29" s="11" t="str">
        <f>IF(SUM(BI29,BK29)&gt;0,SUM(BI29,BK29),"")</f>
        <v/>
      </c>
      <c r="BM29" s="19">
        <v>18.8</v>
      </c>
      <c r="BN29" s="19">
        <v>8</v>
      </c>
      <c r="BO29" s="19">
        <v>0.8</v>
      </c>
      <c r="BP29" s="19">
        <v>0</v>
      </c>
      <c r="BQ29" s="19">
        <v>15.2</v>
      </c>
      <c r="BR29" s="19">
        <v>3.2</v>
      </c>
      <c r="BS29" s="19">
        <v>0</v>
      </c>
      <c r="BT29" s="19">
        <v>0</v>
      </c>
      <c r="BU29" s="19"/>
      <c r="BV29" s="19"/>
      <c r="BW29" s="19"/>
      <c r="BX29" s="19"/>
      <c r="BY29" s="19"/>
      <c r="BZ29" s="19"/>
      <c r="CA29" s="19"/>
      <c r="CB29" s="19"/>
      <c r="CC29" s="27"/>
      <c r="CD29" s="40">
        <f>IF(SUM(BN29,BR29)&gt;0,SUM(BN29,BR29),"")</f>
        <v>11.2</v>
      </c>
      <c r="CE29" s="40">
        <f>IF(SUM(BM29:BN29,BP29:BR29,BT29)-BO29-BS29&gt;0,SUM(BM29:BN29,BP29:BR29,BT29)-BO29-BS29,"")</f>
        <v>44.400000000000006</v>
      </c>
      <c r="CF29" s="40" t="str">
        <f>IF(SUM(BV29,BZ29)&gt;0,SUM(BV29,BZ29),"")</f>
        <v/>
      </c>
      <c r="CG29" s="40" t="str">
        <f>IF(SUM(BU29:BV29,BX29:BZ29,CB29)-SUM(BW29,CA29)&gt;0,SUM(BU29:BV29,BX29:BZ29,CB29)-SUM(BW29,CA29),"")</f>
        <v/>
      </c>
      <c r="CH29" s="40">
        <f>IF(SUM(CE29,CG29)&gt;0,SUM(CE29,CG29),"")</f>
        <v>44.400000000000006</v>
      </c>
      <c r="CI29" s="50" t="str">
        <f>IF(MAX(DF29,EH29,FJ29,GL29,HN29,IP29,JR29,KT29,LV29,MX29,NZ29,PB29)-IF(N29="",0,N29)&gt;0.001,MAX(DF29,EH29,FJ29,GL29,HN29,IP29,JR29,KT29,LV29,MX29,NZ29,PB29)-IF(N29="",0,N29),"")</f>
        <v/>
      </c>
      <c r="CJ29" s="50" t="str">
        <f>IF(MAX(DK29,EM29,FO29,GQ29,HS29,IU29,JW29,KY29,MA29,NC29,OE29,PG29)-IF(P29="",0,P29)&gt;0.001,MAX(DK29,EM29,FO29,GQ29,HS29,IU29,JW29,KY29,MA29,NC29,OE29,PG29)-IF(P29="",0,P29),"")</f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>IF(SUM(CL29,CP29)&gt;0,SUM(CL29,CP29),"")</f>
        <v/>
      </c>
      <c r="DF29" s="40" t="str">
        <f>IF(SUM(CK29:CL29,CN29:CP29,CR29)-CM29-CQ29&gt;0,SUM(CK29:CL29,CN29:CP29,CR29)-CM29-CQ29,"")</f>
        <v/>
      </c>
      <c r="DG29" s="40" t="str">
        <f>IF(SUM(CS29:CT29,CV29)-CU29&gt;0,SUM(CS29:CT29,CV29)-CU29,"")</f>
        <v/>
      </c>
      <c r="DH29" s="40" t="str">
        <f>IF(SUM(CL29,CP29,CT29)&gt;0,SUM(CL29,CP29,CT29),"")</f>
        <v/>
      </c>
      <c r="DI29" s="40" t="str">
        <f>IF(SUM(DF29,DG29)&gt;0,SUM(DF29,DG29),"")</f>
        <v/>
      </c>
      <c r="DJ29" s="40" t="str">
        <f>IF(SUM(CX29,DB29)&gt;0,SUM(CX29,DB29),"")</f>
        <v/>
      </c>
      <c r="DK29" s="40" t="str">
        <f>IF(SUM(CW29:CX29,CZ29:DB29,DD29)-SUM(CY29,DC29)&gt;0,SUM(CW29:CX29,CZ29:DB29,DD29)-SUM(CY29,DC29),"")</f>
        <v/>
      </c>
      <c r="DL29" s="40" t="str">
        <f>IF(SUM(DF29,DG29,DK29)&gt;0,SUM(DF29,DG29,DK29),"")</f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>IF(SUM(DN29,DR29)&gt;0,SUM(DN29,DR29),"")</f>
        <v/>
      </c>
      <c r="EH29" s="11" t="str">
        <f>IF(SUM(DM29:DN29,DP29:DR29,DT29)-DO29-DS29&gt;0,SUM(DM29:DN29,DP29:DR29,DT29)-DO29-DS29,"")</f>
        <v/>
      </c>
      <c r="EI29" s="11" t="str">
        <f>IF(SUM(DU29:DV29,DX29)-DW29&gt;0,SUM(DU29:DV29,DX29)-DW29,"")</f>
        <v/>
      </c>
      <c r="EJ29" s="11" t="str">
        <f>IF(SUM(DN29,DR29,DV29)&gt;0,SUM(DN29,DR29,DV29),"")</f>
        <v/>
      </c>
      <c r="EK29" s="11" t="str">
        <f>IF(SUM(EH29,EI29)&gt;0,SUM(EH29,EI29),"")</f>
        <v/>
      </c>
      <c r="EL29" s="11" t="str">
        <f>IF(SUM(DZ29,ED29)&gt;0,SUM(DZ29,ED29),"")</f>
        <v/>
      </c>
      <c r="EM29" s="11" t="str">
        <f>IF(SUM(DY29:DZ29,EB29:ED29,EF29)-SUM(EA29,EE29)&gt;0,SUM(DY29:DZ29,EB29:ED29,EF29)-SUM(EA29,EE29),"")</f>
        <v/>
      </c>
      <c r="EN29" s="11" t="str">
        <f>IF(SUM(EH29,EI29,EM29)&gt;0,SUM(EH29,EI29,EM29),"")</f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>IF(SUM(EP29,ET29)&gt;0,SUM(EP29,ET29),"")</f>
        <v/>
      </c>
      <c r="FJ29" s="40" t="str">
        <f>IF(SUM(EO29:EP29,ER29:ET29,EV29)-EQ29-EU29&gt;0,SUM(EO29:EP29,ER29:ET29,EV29)-EQ29-EU29,"")</f>
        <v/>
      </c>
      <c r="FK29" s="40" t="str">
        <f>IF(SUM(EW29:EX29,EZ29)-EY29&gt;0,SUM(EW29:EX29,EZ29)-EY29,"")</f>
        <v/>
      </c>
      <c r="FL29" s="40" t="str">
        <f>IF(SUM(EP29,ET29,EX29)&gt;0,SUM(EP29,ET29,EX29),"")</f>
        <v/>
      </c>
      <c r="FM29" s="40" t="str">
        <f>IF(SUM(FJ29,FK29)&gt;0,SUM(FJ29,FK29),"")</f>
        <v/>
      </c>
      <c r="FN29" s="40" t="str">
        <f>IF(SUM(FB29,FF29)&gt;0,SUM(FB29,FF29),"")</f>
        <v/>
      </c>
      <c r="FO29" s="40" t="str">
        <f>IF(SUM(FA29:FB29,FD29:FF29,FH29)-SUM(FC29,FG29)&gt;0,SUM(FA29:FB29,FD29:FF29,FH29)-SUM(FC29,FG29),"")</f>
        <v/>
      </c>
      <c r="FP29" s="40" t="str">
        <f>IF(SUM(FJ29,FK29,FO29)&gt;0,SUM(FJ29,FK29,FO29),"")</f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>IF(SUM(FR29,FV29)&gt;0,SUM(FR29,FV29),"")</f>
        <v/>
      </c>
      <c r="GL29" s="11" t="str">
        <f>IF(SUM(FQ29:FR29,FT29:FV29,FX29)-FS29-FW29&gt;0,SUM(FQ29:FR29,FT29:FV29,FX29)-FS29-FW29,"")</f>
        <v/>
      </c>
      <c r="GM29" s="11" t="str">
        <f>IF(SUM(FY29:FZ29,GB29)-GA29&gt;0,SUM(FY29:FZ29,GB29)-GA29,"")</f>
        <v/>
      </c>
      <c r="GN29" s="11" t="str">
        <f>IF(SUM(FR29,FV29,FZ29)&gt;0,SUM(FR29,FV29,FZ29),"")</f>
        <v/>
      </c>
      <c r="GO29" s="11" t="str">
        <f>IF(SUM(GL29,GM29)&gt;0,SUM(GL29,GM29),"")</f>
        <v/>
      </c>
      <c r="GP29" s="11" t="str">
        <f>IF(SUM(GD29,GH29)&gt;0,SUM(GD29,GH29),"")</f>
        <v/>
      </c>
      <c r="GQ29" s="11" t="str">
        <f>IF(SUM(GC29:GD29,GF29:GH29,GJ29)-SUM(GE29,GI29)&gt;0,SUM(GC29:GD29,GF29:GH29,GJ29)-SUM(GE29,GI29),"")</f>
        <v/>
      </c>
      <c r="GR29" s="11" t="str">
        <f>IF(SUM(GL29,GM29,GQ29)&gt;0,SUM(GL29,GM29,GQ29),"")</f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>IF(SUM(GT29,GX29)&gt;0,SUM(GT29,GX29),"")</f>
        <v/>
      </c>
      <c r="HN29" s="40" t="str">
        <f>IF(SUM(GS29:GT29,GV29:GX29,GZ29)-GU29-GY29&gt;0,SUM(GS29:GT29,GV29:GX29,GZ29)-GU29-GY29,"")</f>
        <v/>
      </c>
      <c r="HO29" s="40" t="str">
        <f>IF(SUM(HA29:HB29,HD29)-HC29&gt;0,SUM(HA29:HB29,HD29)-HC29,"")</f>
        <v/>
      </c>
      <c r="HP29" s="40" t="str">
        <f>IF(SUM(GT29,GX29,HB29)&gt;0,SUM(GT29,GX29,HB29),"")</f>
        <v/>
      </c>
      <c r="HQ29" s="40" t="str">
        <f>IF(SUM(HN29,HO29)&gt;0,SUM(HN29,HO29),"")</f>
        <v/>
      </c>
      <c r="HR29" s="40" t="str">
        <f>IF(SUM(HF29,HJ29)&gt;0,SUM(HF29,HJ29),"")</f>
        <v/>
      </c>
      <c r="HS29" s="40" t="str">
        <f>IF(SUM(HE29:HF29,HH29:HJ29,HL29)-SUM(HG29,HK29)&gt;0,SUM(HE29:HF29,HH29:HJ29,HL29)-SUM(HG29,HK29),"")</f>
        <v/>
      </c>
      <c r="HT29" s="40" t="str">
        <f>IF(SUM(HN29,HO29,HS29)&gt;0,SUM(HN29,HO29,HS29),"")</f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>IF(SUM(HV29,HZ29)&gt;0,SUM(HV29,HZ29),"")</f>
        <v/>
      </c>
      <c r="IP29" s="11" t="str">
        <f>IF(SUM(HU29:HV29,HX29:HZ29,IB29)-HW29-IA29&gt;0,SUM(HU29:HV29,HX29:HZ29,IB29)-HW29-IA29,"")</f>
        <v/>
      </c>
      <c r="IQ29" s="11" t="str">
        <f>IF(SUM(IC29:ID29,IF29)-IE29&gt;0,SUM(IC29:ID29,IF29)-IE29,"")</f>
        <v/>
      </c>
      <c r="IR29" s="11" t="str">
        <f>IF(SUM(HV29,HZ29,ID29)&gt;0,SUM(HV29,HZ29,ID29),"")</f>
        <v/>
      </c>
      <c r="IS29" s="11" t="str">
        <f>IF(SUM(IP29,IQ29)&gt;0,SUM(IP29,IQ29),"")</f>
        <v/>
      </c>
      <c r="IT29" s="11" t="str">
        <f>IF(SUM(IH29,IL29)&gt;0,SUM(IH29,IL29),"")</f>
        <v/>
      </c>
      <c r="IU29" s="11" t="str">
        <f>IF(SUM(IG29:IH29,IJ29:IL29,IN29)-SUM(II29,IM29)&gt;0,SUM(IG29:IH29,IJ29:IL29,IN29)-SUM(II29,IM29),"")</f>
        <v/>
      </c>
      <c r="IV29" s="11" t="str">
        <f>IF(SUM(IP29,IQ29,IU29)&gt;0,SUM(IP29,IQ29,IU29),"")</f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>IF(SUM(IX29,JB29)&gt;0,SUM(IX29,JB29),"")</f>
        <v/>
      </c>
      <c r="JR29" s="40" t="str">
        <f>IF(SUM(IW29:IX29,IZ29:JB29,JD29)-IY29-JC29&gt;0,SUM(IW29:IX29,IZ29:JB29,JD29)-IY29-JC29,"")</f>
        <v/>
      </c>
      <c r="JS29" s="40" t="str">
        <f>IF(SUM(JE29:JF29,JH29)-JG29&gt;0,SUM(JE29:JF29,JH29)-JG29,"")</f>
        <v/>
      </c>
      <c r="JT29" s="40" t="str">
        <f>IF(SUM(IX29,JB29,JF29)&gt;0,SUM(IX29,JB29,JF29),"")</f>
        <v/>
      </c>
      <c r="JU29" s="40" t="str">
        <f>IF(SUM(JR29,JS29)&gt;0,SUM(JR29,JS29),"")</f>
        <v/>
      </c>
      <c r="JV29" s="40" t="str">
        <f>IF(SUM(JJ29,JN29)&gt;0,SUM(JJ29,JN29),"")</f>
        <v/>
      </c>
      <c r="JW29" s="40" t="str">
        <f>IF(SUM(JI29:JJ29,JL29:JN29,JP29)-SUM(JK29,JO29)&gt;0,SUM(JI29:JJ29,JL29:JN29,JP29)-SUM(JK29,JO29),"")</f>
        <v/>
      </c>
      <c r="JX29" s="40" t="str">
        <f>IF(SUM(JR29,JS29,JW29)&gt;0,SUM(JR29,JS29,JW29),"")</f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>IF(SUM(JZ29,KD29)&gt;0,SUM(JZ29,KD29),"")</f>
        <v/>
      </c>
      <c r="KT29" s="11" t="str">
        <f>IF(SUM(JY29:JZ29,KB29:KD29,KF29)-KA29-KE29&gt;0,SUM(JY29:JZ29,KB29:KD29,KF29)-KA29-KE29,"")</f>
        <v/>
      </c>
      <c r="KU29" s="11" t="str">
        <f>IF(SUM(KG29:KH29,KJ29)-KI29&gt;0,SUM(KG29:KH29,KJ29)-KI29,"")</f>
        <v/>
      </c>
      <c r="KV29" s="11" t="str">
        <f>IF(SUM(JZ29,KD29,KH29)&gt;0,SUM(JZ29,KD29,KH29),"")</f>
        <v/>
      </c>
      <c r="KW29" s="11" t="str">
        <f>IF(SUM(KT29,KU29)&gt;0,SUM(KT29,KU29),"")</f>
        <v/>
      </c>
      <c r="KX29" s="11" t="str">
        <f>IF(SUM(KL29,KP29)&gt;0,SUM(KL29,KP29),"")</f>
        <v/>
      </c>
      <c r="KY29" s="11" t="str">
        <f>IF(SUM(KK29:KL29,KN29:KP29,KR29)-SUM(KM29,KQ29)&gt;0,SUM(KK29:KL29,KN29:KP29,KR29)-SUM(KM29,KQ29),"")</f>
        <v/>
      </c>
      <c r="KZ29" s="11" t="str">
        <f>IF(SUM(KT29,KU29,KY29)&gt;0,SUM(KT29,KU29,KY29),"")</f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>IF(SUM(LB29,LF29)&gt;0,SUM(LB29,LF29),"")</f>
        <v/>
      </c>
      <c r="LV29" s="40" t="str">
        <f>IF(SUM(LA29:LB29,LD29:LF29,LH29)-LC29-LG29&gt;0,SUM(LA29:LB29,LD29:LF29,LH29)-LC29-LG29,"")</f>
        <v/>
      </c>
      <c r="LW29" s="40" t="str">
        <f>IF(SUM(LI29:LJ29,LL29)-LK29&gt;0,SUM(LI29:LJ29,LL29)-LK29,"")</f>
        <v/>
      </c>
      <c r="LX29" s="40" t="str">
        <f>IF(SUM(LB29,LF29,LJ29)&gt;0,SUM(LB29,LF29,LJ29),"")</f>
        <v/>
      </c>
      <c r="LY29" s="40" t="str">
        <f>IF(SUM(LV29,LW29)&gt;0,SUM(LV29,LW29),"")</f>
        <v/>
      </c>
      <c r="LZ29" s="40" t="str">
        <f>IF(SUM(LN29,LR29)&gt;0,SUM(LN29,LR29),"")</f>
        <v/>
      </c>
      <c r="MA29" s="40" t="str">
        <f>IF(SUM(LM29:LN29,LP29:LR29,LT29)-SUM(LO29,LS29)&gt;0,SUM(LM29:LN29,LP29:LR29,LT29)-SUM(LO29,LS29),"")</f>
        <v/>
      </c>
      <c r="MB29" s="40" t="str">
        <f>IF(SUM(LV29,LW29,MA29)&gt;0,SUM(LV29,LW29,MA29),"")</f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>IF(SUM(MD29,MH29)&gt;0,SUM(MD29,MH29),"")</f>
        <v/>
      </c>
      <c r="MX29" s="11" t="str">
        <f>IF(SUM(MC29:MD29,MF29:MH29,MJ29)-ME29-MI29&gt;0,SUM(MC29:MD29,MF29:MH29,MJ29)-ME29-MI29,"")</f>
        <v/>
      </c>
      <c r="MY29" s="11" t="str">
        <f>IF(SUM(MK29:ML29,MN29)-MM29&gt;0,SUM(MK29:ML29,MN29)-MM29,"")</f>
        <v/>
      </c>
      <c r="MZ29" s="11" t="str">
        <f>IF(SUM(MD29,MH29,ML29)&gt;0,SUM(MD29,MH29,ML29),"")</f>
        <v/>
      </c>
      <c r="NA29" s="11" t="str">
        <f>IF(SUM(MX29,MY29)&gt;0,SUM(MX29,MY29),"")</f>
        <v/>
      </c>
      <c r="NB29" s="11" t="str">
        <f>IF(SUM(MP29,MT29)&gt;0,SUM(MP29,MT29),"")</f>
        <v/>
      </c>
      <c r="NC29" s="11" t="str">
        <f>IF(SUM(MO29:MP29,MR29:MT29,MV29)-SUM(MQ29,MU29)&gt;0,SUM(MO29:MP29,MR29:MT29,MV29)-SUM(MQ29,MU29),"")</f>
        <v/>
      </c>
      <c r="ND29" s="11" t="str">
        <f>IF(SUM(MX29,MY29,NC29)&gt;0,SUM(MX29,MY29,NC29),"")</f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>IF(SUM(NF29,NJ29)&gt;0,SUM(NF29,NJ29),"")</f>
        <v/>
      </c>
      <c r="NZ29" s="40" t="str">
        <f>IF(SUM(NE29:NF29,NH29:NJ29,NL29)-NG29-NK29&gt;0,SUM(NE29:NF29,NH29:NJ29,NL29)-NG29-NK29,"")</f>
        <v/>
      </c>
      <c r="OA29" s="40" t="str">
        <f>IF(SUM(NM29:NN29,NP29)-NO29&gt;0,SUM(NM29:NN29,NP29)-NO29,"")</f>
        <v/>
      </c>
      <c r="OB29" s="40" t="str">
        <f>IF(SUM(NF29,NJ29,NN29)&gt;0,SUM(NF29,NJ29,NN29),"")</f>
        <v/>
      </c>
      <c r="OC29" s="40" t="str">
        <f>IF(SUM(NZ29,OA29)&gt;0,SUM(NZ29,OA29),"")</f>
        <v/>
      </c>
      <c r="OD29" s="40" t="str">
        <f>IF(SUM(NR29,NV29)&gt;0,SUM(NR29,NV29),"")</f>
        <v/>
      </c>
      <c r="OE29" s="40" t="str">
        <f>IF(SUM(NQ29:NR29,NT29:NV29,NX29)-SUM(NS29,NW29)&gt;0,SUM(NQ29:NR29,NT29:NV29,NX29)-SUM(NS29,NW29),"")</f>
        <v/>
      </c>
      <c r="OF29" s="40" t="str">
        <f>IF(SUM(NZ29,OA29,OE29)&gt;0,SUM(NZ29,OA29,OE29),"")</f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>IF(SUM(OH29,OL29)&gt;0,SUM(OH29,OL29),"")</f>
        <v/>
      </c>
      <c r="PB29" s="11" t="str">
        <f>IF(SUM(OG29:OH29,OJ29:OL29,ON29)-OI29-OM29&gt;0,SUM(OG29:OH29,OJ29:OL29,ON29)-OI29-OM29,"")</f>
        <v/>
      </c>
      <c r="PC29" s="11" t="str">
        <f>IF(SUM(OO29:OP29,OR29)-OQ29&gt;0,SUM(OO29:OP29,OR29)-OQ29,"")</f>
        <v/>
      </c>
      <c r="PD29" s="11" t="str">
        <f>IF(SUM(OH29,OL29,OP29)&gt;0,SUM(OH29,OL29,OP29),"")</f>
        <v/>
      </c>
      <c r="PE29" s="11" t="str">
        <f>IF(SUM(PB29,PC29)&gt;0,SUM(PB29,PC29),"")</f>
        <v/>
      </c>
      <c r="PF29" s="11" t="str">
        <f>IF(SUM(OT29,OX29)&gt;0,SUM(OT29,OX29),"")</f>
        <v/>
      </c>
      <c r="PG29" s="11" t="str">
        <f>IF(SUM(OS29:OT29,OV29:OX29,OZ29)-SUM(OU29,OY29)&gt;0,SUM(OS29:OT29,OV29:OX29,OZ29)-SUM(OU29,OY29),"")</f>
        <v/>
      </c>
      <c r="PH29" s="11" t="str">
        <f>IF(SUM(PB29,PC29,PG29)&gt;0,SUM(PB29,PC29,PG29),"")</f>
        <v/>
      </c>
      <c r="PI29" s="22">
        <f>IF($CC29="P",BM29,(BM29+AQ29)/2)</f>
        <v>9.4</v>
      </c>
      <c r="PJ29" s="22">
        <f>IF($CC29="P",BN29,(BN29+AR29)/2)</f>
        <v>4</v>
      </c>
      <c r="PK29" s="22">
        <f>IF($CC29="P",BO29,(BO29+AS29)/2)</f>
        <v>0.4</v>
      </c>
      <c r="PL29" s="22">
        <f>IF($CC29="P",BP29,(BP29+AT29)/2)</f>
        <v>0</v>
      </c>
      <c r="PM29" s="22">
        <f>IF($CC29="P",BQ29,(BQ29+AU29)/2)</f>
        <v>7.6</v>
      </c>
      <c r="PN29" s="22">
        <f>IF($CC29="P",BR29,(BR29+AV29)/2)</f>
        <v>1.6</v>
      </c>
      <c r="PO29" s="22">
        <f>IF($CC29="P",BS29,(BS29+AW29)/2)</f>
        <v>0</v>
      </c>
      <c r="PP29" s="22">
        <f>IF($CC29="P",BT29,(BT29+AX29)/2)</f>
        <v>0</v>
      </c>
      <c r="PQ29" s="22">
        <f>IF($CC29="P",BU29,(BU29+AY29)/2)</f>
        <v>0</v>
      </c>
      <c r="PR29" s="22">
        <f>IF($CC29="P",BV29,(BV29+AZ29)/2)</f>
        <v>0</v>
      </c>
      <c r="PS29" s="22">
        <f>IF($CC29="P",BW29,(BW29+BA29)/2)</f>
        <v>0</v>
      </c>
      <c r="PT29" s="22">
        <f>IF($CC29="P",BX29,(BX29+BB29)/2)</f>
        <v>0</v>
      </c>
      <c r="PU29" s="22">
        <f>IF($CC29="P",BY29,(BY29+BC29)/2)</f>
        <v>0</v>
      </c>
      <c r="PV29" s="22">
        <f>IF($CC29="P",BZ29,(BZ29+BD29)/2)</f>
        <v>0</v>
      </c>
      <c r="PW29" s="22">
        <f>IF($CC29="P",CA29,(CA29+BE29)/2)</f>
        <v>0</v>
      </c>
      <c r="PX29" s="22">
        <f>IF($CC29="P",CB29,(CB29+BF29)/2)</f>
        <v>0</v>
      </c>
      <c r="PY29" s="27" t="s">
        <v>46</v>
      </c>
      <c r="PZ29" s="40">
        <f>IF(SUM(PJ29,PN29)&gt;0,SUM(PJ29,PN29),"")</f>
        <v>5.6</v>
      </c>
      <c r="QA29" s="40">
        <f>IF(SUM(PI29:PJ29,PL29:PN29,PP29)-PK29-PO29&gt;0,SUM(PI29:PJ29,PL29:PN29,PP29)-PK29-PO29,"")</f>
        <v>22.200000000000003</v>
      </c>
      <c r="QB29" s="40" t="str">
        <f>IF(SUM(PR29,PV29)&gt;0,SUM(PR29,PV29),"")</f>
        <v/>
      </c>
      <c r="QC29" s="40" t="str">
        <f>IF(SUM(PQ29:PR29,PT29:PV29,PX29)-SUM(PS29,PW29)&gt;0,SUM(PQ29:PR29,PT29:PV29,PX29)-SUM(PS29,PW29),"")</f>
        <v/>
      </c>
      <c r="QD29" s="40">
        <f>IF(SUM(QA29,QC29)&gt;0,SUM(QA29,QC29),"")</f>
        <v>22.200000000000003</v>
      </c>
    </row>
    <row r="30" spans="1:446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150</v>
      </c>
      <c r="D30" s="4" t="s">
        <v>3</v>
      </c>
      <c r="E30" s="4">
        <v>2006</v>
      </c>
      <c r="F30" s="9">
        <f>SUM(L30:R30)+SUM(L30:O30)*0.0000001+SUM(L30)*0.0000000000001</f>
        <v>90.200004720004713</v>
      </c>
      <c r="H30" s="3" t="str">
        <f>IF(OR(AND(AL30&gt;=AP$38,AM30&gt;=AP$42,AL30&lt;&gt;"",AK30=""),AND(AN30&gt;=AP$38,AO30&gt;=AP$42,AN30&lt;&gt;"",AK30=""),AND(BH30&gt;=BL$38,BI30&gt;=BL$42,BH30&lt;&gt;"",BG30=""),AND(BJ30&gt;=BL$38,BK30&gt;=BL$42,BJ30&lt;&gt;"",BG30=""),AND(CD30&gt;=CH$38,CE30&gt;=CH$42,CD30&lt;&gt;"",CC30=""),AND(CF30&gt;=CH$38,CG30&gt;=CH$42,CF30&lt;&gt;""),AND(DE30&gt;=DL$38,DF30&gt;=DL$42,DE30&lt;&gt;""),AND(DJ30&gt;=DL$38,DK30&gt;=DL$42,DJ30&lt;&gt;""),AND(EG30&gt;=EN$38,EH30&gt;=EN$42,EG30&lt;&gt;""),AND(EL30&gt;=EN$38,EM30&gt;=EN$42,EL30&lt;&gt;""),AND(FI30&gt;=FP$38,FJ30&gt;=FP$42,FI30&lt;&gt;""),AND(FN30&gt;=FP$38,FO30&gt;=FP$42,FN30&lt;&gt;""),AND(GK30&gt;=GR$38,GL30&gt;=GR$42,GK30&lt;&gt;""),AND(GP30&gt;=GR$38,GQ30&gt;=GR$42,GP30&lt;&gt;""),AND(HM30&gt;=HT$38,HN30&gt;=HT$42,HM30&lt;&gt;""),AND(HR30&gt;=HT$38,HS30&gt;=HT$42,HR30&lt;&gt;""),AND(IO30&gt;=IV$38,IP30&gt;=IV$42,IO30&lt;&gt;""),AND(IT30&gt;=IV$38,IU30&gt;=IV$42,IT30&lt;&gt;""),AND(JQ30&gt;=JX$38,JR30&gt;=JX$42,JQ30&lt;&gt;""),AND(JV30&gt;=JX$38,JW30&gt;=JX$42,JV30&lt;&gt;""),AND(KS30&gt;=KZ$38,KT30&gt;=KZ$42,KS30&lt;&gt;""),AND(KX30&gt;=KZ$38,KY30&gt;=KZ$42,KX30&lt;&gt;""),AND(LU30&gt;=MB$38,LV30&gt;=MB$42,LU30&lt;&gt;""),AND(LZ30&gt;=MB$38,MA30&gt;=MB$42,LZ30&lt;&gt;""),AND(MW30&gt;=ND$38,MX30&gt;=ND$42,MW30&lt;&gt;""),AND(NB30&gt;=ND$38,NC30&gt;=ND$42,NB30&lt;&gt;""),AND(NY30&gt;=OF$38,NZ30&gt;=OF$42,NY30&lt;&gt;""),AND(OD30&gt;=OF$38,OE30&gt;=OF$42,OD30&lt;&gt;""),AND(PA30&gt;=PH$38,PB30&gt;=PH$42,PA30&lt;&gt;""),AND(PF30&gt;=PH$38,PG30&gt;=PH$42,PF30&lt;&gt;"")),"P","")</f>
        <v/>
      </c>
      <c r="I30" s="3" t="str">
        <f>IF(OR(AND(AM30&gt;=AP$42,AM30&lt;&gt;"",AK30=""),AND(AO30&gt;=AP$42,AO30&lt;&gt;"",AK30=""),AND(BI30&gt;=BL$42,BI30&lt;&gt;"",BG30=""),AND(BK30&gt;=BL$42,BK30&lt;&gt;"",BG30=""),AND(CE30&gt;=CH$42,CE30&lt;&gt;"",CC30=""),AND(CG30&gt;=CH$42,CG30&lt;&gt;"",CC30=""),AND(DF30&gt;=DL$42,DF30&lt;&gt;""),AND(DK30&gt;=DL$42,DK30&lt;&gt;""),AND(EH30&gt;=EN$42,EH30&lt;&gt;""),AND(EM30&gt;=EN$42,EM30&lt;&gt;""),AND(FJ30&gt;=FP$42,FJ30&lt;&gt;""),AND(FO30&gt;=FP$42,FO30&lt;&gt;""),AND(GL30&gt;=GR$42,GL30&lt;&gt;""),AND(GQ30&gt;=GR$42,GQ30&lt;&gt;""),AND(HN30&gt;=HT$42,HN30&lt;&gt;""),AND(HS30&gt;=HT$42,HS30&lt;&gt;""),AND(IP30&gt;=IV$42,IP30&lt;&gt;""),AND(IU30&gt;=IV$42,IU30&lt;&gt;""),AND(JR30&gt;=JX$42,JR30&lt;&gt;""),AND(JW30&gt;=JX$42,JW30&lt;&gt;""),AND(KT30&gt;=KZ$42,KT30&lt;&gt;""),AND(KY30&gt;=KZ$42,KY30&lt;&gt;""),AND(LV30&gt;=MB$42,LV30&lt;&gt;""),AND(MA30&gt;=MB$42,MA30&lt;&gt;""),AND(MX30&gt;=ND$42,MX30&lt;&gt;""),AND(NC30&gt;=ND$42,NC30&lt;&gt;""),AND(NZ30&gt;=OF$42,NZ30&lt;&gt;""),AND(OE30&gt;=OF$42,OE30&lt;&gt;""),AND(PB30&gt;=PH$42,PB30&lt;&gt;""),AND(PG30&gt;=PH$42,PG30&lt;&gt;"")),"P","")</f>
        <v/>
      </c>
      <c r="J30" s="36" t="str">
        <f>IF(AND(I30="P",H30=""),"No DD",IF(OR(AND(AL30&gt;=AP$26,AM30&gt;=AP$30,AL30&lt;&gt;"",AK30=""),AND(BH30&gt;=BL$26,BI30&gt;=BL$30,BH30&lt;&gt;"",BG30=""),AND(CD30&gt;=CH$26,CE30&gt;=CH$30,CD30&lt;&gt;"",CC30=""),AND(DH30&gt;=DL$26,DI30&gt;=DL$30,DH30&lt;&gt;""),AND(EJ30&gt;=EN$26,EK30&gt;=EN$30,EJ30&lt;&gt;""),AND(FL30&gt;=FP$26,FM30&gt;=FP$30,FL30&lt;&gt;""),AND(GN30&gt;=GR$26,GO30&gt;=GR$30,GN30&lt;&gt;""),AND(HP30&gt;=HT$26,HQ30&gt;=HT$30,HP30&lt;&gt;""),AND(IR30&gt;=IV$26,IS30&gt;=IV$30,IR30&lt;&gt;""),AND(JT30&gt;=JX$26,JU30&gt;=JX$30,JT30&lt;&gt;""),AND(KV30&gt;=KZ$26,KW30&gt;=KZ$30,KV30&lt;&gt;""),AND(LX30&gt;=MB$26,LY30&gt;=MB$30,LX30&lt;&gt;""),AND(MZ30&gt;=ND$26,NA30&gt;=ND$30,MZ30&lt;&gt;""),AND(OB30&gt;=OF$26,OC30&gt;=OF$30,OB30&lt;&gt;""),AND(PD30&gt;=PH$26,PE30&gt;=PH$30,PD30&lt;&gt;"")),"Merit",IF(OR(AND(AL30&gt;=AP$25,AM30&gt;=AP$29,AL30&lt;&gt;"",AK30=""),AND(BH30&gt;=BL$25,BI30&gt;=BL$29,BH30&lt;&gt;"",BG30=""),AND(CD30&gt;=CH$25,CE30&gt;=CH$29,CD30&lt;&gt;"",CC30=""),AND(DH30&gt;=DL$25,DI30&gt;=DL$29,DH30&lt;&gt;""),AND(EJ30&gt;=EN$25,EK30&gt;=EN$29,EJ30&lt;&gt;""),AND(FL30&gt;=FP$25,FM30&gt;=FP$29,FL30&lt;&gt;""),AND(GN30&gt;=GR$25,GO30&gt;=GR$29,GN30&lt;&gt;""),AND(HP30&gt;=HT$25,HQ30&gt;=HT$29,HP30&lt;&gt;""),AND(IR30&gt;=IV$25,IS30&gt;=IV$29,IR30&lt;&gt;""),AND(JT30&gt;=JX$25,JU30&gt;=JX$29,JT30&lt;&gt;""),AND(KV30&gt;=KZ$25,KW30&gt;=KZ$29,KV30&lt;&gt;""),AND(LX30&gt;=MB$25,LY30&gt;=MB$29,LX30&lt;&gt;""),AND(MZ30&gt;=ND$25,NA30&gt;=ND$29,MZ30&lt;&gt;""),AND(OB30&gt;=OF$25,OC30&gt;=OF$29,OB30&lt;&gt;""),AND(PD30&gt;=PH$25,PE30&gt;=PH$29,PD30&lt;&gt;"")),"Excellence",IF(K30="P","Worlds Team",IF(H30="P","National Team","")))))</f>
        <v/>
      </c>
      <c r="K30" s="3" t="str">
        <f>IF(OR(AND(AL30&gt;=AP$24,AM30&gt;=AP$28,AL30&lt;&gt;"",AK30=""),AND(BH30&gt;=BL$24,BI30&gt;=BL$28,BH30&lt;&gt;"",BG30=""),AND(CD30&gt;=CH$24,CE30&gt;=CH$28,CD30&lt;&gt;"",CC30=""),AND(DH30&gt;=DL$24,DI30&gt;=DL$28,DH30&lt;&gt;""),AND(EJ30&gt;=EN$24,EK30&gt;=EN$28,EJ30&lt;&gt;""),AND(FL30&gt;=FP$24,FM30&gt;=FP$28,FL30&lt;&gt;""),AND(GN30&gt;=GR$24,GO30&gt;=GR$28,GN30&lt;&gt;""),AND(HP30&gt;=HT$24,HQ30&gt;=HT$28,HP30&lt;&gt;""),AND(IR30&gt;=IV$24,IS30&gt;=IV$28,IR30&lt;&gt;""),AND(JT30&gt;=JX$24,JU30&gt;=JX$28,JT30&lt;&gt;""),AND(KV30&gt;=KZ$24,KW30&gt;=KZ$28,KV30&lt;&gt;""),AND(LX30&gt;=MB$24,LY30&gt;=MB$28,LX30&lt;&gt;""),AND(MZ30&gt;=ND$24,NA30&gt;=ND$28,MZ30&lt;&gt;""),AND(OB30&gt;=OF$24,OC30&gt;=OF$28,OB30&lt;&gt;""),AND(PD30&gt;=PH$24,PE30&gt;=PH$28,PD30&lt;&gt;"")),"P","")</f>
        <v/>
      </c>
      <c r="L30" s="8">
        <f>IF(COUNT(AM30,BI30,CE30)&gt;0,LARGE((AM30,BI30,CE30),1),0)</f>
        <v>47.199999999999996</v>
      </c>
      <c r="M30" s="8" t="str">
        <f>IF(L30=0,"",IF(L30=CE30,$BM$1,IF(L30=BI30,$AQ$1,IF(L30=AM30,$U$1,""))))</f>
        <v>2025 Nationals</v>
      </c>
      <c r="N30" s="8">
        <f>IF(COUNT(AM30,BI30,CE30)&gt;1,LARGE((AM30,BI30,CE30),2),0)</f>
        <v>0</v>
      </c>
      <c r="O30" s="8" t="str">
        <f>IF(N30=0,"",IF(AND(N30=L30,N30=AM30,N30=BI30),$U$1,IF(AND(N30=L30,N30=AM30,N30=CE30),$U$1,IF(AND(N30=L30,N30=BI30,N30=CE30),$AQ$1,IF(N30=CE30,$BM$1,IF(N30=BI30,$AQ$1,IF(N30=AM30,$U$1,"")))))))</f>
        <v/>
      </c>
      <c r="P30" s="8">
        <f>IF(MAX(AO30,BK30,CG30)&gt;0,MAX(AO30,BK30,CG30),0)</f>
        <v>43</v>
      </c>
      <c r="Q30" s="8" t="str">
        <f>IF(P30=0,"",IF(P30=CG30,$BM$1,IF(P30=BK30,$AQ$1,IF(P30=AO30,$U$1,""))))</f>
        <v>2025 Nationals</v>
      </c>
      <c r="R30" s="8" t="str">
        <f>IF(MAX(CI30:CJ30)&gt;0,MAX(CI30:CJ30),"")</f>
        <v/>
      </c>
      <c r="S30" s="11" t="str">
        <f>IF(R30="","",IF(R30=CI30,"("&amp;CI$2&amp;")",IF(R30=CJ30,"("&amp;CJ$2&amp;")")))</f>
        <v/>
      </c>
      <c r="T30" s="8" t="str">
        <f>IF(R30="","",IF(R30=CI30,IF(R30+IF(N30="",0,N30)=PB30,$OG$1,IF(R30+IF(N30="",0,N30)=NZ30,$NE$1,IF(R30+IF(N30="",0,N30)=MX30,$MC$1,IF(R30+IF(N30="",0,N30)=LV30,$LA$1,IF(R30+IF(N30="",0,N30)=KT30,$JY$1,IF(R30+IF(N30="",0,N30)=JR30,$IW$1,IF(R30+IF(N30="",0,N30)=IP30,$HU$1,IF(R30+IF(N30="",0,N30)=HN30,$GS$1,IF(R30+IF(N30="",0,N30)=GL30,$FQ$1,IF(R30+IF(N30="",0,N30)=FJ30,$EO$1,IF(R30+IF(N30="",0,N30)=EH30,$DM$1,IF(R30+IF(N30="",0,N30)=DF30,$CK$1)))))))))))),IF(R30=CJ30,IF(R30+IF(P30="",0,P30)=PG30,$OG$1,IF(R30+IF(P30="",0,P30)=OE30,$NE$1,IF(R30+IF(P30="",0,P30)=NC30,$MC$1,IF(R30+IF(P30="",0,P30)=MA30,$LA$1,IF(R30+IF(P30="",0,P30)=KY30,$JY$1,IF(R30+IF(P30="",0,P30)=JW30,$IW$1,IF(R30+IF(P30="",0,P30)=IU30,$HU$1,IF(R30+IF(P30="",0,P30)=HS30,$GS$1,IF(R30+IF(P30="",0,P30)=GQ30,$FQ$1,IF(R30+IF(P30="",0,P30)=FO30,$EO$1,IF(R30+IF(P30="",0,P30)=EM30,$DM$1,IF(R30+IF(P30="",0,P30)=DK30,$CK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27"/>
      <c r="AL30" s="40" t="str">
        <f>IF(SUM(V30,Z30)&gt;0,SUM(V30,Z30),"")</f>
        <v/>
      </c>
      <c r="AM30" s="40" t="str">
        <f>IF(SUM(U30:V30,X30:Z30,AB30)-W30-AA30&gt;0,SUM(U30:V30,X30:Z30,AB30)-W30-AA30,"")</f>
        <v/>
      </c>
      <c r="AN30" s="40" t="str">
        <f>IF(SUM(AD30,AH30)&gt;0,SUM(AD30,AH30),"")</f>
        <v/>
      </c>
      <c r="AO30" s="40" t="str">
        <f>IF(SUM(AC30:AD30,AF30:AH30,AJ30)-SUM(AE30,AI30)&gt;0,SUM(AC30:AD30,AF30:AH30,AJ30)-SUM(AE30,AI30),"")</f>
        <v/>
      </c>
      <c r="AP30" s="40" t="str">
        <f>IF(SUM(AM30,AO30)&gt;0,SUM(AM30,AO30),"")</f>
        <v/>
      </c>
      <c r="AQ30" s="18">
        <v>18.2</v>
      </c>
      <c r="AR30" s="18">
        <v>5.2</v>
      </c>
      <c r="AS30" s="18">
        <v>0.2</v>
      </c>
      <c r="AT30" s="18">
        <v>0</v>
      </c>
      <c r="AU30" s="18">
        <v>18.399999999999999</v>
      </c>
      <c r="AV30" s="18">
        <v>5.6</v>
      </c>
      <c r="AW30" s="18">
        <v>0</v>
      </c>
      <c r="AX30" s="18">
        <v>0</v>
      </c>
      <c r="AY30" s="18">
        <v>18.3</v>
      </c>
      <c r="AZ30" s="18">
        <v>5.2</v>
      </c>
      <c r="BA30" s="18">
        <v>0</v>
      </c>
      <c r="BB30" s="18">
        <v>0</v>
      </c>
      <c r="BC30" s="18">
        <v>18.5</v>
      </c>
      <c r="BD30" s="18">
        <v>2</v>
      </c>
      <c r="BE30" s="18">
        <v>1</v>
      </c>
      <c r="BF30" s="18">
        <v>0</v>
      </c>
      <c r="BG30" s="28"/>
      <c r="BH30" s="11">
        <f>IF(SUM(AR30,AV30)&gt;0,SUM(AR30,AV30),"")</f>
        <v>10.8</v>
      </c>
      <c r="BI30" s="11">
        <f>IF(SUM(AQ30:AR30,AT30:AV30,AX30)-AS30-AW30&gt;0,SUM(AQ30:AR30,AT30:AV30,AX30)-AS30-AW30,"")</f>
        <v>47.199999999999996</v>
      </c>
      <c r="BJ30" s="11">
        <f>IF(SUM(AZ30,BD30)&gt;0,SUM(AZ30,BD30),"")</f>
        <v>7.2</v>
      </c>
      <c r="BK30" s="11">
        <f>IF(SUM(AY30:AZ30,BB30:BD30,BF30)-SUM(BA30,BE30)&gt;0,SUM(AY30:AZ30,BB30:BD30,BF30)-SUM(BA30,BE30),"")</f>
        <v>43</v>
      </c>
      <c r="BL30" s="11">
        <f>IF(SUM(BI30,BK30)&gt;0,SUM(BI30,BK30),"")</f>
        <v>90.199999999999989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>IF(SUM(BN30,BR30)&gt;0,SUM(BN30,BR30),"")</f>
        <v/>
      </c>
      <c r="CE30" s="40" t="str">
        <f>IF(SUM(BM30:BN30,BP30:BR30,BT30)-BO30-BS30&gt;0,SUM(BM30:BN30,BP30:BR30,BT30)-BO30-BS30,"")</f>
        <v/>
      </c>
      <c r="CF30" s="40" t="str">
        <f>IF(SUM(BV30,BZ30)&gt;0,SUM(BV30,BZ30),"")</f>
        <v/>
      </c>
      <c r="CG30" s="40" t="str">
        <f>IF(SUM(BU30:BV30,BX30:BZ30,CB30)-SUM(BW30,CA30)&gt;0,SUM(BU30:BV30,BX30:BZ30,CB30)-SUM(BW30,CA30),"")</f>
        <v/>
      </c>
      <c r="CH30" s="40" t="str">
        <f>IF(SUM(CE30,CG30)&gt;0,SUM(CE30,CG30),"")</f>
        <v/>
      </c>
      <c r="CI30" s="50" t="str">
        <f>IF(MAX(DF30,EH30,FJ30,GL30,HN30,IP30,JR30,KT30,LV30,MX30,NZ30,PB30)-IF(N30="",0,N30)&gt;0.001,MAX(DF30,EH30,FJ30,GL30,HN30,IP30,JR30,KT30,LV30,MX30,NZ30,PB30)-IF(N30="",0,N30),"")</f>
        <v/>
      </c>
      <c r="CJ30" s="50" t="str">
        <f>IF(MAX(DK30,EM30,FO30,GQ30,HS30,IU30,JW30,KY30,MA30,NC30,OE30,PG30)-IF(P30="",0,P30)&gt;0.001,MAX(DK30,EM30,FO30,GQ30,HS30,IU30,JW30,KY30,MA30,NC30,OE30,PG30)-IF(P30="",0,P30),"")</f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>IF(SUM(CL30,CP30)&gt;0,SUM(CL30,CP30),"")</f>
        <v/>
      </c>
      <c r="DF30" s="40" t="str">
        <f>IF(SUM(CK30:CL30,CN30:CP30,CR30)-CM30-CQ30&gt;0,SUM(CK30:CL30,CN30:CP30,CR30)-CM30-CQ30,"")</f>
        <v/>
      </c>
      <c r="DG30" s="40" t="str">
        <f>IF(SUM(CS30:CT30,CV30)-CU30&gt;0,SUM(CS30:CT30,CV30)-CU30,"")</f>
        <v/>
      </c>
      <c r="DH30" s="40" t="str">
        <f>IF(SUM(CL30,CP30,CT30)&gt;0,SUM(CL30,CP30,CT30),"")</f>
        <v/>
      </c>
      <c r="DI30" s="40" t="str">
        <f>IF(SUM(DF30,DG30)&gt;0,SUM(DF30,DG30),"")</f>
        <v/>
      </c>
      <c r="DJ30" s="40" t="str">
        <f>IF(SUM(CX30,DB30)&gt;0,SUM(CX30,DB30),"")</f>
        <v/>
      </c>
      <c r="DK30" s="40" t="str">
        <f>IF(SUM(CW30:CX30,CZ30:DB30,DD30)-SUM(CY30,DC30)&gt;0,SUM(CW30:CX30,CZ30:DB30,DD30)-SUM(CY30,DC30),"")</f>
        <v/>
      </c>
      <c r="DL30" s="40" t="str">
        <f>IF(SUM(DF30,DG30,DK30)&gt;0,SUM(DF30,DG30,DK30),"")</f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>IF(SUM(DN30,DR30)&gt;0,SUM(DN30,DR30),"")</f>
        <v/>
      </c>
      <c r="EH30" s="11" t="str">
        <f>IF(SUM(DM30:DN30,DP30:DR30,DT30)-DO30-DS30&gt;0,SUM(DM30:DN30,DP30:DR30,DT30)-DO30-DS30,"")</f>
        <v/>
      </c>
      <c r="EI30" s="11" t="str">
        <f>IF(SUM(DU30:DV30,DX30)-DW30&gt;0,SUM(DU30:DV30,DX30)-DW30,"")</f>
        <v/>
      </c>
      <c r="EJ30" s="11" t="str">
        <f>IF(SUM(DN30,DR30,DV30)&gt;0,SUM(DN30,DR30,DV30),"")</f>
        <v/>
      </c>
      <c r="EK30" s="11" t="str">
        <f>IF(SUM(EH30,EI30)&gt;0,SUM(EH30,EI30),"")</f>
        <v/>
      </c>
      <c r="EL30" s="11" t="str">
        <f>IF(SUM(DZ30,ED30)&gt;0,SUM(DZ30,ED30),"")</f>
        <v/>
      </c>
      <c r="EM30" s="11" t="str">
        <f>IF(SUM(DY30:DZ30,EB30:ED30,EF30)-SUM(EA30,EE30)&gt;0,SUM(DY30:DZ30,EB30:ED30,EF30)-SUM(EA30,EE30),"")</f>
        <v/>
      </c>
      <c r="EN30" s="11" t="str">
        <f>IF(SUM(EH30,EI30,EM30)&gt;0,SUM(EH30,EI30,EM30),"")</f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>IF(SUM(EP30,ET30)&gt;0,SUM(EP30,ET30),"")</f>
        <v/>
      </c>
      <c r="FJ30" s="40" t="str">
        <f>IF(SUM(EO30:EP30,ER30:ET30,EV30)-EQ30-EU30&gt;0,SUM(EO30:EP30,ER30:ET30,EV30)-EQ30-EU30,"")</f>
        <v/>
      </c>
      <c r="FK30" s="40" t="str">
        <f>IF(SUM(EW30:EX30,EZ30)-EY30&gt;0,SUM(EW30:EX30,EZ30)-EY30,"")</f>
        <v/>
      </c>
      <c r="FL30" s="40" t="str">
        <f>IF(SUM(EP30,ET30,EX30)&gt;0,SUM(EP30,ET30,EX30),"")</f>
        <v/>
      </c>
      <c r="FM30" s="40" t="str">
        <f>IF(SUM(FJ30,FK30)&gt;0,SUM(FJ30,FK30),"")</f>
        <v/>
      </c>
      <c r="FN30" s="40" t="str">
        <f>IF(SUM(FB30,FF30)&gt;0,SUM(FB30,FF30),"")</f>
        <v/>
      </c>
      <c r="FO30" s="40" t="str">
        <f>IF(SUM(FA30:FB30,FD30:FF30,FH30)-SUM(FC30,FG30)&gt;0,SUM(FA30:FB30,FD30:FF30,FH30)-SUM(FC30,FG30),"")</f>
        <v/>
      </c>
      <c r="FP30" s="40" t="str">
        <f>IF(SUM(FJ30,FK30,FO30)&gt;0,SUM(FJ30,FK30,FO30),"")</f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>IF(SUM(FR30,FV30)&gt;0,SUM(FR30,FV30),"")</f>
        <v/>
      </c>
      <c r="GL30" s="11" t="str">
        <f>IF(SUM(FQ30:FR30,FT30:FV30,FX30)-FS30-FW30&gt;0,SUM(FQ30:FR30,FT30:FV30,FX30)-FS30-FW30,"")</f>
        <v/>
      </c>
      <c r="GM30" s="11" t="str">
        <f>IF(SUM(FY30:FZ30,GB30)-GA30&gt;0,SUM(FY30:FZ30,GB30)-GA30,"")</f>
        <v/>
      </c>
      <c r="GN30" s="11" t="str">
        <f>IF(SUM(FR30,FV30,FZ30)&gt;0,SUM(FR30,FV30,FZ30),"")</f>
        <v/>
      </c>
      <c r="GO30" s="11" t="str">
        <f>IF(SUM(GL30,GM30)&gt;0,SUM(GL30,GM30),"")</f>
        <v/>
      </c>
      <c r="GP30" s="11" t="str">
        <f>IF(SUM(GD30,GH30)&gt;0,SUM(GD30,GH30),"")</f>
        <v/>
      </c>
      <c r="GQ30" s="11" t="str">
        <f>IF(SUM(GC30:GD30,GF30:GH30,GJ30)-SUM(GE30,GI30)&gt;0,SUM(GC30:GD30,GF30:GH30,GJ30)-SUM(GE30,GI30),"")</f>
        <v/>
      </c>
      <c r="GR30" s="11" t="str">
        <f>IF(SUM(GL30,GM30,GQ30)&gt;0,SUM(GL30,GM30,GQ30),"")</f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>IF(SUM(GT30,GX30)&gt;0,SUM(GT30,GX30),"")</f>
        <v/>
      </c>
      <c r="HN30" s="40" t="str">
        <f>IF(SUM(GS30:GT30,GV30:GX30,GZ30)-GU30-GY30&gt;0,SUM(GS30:GT30,GV30:GX30,GZ30)-GU30-GY30,"")</f>
        <v/>
      </c>
      <c r="HO30" s="40" t="str">
        <f>IF(SUM(HA30:HB30,HD30)-HC30&gt;0,SUM(HA30:HB30,HD30)-HC30,"")</f>
        <v/>
      </c>
      <c r="HP30" s="40" t="str">
        <f>IF(SUM(GT30,GX30,HB30)&gt;0,SUM(GT30,GX30,HB30),"")</f>
        <v/>
      </c>
      <c r="HQ30" s="40" t="str">
        <f>IF(SUM(HN30,HO30)&gt;0,SUM(HN30,HO30),"")</f>
        <v/>
      </c>
      <c r="HR30" s="40" t="str">
        <f>IF(SUM(HF30,HJ30)&gt;0,SUM(HF30,HJ30),"")</f>
        <v/>
      </c>
      <c r="HS30" s="40" t="str">
        <f>IF(SUM(HE30:HF30,HH30:HJ30,HL30)-SUM(HG30,HK30)&gt;0,SUM(HE30:HF30,HH30:HJ30,HL30)-SUM(HG30,HK30),"")</f>
        <v/>
      </c>
      <c r="HT30" s="40" t="str">
        <f>IF(SUM(HN30,HO30,HS30)&gt;0,SUM(HN30,HO30,HS30),"")</f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>IF(SUM(HV30,HZ30)&gt;0,SUM(HV30,HZ30),"")</f>
        <v/>
      </c>
      <c r="IP30" s="11" t="str">
        <f>IF(SUM(HU30:HV30,HX30:HZ30,IB30)-HW30-IA30&gt;0,SUM(HU30:HV30,HX30:HZ30,IB30)-HW30-IA30,"")</f>
        <v/>
      </c>
      <c r="IQ30" s="11" t="str">
        <f>IF(SUM(IC30:ID30,IF30)-IE30&gt;0,SUM(IC30:ID30,IF30)-IE30,"")</f>
        <v/>
      </c>
      <c r="IR30" s="11" t="str">
        <f>IF(SUM(HV30,HZ30,ID30)&gt;0,SUM(HV30,HZ30,ID30),"")</f>
        <v/>
      </c>
      <c r="IS30" s="11" t="str">
        <f>IF(SUM(IP30,IQ30)&gt;0,SUM(IP30,IQ30),"")</f>
        <v/>
      </c>
      <c r="IT30" s="11" t="str">
        <f>IF(SUM(IH30,IL30)&gt;0,SUM(IH30,IL30),"")</f>
        <v/>
      </c>
      <c r="IU30" s="11" t="str">
        <f>IF(SUM(IG30:IH30,IJ30:IL30,IN30)-SUM(II30,IM30)&gt;0,SUM(IG30:IH30,IJ30:IL30,IN30)-SUM(II30,IM30),"")</f>
        <v/>
      </c>
      <c r="IV30" s="11" t="str">
        <f>IF(SUM(IP30,IQ30,IU30)&gt;0,SUM(IP30,IQ30,IU30),"")</f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>IF(SUM(IX30,JB30)&gt;0,SUM(IX30,JB30),"")</f>
        <v/>
      </c>
      <c r="JR30" s="40" t="str">
        <f>IF(SUM(IW30:IX30,IZ30:JB30,JD30)-IY30-JC30&gt;0,SUM(IW30:IX30,IZ30:JB30,JD30)-IY30-JC30,"")</f>
        <v/>
      </c>
      <c r="JS30" s="40" t="str">
        <f>IF(SUM(JE30:JF30,JH30)-JG30&gt;0,SUM(JE30:JF30,JH30)-JG30,"")</f>
        <v/>
      </c>
      <c r="JT30" s="40" t="str">
        <f>IF(SUM(IX30,JB30,JF30)&gt;0,SUM(IX30,JB30,JF30),"")</f>
        <v/>
      </c>
      <c r="JU30" s="40" t="str">
        <f>IF(SUM(JR30,JS30)&gt;0,SUM(JR30,JS30),"")</f>
        <v/>
      </c>
      <c r="JV30" s="40" t="str">
        <f>IF(SUM(JJ30,JN30)&gt;0,SUM(JJ30,JN30),"")</f>
        <v/>
      </c>
      <c r="JW30" s="40" t="str">
        <f>IF(SUM(JI30:JJ30,JL30:JN30,JP30)-SUM(JK30,JO30)&gt;0,SUM(JI30:JJ30,JL30:JN30,JP30)-SUM(JK30,JO30),"")</f>
        <v/>
      </c>
      <c r="JX30" s="40" t="str">
        <f>IF(SUM(JR30,JS30,JW30)&gt;0,SUM(JR30,JS30,JW30),"")</f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>IF(SUM(JZ30,KD30)&gt;0,SUM(JZ30,KD30),"")</f>
        <v/>
      </c>
      <c r="KT30" s="11" t="str">
        <f>IF(SUM(JY30:JZ30,KB30:KD30,KF30)-KA30-KE30&gt;0,SUM(JY30:JZ30,KB30:KD30,KF30)-KA30-KE30,"")</f>
        <v/>
      </c>
      <c r="KU30" s="11" t="str">
        <f>IF(SUM(KG30:KH30,KJ30)-KI30&gt;0,SUM(KG30:KH30,KJ30)-KI30,"")</f>
        <v/>
      </c>
      <c r="KV30" s="11" t="str">
        <f>IF(SUM(JZ30,KD30,KH30)&gt;0,SUM(JZ30,KD30,KH30),"")</f>
        <v/>
      </c>
      <c r="KW30" s="11" t="str">
        <f>IF(SUM(KT30,KU30)&gt;0,SUM(KT30,KU30),"")</f>
        <v/>
      </c>
      <c r="KX30" s="11" t="str">
        <f>IF(SUM(KL30,KP30)&gt;0,SUM(KL30,KP30),"")</f>
        <v/>
      </c>
      <c r="KY30" s="11" t="str">
        <f>IF(SUM(KK30:KL30,KN30:KP30,KR30)-SUM(KM30,KQ30)&gt;0,SUM(KK30:KL30,KN30:KP30,KR30)-SUM(KM30,KQ30),"")</f>
        <v/>
      </c>
      <c r="KZ30" s="11" t="str">
        <f>IF(SUM(KT30,KU30,KY30)&gt;0,SUM(KT30,KU30,KY30),"")</f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>IF(SUM(LB30,LF30)&gt;0,SUM(LB30,LF30),"")</f>
        <v/>
      </c>
      <c r="LV30" s="40" t="str">
        <f>IF(SUM(LA30:LB30,LD30:LF30,LH30)-LC30-LG30&gt;0,SUM(LA30:LB30,LD30:LF30,LH30)-LC30-LG30,"")</f>
        <v/>
      </c>
      <c r="LW30" s="40" t="str">
        <f>IF(SUM(LI30:LJ30,LL30)-LK30&gt;0,SUM(LI30:LJ30,LL30)-LK30,"")</f>
        <v/>
      </c>
      <c r="LX30" s="40" t="str">
        <f>IF(SUM(LB30,LF30,LJ30)&gt;0,SUM(LB30,LF30,LJ30),"")</f>
        <v/>
      </c>
      <c r="LY30" s="40" t="str">
        <f>IF(SUM(LV30,LW30)&gt;0,SUM(LV30,LW30),"")</f>
        <v/>
      </c>
      <c r="LZ30" s="40" t="str">
        <f>IF(SUM(LN30,LR30)&gt;0,SUM(LN30,LR30),"")</f>
        <v/>
      </c>
      <c r="MA30" s="40" t="str">
        <f>IF(SUM(LM30:LN30,LP30:LR30,LT30)-SUM(LO30,LS30)&gt;0,SUM(LM30:LN30,LP30:LR30,LT30)-SUM(LO30,LS30),"")</f>
        <v/>
      </c>
      <c r="MB30" s="40" t="str">
        <f>IF(SUM(LV30,LW30,MA30)&gt;0,SUM(LV30,LW30,MA30),"")</f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>IF(SUM(MD30,MH30)&gt;0,SUM(MD30,MH30),"")</f>
        <v/>
      </c>
      <c r="MX30" s="11" t="str">
        <f>IF(SUM(MC30:MD30,MF30:MH30,MJ30)-ME30-MI30&gt;0,SUM(MC30:MD30,MF30:MH30,MJ30)-ME30-MI30,"")</f>
        <v/>
      </c>
      <c r="MY30" s="11" t="str">
        <f>IF(SUM(MK30:ML30,MN30)-MM30&gt;0,SUM(MK30:ML30,MN30)-MM30,"")</f>
        <v/>
      </c>
      <c r="MZ30" s="11" t="str">
        <f>IF(SUM(MD30,MH30,ML30)&gt;0,SUM(MD30,MH30,ML30),"")</f>
        <v/>
      </c>
      <c r="NA30" s="11" t="str">
        <f>IF(SUM(MX30,MY30)&gt;0,SUM(MX30,MY30),"")</f>
        <v/>
      </c>
      <c r="NB30" s="11" t="str">
        <f>IF(SUM(MP30,MT30)&gt;0,SUM(MP30,MT30),"")</f>
        <v/>
      </c>
      <c r="NC30" s="11" t="str">
        <f>IF(SUM(MO30:MP30,MR30:MT30,MV30)-SUM(MQ30,MU30)&gt;0,SUM(MO30:MP30,MR30:MT30,MV30)-SUM(MQ30,MU30),"")</f>
        <v/>
      </c>
      <c r="ND30" s="11" t="str">
        <f>IF(SUM(MX30,MY30,NC30)&gt;0,SUM(MX30,MY30,NC30),"")</f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>IF(SUM(NF30,NJ30)&gt;0,SUM(NF30,NJ30),"")</f>
        <v/>
      </c>
      <c r="NZ30" s="40" t="str">
        <f>IF(SUM(NE30:NF30,NH30:NJ30,NL30)-NG30-NK30&gt;0,SUM(NE30:NF30,NH30:NJ30,NL30)-NG30-NK30,"")</f>
        <v/>
      </c>
      <c r="OA30" s="40" t="str">
        <f>IF(SUM(NM30:NN30,NP30)-NO30&gt;0,SUM(NM30:NN30,NP30)-NO30,"")</f>
        <v/>
      </c>
      <c r="OB30" s="40" t="str">
        <f>IF(SUM(NF30,NJ30,NN30)&gt;0,SUM(NF30,NJ30,NN30),"")</f>
        <v/>
      </c>
      <c r="OC30" s="40" t="str">
        <f>IF(SUM(NZ30,OA30)&gt;0,SUM(NZ30,OA30),"")</f>
        <v/>
      </c>
      <c r="OD30" s="40" t="str">
        <f>IF(SUM(NR30,NV30)&gt;0,SUM(NR30,NV30),"")</f>
        <v/>
      </c>
      <c r="OE30" s="40" t="str">
        <f>IF(SUM(NQ30:NR30,NT30:NV30,NX30)-SUM(NS30,NW30)&gt;0,SUM(NQ30:NR30,NT30:NV30,NX30)-SUM(NS30,NW30),"")</f>
        <v/>
      </c>
      <c r="OF30" s="40" t="str">
        <f>IF(SUM(NZ30,OA30,OE30)&gt;0,SUM(NZ30,OA30,OE30),"")</f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>IF(SUM(OH30,OL30)&gt;0,SUM(OH30,OL30),"")</f>
        <v/>
      </c>
      <c r="PB30" s="11" t="str">
        <f>IF(SUM(OG30:OH30,OJ30:OL30,ON30)-OI30-OM30&gt;0,SUM(OG30:OH30,OJ30:OL30,ON30)-OI30-OM30,"")</f>
        <v/>
      </c>
      <c r="PC30" s="11" t="str">
        <f>IF(SUM(OO30:OP30,OR30)-OQ30&gt;0,SUM(OO30:OP30,OR30)-OQ30,"")</f>
        <v/>
      </c>
      <c r="PD30" s="11" t="str">
        <f>IF(SUM(OH30,OL30,OP30)&gt;0,SUM(OH30,OL30,OP30),"")</f>
        <v/>
      </c>
      <c r="PE30" s="11" t="str">
        <f>IF(SUM(PB30,PC30)&gt;0,SUM(PB30,PC30),"")</f>
        <v/>
      </c>
      <c r="PF30" s="11" t="str">
        <f>IF(SUM(OT30,OX30)&gt;0,SUM(OT30,OX30),"")</f>
        <v/>
      </c>
      <c r="PG30" s="11" t="str">
        <f>IF(SUM(OS30:OT30,OV30:OX30,OZ30)-SUM(OU30,OY30)&gt;0,SUM(OS30:OT30,OV30:OX30,OZ30)-SUM(OU30,OY30),"")</f>
        <v/>
      </c>
      <c r="PH30" s="11" t="str">
        <f>IF(SUM(PB30,PC30,PG30)&gt;0,SUM(PB30,PC30,PG30),"")</f>
        <v/>
      </c>
      <c r="PI30" s="22">
        <f>IF($CC30="P",BM30,(BM30+AQ30)/2)</f>
        <v>9.1</v>
      </c>
      <c r="PJ30" s="22">
        <f>IF($CC30="P",BN30,(BN30+AR30)/2)</f>
        <v>2.6</v>
      </c>
      <c r="PK30" s="22">
        <f>IF($CC30="P",BO30,(BO30+AS30)/2)</f>
        <v>0.1</v>
      </c>
      <c r="PL30" s="22">
        <f>IF($CC30="P",BP30,(BP30+AT30)/2)</f>
        <v>0</v>
      </c>
      <c r="PM30" s="22">
        <f>IF($CC30="P",BQ30,(BQ30+AU30)/2)</f>
        <v>9.1999999999999993</v>
      </c>
      <c r="PN30" s="22">
        <f>IF($CC30="P",BR30,(BR30+AV30)/2)</f>
        <v>2.8</v>
      </c>
      <c r="PO30" s="22">
        <f>IF($CC30="P",BS30,(BS30+AW30)/2)</f>
        <v>0</v>
      </c>
      <c r="PP30" s="22">
        <f>IF($CC30="P",BT30,(BT30+AX30)/2)</f>
        <v>0</v>
      </c>
      <c r="PQ30" s="22">
        <f>IF($CC30="P",BU30,(BU30+AY30)/2)</f>
        <v>9.15</v>
      </c>
      <c r="PR30" s="22">
        <f>IF($CC30="P",BV30,(BV30+AZ30)/2)</f>
        <v>2.6</v>
      </c>
      <c r="PS30" s="22">
        <f>IF($CC30="P",BW30,(BW30+BA30)/2)</f>
        <v>0</v>
      </c>
      <c r="PT30" s="22">
        <f>IF($CC30="P",BX30,(BX30+BB30)/2)</f>
        <v>0</v>
      </c>
      <c r="PU30" s="22">
        <f>IF($CC30="P",BY30,(BY30+BC30)/2)</f>
        <v>9.25</v>
      </c>
      <c r="PV30" s="22">
        <f>IF($CC30="P",BZ30,(BZ30+BD30)/2)</f>
        <v>1</v>
      </c>
      <c r="PW30" s="22">
        <f>IF($CC30="P",CA30,(CA30+BE30)/2)</f>
        <v>0.5</v>
      </c>
      <c r="PX30" s="22">
        <f>IF($CC30="P",CB30,(CB30+BF30)/2)</f>
        <v>0</v>
      </c>
      <c r="PY30" s="27" t="s">
        <v>46</v>
      </c>
      <c r="PZ30" s="40">
        <f>IF(SUM(PJ30,PN30)&gt;0,SUM(PJ30,PN30),"")</f>
        <v>5.4</v>
      </c>
      <c r="QA30" s="40">
        <f>IF(SUM(PI30:PJ30,PL30:PN30,PP30)-PK30-PO30&gt;0,SUM(PI30:PJ30,PL30:PN30,PP30)-PK30-PO30,"")</f>
        <v>23.599999999999998</v>
      </c>
      <c r="QB30" s="40">
        <f>IF(SUM(PR30,PV30)&gt;0,SUM(PR30,PV30),"")</f>
        <v>3.6</v>
      </c>
      <c r="QC30" s="40">
        <f>IF(SUM(PQ30:PR30,PT30:PV30,PX30)-SUM(PS30,PW30)&gt;0,SUM(PQ30:PR30,PT30:PV30,PX30)-SUM(PS30,PW30),"")</f>
        <v>21.5</v>
      </c>
      <c r="QD30" s="40">
        <f>IF(SUM(QA30,QC30)&gt;0,SUM(QA30,QC30),"")</f>
        <v>45.099999999999994</v>
      </c>
    </row>
    <row r="31" spans="1:446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99</v>
      </c>
      <c r="D31" s="4" t="s">
        <v>92</v>
      </c>
      <c r="E31" s="4">
        <v>2005</v>
      </c>
      <c r="F31" s="9">
        <f>SUM(L31:R31)+SUM(L31:O31)*0.0000001+SUM(L31)*0.0000000000001</f>
        <v>88.500008850004505</v>
      </c>
      <c r="G31" s="64"/>
      <c r="H31" s="3" t="str">
        <f>IF(OR(AND(AL31&gt;=AP$38,AM31&gt;=AP$42,AL31&lt;&gt;"",AK31=""),AND(AN31&gt;=AP$38,AO31&gt;=AP$42,AN31&lt;&gt;"",AK31=""),AND(BH31&gt;=BL$38,BI31&gt;=BL$42,BH31&lt;&gt;"",BG31=""),AND(BJ31&gt;=BL$38,BK31&gt;=BL$42,BJ31&lt;&gt;"",BG31=""),AND(CD31&gt;=CH$38,CE31&gt;=CH$42,CD31&lt;&gt;"",CC31=""),AND(CF31&gt;=CH$38,CG31&gt;=CH$42,CF31&lt;&gt;""),AND(DE31&gt;=DL$38,DF31&gt;=DL$42,DE31&lt;&gt;""),AND(DJ31&gt;=DL$38,DK31&gt;=DL$42,DJ31&lt;&gt;""),AND(EG31&gt;=EN$38,EH31&gt;=EN$42,EG31&lt;&gt;""),AND(EL31&gt;=EN$38,EM31&gt;=EN$42,EL31&lt;&gt;""),AND(FI31&gt;=FP$38,FJ31&gt;=FP$42,FI31&lt;&gt;""),AND(FN31&gt;=FP$38,FO31&gt;=FP$42,FN31&lt;&gt;""),AND(GK31&gt;=GR$38,GL31&gt;=GR$42,GK31&lt;&gt;""),AND(GP31&gt;=GR$38,GQ31&gt;=GR$42,GP31&lt;&gt;""),AND(HM31&gt;=HT$38,HN31&gt;=HT$42,HM31&lt;&gt;""),AND(HR31&gt;=HT$38,HS31&gt;=HT$42,HR31&lt;&gt;""),AND(IO31&gt;=IV$38,IP31&gt;=IV$42,IO31&lt;&gt;""),AND(IT31&gt;=IV$38,IU31&gt;=IV$42,IT31&lt;&gt;""),AND(JQ31&gt;=JX$38,JR31&gt;=JX$42,JQ31&lt;&gt;""),AND(JV31&gt;=JX$38,JW31&gt;=JX$42,JV31&lt;&gt;""),AND(KS31&gt;=KZ$38,KT31&gt;=KZ$42,KS31&lt;&gt;""),AND(KX31&gt;=KZ$38,KY31&gt;=KZ$42,KX31&lt;&gt;""),AND(LU31&gt;=MB$38,LV31&gt;=MB$42,LU31&lt;&gt;""),AND(LZ31&gt;=MB$38,MA31&gt;=MB$42,LZ31&lt;&gt;""),AND(MW31&gt;=ND$38,MX31&gt;=ND$42,MW31&lt;&gt;""),AND(NB31&gt;=ND$38,NC31&gt;=ND$42,NB31&lt;&gt;""),AND(NY31&gt;=OF$38,NZ31&gt;=OF$42,NY31&lt;&gt;""),AND(OD31&gt;=OF$38,OE31&gt;=OF$42,OD31&lt;&gt;""),AND(PA31&gt;=PH$38,PB31&gt;=PH$42,PA31&lt;&gt;""),AND(PF31&gt;=PH$38,PG31&gt;=PH$42,PF31&lt;&gt;"")),"P","")</f>
        <v/>
      </c>
      <c r="I31" s="3" t="str">
        <f>IF(OR(AND(AM31&gt;=AP$42,AM31&lt;&gt;"",AK31=""),AND(AO31&gt;=AP$42,AO31&lt;&gt;"",AK31=""),AND(BI31&gt;=BL$42,BI31&lt;&gt;"",BG31=""),AND(BK31&gt;=BL$42,BK31&lt;&gt;"",BG31=""),AND(CE31&gt;=CH$42,CE31&lt;&gt;"",CC31=""),AND(CG31&gt;=CH$42,CG31&lt;&gt;"",CC31=""),AND(DF31&gt;=DL$42,DF31&lt;&gt;""),AND(DK31&gt;=DL$42,DK31&lt;&gt;""),AND(EH31&gt;=EN$42,EH31&lt;&gt;""),AND(EM31&gt;=EN$42,EM31&lt;&gt;""),AND(FJ31&gt;=FP$42,FJ31&lt;&gt;""),AND(FO31&gt;=FP$42,FO31&lt;&gt;""),AND(GL31&gt;=GR$42,GL31&lt;&gt;""),AND(GQ31&gt;=GR$42,GQ31&lt;&gt;""),AND(HN31&gt;=HT$42,HN31&lt;&gt;""),AND(HS31&gt;=HT$42,HS31&lt;&gt;""),AND(IP31&gt;=IV$42,IP31&lt;&gt;""),AND(IU31&gt;=IV$42,IU31&lt;&gt;""),AND(JR31&gt;=JX$42,JR31&lt;&gt;""),AND(JW31&gt;=JX$42,JW31&lt;&gt;""),AND(KT31&gt;=KZ$42,KT31&lt;&gt;""),AND(KY31&gt;=KZ$42,KY31&lt;&gt;""),AND(LV31&gt;=MB$42,LV31&lt;&gt;""),AND(MA31&gt;=MB$42,MA31&lt;&gt;""),AND(MX31&gt;=ND$42,MX31&lt;&gt;""),AND(NC31&gt;=ND$42,NC31&lt;&gt;""),AND(NZ31&gt;=OF$42,NZ31&lt;&gt;""),AND(OE31&gt;=OF$42,OE31&lt;&gt;""),AND(PB31&gt;=PH$42,PB31&lt;&gt;""),AND(PG31&gt;=PH$42,PG31&lt;&gt;"")),"P","")</f>
        <v/>
      </c>
      <c r="J31" s="36" t="str">
        <f>IF(AND(I31="P",H31=""),"No DD",IF(OR(AND(AL31&gt;=AP$26,AM31&gt;=AP$30,AL31&lt;&gt;"",AK31=""),AND(BH31&gt;=BL$26,BI31&gt;=BL$30,BH31&lt;&gt;"",BG31=""),AND(CD31&gt;=CH$26,CE31&gt;=CH$30,CD31&lt;&gt;"",CC31=""),AND(DH31&gt;=DL$26,DI31&gt;=DL$30,DH31&lt;&gt;""),AND(EJ31&gt;=EN$26,EK31&gt;=EN$30,EJ31&lt;&gt;""),AND(FL31&gt;=FP$26,FM31&gt;=FP$30,FL31&lt;&gt;""),AND(GN31&gt;=GR$26,GO31&gt;=GR$30,GN31&lt;&gt;""),AND(HP31&gt;=HT$26,HQ31&gt;=HT$30,HP31&lt;&gt;""),AND(IR31&gt;=IV$26,IS31&gt;=IV$30,IR31&lt;&gt;""),AND(JT31&gt;=JX$26,JU31&gt;=JX$30,JT31&lt;&gt;""),AND(KV31&gt;=KZ$26,KW31&gt;=KZ$30,KV31&lt;&gt;""),AND(LX31&gt;=MB$26,LY31&gt;=MB$30,LX31&lt;&gt;""),AND(MZ31&gt;=ND$26,NA31&gt;=ND$30,MZ31&lt;&gt;""),AND(OB31&gt;=OF$26,OC31&gt;=OF$30,OB31&lt;&gt;""),AND(PD31&gt;=PH$26,PE31&gt;=PH$30,PD31&lt;&gt;"")),"Merit",IF(OR(AND(AL31&gt;=AP$25,AM31&gt;=AP$29,AL31&lt;&gt;"",AK31=""),AND(BH31&gt;=BL$25,BI31&gt;=BL$29,BH31&lt;&gt;"",BG31=""),AND(CD31&gt;=CH$25,CE31&gt;=CH$29,CD31&lt;&gt;"",CC31=""),AND(DH31&gt;=DL$25,DI31&gt;=DL$29,DH31&lt;&gt;""),AND(EJ31&gt;=EN$25,EK31&gt;=EN$29,EJ31&lt;&gt;""),AND(FL31&gt;=FP$25,FM31&gt;=FP$29,FL31&lt;&gt;""),AND(GN31&gt;=GR$25,GO31&gt;=GR$29,GN31&lt;&gt;""),AND(HP31&gt;=HT$25,HQ31&gt;=HT$29,HP31&lt;&gt;""),AND(IR31&gt;=IV$25,IS31&gt;=IV$29,IR31&lt;&gt;""),AND(JT31&gt;=JX$25,JU31&gt;=JX$29,JT31&lt;&gt;""),AND(KV31&gt;=KZ$25,KW31&gt;=KZ$29,KV31&lt;&gt;""),AND(LX31&gt;=MB$25,LY31&gt;=MB$29,LX31&lt;&gt;""),AND(MZ31&gt;=ND$25,NA31&gt;=ND$29,MZ31&lt;&gt;""),AND(OB31&gt;=OF$25,OC31&gt;=OF$29,OB31&lt;&gt;""),AND(PD31&gt;=PH$25,PE31&gt;=PH$29,PD31&lt;&gt;"")),"Excellence",IF(K31="P","Worlds Team",IF(H31="P","National Team","")))))</f>
        <v/>
      </c>
      <c r="K31" s="3" t="str">
        <f>IF(OR(AND(AL31&gt;=AP$24,AM31&gt;=AP$28,AL31&lt;&gt;"",AK31=""),AND(BH31&gt;=BL$24,BI31&gt;=BL$28,BH31&lt;&gt;"",BG31=""),AND(CD31&gt;=CH$24,CE31&gt;=CH$28,CD31&lt;&gt;"",CC31=""),AND(DH31&gt;=DL$24,DI31&gt;=DL$28,DH31&lt;&gt;""),AND(EJ31&gt;=EN$24,EK31&gt;=EN$28,EJ31&lt;&gt;""),AND(FL31&gt;=FP$24,FM31&gt;=FP$28,FL31&lt;&gt;""),AND(GN31&gt;=GR$24,GO31&gt;=GR$28,GN31&lt;&gt;""),AND(HP31&gt;=HT$24,HQ31&gt;=HT$28,HP31&lt;&gt;""),AND(IR31&gt;=IV$24,IS31&gt;=IV$28,IR31&lt;&gt;""),AND(JT31&gt;=JX$24,JU31&gt;=JX$28,JT31&lt;&gt;""),AND(KV31&gt;=KZ$24,KW31&gt;=KZ$28,KV31&lt;&gt;""),AND(LX31&gt;=MB$24,LY31&gt;=MB$28,LX31&lt;&gt;""),AND(MZ31&gt;=ND$24,NA31&gt;=ND$28,MZ31&lt;&gt;""),AND(OB31&gt;=OF$24,OC31&gt;=OF$28,OB31&lt;&gt;""),AND(PD31&gt;=PH$24,PE31&gt;=PH$28,PD31&lt;&gt;"")),"P","")</f>
        <v/>
      </c>
      <c r="L31" s="8">
        <f>IF(COUNT(AM31,BI31,CE31)&gt;0,LARGE((AM31,BI31,CE31),1),0)</f>
        <v>45.1</v>
      </c>
      <c r="M31" s="8" t="str">
        <f>IF(L31=0,"",IF(L31=CE31,$BM$1,IF(L31=BI31,$AQ$1,IF(L31=AM31,$U$1,""))))</f>
        <v>2025 3rd Domestic Trial</v>
      </c>
      <c r="N31" s="8">
        <f>IF(COUNT(AM31,BI31,CE31)&gt;1,LARGE((AM31,BI31,CE31),2),0)</f>
        <v>43.4</v>
      </c>
      <c r="O31" s="8" t="str">
        <f>IF(N31=0,"",IF(AND(N31=L31,N31=AM31,N31=BI31),$U$1,IF(AND(N31=L31,N31=AM31,N31=CE31),$U$1,IF(AND(N31=L31,N31=BI31,N31=CE31),$AQ$1,IF(N31=CE31,$BM$1,IF(N31=BI31,$AQ$1,IF(N31=AM31,$U$1,"")))))))</f>
        <v>2025 Elite Canada</v>
      </c>
      <c r="P31" s="8">
        <f>IF(MAX(AO31,BK31,CG31)&gt;0,MAX(AO31,BK31,CG31),0)</f>
        <v>0</v>
      </c>
      <c r="Q31" s="8" t="str">
        <f>IF(P31=0,"",IF(P31=CG31,$BM$1,IF(P31=BK31,$AQ$1,IF(P31=AO31,$U$1,""))))</f>
        <v/>
      </c>
      <c r="R31" s="8" t="str">
        <f>IF(MAX(CI31:CJ31)&gt;0,MAX(CI31:CJ31),"")</f>
        <v/>
      </c>
      <c r="S31" s="11" t="str">
        <f>IF(R31="","",IF(R31=CI31,"("&amp;CI$2&amp;")",IF(R31=CJ31,"("&amp;CJ$2&amp;")")))</f>
        <v/>
      </c>
      <c r="T31" s="8" t="str">
        <f>IF(R31="","",IF(R31=CI31,IF(R31+IF(N31="",0,N31)=PB31,$OG$1,IF(R31+IF(N31="",0,N31)=NZ31,$NE$1,IF(R31+IF(N31="",0,N31)=MX31,$MC$1,IF(R31+IF(N31="",0,N31)=LV31,$LA$1,IF(R31+IF(N31="",0,N31)=KT31,$JY$1,IF(R31+IF(N31="",0,N31)=JR31,$IW$1,IF(R31+IF(N31="",0,N31)=IP31,$HU$1,IF(R31+IF(N31="",0,N31)=HN31,$GS$1,IF(R31+IF(N31="",0,N31)=GL31,$FQ$1,IF(R31+IF(N31="",0,N31)=FJ31,$EO$1,IF(R31+IF(N31="",0,N31)=EH31,$DM$1,IF(R31+IF(N31="",0,N31)=DF31,$CK$1)))))))))))),IF(R31=CJ31,IF(R31+IF(P31="",0,P31)=PG31,$OG$1,IF(R31+IF(P31="",0,P31)=OE31,$NE$1,IF(R31+IF(P31="",0,P31)=NC31,$MC$1,IF(R31+IF(P31="",0,P31)=MA31,$LA$1,IF(R31+IF(P31="",0,P31)=KY31,$JY$1,IF(R31+IF(P31="",0,P31)=JW31,$IW$1,IF(R31+IF(P31="",0,P31)=IU31,$HU$1,IF(R31+IF(P31="",0,P31)=HS31,$GS$1,IF(R31+IF(P31="",0,P31)=GQ31,$FQ$1,IF(R31+IF(P31="",0,P31)=FO31,$EO$1,IF(R31+IF(P31="",0,P31)=EM31,$DM$1,IF(R31+IF(P31="",0,P31)=DK31,$CK$1)))))))))))))))</f>
        <v/>
      </c>
      <c r="U31" s="19">
        <v>15.4</v>
      </c>
      <c r="V31" s="19">
        <v>2.8</v>
      </c>
      <c r="W31" s="19">
        <v>0</v>
      </c>
      <c r="X31" s="19">
        <v>0</v>
      </c>
      <c r="Y31" s="19">
        <v>18.2</v>
      </c>
      <c r="Z31" s="19">
        <v>7.2</v>
      </c>
      <c r="AA31" s="19">
        <v>0.2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27"/>
      <c r="AL31" s="40">
        <f>IF(SUM(V31,Z31)&gt;0,SUM(V31,Z31),"")</f>
        <v>10</v>
      </c>
      <c r="AM31" s="40">
        <f>IF(SUM(U31:V31,X31:Z31,AB31)-W31-AA31&gt;0,SUM(U31:V31,X31:Z31,AB31)-W31-AA31,"")</f>
        <v>43.4</v>
      </c>
      <c r="AN31" s="40" t="str">
        <f>IF(SUM(AD31,AH31)&gt;0,SUM(AD31,AH31),"")</f>
        <v/>
      </c>
      <c r="AO31" s="40" t="str">
        <f>IF(SUM(AC31:AD31,AF31:AH31,AJ31)-SUM(AE31,AI31)&gt;0,SUM(AC31:AD31,AF31:AH31,AJ31)-SUM(AE31,AI31),"")</f>
        <v/>
      </c>
      <c r="AP31" s="40">
        <f>IF(SUM(AM31,AO31)&gt;0,SUM(AM31,AO31),"")</f>
        <v>43.4</v>
      </c>
      <c r="AQ31" s="18">
        <v>16.7</v>
      </c>
      <c r="AR31" s="18">
        <v>8</v>
      </c>
      <c r="AS31" s="18">
        <v>0.2</v>
      </c>
      <c r="AT31" s="18">
        <v>0.3</v>
      </c>
      <c r="AU31" s="18">
        <v>15.2</v>
      </c>
      <c r="AV31" s="18">
        <v>3.2</v>
      </c>
      <c r="AW31" s="18">
        <v>0</v>
      </c>
      <c r="AX31" s="18">
        <v>0</v>
      </c>
      <c r="AY31" s="18"/>
      <c r="AZ31" s="18"/>
      <c r="BA31" s="18"/>
      <c r="BB31" s="18"/>
      <c r="BC31" s="18"/>
      <c r="BD31" s="18"/>
      <c r="BE31" s="18"/>
      <c r="BF31" s="18"/>
      <c r="BG31" s="28"/>
      <c r="BH31" s="11">
        <f>IF(SUM(AR31,AV31)&gt;0,SUM(AR31,AV31),"")</f>
        <v>11.2</v>
      </c>
      <c r="BI31" s="11">
        <f>IF(SUM(AQ31:AR31,AT31:AV31,AX31)-AS31-AW31&gt;0,SUM(AQ31:AR31,AT31:AV31,AX31)-AS31-AW31,"")</f>
        <v>43.2</v>
      </c>
      <c r="BJ31" s="11" t="str">
        <f>IF(SUM(AZ31,BD31)&gt;0,SUM(AZ31,BD31),"")</f>
        <v/>
      </c>
      <c r="BK31" s="11" t="str">
        <f>IF(SUM(AY31:AZ31,BB31:BD31,BF31)-SUM(BA31,BE31)&gt;0,SUM(AY31:AZ31,BB31:BD31,BF31)-SUM(BA31,BE31),"")</f>
        <v/>
      </c>
      <c r="BL31" s="11">
        <f>IF(SUM(BI31,BK31)&gt;0,SUM(BI31,BK31),"")</f>
        <v>43.2</v>
      </c>
      <c r="BM31" s="19">
        <v>18.8</v>
      </c>
      <c r="BN31" s="19">
        <v>8</v>
      </c>
      <c r="BO31" s="19">
        <v>0.2</v>
      </c>
      <c r="BP31" s="19">
        <v>0</v>
      </c>
      <c r="BQ31" s="19">
        <v>15.3</v>
      </c>
      <c r="BR31" s="19">
        <v>3.2</v>
      </c>
      <c r="BS31" s="19">
        <v>0</v>
      </c>
      <c r="BT31" s="19">
        <v>0</v>
      </c>
      <c r="BU31" s="19"/>
      <c r="BV31" s="19"/>
      <c r="BW31" s="19"/>
      <c r="BX31" s="19"/>
      <c r="BY31" s="19"/>
      <c r="BZ31" s="19"/>
      <c r="CA31" s="19"/>
      <c r="CB31" s="19"/>
      <c r="CC31" s="27"/>
      <c r="CD31" s="40">
        <f>IF(SUM(BN31,BR31)&gt;0,SUM(BN31,BR31),"")</f>
        <v>11.2</v>
      </c>
      <c r="CE31" s="40">
        <f>IF(SUM(BM31:BN31,BP31:BR31,BT31)-BO31-BS31&gt;0,SUM(BM31:BN31,BP31:BR31,BT31)-BO31-BS31,"")</f>
        <v>45.1</v>
      </c>
      <c r="CF31" s="40" t="str">
        <f>IF(SUM(BV31,BZ31)&gt;0,SUM(BV31,BZ31),"")</f>
        <v/>
      </c>
      <c r="CG31" s="40" t="str">
        <f>IF(SUM(BU31:BV31,BX31:BZ31,CB31)-SUM(BW31,CA31)&gt;0,SUM(BU31:BV31,BX31:BZ31,CB31)-SUM(BW31,CA31),"")</f>
        <v/>
      </c>
      <c r="CH31" s="40">
        <f>IF(SUM(CE31,CG31)&gt;0,SUM(CE31,CG31),"")</f>
        <v>45.1</v>
      </c>
      <c r="CI31" s="50" t="str">
        <f>IF(MAX(DF31,EH31,FJ31,GL31,HN31,IP31,JR31,KT31,LV31,MX31,NZ31,PB31)-IF(N31="",0,N31)&gt;0.001,MAX(DF31,EH31,FJ31,GL31,HN31,IP31,JR31,KT31,LV31,MX31,NZ31,PB31)-IF(N31="",0,N31),"")</f>
        <v/>
      </c>
      <c r="CJ31" s="50" t="str">
        <f>IF(MAX(DK31,EM31,FO31,GQ31,HS31,IU31,JW31,KY31,MA31,NC31,OE31,PG31)-IF(P31="",0,P31)&gt;0.001,MAX(DK31,EM31,FO31,GQ31,HS31,IU31,JW31,KY31,MA31,NC31,OE31,PG31)-IF(P31="",0,P31),"")</f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>IF(SUM(CL31,CP31)&gt;0,SUM(CL31,CP31),"")</f>
        <v/>
      </c>
      <c r="DF31" s="40" t="str">
        <f>IF(SUM(CK31:CL31,CN31:CP31,CR31)-CM31-CQ31&gt;0,SUM(CK31:CL31,CN31:CP31,CR31)-CM31-CQ31,"")</f>
        <v/>
      </c>
      <c r="DG31" s="40" t="str">
        <f>IF(SUM(CS31:CT31,CV31)-CU31&gt;0,SUM(CS31:CT31,CV31)-CU31,"")</f>
        <v/>
      </c>
      <c r="DH31" s="40" t="str">
        <f>IF(SUM(CL31,CP31,CT31)&gt;0,SUM(CL31,CP31,CT31),"")</f>
        <v/>
      </c>
      <c r="DI31" s="40" t="str">
        <f>IF(SUM(DF31,DG31)&gt;0,SUM(DF31,DG31),"")</f>
        <v/>
      </c>
      <c r="DJ31" s="40" t="str">
        <f>IF(SUM(CX31,DB31)&gt;0,SUM(CX31,DB31),"")</f>
        <v/>
      </c>
      <c r="DK31" s="40" t="str">
        <f>IF(SUM(CW31:CX31,CZ31:DB31,DD31)-SUM(CY31,DC31)&gt;0,SUM(CW31:CX31,CZ31:DB31,DD31)-SUM(CY31,DC31),"")</f>
        <v/>
      </c>
      <c r="DL31" s="40" t="str">
        <f>IF(SUM(DF31,DG31,DK31)&gt;0,SUM(DF31,DG31,DK31),"")</f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>IF(SUM(DN31,DR31)&gt;0,SUM(DN31,DR31),"")</f>
        <v/>
      </c>
      <c r="EH31" s="11" t="str">
        <f>IF(SUM(DM31:DN31,DP31:DR31,DT31)-DO31-DS31&gt;0,SUM(DM31:DN31,DP31:DR31,DT31)-DO31-DS31,"")</f>
        <v/>
      </c>
      <c r="EI31" s="11" t="str">
        <f>IF(SUM(DU31:DV31,DX31)-DW31&gt;0,SUM(DU31:DV31,DX31)-DW31,"")</f>
        <v/>
      </c>
      <c r="EJ31" s="11" t="str">
        <f>IF(SUM(DN31,DR31,DV31)&gt;0,SUM(DN31,DR31,DV31),"")</f>
        <v/>
      </c>
      <c r="EK31" s="11" t="str">
        <f>IF(SUM(EH31,EI31)&gt;0,SUM(EH31,EI31),"")</f>
        <v/>
      </c>
      <c r="EL31" s="11" t="str">
        <f>IF(SUM(DZ31,ED31)&gt;0,SUM(DZ31,ED31),"")</f>
        <v/>
      </c>
      <c r="EM31" s="11" t="str">
        <f>IF(SUM(DY31:DZ31,EB31:ED31,EF31)-SUM(EA31,EE31)&gt;0,SUM(DY31:DZ31,EB31:ED31,EF31)-SUM(EA31,EE31),"")</f>
        <v/>
      </c>
      <c r="EN31" s="11" t="str">
        <f>IF(SUM(EH31,EI31,EM31)&gt;0,SUM(EH31,EI31,EM31),"")</f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>IF(SUM(EP31,ET31)&gt;0,SUM(EP31,ET31),"")</f>
        <v/>
      </c>
      <c r="FJ31" s="40" t="str">
        <f>IF(SUM(EO31:EP31,ER31:ET31,EV31)-EQ31-EU31&gt;0,SUM(EO31:EP31,ER31:ET31,EV31)-EQ31-EU31,"")</f>
        <v/>
      </c>
      <c r="FK31" s="40" t="str">
        <f>IF(SUM(EW31:EX31,EZ31)-EY31&gt;0,SUM(EW31:EX31,EZ31)-EY31,"")</f>
        <v/>
      </c>
      <c r="FL31" s="40" t="str">
        <f>IF(SUM(EP31,ET31,EX31)&gt;0,SUM(EP31,ET31,EX31),"")</f>
        <v/>
      </c>
      <c r="FM31" s="40" t="str">
        <f>IF(SUM(FJ31,FK31)&gt;0,SUM(FJ31,FK31),"")</f>
        <v/>
      </c>
      <c r="FN31" s="40" t="str">
        <f>IF(SUM(FB31,FF31)&gt;0,SUM(FB31,FF31),"")</f>
        <v/>
      </c>
      <c r="FO31" s="40" t="str">
        <f>IF(SUM(FA31:FB31,FD31:FF31,FH31)-SUM(FC31,FG31)&gt;0,SUM(FA31:FB31,FD31:FF31,FH31)-SUM(FC31,FG31),"")</f>
        <v/>
      </c>
      <c r="FP31" s="40" t="str">
        <f>IF(SUM(FJ31,FK31,FO31)&gt;0,SUM(FJ31,FK31,FO31),"")</f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>IF(SUM(FR31,FV31)&gt;0,SUM(FR31,FV31),"")</f>
        <v/>
      </c>
      <c r="GL31" s="11" t="str">
        <f>IF(SUM(FQ31:FR31,FT31:FV31,FX31)-FS31-FW31&gt;0,SUM(FQ31:FR31,FT31:FV31,FX31)-FS31-FW31,"")</f>
        <v/>
      </c>
      <c r="GM31" s="11" t="str">
        <f>IF(SUM(FY31:FZ31,GB31)-GA31&gt;0,SUM(FY31:FZ31,GB31)-GA31,"")</f>
        <v/>
      </c>
      <c r="GN31" s="11" t="str">
        <f>IF(SUM(FR31,FV31,FZ31)&gt;0,SUM(FR31,FV31,FZ31),"")</f>
        <v/>
      </c>
      <c r="GO31" s="11" t="str">
        <f>IF(SUM(GL31,GM31)&gt;0,SUM(GL31,GM31),"")</f>
        <v/>
      </c>
      <c r="GP31" s="11" t="str">
        <f>IF(SUM(GD31,GH31)&gt;0,SUM(GD31,GH31),"")</f>
        <v/>
      </c>
      <c r="GQ31" s="11" t="str">
        <f>IF(SUM(GC31:GD31,GF31:GH31,GJ31)-SUM(GE31,GI31)&gt;0,SUM(GC31:GD31,GF31:GH31,GJ31)-SUM(GE31,GI31),"")</f>
        <v/>
      </c>
      <c r="GR31" s="11" t="str">
        <f>IF(SUM(GL31,GM31,GQ31)&gt;0,SUM(GL31,GM31,GQ31),"")</f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>IF(SUM(GT31,GX31)&gt;0,SUM(GT31,GX31),"")</f>
        <v/>
      </c>
      <c r="HN31" s="40" t="str">
        <f>IF(SUM(GS31:GT31,GV31:GX31,GZ31)-GU31-GY31&gt;0,SUM(GS31:GT31,GV31:GX31,GZ31)-GU31-GY31,"")</f>
        <v/>
      </c>
      <c r="HO31" s="40" t="str">
        <f>IF(SUM(HA31:HB31,HD31)-HC31&gt;0,SUM(HA31:HB31,HD31)-HC31,"")</f>
        <v/>
      </c>
      <c r="HP31" s="40" t="str">
        <f>IF(SUM(GT31,GX31,HB31)&gt;0,SUM(GT31,GX31,HB31),"")</f>
        <v/>
      </c>
      <c r="HQ31" s="40" t="str">
        <f>IF(SUM(HN31,HO31)&gt;0,SUM(HN31,HO31),"")</f>
        <v/>
      </c>
      <c r="HR31" s="40" t="str">
        <f>IF(SUM(HF31,HJ31)&gt;0,SUM(HF31,HJ31),"")</f>
        <v/>
      </c>
      <c r="HS31" s="40" t="str">
        <f>IF(SUM(HE31:HF31,HH31:HJ31,HL31)-SUM(HG31,HK31)&gt;0,SUM(HE31:HF31,HH31:HJ31,HL31)-SUM(HG31,HK31),"")</f>
        <v/>
      </c>
      <c r="HT31" s="40" t="str">
        <f>IF(SUM(HN31,HO31,HS31)&gt;0,SUM(HN31,HO31,HS31),"")</f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>IF(SUM(HV31,HZ31)&gt;0,SUM(HV31,HZ31),"")</f>
        <v/>
      </c>
      <c r="IP31" s="11" t="str">
        <f>IF(SUM(HU31:HV31,HX31:HZ31,IB31)-HW31-IA31&gt;0,SUM(HU31:HV31,HX31:HZ31,IB31)-HW31-IA31,"")</f>
        <v/>
      </c>
      <c r="IQ31" s="11" t="str">
        <f>IF(SUM(IC31:ID31,IF31)-IE31&gt;0,SUM(IC31:ID31,IF31)-IE31,"")</f>
        <v/>
      </c>
      <c r="IR31" s="11" t="str">
        <f>IF(SUM(HV31,HZ31,ID31)&gt;0,SUM(HV31,HZ31,ID31),"")</f>
        <v/>
      </c>
      <c r="IS31" s="11" t="str">
        <f>IF(SUM(IP31,IQ31)&gt;0,SUM(IP31,IQ31),"")</f>
        <v/>
      </c>
      <c r="IT31" s="11" t="str">
        <f>IF(SUM(IH31,IL31)&gt;0,SUM(IH31,IL31),"")</f>
        <v/>
      </c>
      <c r="IU31" s="11" t="str">
        <f>IF(SUM(IG31:IH31,IJ31:IL31,IN31)-SUM(II31,IM31)&gt;0,SUM(IG31:IH31,IJ31:IL31,IN31)-SUM(II31,IM31),"")</f>
        <v/>
      </c>
      <c r="IV31" s="11" t="str">
        <f>IF(SUM(IP31,IQ31,IU31)&gt;0,SUM(IP31,IQ31,IU31),"")</f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>IF(SUM(IX31,JB31)&gt;0,SUM(IX31,JB31),"")</f>
        <v/>
      </c>
      <c r="JR31" s="40" t="str">
        <f>IF(SUM(IW31:IX31,IZ31:JB31,JD31)-IY31-JC31&gt;0,SUM(IW31:IX31,IZ31:JB31,JD31)-IY31-JC31,"")</f>
        <v/>
      </c>
      <c r="JS31" s="40" t="str">
        <f>IF(SUM(JE31:JF31,JH31)-JG31&gt;0,SUM(JE31:JF31,JH31)-JG31,"")</f>
        <v/>
      </c>
      <c r="JT31" s="40" t="str">
        <f>IF(SUM(IX31,JB31,JF31)&gt;0,SUM(IX31,JB31,JF31),"")</f>
        <v/>
      </c>
      <c r="JU31" s="40" t="str">
        <f>IF(SUM(JR31,JS31)&gt;0,SUM(JR31,JS31),"")</f>
        <v/>
      </c>
      <c r="JV31" s="40" t="str">
        <f>IF(SUM(JJ31,JN31)&gt;0,SUM(JJ31,JN31),"")</f>
        <v/>
      </c>
      <c r="JW31" s="40" t="str">
        <f>IF(SUM(JI31:JJ31,JL31:JN31,JP31)-SUM(JK31,JO31)&gt;0,SUM(JI31:JJ31,JL31:JN31,JP31)-SUM(JK31,JO31),"")</f>
        <v/>
      </c>
      <c r="JX31" s="40" t="str">
        <f>IF(SUM(JR31,JS31,JW31)&gt;0,SUM(JR31,JS31,JW31),"")</f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>IF(SUM(JZ31,KD31)&gt;0,SUM(JZ31,KD31),"")</f>
        <v/>
      </c>
      <c r="KT31" s="11" t="str">
        <f>IF(SUM(JY31:JZ31,KB31:KD31,KF31)-KA31-KE31&gt;0,SUM(JY31:JZ31,KB31:KD31,KF31)-KA31-KE31,"")</f>
        <v/>
      </c>
      <c r="KU31" s="11" t="str">
        <f>IF(SUM(KG31:KH31,KJ31)-KI31&gt;0,SUM(KG31:KH31,KJ31)-KI31,"")</f>
        <v/>
      </c>
      <c r="KV31" s="11" t="str">
        <f>IF(SUM(JZ31,KD31,KH31)&gt;0,SUM(JZ31,KD31,KH31),"")</f>
        <v/>
      </c>
      <c r="KW31" s="11" t="str">
        <f>IF(SUM(KT31,KU31)&gt;0,SUM(KT31,KU31),"")</f>
        <v/>
      </c>
      <c r="KX31" s="11" t="str">
        <f>IF(SUM(KL31,KP31)&gt;0,SUM(KL31,KP31),"")</f>
        <v/>
      </c>
      <c r="KY31" s="11" t="str">
        <f>IF(SUM(KK31:KL31,KN31:KP31,KR31)-SUM(KM31,KQ31)&gt;0,SUM(KK31:KL31,KN31:KP31,KR31)-SUM(KM31,KQ31),"")</f>
        <v/>
      </c>
      <c r="KZ31" s="11" t="str">
        <f>IF(SUM(KT31,KU31,KY31)&gt;0,SUM(KT31,KU31,KY31),"")</f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>IF(SUM(LB31,LF31)&gt;0,SUM(LB31,LF31),"")</f>
        <v/>
      </c>
      <c r="LV31" s="40" t="str">
        <f>IF(SUM(LA31:LB31,LD31:LF31,LH31)-LC31-LG31&gt;0,SUM(LA31:LB31,LD31:LF31,LH31)-LC31-LG31,"")</f>
        <v/>
      </c>
      <c r="LW31" s="40" t="str">
        <f>IF(SUM(LI31:LJ31,LL31)-LK31&gt;0,SUM(LI31:LJ31,LL31)-LK31,"")</f>
        <v/>
      </c>
      <c r="LX31" s="40" t="str">
        <f>IF(SUM(LB31,LF31,LJ31)&gt;0,SUM(LB31,LF31,LJ31),"")</f>
        <v/>
      </c>
      <c r="LY31" s="40" t="str">
        <f>IF(SUM(LV31,LW31)&gt;0,SUM(LV31,LW31),"")</f>
        <v/>
      </c>
      <c r="LZ31" s="40" t="str">
        <f>IF(SUM(LN31,LR31)&gt;0,SUM(LN31,LR31),"")</f>
        <v/>
      </c>
      <c r="MA31" s="40" t="str">
        <f>IF(SUM(LM31:LN31,LP31:LR31,LT31)-SUM(LO31,LS31)&gt;0,SUM(LM31:LN31,LP31:LR31,LT31)-SUM(LO31,LS31),"")</f>
        <v/>
      </c>
      <c r="MB31" s="40" t="str">
        <f>IF(SUM(LV31,LW31,MA31)&gt;0,SUM(LV31,LW31,MA31),"")</f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>IF(SUM(MD31,MH31)&gt;0,SUM(MD31,MH31),"")</f>
        <v/>
      </c>
      <c r="MX31" s="11" t="str">
        <f>IF(SUM(MC31:MD31,MF31:MH31,MJ31)-ME31-MI31&gt;0,SUM(MC31:MD31,MF31:MH31,MJ31)-ME31-MI31,"")</f>
        <v/>
      </c>
      <c r="MY31" s="11" t="str">
        <f>IF(SUM(MK31:ML31,MN31)-MM31&gt;0,SUM(MK31:ML31,MN31)-MM31,"")</f>
        <v/>
      </c>
      <c r="MZ31" s="11" t="str">
        <f>IF(SUM(MD31,MH31,ML31)&gt;0,SUM(MD31,MH31,ML31),"")</f>
        <v/>
      </c>
      <c r="NA31" s="11" t="str">
        <f>IF(SUM(MX31,MY31)&gt;0,SUM(MX31,MY31),"")</f>
        <v/>
      </c>
      <c r="NB31" s="11" t="str">
        <f>IF(SUM(MP31,MT31)&gt;0,SUM(MP31,MT31),"")</f>
        <v/>
      </c>
      <c r="NC31" s="11" t="str">
        <f>IF(SUM(MO31:MP31,MR31:MT31,MV31)-SUM(MQ31,MU31)&gt;0,SUM(MO31:MP31,MR31:MT31,MV31)-SUM(MQ31,MU31),"")</f>
        <v/>
      </c>
      <c r="ND31" s="11" t="str">
        <f>IF(SUM(MX31,MY31,NC31)&gt;0,SUM(MX31,MY31,NC31),"")</f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>IF(SUM(NF31,NJ31)&gt;0,SUM(NF31,NJ31),"")</f>
        <v/>
      </c>
      <c r="NZ31" s="40" t="str">
        <f>IF(SUM(NE31:NF31,NH31:NJ31,NL31)-NG31-NK31&gt;0,SUM(NE31:NF31,NH31:NJ31,NL31)-NG31-NK31,"")</f>
        <v/>
      </c>
      <c r="OA31" s="40" t="str">
        <f>IF(SUM(NM31:NN31,NP31)-NO31&gt;0,SUM(NM31:NN31,NP31)-NO31,"")</f>
        <v/>
      </c>
      <c r="OB31" s="40" t="str">
        <f>IF(SUM(NF31,NJ31,NN31)&gt;0,SUM(NF31,NJ31,NN31),"")</f>
        <v/>
      </c>
      <c r="OC31" s="40" t="str">
        <f>IF(SUM(NZ31,OA31)&gt;0,SUM(NZ31,OA31),"")</f>
        <v/>
      </c>
      <c r="OD31" s="40" t="str">
        <f>IF(SUM(NR31,NV31)&gt;0,SUM(NR31,NV31),"")</f>
        <v/>
      </c>
      <c r="OE31" s="40" t="str">
        <f>IF(SUM(NQ31:NR31,NT31:NV31,NX31)-SUM(NS31,NW31)&gt;0,SUM(NQ31:NR31,NT31:NV31,NX31)-SUM(NS31,NW31),"")</f>
        <v/>
      </c>
      <c r="OF31" s="40" t="str">
        <f>IF(SUM(NZ31,OA31,OE31)&gt;0,SUM(NZ31,OA31,OE31),"")</f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>IF(SUM(OH31,OL31)&gt;0,SUM(OH31,OL31),"")</f>
        <v/>
      </c>
      <c r="PB31" s="11" t="str">
        <f>IF(SUM(OG31:OH31,OJ31:OL31,ON31)-OI31-OM31&gt;0,SUM(OG31:OH31,OJ31:OL31,ON31)-OI31-OM31,"")</f>
        <v/>
      </c>
      <c r="PC31" s="11" t="str">
        <f>IF(SUM(OO31:OP31,OR31)-OQ31&gt;0,SUM(OO31:OP31,OR31)-OQ31,"")</f>
        <v/>
      </c>
      <c r="PD31" s="11" t="str">
        <f>IF(SUM(OH31,OL31,OP31)&gt;0,SUM(OH31,OL31,OP31),"")</f>
        <v/>
      </c>
      <c r="PE31" s="11" t="str">
        <f>IF(SUM(PB31,PC31)&gt;0,SUM(PB31,PC31),"")</f>
        <v/>
      </c>
      <c r="PF31" s="11" t="str">
        <f>IF(SUM(OT31,OX31)&gt;0,SUM(OT31,OX31),"")</f>
        <v/>
      </c>
      <c r="PG31" s="11" t="str">
        <f>IF(SUM(OS31:OT31,OV31:OX31,OZ31)-SUM(OU31,OY31)&gt;0,SUM(OS31:OT31,OV31:OX31,OZ31)-SUM(OU31,OY31),"")</f>
        <v/>
      </c>
      <c r="PH31" s="11" t="str">
        <f>IF(SUM(PB31,PC31,PG31)&gt;0,SUM(PB31,PC31,PG31),"")</f>
        <v/>
      </c>
      <c r="PI31" s="22">
        <f>IF($CC31="P",BM31,(BM31+AQ31)/2)</f>
        <v>17.75</v>
      </c>
      <c r="PJ31" s="22">
        <f>IF($CC31="P",BN31,(BN31+AR31)/2)</f>
        <v>8</v>
      </c>
      <c r="PK31" s="22">
        <f>IF($CC31="P",BO31,(BO31+AS31)/2)</f>
        <v>0.2</v>
      </c>
      <c r="PL31" s="22">
        <f>IF($CC31="P",BP31,(BP31+AT31)/2)</f>
        <v>0.15</v>
      </c>
      <c r="PM31" s="22">
        <f>IF($CC31="P",BQ31,(BQ31+AU31)/2)</f>
        <v>15.25</v>
      </c>
      <c r="PN31" s="22">
        <f>IF($CC31="P",BR31,(BR31+AV31)/2)</f>
        <v>3.2</v>
      </c>
      <c r="PO31" s="22">
        <f>IF($CC31="P",BS31,(BS31+AW31)/2)</f>
        <v>0</v>
      </c>
      <c r="PP31" s="22">
        <f>IF($CC31="P",BT31,(BT31+AX31)/2)</f>
        <v>0</v>
      </c>
      <c r="PQ31" s="22">
        <f>IF($CC31="P",BU31,(BU31+AY31)/2)</f>
        <v>0</v>
      </c>
      <c r="PR31" s="22">
        <f>IF($CC31="P",BV31,(BV31+AZ31)/2)</f>
        <v>0</v>
      </c>
      <c r="PS31" s="22">
        <f>IF($CC31="P",BW31,(BW31+BA31)/2)</f>
        <v>0</v>
      </c>
      <c r="PT31" s="22">
        <f>IF($CC31="P",BX31,(BX31+BB31)/2)</f>
        <v>0</v>
      </c>
      <c r="PU31" s="22">
        <f>IF($CC31="P",BY31,(BY31+BC31)/2)</f>
        <v>0</v>
      </c>
      <c r="PV31" s="22">
        <f>IF($CC31="P",BZ31,(BZ31+BD31)/2)</f>
        <v>0</v>
      </c>
      <c r="PW31" s="22">
        <f>IF($CC31="P",CA31,(CA31+BE31)/2)</f>
        <v>0</v>
      </c>
      <c r="PX31" s="22">
        <f>IF($CC31="P",CB31,(CB31+BF31)/2)</f>
        <v>0</v>
      </c>
      <c r="PY31" s="27" t="s">
        <v>46</v>
      </c>
      <c r="PZ31" s="40">
        <f>IF(SUM(PJ31,PN31)&gt;0,SUM(PJ31,PN31),"")</f>
        <v>11.2</v>
      </c>
      <c r="QA31" s="40">
        <f>IF(SUM(PI31:PJ31,PL31:PN31,PP31)-PK31-PO31&gt;0,SUM(PI31:PJ31,PL31:PN31,PP31)-PK31-PO31,"")</f>
        <v>44.15</v>
      </c>
      <c r="QB31" s="40" t="str">
        <f>IF(SUM(PR31,PV31)&gt;0,SUM(PR31,PV31),"")</f>
        <v/>
      </c>
      <c r="QC31" s="40" t="str">
        <f>IF(SUM(PQ31:PR31,PT31:PV31,PX31)-SUM(PS31,PW31)&gt;0,SUM(PQ31:PR31,PT31:PV31,PX31)-SUM(PS31,PW31),"")</f>
        <v/>
      </c>
      <c r="QD31" s="40">
        <f>IF(SUM(QA31,QC31)&gt;0,SUM(QA31,QC31),"")</f>
        <v>44.15</v>
      </c>
    </row>
    <row r="32" spans="1:446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187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L32&gt;=AP$38,AM32&gt;=AP$42,AL32&lt;&gt;"",AK32=""),AND(AN32&gt;=AP$38,AO32&gt;=AP$42,AN32&lt;&gt;"",AK32=""),AND(BH32&gt;=BL$38,BI32&gt;=BL$42,BH32&lt;&gt;"",BG32=""),AND(BJ32&gt;=BL$38,BK32&gt;=BL$42,BJ32&lt;&gt;"",BG32=""),AND(CD32&gt;=CH$38,CE32&gt;=CH$42,CD32&lt;&gt;"",CC32=""),AND(CF32&gt;=CH$38,CG32&gt;=CH$42,CF32&lt;&gt;""),AND(DE32&gt;=DL$38,DF32&gt;=DL$42,DE32&lt;&gt;""),AND(DJ32&gt;=DL$38,DK32&gt;=DL$42,DJ32&lt;&gt;""),AND(EG32&gt;=EN$38,EH32&gt;=EN$42,EG32&lt;&gt;""),AND(EL32&gt;=EN$38,EM32&gt;=EN$42,EL32&lt;&gt;""),AND(FI32&gt;=FP$38,FJ32&gt;=FP$42,FI32&lt;&gt;""),AND(FN32&gt;=FP$38,FO32&gt;=FP$42,FN32&lt;&gt;""),AND(GK32&gt;=GR$38,GL32&gt;=GR$42,GK32&lt;&gt;""),AND(GP32&gt;=GR$38,GQ32&gt;=GR$42,GP32&lt;&gt;""),AND(HM32&gt;=HT$38,HN32&gt;=HT$42,HM32&lt;&gt;""),AND(HR32&gt;=HT$38,HS32&gt;=HT$42,HR32&lt;&gt;""),AND(IO32&gt;=IV$38,IP32&gt;=IV$42,IO32&lt;&gt;""),AND(IT32&gt;=IV$38,IU32&gt;=IV$42,IT32&lt;&gt;""),AND(JQ32&gt;=JX$38,JR32&gt;=JX$42,JQ32&lt;&gt;""),AND(JV32&gt;=JX$38,JW32&gt;=JX$42,JV32&lt;&gt;""),AND(KS32&gt;=KZ$38,KT32&gt;=KZ$42,KS32&lt;&gt;""),AND(KX32&gt;=KZ$38,KY32&gt;=KZ$42,KX32&lt;&gt;""),AND(LU32&gt;=MB$38,LV32&gt;=MB$42,LU32&lt;&gt;""),AND(LZ32&gt;=MB$38,MA32&gt;=MB$42,LZ32&lt;&gt;""),AND(MW32&gt;=ND$38,MX32&gt;=ND$42,MW32&lt;&gt;""),AND(NB32&gt;=ND$38,NC32&gt;=ND$42,NB32&lt;&gt;""),AND(NY32&gt;=OF$38,NZ32&gt;=OF$42,NY32&lt;&gt;""),AND(OD32&gt;=OF$38,OE32&gt;=OF$42,OD32&lt;&gt;""),AND(PA32&gt;=PH$38,PB32&gt;=PH$42,PA32&lt;&gt;""),AND(PF32&gt;=PH$38,PG32&gt;=PH$42,PF32&lt;&gt;"")),"P","")</f>
        <v/>
      </c>
      <c r="I32" s="3" t="str">
        <f>IF(OR(AND(AM32&gt;=AP$42,AM32&lt;&gt;"",AK32=""),AND(AO32&gt;=AP$42,AO32&lt;&gt;"",AK32=""),AND(BI32&gt;=BL$42,BI32&lt;&gt;"",BG32=""),AND(BK32&gt;=BL$42,BK32&lt;&gt;"",BG32=""),AND(CE32&gt;=CH$42,CE32&lt;&gt;"",CC32=""),AND(CG32&gt;=CH$42,CG32&lt;&gt;"",CC32=""),AND(DF32&gt;=DL$42,DF32&lt;&gt;""),AND(DK32&gt;=DL$42,DK32&lt;&gt;""),AND(EH32&gt;=EN$42,EH32&lt;&gt;""),AND(EM32&gt;=EN$42,EM32&lt;&gt;""),AND(FJ32&gt;=FP$42,FJ32&lt;&gt;""),AND(FO32&gt;=FP$42,FO32&lt;&gt;""),AND(GL32&gt;=GR$42,GL32&lt;&gt;""),AND(GQ32&gt;=GR$42,GQ32&lt;&gt;""),AND(HN32&gt;=HT$42,HN32&lt;&gt;""),AND(HS32&gt;=HT$42,HS32&lt;&gt;""),AND(IP32&gt;=IV$42,IP32&lt;&gt;""),AND(IU32&gt;=IV$42,IU32&lt;&gt;""),AND(JR32&gt;=JX$42,JR32&lt;&gt;""),AND(JW32&gt;=JX$42,JW32&lt;&gt;""),AND(KT32&gt;=KZ$42,KT32&lt;&gt;""),AND(KY32&gt;=KZ$42,KY32&lt;&gt;""),AND(LV32&gt;=MB$42,LV32&lt;&gt;""),AND(MA32&gt;=MB$42,MA32&lt;&gt;""),AND(MX32&gt;=ND$42,MX32&lt;&gt;""),AND(NC32&gt;=ND$42,NC32&lt;&gt;""),AND(NZ32&gt;=OF$42,NZ32&lt;&gt;""),AND(OE32&gt;=OF$42,OE32&lt;&gt;""),AND(PB32&gt;=PH$42,PB32&lt;&gt;""),AND(PG32&gt;=PH$42,PG32&lt;&gt;"")),"P","")</f>
        <v/>
      </c>
      <c r="J32" s="36" t="str">
        <f>IF(AND(I32="P",H32=""),"No DD",IF(OR(AND(AL32&gt;=AP$26,AM32&gt;=AP$30,AL32&lt;&gt;"",AK32=""),AND(BH32&gt;=BL$26,BI32&gt;=BL$30,BH32&lt;&gt;"",BG32=""),AND(CD32&gt;=CH$26,CE32&gt;=CH$30,CD32&lt;&gt;"",CC32=""),AND(DH32&gt;=DL$26,DI32&gt;=DL$30,DH32&lt;&gt;""),AND(EJ32&gt;=EN$26,EK32&gt;=EN$30,EJ32&lt;&gt;""),AND(FL32&gt;=FP$26,FM32&gt;=FP$30,FL32&lt;&gt;""),AND(GN32&gt;=GR$26,GO32&gt;=GR$30,GN32&lt;&gt;""),AND(HP32&gt;=HT$26,HQ32&gt;=HT$30,HP32&lt;&gt;""),AND(IR32&gt;=IV$26,IS32&gt;=IV$30,IR32&lt;&gt;""),AND(JT32&gt;=JX$26,JU32&gt;=JX$30,JT32&lt;&gt;""),AND(KV32&gt;=KZ$26,KW32&gt;=KZ$30,KV32&lt;&gt;""),AND(LX32&gt;=MB$26,LY32&gt;=MB$30,LX32&lt;&gt;""),AND(MZ32&gt;=ND$26,NA32&gt;=ND$30,MZ32&lt;&gt;""),AND(OB32&gt;=OF$26,OC32&gt;=OF$30,OB32&lt;&gt;""),AND(PD32&gt;=PH$26,PE32&gt;=PH$30,PD32&lt;&gt;"")),"Merit",IF(OR(AND(AL32&gt;=AP$25,AM32&gt;=AP$29,AL32&lt;&gt;"",AK32=""),AND(BH32&gt;=BL$25,BI32&gt;=BL$29,BH32&lt;&gt;"",BG32=""),AND(CD32&gt;=CH$25,CE32&gt;=CH$29,CD32&lt;&gt;"",CC32=""),AND(DH32&gt;=DL$25,DI32&gt;=DL$29,DH32&lt;&gt;""),AND(EJ32&gt;=EN$25,EK32&gt;=EN$29,EJ32&lt;&gt;""),AND(FL32&gt;=FP$25,FM32&gt;=FP$29,FL32&lt;&gt;""),AND(GN32&gt;=GR$25,GO32&gt;=GR$29,GN32&lt;&gt;""),AND(HP32&gt;=HT$25,HQ32&gt;=HT$29,HP32&lt;&gt;""),AND(IR32&gt;=IV$25,IS32&gt;=IV$29,IR32&lt;&gt;""),AND(JT32&gt;=JX$25,JU32&gt;=JX$29,JT32&lt;&gt;""),AND(KV32&gt;=KZ$25,KW32&gt;=KZ$29,KV32&lt;&gt;""),AND(LX32&gt;=MB$25,LY32&gt;=MB$29,LX32&lt;&gt;""),AND(MZ32&gt;=ND$25,NA32&gt;=ND$29,MZ32&lt;&gt;""),AND(OB32&gt;=OF$25,OC32&gt;=OF$29,OB32&lt;&gt;""),AND(PD32&gt;=PH$25,PE32&gt;=PH$29,PD32&lt;&gt;"")),"Excellence",IF(K32="P","Worlds Team",IF(H32="P","National Team","")))))</f>
        <v/>
      </c>
      <c r="K32" s="3" t="str">
        <f>IF(OR(AND(AL32&gt;=AP$24,AM32&gt;=AP$28,AL32&lt;&gt;"",AK32=""),AND(BH32&gt;=BL$24,BI32&gt;=BL$28,BH32&lt;&gt;"",BG32=""),AND(CD32&gt;=CH$24,CE32&gt;=CH$28,CD32&lt;&gt;"",CC32=""),AND(DH32&gt;=DL$24,DI32&gt;=DL$28,DH32&lt;&gt;""),AND(EJ32&gt;=EN$24,EK32&gt;=EN$28,EJ32&lt;&gt;""),AND(FL32&gt;=FP$24,FM32&gt;=FP$28,FL32&lt;&gt;""),AND(GN32&gt;=GR$24,GO32&gt;=GR$28,GN32&lt;&gt;""),AND(HP32&gt;=HT$24,HQ32&gt;=HT$28,HP32&lt;&gt;""),AND(IR32&gt;=IV$24,IS32&gt;=IV$28,IR32&lt;&gt;""),AND(JT32&gt;=JX$24,JU32&gt;=JX$28,JT32&lt;&gt;""),AND(KV32&gt;=KZ$24,KW32&gt;=KZ$28,KV32&lt;&gt;""),AND(LX32&gt;=MB$24,LY32&gt;=MB$28,LX32&lt;&gt;""),AND(MZ32&gt;=ND$24,NA32&gt;=ND$28,MZ32&lt;&gt;""),AND(OB32&gt;=OF$24,OC32&gt;=OF$28,OB32&lt;&gt;""),AND(PD32&gt;=PH$24,PE32&gt;=PH$28,PD32&lt;&gt;"")),"P","")</f>
        <v/>
      </c>
      <c r="L32" s="8">
        <f>IF(COUNT(AM32,BI32,CE32)&gt;0,LARGE((AM32,BI32,CE32),1),0)</f>
        <v>45.300000000000011</v>
      </c>
      <c r="M32" s="8" t="str">
        <f>IF(L32=0,"",IF(L32=CE32,$BM$1,IF(L32=BI32,$AQ$1,IF(L32=AM32,$U$1,""))))</f>
        <v>2025 Nationals</v>
      </c>
      <c r="N32" s="8">
        <f>IF(COUNT(AM32,BI32,CE32)&gt;1,LARGE((AM32,BI32,CE32),2),0)</f>
        <v>0</v>
      </c>
      <c r="O32" s="8" t="str">
        <f>IF(N32=0,"",IF(AND(N32=L32,N32=AM32,N32=BI32),$U$1,IF(AND(N32=L32,N32=AM32,N32=CE32),$U$1,IF(AND(N32=L32,N32=BI32,N32=CE32),$AQ$1,IF(N32=CE32,$BM$1,IF(N32=BI32,$AQ$1,IF(N32=AM32,$U$1,"")))))))</f>
        <v/>
      </c>
      <c r="P32" s="8">
        <f>IF(MAX(AO32,BK32,CG32)&gt;0,MAX(AO32,BK32,CG32),0)</f>
        <v>42.5</v>
      </c>
      <c r="Q32" s="8" t="str">
        <f>IF(P32=0,"",IF(P32=CG32,$BM$1,IF(P32=BK32,$AQ$1,IF(P32=AO32,$U$1,""))))</f>
        <v>2025 Nationals</v>
      </c>
      <c r="R32" s="8" t="str">
        <f>IF(MAX(CI32:CJ32)&gt;0,MAX(CI32:CJ32),"")</f>
        <v/>
      </c>
      <c r="S32" s="11" t="str">
        <f>IF(R32="","",IF(R32=CI32,"("&amp;CI$2&amp;")",IF(R32=CJ32,"("&amp;CJ$2&amp;")")))</f>
        <v/>
      </c>
      <c r="T32" s="8" t="str">
        <f>IF(R32="","",IF(R32=CI32,IF(R32+IF(N32="",0,N32)=PB32,$OG$1,IF(R32+IF(N32="",0,N32)=NZ32,$NE$1,IF(R32+IF(N32="",0,N32)=MX32,$MC$1,IF(R32+IF(N32="",0,N32)=LV32,$LA$1,IF(R32+IF(N32="",0,N32)=KT32,$JY$1,IF(R32+IF(N32="",0,N32)=JR32,$IW$1,IF(R32+IF(N32="",0,N32)=IP32,$HU$1,IF(R32+IF(N32="",0,N32)=HN32,$GS$1,IF(R32+IF(N32="",0,N32)=GL32,$FQ$1,IF(R32+IF(N32="",0,N32)=FJ32,$EO$1,IF(R32+IF(N32="",0,N32)=EH32,$DM$1,IF(R32+IF(N32="",0,N32)=DF32,$CK$1)))))))))))),IF(R32=CJ32,IF(R32+IF(P32="",0,P32)=PG32,$OG$1,IF(R32+IF(P32="",0,P32)=OE32,$NE$1,IF(R32+IF(P32="",0,P32)=NC32,$MC$1,IF(R32+IF(P32="",0,P32)=MA32,$LA$1,IF(R32+IF(P32="",0,P32)=KY32,$JY$1,IF(R32+IF(P32="",0,P32)=JW32,$IW$1,IF(R32+IF(P32="",0,P32)=IU32,$HU$1,IF(R32+IF(P32="",0,P32)=HS32,$GS$1,IF(R32+IF(P32="",0,P32)=GQ32,$FQ$1,IF(R32+IF(P32="",0,P32)=FO32,$EO$1,IF(R32+IF(P32="",0,P32)=EM32,$DM$1,IF(R32+IF(P32="",0,P32)=DK32,$CK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27"/>
      <c r="AL32" s="40" t="str">
        <f>IF(SUM(V32,Z32)&gt;0,SUM(V32,Z32),"")</f>
        <v/>
      </c>
      <c r="AM32" s="40" t="str">
        <f>IF(SUM(U32:V32,X32:Z32,AB32)-W32-AA32&gt;0,SUM(U32:V32,X32:Z32,AB32)-W32-AA32,"")</f>
        <v/>
      </c>
      <c r="AN32" s="40" t="str">
        <f>IF(SUM(AD32,AH32)&gt;0,SUM(AD32,AH32),"")</f>
        <v/>
      </c>
      <c r="AO32" s="40" t="str">
        <f>IF(SUM(AC32:AD32,AF32:AH32,AJ32)-SUM(AE32,AI32)&gt;0,SUM(AC32:AD32,AF32:AH32,AJ32)-SUM(AE32,AI32),"")</f>
        <v/>
      </c>
      <c r="AP32" s="40" t="str">
        <f>IF(SUM(AM32,AO32)&gt;0,SUM(AM32,AO32),"")</f>
        <v/>
      </c>
      <c r="AQ32" s="18">
        <v>18.3</v>
      </c>
      <c r="AR32" s="18">
        <v>5.2</v>
      </c>
      <c r="AS32" s="18">
        <v>0.8</v>
      </c>
      <c r="AT32" s="18">
        <v>0</v>
      </c>
      <c r="AU32" s="18">
        <v>18.2</v>
      </c>
      <c r="AV32" s="18">
        <v>5.2</v>
      </c>
      <c r="AW32" s="18">
        <v>0.8</v>
      </c>
      <c r="AX32" s="18">
        <v>0</v>
      </c>
      <c r="AY32" s="18">
        <v>18.600000000000001</v>
      </c>
      <c r="AZ32" s="18">
        <v>5.2</v>
      </c>
      <c r="BA32" s="18">
        <v>0.2</v>
      </c>
      <c r="BB32" s="18">
        <v>0</v>
      </c>
      <c r="BC32" s="18">
        <v>18.3</v>
      </c>
      <c r="BD32" s="18">
        <v>2.4</v>
      </c>
      <c r="BE32" s="18">
        <v>1.8</v>
      </c>
      <c r="BF32" s="18">
        <v>0</v>
      </c>
      <c r="BG32" s="28"/>
      <c r="BH32" s="11">
        <f>IF(SUM(AR32,AV32)&gt;0,SUM(AR32,AV32),"")</f>
        <v>10.4</v>
      </c>
      <c r="BI32" s="11">
        <f>IF(SUM(AQ32:AR32,AT32:AV32,AX32)-AS32-AW32&gt;0,SUM(AQ32:AR32,AT32:AV32,AX32)-AS32-AW32,"")</f>
        <v>45.300000000000011</v>
      </c>
      <c r="BJ32" s="11">
        <f>IF(SUM(AZ32,BD32)&gt;0,SUM(AZ32,BD32),"")</f>
        <v>7.6</v>
      </c>
      <c r="BK32" s="11">
        <f>IF(SUM(AY32:AZ32,BB32:BD32,BF32)-SUM(BA32,BE32)&gt;0,SUM(AY32:AZ32,BB32:BD32,BF32)-SUM(BA32,BE32),"")</f>
        <v>42.5</v>
      </c>
      <c r="BL32" s="11">
        <f>IF(SUM(BI32,BK32)&gt;0,SUM(BI32,BK32),"")</f>
        <v>87.800000000000011</v>
      </c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7"/>
      <c r="CD32" s="40" t="str">
        <f>IF(SUM(BN32,BR32)&gt;0,SUM(BN32,BR32),"")</f>
        <v/>
      </c>
      <c r="CE32" s="40" t="str">
        <f>IF(SUM(BM32:BN32,BP32:BR32,BT32)-BO32-BS32&gt;0,SUM(BM32:BN32,BP32:BR32,BT32)-BO32-BS32,"")</f>
        <v/>
      </c>
      <c r="CF32" s="40" t="str">
        <f>IF(SUM(BV32,BZ32)&gt;0,SUM(BV32,BZ32),"")</f>
        <v/>
      </c>
      <c r="CG32" s="40" t="str">
        <f>IF(SUM(BU32:BV32,BX32:BZ32,CB32)-SUM(BW32,CA32)&gt;0,SUM(BU32:BV32,BX32:BZ32,CB32)-SUM(BW32,CA32),"")</f>
        <v/>
      </c>
      <c r="CH32" s="40" t="str">
        <f>IF(SUM(CE32,CG32)&gt;0,SUM(CE32,CG32),"")</f>
        <v/>
      </c>
      <c r="CI32" s="50" t="str">
        <f>IF(MAX(DF32,EH32,FJ32,GL32,HN32,IP32,JR32,KT32,LV32,MX32,NZ32,PB32)-IF(N32="",0,N32)&gt;0.001,MAX(DF32,EH32,FJ32,GL32,HN32,IP32,JR32,KT32,LV32,MX32,NZ32,PB32)-IF(N32="",0,N32),"")</f>
        <v/>
      </c>
      <c r="CJ32" s="50" t="str">
        <f>IF(MAX(DK32,EM32,FO32,GQ32,HS32,IU32,JW32,KY32,MA32,NC32,OE32,PG32)-IF(P32="",0,P32)&gt;0.001,MAX(DK32,EM32,FO32,GQ32,HS32,IU32,JW32,KY32,MA32,NC32,OE32,PG32)-IF(P32="",0,P32),"")</f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>IF(SUM(CL32,CP32)&gt;0,SUM(CL32,CP32),"")</f>
        <v/>
      </c>
      <c r="DF32" s="40" t="str">
        <f>IF(SUM(CK32:CL32,CN32:CP32,CR32)-CM32-CQ32&gt;0,SUM(CK32:CL32,CN32:CP32,CR32)-CM32-CQ32,"")</f>
        <v/>
      </c>
      <c r="DG32" s="40" t="str">
        <f>IF(SUM(CS32:CT32,CV32)-CU32&gt;0,SUM(CS32:CT32,CV32)-CU32,"")</f>
        <v/>
      </c>
      <c r="DH32" s="40" t="str">
        <f>IF(SUM(CL32,CP32,CT32)&gt;0,SUM(CL32,CP32,CT32),"")</f>
        <v/>
      </c>
      <c r="DI32" s="40" t="str">
        <f>IF(SUM(DF32,DG32)&gt;0,SUM(DF32,DG32),"")</f>
        <v/>
      </c>
      <c r="DJ32" s="40" t="str">
        <f>IF(SUM(CX32,DB32)&gt;0,SUM(CX32,DB32),"")</f>
        <v/>
      </c>
      <c r="DK32" s="40" t="str">
        <f>IF(SUM(CW32:CX32,CZ32:DB32,DD32)-SUM(CY32,DC32)&gt;0,SUM(CW32:CX32,CZ32:DB32,DD32)-SUM(CY32,DC32),"")</f>
        <v/>
      </c>
      <c r="DL32" s="40" t="str">
        <f>IF(SUM(DF32,DG32,DK32)&gt;0,SUM(DF32,DG32,DK32),"")</f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>IF(SUM(DN32,DR32)&gt;0,SUM(DN32,DR32),"")</f>
        <v/>
      </c>
      <c r="EH32" s="11" t="str">
        <f>IF(SUM(DM32:DN32,DP32:DR32,DT32)-DO32-DS32&gt;0,SUM(DM32:DN32,DP32:DR32,DT32)-DO32-DS32,"")</f>
        <v/>
      </c>
      <c r="EI32" s="11" t="str">
        <f>IF(SUM(DU32:DV32,DX32)-DW32&gt;0,SUM(DU32:DV32,DX32)-DW32,"")</f>
        <v/>
      </c>
      <c r="EJ32" s="11" t="str">
        <f>IF(SUM(DN32,DR32,DV32)&gt;0,SUM(DN32,DR32,DV32),"")</f>
        <v/>
      </c>
      <c r="EK32" s="11" t="str">
        <f>IF(SUM(EH32,EI32)&gt;0,SUM(EH32,EI32),"")</f>
        <v/>
      </c>
      <c r="EL32" s="11" t="str">
        <f>IF(SUM(DZ32,ED32)&gt;0,SUM(DZ32,ED32),"")</f>
        <v/>
      </c>
      <c r="EM32" s="11" t="str">
        <f>IF(SUM(DY32:DZ32,EB32:ED32,EF32)-SUM(EA32,EE32)&gt;0,SUM(DY32:DZ32,EB32:ED32,EF32)-SUM(EA32,EE32),"")</f>
        <v/>
      </c>
      <c r="EN32" s="11" t="str">
        <f>IF(SUM(EH32,EI32,EM32)&gt;0,SUM(EH32,EI32,EM32),"")</f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>IF(SUM(EP32,ET32)&gt;0,SUM(EP32,ET32),"")</f>
        <v/>
      </c>
      <c r="FJ32" s="40" t="str">
        <f>IF(SUM(EO32:EP32,ER32:ET32,EV32)-EQ32-EU32&gt;0,SUM(EO32:EP32,ER32:ET32,EV32)-EQ32-EU32,"")</f>
        <v/>
      </c>
      <c r="FK32" s="40" t="str">
        <f>IF(SUM(EW32:EX32,EZ32)-EY32&gt;0,SUM(EW32:EX32,EZ32)-EY32,"")</f>
        <v/>
      </c>
      <c r="FL32" s="40" t="str">
        <f>IF(SUM(EP32,ET32,EX32)&gt;0,SUM(EP32,ET32,EX32),"")</f>
        <v/>
      </c>
      <c r="FM32" s="40" t="str">
        <f>IF(SUM(FJ32,FK32)&gt;0,SUM(FJ32,FK32),"")</f>
        <v/>
      </c>
      <c r="FN32" s="40" t="str">
        <f>IF(SUM(FB32,FF32)&gt;0,SUM(FB32,FF32),"")</f>
        <v/>
      </c>
      <c r="FO32" s="40" t="str">
        <f>IF(SUM(FA32:FB32,FD32:FF32,FH32)-SUM(FC32,FG32)&gt;0,SUM(FA32:FB32,FD32:FF32,FH32)-SUM(FC32,FG32),"")</f>
        <v/>
      </c>
      <c r="FP32" s="40" t="str">
        <f>IF(SUM(FJ32,FK32,FO32)&gt;0,SUM(FJ32,FK32,FO32),"")</f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>IF(SUM(FR32,FV32)&gt;0,SUM(FR32,FV32),"")</f>
        <v/>
      </c>
      <c r="GL32" s="11" t="str">
        <f>IF(SUM(FQ32:FR32,FT32:FV32,FX32)-FS32-FW32&gt;0,SUM(FQ32:FR32,FT32:FV32,FX32)-FS32-FW32,"")</f>
        <v/>
      </c>
      <c r="GM32" s="11" t="str">
        <f>IF(SUM(FY32:FZ32,GB32)-GA32&gt;0,SUM(FY32:FZ32,GB32)-GA32,"")</f>
        <v/>
      </c>
      <c r="GN32" s="11" t="str">
        <f>IF(SUM(FR32,FV32,FZ32)&gt;0,SUM(FR32,FV32,FZ32),"")</f>
        <v/>
      </c>
      <c r="GO32" s="11" t="str">
        <f>IF(SUM(GL32,GM32)&gt;0,SUM(GL32,GM32),"")</f>
        <v/>
      </c>
      <c r="GP32" s="11" t="str">
        <f>IF(SUM(GD32,GH32)&gt;0,SUM(GD32,GH32),"")</f>
        <v/>
      </c>
      <c r="GQ32" s="11" t="str">
        <f>IF(SUM(GC32:GD32,GF32:GH32,GJ32)-SUM(GE32,GI32)&gt;0,SUM(GC32:GD32,GF32:GH32,GJ32)-SUM(GE32,GI32),"")</f>
        <v/>
      </c>
      <c r="GR32" s="11" t="str">
        <f>IF(SUM(GL32,GM32,GQ32)&gt;0,SUM(GL32,GM32,GQ32),"")</f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>IF(SUM(GT32,GX32)&gt;0,SUM(GT32,GX32),"")</f>
        <v/>
      </c>
      <c r="HN32" s="40" t="str">
        <f>IF(SUM(GS32:GT32,GV32:GX32,GZ32)-GU32-GY32&gt;0,SUM(GS32:GT32,GV32:GX32,GZ32)-GU32-GY32,"")</f>
        <v/>
      </c>
      <c r="HO32" s="40" t="str">
        <f>IF(SUM(HA32:HB32,HD32)-HC32&gt;0,SUM(HA32:HB32,HD32)-HC32,"")</f>
        <v/>
      </c>
      <c r="HP32" s="40" t="str">
        <f>IF(SUM(GT32,GX32,HB32)&gt;0,SUM(GT32,GX32,HB32),"")</f>
        <v/>
      </c>
      <c r="HQ32" s="40" t="str">
        <f>IF(SUM(HN32,HO32)&gt;0,SUM(HN32,HO32),"")</f>
        <v/>
      </c>
      <c r="HR32" s="40" t="str">
        <f>IF(SUM(HF32,HJ32)&gt;0,SUM(HF32,HJ32),"")</f>
        <v/>
      </c>
      <c r="HS32" s="40" t="str">
        <f>IF(SUM(HE32:HF32,HH32:HJ32,HL32)-SUM(HG32,HK32)&gt;0,SUM(HE32:HF32,HH32:HJ32,HL32)-SUM(HG32,HK32),"")</f>
        <v/>
      </c>
      <c r="HT32" s="40" t="str">
        <f>IF(SUM(HN32,HO32,HS32)&gt;0,SUM(HN32,HO32,HS32),"")</f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>IF(SUM(HV32,HZ32)&gt;0,SUM(HV32,HZ32),"")</f>
        <v/>
      </c>
      <c r="IP32" s="11" t="str">
        <f>IF(SUM(HU32:HV32,HX32:HZ32,IB32)-HW32-IA32&gt;0,SUM(HU32:HV32,HX32:HZ32,IB32)-HW32-IA32,"")</f>
        <v/>
      </c>
      <c r="IQ32" s="11" t="str">
        <f>IF(SUM(IC32:ID32,IF32)-IE32&gt;0,SUM(IC32:ID32,IF32)-IE32,"")</f>
        <v/>
      </c>
      <c r="IR32" s="11" t="str">
        <f>IF(SUM(HV32,HZ32,ID32)&gt;0,SUM(HV32,HZ32,ID32),"")</f>
        <v/>
      </c>
      <c r="IS32" s="11" t="str">
        <f>IF(SUM(IP32,IQ32)&gt;0,SUM(IP32,IQ32),"")</f>
        <v/>
      </c>
      <c r="IT32" s="11" t="str">
        <f>IF(SUM(IH32,IL32)&gt;0,SUM(IH32,IL32),"")</f>
        <v/>
      </c>
      <c r="IU32" s="11" t="str">
        <f>IF(SUM(IG32:IH32,IJ32:IL32,IN32)-SUM(II32,IM32)&gt;0,SUM(IG32:IH32,IJ32:IL32,IN32)-SUM(II32,IM32),"")</f>
        <v/>
      </c>
      <c r="IV32" s="11" t="str">
        <f>IF(SUM(IP32,IQ32,IU32)&gt;0,SUM(IP32,IQ32,IU32),"")</f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>IF(SUM(IX32,JB32)&gt;0,SUM(IX32,JB32),"")</f>
        <v/>
      </c>
      <c r="JR32" s="40" t="str">
        <f>IF(SUM(IW32:IX32,IZ32:JB32,JD32)-IY32-JC32&gt;0,SUM(IW32:IX32,IZ32:JB32,JD32)-IY32-JC32,"")</f>
        <v/>
      </c>
      <c r="JS32" s="40" t="str">
        <f>IF(SUM(JE32:JF32,JH32)-JG32&gt;0,SUM(JE32:JF32,JH32)-JG32,"")</f>
        <v/>
      </c>
      <c r="JT32" s="40" t="str">
        <f>IF(SUM(IX32,JB32,JF32)&gt;0,SUM(IX32,JB32,JF32),"")</f>
        <v/>
      </c>
      <c r="JU32" s="40" t="str">
        <f>IF(SUM(JR32,JS32)&gt;0,SUM(JR32,JS32),"")</f>
        <v/>
      </c>
      <c r="JV32" s="40" t="str">
        <f>IF(SUM(JJ32,JN32)&gt;0,SUM(JJ32,JN32),"")</f>
        <v/>
      </c>
      <c r="JW32" s="40" t="str">
        <f>IF(SUM(JI32:JJ32,JL32:JN32,JP32)-SUM(JK32,JO32)&gt;0,SUM(JI32:JJ32,JL32:JN32,JP32)-SUM(JK32,JO32),"")</f>
        <v/>
      </c>
      <c r="JX32" s="40" t="str">
        <f>IF(SUM(JR32,JS32,JW32)&gt;0,SUM(JR32,JS32,JW32),"")</f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>IF(SUM(JZ32,KD32)&gt;0,SUM(JZ32,KD32),"")</f>
        <v/>
      </c>
      <c r="KT32" s="11" t="str">
        <f>IF(SUM(JY32:JZ32,KB32:KD32,KF32)-KA32-KE32&gt;0,SUM(JY32:JZ32,KB32:KD32,KF32)-KA32-KE32,"")</f>
        <v/>
      </c>
      <c r="KU32" s="11" t="str">
        <f>IF(SUM(KG32:KH32,KJ32)-KI32&gt;0,SUM(KG32:KH32,KJ32)-KI32,"")</f>
        <v/>
      </c>
      <c r="KV32" s="11" t="str">
        <f>IF(SUM(JZ32,KD32,KH32)&gt;0,SUM(JZ32,KD32,KH32),"")</f>
        <v/>
      </c>
      <c r="KW32" s="11" t="str">
        <f>IF(SUM(KT32,KU32)&gt;0,SUM(KT32,KU32),"")</f>
        <v/>
      </c>
      <c r="KX32" s="11" t="str">
        <f>IF(SUM(KL32,KP32)&gt;0,SUM(KL32,KP32),"")</f>
        <v/>
      </c>
      <c r="KY32" s="11" t="str">
        <f>IF(SUM(KK32:KL32,KN32:KP32,KR32)-SUM(KM32,KQ32)&gt;0,SUM(KK32:KL32,KN32:KP32,KR32)-SUM(KM32,KQ32),"")</f>
        <v/>
      </c>
      <c r="KZ32" s="11" t="str">
        <f>IF(SUM(KT32,KU32,KY32)&gt;0,SUM(KT32,KU32,KY32),"")</f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>IF(SUM(LB32,LF32)&gt;0,SUM(LB32,LF32),"")</f>
        <v/>
      </c>
      <c r="LV32" s="40" t="str">
        <f>IF(SUM(LA32:LB32,LD32:LF32,LH32)-LC32-LG32&gt;0,SUM(LA32:LB32,LD32:LF32,LH32)-LC32-LG32,"")</f>
        <v/>
      </c>
      <c r="LW32" s="40" t="str">
        <f>IF(SUM(LI32:LJ32,LL32)-LK32&gt;0,SUM(LI32:LJ32,LL32)-LK32,"")</f>
        <v/>
      </c>
      <c r="LX32" s="40" t="str">
        <f>IF(SUM(LB32,LF32,LJ32)&gt;0,SUM(LB32,LF32,LJ32),"")</f>
        <v/>
      </c>
      <c r="LY32" s="40" t="str">
        <f>IF(SUM(LV32,LW32)&gt;0,SUM(LV32,LW32),"")</f>
        <v/>
      </c>
      <c r="LZ32" s="40" t="str">
        <f>IF(SUM(LN32,LR32)&gt;0,SUM(LN32,LR32),"")</f>
        <v/>
      </c>
      <c r="MA32" s="40" t="str">
        <f>IF(SUM(LM32:LN32,LP32:LR32,LT32)-SUM(LO32,LS32)&gt;0,SUM(LM32:LN32,LP32:LR32,LT32)-SUM(LO32,LS32),"")</f>
        <v/>
      </c>
      <c r="MB32" s="40" t="str">
        <f>IF(SUM(LV32,LW32,MA32)&gt;0,SUM(LV32,LW32,MA32),"")</f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>IF(SUM(MD32,MH32)&gt;0,SUM(MD32,MH32),"")</f>
        <v/>
      </c>
      <c r="MX32" s="11" t="str">
        <f>IF(SUM(MC32:MD32,MF32:MH32,MJ32)-ME32-MI32&gt;0,SUM(MC32:MD32,MF32:MH32,MJ32)-ME32-MI32,"")</f>
        <v/>
      </c>
      <c r="MY32" s="11" t="str">
        <f>IF(SUM(MK32:ML32,MN32)-MM32&gt;0,SUM(MK32:ML32,MN32)-MM32,"")</f>
        <v/>
      </c>
      <c r="MZ32" s="11" t="str">
        <f>IF(SUM(MD32,MH32,ML32)&gt;0,SUM(MD32,MH32,ML32),"")</f>
        <v/>
      </c>
      <c r="NA32" s="11" t="str">
        <f>IF(SUM(MX32,MY32)&gt;0,SUM(MX32,MY32),"")</f>
        <v/>
      </c>
      <c r="NB32" s="11" t="str">
        <f>IF(SUM(MP32,MT32)&gt;0,SUM(MP32,MT32),"")</f>
        <v/>
      </c>
      <c r="NC32" s="11" t="str">
        <f>IF(SUM(MO32:MP32,MR32:MT32,MV32)-SUM(MQ32,MU32)&gt;0,SUM(MO32:MP32,MR32:MT32,MV32)-SUM(MQ32,MU32),"")</f>
        <v/>
      </c>
      <c r="ND32" s="11" t="str">
        <f>IF(SUM(MX32,MY32,NC32)&gt;0,SUM(MX32,MY32,NC32),"")</f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>IF(SUM(NF32,NJ32)&gt;0,SUM(NF32,NJ32),"")</f>
        <v/>
      </c>
      <c r="NZ32" s="40" t="str">
        <f>IF(SUM(NE32:NF32,NH32:NJ32,NL32)-NG32-NK32&gt;0,SUM(NE32:NF32,NH32:NJ32,NL32)-NG32-NK32,"")</f>
        <v/>
      </c>
      <c r="OA32" s="40" t="str">
        <f>IF(SUM(NM32:NN32,NP32)-NO32&gt;0,SUM(NM32:NN32,NP32)-NO32,"")</f>
        <v/>
      </c>
      <c r="OB32" s="40" t="str">
        <f>IF(SUM(NF32,NJ32,NN32)&gt;0,SUM(NF32,NJ32,NN32),"")</f>
        <v/>
      </c>
      <c r="OC32" s="40" t="str">
        <f>IF(SUM(NZ32,OA32)&gt;0,SUM(NZ32,OA32),"")</f>
        <v/>
      </c>
      <c r="OD32" s="40" t="str">
        <f>IF(SUM(NR32,NV32)&gt;0,SUM(NR32,NV32),"")</f>
        <v/>
      </c>
      <c r="OE32" s="40" t="str">
        <f>IF(SUM(NQ32:NR32,NT32:NV32,NX32)-SUM(NS32,NW32)&gt;0,SUM(NQ32:NR32,NT32:NV32,NX32)-SUM(NS32,NW32),"")</f>
        <v/>
      </c>
      <c r="OF32" s="40" t="str">
        <f>IF(SUM(NZ32,OA32,OE32)&gt;0,SUM(NZ32,OA32,OE32),"")</f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>IF(SUM(OH32,OL32)&gt;0,SUM(OH32,OL32),"")</f>
        <v/>
      </c>
      <c r="PB32" s="11" t="str">
        <f>IF(SUM(OG32:OH32,OJ32:OL32,ON32)-OI32-OM32&gt;0,SUM(OG32:OH32,OJ32:OL32,ON32)-OI32-OM32,"")</f>
        <v/>
      </c>
      <c r="PC32" s="11" t="str">
        <f>IF(SUM(OO32:OP32,OR32)-OQ32&gt;0,SUM(OO32:OP32,OR32)-OQ32,"")</f>
        <v/>
      </c>
      <c r="PD32" s="11" t="str">
        <f>IF(SUM(OH32,OL32,OP32)&gt;0,SUM(OH32,OL32,OP32),"")</f>
        <v/>
      </c>
      <c r="PE32" s="11" t="str">
        <f>IF(SUM(PB32,PC32)&gt;0,SUM(PB32,PC32),"")</f>
        <v/>
      </c>
      <c r="PF32" s="11" t="str">
        <f>IF(SUM(OT32,OX32)&gt;0,SUM(OT32,OX32),"")</f>
        <v/>
      </c>
      <c r="PG32" s="11" t="str">
        <f>IF(SUM(OS32:OT32,OV32:OX32,OZ32)-SUM(OU32,OY32)&gt;0,SUM(OS32:OT32,OV32:OX32,OZ32)-SUM(OU32,OY32),"")</f>
        <v/>
      </c>
      <c r="PH32" s="11" t="str">
        <f>IF(SUM(PB32,PC32,PG32)&gt;0,SUM(PB32,PC32,PG32),"")</f>
        <v/>
      </c>
      <c r="PI32" s="22">
        <f>IF($CC32="P",BM32,(BM32+AQ32)/2)</f>
        <v>9.15</v>
      </c>
      <c r="PJ32" s="22">
        <f>IF($CC32="P",BN32,(BN32+AR32)/2)</f>
        <v>2.6</v>
      </c>
      <c r="PK32" s="22">
        <f>IF($CC32="P",BO32,(BO32+AS32)/2)</f>
        <v>0.4</v>
      </c>
      <c r="PL32" s="22">
        <f>IF($CC32="P",BP32,(BP32+AT32)/2)</f>
        <v>0</v>
      </c>
      <c r="PM32" s="22">
        <f>IF($CC32="P",BQ32,(BQ32+AU32)/2)</f>
        <v>9.1</v>
      </c>
      <c r="PN32" s="22">
        <f>IF($CC32="P",BR32,(BR32+AV32)/2)</f>
        <v>2.6</v>
      </c>
      <c r="PO32" s="22">
        <f>IF($CC32="P",BS32,(BS32+AW32)/2)</f>
        <v>0.4</v>
      </c>
      <c r="PP32" s="22">
        <f>IF($CC32="P",BT32,(BT32+AX32)/2)</f>
        <v>0</v>
      </c>
      <c r="PQ32" s="22">
        <f>IF($CC32="P",BU32,(BU32+AY32)/2)</f>
        <v>9.3000000000000007</v>
      </c>
      <c r="PR32" s="22">
        <f>IF($CC32="P",BV32,(BV32+AZ32)/2)</f>
        <v>2.6</v>
      </c>
      <c r="PS32" s="22">
        <f>IF($CC32="P",BW32,(BW32+BA32)/2)</f>
        <v>0.1</v>
      </c>
      <c r="PT32" s="22">
        <f>IF($CC32="P",BX32,(BX32+BB32)/2)</f>
        <v>0</v>
      </c>
      <c r="PU32" s="22">
        <f>IF($CC32="P",BY32,(BY32+BC32)/2)</f>
        <v>9.15</v>
      </c>
      <c r="PV32" s="22">
        <f>IF($CC32="P",BZ32,(BZ32+BD32)/2)</f>
        <v>1.2</v>
      </c>
      <c r="PW32" s="22">
        <f>IF($CC32="P",CA32,(CA32+BE32)/2)</f>
        <v>0.9</v>
      </c>
      <c r="PX32" s="22">
        <f>IF($CC32="P",CB32,(CB32+BF32)/2)</f>
        <v>0</v>
      </c>
      <c r="PY32" s="27" t="s">
        <v>46</v>
      </c>
      <c r="PZ32" s="40">
        <f>IF(SUM(PJ32,PN32)&gt;0,SUM(PJ32,PN32),"")</f>
        <v>5.2</v>
      </c>
      <c r="QA32" s="40">
        <f>IF(SUM(PI32:PJ32,PL32:PN32,PP32)-PK32-PO32&gt;0,SUM(PI32:PJ32,PL32:PN32,PP32)-PK32-PO32,"")</f>
        <v>22.650000000000006</v>
      </c>
      <c r="QB32" s="40">
        <f>IF(SUM(PR32,PV32)&gt;0,SUM(PR32,PV32),"")</f>
        <v>3.8</v>
      </c>
      <c r="QC32" s="40">
        <f>IF(SUM(PQ32:PR32,PT32:PV32,PX32)-SUM(PS32,PW32)&gt;0,SUM(PQ32:PR32,PT32:PV32,PX32)-SUM(PS32,PW32),"")</f>
        <v>21.25</v>
      </c>
      <c r="QD32" s="40">
        <f>IF(SUM(QA32,QC32)&gt;0,SUM(QA32,QC32),"")</f>
        <v>43.900000000000006</v>
      </c>
    </row>
    <row r="33" spans="1:446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166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L33&gt;=AP$38,AM33&gt;=AP$42,AL33&lt;&gt;"",AK33=""),AND(AN33&gt;=AP$38,AO33&gt;=AP$42,AN33&lt;&gt;"",AK33=""),AND(BH33&gt;=BL$38,BI33&gt;=BL$42,BH33&lt;&gt;"",BG33=""),AND(BJ33&gt;=BL$38,BK33&gt;=BL$42,BJ33&lt;&gt;"",BG33=""),AND(CD33&gt;=CH$38,CE33&gt;=CH$42,CD33&lt;&gt;"",CC33=""),AND(CF33&gt;=CH$38,CG33&gt;=CH$42,CF33&lt;&gt;""),AND(DE33&gt;=DL$38,DF33&gt;=DL$42,DE33&lt;&gt;""),AND(DJ33&gt;=DL$38,DK33&gt;=DL$42,DJ33&lt;&gt;""),AND(EG33&gt;=EN$38,EH33&gt;=EN$42,EG33&lt;&gt;""),AND(EL33&gt;=EN$38,EM33&gt;=EN$42,EL33&lt;&gt;""),AND(FI33&gt;=FP$38,FJ33&gt;=FP$42,FI33&lt;&gt;""),AND(FN33&gt;=FP$38,FO33&gt;=FP$42,FN33&lt;&gt;""),AND(GK33&gt;=GR$38,GL33&gt;=GR$42,GK33&lt;&gt;""),AND(GP33&gt;=GR$38,GQ33&gt;=GR$42,GP33&lt;&gt;""),AND(HM33&gt;=HT$38,HN33&gt;=HT$42,HM33&lt;&gt;""),AND(HR33&gt;=HT$38,HS33&gt;=HT$42,HR33&lt;&gt;""),AND(IO33&gt;=IV$38,IP33&gt;=IV$42,IO33&lt;&gt;""),AND(IT33&gt;=IV$38,IU33&gt;=IV$42,IT33&lt;&gt;""),AND(JQ33&gt;=JX$38,JR33&gt;=JX$42,JQ33&lt;&gt;""),AND(JV33&gt;=JX$38,JW33&gt;=JX$42,JV33&lt;&gt;""),AND(KS33&gt;=KZ$38,KT33&gt;=KZ$42,KS33&lt;&gt;""),AND(KX33&gt;=KZ$38,KY33&gt;=KZ$42,KX33&lt;&gt;""),AND(LU33&gt;=MB$38,LV33&gt;=MB$42,LU33&lt;&gt;""),AND(LZ33&gt;=MB$38,MA33&gt;=MB$42,LZ33&lt;&gt;""),AND(MW33&gt;=ND$38,MX33&gt;=ND$42,MW33&lt;&gt;""),AND(NB33&gt;=ND$38,NC33&gt;=ND$42,NB33&lt;&gt;""),AND(NY33&gt;=OF$38,NZ33&gt;=OF$42,NY33&lt;&gt;""),AND(OD33&gt;=OF$38,OE33&gt;=OF$42,OD33&lt;&gt;""),AND(PA33&gt;=PH$38,PB33&gt;=PH$42,PA33&lt;&gt;""),AND(PF33&gt;=PH$38,PG33&gt;=PH$42,PF33&lt;&gt;"")),"P","")</f>
        <v/>
      </c>
      <c r="I33" s="3" t="str">
        <f>IF(OR(AND(AM33&gt;=AP$42,AM33&lt;&gt;"",AK33=""),AND(AO33&gt;=AP$42,AO33&lt;&gt;"",AK33=""),AND(BI33&gt;=BL$42,BI33&lt;&gt;"",BG33=""),AND(BK33&gt;=BL$42,BK33&lt;&gt;"",BG33=""),AND(CE33&gt;=CH$42,CE33&lt;&gt;"",CC33=""),AND(CG33&gt;=CH$42,CG33&lt;&gt;"",CC33=""),AND(DF33&gt;=DL$42,DF33&lt;&gt;""),AND(DK33&gt;=DL$42,DK33&lt;&gt;""),AND(EH33&gt;=EN$42,EH33&lt;&gt;""),AND(EM33&gt;=EN$42,EM33&lt;&gt;""),AND(FJ33&gt;=FP$42,FJ33&lt;&gt;""),AND(FO33&gt;=FP$42,FO33&lt;&gt;""),AND(GL33&gt;=GR$42,GL33&lt;&gt;""),AND(GQ33&gt;=GR$42,GQ33&lt;&gt;""),AND(HN33&gt;=HT$42,HN33&lt;&gt;""),AND(HS33&gt;=HT$42,HS33&lt;&gt;""),AND(IP33&gt;=IV$42,IP33&lt;&gt;""),AND(IU33&gt;=IV$42,IU33&lt;&gt;""),AND(JR33&gt;=JX$42,JR33&lt;&gt;""),AND(JW33&gt;=JX$42,JW33&lt;&gt;""),AND(KT33&gt;=KZ$42,KT33&lt;&gt;""),AND(KY33&gt;=KZ$42,KY33&lt;&gt;""),AND(LV33&gt;=MB$42,LV33&lt;&gt;""),AND(MA33&gt;=MB$42,MA33&lt;&gt;""),AND(MX33&gt;=ND$42,MX33&lt;&gt;""),AND(NC33&gt;=ND$42,NC33&lt;&gt;""),AND(NZ33&gt;=OF$42,NZ33&lt;&gt;""),AND(OE33&gt;=OF$42,OE33&lt;&gt;""),AND(PB33&gt;=PH$42,PB33&lt;&gt;""),AND(PG33&gt;=PH$42,PG33&lt;&gt;"")),"P","")</f>
        <v/>
      </c>
      <c r="J33" s="36" t="str">
        <f>IF(AND(I33="P",H33=""),"No DD",IF(OR(AND(AL33&gt;=AP$26,AM33&gt;=AP$30,AL33&lt;&gt;"",AK33=""),AND(BH33&gt;=BL$26,BI33&gt;=BL$30,BH33&lt;&gt;"",BG33=""),AND(CD33&gt;=CH$26,CE33&gt;=CH$30,CD33&lt;&gt;"",CC33=""),AND(DH33&gt;=DL$26,DI33&gt;=DL$30,DH33&lt;&gt;""),AND(EJ33&gt;=EN$26,EK33&gt;=EN$30,EJ33&lt;&gt;""),AND(FL33&gt;=FP$26,FM33&gt;=FP$30,FL33&lt;&gt;""),AND(GN33&gt;=GR$26,GO33&gt;=GR$30,GN33&lt;&gt;""),AND(HP33&gt;=HT$26,HQ33&gt;=HT$30,HP33&lt;&gt;""),AND(IR33&gt;=IV$26,IS33&gt;=IV$30,IR33&lt;&gt;""),AND(JT33&gt;=JX$26,JU33&gt;=JX$30,JT33&lt;&gt;""),AND(KV33&gt;=KZ$26,KW33&gt;=KZ$30,KV33&lt;&gt;""),AND(LX33&gt;=MB$26,LY33&gt;=MB$30,LX33&lt;&gt;""),AND(MZ33&gt;=ND$26,NA33&gt;=ND$30,MZ33&lt;&gt;""),AND(OB33&gt;=OF$26,OC33&gt;=OF$30,OB33&lt;&gt;""),AND(PD33&gt;=PH$26,PE33&gt;=PH$30,PD33&lt;&gt;"")),"Merit",IF(OR(AND(AL33&gt;=AP$25,AM33&gt;=AP$29,AL33&lt;&gt;"",AK33=""),AND(BH33&gt;=BL$25,BI33&gt;=BL$29,BH33&lt;&gt;"",BG33=""),AND(CD33&gt;=CH$25,CE33&gt;=CH$29,CD33&lt;&gt;"",CC33=""),AND(DH33&gt;=DL$25,DI33&gt;=DL$29,DH33&lt;&gt;""),AND(EJ33&gt;=EN$25,EK33&gt;=EN$29,EJ33&lt;&gt;""),AND(FL33&gt;=FP$25,FM33&gt;=FP$29,FL33&lt;&gt;""),AND(GN33&gt;=GR$25,GO33&gt;=GR$29,GN33&lt;&gt;""),AND(HP33&gt;=HT$25,HQ33&gt;=HT$29,HP33&lt;&gt;""),AND(IR33&gt;=IV$25,IS33&gt;=IV$29,IR33&lt;&gt;""),AND(JT33&gt;=JX$25,JU33&gt;=JX$29,JT33&lt;&gt;""),AND(KV33&gt;=KZ$25,KW33&gt;=KZ$29,KV33&lt;&gt;""),AND(LX33&gt;=MB$25,LY33&gt;=MB$29,LX33&lt;&gt;""),AND(MZ33&gt;=ND$25,NA33&gt;=ND$29,MZ33&lt;&gt;""),AND(OB33&gt;=OF$25,OC33&gt;=OF$29,OB33&lt;&gt;""),AND(PD33&gt;=PH$25,PE33&gt;=PH$29,PD33&lt;&gt;"")),"Excellence",IF(K33="P","Worlds Team",IF(H33="P","National Team","")))))</f>
        <v/>
      </c>
      <c r="K33" s="3" t="str">
        <f>IF(OR(AND(AL33&gt;=AP$24,AM33&gt;=AP$28,AL33&lt;&gt;"",AK33=""),AND(BH33&gt;=BL$24,BI33&gt;=BL$28,BH33&lt;&gt;"",BG33=""),AND(CD33&gt;=CH$24,CE33&gt;=CH$28,CD33&lt;&gt;"",CC33=""),AND(DH33&gt;=DL$24,DI33&gt;=DL$28,DH33&lt;&gt;""),AND(EJ33&gt;=EN$24,EK33&gt;=EN$28,EJ33&lt;&gt;""),AND(FL33&gt;=FP$24,FM33&gt;=FP$28,FL33&lt;&gt;""),AND(GN33&gt;=GR$24,GO33&gt;=GR$28,GN33&lt;&gt;""),AND(HP33&gt;=HT$24,HQ33&gt;=HT$28,HP33&lt;&gt;""),AND(IR33&gt;=IV$24,IS33&gt;=IV$28,IR33&lt;&gt;""),AND(JT33&gt;=JX$24,JU33&gt;=JX$28,JT33&lt;&gt;""),AND(KV33&gt;=KZ$24,KW33&gt;=KZ$28,KV33&lt;&gt;""),AND(LX33&gt;=MB$24,LY33&gt;=MB$28,LX33&lt;&gt;""),AND(MZ33&gt;=ND$24,NA33&gt;=ND$28,MZ33&lt;&gt;""),AND(OB33&gt;=OF$24,OC33&gt;=OF$28,OB33&lt;&gt;""),AND(PD33&gt;=PH$24,PE33&gt;=PH$28,PD33&lt;&gt;"")),"P","")</f>
        <v/>
      </c>
      <c r="L33" s="8">
        <f>IF(COUNT(AM33,BI33,CE33)&gt;0,LARGE((AM33,BI33,CE33),1),0)</f>
        <v>44.300000000000004</v>
      </c>
      <c r="M33" s="8" t="str">
        <f>IF(L33=0,"",IF(L33=CE33,$BM$1,IF(L33=BI33,$AQ$1,IF(L33=AM33,$U$1,""))))</f>
        <v>2025 Elite Canada</v>
      </c>
      <c r="N33" s="8">
        <f>IF(COUNT(AM33,BI33,CE33)&gt;1,LARGE((AM33,BI33,CE33),2),0)</f>
        <v>38.899999999999991</v>
      </c>
      <c r="O33" s="8" t="str">
        <f>IF(N33=0,"",IF(AND(N33=L33,N33=AM33,N33=BI33),$U$1,IF(AND(N33=L33,N33=AM33,N33=CE33),$U$1,IF(AND(N33=L33,N33=BI33,N33=CE33),$AQ$1,IF(N33=CE33,$BM$1,IF(N33=BI33,$AQ$1,IF(N33=AM33,$U$1,"")))))))</f>
        <v>2025 Nationals</v>
      </c>
      <c r="P33" s="8">
        <f>IF(MAX(AO33,BK33,CG33)&gt;0,MAX(AO33,BK33,CG33),0)</f>
        <v>0</v>
      </c>
      <c r="Q33" s="8" t="str">
        <f>IF(P33=0,"",IF(P33=CG33,$BM$1,IF(P33=BK33,$AQ$1,IF(P33=AO33,$U$1,""))))</f>
        <v/>
      </c>
      <c r="R33" s="8" t="str">
        <f>IF(MAX(CI33:CJ33)&gt;0,MAX(CI33:CJ33),"")</f>
        <v/>
      </c>
      <c r="S33" s="11" t="str">
        <f>IF(R33="","",IF(R33=CI33,"("&amp;CI$2&amp;")",IF(R33=CJ33,"("&amp;CJ$2&amp;")")))</f>
        <v/>
      </c>
      <c r="T33" s="8" t="str">
        <f>IF(R33="","",IF(R33=CI33,IF(R33+IF(N33="",0,N33)=PB33,$OG$1,IF(R33+IF(N33="",0,N33)=NZ33,$NE$1,IF(R33+IF(N33="",0,N33)=MX33,$MC$1,IF(R33+IF(N33="",0,N33)=LV33,$LA$1,IF(R33+IF(N33="",0,N33)=KT33,$JY$1,IF(R33+IF(N33="",0,N33)=JR33,$IW$1,IF(R33+IF(N33="",0,N33)=IP33,$HU$1,IF(R33+IF(N33="",0,N33)=HN33,$GS$1,IF(R33+IF(N33="",0,N33)=GL33,$FQ$1,IF(R33+IF(N33="",0,N33)=FJ33,$EO$1,IF(R33+IF(N33="",0,N33)=EH33,$DM$1,IF(R33+IF(N33="",0,N33)=DF33,$CK$1)))))))))))),IF(R33=CJ33,IF(R33+IF(P33="",0,P33)=PG33,$OG$1,IF(R33+IF(P33="",0,P33)=OE33,$NE$1,IF(R33+IF(P33="",0,P33)=NC33,$MC$1,IF(R33+IF(P33="",0,P33)=MA33,$LA$1,IF(R33+IF(P33="",0,P33)=KY33,$JY$1,IF(R33+IF(P33="",0,P33)=JW33,$IW$1,IF(R33+IF(P33="",0,P33)=IU33,$HU$1,IF(R33+IF(P33="",0,P33)=HS33,$GS$1,IF(R33+IF(P33="",0,P33)=GQ33,$FQ$1,IF(R33+IF(P33="",0,P33)=FO33,$EO$1,IF(R33+IF(P33="",0,P33)=EM33,$DM$1,IF(R33+IF(P33="",0,P33)=DK33,$CK$1)))))))))))))))</f>
        <v/>
      </c>
      <c r="U33" s="19">
        <v>18.600000000000001</v>
      </c>
      <c r="V33" s="19">
        <v>7.3</v>
      </c>
      <c r="W33" s="19">
        <v>0</v>
      </c>
      <c r="X33" s="19">
        <v>0</v>
      </c>
      <c r="Y33" s="19">
        <v>15.2</v>
      </c>
      <c r="Z33" s="19">
        <v>3.2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27"/>
      <c r="AL33" s="40">
        <f>IF(SUM(V33,Z33)&gt;0,SUM(V33,Z33),"")</f>
        <v>10.5</v>
      </c>
      <c r="AM33" s="40">
        <f>IF(SUM(U33:V33,X33:Z33,AB33)-W33-AA33&gt;0,SUM(U33:V33,X33:Z33,AB33)-W33-AA33,"")</f>
        <v>44.300000000000004</v>
      </c>
      <c r="AN33" s="40" t="str">
        <f>IF(SUM(AD33,AH33)&gt;0,SUM(AD33,AH33),"")</f>
        <v/>
      </c>
      <c r="AO33" s="40" t="str">
        <f>IF(SUM(AC33:AD33,AF33:AH33,AJ33)-SUM(AE33,AI33)&gt;0,SUM(AC33:AD33,AF33:AH33,AJ33)-SUM(AE33,AI33),"")</f>
        <v/>
      </c>
      <c r="AP33" s="40">
        <f>IF(SUM(AM33,AO33)&gt;0,SUM(AM33,AO33),"")</f>
        <v>44.300000000000004</v>
      </c>
      <c r="AQ33" s="18">
        <v>15.2</v>
      </c>
      <c r="AR33" s="18">
        <v>3.2</v>
      </c>
      <c r="AS33" s="18">
        <v>0</v>
      </c>
      <c r="AT33" s="18">
        <v>0</v>
      </c>
      <c r="AU33" s="18">
        <v>15.4</v>
      </c>
      <c r="AV33" s="18">
        <v>4.8</v>
      </c>
      <c r="AW33" s="18">
        <v>0</v>
      </c>
      <c r="AX33" s="18">
        <v>0.3</v>
      </c>
      <c r="AY33" s="18"/>
      <c r="AZ33" s="18"/>
      <c r="BA33" s="18"/>
      <c r="BB33" s="18"/>
      <c r="BC33" s="18"/>
      <c r="BD33" s="18"/>
      <c r="BE33" s="18"/>
      <c r="BF33" s="18"/>
      <c r="BG33" s="28"/>
      <c r="BH33" s="11">
        <f>IF(SUM(AR33,AV33)&gt;0,SUM(AR33,AV33),"")</f>
        <v>8</v>
      </c>
      <c r="BI33" s="11">
        <f>IF(SUM(AQ33:AR33,AT33:AV33,AX33)-AS33-AW33&gt;0,SUM(AQ33:AR33,AT33:AV33,AX33)-AS33-AW33,"")</f>
        <v>38.899999999999991</v>
      </c>
      <c r="BJ33" s="11" t="str">
        <f>IF(SUM(AZ33,BD33)&gt;0,SUM(AZ33,BD33),"")</f>
        <v/>
      </c>
      <c r="BK33" s="11" t="str">
        <f>IF(SUM(AY33:AZ33,BB33:BD33,BF33)-SUM(BA33,BE33)&gt;0,SUM(AY33:AZ33,BB33:BD33,BF33)-SUM(BA33,BE33),"")</f>
        <v/>
      </c>
      <c r="BL33" s="11">
        <f>IF(SUM(BI33,BK33)&gt;0,SUM(BI33,BK33),"")</f>
        <v>38.899999999999991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>IF(SUM(BN33,BR33)&gt;0,SUM(BN33,BR33),"")</f>
        <v/>
      </c>
      <c r="CE33" s="40" t="str">
        <f>IF(SUM(BM33:BN33,BP33:BR33,BT33)-BO33-BS33&gt;0,SUM(BM33:BN33,BP33:BR33,BT33)-BO33-BS33,"")</f>
        <v/>
      </c>
      <c r="CF33" s="40" t="str">
        <f>IF(SUM(BV33,BZ33)&gt;0,SUM(BV33,BZ33),"")</f>
        <v/>
      </c>
      <c r="CG33" s="40" t="str">
        <f>IF(SUM(BU33:BV33,BX33:BZ33,CB33)-SUM(BW33,CA33)&gt;0,SUM(BU33:BV33,BX33:BZ33,CB33)-SUM(BW33,CA33),"")</f>
        <v/>
      </c>
      <c r="CH33" s="40" t="str">
        <f>IF(SUM(CE33,CG33)&gt;0,SUM(CE33,CG33),"")</f>
        <v/>
      </c>
      <c r="CI33" s="50" t="str">
        <f>IF(MAX(DF33,EH33,FJ33,GL33,HN33,IP33,JR33,KT33,LV33,MX33,NZ33,PB33)-IF(N33="",0,N33)&gt;0.001,MAX(DF33,EH33,FJ33,GL33,HN33,IP33,JR33,KT33,LV33,MX33,NZ33,PB33)-IF(N33="",0,N33),"")</f>
        <v/>
      </c>
      <c r="CJ33" s="50" t="str">
        <f>IF(MAX(DK33,EM33,FO33,GQ33,HS33,IU33,JW33,KY33,MA33,NC33,OE33,PG33)-IF(P33="",0,P33)&gt;0.001,MAX(DK33,EM33,FO33,GQ33,HS33,IU33,JW33,KY33,MA33,NC33,OE33,PG33)-IF(P33="",0,P33),"")</f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>IF(SUM(CL33,CP33)&gt;0,SUM(CL33,CP33),"")</f>
        <v/>
      </c>
      <c r="DF33" s="40" t="str">
        <f>IF(SUM(CK33:CL33,CN33:CP33,CR33)-CM33-CQ33&gt;0,SUM(CK33:CL33,CN33:CP33,CR33)-CM33-CQ33,"")</f>
        <v/>
      </c>
      <c r="DG33" s="40" t="str">
        <f>IF(SUM(CS33:CT33,CV33)-CU33&gt;0,SUM(CS33:CT33,CV33)-CU33,"")</f>
        <v/>
      </c>
      <c r="DH33" s="40" t="str">
        <f>IF(SUM(CL33,CP33,CT33)&gt;0,SUM(CL33,CP33,CT33),"")</f>
        <v/>
      </c>
      <c r="DI33" s="40" t="str">
        <f>IF(SUM(DF33,DG33)&gt;0,SUM(DF33,DG33),"")</f>
        <v/>
      </c>
      <c r="DJ33" s="40" t="str">
        <f>IF(SUM(CX33,DB33)&gt;0,SUM(CX33,DB33),"")</f>
        <v/>
      </c>
      <c r="DK33" s="40" t="str">
        <f>IF(SUM(CW33:CX33,CZ33:DB33,DD33)-SUM(CY33,DC33)&gt;0,SUM(CW33:CX33,CZ33:DB33,DD33)-SUM(CY33,DC33),"")</f>
        <v/>
      </c>
      <c r="DL33" s="40" t="str">
        <f>IF(SUM(DF33,DG33,DK33)&gt;0,SUM(DF33,DG33,DK33),"")</f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>IF(SUM(DN33,DR33)&gt;0,SUM(DN33,DR33),"")</f>
        <v/>
      </c>
      <c r="EH33" s="11" t="str">
        <f>IF(SUM(DM33:DN33,DP33:DR33,DT33)-DO33-DS33&gt;0,SUM(DM33:DN33,DP33:DR33,DT33)-DO33-DS33,"")</f>
        <v/>
      </c>
      <c r="EI33" s="11" t="str">
        <f>IF(SUM(DU33:DV33,DX33)-DW33&gt;0,SUM(DU33:DV33,DX33)-DW33,"")</f>
        <v/>
      </c>
      <c r="EJ33" s="11" t="str">
        <f>IF(SUM(DN33,DR33,DV33)&gt;0,SUM(DN33,DR33,DV33),"")</f>
        <v/>
      </c>
      <c r="EK33" s="11" t="str">
        <f>IF(SUM(EH33,EI33)&gt;0,SUM(EH33,EI33),"")</f>
        <v/>
      </c>
      <c r="EL33" s="11" t="str">
        <f>IF(SUM(DZ33,ED33)&gt;0,SUM(DZ33,ED33),"")</f>
        <v/>
      </c>
      <c r="EM33" s="11" t="str">
        <f>IF(SUM(DY33:DZ33,EB33:ED33,EF33)-SUM(EA33,EE33)&gt;0,SUM(DY33:DZ33,EB33:ED33,EF33)-SUM(EA33,EE33),"")</f>
        <v/>
      </c>
      <c r="EN33" s="11" t="str">
        <f>IF(SUM(EH33,EI33,EM33)&gt;0,SUM(EH33,EI33,EM33),"")</f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>IF(SUM(EP33,ET33)&gt;0,SUM(EP33,ET33),"")</f>
        <v/>
      </c>
      <c r="FJ33" s="40" t="str">
        <f>IF(SUM(EO33:EP33,ER33:ET33,EV33)-EQ33-EU33&gt;0,SUM(EO33:EP33,ER33:ET33,EV33)-EQ33-EU33,"")</f>
        <v/>
      </c>
      <c r="FK33" s="40" t="str">
        <f>IF(SUM(EW33:EX33,EZ33)-EY33&gt;0,SUM(EW33:EX33,EZ33)-EY33,"")</f>
        <v/>
      </c>
      <c r="FL33" s="40" t="str">
        <f>IF(SUM(EP33,ET33,EX33)&gt;0,SUM(EP33,ET33,EX33),"")</f>
        <v/>
      </c>
      <c r="FM33" s="40" t="str">
        <f>IF(SUM(FJ33,FK33)&gt;0,SUM(FJ33,FK33),"")</f>
        <v/>
      </c>
      <c r="FN33" s="40" t="str">
        <f>IF(SUM(FB33,FF33)&gt;0,SUM(FB33,FF33),"")</f>
        <v/>
      </c>
      <c r="FO33" s="40" t="str">
        <f>IF(SUM(FA33:FB33,FD33:FF33,FH33)-SUM(FC33,FG33)&gt;0,SUM(FA33:FB33,FD33:FF33,FH33)-SUM(FC33,FG33),"")</f>
        <v/>
      </c>
      <c r="FP33" s="40" t="str">
        <f>IF(SUM(FJ33,FK33,FO33)&gt;0,SUM(FJ33,FK33,FO33),"")</f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>IF(SUM(FR33,FV33)&gt;0,SUM(FR33,FV33),"")</f>
        <v/>
      </c>
      <c r="GL33" s="11" t="str">
        <f>IF(SUM(FQ33:FR33,FT33:FV33,FX33)-FS33-FW33&gt;0,SUM(FQ33:FR33,FT33:FV33,FX33)-FS33-FW33,"")</f>
        <v/>
      </c>
      <c r="GM33" s="11" t="str">
        <f>IF(SUM(FY33:FZ33,GB33)-GA33&gt;0,SUM(FY33:FZ33,GB33)-GA33,"")</f>
        <v/>
      </c>
      <c r="GN33" s="11" t="str">
        <f>IF(SUM(FR33,FV33,FZ33)&gt;0,SUM(FR33,FV33,FZ33),"")</f>
        <v/>
      </c>
      <c r="GO33" s="11" t="str">
        <f>IF(SUM(GL33,GM33)&gt;0,SUM(GL33,GM33),"")</f>
        <v/>
      </c>
      <c r="GP33" s="11" t="str">
        <f>IF(SUM(GD33,GH33)&gt;0,SUM(GD33,GH33),"")</f>
        <v/>
      </c>
      <c r="GQ33" s="11" t="str">
        <f>IF(SUM(GC33:GD33,GF33:GH33,GJ33)-SUM(GE33,GI33)&gt;0,SUM(GC33:GD33,GF33:GH33,GJ33)-SUM(GE33,GI33),"")</f>
        <v/>
      </c>
      <c r="GR33" s="11" t="str">
        <f>IF(SUM(GL33,GM33,GQ33)&gt;0,SUM(GL33,GM33,GQ33),"")</f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>IF(SUM(GT33,GX33)&gt;0,SUM(GT33,GX33),"")</f>
        <v/>
      </c>
      <c r="HN33" s="40" t="str">
        <f>IF(SUM(GS33:GT33,GV33:GX33,GZ33)-GU33-GY33&gt;0,SUM(GS33:GT33,GV33:GX33,GZ33)-GU33-GY33,"")</f>
        <v/>
      </c>
      <c r="HO33" s="40" t="str">
        <f>IF(SUM(HA33:HB33,HD33)-HC33&gt;0,SUM(HA33:HB33,HD33)-HC33,"")</f>
        <v/>
      </c>
      <c r="HP33" s="40" t="str">
        <f>IF(SUM(GT33,GX33,HB33)&gt;0,SUM(GT33,GX33,HB33),"")</f>
        <v/>
      </c>
      <c r="HQ33" s="40" t="str">
        <f>IF(SUM(HN33,HO33)&gt;0,SUM(HN33,HO33),"")</f>
        <v/>
      </c>
      <c r="HR33" s="40" t="str">
        <f>IF(SUM(HF33,HJ33)&gt;0,SUM(HF33,HJ33),"")</f>
        <v/>
      </c>
      <c r="HS33" s="40" t="str">
        <f>IF(SUM(HE33:HF33,HH33:HJ33,HL33)-SUM(HG33,HK33)&gt;0,SUM(HE33:HF33,HH33:HJ33,HL33)-SUM(HG33,HK33),"")</f>
        <v/>
      </c>
      <c r="HT33" s="40" t="str">
        <f>IF(SUM(HN33,HO33,HS33)&gt;0,SUM(HN33,HO33,HS33),"")</f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>IF(SUM(HV33,HZ33)&gt;0,SUM(HV33,HZ33),"")</f>
        <v/>
      </c>
      <c r="IP33" s="11" t="str">
        <f>IF(SUM(HU33:HV33,HX33:HZ33,IB33)-HW33-IA33&gt;0,SUM(HU33:HV33,HX33:HZ33,IB33)-HW33-IA33,"")</f>
        <v/>
      </c>
      <c r="IQ33" s="11" t="str">
        <f>IF(SUM(IC33:ID33,IF33)-IE33&gt;0,SUM(IC33:ID33,IF33)-IE33,"")</f>
        <v/>
      </c>
      <c r="IR33" s="11" t="str">
        <f>IF(SUM(HV33,HZ33,ID33)&gt;0,SUM(HV33,HZ33,ID33),"")</f>
        <v/>
      </c>
      <c r="IS33" s="11" t="str">
        <f>IF(SUM(IP33,IQ33)&gt;0,SUM(IP33,IQ33),"")</f>
        <v/>
      </c>
      <c r="IT33" s="11" t="str">
        <f>IF(SUM(IH33,IL33)&gt;0,SUM(IH33,IL33),"")</f>
        <v/>
      </c>
      <c r="IU33" s="11" t="str">
        <f>IF(SUM(IG33:IH33,IJ33:IL33,IN33)-SUM(II33,IM33)&gt;0,SUM(IG33:IH33,IJ33:IL33,IN33)-SUM(II33,IM33),"")</f>
        <v/>
      </c>
      <c r="IV33" s="11" t="str">
        <f>IF(SUM(IP33,IQ33,IU33)&gt;0,SUM(IP33,IQ33,IU33),"")</f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>IF(SUM(IX33,JB33)&gt;0,SUM(IX33,JB33),"")</f>
        <v/>
      </c>
      <c r="JR33" s="40" t="str">
        <f>IF(SUM(IW33:IX33,IZ33:JB33,JD33)-IY33-JC33&gt;0,SUM(IW33:IX33,IZ33:JB33,JD33)-IY33-JC33,"")</f>
        <v/>
      </c>
      <c r="JS33" s="40" t="str">
        <f>IF(SUM(JE33:JF33,JH33)-JG33&gt;0,SUM(JE33:JF33,JH33)-JG33,"")</f>
        <v/>
      </c>
      <c r="JT33" s="40" t="str">
        <f>IF(SUM(IX33,JB33,JF33)&gt;0,SUM(IX33,JB33,JF33),"")</f>
        <v/>
      </c>
      <c r="JU33" s="40" t="str">
        <f>IF(SUM(JR33,JS33)&gt;0,SUM(JR33,JS33),"")</f>
        <v/>
      </c>
      <c r="JV33" s="40" t="str">
        <f>IF(SUM(JJ33,JN33)&gt;0,SUM(JJ33,JN33),"")</f>
        <v/>
      </c>
      <c r="JW33" s="40" t="str">
        <f>IF(SUM(JI33:JJ33,JL33:JN33,JP33)-SUM(JK33,JO33)&gt;0,SUM(JI33:JJ33,JL33:JN33,JP33)-SUM(JK33,JO33),"")</f>
        <v/>
      </c>
      <c r="JX33" s="40" t="str">
        <f>IF(SUM(JR33,JS33,JW33)&gt;0,SUM(JR33,JS33,JW33),"")</f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>IF(SUM(JZ33,KD33)&gt;0,SUM(JZ33,KD33),"")</f>
        <v/>
      </c>
      <c r="KT33" s="11" t="str">
        <f>IF(SUM(JY33:JZ33,KB33:KD33,KF33)-KA33-KE33&gt;0,SUM(JY33:JZ33,KB33:KD33,KF33)-KA33-KE33,"")</f>
        <v/>
      </c>
      <c r="KU33" s="11" t="str">
        <f>IF(SUM(KG33:KH33,KJ33)-KI33&gt;0,SUM(KG33:KH33,KJ33)-KI33,"")</f>
        <v/>
      </c>
      <c r="KV33" s="11" t="str">
        <f>IF(SUM(JZ33,KD33,KH33)&gt;0,SUM(JZ33,KD33,KH33),"")</f>
        <v/>
      </c>
      <c r="KW33" s="11" t="str">
        <f>IF(SUM(KT33,KU33)&gt;0,SUM(KT33,KU33),"")</f>
        <v/>
      </c>
      <c r="KX33" s="11" t="str">
        <f>IF(SUM(KL33,KP33)&gt;0,SUM(KL33,KP33),"")</f>
        <v/>
      </c>
      <c r="KY33" s="11" t="str">
        <f>IF(SUM(KK33:KL33,KN33:KP33,KR33)-SUM(KM33,KQ33)&gt;0,SUM(KK33:KL33,KN33:KP33,KR33)-SUM(KM33,KQ33),"")</f>
        <v/>
      </c>
      <c r="KZ33" s="11" t="str">
        <f>IF(SUM(KT33,KU33,KY33)&gt;0,SUM(KT33,KU33,KY33),"")</f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>IF(SUM(LB33,LF33)&gt;0,SUM(LB33,LF33),"")</f>
        <v/>
      </c>
      <c r="LV33" s="40" t="str">
        <f>IF(SUM(LA33:LB33,LD33:LF33,LH33)-LC33-LG33&gt;0,SUM(LA33:LB33,LD33:LF33,LH33)-LC33-LG33,"")</f>
        <v/>
      </c>
      <c r="LW33" s="40" t="str">
        <f>IF(SUM(LI33:LJ33,LL33)-LK33&gt;0,SUM(LI33:LJ33,LL33)-LK33,"")</f>
        <v/>
      </c>
      <c r="LX33" s="40" t="str">
        <f>IF(SUM(LB33,LF33,LJ33)&gt;0,SUM(LB33,LF33,LJ33),"")</f>
        <v/>
      </c>
      <c r="LY33" s="40" t="str">
        <f>IF(SUM(LV33,LW33)&gt;0,SUM(LV33,LW33),"")</f>
        <v/>
      </c>
      <c r="LZ33" s="40" t="str">
        <f>IF(SUM(LN33,LR33)&gt;0,SUM(LN33,LR33),"")</f>
        <v/>
      </c>
      <c r="MA33" s="40" t="str">
        <f>IF(SUM(LM33:LN33,LP33:LR33,LT33)-SUM(LO33,LS33)&gt;0,SUM(LM33:LN33,LP33:LR33,LT33)-SUM(LO33,LS33),"")</f>
        <v/>
      </c>
      <c r="MB33" s="40" t="str">
        <f>IF(SUM(LV33,LW33,MA33)&gt;0,SUM(LV33,LW33,MA33),"")</f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>IF(SUM(MD33,MH33)&gt;0,SUM(MD33,MH33),"")</f>
        <v/>
      </c>
      <c r="MX33" s="11" t="str">
        <f>IF(SUM(MC33:MD33,MF33:MH33,MJ33)-ME33-MI33&gt;0,SUM(MC33:MD33,MF33:MH33,MJ33)-ME33-MI33,"")</f>
        <v/>
      </c>
      <c r="MY33" s="11" t="str">
        <f>IF(SUM(MK33:ML33,MN33)-MM33&gt;0,SUM(MK33:ML33,MN33)-MM33,"")</f>
        <v/>
      </c>
      <c r="MZ33" s="11" t="str">
        <f>IF(SUM(MD33,MH33,ML33)&gt;0,SUM(MD33,MH33,ML33),"")</f>
        <v/>
      </c>
      <c r="NA33" s="11" t="str">
        <f>IF(SUM(MX33,MY33)&gt;0,SUM(MX33,MY33),"")</f>
        <v/>
      </c>
      <c r="NB33" s="11" t="str">
        <f>IF(SUM(MP33,MT33)&gt;0,SUM(MP33,MT33),"")</f>
        <v/>
      </c>
      <c r="NC33" s="11" t="str">
        <f>IF(SUM(MO33:MP33,MR33:MT33,MV33)-SUM(MQ33,MU33)&gt;0,SUM(MO33:MP33,MR33:MT33,MV33)-SUM(MQ33,MU33),"")</f>
        <v/>
      </c>
      <c r="ND33" s="11" t="str">
        <f>IF(SUM(MX33,MY33,NC33)&gt;0,SUM(MX33,MY33,NC33),"")</f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>IF(SUM(NF33,NJ33)&gt;0,SUM(NF33,NJ33),"")</f>
        <v/>
      </c>
      <c r="NZ33" s="40" t="str">
        <f>IF(SUM(NE33:NF33,NH33:NJ33,NL33)-NG33-NK33&gt;0,SUM(NE33:NF33,NH33:NJ33,NL33)-NG33-NK33,"")</f>
        <v/>
      </c>
      <c r="OA33" s="40" t="str">
        <f>IF(SUM(NM33:NN33,NP33)-NO33&gt;0,SUM(NM33:NN33,NP33)-NO33,"")</f>
        <v/>
      </c>
      <c r="OB33" s="40" t="str">
        <f>IF(SUM(NF33,NJ33,NN33)&gt;0,SUM(NF33,NJ33,NN33),"")</f>
        <v/>
      </c>
      <c r="OC33" s="40" t="str">
        <f>IF(SUM(NZ33,OA33)&gt;0,SUM(NZ33,OA33),"")</f>
        <v/>
      </c>
      <c r="OD33" s="40" t="str">
        <f>IF(SUM(NR33,NV33)&gt;0,SUM(NR33,NV33),"")</f>
        <v/>
      </c>
      <c r="OE33" s="40" t="str">
        <f>IF(SUM(NQ33:NR33,NT33:NV33,NX33)-SUM(NS33,NW33)&gt;0,SUM(NQ33:NR33,NT33:NV33,NX33)-SUM(NS33,NW33),"")</f>
        <v/>
      </c>
      <c r="OF33" s="40" t="str">
        <f>IF(SUM(NZ33,OA33,OE33)&gt;0,SUM(NZ33,OA33,OE33),"")</f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>IF(SUM(OH33,OL33)&gt;0,SUM(OH33,OL33),"")</f>
        <v/>
      </c>
      <c r="PB33" s="11" t="str">
        <f>IF(SUM(OG33:OH33,OJ33:OL33,ON33)-OI33-OM33&gt;0,SUM(OG33:OH33,OJ33:OL33,ON33)-OI33-OM33,"")</f>
        <v/>
      </c>
      <c r="PC33" s="11" t="str">
        <f>IF(SUM(OO33:OP33,OR33)-OQ33&gt;0,SUM(OO33:OP33,OR33)-OQ33,"")</f>
        <v/>
      </c>
      <c r="PD33" s="11" t="str">
        <f>IF(SUM(OH33,OL33,OP33)&gt;0,SUM(OH33,OL33,OP33),"")</f>
        <v/>
      </c>
      <c r="PE33" s="11" t="str">
        <f>IF(SUM(PB33,PC33)&gt;0,SUM(PB33,PC33),"")</f>
        <v/>
      </c>
      <c r="PF33" s="11" t="str">
        <f>IF(SUM(OT33,OX33)&gt;0,SUM(OT33,OX33),"")</f>
        <v/>
      </c>
      <c r="PG33" s="11" t="str">
        <f>IF(SUM(OS33:OT33,OV33:OX33,OZ33)-SUM(OU33,OY33)&gt;0,SUM(OS33:OT33,OV33:OX33,OZ33)-SUM(OU33,OY33),"")</f>
        <v/>
      </c>
      <c r="PH33" s="11" t="str">
        <f>IF(SUM(PB33,PC33,PG33)&gt;0,SUM(PB33,PC33,PG33),"")</f>
        <v/>
      </c>
      <c r="PI33" s="22">
        <f>IF($CC33="P",BM33,(BM33+AQ33)/2)</f>
        <v>7.6</v>
      </c>
      <c r="PJ33" s="22">
        <f>IF($CC33="P",BN33,(BN33+AR33)/2)</f>
        <v>1.6</v>
      </c>
      <c r="PK33" s="22">
        <f>IF($CC33="P",BO33,(BO33+AS33)/2)</f>
        <v>0</v>
      </c>
      <c r="PL33" s="22">
        <f>IF($CC33="P",BP33,(BP33+AT33)/2)</f>
        <v>0</v>
      </c>
      <c r="PM33" s="22">
        <f>IF($CC33="P",BQ33,(BQ33+AU33)/2)</f>
        <v>7.7</v>
      </c>
      <c r="PN33" s="22">
        <f>IF($CC33="P",BR33,(BR33+AV33)/2)</f>
        <v>2.4</v>
      </c>
      <c r="PO33" s="22">
        <f>IF($CC33="P",BS33,(BS33+AW33)/2)</f>
        <v>0</v>
      </c>
      <c r="PP33" s="22">
        <f>IF($CC33="P",BT33,(BT33+AX33)/2)</f>
        <v>0.15</v>
      </c>
      <c r="PQ33" s="22">
        <f>IF($CC33="P",BU33,(BU33+AY33)/2)</f>
        <v>0</v>
      </c>
      <c r="PR33" s="22">
        <f>IF($CC33="P",BV33,(BV33+AZ33)/2)</f>
        <v>0</v>
      </c>
      <c r="PS33" s="22">
        <f>IF($CC33="P",BW33,(BW33+BA33)/2)</f>
        <v>0</v>
      </c>
      <c r="PT33" s="22">
        <f>IF($CC33="P",BX33,(BX33+BB33)/2)</f>
        <v>0</v>
      </c>
      <c r="PU33" s="22">
        <f>IF($CC33="P",BY33,(BY33+BC33)/2)</f>
        <v>0</v>
      </c>
      <c r="PV33" s="22">
        <f>IF($CC33="P",BZ33,(BZ33+BD33)/2)</f>
        <v>0</v>
      </c>
      <c r="PW33" s="22">
        <f>IF($CC33="P",CA33,(CA33+BE33)/2)</f>
        <v>0</v>
      </c>
      <c r="PX33" s="22">
        <f>IF($CC33="P",CB33,(CB33+BF33)/2)</f>
        <v>0</v>
      </c>
      <c r="PY33" s="27" t="s">
        <v>46</v>
      </c>
      <c r="PZ33" s="40">
        <f>IF(SUM(PJ33,PN33)&gt;0,SUM(PJ33,PN33),"")</f>
        <v>4</v>
      </c>
      <c r="QA33" s="40">
        <f>IF(SUM(PI33:PJ33,PL33:PN33,PP33)-PK33-PO33&gt;0,SUM(PI33:PJ33,PL33:PN33,PP33)-PK33-PO33,"")</f>
        <v>19.449999999999996</v>
      </c>
      <c r="QB33" s="40" t="str">
        <f>IF(SUM(PR33,PV33)&gt;0,SUM(PR33,PV33),"")</f>
        <v/>
      </c>
      <c r="QC33" s="40" t="str">
        <f>IF(SUM(PQ33:PR33,PT33:PV33,PX33)-SUM(PS33,PW33)&gt;0,SUM(PQ33:PR33,PT33:PV33,PX33)-SUM(PS33,PW33),"")</f>
        <v/>
      </c>
      <c r="QD33" s="40">
        <f>IF(SUM(QA33,QC33)&gt;0,SUM(QA33,QC33),"")</f>
        <v>19.449999999999996</v>
      </c>
    </row>
    <row r="34" spans="1:446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188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L34&gt;=AP$38,AM34&gt;=AP$42,AL34&lt;&gt;"",AK34=""),AND(AN34&gt;=AP$38,AO34&gt;=AP$42,AN34&lt;&gt;"",AK34=""),AND(BH34&gt;=BL$38,BI34&gt;=BL$42,BH34&lt;&gt;"",BG34=""),AND(BJ34&gt;=BL$38,BK34&gt;=BL$42,BJ34&lt;&gt;"",BG34=""),AND(CD34&gt;=CH$38,CE34&gt;=CH$42,CD34&lt;&gt;"",CC34=""),AND(CF34&gt;=CH$38,CG34&gt;=CH$42,CF34&lt;&gt;""),AND(DE34&gt;=DL$38,DF34&gt;=DL$42,DE34&lt;&gt;""),AND(DJ34&gt;=DL$38,DK34&gt;=DL$42,DJ34&lt;&gt;""),AND(EG34&gt;=EN$38,EH34&gt;=EN$42,EG34&lt;&gt;""),AND(EL34&gt;=EN$38,EM34&gt;=EN$42,EL34&lt;&gt;""),AND(FI34&gt;=FP$38,FJ34&gt;=FP$42,FI34&lt;&gt;""),AND(FN34&gt;=FP$38,FO34&gt;=FP$42,FN34&lt;&gt;""),AND(GK34&gt;=GR$38,GL34&gt;=GR$42,GK34&lt;&gt;""),AND(GP34&gt;=GR$38,GQ34&gt;=GR$42,GP34&lt;&gt;""),AND(HM34&gt;=HT$38,HN34&gt;=HT$42,HM34&lt;&gt;""),AND(HR34&gt;=HT$38,HS34&gt;=HT$42,HR34&lt;&gt;""),AND(IO34&gt;=IV$38,IP34&gt;=IV$42,IO34&lt;&gt;""),AND(IT34&gt;=IV$38,IU34&gt;=IV$42,IT34&lt;&gt;""),AND(JQ34&gt;=JX$38,JR34&gt;=JX$42,JQ34&lt;&gt;""),AND(JV34&gt;=JX$38,JW34&gt;=JX$42,JV34&lt;&gt;""),AND(KS34&gt;=KZ$38,KT34&gt;=KZ$42,KS34&lt;&gt;""),AND(KX34&gt;=KZ$38,KY34&gt;=KZ$42,KX34&lt;&gt;""),AND(LU34&gt;=MB$38,LV34&gt;=MB$42,LU34&lt;&gt;""),AND(LZ34&gt;=MB$38,MA34&gt;=MB$42,LZ34&lt;&gt;""),AND(MW34&gt;=ND$38,MX34&gt;=ND$42,MW34&lt;&gt;""),AND(NB34&gt;=ND$38,NC34&gt;=ND$42,NB34&lt;&gt;""),AND(NY34&gt;=OF$38,NZ34&gt;=OF$42,NY34&lt;&gt;""),AND(OD34&gt;=OF$38,OE34&gt;=OF$42,OD34&lt;&gt;""),AND(PA34&gt;=PH$38,PB34&gt;=PH$42,PA34&lt;&gt;""),AND(PF34&gt;=PH$38,PG34&gt;=PH$42,PF34&lt;&gt;"")),"P","")</f>
        <v/>
      </c>
      <c r="I34" s="3" t="str">
        <f>IF(OR(AND(AM34&gt;=AP$42,AM34&lt;&gt;"",AK34=""),AND(AO34&gt;=AP$42,AO34&lt;&gt;"",AK34=""),AND(BI34&gt;=BL$42,BI34&lt;&gt;"",BG34=""),AND(BK34&gt;=BL$42,BK34&lt;&gt;"",BG34=""),AND(CE34&gt;=CH$42,CE34&lt;&gt;"",CC34=""),AND(CG34&gt;=CH$42,CG34&lt;&gt;"",CC34=""),AND(DF34&gt;=DL$42,DF34&lt;&gt;""),AND(DK34&gt;=DL$42,DK34&lt;&gt;""),AND(EH34&gt;=EN$42,EH34&lt;&gt;""),AND(EM34&gt;=EN$42,EM34&lt;&gt;""),AND(FJ34&gt;=FP$42,FJ34&lt;&gt;""),AND(FO34&gt;=FP$42,FO34&lt;&gt;""),AND(GL34&gt;=GR$42,GL34&lt;&gt;""),AND(GQ34&gt;=GR$42,GQ34&lt;&gt;""),AND(HN34&gt;=HT$42,HN34&lt;&gt;""),AND(HS34&gt;=HT$42,HS34&lt;&gt;""),AND(IP34&gt;=IV$42,IP34&lt;&gt;""),AND(IU34&gt;=IV$42,IU34&lt;&gt;""),AND(JR34&gt;=JX$42,JR34&lt;&gt;""),AND(JW34&gt;=JX$42,JW34&lt;&gt;""),AND(KT34&gt;=KZ$42,KT34&lt;&gt;""),AND(KY34&gt;=KZ$42,KY34&lt;&gt;""),AND(LV34&gt;=MB$42,LV34&lt;&gt;""),AND(MA34&gt;=MB$42,MA34&lt;&gt;""),AND(MX34&gt;=ND$42,MX34&lt;&gt;""),AND(NC34&gt;=ND$42,NC34&lt;&gt;""),AND(NZ34&gt;=OF$42,NZ34&lt;&gt;""),AND(OE34&gt;=OF$42,OE34&lt;&gt;""),AND(PB34&gt;=PH$42,PB34&lt;&gt;""),AND(PG34&gt;=PH$42,PG34&lt;&gt;"")),"P","")</f>
        <v/>
      </c>
      <c r="J34" s="36" t="str">
        <f>IF(AND(I34="P",H34=""),"No DD",IF(OR(AND(AL34&gt;=AP$26,AM34&gt;=AP$30,AL34&lt;&gt;"",AK34=""),AND(BH34&gt;=BL$26,BI34&gt;=BL$30,BH34&lt;&gt;"",BG34=""),AND(CD34&gt;=CH$26,CE34&gt;=CH$30,CD34&lt;&gt;"",CC34=""),AND(DH34&gt;=DL$26,DI34&gt;=DL$30,DH34&lt;&gt;""),AND(EJ34&gt;=EN$26,EK34&gt;=EN$30,EJ34&lt;&gt;""),AND(FL34&gt;=FP$26,FM34&gt;=FP$30,FL34&lt;&gt;""),AND(GN34&gt;=GR$26,GO34&gt;=GR$30,GN34&lt;&gt;""),AND(HP34&gt;=HT$26,HQ34&gt;=HT$30,HP34&lt;&gt;""),AND(IR34&gt;=IV$26,IS34&gt;=IV$30,IR34&lt;&gt;""),AND(JT34&gt;=JX$26,JU34&gt;=JX$30,JT34&lt;&gt;""),AND(KV34&gt;=KZ$26,KW34&gt;=KZ$30,KV34&lt;&gt;""),AND(LX34&gt;=MB$26,LY34&gt;=MB$30,LX34&lt;&gt;""),AND(MZ34&gt;=ND$26,NA34&gt;=ND$30,MZ34&lt;&gt;""),AND(OB34&gt;=OF$26,OC34&gt;=OF$30,OB34&lt;&gt;""),AND(PD34&gt;=PH$26,PE34&gt;=PH$30,PD34&lt;&gt;"")),"Merit",IF(OR(AND(AL34&gt;=AP$25,AM34&gt;=AP$29,AL34&lt;&gt;"",AK34=""),AND(BH34&gt;=BL$25,BI34&gt;=BL$29,BH34&lt;&gt;"",BG34=""),AND(CD34&gt;=CH$25,CE34&gt;=CH$29,CD34&lt;&gt;"",CC34=""),AND(DH34&gt;=DL$25,DI34&gt;=DL$29,DH34&lt;&gt;""),AND(EJ34&gt;=EN$25,EK34&gt;=EN$29,EJ34&lt;&gt;""),AND(FL34&gt;=FP$25,FM34&gt;=FP$29,FL34&lt;&gt;""),AND(GN34&gt;=GR$25,GO34&gt;=GR$29,GN34&lt;&gt;""),AND(HP34&gt;=HT$25,HQ34&gt;=HT$29,HP34&lt;&gt;""),AND(IR34&gt;=IV$25,IS34&gt;=IV$29,IR34&lt;&gt;""),AND(JT34&gt;=JX$25,JU34&gt;=JX$29,JT34&lt;&gt;""),AND(KV34&gt;=KZ$25,KW34&gt;=KZ$29,KV34&lt;&gt;""),AND(LX34&gt;=MB$25,LY34&gt;=MB$29,LX34&lt;&gt;""),AND(MZ34&gt;=ND$25,NA34&gt;=ND$29,MZ34&lt;&gt;""),AND(OB34&gt;=OF$25,OC34&gt;=OF$29,OB34&lt;&gt;""),AND(PD34&gt;=PH$25,PE34&gt;=PH$29,PD34&lt;&gt;"")),"Excellence",IF(K34="P","Worlds Team",IF(H34="P","National Team","")))))</f>
        <v/>
      </c>
      <c r="K34" s="3" t="str">
        <f>IF(OR(AND(AL34&gt;=AP$24,AM34&gt;=AP$28,AL34&lt;&gt;"",AK34=""),AND(BH34&gt;=BL$24,BI34&gt;=BL$28,BH34&lt;&gt;"",BG34=""),AND(CD34&gt;=CH$24,CE34&gt;=CH$28,CD34&lt;&gt;"",CC34=""),AND(DH34&gt;=DL$24,DI34&gt;=DL$28,DH34&lt;&gt;""),AND(EJ34&gt;=EN$24,EK34&gt;=EN$28,EJ34&lt;&gt;""),AND(FL34&gt;=FP$24,FM34&gt;=FP$28,FL34&lt;&gt;""),AND(GN34&gt;=GR$24,GO34&gt;=GR$28,GN34&lt;&gt;""),AND(HP34&gt;=HT$24,HQ34&gt;=HT$28,HP34&lt;&gt;""),AND(IR34&gt;=IV$24,IS34&gt;=IV$28,IR34&lt;&gt;""),AND(JT34&gt;=JX$24,JU34&gt;=JX$28,JT34&lt;&gt;""),AND(KV34&gt;=KZ$24,KW34&gt;=KZ$28,KV34&lt;&gt;""),AND(LX34&gt;=MB$24,LY34&gt;=MB$28,LX34&lt;&gt;""),AND(MZ34&gt;=ND$24,NA34&gt;=ND$28,MZ34&lt;&gt;""),AND(OB34&gt;=OF$24,OC34&gt;=OF$28,OB34&lt;&gt;""),AND(PD34&gt;=PH$24,PE34&gt;=PH$28,PD34&lt;&gt;"")),"P","")</f>
        <v/>
      </c>
      <c r="L34" s="8">
        <f>IF(COUNT(AM34,BI34,CE34)&gt;0,LARGE((AM34,BI34,CE34),1),0)</f>
        <v>35.399999999999991</v>
      </c>
      <c r="M34" s="8" t="str">
        <f>IF(L34=0,"",IF(L34=CE34,$BM$1,IF(L34=BI34,$AQ$1,IF(L34=AM34,$U$1,""))))</f>
        <v>2025 Nationals</v>
      </c>
      <c r="N34" s="8">
        <f>IF(COUNT(AM34,BI34,CE34)&gt;1,LARGE((AM34,BI34,CE34),2),0)</f>
        <v>0</v>
      </c>
      <c r="O34" s="8" t="str">
        <f>IF(N34=0,"",IF(AND(N34=L34,N34=AM34,N34=BI34),$U$1,IF(AND(N34=L34,N34=AM34,N34=CE34),$U$1,IF(AND(N34=L34,N34=BI34,N34=CE34),$AQ$1,IF(N34=CE34,$BM$1,IF(N34=BI34,$AQ$1,IF(N34=AM34,$U$1,"")))))))</f>
        <v/>
      </c>
      <c r="P34" s="8">
        <f>IF(MAX(AO34,BK34,CG34)&gt;0,MAX(AO34,BK34,CG34),0)</f>
        <v>44.8</v>
      </c>
      <c r="Q34" s="8" t="str">
        <f>IF(P34=0,"",IF(P34=CG34,$BM$1,IF(P34=BK34,$AQ$1,IF(P34=AO34,$U$1,""))))</f>
        <v>2025 Nationals</v>
      </c>
      <c r="R34" s="8" t="str">
        <f>IF(MAX(CI34:CJ34)&gt;0,MAX(CI34:CJ34),"")</f>
        <v/>
      </c>
      <c r="S34" s="11" t="str">
        <f>IF(R34="","",IF(R34=CI34,"("&amp;CI$2&amp;")",IF(R34=CJ34,"("&amp;CJ$2&amp;")")))</f>
        <v/>
      </c>
      <c r="T34" s="8" t="str">
        <f>IF(R34="","",IF(R34=CI34,IF(R34+IF(N34="",0,N34)=PB34,$OG$1,IF(R34+IF(N34="",0,N34)=NZ34,$NE$1,IF(R34+IF(N34="",0,N34)=MX34,$MC$1,IF(R34+IF(N34="",0,N34)=LV34,$LA$1,IF(R34+IF(N34="",0,N34)=KT34,$JY$1,IF(R34+IF(N34="",0,N34)=JR34,$IW$1,IF(R34+IF(N34="",0,N34)=IP34,$HU$1,IF(R34+IF(N34="",0,N34)=HN34,$GS$1,IF(R34+IF(N34="",0,N34)=GL34,$FQ$1,IF(R34+IF(N34="",0,N34)=FJ34,$EO$1,IF(R34+IF(N34="",0,N34)=EH34,$DM$1,IF(R34+IF(N34="",0,N34)=DF34,$CK$1)))))))))))),IF(R34=CJ34,IF(R34+IF(P34="",0,P34)=PG34,$OG$1,IF(R34+IF(P34="",0,P34)=OE34,$NE$1,IF(R34+IF(P34="",0,P34)=NC34,$MC$1,IF(R34+IF(P34="",0,P34)=MA34,$LA$1,IF(R34+IF(P34="",0,P34)=KY34,$JY$1,IF(R34+IF(P34="",0,P34)=JW34,$IW$1,IF(R34+IF(P34="",0,P34)=IU34,$HU$1,IF(R34+IF(P34="",0,P34)=HS34,$GS$1,IF(R34+IF(P34="",0,P34)=GQ34,$FQ$1,IF(R34+IF(P34="",0,P34)=FO34,$EO$1,IF(R34+IF(P34="",0,P34)=EM34,$DM$1,IF(R34+IF(P34="",0,P34)=DK34,$CK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27"/>
      <c r="AL34" s="40" t="str">
        <f>IF(SUM(V34,Z34)&gt;0,SUM(V34,Z34),"")</f>
        <v/>
      </c>
      <c r="AM34" s="40" t="str">
        <f>IF(SUM(U34:V34,X34:Z34,AB34)-W34-AA34&gt;0,SUM(U34:V34,X34:Z34,AB34)-W34-AA34,"")</f>
        <v/>
      </c>
      <c r="AN34" s="40" t="str">
        <f>IF(SUM(AD34,AH34)&gt;0,SUM(AD34,AH34),"")</f>
        <v/>
      </c>
      <c r="AO34" s="40" t="str">
        <f>IF(SUM(AC34:AD34,AF34:AH34,AJ34)-SUM(AE34,AI34)&gt;0,SUM(AC34:AD34,AF34:AH34,AJ34)-SUM(AE34,AI34),"")</f>
        <v/>
      </c>
      <c r="AP34" s="40" t="str">
        <f>IF(SUM(AM34,AO34)&gt;0,SUM(AM34,AO34),"")</f>
        <v/>
      </c>
      <c r="AQ34" s="18">
        <v>15</v>
      </c>
      <c r="AR34" s="18">
        <v>2.4</v>
      </c>
      <c r="AS34" s="18">
        <v>0</v>
      </c>
      <c r="AT34" s="18">
        <v>0</v>
      </c>
      <c r="AU34" s="18">
        <v>15.2</v>
      </c>
      <c r="AV34" s="18">
        <v>2.8</v>
      </c>
      <c r="AW34" s="18">
        <v>0</v>
      </c>
      <c r="AX34" s="18">
        <v>0</v>
      </c>
      <c r="AY34" s="18">
        <v>18.100000000000001</v>
      </c>
      <c r="AZ34" s="18">
        <v>4.4000000000000004</v>
      </c>
      <c r="BA34" s="18">
        <v>0.8</v>
      </c>
      <c r="BB34" s="18">
        <v>0</v>
      </c>
      <c r="BC34" s="18">
        <v>18.3</v>
      </c>
      <c r="BD34" s="18">
        <v>5.6</v>
      </c>
      <c r="BE34" s="18">
        <v>0.8</v>
      </c>
      <c r="BF34" s="18">
        <v>0</v>
      </c>
      <c r="BG34" s="28"/>
      <c r="BH34" s="11">
        <f>IF(SUM(AR34,AV34)&gt;0,SUM(AR34,AV34),"")</f>
        <v>5.1999999999999993</v>
      </c>
      <c r="BI34" s="11">
        <f>IF(SUM(AQ34:AR34,AT34:AV34,AX34)-AS34-AW34&gt;0,SUM(AQ34:AR34,AT34:AV34,AX34)-AS34-AW34,"")</f>
        <v>35.399999999999991</v>
      </c>
      <c r="BJ34" s="11">
        <f>IF(SUM(AZ34,BD34)&gt;0,SUM(AZ34,BD34),"")</f>
        <v>10</v>
      </c>
      <c r="BK34" s="11">
        <f>IF(SUM(AY34:AZ34,BB34:BD34,BF34)-SUM(BA34,BE34)&gt;0,SUM(AY34:AZ34,BB34:BD34,BF34)-SUM(BA34,BE34),"")</f>
        <v>44.8</v>
      </c>
      <c r="BL34" s="11">
        <f>IF(SUM(BI34,BK34)&gt;0,SUM(BI34,BK34),"")</f>
        <v>80.199999999999989</v>
      </c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27"/>
      <c r="CD34" s="40" t="str">
        <f>IF(SUM(BN34,BR34)&gt;0,SUM(BN34,BR34),"")</f>
        <v/>
      </c>
      <c r="CE34" s="40" t="str">
        <f>IF(SUM(BM34:BN34,BP34:BR34,BT34)-BO34-BS34&gt;0,SUM(BM34:BN34,BP34:BR34,BT34)-BO34-BS34,"")</f>
        <v/>
      </c>
      <c r="CF34" s="40" t="str">
        <f>IF(SUM(BV34,BZ34)&gt;0,SUM(BV34,BZ34),"")</f>
        <v/>
      </c>
      <c r="CG34" s="40" t="str">
        <f>IF(SUM(BU34:BV34,BX34:BZ34,CB34)-SUM(BW34,CA34)&gt;0,SUM(BU34:BV34,BX34:BZ34,CB34)-SUM(BW34,CA34),"")</f>
        <v/>
      </c>
      <c r="CH34" s="40" t="str">
        <f>IF(SUM(CE34,CG34)&gt;0,SUM(CE34,CG34),"")</f>
        <v/>
      </c>
      <c r="CI34" s="50" t="str">
        <f>IF(MAX(DF34,EH34,FJ34,GL34,HN34,IP34,JR34,KT34,LV34,MX34,NZ34,PB34)-IF(N34="",0,N34)&gt;0.001,MAX(DF34,EH34,FJ34,GL34,HN34,IP34,JR34,KT34,LV34,MX34,NZ34,PB34)-IF(N34="",0,N34),"")</f>
        <v/>
      </c>
      <c r="CJ34" s="50" t="str">
        <f>IF(MAX(DK34,EM34,FO34,GQ34,HS34,IU34,JW34,KY34,MA34,NC34,OE34,PG34)-IF(P34="",0,P34)&gt;0.001,MAX(DK34,EM34,FO34,GQ34,HS34,IU34,JW34,KY34,MA34,NC34,OE34,PG34)-IF(P34="",0,P34),"")</f>
        <v/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40" t="str">
        <f>IF(SUM(CL34,CP34)&gt;0,SUM(CL34,CP34),"")</f>
        <v/>
      </c>
      <c r="DF34" s="40" t="str">
        <f>IF(SUM(CK34:CL34,CN34:CP34,CR34)-CM34-CQ34&gt;0,SUM(CK34:CL34,CN34:CP34,CR34)-CM34-CQ34,"")</f>
        <v/>
      </c>
      <c r="DG34" s="40" t="str">
        <f>IF(SUM(CS34:CT34,CV34)-CU34&gt;0,SUM(CS34:CT34,CV34)-CU34,"")</f>
        <v/>
      </c>
      <c r="DH34" s="40" t="str">
        <f>IF(SUM(CL34,CP34,CT34)&gt;0,SUM(CL34,CP34,CT34),"")</f>
        <v/>
      </c>
      <c r="DI34" s="40" t="str">
        <f>IF(SUM(DF34,DG34)&gt;0,SUM(DF34,DG34),"")</f>
        <v/>
      </c>
      <c r="DJ34" s="40" t="str">
        <f>IF(SUM(CX34,DB34)&gt;0,SUM(CX34,DB34),"")</f>
        <v/>
      </c>
      <c r="DK34" s="40" t="str">
        <f>IF(SUM(CW34:CX34,CZ34:DB34,DD34)-SUM(CY34,DC34)&gt;0,SUM(CW34:CX34,CZ34:DB34,DD34)-SUM(CY34,DC34),"")</f>
        <v/>
      </c>
      <c r="DL34" s="40" t="str">
        <f>IF(SUM(DF34,DG34,DK34)&gt;0,SUM(DF34,DG34,DK34),"")</f>
        <v/>
      </c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1" t="str">
        <f>IF(SUM(DN34,DR34)&gt;0,SUM(DN34,DR34),"")</f>
        <v/>
      </c>
      <c r="EH34" s="11" t="str">
        <f>IF(SUM(DM34:DN34,DP34:DR34,DT34)-DO34-DS34&gt;0,SUM(DM34:DN34,DP34:DR34,DT34)-DO34-DS34,"")</f>
        <v/>
      </c>
      <c r="EI34" s="11" t="str">
        <f>IF(SUM(DU34:DV34,DX34)-DW34&gt;0,SUM(DU34:DV34,DX34)-DW34,"")</f>
        <v/>
      </c>
      <c r="EJ34" s="11" t="str">
        <f>IF(SUM(DN34,DR34,DV34)&gt;0,SUM(DN34,DR34,DV34),"")</f>
        <v/>
      </c>
      <c r="EK34" s="11" t="str">
        <f>IF(SUM(EH34,EI34)&gt;0,SUM(EH34,EI34),"")</f>
        <v/>
      </c>
      <c r="EL34" s="11" t="str">
        <f>IF(SUM(DZ34,ED34)&gt;0,SUM(DZ34,ED34),"")</f>
        <v/>
      </c>
      <c r="EM34" s="11" t="str">
        <f>IF(SUM(DY34:DZ34,EB34:ED34,EF34)-SUM(EA34,EE34)&gt;0,SUM(DY34:DZ34,EB34:ED34,EF34)-SUM(EA34,EE34),"")</f>
        <v/>
      </c>
      <c r="EN34" s="11" t="str">
        <f>IF(SUM(EH34,EI34,EM34)&gt;0,SUM(EH34,EI34,EM34),"")</f>
        <v/>
      </c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40" t="str">
        <f>IF(SUM(EP34,ET34)&gt;0,SUM(EP34,ET34),"")</f>
        <v/>
      </c>
      <c r="FJ34" s="40" t="str">
        <f>IF(SUM(EO34:EP34,ER34:ET34,EV34)-EQ34-EU34&gt;0,SUM(EO34:EP34,ER34:ET34,EV34)-EQ34-EU34,"")</f>
        <v/>
      </c>
      <c r="FK34" s="40" t="str">
        <f>IF(SUM(EW34:EX34,EZ34)-EY34&gt;0,SUM(EW34:EX34,EZ34)-EY34,"")</f>
        <v/>
      </c>
      <c r="FL34" s="40" t="str">
        <f>IF(SUM(EP34,ET34,EX34)&gt;0,SUM(EP34,ET34,EX34),"")</f>
        <v/>
      </c>
      <c r="FM34" s="40" t="str">
        <f>IF(SUM(FJ34,FK34)&gt;0,SUM(FJ34,FK34),"")</f>
        <v/>
      </c>
      <c r="FN34" s="40" t="str">
        <f>IF(SUM(FB34,FF34)&gt;0,SUM(FB34,FF34),"")</f>
        <v/>
      </c>
      <c r="FO34" s="40" t="str">
        <f>IF(SUM(FA34:FB34,FD34:FF34,FH34)-SUM(FC34,FG34)&gt;0,SUM(FA34:FB34,FD34:FF34,FH34)-SUM(FC34,FG34),"")</f>
        <v/>
      </c>
      <c r="FP34" s="40" t="str">
        <f>IF(SUM(FJ34,FK34,FO34)&gt;0,SUM(FJ34,FK34,FO34),"")</f>
        <v/>
      </c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1" t="str">
        <f>IF(SUM(FR34,FV34)&gt;0,SUM(FR34,FV34),"")</f>
        <v/>
      </c>
      <c r="GL34" s="11" t="str">
        <f>IF(SUM(FQ34:FR34,FT34:FV34,FX34)-FS34-FW34&gt;0,SUM(FQ34:FR34,FT34:FV34,FX34)-FS34-FW34,"")</f>
        <v/>
      </c>
      <c r="GM34" s="11" t="str">
        <f>IF(SUM(FY34:FZ34,GB34)-GA34&gt;0,SUM(FY34:FZ34,GB34)-GA34,"")</f>
        <v/>
      </c>
      <c r="GN34" s="11" t="str">
        <f>IF(SUM(FR34,FV34,FZ34)&gt;0,SUM(FR34,FV34,FZ34),"")</f>
        <v/>
      </c>
      <c r="GO34" s="11" t="str">
        <f>IF(SUM(GL34,GM34)&gt;0,SUM(GL34,GM34),"")</f>
        <v/>
      </c>
      <c r="GP34" s="11" t="str">
        <f>IF(SUM(GD34,GH34)&gt;0,SUM(GD34,GH34),"")</f>
        <v/>
      </c>
      <c r="GQ34" s="11" t="str">
        <f>IF(SUM(GC34:GD34,GF34:GH34,GJ34)-SUM(GE34,GI34)&gt;0,SUM(GC34:GD34,GF34:GH34,GJ34)-SUM(GE34,GI34),"")</f>
        <v/>
      </c>
      <c r="GR34" s="11" t="str">
        <f>IF(SUM(GL34,GM34,GQ34)&gt;0,SUM(GL34,GM34,GQ34),"")</f>
        <v/>
      </c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40" t="str">
        <f>IF(SUM(GT34,GX34)&gt;0,SUM(GT34,GX34),"")</f>
        <v/>
      </c>
      <c r="HN34" s="40" t="str">
        <f>IF(SUM(GS34:GT34,GV34:GX34,GZ34)-GU34-GY34&gt;0,SUM(GS34:GT34,GV34:GX34,GZ34)-GU34-GY34,"")</f>
        <v/>
      </c>
      <c r="HO34" s="40" t="str">
        <f>IF(SUM(HA34:HB34,HD34)-HC34&gt;0,SUM(HA34:HB34,HD34)-HC34,"")</f>
        <v/>
      </c>
      <c r="HP34" s="40" t="str">
        <f>IF(SUM(GT34,GX34,HB34)&gt;0,SUM(GT34,GX34,HB34),"")</f>
        <v/>
      </c>
      <c r="HQ34" s="40" t="str">
        <f>IF(SUM(HN34,HO34)&gt;0,SUM(HN34,HO34),"")</f>
        <v/>
      </c>
      <c r="HR34" s="40" t="str">
        <f>IF(SUM(HF34,HJ34)&gt;0,SUM(HF34,HJ34),"")</f>
        <v/>
      </c>
      <c r="HS34" s="40" t="str">
        <f>IF(SUM(HE34:HF34,HH34:HJ34,HL34)-SUM(HG34,HK34)&gt;0,SUM(HE34:HF34,HH34:HJ34,HL34)-SUM(HG34,HK34),"")</f>
        <v/>
      </c>
      <c r="HT34" s="40" t="str">
        <f>IF(SUM(HN34,HO34,HS34)&gt;0,SUM(HN34,HO34,HS34),"")</f>
        <v/>
      </c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1" t="str">
        <f>IF(SUM(HV34,HZ34)&gt;0,SUM(HV34,HZ34),"")</f>
        <v/>
      </c>
      <c r="IP34" s="11" t="str">
        <f>IF(SUM(HU34:HV34,HX34:HZ34,IB34)-HW34-IA34&gt;0,SUM(HU34:HV34,HX34:HZ34,IB34)-HW34-IA34,"")</f>
        <v/>
      </c>
      <c r="IQ34" s="11" t="str">
        <f>IF(SUM(IC34:ID34,IF34)-IE34&gt;0,SUM(IC34:ID34,IF34)-IE34,"")</f>
        <v/>
      </c>
      <c r="IR34" s="11" t="str">
        <f>IF(SUM(HV34,HZ34,ID34)&gt;0,SUM(HV34,HZ34,ID34),"")</f>
        <v/>
      </c>
      <c r="IS34" s="11" t="str">
        <f>IF(SUM(IP34,IQ34)&gt;0,SUM(IP34,IQ34),"")</f>
        <v/>
      </c>
      <c r="IT34" s="11" t="str">
        <f>IF(SUM(IH34,IL34)&gt;0,SUM(IH34,IL34),"")</f>
        <v/>
      </c>
      <c r="IU34" s="11" t="str">
        <f>IF(SUM(IG34:IH34,IJ34:IL34,IN34)-SUM(II34,IM34)&gt;0,SUM(IG34:IH34,IJ34:IL34,IN34)-SUM(II34,IM34),"")</f>
        <v/>
      </c>
      <c r="IV34" s="11" t="str">
        <f>IF(SUM(IP34,IQ34,IU34)&gt;0,SUM(IP34,IQ34,IU34),"")</f>
        <v/>
      </c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40" t="str">
        <f>IF(SUM(IX34,JB34)&gt;0,SUM(IX34,JB34),"")</f>
        <v/>
      </c>
      <c r="JR34" s="40" t="str">
        <f>IF(SUM(IW34:IX34,IZ34:JB34,JD34)-IY34-JC34&gt;0,SUM(IW34:IX34,IZ34:JB34,JD34)-IY34-JC34,"")</f>
        <v/>
      </c>
      <c r="JS34" s="40" t="str">
        <f>IF(SUM(JE34:JF34,JH34)-JG34&gt;0,SUM(JE34:JF34,JH34)-JG34,"")</f>
        <v/>
      </c>
      <c r="JT34" s="40" t="str">
        <f>IF(SUM(IX34,JB34,JF34)&gt;0,SUM(IX34,JB34,JF34),"")</f>
        <v/>
      </c>
      <c r="JU34" s="40" t="str">
        <f>IF(SUM(JR34,JS34)&gt;0,SUM(JR34,JS34),"")</f>
        <v/>
      </c>
      <c r="JV34" s="40" t="str">
        <f>IF(SUM(JJ34,JN34)&gt;0,SUM(JJ34,JN34),"")</f>
        <v/>
      </c>
      <c r="JW34" s="40" t="str">
        <f>IF(SUM(JI34:JJ34,JL34:JN34,JP34)-SUM(JK34,JO34)&gt;0,SUM(JI34:JJ34,JL34:JN34,JP34)-SUM(JK34,JO34),"")</f>
        <v/>
      </c>
      <c r="JX34" s="40" t="str">
        <f>IF(SUM(JR34,JS34,JW34)&gt;0,SUM(JR34,JS34,JW34),"")</f>
        <v/>
      </c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1" t="str">
        <f>IF(SUM(JZ34,KD34)&gt;0,SUM(JZ34,KD34),"")</f>
        <v/>
      </c>
      <c r="KT34" s="11" t="str">
        <f>IF(SUM(JY34:JZ34,KB34:KD34,KF34)-KA34-KE34&gt;0,SUM(JY34:JZ34,KB34:KD34,KF34)-KA34-KE34,"")</f>
        <v/>
      </c>
      <c r="KU34" s="11" t="str">
        <f>IF(SUM(KG34:KH34,KJ34)-KI34&gt;0,SUM(KG34:KH34,KJ34)-KI34,"")</f>
        <v/>
      </c>
      <c r="KV34" s="11" t="str">
        <f>IF(SUM(JZ34,KD34,KH34)&gt;0,SUM(JZ34,KD34,KH34),"")</f>
        <v/>
      </c>
      <c r="KW34" s="11" t="str">
        <f>IF(SUM(KT34,KU34)&gt;0,SUM(KT34,KU34),"")</f>
        <v/>
      </c>
      <c r="KX34" s="11" t="str">
        <f>IF(SUM(KL34,KP34)&gt;0,SUM(KL34,KP34),"")</f>
        <v/>
      </c>
      <c r="KY34" s="11" t="str">
        <f>IF(SUM(KK34:KL34,KN34:KP34,KR34)-SUM(KM34,KQ34)&gt;0,SUM(KK34:KL34,KN34:KP34,KR34)-SUM(KM34,KQ34),"")</f>
        <v/>
      </c>
      <c r="KZ34" s="11" t="str">
        <f>IF(SUM(KT34,KU34,KY34)&gt;0,SUM(KT34,KU34,KY34),"")</f>
        <v/>
      </c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40" t="str">
        <f>IF(SUM(LB34,LF34)&gt;0,SUM(LB34,LF34),"")</f>
        <v/>
      </c>
      <c r="LV34" s="40" t="str">
        <f>IF(SUM(LA34:LB34,LD34:LF34,LH34)-LC34-LG34&gt;0,SUM(LA34:LB34,LD34:LF34,LH34)-LC34-LG34,"")</f>
        <v/>
      </c>
      <c r="LW34" s="40" t="str">
        <f>IF(SUM(LI34:LJ34,LL34)-LK34&gt;0,SUM(LI34:LJ34,LL34)-LK34,"")</f>
        <v/>
      </c>
      <c r="LX34" s="40" t="str">
        <f>IF(SUM(LB34,LF34,LJ34)&gt;0,SUM(LB34,LF34,LJ34),"")</f>
        <v/>
      </c>
      <c r="LY34" s="40" t="str">
        <f>IF(SUM(LV34,LW34)&gt;0,SUM(LV34,LW34),"")</f>
        <v/>
      </c>
      <c r="LZ34" s="40" t="str">
        <f>IF(SUM(LN34,LR34)&gt;0,SUM(LN34,LR34),"")</f>
        <v/>
      </c>
      <c r="MA34" s="40" t="str">
        <f>IF(SUM(LM34:LN34,LP34:LR34,LT34)-SUM(LO34,LS34)&gt;0,SUM(LM34:LN34,LP34:LR34,LT34)-SUM(LO34,LS34),"")</f>
        <v/>
      </c>
      <c r="MB34" s="40" t="str">
        <f>IF(SUM(LV34,LW34,MA34)&gt;0,SUM(LV34,LW34,MA34),"")</f>
        <v/>
      </c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1" t="str">
        <f>IF(SUM(MD34,MH34)&gt;0,SUM(MD34,MH34),"")</f>
        <v/>
      </c>
      <c r="MX34" s="11" t="str">
        <f>IF(SUM(MC34:MD34,MF34:MH34,MJ34)-ME34-MI34&gt;0,SUM(MC34:MD34,MF34:MH34,MJ34)-ME34-MI34,"")</f>
        <v/>
      </c>
      <c r="MY34" s="11" t="str">
        <f>IF(SUM(MK34:ML34,MN34)-MM34&gt;0,SUM(MK34:ML34,MN34)-MM34,"")</f>
        <v/>
      </c>
      <c r="MZ34" s="11" t="str">
        <f>IF(SUM(MD34,MH34,ML34)&gt;0,SUM(MD34,MH34,ML34),"")</f>
        <v/>
      </c>
      <c r="NA34" s="11" t="str">
        <f>IF(SUM(MX34,MY34)&gt;0,SUM(MX34,MY34),"")</f>
        <v/>
      </c>
      <c r="NB34" s="11" t="str">
        <f>IF(SUM(MP34,MT34)&gt;0,SUM(MP34,MT34),"")</f>
        <v/>
      </c>
      <c r="NC34" s="11" t="str">
        <f>IF(SUM(MO34:MP34,MR34:MT34,MV34)-SUM(MQ34,MU34)&gt;0,SUM(MO34:MP34,MR34:MT34,MV34)-SUM(MQ34,MU34),"")</f>
        <v/>
      </c>
      <c r="ND34" s="11" t="str">
        <f>IF(SUM(MX34,MY34,NC34)&gt;0,SUM(MX34,MY34,NC34),"")</f>
        <v/>
      </c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40" t="str">
        <f>IF(SUM(NF34,NJ34)&gt;0,SUM(NF34,NJ34),"")</f>
        <v/>
      </c>
      <c r="NZ34" s="40" t="str">
        <f>IF(SUM(NE34:NF34,NH34:NJ34,NL34)-NG34-NK34&gt;0,SUM(NE34:NF34,NH34:NJ34,NL34)-NG34-NK34,"")</f>
        <v/>
      </c>
      <c r="OA34" s="40" t="str">
        <f>IF(SUM(NM34:NN34,NP34)-NO34&gt;0,SUM(NM34:NN34,NP34)-NO34,"")</f>
        <v/>
      </c>
      <c r="OB34" s="40" t="str">
        <f>IF(SUM(NF34,NJ34,NN34)&gt;0,SUM(NF34,NJ34,NN34),"")</f>
        <v/>
      </c>
      <c r="OC34" s="40" t="str">
        <f>IF(SUM(NZ34,OA34)&gt;0,SUM(NZ34,OA34),"")</f>
        <v/>
      </c>
      <c r="OD34" s="40" t="str">
        <f>IF(SUM(NR34,NV34)&gt;0,SUM(NR34,NV34),"")</f>
        <v/>
      </c>
      <c r="OE34" s="40" t="str">
        <f>IF(SUM(NQ34:NR34,NT34:NV34,NX34)-SUM(NS34,NW34)&gt;0,SUM(NQ34:NR34,NT34:NV34,NX34)-SUM(NS34,NW34),"")</f>
        <v/>
      </c>
      <c r="OF34" s="40" t="str">
        <f>IF(SUM(NZ34,OA34,OE34)&gt;0,SUM(NZ34,OA34,OE34),"")</f>
        <v/>
      </c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1" t="str">
        <f>IF(SUM(OH34,OL34)&gt;0,SUM(OH34,OL34),"")</f>
        <v/>
      </c>
      <c r="PB34" s="11" t="str">
        <f>IF(SUM(OG34:OH34,OJ34:OL34,ON34)-OI34-OM34&gt;0,SUM(OG34:OH34,OJ34:OL34,ON34)-OI34-OM34,"")</f>
        <v/>
      </c>
      <c r="PC34" s="11" t="str">
        <f>IF(SUM(OO34:OP34,OR34)-OQ34&gt;0,SUM(OO34:OP34,OR34)-OQ34,"")</f>
        <v/>
      </c>
      <c r="PD34" s="11" t="str">
        <f>IF(SUM(OH34,OL34,OP34)&gt;0,SUM(OH34,OL34,OP34),"")</f>
        <v/>
      </c>
      <c r="PE34" s="11" t="str">
        <f>IF(SUM(PB34,PC34)&gt;0,SUM(PB34,PC34),"")</f>
        <v/>
      </c>
      <c r="PF34" s="11" t="str">
        <f>IF(SUM(OT34,OX34)&gt;0,SUM(OT34,OX34),"")</f>
        <v/>
      </c>
      <c r="PG34" s="11" t="str">
        <f>IF(SUM(OS34:OT34,OV34:OX34,OZ34)-SUM(OU34,OY34)&gt;0,SUM(OS34:OT34,OV34:OX34,OZ34)-SUM(OU34,OY34),"")</f>
        <v/>
      </c>
      <c r="PH34" s="11" t="str">
        <f>IF(SUM(PB34,PC34,PG34)&gt;0,SUM(PB34,PC34,PG34),"")</f>
        <v/>
      </c>
      <c r="PI34" s="22">
        <f>IF($CC34="P",BM34,(BM34+AQ34)/2)</f>
        <v>7.5</v>
      </c>
      <c r="PJ34" s="22">
        <f>IF($CC34="P",BN34,(BN34+AR34)/2)</f>
        <v>1.2</v>
      </c>
      <c r="PK34" s="22">
        <f>IF($CC34="P",BO34,(BO34+AS34)/2)</f>
        <v>0</v>
      </c>
      <c r="PL34" s="22">
        <f>IF($CC34="P",BP34,(BP34+AT34)/2)</f>
        <v>0</v>
      </c>
      <c r="PM34" s="22">
        <f>IF($CC34="P",BQ34,(BQ34+AU34)/2)</f>
        <v>7.6</v>
      </c>
      <c r="PN34" s="22">
        <f>IF($CC34="P",BR34,(BR34+AV34)/2)</f>
        <v>1.4</v>
      </c>
      <c r="PO34" s="22">
        <f>IF($CC34="P",BS34,(BS34+AW34)/2)</f>
        <v>0</v>
      </c>
      <c r="PP34" s="22">
        <f>IF($CC34="P",BT34,(BT34+AX34)/2)</f>
        <v>0</v>
      </c>
      <c r="PQ34" s="22">
        <f>IF($CC34="P",BU34,(BU34+AY34)/2)</f>
        <v>9.0500000000000007</v>
      </c>
      <c r="PR34" s="22">
        <f>IF($CC34="P",BV34,(BV34+AZ34)/2)</f>
        <v>2.2000000000000002</v>
      </c>
      <c r="PS34" s="22">
        <f>IF($CC34="P",BW34,(BW34+BA34)/2)</f>
        <v>0.4</v>
      </c>
      <c r="PT34" s="22">
        <f>IF($CC34="P",BX34,(BX34+BB34)/2)</f>
        <v>0</v>
      </c>
      <c r="PU34" s="22">
        <f>IF($CC34="P",BY34,(BY34+BC34)/2)</f>
        <v>9.15</v>
      </c>
      <c r="PV34" s="22">
        <f>IF($CC34="P",BZ34,(BZ34+BD34)/2)</f>
        <v>2.8</v>
      </c>
      <c r="PW34" s="22">
        <f>IF($CC34="P",CA34,(CA34+BE34)/2)</f>
        <v>0.4</v>
      </c>
      <c r="PX34" s="22">
        <f>IF($CC34="P",CB34,(CB34+BF34)/2)</f>
        <v>0</v>
      </c>
      <c r="PY34" s="27" t="s">
        <v>46</v>
      </c>
      <c r="PZ34" s="40">
        <f>IF(SUM(PJ34,PN34)&gt;0,SUM(PJ34,PN34),"")</f>
        <v>2.5999999999999996</v>
      </c>
      <c r="QA34" s="40">
        <f>IF(SUM(PI34:PJ34,PL34:PN34,PP34)-PK34-PO34&gt;0,SUM(PI34:PJ34,PL34:PN34,PP34)-PK34-PO34,"")</f>
        <v>17.699999999999996</v>
      </c>
      <c r="QB34" s="40">
        <f>IF(SUM(PR34,PV34)&gt;0,SUM(PR34,PV34),"")</f>
        <v>5</v>
      </c>
      <c r="QC34" s="40">
        <f>IF(SUM(PQ34:PR34,PT34:PV34,PX34)-SUM(PS34,PW34)&gt;0,SUM(PQ34:PR34,PT34:PV34,PX34)-SUM(PS34,PW34),"")</f>
        <v>22.4</v>
      </c>
      <c r="QD34" s="40">
        <f>IF(SUM(QA34,QC34)&gt;0,SUM(QA34,QC34),"")</f>
        <v>40.099999999999994</v>
      </c>
    </row>
    <row r="35" spans="1:446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125</v>
      </c>
      <c r="D35" s="4" t="s">
        <v>4</v>
      </c>
      <c r="E35" s="4">
        <v>2007</v>
      </c>
      <c r="F35" s="9">
        <f>SUM(L35:R35)+SUM(L35:O35)*0.0000001+SUM(L35)*0.0000000000001</f>
        <v>46.500004650004648</v>
      </c>
      <c r="G35" s="64"/>
      <c r="H35" s="3" t="str">
        <f>IF(OR(AND(AL35&gt;=AP$38,AM35&gt;=AP$42,AL35&lt;&gt;"",AK35=""),AND(AN35&gt;=AP$38,AO35&gt;=AP$42,AN35&lt;&gt;"",AK35=""),AND(BH35&gt;=BL$38,BI35&gt;=BL$42,BH35&lt;&gt;"",BG35=""),AND(BJ35&gt;=BL$38,BK35&gt;=BL$42,BJ35&lt;&gt;"",BG35=""),AND(CD35&gt;=CH$38,CE35&gt;=CH$42,CD35&lt;&gt;"",CC35=""),AND(CF35&gt;=CH$38,CG35&gt;=CH$42,CF35&lt;&gt;""),AND(DE35&gt;=DL$38,DF35&gt;=DL$42,DE35&lt;&gt;""),AND(DJ35&gt;=DL$38,DK35&gt;=DL$42,DJ35&lt;&gt;""),AND(EG35&gt;=EN$38,EH35&gt;=EN$42,EG35&lt;&gt;""),AND(EL35&gt;=EN$38,EM35&gt;=EN$42,EL35&lt;&gt;""),AND(FI35&gt;=FP$38,FJ35&gt;=FP$42,FI35&lt;&gt;""),AND(FN35&gt;=FP$38,FO35&gt;=FP$42,FN35&lt;&gt;""),AND(GK35&gt;=GR$38,GL35&gt;=GR$42,GK35&lt;&gt;""),AND(GP35&gt;=GR$38,GQ35&gt;=GR$42,GP35&lt;&gt;""),AND(HM35&gt;=HT$38,HN35&gt;=HT$42,HM35&lt;&gt;""),AND(HR35&gt;=HT$38,HS35&gt;=HT$42,HR35&lt;&gt;""),AND(IO35&gt;=IV$38,IP35&gt;=IV$42,IO35&lt;&gt;""),AND(IT35&gt;=IV$38,IU35&gt;=IV$42,IT35&lt;&gt;""),AND(JQ35&gt;=JX$38,JR35&gt;=JX$42,JQ35&lt;&gt;""),AND(JV35&gt;=JX$38,JW35&gt;=JX$42,JV35&lt;&gt;""),AND(KS35&gt;=KZ$38,KT35&gt;=KZ$42,KS35&lt;&gt;""),AND(KX35&gt;=KZ$38,KY35&gt;=KZ$42,KX35&lt;&gt;""),AND(LU35&gt;=MB$38,LV35&gt;=MB$42,LU35&lt;&gt;""),AND(LZ35&gt;=MB$38,MA35&gt;=MB$42,LZ35&lt;&gt;""),AND(MW35&gt;=ND$38,MX35&gt;=ND$42,MW35&lt;&gt;""),AND(NB35&gt;=ND$38,NC35&gt;=ND$42,NB35&lt;&gt;""),AND(NY35&gt;=OF$38,NZ35&gt;=OF$42,NY35&lt;&gt;""),AND(OD35&gt;=OF$38,OE35&gt;=OF$42,OD35&lt;&gt;""),AND(PA35&gt;=PH$38,PB35&gt;=PH$42,PA35&lt;&gt;""),AND(PF35&gt;=PH$38,PG35&gt;=PH$42,PF35&lt;&gt;"")),"P","")</f>
        <v/>
      </c>
      <c r="I35" s="3" t="str">
        <f>IF(OR(AND(AM35&gt;=AP$42,AM35&lt;&gt;"",AK35=""),AND(AO35&gt;=AP$42,AO35&lt;&gt;"",AK35=""),AND(BI35&gt;=BL$42,BI35&lt;&gt;"",BG35=""),AND(BK35&gt;=BL$42,BK35&lt;&gt;"",BG35=""),AND(CE35&gt;=CH$42,CE35&lt;&gt;"",CC35=""),AND(CG35&gt;=CH$42,CG35&lt;&gt;"",CC35=""),AND(DF35&gt;=DL$42,DF35&lt;&gt;""),AND(DK35&gt;=DL$42,DK35&lt;&gt;""),AND(EH35&gt;=EN$42,EH35&lt;&gt;""),AND(EM35&gt;=EN$42,EM35&lt;&gt;""),AND(FJ35&gt;=FP$42,FJ35&lt;&gt;""),AND(FO35&gt;=FP$42,FO35&lt;&gt;""),AND(GL35&gt;=GR$42,GL35&lt;&gt;""),AND(GQ35&gt;=GR$42,GQ35&lt;&gt;""),AND(HN35&gt;=HT$42,HN35&lt;&gt;""),AND(HS35&gt;=HT$42,HS35&lt;&gt;""),AND(IP35&gt;=IV$42,IP35&lt;&gt;""),AND(IU35&gt;=IV$42,IU35&lt;&gt;""),AND(JR35&gt;=JX$42,JR35&lt;&gt;""),AND(JW35&gt;=JX$42,JW35&lt;&gt;""),AND(KT35&gt;=KZ$42,KT35&lt;&gt;""),AND(KY35&gt;=KZ$42,KY35&lt;&gt;""),AND(LV35&gt;=MB$42,LV35&lt;&gt;""),AND(MA35&gt;=MB$42,MA35&lt;&gt;""),AND(MX35&gt;=ND$42,MX35&lt;&gt;""),AND(NC35&gt;=ND$42,NC35&lt;&gt;""),AND(NZ35&gt;=OF$42,NZ35&lt;&gt;""),AND(OE35&gt;=OF$42,OE35&lt;&gt;""),AND(PB35&gt;=PH$42,PB35&lt;&gt;""),AND(PG35&gt;=PH$42,PG35&lt;&gt;"")),"P","")</f>
        <v/>
      </c>
      <c r="J35" s="36" t="str">
        <f>IF(AND(I35="P",H35=""),"No DD",IF(OR(AND(AL35&gt;=AP$26,AM35&gt;=AP$30,AL35&lt;&gt;"",AK35=""),AND(BH35&gt;=BL$26,BI35&gt;=BL$30,BH35&lt;&gt;"",BG35=""),AND(CD35&gt;=CH$26,CE35&gt;=CH$30,CD35&lt;&gt;"",CC35=""),AND(DH35&gt;=DL$26,DI35&gt;=DL$30,DH35&lt;&gt;""),AND(EJ35&gt;=EN$26,EK35&gt;=EN$30,EJ35&lt;&gt;""),AND(FL35&gt;=FP$26,FM35&gt;=FP$30,FL35&lt;&gt;""),AND(GN35&gt;=GR$26,GO35&gt;=GR$30,GN35&lt;&gt;""),AND(HP35&gt;=HT$26,HQ35&gt;=HT$30,HP35&lt;&gt;""),AND(IR35&gt;=IV$26,IS35&gt;=IV$30,IR35&lt;&gt;""),AND(JT35&gt;=JX$26,JU35&gt;=JX$30,JT35&lt;&gt;""),AND(KV35&gt;=KZ$26,KW35&gt;=KZ$30,KV35&lt;&gt;""),AND(LX35&gt;=MB$26,LY35&gt;=MB$30,LX35&lt;&gt;""),AND(MZ35&gt;=ND$26,NA35&gt;=ND$30,MZ35&lt;&gt;""),AND(OB35&gt;=OF$26,OC35&gt;=OF$30,OB35&lt;&gt;""),AND(PD35&gt;=PH$26,PE35&gt;=PH$30,PD35&lt;&gt;"")),"Merit",IF(OR(AND(AL35&gt;=AP$25,AM35&gt;=AP$29,AL35&lt;&gt;"",AK35=""),AND(BH35&gt;=BL$25,BI35&gt;=BL$29,BH35&lt;&gt;"",BG35=""),AND(CD35&gt;=CH$25,CE35&gt;=CH$29,CD35&lt;&gt;"",CC35=""),AND(DH35&gt;=DL$25,DI35&gt;=DL$29,DH35&lt;&gt;""),AND(EJ35&gt;=EN$25,EK35&gt;=EN$29,EJ35&lt;&gt;""),AND(FL35&gt;=FP$25,FM35&gt;=FP$29,FL35&lt;&gt;""),AND(GN35&gt;=GR$25,GO35&gt;=GR$29,GN35&lt;&gt;""),AND(HP35&gt;=HT$25,HQ35&gt;=HT$29,HP35&lt;&gt;""),AND(IR35&gt;=IV$25,IS35&gt;=IV$29,IR35&lt;&gt;""),AND(JT35&gt;=JX$25,JU35&gt;=JX$29,JT35&lt;&gt;""),AND(KV35&gt;=KZ$25,KW35&gt;=KZ$29,KV35&lt;&gt;""),AND(LX35&gt;=MB$25,LY35&gt;=MB$29,LX35&lt;&gt;""),AND(MZ35&gt;=ND$25,NA35&gt;=ND$29,MZ35&lt;&gt;""),AND(OB35&gt;=OF$25,OC35&gt;=OF$29,OB35&lt;&gt;""),AND(PD35&gt;=PH$25,PE35&gt;=PH$29,PD35&lt;&gt;"")),"Excellence",IF(K35="P","Worlds Team",IF(H35="P","National Team","")))))</f>
        <v/>
      </c>
      <c r="K35" s="3" t="str">
        <f>IF(OR(AND(AL35&gt;=AP$24,AM35&gt;=AP$28,AL35&lt;&gt;"",AK35=""),AND(BH35&gt;=BL$24,BI35&gt;=BL$28,BH35&lt;&gt;"",BG35=""),AND(CD35&gt;=CH$24,CE35&gt;=CH$28,CD35&lt;&gt;"",CC35=""),AND(DH35&gt;=DL$24,DI35&gt;=DL$28,DH35&lt;&gt;""),AND(EJ35&gt;=EN$24,EK35&gt;=EN$28,EJ35&lt;&gt;""),AND(FL35&gt;=FP$24,FM35&gt;=FP$28,FL35&lt;&gt;""),AND(GN35&gt;=GR$24,GO35&gt;=GR$28,GN35&lt;&gt;""),AND(HP35&gt;=HT$24,HQ35&gt;=HT$28,HP35&lt;&gt;""),AND(IR35&gt;=IV$24,IS35&gt;=IV$28,IR35&lt;&gt;""),AND(JT35&gt;=JX$24,JU35&gt;=JX$28,JT35&lt;&gt;""),AND(KV35&gt;=KZ$24,KW35&gt;=KZ$28,KV35&lt;&gt;""),AND(LX35&gt;=MB$24,LY35&gt;=MB$28,LX35&lt;&gt;""),AND(MZ35&gt;=ND$24,NA35&gt;=ND$28,MZ35&lt;&gt;""),AND(OB35&gt;=OF$24,OC35&gt;=OF$28,OB35&lt;&gt;""),AND(PD35&gt;=PH$24,PE35&gt;=PH$28,PD35&lt;&gt;"")),"P","")</f>
        <v/>
      </c>
      <c r="L35" s="8">
        <f>IF(COUNT(AM35,BI35,CE35)&gt;0,LARGE((AM35,BI35,CE35),1),0)</f>
        <v>46.5</v>
      </c>
      <c r="M35" s="8" t="str">
        <f>IF(L35=0,"",IF(L35=CE35,$BM$1,IF(L35=BI35,$AQ$1,IF(L35=AM35,$U$1,""))))</f>
        <v>2025 Elite Canada</v>
      </c>
      <c r="N35" s="8">
        <f>IF(COUNT(AM35,BI35,CE35)&gt;1,LARGE((AM35,BI35,CE35),2),0)</f>
        <v>0</v>
      </c>
      <c r="O35" s="8" t="str">
        <f>IF(N35=0,"",IF(AND(N35=L35,N35=AM35,N35=BI35),$U$1,IF(AND(N35=L35,N35=AM35,N35=CE35),$U$1,IF(AND(N35=L35,N35=BI35,N35=CE35),$AQ$1,IF(N35=CE35,$BM$1,IF(N35=BI35,$AQ$1,IF(N35=AM35,$U$1,"")))))))</f>
        <v/>
      </c>
      <c r="P35" s="8">
        <f>IF(MAX(AO35,BK35,CG35)&gt;0,MAX(AO35,BK35,CG35),0)</f>
        <v>0</v>
      </c>
      <c r="Q35" s="8" t="str">
        <f>IF(P35=0,"",IF(P35=CG35,$BM$1,IF(P35=BK35,$AQ$1,IF(P35=AO35,$U$1,""))))</f>
        <v/>
      </c>
      <c r="R35" s="8" t="str">
        <f>IF(MAX(CI35:CJ35)&gt;0,MAX(CI35:CJ35),"")</f>
        <v/>
      </c>
      <c r="S35" s="11" t="str">
        <f>IF(R35="","",IF(R35=CI35,"("&amp;CI$2&amp;")",IF(R35=CJ35,"("&amp;CJ$2&amp;")")))</f>
        <v/>
      </c>
      <c r="T35" s="8" t="str">
        <f>IF(R35="","",IF(R35=CI35,IF(R35+IF(N35="",0,N35)=PB35,$OG$1,IF(R35+IF(N35="",0,N35)=NZ35,$NE$1,IF(R35+IF(N35="",0,N35)=MX35,$MC$1,IF(R35+IF(N35="",0,N35)=LV35,$LA$1,IF(R35+IF(N35="",0,N35)=KT35,$JY$1,IF(R35+IF(N35="",0,N35)=JR35,$IW$1,IF(R35+IF(N35="",0,N35)=IP35,$HU$1,IF(R35+IF(N35="",0,N35)=HN35,$GS$1,IF(R35+IF(N35="",0,N35)=GL35,$FQ$1,IF(R35+IF(N35="",0,N35)=FJ35,$EO$1,IF(R35+IF(N35="",0,N35)=EH35,$DM$1,IF(R35+IF(N35="",0,N35)=DF35,$CK$1)))))))))))),IF(R35=CJ35,IF(R35+IF(P35="",0,P35)=PG35,$OG$1,IF(R35+IF(P35="",0,P35)=OE35,$NE$1,IF(R35+IF(P35="",0,P35)=NC35,$MC$1,IF(R35+IF(P35="",0,P35)=MA35,$LA$1,IF(R35+IF(P35="",0,P35)=KY35,$JY$1,IF(R35+IF(P35="",0,P35)=JW35,$IW$1,IF(R35+IF(P35="",0,P35)=IU35,$HU$1,IF(R35+IF(P35="",0,P35)=HS35,$GS$1,IF(R35+IF(P35="",0,P35)=GQ35,$FQ$1,IF(R35+IF(P35="",0,P35)=FO35,$EO$1,IF(R35+IF(P35="",0,P35)=EM35,$DM$1,IF(R35+IF(P35="",0,P35)=DK35,$CK$1)))))))))))))))</f>
        <v/>
      </c>
      <c r="U35" s="19">
        <v>18.899999999999999</v>
      </c>
      <c r="V35" s="19">
        <v>5.6</v>
      </c>
      <c r="W35" s="19">
        <v>1.6</v>
      </c>
      <c r="X35" s="19">
        <v>0</v>
      </c>
      <c r="Y35" s="19">
        <v>19</v>
      </c>
      <c r="Z35" s="19">
        <v>5.6</v>
      </c>
      <c r="AA35" s="19">
        <v>1</v>
      </c>
      <c r="AB35" s="19">
        <v>0</v>
      </c>
      <c r="AC35" s="19"/>
      <c r="AD35" s="19"/>
      <c r="AE35" s="19"/>
      <c r="AF35" s="19"/>
      <c r="AG35" s="19"/>
      <c r="AH35" s="19"/>
      <c r="AI35" s="19"/>
      <c r="AJ35" s="19"/>
      <c r="AK35" s="27"/>
      <c r="AL35" s="40">
        <f>IF(SUM(V35,Z35)&gt;0,SUM(V35,Z35),"")</f>
        <v>11.2</v>
      </c>
      <c r="AM35" s="40">
        <f>IF(SUM(U35:V35,X35:Z35,AB35)-W35-AA35&gt;0,SUM(U35:V35,X35:Z35,AB35)-W35-AA35,"")</f>
        <v>46.5</v>
      </c>
      <c r="AN35" s="40" t="str">
        <f>IF(SUM(AD35,AH35)&gt;0,SUM(AD35,AH35),"")</f>
        <v/>
      </c>
      <c r="AO35" s="40" t="str">
        <f>IF(SUM(AC35:AD35,AF35:AH35,AJ35)-SUM(AE35,AI35)&gt;0,SUM(AC35:AD35,AF35:AH35,AJ35)-SUM(AE35,AI35),"")</f>
        <v/>
      </c>
      <c r="AP35" s="40">
        <f>IF(SUM(AM35,AO35)&gt;0,SUM(AM35,AO35),"")</f>
        <v>46.5</v>
      </c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28"/>
      <c r="BH35" s="11" t="str">
        <f>IF(SUM(AR35,AV35)&gt;0,SUM(AR35,AV35),"")</f>
        <v/>
      </c>
      <c r="BI35" s="11" t="str">
        <f>IF(SUM(AQ35:AR35,AT35:AV35,AX35)-AS35-AW35&gt;0,SUM(AQ35:AR35,AT35:AV35,AX35)-AS35-AW35,"")</f>
        <v/>
      </c>
      <c r="BJ35" s="11" t="str">
        <f>IF(SUM(AZ35,BD35)&gt;0,SUM(AZ35,BD35),"")</f>
        <v/>
      </c>
      <c r="BK35" s="11" t="str">
        <f>IF(SUM(AY35:AZ35,BB35:BD35,BF35)-SUM(BA35,BE35)&gt;0,SUM(AY35:AZ35,BB35:BD35,BF35)-SUM(BA35,BE35),"")</f>
        <v/>
      </c>
      <c r="BL35" s="11" t="str">
        <f>IF(SUM(BI35,BK35)&gt;0,SUM(BI35,BK35),"")</f>
        <v/>
      </c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27"/>
      <c r="CD35" s="40" t="str">
        <f>IF(SUM(BN35,BR35)&gt;0,SUM(BN35,BR35),"")</f>
        <v/>
      </c>
      <c r="CE35" s="40" t="str">
        <f>IF(SUM(BM35:BN35,BP35:BR35,BT35)-BO35-BS35&gt;0,SUM(BM35:BN35,BP35:BR35,BT35)-BO35-BS35,"")</f>
        <v/>
      </c>
      <c r="CF35" s="40" t="str">
        <f>IF(SUM(BV35,BZ35)&gt;0,SUM(BV35,BZ35),"")</f>
        <v/>
      </c>
      <c r="CG35" s="40" t="str">
        <f>IF(SUM(BU35:BV35,BX35:BZ35,CB35)-SUM(BW35,CA35)&gt;0,SUM(BU35:BV35,BX35:BZ35,CB35)-SUM(BW35,CA35),"")</f>
        <v/>
      </c>
      <c r="CH35" s="40" t="str">
        <f>IF(SUM(CE35,CG35)&gt;0,SUM(CE35,CG35),"")</f>
        <v/>
      </c>
      <c r="CI35" s="50" t="str">
        <f>IF(MAX(DF35,EH35,FJ35,GL35,HN35,IP35,JR35,KT35,LV35,MX35,NZ35,PB35)-IF(N35="",0,N35)&gt;0.001,MAX(DF35,EH35,FJ35,GL35,HN35,IP35,JR35,KT35,LV35,MX35,NZ35,PB35)-IF(N35="",0,N35),"")</f>
        <v/>
      </c>
      <c r="CJ35" s="50" t="str">
        <f>IF(MAX(DK35,EM35,FO35,GQ35,HS35,IU35,JW35,KY35,MA35,NC35,OE35,PG35)-IF(P35="",0,P35)&gt;0.001,MAX(DK35,EM35,FO35,GQ35,HS35,IU35,JW35,KY35,MA35,NC35,OE35,PG35)-IF(P35="",0,P35),"")</f>
        <v/>
      </c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40" t="str">
        <f>IF(SUM(CL35,CP35)&gt;0,SUM(CL35,CP35),"")</f>
        <v/>
      </c>
      <c r="DF35" s="40" t="str">
        <f>IF(SUM(CK35:CL35,CN35:CP35,CR35)-CM35-CQ35&gt;0,SUM(CK35:CL35,CN35:CP35,CR35)-CM35-CQ35,"")</f>
        <v/>
      </c>
      <c r="DG35" s="40" t="str">
        <f>IF(SUM(CS35:CT35,CV35)-CU35&gt;0,SUM(CS35:CT35,CV35)-CU35,"")</f>
        <v/>
      </c>
      <c r="DH35" s="40" t="str">
        <f>IF(SUM(CL35,CP35,CT35)&gt;0,SUM(CL35,CP35,CT35),"")</f>
        <v/>
      </c>
      <c r="DI35" s="40" t="str">
        <f>IF(SUM(DF35,DG35)&gt;0,SUM(DF35,DG35),"")</f>
        <v/>
      </c>
      <c r="DJ35" s="40" t="str">
        <f>IF(SUM(CX35,DB35)&gt;0,SUM(CX35,DB35),"")</f>
        <v/>
      </c>
      <c r="DK35" s="40" t="str">
        <f>IF(SUM(CW35:CX35,CZ35:DB35,DD35)-SUM(CY35,DC35)&gt;0,SUM(CW35:CX35,CZ35:DB35,DD35)-SUM(CY35,DC35),"")</f>
        <v/>
      </c>
      <c r="DL35" s="40" t="str">
        <f>IF(SUM(DF35,DG35,DK35)&gt;0,SUM(DF35,DG35,DK35),"")</f>
        <v/>
      </c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1" t="str">
        <f>IF(SUM(DN35,DR35)&gt;0,SUM(DN35,DR35),"")</f>
        <v/>
      </c>
      <c r="EH35" s="11" t="str">
        <f>IF(SUM(DM35:DN35,DP35:DR35,DT35)-DO35-DS35&gt;0,SUM(DM35:DN35,DP35:DR35,DT35)-DO35-DS35,"")</f>
        <v/>
      </c>
      <c r="EI35" s="11" t="str">
        <f>IF(SUM(DU35:DV35,DX35)-DW35&gt;0,SUM(DU35:DV35,DX35)-DW35,"")</f>
        <v/>
      </c>
      <c r="EJ35" s="11" t="str">
        <f>IF(SUM(DN35,DR35,DV35)&gt;0,SUM(DN35,DR35,DV35),"")</f>
        <v/>
      </c>
      <c r="EK35" s="11" t="str">
        <f>IF(SUM(EH35,EI35)&gt;0,SUM(EH35,EI35),"")</f>
        <v/>
      </c>
      <c r="EL35" s="11" t="str">
        <f>IF(SUM(DZ35,ED35)&gt;0,SUM(DZ35,ED35),"")</f>
        <v/>
      </c>
      <c r="EM35" s="11" t="str">
        <f>IF(SUM(DY35:DZ35,EB35:ED35,EF35)-SUM(EA35,EE35)&gt;0,SUM(DY35:DZ35,EB35:ED35,EF35)-SUM(EA35,EE35),"")</f>
        <v/>
      </c>
      <c r="EN35" s="11" t="str">
        <f>IF(SUM(EH35,EI35,EM35)&gt;0,SUM(EH35,EI35,EM35),"")</f>
        <v/>
      </c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40" t="str">
        <f>IF(SUM(EP35,ET35)&gt;0,SUM(EP35,ET35),"")</f>
        <v/>
      </c>
      <c r="FJ35" s="40" t="str">
        <f>IF(SUM(EO35:EP35,ER35:ET35,EV35)-EQ35-EU35&gt;0,SUM(EO35:EP35,ER35:ET35,EV35)-EQ35-EU35,"")</f>
        <v/>
      </c>
      <c r="FK35" s="40" t="str">
        <f>IF(SUM(EW35:EX35,EZ35)-EY35&gt;0,SUM(EW35:EX35,EZ35)-EY35,"")</f>
        <v/>
      </c>
      <c r="FL35" s="40" t="str">
        <f>IF(SUM(EP35,ET35,EX35)&gt;0,SUM(EP35,ET35,EX35),"")</f>
        <v/>
      </c>
      <c r="FM35" s="40" t="str">
        <f>IF(SUM(FJ35,FK35)&gt;0,SUM(FJ35,FK35),"")</f>
        <v/>
      </c>
      <c r="FN35" s="40" t="str">
        <f>IF(SUM(FB35,FF35)&gt;0,SUM(FB35,FF35),"")</f>
        <v/>
      </c>
      <c r="FO35" s="40" t="str">
        <f>IF(SUM(FA35:FB35,FD35:FF35,FH35)-SUM(FC35,FG35)&gt;0,SUM(FA35:FB35,FD35:FF35,FH35)-SUM(FC35,FG35),"")</f>
        <v/>
      </c>
      <c r="FP35" s="40" t="str">
        <f>IF(SUM(FJ35,FK35,FO35)&gt;0,SUM(FJ35,FK35,FO35),"")</f>
        <v/>
      </c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1" t="str">
        <f>IF(SUM(FR35,FV35)&gt;0,SUM(FR35,FV35),"")</f>
        <v/>
      </c>
      <c r="GL35" s="11" t="str">
        <f>IF(SUM(FQ35:FR35,FT35:FV35,FX35)-FS35-FW35&gt;0,SUM(FQ35:FR35,FT35:FV35,FX35)-FS35-FW35,"")</f>
        <v/>
      </c>
      <c r="GM35" s="11" t="str">
        <f>IF(SUM(FY35:FZ35,GB35)-GA35&gt;0,SUM(FY35:FZ35,GB35)-GA35,"")</f>
        <v/>
      </c>
      <c r="GN35" s="11" t="str">
        <f>IF(SUM(FR35,FV35,FZ35)&gt;0,SUM(FR35,FV35,FZ35),"")</f>
        <v/>
      </c>
      <c r="GO35" s="11" t="str">
        <f>IF(SUM(GL35,GM35)&gt;0,SUM(GL35,GM35),"")</f>
        <v/>
      </c>
      <c r="GP35" s="11" t="str">
        <f>IF(SUM(GD35,GH35)&gt;0,SUM(GD35,GH35),"")</f>
        <v/>
      </c>
      <c r="GQ35" s="11" t="str">
        <f>IF(SUM(GC35:GD35,GF35:GH35,GJ35)-SUM(GE35,GI35)&gt;0,SUM(GC35:GD35,GF35:GH35,GJ35)-SUM(GE35,GI35),"")</f>
        <v/>
      </c>
      <c r="GR35" s="11" t="str">
        <f>IF(SUM(GL35,GM35,GQ35)&gt;0,SUM(GL35,GM35,GQ35),"")</f>
        <v/>
      </c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40" t="str">
        <f>IF(SUM(GT35,GX35)&gt;0,SUM(GT35,GX35),"")</f>
        <v/>
      </c>
      <c r="HN35" s="40" t="str">
        <f>IF(SUM(GS35:GT35,GV35:GX35,GZ35)-GU35-GY35&gt;0,SUM(GS35:GT35,GV35:GX35,GZ35)-GU35-GY35,"")</f>
        <v/>
      </c>
      <c r="HO35" s="40" t="str">
        <f>IF(SUM(HA35:HB35,HD35)-HC35&gt;0,SUM(HA35:HB35,HD35)-HC35,"")</f>
        <v/>
      </c>
      <c r="HP35" s="40" t="str">
        <f>IF(SUM(GT35,GX35,HB35)&gt;0,SUM(GT35,GX35,HB35),"")</f>
        <v/>
      </c>
      <c r="HQ35" s="40" t="str">
        <f>IF(SUM(HN35,HO35)&gt;0,SUM(HN35,HO35),"")</f>
        <v/>
      </c>
      <c r="HR35" s="40" t="str">
        <f>IF(SUM(HF35,HJ35)&gt;0,SUM(HF35,HJ35),"")</f>
        <v/>
      </c>
      <c r="HS35" s="40" t="str">
        <f>IF(SUM(HE35:HF35,HH35:HJ35,HL35)-SUM(HG35,HK35)&gt;0,SUM(HE35:HF35,HH35:HJ35,HL35)-SUM(HG35,HK35),"")</f>
        <v/>
      </c>
      <c r="HT35" s="40" t="str">
        <f>IF(SUM(HN35,HO35,HS35)&gt;0,SUM(HN35,HO35,HS35),"")</f>
        <v/>
      </c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1" t="str">
        <f>IF(SUM(HV35,HZ35)&gt;0,SUM(HV35,HZ35),"")</f>
        <v/>
      </c>
      <c r="IP35" s="11" t="str">
        <f>IF(SUM(HU35:HV35,HX35:HZ35,IB35)-HW35-IA35&gt;0,SUM(HU35:HV35,HX35:HZ35,IB35)-HW35-IA35,"")</f>
        <v/>
      </c>
      <c r="IQ35" s="11" t="str">
        <f>IF(SUM(IC35:ID35,IF35)-IE35&gt;0,SUM(IC35:ID35,IF35)-IE35,"")</f>
        <v/>
      </c>
      <c r="IR35" s="11" t="str">
        <f>IF(SUM(HV35,HZ35,ID35)&gt;0,SUM(HV35,HZ35,ID35),"")</f>
        <v/>
      </c>
      <c r="IS35" s="11" t="str">
        <f>IF(SUM(IP35,IQ35)&gt;0,SUM(IP35,IQ35),"")</f>
        <v/>
      </c>
      <c r="IT35" s="11" t="str">
        <f>IF(SUM(IH35,IL35)&gt;0,SUM(IH35,IL35),"")</f>
        <v/>
      </c>
      <c r="IU35" s="11" t="str">
        <f>IF(SUM(IG35:IH35,IJ35:IL35,IN35)-SUM(II35,IM35)&gt;0,SUM(IG35:IH35,IJ35:IL35,IN35)-SUM(II35,IM35),"")</f>
        <v/>
      </c>
      <c r="IV35" s="11" t="str">
        <f>IF(SUM(IP35,IQ35,IU35)&gt;0,SUM(IP35,IQ35,IU35),"")</f>
        <v/>
      </c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40" t="str">
        <f>IF(SUM(IX35,JB35)&gt;0,SUM(IX35,JB35),"")</f>
        <v/>
      </c>
      <c r="JR35" s="40" t="str">
        <f>IF(SUM(IW35:IX35,IZ35:JB35,JD35)-IY35-JC35&gt;0,SUM(IW35:IX35,IZ35:JB35,JD35)-IY35-JC35,"")</f>
        <v/>
      </c>
      <c r="JS35" s="40" t="str">
        <f>IF(SUM(JE35:JF35,JH35)-JG35&gt;0,SUM(JE35:JF35,JH35)-JG35,"")</f>
        <v/>
      </c>
      <c r="JT35" s="40" t="str">
        <f>IF(SUM(IX35,JB35,JF35)&gt;0,SUM(IX35,JB35,JF35),"")</f>
        <v/>
      </c>
      <c r="JU35" s="40" t="str">
        <f>IF(SUM(JR35,JS35)&gt;0,SUM(JR35,JS35),"")</f>
        <v/>
      </c>
      <c r="JV35" s="40" t="str">
        <f>IF(SUM(JJ35,JN35)&gt;0,SUM(JJ35,JN35),"")</f>
        <v/>
      </c>
      <c r="JW35" s="40" t="str">
        <f>IF(SUM(JI35:JJ35,JL35:JN35,JP35)-SUM(JK35,JO35)&gt;0,SUM(JI35:JJ35,JL35:JN35,JP35)-SUM(JK35,JO35),"")</f>
        <v/>
      </c>
      <c r="JX35" s="40" t="str">
        <f>IF(SUM(JR35,JS35,JW35)&gt;0,SUM(JR35,JS35,JW35),"")</f>
        <v/>
      </c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1" t="str">
        <f>IF(SUM(JZ35,KD35)&gt;0,SUM(JZ35,KD35),"")</f>
        <v/>
      </c>
      <c r="KT35" s="11" t="str">
        <f>IF(SUM(JY35:JZ35,KB35:KD35,KF35)-KA35-KE35&gt;0,SUM(JY35:JZ35,KB35:KD35,KF35)-KA35-KE35,"")</f>
        <v/>
      </c>
      <c r="KU35" s="11" t="str">
        <f>IF(SUM(KG35:KH35,KJ35)-KI35&gt;0,SUM(KG35:KH35,KJ35)-KI35,"")</f>
        <v/>
      </c>
      <c r="KV35" s="11" t="str">
        <f>IF(SUM(JZ35,KD35,KH35)&gt;0,SUM(JZ35,KD35,KH35),"")</f>
        <v/>
      </c>
      <c r="KW35" s="11" t="str">
        <f>IF(SUM(KT35,KU35)&gt;0,SUM(KT35,KU35),"")</f>
        <v/>
      </c>
      <c r="KX35" s="11" t="str">
        <f>IF(SUM(KL35,KP35)&gt;0,SUM(KL35,KP35),"")</f>
        <v/>
      </c>
      <c r="KY35" s="11" t="str">
        <f>IF(SUM(KK35:KL35,KN35:KP35,KR35)-SUM(KM35,KQ35)&gt;0,SUM(KK35:KL35,KN35:KP35,KR35)-SUM(KM35,KQ35),"")</f>
        <v/>
      </c>
      <c r="KZ35" s="11" t="str">
        <f>IF(SUM(KT35,KU35,KY35)&gt;0,SUM(KT35,KU35,KY35),"")</f>
        <v/>
      </c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40" t="str">
        <f>IF(SUM(LB35,LF35)&gt;0,SUM(LB35,LF35),"")</f>
        <v/>
      </c>
      <c r="LV35" s="40" t="str">
        <f>IF(SUM(LA35:LB35,LD35:LF35,LH35)-LC35-LG35&gt;0,SUM(LA35:LB35,LD35:LF35,LH35)-LC35-LG35,"")</f>
        <v/>
      </c>
      <c r="LW35" s="40" t="str">
        <f>IF(SUM(LI35:LJ35,LL35)-LK35&gt;0,SUM(LI35:LJ35,LL35)-LK35,"")</f>
        <v/>
      </c>
      <c r="LX35" s="40" t="str">
        <f>IF(SUM(LB35,LF35,LJ35)&gt;0,SUM(LB35,LF35,LJ35),"")</f>
        <v/>
      </c>
      <c r="LY35" s="40" t="str">
        <f>IF(SUM(LV35,LW35)&gt;0,SUM(LV35,LW35),"")</f>
        <v/>
      </c>
      <c r="LZ35" s="40" t="str">
        <f>IF(SUM(LN35,LR35)&gt;0,SUM(LN35,LR35),"")</f>
        <v/>
      </c>
      <c r="MA35" s="40" t="str">
        <f>IF(SUM(LM35:LN35,LP35:LR35,LT35)-SUM(LO35,LS35)&gt;0,SUM(LM35:LN35,LP35:LR35,LT35)-SUM(LO35,LS35),"")</f>
        <v/>
      </c>
      <c r="MB35" s="40" t="str">
        <f>IF(SUM(LV35,LW35,MA35)&gt;0,SUM(LV35,LW35,MA35),"")</f>
        <v/>
      </c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1" t="str">
        <f>IF(SUM(MD35,MH35)&gt;0,SUM(MD35,MH35),"")</f>
        <v/>
      </c>
      <c r="MX35" s="11" t="str">
        <f>IF(SUM(MC35:MD35,MF35:MH35,MJ35)-ME35-MI35&gt;0,SUM(MC35:MD35,MF35:MH35,MJ35)-ME35-MI35,"")</f>
        <v/>
      </c>
      <c r="MY35" s="11" t="str">
        <f>IF(SUM(MK35:ML35,MN35)-MM35&gt;0,SUM(MK35:ML35,MN35)-MM35,"")</f>
        <v/>
      </c>
      <c r="MZ35" s="11" t="str">
        <f>IF(SUM(MD35,MH35,ML35)&gt;0,SUM(MD35,MH35,ML35),"")</f>
        <v/>
      </c>
      <c r="NA35" s="11" t="str">
        <f>IF(SUM(MX35,MY35)&gt;0,SUM(MX35,MY35),"")</f>
        <v/>
      </c>
      <c r="NB35" s="11" t="str">
        <f>IF(SUM(MP35,MT35)&gt;0,SUM(MP35,MT35),"")</f>
        <v/>
      </c>
      <c r="NC35" s="11" t="str">
        <f>IF(SUM(MO35:MP35,MR35:MT35,MV35)-SUM(MQ35,MU35)&gt;0,SUM(MO35:MP35,MR35:MT35,MV35)-SUM(MQ35,MU35),"")</f>
        <v/>
      </c>
      <c r="ND35" s="11" t="str">
        <f>IF(SUM(MX35,MY35,NC35)&gt;0,SUM(MX35,MY35,NC35),"")</f>
        <v/>
      </c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40" t="str">
        <f>IF(SUM(NF35,NJ35)&gt;0,SUM(NF35,NJ35),"")</f>
        <v/>
      </c>
      <c r="NZ35" s="40" t="str">
        <f>IF(SUM(NE35:NF35,NH35:NJ35,NL35)-NG35-NK35&gt;0,SUM(NE35:NF35,NH35:NJ35,NL35)-NG35-NK35,"")</f>
        <v/>
      </c>
      <c r="OA35" s="40" t="str">
        <f>IF(SUM(NM35:NN35,NP35)-NO35&gt;0,SUM(NM35:NN35,NP35)-NO35,"")</f>
        <v/>
      </c>
      <c r="OB35" s="40" t="str">
        <f>IF(SUM(NF35,NJ35,NN35)&gt;0,SUM(NF35,NJ35,NN35),"")</f>
        <v/>
      </c>
      <c r="OC35" s="40" t="str">
        <f>IF(SUM(NZ35,OA35)&gt;0,SUM(NZ35,OA35),"")</f>
        <v/>
      </c>
      <c r="OD35" s="40" t="str">
        <f>IF(SUM(NR35,NV35)&gt;0,SUM(NR35,NV35),"")</f>
        <v/>
      </c>
      <c r="OE35" s="40" t="str">
        <f>IF(SUM(NQ35:NR35,NT35:NV35,NX35)-SUM(NS35,NW35)&gt;0,SUM(NQ35:NR35,NT35:NV35,NX35)-SUM(NS35,NW35),"")</f>
        <v/>
      </c>
      <c r="OF35" s="40" t="str">
        <f>IF(SUM(NZ35,OA35,OE35)&gt;0,SUM(NZ35,OA35,OE35),"")</f>
        <v/>
      </c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1" t="str">
        <f>IF(SUM(OH35,OL35)&gt;0,SUM(OH35,OL35),"")</f>
        <v/>
      </c>
      <c r="PB35" s="11" t="str">
        <f>IF(SUM(OG35:OH35,OJ35:OL35,ON35)-OI35-OM35&gt;0,SUM(OG35:OH35,OJ35:OL35,ON35)-OI35-OM35,"")</f>
        <v/>
      </c>
      <c r="PC35" s="11" t="str">
        <f>IF(SUM(OO35:OP35,OR35)-OQ35&gt;0,SUM(OO35:OP35,OR35)-OQ35,"")</f>
        <v/>
      </c>
      <c r="PD35" s="11" t="str">
        <f>IF(SUM(OH35,OL35,OP35)&gt;0,SUM(OH35,OL35,OP35),"")</f>
        <v/>
      </c>
      <c r="PE35" s="11" t="str">
        <f>IF(SUM(PB35,PC35)&gt;0,SUM(PB35,PC35),"")</f>
        <v/>
      </c>
      <c r="PF35" s="11" t="str">
        <f>IF(SUM(OT35,OX35)&gt;0,SUM(OT35,OX35),"")</f>
        <v/>
      </c>
      <c r="PG35" s="11" t="str">
        <f>IF(SUM(OS35:OT35,OV35:OX35,OZ35)-SUM(OU35,OY35)&gt;0,SUM(OS35:OT35,OV35:OX35,OZ35)-SUM(OU35,OY35),"")</f>
        <v/>
      </c>
      <c r="PH35" s="11" t="str">
        <f>IF(SUM(PB35,PC35,PG35)&gt;0,SUM(PB35,PC35,PG35),"")</f>
        <v/>
      </c>
      <c r="PI35" s="22">
        <f>IF($CC35="P",BM35,(BM35+AQ35)/2)</f>
        <v>0</v>
      </c>
      <c r="PJ35" s="22">
        <f>IF($CC35="P",BN35,(BN35+AR35)/2)</f>
        <v>0</v>
      </c>
      <c r="PK35" s="22">
        <f>IF($CC35="P",BO35,(BO35+AS35)/2)</f>
        <v>0</v>
      </c>
      <c r="PL35" s="22">
        <f>IF($CC35="P",BP35,(BP35+AT35)/2)</f>
        <v>0</v>
      </c>
      <c r="PM35" s="22">
        <f>IF($CC35="P",BQ35,(BQ35+AU35)/2)</f>
        <v>0</v>
      </c>
      <c r="PN35" s="22">
        <f>IF($CC35="P",BR35,(BR35+AV35)/2)</f>
        <v>0</v>
      </c>
      <c r="PO35" s="22">
        <f>IF($CC35="P",BS35,(BS35+AW35)/2)</f>
        <v>0</v>
      </c>
      <c r="PP35" s="22">
        <f>IF($CC35="P",BT35,(BT35+AX35)/2)</f>
        <v>0</v>
      </c>
      <c r="PQ35" s="22">
        <f>IF($CC35="P",BU35,(BU35+AY35)/2)</f>
        <v>0</v>
      </c>
      <c r="PR35" s="22">
        <f>IF($CC35="P",BV35,(BV35+AZ35)/2)</f>
        <v>0</v>
      </c>
      <c r="PS35" s="22">
        <f>IF($CC35="P",BW35,(BW35+BA35)/2)</f>
        <v>0</v>
      </c>
      <c r="PT35" s="22">
        <f>IF($CC35="P",BX35,(BX35+BB35)/2)</f>
        <v>0</v>
      </c>
      <c r="PU35" s="22">
        <f>IF($CC35="P",BY35,(BY35+BC35)/2)</f>
        <v>0</v>
      </c>
      <c r="PV35" s="22">
        <f>IF($CC35="P",BZ35,(BZ35+BD35)/2)</f>
        <v>0</v>
      </c>
      <c r="PW35" s="22">
        <f>IF($CC35="P",CA35,(CA35+BE35)/2)</f>
        <v>0</v>
      </c>
      <c r="PX35" s="22">
        <f>IF($CC35="P",CB35,(CB35+BF35)/2)</f>
        <v>0</v>
      </c>
      <c r="PY35" s="27" t="s">
        <v>46</v>
      </c>
      <c r="PZ35" s="40" t="str">
        <f>IF(SUM(PJ35,PN35)&gt;0,SUM(PJ35,PN35),"")</f>
        <v/>
      </c>
      <c r="QA35" s="40" t="str">
        <f>IF(SUM(PI35:PJ35,PL35:PN35,PP35)-PK35-PO35&gt;0,SUM(PI35:PJ35,PL35:PN35,PP35)-PK35-PO35,"")</f>
        <v/>
      </c>
      <c r="QB35" s="40" t="str">
        <f>IF(SUM(PR35,PV35)&gt;0,SUM(PR35,PV35),"")</f>
        <v/>
      </c>
      <c r="QC35" s="40" t="str">
        <f>IF(SUM(PQ35:PR35,PT35:PV35,PX35)-SUM(PS35,PW35)&gt;0,SUM(PQ35:PR35,PT35:PV35,PX35)-SUM(PS35,PW35),"")</f>
        <v/>
      </c>
      <c r="QD35" s="40" t="str">
        <f>IF(SUM(QA35,QC35)&gt;0,SUM(QA35,QC35),"")</f>
        <v/>
      </c>
    </row>
    <row r="36" spans="1:446" ht="17" x14ac:dyDescent="0.2">
      <c r="R36" s="10"/>
      <c r="S36" s="10"/>
      <c r="T36" s="10"/>
    </row>
    <row r="37" spans="1:446" ht="17" x14ac:dyDescent="0.2">
      <c r="R37" s="10"/>
      <c r="S37" s="10"/>
      <c r="T37" s="10"/>
    </row>
    <row r="38" spans="1:446" ht="17" x14ac:dyDescent="0.2">
      <c r="C38" s="23" t="s">
        <v>44</v>
      </c>
      <c r="R38" s="10"/>
      <c r="S38" s="10"/>
      <c r="T38" s="10"/>
      <c r="AL38" s="4"/>
      <c r="AP38" s="42">
        <v>14.8</v>
      </c>
      <c r="BH38" s="4"/>
      <c r="BL38" s="42">
        <v>14.8</v>
      </c>
      <c r="CD38" s="4"/>
      <c r="CH38" s="42">
        <v>14.8</v>
      </c>
      <c r="DE38" s="4"/>
      <c r="DL38" s="42">
        <v>14.8</v>
      </c>
      <c r="EG38" s="4"/>
      <c r="EN38" s="42">
        <v>14.8</v>
      </c>
      <c r="FI38" s="4"/>
      <c r="FP38" s="42">
        <v>14.8</v>
      </c>
      <c r="GK38" s="4"/>
      <c r="GR38" s="42">
        <v>14.8</v>
      </c>
      <c r="HM38" s="4"/>
      <c r="HT38" s="42">
        <v>14.8</v>
      </c>
      <c r="IO38" s="4"/>
      <c r="IV38" s="42">
        <v>14.8</v>
      </c>
      <c r="JQ38" s="4"/>
      <c r="JX38" s="42">
        <v>14.8</v>
      </c>
      <c r="KS38" s="4"/>
      <c r="KZ38" s="42">
        <v>14.8</v>
      </c>
      <c r="LU38" s="4"/>
      <c r="MB38" s="42">
        <v>14.8</v>
      </c>
      <c r="MW38" s="4"/>
      <c r="ND38" s="42">
        <v>14.8</v>
      </c>
      <c r="NY38" s="4"/>
      <c r="OF38" s="42">
        <v>14.8</v>
      </c>
      <c r="PA38" s="4"/>
      <c r="PH38" s="42">
        <v>14.8</v>
      </c>
    </row>
    <row r="39" spans="1:446" ht="17" hidden="1" x14ac:dyDescent="0.2">
      <c r="C39" s="30" t="s">
        <v>43</v>
      </c>
      <c r="R39" s="10"/>
      <c r="S39" s="10"/>
      <c r="T39" s="10"/>
      <c r="AL39" s="4"/>
      <c r="AP39" s="51">
        <v>1000</v>
      </c>
      <c r="BH39" s="4"/>
      <c r="BL39" s="51">
        <v>1000</v>
      </c>
      <c r="CD39" s="4"/>
      <c r="CH39" s="51">
        <v>1000</v>
      </c>
      <c r="DE39" s="4"/>
      <c r="DL39" s="51">
        <v>1000</v>
      </c>
      <c r="EG39" s="4"/>
      <c r="EN39" s="51">
        <v>1000</v>
      </c>
      <c r="FI39" s="4"/>
      <c r="FP39" s="51">
        <v>1000</v>
      </c>
      <c r="GK39" s="4"/>
      <c r="GR39" s="51">
        <v>1000</v>
      </c>
      <c r="HM39" s="4"/>
      <c r="HT39" s="51">
        <v>1000</v>
      </c>
      <c r="IO39" s="4"/>
      <c r="IV39" s="51">
        <v>1000</v>
      </c>
      <c r="JQ39" s="4"/>
      <c r="JX39" s="51">
        <v>1000</v>
      </c>
      <c r="KS39" s="4"/>
      <c r="KZ39" s="51">
        <v>1000</v>
      </c>
      <c r="LU39" s="4"/>
      <c r="MB39" s="51">
        <v>1000</v>
      </c>
      <c r="MW39" s="4"/>
      <c r="ND39" s="51">
        <v>1000</v>
      </c>
      <c r="NY39" s="4"/>
      <c r="OF39" s="51">
        <v>1000</v>
      </c>
      <c r="PA39" s="4"/>
      <c r="PH39" s="51">
        <v>1000</v>
      </c>
    </row>
    <row r="40" spans="1:446" ht="17" hidden="1" x14ac:dyDescent="0.2">
      <c r="A40" s="5"/>
      <c r="B40" s="5"/>
      <c r="C40" s="31" t="s">
        <v>55</v>
      </c>
      <c r="D40" s="20"/>
      <c r="R40" s="10"/>
      <c r="S40" s="10"/>
      <c r="T40" s="10"/>
      <c r="AL40" s="4"/>
      <c r="AP40" s="43">
        <v>1000</v>
      </c>
      <c r="BH40" s="4"/>
      <c r="BL40" s="43">
        <v>1000</v>
      </c>
      <c r="CD40" s="4"/>
      <c r="CH40" s="43">
        <v>1000</v>
      </c>
      <c r="DE40" s="4"/>
      <c r="DL40" s="43">
        <v>1000</v>
      </c>
      <c r="EG40" s="4"/>
      <c r="EN40" s="43">
        <v>1000</v>
      </c>
      <c r="FI40" s="4"/>
      <c r="FP40" s="43">
        <v>1000</v>
      </c>
      <c r="GK40" s="4"/>
      <c r="GR40" s="43">
        <v>1000</v>
      </c>
      <c r="HM40" s="4"/>
      <c r="HT40" s="43">
        <v>1000</v>
      </c>
      <c r="IO40" s="4"/>
      <c r="IV40" s="43">
        <v>1000</v>
      </c>
      <c r="JQ40" s="4"/>
      <c r="JX40" s="43">
        <v>1000</v>
      </c>
      <c r="KS40" s="4"/>
      <c r="KZ40" s="43">
        <v>1000</v>
      </c>
      <c r="LU40" s="4"/>
      <c r="MB40" s="43">
        <v>1000</v>
      </c>
      <c r="MW40" s="4"/>
      <c r="ND40" s="43">
        <v>1000</v>
      </c>
      <c r="NY40" s="4"/>
      <c r="OF40" s="43">
        <v>1000</v>
      </c>
      <c r="PA40" s="4"/>
      <c r="PH40" s="43">
        <v>1000</v>
      </c>
    </row>
    <row r="41" spans="1:446" ht="17" hidden="1" x14ac:dyDescent="0.2">
      <c r="A41" s="5"/>
      <c r="B41" s="5"/>
      <c r="C41" s="35" t="s">
        <v>60</v>
      </c>
      <c r="D41" s="20"/>
      <c r="R41" s="10"/>
      <c r="S41" s="10"/>
      <c r="T41" s="10"/>
      <c r="AL41" s="4"/>
      <c r="AP41" s="62">
        <v>1000</v>
      </c>
      <c r="BH41" s="4"/>
      <c r="BL41" s="62">
        <v>1000</v>
      </c>
      <c r="CD41" s="4"/>
      <c r="CH41" s="62">
        <v>1000</v>
      </c>
      <c r="DE41" s="4"/>
      <c r="DL41" s="62">
        <v>1000</v>
      </c>
      <c r="EG41" s="4"/>
      <c r="EN41" s="62">
        <v>1000</v>
      </c>
      <c r="FI41" s="4"/>
      <c r="FP41" s="62">
        <v>1000</v>
      </c>
      <c r="GK41" s="4"/>
      <c r="GR41" s="62">
        <v>1000</v>
      </c>
      <c r="HM41" s="4"/>
      <c r="HT41" s="62">
        <v>1000</v>
      </c>
      <c r="IO41" s="4"/>
      <c r="IV41" s="62">
        <v>1000</v>
      </c>
      <c r="JQ41" s="4"/>
      <c r="JX41" s="62">
        <v>1000</v>
      </c>
      <c r="KS41" s="4"/>
      <c r="KZ41" s="62">
        <v>1000</v>
      </c>
      <c r="LU41" s="4"/>
      <c r="MB41" s="62">
        <v>1000</v>
      </c>
      <c r="MW41" s="4"/>
      <c r="ND41" s="62">
        <v>1000</v>
      </c>
      <c r="NY41" s="4"/>
      <c r="OF41" s="62">
        <v>1000</v>
      </c>
      <c r="PA41" s="4"/>
      <c r="PH41" s="62">
        <v>1000</v>
      </c>
    </row>
    <row r="42" spans="1:446" ht="17" x14ac:dyDescent="0.2">
      <c r="A42" s="5"/>
      <c r="B42" s="5"/>
      <c r="C42" s="34" t="s">
        <v>41</v>
      </c>
      <c r="D42" s="20"/>
      <c r="R42" s="10"/>
      <c r="S42" s="10"/>
      <c r="T42" s="10"/>
      <c r="AL42" s="4"/>
      <c r="AP42" s="63">
        <v>51.6</v>
      </c>
      <c r="BH42" s="4"/>
      <c r="BL42" s="63">
        <v>51.6</v>
      </c>
      <c r="CD42" s="4"/>
      <c r="CH42" s="63">
        <v>51.6</v>
      </c>
      <c r="DE42" s="4"/>
      <c r="DL42" s="63">
        <v>51.6</v>
      </c>
      <c r="EG42" s="4"/>
      <c r="EN42" s="63">
        <v>51.6</v>
      </c>
      <c r="FI42" s="4"/>
      <c r="FP42" s="63">
        <v>51.6</v>
      </c>
      <c r="GK42" s="4"/>
      <c r="GR42" s="63">
        <v>51.6</v>
      </c>
      <c r="HM42" s="4"/>
      <c r="HT42" s="63">
        <v>51.6</v>
      </c>
      <c r="IO42" s="4"/>
      <c r="IV42" s="63">
        <v>51.6</v>
      </c>
      <c r="JQ42" s="4"/>
      <c r="JX42" s="63">
        <v>51.6</v>
      </c>
      <c r="KS42" s="4"/>
      <c r="KZ42" s="63">
        <v>51.6</v>
      </c>
      <c r="LU42" s="4"/>
      <c r="MB42" s="63">
        <v>51.6</v>
      </c>
      <c r="MW42" s="4"/>
      <c r="ND42" s="63">
        <v>51.6</v>
      </c>
      <c r="NY42" s="4"/>
      <c r="OF42" s="63">
        <v>51.6</v>
      </c>
      <c r="PA42" s="4"/>
      <c r="PH42" s="63">
        <v>51.6</v>
      </c>
    </row>
    <row r="43" spans="1:446" ht="17" hidden="1" x14ac:dyDescent="0.2">
      <c r="A43" s="5"/>
      <c r="B43" s="5"/>
      <c r="C43" s="24" t="s">
        <v>42</v>
      </c>
      <c r="D43" s="20"/>
      <c r="R43" s="10"/>
      <c r="S43" s="10"/>
      <c r="T43" s="10"/>
      <c r="AL43" s="4"/>
      <c r="AP43" s="46">
        <v>1000</v>
      </c>
      <c r="BH43" s="4"/>
      <c r="BL43" s="46">
        <v>1000</v>
      </c>
      <c r="CD43" s="4"/>
      <c r="CH43" s="46">
        <v>1000</v>
      </c>
      <c r="DE43" s="4"/>
      <c r="DL43" s="46">
        <v>1000</v>
      </c>
      <c r="EG43" s="4"/>
      <c r="EN43" s="46">
        <v>1000</v>
      </c>
      <c r="FI43" s="4"/>
      <c r="FP43" s="46">
        <v>1000</v>
      </c>
      <c r="GK43" s="4"/>
      <c r="GR43" s="46">
        <v>1000</v>
      </c>
      <c r="HM43" s="4"/>
      <c r="HT43" s="46">
        <v>1000</v>
      </c>
      <c r="IO43" s="4"/>
      <c r="IV43" s="46">
        <v>1000</v>
      </c>
      <c r="JQ43" s="4"/>
      <c r="JX43" s="46">
        <v>1000</v>
      </c>
      <c r="KS43" s="4"/>
      <c r="KZ43" s="46">
        <v>1000</v>
      </c>
      <c r="LU43" s="4"/>
      <c r="MB43" s="46">
        <v>1000</v>
      </c>
      <c r="MW43" s="4"/>
      <c r="ND43" s="46">
        <v>1000</v>
      </c>
      <c r="NY43" s="4"/>
      <c r="OF43" s="46">
        <v>1000</v>
      </c>
      <c r="PA43" s="4"/>
      <c r="PH43" s="46">
        <v>1000</v>
      </c>
    </row>
    <row r="44" spans="1:446" ht="17" hidden="1" x14ac:dyDescent="0.2">
      <c r="A44" s="5"/>
      <c r="B44" s="5"/>
      <c r="C44" s="33" t="s">
        <v>54</v>
      </c>
      <c r="D44" s="20"/>
      <c r="R44" s="10"/>
      <c r="S44" s="10"/>
      <c r="T44" s="10"/>
      <c r="AL44" s="4"/>
      <c r="AP44" s="47">
        <v>1000</v>
      </c>
      <c r="BH44" s="4"/>
      <c r="BL44" s="47">
        <v>1000</v>
      </c>
      <c r="CD44" s="4"/>
      <c r="CH44" s="47">
        <v>1000</v>
      </c>
      <c r="DE44" s="4"/>
      <c r="DL44" s="47">
        <v>1000</v>
      </c>
      <c r="EG44" s="4"/>
      <c r="EN44" s="47">
        <v>1000</v>
      </c>
      <c r="FI44" s="4"/>
      <c r="FP44" s="47">
        <v>1000</v>
      </c>
      <c r="GK44" s="4"/>
      <c r="GR44" s="47">
        <v>1000</v>
      </c>
      <c r="HM44" s="4"/>
      <c r="HT44" s="47">
        <v>1000</v>
      </c>
      <c r="IO44" s="4"/>
      <c r="IV44" s="47">
        <v>1000</v>
      </c>
      <c r="JQ44" s="4"/>
      <c r="JX44" s="47">
        <v>1000</v>
      </c>
      <c r="KS44" s="4"/>
      <c r="KZ44" s="47">
        <v>1000</v>
      </c>
      <c r="LU44" s="4"/>
      <c r="MB44" s="47">
        <v>1000</v>
      </c>
      <c r="MW44" s="4"/>
      <c r="ND44" s="47">
        <v>1000</v>
      </c>
      <c r="NY44" s="4"/>
      <c r="OF44" s="47">
        <v>1000</v>
      </c>
      <c r="PA44" s="4"/>
      <c r="PH44" s="47">
        <v>1000</v>
      </c>
    </row>
    <row r="45" spans="1:446" ht="17" hidden="1" x14ac:dyDescent="0.2">
      <c r="A45" s="5"/>
      <c r="B45" s="5"/>
      <c r="C45" s="25" t="s">
        <v>27</v>
      </c>
      <c r="D45" s="20"/>
      <c r="R45" s="10"/>
      <c r="S45" s="10"/>
      <c r="T45" s="10"/>
      <c r="AL45" s="4"/>
      <c r="AP45" s="48">
        <v>1000</v>
      </c>
      <c r="BH45" s="4"/>
      <c r="BL45" s="48">
        <v>1000</v>
      </c>
      <c r="CD45" s="4"/>
      <c r="CH45" s="48">
        <v>1000</v>
      </c>
      <c r="DE45" s="4"/>
      <c r="DL45" s="48">
        <v>1000</v>
      </c>
      <c r="EG45" s="4"/>
      <c r="EN45" s="48">
        <v>1000</v>
      </c>
      <c r="FI45" s="4"/>
      <c r="FP45" s="48">
        <v>1000</v>
      </c>
      <c r="GK45" s="4"/>
      <c r="GR45" s="48">
        <v>1000</v>
      </c>
      <c r="HM45" s="4"/>
      <c r="HT45" s="48">
        <v>1000</v>
      </c>
      <c r="IO45" s="4"/>
      <c r="IV45" s="48">
        <v>1000</v>
      </c>
      <c r="JQ45" s="4"/>
      <c r="JX45" s="48">
        <v>1000</v>
      </c>
      <c r="KS45" s="4"/>
      <c r="KZ45" s="48">
        <v>1000</v>
      </c>
      <c r="LU45" s="4"/>
      <c r="MB45" s="48">
        <v>1000</v>
      </c>
      <c r="MW45" s="4"/>
      <c r="ND45" s="48">
        <v>1000</v>
      </c>
      <c r="NY45" s="4"/>
      <c r="OF45" s="48">
        <v>1000</v>
      </c>
      <c r="PA45" s="4"/>
      <c r="PH45" s="48">
        <v>1000</v>
      </c>
    </row>
    <row r="46" spans="1:446" x14ac:dyDescent="0.2">
      <c r="C46" s="29" t="s">
        <v>47</v>
      </c>
      <c r="D46" s="2"/>
    </row>
    <row r="47" spans="1:446" x14ac:dyDescent="0.2">
      <c r="A47" s="5"/>
      <c r="B47" s="5"/>
      <c r="C47" s="5"/>
      <c r="D47" s="20"/>
      <c r="PJ47" s="2"/>
      <c r="PK47" s="2"/>
      <c r="PL47" s="2"/>
      <c r="PM47" s="2"/>
      <c r="PN47" s="2"/>
      <c r="PO47" s="2"/>
      <c r="PP47" s="2"/>
    </row>
    <row r="48" spans="1:446" x14ac:dyDescent="0.2">
      <c r="A48" s="5"/>
      <c r="B48" s="5"/>
      <c r="C48" s="5"/>
      <c r="D48" s="20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5"/>
    </row>
  </sheetData>
  <sheetProtection sheet="1" formatCells="0" formatColumns="0" formatRows="0"/>
  <autoFilter ref="A1:QD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35">
      <sortCondition descending="1" ref="H1:H36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AY2:BB2"/>
    <mergeCell ref="BC2:BF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DY2:EB2"/>
    <mergeCell ref="EC2:EF2"/>
    <mergeCell ref="OG1:PH1"/>
    <mergeCell ref="PI1:QD1"/>
    <mergeCell ref="U2:X2"/>
    <mergeCell ref="Y2:AB2"/>
    <mergeCell ref="AC2:AF2"/>
    <mergeCell ref="AG2:AJ2"/>
    <mergeCell ref="EO1:FP1"/>
    <mergeCell ref="FQ1:GR1"/>
    <mergeCell ref="GS1:HT1"/>
    <mergeCell ref="HU1:IV1"/>
    <mergeCell ref="IW1:JX1"/>
    <mergeCell ref="JY1:KZ1"/>
    <mergeCell ref="U1:AP1"/>
    <mergeCell ref="AQ1:BL1"/>
    <mergeCell ref="BM1:CH1"/>
    <mergeCell ref="CI1:CJ1"/>
    <mergeCell ref="CK1:DL1"/>
    <mergeCell ref="DM1:EN1"/>
    <mergeCell ref="AQ2:AT2"/>
    <mergeCell ref="AU2:AX2"/>
    <mergeCell ref="JA2:JD2"/>
    <mergeCell ref="GS2:GV2"/>
    <mergeCell ref="BM2:BP2"/>
    <mergeCell ref="LA1:MB1"/>
    <mergeCell ref="MC1:ND1"/>
    <mergeCell ref="NE1:OF1"/>
    <mergeCell ref="CS2:CV2"/>
    <mergeCell ref="CW2:CZ2"/>
    <mergeCell ref="DA2:DD2"/>
    <mergeCell ref="DM2:DP2"/>
    <mergeCell ref="DQ2:DT2"/>
    <mergeCell ref="DU2:DX2"/>
    <mergeCell ref="BQ2:BT2"/>
    <mergeCell ref="BU2:BX2"/>
    <mergeCell ref="BY2:CB2"/>
    <mergeCell ref="CK2:CN2"/>
    <mergeCell ref="CO2:CR2"/>
    <mergeCell ref="FE2:FH2"/>
    <mergeCell ref="FQ2:FT2"/>
    <mergeCell ref="FU2:FX2"/>
    <mergeCell ref="FY2:GB2"/>
    <mergeCell ref="GC2:GF2"/>
    <mergeCell ref="GG2:GJ2"/>
    <mergeCell ref="EO2:ER2"/>
    <mergeCell ref="ES2:EV2"/>
    <mergeCell ref="EW2:EZ2"/>
    <mergeCell ref="FA2:FD2"/>
    <mergeCell ref="HY2:IB2"/>
    <mergeCell ref="IC2:IF2"/>
    <mergeCell ref="IG2:IJ2"/>
    <mergeCell ref="IK2:IN2"/>
    <mergeCell ref="IW2:IZ2"/>
    <mergeCell ref="GW2:GZ2"/>
    <mergeCell ref="HA2:HD2"/>
    <mergeCell ref="HE2:HH2"/>
    <mergeCell ref="HI2:HL2"/>
    <mergeCell ref="HU2:HX2"/>
    <mergeCell ref="PQ2:PT2"/>
    <mergeCell ref="PU2:PX2"/>
    <mergeCell ref="OK2:ON2"/>
    <mergeCell ref="OO2:OR2"/>
    <mergeCell ref="OS2:OV2"/>
    <mergeCell ref="OW2:OZ2"/>
    <mergeCell ref="PI2:PL2"/>
    <mergeCell ref="PM2:PP2"/>
    <mergeCell ref="NE2:NH2"/>
    <mergeCell ref="NI2:NL2"/>
    <mergeCell ref="NM2:NP2"/>
    <mergeCell ref="NQ2:NT2"/>
    <mergeCell ref="NU2:NX2"/>
    <mergeCell ref="OG2:OJ2"/>
    <mergeCell ref="MK2:MN2"/>
    <mergeCell ref="MO2:MR2"/>
    <mergeCell ref="MS2:MV2"/>
    <mergeCell ref="KK2:KN2"/>
    <mergeCell ref="KO2:KR2"/>
    <mergeCell ref="LA2:LD2"/>
    <mergeCell ref="LE2:LH2"/>
    <mergeCell ref="LI2:LL2"/>
    <mergeCell ref="LM2:LP2"/>
    <mergeCell ref="JE2:JH2"/>
    <mergeCell ref="JI2:JL2"/>
    <mergeCell ref="JM2:JP2"/>
    <mergeCell ref="JY2:KB2"/>
    <mergeCell ref="KC2:KF2"/>
    <mergeCell ref="KG2:KJ2"/>
    <mergeCell ref="LQ2:LT2"/>
    <mergeCell ref="MC2:MF2"/>
    <mergeCell ref="MG2:MJ2"/>
  </mergeCells>
  <conditionalFormatting sqref="A4:B1048576">
    <cfRule type="expression" dxfId="63" priority="1">
      <formula>AND($I4="P",$H4="")</formula>
    </cfRule>
    <cfRule type="expression" dxfId="62" priority="22" stopIfTrue="1">
      <formula>IF(A4&gt;4,1,0)</formula>
    </cfRule>
  </conditionalFormatting>
  <conditionalFormatting sqref="J1:J1048576">
    <cfRule type="containsText" dxfId="61" priority="14" operator="containsText" text="No DD">
      <formula>NOT(ISERROR(SEARCH("No DD",J1)))</formula>
    </cfRule>
    <cfRule type="containsText" dxfId="60" priority="15" operator="containsText" text="Merit">
      <formula>NOT(ISERROR(SEARCH("Merit",J1)))</formula>
    </cfRule>
    <cfRule type="containsText" dxfId="59" priority="16" operator="containsText" text="Excellence">
      <formula>NOT(ISERROR(SEARCH("Excellence",J1)))</formula>
    </cfRule>
    <cfRule type="containsText" dxfId="58" priority="17" operator="containsText" text="Worlds Team">
      <formula>NOT(ISERROR(SEARCH("Worlds Team",J1)))</formula>
    </cfRule>
    <cfRule type="containsText" dxfId="57" priority="18" operator="containsText" text="National Team">
      <formula>NOT(ISERROR(SEARCH("National Team",J1)))</formula>
    </cfRule>
  </conditionalFormatting>
  <conditionalFormatting sqref="DI46:DI1048576 EK46:EK1048576 DI1:DI44 EK1:EK44 FM1:FM1048576 GO1:GO1048576 HQ1:HQ1048576 IS1:IS1048576 JU1:JU1048576 KW1:KW1048576 LY1:LY1048576 NA1:NA1048576 OC1:OC1048576 PE1:PE1048576">
    <cfRule type="cellIs" dxfId="56" priority="59088" operator="between">
      <formula>DL$45</formula>
      <formula>1000</formula>
    </cfRule>
    <cfRule type="cellIs" dxfId="55" priority="59089" operator="between">
      <formula>DL$44</formula>
      <formula>DL$45</formula>
    </cfRule>
    <cfRule type="cellIs" dxfId="54" priority="59090" operator="between">
      <formula>DL$43</formula>
      <formula>DL$44</formula>
    </cfRule>
  </conditionalFormatting>
  <conditionalFormatting sqref="A1:B3">
    <cfRule type="expression" dxfId="53" priority="2">
      <formula>AND(I1&lt;&gt;"",H1="")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52" priority="267274" operator="between">
      <formula>DL$38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51" priority="267319" operator="between">
      <formula>DL$42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50" priority="267364" operator="between">
      <formula>AP$38</formula>
      <formula>AP$39</formula>
    </cfRule>
    <cfRule type="cellIs" dxfId="49" priority="267365" operator="between">
      <formula>AP$39</formula>
      <formula>AP$40</formula>
    </cfRule>
    <cfRule type="cellIs" dxfId="48" priority="267366" operator="between">
      <formula>AP$40</formula>
      <formula>AP$41</formula>
    </cfRule>
    <cfRule type="cellIs" dxfId="47" priority="267367" operator="between">
      <formula>AP$41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46" priority="267544" operator="between">
      <formula>AP$42</formula>
      <formula>AP$43</formula>
    </cfRule>
    <cfRule type="cellIs" dxfId="45" priority="267545" operator="between">
      <formula>AP$43</formula>
      <formula>AP$44</formula>
    </cfRule>
    <cfRule type="cellIs" dxfId="44" priority="267546" operator="between">
      <formula>AP$44</formula>
      <formula>AP$45</formula>
    </cfRule>
    <cfRule type="cellIs" dxfId="43" priority="267547" operator="between">
      <formula>AP$45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42" priority="267724" operator="between">
      <formula>DL$41</formula>
      <formula>1000</formula>
    </cfRule>
    <cfRule type="cellIs" dxfId="41" priority="267725" operator="between">
      <formula>DL$40</formula>
      <formula>DL$41</formula>
    </cfRule>
    <cfRule type="cellIs" dxfId="40" priority="267726" operator="between">
      <formula>DL$39</formula>
      <formula>DL$40</formula>
    </cfRule>
  </conditionalFormatting>
  <conditionalFormatting sqref="CD1:CD1048576 BH1:BH1048576 AL1:AL1048576">
    <cfRule type="cellIs" dxfId="39" priority="267794" operator="between">
      <formula>AP$38</formula>
      <formula>1000</formula>
    </cfRule>
  </conditionalFormatting>
  <conditionalFormatting sqref="CE1:CE1048576 BI1:BI1048576 AM1:AM1048576">
    <cfRule type="cellIs" dxfId="38" priority="267795" operator="between">
      <formula>AP$42</formula>
      <formula>1000</formula>
    </cfRule>
  </conditionalFormatting>
  <conditionalFormatting sqref="BM4:CH35">
    <cfRule type="expression" dxfId="37" priority="267796" stopIfTrue="1">
      <formula>IF($CC4&lt;&gt;"",1,0)</formula>
    </cfRule>
  </conditionalFormatting>
  <conditionalFormatting sqref="AQ4:BL35">
    <cfRule type="expression" dxfId="36" priority="267802" stopIfTrue="1">
      <formula>IF($BG4&lt;&gt;"",1,0)</formula>
    </cfRule>
  </conditionalFormatting>
  <conditionalFormatting sqref="U4:AP35">
    <cfRule type="expression" dxfId="35" priority="267807" stopIfTrue="1">
      <formula>IF($AK4&lt;&gt;"",1,0)</formula>
    </cfRule>
  </conditionalFormatting>
  <conditionalFormatting sqref="M1:M1048576 Q1:Q1048576 O1:O1048576">
    <cfRule type="expression" dxfId="34" priority="267816">
      <formula>IF(M1=$BM$1,1,0)</formula>
    </cfRule>
    <cfRule type="expression" dxfId="33" priority="267817">
      <formula>IF(M1=$AQ$1,1,0)</formula>
    </cfRule>
    <cfRule type="expression" dxfId="32" priority="267818">
      <formula>IF(M1=$U$1,1,0)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QD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68" t="s">
        <v>122</v>
      </c>
      <c r="B1" s="68" t="s">
        <v>123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124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168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5" t="s">
        <v>184</v>
      </c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0" t="s">
        <v>196</v>
      </c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6" t="s">
        <v>52</v>
      </c>
      <c r="CJ1" s="76"/>
      <c r="CK1" s="70" t="s">
        <v>182</v>
      </c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5" t="s">
        <v>202</v>
      </c>
      <c r="DN1" s="75"/>
      <c r="DO1" s="75"/>
      <c r="DP1" s="75"/>
      <c r="DQ1" s="75"/>
      <c r="DR1" s="75"/>
      <c r="DS1" s="75"/>
      <c r="DT1" s="75"/>
      <c r="DU1" s="75"/>
      <c r="DV1" s="75"/>
      <c r="DW1" s="75"/>
      <c r="DX1" s="75"/>
      <c r="DY1" s="75"/>
      <c r="DZ1" s="75"/>
      <c r="EA1" s="75"/>
      <c r="EB1" s="75"/>
      <c r="EC1" s="75"/>
      <c r="ED1" s="75"/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0" t="s">
        <v>203</v>
      </c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5"/>
      <c r="FR1" s="75"/>
      <c r="FS1" s="75"/>
      <c r="FT1" s="75"/>
      <c r="FU1" s="75"/>
      <c r="FV1" s="75"/>
      <c r="FW1" s="75"/>
      <c r="FX1" s="75"/>
      <c r="FY1" s="75"/>
      <c r="FZ1" s="75"/>
      <c r="GA1" s="75"/>
      <c r="GB1" s="75"/>
      <c r="GC1" s="75"/>
      <c r="GD1" s="75"/>
      <c r="GE1" s="75"/>
      <c r="GF1" s="75"/>
      <c r="GG1" s="75"/>
      <c r="GH1" s="75"/>
      <c r="GI1" s="75"/>
      <c r="GJ1" s="75"/>
      <c r="GK1" s="75"/>
      <c r="GL1" s="75"/>
      <c r="GM1" s="75"/>
      <c r="GN1" s="75"/>
      <c r="GO1" s="75"/>
      <c r="GP1" s="75"/>
      <c r="GQ1" s="75"/>
      <c r="GR1" s="75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5"/>
      <c r="IK1" s="75"/>
      <c r="IL1" s="75"/>
      <c r="IM1" s="75"/>
      <c r="IN1" s="75"/>
      <c r="IO1" s="75"/>
      <c r="IP1" s="75"/>
      <c r="IQ1" s="75"/>
      <c r="IR1" s="75"/>
      <c r="IS1" s="75"/>
      <c r="IT1" s="75"/>
      <c r="IU1" s="75"/>
      <c r="IV1" s="75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5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5"/>
      <c r="OH1" s="75"/>
      <c r="OI1" s="75"/>
      <c r="OJ1" s="75"/>
      <c r="OK1" s="75"/>
      <c r="OL1" s="75"/>
      <c r="OM1" s="75"/>
      <c r="ON1" s="75"/>
      <c r="OO1" s="75"/>
      <c r="OP1" s="75"/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0" t="s">
        <v>56</v>
      </c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</row>
    <row r="2" spans="1:446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79</v>
      </c>
      <c r="AD2" s="71"/>
      <c r="AE2" s="71"/>
      <c r="AF2" s="71"/>
      <c r="AG2" s="78" t="s">
        <v>80</v>
      </c>
      <c r="AH2" s="78"/>
      <c r="AI2" s="78"/>
      <c r="AJ2" s="78"/>
      <c r="AK2" s="14"/>
      <c r="AL2" s="14" t="s">
        <v>86</v>
      </c>
      <c r="AM2" s="14" t="s">
        <v>21</v>
      </c>
      <c r="AN2" s="14" t="s">
        <v>57</v>
      </c>
      <c r="AO2" s="14" t="s">
        <v>83</v>
      </c>
      <c r="AP2" s="14" t="s">
        <v>15</v>
      </c>
      <c r="AQ2" s="67" t="s">
        <v>76</v>
      </c>
      <c r="AR2" s="67"/>
      <c r="AS2" s="67"/>
      <c r="AT2" s="67"/>
      <c r="AU2" s="67" t="s">
        <v>77</v>
      </c>
      <c r="AV2" s="67"/>
      <c r="AW2" s="67"/>
      <c r="AX2" s="67"/>
      <c r="AY2" s="67" t="s">
        <v>79</v>
      </c>
      <c r="AZ2" s="67"/>
      <c r="BA2" s="67"/>
      <c r="BB2" s="67"/>
      <c r="BC2" s="77" t="s">
        <v>80</v>
      </c>
      <c r="BD2" s="77"/>
      <c r="BE2" s="77"/>
      <c r="BF2" s="77"/>
      <c r="BG2" s="13"/>
      <c r="BH2" s="13" t="s">
        <v>86</v>
      </c>
      <c r="BI2" s="13" t="s">
        <v>21</v>
      </c>
      <c r="BJ2" s="13" t="s">
        <v>57</v>
      </c>
      <c r="BK2" s="13" t="s">
        <v>83</v>
      </c>
      <c r="BL2" s="13" t="s">
        <v>15</v>
      </c>
      <c r="BM2" s="71" t="s">
        <v>76</v>
      </c>
      <c r="BN2" s="71"/>
      <c r="BO2" s="71"/>
      <c r="BP2" s="71"/>
      <c r="BQ2" s="71" t="s">
        <v>77</v>
      </c>
      <c r="BR2" s="71"/>
      <c r="BS2" s="71"/>
      <c r="BT2" s="71"/>
      <c r="BU2" s="71" t="s">
        <v>79</v>
      </c>
      <c r="BV2" s="71"/>
      <c r="BW2" s="71"/>
      <c r="BX2" s="71"/>
      <c r="BY2" s="78" t="s">
        <v>80</v>
      </c>
      <c r="BZ2" s="78"/>
      <c r="CA2" s="78"/>
      <c r="CB2" s="78"/>
      <c r="CC2" s="14"/>
      <c r="CD2" s="14" t="s">
        <v>86</v>
      </c>
      <c r="CE2" s="14" t="s">
        <v>21</v>
      </c>
      <c r="CF2" s="14" t="s">
        <v>57</v>
      </c>
      <c r="CG2" s="14" t="s">
        <v>83</v>
      </c>
      <c r="CH2" s="14" t="s">
        <v>15</v>
      </c>
      <c r="CI2" s="49" t="s">
        <v>82</v>
      </c>
      <c r="CJ2" s="49" t="s">
        <v>20</v>
      </c>
      <c r="CK2" s="71" t="s">
        <v>76</v>
      </c>
      <c r="CL2" s="71"/>
      <c r="CM2" s="71"/>
      <c r="CN2" s="71"/>
      <c r="CO2" s="71" t="s">
        <v>77</v>
      </c>
      <c r="CP2" s="71"/>
      <c r="CQ2" s="71"/>
      <c r="CR2" s="71"/>
      <c r="CS2" s="71" t="s">
        <v>78</v>
      </c>
      <c r="CT2" s="71"/>
      <c r="CU2" s="71"/>
      <c r="CV2" s="71"/>
      <c r="CW2" s="71" t="s">
        <v>79</v>
      </c>
      <c r="CX2" s="71"/>
      <c r="CY2" s="71"/>
      <c r="CZ2" s="71"/>
      <c r="DA2" s="79" t="s">
        <v>80</v>
      </c>
      <c r="DB2" s="79"/>
      <c r="DC2" s="79"/>
      <c r="DD2" s="79"/>
      <c r="DE2" s="14" t="s">
        <v>81</v>
      </c>
      <c r="DF2" s="14" t="s">
        <v>82</v>
      </c>
      <c r="DG2" s="14" t="s">
        <v>78</v>
      </c>
      <c r="DH2" s="14" t="s">
        <v>86</v>
      </c>
      <c r="DI2" s="14" t="s">
        <v>21</v>
      </c>
      <c r="DJ2" s="14" t="s">
        <v>57</v>
      </c>
      <c r="DK2" s="14" t="s">
        <v>83</v>
      </c>
      <c r="DL2" s="14" t="s">
        <v>15</v>
      </c>
      <c r="DM2" s="67" t="s">
        <v>76</v>
      </c>
      <c r="DN2" s="67"/>
      <c r="DO2" s="67"/>
      <c r="DP2" s="67"/>
      <c r="DQ2" s="67" t="s">
        <v>77</v>
      </c>
      <c r="DR2" s="67"/>
      <c r="DS2" s="67"/>
      <c r="DT2" s="67"/>
      <c r="DU2" s="67" t="s">
        <v>78</v>
      </c>
      <c r="DV2" s="67"/>
      <c r="DW2" s="67"/>
      <c r="DX2" s="67"/>
      <c r="DY2" s="67" t="s">
        <v>79</v>
      </c>
      <c r="DZ2" s="67"/>
      <c r="EA2" s="67"/>
      <c r="EB2" s="67"/>
      <c r="EC2" s="77" t="s">
        <v>80</v>
      </c>
      <c r="ED2" s="77"/>
      <c r="EE2" s="77"/>
      <c r="EF2" s="77"/>
      <c r="EG2" s="13" t="s">
        <v>81</v>
      </c>
      <c r="EH2" s="13" t="s">
        <v>82</v>
      </c>
      <c r="EI2" s="13" t="s">
        <v>78</v>
      </c>
      <c r="EJ2" s="13" t="s">
        <v>86</v>
      </c>
      <c r="EK2" s="13" t="s">
        <v>21</v>
      </c>
      <c r="EL2" s="13" t="s">
        <v>57</v>
      </c>
      <c r="EM2" s="13" t="s">
        <v>83</v>
      </c>
      <c r="EN2" s="13" t="s">
        <v>15</v>
      </c>
      <c r="EO2" s="71" t="s">
        <v>76</v>
      </c>
      <c r="EP2" s="71"/>
      <c r="EQ2" s="71"/>
      <c r="ER2" s="71"/>
      <c r="ES2" s="71" t="s">
        <v>77</v>
      </c>
      <c r="ET2" s="71"/>
      <c r="EU2" s="71"/>
      <c r="EV2" s="71"/>
      <c r="EW2" s="71" t="s">
        <v>78</v>
      </c>
      <c r="EX2" s="71"/>
      <c r="EY2" s="71"/>
      <c r="EZ2" s="71"/>
      <c r="FA2" s="71" t="s">
        <v>79</v>
      </c>
      <c r="FB2" s="71"/>
      <c r="FC2" s="71"/>
      <c r="FD2" s="71"/>
      <c r="FE2" s="79" t="s">
        <v>80</v>
      </c>
      <c r="FF2" s="79"/>
      <c r="FG2" s="79"/>
      <c r="FH2" s="79"/>
      <c r="FI2" s="14" t="s">
        <v>81</v>
      </c>
      <c r="FJ2" s="14" t="s">
        <v>82</v>
      </c>
      <c r="FK2" s="14" t="s">
        <v>78</v>
      </c>
      <c r="FL2" s="14" t="s">
        <v>86</v>
      </c>
      <c r="FM2" s="14" t="s">
        <v>21</v>
      </c>
      <c r="FN2" s="14" t="s">
        <v>57</v>
      </c>
      <c r="FO2" s="14" t="s">
        <v>83</v>
      </c>
      <c r="FP2" s="14" t="s">
        <v>15</v>
      </c>
      <c r="FQ2" s="67" t="s">
        <v>76</v>
      </c>
      <c r="FR2" s="67"/>
      <c r="FS2" s="67"/>
      <c r="FT2" s="67"/>
      <c r="FU2" s="67" t="s">
        <v>77</v>
      </c>
      <c r="FV2" s="67"/>
      <c r="FW2" s="67"/>
      <c r="FX2" s="67"/>
      <c r="FY2" s="67" t="s">
        <v>78</v>
      </c>
      <c r="FZ2" s="67"/>
      <c r="GA2" s="67"/>
      <c r="GB2" s="67"/>
      <c r="GC2" s="67" t="s">
        <v>79</v>
      </c>
      <c r="GD2" s="67"/>
      <c r="GE2" s="67"/>
      <c r="GF2" s="67"/>
      <c r="GG2" s="77" t="s">
        <v>80</v>
      </c>
      <c r="GH2" s="77"/>
      <c r="GI2" s="77"/>
      <c r="GJ2" s="77"/>
      <c r="GK2" s="13" t="s">
        <v>81</v>
      </c>
      <c r="GL2" s="13" t="s">
        <v>82</v>
      </c>
      <c r="GM2" s="13" t="s">
        <v>78</v>
      </c>
      <c r="GN2" s="13" t="s">
        <v>86</v>
      </c>
      <c r="GO2" s="13" t="s">
        <v>21</v>
      </c>
      <c r="GP2" s="13" t="s">
        <v>57</v>
      </c>
      <c r="GQ2" s="13" t="s">
        <v>83</v>
      </c>
      <c r="GR2" s="13" t="s">
        <v>15</v>
      </c>
      <c r="GS2" s="71" t="s">
        <v>76</v>
      </c>
      <c r="GT2" s="71"/>
      <c r="GU2" s="71"/>
      <c r="GV2" s="71"/>
      <c r="GW2" s="71" t="s">
        <v>77</v>
      </c>
      <c r="GX2" s="71"/>
      <c r="GY2" s="71"/>
      <c r="GZ2" s="71"/>
      <c r="HA2" s="71" t="s">
        <v>78</v>
      </c>
      <c r="HB2" s="71"/>
      <c r="HC2" s="71"/>
      <c r="HD2" s="71"/>
      <c r="HE2" s="71" t="s">
        <v>79</v>
      </c>
      <c r="HF2" s="71"/>
      <c r="HG2" s="71"/>
      <c r="HH2" s="71"/>
      <c r="HI2" s="79" t="s">
        <v>80</v>
      </c>
      <c r="HJ2" s="79"/>
      <c r="HK2" s="79"/>
      <c r="HL2" s="79"/>
      <c r="HM2" s="14" t="s">
        <v>81</v>
      </c>
      <c r="HN2" s="14" t="s">
        <v>82</v>
      </c>
      <c r="HO2" s="14" t="s">
        <v>78</v>
      </c>
      <c r="HP2" s="14" t="s">
        <v>86</v>
      </c>
      <c r="HQ2" s="14" t="s">
        <v>21</v>
      </c>
      <c r="HR2" s="14" t="s">
        <v>57</v>
      </c>
      <c r="HS2" s="14" t="s">
        <v>83</v>
      </c>
      <c r="HT2" s="14" t="s">
        <v>15</v>
      </c>
      <c r="HU2" s="67" t="s">
        <v>76</v>
      </c>
      <c r="HV2" s="67"/>
      <c r="HW2" s="67"/>
      <c r="HX2" s="67"/>
      <c r="HY2" s="67" t="s">
        <v>77</v>
      </c>
      <c r="HZ2" s="67"/>
      <c r="IA2" s="67"/>
      <c r="IB2" s="67"/>
      <c r="IC2" s="67" t="s">
        <v>78</v>
      </c>
      <c r="ID2" s="67"/>
      <c r="IE2" s="67"/>
      <c r="IF2" s="67"/>
      <c r="IG2" s="67" t="s">
        <v>79</v>
      </c>
      <c r="IH2" s="67"/>
      <c r="II2" s="67"/>
      <c r="IJ2" s="67"/>
      <c r="IK2" s="77" t="s">
        <v>80</v>
      </c>
      <c r="IL2" s="77"/>
      <c r="IM2" s="77"/>
      <c r="IN2" s="77"/>
      <c r="IO2" s="13" t="s">
        <v>81</v>
      </c>
      <c r="IP2" s="13" t="s">
        <v>82</v>
      </c>
      <c r="IQ2" s="13" t="s">
        <v>78</v>
      </c>
      <c r="IR2" s="13" t="s">
        <v>86</v>
      </c>
      <c r="IS2" s="13" t="s">
        <v>21</v>
      </c>
      <c r="IT2" s="13" t="s">
        <v>57</v>
      </c>
      <c r="IU2" s="13" t="s">
        <v>83</v>
      </c>
      <c r="IV2" s="13" t="s">
        <v>15</v>
      </c>
      <c r="IW2" s="71" t="s">
        <v>76</v>
      </c>
      <c r="IX2" s="71"/>
      <c r="IY2" s="71"/>
      <c r="IZ2" s="71"/>
      <c r="JA2" s="71" t="s">
        <v>77</v>
      </c>
      <c r="JB2" s="71"/>
      <c r="JC2" s="71"/>
      <c r="JD2" s="71"/>
      <c r="JE2" s="71" t="s">
        <v>78</v>
      </c>
      <c r="JF2" s="71"/>
      <c r="JG2" s="71"/>
      <c r="JH2" s="71"/>
      <c r="JI2" s="71" t="s">
        <v>79</v>
      </c>
      <c r="JJ2" s="71"/>
      <c r="JK2" s="71"/>
      <c r="JL2" s="71"/>
      <c r="JM2" s="79" t="s">
        <v>80</v>
      </c>
      <c r="JN2" s="79"/>
      <c r="JO2" s="79"/>
      <c r="JP2" s="79"/>
      <c r="JQ2" s="14" t="s">
        <v>81</v>
      </c>
      <c r="JR2" s="14" t="s">
        <v>82</v>
      </c>
      <c r="JS2" s="14" t="s">
        <v>78</v>
      </c>
      <c r="JT2" s="14" t="s">
        <v>86</v>
      </c>
      <c r="JU2" s="14" t="s">
        <v>21</v>
      </c>
      <c r="JV2" s="14" t="s">
        <v>57</v>
      </c>
      <c r="JW2" s="14" t="s">
        <v>83</v>
      </c>
      <c r="JX2" s="14" t="s">
        <v>15</v>
      </c>
      <c r="JY2" s="67" t="s">
        <v>76</v>
      </c>
      <c r="JZ2" s="67"/>
      <c r="KA2" s="67"/>
      <c r="KB2" s="67"/>
      <c r="KC2" s="67" t="s">
        <v>77</v>
      </c>
      <c r="KD2" s="67"/>
      <c r="KE2" s="67"/>
      <c r="KF2" s="67"/>
      <c r="KG2" s="67" t="s">
        <v>78</v>
      </c>
      <c r="KH2" s="67"/>
      <c r="KI2" s="67"/>
      <c r="KJ2" s="67"/>
      <c r="KK2" s="67" t="s">
        <v>79</v>
      </c>
      <c r="KL2" s="67"/>
      <c r="KM2" s="67"/>
      <c r="KN2" s="67"/>
      <c r="KO2" s="77" t="s">
        <v>80</v>
      </c>
      <c r="KP2" s="77"/>
      <c r="KQ2" s="77"/>
      <c r="KR2" s="77"/>
      <c r="KS2" s="13" t="s">
        <v>81</v>
      </c>
      <c r="KT2" s="13" t="s">
        <v>82</v>
      </c>
      <c r="KU2" s="13" t="s">
        <v>78</v>
      </c>
      <c r="KV2" s="13" t="s">
        <v>86</v>
      </c>
      <c r="KW2" s="13" t="s">
        <v>21</v>
      </c>
      <c r="KX2" s="13" t="s">
        <v>57</v>
      </c>
      <c r="KY2" s="13" t="s">
        <v>83</v>
      </c>
      <c r="KZ2" s="13" t="s">
        <v>15</v>
      </c>
      <c r="LA2" s="71" t="s">
        <v>76</v>
      </c>
      <c r="LB2" s="71"/>
      <c r="LC2" s="71"/>
      <c r="LD2" s="71"/>
      <c r="LE2" s="71" t="s">
        <v>77</v>
      </c>
      <c r="LF2" s="71"/>
      <c r="LG2" s="71"/>
      <c r="LH2" s="71"/>
      <c r="LI2" s="71" t="s">
        <v>78</v>
      </c>
      <c r="LJ2" s="71"/>
      <c r="LK2" s="71"/>
      <c r="LL2" s="71"/>
      <c r="LM2" s="71" t="s">
        <v>79</v>
      </c>
      <c r="LN2" s="71"/>
      <c r="LO2" s="71"/>
      <c r="LP2" s="71"/>
      <c r="LQ2" s="79" t="s">
        <v>80</v>
      </c>
      <c r="LR2" s="79"/>
      <c r="LS2" s="79"/>
      <c r="LT2" s="79"/>
      <c r="LU2" s="14" t="s">
        <v>81</v>
      </c>
      <c r="LV2" s="14" t="s">
        <v>82</v>
      </c>
      <c r="LW2" s="14" t="s">
        <v>78</v>
      </c>
      <c r="LX2" s="14" t="s">
        <v>86</v>
      </c>
      <c r="LY2" s="14" t="s">
        <v>21</v>
      </c>
      <c r="LZ2" s="14" t="s">
        <v>57</v>
      </c>
      <c r="MA2" s="14" t="s">
        <v>83</v>
      </c>
      <c r="MB2" s="14" t="s">
        <v>15</v>
      </c>
      <c r="MC2" s="67" t="s">
        <v>76</v>
      </c>
      <c r="MD2" s="67"/>
      <c r="ME2" s="67"/>
      <c r="MF2" s="67"/>
      <c r="MG2" s="67" t="s">
        <v>77</v>
      </c>
      <c r="MH2" s="67"/>
      <c r="MI2" s="67"/>
      <c r="MJ2" s="67"/>
      <c r="MK2" s="67" t="s">
        <v>78</v>
      </c>
      <c r="ML2" s="67"/>
      <c r="MM2" s="67"/>
      <c r="MN2" s="67"/>
      <c r="MO2" s="67" t="s">
        <v>79</v>
      </c>
      <c r="MP2" s="67"/>
      <c r="MQ2" s="67"/>
      <c r="MR2" s="67"/>
      <c r="MS2" s="77" t="s">
        <v>80</v>
      </c>
      <c r="MT2" s="77"/>
      <c r="MU2" s="77"/>
      <c r="MV2" s="77"/>
      <c r="MW2" s="13" t="s">
        <v>81</v>
      </c>
      <c r="MX2" s="13" t="s">
        <v>82</v>
      </c>
      <c r="MY2" s="13" t="s">
        <v>78</v>
      </c>
      <c r="MZ2" s="13" t="s">
        <v>86</v>
      </c>
      <c r="NA2" s="13" t="s">
        <v>21</v>
      </c>
      <c r="NB2" s="13" t="s">
        <v>57</v>
      </c>
      <c r="NC2" s="13" t="s">
        <v>83</v>
      </c>
      <c r="ND2" s="13" t="s">
        <v>15</v>
      </c>
      <c r="NE2" s="71" t="s">
        <v>76</v>
      </c>
      <c r="NF2" s="71"/>
      <c r="NG2" s="71"/>
      <c r="NH2" s="71"/>
      <c r="NI2" s="71" t="s">
        <v>77</v>
      </c>
      <c r="NJ2" s="71"/>
      <c r="NK2" s="71"/>
      <c r="NL2" s="71"/>
      <c r="NM2" s="71" t="s">
        <v>78</v>
      </c>
      <c r="NN2" s="71"/>
      <c r="NO2" s="71"/>
      <c r="NP2" s="71"/>
      <c r="NQ2" s="71" t="s">
        <v>79</v>
      </c>
      <c r="NR2" s="71"/>
      <c r="NS2" s="71"/>
      <c r="NT2" s="71"/>
      <c r="NU2" s="79" t="s">
        <v>80</v>
      </c>
      <c r="NV2" s="79"/>
      <c r="NW2" s="79"/>
      <c r="NX2" s="79"/>
      <c r="NY2" s="14" t="s">
        <v>81</v>
      </c>
      <c r="NZ2" s="14" t="s">
        <v>82</v>
      </c>
      <c r="OA2" s="14" t="s">
        <v>78</v>
      </c>
      <c r="OB2" s="14" t="s">
        <v>86</v>
      </c>
      <c r="OC2" s="14" t="s">
        <v>21</v>
      </c>
      <c r="OD2" s="14" t="s">
        <v>57</v>
      </c>
      <c r="OE2" s="14" t="s">
        <v>83</v>
      </c>
      <c r="OF2" s="14" t="s">
        <v>15</v>
      </c>
      <c r="OG2" s="67" t="s">
        <v>76</v>
      </c>
      <c r="OH2" s="67"/>
      <c r="OI2" s="67"/>
      <c r="OJ2" s="67"/>
      <c r="OK2" s="67" t="s">
        <v>77</v>
      </c>
      <c r="OL2" s="67"/>
      <c r="OM2" s="67"/>
      <c r="ON2" s="67"/>
      <c r="OO2" s="67" t="s">
        <v>78</v>
      </c>
      <c r="OP2" s="67"/>
      <c r="OQ2" s="67"/>
      <c r="OR2" s="67"/>
      <c r="OS2" s="67" t="s">
        <v>79</v>
      </c>
      <c r="OT2" s="67"/>
      <c r="OU2" s="67"/>
      <c r="OV2" s="67"/>
      <c r="OW2" s="77" t="s">
        <v>80</v>
      </c>
      <c r="OX2" s="77"/>
      <c r="OY2" s="77"/>
      <c r="OZ2" s="77"/>
      <c r="PA2" s="13" t="s">
        <v>81</v>
      </c>
      <c r="PB2" s="13" t="s">
        <v>82</v>
      </c>
      <c r="PC2" s="13" t="s">
        <v>78</v>
      </c>
      <c r="PD2" s="13" t="s">
        <v>86</v>
      </c>
      <c r="PE2" s="13" t="s">
        <v>21</v>
      </c>
      <c r="PF2" s="13" t="s">
        <v>57</v>
      </c>
      <c r="PG2" s="13" t="s">
        <v>83</v>
      </c>
      <c r="PH2" s="13" t="s">
        <v>15</v>
      </c>
      <c r="PI2" s="71" t="s">
        <v>76</v>
      </c>
      <c r="PJ2" s="71"/>
      <c r="PK2" s="71"/>
      <c r="PL2" s="71"/>
      <c r="PM2" s="71" t="s">
        <v>77</v>
      </c>
      <c r="PN2" s="71"/>
      <c r="PO2" s="71"/>
      <c r="PP2" s="71"/>
      <c r="PQ2" s="71" t="s">
        <v>79</v>
      </c>
      <c r="PR2" s="71"/>
      <c r="PS2" s="71"/>
      <c r="PT2" s="71"/>
      <c r="PU2" s="78" t="s">
        <v>80</v>
      </c>
      <c r="PV2" s="78"/>
      <c r="PW2" s="78"/>
      <c r="PX2" s="78"/>
      <c r="PY2" s="14"/>
      <c r="PZ2" s="14" t="s">
        <v>86</v>
      </c>
      <c r="QA2" s="14" t="s">
        <v>21</v>
      </c>
      <c r="QB2" s="14" t="s">
        <v>57</v>
      </c>
      <c r="QC2" s="14" t="s">
        <v>83</v>
      </c>
      <c r="QD2" s="14" t="s">
        <v>15</v>
      </c>
    </row>
    <row r="3" spans="1:446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>1</v>
      </c>
      <c r="C4" s="5" t="s">
        <v>63</v>
      </c>
      <c r="D4" s="4" t="s">
        <v>5</v>
      </c>
      <c r="E4" s="4">
        <v>2004</v>
      </c>
      <c r="F4" s="9">
        <f>SUM(L4:R4)+SUM(L4:O4)*0.0000001+SUM(L4)*0.0000000000001</f>
        <v>152.80000991000509</v>
      </c>
      <c r="G4" s="64"/>
      <c r="H4" s="3" t="str">
        <f>IF(OR(AND(AL4&gt;=AP$36,AM4&gt;=AP$40,AL4&lt;&gt;"",AK4=""),AND(AN4&gt;=AP$36,AO4&gt;=AP$40,AN4&lt;&gt;"",AK4=""),AND(BH4&gt;=BL$36,BI4&gt;=BL$40,BH4&lt;&gt;"",BG4=""),AND(BJ4&gt;=BL$36,BK4&gt;=BL$40,BJ4&lt;&gt;"",BG4=""),AND(CD4&gt;=CH$36,CE4&gt;=CH$40,CD4&lt;&gt;"",CC4=""),AND(CF4&gt;=CH$36,CG4&gt;=CH$40,CF4&lt;&gt;""),AND(DE4&gt;=DL$36,DF4&gt;=DL$40,DE4&lt;&gt;""),AND(DJ4&gt;=DL$36,DK4&gt;=DL$40,DJ4&lt;&gt;""),AND(EG4&gt;=EN$36,EH4&gt;=EN$40,EG4&lt;&gt;""),AND(EL4&gt;=EN$36,EM4&gt;=EN$40,EL4&lt;&gt;""),AND(FI4&gt;=FP$36,FJ4&gt;=FP$40,FI4&lt;&gt;""),AND(FN4&gt;=FP$36,FO4&gt;=FP$40,FN4&lt;&gt;""),AND(GK4&gt;=GR$36,GL4&gt;=GR$40,GK4&lt;&gt;""),AND(GP4&gt;=GR$36,GQ4&gt;=GR$40,GP4&lt;&gt;""),AND(HM4&gt;=HT$36,HN4&gt;=HT$40,HM4&lt;&gt;""),AND(HR4&gt;=HT$36,HS4&gt;=HT$40,HR4&lt;&gt;""),AND(IO4&gt;=IV$36,IP4&gt;=IV$40,IO4&lt;&gt;""),AND(IT4&gt;=IV$36,IU4&gt;=IV$40,IT4&lt;&gt;""),AND(JQ4&gt;=JX$36,JR4&gt;=JX$40,JQ4&lt;&gt;""),AND(JV4&gt;=JX$36,JW4&gt;=JX$40,JV4&lt;&gt;""),AND(KS4&gt;=KZ$36,KT4&gt;=KZ$40,KS4&lt;&gt;""),AND(KX4&gt;=KZ$36,KY4&gt;=KZ$40,KX4&lt;&gt;""),AND(LU4&gt;=MB$36,LV4&gt;=MB$40,LU4&lt;&gt;""),AND(LZ4&gt;=MB$36,MA4&gt;=MB$40,LZ4&lt;&gt;""),AND(MW4&gt;=ND$36,MX4&gt;=ND$40,MW4&lt;&gt;""),AND(NB4&gt;=ND$36,NC4&gt;=ND$40,NB4&lt;&gt;""),AND(NY4&gt;=OF$36,NZ4&gt;=OF$40,NY4&lt;&gt;""),AND(OD4&gt;=OF$36,OE4&gt;=OF$40,OD4&lt;&gt;""),AND(PA4&gt;=PH$36,PB4&gt;=PH$40,PA4&lt;&gt;""),AND(PF4&gt;=PH$36,PG4&gt;=PH$40,PF4&lt;&gt;"")),"P","")</f>
        <v>P</v>
      </c>
      <c r="I4" s="3" t="str">
        <f>IF(OR(AND(AM4&gt;=AP$40,AM4&lt;&gt;"",AK4=""),AND(AO4&gt;=AP$40,AO4&lt;&gt;"",AK4=""),AND(BI4&gt;=BL$40,BI4&lt;&gt;"",BG4=""),AND(BK4&gt;=BL$40,BK4&lt;&gt;"",BG4=""),AND(CE4&gt;=CH$40,CE4&lt;&gt;"",CC4=""),AND(CG4&gt;=CH$40,CG4&lt;&gt;"",CC4=""),AND(DF4&gt;=DL$40,DF4&lt;&gt;""),AND(DK4&gt;=DL$40,DK4&lt;&gt;""),AND(EH4&gt;=EN$40,EH4&lt;&gt;""),AND(EM4&gt;=EN$40,EM4&lt;&gt;""),AND(FJ4&gt;=FP$40,FJ4&lt;&gt;""),AND(FO4&gt;=FP$40,FO4&lt;&gt;""),AND(GL4&gt;=GR$40,GL4&lt;&gt;""),AND(GQ4&gt;=GR$40,GQ4&lt;&gt;""),AND(HN4&gt;=HT$40,HN4&lt;&gt;""),AND(HS4&gt;=HT$40,HS4&lt;&gt;""),AND(IP4&gt;=IV$40,IP4&lt;&gt;""),AND(IU4&gt;=IV$40,IU4&lt;&gt;""),AND(JR4&gt;=JX$40,JR4&lt;&gt;""),AND(JW4&gt;=JX$40,JW4&lt;&gt;""),AND(KT4&gt;=KZ$40,KT4&lt;&gt;""),AND(KY4&gt;=KZ$40,KY4&lt;&gt;""),AND(LV4&gt;=MB$40,LV4&lt;&gt;""),AND(MA4&gt;=MB$40,MA4&lt;&gt;""),AND(MX4&gt;=ND$40,MX4&lt;&gt;""),AND(NC4&gt;=ND$40,NC4&lt;&gt;""),AND(NZ4&gt;=OF$40,NZ4&lt;&gt;""),AND(OE4&gt;=OF$40,OE4&lt;&gt;""),AND(PB4&gt;=PH$40,PB4&lt;&gt;""),AND(PG4&gt;=PH$40,PG4&lt;&gt;"")),"P","")</f>
        <v>P</v>
      </c>
      <c r="J4" s="36" t="str">
        <f>IF(AND(I4="P",H4=""),"No DD",IF(OR(AND(AL4&gt;=AP$26,AM4&gt;=AP$30,AL4&lt;&gt;"",AK4=""),AND(BH4&gt;=BL$26,BI4&gt;=BL$30,BH4&lt;&gt;"",BG4=""),AND(CD4&gt;=CH$26,CE4&gt;=CH$30,CD4&lt;&gt;"",CC4=""),AND(DH4&gt;=DL$26,DI4&gt;=DL$30,DH4&lt;&gt;""),AND(EJ4&gt;=EN$26,EK4&gt;=EN$30,EJ4&lt;&gt;""),AND(FL4&gt;=FP$26,FM4&gt;=FP$30,FL4&lt;&gt;""),AND(GN4&gt;=GR$26,GO4&gt;=GR$30,GN4&lt;&gt;""),AND(HP4&gt;=HT$26,HQ4&gt;=HT$30,HP4&lt;&gt;""),AND(IR4&gt;=IV$26,IS4&gt;=IV$30,IR4&lt;&gt;""),AND(JT4&gt;=JX$26,JU4&gt;=JX$30,JT4&lt;&gt;""),AND(KV4&gt;=KZ$26,KW4&gt;=KZ$30,KV4&lt;&gt;""),AND(LX4&gt;=MB$26,LY4&gt;=MB$30,LX4&lt;&gt;""),AND(MZ4&gt;=ND$26,NA4&gt;=ND$30,MZ4&lt;&gt;""),AND(OB4&gt;=OF$26,OC4&gt;=OF$30,OB4&lt;&gt;""),AND(PD4&gt;=PH$26,PE4&gt;=PH$30,PD4&lt;&gt;"")),"Merit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Excellence",IF(K4="P","Worlds Team",IF(H4="P","National Team","")))))</f>
        <v>National Team</v>
      </c>
      <c r="K4" s="3" t="str">
        <f>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P","")</f>
        <v/>
      </c>
      <c r="L4" s="8">
        <f>IF(COUNT(AM4,BI4,CE4)&gt;0,LARGE((AM4,BI4,CE4),1),0)</f>
        <v>51.1</v>
      </c>
      <c r="M4" s="8" t="str">
        <f>IF(L4=0,"",IF(L4=CE4,$BM$1,IF(L4=BI4,$AQ$1,IF(L4=AM4,$U$1,""))))</f>
        <v>2025 Elite Canada</v>
      </c>
      <c r="N4" s="8">
        <f>IF(COUNT(AM4,BI4,CE4)&gt;1,LARGE((AM4,BI4,CE4),2),0)</f>
        <v>48</v>
      </c>
      <c r="O4" s="8" t="str">
        <f>IF(N4=0,"",IF(AND(N4=L4,N4=AM4,N4=BI4),$U$1,IF(AND(N4=L4,N4=AM4,N4=CE4),$U$1,IF(AND(N4=L4,N4=BI4,N4=CE4),$AQ$1,IF(N4=CE4,$BM$1,IF(N4=BI4,$AQ$1,IF(N4=AM4,$U$1,"")))))))</f>
        <v>2025 3rd Domestic Trial</v>
      </c>
      <c r="P4" s="8">
        <f>IF(MAX(AO4,BK4,CG4)&gt;0,MAX(AO4,BK4,CG4),0)</f>
        <v>51.099999999999994</v>
      </c>
      <c r="Q4" s="8" t="str">
        <f>IF(P4=0,"",IF(P4=CG4,$BM$1,IF(P4=BK4,$AQ$1,IF(P4=AO4,$U$1,""))))</f>
        <v>2025 3rd Domestic Trial</v>
      </c>
      <c r="R4" s="8">
        <f>IF(MAX(CI4:CJ4)&gt;0,MAX(CI4:CJ4),"")</f>
        <v>2.6000000000000014</v>
      </c>
      <c r="S4" s="11" t="str">
        <f>IF(R4="","",IF(R4=CI4,"("&amp;CI$2&amp;")",IF(R4=CJ4,"("&amp;CJ$2&amp;")")))</f>
        <v>(Q1)</v>
      </c>
      <c r="T4" s="8" t="str">
        <f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19</v>
      </c>
      <c r="V4" s="19">
        <v>6.8</v>
      </c>
      <c r="W4" s="19">
        <v>0.2</v>
      </c>
      <c r="X4" s="19">
        <v>0.3</v>
      </c>
      <c r="Y4" s="19">
        <v>18.8</v>
      </c>
      <c r="Z4" s="19">
        <v>6.4</v>
      </c>
      <c r="AA4" s="19">
        <v>0</v>
      </c>
      <c r="AB4" s="19">
        <v>0</v>
      </c>
      <c r="AC4" s="19">
        <v>18.8</v>
      </c>
      <c r="AD4" s="19">
        <v>6.8</v>
      </c>
      <c r="AE4" s="19">
        <v>0.2</v>
      </c>
      <c r="AF4" s="19">
        <v>0.3</v>
      </c>
      <c r="AG4" s="19">
        <v>15.6</v>
      </c>
      <c r="AH4" s="19">
        <v>2.8</v>
      </c>
      <c r="AI4" s="19">
        <v>0</v>
      </c>
      <c r="AJ4" s="19">
        <v>0</v>
      </c>
      <c r="AK4" s="27"/>
      <c r="AL4" s="40">
        <f>IF(SUM(V4,Z4)&gt;0,SUM(V4,Z4),"")</f>
        <v>13.2</v>
      </c>
      <c r="AM4" s="40">
        <f>IF(SUM(U4:V4,X4:Z4,AB4)-W4-AA4&gt;0,SUM(U4:V4,X4:Z4,AB4)-W4-AA4,"")</f>
        <v>51.1</v>
      </c>
      <c r="AN4" s="40">
        <f>IF(SUM(AD4,AH4)&gt;0,SUM(AD4,AH4),"")</f>
        <v>9.6</v>
      </c>
      <c r="AO4" s="40">
        <f>IF(SUM(AC4:AD4,AF4:AH4,AJ4)-SUM(AE4,AI4)&gt;0,SUM(AC4:AD4,AF4:AH4,AJ4)-SUM(AE4,AI4),"")</f>
        <v>44.099999999999994</v>
      </c>
      <c r="AP4" s="40">
        <f>IF(SUM(AM4,AO4)&gt;0,SUM(AM4,AO4),"")</f>
        <v>95.199999999999989</v>
      </c>
      <c r="AQ4" s="18">
        <v>15.7</v>
      </c>
      <c r="AR4" s="18">
        <v>2.4</v>
      </c>
      <c r="AS4" s="18">
        <v>0</v>
      </c>
      <c r="AT4" s="18">
        <v>0</v>
      </c>
      <c r="AU4" s="18">
        <v>18.3</v>
      </c>
      <c r="AV4" s="18">
        <v>7.2</v>
      </c>
      <c r="AW4" s="18">
        <v>0</v>
      </c>
      <c r="AX4" s="18">
        <v>0.3</v>
      </c>
      <c r="AY4" s="18"/>
      <c r="AZ4" s="18"/>
      <c r="BA4" s="18"/>
      <c r="BB4" s="18"/>
      <c r="BC4" s="18"/>
      <c r="BD4" s="18"/>
      <c r="BE4" s="18"/>
      <c r="BF4" s="18"/>
      <c r="BG4" s="28"/>
      <c r="BH4" s="11">
        <f>IF(SUM(AR4,AV4)&gt;0,SUM(AR4,AV4),"")</f>
        <v>9.6</v>
      </c>
      <c r="BI4" s="11">
        <f>IF(SUM(AQ4:AR4,AT4:AV4,AX4)-AS4-AW4&gt;0,SUM(AQ4:AR4,AT4:AV4,AX4)-AS4-AW4,"")</f>
        <v>43.9</v>
      </c>
      <c r="BJ4" s="11" t="str">
        <f>IF(SUM(AZ4,BD4)&gt;0,SUM(AZ4,BD4),"")</f>
        <v/>
      </c>
      <c r="BK4" s="11" t="str">
        <f>IF(SUM(AY4:AZ4,BB4:BD4,BF4)-SUM(BA4,BE4)&gt;0,SUM(AY4:AZ4,BB4:BD4,BF4)-SUM(BA4,BE4),"")</f>
        <v/>
      </c>
      <c r="BL4" s="11">
        <f>IF(SUM(BI4,BK4)&gt;0,SUM(BI4,BK4),"")</f>
        <v>43.9</v>
      </c>
      <c r="BM4" s="19">
        <v>18.899999999999999</v>
      </c>
      <c r="BN4" s="19">
        <v>5.6</v>
      </c>
      <c r="BO4" s="19">
        <v>0.6</v>
      </c>
      <c r="BP4" s="19">
        <v>0</v>
      </c>
      <c r="BQ4" s="19">
        <v>18.899999999999999</v>
      </c>
      <c r="BR4" s="19">
        <v>6</v>
      </c>
      <c r="BS4" s="19">
        <v>0.8</v>
      </c>
      <c r="BT4" s="19">
        <v>0</v>
      </c>
      <c r="BU4" s="19">
        <v>19</v>
      </c>
      <c r="BV4" s="19">
        <v>6.4</v>
      </c>
      <c r="BW4" s="19">
        <v>0.2</v>
      </c>
      <c r="BX4" s="19">
        <v>0</v>
      </c>
      <c r="BY4" s="19">
        <v>19</v>
      </c>
      <c r="BZ4" s="19">
        <v>6.8</v>
      </c>
      <c r="CA4" s="19">
        <v>0.2</v>
      </c>
      <c r="CB4" s="19">
        <v>0.3</v>
      </c>
      <c r="CC4" s="27"/>
      <c r="CD4" s="40">
        <f>IF(SUM(BN4,BR4)&gt;0,SUM(BN4,BR4),"")</f>
        <v>11.6</v>
      </c>
      <c r="CE4" s="40">
        <f>IF(SUM(BM4:BN4,BP4:BR4,BT4)-BO4-BS4&gt;0,SUM(BM4:BN4,BP4:BR4,BT4)-BO4-BS4,"")</f>
        <v>48</v>
      </c>
      <c r="CF4" s="40">
        <f>IF(SUM(BV4,BZ4)&gt;0,SUM(BV4,BZ4),"")</f>
        <v>13.2</v>
      </c>
      <c r="CG4" s="40">
        <f>IF(SUM(BU4:BV4,BX4:BZ4,CB4)-SUM(BW4,CA4)&gt;0,SUM(BU4:BV4,BX4:BZ4,CB4)-SUM(BW4,CA4),"")</f>
        <v>51.099999999999994</v>
      </c>
      <c r="CH4" s="40">
        <f>IF(SUM(CE4,CG4)&gt;0,SUM(CE4,CG4),"")</f>
        <v>99.1</v>
      </c>
      <c r="CI4" s="50">
        <f>IF(MAX(DF4,EH4,FJ4,GL4,HN4,IP4,JR4,KT4,LV4,MX4,NZ4,PB4)-IF(N4="",0,N4)&gt;0.001,MAX(DF4,EH4,FJ4,GL4,HN4,IP4,JR4,KT4,LV4,MX4,NZ4,PB4)-IF(N4="",0,N4),"")</f>
        <v>2.6000000000000014</v>
      </c>
      <c r="CJ4" s="50" t="str">
        <f>IF(MAX(DK4,EM4,FO4,GQ4,HS4,IU4,JW4,KY4,MA4,NC4,OE4,PG4)-IF(P4="",0,P4)&gt;0.001,MAX(DK4,EM4,FO4,GQ4,HS4,IU4,JW4,KY4,MA4,NC4,OE4,PG4)-IF(P4="",0,P4),"")</f>
        <v/>
      </c>
      <c r="CK4" s="17">
        <v>15.6</v>
      </c>
      <c r="CL4" s="17">
        <v>2.4</v>
      </c>
      <c r="CM4" s="17">
        <v>0</v>
      </c>
      <c r="CN4" s="17">
        <v>0</v>
      </c>
      <c r="CO4" s="17">
        <v>18.7</v>
      </c>
      <c r="CP4" s="17">
        <v>6.4</v>
      </c>
      <c r="CQ4" s="17">
        <v>0</v>
      </c>
      <c r="CR4" s="17">
        <v>0</v>
      </c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>
        <f>IF(SUM(CL4,CP4)&gt;0,SUM(CL4,CP4),"")</f>
        <v>8.8000000000000007</v>
      </c>
      <c r="DF4" s="40">
        <f>IF(SUM(CK4:CL4,CN4:CP4,CR4)-CM4-CQ4&gt;0,SUM(CK4:CL4,CN4:CP4,CR4)-CM4-CQ4,"")</f>
        <v>43.1</v>
      </c>
      <c r="DG4" s="40" t="str">
        <f>IF(SUM(CS4:CT4,CV4)-CU4&gt;0,SUM(CS4:CT4,CV4)-CU4,"")</f>
        <v/>
      </c>
      <c r="DH4" s="40">
        <f>IF(SUM(CL4,CP4,CT4)&gt;0,SUM(CL4,CP4,CT4),"")</f>
        <v>8.8000000000000007</v>
      </c>
      <c r="DI4" s="40">
        <f>IF(SUM(DF4,DG4)&gt;0,SUM(DF4,DG4),"")</f>
        <v>43.1</v>
      </c>
      <c r="DJ4" s="40" t="str">
        <f>IF(SUM(CX4,DB4)&gt;0,SUM(CX4,DB4),"")</f>
        <v/>
      </c>
      <c r="DK4" s="40" t="str">
        <f>IF(SUM(CW4:CX4,CZ4:DB4,DD4)-SUM(CY4,DC4)&gt;0,SUM(CW4:CX4,CZ4:DB4,DD4)-SUM(CY4,DC4),"")</f>
        <v/>
      </c>
      <c r="DL4" s="40">
        <f>IF(SUM(DF4,DG4,DK4)&gt;0,SUM(DF4,DG4,DK4),"")</f>
        <v>43.1</v>
      </c>
      <c r="DM4" s="18">
        <v>18.899999999999999</v>
      </c>
      <c r="DN4" s="18">
        <v>6</v>
      </c>
      <c r="DO4" s="18">
        <v>0</v>
      </c>
      <c r="DP4" s="18">
        <v>0</v>
      </c>
      <c r="DQ4" s="18">
        <v>18.5</v>
      </c>
      <c r="DR4" s="18">
        <v>7.2</v>
      </c>
      <c r="DS4" s="18">
        <v>0</v>
      </c>
      <c r="DT4" s="18">
        <v>0</v>
      </c>
      <c r="DU4" s="18">
        <v>18.3</v>
      </c>
      <c r="DV4" s="18">
        <v>7.2</v>
      </c>
      <c r="DW4" s="18">
        <v>0.6</v>
      </c>
      <c r="DX4" s="18">
        <v>0</v>
      </c>
      <c r="DY4" s="18">
        <v>18.8</v>
      </c>
      <c r="DZ4" s="18">
        <v>7.2</v>
      </c>
      <c r="EA4" s="18">
        <v>0</v>
      </c>
      <c r="EB4" s="18">
        <v>0</v>
      </c>
      <c r="EC4" s="18"/>
      <c r="ED4" s="18"/>
      <c r="EE4" s="18"/>
      <c r="EF4" s="18"/>
      <c r="EG4" s="11">
        <f>IF(SUM(DN4,DR4)&gt;0,SUM(DN4,DR4),"")</f>
        <v>13.2</v>
      </c>
      <c r="EH4" s="11">
        <f>IF(SUM(DM4:DN4,DP4:DR4,DT4)-DO4-DS4&gt;0,SUM(DM4:DN4,DP4:DR4,DT4)-DO4-DS4,"")</f>
        <v>50.6</v>
      </c>
      <c r="EI4" s="11">
        <f>IF(SUM(DU4:DV4,DX4)-DW4&gt;0,SUM(DU4:DV4,DX4)-DW4,"")</f>
        <v>24.9</v>
      </c>
      <c r="EJ4" s="11">
        <f>IF(SUM(DN4,DR4,DV4)&gt;0,SUM(DN4,DR4,DV4),"")</f>
        <v>20.399999999999999</v>
      </c>
      <c r="EK4" s="11">
        <f>IF(SUM(EH4,EI4)&gt;0,SUM(EH4,EI4),"")</f>
        <v>75.5</v>
      </c>
      <c r="EL4" s="11">
        <f>IF(SUM(DZ4,ED4)&gt;0,SUM(DZ4,ED4),"")</f>
        <v>7.2</v>
      </c>
      <c r="EM4" s="11">
        <f>IF(SUM(DY4:DZ4,EB4:ED4,EF4)-SUM(EA4,EE4)&gt;0,SUM(DY4:DZ4,EB4:ED4,EF4)-SUM(EA4,EE4),"")</f>
        <v>26</v>
      </c>
      <c r="EN4" s="11">
        <f>IF(SUM(EH4,EI4,EM4)&gt;0,SUM(EH4,EI4,EM4),"")</f>
        <v>101.5</v>
      </c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40" t="str">
        <f>IF(SUM(EP4,ET4)&gt;0,SUM(EP4,ET4),"")</f>
        <v/>
      </c>
      <c r="FJ4" s="40" t="str">
        <f>IF(SUM(EO4:EP4,ER4:ET4,EV4)-EQ4-EU4&gt;0,SUM(EO4:EP4,ER4:ET4,EV4)-EQ4-EU4,"")</f>
        <v/>
      </c>
      <c r="FK4" s="40" t="str">
        <f>IF(SUM(EW4:EX4,EZ4)-EY4&gt;0,SUM(EW4:EX4,EZ4)-EY4,"")</f>
        <v/>
      </c>
      <c r="FL4" s="40" t="str">
        <f>IF(SUM(EP4,ET4,EX4)&gt;0,SUM(EP4,ET4,EX4),"")</f>
        <v/>
      </c>
      <c r="FM4" s="40" t="str">
        <f>IF(SUM(FJ4,FK4)&gt;0,SUM(FJ4,FK4),"")</f>
        <v/>
      </c>
      <c r="FN4" s="40" t="str">
        <f>IF(SUM(FB4,FF4)&gt;0,SUM(FB4,FF4),"")</f>
        <v/>
      </c>
      <c r="FO4" s="40" t="str">
        <f>IF(SUM(FA4:FB4,FD4:FF4,FH4)-SUM(FC4,FG4)&gt;0,SUM(FA4:FB4,FD4:FF4,FH4)-SUM(FC4,FG4),"")</f>
        <v/>
      </c>
      <c r="FP4" s="40" t="str">
        <f>IF(SUM(FJ4,FK4,FO4)&gt;0,SUM(FJ4,FK4,FO4),"")</f>
        <v/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>IF(SUM(FR4,FV4)&gt;0,SUM(FR4,FV4),"")</f>
        <v/>
      </c>
      <c r="GL4" s="11" t="str">
        <f>IF(SUM(FQ4:FR4,FT4:FV4,FX4)-FS4-FW4&gt;0,SUM(FQ4:FR4,FT4:FV4,FX4)-FS4-FW4,"")</f>
        <v/>
      </c>
      <c r="GM4" s="11" t="str">
        <f>IF(SUM(FY4:FZ4,GB4)-GA4&gt;0,SUM(FY4:FZ4,GB4)-GA4,"")</f>
        <v/>
      </c>
      <c r="GN4" s="11" t="str">
        <f>IF(SUM(FR4,FV4,FZ4)&gt;0,SUM(FR4,FV4,FZ4),"")</f>
        <v/>
      </c>
      <c r="GO4" s="11" t="str">
        <f>IF(SUM(GL4,GM4)&gt;0,SUM(GL4,GM4),"")</f>
        <v/>
      </c>
      <c r="GP4" s="11" t="str">
        <f>IF(SUM(GD4,GH4)&gt;0,SUM(GD4,GH4),"")</f>
        <v/>
      </c>
      <c r="GQ4" s="11" t="str">
        <f>IF(SUM(GC4:GD4,GF4:GH4,GJ4)-SUM(GE4,GI4)&gt;0,SUM(GC4:GD4,GF4:GH4,GJ4)-SUM(GE4,GI4),"")</f>
        <v/>
      </c>
      <c r="GR4" s="11" t="str">
        <f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>IF(SUM(GT4,GX4)&gt;0,SUM(GT4,GX4),"")</f>
        <v/>
      </c>
      <c r="HN4" s="40" t="str">
        <f>IF(SUM(GS4:GT4,GV4:GX4,GZ4)-GU4-GY4&gt;0,SUM(GS4:GT4,GV4:GX4,GZ4)-GU4-GY4,"")</f>
        <v/>
      </c>
      <c r="HO4" s="40" t="str">
        <f>IF(SUM(HA4:HB4,HD4)-HC4&gt;0,SUM(HA4:HB4,HD4)-HC4,"")</f>
        <v/>
      </c>
      <c r="HP4" s="40" t="str">
        <f>IF(SUM(GT4,GX4,HB4)&gt;0,SUM(GT4,GX4,HB4),"")</f>
        <v/>
      </c>
      <c r="HQ4" s="40" t="str">
        <f>IF(SUM(HN4,HO4)&gt;0,SUM(HN4,HO4),"")</f>
        <v/>
      </c>
      <c r="HR4" s="40" t="str">
        <f>IF(SUM(HF4,HJ4)&gt;0,SUM(HF4,HJ4),"")</f>
        <v/>
      </c>
      <c r="HS4" s="40" t="str">
        <f>IF(SUM(HE4:HF4,HH4:HJ4,HL4)-SUM(HG4,HK4)&gt;0,SUM(HE4:HF4,HH4:HJ4,HL4)-SUM(HG4,HK4),"")</f>
        <v/>
      </c>
      <c r="HT4" s="40" t="str">
        <f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>IF(SUM(HV4,HZ4)&gt;0,SUM(HV4,HZ4),"")</f>
        <v/>
      </c>
      <c r="IP4" s="11" t="str">
        <f>IF(SUM(HU4:HV4,HX4:HZ4,IB4)-HW4-IA4&gt;0,SUM(HU4:HV4,HX4:HZ4,IB4)-HW4-IA4,"")</f>
        <v/>
      </c>
      <c r="IQ4" s="11" t="str">
        <f>IF(SUM(IC4:ID4,IF4)-IE4&gt;0,SUM(IC4:ID4,IF4)-IE4,"")</f>
        <v/>
      </c>
      <c r="IR4" s="11" t="str">
        <f>IF(SUM(HV4,HZ4,ID4)&gt;0,SUM(HV4,HZ4,ID4),"")</f>
        <v/>
      </c>
      <c r="IS4" s="11" t="str">
        <f>IF(SUM(IP4,IQ4)&gt;0,SUM(IP4,IQ4),"")</f>
        <v/>
      </c>
      <c r="IT4" s="11" t="str">
        <f>IF(SUM(IH4,IL4)&gt;0,SUM(IH4,IL4),"")</f>
        <v/>
      </c>
      <c r="IU4" s="11" t="str">
        <f>IF(SUM(IG4:IH4,IJ4:IL4,IN4)-SUM(II4,IM4)&gt;0,SUM(IG4:IH4,IJ4:IL4,IN4)-SUM(II4,IM4),"")</f>
        <v/>
      </c>
      <c r="IV4" s="11" t="str">
        <f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>IF(SUM(IX4,JB4)&gt;0,SUM(IX4,JB4),"")</f>
        <v/>
      </c>
      <c r="JR4" s="40" t="str">
        <f>IF(SUM(IW4:IX4,IZ4:JB4,JD4)-IY4-JC4&gt;0,SUM(IW4:IX4,IZ4:JB4,JD4)-IY4-JC4,"")</f>
        <v/>
      </c>
      <c r="JS4" s="40" t="str">
        <f>IF(SUM(JE4:JF4,JH4)-JG4&gt;0,SUM(JE4:JF4,JH4)-JG4,"")</f>
        <v/>
      </c>
      <c r="JT4" s="40" t="str">
        <f>IF(SUM(IX4,JB4,JF4)&gt;0,SUM(IX4,JB4,JF4),"")</f>
        <v/>
      </c>
      <c r="JU4" s="40" t="str">
        <f>IF(SUM(JR4,JS4)&gt;0,SUM(JR4,JS4),"")</f>
        <v/>
      </c>
      <c r="JV4" s="40" t="str">
        <f>IF(SUM(JJ4,JN4)&gt;0,SUM(JJ4,JN4),"")</f>
        <v/>
      </c>
      <c r="JW4" s="40" t="str">
        <f>IF(SUM(JI4:JJ4,JL4:JN4,JP4)-SUM(JK4,JO4)&gt;0,SUM(JI4:JJ4,JL4:JN4,JP4)-SUM(JK4,JO4),"")</f>
        <v/>
      </c>
      <c r="JX4" s="40" t="str">
        <f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>IF(SUM(JZ4,KD4)&gt;0,SUM(JZ4,KD4),"")</f>
        <v/>
      </c>
      <c r="KT4" s="11" t="str">
        <f>IF(SUM(JY4:JZ4,KB4:KD4,KF4)-KA4-KE4&gt;0,SUM(JY4:JZ4,KB4:KD4,KF4)-KA4-KE4,"")</f>
        <v/>
      </c>
      <c r="KU4" s="11" t="str">
        <f>IF(SUM(KG4:KH4,KJ4)-KI4&gt;0,SUM(KG4:KH4,KJ4)-KI4,"")</f>
        <v/>
      </c>
      <c r="KV4" s="11" t="str">
        <f>IF(SUM(JZ4,KD4,KH4)&gt;0,SUM(JZ4,KD4,KH4),"")</f>
        <v/>
      </c>
      <c r="KW4" s="11" t="str">
        <f>IF(SUM(KT4,KU4)&gt;0,SUM(KT4,KU4),"")</f>
        <v/>
      </c>
      <c r="KX4" s="11" t="str">
        <f>IF(SUM(KL4,KP4)&gt;0,SUM(KL4,KP4),"")</f>
        <v/>
      </c>
      <c r="KY4" s="11" t="str">
        <f>IF(SUM(KK4:KL4,KN4:KP4,KR4)-SUM(KM4,KQ4)&gt;0,SUM(KK4:KL4,KN4:KP4,KR4)-SUM(KM4,KQ4),"")</f>
        <v/>
      </c>
      <c r="KZ4" s="11" t="str">
        <f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>IF(SUM(LB4,LF4)&gt;0,SUM(LB4,LF4),"")</f>
        <v/>
      </c>
      <c r="LV4" s="40" t="str">
        <f>IF(SUM(LA4:LB4,LD4:LF4,LH4)-LC4-LG4&gt;0,SUM(LA4:LB4,LD4:LF4,LH4)-LC4-LG4,"")</f>
        <v/>
      </c>
      <c r="LW4" s="40" t="str">
        <f>IF(SUM(LI4:LJ4,LL4)-LK4&gt;0,SUM(LI4:LJ4,LL4)-LK4,"")</f>
        <v/>
      </c>
      <c r="LX4" s="40" t="str">
        <f>IF(SUM(LB4,LF4,LJ4)&gt;0,SUM(LB4,LF4,LJ4),"")</f>
        <v/>
      </c>
      <c r="LY4" s="40" t="str">
        <f>IF(SUM(LV4,LW4)&gt;0,SUM(LV4,LW4),"")</f>
        <v/>
      </c>
      <c r="LZ4" s="40" t="str">
        <f>IF(SUM(LN4,LR4)&gt;0,SUM(LN4,LR4),"")</f>
        <v/>
      </c>
      <c r="MA4" s="40" t="str">
        <f>IF(SUM(LM4:LN4,LP4:LR4,LT4)-SUM(LO4,LS4)&gt;0,SUM(LM4:LN4,LP4:LR4,LT4)-SUM(LO4,LS4),"")</f>
        <v/>
      </c>
      <c r="MB4" s="40" t="str">
        <f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>IF(SUM(MD4,MH4)&gt;0,SUM(MD4,MH4),"")</f>
        <v/>
      </c>
      <c r="MX4" s="11" t="str">
        <f>IF(SUM(MC4:MD4,MF4:MH4,MJ4)-ME4-MI4&gt;0,SUM(MC4:MD4,MF4:MH4,MJ4)-ME4-MI4,"")</f>
        <v/>
      </c>
      <c r="MY4" s="11" t="str">
        <f>IF(SUM(MK4:ML4,MN4)-MM4&gt;0,SUM(MK4:ML4,MN4)-MM4,"")</f>
        <v/>
      </c>
      <c r="MZ4" s="11" t="str">
        <f>IF(SUM(MD4,MH4,ML4)&gt;0,SUM(MD4,MH4,ML4),"")</f>
        <v/>
      </c>
      <c r="NA4" s="11" t="str">
        <f>IF(SUM(MX4,MY4)&gt;0,SUM(MX4,MY4),"")</f>
        <v/>
      </c>
      <c r="NB4" s="11" t="str">
        <f>IF(SUM(MP4,MT4)&gt;0,SUM(MP4,MT4),"")</f>
        <v/>
      </c>
      <c r="NC4" s="11" t="str">
        <f>IF(SUM(MO4:MP4,MR4:MT4,MV4)-SUM(MQ4,MU4)&gt;0,SUM(MO4:MP4,MR4:MT4,MV4)-SUM(MQ4,MU4),"")</f>
        <v/>
      </c>
      <c r="ND4" s="11" t="str">
        <f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>IF(SUM(NF4,NJ4)&gt;0,SUM(NF4,NJ4),"")</f>
        <v/>
      </c>
      <c r="NZ4" s="40" t="str">
        <f>IF(SUM(NE4:NF4,NH4:NJ4,NL4)-NG4-NK4&gt;0,SUM(NE4:NF4,NH4:NJ4,NL4)-NG4-NK4,"")</f>
        <v/>
      </c>
      <c r="OA4" s="40" t="str">
        <f>IF(SUM(NM4:NN4,NP4)-NO4&gt;0,SUM(NM4:NN4,NP4)-NO4,"")</f>
        <v/>
      </c>
      <c r="OB4" s="40" t="str">
        <f>IF(SUM(NF4,NJ4,NN4)&gt;0,SUM(NF4,NJ4,NN4),"")</f>
        <v/>
      </c>
      <c r="OC4" s="40" t="str">
        <f>IF(SUM(NZ4,OA4)&gt;0,SUM(NZ4,OA4),"")</f>
        <v/>
      </c>
      <c r="OD4" s="40" t="str">
        <f>IF(SUM(NR4,NV4)&gt;0,SUM(NR4,NV4),"")</f>
        <v/>
      </c>
      <c r="OE4" s="40" t="str">
        <f>IF(SUM(NQ4:NR4,NT4:NV4,NX4)-SUM(NS4,NW4)&gt;0,SUM(NQ4:NR4,NT4:NV4,NX4)-SUM(NS4,NW4),"")</f>
        <v/>
      </c>
      <c r="OF4" s="40" t="str">
        <f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>IF(SUM(OH4,OL4)&gt;0,SUM(OH4,OL4),"")</f>
        <v/>
      </c>
      <c r="PB4" s="11" t="str">
        <f>IF(SUM(OG4:OH4,OJ4:OL4,ON4)-OI4-OM4&gt;0,SUM(OG4:OH4,OJ4:OL4,ON4)-OI4-OM4,"")</f>
        <v/>
      </c>
      <c r="PC4" s="11" t="str">
        <f>IF(SUM(OO4:OP4,OR4)-OQ4&gt;0,SUM(OO4:OP4,OR4)-OQ4,"")</f>
        <v/>
      </c>
      <c r="PD4" s="11" t="str">
        <f>IF(SUM(OH4,OL4,OP4)&gt;0,SUM(OH4,OL4,OP4),"")</f>
        <v/>
      </c>
      <c r="PE4" s="11" t="str">
        <f>IF(SUM(PB4,PC4)&gt;0,SUM(PB4,PC4),"")</f>
        <v/>
      </c>
      <c r="PF4" s="11" t="str">
        <f>IF(SUM(OT4,OX4)&gt;0,SUM(OT4,OX4),"")</f>
        <v/>
      </c>
      <c r="PG4" s="11" t="str">
        <f>IF(SUM(OS4:OT4,OV4:OX4,OZ4)-SUM(OU4,OY4)&gt;0,SUM(OS4:OT4,OV4:OX4,OZ4)-SUM(OU4,OY4),"")</f>
        <v/>
      </c>
      <c r="PH4" s="11" t="str">
        <f>IF(SUM(PB4,PC4,PG4)&gt;0,SUM(PB4,PC4,PG4),"")</f>
        <v/>
      </c>
      <c r="PI4" s="22">
        <f>IF($PY4="P",BM4,(BM4+AQ4)/2)</f>
        <v>18.899999999999999</v>
      </c>
      <c r="PJ4" s="22">
        <f>IF($PY4="P",BN4,(BN4+AR4)/2)</f>
        <v>5.6</v>
      </c>
      <c r="PK4" s="22">
        <f>IF($PY4="P",BO4,(BO4+AS4)/2)</f>
        <v>0.6</v>
      </c>
      <c r="PL4" s="22">
        <f>IF($PY4="P",BP4,(BP4+AT4)/2)</f>
        <v>0</v>
      </c>
      <c r="PM4" s="22">
        <f>IF($PY4="P",BQ4,(BQ4+AU4)/2)</f>
        <v>18.899999999999999</v>
      </c>
      <c r="PN4" s="22">
        <f>IF($PY4="P",BR4,(BR4+AV4)/2)</f>
        <v>6</v>
      </c>
      <c r="PO4" s="22">
        <f>IF($PY4="P",BS4,(BS4+AW4)/2)</f>
        <v>0.8</v>
      </c>
      <c r="PP4" s="22">
        <f>IF($PY4="P",BT4,(BT4+AX4)/2)</f>
        <v>0</v>
      </c>
      <c r="PQ4" s="22">
        <f>IF($PY4="P",BU4,(BU4+AY4)/2)</f>
        <v>19</v>
      </c>
      <c r="PR4" s="22">
        <f>IF($PY4="P",BV4,(BV4+AZ4)/2)</f>
        <v>6.4</v>
      </c>
      <c r="PS4" s="22">
        <f>IF($PY4="P",BW4,(BW4+BA4)/2)</f>
        <v>0.2</v>
      </c>
      <c r="PT4" s="22">
        <f>IF($PY4="P",BX4,(BX4+BB4)/2)</f>
        <v>0</v>
      </c>
      <c r="PU4" s="22">
        <f>IF($PY4="P",BY4,(BY4+BC4)/2)</f>
        <v>19</v>
      </c>
      <c r="PV4" s="22">
        <f>IF($PY4="P",BZ4,(BZ4+BD4)/2)</f>
        <v>6.8</v>
      </c>
      <c r="PW4" s="22">
        <f>IF($PY4="P",CA4,(CA4+BE4)/2)</f>
        <v>0.2</v>
      </c>
      <c r="PX4" s="22">
        <f>IF($PY4="P",CB4,(CB4+BF4)/2)</f>
        <v>0.3</v>
      </c>
      <c r="PY4" s="27" t="s">
        <v>46</v>
      </c>
      <c r="PZ4" s="40">
        <f>IF(SUM(PJ4,PN4)&gt;0,SUM(PJ4,PN4),"")</f>
        <v>11.6</v>
      </c>
      <c r="QA4" s="40">
        <f>IF(SUM(PI4:PJ4,PL4:PN4,PP4)-PK4-PO4&gt;0,SUM(PI4:PJ4,PL4:PN4,PP4)-PK4-PO4,"")</f>
        <v>48</v>
      </c>
      <c r="QB4" s="40">
        <f>IF(SUM(PR4,PV4)&gt;0,SUM(PR4,PV4),"")</f>
        <v>13.2</v>
      </c>
      <c r="QC4" s="40">
        <f>IF(SUM(PQ4:PR4,PT4:PV4,PX4)-SUM(PS4,PW4)&gt;0,SUM(PQ4:PR4,PT4:PV4,PX4)-SUM(PS4,PW4),"")</f>
        <v>51.099999999999994</v>
      </c>
      <c r="QD4" s="40">
        <f>IF(SUM(QA4,QC4)&gt;0,SUM(QA4,QC4),"")</f>
        <v>99.1</v>
      </c>
    </row>
    <row r="5" spans="1:446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128</v>
      </c>
      <c r="D5" s="4" t="s">
        <v>5</v>
      </c>
      <c r="E5" s="4">
        <v>2007</v>
      </c>
      <c r="F5" s="9">
        <f>SUM(L5:R5)+SUM(L5:O5)*0.0000001+SUM(L5)*0.0000000000001</f>
        <v>151.3000101200052</v>
      </c>
      <c r="G5" s="64" t="s">
        <v>46</v>
      </c>
      <c r="H5" s="3" t="str">
        <f>IF(OR(AND(AL5&gt;=AP$36,AM5&gt;=AP$40,AL5&lt;&gt;"",AK5=""),AND(AN5&gt;=AP$36,AO5&gt;=AP$40,AN5&lt;&gt;"",AK5=""),AND(BH5&gt;=BL$36,BI5&gt;=BL$40,BH5&lt;&gt;"",BG5=""),AND(BJ5&gt;=BL$36,BK5&gt;=BL$40,BJ5&lt;&gt;"",BG5=""),AND(CD5&gt;=CH$36,CE5&gt;=CH$40,CD5&lt;&gt;"",CC5=""),AND(CF5&gt;=CH$36,CG5&gt;=CH$40,CF5&lt;&gt;""),AND(DE5&gt;=DL$36,DF5&gt;=DL$40,DE5&lt;&gt;""),AND(DJ5&gt;=DL$36,DK5&gt;=DL$40,DJ5&lt;&gt;""),AND(EG5&gt;=EN$36,EH5&gt;=EN$40,EG5&lt;&gt;""),AND(EL5&gt;=EN$36,EM5&gt;=EN$40,EL5&lt;&gt;""),AND(FI5&gt;=FP$36,FJ5&gt;=FP$40,FI5&lt;&gt;""),AND(FN5&gt;=FP$36,FO5&gt;=FP$40,FN5&lt;&gt;""),AND(GK5&gt;=GR$36,GL5&gt;=GR$40,GK5&lt;&gt;""),AND(GP5&gt;=GR$36,GQ5&gt;=GR$40,GP5&lt;&gt;""),AND(HM5&gt;=HT$36,HN5&gt;=HT$40,HM5&lt;&gt;""),AND(HR5&gt;=HT$36,HS5&gt;=HT$40,HR5&lt;&gt;""),AND(IO5&gt;=IV$36,IP5&gt;=IV$40,IO5&lt;&gt;""),AND(IT5&gt;=IV$36,IU5&gt;=IV$40,IT5&lt;&gt;""),AND(JQ5&gt;=JX$36,JR5&gt;=JX$40,JQ5&lt;&gt;""),AND(JV5&gt;=JX$36,JW5&gt;=JX$40,JV5&lt;&gt;""),AND(KS5&gt;=KZ$36,KT5&gt;=KZ$40,KS5&lt;&gt;""),AND(KX5&gt;=KZ$36,KY5&gt;=KZ$40,KX5&lt;&gt;""),AND(LU5&gt;=MB$36,LV5&gt;=MB$40,LU5&lt;&gt;""),AND(LZ5&gt;=MB$36,MA5&gt;=MB$40,LZ5&lt;&gt;""),AND(MW5&gt;=ND$36,MX5&gt;=ND$40,MW5&lt;&gt;""),AND(NB5&gt;=ND$36,NC5&gt;=ND$40,NB5&lt;&gt;""),AND(NY5&gt;=OF$36,NZ5&gt;=OF$40,NY5&lt;&gt;""),AND(OD5&gt;=OF$36,OE5&gt;=OF$40,OD5&lt;&gt;""),AND(PA5&gt;=PH$36,PB5&gt;=PH$40,PA5&lt;&gt;""),AND(PF5&gt;=PH$36,PG5&gt;=PH$40,PF5&lt;&gt;"")),"P","")</f>
        <v>P</v>
      </c>
      <c r="I5" s="3" t="str">
        <f>IF(OR(AND(AM5&gt;=AP$40,AM5&lt;&gt;"",AK5=""),AND(AO5&gt;=AP$40,AO5&lt;&gt;"",AK5=""),AND(BI5&gt;=BL$40,BI5&lt;&gt;"",BG5=""),AND(BK5&gt;=BL$40,BK5&lt;&gt;"",BG5=""),AND(CE5&gt;=CH$40,CE5&lt;&gt;"",CC5=""),AND(CG5&gt;=CH$40,CG5&lt;&gt;"",CC5=""),AND(DF5&gt;=DL$40,DF5&lt;&gt;""),AND(DK5&gt;=DL$40,DK5&lt;&gt;""),AND(EH5&gt;=EN$40,EH5&lt;&gt;""),AND(EM5&gt;=EN$40,EM5&lt;&gt;""),AND(FJ5&gt;=FP$40,FJ5&lt;&gt;""),AND(FO5&gt;=FP$40,FO5&lt;&gt;""),AND(GL5&gt;=GR$40,GL5&lt;&gt;""),AND(GQ5&gt;=GR$40,GQ5&lt;&gt;""),AND(HN5&gt;=HT$40,HN5&lt;&gt;""),AND(HS5&gt;=HT$40,HS5&lt;&gt;""),AND(IP5&gt;=IV$40,IP5&lt;&gt;""),AND(IU5&gt;=IV$40,IU5&lt;&gt;""),AND(JR5&gt;=JX$40,JR5&lt;&gt;""),AND(JW5&gt;=JX$40,JW5&lt;&gt;""),AND(KT5&gt;=KZ$40,KT5&lt;&gt;""),AND(KY5&gt;=KZ$40,KY5&lt;&gt;""),AND(LV5&gt;=MB$40,LV5&lt;&gt;""),AND(MA5&gt;=MB$40,MA5&lt;&gt;""),AND(MX5&gt;=ND$40,MX5&lt;&gt;""),AND(NC5&gt;=ND$40,NC5&lt;&gt;""),AND(NZ5&gt;=OF$40,NZ5&lt;&gt;""),AND(OE5&gt;=OF$40,OE5&lt;&gt;""),AND(PB5&gt;=PH$40,PB5&lt;&gt;""),AND(PG5&gt;=PH$40,PG5&lt;&gt;"")),"P","")</f>
        <v>P</v>
      </c>
      <c r="J5" s="36" t="str">
        <f>IF(AND(I5="P",H5=""),"No DD",IF(OR(AND(AL5&gt;=AP$26,AM5&gt;=AP$30,AL5&lt;&gt;"",AK5=""),AND(BH5&gt;=BL$26,BI5&gt;=BL$30,BH5&lt;&gt;"",BG5=""),AND(CD5&gt;=CH$26,CE5&gt;=CH$30,CD5&lt;&gt;"",CC5=""),AND(DH5&gt;=DL$26,DI5&gt;=DL$30,DH5&lt;&gt;""),AND(EJ5&gt;=EN$26,EK5&gt;=EN$30,EJ5&lt;&gt;""),AND(FL5&gt;=FP$26,FM5&gt;=FP$30,FL5&lt;&gt;""),AND(GN5&gt;=GR$26,GO5&gt;=GR$30,GN5&lt;&gt;""),AND(HP5&gt;=HT$26,HQ5&gt;=HT$30,HP5&lt;&gt;""),AND(IR5&gt;=IV$26,IS5&gt;=IV$30,IR5&lt;&gt;""),AND(JT5&gt;=JX$26,JU5&gt;=JX$30,JT5&lt;&gt;""),AND(KV5&gt;=KZ$26,KW5&gt;=KZ$30,KV5&lt;&gt;""),AND(LX5&gt;=MB$26,LY5&gt;=MB$30,LX5&lt;&gt;""),AND(MZ5&gt;=ND$26,NA5&gt;=ND$30,MZ5&lt;&gt;""),AND(OB5&gt;=OF$26,OC5&gt;=OF$30,OB5&lt;&gt;""),AND(PD5&gt;=PH$26,PE5&gt;=PH$30,PD5&lt;&gt;"")),"Merit",IF(OR(AND(AL5&gt;=AP$25,AM5&gt;=AP$29,AL5&lt;&gt;"",AK5=""),AND(BH5&gt;=BL$25,BI5&gt;=BL$29,BH5&lt;&gt;"",BG5=""),AND(CD5&gt;=CH$25,CE5&gt;=CH$29,CD5&lt;&gt;"",CC5=""),AND(DH5&gt;=DL$25,DI5&gt;=DL$29,DH5&lt;&gt;""),AND(EJ5&gt;=EN$25,EK5&gt;=EN$29,EJ5&lt;&gt;""),AND(FL5&gt;=FP$25,FM5&gt;=FP$29,FL5&lt;&gt;""),AND(GN5&gt;=GR$25,GO5&gt;=GR$29,GN5&lt;&gt;""),AND(HP5&gt;=HT$25,HQ5&gt;=HT$29,HP5&lt;&gt;""),AND(IR5&gt;=IV$25,IS5&gt;=IV$29,IR5&lt;&gt;""),AND(JT5&gt;=JX$25,JU5&gt;=JX$29,JT5&lt;&gt;""),AND(KV5&gt;=KZ$25,KW5&gt;=KZ$29,KV5&lt;&gt;""),AND(LX5&gt;=MB$25,LY5&gt;=MB$29,LX5&lt;&gt;""),AND(MZ5&gt;=ND$25,NA5&gt;=ND$29,MZ5&lt;&gt;""),AND(OB5&gt;=OF$25,OC5&gt;=OF$29,OB5&lt;&gt;""),AND(PD5&gt;=PH$25,PE5&gt;=PH$29,PD5&lt;&gt;"")),"Excellence",IF(K5="P","Worlds Team",IF(H5="P","National Team","")))))</f>
        <v>National Team</v>
      </c>
      <c r="K5" s="3" t="str">
        <f>IF(OR(AND(AL5&gt;=AP$24,AM5&gt;=AP$28,AL5&lt;&gt;"",AK5=""),AND(BH5&gt;=BL$24,BI5&gt;=BL$28,BH5&lt;&gt;"",BG5=""),AND(CD5&gt;=CH$24,CE5&gt;=CH$28,CD5&lt;&gt;"",CC5=""),AND(DH5&gt;=DL$24,DI5&gt;=DL$28,DH5&lt;&gt;""),AND(EJ5&gt;=EN$24,EK5&gt;=EN$28,EJ5&lt;&gt;""),AND(FL5&gt;=FP$24,FM5&gt;=FP$28,FL5&lt;&gt;""),AND(GN5&gt;=GR$24,GO5&gt;=GR$28,GN5&lt;&gt;""),AND(HP5&gt;=HT$24,HQ5&gt;=HT$28,HP5&lt;&gt;""),AND(IR5&gt;=IV$24,IS5&gt;=IV$28,IR5&lt;&gt;""),AND(JT5&gt;=JX$24,JU5&gt;=JX$28,JT5&lt;&gt;""),AND(KV5&gt;=KZ$24,KW5&gt;=KZ$28,KV5&lt;&gt;""),AND(LX5&gt;=MB$24,LY5&gt;=MB$28,LX5&lt;&gt;""),AND(MZ5&gt;=ND$24,NA5&gt;=ND$28,MZ5&lt;&gt;""),AND(OB5&gt;=OF$24,OC5&gt;=OF$28,OB5&lt;&gt;""),AND(PD5&gt;=PH$24,PE5&gt;=PH$28,PD5&lt;&gt;"")),"P","")</f>
        <v/>
      </c>
      <c r="L5" s="8">
        <f>IF(COUNT(AM5,BI5,CE5)&gt;0,LARGE((AM5,BI5,CE5),1),0)</f>
        <v>51.7</v>
      </c>
      <c r="M5" s="8" t="str">
        <f>IF(L5=0,"",IF(L5=CE5,$BM$1,IF(L5=BI5,$AQ$1,IF(L5=AM5,$U$1,""))))</f>
        <v>2025 Nationals</v>
      </c>
      <c r="N5" s="8">
        <f>IF(COUNT(AM5,BI5,CE5)&gt;1,LARGE((AM5,BI5,CE5),2),0)</f>
        <v>49.5</v>
      </c>
      <c r="O5" s="8" t="str">
        <f>IF(N5=0,"",IF(AND(N5=L5,N5=AM5,N5=BI5),$U$1,IF(AND(N5=L5,N5=AM5,N5=CE5),$U$1,IF(AND(N5=L5,N5=BI5,N5=CE5),$AQ$1,IF(N5=CE5,$BM$1,IF(N5=BI5,$AQ$1,IF(N5=AM5,$U$1,"")))))))</f>
        <v>2025 3rd Domestic Trial</v>
      </c>
      <c r="P5" s="8">
        <f>IF(MAX(AO5,BK5,CG5)&gt;0,MAX(AO5,BK5,CG5),0)</f>
        <v>50.099999999999994</v>
      </c>
      <c r="Q5" s="8" t="str">
        <f>IF(P5=0,"",IF(P5=CG5,$BM$1,IF(P5=BK5,$AQ$1,IF(P5=AO5,$U$1,""))))</f>
        <v>2025 Elite Canada</v>
      </c>
      <c r="R5" s="8" t="str">
        <f>IF(MAX(CI5:CJ5)&gt;0,MAX(CI5:CJ5),"")</f>
        <v/>
      </c>
      <c r="S5" s="11" t="str">
        <f>IF(R5="","",IF(R5=CI5,"("&amp;CI$2&amp;")",IF(R5=CJ5,"("&amp;CJ$2&amp;")")))</f>
        <v/>
      </c>
      <c r="T5" s="8" t="str">
        <f>IF(R5="","",IF(R5=CI5,IF(R5+IF(N5="",0,N5)=PB5,$OG$1,IF(R5+IF(N5="",0,N5)=NZ5,$NE$1,IF(R5+IF(N5="",0,N5)=MX5,$MC$1,IF(R5+IF(N5="",0,N5)=LV5,$LA$1,IF(R5+IF(N5="",0,N5)=KT5,$JY$1,IF(R5+IF(N5="",0,N5)=JR5,$IW$1,IF(R5+IF(N5="",0,N5)=IP5,$HU$1,IF(R5+IF(N5="",0,N5)=HN5,$GS$1,IF(R5+IF(N5="",0,N5)=GL5,$FQ$1,IF(R5+IF(N5="",0,N5)=FJ5,$EO$1,IF(R5+IF(N5="",0,N5)=EH5,$DM$1,IF(R5+IF(N5="",0,N5)=DF5,$CK$1)))))))))))),IF(R5=CJ5,IF(R5+IF(P5="",0,P5)=PG5,$OG$1,IF(R5+IF(P5="",0,P5)=OE5,$NE$1,IF(R5+IF(P5="",0,P5)=NC5,$MC$1,IF(R5+IF(P5="",0,P5)=MA5,$LA$1,IF(R5+IF(P5="",0,P5)=KY5,$JY$1,IF(R5+IF(P5="",0,P5)=JW5,$IW$1,IF(R5+IF(P5="",0,P5)=IU5,$HU$1,IF(R5+IF(P5="",0,P5)=HS5,$GS$1,IF(R5+IF(P5="",0,P5)=GQ5,$FQ$1,IF(R5+IF(P5="",0,P5)=FO5,$EO$1,IF(R5+IF(P5="",0,P5)=EM5,$DM$1,IF(R5+IF(P5="",0,P5)=DK5,$CK$1)))))))))))))))</f>
        <v/>
      </c>
      <c r="U5" s="19">
        <v>18.760000000000002</v>
      </c>
      <c r="V5" s="19">
        <v>6.8</v>
      </c>
      <c r="W5" s="19">
        <v>0.8</v>
      </c>
      <c r="X5" s="19">
        <v>0.3</v>
      </c>
      <c r="Y5" s="19">
        <v>18.399999999999999</v>
      </c>
      <c r="Z5" s="19">
        <v>4.8</v>
      </c>
      <c r="AA5" s="19">
        <v>0</v>
      </c>
      <c r="AB5" s="19">
        <v>0</v>
      </c>
      <c r="AC5" s="19">
        <v>18.2</v>
      </c>
      <c r="AD5" s="19">
        <v>7.2</v>
      </c>
      <c r="AE5" s="19">
        <v>0.2</v>
      </c>
      <c r="AF5" s="19">
        <v>0.3</v>
      </c>
      <c r="AG5" s="19">
        <v>18.600000000000001</v>
      </c>
      <c r="AH5" s="19">
        <v>6</v>
      </c>
      <c r="AI5" s="19">
        <v>0</v>
      </c>
      <c r="AJ5" s="19">
        <v>0</v>
      </c>
      <c r="AK5" s="27"/>
      <c r="AL5" s="40">
        <f>IF(SUM(V5,Z5)&gt;0,SUM(V5,Z5),"")</f>
        <v>11.6</v>
      </c>
      <c r="AM5" s="40">
        <f>IF(SUM(U5:V5,X5:Z5,AB5)-W5-AA5&gt;0,SUM(U5:V5,X5:Z5,AB5)-W5-AA5,"")</f>
        <v>48.260000000000005</v>
      </c>
      <c r="AN5" s="40">
        <f>IF(SUM(AD5,AH5)&gt;0,SUM(AD5,AH5),"")</f>
        <v>13.2</v>
      </c>
      <c r="AO5" s="40">
        <f>IF(SUM(AC5:AD5,AF5:AH5,AJ5)-SUM(AE5,AI5)&gt;0,SUM(AC5:AD5,AF5:AH5,AJ5)-SUM(AE5,AI5),"")</f>
        <v>50.099999999999994</v>
      </c>
      <c r="AP5" s="40">
        <f>IF(SUM(AM5,AO5)&gt;0,SUM(AM5,AO5),"")</f>
        <v>98.36</v>
      </c>
      <c r="AQ5" s="18">
        <v>19.100000000000001</v>
      </c>
      <c r="AR5" s="18">
        <v>7.2</v>
      </c>
      <c r="AS5" s="18">
        <v>0</v>
      </c>
      <c r="AT5" s="18">
        <v>0.3</v>
      </c>
      <c r="AU5" s="18">
        <v>19.100000000000001</v>
      </c>
      <c r="AV5" s="18">
        <v>6</v>
      </c>
      <c r="AW5" s="18">
        <v>0</v>
      </c>
      <c r="AX5" s="18">
        <v>0</v>
      </c>
      <c r="AY5" s="18">
        <v>19.100000000000001</v>
      </c>
      <c r="AZ5" s="18">
        <v>7.2</v>
      </c>
      <c r="BA5" s="18">
        <v>0.6</v>
      </c>
      <c r="BB5" s="18">
        <v>0.3</v>
      </c>
      <c r="BC5" s="18">
        <v>18.399999999999999</v>
      </c>
      <c r="BD5" s="18">
        <v>5.2</v>
      </c>
      <c r="BE5" s="18">
        <v>0</v>
      </c>
      <c r="BF5" s="18">
        <v>0.3</v>
      </c>
      <c r="BG5" s="28"/>
      <c r="BH5" s="11">
        <f>IF(SUM(AR5,AV5)&gt;0,SUM(AR5,AV5),"")</f>
        <v>13.2</v>
      </c>
      <c r="BI5" s="11">
        <f>IF(SUM(AQ5:AR5,AT5:AV5,AX5)-AS5-AW5&gt;0,SUM(AQ5:AR5,AT5:AV5,AX5)-AS5-AW5,"")</f>
        <v>51.7</v>
      </c>
      <c r="BJ5" s="11">
        <f>IF(SUM(AZ5,BD5)&gt;0,SUM(AZ5,BD5),"")</f>
        <v>12.4</v>
      </c>
      <c r="BK5" s="11">
        <f>IF(SUM(AY5:AZ5,BB5:BD5,BF5)-SUM(BA5,BE5)&gt;0,SUM(AY5:AZ5,BB5:BD5,BF5)-SUM(BA5,BE5),"")</f>
        <v>49.9</v>
      </c>
      <c r="BL5" s="11">
        <f>IF(SUM(BI5,BK5)&gt;0,SUM(BI5,BK5),"")</f>
        <v>101.6</v>
      </c>
      <c r="BM5" s="19">
        <v>19.2</v>
      </c>
      <c r="BN5" s="19">
        <v>5.2</v>
      </c>
      <c r="BO5" s="19">
        <v>0</v>
      </c>
      <c r="BP5" s="19">
        <v>0</v>
      </c>
      <c r="BQ5" s="19">
        <v>19.100000000000001</v>
      </c>
      <c r="BR5" s="19">
        <v>6</v>
      </c>
      <c r="BS5" s="19">
        <v>0</v>
      </c>
      <c r="BT5" s="19">
        <v>0</v>
      </c>
      <c r="BU5" s="19">
        <v>16.899999999999999</v>
      </c>
      <c r="BV5" s="19">
        <v>6.4</v>
      </c>
      <c r="BW5" s="19">
        <v>1</v>
      </c>
      <c r="BX5" s="19">
        <v>0.3</v>
      </c>
      <c r="BY5" s="19">
        <v>19.3</v>
      </c>
      <c r="BZ5" s="19">
        <v>6.8</v>
      </c>
      <c r="CA5" s="19">
        <v>0</v>
      </c>
      <c r="CB5" s="19">
        <v>0.3</v>
      </c>
      <c r="CC5" s="27"/>
      <c r="CD5" s="40">
        <f>IF(SUM(BN5,BR5)&gt;0,SUM(BN5,BR5),"")</f>
        <v>11.2</v>
      </c>
      <c r="CE5" s="40">
        <f>IF(SUM(BM5:BN5,BP5:BR5,BT5)-BO5-BS5&gt;0,SUM(BM5:BN5,BP5:BR5,BT5)-BO5-BS5,"")</f>
        <v>49.5</v>
      </c>
      <c r="CF5" s="40">
        <f>IF(SUM(BV5,BZ5)&gt;0,SUM(BV5,BZ5),"")</f>
        <v>13.2</v>
      </c>
      <c r="CG5" s="40">
        <f>IF(SUM(BU5:BV5,BX5:BZ5,CB5)-SUM(BW5,CA5)&gt;0,SUM(BU5:BV5,BX5:BZ5,CB5)-SUM(BW5,CA5),"")</f>
        <v>48.999999999999993</v>
      </c>
      <c r="CH5" s="40">
        <f>IF(SUM(CE5,CG5)&gt;0,SUM(CE5,CG5),"")</f>
        <v>98.5</v>
      </c>
      <c r="CI5" s="50" t="str">
        <f>IF(MAX(DF5,EH5,FJ5,GL5,HN5,IP5,JR5,KT5,LV5,MX5,NZ5,PB5)-IF(N5="",0,N5)&gt;0.001,MAX(DF5,EH5,FJ5,GL5,HN5,IP5,JR5,KT5,LV5,MX5,NZ5,PB5)-IF(N5="",0,N5),"")</f>
        <v/>
      </c>
      <c r="CJ5" s="50" t="str">
        <f>IF(MAX(DK5,EM5,FO5,GQ5,HS5,IU5,JW5,KY5,MA5,NC5,OE5,PG5)-IF(P5="",0,P5)&gt;0.001,MAX(DK5,EM5,FO5,GQ5,HS5,IU5,JW5,KY5,MA5,NC5,OE5,PG5)-IF(P5="",0,P5),"")</f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>IF(SUM(CL5,CP5)&gt;0,SUM(CL5,CP5),"")</f>
        <v/>
      </c>
      <c r="DF5" s="40" t="str">
        <f>IF(SUM(CK5:CL5,CN5:CP5,CR5)-CM5-CQ5&gt;0,SUM(CK5:CL5,CN5:CP5,CR5)-CM5-CQ5,"")</f>
        <v/>
      </c>
      <c r="DG5" s="40" t="str">
        <f>IF(SUM(CS5:CT5,CV5)-CU5&gt;0,SUM(CS5:CT5,CV5)-CU5,"")</f>
        <v/>
      </c>
      <c r="DH5" s="40" t="str">
        <f>IF(SUM(CL5,CP5,CT5)&gt;0,SUM(CL5,CP5,CT5),"")</f>
        <v/>
      </c>
      <c r="DI5" s="40" t="str">
        <f>IF(SUM(DF5,DG5)&gt;0,SUM(DF5,DG5),"")</f>
        <v/>
      </c>
      <c r="DJ5" s="40" t="str">
        <f>IF(SUM(CX5,DB5)&gt;0,SUM(CX5,DB5),"")</f>
        <v/>
      </c>
      <c r="DK5" s="40" t="str">
        <f>IF(SUM(CW5:CX5,CZ5:DB5,DD5)-SUM(CY5,DC5)&gt;0,SUM(CW5:CX5,CZ5:DB5,DD5)-SUM(CY5,DC5),"")</f>
        <v/>
      </c>
      <c r="DL5" s="40" t="str">
        <f>IF(SUM(DF5,DG5,DK5)&gt;0,SUM(DF5,DG5,DK5),"")</f>
        <v/>
      </c>
      <c r="DM5" s="18">
        <v>18.600000000000001</v>
      </c>
      <c r="DN5" s="18">
        <v>5.6</v>
      </c>
      <c r="DO5" s="18">
        <v>0</v>
      </c>
      <c r="DP5" s="18">
        <v>0</v>
      </c>
      <c r="DQ5" s="18">
        <v>18.600000000000001</v>
      </c>
      <c r="DR5" s="18">
        <v>6.8</v>
      </c>
      <c r="DS5" s="18">
        <v>0.2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>IF(SUM(DN5,DR5)&gt;0,SUM(DN5,DR5),"")</f>
        <v>12.399999999999999</v>
      </c>
      <c r="EH5" s="11">
        <f>IF(SUM(DM5:DN5,DP5:DR5,DT5)-DO5-DS5&gt;0,SUM(DM5:DN5,DP5:DR5,DT5)-DO5-DS5,"")</f>
        <v>49.4</v>
      </c>
      <c r="EI5" s="11" t="str">
        <f>IF(SUM(DU5:DV5,DX5)-DW5&gt;0,SUM(DU5:DV5,DX5)-DW5,"")</f>
        <v/>
      </c>
      <c r="EJ5" s="11">
        <f>IF(SUM(DN5,DR5,DV5)&gt;0,SUM(DN5,DR5,DV5),"")</f>
        <v>12.399999999999999</v>
      </c>
      <c r="EK5" s="11">
        <f>IF(SUM(EH5,EI5)&gt;0,SUM(EH5,EI5),"")</f>
        <v>49.4</v>
      </c>
      <c r="EL5" s="11" t="str">
        <f>IF(SUM(DZ5,ED5)&gt;0,SUM(DZ5,ED5),"")</f>
        <v/>
      </c>
      <c r="EM5" s="11" t="str">
        <f>IF(SUM(DY5:DZ5,EB5:ED5,EF5)-SUM(EA5,EE5)&gt;0,SUM(DY5:DZ5,EB5:ED5,EF5)-SUM(EA5,EE5),"")</f>
        <v/>
      </c>
      <c r="EN5" s="11">
        <f>IF(SUM(EH5,EI5,EM5)&gt;0,SUM(EH5,EI5,EM5),"")</f>
        <v>49.4</v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>IF(SUM(EP5,ET5)&gt;0,SUM(EP5,ET5),"")</f>
        <v/>
      </c>
      <c r="FJ5" s="40" t="str">
        <f>IF(SUM(EO5:EP5,ER5:ET5,EV5)-EQ5-EU5&gt;0,SUM(EO5:EP5,ER5:ET5,EV5)-EQ5-EU5,"")</f>
        <v/>
      </c>
      <c r="FK5" s="40" t="str">
        <f>IF(SUM(EW5:EX5,EZ5)-EY5&gt;0,SUM(EW5:EX5,EZ5)-EY5,"")</f>
        <v/>
      </c>
      <c r="FL5" s="40" t="str">
        <f>IF(SUM(EP5,ET5,EX5)&gt;0,SUM(EP5,ET5,EX5),"")</f>
        <v/>
      </c>
      <c r="FM5" s="40" t="str">
        <f>IF(SUM(FJ5,FK5)&gt;0,SUM(FJ5,FK5),"")</f>
        <v/>
      </c>
      <c r="FN5" s="40" t="str">
        <f>IF(SUM(FB5,FF5)&gt;0,SUM(FB5,FF5),"")</f>
        <v/>
      </c>
      <c r="FO5" s="40" t="str">
        <f>IF(SUM(FA5:FB5,FD5:FF5,FH5)-SUM(FC5,FG5)&gt;0,SUM(FA5:FB5,FD5:FF5,FH5)-SUM(FC5,FG5),"")</f>
        <v/>
      </c>
      <c r="FP5" s="40" t="str">
        <f>IF(SUM(FJ5,FK5,FO5)&gt;0,SUM(FJ5,FK5,FO5),"")</f>
        <v/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>IF(SUM(FR5,FV5)&gt;0,SUM(FR5,FV5),"")</f>
        <v/>
      </c>
      <c r="GL5" s="11" t="str">
        <f>IF(SUM(FQ5:FR5,FT5:FV5,FX5)-FS5-FW5&gt;0,SUM(FQ5:FR5,FT5:FV5,FX5)-FS5-FW5,"")</f>
        <v/>
      </c>
      <c r="GM5" s="11" t="str">
        <f>IF(SUM(FY5:FZ5,GB5)-GA5&gt;0,SUM(FY5:FZ5,GB5)-GA5,"")</f>
        <v/>
      </c>
      <c r="GN5" s="11" t="str">
        <f>IF(SUM(FR5,FV5,FZ5)&gt;0,SUM(FR5,FV5,FZ5),"")</f>
        <v/>
      </c>
      <c r="GO5" s="11" t="str">
        <f>IF(SUM(GL5,GM5)&gt;0,SUM(GL5,GM5),"")</f>
        <v/>
      </c>
      <c r="GP5" s="11" t="str">
        <f>IF(SUM(GD5,GH5)&gt;0,SUM(GD5,GH5),"")</f>
        <v/>
      </c>
      <c r="GQ5" s="11" t="str">
        <f>IF(SUM(GC5:GD5,GF5:GH5,GJ5)-SUM(GE5,GI5)&gt;0,SUM(GC5:GD5,GF5:GH5,GJ5)-SUM(GE5,GI5),"")</f>
        <v/>
      </c>
      <c r="GR5" s="11" t="str">
        <f>IF(SUM(GL5,GM5,GQ5)&gt;0,SUM(GL5,GM5,GQ5),"")</f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>IF(SUM(GT5,GX5)&gt;0,SUM(GT5,GX5),"")</f>
        <v/>
      </c>
      <c r="HN5" s="40" t="str">
        <f>IF(SUM(GS5:GT5,GV5:GX5,GZ5)-GU5-GY5&gt;0,SUM(GS5:GT5,GV5:GX5,GZ5)-GU5-GY5,"")</f>
        <v/>
      </c>
      <c r="HO5" s="40" t="str">
        <f>IF(SUM(HA5:HB5,HD5)-HC5&gt;0,SUM(HA5:HB5,HD5)-HC5,"")</f>
        <v/>
      </c>
      <c r="HP5" s="40" t="str">
        <f>IF(SUM(GT5,GX5,HB5)&gt;0,SUM(GT5,GX5,HB5),"")</f>
        <v/>
      </c>
      <c r="HQ5" s="40" t="str">
        <f>IF(SUM(HN5,HO5)&gt;0,SUM(HN5,HO5),"")</f>
        <v/>
      </c>
      <c r="HR5" s="40" t="str">
        <f>IF(SUM(HF5,HJ5)&gt;0,SUM(HF5,HJ5),"")</f>
        <v/>
      </c>
      <c r="HS5" s="40" t="str">
        <f>IF(SUM(HE5:HF5,HH5:HJ5,HL5)-SUM(HG5,HK5)&gt;0,SUM(HE5:HF5,HH5:HJ5,HL5)-SUM(HG5,HK5),"")</f>
        <v/>
      </c>
      <c r="HT5" s="40" t="str">
        <f>IF(SUM(HN5,HO5,HS5)&gt;0,SUM(HN5,HO5,HS5),"")</f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>IF(SUM(HV5,HZ5)&gt;0,SUM(HV5,HZ5),"")</f>
        <v/>
      </c>
      <c r="IP5" s="11" t="str">
        <f>IF(SUM(HU5:HV5,HX5:HZ5,IB5)-HW5-IA5&gt;0,SUM(HU5:HV5,HX5:HZ5,IB5)-HW5-IA5,"")</f>
        <v/>
      </c>
      <c r="IQ5" s="11" t="str">
        <f>IF(SUM(IC5:ID5,IF5)-IE5&gt;0,SUM(IC5:ID5,IF5)-IE5,"")</f>
        <v/>
      </c>
      <c r="IR5" s="11" t="str">
        <f>IF(SUM(HV5,HZ5,ID5)&gt;0,SUM(HV5,HZ5,ID5),"")</f>
        <v/>
      </c>
      <c r="IS5" s="11" t="str">
        <f>IF(SUM(IP5,IQ5)&gt;0,SUM(IP5,IQ5),"")</f>
        <v/>
      </c>
      <c r="IT5" s="11" t="str">
        <f>IF(SUM(IH5,IL5)&gt;0,SUM(IH5,IL5),"")</f>
        <v/>
      </c>
      <c r="IU5" s="11" t="str">
        <f>IF(SUM(IG5:IH5,IJ5:IL5,IN5)-SUM(II5,IM5)&gt;0,SUM(IG5:IH5,IJ5:IL5,IN5)-SUM(II5,IM5),"")</f>
        <v/>
      </c>
      <c r="IV5" s="11" t="str">
        <f>IF(SUM(IP5,IQ5,IU5)&gt;0,SUM(IP5,IQ5,IU5),"")</f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>IF(SUM(IX5,JB5)&gt;0,SUM(IX5,JB5),"")</f>
        <v/>
      </c>
      <c r="JR5" s="40" t="str">
        <f>IF(SUM(IW5:IX5,IZ5:JB5,JD5)-IY5-JC5&gt;0,SUM(IW5:IX5,IZ5:JB5,JD5)-IY5-JC5,"")</f>
        <v/>
      </c>
      <c r="JS5" s="40" t="str">
        <f>IF(SUM(JE5:JF5,JH5)-JG5&gt;0,SUM(JE5:JF5,JH5)-JG5,"")</f>
        <v/>
      </c>
      <c r="JT5" s="40" t="str">
        <f>IF(SUM(IX5,JB5,JF5)&gt;0,SUM(IX5,JB5,JF5),"")</f>
        <v/>
      </c>
      <c r="JU5" s="40" t="str">
        <f>IF(SUM(JR5,JS5)&gt;0,SUM(JR5,JS5),"")</f>
        <v/>
      </c>
      <c r="JV5" s="40" t="str">
        <f>IF(SUM(JJ5,JN5)&gt;0,SUM(JJ5,JN5),"")</f>
        <v/>
      </c>
      <c r="JW5" s="40" t="str">
        <f>IF(SUM(JI5:JJ5,JL5:JN5,JP5)-SUM(JK5,JO5)&gt;0,SUM(JI5:JJ5,JL5:JN5,JP5)-SUM(JK5,JO5),"")</f>
        <v/>
      </c>
      <c r="JX5" s="40" t="str">
        <f>IF(SUM(JR5,JS5,JW5)&gt;0,SUM(JR5,JS5,JW5),"")</f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>IF(SUM(JZ5,KD5)&gt;0,SUM(JZ5,KD5),"")</f>
        <v/>
      </c>
      <c r="KT5" s="11" t="str">
        <f>IF(SUM(JY5:JZ5,KB5:KD5,KF5)-KA5-KE5&gt;0,SUM(JY5:JZ5,KB5:KD5,KF5)-KA5-KE5,"")</f>
        <v/>
      </c>
      <c r="KU5" s="11" t="str">
        <f>IF(SUM(KG5:KH5,KJ5)-KI5&gt;0,SUM(KG5:KH5,KJ5)-KI5,"")</f>
        <v/>
      </c>
      <c r="KV5" s="11" t="str">
        <f>IF(SUM(JZ5,KD5,KH5)&gt;0,SUM(JZ5,KD5,KH5),"")</f>
        <v/>
      </c>
      <c r="KW5" s="11" t="str">
        <f>IF(SUM(KT5,KU5)&gt;0,SUM(KT5,KU5),"")</f>
        <v/>
      </c>
      <c r="KX5" s="11" t="str">
        <f>IF(SUM(KL5,KP5)&gt;0,SUM(KL5,KP5),"")</f>
        <v/>
      </c>
      <c r="KY5" s="11" t="str">
        <f>IF(SUM(KK5:KL5,KN5:KP5,KR5)-SUM(KM5,KQ5)&gt;0,SUM(KK5:KL5,KN5:KP5,KR5)-SUM(KM5,KQ5),"")</f>
        <v/>
      </c>
      <c r="KZ5" s="11" t="str">
        <f>IF(SUM(KT5,KU5,KY5)&gt;0,SUM(KT5,KU5,KY5),"")</f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>IF(SUM(LB5,LF5)&gt;0,SUM(LB5,LF5),"")</f>
        <v/>
      </c>
      <c r="LV5" s="40" t="str">
        <f>IF(SUM(LA5:LB5,LD5:LF5,LH5)-LC5-LG5&gt;0,SUM(LA5:LB5,LD5:LF5,LH5)-LC5-LG5,"")</f>
        <v/>
      </c>
      <c r="LW5" s="40" t="str">
        <f>IF(SUM(LI5:LJ5,LL5)-LK5&gt;0,SUM(LI5:LJ5,LL5)-LK5,"")</f>
        <v/>
      </c>
      <c r="LX5" s="40" t="str">
        <f>IF(SUM(LB5,LF5,LJ5)&gt;0,SUM(LB5,LF5,LJ5),"")</f>
        <v/>
      </c>
      <c r="LY5" s="40" t="str">
        <f>IF(SUM(LV5,LW5)&gt;0,SUM(LV5,LW5),"")</f>
        <v/>
      </c>
      <c r="LZ5" s="40" t="str">
        <f>IF(SUM(LN5,LR5)&gt;0,SUM(LN5,LR5),"")</f>
        <v/>
      </c>
      <c r="MA5" s="40" t="str">
        <f>IF(SUM(LM5:LN5,LP5:LR5,LT5)-SUM(LO5,LS5)&gt;0,SUM(LM5:LN5,LP5:LR5,LT5)-SUM(LO5,LS5),"")</f>
        <v/>
      </c>
      <c r="MB5" s="40" t="str">
        <f>IF(SUM(LV5,LW5,MA5)&gt;0,SUM(LV5,LW5,MA5),"")</f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>IF(SUM(MD5,MH5)&gt;0,SUM(MD5,MH5),"")</f>
        <v/>
      </c>
      <c r="MX5" s="11" t="str">
        <f>IF(SUM(MC5:MD5,MF5:MH5,MJ5)-ME5-MI5&gt;0,SUM(MC5:MD5,MF5:MH5,MJ5)-ME5-MI5,"")</f>
        <v/>
      </c>
      <c r="MY5" s="11" t="str">
        <f>IF(SUM(MK5:ML5,MN5)-MM5&gt;0,SUM(MK5:ML5,MN5)-MM5,"")</f>
        <v/>
      </c>
      <c r="MZ5" s="11" t="str">
        <f>IF(SUM(MD5,MH5,ML5)&gt;0,SUM(MD5,MH5,ML5),"")</f>
        <v/>
      </c>
      <c r="NA5" s="11" t="str">
        <f>IF(SUM(MX5,MY5)&gt;0,SUM(MX5,MY5),"")</f>
        <v/>
      </c>
      <c r="NB5" s="11" t="str">
        <f>IF(SUM(MP5,MT5)&gt;0,SUM(MP5,MT5),"")</f>
        <v/>
      </c>
      <c r="NC5" s="11" t="str">
        <f>IF(SUM(MO5:MP5,MR5:MT5,MV5)-SUM(MQ5,MU5)&gt;0,SUM(MO5:MP5,MR5:MT5,MV5)-SUM(MQ5,MU5),"")</f>
        <v/>
      </c>
      <c r="ND5" s="11" t="str">
        <f>IF(SUM(MX5,MY5,NC5)&gt;0,SUM(MX5,MY5,NC5),"")</f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>IF(SUM(NF5,NJ5)&gt;0,SUM(NF5,NJ5),"")</f>
        <v/>
      </c>
      <c r="NZ5" s="40" t="str">
        <f>IF(SUM(NE5:NF5,NH5:NJ5,NL5)-NG5-NK5&gt;0,SUM(NE5:NF5,NH5:NJ5,NL5)-NG5-NK5,"")</f>
        <v/>
      </c>
      <c r="OA5" s="40" t="str">
        <f>IF(SUM(NM5:NN5,NP5)-NO5&gt;0,SUM(NM5:NN5,NP5)-NO5,"")</f>
        <v/>
      </c>
      <c r="OB5" s="40" t="str">
        <f>IF(SUM(NF5,NJ5,NN5)&gt;0,SUM(NF5,NJ5,NN5),"")</f>
        <v/>
      </c>
      <c r="OC5" s="40" t="str">
        <f>IF(SUM(NZ5,OA5)&gt;0,SUM(NZ5,OA5),"")</f>
        <v/>
      </c>
      <c r="OD5" s="40" t="str">
        <f>IF(SUM(NR5,NV5)&gt;0,SUM(NR5,NV5),"")</f>
        <v/>
      </c>
      <c r="OE5" s="40" t="str">
        <f>IF(SUM(NQ5:NR5,NT5:NV5,NX5)-SUM(NS5,NW5)&gt;0,SUM(NQ5:NR5,NT5:NV5,NX5)-SUM(NS5,NW5),"")</f>
        <v/>
      </c>
      <c r="OF5" s="40" t="str">
        <f>IF(SUM(NZ5,OA5,OE5)&gt;0,SUM(NZ5,OA5,OE5),"")</f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>IF(SUM(OH5,OL5)&gt;0,SUM(OH5,OL5),"")</f>
        <v/>
      </c>
      <c r="PB5" s="11" t="str">
        <f>IF(SUM(OG5:OH5,OJ5:OL5,ON5)-OI5-OM5&gt;0,SUM(OG5:OH5,OJ5:OL5,ON5)-OI5-OM5,"")</f>
        <v/>
      </c>
      <c r="PC5" s="11" t="str">
        <f>IF(SUM(OO5:OP5,OR5)-OQ5&gt;0,SUM(OO5:OP5,OR5)-OQ5,"")</f>
        <v/>
      </c>
      <c r="PD5" s="11" t="str">
        <f>IF(SUM(OH5,OL5,OP5)&gt;0,SUM(OH5,OL5,OP5),"")</f>
        <v/>
      </c>
      <c r="PE5" s="11" t="str">
        <f>IF(SUM(PB5,PC5)&gt;0,SUM(PB5,PC5),"")</f>
        <v/>
      </c>
      <c r="PF5" s="11" t="str">
        <f>IF(SUM(OT5,OX5)&gt;0,SUM(OT5,OX5),"")</f>
        <v/>
      </c>
      <c r="PG5" s="11" t="str">
        <f>IF(SUM(OS5:OT5,OV5:OX5,OZ5)-SUM(OU5,OY5)&gt;0,SUM(OS5:OT5,OV5:OX5,OZ5)-SUM(OU5,OY5),"")</f>
        <v/>
      </c>
      <c r="PH5" s="11" t="str">
        <f>IF(SUM(PB5,PC5,PG5)&gt;0,SUM(PB5,PC5,PG5),"")</f>
        <v/>
      </c>
      <c r="PI5" s="22">
        <f>IF($PY5="P",BM5,(BM5+AQ5)/2)</f>
        <v>19.2</v>
      </c>
      <c r="PJ5" s="22">
        <f>IF($PY5="P",BN5,(BN5+AR5)/2)</f>
        <v>5.2</v>
      </c>
      <c r="PK5" s="22">
        <f>IF($PY5="P",BO5,(BO5+AS5)/2)</f>
        <v>0</v>
      </c>
      <c r="PL5" s="22">
        <f>IF($PY5="P",BP5,(BP5+AT5)/2)</f>
        <v>0</v>
      </c>
      <c r="PM5" s="22">
        <f>IF($PY5="P",BQ5,(BQ5+AU5)/2)</f>
        <v>19.100000000000001</v>
      </c>
      <c r="PN5" s="22">
        <f>IF($PY5="P",BR5,(BR5+AV5)/2)</f>
        <v>6</v>
      </c>
      <c r="PO5" s="22">
        <f>IF($PY5="P",BS5,(BS5+AW5)/2)</f>
        <v>0</v>
      </c>
      <c r="PP5" s="22">
        <f>IF($PY5="P",BT5,(BT5+AX5)/2)</f>
        <v>0</v>
      </c>
      <c r="PQ5" s="22">
        <f>IF($PY5="P",BU5,(BU5+AY5)/2)</f>
        <v>16.899999999999999</v>
      </c>
      <c r="PR5" s="22">
        <f>IF($PY5="P",BV5,(BV5+AZ5)/2)</f>
        <v>6.4</v>
      </c>
      <c r="PS5" s="22">
        <f>IF($PY5="P",BW5,(BW5+BA5)/2)</f>
        <v>1</v>
      </c>
      <c r="PT5" s="22">
        <f>IF($PY5="P",BX5,(BX5+BB5)/2)</f>
        <v>0.3</v>
      </c>
      <c r="PU5" s="22">
        <f>IF($PY5="P",BY5,(BY5+BC5)/2)</f>
        <v>19.3</v>
      </c>
      <c r="PV5" s="22">
        <f>IF($PY5="P",BZ5,(BZ5+BD5)/2)</f>
        <v>6.8</v>
      </c>
      <c r="PW5" s="22">
        <f>IF($PY5="P",CA5,(CA5+BE5)/2)</f>
        <v>0</v>
      </c>
      <c r="PX5" s="22">
        <f>IF($PY5="P",CB5,(CB5+BF5)/2)</f>
        <v>0.3</v>
      </c>
      <c r="PY5" s="27" t="s">
        <v>46</v>
      </c>
      <c r="PZ5" s="40">
        <f>IF(SUM(PJ5,PN5)&gt;0,SUM(PJ5,PN5),"")</f>
        <v>11.2</v>
      </c>
      <c r="QA5" s="40">
        <f>IF(SUM(PI5:PJ5,PL5:PN5,PP5)-PK5-PO5&gt;0,SUM(PI5:PJ5,PL5:PN5,PP5)-PK5-PO5,"")</f>
        <v>49.5</v>
      </c>
      <c r="QB5" s="40">
        <f>IF(SUM(PR5,PV5)&gt;0,SUM(PR5,PV5),"")</f>
        <v>13.2</v>
      </c>
      <c r="QC5" s="40">
        <f>IF(SUM(PQ5:PR5,PT5:PV5,PX5)-SUM(PS5,PW5)&gt;0,SUM(PQ5:PR5,PT5:PV5,PX5)-SUM(PS5,PW5),"")</f>
        <v>48.999999999999993</v>
      </c>
      <c r="QD5" s="40">
        <f>IF(SUM(QA5,QC5)&gt;0,SUM(QA5,QC5),"")</f>
        <v>98.5</v>
      </c>
    </row>
    <row r="6" spans="1:446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158</v>
      </c>
      <c r="D6" s="4" t="s">
        <v>5</v>
      </c>
      <c r="E6" s="4">
        <v>2008</v>
      </c>
      <c r="F6" s="9">
        <f>SUM(L6:R6)+SUM(L6:O6)*0.0000001+SUM(L6)*0.0000000000001</f>
        <v>149.70000984000492</v>
      </c>
      <c r="G6" s="64" t="s">
        <v>46</v>
      </c>
      <c r="H6" s="3" t="str">
        <f>IF(OR(AND(AL6&gt;=AP$36,AM6&gt;=AP$40,AL6&lt;&gt;"",AK6=""),AND(AN6&gt;=AP$36,AO6&gt;=AP$40,AN6&lt;&gt;"",AK6=""),AND(BH6&gt;=BL$36,BI6&gt;=BL$40,BH6&lt;&gt;"",BG6=""),AND(BJ6&gt;=BL$36,BK6&gt;=BL$40,BJ6&lt;&gt;"",BG6=""),AND(CD6&gt;=CH$36,CE6&gt;=CH$40,CD6&lt;&gt;"",CC6=""),AND(CF6&gt;=CH$36,CG6&gt;=CH$40,CF6&lt;&gt;""),AND(DE6&gt;=DL$36,DF6&gt;=DL$40,DE6&lt;&gt;""),AND(DJ6&gt;=DL$36,DK6&gt;=DL$40,DJ6&lt;&gt;""),AND(EG6&gt;=EN$36,EH6&gt;=EN$40,EG6&lt;&gt;""),AND(EL6&gt;=EN$36,EM6&gt;=EN$40,EL6&lt;&gt;""),AND(FI6&gt;=FP$36,FJ6&gt;=FP$40,FI6&lt;&gt;""),AND(FN6&gt;=FP$36,FO6&gt;=FP$40,FN6&lt;&gt;""),AND(GK6&gt;=GR$36,GL6&gt;=GR$40,GK6&lt;&gt;""),AND(GP6&gt;=GR$36,GQ6&gt;=GR$40,GP6&lt;&gt;""),AND(HM6&gt;=HT$36,HN6&gt;=HT$40,HM6&lt;&gt;""),AND(HR6&gt;=HT$36,HS6&gt;=HT$40,HR6&lt;&gt;""),AND(IO6&gt;=IV$36,IP6&gt;=IV$40,IO6&lt;&gt;""),AND(IT6&gt;=IV$36,IU6&gt;=IV$40,IT6&lt;&gt;""),AND(JQ6&gt;=JX$36,JR6&gt;=JX$40,JQ6&lt;&gt;""),AND(JV6&gt;=JX$36,JW6&gt;=JX$40,JV6&lt;&gt;""),AND(KS6&gt;=KZ$36,KT6&gt;=KZ$40,KS6&lt;&gt;""),AND(KX6&gt;=KZ$36,KY6&gt;=KZ$40,KX6&lt;&gt;""),AND(LU6&gt;=MB$36,LV6&gt;=MB$40,LU6&lt;&gt;""),AND(LZ6&gt;=MB$36,MA6&gt;=MB$40,LZ6&lt;&gt;""),AND(MW6&gt;=ND$36,MX6&gt;=ND$40,MW6&lt;&gt;""),AND(NB6&gt;=ND$36,NC6&gt;=ND$40,NB6&lt;&gt;""),AND(NY6&gt;=OF$36,NZ6&gt;=OF$40,NY6&lt;&gt;""),AND(OD6&gt;=OF$36,OE6&gt;=OF$40,OD6&lt;&gt;""),AND(PA6&gt;=PH$36,PB6&gt;=PH$40,PA6&lt;&gt;""),AND(PF6&gt;=PH$36,PG6&gt;=PH$40,PF6&lt;&gt;"")),"P","")</f>
        <v>P</v>
      </c>
      <c r="I6" s="3" t="str">
        <f>IF(OR(AND(AM6&gt;=AP$40,AM6&lt;&gt;"",AK6=""),AND(AO6&gt;=AP$40,AO6&lt;&gt;"",AK6=""),AND(BI6&gt;=BL$40,BI6&lt;&gt;"",BG6=""),AND(BK6&gt;=BL$40,BK6&lt;&gt;"",BG6=""),AND(CE6&gt;=CH$40,CE6&lt;&gt;"",CC6=""),AND(CG6&gt;=CH$40,CG6&lt;&gt;"",CC6=""),AND(DF6&gt;=DL$40,DF6&lt;&gt;""),AND(DK6&gt;=DL$40,DK6&lt;&gt;""),AND(EH6&gt;=EN$40,EH6&lt;&gt;""),AND(EM6&gt;=EN$40,EM6&lt;&gt;""),AND(FJ6&gt;=FP$40,FJ6&lt;&gt;""),AND(FO6&gt;=FP$40,FO6&lt;&gt;""),AND(GL6&gt;=GR$40,GL6&lt;&gt;""),AND(GQ6&gt;=GR$40,GQ6&lt;&gt;""),AND(HN6&gt;=HT$40,HN6&lt;&gt;""),AND(HS6&gt;=HT$40,HS6&lt;&gt;""),AND(IP6&gt;=IV$40,IP6&lt;&gt;""),AND(IU6&gt;=IV$40,IU6&lt;&gt;""),AND(JR6&gt;=JX$40,JR6&lt;&gt;""),AND(JW6&gt;=JX$40,JW6&lt;&gt;""),AND(KT6&gt;=KZ$40,KT6&lt;&gt;""),AND(KY6&gt;=KZ$40,KY6&lt;&gt;""),AND(LV6&gt;=MB$40,LV6&lt;&gt;""),AND(MA6&gt;=MB$40,MA6&lt;&gt;""),AND(MX6&gt;=ND$40,MX6&lt;&gt;""),AND(NC6&gt;=ND$40,NC6&lt;&gt;""),AND(NZ6&gt;=OF$40,NZ6&lt;&gt;""),AND(OE6&gt;=OF$40,OE6&lt;&gt;""),AND(PB6&gt;=PH$40,PB6&lt;&gt;""),AND(PG6&gt;=PH$40,PG6&lt;&gt;"")),"P","")</f>
        <v>P</v>
      </c>
      <c r="J6" s="36" t="str">
        <f>IF(AND(I6="P",H6=""),"No DD",IF(OR(AND(AL6&gt;=AP$26,AM6&gt;=AP$30,AL6&lt;&gt;"",AK6=""),AND(BH6&gt;=BL$26,BI6&gt;=BL$30,BH6&lt;&gt;"",BG6=""),AND(CD6&gt;=CH$26,CE6&gt;=CH$30,CD6&lt;&gt;"",CC6=""),AND(DH6&gt;=DL$26,DI6&gt;=DL$30,DH6&lt;&gt;""),AND(EJ6&gt;=EN$26,EK6&gt;=EN$30,EJ6&lt;&gt;""),AND(FL6&gt;=FP$26,FM6&gt;=FP$30,FL6&lt;&gt;""),AND(GN6&gt;=GR$26,GO6&gt;=GR$30,GN6&lt;&gt;""),AND(HP6&gt;=HT$26,HQ6&gt;=HT$30,HP6&lt;&gt;""),AND(IR6&gt;=IV$26,IS6&gt;=IV$30,IR6&lt;&gt;""),AND(JT6&gt;=JX$26,JU6&gt;=JX$30,JT6&lt;&gt;""),AND(KV6&gt;=KZ$26,KW6&gt;=KZ$30,KV6&lt;&gt;""),AND(LX6&gt;=MB$26,LY6&gt;=MB$30,LX6&lt;&gt;""),AND(MZ6&gt;=ND$26,NA6&gt;=ND$30,MZ6&lt;&gt;""),AND(OB6&gt;=OF$26,OC6&gt;=OF$30,OB6&lt;&gt;""),AND(PD6&gt;=PH$26,PE6&gt;=PH$30,PD6&lt;&gt;"")),"Merit",IF(OR(AND(AL6&gt;=AP$25,AM6&gt;=AP$29,AL6&lt;&gt;"",AK6=""),AND(BH6&gt;=BL$25,BI6&gt;=BL$29,BH6&lt;&gt;"",BG6=""),AND(CD6&gt;=CH$25,CE6&gt;=CH$29,CD6&lt;&gt;"",CC6=""),AND(DH6&gt;=DL$25,DI6&gt;=DL$29,DH6&lt;&gt;""),AND(EJ6&gt;=EN$25,EK6&gt;=EN$29,EJ6&lt;&gt;""),AND(FL6&gt;=FP$25,FM6&gt;=FP$29,FL6&lt;&gt;""),AND(GN6&gt;=GR$25,GO6&gt;=GR$29,GN6&lt;&gt;""),AND(HP6&gt;=HT$25,HQ6&gt;=HT$29,HP6&lt;&gt;""),AND(IR6&gt;=IV$25,IS6&gt;=IV$29,IR6&lt;&gt;""),AND(JT6&gt;=JX$25,JU6&gt;=JX$29,JT6&lt;&gt;""),AND(KV6&gt;=KZ$25,KW6&gt;=KZ$29,KV6&lt;&gt;""),AND(LX6&gt;=MB$25,LY6&gt;=MB$29,LX6&lt;&gt;""),AND(MZ6&gt;=ND$25,NA6&gt;=ND$29,MZ6&lt;&gt;""),AND(OB6&gt;=OF$25,OC6&gt;=OF$29,OB6&lt;&gt;""),AND(PD6&gt;=PH$25,PE6&gt;=PH$29,PD6&lt;&gt;"")),"Excellence",IF(K6="P","Worlds Team",IF(H6="P","National Team","")))))</f>
        <v>National Team</v>
      </c>
      <c r="K6" s="3" t="str">
        <f>IF(OR(AND(AL6&gt;=AP$24,AM6&gt;=AP$28,AL6&lt;&gt;"",AK6=""),AND(BH6&gt;=BL$24,BI6&gt;=BL$28,BH6&lt;&gt;"",BG6=""),AND(CD6&gt;=CH$24,CE6&gt;=CH$28,CD6&lt;&gt;"",CC6=""),AND(DH6&gt;=DL$24,DI6&gt;=DL$28,DH6&lt;&gt;""),AND(EJ6&gt;=EN$24,EK6&gt;=EN$28,EJ6&lt;&gt;""),AND(FL6&gt;=FP$24,FM6&gt;=FP$28,FL6&lt;&gt;""),AND(GN6&gt;=GR$24,GO6&gt;=GR$28,GN6&lt;&gt;""),AND(HP6&gt;=HT$24,HQ6&gt;=HT$28,HP6&lt;&gt;""),AND(IR6&gt;=IV$24,IS6&gt;=IV$28,IR6&lt;&gt;""),AND(JT6&gt;=JX$24,JU6&gt;=JX$28,JT6&lt;&gt;""),AND(KV6&gt;=KZ$24,KW6&gt;=KZ$28,KV6&lt;&gt;""),AND(LX6&gt;=MB$24,LY6&gt;=MB$28,LX6&lt;&gt;""),AND(MZ6&gt;=ND$24,NA6&gt;=ND$28,MZ6&lt;&gt;""),AND(OB6&gt;=OF$24,OC6&gt;=OF$28,OB6&lt;&gt;""),AND(PD6&gt;=PH$24,PE6&gt;=PH$28,PD6&lt;&gt;"")),"P","")</f>
        <v/>
      </c>
      <c r="L6" s="8">
        <f>IF(COUNT(AM6,BI6,CE6)&gt;0,LARGE((AM6,BI6,CE6),1),0)</f>
        <v>49.499999999999993</v>
      </c>
      <c r="M6" s="8" t="str">
        <f>IF(L6=0,"",IF(L6=CE6,$BM$1,IF(L6=BI6,$AQ$1,IF(L6=AM6,$U$1,""))))</f>
        <v>2025 Nationals</v>
      </c>
      <c r="N6" s="8">
        <f>IF(COUNT(AM6,BI6,CE6)&gt;1,LARGE((AM6,BI6,CE6),2),0)</f>
        <v>48.900000000000006</v>
      </c>
      <c r="O6" s="8" t="str">
        <f>IF(N6=0,"",IF(AND(N6=L6,N6=AM6,N6=BI6),$U$1,IF(AND(N6=L6,N6=AM6,N6=CE6),$U$1,IF(AND(N6=L6,N6=BI6,N6=CE6),$AQ$1,IF(N6=CE6,$BM$1,IF(N6=BI6,$AQ$1,IF(N6=AM6,$U$1,"")))))))</f>
        <v>2025 3rd Domestic Trial</v>
      </c>
      <c r="P6" s="8">
        <f>IF(MAX(AO6,BK6,CG6)&gt;0,MAX(AO6,BK6,CG6),0)</f>
        <v>51.3</v>
      </c>
      <c r="Q6" s="8" t="str">
        <f>IF(P6=0,"",IF(P6=CG6,$BM$1,IF(P6=BK6,$AQ$1,IF(P6=AO6,$U$1,""))))</f>
        <v>2025 Nationals</v>
      </c>
      <c r="R6" s="8" t="str">
        <f>IF(MAX(CI6:CJ6)&gt;0,MAX(CI6:CJ6),"")</f>
        <v/>
      </c>
      <c r="S6" s="11" t="str">
        <f>IF(R6="","",IF(R6=CI6,"("&amp;CI$2&amp;")",IF(R6=CJ6,"("&amp;CJ$2&amp;")")))</f>
        <v/>
      </c>
      <c r="T6" s="8" t="str">
        <f>IF(R6="","",IF(R6=CI6,IF(R6+IF(N6="",0,N6)=PB6,$OG$1,IF(R6+IF(N6="",0,N6)=NZ6,$NE$1,IF(R6+IF(N6="",0,N6)=MX6,$MC$1,IF(R6+IF(N6="",0,N6)=LV6,$LA$1,IF(R6+IF(N6="",0,N6)=KT6,$JY$1,IF(R6+IF(N6="",0,N6)=JR6,$IW$1,IF(R6+IF(N6="",0,N6)=IP6,$HU$1,IF(R6+IF(N6="",0,N6)=HN6,$GS$1,IF(R6+IF(N6="",0,N6)=GL6,$FQ$1,IF(R6+IF(N6="",0,N6)=FJ6,$EO$1,IF(R6+IF(N6="",0,N6)=EH6,$DM$1,IF(R6+IF(N6="",0,N6)=DF6,$CK$1)))))))))))),IF(R6=CJ6,IF(R6+IF(P6="",0,P6)=PG6,$OG$1,IF(R6+IF(P6="",0,P6)=OE6,$NE$1,IF(R6+IF(P6="",0,P6)=NC6,$MC$1,IF(R6+IF(P6="",0,P6)=MA6,$LA$1,IF(R6+IF(P6="",0,P6)=KY6,$JY$1,IF(R6+IF(P6="",0,P6)=JW6,$IW$1,IF(R6+IF(P6="",0,P6)=IU6,$HU$1,IF(R6+IF(P6="",0,P6)=HS6,$GS$1,IF(R6+IF(P6="",0,P6)=GQ6,$FQ$1,IF(R6+IF(P6="",0,P6)=FO6,$EO$1,IF(R6+IF(P6="",0,P6)=EM6,$DM$1,IF(R6+IF(P6="",0,P6)=DK6,$CK$1)))))))))))))))</f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27"/>
      <c r="AL6" s="40">
        <f>IF(SUM(V6,Z6)&gt;0,SUM(V6,Z6),"")</f>
        <v>5.2</v>
      </c>
      <c r="AM6" s="40">
        <f>IF(SUM(U6:V6,X6:Z6,AB6)-W6-AA6&gt;0,SUM(U6:V6,X6:Z6,AB6)-W6-AA6,"")</f>
        <v>39.099999999999994</v>
      </c>
      <c r="AN6" s="40" t="str">
        <f>IF(SUM(AD6,AH6)&gt;0,SUM(AD6,AH6),"")</f>
        <v/>
      </c>
      <c r="AO6" s="40" t="str">
        <f>IF(SUM(AC6:AD6,AF6:AH6,AJ6)-SUM(AE6,AI6)&gt;0,SUM(AC6:AD6,AF6:AH6,AJ6)-SUM(AE6,AI6),"")</f>
        <v/>
      </c>
      <c r="AP6" s="40">
        <f>IF(SUM(AM6,AO6)&gt;0,SUM(AM6,AO6),"")</f>
        <v>39.099999999999994</v>
      </c>
      <c r="AQ6" s="18">
        <v>18.5</v>
      </c>
      <c r="AR6" s="18">
        <v>6</v>
      </c>
      <c r="AS6" s="18">
        <v>0.2</v>
      </c>
      <c r="AT6" s="18">
        <v>0.3</v>
      </c>
      <c r="AU6" s="18">
        <v>18.7</v>
      </c>
      <c r="AV6" s="18">
        <v>6.4</v>
      </c>
      <c r="AW6" s="18">
        <v>0.2</v>
      </c>
      <c r="AX6" s="18">
        <v>0</v>
      </c>
      <c r="AY6" s="18">
        <v>18.600000000000001</v>
      </c>
      <c r="AZ6" s="18">
        <v>7.2</v>
      </c>
      <c r="BA6" s="18">
        <v>0</v>
      </c>
      <c r="BB6" s="18">
        <v>0.3</v>
      </c>
      <c r="BC6" s="18">
        <v>18.3</v>
      </c>
      <c r="BD6" s="18">
        <v>6.8</v>
      </c>
      <c r="BE6" s="18">
        <v>0.2</v>
      </c>
      <c r="BF6" s="18">
        <v>0.3</v>
      </c>
      <c r="BG6" s="28"/>
      <c r="BH6" s="11">
        <f>IF(SUM(AR6,AV6)&gt;0,SUM(AR6,AV6),"")</f>
        <v>12.4</v>
      </c>
      <c r="BI6" s="11">
        <f>IF(SUM(AQ6:AR6,AT6:AV6,AX6)-AS6-AW6&gt;0,SUM(AQ6:AR6,AT6:AV6,AX6)-AS6-AW6,"")</f>
        <v>49.499999999999993</v>
      </c>
      <c r="BJ6" s="11">
        <f>IF(SUM(AZ6,BD6)&gt;0,SUM(AZ6,BD6),"")</f>
        <v>14</v>
      </c>
      <c r="BK6" s="11">
        <f>IF(SUM(AY6:AZ6,BB6:BD6,BF6)-SUM(BA6,BE6)&gt;0,SUM(AY6:AZ6,BB6:BD6,BF6)-SUM(BA6,BE6),"")</f>
        <v>51.3</v>
      </c>
      <c r="BL6" s="11">
        <f>IF(SUM(BI6,BK6)&gt;0,SUM(BI6,BK6),"")</f>
        <v>100.79999999999998</v>
      </c>
      <c r="BM6" s="19">
        <v>18.8</v>
      </c>
      <c r="BN6" s="19">
        <v>6.4</v>
      </c>
      <c r="BO6" s="19">
        <v>0</v>
      </c>
      <c r="BP6" s="19">
        <v>0.3</v>
      </c>
      <c r="BQ6" s="19">
        <v>18.399999999999999</v>
      </c>
      <c r="BR6" s="19">
        <v>6</v>
      </c>
      <c r="BS6" s="19">
        <v>1</v>
      </c>
      <c r="BT6" s="19">
        <v>0</v>
      </c>
      <c r="BU6" s="19">
        <v>18.8</v>
      </c>
      <c r="BV6" s="19">
        <v>7.2</v>
      </c>
      <c r="BW6" s="19">
        <v>0.6</v>
      </c>
      <c r="BX6" s="19">
        <v>0.3</v>
      </c>
      <c r="BY6" s="19">
        <v>18.7</v>
      </c>
      <c r="BZ6" s="19">
        <v>6.4</v>
      </c>
      <c r="CA6" s="19">
        <v>0</v>
      </c>
      <c r="CB6" s="19">
        <v>0.3</v>
      </c>
      <c r="CC6" s="27"/>
      <c r="CD6" s="40">
        <f>IF(SUM(BN6,BR6)&gt;0,SUM(BN6,BR6),"")</f>
        <v>12.4</v>
      </c>
      <c r="CE6" s="40">
        <f>IF(SUM(BM6:BN6,BP6:BR6,BT6)-BO6-BS6&gt;0,SUM(BM6:BN6,BP6:BR6,BT6)-BO6-BS6,"")</f>
        <v>48.900000000000006</v>
      </c>
      <c r="CF6" s="40">
        <f>IF(SUM(BV6,BZ6)&gt;0,SUM(BV6,BZ6),"")</f>
        <v>13.600000000000001</v>
      </c>
      <c r="CG6" s="40">
        <f>IF(SUM(BU6:BV6,BX6:BZ6,CB6)-SUM(BW6,CA6)&gt;0,SUM(BU6:BV6,BX6:BZ6,CB6)-SUM(BW6,CA6),"")</f>
        <v>51.099999999999994</v>
      </c>
      <c r="CH6" s="40">
        <f>IF(SUM(CE6,CG6)&gt;0,SUM(CE6,CG6),"")</f>
        <v>100</v>
      </c>
      <c r="CI6" s="50" t="str">
        <f>IF(MAX(DF6,EH6,FJ6,GL6,HN6,IP6,JR6,KT6,LV6,MX6,NZ6,PB6)-IF(N6="",0,N6)&gt;0.001,MAX(DF6,EH6,FJ6,GL6,HN6,IP6,JR6,KT6,LV6,MX6,NZ6,PB6)-IF(N6="",0,N6),"")</f>
        <v/>
      </c>
      <c r="CJ6" s="50" t="str">
        <f>IF(MAX(DK6,EM6,FO6,GQ6,HS6,IU6,JW6,KY6,MA6,NC6,OE6,PG6)-IF(P6="",0,P6)&gt;0.001,MAX(DK6,EM6,FO6,GQ6,HS6,IU6,JW6,KY6,MA6,NC6,OE6,PG6)-IF(P6="",0,P6),"")</f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>IF(SUM(CL6,CP6)&gt;0,SUM(CL6,CP6),"")</f>
        <v/>
      </c>
      <c r="DF6" s="40" t="str">
        <f>IF(SUM(CK6:CL6,CN6:CP6,CR6)-CM6-CQ6&gt;0,SUM(CK6:CL6,CN6:CP6,CR6)-CM6-CQ6,"")</f>
        <v/>
      </c>
      <c r="DG6" s="40" t="str">
        <f>IF(SUM(CS6:CT6,CV6)-CU6&gt;0,SUM(CS6:CT6,CV6)-CU6,"")</f>
        <v/>
      </c>
      <c r="DH6" s="40" t="str">
        <f>IF(SUM(CL6,CP6,CT6)&gt;0,SUM(CL6,CP6,CT6),"")</f>
        <v/>
      </c>
      <c r="DI6" s="40" t="str">
        <f>IF(SUM(DF6,DG6)&gt;0,SUM(DF6,DG6),"")</f>
        <v/>
      </c>
      <c r="DJ6" s="40" t="str">
        <f>IF(SUM(CX6,DB6)&gt;0,SUM(CX6,DB6),"")</f>
        <v/>
      </c>
      <c r="DK6" s="40" t="str">
        <f>IF(SUM(CW6:CX6,CZ6:DB6,DD6)-SUM(CY6,DC6)&gt;0,SUM(CW6:CX6,CZ6:DB6,DD6)-SUM(CY6,DC6),"")</f>
        <v/>
      </c>
      <c r="DL6" s="40" t="str">
        <f>IF(SUM(DF6,DG6,DK6)&gt;0,SUM(DF6,DG6,DK6),"")</f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>IF(SUM(DN6,DR6)&gt;0,SUM(DN6,DR6),"")</f>
        <v/>
      </c>
      <c r="EH6" s="11" t="str">
        <f>IF(SUM(DM6:DN6,DP6:DR6,DT6)-DO6-DS6&gt;0,SUM(DM6:DN6,DP6:DR6,DT6)-DO6-DS6,"")</f>
        <v/>
      </c>
      <c r="EI6" s="11" t="str">
        <f>IF(SUM(DU6:DV6,DX6)-DW6&gt;0,SUM(DU6:DV6,DX6)-DW6,"")</f>
        <v/>
      </c>
      <c r="EJ6" s="11" t="str">
        <f>IF(SUM(DN6,DR6,DV6)&gt;0,SUM(DN6,DR6,DV6),"")</f>
        <v/>
      </c>
      <c r="EK6" s="11" t="str">
        <f>IF(SUM(EH6,EI6)&gt;0,SUM(EH6,EI6),"")</f>
        <v/>
      </c>
      <c r="EL6" s="11" t="str">
        <f>IF(SUM(DZ6,ED6)&gt;0,SUM(DZ6,ED6),"")</f>
        <v/>
      </c>
      <c r="EM6" s="11" t="str">
        <f>IF(SUM(DY6:DZ6,EB6:ED6,EF6)-SUM(EA6,EE6)&gt;0,SUM(DY6:DZ6,EB6:ED6,EF6)-SUM(EA6,EE6),"")</f>
        <v/>
      </c>
      <c r="EN6" s="11" t="str">
        <f>IF(SUM(EH6,EI6,EM6)&gt;0,SUM(EH6,EI6,EM6),"")</f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>IF(SUM(EP6,ET6)&gt;0,SUM(EP6,ET6),"")</f>
        <v/>
      </c>
      <c r="FJ6" s="40" t="str">
        <f>IF(SUM(EO6:EP6,ER6:ET6,EV6)-EQ6-EU6&gt;0,SUM(EO6:EP6,ER6:ET6,EV6)-EQ6-EU6,"")</f>
        <v/>
      </c>
      <c r="FK6" s="40" t="str">
        <f>IF(SUM(EW6:EX6,EZ6)-EY6&gt;0,SUM(EW6:EX6,EZ6)-EY6,"")</f>
        <v/>
      </c>
      <c r="FL6" s="40" t="str">
        <f>IF(SUM(EP6,ET6,EX6)&gt;0,SUM(EP6,ET6,EX6),"")</f>
        <v/>
      </c>
      <c r="FM6" s="40" t="str">
        <f>IF(SUM(FJ6,FK6)&gt;0,SUM(FJ6,FK6),"")</f>
        <v/>
      </c>
      <c r="FN6" s="40" t="str">
        <f>IF(SUM(FB6,FF6)&gt;0,SUM(FB6,FF6),"")</f>
        <v/>
      </c>
      <c r="FO6" s="40" t="str">
        <f>IF(SUM(FA6:FB6,FD6:FF6,FH6)-SUM(FC6,FG6)&gt;0,SUM(FA6:FB6,FD6:FF6,FH6)-SUM(FC6,FG6),"")</f>
        <v/>
      </c>
      <c r="FP6" s="40" t="str">
        <f>IF(SUM(FJ6,FK6,FO6)&gt;0,SUM(FJ6,FK6,FO6),"")</f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>IF(SUM(FR6,FV6)&gt;0,SUM(FR6,FV6),"")</f>
        <v/>
      </c>
      <c r="GL6" s="11" t="str">
        <f>IF(SUM(FQ6:FR6,FT6:FV6,FX6)-FS6-FW6&gt;0,SUM(FQ6:FR6,FT6:FV6,FX6)-FS6-FW6,"")</f>
        <v/>
      </c>
      <c r="GM6" s="11" t="str">
        <f>IF(SUM(FY6:FZ6,GB6)-GA6&gt;0,SUM(FY6:FZ6,GB6)-GA6,"")</f>
        <v/>
      </c>
      <c r="GN6" s="11" t="str">
        <f>IF(SUM(FR6,FV6,FZ6)&gt;0,SUM(FR6,FV6,FZ6),"")</f>
        <v/>
      </c>
      <c r="GO6" s="11" t="str">
        <f>IF(SUM(GL6,GM6)&gt;0,SUM(GL6,GM6),"")</f>
        <v/>
      </c>
      <c r="GP6" s="11" t="str">
        <f>IF(SUM(GD6,GH6)&gt;0,SUM(GD6,GH6),"")</f>
        <v/>
      </c>
      <c r="GQ6" s="11" t="str">
        <f>IF(SUM(GC6:GD6,GF6:GH6,GJ6)-SUM(GE6,GI6)&gt;0,SUM(GC6:GD6,GF6:GH6,GJ6)-SUM(GE6,GI6),"")</f>
        <v/>
      </c>
      <c r="GR6" s="11" t="str">
        <f>IF(SUM(GL6,GM6,GQ6)&gt;0,SUM(GL6,GM6,GQ6),"")</f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>IF(SUM(GT6,GX6)&gt;0,SUM(GT6,GX6),"")</f>
        <v/>
      </c>
      <c r="HN6" s="40" t="str">
        <f>IF(SUM(GS6:GT6,GV6:GX6,GZ6)-GU6-GY6&gt;0,SUM(GS6:GT6,GV6:GX6,GZ6)-GU6-GY6,"")</f>
        <v/>
      </c>
      <c r="HO6" s="40" t="str">
        <f>IF(SUM(HA6:HB6,HD6)-HC6&gt;0,SUM(HA6:HB6,HD6)-HC6,"")</f>
        <v/>
      </c>
      <c r="HP6" s="40" t="str">
        <f>IF(SUM(GT6,GX6,HB6)&gt;0,SUM(GT6,GX6,HB6),"")</f>
        <v/>
      </c>
      <c r="HQ6" s="40" t="str">
        <f>IF(SUM(HN6,HO6)&gt;0,SUM(HN6,HO6),"")</f>
        <v/>
      </c>
      <c r="HR6" s="40" t="str">
        <f>IF(SUM(HF6,HJ6)&gt;0,SUM(HF6,HJ6),"")</f>
        <v/>
      </c>
      <c r="HS6" s="40" t="str">
        <f>IF(SUM(HE6:HF6,HH6:HJ6,HL6)-SUM(HG6,HK6)&gt;0,SUM(HE6:HF6,HH6:HJ6,HL6)-SUM(HG6,HK6),"")</f>
        <v/>
      </c>
      <c r="HT6" s="40" t="str">
        <f>IF(SUM(HN6,HO6,HS6)&gt;0,SUM(HN6,HO6,HS6),"")</f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>IF(SUM(HV6,HZ6)&gt;0,SUM(HV6,HZ6),"")</f>
        <v/>
      </c>
      <c r="IP6" s="11" t="str">
        <f>IF(SUM(HU6:HV6,HX6:HZ6,IB6)-HW6-IA6&gt;0,SUM(HU6:HV6,HX6:HZ6,IB6)-HW6-IA6,"")</f>
        <v/>
      </c>
      <c r="IQ6" s="11" t="str">
        <f>IF(SUM(IC6:ID6,IF6)-IE6&gt;0,SUM(IC6:ID6,IF6)-IE6,"")</f>
        <v/>
      </c>
      <c r="IR6" s="11" t="str">
        <f>IF(SUM(HV6,HZ6,ID6)&gt;0,SUM(HV6,HZ6,ID6),"")</f>
        <v/>
      </c>
      <c r="IS6" s="11" t="str">
        <f>IF(SUM(IP6,IQ6)&gt;0,SUM(IP6,IQ6),"")</f>
        <v/>
      </c>
      <c r="IT6" s="11" t="str">
        <f>IF(SUM(IH6,IL6)&gt;0,SUM(IH6,IL6),"")</f>
        <v/>
      </c>
      <c r="IU6" s="11" t="str">
        <f>IF(SUM(IG6:IH6,IJ6:IL6,IN6)-SUM(II6,IM6)&gt;0,SUM(IG6:IH6,IJ6:IL6,IN6)-SUM(II6,IM6),"")</f>
        <v/>
      </c>
      <c r="IV6" s="11" t="str">
        <f>IF(SUM(IP6,IQ6,IU6)&gt;0,SUM(IP6,IQ6,IU6),"")</f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>IF(SUM(IX6,JB6)&gt;0,SUM(IX6,JB6),"")</f>
        <v/>
      </c>
      <c r="JR6" s="40" t="str">
        <f>IF(SUM(IW6:IX6,IZ6:JB6,JD6)-IY6-JC6&gt;0,SUM(IW6:IX6,IZ6:JB6,JD6)-IY6-JC6,"")</f>
        <v/>
      </c>
      <c r="JS6" s="40" t="str">
        <f>IF(SUM(JE6:JF6,JH6)-JG6&gt;0,SUM(JE6:JF6,JH6)-JG6,"")</f>
        <v/>
      </c>
      <c r="JT6" s="40" t="str">
        <f>IF(SUM(IX6,JB6,JF6)&gt;0,SUM(IX6,JB6,JF6),"")</f>
        <v/>
      </c>
      <c r="JU6" s="40" t="str">
        <f>IF(SUM(JR6,JS6)&gt;0,SUM(JR6,JS6),"")</f>
        <v/>
      </c>
      <c r="JV6" s="40" t="str">
        <f>IF(SUM(JJ6,JN6)&gt;0,SUM(JJ6,JN6),"")</f>
        <v/>
      </c>
      <c r="JW6" s="40" t="str">
        <f>IF(SUM(JI6:JJ6,JL6:JN6,JP6)-SUM(JK6,JO6)&gt;0,SUM(JI6:JJ6,JL6:JN6,JP6)-SUM(JK6,JO6),"")</f>
        <v/>
      </c>
      <c r="JX6" s="40" t="str">
        <f>IF(SUM(JR6,JS6,JW6)&gt;0,SUM(JR6,JS6,JW6),"")</f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>IF(SUM(JZ6,KD6)&gt;0,SUM(JZ6,KD6),"")</f>
        <v/>
      </c>
      <c r="KT6" s="11" t="str">
        <f>IF(SUM(JY6:JZ6,KB6:KD6,KF6)-KA6-KE6&gt;0,SUM(JY6:JZ6,KB6:KD6,KF6)-KA6-KE6,"")</f>
        <v/>
      </c>
      <c r="KU6" s="11" t="str">
        <f>IF(SUM(KG6:KH6,KJ6)-KI6&gt;0,SUM(KG6:KH6,KJ6)-KI6,"")</f>
        <v/>
      </c>
      <c r="KV6" s="11" t="str">
        <f>IF(SUM(JZ6,KD6,KH6)&gt;0,SUM(JZ6,KD6,KH6),"")</f>
        <v/>
      </c>
      <c r="KW6" s="11" t="str">
        <f>IF(SUM(KT6,KU6)&gt;0,SUM(KT6,KU6),"")</f>
        <v/>
      </c>
      <c r="KX6" s="11" t="str">
        <f>IF(SUM(KL6,KP6)&gt;0,SUM(KL6,KP6),"")</f>
        <v/>
      </c>
      <c r="KY6" s="11" t="str">
        <f>IF(SUM(KK6:KL6,KN6:KP6,KR6)-SUM(KM6,KQ6)&gt;0,SUM(KK6:KL6,KN6:KP6,KR6)-SUM(KM6,KQ6),"")</f>
        <v/>
      </c>
      <c r="KZ6" s="11" t="str">
        <f>IF(SUM(KT6,KU6,KY6)&gt;0,SUM(KT6,KU6,KY6),"")</f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>IF(SUM(LB6,LF6)&gt;0,SUM(LB6,LF6),"")</f>
        <v/>
      </c>
      <c r="LV6" s="40" t="str">
        <f>IF(SUM(LA6:LB6,LD6:LF6,LH6)-LC6-LG6&gt;0,SUM(LA6:LB6,LD6:LF6,LH6)-LC6-LG6,"")</f>
        <v/>
      </c>
      <c r="LW6" s="40" t="str">
        <f>IF(SUM(LI6:LJ6,LL6)-LK6&gt;0,SUM(LI6:LJ6,LL6)-LK6,"")</f>
        <v/>
      </c>
      <c r="LX6" s="40" t="str">
        <f>IF(SUM(LB6,LF6,LJ6)&gt;0,SUM(LB6,LF6,LJ6),"")</f>
        <v/>
      </c>
      <c r="LY6" s="40" t="str">
        <f>IF(SUM(LV6,LW6)&gt;0,SUM(LV6,LW6),"")</f>
        <v/>
      </c>
      <c r="LZ6" s="40" t="str">
        <f>IF(SUM(LN6,LR6)&gt;0,SUM(LN6,LR6),"")</f>
        <v/>
      </c>
      <c r="MA6" s="40" t="str">
        <f>IF(SUM(LM6:LN6,LP6:LR6,LT6)-SUM(LO6,LS6)&gt;0,SUM(LM6:LN6,LP6:LR6,LT6)-SUM(LO6,LS6),"")</f>
        <v/>
      </c>
      <c r="MB6" s="40" t="str">
        <f>IF(SUM(LV6,LW6,MA6)&gt;0,SUM(LV6,LW6,MA6),"")</f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>IF(SUM(MD6,MH6)&gt;0,SUM(MD6,MH6),"")</f>
        <v/>
      </c>
      <c r="MX6" s="11" t="str">
        <f>IF(SUM(MC6:MD6,MF6:MH6,MJ6)-ME6-MI6&gt;0,SUM(MC6:MD6,MF6:MH6,MJ6)-ME6-MI6,"")</f>
        <v/>
      </c>
      <c r="MY6" s="11" t="str">
        <f>IF(SUM(MK6:ML6,MN6)-MM6&gt;0,SUM(MK6:ML6,MN6)-MM6,"")</f>
        <v/>
      </c>
      <c r="MZ6" s="11" t="str">
        <f>IF(SUM(MD6,MH6,ML6)&gt;0,SUM(MD6,MH6,ML6),"")</f>
        <v/>
      </c>
      <c r="NA6" s="11" t="str">
        <f>IF(SUM(MX6,MY6)&gt;0,SUM(MX6,MY6),"")</f>
        <v/>
      </c>
      <c r="NB6" s="11" t="str">
        <f>IF(SUM(MP6,MT6)&gt;0,SUM(MP6,MT6),"")</f>
        <v/>
      </c>
      <c r="NC6" s="11" t="str">
        <f>IF(SUM(MO6:MP6,MR6:MT6,MV6)-SUM(MQ6,MU6)&gt;0,SUM(MO6:MP6,MR6:MT6,MV6)-SUM(MQ6,MU6),"")</f>
        <v/>
      </c>
      <c r="ND6" s="11" t="str">
        <f>IF(SUM(MX6,MY6,NC6)&gt;0,SUM(MX6,MY6,NC6),"")</f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>IF(SUM(NF6,NJ6)&gt;0,SUM(NF6,NJ6),"")</f>
        <v/>
      </c>
      <c r="NZ6" s="40" t="str">
        <f>IF(SUM(NE6:NF6,NH6:NJ6,NL6)-NG6-NK6&gt;0,SUM(NE6:NF6,NH6:NJ6,NL6)-NG6-NK6,"")</f>
        <v/>
      </c>
      <c r="OA6" s="40" t="str">
        <f>IF(SUM(NM6:NN6,NP6)-NO6&gt;0,SUM(NM6:NN6,NP6)-NO6,"")</f>
        <v/>
      </c>
      <c r="OB6" s="40" t="str">
        <f>IF(SUM(NF6,NJ6,NN6)&gt;0,SUM(NF6,NJ6,NN6),"")</f>
        <v/>
      </c>
      <c r="OC6" s="40" t="str">
        <f>IF(SUM(NZ6,OA6)&gt;0,SUM(NZ6,OA6),"")</f>
        <v/>
      </c>
      <c r="OD6" s="40" t="str">
        <f>IF(SUM(NR6,NV6)&gt;0,SUM(NR6,NV6),"")</f>
        <v/>
      </c>
      <c r="OE6" s="40" t="str">
        <f>IF(SUM(NQ6:NR6,NT6:NV6,NX6)-SUM(NS6,NW6)&gt;0,SUM(NQ6:NR6,NT6:NV6,NX6)-SUM(NS6,NW6),"")</f>
        <v/>
      </c>
      <c r="OF6" s="40" t="str">
        <f>IF(SUM(NZ6,OA6,OE6)&gt;0,SUM(NZ6,OA6,OE6),"")</f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>IF(SUM(OH6,OL6)&gt;0,SUM(OH6,OL6),"")</f>
        <v/>
      </c>
      <c r="PB6" s="11" t="str">
        <f>IF(SUM(OG6:OH6,OJ6:OL6,ON6)-OI6-OM6&gt;0,SUM(OG6:OH6,OJ6:OL6,ON6)-OI6-OM6,"")</f>
        <v/>
      </c>
      <c r="PC6" s="11" t="str">
        <f>IF(SUM(OO6:OP6,OR6)-OQ6&gt;0,SUM(OO6:OP6,OR6)-OQ6,"")</f>
        <v/>
      </c>
      <c r="PD6" s="11" t="str">
        <f>IF(SUM(OH6,OL6,OP6)&gt;0,SUM(OH6,OL6,OP6),"")</f>
        <v/>
      </c>
      <c r="PE6" s="11" t="str">
        <f>IF(SUM(PB6,PC6)&gt;0,SUM(PB6,PC6),"")</f>
        <v/>
      </c>
      <c r="PF6" s="11" t="str">
        <f>IF(SUM(OT6,OX6)&gt;0,SUM(OT6,OX6),"")</f>
        <v/>
      </c>
      <c r="PG6" s="11" t="str">
        <f>IF(SUM(OS6:OT6,OV6:OX6,OZ6)-SUM(OU6,OY6)&gt;0,SUM(OS6:OT6,OV6:OX6,OZ6)-SUM(OU6,OY6),"")</f>
        <v/>
      </c>
      <c r="PH6" s="11" t="str">
        <f>IF(SUM(PB6,PC6,PG6)&gt;0,SUM(PB6,PC6,PG6),"")</f>
        <v/>
      </c>
      <c r="PI6" s="22">
        <f>IF($PY6="P",BM6,(BM6+AQ6)/2)</f>
        <v>18.8</v>
      </c>
      <c r="PJ6" s="22">
        <f>IF($PY6="P",BN6,(BN6+AR6)/2)</f>
        <v>6.4</v>
      </c>
      <c r="PK6" s="22">
        <f>IF($PY6="P",BO6,(BO6+AS6)/2)</f>
        <v>0</v>
      </c>
      <c r="PL6" s="22">
        <f>IF($PY6="P",BP6,(BP6+AT6)/2)</f>
        <v>0.3</v>
      </c>
      <c r="PM6" s="22">
        <f>IF($PY6="P",BQ6,(BQ6+AU6)/2)</f>
        <v>18.399999999999999</v>
      </c>
      <c r="PN6" s="22">
        <f>IF($PY6="P",BR6,(BR6+AV6)/2)</f>
        <v>6</v>
      </c>
      <c r="PO6" s="22">
        <f>IF($PY6="P",BS6,(BS6+AW6)/2)</f>
        <v>1</v>
      </c>
      <c r="PP6" s="22">
        <f>IF($PY6="P",BT6,(BT6+AX6)/2)</f>
        <v>0</v>
      </c>
      <c r="PQ6" s="22">
        <f>IF($PY6="P",BU6,(BU6+AY6)/2)</f>
        <v>18.8</v>
      </c>
      <c r="PR6" s="22">
        <f>IF($PY6="P",BV6,(BV6+AZ6)/2)</f>
        <v>7.2</v>
      </c>
      <c r="PS6" s="22">
        <f>IF($PY6="P",BW6,(BW6+BA6)/2)</f>
        <v>0.6</v>
      </c>
      <c r="PT6" s="22">
        <f>IF($PY6="P",BX6,(BX6+BB6)/2)</f>
        <v>0.3</v>
      </c>
      <c r="PU6" s="22">
        <f>IF($PY6="P",BY6,(BY6+BC6)/2)</f>
        <v>18.7</v>
      </c>
      <c r="PV6" s="22">
        <f>IF($PY6="P",BZ6,(BZ6+BD6)/2)</f>
        <v>6.4</v>
      </c>
      <c r="PW6" s="22">
        <f>IF($PY6="P",CA6,(CA6+BE6)/2)</f>
        <v>0</v>
      </c>
      <c r="PX6" s="22">
        <f>IF($PY6="P",CB6,(CB6+BF6)/2)</f>
        <v>0.3</v>
      </c>
      <c r="PY6" s="27" t="s">
        <v>46</v>
      </c>
      <c r="PZ6" s="40">
        <f>IF(SUM(PJ6,PN6)&gt;0,SUM(PJ6,PN6),"")</f>
        <v>12.4</v>
      </c>
      <c r="QA6" s="40">
        <f>IF(SUM(PI6:PJ6,PL6:PN6,PP6)-PK6-PO6&gt;0,SUM(PI6:PJ6,PL6:PN6,PP6)-PK6-PO6,"")</f>
        <v>48.900000000000006</v>
      </c>
      <c r="QB6" s="40">
        <f>IF(SUM(PR6,PV6)&gt;0,SUM(PR6,PV6),"")</f>
        <v>13.600000000000001</v>
      </c>
      <c r="QC6" s="40">
        <f>IF(SUM(PQ6:PR6,PT6:PV6,PX6)-SUM(PS6,PW6)&gt;0,SUM(PQ6:PR6,PT6:PV6,PX6)-SUM(PS6,PW6),"")</f>
        <v>51.099999999999994</v>
      </c>
      <c r="QD6" s="40">
        <f>IF(SUM(QA6,QC6)&gt;0,SUM(QA6,QC6),"")</f>
        <v>100</v>
      </c>
    </row>
    <row r="7" spans="1:446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t="str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/>
      </c>
      <c r="C7" s="5" t="s">
        <v>110</v>
      </c>
      <c r="D7" s="4" t="s">
        <v>4</v>
      </c>
      <c r="E7" s="4">
        <v>2005</v>
      </c>
      <c r="F7" s="9">
        <f>SUM(L7:R7)+SUM(L7:O7)*0.0000001+SUM(L7)*0.0000000000001</f>
        <v>148.85000983500495</v>
      </c>
      <c r="G7" s="64" t="s">
        <v>46</v>
      </c>
      <c r="H7" s="3" t="str">
        <f>IF(OR(AND(AL7&gt;=AP$36,AM7&gt;=AP$40,AL7&lt;&gt;"",AK7=""),AND(AN7&gt;=AP$36,AO7&gt;=AP$40,AN7&lt;&gt;"",AK7=""),AND(BH7&gt;=BL$36,BI7&gt;=BL$40,BH7&lt;&gt;"",BG7=""),AND(BJ7&gt;=BL$36,BK7&gt;=BL$40,BJ7&lt;&gt;"",BG7=""),AND(CD7&gt;=CH$36,CE7&gt;=CH$40,CD7&lt;&gt;"",CC7=""),AND(CF7&gt;=CH$36,CG7&gt;=CH$40,CF7&lt;&gt;""),AND(DE7&gt;=DL$36,DF7&gt;=DL$40,DE7&lt;&gt;""),AND(DJ7&gt;=DL$36,DK7&gt;=DL$40,DJ7&lt;&gt;""),AND(EG7&gt;=EN$36,EH7&gt;=EN$40,EG7&lt;&gt;""),AND(EL7&gt;=EN$36,EM7&gt;=EN$40,EL7&lt;&gt;""),AND(FI7&gt;=FP$36,FJ7&gt;=FP$40,FI7&lt;&gt;""),AND(FN7&gt;=FP$36,FO7&gt;=FP$40,FN7&lt;&gt;""),AND(GK7&gt;=GR$36,GL7&gt;=GR$40,GK7&lt;&gt;""),AND(GP7&gt;=GR$36,GQ7&gt;=GR$40,GP7&lt;&gt;""),AND(HM7&gt;=HT$36,HN7&gt;=HT$40,HM7&lt;&gt;""),AND(HR7&gt;=HT$36,HS7&gt;=HT$40,HR7&lt;&gt;""),AND(IO7&gt;=IV$36,IP7&gt;=IV$40,IO7&lt;&gt;""),AND(IT7&gt;=IV$36,IU7&gt;=IV$40,IT7&lt;&gt;""),AND(JQ7&gt;=JX$36,JR7&gt;=JX$40,JQ7&lt;&gt;""),AND(JV7&gt;=JX$36,JW7&gt;=JX$40,JV7&lt;&gt;""),AND(KS7&gt;=KZ$36,KT7&gt;=KZ$40,KS7&lt;&gt;""),AND(KX7&gt;=KZ$36,KY7&gt;=KZ$40,KX7&lt;&gt;""),AND(LU7&gt;=MB$36,LV7&gt;=MB$40,LU7&lt;&gt;""),AND(LZ7&gt;=MB$36,MA7&gt;=MB$40,LZ7&lt;&gt;""),AND(MW7&gt;=ND$36,MX7&gt;=ND$40,MW7&lt;&gt;""),AND(NB7&gt;=ND$36,NC7&gt;=ND$40,NB7&lt;&gt;""),AND(NY7&gt;=OF$36,NZ7&gt;=OF$40,NY7&lt;&gt;""),AND(OD7&gt;=OF$36,OE7&gt;=OF$40,OD7&lt;&gt;""),AND(PA7&gt;=PH$36,PB7&gt;=PH$40,PA7&lt;&gt;""),AND(PF7&gt;=PH$36,PG7&gt;=PH$40,PF7&lt;&gt;"")),"P","")</f>
        <v>P</v>
      </c>
      <c r="I7" s="3" t="str">
        <f>IF(OR(AND(AM7&gt;=AP$40,AM7&lt;&gt;"",AK7=""),AND(AO7&gt;=AP$40,AO7&lt;&gt;"",AK7=""),AND(BI7&gt;=BL$40,BI7&lt;&gt;"",BG7=""),AND(BK7&gt;=BL$40,BK7&lt;&gt;"",BG7=""),AND(CE7&gt;=CH$40,CE7&lt;&gt;"",CC7=""),AND(CG7&gt;=CH$40,CG7&lt;&gt;"",CC7=""),AND(DF7&gt;=DL$40,DF7&lt;&gt;""),AND(DK7&gt;=DL$40,DK7&lt;&gt;""),AND(EH7&gt;=EN$40,EH7&lt;&gt;""),AND(EM7&gt;=EN$40,EM7&lt;&gt;""),AND(FJ7&gt;=FP$40,FJ7&lt;&gt;""),AND(FO7&gt;=FP$40,FO7&lt;&gt;""),AND(GL7&gt;=GR$40,GL7&lt;&gt;""),AND(GQ7&gt;=GR$40,GQ7&lt;&gt;""),AND(HN7&gt;=HT$40,HN7&lt;&gt;""),AND(HS7&gt;=HT$40,HS7&lt;&gt;""),AND(IP7&gt;=IV$40,IP7&lt;&gt;""),AND(IU7&gt;=IV$40,IU7&lt;&gt;""),AND(JR7&gt;=JX$40,JR7&lt;&gt;""),AND(JW7&gt;=JX$40,JW7&lt;&gt;""),AND(KT7&gt;=KZ$40,KT7&lt;&gt;""),AND(KY7&gt;=KZ$40,KY7&lt;&gt;""),AND(LV7&gt;=MB$40,LV7&lt;&gt;""),AND(MA7&gt;=MB$40,MA7&lt;&gt;""),AND(MX7&gt;=ND$40,MX7&lt;&gt;""),AND(NC7&gt;=ND$40,NC7&lt;&gt;""),AND(NZ7&gt;=OF$40,NZ7&lt;&gt;""),AND(OE7&gt;=OF$40,OE7&lt;&gt;""),AND(PB7&gt;=PH$40,PB7&lt;&gt;""),AND(PG7&gt;=PH$40,PG7&lt;&gt;"")),"P","")</f>
        <v>P</v>
      </c>
      <c r="J7" s="36" t="str">
        <f>IF(AND(I7="P",H7=""),"No DD",IF(OR(AND(AL7&gt;=AP$26,AM7&gt;=AP$30,AL7&lt;&gt;"",AK7=""),AND(BH7&gt;=BL$26,BI7&gt;=BL$30,BH7&lt;&gt;"",BG7=""),AND(CD7&gt;=CH$26,CE7&gt;=CH$30,CD7&lt;&gt;"",CC7=""),AND(DH7&gt;=DL$26,DI7&gt;=DL$30,DH7&lt;&gt;""),AND(EJ7&gt;=EN$26,EK7&gt;=EN$30,EJ7&lt;&gt;""),AND(FL7&gt;=FP$26,FM7&gt;=FP$30,FL7&lt;&gt;""),AND(GN7&gt;=GR$26,GO7&gt;=GR$30,GN7&lt;&gt;""),AND(HP7&gt;=HT$26,HQ7&gt;=HT$30,HP7&lt;&gt;""),AND(IR7&gt;=IV$26,IS7&gt;=IV$30,IR7&lt;&gt;""),AND(JT7&gt;=JX$26,JU7&gt;=JX$30,JT7&lt;&gt;""),AND(KV7&gt;=KZ$26,KW7&gt;=KZ$30,KV7&lt;&gt;""),AND(LX7&gt;=MB$26,LY7&gt;=MB$30,LX7&lt;&gt;""),AND(MZ7&gt;=ND$26,NA7&gt;=ND$30,MZ7&lt;&gt;""),AND(OB7&gt;=OF$26,OC7&gt;=OF$30,OB7&lt;&gt;""),AND(PD7&gt;=PH$26,PE7&gt;=PH$30,PD7&lt;&gt;"")),"Merit",IF(OR(AND(AL7&gt;=AP$25,AM7&gt;=AP$29,AL7&lt;&gt;"",AK7=""),AND(BH7&gt;=BL$25,BI7&gt;=BL$29,BH7&lt;&gt;"",BG7=""),AND(CD7&gt;=CH$25,CE7&gt;=CH$29,CD7&lt;&gt;"",CC7=""),AND(DH7&gt;=DL$25,DI7&gt;=DL$29,DH7&lt;&gt;""),AND(EJ7&gt;=EN$25,EK7&gt;=EN$29,EJ7&lt;&gt;""),AND(FL7&gt;=FP$25,FM7&gt;=FP$29,FL7&lt;&gt;""),AND(GN7&gt;=GR$25,GO7&gt;=GR$29,GN7&lt;&gt;""),AND(HP7&gt;=HT$25,HQ7&gt;=HT$29,HP7&lt;&gt;""),AND(IR7&gt;=IV$25,IS7&gt;=IV$29,IR7&lt;&gt;""),AND(JT7&gt;=JX$25,JU7&gt;=JX$29,JT7&lt;&gt;""),AND(KV7&gt;=KZ$25,KW7&gt;=KZ$29,KV7&lt;&gt;""),AND(LX7&gt;=MB$25,LY7&gt;=MB$29,LX7&lt;&gt;""),AND(MZ7&gt;=ND$25,NA7&gt;=ND$29,MZ7&lt;&gt;""),AND(OB7&gt;=OF$25,OC7&gt;=OF$29,OB7&lt;&gt;""),AND(PD7&gt;=PH$25,PE7&gt;=PH$29,PD7&lt;&gt;"")),"Excellence",IF(K7="P","Worlds Team",IF(H7="P","National Team","")))))</f>
        <v>National Team</v>
      </c>
      <c r="K7" s="3" t="str">
        <f>IF(OR(AND(AL7&gt;=AP$24,AM7&gt;=AP$28,AL7&lt;&gt;"",AK7=""),AND(BH7&gt;=BL$24,BI7&gt;=BL$28,BH7&lt;&gt;"",BG7=""),AND(CD7&gt;=CH$24,CE7&gt;=CH$28,CD7&lt;&gt;"",CC7=""),AND(DH7&gt;=DL$24,DI7&gt;=DL$28,DH7&lt;&gt;""),AND(EJ7&gt;=EN$24,EK7&gt;=EN$28,EJ7&lt;&gt;""),AND(FL7&gt;=FP$24,FM7&gt;=FP$28,FL7&lt;&gt;""),AND(GN7&gt;=GR$24,GO7&gt;=GR$28,GN7&lt;&gt;""),AND(HP7&gt;=HT$24,HQ7&gt;=HT$28,HP7&lt;&gt;""),AND(IR7&gt;=IV$24,IS7&gt;=IV$28,IR7&lt;&gt;""),AND(JT7&gt;=JX$24,JU7&gt;=JX$28,JT7&lt;&gt;""),AND(KV7&gt;=KZ$24,KW7&gt;=KZ$28,KV7&lt;&gt;""),AND(LX7&gt;=MB$24,LY7&gt;=MB$28,LX7&lt;&gt;""),AND(MZ7&gt;=ND$24,NA7&gt;=ND$28,MZ7&lt;&gt;""),AND(OB7&gt;=OF$24,OC7&gt;=OF$28,OB7&lt;&gt;""),AND(PD7&gt;=PH$24,PE7&gt;=PH$28,PD7&lt;&gt;"")),"P","")</f>
        <v/>
      </c>
      <c r="L7" s="8">
        <f>IF(COUNT(AM7,BI7,CE7)&gt;0,LARGE((AM7,BI7,CE7),1),0)</f>
        <v>49.65</v>
      </c>
      <c r="M7" s="8" t="str">
        <f>IF(L7=0,"",IF(L7=CE7,$BM$1,IF(L7=BI7,$AQ$1,IF(L7=AM7,$U$1,""))))</f>
        <v>2025 Nationals</v>
      </c>
      <c r="N7" s="8">
        <f>IF(COUNT(AM7,BI7,CE7)&gt;1,LARGE((AM7,BI7,CE7),2),0)</f>
        <v>48.699999999999996</v>
      </c>
      <c r="O7" s="8" t="str">
        <f>IF(N7=0,"",IF(AND(N7=L7,N7=AM7,N7=BI7),$U$1,IF(AND(N7=L7,N7=AM7,N7=CE7),$U$1,IF(AND(N7=L7,N7=BI7,N7=CE7),$AQ$1,IF(N7=CE7,$BM$1,IF(N7=BI7,$AQ$1,IF(N7=AM7,$U$1,"")))))))</f>
        <v>2025 Elite Canada</v>
      </c>
      <c r="P7" s="8">
        <f>IF(MAX(AO7,BK7,CG7)&gt;0,MAX(AO7,BK7,CG7),0)</f>
        <v>50.5</v>
      </c>
      <c r="Q7" s="8" t="str">
        <f>IF(P7=0,"",IF(P7=CG7,$BM$1,IF(P7=BK7,$AQ$1,IF(P7=AO7,$U$1,""))))</f>
        <v>2025 Elite Canada</v>
      </c>
      <c r="R7" s="8" t="str">
        <f>IF(MAX(CI7:CJ7)&gt;0,MAX(CI7:CJ7),"")</f>
        <v/>
      </c>
      <c r="S7" s="11" t="str">
        <f>IF(R7="","",IF(R7=CI7,"("&amp;CI$2&amp;")",IF(R7=CJ7,"("&amp;CJ$2&amp;")")))</f>
        <v/>
      </c>
      <c r="T7" s="8" t="str">
        <f>IF(R7="","",IF(R7=CI7,IF(R7+IF(N7="",0,N7)=PB7,$OG$1,IF(R7+IF(N7="",0,N7)=NZ7,$NE$1,IF(R7+IF(N7="",0,N7)=MX7,$MC$1,IF(R7+IF(N7="",0,N7)=LV7,$LA$1,IF(R7+IF(N7="",0,N7)=KT7,$JY$1,IF(R7+IF(N7="",0,N7)=JR7,$IW$1,IF(R7+IF(N7="",0,N7)=IP7,$HU$1,IF(R7+IF(N7="",0,N7)=HN7,$GS$1,IF(R7+IF(N7="",0,N7)=GL7,$FQ$1,IF(R7+IF(N7="",0,N7)=FJ7,$EO$1,IF(R7+IF(N7="",0,N7)=EH7,$DM$1,IF(R7+IF(N7="",0,N7)=DF7,$CK$1)))))))))))),IF(R7=CJ7,IF(R7+IF(P7="",0,P7)=PG7,$OG$1,IF(R7+IF(P7="",0,P7)=OE7,$NE$1,IF(R7+IF(P7="",0,P7)=NC7,$MC$1,IF(R7+IF(P7="",0,P7)=MA7,$LA$1,IF(R7+IF(P7="",0,P7)=KY7,$JY$1,IF(R7+IF(P7="",0,P7)=JW7,$IW$1,IF(R7+IF(P7="",0,P7)=IU7,$HU$1,IF(R7+IF(P7="",0,P7)=HS7,$GS$1,IF(R7+IF(P7="",0,P7)=GQ7,$FQ$1,IF(R7+IF(P7="",0,P7)=FO7,$EO$1,IF(R7+IF(P7="",0,P7)=EM7,$DM$1,IF(R7+IF(P7="",0,P7)=DK7,$CK$1)))))))))))))))</f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>
        <v>18.600000000000001</v>
      </c>
      <c r="AD7" s="19">
        <v>6.8</v>
      </c>
      <c r="AE7" s="19">
        <v>0.2</v>
      </c>
      <c r="AF7" s="19">
        <v>0.3</v>
      </c>
      <c r="AG7" s="19">
        <v>18.600000000000001</v>
      </c>
      <c r="AH7" s="19">
        <v>6.4</v>
      </c>
      <c r="AI7" s="19">
        <v>0</v>
      </c>
      <c r="AJ7" s="19">
        <v>0</v>
      </c>
      <c r="AK7" s="27"/>
      <c r="AL7" s="40">
        <f>IF(SUM(V7,Z7)&gt;0,SUM(V7,Z7),"")</f>
        <v>12.4</v>
      </c>
      <c r="AM7" s="40">
        <f>IF(SUM(U7:V7,X7:Z7,AB7)-W7-AA7&gt;0,SUM(U7:V7,X7:Z7,AB7)-W7-AA7,"")</f>
        <v>48.699999999999996</v>
      </c>
      <c r="AN7" s="40">
        <f>IF(SUM(AD7,AH7)&gt;0,SUM(AD7,AH7),"")</f>
        <v>13.2</v>
      </c>
      <c r="AO7" s="40">
        <f>IF(SUM(AC7:AD7,AF7:AH7,AJ7)-SUM(AE7,AI7)&gt;0,SUM(AC7:AD7,AF7:AH7,AJ7)-SUM(AE7,AI7),"")</f>
        <v>50.5</v>
      </c>
      <c r="AP7" s="40">
        <f>IF(SUM(AM7,AO7)&gt;0,SUM(AM7,AO7),"")</f>
        <v>99.199999999999989</v>
      </c>
      <c r="AQ7" s="18">
        <v>18.549999999999997</v>
      </c>
      <c r="AR7" s="18">
        <v>6.4</v>
      </c>
      <c r="AS7" s="18">
        <v>0.4</v>
      </c>
      <c r="AT7" s="18">
        <v>0.3</v>
      </c>
      <c r="AU7" s="18">
        <v>18.8</v>
      </c>
      <c r="AV7" s="18">
        <v>6.4</v>
      </c>
      <c r="AW7" s="18">
        <v>0.4</v>
      </c>
      <c r="AX7" s="18">
        <v>0</v>
      </c>
      <c r="AY7" s="18">
        <v>18.399999999999999</v>
      </c>
      <c r="AZ7" s="18">
        <v>6.8</v>
      </c>
      <c r="BA7" s="18">
        <v>0.2</v>
      </c>
      <c r="BB7" s="18">
        <v>0.3</v>
      </c>
      <c r="BC7" s="18">
        <v>18.5</v>
      </c>
      <c r="BD7" s="18">
        <v>6.4</v>
      </c>
      <c r="BE7" s="18">
        <v>0.3</v>
      </c>
      <c r="BF7" s="18">
        <v>0</v>
      </c>
      <c r="BG7" s="28" t="s">
        <v>46</v>
      </c>
      <c r="BH7" s="11">
        <f>IF(SUM(AR7,AV7)&gt;0,SUM(AR7,AV7),"")</f>
        <v>12.8</v>
      </c>
      <c r="BI7" s="11">
        <f>IF(SUM(AQ7:AR7,AT7:AV7,AX7)-AS7-AW7&gt;0,SUM(AQ7:AR7,AT7:AV7,AX7)-AS7-AW7,"")</f>
        <v>49.65</v>
      </c>
      <c r="BJ7" s="11">
        <f>IF(SUM(AZ7,BD7)&gt;0,SUM(AZ7,BD7),"")</f>
        <v>13.2</v>
      </c>
      <c r="BK7" s="11">
        <f>IF(SUM(AY7:AZ7,BB7:BD7,BF7)-SUM(BA7,BE7)&gt;0,SUM(AY7:AZ7,BB7:BD7,BF7)-SUM(BA7,BE7),"")</f>
        <v>49.9</v>
      </c>
      <c r="BL7" s="11">
        <f>IF(SUM(BI7,BK7)&gt;0,SUM(BI7,BK7),"")</f>
        <v>99.55</v>
      </c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27"/>
      <c r="CD7" s="40" t="str">
        <f>IF(SUM(BN7,BR7)&gt;0,SUM(BN7,BR7),"")</f>
        <v/>
      </c>
      <c r="CE7" s="40" t="str">
        <f>IF(SUM(BM7:BN7,BP7:BR7,BT7)-BO7-BS7&gt;0,SUM(BM7:BN7,BP7:BR7,BT7)-BO7-BS7,"")</f>
        <v/>
      </c>
      <c r="CF7" s="40" t="str">
        <f>IF(SUM(BV7,BZ7)&gt;0,SUM(BV7,BZ7),"")</f>
        <v/>
      </c>
      <c r="CG7" s="40" t="str">
        <f>IF(SUM(BU7:BV7,BX7:BZ7,CB7)-SUM(BW7,CA7)&gt;0,SUM(BU7:BV7,BX7:BZ7,CB7)-SUM(BW7,CA7),"")</f>
        <v/>
      </c>
      <c r="CH7" s="40" t="str">
        <f>IF(SUM(CE7,CG7)&gt;0,SUM(CE7,CG7),"")</f>
        <v/>
      </c>
      <c r="CI7" s="50" t="str">
        <f>IF(MAX(DF7,EH7,FJ7,GL7,HN7,IP7,JR7,KT7,LV7,MX7,NZ7,PB7)-IF(N7="",0,N7)&gt;0.001,MAX(DF7,EH7,FJ7,GL7,HN7,IP7,JR7,KT7,LV7,MX7,NZ7,PB7)-IF(N7="",0,N7),"")</f>
        <v/>
      </c>
      <c r="CJ7" s="50" t="str">
        <f>IF(MAX(DK7,EM7,FO7,GQ7,HS7,IU7,JW7,KY7,MA7,NC7,OE7,PG7)-IF(P7="",0,P7)&gt;0.001,MAX(DK7,EM7,FO7,GQ7,HS7,IU7,JW7,KY7,MA7,NC7,OE7,PG7)-IF(P7="",0,P7),"")</f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>IF(SUM(CL7,CP7)&gt;0,SUM(CL7,CP7),"")</f>
        <v/>
      </c>
      <c r="DF7" s="40" t="str">
        <f>IF(SUM(CK7:CL7,CN7:CP7,CR7)-CM7-CQ7&gt;0,SUM(CK7:CL7,CN7:CP7,CR7)-CM7-CQ7,"")</f>
        <v/>
      </c>
      <c r="DG7" s="40" t="str">
        <f>IF(SUM(CS7:CT7,CV7)-CU7&gt;0,SUM(CS7:CT7,CV7)-CU7,"")</f>
        <v/>
      </c>
      <c r="DH7" s="40" t="str">
        <f>IF(SUM(CL7,CP7,CT7)&gt;0,SUM(CL7,CP7,CT7),"")</f>
        <v/>
      </c>
      <c r="DI7" s="40" t="str">
        <f>IF(SUM(DF7,DG7)&gt;0,SUM(DF7,DG7),"")</f>
        <v/>
      </c>
      <c r="DJ7" s="40" t="str">
        <f>IF(SUM(CX7,DB7)&gt;0,SUM(CX7,DB7),"")</f>
        <v/>
      </c>
      <c r="DK7" s="40" t="str">
        <f>IF(SUM(CW7:CX7,CZ7:DB7,DD7)-SUM(CY7,DC7)&gt;0,SUM(CW7:CX7,CZ7:DB7,DD7)-SUM(CY7,DC7),"")</f>
        <v/>
      </c>
      <c r="DL7" s="40" t="str">
        <f>IF(SUM(DF7,DG7,DK7)&gt;0,SUM(DF7,DG7,DK7),"")</f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>IF(SUM(DN7,DR7)&gt;0,SUM(DN7,DR7),"")</f>
        <v/>
      </c>
      <c r="EH7" s="11" t="str">
        <f>IF(SUM(DM7:DN7,DP7:DR7,DT7)-DO7-DS7&gt;0,SUM(DM7:DN7,DP7:DR7,DT7)-DO7-DS7,"")</f>
        <v/>
      </c>
      <c r="EI7" s="11" t="str">
        <f>IF(SUM(DU7:DV7,DX7)-DW7&gt;0,SUM(DU7:DV7,DX7)-DW7,"")</f>
        <v/>
      </c>
      <c r="EJ7" s="11" t="str">
        <f>IF(SUM(DN7,DR7,DV7)&gt;0,SUM(DN7,DR7,DV7),"")</f>
        <v/>
      </c>
      <c r="EK7" s="11" t="str">
        <f>IF(SUM(EH7,EI7)&gt;0,SUM(EH7,EI7),"")</f>
        <v/>
      </c>
      <c r="EL7" s="11" t="str">
        <f>IF(SUM(DZ7,ED7)&gt;0,SUM(DZ7,ED7),"")</f>
        <v/>
      </c>
      <c r="EM7" s="11" t="str">
        <f>IF(SUM(DY7:DZ7,EB7:ED7,EF7)-SUM(EA7,EE7)&gt;0,SUM(DY7:DZ7,EB7:ED7,EF7)-SUM(EA7,EE7),"")</f>
        <v/>
      </c>
      <c r="EN7" s="11" t="str">
        <f>IF(SUM(EH7,EI7,EM7)&gt;0,SUM(EH7,EI7,EM7),"")</f>
        <v/>
      </c>
      <c r="EO7" s="17">
        <v>18</v>
      </c>
      <c r="EP7" s="17">
        <v>6.4</v>
      </c>
      <c r="EQ7" s="17">
        <v>0.2</v>
      </c>
      <c r="ER7" s="17">
        <v>0</v>
      </c>
      <c r="ES7" s="17">
        <v>18.399999999999999</v>
      </c>
      <c r="ET7" s="17">
        <v>5.2</v>
      </c>
      <c r="EU7" s="17">
        <v>1</v>
      </c>
      <c r="EV7" s="17">
        <v>0</v>
      </c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>
        <f>IF(SUM(EP7,ET7)&gt;0,SUM(EP7,ET7),"")</f>
        <v>11.600000000000001</v>
      </c>
      <c r="FJ7" s="40">
        <f>IF(SUM(EO7:EP7,ER7:ET7,EV7)-EQ7-EU7&gt;0,SUM(EO7:EP7,ER7:ET7,EV7)-EQ7-EU7,"")</f>
        <v>46.8</v>
      </c>
      <c r="FK7" s="40" t="str">
        <f>IF(SUM(EW7:EX7,EZ7)-EY7&gt;0,SUM(EW7:EX7,EZ7)-EY7,"")</f>
        <v/>
      </c>
      <c r="FL7" s="40">
        <f>IF(SUM(EP7,ET7,EX7)&gt;0,SUM(EP7,ET7,EX7),"")</f>
        <v>11.600000000000001</v>
      </c>
      <c r="FM7" s="40">
        <f>IF(SUM(FJ7,FK7)&gt;0,SUM(FJ7,FK7),"")</f>
        <v>46.8</v>
      </c>
      <c r="FN7" s="40" t="str">
        <f>IF(SUM(FB7,FF7)&gt;0,SUM(FB7,FF7),"")</f>
        <v/>
      </c>
      <c r="FO7" s="40" t="str">
        <f>IF(SUM(FA7:FB7,FD7:FF7,FH7)-SUM(FC7,FG7)&gt;0,SUM(FA7:FB7,FD7:FF7,FH7)-SUM(FC7,FG7),"")</f>
        <v/>
      </c>
      <c r="FP7" s="40">
        <f>IF(SUM(FJ7,FK7,FO7)&gt;0,SUM(FJ7,FK7,FO7),"")</f>
        <v>46.8</v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>IF(SUM(FR7,FV7)&gt;0,SUM(FR7,FV7),"")</f>
        <v/>
      </c>
      <c r="GL7" s="11" t="str">
        <f>IF(SUM(FQ7:FR7,FT7:FV7,FX7)-FS7-FW7&gt;0,SUM(FQ7:FR7,FT7:FV7,FX7)-FS7-FW7,"")</f>
        <v/>
      </c>
      <c r="GM7" s="11" t="str">
        <f>IF(SUM(FY7:FZ7,GB7)-GA7&gt;0,SUM(FY7:FZ7,GB7)-GA7,"")</f>
        <v/>
      </c>
      <c r="GN7" s="11" t="str">
        <f>IF(SUM(FR7,FV7,FZ7)&gt;0,SUM(FR7,FV7,FZ7),"")</f>
        <v/>
      </c>
      <c r="GO7" s="11" t="str">
        <f>IF(SUM(GL7,GM7)&gt;0,SUM(GL7,GM7),"")</f>
        <v/>
      </c>
      <c r="GP7" s="11" t="str">
        <f>IF(SUM(GD7,GH7)&gt;0,SUM(GD7,GH7),"")</f>
        <v/>
      </c>
      <c r="GQ7" s="11" t="str">
        <f>IF(SUM(GC7:GD7,GF7:GH7,GJ7)-SUM(GE7,GI7)&gt;0,SUM(GC7:GD7,GF7:GH7,GJ7)-SUM(GE7,GI7),"")</f>
        <v/>
      </c>
      <c r="GR7" s="11" t="str">
        <f>IF(SUM(GL7,GM7,GQ7)&gt;0,SUM(GL7,GM7,GQ7),"")</f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>IF(SUM(GT7,GX7)&gt;0,SUM(GT7,GX7),"")</f>
        <v/>
      </c>
      <c r="HN7" s="40" t="str">
        <f>IF(SUM(GS7:GT7,GV7:GX7,GZ7)-GU7-GY7&gt;0,SUM(GS7:GT7,GV7:GX7,GZ7)-GU7-GY7,"")</f>
        <v/>
      </c>
      <c r="HO7" s="40" t="str">
        <f>IF(SUM(HA7:HB7,HD7)-HC7&gt;0,SUM(HA7:HB7,HD7)-HC7,"")</f>
        <v/>
      </c>
      <c r="HP7" s="40" t="str">
        <f>IF(SUM(GT7,GX7,HB7)&gt;0,SUM(GT7,GX7,HB7),"")</f>
        <v/>
      </c>
      <c r="HQ7" s="40" t="str">
        <f>IF(SUM(HN7,HO7)&gt;0,SUM(HN7,HO7),"")</f>
        <v/>
      </c>
      <c r="HR7" s="40" t="str">
        <f>IF(SUM(HF7,HJ7)&gt;0,SUM(HF7,HJ7),"")</f>
        <v/>
      </c>
      <c r="HS7" s="40" t="str">
        <f>IF(SUM(HE7:HF7,HH7:HJ7,HL7)-SUM(HG7,HK7)&gt;0,SUM(HE7:HF7,HH7:HJ7,HL7)-SUM(HG7,HK7),"")</f>
        <v/>
      </c>
      <c r="HT7" s="40" t="str">
        <f>IF(SUM(HN7,HO7,HS7)&gt;0,SUM(HN7,HO7,HS7),"")</f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>IF(SUM(HV7,HZ7)&gt;0,SUM(HV7,HZ7),"")</f>
        <v/>
      </c>
      <c r="IP7" s="11" t="str">
        <f>IF(SUM(HU7:HV7,HX7:HZ7,IB7)-HW7-IA7&gt;0,SUM(HU7:HV7,HX7:HZ7,IB7)-HW7-IA7,"")</f>
        <v/>
      </c>
      <c r="IQ7" s="11" t="str">
        <f>IF(SUM(IC7:ID7,IF7)-IE7&gt;0,SUM(IC7:ID7,IF7)-IE7,"")</f>
        <v/>
      </c>
      <c r="IR7" s="11" t="str">
        <f>IF(SUM(HV7,HZ7,ID7)&gt;0,SUM(HV7,HZ7,ID7),"")</f>
        <v/>
      </c>
      <c r="IS7" s="11" t="str">
        <f>IF(SUM(IP7,IQ7)&gt;0,SUM(IP7,IQ7),"")</f>
        <v/>
      </c>
      <c r="IT7" s="11" t="str">
        <f>IF(SUM(IH7,IL7)&gt;0,SUM(IH7,IL7),"")</f>
        <v/>
      </c>
      <c r="IU7" s="11" t="str">
        <f>IF(SUM(IG7:IH7,IJ7:IL7,IN7)-SUM(II7,IM7)&gt;0,SUM(IG7:IH7,IJ7:IL7,IN7)-SUM(II7,IM7),"")</f>
        <v/>
      </c>
      <c r="IV7" s="11" t="str">
        <f>IF(SUM(IP7,IQ7,IU7)&gt;0,SUM(IP7,IQ7,IU7),"")</f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>IF(SUM(IX7,JB7)&gt;0,SUM(IX7,JB7),"")</f>
        <v/>
      </c>
      <c r="JR7" s="40" t="str">
        <f>IF(SUM(IW7:IX7,IZ7:JB7,JD7)-IY7-JC7&gt;0,SUM(IW7:IX7,IZ7:JB7,JD7)-IY7-JC7,"")</f>
        <v/>
      </c>
      <c r="JS7" s="40" t="str">
        <f>IF(SUM(JE7:JF7,JH7)-JG7&gt;0,SUM(JE7:JF7,JH7)-JG7,"")</f>
        <v/>
      </c>
      <c r="JT7" s="40" t="str">
        <f>IF(SUM(IX7,JB7,JF7)&gt;0,SUM(IX7,JB7,JF7),"")</f>
        <v/>
      </c>
      <c r="JU7" s="40" t="str">
        <f>IF(SUM(JR7,JS7)&gt;0,SUM(JR7,JS7),"")</f>
        <v/>
      </c>
      <c r="JV7" s="40" t="str">
        <f>IF(SUM(JJ7,JN7)&gt;0,SUM(JJ7,JN7),"")</f>
        <v/>
      </c>
      <c r="JW7" s="40" t="str">
        <f>IF(SUM(JI7:JJ7,JL7:JN7,JP7)-SUM(JK7,JO7)&gt;0,SUM(JI7:JJ7,JL7:JN7,JP7)-SUM(JK7,JO7),"")</f>
        <v/>
      </c>
      <c r="JX7" s="40" t="str">
        <f>IF(SUM(JR7,JS7,JW7)&gt;0,SUM(JR7,JS7,JW7),"")</f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>IF(SUM(JZ7,KD7)&gt;0,SUM(JZ7,KD7),"")</f>
        <v/>
      </c>
      <c r="KT7" s="11" t="str">
        <f>IF(SUM(JY7:JZ7,KB7:KD7,KF7)-KA7-KE7&gt;0,SUM(JY7:JZ7,KB7:KD7,KF7)-KA7-KE7,"")</f>
        <v/>
      </c>
      <c r="KU7" s="11" t="str">
        <f>IF(SUM(KG7:KH7,KJ7)-KI7&gt;0,SUM(KG7:KH7,KJ7)-KI7,"")</f>
        <v/>
      </c>
      <c r="KV7" s="11" t="str">
        <f>IF(SUM(JZ7,KD7,KH7)&gt;0,SUM(JZ7,KD7,KH7),"")</f>
        <v/>
      </c>
      <c r="KW7" s="11" t="str">
        <f>IF(SUM(KT7,KU7)&gt;0,SUM(KT7,KU7),"")</f>
        <v/>
      </c>
      <c r="KX7" s="11" t="str">
        <f>IF(SUM(KL7,KP7)&gt;0,SUM(KL7,KP7),"")</f>
        <v/>
      </c>
      <c r="KY7" s="11" t="str">
        <f>IF(SUM(KK7:KL7,KN7:KP7,KR7)-SUM(KM7,KQ7)&gt;0,SUM(KK7:KL7,KN7:KP7,KR7)-SUM(KM7,KQ7),"")</f>
        <v/>
      </c>
      <c r="KZ7" s="11" t="str">
        <f>IF(SUM(KT7,KU7,KY7)&gt;0,SUM(KT7,KU7,KY7),"")</f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>IF(SUM(LB7,LF7)&gt;0,SUM(LB7,LF7),"")</f>
        <v/>
      </c>
      <c r="LV7" s="40" t="str">
        <f>IF(SUM(LA7:LB7,LD7:LF7,LH7)-LC7-LG7&gt;0,SUM(LA7:LB7,LD7:LF7,LH7)-LC7-LG7,"")</f>
        <v/>
      </c>
      <c r="LW7" s="40" t="str">
        <f>IF(SUM(LI7:LJ7,LL7)-LK7&gt;0,SUM(LI7:LJ7,LL7)-LK7,"")</f>
        <v/>
      </c>
      <c r="LX7" s="40" t="str">
        <f>IF(SUM(LB7,LF7,LJ7)&gt;0,SUM(LB7,LF7,LJ7),"")</f>
        <v/>
      </c>
      <c r="LY7" s="40" t="str">
        <f>IF(SUM(LV7,LW7)&gt;0,SUM(LV7,LW7),"")</f>
        <v/>
      </c>
      <c r="LZ7" s="40" t="str">
        <f>IF(SUM(LN7,LR7)&gt;0,SUM(LN7,LR7),"")</f>
        <v/>
      </c>
      <c r="MA7" s="40" t="str">
        <f>IF(SUM(LM7:LN7,LP7:LR7,LT7)-SUM(LO7,LS7)&gt;0,SUM(LM7:LN7,LP7:LR7,LT7)-SUM(LO7,LS7),"")</f>
        <v/>
      </c>
      <c r="MB7" s="40" t="str">
        <f>IF(SUM(LV7,LW7,MA7)&gt;0,SUM(LV7,LW7,MA7),"")</f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>IF(SUM(MD7,MH7)&gt;0,SUM(MD7,MH7),"")</f>
        <v/>
      </c>
      <c r="MX7" s="11" t="str">
        <f>IF(SUM(MC7:MD7,MF7:MH7,MJ7)-ME7-MI7&gt;0,SUM(MC7:MD7,MF7:MH7,MJ7)-ME7-MI7,"")</f>
        <v/>
      </c>
      <c r="MY7" s="11" t="str">
        <f>IF(SUM(MK7:ML7,MN7)-MM7&gt;0,SUM(MK7:ML7,MN7)-MM7,"")</f>
        <v/>
      </c>
      <c r="MZ7" s="11" t="str">
        <f>IF(SUM(MD7,MH7,ML7)&gt;0,SUM(MD7,MH7,ML7),"")</f>
        <v/>
      </c>
      <c r="NA7" s="11" t="str">
        <f>IF(SUM(MX7,MY7)&gt;0,SUM(MX7,MY7),"")</f>
        <v/>
      </c>
      <c r="NB7" s="11" t="str">
        <f>IF(SUM(MP7,MT7)&gt;0,SUM(MP7,MT7),"")</f>
        <v/>
      </c>
      <c r="NC7" s="11" t="str">
        <f>IF(SUM(MO7:MP7,MR7:MT7,MV7)-SUM(MQ7,MU7)&gt;0,SUM(MO7:MP7,MR7:MT7,MV7)-SUM(MQ7,MU7),"")</f>
        <v/>
      </c>
      <c r="ND7" s="11" t="str">
        <f>IF(SUM(MX7,MY7,NC7)&gt;0,SUM(MX7,MY7,NC7),"")</f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>IF(SUM(NF7,NJ7)&gt;0,SUM(NF7,NJ7),"")</f>
        <v/>
      </c>
      <c r="NZ7" s="40" t="str">
        <f>IF(SUM(NE7:NF7,NH7:NJ7,NL7)-NG7-NK7&gt;0,SUM(NE7:NF7,NH7:NJ7,NL7)-NG7-NK7,"")</f>
        <v/>
      </c>
      <c r="OA7" s="40" t="str">
        <f>IF(SUM(NM7:NN7,NP7)-NO7&gt;0,SUM(NM7:NN7,NP7)-NO7,"")</f>
        <v/>
      </c>
      <c r="OB7" s="40" t="str">
        <f>IF(SUM(NF7,NJ7,NN7)&gt;0,SUM(NF7,NJ7,NN7),"")</f>
        <v/>
      </c>
      <c r="OC7" s="40" t="str">
        <f>IF(SUM(NZ7,OA7)&gt;0,SUM(NZ7,OA7),"")</f>
        <v/>
      </c>
      <c r="OD7" s="40" t="str">
        <f>IF(SUM(NR7,NV7)&gt;0,SUM(NR7,NV7),"")</f>
        <v/>
      </c>
      <c r="OE7" s="40" t="str">
        <f>IF(SUM(NQ7:NR7,NT7:NV7,NX7)-SUM(NS7,NW7)&gt;0,SUM(NQ7:NR7,NT7:NV7,NX7)-SUM(NS7,NW7),"")</f>
        <v/>
      </c>
      <c r="OF7" s="40" t="str">
        <f>IF(SUM(NZ7,OA7,OE7)&gt;0,SUM(NZ7,OA7,OE7),"")</f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>IF(SUM(OH7,OL7)&gt;0,SUM(OH7,OL7),"")</f>
        <v/>
      </c>
      <c r="PB7" s="11" t="str">
        <f>IF(SUM(OG7:OH7,OJ7:OL7,ON7)-OI7-OM7&gt;0,SUM(OG7:OH7,OJ7:OL7,ON7)-OI7-OM7,"")</f>
        <v/>
      </c>
      <c r="PC7" s="11" t="str">
        <f>IF(SUM(OO7:OP7,OR7)-OQ7&gt;0,SUM(OO7:OP7,OR7)-OQ7,"")</f>
        <v/>
      </c>
      <c r="PD7" s="11" t="str">
        <f>IF(SUM(OH7,OL7,OP7)&gt;0,SUM(OH7,OL7,OP7),"")</f>
        <v/>
      </c>
      <c r="PE7" s="11" t="str">
        <f>IF(SUM(PB7,PC7)&gt;0,SUM(PB7,PC7),"")</f>
        <v/>
      </c>
      <c r="PF7" s="11" t="str">
        <f>IF(SUM(OT7,OX7)&gt;0,SUM(OT7,OX7),"")</f>
        <v/>
      </c>
      <c r="PG7" s="11" t="str">
        <f>IF(SUM(OS7:OT7,OV7:OX7,OZ7)-SUM(OU7,OY7)&gt;0,SUM(OS7:OT7,OV7:OX7,OZ7)-SUM(OU7,OY7),"")</f>
        <v/>
      </c>
      <c r="PH7" s="11" t="str">
        <f>IF(SUM(PB7,PC7,PG7)&gt;0,SUM(PB7,PC7,PG7),"")</f>
        <v/>
      </c>
      <c r="PI7" s="22">
        <f>IF($PY7="P",BM7,(BM7+AQ7)/2)</f>
        <v>0</v>
      </c>
      <c r="PJ7" s="22">
        <f>IF($PY7="P",BN7,(BN7+AR7)/2)</f>
        <v>0</v>
      </c>
      <c r="PK7" s="22">
        <f>IF($PY7="P",BO7,(BO7+AS7)/2)</f>
        <v>0</v>
      </c>
      <c r="PL7" s="22">
        <f>IF($PY7="P",BP7,(BP7+AT7)/2)</f>
        <v>0</v>
      </c>
      <c r="PM7" s="22">
        <f>IF($PY7="P",BQ7,(BQ7+AU7)/2)</f>
        <v>0</v>
      </c>
      <c r="PN7" s="22">
        <f>IF($PY7="P",BR7,(BR7+AV7)/2)</f>
        <v>0</v>
      </c>
      <c r="PO7" s="22">
        <f>IF($PY7="P",BS7,(BS7+AW7)/2)</f>
        <v>0</v>
      </c>
      <c r="PP7" s="22">
        <f>IF($PY7="P",BT7,(BT7+AX7)/2)</f>
        <v>0</v>
      </c>
      <c r="PQ7" s="22">
        <f>IF($PY7="P",BU7,(BU7+AY7)/2)</f>
        <v>0</v>
      </c>
      <c r="PR7" s="22">
        <f>IF($PY7="P",BV7,(BV7+AZ7)/2)</f>
        <v>0</v>
      </c>
      <c r="PS7" s="22">
        <f>IF($PY7="P",BW7,(BW7+BA7)/2)</f>
        <v>0</v>
      </c>
      <c r="PT7" s="22">
        <f>IF($PY7="P",BX7,(BX7+BB7)/2)</f>
        <v>0</v>
      </c>
      <c r="PU7" s="22">
        <f>IF($PY7="P",BY7,(BY7+BC7)/2)</f>
        <v>0</v>
      </c>
      <c r="PV7" s="22">
        <f>IF($PY7="P",BZ7,(BZ7+BD7)/2)</f>
        <v>0</v>
      </c>
      <c r="PW7" s="22">
        <f>IF($PY7="P",CA7,(CA7+BE7)/2)</f>
        <v>0</v>
      </c>
      <c r="PX7" s="22">
        <f>IF($PY7="P",CB7,(CB7+BF7)/2)</f>
        <v>0</v>
      </c>
      <c r="PY7" s="27" t="s">
        <v>46</v>
      </c>
      <c r="PZ7" s="40" t="str">
        <f>IF(SUM(PJ7,PN7)&gt;0,SUM(PJ7,PN7),"")</f>
        <v/>
      </c>
      <c r="QA7" s="40" t="str">
        <f>IF(SUM(PI7:PJ7,PL7:PN7,PP7)-PK7-PO7&gt;0,SUM(PI7:PJ7,PL7:PN7,PP7)-PK7-PO7,"")</f>
        <v/>
      </c>
      <c r="QB7" s="40" t="str">
        <f>IF(SUM(PR7,PV7)&gt;0,SUM(PR7,PV7),"")</f>
        <v/>
      </c>
      <c r="QC7" s="40" t="str">
        <f>IF(SUM(PQ7:PR7,PT7:PV7,PX7)-SUM(PS7,PW7)&gt;0,SUM(PQ7:PR7,PT7:PV7,PX7)-SUM(PS7,PW7),"")</f>
        <v/>
      </c>
      <c r="QD7" s="40" t="str">
        <f>IF(SUM(QA7,QC7)&gt;0,SUM(QA7,QC7),"")</f>
        <v/>
      </c>
    </row>
    <row r="8" spans="1:446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181</v>
      </c>
      <c r="D8" s="4" t="s">
        <v>5</v>
      </c>
      <c r="E8" s="4">
        <v>2008</v>
      </c>
      <c r="F8" s="9">
        <f>SUM(L8:R8)+SUM(L8:O8)*0.0000001+SUM(L8)*0.0000000000001</f>
        <v>143.70000940000472</v>
      </c>
      <c r="G8" s="64"/>
      <c r="H8" s="3" t="str">
        <f>IF(OR(AND(AL8&gt;=AP$36,AM8&gt;=AP$40,AL8&lt;&gt;"",AK8=""),AND(AN8&gt;=AP$36,AO8&gt;=AP$40,AN8&lt;&gt;"",AK8=""),AND(BH8&gt;=BL$36,BI8&gt;=BL$40,BH8&lt;&gt;"",BG8=""),AND(BJ8&gt;=BL$36,BK8&gt;=BL$40,BJ8&lt;&gt;"",BG8=""),AND(CD8&gt;=CH$36,CE8&gt;=CH$40,CD8&lt;&gt;"",CC8=""),AND(CF8&gt;=CH$36,CG8&gt;=CH$40,CF8&lt;&gt;""),AND(DE8&gt;=DL$36,DF8&gt;=DL$40,DE8&lt;&gt;""),AND(DJ8&gt;=DL$36,DK8&gt;=DL$40,DJ8&lt;&gt;""),AND(EG8&gt;=EN$36,EH8&gt;=EN$40,EG8&lt;&gt;""),AND(EL8&gt;=EN$36,EM8&gt;=EN$40,EL8&lt;&gt;""),AND(FI8&gt;=FP$36,FJ8&gt;=FP$40,FI8&lt;&gt;""),AND(FN8&gt;=FP$36,FO8&gt;=FP$40,FN8&lt;&gt;""),AND(GK8&gt;=GR$36,GL8&gt;=GR$40,GK8&lt;&gt;""),AND(GP8&gt;=GR$36,GQ8&gt;=GR$40,GP8&lt;&gt;""),AND(HM8&gt;=HT$36,HN8&gt;=HT$40,HM8&lt;&gt;""),AND(HR8&gt;=HT$36,HS8&gt;=HT$40,HR8&lt;&gt;""),AND(IO8&gt;=IV$36,IP8&gt;=IV$40,IO8&lt;&gt;""),AND(IT8&gt;=IV$36,IU8&gt;=IV$40,IT8&lt;&gt;""),AND(JQ8&gt;=JX$36,JR8&gt;=JX$40,JQ8&lt;&gt;""),AND(JV8&gt;=JX$36,JW8&gt;=JX$40,JV8&lt;&gt;""),AND(KS8&gt;=KZ$36,KT8&gt;=KZ$40,KS8&lt;&gt;""),AND(KX8&gt;=KZ$36,KY8&gt;=KZ$40,KX8&lt;&gt;""),AND(LU8&gt;=MB$36,LV8&gt;=MB$40,LU8&lt;&gt;""),AND(LZ8&gt;=MB$36,MA8&gt;=MB$40,LZ8&lt;&gt;""),AND(MW8&gt;=ND$36,MX8&gt;=ND$40,MW8&lt;&gt;""),AND(NB8&gt;=ND$36,NC8&gt;=ND$40,NB8&lt;&gt;""),AND(NY8&gt;=OF$36,NZ8&gt;=OF$40,NY8&lt;&gt;""),AND(OD8&gt;=OF$36,OE8&gt;=OF$40,OD8&lt;&gt;""),AND(PA8&gt;=PH$36,PB8&gt;=PH$40,PA8&lt;&gt;""),AND(PF8&gt;=PH$36,PG8&gt;=PH$40,PF8&lt;&gt;"")),"P","")</f>
        <v>P</v>
      </c>
      <c r="I8" s="3" t="str">
        <f>IF(OR(AND(AM8&gt;=AP$40,AM8&lt;&gt;"",AK8=""),AND(AO8&gt;=AP$40,AO8&lt;&gt;"",AK8=""),AND(BI8&gt;=BL$40,BI8&lt;&gt;"",BG8=""),AND(BK8&gt;=BL$40,BK8&lt;&gt;"",BG8=""),AND(CE8&gt;=CH$40,CE8&lt;&gt;"",CC8=""),AND(CG8&gt;=CH$40,CG8&lt;&gt;"",CC8=""),AND(DF8&gt;=DL$40,DF8&lt;&gt;""),AND(DK8&gt;=DL$40,DK8&lt;&gt;""),AND(EH8&gt;=EN$40,EH8&lt;&gt;""),AND(EM8&gt;=EN$40,EM8&lt;&gt;""),AND(FJ8&gt;=FP$40,FJ8&lt;&gt;""),AND(FO8&gt;=FP$40,FO8&lt;&gt;""),AND(GL8&gt;=GR$40,GL8&lt;&gt;""),AND(GQ8&gt;=GR$40,GQ8&lt;&gt;""),AND(HN8&gt;=HT$40,HN8&lt;&gt;""),AND(HS8&gt;=HT$40,HS8&lt;&gt;""),AND(IP8&gt;=IV$40,IP8&lt;&gt;""),AND(IU8&gt;=IV$40,IU8&lt;&gt;""),AND(JR8&gt;=JX$40,JR8&lt;&gt;""),AND(JW8&gt;=JX$40,JW8&lt;&gt;""),AND(KT8&gt;=KZ$40,KT8&lt;&gt;""),AND(KY8&gt;=KZ$40,KY8&lt;&gt;""),AND(LV8&gt;=MB$40,LV8&lt;&gt;""),AND(MA8&gt;=MB$40,MA8&lt;&gt;""),AND(MX8&gt;=ND$40,MX8&lt;&gt;""),AND(NC8&gt;=ND$40,NC8&lt;&gt;""),AND(NZ8&gt;=OF$40,NZ8&lt;&gt;""),AND(OE8&gt;=OF$40,OE8&lt;&gt;""),AND(PB8&gt;=PH$40,PB8&lt;&gt;""),AND(PG8&gt;=PH$40,PG8&lt;&gt;"")),"P","")</f>
        <v>P</v>
      </c>
      <c r="J8" s="36" t="str">
        <f>IF(AND(I8="P",H8=""),"No DD",IF(OR(AND(AL8&gt;=AP$26,AM8&gt;=AP$30,AL8&lt;&gt;"",AK8=""),AND(BH8&gt;=BL$26,BI8&gt;=BL$30,BH8&lt;&gt;"",BG8=""),AND(CD8&gt;=CH$26,CE8&gt;=CH$30,CD8&lt;&gt;"",CC8=""),AND(DH8&gt;=DL$26,DI8&gt;=DL$30,DH8&lt;&gt;""),AND(EJ8&gt;=EN$26,EK8&gt;=EN$30,EJ8&lt;&gt;""),AND(FL8&gt;=FP$26,FM8&gt;=FP$30,FL8&lt;&gt;""),AND(GN8&gt;=GR$26,GO8&gt;=GR$30,GN8&lt;&gt;""),AND(HP8&gt;=HT$26,HQ8&gt;=HT$30,HP8&lt;&gt;""),AND(IR8&gt;=IV$26,IS8&gt;=IV$30,IR8&lt;&gt;""),AND(JT8&gt;=JX$26,JU8&gt;=JX$30,JT8&lt;&gt;""),AND(KV8&gt;=KZ$26,KW8&gt;=KZ$30,KV8&lt;&gt;""),AND(LX8&gt;=MB$26,LY8&gt;=MB$30,LX8&lt;&gt;""),AND(MZ8&gt;=ND$26,NA8&gt;=ND$30,MZ8&lt;&gt;""),AND(OB8&gt;=OF$26,OC8&gt;=OF$30,OB8&lt;&gt;""),AND(PD8&gt;=PH$26,PE8&gt;=PH$30,PD8&lt;&gt;"")),"Merit",IF(OR(AND(AL8&gt;=AP$25,AM8&gt;=AP$29,AL8&lt;&gt;"",AK8=""),AND(BH8&gt;=BL$25,BI8&gt;=BL$29,BH8&lt;&gt;"",BG8=""),AND(CD8&gt;=CH$25,CE8&gt;=CH$29,CD8&lt;&gt;"",CC8=""),AND(DH8&gt;=DL$25,DI8&gt;=DL$29,DH8&lt;&gt;""),AND(EJ8&gt;=EN$25,EK8&gt;=EN$29,EJ8&lt;&gt;""),AND(FL8&gt;=FP$25,FM8&gt;=FP$29,FL8&lt;&gt;""),AND(GN8&gt;=GR$25,GO8&gt;=GR$29,GN8&lt;&gt;""),AND(HP8&gt;=HT$25,HQ8&gt;=HT$29,HP8&lt;&gt;""),AND(IR8&gt;=IV$25,IS8&gt;=IV$29,IR8&lt;&gt;""),AND(JT8&gt;=JX$25,JU8&gt;=JX$29,JT8&lt;&gt;""),AND(KV8&gt;=KZ$25,KW8&gt;=KZ$29,KV8&lt;&gt;""),AND(LX8&gt;=MB$25,LY8&gt;=MB$29,LX8&lt;&gt;""),AND(MZ8&gt;=ND$25,NA8&gt;=ND$29,MZ8&lt;&gt;""),AND(OB8&gt;=OF$25,OC8&gt;=OF$29,OB8&lt;&gt;""),AND(PD8&gt;=PH$25,PE8&gt;=PH$29,PD8&lt;&gt;"")),"Excellence",IF(K8="P","Worlds Team",IF(H8="P","National Team","")))))</f>
        <v>National Team</v>
      </c>
      <c r="K8" s="3" t="str">
        <f>IF(OR(AND(AL8&gt;=AP$24,AM8&gt;=AP$28,AL8&lt;&gt;"",AK8=""),AND(BH8&gt;=BL$24,BI8&gt;=BL$28,BH8&lt;&gt;"",BG8=""),AND(CD8&gt;=CH$24,CE8&gt;=CH$28,CD8&lt;&gt;"",CC8=""),AND(DH8&gt;=DL$24,DI8&gt;=DL$28,DH8&lt;&gt;""),AND(EJ8&gt;=EN$24,EK8&gt;=EN$28,EJ8&lt;&gt;""),AND(FL8&gt;=FP$24,FM8&gt;=FP$28,FL8&lt;&gt;""),AND(GN8&gt;=GR$24,GO8&gt;=GR$28,GN8&lt;&gt;""),AND(HP8&gt;=HT$24,HQ8&gt;=HT$28,HP8&lt;&gt;""),AND(IR8&gt;=IV$24,IS8&gt;=IV$28,IR8&lt;&gt;""),AND(JT8&gt;=JX$24,JU8&gt;=JX$28,JT8&lt;&gt;""),AND(KV8&gt;=KZ$24,KW8&gt;=KZ$28,KV8&lt;&gt;""),AND(LX8&gt;=MB$24,LY8&gt;=MB$28,LX8&lt;&gt;""),AND(MZ8&gt;=ND$24,NA8&gt;=ND$28,MZ8&lt;&gt;""),AND(OB8&gt;=OF$24,OC8&gt;=OF$28,OB8&lt;&gt;""),AND(PD8&gt;=PH$24,PE8&gt;=PH$28,PD8&lt;&gt;"")),"P","")</f>
        <v/>
      </c>
      <c r="L8" s="8">
        <f>IF(COUNT(AM8,BI8,CE8)&gt;0,LARGE((AM8,BI8,CE8),1),0)</f>
        <v>47.2</v>
      </c>
      <c r="M8" s="8" t="str">
        <f>IF(L8=0,"",IF(L8=CE8,$BM$1,IF(L8=BI8,$AQ$1,IF(L8=AM8,$U$1,""))))</f>
        <v>2025 Elite Canada</v>
      </c>
      <c r="N8" s="8">
        <f>IF(COUNT(AM8,BI8,CE8)&gt;1,LARGE((AM8,BI8,CE8),2),0)</f>
        <v>46.8</v>
      </c>
      <c r="O8" s="8" t="str">
        <f>IF(N8=0,"",IF(AND(N8=L8,N8=AM8,N8=BI8),$U$1,IF(AND(N8=L8,N8=AM8,N8=CE8),$U$1,IF(AND(N8=L8,N8=BI8,N8=CE8),$AQ$1,IF(N8=CE8,$BM$1,IF(N8=BI8,$AQ$1,IF(N8=AM8,$U$1,"")))))))</f>
        <v>2025 Nationals</v>
      </c>
      <c r="P8" s="8">
        <f>IF(MAX(AO8,BK8,CG8)&gt;0,MAX(AO8,BK8,CG8),0)</f>
        <v>47.6</v>
      </c>
      <c r="Q8" s="8" t="str">
        <f>IF(P8=0,"",IF(P8=CG8,$BM$1,IF(P8=BK8,$AQ$1,IF(P8=AO8,$U$1,""))))</f>
        <v>2025 Nationals</v>
      </c>
      <c r="R8" s="8">
        <f>IF(MAX(CI8:CJ8)&gt;0,MAX(CI8:CJ8),"")</f>
        <v>2.1000000000000014</v>
      </c>
      <c r="S8" s="11" t="str">
        <f>IF(R8="","",IF(R8=CI8,"("&amp;CI$2&amp;")",IF(R8=CJ8,"("&amp;CJ$2&amp;")")))</f>
        <v>(Q1)</v>
      </c>
      <c r="T8" s="8" t="str">
        <f>IF(R8="","",IF(R8=CI8,IF(R8+IF(N8="",0,N8)=PB8,$OG$1,IF(R8+IF(N8="",0,N8)=NZ8,$NE$1,IF(R8+IF(N8="",0,N8)=MX8,$MC$1,IF(R8+IF(N8="",0,N8)=LV8,$LA$1,IF(R8+IF(N8="",0,N8)=KT8,$JY$1,IF(R8+IF(N8="",0,N8)=JR8,$IW$1,IF(R8+IF(N8="",0,N8)=IP8,$HU$1,IF(R8+IF(N8="",0,N8)=HN8,$GS$1,IF(R8+IF(N8="",0,N8)=GL8,$FQ$1,IF(R8+IF(N8="",0,N8)=FJ8,$EO$1,IF(R8+IF(N8="",0,N8)=EH8,$DM$1,IF(R8+IF(N8="",0,N8)=DF8,$CK$1)))))))))))),IF(R8=CJ8,IF(R8+IF(P8="",0,P8)=PG8,$OG$1,IF(R8+IF(P8="",0,P8)=OE8,$NE$1,IF(R8+IF(P8="",0,P8)=NC8,$MC$1,IF(R8+IF(P8="",0,P8)=MA8,$LA$1,IF(R8+IF(P8="",0,P8)=KY8,$JY$1,IF(R8+IF(P8="",0,P8)=JW8,$IW$1,IF(R8+IF(P8="",0,P8)=IU8,$HU$1,IF(R8+IF(P8="",0,P8)=HS8,$GS$1,IF(R8+IF(P8="",0,P8)=GQ8,$FQ$1,IF(R8+IF(P8="",0,P8)=FO8,$EO$1,IF(R8+IF(P8="",0,P8)=EM8,$DM$1,IF(R8+IF(P8="",0,P8)=DK8,$CK$1)))))))))))))))</f>
        <v>2025 WAGC (Nov 16)</v>
      </c>
      <c r="U8" s="19">
        <v>18.600000000000001</v>
      </c>
      <c r="V8" s="19">
        <v>5.2</v>
      </c>
      <c r="W8" s="19">
        <v>0</v>
      </c>
      <c r="X8" s="19">
        <v>0</v>
      </c>
      <c r="Y8" s="19">
        <v>18.2</v>
      </c>
      <c r="Z8" s="19">
        <v>5.2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27"/>
      <c r="AL8" s="40">
        <f>IF(SUM(V8,Z8)&gt;0,SUM(V8,Z8),"")</f>
        <v>10.4</v>
      </c>
      <c r="AM8" s="40">
        <f>IF(SUM(U8:V8,X8:Z8,AB8)-W8-AA8&gt;0,SUM(U8:V8,X8:Z8,AB8)-W8-AA8,"")</f>
        <v>47.2</v>
      </c>
      <c r="AN8" s="40" t="str">
        <f>IF(SUM(AD8,AH8)&gt;0,SUM(AD8,AH8),"")</f>
        <v/>
      </c>
      <c r="AO8" s="40" t="str">
        <f>IF(SUM(AC8:AD8,AF8:AH8,AJ8)-SUM(AE8,AI8)&gt;0,SUM(AC8:AD8,AF8:AH8,AJ8)-SUM(AE8,AI8),"")</f>
        <v/>
      </c>
      <c r="AP8" s="40">
        <f>IF(SUM(AM8,AO8)&gt;0,SUM(AM8,AO8),"")</f>
        <v>47.2</v>
      </c>
      <c r="AQ8" s="18">
        <v>18.100000000000001</v>
      </c>
      <c r="AR8" s="18">
        <v>5.2</v>
      </c>
      <c r="AS8" s="18">
        <v>0.2</v>
      </c>
      <c r="AT8" s="18">
        <v>0</v>
      </c>
      <c r="AU8" s="18">
        <v>18.3</v>
      </c>
      <c r="AV8" s="18">
        <v>5.6</v>
      </c>
      <c r="AW8" s="18">
        <v>0.2</v>
      </c>
      <c r="AX8" s="18">
        <v>0</v>
      </c>
      <c r="AY8" s="18">
        <v>18.2</v>
      </c>
      <c r="AZ8" s="18">
        <v>6</v>
      </c>
      <c r="BA8" s="18">
        <v>0.6</v>
      </c>
      <c r="BB8" s="18">
        <v>0</v>
      </c>
      <c r="BC8" s="18">
        <v>18.600000000000001</v>
      </c>
      <c r="BD8" s="18">
        <v>5.6</v>
      </c>
      <c r="BE8" s="18">
        <v>0.2</v>
      </c>
      <c r="BF8" s="18">
        <v>0</v>
      </c>
      <c r="BG8" s="28"/>
      <c r="BH8" s="11">
        <f>IF(SUM(AR8,AV8)&gt;0,SUM(AR8,AV8),"")</f>
        <v>10.8</v>
      </c>
      <c r="BI8" s="11">
        <f>IF(SUM(AQ8:AR8,AT8:AV8,AX8)-AS8-AW8&gt;0,SUM(AQ8:AR8,AT8:AV8,AX8)-AS8-AW8,"")</f>
        <v>46.8</v>
      </c>
      <c r="BJ8" s="11">
        <f>IF(SUM(AZ8,BD8)&gt;0,SUM(AZ8,BD8),"")</f>
        <v>11.6</v>
      </c>
      <c r="BK8" s="11">
        <f>IF(SUM(AY8:AZ8,BB8:BD8,BF8)-SUM(BA8,BE8)&gt;0,SUM(AY8:AZ8,BB8:BD8,BF8)-SUM(BA8,BE8),"")</f>
        <v>47.6</v>
      </c>
      <c r="BL8" s="11">
        <f>IF(SUM(BI8,BK8)&gt;0,SUM(BI8,BK8),"")</f>
        <v>94.4</v>
      </c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27"/>
      <c r="CD8" s="40" t="str">
        <f>IF(SUM(BN8,BR8)&gt;0,SUM(BN8,BR8),"")</f>
        <v/>
      </c>
      <c r="CE8" s="40" t="str">
        <f>IF(SUM(BM8:BN8,BP8:BR8,BT8)-BO8-BS8&gt;0,SUM(BM8:BN8,BP8:BR8,BT8)-BO8-BS8,"")</f>
        <v/>
      </c>
      <c r="CF8" s="40" t="str">
        <f>IF(SUM(BV8,BZ8)&gt;0,SUM(BV8,BZ8),"")</f>
        <v/>
      </c>
      <c r="CG8" s="40" t="str">
        <f>IF(SUM(BU8:BV8,BX8:BZ8,CB8)-SUM(BW8,CA8)&gt;0,SUM(BU8:BV8,BX8:BZ8,CB8)-SUM(BW8,CA8),"")</f>
        <v/>
      </c>
      <c r="CH8" s="40" t="str">
        <f>IF(SUM(CE8,CG8)&gt;0,SUM(CE8,CG8),"")</f>
        <v/>
      </c>
      <c r="CI8" s="50">
        <f>IF(MAX(DF8,EH8,FJ8,GL8,HN8,IP8,JR8,KT8,LV8,MX8,NZ8,PB8)-IF(N8="",0,N8)&gt;0.001,MAX(DF8,EH8,FJ8,GL8,HN8,IP8,JR8,KT8,LV8,MX8,NZ8,PB8)-IF(N8="",0,N8),"")</f>
        <v>2.1000000000000014</v>
      </c>
      <c r="CJ8" s="50" t="str">
        <f>IF(MAX(DK8,EM8,FO8,GQ8,HS8,IU8,JW8,KY8,MA8,NC8,OE8,PG8)-IF(P8="",0,P8)&gt;0.001,MAX(DK8,EM8,FO8,GQ8,HS8,IU8,JW8,KY8,MA8,NC8,OE8,PG8)-IF(P8="",0,P8),"")</f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>IF(SUM(CL8,CP8)&gt;0,SUM(CL8,CP8),"")</f>
        <v/>
      </c>
      <c r="DF8" s="40" t="str">
        <f>IF(SUM(CK8:CL8,CN8:CP8,CR8)-CM8-CQ8&gt;0,SUM(CK8:CL8,CN8:CP8,CR8)-CM8-CQ8,"")</f>
        <v/>
      </c>
      <c r="DG8" s="40" t="str">
        <f>IF(SUM(CS8:CT8,CV8)-CU8&gt;0,SUM(CS8:CT8,CV8)-CU8,"")</f>
        <v/>
      </c>
      <c r="DH8" s="40" t="str">
        <f>IF(SUM(CL8,CP8,CT8)&gt;0,SUM(CL8,CP8,CT8),"")</f>
        <v/>
      </c>
      <c r="DI8" s="40" t="str">
        <f>IF(SUM(DF8,DG8)&gt;0,SUM(DF8,DG8),"")</f>
        <v/>
      </c>
      <c r="DJ8" s="40" t="str">
        <f>IF(SUM(CX8,DB8)&gt;0,SUM(CX8,DB8),"")</f>
        <v/>
      </c>
      <c r="DK8" s="40" t="str">
        <f>IF(SUM(CW8:CX8,CZ8:DB8,DD8)-SUM(CY8,DC8)&gt;0,SUM(CW8:CX8,CZ8:DB8,DD8)-SUM(CY8,DC8),"")</f>
        <v/>
      </c>
      <c r="DL8" s="40" t="str">
        <f>IF(SUM(DF8,DG8,DK8)&gt;0,SUM(DF8,DG8,DK8),"")</f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>IF(SUM(DN8,DR8)&gt;0,SUM(DN8,DR8),"")</f>
        <v/>
      </c>
      <c r="EH8" s="11" t="str">
        <f>IF(SUM(DM8:DN8,DP8:DR8,DT8)-DO8-DS8&gt;0,SUM(DM8:DN8,DP8:DR8,DT8)-DO8-DS8,"")</f>
        <v/>
      </c>
      <c r="EI8" s="11" t="str">
        <f>IF(SUM(DU8:DV8,DX8)-DW8&gt;0,SUM(DU8:DV8,DX8)-DW8,"")</f>
        <v/>
      </c>
      <c r="EJ8" s="11" t="str">
        <f>IF(SUM(DN8,DR8,DV8)&gt;0,SUM(DN8,DR8,DV8),"")</f>
        <v/>
      </c>
      <c r="EK8" s="11" t="str">
        <f>IF(SUM(EH8,EI8)&gt;0,SUM(EH8,EI8),"")</f>
        <v/>
      </c>
      <c r="EL8" s="11" t="str">
        <f>IF(SUM(DZ8,ED8)&gt;0,SUM(DZ8,ED8),"")</f>
        <v/>
      </c>
      <c r="EM8" s="11" t="str">
        <f>IF(SUM(DY8:DZ8,EB8:ED8,EF8)-SUM(EA8,EE8)&gt;0,SUM(DY8:DZ8,EB8:ED8,EF8)-SUM(EA8,EE8),"")</f>
        <v/>
      </c>
      <c r="EN8" s="11" t="str">
        <f>IF(SUM(EH8,EI8,EM8)&gt;0,SUM(EH8,EI8,EM8),"")</f>
        <v/>
      </c>
      <c r="EO8" s="17">
        <v>18.8</v>
      </c>
      <c r="EP8" s="17">
        <v>5.6</v>
      </c>
      <c r="EQ8" s="17">
        <v>0</v>
      </c>
      <c r="ER8" s="17">
        <v>0</v>
      </c>
      <c r="ES8" s="17">
        <v>18.5</v>
      </c>
      <c r="ET8" s="17">
        <v>6</v>
      </c>
      <c r="EU8" s="17">
        <v>0</v>
      </c>
      <c r="EV8" s="17">
        <v>0</v>
      </c>
      <c r="EW8" s="17"/>
      <c r="EX8" s="17"/>
      <c r="EY8" s="17"/>
      <c r="EZ8" s="17"/>
      <c r="FA8" s="17">
        <v>18.3</v>
      </c>
      <c r="FB8" s="17">
        <v>6</v>
      </c>
      <c r="FC8" s="17">
        <v>0.2</v>
      </c>
      <c r="FD8" s="17">
        <v>0</v>
      </c>
      <c r="FE8" s="17"/>
      <c r="FF8" s="17"/>
      <c r="FG8" s="17"/>
      <c r="FH8" s="17"/>
      <c r="FI8" s="40">
        <f>IF(SUM(EP8,ET8)&gt;0,SUM(EP8,ET8),"")</f>
        <v>11.6</v>
      </c>
      <c r="FJ8" s="40">
        <f>IF(SUM(EO8:EP8,ER8:ET8,EV8)-EQ8-EU8&gt;0,SUM(EO8:EP8,ER8:ET8,EV8)-EQ8-EU8,"")</f>
        <v>48.9</v>
      </c>
      <c r="FK8" s="40" t="str">
        <f>IF(SUM(EW8:EX8,EZ8)-EY8&gt;0,SUM(EW8:EX8,EZ8)-EY8,"")</f>
        <v/>
      </c>
      <c r="FL8" s="40">
        <f>IF(SUM(EP8,ET8,EX8)&gt;0,SUM(EP8,ET8,EX8),"")</f>
        <v>11.6</v>
      </c>
      <c r="FM8" s="40">
        <f>IF(SUM(FJ8,FK8)&gt;0,SUM(FJ8,FK8),"")</f>
        <v>48.9</v>
      </c>
      <c r="FN8" s="40">
        <f>IF(SUM(FB8,FF8)&gt;0,SUM(FB8,FF8),"")</f>
        <v>6</v>
      </c>
      <c r="FO8" s="40">
        <f>IF(SUM(FA8:FB8,FD8:FF8,FH8)-SUM(FC8,FG8)&gt;0,SUM(FA8:FB8,FD8:FF8,FH8)-SUM(FC8,FG8),"")</f>
        <v>24.1</v>
      </c>
      <c r="FP8" s="40">
        <f>IF(SUM(FJ8,FK8,FO8)&gt;0,SUM(FJ8,FK8,FO8),"")</f>
        <v>73</v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>IF(SUM(FR8,FV8)&gt;0,SUM(FR8,FV8),"")</f>
        <v/>
      </c>
      <c r="GL8" s="11" t="str">
        <f>IF(SUM(FQ8:FR8,FT8:FV8,FX8)-FS8-FW8&gt;0,SUM(FQ8:FR8,FT8:FV8,FX8)-FS8-FW8,"")</f>
        <v/>
      </c>
      <c r="GM8" s="11" t="str">
        <f>IF(SUM(FY8:FZ8,GB8)-GA8&gt;0,SUM(FY8:FZ8,GB8)-GA8,"")</f>
        <v/>
      </c>
      <c r="GN8" s="11" t="str">
        <f>IF(SUM(FR8,FV8,FZ8)&gt;0,SUM(FR8,FV8,FZ8),"")</f>
        <v/>
      </c>
      <c r="GO8" s="11" t="str">
        <f>IF(SUM(GL8,GM8)&gt;0,SUM(GL8,GM8),"")</f>
        <v/>
      </c>
      <c r="GP8" s="11" t="str">
        <f>IF(SUM(GD8,GH8)&gt;0,SUM(GD8,GH8),"")</f>
        <v/>
      </c>
      <c r="GQ8" s="11" t="str">
        <f>IF(SUM(GC8:GD8,GF8:GH8,GJ8)-SUM(GE8,GI8)&gt;0,SUM(GC8:GD8,GF8:GH8,GJ8)-SUM(GE8,GI8),"")</f>
        <v/>
      </c>
      <c r="GR8" s="11" t="str">
        <f>IF(SUM(GL8,GM8,GQ8)&gt;0,SUM(GL8,GM8,GQ8),"")</f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>IF(SUM(GT8,GX8)&gt;0,SUM(GT8,GX8),"")</f>
        <v/>
      </c>
      <c r="HN8" s="40" t="str">
        <f>IF(SUM(GS8:GT8,GV8:GX8,GZ8)-GU8-GY8&gt;0,SUM(GS8:GT8,GV8:GX8,GZ8)-GU8-GY8,"")</f>
        <v/>
      </c>
      <c r="HO8" s="40" t="str">
        <f>IF(SUM(HA8:HB8,HD8)-HC8&gt;0,SUM(HA8:HB8,HD8)-HC8,"")</f>
        <v/>
      </c>
      <c r="HP8" s="40" t="str">
        <f>IF(SUM(GT8,GX8,HB8)&gt;0,SUM(GT8,GX8,HB8),"")</f>
        <v/>
      </c>
      <c r="HQ8" s="40" t="str">
        <f>IF(SUM(HN8,HO8)&gt;0,SUM(HN8,HO8),"")</f>
        <v/>
      </c>
      <c r="HR8" s="40" t="str">
        <f>IF(SUM(HF8,HJ8)&gt;0,SUM(HF8,HJ8),"")</f>
        <v/>
      </c>
      <c r="HS8" s="40" t="str">
        <f>IF(SUM(HE8:HF8,HH8:HJ8,HL8)-SUM(HG8,HK8)&gt;0,SUM(HE8:HF8,HH8:HJ8,HL8)-SUM(HG8,HK8),"")</f>
        <v/>
      </c>
      <c r="HT8" s="40" t="str">
        <f>IF(SUM(HN8,HO8,HS8)&gt;0,SUM(HN8,HO8,HS8),"")</f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>IF(SUM(HV8,HZ8)&gt;0,SUM(HV8,HZ8),"")</f>
        <v/>
      </c>
      <c r="IP8" s="11" t="str">
        <f>IF(SUM(HU8:HV8,HX8:HZ8,IB8)-HW8-IA8&gt;0,SUM(HU8:HV8,HX8:HZ8,IB8)-HW8-IA8,"")</f>
        <v/>
      </c>
      <c r="IQ8" s="11" t="str">
        <f>IF(SUM(IC8:ID8,IF8)-IE8&gt;0,SUM(IC8:ID8,IF8)-IE8,"")</f>
        <v/>
      </c>
      <c r="IR8" s="11" t="str">
        <f>IF(SUM(HV8,HZ8,ID8)&gt;0,SUM(HV8,HZ8,ID8),"")</f>
        <v/>
      </c>
      <c r="IS8" s="11" t="str">
        <f>IF(SUM(IP8,IQ8)&gt;0,SUM(IP8,IQ8),"")</f>
        <v/>
      </c>
      <c r="IT8" s="11" t="str">
        <f>IF(SUM(IH8,IL8)&gt;0,SUM(IH8,IL8),"")</f>
        <v/>
      </c>
      <c r="IU8" s="11" t="str">
        <f>IF(SUM(IG8:IH8,IJ8:IL8,IN8)-SUM(II8,IM8)&gt;0,SUM(IG8:IH8,IJ8:IL8,IN8)-SUM(II8,IM8),"")</f>
        <v/>
      </c>
      <c r="IV8" s="11" t="str">
        <f>IF(SUM(IP8,IQ8,IU8)&gt;0,SUM(IP8,IQ8,IU8),"")</f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>IF(SUM(IX8,JB8)&gt;0,SUM(IX8,JB8),"")</f>
        <v/>
      </c>
      <c r="JR8" s="40" t="str">
        <f>IF(SUM(IW8:IX8,IZ8:JB8,JD8)-IY8-JC8&gt;0,SUM(IW8:IX8,IZ8:JB8,JD8)-IY8-JC8,"")</f>
        <v/>
      </c>
      <c r="JS8" s="40" t="str">
        <f>IF(SUM(JE8:JF8,JH8)-JG8&gt;0,SUM(JE8:JF8,JH8)-JG8,"")</f>
        <v/>
      </c>
      <c r="JT8" s="40" t="str">
        <f>IF(SUM(IX8,JB8,JF8)&gt;0,SUM(IX8,JB8,JF8),"")</f>
        <v/>
      </c>
      <c r="JU8" s="40" t="str">
        <f>IF(SUM(JR8,JS8)&gt;0,SUM(JR8,JS8),"")</f>
        <v/>
      </c>
      <c r="JV8" s="40" t="str">
        <f>IF(SUM(JJ8,JN8)&gt;0,SUM(JJ8,JN8),"")</f>
        <v/>
      </c>
      <c r="JW8" s="40" t="str">
        <f>IF(SUM(JI8:JJ8,JL8:JN8,JP8)-SUM(JK8,JO8)&gt;0,SUM(JI8:JJ8,JL8:JN8,JP8)-SUM(JK8,JO8),"")</f>
        <v/>
      </c>
      <c r="JX8" s="40" t="str">
        <f>IF(SUM(JR8,JS8,JW8)&gt;0,SUM(JR8,JS8,JW8),"")</f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>IF(SUM(JZ8,KD8)&gt;0,SUM(JZ8,KD8),"")</f>
        <v/>
      </c>
      <c r="KT8" s="11" t="str">
        <f>IF(SUM(JY8:JZ8,KB8:KD8,KF8)-KA8-KE8&gt;0,SUM(JY8:JZ8,KB8:KD8,KF8)-KA8-KE8,"")</f>
        <v/>
      </c>
      <c r="KU8" s="11" t="str">
        <f>IF(SUM(KG8:KH8,KJ8)-KI8&gt;0,SUM(KG8:KH8,KJ8)-KI8,"")</f>
        <v/>
      </c>
      <c r="KV8" s="11" t="str">
        <f>IF(SUM(JZ8,KD8,KH8)&gt;0,SUM(JZ8,KD8,KH8),"")</f>
        <v/>
      </c>
      <c r="KW8" s="11" t="str">
        <f>IF(SUM(KT8,KU8)&gt;0,SUM(KT8,KU8),"")</f>
        <v/>
      </c>
      <c r="KX8" s="11" t="str">
        <f>IF(SUM(KL8,KP8)&gt;0,SUM(KL8,KP8),"")</f>
        <v/>
      </c>
      <c r="KY8" s="11" t="str">
        <f>IF(SUM(KK8:KL8,KN8:KP8,KR8)-SUM(KM8,KQ8)&gt;0,SUM(KK8:KL8,KN8:KP8,KR8)-SUM(KM8,KQ8),"")</f>
        <v/>
      </c>
      <c r="KZ8" s="11" t="str">
        <f>IF(SUM(KT8,KU8,KY8)&gt;0,SUM(KT8,KU8,KY8),"")</f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>IF(SUM(LB8,LF8)&gt;0,SUM(LB8,LF8),"")</f>
        <v/>
      </c>
      <c r="LV8" s="40" t="str">
        <f>IF(SUM(LA8:LB8,LD8:LF8,LH8)-LC8-LG8&gt;0,SUM(LA8:LB8,LD8:LF8,LH8)-LC8-LG8,"")</f>
        <v/>
      </c>
      <c r="LW8" s="40" t="str">
        <f>IF(SUM(LI8:LJ8,LL8)-LK8&gt;0,SUM(LI8:LJ8,LL8)-LK8,"")</f>
        <v/>
      </c>
      <c r="LX8" s="40" t="str">
        <f>IF(SUM(LB8,LF8,LJ8)&gt;0,SUM(LB8,LF8,LJ8),"")</f>
        <v/>
      </c>
      <c r="LY8" s="40" t="str">
        <f>IF(SUM(LV8,LW8)&gt;0,SUM(LV8,LW8),"")</f>
        <v/>
      </c>
      <c r="LZ8" s="40" t="str">
        <f>IF(SUM(LN8,LR8)&gt;0,SUM(LN8,LR8),"")</f>
        <v/>
      </c>
      <c r="MA8" s="40" t="str">
        <f>IF(SUM(LM8:LN8,LP8:LR8,LT8)-SUM(LO8,LS8)&gt;0,SUM(LM8:LN8,LP8:LR8,LT8)-SUM(LO8,LS8),"")</f>
        <v/>
      </c>
      <c r="MB8" s="40" t="str">
        <f>IF(SUM(LV8,LW8,MA8)&gt;0,SUM(LV8,LW8,MA8),"")</f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>IF(SUM(MD8,MH8)&gt;0,SUM(MD8,MH8),"")</f>
        <v/>
      </c>
      <c r="MX8" s="11" t="str">
        <f>IF(SUM(MC8:MD8,MF8:MH8,MJ8)-ME8-MI8&gt;0,SUM(MC8:MD8,MF8:MH8,MJ8)-ME8-MI8,"")</f>
        <v/>
      </c>
      <c r="MY8" s="11" t="str">
        <f>IF(SUM(MK8:ML8,MN8)-MM8&gt;0,SUM(MK8:ML8,MN8)-MM8,"")</f>
        <v/>
      </c>
      <c r="MZ8" s="11" t="str">
        <f>IF(SUM(MD8,MH8,ML8)&gt;0,SUM(MD8,MH8,ML8),"")</f>
        <v/>
      </c>
      <c r="NA8" s="11" t="str">
        <f>IF(SUM(MX8,MY8)&gt;0,SUM(MX8,MY8),"")</f>
        <v/>
      </c>
      <c r="NB8" s="11" t="str">
        <f>IF(SUM(MP8,MT8)&gt;0,SUM(MP8,MT8),"")</f>
        <v/>
      </c>
      <c r="NC8" s="11" t="str">
        <f>IF(SUM(MO8:MP8,MR8:MT8,MV8)-SUM(MQ8,MU8)&gt;0,SUM(MO8:MP8,MR8:MT8,MV8)-SUM(MQ8,MU8),"")</f>
        <v/>
      </c>
      <c r="ND8" s="11" t="str">
        <f>IF(SUM(MX8,MY8,NC8)&gt;0,SUM(MX8,MY8,NC8),"")</f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>IF(SUM(NF8,NJ8)&gt;0,SUM(NF8,NJ8),"")</f>
        <v/>
      </c>
      <c r="NZ8" s="40" t="str">
        <f>IF(SUM(NE8:NF8,NH8:NJ8,NL8)-NG8-NK8&gt;0,SUM(NE8:NF8,NH8:NJ8,NL8)-NG8-NK8,"")</f>
        <v/>
      </c>
      <c r="OA8" s="40" t="str">
        <f>IF(SUM(NM8:NN8,NP8)-NO8&gt;0,SUM(NM8:NN8,NP8)-NO8,"")</f>
        <v/>
      </c>
      <c r="OB8" s="40" t="str">
        <f>IF(SUM(NF8,NJ8,NN8)&gt;0,SUM(NF8,NJ8,NN8),"")</f>
        <v/>
      </c>
      <c r="OC8" s="40" t="str">
        <f>IF(SUM(NZ8,OA8)&gt;0,SUM(NZ8,OA8),"")</f>
        <v/>
      </c>
      <c r="OD8" s="40" t="str">
        <f>IF(SUM(NR8,NV8)&gt;0,SUM(NR8,NV8),"")</f>
        <v/>
      </c>
      <c r="OE8" s="40" t="str">
        <f>IF(SUM(NQ8:NR8,NT8:NV8,NX8)-SUM(NS8,NW8)&gt;0,SUM(NQ8:NR8,NT8:NV8,NX8)-SUM(NS8,NW8),"")</f>
        <v/>
      </c>
      <c r="OF8" s="40" t="str">
        <f>IF(SUM(NZ8,OA8,OE8)&gt;0,SUM(NZ8,OA8,OE8),"")</f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>IF(SUM(OH8,OL8)&gt;0,SUM(OH8,OL8),"")</f>
        <v/>
      </c>
      <c r="PB8" s="11" t="str">
        <f>IF(SUM(OG8:OH8,OJ8:OL8,ON8)-OI8-OM8&gt;0,SUM(OG8:OH8,OJ8:OL8,ON8)-OI8-OM8,"")</f>
        <v/>
      </c>
      <c r="PC8" s="11" t="str">
        <f>IF(SUM(OO8:OP8,OR8)-OQ8&gt;0,SUM(OO8:OP8,OR8)-OQ8,"")</f>
        <v/>
      </c>
      <c r="PD8" s="11" t="str">
        <f>IF(SUM(OH8,OL8,OP8)&gt;0,SUM(OH8,OL8,OP8),"")</f>
        <v/>
      </c>
      <c r="PE8" s="11" t="str">
        <f>IF(SUM(PB8,PC8)&gt;0,SUM(PB8,PC8),"")</f>
        <v/>
      </c>
      <c r="PF8" s="11" t="str">
        <f>IF(SUM(OT8,OX8)&gt;0,SUM(OT8,OX8),"")</f>
        <v/>
      </c>
      <c r="PG8" s="11" t="str">
        <f>IF(SUM(OS8:OT8,OV8:OX8,OZ8)-SUM(OU8,OY8)&gt;0,SUM(OS8:OT8,OV8:OX8,OZ8)-SUM(OU8,OY8),"")</f>
        <v/>
      </c>
      <c r="PH8" s="11" t="str">
        <f>IF(SUM(PB8,PC8,PG8)&gt;0,SUM(PB8,PC8,PG8),"")</f>
        <v/>
      </c>
      <c r="PI8" s="22">
        <f>IF($PY8="P",BM8,(BM8+AQ8)/2)</f>
        <v>0</v>
      </c>
      <c r="PJ8" s="22">
        <f>IF($PY8="P",BN8,(BN8+AR8)/2)</f>
        <v>0</v>
      </c>
      <c r="PK8" s="22">
        <f>IF($PY8="P",BO8,(BO8+AS8)/2)</f>
        <v>0</v>
      </c>
      <c r="PL8" s="22">
        <f>IF($PY8="P",BP8,(BP8+AT8)/2)</f>
        <v>0</v>
      </c>
      <c r="PM8" s="22">
        <f>IF($PY8="P",BQ8,(BQ8+AU8)/2)</f>
        <v>0</v>
      </c>
      <c r="PN8" s="22">
        <f>IF($PY8="P",BR8,(BR8+AV8)/2)</f>
        <v>0</v>
      </c>
      <c r="PO8" s="22">
        <f>IF($PY8="P",BS8,(BS8+AW8)/2)</f>
        <v>0</v>
      </c>
      <c r="PP8" s="22">
        <f>IF($PY8="P",BT8,(BT8+AX8)/2)</f>
        <v>0</v>
      </c>
      <c r="PQ8" s="22">
        <f>IF($PY8="P",BU8,(BU8+AY8)/2)</f>
        <v>0</v>
      </c>
      <c r="PR8" s="22">
        <f>IF($PY8="P",BV8,(BV8+AZ8)/2)</f>
        <v>0</v>
      </c>
      <c r="PS8" s="22">
        <f>IF($PY8="P",BW8,(BW8+BA8)/2)</f>
        <v>0</v>
      </c>
      <c r="PT8" s="22">
        <f>IF($PY8="P",BX8,(BX8+BB8)/2)</f>
        <v>0</v>
      </c>
      <c r="PU8" s="22">
        <f>IF($PY8="P",BY8,(BY8+BC8)/2)</f>
        <v>0</v>
      </c>
      <c r="PV8" s="22">
        <f>IF($PY8="P",BZ8,(BZ8+BD8)/2)</f>
        <v>0</v>
      </c>
      <c r="PW8" s="22">
        <f>IF($PY8="P",CA8,(CA8+BE8)/2)</f>
        <v>0</v>
      </c>
      <c r="PX8" s="22">
        <f>IF($PY8="P",CB8,(CB8+BF8)/2)</f>
        <v>0</v>
      </c>
      <c r="PY8" s="27" t="s">
        <v>46</v>
      </c>
      <c r="PZ8" s="40" t="str">
        <f>IF(SUM(PJ8,PN8)&gt;0,SUM(PJ8,PN8),"")</f>
        <v/>
      </c>
      <c r="QA8" s="40" t="str">
        <f>IF(SUM(PI8:PJ8,PL8:PN8,PP8)-PK8-PO8&gt;0,SUM(PI8:PJ8,PL8:PN8,PP8)-PK8-PO8,"")</f>
        <v/>
      </c>
      <c r="QB8" s="40" t="str">
        <f>IF(SUM(PR8,PV8)&gt;0,SUM(PR8,PV8),"")</f>
        <v/>
      </c>
      <c r="QC8" s="40" t="str">
        <f>IF(SUM(PQ8:PR8,PT8:PV8,PX8)-SUM(PS8,PW8)&gt;0,SUM(PQ8:PR8,PT8:PV8,PX8)-SUM(PS8,PW8),"")</f>
        <v/>
      </c>
      <c r="QD8" s="40" t="str">
        <f>IF(SUM(QA8,QC8)&gt;0,SUM(QA8,QC8),"")</f>
        <v/>
      </c>
    </row>
    <row r="9" spans="1:446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101</v>
      </c>
      <c r="D9" s="4" t="s">
        <v>31</v>
      </c>
      <c r="E9" s="4">
        <v>2005</v>
      </c>
      <c r="F9" s="9">
        <f>SUM(L9:R9)+SUM(L9:O9)*0.0000001+SUM(L9)*0.0000000000001</f>
        <v>141.60000949000479</v>
      </c>
      <c r="G9" s="64"/>
      <c r="H9" s="3" t="str">
        <f>IF(OR(AND(AL9&gt;=AP$36,AM9&gt;=AP$40,AL9&lt;&gt;"",AK9=""),AND(AN9&gt;=AP$36,AO9&gt;=AP$40,AN9&lt;&gt;"",AK9=""),AND(BH9&gt;=BL$36,BI9&gt;=BL$40,BH9&lt;&gt;"",BG9=""),AND(BJ9&gt;=BL$36,BK9&gt;=BL$40,BJ9&lt;&gt;"",BG9=""),AND(CD9&gt;=CH$36,CE9&gt;=CH$40,CD9&lt;&gt;"",CC9=""),AND(CF9&gt;=CH$36,CG9&gt;=CH$40,CF9&lt;&gt;""),AND(DE9&gt;=DL$36,DF9&gt;=DL$40,DE9&lt;&gt;""),AND(DJ9&gt;=DL$36,DK9&gt;=DL$40,DJ9&lt;&gt;""),AND(EG9&gt;=EN$36,EH9&gt;=EN$40,EG9&lt;&gt;""),AND(EL9&gt;=EN$36,EM9&gt;=EN$40,EL9&lt;&gt;""),AND(FI9&gt;=FP$36,FJ9&gt;=FP$40,FI9&lt;&gt;""),AND(FN9&gt;=FP$36,FO9&gt;=FP$40,FN9&lt;&gt;""),AND(GK9&gt;=GR$36,GL9&gt;=GR$40,GK9&lt;&gt;""),AND(GP9&gt;=GR$36,GQ9&gt;=GR$40,GP9&lt;&gt;""),AND(HM9&gt;=HT$36,HN9&gt;=HT$40,HM9&lt;&gt;""),AND(HR9&gt;=HT$36,HS9&gt;=HT$40,HR9&lt;&gt;""),AND(IO9&gt;=IV$36,IP9&gt;=IV$40,IO9&lt;&gt;""),AND(IT9&gt;=IV$36,IU9&gt;=IV$40,IT9&lt;&gt;""),AND(JQ9&gt;=JX$36,JR9&gt;=JX$40,JQ9&lt;&gt;""),AND(JV9&gt;=JX$36,JW9&gt;=JX$40,JV9&lt;&gt;""),AND(KS9&gt;=KZ$36,KT9&gt;=KZ$40,KS9&lt;&gt;""),AND(KX9&gt;=KZ$36,KY9&gt;=KZ$40,KX9&lt;&gt;""),AND(LU9&gt;=MB$36,LV9&gt;=MB$40,LU9&lt;&gt;""),AND(LZ9&gt;=MB$36,MA9&gt;=MB$40,LZ9&lt;&gt;""),AND(MW9&gt;=ND$36,MX9&gt;=ND$40,MW9&lt;&gt;""),AND(NB9&gt;=ND$36,NC9&gt;=ND$40,NB9&lt;&gt;""),AND(NY9&gt;=OF$36,NZ9&gt;=OF$40,NY9&lt;&gt;""),AND(OD9&gt;=OF$36,OE9&gt;=OF$40,OD9&lt;&gt;""),AND(PA9&gt;=PH$36,PB9&gt;=PH$40,PA9&lt;&gt;""),AND(PF9&gt;=PH$36,PG9&gt;=PH$40,PF9&lt;&gt;"")),"P","")</f>
        <v>P</v>
      </c>
      <c r="I9" s="3" t="str">
        <f>IF(OR(AND(AM9&gt;=AP$40,AM9&lt;&gt;"",AK9=""),AND(AO9&gt;=AP$40,AO9&lt;&gt;"",AK9=""),AND(BI9&gt;=BL$40,BI9&lt;&gt;"",BG9=""),AND(BK9&gt;=BL$40,BK9&lt;&gt;"",BG9=""),AND(CE9&gt;=CH$40,CE9&lt;&gt;"",CC9=""),AND(CG9&gt;=CH$40,CG9&lt;&gt;"",CC9=""),AND(DF9&gt;=DL$40,DF9&lt;&gt;""),AND(DK9&gt;=DL$40,DK9&lt;&gt;""),AND(EH9&gt;=EN$40,EH9&lt;&gt;""),AND(EM9&gt;=EN$40,EM9&lt;&gt;""),AND(FJ9&gt;=FP$40,FJ9&lt;&gt;""),AND(FO9&gt;=FP$40,FO9&lt;&gt;""),AND(GL9&gt;=GR$40,GL9&lt;&gt;""),AND(GQ9&gt;=GR$40,GQ9&lt;&gt;""),AND(HN9&gt;=HT$40,HN9&lt;&gt;""),AND(HS9&gt;=HT$40,HS9&lt;&gt;""),AND(IP9&gt;=IV$40,IP9&lt;&gt;""),AND(IU9&gt;=IV$40,IU9&lt;&gt;""),AND(JR9&gt;=JX$40,JR9&lt;&gt;""),AND(JW9&gt;=JX$40,JW9&lt;&gt;""),AND(KT9&gt;=KZ$40,KT9&lt;&gt;""),AND(KY9&gt;=KZ$40,KY9&lt;&gt;""),AND(LV9&gt;=MB$40,LV9&lt;&gt;""),AND(MA9&gt;=MB$40,MA9&lt;&gt;""),AND(MX9&gt;=ND$40,MX9&lt;&gt;""),AND(NC9&gt;=ND$40,NC9&lt;&gt;""),AND(NZ9&gt;=OF$40,NZ9&lt;&gt;""),AND(OE9&gt;=OF$40,OE9&lt;&gt;""),AND(PB9&gt;=PH$40,PB9&lt;&gt;""),AND(PG9&gt;=PH$40,PG9&lt;&gt;"")),"P","")</f>
        <v>P</v>
      </c>
      <c r="J9" s="36" t="str">
        <f>IF(AND(I9="P",H9=""),"No DD",IF(OR(AND(AL9&gt;=AP$26,AM9&gt;=AP$30,AL9&lt;&gt;"",AK9=""),AND(BH9&gt;=BL$26,BI9&gt;=BL$30,BH9&lt;&gt;"",BG9=""),AND(CD9&gt;=CH$26,CE9&gt;=CH$30,CD9&lt;&gt;"",CC9=""),AND(DH9&gt;=DL$26,DI9&gt;=DL$30,DH9&lt;&gt;""),AND(EJ9&gt;=EN$26,EK9&gt;=EN$30,EJ9&lt;&gt;""),AND(FL9&gt;=FP$26,FM9&gt;=FP$30,FL9&lt;&gt;""),AND(GN9&gt;=GR$26,GO9&gt;=GR$30,GN9&lt;&gt;""),AND(HP9&gt;=HT$26,HQ9&gt;=HT$30,HP9&lt;&gt;""),AND(IR9&gt;=IV$26,IS9&gt;=IV$30,IR9&lt;&gt;""),AND(JT9&gt;=JX$26,JU9&gt;=JX$30,JT9&lt;&gt;""),AND(KV9&gt;=KZ$26,KW9&gt;=KZ$30,KV9&lt;&gt;""),AND(LX9&gt;=MB$26,LY9&gt;=MB$30,LX9&lt;&gt;""),AND(MZ9&gt;=ND$26,NA9&gt;=ND$30,MZ9&lt;&gt;""),AND(OB9&gt;=OF$26,OC9&gt;=OF$30,OB9&lt;&gt;""),AND(PD9&gt;=PH$26,PE9&gt;=PH$30,PD9&lt;&gt;"")),"Merit",IF(OR(AND(AL9&gt;=AP$25,AM9&gt;=AP$29,AL9&lt;&gt;"",AK9=""),AND(BH9&gt;=BL$25,BI9&gt;=BL$29,BH9&lt;&gt;"",BG9=""),AND(CD9&gt;=CH$25,CE9&gt;=CH$29,CD9&lt;&gt;"",CC9=""),AND(DH9&gt;=DL$25,DI9&gt;=DL$29,DH9&lt;&gt;""),AND(EJ9&gt;=EN$25,EK9&gt;=EN$29,EJ9&lt;&gt;""),AND(FL9&gt;=FP$25,FM9&gt;=FP$29,FL9&lt;&gt;""),AND(GN9&gt;=GR$25,GO9&gt;=GR$29,GN9&lt;&gt;""),AND(HP9&gt;=HT$25,HQ9&gt;=HT$29,HP9&lt;&gt;""),AND(IR9&gt;=IV$25,IS9&gt;=IV$29,IR9&lt;&gt;""),AND(JT9&gt;=JX$25,JU9&gt;=JX$29,JT9&lt;&gt;""),AND(KV9&gt;=KZ$25,KW9&gt;=KZ$29,KV9&lt;&gt;""),AND(LX9&gt;=MB$25,LY9&gt;=MB$29,LX9&lt;&gt;""),AND(MZ9&gt;=ND$25,NA9&gt;=ND$29,MZ9&lt;&gt;""),AND(OB9&gt;=OF$25,OC9&gt;=OF$29,OB9&lt;&gt;""),AND(PD9&gt;=PH$25,PE9&gt;=PH$29,PD9&lt;&gt;"")),"Excellence",IF(K9="P","Worlds Team",IF(H9="P","National Team","")))))</f>
        <v>National Team</v>
      </c>
      <c r="K9" s="3" t="str">
        <f>IF(OR(AND(AL9&gt;=AP$24,AM9&gt;=AP$28,AL9&lt;&gt;"",AK9=""),AND(BH9&gt;=BL$24,BI9&gt;=BL$28,BH9&lt;&gt;"",BG9=""),AND(CD9&gt;=CH$24,CE9&gt;=CH$28,CD9&lt;&gt;"",CC9=""),AND(DH9&gt;=DL$24,DI9&gt;=DL$28,DH9&lt;&gt;""),AND(EJ9&gt;=EN$24,EK9&gt;=EN$28,EJ9&lt;&gt;""),AND(FL9&gt;=FP$24,FM9&gt;=FP$28,FL9&lt;&gt;""),AND(GN9&gt;=GR$24,GO9&gt;=GR$28,GN9&lt;&gt;""),AND(HP9&gt;=HT$24,HQ9&gt;=HT$28,HP9&lt;&gt;""),AND(IR9&gt;=IV$24,IS9&gt;=IV$28,IR9&lt;&gt;""),AND(JT9&gt;=JX$24,JU9&gt;=JX$28,JT9&lt;&gt;""),AND(KV9&gt;=KZ$24,KW9&gt;=KZ$28,KV9&lt;&gt;""),AND(LX9&gt;=MB$24,LY9&gt;=MB$28,LX9&lt;&gt;""),AND(MZ9&gt;=ND$24,NA9&gt;=ND$28,MZ9&lt;&gt;""),AND(OB9&gt;=OF$24,OC9&gt;=OF$28,OB9&lt;&gt;""),AND(PD9&gt;=PH$24,PE9&gt;=PH$28,PD9&lt;&gt;"")),"P","")</f>
        <v/>
      </c>
      <c r="L9" s="8">
        <f>IF(COUNT(AM9,BI9,CE9)&gt;0,LARGE((AM9,BI9,CE9),1),0)</f>
        <v>47.8</v>
      </c>
      <c r="M9" s="8" t="str">
        <f>IF(L9=0,"",IF(L9=CE9,$BM$1,IF(L9=BI9,$AQ$1,IF(L9=AM9,$U$1,""))))</f>
        <v>2025 3rd Domestic Trial</v>
      </c>
      <c r="N9" s="8">
        <f>IF(COUNT(AM9,BI9,CE9)&gt;1,LARGE((AM9,BI9,CE9),2),0)</f>
        <v>47.1</v>
      </c>
      <c r="O9" s="8" t="str">
        <f>IF(N9=0,"",IF(AND(N9=L9,N9=AM9,N9=BI9),$U$1,IF(AND(N9=L9,N9=AM9,N9=CE9),$U$1,IF(AND(N9=L9,N9=BI9,N9=CE9),$AQ$1,IF(N9=CE9,$BM$1,IF(N9=BI9,$AQ$1,IF(N9=AM9,$U$1,"")))))))</f>
        <v>2025 Elite Canada</v>
      </c>
      <c r="P9" s="8">
        <f>IF(MAX(AO9,BK9,CG9)&gt;0,MAX(AO9,BK9,CG9),0)</f>
        <v>46.7</v>
      </c>
      <c r="Q9" s="8" t="str">
        <f>IF(P9=0,"",IF(P9=CG9,$BM$1,IF(P9=BK9,$AQ$1,IF(P9=AO9,$U$1,""))))</f>
        <v>2025 Elite Canada</v>
      </c>
      <c r="R9" s="8" t="str">
        <f>IF(MAX(CI9:CJ9)&gt;0,MAX(CI9:CJ9),"")</f>
        <v/>
      </c>
      <c r="S9" s="11" t="str">
        <f>IF(R9="","",IF(R9=CI9,"("&amp;CI$2&amp;")",IF(R9=CJ9,"("&amp;CJ$2&amp;")")))</f>
        <v/>
      </c>
      <c r="T9" s="8" t="str">
        <f>IF(R9="","",IF(R9=CI9,IF(R9+IF(N9="",0,N9)=PB9,$OG$1,IF(R9+IF(N9="",0,N9)=NZ9,$NE$1,IF(R9+IF(N9="",0,N9)=MX9,$MC$1,IF(R9+IF(N9="",0,N9)=LV9,$LA$1,IF(R9+IF(N9="",0,N9)=KT9,$JY$1,IF(R9+IF(N9="",0,N9)=JR9,$IW$1,IF(R9+IF(N9="",0,N9)=IP9,$HU$1,IF(R9+IF(N9="",0,N9)=HN9,$GS$1,IF(R9+IF(N9="",0,N9)=GL9,$FQ$1,IF(R9+IF(N9="",0,N9)=FJ9,$EO$1,IF(R9+IF(N9="",0,N9)=EH9,$DM$1,IF(R9+IF(N9="",0,N9)=DF9,$CK$1)))))))))))),IF(R9=CJ9,IF(R9+IF(P9="",0,P9)=PG9,$OG$1,IF(R9+IF(P9="",0,P9)=OE9,$NE$1,IF(R9+IF(P9="",0,P9)=NC9,$MC$1,IF(R9+IF(P9="",0,P9)=MA9,$LA$1,IF(R9+IF(P9="",0,P9)=KY9,$JY$1,IF(R9+IF(P9="",0,P9)=JW9,$IW$1,IF(R9+IF(P9="",0,P9)=IU9,$HU$1,IF(R9+IF(P9="",0,P9)=HS9,$GS$1,IF(R9+IF(P9="",0,P9)=GQ9,$FQ$1,IF(R9+IF(P9="",0,P9)=FO9,$EO$1,IF(R9+IF(P9="",0,P9)=EM9,$DM$1,IF(R9+IF(P9="",0,P9)=DK9,$CK$1)))))))))))))))</f>
        <v/>
      </c>
      <c r="U9" s="19">
        <v>18.3</v>
      </c>
      <c r="V9" s="19">
        <v>5.6</v>
      </c>
      <c r="W9" s="19">
        <v>0.6</v>
      </c>
      <c r="X9" s="19">
        <v>0.3</v>
      </c>
      <c r="Y9" s="19">
        <v>18.5</v>
      </c>
      <c r="Z9" s="19">
        <v>5.2</v>
      </c>
      <c r="AA9" s="19">
        <v>0.2</v>
      </c>
      <c r="AB9" s="19">
        <v>0</v>
      </c>
      <c r="AC9" s="19">
        <v>18.5</v>
      </c>
      <c r="AD9" s="19">
        <v>5.6</v>
      </c>
      <c r="AE9" s="19">
        <v>0.6</v>
      </c>
      <c r="AF9" s="19">
        <v>0.3</v>
      </c>
      <c r="AG9" s="19">
        <v>17.7</v>
      </c>
      <c r="AH9" s="19">
        <v>5.2</v>
      </c>
      <c r="AI9" s="19">
        <v>0</v>
      </c>
      <c r="AJ9" s="19">
        <v>0</v>
      </c>
      <c r="AK9" s="27"/>
      <c r="AL9" s="40">
        <f>IF(SUM(V9,Z9)&gt;0,SUM(V9,Z9),"")</f>
        <v>10.8</v>
      </c>
      <c r="AM9" s="40">
        <f>IF(SUM(U9:V9,X9:Z9,AB9)-W9-AA9&gt;0,SUM(U9:V9,X9:Z9,AB9)-W9-AA9,"")</f>
        <v>47.1</v>
      </c>
      <c r="AN9" s="40">
        <f>IF(SUM(AD9,AH9)&gt;0,SUM(AD9,AH9),"")</f>
        <v>10.8</v>
      </c>
      <c r="AO9" s="40">
        <f>IF(SUM(AC9:AD9,AF9:AH9,AJ9)-SUM(AE9,AI9)&gt;0,SUM(AC9:AD9,AF9:AH9,AJ9)-SUM(AE9,AI9),"")</f>
        <v>46.7</v>
      </c>
      <c r="AP9" s="40">
        <f>IF(SUM(AM9,AO9)&gt;0,SUM(AM9,AO9),"")</f>
        <v>93.800000000000011</v>
      </c>
      <c r="AQ9" s="18">
        <v>16.399999999999999</v>
      </c>
      <c r="AR9" s="18">
        <v>4.8</v>
      </c>
      <c r="AS9" s="18">
        <v>0.8</v>
      </c>
      <c r="AT9" s="18">
        <v>0</v>
      </c>
      <c r="AU9" s="18">
        <v>18.399999999999999</v>
      </c>
      <c r="AV9" s="18">
        <v>5.6</v>
      </c>
      <c r="AW9" s="18">
        <v>0.2</v>
      </c>
      <c r="AX9" s="18">
        <v>0</v>
      </c>
      <c r="AY9" s="18"/>
      <c r="AZ9" s="18"/>
      <c r="BA9" s="18"/>
      <c r="BB9" s="18"/>
      <c r="BC9" s="18"/>
      <c r="BD9" s="18"/>
      <c r="BE9" s="18"/>
      <c r="BF9" s="18"/>
      <c r="BG9" s="28"/>
      <c r="BH9" s="11">
        <f>IF(SUM(AR9,AV9)&gt;0,SUM(AR9,AV9),"")</f>
        <v>10.399999999999999</v>
      </c>
      <c r="BI9" s="11">
        <f>IF(SUM(AQ9:AR9,AT9:AV9,AX9)-AS9-AW9&gt;0,SUM(AQ9:AR9,AT9:AV9,AX9)-AS9-AW9,"")</f>
        <v>44.199999999999996</v>
      </c>
      <c r="BJ9" s="11" t="str">
        <f>IF(SUM(AZ9,BD9)&gt;0,SUM(AZ9,BD9),"")</f>
        <v/>
      </c>
      <c r="BK9" s="11" t="str">
        <f>IF(SUM(AY9:AZ9,BB9:BD9,BF9)-SUM(BA9,BE9)&gt;0,SUM(AY9:AZ9,BB9:BD9,BF9)-SUM(BA9,BE9),"")</f>
        <v/>
      </c>
      <c r="BL9" s="11">
        <f>IF(SUM(BI9,BK9)&gt;0,SUM(BI9,BK9),"")</f>
        <v>44.199999999999996</v>
      </c>
      <c r="BM9" s="19">
        <v>18.3</v>
      </c>
      <c r="BN9" s="19">
        <v>5.6</v>
      </c>
      <c r="BO9" s="19">
        <v>0.2</v>
      </c>
      <c r="BP9" s="19">
        <v>0</v>
      </c>
      <c r="BQ9" s="19">
        <v>18.3</v>
      </c>
      <c r="BR9" s="19">
        <v>6</v>
      </c>
      <c r="BS9" s="19">
        <v>0.2</v>
      </c>
      <c r="BT9" s="19">
        <v>0</v>
      </c>
      <c r="BU9" s="19">
        <v>17.600000000000001</v>
      </c>
      <c r="BV9" s="19">
        <v>5.6</v>
      </c>
      <c r="BW9" s="19">
        <v>0.8</v>
      </c>
      <c r="BX9" s="19">
        <v>0</v>
      </c>
      <c r="BY9" s="19">
        <v>15.1</v>
      </c>
      <c r="BZ9" s="19">
        <v>2.4</v>
      </c>
      <c r="CA9" s="19">
        <v>0</v>
      </c>
      <c r="CB9" s="19">
        <v>0</v>
      </c>
      <c r="CC9" s="27"/>
      <c r="CD9" s="40">
        <f>IF(SUM(BN9,BR9)&gt;0,SUM(BN9,BR9),"")</f>
        <v>11.6</v>
      </c>
      <c r="CE9" s="40">
        <f>IF(SUM(BM9:BN9,BP9:BR9,BT9)-BO9-BS9&gt;0,SUM(BM9:BN9,BP9:BR9,BT9)-BO9-BS9,"")</f>
        <v>47.8</v>
      </c>
      <c r="CF9" s="40">
        <f>IF(SUM(BV9,BZ9)&gt;0,SUM(BV9,BZ9),"")</f>
        <v>8</v>
      </c>
      <c r="CG9" s="40">
        <f>IF(SUM(BU9:BV9,BX9:BZ9,CB9)-SUM(BW9,CA9)&gt;0,SUM(BU9:BV9,BX9:BZ9,CB9)-SUM(BW9,CA9),"")</f>
        <v>39.900000000000006</v>
      </c>
      <c r="CH9" s="40">
        <f>IF(SUM(CE9,CG9)&gt;0,SUM(CE9,CG9),"")</f>
        <v>87.7</v>
      </c>
      <c r="CI9" s="50" t="str">
        <f>IF(MAX(DF9,EH9,FJ9,GL9,HN9,IP9,JR9,KT9,LV9,MX9,NZ9,PB9)-IF(N9="",0,N9)&gt;0.001,MAX(DF9,EH9,FJ9,GL9,HN9,IP9,JR9,KT9,LV9,MX9,NZ9,PB9)-IF(N9="",0,N9),"")</f>
        <v/>
      </c>
      <c r="CJ9" s="50" t="str">
        <f>IF(MAX(DK9,EM9,FO9,GQ9,HS9,IU9,JW9,KY9,MA9,NC9,OE9,PG9)-IF(P9="",0,P9)&gt;0.001,MAX(DK9,EM9,FO9,GQ9,HS9,IU9,JW9,KY9,MA9,NC9,OE9,PG9)-IF(P9="",0,P9),"")</f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>IF(SUM(CL9,CP9)&gt;0,SUM(CL9,CP9),"")</f>
        <v/>
      </c>
      <c r="DF9" s="40" t="str">
        <f>IF(SUM(CK9:CL9,CN9:CP9,CR9)-CM9-CQ9&gt;0,SUM(CK9:CL9,CN9:CP9,CR9)-CM9-CQ9,"")</f>
        <v/>
      </c>
      <c r="DG9" s="40" t="str">
        <f>IF(SUM(CS9:CT9,CV9)-CU9&gt;0,SUM(CS9:CT9,CV9)-CU9,"")</f>
        <v/>
      </c>
      <c r="DH9" s="40" t="str">
        <f>IF(SUM(CL9,CP9,CT9)&gt;0,SUM(CL9,CP9,CT9),"")</f>
        <v/>
      </c>
      <c r="DI9" s="40" t="str">
        <f>IF(SUM(DF9,DG9)&gt;0,SUM(DF9,DG9),"")</f>
        <v/>
      </c>
      <c r="DJ9" s="40" t="str">
        <f>IF(SUM(CX9,DB9)&gt;0,SUM(CX9,DB9),"")</f>
        <v/>
      </c>
      <c r="DK9" s="40" t="str">
        <f>IF(SUM(CW9:CX9,CZ9:DB9,DD9)-SUM(CY9,DC9)&gt;0,SUM(CW9:CX9,CZ9:DB9,DD9)-SUM(CY9,DC9),"")</f>
        <v/>
      </c>
      <c r="DL9" s="40" t="str">
        <f>IF(SUM(DF9,DG9,DK9)&gt;0,SUM(DF9,DG9,DK9),"")</f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>IF(SUM(DN9,DR9)&gt;0,SUM(DN9,DR9),"")</f>
        <v/>
      </c>
      <c r="EH9" s="11" t="str">
        <f>IF(SUM(DM9:DN9,DP9:DR9,DT9)-DO9-DS9&gt;0,SUM(DM9:DN9,DP9:DR9,DT9)-DO9-DS9,"")</f>
        <v/>
      </c>
      <c r="EI9" s="11" t="str">
        <f>IF(SUM(DU9:DV9,DX9)-DW9&gt;0,SUM(DU9:DV9,DX9)-DW9,"")</f>
        <v/>
      </c>
      <c r="EJ9" s="11" t="str">
        <f>IF(SUM(DN9,DR9,DV9)&gt;0,SUM(DN9,DR9,DV9),"")</f>
        <v/>
      </c>
      <c r="EK9" s="11" t="str">
        <f>IF(SUM(EH9,EI9)&gt;0,SUM(EH9,EI9),"")</f>
        <v/>
      </c>
      <c r="EL9" s="11" t="str">
        <f>IF(SUM(DZ9,ED9)&gt;0,SUM(DZ9,ED9),"")</f>
        <v/>
      </c>
      <c r="EM9" s="11" t="str">
        <f>IF(SUM(DY9:DZ9,EB9:ED9,EF9)-SUM(EA9,EE9)&gt;0,SUM(DY9:DZ9,EB9:ED9,EF9)-SUM(EA9,EE9),"")</f>
        <v/>
      </c>
      <c r="EN9" s="11" t="str">
        <f>IF(SUM(EH9,EI9,EM9)&gt;0,SUM(EH9,EI9,EM9),"")</f>
        <v/>
      </c>
      <c r="EO9" s="17">
        <v>18.2</v>
      </c>
      <c r="EP9" s="17">
        <v>5.6</v>
      </c>
      <c r="EQ9" s="17">
        <v>1</v>
      </c>
      <c r="ER9" s="17">
        <v>0</v>
      </c>
      <c r="ES9" s="17">
        <v>18.399999999999999</v>
      </c>
      <c r="ET9" s="17">
        <v>6</v>
      </c>
      <c r="EU9" s="17">
        <v>0.6</v>
      </c>
      <c r="EV9" s="17">
        <v>0</v>
      </c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>
        <f>IF(SUM(EP9,ET9)&gt;0,SUM(EP9,ET9),"")</f>
        <v>11.6</v>
      </c>
      <c r="FJ9" s="40">
        <f>IF(SUM(EO9:EP9,ER9:ET9,EV9)-EQ9-EU9&gt;0,SUM(EO9:EP9,ER9:ET9,EV9)-EQ9-EU9,"")</f>
        <v>46.599999999999994</v>
      </c>
      <c r="FK9" s="40" t="str">
        <f>IF(SUM(EW9:EX9,EZ9)-EY9&gt;0,SUM(EW9:EX9,EZ9)-EY9,"")</f>
        <v/>
      </c>
      <c r="FL9" s="40">
        <f>IF(SUM(EP9,ET9,EX9)&gt;0,SUM(EP9,ET9,EX9),"")</f>
        <v>11.6</v>
      </c>
      <c r="FM9" s="40">
        <f>IF(SUM(FJ9,FK9)&gt;0,SUM(FJ9,FK9),"")</f>
        <v>46.599999999999994</v>
      </c>
      <c r="FN9" s="40" t="str">
        <f>IF(SUM(FB9,FF9)&gt;0,SUM(FB9,FF9),"")</f>
        <v/>
      </c>
      <c r="FO9" s="40" t="str">
        <f>IF(SUM(FA9:FB9,FD9:FF9,FH9)-SUM(FC9,FG9)&gt;0,SUM(FA9:FB9,FD9:FF9,FH9)-SUM(FC9,FG9),"")</f>
        <v/>
      </c>
      <c r="FP9" s="40">
        <f>IF(SUM(FJ9,FK9,FO9)&gt;0,SUM(FJ9,FK9,FO9),"")</f>
        <v>46.599999999999994</v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>IF(SUM(FR9,FV9)&gt;0,SUM(FR9,FV9),"")</f>
        <v/>
      </c>
      <c r="GL9" s="11" t="str">
        <f>IF(SUM(FQ9:FR9,FT9:FV9,FX9)-FS9-FW9&gt;0,SUM(FQ9:FR9,FT9:FV9,FX9)-FS9-FW9,"")</f>
        <v/>
      </c>
      <c r="GM9" s="11" t="str">
        <f>IF(SUM(FY9:FZ9,GB9)-GA9&gt;0,SUM(FY9:FZ9,GB9)-GA9,"")</f>
        <v/>
      </c>
      <c r="GN9" s="11" t="str">
        <f>IF(SUM(FR9,FV9,FZ9)&gt;0,SUM(FR9,FV9,FZ9),"")</f>
        <v/>
      </c>
      <c r="GO9" s="11" t="str">
        <f>IF(SUM(GL9,GM9)&gt;0,SUM(GL9,GM9),"")</f>
        <v/>
      </c>
      <c r="GP9" s="11" t="str">
        <f>IF(SUM(GD9,GH9)&gt;0,SUM(GD9,GH9),"")</f>
        <v/>
      </c>
      <c r="GQ9" s="11" t="str">
        <f>IF(SUM(GC9:GD9,GF9:GH9,GJ9)-SUM(GE9,GI9)&gt;0,SUM(GC9:GD9,GF9:GH9,GJ9)-SUM(GE9,GI9),"")</f>
        <v/>
      </c>
      <c r="GR9" s="11" t="str">
        <f>IF(SUM(GL9,GM9,GQ9)&gt;0,SUM(GL9,GM9,GQ9),"")</f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>IF(SUM(GT9,GX9)&gt;0,SUM(GT9,GX9),"")</f>
        <v/>
      </c>
      <c r="HN9" s="40" t="str">
        <f>IF(SUM(GS9:GT9,GV9:GX9,GZ9)-GU9-GY9&gt;0,SUM(GS9:GT9,GV9:GX9,GZ9)-GU9-GY9,"")</f>
        <v/>
      </c>
      <c r="HO9" s="40" t="str">
        <f>IF(SUM(HA9:HB9,HD9)-HC9&gt;0,SUM(HA9:HB9,HD9)-HC9,"")</f>
        <v/>
      </c>
      <c r="HP9" s="40" t="str">
        <f>IF(SUM(GT9,GX9,HB9)&gt;0,SUM(GT9,GX9,HB9),"")</f>
        <v/>
      </c>
      <c r="HQ9" s="40" t="str">
        <f>IF(SUM(HN9,HO9)&gt;0,SUM(HN9,HO9),"")</f>
        <v/>
      </c>
      <c r="HR9" s="40" t="str">
        <f>IF(SUM(HF9,HJ9)&gt;0,SUM(HF9,HJ9),"")</f>
        <v/>
      </c>
      <c r="HS9" s="40" t="str">
        <f>IF(SUM(HE9:HF9,HH9:HJ9,HL9)-SUM(HG9,HK9)&gt;0,SUM(HE9:HF9,HH9:HJ9,HL9)-SUM(HG9,HK9),"")</f>
        <v/>
      </c>
      <c r="HT9" s="40" t="str">
        <f>IF(SUM(HN9,HO9,HS9)&gt;0,SUM(HN9,HO9,HS9),"")</f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>IF(SUM(HV9,HZ9)&gt;0,SUM(HV9,HZ9),"")</f>
        <v/>
      </c>
      <c r="IP9" s="11" t="str">
        <f>IF(SUM(HU9:HV9,HX9:HZ9,IB9)-HW9-IA9&gt;0,SUM(HU9:HV9,HX9:HZ9,IB9)-HW9-IA9,"")</f>
        <v/>
      </c>
      <c r="IQ9" s="11" t="str">
        <f>IF(SUM(IC9:ID9,IF9)-IE9&gt;0,SUM(IC9:ID9,IF9)-IE9,"")</f>
        <v/>
      </c>
      <c r="IR9" s="11" t="str">
        <f>IF(SUM(HV9,HZ9,ID9)&gt;0,SUM(HV9,HZ9,ID9),"")</f>
        <v/>
      </c>
      <c r="IS9" s="11" t="str">
        <f>IF(SUM(IP9,IQ9)&gt;0,SUM(IP9,IQ9),"")</f>
        <v/>
      </c>
      <c r="IT9" s="11" t="str">
        <f>IF(SUM(IH9,IL9)&gt;0,SUM(IH9,IL9),"")</f>
        <v/>
      </c>
      <c r="IU9" s="11" t="str">
        <f>IF(SUM(IG9:IH9,IJ9:IL9,IN9)-SUM(II9,IM9)&gt;0,SUM(IG9:IH9,IJ9:IL9,IN9)-SUM(II9,IM9),"")</f>
        <v/>
      </c>
      <c r="IV9" s="11" t="str">
        <f>IF(SUM(IP9,IQ9,IU9)&gt;0,SUM(IP9,IQ9,IU9),"")</f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>IF(SUM(IX9,JB9)&gt;0,SUM(IX9,JB9),"")</f>
        <v/>
      </c>
      <c r="JR9" s="40" t="str">
        <f>IF(SUM(IW9:IX9,IZ9:JB9,JD9)-IY9-JC9&gt;0,SUM(IW9:IX9,IZ9:JB9,JD9)-IY9-JC9,"")</f>
        <v/>
      </c>
      <c r="JS9" s="40" t="str">
        <f>IF(SUM(JE9:JF9,JH9)-JG9&gt;0,SUM(JE9:JF9,JH9)-JG9,"")</f>
        <v/>
      </c>
      <c r="JT9" s="40" t="str">
        <f>IF(SUM(IX9,JB9,JF9)&gt;0,SUM(IX9,JB9,JF9),"")</f>
        <v/>
      </c>
      <c r="JU9" s="40" t="str">
        <f>IF(SUM(JR9,JS9)&gt;0,SUM(JR9,JS9),"")</f>
        <v/>
      </c>
      <c r="JV9" s="40" t="str">
        <f>IF(SUM(JJ9,JN9)&gt;0,SUM(JJ9,JN9),"")</f>
        <v/>
      </c>
      <c r="JW9" s="40" t="str">
        <f>IF(SUM(JI9:JJ9,JL9:JN9,JP9)-SUM(JK9,JO9)&gt;0,SUM(JI9:JJ9,JL9:JN9,JP9)-SUM(JK9,JO9),"")</f>
        <v/>
      </c>
      <c r="JX9" s="40" t="str">
        <f>IF(SUM(JR9,JS9,JW9)&gt;0,SUM(JR9,JS9,JW9),"")</f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>IF(SUM(JZ9,KD9)&gt;0,SUM(JZ9,KD9),"")</f>
        <v/>
      </c>
      <c r="KT9" s="11" t="str">
        <f>IF(SUM(JY9:JZ9,KB9:KD9,KF9)-KA9-KE9&gt;0,SUM(JY9:JZ9,KB9:KD9,KF9)-KA9-KE9,"")</f>
        <v/>
      </c>
      <c r="KU9" s="11" t="str">
        <f>IF(SUM(KG9:KH9,KJ9)-KI9&gt;0,SUM(KG9:KH9,KJ9)-KI9,"")</f>
        <v/>
      </c>
      <c r="KV9" s="11" t="str">
        <f>IF(SUM(JZ9,KD9,KH9)&gt;0,SUM(JZ9,KD9,KH9),"")</f>
        <v/>
      </c>
      <c r="KW9" s="11" t="str">
        <f>IF(SUM(KT9,KU9)&gt;0,SUM(KT9,KU9),"")</f>
        <v/>
      </c>
      <c r="KX9" s="11" t="str">
        <f>IF(SUM(KL9,KP9)&gt;0,SUM(KL9,KP9),"")</f>
        <v/>
      </c>
      <c r="KY9" s="11" t="str">
        <f>IF(SUM(KK9:KL9,KN9:KP9,KR9)-SUM(KM9,KQ9)&gt;0,SUM(KK9:KL9,KN9:KP9,KR9)-SUM(KM9,KQ9),"")</f>
        <v/>
      </c>
      <c r="KZ9" s="11" t="str">
        <f>IF(SUM(KT9,KU9,KY9)&gt;0,SUM(KT9,KU9,KY9),"")</f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>IF(SUM(LB9,LF9)&gt;0,SUM(LB9,LF9),"")</f>
        <v/>
      </c>
      <c r="LV9" s="40" t="str">
        <f>IF(SUM(LA9:LB9,LD9:LF9,LH9)-LC9-LG9&gt;0,SUM(LA9:LB9,LD9:LF9,LH9)-LC9-LG9,"")</f>
        <v/>
      </c>
      <c r="LW9" s="40" t="str">
        <f>IF(SUM(LI9:LJ9,LL9)-LK9&gt;0,SUM(LI9:LJ9,LL9)-LK9,"")</f>
        <v/>
      </c>
      <c r="LX9" s="40" t="str">
        <f>IF(SUM(LB9,LF9,LJ9)&gt;0,SUM(LB9,LF9,LJ9),"")</f>
        <v/>
      </c>
      <c r="LY9" s="40" t="str">
        <f>IF(SUM(LV9,LW9)&gt;0,SUM(LV9,LW9),"")</f>
        <v/>
      </c>
      <c r="LZ9" s="40" t="str">
        <f>IF(SUM(LN9,LR9)&gt;0,SUM(LN9,LR9),"")</f>
        <v/>
      </c>
      <c r="MA9" s="40" t="str">
        <f>IF(SUM(LM9:LN9,LP9:LR9,LT9)-SUM(LO9,LS9)&gt;0,SUM(LM9:LN9,LP9:LR9,LT9)-SUM(LO9,LS9),"")</f>
        <v/>
      </c>
      <c r="MB9" s="40" t="str">
        <f>IF(SUM(LV9,LW9,MA9)&gt;0,SUM(LV9,LW9,MA9),"")</f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>IF(SUM(MD9,MH9)&gt;0,SUM(MD9,MH9),"")</f>
        <v/>
      </c>
      <c r="MX9" s="11" t="str">
        <f>IF(SUM(MC9:MD9,MF9:MH9,MJ9)-ME9-MI9&gt;0,SUM(MC9:MD9,MF9:MH9,MJ9)-ME9-MI9,"")</f>
        <v/>
      </c>
      <c r="MY9" s="11" t="str">
        <f>IF(SUM(MK9:ML9,MN9)-MM9&gt;0,SUM(MK9:ML9,MN9)-MM9,"")</f>
        <v/>
      </c>
      <c r="MZ9" s="11" t="str">
        <f>IF(SUM(MD9,MH9,ML9)&gt;0,SUM(MD9,MH9,ML9),"")</f>
        <v/>
      </c>
      <c r="NA9" s="11" t="str">
        <f>IF(SUM(MX9,MY9)&gt;0,SUM(MX9,MY9),"")</f>
        <v/>
      </c>
      <c r="NB9" s="11" t="str">
        <f>IF(SUM(MP9,MT9)&gt;0,SUM(MP9,MT9),"")</f>
        <v/>
      </c>
      <c r="NC9" s="11" t="str">
        <f>IF(SUM(MO9:MP9,MR9:MT9,MV9)-SUM(MQ9,MU9)&gt;0,SUM(MO9:MP9,MR9:MT9,MV9)-SUM(MQ9,MU9),"")</f>
        <v/>
      </c>
      <c r="ND9" s="11" t="str">
        <f>IF(SUM(MX9,MY9,NC9)&gt;0,SUM(MX9,MY9,NC9),"")</f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>IF(SUM(NF9,NJ9)&gt;0,SUM(NF9,NJ9),"")</f>
        <v/>
      </c>
      <c r="NZ9" s="40" t="str">
        <f>IF(SUM(NE9:NF9,NH9:NJ9,NL9)-NG9-NK9&gt;0,SUM(NE9:NF9,NH9:NJ9,NL9)-NG9-NK9,"")</f>
        <v/>
      </c>
      <c r="OA9" s="40" t="str">
        <f>IF(SUM(NM9:NN9,NP9)-NO9&gt;0,SUM(NM9:NN9,NP9)-NO9,"")</f>
        <v/>
      </c>
      <c r="OB9" s="40" t="str">
        <f>IF(SUM(NF9,NJ9,NN9)&gt;0,SUM(NF9,NJ9,NN9),"")</f>
        <v/>
      </c>
      <c r="OC9" s="40" t="str">
        <f>IF(SUM(NZ9,OA9)&gt;0,SUM(NZ9,OA9),"")</f>
        <v/>
      </c>
      <c r="OD9" s="40" t="str">
        <f>IF(SUM(NR9,NV9)&gt;0,SUM(NR9,NV9),"")</f>
        <v/>
      </c>
      <c r="OE9" s="40" t="str">
        <f>IF(SUM(NQ9:NR9,NT9:NV9,NX9)-SUM(NS9,NW9)&gt;0,SUM(NQ9:NR9,NT9:NV9,NX9)-SUM(NS9,NW9),"")</f>
        <v/>
      </c>
      <c r="OF9" s="40" t="str">
        <f>IF(SUM(NZ9,OA9,OE9)&gt;0,SUM(NZ9,OA9,OE9),"")</f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>IF(SUM(OH9,OL9)&gt;0,SUM(OH9,OL9),"")</f>
        <v/>
      </c>
      <c r="PB9" s="11" t="str">
        <f>IF(SUM(OG9:OH9,OJ9:OL9,ON9)-OI9-OM9&gt;0,SUM(OG9:OH9,OJ9:OL9,ON9)-OI9-OM9,"")</f>
        <v/>
      </c>
      <c r="PC9" s="11" t="str">
        <f>IF(SUM(OO9:OP9,OR9)-OQ9&gt;0,SUM(OO9:OP9,OR9)-OQ9,"")</f>
        <v/>
      </c>
      <c r="PD9" s="11" t="str">
        <f>IF(SUM(OH9,OL9,OP9)&gt;0,SUM(OH9,OL9,OP9),"")</f>
        <v/>
      </c>
      <c r="PE9" s="11" t="str">
        <f>IF(SUM(PB9,PC9)&gt;0,SUM(PB9,PC9),"")</f>
        <v/>
      </c>
      <c r="PF9" s="11" t="str">
        <f>IF(SUM(OT9,OX9)&gt;0,SUM(OT9,OX9),"")</f>
        <v/>
      </c>
      <c r="PG9" s="11" t="str">
        <f>IF(SUM(OS9:OT9,OV9:OX9,OZ9)-SUM(OU9,OY9)&gt;0,SUM(OS9:OT9,OV9:OX9,OZ9)-SUM(OU9,OY9),"")</f>
        <v/>
      </c>
      <c r="PH9" s="11" t="str">
        <f>IF(SUM(PB9,PC9,PG9)&gt;0,SUM(PB9,PC9,PG9),"")</f>
        <v/>
      </c>
      <c r="PI9" s="22">
        <f>IF($PY9="P",BM9,(BM9+AQ9)/2)</f>
        <v>18.3</v>
      </c>
      <c r="PJ9" s="22">
        <f>IF($PY9="P",BN9,(BN9+AR9)/2)</f>
        <v>5.6</v>
      </c>
      <c r="PK9" s="22">
        <f>IF($PY9="P",BO9,(BO9+AS9)/2)</f>
        <v>0.2</v>
      </c>
      <c r="PL9" s="22">
        <f>IF($PY9="P",BP9,(BP9+AT9)/2)</f>
        <v>0</v>
      </c>
      <c r="PM9" s="22">
        <f>IF($PY9="P",BQ9,(BQ9+AU9)/2)</f>
        <v>18.3</v>
      </c>
      <c r="PN9" s="22">
        <f>IF($PY9="P",BR9,(BR9+AV9)/2)</f>
        <v>6</v>
      </c>
      <c r="PO9" s="22">
        <f>IF($PY9="P",BS9,(BS9+AW9)/2)</f>
        <v>0.2</v>
      </c>
      <c r="PP9" s="22">
        <f>IF($PY9="P",BT9,(BT9+AX9)/2)</f>
        <v>0</v>
      </c>
      <c r="PQ9" s="22">
        <f>IF($PY9="P",BU9,(BU9+AY9)/2)</f>
        <v>17.600000000000001</v>
      </c>
      <c r="PR9" s="22">
        <f>IF($PY9="P",BV9,(BV9+AZ9)/2)</f>
        <v>5.6</v>
      </c>
      <c r="PS9" s="22">
        <f>IF($PY9="P",BW9,(BW9+BA9)/2)</f>
        <v>0.8</v>
      </c>
      <c r="PT9" s="22">
        <f>IF($PY9="P",BX9,(BX9+BB9)/2)</f>
        <v>0</v>
      </c>
      <c r="PU9" s="22">
        <f>IF($PY9="P",BY9,(BY9+BC9)/2)</f>
        <v>15.1</v>
      </c>
      <c r="PV9" s="22">
        <f>IF($PY9="P",BZ9,(BZ9+BD9)/2)</f>
        <v>2.4</v>
      </c>
      <c r="PW9" s="22">
        <f>IF($PY9="P",CA9,(CA9+BE9)/2)</f>
        <v>0</v>
      </c>
      <c r="PX9" s="22">
        <f>IF($PY9="P",CB9,(CB9+BF9)/2)</f>
        <v>0</v>
      </c>
      <c r="PY9" s="27" t="s">
        <v>46</v>
      </c>
      <c r="PZ9" s="40">
        <f>IF(SUM(PJ9,PN9)&gt;0,SUM(PJ9,PN9),"")</f>
        <v>11.6</v>
      </c>
      <c r="QA9" s="40">
        <f>IF(SUM(PI9:PJ9,PL9:PN9,PP9)-PK9-PO9&gt;0,SUM(PI9:PJ9,PL9:PN9,PP9)-PK9-PO9,"")</f>
        <v>47.8</v>
      </c>
      <c r="QB9" s="40">
        <f>IF(SUM(PR9,PV9)&gt;0,SUM(PR9,PV9),"")</f>
        <v>8</v>
      </c>
      <c r="QC9" s="40">
        <f>IF(SUM(PQ9:PR9,PT9:PV9,PX9)-SUM(PS9,PW9)&gt;0,SUM(PQ9:PR9,PT9:PV9,PX9)-SUM(PS9,PW9),"")</f>
        <v>39.900000000000006</v>
      </c>
      <c r="QD9" s="40">
        <f>IF(SUM(QA9,QC9)&gt;0,SUM(QA9,QC9),"")</f>
        <v>87.7</v>
      </c>
    </row>
    <row r="10" spans="1:446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159</v>
      </c>
      <c r="D10" s="4" t="s">
        <v>4</v>
      </c>
      <c r="E10" s="4">
        <v>2008</v>
      </c>
      <c r="F10" s="9">
        <f>SUM(L10:R10)+SUM(L10:O10)*0.0000001+SUM(L10)*0.0000000000001</f>
        <v>133.40000950000487</v>
      </c>
      <c r="G10" s="64"/>
      <c r="H10" s="3" t="str">
        <f>IF(OR(AND(AL10&gt;=AP$36,AM10&gt;=AP$40,AL10&lt;&gt;"",AK10=""),AND(AN10&gt;=AP$36,AO10&gt;=AP$40,AN10&lt;&gt;"",AK10=""),AND(BH10&gt;=BL$36,BI10&gt;=BL$40,BH10&lt;&gt;"",BG10=""),AND(BJ10&gt;=BL$36,BK10&gt;=BL$40,BJ10&lt;&gt;"",BG10=""),AND(CD10&gt;=CH$36,CE10&gt;=CH$40,CD10&lt;&gt;"",CC10=""),AND(CF10&gt;=CH$36,CG10&gt;=CH$40,CF10&lt;&gt;""),AND(DE10&gt;=DL$36,DF10&gt;=DL$40,DE10&lt;&gt;""),AND(DJ10&gt;=DL$36,DK10&gt;=DL$40,DJ10&lt;&gt;""),AND(EG10&gt;=EN$36,EH10&gt;=EN$40,EG10&lt;&gt;""),AND(EL10&gt;=EN$36,EM10&gt;=EN$40,EL10&lt;&gt;""),AND(FI10&gt;=FP$36,FJ10&gt;=FP$40,FI10&lt;&gt;""),AND(FN10&gt;=FP$36,FO10&gt;=FP$40,FN10&lt;&gt;""),AND(GK10&gt;=GR$36,GL10&gt;=GR$40,GK10&lt;&gt;""),AND(GP10&gt;=GR$36,GQ10&gt;=GR$40,GP10&lt;&gt;""),AND(HM10&gt;=HT$36,HN10&gt;=HT$40,HM10&lt;&gt;""),AND(HR10&gt;=HT$36,HS10&gt;=HT$40,HR10&lt;&gt;""),AND(IO10&gt;=IV$36,IP10&gt;=IV$40,IO10&lt;&gt;""),AND(IT10&gt;=IV$36,IU10&gt;=IV$40,IT10&lt;&gt;""),AND(JQ10&gt;=JX$36,JR10&gt;=JX$40,JQ10&lt;&gt;""),AND(JV10&gt;=JX$36,JW10&gt;=JX$40,JV10&lt;&gt;""),AND(KS10&gt;=KZ$36,KT10&gt;=KZ$40,KS10&lt;&gt;""),AND(KX10&gt;=KZ$36,KY10&gt;=KZ$40,KX10&lt;&gt;""),AND(LU10&gt;=MB$36,LV10&gt;=MB$40,LU10&lt;&gt;""),AND(LZ10&gt;=MB$36,MA10&gt;=MB$40,LZ10&lt;&gt;""),AND(MW10&gt;=ND$36,MX10&gt;=ND$40,MW10&lt;&gt;""),AND(NB10&gt;=ND$36,NC10&gt;=ND$40,NB10&lt;&gt;""),AND(NY10&gt;=OF$36,NZ10&gt;=OF$40,NY10&lt;&gt;""),AND(OD10&gt;=OF$36,OE10&gt;=OF$40,OD10&lt;&gt;""),AND(PA10&gt;=PH$36,PB10&gt;=PH$40,PA10&lt;&gt;""),AND(PF10&gt;=PH$36,PG10&gt;=PH$40,PF10&lt;&gt;"")),"P","")</f>
        <v>P</v>
      </c>
      <c r="I10" s="3" t="str">
        <f>IF(OR(AND(AM10&gt;=AP$40,AM10&lt;&gt;"",AK10=""),AND(AO10&gt;=AP$40,AO10&lt;&gt;"",AK10=""),AND(BI10&gt;=BL$40,BI10&lt;&gt;"",BG10=""),AND(BK10&gt;=BL$40,BK10&lt;&gt;"",BG10=""),AND(CE10&gt;=CH$40,CE10&lt;&gt;"",CC10=""),AND(CG10&gt;=CH$40,CG10&lt;&gt;"",CC10=""),AND(DF10&gt;=DL$40,DF10&lt;&gt;""),AND(DK10&gt;=DL$40,DK10&lt;&gt;""),AND(EH10&gt;=EN$40,EH10&lt;&gt;""),AND(EM10&gt;=EN$40,EM10&lt;&gt;""),AND(FJ10&gt;=FP$40,FJ10&lt;&gt;""),AND(FO10&gt;=FP$40,FO10&lt;&gt;""),AND(GL10&gt;=GR$40,GL10&lt;&gt;""),AND(GQ10&gt;=GR$40,GQ10&lt;&gt;""),AND(HN10&gt;=HT$40,HN10&lt;&gt;""),AND(HS10&gt;=HT$40,HS10&lt;&gt;""),AND(IP10&gt;=IV$40,IP10&lt;&gt;""),AND(IU10&gt;=IV$40,IU10&lt;&gt;""),AND(JR10&gt;=JX$40,JR10&lt;&gt;""),AND(JW10&gt;=JX$40,JW10&lt;&gt;""),AND(KT10&gt;=KZ$40,KT10&lt;&gt;""),AND(KY10&gt;=KZ$40,KY10&lt;&gt;""),AND(LV10&gt;=MB$40,LV10&lt;&gt;""),AND(MA10&gt;=MB$40,MA10&lt;&gt;""),AND(MX10&gt;=ND$40,MX10&lt;&gt;""),AND(NC10&gt;=ND$40,NC10&lt;&gt;""),AND(NZ10&gt;=OF$40,NZ10&lt;&gt;""),AND(OE10&gt;=OF$40,OE10&lt;&gt;""),AND(PB10&gt;=PH$40,PB10&lt;&gt;""),AND(PG10&gt;=PH$40,PG10&lt;&gt;"")),"P","")</f>
        <v>P</v>
      </c>
      <c r="J10" s="36" t="str">
        <f>IF(AND(I10="P",H10=""),"No DD",IF(OR(AND(AL10&gt;=AP$26,AM10&gt;=AP$30,AL10&lt;&gt;"",AK10=""),AND(BH10&gt;=BL$26,BI10&gt;=BL$30,BH10&lt;&gt;"",BG10=""),AND(CD10&gt;=CH$26,CE10&gt;=CH$30,CD10&lt;&gt;"",CC10=""),AND(DH10&gt;=DL$26,DI10&gt;=DL$30,DH10&lt;&gt;""),AND(EJ10&gt;=EN$26,EK10&gt;=EN$30,EJ10&lt;&gt;""),AND(FL10&gt;=FP$26,FM10&gt;=FP$30,FL10&lt;&gt;""),AND(GN10&gt;=GR$26,GO10&gt;=GR$30,GN10&lt;&gt;""),AND(HP10&gt;=HT$26,HQ10&gt;=HT$30,HP10&lt;&gt;""),AND(IR10&gt;=IV$26,IS10&gt;=IV$30,IR10&lt;&gt;""),AND(JT10&gt;=JX$26,JU10&gt;=JX$30,JT10&lt;&gt;""),AND(KV10&gt;=KZ$26,KW10&gt;=KZ$30,KV10&lt;&gt;""),AND(LX10&gt;=MB$26,LY10&gt;=MB$30,LX10&lt;&gt;""),AND(MZ10&gt;=ND$26,NA10&gt;=ND$30,MZ10&lt;&gt;""),AND(OB10&gt;=OF$26,OC10&gt;=OF$30,OB10&lt;&gt;""),AND(PD10&gt;=PH$26,PE10&gt;=PH$30,PD10&lt;&gt;"")),"Merit",IF(OR(AND(AL10&gt;=AP$25,AM10&gt;=AP$29,AL10&lt;&gt;"",AK10=""),AND(BH10&gt;=BL$25,BI10&gt;=BL$29,BH10&lt;&gt;"",BG10=""),AND(CD10&gt;=CH$25,CE10&gt;=CH$29,CD10&lt;&gt;"",CC10=""),AND(DH10&gt;=DL$25,DI10&gt;=DL$29,DH10&lt;&gt;""),AND(EJ10&gt;=EN$25,EK10&gt;=EN$29,EJ10&lt;&gt;""),AND(FL10&gt;=FP$25,FM10&gt;=FP$29,FL10&lt;&gt;""),AND(GN10&gt;=GR$25,GO10&gt;=GR$29,GN10&lt;&gt;""),AND(HP10&gt;=HT$25,HQ10&gt;=HT$29,HP10&lt;&gt;""),AND(IR10&gt;=IV$25,IS10&gt;=IV$29,IR10&lt;&gt;""),AND(JT10&gt;=JX$25,JU10&gt;=JX$29,JT10&lt;&gt;""),AND(KV10&gt;=KZ$25,KW10&gt;=KZ$29,KV10&lt;&gt;""),AND(LX10&gt;=MB$25,LY10&gt;=MB$29,LX10&lt;&gt;""),AND(MZ10&gt;=ND$25,NA10&gt;=ND$29,MZ10&lt;&gt;""),AND(OB10&gt;=OF$25,OC10&gt;=OF$29,OB10&lt;&gt;""),AND(PD10&gt;=PH$25,PE10&gt;=PH$29,PD10&lt;&gt;"")),"Excellence",IF(K10="P","Worlds Team",IF(H10="P","National Team","")))))</f>
        <v>National Team</v>
      </c>
      <c r="K10" s="3" t="str">
        <f>IF(OR(AND(AL10&gt;=AP$24,AM10&gt;=AP$28,AL10&lt;&gt;"",AK10=""),AND(BH10&gt;=BL$24,BI10&gt;=BL$28,BH10&lt;&gt;"",BG10=""),AND(CD10&gt;=CH$24,CE10&gt;=CH$28,CD10&lt;&gt;"",CC10=""),AND(DH10&gt;=DL$24,DI10&gt;=DL$28,DH10&lt;&gt;""),AND(EJ10&gt;=EN$24,EK10&gt;=EN$28,EJ10&lt;&gt;""),AND(FL10&gt;=FP$24,FM10&gt;=FP$28,FL10&lt;&gt;""),AND(GN10&gt;=GR$24,GO10&gt;=GR$28,GN10&lt;&gt;""),AND(HP10&gt;=HT$24,HQ10&gt;=HT$28,HP10&lt;&gt;""),AND(IR10&gt;=IV$24,IS10&gt;=IV$28,IR10&lt;&gt;""),AND(JT10&gt;=JX$24,JU10&gt;=JX$28,JT10&lt;&gt;""),AND(KV10&gt;=KZ$24,KW10&gt;=KZ$28,KV10&lt;&gt;""),AND(LX10&gt;=MB$24,LY10&gt;=MB$28,LX10&lt;&gt;""),AND(MZ10&gt;=ND$24,NA10&gt;=ND$28,MZ10&lt;&gt;""),AND(OB10&gt;=OF$24,OC10&gt;=OF$28,OB10&lt;&gt;""),AND(PD10&gt;=PH$24,PE10&gt;=PH$28,PD10&lt;&gt;"")),"P","")</f>
        <v/>
      </c>
      <c r="L10" s="8">
        <f>IF(COUNT(AM10,BI10,CE10)&gt;0,LARGE((AM10,BI10,CE10),1),0)</f>
        <v>48.5</v>
      </c>
      <c r="M10" s="8" t="str">
        <f>IF(L10=0,"",IF(L10=CE10,$BM$1,IF(L10=BI10,$AQ$1,IF(L10=AM10,$U$1,""))))</f>
        <v>2025 Elite Canada</v>
      </c>
      <c r="N10" s="8">
        <f>IF(COUNT(AM10,BI10,CE10)&gt;1,LARGE((AM10,BI10,CE10),2),0)</f>
        <v>46.5</v>
      </c>
      <c r="O10" s="8" t="str">
        <f>IF(N10=0,"",IF(AND(N10=L10,N10=AM10,N10=BI10),$U$1,IF(AND(N10=L10,N10=AM10,N10=CE10),$U$1,IF(AND(N10=L10,N10=BI10,N10=CE10),$AQ$1,IF(N10=CE10,$BM$1,IF(N10=BI10,$AQ$1,IF(N10=AM10,$U$1,"")))))))</f>
        <v>2025 3rd Domestic Trial</v>
      </c>
      <c r="P10" s="8">
        <f>IF(MAX(AO10,BK10,CG10)&gt;0,MAX(AO10,BK10,CG10),0)</f>
        <v>38.400000000000006</v>
      </c>
      <c r="Q10" s="8" t="str">
        <f>IF(P10=0,"",IF(P10=CG10,$BM$1,IF(P10=BK10,$AQ$1,IF(P10=AO10,$U$1,""))))</f>
        <v>2025 Elite Canada</v>
      </c>
      <c r="R10" s="8" t="str">
        <f>IF(MAX(CI10:CJ10)&gt;0,MAX(CI10:CJ10),"")</f>
        <v/>
      </c>
      <c r="S10" s="11" t="str">
        <f>IF(R10="","",IF(R10=CI10,"("&amp;CI$2&amp;")",IF(R10=CJ10,"("&amp;CJ$2&amp;")")))</f>
        <v/>
      </c>
      <c r="T10" s="8" t="str">
        <f>IF(R10="","",IF(R10=CI10,IF(R10+IF(N10="",0,N10)=PB10,$OG$1,IF(R10+IF(N10="",0,N10)=NZ10,$NE$1,IF(R10+IF(N10="",0,N10)=MX10,$MC$1,IF(R10+IF(N10="",0,N10)=LV10,$LA$1,IF(R10+IF(N10="",0,N10)=KT10,$JY$1,IF(R10+IF(N10="",0,N10)=JR10,$IW$1,IF(R10+IF(N10="",0,N10)=IP10,$HU$1,IF(R10+IF(N10="",0,N10)=HN10,$GS$1,IF(R10+IF(N10="",0,N10)=GL10,$FQ$1,IF(R10+IF(N10="",0,N10)=FJ10,$EO$1,IF(R10+IF(N10="",0,N10)=EH10,$DM$1,IF(R10+IF(N10="",0,N10)=DF10,$CK$1)))))))))))),IF(R10=CJ10,IF(R10+IF(P10="",0,P10)=PG10,$OG$1,IF(R10+IF(P10="",0,P10)=OE10,$NE$1,IF(R10+IF(P10="",0,P10)=NC10,$MC$1,IF(R10+IF(P10="",0,P10)=MA10,$LA$1,IF(R10+IF(P10="",0,P10)=KY10,$JY$1,IF(R10+IF(P10="",0,P10)=JW10,$IW$1,IF(R10+IF(P10="",0,P10)=IU10,$HU$1,IF(R10+IF(P10="",0,P10)=HS10,$GS$1,IF(R10+IF(P10="",0,P10)=GQ10,$FQ$1,IF(R10+IF(P10="",0,P10)=FO10,$EO$1,IF(R10+IF(P10="",0,P10)=EM10,$DM$1,IF(R10+IF(P10="",0,P10)=DK10,$CK$1)))))))))))))))</f>
        <v/>
      </c>
      <c r="U10" s="19">
        <v>18.8</v>
      </c>
      <c r="V10" s="19">
        <v>5.6</v>
      </c>
      <c r="W10" s="19">
        <v>0</v>
      </c>
      <c r="X10" s="19">
        <v>0</v>
      </c>
      <c r="Y10" s="19">
        <v>18.5</v>
      </c>
      <c r="Z10" s="19">
        <v>5.6</v>
      </c>
      <c r="AA10" s="19">
        <v>0</v>
      </c>
      <c r="AB10" s="19">
        <v>0</v>
      </c>
      <c r="AC10" s="19">
        <v>16.600000000000001</v>
      </c>
      <c r="AD10" s="19">
        <v>4.8</v>
      </c>
      <c r="AE10" s="19">
        <v>0.8</v>
      </c>
      <c r="AF10" s="19">
        <v>0</v>
      </c>
      <c r="AG10" s="19">
        <v>15.4</v>
      </c>
      <c r="AH10" s="19">
        <v>2.4</v>
      </c>
      <c r="AI10" s="19">
        <v>0</v>
      </c>
      <c r="AJ10" s="19">
        <v>0</v>
      </c>
      <c r="AK10" s="27"/>
      <c r="AL10" s="40">
        <f>IF(SUM(V10,Z10)&gt;0,SUM(V10,Z10),"")</f>
        <v>11.2</v>
      </c>
      <c r="AM10" s="40">
        <f>IF(SUM(U10:V10,X10:Z10,AB10)-W10-AA10&gt;0,SUM(U10:V10,X10:Z10,AB10)-W10-AA10,"")</f>
        <v>48.5</v>
      </c>
      <c r="AN10" s="40">
        <f>IF(SUM(AD10,AH10)&gt;0,SUM(AD10,AH10),"")</f>
        <v>7.1999999999999993</v>
      </c>
      <c r="AO10" s="40">
        <f>IF(SUM(AC10:AD10,AF10:AH10,AJ10)-SUM(AE10,AI10)&gt;0,SUM(AC10:AD10,AF10:AH10,AJ10)-SUM(AE10,AI10),"")</f>
        <v>38.400000000000006</v>
      </c>
      <c r="AP10" s="40">
        <f>IF(SUM(AM10,AO10)&gt;0,SUM(AM10,AO10),"")</f>
        <v>86.9</v>
      </c>
      <c r="AQ10" s="18">
        <v>15.2</v>
      </c>
      <c r="AR10" s="18">
        <v>2.4</v>
      </c>
      <c r="AS10" s="18">
        <v>0</v>
      </c>
      <c r="AT10" s="18">
        <v>0</v>
      </c>
      <c r="AU10" s="18">
        <v>15.3</v>
      </c>
      <c r="AV10" s="18">
        <v>0</v>
      </c>
      <c r="AW10" s="18">
        <v>0</v>
      </c>
      <c r="AX10" s="18">
        <v>0</v>
      </c>
      <c r="AY10" s="18"/>
      <c r="AZ10" s="18"/>
      <c r="BA10" s="18"/>
      <c r="BB10" s="18"/>
      <c r="BC10" s="18"/>
      <c r="BD10" s="18"/>
      <c r="BE10" s="18"/>
      <c r="BF10" s="18"/>
      <c r="BG10" s="28"/>
      <c r="BH10" s="11">
        <f>IF(SUM(AR10,AV10)&gt;0,SUM(AR10,AV10),"")</f>
        <v>2.4</v>
      </c>
      <c r="BI10" s="11">
        <f>IF(SUM(AQ10:AR10,AT10:AV10,AX10)-AS10-AW10&gt;0,SUM(AQ10:AR10,AT10:AV10,AX10)-AS10-AW10,"")</f>
        <v>32.9</v>
      </c>
      <c r="BJ10" s="11" t="str">
        <f>IF(SUM(AZ10,BD10)&gt;0,SUM(AZ10,BD10),"")</f>
        <v/>
      </c>
      <c r="BK10" s="11" t="str">
        <f>IF(SUM(AY10:AZ10,BB10:BD10,BF10)-SUM(BA10,BE10)&gt;0,SUM(AY10:AZ10,BB10:BD10,BF10)-SUM(BA10,BE10),"")</f>
        <v/>
      </c>
      <c r="BL10" s="11">
        <f>IF(SUM(BI10,BK10)&gt;0,SUM(BI10,BK10),"")</f>
        <v>32.9</v>
      </c>
      <c r="BM10" s="19">
        <v>18.600000000000001</v>
      </c>
      <c r="BN10" s="19">
        <v>5.6</v>
      </c>
      <c r="BO10" s="19">
        <v>0.2</v>
      </c>
      <c r="BP10" s="19">
        <v>0</v>
      </c>
      <c r="BQ10" s="19">
        <v>17.3</v>
      </c>
      <c r="BR10" s="19">
        <v>6</v>
      </c>
      <c r="BS10" s="19">
        <v>0.8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18.399999999999999</v>
      </c>
      <c r="BZ10" s="19">
        <v>5.2</v>
      </c>
      <c r="CA10" s="19">
        <v>0.2</v>
      </c>
      <c r="CB10" s="19">
        <v>0</v>
      </c>
      <c r="CC10" s="27"/>
      <c r="CD10" s="40">
        <f>IF(SUM(BN10,BR10)&gt;0,SUM(BN10,BR10),"")</f>
        <v>11.6</v>
      </c>
      <c r="CE10" s="40">
        <f>IF(SUM(BM10:BN10,BP10:BR10,BT10)-BO10-BS10&gt;0,SUM(BM10:BN10,BP10:BR10,BT10)-BO10-BS10,"")</f>
        <v>46.5</v>
      </c>
      <c r="CF10" s="40">
        <f>IF(SUM(BV10,BZ10)&gt;0,SUM(BV10,BZ10),"")</f>
        <v>5.2</v>
      </c>
      <c r="CG10" s="40">
        <f>IF(SUM(BU10:BV10,BX10:BZ10,CB10)-SUM(BW10,CA10)&gt;0,SUM(BU10:BV10,BX10:BZ10,CB10)-SUM(BW10,CA10),"")</f>
        <v>23.4</v>
      </c>
      <c r="CH10" s="40">
        <f>IF(SUM(CE10,CG10)&gt;0,SUM(CE10,CG10),"")</f>
        <v>69.900000000000006</v>
      </c>
      <c r="CI10" s="50" t="str">
        <f>IF(MAX(DF10,EH10,FJ10,GL10,HN10,IP10,JR10,KT10,LV10,MX10,NZ10,PB10)-IF(N10="",0,N10)&gt;0.001,MAX(DF10,EH10,FJ10,GL10,HN10,IP10,JR10,KT10,LV10,MX10,NZ10,PB10)-IF(N10="",0,N10),"")</f>
        <v/>
      </c>
      <c r="CJ10" s="50" t="str">
        <f>IF(MAX(DK10,EM10,FO10,GQ10,HS10,IU10,JW10,KY10,MA10,NC10,OE10,PG10)-IF(P10="",0,P10)&gt;0.001,MAX(DK10,EM10,FO10,GQ10,HS10,IU10,JW10,KY10,MA10,NC10,OE10,PG10)-IF(P10="",0,P10),"")</f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>IF(SUM(CL10,CP10)&gt;0,SUM(CL10,CP10),"")</f>
        <v/>
      </c>
      <c r="DF10" s="40" t="str">
        <f>IF(SUM(CK10:CL10,CN10:CP10,CR10)-CM10-CQ10&gt;0,SUM(CK10:CL10,CN10:CP10,CR10)-CM10-CQ10,"")</f>
        <v/>
      </c>
      <c r="DG10" s="40" t="str">
        <f>IF(SUM(CS10:CT10,CV10)-CU10&gt;0,SUM(CS10:CT10,CV10)-CU10,"")</f>
        <v/>
      </c>
      <c r="DH10" s="40" t="str">
        <f>IF(SUM(CL10,CP10,CT10)&gt;0,SUM(CL10,CP10,CT10),"")</f>
        <v/>
      </c>
      <c r="DI10" s="40" t="str">
        <f>IF(SUM(DF10,DG10)&gt;0,SUM(DF10,DG10),"")</f>
        <v/>
      </c>
      <c r="DJ10" s="40" t="str">
        <f>IF(SUM(CX10,DB10)&gt;0,SUM(CX10,DB10),"")</f>
        <v/>
      </c>
      <c r="DK10" s="40" t="str">
        <f>IF(SUM(CW10:CX10,CZ10:DB10,DD10)-SUM(CY10,DC10)&gt;0,SUM(CW10:CX10,CZ10:DB10,DD10)-SUM(CY10,DC10),"")</f>
        <v/>
      </c>
      <c r="DL10" s="40" t="str">
        <f>IF(SUM(DF10,DG10,DK10)&gt;0,SUM(DF10,DG10,DK10),"")</f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>IF(SUM(DN10,DR10)&gt;0,SUM(DN10,DR10),"")</f>
        <v/>
      </c>
      <c r="EH10" s="11" t="str">
        <f>IF(SUM(DM10:DN10,DP10:DR10,DT10)-DO10-DS10&gt;0,SUM(DM10:DN10,DP10:DR10,DT10)-DO10-DS10,"")</f>
        <v/>
      </c>
      <c r="EI10" s="11" t="str">
        <f>IF(SUM(DU10:DV10,DX10)-DW10&gt;0,SUM(DU10:DV10,DX10)-DW10,"")</f>
        <v/>
      </c>
      <c r="EJ10" s="11" t="str">
        <f>IF(SUM(DN10,DR10,DV10)&gt;0,SUM(DN10,DR10,DV10),"")</f>
        <v/>
      </c>
      <c r="EK10" s="11" t="str">
        <f>IF(SUM(EH10,EI10)&gt;0,SUM(EH10,EI10),"")</f>
        <v/>
      </c>
      <c r="EL10" s="11" t="str">
        <f>IF(SUM(DZ10,ED10)&gt;0,SUM(DZ10,ED10),"")</f>
        <v/>
      </c>
      <c r="EM10" s="11" t="str">
        <f>IF(SUM(DY10:DZ10,EB10:ED10,EF10)-SUM(EA10,EE10)&gt;0,SUM(DY10:DZ10,EB10:ED10,EF10)-SUM(EA10,EE10),"")</f>
        <v/>
      </c>
      <c r="EN10" s="11" t="str">
        <f>IF(SUM(EH10,EI10,EM10)&gt;0,SUM(EH10,EI10,EM10),"")</f>
        <v/>
      </c>
      <c r="EO10" s="17">
        <v>18</v>
      </c>
      <c r="EP10" s="17">
        <v>4.8</v>
      </c>
      <c r="EQ10" s="17">
        <v>0.6</v>
      </c>
      <c r="ER10" s="17">
        <v>0</v>
      </c>
      <c r="ES10" s="17">
        <v>17.899999999999999</v>
      </c>
      <c r="ET10" s="17">
        <v>5.2</v>
      </c>
      <c r="EU10" s="17">
        <v>0.2</v>
      </c>
      <c r="EV10" s="17">
        <v>0</v>
      </c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>
        <f>IF(SUM(EP10,ET10)&gt;0,SUM(EP10,ET10),"")</f>
        <v>10</v>
      </c>
      <c r="FJ10" s="40">
        <f>IF(SUM(EO10:EP10,ER10:ET10,EV10)-EQ10-EU10&gt;0,SUM(EO10:EP10,ER10:ET10,EV10)-EQ10-EU10,"")</f>
        <v>45.1</v>
      </c>
      <c r="FK10" s="40" t="str">
        <f>IF(SUM(EW10:EX10,EZ10)-EY10&gt;0,SUM(EW10:EX10,EZ10)-EY10,"")</f>
        <v/>
      </c>
      <c r="FL10" s="40">
        <f>IF(SUM(EP10,ET10,EX10)&gt;0,SUM(EP10,ET10,EX10),"")</f>
        <v>10</v>
      </c>
      <c r="FM10" s="40">
        <f>IF(SUM(FJ10,FK10)&gt;0,SUM(FJ10,FK10),"")</f>
        <v>45.1</v>
      </c>
      <c r="FN10" s="40" t="str">
        <f>IF(SUM(FB10,FF10)&gt;0,SUM(FB10,FF10),"")</f>
        <v/>
      </c>
      <c r="FO10" s="40" t="str">
        <f>IF(SUM(FA10:FB10,FD10:FF10,FH10)-SUM(FC10,FG10)&gt;0,SUM(FA10:FB10,FD10:FF10,FH10)-SUM(FC10,FG10),"")</f>
        <v/>
      </c>
      <c r="FP10" s="40">
        <f>IF(SUM(FJ10,FK10,FO10)&gt;0,SUM(FJ10,FK10,FO10),"")</f>
        <v>45.1</v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>IF(SUM(FR10,FV10)&gt;0,SUM(FR10,FV10),"")</f>
        <v/>
      </c>
      <c r="GL10" s="11" t="str">
        <f>IF(SUM(FQ10:FR10,FT10:FV10,FX10)-FS10-FW10&gt;0,SUM(FQ10:FR10,FT10:FV10,FX10)-FS10-FW10,"")</f>
        <v/>
      </c>
      <c r="GM10" s="11" t="str">
        <f>IF(SUM(FY10:FZ10,GB10)-GA10&gt;0,SUM(FY10:FZ10,GB10)-GA10,"")</f>
        <v/>
      </c>
      <c r="GN10" s="11" t="str">
        <f>IF(SUM(FR10,FV10,FZ10)&gt;0,SUM(FR10,FV10,FZ10),"")</f>
        <v/>
      </c>
      <c r="GO10" s="11" t="str">
        <f>IF(SUM(GL10,GM10)&gt;0,SUM(GL10,GM10),"")</f>
        <v/>
      </c>
      <c r="GP10" s="11" t="str">
        <f>IF(SUM(GD10,GH10)&gt;0,SUM(GD10,GH10),"")</f>
        <v/>
      </c>
      <c r="GQ10" s="11" t="str">
        <f>IF(SUM(GC10:GD10,GF10:GH10,GJ10)-SUM(GE10,GI10)&gt;0,SUM(GC10:GD10,GF10:GH10,GJ10)-SUM(GE10,GI10),"")</f>
        <v/>
      </c>
      <c r="GR10" s="11" t="str">
        <f>IF(SUM(GL10,GM10,GQ10)&gt;0,SUM(GL10,GM10,GQ10),"")</f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>IF(SUM(GT10,GX10)&gt;0,SUM(GT10,GX10),"")</f>
        <v/>
      </c>
      <c r="HN10" s="40" t="str">
        <f>IF(SUM(GS10:GT10,GV10:GX10,GZ10)-GU10-GY10&gt;0,SUM(GS10:GT10,GV10:GX10,GZ10)-GU10-GY10,"")</f>
        <v/>
      </c>
      <c r="HO10" s="40" t="str">
        <f>IF(SUM(HA10:HB10,HD10)-HC10&gt;0,SUM(HA10:HB10,HD10)-HC10,"")</f>
        <v/>
      </c>
      <c r="HP10" s="40" t="str">
        <f>IF(SUM(GT10,GX10,HB10)&gt;0,SUM(GT10,GX10,HB10),"")</f>
        <v/>
      </c>
      <c r="HQ10" s="40" t="str">
        <f>IF(SUM(HN10,HO10)&gt;0,SUM(HN10,HO10),"")</f>
        <v/>
      </c>
      <c r="HR10" s="40" t="str">
        <f>IF(SUM(HF10,HJ10)&gt;0,SUM(HF10,HJ10),"")</f>
        <v/>
      </c>
      <c r="HS10" s="40" t="str">
        <f>IF(SUM(HE10:HF10,HH10:HJ10,HL10)-SUM(HG10,HK10)&gt;0,SUM(HE10:HF10,HH10:HJ10,HL10)-SUM(HG10,HK10),"")</f>
        <v/>
      </c>
      <c r="HT10" s="40" t="str">
        <f>IF(SUM(HN10,HO10,HS10)&gt;0,SUM(HN10,HO10,HS10),"")</f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>IF(SUM(HV10,HZ10)&gt;0,SUM(HV10,HZ10),"")</f>
        <v/>
      </c>
      <c r="IP10" s="11" t="str">
        <f>IF(SUM(HU10:HV10,HX10:HZ10,IB10)-HW10-IA10&gt;0,SUM(HU10:HV10,HX10:HZ10,IB10)-HW10-IA10,"")</f>
        <v/>
      </c>
      <c r="IQ10" s="11" t="str">
        <f>IF(SUM(IC10:ID10,IF10)-IE10&gt;0,SUM(IC10:ID10,IF10)-IE10,"")</f>
        <v/>
      </c>
      <c r="IR10" s="11" t="str">
        <f>IF(SUM(HV10,HZ10,ID10)&gt;0,SUM(HV10,HZ10,ID10),"")</f>
        <v/>
      </c>
      <c r="IS10" s="11" t="str">
        <f>IF(SUM(IP10,IQ10)&gt;0,SUM(IP10,IQ10),"")</f>
        <v/>
      </c>
      <c r="IT10" s="11" t="str">
        <f>IF(SUM(IH10,IL10)&gt;0,SUM(IH10,IL10),"")</f>
        <v/>
      </c>
      <c r="IU10" s="11" t="str">
        <f>IF(SUM(IG10:IH10,IJ10:IL10,IN10)-SUM(II10,IM10)&gt;0,SUM(IG10:IH10,IJ10:IL10,IN10)-SUM(II10,IM10),"")</f>
        <v/>
      </c>
      <c r="IV10" s="11" t="str">
        <f>IF(SUM(IP10,IQ10,IU10)&gt;0,SUM(IP10,IQ10,IU10),"")</f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>IF(SUM(IX10,JB10)&gt;0,SUM(IX10,JB10),"")</f>
        <v/>
      </c>
      <c r="JR10" s="40" t="str">
        <f>IF(SUM(IW10:IX10,IZ10:JB10,JD10)-IY10-JC10&gt;0,SUM(IW10:IX10,IZ10:JB10,JD10)-IY10-JC10,"")</f>
        <v/>
      </c>
      <c r="JS10" s="40" t="str">
        <f>IF(SUM(JE10:JF10,JH10)-JG10&gt;0,SUM(JE10:JF10,JH10)-JG10,"")</f>
        <v/>
      </c>
      <c r="JT10" s="40" t="str">
        <f>IF(SUM(IX10,JB10,JF10)&gt;0,SUM(IX10,JB10,JF10),"")</f>
        <v/>
      </c>
      <c r="JU10" s="40" t="str">
        <f>IF(SUM(JR10,JS10)&gt;0,SUM(JR10,JS10),"")</f>
        <v/>
      </c>
      <c r="JV10" s="40" t="str">
        <f>IF(SUM(JJ10,JN10)&gt;0,SUM(JJ10,JN10),"")</f>
        <v/>
      </c>
      <c r="JW10" s="40" t="str">
        <f>IF(SUM(JI10:JJ10,JL10:JN10,JP10)-SUM(JK10,JO10)&gt;0,SUM(JI10:JJ10,JL10:JN10,JP10)-SUM(JK10,JO10),"")</f>
        <v/>
      </c>
      <c r="JX10" s="40" t="str">
        <f>IF(SUM(JR10,JS10,JW10)&gt;0,SUM(JR10,JS10,JW10),"")</f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>IF(SUM(JZ10,KD10)&gt;0,SUM(JZ10,KD10),"")</f>
        <v/>
      </c>
      <c r="KT10" s="11" t="str">
        <f>IF(SUM(JY10:JZ10,KB10:KD10,KF10)-KA10-KE10&gt;0,SUM(JY10:JZ10,KB10:KD10,KF10)-KA10-KE10,"")</f>
        <v/>
      </c>
      <c r="KU10" s="11" t="str">
        <f>IF(SUM(KG10:KH10,KJ10)-KI10&gt;0,SUM(KG10:KH10,KJ10)-KI10,"")</f>
        <v/>
      </c>
      <c r="KV10" s="11" t="str">
        <f>IF(SUM(JZ10,KD10,KH10)&gt;0,SUM(JZ10,KD10,KH10),"")</f>
        <v/>
      </c>
      <c r="KW10" s="11" t="str">
        <f>IF(SUM(KT10,KU10)&gt;0,SUM(KT10,KU10),"")</f>
        <v/>
      </c>
      <c r="KX10" s="11" t="str">
        <f>IF(SUM(KL10,KP10)&gt;0,SUM(KL10,KP10),"")</f>
        <v/>
      </c>
      <c r="KY10" s="11" t="str">
        <f>IF(SUM(KK10:KL10,KN10:KP10,KR10)-SUM(KM10,KQ10)&gt;0,SUM(KK10:KL10,KN10:KP10,KR10)-SUM(KM10,KQ10),"")</f>
        <v/>
      </c>
      <c r="KZ10" s="11" t="str">
        <f>IF(SUM(KT10,KU10,KY10)&gt;0,SUM(KT10,KU10,KY10),"")</f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>IF(SUM(LB10,LF10)&gt;0,SUM(LB10,LF10),"")</f>
        <v/>
      </c>
      <c r="LV10" s="40" t="str">
        <f>IF(SUM(LA10:LB10,LD10:LF10,LH10)-LC10-LG10&gt;0,SUM(LA10:LB10,LD10:LF10,LH10)-LC10-LG10,"")</f>
        <v/>
      </c>
      <c r="LW10" s="40" t="str">
        <f>IF(SUM(LI10:LJ10,LL10)-LK10&gt;0,SUM(LI10:LJ10,LL10)-LK10,"")</f>
        <v/>
      </c>
      <c r="LX10" s="40" t="str">
        <f>IF(SUM(LB10,LF10,LJ10)&gt;0,SUM(LB10,LF10,LJ10),"")</f>
        <v/>
      </c>
      <c r="LY10" s="40" t="str">
        <f>IF(SUM(LV10,LW10)&gt;0,SUM(LV10,LW10),"")</f>
        <v/>
      </c>
      <c r="LZ10" s="40" t="str">
        <f>IF(SUM(LN10,LR10)&gt;0,SUM(LN10,LR10),"")</f>
        <v/>
      </c>
      <c r="MA10" s="40" t="str">
        <f>IF(SUM(LM10:LN10,LP10:LR10,LT10)-SUM(LO10,LS10)&gt;0,SUM(LM10:LN10,LP10:LR10,LT10)-SUM(LO10,LS10),"")</f>
        <v/>
      </c>
      <c r="MB10" s="40" t="str">
        <f>IF(SUM(LV10,LW10,MA10)&gt;0,SUM(LV10,LW10,MA10),"")</f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>IF(SUM(MD10,MH10)&gt;0,SUM(MD10,MH10),"")</f>
        <v/>
      </c>
      <c r="MX10" s="11" t="str">
        <f>IF(SUM(MC10:MD10,MF10:MH10,MJ10)-ME10-MI10&gt;0,SUM(MC10:MD10,MF10:MH10,MJ10)-ME10-MI10,"")</f>
        <v/>
      </c>
      <c r="MY10" s="11" t="str">
        <f>IF(SUM(MK10:ML10,MN10)-MM10&gt;0,SUM(MK10:ML10,MN10)-MM10,"")</f>
        <v/>
      </c>
      <c r="MZ10" s="11" t="str">
        <f>IF(SUM(MD10,MH10,ML10)&gt;0,SUM(MD10,MH10,ML10),"")</f>
        <v/>
      </c>
      <c r="NA10" s="11" t="str">
        <f>IF(SUM(MX10,MY10)&gt;0,SUM(MX10,MY10),"")</f>
        <v/>
      </c>
      <c r="NB10" s="11" t="str">
        <f>IF(SUM(MP10,MT10)&gt;0,SUM(MP10,MT10),"")</f>
        <v/>
      </c>
      <c r="NC10" s="11" t="str">
        <f>IF(SUM(MO10:MP10,MR10:MT10,MV10)-SUM(MQ10,MU10)&gt;0,SUM(MO10:MP10,MR10:MT10,MV10)-SUM(MQ10,MU10),"")</f>
        <v/>
      </c>
      <c r="ND10" s="11" t="str">
        <f>IF(SUM(MX10,MY10,NC10)&gt;0,SUM(MX10,MY10,NC10),"")</f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>IF(SUM(NF10,NJ10)&gt;0,SUM(NF10,NJ10),"")</f>
        <v/>
      </c>
      <c r="NZ10" s="40" t="str">
        <f>IF(SUM(NE10:NF10,NH10:NJ10,NL10)-NG10-NK10&gt;0,SUM(NE10:NF10,NH10:NJ10,NL10)-NG10-NK10,"")</f>
        <v/>
      </c>
      <c r="OA10" s="40" t="str">
        <f>IF(SUM(NM10:NN10,NP10)-NO10&gt;0,SUM(NM10:NN10,NP10)-NO10,"")</f>
        <v/>
      </c>
      <c r="OB10" s="40" t="str">
        <f>IF(SUM(NF10,NJ10,NN10)&gt;0,SUM(NF10,NJ10,NN10),"")</f>
        <v/>
      </c>
      <c r="OC10" s="40" t="str">
        <f>IF(SUM(NZ10,OA10)&gt;0,SUM(NZ10,OA10),"")</f>
        <v/>
      </c>
      <c r="OD10" s="40" t="str">
        <f>IF(SUM(NR10,NV10)&gt;0,SUM(NR10,NV10),"")</f>
        <v/>
      </c>
      <c r="OE10" s="40" t="str">
        <f>IF(SUM(NQ10:NR10,NT10:NV10,NX10)-SUM(NS10,NW10)&gt;0,SUM(NQ10:NR10,NT10:NV10,NX10)-SUM(NS10,NW10),"")</f>
        <v/>
      </c>
      <c r="OF10" s="40" t="str">
        <f>IF(SUM(NZ10,OA10,OE10)&gt;0,SUM(NZ10,OA10,OE10),"")</f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>IF(SUM(OH10,OL10)&gt;0,SUM(OH10,OL10),"")</f>
        <v/>
      </c>
      <c r="PB10" s="11" t="str">
        <f>IF(SUM(OG10:OH10,OJ10:OL10,ON10)-OI10-OM10&gt;0,SUM(OG10:OH10,OJ10:OL10,ON10)-OI10-OM10,"")</f>
        <v/>
      </c>
      <c r="PC10" s="11" t="str">
        <f>IF(SUM(OO10:OP10,OR10)-OQ10&gt;0,SUM(OO10:OP10,OR10)-OQ10,"")</f>
        <v/>
      </c>
      <c r="PD10" s="11" t="str">
        <f>IF(SUM(OH10,OL10,OP10)&gt;0,SUM(OH10,OL10,OP10),"")</f>
        <v/>
      </c>
      <c r="PE10" s="11" t="str">
        <f>IF(SUM(PB10,PC10)&gt;0,SUM(PB10,PC10),"")</f>
        <v/>
      </c>
      <c r="PF10" s="11" t="str">
        <f>IF(SUM(OT10,OX10)&gt;0,SUM(OT10,OX10),"")</f>
        <v/>
      </c>
      <c r="PG10" s="11" t="str">
        <f>IF(SUM(OS10:OT10,OV10:OX10,OZ10)-SUM(OU10,OY10)&gt;0,SUM(OS10:OT10,OV10:OX10,OZ10)-SUM(OU10,OY10),"")</f>
        <v/>
      </c>
      <c r="PH10" s="11" t="str">
        <f>IF(SUM(PB10,PC10,PG10)&gt;0,SUM(PB10,PC10,PG10),"")</f>
        <v/>
      </c>
      <c r="PI10" s="22">
        <f>IF($PY10="P",BM10,(BM10+AQ10)/2)</f>
        <v>18.600000000000001</v>
      </c>
      <c r="PJ10" s="22">
        <f>IF($PY10="P",BN10,(BN10+AR10)/2)</f>
        <v>5.6</v>
      </c>
      <c r="PK10" s="22">
        <f>IF($PY10="P",BO10,(BO10+AS10)/2)</f>
        <v>0.2</v>
      </c>
      <c r="PL10" s="22">
        <f>IF($PY10="P",BP10,(BP10+AT10)/2)</f>
        <v>0</v>
      </c>
      <c r="PM10" s="22">
        <f>IF($PY10="P",BQ10,(BQ10+AU10)/2)</f>
        <v>17.3</v>
      </c>
      <c r="PN10" s="22">
        <f>IF($PY10="P",BR10,(BR10+AV10)/2)</f>
        <v>6</v>
      </c>
      <c r="PO10" s="22">
        <f>IF($PY10="P",BS10,(BS10+AW10)/2)</f>
        <v>0.8</v>
      </c>
      <c r="PP10" s="22">
        <f>IF($PY10="P",BT10,(BT10+AX10)/2)</f>
        <v>0</v>
      </c>
      <c r="PQ10" s="22">
        <f>IF($PY10="P",BU10,(BU10+AY10)/2)</f>
        <v>0</v>
      </c>
      <c r="PR10" s="22">
        <f>IF($PY10="P",BV10,(BV10+AZ10)/2)</f>
        <v>0</v>
      </c>
      <c r="PS10" s="22">
        <f>IF($PY10="P",BW10,(BW10+BA10)/2)</f>
        <v>0</v>
      </c>
      <c r="PT10" s="22">
        <f>IF($PY10="P",BX10,(BX10+BB10)/2)</f>
        <v>0</v>
      </c>
      <c r="PU10" s="22">
        <f>IF($PY10="P",BY10,(BY10+BC10)/2)</f>
        <v>18.399999999999999</v>
      </c>
      <c r="PV10" s="22">
        <f>IF($PY10="P",BZ10,(BZ10+BD10)/2)</f>
        <v>5.2</v>
      </c>
      <c r="PW10" s="22">
        <f>IF($PY10="P",CA10,(CA10+BE10)/2)</f>
        <v>0.2</v>
      </c>
      <c r="PX10" s="22">
        <f>IF($PY10="P",CB10,(CB10+BF10)/2)</f>
        <v>0</v>
      </c>
      <c r="PY10" s="27" t="s">
        <v>46</v>
      </c>
      <c r="PZ10" s="40">
        <f>IF(SUM(PJ10,PN10)&gt;0,SUM(PJ10,PN10),"")</f>
        <v>11.6</v>
      </c>
      <c r="QA10" s="40">
        <f>IF(SUM(PI10:PJ10,PL10:PN10,PP10)-PK10-PO10&gt;0,SUM(PI10:PJ10,PL10:PN10,PP10)-PK10-PO10,"")</f>
        <v>46.5</v>
      </c>
      <c r="QB10" s="40">
        <f>IF(SUM(PR10,PV10)&gt;0,SUM(PR10,PV10),"")</f>
        <v>5.2</v>
      </c>
      <c r="QC10" s="40">
        <f>IF(SUM(PQ10:PR10,PT10:PV10,PX10)-SUM(PS10,PW10)&gt;0,SUM(PQ10:PR10,PT10:PV10,PX10)-SUM(PS10,PW10),"")</f>
        <v>23.4</v>
      </c>
      <c r="QD10" s="40">
        <f>IF(SUM(QA10,QC10)&gt;0,SUM(QA10,QC10),"")</f>
        <v>69.900000000000006</v>
      </c>
    </row>
    <row r="11" spans="1:446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L11&gt;=AP$36,AM11&gt;=AP$40,AL11&lt;&gt;"",AK11=""),AND(AN11&gt;=AP$36,AO11&gt;=AP$40,AN11&lt;&gt;"",AK11=""),AND(BH11&gt;=BL$36,BI11&gt;=BL$40,BH11&lt;&gt;"",BG11=""),AND(BJ11&gt;=BL$36,BK11&gt;=BL$40,BJ11&lt;&gt;"",BG11=""),AND(CD11&gt;=CH$36,CE11&gt;=CH$40,CD11&lt;&gt;"",CC11=""),AND(CF11&gt;=CH$36,CG11&gt;=CH$40,CF11&lt;&gt;""),AND(DE11&gt;=DL$36,DF11&gt;=DL$40,DE11&lt;&gt;""),AND(DJ11&gt;=DL$36,DK11&gt;=DL$40,DJ11&lt;&gt;""),AND(EG11&gt;=EN$36,EH11&gt;=EN$40,EG11&lt;&gt;""),AND(EL11&gt;=EN$36,EM11&gt;=EN$40,EL11&lt;&gt;""),AND(FI11&gt;=FP$36,FJ11&gt;=FP$40,FI11&lt;&gt;""),AND(FN11&gt;=FP$36,FO11&gt;=FP$40,FN11&lt;&gt;""),AND(GK11&gt;=GR$36,GL11&gt;=GR$40,GK11&lt;&gt;""),AND(GP11&gt;=GR$36,GQ11&gt;=GR$40,GP11&lt;&gt;""),AND(HM11&gt;=HT$36,HN11&gt;=HT$40,HM11&lt;&gt;""),AND(HR11&gt;=HT$36,HS11&gt;=HT$40,HR11&lt;&gt;""),AND(IO11&gt;=IV$36,IP11&gt;=IV$40,IO11&lt;&gt;""),AND(IT11&gt;=IV$36,IU11&gt;=IV$40,IT11&lt;&gt;""),AND(JQ11&gt;=JX$36,JR11&gt;=JX$40,JQ11&lt;&gt;""),AND(JV11&gt;=JX$36,JW11&gt;=JX$40,JV11&lt;&gt;""),AND(KS11&gt;=KZ$36,KT11&gt;=KZ$40,KS11&lt;&gt;""),AND(KX11&gt;=KZ$36,KY11&gt;=KZ$40,KX11&lt;&gt;""),AND(LU11&gt;=MB$36,LV11&gt;=MB$40,LU11&lt;&gt;""),AND(LZ11&gt;=MB$36,MA11&gt;=MB$40,LZ11&lt;&gt;""),AND(MW11&gt;=ND$36,MX11&gt;=ND$40,MW11&lt;&gt;""),AND(NB11&gt;=ND$36,NC11&gt;=ND$40,NB11&lt;&gt;""),AND(NY11&gt;=OF$36,NZ11&gt;=OF$40,NY11&lt;&gt;""),AND(OD11&gt;=OF$36,OE11&gt;=OF$40,OD11&lt;&gt;""),AND(PA11&gt;=PH$36,PB11&gt;=PH$40,PA11&lt;&gt;""),AND(PF11&gt;=PH$36,PG11&gt;=PH$40,PF11&lt;&gt;"")),"P","")</f>
        <v/>
      </c>
      <c r="I11" s="3" t="str">
        <f>IF(OR(AND(AM11&gt;=AP$40,AM11&lt;&gt;"",AK11=""),AND(AO11&gt;=AP$40,AO11&lt;&gt;"",AK11=""),AND(BI11&gt;=BL$40,BI11&lt;&gt;"",BG11=""),AND(BK11&gt;=BL$40,BK11&lt;&gt;"",BG11=""),AND(CE11&gt;=CH$40,CE11&lt;&gt;"",CC11=""),AND(CG11&gt;=CH$40,CG11&lt;&gt;"",CC11=""),AND(DF11&gt;=DL$40,DF11&lt;&gt;""),AND(DK11&gt;=DL$40,DK11&lt;&gt;""),AND(EH11&gt;=EN$40,EH11&lt;&gt;""),AND(EM11&gt;=EN$40,EM11&lt;&gt;""),AND(FJ11&gt;=FP$40,FJ11&lt;&gt;""),AND(FO11&gt;=FP$40,FO11&lt;&gt;""),AND(GL11&gt;=GR$40,GL11&lt;&gt;""),AND(GQ11&gt;=GR$40,GQ11&lt;&gt;""),AND(HN11&gt;=HT$40,HN11&lt;&gt;""),AND(HS11&gt;=HT$40,HS11&lt;&gt;""),AND(IP11&gt;=IV$40,IP11&lt;&gt;""),AND(IU11&gt;=IV$40,IU11&lt;&gt;""),AND(JR11&gt;=JX$40,JR11&lt;&gt;""),AND(JW11&gt;=JX$40,JW11&lt;&gt;""),AND(KT11&gt;=KZ$40,KT11&lt;&gt;""),AND(KY11&gt;=KZ$40,KY11&lt;&gt;""),AND(LV11&gt;=MB$40,LV11&lt;&gt;""),AND(MA11&gt;=MB$40,MA11&lt;&gt;""),AND(MX11&gt;=ND$40,MX11&lt;&gt;""),AND(NC11&gt;=ND$40,NC11&lt;&gt;""),AND(NZ11&gt;=OF$40,NZ11&lt;&gt;""),AND(OE11&gt;=OF$40,OE11&lt;&gt;""),AND(PB11&gt;=PH$40,PB11&lt;&gt;""),AND(PG11&gt;=PH$40,PG11&lt;&gt;"")),"P","")</f>
        <v/>
      </c>
      <c r="J11" s="36" t="str">
        <f>IF(AND(I11="P",H11=""),"No DD",IF(OR(AND(AL11&gt;=AP$26,AM11&gt;=AP$30,AL11&lt;&gt;"",AK11=""),AND(BH11&gt;=BL$26,BI11&gt;=BL$30,BH11&lt;&gt;"",BG11=""),AND(CD11&gt;=CH$26,CE11&gt;=CH$30,CD11&lt;&gt;"",CC11=""),AND(DH11&gt;=DL$26,DI11&gt;=DL$30,DH11&lt;&gt;""),AND(EJ11&gt;=EN$26,EK11&gt;=EN$30,EJ11&lt;&gt;""),AND(FL11&gt;=FP$26,FM11&gt;=FP$30,FL11&lt;&gt;""),AND(GN11&gt;=GR$26,GO11&gt;=GR$30,GN11&lt;&gt;""),AND(HP11&gt;=HT$26,HQ11&gt;=HT$30,HP11&lt;&gt;""),AND(IR11&gt;=IV$26,IS11&gt;=IV$30,IR11&lt;&gt;""),AND(JT11&gt;=JX$26,JU11&gt;=JX$30,JT11&lt;&gt;""),AND(KV11&gt;=KZ$26,KW11&gt;=KZ$30,KV11&lt;&gt;""),AND(LX11&gt;=MB$26,LY11&gt;=MB$30,LX11&lt;&gt;""),AND(MZ11&gt;=ND$26,NA11&gt;=ND$30,MZ11&lt;&gt;""),AND(OB11&gt;=OF$26,OC11&gt;=OF$30,OB11&lt;&gt;""),AND(PD11&gt;=PH$26,PE11&gt;=PH$30,PD11&lt;&gt;"")),"Merit",IF(OR(AND(AL11&gt;=AP$25,AM11&gt;=AP$29,AL11&lt;&gt;"",AK11=""),AND(BH11&gt;=BL$25,BI11&gt;=BL$29,BH11&lt;&gt;"",BG11=""),AND(CD11&gt;=CH$25,CE11&gt;=CH$29,CD11&lt;&gt;"",CC11=""),AND(DH11&gt;=DL$25,DI11&gt;=DL$29,DH11&lt;&gt;""),AND(EJ11&gt;=EN$25,EK11&gt;=EN$29,EJ11&lt;&gt;""),AND(FL11&gt;=FP$25,FM11&gt;=FP$29,FL11&lt;&gt;""),AND(GN11&gt;=GR$25,GO11&gt;=GR$29,GN11&lt;&gt;""),AND(HP11&gt;=HT$25,HQ11&gt;=HT$29,HP11&lt;&gt;""),AND(IR11&gt;=IV$25,IS11&gt;=IV$29,IR11&lt;&gt;""),AND(JT11&gt;=JX$25,JU11&gt;=JX$29,JT11&lt;&gt;""),AND(KV11&gt;=KZ$25,KW11&gt;=KZ$29,KV11&lt;&gt;""),AND(LX11&gt;=MB$25,LY11&gt;=MB$29,LX11&lt;&gt;""),AND(MZ11&gt;=ND$25,NA11&gt;=ND$29,MZ11&lt;&gt;""),AND(OB11&gt;=OF$25,OC11&gt;=OF$29,OB11&lt;&gt;""),AND(PD11&gt;=PH$25,PE11&gt;=PH$29,PD11&lt;&gt;"")),"Excellence",IF(K11="P","Worlds Team",IF(H11="P","National Team","")))))</f>
        <v/>
      </c>
      <c r="K11" s="3" t="str">
        <f>IF(OR(AND(AL11&gt;=AP$24,AM11&gt;=AP$28,AL11&lt;&gt;"",AK11=""),AND(BH11&gt;=BL$24,BI11&gt;=BL$28,BH11&lt;&gt;"",BG11=""),AND(CD11&gt;=CH$24,CE11&gt;=CH$28,CD11&lt;&gt;"",CC11=""),AND(DH11&gt;=DL$24,DI11&gt;=DL$28,DH11&lt;&gt;""),AND(EJ11&gt;=EN$24,EK11&gt;=EN$28,EJ11&lt;&gt;""),AND(FL11&gt;=FP$24,FM11&gt;=FP$28,FL11&lt;&gt;""),AND(GN11&gt;=GR$24,GO11&gt;=GR$28,GN11&lt;&gt;""),AND(HP11&gt;=HT$24,HQ11&gt;=HT$28,HP11&lt;&gt;""),AND(IR11&gt;=IV$24,IS11&gt;=IV$28,IR11&lt;&gt;""),AND(JT11&gt;=JX$24,JU11&gt;=JX$28,JT11&lt;&gt;""),AND(KV11&gt;=KZ$24,KW11&gt;=KZ$28,KV11&lt;&gt;""),AND(LX11&gt;=MB$24,LY11&gt;=MB$28,LX11&lt;&gt;""),AND(MZ11&gt;=ND$24,NA11&gt;=ND$28,MZ11&lt;&gt;""),AND(OB11&gt;=OF$24,OC11&gt;=OF$28,OB11&lt;&gt;""),AND(PD11&gt;=PH$24,PE11&gt;=PH$28,PD11&lt;&gt;"")),"P","")</f>
        <v/>
      </c>
      <c r="L11" s="8">
        <f>IF(COUNT(AM11,BI11,CE11)&gt;0,LARGE((AM11,BI11,CE11),1),0)</f>
        <v>46.6</v>
      </c>
      <c r="M11" s="8" t="str">
        <f>IF(L11=0,"",IF(L11=CE11,$BM$1,IF(L11=BI11,$AQ$1,IF(L11=AM11,$U$1,""))))</f>
        <v>2025 Nationals</v>
      </c>
      <c r="N11" s="8">
        <f>IF(COUNT(AM11,BI11,CE11)&gt;1,LARGE((AM11,BI11,CE11),2),0)</f>
        <v>46.199999999999996</v>
      </c>
      <c r="O11" s="8" t="str">
        <f>IF(N11=0,"",IF(AND(N11=L11,N11=AM11,N11=BI11),$U$1,IF(AND(N11=L11,N11=AM11,N11=CE11),$U$1,IF(AND(N11=L11,N11=BI11,N11=CE11),$AQ$1,IF(N11=CE11,$BM$1,IF(N11=BI11,$AQ$1,IF(N11=AM11,$U$1,"")))))))</f>
        <v>2025 Elite Canada</v>
      </c>
      <c r="P11" s="8">
        <f>IF(MAX(AO11,BK11,CG11)&gt;0,MAX(AO11,BK11,CG11),0)</f>
        <v>46.7</v>
      </c>
      <c r="Q11" s="8" t="str">
        <f>IF(P11=0,"",IF(P11=CG11,$BM$1,IF(P11=BK11,$AQ$1,IF(P11=AO11,$U$1,""))))</f>
        <v>2025 Nationals</v>
      </c>
      <c r="R11" s="8" t="str">
        <f>IF(MAX(CI11:CJ11)&gt;0,MAX(CI11:CJ11),"")</f>
        <v/>
      </c>
      <c r="S11" s="11" t="str">
        <f>IF(R11="","",IF(R11=CI11,"("&amp;CI$2&amp;")",IF(R11=CJ11,"("&amp;CJ$2&amp;")")))</f>
        <v/>
      </c>
      <c r="T11" s="8" t="str">
        <f>IF(R11="","",IF(R11=CI11,IF(R11+IF(N11="",0,N11)=PB11,$OG$1,IF(R11+IF(N11="",0,N11)=NZ11,$NE$1,IF(R11+IF(N11="",0,N11)=MX11,$MC$1,IF(R11+IF(N11="",0,N11)=LV11,$LA$1,IF(R11+IF(N11="",0,N11)=KT11,$JY$1,IF(R11+IF(N11="",0,N11)=JR11,$IW$1,IF(R11+IF(N11="",0,N11)=IP11,$HU$1,IF(R11+IF(N11="",0,N11)=HN11,$GS$1,IF(R11+IF(N11="",0,N11)=GL11,$FQ$1,IF(R11+IF(N11="",0,N11)=FJ11,$EO$1,IF(R11+IF(N11="",0,N11)=EH11,$DM$1,IF(R11+IF(N11="",0,N11)=DF11,$CK$1)))))))))))),IF(R11=CJ11,IF(R11+IF(P11="",0,P11)=PG11,$OG$1,IF(R11+IF(P11="",0,P11)=OE11,$NE$1,IF(R11+IF(P11="",0,P11)=NC11,$MC$1,IF(R11+IF(P11="",0,P11)=MA11,$LA$1,IF(R11+IF(P11="",0,P11)=KY11,$JY$1,IF(R11+IF(P11="",0,P11)=JW11,$IW$1,IF(R11+IF(P11="",0,P11)=IU11,$HU$1,IF(R11+IF(P11="",0,P11)=HS11,$GS$1,IF(R11+IF(P11="",0,P11)=GQ11,$FQ$1,IF(R11+IF(P11="",0,P11)=FO11,$EO$1,IF(R11+IF(P11="",0,P11)=EM11,$DM$1,IF(R11+IF(P11="",0,P11)=DK11,$CK$1)))))))))))))))</f>
        <v/>
      </c>
      <c r="U11" s="19">
        <v>18.3</v>
      </c>
      <c r="V11" s="19">
        <v>4.8</v>
      </c>
      <c r="W11" s="19">
        <v>0</v>
      </c>
      <c r="X11" s="19">
        <v>0.3</v>
      </c>
      <c r="Y11" s="19">
        <v>18.600000000000001</v>
      </c>
      <c r="Z11" s="19">
        <v>4.8</v>
      </c>
      <c r="AA11" s="19">
        <v>0.6</v>
      </c>
      <c r="AB11" s="19">
        <v>0</v>
      </c>
      <c r="AC11" s="19">
        <v>18.100000000000001</v>
      </c>
      <c r="AD11" s="19">
        <v>4.8</v>
      </c>
      <c r="AE11" s="19">
        <v>0</v>
      </c>
      <c r="AF11" s="19">
        <v>0.3</v>
      </c>
      <c r="AG11" s="19">
        <v>18.100000000000001</v>
      </c>
      <c r="AH11" s="19">
        <v>4.8</v>
      </c>
      <c r="AI11" s="19">
        <v>0</v>
      </c>
      <c r="AJ11" s="19">
        <v>0</v>
      </c>
      <c r="AK11" s="27"/>
      <c r="AL11" s="40">
        <f>IF(SUM(V11,Z11)&gt;0,SUM(V11,Z11),"")</f>
        <v>9.6</v>
      </c>
      <c r="AM11" s="40">
        <f>IF(SUM(U11:V11,X11:Z11,AB11)-W11-AA11&gt;0,SUM(U11:V11,X11:Z11,AB11)-W11-AA11,"")</f>
        <v>46.199999999999996</v>
      </c>
      <c r="AN11" s="40">
        <f>IF(SUM(AD11,AH11)&gt;0,SUM(AD11,AH11),"")</f>
        <v>9.6</v>
      </c>
      <c r="AO11" s="40">
        <f>IF(SUM(AC11:AD11,AF11:AH11,AJ11)-SUM(AE11,AI11)&gt;0,SUM(AC11:AD11,AF11:AH11,AJ11)-SUM(AE11,AI11),"")</f>
        <v>46.1</v>
      </c>
      <c r="AP11" s="40">
        <f>IF(SUM(AM11,AO11)&gt;0,SUM(AM11,AO11),"")</f>
        <v>92.3</v>
      </c>
      <c r="AQ11" s="18">
        <v>18.3</v>
      </c>
      <c r="AR11" s="18">
        <v>5.2</v>
      </c>
      <c r="AS11" s="18">
        <v>0.6</v>
      </c>
      <c r="AT11" s="18">
        <v>0</v>
      </c>
      <c r="AU11" s="18">
        <v>18.5</v>
      </c>
      <c r="AV11" s="18">
        <v>5.2</v>
      </c>
      <c r="AW11" s="18">
        <v>0</v>
      </c>
      <c r="AX11" s="18">
        <v>0</v>
      </c>
      <c r="AY11" s="18">
        <v>18.5</v>
      </c>
      <c r="AZ11" s="18">
        <v>5.2</v>
      </c>
      <c r="BA11" s="18">
        <v>0.2</v>
      </c>
      <c r="BB11" s="18">
        <v>0</v>
      </c>
      <c r="BC11" s="18">
        <v>18.2</v>
      </c>
      <c r="BD11" s="18">
        <v>5.2</v>
      </c>
      <c r="BE11" s="18">
        <v>0.2</v>
      </c>
      <c r="BF11" s="18">
        <v>0</v>
      </c>
      <c r="BG11" s="28"/>
      <c r="BH11" s="11">
        <f>IF(SUM(AR11,AV11)&gt;0,SUM(AR11,AV11),"")</f>
        <v>10.4</v>
      </c>
      <c r="BI11" s="11">
        <f>IF(SUM(AQ11:AR11,AT11:AV11,AX11)-AS11-AW11&gt;0,SUM(AQ11:AR11,AT11:AV11,AX11)-AS11-AW11,"")</f>
        <v>46.6</v>
      </c>
      <c r="BJ11" s="11">
        <f>IF(SUM(AZ11,BD11)&gt;0,SUM(AZ11,BD11),"")</f>
        <v>10.4</v>
      </c>
      <c r="BK11" s="11">
        <f>IF(SUM(AY11:AZ11,BB11:BD11,BF11)-SUM(BA11,BE11)&gt;0,SUM(AY11:AZ11,BB11:BD11,BF11)-SUM(BA11,BE11),"")</f>
        <v>46.7</v>
      </c>
      <c r="BL11" s="11">
        <f>IF(SUM(BI11,BK11)&gt;0,SUM(BI11,BK11),"")</f>
        <v>93.300000000000011</v>
      </c>
      <c r="BM11" s="19">
        <v>18.3</v>
      </c>
      <c r="BN11" s="19">
        <v>4.8</v>
      </c>
      <c r="BO11" s="19">
        <v>0</v>
      </c>
      <c r="BP11" s="19">
        <v>0</v>
      </c>
      <c r="BQ11" s="19">
        <v>18.3</v>
      </c>
      <c r="BR11" s="19">
        <v>2</v>
      </c>
      <c r="BS11" s="19">
        <v>1.2</v>
      </c>
      <c r="BT11" s="19">
        <v>0</v>
      </c>
      <c r="BU11" s="19">
        <v>18</v>
      </c>
      <c r="BV11" s="19">
        <v>3.3</v>
      </c>
      <c r="BW11" s="19">
        <v>1.6</v>
      </c>
      <c r="BX11" s="19">
        <v>0</v>
      </c>
      <c r="BY11" s="19">
        <v>18.399999999999999</v>
      </c>
      <c r="BZ11" s="19">
        <v>4.4000000000000004</v>
      </c>
      <c r="CA11" s="19">
        <v>0.4</v>
      </c>
      <c r="CB11" s="19">
        <v>0</v>
      </c>
      <c r="CC11" s="27"/>
      <c r="CD11" s="40">
        <f>IF(SUM(BN11,BR11)&gt;0,SUM(BN11,BR11),"")</f>
        <v>6.8</v>
      </c>
      <c r="CE11" s="40">
        <f>IF(SUM(BM11:BN11,BP11:BR11,BT11)-BO11-BS11&gt;0,SUM(BM11:BN11,BP11:BR11,BT11)-BO11-BS11,"")</f>
        <v>42.2</v>
      </c>
      <c r="CF11" s="40">
        <f>IF(SUM(BV11,BZ11)&gt;0,SUM(BV11,BZ11),"")</f>
        <v>7.7</v>
      </c>
      <c r="CG11" s="40">
        <f>IF(SUM(BU11:BV11,BX11:BZ11,CB11)-SUM(BW11,CA11)&gt;0,SUM(BU11:BV11,BX11:BZ11,CB11)-SUM(BW11,CA11),"")</f>
        <v>42.1</v>
      </c>
      <c r="CH11" s="40">
        <f>IF(SUM(CE11,CG11)&gt;0,SUM(CE11,CG11),"")</f>
        <v>84.300000000000011</v>
      </c>
      <c r="CI11" s="50" t="str">
        <f>IF(MAX(DF11,EH11,FJ11,GL11,HN11,IP11,JR11,KT11,LV11,MX11,NZ11,PB11)-IF(N11="",0,N11)&gt;0.001,MAX(DF11,EH11,FJ11,GL11,HN11,IP11,JR11,KT11,LV11,MX11,NZ11,PB11)-IF(N11="",0,N11),"")</f>
        <v/>
      </c>
      <c r="CJ11" s="50" t="str">
        <f>IF(MAX(DK11,EM11,FO11,GQ11,HS11,IU11,JW11,KY11,MA11,NC11,OE11,PG11)-IF(P11="",0,P11)&gt;0.001,MAX(DK11,EM11,FO11,GQ11,HS11,IU11,JW11,KY11,MA11,NC11,OE11,PG11)-IF(P11="",0,P11),"")</f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>IF(SUM(CL11,CP11)&gt;0,SUM(CL11,CP11),"")</f>
        <v/>
      </c>
      <c r="DF11" s="40" t="str">
        <f>IF(SUM(CK11:CL11,CN11:CP11,CR11)-CM11-CQ11&gt;0,SUM(CK11:CL11,CN11:CP11,CR11)-CM11-CQ11,"")</f>
        <v/>
      </c>
      <c r="DG11" s="40" t="str">
        <f>IF(SUM(CS11:CT11,CV11)-CU11&gt;0,SUM(CS11:CT11,CV11)-CU11,"")</f>
        <v/>
      </c>
      <c r="DH11" s="40" t="str">
        <f>IF(SUM(CL11,CP11,CT11)&gt;0,SUM(CL11,CP11,CT11),"")</f>
        <v/>
      </c>
      <c r="DI11" s="40" t="str">
        <f>IF(SUM(DF11,DG11)&gt;0,SUM(DF11,DG11),"")</f>
        <v/>
      </c>
      <c r="DJ11" s="40" t="str">
        <f>IF(SUM(CX11,DB11)&gt;0,SUM(CX11,DB11),"")</f>
        <v/>
      </c>
      <c r="DK11" s="40" t="str">
        <f>IF(SUM(CW11:CX11,CZ11:DB11,DD11)-SUM(CY11,DC11)&gt;0,SUM(CW11:CX11,CZ11:DB11,DD11)-SUM(CY11,DC11),"")</f>
        <v/>
      </c>
      <c r="DL11" s="40" t="str">
        <f>IF(SUM(DF11,DG11,DK11)&gt;0,SUM(DF11,DG11,DK11),"")</f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>IF(SUM(DN11,DR11)&gt;0,SUM(DN11,DR11),"")</f>
        <v/>
      </c>
      <c r="EH11" s="11" t="str">
        <f>IF(SUM(DM11:DN11,DP11:DR11,DT11)-DO11-DS11&gt;0,SUM(DM11:DN11,DP11:DR11,DT11)-DO11-DS11,"")</f>
        <v/>
      </c>
      <c r="EI11" s="11" t="str">
        <f>IF(SUM(DU11:DV11,DX11)-DW11&gt;0,SUM(DU11:DV11,DX11)-DW11,"")</f>
        <v/>
      </c>
      <c r="EJ11" s="11" t="str">
        <f>IF(SUM(DN11,DR11,DV11)&gt;0,SUM(DN11,DR11,DV11),"")</f>
        <v/>
      </c>
      <c r="EK11" s="11" t="str">
        <f>IF(SUM(EH11,EI11)&gt;0,SUM(EH11,EI11),"")</f>
        <v/>
      </c>
      <c r="EL11" s="11" t="str">
        <f>IF(SUM(DZ11,ED11)&gt;0,SUM(DZ11,ED11),"")</f>
        <v/>
      </c>
      <c r="EM11" s="11" t="str">
        <f>IF(SUM(DY11:DZ11,EB11:ED11,EF11)-SUM(EA11,EE11)&gt;0,SUM(DY11:DZ11,EB11:ED11,EF11)-SUM(EA11,EE11),"")</f>
        <v/>
      </c>
      <c r="EN11" s="11" t="str">
        <f>IF(SUM(EH11,EI11,EM11)&gt;0,SUM(EH11,EI11,EM11),"")</f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>IF(SUM(EP11,ET11)&gt;0,SUM(EP11,ET11),"")</f>
        <v/>
      </c>
      <c r="FJ11" s="40" t="str">
        <f>IF(SUM(EO11:EP11,ER11:ET11,EV11)-EQ11-EU11&gt;0,SUM(EO11:EP11,ER11:ET11,EV11)-EQ11-EU11,"")</f>
        <v/>
      </c>
      <c r="FK11" s="40" t="str">
        <f>IF(SUM(EW11:EX11,EZ11)-EY11&gt;0,SUM(EW11:EX11,EZ11)-EY11,"")</f>
        <v/>
      </c>
      <c r="FL11" s="40" t="str">
        <f>IF(SUM(EP11,ET11,EX11)&gt;0,SUM(EP11,ET11,EX11),"")</f>
        <v/>
      </c>
      <c r="FM11" s="40" t="str">
        <f>IF(SUM(FJ11,FK11)&gt;0,SUM(FJ11,FK11),"")</f>
        <v/>
      </c>
      <c r="FN11" s="40" t="str">
        <f>IF(SUM(FB11,FF11)&gt;0,SUM(FB11,FF11),"")</f>
        <v/>
      </c>
      <c r="FO11" s="40" t="str">
        <f>IF(SUM(FA11:FB11,FD11:FF11,FH11)-SUM(FC11,FG11)&gt;0,SUM(FA11:FB11,FD11:FF11,FH11)-SUM(FC11,FG11),"")</f>
        <v/>
      </c>
      <c r="FP11" s="40" t="str">
        <f>IF(SUM(FJ11,FK11,FO11)&gt;0,SUM(FJ11,FK11,FO11),"")</f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>IF(SUM(FR11,FV11)&gt;0,SUM(FR11,FV11),"")</f>
        <v/>
      </c>
      <c r="GL11" s="11" t="str">
        <f>IF(SUM(FQ11:FR11,FT11:FV11,FX11)-FS11-FW11&gt;0,SUM(FQ11:FR11,FT11:FV11,FX11)-FS11-FW11,"")</f>
        <v/>
      </c>
      <c r="GM11" s="11" t="str">
        <f>IF(SUM(FY11:FZ11,GB11)-GA11&gt;0,SUM(FY11:FZ11,GB11)-GA11,"")</f>
        <v/>
      </c>
      <c r="GN11" s="11" t="str">
        <f>IF(SUM(FR11,FV11,FZ11)&gt;0,SUM(FR11,FV11,FZ11),"")</f>
        <v/>
      </c>
      <c r="GO11" s="11" t="str">
        <f>IF(SUM(GL11,GM11)&gt;0,SUM(GL11,GM11),"")</f>
        <v/>
      </c>
      <c r="GP11" s="11" t="str">
        <f>IF(SUM(GD11,GH11)&gt;0,SUM(GD11,GH11),"")</f>
        <v/>
      </c>
      <c r="GQ11" s="11" t="str">
        <f>IF(SUM(GC11:GD11,GF11:GH11,GJ11)-SUM(GE11,GI11)&gt;0,SUM(GC11:GD11,GF11:GH11,GJ11)-SUM(GE11,GI11),"")</f>
        <v/>
      </c>
      <c r="GR11" s="11" t="str">
        <f>IF(SUM(GL11,GM11,GQ11)&gt;0,SUM(GL11,GM11,GQ11),"")</f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>IF(SUM(GT11,GX11)&gt;0,SUM(GT11,GX11),"")</f>
        <v/>
      </c>
      <c r="HN11" s="40" t="str">
        <f>IF(SUM(GS11:GT11,GV11:GX11,GZ11)-GU11-GY11&gt;0,SUM(GS11:GT11,GV11:GX11,GZ11)-GU11-GY11,"")</f>
        <v/>
      </c>
      <c r="HO11" s="40" t="str">
        <f>IF(SUM(HA11:HB11,HD11)-HC11&gt;0,SUM(HA11:HB11,HD11)-HC11,"")</f>
        <v/>
      </c>
      <c r="HP11" s="40" t="str">
        <f>IF(SUM(GT11,GX11,HB11)&gt;0,SUM(GT11,GX11,HB11),"")</f>
        <v/>
      </c>
      <c r="HQ11" s="40" t="str">
        <f>IF(SUM(HN11,HO11)&gt;0,SUM(HN11,HO11),"")</f>
        <v/>
      </c>
      <c r="HR11" s="40" t="str">
        <f>IF(SUM(HF11,HJ11)&gt;0,SUM(HF11,HJ11),"")</f>
        <v/>
      </c>
      <c r="HS11" s="40" t="str">
        <f>IF(SUM(HE11:HF11,HH11:HJ11,HL11)-SUM(HG11,HK11)&gt;0,SUM(HE11:HF11,HH11:HJ11,HL11)-SUM(HG11,HK11),"")</f>
        <v/>
      </c>
      <c r="HT11" s="40" t="str">
        <f>IF(SUM(HN11,HO11,HS11)&gt;0,SUM(HN11,HO11,HS11),"")</f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>IF(SUM(HV11,HZ11)&gt;0,SUM(HV11,HZ11),"")</f>
        <v/>
      </c>
      <c r="IP11" s="11" t="str">
        <f>IF(SUM(HU11:HV11,HX11:HZ11,IB11)-HW11-IA11&gt;0,SUM(HU11:HV11,HX11:HZ11,IB11)-HW11-IA11,"")</f>
        <v/>
      </c>
      <c r="IQ11" s="11" t="str">
        <f>IF(SUM(IC11:ID11,IF11)-IE11&gt;0,SUM(IC11:ID11,IF11)-IE11,"")</f>
        <v/>
      </c>
      <c r="IR11" s="11" t="str">
        <f>IF(SUM(HV11,HZ11,ID11)&gt;0,SUM(HV11,HZ11,ID11),"")</f>
        <v/>
      </c>
      <c r="IS11" s="11" t="str">
        <f>IF(SUM(IP11,IQ11)&gt;0,SUM(IP11,IQ11),"")</f>
        <v/>
      </c>
      <c r="IT11" s="11" t="str">
        <f>IF(SUM(IH11,IL11)&gt;0,SUM(IH11,IL11),"")</f>
        <v/>
      </c>
      <c r="IU11" s="11" t="str">
        <f>IF(SUM(IG11:IH11,IJ11:IL11,IN11)-SUM(II11,IM11)&gt;0,SUM(IG11:IH11,IJ11:IL11,IN11)-SUM(II11,IM11),"")</f>
        <v/>
      </c>
      <c r="IV11" s="11" t="str">
        <f>IF(SUM(IP11,IQ11,IU11)&gt;0,SUM(IP11,IQ11,IU11),"")</f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>IF(SUM(IX11,JB11)&gt;0,SUM(IX11,JB11),"")</f>
        <v/>
      </c>
      <c r="JR11" s="40" t="str">
        <f>IF(SUM(IW11:IX11,IZ11:JB11,JD11)-IY11-JC11&gt;0,SUM(IW11:IX11,IZ11:JB11,JD11)-IY11-JC11,"")</f>
        <v/>
      </c>
      <c r="JS11" s="40" t="str">
        <f>IF(SUM(JE11:JF11,JH11)-JG11&gt;0,SUM(JE11:JF11,JH11)-JG11,"")</f>
        <v/>
      </c>
      <c r="JT11" s="40" t="str">
        <f>IF(SUM(IX11,JB11,JF11)&gt;0,SUM(IX11,JB11,JF11),"")</f>
        <v/>
      </c>
      <c r="JU11" s="40" t="str">
        <f>IF(SUM(JR11,JS11)&gt;0,SUM(JR11,JS11),"")</f>
        <v/>
      </c>
      <c r="JV11" s="40" t="str">
        <f>IF(SUM(JJ11,JN11)&gt;0,SUM(JJ11,JN11),"")</f>
        <v/>
      </c>
      <c r="JW11" s="40" t="str">
        <f>IF(SUM(JI11:JJ11,JL11:JN11,JP11)-SUM(JK11,JO11)&gt;0,SUM(JI11:JJ11,JL11:JN11,JP11)-SUM(JK11,JO11),"")</f>
        <v/>
      </c>
      <c r="JX11" s="40" t="str">
        <f>IF(SUM(JR11,JS11,JW11)&gt;0,SUM(JR11,JS11,JW11),"")</f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>IF(SUM(JZ11,KD11)&gt;0,SUM(JZ11,KD11),"")</f>
        <v/>
      </c>
      <c r="KT11" s="11" t="str">
        <f>IF(SUM(JY11:JZ11,KB11:KD11,KF11)-KA11-KE11&gt;0,SUM(JY11:JZ11,KB11:KD11,KF11)-KA11-KE11,"")</f>
        <v/>
      </c>
      <c r="KU11" s="11" t="str">
        <f>IF(SUM(KG11:KH11,KJ11)-KI11&gt;0,SUM(KG11:KH11,KJ11)-KI11,"")</f>
        <v/>
      </c>
      <c r="KV11" s="11" t="str">
        <f>IF(SUM(JZ11,KD11,KH11)&gt;0,SUM(JZ11,KD11,KH11),"")</f>
        <v/>
      </c>
      <c r="KW11" s="11" t="str">
        <f>IF(SUM(KT11,KU11)&gt;0,SUM(KT11,KU11),"")</f>
        <v/>
      </c>
      <c r="KX11" s="11" t="str">
        <f>IF(SUM(KL11,KP11)&gt;0,SUM(KL11,KP11),"")</f>
        <v/>
      </c>
      <c r="KY11" s="11" t="str">
        <f>IF(SUM(KK11:KL11,KN11:KP11,KR11)-SUM(KM11,KQ11)&gt;0,SUM(KK11:KL11,KN11:KP11,KR11)-SUM(KM11,KQ11),"")</f>
        <v/>
      </c>
      <c r="KZ11" s="11" t="str">
        <f>IF(SUM(KT11,KU11,KY11)&gt;0,SUM(KT11,KU11,KY11),"")</f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>IF(SUM(LB11,LF11)&gt;0,SUM(LB11,LF11),"")</f>
        <v/>
      </c>
      <c r="LV11" s="40" t="str">
        <f>IF(SUM(LA11:LB11,LD11:LF11,LH11)-LC11-LG11&gt;0,SUM(LA11:LB11,LD11:LF11,LH11)-LC11-LG11,"")</f>
        <v/>
      </c>
      <c r="LW11" s="40" t="str">
        <f>IF(SUM(LI11:LJ11,LL11)-LK11&gt;0,SUM(LI11:LJ11,LL11)-LK11,"")</f>
        <v/>
      </c>
      <c r="LX11" s="40" t="str">
        <f>IF(SUM(LB11,LF11,LJ11)&gt;0,SUM(LB11,LF11,LJ11),"")</f>
        <v/>
      </c>
      <c r="LY11" s="40" t="str">
        <f>IF(SUM(LV11,LW11)&gt;0,SUM(LV11,LW11),"")</f>
        <v/>
      </c>
      <c r="LZ11" s="40" t="str">
        <f>IF(SUM(LN11,LR11)&gt;0,SUM(LN11,LR11),"")</f>
        <v/>
      </c>
      <c r="MA11" s="40" t="str">
        <f>IF(SUM(LM11:LN11,LP11:LR11,LT11)-SUM(LO11,LS11)&gt;0,SUM(LM11:LN11,LP11:LR11,LT11)-SUM(LO11,LS11),"")</f>
        <v/>
      </c>
      <c r="MB11" s="40" t="str">
        <f>IF(SUM(LV11,LW11,MA11)&gt;0,SUM(LV11,LW11,MA11),"")</f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>IF(SUM(MD11,MH11)&gt;0,SUM(MD11,MH11),"")</f>
        <v/>
      </c>
      <c r="MX11" s="11" t="str">
        <f>IF(SUM(MC11:MD11,MF11:MH11,MJ11)-ME11-MI11&gt;0,SUM(MC11:MD11,MF11:MH11,MJ11)-ME11-MI11,"")</f>
        <v/>
      </c>
      <c r="MY11" s="11" t="str">
        <f>IF(SUM(MK11:ML11,MN11)-MM11&gt;0,SUM(MK11:ML11,MN11)-MM11,"")</f>
        <v/>
      </c>
      <c r="MZ11" s="11" t="str">
        <f>IF(SUM(MD11,MH11,ML11)&gt;0,SUM(MD11,MH11,ML11),"")</f>
        <v/>
      </c>
      <c r="NA11" s="11" t="str">
        <f>IF(SUM(MX11,MY11)&gt;0,SUM(MX11,MY11),"")</f>
        <v/>
      </c>
      <c r="NB11" s="11" t="str">
        <f>IF(SUM(MP11,MT11)&gt;0,SUM(MP11,MT11),"")</f>
        <v/>
      </c>
      <c r="NC11" s="11" t="str">
        <f>IF(SUM(MO11:MP11,MR11:MT11,MV11)-SUM(MQ11,MU11)&gt;0,SUM(MO11:MP11,MR11:MT11,MV11)-SUM(MQ11,MU11),"")</f>
        <v/>
      </c>
      <c r="ND11" s="11" t="str">
        <f>IF(SUM(MX11,MY11,NC11)&gt;0,SUM(MX11,MY11,NC11),"")</f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>IF(SUM(NF11,NJ11)&gt;0,SUM(NF11,NJ11),"")</f>
        <v/>
      </c>
      <c r="NZ11" s="40" t="str">
        <f>IF(SUM(NE11:NF11,NH11:NJ11,NL11)-NG11-NK11&gt;0,SUM(NE11:NF11,NH11:NJ11,NL11)-NG11-NK11,"")</f>
        <v/>
      </c>
      <c r="OA11" s="40" t="str">
        <f>IF(SUM(NM11:NN11,NP11)-NO11&gt;0,SUM(NM11:NN11,NP11)-NO11,"")</f>
        <v/>
      </c>
      <c r="OB11" s="40" t="str">
        <f>IF(SUM(NF11,NJ11,NN11)&gt;0,SUM(NF11,NJ11,NN11),"")</f>
        <v/>
      </c>
      <c r="OC11" s="40" t="str">
        <f>IF(SUM(NZ11,OA11)&gt;0,SUM(NZ11,OA11),"")</f>
        <v/>
      </c>
      <c r="OD11" s="40" t="str">
        <f>IF(SUM(NR11,NV11)&gt;0,SUM(NR11,NV11),"")</f>
        <v/>
      </c>
      <c r="OE11" s="40" t="str">
        <f>IF(SUM(NQ11:NR11,NT11:NV11,NX11)-SUM(NS11,NW11)&gt;0,SUM(NQ11:NR11,NT11:NV11,NX11)-SUM(NS11,NW11),"")</f>
        <v/>
      </c>
      <c r="OF11" s="40" t="str">
        <f>IF(SUM(NZ11,OA11,OE11)&gt;0,SUM(NZ11,OA11,OE11),"")</f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>IF(SUM(OH11,OL11)&gt;0,SUM(OH11,OL11),"")</f>
        <v/>
      </c>
      <c r="PB11" s="11" t="str">
        <f>IF(SUM(OG11:OH11,OJ11:OL11,ON11)-OI11-OM11&gt;0,SUM(OG11:OH11,OJ11:OL11,ON11)-OI11-OM11,"")</f>
        <v/>
      </c>
      <c r="PC11" s="11" t="str">
        <f>IF(SUM(OO11:OP11,OR11)-OQ11&gt;0,SUM(OO11:OP11,OR11)-OQ11,"")</f>
        <v/>
      </c>
      <c r="PD11" s="11" t="str">
        <f>IF(SUM(OH11,OL11,OP11)&gt;0,SUM(OH11,OL11,OP11),"")</f>
        <v/>
      </c>
      <c r="PE11" s="11" t="str">
        <f>IF(SUM(PB11,PC11)&gt;0,SUM(PB11,PC11),"")</f>
        <v/>
      </c>
      <c r="PF11" s="11" t="str">
        <f>IF(SUM(OT11,OX11)&gt;0,SUM(OT11,OX11),"")</f>
        <v/>
      </c>
      <c r="PG11" s="11" t="str">
        <f>IF(SUM(OS11:OT11,OV11:OX11,OZ11)-SUM(OU11,OY11)&gt;0,SUM(OS11:OT11,OV11:OX11,OZ11)-SUM(OU11,OY11),"")</f>
        <v/>
      </c>
      <c r="PH11" s="11" t="str">
        <f>IF(SUM(PB11,PC11,PG11)&gt;0,SUM(PB11,PC11,PG11),"")</f>
        <v/>
      </c>
      <c r="PI11" s="22">
        <f>IF($PY11="P",BM11,(BM11+AQ11)/2)</f>
        <v>18.3</v>
      </c>
      <c r="PJ11" s="22">
        <f>IF($PY11="P",BN11,(BN11+AR11)/2)</f>
        <v>4.8</v>
      </c>
      <c r="PK11" s="22">
        <f>IF($PY11="P",BO11,(BO11+AS11)/2)</f>
        <v>0</v>
      </c>
      <c r="PL11" s="22">
        <f>IF($PY11="P",BP11,(BP11+AT11)/2)</f>
        <v>0</v>
      </c>
      <c r="PM11" s="22">
        <f>IF($PY11="P",BQ11,(BQ11+AU11)/2)</f>
        <v>18.3</v>
      </c>
      <c r="PN11" s="22">
        <f>IF($PY11="P",BR11,(BR11+AV11)/2)</f>
        <v>2</v>
      </c>
      <c r="PO11" s="22">
        <f>IF($PY11="P",BS11,(BS11+AW11)/2)</f>
        <v>1.2</v>
      </c>
      <c r="PP11" s="22">
        <f>IF($PY11="P",BT11,(BT11+AX11)/2)</f>
        <v>0</v>
      </c>
      <c r="PQ11" s="22">
        <f>IF($PY11="P",BU11,(BU11+AY11)/2)</f>
        <v>18</v>
      </c>
      <c r="PR11" s="22">
        <f>IF($PY11="P",BV11,(BV11+AZ11)/2)</f>
        <v>3.3</v>
      </c>
      <c r="PS11" s="22">
        <f>IF($PY11="P",BW11,(BW11+BA11)/2)</f>
        <v>1.6</v>
      </c>
      <c r="PT11" s="22">
        <f>IF($PY11="P",BX11,(BX11+BB11)/2)</f>
        <v>0</v>
      </c>
      <c r="PU11" s="22">
        <f>IF($PY11="P",BY11,(BY11+BC11)/2)</f>
        <v>18.399999999999999</v>
      </c>
      <c r="PV11" s="22">
        <f>IF($PY11="P",BZ11,(BZ11+BD11)/2)</f>
        <v>4.4000000000000004</v>
      </c>
      <c r="PW11" s="22">
        <f>IF($PY11="P",CA11,(CA11+BE11)/2)</f>
        <v>0.4</v>
      </c>
      <c r="PX11" s="22">
        <f>IF($PY11="P",CB11,(CB11+BF11)/2)</f>
        <v>0</v>
      </c>
      <c r="PY11" s="27" t="s">
        <v>46</v>
      </c>
      <c r="PZ11" s="40">
        <f>IF(SUM(PJ11,PN11)&gt;0,SUM(PJ11,PN11),"")</f>
        <v>6.8</v>
      </c>
      <c r="QA11" s="40">
        <f>IF(SUM(PI11:PJ11,PL11:PN11,PP11)-PK11-PO11&gt;0,SUM(PI11:PJ11,PL11:PN11,PP11)-PK11-PO11,"")</f>
        <v>42.2</v>
      </c>
      <c r="QB11" s="40">
        <f>IF(SUM(PR11,PV11)&gt;0,SUM(PR11,PV11),"")</f>
        <v>7.7</v>
      </c>
      <c r="QC11" s="40">
        <f>IF(SUM(PQ11:PR11,PT11:PV11,PX11)-SUM(PS11,PW11)&gt;0,SUM(PQ11:PR11,PT11:PV11,PX11)-SUM(PS11,PW11),"")</f>
        <v>42.1</v>
      </c>
      <c r="QD11" s="40">
        <f>IF(SUM(QA11,QC11)&gt;0,SUM(QA11,QC11),"")</f>
        <v>84.300000000000011</v>
      </c>
    </row>
    <row r="12" spans="1:446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177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L12&gt;=AP$36,AM12&gt;=AP$40,AL12&lt;&gt;"",AK12=""),AND(AN12&gt;=AP$36,AO12&gt;=AP$40,AN12&lt;&gt;"",AK12=""),AND(BH12&gt;=BL$36,BI12&gt;=BL$40,BH12&lt;&gt;"",BG12=""),AND(BJ12&gt;=BL$36,BK12&gt;=BL$40,BJ12&lt;&gt;"",BG12=""),AND(CD12&gt;=CH$36,CE12&gt;=CH$40,CD12&lt;&gt;"",CC12=""),AND(CF12&gt;=CH$36,CG12&gt;=CH$40,CF12&lt;&gt;""),AND(DE12&gt;=DL$36,DF12&gt;=DL$40,DE12&lt;&gt;""),AND(DJ12&gt;=DL$36,DK12&gt;=DL$40,DJ12&lt;&gt;""),AND(EG12&gt;=EN$36,EH12&gt;=EN$40,EG12&lt;&gt;""),AND(EL12&gt;=EN$36,EM12&gt;=EN$40,EL12&lt;&gt;""),AND(FI12&gt;=FP$36,FJ12&gt;=FP$40,FI12&lt;&gt;""),AND(FN12&gt;=FP$36,FO12&gt;=FP$40,FN12&lt;&gt;""),AND(GK12&gt;=GR$36,GL12&gt;=GR$40,GK12&lt;&gt;""),AND(GP12&gt;=GR$36,GQ12&gt;=GR$40,GP12&lt;&gt;""),AND(HM12&gt;=HT$36,HN12&gt;=HT$40,HM12&lt;&gt;""),AND(HR12&gt;=HT$36,HS12&gt;=HT$40,HR12&lt;&gt;""),AND(IO12&gt;=IV$36,IP12&gt;=IV$40,IO12&lt;&gt;""),AND(IT12&gt;=IV$36,IU12&gt;=IV$40,IT12&lt;&gt;""),AND(JQ12&gt;=JX$36,JR12&gt;=JX$40,JQ12&lt;&gt;""),AND(JV12&gt;=JX$36,JW12&gt;=JX$40,JV12&lt;&gt;""),AND(KS12&gt;=KZ$36,KT12&gt;=KZ$40,KS12&lt;&gt;""),AND(KX12&gt;=KZ$36,KY12&gt;=KZ$40,KX12&lt;&gt;""),AND(LU12&gt;=MB$36,LV12&gt;=MB$40,LU12&lt;&gt;""),AND(LZ12&gt;=MB$36,MA12&gt;=MB$40,LZ12&lt;&gt;""),AND(MW12&gt;=ND$36,MX12&gt;=ND$40,MW12&lt;&gt;""),AND(NB12&gt;=ND$36,NC12&gt;=ND$40,NB12&lt;&gt;""),AND(NY12&gt;=OF$36,NZ12&gt;=OF$40,NY12&lt;&gt;""),AND(OD12&gt;=OF$36,OE12&gt;=OF$40,OD12&lt;&gt;""),AND(PA12&gt;=PH$36,PB12&gt;=PH$40,PA12&lt;&gt;""),AND(PF12&gt;=PH$36,PG12&gt;=PH$40,PF12&lt;&gt;"")),"P","")</f>
        <v/>
      </c>
      <c r="I12" s="3" t="str">
        <f>IF(OR(AND(AM12&gt;=AP$40,AM12&lt;&gt;"",AK12=""),AND(AO12&gt;=AP$40,AO12&lt;&gt;"",AK12=""),AND(BI12&gt;=BL$40,BI12&lt;&gt;"",BG12=""),AND(BK12&gt;=BL$40,BK12&lt;&gt;"",BG12=""),AND(CE12&gt;=CH$40,CE12&lt;&gt;"",CC12=""),AND(CG12&gt;=CH$40,CG12&lt;&gt;"",CC12=""),AND(DF12&gt;=DL$40,DF12&lt;&gt;""),AND(DK12&gt;=DL$40,DK12&lt;&gt;""),AND(EH12&gt;=EN$40,EH12&lt;&gt;""),AND(EM12&gt;=EN$40,EM12&lt;&gt;""),AND(FJ12&gt;=FP$40,FJ12&lt;&gt;""),AND(FO12&gt;=FP$40,FO12&lt;&gt;""),AND(GL12&gt;=GR$40,GL12&lt;&gt;""),AND(GQ12&gt;=GR$40,GQ12&lt;&gt;""),AND(HN12&gt;=HT$40,HN12&lt;&gt;""),AND(HS12&gt;=HT$40,HS12&lt;&gt;""),AND(IP12&gt;=IV$40,IP12&lt;&gt;""),AND(IU12&gt;=IV$40,IU12&lt;&gt;""),AND(JR12&gt;=JX$40,JR12&lt;&gt;""),AND(JW12&gt;=JX$40,JW12&lt;&gt;""),AND(KT12&gt;=KZ$40,KT12&lt;&gt;""),AND(KY12&gt;=KZ$40,KY12&lt;&gt;""),AND(LV12&gt;=MB$40,LV12&lt;&gt;""),AND(MA12&gt;=MB$40,MA12&lt;&gt;""),AND(MX12&gt;=ND$40,MX12&lt;&gt;""),AND(NC12&gt;=ND$40,NC12&lt;&gt;""),AND(NZ12&gt;=OF$40,NZ12&lt;&gt;""),AND(OE12&gt;=OF$40,OE12&lt;&gt;""),AND(PB12&gt;=PH$40,PB12&lt;&gt;""),AND(PG12&gt;=PH$40,PG12&lt;&gt;"")),"P","")</f>
        <v/>
      </c>
      <c r="J12" s="36" t="str">
        <f>IF(AND(I12="P",H12=""),"No DD",IF(OR(AND(AL12&gt;=AP$26,AM12&gt;=AP$30,AL12&lt;&gt;"",AK12=""),AND(BH12&gt;=BL$26,BI12&gt;=BL$30,BH12&lt;&gt;"",BG12=""),AND(CD12&gt;=CH$26,CE12&gt;=CH$30,CD12&lt;&gt;"",CC12=""),AND(DH12&gt;=DL$26,DI12&gt;=DL$30,DH12&lt;&gt;""),AND(EJ12&gt;=EN$26,EK12&gt;=EN$30,EJ12&lt;&gt;""),AND(FL12&gt;=FP$26,FM12&gt;=FP$30,FL12&lt;&gt;""),AND(GN12&gt;=GR$26,GO12&gt;=GR$30,GN12&lt;&gt;""),AND(HP12&gt;=HT$26,HQ12&gt;=HT$30,HP12&lt;&gt;""),AND(IR12&gt;=IV$26,IS12&gt;=IV$30,IR12&lt;&gt;""),AND(JT12&gt;=JX$26,JU12&gt;=JX$30,JT12&lt;&gt;""),AND(KV12&gt;=KZ$26,KW12&gt;=KZ$30,KV12&lt;&gt;""),AND(LX12&gt;=MB$26,LY12&gt;=MB$30,LX12&lt;&gt;""),AND(MZ12&gt;=ND$26,NA12&gt;=ND$30,MZ12&lt;&gt;""),AND(OB12&gt;=OF$26,OC12&gt;=OF$30,OB12&lt;&gt;""),AND(PD12&gt;=PH$26,PE12&gt;=PH$30,PD12&lt;&gt;"")),"Merit",IF(OR(AND(AL12&gt;=AP$25,AM12&gt;=AP$29,AL12&lt;&gt;"",AK12=""),AND(BH12&gt;=BL$25,BI12&gt;=BL$29,BH12&lt;&gt;"",BG12=""),AND(CD12&gt;=CH$25,CE12&gt;=CH$29,CD12&lt;&gt;"",CC12=""),AND(DH12&gt;=DL$25,DI12&gt;=DL$29,DH12&lt;&gt;""),AND(EJ12&gt;=EN$25,EK12&gt;=EN$29,EJ12&lt;&gt;""),AND(FL12&gt;=FP$25,FM12&gt;=FP$29,FL12&lt;&gt;""),AND(GN12&gt;=GR$25,GO12&gt;=GR$29,GN12&lt;&gt;""),AND(HP12&gt;=HT$25,HQ12&gt;=HT$29,HP12&lt;&gt;""),AND(IR12&gt;=IV$25,IS12&gt;=IV$29,IR12&lt;&gt;""),AND(JT12&gt;=JX$25,JU12&gt;=JX$29,JT12&lt;&gt;""),AND(KV12&gt;=KZ$25,KW12&gt;=KZ$29,KV12&lt;&gt;""),AND(LX12&gt;=MB$25,LY12&gt;=MB$29,LX12&lt;&gt;""),AND(MZ12&gt;=ND$25,NA12&gt;=ND$29,MZ12&lt;&gt;""),AND(OB12&gt;=OF$25,OC12&gt;=OF$29,OB12&lt;&gt;""),AND(PD12&gt;=PH$25,PE12&gt;=PH$29,PD12&lt;&gt;"")),"Excellence",IF(K12="P","Worlds Team",IF(H12="P","National Team","")))))</f>
        <v/>
      </c>
      <c r="K12" s="3" t="str">
        <f>IF(OR(AND(AL12&gt;=AP$24,AM12&gt;=AP$28,AL12&lt;&gt;"",AK12=""),AND(BH12&gt;=BL$24,BI12&gt;=BL$28,BH12&lt;&gt;"",BG12=""),AND(CD12&gt;=CH$24,CE12&gt;=CH$28,CD12&lt;&gt;"",CC12=""),AND(DH12&gt;=DL$24,DI12&gt;=DL$28,DH12&lt;&gt;""),AND(EJ12&gt;=EN$24,EK12&gt;=EN$28,EJ12&lt;&gt;""),AND(FL12&gt;=FP$24,FM12&gt;=FP$28,FL12&lt;&gt;""),AND(GN12&gt;=GR$24,GO12&gt;=GR$28,GN12&lt;&gt;""),AND(HP12&gt;=HT$24,HQ12&gt;=HT$28,HP12&lt;&gt;""),AND(IR12&gt;=IV$24,IS12&gt;=IV$28,IR12&lt;&gt;""),AND(JT12&gt;=JX$24,JU12&gt;=JX$28,JT12&lt;&gt;""),AND(KV12&gt;=KZ$24,KW12&gt;=KZ$28,KV12&lt;&gt;""),AND(LX12&gt;=MB$24,LY12&gt;=MB$28,LX12&lt;&gt;""),AND(MZ12&gt;=ND$24,NA12&gt;=ND$28,MZ12&lt;&gt;""),AND(OB12&gt;=OF$24,OC12&gt;=OF$28,OB12&lt;&gt;""),AND(PD12&gt;=PH$24,PE12&gt;=PH$28,PD12&lt;&gt;"")),"P","")</f>
        <v/>
      </c>
      <c r="L12" s="8">
        <f>IF(COUNT(AM12,BI12,CE12)&gt;0,LARGE((AM12,BI12,CE12),1),0)</f>
        <v>45.099999999999994</v>
      </c>
      <c r="M12" s="8" t="str">
        <f>IF(L12=0,"",IF(L12=CE12,$BM$1,IF(L12=BI12,$AQ$1,IF(L12=AM12,$U$1,""))))</f>
        <v>2025 Elite Canada</v>
      </c>
      <c r="N12" s="8">
        <f>IF(COUNT(AM12,BI12,CE12)&gt;1,LARGE((AM12,BI12,CE12),2),0)</f>
        <v>44.4</v>
      </c>
      <c r="O12" s="8" t="str">
        <f>IF(N12=0,"",IF(AND(N12=L12,N12=AM12,N12=BI12),$U$1,IF(AND(N12=L12,N12=AM12,N12=CE12),$U$1,IF(AND(N12=L12,N12=BI12,N12=CE12),$AQ$1,IF(N12=CE12,$BM$1,IF(N12=BI12,$AQ$1,IF(N12=AM12,$U$1,"")))))))</f>
        <v>2025 Nationals</v>
      </c>
      <c r="P12" s="8">
        <f>IF(MAX(AO12,BK12,CG12)&gt;0,MAX(AO12,BK12,CG12),0)</f>
        <v>45.4</v>
      </c>
      <c r="Q12" s="8" t="str">
        <f>IF(P12=0,"",IF(P12=CG12,$BM$1,IF(P12=BK12,$AQ$1,IF(P12=AO12,$U$1,""))))</f>
        <v>2025 Elite Canada</v>
      </c>
      <c r="R12" s="8" t="str">
        <f>IF(MAX(CI12:CJ12)&gt;0,MAX(CI12:CJ12),"")</f>
        <v/>
      </c>
      <c r="S12" s="11" t="str">
        <f>IF(R12="","",IF(R12=CI12,"("&amp;CI$2&amp;")",IF(R12=CJ12,"("&amp;CJ$2&amp;")")))</f>
        <v/>
      </c>
      <c r="T12" s="8" t="str">
        <f>IF(R12="","",IF(R12=CI12,IF(R12+IF(N12="",0,N12)=PB12,$OG$1,IF(R12+IF(N12="",0,N12)=NZ12,$NE$1,IF(R12+IF(N12="",0,N12)=MX12,$MC$1,IF(R12+IF(N12="",0,N12)=LV12,$LA$1,IF(R12+IF(N12="",0,N12)=KT12,$JY$1,IF(R12+IF(N12="",0,N12)=JR12,$IW$1,IF(R12+IF(N12="",0,N12)=IP12,$HU$1,IF(R12+IF(N12="",0,N12)=HN12,$GS$1,IF(R12+IF(N12="",0,N12)=GL12,$FQ$1,IF(R12+IF(N12="",0,N12)=FJ12,$EO$1,IF(R12+IF(N12="",0,N12)=EH12,$DM$1,IF(R12+IF(N12="",0,N12)=DF12,$CK$1)))))))))))),IF(R12=CJ12,IF(R12+IF(P12="",0,P12)=PG12,$OG$1,IF(R12+IF(P12="",0,P12)=OE12,$NE$1,IF(R12+IF(P12="",0,P12)=NC12,$MC$1,IF(R12+IF(P12="",0,P12)=MA12,$LA$1,IF(R12+IF(P12="",0,P12)=KY12,$JY$1,IF(R12+IF(P12="",0,P12)=JW12,$IW$1,IF(R12+IF(P12="",0,P12)=IU12,$HU$1,IF(R12+IF(P12="",0,P12)=HS12,$GS$1,IF(R12+IF(P12="",0,P12)=GQ12,$FQ$1,IF(R12+IF(P12="",0,P12)=FO12,$EO$1,IF(R12+IF(P12="",0,P12)=EM12,$DM$1,IF(R12+IF(P12="",0,P12)=DK12,$CK$1)))))))))))))))</f>
        <v/>
      </c>
      <c r="U12" s="19">
        <v>18.3</v>
      </c>
      <c r="V12" s="19">
        <v>4.8</v>
      </c>
      <c r="W12" s="19">
        <v>1</v>
      </c>
      <c r="X12" s="19">
        <v>0.3</v>
      </c>
      <c r="Y12" s="19">
        <v>18.100000000000001</v>
      </c>
      <c r="Z12" s="19">
        <v>4.8</v>
      </c>
      <c r="AA12" s="19">
        <v>0.2</v>
      </c>
      <c r="AB12" s="19">
        <v>0</v>
      </c>
      <c r="AC12" s="19">
        <v>18.3</v>
      </c>
      <c r="AD12" s="19">
        <v>5.2</v>
      </c>
      <c r="AE12" s="19">
        <v>0.8</v>
      </c>
      <c r="AF12" s="19">
        <v>0.3</v>
      </c>
      <c r="AG12" s="19">
        <v>18.2</v>
      </c>
      <c r="AH12" s="19">
        <v>4.4000000000000004</v>
      </c>
      <c r="AI12" s="19">
        <v>0.2</v>
      </c>
      <c r="AJ12" s="19">
        <v>0</v>
      </c>
      <c r="AK12" s="27"/>
      <c r="AL12" s="40">
        <f>IF(SUM(V12,Z12)&gt;0,SUM(V12,Z12),"")</f>
        <v>9.6</v>
      </c>
      <c r="AM12" s="40">
        <f>IF(SUM(U12:V12,X12:Z12,AB12)-W12-AA12&gt;0,SUM(U12:V12,X12:Z12,AB12)-W12-AA12,"")</f>
        <v>45.099999999999994</v>
      </c>
      <c r="AN12" s="40">
        <f>IF(SUM(AD12,AH12)&gt;0,SUM(AD12,AH12),"")</f>
        <v>9.6000000000000014</v>
      </c>
      <c r="AO12" s="40">
        <f>IF(SUM(AC12:AD12,AF12:AH12,AJ12)-SUM(AE12,AI12)&gt;0,SUM(AC12:AD12,AF12:AH12,AJ12)-SUM(AE12,AI12),"")</f>
        <v>45.4</v>
      </c>
      <c r="AP12" s="40">
        <f>IF(SUM(AM12,AO12)&gt;0,SUM(AM12,AO12),"")</f>
        <v>90.5</v>
      </c>
      <c r="AQ12" s="18">
        <v>18</v>
      </c>
      <c r="AR12" s="18">
        <v>5.6</v>
      </c>
      <c r="AS12" s="18">
        <v>0.2</v>
      </c>
      <c r="AT12" s="18">
        <v>0</v>
      </c>
      <c r="AU12" s="18">
        <v>16.2</v>
      </c>
      <c r="AV12" s="18">
        <v>5.6</v>
      </c>
      <c r="AW12" s="18">
        <v>0.8</v>
      </c>
      <c r="AX12" s="18">
        <v>0</v>
      </c>
      <c r="AY12" s="18"/>
      <c r="AZ12" s="18"/>
      <c r="BA12" s="18"/>
      <c r="BB12" s="18"/>
      <c r="BC12" s="18"/>
      <c r="BD12" s="18"/>
      <c r="BE12" s="18"/>
      <c r="BF12" s="18"/>
      <c r="BG12" s="28"/>
      <c r="BH12" s="11">
        <f>IF(SUM(AR12,AV12)&gt;0,SUM(AR12,AV12),"")</f>
        <v>11.2</v>
      </c>
      <c r="BI12" s="11">
        <f>IF(SUM(AQ12:AR12,AT12:AV12,AX12)-AS12-AW12&gt;0,SUM(AQ12:AR12,AT12:AV12,AX12)-AS12-AW12,"")</f>
        <v>44.4</v>
      </c>
      <c r="BJ12" s="11" t="str">
        <f>IF(SUM(AZ12,BD12)&gt;0,SUM(AZ12,BD12),"")</f>
        <v/>
      </c>
      <c r="BK12" s="11" t="str">
        <f>IF(SUM(AY12:AZ12,BB12:BD12,BF12)-SUM(BA12,BE12)&gt;0,SUM(AY12:AZ12,BB12:BD12,BF12)-SUM(BA12,BE12),"")</f>
        <v/>
      </c>
      <c r="BL12" s="11">
        <f>IF(SUM(BI12,BK12)&gt;0,SUM(BI12,BK12),"")</f>
        <v>44.4</v>
      </c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27"/>
      <c r="CD12" s="40" t="str">
        <f>IF(SUM(BN12,BR12)&gt;0,SUM(BN12,BR12),"")</f>
        <v/>
      </c>
      <c r="CE12" s="40" t="str">
        <f>IF(SUM(BM12:BN12,BP12:BR12,BT12)-BO12-BS12&gt;0,SUM(BM12:BN12,BP12:BR12,BT12)-BO12-BS12,"")</f>
        <v/>
      </c>
      <c r="CF12" s="40" t="str">
        <f>IF(SUM(BV12,BZ12)&gt;0,SUM(BV12,BZ12),"")</f>
        <v/>
      </c>
      <c r="CG12" s="40" t="str">
        <f>IF(SUM(BU12:BV12,BX12:BZ12,CB12)-SUM(BW12,CA12)&gt;0,SUM(BU12:BV12,BX12:BZ12,CB12)-SUM(BW12,CA12),"")</f>
        <v/>
      </c>
      <c r="CH12" s="40" t="str">
        <f>IF(SUM(CE12,CG12)&gt;0,SUM(CE12,CG12),"")</f>
        <v/>
      </c>
      <c r="CI12" s="50" t="str">
        <f>IF(MAX(DF12,EH12,FJ12,GL12,HN12,IP12,JR12,KT12,LV12,MX12,NZ12,PB12)-IF(N12="",0,N12)&gt;0.001,MAX(DF12,EH12,FJ12,GL12,HN12,IP12,JR12,KT12,LV12,MX12,NZ12,PB12)-IF(N12="",0,N12),"")</f>
        <v/>
      </c>
      <c r="CJ12" s="50" t="str">
        <f>IF(MAX(DK12,EM12,FO12,GQ12,HS12,IU12,JW12,KY12,MA12,NC12,OE12,PG12)-IF(P12="",0,P12)&gt;0.001,MAX(DK12,EM12,FO12,GQ12,HS12,IU12,JW12,KY12,MA12,NC12,OE12,PG12)-IF(P12="",0,P12),"")</f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>IF(SUM(CL12,CP12)&gt;0,SUM(CL12,CP12),"")</f>
        <v/>
      </c>
      <c r="DF12" s="40" t="str">
        <f>IF(SUM(CK12:CL12,CN12:CP12,CR12)-CM12-CQ12&gt;0,SUM(CK12:CL12,CN12:CP12,CR12)-CM12-CQ12,"")</f>
        <v/>
      </c>
      <c r="DG12" s="40" t="str">
        <f>IF(SUM(CS12:CT12,CV12)-CU12&gt;0,SUM(CS12:CT12,CV12)-CU12,"")</f>
        <v/>
      </c>
      <c r="DH12" s="40" t="str">
        <f>IF(SUM(CL12,CP12,CT12)&gt;0,SUM(CL12,CP12,CT12),"")</f>
        <v/>
      </c>
      <c r="DI12" s="40" t="str">
        <f>IF(SUM(DF12,DG12)&gt;0,SUM(DF12,DG12),"")</f>
        <v/>
      </c>
      <c r="DJ12" s="40" t="str">
        <f>IF(SUM(CX12,DB12)&gt;0,SUM(CX12,DB12),"")</f>
        <v/>
      </c>
      <c r="DK12" s="40" t="str">
        <f>IF(SUM(CW12:CX12,CZ12:DB12,DD12)-SUM(CY12,DC12)&gt;0,SUM(CW12:CX12,CZ12:DB12,DD12)-SUM(CY12,DC12),"")</f>
        <v/>
      </c>
      <c r="DL12" s="40" t="str">
        <f>IF(SUM(DF12,DG12,DK12)&gt;0,SUM(DF12,DG12,DK12),"")</f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>IF(SUM(DN12,DR12)&gt;0,SUM(DN12,DR12),"")</f>
        <v/>
      </c>
      <c r="EH12" s="11" t="str">
        <f>IF(SUM(DM12:DN12,DP12:DR12,DT12)-DO12-DS12&gt;0,SUM(DM12:DN12,DP12:DR12,DT12)-DO12-DS12,"")</f>
        <v/>
      </c>
      <c r="EI12" s="11" t="str">
        <f>IF(SUM(DU12:DV12,DX12)-DW12&gt;0,SUM(DU12:DV12,DX12)-DW12,"")</f>
        <v/>
      </c>
      <c r="EJ12" s="11" t="str">
        <f>IF(SUM(DN12,DR12,DV12)&gt;0,SUM(DN12,DR12,DV12),"")</f>
        <v/>
      </c>
      <c r="EK12" s="11" t="str">
        <f>IF(SUM(EH12,EI12)&gt;0,SUM(EH12,EI12),"")</f>
        <v/>
      </c>
      <c r="EL12" s="11" t="str">
        <f>IF(SUM(DZ12,ED12)&gt;0,SUM(DZ12,ED12),"")</f>
        <v/>
      </c>
      <c r="EM12" s="11" t="str">
        <f>IF(SUM(DY12:DZ12,EB12:ED12,EF12)-SUM(EA12,EE12)&gt;0,SUM(DY12:DZ12,EB12:ED12,EF12)-SUM(EA12,EE12),"")</f>
        <v/>
      </c>
      <c r="EN12" s="11" t="str">
        <f>IF(SUM(EH12,EI12,EM12)&gt;0,SUM(EH12,EI12,EM12),"")</f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>IF(SUM(EP12,ET12)&gt;0,SUM(EP12,ET12),"")</f>
        <v/>
      </c>
      <c r="FJ12" s="40" t="str">
        <f>IF(SUM(EO12:EP12,ER12:ET12,EV12)-EQ12-EU12&gt;0,SUM(EO12:EP12,ER12:ET12,EV12)-EQ12-EU12,"")</f>
        <v/>
      </c>
      <c r="FK12" s="40" t="str">
        <f>IF(SUM(EW12:EX12,EZ12)-EY12&gt;0,SUM(EW12:EX12,EZ12)-EY12,"")</f>
        <v/>
      </c>
      <c r="FL12" s="40" t="str">
        <f>IF(SUM(EP12,ET12,EX12)&gt;0,SUM(EP12,ET12,EX12),"")</f>
        <v/>
      </c>
      <c r="FM12" s="40" t="str">
        <f>IF(SUM(FJ12,FK12)&gt;0,SUM(FJ12,FK12),"")</f>
        <v/>
      </c>
      <c r="FN12" s="40" t="str">
        <f>IF(SUM(FB12,FF12)&gt;0,SUM(FB12,FF12),"")</f>
        <v/>
      </c>
      <c r="FO12" s="40" t="str">
        <f>IF(SUM(FA12:FB12,FD12:FF12,FH12)-SUM(FC12,FG12)&gt;0,SUM(FA12:FB12,FD12:FF12,FH12)-SUM(FC12,FG12),"")</f>
        <v/>
      </c>
      <c r="FP12" s="40" t="str">
        <f>IF(SUM(FJ12,FK12,FO12)&gt;0,SUM(FJ12,FK12,FO12),"")</f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>IF(SUM(FR12,FV12)&gt;0,SUM(FR12,FV12),"")</f>
        <v/>
      </c>
      <c r="GL12" s="11" t="str">
        <f>IF(SUM(FQ12:FR12,FT12:FV12,FX12)-FS12-FW12&gt;0,SUM(FQ12:FR12,FT12:FV12,FX12)-FS12-FW12,"")</f>
        <v/>
      </c>
      <c r="GM12" s="11" t="str">
        <f>IF(SUM(FY12:FZ12,GB12)-GA12&gt;0,SUM(FY12:FZ12,GB12)-GA12,"")</f>
        <v/>
      </c>
      <c r="GN12" s="11" t="str">
        <f>IF(SUM(FR12,FV12,FZ12)&gt;0,SUM(FR12,FV12,FZ12),"")</f>
        <v/>
      </c>
      <c r="GO12" s="11" t="str">
        <f>IF(SUM(GL12,GM12)&gt;0,SUM(GL12,GM12),"")</f>
        <v/>
      </c>
      <c r="GP12" s="11" t="str">
        <f>IF(SUM(GD12,GH12)&gt;0,SUM(GD12,GH12),"")</f>
        <v/>
      </c>
      <c r="GQ12" s="11" t="str">
        <f>IF(SUM(GC12:GD12,GF12:GH12,GJ12)-SUM(GE12,GI12)&gt;0,SUM(GC12:GD12,GF12:GH12,GJ12)-SUM(GE12,GI12),"")</f>
        <v/>
      </c>
      <c r="GR12" s="11" t="str">
        <f>IF(SUM(GL12,GM12,GQ12)&gt;0,SUM(GL12,GM12,GQ12),"")</f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>IF(SUM(GT12,GX12)&gt;0,SUM(GT12,GX12),"")</f>
        <v/>
      </c>
      <c r="HN12" s="40" t="str">
        <f>IF(SUM(GS12:GT12,GV12:GX12,GZ12)-GU12-GY12&gt;0,SUM(GS12:GT12,GV12:GX12,GZ12)-GU12-GY12,"")</f>
        <v/>
      </c>
      <c r="HO12" s="40" t="str">
        <f>IF(SUM(HA12:HB12,HD12)-HC12&gt;0,SUM(HA12:HB12,HD12)-HC12,"")</f>
        <v/>
      </c>
      <c r="HP12" s="40" t="str">
        <f>IF(SUM(GT12,GX12,HB12)&gt;0,SUM(GT12,GX12,HB12),"")</f>
        <v/>
      </c>
      <c r="HQ12" s="40" t="str">
        <f>IF(SUM(HN12,HO12)&gt;0,SUM(HN12,HO12),"")</f>
        <v/>
      </c>
      <c r="HR12" s="40" t="str">
        <f>IF(SUM(HF12,HJ12)&gt;0,SUM(HF12,HJ12),"")</f>
        <v/>
      </c>
      <c r="HS12" s="40" t="str">
        <f>IF(SUM(HE12:HF12,HH12:HJ12,HL12)-SUM(HG12,HK12)&gt;0,SUM(HE12:HF12,HH12:HJ12,HL12)-SUM(HG12,HK12),"")</f>
        <v/>
      </c>
      <c r="HT12" s="40" t="str">
        <f>IF(SUM(HN12,HO12,HS12)&gt;0,SUM(HN12,HO12,HS12),"")</f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>IF(SUM(HV12,HZ12)&gt;0,SUM(HV12,HZ12),"")</f>
        <v/>
      </c>
      <c r="IP12" s="11" t="str">
        <f>IF(SUM(HU12:HV12,HX12:HZ12,IB12)-HW12-IA12&gt;0,SUM(HU12:HV12,HX12:HZ12,IB12)-HW12-IA12,"")</f>
        <v/>
      </c>
      <c r="IQ12" s="11" t="str">
        <f>IF(SUM(IC12:ID12,IF12)-IE12&gt;0,SUM(IC12:ID12,IF12)-IE12,"")</f>
        <v/>
      </c>
      <c r="IR12" s="11" t="str">
        <f>IF(SUM(HV12,HZ12,ID12)&gt;0,SUM(HV12,HZ12,ID12),"")</f>
        <v/>
      </c>
      <c r="IS12" s="11" t="str">
        <f>IF(SUM(IP12,IQ12)&gt;0,SUM(IP12,IQ12),"")</f>
        <v/>
      </c>
      <c r="IT12" s="11" t="str">
        <f>IF(SUM(IH12,IL12)&gt;0,SUM(IH12,IL12),"")</f>
        <v/>
      </c>
      <c r="IU12" s="11" t="str">
        <f>IF(SUM(IG12:IH12,IJ12:IL12,IN12)-SUM(II12,IM12)&gt;0,SUM(IG12:IH12,IJ12:IL12,IN12)-SUM(II12,IM12),"")</f>
        <v/>
      </c>
      <c r="IV12" s="11" t="str">
        <f>IF(SUM(IP12,IQ12,IU12)&gt;0,SUM(IP12,IQ12,IU12),"")</f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>IF(SUM(IX12,JB12)&gt;0,SUM(IX12,JB12),"")</f>
        <v/>
      </c>
      <c r="JR12" s="40" t="str">
        <f>IF(SUM(IW12:IX12,IZ12:JB12,JD12)-IY12-JC12&gt;0,SUM(IW12:IX12,IZ12:JB12,JD12)-IY12-JC12,"")</f>
        <v/>
      </c>
      <c r="JS12" s="40" t="str">
        <f>IF(SUM(JE12:JF12,JH12)-JG12&gt;0,SUM(JE12:JF12,JH12)-JG12,"")</f>
        <v/>
      </c>
      <c r="JT12" s="40" t="str">
        <f>IF(SUM(IX12,JB12,JF12)&gt;0,SUM(IX12,JB12,JF12),"")</f>
        <v/>
      </c>
      <c r="JU12" s="40" t="str">
        <f>IF(SUM(JR12,JS12)&gt;0,SUM(JR12,JS12),"")</f>
        <v/>
      </c>
      <c r="JV12" s="40" t="str">
        <f>IF(SUM(JJ12,JN12)&gt;0,SUM(JJ12,JN12),"")</f>
        <v/>
      </c>
      <c r="JW12" s="40" t="str">
        <f>IF(SUM(JI12:JJ12,JL12:JN12,JP12)-SUM(JK12,JO12)&gt;0,SUM(JI12:JJ12,JL12:JN12,JP12)-SUM(JK12,JO12),"")</f>
        <v/>
      </c>
      <c r="JX12" s="40" t="str">
        <f>IF(SUM(JR12,JS12,JW12)&gt;0,SUM(JR12,JS12,JW12),"")</f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>IF(SUM(JZ12,KD12)&gt;0,SUM(JZ12,KD12),"")</f>
        <v/>
      </c>
      <c r="KT12" s="11" t="str">
        <f>IF(SUM(JY12:JZ12,KB12:KD12,KF12)-KA12-KE12&gt;0,SUM(JY12:JZ12,KB12:KD12,KF12)-KA12-KE12,"")</f>
        <v/>
      </c>
      <c r="KU12" s="11" t="str">
        <f>IF(SUM(KG12:KH12,KJ12)-KI12&gt;0,SUM(KG12:KH12,KJ12)-KI12,"")</f>
        <v/>
      </c>
      <c r="KV12" s="11" t="str">
        <f>IF(SUM(JZ12,KD12,KH12)&gt;0,SUM(JZ12,KD12,KH12),"")</f>
        <v/>
      </c>
      <c r="KW12" s="11" t="str">
        <f>IF(SUM(KT12,KU12)&gt;0,SUM(KT12,KU12),"")</f>
        <v/>
      </c>
      <c r="KX12" s="11" t="str">
        <f>IF(SUM(KL12,KP12)&gt;0,SUM(KL12,KP12),"")</f>
        <v/>
      </c>
      <c r="KY12" s="11" t="str">
        <f>IF(SUM(KK12:KL12,KN12:KP12,KR12)-SUM(KM12,KQ12)&gt;0,SUM(KK12:KL12,KN12:KP12,KR12)-SUM(KM12,KQ12),"")</f>
        <v/>
      </c>
      <c r="KZ12" s="11" t="str">
        <f>IF(SUM(KT12,KU12,KY12)&gt;0,SUM(KT12,KU12,KY12),"")</f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>IF(SUM(LB12,LF12)&gt;0,SUM(LB12,LF12),"")</f>
        <v/>
      </c>
      <c r="LV12" s="40" t="str">
        <f>IF(SUM(LA12:LB12,LD12:LF12,LH12)-LC12-LG12&gt;0,SUM(LA12:LB12,LD12:LF12,LH12)-LC12-LG12,"")</f>
        <v/>
      </c>
      <c r="LW12" s="40" t="str">
        <f>IF(SUM(LI12:LJ12,LL12)-LK12&gt;0,SUM(LI12:LJ12,LL12)-LK12,"")</f>
        <v/>
      </c>
      <c r="LX12" s="40" t="str">
        <f>IF(SUM(LB12,LF12,LJ12)&gt;0,SUM(LB12,LF12,LJ12),"")</f>
        <v/>
      </c>
      <c r="LY12" s="40" t="str">
        <f>IF(SUM(LV12,LW12)&gt;0,SUM(LV12,LW12),"")</f>
        <v/>
      </c>
      <c r="LZ12" s="40" t="str">
        <f>IF(SUM(LN12,LR12)&gt;0,SUM(LN12,LR12),"")</f>
        <v/>
      </c>
      <c r="MA12" s="40" t="str">
        <f>IF(SUM(LM12:LN12,LP12:LR12,LT12)-SUM(LO12,LS12)&gt;0,SUM(LM12:LN12,LP12:LR12,LT12)-SUM(LO12,LS12),"")</f>
        <v/>
      </c>
      <c r="MB12" s="40" t="str">
        <f>IF(SUM(LV12,LW12,MA12)&gt;0,SUM(LV12,LW12,MA12),"")</f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>IF(SUM(MD12,MH12)&gt;0,SUM(MD12,MH12),"")</f>
        <v/>
      </c>
      <c r="MX12" s="11" t="str">
        <f>IF(SUM(MC12:MD12,MF12:MH12,MJ12)-ME12-MI12&gt;0,SUM(MC12:MD12,MF12:MH12,MJ12)-ME12-MI12,"")</f>
        <v/>
      </c>
      <c r="MY12" s="11" t="str">
        <f>IF(SUM(MK12:ML12,MN12)-MM12&gt;0,SUM(MK12:ML12,MN12)-MM12,"")</f>
        <v/>
      </c>
      <c r="MZ12" s="11" t="str">
        <f>IF(SUM(MD12,MH12,ML12)&gt;0,SUM(MD12,MH12,ML12),"")</f>
        <v/>
      </c>
      <c r="NA12" s="11" t="str">
        <f>IF(SUM(MX12,MY12)&gt;0,SUM(MX12,MY12),"")</f>
        <v/>
      </c>
      <c r="NB12" s="11" t="str">
        <f>IF(SUM(MP12,MT12)&gt;0,SUM(MP12,MT12),"")</f>
        <v/>
      </c>
      <c r="NC12" s="11" t="str">
        <f>IF(SUM(MO12:MP12,MR12:MT12,MV12)-SUM(MQ12,MU12)&gt;0,SUM(MO12:MP12,MR12:MT12,MV12)-SUM(MQ12,MU12),"")</f>
        <v/>
      </c>
      <c r="ND12" s="11" t="str">
        <f>IF(SUM(MX12,MY12,NC12)&gt;0,SUM(MX12,MY12,NC12),"")</f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>IF(SUM(NF12,NJ12)&gt;0,SUM(NF12,NJ12),"")</f>
        <v/>
      </c>
      <c r="NZ12" s="40" t="str">
        <f>IF(SUM(NE12:NF12,NH12:NJ12,NL12)-NG12-NK12&gt;0,SUM(NE12:NF12,NH12:NJ12,NL12)-NG12-NK12,"")</f>
        <v/>
      </c>
      <c r="OA12" s="40" t="str">
        <f>IF(SUM(NM12:NN12,NP12)-NO12&gt;0,SUM(NM12:NN12,NP12)-NO12,"")</f>
        <v/>
      </c>
      <c r="OB12" s="40" t="str">
        <f>IF(SUM(NF12,NJ12,NN12)&gt;0,SUM(NF12,NJ12,NN12),"")</f>
        <v/>
      </c>
      <c r="OC12" s="40" t="str">
        <f>IF(SUM(NZ12,OA12)&gt;0,SUM(NZ12,OA12),"")</f>
        <v/>
      </c>
      <c r="OD12" s="40" t="str">
        <f>IF(SUM(NR12,NV12)&gt;0,SUM(NR12,NV12),"")</f>
        <v/>
      </c>
      <c r="OE12" s="40" t="str">
        <f>IF(SUM(NQ12:NR12,NT12:NV12,NX12)-SUM(NS12,NW12)&gt;0,SUM(NQ12:NR12,NT12:NV12,NX12)-SUM(NS12,NW12),"")</f>
        <v/>
      </c>
      <c r="OF12" s="40" t="str">
        <f>IF(SUM(NZ12,OA12,OE12)&gt;0,SUM(NZ12,OA12,OE12),"")</f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>IF(SUM(OH12,OL12)&gt;0,SUM(OH12,OL12),"")</f>
        <v/>
      </c>
      <c r="PB12" s="11" t="str">
        <f>IF(SUM(OG12:OH12,OJ12:OL12,ON12)-OI12-OM12&gt;0,SUM(OG12:OH12,OJ12:OL12,ON12)-OI12-OM12,"")</f>
        <v/>
      </c>
      <c r="PC12" s="11" t="str">
        <f>IF(SUM(OO12:OP12,OR12)-OQ12&gt;0,SUM(OO12:OP12,OR12)-OQ12,"")</f>
        <v/>
      </c>
      <c r="PD12" s="11" t="str">
        <f>IF(SUM(OH12,OL12,OP12)&gt;0,SUM(OH12,OL12,OP12),"")</f>
        <v/>
      </c>
      <c r="PE12" s="11" t="str">
        <f>IF(SUM(PB12,PC12)&gt;0,SUM(PB12,PC12),"")</f>
        <v/>
      </c>
      <c r="PF12" s="11" t="str">
        <f>IF(SUM(OT12,OX12)&gt;0,SUM(OT12,OX12),"")</f>
        <v/>
      </c>
      <c r="PG12" s="11" t="str">
        <f>IF(SUM(OS12:OT12,OV12:OX12,OZ12)-SUM(OU12,OY12)&gt;0,SUM(OS12:OT12,OV12:OX12,OZ12)-SUM(OU12,OY12),"")</f>
        <v/>
      </c>
      <c r="PH12" s="11" t="str">
        <f>IF(SUM(PB12,PC12,PG12)&gt;0,SUM(PB12,PC12,PG12),"")</f>
        <v/>
      </c>
      <c r="PI12" s="22">
        <f>IF($PY12="P",BM12,(BM12+AQ12)/2)</f>
        <v>0</v>
      </c>
      <c r="PJ12" s="22">
        <f>IF($PY12="P",BN12,(BN12+AR12)/2)</f>
        <v>0</v>
      </c>
      <c r="PK12" s="22">
        <f>IF($PY12="P",BO12,(BO12+AS12)/2)</f>
        <v>0</v>
      </c>
      <c r="PL12" s="22">
        <f>IF($PY12="P",BP12,(BP12+AT12)/2)</f>
        <v>0</v>
      </c>
      <c r="PM12" s="22">
        <f>IF($PY12="P",BQ12,(BQ12+AU12)/2)</f>
        <v>0</v>
      </c>
      <c r="PN12" s="22">
        <f>IF($PY12="P",BR12,(BR12+AV12)/2)</f>
        <v>0</v>
      </c>
      <c r="PO12" s="22">
        <f>IF($PY12="P",BS12,(BS12+AW12)/2)</f>
        <v>0</v>
      </c>
      <c r="PP12" s="22">
        <f>IF($PY12="P",BT12,(BT12+AX12)/2)</f>
        <v>0</v>
      </c>
      <c r="PQ12" s="22">
        <f>IF($PY12="P",BU12,(BU12+AY12)/2)</f>
        <v>0</v>
      </c>
      <c r="PR12" s="22">
        <f>IF($PY12="P",BV12,(BV12+AZ12)/2)</f>
        <v>0</v>
      </c>
      <c r="PS12" s="22">
        <f>IF($PY12="P",BW12,(BW12+BA12)/2)</f>
        <v>0</v>
      </c>
      <c r="PT12" s="22">
        <f>IF($PY12="P",BX12,(BX12+BB12)/2)</f>
        <v>0</v>
      </c>
      <c r="PU12" s="22">
        <f>IF($PY12="P",BY12,(BY12+BC12)/2)</f>
        <v>0</v>
      </c>
      <c r="PV12" s="22">
        <f>IF($PY12="P",BZ12,(BZ12+BD12)/2)</f>
        <v>0</v>
      </c>
      <c r="PW12" s="22">
        <f>IF($PY12="P",CA12,(CA12+BE12)/2)</f>
        <v>0</v>
      </c>
      <c r="PX12" s="22">
        <f>IF($PY12="P",CB12,(CB12+BF12)/2)</f>
        <v>0</v>
      </c>
      <c r="PY12" s="27" t="s">
        <v>46</v>
      </c>
      <c r="PZ12" s="40" t="str">
        <f>IF(SUM(PJ12,PN12)&gt;0,SUM(PJ12,PN12),"")</f>
        <v/>
      </c>
      <c r="QA12" s="40" t="str">
        <f>IF(SUM(PI12:PJ12,PL12:PN12,PP12)-PK12-PO12&gt;0,SUM(PI12:PJ12,PL12:PN12,PP12)-PK12-PO12,"")</f>
        <v/>
      </c>
      <c r="QB12" s="40" t="str">
        <f>IF(SUM(PR12,PV12)&gt;0,SUM(PR12,PV12),"")</f>
        <v/>
      </c>
      <c r="QC12" s="40" t="str">
        <f>IF(SUM(PQ12:PR12,PT12:PV12,PX12)-SUM(PS12,PW12)&gt;0,SUM(PQ12:PR12,PT12:PV12,PX12)-SUM(PS12,PW12),"")</f>
        <v/>
      </c>
      <c r="QD12" s="40" t="str">
        <f>IF(SUM(QA12,QC12)&gt;0,SUM(QA12,QC12),"")</f>
        <v/>
      </c>
    </row>
    <row r="13" spans="1:446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120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L13&gt;=AP$36,AM13&gt;=AP$40,AL13&lt;&gt;"",AK13=""),AND(AN13&gt;=AP$36,AO13&gt;=AP$40,AN13&lt;&gt;"",AK13=""),AND(BH13&gt;=BL$36,BI13&gt;=BL$40,BH13&lt;&gt;"",BG13=""),AND(BJ13&gt;=BL$36,BK13&gt;=BL$40,BJ13&lt;&gt;"",BG13=""),AND(CD13&gt;=CH$36,CE13&gt;=CH$40,CD13&lt;&gt;"",CC13=""),AND(CF13&gt;=CH$36,CG13&gt;=CH$40,CF13&lt;&gt;""),AND(DE13&gt;=DL$36,DF13&gt;=DL$40,DE13&lt;&gt;""),AND(DJ13&gt;=DL$36,DK13&gt;=DL$40,DJ13&lt;&gt;""),AND(EG13&gt;=EN$36,EH13&gt;=EN$40,EG13&lt;&gt;""),AND(EL13&gt;=EN$36,EM13&gt;=EN$40,EL13&lt;&gt;""),AND(FI13&gt;=FP$36,FJ13&gt;=FP$40,FI13&lt;&gt;""),AND(FN13&gt;=FP$36,FO13&gt;=FP$40,FN13&lt;&gt;""),AND(GK13&gt;=GR$36,GL13&gt;=GR$40,GK13&lt;&gt;""),AND(GP13&gt;=GR$36,GQ13&gt;=GR$40,GP13&lt;&gt;""),AND(HM13&gt;=HT$36,HN13&gt;=HT$40,HM13&lt;&gt;""),AND(HR13&gt;=HT$36,HS13&gt;=HT$40,HR13&lt;&gt;""),AND(IO13&gt;=IV$36,IP13&gt;=IV$40,IO13&lt;&gt;""),AND(IT13&gt;=IV$36,IU13&gt;=IV$40,IT13&lt;&gt;""),AND(JQ13&gt;=JX$36,JR13&gt;=JX$40,JQ13&lt;&gt;""),AND(JV13&gt;=JX$36,JW13&gt;=JX$40,JV13&lt;&gt;""),AND(KS13&gt;=KZ$36,KT13&gt;=KZ$40,KS13&lt;&gt;""),AND(KX13&gt;=KZ$36,KY13&gt;=KZ$40,KX13&lt;&gt;""),AND(LU13&gt;=MB$36,LV13&gt;=MB$40,LU13&lt;&gt;""),AND(LZ13&gt;=MB$36,MA13&gt;=MB$40,LZ13&lt;&gt;""),AND(MW13&gt;=ND$36,MX13&gt;=ND$40,MW13&lt;&gt;""),AND(NB13&gt;=ND$36,NC13&gt;=ND$40,NB13&lt;&gt;""),AND(NY13&gt;=OF$36,NZ13&gt;=OF$40,NY13&lt;&gt;""),AND(OD13&gt;=OF$36,OE13&gt;=OF$40,OD13&lt;&gt;""),AND(PA13&gt;=PH$36,PB13&gt;=PH$40,PA13&lt;&gt;""),AND(PF13&gt;=PH$36,PG13&gt;=PH$40,PF13&lt;&gt;"")),"P","")</f>
        <v/>
      </c>
      <c r="I13" s="3" t="str">
        <f>IF(OR(AND(AM13&gt;=AP$40,AM13&lt;&gt;"",AK13=""),AND(AO13&gt;=AP$40,AO13&lt;&gt;"",AK13=""),AND(BI13&gt;=BL$40,BI13&lt;&gt;"",BG13=""),AND(BK13&gt;=BL$40,BK13&lt;&gt;"",BG13=""),AND(CE13&gt;=CH$40,CE13&lt;&gt;"",CC13=""),AND(CG13&gt;=CH$40,CG13&lt;&gt;"",CC13=""),AND(DF13&gt;=DL$40,DF13&lt;&gt;""),AND(DK13&gt;=DL$40,DK13&lt;&gt;""),AND(EH13&gt;=EN$40,EH13&lt;&gt;""),AND(EM13&gt;=EN$40,EM13&lt;&gt;""),AND(FJ13&gt;=FP$40,FJ13&lt;&gt;""),AND(FO13&gt;=FP$40,FO13&lt;&gt;""),AND(GL13&gt;=GR$40,GL13&lt;&gt;""),AND(GQ13&gt;=GR$40,GQ13&lt;&gt;""),AND(HN13&gt;=HT$40,HN13&lt;&gt;""),AND(HS13&gt;=HT$40,HS13&lt;&gt;""),AND(IP13&gt;=IV$40,IP13&lt;&gt;""),AND(IU13&gt;=IV$40,IU13&lt;&gt;""),AND(JR13&gt;=JX$40,JR13&lt;&gt;""),AND(JW13&gt;=JX$40,JW13&lt;&gt;""),AND(KT13&gt;=KZ$40,KT13&lt;&gt;""),AND(KY13&gt;=KZ$40,KY13&lt;&gt;""),AND(LV13&gt;=MB$40,LV13&lt;&gt;""),AND(MA13&gt;=MB$40,MA13&lt;&gt;""),AND(MX13&gt;=ND$40,MX13&lt;&gt;""),AND(NC13&gt;=ND$40,NC13&lt;&gt;""),AND(NZ13&gt;=OF$40,NZ13&lt;&gt;""),AND(OE13&gt;=OF$40,OE13&lt;&gt;""),AND(PB13&gt;=PH$40,PB13&lt;&gt;""),AND(PG13&gt;=PH$40,PG13&lt;&gt;"")),"P","")</f>
        <v/>
      </c>
      <c r="J13" s="36" t="str">
        <f>IF(AND(I13="P",H13=""),"No DD",IF(OR(AND(AL13&gt;=AP$26,AM13&gt;=AP$30,AL13&lt;&gt;"",AK13=""),AND(BH13&gt;=BL$26,BI13&gt;=BL$30,BH13&lt;&gt;"",BG13=""),AND(CD13&gt;=CH$26,CE13&gt;=CH$30,CD13&lt;&gt;"",CC13=""),AND(DH13&gt;=DL$26,DI13&gt;=DL$30,DH13&lt;&gt;""),AND(EJ13&gt;=EN$26,EK13&gt;=EN$30,EJ13&lt;&gt;""),AND(FL13&gt;=FP$26,FM13&gt;=FP$30,FL13&lt;&gt;""),AND(GN13&gt;=GR$26,GO13&gt;=GR$30,GN13&lt;&gt;""),AND(HP13&gt;=HT$26,HQ13&gt;=HT$30,HP13&lt;&gt;""),AND(IR13&gt;=IV$26,IS13&gt;=IV$30,IR13&lt;&gt;""),AND(JT13&gt;=JX$26,JU13&gt;=JX$30,JT13&lt;&gt;""),AND(KV13&gt;=KZ$26,KW13&gt;=KZ$30,KV13&lt;&gt;""),AND(LX13&gt;=MB$26,LY13&gt;=MB$30,LX13&lt;&gt;""),AND(MZ13&gt;=ND$26,NA13&gt;=ND$30,MZ13&lt;&gt;""),AND(OB13&gt;=OF$26,OC13&gt;=OF$30,OB13&lt;&gt;""),AND(PD13&gt;=PH$26,PE13&gt;=PH$30,PD13&lt;&gt;"")),"Merit",IF(OR(AND(AL13&gt;=AP$25,AM13&gt;=AP$29,AL13&lt;&gt;"",AK13=""),AND(BH13&gt;=BL$25,BI13&gt;=BL$29,BH13&lt;&gt;"",BG13=""),AND(CD13&gt;=CH$25,CE13&gt;=CH$29,CD13&lt;&gt;"",CC13=""),AND(DH13&gt;=DL$25,DI13&gt;=DL$29,DH13&lt;&gt;""),AND(EJ13&gt;=EN$25,EK13&gt;=EN$29,EJ13&lt;&gt;""),AND(FL13&gt;=FP$25,FM13&gt;=FP$29,FL13&lt;&gt;""),AND(GN13&gt;=GR$25,GO13&gt;=GR$29,GN13&lt;&gt;""),AND(HP13&gt;=HT$25,HQ13&gt;=HT$29,HP13&lt;&gt;""),AND(IR13&gt;=IV$25,IS13&gt;=IV$29,IR13&lt;&gt;""),AND(JT13&gt;=JX$25,JU13&gt;=JX$29,JT13&lt;&gt;""),AND(KV13&gt;=KZ$25,KW13&gt;=KZ$29,KV13&lt;&gt;""),AND(LX13&gt;=MB$25,LY13&gt;=MB$29,LX13&lt;&gt;""),AND(MZ13&gt;=ND$25,NA13&gt;=ND$29,MZ13&lt;&gt;""),AND(OB13&gt;=OF$25,OC13&gt;=OF$29,OB13&lt;&gt;""),AND(PD13&gt;=PH$25,PE13&gt;=PH$29,PD13&lt;&gt;"")),"Excellence",IF(K13="P","Worlds Team",IF(H13="P","National Team","")))))</f>
        <v/>
      </c>
      <c r="K13" s="3" t="str">
        <f>IF(OR(AND(AL13&gt;=AP$24,AM13&gt;=AP$28,AL13&lt;&gt;"",AK13=""),AND(BH13&gt;=BL$24,BI13&gt;=BL$28,BH13&lt;&gt;"",BG13=""),AND(CD13&gt;=CH$24,CE13&gt;=CH$28,CD13&lt;&gt;"",CC13=""),AND(DH13&gt;=DL$24,DI13&gt;=DL$28,DH13&lt;&gt;""),AND(EJ13&gt;=EN$24,EK13&gt;=EN$28,EJ13&lt;&gt;""),AND(FL13&gt;=FP$24,FM13&gt;=FP$28,FL13&lt;&gt;""),AND(GN13&gt;=GR$24,GO13&gt;=GR$28,GN13&lt;&gt;""),AND(HP13&gt;=HT$24,HQ13&gt;=HT$28,HP13&lt;&gt;""),AND(IR13&gt;=IV$24,IS13&gt;=IV$28,IR13&lt;&gt;""),AND(JT13&gt;=JX$24,JU13&gt;=JX$28,JT13&lt;&gt;""),AND(KV13&gt;=KZ$24,KW13&gt;=KZ$28,KV13&lt;&gt;""),AND(LX13&gt;=MB$24,LY13&gt;=MB$28,LX13&lt;&gt;""),AND(MZ13&gt;=ND$24,NA13&gt;=ND$28,MZ13&lt;&gt;""),AND(OB13&gt;=OF$24,OC13&gt;=OF$28,OB13&lt;&gt;""),AND(PD13&gt;=PH$24,PE13&gt;=PH$28,PD13&lt;&gt;"")),"P","")</f>
        <v/>
      </c>
      <c r="L13" s="8">
        <f>IF(COUNT(AM13,BI13,CE13)&gt;0,LARGE((AM13,BI13,CE13),1),0)</f>
        <v>45.399999999999991</v>
      </c>
      <c r="M13" s="8" t="str">
        <f>IF(L13=0,"",IF(L13=CE13,$BM$1,IF(L13=BI13,$AQ$1,IF(L13=AM13,$U$1,""))))</f>
        <v>2025 Nationals</v>
      </c>
      <c r="N13" s="8">
        <f>IF(COUNT(AM13,BI13,CE13)&gt;1,LARGE((AM13,BI13,CE13),2),0)</f>
        <v>43.3</v>
      </c>
      <c r="O13" s="8" t="str">
        <f>IF(N13=0,"",IF(AND(N13=L13,N13=AM13,N13=BI13),$U$1,IF(AND(N13=L13,N13=AM13,N13=CE13),$U$1,IF(AND(N13=L13,N13=BI13,N13=CE13),$AQ$1,IF(N13=CE13,$BM$1,IF(N13=BI13,$AQ$1,IF(N13=AM13,$U$1,"")))))))</f>
        <v>2025 Elite Canada</v>
      </c>
      <c r="P13" s="8">
        <f>IF(MAX(AO13,BK13,CG13)&gt;0,MAX(AO13,BK13,CG13),0)</f>
        <v>46</v>
      </c>
      <c r="Q13" s="8" t="str">
        <f>IF(P13=0,"",IF(P13=CG13,$BM$1,IF(P13=BK13,$AQ$1,IF(P13=AO13,$U$1,""))))</f>
        <v>2025 Nationals</v>
      </c>
      <c r="R13" s="8" t="str">
        <f>IF(MAX(CI13:CJ13)&gt;0,MAX(CI13:CJ13),"")</f>
        <v/>
      </c>
      <c r="S13" s="11" t="str">
        <f>IF(R13="","",IF(R13=CI13,"("&amp;CI$2&amp;")",IF(R13=CJ13,"("&amp;CJ$2&amp;")")))</f>
        <v/>
      </c>
      <c r="T13" s="8" t="str">
        <f>IF(R13="","",IF(R13=CI13,IF(R13+IF(N13="",0,N13)=PB13,$OG$1,IF(R13+IF(N13="",0,N13)=NZ13,$NE$1,IF(R13+IF(N13="",0,N13)=MX13,$MC$1,IF(R13+IF(N13="",0,N13)=LV13,$LA$1,IF(R13+IF(N13="",0,N13)=KT13,$JY$1,IF(R13+IF(N13="",0,N13)=JR13,$IW$1,IF(R13+IF(N13="",0,N13)=IP13,$HU$1,IF(R13+IF(N13="",0,N13)=HN13,$GS$1,IF(R13+IF(N13="",0,N13)=GL13,$FQ$1,IF(R13+IF(N13="",0,N13)=FJ13,$EO$1,IF(R13+IF(N13="",0,N13)=EH13,$DM$1,IF(R13+IF(N13="",0,N13)=DF13,$CK$1)))))))))))),IF(R13=CJ13,IF(R13+IF(P13="",0,P13)=PG13,$OG$1,IF(R13+IF(P13="",0,P13)=OE13,$NE$1,IF(R13+IF(P13="",0,P13)=NC13,$MC$1,IF(R13+IF(P13="",0,P13)=MA13,$LA$1,IF(R13+IF(P13="",0,P13)=KY13,$JY$1,IF(R13+IF(P13="",0,P13)=JW13,$IW$1,IF(R13+IF(P13="",0,P13)=IU13,$HU$1,IF(R13+IF(P13="",0,P13)=HS13,$GS$1,IF(R13+IF(P13="",0,P13)=GQ13,$FQ$1,IF(R13+IF(P13="",0,P13)=FO13,$EO$1,IF(R13+IF(P13="",0,P13)=EM13,$DM$1,IF(R13+IF(P13="",0,P13)=DK13,$CK$1)))))))))))))))</f>
        <v/>
      </c>
      <c r="U13" s="19">
        <v>18.399999999999999</v>
      </c>
      <c r="V13" s="19">
        <v>3.5</v>
      </c>
      <c r="W13" s="19">
        <v>0.2</v>
      </c>
      <c r="X13" s="19">
        <v>0</v>
      </c>
      <c r="Y13" s="19">
        <v>18</v>
      </c>
      <c r="Z13" s="19">
        <v>4.4000000000000004</v>
      </c>
      <c r="AA13" s="19">
        <v>0.8</v>
      </c>
      <c r="AB13" s="19">
        <v>0</v>
      </c>
      <c r="AC13" s="19">
        <v>18.3</v>
      </c>
      <c r="AD13" s="19">
        <v>3.5</v>
      </c>
      <c r="AE13" s="19">
        <v>0.2</v>
      </c>
      <c r="AF13" s="19">
        <v>0</v>
      </c>
      <c r="AG13" s="19">
        <v>17.7</v>
      </c>
      <c r="AH13" s="19">
        <v>4.4000000000000004</v>
      </c>
      <c r="AI13" s="19">
        <v>0.2</v>
      </c>
      <c r="AJ13" s="19">
        <v>0</v>
      </c>
      <c r="AK13" s="27"/>
      <c r="AL13" s="40">
        <f>IF(SUM(V13,Z13)&gt;0,SUM(V13,Z13),"")</f>
        <v>7.9</v>
      </c>
      <c r="AM13" s="40">
        <f>IF(SUM(U13:V13,X13:Z13,AB13)-W13-AA13&gt;0,SUM(U13:V13,X13:Z13,AB13)-W13-AA13,"")</f>
        <v>43.3</v>
      </c>
      <c r="AN13" s="40">
        <f>IF(SUM(AD13,AH13)&gt;0,SUM(AD13,AH13),"")</f>
        <v>7.9</v>
      </c>
      <c r="AO13" s="40">
        <f>IF(SUM(AC13:AD13,AF13:AH13,AJ13)-SUM(AE13,AI13)&gt;0,SUM(AC13:AD13,AF13:AH13,AJ13)-SUM(AE13,AI13),"")</f>
        <v>43.5</v>
      </c>
      <c r="AP13" s="40">
        <f>IF(SUM(AM13,AO13)&gt;0,SUM(AM13,AO13),"")</f>
        <v>86.8</v>
      </c>
      <c r="AQ13" s="18">
        <v>18.100000000000001</v>
      </c>
      <c r="AR13" s="18">
        <v>4.8</v>
      </c>
      <c r="AS13" s="18">
        <v>0.6</v>
      </c>
      <c r="AT13" s="18">
        <v>0</v>
      </c>
      <c r="AU13" s="18">
        <v>18.399999999999999</v>
      </c>
      <c r="AV13" s="18">
        <v>4.4000000000000004</v>
      </c>
      <c r="AW13" s="18">
        <v>0</v>
      </c>
      <c r="AX13" s="18">
        <v>0.3</v>
      </c>
      <c r="AY13" s="18">
        <v>18.2</v>
      </c>
      <c r="AZ13" s="18">
        <v>5.2</v>
      </c>
      <c r="BA13" s="18">
        <v>0.2</v>
      </c>
      <c r="BB13" s="18">
        <v>0</v>
      </c>
      <c r="BC13" s="18">
        <v>18.3</v>
      </c>
      <c r="BD13" s="18">
        <v>4.8</v>
      </c>
      <c r="BE13" s="18">
        <v>0.6</v>
      </c>
      <c r="BF13" s="18">
        <v>0.3</v>
      </c>
      <c r="BG13" s="28"/>
      <c r="BH13" s="11">
        <f>IF(SUM(AR13,AV13)&gt;0,SUM(AR13,AV13),"")</f>
        <v>9.1999999999999993</v>
      </c>
      <c r="BI13" s="11">
        <f>IF(SUM(AQ13:AR13,AT13:AV13,AX13)-AS13-AW13&gt;0,SUM(AQ13:AR13,AT13:AV13,AX13)-AS13-AW13,"")</f>
        <v>45.399999999999991</v>
      </c>
      <c r="BJ13" s="11">
        <f>IF(SUM(AZ13,BD13)&gt;0,SUM(AZ13,BD13),"")</f>
        <v>10</v>
      </c>
      <c r="BK13" s="11">
        <f>IF(SUM(AY13:AZ13,BB13:BD13,BF13)-SUM(BA13,BE13)&gt;0,SUM(AY13:AZ13,BB13:BD13,BF13)-SUM(BA13,BE13),"")</f>
        <v>46</v>
      </c>
      <c r="BL13" s="11">
        <f>IF(SUM(BI13,BK13)&gt;0,SUM(BI13,BK13),"")</f>
        <v>91.399999999999991</v>
      </c>
      <c r="BM13" s="19">
        <v>18.3</v>
      </c>
      <c r="BN13" s="19">
        <v>4.8</v>
      </c>
      <c r="BO13" s="19">
        <v>0.6</v>
      </c>
      <c r="BP13" s="19">
        <v>0</v>
      </c>
      <c r="BQ13" s="19">
        <v>15.2</v>
      </c>
      <c r="BR13" s="19">
        <v>2.8</v>
      </c>
      <c r="BS13" s="19">
        <v>0</v>
      </c>
      <c r="BT13" s="19">
        <v>0.3</v>
      </c>
      <c r="BU13" s="19">
        <v>17.600000000000001</v>
      </c>
      <c r="BV13" s="19">
        <v>5.2</v>
      </c>
      <c r="BW13" s="19">
        <v>0.8</v>
      </c>
      <c r="BX13" s="19">
        <v>0</v>
      </c>
      <c r="BY13" s="19">
        <v>18.5</v>
      </c>
      <c r="BZ13" s="19">
        <v>2</v>
      </c>
      <c r="CA13" s="19">
        <v>1</v>
      </c>
      <c r="CB13" s="19">
        <v>0</v>
      </c>
      <c r="CC13" s="27"/>
      <c r="CD13" s="40">
        <f>IF(SUM(BN13,BR13)&gt;0,SUM(BN13,BR13),"")</f>
        <v>7.6</v>
      </c>
      <c r="CE13" s="40">
        <f>IF(SUM(BM13:BN13,BP13:BR13,BT13)-BO13-BS13&gt;0,SUM(BM13:BN13,BP13:BR13,BT13)-BO13-BS13,"")</f>
        <v>40.79999999999999</v>
      </c>
      <c r="CF13" s="40">
        <f>IF(SUM(BV13,BZ13)&gt;0,SUM(BV13,BZ13),"")</f>
        <v>7.2</v>
      </c>
      <c r="CG13" s="40">
        <f>IF(SUM(BU13:BV13,BX13:BZ13,CB13)-SUM(BW13,CA13)&gt;0,SUM(BU13:BV13,BX13:BZ13,CB13)-SUM(BW13,CA13),"")</f>
        <v>41.5</v>
      </c>
      <c r="CH13" s="40">
        <f>IF(SUM(CE13,CG13)&gt;0,SUM(CE13,CG13),"")</f>
        <v>82.299999999999983</v>
      </c>
      <c r="CI13" s="50" t="str">
        <f>IF(MAX(DF13,EH13,FJ13,GL13,HN13,IP13,JR13,KT13,LV13,MX13,NZ13,PB13)-IF(N13="",0,N13)&gt;0.001,MAX(DF13,EH13,FJ13,GL13,HN13,IP13,JR13,KT13,LV13,MX13,NZ13,PB13)-IF(N13="",0,N13),"")</f>
        <v/>
      </c>
      <c r="CJ13" s="50" t="str">
        <f>IF(MAX(DK13,EM13,FO13,GQ13,HS13,IU13,JW13,KY13,MA13,NC13,OE13,PG13)-IF(P13="",0,P13)&gt;0.001,MAX(DK13,EM13,FO13,GQ13,HS13,IU13,JW13,KY13,MA13,NC13,OE13,PG13)-IF(P13="",0,P13),"")</f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>IF(SUM(CL13,CP13)&gt;0,SUM(CL13,CP13),"")</f>
        <v/>
      </c>
      <c r="DF13" s="40" t="str">
        <f>IF(SUM(CK13:CL13,CN13:CP13,CR13)-CM13-CQ13&gt;0,SUM(CK13:CL13,CN13:CP13,CR13)-CM13-CQ13,"")</f>
        <v/>
      </c>
      <c r="DG13" s="40" t="str">
        <f>IF(SUM(CS13:CT13,CV13)-CU13&gt;0,SUM(CS13:CT13,CV13)-CU13,"")</f>
        <v/>
      </c>
      <c r="DH13" s="40" t="str">
        <f>IF(SUM(CL13,CP13,CT13)&gt;0,SUM(CL13,CP13,CT13),"")</f>
        <v/>
      </c>
      <c r="DI13" s="40" t="str">
        <f>IF(SUM(DF13,DG13)&gt;0,SUM(DF13,DG13),"")</f>
        <v/>
      </c>
      <c r="DJ13" s="40" t="str">
        <f>IF(SUM(CX13,DB13)&gt;0,SUM(CX13,DB13),"")</f>
        <v/>
      </c>
      <c r="DK13" s="40" t="str">
        <f>IF(SUM(CW13:CX13,CZ13:DB13,DD13)-SUM(CY13,DC13)&gt;0,SUM(CW13:CX13,CZ13:DB13,DD13)-SUM(CY13,DC13),"")</f>
        <v/>
      </c>
      <c r="DL13" s="40" t="str">
        <f>IF(SUM(DF13,DG13,DK13)&gt;0,SUM(DF13,DG13,DK13),"")</f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>IF(SUM(DN13,DR13)&gt;0,SUM(DN13,DR13),"")</f>
        <v/>
      </c>
      <c r="EH13" s="11" t="str">
        <f>IF(SUM(DM13:DN13,DP13:DR13,DT13)-DO13-DS13&gt;0,SUM(DM13:DN13,DP13:DR13,DT13)-DO13-DS13,"")</f>
        <v/>
      </c>
      <c r="EI13" s="11" t="str">
        <f>IF(SUM(DU13:DV13,DX13)-DW13&gt;0,SUM(DU13:DV13,DX13)-DW13,"")</f>
        <v/>
      </c>
      <c r="EJ13" s="11" t="str">
        <f>IF(SUM(DN13,DR13,DV13)&gt;0,SUM(DN13,DR13,DV13),"")</f>
        <v/>
      </c>
      <c r="EK13" s="11" t="str">
        <f>IF(SUM(EH13,EI13)&gt;0,SUM(EH13,EI13),"")</f>
        <v/>
      </c>
      <c r="EL13" s="11" t="str">
        <f>IF(SUM(DZ13,ED13)&gt;0,SUM(DZ13,ED13),"")</f>
        <v/>
      </c>
      <c r="EM13" s="11" t="str">
        <f>IF(SUM(DY13:DZ13,EB13:ED13,EF13)-SUM(EA13,EE13)&gt;0,SUM(DY13:DZ13,EB13:ED13,EF13)-SUM(EA13,EE13),"")</f>
        <v/>
      </c>
      <c r="EN13" s="11" t="str">
        <f>IF(SUM(EH13,EI13,EM13)&gt;0,SUM(EH13,EI13,EM13),"")</f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>IF(SUM(EP13,ET13)&gt;0,SUM(EP13,ET13),"")</f>
        <v/>
      </c>
      <c r="FJ13" s="40" t="str">
        <f>IF(SUM(EO13:EP13,ER13:ET13,EV13)-EQ13-EU13&gt;0,SUM(EO13:EP13,ER13:ET13,EV13)-EQ13-EU13,"")</f>
        <v/>
      </c>
      <c r="FK13" s="40" t="str">
        <f>IF(SUM(EW13:EX13,EZ13)-EY13&gt;0,SUM(EW13:EX13,EZ13)-EY13,"")</f>
        <v/>
      </c>
      <c r="FL13" s="40" t="str">
        <f>IF(SUM(EP13,ET13,EX13)&gt;0,SUM(EP13,ET13,EX13),"")</f>
        <v/>
      </c>
      <c r="FM13" s="40" t="str">
        <f>IF(SUM(FJ13,FK13)&gt;0,SUM(FJ13,FK13),"")</f>
        <v/>
      </c>
      <c r="FN13" s="40" t="str">
        <f>IF(SUM(FB13,FF13)&gt;0,SUM(FB13,FF13),"")</f>
        <v/>
      </c>
      <c r="FO13" s="40" t="str">
        <f>IF(SUM(FA13:FB13,FD13:FF13,FH13)-SUM(FC13,FG13)&gt;0,SUM(FA13:FB13,FD13:FF13,FH13)-SUM(FC13,FG13),"")</f>
        <v/>
      </c>
      <c r="FP13" s="40" t="str">
        <f>IF(SUM(FJ13,FK13,FO13)&gt;0,SUM(FJ13,FK13,FO13),"")</f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>IF(SUM(FR13,FV13)&gt;0,SUM(FR13,FV13),"")</f>
        <v/>
      </c>
      <c r="GL13" s="11" t="str">
        <f>IF(SUM(FQ13:FR13,FT13:FV13,FX13)-FS13-FW13&gt;0,SUM(FQ13:FR13,FT13:FV13,FX13)-FS13-FW13,"")</f>
        <v/>
      </c>
      <c r="GM13" s="11" t="str">
        <f>IF(SUM(FY13:FZ13,GB13)-GA13&gt;0,SUM(FY13:FZ13,GB13)-GA13,"")</f>
        <v/>
      </c>
      <c r="GN13" s="11" t="str">
        <f>IF(SUM(FR13,FV13,FZ13)&gt;0,SUM(FR13,FV13,FZ13),"")</f>
        <v/>
      </c>
      <c r="GO13" s="11" t="str">
        <f>IF(SUM(GL13,GM13)&gt;0,SUM(GL13,GM13),"")</f>
        <v/>
      </c>
      <c r="GP13" s="11" t="str">
        <f>IF(SUM(GD13,GH13)&gt;0,SUM(GD13,GH13),"")</f>
        <v/>
      </c>
      <c r="GQ13" s="11" t="str">
        <f>IF(SUM(GC13:GD13,GF13:GH13,GJ13)-SUM(GE13,GI13)&gt;0,SUM(GC13:GD13,GF13:GH13,GJ13)-SUM(GE13,GI13),"")</f>
        <v/>
      </c>
      <c r="GR13" s="11" t="str">
        <f>IF(SUM(GL13,GM13,GQ13)&gt;0,SUM(GL13,GM13,GQ13),"")</f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>IF(SUM(GT13,GX13)&gt;0,SUM(GT13,GX13),"")</f>
        <v/>
      </c>
      <c r="HN13" s="40" t="str">
        <f>IF(SUM(GS13:GT13,GV13:GX13,GZ13)-GU13-GY13&gt;0,SUM(GS13:GT13,GV13:GX13,GZ13)-GU13-GY13,"")</f>
        <v/>
      </c>
      <c r="HO13" s="40" t="str">
        <f>IF(SUM(HA13:HB13,HD13)-HC13&gt;0,SUM(HA13:HB13,HD13)-HC13,"")</f>
        <v/>
      </c>
      <c r="HP13" s="40" t="str">
        <f>IF(SUM(GT13,GX13,HB13)&gt;0,SUM(GT13,GX13,HB13),"")</f>
        <v/>
      </c>
      <c r="HQ13" s="40" t="str">
        <f>IF(SUM(HN13,HO13)&gt;0,SUM(HN13,HO13),"")</f>
        <v/>
      </c>
      <c r="HR13" s="40" t="str">
        <f>IF(SUM(HF13,HJ13)&gt;0,SUM(HF13,HJ13),"")</f>
        <v/>
      </c>
      <c r="HS13" s="40" t="str">
        <f>IF(SUM(HE13:HF13,HH13:HJ13,HL13)-SUM(HG13,HK13)&gt;0,SUM(HE13:HF13,HH13:HJ13,HL13)-SUM(HG13,HK13),"")</f>
        <v/>
      </c>
      <c r="HT13" s="40" t="str">
        <f>IF(SUM(HN13,HO13,HS13)&gt;0,SUM(HN13,HO13,HS13),"")</f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>IF(SUM(HV13,HZ13)&gt;0,SUM(HV13,HZ13),"")</f>
        <v/>
      </c>
      <c r="IP13" s="11" t="str">
        <f>IF(SUM(HU13:HV13,HX13:HZ13,IB13)-HW13-IA13&gt;0,SUM(HU13:HV13,HX13:HZ13,IB13)-HW13-IA13,"")</f>
        <v/>
      </c>
      <c r="IQ13" s="11" t="str">
        <f>IF(SUM(IC13:ID13,IF13)-IE13&gt;0,SUM(IC13:ID13,IF13)-IE13,"")</f>
        <v/>
      </c>
      <c r="IR13" s="11" t="str">
        <f>IF(SUM(HV13,HZ13,ID13)&gt;0,SUM(HV13,HZ13,ID13),"")</f>
        <v/>
      </c>
      <c r="IS13" s="11" t="str">
        <f>IF(SUM(IP13,IQ13)&gt;0,SUM(IP13,IQ13),"")</f>
        <v/>
      </c>
      <c r="IT13" s="11" t="str">
        <f>IF(SUM(IH13,IL13)&gt;0,SUM(IH13,IL13),"")</f>
        <v/>
      </c>
      <c r="IU13" s="11" t="str">
        <f>IF(SUM(IG13:IH13,IJ13:IL13,IN13)-SUM(II13,IM13)&gt;0,SUM(IG13:IH13,IJ13:IL13,IN13)-SUM(II13,IM13),"")</f>
        <v/>
      </c>
      <c r="IV13" s="11" t="str">
        <f>IF(SUM(IP13,IQ13,IU13)&gt;0,SUM(IP13,IQ13,IU13),"")</f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>IF(SUM(IX13,JB13)&gt;0,SUM(IX13,JB13),"")</f>
        <v/>
      </c>
      <c r="JR13" s="40" t="str">
        <f>IF(SUM(IW13:IX13,IZ13:JB13,JD13)-IY13-JC13&gt;0,SUM(IW13:IX13,IZ13:JB13,JD13)-IY13-JC13,"")</f>
        <v/>
      </c>
      <c r="JS13" s="40" t="str">
        <f>IF(SUM(JE13:JF13,JH13)-JG13&gt;0,SUM(JE13:JF13,JH13)-JG13,"")</f>
        <v/>
      </c>
      <c r="JT13" s="40" t="str">
        <f>IF(SUM(IX13,JB13,JF13)&gt;0,SUM(IX13,JB13,JF13),"")</f>
        <v/>
      </c>
      <c r="JU13" s="40" t="str">
        <f>IF(SUM(JR13,JS13)&gt;0,SUM(JR13,JS13),"")</f>
        <v/>
      </c>
      <c r="JV13" s="40" t="str">
        <f>IF(SUM(JJ13,JN13)&gt;0,SUM(JJ13,JN13),"")</f>
        <v/>
      </c>
      <c r="JW13" s="40" t="str">
        <f>IF(SUM(JI13:JJ13,JL13:JN13,JP13)-SUM(JK13,JO13)&gt;0,SUM(JI13:JJ13,JL13:JN13,JP13)-SUM(JK13,JO13),"")</f>
        <v/>
      </c>
      <c r="JX13" s="40" t="str">
        <f>IF(SUM(JR13,JS13,JW13)&gt;0,SUM(JR13,JS13,JW13),"")</f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>IF(SUM(JZ13,KD13)&gt;0,SUM(JZ13,KD13),"")</f>
        <v/>
      </c>
      <c r="KT13" s="11" t="str">
        <f>IF(SUM(JY13:JZ13,KB13:KD13,KF13)-KA13-KE13&gt;0,SUM(JY13:JZ13,KB13:KD13,KF13)-KA13-KE13,"")</f>
        <v/>
      </c>
      <c r="KU13" s="11" t="str">
        <f>IF(SUM(KG13:KH13,KJ13)-KI13&gt;0,SUM(KG13:KH13,KJ13)-KI13,"")</f>
        <v/>
      </c>
      <c r="KV13" s="11" t="str">
        <f>IF(SUM(JZ13,KD13,KH13)&gt;0,SUM(JZ13,KD13,KH13),"")</f>
        <v/>
      </c>
      <c r="KW13" s="11" t="str">
        <f>IF(SUM(KT13,KU13)&gt;0,SUM(KT13,KU13),"")</f>
        <v/>
      </c>
      <c r="KX13" s="11" t="str">
        <f>IF(SUM(KL13,KP13)&gt;0,SUM(KL13,KP13),"")</f>
        <v/>
      </c>
      <c r="KY13" s="11" t="str">
        <f>IF(SUM(KK13:KL13,KN13:KP13,KR13)-SUM(KM13,KQ13)&gt;0,SUM(KK13:KL13,KN13:KP13,KR13)-SUM(KM13,KQ13),"")</f>
        <v/>
      </c>
      <c r="KZ13" s="11" t="str">
        <f>IF(SUM(KT13,KU13,KY13)&gt;0,SUM(KT13,KU13,KY13),"")</f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>IF(SUM(LB13,LF13)&gt;0,SUM(LB13,LF13),"")</f>
        <v/>
      </c>
      <c r="LV13" s="40" t="str">
        <f>IF(SUM(LA13:LB13,LD13:LF13,LH13)-LC13-LG13&gt;0,SUM(LA13:LB13,LD13:LF13,LH13)-LC13-LG13,"")</f>
        <v/>
      </c>
      <c r="LW13" s="40" t="str">
        <f>IF(SUM(LI13:LJ13,LL13)-LK13&gt;0,SUM(LI13:LJ13,LL13)-LK13,"")</f>
        <v/>
      </c>
      <c r="LX13" s="40" t="str">
        <f>IF(SUM(LB13,LF13,LJ13)&gt;0,SUM(LB13,LF13,LJ13),"")</f>
        <v/>
      </c>
      <c r="LY13" s="40" t="str">
        <f>IF(SUM(LV13,LW13)&gt;0,SUM(LV13,LW13),"")</f>
        <v/>
      </c>
      <c r="LZ13" s="40" t="str">
        <f>IF(SUM(LN13,LR13)&gt;0,SUM(LN13,LR13),"")</f>
        <v/>
      </c>
      <c r="MA13" s="40" t="str">
        <f>IF(SUM(LM13:LN13,LP13:LR13,LT13)-SUM(LO13,LS13)&gt;0,SUM(LM13:LN13,LP13:LR13,LT13)-SUM(LO13,LS13),"")</f>
        <v/>
      </c>
      <c r="MB13" s="40" t="str">
        <f>IF(SUM(LV13,LW13,MA13)&gt;0,SUM(LV13,LW13,MA13),"")</f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>IF(SUM(MD13,MH13)&gt;0,SUM(MD13,MH13),"")</f>
        <v/>
      </c>
      <c r="MX13" s="11" t="str">
        <f>IF(SUM(MC13:MD13,MF13:MH13,MJ13)-ME13-MI13&gt;0,SUM(MC13:MD13,MF13:MH13,MJ13)-ME13-MI13,"")</f>
        <v/>
      </c>
      <c r="MY13" s="11" t="str">
        <f>IF(SUM(MK13:ML13,MN13)-MM13&gt;0,SUM(MK13:ML13,MN13)-MM13,"")</f>
        <v/>
      </c>
      <c r="MZ13" s="11" t="str">
        <f>IF(SUM(MD13,MH13,ML13)&gt;0,SUM(MD13,MH13,ML13),"")</f>
        <v/>
      </c>
      <c r="NA13" s="11" t="str">
        <f>IF(SUM(MX13,MY13)&gt;0,SUM(MX13,MY13),"")</f>
        <v/>
      </c>
      <c r="NB13" s="11" t="str">
        <f>IF(SUM(MP13,MT13)&gt;0,SUM(MP13,MT13),"")</f>
        <v/>
      </c>
      <c r="NC13" s="11" t="str">
        <f>IF(SUM(MO13:MP13,MR13:MT13,MV13)-SUM(MQ13,MU13)&gt;0,SUM(MO13:MP13,MR13:MT13,MV13)-SUM(MQ13,MU13),"")</f>
        <v/>
      </c>
      <c r="ND13" s="11" t="str">
        <f>IF(SUM(MX13,MY13,NC13)&gt;0,SUM(MX13,MY13,NC13),"")</f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>IF(SUM(NF13,NJ13)&gt;0,SUM(NF13,NJ13),"")</f>
        <v/>
      </c>
      <c r="NZ13" s="40" t="str">
        <f>IF(SUM(NE13:NF13,NH13:NJ13,NL13)-NG13-NK13&gt;0,SUM(NE13:NF13,NH13:NJ13,NL13)-NG13-NK13,"")</f>
        <v/>
      </c>
      <c r="OA13" s="40" t="str">
        <f>IF(SUM(NM13:NN13,NP13)-NO13&gt;0,SUM(NM13:NN13,NP13)-NO13,"")</f>
        <v/>
      </c>
      <c r="OB13" s="40" t="str">
        <f>IF(SUM(NF13,NJ13,NN13)&gt;0,SUM(NF13,NJ13,NN13),"")</f>
        <v/>
      </c>
      <c r="OC13" s="40" t="str">
        <f>IF(SUM(NZ13,OA13)&gt;0,SUM(NZ13,OA13),"")</f>
        <v/>
      </c>
      <c r="OD13" s="40" t="str">
        <f>IF(SUM(NR13,NV13)&gt;0,SUM(NR13,NV13),"")</f>
        <v/>
      </c>
      <c r="OE13" s="40" t="str">
        <f>IF(SUM(NQ13:NR13,NT13:NV13,NX13)-SUM(NS13,NW13)&gt;0,SUM(NQ13:NR13,NT13:NV13,NX13)-SUM(NS13,NW13),"")</f>
        <v/>
      </c>
      <c r="OF13" s="40" t="str">
        <f>IF(SUM(NZ13,OA13,OE13)&gt;0,SUM(NZ13,OA13,OE13),"")</f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>IF(SUM(OH13,OL13)&gt;0,SUM(OH13,OL13),"")</f>
        <v/>
      </c>
      <c r="PB13" s="11" t="str">
        <f>IF(SUM(OG13:OH13,OJ13:OL13,ON13)-OI13-OM13&gt;0,SUM(OG13:OH13,OJ13:OL13,ON13)-OI13-OM13,"")</f>
        <v/>
      </c>
      <c r="PC13" s="11" t="str">
        <f>IF(SUM(OO13:OP13,OR13)-OQ13&gt;0,SUM(OO13:OP13,OR13)-OQ13,"")</f>
        <v/>
      </c>
      <c r="PD13" s="11" t="str">
        <f>IF(SUM(OH13,OL13,OP13)&gt;0,SUM(OH13,OL13,OP13),"")</f>
        <v/>
      </c>
      <c r="PE13" s="11" t="str">
        <f>IF(SUM(PB13,PC13)&gt;0,SUM(PB13,PC13),"")</f>
        <v/>
      </c>
      <c r="PF13" s="11" t="str">
        <f>IF(SUM(OT13,OX13)&gt;0,SUM(OT13,OX13),"")</f>
        <v/>
      </c>
      <c r="PG13" s="11" t="str">
        <f>IF(SUM(OS13:OT13,OV13:OX13,OZ13)-SUM(OU13,OY13)&gt;0,SUM(OS13:OT13,OV13:OX13,OZ13)-SUM(OU13,OY13),"")</f>
        <v/>
      </c>
      <c r="PH13" s="11" t="str">
        <f>IF(SUM(PB13,PC13,PG13)&gt;0,SUM(PB13,PC13,PG13),"")</f>
        <v/>
      </c>
      <c r="PI13" s="22">
        <f>IF($PY13="P",BM13,(BM13+AQ13)/2)</f>
        <v>18.3</v>
      </c>
      <c r="PJ13" s="22">
        <f>IF($PY13="P",BN13,(BN13+AR13)/2)</f>
        <v>4.8</v>
      </c>
      <c r="PK13" s="22">
        <f>IF($PY13="P",BO13,(BO13+AS13)/2)</f>
        <v>0.6</v>
      </c>
      <c r="PL13" s="22">
        <f>IF($PY13="P",BP13,(BP13+AT13)/2)</f>
        <v>0</v>
      </c>
      <c r="PM13" s="22">
        <f>IF($PY13="P",BQ13,(BQ13+AU13)/2)</f>
        <v>15.2</v>
      </c>
      <c r="PN13" s="22">
        <f>IF($PY13="P",BR13,(BR13+AV13)/2)</f>
        <v>2.8</v>
      </c>
      <c r="PO13" s="22">
        <f>IF($PY13="P",BS13,(BS13+AW13)/2)</f>
        <v>0</v>
      </c>
      <c r="PP13" s="22">
        <f>IF($PY13="P",BT13,(BT13+AX13)/2)</f>
        <v>0.3</v>
      </c>
      <c r="PQ13" s="22">
        <f>IF($PY13="P",BU13,(BU13+AY13)/2)</f>
        <v>17.600000000000001</v>
      </c>
      <c r="PR13" s="22">
        <f>IF($PY13="P",BV13,(BV13+AZ13)/2)</f>
        <v>5.2</v>
      </c>
      <c r="PS13" s="22">
        <f>IF($PY13="P",BW13,(BW13+BA13)/2)</f>
        <v>0.8</v>
      </c>
      <c r="PT13" s="22">
        <f>IF($PY13="P",BX13,(BX13+BB13)/2)</f>
        <v>0</v>
      </c>
      <c r="PU13" s="22">
        <f>IF($PY13="P",BY13,(BY13+BC13)/2)</f>
        <v>18.5</v>
      </c>
      <c r="PV13" s="22">
        <f>IF($PY13="P",BZ13,(BZ13+BD13)/2)</f>
        <v>2</v>
      </c>
      <c r="PW13" s="22">
        <f>IF($PY13="P",CA13,(CA13+BE13)/2)</f>
        <v>1</v>
      </c>
      <c r="PX13" s="22">
        <f>IF($PY13="P",CB13,(CB13+BF13)/2)</f>
        <v>0</v>
      </c>
      <c r="PY13" s="27" t="s">
        <v>46</v>
      </c>
      <c r="PZ13" s="40">
        <f>IF(SUM(PJ13,PN13)&gt;0,SUM(PJ13,PN13),"")</f>
        <v>7.6</v>
      </c>
      <c r="QA13" s="40">
        <f>IF(SUM(PI13:PJ13,PL13:PN13,PP13)-PK13-PO13&gt;0,SUM(PI13:PJ13,PL13:PN13,PP13)-PK13-PO13,"")</f>
        <v>40.79999999999999</v>
      </c>
      <c r="QB13" s="40">
        <f>IF(SUM(PR13,PV13)&gt;0,SUM(PR13,PV13),"")</f>
        <v>7.2</v>
      </c>
      <c r="QC13" s="40">
        <f>IF(SUM(PQ13:PR13,PT13:PV13,PX13)-SUM(PS13,PW13)&gt;0,SUM(PQ13:PR13,PT13:PV13,PX13)-SUM(PS13,PW13),"")</f>
        <v>41.5</v>
      </c>
      <c r="QD13" s="40">
        <f>IF(SUM(QA13,QC13)&gt;0,SUM(QA13,QC13),"")</f>
        <v>82.299999999999983</v>
      </c>
    </row>
    <row r="14" spans="1:446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147</v>
      </c>
      <c r="D14" s="4" t="s">
        <v>31</v>
      </c>
      <c r="E14" s="4">
        <v>2005</v>
      </c>
      <c r="F14" s="9">
        <f>SUM(L14:R14)+SUM(L14:O14)*0.0000001+SUM(L14)*0.0000000000001</f>
        <v>133.30000877000458</v>
      </c>
      <c r="G14" s="64"/>
      <c r="H14" s="3" t="str">
        <f>IF(OR(AND(AL14&gt;=AP$36,AM14&gt;=AP$40,AL14&lt;&gt;"",AK14=""),AND(AN14&gt;=AP$36,AO14&gt;=AP$40,AN14&lt;&gt;"",AK14=""),AND(BH14&gt;=BL$36,BI14&gt;=BL$40,BH14&lt;&gt;"",BG14=""),AND(BJ14&gt;=BL$36,BK14&gt;=BL$40,BJ14&lt;&gt;"",BG14=""),AND(CD14&gt;=CH$36,CE14&gt;=CH$40,CD14&lt;&gt;"",CC14=""),AND(CF14&gt;=CH$36,CG14&gt;=CH$40,CF14&lt;&gt;""),AND(DE14&gt;=DL$36,DF14&gt;=DL$40,DE14&lt;&gt;""),AND(DJ14&gt;=DL$36,DK14&gt;=DL$40,DJ14&lt;&gt;""),AND(EG14&gt;=EN$36,EH14&gt;=EN$40,EG14&lt;&gt;""),AND(EL14&gt;=EN$36,EM14&gt;=EN$40,EL14&lt;&gt;""),AND(FI14&gt;=FP$36,FJ14&gt;=FP$40,FI14&lt;&gt;""),AND(FN14&gt;=FP$36,FO14&gt;=FP$40,FN14&lt;&gt;""),AND(GK14&gt;=GR$36,GL14&gt;=GR$40,GK14&lt;&gt;""),AND(GP14&gt;=GR$36,GQ14&gt;=GR$40,GP14&lt;&gt;""),AND(HM14&gt;=HT$36,HN14&gt;=HT$40,HM14&lt;&gt;""),AND(HR14&gt;=HT$36,HS14&gt;=HT$40,HR14&lt;&gt;""),AND(IO14&gt;=IV$36,IP14&gt;=IV$40,IO14&lt;&gt;""),AND(IT14&gt;=IV$36,IU14&gt;=IV$40,IT14&lt;&gt;""),AND(JQ14&gt;=JX$36,JR14&gt;=JX$40,JQ14&lt;&gt;""),AND(JV14&gt;=JX$36,JW14&gt;=JX$40,JV14&lt;&gt;""),AND(KS14&gt;=KZ$36,KT14&gt;=KZ$40,KS14&lt;&gt;""),AND(KX14&gt;=KZ$36,KY14&gt;=KZ$40,KX14&lt;&gt;""),AND(LU14&gt;=MB$36,LV14&gt;=MB$40,LU14&lt;&gt;""),AND(LZ14&gt;=MB$36,MA14&gt;=MB$40,LZ14&lt;&gt;""),AND(MW14&gt;=ND$36,MX14&gt;=ND$40,MW14&lt;&gt;""),AND(NB14&gt;=ND$36,NC14&gt;=ND$40,NB14&lt;&gt;""),AND(NY14&gt;=OF$36,NZ14&gt;=OF$40,NY14&lt;&gt;""),AND(OD14&gt;=OF$36,OE14&gt;=OF$40,OD14&lt;&gt;""),AND(PA14&gt;=PH$36,PB14&gt;=PH$40,PA14&lt;&gt;""),AND(PF14&gt;=PH$36,PG14&gt;=PH$40,PF14&lt;&gt;"")),"P","")</f>
        <v/>
      </c>
      <c r="I14" s="3" t="str">
        <f>IF(OR(AND(AM14&gt;=AP$40,AM14&lt;&gt;"",AK14=""),AND(AO14&gt;=AP$40,AO14&lt;&gt;"",AK14=""),AND(BI14&gt;=BL$40,BI14&lt;&gt;"",BG14=""),AND(BK14&gt;=BL$40,BK14&lt;&gt;"",BG14=""),AND(CE14&gt;=CH$40,CE14&lt;&gt;"",CC14=""),AND(CG14&gt;=CH$40,CG14&lt;&gt;"",CC14=""),AND(DF14&gt;=DL$40,DF14&lt;&gt;""),AND(DK14&gt;=DL$40,DK14&lt;&gt;""),AND(EH14&gt;=EN$40,EH14&lt;&gt;""),AND(EM14&gt;=EN$40,EM14&lt;&gt;""),AND(FJ14&gt;=FP$40,FJ14&lt;&gt;""),AND(FO14&gt;=FP$40,FO14&lt;&gt;""),AND(GL14&gt;=GR$40,GL14&lt;&gt;""),AND(GQ14&gt;=GR$40,GQ14&lt;&gt;""),AND(HN14&gt;=HT$40,HN14&lt;&gt;""),AND(HS14&gt;=HT$40,HS14&lt;&gt;""),AND(IP14&gt;=IV$40,IP14&lt;&gt;""),AND(IU14&gt;=IV$40,IU14&lt;&gt;""),AND(JR14&gt;=JX$40,JR14&lt;&gt;""),AND(JW14&gt;=JX$40,JW14&lt;&gt;""),AND(KT14&gt;=KZ$40,KT14&lt;&gt;""),AND(KY14&gt;=KZ$40,KY14&lt;&gt;""),AND(LV14&gt;=MB$40,LV14&lt;&gt;""),AND(MA14&gt;=MB$40,MA14&lt;&gt;""),AND(MX14&gt;=ND$40,MX14&lt;&gt;""),AND(NC14&gt;=ND$40,NC14&lt;&gt;""),AND(NZ14&gt;=OF$40,NZ14&lt;&gt;""),AND(OE14&gt;=OF$40,OE14&lt;&gt;""),AND(PB14&gt;=PH$40,PB14&lt;&gt;""),AND(PG14&gt;=PH$40,PG14&lt;&gt;"")),"P","")</f>
        <v/>
      </c>
      <c r="J14" s="36" t="str">
        <f>IF(AND(I14="P",H14=""),"No DD",IF(OR(AND(AL14&gt;=AP$26,AM14&gt;=AP$30,AL14&lt;&gt;"",AK14=""),AND(BH14&gt;=BL$26,BI14&gt;=BL$30,BH14&lt;&gt;"",BG14=""),AND(CD14&gt;=CH$26,CE14&gt;=CH$30,CD14&lt;&gt;"",CC14=""),AND(DH14&gt;=DL$26,DI14&gt;=DL$30,DH14&lt;&gt;""),AND(EJ14&gt;=EN$26,EK14&gt;=EN$30,EJ14&lt;&gt;""),AND(FL14&gt;=FP$26,FM14&gt;=FP$30,FL14&lt;&gt;""),AND(GN14&gt;=GR$26,GO14&gt;=GR$30,GN14&lt;&gt;""),AND(HP14&gt;=HT$26,HQ14&gt;=HT$30,HP14&lt;&gt;""),AND(IR14&gt;=IV$26,IS14&gt;=IV$30,IR14&lt;&gt;""),AND(JT14&gt;=JX$26,JU14&gt;=JX$30,JT14&lt;&gt;""),AND(KV14&gt;=KZ$26,KW14&gt;=KZ$30,KV14&lt;&gt;""),AND(LX14&gt;=MB$26,LY14&gt;=MB$30,LX14&lt;&gt;""),AND(MZ14&gt;=ND$26,NA14&gt;=ND$30,MZ14&lt;&gt;""),AND(OB14&gt;=OF$26,OC14&gt;=OF$30,OB14&lt;&gt;""),AND(PD14&gt;=PH$26,PE14&gt;=PH$30,PD14&lt;&gt;"")),"Merit",IF(OR(AND(AL14&gt;=AP$25,AM14&gt;=AP$29,AL14&lt;&gt;"",AK14=""),AND(BH14&gt;=BL$25,BI14&gt;=BL$29,BH14&lt;&gt;"",BG14=""),AND(CD14&gt;=CH$25,CE14&gt;=CH$29,CD14&lt;&gt;"",CC14=""),AND(DH14&gt;=DL$25,DI14&gt;=DL$29,DH14&lt;&gt;""),AND(EJ14&gt;=EN$25,EK14&gt;=EN$29,EJ14&lt;&gt;""),AND(FL14&gt;=FP$25,FM14&gt;=FP$29,FL14&lt;&gt;""),AND(GN14&gt;=GR$25,GO14&gt;=GR$29,GN14&lt;&gt;""),AND(HP14&gt;=HT$25,HQ14&gt;=HT$29,HP14&lt;&gt;""),AND(IR14&gt;=IV$25,IS14&gt;=IV$29,IR14&lt;&gt;""),AND(JT14&gt;=JX$25,JU14&gt;=JX$29,JT14&lt;&gt;""),AND(KV14&gt;=KZ$25,KW14&gt;=KZ$29,KV14&lt;&gt;""),AND(LX14&gt;=MB$25,LY14&gt;=MB$29,LX14&lt;&gt;""),AND(MZ14&gt;=ND$25,NA14&gt;=ND$29,MZ14&lt;&gt;""),AND(OB14&gt;=OF$25,OC14&gt;=OF$29,OB14&lt;&gt;""),AND(PD14&gt;=PH$25,PE14&gt;=PH$29,PD14&lt;&gt;"")),"Excellence",IF(K14="P","Worlds Team",IF(H14="P","National Team","")))))</f>
        <v/>
      </c>
      <c r="K14" s="3" t="str">
        <f>IF(OR(AND(AL14&gt;=AP$24,AM14&gt;=AP$28,AL14&lt;&gt;"",AK14=""),AND(BH14&gt;=BL$24,BI14&gt;=BL$28,BH14&lt;&gt;"",BG14=""),AND(CD14&gt;=CH$24,CE14&gt;=CH$28,CD14&lt;&gt;"",CC14=""),AND(DH14&gt;=DL$24,DI14&gt;=DL$28,DH14&lt;&gt;""),AND(EJ14&gt;=EN$24,EK14&gt;=EN$28,EJ14&lt;&gt;""),AND(FL14&gt;=FP$24,FM14&gt;=FP$28,FL14&lt;&gt;""),AND(GN14&gt;=GR$24,GO14&gt;=GR$28,GN14&lt;&gt;""),AND(HP14&gt;=HT$24,HQ14&gt;=HT$28,HP14&lt;&gt;""),AND(IR14&gt;=IV$24,IS14&gt;=IV$28,IR14&lt;&gt;""),AND(JT14&gt;=JX$24,JU14&gt;=JX$28,JT14&lt;&gt;""),AND(KV14&gt;=KZ$24,KW14&gt;=KZ$28,KV14&lt;&gt;""),AND(LX14&gt;=MB$24,LY14&gt;=MB$28,LX14&lt;&gt;""),AND(MZ14&gt;=ND$24,NA14&gt;=ND$28,MZ14&lt;&gt;""),AND(OB14&gt;=OF$24,OC14&gt;=OF$28,OB14&lt;&gt;""),AND(PD14&gt;=PH$24,PE14&gt;=PH$28,PD14&lt;&gt;"")),"P","")</f>
        <v/>
      </c>
      <c r="L14" s="8">
        <f>IF(COUNT(AM14,BI14,CE14)&gt;0,LARGE((AM14,BI14,CE14),1),0)</f>
        <v>45.8</v>
      </c>
      <c r="M14" s="8" t="str">
        <f>IF(L14=0,"",IF(L14=CE14,$BM$1,IF(L14=BI14,$AQ$1,IF(L14=AM14,$U$1,""))))</f>
        <v>2025 Nationals</v>
      </c>
      <c r="N14" s="8">
        <f>IF(COUNT(AM14,BI14,CE14)&gt;1,LARGE((AM14,BI14,CE14),2),0)</f>
        <v>41.9</v>
      </c>
      <c r="O14" s="8" t="str">
        <f>IF(N14=0,"",IF(AND(N14=L14,N14=AM14,N14=BI14),$U$1,IF(AND(N14=L14,N14=AM14,N14=CE14),$U$1,IF(AND(N14=L14,N14=BI14,N14=CE14),$AQ$1,IF(N14=CE14,$BM$1,IF(N14=BI14,$AQ$1,IF(N14=AM14,$U$1,"")))))))</f>
        <v>2025 3rd Domestic Trial</v>
      </c>
      <c r="P14" s="8">
        <f>IF(MAX(AO14,BK14,CG14)&gt;0,MAX(AO14,BK14,CG14),0)</f>
        <v>45.600000000000009</v>
      </c>
      <c r="Q14" s="8" t="str">
        <f>IF(P14=0,"",IF(P14=CG14,$BM$1,IF(P14=BK14,$AQ$1,IF(P14=AO14,$U$1,""))))</f>
        <v>2025 Elite Canada</v>
      </c>
      <c r="R14" s="8" t="str">
        <f>IF(MAX(CI14:CJ14)&gt;0,MAX(CI14:CJ14),"")</f>
        <v/>
      </c>
      <c r="S14" s="11" t="str">
        <f>IF(R14="","",IF(R14=CI14,"("&amp;CI$2&amp;")",IF(R14=CJ14,"("&amp;CJ$2&amp;")")))</f>
        <v/>
      </c>
      <c r="T14" s="8" t="str">
        <f>IF(R14="","",IF(R14=CI14,IF(R14+IF(N14="",0,N14)=PB14,$OG$1,IF(R14+IF(N14="",0,N14)=NZ14,$NE$1,IF(R14+IF(N14="",0,N14)=MX14,$MC$1,IF(R14+IF(N14="",0,N14)=LV14,$LA$1,IF(R14+IF(N14="",0,N14)=KT14,$JY$1,IF(R14+IF(N14="",0,N14)=JR14,$IW$1,IF(R14+IF(N14="",0,N14)=IP14,$HU$1,IF(R14+IF(N14="",0,N14)=HN14,$GS$1,IF(R14+IF(N14="",0,N14)=GL14,$FQ$1,IF(R14+IF(N14="",0,N14)=FJ14,$EO$1,IF(R14+IF(N14="",0,N14)=EH14,$DM$1,IF(R14+IF(N14="",0,N14)=DF14,$CK$1)))))))))))),IF(R14=CJ14,IF(R14+IF(P14="",0,P14)=PG14,$OG$1,IF(R14+IF(P14="",0,P14)=OE14,$NE$1,IF(R14+IF(P14="",0,P14)=NC14,$MC$1,IF(R14+IF(P14="",0,P14)=MA14,$LA$1,IF(R14+IF(P14="",0,P14)=KY14,$JY$1,IF(R14+IF(P14="",0,P14)=JW14,$IW$1,IF(R14+IF(P14="",0,P14)=IU14,$HU$1,IF(R14+IF(P14="",0,P14)=HS14,$GS$1,IF(R14+IF(P14="",0,P14)=GQ14,$FQ$1,IF(R14+IF(P14="",0,P14)=FO14,$EO$1,IF(R14+IF(P14="",0,P14)=EM14,$DM$1,IF(R14+IF(P14="",0,P14)=DK14,$CK$1)))))))))))))))</f>
        <v/>
      </c>
      <c r="U14" s="19">
        <v>15.2</v>
      </c>
      <c r="V14" s="19">
        <v>2.8</v>
      </c>
      <c r="W14" s="19">
        <v>0</v>
      </c>
      <c r="X14" s="19">
        <v>0.3</v>
      </c>
      <c r="Y14" s="19">
        <v>17.899999999999999</v>
      </c>
      <c r="Z14" s="19">
        <v>5.6</v>
      </c>
      <c r="AA14" s="19">
        <v>0.2</v>
      </c>
      <c r="AB14" s="19">
        <v>0</v>
      </c>
      <c r="AC14" s="19">
        <v>18.100000000000001</v>
      </c>
      <c r="AD14" s="19">
        <v>5.2</v>
      </c>
      <c r="AE14" s="19">
        <v>0.8</v>
      </c>
      <c r="AF14" s="19">
        <v>0.3</v>
      </c>
      <c r="AG14" s="19">
        <v>17.8</v>
      </c>
      <c r="AH14" s="19">
        <v>5.6</v>
      </c>
      <c r="AI14" s="19">
        <v>0.6</v>
      </c>
      <c r="AJ14" s="19">
        <v>0</v>
      </c>
      <c r="AK14" s="27"/>
      <c r="AL14" s="40">
        <f>IF(SUM(V14,Z14)&gt;0,SUM(V14,Z14),"")</f>
        <v>8.3999999999999986</v>
      </c>
      <c r="AM14" s="40">
        <f>IF(SUM(U14:V14,X14:Z14,AB14)-W14-AA14&gt;0,SUM(U14:V14,X14:Z14,AB14)-W14-AA14,"")</f>
        <v>41.6</v>
      </c>
      <c r="AN14" s="40">
        <f>IF(SUM(AD14,AH14)&gt;0,SUM(AD14,AH14),"")</f>
        <v>10.8</v>
      </c>
      <c r="AO14" s="40">
        <f>IF(SUM(AC14:AD14,AF14:AH14,AJ14)-SUM(AE14,AI14)&gt;0,SUM(AC14:AD14,AF14:AH14,AJ14)-SUM(AE14,AI14),"")</f>
        <v>45.600000000000009</v>
      </c>
      <c r="AP14" s="40">
        <f>IF(SUM(AM14,AO14)&gt;0,SUM(AM14,AO14),"")</f>
        <v>87.200000000000017</v>
      </c>
      <c r="AQ14" s="18">
        <v>18</v>
      </c>
      <c r="AR14" s="18">
        <v>4.8</v>
      </c>
      <c r="AS14" s="18">
        <v>0.6</v>
      </c>
      <c r="AT14" s="18">
        <v>0.3</v>
      </c>
      <c r="AU14" s="18">
        <v>17.899999999999999</v>
      </c>
      <c r="AV14" s="18">
        <v>5.6</v>
      </c>
      <c r="AW14" s="18">
        <v>0.2</v>
      </c>
      <c r="AX14" s="18">
        <v>0</v>
      </c>
      <c r="AY14" s="18">
        <v>16.100000000000001</v>
      </c>
      <c r="AZ14" s="18">
        <v>5.2</v>
      </c>
      <c r="BA14" s="18">
        <v>1</v>
      </c>
      <c r="BB14" s="18">
        <v>0</v>
      </c>
      <c r="BC14" s="18">
        <v>17.8</v>
      </c>
      <c r="BD14" s="18">
        <v>4.8</v>
      </c>
      <c r="BE14" s="18">
        <v>0.6</v>
      </c>
      <c r="BF14" s="18">
        <v>0.3</v>
      </c>
      <c r="BG14" s="28"/>
      <c r="BH14" s="11">
        <f>IF(SUM(AR14,AV14)&gt;0,SUM(AR14,AV14),"")</f>
        <v>10.399999999999999</v>
      </c>
      <c r="BI14" s="11">
        <f>IF(SUM(AQ14:AR14,AT14:AV14,AX14)-AS14-AW14&gt;0,SUM(AQ14:AR14,AT14:AV14,AX14)-AS14-AW14,"")</f>
        <v>45.8</v>
      </c>
      <c r="BJ14" s="11">
        <f>IF(SUM(AZ14,BD14)&gt;0,SUM(AZ14,BD14),"")</f>
        <v>10</v>
      </c>
      <c r="BK14" s="11">
        <f>IF(SUM(AY14:AZ14,BB14:BD14,BF14)-SUM(BA14,BE14)&gt;0,SUM(AY14:AZ14,BB14:BD14,BF14)-SUM(BA14,BE14),"")</f>
        <v>42.599999999999994</v>
      </c>
      <c r="BL14" s="11">
        <f>IF(SUM(BI14,BK14)&gt;0,SUM(BI14,BK14),"")</f>
        <v>88.399999999999991</v>
      </c>
      <c r="BM14" s="19">
        <v>18.2</v>
      </c>
      <c r="BN14" s="19">
        <v>4.4000000000000004</v>
      </c>
      <c r="BO14" s="19">
        <v>0.6</v>
      </c>
      <c r="BP14" s="19">
        <v>0</v>
      </c>
      <c r="BQ14" s="19">
        <v>18.399999999999999</v>
      </c>
      <c r="BR14" s="19">
        <v>2.8</v>
      </c>
      <c r="BS14" s="19">
        <v>1.3</v>
      </c>
      <c r="BT14" s="19">
        <v>0</v>
      </c>
      <c r="BU14" s="19">
        <v>18.2</v>
      </c>
      <c r="BV14" s="19">
        <v>4.4000000000000004</v>
      </c>
      <c r="BW14" s="19">
        <v>0.6</v>
      </c>
      <c r="BX14" s="19">
        <v>0</v>
      </c>
      <c r="BY14" s="19">
        <v>18.2</v>
      </c>
      <c r="BZ14" s="19">
        <v>3.2</v>
      </c>
      <c r="CA14" s="19">
        <v>0.3</v>
      </c>
      <c r="CB14" s="19">
        <v>0</v>
      </c>
      <c r="CC14" s="27"/>
      <c r="CD14" s="40">
        <f>IF(SUM(BN14,BR14)&gt;0,SUM(BN14,BR14),"")</f>
        <v>7.2</v>
      </c>
      <c r="CE14" s="40">
        <f>IF(SUM(BM14:BN14,BP14:BR14,BT14)-BO14-BS14&gt;0,SUM(BM14:BN14,BP14:BR14,BT14)-BO14-BS14,"")</f>
        <v>41.9</v>
      </c>
      <c r="CF14" s="40">
        <f>IF(SUM(BV14,BZ14)&gt;0,SUM(BV14,BZ14),"")</f>
        <v>7.6000000000000005</v>
      </c>
      <c r="CG14" s="40">
        <f>IF(SUM(BU14:BV14,BX14:BZ14,CB14)-SUM(BW14,CA14)&gt;0,SUM(BU14:BV14,BX14:BZ14,CB14)-SUM(BW14,CA14),"")</f>
        <v>43.1</v>
      </c>
      <c r="CH14" s="40">
        <f>IF(SUM(CE14,CG14)&gt;0,SUM(CE14,CG14),"")</f>
        <v>85</v>
      </c>
      <c r="CI14" s="50" t="str">
        <f>IF(MAX(DF14,EH14,FJ14,GL14,HN14,IP14,JR14,KT14,LV14,MX14,NZ14,PB14)-IF(N14="",0,N14)&gt;0.001,MAX(DF14,EH14,FJ14,GL14,HN14,IP14,JR14,KT14,LV14,MX14,NZ14,PB14)-IF(N14="",0,N14),"")</f>
        <v/>
      </c>
      <c r="CJ14" s="50" t="str">
        <f>IF(MAX(DK14,EM14,FO14,GQ14,HS14,IU14,JW14,KY14,MA14,NC14,OE14,PG14)-IF(P14="",0,P14)&gt;0.001,MAX(DK14,EM14,FO14,GQ14,HS14,IU14,JW14,KY14,MA14,NC14,OE14,PG14)-IF(P14="",0,P14),"")</f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>IF(SUM(CL14,CP14)&gt;0,SUM(CL14,CP14),"")</f>
        <v/>
      </c>
      <c r="DF14" s="40" t="str">
        <f>IF(SUM(CK14:CL14,CN14:CP14,CR14)-CM14-CQ14&gt;0,SUM(CK14:CL14,CN14:CP14,CR14)-CM14-CQ14,"")</f>
        <v/>
      </c>
      <c r="DG14" s="40" t="str">
        <f>IF(SUM(CS14:CT14,CV14)-CU14&gt;0,SUM(CS14:CT14,CV14)-CU14,"")</f>
        <v/>
      </c>
      <c r="DH14" s="40" t="str">
        <f>IF(SUM(CL14,CP14,CT14)&gt;0,SUM(CL14,CP14,CT14),"")</f>
        <v/>
      </c>
      <c r="DI14" s="40" t="str">
        <f>IF(SUM(DF14,DG14)&gt;0,SUM(DF14,DG14),"")</f>
        <v/>
      </c>
      <c r="DJ14" s="40" t="str">
        <f>IF(SUM(CX14,DB14)&gt;0,SUM(CX14,DB14),"")</f>
        <v/>
      </c>
      <c r="DK14" s="40" t="str">
        <f>IF(SUM(CW14:CX14,CZ14:DB14,DD14)-SUM(CY14,DC14)&gt;0,SUM(CW14:CX14,CZ14:DB14,DD14)-SUM(CY14,DC14),"")</f>
        <v/>
      </c>
      <c r="DL14" s="40" t="str">
        <f>IF(SUM(DF14,DG14,DK14)&gt;0,SUM(DF14,DG14,DK14),"")</f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>IF(SUM(DN14,DR14)&gt;0,SUM(DN14,DR14),"")</f>
        <v/>
      </c>
      <c r="EH14" s="11" t="str">
        <f>IF(SUM(DM14:DN14,DP14:DR14,DT14)-DO14-DS14&gt;0,SUM(DM14:DN14,DP14:DR14,DT14)-DO14-DS14,"")</f>
        <v/>
      </c>
      <c r="EI14" s="11" t="str">
        <f>IF(SUM(DU14:DV14,DX14)-DW14&gt;0,SUM(DU14:DV14,DX14)-DW14,"")</f>
        <v/>
      </c>
      <c r="EJ14" s="11" t="str">
        <f>IF(SUM(DN14,DR14,DV14)&gt;0,SUM(DN14,DR14,DV14),"")</f>
        <v/>
      </c>
      <c r="EK14" s="11" t="str">
        <f>IF(SUM(EH14,EI14)&gt;0,SUM(EH14,EI14),"")</f>
        <v/>
      </c>
      <c r="EL14" s="11" t="str">
        <f>IF(SUM(DZ14,ED14)&gt;0,SUM(DZ14,ED14),"")</f>
        <v/>
      </c>
      <c r="EM14" s="11" t="str">
        <f>IF(SUM(DY14:DZ14,EB14:ED14,EF14)-SUM(EA14,EE14)&gt;0,SUM(DY14:DZ14,EB14:ED14,EF14)-SUM(EA14,EE14),"")</f>
        <v/>
      </c>
      <c r="EN14" s="11" t="str">
        <f>IF(SUM(EH14,EI14,EM14)&gt;0,SUM(EH14,EI14,EM14),"")</f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>IF(SUM(EP14,ET14)&gt;0,SUM(EP14,ET14),"")</f>
        <v/>
      </c>
      <c r="FJ14" s="40" t="str">
        <f>IF(SUM(EO14:EP14,ER14:ET14,EV14)-EQ14-EU14&gt;0,SUM(EO14:EP14,ER14:ET14,EV14)-EQ14-EU14,"")</f>
        <v/>
      </c>
      <c r="FK14" s="40" t="str">
        <f>IF(SUM(EW14:EX14,EZ14)-EY14&gt;0,SUM(EW14:EX14,EZ14)-EY14,"")</f>
        <v/>
      </c>
      <c r="FL14" s="40" t="str">
        <f>IF(SUM(EP14,ET14,EX14)&gt;0,SUM(EP14,ET14,EX14),"")</f>
        <v/>
      </c>
      <c r="FM14" s="40" t="str">
        <f>IF(SUM(FJ14,FK14)&gt;0,SUM(FJ14,FK14),"")</f>
        <v/>
      </c>
      <c r="FN14" s="40" t="str">
        <f>IF(SUM(FB14,FF14)&gt;0,SUM(FB14,FF14),"")</f>
        <v/>
      </c>
      <c r="FO14" s="40" t="str">
        <f>IF(SUM(FA14:FB14,FD14:FF14,FH14)-SUM(FC14,FG14)&gt;0,SUM(FA14:FB14,FD14:FF14,FH14)-SUM(FC14,FG14),"")</f>
        <v/>
      </c>
      <c r="FP14" s="40" t="str">
        <f>IF(SUM(FJ14,FK14,FO14)&gt;0,SUM(FJ14,FK14,FO14),"")</f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>IF(SUM(FR14,FV14)&gt;0,SUM(FR14,FV14),"")</f>
        <v/>
      </c>
      <c r="GL14" s="11" t="str">
        <f>IF(SUM(FQ14:FR14,FT14:FV14,FX14)-FS14-FW14&gt;0,SUM(FQ14:FR14,FT14:FV14,FX14)-FS14-FW14,"")</f>
        <v/>
      </c>
      <c r="GM14" s="11" t="str">
        <f>IF(SUM(FY14:FZ14,GB14)-GA14&gt;0,SUM(FY14:FZ14,GB14)-GA14,"")</f>
        <v/>
      </c>
      <c r="GN14" s="11" t="str">
        <f>IF(SUM(FR14,FV14,FZ14)&gt;0,SUM(FR14,FV14,FZ14),"")</f>
        <v/>
      </c>
      <c r="GO14" s="11" t="str">
        <f>IF(SUM(GL14,GM14)&gt;0,SUM(GL14,GM14),"")</f>
        <v/>
      </c>
      <c r="GP14" s="11" t="str">
        <f>IF(SUM(GD14,GH14)&gt;0,SUM(GD14,GH14),"")</f>
        <v/>
      </c>
      <c r="GQ14" s="11" t="str">
        <f>IF(SUM(GC14:GD14,GF14:GH14,GJ14)-SUM(GE14,GI14)&gt;0,SUM(GC14:GD14,GF14:GH14,GJ14)-SUM(GE14,GI14),"")</f>
        <v/>
      </c>
      <c r="GR14" s="11" t="str">
        <f>IF(SUM(GL14,GM14,GQ14)&gt;0,SUM(GL14,GM14,GQ14),"")</f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>IF(SUM(GT14,GX14)&gt;0,SUM(GT14,GX14),"")</f>
        <v/>
      </c>
      <c r="HN14" s="40" t="str">
        <f>IF(SUM(GS14:GT14,GV14:GX14,GZ14)-GU14-GY14&gt;0,SUM(GS14:GT14,GV14:GX14,GZ14)-GU14-GY14,"")</f>
        <v/>
      </c>
      <c r="HO14" s="40" t="str">
        <f>IF(SUM(HA14:HB14,HD14)-HC14&gt;0,SUM(HA14:HB14,HD14)-HC14,"")</f>
        <v/>
      </c>
      <c r="HP14" s="40" t="str">
        <f>IF(SUM(GT14,GX14,HB14)&gt;0,SUM(GT14,GX14,HB14),"")</f>
        <v/>
      </c>
      <c r="HQ14" s="40" t="str">
        <f>IF(SUM(HN14,HO14)&gt;0,SUM(HN14,HO14),"")</f>
        <v/>
      </c>
      <c r="HR14" s="40" t="str">
        <f>IF(SUM(HF14,HJ14)&gt;0,SUM(HF14,HJ14),"")</f>
        <v/>
      </c>
      <c r="HS14" s="40" t="str">
        <f>IF(SUM(HE14:HF14,HH14:HJ14,HL14)-SUM(HG14,HK14)&gt;0,SUM(HE14:HF14,HH14:HJ14,HL14)-SUM(HG14,HK14),"")</f>
        <v/>
      </c>
      <c r="HT14" s="40" t="str">
        <f>IF(SUM(HN14,HO14,HS14)&gt;0,SUM(HN14,HO14,HS14),"")</f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>IF(SUM(HV14,HZ14)&gt;0,SUM(HV14,HZ14),"")</f>
        <v/>
      </c>
      <c r="IP14" s="11" t="str">
        <f>IF(SUM(HU14:HV14,HX14:HZ14,IB14)-HW14-IA14&gt;0,SUM(HU14:HV14,HX14:HZ14,IB14)-HW14-IA14,"")</f>
        <v/>
      </c>
      <c r="IQ14" s="11" t="str">
        <f>IF(SUM(IC14:ID14,IF14)-IE14&gt;0,SUM(IC14:ID14,IF14)-IE14,"")</f>
        <v/>
      </c>
      <c r="IR14" s="11" t="str">
        <f>IF(SUM(HV14,HZ14,ID14)&gt;0,SUM(HV14,HZ14,ID14),"")</f>
        <v/>
      </c>
      <c r="IS14" s="11" t="str">
        <f>IF(SUM(IP14,IQ14)&gt;0,SUM(IP14,IQ14),"")</f>
        <v/>
      </c>
      <c r="IT14" s="11" t="str">
        <f>IF(SUM(IH14,IL14)&gt;0,SUM(IH14,IL14),"")</f>
        <v/>
      </c>
      <c r="IU14" s="11" t="str">
        <f>IF(SUM(IG14:IH14,IJ14:IL14,IN14)-SUM(II14,IM14)&gt;0,SUM(IG14:IH14,IJ14:IL14,IN14)-SUM(II14,IM14),"")</f>
        <v/>
      </c>
      <c r="IV14" s="11" t="str">
        <f>IF(SUM(IP14,IQ14,IU14)&gt;0,SUM(IP14,IQ14,IU14),"")</f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>IF(SUM(IX14,JB14)&gt;0,SUM(IX14,JB14),"")</f>
        <v/>
      </c>
      <c r="JR14" s="40" t="str">
        <f>IF(SUM(IW14:IX14,IZ14:JB14,JD14)-IY14-JC14&gt;0,SUM(IW14:IX14,IZ14:JB14,JD14)-IY14-JC14,"")</f>
        <v/>
      </c>
      <c r="JS14" s="40" t="str">
        <f>IF(SUM(JE14:JF14,JH14)-JG14&gt;0,SUM(JE14:JF14,JH14)-JG14,"")</f>
        <v/>
      </c>
      <c r="JT14" s="40" t="str">
        <f>IF(SUM(IX14,JB14,JF14)&gt;0,SUM(IX14,JB14,JF14),"")</f>
        <v/>
      </c>
      <c r="JU14" s="40" t="str">
        <f>IF(SUM(JR14,JS14)&gt;0,SUM(JR14,JS14),"")</f>
        <v/>
      </c>
      <c r="JV14" s="40" t="str">
        <f>IF(SUM(JJ14,JN14)&gt;0,SUM(JJ14,JN14),"")</f>
        <v/>
      </c>
      <c r="JW14" s="40" t="str">
        <f>IF(SUM(JI14:JJ14,JL14:JN14,JP14)-SUM(JK14,JO14)&gt;0,SUM(JI14:JJ14,JL14:JN14,JP14)-SUM(JK14,JO14),"")</f>
        <v/>
      </c>
      <c r="JX14" s="40" t="str">
        <f>IF(SUM(JR14,JS14,JW14)&gt;0,SUM(JR14,JS14,JW14),"")</f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>IF(SUM(JZ14,KD14)&gt;0,SUM(JZ14,KD14),"")</f>
        <v/>
      </c>
      <c r="KT14" s="11" t="str">
        <f>IF(SUM(JY14:JZ14,KB14:KD14,KF14)-KA14-KE14&gt;0,SUM(JY14:JZ14,KB14:KD14,KF14)-KA14-KE14,"")</f>
        <v/>
      </c>
      <c r="KU14" s="11" t="str">
        <f>IF(SUM(KG14:KH14,KJ14)-KI14&gt;0,SUM(KG14:KH14,KJ14)-KI14,"")</f>
        <v/>
      </c>
      <c r="KV14" s="11" t="str">
        <f>IF(SUM(JZ14,KD14,KH14)&gt;0,SUM(JZ14,KD14,KH14),"")</f>
        <v/>
      </c>
      <c r="KW14" s="11" t="str">
        <f>IF(SUM(KT14,KU14)&gt;0,SUM(KT14,KU14),"")</f>
        <v/>
      </c>
      <c r="KX14" s="11" t="str">
        <f>IF(SUM(KL14,KP14)&gt;0,SUM(KL14,KP14),"")</f>
        <v/>
      </c>
      <c r="KY14" s="11" t="str">
        <f>IF(SUM(KK14:KL14,KN14:KP14,KR14)-SUM(KM14,KQ14)&gt;0,SUM(KK14:KL14,KN14:KP14,KR14)-SUM(KM14,KQ14),"")</f>
        <v/>
      </c>
      <c r="KZ14" s="11" t="str">
        <f>IF(SUM(KT14,KU14,KY14)&gt;0,SUM(KT14,KU14,KY14),"")</f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>IF(SUM(LB14,LF14)&gt;0,SUM(LB14,LF14),"")</f>
        <v/>
      </c>
      <c r="LV14" s="40" t="str">
        <f>IF(SUM(LA14:LB14,LD14:LF14,LH14)-LC14-LG14&gt;0,SUM(LA14:LB14,LD14:LF14,LH14)-LC14-LG14,"")</f>
        <v/>
      </c>
      <c r="LW14" s="40" t="str">
        <f>IF(SUM(LI14:LJ14,LL14)-LK14&gt;0,SUM(LI14:LJ14,LL14)-LK14,"")</f>
        <v/>
      </c>
      <c r="LX14" s="40" t="str">
        <f>IF(SUM(LB14,LF14,LJ14)&gt;0,SUM(LB14,LF14,LJ14),"")</f>
        <v/>
      </c>
      <c r="LY14" s="40" t="str">
        <f>IF(SUM(LV14,LW14)&gt;0,SUM(LV14,LW14),"")</f>
        <v/>
      </c>
      <c r="LZ14" s="40" t="str">
        <f>IF(SUM(LN14,LR14)&gt;0,SUM(LN14,LR14),"")</f>
        <v/>
      </c>
      <c r="MA14" s="40" t="str">
        <f>IF(SUM(LM14:LN14,LP14:LR14,LT14)-SUM(LO14,LS14)&gt;0,SUM(LM14:LN14,LP14:LR14,LT14)-SUM(LO14,LS14),"")</f>
        <v/>
      </c>
      <c r="MB14" s="40" t="str">
        <f>IF(SUM(LV14,LW14,MA14)&gt;0,SUM(LV14,LW14,MA14),"")</f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>IF(SUM(MD14,MH14)&gt;0,SUM(MD14,MH14),"")</f>
        <v/>
      </c>
      <c r="MX14" s="11" t="str">
        <f>IF(SUM(MC14:MD14,MF14:MH14,MJ14)-ME14-MI14&gt;0,SUM(MC14:MD14,MF14:MH14,MJ14)-ME14-MI14,"")</f>
        <v/>
      </c>
      <c r="MY14" s="11" t="str">
        <f>IF(SUM(MK14:ML14,MN14)-MM14&gt;0,SUM(MK14:ML14,MN14)-MM14,"")</f>
        <v/>
      </c>
      <c r="MZ14" s="11" t="str">
        <f>IF(SUM(MD14,MH14,ML14)&gt;0,SUM(MD14,MH14,ML14),"")</f>
        <v/>
      </c>
      <c r="NA14" s="11" t="str">
        <f>IF(SUM(MX14,MY14)&gt;0,SUM(MX14,MY14),"")</f>
        <v/>
      </c>
      <c r="NB14" s="11" t="str">
        <f>IF(SUM(MP14,MT14)&gt;0,SUM(MP14,MT14),"")</f>
        <v/>
      </c>
      <c r="NC14" s="11" t="str">
        <f>IF(SUM(MO14:MP14,MR14:MT14,MV14)-SUM(MQ14,MU14)&gt;0,SUM(MO14:MP14,MR14:MT14,MV14)-SUM(MQ14,MU14),"")</f>
        <v/>
      </c>
      <c r="ND14" s="11" t="str">
        <f>IF(SUM(MX14,MY14,NC14)&gt;0,SUM(MX14,MY14,NC14),"")</f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>IF(SUM(NF14,NJ14)&gt;0,SUM(NF14,NJ14),"")</f>
        <v/>
      </c>
      <c r="NZ14" s="40" t="str">
        <f>IF(SUM(NE14:NF14,NH14:NJ14,NL14)-NG14-NK14&gt;0,SUM(NE14:NF14,NH14:NJ14,NL14)-NG14-NK14,"")</f>
        <v/>
      </c>
      <c r="OA14" s="40" t="str">
        <f>IF(SUM(NM14:NN14,NP14)-NO14&gt;0,SUM(NM14:NN14,NP14)-NO14,"")</f>
        <v/>
      </c>
      <c r="OB14" s="40" t="str">
        <f>IF(SUM(NF14,NJ14,NN14)&gt;0,SUM(NF14,NJ14,NN14),"")</f>
        <v/>
      </c>
      <c r="OC14" s="40" t="str">
        <f>IF(SUM(NZ14,OA14)&gt;0,SUM(NZ14,OA14),"")</f>
        <v/>
      </c>
      <c r="OD14" s="40" t="str">
        <f>IF(SUM(NR14,NV14)&gt;0,SUM(NR14,NV14),"")</f>
        <v/>
      </c>
      <c r="OE14" s="40" t="str">
        <f>IF(SUM(NQ14:NR14,NT14:NV14,NX14)-SUM(NS14,NW14)&gt;0,SUM(NQ14:NR14,NT14:NV14,NX14)-SUM(NS14,NW14),"")</f>
        <v/>
      </c>
      <c r="OF14" s="40" t="str">
        <f>IF(SUM(NZ14,OA14,OE14)&gt;0,SUM(NZ14,OA14,OE14),"")</f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>IF(SUM(OH14,OL14)&gt;0,SUM(OH14,OL14),"")</f>
        <v/>
      </c>
      <c r="PB14" s="11" t="str">
        <f>IF(SUM(OG14:OH14,OJ14:OL14,ON14)-OI14-OM14&gt;0,SUM(OG14:OH14,OJ14:OL14,ON14)-OI14-OM14,"")</f>
        <v/>
      </c>
      <c r="PC14" s="11" t="str">
        <f>IF(SUM(OO14:OP14,OR14)-OQ14&gt;0,SUM(OO14:OP14,OR14)-OQ14,"")</f>
        <v/>
      </c>
      <c r="PD14" s="11" t="str">
        <f>IF(SUM(OH14,OL14,OP14)&gt;0,SUM(OH14,OL14,OP14),"")</f>
        <v/>
      </c>
      <c r="PE14" s="11" t="str">
        <f>IF(SUM(PB14,PC14)&gt;0,SUM(PB14,PC14),"")</f>
        <v/>
      </c>
      <c r="PF14" s="11" t="str">
        <f>IF(SUM(OT14,OX14)&gt;0,SUM(OT14,OX14),"")</f>
        <v/>
      </c>
      <c r="PG14" s="11" t="str">
        <f>IF(SUM(OS14:OT14,OV14:OX14,OZ14)-SUM(OU14,OY14)&gt;0,SUM(OS14:OT14,OV14:OX14,OZ14)-SUM(OU14,OY14),"")</f>
        <v/>
      </c>
      <c r="PH14" s="11" t="str">
        <f>IF(SUM(PB14,PC14,PG14)&gt;0,SUM(PB14,PC14,PG14),"")</f>
        <v/>
      </c>
      <c r="PI14" s="22">
        <f>IF($PY14="P",BM14,(BM14+AQ14)/2)</f>
        <v>18.2</v>
      </c>
      <c r="PJ14" s="22">
        <f>IF($PY14="P",BN14,(BN14+AR14)/2)</f>
        <v>4.4000000000000004</v>
      </c>
      <c r="PK14" s="22">
        <f>IF($PY14="P",BO14,(BO14+AS14)/2)</f>
        <v>0.6</v>
      </c>
      <c r="PL14" s="22">
        <f>IF($PY14="P",BP14,(BP14+AT14)/2)</f>
        <v>0</v>
      </c>
      <c r="PM14" s="22">
        <f>IF($PY14="P",BQ14,(BQ14+AU14)/2)</f>
        <v>18.399999999999999</v>
      </c>
      <c r="PN14" s="22">
        <f>IF($PY14="P",BR14,(BR14+AV14)/2)</f>
        <v>2.8</v>
      </c>
      <c r="PO14" s="22">
        <f>IF($PY14="P",BS14,(BS14+AW14)/2)</f>
        <v>1.3</v>
      </c>
      <c r="PP14" s="22">
        <f>IF($PY14="P",BT14,(BT14+AX14)/2)</f>
        <v>0</v>
      </c>
      <c r="PQ14" s="22">
        <f>IF($PY14="P",BU14,(BU14+AY14)/2)</f>
        <v>18.2</v>
      </c>
      <c r="PR14" s="22">
        <f>IF($PY14="P",BV14,(BV14+AZ14)/2)</f>
        <v>4.4000000000000004</v>
      </c>
      <c r="PS14" s="22">
        <f>IF($PY14="P",BW14,(BW14+BA14)/2)</f>
        <v>0.6</v>
      </c>
      <c r="PT14" s="22">
        <f>IF($PY14="P",BX14,(BX14+BB14)/2)</f>
        <v>0</v>
      </c>
      <c r="PU14" s="22">
        <f>IF($PY14="P",BY14,(BY14+BC14)/2)</f>
        <v>18.2</v>
      </c>
      <c r="PV14" s="22">
        <f>IF($PY14="P",BZ14,(BZ14+BD14)/2)</f>
        <v>3.2</v>
      </c>
      <c r="PW14" s="22">
        <f>IF($PY14="P",CA14,(CA14+BE14)/2)</f>
        <v>0.3</v>
      </c>
      <c r="PX14" s="22">
        <f>IF($PY14="P",CB14,(CB14+BF14)/2)</f>
        <v>0</v>
      </c>
      <c r="PY14" s="27" t="s">
        <v>46</v>
      </c>
      <c r="PZ14" s="40">
        <f>IF(SUM(PJ14,PN14)&gt;0,SUM(PJ14,PN14),"")</f>
        <v>7.2</v>
      </c>
      <c r="QA14" s="40">
        <f>IF(SUM(PI14:PJ14,PL14:PN14,PP14)-PK14-PO14&gt;0,SUM(PI14:PJ14,PL14:PN14,PP14)-PK14-PO14,"")</f>
        <v>41.9</v>
      </c>
      <c r="QB14" s="40">
        <f>IF(SUM(PR14,PV14)&gt;0,SUM(PR14,PV14),"")</f>
        <v>7.6000000000000005</v>
      </c>
      <c r="QC14" s="40">
        <f>IF(SUM(PQ14:PR14,PT14:PV14,PX14)-SUM(PS14,PW14)&gt;0,SUM(PQ14:PR14,PT14:PV14,PX14)-SUM(PS14,PW14),"")</f>
        <v>43.1</v>
      </c>
      <c r="QD14" s="40">
        <f>IF(SUM(QA14,QC14)&gt;0,SUM(QA14,QC14),"")</f>
        <v>85</v>
      </c>
    </row>
    <row r="15" spans="1:446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137</v>
      </c>
      <c r="D15" s="4" t="s">
        <v>6</v>
      </c>
      <c r="E15" s="4">
        <v>2007</v>
      </c>
      <c r="F15" s="9">
        <f>SUM(L15:R15)+SUM(L15:O15)*0.0000001+SUM(L15)*0.0000000000001</f>
        <v>131.70000876000438</v>
      </c>
      <c r="G15" s="64"/>
      <c r="H15" s="3" t="str">
        <f>IF(OR(AND(AL15&gt;=AP$36,AM15&gt;=AP$40,AL15&lt;&gt;"",AK15=""),AND(AN15&gt;=AP$36,AO15&gt;=AP$40,AN15&lt;&gt;"",AK15=""),AND(BH15&gt;=BL$36,BI15&gt;=BL$40,BH15&lt;&gt;"",BG15=""),AND(BJ15&gt;=BL$36,BK15&gt;=BL$40,BJ15&lt;&gt;"",BG15=""),AND(CD15&gt;=CH$36,CE15&gt;=CH$40,CD15&lt;&gt;"",CC15=""),AND(CF15&gt;=CH$36,CG15&gt;=CH$40,CF15&lt;&gt;""),AND(DE15&gt;=DL$36,DF15&gt;=DL$40,DE15&lt;&gt;""),AND(DJ15&gt;=DL$36,DK15&gt;=DL$40,DJ15&lt;&gt;""),AND(EG15&gt;=EN$36,EH15&gt;=EN$40,EG15&lt;&gt;""),AND(EL15&gt;=EN$36,EM15&gt;=EN$40,EL15&lt;&gt;""),AND(FI15&gt;=FP$36,FJ15&gt;=FP$40,FI15&lt;&gt;""),AND(FN15&gt;=FP$36,FO15&gt;=FP$40,FN15&lt;&gt;""),AND(GK15&gt;=GR$36,GL15&gt;=GR$40,GK15&lt;&gt;""),AND(GP15&gt;=GR$36,GQ15&gt;=GR$40,GP15&lt;&gt;""),AND(HM15&gt;=HT$36,HN15&gt;=HT$40,HM15&lt;&gt;""),AND(HR15&gt;=HT$36,HS15&gt;=HT$40,HR15&lt;&gt;""),AND(IO15&gt;=IV$36,IP15&gt;=IV$40,IO15&lt;&gt;""),AND(IT15&gt;=IV$36,IU15&gt;=IV$40,IT15&lt;&gt;""),AND(JQ15&gt;=JX$36,JR15&gt;=JX$40,JQ15&lt;&gt;""),AND(JV15&gt;=JX$36,JW15&gt;=JX$40,JV15&lt;&gt;""),AND(KS15&gt;=KZ$36,KT15&gt;=KZ$40,KS15&lt;&gt;""),AND(KX15&gt;=KZ$36,KY15&gt;=KZ$40,KX15&lt;&gt;""),AND(LU15&gt;=MB$36,LV15&gt;=MB$40,LU15&lt;&gt;""),AND(LZ15&gt;=MB$36,MA15&gt;=MB$40,LZ15&lt;&gt;""),AND(MW15&gt;=ND$36,MX15&gt;=ND$40,MW15&lt;&gt;""),AND(NB15&gt;=ND$36,NC15&gt;=ND$40,NB15&lt;&gt;""),AND(NY15&gt;=OF$36,NZ15&gt;=OF$40,NY15&lt;&gt;""),AND(OD15&gt;=OF$36,OE15&gt;=OF$40,OD15&lt;&gt;""),AND(PA15&gt;=PH$36,PB15&gt;=PH$40,PA15&lt;&gt;""),AND(PF15&gt;=PH$36,PG15&gt;=PH$40,PF15&lt;&gt;"")),"P","")</f>
        <v/>
      </c>
      <c r="I15" s="3" t="str">
        <f>IF(OR(AND(AM15&gt;=AP$40,AM15&lt;&gt;"",AK15=""),AND(AO15&gt;=AP$40,AO15&lt;&gt;"",AK15=""),AND(BI15&gt;=BL$40,BI15&lt;&gt;"",BG15=""),AND(BK15&gt;=BL$40,BK15&lt;&gt;"",BG15=""),AND(CE15&gt;=CH$40,CE15&lt;&gt;"",CC15=""),AND(CG15&gt;=CH$40,CG15&lt;&gt;"",CC15=""),AND(DF15&gt;=DL$40,DF15&lt;&gt;""),AND(DK15&gt;=DL$40,DK15&lt;&gt;""),AND(EH15&gt;=EN$40,EH15&lt;&gt;""),AND(EM15&gt;=EN$40,EM15&lt;&gt;""),AND(FJ15&gt;=FP$40,FJ15&lt;&gt;""),AND(FO15&gt;=FP$40,FO15&lt;&gt;""),AND(GL15&gt;=GR$40,GL15&lt;&gt;""),AND(GQ15&gt;=GR$40,GQ15&lt;&gt;""),AND(HN15&gt;=HT$40,HN15&lt;&gt;""),AND(HS15&gt;=HT$40,HS15&lt;&gt;""),AND(IP15&gt;=IV$40,IP15&lt;&gt;""),AND(IU15&gt;=IV$40,IU15&lt;&gt;""),AND(JR15&gt;=JX$40,JR15&lt;&gt;""),AND(JW15&gt;=JX$40,JW15&lt;&gt;""),AND(KT15&gt;=KZ$40,KT15&lt;&gt;""),AND(KY15&gt;=KZ$40,KY15&lt;&gt;""),AND(LV15&gt;=MB$40,LV15&lt;&gt;""),AND(MA15&gt;=MB$40,MA15&lt;&gt;""),AND(MX15&gt;=ND$40,MX15&lt;&gt;""),AND(NC15&gt;=ND$40,NC15&lt;&gt;""),AND(NZ15&gt;=OF$40,NZ15&lt;&gt;""),AND(OE15&gt;=OF$40,OE15&lt;&gt;""),AND(PB15&gt;=PH$40,PB15&lt;&gt;""),AND(PG15&gt;=PH$40,PG15&lt;&gt;"")),"P","")</f>
        <v/>
      </c>
      <c r="J15" s="36" t="str">
        <f>IF(AND(I15="P",H15=""),"No DD",IF(OR(AND(AL15&gt;=AP$26,AM15&gt;=AP$30,AL15&lt;&gt;"",AK15=""),AND(BH15&gt;=BL$26,BI15&gt;=BL$30,BH15&lt;&gt;"",BG15=""),AND(CD15&gt;=CH$26,CE15&gt;=CH$30,CD15&lt;&gt;"",CC15=""),AND(DH15&gt;=DL$26,DI15&gt;=DL$30,DH15&lt;&gt;""),AND(EJ15&gt;=EN$26,EK15&gt;=EN$30,EJ15&lt;&gt;""),AND(FL15&gt;=FP$26,FM15&gt;=FP$30,FL15&lt;&gt;""),AND(GN15&gt;=GR$26,GO15&gt;=GR$30,GN15&lt;&gt;""),AND(HP15&gt;=HT$26,HQ15&gt;=HT$30,HP15&lt;&gt;""),AND(IR15&gt;=IV$26,IS15&gt;=IV$30,IR15&lt;&gt;""),AND(JT15&gt;=JX$26,JU15&gt;=JX$30,JT15&lt;&gt;""),AND(KV15&gt;=KZ$26,KW15&gt;=KZ$30,KV15&lt;&gt;""),AND(LX15&gt;=MB$26,LY15&gt;=MB$30,LX15&lt;&gt;""),AND(MZ15&gt;=ND$26,NA15&gt;=ND$30,MZ15&lt;&gt;""),AND(OB15&gt;=OF$26,OC15&gt;=OF$30,OB15&lt;&gt;""),AND(PD15&gt;=PH$26,PE15&gt;=PH$30,PD15&lt;&gt;"")),"Merit",IF(OR(AND(AL15&gt;=AP$25,AM15&gt;=AP$29,AL15&lt;&gt;"",AK15=""),AND(BH15&gt;=BL$25,BI15&gt;=BL$29,BH15&lt;&gt;"",BG15=""),AND(CD15&gt;=CH$25,CE15&gt;=CH$29,CD15&lt;&gt;"",CC15=""),AND(DH15&gt;=DL$25,DI15&gt;=DL$29,DH15&lt;&gt;""),AND(EJ15&gt;=EN$25,EK15&gt;=EN$29,EJ15&lt;&gt;""),AND(FL15&gt;=FP$25,FM15&gt;=FP$29,FL15&lt;&gt;""),AND(GN15&gt;=GR$25,GO15&gt;=GR$29,GN15&lt;&gt;""),AND(HP15&gt;=HT$25,HQ15&gt;=HT$29,HP15&lt;&gt;""),AND(IR15&gt;=IV$25,IS15&gt;=IV$29,IR15&lt;&gt;""),AND(JT15&gt;=JX$25,JU15&gt;=JX$29,JT15&lt;&gt;""),AND(KV15&gt;=KZ$25,KW15&gt;=KZ$29,KV15&lt;&gt;""),AND(LX15&gt;=MB$25,LY15&gt;=MB$29,LX15&lt;&gt;""),AND(MZ15&gt;=ND$25,NA15&gt;=ND$29,MZ15&lt;&gt;""),AND(OB15&gt;=OF$25,OC15&gt;=OF$29,OB15&lt;&gt;""),AND(PD15&gt;=PH$25,PE15&gt;=PH$29,PD15&lt;&gt;"")),"Excellence",IF(K15="P","Worlds Team",IF(H15="P","National Team","")))))</f>
        <v/>
      </c>
      <c r="K15" s="3" t="str">
        <f>IF(OR(AND(AL15&gt;=AP$24,AM15&gt;=AP$28,AL15&lt;&gt;"",AK15=""),AND(BH15&gt;=BL$24,BI15&gt;=BL$28,BH15&lt;&gt;"",BG15=""),AND(CD15&gt;=CH$24,CE15&gt;=CH$28,CD15&lt;&gt;"",CC15=""),AND(DH15&gt;=DL$24,DI15&gt;=DL$28,DH15&lt;&gt;""),AND(EJ15&gt;=EN$24,EK15&gt;=EN$28,EJ15&lt;&gt;""),AND(FL15&gt;=FP$24,FM15&gt;=FP$28,FL15&lt;&gt;""),AND(GN15&gt;=GR$24,GO15&gt;=GR$28,GN15&lt;&gt;""),AND(HP15&gt;=HT$24,HQ15&gt;=HT$28,HP15&lt;&gt;""),AND(IR15&gt;=IV$24,IS15&gt;=IV$28,IR15&lt;&gt;""),AND(JT15&gt;=JX$24,JU15&gt;=JX$28,JT15&lt;&gt;""),AND(KV15&gt;=KZ$24,KW15&gt;=KZ$28,KV15&lt;&gt;""),AND(LX15&gt;=MB$24,LY15&gt;=MB$28,LX15&lt;&gt;""),AND(MZ15&gt;=ND$24,NA15&gt;=ND$28,MZ15&lt;&gt;""),AND(OB15&gt;=OF$24,OC15&gt;=OF$28,OB15&lt;&gt;""),AND(PD15&gt;=PH$24,PE15&gt;=PH$28,PD15&lt;&gt;"")),"P","")</f>
        <v/>
      </c>
      <c r="L15" s="8">
        <f>IF(COUNT(AM15,BI15,CE15)&gt;0,LARGE((AM15,BI15,CE15),1),0)</f>
        <v>44</v>
      </c>
      <c r="M15" s="8" t="str">
        <f>IF(L15=0,"",IF(L15=CE15,$BM$1,IF(L15=BI15,$AQ$1,IF(L15=AM15,$U$1,""))))</f>
        <v>2025 Nationals</v>
      </c>
      <c r="N15" s="8">
        <f>IF(COUNT(AM15,BI15,CE15)&gt;1,LARGE((AM15,BI15,CE15),2),0)</f>
        <v>43.6</v>
      </c>
      <c r="O15" s="8" t="str">
        <f>IF(N15=0,"",IF(AND(N15=L15,N15=AM15,N15=BI15),$U$1,IF(AND(N15=L15,N15=AM15,N15=CE15),$U$1,IF(AND(N15=L15,N15=BI15,N15=CE15),$AQ$1,IF(N15=CE15,$BM$1,IF(N15=BI15,$AQ$1,IF(N15=AM15,$U$1,"")))))))</f>
        <v>2025 Elite Canada</v>
      </c>
      <c r="P15" s="8">
        <f>IF(MAX(AO15,BK15,CG15)&gt;0,MAX(AO15,BK15,CG15),0)</f>
        <v>44.099999999999994</v>
      </c>
      <c r="Q15" s="8" t="str">
        <f>IF(P15=0,"",IF(P15=CG15,$BM$1,IF(P15=BK15,$AQ$1,IF(P15=AO15,$U$1,""))))</f>
        <v>2025 3rd Domestic Trial</v>
      </c>
      <c r="R15" s="8" t="str">
        <f>IF(MAX(CI15:CJ15)&gt;0,MAX(CI15:CJ15),"")</f>
        <v/>
      </c>
      <c r="S15" s="11" t="str">
        <f>IF(R15="","",IF(R15=CI15,"("&amp;CI$2&amp;")",IF(R15=CJ15,"("&amp;CJ$2&amp;")")))</f>
        <v/>
      </c>
      <c r="T15" s="8" t="str">
        <f>IF(R15="","",IF(R15=CI15,IF(R15+IF(N15="",0,N15)=PB15,$OG$1,IF(R15+IF(N15="",0,N15)=NZ15,$NE$1,IF(R15+IF(N15="",0,N15)=MX15,$MC$1,IF(R15+IF(N15="",0,N15)=LV15,$LA$1,IF(R15+IF(N15="",0,N15)=KT15,$JY$1,IF(R15+IF(N15="",0,N15)=JR15,$IW$1,IF(R15+IF(N15="",0,N15)=IP15,$HU$1,IF(R15+IF(N15="",0,N15)=HN15,$GS$1,IF(R15+IF(N15="",0,N15)=GL15,$FQ$1,IF(R15+IF(N15="",0,N15)=FJ15,$EO$1,IF(R15+IF(N15="",0,N15)=EH15,$DM$1,IF(R15+IF(N15="",0,N15)=DF15,$CK$1)))))))))))),IF(R15=CJ15,IF(R15+IF(P15="",0,P15)=PG15,$OG$1,IF(R15+IF(P15="",0,P15)=OE15,$NE$1,IF(R15+IF(P15="",0,P15)=NC15,$MC$1,IF(R15+IF(P15="",0,P15)=MA15,$LA$1,IF(R15+IF(P15="",0,P15)=KY15,$JY$1,IF(R15+IF(P15="",0,P15)=JW15,$IW$1,IF(R15+IF(P15="",0,P15)=IU15,$HU$1,IF(R15+IF(P15="",0,P15)=HS15,$GS$1,IF(R15+IF(P15="",0,P15)=GQ15,$FQ$1,IF(R15+IF(P15="",0,P15)=FO15,$EO$1,IF(R15+IF(P15="",0,P15)=EM15,$DM$1,IF(R15+IF(P15="",0,P15)=DK15,$CK$1)))))))))))))))</f>
        <v/>
      </c>
      <c r="U15" s="19">
        <v>18.8</v>
      </c>
      <c r="V15" s="19">
        <v>3.5</v>
      </c>
      <c r="W15" s="19">
        <v>0</v>
      </c>
      <c r="X15" s="19">
        <v>0</v>
      </c>
      <c r="Y15" s="19">
        <v>18.3</v>
      </c>
      <c r="Z15" s="19">
        <v>3.6</v>
      </c>
      <c r="AA15" s="19">
        <v>0.6</v>
      </c>
      <c r="AB15" s="19">
        <v>0</v>
      </c>
      <c r="AC15" s="19">
        <v>18.399999999999999</v>
      </c>
      <c r="AD15" s="19">
        <v>3.5</v>
      </c>
      <c r="AE15" s="19">
        <v>0</v>
      </c>
      <c r="AF15" s="19">
        <v>0</v>
      </c>
      <c r="AG15" s="19">
        <v>18.5</v>
      </c>
      <c r="AH15" s="19">
        <v>3.6</v>
      </c>
      <c r="AI15" s="19">
        <v>0</v>
      </c>
      <c r="AJ15" s="19">
        <v>0</v>
      </c>
      <c r="AK15" s="27"/>
      <c r="AL15" s="40">
        <f>IF(SUM(V15,Z15)&gt;0,SUM(V15,Z15),"")</f>
        <v>7.1</v>
      </c>
      <c r="AM15" s="40">
        <f>IF(SUM(U15:V15,X15:Z15,AB15)-W15-AA15&gt;0,SUM(U15:V15,X15:Z15,AB15)-W15-AA15,"")</f>
        <v>43.6</v>
      </c>
      <c r="AN15" s="40">
        <f>IF(SUM(AD15,AH15)&gt;0,SUM(AD15,AH15),"")</f>
        <v>7.1</v>
      </c>
      <c r="AO15" s="40">
        <f>IF(SUM(AC15:AD15,AF15:AH15,AJ15)-SUM(AE15,AI15)&gt;0,SUM(AC15:AD15,AF15:AH15,AJ15)-SUM(AE15,AI15),"")</f>
        <v>44</v>
      </c>
      <c r="AP15" s="40">
        <f>IF(SUM(AM15,AO15)&gt;0,SUM(AM15,AO15),"")</f>
        <v>87.6</v>
      </c>
      <c r="AQ15" s="18">
        <v>18.2</v>
      </c>
      <c r="AR15" s="18">
        <v>3.5</v>
      </c>
      <c r="AS15" s="18">
        <v>0.2</v>
      </c>
      <c r="AT15" s="18">
        <v>0</v>
      </c>
      <c r="AU15" s="18">
        <v>19</v>
      </c>
      <c r="AV15" s="18">
        <v>3.5</v>
      </c>
      <c r="AW15" s="18">
        <v>0</v>
      </c>
      <c r="AX15" s="18">
        <v>0</v>
      </c>
      <c r="AY15" s="18">
        <v>15.4</v>
      </c>
      <c r="AZ15" s="18">
        <v>0.7</v>
      </c>
      <c r="BA15" s="18">
        <v>0</v>
      </c>
      <c r="BB15" s="18">
        <v>0</v>
      </c>
      <c r="BC15" s="18">
        <v>18.899999999999999</v>
      </c>
      <c r="BD15" s="18">
        <v>2.7</v>
      </c>
      <c r="BE15" s="18">
        <v>1</v>
      </c>
      <c r="BF15" s="18">
        <v>0</v>
      </c>
      <c r="BG15" s="28"/>
      <c r="BH15" s="11">
        <f>IF(SUM(AR15,AV15)&gt;0,SUM(AR15,AV15),"")</f>
        <v>7</v>
      </c>
      <c r="BI15" s="11">
        <f>IF(SUM(AQ15:AR15,AT15:AV15,AX15)-AS15-AW15&gt;0,SUM(AQ15:AR15,AT15:AV15,AX15)-AS15-AW15,"")</f>
        <v>44</v>
      </c>
      <c r="BJ15" s="11">
        <f>IF(SUM(AZ15,BD15)&gt;0,SUM(AZ15,BD15),"")</f>
        <v>3.4000000000000004</v>
      </c>
      <c r="BK15" s="11">
        <f>IF(SUM(AY15:AZ15,BB15:BD15,BF15)-SUM(BA15,BE15)&gt;0,SUM(AY15:AZ15,BB15:BD15,BF15)-SUM(BA15,BE15),"")</f>
        <v>36.700000000000003</v>
      </c>
      <c r="BL15" s="11">
        <f>IF(SUM(BI15,BK15)&gt;0,SUM(BI15,BK15),"")</f>
        <v>80.7</v>
      </c>
      <c r="BM15" s="19">
        <v>18.3</v>
      </c>
      <c r="BN15" s="19">
        <v>3.1</v>
      </c>
      <c r="BO15" s="19">
        <v>0.8</v>
      </c>
      <c r="BP15" s="19">
        <v>0</v>
      </c>
      <c r="BQ15" s="19">
        <v>18.7</v>
      </c>
      <c r="BR15" s="19">
        <v>3.9</v>
      </c>
      <c r="BS15" s="19">
        <v>0.8</v>
      </c>
      <c r="BT15" s="19">
        <v>0</v>
      </c>
      <c r="BU15" s="19">
        <v>18.7</v>
      </c>
      <c r="BV15" s="19">
        <v>3.5</v>
      </c>
      <c r="BW15" s="19">
        <v>0.2</v>
      </c>
      <c r="BX15" s="19">
        <v>0</v>
      </c>
      <c r="BY15" s="19">
        <v>18.600000000000001</v>
      </c>
      <c r="BZ15" s="19">
        <v>3.9</v>
      </c>
      <c r="CA15" s="19">
        <v>0.4</v>
      </c>
      <c r="CB15" s="19">
        <v>0</v>
      </c>
      <c r="CC15" s="27"/>
      <c r="CD15" s="40">
        <f>IF(SUM(BN15,BR15)&gt;0,SUM(BN15,BR15),"")</f>
        <v>7</v>
      </c>
      <c r="CE15" s="40">
        <f>IF(SUM(BM15:BN15,BP15:BR15,BT15)-BO15-BS15&gt;0,SUM(BM15:BN15,BP15:BR15,BT15)-BO15-BS15,"")</f>
        <v>42.400000000000006</v>
      </c>
      <c r="CF15" s="40">
        <f>IF(SUM(BV15,BZ15)&gt;0,SUM(BV15,BZ15),"")</f>
        <v>7.4</v>
      </c>
      <c r="CG15" s="40">
        <f>IF(SUM(BU15:BV15,BX15:BZ15,CB15)-SUM(BW15,CA15)&gt;0,SUM(BU15:BV15,BX15:BZ15,CB15)-SUM(BW15,CA15),"")</f>
        <v>44.099999999999994</v>
      </c>
      <c r="CH15" s="40">
        <f>IF(SUM(CE15,CG15)&gt;0,SUM(CE15,CG15),"")</f>
        <v>86.5</v>
      </c>
      <c r="CI15" s="50" t="str">
        <f>IF(MAX(DF15,EH15,FJ15,GL15,HN15,IP15,JR15,KT15,LV15,MX15,NZ15,PB15)-IF(N15="",0,N15)&gt;0.001,MAX(DF15,EH15,FJ15,GL15,HN15,IP15,JR15,KT15,LV15,MX15,NZ15,PB15)-IF(N15="",0,N15),"")</f>
        <v/>
      </c>
      <c r="CJ15" s="50" t="str">
        <f>IF(MAX(DK15,EM15,FO15,GQ15,HS15,IU15,JW15,KY15,MA15,NC15,OE15,PG15)-IF(P15="",0,P15)&gt;0.001,MAX(DK15,EM15,FO15,GQ15,HS15,IU15,JW15,KY15,MA15,NC15,OE15,PG15)-IF(P15="",0,P15),"")</f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>IF(SUM(CL15,CP15)&gt;0,SUM(CL15,CP15),"")</f>
        <v/>
      </c>
      <c r="DF15" s="40" t="str">
        <f>IF(SUM(CK15:CL15,CN15:CP15,CR15)-CM15-CQ15&gt;0,SUM(CK15:CL15,CN15:CP15,CR15)-CM15-CQ15,"")</f>
        <v/>
      </c>
      <c r="DG15" s="40" t="str">
        <f>IF(SUM(CS15:CT15,CV15)-CU15&gt;0,SUM(CS15:CT15,CV15)-CU15,"")</f>
        <v/>
      </c>
      <c r="DH15" s="40" t="str">
        <f>IF(SUM(CL15,CP15,CT15)&gt;0,SUM(CL15,CP15,CT15),"")</f>
        <v/>
      </c>
      <c r="DI15" s="40" t="str">
        <f>IF(SUM(DF15,DG15)&gt;0,SUM(DF15,DG15),"")</f>
        <v/>
      </c>
      <c r="DJ15" s="40" t="str">
        <f>IF(SUM(CX15,DB15)&gt;0,SUM(CX15,DB15),"")</f>
        <v/>
      </c>
      <c r="DK15" s="40" t="str">
        <f>IF(SUM(CW15:CX15,CZ15:DB15,DD15)-SUM(CY15,DC15)&gt;0,SUM(CW15:CX15,CZ15:DB15,DD15)-SUM(CY15,DC15),"")</f>
        <v/>
      </c>
      <c r="DL15" s="40" t="str">
        <f>IF(SUM(DF15,DG15,DK15)&gt;0,SUM(DF15,DG15,DK15),"")</f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>IF(SUM(DN15,DR15)&gt;0,SUM(DN15,DR15),"")</f>
        <v/>
      </c>
      <c r="EH15" s="11" t="str">
        <f>IF(SUM(DM15:DN15,DP15:DR15,DT15)-DO15-DS15&gt;0,SUM(DM15:DN15,DP15:DR15,DT15)-DO15-DS15,"")</f>
        <v/>
      </c>
      <c r="EI15" s="11" t="str">
        <f>IF(SUM(DU15:DV15,DX15)-DW15&gt;0,SUM(DU15:DV15,DX15)-DW15,"")</f>
        <v/>
      </c>
      <c r="EJ15" s="11" t="str">
        <f>IF(SUM(DN15,DR15,DV15)&gt;0,SUM(DN15,DR15,DV15),"")</f>
        <v/>
      </c>
      <c r="EK15" s="11" t="str">
        <f>IF(SUM(EH15,EI15)&gt;0,SUM(EH15,EI15),"")</f>
        <v/>
      </c>
      <c r="EL15" s="11" t="str">
        <f>IF(SUM(DZ15,ED15)&gt;0,SUM(DZ15,ED15),"")</f>
        <v/>
      </c>
      <c r="EM15" s="11" t="str">
        <f>IF(SUM(DY15:DZ15,EB15:ED15,EF15)-SUM(EA15,EE15)&gt;0,SUM(DY15:DZ15,EB15:ED15,EF15)-SUM(EA15,EE15),"")</f>
        <v/>
      </c>
      <c r="EN15" s="11" t="str">
        <f>IF(SUM(EH15,EI15,EM15)&gt;0,SUM(EH15,EI15,EM15),"")</f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>IF(SUM(EP15,ET15)&gt;0,SUM(EP15,ET15),"")</f>
        <v/>
      </c>
      <c r="FJ15" s="40" t="str">
        <f>IF(SUM(EO15:EP15,ER15:ET15,EV15)-EQ15-EU15&gt;0,SUM(EO15:EP15,ER15:ET15,EV15)-EQ15-EU15,"")</f>
        <v/>
      </c>
      <c r="FK15" s="40" t="str">
        <f>IF(SUM(EW15:EX15,EZ15)-EY15&gt;0,SUM(EW15:EX15,EZ15)-EY15,"")</f>
        <v/>
      </c>
      <c r="FL15" s="40" t="str">
        <f>IF(SUM(EP15,ET15,EX15)&gt;0,SUM(EP15,ET15,EX15),"")</f>
        <v/>
      </c>
      <c r="FM15" s="40" t="str">
        <f>IF(SUM(FJ15,FK15)&gt;0,SUM(FJ15,FK15),"")</f>
        <v/>
      </c>
      <c r="FN15" s="40" t="str">
        <f>IF(SUM(FB15,FF15)&gt;0,SUM(FB15,FF15),"")</f>
        <v/>
      </c>
      <c r="FO15" s="40" t="str">
        <f>IF(SUM(FA15:FB15,FD15:FF15,FH15)-SUM(FC15,FG15)&gt;0,SUM(FA15:FB15,FD15:FF15,FH15)-SUM(FC15,FG15),"")</f>
        <v/>
      </c>
      <c r="FP15" s="40" t="str">
        <f>IF(SUM(FJ15,FK15,FO15)&gt;0,SUM(FJ15,FK15,FO15),"")</f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>IF(SUM(FR15,FV15)&gt;0,SUM(FR15,FV15),"")</f>
        <v/>
      </c>
      <c r="GL15" s="11" t="str">
        <f>IF(SUM(FQ15:FR15,FT15:FV15,FX15)-FS15-FW15&gt;0,SUM(FQ15:FR15,FT15:FV15,FX15)-FS15-FW15,"")</f>
        <v/>
      </c>
      <c r="GM15" s="11" t="str">
        <f>IF(SUM(FY15:FZ15,GB15)-GA15&gt;0,SUM(FY15:FZ15,GB15)-GA15,"")</f>
        <v/>
      </c>
      <c r="GN15" s="11" t="str">
        <f>IF(SUM(FR15,FV15,FZ15)&gt;0,SUM(FR15,FV15,FZ15),"")</f>
        <v/>
      </c>
      <c r="GO15" s="11" t="str">
        <f>IF(SUM(GL15,GM15)&gt;0,SUM(GL15,GM15),"")</f>
        <v/>
      </c>
      <c r="GP15" s="11" t="str">
        <f>IF(SUM(GD15,GH15)&gt;0,SUM(GD15,GH15),"")</f>
        <v/>
      </c>
      <c r="GQ15" s="11" t="str">
        <f>IF(SUM(GC15:GD15,GF15:GH15,GJ15)-SUM(GE15,GI15)&gt;0,SUM(GC15:GD15,GF15:GH15,GJ15)-SUM(GE15,GI15),"")</f>
        <v/>
      </c>
      <c r="GR15" s="11" t="str">
        <f>IF(SUM(GL15,GM15,GQ15)&gt;0,SUM(GL15,GM15,GQ15),"")</f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>IF(SUM(GT15,GX15)&gt;0,SUM(GT15,GX15),"")</f>
        <v/>
      </c>
      <c r="HN15" s="40" t="str">
        <f>IF(SUM(GS15:GT15,GV15:GX15,GZ15)-GU15-GY15&gt;0,SUM(GS15:GT15,GV15:GX15,GZ15)-GU15-GY15,"")</f>
        <v/>
      </c>
      <c r="HO15" s="40" t="str">
        <f>IF(SUM(HA15:HB15,HD15)-HC15&gt;0,SUM(HA15:HB15,HD15)-HC15,"")</f>
        <v/>
      </c>
      <c r="HP15" s="40" t="str">
        <f>IF(SUM(GT15,GX15,HB15)&gt;0,SUM(GT15,GX15,HB15),"")</f>
        <v/>
      </c>
      <c r="HQ15" s="40" t="str">
        <f>IF(SUM(HN15,HO15)&gt;0,SUM(HN15,HO15),"")</f>
        <v/>
      </c>
      <c r="HR15" s="40" t="str">
        <f>IF(SUM(HF15,HJ15)&gt;0,SUM(HF15,HJ15),"")</f>
        <v/>
      </c>
      <c r="HS15" s="40" t="str">
        <f>IF(SUM(HE15:HF15,HH15:HJ15,HL15)-SUM(HG15,HK15)&gt;0,SUM(HE15:HF15,HH15:HJ15,HL15)-SUM(HG15,HK15),"")</f>
        <v/>
      </c>
      <c r="HT15" s="40" t="str">
        <f>IF(SUM(HN15,HO15,HS15)&gt;0,SUM(HN15,HO15,HS15),"")</f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>IF(SUM(HV15,HZ15)&gt;0,SUM(HV15,HZ15),"")</f>
        <v/>
      </c>
      <c r="IP15" s="11" t="str">
        <f>IF(SUM(HU15:HV15,HX15:HZ15,IB15)-HW15-IA15&gt;0,SUM(HU15:HV15,HX15:HZ15,IB15)-HW15-IA15,"")</f>
        <v/>
      </c>
      <c r="IQ15" s="11" t="str">
        <f>IF(SUM(IC15:ID15,IF15)-IE15&gt;0,SUM(IC15:ID15,IF15)-IE15,"")</f>
        <v/>
      </c>
      <c r="IR15" s="11" t="str">
        <f>IF(SUM(HV15,HZ15,ID15)&gt;0,SUM(HV15,HZ15,ID15),"")</f>
        <v/>
      </c>
      <c r="IS15" s="11" t="str">
        <f>IF(SUM(IP15,IQ15)&gt;0,SUM(IP15,IQ15),"")</f>
        <v/>
      </c>
      <c r="IT15" s="11" t="str">
        <f>IF(SUM(IH15,IL15)&gt;0,SUM(IH15,IL15),"")</f>
        <v/>
      </c>
      <c r="IU15" s="11" t="str">
        <f>IF(SUM(IG15:IH15,IJ15:IL15,IN15)-SUM(II15,IM15)&gt;0,SUM(IG15:IH15,IJ15:IL15,IN15)-SUM(II15,IM15),"")</f>
        <v/>
      </c>
      <c r="IV15" s="11" t="str">
        <f>IF(SUM(IP15,IQ15,IU15)&gt;0,SUM(IP15,IQ15,IU15),"")</f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>IF(SUM(IX15,JB15)&gt;0,SUM(IX15,JB15),"")</f>
        <v/>
      </c>
      <c r="JR15" s="40" t="str">
        <f>IF(SUM(IW15:IX15,IZ15:JB15,JD15)-IY15-JC15&gt;0,SUM(IW15:IX15,IZ15:JB15,JD15)-IY15-JC15,"")</f>
        <v/>
      </c>
      <c r="JS15" s="40" t="str">
        <f>IF(SUM(JE15:JF15,JH15)-JG15&gt;0,SUM(JE15:JF15,JH15)-JG15,"")</f>
        <v/>
      </c>
      <c r="JT15" s="40" t="str">
        <f>IF(SUM(IX15,JB15,JF15)&gt;0,SUM(IX15,JB15,JF15),"")</f>
        <v/>
      </c>
      <c r="JU15" s="40" t="str">
        <f>IF(SUM(JR15,JS15)&gt;0,SUM(JR15,JS15),"")</f>
        <v/>
      </c>
      <c r="JV15" s="40" t="str">
        <f>IF(SUM(JJ15,JN15)&gt;0,SUM(JJ15,JN15),"")</f>
        <v/>
      </c>
      <c r="JW15" s="40" t="str">
        <f>IF(SUM(JI15:JJ15,JL15:JN15,JP15)-SUM(JK15,JO15)&gt;0,SUM(JI15:JJ15,JL15:JN15,JP15)-SUM(JK15,JO15),"")</f>
        <v/>
      </c>
      <c r="JX15" s="40" t="str">
        <f>IF(SUM(JR15,JS15,JW15)&gt;0,SUM(JR15,JS15,JW15),"")</f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>IF(SUM(JZ15,KD15)&gt;0,SUM(JZ15,KD15),"")</f>
        <v/>
      </c>
      <c r="KT15" s="11" t="str">
        <f>IF(SUM(JY15:JZ15,KB15:KD15,KF15)-KA15-KE15&gt;0,SUM(JY15:JZ15,KB15:KD15,KF15)-KA15-KE15,"")</f>
        <v/>
      </c>
      <c r="KU15" s="11" t="str">
        <f>IF(SUM(KG15:KH15,KJ15)-KI15&gt;0,SUM(KG15:KH15,KJ15)-KI15,"")</f>
        <v/>
      </c>
      <c r="KV15" s="11" t="str">
        <f>IF(SUM(JZ15,KD15,KH15)&gt;0,SUM(JZ15,KD15,KH15),"")</f>
        <v/>
      </c>
      <c r="KW15" s="11" t="str">
        <f>IF(SUM(KT15,KU15)&gt;0,SUM(KT15,KU15),"")</f>
        <v/>
      </c>
      <c r="KX15" s="11" t="str">
        <f>IF(SUM(KL15,KP15)&gt;0,SUM(KL15,KP15),"")</f>
        <v/>
      </c>
      <c r="KY15" s="11" t="str">
        <f>IF(SUM(KK15:KL15,KN15:KP15,KR15)-SUM(KM15,KQ15)&gt;0,SUM(KK15:KL15,KN15:KP15,KR15)-SUM(KM15,KQ15),"")</f>
        <v/>
      </c>
      <c r="KZ15" s="11" t="str">
        <f>IF(SUM(KT15,KU15,KY15)&gt;0,SUM(KT15,KU15,KY15),"")</f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>IF(SUM(LB15,LF15)&gt;0,SUM(LB15,LF15),"")</f>
        <v/>
      </c>
      <c r="LV15" s="40" t="str">
        <f>IF(SUM(LA15:LB15,LD15:LF15,LH15)-LC15-LG15&gt;0,SUM(LA15:LB15,LD15:LF15,LH15)-LC15-LG15,"")</f>
        <v/>
      </c>
      <c r="LW15" s="40" t="str">
        <f>IF(SUM(LI15:LJ15,LL15)-LK15&gt;0,SUM(LI15:LJ15,LL15)-LK15,"")</f>
        <v/>
      </c>
      <c r="LX15" s="40" t="str">
        <f>IF(SUM(LB15,LF15,LJ15)&gt;0,SUM(LB15,LF15,LJ15),"")</f>
        <v/>
      </c>
      <c r="LY15" s="40" t="str">
        <f>IF(SUM(LV15,LW15)&gt;0,SUM(LV15,LW15),"")</f>
        <v/>
      </c>
      <c r="LZ15" s="40" t="str">
        <f>IF(SUM(LN15,LR15)&gt;0,SUM(LN15,LR15),"")</f>
        <v/>
      </c>
      <c r="MA15" s="40" t="str">
        <f>IF(SUM(LM15:LN15,LP15:LR15,LT15)-SUM(LO15,LS15)&gt;0,SUM(LM15:LN15,LP15:LR15,LT15)-SUM(LO15,LS15),"")</f>
        <v/>
      </c>
      <c r="MB15" s="40" t="str">
        <f>IF(SUM(LV15,LW15,MA15)&gt;0,SUM(LV15,LW15,MA15),"")</f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>IF(SUM(MD15,MH15)&gt;0,SUM(MD15,MH15),"")</f>
        <v/>
      </c>
      <c r="MX15" s="11" t="str">
        <f>IF(SUM(MC15:MD15,MF15:MH15,MJ15)-ME15-MI15&gt;0,SUM(MC15:MD15,MF15:MH15,MJ15)-ME15-MI15,"")</f>
        <v/>
      </c>
      <c r="MY15" s="11" t="str">
        <f>IF(SUM(MK15:ML15,MN15)-MM15&gt;0,SUM(MK15:ML15,MN15)-MM15,"")</f>
        <v/>
      </c>
      <c r="MZ15" s="11" t="str">
        <f>IF(SUM(MD15,MH15,ML15)&gt;0,SUM(MD15,MH15,ML15),"")</f>
        <v/>
      </c>
      <c r="NA15" s="11" t="str">
        <f>IF(SUM(MX15,MY15)&gt;0,SUM(MX15,MY15),"")</f>
        <v/>
      </c>
      <c r="NB15" s="11" t="str">
        <f>IF(SUM(MP15,MT15)&gt;0,SUM(MP15,MT15),"")</f>
        <v/>
      </c>
      <c r="NC15" s="11" t="str">
        <f>IF(SUM(MO15:MP15,MR15:MT15,MV15)-SUM(MQ15,MU15)&gt;0,SUM(MO15:MP15,MR15:MT15,MV15)-SUM(MQ15,MU15),"")</f>
        <v/>
      </c>
      <c r="ND15" s="11" t="str">
        <f>IF(SUM(MX15,MY15,NC15)&gt;0,SUM(MX15,MY15,NC15),"")</f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>IF(SUM(NF15,NJ15)&gt;0,SUM(NF15,NJ15),"")</f>
        <v/>
      </c>
      <c r="NZ15" s="40" t="str">
        <f>IF(SUM(NE15:NF15,NH15:NJ15,NL15)-NG15-NK15&gt;0,SUM(NE15:NF15,NH15:NJ15,NL15)-NG15-NK15,"")</f>
        <v/>
      </c>
      <c r="OA15" s="40" t="str">
        <f>IF(SUM(NM15:NN15,NP15)-NO15&gt;0,SUM(NM15:NN15,NP15)-NO15,"")</f>
        <v/>
      </c>
      <c r="OB15" s="40" t="str">
        <f>IF(SUM(NF15,NJ15,NN15)&gt;0,SUM(NF15,NJ15,NN15),"")</f>
        <v/>
      </c>
      <c r="OC15" s="40" t="str">
        <f>IF(SUM(NZ15,OA15)&gt;0,SUM(NZ15,OA15),"")</f>
        <v/>
      </c>
      <c r="OD15" s="40" t="str">
        <f>IF(SUM(NR15,NV15)&gt;0,SUM(NR15,NV15),"")</f>
        <v/>
      </c>
      <c r="OE15" s="40" t="str">
        <f>IF(SUM(NQ15:NR15,NT15:NV15,NX15)-SUM(NS15,NW15)&gt;0,SUM(NQ15:NR15,NT15:NV15,NX15)-SUM(NS15,NW15),"")</f>
        <v/>
      </c>
      <c r="OF15" s="40" t="str">
        <f>IF(SUM(NZ15,OA15,OE15)&gt;0,SUM(NZ15,OA15,OE15),"")</f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>IF(SUM(OH15,OL15)&gt;0,SUM(OH15,OL15),"")</f>
        <v/>
      </c>
      <c r="PB15" s="11" t="str">
        <f>IF(SUM(OG15:OH15,OJ15:OL15,ON15)-OI15-OM15&gt;0,SUM(OG15:OH15,OJ15:OL15,ON15)-OI15-OM15,"")</f>
        <v/>
      </c>
      <c r="PC15" s="11" t="str">
        <f>IF(SUM(OO15:OP15,OR15)-OQ15&gt;0,SUM(OO15:OP15,OR15)-OQ15,"")</f>
        <v/>
      </c>
      <c r="PD15" s="11" t="str">
        <f>IF(SUM(OH15,OL15,OP15)&gt;0,SUM(OH15,OL15,OP15),"")</f>
        <v/>
      </c>
      <c r="PE15" s="11" t="str">
        <f>IF(SUM(PB15,PC15)&gt;0,SUM(PB15,PC15),"")</f>
        <v/>
      </c>
      <c r="PF15" s="11" t="str">
        <f>IF(SUM(OT15,OX15)&gt;0,SUM(OT15,OX15),"")</f>
        <v/>
      </c>
      <c r="PG15" s="11" t="str">
        <f>IF(SUM(OS15:OT15,OV15:OX15,OZ15)-SUM(OU15,OY15)&gt;0,SUM(OS15:OT15,OV15:OX15,OZ15)-SUM(OU15,OY15),"")</f>
        <v/>
      </c>
      <c r="PH15" s="11" t="str">
        <f>IF(SUM(PB15,PC15,PG15)&gt;0,SUM(PB15,PC15,PG15),"")</f>
        <v/>
      </c>
      <c r="PI15" s="22">
        <f>IF($PY15="P",BM15,(BM15+AQ15)/2)</f>
        <v>18.3</v>
      </c>
      <c r="PJ15" s="22">
        <f>IF($PY15="P",BN15,(BN15+AR15)/2)</f>
        <v>3.1</v>
      </c>
      <c r="PK15" s="22">
        <f>IF($PY15="P",BO15,(BO15+AS15)/2)</f>
        <v>0.8</v>
      </c>
      <c r="PL15" s="22">
        <f>IF($PY15="P",BP15,(BP15+AT15)/2)</f>
        <v>0</v>
      </c>
      <c r="PM15" s="22">
        <f>IF($PY15="P",BQ15,(BQ15+AU15)/2)</f>
        <v>18.7</v>
      </c>
      <c r="PN15" s="22">
        <f>IF($PY15="P",BR15,(BR15+AV15)/2)</f>
        <v>3.9</v>
      </c>
      <c r="PO15" s="22">
        <f>IF($PY15="P",BS15,(BS15+AW15)/2)</f>
        <v>0.8</v>
      </c>
      <c r="PP15" s="22">
        <f>IF($PY15="P",BT15,(BT15+AX15)/2)</f>
        <v>0</v>
      </c>
      <c r="PQ15" s="22">
        <f>IF($PY15="P",BU15,(BU15+AY15)/2)</f>
        <v>18.7</v>
      </c>
      <c r="PR15" s="22">
        <f>IF($PY15="P",BV15,(BV15+AZ15)/2)</f>
        <v>3.5</v>
      </c>
      <c r="PS15" s="22">
        <f>IF($PY15="P",BW15,(BW15+BA15)/2)</f>
        <v>0.2</v>
      </c>
      <c r="PT15" s="22">
        <f>IF($PY15="P",BX15,(BX15+BB15)/2)</f>
        <v>0</v>
      </c>
      <c r="PU15" s="22">
        <f>IF($PY15="P",BY15,(BY15+BC15)/2)</f>
        <v>18.600000000000001</v>
      </c>
      <c r="PV15" s="22">
        <f>IF($PY15="P",BZ15,(BZ15+BD15)/2)</f>
        <v>3.9</v>
      </c>
      <c r="PW15" s="22">
        <f>IF($PY15="P",CA15,(CA15+BE15)/2)</f>
        <v>0.4</v>
      </c>
      <c r="PX15" s="22">
        <f>IF($PY15="P",CB15,(CB15+BF15)/2)</f>
        <v>0</v>
      </c>
      <c r="PY15" s="27" t="s">
        <v>46</v>
      </c>
      <c r="PZ15" s="40">
        <f>IF(SUM(PJ15,PN15)&gt;0,SUM(PJ15,PN15),"")</f>
        <v>7</v>
      </c>
      <c r="QA15" s="40">
        <f>IF(SUM(PI15:PJ15,PL15:PN15,PP15)-PK15-PO15&gt;0,SUM(PI15:PJ15,PL15:PN15,PP15)-PK15-PO15,"")</f>
        <v>42.400000000000006</v>
      </c>
      <c r="QB15" s="40">
        <f>IF(SUM(PR15,PV15)&gt;0,SUM(PR15,PV15),"")</f>
        <v>7.4</v>
      </c>
      <c r="QC15" s="40">
        <f>IF(SUM(PQ15:PR15,PT15:PV15,PX15)-SUM(PS15,PW15)&gt;0,SUM(PQ15:PR15,PT15:PV15,PX15)-SUM(PS15,PW15),"")</f>
        <v>44.099999999999994</v>
      </c>
      <c r="QD15" s="40">
        <f>IF(SUM(QA15,QC15)&gt;0,SUM(QA15,QC15),"")</f>
        <v>86.5</v>
      </c>
    </row>
    <row r="16" spans="1:446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154</v>
      </c>
      <c r="D16" s="4" t="s">
        <v>92</v>
      </c>
      <c r="E16" s="4">
        <v>2004</v>
      </c>
      <c r="F16" s="9">
        <f>SUM(L16:R16)+SUM(L16:O16)*0.0000001+SUM(L16)*0.0000000000001</f>
        <v>131.20000882000448</v>
      </c>
      <c r="G16" s="64"/>
      <c r="H16" s="3" t="str">
        <f>IF(OR(AND(AL16&gt;=AP$36,AM16&gt;=AP$40,AL16&lt;&gt;"",AK16=""),AND(AN16&gt;=AP$36,AO16&gt;=AP$40,AN16&lt;&gt;"",AK16=""),AND(BH16&gt;=BL$36,BI16&gt;=BL$40,BH16&lt;&gt;"",BG16=""),AND(BJ16&gt;=BL$36,BK16&gt;=BL$40,BJ16&lt;&gt;"",BG16=""),AND(CD16&gt;=CH$36,CE16&gt;=CH$40,CD16&lt;&gt;"",CC16=""),AND(CF16&gt;=CH$36,CG16&gt;=CH$40,CF16&lt;&gt;""),AND(DE16&gt;=DL$36,DF16&gt;=DL$40,DE16&lt;&gt;""),AND(DJ16&gt;=DL$36,DK16&gt;=DL$40,DJ16&lt;&gt;""),AND(EG16&gt;=EN$36,EH16&gt;=EN$40,EG16&lt;&gt;""),AND(EL16&gt;=EN$36,EM16&gt;=EN$40,EL16&lt;&gt;""),AND(FI16&gt;=FP$36,FJ16&gt;=FP$40,FI16&lt;&gt;""),AND(FN16&gt;=FP$36,FO16&gt;=FP$40,FN16&lt;&gt;""),AND(GK16&gt;=GR$36,GL16&gt;=GR$40,GK16&lt;&gt;""),AND(GP16&gt;=GR$36,GQ16&gt;=GR$40,GP16&lt;&gt;""),AND(HM16&gt;=HT$36,HN16&gt;=HT$40,HM16&lt;&gt;""),AND(HR16&gt;=HT$36,HS16&gt;=HT$40,HR16&lt;&gt;""),AND(IO16&gt;=IV$36,IP16&gt;=IV$40,IO16&lt;&gt;""),AND(IT16&gt;=IV$36,IU16&gt;=IV$40,IT16&lt;&gt;""),AND(JQ16&gt;=JX$36,JR16&gt;=JX$40,JQ16&lt;&gt;""),AND(JV16&gt;=JX$36,JW16&gt;=JX$40,JV16&lt;&gt;""),AND(KS16&gt;=KZ$36,KT16&gt;=KZ$40,KS16&lt;&gt;""),AND(KX16&gt;=KZ$36,KY16&gt;=KZ$40,KX16&lt;&gt;""),AND(LU16&gt;=MB$36,LV16&gt;=MB$40,LU16&lt;&gt;""),AND(LZ16&gt;=MB$36,MA16&gt;=MB$40,LZ16&lt;&gt;""),AND(MW16&gt;=ND$36,MX16&gt;=ND$40,MW16&lt;&gt;""),AND(NB16&gt;=ND$36,NC16&gt;=ND$40,NB16&lt;&gt;""),AND(NY16&gt;=OF$36,NZ16&gt;=OF$40,NY16&lt;&gt;""),AND(OD16&gt;=OF$36,OE16&gt;=OF$40,OD16&lt;&gt;""),AND(PA16&gt;=PH$36,PB16&gt;=PH$40,PA16&lt;&gt;""),AND(PF16&gt;=PH$36,PG16&gt;=PH$40,PF16&lt;&gt;"")),"P","")</f>
        <v/>
      </c>
      <c r="I16" s="3" t="str">
        <f>IF(OR(AND(AM16&gt;=AP$40,AM16&lt;&gt;"",AK16=""),AND(AO16&gt;=AP$40,AO16&lt;&gt;"",AK16=""),AND(BI16&gt;=BL$40,BI16&lt;&gt;"",BG16=""),AND(BK16&gt;=BL$40,BK16&lt;&gt;"",BG16=""),AND(CE16&gt;=CH$40,CE16&lt;&gt;"",CC16=""),AND(CG16&gt;=CH$40,CG16&lt;&gt;"",CC16=""),AND(DF16&gt;=DL$40,DF16&lt;&gt;""),AND(DK16&gt;=DL$40,DK16&lt;&gt;""),AND(EH16&gt;=EN$40,EH16&lt;&gt;""),AND(EM16&gt;=EN$40,EM16&lt;&gt;""),AND(FJ16&gt;=FP$40,FJ16&lt;&gt;""),AND(FO16&gt;=FP$40,FO16&lt;&gt;""),AND(GL16&gt;=GR$40,GL16&lt;&gt;""),AND(GQ16&gt;=GR$40,GQ16&lt;&gt;""),AND(HN16&gt;=HT$40,HN16&lt;&gt;""),AND(HS16&gt;=HT$40,HS16&lt;&gt;""),AND(IP16&gt;=IV$40,IP16&lt;&gt;""),AND(IU16&gt;=IV$40,IU16&lt;&gt;""),AND(JR16&gt;=JX$40,JR16&lt;&gt;""),AND(JW16&gt;=JX$40,JW16&lt;&gt;""),AND(KT16&gt;=KZ$40,KT16&lt;&gt;""),AND(KY16&gt;=KZ$40,KY16&lt;&gt;""),AND(LV16&gt;=MB$40,LV16&lt;&gt;""),AND(MA16&gt;=MB$40,MA16&lt;&gt;""),AND(MX16&gt;=ND$40,MX16&lt;&gt;""),AND(NC16&gt;=ND$40,NC16&lt;&gt;""),AND(NZ16&gt;=OF$40,NZ16&lt;&gt;""),AND(OE16&gt;=OF$40,OE16&lt;&gt;""),AND(PB16&gt;=PH$40,PB16&lt;&gt;""),AND(PG16&gt;=PH$40,PG16&lt;&gt;"")),"P","")</f>
        <v/>
      </c>
      <c r="J16" s="36" t="str">
        <f>IF(AND(I16="P",H16=""),"No DD",IF(OR(AND(AL16&gt;=AP$26,AM16&gt;=AP$30,AL16&lt;&gt;"",AK16=""),AND(BH16&gt;=BL$26,BI16&gt;=BL$30,BH16&lt;&gt;"",BG16=""),AND(CD16&gt;=CH$26,CE16&gt;=CH$30,CD16&lt;&gt;"",CC16=""),AND(DH16&gt;=DL$26,DI16&gt;=DL$30,DH16&lt;&gt;""),AND(EJ16&gt;=EN$26,EK16&gt;=EN$30,EJ16&lt;&gt;""),AND(FL16&gt;=FP$26,FM16&gt;=FP$30,FL16&lt;&gt;""),AND(GN16&gt;=GR$26,GO16&gt;=GR$30,GN16&lt;&gt;""),AND(HP16&gt;=HT$26,HQ16&gt;=HT$30,HP16&lt;&gt;""),AND(IR16&gt;=IV$26,IS16&gt;=IV$30,IR16&lt;&gt;""),AND(JT16&gt;=JX$26,JU16&gt;=JX$30,JT16&lt;&gt;""),AND(KV16&gt;=KZ$26,KW16&gt;=KZ$30,KV16&lt;&gt;""),AND(LX16&gt;=MB$26,LY16&gt;=MB$30,LX16&lt;&gt;""),AND(MZ16&gt;=ND$26,NA16&gt;=ND$30,MZ16&lt;&gt;""),AND(OB16&gt;=OF$26,OC16&gt;=OF$30,OB16&lt;&gt;""),AND(PD16&gt;=PH$26,PE16&gt;=PH$30,PD16&lt;&gt;"")),"Merit",IF(OR(AND(AL16&gt;=AP$25,AM16&gt;=AP$29,AL16&lt;&gt;"",AK16=""),AND(BH16&gt;=BL$25,BI16&gt;=BL$29,BH16&lt;&gt;"",BG16=""),AND(CD16&gt;=CH$25,CE16&gt;=CH$29,CD16&lt;&gt;"",CC16=""),AND(DH16&gt;=DL$25,DI16&gt;=DL$29,DH16&lt;&gt;""),AND(EJ16&gt;=EN$25,EK16&gt;=EN$29,EJ16&lt;&gt;""),AND(FL16&gt;=FP$25,FM16&gt;=FP$29,FL16&lt;&gt;""),AND(GN16&gt;=GR$25,GO16&gt;=GR$29,GN16&lt;&gt;""),AND(HP16&gt;=HT$25,HQ16&gt;=HT$29,HP16&lt;&gt;""),AND(IR16&gt;=IV$25,IS16&gt;=IV$29,IR16&lt;&gt;""),AND(JT16&gt;=JX$25,JU16&gt;=JX$29,JT16&lt;&gt;""),AND(KV16&gt;=KZ$25,KW16&gt;=KZ$29,KV16&lt;&gt;""),AND(LX16&gt;=MB$25,LY16&gt;=MB$29,LX16&lt;&gt;""),AND(MZ16&gt;=ND$25,NA16&gt;=ND$29,MZ16&lt;&gt;""),AND(OB16&gt;=OF$25,OC16&gt;=OF$29,OB16&lt;&gt;""),AND(PD16&gt;=PH$25,PE16&gt;=PH$29,PD16&lt;&gt;"")),"Excellence",IF(K16="P","Worlds Team",IF(H16="P","National Team","")))))</f>
        <v/>
      </c>
      <c r="K16" s="3" t="str">
        <f>IF(OR(AND(AL16&gt;=AP$24,AM16&gt;=AP$28,AL16&lt;&gt;"",AK16=""),AND(BH16&gt;=BL$24,BI16&gt;=BL$28,BH16&lt;&gt;"",BG16=""),AND(CD16&gt;=CH$24,CE16&gt;=CH$28,CD16&lt;&gt;"",CC16=""),AND(DH16&gt;=DL$24,DI16&gt;=DL$28,DH16&lt;&gt;""),AND(EJ16&gt;=EN$24,EK16&gt;=EN$28,EJ16&lt;&gt;""),AND(FL16&gt;=FP$24,FM16&gt;=FP$28,FL16&lt;&gt;""),AND(GN16&gt;=GR$24,GO16&gt;=GR$28,GN16&lt;&gt;""),AND(HP16&gt;=HT$24,HQ16&gt;=HT$28,HP16&lt;&gt;""),AND(IR16&gt;=IV$24,IS16&gt;=IV$28,IR16&lt;&gt;""),AND(JT16&gt;=JX$24,JU16&gt;=JX$28,JT16&lt;&gt;""),AND(KV16&gt;=KZ$24,KW16&gt;=KZ$28,KV16&lt;&gt;""),AND(LX16&gt;=MB$24,LY16&gt;=MB$28,LX16&lt;&gt;""),AND(MZ16&gt;=ND$24,NA16&gt;=ND$28,MZ16&lt;&gt;""),AND(OB16&gt;=OF$24,OC16&gt;=OF$28,OB16&lt;&gt;""),AND(PD16&gt;=PH$24,PE16&gt;=PH$28,PD16&lt;&gt;"")),"P","")</f>
        <v/>
      </c>
      <c r="L16" s="8">
        <f>IF(COUNT(AM16,BI16,CE16)&gt;0,LARGE((AM16,BI16,CE16),1),0)</f>
        <v>44.9</v>
      </c>
      <c r="M16" s="8" t="str">
        <f>IF(L16=0,"",IF(L16=CE16,$BM$1,IF(L16=BI16,$AQ$1,IF(L16=AM16,$U$1,""))))</f>
        <v>2025 Elite Canada</v>
      </c>
      <c r="N16" s="8">
        <f>IF(COUNT(AM16,BI16,CE16)&gt;1,LARGE((AM16,BI16,CE16),2),0)</f>
        <v>43.300000000000004</v>
      </c>
      <c r="O16" s="8" t="str">
        <f>IF(N16=0,"",IF(AND(N16=L16,N16=AM16,N16=BI16),$U$1,IF(AND(N16=L16,N16=AM16,N16=CE16),$U$1,IF(AND(N16=L16,N16=BI16,N16=CE16),$AQ$1,IF(N16=CE16,$BM$1,IF(N16=BI16,$AQ$1,IF(N16=AM16,$U$1,"")))))))</f>
        <v>2025 Nationals</v>
      </c>
      <c r="P16" s="8">
        <f>IF(MAX(AO16,BK16,CG16)&gt;0,MAX(AO16,BK16,CG16),0)</f>
        <v>43</v>
      </c>
      <c r="Q16" s="8" t="str">
        <f>IF(P16=0,"",IF(P16=CG16,$BM$1,IF(P16=BK16,$AQ$1,IF(P16=AO16,$U$1,""))))</f>
        <v>2025 3rd Domestic Trial</v>
      </c>
      <c r="R16" s="8" t="str">
        <f>IF(MAX(CI16:CJ16)&gt;0,MAX(CI16:CJ16),"")</f>
        <v/>
      </c>
      <c r="S16" s="11" t="str">
        <f>IF(R16="","",IF(R16=CI16,"("&amp;CI$2&amp;")",IF(R16=CJ16,"("&amp;CJ$2&amp;")")))</f>
        <v/>
      </c>
      <c r="T16" s="8" t="str">
        <f>IF(R16="","",IF(R16=CI16,IF(R16+IF(N16="",0,N16)=PB16,$OG$1,IF(R16+IF(N16="",0,N16)=NZ16,$NE$1,IF(R16+IF(N16="",0,N16)=MX16,$MC$1,IF(R16+IF(N16="",0,N16)=LV16,$LA$1,IF(R16+IF(N16="",0,N16)=KT16,$JY$1,IF(R16+IF(N16="",0,N16)=JR16,$IW$1,IF(R16+IF(N16="",0,N16)=IP16,$HU$1,IF(R16+IF(N16="",0,N16)=HN16,$GS$1,IF(R16+IF(N16="",0,N16)=GL16,$FQ$1,IF(R16+IF(N16="",0,N16)=FJ16,$EO$1,IF(R16+IF(N16="",0,N16)=EH16,$DM$1,IF(R16+IF(N16="",0,N16)=DF16,$CK$1)))))))))))),IF(R16=CJ16,IF(R16+IF(P16="",0,P16)=PG16,$OG$1,IF(R16+IF(P16="",0,P16)=OE16,$NE$1,IF(R16+IF(P16="",0,P16)=NC16,$MC$1,IF(R16+IF(P16="",0,P16)=MA16,$LA$1,IF(R16+IF(P16="",0,P16)=KY16,$JY$1,IF(R16+IF(P16="",0,P16)=JW16,$IW$1,IF(R16+IF(P16="",0,P16)=IU16,$HU$1,IF(R16+IF(P16="",0,P16)=HS16,$GS$1,IF(R16+IF(P16="",0,P16)=GQ16,$FQ$1,IF(R16+IF(P16="",0,P16)=FO16,$EO$1,IF(R16+IF(P16="",0,P16)=EM16,$DM$1,IF(R16+IF(P16="",0,P16)=DK16,$CK$1)))))))))))))))</f>
        <v/>
      </c>
      <c r="U16" s="19">
        <v>18.2</v>
      </c>
      <c r="V16" s="19">
        <v>4.4000000000000004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</v>
      </c>
      <c r="AD16" s="19">
        <v>4.4000000000000004</v>
      </c>
      <c r="AE16" s="19">
        <v>0.2</v>
      </c>
      <c r="AF16" s="19">
        <v>0</v>
      </c>
      <c r="AG16" s="19">
        <v>15.6</v>
      </c>
      <c r="AH16" s="19">
        <v>0.7</v>
      </c>
      <c r="AI16" s="19">
        <v>0</v>
      </c>
      <c r="AJ16" s="19">
        <v>0</v>
      </c>
      <c r="AK16" s="27"/>
      <c r="AL16" s="40">
        <f>IF(SUM(V16,Z16)&gt;0,SUM(V16,Z16),"")</f>
        <v>7.9</v>
      </c>
      <c r="AM16" s="40">
        <f>IF(SUM(U16:V16,X16:Z16,AB16)-W16-AA16&gt;0,SUM(U16:V16,X16:Z16,AB16)-W16-AA16,"")</f>
        <v>44.9</v>
      </c>
      <c r="AN16" s="40">
        <f>IF(SUM(AD16,AH16)&gt;0,SUM(AD16,AH16),"")</f>
        <v>5.1000000000000005</v>
      </c>
      <c r="AO16" s="40">
        <f>IF(SUM(AC16:AD16,AF16:AH16,AJ16)-SUM(AE16,AI16)&gt;0,SUM(AC16:AD16,AF16:AH16,AJ16)-SUM(AE16,AI16),"")</f>
        <v>38.5</v>
      </c>
      <c r="AP16" s="40">
        <f>IF(SUM(AM16,AO16)&gt;0,SUM(AM16,AO16),"")</f>
        <v>83.4</v>
      </c>
      <c r="AQ16" s="18">
        <v>18.100000000000001</v>
      </c>
      <c r="AR16" s="18">
        <v>4.4000000000000004</v>
      </c>
      <c r="AS16" s="18">
        <v>0.8</v>
      </c>
      <c r="AT16" s="18">
        <v>0</v>
      </c>
      <c r="AU16" s="18">
        <v>18.899999999999999</v>
      </c>
      <c r="AV16" s="18">
        <v>3.1</v>
      </c>
      <c r="AW16" s="18">
        <v>0.4</v>
      </c>
      <c r="AX16" s="18">
        <v>0</v>
      </c>
      <c r="AY16" s="18"/>
      <c r="AZ16" s="18"/>
      <c r="BA16" s="18"/>
      <c r="BB16" s="18"/>
      <c r="BC16" s="18"/>
      <c r="BD16" s="18"/>
      <c r="BE16" s="18"/>
      <c r="BF16" s="18"/>
      <c r="BG16" s="28"/>
      <c r="BH16" s="11">
        <f>IF(SUM(AR16,AV16)&gt;0,SUM(AR16,AV16),"")</f>
        <v>7.5</v>
      </c>
      <c r="BI16" s="11">
        <f>IF(SUM(AQ16:AR16,AT16:AV16,AX16)-AS16-AW16&gt;0,SUM(AQ16:AR16,AT16:AV16,AX16)-AS16-AW16,"")</f>
        <v>43.300000000000004</v>
      </c>
      <c r="BJ16" s="11" t="str">
        <f>IF(SUM(AZ16,BD16)&gt;0,SUM(AZ16,BD16),"")</f>
        <v/>
      </c>
      <c r="BK16" s="11" t="str">
        <f>IF(SUM(AY16:AZ16,BB16:BD16,BF16)-SUM(BA16,BE16)&gt;0,SUM(AY16:AZ16,BB16:BD16,BF16)-SUM(BA16,BE16),"")</f>
        <v/>
      </c>
      <c r="BL16" s="11">
        <f>IF(SUM(BI16,BK16)&gt;0,SUM(BI16,BK16),"")</f>
        <v>43.300000000000004</v>
      </c>
      <c r="BM16" s="19">
        <v>18</v>
      </c>
      <c r="BN16" s="19">
        <v>4.4000000000000004</v>
      </c>
      <c r="BO16" s="19">
        <v>0.8</v>
      </c>
      <c r="BP16" s="19">
        <v>0</v>
      </c>
      <c r="BQ16" s="19">
        <v>15.4</v>
      </c>
      <c r="BR16" s="19">
        <v>0.7</v>
      </c>
      <c r="BS16" s="19">
        <v>0</v>
      </c>
      <c r="BT16" s="19">
        <v>0</v>
      </c>
      <c r="BU16" s="19">
        <v>18.3</v>
      </c>
      <c r="BV16" s="19">
        <v>3.5</v>
      </c>
      <c r="BW16" s="19">
        <v>0.2</v>
      </c>
      <c r="BX16" s="19">
        <v>0</v>
      </c>
      <c r="BY16" s="19">
        <v>17.8</v>
      </c>
      <c r="BZ16" s="19">
        <v>4.4000000000000004</v>
      </c>
      <c r="CA16" s="19">
        <v>0.8</v>
      </c>
      <c r="CB16" s="19">
        <v>0</v>
      </c>
      <c r="CC16" s="27"/>
      <c r="CD16" s="40">
        <f>IF(SUM(BN16,BR16)&gt;0,SUM(BN16,BR16),"")</f>
        <v>5.1000000000000005</v>
      </c>
      <c r="CE16" s="40">
        <f>IF(SUM(BM16:BN16,BP16:BR16,BT16)-BO16-BS16&gt;0,SUM(BM16:BN16,BP16:BR16,BT16)-BO16-BS16,"")</f>
        <v>37.700000000000003</v>
      </c>
      <c r="CF16" s="40">
        <f>IF(SUM(BV16,BZ16)&gt;0,SUM(BV16,BZ16),"")</f>
        <v>7.9</v>
      </c>
      <c r="CG16" s="40">
        <f>IF(SUM(BU16:BV16,BX16:BZ16,CB16)-SUM(BW16,CA16)&gt;0,SUM(BU16:BV16,BX16:BZ16,CB16)-SUM(BW16,CA16),"")</f>
        <v>43</v>
      </c>
      <c r="CH16" s="40">
        <f>IF(SUM(CE16,CG16)&gt;0,SUM(CE16,CG16),"")</f>
        <v>80.7</v>
      </c>
      <c r="CI16" s="50" t="str">
        <f>IF(MAX(DF16,EH16,FJ16,GL16,HN16,IP16,JR16,KT16,LV16,MX16,NZ16,PB16)-IF(N16="",0,N16)&gt;0.001,MAX(DF16,EH16,FJ16,GL16,HN16,IP16,JR16,KT16,LV16,MX16,NZ16,PB16)-IF(N16="",0,N16),"")</f>
        <v/>
      </c>
      <c r="CJ16" s="50" t="str">
        <f>IF(MAX(DK16,EM16,FO16,GQ16,HS16,IU16,JW16,KY16,MA16,NC16,OE16,PG16)-IF(P16="",0,P16)&gt;0.001,MAX(DK16,EM16,FO16,GQ16,HS16,IU16,JW16,KY16,MA16,NC16,OE16,PG16)-IF(P16="",0,P16),"")</f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>IF(SUM(CL16,CP16)&gt;0,SUM(CL16,CP16),"")</f>
        <v/>
      </c>
      <c r="DF16" s="40" t="str">
        <f>IF(SUM(CK16:CL16,CN16:CP16,CR16)-CM16-CQ16&gt;0,SUM(CK16:CL16,CN16:CP16,CR16)-CM16-CQ16,"")</f>
        <v/>
      </c>
      <c r="DG16" s="40" t="str">
        <f>IF(SUM(CS16:CT16,CV16)-CU16&gt;0,SUM(CS16:CT16,CV16)-CU16,"")</f>
        <v/>
      </c>
      <c r="DH16" s="40" t="str">
        <f>IF(SUM(CL16,CP16,CT16)&gt;0,SUM(CL16,CP16,CT16),"")</f>
        <v/>
      </c>
      <c r="DI16" s="40" t="str">
        <f>IF(SUM(DF16,DG16)&gt;0,SUM(DF16,DG16),"")</f>
        <v/>
      </c>
      <c r="DJ16" s="40" t="str">
        <f>IF(SUM(CX16,DB16)&gt;0,SUM(CX16,DB16),"")</f>
        <v/>
      </c>
      <c r="DK16" s="40" t="str">
        <f>IF(SUM(CW16:CX16,CZ16:DB16,DD16)-SUM(CY16,DC16)&gt;0,SUM(CW16:CX16,CZ16:DB16,DD16)-SUM(CY16,DC16),"")</f>
        <v/>
      </c>
      <c r="DL16" s="40" t="str">
        <f>IF(SUM(DF16,DG16,DK16)&gt;0,SUM(DF16,DG16,DK16),"")</f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>IF(SUM(DN16,DR16)&gt;0,SUM(DN16,DR16),"")</f>
        <v/>
      </c>
      <c r="EH16" s="11" t="str">
        <f>IF(SUM(DM16:DN16,DP16:DR16,DT16)-DO16-DS16&gt;0,SUM(DM16:DN16,DP16:DR16,DT16)-DO16-DS16,"")</f>
        <v/>
      </c>
      <c r="EI16" s="11" t="str">
        <f>IF(SUM(DU16:DV16,DX16)-DW16&gt;0,SUM(DU16:DV16,DX16)-DW16,"")</f>
        <v/>
      </c>
      <c r="EJ16" s="11" t="str">
        <f>IF(SUM(DN16,DR16,DV16)&gt;0,SUM(DN16,DR16,DV16),"")</f>
        <v/>
      </c>
      <c r="EK16" s="11" t="str">
        <f>IF(SUM(EH16,EI16)&gt;0,SUM(EH16,EI16),"")</f>
        <v/>
      </c>
      <c r="EL16" s="11" t="str">
        <f>IF(SUM(DZ16,ED16)&gt;0,SUM(DZ16,ED16),"")</f>
        <v/>
      </c>
      <c r="EM16" s="11" t="str">
        <f>IF(SUM(DY16:DZ16,EB16:ED16,EF16)-SUM(EA16,EE16)&gt;0,SUM(DY16:DZ16,EB16:ED16,EF16)-SUM(EA16,EE16),"")</f>
        <v/>
      </c>
      <c r="EN16" s="11" t="str">
        <f>IF(SUM(EH16,EI16,EM16)&gt;0,SUM(EH16,EI16,EM16),"")</f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>IF(SUM(EP16,ET16)&gt;0,SUM(EP16,ET16),"")</f>
        <v/>
      </c>
      <c r="FJ16" s="40" t="str">
        <f>IF(SUM(EO16:EP16,ER16:ET16,EV16)-EQ16-EU16&gt;0,SUM(EO16:EP16,ER16:ET16,EV16)-EQ16-EU16,"")</f>
        <v/>
      </c>
      <c r="FK16" s="40" t="str">
        <f>IF(SUM(EW16:EX16,EZ16)-EY16&gt;0,SUM(EW16:EX16,EZ16)-EY16,"")</f>
        <v/>
      </c>
      <c r="FL16" s="40" t="str">
        <f>IF(SUM(EP16,ET16,EX16)&gt;0,SUM(EP16,ET16,EX16),"")</f>
        <v/>
      </c>
      <c r="FM16" s="40" t="str">
        <f>IF(SUM(FJ16,FK16)&gt;0,SUM(FJ16,FK16),"")</f>
        <v/>
      </c>
      <c r="FN16" s="40" t="str">
        <f>IF(SUM(FB16,FF16)&gt;0,SUM(FB16,FF16),"")</f>
        <v/>
      </c>
      <c r="FO16" s="40" t="str">
        <f>IF(SUM(FA16:FB16,FD16:FF16,FH16)-SUM(FC16,FG16)&gt;0,SUM(FA16:FB16,FD16:FF16,FH16)-SUM(FC16,FG16),"")</f>
        <v/>
      </c>
      <c r="FP16" s="40" t="str">
        <f>IF(SUM(FJ16,FK16,FO16)&gt;0,SUM(FJ16,FK16,FO16),"")</f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>IF(SUM(FR16,FV16)&gt;0,SUM(FR16,FV16),"")</f>
        <v/>
      </c>
      <c r="GL16" s="11" t="str">
        <f>IF(SUM(FQ16:FR16,FT16:FV16,FX16)-FS16-FW16&gt;0,SUM(FQ16:FR16,FT16:FV16,FX16)-FS16-FW16,"")</f>
        <v/>
      </c>
      <c r="GM16" s="11" t="str">
        <f>IF(SUM(FY16:FZ16,GB16)-GA16&gt;0,SUM(FY16:FZ16,GB16)-GA16,"")</f>
        <v/>
      </c>
      <c r="GN16" s="11" t="str">
        <f>IF(SUM(FR16,FV16,FZ16)&gt;0,SUM(FR16,FV16,FZ16),"")</f>
        <v/>
      </c>
      <c r="GO16" s="11" t="str">
        <f>IF(SUM(GL16,GM16)&gt;0,SUM(GL16,GM16),"")</f>
        <v/>
      </c>
      <c r="GP16" s="11" t="str">
        <f>IF(SUM(GD16,GH16)&gt;0,SUM(GD16,GH16),"")</f>
        <v/>
      </c>
      <c r="GQ16" s="11" t="str">
        <f>IF(SUM(GC16:GD16,GF16:GH16,GJ16)-SUM(GE16,GI16)&gt;0,SUM(GC16:GD16,GF16:GH16,GJ16)-SUM(GE16,GI16),"")</f>
        <v/>
      </c>
      <c r="GR16" s="11" t="str">
        <f>IF(SUM(GL16,GM16,GQ16)&gt;0,SUM(GL16,GM16,GQ16),"")</f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>IF(SUM(GT16,GX16)&gt;0,SUM(GT16,GX16),"")</f>
        <v/>
      </c>
      <c r="HN16" s="40" t="str">
        <f>IF(SUM(GS16:GT16,GV16:GX16,GZ16)-GU16-GY16&gt;0,SUM(GS16:GT16,GV16:GX16,GZ16)-GU16-GY16,"")</f>
        <v/>
      </c>
      <c r="HO16" s="40" t="str">
        <f>IF(SUM(HA16:HB16,HD16)-HC16&gt;0,SUM(HA16:HB16,HD16)-HC16,"")</f>
        <v/>
      </c>
      <c r="HP16" s="40" t="str">
        <f>IF(SUM(GT16,GX16,HB16)&gt;0,SUM(GT16,GX16,HB16),"")</f>
        <v/>
      </c>
      <c r="HQ16" s="40" t="str">
        <f>IF(SUM(HN16,HO16)&gt;0,SUM(HN16,HO16),"")</f>
        <v/>
      </c>
      <c r="HR16" s="40" t="str">
        <f>IF(SUM(HF16,HJ16)&gt;0,SUM(HF16,HJ16),"")</f>
        <v/>
      </c>
      <c r="HS16" s="40" t="str">
        <f>IF(SUM(HE16:HF16,HH16:HJ16,HL16)-SUM(HG16,HK16)&gt;0,SUM(HE16:HF16,HH16:HJ16,HL16)-SUM(HG16,HK16),"")</f>
        <v/>
      </c>
      <c r="HT16" s="40" t="str">
        <f>IF(SUM(HN16,HO16,HS16)&gt;0,SUM(HN16,HO16,HS16),"")</f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>IF(SUM(HV16,HZ16)&gt;0,SUM(HV16,HZ16),"")</f>
        <v/>
      </c>
      <c r="IP16" s="11" t="str">
        <f>IF(SUM(HU16:HV16,HX16:HZ16,IB16)-HW16-IA16&gt;0,SUM(HU16:HV16,HX16:HZ16,IB16)-HW16-IA16,"")</f>
        <v/>
      </c>
      <c r="IQ16" s="11" t="str">
        <f>IF(SUM(IC16:ID16,IF16)-IE16&gt;0,SUM(IC16:ID16,IF16)-IE16,"")</f>
        <v/>
      </c>
      <c r="IR16" s="11" t="str">
        <f>IF(SUM(HV16,HZ16,ID16)&gt;0,SUM(HV16,HZ16,ID16),"")</f>
        <v/>
      </c>
      <c r="IS16" s="11" t="str">
        <f>IF(SUM(IP16,IQ16)&gt;0,SUM(IP16,IQ16),"")</f>
        <v/>
      </c>
      <c r="IT16" s="11" t="str">
        <f>IF(SUM(IH16,IL16)&gt;0,SUM(IH16,IL16),"")</f>
        <v/>
      </c>
      <c r="IU16" s="11" t="str">
        <f>IF(SUM(IG16:IH16,IJ16:IL16,IN16)-SUM(II16,IM16)&gt;0,SUM(IG16:IH16,IJ16:IL16,IN16)-SUM(II16,IM16),"")</f>
        <v/>
      </c>
      <c r="IV16" s="11" t="str">
        <f>IF(SUM(IP16,IQ16,IU16)&gt;0,SUM(IP16,IQ16,IU16),"")</f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>IF(SUM(IX16,JB16)&gt;0,SUM(IX16,JB16),"")</f>
        <v/>
      </c>
      <c r="JR16" s="40" t="str">
        <f>IF(SUM(IW16:IX16,IZ16:JB16,JD16)-IY16-JC16&gt;0,SUM(IW16:IX16,IZ16:JB16,JD16)-IY16-JC16,"")</f>
        <v/>
      </c>
      <c r="JS16" s="40" t="str">
        <f>IF(SUM(JE16:JF16,JH16)-JG16&gt;0,SUM(JE16:JF16,JH16)-JG16,"")</f>
        <v/>
      </c>
      <c r="JT16" s="40" t="str">
        <f>IF(SUM(IX16,JB16,JF16)&gt;0,SUM(IX16,JB16,JF16),"")</f>
        <v/>
      </c>
      <c r="JU16" s="40" t="str">
        <f>IF(SUM(JR16,JS16)&gt;0,SUM(JR16,JS16),"")</f>
        <v/>
      </c>
      <c r="JV16" s="40" t="str">
        <f>IF(SUM(JJ16,JN16)&gt;0,SUM(JJ16,JN16),"")</f>
        <v/>
      </c>
      <c r="JW16" s="40" t="str">
        <f>IF(SUM(JI16:JJ16,JL16:JN16,JP16)-SUM(JK16,JO16)&gt;0,SUM(JI16:JJ16,JL16:JN16,JP16)-SUM(JK16,JO16),"")</f>
        <v/>
      </c>
      <c r="JX16" s="40" t="str">
        <f>IF(SUM(JR16,JS16,JW16)&gt;0,SUM(JR16,JS16,JW16),"")</f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>IF(SUM(JZ16,KD16)&gt;0,SUM(JZ16,KD16),"")</f>
        <v/>
      </c>
      <c r="KT16" s="11" t="str">
        <f>IF(SUM(JY16:JZ16,KB16:KD16,KF16)-KA16-KE16&gt;0,SUM(JY16:JZ16,KB16:KD16,KF16)-KA16-KE16,"")</f>
        <v/>
      </c>
      <c r="KU16" s="11" t="str">
        <f>IF(SUM(KG16:KH16,KJ16)-KI16&gt;0,SUM(KG16:KH16,KJ16)-KI16,"")</f>
        <v/>
      </c>
      <c r="KV16" s="11" t="str">
        <f>IF(SUM(JZ16,KD16,KH16)&gt;0,SUM(JZ16,KD16,KH16),"")</f>
        <v/>
      </c>
      <c r="KW16" s="11" t="str">
        <f>IF(SUM(KT16,KU16)&gt;0,SUM(KT16,KU16),"")</f>
        <v/>
      </c>
      <c r="KX16" s="11" t="str">
        <f>IF(SUM(KL16,KP16)&gt;0,SUM(KL16,KP16),"")</f>
        <v/>
      </c>
      <c r="KY16" s="11" t="str">
        <f>IF(SUM(KK16:KL16,KN16:KP16,KR16)-SUM(KM16,KQ16)&gt;0,SUM(KK16:KL16,KN16:KP16,KR16)-SUM(KM16,KQ16),"")</f>
        <v/>
      </c>
      <c r="KZ16" s="11" t="str">
        <f>IF(SUM(KT16,KU16,KY16)&gt;0,SUM(KT16,KU16,KY16),"")</f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>IF(SUM(LB16,LF16)&gt;0,SUM(LB16,LF16),"")</f>
        <v/>
      </c>
      <c r="LV16" s="40" t="str">
        <f>IF(SUM(LA16:LB16,LD16:LF16,LH16)-LC16-LG16&gt;0,SUM(LA16:LB16,LD16:LF16,LH16)-LC16-LG16,"")</f>
        <v/>
      </c>
      <c r="LW16" s="40" t="str">
        <f>IF(SUM(LI16:LJ16,LL16)-LK16&gt;0,SUM(LI16:LJ16,LL16)-LK16,"")</f>
        <v/>
      </c>
      <c r="LX16" s="40" t="str">
        <f>IF(SUM(LB16,LF16,LJ16)&gt;0,SUM(LB16,LF16,LJ16),"")</f>
        <v/>
      </c>
      <c r="LY16" s="40" t="str">
        <f>IF(SUM(LV16,LW16)&gt;0,SUM(LV16,LW16),"")</f>
        <v/>
      </c>
      <c r="LZ16" s="40" t="str">
        <f>IF(SUM(LN16,LR16)&gt;0,SUM(LN16,LR16),"")</f>
        <v/>
      </c>
      <c r="MA16" s="40" t="str">
        <f>IF(SUM(LM16:LN16,LP16:LR16,LT16)-SUM(LO16,LS16)&gt;0,SUM(LM16:LN16,LP16:LR16,LT16)-SUM(LO16,LS16),"")</f>
        <v/>
      </c>
      <c r="MB16" s="40" t="str">
        <f>IF(SUM(LV16,LW16,MA16)&gt;0,SUM(LV16,LW16,MA16),"")</f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>IF(SUM(MD16,MH16)&gt;0,SUM(MD16,MH16),"")</f>
        <v/>
      </c>
      <c r="MX16" s="11" t="str">
        <f>IF(SUM(MC16:MD16,MF16:MH16,MJ16)-ME16-MI16&gt;0,SUM(MC16:MD16,MF16:MH16,MJ16)-ME16-MI16,"")</f>
        <v/>
      </c>
      <c r="MY16" s="11" t="str">
        <f>IF(SUM(MK16:ML16,MN16)-MM16&gt;0,SUM(MK16:ML16,MN16)-MM16,"")</f>
        <v/>
      </c>
      <c r="MZ16" s="11" t="str">
        <f>IF(SUM(MD16,MH16,ML16)&gt;0,SUM(MD16,MH16,ML16),"")</f>
        <v/>
      </c>
      <c r="NA16" s="11" t="str">
        <f>IF(SUM(MX16,MY16)&gt;0,SUM(MX16,MY16),"")</f>
        <v/>
      </c>
      <c r="NB16" s="11" t="str">
        <f>IF(SUM(MP16,MT16)&gt;0,SUM(MP16,MT16),"")</f>
        <v/>
      </c>
      <c r="NC16" s="11" t="str">
        <f>IF(SUM(MO16:MP16,MR16:MT16,MV16)-SUM(MQ16,MU16)&gt;0,SUM(MO16:MP16,MR16:MT16,MV16)-SUM(MQ16,MU16),"")</f>
        <v/>
      </c>
      <c r="ND16" s="11" t="str">
        <f>IF(SUM(MX16,MY16,NC16)&gt;0,SUM(MX16,MY16,NC16),"")</f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>IF(SUM(NF16,NJ16)&gt;0,SUM(NF16,NJ16),"")</f>
        <v/>
      </c>
      <c r="NZ16" s="40" t="str">
        <f>IF(SUM(NE16:NF16,NH16:NJ16,NL16)-NG16-NK16&gt;0,SUM(NE16:NF16,NH16:NJ16,NL16)-NG16-NK16,"")</f>
        <v/>
      </c>
      <c r="OA16" s="40" t="str">
        <f>IF(SUM(NM16:NN16,NP16)-NO16&gt;0,SUM(NM16:NN16,NP16)-NO16,"")</f>
        <v/>
      </c>
      <c r="OB16" s="40" t="str">
        <f>IF(SUM(NF16,NJ16,NN16)&gt;0,SUM(NF16,NJ16,NN16),"")</f>
        <v/>
      </c>
      <c r="OC16" s="40" t="str">
        <f>IF(SUM(NZ16,OA16)&gt;0,SUM(NZ16,OA16),"")</f>
        <v/>
      </c>
      <c r="OD16" s="40" t="str">
        <f>IF(SUM(NR16,NV16)&gt;0,SUM(NR16,NV16),"")</f>
        <v/>
      </c>
      <c r="OE16" s="40" t="str">
        <f>IF(SUM(NQ16:NR16,NT16:NV16,NX16)-SUM(NS16,NW16)&gt;0,SUM(NQ16:NR16,NT16:NV16,NX16)-SUM(NS16,NW16),"")</f>
        <v/>
      </c>
      <c r="OF16" s="40" t="str">
        <f>IF(SUM(NZ16,OA16,OE16)&gt;0,SUM(NZ16,OA16,OE16),"")</f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>IF(SUM(OH16,OL16)&gt;0,SUM(OH16,OL16),"")</f>
        <v/>
      </c>
      <c r="PB16" s="11" t="str">
        <f>IF(SUM(OG16:OH16,OJ16:OL16,ON16)-OI16-OM16&gt;0,SUM(OG16:OH16,OJ16:OL16,ON16)-OI16-OM16,"")</f>
        <v/>
      </c>
      <c r="PC16" s="11" t="str">
        <f>IF(SUM(OO16:OP16,OR16)-OQ16&gt;0,SUM(OO16:OP16,OR16)-OQ16,"")</f>
        <v/>
      </c>
      <c r="PD16" s="11" t="str">
        <f>IF(SUM(OH16,OL16,OP16)&gt;0,SUM(OH16,OL16,OP16),"")</f>
        <v/>
      </c>
      <c r="PE16" s="11" t="str">
        <f>IF(SUM(PB16,PC16)&gt;0,SUM(PB16,PC16),"")</f>
        <v/>
      </c>
      <c r="PF16" s="11" t="str">
        <f>IF(SUM(OT16,OX16)&gt;0,SUM(OT16,OX16),"")</f>
        <v/>
      </c>
      <c r="PG16" s="11" t="str">
        <f>IF(SUM(OS16:OT16,OV16:OX16,OZ16)-SUM(OU16,OY16)&gt;0,SUM(OS16:OT16,OV16:OX16,OZ16)-SUM(OU16,OY16),"")</f>
        <v/>
      </c>
      <c r="PH16" s="11" t="str">
        <f>IF(SUM(PB16,PC16,PG16)&gt;0,SUM(PB16,PC16,PG16),"")</f>
        <v/>
      </c>
      <c r="PI16" s="22">
        <f>IF($PY16="P",BM16,(BM16+AQ16)/2)</f>
        <v>18</v>
      </c>
      <c r="PJ16" s="22">
        <f>IF($PY16="P",BN16,(BN16+AR16)/2)</f>
        <v>4.4000000000000004</v>
      </c>
      <c r="PK16" s="22">
        <f>IF($PY16="P",BO16,(BO16+AS16)/2)</f>
        <v>0.8</v>
      </c>
      <c r="PL16" s="22">
        <f>IF($PY16="P",BP16,(BP16+AT16)/2)</f>
        <v>0</v>
      </c>
      <c r="PM16" s="22">
        <f>IF($PY16="P",BQ16,(BQ16+AU16)/2)</f>
        <v>15.4</v>
      </c>
      <c r="PN16" s="22">
        <f>IF($PY16="P",BR16,(BR16+AV16)/2)</f>
        <v>0.7</v>
      </c>
      <c r="PO16" s="22">
        <f>IF($PY16="P",BS16,(BS16+AW16)/2)</f>
        <v>0</v>
      </c>
      <c r="PP16" s="22">
        <f>IF($PY16="P",BT16,(BT16+AX16)/2)</f>
        <v>0</v>
      </c>
      <c r="PQ16" s="22">
        <f>IF($PY16="P",BU16,(BU16+AY16)/2)</f>
        <v>18.3</v>
      </c>
      <c r="PR16" s="22">
        <f>IF($PY16="P",BV16,(BV16+AZ16)/2)</f>
        <v>3.5</v>
      </c>
      <c r="PS16" s="22">
        <f>IF($PY16="P",BW16,(BW16+BA16)/2)</f>
        <v>0.2</v>
      </c>
      <c r="PT16" s="22">
        <f>IF($PY16="P",BX16,(BX16+BB16)/2)</f>
        <v>0</v>
      </c>
      <c r="PU16" s="22">
        <f>IF($PY16="P",BY16,(BY16+BC16)/2)</f>
        <v>17.8</v>
      </c>
      <c r="PV16" s="22">
        <f>IF($PY16="P",BZ16,(BZ16+BD16)/2)</f>
        <v>4.4000000000000004</v>
      </c>
      <c r="PW16" s="22">
        <f>IF($PY16="P",CA16,(CA16+BE16)/2)</f>
        <v>0.8</v>
      </c>
      <c r="PX16" s="22">
        <f>IF($PY16="P",CB16,(CB16+BF16)/2)</f>
        <v>0</v>
      </c>
      <c r="PY16" s="27" t="s">
        <v>46</v>
      </c>
      <c r="PZ16" s="40">
        <f>IF(SUM(PJ16,PN16)&gt;0,SUM(PJ16,PN16),"")</f>
        <v>5.1000000000000005</v>
      </c>
      <c r="QA16" s="40">
        <f>IF(SUM(PI16:PJ16,PL16:PN16,PP16)-PK16-PO16&gt;0,SUM(PI16:PJ16,PL16:PN16,PP16)-PK16-PO16,"")</f>
        <v>37.700000000000003</v>
      </c>
      <c r="QB16" s="40">
        <f>IF(SUM(PR16,PV16)&gt;0,SUM(PR16,PV16),"")</f>
        <v>7.9</v>
      </c>
      <c r="QC16" s="40">
        <f>IF(SUM(PQ16:PR16,PT16:PV16,PX16)-SUM(PS16,PW16)&gt;0,SUM(PQ16:PR16,PT16:PV16,PX16)-SUM(PS16,PW16),"")</f>
        <v>43</v>
      </c>
      <c r="QD16" s="40">
        <f>IF(SUM(QA16,QC16)&gt;0,SUM(QA16,QC16),"")</f>
        <v>80.7</v>
      </c>
    </row>
    <row r="17" spans="1:446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145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L17&gt;=AP$36,AM17&gt;=AP$40,AL17&lt;&gt;"",AK17=""),AND(AN17&gt;=AP$36,AO17&gt;=AP$40,AN17&lt;&gt;"",AK17=""),AND(BH17&gt;=BL$36,BI17&gt;=BL$40,BH17&lt;&gt;"",BG17=""),AND(BJ17&gt;=BL$36,BK17&gt;=BL$40,BJ17&lt;&gt;"",BG17=""),AND(CD17&gt;=CH$36,CE17&gt;=CH$40,CD17&lt;&gt;"",CC17=""),AND(CF17&gt;=CH$36,CG17&gt;=CH$40,CF17&lt;&gt;""),AND(DE17&gt;=DL$36,DF17&gt;=DL$40,DE17&lt;&gt;""),AND(DJ17&gt;=DL$36,DK17&gt;=DL$40,DJ17&lt;&gt;""),AND(EG17&gt;=EN$36,EH17&gt;=EN$40,EG17&lt;&gt;""),AND(EL17&gt;=EN$36,EM17&gt;=EN$40,EL17&lt;&gt;""),AND(FI17&gt;=FP$36,FJ17&gt;=FP$40,FI17&lt;&gt;""),AND(FN17&gt;=FP$36,FO17&gt;=FP$40,FN17&lt;&gt;""),AND(GK17&gt;=GR$36,GL17&gt;=GR$40,GK17&lt;&gt;""),AND(GP17&gt;=GR$36,GQ17&gt;=GR$40,GP17&lt;&gt;""),AND(HM17&gt;=HT$36,HN17&gt;=HT$40,HM17&lt;&gt;""),AND(HR17&gt;=HT$36,HS17&gt;=HT$40,HR17&lt;&gt;""),AND(IO17&gt;=IV$36,IP17&gt;=IV$40,IO17&lt;&gt;""),AND(IT17&gt;=IV$36,IU17&gt;=IV$40,IT17&lt;&gt;""),AND(JQ17&gt;=JX$36,JR17&gt;=JX$40,JQ17&lt;&gt;""),AND(JV17&gt;=JX$36,JW17&gt;=JX$40,JV17&lt;&gt;""),AND(KS17&gt;=KZ$36,KT17&gt;=KZ$40,KS17&lt;&gt;""),AND(KX17&gt;=KZ$36,KY17&gt;=KZ$40,KX17&lt;&gt;""),AND(LU17&gt;=MB$36,LV17&gt;=MB$40,LU17&lt;&gt;""),AND(LZ17&gt;=MB$36,MA17&gt;=MB$40,LZ17&lt;&gt;""),AND(MW17&gt;=ND$36,MX17&gt;=ND$40,MW17&lt;&gt;""),AND(NB17&gt;=ND$36,NC17&gt;=ND$40,NB17&lt;&gt;""),AND(NY17&gt;=OF$36,NZ17&gt;=OF$40,NY17&lt;&gt;""),AND(OD17&gt;=OF$36,OE17&gt;=OF$40,OD17&lt;&gt;""),AND(PA17&gt;=PH$36,PB17&gt;=PH$40,PA17&lt;&gt;""),AND(PF17&gt;=PH$36,PG17&gt;=PH$40,PF17&lt;&gt;"")),"P","")</f>
        <v/>
      </c>
      <c r="I17" s="3" t="str">
        <f>IF(OR(AND(AM17&gt;=AP$40,AM17&lt;&gt;"",AK17=""),AND(AO17&gt;=AP$40,AO17&lt;&gt;"",AK17=""),AND(BI17&gt;=BL$40,BI17&lt;&gt;"",BG17=""),AND(BK17&gt;=BL$40,BK17&lt;&gt;"",BG17=""),AND(CE17&gt;=CH$40,CE17&lt;&gt;"",CC17=""),AND(CG17&gt;=CH$40,CG17&lt;&gt;"",CC17=""),AND(DF17&gt;=DL$40,DF17&lt;&gt;""),AND(DK17&gt;=DL$40,DK17&lt;&gt;""),AND(EH17&gt;=EN$40,EH17&lt;&gt;""),AND(EM17&gt;=EN$40,EM17&lt;&gt;""),AND(FJ17&gt;=FP$40,FJ17&lt;&gt;""),AND(FO17&gt;=FP$40,FO17&lt;&gt;""),AND(GL17&gt;=GR$40,GL17&lt;&gt;""),AND(GQ17&gt;=GR$40,GQ17&lt;&gt;""),AND(HN17&gt;=HT$40,HN17&lt;&gt;""),AND(HS17&gt;=HT$40,HS17&lt;&gt;""),AND(IP17&gt;=IV$40,IP17&lt;&gt;""),AND(IU17&gt;=IV$40,IU17&lt;&gt;""),AND(JR17&gt;=JX$40,JR17&lt;&gt;""),AND(JW17&gt;=JX$40,JW17&lt;&gt;""),AND(KT17&gt;=KZ$40,KT17&lt;&gt;""),AND(KY17&gt;=KZ$40,KY17&lt;&gt;""),AND(LV17&gt;=MB$40,LV17&lt;&gt;""),AND(MA17&gt;=MB$40,MA17&lt;&gt;""),AND(MX17&gt;=ND$40,MX17&lt;&gt;""),AND(NC17&gt;=ND$40,NC17&lt;&gt;""),AND(NZ17&gt;=OF$40,NZ17&lt;&gt;""),AND(OE17&gt;=OF$40,OE17&lt;&gt;""),AND(PB17&gt;=PH$40,PB17&lt;&gt;""),AND(PG17&gt;=PH$40,PG17&lt;&gt;"")),"P","")</f>
        <v/>
      </c>
      <c r="J17" s="36" t="str">
        <f>IF(AND(I17="P",H17=""),"No DD",IF(OR(AND(AL17&gt;=AP$26,AM17&gt;=AP$30,AL17&lt;&gt;"",AK17=""),AND(BH17&gt;=BL$26,BI17&gt;=BL$30,BH17&lt;&gt;"",BG17=""),AND(CD17&gt;=CH$26,CE17&gt;=CH$30,CD17&lt;&gt;"",CC17=""),AND(DH17&gt;=DL$26,DI17&gt;=DL$30,DH17&lt;&gt;""),AND(EJ17&gt;=EN$26,EK17&gt;=EN$30,EJ17&lt;&gt;""),AND(FL17&gt;=FP$26,FM17&gt;=FP$30,FL17&lt;&gt;""),AND(GN17&gt;=GR$26,GO17&gt;=GR$30,GN17&lt;&gt;""),AND(HP17&gt;=HT$26,HQ17&gt;=HT$30,HP17&lt;&gt;""),AND(IR17&gt;=IV$26,IS17&gt;=IV$30,IR17&lt;&gt;""),AND(JT17&gt;=JX$26,JU17&gt;=JX$30,JT17&lt;&gt;""),AND(KV17&gt;=KZ$26,KW17&gt;=KZ$30,KV17&lt;&gt;""),AND(LX17&gt;=MB$26,LY17&gt;=MB$30,LX17&lt;&gt;""),AND(MZ17&gt;=ND$26,NA17&gt;=ND$30,MZ17&lt;&gt;""),AND(OB17&gt;=OF$26,OC17&gt;=OF$30,OB17&lt;&gt;""),AND(PD17&gt;=PH$26,PE17&gt;=PH$30,PD17&lt;&gt;"")),"Merit",IF(OR(AND(AL17&gt;=AP$25,AM17&gt;=AP$29,AL17&lt;&gt;"",AK17=""),AND(BH17&gt;=BL$25,BI17&gt;=BL$29,BH17&lt;&gt;"",BG17=""),AND(CD17&gt;=CH$25,CE17&gt;=CH$29,CD17&lt;&gt;"",CC17=""),AND(DH17&gt;=DL$25,DI17&gt;=DL$29,DH17&lt;&gt;""),AND(EJ17&gt;=EN$25,EK17&gt;=EN$29,EJ17&lt;&gt;""),AND(FL17&gt;=FP$25,FM17&gt;=FP$29,FL17&lt;&gt;""),AND(GN17&gt;=GR$25,GO17&gt;=GR$29,GN17&lt;&gt;""),AND(HP17&gt;=HT$25,HQ17&gt;=HT$29,HP17&lt;&gt;""),AND(IR17&gt;=IV$25,IS17&gt;=IV$29,IR17&lt;&gt;""),AND(JT17&gt;=JX$25,JU17&gt;=JX$29,JT17&lt;&gt;""),AND(KV17&gt;=KZ$25,KW17&gt;=KZ$29,KV17&lt;&gt;""),AND(LX17&gt;=MB$25,LY17&gt;=MB$29,LX17&lt;&gt;""),AND(MZ17&gt;=ND$25,NA17&gt;=ND$29,MZ17&lt;&gt;""),AND(OB17&gt;=OF$25,OC17&gt;=OF$29,OB17&lt;&gt;""),AND(PD17&gt;=PH$25,PE17&gt;=PH$29,PD17&lt;&gt;"")),"Excellence",IF(K17="P","Worlds Team",IF(H17="P","National Team","")))))</f>
        <v/>
      </c>
      <c r="K17" s="3" t="str">
        <f>IF(OR(AND(AL17&gt;=AP$24,AM17&gt;=AP$28,AL17&lt;&gt;"",AK17=""),AND(BH17&gt;=BL$24,BI17&gt;=BL$28,BH17&lt;&gt;"",BG17=""),AND(CD17&gt;=CH$24,CE17&gt;=CH$28,CD17&lt;&gt;"",CC17=""),AND(DH17&gt;=DL$24,DI17&gt;=DL$28,DH17&lt;&gt;""),AND(EJ17&gt;=EN$24,EK17&gt;=EN$28,EJ17&lt;&gt;""),AND(FL17&gt;=FP$24,FM17&gt;=FP$28,FL17&lt;&gt;""),AND(GN17&gt;=GR$24,GO17&gt;=GR$28,GN17&lt;&gt;""),AND(HP17&gt;=HT$24,HQ17&gt;=HT$28,HP17&lt;&gt;""),AND(IR17&gt;=IV$24,IS17&gt;=IV$28,IR17&lt;&gt;""),AND(JT17&gt;=JX$24,JU17&gt;=JX$28,JT17&lt;&gt;""),AND(KV17&gt;=KZ$24,KW17&gt;=KZ$28,KV17&lt;&gt;""),AND(LX17&gt;=MB$24,LY17&gt;=MB$28,LX17&lt;&gt;""),AND(MZ17&gt;=ND$24,NA17&gt;=ND$28,MZ17&lt;&gt;""),AND(OB17&gt;=OF$24,OC17&gt;=OF$28,OB17&lt;&gt;""),AND(PD17&gt;=PH$24,PE17&gt;=PH$28,PD17&lt;&gt;"")),"P","")</f>
        <v/>
      </c>
      <c r="L17" s="8">
        <f>IF(COUNT(AM17,BI17,CE17)&gt;0,LARGE((AM17,BI17,CE17),1),0)</f>
        <v>44.399999999999991</v>
      </c>
      <c r="M17" s="8" t="str">
        <f>IF(L17=0,"",IF(L17=CE17,$BM$1,IF(L17=BI17,$AQ$1,IF(L17=AM17,$U$1,""))))</f>
        <v>2025 Nationals</v>
      </c>
      <c r="N17" s="8">
        <f>IF(COUNT(AM17,BI17,CE17)&gt;1,LARGE((AM17,BI17,CE17),2),0)</f>
        <v>39.700000000000003</v>
      </c>
      <c r="O17" s="8" t="str">
        <f>IF(N17=0,"",IF(AND(N17=L17,N17=AM17,N17=BI17),$U$1,IF(AND(N17=L17,N17=AM17,N17=CE17),$U$1,IF(AND(N17=L17,N17=BI17,N17=CE17),$AQ$1,IF(N17=CE17,$BM$1,IF(N17=BI17,$AQ$1,IF(N17=AM17,$U$1,"")))))))</f>
        <v>2025 Elite Canada</v>
      </c>
      <c r="P17" s="8">
        <f>IF(MAX(AO17,BK17,CG17)&gt;0,MAX(AO17,BK17,CG17),0)</f>
        <v>44.400000000000006</v>
      </c>
      <c r="Q17" s="8" t="str">
        <f>IF(P17=0,"",IF(P17=CG17,$BM$1,IF(P17=BK17,$AQ$1,IF(P17=AO17,$U$1,""))))</f>
        <v>2025 Nationals</v>
      </c>
      <c r="R17" s="8" t="str">
        <f>IF(MAX(CI17:CJ17)&gt;0,MAX(CI17:CJ17),"")</f>
        <v/>
      </c>
      <c r="S17" s="11" t="str">
        <f>IF(R17="","",IF(R17=CI17,"("&amp;CI$2&amp;")",IF(R17=CJ17,"("&amp;CJ$2&amp;")")))</f>
        <v/>
      </c>
      <c r="T17" s="8" t="str">
        <f>IF(R17="","",IF(R17=CI17,IF(R17+IF(N17="",0,N17)=PB17,$OG$1,IF(R17+IF(N17="",0,N17)=NZ17,$NE$1,IF(R17+IF(N17="",0,N17)=MX17,$MC$1,IF(R17+IF(N17="",0,N17)=LV17,$LA$1,IF(R17+IF(N17="",0,N17)=KT17,$JY$1,IF(R17+IF(N17="",0,N17)=JR17,$IW$1,IF(R17+IF(N17="",0,N17)=IP17,$HU$1,IF(R17+IF(N17="",0,N17)=HN17,$GS$1,IF(R17+IF(N17="",0,N17)=GL17,$FQ$1,IF(R17+IF(N17="",0,N17)=FJ17,$EO$1,IF(R17+IF(N17="",0,N17)=EH17,$DM$1,IF(R17+IF(N17="",0,N17)=DF17,$CK$1)))))))))))),IF(R17=CJ17,IF(R17+IF(P17="",0,P17)=PG17,$OG$1,IF(R17+IF(P17="",0,P17)=OE17,$NE$1,IF(R17+IF(P17="",0,P17)=NC17,$MC$1,IF(R17+IF(P17="",0,P17)=MA17,$LA$1,IF(R17+IF(P17="",0,P17)=KY17,$JY$1,IF(R17+IF(P17="",0,P17)=JW17,$IW$1,IF(R17+IF(P17="",0,P17)=IU17,$HU$1,IF(R17+IF(P17="",0,P17)=HS17,$GS$1,IF(R17+IF(P17="",0,P17)=GQ17,$FQ$1,IF(R17+IF(P17="",0,P17)=FO17,$EO$1,IF(R17+IF(P17="",0,P17)=EM17,$DM$1,IF(R17+IF(P17="",0,P17)=DK17,$CK$1)))))))))))))))</f>
        <v/>
      </c>
      <c r="U17" s="19">
        <v>18.2</v>
      </c>
      <c r="V17" s="19">
        <v>5.2</v>
      </c>
      <c r="W17" s="19">
        <v>0.2</v>
      </c>
      <c r="X17" s="19">
        <v>0</v>
      </c>
      <c r="Y17" s="19">
        <v>15.8</v>
      </c>
      <c r="Z17" s="19">
        <v>0.7</v>
      </c>
      <c r="AA17" s="19">
        <v>0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27"/>
      <c r="AL17" s="40">
        <f>IF(SUM(V17,Z17)&gt;0,SUM(V17,Z17),"")</f>
        <v>5.9</v>
      </c>
      <c r="AM17" s="40">
        <f>IF(SUM(U17:V17,X17:Z17,AB17)-W17-AA17&gt;0,SUM(U17:V17,X17:Z17,AB17)-W17-AA17,"")</f>
        <v>39.700000000000003</v>
      </c>
      <c r="AN17" s="40" t="str">
        <f>IF(SUM(AD17,AH17)&gt;0,SUM(AD17,AH17),"")</f>
        <v/>
      </c>
      <c r="AO17" s="40" t="str">
        <f>IF(SUM(AC17:AD17,AF17:AH17,AJ17)-SUM(AE17,AI17)&gt;0,SUM(AC17:AD17,AF17:AH17,AJ17)-SUM(AE17,AI17),"")</f>
        <v/>
      </c>
      <c r="AP17" s="40">
        <f>IF(SUM(AM17,AO17)&gt;0,SUM(AM17,AO17),"")</f>
        <v>39.700000000000003</v>
      </c>
      <c r="AQ17" s="18">
        <v>17.7</v>
      </c>
      <c r="AR17" s="18">
        <v>5.2</v>
      </c>
      <c r="AS17" s="18">
        <v>0</v>
      </c>
      <c r="AT17" s="18">
        <v>0</v>
      </c>
      <c r="AU17" s="18">
        <v>18.2</v>
      </c>
      <c r="AV17" s="18">
        <v>3.5</v>
      </c>
      <c r="AW17" s="18">
        <v>0.2</v>
      </c>
      <c r="AX17" s="18">
        <v>0</v>
      </c>
      <c r="AY17" s="18">
        <v>17.8</v>
      </c>
      <c r="AZ17" s="18">
        <v>5.2</v>
      </c>
      <c r="BA17" s="18">
        <v>0.8</v>
      </c>
      <c r="BB17" s="18">
        <v>0</v>
      </c>
      <c r="BC17" s="18">
        <v>18.7</v>
      </c>
      <c r="BD17" s="18">
        <v>3.5</v>
      </c>
      <c r="BE17" s="18">
        <v>0</v>
      </c>
      <c r="BF17" s="18">
        <v>0</v>
      </c>
      <c r="BG17" s="28"/>
      <c r="BH17" s="11">
        <f>IF(SUM(AR17,AV17)&gt;0,SUM(AR17,AV17),"")</f>
        <v>8.6999999999999993</v>
      </c>
      <c r="BI17" s="11">
        <f>IF(SUM(AQ17:AR17,AT17:AV17,AX17)-AS17-AW17&gt;0,SUM(AQ17:AR17,AT17:AV17,AX17)-AS17-AW17,"")</f>
        <v>44.399999999999991</v>
      </c>
      <c r="BJ17" s="11">
        <f>IF(SUM(AZ17,BD17)&gt;0,SUM(AZ17,BD17),"")</f>
        <v>8.6999999999999993</v>
      </c>
      <c r="BK17" s="11">
        <f>IF(SUM(AY17:AZ17,BB17:BD17,BF17)-SUM(BA17,BE17)&gt;0,SUM(AY17:AZ17,BB17:BD17,BF17)-SUM(BA17,BE17),"")</f>
        <v>44.400000000000006</v>
      </c>
      <c r="BL17" s="11">
        <f>IF(SUM(BI17,BK17)&gt;0,SUM(BI17,BK17),"")</f>
        <v>88.8</v>
      </c>
      <c r="BM17" s="19">
        <v>15</v>
      </c>
      <c r="BN17" s="19">
        <v>2.4</v>
      </c>
      <c r="BO17" s="19">
        <v>0.2</v>
      </c>
      <c r="BP17" s="19">
        <v>0</v>
      </c>
      <c r="BQ17" s="19">
        <v>18.399999999999999</v>
      </c>
      <c r="BR17" s="19">
        <v>3.5</v>
      </c>
      <c r="BS17" s="19">
        <v>0</v>
      </c>
      <c r="BT17" s="19">
        <v>0</v>
      </c>
      <c r="BU17" s="19">
        <v>17.8</v>
      </c>
      <c r="BV17" s="19">
        <v>2.9</v>
      </c>
      <c r="BW17" s="19">
        <v>0.8</v>
      </c>
      <c r="BX17" s="19">
        <v>0</v>
      </c>
      <c r="BY17" s="19">
        <v>18.2</v>
      </c>
      <c r="BZ17" s="19">
        <v>0.7</v>
      </c>
      <c r="CA17" s="19">
        <v>3</v>
      </c>
      <c r="CB17" s="19">
        <v>0</v>
      </c>
      <c r="CC17" s="27"/>
      <c r="CD17" s="40">
        <f>IF(SUM(BN17,BR17)&gt;0,SUM(BN17,BR17),"")</f>
        <v>5.9</v>
      </c>
      <c r="CE17" s="40">
        <f>IF(SUM(BM17:BN17,BP17:BR17,BT17)-BO17-BS17&gt;0,SUM(BM17:BN17,BP17:BR17,BT17)-BO17-BS17,"")</f>
        <v>39.099999999999994</v>
      </c>
      <c r="CF17" s="40">
        <f>IF(SUM(BV17,BZ17)&gt;0,SUM(BV17,BZ17),"")</f>
        <v>3.5999999999999996</v>
      </c>
      <c r="CG17" s="40">
        <f>IF(SUM(BU17:BV17,BX17:BZ17,CB17)-SUM(BW17,CA17)&gt;0,SUM(BU17:BV17,BX17:BZ17,CB17)-SUM(BW17,CA17),"")</f>
        <v>35.800000000000004</v>
      </c>
      <c r="CH17" s="40">
        <f>IF(SUM(CE17,CG17)&gt;0,SUM(CE17,CG17),"")</f>
        <v>74.900000000000006</v>
      </c>
      <c r="CI17" s="50" t="str">
        <f>IF(MAX(DF17,EH17,FJ17,GL17,HN17,IP17,JR17,KT17,LV17,MX17,NZ17,PB17)-IF(N17="",0,N17)&gt;0.001,MAX(DF17,EH17,FJ17,GL17,HN17,IP17,JR17,KT17,LV17,MX17,NZ17,PB17)-IF(N17="",0,N17),"")</f>
        <v/>
      </c>
      <c r="CJ17" s="50" t="str">
        <f>IF(MAX(DK17,EM17,FO17,GQ17,HS17,IU17,JW17,KY17,MA17,NC17,OE17,PG17)-IF(P17="",0,P17)&gt;0.001,MAX(DK17,EM17,FO17,GQ17,HS17,IU17,JW17,KY17,MA17,NC17,OE17,PG17)-IF(P17="",0,P17),"")</f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>IF(SUM(CL17,CP17)&gt;0,SUM(CL17,CP17),"")</f>
        <v/>
      </c>
      <c r="DF17" s="40" t="str">
        <f>IF(SUM(CK17:CL17,CN17:CP17,CR17)-CM17-CQ17&gt;0,SUM(CK17:CL17,CN17:CP17,CR17)-CM17-CQ17,"")</f>
        <v/>
      </c>
      <c r="DG17" s="40" t="str">
        <f>IF(SUM(CS17:CT17,CV17)-CU17&gt;0,SUM(CS17:CT17,CV17)-CU17,"")</f>
        <v/>
      </c>
      <c r="DH17" s="40" t="str">
        <f>IF(SUM(CL17,CP17,CT17)&gt;0,SUM(CL17,CP17,CT17),"")</f>
        <v/>
      </c>
      <c r="DI17" s="40" t="str">
        <f>IF(SUM(DF17,DG17)&gt;0,SUM(DF17,DG17),"")</f>
        <v/>
      </c>
      <c r="DJ17" s="40" t="str">
        <f>IF(SUM(CX17,DB17)&gt;0,SUM(CX17,DB17),"")</f>
        <v/>
      </c>
      <c r="DK17" s="40" t="str">
        <f>IF(SUM(CW17:CX17,CZ17:DB17,DD17)-SUM(CY17,DC17)&gt;0,SUM(CW17:CX17,CZ17:DB17,DD17)-SUM(CY17,DC17),"")</f>
        <v/>
      </c>
      <c r="DL17" s="40" t="str">
        <f>IF(SUM(DF17,DG17,DK17)&gt;0,SUM(DF17,DG17,DK17),"")</f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>IF(SUM(DN17,DR17)&gt;0,SUM(DN17,DR17),"")</f>
        <v/>
      </c>
      <c r="EH17" s="11" t="str">
        <f>IF(SUM(DM17:DN17,DP17:DR17,DT17)-DO17-DS17&gt;0,SUM(DM17:DN17,DP17:DR17,DT17)-DO17-DS17,"")</f>
        <v/>
      </c>
      <c r="EI17" s="11" t="str">
        <f>IF(SUM(DU17:DV17,DX17)-DW17&gt;0,SUM(DU17:DV17,DX17)-DW17,"")</f>
        <v/>
      </c>
      <c r="EJ17" s="11" t="str">
        <f>IF(SUM(DN17,DR17,DV17)&gt;0,SUM(DN17,DR17,DV17),"")</f>
        <v/>
      </c>
      <c r="EK17" s="11" t="str">
        <f>IF(SUM(EH17,EI17)&gt;0,SUM(EH17,EI17),"")</f>
        <v/>
      </c>
      <c r="EL17" s="11" t="str">
        <f>IF(SUM(DZ17,ED17)&gt;0,SUM(DZ17,ED17),"")</f>
        <v/>
      </c>
      <c r="EM17" s="11" t="str">
        <f>IF(SUM(DY17:DZ17,EB17:ED17,EF17)-SUM(EA17,EE17)&gt;0,SUM(DY17:DZ17,EB17:ED17,EF17)-SUM(EA17,EE17),"")</f>
        <v/>
      </c>
      <c r="EN17" s="11" t="str">
        <f>IF(SUM(EH17,EI17,EM17)&gt;0,SUM(EH17,EI17,EM17),"")</f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>IF(SUM(EP17,ET17)&gt;0,SUM(EP17,ET17),"")</f>
        <v/>
      </c>
      <c r="FJ17" s="40" t="str">
        <f>IF(SUM(EO17:EP17,ER17:ET17,EV17)-EQ17-EU17&gt;0,SUM(EO17:EP17,ER17:ET17,EV17)-EQ17-EU17,"")</f>
        <v/>
      </c>
      <c r="FK17" s="40" t="str">
        <f>IF(SUM(EW17:EX17,EZ17)-EY17&gt;0,SUM(EW17:EX17,EZ17)-EY17,"")</f>
        <v/>
      </c>
      <c r="FL17" s="40" t="str">
        <f>IF(SUM(EP17,ET17,EX17)&gt;0,SUM(EP17,ET17,EX17),"")</f>
        <v/>
      </c>
      <c r="FM17" s="40" t="str">
        <f>IF(SUM(FJ17,FK17)&gt;0,SUM(FJ17,FK17),"")</f>
        <v/>
      </c>
      <c r="FN17" s="40" t="str">
        <f>IF(SUM(FB17,FF17)&gt;0,SUM(FB17,FF17),"")</f>
        <v/>
      </c>
      <c r="FO17" s="40" t="str">
        <f>IF(SUM(FA17:FB17,FD17:FF17,FH17)-SUM(FC17,FG17)&gt;0,SUM(FA17:FB17,FD17:FF17,FH17)-SUM(FC17,FG17),"")</f>
        <v/>
      </c>
      <c r="FP17" s="40" t="str">
        <f>IF(SUM(FJ17,FK17,FO17)&gt;0,SUM(FJ17,FK17,FO17),"")</f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>IF(SUM(FR17,FV17)&gt;0,SUM(FR17,FV17),"")</f>
        <v/>
      </c>
      <c r="GL17" s="11" t="str">
        <f>IF(SUM(FQ17:FR17,FT17:FV17,FX17)-FS17-FW17&gt;0,SUM(FQ17:FR17,FT17:FV17,FX17)-FS17-FW17,"")</f>
        <v/>
      </c>
      <c r="GM17" s="11" t="str">
        <f>IF(SUM(FY17:FZ17,GB17)-GA17&gt;0,SUM(FY17:FZ17,GB17)-GA17,"")</f>
        <v/>
      </c>
      <c r="GN17" s="11" t="str">
        <f>IF(SUM(FR17,FV17,FZ17)&gt;0,SUM(FR17,FV17,FZ17),"")</f>
        <v/>
      </c>
      <c r="GO17" s="11" t="str">
        <f>IF(SUM(GL17,GM17)&gt;0,SUM(GL17,GM17),"")</f>
        <v/>
      </c>
      <c r="GP17" s="11" t="str">
        <f>IF(SUM(GD17,GH17)&gt;0,SUM(GD17,GH17),"")</f>
        <v/>
      </c>
      <c r="GQ17" s="11" t="str">
        <f>IF(SUM(GC17:GD17,GF17:GH17,GJ17)-SUM(GE17,GI17)&gt;0,SUM(GC17:GD17,GF17:GH17,GJ17)-SUM(GE17,GI17),"")</f>
        <v/>
      </c>
      <c r="GR17" s="11" t="str">
        <f>IF(SUM(GL17,GM17,GQ17)&gt;0,SUM(GL17,GM17,GQ17),"")</f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>IF(SUM(GT17,GX17)&gt;0,SUM(GT17,GX17),"")</f>
        <v/>
      </c>
      <c r="HN17" s="40" t="str">
        <f>IF(SUM(GS17:GT17,GV17:GX17,GZ17)-GU17-GY17&gt;0,SUM(GS17:GT17,GV17:GX17,GZ17)-GU17-GY17,"")</f>
        <v/>
      </c>
      <c r="HO17" s="40" t="str">
        <f>IF(SUM(HA17:HB17,HD17)-HC17&gt;0,SUM(HA17:HB17,HD17)-HC17,"")</f>
        <v/>
      </c>
      <c r="HP17" s="40" t="str">
        <f>IF(SUM(GT17,GX17,HB17)&gt;0,SUM(GT17,GX17,HB17),"")</f>
        <v/>
      </c>
      <c r="HQ17" s="40" t="str">
        <f>IF(SUM(HN17,HO17)&gt;0,SUM(HN17,HO17),"")</f>
        <v/>
      </c>
      <c r="HR17" s="40" t="str">
        <f>IF(SUM(HF17,HJ17)&gt;0,SUM(HF17,HJ17),"")</f>
        <v/>
      </c>
      <c r="HS17" s="40" t="str">
        <f>IF(SUM(HE17:HF17,HH17:HJ17,HL17)-SUM(HG17,HK17)&gt;0,SUM(HE17:HF17,HH17:HJ17,HL17)-SUM(HG17,HK17),"")</f>
        <v/>
      </c>
      <c r="HT17" s="40" t="str">
        <f>IF(SUM(HN17,HO17,HS17)&gt;0,SUM(HN17,HO17,HS17),"")</f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>IF(SUM(HV17,HZ17)&gt;0,SUM(HV17,HZ17),"")</f>
        <v/>
      </c>
      <c r="IP17" s="11" t="str">
        <f>IF(SUM(HU17:HV17,HX17:HZ17,IB17)-HW17-IA17&gt;0,SUM(HU17:HV17,HX17:HZ17,IB17)-HW17-IA17,"")</f>
        <v/>
      </c>
      <c r="IQ17" s="11" t="str">
        <f>IF(SUM(IC17:ID17,IF17)-IE17&gt;0,SUM(IC17:ID17,IF17)-IE17,"")</f>
        <v/>
      </c>
      <c r="IR17" s="11" t="str">
        <f>IF(SUM(HV17,HZ17,ID17)&gt;0,SUM(HV17,HZ17,ID17),"")</f>
        <v/>
      </c>
      <c r="IS17" s="11" t="str">
        <f>IF(SUM(IP17,IQ17)&gt;0,SUM(IP17,IQ17),"")</f>
        <v/>
      </c>
      <c r="IT17" s="11" t="str">
        <f>IF(SUM(IH17,IL17)&gt;0,SUM(IH17,IL17),"")</f>
        <v/>
      </c>
      <c r="IU17" s="11" t="str">
        <f>IF(SUM(IG17:IH17,IJ17:IL17,IN17)-SUM(II17,IM17)&gt;0,SUM(IG17:IH17,IJ17:IL17,IN17)-SUM(II17,IM17),"")</f>
        <v/>
      </c>
      <c r="IV17" s="11" t="str">
        <f>IF(SUM(IP17,IQ17,IU17)&gt;0,SUM(IP17,IQ17,IU17),"")</f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>IF(SUM(IX17,JB17)&gt;0,SUM(IX17,JB17),"")</f>
        <v/>
      </c>
      <c r="JR17" s="40" t="str">
        <f>IF(SUM(IW17:IX17,IZ17:JB17,JD17)-IY17-JC17&gt;0,SUM(IW17:IX17,IZ17:JB17,JD17)-IY17-JC17,"")</f>
        <v/>
      </c>
      <c r="JS17" s="40" t="str">
        <f>IF(SUM(JE17:JF17,JH17)-JG17&gt;0,SUM(JE17:JF17,JH17)-JG17,"")</f>
        <v/>
      </c>
      <c r="JT17" s="40" t="str">
        <f>IF(SUM(IX17,JB17,JF17)&gt;0,SUM(IX17,JB17,JF17),"")</f>
        <v/>
      </c>
      <c r="JU17" s="40" t="str">
        <f>IF(SUM(JR17,JS17)&gt;0,SUM(JR17,JS17),"")</f>
        <v/>
      </c>
      <c r="JV17" s="40" t="str">
        <f>IF(SUM(JJ17,JN17)&gt;0,SUM(JJ17,JN17),"")</f>
        <v/>
      </c>
      <c r="JW17" s="40" t="str">
        <f>IF(SUM(JI17:JJ17,JL17:JN17,JP17)-SUM(JK17,JO17)&gt;0,SUM(JI17:JJ17,JL17:JN17,JP17)-SUM(JK17,JO17),"")</f>
        <v/>
      </c>
      <c r="JX17" s="40" t="str">
        <f>IF(SUM(JR17,JS17,JW17)&gt;0,SUM(JR17,JS17,JW17),"")</f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>IF(SUM(JZ17,KD17)&gt;0,SUM(JZ17,KD17),"")</f>
        <v/>
      </c>
      <c r="KT17" s="11" t="str">
        <f>IF(SUM(JY17:JZ17,KB17:KD17,KF17)-KA17-KE17&gt;0,SUM(JY17:JZ17,KB17:KD17,KF17)-KA17-KE17,"")</f>
        <v/>
      </c>
      <c r="KU17" s="11" t="str">
        <f>IF(SUM(KG17:KH17,KJ17)-KI17&gt;0,SUM(KG17:KH17,KJ17)-KI17,"")</f>
        <v/>
      </c>
      <c r="KV17" s="11" t="str">
        <f>IF(SUM(JZ17,KD17,KH17)&gt;0,SUM(JZ17,KD17,KH17),"")</f>
        <v/>
      </c>
      <c r="KW17" s="11" t="str">
        <f>IF(SUM(KT17,KU17)&gt;0,SUM(KT17,KU17),"")</f>
        <v/>
      </c>
      <c r="KX17" s="11" t="str">
        <f>IF(SUM(KL17,KP17)&gt;0,SUM(KL17,KP17),"")</f>
        <v/>
      </c>
      <c r="KY17" s="11" t="str">
        <f>IF(SUM(KK17:KL17,KN17:KP17,KR17)-SUM(KM17,KQ17)&gt;0,SUM(KK17:KL17,KN17:KP17,KR17)-SUM(KM17,KQ17),"")</f>
        <v/>
      </c>
      <c r="KZ17" s="11" t="str">
        <f>IF(SUM(KT17,KU17,KY17)&gt;0,SUM(KT17,KU17,KY17),"")</f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>IF(SUM(LB17,LF17)&gt;0,SUM(LB17,LF17),"")</f>
        <v/>
      </c>
      <c r="LV17" s="40" t="str">
        <f>IF(SUM(LA17:LB17,LD17:LF17,LH17)-LC17-LG17&gt;0,SUM(LA17:LB17,LD17:LF17,LH17)-LC17-LG17,"")</f>
        <v/>
      </c>
      <c r="LW17" s="40" t="str">
        <f>IF(SUM(LI17:LJ17,LL17)-LK17&gt;0,SUM(LI17:LJ17,LL17)-LK17,"")</f>
        <v/>
      </c>
      <c r="LX17" s="40" t="str">
        <f>IF(SUM(LB17,LF17,LJ17)&gt;0,SUM(LB17,LF17,LJ17),"")</f>
        <v/>
      </c>
      <c r="LY17" s="40" t="str">
        <f>IF(SUM(LV17,LW17)&gt;0,SUM(LV17,LW17),"")</f>
        <v/>
      </c>
      <c r="LZ17" s="40" t="str">
        <f>IF(SUM(LN17,LR17)&gt;0,SUM(LN17,LR17),"")</f>
        <v/>
      </c>
      <c r="MA17" s="40" t="str">
        <f>IF(SUM(LM17:LN17,LP17:LR17,LT17)-SUM(LO17,LS17)&gt;0,SUM(LM17:LN17,LP17:LR17,LT17)-SUM(LO17,LS17),"")</f>
        <v/>
      </c>
      <c r="MB17" s="40" t="str">
        <f>IF(SUM(LV17,LW17,MA17)&gt;0,SUM(LV17,LW17,MA17),"")</f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>IF(SUM(MD17,MH17)&gt;0,SUM(MD17,MH17),"")</f>
        <v/>
      </c>
      <c r="MX17" s="11" t="str">
        <f>IF(SUM(MC17:MD17,MF17:MH17,MJ17)-ME17-MI17&gt;0,SUM(MC17:MD17,MF17:MH17,MJ17)-ME17-MI17,"")</f>
        <v/>
      </c>
      <c r="MY17" s="11" t="str">
        <f>IF(SUM(MK17:ML17,MN17)-MM17&gt;0,SUM(MK17:ML17,MN17)-MM17,"")</f>
        <v/>
      </c>
      <c r="MZ17" s="11" t="str">
        <f>IF(SUM(MD17,MH17,ML17)&gt;0,SUM(MD17,MH17,ML17),"")</f>
        <v/>
      </c>
      <c r="NA17" s="11" t="str">
        <f>IF(SUM(MX17,MY17)&gt;0,SUM(MX17,MY17),"")</f>
        <v/>
      </c>
      <c r="NB17" s="11" t="str">
        <f>IF(SUM(MP17,MT17)&gt;0,SUM(MP17,MT17),"")</f>
        <v/>
      </c>
      <c r="NC17" s="11" t="str">
        <f>IF(SUM(MO17:MP17,MR17:MT17,MV17)-SUM(MQ17,MU17)&gt;0,SUM(MO17:MP17,MR17:MT17,MV17)-SUM(MQ17,MU17),"")</f>
        <v/>
      </c>
      <c r="ND17" s="11" t="str">
        <f>IF(SUM(MX17,MY17,NC17)&gt;0,SUM(MX17,MY17,NC17),"")</f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>IF(SUM(NF17,NJ17)&gt;0,SUM(NF17,NJ17),"")</f>
        <v/>
      </c>
      <c r="NZ17" s="40" t="str">
        <f>IF(SUM(NE17:NF17,NH17:NJ17,NL17)-NG17-NK17&gt;0,SUM(NE17:NF17,NH17:NJ17,NL17)-NG17-NK17,"")</f>
        <v/>
      </c>
      <c r="OA17" s="40" t="str">
        <f>IF(SUM(NM17:NN17,NP17)-NO17&gt;0,SUM(NM17:NN17,NP17)-NO17,"")</f>
        <v/>
      </c>
      <c r="OB17" s="40" t="str">
        <f>IF(SUM(NF17,NJ17,NN17)&gt;0,SUM(NF17,NJ17,NN17),"")</f>
        <v/>
      </c>
      <c r="OC17" s="40" t="str">
        <f>IF(SUM(NZ17,OA17)&gt;0,SUM(NZ17,OA17),"")</f>
        <v/>
      </c>
      <c r="OD17" s="40" t="str">
        <f>IF(SUM(NR17,NV17)&gt;0,SUM(NR17,NV17),"")</f>
        <v/>
      </c>
      <c r="OE17" s="40" t="str">
        <f>IF(SUM(NQ17:NR17,NT17:NV17,NX17)-SUM(NS17,NW17)&gt;0,SUM(NQ17:NR17,NT17:NV17,NX17)-SUM(NS17,NW17),"")</f>
        <v/>
      </c>
      <c r="OF17" s="40" t="str">
        <f>IF(SUM(NZ17,OA17,OE17)&gt;0,SUM(NZ17,OA17,OE17),"")</f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>IF(SUM(OH17,OL17)&gt;0,SUM(OH17,OL17),"")</f>
        <v/>
      </c>
      <c r="PB17" s="11" t="str">
        <f>IF(SUM(OG17:OH17,OJ17:OL17,ON17)-OI17-OM17&gt;0,SUM(OG17:OH17,OJ17:OL17,ON17)-OI17-OM17,"")</f>
        <v/>
      </c>
      <c r="PC17" s="11" t="str">
        <f>IF(SUM(OO17:OP17,OR17)-OQ17&gt;0,SUM(OO17:OP17,OR17)-OQ17,"")</f>
        <v/>
      </c>
      <c r="PD17" s="11" t="str">
        <f>IF(SUM(OH17,OL17,OP17)&gt;0,SUM(OH17,OL17,OP17),"")</f>
        <v/>
      </c>
      <c r="PE17" s="11" t="str">
        <f>IF(SUM(PB17,PC17)&gt;0,SUM(PB17,PC17),"")</f>
        <v/>
      </c>
      <c r="PF17" s="11" t="str">
        <f>IF(SUM(OT17,OX17)&gt;0,SUM(OT17,OX17),"")</f>
        <v/>
      </c>
      <c r="PG17" s="11" t="str">
        <f>IF(SUM(OS17:OT17,OV17:OX17,OZ17)-SUM(OU17,OY17)&gt;0,SUM(OS17:OT17,OV17:OX17,OZ17)-SUM(OU17,OY17),"")</f>
        <v/>
      </c>
      <c r="PH17" s="11" t="str">
        <f>IF(SUM(PB17,PC17,PG17)&gt;0,SUM(PB17,PC17,PG17),"")</f>
        <v/>
      </c>
      <c r="PI17" s="22">
        <f>IF($PY17="P",BM17,(BM17+AQ17)/2)</f>
        <v>15</v>
      </c>
      <c r="PJ17" s="22">
        <f>IF($PY17="P",BN17,(BN17+AR17)/2)</f>
        <v>2.4</v>
      </c>
      <c r="PK17" s="22">
        <f>IF($PY17="P",BO17,(BO17+AS17)/2)</f>
        <v>0.2</v>
      </c>
      <c r="PL17" s="22">
        <f>IF($PY17="P",BP17,(BP17+AT17)/2)</f>
        <v>0</v>
      </c>
      <c r="PM17" s="22">
        <f>IF($PY17="P",BQ17,(BQ17+AU17)/2)</f>
        <v>18.399999999999999</v>
      </c>
      <c r="PN17" s="22">
        <f>IF($PY17="P",BR17,(BR17+AV17)/2)</f>
        <v>3.5</v>
      </c>
      <c r="PO17" s="22">
        <f>IF($PY17="P",BS17,(BS17+AW17)/2)</f>
        <v>0</v>
      </c>
      <c r="PP17" s="22">
        <f>IF($PY17="P",BT17,(BT17+AX17)/2)</f>
        <v>0</v>
      </c>
      <c r="PQ17" s="22">
        <f>IF($PY17="P",BU17,(BU17+AY17)/2)</f>
        <v>17.8</v>
      </c>
      <c r="PR17" s="22">
        <f>IF($PY17="P",BV17,(BV17+AZ17)/2)</f>
        <v>2.9</v>
      </c>
      <c r="PS17" s="22">
        <f>IF($PY17="P",BW17,(BW17+BA17)/2)</f>
        <v>0.8</v>
      </c>
      <c r="PT17" s="22">
        <f>IF($PY17="P",BX17,(BX17+BB17)/2)</f>
        <v>0</v>
      </c>
      <c r="PU17" s="22">
        <f>IF($PY17="P",BY17,(BY17+BC17)/2)</f>
        <v>18.2</v>
      </c>
      <c r="PV17" s="22">
        <f>IF($PY17="P",BZ17,(BZ17+BD17)/2)</f>
        <v>0.7</v>
      </c>
      <c r="PW17" s="22">
        <f>IF($PY17="P",CA17,(CA17+BE17)/2)</f>
        <v>3</v>
      </c>
      <c r="PX17" s="22">
        <f>IF($PY17="P",CB17,(CB17+BF17)/2)</f>
        <v>0</v>
      </c>
      <c r="PY17" s="27" t="s">
        <v>46</v>
      </c>
      <c r="PZ17" s="40">
        <f>IF(SUM(PJ17,PN17)&gt;0,SUM(PJ17,PN17),"")</f>
        <v>5.9</v>
      </c>
      <c r="QA17" s="40">
        <f>IF(SUM(PI17:PJ17,PL17:PN17,PP17)-PK17-PO17&gt;0,SUM(PI17:PJ17,PL17:PN17,PP17)-PK17-PO17,"")</f>
        <v>39.099999999999994</v>
      </c>
      <c r="QB17" s="40">
        <f>IF(SUM(PR17,PV17)&gt;0,SUM(PR17,PV17),"")</f>
        <v>3.5999999999999996</v>
      </c>
      <c r="QC17" s="40">
        <f>IF(SUM(PQ17:PR17,PT17:PV17,PX17)-SUM(PS17,PW17)&gt;0,SUM(PQ17:PR17,PT17:PV17,PX17)-SUM(PS17,PW17),"")</f>
        <v>35.800000000000004</v>
      </c>
      <c r="QD17" s="40">
        <f>IF(SUM(QA17,QC17)&gt;0,SUM(QA17,QC17),"")</f>
        <v>74.900000000000006</v>
      </c>
    </row>
    <row r="18" spans="1:446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179</v>
      </c>
      <c r="D18" s="4" t="s">
        <v>4</v>
      </c>
      <c r="E18" s="4">
        <v>2005</v>
      </c>
      <c r="F18" s="9">
        <f>SUM(L18:R18)+SUM(L18:O18)*0.0000001+SUM(L18)*0.0000000000001</f>
        <v>127.50000831000443</v>
      </c>
      <c r="G18" s="64"/>
      <c r="H18" s="3" t="str">
        <f>IF(OR(AND(AL18&gt;=AP$36,AM18&gt;=AP$40,AL18&lt;&gt;"",AK18=""),AND(AN18&gt;=AP$36,AO18&gt;=AP$40,AN18&lt;&gt;"",AK18=""),AND(BH18&gt;=BL$36,BI18&gt;=BL$40,BH18&lt;&gt;"",BG18=""),AND(BJ18&gt;=BL$36,BK18&gt;=BL$40,BJ18&lt;&gt;"",BG18=""),AND(CD18&gt;=CH$36,CE18&gt;=CH$40,CD18&lt;&gt;"",CC18=""),AND(CF18&gt;=CH$36,CG18&gt;=CH$40,CF18&lt;&gt;""),AND(DE18&gt;=DL$36,DF18&gt;=DL$40,DE18&lt;&gt;""),AND(DJ18&gt;=DL$36,DK18&gt;=DL$40,DJ18&lt;&gt;""),AND(EG18&gt;=EN$36,EH18&gt;=EN$40,EG18&lt;&gt;""),AND(EL18&gt;=EN$36,EM18&gt;=EN$40,EL18&lt;&gt;""),AND(FI18&gt;=FP$36,FJ18&gt;=FP$40,FI18&lt;&gt;""),AND(FN18&gt;=FP$36,FO18&gt;=FP$40,FN18&lt;&gt;""),AND(GK18&gt;=GR$36,GL18&gt;=GR$40,GK18&lt;&gt;""),AND(GP18&gt;=GR$36,GQ18&gt;=GR$40,GP18&lt;&gt;""),AND(HM18&gt;=HT$36,HN18&gt;=HT$40,HM18&lt;&gt;""),AND(HR18&gt;=HT$36,HS18&gt;=HT$40,HR18&lt;&gt;""),AND(IO18&gt;=IV$36,IP18&gt;=IV$40,IO18&lt;&gt;""),AND(IT18&gt;=IV$36,IU18&gt;=IV$40,IT18&lt;&gt;""),AND(JQ18&gt;=JX$36,JR18&gt;=JX$40,JQ18&lt;&gt;""),AND(JV18&gt;=JX$36,JW18&gt;=JX$40,JV18&lt;&gt;""),AND(KS18&gt;=KZ$36,KT18&gt;=KZ$40,KS18&lt;&gt;""),AND(KX18&gt;=KZ$36,KY18&gt;=KZ$40,KX18&lt;&gt;""),AND(LU18&gt;=MB$36,LV18&gt;=MB$40,LU18&lt;&gt;""),AND(LZ18&gt;=MB$36,MA18&gt;=MB$40,LZ18&lt;&gt;""),AND(MW18&gt;=ND$36,MX18&gt;=ND$40,MW18&lt;&gt;""),AND(NB18&gt;=ND$36,NC18&gt;=ND$40,NB18&lt;&gt;""),AND(NY18&gt;=OF$36,NZ18&gt;=OF$40,NY18&lt;&gt;""),AND(OD18&gt;=OF$36,OE18&gt;=OF$40,OD18&lt;&gt;""),AND(PA18&gt;=PH$36,PB18&gt;=PH$40,PA18&lt;&gt;""),AND(PF18&gt;=PH$36,PG18&gt;=PH$40,PF18&lt;&gt;"")),"P","")</f>
        <v/>
      </c>
      <c r="I18" s="3" t="str">
        <f>IF(OR(AND(AM18&gt;=AP$40,AM18&lt;&gt;"",AK18=""),AND(AO18&gt;=AP$40,AO18&lt;&gt;"",AK18=""),AND(BI18&gt;=BL$40,BI18&lt;&gt;"",BG18=""),AND(BK18&gt;=BL$40,BK18&lt;&gt;"",BG18=""),AND(CE18&gt;=CH$40,CE18&lt;&gt;"",CC18=""),AND(CG18&gt;=CH$40,CG18&lt;&gt;"",CC18=""),AND(DF18&gt;=DL$40,DF18&lt;&gt;""),AND(DK18&gt;=DL$40,DK18&lt;&gt;""),AND(EH18&gt;=EN$40,EH18&lt;&gt;""),AND(EM18&gt;=EN$40,EM18&lt;&gt;""),AND(FJ18&gt;=FP$40,FJ18&lt;&gt;""),AND(FO18&gt;=FP$40,FO18&lt;&gt;""),AND(GL18&gt;=GR$40,GL18&lt;&gt;""),AND(GQ18&gt;=GR$40,GQ18&lt;&gt;""),AND(HN18&gt;=HT$40,HN18&lt;&gt;""),AND(HS18&gt;=HT$40,HS18&lt;&gt;""),AND(IP18&gt;=IV$40,IP18&lt;&gt;""),AND(IU18&gt;=IV$40,IU18&lt;&gt;""),AND(JR18&gt;=JX$40,JR18&lt;&gt;""),AND(JW18&gt;=JX$40,JW18&lt;&gt;""),AND(KT18&gt;=KZ$40,KT18&lt;&gt;""),AND(KY18&gt;=KZ$40,KY18&lt;&gt;""),AND(LV18&gt;=MB$40,LV18&lt;&gt;""),AND(MA18&gt;=MB$40,MA18&lt;&gt;""),AND(MX18&gt;=ND$40,MX18&lt;&gt;""),AND(NC18&gt;=ND$40,NC18&lt;&gt;""),AND(NZ18&gt;=OF$40,NZ18&lt;&gt;""),AND(OE18&gt;=OF$40,OE18&lt;&gt;""),AND(PB18&gt;=PH$40,PB18&lt;&gt;""),AND(PG18&gt;=PH$40,PG18&lt;&gt;"")),"P","")</f>
        <v/>
      </c>
      <c r="J18" s="36" t="str">
        <f>IF(AND(I18="P",H18=""),"No DD",IF(OR(AND(AL18&gt;=AP$26,AM18&gt;=AP$30,AL18&lt;&gt;"",AK18=""),AND(BH18&gt;=BL$26,BI18&gt;=BL$30,BH18&lt;&gt;"",BG18=""),AND(CD18&gt;=CH$26,CE18&gt;=CH$30,CD18&lt;&gt;"",CC18=""),AND(DH18&gt;=DL$26,DI18&gt;=DL$30,DH18&lt;&gt;""),AND(EJ18&gt;=EN$26,EK18&gt;=EN$30,EJ18&lt;&gt;""),AND(FL18&gt;=FP$26,FM18&gt;=FP$30,FL18&lt;&gt;""),AND(GN18&gt;=GR$26,GO18&gt;=GR$30,GN18&lt;&gt;""),AND(HP18&gt;=HT$26,HQ18&gt;=HT$30,HP18&lt;&gt;""),AND(IR18&gt;=IV$26,IS18&gt;=IV$30,IR18&lt;&gt;""),AND(JT18&gt;=JX$26,JU18&gt;=JX$30,JT18&lt;&gt;""),AND(KV18&gt;=KZ$26,KW18&gt;=KZ$30,KV18&lt;&gt;""),AND(LX18&gt;=MB$26,LY18&gt;=MB$30,LX18&lt;&gt;""),AND(MZ18&gt;=ND$26,NA18&gt;=ND$30,MZ18&lt;&gt;""),AND(OB18&gt;=OF$26,OC18&gt;=OF$30,OB18&lt;&gt;""),AND(PD18&gt;=PH$26,PE18&gt;=PH$30,PD18&lt;&gt;"")),"Merit",IF(OR(AND(AL18&gt;=AP$25,AM18&gt;=AP$29,AL18&lt;&gt;"",AK18=""),AND(BH18&gt;=BL$25,BI18&gt;=BL$29,BH18&lt;&gt;"",BG18=""),AND(CD18&gt;=CH$25,CE18&gt;=CH$29,CD18&lt;&gt;"",CC18=""),AND(DH18&gt;=DL$25,DI18&gt;=DL$29,DH18&lt;&gt;""),AND(EJ18&gt;=EN$25,EK18&gt;=EN$29,EJ18&lt;&gt;""),AND(FL18&gt;=FP$25,FM18&gt;=FP$29,FL18&lt;&gt;""),AND(GN18&gt;=GR$25,GO18&gt;=GR$29,GN18&lt;&gt;""),AND(HP18&gt;=HT$25,HQ18&gt;=HT$29,HP18&lt;&gt;""),AND(IR18&gt;=IV$25,IS18&gt;=IV$29,IR18&lt;&gt;""),AND(JT18&gt;=JX$25,JU18&gt;=JX$29,JT18&lt;&gt;""),AND(KV18&gt;=KZ$25,KW18&gt;=KZ$29,KV18&lt;&gt;""),AND(LX18&gt;=MB$25,LY18&gt;=MB$29,LX18&lt;&gt;""),AND(MZ18&gt;=ND$25,NA18&gt;=ND$29,MZ18&lt;&gt;""),AND(OB18&gt;=OF$25,OC18&gt;=OF$29,OB18&lt;&gt;""),AND(PD18&gt;=PH$25,PE18&gt;=PH$29,PD18&lt;&gt;"")),"Excellence",IF(K18="P","Worlds Team",IF(H18="P","National Team","")))))</f>
        <v/>
      </c>
      <c r="K18" s="3" t="str">
        <f>IF(OR(AND(AL18&gt;=AP$24,AM18&gt;=AP$28,AL18&lt;&gt;"",AK18=""),AND(BH18&gt;=BL$24,BI18&gt;=BL$28,BH18&lt;&gt;"",BG18=""),AND(CD18&gt;=CH$24,CE18&gt;=CH$28,CD18&lt;&gt;"",CC18=""),AND(DH18&gt;=DL$24,DI18&gt;=DL$28,DH18&lt;&gt;""),AND(EJ18&gt;=EN$24,EK18&gt;=EN$28,EJ18&lt;&gt;""),AND(FL18&gt;=FP$24,FM18&gt;=FP$28,FL18&lt;&gt;""),AND(GN18&gt;=GR$24,GO18&gt;=GR$28,GN18&lt;&gt;""),AND(HP18&gt;=HT$24,HQ18&gt;=HT$28,HP18&lt;&gt;""),AND(IR18&gt;=IV$24,IS18&gt;=IV$28,IR18&lt;&gt;""),AND(JT18&gt;=JX$24,JU18&gt;=JX$28,JT18&lt;&gt;""),AND(KV18&gt;=KZ$24,KW18&gt;=KZ$28,KV18&lt;&gt;""),AND(LX18&gt;=MB$24,LY18&gt;=MB$28,LX18&lt;&gt;""),AND(MZ18&gt;=ND$24,NA18&gt;=ND$28,MZ18&lt;&gt;""),AND(OB18&gt;=OF$24,OC18&gt;=OF$28,OB18&lt;&gt;""),AND(PD18&gt;=PH$24,PE18&gt;=PH$28,PD18&lt;&gt;"")),"P","")</f>
        <v/>
      </c>
      <c r="L18" s="8">
        <f>IF(COUNT(AM18,BI18,CE18)&gt;0,LARGE((AM18,BI18,CE18),1),0)</f>
        <v>44.2</v>
      </c>
      <c r="M18" s="8" t="str">
        <f>IF(L18=0,"",IF(L18=CE18,$BM$1,IF(L18=BI18,$AQ$1,IF(L18=AM18,$U$1,""))))</f>
        <v>2025 Elite Canada</v>
      </c>
      <c r="N18" s="8">
        <f>IF(COUNT(AM18,BI18,CE18)&gt;1,LARGE((AM18,BI18,CE18),2),0)</f>
        <v>38.900000000000006</v>
      </c>
      <c r="O18" s="8" t="str">
        <f>IF(N18=0,"",IF(AND(N18=L18,N18=AM18,N18=BI18),$U$1,IF(AND(N18=L18,N18=AM18,N18=CE18),$U$1,IF(AND(N18=L18,N18=BI18,N18=CE18),$AQ$1,IF(N18=CE18,$BM$1,IF(N18=BI18,$AQ$1,IF(N18=AM18,$U$1,"")))))))</f>
        <v>2025 Nationals</v>
      </c>
      <c r="P18" s="8">
        <f>IF(MAX(AO18,BK18,CG18)&gt;0,MAX(AO18,BK18,CG18),0)</f>
        <v>44.400000000000006</v>
      </c>
      <c r="Q18" s="8" t="str">
        <f>IF(P18=0,"",IF(P18=CG18,$BM$1,IF(P18=BK18,$AQ$1,IF(P18=AO18,$U$1,""))))</f>
        <v>2025 Elite Canada</v>
      </c>
      <c r="R18" s="8" t="str">
        <f>IF(MAX(CI18:CJ18)&gt;0,MAX(CI18:CJ18),"")</f>
        <v/>
      </c>
      <c r="S18" s="11" t="str">
        <f>IF(R18="","",IF(R18=CI18,"("&amp;CI$2&amp;")",IF(R18=CJ18,"("&amp;CJ$2&amp;")")))</f>
        <v/>
      </c>
      <c r="T18" s="8" t="str">
        <f>IF(R18="","",IF(R18=CI18,IF(R18+IF(N18="",0,N18)=PB18,$OG$1,IF(R18+IF(N18="",0,N18)=NZ18,$NE$1,IF(R18+IF(N18="",0,N18)=MX18,$MC$1,IF(R18+IF(N18="",0,N18)=LV18,$LA$1,IF(R18+IF(N18="",0,N18)=KT18,$JY$1,IF(R18+IF(N18="",0,N18)=JR18,$IW$1,IF(R18+IF(N18="",0,N18)=IP18,$HU$1,IF(R18+IF(N18="",0,N18)=HN18,$GS$1,IF(R18+IF(N18="",0,N18)=GL18,$FQ$1,IF(R18+IF(N18="",0,N18)=FJ18,$EO$1,IF(R18+IF(N18="",0,N18)=EH18,$DM$1,IF(R18+IF(N18="",0,N18)=DF18,$CK$1)))))))))))),IF(R18=CJ18,IF(R18+IF(P18="",0,P18)=PG18,$OG$1,IF(R18+IF(P18="",0,P18)=OE18,$NE$1,IF(R18+IF(P18="",0,P18)=NC18,$MC$1,IF(R18+IF(P18="",0,P18)=MA18,$LA$1,IF(R18+IF(P18="",0,P18)=KY18,$JY$1,IF(R18+IF(P18="",0,P18)=JW18,$IW$1,IF(R18+IF(P18="",0,P18)=IU18,$HU$1,IF(R18+IF(P18="",0,P18)=HS18,$GS$1,IF(R18+IF(P18="",0,P18)=GQ18,$FQ$1,IF(R18+IF(P18="",0,P18)=FO18,$EO$1,IF(R18+IF(P18="",0,P18)=EM18,$DM$1,IF(R18+IF(P18="",0,P18)=DK18,$CK$1)))))))))))))))</f>
        <v/>
      </c>
      <c r="U18" s="19">
        <v>18.3</v>
      </c>
      <c r="V18" s="19">
        <v>3.5</v>
      </c>
      <c r="W18" s="19">
        <v>0</v>
      </c>
      <c r="X18" s="19">
        <v>0</v>
      </c>
      <c r="Y18" s="19">
        <v>18.899999999999999</v>
      </c>
      <c r="Z18" s="19">
        <v>3.5</v>
      </c>
      <c r="AA18" s="19">
        <v>0</v>
      </c>
      <c r="AB18" s="19">
        <v>0</v>
      </c>
      <c r="AC18" s="19">
        <v>18.3</v>
      </c>
      <c r="AD18" s="19">
        <v>3.5</v>
      </c>
      <c r="AE18" s="19">
        <v>0</v>
      </c>
      <c r="AF18" s="19">
        <v>0</v>
      </c>
      <c r="AG18" s="19">
        <v>19.100000000000001</v>
      </c>
      <c r="AH18" s="19">
        <v>3.5</v>
      </c>
      <c r="AI18" s="19">
        <v>0</v>
      </c>
      <c r="AJ18" s="19">
        <v>0</v>
      </c>
      <c r="AK18" s="27"/>
      <c r="AL18" s="40">
        <f>IF(SUM(V18,Z18)&gt;0,SUM(V18,Z18),"")</f>
        <v>7</v>
      </c>
      <c r="AM18" s="40">
        <f>IF(SUM(U18:V18,X18:Z18,AB18)-W18-AA18&gt;0,SUM(U18:V18,X18:Z18,AB18)-W18-AA18,"")</f>
        <v>44.2</v>
      </c>
      <c r="AN18" s="40">
        <f>IF(SUM(AD18,AH18)&gt;0,SUM(AD18,AH18),"")</f>
        <v>7</v>
      </c>
      <c r="AO18" s="40">
        <f>IF(SUM(AC18:AD18,AF18:AH18,AJ18)-SUM(AE18,AI18)&gt;0,SUM(AC18:AD18,AF18:AH18,AJ18)-SUM(AE18,AI18),"")</f>
        <v>44.400000000000006</v>
      </c>
      <c r="AP18" s="40">
        <f>IF(SUM(AM18,AO18)&gt;0,SUM(AM18,AO18),"")</f>
        <v>88.600000000000009</v>
      </c>
      <c r="AQ18" s="18">
        <v>15.4</v>
      </c>
      <c r="AR18" s="18">
        <v>0.7</v>
      </c>
      <c r="AS18" s="18">
        <v>0</v>
      </c>
      <c r="AT18" s="18">
        <v>0</v>
      </c>
      <c r="AU18" s="18">
        <v>19.3</v>
      </c>
      <c r="AV18" s="18">
        <v>3.5</v>
      </c>
      <c r="AW18" s="18">
        <v>0</v>
      </c>
      <c r="AX18" s="18">
        <v>0</v>
      </c>
      <c r="AY18" s="18"/>
      <c r="AZ18" s="18"/>
      <c r="BA18" s="18"/>
      <c r="BB18" s="18"/>
      <c r="BC18" s="18"/>
      <c r="BD18" s="18"/>
      <c r="BE18" s="18"/>
      <c r="BF18" s="18"/>
      <c r="BG18" s="28"/>
      <c r="BH18" s="11">
        <f>IF(SUM(AR18,AV18)&gt;0,SUM(AR18,AV18),"")</f>
        <v>4.2</v>
      </c>
      <c r="BI18" s="11">
        <f>IF(SUM(AQ18:AR18,AT18:AV18,AX18)-AS18-AW18&gt;0,SUM(AQ18:AR18,AT18:AV18,AX18)-AS18-AW18,"")</f>
        <v>38.900000000000006</v>
      </c>
      <c r="BJ18" s="11" t="str">
        <f>IF(SUM(AZ18,BD18)&gt;0,SUM(AZ18,BD18),"")</f>
        <v/>
      </c>
      <c r="BK18" s="11" t="str">
        <f>IF(SUM(AY18:AZ18,BB18:BD18,BF18)-SUM(BA18,BE18)&gt;0,SUM(AY18:AZ18,BB18:BD18,BF18)-SUM(BA18,BE18),"")</f>
        <v/>
      </c>
      <c r="BL18" s="11">
        <f>IF(SUM(BI18,BK18)&gt;0,SUM(BI18,BK18),"")</f>
        <v>38.900000000000006</v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>IF(SUM(BN18,BR18)&gt;0,SUM(BN18,BR18),"")</f>
        <v/>
      </c>
      <c r="CE18" s="40" t="str">
        <f>IF(SUM(BM18:BN18,BP18:BR18,BT18)-BO18-BS18&gt;0,SUM(BM18:BN18,BP18:BR18,BT18)-BO18-BS18,"")</f>
        <v/>
      </c>
      <c r="CF18" s="40" t="str">
        <f>IF(SUM(BV18,BZ18)&gt;0,SUM(BV18,BZ18),"")</f>
        <v/>
      </c>
      <c r="CG18" s="40" t="str">
        <f>IF(SUM(BU18:BV18,BX18:BZ18,CB18)-SUM(BW18,CA18)&gt;0,SUM(BU18:BV18,BX18:BZ18,CB18)-SUM(BW18,CA18),"")</f>
        <v/>
      </c>
      <c r="CH18" s="40" t="str">
        <f>IF(SUM(CE18,CG18)&gt;0,SUM(CE18,CG18),"")</f>
        <v/>
      </c>
      <c r="CI18" s="50" t="str">
        <f>IF(MAX(DF18,EH18,FJ18,GL18,HN18,IP18,JR18,KT18,LV18,MX18,NZ18,PB18)-IF(N18="",0,N18)&gt;0.001,MAX(DF18,EH18,FJ18,GL18,HN18,IP18,JR18,KT18,LV18,MX18,NZ18,PB18)-IF(N18="",0,N18),"")</f>
        <v/>
      </c>
      <c r="CJ18" s="50" t="str">
        <f>IF(MAX(DK18,EM18,FO18,GQ18,HS18,IU18,JW18,KY18,MA18,NC18,OE18,PG18)-IF(P18="",0,P18)&gt;0.001,MAX(DK18,EM18,FO18,GQ18,HS18,IU18,JW18,KY18,MA18,NC18,OE18,PG18)-IF(P18="",0,P18),"")</f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>IF(SUM(CL18,CP18)&gt;0,SUM(CL18,CP18),"")</f>
        <v/>
      </c>
      <c r="DF18" s="40" t="str">
        <f>IF(SUM(CK18:CL18,CN18:CP18,CR18)-CM18-CQ18&gt;0,SUM(CK18:CL18,CN18:CP18,CR18)-CM18-CQ18,"")</f>
        <v/>
      </c>
      <c r="DG18" s="40" t="str">
        <f>IF(SUM(CS18:CT18,CV18)-CU18&gt;0,SUM(CS18:CT18,CV18)-CU18,"")</f>
        <v/>
      </c>
      <c r="DH18" s="40" t="str">
        <f>IF(SUM(CL18,CP18,CT18)&gt;0,SUM(CL18,CP18,CT18),"")</f>
        <v/>
      </c>
      <c r="DI18" s="40" t="str">
        <f>IF(SUM(DF18,DG18)&gt;0,SUM(DF18,DG18),"")</f>
        <v/>
      </c>
      <c r="DJ18" s="40" t="str">
        <f>IF(SUM(CX18,DB18)&gt;0,SUM(CX18,DB18),"")</f>
        <v/>
      </c>
      <c r="DK18" s="40" t="str">
        <f>IF(SUM(CW18:CX18,CZ18:DB18,DD18)-SUM(CY18,DC18)&gt;0,SUM(CW18:CX18,CZ18:DB18,DD18)-SUM(CY18,DC18),"")</f>
        <v/>
      </c>
      <c r="DL18" s="40" t="str">
        <f>IF(SUM(DF18,DG18,DK18)&gt;0,SUM(DF18,DG18,DK18),"")</f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>IF(SUM(DN18,DR18)&gt;0,SUM(DN18,DR18),"")</f>
        <v/>
      </c>
      <c r="EH18" s="11" t="str">
        <f>IF(SUM(DM18:DN18,DP18:DR18,DT18)-DO18-DS18&gt;0,SUM(DM18:DN18,DP18:DR18,DT18)-DO18-DS18,"")</f>
        <v/>
      </c>
      <c r="EI18" s="11" t="str">
        <f>IF(SUM(DU18:DV18,DX18)-DW18&gt;0,SUM(DU18:DV18,DX18)-DW18,"")</f>
        <v/>
      </c>
      <c r="EJ18" s="11" t="str">
        <f>IF(SUM(DN18,DR18,DV18)&gt;0,SUM(DN18,DR18,DV18),"")</f>
        <v/>
      </c>
      <c r="EK18" s="11" t="str">
        <f>IF(SUM(EH18,EI18)&gt;0,SUM(EH18,EI18),"")</f>
        <v/>
      </c>
      <c r="EL18" s="11" t="str">
        <f>IF(SUM(DZ18,ED18)&gt;0,SUM(DZ18,ED18),"")</f>
        <v/>
      </c>
      <c r="EM18" s="11" t="str">
        <f>IF(SUM(DY18:DZ18,EB18:ED18,EF18)-SUM(EA18,EE18)&gt;0,SUM(DY18:DZ18,EB18:ED18,EF18)-SUM(EA18,EE18),"")</f>
        <v/>
      </c>
      <c r="EN18" s="11" t="str">
        <f>IF(SUM(EH18,EI18,EM18)&gt;0,SUM(EH18,EI18,EM18),"")</f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>IF(SUM(EP18,ET18)&gt;0,SUM(EP18,ET18),"")</f>
        <v/>
      </c>
      <c r="FJ18" s="40" t="str">
        <f>IF(SUM(EO18:EP18,ER18:ET18,EV18)-EQ18-EU18&gt;0,SUM(EO18:EP18,ER18:ET18,EV18)-EQ18-EU18,"")</f>
        <v/>
      </c>
      <c r="FK18" s="40" t="str">
        <f>IF(SUM(EW18:EX18,EZ18)-EY18&gt;0,SUM(EW18:EX18,EZ18)-EY18,"")</f>
        <v/>
      </c>
      <c r="FL18" s="40" t="str">
        <f>IF(SUM(EP18,ET18,EX18)&gt;0,SUM(EP18,ET18,EX18),"")</f>
        <v/>
      </c>
      <c r="FM18" s="40" t="str">
        <f>IF(SUM(FJ18,FK18)&gt;0,SUM(FJ18,FK18),"")</f>
        <v/>
      </c>
      <c r="FN18" s="40" t="str">
        <f>IF(SUM(FB18,FF18)&gt;0,SUM(FB18,FF18),"")</f>
        <v/>
      </c>
      <c r="FO18" s="40" t="str">
        <f>IF(SUM(FA18:FB18,FD18:FF18,FH18)-SUM(FC18,FG18)&gt;0,SUM(FA18:FB18,FD18:FF18,FH18)-SUM(FC18,FG18),"")</f>
        <v/>
      </c>
      <c r="FP18" s="40" t="str">
        <f>IF(SUM(FJ18,FK18,FO18)&gt;0,SUM(FJ18,FK18,FO18),"")</f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>IF(SUM(FR18,FV18)&gt;0,SUM(FR18,FV18),"")</f>
        <v/>
      </c>
      <c r="GL18" s="11" t="str">
        <f>IF(SUM(FQ18:FR18,FT18:FV18,FX18)-FS18-FW18&gt;0,SUM(FQ18:FR18,FT18:FV18,FX18)-FS18-FW18,"")</f>
        <v/>
      </c>
      <c r="GM18" s="11" t="str">
        <f>IF(SUM(FY18:FZ18,GB18)-GA18&gt;0,SUM(FY18:FZ18,GB18)-GA18,"")</f>
        <v/>
      </c>
      <c r="GN18" s="11" t="str">
        <f>IF(SUM(FR18,FV18,FZ18)&gt;0,SUM(FR18,FV18,FZ18),"")</f>
        <v/>
      </c>
      <c r="GO18" s="11" t="str">
        <f>IF(SUM(GL18,GM18)&gt;0,SUM(GL18,GM18),"")</f>
        <v/>
      </c>
      <c r="GP18" s="11" t="str">
        <f>IF(SUM(GD18,GH18)&gt;0,SUM(GD18,GH18),"")</f>
        <v/>
      </c>
      <c r="GQ18" s="11" t="str">
        <f>IF(SUM(GC18:GD18,GF18:GH18,GJ18)-SUM(GE18,GI18)&gt;0,SUM(GC18:GD18,GF18:GH18,GJ18)-SUM(GE18,GI18),"")</f>
        <v/>
      </c>
      <c r="GR18" s="11" t="str">
        <f>IF(SUM(GL18,GM18,GQ18)&gt;0,SUM(GL18,GM18,GQ18),"")</f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>IF(SUM(GT18,GX18)&gt;0,SUM(GT18,GX18),"")</f>
        <v/>
      </c>
      <c r="HN18" s="40" t="str">
        <f>IF(SUM(GS18:GT18,GV18:GX18,GZ18)-GU18-GY18&gt;0,SUM(GS18:GT18,GV18:GX18,GZ18)-GU18-GY18,"")</f>
        <v/>
      </c>
      <c r="HO18" s="40" t="str">
        <f>IF(SUM(HA18:HB18,HD18)-HC18&gt;0,SUM(HA18:HB18,HD18)-HC18,"")</f>
        <v/>
      </c>
      <c r="HP18" s="40" t="str">
        <f>IF(SUM(GT18,GX18,HB18)&gt;0,SUM(GT18,GX18,HB18),"")</f>
        <v/>
      </c>
      <c r="HQ18" s="40" t="str">
        <f>IF(SUM(HN18,HO18)&gt;0,SUM(HN18,HO18),"")</f>
        <v/>
      </c>
      <c r="HR18" s="40" t="str">
        <f>IF(SUM(HF18,HJ18)&gt;0,SUM(HF18,HJ18),"")</f>
        <v/>
      </c>
      <c r="HS18" s="40" t="str">
        <f>IF(SUM(HE18:HF18,HH18:HJ18,HL18)-SUM(HG18,HK18)&gt;0,SUM(HE18:HF18,HH18:HJ18,HL18)-SUM(HG18,HK18),"")</f>
        <v/>
      </c>
      <c r="HT18" s="40" t="str">
        <f>IF(SUM(HN18,HO18,HS18)&gt;0,SUM(HN18,HO18,HS18),"")</f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>IF(SUM(HV18,HZ18)&gt;0,SUM(HV18,HZ18),"")</f>
        <v/>
      </c>
      <c r="IP18" s="11" t="str">
        <f>IF(SUM(HU18:HV18,HX18:HZ18,IB18)-HW18-IA18&gt;0,SUM(HU18:HV18,HX18:HZ18,IB18)-HW18-IA18,"")</f>
        <v/>
      </c>
      <c r="IQ18" s="11" t="str">
        <f>IF(SUM(IC18:ID18,IF18)-IE18&gt;0,SUM(IC18:ID18,IF18)-IE18,"")</f>
        <v/>
      </c>
      <c r="IR18" s="11" t="str">
        <f>IF(SUM(HV18,HZ18,ID18)&gt;0,SUM(HV18,HZ18,ID18),"")</f>
        <v/>
      </c>
      <c r="IS18" s="11" t="str">
        <f>IF(SUM(IP18,IQ18)&gt;0,SUM(IP18,IQ18),"")</f>
        <v/>
      </c>
      <c r="IT18" s="11" t="str">
        <f>IF(SUM(IH18,IL18)&gt;0,SUM(IH18,IL18),"")</f>
        <v/>
      </c>
      <c r="IU18" s="11" t="str">
        <f>IF(SUM(IG18:IH18,IJ18:IL18,IN18)-SUM(II18,IM18)&gt;0,SUM(IG18:IH18,IJ18:IL18,IN18)-SUM(II18,IM18),"")</f>
        <v/>
      </c>
      <c r="IV18" s="11" t="str">
        <f>IF(SUM(IP18,IQ18,IU18)&gt;0,SUM(IP18,IQ18,IU18),"")</f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>IF(SUM(IX18,JB18)&gt;0,SUM(IX18,JB18),"")</f>
        <v/>
      </c>
      <c r="JR18" s="40" t="str">
        <f>IF(SUM(IW18:IX18,IZ18:JB18,JD18)-IY18-JC18&gt;0,SUM(IW18:IX18,IZ18:JB18,JD18)-IY18-JC18,"")</f>
        <v/>
      </c>
      <c r="JS18" s="40" t="str">
        <f>IF(SUM(JE18:JF18,JH18)-JG18&gt;0,SUM(JE18:JF18,JH18)-JG18,"")</f>
        <v/>
      </c>
      <c r="JT18" s="40" t="str">
        <f>IF(SUM(IX18,JB18,JF18)&gt;0,SUM(IX18,JB18,JF18),"")</f>
        <v/>
      </c>
      <c r="JU18" s="40" t="str">
        <f>IF(SUM(JR18,JS18)&gt;0,SUM(JR18,JS18),"")</f>
        <v/>
      </c>
      <c r="JV18" s="40" t="str">
        <f>IF(SUM(JJ18,JN18)&gt;0,SUM(JJ18,JN18),"")</f>
        <v/>
      </c>
      <c r="JW18" s="40" t="str">
        <f>IF(SUM(JI18:JJ18,JL18:JN18,JP18)-SUM(JK18,JO18)&gt;0,SUM(JI18:JJ18,JL18:JN18,JP18)-SUM(JK18,JO18),"")</f>
        <v/>
      </c>
      <c r="JX18" s="40" t="str">
        <f>IF(SUM(JR18,JS18,JW18)&gt;0,SUM(JR18,JS18,JW18),"")</f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>IF(SUM(JZ18,KD18)&gt;0,SUM(JZ18,KD18),"")</f>
        <v/>
      </c>
      <c r="KT18" s="11" t="str">
        <f>IF(SUM(JY18:JZ18,KB18:KD18,KF18)-KA18-KE18&gt;0,SUM(JY18:JZ18,KB18:KD18,KF18)-KA18-KE18,"")</f>
        <v/>
      </c>
      <c r="KU18" s="11" t="str">
        <f>IF(SUM(KG18:KH18,KJ18)-KI18&gt;0,SUM(KG18:KH18,KJ18)-KI18,"")</f>
        <v/>
      </c>
      <c r="KV18" s="11" t="str">
        <f>IF(SUM(JZ18,KD18,KH18)&gt;0,SUM(JZ18,KD18,KH18),"")</f>
        <v/>
      </c>
      <c r="KW18" s="11" t="str">
        <f>IF(SUM(KT18,KU18)&gt;0,SUM(KT18,KU18),"")</f>
        <v/>
      </c>
      <c r="KX18" s="11" t="str">
        <f>IF(SUM(KL18,KP18)&gt;0,SUM(KL18,KP18),"")</f>
        <v/>
      </c>
      <c r="KY18" s="11" t="str">
        <f>IF(SUM(KK18:KL18,KN18:KP18,KR18)-SUM(KM18,KQ18)&gt;0,SUM(KK18:KL18,KN18:KP18,KR18)-SUM(KM18,KQ18),"")</f>
        <v/>
      </c>
      <c r="KZ18" s="11" t="str">
        <f>IF(SUM(KT18,KU18,KY18)&gt;0,SUM(KT18,KU18,KY18),"")</f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>IF(SUM(LB18,LF18)&gt;0,SUM(LB18,LF18),"")</f>
        <v/>
      </c>
      <c r="LV18" s="40" t="str">
        <f>IF(SUM(LA18:LB18,LD18:LF18,LH18)-LC18-LG18&gt;0,SUM(LA18:LB18,LD18:LF18,LH18)-LC18-LG18,"")</f>
        <v/>
      </c>
      <c r="LW18" s="40" t="str">
        <f>IF(SUM(LI18:LJ18,LL18)-LK18&gt;0,SUM(LI18:LJ18,LL18)-LK18,"")</f>
        <v/>
      </c>
      <c r="LX18" s="40" t="str">
        <f>IF(SUM(LB18,LF18,LJ18)&gt;0,SUM(LB18,LF18,LJ18),"")</f>
        <v/>
      </c>
      <c r="LY18" s="40" t="str">
        <f>IF(SUM(LV18,LW18)&gt;0,SUM(LV18,LW18),"")</f>
        <v/>
      </c>
      <c r="LZ18" s="40" t="str">
        <f>IF(SUM(LN18,LR18)&gt;0,SUM(LN18,LR18),"")</f>
        <v/>
      </c>
      <c r="MA18" s="40" t="str">
        <f>IF(SUM(LM18:LN18,LP18:LR18,LT18)-SUM(LO18,LS18)&gt;0,SUM(LM18:LN18,LP18:LR18,LT18)-SUM(LO18,LS18),"")</f>
        <v/>
      </c>
      <c r="MB18" s="40" t="str">
        <f>IF(SUM(LV18,LW18,MA18)&gt;0,SUM(LV18,LW18,MA18),"")</f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>IF(SUM(MD18,MH18)&gt;0,SUM(MD18,MH18),"")</f>
        <v/>
      </c>
      <c r="MX18" s="11" t="str">
        <f>IF(SUM(MC18:MD18,MF18:MH18,MJ18)-ME18-MI18&gt;0,SUM(MC18:MD18,MF18:MH18,MJ18)-ME18-MI18,"")</f>
        <v/>
      </c>
      <c r="MY18" s="11" t="str">
        <f>IF(SUM(MK18:ML18,MN18)-MM18&gt;0,SUM(MK18:ML18,MN18)-MM18,"")</f>
        <v/>
      </c>
      <c r="MZ18" s="11" t="str">
        <f>IF(SUM(MD18,MH18,ML18)&gt;0,SUM(MD18,MH18,ML18),"")</f>
        <v/>
      </c>
      <c r="NA18" s="11" t="str">
        <f>IF(SUM(MX18,MY18)&gt;0,SUM(MX18,MY18),"")</f>
        <v/>
      </c>
      <c r="NB18" s="11" t="str">
        <f>IF(SUM(MP18,MT18)&gt;0,SUM(MP18,MT18),"")</f>
        <v/>
      </c>
      <c r="NC18" s="11" t="str">
        <f>IF(SUM(MO18:MP18,MR18:MT18,MV18)-SUM(MQ18,MU18)&gt;0,SUM(MO18:MP18,MR18:MT18,MV18)-SUM(MQ18,MU18),"")</f>
        <v/>
      </c>
      <c r="ND18" s="11" t="str">
        <f>IF(SUM(MX18,MY18,NC18)&gt;0,SUM(MX18,MY18,NC18),"")</f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>IF(SUM(NF18,NJ18)&gt;0,SUM(NF18,NJ18),"")</f>
        <v/>
      </c>
      <c r="NZ18" s="40" t="str">
        <f>IF(SUM(NE18:NF18,NH18:NJ18,NL18)-NG18-NK18&gt;0,SUM(NE18:NF18,NH18:NJ18,NL18)-NG18-NK18,"")</f>
        <v/>
      </c>
      <c r="OA18" s="40" t="str">
        <f>IF(SUM(NM18:NN18,NP18)-NO18&gt;0,SUM(NM18:NN18,NP18)-NO18,"")</f>
        <v/>
      </c>
      <c r="OB18" s="40" t="str">
        <f>IF(SUM(NF18,NJ18,NN18)&gt;0,SUM(NF18,NJ18,NN18),"")</f>
        <v/>
      </c>
      <c r="OC18" s="40" t="str">
        <f>IF(SUM(NZ18,OA18)&gt;0,SUM(NZ18,OA18),"")</f>
        <v/>
      </c>
      <c r="OD18" s="40" t="str">
        <f>IF(SUM(NR18,NV18)&gt;0,SUM(NR18,NV18),"")</f>
        <v/>
      </c>
      <c r="OE18" s="40" t="str">
        <f>IF(SUM(NQ18:NR18,NT18:NV18,NX18)-SUM(NS18,NW18)&gt;0,SUM(NQ18:NR18,NT18:NV18,NX18)-SUM(NS18,NW18),"")</f>
        <v/>
      </c>
      <c r="OF18" s="40" t="str">
        <f>IF(SUM(NZ18,OA18,OE18)&gt;0,SUM(NZ18,OA18,OE18),"")</f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>IF(SUM(OH18,OL18)&gt;0,SUM(OH18,OL18),"")</f>
        <v/>
      </c>
      <c r="PB18" s="11" t="str">
        <f>IF(SUM(OG18:OH18,OJ18:OL18,ON18)-OI18-OM18&gt;0,SUM(OG18:OH18,OJ18:OL18,ON18)-OI18-OM18,"")</f>
        <v/>
      </c>
      <c r="PC18" s="11" t="str">
        <f>IF(SUM(OO18:OP18,OR18)-OQ18&gt;0,SUM(OO18:OP18,OR18)-OQ18,"")</f>
        <v/>
      </c>
      <c r="PD18" s="11" t="str">
        <f>IF(SUM(OH18,OL18,OP18)&gt;0,SUM(OH18,OL18,OP18),"")</f>
        <v/>
      </c>
      <c r="PE18" s="11" t="str">
        <f>IF(SUM(PB18,PC18)&gt;0,SUM(PB18,PC18),"")</f>
        <v/>
      </c>
      <c r="PF18" s="11" t="str">
        <f>IF(SUM(OT18,OX18)&gt;0,SUM(OT18,OX18),"")</f>
        <v/>
      </c>
      <c r="PG18" s="11" t="str">
        <f>IF(SUM(OS18:OT18,OV18:OX18,OZ18)-SUM(OU18,OY18)&gt;0,SUM(OS18:OT18,OV18:OX18,OZ18)-SUM(OU18,OY18),"")</f>
        <v/>
      </c>
      <c r="PH18" s="11" t="str">
        <f>IF(SUM(PB18,PC18,PG18)&gt;0,SUM(PB18,PC18,PG18),"")</f>
        <v/>
      </c>
      <c r="PI18" s="22">
        <f>IF($PY18="P",BM18,(BM18+AQ18)/2)</f>
        <v>0</v>
      </c>
      <c r="PJ18" s="22">
        <f>IF($PY18="P",BN18,(BN18+AR18)/2)</f>
        <v>0</v>
      </c>
      <c r="PK18" s="22">
        <f>IF($PY18="P",BO18,(BO18+AS18)/2)</f>
        <v>0</v>
      </c>
      <c r="PL18" s="22">
        <f>IF($PY18="P",BP18,(BP18+AT18)/2)</f>
        <v>0</v>
      </c>
      <c r="PM18" s="22">
        <f>IF($PY18="P",BQ18,(BQ18+AU18)/2)</f>
        <v>0</v>
      </c>
      <c r="PN18" s="22">
        <f>IF($PY18="P",BR18,(BR18+AV18)/2)</f>
        <v>0</v>
      </c>
      <c r="PO18" s="22">
        <f>IF($PY18="P",BS18,(BS18+AW18)/2)</f>
        <v>0</v>
      </c>
      <c r="PP18" s="22">
        <f>IF($PY18="P",BT18,(BT18+AX18)/2)</f>
        <v>0</v>
      </c>
      <c r="PQ18" s="22">
        <f>IF($PY18="P",BU18,(BU18+AY18)/2)</f>
        <v>0</v>
      </c>
      <c r="PR18" s="22">
        <f>IF($PY18="P",BV18,(BV18+AZ18)/2)</f>
        <v>0</v>
      </c>
      <c r="PS18" s="22">
        <f>IF($PY18="P",BW18,(BW18+BA18)/2)</f>
        <v>0</v>
      </c>
      <c r="PT18" s="22">
        <f>IF($PY18="P",BX18,(BX18+BB18)/2)</f>
        <v>0</v>
      </c>
      <c r="PU18" s="22">
        <f>IF($PY18="P",BY18,(BY18+BC18)/2)</f>
        <v>0</v>
      </c>
      <c r="PV18" s="22">
        <f>IF($PY18="P",BZ18,(BZ18+BD18)/2)</f>
        <v>0</v>
      </c>
      <c r="PW18" s="22">
        <f>IF($PY18="P",CA18,(CA18+BE18)/2)</f>
        <v>0</v>
      </c>
      <c r="PX18" s="22">
        <f>IF($PY18="P",CB18,(CB18+BF18)/2)</f>
        <v>0</v>
      </c>
      <c r="PY18" s="27" t="s">
        <v>46</v>
      </c>
      <c r="PZ18" s="40" t="str">
        <f>IF(SUM(PJ18,PN18)&gt;0,SUM(PJ18,PN18),"")</f>
        <v/>
      </c>
      <c r="QA18" s="40" t="str">
        <f>IF(SUM(PI18:PJ18,PL18:PN18,PP18)-PK18-PO18&gt;0,SUM(PI18:PJ18,PL18:PN18,PP18)-PK18-PO18,"")</f>
        <v/>
      </c>
      <c r="QB18" s="40" t="str">
        <f>IF(SUM(PR18,PV18)&gt;0,SUM(PR18,PV18),"")</f>
        <v/>
      </c>
      <c r="QC18" s="40" t="str">
        <f>IF(SUM(PQ18:PR18,PT18:PV18,PX18)-SUM(PS18,PW18)&gt;0,SUM(PQ18:PR18,PT18:PV18,PX18)-SUM(PS18,PW18),"")</f>
        <v/>
      </c>
      <c r="QD18" s="40" t="str">
        <f>IF(SUM(QA18,QC18)&gt;0,SUM(QA18,QC18),"")</f>
        <v/>
      </c>
    </row>
    <row r="19" spans="1:446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178</v>
      </c>
      <c r="D19" s="4" t="s">
        <v>4</v>
      </c>
      <c r="E19" s="4">
        <v>2008</v>
      </c>
      <c r="F19" s="9">
        <f>SUM(L19:R19)+SUM(L19:O19)*0.0000001+SUM(L19)*0.0000000000001</f>
        <v>127.1000082100044</v>
      </c>
      <c r="G19" s="64"/>
      <c r="H19" s="3" t="str">
        <f>IF(OR(AND(AL19&gt;=AP$36,AM19&gt;=AP$40,AL19&lt;&gt;"",AK19=""),AND(AN19&gt;=AP$36,AO19&gt;=AP$40,AN19&lt;&gt;"",AK19=""),AND(BH19&gt;=BL$36,BI19&gt;=BL$40,BH19&lt;&gt;"",BG19=""),AND(BJ19&gt;=BL$36,BK19&gt;=BL$40,BJ19&lt;&gt;"",BG19=""),AND(CD19&gt;=CH$36,CE19&gt;=CH$40,CD19&lt;&gt;"",CC19=""),AND(CF19&gt;=CH$36,CG19&gt;=CH$40,CF19&lt;&gt;""),AND(DE19&gt;=DL$36,DF19&gt;=DL$40,DE19&lt;&gt;""),AND(DJ19&gt;=DL$36,DK19&gt;=DL$40,DJ19&lt;&gt;""),AND(EG19&gt;=EN$36,EH19&gt;=EN$40,EG19&lt;&gt;""),AND(EL19&gt;=EN$36,EM19&gt;=EN$40,EL19&lt;&gt;""),AND(FI19&gt;=FP$36,FJ19&gt;=FP$40,FI19&lt;&gt;""),AND(FN19&gt;=FP$36,FO19&gt;=FP$40,FN19&lt;&gt;""),AND(GK19&gt;=GR$36,GL19&gt;=GR$40,GK19&lt;&gt;""),AND(GP19&gt;=GR$36,GQ19&gt;=GR$40,GP19&lt;&gt;""),AND(HM19&gt;=HT$36,HN19&gt;=HT$40,HM19&lt;&gt;""),AND(HR19&gt;=HT$36,HS19&gt;=HT$40,HR19&lt;&gt;""),AND(IO19&gt;=IV$36,IP19&gt;=IV$40,IO19&lt;&gt;""),AND(IT19&gt;=IV$36,IU19&gt;=IV$40,IT19&lt;&gt;""),AND(JQ19&gt;=JX$36,JR19&gt;=JX$40,JQ19&lt;&gt;""),AND(JV19&gt;=JX$36,JW19&gt;=JX$40,JV19&lt;&gt;""),AND(KS19&gt;=KZ$36,KT19&gt;=KZ$40,KS19&lt;&gt;""),AND(KX19&gt;=KZ$36,KY19&gt;=KZ$40,KX19&lt;&gt;""),AND(LU19&gt;=MB$36,LV19&gt;=MB$40,LU19&lt;&gt;""),AND(LZ19&gt;=MB$36,MA19&gt;=MB$40,LZ19&lt;&gt;""),AND(MW19&gt;=ND$36,MX19&gt;=ND$40,MW19&lt;&gt;""),AND(NB19&gt;=ND$36,NC19&gt;=ND$40,NB19&lt;&gt;""),AND(NY19&gt;=OF$36,NZ19&gt;=OF$40,NY19&lt;&gt;""),AND(OD19&gt;=OF$36,OE19&gt;=OF$40,OD19&lt;&gt;""),AND(PA19&gt;=PH$36,PB19&gt;=PH$40,PA19&lt;&gt;""),AND(PF19&gt;=PH$36,PG19&gt;=PH$40,PF19&lt;&gt;"")),"P","")</f>
        <v/>
      </c>
      <c r="I19" s="3" t="str">
        <f>IF(OR(AND(AM19&gt;=AP$40,AM19&lt;&gt;"",AK19=""),AND(AO19&gt;=AP$40,AO19&lt;&gt;"",AK19=""),AND(BI19&gt;=BL$40,BI19&lt;&gt;"",BG19=""),AND(BK19&gt;=BL$40,BK19&lt;&gt;"",BG19=""),AND(CE19&gt;=CH$40,CE19&lt;&gt;"",CC19=""),AND(CG19&gt;=CH$40,CG19&lt;&gt;"",CC19=""),AND(DF19&gt;=DL$40,DF19&lt;&gt;""),AND(DK19&gt;=DL$40,DK19&lt;&gt;""),AND(EH19&gt;=EN$40,EH19&lt;&gt;""),AND(EM19&gt;=EN$40,EM19&lt;&gt;""),AND(FJ19&gt;=FP$40,FJ19&lt;&gt;""),AND(FO19&gt;=FP$40,FO19&lt;&gt;""),AND(GL19&gt;=GR$40,GL19&lt;&gt;""),AND(GQ19&gt;=GR$40,GQ19&lt;&gt;""),AND(HN19&gt;=HT$40,HN19&lt;&gt;""),AND(HS19&gt;=HT$40,HS19&lt;&gt;""),AND(IP19&gt;=IV$40,IP19&lt;&gt;""),AND(IU19&gt;=IV$40,IU19&lt;&gt;""),AND(JR19&gt;=JX$40,JR19&lt;&gt;""),AND(JW19&gt;=JX$40,JW19&lt;&gt;""),AND(KT19&gt;=KZ$40,KT19&lt;&gt;""),AND(KY19&gt;=KZ$40,KY19&lt;&gt;""),AND(LV19&gt;=MB$40,LV19&lt;&gt;""),AND(MA19&gt;=MB$40,MA19&lt;&gt;""),AND(MX19&gt;=ND$40,MX19&lt;&gt;""),AND(NC19&gt;=ND$40,NC19&lt;&gt;""),AND(NZ19&gt;=OF$40,NZ19&lt;&gt;""),AND(OE19&gt;=OF$40,OE19&lt;&gt;""),AND(PB19&gt;=PH$40,PB19&lt;&gt;""),AND(PG19&gt;=PH$40,PG19&lt;&gt;"")),"P","")</f>
        <v/>
      </c>
      <c r="J19" s="36" t="str">
        <f>IF(AND(I19="P",H19=""),"No DD",IF(OR(AND(AL19&gt;=AP$26,AM19&gt;=AP$30,AL19&lt;&gt;"",AK19=""),AND(BH19&gt;=BL$26,BI19&gt;=BL$30,BH19&lt;&gt;"",BG19=""),AND(CD19&gt;=CH$26,CE19&gt;=CH$30,CD19&lt;&gt;"",CC19=""),AND(DH19&gt;=DL$26,DI19&gt;=DL$30,DH19&lt;&gt;""),AND(EJ19&gt;=EN$26,EK19&gt;=EN$30,EJ19&lt;&gt;""),AND(FL19&gt;=FP$26,FM19&gt;=FP$30,FL19&lt;&gt;""),AND(GN19&gt;=GR$26,GO19&gt;=GR$30,GN19&lt;&gt;""),AND(HP19&gt;=HT$26,HQ19&gt;=HT$30,HP19&lt;&gt;""),AND(IR19&gt;=IV$26,IS19&gt;=IV$30,IR19&lt;&gt;""),AND(JT19&gt;=JX$26,JU19&gt;=JX$30,JT19&lt;&gt;""),AND(KV19&gt;=KZ$26,KW19&gt;=KZ$30,KV19&lt;&gt;""),AND(LX19&gt;=MB$26,LY19&gt;=MB$30,LX19&lt;&gt;""),AND(MZ19&gt;=ND$26,NA19&gt;=ND$30,MZ19&lt;&gt;""),AND(OB19&gt;=OF$26,OC19&gt;=OF$30,OB19&lt;&gt;""),AND(PD19&gt;=PH$26,PE19&gt;=PH$30,PD19&lt;&gt;"")),"Merit",IF(OR(AND(AL19&gt;=AP$25,AM19&gt;=AP$29,AL19&lt;&gt;"",AK19=""),AND(BH19&gt;=BL$25,BI19&gt;=BL$29,BH19&lt;&gt;"",BG19=""),AND(CD19&gt;=CH$25,CE19&gt;=CH$29,CD19&lt;&gt;"",CC19=""),AND(DH19&gt;=DL$25,DI19&gt;=DL$29,DH19&lt;&gt;""),AND(EJ19&gt;=EN$25,EK19&gt;=EN$29,EJ19&lt;&gt;""),AND(FL19&gt;=FP$25,FM19&gt;=FP$29,FL19&lt;&gt;""),AND(GN19&gt;=GR$25,GO19&gt;=GR$29,GN19&lt;&gt;""),AND(HP19&gt;=HT$25,HQ19&gt;=HT$29,HP19&lt;&gt;""),AND(IR19&gt;=IV$25,IS19&gt;=IV$29,IR19&lt;&gt;""),AND(JT19&gt;=JX$25,JU19&gt;=JX$29,JT19&lt;&gt;""),AND(KV19&gt;=KZ$25,KW19&gt;=KZ$29,KV19&lt;&gt;""),AND(LX19&gt;=MB$25,LY19&gt;=MB$29,LX19&lt;&gt;""),AND(MZ19&gt;=ND$25,NA19&gt;=ND$29,MZ19&lt;&gt;""),AND(OB19&gt;=OF$25,OC19&gt;=OF$29,OB19&lt;&gt;""),AND(PD19&gt;=PH$25,PE19&gt;=PH$29,PD19&lt;&gt;"")),"Excellence",IF(K19="P","Worlds Team",IF(H19="P","National Team","")))))</f>
        <v/>
      </c>
      <c r="K19" s="3" t="str">
        <f>IF(OR(AND(AL19&gt;=AP$24,AM19&gt;=AP$28,AL19&lt;&gt;"",AK19=""),AND(BH19&gt;=BL$24,BI19&gt;=BL$28,BH19&lt;&gt;"",BG19=""),AND(CD19&gt;=CH$24,CE19&gt;=CH$28,CD19&lt;&gt;"",CC19=""),AND(DH19&gt;=DL$24,DI19&gt;=DL$28,DH19&lt;&gt;""),AND(EJ19&gt;=EN$24,EK19&gt;=EN$28,EJ19&lt;&gt;""),AND(FL19&gt;=FP$24,FM19&gt;=FP$28,FL19&lt;&gt;""),AND(GN19&gt;=GR$24,GO19&gt;=GR$28,GN19&lt;&gt;""),AND(HP19&gt;=HT$24,HQ19&gt;=HT$28,HP19&lt;&gt;""),AND(IR19&gt;=IV$24,IS19&gt;=IV$28,IR19&lt;&gt;""),AND(JT19&gt;=JX$24,JU19&gt;=JX$28,JT19&lt;&gt;""),AND(KV19&gt;=KZ$24,KW19&gt;=KZ$28,KV19&lt;&gt;""),AND(LX19&gt;=MB$24,LY19&gt;=MB$28,LX19&lt;&gt;""),AND(MZ19&gt;=ND$24,NA19&gt;=ND$28,MZ19&lt;&gt;""),AND(OB19&gt;=OF$24,OC19&gt;=OF$28,OB19&lt;&gt;""),AND(PD19&gt;=PH$24,PE19&gt;=PH$28,PD19&lt;&gt;"")),"P","")</f>
        <v/>
      </c>
      <c r="L19" s="8">
        <f>IF(COUNT(AM19,BI19,CE19)&gt;0,LARGE((AM19,BI19,CE19),1),0)</f>
        <v>44.1</v>
      </c>
      <c r="M19" s="8" t="str">
        <f>IF(L19=0,"",IF(L19=CE19,$BM$1,IF(L19=BI19,$AQ$1,IF(L19=AM19,$U$1,""))))</f>
        <v>2025 Nationals</v>
      </c>
      <c r="N19" s="8">
        <f>IF(COUNT(AM19,BI19,CE19)&gt;1,LARGE((AM19,BI19,CE19),2),0)</f>
        <v>38</v>
      </c>
      <c r="O19" s="8" t="str">
        <f>IF(N19=0,"",IF(AND(N19=L19,N19=AM19,N19=BI19),$U$1,IF(AND(N19=L19,N19=AM19,N19=CE19),$U$1,IF(AND(N19=L19,N19=BI19,N19=CE19),$AQ$1,IF(N19=CE19,$BM$1,IF(N19=BI19,$AQ$1,IF(N19=AM19,$U$1,"")))))))</f>
        <v>2025 Elite Canada</v>
      </c>
      <c r="P19" s="8">
        <f>IF(MAX(AO19,BK19,CG19)&gt;0,MAX(AO19,BK19,CG19),0)</f>
        <v>45</v>
      </c>
      <c r="Q19" s="8" t="str">
        <f>IF(P19=0,"",IF(P19=CG19,$BM$1,IF(P19=BK19,$AQ$1,IF(P19=AO19,$U$1,""))))</f>
        <v>2025 Elite Canada</v>
      </c>
      <c r="R19" s="8" t="str">
        <f>IF(MAX(CI19:CJ19)&gt;0,MAX(CI19:CJ19),"")</f>
        <v/>
      </c>
      <c r="S19" s="11" t="str">
        <f>IF(R19="","",IF(R19=CI19,"("&amp;CI$2&amp;")",IF(R19=CJ19,"("&amp;CJ$2&amp;")")))</f>
        <v/>
      </c>
      <c r="T19" s="8" t="str">
        <f>IF(R19="","",IF(R19=CI19,IF(R19+IF(N19="",0,N19)=PB19,$OG$1,IF(R19+IF(N19="",0,N19)=NZ19,$NE$1,IF(R19+IF(N19="",0,N19)=MX19,$MC$1,IF(R19+IF(N19="",0,N19)=LV19,$LA$1,IF(R19+IF(N19="",0,N19)=KT19,$JY$1,IF(R19+IF(N19="",0,N19)=JR19,$IW$1,IF(R19+IF(N19="",0,N19)=IP19,$HU$1,IF(R19+IF(N19="",0,N19)=HN19,$GS$1,IF(R19+IF(N19="",0,N19)=GL19,$FQ$1,IF(R19+IF(N19="",0,N19)=FJ19,$EO$1,IF(R19+IF(N19="",0,N19)=EH19,$DM$1,IF(R19+IF(N19="",0,N19)=DF19,$CK$1)))))))))))),IF(R19=CJ19,IF(R19+IF(P19="",0,P19)=PG19,$OG$1,IF(R19+IF(P19="",0,P19)=OE19,$NE$1,IF(R19+IF(P19="",0,P19)=NC19,$MC$1,IF(R19+IF(P19="",0,P19)=MA19,$LA$1,IF(R19+IF(P19="",0,P19)=KY19,$JY$1,IF(R19+IF(P19="",0,P19)=JW19,$IW$1,IF(R19+IF(P19="",0,P19)=IU19,$HU$1,IF(R19+IF(P19="",0,P19)=HS19,$GS$1,IF(R19+IF(P19="",0,P19)=GQ19,$FQ$1,IF(R19+IF(P19="",0,P19)=FO19,$EO$1,IF(R19+IF(P19="",0,P19)=EM19,$DM$1,IF(R19+IF(P19="",0,P19)=DK19,$CK$1)))))))))))))))</f>
        <v/>
      </c>
      <c r="U19" s="19">
        <v>18.5</v>
      </c>
      <c r="V19" s="19">
        <v>3.1</v>
      </c>
      <c r="W19" s="19">
        <v>1</v>
      </c>
      <c r="X19" s="19">
        <v>0</v>
      </c>
      <c r="Y19" s="19">
        <v>15</v>
      </c>
      <c r="Z19" s="19">
        <v>2.4</v>
      </c>
      <c r="AA19" s="19">
        <v>0</v>
      </c>
      <c r="AB19" s="19">
        <v>0</v>
      </c>
      <c r="AC19" s="19">
        <v>18.7</v>
      </c>
      <c r="AD19" s="19">
        <v>3.5</v>
      </c>
      <c r="AE19" s="19">
        <v>0</v>
      </c>
      <c r="AF19" s="19">
        <v>0</v>
      </c>
      <c r="AG19" s="19">
        <v>18</v>
      </c>
      <c r="AH19" s="19">
        <v>4.8</v>
      </c>
      <c r="AI19" s="19">
        <v>0</v>
      </c>
      <c r="AJ19" s="19">
        <v>0</v>
      </c>
      <c r="AK19" s="27"/>
      <c r="AL19" s="40">
        <f>IF(SUM(V19,Z19)&gt;0,SUM(V19,Z19),"")</f>
        <v>5.5</v>
      </c>
      <c r="AM19" s="40">
        <f>IF(SUM(U19:V19,X19:Z19,AB19)-W19-AA19&gt;0,SUM(U19:V19,X19:Z19,AB19)-W19-AA19,"")</f>
        <v>38</v>
      </c>
      <c r="AN19" s="40">
        <f>IF(SUM(AD19,AH19)&gt;0,SUM(AD19,AH19),"")</f>
        <v>8.3000000000000007</v>
      </c>
      <c r="AO19" s="40">
        <f>IF(SUM(AC19:AD19,AF19:AH19,AJ19)-SUM(AE19,AI19)&gt;0,SUM(AC19:AD19,AF19:AH19,AJ19)-SUM(AE19,AI19),"")</f>
        <v>45</v>
      </c>
      <c r="AP19" s="40">
        <f>IF(SUM(AM19,AO19)&gt;0,SUM(AM19,AO19),"")</f>
        <v>83</v>
      </c>
      <c r="AQ19" s="18">
        <v>18.5</v>
      </c>
      <c r="AR19" s="18">
        <v>3.5</v>
      </c>
      <c r="AS19" s="18">
        <v>0</v>
      </c>
      <c r="AT19" s="18">
        <v>0</v>
      </c>
      <c r="AU19" s="18">
        <v>17.7</v>
      </c>
      <c r="AV19" s="18">
        <v>4.4000000000000004</v>
      </c>
      <c r="AW19" s="18">
        <v>0</v>
      </c>
      <c r="AX19" s="18">
        <v>0</v>
      </c>
      <c r="AY19" s="18">
        <v>18.899999999999999</v>
      </c>
      <c r="AZ19" s="18">
        <v>3.5</v>
      </c>
      <c r="BA19" s="18">
        <v>0</v>
      </c>
      <c r="BB19" s="18">
        <v>0</v>
      </c>
      <c r="BC19" s="18">
        <v>18</v>
      </c>
      <c r="BD19" s="18">
        <v>4.4000000000000004</v>
      </c>
      <c r="BE19" s="18">
        <v>0.6</v>
      </c>
      <c r="BF19" s="18">
        <v>0</v>
      </c>
      <c r="BG19" s="28"/>
      <c r="BH19" s="11">
        <f>IF(SUM(AR19,AV19)&gt;0,SUM(AR19,AV19),"")</f>
        <v>7.9</v>
      </c>
      <c r="BI19" s="11">
        <f>IF(SUM(AQ19:AR19,AT19:AV19,AX19)-AS19-AW19&gt;0,SUM(AQ19:AR19,AT19:AV19,AX19)-AS19-AW19,"")</f>
        <v>44.1</v>
      </c>
      <c r="BJ19" s="11">
        <f>IF(SUM(AZ19,BD19)&gt;0,SUM(AZ19,BD19),"")</f>
        <v>7.9</v>
      </c>
      <c r="BK19" s="11">
        <f>IF(SUM(AY19:AZ19,BB19:BD19,BF19)-SUM(BA19,BE19)&gt;0,SUM(AY19:AZ19,BB19:BD19,BF19)-SUM(BA19,BE19),"")</f>
        <v>44.199999999999996</v>
      </c>
      <c r="BL19" s="11">
        <f>IF(SUM(BI19,BK19)&gt;0,SUM(BI19,BK19),"")</f>
        <v>88.3</v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>IF(SUM(BN19,BR19)&gt;0,SUM(BN19,BR19),"")</f>
        <v/>
      </c>
      <c r="CE19" s="40" t="str">
        <f>IF(SUM(BM19:BN19,BP19:BR19,BT19)-BO19-BS19&gt;0,SUM(BM19:BN19,BP19:BR19,BT19)-BO19-BS19,"")</f>
        <v/>
      </c>
      <c r="CF19" s="40" t="str">
        <f>IF(SUM(BV19,BZ19)&gt;0,SUM(BV19,BZ19),"")</f>
        <v/>
      </c>
      <c r="CG19" s="40" t="str">
        <f>IF(SUM(BU19:BV19,BX19:BZ19,CB19)-SUM(BW19,CA19)&gt;0,SUM(BU19:BV19,BX19:BZ19,CB19)-SUM(BW19,CA19),"")</f>
        <v/>
      </c>
      <c r="CH19" s="40" t="str">
        <f>IF(SUM(CE19,CG19)&gt;0,SUM(CE19,CG19),"")</f>
        <v/>
      </c>
      <c r="CI19" s="50" t="str">
        <f>IF(MAX(DF19,EH19,FJ19,GL19,HN19,IP19,JR19,KT19,LV19,MX19,NZ19,PB19)-IF(N19="",0,N19)&gt;0.001,MAX(DF19,EH19,FJ19,GL19,HN19,IP19,JR19,KT19,LV19,MX19,NZ19,PB19)-IF(N19="",0,N19),"")</f>
        <v/>
      </c>
      <c r="CJ19" s="50" t="str">
        <f>IF(MAX(DK19,EM19,FO19,GQ19,HS19,IU19,JW19,KY19,MA19,NC19,OE19,PG19)-IF(P19="",0,P19)&gt;0.001,MAX(DK19,EM19,FO19,GQ19,HS19,IU19,JW19,KY19,MA19,NC19,OE19,PG19)-IF(P19="",0,P19),"")</f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>IF(SUM(CL19,CP19)&gt;0,SUM(CL19,CP19),"")</f>
        <v/>
      </c>
      <c r="DF19" s="40" t="str">
        <f>IF(SUM(CK19:CL19,CN19:CP19,CR19)-CM19-CQ19&gt;0,SUM(CK19:CL19,CN19:CP19,CR19)-CM19-CQ19,"")</f>
        <v/>
      </c>
      <c r="DG19" s="40" t="str">
        <f>IF(SUM(CS19:CT19,CV19)-CU19&gt;0,SUM(CS19:CT19,CV19)-CU19,"")</f>
        <v/>
      </c>
      <c r="DH19" s="40" t="str">
        <f>IF(SUM(CL19,CP19,CT19)&gt;0,SUM(CL19,CP19,CT19),"")</f>
        <v/>
      </c>
      <c r="DI19" s="40" t="str">
        <f>IF(SUM(DF19,DG19)&gt;0,SUM(DF19,DG19),"")</f>
        <v/>
      </c>
      <c r="DJ19" s="40" t="str">
        <f>IF(SUM(CX19,DB19)&gt;0,SUM(CX19,DB19),"")</f>
        <v/>
      </c>
      <c r="DK19" s="40" t="str">
        <f>IF(SUM(CW19:CX19,CZ19:DB19,DD19)-SUM(CY19,DC19)&gt;0,SUM(CW19:CX19,CZ19:DB19,DD19)-SUM(CY19,DC19),"")</f>
        <v/>
      </c>
      <c r="DL19" s="40" t="str">
        <f>IF(SUM(DF19,DG19,DK19)&gt;0,SUM(DF19,DG19,DK19),"")</f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>IF(SUM(DN19,DR19)&gt;0,SUM(DN19,DR19),"")</f>
        <v/>
      </c>
      <c r="EH19" s="11" t="str">
        <f>IF(SUM(DM19:DN19,DP19:DR19,DT19)-DO19-DS19&gt;0,SUM(DM19:DN19,DP19:DR19,DT19)-DO19-DS19,"")</f>
        <v/>
      </c>
      <c r="EI19" s="11" t="str">
        <f>IF(SUM(DU19:DV19,DX19)-DW19&gt;0,SUM(DU19:DV19,DX19)-DW19,"")</f>
        <v/>
      </c>
      <c r="EJ19" s="11" t="str">
        <f>IF(SUM(DN19,DR19,DV19)&gt;0,SUM(DN19,DR19,DV19),"")</f>
        <v/>
      </c>
      <c r="EK19" s="11" t="str">
        <f>IF(SUM(EH19,EI19)&gt;0,SUM(EH19,EI19),"")</f>
        <v/>
      </c>
      <c r="EL19" s="11" t="str">
        <f>IF(SUM(DZ19,ED19)&gt;0,SUM(DZ19,ED19),"")</f>
        <v/>
      </c>
      <c r="EM19" s="11" t="str">
        <f>IF(SUM(DY19:DZ19,EB19:ED19,EF19)-SUM(EA19,EE19)&gt;0,SUM(DY19:DZ19,EB19:ED19,EF19)-SUM(EA19,EE19),"")</f>
        <v/>
      </c>
      <c r="EN19" s="11" t="str">
        <f>IF(SUM(EH19,EI19,EM19)&gt;0,SUM(EH19,EI19,EM19),"")</f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>IF(SUM(EP19,ET19)&gt;0,SUM(EP19,ET19),"")</f>
        <v/>
      </c>
      <c r="FJ19" s="40" t="str">
        <f>IF(SUM(EO19:EP19,ER19:ET19,EV19)-EQ19-EU19&gt;0,SUM(EO19:EP19,ER19:ET19,EV19)-EQ19-EU19,"")</f>
        <v/>
      </c>
      <c r="FK19" s="40" t="str">
        <f>IF(SUM(EW19:EX19,EZ19)-EY19&gt;0,SUM(EW19:EX19,EZ19)-EY19,"")</f>
        <v/>
      </c>
      <c r="FL19" s="40" t="str">
        <f>IF(SUM(EP19,ET19,EX19)&gt;0,SUM(EP19,ET19,EX19),"")</f>
        <v/>
      </c>
      <c r="FM19" s="40" t="str">
        <f>IF(SUM(FJ19,FK19)&gt;0,SUM(FJ19,FK19),"")</f>
        <v/>
      </c>
      <c r="FN19" s="40" t="str">
        <f>IF(SUM(FB19,FF19)&gt;0,SUM(FB19,FF19),"")</f>
        <v/>
      </c>
      <c r="FO19" s="40" t="str">
        <f>IF(SUM(FA19:FB19,FD19:FF19,FH19)-SUM(FC19,FG19)&gt;0,SUM(FA19:FB19,FD19:FF19,FH19)-SUM(FC19,FG19),"")</f>
        <v/>
      </c>
      <c r="FP19" s="40" t="str">
        <f>IF(SUM(FJ19,FK19,FO19)&gt;0,SUM(FJ19,FK19,FO19),"")</f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>IF(SUM(FR19,FV19)&gt;0,SUM(FR19,FV19),"")</f>
        <v/>
      </c>
      <c r="GL19" s="11" t="str">
        <f>IF(SUM(FQ19:FR19,FT19:FV19,FX19)-FS19-FW19&gt;0,SUM(FQ19:FR19,FT19:FV19,FX19)-FS19-FW19,"")</f>
        <v/>
      </c>
      <c r="GM19" s="11" t="str">
        <f>IF(SUM(FY19:FZ19,GB19)-GA19&gt;0,SUM(FY19:FZ19,GB19)-GA19,"")</f>
        <v/>
      </c>
      <c r="GN19" s="11" t="str">
        <f>IF(SUM(FR19,FV19,FZ19)&gt;0,SUM(FR19,FV19,FZ19),"")</f>
        <v/>
      </c>
      <c r="GO19" s="11" t="str">
        <f>IF(SUM(GL19,GM19)&gt;0,SUM(GL19,GM19),"")</f>
        <v/>
      </c>
      <c r="GP19" s="11" t="str">
        <f>IF(SUM(GD19,GH19)&gt;0,SUM(GD19,GH19),"")</f>
        <v/>
      </c>
      <c r="GQ19" s="11" t="str">
        <f>IF(SUM(GC19:GD19,GF19:GH19,GJ19)-SUM(GE19,GI19)&gt;0,SUM(GC19:GD19,GF19:GH19,GJ19)-SUM(GE19,GI19),"")</f>
        <v/>
      </c>
      <c r="GR19" s="11" t="str">
        <f>IF(SUM(GL19,GM19,GQ19)&gt;0,SUM(GL19,GM19,GQ19),"")</f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>IF(SUM(GT19,GX19)&gt;0,SUM(GT19,GX19),"")</f>
        <v/>
      </c>
      <c r="HN19" s="40" t="str">
        <f>IF(SUM(GS19:GT19,GV19:GX19,GZ19)-GU19-GY19&gt;0,SUM(GS19:GT19,GV19:GX19,GZ19)-GU19-GY19,"")</f>
        <v/>
      </c>
      <c r="HO19" s="40" t="str">
        <f>IF(SUM(HA19:HB19,HD19)-HC19&gt;0,SUM(HA19:HB19,HD19)-HC19,"")</f>
        <v/>
      </c>
      <c r="HP19" s="40" t="str">
        <f>IF(SUM(GT19,GX19,HB19)&gt;0,SUM(GT19,GX19,HB19),"")</f>
        <v/>
      </c>
      <c r="HQ19" s="40" t="str">
        <f>IF(SUM(HN19,HO19)&gt;0,SUM(HN19,HO19),"")</f>
        <v/>
      </c>
      <c r="HR19" s="40" t="str">
        <f>IF(SUM(HF19,HJ19)&gt;0,SUM(HF19,HJ19),"")</f>
        <v/>
      </c>
      <c r="HS19" s="40" t="str">
        <f>IF(SUM(HE19:HF19,HH19:HJ19,HL19)-SUM(HG19,HK19)&gt;0,SUM(HE19:HF19,HH19:HJ19,HL19)-SUM(HG19,HK19),"")</f>
        <v/>
      </c>
      <c r="HT19" s="40" t="str">
        <f>IF(SUM(HN19,HO19,HS19)&gt;0,SUM(HN19,HO19,HS19),"")</f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>IF(SUM(HV19,HZ19)&gt;0,SUM(HV19,HZ19),"")</f>
        <v/>
      </c>
      <c r="IP19" s="11" t="str">
        <f>IF(SUM(HU19:HV19,HX19:HZ19,IB19)-HW19-IA19&gt;0,SUM(HU19:HV19,HX19:HZ19,IB19)-HW19-IA19,"")</f>
        <v/>
      </c>
      <c r="IQ19" s="11" t="str">
        <f>IF(SUM(IC19:ID19,IF19)-IE19&gt;0,SUM(IC19:ID19,IF19)-IE19,"")</f>
        <v/>
      </c>
      <c r="IR19" s="11" t="str">
        <f>IF(SUM(HV19,HZ19,ID19)&gt;0,SUM(HV19,HZ19,ID19),"")</f>
        <v/>
      </c>
      <c r="IS19" s="11" t="str">
        <f>IF(SUM(IP19,IQ19)&gt;0,SUM(IP19,IQ19),"")</f>
        <v/>
      </c>
      <c r="IT19" s="11" t="str">
        <f>IF(SUM(IH19,IL19)&gt;0,SUM(IH19,IL19),"")</f>
        <v/>
      </c>
      <c r="IU19" s="11" t="str">
        <f>IF(SUM(IG19:IH19,IJ19:IL19,IN19)-SUM(II19,IM19)&gt;0,SUM(IG19:IH19,IJ19:IL19,IN19)-SUM(II19,IM19),"")</f>
        <v/>
      </c>
      <c r="IV19" s="11" t="str">
        <f>IF(SUM(IP19,IQ19,IU19)&gt;0,SUM(IP19,IQ19,IU19),"")</f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>IF(SUM(IX19,JB19)&gt;0,SUM(IX19,JB19),"")</f>
        <v/>
      </c>
      <c r="JR19" s="40" t="str">
        <f>IF(SUM(IW19:IX19,IZ19:JB19,JD19)-IY19-JC19&gt;0,SUM(IW19:IX19,IZ19:JB19,JD19)-IY19-JC19,"")</f>
        <v/>
      </c>
      <c r="JS19" s="40" t="str">
        <f>IF(SUM(JE19:JF19,JH19)-JG19&gt;0,SUM(JE19:JF19,JH19)-JG19,"")</f>
        <v/>
      </c>
      <c r="JT19" s="40" t="str">
        <f>IF(SUM(IX19,JB19,JF19)&gt;0,SUM(IX19,JB19,JF19),"")</f>
        <v/>
      </c>
      <c r="JU19" s="40" t="str">
        <f>IF(SUM(JR19,JS19)&gt;0,SUM(JR19,JS19),"")</f>
        <v/>
      </c>
      <c r="JV19" s="40" t="str">
        <f>IF(SUM(JJ19,JN19)&gt;0,SUM(JJ19,JN19),"")</f>
        <v/>
      </c>
      <c r="JW19" s="40" t="str">
        <f>IF(SUM(JI19:JJ19,JL19:JN19,JP19)-SUM(JK19,JO19)&gt;0,SUM(JI19:JJ19,JL19:JN19,JP19)-SUM(JK19,JO19),"")</f>
        <v/>
      </c>
      <c r="JX19" s="40" t="str">
        <f>IF(SUM(JR19,JS19,JW19)&gt;0,SUM(JR19,JS19,JW19),"")</f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>IF(SUM(JZ19,KD19)&gt;0,SUM(JZ19,KD19),"")</f>
        <v/>
      </c>
      <c r="KT19" s="11" t="str">
        <f>IF(SUM(JY19:JZ19,KB19:KD19,KF19)-KA19-KE19&gt;0,SUM(JY19:JZ19,KB19:KD19,KF19)-KA19-KE19,"")</f>
        <v/>
      </c>
      <c r="KU19" s="11" t="str">
        <f>IF(SUM(KG19:KH19,KJ19)-KI19&gt;0,SUM(KG19:KH19,KJ19)-KI19,"")</f>
        <v/>
      </c>
      <c r="KV19" s="11" t="str">
        <f>IF(SUM(JZ19,KD19,KH19)&gt;0,SUM(JZ19,KD19,KH19),"")</f>
        <v/>
      </c>
      <c r="KW19" s="11" t="str">
        <f>IF(SUM(KT19,KU19)&gt;0,SUM(KT19,KU19),"")</f>
        <v/>
      </c>
      <c r="KX19" s="11" t="str">
        <f>IF(SUM(KL19,KP19)&gt;0,SUM(KL19,KP19),"")</f>
        <v/>
      </c>
      <c r="KY19" s="11" t="str">
        <f>IF(SUM(KK19:KL19,KN19:KP19,KR19)-SUM(KM19,KQ19)&gt;0,SUM(KK19:KL19,KN19:KP19,KR19)-SUM(KM19,KQ19),"")</f>
        <v/>
      </c>
      <c r="KZ19" s="11" t="str">
        <f>IF(SUM(KT19,KU19,KY19)&gt;0,SUM(KT19,KU19,KY19),"")</f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>IF(SUM(LB19,LF19)&gt;0,SUM(LB19,LF19),"")</f>
        <v/>
      </c>
      <c r="LV19" s="40" t="str">
        <f>IF(SUM(LA19:LB19,LD19:LF19,LH19)-LC19-LG19&gt;0,SUM(LA19:LB19,LD19:LF19,LH19)-LC19-LG19,"")</f>
        <v/>
      </c>
      <c r="LW19" s="40" t="str">
        <f>IF(SUM(LI19:LJ19,LL19)-LK19&gt;0,SUM(LI19:LJ19,LL19)-LK19,"")</f>
        <v/>
      </c>
      <c r="LX19" s="40" t="str">
        <f>IF(SUM(LB19,LF19,LJ19)&gt;0,SUM(LB19,LF19,LJ19),"")</f>
        <v/>
      </c>
      <c r="LY19" s="40" t="str">
        <f>IF(SUM(LV19,LW19)&gt;0,SUM(LV19,LW19),"")</f>
        <v/>
      </c>
      <c r="LZ19" s="40" t="str">
        <f>IF(SUM(LN19,LR19)&gt;0,SUM(LN19,LR19),"")</f>
        <v/>
      </c>
      <c r="MA19" s="40" t="str">
        <f>IF(SUM(LM19:LN19,LP19:LR19,LT19)-SUM(LO19,LS19)&gt;0,SUM(LM19:LN19,LP19:LR19,LT19)-SUM(LO19,LS19),"")</f>
        <v/>
      </c>
      <c r="MB19" s="40" t="str">
        <f>IF(SUM(LV19,LW19,MA19)&gt;0,SUM(LV19,LW19,MA19),"")</f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>IF(SUM(MD19,MH19)&gt;0,SUM(MD19,MH19),"")</f>
        <v/>
      </c>
      <c r="MX19" s="11" t="str">
        <f>IF(SUM(MC19:MD19,MF19:MH19,MJ19)-ME19-MI19&gt;0,SUM(MC19:MD19,MF19:MH19,MJ19)-ME19-MI19,"")</f>
        <v/>
      </c>
      <c r="MY19" s="11" t="str">
        <f>IF(SUM(MK19:ML19,MN19)-MM19&gt;0,SUM(MK19:ML19,MN19)-MM19,"")</f>
        <v/>
      </c>
      <c r="MZ19" s="11" t="str">
        <f>IF(SUM(MD19,MH19,ML19)&gt;0,SUM(MD19,MH19,ML19),"")</f>
        <v/>
      </c>
      <c r="NA19" s="11" t="str">
        <f>IF(SUM(MX19,MY19)&gt;0,SUM(MX19,MY19),"")</f>
        <v/>
      </c>
      <c r="NB19" s="11" t="str">
        <f>IF(SUM(MP19,MT19)&gt;0,SUM(MP19,MT19),"")</f>
        <v/>
      </c>
      <c r="NC19" s="11" t="str">
        <f>IF(SUM(MO19:MP19,MR19:MT19,MV19)-SUM(MQ19,MU19)&gt;0,SUM(MO19:MP19,MR19:MT19,MV19)-SUM(MQ19,MU19),"")</f>
        <v/>
      </c>
      <c r="ND19" s="11" t="str">
        <f>IF(SUM(MX19,MY19,NC19)&gt;0,SUM(MX19,MY19,NC19),"")</f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>IF(SUM(NF19,NJ19)&gt;0,SUM(NF19,NJ19),"")</f>
        <v/>
      </c>
      <c r="NZ19" s="40" t="str">
        <f>IF(SUM(NE19:NF19,NH19:NJ19,NL19)-NG19-NK19&gt;0,SUM(NE19:NF19,NH19:NJ19,NL19)-NG19-NK19,"")</f>
        <v/>
      </c>
      <c r="OA19" s="40" t="str">
        <f>IF(SUM(NM19:NN19,NP19)-NO19&gt;0,SUM(NM19:NN19,NP19)-NO19,"")</f>
        <v/>
      </c>
      <c r="OB19" s="40" t="str">
        <f>IF(SUM(NF19,NJ19,NN19)&gt;0,SUM(NF19,NJ19,NN19),"")</f>
        <v/>
      </c>
      <c r="OC19" s="40" t="str">
        <f>IF(SUM(NZ19,OA19)&gt;0,SUM(NZ19,OA19),"")</f>
        <v/>
      </c>
      <c r="OD19" s="40" t="str">
        <f>IF(SUM(NR19,NV19)&gt;0,SUM(NR19,NV19),"")</f>
        <v/>
      </c>
      <c r="OE19" s="40" t="str">
        <f>IF(SUM(NQ19:NR19,NT19:NV19,NX19)-SUM(NS19,NW19)&gt;0,SUM(NQ19:NR19,NT19:NV19,NX19)-SUM(NS19,NW19),"")</f>
        <v/>
      </c>
      <c r="OF19" s="40" t="str">
        <f>IF(SUM(NZ19,OA19,OE19)&gt;0,SUM(NZ19,OA19,OE19),"")</f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>IF(SUM(OH19,OL19)&gt;0,SUM(OH19,OL19),"")</f>
        <v/>
      </c>
      <c r="PB19" s="11" t="str">
        <f>IF(SUM(OG19:OH19,OJ19:OL19,ON19)-OI19-OM19&gt;0,SUM(OG19:OH19,OJ19:OL19,ON19)-OI19-OM19,"")</f>
        <v/>
      </c>
      <c r="PC19" s="11" t="str">
        <f>IF(SUM(OO19:OP19,OR19)-OQ19&gt;0,SUM(OO19:OP19,OR19)-OQ19,"")</f>
        <v/>
      </c>
      <c r="PD19" s="11" t="str">
        <f>IF(SUM(OH19,OL19,OP19)&gt;0,SUM(OH19,OL19,OP19),"")</f>
        <v/>
      </c>
      <c r="PE19" s="11" t="str">
        <f>IF(SUM(PB19,PC19)&gt;0,SUM(PB19,PC19),"")</f>
        <v/>
      </c>
      <c r="PF19" s="11" t="str">
        <f>IF(SUM(OT19,OX19)&gt;0,SUM(OT19,OX19),"")</f>
        <v/>
      </c>
      <c r="PG19" s="11" t="str">
        <f>IF(SUM(OS19:OT19,OV19:OX19,OZ19)-SUM(OU19,OY19)&gt;0,SUM(OS19:OT19,OV19:OX19,OZ19)-SUM(OU19,OY19),"")</f>
        <v/>
      </c>
      <c r="PH19" s="11" t="str">
        <f>IF(SUM(PB19,PC19,PG19)&gt;0,SUM(PB19,PC19,PG19),"")</f>
        <v/>
      </c>
      <c r="PI19" s="22">
        <f>IF($PY19="P",BM19,(BM19+AQ19)/2)</f>
        <v>0</v>
      </c>
      <c r="PJ19" s="22">
        <f>IF($PY19="P",BN19,(BN19+AR19)/2)</f>
        <v>0</v>
      </c>
      <c r="PK19" s="22">
        <f>IF($PY19="P",BO19,(BO19+AS19)/2)</f>
        <v>0</v>
      </c>
      <c r="PL19" s="22">
        <f>IF($PY19="P",BP19,(BP19+AT19)/2)</f>
        <v>0</v>
      </c>
      <c r="PM19" s="22">
        <f>IF($PY19="P",BQ19,(BQ19+AU19)/2)</f>
        <v>0</v>
      </c>
      <c r="PN19" s="22">
        <f>IF($PY19="P",BR19,(BR19+AV19)/2)</f>
        <v>0</v>
      </c>
      <c r="PO19" s="22">
        <f>IF($PY19="P",BS19,(BS19+AW19)/2)</f>
        <v>0</v>
      </c>
      <c r="PP19" s="22">
        <f>IF($PY19="P",BT19,(BT19+AX19)/2)</f>
        <v>0</v>
      </c>
      <c r="PQ19" s="22">
        <f>IF($PY19="P",BU19,(BU19+AY19)/2)</f>
        <v>0</v>
      </c>
      <c r="PR19" s="22">
        <f>IF($PY19="P",BV19,(BV19+AZ19)/2)</f>
        <v>0</v>
      </c>
      <c r="PS19" s="22">
        <f>IF($PY19="P",BW19,(BW19+BA19)/2)</f>
        <v>0</v>
      </c>
      <c r="PT19" s="22">
        <f>IF($PY19="P",BX19,(BX19+BB19)/2)</f>
        <v>0</v>
      </c>
      <c r="PU19" s="22">
        <f>IF($PY19="P",BY19,(BY19+BC19)/2)</f>
        <v>0</v>
      </c>
      <c r="PV19" s="22">
        <f>IF($PY19="P",BZ19,(BZ19+BD19)/2)</f>
        <v>0</v>
      </c>
      <c r="PW19" s="22">
        <f>IF($PY19="P",CA19,(CA19+BE19)/2)</f>
        <v>0</v>
      </c>
      <c r="PX19" s="22">
        <f>IF($PY19="P",CB19,(CB19+BF19)/2)</f>
        <v>0</v>
      </c>
      <c r="PY19" s="27" t="s">
        <v>46</v>
      </c>
      <c r="PZ19" s="40" t="str">
        <f>IF(SUM(PJ19,PN19)&gt;0,SUM(PJ19,PN19),"")</f>
        <v/>
      </c>
      <c r="QA19" s="40" t="str">
        <f>IF(SUM(PI19:PJ19,PL19:PN19,PP19)-PK19-PO19&gt;0,SUM(PI19:PJ19,PL19:PN19,PP19)-PK19-PO19,"")</f>
        <v/>
      </c>
      <c r="QB19" s="40" t="str">
        <f>IF(SUM(PR19,PV19)&gt;0,SUM(PR19,PV19),"")</f>
        <v/>
      </c>
      <c r="QC19" s="40" t="str">
        <f>IF(SUM(PQ19:PR19,PT19:PV19,PX19)-SUM(PS19,PW19)&gt;0,SUM(PQ19:PR19,PT19:PV19,PX19)-SUM(PS19,PW19),"")</f>
        <v/>
      </c>
      <c r="QD19" s="40" t="str">
        <f>IF(SUM(QA19,QC19)&gt;0,SUM(QA19,QC19),"")</f>
        <v/>
      </c>
    </row>
    <row r="20" spans="1:446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144</v>
      </c>
      <c r="D20" s="4" t="s">
        <v>4</v>
      </c>
      <c r="E20" s="4">
        <v>2007</v>
      </c>
      <c r="F20" s="9">
        <f>SUM(L20:R20)+SUM(L20:O20)*0.0000001+SUM(L20)*0.0000000000001</f>
        <v>122.40000827000449</v>
      </c>
      <c r="G20" s="64"/>
      <c r="H20" s="3" t="str">
        <f>IF(OR(AND(AL20&gt;=AP$36,AM20&gt;=AP$40,AL20&lt;&gt;"",AK20=""),AND(AN20&gt;=AP$36,AO20&gt;=AP$40,AN20&lt;&gt;"",AK20=""),AND(BH20&gt;=BL$36,BI20&gt;=BL$40,BH20&lt;&gt;"",BG20=""),AND(BJ20&gt;=BL$36,BK20&gt;=BL$40,BJ20&lt;&gt;"",BG20=""),AND(CD20&gt;=CH$36,CE20&gt;=CH$40,CD20&lt;&gt;"",CC20=""),AND(CF20&gt;=CH$36,CG20&gt;=CH$40,CF20&lt;&gt;""),AND(DE20&gt;=DL$36,DF20&gt;=DL$40,DE20&lt;&gt;""),AND(DJ20&gt;=DL$36,DK20&gt;=DL$40,DJ20&lt;&gt;""),AND(EG20&gt;=EN$36,EH20&gt;=EN$40,EG20&lt;&gt;""),AND(EL20&gt;=EN$36,EM20&gt;=EN$40,EL20&lt;&gt;""),AND(FI20&gt;=FP$36,FJ20&gt;=FP$40,FI20&lt;&gt;""),AND(FN20&gt;=FP$36,FO20&gt;=FP$40,FN20&lt;&gt;""),AND(GK20&gt;=GR$36,GL20&gt;=GR$40,GK20&lt;&gt;""),AND(GP20&gt;=GR$36,GQ20&gt;=GR$40,GP20&lt;&gt;""),AND(HM20&gt;=HT$36,HN20&gt;=HT$40,HM20&lt;&gt;""),AND(HR20&gt;=HT$36,HS20&gt;=HT$40,HR20&lt;&gt;""),AND(IO20&gt;=IV$36,IP20&gt;=IV$40,IO20&lt;&gt;""),AND(IT20&gt;=IV$36,IU20&gt;=IV$40,IT20&lt;&gt;""),AND(JQ20&gt;=JX$36,JR20&gt;=JX$40,JQ20&lt;&gt;""),AND(JV20&gt;=JX$36,JW20&gt;=JX$40,JV20&lt;&gt;""),AND(KS20&gt;=KZ$36,KT20&gt;=KZ$40,KS20&lt;&gt;""),AND(KX20&gt;=KZ$36,KY20&gt;=KZ$40,KX20&lt;&gt;""),AND(LU20&gt;=MB$36,LV20&gt;=MB$40,LU20&lt;&gt;""),AND(LZ20&gt;=MB$36,MA20&gt;=MB$40,LZ20&lt;&gt;""),AND(MW20&gt;=ND$36,MX20&gt;=ND$40,MW20&lt;&gt;""),AND(NB20&gt;=ND$36,NC20&gt;=ND$40,NB20&lt;&gt;""),AND(NY20&gt;=OF$36,NZ20&gt;=OF$40,NY20&lt;&gt;""),AND(OD20&gt;=OF$36,OE20&gt;=OF$40,OD20&lt;&gt;""),AND(PA20&gt;=PH$36,PB20&gt;=PH$40,PA20&lt;&gt;""),AND(PF20&gt;=PH$36,PG20&gt;=PH$40,PF20&lt;&gt;"")),"P","")</f>
        <v/>
      </c>
      <c r="I20" s="3" t="str">
        <f>IF(OR(AND(AM20&gt;=AP$40,AM20&lt;&gt;"",AK20=""),AND(AO20&gt;=AP$40,AO20&lt;&gt;"",AK20=""),AND(BI20&gt;=BL$40,BI20&lt;&gt;"",BG20=""),AND(BK20&gt;=BL$40,BK20&lt;&gt;"",BG20=""),AND(CE20&gt;=CH$40,CE20&lt;&gt;"",CC20=""),AND(CG20&gt;=CH$40,CG20&lt;&gt;"",CC20=""),AND(DF20&gt;=DL$40,DF20&lt;&gt;""),AND(DK20&gt;=DL$40,DK20&lt;&gt;""),AND(EH20&gt;=EN$40,EH20&lt;&gt;""),AND(EM20&gt;=EN$40,EM20&lt;&gt;""),AND(FJ20&gt;=FP$40,FJ20&lt;&gt;""),AND(FO20&gt;=FP$40,FO20&lt;&gt;""),AND(GL20&gt;=GR$40,GL20&lt;&gt;""),AND(GQ20&gt;=GR$40,GQ20&lt;&gt;""),AND(HN20&gt;=HT$40,HN20&lt;&gt;""),AND(HS20&gt;=HT$40,HS20&lt;&gt;""),AND(IP20&gt;=IV$40,IP20&lt;&gt;""),AND(IU20&gt;=IV$40,IU20&lt;&gt;""),AND(JR20&gt;=JX$40,JR20&lt;&gt;""),AND(JW20&gt;=JX$40,JW20&lt;&gt;""),AND(KT20&gt;=KZ$40,KT20&lt;&gt;""),AND(KY20&gt;=KZ$40,KY20&lt;&gt;""),AND(LV20&gt;=MB$40,LV20&lt;&gt;""),AND(MA20&gt;=MB$40,MA20&lt;&gt;""),AND(MX20&gt;=ND$40,MX20&lt;&gt;""),AND(NC20&gt;=ND$40,NC20&lt;&gt;""),AND(NZ20&gt;=OF$40,NZ20&lt;&gt;""),AND(OE20&gt;=OF$40,OE20&lt;&gt;""),AND(PB20&gt;=PH$40,PB20&lt;&gt;""),AND(PG20&gt;=PH$40,PG20&lt;&gt;"")),"P","")</f>
        <v/>
      </c>
      <c r="J20" s="36" t="str">
        <f>IF(AND(I20="P",H20=""),"No DD",IF(OR(AND(AL20&gt;=AP$26,AM20&gt;=AP$30,AL20&lt;&gt;"",AK20=""),AND(BH20&gt;=BL$26,BI20&gt;=BL$30,BH20&lt;&gt;"",BG20=""),AND(CD20&gt;=CH$26,CE20&gt;=CH$30,CD20&lt;&gt;"",CC20=""),AND(DH20&gt;=DL$26,DI20&gt;=DL$30,DH20&lt;&gt;""),AND(EJ20&gt;=EN$26,EK20&gt;=EN$30,EJ20&lt;&gt;""),AND(FL20&gt;=FP$26,FM20&gt;=FP$30,FL20&lt;&gt;""),AND(GN20&gt;=GR$26,GO20&gt;=GR$30,GN20&lt;&gt;""),AND(HP20&gt;=HT$26,HQ20&gt;=HT$30,HP20&lt;&gt;""),AND(IR20&gt;=IV$26,IS20&gt;=IV$30,IR20&lt;&gt;""),AND(JT20&gt;=JX$26,JU20&gt;=JX$30,JT20&lt;&gt;""),AND(KV20&gt;=KZ$26,KW20&gt;=KZ$30,KV20&lt;&gt;""),AND(LX20&gt;=MB$26,LY20&gt;=MB$30,LX20&lt;&gt;""),AND(MZ20&gt;=ND$26,NA20&gt;=ND$30,MZ20&lt;&gt;""),AND(OB20&gt;=OF$26,OC20&gt;=OF$30,OB20&lt;&gt;""),AND(PD20&gt;=PH$26,PE20&gt;=PH$30,PD20&lt;&gt;"")),"Merit",IF(OR(AND(AL20&gt;=AP$25,AM20&gt;=AP$29,AL20&lt;&gt;"",AK20=""),AND(BH20&gt;=BL$25,BI20&gt;=BL$29,BH20&lt;&gt;"",BG20=""),AND(CD20&gt;=CH$25,CE20&gt;=CH$29,CD20&lt;&gt;"",CC20=""),AND(DH20&gt;=DL$25,DI20&gt;=DL$29,DH20&lt;&gt;""),AND(EJ20&gt;=EN$25,EK20&gt;=EN$29,EJ20&lt;&gt;""),AND(FL20&gt;=FP$25,FM20&gt;=FP$29,FL20&lt;&gt;""),AND(GN20&gt;=GR$25,GO20&gt;=GR$29,GN20&lt;&gt;""),AND(HP20&gt;=HT$25,HQ20&gt;=HT$29,HP20&lt;&gt;""),AND(IR20&gt;=IV$25,IS20&gt;=IV$29,IR20&lt;&gt;""),AND(JT20&gt;=JX$25,JU20&gt;=JX$29,JT20&lt;&gt;""),AND(KV20&gt;=KZ$25,KW20&gt;=KZ$29,KV20&lt;&gt;""),AND(LX20&gt;=MB$25,LY20&gt;=MB$29,LX20&lt;&gt;""),AND(MZ20&gt;=ND$25,NA20&gt;=ND$29,MZ20&lt;&gt;""),AND(OB20&gt;=OF$25,OC20&gt;=OF$29,OB20&lt;&gt;""),AND(PD20&gt;=PH$25,PE20&gt;=PH$29,PD20&lt;&gt;"")),"Excellence",IF(K20="P","Worlds Team",IF(H20="P","National Team","")))))</f>
        <v/>
      </c>
      <c r="K20" s="3" t="str">
        <f>IF(OR(AND(AL20&gt;=AP$24,AM20&gt;=AP$28,AL20&lt;&gt;"",AK20=""),AND(BH20&gt;=BL$24,BI20&gt;=BL$28,BH20&lt;&gt;"",BG20=""),AND(CD20&gt;=CH$24,CE20&gt;=CH$28,CD20&lt;&gt;"",CC20=""),AND(DH20&gt;=DL$24,DI20&gt;=DL$28,DH20&lt;&gt;""),AND(EJ20&gt;=EN$24,EK20&gt;=EN$28,EJ20&lt;&gt;""),AND(FL20&gt;=FP$24,FM20&gt;=FP$28,FL20&lt;&gt;""),AND(GN20&gt;=GR$24,GO20&gt;=GR$28,GN20&lt;&gt;""),AND(HP20&gt;=HT$24,HQ20&gt;=HT$28,HP20&lt;&gt;""),AND(IR20&gt;=IV$24,IS20&gt;=IV$28,IR20&lt;&gt;""),AND(JT20&gt;=JX$24,JU20&gt;=JX$28,JT20&lt;&gt;""),AND(KV20&gt;=KZ$24,KW20&gt;=KZ$28,KV20&lt;&gt;""),AND(LX20&gt;=MB$24,LY20&gt;=MB$28,LX20&lt;&gt;""),AND(MZ20&gt;=ND$24,NA20&gt;=ND$28,MZ20&lt;&gt;""),AND(OB20&gt;=OF$24,OC20&gt;=OF$28,OB20&lt;&gt;""),AND(PD20&gt;=PH$24,PE20&gt;=PH$28,PD20&lt;&gt;"")),"P","")</f>
        <v/>
      </c>
      <c r="L20" s="8">
        <f>IF(COUNT(AM20,BI20,CE20)&gt;0,LARGE((AM20,BI20,CE20),1),0)</f>
        <v>44.9</v>
      </c>
      <c r="M20" s="8" t="str">
        <f>IF(L20=0,"",IF(L20=CE20,$BM$1,IF(L20=BI20,$AQ$1,IF(L20=AM20,$U$1,""))))</f>
        <v>2025 Nationals</v>
      </c>
      <c r="N20" s="8">
        <f>IF(COUNT(AM20,BI20,CE20)&gt;1,LARGE((AM20,BI20,CE20),2),0)</f>
        <v>37.800000000000004</v>
      </c>
      <c r="O20" s="8" t="str">
        <f>IF(N20=0,"",IF(AND(N20=L20,N20=AM20,N20=BI20),$U$1,IF(AND(N20=L20,N20=AM20,N20=CE20),$U$1,IF(AND(N20=L20,N20=BI20,N20=CE20),$AQ$1,IF(N20=CE20,$BM$1,IF(N20=BI20,$AQ$1,IF(N20=AM20,$U$1,"")))))))</f>
        <v>2025 Elite Canada</v>
      </c>
      <c r="P20" s="8">
        <f>IF(MAX(AO20,BK20,CG20)&gt;0,MAX(AO20,BK20,CG20),0)</f>
        <v>39.699999999999996</v>
      </c>
      <c r="Q20" s="8" t="str">
        <f>IF(P20=0,"",IF(P20=CG20,$BM$1,IF(P20=BK20,$AQ$1,IF(P20=AO20,$U$1,""))))</f>
        <v>2025 Nationals</v>
      </c>
      <c r="R20" s="8" t="str">
        <f>IF(MAX(CI20:CJ20)&gt;0,MAX(CI20:CJ20),"")</f>
        <v/>
      </c>
      <c r="S20" s="11" t="str">
        <f>IF(R20="","",IF(R20=CI20,"("&amp;CI$2&amp;")",IF(R20=CJ20,"("&amp;CJ$2&amp;")")))</f>
        <v/>
      </c>
      <c r="T20" s="8" t="str">
        <f>IF(R20="","",IF(R20=CI20,IF(R20+IF(N20="",0,N20)=PB20,$OG$1,IF(R20+IF(N20="",0,N20)=NZ20,$NE$1,IF(R20+IF(N20="",0,N20)=MX20,$MC$1,IF(R20+IF(N20="",0,N20)=LV20,$LA$1,IF(R20+IF(N20="",0,N20)=KT20,$JY$1,IF(R20+IF(N20="",0,N20)=JR20,$IW$1,IF(R20+IF(N20="",0,N20)=IP20,$HU$1,IF(R20+IF(N20="",0,N20)=HN20,$GS$1,IF(R20+IF(N20="",0,N20)=GL20,$FQ$1,IF(R20+IF(N20="",0,N20)=FJ20,$EO$1,IF(R20+IF(N20="",0,N20)=EH20,$DM$1,IF(R20+IF(N20="",0,N20)=DF20,$CK$1)))))))))))),IF(R20=CJ20,IF(R20+IF(P20="",0,P20)=PG20,$OG$1,IF(R20+IF(P20="",0,P20)=OE20,$NE$1,IF(R20+IF(P20="",0,P20)=NC20,$MC$1,IF(R20+IF(P20="",0,P20)=MA20,$LA$1,IF(R20+IF(P20="",0,P20)=KY20,$JY$1,IF(R20+IF(P20="",0,P20)=JW20,$IW$1,IF(R20+IF(P20="",0,P20)=IU20,$HU$1,IF(R20+IF(P20="",0,P20)=HS20,$GS$1,IF(R20+IF(P20="",0,P20)=GQ20,$FQ$1,IF(R20+IF(P20="",0,P20)=FO20,$EO$1,IF(R20+IF(P20="",0,P20)=EM20,$DM$1,IF(R20+IF(P20="",0,P20)=DK20,$CK$1)))))))))))))))</f>
        <v/>
      </c>
      <c r="U20" s="19">
        <v>18.399999999999999</v>
      </c>
      <c r="V20" s="19">
        <v>3.2</v>
      </c>
      <c r="W20" s="19">
        <v>0.3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27"/>
      <c r="AL20" s="40">
        <f>IF(SUM(V20,Z20)&gt;0,SUM(V20,Z20),"")</f>
        <v>3.9000000000000004</v>
      </c>
      <c r="AM20" s="40">
        <f>IF(SUM(U20:V20,X20:Z20,AB20)-W20-AA20&gt;0,SUM(U20:V20,X20:Z20,AB20)-W20-AA20,"")</f>
        <v>37.800000000000004</v>
      </c>
      <c r="AN20" s="40" t="str">
        <f>IF(SUM(AD20,AH20)&gt;0,SUM(AD20,AH20),"")</f>
        <v/>
      </c>
      <c r="AO20" s="40" t="str">
        <f>IF(SUM(AC20:AD20,AF20:AH20,AJ20)-SUM(AE20,AI20)&gt;0,SUM(AC20:AD20,AF20:AH20,AJ20)-SUM(AE20,AI20),"")</f>
        <v/>
      </c>
      <c r="AP20" s="40">
        <f>IF(SUM(AM20,AO20)&gt;0,SUM(AM20,AO20),"")</f>
        <v>37.800000000000004</v>
      </c>
      <c r="AQ20" s="18">
        <v>18.899999999999999</v>
      </c>
      <c r="AR20" s="18">
        <v>3.5</v>
      </c>
      <c r="AS20" s="18">
        <v>0</v>
      </c>
      <c r="AT20" s="18">
        <v>0</v>
      </c>
      <c r="AU20" s="18">
        <v>18.3</v>
      </c>
      <c r="AV20" s="18">
        <v>4.4000000000000004</v>
      </c>
      <c r="AW20" s="18">
        <v>0.2</v>
      </c>
      <c r="AX20" s="18">
        <v>0</v>
      </c>
      <c r="AY20" s="18">
        <v>19.3</v>
      </c>
      <c r="AZ20" s="18">
        <v>3.5</v>
      </c>
      <c r="BA20" s="18">
        <v>0.6</v>
      </c>
      <c r="BB20" s="18">
        <v>0</v>
      </c>
      <c r="BC20" s="18">
        <v>15.1</v>
      </c>
      <c r="BD20" s="18">
        <v>2.4</v>
      </c>
      <c r="BE20" s="18">
        <v>0</v>
      </c>
      <c r="BF20" s="18">
        <v>0</v>
      </c>
      <c r="BG20" s="28"/>
      <c r="BH20" s="11">
        <f>IF(SUM(AR20,AV20)&gt;0,SUM(AR20,AV20),"")</f>
        <v>7.9</v>
      </c>
      <c r="BI20" s="11">
        <f>IF(SUM(AQ20:AR20,AT20:AV20,AX20)-AS20-AW20&gt;0,SUM(AQ20:AR20,AT20:AV20,AX20)-AS20-AW20,"")</f>
        <v>44.9</v>
      </c>
      <c r="BJ20" s="11">
        <f>IF(SUM(AZ20,BD20)&gt;0,SUM(AZ20,BD20),"")</f>
        <v>5.9</v>
      </c>
      <c r="BK20" s="11">
        <f>IF(SUM(AY20:AZ20,BB20:BD20,BF20)-SUM(BA20,BE20)&gt;0,SUM(AY20:AZ20,BB20:BD20,BF20)-SUM(BA20,BE20),"")</f>
        <v>39.699999999999996</v>
      </c>
      <c r="BL20" s="11">
        <f>IF(SUM(BI20,BK20)&gt;0,SUM(BI20,BK20),"")</f>
        <v>84.6</v>
      </c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27"/>
      <c r="CD20" s="40" t="str">
        <f>IF(SUM(BN20,BR20)&gt;0,SUM(BN20,BR20),"")</f>
        <v/>
      </c>
      <c r="CE20" s="40" t="str">
        <f>IF(SUM(BM20:BN20,BP20:BR20,BT20)-BO20-BS20&gt;0,SUM(BM20:BN20,BP20:BR20,BT20)-BO20-BS20,"")</f>
        <v/>
      </c>
      <c r="CF20" s="40" t="str">
        <f>IF(SUM(BV20,BZ20)&gt;0,SUM(BV20,BZ20),"")</f>
        <v/>
      </c>
      <c r="CG20" s="40" t="str">
        <f>IF(SUM(BU20:BV20,BX20:BZ20,CB20)-SUM(BW20,CA20)&gt;0,SUM(BU20:BV20,BX20:BZ20,CB20)-SUM(BW20,CA20),"")</f>
        <v/>
      </c>
      <c r="CH20" s="40" t="str">
        <f>IF(SUM(CE20,CG20)&gt;0,SUM(CE20,CG20),"")</f>
        <v/>
      </c>
      <c r="CI20" s="50" t="str">
        <f>IF(MAX(DF20,EH20,FJ20,GL20,HN20,IP20,JR20,KT20,LV20,MX20,NZ20,PB20)-IF(N20="",0,N20)&gt;0.001,MAX(DF20,EH20,FJ20,GL20,HN20,IP20,JR20,KT20,LV20,MX20,NZ20,PB20)-IF(N20="",0,N20),"")</f>
        <v/>
      </c>
      <c r="CJ20" s="50" t="str">
        <f>IF(MAX(DK20,EM20,FO20,GQ20,HS20,IU20,JW20,KY20,MA20,NC20,OE20,PG20)-IF(P20="",0,P20)&gt;0.001,MAX(DK20,EM20,FO20,GQ20,HS20,IU20,JW20,KY20,MA20,NC20,OE20,PG20)-IF(P20="",0,P20),"")</f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>IF(SUM(CL20,CP20)&gt;0,SUM(CL20,CP20),"")</f>
        <v/>
      </c>
      <c r="DF20" s="40" t="str">
        <f>IF(SUM(CK20:CL20,CN20:CP20,CR20)-CM20-CQ20&gt;0,SUM(CK20:CL20,CN20:CP20,CR20)-CM20-CQ20,"")</f>
        <v/>
      </c>
      <c r="DG20" s="40" t="str">
        <f>IF(SUM(CS20:CT20,CV20)-CU20&gt;0,SUM(CS20:CT20,CV20)-CU20,"")</f>
        <v/>
      </c>
      <c r="DH20" s="40" t="str">
        <f>IF(SUM(CL20,CP20,CT20)&gt;0,SUM(CL20,CP20,CT20),"")</f>
        <v/>
      </c>
      <c r="DI20" s="40" t="str">
        <f>IF(SUM(DF20,DG20)&gt;0,SUM(DF20,DG20),"")</f>
        <v/>
      </c>
      <c r="DJ20" s="40" t="str">
        <f>IF(SUM(CX20,DB20)&gt;0,SUM(CX20,DB20),"")</f>
        <v/>
      </c>
      <c r="DK20" s="40" t="str">
        <f>IF(SUM(CW20:CX20,CZ20:DB20,DD20)-SUM(CY20,DC20)&gt;0,SUM(CW20:CX20,CZ20:DB20,DD20)-SUM(CY20,DC20),"")</f>
        <v/>
      </c>
      <c r="DL20" s="40" t="str">
        <f>IF(SUM(DF20,DG20,DK20)&gt;0,SUM(DF20,DG20,DK20),"")</f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>IF(SUM(DN20,DR20)&gt;0,SUM(DN20,DR20),"")</f>
        <v/>
      </c>
      <c r="EH20" s="11" t="str">
        <f>IF(SUM(DM20:DN20,DP20:DR20,DT20)-DO20-DS20&gt;0,SUM(DM20:DN20,DP20:DR20,DT20)-DO20-DS20,"")</f>
        <v/>
      </c>
      <c r="EI20" s="11" t="str">
        <f>IF(SUM(DU20:DV20,DX20)-DW20&gt;0,SUM(DU20:DV20,DX20)-DW20,"")</f>
        <v/>
      </c>
      <c r="EJ20" s="11" t="str">
        <f>IF(SUM(DN20,DR20,DV20)&gt;0,SUM(DN20,DR20,DV20),"")</f>
        <v/>
      </c>
      <c r="EK20" s="11" t="str">
        <f>IF(SUM(EH20,EI20)&gt;0,SUM(EH20,EI20),"")</f>
        <v/>
      </c>
      <c r="EL20" s="11" t="str">
        <f>IF(SUM(DZ20,ED20)&gt;0,SUM(DZ20,ED20),"")</f>
        <v/>
      </c>
      <c r="EM20" s="11" t="str">
        <f>IF(SUM(DY20:DZ20,EB20:ED20,EF20)-SUM(EA20,EE20)&gt;0,SUM(DY20:DZ20,EB20:ED20,EF20)-SUM(EA20,EE20),"")</f>
        <v/>
      </c>
      <c r="EN20" s="11" t="str">
        <f>IF(SUM(EH20,EI20,EM20)&gt;0,SUM(EH20,EI20,EM20),"")</f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>IF(SUM(EP20,ET20)&gt;0,SUM(EP20,ET20),"")</f>
        <v/>
      </c>
      <c r="FJ20" s="40" t="str">
        <f>IF(SUM(EO20:EP20,ER20:ET20,EV20)-EQ20-EU20&gt;0,SUM(EO20:EP20,ER20:ET20,EV20)-EQ20-EU20,"")</f>
        <v/>
      </c>
      <c r="FK20" s="40" t="str">
        <f>IF(SUM(EW20:EX20,EZ20)-EY20&gt;0,SUM(EW20:EX20,EZ20)-EY20,"")</f>
        <v/>
      </c>
      <c r="FL20" s="40" t="str">
        <f>IF(SUM(EP20,ET20,EX20)&gt;0,SUM(EP20,ET20,EX20),"")</f>
        <v/>
      </c>
      <c r="FM20" s="40" t="str">
        <f>IF(SUM(FJ20,FK20)&gt;0,SUM(FJ20,FK20),"")</f>
        <v/>
      </c>
      <c r="FN20" s="40" t="str">
        <f>IF(SUM(FB20,FF20)&gt;0,SUM(FB20,FF20),"")</f>
        <v/>
      </c>
      <c r="FO20" s="40" t="str">
        <f>IF(SUM(FA20:FB20,FD20:FF20,FH20)-SUM(FC20,FG20)&gt;0,SUM(FA20:FB20,FD20:FF20,FH20)-SUM(FC20,FG20),"")</f>
        <v/>
      </c>
      <c r="FP20" s="40" t="str">
        <f>IF(SUM(FJ20,FK20,FO20)&gt;0,SUM(FJ20,FK20,FO20),"")</f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>IF(SUM(FR20,FV20)&gt;0,SUM(FR20,FV20),"")</f>
        <v/>
      </c>
      <c r="GL20" s="11" t="str">
        <f>IF(SUM(FQ20:FR20,FT20:FV20,FX20)-FS20-FW20&gt;0,SUM(FQ20:FR20,FT20:FV20,FX20)-FS20-FW20,"")</f>
        <v/>
      </c>
      <c r="GM20" s="11" t="str">
        <f>IF(SUM(FY20:FZ20,GB20)-GA20&gt;0,SUM(FY20:FZ20,GB20)-GA20,"")</f>
        <v/>
      </c>
      <c r="GN20" s="11" t="str">
        <f>IF(SUM(FR20,FV20,FZ20)&gt;0,SUM(FR20,FV20,FZ20),"")</f>
        <v/>
      </c>
      <c r="GO20" s="11" t="str">
        <f>IF(SUM(GL20,GM20)&gt;0,SUM(GL20,GM20),"")</f>
        <v/>
      </c>
      <c r="GP20" s="11" t="str">
        <f>IF(SUM(GD20,GH20)&gt;0,SUM(GD20,GH20),"")</f>
        <v/>
      </c>
      <c r="GQ20" s="11" t="str">
        <f>IF(SUM(GC20:GD20,GF20:GH20,GJ20)-SUM(GE20,GI20)&gt;0,SUM(GC20:GD20,GF20:GH20,GJ20)-SUM(GE20,GI20),"")</f>
        <v/>
      </c>
      <c r="GR20" s="11" t="str">
        <f>IF(SUM(GL20,GM20,GQ20)&gt;0,SUM(GL20,GM20,GQ20),"")</f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>IF(SUM(GT20,GX20)&gt;0,SUM(GT20,GX20),"")</f>
        <v/>
      </c>
      <c r="HN20" s="40" t="str">
        <f>IF(SUM(GS20:GT20,GV20:GX20,GZ20)-GU20-GY20&gt;0,SUM(GS20:GT20,GV20:GX20,GZ20)-GU20-GY20,"")</f>
        <v/>
      </c>
      <c r="HO20" s="40" t="str">
        <f>IF(SUM(HA20:HB20,HD20)-HC20&gt;0,SUM(HA20:HB20,HD20)-HC20,"")</f>
        <v/>
      </c>
      <c r="HP20" s="40" t="str">
        <f>IF(SUM(GT20,GX20,HB20)&gt;0,SUM(GT20,GX20,HB20),"")</f>
        <v/>
      </c>
      <c r="HQ20" s="40" t="str">
        <f>IF(SUM(HN20,HO20)&gt;0,SUM(HN20,HO20),"")</f>
        <v/>
      </c>
      <c r="HR20" s="40" t="str">
        <f>IF(SUM(HF20,HJ20)&gt;0,SUM(HF20,HJ20),"")</f>
        <v/>
      </c>
      <c r="HS20" s="40" t="str">
        <f>IF(SUM(HE20:HF20,HH20:HJ20,HL20)-SUM(HG20,HK20)&gt;0,SUM(HE20:HF20,HH20:HJ20,HL20)-SUM(HG20,HK20),"")</f>
        <v/>
      </c>
      <c r="HT20" s="40" t="str">
        <f>IF(SUM(HN20,HO20,HS20)&gt;0,SUM(HN20,HO20,HS20),"")</f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>IF(SUM(HV20,HZ20)&gt;0,SUM(HV20,HZ20),"")</f>
        <v/>
      </c>
      <c r="IP20" s="11" t="str">
        <f>IF(SUM(HU20:HV20,HX20:HZ20,IB20)-HW20-IA20&gt;0,SUM(HU20:HV20,HX20:HZ20,IB20)-HW20-IA20,"")</f>
        <v/>
      </c>
      <c r="IQ20" s="11" t="str">
        <f>IF(SUM(IC20:ID20,IF20)-IE20&gt;0,SUM(IC20:ID20,IF20)-IE20,"")</f>
        <v/>
      </c>
      <c r="IR20" s="11" t="str">
        <f>IF(SUM(HV20,HZ20,ID20)&gt;0,SUM(HV20,HZ20,ID20),"")</f>
        <v/>
      </c>
      <c r="IS20" s="11" t="str">
        <f>IF(SUM(IP20,IQ20)&gt;0,SUM(IP20,IQ20),"")</f>
        <v/>
      </c>
      <c r="IT20" s="11" t="str">
        <f>IF(SUM(IH20,IL20)&gt;0,SUM(IH20,IL20),"")</f>
        <v/>
      </c>
      <c r="IU20" s="11" t="str">
        <f>IF(SUM(IG20:IH20,IJ20:IL20,IN20)-SUM(II20,IM20)&gt;0,SUM(IG20:IH20,IJ20:IL20,IN20)-SUM(II20,IM20),"")</f>
        <v/>
      </c>
      <c r="IV20" s="11" t="str">
        <f>IF(SUM(IP20,IQ20,IU20)&gt;0,SUM(IP20,IQ20,IU20),"")</f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>IF(SUM(IX20,JB20)&gt;0,SUM(IX20,JB20),"")</f>
        <v/>
      </c>
      <c r="JR20" s="40" t="str">
        <f>IF(SUM(IW20:IX20,IZ20:JB20,JD20)-IY20-JC20&gt;0,SUM(IW20:IX20,IZ20:JB20,JD20)-IY20-JC20,"")</f>
        <v/>
      </c>
      <c r="JS20" s="40" t="str">
        <f>IF(SUM(JE20:JF20,JH20)-JG20&gt;0,SUM(JE20:JF20,JH20)-JG20,"")</f>
        <v/>
      </c>
      <c r="JT20" s="40" t="str">
        <f>IF(SUM(IX20,JB20,JF20)&gt;0,SUM(IX20,JB20,JF20),"")</f>
        <v/>
      </c>
      <c r="JU20" s="40" t="str">
        <f>IF(SUM(JR20,JS20)&gt;0,SUM(JR20,JS20),"")</f>
        <v/>
      </c>
      <c r="JV20" s="40" t="str">
        <f>IF(SUM(JJ20,JN20)&gt;0,SUM(JJ20,JN20),"")</f>
        <v/>
      </c>
      <c r="JW20" s="40" t="str">
        <f>IF(SUM(JI20:JJ20,JL20:JN20,JP20)-SUM(JK20,JO20)&gt;0,SUM(JI20:JJ20,JL20:JN20,JP20)-SUM(JK20,JO20),"")</f>
        <v/>
      </c>
      <c r="JX20" s="40" t="str">
        <f>IF(SUM(JR20,JS20,JW20)&gt;0,SUM(JR20,JS20,JW20),"")</f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>IF(SUM(JZ20,KD20)&gt;0,SUM(JZ20,KD20),"")</f>
        <v/>
      </c>
      <c r="KT20" s="11" t="str">
        <f>IF(SUM(JY20:JZ20,KB20:KD20,KF20)-KA20-KE20&gt;0,SUM(JY20:JZ20,KB20:KD20,KF20)-KA20-KE20,"")</f>
        <v/>
      </c>
      <c r="KU20" s="11" t="str">
        <f>IF(SUM(KG20:KH20,KJ20)-KI20&gt;0,SUM(KG20:KH20,KJ20)-KI20,"")</f>
        <v/>
      </c>
      <c r="KV20" s="11" t="str">
        <f>IF(SUM(JZ20,KD20,KH20)&gt;0,SUM(JZ20,KD20,KH20),"")</f>
        <v/>
      </c>
      <c r="KW20" s="11" t="str">
        <f>IF(SUM(KT20,KU20)&gt;0,SUM(KT20,KU20),"")</f>
        <v/>
      </c>
      <c r="KX20" s="11" t="str">
        <f>IF(SUM(KL20,KP20)&gt;0,SUM(KL20,KP20),"")</f>
        <v/>
      </c>
      <c r="KY20" s="11" t="str">
        <f>IF(SUM(KK20:KL20,KN20:KP20,KR20)-SUM(KM20,KQ20)&gt;0,SUM(KK20:KL20,KN20:KP20,KR20)-SUM(KM20,KQ20),"")</f>
        <v/>
      </c>
      <c r="KZ20" s="11" t="str">
        <f>IF(SUM(KT20,KU20,KY20)&gt;0,SUM(KT20,KU20,KY20),"")</f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>IF(SUM(LB20,LF20)&gt;0,SUM(LB20,LF20),"")</f>
        <v/>
      </c>
      <c r="LV20" s="40" t="str">
        <f>IF(SUM(LA20:LB20,LD20:LF20,LH20)-LC20-LG20&gt;0,SUM(LA20:LB20,LD20:LF20,LH20)-LC20-LG20,"")</f>
        <v/>
      </c>
      <c r="LW20" s="40" t="str">
        <f>IF(SUM(LI20:LJ20,LL20)-LK20&gt;0,SUM(LI20:LJ20,LL20)-LK20,"")</f>
        <v/>
      </c>
      <c r="LX20" s="40" t="str">
        <f>IF(SUM(LB20,LF20,LJ20)&gt;0,SUM(LB20,LF20,LJ20),"")</f>
        <v/>
      </c>
      <c r="LY20" s="40" t="str">
        <f>IF(SUM(LV20,LW20)&gt;0,SUM(LV20,LW20),"")</f>
        <v/>
      </c>
      <c r="LZ20" s="40" t="str">
        <f>IF(SUM(LN20,LR20)&gt;0,SUM(LN20,LR20),"")</f>
        <v/>
      </c>
      <c r="MA20" s="40" t="str">
        <f>IF(SUM(LM20:LN20,LP20:LR20,LT20)-SUM(LO20,LS20)&gt;0,SUM(LM20:LN20,LP20:LR20,LT20)-SUM(LO20,LS20),"")</f>
        <v/>
      </c>
      <c r="MB20" s="40" t="str">
        <f>IF(SUM(LV20,LW20,MA20)&gt;0,SUM(LV20,LW20,MA20),"")</f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>IF(SUM(MD20,MH20)&gt;0,SUM(MD20,MH20),"")</f>
        <v/>
      </c>
      <c r="MX20" s="11" t="str">
        <f>IF(SUM(MC20:MD20,MF20:MH20,MJ20)-ME20-MI20&gt;0,SUM(MC20:MD20,MF20:MH20,MJ20)-ME20-MI20,"")</f>
        <v/>
      </c>
      <c r="MY20" s="11" t="str">
        <f>IF(SUM(MK20:ML20,MN20)-MM20&gt;0,SUM(MK20:ML20,MN20)-MM20,"")</f>
        <v/>
      </c>
      <c r="MZ20" s="11" t="str">
        <f>IF(SUM(MD20,MH20,ML20)&gt;0,SUM(MD20,MH20,ML20),"")</f>
        <v/>
      </c>
      <c r="NA20" s="11" t="str">
        <f>IF(SUM(MX20,MY20)&gt;0,SUM(MX20,MY20),"")</f>
        <v/>
      </c>
      <c r="NB20" s="11" t="str">
        <f>IF(SUM(MP20,MT20)&gt;0,SUM(MP20,MT20),"")</f>
        <v/>
      </c>
      <c r="NC20" s="11" t="str">
        <f>IF(SUM(MO20:MP20,MR20:MT20,MV20)-SUM(MQ20,MU20)&gt;0,SUM(MO20:MP20,MR20:MT20,MV20)-SUM(MQ20,MU20),"")</f>
        <v/>
      </c>
      <c r="ND20" s="11" t="str">
        <f>IF(SUM(MX20,MY20,NC20)&gt;0,SUM(MX20,MY20,NC20),"")</f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>IF(SUM(NF20,NJ20)&gt;0,SUM(NF20,NJ20),"")</f>
        <v/>
      </c>
      <c r="NZ20" s="40" t="str">
        <f>IF(SUM(NE20:NF20,NH20:NJ20,NL20)-NG20-NK20&gt;0,SUM(NE20:NF20,NH20:NJ20,NL20)-NG20-NK20,"")</f>
        <v/>
      </c>
      <c r="OA20" s="40" t="str">
        <f>IF(SUM(NM20:NN20,NP20)-NO20&gt;0,SUM(NM20:NN20,NP20)-NO20,"")</f>
        <v/>
      </c>
      <c r="OB20" s="40" t="str">
        <f>IF(SUM(NF20,NJ20,NN20)&gt;0,SUM(NF20,NJ20,NN20),"")</f>
        <v/>
      </c>
      <c r="OC20" s="40" t="str">
        <f>IF(SUM(NZ20,OA20)&gt;0,SUM(NZ20,OA20),"")</f>
        <v/>
      </c>
      <c r="OD20" s="40" t="str">
        <f>IF(SUM(NR20,NV20)&gt;0,SUM(NR20,NV20),"")</f>
        <v/>
      </c>
      <c r="OE20" s="40" t="str">
        <f>IF(SUM(NQ20:NR20,NT20:NV20,NX20)-SUM(NS20,NW20)&gt;0,SUM(NQ20:NR20,NT20:NV20,NX20)-SUM(NS20,NW20),"")</f>
        <v/>
      </c>
      <c r="OF20" s="40" t="str">
        <f>IF(SUM(NZ20,OA20,OE20)&gt;0,SUM(NZ20,OA20,OE20),"")</f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>IF(SUM(OH20,OL20)&gt;0,SUM(OH20,OL20),"")</f>
        <v/>
      </c>
      <c r="PB20" s="11" t="str">
        <f>IF(SUM(OG20:OH20,OJ20:OL20,ON20)-OI20-OM20&gt;0,SUM(OG20:OH20,OJ20:OL20,ON20)-OI20-OM20,"")</f>
        <v/>
      </c>
      <c r="PC20" s="11" t="str">
        <f>IF(SUM(OO20:OP20,OR20)-OQ20&gt;0,SUM(OO20:OP20,OR20)-OQ20,"")</f>
        <v/>
      </c>
      <c r="PD20" s="11" t="str">
        <f>IF(SUM(OH20,OL20,OP20)&gt;0,SUM(OH20,OL20,OP20),"")</f>
        <v/>
      </c>
      <c r="PE20" s="11" t="str">
        <f>IF(SUM(PB20,PC20)&gt;0,SUM(PB20,PC20),"")</f>
        <v/>
      </c>
      <c r="PF20" s="11" t="str">
        <f>IF(SUM(OT20,OX20)&gt;0,SUM(OT20,OX20),"")</f>
        <v/>
      </c>
      <c r="PG20" s="11" t="str">
        <f>IF(SUM(OS20:OT20,OV20:OX20,OZ20)-SUM(OU20,OY20)&gt;0,SUM(OS20:OT20,OV20:OX20,OZ20)-SUM(OU20,OY20),"")</f>
        <v/>
      </c>
      <c r="PH20" s="11" t="str">
        <f>IF(SUM(PB20,PC20,PG20)&gt;0,SUM(PB20,PC20,PG20),"")</f>
        <v/>
      </c>
      <c r="PI20" s="22">
        <f>IF($PY20="P",BM20,(BM20+AQ20)/2)</f>
        <v>0</v>
      </c>
      <c r="PJ20" s="22">
        <f>IF($PY20="P",BN20,(BN20+AR20)/2)</f>
        <v>0</v>
      </c>
      <c r="PK20" s="22">
        <f>IF($PY20="P",BO20,(BO20+AS20)/2)</f>
        <v>0</v>
      </c>
      <c r="PL20" s="22">
        <f>IF($PY20="P",BP20,(BP20+AT20)/2)</f>
        <v>0</v>
      </c>
      <c r="PM20" s="22">
        <f>IF($PY20="P",BQ20,(BQ20+AU20)/2)</f>
        <v>0</v>
      </c>
      <c r="PN20" s="22">
        <f>IF($PY20="P",BR20,(BR20+AV20)/2)</f>
        <v>0</v>
      </c>
      <c r="PO20" s="22">
        <f>IF($PY20="P",BS20,(BS20+AW20)/2)</f>
        <v>0</v>
      </c>
      <c r="PP20" s="22">
        <f>IF($PY20="P",BT20,(BT20+AX20)/2)</f>
        <v>0</v>
      </c>
      <c r="PQ20" s="22">
        <f>IF($PY20="P",BU20,(BU20+AY20)/2)</f>
        <v>0</v>
      </c>
      <c r="PR20" s="22">
        <f>IF($PY20="P",BV20,(BV20+AZ20)/2)</f>
        <v>0</v>
      </c>
      <c r="PS20" s="22">
        <f>IF($PY20="P",BW20,(BW20+BA20)/2)</f>
        <v>0</v>
      </c>
      <c r="PT20" s="22">
        <f>IF($PY20="P",BX20,(BX20+BB20)/2)</f>
        <v>0</v>
      </c>
      <c r="PU20" s="22">
        <f>IF($PY20="P",BY20,(BY20+BC20)/2)</f>
        <v>0</v>
      </c>
      <c r="PV20" s="22">
        <f>IF($PY20="P",BZ20,(BZ20+BD20)/2)</f>
        <v>0</v>
      </c>
      <c r="PW20" s="22">
        <f>IF($PY20="P",CA20,(CA20+BE20)/2)</f>
        <v>0</v>
      </c>
      <c r="PX20" s="22">
        <f>IF($PY20="P",CB20,(CB20+BF20)/2)</f>
        <v>0</v>
      </c>
      <c r="PY20" s="27" t="s">
        <v>46</v>
      </c>
      <c r="PZ20" s="40" t="str">
        <f>IF(SUM(PJ20,PN20)&gt;0,SUM(PJ20,PN20),"")</f>
        <v/>
      </c>
      <c r="QA20" s="40" t="str">
        <f>IF(SUM(PI20:PJ20,PL20:PN20,PP20)-PK20-PO20&gt;0,SUM(PI20:PJ20,PL20:PN20,PP20)-PK20-PO20,"")</f>
        <v/>
      </c>
      <c r="QB20" s="40" t="str">
        <f>IF(SUM(PR20,PV20)&gt;0,SUM(PR20,PV20),"")</f>
        <v/>
      </c>
      <c r="QC20" s="40" t="str">
        <f>IF(SUM(PQ20:PR20,PT20:PV20,PX20)-SUM(PS20,PW20)&gt;0,SUM(PQ20:PR20,PT20:PV20,PX20)-SUM(PS20,PW20),"")</f>
        <v/>
      </c>
      <c r="QD20" s="40" t="str">
        <f>IF(SUM(QA20,QC20)&gt;0,SUM(QA20,QC20),"")</f>
        <v/>
      </c>
    </row>
    <row r="21" spans="1:446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180</v>
      </c>
      <c r="D21" s="4" t="s">
        <v>3</v>
      </c>
      <c r="E21" s="4">
        <v>2008</v>
      </c>
      <c r="F21" s="9">
        <f>SUM(L21:R21)+SUM(L21:O21)*0.0000001+SUM(L21)*0.0000000000001</f>
        <v>107.70000627000462</v>
      </c>
      <c r="G21" s="64"/>
      <c r="H21" s="3" t="str">
        <f>IF(OR(AND(AL21&gt;=AP$36,AM21&gt;=AP$40,AL21&lt;&gt;"",AK21=""),AND(AN21&gt;=AP$36,AO21&gt;=AP$40,AN21&lt;&gt;"",AK21=""),AND(BH21&gt;=BL$36,BI21&gt;=BL$40,BH21&lt;&gt;"",BG21=""),AND(BJ21&gt;=BL$36,BK21&gt;=BL$40,BJ21&lt;&gt;"",BG21=""),AND(CD21&gt;=CH$36,CE21&gt;=CH$40,CD21&lt;&gt;"",CC21=""),AND(CF21&gt;=CH$36,CG21&gt;=CH$40,CF21&lt;&gt;""),AND(DE21&gt;=DL$36,DF21&gt;=DL$40,DE21&lt;&gt;""),AND(DJ21&gt;=DL$36,DK21&gt;=DL$40,DJ21&lt;&gt;""),AND(EG21&gt;=EN$36,EH21&gt;=EN$40,EG21&lt;&gt;""),AND(EL21&gt;=EN$36,EM21&gt;=EN$40,EL21&lt;&gt;""),AND(FI21&gt;=FP$36,FJ21&gt;=FP$40,FI21&lt;&gt;""),AND(FN21&gt;=FP$36,FO21&gt;=FP$40,FN21&lt;&gt;""),AND(GK21&gt;=GR$36,GL21&gt;=GR$40,GK21&lt;&gt;""),AND(GP21&gt;=GR$36,GQ21&gt;=GR$40,GP21&lt;&gt;""),AND(HM21&gt;=HT$36,HN21&gt;=HT$40,HM21&lt;&gt;""),AND(HR21&gt;=HT$36,HS21&gt;=HT$40,HR21&lt;&gt;""),AND(IO21&gt;=IV$36,IP21&gt;=IV$40,IO21&lt;&gt;""),AND(IT21&gt;=IV$36,IU21&gt;=IV$40,IT21&lt;&gt;""),AND(JQ21&gt;=JX$36,JR21&gt;=JX$40,JQ21&lt;&gt;""),AND(JV21&gt;=JX$36,JW21&gt;=JX$40,JV21&lt;&gt;""),AND(KS21&gt;=KZ$36,KT21&gt;=KZ$40,KS21&lt;&gt;""),AND(KX21&gt;=KZ$36,KY21&gt;=KZ$40,KX21&lt;&gt;""),AND(LU21&gt;=MB$36,LV21&gt;=MB$40,LU21&lt;&gt;""),AND(LZ21&gt;=MB$36,MA21&gt;=MB$40,LZ21&lt;&gt;""),AND(MW21&gt;=ND$36,MX21&gt;=ND$40,MW21&lt;&gt;""),AND(NB21&gt;=ND$36,NC21&gt;=ND$40,NB21&lt;&gt;""),AND(NY21&gt;=OF$36,NZ21&gt;=OF$40,NY21&lt;&gt;""),AND(OD21&gt;=OF$36,OE21&gt;=OF$40,OD21&lt;&gt;""),AND(PA21&gt;=PH$36,PB21&gt;=PH$40,PA21&lt;&gt;""),AND(PF21&gt;=PH$36,PG21&gt;=PH$40,PF21&lt;&gt;"")),"P","")</f>
        <v/>
      </c>
      <c r="I21" s="3" t="str">
        <f>IF(OR(AND(AM21&gt;=AP$40,AM21&lt;&gt;"",AK21=""),AND(AO21&gt;=AP$40,AO21&lt;&gt;"",AK21=""),AND(BI21&gt;=BL$40,BI21&lt;&gt;"",BG21=""),AND(BK21&gt;=BL$40,BK21&lt;&gt;"",BG21=""),AND(CE21&gt;=CH$40,CE21&lt;&gt;"",CC21=""),AND(CG21&gt;=CH$40,CG21&lt;&gt;"",CC21=""),AND(DF21&gt;=DL$40,DF21&lt;&gt;""),AND(DK21&gt;=DL$40,DK21&lt;&gt;""),AND(EH21&gt;=EN$40,EH21&lt;&gt;""),AND(EM21&gt;=EN$40,EM21&lt;&gt;""),AND(FJ21&gt;=FP$40,FJ21&lt;&gt;""),AND(FO21&gt;=FP$40,FO21&lt;&gt;""),AND(GL21&gt;=GR$40,GL21&lt;&gt;""),AND(GQ21&gt;=GR$40,GQ21&lt;&gt;""),AND(HN21&gt;=HT$40,HN21&lt;&gt;""),AND(HS21&gt;=HT$40,HS21&lt;&gt;""),AND(IP21&gt;=IV$40,IP21&lt;&gt;""),AND(IU21&gt;=IV$40,IU21&lt;&gt;""),AND(JR21&gt;=JX$40,JR21&lt;&gt;""),AND(JW21&gt;=JX$40,JW21&lt;&gt;""),AND(KT21&gt;=KZ$40,KT21&lt;&gt;""),AND(KY21&gt;=KZ$40,KY21&lt;&gt;""),AND(LV21&gt;=MB$40,LV21&lt;&gt;""),AND(MA21&gt;=MB$40,MA21&lt;&gt;""),AND(MX21&gt;=ND$40,MX21&lt;&gt;""),AND(NC21&gt;=ND$40,NC21&lt;&gt;""),AND(NZ21&gt;=OF$40,NZ21&lt;&gt;""),AND(OE21&gt;=OF$40,OE21&lt;&gt;""),AND(PB21&gt;=PH$40,PB21&lt;&gt;""),AND(PG21&gt;=PH$40,PG21&lt;&gt;"")),"P","")</f>
        <v/>
      </c>
      <c r="J21" s="36" t="str">
        <f>IF(AND(I21="P",H21=""),"No DD",IF(OR(AND(AL21&gt;=AP$26,AM21&gt;=AP$30,AL21&lt;&gt;"",AK21=""),AND(BH21&gt;=BL$26,BI21&gt;=BL$30,BH21&lt;&gt;"",BG21=""),AND(CD21&gt;=CH$26,CE21&gt;=CH$30,CD21&lt;&gt;"",CC21=""),AND(DH21&gt;=DL$26,DI21&gt;=DL$30,DH21&lt;&gt;""),AND(EJ21&gt;=EN$26,EK21&gt;=EN$30,EJ21&lt;&gt;""),AND(FL21&gt;=FP$26,FM21&gt;=FP$30,FL21&lt;&gt;""),AND(GN21&gt;=GR$26,GO21&gt;=GR$30,GN21&lt;&gt;""),AND(HP21&gt;=HT$26,HQ21&gt;=HT$30,HP21&lt;&gt;""),AND(IR21&gt;=IV$26,IS21&gt;=IV$30,IR21&lt;&gt;""),AND(JT21&gt;=JX$26,JU21&gt;=JX$30,JT21&lt;&gt;""),AND(KV21&gt;=KZ$26,KW21&gt;=KZ$30,KV21&lt;&gt;""),AND(LX21&gt;=MB$26,LY21&gt;=MB$30,LX21&lt;&gt;""),AND(MZ21&gt;=ND$26,NA21&gt;=ND$30,MZ21&lt;&gt;""),AND(OB21&gt;=OF$26,OC21&gt;=OF$30,OB21&lt;&gt;""),AND(PD21&gt;=PH$26,PE21&gt;=PH$30,PD21&lt;&gt;"")),"Merit",IF(OR(AND(AL21&gt;=AP$25,AM21&gt;=AP$29,AL21&lt;&gt;"",AK21=""),AND(BH21&gt;=BL$25,BI21&gt;=BL$29,BH21&lt;&gt;"",BG21=""),AND(CD21&gt;=CH$25,CE21&gt;=CH$29,CD21&lt;&gt;"",CC21=""),AND(DH21&gt;=DL$25,DI21&gt;=DL$29,DH21&lt;&gt;""),AND(EJ21&gt;=EN$25,EK21&gt;=EN$29,EJ21&lt;&gt;""),AND(FL21&gt;=FP$25,FM21&gt;=FP$29,FL21&lt;&gt;""),AND(GN21&gt;=GR$25,GO21&gt;=GR$29,GN21&lt;&gt;""),AND(HP21&gt;=HT$25,HQ21&gt;=HT$29,HP21&lt;&gt;""),AND(IR21&gt;=IV$25,IS21&gt;=IV$29,IR21&lt;&gt;""),AND(JT21&gt;=JX$25,JU21&gt;=JX$29,JT21&lt;&gt;""),AND(KV21&gt;=KZ$25,KW21&gt;=KZ$29,KV21&lt;&gt;""),AND(LX21&gt;=MB$25,LY21&gt;=MB$29,LX21&lt;&gt;""),AND(MZ21&gt;=ND$25,NA21&gt;=ND$29,MZ21&lt;&gt;""),AND(OB21&gt;=OF$25,OC21&gt;=OF$29,OB21&lt;&gt;""),AND(PD21&gt;=PH$25,PE21&gt;=PH$29,PD21&lt;&gt;"")),"Excellence",IF(K21="P","Worlds Team",IF(H21="P","National Team","")))))</f>
        <v/>
      </c>
      <c r="K21" s="3" t="str">
        <f>IF(OR(AND(AL21&gt;=AP$24,AM21&gt;=AP$28,AL21&lt;&gt;"",AK21=""),AND(BH21&gt;=BL$24,BI21&gt;=BL$28,BH21&lt;&gt;"",BG21=""),AND(CD21&gt;=CH$24,CE21&gt;=CH$28,CD21&lt;&gt;"",CC21=""),AND(DH21&gt;=DL$24,DI21&gt;=DL$28,DH21&lt;&gt;""),AND(EJ21&gt;=EN$24,EK21&gt;=EN$28,EJ21&lt;&gt;""),AND(FL21&gt;=FP$24,FM21&gt;=FP$28,FL21&lt;&gt;""),AND(GN21&gt;=GR$24,GO21&gt;=GR$28,GN21&lt;&gt;""),AND(HP21&gt;=HT$24,HQ21&gt;=HT$28,HP21&lt;&gt;""),AND(IR21&gt;=IV$24,IS21&gt;=IV$28,IR21&lt;&gt;""),AND(JT21&gt;=JX$24,JU21&gt;=JX$28,JT21&lt;&gt;""),AND(KV21&gt;=KZ$24,KW21&gt;=KZ$28,KV21&lt;&gt;""),AND(LX21&gt;=MB$24,LY21&gt;=MB$28,LX21&lt;&gt;""),AND(MZ21&gt;=ND$24,NA21&gt;=ND$28,MZ21&lt;&gt;""),AND(OB21&gt;=OF$24,OC21&gt;=OF$28,OB21&lt;&gt;""),AND(PD21&gt;=PH$24,PE21&gt;=PH$28,PD21&lt;&gt;"")),"P","")</f>
        <v/>
      </c>
      <c r="L21" s="8">
        <f>IF(COUNT(AM21,BI21,CE21)&gt;0,LARGE((AM21,BI21,CE21),1),0)</f>
        <v>46.1</v>
      </c>
      <c r="M21" s="8" t="str">
        <f>IF(L21=0,"",IF(L21=CE21,$BM$1,IF(L21=BI21,$AQ$1,IF(L21=AM21,$U$1,""))))</f>
        <v>2025 Nationals</v>
      </c>
      <c r="N21" s="8">
        <f>IF(COUNT(AM21,BI21,CE21)&gt;1,LARGE((AM21,BI21,CE21),2),0)</f>
        <v>16.600000000000001</v>
      </c>
      <c r="O21" s="8" t="str">
        <f>IF(N21=0,"",IF(AND(N21=L21,N21=AM21,N21=BI21),$U$1,IF(AND(N21=L21,N21=AM21,N21=CE21),$U$1,IF(AND(N21=L21,N21=BI21,N21=CE21),$AQ$1,IF(N21=CE21,$BM$1,IF(N21=BI21,$AQ$1,IF(N21=AM21,$U$1,"")))))))</f>
        <v>2025 Elite Canada</v>
      </c>
      <c r="P21" s="8">
        <f>IF(MAX(AO21,BK21,CG21)&gt;0,MAX(AO21,BK21,CG21),0)</f>
        <v>45.000000000000007</v>
      </c>
      <c r="Q21" s="8" t="str">
        <f>IF(P21=0,"",IF(P21=CG21,$BM$1,IF(P21=BK21,$AQ$1,IF(P21=AO21,$U$1,""))))</f>
        <v>2025 Nationals</v>
      </c>
      <c r="R21" s="8" t="str">
        <f>IF(MAX(CI21:CJ21)&gt;0,MAX(CI21:CJ21),"")</f>
        <v/>
      </c>
      <c r="S21" s="11" t="str">
        <f>IF(R21="","",IF(R21=CI21,"("&amp;CI$2&amp;")",IF(R21=CJ21,"("&amp;CJ$2&amp;")")))</f>
        <v/>
      </c>
      <c r="T21" s="8" t="str">
        <f>IF(R21="","",IF(R21=CI21,IF(R21+IF(N21="",0,N21)=PB21,$OG$1,IF(R21+IF(N21="",0,N21)=NZ21,$NE$1,IF(R21+IF(N21="",0,N21)=MX21,$MC$1,IF(R21+IF(N21="",0,N21)=LV21,$LA$1,IF(R21+IF(N21="",0,N21)=KT21,$JY$1,IF(R21+IF(N21="",0,N21)=JR21,$IW$1,IF(R21+IF(N21="",0,N21)=IP21,$HU$1,IF(R21+IF(N21="",0,N21)=HN21,$GS$1,IF(R21+IF(N21="",0,N21)=GL21,$FQ$1,IF(R21+IF(N21="",0,N21)=FJ21,$EO$1,IF(R21+IF(N21="",0,N21)=EH21,$DM$1,IF(R21+IF(N21="",0,N21)=DF21,$CK$1)))))))))))),IF(R21=CJ21,IF(R21+IF(P21="",0,P21)=PG21,$OG$1,IF(R21+IF(P21="",0,P21)=OE21,$NE$1,IF(R21+IF(P21="",0,P21)=NC21,$MC$1,IF(R21+IF(P21="",0,P21)=MA21,$LA$1,IF(R21+IF(P21="",0,P21)=KY21,$JY$1,IF(R21+IF(P21="",0,P21)=JW21,$IW$1,IF(R21+IF(P21="",0,P21)=IU21,$HU$1,IF(R21+IF(P21="",0,P21)=HS21,$GS$1,IF(R21+IF(P21="",0,P21)=GQ21,$FQ$1,IF(R21+IF(P21="",0,P21)=FO21,$EO$1,IF(R21+IF(P21="",0,P21)=EM21,$DM$1,IF(R21+IF(P21="",0,P21)=DK21,$CK$1)))))))))))))))</f>
        <v/>
      </c>
      <c r="U21" s="19">
        <v>15.4</v>
      </c>
      <c r="V21" s="19">
        <v>1.2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/>
      <c r="AD21" s="19"/>
      <c r="AE21" s="19"/>
      <c r="AF21" s="19"/>
      <c r="AG21" s="19"/>
      <c r="AH21" s="19"/>
      <c r="AI21" s="19"/>
      <c r="AJ21" s="19"/>
      <c r="AK21" s="27"/>
      <c r="AL21" s="40">
        <f>IF(SUM(V21,Z21)&gt;0,SUM(V21,Z21),"")</f>
        <v>1.2</v>
      </c>
      <c r="AM21" s="40">
        <f>IF(SUM(U21:V21,X21:Z21,AB21)-W21-AA21&gt;0,SUM(U21:V21,X21:Z21,AB21)-W21-AA21,"")</f>
        <v>16.600000000000001</v>
      </c>
      <c r="AN21" s="40" t="str">
        <f>IF(SUM(AD21,AH21)&gt;0,SUM(AD21,AH21),"")</f>
        <v/>
      </c>
      <c r="AO21" s="40" t="str">
        <f>IF(SUM(AC21:AD21,AF21:AH21,AJ21)-SUM(AE21,AI21)&gt;0,SUM(AC21:AD21,AF21:AH21,AJ21)-SUM(AE21,AI21),"")</f>
        <v/>
      </c>
      <c r="AP21" s="40">
        <f>IF(SUM(AM21,AO21)&gt;0,SUM(AM21,AO21),"")</f>
        <v>16.600000000000001</v>
      </c>
      <c r="AQ21" s="18">
        <v>18.399999999999999</v>
      </c>
      <c r="AR21" s="18">
        <v>3.6</v>
      </c>
      <c r="AS21" s="18">
        <v>0</v>
      </c>
      <c r="AT21" s="18">
        <v>0</v>
      </c>
      <c r="AU21" s="18">
        <v>18.899999999999999</v>
      </c>
      <c r="AV21" s="18">
        <v>5.2</v>
      </c>
      <c r="AW21" s="18">
        <v>0</v>
      </c>
      <c r="AX21" s="18">
        <v>0</v>
      </c>
      <c r="AY21" s="18">
        <v>18.600000000000001</v>
      </c>
      <c r="AZ21" s="18">
        <v>3.6</v>
      </c>
      <c r="BA21" s="18">
        <v>0</v>
      </c>
      <c r="BB21" s="18">
        <v>0</v>
      </c>
      <c r="BC21" s="18">
        <v>18.399999999999999</v>
      </c>
      <c r="BD21" s="18">
        <v>5.2</v>
      </c>
      <c r="BE21" s="18">
        <v>0.8</v>
      </c>
      <c r="BF21" s="18">
        <v>0</v>
      </c>
      <c r="BG21" s="28"/>
      <c r="BH21" s="11">
        <f>IF(SUM(AR21,AV21)&gt;0,SUM(AR21,AV21),"")</f>
        <v>8.8000000000000007</v>
      </c>
      <c r="BI21" s="11">
        <f>IF(SUM(AQ21:AR21,AT21:AV21,AX21)-AS21-AW21&gt;0,SUM(AQ21:AR21,AT21:AV21,AX21)-AS21-AW21,"")</f>
        <v>46.1</v>
      </c>
      <c r="BJ21" s="11">
        <f>IF(SUM(AZ21,BD21)&gt;0,SUM(AZ21,BD21),"")</f>
        <v>8.8000000000000007</v>
      </c>
      <c r="BK21" s="11">
        <f>IF(SUM(AY21:AZ21,BB21:BD21,BF21)-SUM(BA21,BE21)&gt;0,SUM(AY21:AZ21,BB21:BD21,BF21)-SUM(BA21,BE21),"")</f>
        <v>45.000000000000007</v>
      </c>
      <c r="BL21" s="11">
        <f>IF(SUM(BI21,BK21)&gt;0,SUM(BI21,BK21),"")</f>
        <v>91.100000000000009</v>
      </c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27"/>
      <c r="CD21" s="40" t="str">
        <f>IF(SUM(BN21,BR21)&gt;0,SUM(BN21,BR21),"")</f>
        <v/>
      </c>
      <c r="CE21" s="40" t="str">
        <f>IF(SUM(BM21:BN21,BP21:BR21,BT21)-BO21-BS21&gt;0,SUM(BM21:BN21,BP21:BR21,BT21)-BO21-BS21,"")</f>
        <v/>
      </c>
      <c r="CF21" s="40" t="str">
        <f>IF(SUM(BV21,BZ21)&gt;0,SUM(BV21,BZ21),"")</f>
        <v/>
      </c>
      <c r="CG21" s="40" t="str">
        <f>IF(SUM(BU21:BV21,BX21:BZ21,CB21)-SUM(BW21,CA21)&gt;0,SUM(BU21:BV21,BX21:BZ21,CB21)-SUM(BW21,CA21),"")</f>
        <v/>
      </c>
      <c r="CH21" s="40" t="str">
        <f>IF(SUM(CE21,CG21)&gt;0,SUM(CE21,CG21),"")</f>
        <v/>
      </c>
      <c r="CI21" s="50" t="str">
        <f>IF(MAX(DF21,EH21,FJ21,GL21,HN21,IP21,JR21,KT21,LV21,MX21,NZ21,PB21)-IF(N21="",0,N21)&gt;0.001,MAX(DF21,EH21,FJ21,GL21,HN21,IP21,JR21,KT21,LV21,MX21,NZ21,PB21)-IF(N21="",0,N21),"")</f>
        <v/>
      </c>
      <c r="CJ21" s="50" t="str">
        <f>IF(MAX(DK21,EM21,FO21,GQ21,HS21,IU21,JW21,KY21,MA21,NC21,OE21,PG21)-IF(P21="",0,P21)&gt;0.001,MAX(DK21,EM21,FO21,GQ21,HS21,IU21,JW21,KY21,MA21,NC21,OE21,PG21)-IF(P21="",0,P21),"")</f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>IF(SUM(CL21,CP21)&gt;0,SUM(CL21,CP21),"")</f>
        <v/>
      </c>
      <c r="DF21" s="40" t="str">
        <f>IF(SUM(CK21:CL21,CN21:CP21,CR21)-CM21-CQ21&gt;0,SUM(CK21:CL21,CN21:CP21,CR21)-CM21-CQ21,"")</f>
        <v/>
      </c>
      <c r="DG21" s="40" t="str">
        <f>IF(SUM(CS21:CT21,CV21)-CU21&gt;0,SUM(CS21:CT21,CV21)-CU21,"")</f>
        <v/>
      </c>
      <c r="DH21" s="40" t="str">
        <f>IF(SUM(CL21,CP21,CT21)&gt;0,SUM(CL21,CP21,CT21),"")</f>
        <v/>
      </c>
      <c r="DI21" s="40" t="str">
        <f>IF(SUM(DF21,DG21)&gt;0,SUM(DF21,DG21),"")</f>
        <v/>
      </c>
      <c r="DJ21" s="40" t="str">
        <f>IF(SUM(CX21,DB21)&gt;0,SUM(CX21,DB21),"")</f>
        <v/>
      </c>
      <c r="DK21" s="40" t="str">
        <f>IF(SUM(CW21:CX21,CZ21:DB21,DD21)-SUM(CY21,DC21)&gt;0,SUM(CW21:CX21,CZ21:DB21,DD21)-SUM(CY21,DC21),"")</f>
        <v/>
      </c>
      <c r="DL21" s="40" t="str">
        <f>IF(SUM(DF21,DG21,DK21)&gt;0,SUM(DF21,DG21,DK21),"")</f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>IF(SUM(DN21,DR21)&gt;0,SUM(DN21,DR21),"")</f>
        <v/>
      </c>
      <c r="EH21" s="11" t="str">
        <f>IF(SUM(DM21:DN21,DP21:DR21,DT21)-DO21-DS21&gt;0,SUM(DM21:DN21,DP21:DR21,DT21)-DO21-DS21,"")</f>
        <v/>
      </c>
      <c r="EI21" s="11" t="str">
        <f>IF(SUM(DU21:DV21,DX21)-DW21&gt;0,SUM(DU21:DV21,DX21)-DW21,"")</f>
        <v/>
      </c>
      <c r="EJ21" s="11" t="str">
        <f>IF(SUM(DN21,DR21,DV21)&gt;0,SUM(DN21,DR21,DV21),"")</f>
        <v/>
      </c>
      <c r="EK21" s="11" t="str">
        <f>IF(SUM(EH21,EI21)&gt;0,SUM(EH21,EI21),"")</f>
        <v/>
      </c>
      <c r="EL21" s="11" t="str">
        <f>IF(SUM(DZ21,ED21)&gt;0,SUM(DZ21,ED21),"")</f>
        <v/>
      </c>
      <c r="EM21" s="11" t="str">
        <f>IF(SUM(DY21:DZ21,EB21:ED21,EF21)-SUM(EA21,EE21)&gt;0,SUM(DY21:DZ21,EB21:ED21,EF21)-SUM(EA21,EE21),"")</f>
        <v/>
      </c>
      <c r="EN21" s="11" t="str">
        <f>IF(SUM(EH21,EI21,EM21)&gt;0,SUM(EH21,EI21,EM21),"")</f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>IF(SUM(EP21,ET21)&gt;0,SUM(EP21,ET21),"")</f>
        <v/>
      </c>
      <c r="FJ21" s="40" t="str">
        <f>IF(SUM(EO21:EP21,ER21:ET21,EV21)-EQ21-EU21&gt;0,SUM(EO21:EP21,ER21:ET21,EV21)-EQ21-EU21,"")</f>
        <v/>
      </c>
      <c r="FK21" s="40" t="str">
        <f>IF(SUM(EW21:EX21,EZ21)-EY21&gt;0,SUM(EW21:EX21,EZ21)-EY21,"")</f>
        <v/>
      </c>
      <c r="FL21" s="40" t="str">
        <f>IF(SUM(EP21,ET21,EX21)&gt;0,SUM(EP21,ET21,EX21),"")</f>
        <v/>
      </c>
      <c r="FM21" s="40" t="str">
        <f>IF(SUM(FJ21,FK21)&gt;0,SUM(FJ21,FK21),"")</f>
        <v/>
      </c>
      <c r="FN21" s="40" t="str">
        <f>IF(SUM(FB21,FF21)&gt;0,SUM(FB21,FF21),"")</f>
        <v/>
      </c>
      <c r="FO21" s="40" t="str">
        <f>IF(SUM(FA21:FB21,FD21:FF21,FH21)-SUM(FC21,FG21)&gt;0,SUM(FA21:FB21,FD21:FF21,FH21)-SUM(FC21,FG21),"")</f>
        <v/>
      </c>
      <c r="FP21" s="40" t="str">
        <f>IF(SUM(FJ21,FK21,FO21)&gt;0,SUM(FJ21,FK21,FO21),"")</f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>IF(SUM(FR21,FV21)&gt;0,SUM(FR21,FV21),"")</f>
        <v/>
      </c>
      <c r="GL21" s="11" t="str">
        <f>IF(SUM(FQ21:FR21,FT21:FV21,FX21)-FS21-FW21&gt;0,SUM(FQ21:FR21,FT21:FV21,FX21)-FS21-FW21,"")</f>
        <v/>
      </c>
      <c r="GM21" s="11" t="str">
        <f>IF(SUM(FY21:FZ21,GB21)-GA21&gt;0,SUM(FY21:FZ21,GB21)-GA21,"")</f>
        <v/>
      </c>
      <c r="GN21" s="11" t="str">
        <f>IF(SUM(FR21,FV21,FZ21)&gt;0,SUM(FR21,FV21,FZ21),"")</f>
        <v/>
      </c>
      <c r="GO21" s="11" t="str">
        <f>IF(SUM(GL21,GM21)&gt;0,SUM(GL21,GM21),"")</f>
        <v/>
      </c>
      <c r="GP21" s="11" t="str">
        <f>IF(SUM(GD21,GH21)&gt;0,SUM(GD21,GH21),"")</f>
        <v/>
      </c>
      <c r="GQ21" s="11" t="str">
        <f>IF(SUM(GC21:GD21,GF21:GH21,GJ21)-SUM(GE21,GI21)&gt;0,SUM(GC21:GD21,GF21:GH21,GJ21)-SUM(GE21,GI21),"")</f>
        <v/>
      </c>
      <c r="GR21" s="11" t="str">
        <f>IF(SUM(GL21,GM21,GQ21)&gt;0,SUM(GL21,GM21,GQ21),"")</f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>IF(SUM(GT21,GX21)&gt;0,SUM(GT21,GX21),"")</f>
        <v/>
      </c>
      <c r="HN21" s="40" t="str">
        <f>IF(SUM(GS21:GT21,GV21:GX21,GZ21)-GU21-GY21&gt;0,SUM(GS21:GT21,GV21:GX21,GZ21)-GU21-GY21,"")</f>
        <v/>
      </c>
      <c r="HO21" s="40" t="str">
        <f>IF(SUM(HA21:HB21,HD21)-HC21&gt;0,SUM(HA21:HB21,HD21)-HC21,"")</f>
        <v/>
      </c>
      <c r="HP21" s="40" t="str">
        <f>IF(SUM(GT21,GX21,HB21)&gt;0,SUM(GT21,GX21,HB21),"")</f>
        <v/>
      </c>
      <c r="HQ21" s="40" t="str">
        <f>IF(SUM(HN21,HO21)&gt;0,SUM(HN21,HO21),"")</f>
        <v/>
      </c>
      <c r="HR21" s="40" t="str">
        <f>IF(SUM(HF21,HJ21)&gt;0,SUM(HF21,HJ21),"")</f>
        <v/>
      </c>
      <c r="HS21" s="40" t="str">
        <f>IF(SUM(HE21:HF21,HH21:HJ21,HL21)-SUM(HG21,HK21)&gt;0,SUM(HE21:HF21,HH21:HJ21,HL21)-SUM(HG21,HK21),"")</f>
        <v/>
      </c>
      <c r="HT21" s="40" t="str">
        <f>IF(SUM(HN21,HO21,HS21)&gt;0,SUM(HN21,HO21,HS21),"")</f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>IF(SUM(HV21,HZ21)&gt;0,SUM(HV21,HZ21),"")</f>
        <v/>
      </c>
      <c r="IP21" s="11" t="str">
        <f>IF(SUM(HU21:HV21,HX21:HZ21,IB21)-HW21-IA21&gt;0,SUM(HU21:HV21,HX21:HZ21,IB21)-HW21-IA21,"")</f>
        <v/>
      </c>
      <c r="IQ21" s="11" t="str">
        <f>IF(SUM(IC21:ID21,IF21)-IE21&gt;0,SUM(IC21:ID21,IF21)-IE21,"")</f>
        <v/>
      </c>
      <c r="IR21" s="11" t="str">
        <f>IF(SUM(HV21,HZ21,ID21)&gt;0,SUM(HV21,HZ21,ID21),"")</f>
        <v/>
      </c>
      <c r="IS21" s="11" t="str">
        <f>IF(SUM(IP21,IQ21)&gt;0,SUM(IP21,IQ21),"")</f>
        <v/>
      </c>
      <c r="IT21" s="11" t="str">
        <f>IF(SUM(IH21,IL21)&gt;0,SUM(IH21,IL21),"")</f>
        <v/>
      </c>
      <c r="IU21" s="11" t="str">
        <f>IF(SUM(IG21:IH21,IJ21:IL21,IN21)-SUM(II21,IM21)&gt;0,SUM(IG21:IH21,IJ21:IL21,IN21)-SUM(II21,IM21),"")</f>
        <v/>
      </c>
      <c r="IV21" s="11" t="str">
        <f>IF(SUM(IP21,IQ21,IU21)&gt;0,SUM(IP21,IQ21,IU21),"")</f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>IF(SUM(IX21,JB21)&gt;0,SUM(IX21,JB21),"")</f>
        <v/>
      </c>
      <c r="JR21" s="40" t="str">
        <f>IF(SUM(IW21:IX21,IZ21:JB21,JD21)-IY21-JC21&gt;0,SUM(IW21:IX21,IZ21:JB21,JD21)-IY21-JC21,"")</f>
        <v/>
      </c>
      <c r="JS21" s="40" t="str">
        <f>IF(SUM(JE21:JF21,JH21)-JG21&gt;0,SUM(JE21:JF21,JH21)-JG21,"")</f>
        <v/>
      </c>
      <c r="JT21" s="40" t="str">
        <f>IF(SUM(IX21,JB21,JF21)&gt;0,SUM(IX21,JB21,JF21),"")</f>
        <v/>
      </c>
      <c r="JU21" s="40" t="str">
        <f>IF(SUM(JR21,JS21)&gt;0,SUM(JR21,JS21),"")</f>
        <v/>
      </c>
      <c r="JV21" s="40" t="str">
        <f>IF(SUM(JJ21,JN21)&gt;0,SUM(JJ21,JN21),"")</f>
        <v/>
      </c>
      <c r="JW21" s="40" t="str">
        <f>IF(SUM(JI21:JJ21,JL21:JN21,JP21)-SUM(JK21,JO21)&gt;0,SUM(JI21:JJ21,JL21:JN21,JP21)-SUM(JK21,JO21),"")</f>
        <v/>
      </c>
      <c r="JX21" s="40" t="str">
        <f>IF(SUM(JR21,JS21,JW21)&gt;0,SUM(JR21,JS21,JW21),"")</f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>IF(SUM(JZ21,KD21)&gt;0,SUM(JZ21,KD21),"")</f>
        <v/>
      </c>
      <c r="KT21" s="11" t="str">
        <f>IF(SUM(JY21:JZ21,KB21:KD21,KF21)-KA21-KE21&gt;0,SUM(JY21:JZ21,KB21:KD21,KF21)-KA21-KE21,"")</f>
        <v/>
      </c>
      <c r="KU21" s="11" t="str">
        <f>IF(SUM(KG21:KH21,KJ21)-KI21&gt;0,SUM(KG21:KH21,KJ21)-KI21,"")</f>
        <v/>
      </c>
      <c r="KV21" s="11" t="str">
        <f>IF(SUM(JZ21,KD21,KH21)&gt;0,SUM(JZ21,KD21,KH21),"")</f>
        <v/>
      </c>
      <c r="KW21" s="11" t="str">
        <f>IF(SUM(KT21,KU21)&gt;0,SUM(KT21,KU21),"")</f>
        <v/>
      </c>
      <c r="KX21" s="11" t="str">
        <f>IF(SUM(KL21,KP21)&gt;0,SUM(KL21,KP21),"")</f>
        <v/>
      </c>
      <c r="KY21" s="11" t="str">
        <f>IF(SUM(KK21:KL21,KN21:KP21,KR21)-SUM(KM21,KQ21)&gt;0,SUM(KK21:KL21,KN21:KP21,KR21)-SUM(KM21,KQ21),"")</f>
        <v/>
      </c>
      <c r="KZ21" s="11" t="str">
        <f>IF(SUM(KT21,KU21,KY21)&gt;0,SUM(KT21,KU21,KY21),"")</f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>IF(SUM(LB21,LF21)&gt;0,SUM(LB21,LF21),"")</f>
        <v/>
      </c>
      <c r="LV21" s="40" t="str">
        <f>IF(SUM(LA21:LB21,LD21:LF21,LH21)-LC21-LG21&gt;0,SUM(LA21:LB21,LD21:LF21,LH21)-LC21-LG21,"")</f>
        <v/>
      </c>
      <c r="LW21" s="40" t="str">
        <f>IF(SUM(LI21:LJ21,LL21)-LK21&gt;0,SUM(LI21:LJ21,LL21)-LK21,"")</f>
        <v/>
      </c>
      <c r="LX21" s="40" t="str">
        <f>IF(SUM(LB21,LF21,LJ21)&gt;0,SUM(LB21,LF21,LJ21),"")</f>
        <v/>
      </c>
      <c r="LY21" s="40" t="str">
        <f>IF(SUM(LV21,LW21)&gt;0,SUM(LV21,LW21),"")</f>
        <v/>
      </c>
      <c r="LZ21" s="40" t="str">
        <f>IF(SUM(LN21,LR21)&gt;0,SUM(LN21,LR21),"")</f>
        <v/>
      </c>
      <c r="MA21" s="40" t="str">
        <f>IF(SUM(LM21:LN21,LP21:LR21,LT21)-SUM(LO21,LS21)&gt;0,SUM(LM21:LN21,LP21:LR21,LT21)-SUM(LO21,LS21),"")</f>
        <v/>
      </c>
      <c r="MB21" s="40" t="str">
        <f>IF(SUM(LV21,LW21,MA21)&gt;0,SUM(LV21,LW21,MA21),"")</f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>IF(SUM(MD21,MH21)&gt;0,SUM(MD21,MH21),"")</f>
        <v/>
      </c>
      <c r="MX21" s="11" t="str">
        <f>IF(SUM(MC21:MD21,MF21:MH21,MJ21)-ME21-MI21&gt;0,SUM(MC21:MD21,MF21:MH21,MJ21)-ME21-MI21,"")</f>
        <v/>
      </c>
      <c r="MY21" s="11" t="str">
        <f>IF(SUM(MK21:ML21,MN21)-MM21&gt;0,SUM(MK21:ML21,MN21)-MM21,"")</f>
        <v/>
      </c>
      <c r="MZ21" s="11" t="str">
        <f>IF(SUM(MD21,MH21,ML21)&gt;0,SUM(MD21,MH21,ML21),"")</f>
        <v/>
      </c>
      <c r="NA21" s="11" t="str">
        <f>IF(SUM(MX21,MY21)&gt;0,SUM(MX21,MY21),"")</f>
        <v/>
      </c>
      <c r="NB21" s="11" t="str">
        <f>IF(SUM(MP21,MT21)&gt;0,SUM(MP21,MT21),"")</f>
        <v/>
      </c>
      <c r="NC21" s="11" t="str">
        <f>IF(SUM(MO21:MP21,MR21:MT21,MV21)-SUM(MQ21,MU21)&gt;0,SUM(MO21:MP21,MR21:MT21,MV21)-SUM(MQ21,MU21),"")</f>
        <v/>
      </c>
      <c r="ND21" s="11" t="str">
        <f>IF(SUM(MX21,MY21,NC21)&gt;0,SUM(MX21,MY21,NC21),"")</f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>IF(SUM(NF21,NJ21)&gt;0,SUM(NF21,NJ21),"")</f>
        <v/>
      </c>
      <c r="NZ21" s="40" t="str">
        <f>IF(SUM(NE21:NF21,NH21:NJ21,NL21)-NG21-NK21&gt;0,SUM(NE21:NF21,NH21:NJ21,NL21)-NG21-NK21,"")</f>
        <v/>
      </c>
      <c r="OA21" s="40" t="str">
        <f>IF(SUM(NM21:NN21,NP21)-NO21&gt;0,SUM(NM21:NN21,NP21)-NO21,"")</f>
        <v/>
      </c>
      <c r="OB21" s="40" t="str">
        <f>IF(SUM(NF21,NJ21,NN21)&gt;0,SUM(NF21,NJ21,NN21),"")</f>
        <v/>
      </c>
      <c r="OC21" s="40" t="str">
        <f>IF(SUM(NZ21,OA21)&gt;0,SUM(NZ21,OA21),"")</f>
        <v/>
      </c>
      <c r="OD21" s="40" t="str">
        <f>IF(SUM(NR21,NV21)&gt;0,SUM(NR21,NV21),"")</f>
        <v/>
      </c>
      <c r="OE21" s="40" t="str">
        <f>IF(SUM(NQ21:NR21,NT21:NV21,NX21)-SUM(NS21,NW21)&gt;0,SUM(NQ21:NR21,NT21:NV21,NX21)-SUM(NS21,NW21),"")</f>
        <v/>
      </c>
      <c r="OF21" s="40" t="str">
        <f>IF(SUM(NZ21,OA21,OE21)&gt;0,SUM(NZ21,OA21,OE21),"")</f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>IF(SUM(OH21,OL21)&gt;0,SUM(OH21,OL21),"")</f>
        <v/>
      </c>
      <c r="PB21" s="11" t="str">
        <f>IF(SUM(OG21:OH21,OJ21:OL21,ON21)-OI21-OM21&gt;0,SUM(OG21:OH21,OJ21:OL21,ON21)-OI21-OM21,"")</f>
        <v/>
      </c>
      <c r="PC21" s="11" t="str">
        <f>IF(SUM(OO21:OP21,OR21)-OQ21&gt;0,SUM(OO21:OP21,OR21)-OQ21,"")</f>
        <v/>
      </c>
      <c r="PD21" s="11" t="str">
        <f>IF(SUM(OH21,OL21,OP21)&gt;0,SUM(OH21,OL21,OP21),"")</f>
        <v/>
      </c>
      <c r="PE21" s="11" t="str">
        <f>IF(SUM(PB21,PC21)&gt;0,SUM(PB21,PC21),"")</f>
        <v/>
      </c>
      <c r="PF21" s="11" t="str">
        <f>IF(SUM(OT21,OX21)&gt;0,SUM(OT21,OX21),"")</f>
        <v/>
      </c>
      <c r="PG21" s="11" t="str">
        <f>IF(SUM(OS21:OT21,OV21:OX21,OZ21)-SUM(OU21,OY21)&gt;0,SUM(OS21:OT21,OV21:OX21,OZ21)-SUM(OU21,OY21),"")</f>
        <v/>
      </c>
      <c r="PH21" s="11" t="str">
        <f>IF(SUM(PB21,PC21,PG21)&gt;0,SUM(PB21,PC21,PG21),"")</f>
        <v/>
      </c>
      <c r="PI21" s="22">
        <f>IF($PY21="P",BM21,(BM21+AQ21)/2)</f>
        <v>0</v>
      </c>
      <c r="PJ21" s="22">
        <f>IF($PY21="P",BN21,(BN21+AR21)/2)</f>
        <v>0</v>
      </c>
      <c r="PK21" s="22">
        <f>IF($PY21="P",BO21,(BO21+AS21)/2)</f>
        <v>0</v>
      </c>
      <c r="PL21" s="22">
        <f>IF($PY21="P",BP21,(BP21+AT21)/2)</f>
        <v>0</v>
      </c>
      <c r="PM21" s="22">
        <f>IF($PY21="P",BQ21,(BQ21+AU21)/2)</f>
        <v>0</v>
      </c>
      <c r="PN21" s="22">
        <f>IF($PY21="P",BR21,(BR21+AV21)/2)</f>
        <v>0</v>
      </c>
      <c r="PO21" s="22">
        <f>IF($PY21="P",BS21,(BS21+AW21)/2)</f>
        <v>0</v>
      </c>
      <c r="PP21" s="22">
        <f>IF($PY21="P",BT21,(BT21+AX21)/2)</f>
        <v>0</v>
      </c>
      <c r="PQ21" s="22">
        <f>IF($PY21="P",BU21,(BU21+AY21)/2)</f>
        <v>0</v>
      </c>
      <c r="PR21" s="22">
        <f>IF($PY21="P",BV21,(BV21+AZ21)/2)</f>
        <v>0</v>
      </c>
      <c r="PS21" s="22">
        <f>IF($PY21="P",BW21,(BW21+BA21)/2)</f>
        <v>0</v>
      </c>
      <c r="PT21" s="22">
        <f>IF($PY21="P",BX21,(BX21+BB21)/2)</f>
        <v>0</v>
      </c>
      <c r="PU21" s="22">
        <f>IF($PY21="P",BY21,(BY21+BC21)/2)</f>
        <v>0</v>
      </c>
      <c r="PV21" s="22">
        <f>IF($PY21="P",BZ21,(BZ21+BD21)/2)</f>
        <v>0</v>
      </c>
      <c r="PW21" s="22">
        <f>IF($PY21="P",CA21,(CA21+BE21)/2)</f>
        <v>0</v>
      </c>
      <c r="PX21" s="22">
        <f>IF($PY21="P",CB21,(CB21+BF21)/2)</f>
        <v>0</v>
      </c>
      <c r="PY21" s="27" t="s">
        <v>46</v>
      </c>
      <c r="PZ21" s="40" t="str">
        <f>IF(SUM(PJ21,PN21)&gt;0,SUM(PJ21,PN21),"")</f>
        <v/>
      </c>
      <c r="QA21" s="40" t="str">
        <f>IF(SUM(PI21:PJ21,PL21:PN21,PP21)-PK21-PO21&gt;0,SUM(PI21:PJ21,PL21:PN21,PP21)-PK21-PO21,"")</f>
        <v/>
      </c>
      <c r="QB21" s="40" t="str">
        <f>IF(SUM(PR21,PV21)&gt;0,SUM(PR21,PV21),"")</f>
        <v/>
      </c>
      <c r="QC21" s="40" t="str">
        <f>IF(SUM(PQ21:PR21,PT21:PV21,PX21)-SUM(PS21,PW21)&gt;0,SUM(PQ21:PR21,PT21:PV21,PX21)-SUM(PS21,PW21),"")</f>
        <v/>
      </c>
      <c r="QD21" s="40" t="str">
        <f>IF(SUM(QA21,QC21)&gt;0,SUM(QA21,QC21),"")</f>
        <v/>
      </c>
    </row>
    <row r="22" spans="1:446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102</v>
      </c>
      <c r="D22" s="4" t="s">
        <v>4</v>
      </c>
      <c r="E22" s="4">
        <v>2005</v>
      </c>
      <c r="F22" s="9">
        <f>SUM(L22:R22)+SUM(L22:O22)*0.0000001+SUM(L22)*0.0000000000001</f>
        <v>94.200007710004371</v>
      </c>
      <c r="G22" s="64"/>
      <c r="H22" s="3" t="str">
        <f>IF(OR(AND(AL22&gt;=AP$36,AM22&gt;=AP$40,AL22&lt;&gt;"",AK22=""),AND(AN22&gt;=AP$36,AO22&gt;=AP$40,AN22&lt;&gt;"",AK22=""),AND(BH22&gt;=BL$36,BI22&gt;=BL$40,BH22&lt;&gt;"",BG22=""),AND(BJ22&gt;=BL$36,BK22&gt;=BL$40,BJ22&lt;&gt;"",BG22=""),AND(CD22&gt;=CH$36,CE22&gt;=CH$40,CD22&lt;&gt;"",CC22=""),AND(CF22&gt;=CH$36,CG22&gt;=CH$40,CF22&lt;&gt;""),AND(DE22&gt;=DL$36,DF22&gt;=DL$40,DE22&lt;&gt;""),AND(DJ22&gt;=DL$36,DK22&gt;=DL$40,DJ22&lt;&gt;""),AND(EG22&gt;=EN$36,EH22&gt;=EN$40,EG22&lt;&gt;""),AND(EL22&gt;=EN$36,EM22&gt;=EN$40,EL22&lt;&gt;""),AND(FI22&gt;=FP$36,FJ22&gt;=FP$40,FI22&lt;&gt;""),AND(FN22&gt;=FP$36,FO22&gt;=FP$40,FN22&lt;&gt;""),AND(GK22&gt;=GR$36,GL22&gt;=GR$40,GK22&lt;&gt;""),AND(GP22&gt;=GR$36,GQ22&gt;=GR$40,GP22&lt;&gt;""),AND(HM22&gt;=HT$36,HN22&gt;=HT$40,HM22&lt;&gt;""),AND(HR22&gt;=HT$36,HS22&gt;=HT$40,HR22&lt;&gt;""),AND(IO22&gt;=IV$36,IP22&gt;=IV$40,IO22&lt;&gt;""),AND(IT22&gt;=IV$36,IU22&gt;=IV$40,IT22&lt;&gt;""),AND(JQ22&gt;=JX$36,JR22&gt;=JX$40,JQ22&lt;&gt;""),AND(JV22&gt;=JX$36,JW22&gt;=JX$40,JV22&lt;&gt;""),AND(KS22&gt;=KZ$36,KT22&gt;=KZ$40,KS22&lt;&gt;""),AND(KX22&gt;=KZ$36,KY22&gt;=KZ$40,KX22&lt;&gt;""),AND(LU22&gt;=MB$36,LV22&gt;=MB$40,LU22&lt;&gt;""),AND(LZ22&gt;=MB$36,MA22&gt;=MB$40,LZ22&lt;&gt;""),AND(MW22&gt;=ND$36,MX22&gt;=ND$40,MW22&lt;&gt;""),AND(NB22&gt;=ND$36,NC22&gt;=ND$40,NB22&lt;&gt;""),AND(NY22&gt;=OF$36,NZ22&gt;=OF$40,NY22&lt;&gt;""),AND(OD22&gt;=OF$36,OE22&gt;=OF$40,OD22&lt;&gt;""),AND(PA22&gt;=PH$36,PB22&gt;=PH$40,PA22&lt;&gt;""),AND(PF22&gt;=PH$36,PG22&gt;=PH$40,PF22&lt;&gt;"")),"P","")</f>
        <v/>
      </c>
      <c r="I22" s="3" t="str">
        <f>IF(OR(AND(AM22&gt;=AP$40,AM22&lt;&gt;"",AK22=""),AND(AO22&gt;=AP$40,AO22&lt;&gt;"",AK22=""),AND(BI22&gt;=BL$40,BI22&lt;&gt;"",BG22=""),AND(BK22&gt;=BL$40,BK22&lt;&gt;"",BG22=""),AND(CE22&gt;=CH$40,CE22&lt;&gt;"",CC22=""),AND(CG22&gt;=CH$40,CG22&lt;&gt;"",CC22=""),AND(DF22&gt;=DL$40,DF22&lt;&gt;""),AND(DK22&gt;=DL$40,DK22&lt;&gt;""),AND(EH22&gt;=EN$40,EH22&lt;&gt;""),AND(EM22&gt;=EN$40,EM22&lt;&gt;""),AND(FJ22&gt;=FP$40,FJ22&lt;&gt;""),AND(FO22&gt;=FP$40,FO22&lt;&gt;""),AND(GL22&gt;=GR$40,GL22&lt;&gt;""),AND(GQ22&gt;=GR$40,GQ22&lt;&gt;""),AND(HN22&gt;=HT$40,HN22&lt;&gt;""),AND(HS22&gt;=HT$40,HS22&lt;&gt;""),AND(IP22&gt;=IV$40,IP22&lt;&gt;""),AND(IU22&gt;=IV$40,IU22&lt;&gt;""),AND(JR22&gt;=JX$40,JR22&lt;&gt;""),AND(JW22&gt;=JX$40,JW22&lt;&gt;""),AND(KT22&gt;=KZ$40,KT22&lt;&gt;""),AND(KY22&gt;=KZ$40,KY22&lt;&gt;""),AND(LV22&gt;=MB$40,LV22&lt;&gt;""),AND(MA22&gt;=MB$40,MA22&lt;&gt;""),AND(MX22&gt;=ND$40,MX22&lt;&gt;""),AND(NC22&gt;=ND$40,NC22&lt;&gt;""),AND(NZ22&gt;=OF$40,NZ22&lt;&gt;""),AND(OE22&gt;=OF$40,OE22&lt;&gt;""),AND(PB22&gt;=PH$40,PB22&lt;&gt;""),AND(PG22&gt;=PH$40,PG22&lt;&gt;"")),"P","")</f>
        <v/>
      </c>
      <c r="J22" s="36" t="str">
        <f>IF(AND(I22="P",H22=""),"No DD",IF(OR(AND(AL22&gt;=AP$26,AM22&gt;=AP$30,AL22&lt;&gt;"",AK22=""),AND(BH22&gt;=BL$26,BI22&gt;=BL$30,BH22&lt;&gt;"",BG22=""),AND(CD22&gt;=CH$26,CE22&gt;=CH$30,CD22&lt;&gt;"",CC22=""),AND(DH22&gt;=DL$26,DI22&gt;=DL$30,DH22&lt;&gt;""),AND(EJ22&gt;=EN$26,EK22&gt;=EN$30,EJ22&lt;&gt;""),AND(FL22&gt;=FP$26,FM22&gt;=FP$30,FL22&lt;&gt;""),AND(GN22&gt;=GR$26,GO22&gt;=GR$30,GN22&lt;&gt;""),AND(HP22&gt;=HT$26,HQ22&gt;=HT$30,HP22&lt;&gt;""),AND(IR22&gt;=IV$26,IS22&gt;=IV$30,IR22&lt;&gt;""),AND(JT22&gt;=JX$26,JU22&gt;=JX$30,JT22&lt;&gt;""),AND(KV22&gt;=KZ$26,KW22&gt;=KZ$30,KV22&lt;&gt;""),AND(LX22&gt;=MB$26,LY22&gt;=MB$30,LX22&lt;&gt;""),AND(MZ22&gt;=ND$26,NA22&gt;=ND$30,MZ22&lt;&gt;""),AND(OB22&gt;=OF$26,OC22&gt;=OF$30,OB22&lt;&gt;""),AND(PD22&gt;=PH$26,PE22&gt;=PH$30,PD22&lt;&gt;"")),"Merit",IF(OR(AND(AL22&gt;=AP$25,AM22&gt;=AP$29,AL22&lt;&gt;"",AK22=""),AND(BH22&gt;=BL$25,BI22&gt;=BL$29,BH22&lt;&gt;"",BG22=""),AND(CD22&gt;=CH$25,CE22&gt;=CH$29,CD22&lt;&gt;"",CC22=""),AND(DH22&gt;=DL$25,DI22&gt;=DL$29,DH22&lt;&gt;""),AND(EJ22&gt;=EN$25,EK22&gt;=EN$29,EJ22&lt;&gt;""),AND(FL22&gt;=FP$25,FM22&gt;=FP$29,FL22&lt;&gt;""),AND(GN22&gt;=GR$25,GO22&gt;=GR$29,GN22&lt;&gt;""),AND(HP22&gt;=HT$25,HQ22&gt;=HT$29,HP22&lt;&gt;""),AND(IR22&gt;=IV$25,IS22&gt;=IV$29,IR22&lt;&gt;""),AND(JT22&gt;=JX$25,JU22&gt;=JX$29,JT22&lt;&gt;""),AND(KV22&gt;=KZ$25,KW22&gt;=KZ$29,KV22&lt;&gt;""),AND(LX22&gt;=MB$25,LY22&gt;=MB$29,LX22&lt;&gt;""),AND(MZ22&gt;=ND$25,NA22&gt;=ND$29,MZ22&lt;&gt;""),AND(OB22&gt;=OF$25,OC22&gt;=OF$29,OB22&lt;&gt;""),AND(PD22&gt;=PH$25,PE22&gt;=PH$29,PD22&lt;&gt;"")),"Excellence",IF(K22="P","Worlds Team",IF(H22="P","National Team","")))))</f>
        <v/>
      </c>
      <c r="K22" s="3" t="str">
        <f>IF(OR(AND(AL22&gt;=AP$24,AM22&gt;=AP$28,AL22&lt;&gt;"",AK22=""),AND(BH22&gt;=BL$24,BI22&gt;=BL$28,BH22&lt;&gt;"",BG22=""),AND(CD22&gt;=CH$24,CE22&gt;=CH$28,CD22&lt;&gt;"",CC22=""),AND(DH22&gt;=DL$24,DI22&gt;=DL$28,DH22&lt;&gt;""),AND(EJ22&gt;=EN$24,EK22&gt;=EN$28,EJ22&lt;&gt;""),AND(FL22&gt;=FP$24,FM22&gt;=FP$28,FL22&lt;&gt;""),AND(GN22&gt;=GR$24,GO22&gt;=GR$28,GN22&lt;&gt;""),AND(HP22&gt;=HT$24,HQ22&gt;=HT$28,HP22&lt;&gt;""),AND(IR22&gt;=IV$24,IS22&gt;=IV$28,IR22&lt;&gt;""),AND(JT22&gt;=JX$24,JU22&gt;=JX$28,JT22&lt;&gt;""),AND(KV22&gt;=KZ$24,KW22&gt;=KZ$28,KV22&lt;&gt;""),AND(LX22&gt;=MB$24,LY22&gt;=MB$28,LX22&lt;&gt;""),AND(MZ22&gt;=ND$24,NA22&gt;=ND$28,MZ22&lt;&gt;""),AND(OB22&gt;=OF$24,OC22&gt;=OF$28,OB22&lt;&gt;""),AND(PD22&gt;=PH$24,PE22&gt;=PH$28,PD22&lt;&gt;"")),"P","")</f>
        <v/>
      </c>
      <c r="L22" s="8">
        <f>IF(COUNT(AM22,BI22,CE22)&gt;0,LARGE((AM22,BI22,CE22),1),0)</f>
        <v>43.800000000000004</v>
      </c>
      <c r="M22" s="8" t="str">
        <f>IF(L22=0,"",IF(L22=CE22,$BM$1,IF(L22=BI22,$AQ$1,IF(L22=AM22,$U$1,""))))</f>
        <v>2025 Nationals</v>
      </c>
      <c r="N22" s="8">
        <f>IF(COUNT(AM22,BI22,CE22)&gt;1,LARGE((AM22,BI22,CE22),2),0)</f>
        <v>33.299999999999997</v>
      </c>
      <c r="O22" s="8" t="str">
        <f>IF(N22=0,"",IF(AND(N22=L22,N22=AM22,N22=BI22),$U$1,IF(AND(N22=L22,N22=AM22,N22=CE22),$U$1,IF(AND(N22=L22,N22=BI22,N22=CE22),$AQ$1,IF(N22=CE22,$BM$1,IF(N22=BI22,$AQ$1,IF(N22=AM22,$U$1,"")))))))</f>
        <v>2025 Elite Canada</v>
      </c>
      <c r="P22" s="8">
        <f>IF(MAX(AO22,BK22,CG22)&gt;0,MAX(AO22,BK22,CG22),0)</f>
        <v>17.100000000000001</v>
      </c>
      <c r="Q22" s="8" t="str">
        <f>IF(P22=0,"",IF(P22=CG22,$BM$1,IF(P22=BK22,$AQ$1,IF(P22=AO22,$U$1,""))))</f>
        <v>2025 Nationals</v>
      </c>
      <c r="R22" s="8" t="str">
        <f>IF(MAX(CI22:CJ22)&gt;0,MAX(CI22:CJ22),"")</f>
        <v/>
      </c>
      <c r="S22" s="11" t="str">
        <f>IF(R22="","",IF(R22=CI22,"("&amp;CI$2&amp;")",IF(R22=CJ22,"("&amp;CJ$2&amp;")")))</f>
        <v/>
      </c>
      <c r="T22" s="8" t="str">
        <f>IF(R22="","",IF(R22=CI22,IF(R22+IF(N22="",0,N22)=PB22,$OG$1,IF(R22+IF(N22="",0,N22)=NZ22,$NE$1,IF(R22+IF(N22="",0,N22)=MX22,$MC$1,IF(R22+IF(N22="",0,N22)=LV22,$LA$1,IF(R22+IF(N22="",0,N22)=KT22,$JY$1,IF(R22+IF(N22="",0,N22)=JR22,$IW$1,IF(R22+IF(N22="",0,N22)=IP22,$HU$1,IF(R22+IF(N22="",0,N22)=HN22,$GS$1,IF(R22+IF(N22="",0,N22)=GL22,$FQ$1,IF(R22+IF(N22="",0,N22)=FJ22,$EO$1,IF(R22+IF(N22="",0,N22)=EH22,$DM$1,IF(R22+IF(N22="",0,N22)=DF22,$CK$1)))))))))))),IF(R22=CJ22,IF(R22+IF(P22="",0,P22)=PG22,$OG$1,IF(R22+IF(P22="",0,P22)=OE22,$NE$1,IF(R22+IF(P22="",0,P22)=NC22,$MC$1,IF(R22+IF(P22="",0,P22)=MA22,$LA$1,IF(R22+IF(P22="",0,P22)=KY22,$JY$1,IF(R22+IF(P22="",0,P22)=JW22,$IW$1,IF(R22+IF(P22="",0,P22)=IU22,$HU$1,IF(R22+IF(P22="",0,P22)=HS22,$GS$1,IF(R22+IF(P22="",0,P22)=GQ22,$FQ$1,IF(R22+IF(P22="",0,P22)=FO22,$EO$1,IF(R22+IF(P22="",0,P22)=EM22,$DM$1,IF(R22+IF(P22="",0,P22)=DK22,$CK$1)))))))))))))))</f>
        <v/>
      </c>
      <c r="U22" s="19">
        <v>15.2</v>
      </c>
      <c r="V22" s="19">
        <v>2</v>
      </c>
      <c r="W22" s="19">
        <v>0</v>
      </c>
      <c r="X22" s="19">
        <v>0</v>
      </c>
      <c r="Y22" s="19">
        <v>15.2</v>
      </c>
      <c r="Z22" s="19">
        <v>0.9</v>
      </c>
      <c r="AA22" s="19">
        <v>0</v>
      </c>
      <c r="AB22" s="19">
        <v>0</v>
      </c>
      <c r="AC22" s="19"/>
      <c r="AD22" s="19"/>
      <c r="AE22" s="19"/>
      <c r="AF22" s="19"/>
      <c r="AG22" s="19"/>
      <c r="AH22" s="19"/>
      <c r="AI22" s="19"/>
      <c r="AJ22" s="19"/>
      <c r="AK22" s="27"/>
      <c r="AL22" s="40">
        <f>IF(SUM(V22,Z22)&gt;0,SUM(V22,Z22),"")</f>
        <v>2.9</v>
      </c>
      <c r="AM22" s="40">
        <f>IF(SUM(U22:V22,X22:Z22,AB22)-W22-AA22&gt;0,SUM(U22:V22,X22:Z22,AB22)-W22-AA22,"")</f>
        <v>33.299999999999997</v>
      </c>
      <c r="AN22" s="40" t="str">
        <f>IF(SUM(AD22,AH22)&gt;0,SUM(AD22,AH22),"")</f>
        <v/>
      </c>
      <c r="AO22" s="40" t="str">
        <f>IF(SUM(AC22:AD22,AF22:AH22,AJ22)-SUM(AE22,AI22)&gt;0,SUM(AC22:AD22,AF22:AH22,AJ22)-SUM(AE22,AI22),"")</f>
        <v/>
      </c>
      <c r="AP22" s="40">
        <f>IF(SUM(AM22,AO22)&gt;0,SUM(AM22,AO22),"")</f>
        <v>33.299999999999997</v>
      </c>
      <c r="AQ22" s="18">
        <v>18.2</v>
      </c>
      <c r="AR22" s="18">
        <v>4.4000000000000004</v>
      </c>
      <c r="AS22" s="18">
        <v>0.2</v>
      </c>
      <c r="AT22" s="18">
        <v>0</v>
      </c>
      <c r="AU22" s="18">
        <v>18.3</v>
      </c>
      <c r="AV22" s="18">
        <v>3.7</v>
      </c>
      <c r="AW22" s="18">
        <v>0.6</v>
      </c>
      <c r="AX22" s="18">
        <v>0</v>
      </c>
      <c r="AY22" s="18">
        <v>0</v>
      </c>
      <c r="AZ22" s="18">
        <v>0</v>
      </c>
      <c r="BA22" s="18">
        <v>0</v>
      </c>
      <c r="BB22" s="18">
        <v>0</v>
      </c>
      <c r="BC22" s="18">
        <v>15.1</v>
      </c>
      <c r="BD22" s="18">
        <v>2</v>
      </c>
      <c r="BE22" s="18">
        <v>0</v>
      </c>
      <c r="BF22" s="18">
        <v>0</v>
      </c>
      <c r="BG22" s="28"/>
      <c r="BH22" s="11">
        <f>IF(SUM(AR22,AV22)&gt;0,SUM(AR22,AV22),"")</f>
        <v>8.1000000000000014</v>
      </c>
      <c r="BI22" s="11">
        <f>IF(SUM(AQ22:AR22,AT22:AV22,AX22)-AS22-AW22&gt;0,SUM(AQ22:AR22,AT22:AV22,AX22)-AS22-AW22,"")</f>
        <v>43.800000000000004</v>
      </c>
      <c r="BJ22" s="11">
        <f>IF(SUM(AZ22,BD22)&gt;0,SUM(AZ22,BD22),"")</f>
        <v>2</v>
      </c>
      <c r="BK22" s="11">
        <f>IF(SUM(AY22:AZ22,BB22:BD22,BF22)-SUM(BA22,BE22)&gt;0,SUM(AY22:AZ22,BB22:BD22,BF22)-SUM(BA22,BE22),"")</f>
        <v>17.100000000000001</v>
      </c>
      <c r="BL22" s="11">
        <f>IF(SUM(BI22,BK22)&gt;0,SUM(BI22,BK22),"")</f>
        <v>60.900000000000006</v>
      </c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27"/>
      <c r="CD22" s="40" t="str">
        <f>IF(SUM(BN22,BR22)&gt;0,SUM(BN22,BR22),"")</f>
        <v/>
      </c>
      <c r="CE22" s="40" t="str">
        <f>IF(SUM(BM22:BN22,BP22:BR22,BT22)-BO22-BS22&gt;0,SUM(BM22:BN22,BP22:BR22,BT22)-BO22-BS22,"")</f>
        <v/>
      </c>
      <c r="CF22" s="40" t="str">
        <f>IF(SUM(BV22,BZ22)&gt;0,SUM(BV22,BZ22),"")</f>
        <v/>
      </c>
      <c r="CG22" s="40" t="str">
        <f>IF(SUM(BU22:BV22,BX22:BZ22,CB22)-SUM(BW22,CA22)&gt;0,SUM(BU22:BV22,BX22:BZ22,CB22)-SUM(BW22,CA22),"")</f>
        <v/>
      </c>
      <c r="CH22" s="40" t="str">
        <f>IF(SUM(CE22,CG22)&gt;0,SUM(CE22,CG22),"")</f>
        <v/>
      </c>
      <c r="CI22" s="50" t="str">
        <f>IF(MAX(DF22,EH22,FJ22,GL22,HN22,IP22,JR22,KT22,LV22,MX22,NZ22,PB22)-IF(N22="",0,N22)&gt;0.001,MAX(DF22,EH22,FJ22,GL22,HN22,IP22,JR22,KT22,LV22,MX22,NZ22,PB22)-IF(N22="",0,N22),"")</f>
        <v/>
      </c>
      <c r="CJ22" s="50" t="str">
        <f>IF(MAX(DK22,EM22,FO22,GQ22,HS22,IU22,JW22,KY22,MA22,NC22,OE22,PG22)-IF(P22="",0,P22)&gt;0.001,MAX(DK22,EM22,FO22,GQ22,HS22,IU22,JW22,KY22,MA22,NC22,OE22,PG22)-IF(P22="",0,P22),"")</f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>IF(SUM(CL22,CP22)&gt;0,SUM(CL22,CP22),"")</f>
        <v/>
      </c>
      <c r="DF22" s="40" t="str">
        <f>IF(SUM(CK22:CL22,CN22:CP22,CR22)-CM22-CQ22&gt;0,SUM(CK22:CL22,CN22:CP22,CR22)-CM22-CQ22,"")</f>
        <v/>
      </c>
      <c r="DG22" s="40" t="str">
        <f>IF(SUM(CS22:CT22,CV22)-CU22&gt;0,SUM(CS22:CT22,CV22)-CU22,"")</f>
        <v/>
      </c>
      <c r="DH22" s="40" t="str">
        <f>IF(SUM(CL22,CP22,CT22)&gt;0,SUM(CL22,CP22,CT22),"")</f>
        <v/>
      </c>
      <c r="DI22" s="40" t="str">
        <f>IF(SUM(DF22,DG22)&gt;0,SUM(DF22,DG22),"")</f>
        <v/>
      </c>
      <c r="DJ22" s="40" t="str">
        <f>IF(SUM(CX22,DB22)&gt;0,SUM(CX22,DB22),"")</f>
        <v/>
      </c>
      <c r="DK22" s="40" t="str">
        <f>IF(SUM(CW22:CX22,CZ22:DB22,DD22)-SUM(CY22,DC22)&gt;0,SUM(CW22:CX22,CZ22:DB22,DD22)-SUM(CY22,DC22),"")</f>
        <v/>
      </c>
      <c r="DL22" s="40" t="str">
        <f>IF(SUM(DF22,DG22,DK22)&gt;0,SUM(DF22,DG22,DK22),"")</f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>IF(SUM(DN22,DR22)&gt;0,SUM(DN22,DR22),"")</f>
        <v/>
      </c>
      <c r="EH22" s="11" t="str">
        <f>IF(SUM(DM22:DN22,DP22:DR22,DT22)-DO22-DS22&gt;0,SUM(DM22:DN22,DP22:DR22,DT22)-DO22-DS22,"")</f>
        <v/>
      </c>
      <c r="EI22" s="11" t="str">
        <f>IF(SUM(DU22:DV22,DX22)-DW22&gt;0,SUM(DU22:DV22,DX22)-DW22,"")</f>
        <v/>
      </c>
      <c r="EJ22" s="11" t="str">
        <f>IF(SUM(DN22,DR22,DV22)&gt;0,SUM(DN22,DR22,DV22),"")</f>
        <v/>
      </c>
      <c r="EK22" s="11" t="str">
        <f>IF(SUM(EH22,EI22)&gt;0,SUM(EH22,EI22),"")</f>
        <v/>
      </c>
      <c r="EL22" s="11" t="str">
        <f>IF(SUM(DZ22,ED22)&gt;0,SUM(DZ22,ED22),"")</f>
        <v/>
      </c>
      <c r="EM22" s="11" t="str">
        <f>IF(SUM(DY22:DZ22,EB22:ED22,EF22)-SUM(EA22,EE22)&gt;0,SUM(DY22:DZ22,EB22:ED22,EF22)-SUM(EA22,EE22),"")</f>
        <v/>
      </c>
      <c r="EN22" s="11" t="str">
        <f>IF(SUM(EH22,EI22,EM22)&gt;0,SUM(EH22,EI22,EM22),"")</f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>IF(SUM(EP22,ET22)&gt;0,SUM(EP22,ET22),"")</f>
        <v/>
      </c>
      <c r="FJ22" s="40" t="str">
        <f>IF(SUM(EO22:EP22,ER22:ET22,EV22)-EQ22-EU22&gt;0,SUM(EO22:EP22,ER22:ET22,EV22)-EQ22-EU22,"")</f>
        <v/>
      </c>
      <c r="FK22" s="40" t="str">
        <f>IF(SUM(EW22:EX22,EZ22)-EY22&gt;0,SUM(EW22:EX22,EZ22)-EY22,"")</f>
        <v/>
      </c>
      <c r="FL22" s="40" t="str">
        <f>IF(SUM(EP22,ET22,EX22)&gt;0,SUM(EP22,ET22,EX22),"")</f>
        <v/>
      </c>
      <c r="FM22" s="40" t="str">
        <f>IF(SUM(FJ22,FK22)&gt;0,SUM(FJ22,FK22),"")</f>
        <v/>
      </c>
      <c r="FN22" s="40" t="str">
        <f>IF(SUM(FB22,FF22)&gt;0,SUM(FB22,FF22),"")</f>
        <v/>
      </c>
      <c r="FO22" s="40" t="str">
        <f>IF(SUM(FA22:FB22,FD22:FF22,FH22)-SUM(FC22,FG22)&gt;0,SUM(FA22:FB22,FD22:FF22,FH22)-SUM(FC22,FG22),"")</f>
        <v/>
      </c>
      <c r="FP22" s="40" t="str">
        <f>IF(SUM(FJ22,FK22,FO22)&gt;0,SUM(FJ22,FK22,FO22),"")</f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>IF(SUM(FR22,FV22)&gt;0,SUM(FR22,FV22),"")</f>
        <v/>
      </c>
      <c r="GL22" s="11" t="str">
        <f>IF(SUM(FQ22:FR22,FT22:FV22,FX22)-FS22-FW22&gt;0,SUM(FQ22:FR22,FT22:FV22,FX22)-FS22-FW22,"")</f>
        <v/>
      </c>
      <c r="GM22" s="11" t="str">
        <f>IF(SUM(FY22:FZ22,GB22)-GA22&gt;0,SUM(FY22:FZ22,GB22)-GA22,"")</f>
        <v/>
      </c>
      <c r="GN22" s="11" t="str">
        <f>IF(SUM(FR22,FV22,FZ22)&gt;0,SUM(FR22,FV22,FZ22),"")</f>
        <v/>
      </c>
      <c r="GO22" s="11" t="str">
        <f>IF(SUM(GL22,GM22)&gt;0,SUM(GL22,GM22),"")</f>
        <v/>
      </c>
      <c r="GP22" s="11" t="str">
        <f>IF(SUM(GD22,GH22)&gt;0,SUM(GD22,GH22),"")</f>
        <v/>
      </c>
      <c r="GQ22" s="11" t="str">
        <f>IF(SUM(GC22:GD22,GF22:GH22,GJ22)-SUM(GE22,GI22)&gt;0,SUM(GC22:GD22,GF22:GH22,GJ22)-SUM(GE22,GI22),"")</f>
        <v/>
      </c>
      <c r="GR22" s="11" t="str">
        <f>IF(SUM(GL22,GM22,GQ22)&gt;0,SUM(GL22,GM22,GQ22),"")</f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>IF(SUM(GT22,GX22)&gt;0,SUM(GT22,GX22),"")</f>
        <v/>
      </c>
      <c r="HN22" s="40" t="str">
        <f>IF(SUM(GS22:GT22,GV22:GX22,GZ22)-GU22-GY22&gt;0,SUM(GS22:GT22,GV22:GX22,GZ22)-GU22-GY22,"")</f>
        <v/>
      </c>
      <c r="HO22" s="40" t="str">
        <f>IF(SUM(HA22:HB22,HD22)-HC22&gt;0,SUM(HA22:HB22,HD22)-HC22,"")</f>
        <v/>
      </c>
      <c r="HP22" s="40" t="str">
        <f>IF(SUM(GT22,GX22,HB22)&gt;0,SUM(GT22,GX22,HB22),"")</f>
        <v/>
      </c>
      <c r="HQ22" s="40" t="str">
        <f>IF(SUM(HN22,HO22)&gt;0,SUM(HN22,HO22),"")</f>
        <v/>
      </c>
      <c r="HR22" s="40" t="str">
        <f>IF(SUM(HF22,HJ22)&gt;0,SUM(HF22,HJ22),"")</f>
        <v/>
      </c>
      <c r="HS22" s="40" t="str">
        <f>IF(SUM(HE22:HF22,HH22:HJ22,HL22)-SUM(HG22,HK22)&gt;0,SUM(HE22:HF22,HH22:HJ22,HL22)-SUM(HG22,HK22),"")</f>
        <v/>
      </c>
      <c r="HT22" s="40" t="str">
        <f>IF(SUM(HN22,HO22,HS22)&gt;0,SUM(HN22,HO22,HS22),"")</f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>IF(SUM(HV22,HZ22)&gt;0,SUM(HV22,HZ22),"")</f>
        <v/>
      </c>
      <c r="IP22" s="11" t="str">
        <f>IF(SUM(HU22:HV22,HX22:HZ22,IB22)-HW22-IA22&gt;0,SUM(HU22:HV22,HX22:HZ22,IB22)-HW22-IA22,"")</f>
        <v/>
      </c>
      <c r="IQ22" s="11" t="str">
        <f>IF(SUM(IC22:ID22,IF22)-IE22&gt;0,SUM(IC22:ID22,IF22)-IE22,"")</f>
        <v/>
      </c>
      <c r="IR22" s="11" t="str">
        <f>IF(SUM(HV22,HZ22,ID22)&gt;0,SUM(HV22,HZ22,ID22),"")</f>
        <v/>
      </c>
      <c r="IS22" s="11" t="str">
        <f>IF(SUM(IP22,IQ22)&gt;0,SUM(IP22,IQ22),"")</f>
        <v/>
      </c>
      <c r="IT22" s="11" t="str">
        <f>IF(SUM(IH22,IL22)&gt;0,SUM(IH22,IL22),"")</f>
        <v/>
      </c>
      <c r="IU22" s="11" t="str">
        <f>IF(SUM(IG22:IH22,IJ22:IL22,IN22)-SUM(II22,IM22)&gt;0,SUM(IG22:IH22,IJ22:IL22,IN22)-SUM(II22,IM22),"")</f>
        <v/>
      </c>
      <c r="IV22" s="11" t="str">
        <f>IF(SUM(IP22,IQ22,IU22)&gt;0,SUM(IP22,IQ22,IU22),"")</f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>IF(SUM(IX22,JB22)&gt;0,SUM(IX22,JB22),"")</f>
        <v/>
      </c>
      <c r="JR22" s="40" t="str">
        <f>IF(SUM(IW22:IX22,IZ22:JB22,JD22)-IY22-JC22&gt;0,SUM(IW22:IX22,IZ22:JB22,JD22)-IY22-JC22,"")</f>
        <v/>
      </c>
      <c r="JS22" s="40" t="str">
        <f>IF(SUM(JE22:JF22,JH22)-JG22&gt;0,SUM(JE22:JF22,JH22)-JG22,"")</f>
        <v/>
      </c>
      <c r="JT22" s="40" t="str">
        <f>IF(SUM(IX22,JB22,JF22)&gt;0,SUM(IX22,JB22,JF22),"")</f>
        <v/>
      </c>
      <c r="JU22" s="40" t="str">
        <f>IF(SUM(JR22,JS22)&gt;0,SUM(JR22,JS22),"")</f>
        <v/>
      </c>
      <c r="JV22" s="40" t="str">
        <f>IF(SUM(JJ22,JN22)&gt;0,SUM(JJ22,JN22),"")</f>
        <v/>
      </c>
      <c r="JW22" s="40" t="str">
        <f>IF(SUM(JI22:JJ22,JL22:JN22,JP22)-SUM(JK22,JO22)&gt;0,SUM(JI22:JJ22,JL22:JN22,JP22)-SUM(JK22,JO22),"")</f>
        <v/>
      </c>
      <c r="JX22" s="40" t="str">
        <f>IF(SUM(JR22,JS22,JW22)&gt;0,SUM(JR22,JS22,JW22),"")</f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>IF(SUM(JZ22,KD22)&gt;0,SUM(JZ22,KD22),"")</f>
        <v/>
      </c>
      <c r="KT22" s="11" t="str">
        <f>IF(SUM(JY22:JZ22,KB22:KD22,KF22)-KA22-KE22&gt;0,SUM(JY22:JZ22,KB22:KD22,KF22)-KA22-KE22,"")</f>
        <v/>
      </c>
      <c r="KU22" s="11" t="str">
        <f>IF(SUM(KG22:KH22,KJ22)-KI22&gt;0,SUM(KG22:KH22,KJ22)-KI22,"")</f>
        <v/>
      </c>
      <c r="KV22" s="11" t="str">
        <f>IF(SUM(JZ22,KD22,KH22)&gt;0,SUM(JZ22,KD22,KH22),"")</f>
        <v/>
      </c>
      <c r="KW22" s="11" t="str">
        <f>IF(SUM(KT22,KU22)&gt;0,SUM(KT22,KU22),"")</f>
        <v/>
      </c>
      <c r="KX22" s="11" t="str">
        <f>IF(SUM(KL22,KP22)&gt;0,SUM(KL22,KP22),"")</f>
        <v/>
      </c>
      <c r="KY22" s="11" t="str">
        <f>IF(SUM(KK22:KL22,KN22:KP22,KR22)-SUM(KM22,KQ22)&gt;0,SUM(KK22:KL22,KN22:KP22,KR22)-SUM(KM22,KQ22),"")</f>
        <v/>
      </c>
      <c r="KZ22" s="11" t="str">
        <f>IF(SUM(KT22,KU22,KY22)&gt;0,SUM(KT22,KU22,KY22),"")</f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>IF(SUM(LB22,LF22)&gt;0,SUM(LB22,LF22),"")</f>
        <v/>
      </c>
      <c r="LV22" s="40" t="str">
        <f>IF(SUM(LA22:LB22,LD22:LF22,LH22)-LC22-LG22&gt;0,SUM(LA22:LB22,LD22:LF22,LH22)-LC22-LG22,"")</f>
        <v/>
      </c>
      <c r="LW22" s="40" t="str">
        <f>IF(SUM(LI22:LJ22,LL22)-LK22&gt;0,SUM(LI22:LJ22,LL22)-LK22,"")</f>
        <v/>
      </c>
      <c r="LX22" s="40" t="str">
        <f>IF(SUM(LB22,LF22,LJ22)&gt;0,SUM(LB22,LF22,LJ22),"")</f>
        <v/>
      </c>
      <c r="LY22" s="40" t="str">
        <f>IF(SUM(LV22,LW22)&gt;0,SUM(LV22,LW22),"")</f>
        <v/>
      </c>
      <c r="LZ22" s="40" t="str">
        <f>IF(SUM(LN22,LR22)&gt;0,SUM(LN22,LR22),"")</f>
        <v/>
      </c>
      <c r="MA22" s="40" t="str">
        <f>IF(SUM(LM22:LN22,LP22:LR22,LT22)-SUM(LO22,LS22)&gt;0,SUM(LM22:LN22,LP22:LR22,LT22)-SUM(LO22,LS22),"")</f>
        <v/>
      </c>
      <c r="MB22" s="40" t="str">
        <f>IF(SUM(LV22,LW22,MA22)&gt;0,SUM(LV22,LW22,MA22),"")</f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>IF(SUM(MD22,MH22)&gt;0,SUM(MD22,MH22),"")</f>
        <v/>
      </c>
      <c r="MX22" s="11" t="str">
        <f>IF(SUM(MC22:MD22,MF22:MH22,MJ22)-ME22-MI22&gt;0,SUM(MC22:MD22,MF22:MH22,MJ22)-ME22-MI22,"")</f>
        <v/>
      </c>
      <c r="MY22" s="11" t="str">
        <f>IF(SUM(MK22:ML22,MN22)-MM22&gt;0,SUM(MK22:ML22,MN22)-MM22,"")</f>
        <v/>
      </c>
      <c r="MZ22" s="11" t="str">
        <f>IF(SUM(MD22,MH22,ML22)&gt;0,SUM(MD22,MH22,ML22),"")</f>
        <v/>
      </c>
      <c r="NA22" s="11" t="str">
        <f>IF(SUM(MX22,MY22)&gt;0,SUM(MX22,MY22),"")</f>
        <v/>
      </c>
      <c r="NB22" s="11" t="str">
        <f>IF(SUM(MP22,MT22)&gt;0,SUM(MP22,MT22),"")</f>
        <v/>
      </c>
      <c r="NC22" s="11" t="str">
        <f>IF(SUM(MO22:MP22,MR22:MT22,MV22)-SUM(MQ22,MU22)&gt;0,SUM(MO22:MP22,MR22:MT22,MV22)-SUM(MQ22,MU22),"")</f>
        <v/>
      </c>
      <c r="ND22" s="11" t="str">
        <f>IF(SUM(MX22,MY22,NC22)&gt;0,SUM(MX22,MY22,NC22),"")</f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>IF(SUM(NF22,NJ22)&gt;0,SUM(NF22,NJ22),"")</f>
        <v/>
      </c>
      <c r="NZ22" s="40" t="str">
        <f>IF(SUM(NE22:NF22,NH22:NJ22,NL22)-NG22-NK22&gt;0,SUM(NE22:NF22,NH22:NJ22,NL22)-NG22-NK22,"")</f>
        <v/>
      </c>
      <c r="OA22" s="40" t="str">
        <f>IF(SUM(NM22:NN22,NP22)-NO22&gt;0,SUM(NM22:NN22,NP22)-NO22,"")</f>
        <v/>
      </c>
      <c r="OB22" s="40" t="str">
        <f>IF(SUM(NF22,NJ22,NN22)&gt;0,SUM(NF22,NJ22,NN22),"")</f>
        <v/>
      </c>
      <c r="OC22" s="40" t="str">
        <f>IF(SUM(NZ22,OA22)&gt;0,SUM(NZ22,OA22),"")</f>
        <v/>
      </c>
      <c r="OD22" s="40" t="str">
        <f>IF(SUM(NR22,NV22)&gt;0,SUM(NR22,NV22),"")</f>
        <v/>
      </c>
      <c r="OE22" s="40" t="str">
        <f>IF(SUM(NQ22:NR22,NT22:NV22,NX22)-SUM(NS22,NW22)&gt;0,SUM(NQ22:NR22,NT22:NV22,NX22)-SUM(NS22,NW22),"")</f>
        <v/>
      </c>
      <c r="OF22" s="40" t="str">
        <f>IF(SUM(NZ22,OA22,OE22)&gt;0,SUM(NZ22,OA22,OE22),"")</f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>IF(SUM(OH22,OL22)&gt;0,SUM(OH22,OL22),"")</f>
        <v/>
      </c>
      <c r="PB22" s="11" t="str">
        <f>IF(SUM(OG22:OH22,OJ22:OL22,ON22)-OI22-OM22&gt;0,SUM(OG22:OH22,OJ22:OL22,ON22)-OI22-OM22,"")</f>
        <v/>
      </c>
      <c r="PC22" s="11" t="str">
        <f>IF(SUM(OO22:OP22,OR22)-OQ22&gt;0,SUM(OO22:OP22,OR22)-OQ22,"")</f>
        <v/>
      </c>
      <c r="PD22" s="11" t="str">
        <f>IF(SUM(OH22,OL22,OP22)&gt;0,SUM(OH22,OL22,OP22),"")</f>
        <v/>
      </c>
      <c r="PE22" s="11" t="str">
        <f>IF(SUM(PB22,PC22)&gt;0,SUM(PB22,PC22),"")</f>
        <v/>
      </c>
      <c r="PF22" s="11" t="str">
        <f>IF(SUM(OT22,OX22)&gt;0,SUM(OT22,OX22),"")</f>
        <v/>
      </c>
      <c r="PG22" s="11" t="str">
        <f>IF(SUM(OS22:OT22,OV22:OX22,OZ22)-SUM(OU22,OY22)&gt;0,SUM(OS22:OT22,OV22:OX22,OZ22)-SUM(OU22,OY22),"")</f>
        <v/>
      </c>
      <c r="PH22" s="11" t="str">
        <f>IF(SUM(PB22,PC22,PG22)&gt;0,SUM(PB22,PC22,PG22),"")</f>
        <v/>
      </c>
      <c r="PI22" s="22">
        <f>IF($PY22="P",BM22,(BM22+AQ22)/2)</f>
        <v>0</v>
      </c>
      <c r="PJ22" s="22">
        <f>IF($PY22="P",BN22,(BN22+AR22)/2)</f>
        <v>0</v>
      </c>
      <c r="PK22" s="22">
        <f>IF($PY22="P",BO22,(BO22+AS22)/2)</f>
        <v>0</v>
      </c>
      <c r="PL22" s="22">
        <f>IF($PY22="P",BP22,(BP22+AT22)/2)</f>
        <v>0</v>
      </c>
      <c r="PM22" s="22">
        <f>IF($PY22="P",BQ22,(BQ22+AU22)/2)</f>
        <v>0</v>
      </c>
      <c r="PN22" s="22">
        <f>IF($PY22="P",BR22,(BR22+AV22)/2)</f>
        <v>0</v>
      </c>
      <c r="PO22" s="22">
        <f>IF($PY22="P",BS22,(BS22+AW22)/2)</f>
        <v>0</v>
      </c>
      <c r="PP22" s="22">
        <f>IF($PY22="P",BT22,(BT22+AX22)/2)</f>
        <v>0</v>
      </c>
      <c r="PQ22" s="22">
        <f>IF($PY22="P",BU22,(BU22+AY22)/2)</f>
        <v>0</v>
      </c>
      <c r="PR22" s="22">
        <f>IF($PY22="P",BV22,(BV22+AZ22)/2)</f>
        <v>0</v>
      </c>
      <c r="PS22" s="22">
        <f>IF($PY22="P",BW22,(BW22+BA22)/2)</f>
        <v>0</v>
      </c>
      <c r="PT22" s="22">
        <f>IF($PY22="P",BX22,(BX22+BB22)/2)</f>
        <v>0</v>
      </c>
      <c r="PU22" s="22">
        <f>IF($PY22="P",BY22,(BY22+BC22)/2)</f>
        <v>0</v>
      </c>
      <c r="PV22" s="22">
        <f>IF($PY22="P",BZ22,(BZ22+BD22)/2)</f>
        <v>0</v>
      </c>
      <c r="PW22" s="22">
        <f>IF($PY22="P",CA22,(CA22+BE22)/2)</f>
        <v>0</v>
      </c>
      <c r="PX22" s="22">
        <f>IF($PY22="P",CB22,(CB22+BF22)/2)</f>
        <v>0</v>
      </c>
      <c r="PY22" s="27" t="s">
        <v>46</v>
      </c>
      <c r="PZ22" s="40" t="str">
        <f>IF(SUM(PJ22,PN22)&gt;0,SUM(PJ22,PN22),"")</f>
        <v/>
      </c>
      <c r="QA22" s="40" t="str">
        <f>IF(SUM(PI22:PJ22,PL22:PN22,PP22)-PK22-PO22&gt;0,SUM(PI22:PJ22,PL22:PN22,PP22)-PK22-PO22,"")</f>
        <v/>
      </c>
      <c r="QB22" s="40" t="str">
        <f>IF(SUM(PR22,PV22)&gt;0,SUM(PR22,PV22),"")</f>
        <v/>
      </c>
      <c r="QC22" s="40" t="str">
        <f>IF(SUM(PQ22:PR22,PT22:PV22,PX22)-SUM(PS22,PW22)&gt;0,SUM(PQ22:PR22,PT22:PV22,PX22)-SUM(PS22,PW22),"")</f>
        <v/>
      </c>
      <c r="QD22" s="40" t="str">
        <f>IF(SUM(QA22,QC22)&gt;0,SUM(QA22,QC22),"")</f>
        <v/>
      </c>
    </row>
    <row r="23" spans="1:446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189</v>
      </c>
      <c r="D23" s="4" t="s">
        <v>4</v>
      </c>
      <c r="E23" s="4">
        <v>2008</v>
      </c>
      <c r="F23" s="9">
        <f>SUM(L23:R23)+SUM(L23:O23)*0.0000001+SUM(L23)*0.0000000000001</f>
        <v>91.20000453000452</v>
      </c>
      <c r="G23" s="64"/>
      <c r="H23" s="3" t="str">
        <f>IF(OR(AND(AL23&gt;=AP$36,AM23&gt;=AP$40,AL23&lt;&gt;"",AK23=""),AND(AN23&gt;=AP$36,AO23&gt;=AP$40,AN23&lt;&gt;"",AK23=""),AND(BH23&gt;=BL$36,BI23&gt;=BL$40,BH23&lt;&gt;"",BG23=""),AND(BJ23&gt;=BL$36,BK23&gt;=BL$40,BJ23&lt;&gt;"",BG23=""),AND(CD23&gt;=CH$36,CE23&gt;=CH$40,CD23&lt;&gt;"",CC23=""),AND(CF23&gt;=CH$36,CG23&gt;=CH$40,CF23&lt;&gt;""),AND(DE23&gt;=DL$36,DF23&gt;=DL$40,DE23&lt;&gt;""),AND(DJ23&gt;=DL$36,DK23&gt;=DL$40,DJ23&lt;&gt;""),AND(EG23&gt;=EN$36,EH23&gt;=EN$40,EG23&lt;&gt;""),AND(EL23&gt;=EN$36,EM23&gt;=EN$40,EL23&lt;&gt;""),AND(FI23&gt;=FP$36,FJ23&gt;=FP$40,FI23&lt;&gt;""),AND(FN23&gt;=FP$36,FO23&gt;=FP$40,FN23&lt;&gt;""),AND(GK23&gt;=GR$36,GL23&gt;=GR$40,GK23&lt;&gt;""),AND(GP23&gt;=GR$36,GQ23&gt;=GR$40,GP23&lt;&gt;""),AND(HM23&gt;=HT$36,HN23&gt;=HT$40,HM23&lt;&gt;""),AND(HR23&gt;=HT$36,HS23&gt;=HT$40,HR23&lt;&gt;""),AND(IO23&gt;=IV$36,IP23&gt;=IV$40,IO23&lt;&gt;""),AND(IT23&gt;=IV$36,IU23&gt;=IV$40,IT23&lt;&gt;""),AND(JQ23&gt;=JX$36,JR23&gt;=JX$40,JQ23&lt;&gt;""),AND(JV23&gt;=JX$36,JW23&gt;=JX$40,JV23&lt;&gt;""),AND(KS23&gt;=KZ$36,KT23&gt;=KZ$40,KS23&lt;&gt;""),AND(KX23&gt;=KZ$36,KY23&gt;=KZ$40,KX23&lt;&gt;""),AND(LU23&gt;=MB$36,LV23&gt;=MB$40,LU23&lt;&gt;""),AND(LZ23&gt;=MB$36,MA23&gt;=MB$40,LZ23&lt;&gt;""),AND(MW23&gt;=ND$36,MX23&gt;=ND$40,MW23&lt;&gt;""),AND(NB23&gt;=ND$36,NC23&gt;=ND$40,NB23&lt;&gt;""),AND(NY23&gt;=OF$36,NZ23&gt;=OF$40,NY23&lt;&gt;""),AND(OD23&gt;=OF$36,OE23&gt;=OF$40,OD23&lt;&gt;""),AND(PA23&gt;=PH$36,PB23&gt;=PH$40,PA23&lt;&gt;""),AND(PF23&gt;=PH$36,PG23&gt;=PH$40,PF23&lt;&gt;"")),"P","")</f>
        <v/>
      </c>
      <c r="I23" s="3" t="str">
        <f>IF(OR(AND(AM23&gt;=AP$40,AM23&lt;&gt;"",AK23=""),AND(AO23&gt;=AP$40,AO23&lt;&gt;"",AK23=""),AND(BI23&gt;=BL$40,BI23&lt;&gt;"",BG23=""),AND(BK23&gt;=BL$40,BK23&lt;&gt;"",BG23=""),AND(CE23&gt;=CH$40,CE23&lt;&gt;"",CC23=""),AND(CG23&gt;=CH$40,CG23&lt;&gt;"",CC23=""),AND(DF23&gt;=DL$40,DF23&lt;&gt;""),AND(DK23&gt;=DL$40,DK23&lt;&gt;""),AND(EH23&gt;=EN$40,EH23&lt;&gt;""),AND(EM23&gt;=EN$40,EM23&lt;&gt;""),AND(FJ23&gt;=FP$40,FJ23&lt;&gt;""),AND(FO23&gt;=FP$40,FO23&lt;&gt;""),AND(GL23&gt;=GR$40,GL23&lt;&gt;""),AND(GQ23&gt;=GR$40,GQ23&lt;&gt;""),AND(HN23&gt;=HT$40,HN23&lt;&gt;""),AND(HS23&gt;=HT$40,HS23&lt;&gt;""),AND(IP23&gt;=IV$40,IP23&lt;&gt;""),AND(IU23&gt;=IV$40,IU23&lt;&gt;""),AND(JR23&gt;=JX$40,JR23&lt;&gt;""),AND(JW23&gt;=JX$40,JW23&lt;&gt;""),AND(KT23&gt;=KZ$40,KT23&lt;&gt;""),AND(KY23&gt;=KZ$40,KY23&lt;&gt;""),AND(LV23&gt;=MB$40,LV23&lt;&gt;""),AND(MA23&gt;=MB$40,MA23&lt;&gt;""),AND(MX23&gt;=ND$40,MX23&lt;&gt;""),AND(NC23&gt;=ND$40,NC23&lt;&gt;""),AND(NZ23&gt;=OF$40,NZ23&lt;&gt;""),AND(OE23&gt;=OF$40,OE23&lt;&gt;""),AND(PB23&gt;=PH$40,PB23&lt;&gt;""),AND(PG23&gt;=PH$40,PG23&lt;&gt;"")),"P","")</f>
        <v/>
      </c>
      <c r="J23" s="36" t="str">
        <f>IF(AND(I23="P",H23=""),"No DD",IF(OR(AND(AL23&gt;=AP$26,AM23&gt;=AP$30,AL23&lt;&gt;"",AK23=""),AND(BH23&gt;=BL$26,BI23&gt;=BL$30,BH23&lt;&gt;"",BG23=""),AND(CD23&gt;=CH$26,CE23&gt;=CH$30,CD23&lt;&gt;"",CC23=""),AND(DH23&gt;=DL$26,DI23&gt;=DL$30,DH23&lt;&gt;""),AND(EJ23&gt;=EN$26,EK23&gt;=EN$30,EJ23&lt;&gt;""),AND(FL23&gt;=FP$26,FM23&gt;=FP$30,FL23&lt;&gt;""),AND(GN23&gt;=GR$26,GO23&gt;=GR$30,GN23&lt;&gt;""),AND(HP23&gt;=HT$26,HQ23&gt;=HT$30,HP23&lt;&gt;""),AND(IR23&gt;=IV$26,IS23&gt;=IV$30,IR23&lt;&gt;""),AND(JT23&gt;=JX$26,JU23&gt;=JX$30,JT23&lt;&gt;""),AND(KV23&gt;=KZ$26,KW23&gt;=KZ$30,KV23&lt;&gt;""),AND(LX23&gt;=MB$26,LY23&gt;=MB$30,LX23&lt;&gt;""),AND(MZ23&gt;=ND$26,NA23&gt;=ND$30,MZ23&lt;&gt;""),AND(OB23&gt;=OF$26,OC23&gt;=OF$30,OB23&lt;&gt;""),AND(PD23&gt;=PH$26,PE23&gt;=PH$30,PD23&lt;&gt;"")),"Merit",IF(OR(AND(AL23&gt;=AP$25,AM23&gt;=AP$29,AL23&lt;&gt;"",AK23=""),AND(BH23&gt;=BL$25,BI23&gt;=BL$29,BH23&lt;&gt;"",BG23=""),AND(CD23&gt;=CH$25,CE23&gt;=CH$29,CD23&lt;&gt;"",CC23=""),AND(DH23&gt;=DL$25,DI23&gt;=DL$29,DH23&lt;&gt;""),AND(EJ23&gt;=EN$25,EK23&gt;=EN$29,EJ23&lt;&gt;""),AND(FL23&gt;=FP$25,FM23&gt;=FP$29,FL23&lt;&gt;""),AND(GN23&gt;=GR$25,GO23&gt;=GR$29,GN23&lt;&gt;""),AND(HP23&gt;=HT$25,HQ23&gt;=HT$29,HP23&lt;&gt;""),AND(IR23&gt;=IV$25,IS23&gt;=IV$29,IR23&lt;&gt;""),AND(JT23&gt;=JX$25,JU23&gt;=JX$29,JT23&lt;&gt;""),AND(KV23&gt;=KZ$25,KW23&gt;=KZ$29,KV23&lt;&gt;""),AND(LX23&gt;=MB$25,LY23&gt;=MB$29,LX23&lt;&gt;""),AND(MZ23&gt;=ND$25,NA23&gt;=ND$29,MZ23&lt;&gt;""),AND(OB23&gt;=OF$25,OC23&gt;=OF$29,OB23&lt;&gt;""),AND(PD23&gt;=PH$25,PE23&gt;=PH$29,PD23&lt;&gt;"")),"Excellence",IF(K23="P","Worlds Team",IF(H23="P","National Team","")))))</f>
        <v/>
      </c>
      <c r="K23" s="3" t="str">
        <f>IF(OR(AND(AL23&gt;=AP$24,AM23&gt;=AP$28,AL23&lt;&gt;"",AK23=""),AND(BH23&gt;=BL$24,BI23&gt;=BL$28,BH23&lt;&gt;"",BG23=""),AND(CD23&gt;=CH$24,CE23&gt;=CH$28,CD23&lt;&gt;"",CC23=""),AND(DH23&gt;=DL$24,DI23&gt;=DL$28,DH23&lt;&gt;""),AND(EJ23&gt;=EN$24,EK23&gt;=EN$28,EJ23&lt;&gt;""),AND(FL23&gt;=FP$24,FM23&gt;=FP$28,FL23&lt;&gt;""),AND(GN23&gt;=GR$24,GO23&gt;=GR$28,GN23&lt;&gt;""),AND(HP23&gt;=HT$24,HQ23&gt;=HT$28,HP23&lt;&gt;""),AND(IR23&gt;=IV$24,IS23&gt;=IV$28,IR23&lt;&gt;""),AND(JT23&gt;=JX$24,JU23&gt;=JX$28,JT23&lt;&gt;""),AND(KV23&gt;=KZ$24,KW23&gt;=KZ$28,KV23&lt;&gt;""),AND(LX23&gt;=MB$24,LY23&gt;=MB$28,LX23&lt;&gt;""),AND(MZ23&gt;=ND$24,NA23&gt;=ND$28,MZ23&lt;&gt;""),AND(OB23&gt;=OF$24,OC23&gt;=OF$28,OB23&lt;&gt;""),AND(PD23&gt;=PH$24,PE23&gt;=PH$28,PD23&lt;&gt;"")),"P","")</f>
        <v/>
      </c>
      <c r="L23" s="8">
        <f>IF(COUNT(AM23,BI23,CE23)&gt;0,LARGE((AM23,BI23,CE23),1),0)</f>
        <v>45.3</v>
      </c>
      <c r="M23" s="8" t="str">
        <f>IF(L23=0,"",IF(L23=CE23,$BM$1,IF(L23=BI23,$AQ$1,IF(L23=AM23,$U$1,""))))</f>
        <v>2025 Nationals</v>
      </c>
      <c r="N23" s="8">
        <f>IF(COUNT(AM23,BI23,CE23)&gt;1,LARGE((AM23,BI23,CE23),2),0)</f>
        <v>0</v>
      </c>
      <c r="O23" s="8" t="str">
        <f>IF(N23=0,"",IF(AND(N23=L23,N23=AM23,N23=BI23),$U$1,IF(AND(N23=L23,N23=AM23,N23=CE23),$U$1,IF(AND(N23=L23,N23=BI23,N23=CE23),$AQ$1,IF(N23=CE23,$BM$1,IF(N23=BI23,$AQ$1,IF(N23=AM23,$U$1,"")))))))</f>
        <v/>
      </c>
      <c r="P23" s="8">
        <f>IF(MAX(AO23,BK23,CG23)&gt;0,MAX(AO23,BK23,CG23),0)</f>
        <v>45.9</v>
      </c>
      <c r="Q23" s="8" t="str">
        <f>IF(P23=0,"",IF(P23=CG23,$BM$1,IF(P23=BK23,$AQ$1,IF(P23=AO23,$U$1,""))))</f>
        <v>2025 Nationals</v>
      </c>
      <c r="R23" s="8" t="str">
        <f>IF(MAX(CI23:CJ23)&gt;0,MAX(CI23:CJ23),"")</f>
        <v/>
      </c>
      <c r="S23" s="11" t="str">
        <f>IF(R23="","",IF(R23=CI23,"("&amp;CI$2&amp;")",IF(R23=CJ23,"("&amp;CJ$2&amp;")")))</f>
        <v/>
      </c>
      <c r="T23" s="8" t="str">
        <f>IF(R23="","",IF(R23=CI23,IF(R23+IF(N23="",0,N23)=PB23,$OG$1,IF(R23+IF(N23="",0,N23)=NZ23,$NE$1,IF(R23+IF(N23="",0,N23)=MX23,$MC$1,IF(R23+IF(N23="",0,N23)=LV23,$LA$1,IF(R23+IF(N23="",0,N23)=KT23,$JY$1,IF(R23+IF(N23="",0,N23)=JR23,$IW$1,IF(R23+IF(N23="",0,N23)=IP23,$HU$1,IF(R23+IF(N23="",0,N23)=HN23,$GS$1,IF(R23+IF(N23="",0,N23)=GL23,$FQ$1,IF(R23+IF(N23="",0,N23)=FJ23,$EO$1,IF(R23+IF(N23="",0,N23)=EH23,$DM$1,IF(R23+IF(N23="",0,N23)=DF23,$CK$1)))))))))))),IF(R23=CJ23,IF(R23+IF(P23="",0,P23)=PG23,$OG$1,IF(R23+IF(P23="",0,P23)=OE23,$NE$1,IF(R23+IF(P23="",0,P23)=NC23,$MC$1,IF(R23+IF(P23="",0,P23)=MA23,$LA$1,IF(R23+IF(P23="",0,P23)=KY23,$JY$1,IF(R23+IF(P23="",0,P23)=JW23,$IW$1,IF(R23+IF(P23="",0,P23)=IU23,$HU$1,IF(R23+IF(P23="",0,P23)=HS23,$GS$1,IF(R23+IF(P23="",0,P23)=GQ23,$FQ$1,IF(R23+IF(P23="",0,P23)=FO23,$EO$1,IF(R23+IF(P23="",0,P23)=EM23,$DM$1,IF(R23+IF(P23="",0,P23)=DK23,$CK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27"/>
      <c r="AL23" s="40" t="str">
        <f>IF(SUM(V23,Z23)&gt;0,SUM(V23,Z23),"")</f>
        <v/>
      </c>
      <c r="AM23" s="40" t="str">
        <f>IF(SUM(U23:V23,X23:Z23,AB23)-W23-AA23&gt;0,SUM(U23:V23,X23:Z23,AB23)-W23-AA23,"")</f>
        <v/>
      </c>
      <c r="AN23" s="40" t="str">
        <f>IF(SUM(AD23,AH23)&gt;0,SUM(AD23,AH23),"")</f>
        <v/>
      </c>
      <c r="AO23" s="40" t="str">
        <f>IF(SUM(AC23:AD23,AF23:AH23,AJ23)-SUM(AE23,AI23)&gt;0,SUM(AC23:AD23,AF23:AH23,AJ23)-SUM(AE23,AI23),"")</f>
        <v/>
      </c>
      <c r="AP23" s="40" t="str">
        <f>IF(SUM(AM23,AO23)&gt;0,SUM(AM23,AO23),"")</f>
        <v/>
      </c>
      <c r="AQ23" s="18">
        <v>18.3</v>
      </c>
      <c r="AR23" s="18">
        <v>5.2</v>
      </c>
      <c r="AS23" s="18">
        <v>0</v>
      </c>
      <c r="AT23" s="18">
        <v>0</v>
      </c>
      <c r="AU23" s="18">
        <v>18.8</v>
      </c>
      <c r="AV23" s="18">
        <v>3.6</v>
      </c>
      <c r="AW23" s="18">
        <v>0.6</v>
      </c>
      <c r="AX23" s="18">
        <v>0</v>
      </c>
      <c r="AY23" s="18">
        <v>18.399999999999999</v>
      </c>
      <c r="AZ23" s="18">
        <v>5.2</v>
      </c>
      <c r="BA23" s="18">
        <v>0</v>
      </c>
      <c r="BB23" s="18">
        <v>0</v>
      </c>
      <c r="BC23" s="18">
        <v>18.899999999999999</v>
      </c>
      <c r="BD23" s="18">
        <v>4</v>
      </c>
      <c r="BE23" s="18">
        <v>0.6</v>
      </c>
      <c r="BF23" s="18">
        <v>0</v>
      </c>
      <c r="BG23" s="28"/>
      <c r="BH23" s="11">
        <f>IF(SUM(AR23,AV23)&gt;0,SUM(AR23,AV23),"")</f>
        <v>8.8000000000000007</v>
      </c>
      <c r="BI23" s="11">
        <f>IF(SUM(AQ23:AR23,AT23:AV23,AX23)-AS23-AW23&gt;0,SUM(AQ23:AR23,AT23:AV23,AX23)-AS23-AW23,"")</f>
        <v>45.3</v>
      </c>
      <c r="BJ23" s="11">
        <f>IF(SUM(AZ23,BD23)&gt;0,SUM(AZ23,BD23),"")</f>
        <v>9.1999999999999993</v>
      </c>
      <c r="BK23" s="11">
        <f>IF(SUM(AY23:AZ23,BB23:BD23,BF23)-SUM(BA23,BE23)&gt;0,SUM(AY23:AZ23,BB23:BD23,BF23)-SUM(BA23,BE23),"")</f>
        <v>45.9</v>
      </c>
      <c r="BL23" s="11">
        <f>IF(SUM(BI23,BK23)&gt;0,SUM(BI23,BK23),"")</f>
        <v>91.199999999999989</v>
      </c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27"/>
      <c r="CD23" s="40" t="str">
        <f>IF(SUM(BN23,BR23)&gt;0,SUM(BN23,BR23),"")</f>
        <v/>
      </c>
      <c r="CE23" s="40" t="str">
        <f>IF(SUM(BM23:BN23,BP23:BR23,BT23)-BO23-BS23&gt;0,SUM(BM23:BN23,BP23:BR23,BT23)-BO23-BS23,"")</f>
        <v/>
      </c>
      <c r="CF23" s="40" t="str">
        <f>IF(SUM(BV23,BZ23)&gt;0,SUM(BV23,BZ23),"")</f>
        <v/>
      </c>
      <c r="CG23" s="40" t="str">
        <f>IF(SUM(BU23:BV23,BX23:BZ23,CB23)-SUM(BW23,CA23)&gt;0,SUM(BU23:BV23,BX23:BZ23,CB23)-SUM(BW23,CA23),"")</f>
        <v/>
      </c>
      <c r="CH23" s="40" t="str">
        <f>IF(SUM(CE23,CG23)&gt;0,SUM(CE23,CG23),"")</f>
        <v/>
      </c>
      <c r="CI23" s="50" t="str">
        <f>IF(MAX(DF23,EH23,FJ23,GL23,HN23,IP23,JR23,KT23,LV23,MX23,NZ23,PB23)-IF(N23="",0,N23)&gt;0.001,MAX(DF23,EH23,FJ23,GL23,HN23,IP23,JR23,KT23,LV23,MX23,NZ23,PB23)-IF(N23="",0,N23),"")</f>
        <v/>
      </c>
      <c r="CJ23" s="50" t="str">
        <f>IF(MAX(DK23,EM23,FO23,GQ23,HS23,IU23,JW23,KY23,MA23,NC23,OE23,PG23)-IF(P23="",0,P23)&gt;0.001,MAX(DK23,EM23,FO23,GQ23,HS23,IU23,JW23,KY23,MA23,NC23,OE23,PG23)-IF(P23="",0,P23),"")</f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>IF(SUM(CL23,CP23)&gt;0,SUM(CL23,CP23),"")</f>
        <v/>
      </c>
      <c r="DF23" s="40" t="str">
        <f>IF(SUM(CK23:CL23,CN23:CP23,CR23)-CM23-CQ23&gt;0,SUM(CK23:CL23,CN23:CP23,CR23)-CM23-CQ23,"")</f>
        <v/>
      </c>
      <c r="DG23" s="40" t="str">
        <f>IF(SUM(CS23:CT23,CV23)-CU23&gt;0,SUM(CS23:CT23,CV23)-CU23,"")</f>
        <v/>
      </c>
      <c r="DH23" s="40" t="str">
        <f>IF(SUM(CL23,CP23,CT23)&gt;0,SUM(CL23,CP23,CT23),"")</f>
        <v/>
      </c>
      <c r="DI23" s="40" t="str">
        <f>IF(SUM(DF23,DG23)&gt;0,SUM(DF23,DG23),"")</f>
        <v/>
      </c>
      <c r="DJ23" s="40" t="str">
        <f>IF(SUM(CX23,DB23)&gt;0,SUM(CX23,DB23),"")</f>
        <v/>
      </c>
      <c r="DK23" s="40" t="str">
        <f>IF(SUM(CW23:CX23,CZ23:DB23,DD23)-SUM(CY23,DC23)&gt;0,SUM(CW23:CX23,CZ23:DB23,DD23)-SUM(CY23,DC23),"")</f>
        <v/>
      </c>
      <c r="DL23" s="40" t="str">
        <f>IF(SUM(DF23,DG23,DK23)&gt;0,SUM(DF23,DG23,DK23),"")</f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>IF(SUM(DN23,DR23)&gt;0,SUM(DN23,DR23),"")</f>
        <v/>
      </c>
      <c r="EH23" s="11" t="str">
        <f>IF(SUM(DM23:DN23,DP23:DR23,DT23)-DO23-DS23&gt;0,SUM(DM23:DN23,DP23:DR23,DT23)-DO23-DS23,"")</f>
        <v/>
      </c>
      <c r="EI23" s="11" t="str">
        <f>IF(SUM(DU23:DV23,DX23)-DW23&gt;0,SUM(DU23:DV23,DX23)-DW23,"")</f>
        <v/>
      </c>
      <c r="EJ23" s="11" t="str">
        <f>IF(SUM(DN23,DR23,DV23)&gt;0,SUM(DN23,DR23,DV23),"")</f>
        <v/>
      </c>
      <c r="EK23" s="11" t="str">
        <f>IF(SUM(EH23,EI23)&gt;0,SUM(EH23,EI23),"")</f>
        <v/>
      </c>
      <c r="EL23" s="11" t="str">
        <f>IF(SUM(DZ23,ED23)&gt;0,SUM(DZ23,ED23),"")</f>
        <v/>
      </c>
      <c r="EM23" s="11" t="str">
        <f>IF(SUM(DY23:DZ23,EB23:ED23,EF23)-SUM(EA23,EE23)&gt;0,SUM(DY23:DZ23,EB23:ED23,EF23)-SUM(EA23,EE23),"")</f>
        <v/>
      </c>
      <c r="EN23" s="11" t="str">
        <f>IF(SUM(EH23,EI23,EM23)&gt;0,SUM(EH23,EI23,EM23),"")</f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>IF(SUM(EP23,ET23)&gt;0,SUM(EP23,ET23),"")</f>
        <v/>
      </c>
      <c r="FJ23" s="40" t="str">
        <f>IF(SUM(EO23:EP23,ER23:ET23,EV23)-EQ23-EU23&gt;0,SUM(EO23:EP23,ER23:ET23,EV23)-EQ23-EU23,"")</f>
        <v/>
      </c>
      <c r="FK23" s="40" t="str">
        <f>IF(SUM(EW23:EX23,EZ23)-EY23&gt;0,SUM(EW23:EX23,EZ23)-EY23,"")</f>
        <v/>
      </c>
      <c r="FL23" s="40" t="str">
        <f>IF(SUM(EP23,ET23,EX23)&gt;0,SUM(EP23,ET23,EX23),"")</f>
        <v/>
      </c>
      <c r="FM23" s="40" t="str">
        <f>IF(SUM(FJ23,FK23)&gt;0,SUM(FJ23,FK23),"")</f>
        <v/>
      </c>
      <c r="FN23" s="40" t="str">
        <f>IF(SUM(FB23,FF23)&gt;0,SUM(FB23,FF23),"")</f>
        <v/>
      </c>
      <c r="FO23" s="40" t="str">
        <f>IF(SUM(FA23:FB23,FD23:FF23,FH23)-SUM(FC23,FG23)&gt;0,SUM(FA23:FB23,FD23:FF23,FH23)-SUM(FC23,FG23),"")</f>
        <v/>
      </c>
      <c r="FP23" s="40" t="str">
        <f>IF(SUM(FJ23,FK23,FO23)&gt;0,SUM(FJ23,FK23,FO23),"")</f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>IF(SUM(FR23,FV23)&gt;0,SUM(FR23,FV23),"")</f>
        <v/>
      </c>
      <c r="GL23" s="11" t="str">
        <f>IF(SUM(FQ23:FR23,FT23:FV23,FX23)-FS23-FW23&gt;0,SUM(FQ23:FR23,FT23:FV23,FX23)-FS23-FW23,"")</f>
        <v/>
      </c>
      <c r="GM23" s="11" t="str">
        <f>IF(SUM(FY23:FZ23,GB23)-GA23&gt;0,SUM(FY23:FZ23,GB23)-GA23,"")</f>
        <v/>
      </c>
      <c r="GN23" s="11" t="str">
        <f>IF(SUM(FR23,FV23,FZ23)&gt;0,SUM(FR23,FV23,FZ23),"")</f>
        <v/>
      </c>
      <c r="GO23" s="11" t="str">
        <f>IF(SUM(GL23,GM23)&gt;0,SUM(GL23,GM23),"")</f>
        <v/>
      </c>
      <c r="GP23" s="11" t="str">
        <f>IF(SUM(GD23,GH23)&gt;0,SUM(GD23,GH23),"")</f>
        <v/>
      </c>
      <c r="GQ23" s="11" t="str">
        <f>IF(SUM(GC23:GD23,GF23:GH23,GJ23)-SUM(GE23,GI23)&gt;0,SUM(GC23:GD23,GF23:GH23,GJ23)-SUM(GE23,GI23),"")</f>
        <v/>
      </c>
      <c r="GR23" s="11" t="str">
        <f>IF(SUM(GL23,GM23,GQ23)&gt;0,SUM(GL23,GM23,GQ23),"")</f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>IF(SUM(GT23,GX23)&gt;0,SUM(GT23,GX23),"")</f>
        <v/>
      </c>
      <c r="HN23" s="40" t="str">
        <f>IF(SUM(GS23:GT23,GV23:GX23,GZ23)-GU23-GY23&gt;0,SUM(GS23:GT23,GV23:GX23,GZ23)-GU23-GY23,"")</f>
        <v/>
      </c>
      <c r="HO23" s="40" t="str">
        <f>IF(SUM(HA23:HB23,HD23)-HC23&gt;0,SUM(HA23:HB23,HD23)-HC23,"")</f>
        <v/>
      </c>
      <c r="HP23" s="40" t="str">
        <f>IF(SUM(GT23,GX23,HB23)&gt;0,SUM(GT23,GX23,HB23),"")</f>
        <v/>
      </c>
      <c r="HQ23" s="40" t="str">
        <f>IF(SUM(HN23,HO23)&gt;0,SUM(HN23,HO23),"")</f>
        <v/>
      </c>
      <c r="HR23" s="40" t="str">
        <f>IF(SUM(HF23,HJ23)&gt;0,SUM(HF23,HJ23),"")</f>
        <v/>
      </c>
      <c r="HS23" s="40" t="str">
        <f>IF(SUM(HE23:HF23,HH23:HJ23,HL23)-SUM(HG23,HK23)&gt;0,SUM(HE23:HF23,HH23:HJ23,HL23)-SUM(HG23,HK23),"")</f>
        <v/>
      </c>
      <c r="HT23" s="40" t="str">
        <f>IF(SUM(HN23,HO23,HS23)&gt;0,SUM(HN23,HO23,HS23),"")</f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>IF(SUM(HV23,HZ23)&gt;0,SUM(HV23,HZ23),"")</f>
        <v/>
      </c>
      <c r="IP23" s="11" t="str">
        <f>IF(SUM(HU23:HV23,HX23:HZ23,IB23)-HW23-IA23&gt;0,SUM(HU23:HV23,HX23:HZ23,IB23)-HW23-IA23,"")</f>
        <v/>
      </c>
      <c r="IQ23" s="11" t="str">
        <f>IF(SUM(IC23:ID23,IF23)-IE23&gt;0,SUM(IC23:ID23,IF23)-IE23,"")</f>
        <v/>
      </c>
      <c r="IR23" s="11" t="str">
        <f>IF(SUM(HV23,HZ23,ID23)&gt;0,SUM(HV23,HZ23,ID23),"")</f>
        <v/>
      </c>
      <c r="IS23" s="11" t="str">
        <f>IF(SUM(IP23,IQ23)&gt;0,SUM(IP23,IQ23),"")</f>
        <v/>
      </c>
      <c r="IT23" s="11" t="str">
        <f>IF(SUM(IH23,IL23)&gt;0,SUM(IH23,IL23),"")</f>
        <v/>
      </c>
      <c r="IU23" s="11" t="str">
        <f>IF(SUM(IG23:IH23,IJ23:IL23,IN23)-SUM(II23,IM23)&gt;0,SUM(IG23:IH23,IJ23:IL23,IN23)-SUM(II23,IM23),"")</f>
        <v/>
      </c>
      <c r="IV23" s="11" t="str">
        <f>IF(SUM(IP23,IQ23,IU23)&gt;0,SUM(IP23,IQ23,IU23),"")</f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>IF(SUM(IX23,JB23)&gt;0,SUM(IX23,JB23),"")</f>
        <v/>
      </c>
      <c r="JR23" s="40" t="str">
        <f>IF(SUM(IW23:IX23,IZ23:JB23,JD23)-IY23-JC23&gt;0,SUM(IW23:IX23,IZ23:JB23,JD23)-IY23-JC23,"")</f>
        <v/>
      </c>
      <c r="JS23" s="40" t="str">
        <f>IF(SUM(JE23:JF23,JH23)-JG23&gt;0,SUM(JE23:JF23,JH23)-JG23,"")</f>
        <v/>
      </c>
      <c r="JT23" s="40" t="str">
        <f>IF(SUM(IX23,JB23,JF23)&gt;0,SUM(IX23,JB23,JF23),"")</f>
        <v/>
      </c>
      <c r="JU23" s="40" t="str">
        <f>IF(SUM(JR23,JS23)&gt;0,SUM(JR23,JS23),"")</f>
        <v/>
      </c>
      <c r="JV23" s="40" t="str">
        <f>IF(SUM(JJ23,JN23)&gt;0,SUM(JJ23,JN23),"")</f>
        <v/>
      </c>
      <c r="JW23" s="40" t="str">
        <f>IF(SUM(JI23:JJ23,JL23:JN23,JP23)-SUM(JK23,JO23)&gt;0,SUM(JI23:JJ23,JL23:JN23,JP23)-SUM(JK23,JO23),"")</f>
        <v/>
      </c>
      <c r="JX23" s="40" t="str">
        <f>IF(SUM(JR23,JS23,JW23)&gt;0,SUM(JR23,JS23,JW23),"")</f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>IF(SUM(JZ23,KD23)&gt;0,SUM(JZ23,KD23),"")</f>
        <v/>
      </c>
      <c r="KT23" s="11" t="str">
        <f>IF(SUM(JY23:JZ23,KB23:KD23,KF23)-KA23-KE23&gt;0,SUM(JY23:JZ23,KB23:KD23,KF23)-KA23-KE23,"")</f>
        <v/>
      </c>
      <c r="KU23" s="11" t="str">
        <f>IF(SUM(KG23:KH23,KJ23)-KI23&gt;0,SUM(KG23:KH23,KJ23)-KI23,"")</f>
        <v/>
      </c>
      <c r="KV23" s="11" t="str">
        <f>IF(SUM(JZ23,KD23,KH23)&gt;0,SUM(JZ23,KD23,KH23),"")</f>
        <v/>
      </c>
      <c r="KW23" s="11" t="str">
        <f>IF(SUM(KT23,KU23)&gt;0,SUM(KT23,KU23),"")</f>
        <v/>
      </c>
      <c r="KX23" s="11" t="str">
        <f>IF(SUM(KL23,KP23)&gt;0,SUM(KL23,KP23),"")</f>
        <v/>
      </c>
      <c r="KY23" s="11" t="str">
        <f>IF(SUM(KK23:KL23,KN23:KP23,KR23)-SUM(KM23,KQ23)&gt;0,SUM(KK23:KL23,KN23:KP23,KR23)-SUM(KM23,KQ23),"")</f>
        <v/>
      </c>
      <c r="KZ23" s="11" t="str">
        <f>IF(SUM(KT23,KU23,KY23)&gt;0,SUM(KT23,KU23,KY23),"")</f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>IF(SUM(LB23,LF23)&gt;0,SUM(LB23,LF23),"")</f>
        <v/>
      </c>
      <c r="LV23" s="40" t="str">
        <f>IF(SUM(LA23:LB23,LD23:LF23,LH23)-LC23-LG23&gt;0,SUM(LA23:LB23,LD23:LF23,LH23)-LC23-LG23,"")</f>
        <v/>
      </c>
      <c r="LW23" s="40" t="str">
        <f>IF(SUM(LI23:LJ23,LL23)-LK23&gt;0,SUM(LI23:LJ23,LL23)-LK23,"")</f>
        <v/>
      </c>
      <c r="LX23" s="40" t="str">
        <f>IF(SUM(LB23,LF23,LJ23)&gt;0,SUM(LB23,LF23,LJ23),"")</f>
        <v/>
      </c>
      <c r="LY23" s="40" t="str">
        <f>IF(SUM(LV23,LW23)&gt;0,SUM(LV23,LW23),"")</f>
        <v/>
      </c>
      <c r="LZ23" s="40" t="str">
        <f>IF(SUM(LN23,LR23)&gt;0,SUM(LN23,LR23),"")</f>
        <v/>
      </c>
      <c r="MA23" s="40" t="str">
        <f>IF(SUM(LM23:LN23,LP23:LR23,LT23)-SUM(LO23,LS23)&gt;0,SUM(LM23:LN23,LP23:LR23,LT23)-SUM(LO23,LS23),"")</f>
        <v/>
      </c>
      <c r="MB23" s="40" t="str">
        <f>IF(SUM(LV23,LW23,MA23)&gt;0,SUM(LV23,LW23,MA23),"")</f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>IF(SUM(MD23,MH23)&gt;0,SUM(MD23,MH23),"")</f>
        <v/>
      </c>
      <c r="MX23" s="11" t="str">
        <f>IF(SUM(MC23:MD23,MF23:MH23,MJ23)-ME23-MI23&gt;0,SUM(MC23:MD23,MF23:MH23,MJ23)-ME23-MI23,"")</f>
        <v/>
      </c>
      <c r="MY23" s="11" t="str">
        <f>IF(SUM(MK23:ML23,MN23)-MM23&gt;0,SUM(MK23:ML23,MN23)-MM23,"")</f>
        <v/>
      </c>
      <c r="MZ23" s="11" t="str">
        <f>IF(SUM(MD23,MH23,ML23)&gt;0,SUM(MD23,MH23,ML23),"")</f>
        <v/>
      </c>
      <c r="NA23" s="11" t="str">
        <f>IF(SUM(MX23,MY23)&gt;0,SUM(MX23,MY23),"")</f>
        <v/>
      </c>
      <c r="NB23" s="11" t="str">
        <f>IF(SUM(MP23,MT23)&gt;0,SUM(MP23,MT23),"")</f>
        <v/>
      </c>
      <c r="NC23" s="11" t="str">
        <f>IF(SUM(MO23:MP23,MR23:MT23,MV23)-SUM(MQ23,MU23)&gt;0,SUM(MO23:MP23,MR23:MT23,MV23)-SUM(MQ23,MU23),"")</f>
        <v/>
      </c>
      <c r="ND23" s="11" t="str">
        <f>IF(SUM(MX23,MY23,NC23)&gt;0,SUM(MX23,MY23,NC23),"")</f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>IF(SUM(NF23,NJ23)&gt;0,SUM(NF23,NJ23),"")</f>
        <v/>
      </c>
      <c r="NZ23" s="40" t="str">
        <f>IF(SUM(NE23:NF23,NH23:NJ23,NL23)-NG23-NK23&gt;0,SUM(NE23:NF23,NH23:NJ23,NL23)-NG23-NK23,"")</f>
        <v/>
      </c>
      <c r="OA23" s="40" t="str">
        <f>IF(SUM(NM23:NN23,NP23)-NO23&gt;0,SUM(NM23:NN23,NP23)-NO23,"")</f>
        <v/>
      </c>
      <c r="OB23" s="40" t="str">
        <f>IF(SUM(NF23,NJ23,NN23)&gt;0,SUM(NF23,NJ23,NN23),"")</f>
        <v/>
      </c>
      <c r="OC23" s="40" t="str">
        <f>IF(SUM(NZ23,OA23)&gt;0,SUM(NZ23,OA23),"")</f>
        <v/>
      </c>
      <c r="OD23" s="40" t="str">
        <f>IF(SUM(NR23,NV23)&gt;0,SUM(NR23,NV23),"")</f>
        <v/>
      </c>
      <c r="OE23" s="40" t="str">
        <f>IF(SUM(NQ23:NR23,NT23:NV23,NX23)-SUM(NS23,NW23)&gt;0,SUM(NQ23:NR23,NT23:NV23,NX23)-SUM(NS23,NW23),"")</f>
        <v/>
      </c>
      <c r="OF23" s="40" t="str">
        <f>IF(SUM(NZ23,OA23,OE23)&gt;0,SUM(NZ23,OA23,OE23),"")</f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>IF(SUM(OH23,OL23)&gt;0,SUM(OH23,OL23),"")</f>
        <v/>
      </c>
      <c r="PB23" s="11" t="str">
        <f>IF(SUM(OG23:OH23,OJ23:OL23,ON23)-OI23-OM23&gt;0,SUM(OG23:OH23,OJ23:OL23,ON23)-OI23-OM23,"")</f>
        <v/>
      </c>
      <c r="PC23" s="11" t="str">
        <f>IF(SUM(OO23:OP23,OR23)-OQ23&gt;0,SUM(OO23:OP23,OR23)-OQ23,"")</f>
        <v/>
      </c>
      <c r="PD23" s="11" t="str">
        <f>IF(SUM(OH23,OL23,OP23)&gt;0,SUM(OH23,OL23,OP23),"")</f>
        <v/>
      </c>
      <c r="PE23" s="11" t="str">
        <f>IF(SUM(PB23,PC23)&gt;0,SUM(PB23,PC23),"")</f>
        <v/>
      </c>
      <c r="PF23" s="11" t="str">
        <f>IF(SUM(OT23,OX23)&gt;0,SUM(OT23,OX23),"")</f>
        <v/>
      </c>
      <c r="PG23" s="11" t="str">
        <f>IF(SUM(OS23:OT23,OV23:OX23,OZ23)-SUM(OU23,OY23)&gt;0,SUM(OS23:OT23,OV23:OX23,OZ23)-SUM(OU23,OY23),"")</f>
        <v/>
      </c>
      <c r="PH23" s="11" t="str">
        <f>IF(SUM(PB23,PC23,PG23)&gt;0,SUM(PB23,PC23,PG23),"")</f>
        <v/>
      </c>
      <c r="PI23" s="22">
        <f>IF($PY23="P",BM23,(BM23+AQ23)/2)</f>
        <v>0</v>
      </c>
      <c r="PJ23" s="22">
        <f>IF($PY23="P",BN23,(BN23+AR23)/2)</f>
        <v>0</v>
      </c>
      <c r="PK23" s="22">
        <f>IF($PY23="P",BO23,(BO23+AS23)/2)</f>
        <v>0</v>
      </c>
      <c r="PL23" s="22">
        <f>IF($PY23="P",BP23,(BP23+AT23)/2)</f>
        <v>0</v>
      </c>
      <c r="PM23" s="22">
        <f>IF($PY23="P",BQ23,(BQ23+AU23)/2)</f>
        <v>0</v>
      </c>
      <c r="PN23" s="22">
        <f>IF($PY23="P",BR23,(BR23+AV23)/2)</f>
        <v>0</v>
      </c>
      <c r="PO23" s="22">
        <f>IF($PY23="P",BS23,(BS23+AW23)/2)</f>
        <v>0</v>
      </c>
      <c r="PP23" s="22">
        <f>IF($PY23="P",BT23,(BT23+AX23)/2)</f>
        <v>0</v>
      </c>
      <c r="PQ23" s="22">
        <f>IF($PY23="P",BU23,(BU23+AY23)/2)</f>
        <v>0</v>
      </c>
      <c r="PR23" s="22">
        <f>IF($PY23="P",BV23,(BV23+AZ23)/2)</f>
        <v>0</v>
      </c>
      <c r="PS23" s="22">
        <f>IF($PY23="P",BW23,(BW23+BA23)/2)</f>
        <v>0</v>
      </c>
      <c r="PT23" s="22">
        <f>IF($PY23="P",BX23,(BX23+BB23)/2)</f>
        <v>0</v>
      </c>
      <c r="PU23" s="22">
        <f>IF($PY23="P",BY23,(BY23+BC23)/2)</f>
        <v>0</v>
      </c>
      <c r="PV23" s="22">
        <f>IF($PY23="P",BZ23,(BZ23+BD23)/2)</f>
        <v>0</v>
      </c>
      <c r="PW23" s="22">
        <f>IF($PY23="P",CA23,(CA23+BE23)/2)</f>
        <v>0</v>
      </c>
      <c r="PX23" s="22">
        <f>IF($PY23="P",CB23,(CB23+BF23)/2)</f>
        <v>0</v>
      </c>
      <c r="PY23" s="27" t="s">
        <v>46</v>
      </c>
      <c r="PZ23" s="40" t="str">
        <f>IF(SUM(PJ23,PN23)&gt;0,SUM(PJ23,PN23),"")</f>
        <v/>
      </c>
      <c r="QA23" s="40" t="str">
        <f>IF(SUM(PI23:PJ23,PL23:PN23,PP23)-PK23-PO23&gt;0,SUM(PI23:PJ23,PL23:PN23,PP23)-PK23-PO23,"")</f>
        <v/>
      </c>
      <c r="QB23" s="40" t="str">
        <f>IF(SUM(PR23,PV23)&gt;0,SUM(PR23,PV23),"")</f>
        <v/>
      </c>
      <c r="QC23" s="40" t="str">
        <f>IF(SUM(PQ23:PR23,PT23:PV23,PX23)-SUM(PS23,PW23)&gt;0,SUM(PQ23:PR23,PT23:PV23,PX23)-SUM(PS23,PW23),"")</f>
        <v/>
      </c>
      <c r="QD23" s="40" t="str">
        <f>IF(SUM(QA23,QC23)&gt;0,SUM(QA23,QC23),"")</f>
        <v/>
      </c>
    </row>
    <row r="24" spans="1:446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4</v>
      </c>
      <c r="E24" s="4">
        <v>2004</v>
      </c>
      <c r="F24" s="9">
        <f>SUM(L24:R24)+SUM(L24:O24)*0.0000001+SUM(L24)*0.0000000000001</f>
        <v>86.000004160004167</v>
      </c>
      <c r="G24" s="64"/>
      <c r="H24" s="3" t="str">
        <f>IF(OR(AND(AL24&gt;=AP$36,AM24&gt;=AP$40,AL24&lt;&gt;"",AK24=""),AND(AN24&gt;=AP$36,AO24&gt;=AP$40,AN24&lt;&gt;"",AK24=""),AND(BH24&gt;=BL$36,BI24&gt;=BL$40,BH24&lt;&gt;"",BG24=""),AND(BJ24&gt;=BL$36,BK24&gt;=BL$40,BJ24&lt;&gt;"",BG24=""),AND(CD24&gt;=CH$36,CE24&gt;=CH$40,CD24&lt;&gt;"",CC24=""),AND(CF24&gt;=CH$36,CG24&gt;=CH$40,CF24&lt;&gt;""),AND(DE24&gt;=DL$36,DF24&gt;=DL$40,DE24&lt;&gt;""),AND(DJ24&gt;=DL$36,DK24&gt;=DL$40,DJ24&lt;&gt;""),AND(EG24&gt;=EN$36,EH24&gt;=EN$40,EG24&lt;&gt;""),AND(EL24&gt;=EN$36,EM24&gt;=EN$40,EL24&lt;&gt;""),AND(FI24&gt;=FP$36,FJ24&gt;=FP$40,FI24&lt;&gt;""),AND(FN24&gt;=FP$36,FO24&gt;=FP$40,FN24&lt;&gt;""),AND(GK24&gt;=GR$36,GL24&gt;=GR$40,GK24&lt;&gt;""),AND(GP24&gt;=GR$36,GQ24&gt;=GR$40,GP24&lt;&gt;""),AND(HM24&gt;=HT$36,HN24&gt;=HT$40,HM24&lt;&gt;""),AND(HR24&gt;=HT$36,HS24&gt;=HT$40,HR24&lt;&gt;""),AND(IO24&gt;=IV$36,IP24&gt;=IV$40,IO24&lt;&gt;""),AND(IT24&gt;=IV$36,IU24&gt;=IV$40,IT24&lt;&gt;""),AND(JQ24&gt;=JX$36,JR24&gt;=JX$40,JQ24&lt;&gt;""),AND(JV24&gt;=JX$36,JW24&gt;=JX$40,JV24&lt;&gt;""),AND(KS24&gt;=KZ$36,KT24&gt;=KZ$40,KS24&lt;&gt;""),AND(KX24&gt;=KZ$36,KY24&gt;=KZ$40,KX24&lt;&gt;""),AND(LU24&gt;=MB$36,LV24&gt;=MB$40,LU24&lt;&gt;""),AND(LZ24&gt;=MB$36,MA24&gt;=MB$40,LZ24&lt;&gt;""),AND(MW24&gt;=ND$36,MX24&gt;=ND$40,MW24&lt;&gt;""),AND(NB24&gt;=ND$36,NC24&gt;=ND$40,NB24&lt;&gt;""),AND(NY24&gt;=OF$36,NZ24&gt;=OF$40,NY24&lt;&gt;""),AND(OD24&gt;=OF$36,OE24&gt;=OF$40,OD24&lt;&gt;""),AND(PA24&gt;=PH$36,PB24&gt;=PH$40,PA24&lt;&gt;""),AND(PF24&gt;=PH$36,PG24&gt;=PH$40,PF24&lt;&gt;"")),"P","")</f>
        <v/>
      </c>
      <c r="I24" s="3" t="str">
        <f>IF(OR(AND(AM24&gt;=AP$40,AM24&lt;&gt;"",AK24=""),AND(AO24&gt;=AP$40,AO24&lt;&gt;"",AK24=""),AND(BI24&gt;=BL$40,BI24&lt;&gt;"",BG24=""),AND(BK24&gt;=BL$40,BK24&lt;&gt;"",BG24=""),AND(CE24&gt;=CH$40,CE24&lt;&gt;"",CC24=""),AND(CG24&gt;=CH$40,CG24&lt;&gt;"",CC24=""),AND(DF24&gt;=DL$40,DF24&lt;&gt;""),AND(DK24&gt;=DL$40,DK24&lt;&gt;""),AND(EH24&gt;=EN$40,EH24&lt;&gt;""),AND(EM24&gt;=EN$40,EM24&lt;&gt;""),AND(FJ24&gt;=FP$40,FJ24&lt;&gt;""),AND(FO24&gt;=FP$40,FO24&lt;&gt;""),AND(GL24&gt;=GR$40,GL24&lt;&gt;""),AND(GQ24&gt;=GR$40,GQ24&lt;&gt;""),AND(HN24&gt;=HT$40,HN24&lt;&gt;""),AND(HS24&gt;=HT$40,HS24&lt;&gt;""),AND(IP24&gt;=IV$40,IP24&lt;&gt;""),AND(IU24&gt;=IV$40,IU24&lt;&gt;""),AND(JR24&gt;=JX$40,JR24&lt;&gt;""),AND(JW24&gt;=JX$40,JW24&lt;&gt;""),AND(KT24&gt;=KZ$40,KT24&lt;&gt;""),AND(KY24&gt;=KZ$40,KY24&lt;&gt;""),AND(LV24&gt;=MB$40,LV24&lt;&gt;""),AND(MA24&gt;=MB$40,MA24&lt;&gt;""),AND(MX24&gt;=ND$40,MX24&lt;&gt;""),AND(NC24&gt;=ND$40,NC24&lt;&gt;""),AND(NZ24&gt;=OF$40,NZ24&lt;&gt;""),AND(OE24&gt;=OF$40,OE24&lt;&gt;""),AND(PB24&gt;=PH$40,PB24&lt;&gt;""),AND(PG24&gt;=PH$40,PG24&lt;&gt;"")),"P","")</f>
        <v/>
      </c>
      <c r="J24" s="36" t="str">
        <f>IF(AND(I24="P",H24=""),"No DD",IF(OR(AND(AL24&gt;=AP$26,AM24&gt;=AP$30,AL24&lt;&gt;"",AK24=""),AND(BH24&gt;=BL$26,BI24&gt;=BL$30,BH24&lt;&gt;"",BG24=""),AND(CD24&gt;=CH$26,CE24&gt;=CH$30,CD24&lt;&gt;"",CC24=""),AND(DH24&gt;=DL$26,DI24&gt;=DL$30,DH24&lt;&gt;""),AND(EJ24&gt;=EN$26,EK24&gt;=EN$30,EJ24&lt;&gt;""),AND(FL24&gt;=FP$26,FM24&gt;=FP$30,FL24&lt;&gt;""),AND(GN24&gt;=GR$26,GO24&gt;=GR$30,GN24&lt;&gt;""),AND(HP24&gt;=HT$26,HQ24&gt;=HT$30,HP24&lt;&gt;""),AND(IR24&gt;=IV$26,IS24&gt;=IV$30,IR24&lt;&gt;""),AND(JT24&gt;=JX$26,JU24&gt;=JX$30,JT24&lt;&gt;""),AND(KV24&gt;=KZ$26,KW24&gt;=KZ$30,KV24&lt;&gt;""),AND(LX24&gt;=MB$26,LY24&gt;=MB$30,LX24&lt;&gt;""),AND(MZ24&gt;=ND$26,NA24&gt;=ND$30,MZ24&lt;&gt;""),AND(OB24&gt;=OF$26,OC24&gt;=OF$30,OB24&lt;&gt;""),AND(PD24&gt;=PH$26,PE24&gt;=PH$30,PD24&lt;&gt;"")),"Merit",IF(OR(AND(AL24&gt;=AP$25,AM24&gt;=AP$29,AL24&lt;&gt;"",AK24=""),AND(BH24&gt;=BL$25,BI24&gt;=BL$29,BH24&lt;&gt;"",BG24=""),AND(CD24&gt;=CH$25,CE24&gt;=CH$29,CD24&lt;&gt;"",CC24=""),AND(DH24&gt;=DL$25,DI24&gt;=DL$29,DH24&lt;&gt;""),AND(EJ24&gt;=EN$25,EK24&gt;=EN$29,EJ24&lt;&gt;""),AND(FL24&gt;=FP$25,FM24&gt;=FP$29,FL24&lt;&gt;""),AND(GN24&gt;=GR$25,GO24&gt;=GR$29,GN24&lt;&gt;""),AND(HP24&gt;=HT$25,HQ24&gt;=HT$29,HP24&lt;&gt;""),AND(IR24&gt;=IV$25,IS24&gt;=IV$29,IR24&lt;&gt;""),AND(JT24&gt;=JX$25,JU24&gt;=JX$29,JT24&lt;&gt;""),AND(KV24&gt;=KZ$25,KW24&gt;=KZ$29,KV24&lt;&gt;""),AND(LX24&gt;=MB$25,LY24&gt;=MB$29,LX24&lt;&gt;""),AND(MZ24&gt;=ND$25,NA24&gt;=ND$29,MZ24&lt;&gt;""),AND(OB24&gt;=OF$25,OC24&gt;=OF$29,OB24&lt;&gt;""),AND(PD24&gt;=PH$25,PE24&gt;=PH$29,PD24&lt;&gt;"")),"Excellence",IF(K24="P","Worlds Team",IF(H24="P","National Team","")))))</f>
        <v/>
      </c>
      <c r="K24" s="3" t="str">
        <f>IF(OR(AND(AL24&gt;=AP$24,AM24&gt;=AP$28,AL24&lt;&gt;"",AK24=""),AND(BH24&gt;=BL$24,BI24&gt;=BL$28,BH24&lt;&gt;"",BG24=""),AND(CD24&gt;=CH$24,CE24&gt;=CH$28,CD24&lt;&gt;"",CC24=""),AND(DH24&gt;=DL$24,DI24&gt;=DL$28,DH24&lt;&gt;""),AND(EJ24&gt;=EN$24,EK24&gt;=EN$28,EJ24&lt;&gt;""),AND(FL24&gt;=FP$24,FM24&gt;=FP$28,FL24&lt;&gt;""),AND(GN24&gt;=GR$24,GO24&gt;=GR$28,GN24&lt;&gt;""),AND(HP24&gt;=HT$24,HQ24&gt;=HT$28,HP24&lt;&gt;""),AND(IR24&gt;=IV$24,IS24&gt;=IV$28,IR24&lt;&gt;""),AND(JT24&gt;=JX$24,JU24&gt;=JX$28,JT24&lt;&gt;""),AND(KV24&gt;=KZ$24,KW24&gt;=KZ$28,KV24&lt;&gt;""),AND(LX24&gt;=MB$24,LY24&gt;=MB$28,LX24&lt;&gt;""),AND(MZ24&gt;=ND$24,NA24&gt;=ND$28,MZ24&lt;&gt;""),AND(OB24&gt;=OF$24,OC24&gt;=OF$28,OB24&lt;&gt;""),AND(PD24&gt;=PH$24,PE24&gt;=PH$28,PD24&lt;&gt;"")),"P","")</f>
        <v/>
      </c>
      <c r="L24" s="8">
        <f>IF(COUNT(AM24,BI24,CE24)&gt;0,LARGE((AM24,BI24,CE24),1),0)</f>
        <v>41.6</v>
      </c>
      <c r="M24" s="8" t="str">
        <f>IF(L24=0,"",IF(L24=CE24,$BM$1,IF(L24=BI24,$AQ$1,IF(L24=AM24,$U$1,""))))</f>
        <v>2025 3rd Domestic Trial</v>
      </c>
      <c r="N24" s="8">
        <f>IF(COUNT(AM24,BI24,CE24)&gt;1,LARGE((AM24,BI24,CE24),2),0)</f>
        <v>0</v>
      </c>
      <c r="O24" s="8" t="str">
        <f>IF(N24=0,"",IF(AND(N24=L24,N24=AM24,N24=BI24),$U$1,IF(AND(N24=L24,N24=AM24,N24=CE24),$U$1,IF(AND(N24=L24,N24=BI24,N24=CE24),$AQ$1,IF(N24=CE24,$BM$1,IF(N24=BI24,$AQ$1,IF(N24=AM24,$U$1,"")))))))</f>
        <v/>
      </c>
      <c r="P24" s="8">
        <f>IF(MAX(AO24,BK24,CG24)&gt;0,MAX(AO24,BK24,CG24),0)</f>
        <v>44.4</v>
      </c>
      <c r="Q24" s="8" t="str">
        <f>IF(P24=0,"",IF(P24=CG24,$BM$1,IF(P24=BK24,$AQ$1,IF(P24=AO24,$U$1,""))))</f>
        <v>2025 3rd Domestic Trial</v>
      </c>
      <c r="R24" s="8" t="str">
        <f>IF(MAX(CI24:CJ24)&gt;0,MAX(CI24:CJ24),"")</f>
        <v/>
      </c>
      <c r="S24" s="11" t="str">
        <f>IF(R24="","",IF(R24=CI24,"("&amp;CI$2&amp;")",IF(R24=CJ24,"("&amp;CJ$2&amp;")")))</f>
        <v/>
      </c>
      <c r="T24" s="8" t="str">
        <f>IF(R24="","",IF(R24=CI24,IF(R24+IF(N24="",0,N24)=PB24,$OG$1,IF(R24+IF(N24="",0,N24)=NZ24,$NE$1,IF(R24+IF(N24="",0,N24)=MX24,$MC$1,IF(R24+IF(N24="",0,N24)=LV24,$LA$1,IF(R24+IF(N24="",0,N24)=KT24,$JY$1,IF(R24+IF(N24="",0,N24)=JR24,$IW$1,IF(R24+IF(N24="",0,N24)=IP24,$HU$1,IF(R24+IF(N24="",0,N24)=HN24,$GS$1,IF(R24+IF(N24="",0,N24)=GL24,$FQ$1,IF(R24+IF(N24="",0,N24)=FJ24,$EO$1,IF(R24+IF(N24="",0,N24)=EH24,$DM$1,IF(R24+IF(N24="",0,N24)=DF24,$CK$1)))))))))))),IF(R24=CJ24,IF(R24+IF(P24="",0,P24)=PG24,$OG$1,IF(R24+IF(P24="",0,P24)=OE24,$NE$1,IF(R24+IF(P24="",0,P24)=NC24,$MC$1,IF(R24+IF(P24="",0,P24)=MA24,$LA$1,IF(R24+IF(P24="",0,P24)=KY24,$JY$1,IF(R24+IF(P24="",0,P24)=JW24,$IW$1,IF(R24+IF(P24="",0,P24)=IU24,$HU$1,IF(R24+IF(P24="",0,P24)=HS24,$GS$1,IF(R24+IF(P24="",0,P24)=GQ24,$FQ$1,IF(R24+IF(P24="",0,P24)=FO24,$EO$1,IF(R24+IF(P24="",0,P24)=EM24,$DM$1,IF(R24+IF(P24="",0,P24)=DK24,$CK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27"/>
      <c r="AL24" s="40" t="str">
        <f>IF(SUM(V24,Z24)&gt;0,SUM(V24,Z24),"")</f>
        <v/>
      </c>
      <c r="AM24" s="40" t="str">
        <f>IF(SUM(U24:V24,X24:Z24,AB24)-W24-AA24&gt;0,SUM(U24:V24,X24:Z24,AB24)-W24-AA24,"")</f>
        <v/>
      </c>
      <c r="AN24" s="40" t="str">
        <f>IF(SUM(AD24,AH24)&gt;0,SUM(AD24,AH24),"")</f>
        <v/>
      </c>
      <c r="AO24" s="40" t="str">
        <f>IF(SUM(AC24:AD24,AF24:AH24,AJ24)-SUM(AE24,AI24)&gt;0,SUM(AC24:AD24,AF24:AH24,AJ24)-SUM(AE24,AI24),"")</f>
        <v/>
      </c>
      <c r="AP24" s="40" t="str">
        <f>IF(SUM(AM24,AO24)&gt;0,SUM(AM24,AO24),"")</f>
        <v/>
      </c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28"/>
      <c r="BH24" s="11" t="str">
        <f>IF(SUM(AR24,AV24)&gt;0,SUM(AR24,AV24),"")</f>
        <v/>
      </c>
      <c r="BI24" s="11" t="str">
        <f>IF(SUM(AQ24:AR24,AT24:AV24,AX24)-AS24-AW24&gt;0,SUM(AQ24:AR24,AT24:AV24,AX24)-AS24-AW24,"")</f>
        <v/>
      </c>
      <c r="BJ24" s="11" t="str">
        <f>IF(SUM(AZ24,BD24)&gt;0,SUM(AZ24,BD24),"")</f>
        <v/>
      </c>
      <c r="BK24" s="11" t="str">
        <f>IF(SUM(AY24:AZ24,BB24:BD24,BF24)-SUM(BA24,BE24)&gt;0,SUM(AY24:AZ24,BB24:BD24,BF24)-SUM(BA24,BE24),"")</f>
        <v/>
      </c>
      <c r="BL24" s="11" t="str">
        <f>IF(SUM(BI24,BK24)&gt;0,SUM(BI24,BK24),"")</f>
        <v/>
      </c>
      <c r="BM24" s="19">
        <v>19</v>
      </c>
      <c r="BN24" s="19">
        <v>3.5</v>
      </c>
      <c r="BO24" s="19">
        <v>0.2</v>
      </c>
      <c r="BP24" s="19">
        <v>0</v>
      </c>
      <c r="BQ24" s="19">
        <v>16.5</v>
      </c>
      <c r="BR24" s="19">
        <v>3.6</v>
      </c>
      <c r="BS24" s="19">
        <v>0.8</v>
      </c>
      <c r="BT24" s="19">
        <v>0</v>
      </c>
      <c r="BU24" s="19">
        <v>19.2</v>
      </c>
      <c r="BV24" s="19">
        <v>3.5</v>
      </c>
      <c r="BW24" s="19">
        <v>0</v>
      </c>
      <c r="BX24" s="19">
        <v>0</v>
      </c>
      <c r="BY24" s="19">
        <v>18.3</v>
      </c>
      <c r="BZ24" s="19">
        <v>3.6</v>
      </c>
      <c r="CA24" s="19">
        <v>0.2</v>
      </c>
      <c r="CB24" s="19">
        <v>0</v>
      </c>
      <c r="CC24" s="27"/>
      <c r="CD24" s="40">
        <f>IF(SUM(BN24,BR24)&gt;0,SUM(BN24,BR24),"")</f>
        <v>7.1</v>
      </c>
      <c r="CE24" s="40">
        <f>IF(SUM(BM24:BN24,BP24:BR24,BT24)-BO24-BS24&gt;0,SUM(BM24:BN24,BP24:BR24,BT24)-BO24-BS24,"")</f>
        <v>41.6</v>
      </c>
      <c r="CF24" s="40">
        <f>IF(SUM(BV24,BZ24)&gt;0,SUM(BV24,BZ24),"")</f>
        <v>7.1</v>
      </c>
      <c r="CG24" s="40">
        <f>IF(SUM(BU24:BV24,BX24:BZ24,CB24)-SUM(BW24,CA24)&gt;0,SUM(BU24:BV24,BX24:BZ24,CB24)-SUM(BW24,CA24),"")</f>
        <v>44.4</v>
      </c>
      <c r="CH24" s="40">
        <f>IF(SUM(CE24,CG24)&gt;0,SUM(CE24,CG24),"")</f>
        <v>86</v>
      </c>
      <c r="CI24" s="50" t="str">
        <f>IF(MAX(DF24,EH24,FJ24,GL24,HN24,IP24,JR24,KT24,LV24,MX24,NZ24,PB24)-IF(N24="",0,N24)&gt;0.001,MAX(DF24,EH24,FJ24,GL24,HN24,IP24,JR24,KT24,LV24,MX24,NZ24,PB24)-IF(N24="",0,N24),"")</f>
        <v/>
      </c>
      <c r="CJ24" s="50" t="str">
        <f>IF(MAX(DK24,EM24,FO24,GQ24,HS24,IU24,JW24,KY24,MA24,NC24,OE24,PG24)-IF(P24="",0,P24)&gt;0.001,MAX(DK24,EM24,FO24,GQ24,HS24,IU24,JW24,KY24,MA24,NC24,OE24,PG24)-IF(P24="",0,P24),"")</f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>IF(SUM(CL24,CP24)&gt;0,SUM(CL24,CP24),"")</f>
        <v/>
      </c>
      <c r="DF24" s="40" t="str">
        <f>IF(SUM(CK24:CL24,CN24:CP24,CR24)-CM24-CQ24&gt;0,SUM(CK24:CL24,CN24:CP24,CR24)-CM24-CQ24,"")</f>
        <v/>
      </c>
      <c r="DG24" s="40" t="str">
        <f>IF(SUM(CS24:CT24,CV24)-CU24&gt;0,SUM(CS24:CT24,CV24)-CU24,"")</f>
        <v/>
      </c>
      <c r="DH24" s="40" t="str">
        <f>IF(SUM(CL24,CP24,CT24)&gt;0,SUM(CL24,CP24,CT24),"")</f>
        <v/>
      </c>
      <c r="DI24" s="40" t="str">
        <f>IF(SUM(DF24,DG24)&gt;0,SUM(DF24,DG24),"")</f>
        <v/>
      </c>
      <c r="DJ24" s="40" t="str">
        <f>IF(SUM(CX24,DB24)&gt;0,SUM(CX24,DB24),"")</f>
        <v/>
      </c>
      <c r="DK24" s="40" t="str">
        <f>IF(SUM(CW24:CX24,CZ24:DB24,DD24)-SUM(CY24,DC24)&gt;0,SUM(CW24:CX24,CZ24:DB24,DD24)-SUM(CY24,DC24),"")</f>
        <v/>
      </c>
      <c r="DL24" s="40" t="str">
        <f>IF(SUM(DF24,DG24,DK24)&gt;0,SUM(DF24,DG24,DK24),"")</f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>IF(SUM(DN24,DR24)&gt;0,SUM(DN24,DR24),"")</f>
        <v/>
      </c>
      <c r="EH24" s="11" t="str">
        <f>IF(SUM(DM24:DN24,DP24:DR24,DT24)-DO24-DS24&gt;0,SUM(DM24:DN24,DP24:DR24,DT24)-DO24-DS24,"")</f>
        <v/>
      </c>
      <c r="EI24" s="11" t="str">
        <f>IF(SUM(DU24:DV24,DX24)-DW24&gt;0,SUM(DU24:DV24,DX24)-DW24,"")</f>
        <v/>
      </c>
      <c r="EJ24" s="11" t="str">
        <f>IF(SUM(DN24,DR24,DV24)&gt;0,SUM(DN24,DR24,DV24),"")</f>
        <v/>
      </c>
      <c r="EK24" s="11" t="str">
        <f>IF(SUM(EH24,EI24)&gt;0,SUM(EH24,EI24),"")</f>
        <v/>
      </c>
      <c r="EL24" s="11" t="str">
        <f>IF(SUM(DZ24,ED24)&gt;0,SUM(DZ24,ED24),"")</f>
        <v/>
      </c>
      <c r="EM24" s="11" t="str">
        <f>IF(SUM(DY24:DZ24,EB24:ED24,EF24)-SUM(EA24,EE24)&gt;0,SUM(DY24:DZ24,EB24:ED24,EF24)-SUM(EA24,EE24),"")</f>
        <v/>
      </c>
      <c r="EN24" s="11" t="str">
        <f>IF(SUM(EH24,EI24,EM24)&gt;0,SUM(EH24,EI24,EM24),"")</f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>IF(SUM(EP24,ET24)&gt;0,SUM(EP24,ET24),"")</f>
        <v/>
      </c>
      <c r="FJ24" s="40" t="str">
        <f>IF(SUM(EO24:EP24,ER24:ET24,EV24)-EQ24-EU24&gt;0,SUM(EO24:EP24,ER24:ET24,EV24)-EQ24-EU24,"")</f>
        <v/>
      </c>
      <c r="FK24" s="40" t="str">
        <f>IF(SUM(EW24:EX24,EZ24)-EY24&gt;0,SUM(EW24:EX24,EZ24)-EY24,"")</f>
        <v/>
      </c>
      <c r="FL24" s="40" t="str">
        <f>IF(SUM(EP24,ET24,EX24)&gt;0,SUM(EP24,ET24,EX24),"")</f>
        <v/>
      </c>
      <c r="FM24" s="40" t="str">
        <f>IF(SUM(FJ24,FK24)&gt;0,SUM(FJ24,FK24),"")</f>
        <v/>
      </c>
      <c r="FN24" s="40" t="str">
        <f>IF(SUM(FB24,FF24)&gt;0,SUM(FB24,FF24),"")</f>
        <v/>
      </c>
      <c r="FO24" s="40" t="str">
        <f>IF(SUM(FA24:FB24,FD24:FF24,FH24)-SUM(FC24,FG24)&gt;0,SUM(FA24:FB24,FD24:FF24,FH24)-SUM(FC24,FG24),"")</f>
        <v/>
      </c>
      <c r="FP24" s="40" t="str">
        <f>IF(SUM(FJ24,FK24,FO24)&gt;0,SUM(FJ24,FK24,FO24),"")</f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>IF(SUM(FR24,FV24)&gt;0,SUM(FR24,FV24),"")</f>
        <v/>
      </c>
      <c r="GL24" s="11" t="str">
        <f>IF(SUM(FQ24:FR24,FT24:FV24,FX24)-FS24-FW24&gt;0,SUM(FQ24:FR24,FT24:FV24,FX24)-FS24-FW24,"")</f>
        <v/>
      </c>
      <c r="GM24" s="11" t="str">
        <f>IF(SUM(FY24:FZ24,GB24)-GA24&gt;0,SUM(FY24:FZ24,GB24)-GA24,"")</f>
        <v/>
      </c>
      <c r="GN24" s="11" t="str">
        <f>IF(SUM(FR24,FV24,FZ24)&gt;0,SUM(FR24,FV24,FZ24),"")</f>
        <v/>
      </c>
      <c r="GO24" s="11" t="str">
        <f>IF(SUM(GL24,GM24)&gt;0,SUM(GL24,GM24),"")</f>
        <v/>
      </c>
      <c r="GP24" s="11" t="str">
        <f>IF(SUM(GD24,GH24)&gt;0,SUM(GD24,GH24),"")</f>
        <v/>
      </c>
      <c r="GQ24" s="11" t="str">
        <f>IF(SUM(GC24:GD24,GF24:GH24,GJ24)-SUM(GE24,GI24)&gt;0,SUM(GC24:GD24,GF24:GH24,GJ24)-SUM(GE24,GI24),"")</f>
        <v/>
      </c>
      <c r="GR24" s="11" t="str">
        <f>IF(SUM(GL24,GM24,GQ24)&gt;0,SUM(GL24,GM24,GQ24),"")</f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>IF(SUM(GT24,GX24)&gt;0,SUM(GT24,GX24),"")</f>
        <v/>
      </c>
      <c r="HN24" s="40" t="str">
        <f>IF(SUM(GS24:GT24,GV24:GX24,GZ24)-GU24-GY24&gt;0,SUM(GS24:GT24,GV24:GX24,GZ24)-GU24-GY24,"")</f>
        <v/>
      </c>
      <c r="HO24" s="40" t="str">
        <f>IF(SUM(HA24:HB24,HD24)-HC24&gt;0,SUM(HA24:HB24,HD24)-HC24,"")</f>
        <v/>
      </c>
      <c r="HP24" s="40" t="str">
        <f>IF(SUM(GT24,GX24,HB24)&gt;0,SUM(GT24,GX24,HB24),"")</f>
        <v/>
      </c>
      <c r="HQ24" s="40" t="str">
        <f>IF(SUM(HN24,HO24)&gt;0,SUM(HN24,HO24),"")</f>
        <v/>
      </c>
      <c r="HR24" s="40" t="str">
        <f>IF(SUM(HF24,HJ24)&gt;0,SUM(HF24,HJ24),"")</f>
        <v/>
      </c>
      <c r="HS24" s="40" t="str">
        <f>IF(SUM(HE24:HF24,HH24:HJ24,HL24)-SUM(HG24,HK24)&gt;0,SUM(HE24:HF24,HH24:HJ24,HL24)-SUM(HG24,HK24),"")</f>
        <v/>
      </c>
      <c r="HT24" s="40" t="str">
        <f>IF(SUM(HN24,HO24,HS24)&gt;0,SUM(HN24,HO24,HS24),"")</f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>IF(SUM(HV24,HZ24)&gt;0,SUM(HV24,HZ24),"")</f>
        <v/>
      </c>
      <c r="IP24" s="11" t="str">
        <f>IF(SUM(HU24:HV24,HX24:HZ24,IB24)-HW24-IA24&gt;0,SUM(HU24:HV24,HX24:HZ24,IB24)-HW24-IA24,"")</f>
        <v/>
      </c>
      <c r="IQ24" s="11" t="str">
        <f>IF(SUM(IC24:ID24,IF24)-IE24&gt;0,SUM(IC24:ID24,IF24)-IE24,"")</f>
        <v/>
      </c>
      <c r="IR24" s="11" t="str">
        <f>IF(SUM(HV24,HZ24,ID24)&gt;0,SUM(HV24,HZ24,ID24),"")</f>
        <v/>
      </c>
      <c r="IS24" s="11" t="str">
        <f>IF(SUM(IP24,IQ24)&gt;0,SUM(IP24,IQ24),"")</f>
        <v/>
      </c>
      <c r="IT24" s="11" t="str">
        <f>IF(SUM(IH24,IL24)&gt;0,SUM(IH24,IL24),"")</f>
        <v/>
      </c>
      <c r="IU24" s="11" t="str">
        <f>IF(SUM(IG24:IH24,IJ24:IL24,IN24)-SUM(II24,IM24)&gt;0,SUM(IG24:IH24,IJ24:IL24,IN24)-SUM(II24,IM24),"")</f>
        <v/>
      </c>
      <c r="IV24" s="11" t="str">
        <f>IF(SUM(IP24,IQ24,IU24)&gt;0,SUM(IP24,IQ24,IU24),"")</f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>IF(SUM(IX24,JB24)&gt;0,SUM(IX24,JB24),"")</f>
        <v/>
      </c>
      <c r="JR24" s="40" t="str">
        <f>IF(SUM(IW24:IX24,IZ24:JB24,JD24)-IY24-JC24&gt;0,SUM(IW24:IX24,IZ24:JB24,JD24)-IY24-JC24,"")</f>
        <v/>
      </c>
      <c r="JS24" s="40" t="str">
        <f>IF(SUM(JE24:JF24,JH24)-JG24&gt;0,SUM(JE24:JF24,JH24)-JG24,"")</f>
        <v/>
      </c>
      <c r="JT24" s="40" t="str">
        <f>IF(SUM(IX24,JB24,JF24)&gt;0,SUM(IX24,JB24,JF24),"")</f>
        <v/>
      </c>
      <c r="JU24" s="40" t="str">
        <f>IF(SUM(JR24,JS24)&gt;0,SUM(JR24,JS24),"")</f>
        <v/>
      </c>
      <c r="JV24" s="40" t="str">
        <f>IF(SUM(JJ24,JN24)&gt;0,SUM(JJ24,JN24),"")</f>
        <v/>
      </c>
      <c r="JW24" s="40" t="str">
        <f>IF(SUM(JI24:JJ24,JL24:JN24,JP24)-SUM(JK24,JO24)&gt;0,SUM(JI24:JJ24,JL24:JN24,JP24)-SUM(JK24,JO24),"")</f>
        <v/>
      </c>
      <c r="JX24" s="40" t="str">
        <f>IF(SUM(JR24,JS24,JW24)&gt;0,SUM(JR24,JS24,JW24),"")</f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>IF(SUM(JZ24,KD24)&gt;0,SUM(JZ24,KD24),"")</f>
        <v/>
      </c>
      <c r="KT24" s="11" t="str">
        <f>IF(SUM(JY24:JZ24,KB24:KD24,KF24)-KA24-KE24&gt;0,SUM(JY24:JZ24,KB24:KD24,KF24)-KA24-KE24,"")</f>
        <v/>
      </c>
      <c r="KU24" s="11" t="str">
        <f>IF(SUM(KG24:KH24,KJ24)-KI24&gt;0,SUM(KG24:KH24,KJ24)-KI24,"")</f>
        <v/>
      </c>
      <c r="KV24" s="11" t="str">
        <f>IF(SUM(JZ24,KD24,KH24)&gt;0,SUM(JZ24,KD24,KH24),"")</f>
        <v/>
      </c>
      <c r="KW24" s="11" t="str">
        <f>IF(SUM(KT24,KU24)&gt;0,SUM(KT24,KU24),"")</f>
        <v/>
      </c>
      <c r="KX24" s="11" t="str">
        <f>IF(SUM(KL24,KP24)&gt;0,SUM(KL24,KP24),"")</f>
        <v/>
      </c>
      <c r="KY24" s="11" t="str">
        <f>IF(SUM(KK24:KL24,KN24:KP24,KR24)-SUM(KM24,KQ24)&gt;0,SUM(KK24:KL24,KN24:KP24,KR24)-SUM(KM24,KQ24),"")</f>
        <v/>
      </c>
      <c r="KZ24" s="11" t="str">
        <f>IF(SUM(KT24,KU24,KY24)&gt;0,SUM(KT24,KU24,KY24),"")</f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>IF(SUM(LB24,LF24)&gt;0,SUM(LB24,LF24),"")</f>
        <v/>
      </c>
      <c r="LV24" s="40" t="str">
        <f>IF(SUM(LA24:LB24,LD24:LF24,LH24)-LC24-LG24&gt;0,SUM(LA24:LB24,LD24:LF24,LH24)-LC24-LG24,"")</f>
        <v/>
      </c>
      <c r="LW24" s="40" t="str">
        <f>IF(SUM(LI24:LJ24,LL24)-LK24&gt;0,SUM(LI24:LJ24,LL24)-LK24,"")</f>
        <v/>
      </c>
      <c r="LX24" s="40" t="str">
        <f>IF(SUM(LB24,LF24,LJ24)&gt;0,SUM(LB24,LF24,LJ24),"")</f>
        <v/>
      </c>
      <c r="LY24" s="40" t="str">
        <f>IF(SUM(LV24,LW24)&gt;0,SUM(LV24,LW24),"")</f>
        <v/>
      </c>
      <c r="LZ24" s="40" t="str">
        <f>IF(SUM(LN24,LR24)&gt;0,SUM(LN24,LR24),"")</f>
        <v/>
      </c>
      <c r="MA24" s="40" t="str">
        <f>IF(SUM(LM24:LN24,LP24:LR24,LT24)-SUM(LO24,LS24)&gt;0,SUM(LM24:LN24,LP24:LR24,LT24)-SUM(LO24,LS24),"")</f>
        <v/>
      </c>
      <c r="MB24" s="40" t="str">
        <f>IF(SUM(LV24,LW24,MA24)&gt;0,SUM(LV24,LW24,MA24),"")</f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>IF(SUM(MD24,MH24)&gt;0,SUM(MD24,MH24),"")</f>
        <v/>
      </c>
      <c r="MX24" s="11" t="str">
        <f>IF(SUM(MC24:MD24,MF24:MH24,MJ24)-ME24-MI24&gt;0,SUM(MC24:MD24,MF24:MH24,MJ24)-ME24-MI24,"")</f>
        <v/>
      </c>
      <c r="MY24" s="11" t="str">
        <f>IF(SUM(MK24:ML24,MN24)-MM24&gt;0,SUM(MK24:ML24,MN24)-MM24,"")</f>
        <v/>
      </c>
      <c r="MZ24" s="11" t="str">
        <f>IF(SUM(MD24,MH24,ML24)&gt;0,SUM(MD24,MH24,ML24),"")</f>
        <v/>
      </c>
      <c r="NA24" s="11" t="str">
        <f>IF(SUM(MX24,MY24)&gt;0,SUM(MX24,MY24),"")</f>
        <v/>
      </c>
      <c r="NB24" s="11" t="str">
        <f>IF(SUM(MP24,MT24)&gt;0,SUM(MP24,MT24),"")</f>
        <v/>
      </c>
      <c r="NC24" s="11" t="str">
        <f>IF(SUM(MO24:MP24,MR24:MT24,MV24)-SUM(MQ24,MU24)&gt;0,SUM(MO24:MP24,MR24:MT24,MV24)-SUM(MQ24,MU24),"")</f>
        <v/>
      </c>
      <c r="ND24" s="11" t="str">
        <f>IF(SUM(MX24,MY24,NC24)&gt;0,SUM(MX24,MY24,NC24),"")</f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>IF(SUM(NF24,NJ24)&gt;0,SUM(NF24,NJ24),"")</f>
        <v/>
      </c>
      <c r="NZ24" s="40" t="str">
        <f>IF(SUM(NE24:NF24,NH24:NJ24,NL24)-NG24-NK24&gt;0,SUM(NE24:NF24,NH24:NJ24,NL24)-NG24-NK24,"")</f>
        <v/>
      </c>
      <c r="OA24" s="40" t="str">
        <f>IF(SUM(NM24:NN24,NP24)-NO24&gt;0,SUM(NM24:NN24,NP24)-NO24,"")</f>
        <v/>
      </c>
      <c r="OB24" s="40" t="str">
        <f>IF(SUM(NF24,NJ24,NN24)&gt;0,SUM(NF24,NJ24,NN24),"")</f>
        <v/>
      </c>
      <c r="OC24" s="40" t="str">
        <f>IF(SUM(NZ24,OA24)&gt;0,SUM(NZ24,OA24),"")</f>
        <v/>
      </c>
      <c r="OD24" s="40" t="str">
        <f>IF(SUM(NR24,NV24)&gt;0,SUM(NR24,NV24),"")</f>
        <v/>
      </c>
      <c r="OE24" s="40" t="str">
        <f>IF(SUM(NQ24:NR24,NT24:NV24,NX24)-SUM(NS24,NW24)&gt;0,SUM(NQ24:NR24,NT24:NV24,NX24)-SUM(NS24,NW24),"")</f>
        <v/>
      </c>
      <c r="OF24" s="40" t="str">
        <f>IF(SUM(NZ24,OA24,OE24)&gt;0,SUM(NZ24,OA24,OE24),"")</f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>IF(SUM(OH24,OL24)&gt;0,SUM(OH24,OL24),"")</f>
        <v/>
      </c>
      <c r="PB24" s="11" t="str">
        <f>IF(SUM(OG24:OH24,OJ24:OL24,ON24)-OI24-OM24&gt;0,SUM(OG24:OH24,OJ24:OL24,ON24)-OI24-OM24,"")</f>
        <v/>
      </c>
      <c r="PC24" s="11" t="str">
        <f>IF(SUM(OO24:OP24,OR24)-OQ24&gt;0,SUM(OO24:OP24,OR24)-OQ24,"")</f>
        <v/>
      </c>
      <c r="PD24" s="11" t="str">
        <f>IF(SUM(OH24,OL24,OP24)&gt;0,SUM(OH24,OL24,OP24),"")</f>
        <v/>
      </c>
      <c r="PE24" s="11" t="str">
        <f>IF(SUM(PB24,PC24)&gt;0,SUM(PB24,PC24),"")</f>
        <v/>
      </c>
      <c r="PF24" s="11" t="str">
        <f>IF(SUM(OT24,OX24)&gt;0,SUM(OT24,OX24),"")</f>
        <v/>
      </c>
      <c r="PG24" s="11" t="str">
        <f>IF(SUM(OS24:OT24,OV24:OX24,OZ24)-SUM(OU24,OY24)&gt;0,SUM(OS24:OT24,OV24:OX24,OZ24)-SUM(OU24,OY24),"")</f>
        <v/>
      </c>
      <c r="PH24" s="11" t="str">
        <f>IF(SUM(PB24,PC24,PG24)&gt;0,SUM(PB24,PC24,PG24),"")</f>
        <v/>
      </c>
      <c r="PI24" s="22">
        <f>IF($PY24="P",BM24,(BM24+AQ24)/2)</f>
        <v>19</v>
      </c>
      <c r="PJ24" s="22">
        <f>IF($PY24="P",BN24,(BN24+AR24)/2)</f>
        <v>3.5</v>
      </c>
      <c r="PK24" s="22">
        <f>IF($PY24="P",BO24,(BO24+AS24)/2)</f>
        <v>0.2</v>
      </c>
      <c r="PL24" s="22">
        <f>IF($PY24="P",BP24,(BP24+AT24)/2)</f>
        <v>0</v>
      </c>
      <c r="PM24" s="22">
        <f>IF($PY24="P",BQ24,(BQ24+AU24)/2)</f>
        <v>16.5</v>
      </c>
      <c r="PN24" s="22">
        <f>IF($PY24="P",BR24,(BR24+AV24)/2)</f>
        <v>3.6</v>
      </c>
      <c r="PO24" s="22">
        <f>IF($PY24="P",BS24,(BS24+AW24)/2)</f>
        <v>0.8</v>
      </c>
      <c r="PP24" s="22">
        <f>IF($PY24="P",BT24,(BT24+AX24)/2)</f>
        <v>0</v>
      </c>
      <c r="PQ24" s="22">
        <f>IF($PY24="P",BU24,(BU24+AY24)/2)</f>
        <v>19.2</v>
      </c>
      <c r="PR24" s="22">
        <f>IF($PY24="P",BV24,(BV24+AZ24)/2)</f>
        <v>3.5</v>
      </c>
      <c r="PS24" s="22">
        <f>IF($PY24="P",BW24,(BW24+BA24)/2)</f>
        <v>0</v>
      </c>
      <c r="PT24" s="22">
        <f>IF($PY24="P",BX24,(BX24+BB24)/2)</f>
        <v>0</v>
      </c>
      <c r="PU24" s="22">
        <f>IF($PY24="P",BY24,(BY24+BC24)/2)</f>
        <v>18.3</v>
      </c>
      <c r="PV24" s="22">
        <f>IF($PY24="P",BZ24,(BZ24+BD24)/2)</f>
        <v>3.6</v>
      </c>
      <c r="PW24" s="22">
        <f>IF($PY24="P",CA24,(CA24+BE24)/2)</f>
        <v>0.2</v>
      </c>
      <c r="PX24" s="22">
        <f>IF($PY24="P",CB24,(CB24+BF24)/2)</f>
        <v>0</v>
      </c>
      <c r="PY24" s="27" t="s">
        <v>46</v>
      </c>
      <c r="PZ24" s="40">
        <f>IF(SUM(PJ24,PN24)&gt;0,SUM(PJ24,PN24),"")</f>
        <v>7.1</v>
      </c>
      <c r="QA24" s="40">
        <f>IF(SUM(PI24:PJ24,PL24:PN24,PP24)-PK24-PO24&gt;0,SUM(PI24:PJ24,PL24:PN24,PP24)-PK24-PO24,"")</f>
        <v>41.6</v>
      </c>
      <c r="QB24" s="40">
        <f>IF(SUM(PR24,PV24)&gt;0,SUM(PR24,PV24),"")</f>
        <v>7.1</v>
      </c>
      <c r="QC24" s="40">
        <f>IF(SUM(PQ24:PR24,PT24:PV24,PX24)-SUM(PS24,PW24)&gt;0,SUM(PQ24:PR24,PT24:PV24,PX24)-SUM(PS24,PW24),"")</f>
        <v>44.4</v>
      </c>
      <c r="QD24" s="40">
        <f>IF(SUM(QA24,QC24)&gt;0,SUM(QA24,QC24),"")</f>
        <v>86</v>
      </c>
    </row>
    <row r="25" spans="1:446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190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L25&gt;=AP$36,AM25&gt;=AP$40,AL25&lt;&gt;"",AK25=""),AND(AN25&gt;=AP$36,AO25&gt;=AP$40,AN25&lt;&gt;"",AK25=""),AND(BH25&gt;=BL$36,BI25&gt;=BL$40,BH25&lt;&gt;"",BG25=""),AND(BJ25&gt;=BL$36,BK25&gt;=BL$40,BJ25&lt;&gt;"",BG25=""),AND(CD25&gt;=CH$36,CE25&gt;=CH$40,CD25&lt;&gt;"",CC25=""),AND(CF25&gt;=CH$36,CG25&gt;=CH$40,CF25&lt;&gt;""),AND(DE25&gt;=DL$36,DF25&gt;=DL$40,DE25&lt;&gt;""),AND(DJ25&gt;=DL$36,DK25&gt;=DL$40,DJ25&lt;&gt;""),AND(EG25&gt;=EN$36,EH25&gt;=EN$40,EG25&lt;&gt;""),AND(EL25&gt;=EN$36,EM25&gt;=EN$40,EL25&lt;&gt;""),AND(FI25&gt;=FP$36,FJ25&gt;=FP$40,FI25&lt;&gt;""),AND(FN25&gt;=FP$36,FO25&gt;=FP$40,FN25&lt;&gt;""),AND(GK25&gt;=GR$36,GL25&gt;=GR$40,GK25&lt;&gt;""),AND(GP25&gt;=GR$36,GQ25&gt;=GR$40,GP25&lt;&gt;""),AND(HM25&gt;=HT$36,HN25&gt;=HT$40,HM25&lt;&gt;""),AND(HR25&gt;=HT$36,HS25&gt;=HT$40,HR25&lt;&gt;""),AND(IO25&gt;=IV$36,IP25&gt;=IV$40,IO25&lt;&gt;""),AND(IT25&gt;=IV$36,IU25&gt;=IV$40,IT25&lt;&gt;""),AND(JQ25&gt;=JX$36,JR25&gt;=JX$40,JQ25&lt;&gt;""),AND(JV25&gt;=JX$36,JW25&gt;=JX$40,JV25&lt;&gt;""),AND(KS25&gt;=KZ$36,KT25&gt;=KZ$40,KS25&lt;&gt;""),AND(KX25&gt;=KZ$36,KY25&gt;=KZ$40,KX25&lt;&gt;""),AND(LU25&gt;=MB$36,LV25&gt;=MB$40,LU25&lt;&gt;""),AND(LZ25&gt;=MB$36,MA25&gt;=MB$40,LZ25&lt;&gt;""),AND(MW25&gt;=ND$36,MX25&gt;=ND$40,MW25&lt;&gt;""),AND(NB25&gt;=ND$36,NC25&gt;=ND$40,NB25&lt;&gt;""),AND(NY25&gt;=OF$36,NZ25&gt;=OF$40,NY25&lt;&gt;""),AND(OD25&gt;=OF$36,OE25&gt;=OF$40,OD25&lt;&gt;""),AND(PA25&gt;=PH$36,PB25&gt;=PH$40,PA25&lt;&gt;""),AND(PF25&gt;=PH$36,PG25&gt;=PH$40,PF25&lt;&gt;"")),"P","")</f>
        <v/>
      </c>
      <c r="I25" s="3" t="str">
        <f>IF(OR(AND(AM25&gt;=AP$40,AM25&lt;&gt;"",AK25=""),AND(AO25&gt;=AP$40,AO25&lt;&gt;"",AK25=""),AND(BI25&gt;=BL$40,BI25&lt;&gt;"",BG25=""),AND(BK25&gt;=BL$40,BK25&lt;&gt;"",BG25=""),AND(CE25&gt;=CH$40,CE25&lt;&gt;"",CC25=""),AND(CG25&gt;=CH$40,CG25&lt;&gt;"",CC25=""),AND(DF25&gt;=DL$40,DF25&lt;&gt;""),AND(DK25&gt;=DL$40,DK25&lt;&gt;""),AND(EH25&gt;=EN$40,EH25&lt;&gt;""),AND(EM25&gt;=EN$40,EM25&lt;&gt;""),AND(FJ25&gt;=FP$40,FJ25&lt;&gt;""),AND(FO25&gt;=FP$40,FO25&lt;&gt;""),AND(GL25&gt;=GR$40,GL25&lt;&gt;""),AND(GQ25&gt;=GR$40,GQ25&lt;&gt;""),AND(HN25&gt;=HT$40,HN25&lt;&gt;""),AND(HS25&gt;=HT$40,HS25&lt;&gt;""),AND(IP25&gt;=IV$40,IP25&lt;&gt;""),AND(IU25&gt;=IV$40,IU25&lt;&gt;""),AND(JR25&gt;=JX$40,JR25&lt;&gt;""),AND(JW25&gt;=JX$40,JW25&lt;&gt;""),AND(KT25&gt;=KZ$40,KT25&lt;&gt;""),AND(KY25&gt;=KZ$40,KY25&lt;&gt;""),AND(LV25&gt;=MB$40,LV25&lt;&gt;""),AND(MA25&gt;=MB$40,MA25&lt;&gt;""),AND(MX25&gt;=ND$40,MX25&lt;&gt;""),AND(NC25&gt;=ND$40,NC25&lt;&gt;""),AND(NZ25&gt;=OF$40,NZ25&lt;&gt;""),AND(OE25&gt;=OF$40,OE25&lt;&gt;""),AND(PB25&gt;=PH$40,PB25&lt;&gt;""),AND(PG25&gt;=PH$40,PG25&lt;&gt;"")),"P","")</f>
        <v/>
      </c>
      <c r="J25" s="36" t="str">
        <f>IF(AND(I25="P",H25=""),"No DD",IF(OR(AND(AL25&gt;=AP$26,AM25&gt;=AP$30,AL25&lt;&gt;"",AK25=""),AND(BH25&gt;=BL$26,BI25&gt;=BL$30,BH25&lt;&gt;"",BG25=""),AND(CD25&gt;=CH$26,CE25&gt;=CH$30,CD25&lt;&gt;"",CC25=""),AND(DH25&gt;=DL$26,DI25&gt;=DL$30,DH25&lt;&gt;""),AND(EJ25&gt;=EN$26,EK25&gt;=EN$30,EJ25&lt;&gt;""),AND(FL25&gt;=FP$26,FM25&gt;=FP$30,FL25&lt;&gt;""),AND(GN25&gt;=GR$26,GO25&gt;=GR$30,GN25&lt;&gt;""),AND(HP25&gt;=HT$26,HQ25&gt;=HT$30,HP25&lt;&gt;""),AND(IR25&gt;=IV$26,IS25&gt;=IV$30,IR25&lt;&gt;""),AND(JT25&gt;=JX$26,JU25&gt;=JX$30,JT25&lt;&gt;""),AND(KV25&gt;=KZ$26,KW25&gt;=KZ$30,KV25&lt;&gt;""),AND(LX25&gt;=MB$26,LY25&gt;=MB$30,LX25&lt;&gt;""),AND(MZ25&gt;=ND$26,NA25&gt;=ND$30,MZ25&lt;&gt;""),AND(OB25&gt;=OF$26,OC25&gt;=OF$30,OB25&lt;&gt;""),AND(PD25&gt;=PH$26,PE25&gt;=PH$30,PD25&lt;&gt;"")),"Merit",IF(OR(AND(AL25&gt;=AP$25,AM25&gt;=AP$29,AL25&lt;&gt;"",AK25=""),AND(BH25&gt;=BL$25,BI25&gt;=BL$29,BH25&lt;&gt;"",BG25=""),AND(CD25&gt;=CH$25,CE25&gt;=CH$29,CD25&lt;&gt;"",CC25=""),AND(DH25&gt;=DL$25,DI25&gt;=DL$29,DH25&lt;&gt;""),AND(EJ25&gt;=EN$25,EK25&gt;=EN$29,EJ25&lt;&gt;""),AND(FL25&gt;=FP$25,FM25&gt;=FP$29,FL25&lt;&gt;""),AND(GN25&gt;=GR$25,GO25&gt;=GR$29,GN25&lt;&gt;""),AND(HP25&gt;=HT$25,HQ25&gt;=HT$29,HP25&lt;&gt;""),AND(IR25&gt;=IV$25,IS25&gt;=IV$29,IR25&lt;&gt;""),AND(JT25&gt;=JX$25,JU25&gt;=JX$29,JT25&lt;&gt;""),AND(KV25&gt;=KZ$25,KW25&gt;=KZ$29,KV25&lt;&gt;""),AND(LX25&gt;=MB$25,LY25&gt;=MB$29,LX25&lt;&gt;""),AND(MZ25&gt;=ND$25,NA25&gt;=ND$29,MZ25&lt;&gt;""),AND(OB25&gt;=OF$25,OC25&gt;=OF$29,OB25&lt;&gt;""),AND(PD25&gt;=PH$25,PE25&gt;=PH$29,PD25&lt;&gt;"")),"Excellence",IF(K25="P","Worlds Team",IF(H25="P","National Team","")))))</f>
        <v/>
      </c>
      <c r="K25" s="3" t="str">
        <f>IF(OR(AND(AL25&gt;=AP$24,AM25&gt;=AP$28,AL25&lt;&gt;"",AK25=""),AND(BH25&gt;=BL$24,BI25&gt;=BL$28,BH25&lt;&gt;"",BG25=""),AND(CD25&gt;=CH$24,CE25&gt;=CH$28,CD25&lt;&gt;"",CC25=""),AND(DH25&gt;=DL$24,DI25&gt;=DL$28,DH25&lt;&gt;""),AND(EJ25&gt;=EN$24,EK25&gt;=EN$28,EJ25&lt;&gt;""),AND(FL25&gt;=FP$24,FM25&gt;=FP$28,FL25&lt;&gt;""),AND(GN25&gt;=GR$24,GO25&gt;=GR$28,GN25&lt;&gt;""),AND(HP25&gt;=HT$24,HQ25&gt;=HT$28,HP25&lt;&gt;""),AND(IR25&gt;=IV$24,IS25&gt;=IV$28,IR25&lt;&gt;""),AND(JT25&gt;=JX$24,JU25&gt;=JX$28,JT25&lt;&gt;""),AND(KV25&gt;=KZ$24,KW25&gt;=KZ$28,KV25&lt;&gt;""),AND(LX25&gt;=MB$24,LY25&gt;=MB$28,LX25&lt;&gt;""),AND(MZ25&gt;=ND$24,NA25&gt;=ND$28,MZ25&lt;&gt;""),AND(OB25&gt;=OF$24,OC25&gt;=OF$28,OB25&lt;&gt;""),AND(PD25&gt;=PH$24,PE25&gt;=PH$28,PD25&lt;&gt;"")),"P","")</f>
        <v/>
      </c>
      <c r="L25" s="8">
        <f>IF(COUNT(AM25,BI25,CE25)&gt;0,LARGE((AM25,BI25,CE25),1),0)</f>
        <v>44.5</v>
      </c>
      <c r="M25" s="8" t="str">
        <f>IF(L25=0,"",IF(L25=CE25,$BM$1,IF(L25=BI25,$AQ$1,IF(L25=AM25,$U$1,""))))</f>
        <v>2025 Nationals</v>
      </c>
      <c r="N25" s="8">
        <f>IF(COUNT(AM25,BI25,CE25)&gt;1,LARGE((AM25,BI25,CE25),2),0)</f>
        <v>0</v>
      </c>
      <c r="O25" s="8" t="str">
        <f>IF(N25=0,"",IF(AND(N25=L25,N25=AM25,N25=BI25),$U$1,IF(AND(N25=L25,N25=AM25,N25=CE25),$U$1,IF(AND(N25=L25,N25=BI25,N25=CE25),$AQ$1,IF(N25=CE25,$BM$1,IF(N25=BI25,$AQ$1,IF(N25=AM25,$U$1,"")))))))</f>
        <v/>
      </c>
      <c r="P25" s="8">
        <f>IF(MAX(AO25,BK25,CG25)&gt;0,MAX(AO25,BK25,CG25),0)</f>
        <v>40.4</v>
      </c>
      <c r="Q25" s="8" t="str">
        <f>IF(P25=0,"",IF(P25=CG25,$BM$1,IF(P25=BK25,$AQ$1,IF(P25=AO25,$U$1,""))))</f>
        <v>2025 Nationals</v>
      </c>
      <c r="R25" s="8" t="str">
        <f>IF(MAX(CI25:CJ25)&gt;0,MAX(CI25:CJ25),"")</f>
        <v/>
      </c>
      <c r="S25" s="11" t="str">
        <f>IF(R25="","",IF(R25=CI25,"("&amp;CI$2&amp;")",IF(R25=CJ25,"("&amp;CJ$2&amp;")")))</f>
        <v/>
      </c>
      <c r="T25" s="8" t="str">
        <f>IF(R25="","",IF(R25=CI25,IF(R25+IF(N25="",0,N25)=PB25,$OG$1,IF(R25+IF(N25="",0,N25)=NZ25,$NE$1,IF(R25+IF(N25="",0,N25)=MX25,$MC$1,IF(R25+IF(N25="",0,N25)=LV25,$LA$1,IF(R25+IF(N25="",0,N25)=KT25,$JY$1,IF(R25+IF(N25="",0,N25)=JR25,$IW$1,IF(R25+IF(N25="",0,N25)=IP25,$HU$1,IF(R25+IF(N25="",0,N25)=HN25,$GS$1,IF(R25+IF(N25="",0,N25)=GL25,$FQ$1,IF(R25+IF(N25="",0,N25)=FJ25,$EO$1,IF(R25+IF(N25="",0,N25)=EH25,$DM$1,IF(R25+IF(N25="",0,N25)=DF25,$CK$1)))))))))))),IF(R25=CJ25,IF(R25+IF(P25="",0,P25)=PG25,$OG$1,IF(R25+IF(P25="",0,P25)=OE25,$NE$1,IF(R25+IF(P25="",0,P25)=NC25,$MC$1,IF(R25+IF(P25="",0,P25)=MA25,$LA$1,IF(R25+IF(P25="",0,P25)=KY25,$JY$1,IF(R25+IF(P25="",0,P25)=JW25,$IW$1,IF(R25+IF(P25="",0,P25)=IU25,$HU$1,IF(R25+IF(P25="",0,P25)=HS25,$GS$1,IF(R25+IF(P25="",0,P25)=GQ25,$FQ$1,IF(R25+IF(P25="",0,P25)=FO25,$EO$1,IF(R25+IF(P25="",0,P25)=EM25,$DM$1,IF(R25+IF(P25="",0,P25)=DK25,$CK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27"/>
      <c r="AL25" s="40" t="str">
        <f>IF(SUM(V25,Z25)&gt;0,SUM(V25,Z25),"")</f>
        <v/>
      </c>
      <c r="AM25" s="40" t="str">
        <f>IF(SUM(U25:V25,X25:Z25,AB25)-W25-AA25&gt;0,SUM(U25:V25,X25:Z25,AB25)-W25-AA25,"")</f>
        <v/>
      </c>
      <c r="AN25" s="40" t="str">
        <f>IF(SUM(AD25,AH25)&gt;0,SUM(AD25,AH25),"")</f>
        <v/>
      </c>
      <c r="AO25" s="40" t="str">
        <f>IF(SUM(AC25:AD25,AF25:AH25,AJ25)-SUM(AE25,AI25)&gt;0,SUM(AC25:AD25,AF25:AH25,AJ25)-SUM(AE25,AI25),"")</f>
        <v/>
      </c>
      <c r="AP25" s="40" t="str">
        <f>IF(SUM(AM25,AO25)&gt;0,SUM(AM25,AO25),"")</f>
        <v/>
      </c>
      <c r="AQ25" s="18">
        <v>17.899999999999999</v>
      </c>
      <c r="AR25" s="18">
        <v>4.4000000000000004</v>
      </c>
      <c r="AS25" s="18">
        <v>0.8</v>
      </c>
      <c r="AT25" s="18">
        <v>0</v>
      </c>
      <c r="AU25" s="18">
        <v>19.5</v>
      </c>
      <c r="AV25" s="18">
        <v>3.5</v>
      </c>
      <c r="AW25" s="18">
        <v>0</v>
      </c>
      <c r="AX25" s="18">
        <v>0</v>
      </c>
      <c r="AY25" s="18">
        <v>15.2</v>
      </c>
      <c r="AZ25" s="18">
        <v>2.4</v>
      </c>
      <c r="BA25" s="18">
        <v>0</v>
      </c>
      <c r="BB25" s="18">
        <v>0</v>
      </c>
      <c r="BC25" s="18">
        <v>19.3</v>
      </c>
      <c r="BD25" s="18">
        <v>3.5</v>
      </c>
      <c r="BE25" s="18">
        <v>0</v>
      </c>
      <c r="BF25" s="18">
        <v>0</v>
      </c>
      <c r="BG25" s="28"/>
      <c r="BH25" s="11">
        <f>IF(SUM(AR25,AV25)&gt;0,SUM(AR25,AV25),"")</f>
        <v>7.9</v>
      </c>
      <c r="BI25" s="11">
        <f>IF(SUM(AQ25:AR25,AT25:AV25,AX25)-AS25-AW25&gt;0,SUM(AQ25:AR25,AT25:AV25,AX25)-AS25-AW25,"")</f>
        <v>44.5</v>
      </c>
      <c r="BJ25" s="11">
        <f>IF(SUM(AZ25,BD25)&gt;0,SUM(AZ25,BD25),"")</f>
        <v>5.9</v>
      </c>
      <c r="BK25" s="11">
        <f>IF(SUM(AY25:AZ25,BB25:BD25,BF25)-SUM(BA25,BE25)&gt;0,SUM(AY25:AZ25,BB25:BD25,BF25)-SUM(BA25,BE25),"")</f>
        <v>40.4</v>
      </c>
      <c r="BL25" s="11">
        <f>IF(SUM(BI25,BK25)&gt;0,SUM(BI25,BK25),"")</f>
        <v>84.9</v>
      </c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7"/>
      <c r="CD25" s="40" t="str">
        <f>IF(SUM(BN25,BR25)&gt;0,SUM(BN25,BR25),"")</f>
        <v/>
      </c>
      <c r="CE25" s="40" t="str">
        <f>IF(SUM(BM25:BN25,BP25:BR25,BT25)-BO25-BS25&gt;0,SUM(BM25:BN25,BP25:BR25,BT25)-BO25-BS25,"")</f>
        <v/>
      </c>
      <c r="CF25" s="40" t="str">
        <f>IF(SUM(BV25,BZ25)&gt;0,SUM(BV25,BZ25),"")</f>
        <v/>
      </c>
      <c r="CG25" s="40" t="str">
        <f>IF(SUM(BU25:BV25,BX25:BZ25,CB25)-SUM(BW25,CA25)&gt;0,SUM(BU25:BV25,BX25:BZ25,CB25)-SUM(BW25,CA25),"")</f>
        <v/>
      </c>
      <c r="CH25" s="40" t="str">
        <f>IF(SUM(CE25,CG25)&gt;0,SUM(CE25,CG25),"")</f>
        <v/>
      </c>
      <c r="CI25" s="50" t="str">
        <f>IF(MAX(DF25,EH25,FJ25,GL25,HN25,IP25,JR25,KT25,LV25,MX25,NZ25,PB25)-IF(N25="",0,N25)&gt;0.001,MAX(DF25,EH25,FJ25,GL25,HN25,IP25,JR25,KT25,LV25,MX25,NZ25,PB25)-IF(N25="",0,N25),"")</f>
        <v/>
      </c>
      <c r="CJ25" s="50" t="str">
        <f>IF(MAX(DK25,EM25,FO25,GQ25,HS25,IU25,JW25,KY25,MA25,NC25,OE25,PG25)-IF(P25="",0,P25)&gt;0.001,MAX(DK25,EM25,FO25,GQ25,HS25,IU25,JW25,KY25,MA25,NC25,OE25,PG25)-IF(P25="",0,P25),"")</f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>IF(SUM(CL25,CP25)&gt;0,SUM(CL25,CP25),"")</f>
        <v/>
      </c>
      <c r="DF25" s="40" t="str">
        <f>IF(SUM(CK25:CL25,CN25:CP25,CR25)-CM25-CQ25&gt;0,SUM(CK25:CL25,CN25:CP25,CR25)-CM25-CQ25,"")</f>
        <v/>
      </c>
      <c r="DG25" s="40" t="str">
        <f>IF(SUM(CS25:CT25,CV25)-CU25&gt;0,SUM(CS25:CT25,CV25)-CU25,"")</f>
        <v/>
      </c>
      <c r="DH25" s="40" t="str">
        <f>IF(SUM(CL25,CP25,CT25)&gt;0,SUM(CL25,CP25,CT25),"")</f>
        <v/>
      </c>
      <c r="DI25" s="40" t="str">
        <f>IF(SUM(DF25,DG25)&gt;0,SUM(DF25,DG25),"")</f>
        <v/>
      </c>
      <c r="DJ25" s="40" t="str">
        <f>IF(SUM(CX25,DB25)&gt;0,SUM(CX25,DB25),"")</f>
        <v/>
      </c>
      <c r="DK25" s="40" t="str">
        <f>IF(SUM(CW25:CX25,CZ25:DB25,DD25)-SUM(CY25,DC25)&gt;0,SUM(CW25:CX25,CZ25:DB25,DD25)-SUM(CY25,DC25),"")</f>
        <v/>
      </c>
      <c r="DL25" s="40" t="str">
        <f>IF(SUM(DF25,DG25,DK25)&gt;0,SUM(DF25,DG25,DK25),"")</f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>IF(SUM(DN25,DR25)&gt;0,SUM(DN25,DR25),"")</f>
        <v/>
      </c>
      <c r="EH25" s="11" t="str">
        <f>IF(SUM(DM25:DN25,DP25:DR25,DT25)-DO25-DS25&gt;0,SUM(DM25:DN25,DP25:DR25,DT25)-DO25-DS25,"")</f>
        <v/>
      </c>
      <c r="EI25" s="11" t="str">
        <f>IF(SUM(DU25:DV25,DX25)-DW25&gt;0,SUM(DU25:DV25,DX25)-DW25,"")</f>
        <v/>
      </c>
      <c r="EJ25" s="11" t="str">
        <f>IF(SUM(DN25,DR25,DV25)&gt;0,SUM(DN25,DR25,DV25),"")</f>
        <v/>
      </c>
      <c r="EK25" s="11" t="str">
        <f>IF(SUM(EH25,EI25)&gt;0,SUM(EH25,EI25),"")</f>
        <v/>
      </c>
      <c r="EL25" s="11" t="str">
        <f>IF(SUM(DZ25,ED25)&gt;0,SUM(DZ25,ED25),"")</f>
        <v/>
      </c>
      <c r="EM25" s="11" t="str">
        <f>IF(SUM(DY25:DZ25,EB25:ED25,EF25)-SUM(EA25,EE25)&gt;0,SUM(DY25:DZ25,EB25:ED25,EF25)-SUM(EA25,EE25),"")</f>
        <v/>
      </c>
      <c r="EN25" s="11" t="str">
        <f>IF(SUM(EH25,EI25,EM25)&gt;0,SUM(EH25,EI25,EM25),"")</f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>IF(SUM(EP25,ET25)&gt;0,SUM(EP25,ET25),"")</f>
        <v/>
      </c>
      <c r="FJ25" s="40" t="str">
        <f>IF(SUM(EO25:EP25,ER25:ET25,EV25)-EQ25-EU25&gt;0,SUM(EO25:EP25,ER25:ET25,EV25)-EQ25-EU25,"")</f>
        <v/>
      </c>
      <c r="FK25" s="40" t="str">
        <f>IF(SUM(EW25:EX25,EZ25)-EY25&gt;0,SUM(EW25:EX25,EZ25)-EY25,"")</f>
        <v/>
      </c>
      <c r="FL25" s="40" t="str">
        <f>IF(SUM(EP25,ET25,EX25)&gt;0,SUM(EP25,ET25,EX25),"")</f>
        <v/>
      </c>
      <c r="FM25" s="40" t="str">
        <f>IF(SUM(FJ25,FK25)&gt;0,SUM(FJ25,FK25),"")</f>
        <v/>
      </c>
      <c r="FN25" s="40" t="str">
        <f>IF(SUM(FB25,FF25)&gt;0,SUM(FB25,FF25),"")</f>
        <v/>
      </c>
      <c r="FO25" s="40" t="str">
        <f>IF(SUM(FA25:FB25,FD25:FF25,FH25)-SUM(FC25,FG25)&gt;0,SUM(FA25:FB25,FD25:FF25,FH25)-SUM(FC25,FG25),"")</f>
        <v/>
      </c>
      <c r="FP25" s="40" t="str">
        <f>IF(SUM(FJ25,FK25,FO25)&gt;0,SUM(FJ25,FK25,FO25),"")</f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>IF(SUM(FR25,FV25)&gt;0,SUM(FR25,FV25),"")</f>
        <v/>
      </c>
      <c r="GL25" s="11" t="str">
        <f>IF(SUM(FQ25:FR25,FT25:FV25,FX25)-FS25-FW25&gt;0,SUM(FQ25:FR25,FT25:FV25,FX25)-FS25-FW25,"")</f>
        <v/>
      </c>
      <c r="GM25" s="11" t="str">
        <f>IF(SUM(FY25:FZ25,GB25)-GA25&gt;0,SUM(FY25:FZ25,GB25)-GA25,"")</f>
        <v/>
      </c>
      <c r="GN25" s="11" t="str">
        <f>IF(SUM(FR25,FV25,FZ25)&gt;0,SUM(FR25,FV25,FZ25),"")</f>
        <v/>
      </c>
      <c r="GO25" s="11" t="str">
        <f>IF(SUM(GL25,GM25)&gt;0,SUM(GL25,GM25),"")</f>
        <v/>
      </c>
      <c r="GP25" s="11" t="str">
        <f>IF(SUM(GD25,GH25)&gt;0,SUM(GD25,GH25),"")</f>
        <v/>
      </c>
      <c r="GQ25" s="11" t="str">
        <f>IF(SUM(GC25:GD25,GF25:GH25,GJ25)-SUM(GE25,GI25)&gt;0,SUM(GC25:GD25,GF25:GH25,GJ25)-SUM(GE25,GI25),"")</f>
        <v/>
      </c>
      <c r="GR25" s="11" t="str">
        <f>IF(SUM(GL25,GM25,GQ25)&gt;0,SUM(GL25,GM25,GQ25),"")</f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>IF(SUM(GT25,GX25)&gt;0,SUM(GT25,GX25),"")</f>
        <v/>
      </c>
      <c r="HN25" s="40" t="str">
        <f>IF(SUM(GS25:GT25,GV25:GX25,GZ25)-GU25-GY25&gt;0,SUM(GS25:GT25,GV25:GX25,GZ25)-GU25-GY25,"")</f>
        <v/>
      </c>
      <c r="HO25" s="40" t="str">
        <f>IF(SUM(HA25:HB25,HD25)-HC25&gt;0,SUM(HA25:HB25,HD25)-HC25,"")</f>
        <v/>
      </c>
      <c r="HP25" s="40" t="str">
        <f>IF(SUM(GT25,GX25,HB25)&gt;0,SUM(GT25,GX25,HB25),"")</f>
        <v/>
      </c>
      <c r="HQ25" s="40" t="str">
        <f>IF(SUM(HN25,HO25)&gt;0,SUM(HN25,HO25),"")</f>
        <v/>
      </c>
      <c r="HR25" s="40" t="str">
        <f>IF(SUM(HF25,HJ25)&gt;0,SUM(HF25,HJ25),"")</f>
        <v/>
      </c>
      <c r="HS25" s="40" t="str">
        <f>IF(SUM(HE25:HF25,HH25:HJ25,HL25)-SUM(HG25,HK25)&gt;0,SUM(HE25:HF25,HH25:HJ25,HL25)-SUM(HG25,HK25),"")</f>
        <v/>
      </c>
      <c r="HT25" s="40" t="str">
        <f>IF(SUM(HN25,HO25,HS25)&gt;0,SUM(HN25,HO25,HS25),"")</f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>IF(SUM(HV25,HZ25)&gt;0,SUM(HV25,HZ25),"")</f>
        <v/>
      </c>
      <c r="IP25" s="11" t="str">
        <f>IF(SUM(HU25:HV25,HX25:HZ25,IB25)-HW25-IA25&gt;0,SUM(HU25:HV25,HX25:HZ25,IB25)-HW25-IA25,"")</f>
        <v/>
      </c>
      <c r="IQ25" s="11" t="str">
        <f>IF(SUM(IC25:ID25,IF25)-IE25&gt;0,SUM(IC25:ID25,IF25)-IE25,"")</f>
        <v/>
      </c>
      <c r="IR25" s="11" t="str">
        <f>IF(SUM(HV25,HZ25,ID25)&gt;0,SUM(HV25,HZ25,ID25),"")</f>
        <v/>
      </c>
      <c r="IS25" s="11" t="str">
        <f>IF(SUM(IP25,IQ25)&gt;0,SUM(IP25,IQ25),"")</f>
        <v/>
      </c>
      <c r="IT25" s="11" t="str">
        <f>IF(SUM(IH25,IL25)&gt;0,SUM(IH25,IL25),"")</f>
        <v/>
      </c>
      <c r="IU25" s="11" t="str">
        <f>IF(SUM(IG25:IH25,IJ25:IL25,IN25)-SUM(II25,IM25)&gt;0,SUM(IG25:IH25,IJ25:IL25,IN25)-SUM(II25,IM25),"")</f>
        <v/>
      </c>
      <c r="IV25" s="11" t="str">
        <f>IF(SUM(IP25,IQ25,IU25)&gt;0,SUM(IP25,IQ25,IU25),"")</f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>IF(SUM(IX25,JB25)&gt;0,SUM(IX25,JB25),"")</f>
        <v/>
      </c>
      <c r="JR25" s="40" t="str">
        <f>IF(SUM(IW25:IX25,IZ25:JB25,JD25)-IY25-JC25&gt;0,SUM(IW25:IX25,IZ25:JB25,JD25)-IY25-JC25,"")</f>
        <v/>
      </c>
      <c r="JS25" s="40" t="str">
        <f>IF(SUM(JE25:JF25,JH25)-JG25&gt;0,SUM(JE25:JF25,JH25)-JG25,"")</f>
        <v/>
      </c>
      <c r="JT25" s="40" t="str">
        <f>IF(SUM(IX25,JB25,JF25)&gt;0,SUM(IX25,JB25,JF25),"")</f>
        <v/>
      </c>
      <c r="JU25" s="40" t="str">
        <f>IF(SUM(JR25,JS25)&gt;0,SUM(JR25,JS25),"")</f>
        <v/>
      </c>
      <c r="JV25" s="40" t="str">
        <f>IF(SUM(JJ25,JN25)&gt;0,SUM(JJ25,JN25),"")</f>
        <v/>
      </c>
      <c r="JW25" s="40" t="str">
        <f>IF(SUM(JI25:JJ25,JL25:JN25,JP25)-SUM(JK25,JO25)&gt;0,SUM(JI25:JJ25,JL25:JN25,JP25)-SUM(JK25,JO25),"")</f>
        <v/>
      </c>
      <c r="JX25" s="40" t="str">
        <f>IF(SUM(JR25,JS25,JW25)&gt;0,SUM(JR25,JS25,JW25),"")</f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>IF(SUM(JZ25,KD25)&gt;0,SUM(JZ25,KD25),"")</f>
        <v/>
      </c>
      <c r="KT25" s="11" t="str">
        <f>IF(SUM(JY25:JZ25,KB25:KD25,KF25)-KA25-KE25&gt;0,SUM(JY25:JZ25,KB25:KD25,KF25)-KA25-KE25,"")</f>
        <v/>
      </c>
      <c r="KU25" s="11" t="str">
        <f>IF(SUM(KG25:KH25,KJ25)-KI25&gt;0,SUM(KG25:KH25,KJ25)-KI25,"")</f>
        <v/>
      </c>
      <c r="KV25" s="11" t="str">
        <f>IF(SUM(JZ25,KD25,KH25)&gt;0,SUM(JZ25,KD25,KH25),"")</f>
        <v/>
      </c>
      <c r="KW25" s="11" t="str">
        <f>IF(SUM(KT25,KU25)&gt;0,SUM(KT25,KU25),"")</f>
        <v/>
      </c>
      <c r="KX25" s="11" t="str">
        <f>IF(SUM(KL25,KP25)&gt;0,SUM(KL25,KP25),"")</f>
        <v/>
      </c>
      <c r="KY25" s="11" t="str">
        <f>IF(SUM(KK25:KL25,KN25:KP25,KR25)-SUM(KM25,KQ25)&gt;0,SUM(KK25:KL25,KN25:KP25,KR25)-SUM(KM25,KQ25),"")</f>
        <v/>
      </c>
      <c r="KZ25" s="11" t="str">
        <f>IF(SUM(KT25,KU25,KY25)&gt;0,SUM(KT25,KU25,KY25),"")</f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>IF(SUM(LB25,LF25)&gt;0,SUM(LB25,LF25),"")</f>
        <v/>
      </c>
      <c r="LV25" s="40" t="str">
        <f>IF(SUM(LA25:LB25,LD25:LF25,LH25)-LC25-LG25&gt;0,SUM(LA25:LB25,LD25:LF25,LH25)-LC25-LG25,"")</f>
        <v/>
      </c>
      <c r="LW25" s="40" t="str">
        <f>IF(SUM(LI25:LJ25,LL25)-LK25&gt;0,SUM(LI25:LJ25,LL25)-LK25,"")</f>
        <v/>
      </c>
      <c r="LX25" s="40" t="str">
        <f>IF(SUM(LB25,LF25,LJ25)&gt;0,SUM(LB25,LF25,LJ25),"")</f>
        <v/>
      </c>
      <c r="LY25" s="40" t="str">
        <f>IF(SUM(LV25,LW25)&gt;0,SUM(LV25,LW25),"")</f>
        <v/>
      </c>
      <c r="LZ25" s="40" t="str">
        <f>IF(SUM(LN25,LR25)&gt;0,SUM(LN25,LR25),"")</f>
        <v/>
      </c>
      <c r="MA25" s="40" t="str">
        <f>IF(SUM(LM25:LN25,LP25:LR25,LT25)-SUM(LO25,LS25)&gt;0,SUM(LM25:LN25,LP25:LR25,LT25)-SUM(LO25,LS25),"")</f>
        <v/>
      </c>
      <c r="MB25" s="40" t="str">
        <f>IF(SUM(LV25,LW25,MA25)&gt;0,SUM(LV25,LW25,MA25),"")</f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>IF(SUM(MD25,MH25)&gt;0,SUM(MD25,MH25),"")</f>
        <v/>
      </c>
      <c r="MX25" s="11" t="str">
        <f>IF(SUM(MC25:MD25,MF25:MH25,MJ25)-ME25-MI25&gt;0,SUM(MC25:MD25,MF25:MH25,MJ25)-ME25-MI25,"")</f>
        <v/>
      </c>
      <c r="MY25" s="11" t="str">
        <f>IF(SUM(MK25:ML25,MN25)-MM25&gt;0,SUM(MK25:ML25,MN25)-MM25,"")</f>
        <v/>
      </c>
      <c r="MZ25" s="11" t="str">
        <f>IF(SUM(MD25,MH25,ML25)&gt;0,SUM(MD25,MH25,ML25),"")</f>
        <v/>
      </c>
      <c r="NA25" s="11" t="str">
        <f>IF(SUM(MX25,MY25)&gt;0,SUM(MX25,MY25),"")</f>
        <v/>
      </c>
      <c r="NB25" s="11" t="str">
        <f>IF(SUM(MP25,MT25)&gt;0,SUM(MP25,MT25),"")</f>
        <v/>
      </c>
      <c r="NC25" s="11" t="str">
        <f>IF(SUM(MO25:MP25,MR25:MT25,MV25)-SUM(MQ25,MU25)&gt;0,SUM(MO25:MP25,MR25:MT25,MV25)-SUM(MQ25,MU25),"")</f>
        <v/>
      </c>
      <c r="ND25" s="11" t="str">
        <f>IF(SUM(MX25,MY25,NC25)&gt;0,SUM(MX25,MY25,NC25),"")</f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>IF(SUM(NF25,NJ25)&gt;0,SUM(NF25,NJ25),"")</f>
        <v/>
      </c>
      <c r="NZ25" s="40" t="str">
        <f>IF(SUM(NE25:NF25,NH25:NJ25,NL25)-NG25-NK25&gt;0,SUM(NE25:NF25,NH25:NJ25,NL25)-NG25-NK25,"")</f>
        <v/>
      </c>
      <c r="OA25" s="40" t="str">
        <f>IF(SUM(NM25:NN25,NP25)-NO25&gt;0,SUM(NM25:NN25,NP25)-NO25,"")</f>
        <v/>
      </c>
      <c r="OB25" s="40" t="str">
        <f>IF(SUM(NF25,NJ25,NN25)&gt;0,SUM(NF25,NJ25,NN25),"")</f>
        <v/>
      </c>
      <c r="OC25" s="40" t="str">
        <f>IF(SUM(NZ25,OA25)&gt;0,SUM(NZ25,OA25),"")</f>
        <v/>
      </c>
      <c r="OD25" s="40" t="str">
        <f>IF(SUM(NR25,NV25)&gt;0,SUM(NR25,NV25),"")</f>
        <v/>
      </c>
      <c r="OE25" s="40" t="str">
        <f>IF(SUM(NQ25:NR25,NT25:NV25,NX25)-SUM(NS25,NW25)&gt;0,SUM(NQ25:NR25,NT25:NV25,NX25)-SUM(NS25,NW25),"")</f>
        <v/>
      </c>
      <c r="OF25" s="40" t="str">
        <f>IF(SUM(NZ25,OA25,OE25)&gt;0,SUM(NZ25,OA25,OE25),"")</f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>IF(SUM(OH25,OL25)&gt;0,SUM(OH25,OL25),"")</f>
        <v/>
      </c>
      <c r="PB25" s="11" t="str">
        <f>IF(SUM(OG25:OH25,OJ25:OL25,ON25)-OI25-OM25&gt;0,SUM(OG25:OH25,OJ25:OL25,ON25)-OI25-OM25,"")</f>
        <v/>
      </c>
      <c r="PC25" s="11" t="str">
        <f>IF(SUM(OO25:OP25,OR25)-OQ25&gt;0,SUM(OO25:OP25,OR25)-OQ25,"")</f>
        <v/>
      </c>
      <c r="PD25" s="11" t="str">
        <f>IF(SUM(OH25,OL25,OP25)&gt;0,SUM(OH25,OL25,OP25),"")</f>
        <v/>
      </c>
      <c r="PE25" s="11" t="str">
        <f>IF(SUM(PB25,PC25)&gt;0,SUM(PB25,PC25),"")</f>
        <v/>
      </c>
      <c r="PF25" s="11" t="str">
        <f>IF(SUM(OT25,OX25)&gt;0,SUM(OT25,OX25),"")</f>
        <v/>
      </c>
      <c r="PG25" s="11" t="str">
        <f>IF(SUM(OS25:OT25,OV25:OX25,OZ25)-SUM(OU25,OY25)&gt;0,SUM(OS25:OT25,OV25:OX25,OZ25)-SUM(OU25,OY25),"")</f>
        <v/>
      </c>
      <c r="PH25" s="11" t="str">
        <f>IF(SUM(PB25,PC25,PG25)&gt;0,SUM(PB25,PC25,PG25),"")</f>
        <v/>
      </c>
      <c r="PI25" s="22">
        <f>IF($PY25="P",BM25,(BM25+AQ25)/2)</f>
        <v>0</v>
      </c>
      <c r="PJ25" s="22">
        <f>IF($PY25="P",BN25,(BN25+AR25)/2)</f>
        <v>0</v>
      </c>
      <c r="PK25" s="22">
        <f>IF($PY25="P",BO25,(BO25+AS25)/2)</f>
        <v>0</v>
      </c>
      <c r="PL25" s="22">
        <f>IF($PY25="P",BP25,(BP25+AT25)/2)</f>
        <v>0</v>
      </c>
      <c r="PM25" s="22">
        <f>IF($PY25="P",BQ25,(BQ25+AU25)/2)</f>
        <v>0</v>
      </c>
      <c r="PN25" s="22">
        <f>IF($PY25="P",BR25,(BR25+AV25)/2)</f>
        <v>0</v>
      </c>
      <c r="PO25" s="22">
        <f>IF($PY25="P",BS25,(BS25+AW25)/2)</f>
        <v>0</v>
      </c>
      <c r="PP25" s="22">
        <f>IF($PY25="P",BT25,(BT25+AX25)/2)</f>
        <v>0</v>
      </c>
      <c r="PQ25" s="22">
        <f>IF($PY25="P",BU25,(BU25+AY25)/2)</f>
        <v>0</v>
      </c>
      <c r="PR25" s="22">
        <f>IF($PY25="P",BV25,(BV25+AZ25)/2)</f>
        <v>0</v>
      </c>
      <c r="PS25" s="22">
        <f>IF($PY25="P",BW25,(BW25+BA25)/2)</f>
        <v>0</v>
      </c>
      <c r="PT25" s="22">
        <f>IF($PY25="P",BX25,(BX25+BB25)/2)</f>
        <v>0</v>
      </c>
      <c r="PU25" s="22">
        <f>IF($PY25="P",BY25,(BY25+BC25)/2)</f>
        <v>0</v>
      </c>
      <c r="PV25" s="22">
        <f>IF($PY25="P",BZ25,(BZ25+BD25)/2)</f>
        <v>0</v>
      </c>
      <c r="PW25" s="22">
        <f>IF($PY25="P",CA25,(CA25+BE25)/2)</f>
        <v>0</v>
      </c>
      <c r="PX25" s="22">
        <f>IF($PY25="P",CB25,(CB25+BF25)/2)</f>
        <v>0</v>
      </c>
      <c r="PY25" s="27" t="s">
        <v>46</v>
      </c>
      <c r="PZ25" s="40" t="str">
        <f>IF(SUM(PJ25,PN25)&gt;0,SUM(PJ25,PN25),"")</f>
        <v/>
      </c>
      <c r="QA25" s="40" t="str">
        <f>IF(SUM(PI25:PJ25,PL25:PN25,PP25)-PK25-PO25&gt;0,SUM(PI25:PJ25,PL25:PN25,PP25)-PK25-PO25,"")</f>
        <v/>
      </c>
      <c r="QB25" s="40" t="str">
        <f>IF(SUM(PR25,PV25)&gt;0,SUM(PR25,PV25),"")</f>
        <v/>
      </c>
      <c r="QC25" s="40" t="str">
        <f>IF(SUM(PQ25:PR25,PT25:PV25,PX25)-SUM(PS25,PW25)&gt;0,SUM(PQ25:PR25,PT25:PV25,PX25)-SUM(PS25,PW25),"")</f>
        <v/>
      </c>
      <c r="QD25" s="40" t="str">
        <f>IF(SUM(QA25,QC25)&gt;0,SUM(QA25,QC25),"")</f>
        <v/>
      </c>
    </row>
    <row r="26" spans="1:446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167</v>
      </c>
      <c r="D26" s="4" t="s">
        <v>5</v>
      </c>
      <c r="E26" s="4">
        <v>2008</v>
      </c>
      <c r="F26" s="9">
        <f>SUM(L26:R26)+SUM(L26:O26)*0.0000001+SUM(L26)*0.0000000000001</f>
        <v>79.900007990004411</v>
      </c>
      <c r="G26" s="64"/>
      <c r="H26" s="3" t="str">
        <f>IF(OR(AND(AL26&gt;=AP$36,AM26&gt;=AP$40,AL26&lt;&gt;"",AK26=""),AND(AN26&gt;=AP$36,AO26&gt;=AP$40,AN26&lt;&gt;"",AK26=""),AND(BH26&gt;=BL$36,BI26&gt;=BL$40,BH26&lt;&gt;"",BG26=""),AND(BJ26&gt;=BL$36,BK26&gt;=BL$40,BJ26&lt;&gt;"",BG26=""),AND(CD26&gt;=CH$36,CE26&gt;=CH$40,CD26&lt;&gt;"",CC26=""),AND(CF26&gt;=CH$36,CG26&gt;=CH$40,CF26&lt;&gt;""),AND(DE26&gt;=DL$36,DF26&gt;=DL$40,DE26&lt;&gt;""),AND(DJ26&gt;=DL$36,DK26&gt;=DL$40,DJ26&lt;&gt;""),AND(EG26&gt;=EN$36,EH26&gt;=EN$40,EG26&lt;&gt;""),AND(EL26&gt;=EN$36,EM26&gt;=EN$40,EL26&lt;&gt;""),AND(FI26&gt;=FP$36,FJ26&gt;=FP$40,FI26&lt;&gt;""),AND(FN26&gt;=FP$36,FO26&gt;=FP$40,FN26&lt;&gt;""),AND(GK26&gt;=GR$36,GL26&gt;=GR$40,GK26&lt;&gt;""),AND(GP26&gt;=GR$36,GQ26&gt;=GR$40,GP26&lt;&gt;""),AND(HM26&gt;=HT$36,HN26&gt;=HT$40,HM26&lt;&gt;""),AND(HR26&gt;=HT$36,HS26&gt;=HT$40,HR26&lt;&gt;""),AND(IO26&gt;=IV$36,IP26&gt;=IV$40,IO26&lt;&gt;""),AND(IT26&gt;=IV$36,IU26&gt;=IV$40,IT26&lt;&gt;""),AND(JQ26&gt;=JX$36,JR26&gt;=JX$40,JQ26&lt;&gt;""),AND(JV26&gt;=JX$36,JW26&gt;=JX$40,JV26&lt;&gt;""),AND(KS26&gt;=KZ$36,KT26&gt;=KZ$40,KS26&lt;&gt;""),AND(KX26&gt;=KZ$36,KY26&gt;=KZ$40,KX26&lt;&gt;""),AND(LU26&gt;=MB$36,LV26&gt;=MB$40,LU26&lt;&gt;""),AND(LZ26&gt;=MB$36,MA26&gt;=MB$40,LZ26&lt;&gt;""),AND(MW26&gt;=ND$36,MX26&gt;=ND$40,MW26&lt;&gt;""),AND(NB26&gt;=ND$36,NC26&gt;=ND$40,NB26&lt;&gt;""),AND(NY26&gt;=OF$36,NZ26&gt;=OF$40,NY26&lt;&gt;""),AND(OD26&gt;=OF$36,OE26&gt;=OF$40,OD26&lt;&gt;""),AND(PA26&gt;=PH$36,PB26&gt;=PH$40,PA26&lt;&gt;""),AND(PF26&gt;=PH$36,PG26&gt;=PH$40,PF26&lt;&gt;"")),"P","")</f>
        <v/>
      </c>
      <c r="I26" s="3" t="str">
        <f>IF(OR(AND(AM26&gt;=AP$40,AM26&lt;&gt;"",AK26=""),AND(AO26&gt;=AP$40,AO26&lt;&gt;"",AK26=""),AND(BI26&gt;=BL$40,BI26&lt;&gt;"",BG26=""),AND(BK26&gt;=BL$40,BK26&lt;&gt;"",BG26=""),AND(CE26&gt;=CH$40,CE26&lt;&gt;"",CC26=""),AND(CG26&gt;=CH$40,CG26&lt;&gt;"",CC26=""),AND(DF26&gt;=DL$40,DF26&lt;&gt;""),AND(DK26&gt;=DL$40,DK26&lt;&gt;""),AND(EH26&gt;=EN$40,EH26&lt;&gt;""),AND(EM26&gt;=EN$40,EM26&lt;&gt;""),AND(FJ26&gt;=FP$40,FJ26&lt;&gt;""),AND(FO26&gt;=FP$40,FO26&lt;&gt;""),AND(GL26&gt;=GR$40,GL26&lt;&gt;""),AND(GQ26&gt;=GR$40,GQ26&lt;&gt;""),AND(HN26&gt;=HT$40,HN26&lt;&gt;""),AND(HS26&gt;=HT$40,HS26&lt;&gt;""),AND(IP26&gt;=IV$40,IP26&lt;&gt;""),AND(IU26&gt;=IV$40,IU26&lt;&gt;""),AND(JR26&gt;=JX$40,JR26&lt;&gt;""),AND(JW26&gt;=JX$40,JW26&lt;&gt;""),AND(KT26&gt;=KZ$40,KT26&lt;&gt;""),AND(KY26&gt;=KZ$40,KY26&lt;&gt;""),AND(LV26&gt;=MB$40,LV26&lt;&gt;""),AND(MA26&gt;=MB$40,MA26&lt;&gt;""),AND(MX26&gt;=ND$40,MX26&lt;&gt;""),AND(NC26&gt;=ND$40,NC26&lt;&gt;""),AND(NZ26&gt;=OF$40,NZ26&lt;&gt;""),AND(OE26&gt;=OF$40,OE26&lt;&gt;""),AND(PB26&gt;=PH$40,PB26&lt;&gt;""),AND(PG26&gt;=PH$40,PG26&lt;&gt;"")),"P","")</f>
        <v/>
      </c>
      <c r="J26" s="36" t="str">
        <f>IF(AND(I26="P",H26=""),"No DD",IF(OR(AND(AL26&gt;=AP$26,AM26&gt;=AP$30,AL26&lt;&gt;"",AK26=""),AND(BH26&gt;=BL$26,BI26&gt;=BL$30,BH26&lt;&gt;"",BG26=""),AND(CD26&gt;=CH$26,CE26&gt;=CH$30,CD26&lt;&gt;"",CC26=""),AND(DH26&gt;=DL$26,DI26&gt;=DL$30,DH26&lt;&gt;""),AND(EJ26&gt;=EN$26,EK26&gt;=EN$30,EJ26&lt;&gt;""),AND(FL26&gt;=FP$26,FM26&gt;=FP$30,FL26&lt;&gt;""),AND(GN26&gt;=GR$26,GO26&gt;=GR$30,GN26&lt;&gt;""),AND(HP26&gt;=HT$26,HQ26&gt;=HT$30,HP26&lt;&gt;""),AND(IR26&gt;=IV$26,IS26&gt;=IV$30,IR26&lt;&gt;""),AND(JT26&gt;=JX$26,JU26&gt;=JX$30,JT26&lt;&gt;""),AND(KV26&gt;=KZ$26,KW26&gt;=KZ$30,KV26&lt;&gt;""),AND(LX26&gt;=MB$26,LY26&gt;=MB$30,LX26&lt;&gt;""),AND(MZ26&gt;=ND$26,NA26&gt;=ND$30,MZ26&lt;&gt;""),AND(OB26&gt;=OF$26,OC26&gt;=OF$30,OB26&lt;&gt;""),AND(PD26&gt;=PH$26,PE26&gt;=PH$30,PD26&lt;&gt;"")),"Merit",IF(OR(AND(AL26&gt;=AP$25,AM26&gt;=AP$29,AL26&lt;&gt;"",AK26=""),AND(BH26&gt;=BL$25,BI26&gt;=BL$29,BH26&lt;&gt;"",BG26=""),AND(CD26&gt;=CH$25,CE26&gt;=CH$29,CD26&lt;&gt;"",CC26=""),AND(DH26&gt;=DL$25,DI26&gt;=DL$29,DH26&lt;&gt;""),AND(EJ26&gt;=EN$25,EK26&gt;=EN$29,EJ26&lt;&gt;""),AND(FL26&gt;=FP$25,FM26&gt;=FP$29,FL26&lt;&gt;""),AND(GN26&gt;=GR$25,GO26&gt;=GR$29,GN26&lt;&gt;""),AND(HP26&gt;=HT$25,HQ26&gt;=HT$29,HP26&lt;&gt;""),AND(IR26&gt;=IV$25,IS26&gt;=IV$29,IR26&lt;&gt;""),AND(JT26&gt;=JX$25,JU26&gt;=JX$29,JT26&lt;&gt;""),AND(KV26&gt;=KZ$25,KW26&gt;=KZ$29,KV26&lt;&gt;""),AND(LX26&gt;=MB$25,LY26&gt;=MB$29,LX26&lt;&gt;""),AND(MZ26&gt;=ND$25,NA26&gt;=ND$29,MZ26&lt;&gt;""),AND(OB26&gt;=OF$25,OC26&gt;=OF$29,OB26&lt;&gt;""),AND(PD26&gt;=PH$25,PE26&gt;=PH$29,PD26&lt;&gt;"")),"Excellence",IF(K26="P","Worlds Team",IF(H26="P","National Team","")))))</f>
        <v/>
      </c>
      <c r="K26" s="3" t="str">
        <f>IF(OR(AND(AL26&gt;=AP$24,AM26&gt;=AP$28,AL26&lt;&gt;"",AK26=""),AND(BH26&gt;=BL$24,BI26&gt;=BL$28,BH26&lt;&gt;"",BG26=""),AND(CD26&gt;=CH$24,CE26&gt;=CH$28,CD26&lt;&gt;"",CC26=""),AND(DH26&gt;=DL$24,DI26&gt;=DL$28,DH26&lt;&gt;""),AND(EJ26&gt;=EN$24,EK26&gt;=EN$28,EJ26&lt;&gt;""),AND(FL26&gt;=FP$24,FM26&gt;=FP$28,FL26&lt;&gt;""),AND(GN26&gt;=GR$24,GO26&gt;=GR$28,GN26&lt;&gt;""),AND(HP26&gt;=HT$24,HQ26&gt;=HT$28,HP26&lt;&gt;""),AND(IR26&gt;=IV$24,IS26&gt;=IV$28,IR26&lt;&gt;""),AND(JT26&gt;=JX$24,JU26&gt;=JX$28,JT26&lt;&gt;""),AND(KV26&gt;=KZ$24,KW26&gt;=KZ$28,KV26&lt;&gt;""),AND(LX26&gt;=MB$24,LY26&gt;=MB$28,LX26&lt;&gt;""),AND(MZ26&gt;=ND$24,NA26&gt;=ND$28,MZ26&lt;&gt;""),AND(OB26&gt;=OF$24,OC26&gt;=OF$28,OB26&lt;&gt;""),AND(PD26&gt;=PH$24,PE26&gt;=PH$28,PD26&lt;&gt;"")),"P","")</f>
        <v/>
      </c>
      <c r="L26" s="8">
        <f>IF(COUNT(AM26,BI26,CE26)&gt;0,LARGE((AM26,BI26,CE26),1),0)</f>
        <v>44.1</v>
      </c>
      <c r="M26" s="8" t="str">
        <f>IF(L26=0,"",IF(L26=CE26,$BM$1,IF(L26=BI26,$AQ$1,IF(L26=AM26,$U$1,""))))</f>
        <v>2025 Nationals</v>
      </c>
      <c r="N26" s="8">
        <f>IF(COUNT(AM26,BI26,CE26)&gt;1,LARGE((AM26,BI26,CE26),2),0)</f>
        <v>35.799999999999997</v>
      </c>
      <c r="O26" s="8" t="str">
        <f>IF(N26=0,"",IF(AND(N26=L26,N26=AM26,N26=BI26),$U$1,IF(AND(N26=L26,N26=AM26,N26=CE26),$U$1,IF(AND(N26=L26,N26=BI26,N26=CE26),$AQ$1,IF(N26=CE26,$BM$1,IF(N26=BI26,$AQ$1,IF(N26=AM26,$U$1,"")))))))</f>
        <v>2025 3rd Domestic Trial</v>
      </c>
      <c r="P26" s="8">
        <f>IF(MAX(AO26,BK26,CG26)&gt;0,MAX(AO26,BK26,CG26),0)</f>
        <v>0</v>
      </c>
      <c r="Q26" s="8" t="str">
        <f>IF(P26=0,"",IF(P26=CG26,$BM$1,IF(P26=BK26,$AQ$1,IF(P26=AO26,$U$1,""))))</f>
        <v/>
      </c>
      <c r="R26" s="8" t="str">
        <f>IF(MAX(CI26:CJ26)&gt;0,MAX(CI26:CJ26),"")</f>
        <v/>
      </c>
      <c r="S26" s="11" t="str">
        <f>IF(R26="","",IF(R26=CI26,"("&amp;CI$2&amp;")",IF(R26=CJ26,"("&amp;CJ$2&amp;")")))</f>
        <v/>
      </c>
      <c r="T26" s="8" t="str">
        <f>IF(R26="","",IF(R26=CI26,IF(R26+IF(N26="",0,N26)=PB26,$OG$1,IF(R26+IF(N26="",0,N26)=NZ26,$NE$1,IF(R26+IF(N26="",0,N26)=MX26,$MC$1,IF(R26+IF(N26="",0,N26)=LV26,$LA$1,IF(R26+IF(N26="",0,N26)=KT26,$JY$1,IF(R26+IF(N26="",0,N26)=JR26,$IW$1,IF(R26+IF(N26="",0,N26)=IP26,$HU$1,IF(R26+IF(N26="",0,N26)=HN26,$GS$1,IF(R26+IF(N26="",0,N26)=GL26,$FQ$1,IF(R26+IF(N26="",0,N26)=FJ26,$EO$1,IF(R26+IF(N26="",0,N26)=EH26,$DM$1,IF(R26+IF(N26="",0,N26)=DF26,$CK$1)))))))))))),IF(R26=CJ26,IF(R26+IF(P26="",0,P26)=PG26,$OG$1,IF(R26+IF(P26="",0,P26)=OE26,$NE$1,IF(R26+IF(P26="",0,P26)=NC26,$MC$1,IF(R26+IF(P26="",0,P26)=MA26,$LA$1,IF(R26+IF(P26="",0,P26)=KY26,$JY$1,IF(R26+IF(P26="",0,P26)=JW26,$IW$1,IF(R26+IF(P26="",0,P26)=IU26,$HU$1,IF(R26+IF(P26="",0,P26)=HS26,$GS$1,IF(R26+IF(P26="",0,P26)=GQ26,$FQ$1,IF(R26+IF(P26="",0,P26)=FO26,$EO$1,IF(R26+IF(P26="",0,P26)=EM26,$DM$1,IF(R26+IF(P26="",0,P26)=DK26,$CK$1)))))))))))))))</f>
        <v/>
      </c>
      <c r="U26" s="19">
        <v>15.2</v>
      </c>
      <c r="V26" s="19">
        <v>2.4</v>
      </c>
      <c r="W26" s="19">
        <v>0</v>
      </c>
      <c r="X26" s="19">
        <v>0</v>
      </c>
      <c r="Y26" s="19">
        <v>15.2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27"/>
      <c r="AL26" s="40">
        <f>IF(SUM(V26,Z26)&gt;0,SUM(V26,Z26),"")</f>
        <v>2.4</v>
      </c>
      <c r="AM26" s="40">
        <f>IF(SUM(U26:V26,X26:Z26,AB26)-W26-AA26&gt;0,SUM(U26:V26,X26:Z26,AB26)-W26-AA26,"")</f>
        <v>32.799999999999997</v>
      </c>
      <c r="AN26" s="40" t="str">
        <f>IF(SUM(AD26,AH26)&gt;0,SUM(AD26,AH26),"")</f>
        <v/>
      </c>
      <c r="AO26" s="40" t="str">
        <f>IF(SUM(AC26:AD26,AF26:AH26,AJ26)-SUM(AE26,AI26)&gt;0,SUM(AC26:AD26,AF26:AH26,AJ26)-SUM(AE26,AI26),"")</f>
        <v/>
      </c>
      <c r="AP26" s="40">
        <f>IF(SUM(AM26,AO26)&gt;0,SUM(AM26,AO26),"")</f>
        <v>32.799999999999997</v>
      </c>
      <c r="AQ26" s="18">
        <v>16.600000000000001</v>
      </c>
      <c r="AR26" s="18">
        <v>6</v>
      </c>
      <c r="AS26" s="18">
        <v>0.6</v>
      </c>
      <c r="AT26" s="18">
        <v>0</v>
      </c>
      <c r="AU26" s="18">
        <v>18.3</v>
      </c>
      <c r="AV26" s="18">
        <v>4.8</v>
      </c>
      <c r="AW26" s="18">
        <v>1</v>
      </c>
      <c r="AX26" s="18">
        <v>0</v>
      </c>
      <c r="AY26" s="18"/>
      <c r="AZ26" s="18"/>
      <c r="BA26" s="18"/>
      <c r="BB26" s="18"/>
      <c r="BC26" s="18"/>
      <c r="BD26" s="18"/>
      <c r="BE26" s="18"/>
      <c r="BF26" s="18"/>
      <c r="BG26" s="28"/>
      <c r="BH26" s="11">
        <f>IF(SUM(AR26,AV26)&gt;0,SUM(AR26,AV26),"")</f>
        <v>10.8</v>
      </c>
      <c r="BI26" s="11">
        <f>IF(SUM(AQ26:AR26,AT26:AV26,AX26)-AS26-AW26&gt;0,SUM(AQ26:AR26,AT26:AV26,AX26)-AS26-AW26,"")</f>
        <v>44.1</v>
      </c>
      <c r="BJ26" s="11" t="str">
        <f>IF(SUM(AZ26,BD26)&gt;0,SUM(AZ26,BD26),"")</f>
        <v/>
      </c>
      <c r="BK26" s="11" t="str">
        <f>IF(SUM(AY26:AZ26,BB26:BD26,BF26)-SUM(BA26,BE26)&gt;0,SUM(AY26:AZ26,BB26:BD26,BF26)-SUM(BA26,BE26),"")</f>
        <v/>
      </c>
      <c r="BL26" s="11">
        <f>IF(SUM(BI26,BK26)&gt;0,SUM(BI26,BK26),"")</f>
        <v>44.1</v>
      </c>
      <c r="BM26" s="19">
        <v>15.3</v>
      </c>
      <c r="BN26" s="19">
        <v>2.4</v>
      </c>
      <c r="BO26" s="19">
        <v>0</v>
      </c>
      <c r="BP26" s="19">
        <v>0</v>
      </c>
      <c r="BQ26" s="19">
        <v>15.3</v>
      </c>
      <c r="BR26" s="19">
        <v>2.8</v>
      </c>
      <c r="BS26" s="19">
        <v>0</v>
      </c>
      <c r="BT26" s="19">
        <v>0</v>
      </c>
      <c r="BU26" s="19"/>
      <c r="BV26" s="19"/>
      <c r="BW26" s="19"/>
      <c r="BX26" s="19"/>
      <c r="BY26" s="19"/>
      <c r="BZ26" s="19"/>
      <c r="CA26" s="19"/>
      <c r="CB26" s="19"/>
      <c r="CC26" s="27"/>
      <c r="CD26" s="40">
        <f>IF(SUM(BN26,BR26)&gt;0,SUM(BN26,BR26),"")</f>
        <v>5.1999999999999993</v>
      </c>
      <c r="CE26" s="40">
        <f>IF(SUM(BM26:BN26,BP26:BR26,BT26)-BO26-BS26&gt;0,SUM(BM26:BN26,BP26:BR26,BT26)-BO26-BS26,"")</f>
        <v>35.799999999999997</v>
      </c>
      <c r="CF26" s="40" t="str">
        <f>IF(SUM(BV26,BZ26)&gt;0,SUM(BV26,BZ26),"")</f>
        <v/>
      </c>
      <c r="CG26" s="40" t="str">
        <f>IF(SUM(BU26:BV26,BX26:BZ26,CB26)-SUM(BW26,CA26)&gt;0,SUM(BU26:BV26,BX26:BZ26,CB26)-SUM(BW26,CA26),"")</f>
        <v/>
      </c>
      <c r="CH26" s="40">
        <f>IF(SUM(CE26,CG26)&gt;0,SUM(CE26,CG26),"")</f>
        <v>35.799999999999997</v>
      </c>
      <c r="CI26" s="50" t="str">
        <f>IF(MAX(DF26,EH26,FJ26,GL26,HN26,IP26,JR26,KT26,LV26,MX26,NZ26,PB26)-IF(N26="",0,N26)&gt;0.001,MAX(DF26,EH26,FJ26,GL26,HN26,IP26,JR26,KT26,LV26,MX26,NZ26,PB26)-IF(N26="",0,N26),"")</f>
        <v/>
      </c>
      <c r="CJ26" s="50" t="str">
        <f>IF(MAX(DK26,EM26,FO26,GQ26,HS26,IU26,JW26,KY26,MA26,NC26,OE26,PG26)-IF(P26="",0,P26)&gt;0.001,MAX(DK26,EM26,FO26,GQ26,HS26,IU26,JW26,KY26,MA26,NC26,OE26,PG26)-IF(P26="",0,P26),"")</f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>IF(SUM(CL26,CP26)&gt;0,SUM(CL26,CP26),"")</f>
        <v/>
      </c>
      <c r="DF26" s="40" t="str">
        <f>IF(SUM(CK26:CL26,CN26:CP26,CR26)-CM26-CQ26&gt;0,SUM(CK26:CL26,CN26:CP26,CR26)-CM26-CQ26,"")</f>
        <v/>
      </c>
      <c r="DG26" s="40" t="str">
        <f>IF(SUM(CS26:CT26,CV26)-CU26&gt;0,SUM(CS26:CT26,CV26)-CU26,"")</f>
        <v/>
      </c>
      <c r="DH26" s="40" t="str">
        <f>IF(SUM(CL26,CP26,CT26)&gt;0,SUM(CL26,CP26,CT26),"")</f>
        <v/>
      </c>
      <c r="DI26" s="40" t="str">
        <f>IF(SUM(DF26,DG26)&gt;0,SUM(DF26,DG26),"")</f>
        <v/>
      </c>
      <c r="DJ26" s="40" t="str">
        <f>IF(SUM(CX26,DB26)&gt;0,SUM(CX26,DB26),"")</f>
        <v/>
      </c>
      <c r="DK26" s="40" t="str">
        <f>IF(SUM(CW26:CX26,CZ26:DB26,DD26)-SUM(CY26,DC26)&gt;0,SUM(CW26:CX26,CZ26:DB26,DD26)-SUM(CY26,DC26),"")</f>
        <v/>
      </c>
      <c r="DL26" s="40" t="str">
        <f>IF(SUM(DF26,DG26,DK26)&gt;0,SUM(DF26,DG26,DK26),"")</f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>IF(SUM(DN26,DR26)&gt;0,SUM(DN26,DR26),"")</f>
        <v/>
      </c>
      <c r="EH26" s="11" t="str">
        <f>IF(SUM(DM26:DN26,DP26:DR26,DT26)-DO26-DS26&gt;0,SUM(DM26:DN26,DP26:DR26,DT26)-DO26-DS26,"")</f>
        <v/>
      </c>
      <c r="EI26" s="11" t="str">
        <f>IF(SUM(DU26:DV26,DX26)-DW26&gt;0,SUM(DU26:DV26,DX26)-DW26,"")</f>
        <v/>
      </c>
      <c r="EJ26" s="11" t="str">
        <f>IF(SUM(DN26,DR26,DV26)&gt;0,SUM(DN26,DR26,DV26),"")</f>
        <v/>
      </c>
      <c r="EK26" s="11" t="str">
        <f>IF(SUM(EH26,EI26)&gt;0,SUM(EH26,EI26),"")</f>
        <v/>
      </c>
      <c r="EL26" s="11" t="str">
        <f>IF(SUM(DZ26,ED26)&gt;0,SUM(DZ26,ED26),"")</f>
        <v/>
      </c>
      <c r="EM26" s="11" t="str">
        <f>IF(SUM(DY26:DZ26,EB26:ED26,EF26)-SUM(EA26,EE26)&gt;0,SUM(DY26:DZ26,EB26:ED26,EF26)-SUM(EA26,EE26),"")</f>
        <v/>
      </c>
      <c r="EN26" s="11" t="str">
        <f>IF(SUM(EH26,EI26,EM26)&gt;0,SUM(EH26,EI26,EM26),"")</f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>IF(SUM(EP26,ET26)&gt;0,SUM(EP26,ET26),"")</f>
        <v/>
      </c>
      <c r="FJ26" s="40" t="str">
        <f>IF(SUM(EO26:EP26,ER26:ET26,EV26)-EQ26-EU26&gt;0,SUM(EO26:EP26,ER26:ET26,EV26)-EQ26-EU26,"")</f>
        <v/>
      </c>
      <c r="FK26" s="40" t="str">
        <f>IF(SUM(EW26:EX26,EZ26)-EY26&gt;0,SUM(EW26:EX26,EZ26)-EY26,"")</f>
        <v/>
      </c>
      <c r="FL26" s="40" t="str">
        <f>IF(SUM(EP26,ET26,EX26)&gt;0,SUM(EP26,ET26,EX26),"")</f>
        <v/>
      </c>
      <c r="FM26" s="40" t="str">
        <f>IF(SUM(FJ26,FK26)&gt;0,SUM(FJ26,FK26),"")</f>
        <v/>
      </c>
      <c r="FN26" s="40" t="str">
        <f>IF(SUM(FB26,FF26)&gt;0,SUM(FB26,FF26),"")</f>
        <v/>
      </c>
      <c r="FO26" s="40" t="str">
        <f>IF(SUM(FA26:FB26,FD26:FF26,FH26)-SUM(FC26,FG26)&gt;0,SUM(FA26:FB26,FD26:FF26,FH26)-SUM(FC26,FG26),"")</f>
        <v/>
      </c>
      <c r="FP26" s="40" t="str">
        <f>IF(SUM(FJ26,FK26,FO26)&gt;0,SUM(FJ26,FK26,FO26),"")</f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>IF(SUM(FR26,FV26)&gt;0,SUM(FR26,FV26),"")</f>
        <v/>
      </c>
      <c r="GL26" s="11" t="str">
        <f>IF(SUM(FQ26:FR26,FT26:FV26,FX26)-FS26-FW26&gt;0,SUM(FQ26:FR26,FT26:FV26,FX26)-FS26-FW26,"")</f>
        <v/>
      </c>
      <c r="GM26" s="11" t="str">
        <f>IF(SUM(FY26:FZ26,GB26)-GA26&gt;0,SUM(FY26:FZ26,GB26)-GA26,"")</f>
        <v/>
      </c>
      <c r="GN26" s="11" t="str">
        <f>IF(SUM(FR26,FV26,FZ26)&gt;0,SUM(FR26,FV26,FZ26),"")</f>
        <v/>
      </c>
      <c r="GO26" s="11" t="str">
        <f>IF(SUM(GL26,GM26)&gt;0,SUM(GL26,GM26),"")</f>
        <v/>
      </c>
      <c r="GP26" s="11" t="str">
        <f>IF(SUM(GD26,GH26)&gt;0,SUM(GD26,GH26),"")</f>
        <v/>
      </c>
      <c r="GQ26" s="11" t="str">
        <f>IF(SUM(GC26:GD26,GF26:GH26,GJ26)-SUM(GE26,GI26)&gt;0,SUM(GC26:GD26,GF26:GH26,GJ26)-SUM(GE26,GI26),"")</f>
        <v/>
      </c>
      <c r="GR26" s="11" t="str">
        <f>IF(SUM(GL26,GM26,GQ26)&gt;0,SUM(GL26,GM26,GQ26),"")</f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>IF(SUM(GT26,GX26)&gt;0,SUM(GT26,GX26),"")</f>
        <v/>
      </c>
      <c r="HN26" s="40" t="str">
        <f>IF(SUM(GS26:GT26,GV26:GX26,GZ26)-GU26-GY26&gt;0,SUM(GS26:GT26,GV26:GX26,GZ26)-GU26-GY26,"")</f>
        <v/>
      </c>
      <c r="HO26" s="40" t="str">
        <f>IF(SUM(HA26:HB26,HD26)-HC26&gt;0,SUM(HA26:HB26,HD26)-HC26,"")</f>
        <v/>
      </c>
      <c r="HP26" s="40" t="str">
        <f>IF(SUM(GT26,GX26,HB26)&gt;0,SUM(GT26,GX26,HB26),"")</f>
        <v/>
      </c>
      <c r="HQ26" s="40" t="str">
        <f>IF(SUM(HN26,HO26)&gt;0,SUM(HN26,HO26),"")</f>
        <v/>
      </c>
      <c r="HR26" s="40" t="str">
        <f>IF(SUM(HF26,HJ26)&gt;0,SUM(HF26,HJ26),"")</f>
        <v/>
      </c>
      <c r="HS26" s="40" t="str">
        <f>IF(SUM(HE26:HF26,HH26:HJ26,HL26)-SUM(HG26,HK26)&gt;0,SUM(HE26:HF26,HH26:HJ26,HL26)-SUM(HG26,HK26),"")</f>
        <v/>
      </c>
      <c r="HT26" s="40" t="str">
        <f>IF(SUM(HN26,HO26,HS26)&gt;0,SUM(HN26,HO26,HS26),"")</f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>IF(SUM(HV26,HZ26)&gt;0,SUM(HV26,HZ26),"")</f>
        <v/>
      </c>
      <c r="IP26" s="11" t="str">
        <f>IF(SUM(HU26:HV26,HX26:HZ26,IB26)-HW26-IA26&gt;0,SUM(HU26:HV26,HX26:HZ26,IB26)-HW26-IA26,"")</f>
        <v/>
      </c>
      <c r="IQ26" s="11" t="str">
        <f>IF(SUM(IC26:ID26,IF26)-IE26&gt;0,SUM(IC26:ID26,IF26)-IE26,"")</f>
        <v/>
      </c>
      <c r="IR26" s="11" t="str">
        <f>IF(SUM(HV26,HZ26,ID26)&gt;0,SUM(HV26,HZ26,ID26),"")</f>
        <v/>
      </c>
      <c r="IS26" s="11" t="str">
        <f>IF(SUM(IP26,IQ26)&gt;0,SUM(IP26,IQ26),"")</f>
        <v/>
      </c>
      <c r="IT26" s="11" t="str">
        <f>IF(SUM(IH26,IL26)&gt;0,SUM(IH26,IL26),"")</f>
        <v/>
      </c>
      <c r="IU26" s="11" t="str">
        <f>IF(SUM(IG26:IH26,IJ26:IL26,IN26)-SUM(II26,IM26)&gt;0,SUM(IG26:IH26,IJ26:IL26,IN26)-SUM(II26,IM26),"")</f>
        <v/>
      </c>
      <c r="IV26" s="11" t="str">
        <f>IF(SUM(IP26,IQ26,IU26)&gt;0,SUM(IP26,IQ26,IU26),"")</f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>IF(SUM(IX26,JB26)&gt;0,SUM(IX26,JB26),"")</f>
        <v/>
      </c>
      <c r="JR26" s="40" t="str">
        <f>IF(SUM(IW26:IX26,IZ26:JB26,JD26)-IY26-JC26&gt;0,SUM(IW26:IX26,IZ26:JB26,JD26)-IY26-JC26,"")</f>
        <v/>
      </c>
      <c r="JS26" s="40" t="str">
        <f>IF(SUM(JE26:JF26,JH26)-JG26&gt;0,SUM(JE26:JF26,JH26)-JG26,"")</f>
        <v/>
      </c>
      <c r="JT26" s="40" t="str">
        <f>IF(SUM(IX26,JB26,JF26)&gt;0,SUM(IX26,JB26,JF26),"")</f>
        <v/>
      </c>
      <c r="JU26" s="40" t="str">
        <f>IF(SUM(JR26,JS26)&gt;0,SUM(JR26,JS26),"")</f>
        <v/>
      </c>
      <c r="JV26" s="40" t="str">
        <f>IF(SUM(JJ26,JN26)&gt;0,SUM(JJ26,JN26),"")</f>
        <v/>
      </c>
      <c r="JW26" s="40" t="str">
        <f>IF(SUM(JI26:JJ26,JL26:JN26,JP26)-SUM(JK26,JO26)&gt;0,SUM(JI26:JJ26,JL26:JN26,JP26)-SUM(JK26,JO26),"")</f>
        <v/>
      </c>
      <c r="JX26" s="40" t="str">
        <f>IF(SUM(JR26,JS26,JW26)&gt;0,SUM(JR26,JS26,JW26),"")</f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>IF(SUM(JZ26,KD26)&gt;0,SUM(JZ26,KD26),"")</f>
        <v/>
      </c>
      <c r="KT26" s="11" t="str">
        <f>IF(SUM(JY26:JZ26,KB26:KD26,KF26)-KA26-KE26&gt;0,SUM(JY26:JZ26,KB26:KD26,KF26)-KA26-KE26,"")</f>
        <v/>
      </c>
      <c r="KU26" s="11" t="str">
        <f>IF(SUM(KG26:KH26,KJ26)-KI26&gt;0,SUM(KG26:KH26,KJ26)-KI26,"")</f>
        <v/>
      </c>
      <c r="KV26" s="11" t="str">
        <f>IF(SUM(JZ26,KD26,KH26)&gt;0,SUM(JZ26,KD26,KH26),"")</f>
        <v/>
      </c>
      <c r="KW26" s="11" t="str">
        <f>IF(SUM(KT26,KU26)&gt;0,SUM(KT26,KU26),"")</f>
        <v/>
      </c>
      <c r="KX26" s="11" t="str">
        <f>IF(SUM(KL26,KP26)&gt;0,SUM(KL26,KP26),"")</f>
        <v/>
      </c>
      <c r="KY26" s="11" t="str">
        <f>IF(SUM(KK26:KL26,KN26:KP26,KR26)-SUM(KM26,KQ26)&gt;0,SUM(KK26:KL26,KN26:KP26,KR26)-SUM(KM26,KQ26),"")</f>
        <v/>
      </c>
      <c r="KZ26" s="11" t="str">
        <f>IF(SUM(KT26,KU26,KY26)&gt;0,SUM(KT26,KU26,KY26),"")</f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>IF(SUM(LB26,LF26)&gt;0,SUM(LB26,LF26),"")</f>
        <v/>
      </c>
      <c r="LV26" s="40" t="str">
        <f>IF(SUM(LA26:LB26,LD26:LF26,LH26)-LC26-LG26&gt;0,SUM(LA26:LB26,LD26:LF26,LH26)-LC26-LG26,"")</f>
        <v/>
      </c>
      <c r="LW26" s="40" t="str">
        <f>IF(SUM(LI26:LJ26,LL26)-LK26&gt;0,SUM(LI26:LJ26,LL26)-LK26,"")</f>
        <v/>
      </c>
      <c r="LX26" s="40" t="str">
        <f>IF(SUM(LB26,LF26,LJ26)&gt;0,SUM(LB26,LF26,LJ26),"")</f>
        <v/>
      </c>
      <c r="LY26" s="40" t="str">
        <f>IF(SUM(LV26,LW26)&gt;0,SUM(LV26,LW26),"")</f>
        <v/>
      </c>
      <c r="LZ26" s="40" t="str">
        <f>IF(SUM(LN26,LR26)&gt;0,SUM(LN26,LR26),"")</f>
        <v/>
      </c>
      <c r="MA26" s="40" t="str">
        <f>IF(SUM(LM26:LN26,LP26:LR26,LT26)-SUM(LO26,LS26)&gt;0,SUM(LM26:LN26,LP26:LR26,LT26)-SUM(LO26,LS26),"")</f>
        <v/>
      </c>
      <c r="MB26" s="40" t="str">
        <f>IF(SUM(LV26,LW26,MA26)&gt;0,SUM(LV26,LW26,MA26),"")</f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>IF(SUM(MD26,MH26)&gt;0,SUM(MD26,MH26),"")</f>
        <v/>
      </c>
      <c r="MX26" s="11" t="str">
        <f>IF(SUM(MC26:MD26,MF26:MH26,MJ26)-ME26-MI26&gt;0,SUM(MC26:MD26,MF26:MH26,MJ26)-ME26-MI26,"")</f>
        <v/>
      </c>
      <c r="MY26" s="11" t="str">
        <f>IF(SUM(MK26:ML26,MN26)-MM26&gt;0,SUM(MK26:ML26,MN26)-MM26,"")</f>
        <v/>
      </c>
      <c r="MZ26" s="11" t="str">
        <f>IF(SUM(MD26,MH26,ML26)&gt;0,SUM(MD26,MH26,ML26),"")</f>
        <v/>
      </c>
      <c r="NA26" s="11" t="str">
        <f>IF(SUM(MX26,MY26)&gt;0,SUM(MX26,MY26),"")</f>
        <v/>
      </c>
      <c r="NB26" s="11" t="str">
        <f>IF(SUM(MP26,MT26)&gt;0,SUM(MP26,MT26),"")</f>
        <v/>
      </c>
      <c r="NC26" s="11" t="str">
        <f>IF(SUM(MO26:MP26,MR26:MT26,MV26)-SUM(MQ26,MU26)&gt;0,SUM(MO26:MP26,MR26:MT26,MV26)-SUM(MQ26,MU26),"")</f>
        <v/>
      </c>
      <c r="ND26" s="11" t="str">
        <f>IF(SUM(MX26,MY26,NC26)&gt;0,SUM(MX26,MY26,NC26),"")</f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>IF(SUM(NF26,NJ26)&gt;0,SUM(NF26,NJ26),"")</f>
        <v/>
      </c>
      <c r="NZ26" s="40" t="str">
        <f>IF(SUM(NE26:NF26,NH26:NJ26,NL26)-NG26-NK26&gt;0,SUM(NE26:NF26,NH26:NJ26,NL26)-NG26-NK26,"")</f>
        <v/>
      </c>
      <c r="OA26" s="40" t="str">
        <f>IF(SUM(NM26:NN26,NP26)-NO26&gt;0,SUM(NM26:NN26,NP26)-NO26,"")</f>
        <v/>
      </c>
      <c r="OB26" s="40" t="str">
        <f>IF(SUM(NF26,NJ26,NN26)&gt;0,SUM(NF26,NJ26,NN26),"")</f>
        <v/>
      </c>
      <c r="OC26" s="40" t="str">
        <f>IF(SUM(NZ26,OA26)&gt;0,SUM(NZ26,OA26),"")</f>
        <v/>
      </c>
      <c r="OD26" s="40" t="str">
        <f>IF(SUM(NR26,NV26)&gt;0,SUM(NR26,NV26),"")</f>
        <v/>
      </c>
      <c r="OE26" s="40" t="str">
        <f>IF(SUM(NQ26:NR26,NT26:NV26,NX26)-SUM(NS26,NW26)&gt;0,SUM(NQ26:NR26,NT26:NV26,NX26)-SUM(NS26,NW26),"")</f>
        <v/>
      </c>
      <c r="OF26" s="40" t="str">
        <f>IF(SUM(NZ26,OA26,OE26)&gt;0,SUM(NZ26,OA26,OE26),"")</f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>IF(SUM(OH26,OL26)&gt;0,SUM(OH26,OL26),"")</f>
        <v/>
      </c>
      <c r="PB26" s="11" t="str">
        <f>IF(SUM(OG26:OH26,OJ26:OL26,ON26)-OI26-OM26&gt;0,SUM(OG26:OH26,OJ26:OL26,ON26)-OI26-OM26,"")</f>
        <v/>
      </c>
      <c r="PC26" s="11" t="str">
        <f>IF(SUM(OO26:OP26,OR26)-OQ26&gt;0,SUM(OO26:OP26,OR26)-OQ26,"")</f>
        <v/>
      </c>
      <c r="PD26" s="11" t="str">
        <f>IF(SUM(OH26,OL26,OP26)&gt;0,SUM(OH26,OL26,OP26),"")</f>
        <v/>
      </c>
      <c r="PE26" s="11" t="str">
        <f>IF(SUM(PB26,PC26)&gt;0,SUM(PB26,PC26),"")</f>
        <v/>
      </c>
      <c r="PF26" s="11" t="str">
        <f>IF(SUM(OT26,OX26)&gt;0,SUM(OT26,OX26),"")</f>
        <v/>
      </c>
      <c r="PG26" s="11" t="str">
        <f>IF(SUM(OS26:OT26,OV26:OX26,OZ26)-SUM(OU26,OY26)&gt;0,SUM(OS26:OT26,OV26:OX26,OZ26)-SUM(OU26,OY26),"")</f>
        <v/>
      </c>
      <c r="PH26" s="11" t="str">
        <f>IF(SUM(PB26,PC26,PG26)&gt;0,SUM(PB26,PC26,PG26),"")</f>
        <v/>
      </c>
      <c r="PI26" s="22">
        <f>IF($PY26="P",BM26,(BM26+AQ26)/2)</f>
        <v>15.3</v>
      </c>
      <c r="PJ26" s="22">
        <f>IF($PY26="P",BN26,(BN26+AR26)/2)</f>
        <v>2.4</v>
      </c>
      <c r="PK26" s="22">
        <f>IF($PY26="P",BO26,(BO26+AS26)/2)</f>
        <v>0</v>
      </c>
      <c r="PL26" s="22">
        <f>IF($PY26="P",BP26,(BP26+AT26)/2)</f>
        <v>0</v>
      </c>
      <c r="PM26" s="22">
        <f>IF($PY26="P",BQ26,(BQ26+AU26)/2)</f>
        <v>15.3</v>
      </c>
      <c r="PN26" s="22">
        <f>IF($PY26="P",BR26,(BR26+AV26)/2)</f>
        <v>2.8</v>
      </c>
      <c r="PO26" s="22">
        <f>IF($PY26="P",BS26,(BS26+AW26)/2)</f>
        <v>0</v>
      </c>
      <c r="PP26" s="22">
        <f>IF($PY26="P",BT26,(BT26+AX26)/2)</f>
        <v>0</v>
      </c>
      <c r="PQ26" s="22">
        <f>IF($PY26="P",BU26,(BU26+AY26)/2)</f>
        <v>0</v>
      </c>
      <c r="PR26" s="22">
        <f>IF($PY26="P",BV26,(BV26+AZ26)/2)</f>
        <v>0</v>
      </c>
      <c r="PS26" s="22">
        <f>IF($PY26="P",BW26,(BW26+BA26)/2)</f>
        <v>0</v>
      </c>
      <c r="PT26" s="22">
        <f>IF($PY26="P",BX26,(BX26+BB26)/2)</f>
        <v>0</v>
      </c>
      <c r="PU26" s="22">
        <f>IF($PY26="P",BY26,(BY26+BC26)/2)</f>
        <v>0</v>
      </c>
      <c r="PV26" s="22">
        <f>IF($PY26="P",BZ26,(BZ26+BD26)/2)</f>
        <v>0</v>
      </c>
      <c r="PW26" s="22">
        <f>IF($PY26="P",CA26,(CA26+BE26)/2)</f>
        <v>0</v>
      </c>
      <c r="PX26" s="22">
        <f>IF($PY26="P",CB26,(CB26+BF26)/2)</f>
        <v>0</v>
      </c>
      <c r="PY26" s="27" t="s">
        <v>46</v>
      </c>
      <c r="PZ26" s="40">
        <f>IF(SUM(PJ26,PN26)&gt;0,SUM(PJ26,PN26),"")</f>
        <v>5.1999999999999993</v>
      </c>
      <c r="QA26" s="40">
        <f>IF(SUM(PI26:PJ26,PL26:PN26,PP26)-PK26-PO26&gt;0,SUM(PI26:PJ26,PL26:PN26,PP26)-PK26-PO26,"")</f>
        <v>35.799999999999997</v>
      </c>
      <c r="QB26" s="40" t="str">
        <f>IF(SUM(PR26,PV26)&gt;0,SUM(PR26,PV26),"")</f>
        <v/>
      </c>
      <c r="QC26" s="40" t="str">
        <f>IF(SUM(PQ26:PR26,PT26:PV26,PX26)-SUM(PS26,PW26)&gt;0,SUM(PQ26:PR26,PT26:PV26,PX26)-SUM(PS26,PW26),"")</f>
        <v/>
      </c>
      <c r="QD26" s="40">
        <f>IF(SUM(QA26,QC26)&gt;0,SUM(QA26,QC26),"")</f>
        <v>35.799999999999997</v>
      </c>
    </row>
    <row r="27" spans="1:446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106</v>
      </c>
      <c r="D27" s="4" t="s">
        <v>31</v>
      </c>
      <c r="E27" s="4">
        <v>2006</v>
      </c>
      <c r="F27" s="9">
        <f>SUM(L27:R27)+SUM(L27:O27)*0.0000001+SUM(L27)*0.0000000000001</f>
        <v>76.700007670004354</v>
      </c>
      <c r="G27" s="64"/>
      <c r="H27" s="3" t="str">
        <f>IF(OR(AND(AL27&gt;=AP$36,AM27&gt;=AP$40,AL27&lt;&gt;"",AK27=""),AND(AN27&gt;=AP$36,AO27&gt;=AP$40,AN27&lt;&gt;"",AK27=""),AND(BH27&gt;=BL$36,BI27&gt;=BL$40,BH27&lt;&gt;"",BG27=""),AND(BJ27&gt;=BL$36,BK27&gt;=BL$40,BJ27&lt;&gt;"",BG27=""),AND(CD27&gt;=CH$36,CE27&gt;=CH$40,CD27&lt;&gt;"",CC27=""),AND(CF27&gt;=CH$36,CG27&gt;=CH$40,CF27&lt;&gt;""),AND(DE27&gt;=DL$36,DF27&gt;=DL$40,DE27&lt;&gt;""),AND(DJ27&gt;=DL$36,DK27&gt;=DL$40,DJ27&lt;&gt;""),AND(EG27&gt;=EN$36,EH27&gt;=EN$40,EG27&lt;&gt;""),AND(EL27&gt;=EN$36,EM27&gt;=EN$40,EL27&lt;&gt;""),AND(FI27&gt;=FP$36,FJ27&gt;=FP$40,FI27&lt;&gt;""),AND(FN27&gt;=FP$36,FO27&gt;=FP$40,FN27&lt;&gt;""),AND(GK27&gt;=GR$36,GL27&gt;=GR$40,GK27&lt;&gt;""),AND(GP27&gt;=GR$36,GQ27&gt;=GR$40,GP27&lt;&gt;""),AND(HM27&gt;=HT$36,HN27&gt;=HT$40,HM27&lt;&gt;""),AND(HR27&gt;=HT$36,HS27&gt;=HT$40,HR27&lt;&gt;""),AND(IO27&gt;=IV$36,IP27&gt;=IV$40,IO27&lt;&gt;""),AND(IT27&gt;=IV$36,IU27&gt;=IV$40,IT27&lt;&gt;""),AND(JQ27&gt;=JX$36,JR27&gt;=JX$40,JQ27&lt;&gt;""),AND(JV27&gt;=JX$36,JW27&gt;=JX$40,JV27&lt;&gt;""),AND(KS27&gt;=KZ$36,KT27&gt;=KZ$40,KS27&lt;&gt;""),AND(KX27&gt;=KZ$36,KY27&gt;=KZ$40,KX27&lt;&gt;""),AND(LU27&gt;=MB$36,LV27&gt;=MB$40,LU27&lt;&gt;""),AND(LZ27&gt;=MB$36,MA27&gt;=MB$40,LZ27&lt;&gt;""),AND(MW27&gt;=ND$36,MX27&gt;=ND$40,MW27&lt;&gt;""),AND(NB27&gt;=ND$36,NC27&gt;=ND$40,NB27&lt;&gt;""),AND(NY27&gt;=OF$36,NZ27&gt;=OF$40,NY27&lt;&gt;""),AND(OD27&gt;=OF$36,OE27&gt;=OF$40,OD27&lt;&gt;""),AND(PA27&gt;=PH$36,PB27&gt;=PH$40,PA27&lt;&gt;""),AND(PF27&gt;=PH$36,PG27&gt;=PH$40,PF27&lt;&gt;"")),"P","")</f>
        <v/>
      </c>
      <c r="I27" s="3" t="str">
        <f>IF(OR(AND(AM27&gt;=AP$40,AM27&lt;&gt;"",AK27=""),AND(AO27&gt;=AP$40,AO27&lt;&gt;"",AK27=""),AND(BI27&gt;=BL$40,BI27&lt;&gt;"",BG27=""),AND(BK27&gt;=BL$40,BK27&lt;&gt;"",BG27=""),AND(CE27&gt;=CH$40,CE27&lt;&gt;"",CC27=""),AND(CG27&gt;=CH$40,CG27&lt;&gt;"",CC27=""),AND(DF27&gt;=DL$40,DF27&lt;&gt;""),AND(DK27&gt;=DL$40,DK27&lt;&gt;""),AND(EH27&gt;=EN$40,EH27&lt;&gt;""),AND(EM27&gt;=EN$40,EM27&lt;&gt;""),AND(FJ27&gt;=FP$40,FJ27&lt;&gt;""),AND(FO27&gt;=FP$40,FO27&lt;&gt;""),AND(GL27&gt;=GR$40,GL27&lt;&gt;""),AND(GQ27&gt;=GR$40,GQ27&lt;&gt;""),AND(HN27&gt;=HT$40,HN27&lt;&gt;""),AND(HS27&gt;=HT$40,HS27&lt;&gt;""),AND(IP27&gt;=IV$40,IP27&lt;&gt;""),AND(IU27&gt;=IV$40,IU27&lt;&gt;""),AND(JR27&gt;=JX$40,JR27&lt;&gt;""),AND(JW27&gt;=JX$40,JW27&lt;&gt;""),AND(KT27&gt;=KZ$40,KT27&lt;&gt;""),AND(KY27&gt;=KZ$40,KY27&lt;&gt;""),AND(LV27&gt;=MB$40,LV27&lt;&gt;""),AND(MA27&gt;=MB$40,MA27&lt;&gt;""),AND(MX27&gt;=ND$40,MX27&lt;&gt;""),AND(NC27&gt;=ND$40,NC27&lt;&gt;""),AND(NZ27&gt;=OF$40,NZ27&lt;&gt;""),AND(OE27&gt;=OF$40,OE27&lt;&gt;""),AND(PB27&gt;=PH$40,PB27&lt;&gt;""),AND(PG27&gt;=PH$40,PG27&lt;&gt;"")),"P","")</f>
        <v/>
      </c>
      <c r="J27" s="36" t="str">
        <f>IF(AND(I27="P",H27=""),"No DD",IF(OR(AND(AL27&gt;=AP$26,AM27&gt;=AP$30,AL27&lt;&gt;"",AK27=""),AND(BH27&gt;=BL$26,BI27&gt;=BL$30,BH27&lt;&gt;"",BG27=""),AND(CD27&gt;=CH$26,CE27&gt;=CH$30,CD27&lt;&gt;"",CC27=""),AND(DH27&gt;=DL$26,DI27&gt;=DL$30,DH27&lt;&gt;""),AND(EJ27&gt;=EN$26,EK27&gt;=EN$30,EJ27&lt;&gt;""),AND(FL27&gt;=FP$26,FM27&gt;=FP$30,FL27&lt;&gt;""),AND(GN27&gt;=GR$26,GO27&gt;=GR$30,GN27&lt;&gt;""),AND(HP27&gt;=HT$26,HQ27&gt;=HT$30,HP27&lt;&gt;""),AND(IR27&gt;=IV$26,IS27&gt;=IV$30,IR27&lt;&gt;""),AND(JT27&gt;=JX$26,JU27&gt;=JX$30,JT27&lt;&gt;""),AND(KV27&gt;=KZ$26,KW27&gt;=KZ$30,KV27&lt;&gt;""),AND(LX27&gt;=MB$26,LY27&gt;=MB$30,LX27&lt;&gt;""),AND(MZ27&gt;=ND$26,NA27&gt;=ND$30,MZ27&lt;&gt;""),AND(OB27&gt;=OF$26,OC27&gt;=OF$30,OB27&lt;&gt;""),AND(PD27&gt;=PH$26,PE27&gt;=PH$30,PD27&lt;&gt;"")),"Merit",IF(OR(AND(AL27&gt;=AP$25,AM27&gt;=AP$29,AL27&lt;&gt;"",AK27=""),AND(BH27&gt;=BL$25,BI27&gt;=BL$29,BH27&lt;&gt;"",BG27=""),AND(CD27&gt;=CH$25,CE27&gt;=CH$29,CD27&lt;&gt;"",CC27=""),AND(DH27&gt;=DL$25,DI27&gt;=DL$29,DH27&lt;&gt;""),AND(EJ27&gt;=EN$25,EK27&gt;=EN$29,EJ27&lt;&gt;""),AND(FL27&gt;=FP$25,FM27&gt;=FP$29,FL27&lt;&gt;""),AND(GN27&gt;=GR$25,GO27&gt;=GR$29,GN27&lt;&gt;""),AND(HP27&gt;=HT$25,HQ27&gt;=HT$29,HP27&lt;&gt;""),AND(IR27&gt;=IV$25,IS27&gt;=IV$29,IR27&lt;&gt;""),AND(JT27&gt;=JX$25,JU27&gt;=JX$29,JT27&lt;&gt;""),AND(KV27&gt;=KZ$25,KW27&gt;=KZ$29,KV27&lt;&gt;""),AND(LX27&gt;=MB$25,LY27&gt;=MB$29,LX27&lt;&gt;""),AND(MZ27&gt;=ND$25,NA27&gt;=ND$29,MZ27&lt;&gt;""),AND(OB27&gt;=OF$25,OC27&gt;=OF$29,OB27&lt;&gt;""),AND(PD27&gt;=PH$25,PE27&gt;=PH$29,PD27&lt;&gt;"")),"Excellence",IF(K27="P","Worlds Team",IF(H27="P","National Team","")))))</f>
        <v/>
      </c>
      <c r="K27" s="3" t="str">
        <f>IF(OR(AND(AL27&gt;=AP$24,AM27&gt;=AP$28,AL27&lt;&gt;"",AK27=""),AND(BH27&gt;=BL$24,BI27&gt;=BL$28,BH27&lt;&gt;"",BG27=""),AND(CD27&gt;=CH$24,CE27&gt;=CH$28,CD27&lt;&gt;"",CC27=""),AND(DH27&gt;=DL$24,DI27&gt;=DL$28,DH27&lt;&gt;""),AND(EJ27&gt;=EN$24,EK27&gt;=EN$28,EJ27&lt;&gt;""),AND(FL27&gt;=FP$24,FM27&gt;=FP$28,FL27&lt;&gt;""),AND(GN27&gt;=GR$24,GO27&gt;=GR$28,GN27&lt;&gt;""),AND(HP27&gt;=HT$24,HQ27&gt;=HT$28,HP27&lt;&gt;""),AND(IR27&gt;=IV$24,IS27&gt;=IV$28,IR27&lt;&gt;""),AND(JT27&gt;=JX$24,JU27&gt;=JX$28,JT27&lt;&gt;""),AND(KV27&gt;=KZ$24,KW27&gt;=KZ$28,KV27&lt;&gt;""),AND(LX27&gt;=MB$24,LY27&gt;=MB$28,LX27&lt;&gt;""),AND(MZ27&gt;=ND$24,NA27&gt;=ND$28,MZ27&lt;&gt;""),AND(OB27&gt;=OF$24,OC27&gt;=OF$28,OB27&lt;&gt;""),AND(PD27&gt;=PH$24,PE27&gt;=PH$28,PD27&lt;&gt;"")),"P","")</f>
        <v/>
      </c>
      <c r="L27" s="8">
        <f>IF(COUNT(AM27,BI27,CE27)&gt;0,LARGE((AM27,BI27,CE27),1),0)</f>
        <v>43.599999999999994</v>
      </c>
      <c r="M27" s="8" t="str">
        <f>IF(L27=0,"",IF(L27=CE27,$BM$1,IF(L27=BI27,$AQ$1,IF(L27=AM27,$U$1,""))))</f>
        <v>2025 Nationals</v>
      </c>
      <c r="N27" s="8">
        <f>IF(COUNT(AM27,BI27,CE27)&gt;1,LARGE((AM27,BI27,CE27),2),0)</f>
        <v>33.1</v>
      </c>
      <c r="O27" s="8" t="str">
        <f>IF(N27=0,"",IF(AND(N27=L27,N27=AM27,N27=BI27),$U$1,IF(AND(N27=L27,N27=AM27,N27=CE27),$U$1,IF(AND(N27=L27,N27=BI27,N27=CE27),$AQ$1,IF(N27=CE27,$BM$1,IF(N27=BI27,$AQ$1,IF(N27=AM27,$U$1,"")))))))</f>
        <v>2025 Elite Canada</v>
      </c>
      <c r="P27" s="8">
        <f>IF(MAX(AO27,BK27,CG27)&gt;0,MAX(AO27,BK27,CG27),0)</f>
        <v>0</v>
      </c>
      <c r="Q27" s="8" t="str">
        <f>IF(P27=0,"",IF(P27=CG27,$BM$1,IF(P27=BK27,$AQ$1,IF(P27=AO27,$U$1,""))))</f>
        <v/>
      </c>
      <c r="R27" s="8" t="str">
        <f>IF(MAX(CI27:CJ27)&gt;0,MAX(CI27:CJ27),"")</f>
        <v/>
      </c>
      <c r="S27" s="11" t="str">
        <f>IF(R27="","",IF(R27=CI27,"("&amp;CI$2&amp;")",IF(R27=CJ27,"("&amp;CJ$2&amp;")")))</f>
        <v/>
      </c>
      <c r="T27" s="8" t="str">
        <f>IF(R27="","",IF(R27=CI27,IF(R27+IF(N27="",0,N27)=PB27,$OG$1,IF(R27+IF(N27="",0,N27)=NZ27,$NE$1,IF(R27+IF(N27="",0,N27)=MX27,$MC$1,IF(R27+IF(N27="",0,N27)=LV27,$LA$1,IF(R27+IF(N27="",0,N27)=KT27,$JY$1,IF(R27+IF(N27="",0,N27)=JR27,$IW$1,IF(R27+IF(N27="",0,N27)=IP27,$HU$1,IF(R27+IF(N27="",0,N27)=HN27,$GS$1,IF(R27+IF(N27="",0,N27)=GL27,$FQ$1,IF(R27+IF(N27="",0,N27)=FJ27,$EO$1,IF(R27+IF(N27="",0,N27)=EH27,$DM$1,IF(R27+IF(N27="",0,N27)=DF27,$CK$1)))))))))))),IF(R27=CJ27,IF(R27+IF(P27="",0,P27)=PG27,$OG$1,IF(R27+IF(P27="",0,P27)=OE27,$NE$1,IF(R27+IF(P27="",0,P27)=NC27,$MC$1,IF(R27+IF(P27="",0,P27)=MA27,$LA$1,IF(R27+IF(P27="",0,P27)=KY27,$JY$1,IF(R27+IF(P27="",0,P27)=JW27,$IW$1,IF(R27+IF(P27="",0,P27)=IU27,$HU$1,IF(R27+IF(P27="",0,P27)=HS27,$GS$1,IF(R27+IF(P27="",0,P27)=GQ27,$FQ$1,IF(R27+IF(P27="",0,P27)=FO27,$EO$1,IF(R27+IF(P27="",0,P27)=EM27,$DM$1,IF(R27+IF(P27="",0,P27)=DK27,$CK$1)))))))))))))))</f>
        <v/>
      </c>
      <c r="U27" s="19">
        <v>15.6</v>
      </c>
      <c r="V27" s="19">
        <v>1.2</v>
      </c>
      <c r="W27" s="19">
        <v>0</v>
      </c>
      <c r="X27" s="19">
        <v>0</v>
      </c>
      <c r="Y27" s="19">
        <v>15.4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27"/>
      <c r="AL27" s="40">
        <f>IF(SUM(V27,Z27)&gt;0,SUM(V27,Z27),"")</f>
        <v>2.1</v>
      </c>
      <c r="AM27" s="40">
        <f>IF(SUM(U27:V27,X27:Z27,AB27)-W27-AA27&gt;0,SUM(U27:V27,X27:Z27,AB27)-W27-AA27,"")</f>
        <v>33.1</v>
      </c>
      <c r="AN27" s="40" t="str">
        <f>IF(SUM(AD27,AH27)&gt;0,SUM(AD27,AH27),"")</f>
        <v/>
      </c>
      <c r="AO27" s="40" t="str">
        <f>IF(SUM(AC27:AD27,AF27:AH27,AJ27)-SUM(AE27,AI27)&gt;0,SUM(AC27:AD27,AF27:AH27,AJ27)-SUM(AE27,AI27),"")</f>
        <v/>
      </c>
      <c r="AP27" s="40">
        <f>IF(SUM(AM27,AO27)&gt;0,SUM(AM27,AO27),"")</f>
        <v>33.1</v>
      </c>
      <c r="AQ27" s="18">
        <v>18.600000000000001</v>
      </c>
      <c r="AR27" s="18">
        <v>3.6</v>
      </c>
      <c r="AS27" s="18">
        <v>0.2</v>
      </c>
      <c r="AT27" s="18">
        <v>0</v>
      </c>
      <c r="AU27" s="18">
        <v>18.3</v>
      </c>
      <c r="AV27" s="18">
        <v>3.9</v>
      </c>
      <c r="AW27" s="18">
        <v>0.6</v>
      </c>
      <c r="AX27" s="18">
        <v>0</v>
      </c>
      <c r="AY27" s="18"/>
      <c r="AZ27" s="18"/>
      <c r="BA27" s="18"/>
      <c r="BB27" s="18"/>
      <c r="BC27" s="18"/>
      <c r="BD27" s="18"/>
      <c r="BE27" s="18"/>
      <c r="BF27" s="18"/>
      <c r="BG27" s="28"/>
      <c r="BH27" s="11">
        <f>IF(SUM(AR27,AV27)&gt;0,SUM(AR27,AV27),"")</f>
        <v>7.5</v>
      </c>
      <c r="BI27" s="11">
        <f>IF(SUM(AQ27:AR27,AT27:AV27,AX27)-AS27-AW27&gt;0,SUM(AQ27:AR27,AT27:AV27,AX27)-AS27-AW27,"")</f>
        <v>43.599999999999994</v>
      </c>
      <c r="BJ27" s="11" t="str">
        <f>IF(SUM(AZ27,BD27)&gt;0,SUM(AZ27,BD27),"")</f>
        <v/>
      </c>
      <c r="BK27" s="11" t="str">
        <f>IF(SUM(AY27:AZ27,BB27:BD27,BF27)-SUM(BA27,BE27)&gt;0,SUM(AY27:AZ27,BB27:BD27,BF27)-SUM(BA27,BE27),"")</f>
        <v/>
      </c>
      <c r="BL27" s="11">
        <f>IF(SUM(BI27,BK27)&gt;0,SUM(BI27,BK27),"")</f>
        <v>43.599999999999994</v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>IF(SUM(BN27,BR27)&gt;0,SUM(BN27,BR27),"")</f>
        <v/>
      </c>
      <c r="CE27" s="40" t="str">
        <f>IF(SUM(BM27:BN27,BP27:BR27,BT27)-BO27-BS27&gt;0,SUM(BM27:BN27,BP27:BR27,BT27)-BO27-BS27,"")</f>
        <v/>
      </c>
      <c r="CF27" s="40" t="str">
        <f>IF(SUM(BV27,BZ27)&gt;0,SUM(BV27,BZ27),"")</f>
        <v/>
      </c>
      <c r="CG27" s="40" t="str">
        <f>IF(SUM(BU27:BV27,BX27:BZ27,CB27)-SUM(BW27,CA27)&gt;0,SUM(BU27:BV27,BX27:BZ27,CB27)-SUM(BW27,CA27),"")</f>
        <v/>
      </c>
      <c r="CH27" s="40" t="str">
        <f>IF(SUM(CE27,CG27)&gt;0,SUM(CE27,CG27),"")</f>
        <v/>
      </c>
      <c r="CI27" s="50" t="str">
        <f>IF(MAX(DF27,EH27,FJ27,GL27,HN27,IP27,JR27,KT27,LV27,MX27,NZ27,PB27)-IF(N27="",0,N27)&gt;0.001,MAX(DF27,EH27,FJ27,GL27,HN27,IP27,JR27,KT27,LV27,MX27,NZ27,PB27)-IF(N27="",0,N27),"")</f>
        <v/>
      </c>
      <c r="CJ27" s="50" t="str">
        <f>IF(MAX(DK27,EM27,FO27,GQ27,HS27,IU27,JW27,KY27,MA27,NC27,OE27,PG27)-IF(P27="",0,P27)&gt;0.001,MAX(DK27,EM27,FO27,GQ27,HS27,IU27,JW27,KY27,MA27,NC27,OE27,PG27)-IF(P27="",0,P27),"")</f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>IF(SUM(CL27,CP27)&gt;0,SUM(CL27,CP27),"")</f>
        <v/>
      </c>
      <c r="DF27" s="40" t="str">
        <f>IF(SUM(CK27:CL27,CN27:CP27,CR27)-CM27-CQ27&gt;0,SUM(CK27:CL27,CN27:CP27,CR27)-CM27-CQ27,"")</f>
        <v/>
      </c>
      <c r="DG27" s="40" t="str">
        <f>IF(SUM(CS27:CT27,CV27)-CU27&gt;0,SUM(CS27:CT27,CV27)-CU27,"")</f>
        <v/>
      </c>
      <c r="DH27" s="40" t="str">
        <f>IF(SUM(CL27,CP27,CT27)&gt;0,SUM(CL27,CP27,CT27),"")</f>
        <v/>
      </c>
      <c r="DI27" s="40" t="str">
        <f>IF(SUM(DF27,DG27)&gt;0,SUM(DF27,DG27),"")</f>
        <v/>
      </c>
      <c r="DJ27" s="40" t="str">
        <f>IF(SUM(CX27,DB27)&gt;0,SUM(CX27,DB27),"")</f>
        <v/>
      </c>
      <c r="DK27" s="40" t="str">
        <f>IF(SUM(CW27:CX27,CZ27:DB27,DD27)-SUM(CY27,DC27)&gt;0,SUM(CW27:CX27,CZ27:DB27,DD27)-SUM(CY27,DC27),"")</f>
        <v/>
      </c>
      <c r="DL27" s="40" t="str">
        <f>IF(SUM(DF27,DG27,DK27)&gt;0,SUM(DF27,DG27,DK27),"")</f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>IF(SUM(DN27,DR27)&gt;0,SUM(DN27,DR27),"")</f>
        <v/>
      </c>
      <c r="EH27" s="11" t="str">
        <f>IF(SUM(DM27:DN27,DP27:DR27,DT27)-DO27-DS27&gt;0,SUM(DM27:DN27,DP27:DR27,DT27)-DO27-DS27,"")</f>
        <v/>
      </c>
      <c r="EI27" s="11" t="str">
        <f>IF(SUM(DU27:DV27,DX27)-DW27&gt;0,SUM(DU27:DV27,DX27)-DW27,"")</f>
        <v/>
      </c>
      <c r="EJ27" s="11" t="str">
        <f>IF(SUM(DN27,DR27,DV27)&gt;0,SUM(DN27,DR27,DV27),"")</f>
        <v/>
      </c>
      <c r="EK27" s="11" t="str">
        <f>IF(SUM(EH27,EI27)&gt;0,SUM(EH27,EI27),"")</f>
        <v/>
      </c>
      <c r="EL27" s="11" t="str">
        <f>IF(SUM(DZ27,ED27)&gt;0,SUM(DZ27,ED27),"")</f>
        <v/>
      </c>
      <c r="EM27" s="11" t="str">
        <f>IF(SUM(DY27:DZ27,EB27:ED27,EF27)-SUM(EA27,EE27)&gt;0,SUM(DY27:DZ27,EB27:ED27,EF27)-SUM(EA27,EE27),"")</f>
        <v/>
      </c>
      <c r="EN27" s="11" t="str">
        <f>IF(SUM(EH27,EI27,EM27)&gt;0,SUM(EH27,EI27,EM27),"")</f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>IF(SUM(EP27,ET27)&gt;0,SUM(EP27,ET27),"")</f>
        <v/>
      </c>
      <c r="FJ27" s="40" t="str">
        <f>IF(SUM(EO27:EP27,ER27:ET27,EV27)-EQ27-EU27&gt;0,SUM(EO27:EP27,ER27:ET27,EV27)-EQ27-EU27,"")</f>
        <v/>
      </c>
      <c r="FK27" s="40" t="str">
        <f>IF(SUM(EW27:EX27,EZ27)-EY27&gt;0,SUM(EW27:EX27,EZ27)-EY27,"")</f>
        <v/>
      </c>
      <c r="FL27" s="40" t="str">
        <f>IF(SUM(EP27,ET27,EX27)&gt;0,SUM(EP27,ET27,EX27),"")</f>
        <v/>
      </c>
      <c r="FM27" s="40" t="str">
        <f>IF(SUM(FJ27,FK27)&gt;0,SUM(FJ27,FK27),"")</f>
        <v/>
      </c>
      <c r="FN27" s="40" t="str">
        <f>IF(SUM(FB27,FF27)&gt;0,SUM(FB27,FF27),"")</f>
        <v/>
      </c>
      <c r="FO27" s="40" t="str">
        <f>IF(SUM(FA27:FB27,FD27:FF27,FH27)-SUM(FC27,FG27)&gt;0,SUM(FA27:FB27,FD27:FF27,FH27)-SUM(FC27,FG27),"")</f>
        <v/>
      </c>
      <c r="FP27" s="40" t="str">
        <f>IF(SUM(FJ27,FK27,FO27)&gt;0,SUM(FJ27,FK27,FO27),"")</f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>IF(SUM(FR27,FV27)&gt;0,SUM(FR27,FV27),"")</f>
        <v/>
      </c>
      <c r="GL27" s="11" t="str">
        <f>IF(SUM(FQ27:FR27,FT27:FV27,FX27)-FS27-FW27&gt;0,SUM(FQ27:FR27,FT27:FV27,FX27)-FS27-FW27,"")</f>
        <v/>
      </c>
      <c r="GM27" s="11" t="str">
        <f>IF(SUM(FY27:FZ27,GB27)-GA27&gt;0,SUM(FY27:FZ27,GB27)-GA27,"")</f>
        <v/>
      </c>
      <c r="GN27" s="11" t="str">
        <f>IF(SUM(FR27,FV27,FZ27)&gt;0,SUM(FR27,FV27,FZ27),"")</f>
        <v/>
      </c>
      <c r="GO27" s="11" t="str">
        <f>IF(SUM(GL27,GM27)&gt;0,SUM(GL27,GM27),"")</f>
        <v/>
      </c>
      <c r="GP27" s="11" t="str">
        <f>IF(SUM(GD27,GH27)&gt;0,SUM(GD27,GH27),"")</f>
        <v/>
      </c>
      <c r="GQ27" s="11" t="str">
        <f>IF(SUM(GC27:GD27,GF27:GH27,GJ27)-SUM(GE27,GI27)&gt;0,SUM(GC27:GD27,GF27:GH27,GJ27)-SUM(GE27,GI27),"")</f>
        <v/>
      </c>
      <c r="GR27" s="11" t="str">
        <f>IF(SUM(GL27,GM27,GQ27)&gt;0,SUM(GL27,GM27,GQ27),"")</f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>IF(SUM(GT27,GX27)&gt;0,SUM(GT27,GX27),"")</f>
        <v/>
      </c>
      <c r="HN27" s="40" t="str">
        <f>IF(SUM(GS27:GT27,GV27:GX27,GZ27)-GU27-GY27&gt;0,SUM(GS27:GT27,GV27:GX27,GZ27)-GU27-GY27,"")</f>
        <v/>
      </c>
      <c r="HO27" s="40" t="str">
        <f>IF(SUM(HA27:HB27,HD27)-HC27&gt;0,SUM(HA27:HB27,HD27)-HC27,"")</f>
        <v/>
      </c>
      <c r="HP27" s="40" t="str">
        <f>IF(SUM(GT27,GX27,HB27)&gt;0,SUM(GT27,GX27,HB27),"")</f>
        <v/>
      </c>
      <c r="HQ27" s="40" t="str">
        <f>IF(SUM(HN27,HO27)&gt;0,SUM(HN27,HO27),"")</f>
        <v/>
      </c>
      <c r="HR27" s="40" t="str">
        <f>IF(SUM(HF27,HJ27)&gt;0,SUM(HF27,HJ27),"")</f>
        <v/>
      </c>
      <c r="HS27" s="40" t="str">
        <f>IF(SUM(HE27:HF27,HH27:HJ27,HL27)-SUM(HG27,HK27)&gt;0,SUM(HE27:HF27,HH27:HJ27,HL27)-SUM(HG27,HK27),"")</f>
        <v/>
      </c>
      <c r="HT27" s="40" t="str">
        <f>IF(SUM(HN27,HO27,HS27)&gt;0,SUM(HN27,HO27,HS27),"")</f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>IF(SUM(HV27,HZ27)&gt;0,SUM(HV27,HZ27),"")</f>
        <v/>
      </c>
      <c r="IP27" s="11" t="str">
        <f>IF(SUM(HU27:HV27,HX27:HZ27,IB27)-HW27-IA27&gt;0,SUM(HU27:HV27,HX27:HZ27,IB27)-HW27-IA27,"")</f>
        <v/>
      </c>
      <c r="IQ27" s="11" t="str">
        <f>IF(SUM(IC27:ID27,IF27)-IE27&gt;0,SUM(IC27:ID27,IF27)-IE27,"")</f>
        <v/>
      </c>
      <c r="IR27" s="11" t="str">
        <f>IF(SUM(HV27,HZ27,ID27)&gt;0,SUM(HV27,HZ27,ID27),"")</f>
        <v/>
      </c>
      <c r="IS27" s="11" t="str">
        <f>IF(SUM(IP27,IQ27)&gt;0,SUM(IP27,IQ27),"")</f>
        <v/>
      </c>
      <c r="IT27" s="11" t="str">
        <f>IF(SUM(IH27,IL27)&gt;0,SUM(IH27,IL27),"")</f>
        <v/>
      </c>
      <c r="IU27" s="11" t="str">
        <f>IF(SUM(IG27:IH27,IJ27:IL27,IN27)-SUM(II27,IM27)&gt;0,SUM(IG27:IH27,IJ27:IL27,IN27)-SUM(II27,IM27),"")</f>
        <v/>
      </c>
      <c r="IV27" s="11" t="str">
        <f>IF(SUM(IP27,IQ27,IU27)&gt;0,SUM(IP27,IQ27,IU27),"")</f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>IF(SUM(IX27,JB27)&gt;0,SUM(IX27,JB27),"")</f>
        <v/>
      </c>
      <c r="JR27" s="40" t="str">
        <f>IF(SUM(IW27:IX27,IZ27:JB27,JD27)-IY27-JC27&gt;0,SUM(IW27:IX27,IZ27:JB27,JD27)-IY27-JC27,"")</f>
        <v/>
      </c>
      <c r="JS27" s="40" t="str">
        <f>IF(SUM(JE27:JF27,JH27)-JG27&gt;0,SUM(JE27:JF27,JH27)-JG27,"")</f>
        <v/>
      </c>
      <c r="JT27" s="40" t="str">
        <f>IF(SUM(IX27,JB27,JF27)&gt;0,SUM(IX27,JB27,JF27),"")</f>
        <v/>
      </c>
      <c r="JU27" s="40" t="str">
        <f>IF(SUM(JR27,JS27)&gt;0,SUM(JR27,JS27),"")</f>
        <v/>
      </c>
      <c r="JV27" s="40" t="str">
        <f>IF(SUM(JJ27,JN27)&gt;0,SUM(JJ27,JN27),"")</f>
        <v/>
      </c>
      <c r="JW27" s="40" t="str">
        <f>IF(SUM(JI27:JJ27,JL27:JN27,JP27)-SUM(JK27,JO27)&gt;0,SUM(JI27:JJ27,JL27:JN27,JP27)-SUM(JK27,JO27),"")</f>
        <v/>
      </c>
      <c r="JX27" s="40" t="str">
        <f>IF(SUM(JR27,JS27,JW27)&gt;0,SUM(JR27,JS27,JW27),"")</f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>IF(SUM(JZ27,KD27)&gt;0,SUM(JZ27,KD27),"")</f>
        <v/>
      </c>
      <c r="KT27" s="11" t="str">
        <f>IF(SUM(JY27:JZ27,KB27:KD27,KF27)-KA27-KE27&gt;0,SUM(JY27:JZ27,KB27:KD27,KF27)-KA27-KE27,"")</f>
        <v/>
      </c>
      <c r="KU27" s="11" t="str">
        <f>IF(SUM(KG27:KH27,KJ27)-KI27&gt;0,SUM(KG27:KH27,KJ27)-KI27,"")</f>
        <v/>
      </c>
      <c r="KV27" s="11" t="str">
        <f>IF(SUM(JZ27,KD27,KH27)&gt;0,SUM(JZ27,KD27,KH27),"")</f>
        <v/>
      </c>
      <c r="KW27" s="11" t="str">
        <f>IF(SUM(KT27,KU27)&gt;0,SUM(KT27,KU27),"")</f>
        <v/>
      </c>
      <c r="KX27" s="11" t="str">
        <f>IF(SUM(KL27,KP27)&gt;0,SUM(KL27,KP27),"")</f>
        <v/>
      </c>
      <c r="KY27" s="11" t="str">
        <f>IF(SUM(KK27:KL27,KN27:KP27,KR27)-SUM(KM27,KQ27)&gt;0,SUM(KK27:KL27,KN27:KP27,KR27)-SUM(KM27,KQ27),"")</f>
        <v/>
      </c>
      <c r="KZ27" s="11" t="str">
        <f>IF(SUM(KT27,KU27,KY27)&gt;0,SUM(KT27,KU27,KY27),"")</f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>IF(SUM(LB27,LF27)&gt;0,SUM(LB27,LF27),"")</f>
        <v/>
      </c>
      <c r="LV27" s="40" t="str">
        <f>IF(SUM(LA27:LB27,LD27:LF27,LH27)-LC27-LG27&gt;0,SUM(LA27:LB27,LD27:LF27,LH27)-LC27-LG27,"")</f>
        <v/>
      </c>
      <c r="LW27" s="40" t="str">
        <f>IF(SUM(LI27:LJ27,LL27)-LK27&gt;0,SUM(LI27:LJ27,LL27)-LK27,"")</f>
        <v/>
      </c>
      <c r="LX27" s="40" t="str">
        <f>IF(SUM(LB27,LF27,LJ27)&gt;0,SUM(LB27,LF27,LJ27),"")</f>
        <v/>
      </c>
      <c r="LY27" s="40" t="str">
        <f>IF(SUM(LV27,LW27)&gt;0,SUM(LV27,LW27),"")</f>
        <v/>
      </c>
      <c r="LZ27" s="40" t="str">
        <f>IF(SUM(LN27,LR27)&gt;0,SUM(LN27,LR27),"")</f>
        <v/>
      </c>
      <c r="MA27" s="40" t="str">
        <f>IF(SUM(LM27:LN27,LP27:LR27,LT27)-SUM(LO27,LS27)&gt;0,SUM(LM27:LN27,LP27:LR27,LT27)-SUM(LO27,LS27),"")</f>
        <v/>
      </c>
      <c r="MB27" s="40" t="str">
        <f>IF(SUM(LV27,LW27,MA27)&gt;0,SUM(LV27,LW27,MA27),"")</f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>IF(SUM(MD27,MH27)&gt;0,SUM(MD27,MH27),"")</f>
        <v/>
      </c>
      <c r="MX27" s="11" t="str">
        <f>IF(SUM(MC27:MD27,MF27:MH27,MJ27)-ME27-MI27&gt;0,SUM(MC27:MD27,MF27:MH27,MJ27)-ME27-MI27,"")</f>
        <v/>
      </c>
      <c r="MY27" s="11" t="str">
        <f>IF(SUM(MK27:ML27,MN27)-MM27&gt;0,SUM(MK27:ML27,MN27)-MM27,"")</f>
        <v/>
      </c>
      <c r="MZ27" s="11" t="str">
        <f>IF(SUM(MD27,MH27,ML27)&gt;0,SUM(MD27,MH27,ML27),"")</f>
        <v/>
      </c>
      <c r="NA27" s="11" t="str">
        <f>IF(SUM(MX27,MY27)&gt;0,SUM(MX27,MY27),"")</f>
        <v/>
      </c>
      <c r="NB27" s="11" t="str">
        <f>IF(SUM(MP27,MT27)&gt;0,SUM(MP27,MT27),"")</f>
        <v/>
      </c>
      <c r="NC27" s="11" t="str">
        <f>IF(SUM(MO27:MP27,MR27:MT27,MV27)-SUM(MQ27,MU27)&gt;0,SUM(MO27:MP27,MR27:MT27,MV27)-SUM(MQ27,MU27),"")</f>
        <v/>
      </c>
      <c r="ND27" s="11" t="str">
        <f>IF(SUM(MX27,MY27,NC27)&gt;0,SUM(MX27,MY27,NC27),"")</f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>IF(SUM(NF27,NJ27)&gt;0,SUM(NF27,NJ27),"")</f>
        <v/>
      </c>
      <c r="NZ27" s="40" t="str">
        <f>IF(SUM(NE27:NF27,NH27:NJ27,NL27)-NG27-NK27&gt;0,SUM(NE27:NF27,NH27:NJ27,NL27)-NG27-NK27,"")</f>
        <v/>
      </c>
      <c r="OA27" s="40" t="str">
        <f>IF(SUM(NM27:NN27,NP27)-NO27&gt;0,SUM(NM27:NN27,NP27)-NO27,"")</f>
        <v/>
      </c>
      <c r="OB27" s="40" t="str">
        <f>IF(SUM(NF27,NJ27,NN27)&gt;0,SUM(NF27,NJ27,NN27),"")</f>
        <v/>
      </c>
      <c r="OC27" s="40" t="str">
        <f>IF(SUM(NZ27,OA27)&gt;0,SUM(NZ27,OA27),"")</f>
        <v/>
      </c>
      <c r="OD27" s="40" t="str">
        <f>IF(SUM(NR27,NV27)&gt;0,SUM(NR27,NV27),"")</f>
        <v/>
      </c>
      <c r="OE27" s="40" t="str">
        <f>IF(SUM(NQ27:NR27,NT27:NV27,NX27)-SUM(NS27,NW27)&gt;0,SUM(NQ27:NR27,NT27:NV27,NX27)-SUM(NS27,NW27),"")</f>
        <v/>
      </c>
      <c r="OF27" s="40" t="str">
        <f>IF(SUM(NZ27,OA27,OE27)&gt;0,SUM(NZ27,OA27,OE27),"")</f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>IF(SUM(OH27,OL27)&gt;0,SUM(OH27,OL27),"")</f>
        <v/>
      </c>
      <c r="PB27" s="11" t="str">
        <f>IF(SUM(OG27:OH27,OJ27:OL27,ON27)-OI27-OM27&gt;0,SUM(OG27:OH27,OJ27:OL27,ON27)-OI27-OM27,"")</f>
        <v/>
      </c>
      <c r="PC27" s="11" t="str">
        <f>IF(SUM(OO27:OP27,OR27)-OQ27&gt;0,SUM(OO27:OP27,OR27)-OQ27,"")</f>
        <v/>
      </c>
      <c r="PD27" s="11" t="str">
        <f>IF(SUM(OH27,OL27,OP27)&gt;0,SUM(OH27,OL27,OP27),"")</f>
        <v/>
      </c>
      <c r="PE27" s="11" t="str">
        <f>IF(SUM(PB27,PC27)&gt;0,SUM(PB27,PC27),"")</f>
        <v/>
      </c>
      <c r="PF27" s="11" t="str">
        <f>IF(SUM(OT27,OX27)&gt;0,SUM(OT27,OX27),"")</f>
        <v/>
      </c>
      <c r="PG27" s="11" t="str">
        <f>IF(SUM(OS27:OT27,OV27:OX27,OZ27)-SUM(OU27,OY27)&gt;0,SUM(OS27:OT27,OV27:OX27,OZ27)-SUM(OU27,OY27),"")</f>
        <v/>
      </c>
      <c r="PH27" s="11" t="str">
        <f>IF(SUM(PB27,PC27,PG27)&gt;0,SUM(PB27,PC27,PG27),"")</f>
        <v/>
      </c>
      <c r="PI27" s="22">
        <f>IF($PY27="P",BM27,(BM27+AQ27)/2)</f>
        <v>0</v>
      </c>
      <c r="PJ27" s="22">
        <f>IF($PY27="P",BN27,(BN27+AR27)/2)</f>
        <v>0</v>
      </c>
      <c r="PK27" s="22">
        <f>IF($PY27="P",BO27,(BO27+AS27)/2)</f>
        <v>0</v>
      </c>
      <c r="PL27" s="22">
        <f>IF($PY27="P",BP27,(BP27+AT27)/2)</f>
        <v>0</v>
      </c>
      <c r="PM27" s="22">
        <f>IF($PY27="P",BQ27,(BQ27+AU27)/2)</f>
        <v>0</v>
      </c>
      <c r="PN27" s="22">
        <f>IF($PY27="P",BR27,(BR27+AV27)/2)</f>
        <v>0</v>
      </c>
      <c r="PO27" s="22">
        <f>IF($PY27="P",BS27,(BS27+AW27)/2)</f>
        <v>0</v>
      </c>
      <c r="PP27" s="22">
        <f>IF($PY27="P",BT27,(BT27+AX27)/2)</f>
        <v>0</v>
      </c>
      <c r="PQ27" s="22">
        <f>IF($PY27="P",BU27,(BU27+AY27)/2)</f>
        <v>0</v>
      </c>
      <c r="PR27" s="22">
        <f>IF($PY27="P",BV27,(BV27+AZ27)/2)</f>
        <v>0</v>
      </c>
      <c r="PS27" s="22">
        <f>IF($PY27="P",BW27,(BW27+BA27)/2)</f>
        <v>0</v>
      </c>
      <c r="PT27" s="22">
        <f>IF($PY27="P",BX27,(BX27+BB27)/2)</f>
        <v>0</v>
      </c>
      <c r="PU27" s="22">
        <f>IF($PY27="P",BY27,(BY27+BC27)/2)</f>
        <v>0</v>
      </c>
      <c r="PV27" s="22">
        <f>IF($PY27="P",BZ27,(BZ27+BD27)/2)</f>
        <v>0</v>
      </c>
      <c r="PW27" s="22">
        <f>IF($PY27="P",CA27,(CA27+BE27)/2)</f>
        <v>0</v>
      </c>
      <c r="PX27" s="22">
        <f>IF($PY27="P",CB27,(CB27+BF27)/2)</f>
        <v>0</v>
      </c>
      <c r="PY27" s="27" t="s">
        <v>46</v>
      </c>
      <c r="PZ27" s="40" t="str">
        <f>IF(SUM(PJ27,PN27)&gt;0,SUM(PJ27,PN27),"")</f>
        <v/>
      </c>
      <c r="QA27" s="40" t="str">
        <f>IF(SUM(PI27:PJ27,PL27:PN27,PP27)-PK27-PO27&gt;0,SUM(PI27:PJ27,PL27:PN27,PP27)-PK27-PO27,"")</f>
        <v/>
      </c>
      <c r="QB27" s="40" t="str">
        <f>IF(SUM(PR27,PV27)&gt;0,SUM(PR27,PV27),"")</f>
        <v/>
      </c>
      <c r="QC27" s="40" t="str">
        <f>IF(SUM(PQ27:PR27,PT27:PV27,PX27)-SUM(PS27,PW27)&gt;0,SUM(PQ27:PR27,PT27:PV27,PX27)-SUM(PS27,PW27),"")</f>
        <v/>
      </c>
      <c r="QD27" s="40" t="str">
        <f>IF(SUM(QA27,QC27)&gt;0,SUM(QA27,QC27),"")</f>
        <v/>
      </c>
    </row>
    <row r="28" spans="1:446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151</v>
      </c>
      <c r="D28" s="4" t="s">
        <v>31</v>
      </c>
      <c r="E28" s="4">
        <v>2005</v>
      </c>
      <c r="F28" s="9">
        <f>SUM(L28:R28)+SUM(L28:O28)*0.0000001+SUM(L28)*0.0000000000001</f>
        <v>66.900006690003423</v>
      </c>
      <c r="G28" s="64"/>
      <c r="H28" s="3" t="str">
        <f>IF(OR(AND(AL28&gt;=AP$36,AM28&gt;=AP$40,AL28&lt;&gt;"",AK28=""),AND(AN28&gt;=AP$36,AO28&gt;=AP$40,AN28&lt;&gt;"",AK28=""),AND(BH28&gt;=BL$36,BI28&gt;=BL$40,BH28&lt;&gt;"",BG28=""),AND(BJ28&gt;=BL$36,BK28&gt;=BL$40,BJ28&lt;&gt;"",BG28=""),AND(CD28&gt;=CH$36,CE28&gt;=CH$40,CD28&lt;&gt;"",CC28=""),AND(CF28&gt;=CH$36,CG28&gt;=CH$40,CF28&lt;&gt;""),AND(DE28&gt;=DL$36,DF28&gt;=DL$40,DE28&lt;&gt;""),AND(DJ28&gt;=DL$36,DK28&gt;=DL$40,DJ28&lt;&gt;""),AND(EG28&gt;=EN$36,EH28&gt;=EN$40,EG28&lt;&gt;""),AND(EL28&gt;=EN$36,EM28&gt;=EN$40,EL28&lt;&gt;""),AND(FI28&gt;=FP$36,FJ28&gt;=FP$40,FI28&lt;&gt;""),AND(FN28&gt;=FP$36,FO28&gt;=FP$40,FN28&lt;&gt;""),AND(GK28&gt;=GR$36,GL28&gt;=GR$40,GK28&lt;&gt;""),AND(GP28&gt;=GR$36,GQ28&gt;=GR$40,GP28&lt;&gt;""),AND(HM28&gt;=HT$36,HN28&gt;=HT$40,HM28&lt;&gt;""),AND(HR28&gt;=HT$36,HS28&gt;=HT$40,HR28&lt;&gt;""),AND(IO28&gt;=IV$36,IP28&gt;=IV$40,IO28&lt;&gt;""),AND(IT28&gt;=IV$36,IU28&gt;=IV$40,IT28&lt;&gt;""),AND(JQ28&gt;=JX$36,JR28&gt;=JX$40,JQ28&lt;&gt;""),AND(JV28&gt;=JX$36,JW28&gt;=JX$40,JV28&lt;&gt;""),AND(KS28&gt;=KZ$36,KT28&gt;=KZ$40,KS28&lt;&gt;""),AND(KX28&gt;=KZ$36,KY28&gt;=KZ$40,KX28&lt;&gt;""),AND(LU28&gt;=MB$36,LV28&gt;=MB$40,LU28&lt;&gt;""),AND(LZ28&gt;=MB$36,MA28&gt;=MB$40,LZ28&lt;&gt;""),AND(MW28&gt;=ND$36,MX28&gt;=ND$40,MW28&lt;&gt;""),AND(NB28&gt;=ND$36,NC28&gt;=ND$40,NB28&lt;&gt;""),AND(NY28&gt;=OF$36,NZ28&gt;=OF$40,NY28&lt;&gt;""),AND(OD28&gt;=OF$36,OE28&gt;=OF$40,OD28&lt;&gt;""),AND(PA28&gt;=PH$36,PB28&gt;=PH$40,PA28&lt;&gt;""),AND(PF28&gt;=PH$36,PG28&gt;=PH$40,PF28&lt;&gt;"")),"P","")</f>
        <v/>
      </c>
      <c r="I28" s="3" t="str">
        <f>IF(OR(AND(AM28&gt;=AP$40,AM28&lt;&gt;"",AK28=""),AND(AO28&gt;=AP$40,AO28&lt;&gt;"",AK28=""),AND(BI28&gt;=BL$40,BI28&lt;&gt;"",BG28=""),AND(BK28&gt;=BL$40,BK28&lt;&gt;"",BG28=""),AND(CE28&gt;=CH$40,CE28&lt;&gt;"",CC28=""),AND(CG28&gt;=CH$40,CG28&lt;&gt;"",CC28=""),AND(DF28&gt;=DL$40,DF28&lt;&gt;""),AND(DK28&gt;=DL$40,DK28&lt;&gt;""),AND(EH28&gt;=EN$40,EH28&lt;&gt;""),AND(EM28&gt;=EN$40,EM28&lt;&gt;""),AND(FJ28&gt;=FP$40,FJ28&lt;&gt;""),AND(FO28&gt;=FP$40,FO28&lt;&gt;""),AND(GL28&gt;=GR$40,GL28&lt;&gt;""),AND(GQ28&gt;=GR$40,GQ28&lt;&gt;""),AND(HN28&gt;=HT$40,HN28&lt;&gt;""),AND(HS28&gt;=HT$40,HS28&lt;&gt;""),AND(IP28&gt;=IV$40,IP28&lt;&gt;""),AND(IU28&gt;=IV$40,IU28&lt;&gt;""),AND(JR28&gt;=JX$40,JR28&lt;&gt;""),AND(JW28&gt;=JX$40,JW28&lt;&gt;""),AND(KT28&gt;=KZ$40,KT28&lt;&gt;""),AND(KY28&gt;=KZ$40,KY28&lt;&gt;""),AND(LV28&gt;=MB$40,LV28&lt;&gt;""),AND(MA28&gt;=MB$40,MA28&lt;&gt;""),AND(MX28&gt;=ND$40,MX28&lt;&gt;""),AND(NC28&gt;=ND$40,NC28&lt;&gt;""),AND(NZ28&gt;=OF$40,NZ28&lt;&gt;""),AND(OE28&gt;=OF$40,OE28&lt;&gt;""),AND(PB28&gt;=PH$40,PB28&lt;&gt;""),AND(PG28&gt;=PH$40,PG28&lt;&gt;"")),"P","")</f>
        <v/>
      </c>
      <c r="J28" s="36" t="str">
        <f>IF(AND(I28="P",H28=""),"No DD",IF(OR(AND(AL28&gt;=AP$26,AM28&gt;=AP$30,AL28&lt;&gt;"",AK28=""),AND(BH28&gt;=BL$26,BI28&gt;=BL$30,BH28&lt;&gt;"",BG28=""),AND(CD28&gt;=CH$26,CE28&gt;=CH$30,CD28&lt;&gt;"",CC28=""),AND(DH28&gt;=DL$26,DI28&gt;=DL$30,DH28&lt;&gt;""),AND(EJ28&gt;=EN$26,EK28&gt;=EN$30,EJ28&lt;&gt;""),AND(FL28&gt;=FP$26,FM28&gt;=FP$30,FL28&lt;&gt;""),AND(GN28&gt;=GR$26,GO28&gt;=GR$30,GN28&lt;&gt;""),AND(HP28&gt;=HT$26,HQ28&gt;=HT$30,HP28&lt;&gt;""),AND(IR28&gt;=IV$26,IS28&gt;=IV$30,IR28&lt;&gt;""),AND(JT28&gt;=JX$26,JU28&gt;=JX$30,JT28&lt;&gt;""),AND(KV28&gt;=KZ$26,KW28&gt;=KZ$30,KV28&lt;&gt;""),AND(LX28&gt;=MB$26,LY28&gt;=MB$30,LX28&lt;&gt;""),AND(MZ28&gt;=ND$26,NA28&gt;=ND$30,MZ28&lt;&gt;""),AND(OB28&gt;=OF$26,OC28&gt;=OF$30,OB28&lt;&gt;""),AND(PD28&gt;=PH$26,PE28&gt;=PH$30,PD28&lt;&gt;"")),"Merit",IF(OR(AND(AL28&gt;=AP$25,AM28&gt;=AP$29,AL28&lt;&gt;"",AK28=""),AND(BH28&gt;=BL$25,BI28&gt;=BL$29,BH28&lt;&gt;"",BG28=""),AND(CD28&gt;=CH$25,CE28&gt;=CH$29,CD28&lt;&gt;"",CC28=""),AND(DH28&gt;=DL$25,DI28&gt;=DL$29,DH28&lt;&gt;""),AND(EJ28&gt;=EN$25,EK28&gt;=EN$29,EJ28&lt;&gt;""),AND(FL28&gt;=FP$25,FM28&gt;=FP$29,FL28&lt;&gt;""),AND(GN28&gt;=GR$25,GO28&gt;=GR$29,GN28&lt;&gt;""),AND(HP28&gt;=HT$25,HQ28&gt;=HT$29,HP28&lt;&gt;""),AND(IR28&gt;=IV$25,IS28&gt;=IV$29,IR28&lt;&gt;""),AND(JT28&gt;=JX$25,JU28&gt;=JX$29,JT28&lt;&gt;""),AND(KV28&gt;=KZ$25,KW28&gt;=KZ$29,KV28&lt;&gt;""),AND(LX28&gt;=MB$25,LY28&gt;=MB$29,LX28&lt;&gt;""),AND(MZ28&gt;=ND$25,NA28&gt;=ND$29,MZ28&lt;&gt;""),AND(OB28&gt;=OF$25,OC28&gt;=OF$29,OB28&lt;&gt;""),AND(PD28&gt;=PH$25,PE28&gt;=PH$29,PD28&lt;&gt;"")),"Excellence",IF(K28="P","Worlds Team",IF(H28="P","National Team","")))))</f>
        <v/>
      </c>
      <c r="K28" s="3" t="str">
        <f>IF(OR(AND(AL28&gt;=AP$24,AM28&gt;=AP$28,AL28&lt;&gt;"",AK28=""),AND(BH28&gt;=BL$24,BI28&gt;=BL$28,BH28&lt;&gt;"",BG28=""),AND(CD28&gt;=CH$24,CE28&gt;=CH$28,CD28&lt;&gt;"",CC28=""),AND(DH28&gt;=DL$24,DI28&gt;=DL$28,DH28&lt;&gt;""),AND(EJ28&gt;=EN$24,EK28&gt;=EN$28,EJ28&lt;&gt;""),AND(FL28&gt;=FP$24,FM28&gt;=FP$28,FL28&lt;&gt;""),AND(GN28&gt;=GR$24,GO28&gt;=GR$28,GN28&lt;&gt;""),AND(HP28&gt;=HT$24,HQ28&gt;=HT$28,HP28&lt;&gt;""),AND(IR28&gt;=IV$24,IS28&gt;=IV$28,IR28&lt;&gt;""),AND(JT28&gt;=JX$24,JU28&gt;=JX$28,JT28&lt;&gt;""),AND(KV28&gt;=KZ$24,KW28&gt;=KZ$28,KV28&lt;&gt;""),AND(LX28&gt;=MB$24,LY28&gt;=MB$28,LX28&lt;&gt;""),AND(MZ28&gt;=ND$24,NA28&gt;=ND$28,MZ28&lt;&gt;""),AND(OB28&gt;=OF$24,OC28&gt;=OF$28,OB28&lt;&gt;""),AND(PD28&gt;=PH$24,PE28&gt;=PH$28,PD28&lt;&gt;"")),"P","")</f>
        <v/>
      </c>
      <c r="L28" s="8">
        <f>IF(COUNT(AM28,BI28,CE28)&gt;0,LARGE((AM28,BI28,CE28),1),0)</f>
        <v>34.1</v>
      </c>
      <c r="M28" s="8" t="str">
        <f>IF(L28=0,"",IF(L28=CE28,$BM$1,IF(L28=BI28,$AQ$1,IF(L28=AM28,$U$1,""))))</f>
        <v>2025 Nationals</v>
      </c>
      <c r="N28" s="8">
        <f>IF(COUNT(AM28,BI28,CE28)&gt;1,LARGE((AM28,BI28,CE28),2),0)</f>
        <v>32.800000000000004</v>
      </c>
      <c r="O28" s="8" t="str">
        <f>IF(N28=0,"",IF(AND(N28=L28,N28=AM28,N28=BI28),$U$1,IF(AND(N28=L28,N28=AM28,N28=CE28),$U$1,IF(AND(N28=L28,N28=BI28,N28=CE28),$AQ$1,IF(N28=CE28,$BM$1,IF(N28=BI28,$AQ$1,IF(N28=AM28,$U$1,"")))))))</f>
        <v>2025 Elite Canada</v>
      </c>
      <c r="P28" s="8">
        <f>IF(MAX(AO28,BK28,CG28)&gt;0,MAX(AO28,BK28,CG28),0)</f>
        <v>0</v>
      </c>
      <c r="Q28" s="8" t="str">
        <f>IF(P28=0,"",IF(P28=CG28,$BM$1,IF(P28=BK28,$AQ$1,IF(P28=AO28,$U$1,""))))</f>
        <v/>
      </c>
      <c r="R28" s="8" t="str">
        <f>IF(MAX(CI28:CJ28)&gt;0,MAX(CI28:CJ28),"")</f>
        <v/>
      </c>
      <c r="S28" s="11" t="str">
        <f>IF(R28="","",IF(R28=CI28,"("&amp;CI$2&amp;")",IF(R28=CJ28,"("&amp;CJ$2&amp;")")))</f>
        <v/>
      </c>
      <c r="T28" s="8" t="str">
        <f>IF(R28="","",IF(R28=CI28,IF(R28+IF(N28="",0,N28)=PB28,$OG$1,IF(R28+IF(N28="",0,N28)=NZ28,$NE$1,IF(R28+IF(N28="",0,N28)=MX28,$MC$1,IF(R28+IF(N28="",0,N28)=LV28,$LA$1,IF(R28+IF(N28="",0,N28)=KT28,$JY$1,IF(R28+IF(N28="",0,N28)=JR28,$IW$1,IF(R28+IF(N28="",0,N28)=IP28,$HU$1,IF(R28+IF(N28="",0,N28)=HN28,$GS$1,IF(R28+IF(N28="",0,N28)=GL28,$FQ$1,IF(R28+IF(N28="",0,N28)=FJ28,$EO$1,IF(R28+IF(N28="",0,N28)=EH28,$DM$1,IF(R28+IF(N28="",0,N28)=DF28,$CK$1)))))))))))),IF(R28=CJ28,IF(R28+IF(P28="",0,P28)=PG28,$OG$1,IF(R28+IF(P28="",0,P28)=OE28,$NE$1,IF(R28+IF(P28="",0,P28)=NC28,$MC$1,IF(R28+IF(P28="",0,P28)=MA28,$LA$1,IF(R28+IF(P28="",0,P28)=KY28,$JY$1,IF(R28+IF(P28="",0,P28)=JW28,$IW$1,IF(R28+IF(P28="",0,P28)=IU28,$HU$1,IF(R28+IF(P28="",0,P28)=HS28,$GS$1,IF(R28+IF(P28="",0,P28)=GQ28,$FQ$1,IF(R28+IF(P28="",0,P28)=FO28,$EO$1,IF(R28+IF(P28="",0,P28)=EM28,$DM$1,IF(R28+IF(P28="",0,P28)=DK28,$CK$1)))))))))))))))</f>
        <v/>
      </c>
      <c r="U28" s="19">
        <v>15.6</v>
      </c>
      <c r="V28" s="19">
        <v>1.2</v>
      </c>
      <c r="W28" s="19">
        <v>0</v>
      </c>
      <c r="X28" s="19">
        <v>0</v>
      </c>
      <c r="Y28" s="19">
        <v>15.3</v>
      </c>
      <c r="Z28" s="19">
        <v>0.7</v>
      </c>
      <c r="AA28" s="19">
        <v>0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27"/>
      <c r="AL28" s="40">
        <f>IF(SUM(V28,Z28)&gt;0,SUM(V28,Z28),"")</f>
        <v>1.9</v>
      </c>
      <c r="AM28" s="40">
        <f>IF(SUM(U28:V28,X28:Z28,AB28)-W28-AA28&gt;0,SUM(U28:V28,X28:Z28,AB28)-W28-AA28,"")</f>
        <v>32.800000000000004</v>
      </c>
      <c r="AN28" s="40" t="str">
        <f>IF(SUM(AD28,AH28)&gt;0,SUM(AD28,AH28),"")</f>
        <v/>
      </c>
      <c r="AO28" s="40" t="str">
        <f>IF(SUM(AC28:AD28,AF28:AH28,AJ28)-SUM(AE28,AI28)&gt;0,SUM(AC28:AD28,AF28:AH28,AJ28)-SUM(AE28,AI28),"")</f>
        <v/>
      </c>
      <c r="AP28" s="40">
        <f>IF(SUM(AM28,AO28)&gt;0,SUM(AM28,AO28),"")</f>
        <v>32.800000000000004</v>
      </c>
      <c r="AQ28" s="18">
        <v>15.5</v>
      </c>
      <c r="AR28" s="18">
        <v>1.2</v>
      </c>
      <c r="AS28" s="18">
        <v>0</v>
      </c>
      <c r="AT28" s="18">
        <v>0</v>
      </c>
      <c r="AU28" s="18">
        <v>15</v>
      </c>
      <c r="AV28" s="18">
        <v>2.4</v>
      </c>
      <c r="AW28" s="18">
        <v>0</v>
      </c>
      <c r="AX28" s="18">
        <v>0</v>
      </c>
      <c r="AY28" s="18"/>
      <c r="AZ28" s="18"/>
      <c r="BA28" s="18"/>
      <c r="BB28" s="18"/>
      <c r="BC28" s="18"/>
      <c r="BD28" s="18"/>
      <c r="BE28" s="18"/>
      <c r="BF28" s="18"/>
      <c r="BG28" s="28"/>
      <c r="BH28" s="11">
        <f>IF(SUM(AR28,AV28)&gt;0,SUM(AR28,AV28),"")</f>
        <v>3.5999999999999996</v>
      </c>
      <c r="BI28" s="11">
        <f>IF(SUM(AQ28:AR28,AT28:AV28,AX28)-AS28-AW28&gt;0,SUM(AQ28:AR28,AT28:AV28,AX28)-AS28-AW28,"")</f>
        <v>34.1</v>
      </c>
      <c r="BJ28" s="11" t="str">
        <f>IF(SUM(AZ28,BD28)&gt;0,SUM(AZ28,BD28),"")</f>
        <v/>
      </c>
      <c r="BK28" s="11" t="str">
        <f>IF(SUM(AY28:AZ28,BB28:BD28,BF28)-SUM(BA28,BE28)&gt;0,SUM(AY28:AZ28,BB28:BD28,BF28)-SUM(BA28,BE28),"")</f>
        <v/>
      </c>
      <c r="BL28" s="11">
        <f>IF(SUM(BI28,BK28)&gt;0,SUM(BI28,BK28),"")</f>
        <v>34.1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>IF(SUM(BN28,BR28)&gt;0,SUM(BN28,BR28),"")</f>
        <v/>
      </c>
      <c r="CE28" s="40" t="str">
        <f>IF(SUM(BM28:BN28,BP28:BR28,BT28)-BO28-BS28&gt;0,SUM(BM28:BN28,BP28:BR28,BT28)-BO28-BS28,"")</f>
        <v/>
      </c>
      <c r="CF28" s="40" t="str">
        <f>IF(SUM(BV28,BZ28)&gt;0,SUM(BV28,BZ28),"")</f>
        <v/>
      </c>
      <c r="CG28" s="40" t="str">
        <f>IF(SUM(BU28:BV28,BX28:BZ28,CB28)-SUM(BW28,CA28)&gt;0,SUM(BU28:BV28,BX28:BZ28,CB28)-SUM(BW28,CA28),"")</f>
        <v/>
      </c>
      <c r="CH28" s="40" t="str">
        <f>IF(SUM(CE28,CG28)&gt;0,SUM(CE28,CG28),"")</f>
        <v/>
      </c>
      <c r="CI28" s="50" t="str">
        <f>IF(MAX(DF28,EH28,FJ28,GL28,HN28,IP28,JR28,KT28,LV28,MX28,NZ28,PB28)-IF(N28="",0,N28)&gt;0.001,MAX(DF28,EH28,FJ28,GL28,HN28,IP28,JR28,KT28,LV28,MX28,NZ28,PB28)-IF(N28="",0,N28),"")</f>
        <v/>
      </c>
      <c r="CJ28" s="50" t="str">
        <f>IF(MAX(DK28,EM28,FO28,GQ28,HS28,IU28,JW28,KY28,MA28,NC28,OE28,PG28)-IF(P28="",0,P28)&gt;0.001,MAX(DK28,EM28,FO28,GQ28,HS28,IU28,JW28,KY28,MA28,NC28,OE28,PG28)-IF(P28="",0,P28),"")</f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>IF(SUM(CL28,CP28)&gt;0,SUM(CL28,CP28),"")</f>
        <v/>
      </c>
      <c r="DF28" s="40" t="str">
        <f>IF(SUM(CK28:CL28,CN28:CP28,CR28)-CM28-CQ28&gt;0,SUM(CK28:CL28,CN28:CP28,CR28)-CM28-CQ28,"")</f>
        <v/>
      </c>
      <c r="DG28" s="40" t="str">
        <f>IF(SUM(CS28:CT28,CV28)-CU28&gt;0,SUM(CS28:CT28,CV28)-CU28,"")</f>
        <v/>
      </c>
      <c r="DH28" s="40" t="str">
        <f>IF(SUM(CL28,CP28,CT28)&gt;0,SUM(CL28,CP28,CT28),"")</f>
        <v/>
      </c>
      <c r="DI28" s="40" t="str">
        <f>IF(SUM(DF28,DG28)&gt;0,SUM(DF28,DG28),"")</f>
        <v/>
      </c>
      <c r="DJ28" s="40" t="str">
        <f>IF(SUM(CX28,DB28)&gt;0,SUM(CX28,DB28),"")</f>
        <v/>
      </c>
      <c r="DK28" s="40" t="str">
        <f>IF(SUM(CW28:CX28,CZ28:DB28,DD28)-SUM(CY28,DC28)&gt;0,SUM(CW28:CX28,CZ28:DB28,DD28)-SUM(CY28,DC28),"")</f>
        <v/>
      </c>
      <c r="DL28" s="40" t="str">
        <f>IF(SUM(DF28,DG28,DK28)&gt;0,SUM(DF28,DG28,DK28),"")</f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>IF(SUM(DN28,DR28)&gt;0,SUM(DN28,DR28),"")</f>
        <v/>
      </c>
      <c r="EH28" s="11" t="str">
        <f>IF(SUM(DM28:DN28,DP28:DR28,DT28)-DO28-DS28&gt;0,SUM(DM28:DN28,DP28:DR28,DT28)-DO28-DS28,"")</f>
        <v/>
      </c>
      <c r="EI28" s="11" t="str">
        <f>IF(SUM(DU28:DV28,DX28)-DW28&gt;0,SUM(DU28:DV28,DX28)-DW28,"")</f>
        <v/>
      </c>
      <c r="EJ28" s="11" t="str">
        <f>IF(SUM(DN28,DR28,DV28)&gt;0,SUM(DN28,DR28,DV28),"")</f>
        <v/>
      </c>
      <c r="EK28" s="11" t="str">
        <f>IF(SUM(EH28,EI28)&gt;0,SUM(EH28,EI28),"")</f>
        <v/>
      </c>
      <c r="EL28" s="11" t="str">
        <f>IF(SUM(DZ28,ED28)&gt;0,SUM(DZ28,ED28),"")</f>
        <v/>
      </c>
      <c r="EM28" s="11" t="str">
        <f>IF(SUM(DY28:DZ28,EB28:ED28,EF28)-SUM(EA28,EE28)&gt;0,SUM(DY28:DZ28,EB28:ED28,EF28)-SUM(EA28,EE28),"")</f>
        <v/>
      </c>
      <c r="EN28" s="11" t="str">
        <f>IF(SUM(EH28,EI28,EM28)&gt;0,SUM(EH28,EI28,EM28),"")</f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>IF(SUM(EP28,ET28)&gt;0,SUM(EP28,ET28),"")</f>
        <v/>
      </c>
      <c r="FJ28" s="40" t="str">
        <f>IF(SUM(EO28:EP28,ER28:ET28,EV28)-EQ28-EU28&gt;0,SUM(EO28:EP28,ER28:ET28,EV28)-EQ28-EU28,"")</f>
        <v/>
      </c>
      <c r="FK28" s="40" t="str">
        <f>IF(SUM(EW28:EX28,EZ28)-EY28&gt;0,SUM(EW28:EX28,EZ28)-EY28,"")</f>
        <v/>
      </c>
      <c r="FL28" s="40" t="str">
        <f>IF(SUM(EP28,ET28,EX28)&gt;0,SUM(EP28,ET28,EX28),"")</f>
        <v/>
      </c>
      <c r="FM28" s="40" t="str">
        <f>IF(SUM(FJ28,FK28)&gt;0,SUM(FJ28,FK28),"")</f>
        <v/>
      </c>
      <c r="FN28" s="40" t="str">
        <f>IF(SUM(FB28,FF28)&gt;0,SUM(FB28,FF28),"")</f>
        <v/>
      </c>
      <c r="FO28" s="40" t="str">
        <f>IF(SUM(FA28:FB28,FD28:FF28,FH28)-SUM(FC28,FG28)&gt;0,SUM(FA28:FB28,FD28:FF28,FH28)-SUM(FC28,FG28),"")</f>
        <v/>
      </c>
      <c r="FP28" s="40" t="str">
        <f>IF(SUM(FJ28,FK28,FO28)&gt;0,SUM(FJ28,FK28,FO28),"")</f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>IF(SUM(FR28,FV28)&gt;0,SUM(FR28,FV28),"")</f>
        <v/>
      </c>
      <c r="GL28" s="11" t="str">
        <f>IF(SUM(FQ28:FR28,FT28:FV28,FX28)-FS28-FW28&gt;0,SUM(FQ28:FR28,FT28:FV28,FX28)-FS28-FW28,"")</f>
        <v/>
      </c>
      <c r="GM28" s="11" t="str">
        <f>IF(SUM(FY28:FZ28,GB28)-GA28&gt;0,SUM(FY28:FZ28,GB28)-GA28,"")</f>
        <v/>
      </c>
      <c r="GN28" s="11" t="str">
        <f>IF(SUM(FR28,FV28,FZ28)&gt;0,SUM(FR28,FV28,FZ28),"")</f>
        <v/>
      </c>
      <c r="GO28" s="11" t="str">
        <f>IF(SUM(GL28,GM28)&gt;0,SUM(GL28,GM28),"")</f>
        <v/>
      </c>
      <c r="GP28" s="11" t="str">
        <f>IF(SUM(GD28,GH28)&gt;0,SUM(GD28,GH28),"")</f>
        <v/>
      </c>
      <c r="GQ28" s="11" t="str">
        <f>IF(SUM(GC28:GD28,GF28:GH28,GJ28)-SUM(GE28,GI28)&gt;0,SUM(GC28:GD28,GF28:GH28,GJ28)-SUM(GE28,GI28),"")</f>
        <v/>
      </c>
      <c r="GR28" s="11" t="str">
        <f>IF(SUM(GL28,GM28,GQ28)&gt;0,SUM(GL28,GM28,GQ28),"")</f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>IF(SUM(GT28,GX28)&gt;0,SUM(GT28,GX28),"")</f>
        <v/>
      </c>
      <c r="HN28" s="40" t="str">
        <f>IF(SUM(GS28:GT28,GV28:GX28,GZ28)-GU28-GY28&gt;0,SUM(GS28:GT28,GV28:GX28,GZ28)-GU28-GY28,"")</f>
        <v/>
      </c>
      <c r="HO28" s="40" t="str">
        <f>IF(SUM(HA28:HB28,HD28)-HC28&gt;0,SUM(HA28:HB28,HD28)-HC28,"")</f>
        <v/>
      </c>
      <c r="HP28" s="40" t="str">
        <f>IF(SUM(GT28,GX28,HB28)&gt;0,SUM(GT28,GX28,HB28),"")</f>
        <v/>
      </c>
      <c r="HQ28" s="40" t="str">
        <f>IF(SUM(HN28,HO28)&gt;0,SUM(HN28,HO28),"")</f>
        <v/>
      </c>
      <c r="HR28" s="40" t="str">
        <f>IF(SUM(HF28,HJ28)&gt;0,SUM(HF28,HJ28),"")</f>
        <v/>
      </c>
      <c r="HS28" s="40" t="str">
        <f>IF(SUM(HE28:HF28,HH28:HJ28,HL28)-SUM(HG28,HK28)&gt;0,SUM(HE28:HF28,HH28:HJ28,HL28)-SUM(HG28,HK28),"")</f>
        <v/>
      </c>
      <c r="HT28" s="40" t="str">
        <f>IF(SUM(HN28,HO28,HS28)&gt;0,SUM(HN28,HO28,HS28),"")</f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>IF(SUM(HV28,HZ28)&gt;0,SUM(HV28,HZ28),"")</f>
        <v/>
      </c>
      <c r="IP28" s="11" t="str">
        <f>IF(SUM(HU28:HV28,HX28:HZ28,IB28)-HW28-IA28&gt;0,SUM(HU28:HV28,HX28:HZ28,IB28)-HW28-IA28,"")</f>
        <v/>
      </c>
      <c r="IQ28" s="11" t="str">
        <f>IF(SUM(IC28:ID28,IF28)-IE28&gt;0,SUM(IC28:ID28,IF28)-IE28,"")</f>
        <v/>
      </c>
      <c r="IR28" s="11" t="str">
        <f>IF(SUM(HV28,HZ28,ID28)&gt;0,SUM(HV28,HZ28,ID28),"")</f>
        <v/>
      </c>
      <c r="IS28" s="11" t="str">
        <f>IF(SUM(IP28,IQ28)&gt;0,SUM(IP28,IQ28),"")</f>
        <v/>
      </c>
      <c r="IT28" s="11" t="str">
        <f>IF(SUM(IH28,IL28)&gt;0,SUM(IH28,IL28),"")</f>
        <v/>
      </c>
      <c r="IU28" s="11" t="str">
        <f>IF(SUM(IG28:IH28,IJ28:IL28,IN28)-SUM(II28,IM28)&gt;0,SUM(IG28:IH28,IJ28:IL28,IN28)-SUM(II28,IM28),"")</f>
        <v/>
      </c>
      <c r="IV28" s="11" t="str">
        <f>IF(SUM(IP28,IQ28,IU28)&gt;0,SUM(IP28,IQ28,IU28),"")</f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>IF(SUM(IX28,JB28)&gt;0,SUM(IX28,JB28),"")</f>
        <v/>
      </c>
      <c r="JR28" s="40" t="str">
        <f>IF(SUM(IW28:IX28,IZ28:JB28,JD28)-IY28-JC28&gt;0,SUM(IW28:IX28,IZ28:JB28,JD28)-IY28-JC28,"")</f>
        <v/>
      </c>
      <c r="JS28" s="40" t="str">
        <f>IF(SUM(JE28:JF28,JH28)-JG28&gt;0,SUM(JE28:JF28,JH28)-JG28,"")</f>
        <v/>
      </c>
      <c r="JT28" s="40" t="str">
        <f>IF(SUM(IX28,JB28,JF28)&gt;0,SUM(IX28,JB28,JF28),"")</f>
        <v/>
      </c>
      <c r="JU28" s="40" t="str">
        <f>IF(SUM(JR28,JS28)&gt;0,SUM(JR28,JS28),"")</f>
        <v/>
      </c>
      <c r="JV28" s="40" t="str">
        <f>IF(SUM(JJ28,JN28)&gt;0,SUM(JJ28,JN28),"")</f>
        <v/>
      </c>
      <c r="JW28" s="40" t="str">
        <f>IF(SUM(JI28:JJ28,JL28:JN28,JP28)-SUM(JK28,JO28)&gt;0,SUM(JI28:JJ28,JL28:JN28,JP28)-SUM(JK28,JO28),"")</f>
        <v/>
      </c>
      <c r="JX28" s="40" t="str">
        <f>IF(SUM(JR28,JS28,JW28)&gt;0,SUM(JR28,JS28,JW28),"")</f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>IF(SUM(JZ28,KD28)&gt;0,SUM(JZ28,KD28),"")</f>
        <v/>
      </c>
      <c r="KT28" s="11" t="str">
        <f>IF(SUM(JY28:JZ28,KB28:KD28,KF28)-KA28-KE28&gt;0,SUM(JY28:JZ28,KB28:KD28,KF28)-KA28-KE28,"")</f>
        <v/>
      </c>
      <c r="KU28" s="11" t="str">
        <f>IF(SUM(KG28:KH28,KJ28)-KI28&gt;0,SUM(KG28:KH28,KJ28)-KI28,"")</f>
        <v/>
      </c>
      <c r="KV28" s="11" t="str">
        <f>IF(SUM(JZ28,KD28,KH28)&gt;0,SUM(JZ28,KD28,KH28),"")</f>
        <v/>
      </c>
      <c r="KW28" s="11" t="str">
        <f>IF(SUM(KT28,KU28)&gt;0,SUM(KT28,KU28),"")</f>
        <v/>
      </c>
      <c r="KX28" s="11" t="str">
        <f>IF(SUM(KL28,KP28)&gt;0,SUM(KL28,KP28),"")</f>
        <v/>
      </c>
      <c r="KY28" s="11" t="str">
        <f>IF(SUM(KK28:KL28,KN28:KP28,KR28)-SUM(KM28,KQ28)&gt;0,SUM(KK28:KL28,KN28:KP28,KR28)-SUM(KM28,KQ28),"")</f>
        <v/>
      </c>
      <c r="KZ28" s="11" t="str">
        <f>IF(SUM(KT28,KU28,KY28)&gt;0,SUM(KT28,KU28,KY28),"")</f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>IF(SUM(LB28,LF28)&gt;0,SUM(LB28,LF28),"")</f>
        <v/>
      </c>
      <c r="LV28" s="40" t="str">
        <f>IF(SUM(LA28:LB28,LD28:LF28,LH28)-LC28-LG28&gt;0,SUM(LA28:LB28,LD28:LF28,LH28)-LC28-LG28,"")</f>
        <v/>
      </c>
      <c r="LW28" s="40" t="str">
        <f>IF(SUM(LI28:LJ28,LL28)-LK28&gt;0,SUM(LI28:LJ28,LL28)-LK28,"")</f>
        <v/>
      </c>
      <c r="LX28" s="40" t="str">
        <f>IF(SUM(LB28,LF28,LJ28)&gt;0,SUM(LB28,LF28,LJ28),"")</f>
        <v/>
      </c>
      <c r="LY28" s="40" t="str">
        <f>IF(SUM(LV28,LW28)&gt;0,SUM(LV28,LW28),"")</f>
        <v/>
      </c>
      <c r="LZ28" s="40" t="str">
        <f>IF(SUM(LN28,LR28)&gt;0,SUM(LN28,LR28),"")</f>
        <v/>
      </c>
      <c r="MA28" s="40" t="str">
        <f>IF(SUM(LM28:LN28,LP28:LR28,LT28)-SUM(LO28,LS28)&gt;0,SUM(LM28:LN28,LP28:LR28,LT28)-SUM(LO28,LS28),"")</f>
        <v/>
      </c>
      <c r="MB28" s="40" t="str">
        <f>IF(SUM(LV28,LW28,MA28)&gt;0,SUM(LV28,LW28,MA28),"")</f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>IF(SUM(MD28,MH28)&gt;0,SUM(MD28,MH28),"")</f>
        <v/>
      </c>
      <c r="MX28" s="11" t="str">
        <f>IF(SUM(MC28:MD28,MF28:MH28,MJ28)-ME28-MI28&gt;0,SUM(MC28:MD28,MF28:MH28,MJ28)-ME28-MI28,"")</f>
        <v/>
      </c>
      <c r="MY28" s="11" t="str">
        <f>IF(SUM(MK28:ML28,MN28)-MM28&gt;0,SUM(MK28:ML28,MN28)-MM28,"")</f>
        <v/>
      </c>
      <c r="MZ28" s="11" t="str">
        <f>IF(SUM(MD28,MH28,ML28)&gt;0,SUM(MD28,MH28,ML28),"")</f>
        <v/>
      </c>
      <c r="NA28" s="11" t="str">
        <f>IF(SUM(MX28,MY28)&gt;0,SUM(MX28,MY28),"")</f>
        <v/>
      </c>
      <c r="NB28" s="11" t="str">
        <f>IF(SUM(MP28,MT28)&gt;0,SUM(MP28,MT28),"")</f>
        <v/>
      </c>
      <c r="NC28" s="11" t="str">
        <f>IF(SUM(MO28:MP28,MR28:MT28,MV28)-SUM(MQ28,MU28)&gt;0,SUM(MO28:MP28,MR28:MT28,MV28)-SUM(MQ28,MU28),"")</f>
        <v/>
      </c>
      <c r="ND28" s="11" t="str">
        <f>IF(SUM(MX28,MY28,NC28)&gt;0,SUM(MX28,MY28,NC28),"")</f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>IF(SUM(NF28,NJ28)&gt;0,SUM(NF28,NJ28),"")</f>
        <v/>
      </c>
      <c r="NZ28" s="40" t="str">
        <f>IF(SUM(NE28:NF28,NH28:NJ28,NL28)-NG28-NK28&gt;0,SUM(NE28:NF28,NH28:NJ28,NL28)-NG28-NK28,"")</f>
        <v/>
      </c>
      <c r="OA28" s="40" t="str">
        <f>IF(SUM(NM28:NN28,NP28)-NO28&gt;0,SUM(NM28:NN28,NP28)-NO28,"")</f>
        <v/>
      </c>
      <c r="OB28" s="40" t="str">
        <f>IF(SUM(NF28,NJ28,NN28)&gt;0,SUM(NF28,NJ28,NN28),"")</f>
        <v/>
      </c>
      <c r="OC28" s="40" t="str">
        <f>IF(SUM(NZ28,OA28)&gt;0,SUM(NZ28,OA28),"")</f>
        <v/>
      </c>
      <c r="OD28" s="40" t="str">
        <f>IF(SUM(NR28,NV28)&gt;0,SUM(NR28,NV28),"")</f>
        <v/>
      </c>
      <c r="OE28" s="40" t="str">
        <f>IF(SUM(NQ28:NR28,NT28:NV28,NX28)-SUM(NS28,NW28)&gt;0,SUM(NQ28:NR28,NT28:NV28,NX28)-SUM(NS28,NW28),"")</f>
        <v/>
      </c>
      <c r="OF28" s="40" t="str">
        <f>IF(SUM(NZ28,OA28,OE28)&gt;0,SUM(NZ28,OA28,OE28),"")</f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>IF(SUM(OH28,OL28)&gt;0,SUM(OH28,OL28),"")</f>
        <v/>
      </c>
      <c r="PB28" s="11" t="str">
        <f>IF(SUM(OG28:OH28,OJ28:OL28,ON28)-OI28-OM28&gt;0,SUM(OG28:OH28,OJ28:OL28,ON28)-OI28-OM28,"")</f>
        <v/>
      </c>
      <c r="PC28" s="11" t="str">
        <f>IF(SUM(OO28:OP28,OR28)-OQ28&gt;0,SUM(OO28:OP28,OR28)-OQ28,"")</f>
        <v/>
      </c>
      <c r="PD28" s="11" t="str">
        <f>IF(SUM(OH28,OL28,OP28)&gt;0,SUM(OH28,OL28,OP28),"")</f>
        <v/>
      </c>
      <c r="PE28" s="11" t="str">
        <f>IF(SUM(PB28,PC28)&gt;0,SUM(PB28,PC28),"")</f>
        <v/>
      </c>
      <c r="PF28" s="11" t="str">
        <f>IF(SUM(OT28,OX28)&gt;0,SUM(OT28,OX28),"")</f>
        <v/>
      </c>
      <c r="PG28" s="11" t="str">
        <f>IF(SUM(OS28:OT28,OV28:OX28,OZ28)-SUM(OU28,OY28)&gt;0,SUM(OS28:OT28,OV28:OX28,OZ28)-SUM(OU28,OY28),"")</f>
        <v/>
      </c>
      <c r="PH28" s="11" t="str">
        <f>IF(SUM(PB28,PC28,PG28)&gt;0,SUM(PB28,PC28,PG28),"")</f>
        <v/>
      </c>
      <c r="PI28" s="22">
        <f>IF($PY28="P",BM28,(BM28+AQ28)/2)</f>
        <v>0</v>
      </c>
      <c r="PJ28" s="22">
        <f>IF($PY28="P",BN28,(BN28+AR28)/2)</f>
        <v>0</v>
      </c>
      <c r="PK28" s="22">
        <f>IF($PY28="P",BO28,(BO28+AS28)/2)</f>
        <v>0</v>
      </c>
      <c r="PL28" s="22">
        <f>IF($PY28="P",BP28,(BP28+AT28)/2)</f>
        <v>0</v>
      </c>
      <c r="PM28" s="22">
        <f>IF($PY28="P",BQ28,(BQ28+AU28)/2)</f>
        <v>0</v>
      </c>
      <c r="PN28" s="22">
        <f>IF($PY28="P",BR28,(BR28+AV28)/2)</f>
        <v>0</v>
      </c>
      <c r="PO28" s="22">
        <f>IF($PY28="P",BS28,(BS28+AW28)/2)</f>
        <v>0</v>
      </c>
      <c r="PP28" s="22">
        <f>IF($PY28="P",BT28,(BT28+AX28)/2)</f>
        <v>0</v>
      </c>
      <c r="PQ28" s="22">
        <f>IF($PY28="P",BU28,(BU28+AY28)/2)</f>
        <v>0</v>
      </c>
      <c r="PR28" s="22">
        <f>IF($PY28="P",BV28,(BV28+AZ28)/2)</f>
        <v>0</v>
      </c>
      <c r="PS28" s="22">
        <f>IF($PY28="P",BW28,(BW28+BA28)/2)</f>
        <v>0</v>
      </c>
      <c r="PT28" s="22">
        <f>IF($PY28="P",BX28,(BX28+BB28)/2)</f>
        <v>0</v>
      </c>
      <c r="PU28" s="22">
        <f>IF($PY28="P",BY28,(BY28+BC28)/2)</f>
        <v>0</v>
      </c>
      <c r="PV28" s="22">
        <f>IF($PY28="P",BZ28,(BZ28+BD28)/2)</f>
        <v>0</v>
      </c>
      <c r="PW28" s="22">
        <f>IF($PY28="P",CA28,(CA28+BE28)/2)</f>
        <v>0</v>
      </c>
      <c r="PX28" s="22">
        <f>IF($PY28="P",CB28,(CB28+BF28)/2)</f>
        <v>0</v>
      </c>
      <c r="PY28" s="27" t="s">
        <v>46</v>
      </c>
      <c r="PZ28" s="40" t="str">
        <f>IF(SUM(PJ28,PN28)&gt;0,SUM(PJ28,PN28),"")</f>
        <v/>
      </c>
      <c r="QA28" s="40" t="str">
        <f>IF(SUM(PI28:PJ28,PL28:PN28,PP28)-PK28-PO28&gt;0,SUM(PI28:PJ28,PL28:PN28,PP28)-PK28-PO28,"")</f>
        <v/>
      </c>
      <c r="QB28" s="40" t="str">
        <f>IF(SUM(PR28,PV28)&gt;0,SUM(PR28,PV28),"")</f>
        <v/>
      </c>
      <c r="QC28" s="40" t="str">
        <f>IF(SUM(PQ28:PR28,PT28:PV28,PX28)-SUM(PS28,PW28)&gt;0,SUM(PQ28:PR28,PT28:PV28,PX28)-SUM(PS28,PW28),"")</f>
        <v/>
      </c>
      <c r="QD28" s="40" t="str">
        <f>IF(SUM(QA28,QC28)&gt;0,SUM(QA28,QC28),"")</f>
        <v/>
      </c>
    </row>
    <row r="29" spans="1:446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153</v>
      </c>
      <c r="D29" s="4" t="s">
        <v>4</v>
      </c>
      <c r="E29" s="4">
        <v>2006</v>
      </c>
      <c r="F29" s="9">
        <f>SUM(L29:R29)+SUM(L29:O29)*0.0000001+SUM(L29)*0.0000000000001</f>
        <v>43.500004350004346</v>
      </c>
      <c r="G29" s="64"/>
      <c r="H29" s="3" t="str">
        <f>IF(OR(AND(AL29&gt;=AP$36,AM29&gt;=AP$40,AL29&lt;&gt;"",AK29=""),AND(AN29&gt;=AP$36,AO29&gt;=AP$40,AN29&lt;&gt;"",AK29=""),AND(BH29&gt;=BL$36,BI29&gt;=BL$40,BH29&lt;&gt;"",BG29=""),AND(BJ29&gt;=BL$36,BK29&gt;=BL$40,BJ29&lt;&gt;"",BG29=""),AND(CD29&gt;=CH$36,CE29&gt;=CH$40,CD29&lt;&gt;"",CC29=""),AND(CF29&gt;=CH$36,CG29&gt;=CH$40,CF29&lt;&gt;""),AND(DE29&gt;=DL$36,DF29&gt;=DL$40,DE29&lt;&gt;""),AND(DJ29&gt;=DL$36,DK29&gt;=DL$40,DJ29&lt;&gt;""),AND(EG29&gt;=EN$36,EH29&gt;=EN$40,EG29&lt;&gt;""),AND(EL29&gt;=EN$36,EM29&gt;=EN$40,EL29&lt;&gt;""),AND(FI29&gt;=FP$36,FJ29&gt;=FP$40,FI29&lt;&gt;""),AND(FN29&gt;=FP$36,FO29&gt;=FP$40,FN29&lt;&gt;""),AND(GK29&gt;=GR$36,GL29&gt;=GR$40,GK29&lt;&gt;""),AND(GP29&gt;=GR$36,GQ29&gt;=GR$40,GP29&lt;&gt;""),AND(HM29&gt;=HT$36,HN29&gt;=HT$40,HM29&lt;&gt;""),AND(HR29&gt;=HT$36,HS29&gt;=HT$40,HR29&lt;&gt;""),AND(IO29&gt;=IV$36,IP29&gt;=IV$40,IO29&lt;&gt;""),AND(IT29&gt;=IV$36,IU29&gt;=IV$40,IT29&lt;&gt;""),AND(JQ29&gt;=JX$36,JR29&gt;=JX$40,JQ29&lt;&gt;""),AND(JV29&gt;=JX$36,JW29&gt;=JX$40,JV29&lt;&gt;""),AND(KS29&gt;=KZ$36,KT29&gt;=KZ$40,KS29&lt;&gt;""),AND(KX29&gt;=KZ$36,KY29&gt;=KZ$40,KX29&lt;&gt;""),AND(LU29&gt;=MB$36,LV29&gt;=MB$40,LU29&lt;&gt;""),AND(LZ29&gt;=MB$36,MA29&gt;=MB$40,LZ29&lt;&gt;""),AND(MW29&gt;=ND$36,MX29&gt;=ND$40,MW29&lt;&gt;""),AND(NB29&gt;=ND$36,NC29&gt;=ND$40,NB29&lt;&gt;""),AND(NY29&gt;=OF$36,NZ29&gt;=OF$40,NY29&lt;&gt;""),AND(OD29&gt;=OF$36,OE29&gt;=OF$40,OD29&lt;&gt;""),AND(PA29&gt;=PH$36,PB29&gt;=PH$40,PA29&lt;&gt;""),AND(PF29&gt;=PH$36,PG29&gt;=PH$40,PF29&lt;&gt;"")),"P","")</f>
        <v/>
      </c>
      <c r="I29" s="3" t="str">
        <f>IF(OR(AND(AM29&gt;=AP$40,AM29&lt;&gt;"",AK29=""),AND(AO29&gt;=AP$40,AO29&lt;&gt;"",AK29=""),AND(BI29&gt;=BL$40,BI29&lt;&gt;"",BG29=""),AND(BK29&gt;=BL$40,BK29&lt;&gt;"",BG29=""),AND(CE29&gt;=CH$40,CE29&lt;&gt;"",CC29=""),AND(CG29&gt;=CH$40,CG29&lt;&gt;"",CC29=""),AND(DF29&gt;=DL$40,DF29&lt;&gt;""),AND(DK29&gt;=DL$40,DK29&lt;&gt;""),AND(EH29&gt;=EN$40,EH29&lt;&gt;""),AND(EM29&gt;=EN$40,EM29&lt;&gt;""),AND(FJ29&gt;=FP$40,FJ29&lt;&gt;""),AND(FO29&gt;=FP$40,FO29&lt;&gt;""),AND(GL29&gt;=GR$40,GL29&lt;&gt;""),AND(GQ29&gt;=GR$40,GQ29&lt;&gt;""),AND(HN29&gt;=HT$40,HN29&lt;&gt;""),AND(HS29&gt;=HT$40,HS29&lt;&gt;""),AND(IP29&gt;=IV$40,IP29&lt;&gt;""),AND(IU29&gt;=IV$40,IU29&lt;&gt;""),AND(JR29&gt;=JX$40,JR29&lt;&gt;""),AND(JW29&gt;=JX$40,JW29&lt;&gt;""),AND(KT29&gt;=KZ$40,KT29&lt;&gt;""),AND(KY29&gt;=KZ$40,KY29&lt;&gt;""),AND(LV29&gt;=MB$40,LV29&lt;&gt;""),AND(MA29&gt;=MB$40,MA29&lt;&gt;""),AND(MX29&gt;=ND$40,MX29&lt;&gt;""),AND(NC29&gt;=ND$40,NC29&lt;&gt;""),AND(NZ29&gt;=OF$40,NZ29&lt;&gt;""),AND(OE29&gt;=OF$40,OE29&lt;&gt;""),AND(PB29&gt;=PH$40,PB29&lt;&gt;""),AND(PG29&gt;=PH$40,PG29&lt;&gt;"")),"P","")</f>
        <v/>
      </c>
      <c r="J29" s="36" t="str">
        <f>IF(AND(I29="P",H29=""),"No DD",IF(OR(AND(AL29&gt;=AP$26,AM29&gt;=AP$30,AL29&lt;&gt;"",AK29=""),AND(BH29&gt;=BL$26,BI29&gt;=BL$30,BH29&lt;&gt;"",BG29=""),AND(CD29&gt;=CH$26,CE29&gt;=CH$30,CD29&lt;&gt;"",CC29=""),AND(DH29&gt;=DL$26,DI29&gt;=DL$30,DH29&lt;&gt;""),AND(EJ29&gt;=EN$26,EK29&gt;=EN$30,EJ29&lt;&gt;""),AND(FL29&gt;=FP$26,FM29&gt;=FP$30,FL29&lt;&gt;""),AND(GN29&gt;=GR$26,GO29&gt;=GR$30,GN29&lt;&gt;""),AND(HP29&gt;=HT$26,HQ29&gt;=HT$30,HP29&lt;&gt;""),AND(IR29&gt;=IV$26,IS29&gt;=IV$30,IR29&lt;&gt;""),AND(JT29&gt;=JX$26,JU29&gt;=JX$30,JT29&lt;&gt;""),AND(KV29&gt;=KZ$26,KW29&gt;=KZ$30,KV29&lt;&gt;""),AND(LX29&gt;=MB$26,LY29&gt;=MB$30,LX29&lt;&gt;""),AND(MZ29&gt;=ND$26,NA29&gt;=ND$30,MZ29&lt;&gt;""),AND(OB29&gt;=OF$26,OC29&gt;=OF$30,OB29&lt;&gt;""),AND(PD29&gt;=PH$26,PE29&gt;=PH$30,PD29&lt;&gt;"")),"Merit",IF(OR(AND(AL29&gt;=AP$25,AM29&gt;=AP$29,AL29&lt;&gt;"",AK29=""),AND(BH29&gt;=BL$25,BI29&gt;=BL$29,BH29&lt;&gt;"",BG29=""),AND(CD29&gt;=CH$25,CE29&gt;=CH$29,CD29&lt;&gt;"",CC29=""),AND(DH29&gt;=DL$25,DI29&gt;=DL$29,DH29&lt;&gt;""),AND(EJ29&gt;=EN$25,EK29&gt;=EN$29,EJ29&lt;&gt;""),AND(FL29&gt;=FP$25,FM29&gt;=FP$29,FL29&lt;&gt;""),AND(GN29&gt;=GR$25,GO29&gt;=GR$29,GN29&lt;&gt;""),AND(HP29&gt;=HT$25,HQ29&gt;=HT$29,HP29&lt;&gt;""),AND(IR29&gt;=IV$25,IS29&gt;=IV$29,IR29&lt;&gt;""),AND(JT29&gt;=JX$25,JU29&gt;=JX$29,JT29&lt;&gt;""),AND(KV29&gt;=KZ$25,KW29&gt;=KZ$29,KV29&lt;&gt;""),AND(LX29&gt;=MB$25,LY29&gt;=MB$29,LX29&lt;&gt;""),AND(MZ29&gt;=ND$25,NA29&gt;=ND$29,MZ29&lt;&gt;""),AND(OB29&gt;=OF$25,OC29&gt;=OF$29,OB29&lt;&gt;""),AND(PD29&gt;=PH$25,PE29&gt;=PH$29,PD29&lt;&gt;"")),"Excellence",IF(K29="P","Worlds Team",IF(H29="P","National Team","")))))</f>
        <v/>
      </c>
      <c r="K29" s="3" t="str">
        <f>IF(OR(AND(AL29&gt;=AP$24,AM29&gt;=AP$28,AL29&lt;&gt;"",AK29=""),AND(BH29&gt;=BL$24,BI29&gt;=BL$28,BH29&lt;&gt;"",BG29=""),AND(CD29&gt;=CH$24,CE29&gt;=CH$28,CD29&lt;&gt;"",CC29=""),AND(DH29&gt;=DL$24,DI29&gt;=DL$28,DH29&lt;&gt;""),AND(EJ29&gt;=EN$24,EK29&gt;=EN$28,EJ29&lt;&gt;""),AND(FL29&gt;=FP$24,FM29&gt;=FP$28,FL29&lt;&gt;""),AND(GN29&gt;=GR$24,GO29&gt;=GR$28,GN29&lt;&gt;""),AND(HP29&gt;=HT$24,HQ29&gt;=HT$28,HP29&lt;&gt;""),AND(IR29&gt;=IV$24,IS29&gt;=IV$28,IR29&lt;&gt;""),AND(JT29&gt;=JX$24,JU29&gt;=JX$28,JT29&lt;&gt;""),AND(KV29&gt;=KZ$24,KW29&gt;=KZ$28,KV29&lt;&gt;""),AND(LX29&gt;=MB$24,LY29&gt;=MB$28,LX29&lt;&gt;""),AND(MZ29&gt;=ND$24,NA29&gt;=ND$28,MZ29&lt;&gt;""),AND(OB29&gt;=OF$24,OC29&gt;=OF$28,OB29&lt;&gt;""),AND(PD29&gt;=PH$24,PE29&gt;=PH$28,PD29&lt;&gt;"")),"P","")</f>
        <v/>
      </c>
      <c r="L29" s="8">
        <f>IF(COUNT(AM29,BI29,CE29)&gt;0,LARGE((AM29,BI29,CE29),1),0)</f>
        <v>43.5</v>
      </c>
      <c r="M29" s="8" t="str">
        <f>IF(L29=0,"",IF(L29=CE29,$BM$1,IF(L29=BI29,$AQ$1,IF(L29=AM29,$U$1,""))))</f>
        <v>2025 Nationals</v>
      </c>
      <c r="N29" s="8">
        <f>IF(COUNT(AM29,BI29,CE29)&gt;1,LARGE((AM29,BI29,CE29),2),0)</f>
        <v>0</v>
      </c>
      <c r="O29" s="8" t="str">
        <f>IF(N29=0,"",IF(AND(N29=L29,N29=AM29,N29=BI29),$U$1,IF(AND(N29=L29,N29=AM29,N29=CE29),$U$1,IF(AND(N29=L29,N29=BI29,N29=CE29),$AQ$1,IF(N29=CE29,$BM$1,IF(N29=BI29,$AQ$1,IF(N29=AM29,$U$1,"")))))))</f>
        <v/>
      </c>
      <c r="P29" s="8">
        <f>IF(MAX(AO29,BK29,CG29)&gt;0,MAX(AO29,BK29,CG29),0)</f>
        <v>0</v>
      </c>
      <c r="Q29" s="8" t="str">
        <f>IF(P29=0,"",IF(P29=CG29,$BM$1,IF(P29=BK29,$AQ$1,IF(P29=AO29,$U$1,""))))</f>
        <v/>
      </c>
      <c r="R29" s="8" t="str">
        <f>IF(MAX(CI29:CJ29)&gt;0,MAX(CI29:CJ29),"")</f>
        <v/>
      </c>
      <c r="S29" s="11" t="str">
        <f>IF(R29="","",IF(R29=CI29,"("&amp;CI$2&amp;")",IF(R29=CJ29,"("&amp;CJ$2&amp;")")))</f>
        <v/>
      </c>
      <c r="T29" s="8" t="str">
        <f>IF(R29="","",IF(R29=CI29,IF(R29+IF(N29="",0,N29)=PB29,$OG$1,IF(R29+IF(N29="",0,N29)=NZ29,$NE$1,IF(R29+IF(N29="",0,N29)=MX29,$MC$1,IF(R29+IF(N29="",0,N29)=LV29,$LA$1,IF(R29+IF(N29="",0,N29)=KT29,$JY$1,IF(R29+IF(N29="",0,N29)=JR29,$IW$1,IF(R29+IF(N29="",0,N29)=IP29,$HU$1,IF(R29+IF(N29="",0,N29)=HN29,$GS$1,IF(R29+IF(N29="",0,N29)=GL29,$FQ$1,IF(R29+IF(N29="",0,N29)=FJ29,$EO$1,IF(R29+IF(N29="",0,N29)=EH29,$DM$1,IF(R29+IF(N29="",0,N29)=DF29,$CK$1)))))))))))),IF(R29=CJ29,IF(R29+IF(P29="",0,P29)=PG29,$OG$1,IF(R29+IF(P29="",0,P29)=OE29,$NE$1,IF(R29+IF(P29="",0,P29)=NC29,$MC$1,IF(R29+IF(P29="",0,P29)=MA29,$LA$1,IF(R29+IF(P29="",0,P29)=KY29,$JY$1,IF(R29+IF(P29="",0,P29)=JW29,$IW$1,IF(R29+IF(P29="",0,P29)=IU29,$HU$1,IF(R29+IF(P29="",0,P29)=HS29,$GS$1,IF(R29+IF(P29="",0,P29)=GQ29,$FQ$1,IF(R29+IF(P29="",0,P29)=FO29,$EO$1,IF(R29+IF(P29="",0,P29)=EM29,$DM$1,IF(R29+IF(P29="",0,P29)=DK29,$CK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27"/>
      <c r="AL29" s="40" t="str">
        <f>IF(SUM(V29,Z29)&gt;0,SUM(V29,Z29),"")</f>
        <v/>
      </c>
      <c r="AM29" s="40" t="str">
        <f>IF(SUM(U29:V29,X29:Z29,AB29)-W29-AA29&gt;0,SUM(U29:V29,X29:Z29,AB29)-W29-AA29,"")</f>
        <v/>
      </c>
      <c r="AN29" s="40" t="str">
        <f>IF(SUM(AD29,AH29)&gt;0,SUM(AD29,AH29),"")</f>
        <v/>
      </c>
      <c r="AO29" s="40" t="str">
        <f>IF(SUM(AC29:AD29,AF29:AH29,AJ29)-SUM(AE29,AI29)&gt;0,SUM(AC29:AD29,AF29:AH29,AJ29)-SUM(AE29,AI29),"")</f>
        <v/>
      </c>
      <c r="AP29" s="40" t="str">
        <f>IF(SUM(AM29,AO29)&gt;0,SUM(AM29,AO29),"")</f>
        <v/>
      </c>
      <c r="AQ29" s="18">
        <v>18.5</v>
      </c>
      <c r="AR29" s="18">
        <v>4.4000000000000004</v>
      </c>
      <c r="AS29" s="18">
        <v>0.8</v>
      </c>
      <c r="AT29" s="18">
        <v>0</v>
      </c>
      <c r="AU29" s="18">
        <v>18</v>
      </c>
      <c r="AV29" s="18">
        <v>3.6</v>
      </c>
      <c r="AW29" s="18">
        <v>0.2</v>
      </c>
      <c r="AX29" s="18">
        <v>0</v>
      </c>
      <c r="AY29" s="18"/>
      <c r="AZ29" s="18"/>
      <c r="BA29" s="18"/>
      <c r="BB29" s="18"/>
      <c r="BC29" s="18"/>
      <c r="BD29" s="18"/>
      <c r="BE29" s="18"/>
      <c r="BF29" s="18"/>
      <c r="BG29" s="28"/>
      <c r="BH29" s="11">
        <f>IF(SUM(AR29,AV29)&gt;0,SUM(AR29,AV29),"")</f>
        <v>8</v>
      </c>
      <c r="BI29" s="11">
        <f>IF(SUM(AQ29:AR29,AT29:AV29,AX29)-AS29-AW29&gt;0,SUM(AQ29:AR29,AT29:AV29,AX29)-AS29-AW29,"")</f>
        <v>43.5</v>
      </c>
      <c r="BJ29" s="11" t="str">
        <f>IF(SUM(AZ29,BD29)&gt;0,SUM(AZ29,BD29),"")</f>
        <v/>
      </c>
      <c r="BK29" s="11" t="str">
        <f>IF(SUM(AY29:AZ29,BB29:BD29,BF29)-SUM(BA29,BE29)&gt;0,SUM(AY29:AZ29,BB29:BD29,BF29)-SUM(BA29,BE29),"")</f>
        <v/>
      </c>
      <c r="BL29" s="11">
        <f>IF(SUM(BI29,BK29)&gt;0,SUM(BI29,BK29),"")</f>
        <v>43.5</v>
      </c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27"/>
      <c r="CD29" s="40" t="str">
        <f>IF(SUM(BN29,BR29)&gt;0,SUM(BN29,BR29),"")</f>
        <v/>
      </c>
      <c r="CE29" s="40" t="str">
        <f>IF(SUM(BM29:BN29,BP29:BR29,BT29)-BO29-BS29&gt;0,SUM(BM29:BN29,BP29:BR29,BT29)-BO29-BS29,"")</f>
        <v/>
      </c>
      <c r="CF29" s="40" t="str">
        <f>IF(SUM(BV29,BZ29)&gt;0,SUM(BV29,BZ29),"")</f>
        <v/>
      </c>
      <c r="CG29" s="40" t="str">
        <f>IF(SUM(BU29:BV29,BX29:BZ29,CB29)-SUM(BW29,CA29)&gt;0,SUM(BU29:BV29,BX29:BZ29,CB29)-SUM(BW29,CA29),"")</f>
        <v/>
      </c>
      <c r="CH29" s="40" t="str">
        <f>IF(SUM(CE29,CG29)&gt;0,SUM(CE29,CG29),"")</f>
        <v/>
      </c>
      <c r="CI29" s="50" t="str">
        <f>IF(MAX(DF29,EH29,FJ29,GL29,HN29,IP29,JR29,KT29,LV29,MX29,NZ29,PB29)-IF(N29="",0,N29)&gt;0.001,MAX(DF29,EH29,FJ29,GL29,HN29,IP29,JR29,KT29,LV29,MX29,NZ29,PB29)-IF(N29="",0,N29),"")</f>
        <v/>
      </c>
      <c r="CJ29" s="50" t="str">
        <f>IF(MAX(DK29,EM29,FO29,GQ29,HS29,IU29,JW29,KY29,MA29,NC29,OE29,PG29)-IF(P29="",0,P29)&gt;0.001,MAX(DK29,EM29,FO29,GQ29,HS29,IU29,JW29,KY29,MA29,NC29,OE29,PG29)-IF(P29="",0,P29),"")</f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>IF(SUM(CL29,CP29)&gt;0,SUM(CL29,CP29),"")</f>
        <v/>
      </c>
      <c r="DF29" s="40" t="str">
        <f>IF(SUM(CK29:CL29,CN29:CP29,CR29)-CM29-CQ29&gt;0,SUM(CK29:CL29,CN29:CP29,CR29)-CM29-CQ29,"")</f>
        <v/>
      </c>
      <c r="DG29" s="40" t="str">
        <f>IF(SUM(CS29:CT29,CV29)-CU29&gt;0,SUM(CS29:CT29,CV29)-CU29,"")</f>
        <v/>
      </c>
      <c r="DH29" s="40" t="str">
        <f>IF(SUM(CL29,CP29,CT29)&gt;0,SUM(CL29,CP29,CT29),"")</f>
        <v/>
      </c>
      <c r="DI29" s="40" t="str">
        <f>IF(SUM(DF29,DG29)&gt;0,SUM(DF29,DG29),"")</f>
        <v/>
      </c>
      <c r="DJ29" s="40" t="str">
        <f>IF(SUM(CX29,DB29)&gt;0,SUM(CX29,DB29),"")</f>
        <v/>
      </c>
      <c r="DK29" s="40" t="str">
        <f>IF(SUM(CW29:CX29,CZ29:DB29,DD29)-SUM(CY29,DC29)&gt;0,SUM(CW29:CX29,CZ29:DB29,DD29)-SUM(CY29,DC29),"")</f>
        <v/>
      </c>
      <c r="DL29" s="40" t="str">
        <f>IF(SUM(DF29,DG29,DK29)&gt;0,SUM(DF29,DG29,DK29),"")</f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>IF(SUM(DN29,DR29)&gt;0,SUM(DN29,DR29),"")</f>
        <v/>
      </c>
      <c r="EH29" s="11" t="str">
        <f>IF(SUM(DM29:DN29,DP29:DR29,DT29)-DO29-DS29&gt;0,SUM(DM29:DN29,DP29:DR29,DT29)-DO29-DS29,"")</f>
        <v/>
      </c>
      <c r="EI29" s="11" t="str">
        <f>IF(SUM(DU29:DV29,DX29)-DW29&gt;0,SUM(DU29:DV29,DX29)-DW29,"")</f>
        <v/>
      </c>
      <c r="EJ29" s="11" t="str">
        <f>IF(SUM(DN29,DR29,DV29)&gt;0,SUM(DN29,DR29,DV29),"")</f>
        <v/>
      </c>
      <c r="EK29" s="11" t="str">
        <f>IF(SUM(EH29,EI29)&gt;0,SUM(EH29,EI29),"")</f>
        <v/>
      </c>
      <c r="EL29" s="11" t="str">
        <f>IF(SUM(DZ29,ED29)&gt;0,SUM(DZ29,ED29),"")</f>
        <v/>
      </c>
      <c r="EM29" s="11" t="str">
        <f>IF(SUM(DY29:DZ29,EB29:ED29,EF29)-SUM(EA29,EE29)&gt;0,SUM(DY29:DZ29,EB29:ED29,EF29)-SUM(EA29,EE29),"")</f>
        <v/>
      </c>
      <c r="EN29" s="11" t="str">
        <f>IF(SUM(EH29,EI29,EM29)&gt;0,SUM(EH29,EI29,EM29),"")</f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>IF(SUM(EP29,ET29)&gt;0,SUM(EP29,ET29),"")</f>
        <v/>
      </c>
      <c r="FJ29" s="40" t="str">
        <f>IF(SUM(EO29:EP29,ER29:ET29,EV29)-EQ29-EU29&gt;0,SUM(EO29:EP29,ER29:ET29,EV29)-EQ29-EU29,"")</f>
        <v/>
      </c>
      <c r="FK29" s="40" t="str">
        <f>IF(SUM(EW29:EX29,EZ29)-EY29&gt;0,SUM(EW29:EX29,EZ29)-EY29,"")</f>
        <v/>
      </c>
      <c r="FL29" s="40" t="str">
        <f>IF(SUM(EP29,ET29,EX29)&gt;0,SUM(EP29,ET29,EX29),"")</f>
        <v/>
      </c>
      <c r="FM29" s="40" t="str">
        <f>IF(SUM(FJ29,FK29)&gt;0,SUM(FJ29,FK29),"")</f>
        <v/>
      </c>
      <c r="FN29" s="40" t="str">
        <f>IF(SUM(FB29,FF29)&gt;0,SUM(FB29,FF29),"")</f>
        <v/>
      </c>
      <c r="FO29" s="40" t="str">
        <f>IF(SUM(FA29:FB29,FD29:FF29,FH29)-SUM(FC29,FG29)&gt;0,SUM(FA29:FB29,FD29:FF29,FH29)-SUM(FC29,FG29),"")</f>
        <v/>
      </c>
      <c r="FP29" s="40" t="str">
        <f>IF(SUM(FJ29,FK29,FO29)&gt;0,SUM(FJ29,FK29,FO29),"")</f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>IF(SUM(FR29,FV29)&gt;0,SUM(FR29,FV29),"")</f>
        <v/>
      </c>
      <c r="GL29" s="11" t="str">
        <f>IF(SUM(FQ29:FR29,FT29:FV29,FX29)-FS29-FW29&gt;0,SUM(FQ29:FR29,FT29:FV29,FX29)-FS29-FW29,"")</f>
        <v/>
      </c>
      <c r="GM29" s="11" t="str">
        <f>IF(SUM(FY29:FZ29,GB29)-GA29&gt;0,SUM(FY29:FZ29,GB29)-GA29,"")</f>
        <v/>
      </c>
      <c r="GN29" s="11" t="str">
        <f>IF(SUM(FR29,FV29,FZ29)&gt;0,SUM(FR29,FV29,FZ29),"")</f>
        <v/>
      </c>
      <c r="GO29" s="11" t="str">
        <f>IF(SUM(GL29,GM29)&gt;0,SUM(GL29,GM29),"")</f>
        <v/>
      </c>
      <c r="GP29" s="11" t="str">
        <f>IF(SUM(GD29,GH29)&gt;0,SUM(GD29,GH29),"")</f>
        <v/>
      </c>
      <c r="GQ29" s="11" t="str">
        <f>IF(SUM(GC29:GD29,GF29:GH29,GJ29)-SUM(GE29,GI29)&gt;0,SUM(GC29:GD29,GF29:GH29,GJ29)-SUM(GE29,GI29),"")</f>
        <v/>
      </c>
      <c r="GR29" s="11" t="str">
        <f>IF(SUM(GL29,GM29,GQ29)&gt;0,SUM(GL29,GM29,GQ29),"")</f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>IF(SUM(GT29,GX29)&gt;0,SUM(GT29,GX29),"")</f>
        <v/>
      </c>
      <c r="HN29" s="40" t="str">
        <f>IF(SUM(GS29:GT29,GV29:GX29,GZ29)-GU29-GY29&gt;0,SUM(GS29:GT29,GV29:GX29,GZ29)-GU29-GY29,"")</f>
        <v/>
      </c>
      <c r="HO29" s="40" t="str">
        <f>IF(SUM(HA29:HB29,HD29)-HC29&gt;0,SUM(HA29:HB29,HD29)-HC29,"")</f>
        <v/>
      </c>
      <c r="HP29" s="40" t="str">
        <f>IF(SUM(GT29,GX29,HB29)&gt;0,SUM(GT29,GX29,HB29),"")</f>
        <v/>
      </c>
      <c r="HQ29" s="40" t="str">
        <f>IF(SUM(HN29,HO29)&gt;0,SUM(HN29,HO29),"")</f>
        <v/>
      </c>
      <c r="HR29" s="40" t="str">
        <f>IF(SUM(HF29,HJ29)&gt;0,SUM(HF29,HJ29),"")</f>
        <v/>
      </c>
      <c r="HS29" s="40" t="str">
        <f>IF(SUM(HE29:HF29,HH29:HJ29,HL29)-SUM(HG29,HK29)&gt;0,SUM(HE29:HF29,HH29:HJ29,HL29)-SUM(HG29,HK29),"")</f>
        <v/>
      </c>
      <c r="HT29" s="40" t="str">
        <f>IF(SUM(HN29,HO29,HS29)&gt;0,SUM(HN29,HO29,HS29),"")</f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>IF(SUM(HV29,HZ29)&gt;0,SUM(HV29,HZ29),"")</f>
        <v/>
      </c>
      <c r="IP29" s="11" t="str">
        <f>IF(SUM(HU29:HV29,HX29:HZ29,IB29)-HW29-IA29&gt;0,SUM(HU29:HV29,HX29:HZ29,IB29)-HW29-IA29,"")</f>
        <v/>
      </c>
      <c r="IQ29" s="11" t="str">
        <f>IF(SUM(IC29:ID29,IF29)-IE29&gt;0,SUM(IC29:ID29,IF29)-IE29,"")</f>
        <v/>
      </c>
      <c r="IR29" s="11" t="str">
        <f>IF(SUM(HV29,HZ29,ID29)&gt;0,SUM(HV29,HZ29,ID29),"")</f>
        <v/>
      </c>
      <c r="IS29" s="11" t="str">
        <f>IF(SUM(IP29,IQ29)&gt;0,SUM(IP29,IQ29),"")</f>
        <v/>
      </c>
      <c r="IT29" s="11" t="str">
        <f>IF(SUM(IH29,IL29)&gt;0,SUM(IH29,IL29),"")</f>
        <v/>
      </c>
      <c r="IU29" s="11" t="str">
        <f>IF(SUM(IG29:IH29,IJ29:IL29,IN29)-SUM(II29,IM29)&gt;0,SUM(IG29:IH29,IJ29:IL29,IN29)-SUM(II29,IM29),"")</f>
        <v/>
      </c>
      <c r="IV29" s="11" t="str">
        <f>IF(SUM(IP29,IQ29,IU29)&gt;0,SUM(IP29,IQ29,IU29),"")</f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>IF(SUM(IX29,JB29)&gt;0,SUM(IX29,JB29),"")</f>
        <v/>
      </c>
      <c r="JR29" s="40" t="str">
        <f>IF(SUM(IW29:IX29,IZ29:JB29,JD29)-IY29-JC29&gt;0,SUM(IW29:IX29,IZ29:JB29,JD29)-IY29-JC29,"")</f>
        <v/>
      </c>
      <c r="JS29" s="40" t="str">
        <f>IF(SUM(JE29:JF29,JH29)-JG29&gt;0,SUM(JE29:JF29,JH29)-JG29,"")</f>
        <v/>
      </c>
      <c r="JT29" s="40" t="str">
        <f>IF(SUM(IX29,JB29,JF29)&gt;0,SUM(IX29,JB29,JF29),"")</f>
        <v/>
      </c>
      <c r="JU29" s="40" t="str">
        <f>IF(SUM(JR29,JS29)&gt;0,SUM(JR29,JS29),"")</f>
        <v/>
      </c>
      <c r="JV29" s="40" t="str">
        <f>IF(SUM(JJ29,JN29)&gt;0,SUM(JJ29,JN29),"")</f>
        <v/>
      </c>
      <c r="JW29" s="40" t="str">
        <f>IF(SUM(JI29:JJ29,JL29:JN29,JP29)-SUM(JK29,JO29)&gt;0,SUM(JI29:JJ29,JL29:JN29,JP29)-SUM(JK29,JO29),"")</f>
        <v/>
      </c>
      <c r="JX29" s="40" t="str">
        <f>IF(SUM(JR29,JS29,JW29)&gt;0,SUM(JR29,JS29,JW29),"")</f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>IF(SUM(JZ29,KD29)&gt;0,SUM(JZ29,KD29),"")</f>
        <v/>
      </c>
      <c r="KT29" s="11" t="str">
        <f>IF(SUM(JY29:JZ29,KB29:KD29,KF29)-KA29-KE29&gt;0,SUM(JY29:JZ29,KB29:KD29,KF29)-KA29-KE29,"")</f>
        <v/>
      </c>
      <c r="KU29" s="11" t="str">
        <f>IF(SUM(KG29:KH29,KJ29)-KI29&gt;0,SUM(KG29:KH29,KJ29)-KI29,"")</f>
        <v/>
      </c>
      <c r="KV29" s="11" t="str">
        <f>IF(SUM(JZ29,KD29,KH29)&gt;0,SUM(JZ29,KD29,KH29),"")</f>
        <v/>
      </c>
      <c r="KW29" s="11" t="str">
        <f>IF(SUM(KT29,KU29)&gt;0,SUM(KT29,KU29),"")</f>
        <v/>
      </c>
      <c r="KX29" s="11" t="str">
        <f>IF(SUM(KL29,KP29)&gt;0,SUM(KL29,KP29),"")</f>
        <v/>
      </c>
      <c r="KY29" s="11" t="str">
        <f>IF(SUM(KK29:KL29,KN29:KP29,KR29)-SUM(KM29,KQ29)&gt;0,SUM(KK29:KL29,KN29:KP29,KR29)-SUM(KM29,KQ29),"")</f>
        <v/>
      </c>
      <c r="KZ29" s="11" t="str">
        <f>IF(SUM(KT29,KU29,KY29)&gt;0,SUM(KT29,KU29,KY29),"")</f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>IF(SUM(LB29,LF29)&gt;0,SUM(LB29,LF29),"")</f>
        <v/>
      </c>
      <c r="LV29" s="40" t="str">
        <f>IF(SUM(LA29:LB29,LD29:LF29,LH29)-LC29-LG29&gt;0,SUM(LA29:LB29,LD29:LF29,LH29)-LC29-LG29,"")</f>
        <v/>
      </c>
      <c r="LW29" s="40" t="str">
        <f>IF(SUM(LI29:LJ29,LL29)-LK29&gt;0,SUM(LI29:LJ29,LL29)-LK29,"")</f>
        <v/>
      </c>
      <c r="LX29" s="40" t="str">
        <f>IF(SUM(LB29,LF29,LJ29)&gt;0,SUM(LB29,LF29,LJ29),"")</f>
        <v/>
      </c>
      <c r="LY29" s="40" t="str">
        <f>IF(SUM(LV29,LW29)&gt;0,SUM(LV29,LW29),"")</f>
        <v/>
      </c>
      <c r="LZ29" s="40" t="str">
        <f>IF(SUM(LN29,LR29)&gt;0,SUM(LN29,LR29),"")</f>
        <v/>
      </c>
      <c r="MA29" s="40" t="str">
        <f>IF(SUM(LM29:LN29,LP29:LR29,LT29)-SUM(LO29,LS29)&gt;0,SUM(LM29:LN29,LP29:LR29,LT29)-SUM(LO29,LS29),"")</f>
        <v/>
      </c>
      <c r="MB29" s="40" t="str">
        <f>IF(SUM(LV29,LW29,MA29)&gt;0,SUM(LV29,LW29,MA29),"")</f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>IF(SUM(MD29,MH29)&gt;0,SUM(MD29,MH29),"")</f>
        <v/>
      </c>
      <c r="MX29" s="11" t="str">
        <f>IF(SUM(MC29:MD29,MF29:MH29,MJ29)-ME29-MI29&gt;0,SUM(MC29:MD29,MF29:MH29,MJ29)-ME29-MI29,"")</f>
        <v/>
      </c>
      <c r="MY29" s="11" t="str">
        <f>IF(SUM(MK29:ML29,MN29)-MM29&gt;0,SUM(MK29:ML29,MN29)-MM29,"")</f>
        <v/>
      </c>
      <c r="MZ29" s="11" t="str">
        <f>IF(SUM(MD29,MH29,ML29)&gt;0,SUM(MD29,MH29,ML29),"")</f>
        <v/>
      </c>
      <c r="NA29" s="11" t="str">
        <f>IF(SUM(MX29,MY29)&gt;0,SUM(MX29,MY29),"")</f>
        <v/>
      </c>
      <c r="NB29" s="11" t="str">
        <f>IF(SUM(MP29,MT29)&gt;0,SUM(MP29,MT29),"")</f>
        <v/>
      </c>
      <c r="NC29" s="11" t="str">
        <f>IF(SUM(MO29:MP29,MR29:MT29,MV29)-SUM(MQ29,MU29)&gt;0,SUM(MO29:MP29,MR29:MT29,MV29)-SUM(MQ29,MU29),"")</f>
        <v/>
      </c>
      <c r="ND29" s="11" t="str">
        <f>IF(SUM(MX29,MY29,NC29)&gt;0,SUM(MX29,MY29,NC29),"")</f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>IF(SUM(NF29,NJ29)&gt;0,SUM(NF29,NJ29),"")</f>
        <v/>
      </c>
      <c r="NZ29" s="40" t="str">
        <f>IF(SUM(NE29:NF29,NH29:NJ29,NL29)-NG29-NK29&gt;0,SUM(NE29:NF29,NH29:NJ29,NL29)-NG29-NK29,"")</f>
        <v/>
      </c>
      <c r="OA29" s="40" t="str">
        <f>IF(SUM(NM29:NN29,NP29)-NO29&gt;0,SUM(NM29:NN29,NP29)-NO29,"")</f>
        <v/>
      </c>
      <c r="OB29" s="40" t="str">
        <f>IF(SUM(NF29,NJ29,NN29)&gt;0,SUM(NF29,NJ29,NN29),"")</f>
        <v/>
      </c>
      <c r="OC29" s="40" t="str">
        <f>IF(SUM(NZ29,OA29)&gt;0,SUM(NZ29,OA29),"")</f>
        <v/>
      </c>
      <c r="OD29" s="40" t="str">
        <f>IF(SUM(NR29,NV29)&gt;0,SUM(NR29,NV29),"")</f>
        <v/>
      </c>
      <c r="OE29" s="40" t="str">
        <f>IF(SUM(NQ29:NR29,NT29:NV29,NX29)-SUM(NS29,NW29)&gt;0,SUM(NQ29:NR29,NT29:NV29,NX29)-SUM(NS29,NW29),"")</f>
        <v/>
      </c>
      <c r="OF29" s="40" t="str">
        <f>IF(SUM(NZ29,OA29,OE29)&gt;0,SUM(NZ29,OA29,OE29),"")</f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>IF(SUM(OH29,OL29)&gt;0,SUM(OH29,OL29),"")</f>
        <v/>
      </c>
      <c r="PB29" s="11" t="str">
        <f>IF(SUM(OG29:OH29,OJ29:OL29,ON29)-OI29-OM29&gt;0,SUM(OG29:OH29,OJ29:OL29,ON29)-OI29-OM29,"")</f>
        <v/>
      </c>
      <c r="PC29" s="11" t="str">
        <f>IF(SUM(OO29:OP29,OR29)-OQ29&gt;0,SUM(OO29:OP29,OR29)-OQ29,"")</f>
        <v/>
      </c>
      <c r="PD29" s="11" t="str">
        <f>IF(SUM(OH29,OL29,OP29)&gt;0,SUM(OH29,OL29,OP29),"")</f>
        <v/>
      </c>
      <c r="PE29" s="11" t="str">
        <f>IF(SUM(PB29,PC29)&gt;0,SUM(PB29,PC29),"")</f>
        <v/>
      </c>
      <c r="PF29" s="11" t="str">
        <f>IF(SUM(OT29,OX29)&gt;0,SUM(OT29,OX29),"")</f>
        <v/>
      </c>
      <c r="PG29" s="11" t="str">
        <f>IF(SUM(OS29:OT29,OV29:OX29,OZ29)-SUM(OU29,OY29)&gt;0,SUM(OS29:OT29,OV29:OX29,OZ29)-SUM(OU29,OY29),"")</f>
        <v/>
      </c>
      <c r="PH29" s="11" t="str">
        <f>IF(SUM(PB29,PC29,PG29)&gt;0,SUM(PB29,PC29,PG29),"")</f>
        <v/>
      </c>
      <c r="PI29" s="22">
        <f>IF($PY29="P",BM29,(BM29+AQ29)/2)</f>
        <v>0</v>
      </c>
      <c r="PJ29" s="22">
        <f>IF($PY29="P",BN29,(BN29+AR29)/2)</f>
        <v>0</v>
      </c>
      <c r="PK29" s="22">
        <f>IF($PY29="P",BO29,(BO29+AS29)/2)</f>
        <v>0</v>
      </c>
      <c r="PL29" s="22">
        <f>IF($PY29="P",BP29,(BP29+AT29)/2)</f>
        <v>0</v>
      </c>
      <c r="PM29" s="22">
        <f>IF($PY29="P",BQ29,(BQ29+AU29)/2)</f>
        <v>0</v>
      </c>
      <c r="PN29" s="22">
        <f>IF($PY29="P",BR29,(BR29+AV29)/2)</f>
        <v>0</v>
      </c>
      <c r="PO29" s="22">
        <f>IF($PY29="P",BS29,(BS29+AW29)/2)</f>
        <v>0</v>
      </c>
      <c r="PP29" s="22">
        <f>IF($PY29="P",BT29,(BT29+AX29)/2)</f>
        <v>0</v>
      </c>
      <c r="PQ29" s="22">
        <f>IF($PY29="P",BU29,(BU29+AY29)/2)</f>
        <v>0</v>
      </c>
      <c r="PR29" s="22">
        <f>IF($PY29="P",BV29,(BV29+AZ29)/2)</f>
        <v>0</v>
      </c>
      <c r="PS29" s="22">
        <f>IF($PY29="P",BW29,(BW29+BA29)/2)</f>
        <v>0</v>
      </c>
      <c r="PT29" s="22">
        <f>IF($PY29="P",BX29,(BX29+BB29)/2)</f>
        <v>0</v>
      </c>
      <c r="PU29" s="22">
        <f>IF($PY29="P",BY29,(BY29+BC29)/2)</f>
        <v>0</v>
      </c>
      <c r="PV29" s="22">
        <f>IF($PY29="P",BZ29,(BZ29+BD29)/2)</f>
        <v>0</v>
      </c>
      <c r="PW29" s="22">
        <f>IF($PY29="P",CA29,(CA29+BE29)/2)</f>
        <v>0</v>
      </c>
      <c r="PX29" s="22">
        <f>IF($PY29="P",CB29,(CB29+BF29)/2)</f>
        <v>0</v>
      </c>
      <c r="PY29" s="27" t="s">
        <v>46</v>
      </c>
      <c r="PZ29" s="40" t="str">
        <f>IF(SUM(PJ29,PN29)&gt;0,SUM(PJ29,PN29),"")</f>
        <v/>
      </c>
      <c r="QA29" s="40" t="str">
        <f>IF(SUM(PI29:PJ29,PL29:PN29,PP29)-PK29-PO29&gt;0,SUM(PI29:PJ29,PL29:PN29,PP29)-PK29-PO29,"")</f>
        <v/>
      </c>
      <c r="QB29" s="40" t="str">
        <f>IF(SUM(PR29,PV29)&gt;0,SUM(PR29,PV29),"")</f>
        <v/>
      </c>
      <c r="QC29" s="40" t="str">
        <f>IF(SUM(PQ29:PR29,PT29:PV29,PX29)-SUM(PS29,PW29)&gt;0,SUM(PQ29:PR29,PT29:PV29,PX29)-SUM(PS29,PW29),"")</f>
        <v/>
      </c>
      <c r="QD29" s="40" t="str">
        <f>IF(SUM(QA29,QC29)&gt;0,SUM(QA29,QC29),"")</f>
        <v/>
      </c>
    </row>
    <row r="30" spans="1:446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152</v>
      </c>
      <c r="D30" s="4" t="s">
        <v>3</v>
      </c>
      <c r="E30" s="4">
        <v>2006</v>
      </c>
      <c r="F30" s="9">
        <f>SUM(L30:R30)+SUM(L30:O30)*0.0000001+SUM(L30)*0.0000000000001</f>
        <v>43.300004330004334</v>
      </c>
      <c r="G30" s="64"/>
      <c r="H30" s="3" t="str">
        <f>IF(OR(AND(AL30&gt;=AP$36,AM30&gt;=AP$40,AL30&lt;&gt;"",AK30=""),AND(AN30&gt;=AP$36,AO30&gt;=AP$40,AN30&lt;&gt;"",AK30=""),AND(BH30&gt;=BL$36,BI30&gt;=BL$40,BH30&lt;&gt;"",BG30=""),AND(BJ30&gt;=BL$36,BK30&gt;=BL$40,BJ30&lt;&gt;"",BG30=""),AND(CD30&gt;=CH$36,CE30&gt;=CH$40,CD30&lt;&gt;"",CC30=""),AND(CF30&gt;=CH$36,CG30&gt;=CH$40,CF30&lt;&gt;""),AND(DE30&gt;=DL$36,DF30&gt;=DL$40,DE30&lt;&gt;""),AND(DJ30&gt;=DL$36,DK30&gt;=DL$40,DJ30&lt;&gt;""),AND(EG30&gt;=EN$36,EH30&gt;=EN$40,EG30&lt;&gt;""),AND(EL30&gt;=EN$36,EM30&gt;=EN$40,EL30&lt;&gt;""),AND(FI30&gt;=FP$36,FJ30&gt;=FP$40,FI30&lt;&gt;""),AND(FN30&gt;=FP$36,FO30&gt;=FP$40,FN30&lt;&gt;""),AND(GK30&gt;=GR$36,GL30&gt;=GR$40,GK30&lt;&gt;""),AND(GP30&gt;=GR$36,GQ30&gt;=GR$40,GP30&lt;&gt;""),AND(HM30&gt;=HT$36,HN30&gt;=HT$40,HM30&lt;&gt;""),AND(HR30&gt;=HT$36,HS30&gt;=HT$40,HR30&lt;&gt;""),AND(IO30&gt;=IV$36,IP30&gt;=IV$40,IO30&lt;&gt;""),AND(IT30&gt;=IV$36,IU30&gt;=IV$40,IT30&lt;&gt;""),AND(JQ30&gt;=JX$36,JR30&gt;=JX$40,JQ30&lt;&gt;""),AND(JV30&gt;=JX$36,JW30&gt;=JX$40,JV30&lt;&gt;""),AND(KS30&gt;=KZ$36,KT30&gt;=KZ$40,KS30&lt;&gt;""),AND(KX30&gt;=KZ$36,KY30&gt;=KZ$40,KX30&lt;&gt;""),AND(LU30&gt;=MB$36,LV30&gt;=MB$40,LU30&lt;&gt;""),AND(LZ30&gt;=MB$36,MA30&gt;=MB$40,LZ30&lt;&gt;""),AND(MW30&gt;=ND$36,MX30&gt;=ND$40,MW30&lt;&gt;""),AND(NB30&gt;=ND$36,NC30&gt;=ND$40,NB30&lt;&gt;""),AND(NY30&gt;=OF$36,NZ30&gt;=OF$40,NY30&lt;&gt;""),AND(OD30&gt;=OF$36,OE30&gt;=OF$40,OD30&lt;&gt;""),AND(PA30&gt;=PH$36,PB30&gt;=PH$40,PA30&lt;&gt;""),AND(PF30&gt;=PH$36,PG30&gt;=PH$40,PF30&lt;&gt;"")),"P","")</f>
        <v/>
      </c>
      <c r="I30" s="3" t="str">
        <f>IF(OR(AND(AM30&gt;=AP$40,AM30&lt;&gt;"",AK30=""),AND(AO30&gt;=AP$40,AO30&lt;&gt;"",AK30=""),AND(BI30&gt;=BL$40,BI30&lt;&gt;"",BG30=""),AND(BK30&gt;=BL$40,BK30&lt;&gt;"",BG30=""),AND(CE30&gt;=CH$40,CE30&lt;&gt;"",CC30=""),AND(CG30&gt;=CH$40,CG30&lt;&gt;"",CC30=""),AND(DF30&gt;=DL$40,DF30&lt;&gt;""),AND(DK30&gt;=DL$40,DK30&lt;&gt;""),AND(EH30&gt;=EN$40,EH30&lt;&gt;""),AND(EM30&gt;=EN$40,EM30&lt;&gt;""),AND(FJ30&gt;=FP$40,FJ30&lt;&gt;""),AND(FO30&gt;=FP$40,FO30&lt;&gt;""),AND(GL30&gt;=GR$40,GL30&lt;&gt;""),AND(GQ30&gt;=GR$40,GQ30&lt;&gt;""),AND(HN30&gt;=HT$40,HN30&lt;&gt;""),AND(HS30&gt;=HT$40,HS30&lt;&gt;""),AND(IP30&gt;=IV$40,IP30&lt;&gt;""),AND(IU30&gt;=IV$40,IU30&lt;&gt;""),AND(JR30&gt;=JX$40,JR30&lt;&gt;""),AND(JW30&gt;=JX$40,JW30&lt;&gt;""),AND(KT30&gt;=KZ$40,KT30&lt;&gt;""),AND(KY30&gt;=KZ$40,KY30&lt;&gt;""),AND(LV30&gt;=MB$40,LV30&lt;&gt;""),AND(MA30&gt;=MB$40,MA30&lt;&gt;""),AND(MX30&gt;=ND$40,MX30&lt;&gt;""),AND(NC30&gt;=ND$40,NC30&lt;&gt;""),AND(NZ30&gt;=OF$40,NZ30&lt;&gt;""),AND(OE30&gt;=OF$40,OE30&lt;&gt;""),AND(PB30&gt;=PH$40,PB30&lt;&gt;""),AND(PG30&gt;=PH$40,PG30&lt;&gt;"")),"P","")</f>
        <v/>
      </c>
      <c r="J30" s="36" t="str">
        <f>IF(AND(I30="P",H30=""),"No DD",IF(OR(AND(AL30&gt;=AP$26,AM30&gt;=AP$30,AL30&lt;&gt;"",AK30=""),AND(BH30&gt;=BL$26,BI30&gt;=BL$30,BH30&lt;&gt;"",BG30=""),AND(CD30&gt;=CH$26,CE30&gt;=CH$30,CD30&lt;&gt;"",CC30=""),AND(DH30&gt;=DL$26,DI30&gt;=DL$30,DH30&lt;&gt;""),AND(EJ30&gt;=EN$26,EK30&gt;=EN$30,EJ30&lt;&gt;""),AND(FL30&gt;=FP$26,FM30&gt;=FP$30,FL30&lt;&gt;""),AND(GN30&gt;=GR$26,GO30&gt;=GR$30,GN30&lt;&gt;""),AND(HP30&gt;=HT$26,HQ30&gt;=HT$30,HP30&lt;&gt;""),AND(IR30&gt;=IV$26,IS30&gt;=IV$30,IR30&lt;&gt;""),AND(JT30&gt;=JX$26,JU30&gt;=JX$30,JT30&lt;&gt;""),AND(KV30&gt;=KZ$26,KW30&gt;=KZ$30,KV30&lt;&gt;""),AND(LX30&gt;=MB$26,LY30&gt;=MB$30,LX30&lt;&gt;""),AND(MZ30&gt;=ND$26,NA30&gt;=ND$30,MZ30&lt;&gt;""),AND(OB30&gt;=OF$26,OC30&gt;=OF$30,OB30&lt;&gt;""),AND(PD30&gt;=PH$26,PE30&gt;=PH$30,PD30&lt;&gt;"")),"Merit",IF(OR(AND(AL30&gt;=AP$25,AM30&gt;=AP$29,AL30&lt;&gt;"",AK30=""),AND(BH30&gt;=BL$25,BI30&gt;=BL$29,BH30&lt;&gt;"",BG30=""),AND(CD30&gt;=CH$25,CE30&gt;=CH$29,CD30&lt;&gt;"",CC30=""),AND(DH30&gt;=DL$25,DI30&gt;=DL$29,DH30&lt;&gt;""),AND(EJ30&gt;=EN$25,EK30&gt;=EN$29,EJ30&lt;&gt;""),AND(FL30&gt;=FP$25,FM30&gt;=FP$29,FL30&lt;&gt;""),AND(GN30&gt;=GR$25,GO30&gt;=GR$29,GN30&lt;&gt;""),AND(HP30&gt;=HT$25,HQ30&gt;=HT$29,HP30&lt;&gt;""),AND(IR30&gt;=IV$25,IS30&gt;=IV$29,IR30&lt;&gt;""),AND(JT30&gt;=JX$25,JU30&gt;=JX$29,JT30&lt;&gt;""),AND(KV30&gt;=KZ$25,KW30&gt;=KZ$29,KV30&lt;&gt;""),AND(LX30&gt;=MB$25,LY30&gt;=MB$29,LX30&lt;&gt;""),AND(MZ30&gt;=ND$25,NA30&gt;=ND$29,MZ30&lt;&gt;""),AND(OB30&gt;=OF$25,OC30&gt;=OF$29,OB30&lt;&gt;""),AND(PD30&gt;=PH$25,PE30&gt;=PH$29,PD30&lt;&gt;"")),"Excellence",IF(K30="P","Worlds Team",IF(H30="P","National Team","")))))</f>
        <v/>
      </c>
      <c r="K30" s="3" t="str">
        <f>IF(OR(AND(AL30&gt;=AP$24,AM30&gt;=AP$28,AL30&lt;&gt;"",AK30=""),AND(BH30&gt;=BL$24,BI30&gt;=BL$28,BH30&lt;&gt;"",BG30=""),AND(CD30&gt;=CH$24,CE30&gt;=CH$28,CD30&lt;&gt;"",CC30=""),AND(DH30&gt;=DL$24,DI30&gt;=DL$28,DH30&lt;&gt;""),AND(EJ30&gt;=EN$24,EK30&gt;=EN$28,EJ30&lt;&gt;""),AND(FL30&gt;=FP$24,FM30&gt;=FP$28,FL30&lt;&gt;""),AND(GN30&gt;=GR$24,GO30&gt;=GR$28,GN30&lt;&gt;""),AND(HP30&gt;=HT$24,HQ30&gt;=HT$28,HP30&lt;&gt;""),AND(IR30&gt;=IV$24,IS30&gt;=IV$28,IR30&lt;&gt;""),AND(JT30&gt;=JX$24,JU30&gt;=JX$28,JT30&lt;&gt;""),AND(KV30&gt;=KZ$24,KW30&gt;=KZ$28,KV30&lt;&gt;""),AND(LX30&gt;=MB$24,LY30&gt;=MB$28,LX30&lt;&gt;""),AND(MZ30&gt;=ND$24,NA30&gt;=ND$28,MZ30&lt;&gt;""),AND(OB30&gt;=OF$24,OC30&gt;=OF$28,OB30&lt;&gt;""),AND(PD30&gt;=PH$24,PE30&gt;=PH$28,PD30&lt;&gt;"")),"P","")</f>
        <v/>
      </c>
      <c r="L30" s="8">
        <f>IF(COUNT(AM30,BI30,CE30)&gt;0,LARGE((AM30,BI30,CE30),1),0)</f>
        <v>43.300000000000004</v>
      </c>
      <c r="M30" s="8" t="str">
        <f>IF(L30=0,"",IF(L30=CE30,$BM$1,IF(L30=BI30,$AQ$1,IF(L30=AM30,$U$1,""))))</f>
        <v>2025 Nationals</v>
      </c>
      <c r="N30" s="8">
        <f>IF(COUNT(AM30,BI30,CE30)&gt;1,LARGE((AM30,BI30,CE30),2),0)</f>
        <v>0</v>
      </c>
      <c r="O30" s="8" t="str">
        <f>IF(N30=0,"",IF(AND(N30=L30,N30=AM30,N30=BI30),$U$1,IF(AND(N30=L30,N30=AM30,N30=CE30),$U$1,IF(AND(N30=L30,N30=BI30,N30=CE30),$AQ$1,IF(N30=CE30,$BM$1,IF(N30=BI30,$AQ$1,IF(N30=AM30,$U$1,"")))))))</f>
        <v/>
      </c>
      <c r="P30" s="8">
        <f>IF(MAX(AO30,BK30,CG30)&gt;0,MAX(AO30,BK30,CG30),0)</f>
        <v>0</v>
      </c>
      <c r="Q30" s="8" t="str">
        <f>IF(P30=0,"",IF(P30=CG30,$BM$1,IF(P30=BK30,$AQ$1,IF(P30=AO30,$U$1,""))))</f>
        <v/>
      </c>
      <c r="R30" s="8" t="str">
        <f>IF(MAX(CI30:CJ30)&gt;0,MAX(CI30:CJ30),"")</f>
        <v/>
      </c>
      <c r="S30" s="11" t="str">
        <f>IF(R30="","",IF(R30=CI30,"("&amp;CI$2&amp;")",IF(R30=CJ30,"("&amp;CJ$2&amp;")")))</f>
        <v/>
      </c>
      <c r="T30" s="8" t="str">
        <f>IF(R30="","",IF(R30=CI30,IF(R30+IF(N30="",0,N30)=PB30,$OG$1,IF(R30+IF(N30="",0,N30)=NZ30,$NE$1,IF(R30+IF(N30="",0,N30)=MX30,$MC$1,IF(R30+IF(N30="",0,N30)=LV30,$LA$1,IF(R30+IF(N30="",0,N30)=KT30,$JY$1,IF(R30+IF(N30="",0,N30)=JR30,$IW$1,IF(R30+IF(N30="",0,N30)=IP30,$HU$1,IF(R30+IF(N30="",0,N30)=HN30,$GS$1,IF(R30+IF(N30="",0,N30)=GL30,$FQ$1,IF(R30+IF(N30="",0,N30)=FJ30,$EO$1,IF(R30+IF(N30="",0,N30)=EH30,$DM$1,IF(R30+IF(N30="",0,N30)=DF30,$CK$1)))))))))))),IF(R30=CJ30,IF(R30+IF(P30="",0,P30)=PG30,$OG$1,IF(R30+IF(P30="",0,P30)=OE30,$NE$1,IF(R30+IF(P30="",0,P30)=NC30,$MC$1,IF(R30+IF(P30="",0,P30)=MA30,$LA$1,IF(R30+IF(P30="",0,P30)=KY30,$JY$1,IF(R30+IF(P30="",0,P30)=JW30,$IW$1,IF(R30+IF(P30="",0,P30)=IU30,$HU$1,IF(R30+IF(P30="",0,P30)=HS30,$GS$1,IF(R30+IF(P30="",0,P30)=GQ30,$FQ$1,IF(R30+IF(P30="",0,P30)=FO30,$EO$1,IF(R30+IF(P30="",0,P30)=EM30,$DM$1,IF(R30+IF(P30="",0,P30)=DK30,$CK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27"/>
      <c r="AL30" s="40" t="str">
        <f>IF(SUM(V30,Z30)&gt;0,SUM(V30,Z30),"")</f>
        <v/>
      </c>
      <c r="AM30" s="40" t="str">
        <f>IF(SUM(U30:V30,X30:Z30,AB30)-W30-AA30&gt;0,SUM(U30:V30,X30:Z30,AB30)-W30-AA30,"")</f>
        <v/>
      </c>
      <c r="AN30" s="40" t="str">
        <f>IF(SUM(AD30,AH30)&gt;0,SUM(AD30,AH30),"")</f>
        <v/>
      </c>
      <c r="AO30" s="40" t="str">
        <f>IF(SUM(AC30:AD30,AF30:AH30,AJ30)-SUM(AE30,AI30)&gt;0,SUM(AC30:AD30,AF30:AH30,AJ30)-SUM(AE30,AI30),"")</f>
        <v/>
      </c>
      <c r="AP30" s="40" t="str">
        <f>IF(SUM(AM30,AO30)&gt;0,SUM(AM30,AO30),"")</f>
        <v/>
      </c>
      <c r="AQ30" s="18">
        <v>19.100000000000001</v>
      </c>
      <c r="AR30" s="18">
        <v>3.1</v>
      </c>
      <c r="AS30" s="18">
        <v>0.6</v>
      </c>
      <c r="AT30" s="18">
        <v>0</v>
      </c>
      <c r="AU30" s="18">
        <v>18.8</v>
      </c>
      <c r="AV30" s="18">
        <v>3.2</v>
      </c>
      <c r="AW30" s="18">
        <v>0.3</v>
      </c>
      <c r="AX30" s="18">
        <v>0</v>
      </c>
      <c r="AY30" s="18"/>
      <c r="AZ30" s="18"/>
      <c r="BA30" s="18"/>
      <c r="BB30" s="18"/>
      <c r="BC30" s="18"/>
      <c r="BD30" s="18"/>
      <c r="BE30" s="18"/>
      <c r="BF30" s="18"/>
      <c r="BG30" s="28"/>
      <c r="BH30" s="11">
        <f>IF(SUM(AR30,AV30)&gt;0,SUM(AR30,AV30),"")</f>
        <v>6.3000000000000007</v>
      </c>
      <c r="BI30" s="11">
        <f>IF(SUM(AQ30:AR30,AT30:AV30,AX30)-AS30-AW30&gt;0,SUM(AQ30:AR30,AT30:AV30,AX30)-AS30-AW30,"")</f>
        <v>43.300000000000004</v>
      </c>
      <c r="BJ30" s="11" t="str">
        <f>IF(SUM(AZ30,BD30)&gt;0,SUM(AZ30,BD30),"")</f>
        <v/>
      </c>
      <c r="BK30" s="11" t="str">
        <f>IF(SUM(AY30:AZ30,BB30:BD30,BF30)-SUM(BA30,BE30)&gt;0,SUM(AY30:AZ30,BB30:BD30,BF30)-SUM(BA30,BE30),"")</f>
        <v/>
      </c>
      <c r="BL30" s="11">
        <f>IF(SUM(BI30,BK30)&gt;0,SUM(BI30,BK30),"")</f>
        <v>43.300000000000004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>IF(SUM(BN30,BR30)&gt;0,SUM(BN30,BR30),"")</f>
        <v/>
      </c>
      <c r="CE30" s="40" t="str">
        <f>IF(SUM(BM30:BN30,BP30:BR30,BT30)-BO30-BS30&gt;0,SUM(BM30:BN30,BP30:BR30,BT30)-BO30-BS30,"")</f>
        <v/>
      </c>
      <c r="CF30" s="40" t="str">
        <f>IF(SUM(BV30,BZ30)&gt;0,SUM(BV30,BZ30),"")</f>
        <v/>
      </c>
      <c r="CG30" s="40" t="str">
        <f>IF(SUM(BU30:BV30,BX30:BZ30,CB30)-SUM(BW30,CA30)&gt;0,SUM(BU30:BV30,BX30:BZ30,CB30)-SUM(BW30,CA30),"")</f>
        <v/>
      </c>
      <c r="CH30" s="40" t="str">
        <f>IF(SUM(CE30,CG30)&gt;0,SUM(CE30,CG30),"")</f>
        <v/>
      </c>
      <c r="CI30" s="50" t="str">
        <f>IF(MAX(DF30,EH30,FJ30,GL30,HN30,IP30,JR30,KT30,LV30,MX30,NZ30,PB30)-IF(N30="",0,N30)&gt;0.001,MAX(DF30,EH30,FJ30,GL30,HN30,IP30,JR30,KT30,LV30,MX30,NZ30,PB30)-IF(N30="",0,N30),"")</f>
        <v/>
      </c>
      <c r="CJ30" s="50" t="str">
        <f>IF(MAX(DK30,EM30,FO30,GQ30,HS30,IU30,JW30,KY30,MA30,NC30,OE30,PG30)-IF(P30="",0,P30)&gt;0.001,MAX(DK30,EM30,FO30,GQ30,HS30,IU30,JW30,KY30,MA30,NC30,OE30,PG30)-IF(P30="",0,P30),"")</f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>IF(SUM(CL30,CP30)&gt;0,SUM(CL30,CP30),"")</f>
        <v/>
      </c>
      <c r="DF30" s="40" t="str">
        <f>IF(SUM(CK30:CL30,CN30:CP30,CR30)-CM30-CQ30&gt;0,SUM(CK30:CL30,CN30:CP30,CR30)-CM30-CQ30,"")</f>
        <v/>
      </c>
      <c r="DG30" s="40" t="str">
        <f>IF(SUM(CS30:CT30,CV30)-CU30&gt;0,SUM(CS30:CT30,CV30)-CU30,"")</f>
        <v/>
      </c>
      <c r="DH30" s="40" t="str">
        <f>IF(SUM(CL30,CP30,CT30)&gt;0,SUM(CL30,CP30,CT30),"")</f>
        <v/>
      </c>
      <c r="DI30" s="40" t="str">
        <f>IF(SUM(DF30,DG30)&gt;0,SUM(DF30,DG30),"")</f>
        <v/>
      </c>
      <c r="DJ30" s="40" t="str">
        <f>IF(SUM(CX30,DB30)&gt;0,SUM(CX30,DB30),"")</f>
        <v/>
      </c>
      <c r="DK30" s="40" t="str">
        <f>IF(SUM(CW30:CX30,CZ30:DB30,DD30)-SUM(CY30,DC30)&gt;0,SUM(CW30:CX30,CZ30:DB30,DD30)-SUM(CY30,DC30),"")</f>
        <v/>
      </c>
      <c r="DL30" s="40" t="str">
        <f>IF(SUM(DF30,DG30,DK30)&gt;0,SUM(DF30,DG30,DK30),"")</f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>IF(SUM(DN30,DR30)&gt;0,SUM(DN30,DR30),"")</f>
        <v/>
      </c>
      <c r="EH30" s="11" t="str">
        <f>IF(SUM(DM30:DN30,DP30:DR30,DT30)-DO30-DS30&gt;0,SUM(DM30:DN30,DP30:DR30,DT30)-DO30-DS30,"")</f>
        <v/>
      </c>
      <c r="EI30" s="11" t="str">
        <f>IF(SUM(DU30:DV30,DX30)-DW30&gt;0,SUM(DU30:DV30,DX30)-DW30,"")</f>
        <v/>
      </c>
      <c r="EJ30" s="11" t="str">
        <f>IF(SUM(DN30,DR30,DV30)&gt;0,SUM(DN30,DR30,DV30),"")</f>
        <v/>
      </c>
      <c r="EK30" s="11" t="str">
        <f>IF(SUM(EH30,EI30)&gt;0,SUM(EH30,EI30),"")</f>
        <v/>
      </c>
      <c r="EL30" s="11" t="str">
        <f>IF(SUM(DZ30,ED30)&gt;0,SUM(DZ30,ED30),"")</f>
        <v/>
      </c>
      <c r="EM30" s="11" t="str">
        <f>IF(SUM(DY30:DZ30,EB30:ED30,EF30)-SUM(EA30,EE30)&gt;0,SUM(DY30:DZ30,EB30:ED30,EF30)-SUM(EA30,EE30),"")</f>
        <v/>
      </c>
      <c r="EN30" s="11" t="str">
        <f>IF(SUM(EH30,EI30,EM30)&gt;0,SUM(EH30,EI30,EM30),"")</f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>IF(SUM(EP30,ET30)&gt;0,SUM(EP30,ET30),"")</f>
        <v/>
      </c>
      <c r="FJ30" s="40" t="str">
        <f>IF(SUM(EO30:EP30,ER30:ET30,EV30)-EQ30-EU30&gt;0,SUM(EO30:EP30,ER30:ET30,EV30)-EQ30-EU30,"")</f>
        <v/>
      </c>
      <c r="FK30" s="40" t="str">
        <f>IF(SUM(EW30:EX30,EZ30)-EY30&gt;0,SUM(EW30:EX30,EZ30)-EY30,"")</f>
        <v/>
      </c>
      <c r="FL30" s="40" t="str">
        <f>IF(SUM(EP30,ET30,EX30)&gt;0,SUM(EP30,ET30,EX30),"")</f>
        <v/>
      </c>
      <c r="FM30" s="40" t="str">
        <f>IF(SUM(FJ30,FK30)&gt;0,SUM(FJ30,FK30),"")</f>
        <v/>
      </c>
      <c r="FN30" s="40" t="str">
        <f>IF(SUM(FB30,FF30)&gt;0,SUM(FB30,FF30),"")</f>
        <v/>
      </c>
      <c r="FO30" s="40" t="str">
        <f>IF(SUM(FA30:FB30,FD30:FF30,FH30)-SUM(FC30,FG30)&gt;0,SUM(FA30:FB30,FD30:FF30,FH30)-SUM(FC30,FG30),"")</f>
        <v/>
      </c>
      <c r="FP30" s="40" t="str">
        <f>IF(SUM(FJ30,FK30,FO30)&gt;0,SUM(FJ30,FK30,FO30),"")</f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>IF(SUM(FR30,FV30)&gt;0,SUM(FR30,FV30),"")</f>
        <v/>
      </c>
      <c r="GL30" s="11" t="str">
        <f>IF(SUM(FQ30:FR30,FT30:FV30,FX30)-FS30-FW30&gt;0,SUM(FQ30:FR30,FT30:FV30,FX30)-FS30-FW30,"")</f>
        <v/>
      </c>
      <c r="GM30" s="11" t="str">
        <f>IF(SUM(FY30:FZ30,GB30)-GA30&gt;0,SUM(FY30:FZ30,GB30)-GA30,"")</f>
        <v/>
      </c>
      <c r="GN30" s="11" t="str">
        <f>IF(SUM(FR30,FV30,FZ30)&gt;0,SUM(FR30,FV30,FZ30),"")</f>
        <v/>
      </c>
      <c r="GO30" s="11" t="str">
        <f>IF(SUM(GL30,GM30)&gt;0,SUM(GL30,GM30),"")</f>
        <v/>
      </c>
      <c r="GP30" s="11" t="str">
        <f>IF(SUM(GD30,GH30)&gt;0,SUM(GD30,GH30),"")</f>
        <v/>
      </c>
      <c r="GQ30" s="11" t="str">
        <f>IF(SUM(GC30:GD30,GF30:GH30,GJ30)-SUM(GE30,GI30)&gt;0,SUM(GC30:GD30,GF30:GH30,GJ30)-SUM(GE30,GI30),"")</f>
        <v/>
      </c>
      <c r="GR30" s="11" t="str">
        <f>IF(SUM(GL30,GM30,GQ30)&gt;0,SUM(GL30,GM30,GQ30),"")</f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>IF(SUM(GT30,GX30)&gt;0,SUM(GT30,GX30),"")</f>
        <v/>
      </c>
      <c r="HN30" s="40" t="str">
        <f>IF(SUM(GS30:GT30,GV30:GX30,GZ30)-GU30-GY30&gt;0,SUM(GS30:GT30,GV30:GX30,GZ30)-GU30-GY30,"")</f>
        <v/>
      </c>
      <c r="HO30" s="40" t="str">
        <f>IF(SUM(HA30:HB30,HD30)-HC30&gt;0,SUM(HA30:HB30,HD30)-HC30,"")</f>
        <v/>
      </c>
      <c r="HP30" s="40" t="str">
        <f>IF(SUM(GT30,GX30,HB30)&gt;0,SUM(GT30,GX30,HB30),"")</f>
        <v/>
      </c>
      <c r="HQ30" s="40" t="str">
        <f>IF(SUM(HN30,HO30)&gt;0,SUM(HN30,HO30),"")</f>
        <v/>
      </c>
      <c r="HR30" s="40" t="str">
        <f>IF(SUM(HF30,HJ30)&gt;0,SUM(HF30,HJ30),"")</f>
        <v/>
      </c>
      <c r="HS30" s="40" t="str">
        <f>IF(SUM(HE30:HF30,HH30:HJ30,HL30)-SUM(HG30,HK30)&gt;0,SUM(HE30:HF30,HH30:HJ30,HL30)-SUM(HG30,HK30),"")</f>
        <v/>
      </c>
      <c r="HT30" s="40" t="str">
        <f>IF(SUM(HN30,HO30,HS30)&gt;0,SUM(HN30,HO30,HS30),"")</f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>IF(SUM(HV30,HZ30)&gt;0,SUM(HV30,HZ30),"")</f>
        <v/>
      </c>
      <c r="IP30" s="11" t="str">
        <f>IF(SUM(HU30:HV30,HX30:HZ30,IB30)-HW30-IA30&gt;0,SUM(HU30:HV30,HX30:HZ30,IB30)-HW30-IA30,"")</f>
        <v/>
      </c>
      <c r="IQ30" s="11" t="str">
        <f>IF(SUM(IC30:ID30,IF30)-IE30&gt;0,SUM(IC30:ID30,IF30)-IE30,"")</f>
        <v/>
      </c>
      <c r="IR30" s="11" t="str">
        <f>IF(SUM(HV30,HZ30,ID30)&gt;0,SUM(HV30,HZ30,ID30),"")</f>
        <v/>
      </c>
      <c r="IS30" s="11" t="str">
        <f>IF(SUM(IP30,IQ30)&gt;0,SUM(IP30,IQ30),"")</f>
        <v/>
      </c>
      <c r="IT30" s="11" t="str">
        <f>IF(SUM(IH30,IL30)&gt;0,SUM(IH30,IL30),"")</f>
        <v/>
      </c>
      <c r="IU30" s="11" t="str">
        <f>IF(SUM(IG30:IH30,IJ30:IL30,IN30)-SUM(II30,IM30)&gt;0,SUM(IG30:IH30,IJ30:IL30,IN30)-SUM(II30,IM30),"")</f>
        <v/>
      </c>
      <c r="IV30" s="11" t="str">
        <f>IF(SUM(IP30,IQ30,IU30)&gt;0,SUM(IP30,IQ30,IU30),"")</f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>IF(SUM(IX30,JB30)&gt;0,SUM(IX30,JB30),"")</f>
        <v/>
      </c>
      <c r="JR30" s="40" t="str">
        <f>IF(SUM(IW30:IX30,IZ30:JB30,JD30)-IY30-JC30&gt;0,SUM(IW30:IX30,IZ30:JB30,JD30)-IY30-JC30,"")</f>
        <v/>
      </c>
      <c r="JS30" s="40" t="str">
        <f>IF(SUM(JE30:JF30,JH30)-JG30&gt;0,SUM(JE30:JF30,JH30)-JG30,"")</f>
        <v/>
      </c>
      <c r="JT30" s="40" t="str">
        <f>IF(SUM(IX30,JB30,JF30)&gt;0,SUM(IX30,JB30,JF30),"")</f>
        <v/>
      </c>
      <c r="JU30" s="40" t="str">
        <f>IF(SUM(JR30,JS30)&gt;0,SUM(JR30,JS30),"")</f>
        <v/>
      </c>
      <c r="JV30" s="40" t="str">
        <f>IF(SUM(JJ30,JN30)&gt;0,SUM(JJ30,JN30),"")</f>
        <v/>
      </c>
      <c r="JW30" s="40" t="str">
        <f>IF(SUM(JI30:JJ30,JL30:JN30,JP30)-SUM(JK30,JO30)&gt;0,SUM(JI30:JJ30,JL30:JN30,JP30)-SUM(JK30,JO30),"")</f>
        <v/>
      </c>
      <c r="JX30" s="40" t="str">
        <f>IF(SUM(JR30,JS30,JW30)&gt;0,SUM(JR30,JS30,JW30),"")</f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>IF(SUM(JZ30,KD30)&gt;0,SUM(JZ30,KD30),"")</f>
        <v/>
      </c>
      <c r="KT30" s="11" t="str">
        <f>IF(SUM(JY30:JZ30,KB30:KD30,KF30)-KA30-KE30&gt;0,SUM(JY30:JZ30,KB30:KD30,KF30)-KA30-KE30,"")</f>
        <v/>
      </c>
      <c r="KU30" s="11" t="str">
        <f>IF(SUM(KG30:KH30,KJ30)-KI30&gt;0,SUM(KG30:KH30,KJ30)-KI30,"")</f>
        <v/>
      </c>
      <c r="KV30" s="11" t="str">
        <f>IF(SUM(JZ30,KD30,KH30)&gt;0,SUM(JZ30,KD30,KH30),"")</f>
        <v/>
      </c>
      <c r="KW30" s="11" t="str">
        <f>IF(SUM(KT30,KU30)&gt;0,SUM(KT30,KU30),"")</f>
        <v/>
      </c>
      <c r="KX30" s="11" t="str">
        <f>IF(SUM(KL30,KP30)&gt;0,SUM(KL30,KP30),"")</f>
        <v/>
      </c>
      <c r="KY30" s="11" t="str">
        <f>IF(SUM(KK30:KL30,KN30:KP30,KR30)-SUM(KM30,KQ30)&gt;0,SUM(KK30:KL30,KN30:KP30,KR30)-SUM(KM30,KQ30),"")</f>
        <v/>
      </c>
      <c r="KZ30" s="11" t="str">
        <f>IF(SUM(KT30,KU30,KY30)&gt;0,SUM(KT30,KU30,KY30),"")</f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>IF(SUM(LB30,LF30)&gt;0,SUM(LB30,LF30),"")</f>
        <v/>
      </c>
      <c r="LV30" s="40" t="str">
        <f>IF(SUM(LA30:LB30,LD30:LF30,LH30)-LC30-LG30&gt;0,SUM(LA30:LB30,LD30:LF30,LH30)-LC30-LG30,"")</f>
        <v/>
      </c>
      <c r="LW30" s="40" t="str">
        <f>IF(SUM(LI30:LJ30,LL30)-LK30&gt;0,SUM(LI30:LJ30,LL30)-LK30,"")</f>
        <v/>
      </c>
      <c r="LX30" s="40" t="str">
        <f>IF(SUM(LB30,LF30,LJ30)&gt;0,SUM(LB30,LF30,LJ30),"")</f>
        <v/>
      </c>
      <c r="LY30" s="40" t="str">
        <f>IF(SUM(LV30,LW30)&gt;0,SUM(LV30,LW30),"")</f>
        <v/>
      </c>
      <c r="LZ30" s="40" t="str">
        <f>IF(SUM(LN30,LR30)&gt;0,SUM(LN30,LR30),"")</f>
        <v/>
      </c>
      <c r="MA30" s="40" t="str">
        <f>IF(SUM(LM30:LN30,LP30:LR30,LT30)-SUM(LO30,LS30)&gt;0,SUM(LM30:LN30,LP30:LR30,LT30)-SUM(LO30,LS30),"")</f>
        <v/>
      </c>
      <c r="MB30" s="40" t="str">
        <f>IF(SUM(LV30,LW30,MA30)&gt;0,SUM(LV30,LW30,MA30),"")</f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>IF(SUM(MD30,MH30)&gt;0,SUM(MD30,MH30),"")</f>
        <v/>
      </c>
      <c r="MX30" s="11" t="str">
        <f>IF(SUM(MC30:MD30,MF30:MH30,MJ30)-ME30-MI30&gt;0,SUM(MC30:MD30,MF30:MH30,MJ30)-ME30-MI30,"")</f>
        <v/>
      </c>
      <c r="MY30" s="11" t="str">
        <f>IF(SUM(MK30:ML30,MN30)-MM30&gt;0,SUM(MK30:ML30,MN30)-MM30,"")</f>
        <v/>
      </c>
      <c r="MZ30" s="11" t="str">
        <f>IF(SUM(MD30,MH30,ML30)&gt;0,SUM(MD30,MH30,ML30),"")</f>
        <v/>
      </c>
      <c r="NA30" s="11" t="str">
        <f>IF(SUM(MX30,MY30)&gt;0,SUM(MX30,MY30),"")</f>
        <v/>
      </c>
      <c r="NB30" s="11" t="str">
        <f>IF(SUM(MP30,MT30)&gt;0,SUM(MP30,MT30),"")</f>
        <v/>
      </c>
      <c r="NC30" s="11" t="str">
        <f>IF(SUM(MO30:MP30,MR30:MT30,MV30)-SUM(MQ30,MU30)&gt;0,SUM(MO30:MP30,MR30:MT30,MV30)-SUM(MQ30,MU30),"")</f>
        <v/>
      </c>
      <c r="ND30" s="11" t="str">
        <f>IF(SUM(MX30,MY30,NC30)&gt;0,SUM(MX30,MY30,NC30),"")</f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>IF(SUM(NF30,NJ30)&gt;0,SUM(NF30,NJ30),"")</f>
        <v/>
      </c>
      <c r="NZ30" s="40" t="str">
        <f>IF(SUM(NE30:NF30,NH30:NJ30,NL30)-NG30-NK30&gt;0,SUM(NE30:NF30,NH30:NJ30,NL30)-NG30-NK30,"")</f>
        <v/>
      </c>
      <c r="OA30" s="40" t="str">
        <f>IF(SUM(NM30:NN30,NP30)-NO30&gt;0,SUM(NM30:NN30,NP30)-NO30,"")</f>
        <v/>
      </c>
      <c r="OB30" s="40" t="str">
        <f>IF(SUM(NF30,NJ30,NN30)&gt;0,SUM(NF30,NJ30,NN30),"")</f>
        <v/>
      </c>
      <c r="OC30" s="40" t="str">
        <f>IF(SUM(NZ30,OA30)&gt;0,SUM(NZ30,OA30),"")</f>
        <v/>
      </c>
      <c r="OD30" s="40" t="str">
        <f>IF(SUM(NR30,NV30)&gt;0,SUM(NR30,NV30),"")</f>
        <v/>
      </c>
      <c r="OE30" s="40" t="str">
        <f>IF(SUM(NQ30:NR30,NT30:NV30,NX30)-SUM(NS30,NW30)&gt;0,SUM(NQ30:NR30,NT30:NV30,NX30)-SUM(NS30,NW30),"")</f>
        <v/>
      </c>
      <c r="OF30" s="40" t="str">
        <f>IF(SUM(NZ30,OA30,OE30)&gt;0,SUM(NZ30,OA30,OE30),"")</f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>IF(SUM(OH30,OL30)&gt;0,SUM(OH30,OL30),"")</f>
        <v/>
      </c>
      <c r="PB30" s="11" t="str">
        <f>IF(SUM(OG30:OH30,OJ30:OL30,ON30)-OI30-OM30&gt;0,SUM(OG30:OH30,OJ30:OL30,ON30)-OI30-OM30,"")</f>
        <v/>
      </c>
      <c r="PC30" s="11" t="str">
        <f>IF(SUM(OO30:OP30,OR30)-OQ30&gt;0,SUM(OO30:OP30,OR30)-OQ30,"")</f>
        <v/>
      </c>
      <c r="PD30" s="11" t="str">
        <f>IF(SUM(OH30,OL30,OP30)&gt;0,SUM(OH30,OL30,OP30),"")</f>
        <v/>
      </c>
      <c r="PE30" s="11" t="str">
        <f>IF(SUM(PB30,PC30)&gt;0,SUM(PB30,PC30),"")</f>
        <v/>
      </c>
      <c r="PF30" s="11" t="str">
        <f>IF(SUM(OT30,OX30)&gt;0,SUM(OT30,OX30),"")</f>
        <v/>
      </c>
      <c r="PG30" s="11" t="str">
        <f>IF(SUM(OS30:OT30,OV30:OX30,OZ30)-SUM(OU30,OY30)&gt;0,SUM(OS30:OT30,OV30:OX30,OZ30)-SUM(OU30,OY30),"")</f>
        <v/>
      </c>
      <c r="PH30" s="11" t="str">
        <f>IF(SUM(PB30,PC30,PG30)&gt;0,SUM(PB30,PC30,PG30),"")</f>
        <v/>
      </c>
      <c r="PI30" s="22">
        <f>IF($PY30="P",BM30,(BM30+AQ30)/2)</f>
        <v>0</v>
      </c>
      <c r="PJ30" s="22">
        <f>IF($PY30="P",BN30,(BN30+AR30)/2)</f>
        <v>0</v>
      </c>
      <c r="PK30" s="22">
        <f>IF($PY30="P",BO30,(BO30+AS30)/2)</f>
        <v>0</v>
      </c>
      <c r="PL30" s="22">
        <f>IF($PY30="P",BP30,(BP30+AT30)/2)</f>
        <v>0</v>
      </c>
      <c r="PM30" s="22">
        <f>IF($PY30="P",BQ30,(BQ30+AU30)/2)</f>
        <v>0</v>
      </c>
      <c r="PN30" s="22">
        <f>IF($PY30="P",BR30,(BR30+AV30)/2)</f>
        <v>0</v>
      </c>
      <c r="PO30" s="22">
        <f>IF($PY30="P",BS30,(BS30+AW30)/2)</f>
        <v>0</v>
      </c>
      <c r="PP30" s="22">
        <f>IF($PY30="P",BT30,(BT30+AX30)/2)</f>
        <v>0</v>
      </c>
      <c r="PQ30" s="22">
        <f>IF($PY30="P",BU30,(BU30+AY30)/2)</f>
        <v>0</v>
      </c>
      <c r="PR30" s="22">
        <f>IF($PY30="P",BV30,(BV30+AZ30)/2)</f>
        <v>0</v>
      </c>
      <c r="PS30" s="22">
        <f>IF($PY30="P",BW30,(BW30+BA30)/2)</f>
        <v>0</v>
      </c>
      <c r="PT30" s="22">
        <f>IF($PY30="P",BX30,(BX30+BB30)/2)</f>
        <v>0</v>
      </c>
      <c r="PU30" s="22">
        <f>IF($PY30="P",BY30,(BY30+BC30)/2)</f>
        <v>0</v>
      </c>
      <c r="PV30" s="22">
        <f>IF($PY30="P",BZ30,(BZ30+BD30)/2)</f>
        <v>0</v>
      </c>
      <c r="PW30" s="22">
        <f>IF($PY30="P",CA30,(CA30+BE30)/2)</f>
        <v>0</v>
      </c>
      <c r="PX30" s="22">
        <f>IF($PY30="P",CB30,(CB30+BF30)/2)</f>
        <v>0</v>
      </c>
      <c r="PY30" s="27" t="s">
        <v>46</v>
      </c>
      <c r="PZ30" s="40" t="str">
        <f>IF(SUM(PJ30,PN30)&gt;0,SUM(PJ30,PN30),"")</f>
        <v/>
      </c>
      <c r="QA30" s="40" t="str">
        <f>IF(SUM(PI30:PJ30,PL30:PN30,PP30)-PK30-PO30&gt;0,SUM(PI30:PJ30,PL30:PN30,PP30)-PK30-PO30,"")</f>
        <v/>
      </c>
      <c r="QB30" s="40" t="str">
        <f>IF(SUM(PR30,PV30)&gt;0,SUM(PR30,PV30),"")</f>
        <v/>
      </c>
      <c r="QC30" s="40" t="str">
        <f>IF(SUM(PQ30:PR30,PT30:PV30,PX30)-SUM(PS30,PW30)&gt;0,SUM(PQ30:PR30,PT30:PV30,PX30)-SUM(PS30,PW30),"")</f>
        <v/>
      </c>
      <c r="QD30" s="40" t="str">
        <f>IF(SUM(QA30,QC30)&gt;0,SUM(QA30,QC30),"")</f>
        <v/>
      </c>
    </row>
    <row r="31" spans="1:446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191</v>
      </c>
      <c r="D31" s="4" t="s">
        <v>4</v>
      </c>
      <c r="E31" s="4">
        <v>2006</v>
      </c>
      <c r="F31" s="9">
        <f>SUM(L31:R31)+SUM(L31:O31)*0.0000001+SUM(L31)*0.0000000000001</f>
        <v>42.700004270004271</v>
      </c>
      <c r="G31" s="64"/>
      <c r="H31" s="3" t="str">
        <f>IF(OR(AND(AL31&gt;=AP$36,AM31&gt;=AP$40,AL31&lt;&gt;"",AK31=""),AND(AN31&gt;=AP$36,AO31&gt;=AP$40,AN31&lt;&gt;"",AK31=""),AND(BH31&gt;=BL$36,BI31&gt;=BL$40,BH31&lt;&gt;"",BG31=""),AND(BJ31&gt;=BL$36,BK31&gt;=BL$40,BJ31&lt;&gt;"",BG31=""),AND(CD31&gt;=CH$36,CE31&gt;=CH$40,CD31&lt;&gt;"",CC31=""),AND(CF31&gt;=CH$36,CG31&gt;=CH$40,CF31&lt;&gt;""),AND(DE31&gt;=DL$36,DF31&gt;=DL$40,DE31&lt;&gt;""),AND(DJ31&gt;=DL$36,DK31&gt;=DL$40,DJ31&lt;&gt;""),AND(EG31&gt;=EN$36,EH31&gt;=EN$40,EG31&lt;&gt;""),AND(EL31&gt;=EN$36,EM31&gt;=EN$40,EL31&lt;&gt;""),AND(FI31&gt;=FP$36,FJ31&gt;=FP$40,FI31&lt;&gt;""),AND(FN31&gt;=FP$36,FO31&gt;=FP$40,FN31&lt;&gt;""),AND(GK31&gt;=GR$36,GL31&gt;=GR$40,GK31&lt;&gt;""),AND(GP31&gt;=GR$36,GQ31&gt;=GR$40,GP31&lt;&gt;""),AND(HM31&gt;=HT$36,HN31&gt;=HT$40,HM31&lt;&gt;""),AND(HR31&gt;=HT$36,HS31&gt;=HT$40,HR31&lt;&gt;""),AND(IO31&gt;=IV$36,IP31&gt;=IV$40,IO31&lt;&gt;""),AND(IT31&gt;=IV$36,IU31&gt;=IV$40,IT31&lt;&gt;""),AND(JQ31&gt;=JX$36,JR31&gt;=JX$40,JQ31&lt;&gt;""),AND(JV31&gt;=JX$36,JW31&gt;=JX$40,JV31&lt;&gt;""),AND(KS31&gt;=KZ$36,KT31&gt;=KZ$40,KS31&lt;&gt;""),AND(KX31&gt;=KZ$36,KY31&gt;=KZ$40,KX31&lt;&gt;""),AND(LU31&gt;=MB$36,LV31&gt;=MB$40,LU31&lt;&gt;""),AND(LZ31&gt;=MB$36,MA31&gt;=MB$40,LZ31&lt;&gt;""),AND(MW31&gt;=ND$36,MX31&gt;=ND$40,MW31&lt;&gt;""),AND(NB31&gt;=ND$36,NC31&gt;=ND$40,NB31&lt;&gt;""),AND(NY31&gt;=OF$36,NZ31&gt;=OF$40,NY31&lt;&gt;""),AND(OD31&gt;=OF$36,OE31&gt;=OF$40,OD31&lt;&gt;""),AND(PA31&gt;=PH$36,PB31&gt;=PH$40,PA31&lt;&gt;""),AND(PF31&gt;=PH$36,PG31&gt;=PH$40,PF31&lt;&gt;"")),"P","")</f>
        <v/>
      </c>
      <c r="I31" s="3" t="str">
        <f>IF(OR(AND(AM31&gt;=AP$40,AM31&lt;&gt;"",AK31=""),AND(AO31&gt;=AP$40,AO31&lt;&gt;"",AK31=""),AND(BI31&gt;=BL$40,BI31&lt;&gt;"",BG31=""),AND(BK31&gt;=BL$40,BK31&lt;&gt;"",BG31=""),AND(CE31&gt;=CH$40,CE31&lt;&gt;"",CC31=""),AND(CG31&gt;=CH$40,CG31&lt;&gt;"",CC31=""),AND(DF31&gt;=DL$40,DF31&lt;&gt;""),AND(DK31&gt;=DL$40,DK31&lt;&gt;""),AND(EH31&gt;=EN$40,EH31&lt;&gt;""),AND(EM31&gt;=EN$40,EM31&lt;&gt;""),AND(FJ31&gt;=FP$40,FJ31&lt;&gt;""),AND(FO31&gt;=FP$40,FO31&lt;&gt;""),AND(GL31&gt;=GR$40,GL31&lt;&gt;""),AND(GQ31&gt;=GR$40,GQ31&lt;&gt;""),AND(HN31&gt;=HT$40,HN31&lt;&gt;""),AND(HS31&gt;=HT$40,HS31&lt;&gt;""),AND(IP31&gt;=IV$40,IP31&lt;&gt;""),AND(IU31&gt;=IV$40,IU31&lt;&gt;""),AND(JR31&gt;=JX$40,JR31&lt;&gt;""),AND(JW31&gt;=JX$40,JW31&lt;&gt;""),AND(KT31&gt;=KZ$40,KT31&lt;&gt;""),AND(KY31&gt;=KZ$40,KY31&lt;&gt;""),AND(LV31&gt;=MB$40,LV31&lt;&gt;""),AND(MA31&gt;=MB$40,MA31&lt;&gt;""),AND(MX31&gt;=ND$40,MX31&lt;&gt;""),AND(NC31&gt;=ND$40,NC31&lt;&gt;""),AND(NZ31&gt;=OF$40,NZ31&lt;&gt;""),AND(OE31&gt;=OF$40,OE31&lt;&gt;""),AND(PB31&gt;=PH$40,PB31&lt;&gt;""),AND(PG31&gt;=PH$40,PG31&lt;&gt;"")),"P","")</f>
        <v/>
      </c>
      <c r="J31" s="36" t="str">
        <f>IF(AND(I31="P",H31=""),"No DD",IF(OR(AND(AL31&gt;=AP$26,AM31&gt;=AP$30,AL31&lt;&gt;"",AK31=""),AND(BH31&gt;=BL$26,BI31&gt;=BL$30,BH31&lt;&gt;"",BG31=""),AND(CD31&gt;=CH$26,CE31&gt;=CH$30,CD31&lt;&gt;"",CC31=""),AND(DH31&gt;=DL$26,DI31&gt;=DL$30,DH31&lt;&gt;""),AND(EJ31&gt;=EN$26,EK31&gt;=EN$30,EJ31&lt;&gt;""),AND(FL31&gt;=FP$26,FM31&gt;=FP$30,FL31&lt;&gt;""),AND(GN31&gt;=GR$26,GO31&gt;=GR$30,GN31&lt;&gt;""),AND(HP31&gt;=HT$26,HQ31&gt;=HT$30,HP31&lt;&gt;""),AND(IR31&gt;=IV$26,IS31&gt;=IV$30,IR31&lt;&gt;""),AND(JT31&gt;=JX$26,JU31&gt;=JX$30,JT31&lt;&gt;""),AND(KV31&gt;=KZ$26,KW31&gt;=KZ$30,KV31&lt;&gt;""),AND(LX31&gt;=MB$26,LY31&gt;=MB$30,LX31&lt;&gt;""),AND(MZ31&gt;=ND$26,NA31&gt;=ND$30,MZ31&lt;&gt;""),AND(OB31&gt;=OF$26,OC31&gt;=OF$30,OB31&lt;&gt;""),AND(PD31&gt;=PH$26,PE31&gt;=PH$30,PD31&lt;&gt;"")),"Merit",IF(OR(AND(AL31&gt;=AP$25,AM31&gt;=AP$29,AL31&lt;&gt;"",AK31=""),AND(BH31&gt;=BL$25,BI31&gt;=BL$29,BH31&lt;&gt;"",BG31=""),AND(CD31&gt;=CH$25,CE31&gt;=CH$29,CD31&lt;&gt;"",CC31=""),AND(DH31&gt;=DL$25,DI31&gt;=DL$29,DH31&lt;&gt;""),AND(EJ31&gt;=EN$25,EK31&gt;=EN$29,EJ31&lt;&gt;""),AND(FL31&gt;=FP$25,FM31&gt;=FP$29,FL31&lt;&gt;""),AND(GN31&gt;=GR$25,GO31&gt;=GR$29,GN31&lt;&gt;""),AND(HP31&gt;=HT$25,HQ31&gt;=HT$29,HP31&lt;&gt;""),AND(IR31&gt;=IV$25,IS31&gt;=IV$29,IR31&lt;&gt;""),AND(JT31&gt;=JX$25,JU31&gt;=JX$29,JT31&lt;&gt;""),AND(KV31&gt;=KZ$25,KW31&gt;=KZ$29,KV31&lt;&gt;""),AND(LX31&gt;=MB$25,LY31&gt;=MB$29,LX31&lt;&gt;""),AND(MZ31&gt;=ND$25,NA31&gt;=ND$29,MZ31&lt;&gt;""),AND(OB31&gt;=OF$25,OC31&gt;=OF$29,OB31&lt;&gt;""),AND(PD31&gt;=PH$25,PE31&gt;=PH$29,PD31&lt;&gt;"")),"Excellence",IF(K31="P","Worlds Team",IF(H31="P","National Team","")))))</f>
        <v/>
      </c>
      <c r="K31" s="3" t="str">
        <f>IF(OR(AND(AL31&gt;=AP$24,AM31&gt;=AP$28,AL31&lt;&gt;"",AK31=""),AND(BH31&gt;=BL$24,BI31&gt;=BL$28,BH31&lt;&gt;"",BG31=""),AND(CD31&gt;=CH$24,CE31&gt;=CH$28,CD31&lt;&gt;"",CC31=""),AND(DH31&gt;=DL$24,DI31&gt;=DL$28,DH31&lt;&gt;""),AND(EJ31&gt;=EN$24,EK31&gt;=EN$28,EJ31&lt;&gt;""),AND(FL31&gt;=FP$24,FM31&gt;=FP$28,FL31&lt;&gt;""),AND(GN31&gt;=GR$24,GO31&gt;=GR$28,GN31&lt;&gt;""),AND(HP31&gt;=HT$24,HQ31&gt;=HT$28,HP31&lt;&gt;""),AND(IR31&gt;=IV$24,IS31&gt;=IV$28,IR31&lt;&gt;""),AND(JT31&gt;=JX$24,JU31&gt;=JX$28,JT31&lt;&gt;""),AND(KV31&gt;=KZ$24,KW31&gt;=KZ$28,KV31&lt;&gt;""),AND(LX31&gt;=MB$24,LY31&gt;=MB$28,LX31&lt;&gt;""),AND(MZ31&gt;=ND$24,NA31&gt;=ND$28,MZ31&lt;&gt;""),AND(OB31&gt;=OF$24,OC31&gt;=OF$28,OB31&lt;&gt;""),AND(PD31&gt;=PH$24,PE31&gt;=PH$28,PD31&lt;&gt;"")),"P","")</f>
        <v/>
      </c>
      <c r="L31" s="8">
        <f>IF(COUNT(AM31,BI31,CE31)&gt;0,LARGE((AM31,BI31,CE31),1),0)</f>
        <v>42.7</v>
      </c>
      <c r="M31" s="8" t="str">
        <f>IF(L31=0,"",IF(L31=CE31,$BM$1,IF(L31=BI31,$AQ$1,IF(L31=AM31,$U$1,""))))</f>
        <v>2025 Nationals</v>
      </c>
      <c r="N31" s="8">
        <f>IF(COUNT(AM31,BI31,CE31)&gt;1,LARGE((AM31,BI31,CE31),2),0)</f>
        <v>0</v>
      </c>
      <c r="O31" s="8" t="str">
        <f>IF(N31=0,"",IF(AND(N31=L31,N31=AM31,N31=BI31),$U$1,IF(AND(N31=L31,N31=AM31,N31=CE31),$U$1,IF(AND(N31=L31,N31=BI31,N31=CE31),$AQ$1,IF(N31=CE31,$BM$1,IF(N31=BI31,$AQ$1,IF(N31=AM31,$U$1,"")))))))</f>
        <v/>
      </c>
      <c r="P31" s="8">
        <f>IF(MAX(AO31,BK31,CG31)&gt;0,MAX(AO31,BK31,CG31),0)</f>
        <v>0</v>
      </c>
      <c r="Q31" s="8" t="str">
        <f>IF(P31=0,"",IF(P31=CG31,$BM$1,IF(P31=BK31,$AQ$1,IF(P31=AO31,$U$1,""))))</f>
        <v/>
      </c>
      <c r="R31" s="8" t="str">
        <f>IF(MAX(CI31:CJ31)&gt;0,MAX(CI31:CJ31),"")</f>
        <v/>
      </c>
      <c r="S31" s="11" t="str">
        <f>IF(R31="","",IF(R31=CI31,"("&amp;CI$2&amp;")",IF(R31=CJ31,"("&amp;CJ$2&amp;")")))</f>
        <v/>
      </c>
      <c r="T31" s="8" t="str">
        <f>IF(R31="","",IF(R31=CI31,IF(R31+IF(N31="",0,N31)=PB31,$OG$1,IF(R31+IF(N31="",0,N31)=NZ31,$NE$1,IF(R31+IF(N31="",0,N31)=MX31,$MC$1,IF(R31+IF(N31="",0,N31)=LV31,$LA$1,IF(R31+IF(N31="",0,N31)=KT31,$JY$1,IF(R31+IF(N31="",0,N31)=JR31,$IW$1,IF(R31+IF(N31="",0,N31)=IP31,$HU$1,IF(R31+IF(N31="",0,N31)=HN31,$GS$1,IF(R31+IF(N31="",0,N31)=GL31,$FQ$1,IF(R31+IF(N31="",0,N31)=FJ31,$EO$1,IF(R31+IF(N31="",0,N31)=EH31,$DM$1,IF(R31+IF(N31="",0,N31)=DF31,$CK$1)))))))))))),IF(R31=CJ31,IF(R31+IF(P31="",0,P31)=PG31,$OG$1,IF(R31+IF(P31="",0,P31)=OE31,$NE$1,IF(R31+IF(P31="",0,P31)=NC31,$MC$1,IF(R31+IF(P31="",0,P31)=MA31,$LA$1,IF(R31+IF(P31="",0,P31)=KY31,$JY$1,IF(R31+IF(P31="",0,P31)=JW31,$IW$1,IF(R31+IF(P31="",0,P31)=IU31,$HU$1,IF(R31+IF(P31="",0,P31)=HS31,$GS$1,IF(R31+IF(P31="",0,P31)=GQ31,$FQ$1,IF(R31+IF(P31="",0,P31)=FO31,$EO$1,IF(R31+IF(P31="",0,P31)=EM31,$DM$1,IF(R31+IF(P31="",0,P31)=DK31,$CK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27"/>
      <c r="AL31" s="40" t="str">
        <f>IF(SUM(V31,Z31)&gt;0,SUM(V31,Z31),"")</f>
        <v/>
      </c>
      <c r="AM31" s="40" t="str">
        <f>IF(SUM(U31:V31,X31:Z31,AB31)-W31-AA31&gt;0,SUM(U31:V31,X31:Z31,AB31)-W31-AA31,"")</f>
        <v/>
      </c>
      <c r="AN31" s="40" t="str">
        <f>IF(SUM(AD31,AH31)&gt;0,SUM(AD31,AH31),"")</f>
        <v/>
      </c>
      <c r="AO31" s="40" t="str">
        <f>IF(SUM(AC31:AD31,AF31:AH31,AJ31)-SUM(AE31,AI31)&gt;0,SUM(AC31:AD31,AF31:AH31,AJ31)-SUM(AE31,AI31),"")</f>
        <v/>
      </c>
      <c r="AP31" s="40" t="str">
        <f>IF(SUM(AM31,AO31)&gt;0,SUM(AM31,AO31),"")</f>
        <v/>
      </c>
      <c r="AQ31" s="18">
        <v>17.3</v>
      </c>
      <c r="AR31" s="18">
        <v>3.5</v>
      </c>
      <c r="AS31" s="18">
        <v>0.6</v>
      </c>
      <c r="AT31" s="18">
        <v>0</v>
      </c>
      <c r="AU31" s="18">
        <v>18.899999999999999</v>
      </c>
      <c r="AV31" s="18">
        <v>3.6</v>
      </c>
      <c r="AW31" s="18">
        <v>0</v>
      </c>
      <c r="AX31" s="18">
        <v>0</v>
      </c>
      <c r="AY31" s="18" t="s">
        <v>185</v>
      </c>
      <c r="AZ31" s="18" t="s">
        <v>185</v>
      </c>
      <c r="BA31" s="18" t="s">
        <v>185</v>
      </c>
      <c r="BB31" s="18" t="s">
        <v>185</v>
      </c>
      <c r="BC31" s="18" t="s">
        <v>185</v>
      </c>
      <c r="BD31" s="18" t="s">
        <v>185</v>
      </c>
      <c r="BE31" s="18" t="s">
        <v>185</v>
      </c>
      <c r="BF31" s="18" t="s">
        <v>185</v>
      </c>
      <c r="BG31" s="28"/>
      <c r="BH31" s="11">
        <f>IF(SUM(AR31,AV31)&gt;0,SUM(AR31,AV31),"")</f>
        <v>7.1</v>
      </c>
      <c r="BI31" s="11">
        <f>IF(SUM(AQ31:AR31,AT31:AV31,AX31)-AS31-AW31&gt;0,SUM(AQ31:AR31,AT31:AV31,AX31)-AS31-AW31,"")</f>
        <v>42.7</v>
      </c>
      <c r="BJ31" s="11" t="str">
        <f>IF(SUM(AZ31,BD31)&gt;0,SUM(AZ31,BD31),"")</f>
        <v/>
      </c>
      <c r="BK31" s="11" t="str">
        <f>IF(SUM(AY31:AZ31,BB31:BD31,BF31)-SUM(BA31,BE31)&gt;0,SUM(AY31:AZ31,BB31:BD31,BF31)-SUM(BA31,BE31),"")</f>
        <v/>
      </c>
      <c r="BL31" s="11">
        <f>IF(SUM(BI31,BK31)&gt;0,SUM(BI31,BK31),"")</f>
        <v>42.7</v>
      </c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27"/>
      <c r="CD31" s="40" t="str">
        <f>IF(SUM(BN31,BR31)&gt;0,SUM(BN31,BR31),"")</f>
        <v/>
      </c>
      <c r="CE31" s="40" t="str">
        <f>IF(SUM(BM31:BN31,BP31:BR31,BT31)-BO31-BS31&gt;0,SUM(BM31:BN31,BP31:BR31,BT31)-BO31-BS31,"")</f>
        <v/>
      </c>
      <c r="CF31" s="40" t="str">
        <f>IF(SUM(BV31,BZ31)&gt;0,SUM(BV31,BZ31),"")</f>
        <v/>
      </c>
      <c r="CG31" s="40" t="str">
        <f>IF(SUM(BU31:BV31,BX31:BZ31,CB31)-SUM(BW31,CA31)&gt;0,SUM(BU31:BV31,BX31:BZ31,CB31)-SUM(BW31,CA31),"")</f>
        <v/>
      </c>
      <c r="CH31" s="40" t="str">
        <f>IF(SUM(CE31,CG31)&gt;0,SUM(CE31,CG31),"")</f>
        <v/>
      </c>
      <c r="CI31" s="50" t="str">
        <f>IF(MAX(DF31,EH31,FJ31,GL31,HN31,IP31,JR31,KT31,LV31,MX31,NZ31,PB31)-IF(N31="",0,N31)&gt;0.001,MAX(DF31,EH31,FJ31,GL31,HN31,IP31,JR31,KT31,LV31,MX31,NZ31,PB31)-IF(N31="",0,N31),"")</f>
        <v/>
      </c>
      <c r="CJ31" s="50" t="str">
        <f>IF(MAX(DK31,EM31,FO31,GQ31,HS31,IU31,JW31,KY31,MA31,NC31,OE31,PG31)-IF(P31="",0,P31)&gt;0.001,MAX(DK31,EM31,FO31,GQ31,HS31,IU31,JW31,KY31,MA31,NC31,OE31,PG31)-IF(P31="",0,P31),"")</f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>IF(SUM(CL31,CP31)&gt;0,SUM(CL31,CP31),"")</f>
        <v/>
      </c>
      <c r="DF31" s="40" t="str">
        <f>IF(SUM(CK31:CL31,CN31:CP31,CR31)-CM31-CQ31&gt;0,SUM(CK31:CL31,CN31:CP31,CR31)-CM31-CQ31,"")</f>
        <v/>
      </c>
      <c r="DG31" s="40" t="str">
        <f>IF(SUM(CS31:CT31,CV31)-CU31&gt;0,SUM(CS31:CT31,CV31)-CU31,"")</f>
        <v/>
      </c>
      <c r="DH31" s="40" t="str">
        <f>IF(SUM(CL31,CP31,CT31)&gt;0,SUM(CL31,CP31,CT31),"")</f>
        <v/>
      </c>
      <c r="DI31" s="40" t="str">
        <f>IF(SUM(DF31,DG31)&gt;0,SUM(DF31,DG31),"")</f>
        <v/>
      </c>
      <c r="DJ31" s="40" t="str">
        <f>IF(SUM(CX31,DB31)&gt;0,SUM(CX31,DB31),"")</f>
        <v/>
      </c>
      <c r="DK31" s="40" t="str">
        <f>IF(SUM(CW31:CX31,CZ31:DB31,DD31)-SUM(CY31,DC31)&gt;0,SUM(CW31:CX31,CZ31:DB31,DD31)-SUM(CY31,DC31),"")</f>
        <v/>
      </c>
      <c r="DL31" s="40" t="str">
        <f>IF(SUM(DF31,DG31,DK31)&gt;0,SUM(DF31,DG31,DK31),"")</f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>IF(SUM(DN31,DR31)&gt;0,SUM(DN31,DR31),"")</f>
        <v/>
      </c>
      <c r="EH31" s="11" t="str">
        <f>IF(SUM(DM31:DN31,DP31:DR31,DT31)-DO31-DS31&gt;0,SUM(DM31:DN31,DP31:DR31,DT31)-DO31-DS31,"")</f>
        <v/>
      </c>
      <c r="EI31" s="11" t="str">
        <f>IF(SUM(DU31:DV31,DX31)-DW31&gt;0,SUM(DU31:DV31,DX31)-DW31,"")</f>
        <v/>
      </c>
      <c r="EJ31" s="11" t="str">
        <f>IF(SUM(DN31,DR31,DV31)&gt;0,SUM(DN31,DR31,DV31),"")</f>
        <v/>
      </c>
      <c r="EK31" s="11" t="str">
        <f>IF(SUM(EH31,EI31)&gt;0,SUM(EH31,EI31),"")</f>
        <v/>
      </c>
      <c r="EL31" s="11" t="str">
        <f>IF(SUM(DZ31,ED31)&gt;0,SUM(DZ31,ED31),"")</f>
        <v/>
      </c>
      <c r="EM31" s="11" t="str">
        <f>IF(SUM(DY31:DZ31,EB31:ED31,EF31)-SUM(EA31,EE31)&gt;0,SUM(DY31:DZ31,EB31:ED31,EF31)-SUM(EA31,EE31),"")</f>
        <v/>
      </c>
      <c r="EN31" s="11" t="str">
        <f>IF(SUM(EH31,EI31,EM31)&gt;0,SUM(EH31,EI31,EM31),"")</f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>IF(SUM(EP31,ET31)&gt;0,SUM(EP31,ET31),"")</f>
        <v/>
      </c>
      <c r="FJ31" s="40" t="str">
        <f>IF(SUM(EO31:EP31,ER31:ET31,EV31)-EQ31-EU31&gt;0,SUM(EO31:EP31,ER31:ET31,EV31)-EQ31-EU31,"")</f>
        <v/>
      </c>
      <c r="FK31" s="40" t="str">
        <f>IF(SUM(EW31:EX31,EZ31)-EY31&gt;0,SUM(EW31:EX31,EZ31)-EY31,"")</f>
        <v/>
      </c>
      <c r="FL31" s="40" t="str">
        <f>IF(SUM(EP31,ET31,EX31)&gt;0,SUM(EP31,ET31,EX31),"")</f>
        <v/>
      </c>
      <c r="FM31" s="40" t="str">
        <f>IF(SUM(FJ31,FK31)&gt;0,SUM(FJ31,FK31),"")</f>
        <v/>
      </c>
      <c r="FN31" s="40" t="str">
        <f>IF(SUM(FB31,FF31)&gt;0,SUM(FB31,FF31),"")</f>
        <v/>
      </c>
      <c r="FO31" s="40" t="str">
        <f>IF(SUM(FA31:FB31,FD31:FF31,FH31)-SUM(FC31,FG31)&gt;0,SUM(FA31:FB31,FD31:FF31,FH31)-SUM(FC31,FG31),"")</f>
        <v/>
      </c>
      <c r="FP31" s="40" t="str">
        <f>IF(SUM(FJ31,FK31,FO31)&gt;0,SUM(FJ31,FK31,FO31),"")</f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>IF(SUM(FR31,FV31)&gt;0,SUM(FR31,FV31),"")</f>
        <v/>
      </c>
      <c r="GL31" s="11" t="str">
        <f>IF(SUM(FQ31:FR31,FT31:FV31,FX31)-FS31-FW31&gt;0,SUM(FQ31:FR31,FT31:FV31,FX31)-FS31-FW31,"")</f>
        <v/>
      </c>
      <c r="GM31" s="11" t="str">
        <f>IF(SUM(FY31:FZ31,GB31)-GA31&gt;0,SUM(FY31:FZ31,GB31)-GA31,"")</f>
        <v/>
      </c>
      <c r="GN31" s="11" t="str">
        <f>IF(SUM(FR31,FV31,FZ31)&gt;0,SUM(FR31,FV31,FZ31),"")</f>
        <v/>
      </c>
      <c r="GO31" s="11" t="str">
        <f>IF(SUM(GL31,GM31)&gt;0,SUM(GL31,GM31),"")</f>
        <v/>
      </c>
      <c r="GP31" s="11" t="str">
        <f>IF(SUM(GD31,GH31)&gt;0,SUM(GD31,GH31),"")</f>
        <v/>
      </c>
      <c r="GQ31" s="11" t="str">
        <f>IF(SUM(GC31:GD31,GF31:GH31,GJ31)-SUM(GE31,GI31)&gt;0,SUM(GC31:GD31,GF31:GH31,GJ31)-SUM(GE31,GI31),"")</f>
        <v/>
      </c>
      <c r="GR31" s="11" t="str">
        <f>IF(SUM(GL31,GM31,GQ31)&gt;0,SUM(GL31,GM31,GQ31),"")</f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>IF(SUM(GT31,GX31)&gt;0,SUM(GT31,GX31),"")</f>
        <v/>
      </c>
      <c r="HN31" s="40" t="str">
        <f>IF(SUM(GS31:GT31,GV31:GX31,GZ31)-GU31-GY31&gt;0,SUM(GS31:GT31,GV31:GX31,GZ31)-GU31-GY31,"")</f>
        <v/>
      </c>
      <c r="HO31" s="40" t="str">
        <f>IF(SUM(HA31:HB31,HD31)-HC31&gt;0,SUM(HA31:HB31,HD31)-HC31,"")</f>
        <v/>
      </c>
      <c r="HP31" s="40" t="str">
        <f>IF(SUM(GT31,GX31,HB31)&gt;0,SUM(GT31,GX31,HB31),"")</f>
        <v/>
      </c>
      <c r="HQ31" s="40" t="str">
        <f>IF(SUM(HN31,HO31)&gt;0,SUM(HN31,HO31),"")</f>
        <v/>
      </c>
      <c r="HR31" s="40" t="str">
        <f>IF(SUM(HF31,HJ31)&gt;0,SUM(HF31,HJ31),"")</f>
        <v/>
      </c>
      <c r="HS31" s="40" t="str">
        <f>IF(SUM(HE31:HF31,HH31:HJ31,HL31)-SUM(HG31,HK31)&gt;0,SUM(HE31:HF31,HH31:HJ31,HL31)-SUM(HG31,HK31),"")</f>
        <v/>
      </c>
      <c r="HT31" s="40" t="str">
        <f>IF(SUM(HN31,HO31,HS31)&gt;0,SUM(HN31,HO31,HS31),"")</f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>IF(SUM(HV31,HZ31)&gt;0,SUM(HV31,HZ31),"")</f>
        <v/>
      </c>
      <c r="IP31" s="11" t="str">
        <f>IF(SUM(HU31:HV31,HX31:HZ31,IB31)-HW31-IA31&gt;0,SUM(HU31:HV31,HX31:HZ31,IB31)-HW31-IA31,"")</f>
        <v/>
      </c>
      <c r="IQ31" s="11" t="str">
        <f>IF(SUM(IC31:ID31,IF31)-IE31&gt;0,SUM(IC31:ID31,IF31)-IE31,"")</f>
        <v/>
      </c>
      <c r="IR31" s="11" t="str">
        <f>IF(SUM(HV31,HZ31,ID31)&gt;0,SUM(HV31,HZ31,ID31),"")</f>
        <v/>
      </c>
      <c r="IS31" s="11" t="str">
        <f>IF(SUM(IP31,IQ31)&gt;0,SUM(IP31,IQ31),"")</f>
        <v/>
      </c>
      <c r="IT31" s="11" t="str">
        <f>IF(SUM(IH31,IL31)&gt;0,SUM(IH31,IL31),"")</f>
        <v/>
      </c>
      <c r="IU31" s="11" t="str">
        <f>IF(SUM(IG31:IH31,IJ31:IL31,IN31)-SUM(II31,IM31)&gt;0,SUM(IG31:IH31,IJ31:IL31,IN31)-SUM(II31,IM31),"")</f>
        <v/>
      </c>
      <c r="IV31" s="11" t="str">
        <f>IF(SUM(IP31,IQ31,IU31)&gt;0,SUM(IP31,IQ31,IU31),"")</f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>IF(SUM(IX31,JB31)&gt;0,SUM(IX31,JB31),"")</f>
        <v/>
      </c>
      <c r="JR31" s="40" t="str">
        <f>IF(SUM(IW31:IX31,IZ31:JB31,JD31)-IY31-JC31&gt;0,SUM(IW31:IX31,IZ31:JB31,JD31)-IY31-JC31,"")</f>
        <v/>
      </c>
      <c r="JS31" s="40" t="str">
        <f>IF(SUM(JE31:JF31,JH31)-JG31&gt;0,SUM(JE31:JF31,JH31)-JG31,"")</f>
        <v/>
      </c>
      <c r="JT31" s="40" t="str">
        <f>IF(SUM(IX31,JB31,JF31)&gt;0,SUM(IX31,JB31,JF31),"")</f>
        <v/>
      </c>
      <c r="JU31" s="40" t="str">
        <f>IF(SUM(JR31,JS31)&gt;0,SUM(JR31,JS31),"")</f>
        <v/>
      </c>
      <c r="JV31" s="40" t="str">
        <f>IF(SUM(JJ31,JN31)&gt;0,SUM(JJ31,JN31),"")</f>
        <v/>
      </c>
      <c r="JW31" s="40" t="str">
        <f>IF(SUM(JI31:JJ31,JL31:JN31,JP31)-SUM(JK31,JO31)&gt;0,SUM(JI31:JJ31,JL31:JN31,JP31)-SUM(JK31,JO31),"")</f>
        <v/>
      </c>
      <c r="JX31" s="40" t="str">
        <f>IF(SUM(JR31,JS31,JW31)&gt;0,SUM(JR31,JS31,JW31),"")</f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>IF(SUM(JZ31,KD31)&gt;0,SUM(JZ31,KD31),"")</f>
        <v/>
      </c>
      <c r="KT31" s="11" t="str">
        <f>IF(SUM(JY31:JZ31,KB31:KD31,KF31)-KA31-KE31&gt;0,SUM(JY31:JZ31,KB31:KD31,KF31)-KA31-KE31,"")</f>
        <v/>
      </c>
      <c r="KU31" s="11" t="str">
        <f>IF(SUM(KG31:KH31,KJ31)-KI31&gt;0,SUM(KG31:KH31,KJ31)-KI31,"")</f>
        <v/>
      </c>
      <c r="KV31" s="11" t="str">
        <f>IF(SUM(JZ31,KD31,KH31)&gt;0,SUM(JZ31,KD31,KH31),"")</f>
        <v/>
      </c>
      <c r="KW31" s="11" t="str">
        <f>IF(SUM(KT31,KU31)&gt;0,SUM(KT31,KU31),"")</f>
        <v/>
      </c>
      <c r="KX31" s="11" t="str">
        <f>IF(SUM(KL31,KP31)&gt;0,SUM(KL31,KP31),"")</f>
        <v/>
      </c>
      <c r="KY31" s="11" t="str">
        <f>IF(SUM(KK31:KL31,KN31:KP31,KR31)-SUM(KM31,KQ31)&gt;0,SUM(KK31:KL31,KN31:KP31,KR31)-SUM(KM31,KQ31),"")</f>
        <v/>
      </c>
      <c r="KZ31" s="11" t="str">
        <f>IF(SUM(KT31,KU31,KY31)&gt;0,SUM(KT31,KU31,KY31),"")</f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>IF(SUM(LB31,LF31)&gt;0,SUM(LB31,LF31),"")</f>
        <v/>
      </c>
      <c r="LV31" s="40" t="str">
        <f>IF(SUM(LA31:LB31,LD31:LF31,LH31)-LC31-LG31&gt;0,SUM(LA31:LB31,LD31:LF31,LH31)-LC31-LG31,"")</f>
        <v/>
      </c>
      <c r="LW31" s="40" t="str">
        <f>IF(SUM(LI31:LJ31,LL31)-LK31&gt;0,SUM(LI31:LJ31,LL31)-LK31,"")</f>
        <v/>
      </c>
      <c r="LX31" s="40" t="str">
        <f>IF(SUM(LB31,LF31,LJ31)&gt;0,SUM(LB31,LF31,LJ31),"")</f>
        <v/>
      </c>
      <c r="LY31" s="40" t="str">
        <f>IF(SUM(LV31,LW31)&gt;0,SUM(LV31,LW31),"")</f>
        <v/>
      </c>
      <c r="LZ31" s="40" t="str">
        <f>IF(SUM(LN31,LR31)&gt;0,SUM(LN31,LR31),"")</f>
        <v/>
      </c>
      <c r="MA31" s="40" t="str">
        <f>IF(SUM(LM31:LN31,LP31:LR31,LT31)-SUM(LO31,LS31)&gt;0,SUM(LM31:LN31,LP31:LR31,LT31)-SUM(LO31,LS31),"")</f>
        <v/>
      </c>
      <c r="MB31" s="40" t="str">
        <f>IF(SUM(LV31,LW31,MA31)&gt;0,SUM(LV31,LW31,MA31),"")</f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>IF(SUM(MD31,MH31)&gt;0,SUM(MD31,MH31),"")</f>
        <v/>
      </c>
      <c r="MX31" s="11" t="str">
        <f>IF(SUM(MC31:MD31,MF31:MH31,MJ31)-ME31-MI31&gt;0,SUM(MC31:MD31,MF31:MH31,MJ31)-ME31-MI31,"")</f>
        <v/>
      </c>
      <c r="MY31" s="11" t="str">
        <f>IF(SUM(MK31:ML31,MN31)-MM31&gt;0,SUM(MK31:ML31,MN31)-MM31,"")</f>
        <v/>
      </c>
      <c r="MZ31" s="11" t="str">
        <f>IF(SUM(MD31,MH31,ML31)&gt;0,SUM(MD31,MH31,ML31),"")</f>
        <v/>
      </c>
      <c r="NA31" s="11" t="str">
        <f>IF(SUM(MX31,MY31)&gt;0,SUM(MX31,MY31),"")</f>
        <v/>
      </c>
      <c r="NB31" s="11" t="str">
        <f>IF(SUM(MP31,MT31)&gt;0,SUM(MP31,MT31),"")</f>
        <v/>
      </c>
      <c r="NC31" s="11" t="str">
        <f>IF(SUM(MO31:MP31,MR31:MT31,MV31)-SUM(MQ31,MU31)&gt;0,SUM(MO31:MP31,MR31:MT31,MV31)-SUM(MQ31,MU31),"")</f>
        <v/>
      </c>
      <c r="ND31" s="11" t="str">
        <f>IF(SUM(MX31,MY31,NC31)&gt;0,SUM(MX31,MY31,NC31),"")</f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>IF(SUM(NF31,NJ31)&gt;0,SUM(NF31,NJ31),"")</f>
        <v/>
      </c>
      <c r="NZ31" s="40" t="str">
        <f>IF(SUM(NE31:NF31,NH31:NJ31,NL31)-NG31-NK31&gt;0,SUM(NE31:NF31,NH31:NJ31,NL31)-NG31-NK31,"")</f>
        <v/>
      </c>
      <c r="OA31" s="40" t="str">
        <f>IF(SUM(NM31:NN31,NP31)-NO31&gt;0,SUM(NM31:NN31,NP31)-NO31,"")</f>
        <v/>
      </c>
      <c r="OB31" s="40" t="str">
        <f>IF(SUM(NF31,NJ31,NN31)&gt;0,SUM(NF31,NJ31,NN31),"")</f>
        <v/>
      </c>
      <c r="OC31" s="40" t="str">
        <f>IF(SUM(NZ31,OA31)&gt;0,SUM(NZ31,OA31),"")</f>
        <v/>
      </c>
      <c r="OD31" s="40" t="str">
        <f>IF(SUM(NR31,NV31)&gt;0,SUM(NR31,NV31),"")</f>
        <v/>
      </c>
      <c r="OE31" s="40" t="str">
        <f>IF(SUM(NQ31:NR31,NT31:NV31,NX31)-SUM(NS31,NW31)&gt;0,SUM(NQ31:NR31,NT31:NV31,NX31)-SUM(NS31,NW31),"")</f>
        <v/>
      </c>
      <c r="OF31" s="40" t="str">
        <f>IF(SUM(NZ31,OA31,OE31)&gt;0,SUM(NZ31,OA31,OE31),"")</f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>IF(SUM(OH31,OL31)&gt;0,SUM(OH31,OL31),"")</f>
        <v/>
      </c>
      <c r="PB31" s="11" t="str">
        <f>IF(SUM(OG31:OH31,OJ31:OL31,ON31)-OI31-OM31&gt;0,SUM(OG31:OH31,OJ31:OL31,ON31)-OI31-OM31,"")</f>
        <v/>
      </c>
      <c r="PC31" s="11" t="str">
        <f>IF(SUM(OO31:OP31,OR31)-OQ31&gt;0,SUM(OO31:OP31,OR31)-OQ31,"")</f>
        <v/>
      </c>
      <c r="PD31" s="11" t="str">
        <f>IF(SUM(OH31,OL31,OP31)&gt;0,SUM(OH31,OL31,OP31),"")</f>
        <v/>
      </c>
      <c r="PE31" s="11" t="str">
        <f>IF(SUM(PB31,PC31)&gt;0,SUM(PB31,PC31),"")</f>
        <v/>
      </c>
      <c r="PF31" s="11" t="str">
        <f>IF(SUM(OT31,OX31)&gt;0,SUM(OT31,OX31),"")</f>
        <v/>
      </c>
      <c r="PG31" s="11" t="str">
        <f>IF(SUM(OS31:OT31,OV31:OX31,OZ31)-SUM(OU31,OY31)&gt;0,SUM(OS31:OT31,OV31:OX31,OZ31)-SUM(OU31,OY31),"")</f>
        <v/>
      </c>
      <c r="PH31" s="11" t="str">
        <f>IF(SUM(PB31,PC31,PG31)&gt;0,SUM(PB31,PC31,PG31),"")</f>
        <v/>
      </c>
      <c r="PI31" s="22">
        <f>IF($PY31="P",BM31,(BM31+AQ31)/2)</f>
        <v>0</v>
      </c>
      <c r="PJ31" s="22">
        <f>IF($PY31="P",BN31,(BN31+AR31)/2)</f>
        <v>0</v>
      </c>
      <c r="PK31" s="22">
        <f>IF($PY31="P",BO31,(BO31+AS31)/2)</f>
        <v>0</v>
      </c>
      <c r="PL31" s="22">
        <f>IF($PY31="P",BP31,(BP31+AT31)/2)</f>
        <v>0</v>
      </c>
      <c r="PM31" s="22">
        <f>IF($PY31="P",BQ31,(BQ31+AU31)/2)</f>
        <v>0</v>
      </c>
      <c r="PN31" s="22">
        <f>IF($PY31="P",BR31,(BR31+AV31)/2)</f>
        <v>0</v>
      </c>
      <c r="PO31" s="22">
        <f>IF($PY31="P",BS31,(BS31+AW31)/2)</f>
        <v>0</v>
      </c>
      <c r="PP31" s="22">
        <f>IF($PY31="P",BT31,(BT31+AX31)/2)</f>
        <v>0</v>
      </c>
      <c r="PQ31" s="22">
        <f>IF($PY31="P",BU31,(BU31+AY31)/2)</f>
        <v>0</v>
      </c>
      <c r="PR31" s="22">
        <f>IF($PY31="P",BV31,(BV31+AZ31)/2)</f>
        <v>0</v>
      </c>
      <c r="PS31" s="22">
        <f>IF($PY31="P",BW31,(BW31+BA31)/2)</f>
        <v>0</v>
      </c>
      <c r="PT31" s="22">
        <f>IF($PY31="P",BX31,(BX31+BB31)/2)</f>
        <v>0</v>
      </c>
      <c r="PU31" s="22">
        <f>IF($PY31="P",BY31,(BY31+BC31)/2)</f>
        <v>0</v>
      </c>
      <c r="PV31" s="22">
        <f>IF($PY31="P",BZ31,(BZ31+BD31)/2)</f>
        <v>0</v>
      </c>
      <c r="PW31" s="22">
        <f>IF($PY31="P",CA31,(CA31+BE31)/2)</f>
        <v>0</v>
      </c>
      <c r="PX31" s="22">
        <f>IF($PY31="P",CB31,(CB31+BF31)/2)</f>
        <v>0</v>
      </c>
      <c r="PY31" s="27" t="s">
        <v>46</v>
      </c>
      <c r="PZ31" s="40" t="str">
        <f>IF(SUM(PJ31,PN31)&gt;0,SUM(PJ31,PN31),"")</f>
        <v/>
      </c>
      <c r="QA31" s="40" t="str">
        <f>IF(SUM(PI31:PJ31,PL31:PN31,PP31)-PK31-PO31&gt;0,SUM(PI31:PJ31,PL31:PN31,PP31)-PK31-PO31,"")</f>
        <v/>
      </c>
      <c r="QB31" s="40" t="str">
        <f>IF(SUM(PR31,PV31)&gt;0,SUM(PR31,PV31),"")</f>
        <v/>
      </c>
      <c r="QC31" s="40" t="str">
        <f>IF(SUM(PQ31:PR31,PT31:PV31,PX31)-SUM(PS31,PW31)&gt;0,SUM(PQ31:PR31,PT31:PV31,PX31)-SUM(PS31,PW31),"")</f>
        <v/>
      </c>
      <c r="QD31" s="40" t="str">
        <f>IF(SUM(QA31,QC31)&gt;0,SUM(QA31,QC31),"")</f>
        <v/>
      </c>
    </row>
    <row r="32" spans="1:446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146</v>
      </c>
      <c r="D32" s="4" t="s">
        <v>5</v>
      </c>
      <c r="E32" s="4">
        <v>2005</v>
      </c>
      <c r="F32" s="9">
        <f>SUM(L32:R32)+SUM(L32:O32)*0.0000001+SUM(L32)*0.0000000000001</f>
        <v>36.300003630003637</v>
      </c>
      <c r="G32" s="64"/>
      <c r="H32" s="3" t="str">
        <f>IF(OR(AND(AL32&gt;=AP$36,AM32&gt;=AP$40,AL32&lt;&gt;"",AK32=""),AND(AN32&gt;=AP$36,AO32&gt;=AP$40,AN32&lt;&gt;"",AK32=""),AND(BH32&gt;=BL$36,BI32&gt;=BL$40,BH32&lt;&gt;"",BG32=""),AND(BJ32&gt;=BL$36,BK32&gt;=BL$40,BJ32&lt;&gt;"",BG32=""),AND(CD32&gt;=CH$36,CE32&gt;=CH$40,CD32&lt;&gt;"",CC32=""),AND(CF32&gt;=CH$36,CG32&gt;=CH$40,CF32&lt;&gt;""),AND(DE32&gt;=DL$36,DF32&gt;=DL$40,DE32&lt;&gt;""),AND(DJ32&gt;=DL$36,DK32&gt;=DL$40,DJ32&lt;&gt;""),AND(EG32&gt;=EN$36,EH32&gt;=EN$40,EG32&lt;&gt;""),AND(EL32&gt;=EN$36,EM32&gt;=EN$40,EL32&lt;&gt;""),AND(FI32&gt;=FP$36,FJ32&gt;=FP$40,FI32&lt;&gt;""),AND(FN32&gt;=FP$36,FO32&gt;=FP$40,FN32&lt;&gt;""),AND(GK32&gt;=GR$36,GL32&gt;=GR$40,GK32&lt;&gt;""),AND(GP32&gt;=GR$36,GQ32&gt;=GR$40,GP32&lt;&gt;""),AND(HM32&gt;=HT$36,HN32&gt;=HT$40,HM32&lt;&gt;""),AND(HR32&gt;=HT$36,HS32&gt;=HT$40,HR32&lt;&gt;""),AND(IO32&gt;=IV$36,IP32&gt;=IV$40,IO32&lt;&gt;""),AND(IT32&gt;=IV$36,IU32&gt;=IV$40,IT32&lt;&gt;""),AND(JQ32&gt;=JX$36,JR32&gt;=JX$40,JQ32&lt;&gt;""),AND(JV32&gt;=JX$36,JW32&gt;=JX$40,JV32&lt;&gt;""),AND(KS32&gt;=KZ$36,KT32&gt;=KZ$40,KS32&lt;&gt;""),AND(KX32&gt;=KZ$36,KY32&gt;=KZ$40,KX32&lt;&gt;""),AND(LU32&gt;=MB$36,LV32&gt;=MB$40,LU32&lt;&gt;""),AND(LZ32&gt;=MB$36,MA32&gt;=MB$40,LZ32&lt;&gt;""),AND(MW32&gt;=ND$36,MX32&gt;=ND$40,MW32&lt;&gt;""),AND(NB32&gt;=ND$36,NC32&gt;=ND$40,NB32&lt;&gt;""),AND(NY32&gt;=OF$36,NZ32&gt;=OF$40,NY32&lt;&gt;""),AND(OD32&gt;=OF$36,OE32&gt;=OF$40,OD32&lt;&gt;""),AND(PA32&gt;=PH$36,PB32&gt;=PH$40,PA32&lt;&gt;""),AND(PF32&gt;=PH$36,PG32&gt;=PH$40,PF32&lt;&gt;"")),"P","")</f>
        <v/>
      </c>
      <c r="I32" s="3" t="str">
        <f>IF(OR(AND(AM32&gt;=AP$40,AM32&lt;&gt;"",AK32=""),AND(AO32&gt;=AP$40,AO32&lt;&gt;"",AK32=""),AND(BI32&gt;=BL$40,BI32&lt;&gt;"",BG32=""),AND(BK32&gt;=BL$40,BK32&lt;&gt;"",BG32=""),AND(CE32&gt;=CH$40,CE32&lt;&gt;"",CC32=""),AND(CG32&gt;=CH$40,CG32&lt;&gt;"",CC32=""),AND(DF32&gt;=DL$40,DF32&lt;&gt;""),AND(DK32&gt;=DL$40,DK32&lt;&gt;""),AND(EH32&gt;=EN$40,EH32&lt;&gt;""),AND(EM32&gt;=EN$40,EM32&lt;&gt;""),AND(FJ32&gt;=FP$40,FJ32&lt;&gt;""),AND(FO32&gt;=FP$40,FO32&lt;&gt;""),AND(GL32&gt;=GR$40,GL32&lt;&gt;""),AND(GQ32&gt;=GR$40,GQ32&lt;&gt;""),AND(HN32&gt;=HT$40,HN32&lt;&gt;""),AND(HS32&gt;=HT$40,HS32&lt;&gt;""),AND(IP32&gt;=IV$40,IP32&lt;&gt;""),AND(IU32&gt;=IV$40,IU32&lt;&gt;""),AND(JR32&gt;=JX$40,JR32&lt;&gt;""),AND(JW32&gt;=JX$40,JW32&lt;&gt;""),AND(KT32&gt;=KZ$40,KT32&lt;&gt;""),AND(KY32&gt;=KZ$40,KY32&lt;&gt;""),AND(LV32&gt;=MB$40,LV32&lt;&gt;""),AND(MA32&gt;=MB$40,MA32&lt;&gt;""),AND(MX32&gt;=ND$40,MX32&lt;&gt;""),AND(NC32&gt;=ND$40,NC32&lt;&gt;""),AND(NZ32&gt;=OF$40,NZ32&lt;&gt;""),AND(OE32&gt;=OF$40,OE32&lt;&gt;""),AND(PB32&gt;=PH$40,PB32&lt;&gt;""),AND(PG32&gt;=PH$40,PG32&lt;&gt;"")),"P","")</f>
        <v/>
      </c>
      <c r="J32" s="36" t="str">
        <f>IF(AND(I32="P",H32=""),"No DD",IF(OR(AND(AL32&gt;=AP$26,AM32&gt;=AP$30,AL32&lt;&gt;"",AK32=""),AND(BH32&gt;=BL$26,BI32&gt;=BL$30,BH32&lt;&gt;"",BG32=""),AND(CD32&gt;=CH$26,CE32&gt;=CH$30,CD32&lt;&gt;"",CC32=""),AND(DH32&gt;=DL$26,DI32&gt;=DL$30,DH32&lt;&gt;""),AND(EJ32&gt;=EN$26,EK32&gt;=EN$30,EJ32&lt;&gt;""),AND(FL32&gt;=FP$26,FM32&gt;=FP$30,FL32&lt;&gt;""),AND(GN32&gt;=GR$26,GO32&gt;=GR$30,GN32&lt;&gt;""),AND(HP32&gt;=HT$26,HQ32&gt;=HT$30,HP32&lt;&gt;""),AND(IR32&gt;=IV$26,IS32&gt;=IV$30,IR32&lt;&gt;""),AND(JT32&gt;=JX$26,JU32&gt;=JX$30,JT32&lt;&gt;""),AND(KV32&gt;=KZ$26,KW32&gt;=KZ$30,KV32&lt;&gt;""),AND(LX32&gt;=MB$26,LY32&gt;=MB$30,LX32&lt;&gt;""),AND(MZ32&gt;=ND$26,NA32&gt;=ND$30,MZ32&lt;&gt;""),AND(OB32&gt;=OF$26,OC32&gt;=OF$30,OB32&lt;&gt;""),AND(PD32&gt;=PH$26,PE32&gt;=PH$30,PD32&lt;&gt;"")),"Merit",IF(OR(AND(AL32&gt;=AP$25,AM32&gt;=AP$29,AL32&lt;&gt;"",AK32=""),AND(BH32&gt;=BL$25,BI32&gt;=BL$29,BH32&lt;&gt;"",BG32=""),AND(CD32&gt;=CH$25,CE32&gt;=CH$29,CD32&lt;&gt;"",CC32=""),AND(DH32&gt;=DL$25,DI32&gt;=DL$29,DH32&lt;&gt;""),AND(EJ32&gt;=EN$25,EK32&gt;=EN$29,EJ32&lt;&gt;""),AND(FL32&gt;=FP$25,FM32&gt;=FP$29,FL32&lt;&gt;""),AND(GN32&gt;=GR$25,GO32&gt;=GR$29,GN32&lt;&gt;""),AND(HP32&gt;=HT$25,HQ32&gt;=HT$29,HP32&lt;&gt;""),AND(IR32&gt;=IV$25,IS32&gt;=IV$29,IR32&lt;&gt;""),AND(JT32&gt;=JX$25,JU32&gt;=JX$29,JT32&lt;&gt;""),AND(KV32&gt;=KZ$25,KW32&gt;=KZ$29,KV32&lt;&gt;""),AND(LX32&gt;=MB$25,LY32&gt;=MB$29,LX32&lt;&gt;""),AND(MZ32&gt;=ND$25,NA32&gt;=ND$29,MZ32&lt;&gt;""),AND(OB32&gt;=OF$25,OC32&gt;=OF$29,OB32&lt;&gt;""),AND(PD32&gt;=PH$25,PE32&gt;=PH$29,PD32&lt;&gt;"")),"Excellence",IF(K32="P","Worlds Team",IF(H32="P","National Team","")))))</f>
        <v/>
      </c>
      <c r="K32" s="3" t="str">
        <f>IF(OR(AND(AL32&gt;=AP$24,AM32&gt;=AP$28,AL32&lt;&gt;"",AK32=""),AND(BH32&gt;=BL$24,BI32&gt;=BL$28,BH32&lt;&gt;"",BG32=""),AND(CD32&gt;=CH$24,CE32&gt;=CH$28,CD32&lt;&gt;"",CC32=""),AND(DH32&gt;=DL$24,DI32&gt;=DL$28,DH32&lt;&gt;""),AND(EJ32&gt;=EN$24,EK32&gt;=EN$28,EJ32&lt;&gt;""),AND(FL32&gt;=FP$24,FM32&gt;=FP$28,FL32&lt;&gt;""),AND(GN32&gt;=GR$24,GO32&gt;=GR$28,GN32&lt;&gt;""),AND(HP32&gt;=HT$24,HQ32&gt;=HT$28,HP32&lt;&gt;""),AND(IR32&gt;=IV$24,IS32&gt;=IV$28,IR32&lt;&gt;""),AND(JT32&gt;=JX$24,JU32&gt;=JX$28,JT32&lt;&gt;""),AND(KV32&gt;=KZ$24,KW32&gt;=KZ$28,KV32&lt;&gt;""),AND(LX32&gt;=MB$24,LY32&gt;=MB$28,LX32&lt;&gt;""),AND(MZ32&gt;=ND$24,NA32&gt;=ND$28,MZ32&lt;&gt;""),AND(OB32&gt;=OF$24,OC32&gt;=OF$28,OB32&lt;&gt;""),AND(PD32&gt;=PH$24,PE32&gt;=PH$28,PD32&lt;&gt;"")),"P","")</f>
        <v/>
      </c>
      <c r="L32" s="8">
        <f>IF(COUNT(AM32,BI32,CE32)&gt;0,LARGE((AM32,BI32,CE32),1),0)</f>
        <v>36.300000000000004</v>
      </c>
      <c r="M32" s="8" t="str">
        <f>IF(L32=0,"",IF(L32=CE32,$BM$1,IF(L32=BI32,$AQ$1,IF(L32=AM32,$U$1,""))))</f>
        <v>2025 Elite Canada</v>
      </c>
      <c r="N32" s="8">
        <f>IF(COUNT(AM32,BI32,CE32)&gt;1,LARGE((AM32,BI32,CE32),2),0)</f>
        <v>0</v>
      </c>
      <c r="O32" s="8" t="str">
        <f>IF(N32=0,"",IF(AND(N32=L32,N32=AM32,N32=BI32),$U$1,IF(AND(N32=L32,N32=AM32,N32=CE32),$U$1,IF(AND(N32=L32,N32=BI32,N32=CE32),$AQ$1,IF(N32=CE32,$BM$1,IF(N32=BI32,$AQ$1,IF(N32=AM32,$U$1,"")))))))</f>
        <v/>
      </c>
      <c r="P32" s="8">
        <f>IF(MAX(AO32,BK32,CG32)&gt;0,MAX(AO32,BK32,CG32),0)</f>
        <v>0</v>
      </c>
      <c r="Q32" s="8" t="str">
        <f>IF(P32=0,"",IF(P32=CG32,$BM$1,IF(P32=BK32,$AQ$1,IF(P32=AO32,$U$1,""))))</f>
        <v/>
      </c>
      <c r="R32" s="8" t="str">
        <f>IF(MAX(CI32:CJ32)&gt;0,MAX(CI32:CJ32),"")</f>
        <v/>
      </c>
      <c r="S32" s="11" t="str">
        <f>IF(R32="","",IF(R32=CI32,"("&amp;CI$2&amp;")",IF(R32=CJ32,"("&amp;CJ$2&amp;")")))</f>
        <v/>
      </c>
      <c r="T32" s="8" t="str">
        <f>IF(R32="","",IF(R32=CI32,IF(R32+IF(N32="",0,N32)=PB32,$OG$1,IF(R32+IF(N32="",0,N32)=NZ32,$NE$1,IF(R32+IF(N32="",0,N32)=MX32,$MC$1,IF(R32+IF(N32="",0,N32)=LV32,$LA$1,IF(R32+IF(N32="",0,N32)=KT32,$JY$1,IF(R32+IF(N32="",0,N32)=JR32,$IW$1,IF(R32+IF(N32="",0,N32)=IP32,$HU$1,IF(R32+IF(N32="",0,N32)=HN32,$GS$1,IF(R32+IF(N32="",0,N32)=GL32,$FQ$1,IF(R32+IF(N32="",0,N32)=FJ32,$EO$1,IF(R32+IF(N32="",0,N32)=EH32,$DM$1,IF(R32+IF(N32="",0,N32)=DF32,$CK$1)))))))))))),IF(R32=CJ32,IF(R32+IF(P32="",0,P32)=PG32,$OG$1,IF(R32+IF(P32="",0,P32)=OE32,$NE$1,IF(R32+IF(P32="",0,P32)=NC32,$MC$1,IF(R32+IF(P32="",0,P32)=MA32,$LA$1,IF(R32+IF(P32="",0,P32)=KY32,$JY$1,IF(R32+IF(P32="",0,P32)=JW32,$IW$1,IF(R32+IF(P32="",0,P32)=IU32,$HU$1,IF(R32+IF(P32="",0,P32)=HS32,$GS$1,IF(R32+IF(P32="",0,P32)=GQ32,$FQ$1,IF(R32+IF(P32="",0,P32)=FO32,$EO$1,IF(R32+IF(P32="",0,P32)=EM32,$DM$1,IF(R32+IF(P32="",0,P32)=DK32,$CK$1)))))))))))))))</f>
        <v/>
      </c>
      <c r="U32" s="19">
        <v>18</v>
      </c>
      <c r="V32" s="19">
        <v>2.7</v>
      </c>
      <c r="W32" s="19">
        <v>1</v>
      </c>
      <c r="X32" s="19">
        <v>0</v>
      </c>
      <c r="Y32" s="19">
        <v>15.4</v>
      </c>
      <c r="Z32" s="19">
        <v>1.2</v>
      </c>
      <c r="AA32" s="19">
        <v>0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27"/>
      <c r="AL32" s="40">
        <f>IF(SUM(V32,Z32)&gt;0,SUM(V32,Z32),"")</f>
        <v>3.9000000000000004</v>
      </c>
      <c r="AM32" s="40">
        <f>IF(SUM(U32:V32,X32:Z32,AB32)-W32-AA32&gt;0,SUM(U32:V32,X32:Z32,AB32)-W32-AA32,"")</f>
        <v>36.300000000000004</v>
      </c>
      <c r="AN32" s="40" t="str">
        <f>IF(SUM(AD32,AH32)&gt;0,SUM(AD32,AH32),"")</f>
        <v/>
      </c>
      <c r="AO32" s="40" t="str">
        <f>IF(SUM(AC32:AD32,AF32:AH32,AJ32)-SUM(AE32,AI32)&gt;0,SUM(AC32:AD32,AF32:AH32,AJ32)-SUM(AE32,AI32),"")</f>
        <v/>
      </c>
      <c r="AP32" s="40">
        <f>IF(SUM(AM32,AO32)&gt;0,SUM(AM32,AO32),"")</f>
        <v>36.300000000000004</v>
      </c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28"/>
      <c r="BH32" s="11" t="str">
        <f>IF(SUM(AR32,AV32)&gt;0,SUM(AR32,AV32),"")</f>
        <v/>
      </c>
      <c r="BI32" s="11" t="str">
        <f>IF(SUM(AQ32:AR32,AT32:AV32,AX32)-AS32-AW32&gt;0,SUM(AQ32:AR32,AT32:AV32,AX32)-AS32-AW32,"")</f>
        <v/>
      </c>
      <c r="BJ32" s="11" t="str">
        <f>IF(SUM(AZ32,BD32)&gt;0,SUM(AZ32,BD32),"")</f>
        <v/>
      </c>
      <c r="BK32" s="11" t="str">
        <f>IF(SUM(AY32:AZ32,BB32:BD32,BF32)-SUM(BA32,BE32)&gt;0,SUM(AY32:AZ32,BB32:BD32,BF32)-SUM(BA32,BE32),"")</f>
        <v/>
      </c>
      <c r="BL32" s="11" t="str">
        <f>IF(SUM(BI32,BK32)&gt;0,SUM(BI32,BK32),"")</f>
        <v/>
      </c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7"/>
      <c r="CD32" s="40" t="str">
        <f>IF(SUM(BN32,BR32)&gt;0,SUM(BN32,BR32),"")</f>
        <v/>
      </c>
      <c r="CE32" s="40" t="str">
        <f>IF(SUM(BM32:BN32,BP32:BR32,BT32)-BO32-BS32&gt;0,SUM(BM32:BN32,BP32:BR32,BT32)-BO32-BS32,"")</f>
        <v/>
      </c>
      <c r="CF32" s="40" t="str">
        <f>IF(SUM(BV32,BZ32)&gt;0,SUM(BV32,BZ32),"")</f>
        <v/>
      </c>
      <c r="CG32" s="40" t="str">
        <f>IF(SUM(BU32:BV32,BX32:BZ32,CB32)-SUM(BW32,CA32)&gt;0,SUM(BU32:BV32,BX32:BZ32,CB32)-SUM(BW32,CA32),"")</f>
        <v/>
      </c>
      <c r="CH32" s="40" t="str">
        <f>IF(SUM(CE32,CG32)&gt;0,SUM(CE32,CG32),"")</f>
        <v/>
      </c>
      <c r="CI32" s="50" t="str">
        <f>IF(MAX(DF32,EH32,FJ32,GL32,HN32,IP32,JR32,KT32,LV32,MX32,NZ32,PB32)-IF(N32="",0,N32)&gt;0.001,MAX(DF32,EH32,FJ32,GL32,HN32,IP32,JR32,KT32,LV32,MX32,NZ32,PB32)-IF(N32="",0,N32),"")</f>
        <v/>
      </c>
      <c r="CJ32" s="50" t="str">
        <f>IF(MAX(DK32,EM32,FO32,GQ32,HS32,IU32,JW32,KY32,MA32,NC32,OE32,PG32)-IF(P32="",0,P32)&gt;0.001,MAX(DK32,EM32,FO32,GQ32,HS32,IU32,JW32,KY32,MA32,NC32,OE32,PG32)-IF(P32="",0,P32),"")</f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>IF(SUM(CL32,CP32)&gt;0,SUM(CL32,CP32),"")</f>
        <v/>
      </c>
      <c r="DF32" s="40" t="str">
        <f>IF(SUM(CK32:CL32,CN32:CP32,CR32)-CM32-CQ32&gt;0,SUM(CK32:CL32,CN32:CP32,CR32)-CM32-CQ32,"")</f>
        <v/>
      </c>
      <c r="DG32" s="40" t="str">
        <f>IF(SUM(CS32:CT32,CV32)-CU32&gt;0,SUM(CS32:CT32,CV32)-CU32,"")</f>
        <v/>
      </c>
      <c r="DH32" s="40" t="str">
        <f>IF(SUM(CL32,CP32,CT32)&gt;0,SUM(CL32,CP32,CT32),"")</f>
        <v/>
      </c>
      <c r="DI32" s="40" t="str">
        <f>IF(SUM(DF32,DG32)&gt;0,SUM(DF32,DG32),"")</f>
        <v/>
      </c>
      <c r="DJ32" s="40" t="str">
        <f>IF(SUM(CX32,DB32)&gt;0,SUM(CX32,DB32),"")</f>
        <v/>
      </c>
      <c r="DK32" s="40" t="str">
        <f>IF(SUM(CW32:CX32,CZ32:DB32,DD32)-SUM(CY32,DC32)&gt;0,SUM(CW32:CX32,CZ32:DB32,DD32)-SUM(CY32,DC32),"")</f>
        <v/>
      </c>
      <c r="DL32" s="40" t="str">
        <f>IF(SUM(DF32,DG32,DK32)&gt;0,SUM(DF32,DG32,DK32),"")</f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>IF(SUM(DN32,DR32)&gt;0,SUM(DN32,DR32),"")</f>
        <v/>
      </c>
      <c r="EH32" s="11" t="str">
        <f>IF(SUM(DM32:DN32,DP32:DR32,DT32)-DO32-DS32&gt;0,SUM(DM32:DN32,DP32:DR32,DT32)-DO32-DS32,"")</f>
        <v/>
      </c>
      <c r="EI32" s="11" t="str">
        <f>IF(SUM(DU32:DV32,DX32)-DW32&gt;0,SUM(DU32:DV32,DX32)-DW32,"")</f>
        <v/>
      </c>
      <c r="EJ32" s="11" t="str">
        <f>IF(SUM(DN32,DR32,DV32)&gt;0,SUM(DN32,DR32,DV32),"")</f>
        <v/>
      </c>
      <c r="EK32" s="11" t="str">
        <f>IF(SUM(EH32,EI32)&gt;0,SUM(EH32,EI32),"")</f>
        <v/>
      </c>
      <c r="EL32" s="11" t="str">
        <f>IF(SUM(DZ32,ED32)&gt;0,SUM(DZ32,ED32),"")</f>
        <v/>
      </c>
      <c r="EM32" s="11" t="str">
        <f>IF(SUM(DY32:DZ32,EB32:ED32,EF32)-SUM(EA32,EE32)&gt;0,SUM(DY32:DZ32,EB32:ED32,EF32)-SUM(EA32,EE32),"")</f>
        <v/>
      </c>
      <c r="EN32" s="11" t="str">
        <f>IF(SUM(EH32,EI32,EM32)&gt;0,SUM(EH32,EI32,EM32),"")</f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>IF(SUM(EP32,ET32)&gt;0,SUM(EP32,ET32),"")</f>
        <v/>
      </c>
      <c r="FJ32" s="40" t="str">
        <f>IF(SUM(EO32:EP32,ER32:ET32,EV32)-EQ32-EU32&gt;0,SUM(EO32:EP32,ER32:ET32,EV32)-EQ32-EU32,"")</f>
        <v/>
      </c>
      <c r="FK32" s="40" t="str">
        <f>IF(SUM(EW32:EX32,EZ32)-EY32&gt;0,SUM(EW32:EX32,EZ32)-EY32,"")</f>
        <v/>
      </c>
      <c r="FL32" s="40" t="str">
        <f>IF(SUM(EP32,ET32,EX32)&gt;0,SUM(EP32,ET32,EX32),"")</f>
        <v/>
      </c>
      <c r="FM32" s="40" t="str">
        <f>IF(SUM(FJ32,FK32)&gt;0,SUM(FJ32,FK32),"")</f>
        <v/>
      </c>
      <c r="FN32" s="40" t="str">
        <f>IF(SUM(FB32,FF32)&gt;0,SUM(FB32,FF32),"")</f>
        <v/>
      </c>
      <c r="FO32" s="40" t="str">
        <f>IF(SUM(FA32:FB32,FD32:FF32,FH32)-SUM(FC32,FG32)&gt;0,SUM(FA32:FB32,FD32:FF32,FH32)-SUM(FC32,FG32),"")</f>
        <v/>
      </c>
      <c r="FP32" s="40" t="str">
        <f>IF(SUM(FJ32,FK32,FO32)&gt;0,SUM(FJ32,FK32,FO32),"")</f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>IF(SUM(FR32,FV32)&gt;0,SUM(FR32,FV32),"")</f>
        <v/>
      </c>
      <c r="GL32" s="11" t="str">
        <f>IF(SUM(FQ32:FR32,FT32:FV32,FX32)-FS32-FW32&gt;0,SUM(FQ32:FR32,FT32:FV32,FX32)-FS32-FW32,"")</f>
        <v/>
      </c>
      <c r="GM32" s="11" t="str">
        <f>IF(SUM(FY32:FZ32,GB32)-GA32&gt;0,SUM(FY32:FZ32,GB32)-GA32,"")</f>
        <v/>
      </c>
      <c r="GN32" s="11" t="str">
        <f>IF(SUM(FR32,FV32,FZ32)&gt;0,SUM(FR32,FV32,FZ32),"")</f>
        <v/>
      </c>
      <c r="GO32" s="11" t="str">
        <f>IF(SUM(GL32,GM32)&gt;0,SUM(GL32,GM32),"")</f>
        <v/>
      </c>
      <c r="GP32" s="11" t="str">
        <f>IF(SUM(GD32,GH32)&gt;0,SUM(GD32,GH32),"")</f>
        <v/>
      </c>
      <c r="GQ32" s="11" t="str">
        <f>IF(SUM(GC32:GD32,GF32:GH32,GJ32)-SUM(GE32,GI32)&gt;0,SUM(GC32:GD32,GF32:GH32,GJ32)-SUM(GE32,GI32),"")</f>
        <v/>
      </c>
      <c r="GR32" s="11" t="str">
        <f>IF(SUM(GL32,GM32,GQ32)&gt;0,SUM(GL32,GM32,GQ32),"")</f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>IF(SUM(GT32,GX32)&gt;0,SUM(GT32,GX32),"")</f>
        <v/>
      </c>
      <c r="HN32" s="40" t="str">
        <f>IF(SUM(GS32:GT32,GV32:GX32,GZ32)-GU32-GY32&gt;0,SUM(GS32:GT32,GV32:GX32,GZ32)-GU32-GY32,"")</f>
        <v/>
      </c>
      <c r="HO32" s="40" t="str">
        <f>IF(SUM(HA32:HB32,HD32)-HC32&gt;0,SUM(HA32:HB32,HD32)-HC32,"")</f>
        <v/>
      </c>
      <c r="HP32" s="40" t="str">
        <f>IF(SUM(GT32,GX32,HB32)&gt;0,SUM(GT32,GX32,HB32),"")</f>
        <v/>
      </c>
      <c r="HQ32" s="40" t="str">
        <f>IF(SUM(HN32,HO32)&gt;0,SUM(HN32,HO32),"")</f>
        <v/>
      </c>
      <c r="HR32" s="40" t="str">
        <f>IF(SUM(HF32,HJ32)&gt;0,SUM(HF32,HJ32),"")</f>
        <v/>
      </c>
      <c r="HS32" s="40" t="str">
        <f>IF(SUM(HE32:HF32,HH32:HJ32,HL32)-SUM(HG32,HK32)&gt;0,SUM(HE32:HF32,HH32:HJ32,HL32)-SUM(HG32,HK32),"")</f>
        <v/>
      </c>
      <c r="HT32" s="40" t="str">
        <f>IF(SUM(HN32,HO32,HS32)&gt;0,SUM(HN32,HO32,HS32),"")</f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>IF(SUM(HV32,HZ32)&gt;0,SUM(HV32,HZ32),"")</f>
        <v/>
      </c>
      <c r="IP32" s="11" t="str">
        <f>IF(SUM(HU32:HV32,HX32:HZ32,IB32)-HW32-IA32&gt;0,SUM(HU32:HV32,HX32:HZ32,IB32)-HW32-IA32,"")</f>
        <v/>
      </c>
      <c r="IQ32" s="11" t="str">
        <f>IF(SUM(IC32:ID32,IF32)-IE32&gt;0,SUM(IC32:ID32,IF32)-IE32,"")</f>
        <v/>
      </c>
      <c r="IR32" s="11" t="str">
        <f>IF(SUM(HV32,HZ32,ID32)&gt;0,SUM(HV32,HZ32,ID32),"")</f>
        <v/>
      </c>
      <c r="IS32" s="11" t="str">
        <f>IF(SUM(IP32,IQ32)&gt;0,SUM(IP32,IQ32),"")</f>
        <v/>
      </c>
      <c r="IT32" s="11" t="str">
        <f>IF(SUM(IH32,IL32)&gt;0,SUM(IH32,IL32),"")</f>
        <v/>
      </c>
      <c r="IU32" s="11" t="str">
        <f>IF(SUM(IG32:IH32,IJ32:IL32,IN32)-SUM(II32,IM32)&gt;0,SUM(IG32:IH32,IJ32:IL32,IN32)-SUM(II32,IM32),"")</f>
        <v/>
      </c>
      <c r="IV32" s="11" t="str">
        <f>IF(SUM(IP32,IQ32,IU32)&gt;0,SUM(IP32,IQ32,IU32),"")</f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>IF(SUM(IX32,JB32)&gt;0,SUM(IX32,JB32),"")</f>
        <v/>
      </c>
      <c r="JR32" s="40" t="str">
        <f>IF(SUM(IW32:IX32,IZ32:JB32,JD32)-IY32-JC32&gt;0,SUM(IW32:IX32,IZ32:JB32,JD32)-IY32-JC32,"")</f>
        <v/>
      </c>
      <c r="JS32" s="40" t="str">
        <f>IF(SUM(JE32:JF32,JH32)-JG32&gt;0,SUM(JE32:JF32,JH32)-JG32,"")</f>
        <v/>
      </c>
      <c r="JT32" s="40" t="str">
        <f>IF(SUM(IX32,JB32,JF32)&gt;0,SUM(IX32,JB32,JF32),"")</f>
        <v/>
      </c>
      <c r="JU32" s="40" t="str">
        <f>IF(SUM(JR32,JS32)&gt;0,SUM(JR32,JS32),"")</f>
        <v/>
      </c>
      <c r="JV32" s="40" t="str">
        <f>IF(SUM(JJ32,JN32)&gt;0,SUM(JJ32,JN32),"")</f>
        <v/>
      </c>
      <c r="JW32" s="40" t="str">
        <f>IF(SUM(JI32:JJ32,JL32:JN32,JP32)-SUM(JK32,JO32)&gt;0,SUM(JI32:JJ32,JL32:JN32,JP32)-SUM(JK32,JO32),"")</f>
        <v/>
      </c>
      <c r="JX32" s="40" t="str">
        <f>IF(SUM(JR32,JS32,JW32)&gt;0,SUM(JR32,JS32,JW32),"")</f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>IF(SUM(JZ32,KD32)&gt;0,SUM(JZ32,KD32),"")</f>
        <v/>
      </c>
      <c r="KT32" s="11" t="str">
        <f>IF(SUM(JY32:JZ32,KB32:KD32,KF32)-KA32-KE32&gt;0,SUM(JY32:JZ32,KB32:KD32,KF32)-KA32-KE32,"")</f>
        <v/>
      </c>
      <c r="KU32" s="11" t="str">
        <f>IF(SUM(KG32:KH32,KJ32)-KI32&gt;0,SUM(KG32:KH32,KJ32)-KI32,"")</f>
        <v/>
      </c>
      <c r="KV32" s="11" t="str">
        <f>IF(SUM(JZ32,KD32,KH32)&gt;0,SUM(JZ32,KD32,KH32),"")</f>
        <v/>
      </c>
      <c r="KW32" s="11" t="str">
        <f>IF(SUM(KT32,KU32)&gt;0,SUM(KT32,KU32),"")</f>
        <v/>
      </c>
      <c r="KX32" s="11" t="str">
        <f>IF(SUM(KL32,KP32)&gt;0,SUM(KL32,KP32),"")</f>
        <v/>
      </c>
      <c r="KY32" s="11" t="str">
        <f>IF(SUM(KK32:KL32,KN32:KP32,KR32)-SUM(KM32,KQ32)&gt;0,SUM(KK32:KL32,KN32:KP32,KR32)-SUM(KM32,KQ32),"")</f>
        <v/>
      </c>
      <c r="KZ32" s="11" t="str">
        <f>IF(SUM(KT32,KU32,KY32)&gt;0,SUM(KT32,KU32,KY32),"")</f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>IF(SUM(LB32,LF32)&gt;0,SUM(LB32,LF32),"")</f>
        <v/>
      </c>
      <c r="LV32" s="40" t="str">
        <f>IF(SUM(LA32:LB32,LD32:LF32,LH32)-LC32-LG32&gt;0,SUM(LA32:LB32,LD32:LF32,LH32)-LC32-LG32,"")</f>
        <v/>
      </c>
      <c r="LW32" s="40" t="str">
        <f>IF(SUM(LI32:LJ32,LL32)-LK32&gt;0,SUM(LI32:LJ32,LL32)-LK32,"")</f>
        <v/>
      </c>
      <c r="LX32" s="40" t="str">
        <f>IF(SUM(LB32,LF32,LJ32)&gt;0,SUM(LB32,LF32,LJ32),"")</f>
        <v/>
      </c>
      <c r="LY32" s="40" t="str">
        <f>IF(SUM(LV32,LW32)&gt;0,SUM(LV32,LW32),"")</f>
        <v/>
      </c>
      <c r="LZ32" s="40" t="str">
        <f>IF(SUM(LN32,LR32)&gt;0,SUM(LN32,LR32),"")</f>
        <v/>
      </c>
      <c r="MA32" s="40" t="str">
        <f>IF(SUM(LM32:LN32,LP32:LR32,LT32)-SUM(LO32,LS32)&gt;0,SUM(LM32:LN32,LP32:LR32,LT32)-SUM(LO32,LS32),"")</f>
        <v/>
      </c>
      <c r="MB32" s="40" t="str">
        <f>IF(SUM(LV32,LW32,MA32)&gt;0,SUM(LV32,LW32,MA32),"")</f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>IF(SUM(MD32,MH32)&gt;0,SUM(MD32,MH32),"")</f>
        <v/>
      </c>
      <c r="MX32" s="11" t="str">
        <f>IF(SUM(MC32:MD32,MF32:MH32,MJ32)-ME32-MI32&gt;0,SUM(MC32:MD32,MF32:MH32,MJ32)-ME32-MI32,"")</f>
        <v/>
      </c>
      <c r="MY32" s="11" t="str">
        <f>IF(SUM(MK32:ML32,MN32)-MM32&gt;0,SUM(MK32:ML32,MN32)-MM32,"")</f>
        <v/>
      </c>
      <c r="MZ32" s="11" t="str">
        <f>IF(SUM(MD32,MH32,ML32)&gt;0,SUM(MD32,MH32,ML32),"")</f>
        <v/>
      </c>
      <c r="NA32" s="11" t="str">
        <f>IF(SUM(MX32,MY32)&gt;0,SUM(MX32,MY32),"")</f>
        <v/>
      </c>
      <c r="NB32" s="11" t="str">
        <f>IF(SUM(MP32,MT32)&gt;0,SUM(MP32,MT32),"")</f>
        <v/>
      </c>
      <c r="NC32" s="11" t="str">
        <f>IF(SUM(MO32:MP32,MR32:MT32,MV32)-SUM(MQ32,MU32)&gt;0,SUM(MO32:MP32,MR32:MT32,MV32)-SUM(MQ32,MU32),"")</f>
        <v/>
      </c>
      <c r="ND32" s="11" t="str">
        <f>IF(SUM(MX32,MY32,NC32)&gt;0,SUM(MX32,MY32,NC32),"")</f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>IF(SUM(NF32,NJ32)&gt;0,SUM(NF32,NJ32),"")</f>
        <v/>
      </c>
      <c r="NZ32" s="40" t="str">
        <f>IF(SUM(NE32:NF32,NH32:NJ32,NL32)-NG32-NK32&gt;0,SUM(NE32:NF32,NH32:NJ32,NL32)-NG32-NK32,"")</f>
        <v/>
      </c>
      <c r="OA32" s="40" t="str">
        <f>IF(SUM(NM32:NN32,NP32)-NO32&gt;0,SUM(NM32:NN32,NP32)-NO32,"")</f>
        <v/>
      </c>
      <c r="OB32" s="40" t="str">
        <f>IF(SUM(NF32,NJ32,NN32)&gt;0,SUM(NF32,NJ32,NN32),"")</f>
        <v/>
      </c>
      <c r="OC32" s="40" t="str">
        <f>IF(SUM(NZ32,OA32)&gt;0,SUM(NZ32,OA32),"")</f>
        <v/>
      </c>
      <c r="OD32" s="40" t="str">
        <f>IF(SUM(NR32,NV32)&gt;0,SUM(NR32,NV32),"")</f>
        <v/>
      </c>
      <c r="OE32" s="40" t="str">
        <f>IF(SUM(NQ32:NR32,NT32:NV32,NX32)-SUM(NS32,NW32)&gt;0,SUM(NQ32:NR32,NT32:NV32,NX32)-SUM(NS32,NW32),"")</f>
        <v/>
      </c>
      <c r="OF32" s="40" t="str">
        <f>IF(SUM(NZ32,OA32,OE32)&gt;0,SUM(NZ32,OA32,OE32),"")</f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>IF(SUM(OH32,OL32)&gt;0,SUM(OH32,OL32),"")</f>
        <v/>
      </c>
      <c r="PB32" s="11" t="str">
        <f>IF(SUM(OG32:OH32,OJ32:OL32,ON32)-OI32-OM32&gt;0,SUM(OG32:OH32,OJ32:OL32,ON32)-OI32-OM32,"")</f>
        <v/>
      </c>
      <c r="PC32" s="11" t="str">
        <f>IF(SUM(OO32:OP32,OR32)-OQ32&gt;0,SUM(OO32:OP32,OR32)-OQ32,"")</f>
        <v/>
      </c>
      <c r="PD32" s="11" t="str">
        <f>IF(SUM(OH32,OL32,OP32)&gt;0,SUM(OH32,OL32,OP32),"")</f>
        <v/>
      </c>
      <c r="PE32" s="11" t="str">
        <f>IF(SUM(PB32,PC32)&gt;0,SUM(PB32,PC32),"")</f>
        <v/>
      </c>
      <c r="PF32" s="11" t="str">
        <f>IF(SUM(OT32,OX32)&gt;0,SUM(OT32,OX32),"")</f>
        <v/>
      </c>
      <c r="PG32" s="11" t="str">
        <f>IF(SUM(OS32:OT32,OV32:OX32,OZ32)-SUM(OU32,OY32)&gt;0,SUM(OS32:OT32,OV32:OX32,OZ32)-SUM(OU32,OY32),"")</f>
        <v/>
      </c>
      <c r="PH32" s="11" t="str">
        <f>IF(SUM(PB32,PC32,PG32)&gt;0,SUM(PB32,PC32,PG32),"")</f>
        <v/>
      </c>
      <c r="PI32" s="22">
        <f>IF($PY32="P",BM32,(BM32+AQ32)/2)</f>
        <v>0</v>
      </c>
      <c r="PJ32" s="22">
        <f>IF($PY32="P",BN32,(BN32+AR32)/2)</f>
        <v>0</v>
      </c>
      <c r="PK32" s="22">
        <f>IF($PY32="P",BO32,(BO32+AS32)/2)</f>
        <v>0</v>
      </c>
      <c r="PL32" s="22">
        <f>IF($PY32="P",BP32,(BP32+AT32)/2)</f>
        <v>0</v>
      </c>
      <c r="PM32" s="22">
        <f>IF($PY32="P",BQ32,(BQ32+AU32)/2)</f>
        <v>0</v>
      </c>
      <c r="PN32" s="22">
        <f>IF($PY32="P",BR32,(BR32+AV32)/2)</f>
        <v>0</v>
      </c>
      <c r="PO32" s="22">
        <f>IF($PY32="P",BS32,(BS32+AW32)/2)</f>
        <v>0</v>
      </c>
      <c r="PP32" s="22">
        <f>IF($PY32="P",BT32,(BT32+AX32)/2)</f>
        <v>0</v>
      </c>
      <c r="PQ32" s="22">
        <f>IF($PY32="P",BU32,(BU32+AY32)/2)</f>
        <v>0</v>
      </c>
      <c r="PR32" s="22">
        <f>IF($PY32="P",BV32,(BV32+AZ32)/2)</f>
        <v>0</v>
      </c>
      <c r="PS32" s="22">
        <f>IF($PY32="P",BW32,(BW32+BA32)/2)</f>
        <v>0</v>
      </c>
      <c r="PT32" s="22">
        <f>IF($PY32="P",BX32,(BX32+BB32)/2)</f>
        <v>0</v>
      </c>
      <c r="PU32" s="22">
        <f>IF($PY32="P",BY32,(BY32+BC32)/2)</f>
        <v>0</v>
      </c>
      <c r="PV32" s="22">
        <f>IF($PY32="P",BZ32,(BZ32+BD32)/2)</f>
        <v>0</v>
      </c>
      <c r="PW32" s="22">
        <f>IF($PY32="P",CA32,(CA32+BE32)/2)</f>
        <v>0</v>
      </c>
      <c r="PX32" s="22">
        <f>IF($PY32="P",CB32,(CB32+BF32)/2)</f>
        <v>0</v>
      </c>
      <c r="PY32" s="27" t="s">
        <v>46</v>
      </c>
      <c r="PZ32" s="40" t="str">
        <f>IF(SUM(PJ32,PN32)&gt;0,SUM(PJ32,PN32),"")</f>
        <v/>
      </c>
      <c r="QA32" s="40" t="str">
        <f>IF(SUM(PI32:PJ32,PL32:PN32,PP32)-PK32-PO32&gt;0,SUM(PI32:PJ32,PL32:PN32,PP32)-PK32-PO32,"")</f>
        <v/>
      </c>
      <c r="QB32" s="40" t="str">
        <f>IF(SUM(PR32,PV32)&gt;0,SUM(PR32,PV32),"")</f>
        <v/>
      </c>
      <c r="QC32" s="40" t="str">
        <f>IF(SUM(PQ32:PR32,PT32:PV32,PX32)-SUM(PS32,PW32)&gt;0,SUM(PQ32:PR32,PT32:PV32,PX32)-SUM(PS32,PW32),"")</f>
        <v/>
      </c>
      <c r="QD32" s="40" t="str">
        <f>IF(SUM(QA32,QC32)&gt;0,SUM(QA32,QC32),"")</f>
        <v/>
      </c>
    </row>
    <row r="33" spans="1:446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192</v>
      </c>
      <c r="D33" s="4" t="s">
        <v>4</v>
      </c>
      <c r="E33" s="4">
        <v>2007</v>
      </c>
      <c r="F33" s="9">
        <f>SUM(L33:R33)+SUM(L33:O33)*0.0000001+SUM(L33)*0.0000000000001</f>
        <v>32.700003270003265</v>
      </c>
      <c r="G33" s="64"/>
      <c r="H33" s="3" t="str">
        <f>IF(OR(AND(AL33&gt;=AP$36,AM33&gt;=AP$40,AL33&lt;&gt;"",AK33=""),AND(AN33&gt;=AP$36,AO33&gt;=AP$40,AN33&lt;&gt;"",AK33=""),AND(BH33&gt;=BL$36,BI33&gt;=BL$40,BH33&lt;&gt;"",BG33=""),AND(BJ33&gt;=BL$36,BK33&gt;=BL$40,BJ33&lt;&gt;"",BG33=""),AND(CD33&gt;=CH$36,CE33&gt;=CH$40,CD33&lt;&gt;"",CC33=""),AND(CF33&gt;=CH$36,CG33&gt;=CH$40,CF33&lt;&gt;""),AND(DE33&gt;=DL$36,DF33&gt;=DL$40,DE33&lt;&gt;""),AND(DJ33&gt;=DL$36,DK33&gt;=DL$40,DJ33&lt;&gt;""),AND(EG33&gt;=EN$36,EH33&gt;=EN$40,EG33&lt;&gt;""),AND(EL33&gt;=EN$36,EM33&gt;=EN$40,EL33&lt;&gt;""),AND(FI33&gt;=FP$36,FJ33&gt;=FP$40,FI33&lt;&gt;""),AND(FN33&gt;=FP$36,FO33&gt;=FP$40,FN33&lt;&gt;""),AND(GK33&gt;=GR$36,GL33&gt;=GR$40,GK33&lt;&gt;""),AND(GP33&gt;=GR$36,GQ33&gt;=GR$40,GP33&lt;&gt;""),AND(HM33&gt;=HT$36,HN33&gt;=HT$40,HM33&lt;&gt;""),AND(HR33&gt;=HT$36,HS33&gt;=HT$40,HR33&lt;&gt;""),AND(IO33&gt;=IV$36,IP33&gt;=IV$40,IO33&lt;&gt;""),AND(IT33&gt;=IV$36,IU33&gt;=IV$40,IT33&lt;&gt;""),AND(JQ33&gt;=JX$36,JR33&gt;=JX$40,JQ33&lt;&gt;""),AND(JV33&gt;=JX$36,JW33&gt;=JX$40,JV33&lt;&gt;""),AND(KS33&gt;=KZ$36,KT33&gt;=KZ$40,KS33&lt;&gt;""),AND(KX33&gt;=KZ$36,KY33&gt;=KZ$40,KX33&lt;&gt;""),AND(LU33&gt;=MB$36,LV33&gt;=MB$40,LU33&lt;&gt;""),AND(LZ33&gt;=MB$36,MA33&gt;=MB$40,LZ33&lt;&gt;""),AND(MW33&gt;=ND$36,MX33&gt;=ND$40,MW33&lt;&gt;""),AND(NB33&gt;=ND$36,NC33&gt;=ND$40,NB33&lt;&gt;""),AND(NY33&gt;=OF$36,NZ33&gt;=OF$40,NY33&lt;&gt;""),AND(OD33&gt;=OF$36,OE33&gt;=OF$40,OD33&lt;&gt;""),AND(PA33&gt;=PH$36,PB33&gt;=PH$40,PA33&lt;&gt;""),AND(PF33&gt;=PH$36,PG33&gt;=PH$40,PF33&lt;&gt;"")),"P","")</f>
        <v/>
      </c>
      <c r="I33" s="3" t="str">
        <f>IF(OR(AND(AM33&gt;=AP$40,AM33&lt;&gt;"",AK33=""),AND(AO33&gt;=AP$40,AO33&lt;&gt;"",AK33=""),AND(BI33&gt;=BL$40,BI33&lt;&gt;"",BG33=""),AND(BK33&gt;=BL$40,BK33&lt;&gt;"",BG33=""),AND(CE33&gt;=CH$40,CE33&lt;&gt;"",CC33=""),AND(CG33&gt;=CH$40,CG33&lt;&gt;"",CC33=""),AND(DF33&gt;=DL$40,DF33&lt;&gt;""),AND(DK33&gt;=DL$40,DK33&lt;&gt;""),AND(EH33&gt;=EN$40,EH33&lt;&gt;""),AND(EM33&gt;=EN$40,EM33&lt;&gt;""),AND(FJ33&gt;=FP$40,FJ33&lt;&gt;""),AND(FO33&gt;=FP$40,FO33&lt;&gt;""),AND(GL33&gt;=GR$40,GL33&lt;&gt;""),AND(GQ33&gt;=GR$40,GQ33&lt;&gt;""),AND(HN33&gt;=HT$40,HN33&lt;&gt;""),AND(HS33&gt;=HT$40,HS33&lt;&gt;""),AND(IP33&gt;=IV$40,IP33&lt;&gt;""),AND(IU33&gt;=IV$40,IU33&lt;&gt;""),AND(JR33&gt;=JX$40,JR33&lt;&gt;""),AND(JW33&gt;=JX$40,JW33&lt;&gt;""),AND(KT33&gt;=KZ$40,KT33&lt;&gt;""),AND(KY33&gt;=KZ$40,KY33&lt;&gt;""),AND(LV33&gt;=MB$40,LV33&lt;&gt;""),AND(MA33&gt;=MB$40,MA33&lt;&gt;""),AND(MX33&gt;=ND$40,MX33&lt;&gt;""),AND(NC33&gt;=ND$40,NC33&lt;&gt;""),AND(NZ33&gt;=OF$40,NZ33&lt;&gt;""),AND(OE33&gt;=OF$40,OE33&lt;&gt;""),AND(PB33&gt;=PH$40,PB33&lt;&gt;""),AND(PG33&gt;=PH$40,PG33&lt;&gt;"")),"P","")</f>
        <v/>
      </c>
      <c r="J33" s="36" t="str">
        <f>IF(AND(I33="P",H33=""),"No DD",IF(OR(AND(AL33&gt;=AP$26,AM33&gt;=AP$30,AL33&lt;&gt;"",AK33=""),AND(BH33&gt;=BL$26,BI33&gt;=BL$30,BH33&lt;&gt;"",BG33=""),AND(CD33&gt;=CH$26,CE33&gt;=CH$30,CD33&lt;&gt;"",CC33=""),AND(DH33&gt;=DL$26,DI33&gt;=DL$30,DH33&lt;&gt;""),AND(EJ33&gt;=EN$26,EK33&gt;=EN$30,EJ33&lt;&gt;""),AND(FL33&gt;=FP$26,FM33&gt;=FP$30,FL33&lt;&gt;""),AND(GN33&gt;=GR$26,GO33&gt;=GR$30,GN33&lt;&gt;""),AND(HP33&gt;=HT$26,HQ33&gt;=HT$30,HP33&lt;&gt;""),AND(IR33&gt;=IV$26,IS33&gt;=IV$30,IR33&lt;&gt;""),AND(JT33&gt;=JX$26,JU33&gt;=JX$30,JT33&lt;&gt;""),AND(KV33&gt;=KZ$26,KW33&gt;=KZ$30,KV33&lt;&gt;""),AND(LX33&gt;=MB$26,LY33&gt;=MB$30,LX33&lt;&gt;""),AND(MZ33&gt;=ND$26,NA33&gt;=ND$30,MZ33&lt;&gt;""),AND(OB33&gt;=OF$26,OC33&gt;=OF$30,OB33&lt;&gt;""),AND(PD33&gt;=PH$26,PE33&gt;=PH$30,PD33&lt;&gt;"")),"Merit",IF(OR(AND(AL33&gt;=AP$25,AM33&gt;=AP$29,AL33&lt;&gt;"",AK33=""),AND(BH33&gt;=BL$25,BI33&gt;=BL$29,BH33&lt;&gt;"",BG33=""),AND(CD33&gt;=CH$25,CE33&gt;=CH$29,CD33&lt;&gt;"",CC33=""),AND(DH33&gt;=DL$25,DI33&gt;=DL$29,DH33&lt;&gt;""),AND(EJ33&gt;=EN$25,EK33&gt;=EN$29,EJ33&lt;&gt;""),AND(FL33&gt;=FP$25,FM33&gt;=FP$29,FL33&lt;&gt;""),AND(GN33&gt;=GR$25,GO33&gt;=GR$29,GN33&lt;&gt;""),AND(HP33&gt;=HT$25,HQ33&gt;=HT$29,HP33&lt;&gt;""),AND(IR33&gt;=IV$25,IS33&gt;=IV$29,IR33&lt;&gt;""),AND(JT33&gt;=JX$25,JU33&gt;=JX$29,JT33&lt;&gt;""),AND(KV33&gt;=KZ$25,KW33&gt;=KZ$29,KV33&lt;&gt;""),AND(LX33&gt;=MB$25,LY33&gt;=MB$29,LX33&lt;&gt;""),AND(MZ33&gt;=ND$25,NA33&gt;=ND$29,MZ33&lt;&gt;""),AND(OB33&gt;=OF$25,OC33&gt;=OF$29,OB33&lt;&gt;""),AND(PD33&gt;=PH$25,PE33&gt;=PH$29,PD33&lt;&gt;"")),"Excellence",IF(K33="P","Worlds Team",IF(H33="P","National Team","")))))</f>
        <v/>
      </c>
      <c r="K33" s="3" t="str">
        <f>IF(OR(AND(AL33&gt;=AP$24,AM33&gt;=AP$28,AL33&lt;&gt;"",AK33=""),AND(BH33&gt;=BL$24,BI33&gt;=BL$28,BH33&lt;&gt;"",BG33=""),AND(CD33&gt;=CH$24,CE33&gt;=CH$28,CD33&lt;&gt;"",CC33=""),AND(DH33&gt;=DL$24,DI33&gt;=DL$28,DH33&lt;&gt;""),AND(EJ33&gt;=EN$24,EK33&gt;=EN$28,EJ33&lt;&gt;""),AND(FL33&gt;=FP$24,FM33&gt;=FP$28,FL33&lt;&gt;""),AND(GN33&gt;=GR$24,GO33&gt;=GR$28,GN33&lt;&gt;""),AND(HP33&gt;=HT$24,HQ33&gt;=HT$28,HP33&lt;&gt;""),AND(IR33&gt;=IV$24,IS33&gt;=IV$28,IR33&lt;&gt;""),AND(JT33&gt;=JX$24,JU33&gt;=JX$28,JT33&lt;&gt;""),AND(KV33&gt;=KZ$24,KW33&gt;=KZ$28,KV33&lt;&gt;""),AND(LX33&gt;=MB$24,LY33&gt;=MB$28,LX33&lt;&gt;""),AND(MZ33&gt;=ND$24,NA33&gt;=ND$28,MZ33&lt;&gt;""),AND(OB33&gt;=OF$24,OC33&gt;=OF$28,OB33&lt;&gt;""),AND(PD33&gt;=PH$24,PE33&gt;=PH$28,PD33&lt;&gt;"")),"P","")</f>
        <v/>
      </c>
      <c r="L33" s="8">
        <f>IF(COUNT(AM33,BI33,CE33)&gt;0,LARGE((AM33,BI33,CE33),1),0)</f>
        <v>32.699999999999996</v>
      </c>
      <c r="M33" s="8" t="str">
        <f>IF(L33=0,"",IF(L33=CE33,$BM$1,IF(L33=BI33,$AQ$1,IF(L33=AM33,$U$1,""))))</f>
        <v>2025 Nationals</v>
      </c>
      <c r="N33" s="8">
        <f>IF(COUNT(AM33,BI33,CE33)&gt;1,LARGE((AM33,BI33,CE33),2),0)</f>
        <v>0</v>
      </c>
      <c r="O33" s="8" t="str">
        <f>IF(N33=0,"",IF(AND(N33=L33,N33=AM33,N33=BI33),$U$1,IF(AND(N33=L33,N33=AM33,N33=CE33),$U$1,IF(AND(N33=L33,N33=BI33,N33=CE33),$AQ$1,IF(N33=CE33,$BM$1,IF(N33=BI33,$AQ$1,IF(N33=AM33,$U$1,"")))))))</f>
        <v/>
      </c>
      <c r="P33" s="8">
        <f>IF(MAX(AO33,BK33,CG33)&gt;0,MAX(AO33,BK33,CG33),0)</f>
        <v>0</v>
      </c>
      <c r="Q33" s="8" t="str">
        <f>IF(P33=0,"",IF(P33=CG33,$BM$1,IF(P33=BK33,$AQ$1,IF(P33=AO33,$U$1,""))))</f>
        <v/>
      </c>
      <c r="R33" s="8" t="str">
        <f>IF(MAX(CI33:CJ33)&gt;0,MAX(CI33:CJ33),"")</f>
        <v/>
      </c>
      <c r="S33" s="11" t="str">
        <f>IF(R33="","",IF(R33=CI33,"("&amp;CI$2&amp;")",IF(R33=CJ33,"("&amp;CJ$2&amp;")")))</f>
        <v/>
      </c>
      <c r="T33" s="8" t="str">
        <f>IF(R33="","",IF(R33=CI33,IF(R33+IF(N33="",0,N33)=PB33,$OG$1,IF(R33+IF(N33="",0,N33)=NZ33,$NE$1,IF(R33+IF(N33="",0,N33)=MX33,$MC$1,IF(R33+IF(N33="",0,N33)=LV33,$LA$1,IF(R33+IF(N33="",0,N33)=KT33,$JY$1,IF(R33+IF(N33="",0,N33)=JR33,$IW$1,IF(R33+IF(N33="",0,N33)=IP33,$HU$1,IF(R33+IF(N33="",0,N33)=HN33,$GS$1,IF(R33+IF(N33="",0,N33)=GL33,$FQ$1,IF(R33+IF(N33="",0,N33)=FJ33,$EO$1,IF(R33+IF(N33="",0,N33)=EH33,$DM$1,IF(R33+IF(N33="",0,N33)=DF33,$CK$1)))))))))))),IF(R33=CJ33,IF(R33+IF(P33="",0,P33)=PG33,$OG$1,IF(R33+IF(P33="",0,P33)=OE33,$NE$1,IF(R33+IF(P33="",0,P33)=NC33,$MC$1,IF(R33+IF(P33="",0,P33)=MA33,$LA$1,IF(R33+IF(P33="",0,P33)=KY33,$JY$1,IF(R33+IF(P33="",0,P33)=JW33,$IW$1,IF(R33+IF(P33="",0,P33)=IU33,$HU$1,IF(R33+IF(P33="",0,P33)=HS33,$GS$1,IF(R33+IF(P33="",0,P33)=GQ33,$FQ$1,IF(R33+IF(P33="",0,P33)=FO33,$EO$1,IF(R33+IF(P33="",0,P33)=EM33,$DM$1,IF(R33+IF(P33="",0,P33)=DK33,$CK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27"/>
      <c r="AL33" s="40" t="str">
        <f>IF(SUM(V33,Z33)&gt;0,SUM(V33,Z33),"")</f>
        <v/>
      </c>
      <c r="AM33" s="40" t="str">
        <f>IF(SUM(U33:V33,X33:Z33,AB33)-W33-AA33&gt;0,SUM(U33:V33,X33:Z33,AB33)-W33-AA33,"")</f>
        <v/>
      </c>
      <c r="AN33" s="40" t="str">
        <f>IF(SUM(AD33,AH33)&gt;0,SUM(AD33,AH33),"")</f>
        <v/>
      </c>
      <c r="AO33" s="40" t="str">
        <f>IF(SUM(AC33:AD33,AF33:AH33,AJ33)-SUM(AE33,AI33)&gt;0,SUM(AC33:AD33,AF33:AH33,AJ33)-SUM(AE33,AI33),"")</f>
        <v/>
      </c>
      <c r="AP33" s="40" t="str">
        <f>IF(SUM(AM33,AO33)&gt;0,SUM(AM33,AO33),"")</f>
        <v/>
      </c>
      <c r="AQ33" s="18">
        <v>15.3</v>
      </c>
      <c r="AR33" s="18">
        <v>2.4</v>
      </c>
      <c r="AS33" s="18">
        <v>0</v>
      </c>
      <c r="AT33" s="18">
        <v>0</v>
      </c>
      <c r="AU33" s="18">
        <v>15.2</v>
      </c>
      <c r="AV33" s="18">
        <v>0</v>
      </c>
      <c r="AW33" s="18">
        <v>0.2</v>
      </c>
      <c r="AX33" s="18">
        <v>0</v>
      </c>
      <c r="AY33" s="18" t="s">
        <v>185</v>
      </c>
      <c r="AZ33" s="18" t="s">
        <v>185</v>
      </c>
      <c r="BA33" s="18" t="s">
        <v>185</v>
      </c>
      <c r="BB33" s="18" t="s">
        <v>185</v>
      </c>
      <c r="BC33" s="18" t="s">
        <v>185</v>
      </c>
      <c r="BD33" s="18" t="s">
        <v>185</v>
      </c>
      <c r="BE33" s="18" t="s">
        <v>185</v>
      </c>
      <c r="BF33" s="18" t="s">
        <v>185</v>
      </c>
      <c r="BG33" s="28"/>
      <c r="BH33" s="11">
        <f>IF(SUM(AR33,AV33)&gt;0,SUM(AR33,AV33),"")</f>
        <v>2.4</v>
      </c>
      <c r="BI33" s="11">
        <f>IF(SUM(AQ33:AR33,AT33:AV33,AX33)-AS33-AW33&gt;0,SUM(AQ33:AR33,AT33:AV33,AX33)-AS33-AW33,"")</f>
        <v>32.699999999999996</v>
      </c>
      <c r="BJ33" s="11" t="str">
        <f>IF(SUM(AZ33,BD33)&gt;0,SUM(AZ33,BD33),"")</f>
        <v/>
      </c>
      <c r="BK33" s="11" t="str">
        <f>IF(SUM(AY33:AZ33,BB33:BD33,BF33)-SUM(BA33,BE33)&gt;0,SUM(AY33:AZ33,BB33:BD33,BF33)-SUM(BA33,BE33),"")</f>
        <v/>
      </c>
      <c r="BL33" s="11">
        <f>IF(SUM(BI33,BK33)&gt;0,SUM(BI33,BK33),"")</f>
        <v>32.699999999999996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>IF(SUM(BN33,BR33)&gt;0,SUM(BN33,BR33),"")</f>
        <v/>
      </c>
      <c r="CE33" s="40" t="str">
        <f>IF(SUM(BM33:BN33,BP33:BR33,BT33)-BO33-BS33&gt;0,SUM(BM33:BN33,BP33:BR33,BT33)-BO33-BS33,"")</f>
        <v/>
      </c>
      <c r="CF33" s="40" t="str">
        <f>IF(SUM(BV33,BZ33)&gt;0,SUM(BV33,BZ33),"")</f>
        <v/>
      </c>
      <c r="CG33" s="40" t="str">
        <f>IF(SUM(BU33:BV33,BX33:BZ33,CB33)-SUM(BW33,CA33)&gt;0,SUM(BU33:BV33,BX33:BZ33,CB33)-SUM(BW33,CA33),"")</f>
        <v/>
      </c>
      <c r="CH33" s="40" t="str">
        <f>IF(SUM(CE33,CG33)&gt;0,SUM(CE33,CG33),"")</f>
        <v/>
      </c>
      <c r="CI33" s="50" t="str">
        <f>IF(MAX(DF33,EH33,FJ33,GL33,HN33,IP33,JR33,KT33,LV33,MX33,NZ33,PB33)-IF(N33="",0,N33)&gt;0.001,MAX(DF33,EH33,FJ33,GL33,HN33,IP33,JR33,KT33,LV33,MX33,NZ33,PB33)-IF(N33="",0,N33),"")</f>
        <v/>
      </c>
      <c r="CJ33" s="50" t="str">
        <f>IF(MAX(DK33,EM33,FO33,GQ33,HS33,IU33,JW33,KY33,MA33,NC33,OE33,PG33)-IF(P33="",0,P33)&gt;0.001,MAX(DK33,EM33,FO33,GQ33,HS33,IU33,JW33,KY33,MA33,NC33,OE33,PG33)-IF(P33="",0,P33),"")</f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>IF(SUM(CL33,CP33)&gt;0,SUM(CL33,CP33),"")</f>
        <v/>
      </c>
      <c r="DF33" s="40" t="str">
        <f>IF(SUM(CK33:CL33,CN33:CP33,CR33)-CM33-CQ33&gt;0,SUM(CK33:CL33,CN33:CP33,CR33)-CM33-CQ33,"")</f>
        <v/>
      </c>
      <c r="DG33" s="40" t="str">
        <f>IF(SUM(CS33:CT33,CV33)-CU33&gt;0,SUM(CS33:CT33,CV33)-CU33,"")</f>
        <v/>
      </c>
      <c r="DH33" s="40" t="str">
        <f>IF(SUM(CL33,CP33,CT33)&gt;0,SUM(CL33,CP33,CT33),"")</f>
        <v/>
      </c>
      <c r="DI33" s="40" t="str">
        <f>IF(SUM(DF33,DG33)&gt;0,SUM(DF33,DG33),"")</f>
        <v/>
      </c>
      <c r="DJ33" s="40" t="str">
        <f>IF(SUM(CX33,DB33)&gt;0,SUM(CX33,DB33),"")</f>
        <v/>
      </c>
      <c r="DK33" s="40" t="str">
        <f>IF(SUM(CW33:CX33,CZ33:DB33,DD33)-SUM(CY33,DC33)&gt;0,SUM(CW33:CX33,CZ33:DB33,DD33)-SUM(CY33,DC33),"")</f>
        <v/>
      </c>
      <c r="DL33" s="40" t="str">
        <f>IF(SUM(DF33,DG33,DK33)&gt;0,SUM(DF33,DG33,DK33),"")</f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>IF(SUM(DN33,DR33)&gt;0,SUM(DN33,DR33),"")</f>
        <v/>
      </c>
      <c r="EH33" s="11" t="str">
        <f>IF(SUM(DM33:DN33,DP33:DR33,DT33)-DO33-DS33&gt;0,SUM(DM33:DN33,DP33:DR33,DT33)-DO33-DS33,"")</f>
        <v/>
      </c>
      <c r="EI33" s="11" t="str">
        <f>IF(SUM(DU33:DV33,DX33)-DW33&gt;0,SUM(DU33:DV33,DX33)-DW33,"")</f>
        <v/>
      </c>
      <c r="EJ33" s="11" t="str">
        <f>IF(SUM(DN33,DR33,DV33)&gt;0,SUM(DN33,DR33,DV33),"")</f>
        <v/>
      </c>
      <c r="EK33" s="11" t="str">
        <f>IF(SUM(EH33,EI33)&gt;0,SUM(EH33,EI33),"")</f>
        <v/>
      </c>
      <c r="EL33" s="11" t="str">
        <f>IF(SUM(DZ33,ED33)&gt;0,SUM(DZ33,ED33),"")</f>
        <v/>
      </c>
      <c r="EM33" s="11" t="str">
        <f>IF(SUM(DY33:DZ33,EB33:ED33,EF33)-SUM(EA33,EE33)&gt;0,SUM(DY33:DZ33,EB33:ED33,EF33)-SUM(EA33,EE33),"")</f>
        <v/>
      </c>
      <c r="EN33" s="11" t="str">
        <f>IF(SUM(EH33,EI33,EM33)&gt;0,SUM(EH33,EI33,EM33),"")</f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>IF(SUM(EP33,ET33)&gt;0,SUM(EP33,ET33),"")</f>
        <v/>
      </c>
      <c r="FJ33" s="40" t="str">
        <f>IF(SUM(EO33:EP33,ER33:ET33,EV33)-EQ33-EU33&gt;0,SUM(EO33:EP33,ER33:ET33,EV33)-EQ33-EU33,"")</f>
        <v/>
      </c>
      <c r="FK33" s="40" t="str">
        <f>IF(SUM(EW33:EX33,EZ33)-EY33&gt;0,SUM(EW33:EX33,EZ33)-EY33,"")</f>
        <v/>
      </c>
      <c r="FL33" s="40" t="str">
        <f>IF(SUM(EP33,ET33,EX33)&gt;0,SUM(EP33,ET33,EX33),"")</f>
        <v/>
      </c>
      <c r="FM33" s="40" t="str">
        <f>IF(SUM(FJ33,FK33)&gt;0,SUM(FJ33,FK33),"")</f>
        <v/>
      </c>
      <c r="FN33" s="40" t="str">
        <f>IF(SUM(FB33,FF33)&gt;0,SUM(FB33,FF33),"")</f>
        <v/>
      </c>
      <c r="FO33" s="40" t="str">
        <f>IF(SUM(FA33:FB33,FD33:FF33,FH33)-SUM(FC33,FG33)&gt;0,SUM(FA33:FB33,FD33:FF33,FH33)-SUM(FC33,FG33),"")</f>
        <v/>
      </c>
      <c r="FP33" s="40" t="str">
        <f>IF(SUM(FJ33,FK33,FO33)&gt;0,SUM(FJ33,FK33,FO33),"")</f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>IF(SUM(FR33,FV33)&gt;0,SUM(FR33,FV33),"")</f>
        <v/>
      </c>
      <c r="GL33" s="11" t="str">
        <f>IF(SUM(FQ33:FR33,FT33:FV33,FX33)-FS33-FW33&gt;0,SUM(FQ33:FR33,FT33:FV33,FX33)-FS33-FW33,"")</f>
        <v/>
      </c>
      <c r="GM33" s="11" t="str">
        <f>IF(SUM(FY33:FZ33,GB33)-GA33&gt;0,SUM(FY33:FZ33,GB33)-GA33,"")</f>
        <v/>
      </c>
      <c r="GN33" s="11" t="str">
        <f>IF(SUM(FR33,FV33,FZ33)&gt;0,SUM(FR33,FV33,FZ33),"")</f>
        <v/>
      </c>
      <c r="GO33" s="11" t="str">
        <f>IF(SUM(GL33,GM33)&gt;0,SUM(GL33,GM33),"")</f>
        <v/>
      </c>
      <c r="GP33" s="11" t="str">
        <f>IF(SUM(GD33,GH33)&gt;0,SUM(GD33,GH33),"")</f>
        <v/>
      </c>
      <c r="GQ33" s="11" t="str">
        <f>IF(SUM(GC33:GD33,GF33:GH33,GJ33)-SUM(GE33,GI33)&gt;0,SUM(GC33:GD33,GF33:GH33,GJ33)-SUM(GE33,GI33),"")</f>
        <v/>
      </c>
      <c r="GR33" s="11" t="str">
        <f>IF(SUM(GL33,GM33,GQ33)&gt;0,SUM(GL33,GM33,GQ33),"")</f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>IF(SUM(GT33,GX33)&gt;0,SUM(GT33,GX33),"")</f>
        <v/>
      </c>
      <c r="HN33" s="40" t="str">
        <f>IF(SUM(GS33:GT33,GV33:GX33,GZ33)-GU33-GY33&gt;0,SUM(GS33:GT33,GV33:GX33,GZ33)-GU33-GY33,"")</f>
        <v/>
      </c>
      <c r="HO33" s="40" t="str">
        <f>IF(SUM(HA33:HB33,HD33)-HC33&gt;0,SUM(HA33:HB33,HD33)-HC33,"")</f>
        <v/>
      </c>
      <c r="HP33" s="40" t="str">
        <f>IF(SUM(GT33,GX33,HB33)&gt;0,SUM(GT33,GX33,HB33),"")</f>
        <v/>
      </c>
      <c r="HQ33" s="40" t="str">
        <f>IF(SUM(HN33,HO33)&gt;0,SUM(HN33,HO33),"")</f>
        <v/>
      </c>
      <c r="HR33" s="40" t="str">
        <f>IF(SUM(HF33,HJ33)&gt;0,SUM(HF33,HJ33),"")</f>
        <v/>
      </c>
      <c r="HS33" s="40" t="str">
        <f>IF(SUM(HE33:HF33,HH33:HJ33,HL33)-SUM(HG33,HK33)&gt;0,SUM(HE33:HF33,HH33:HJ33,HL33)-SUM(HG33,HK33),"")</f>
        <v/>
      </c>
      <c r="HT33" s="40" t="str">
        <f>IF(SUM(HN33,HO33,HS33)&gt;0,SUM(HN33,HO33,HS33),"")</f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>IF(SUM(HV33,HZ33)&gt;0,SUM(HV33,HZ33),"")</f>
        <v/>
      </c>
      <c r="IP33" s="11" t="str">
        <f>IF(SUM(HU33:HV33,HX33:HZ33,IB33)-HW33-IA33&gt;0,SUM(HU33:HV33,HX33:HZ33,IB33)-HW33-IA33,"")</f>
        <v/>
      </c>
      <c r="IQ33" s="11" t="str">
        <f>IF(SUM(IC33:ID33,IF33)-IE33&gt;0,SUM(IC33:ID33,IF33)-IE33,"")</f>
        <v/>
      </c>
      <c r="IR33" s="11" t="str">
        <f>IF(SUM(HV33,HZ33,ID33)&gt;0,SUM(HV33,HZ33,ID33),"")</f>
        <v/>
      </c>
      <c r="IS33" s="11" t="str">
        <f>IF(SUM(IP33,IQ33)&gt;0,SUM(IP33,IQ33),"")</f>
        <v/>
      </c>
      <c r="IT33" s="11" t="str">
        <f>IF(SUM(IH33,IL33)&gt;0,SUM(IH33,IL33),"")</f>
        <v/>
      </c>
      <c r="IU33" s="11" t="str">
        <f>IF(SUM(IG33:IH33,IJ33:IL33,IN33)-SUM(II33,IM33)&gt;0,SUM(IG33:IH33,IJ33:IL33,IN33)-SUM(II33,IM33),"")</f>
        <v/>
      </c>
      <c r="IV33" s="11" t="str">
        <f>IF(SUM(IP33,IQ33,IU33)&gt;0,SUM(IP33,IQ33,IU33),"")</f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>IF(SUM(IX33,JB33)&gt;0,SUM(IX33,JB33),"")</f>
        <v/>
      </c>
      <c r="JR33" s="40" t="str">
        <f>IF(SUM(IW33:IX33,IZ33:JB33,JD33)-IY33-JC33&gt;0,SUM(IW33:IX33,IZ33:JB33,JD33)-IY33-JC33,"")</f>
        <v/>
      </c>
      <c r="JS33" s="40" t="str">
        <f>IF(SUM(JE33:JF33,JH33)-JG33&gt;0,SUM(JE33:JF33,JH33)-JG33,"")</f>
        <v/>
      </c>
      <c r="JT33" s="40" t="str">
        <f>IF(SUM(IX33,JB33,JF33)&gt;0,SUM(IX33,JB33,JF33),"")</f>
        <v/>
      </c>
      <c r="JU33" s="40" t="str">
        <f>IF(SUM(JR33,JS33)&gt;0,SUM(JR33,JS33),"")</f>
        <v/>
      </c>
      <c r="JV33" s="40" t="str">
        <f>IF(SUM(JJ33,JN33)&gt;0,SUM(JJ33,JN33),"")</f>
        <v/>
      </c>
      <c r="JW33" s="40" t="str">
        <f>IF(SUM(JI33:JJ33,JL33:JN33,JP33)-SUM(JK33,JO33)&gt;0,SUM(JI33:JJ33,JL33:JN33,JP33)-SUM(JK33,JO33),"")</f>
        <v/>
      </c>
      <c r="JX33" s="40" t="str">
        <f>IF(SUM(JR33,JS33,JW33)&gt;0,SUM(JR33,JS33,JW33),"")</f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>IF(SUM(JZ33,KD33)&gt;0,SUM(JZ33,KD33),"")</f>
        <v/>
      </c>
      <c r="KT33" s="11" t="str">
        <f>IF(SUM(JY33:JZ33,KB33:KD33,KF33)-KA33-KE33&gt;0,SUM(JY33:JZ33,KB33:KD33,KF33)-KA33-KE33,"")</f>
        <v/>
      </c>
      <c r="KU33" s="11" t="str">
        <f>IF(SUM(KG33:KH33,KJ33)-KI33&gt;0,SUM(KG33:KH33,KJ33)-KI33,"")</f>
        <v/>
      </c>
      <c r="KV33" s="11" t="str">
        <f>IF(SUM(JZ33,KD33,KH33)&gt;0,SUM(JZ33,KD33,KH33),"")</f>
        <v/>
      </c>
      <c r="KW33" s="11" t="str">
        <f>IF(SUM(KT33,KU33)&gt;0,SUM(KT33,KU33),"")</f>
        <v/>
      </c>
      <c r="KX33" s="11" t="str">
        <f>IF(SUM(KL33,KP33)&gt;0,SUM(KL33,KP33),"")</f>
        <v/>
      </c>
      <c r="KY33" s="11" t="str">
        <f>IF(SUM(KK33:KL33,KN33:KP33,KR33)-SUM(KM33,KQ33)&gt;0,SUM(KK33:KL33,KN33:KP33,KR33)-SUM(KM33,KQ33),"")</f>
        <v/>
      </c>
      <c r="KZ33" s="11" t="str">
        <f>IF(SUM(KT33,KU33,KY33)&gt;0,SUM(KT33,KU33,KY33),"")</f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>IF(SUM(LB33,LF33)&gt;0,SUM(LB33,LF33),"")</f>
        <v/>
      </c>
      <c r="LV33" s="40" t="str">
        <f>IF(SUM(LA33:LB33,LD33:LF33,LH33)-LC33-LG33&gt;0,SUM(LA33:LB33,LD33:LF33,LH33)-LC33-LG33,"")</f>
        <v/>
      </c>
      <c r="LW33" s="40" t="str">
        <f>IF(SUM(LI33:LJ33,LL33)-LK33&gt;0,SUM(LI33:LJ33,LL33)-LK33,"")</f>
        <v/>
      </c>
      <c r="LX33" s="40" t="str">
        <f>IF(SUM(LB33,LF33,LJ33)&gt;0,SUM(LB33,LF33,LJ33),"")</f>
        <v/>
      </c>
      <c r="LY33" s="40" t="str">
        <f>IF(SUM(LV33,LW33)&gt;0,SUM(LV33,LW33),"")</f>
        <v/>
      </c>
      <c r="LZ33" s="40" t="str">
        <f>IF(SUM(LN33,LR33)&gt;0,SUM(LN33,LR33),"")</f>
        <v/>
      </c>
      <c r="MA33" s="40" t="str">
        <f>IF(SUM(LM33:LN33,LP33:LR33,LT33)-SUM(LO33,LS33)&gt;0,SUM(LM33:LN33,LP33:LR33,LT33)-SUM(LO33,LS33),"")</f>
        <v/>
      </c>
      <c r="MB33" s="40" t="str">
        <f>IF(SUM(LV33,LW33,MA33)&gt;0,SUM(LV33,LW33,MA33),"")</f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>IF(SUM(MD33,MH33)&gt;0,SUM(MD33,MH33),"")</f>
        <v/>
      </c>
      <c r="MX33" s="11" t="str">
        <f>IF(SUM(MC33:MD33,MF33:MH33,MJ33)-ME33-MI33&gt;0,SUM(MC33:MD33,MF33:MH33,MJ33)-ME33-MI33,"")</f>
        <v/>
      </c>
      <c r="MY33" s="11" t="str">
        <f>IF(SUM(MK33:ML33,MN33)-MM33&gt;0,SUM(MK33:ML33,MN33)-MM33,"")</f>
        <v/>
      </c>
      <c r="MZ33" s="11" t="str">
        <f>IF(SUM(MD33,MH33,ML33)&gt;0,SUM(MD33,MH33,ML33),"")</f>
        <v/>
      </c>
      <c r="NA33" s="11" t="str">
        <f>IF(SUM(MX33,MY33)&gt;0,SUM(MX33,MY33),"")</f>
        <v/>
      </c>
      <c r="NB33" s="11" t="str">
        <f>IF(SUM(MP33,MT33)&gt;0,SUM(MP33,MT33),"")</f>
        <v/>
      </c>
      <c r="NC33" s="11" t="str">
        <f>IF(SUM(MO33:MP33,MR33:MT33,MV33)-SUM(MQ33,MU33)&gt;0,SUM(MO33:MP33,MR33:MT33,MV33)-SUM(MQ33,MU33),"")</f>
        <v/>
      </c>
      <c r="ND33" s="11" t="str">
        <f>IF(SUM(MX33,MY33,NC33)&gt;0,SUM(MX33,MY33,NC33),"")</f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>IF(SUM(NF33,NJ33)&gt;0,SUM(NF33,NJ33),"")</f>
        <v/>
      </c>
      <c r="NZ33" s="40" t="str">
        <f>IF(SUM(NE33:NF33,NH33:NJ33,NL33)-NG33-NK33&gt;0,SUM(NE33:NF33,NH33:NJ33,NL33)-NG33-NK33,"")</f>
        <v/>
      </c>
      <c r="OA33" s="40" t="str">
        <f>IF(SUM(NM33:NN33,NP33)-NO33&gt;0,SUM(NM33:NN33,NP33)-NO33,"")</f>
        <v/>
      </c>
      <c r="OB33" s="40" t="str">
        <f>IF(SUM(NF33,NJ33,NN33)&gt;0,SUM(NF33,NJ33,NN33),"")</f>
        <v/>
      </c>
      <c r="OC33" s="40" t="str">
        <f>IF(SUM(NZ33,OA33)&gt;0,SUM(NZ33,OA33),"")</f>
        <v/>
      </c>
      <c r="OD33" s="40" t="str">
        <f>IF(SUM(NR33,NV33)&gt;0,SUM(NR33,NV33),"")</f>
        <v/>
      </c>
      <c r="OE33" s="40" t="str">
        <f>IF(SUM(NQ33:NR33,NT33:NV33,NX33)-SUM(NS33,NW33)&gt;0,SUM(NQ33:NR33,NT33:NV33,NX33)-SUM(NS33,NW33),"")</f>
        <v/>
      </c>
      <c r="OF33" s="40" t="str">
        <f>IF(SUM(NZ33,OA33,OE33)&gt;0,SUM(NZ33,OA33,OE33),"")</f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>IF(SUM(OH33,OL33)&gt;0,SUM(OH33,OL33),"")</f>
        <v/>
      </c>
      <c r="PB33" s="11" t="str">
        <f>IF(SUM(OG33:OH33,OJ33:OL33,ON33)-OI33-OM33&gt;0,SUM(OG33:OH33,OJ33:OL33,ON33)-OI33-OM33,"")</f>
        <v/>
      </c>
      <c r="PC33" s="11" t="str">
        <f>IF(SUM(OO33:OP33,OR33)-OQ33&gt;0,SUM(OO33:OP33,OR33)-OQ33,"")</f>
        <v/>
      </c>
      <c r="PD33" s="11" t="str">
        <f>IF(SUM(OH33,OL33,OP33)&gt;0,SUM(OH33,OL33,OP33),"")</f>
        <v/>
      </c>
      <c r="PE33" s="11" t="str">
        <f>IF(SUM(PB33,PC33)&gt;0,SUM(PB33,PC33),"")</f>
        <v/>
      </c>
      <c r="PF33" s="11" t="str">
        <f>IF(SUM(OT33,OX33)&gt;0,SUM(OT33,OX33),"")</f>
        <v/>
      </c>
      <c r="PG33" s="11" t="str">
        <f>IF(SUM(OS33:OT33,OV33:OX33,OZ33)-SUM(OU33,OY33)&gt;0,SUM(OS33:OT33,OV33:OX33,OZ33)-SUM(OU33,OY33),"")</f>
        <v/>
      </c>
      <c r="PH33" s="11" t="str">
        <f>IF(SUM(PB33,PC33,PG33)&gt;0,SUM(PB33,PC33,PG33),"")</f>
        <v/>
      </c>
      <c r="PI33" s="22">
        <f>IF($PY33="P",BM33,(BM33+AQ33)/2)</f>
        <v>0</v>
      </c>
      <c r="PJ33" s="22">
        <f>IF($PY33="P",BN33,(BN33+AR33)/2)</f>
        <v>0</v>
      </c>
      <c r="PK33" s="22">
        <f>IF($PY33="P",BO33,(BO33+AS33)/2)</f>
        <v>0</v>
      </c>
      <c r="PL33" s="22">
        <f>IF($PY33="P",BP33,(BP33+AT33)/2)</f>
        <v>0</v>
      </c>
      <c r="PM33" s="22">
        <f>IF($PY33="P",BQ33,(BQ33+AU33)/2)</f>
        <v>0</v>
      </c>
      <c r="PN33" s="22">
        <f>IF($PY33="P",BR33,(BR33+AV33)/2)</f>
        <v>0</v>
      </c>
      <c r="PO33" s="22">
        <f>IF($PY33="P",BS33,(BS33+AW33)/2)</f>
        <v>0</v>
      </c>
      <c r="PP33" s="22">
        <f>IF($PY33="P",BT33,(BT33+AX33)/2)</f>
        <v>0</v>
      </c>
      <c r="PQ33" s="22">
        <f>IF($PY33="P",BU33,(BU33+AY33)/2)</f>
        <v>0</v>
      </c>
      <c r="PR33" s="22">
        <f>IF($PY33="P",BV33,(BV33+AZ33)/2)</f>
        <v>0</v>
      </c>
      <c r="PS33" s="22">
        <f>IF($PY33="P",BW33,(BW33+BA33)/2)</f>
        <v>0</v>
      </c>
      <c r="PT33" s="22">
        <f>IF($PY33="P",BX33,(BX33+BB33)/2)</f>
        <v>0</v>
      </c>
      <c r="PU33" s="22">
        <f>IF($PY33="P",BY33,(BY33+BC33)/2)</f>
        <v>0</v>
      </c>
      <c r="PV33" s="22">
        <f>IF($PY33="P",BZ33,(BZ33+BD33)/2)</f>
        <v>0</v>
      </c>
      <c r="PW33" s="22">
        <f>IF($PY33="P",CA33,(CA33+BE33)/2)</f>
        <v>0</v>
      </c>
      <c r="PX33" s="22">
        <f>IF($PY33="P",CB33,(CB33+BF33)/2)</f>
        <v>0</v>
      </c>
      <c r="PY33" s="27" t="s">
        <v>46</v>
      </c>
      <c r="PZ33" s="40" t="str">
        <f>IF(SUM(PJ33,PN33)&gt;0,SUM(PJ33,PN33),"")</f>
        <v/>
      </c>
      <c r="QA33" s="40" t="str">
        <f>IF(SUM(PI33:PJ33,PL33:PN33,PP33)-PK33-PO33&gt;0,SUM(PI33:PJ33,PL33:PN33,PP33)-PK33-PO33,"")</f>
        <v/>
      </c>
      <c r="QB33" s="40" t="str">
        <f>IF(SUM(PR33,PV33)&gt;0,SUM(PR33,PV33),"")</f>
        <v/>
      </c>
      <c r="QC33" s="40" t="str">
        <f>IF(SUM(PQ33:PR33,PT33:PV33,PX33)-SUM(PS33,PW33)&gt;0,SUM(PQ33:PR33,PT33:PV33,PX33)-SUM(PS33,PW33),"")</f>
        <v/>
      </c>
      <c r="QD33" s="40" t="str">
        <f>IF(SUM(QA33,QC33)&gt;0,SUM(QA33,QC33),"")</f>
        <v/>
      </c>
    </row>
    <row r="34" spans="1:446" ht="17" x14ac:dyDescent="0.2">
      <c r="G34" s="64"/>
      <c r="R34" s="10"/>
      <c r="S34" s="10"/>
      <c r="T34" s="10"/>
    </row>
    <row r="35" spans="1:446" ht="17" x14ac:dyDescent="0.2">
      <c r="G35" s="64"/>
      <c r="R35" s="10"/>
      <c r="S35" s="10"/>
      <c r="T35" s="10"/>
    </row>
    <row r="36" spans="1:446" ht="17" x14ac:dyDescent="0.2">
      <c r="C36" s="23" t="s">
        <v>44</v>
      </c>
      <c r="G36" s="64"/>
      <c r="R36" s="10"/>
      <c r="S36" s="10"/>
      <c r="T36" s="10"/>
      <c r="AL36" s="4"/>
      <c r="AP36" s="42">
        <v>10.4</v>
      </c>
      <c r="BH36" s="4"/>
      <c r="BL36" s="42">
        <v>10.4</v>
      </c>
      <c r="CD36" s="4"/>
      <c r="CH36" s="42">
        <v>10.4</v>
      </c>
      <c r="DE36" s="4"/>
      <c r="DL36" s="42">
        <v>10.4</v>
      </c>
      <c r="EG36" s="4"/>
      <c r="EN36" s="42">
        <v>10.4</v>
      </c>
      <c r="FI36" s="4"/>
      <c r="FP36" s="42">
        <v>10.4</v>
      </c>
      <c r="GK36" s="4"/>
      <c r="GR36" s="42">
        <v>10.4</v>
      </c>
      <c r="HM36" s="4"/>
      <c r="HT36" s="42">
        <v>10.4</v>
      </c>
      <c r="IO36" s="4"/>
      <c r="IV36" s="42">
        <v>10.4</v>
      </c>
      <c r="JQ36" s="4"/>
      <c r="JX36" s="42">
        <v>10.4</v>
      </c>
      <c r="KS36" s="4"/>
      <c r="KZ36" s="42">
        <v>10.4</v>
      </c>
      <c r="LU36" s="4"/>
      <c r="MB36" s="42">
        <v>10.4</v>
      </c>
      <c r="MW36" s="4"/>
      <c r="ND36" s="42">
        <v>10.4</v>
      </c>
      <c r="NY36" s="4"/>
      <c r="OF36" s="42">
        <v>10.4</v>
      </c>
      <c r="PA36" s="4"/>
      <c r="PH36" s="42">
        <v>10.4</v>
      </c>
    </row>
    <row r="37" spans="1:446" ht="17" hidden="1" x14ac:dyDescent="0.2">
      <c r="C37" s="30" t="s">
        <v>43</v>
      </c>
      <c r="G37" s="64"/>
      <c r="R37" s="10"/>
      <c r="S37" s="10"/>
      <c r="T37" s="10"/>
      <c r="AL37" s="4"/>
      <c r="AP37" s="51">
        <v>1000</v>
      </c>
      <c r="BH37" s="4"/>
      <c r="BL37" s="51">
        <v>1000</v>
      </c>
      <c r="CD37" s="4"/>
      <c r="CH37" s="51">
        <v>1000</v>
      </c>
      <c r="DE37" s="4"/>
      <c r="DL37" s="51">
        <v>1000</v>
      </c>
      <c r="EG37" s="4"/>
      <c r="EN37" s="51">
        <v>1000</v>
      </c>
      <c r="FI37" s="4"/>
      <c r="FP37" s="51">
        <v>1000</v>
      </c>
      <c r="GK37" s="4"/>
      <c r="GR37" s="51">
        <v>1000</v>
      </c>
      <c r="HM37" s="4"/>
      <c r="HT37" s="51">
        <v>1000</v>
      </c>
      <c r="IO37" s="4"/>
      <c r="IV37" s="51">
        <v>1000</v>
      </c>
      <c r="JQ37" s="4"/>
      <c r="JX37" s="51">
        <v>1000</v>
      </c>
      <c r="KS37" s="4"/>
      <c r="KZ37" s="51">
        <v>1000</v>
      </c>
      <c r="LU37" s="4"/>
      <c r="MB37" s="51">
        <v>1000</v>
      </c>
      <c r="MW37" s="4"/>
      <c r="ND37" s="51">
        <v>1000</v>
      </c>
      <c r="NY37" s="4"/>
      <c r="OF37" s="51">
        <v>1000</v>
      </c>
      <c r="PA37" s="4"/>
      <c r="PH37" s="51">
        <v>1000</v>
      </c>
    </row>
    <row r="38" spans="1:446" ht="17" hidden="1" x14ac:dyDescent="0.2">
      <c r="A38" s="5"/>
      <c r="B38" s="5"/>
      <c r="C38" s="31" t="s">
        <v>55</v>
      </c>
      <c r="D38" s="20"/>
      <c r="G38" s="64"/>
      <c r="R38" s="10"/>
      <c r="S38" s="10"/>
      <c r="T38" s="10"/>
      <c r="AL38" s="4"/>
      <c r="AP38" s="43">
        <v>1000</v>
      </c>
      <c r="BH38" s="4"/>
      <c r="BL38" s="43">
        <v>1000</v>
      </c>
      <c r="CD38" s="4"/>
      <c r="CH38" s="43">
        <v>1000</v>
      </c>
      <c r="DE38" s="4"/>
      <c r="DL38" s="43">
        <v>1000</v>
      </c>
      <c r="EG38" s="4"/>
      <c r="EN38" s="43">
        <v>1000</v>
      </c>
      <c r="FI38" s="4"/>
      <c r="FP38" s="43">
        <v>1000</v>
      </c>
      <c r="GK38" s="4"/>
      <c r="GR38" s="43">
        <v>1000</v>
      </c>
      <c r="HM38" s="4"/>
      <c r="HT38" s="43">
        <v>1000</v>
      </c>
      <c r="IO38" s="4"/>
      <c r="IV38" s="43">
        <v>1000</v>
      </c>
      <c r="JQ38" s="4"/>
      <c r="JX38" s="43">
        <v>1000</v>
      </c>
      <c r="KS38" s="4"/>
      <c r="KZ38" s="43">
        <v>1000</v>
      </c>
      <c r="LU38" s="4"/>
      <c r="MB38" s="43">
        <v>1000</v>
      </c>
      <c r="MW38" s="4"/>
      <c r="ND38" s="43">
        <v>1000</v>
      </c>
      <c r="NY38" s="4"/>
      <c r="OF38" s="43">
        <v>1000</v>
      </c>
      <c r="PA38" s="4"/>
      <c r="PH38" s="43">
        <v>1000</v>
      </c>
    </row>
    <row r="39" spans="1:446" ht="17" hidden="1" x14ac:dyDescent="0.2">
      <c r="A39" s="5"/>
      <c r="B39" s="5"/>
      <c r="C39" s="35" t="s">
        <v>60</v>
      </c>
      <c r="D39" s="20"/>
      <c r="G39" s="64"/>
      <c r="R39" s="10"/>
      <c r="S39" s="10"/>
      <c r="T39" s="10"/>
      <c r="AL39" s="4"/>
      <c r="AP39" s="62">
        <v>1000</v>
      </c>
      <c r="BH39" s="4"/>
      <c r="BL39" s="62">
        <v>1000</v>
      </c>
      <c r="CD39" s="4"/>
      <c r="CH39" s="62">
        <v>1000</v>
      </c>
      <c r="DE39" s="4"/>
      <c r="DL39" s="62">
        <v>1000</v>
      </c>
      <c r="EG39" s="4"/>
      <c r="EN39" s="62">
        <v>1000</v>
      </c>
      <c r="FI39" s="4"/>
      <c r="FP39" s="62">
        <v>1000</v>
      </c>
      <c r="GK39" s="4"/>
      <c r="GR39" s="62">
        <v>1000</v>
      </c>
      <c r="HM39" s="4"/>
      <c r="HT39" s="62">
        <v>1000</v>
      </c>
      <c r="IO39" s="4"/>
      <c r="IV39" s="62">
        <v>1000</v>
      </c>
      <c r="JQ39" s="4"/>
      <c r="JX39" s="62">
        <v>1000</v>
      </c>
      <c r="KS39" s="4"/>
      <c r="KZ39" s="62">
        <v>1000</v>
      </c>
      <c r="LU39" s="4"/>
      <c r="MB39" s="62">
        <v>1000</v>
      </c>
      <c r="MW39" s="4"/>
      <c r="ND39" s="62">
        <v>1000</v>
      </c>
      <c r="NY39" s="4"/>
      <c r="OF39" s="62">
        <v>1000</v>
      </c>
      <c r="PA39" s="4"/>
      <c r="PH39" s="62">
        <v>1000</v>
      </c>
    </row>
    <row r="40" spans="1:446" ht="17" x14ac:dyDescent="0.2">
      <c r="A40" s="5"/>
      <c r="B40" s="5"/>
      <c r="C40" s="34" t="s">
        <v>41</v>
      </c>
      <c r="D40" s="20"/>
      <c r="G40" s="64"/>
      <c r="R40" s="10"/>
      <c r="S40" s="10"/>
      <c r="T40" s="10"/>
      <c r="AL40" s="4"/>
      <c r="AP40" s="63">
        <v>46.8</v>
      </c>
      <c r="BH40" s="4"/>
      <c r="BL40" s="63">
        <v>46.8</v>
      </c>
      <c r="CD40" s="4"/>
      <c r="CH40" s="63">
        <v>46.8</v>
      </c>
      <c r="DE40" s="4"/>
      <c r="DL40" s="63">
        <v>46.8</v>
      </c>
      <c r="EG40" s="4"/>
      <c r="EN40" s="63">
        <v>46.8</v>
      </c>
      <c r="FI40" s="4"/>
      <c r="FP40" s="63">
        <v>46.8</v>
      </c>
      <c r="GK40" s="4"/>
      <c r="GR40" s="63">
        <v>46.8</v>
      </c>
      <c r="HM40" s="4"/>
      <c r="HT40" s="63">
        <v>46.8</v>
      </c>
      <c r="IO40" s="4"/>
      <c r="IV40" s="63">
        <v>46.8</v>
      </c>
      <c r="JQ40" s="4"/>
      <c r="JX40" s="63">
        <v>46.8</v>
      </c>
      <c r="KS40" s="4"/>
      <c r="KZ40" s="63">
        <v>46.8</v>
      </c>
      <c r="LU40" s="4"/>
      <c r="MB40" s="63">
        <v>46.8</v>
      </c>
      <c r="MW40" s="4"/>
      <c r="ND40" s="63">
        <v>46.8</v>
      </c>
      <c r="NY40" s="4"/>
      <c r="OF40" s="63">
        <v>46.8</v>
      </c>
      <c r="PA40" s="4"/>
      <c r="PH40" s="63">
        <v>46.8</v>
      </c>
    </row>
    <row r="41" spans="1:446" ht="17" hidden="1" x14ac:dyDescent="0.2">
      <c r="A41" s="5"/>
      <c r="B41" s="5"/>
      <c r="C41" s="24" t="s">
        <v>42</v>
      </c>
      <c r="D41" s="20"/>
      <c r="R41" s="10"/>
      <c r="S41" s="10"/>
      <c r="T41" s="10"/>
      <c r="AL41" s="4"/>
      <c r="AP41" s="46">
        <v>1000</v>
      </c>
      <c r="BH41" s="4"/>
      <c r="BL41" s="46">
        <v>1000</v>
      </c>
      <c r="CD41" s="4"/>
      <c r="CH41" s="46">
        <v>1000</v>
      </c>
      <c r="DE41" s="4"/>
      <c r="DL41" s="46">
        <v>1000</v>
      </c>
      <c r="EG41" s="4"/>
      <c r="EN41" s="46">
        <v>1000</v>
      </c>
      <c r="FI41" s="4"/>
      <c r="FP41" s="46">
        <v>1000</v>
      </c>
      <c r="GK41" s="4"/>
      <c r="GR41" s="46">
        <v>1000</v>
      </c>
      <c r="HM41" s="4"/>
      <c r="HT41" s="46">
        <v>1000</v>
      </c>
      <c r="IO41" s="4"/>
      <c r="IV41" s="46">
        <v>1000</v>
      </c>
      <c r="JQ41" s="4"/>
      <c r="JX41" s="46">
        <v>1000</v>
      </c>
      <c r="KS41" s="4"/>
      <c r="KZ41" s="46">
        <v>1000</v>
      </c>
      <c r="LU41" s="4"/>
      <c r="MB41" s="46">
        <v>1000</v>
      </c>
      <c r="MW41" s="4"/>
      <c r="ND41" s="46">
        <v>1000</v>
      </c>
      <c r="NY41" s="4"/>
      <c r="OF41" s="46">
        <v>1000</v>
      </c>
      <c r="PA41" s="4"/>
      <c r="PH41" s="46">
        <v>1000</v>
      </c>
    </row>
    <row r="42" spans="1:446" ht="17" hidden="1" x14ac:dyDescent="0.2">
      <c r="A42" s="5"/>
      <c r="B42" s="5"/>
      <c r="C42" s="33" t="s">
        <v>54</v>
      </c>
      <c r="D42" s="20"/>
      <c r="R42" s="10"/>
      <c r="S42" s="10"/>
      <c r="T42" s="10"/>
      <c r="AL42" s="4"/>
      <c r="AP42" s="47">
        <v>1000</v>
      </c>
      <c r="BH42" s="4"/>
      <c r="BL42" s="47">
        <v>1000</v>
      </c>
      <c r="CD42" s="4"/>
      <c r="CH42" s="47">
        <v>1000</v>
      </c>
      <c r="DE42" s="4"/>
      <c r="DL42" s="47">
        <v>1000</v>
      </c>
      <c r="EG42" s="4"/>
      <c r="EN42" s="47">
        <v>1000</v>
      </c>
      <c r="FI42" s="4"/>
      <c r="FP42" s="47">
        <v>1000</v>
      </c>
      <c r="GK42" s="4"/>
      <c r="GR42" s="47">
        <v>1000</v>
      </c>
      <c r="HM42" s="4"/>
      <c r="HT42" s="47">
        <v>1000</v>
      </c>
      <c r="IO42" s="4"/>
      <c r="IV42" s="47">
        <v>1000</v>
      </c>
      <c r="JQ42" s="4"/>
      <c r="JX42" s="47">
        <v>1000</v>
      </c>
      <c r="KS42" s="4"/>
      <c r="KZ42" s="47">
        <v>1000</v>
      </c>
      <c r="LU42" s="4"/>
      <c r="MB42" s="47">
        <v>1000</v>
      </c>
      <c r="MW42" s="4"/>
      <c r="ND42" s="47">
        <v>1000</v>
      </c>
      <c r="NY42" s="4"/>
      <c r="OF42" s="47">
        <v>1000</v>
      </c>
      <c r="PA42" s="4"/>
      <c r="PH42" s="47">
        <v>1000</v>
      </c>
    </row>
    <row r="43" spans="1:446" ht="17" hidden="1" x14ac:dyDescent="0.2">
      <c r="A43" s="5"/>
      <c r="B43" s="5"/>
      <c r="C43" s="25" t="s">
        <v>27</v>
      </c>
      <c r="D43" s="20"/>
      <c r="R43" s="10"/>
      <c r="S43" s="10"/>
      <c r="T43" s="10"/>
      <c r="AL43" s="4"/>
      <c r="AP43" s="48">
        <v>1000</v>
      </c>
      <c r="BH43" s="4"/>
      <c r="BL43" s="48">
        <v>1000</v>
      </c>
      <c r="CD43" s="4"/>
      <c r="CH43" s="48">
        <v>1000</v>
      </c>
      <c r="DE43" s="4"/>
      <c r="DL43" s="48">
        <v>1000</v>
      </c>
      <c r="EG43" s="4"/>
      <c r="EN43" s="48">
        <v>1000</v>
      </c>
      <c r="FI43" s="4"/>
      <c r="FP43" s="48">
        <v>1000</v>
      </c>
      <c r="GK43" s="4"/>
      <c r="GR43" s="48">
        <v>1000</v>
      </c>
      <c r="HM43" s="4"/>
      <c r="HT43" s="48">
        <v>1000</v>
      </c>
      <c r="IO43" s="4"/>
      <c r="IV43" s="48">
        <v>1000</v>
      </c>
      <c r="JQ43" s="4"/>
      <c r="JX43" s="48">
        <v>1000</v>
      </c>
      <c r="KS43" s="4"/>
      <c r="KZ43" s="48">
        <v>1000</v>
      </c>
      <c r="LU43" s="4"/>
      <c r="MB43" s="48">
        <v>1000</v>
      </c>
      <c r="MW43" s="4"/>
      <c r="ND43" s="48">
        <v>1000</v>
      </c>
      <c r="NY43" s="4"/>
      <c r="OF43" s="48">
        <v>1000</v>
      </c>
      <c r="PA43" s="4"/>
      <c r="PH43" s="48">
        <v>1000</v>
      </c>
    </row>
    <row r="44" spans="1:446" x14ac:dyDescent="0.2">
      <c r="C44" s="29" t="s">
        <v>47</v>
      </c>
      <c r="D44" s="2"/>
    </row>
    <row r="45" spans="1:446" x14ac:dyDescent="0.2">
      <c r="A45" s="5"/>
      <c r="B45" s="5"/>
      <c r="C45" s="5"/>
      <c r="D45" s="20"/>
      <c r="G45" s="64"/>
      <c r="PJ45" s="2"/>
      <c r="PK45" s="2"/>
      <c r="PL45" s="2"/>
      <c r="PM45" s="2"/>
      <c r="PN45" s="2"/>
      <c r="PO45" s="2"/>
      <c r="PP45" s="2"/>
    </row>
    <row r="46" spans="1:446" x14ac:dyDescent="0.2">
      <c r="A46" s="5"/>
      <c r="B46" s="5"/>
      <c r="C46" s="5"/>
      <c r="D46" s="20"/>
      <c r="G46" s="64"/>
    </row>
    <row r="47" spans="1:446" x14ac:dyDescent="0.2">
      <c r="A47" s="5"/>
      <c r="B47" s="5"/>
      <c r="C47" s="5"/>
      <c r="D47" s="20"/>
    </row>
    <row r="48" spans="1:446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QD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4:QD33">
      <sortCondition descending="1" ref="H1:H34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P1"/>
    <mergeCell ref="AQ1:BL1"/>
    <mergeCell ref="AY2:BB2"/>
    <mergeCell ref="BC2:BF2"/>
    <mergeCell ref="NE1:OF1"/>
    <mergeCell ref="OG1:PH1"/>
    <mergeCell ref="DM2:DP2"/>
    <mergeCell ref="DQ2:DT2"/>
    <mergeCell ref="BM2:BP2"/>
    <mergeCell ref="BQ2:BT2"/>
    <mergeCell ref="BU2:BX2"/>
    <mergeCell ref="BY2:CB2"/>
    <mergeCell ref="CK2:CN2"/>
    <mergeCell ref="FA2:FD2"/>
    <mergeCell ref="FE2:FH2"/>
    <mergeCell ref="FQ2:FT2"/>
    <mergeCell ref="FU2:FX2"/>
    <mergeCell ref="FY2:GB2"/>
    <mergeCell ref="GC2:GF2"/>
    <mergeCell ref="DU2:DX2"/>
    <mergeCell ref="EC2:EF2"/>
    <mergeCell ref="EO2:ER2"/>
    <mergeCell ref="PI1:QD1"/>
    <mergeCell ref="U2:X2"/>
    <mergeCell ref="Y2:AB2"/>
    <mergeCell ref="AC2:AF2"/>
    <mergeCell ref="AG2:AJ2"/>
    <mergeCell ref="AQ2:AT2"/>
    <mergeCell ref="AU2:AX2"/>
    <mergeCell ref="GS1:HT1"/>
    <mergeCell ref="HU1:IV1"/>
    <mergeCell ref="IW1:JX1"/>
    <mergeCell ref="JY1:KZ1"/>
    <mergeCell ref="LA1:MB1"/>
    <mergeCell ref="MC1:ND1"/>
    <mergeCell ref="BM1:CH1"/>
    <mergeCell ref="CI1:CJ1"/>
    <mergeCell ref="CK1:DL1"/>
    <mergeCell ref="DM1:EN1"/>
    <mergeCell ref="EO1:FP1"/>
    <mergeCell ref="FQ1:GR1"/>
    <mergeCell ref="CO2:CR2"/>
    <mergeCell ref="CS2:CV2"/>
    <mergeCell ref="CW2:CZ2"/>
    <mergeCell ref="DA2:DD2"/>
    <mergeCell ref="DY2:EB2"/>
    <mergeCell ref="ES2:EV2"/>
    <mergeCell ref="EW2:EZ2"/>
    <mergeCell ref="HU2:HX2"/>
    <mergeCell ref="HY2:IB2"/>
    <mergeCell ref="IC2:IF2"/>
    <mergeCell ref="IG2:IJ2"/>
    <mergeCell ref="IK2:IN2"/>
    <mergeCell ref="IW2:IZ2"/>
    <mergeCell ref="GG2:GJ2"/>
    <mergeCell ref="GS2:GV2"/>
    <mergeCell ref="GW2:GZ2"/>
    <mergeCell ref="HA2:HD2"/>
    <mergeCell ref="HE2:HH2"/>
    <mergeCell ref="HI2:HL2"/>
    <mergeCell ref="KG2:KJ2"/>
    <mergeCell ref="KK2:KN2"/>
    <mergeCell ref="KO2:KR2"/>
    <mergeCell ref="LA2:LD2"/>
    <mergeCell ref="LE2:LH2"/>
    <mergeCell ref="LI2:LL2"/>
    <mergeCell ref="JA2:JD2"/>
    <mergeCell ref="JE2:JH2"/>
    <mergeCell ref="JI2:JL2"/>
    <mergeCell ref="JM2:JP2"/>
    <mergeCell ref="JY2:KB2"/>
    <mergeCell ref="KC2:KF2"/>
    <mergeCell ref="MS2:MV2"/>
    <mergeCell ref="NE2:NH2"/>
    <mergeCell ref="NI2:NL2"/>
    <mergeCell ref="NM2:NP2"/>
    <mergeCell ref="NQ2:NT2"/>
    <mergeCell ref="NU2:NX2"/>
    <mergeCell ref="LM2:LP2"/>
    <mergeCell ref="LQ2:LT2"/>
    <mergeCell ref="MC2:MF2"/>
    <mergeCell ref="MG2:MJ2"/>
    <mergeCell ref="MK2:MN2"/>
    <mergeCell ref="MO2:MR2"/>
    <mergeCell ref="PM2:PP2"/>
    <mergeCell ref="PQ2:PT2"/>
    <mergeCell ref="PU2:PX2"/>
    <mergeCell ref="OG2:OJ2"/>
    <mergeCell ref="OK2:ON2"/>
    <mergeCell ref="OO2:OR2"/>
    <mergeCell ref="OS2:OV2"/>
    <mergeCell ref="OW2:OZ2"/>
    <mergeCell ref="PI2:PL2"/>
  </mergeCells>
  <conditionalFormatting sqref="A4:B1048576">
    <cfRule type="expression" dxfId="31" priority="1">
      <formula>AND($I4="P",$H4="")</formula>
    </cfRule>
    <cfRule type="expression" dxfId="30" priority="22">
      <formula>IF(A4&gt;4,1,0)</formula>
    </cfRule>
  </conditionalFormatting>
  <conditionalFormatting sqref="J1:J1048576">
    <cfRule type="containsText" dxfId="29" priority="14" operator="containsText" text="No DD">
      <formula>NOT(ISERROR(SEARCH("No DD",J1)))</formula>
    </cfRule>
    <cfRule type="containsText" dxfId="28" priority="15" operator="containsText" text="Merit">
      <formula>NOT(ISERROR(SEARCH("Merit",J1)))</formula>
    </cfRule>
    <cfRule type="containsText" dxfId="27" priority="16" operator="containsText" text="Excellence">
      <formula>NOT(ISERROR(SEARCH("Excellence",J1)))</formula>
    </cfRule>
    <cfRule type="containsText" dxfId="26" priority="17" operator="containsText" text="Worlds Team">
      <formula>NOT(ISERROR(SEARCH("Worlds Team",J1)))</formula>
    </cfRule>
    <cfRule type="containsText" dxfId="25" priority="18" operator="containsText" text="National Team">
      <formula>NOT(ISERROR(SEARCH("National Team",J1)))</formula>
    </cfRule>
  </conditionalFormatting>
  <conditionalFormatting sqref="DI44:DI1048576 DI1:DI42 EK1:EK1048576 FM1:FM1048576 GO1:GO1048576 HQ1:HQ1048576 IS1:IS1048576 JU1:JU1048576 KW1:KW1048576 LY1:LY1048576 NA1:NA1048576 OC1:OC1048576 PE1:PE1048576">
    <cfRule type="cellIs" dxfId="24" priority="60354" operator="between">
      <formula>DL$43</formula>
      <formula>1000</formula>
    </cfRule>
    <cfRule type="cellIs" dxfId="23" priority="60355" operator="between">
      <formula>DL$42</formula>
      <formula>DL$43</formula>
    </cfRule>
    <cfRule type="cellIs" dxfId="22" priority="60356" operator="between">
      <formula>DL$41</formula>
      <formula>DL$42</formula>
    </cfRule>
  </conditionalFormatting>
  <conditionalFormatting sqref="A1:B3">
    <cfRule type="expression" dxfId="21" priority="2">
      <formula>AND(I1&lt;&gt;"",H1="")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20" priority="247339" operator="between">
      <formula>DL$36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9" priority="247384" operator="between">
      <formula>DL$40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8" priority="247429" operator="between">
      <formula>AP$36</formula>
      <formula>AP$37</formula>
    </cfRule>
    <cfRule type="cellIs" dxfId="17" priority="247430" operator="between">
      <formula>AP$37</formula>
      <formula>AP$38</formula>
    </cfRule>
    <cfRule type="cellIs" dxfId="16" priority="247431" operator="between">
      <formula>AP$38</formula>
      <formula>AP$39</formula>
    </cfRule>
    <cfRule type="cellIs" dxfId="15" priority="247432" operator="between">
      <formula>AP$39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14" priority="247609" operator="between">
      <formula>AP$40</formula>
      <formula>AP$41</formula>
    </cfRule>
    <cfRule type="cellIs" dxfId="13" priority="247610" operator="between">
      <formula>AP$41</formula>
      <formula>AP$42</formula>
    </cfRule>
    <cfRule type="cellIs" dxfId="12" priority="247611" operator="between">
      <formula>AP$42</formula>
      <formula>AP$43</formula>
    </cfRule>
    <cfRule type="cellIs" dxfId="11" priority="247612" operator="between">
      <formula>AP$43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10" priority="247789" operator="between">
      <formula>DL$39</formula>
      <formula>1000</formula>
    </cfRule>
    <cfRule type="cellIs" dxfId="9" priority="247790" operator="between">
      <formula>DL$38</formula>
      <formula>DL$39</formula>
    </cfRule>
    <cfRule type="cellIs" dxfId="8" priority="247791" operator="between">
      <formula>DL$37</formula>
      <formula>DL$38</formula>
    </cfRule>
  </conditionalFormatting>
  <conditionalFormatting sqref="U4:AP33">
    <cfRule type="expression" dxfId="7" priority="267819" stopIfTrue="1">
      <formula>IF($AK4&lt;&gt;"",1,0)</formula>
    </cfRule>
  </conditionalFormatting>
  <conditionalFormatting sqref="AL1:AL1048576 BH1:BH1048576 CD1:CD1048576">
    <cfRule type="cellIs" dxfId="6" priority="267824" operator="between">
      <formula>AP$36</formula>
      <formula>1000</formula>
    </cfRule>
  </conditionalFormatting>
  <conditionalFormatting sqref="AM1:AM1048576 BI1:BI1048576 CE1:CE1048576">
    <cfRule type="cellIs" dxfId="5" priority="267825" operator="between">
      <formula>AP$40</formula>
      <formula>1000</formula>
    </cfRule>
  </conditionalFormatting>
  <conditionalFormatting sqref="AQ4:BL33">
    <cfRule type="expression" dxfId="4" priority="267831" stopIfTrue="1">
      <formula>IF($BG4&lt;&gt;"",1,0)</formula>
    </cfRule>
  </conditionalFormatting>
  <conditionalFormatting sqref="M1:M1048576 Q1:Q1048576 O1:O1048576">
    <cfRule type="expression" dxfId="3" priority="267840">
      <formula>IF(M1=$BM$1,1,0)</formula>
    </cfRule>
    <cfRule type="expression" dxfId="2" priority="267841">
      <formula>IF(M1=$AQ$1,1,0)</formula>
    </cfRule>
    <cfRule type="expression" dxfId="1" priority="267842">
      <formula>IF(M1=$U$1,1,0)</formula>
    </cfRule>
  </conditionalFormatting>
  <conditionalFormatting sqref="BM4:CH33">
    <cfRule type="expression" dxfId="0" priority="267843" stopIfTrue="1">
      <formula>IF($CC4&lt;&gt;"",1,0)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2025-11-23T03:56:58Z</dcterms:modified>
</cp:coreProperties>
</file>