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2CD2D461-1E7F-8746-A36D-26A08E8FFDFD}" xr6:coauthVersionLast="46" xr6:coauthVersionMax="46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4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'DMT-M'!$A$1:$MT$12</definedName>
    <definedName name="_xlnm._FilterDatabase" localSheetId="6" hidden="1">'DMT-W'!$A$1:$MT$5</definedName>
    <definedName name="_xlnm._FilterDatabase" localSheetId="1" hidden="1">'TRA-M'!$A$1:$OQ$11</definedName>
    <definedName name="_xlnm._FilterDatabase" localSheetId="2" hidden="1">'TRA-W'!$A$1:$OQ$9</definedName>
    <definedName name="_xlnm._FilterDatabase" localSheetId="3" hidden="1">'TUM-M'!$A$1:$MT$5</definedName>
    <definedName name="_xlnm._FilterDatabase" localSheetId="4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R19" i="4" l="1"/>
  <c r="MQ19" i="4"/>
  <c r="MO19" i="4"/>
  <c r="MN19" i="4"/>
  <c r="MM19" i="4"/>
  <c r="MR18" i="4"/>
  <c r="MQ18" i="4"/>
  <c r="MO18" i="4"/>
  <c r="MN18" i="4"/>
  <c r="MM18" i="4"/>
  <c r="MR17" i="4"/>
  <c r="MQ17" i="4"/>
  <c r="MO17" i="4"/>
  <c r="MN17" i="4"/>
  <c r="MP17" i="4" s="1"/>
  <c r="MS17" i="4" s="1"/>
  <c r="MM17" i="4"/>
  <c r="MR16" i="4"/>
  <c r="MQ16" i="4"/>
  <c r="MO16" i="4"/>
  <c r="MN16" i="4"/>
  <c r="MM16" i="4"/>
  <c r="MR15" i="4"/>
  <c r="MQ15" i="4"/>
  <c r="MO15" i="4"/>
  <c r="MN15" i="4"/>
  <c r="MM15" i="4"/>
  <c r="MR14" i="4"/>
  <c r="MQ14" i="4"/>
  <c r="MO14" i="4"/>
  <c r="MN14" i="4"/>
  <c r="MM14" i="4"/>
  <c r="MR13" i="4"/>
  <c r="MQ13" i="4"/>
  <c r="MO13" i="4"/>
  <c r="MN13" i="4"/>
  <c r="MM13" i="4"/>
  <c r="MR12" i="4"/>
  <c r="MQ12" i="4"/>
  <c r="MO12" i="4"/>
  <c r="MN12" i="4"/>
  <c r="MM12" i="4"/>
  <c r="MR11" i="4"/>
  <c r="MQ11" i="4"/>
  <c r="MO11" i="4"/>
  <c r="MN11" i="4"/>
  <c r="MP11" i="4" s="1"/>
  <c r="MS11" i="4" s="1"/>
  <c r="MM11" i="4"/>
  <c r="MR10" i="4"/>
  <c r="MQ10" i="4"/>
  <c r="MO10" i="4"/>
  <c r="MN10" i="4"/>
  <c r="MM10" i="4"/>
  <c r="MR9" i="4"/>
  <c r="MQ9" i="4"/>
  <c r="MO9" i="4"/>
  <c r="MN9" i="4"/>
  <c r="MM9" i="4"/>
  <c r="MR8" i="4"/>
  <c r="MQ8" i="4"/>
  <c r="MO8" i="4"/>
  <c r="MN8" i="4"/>
  <c r="MM8" i="4"/>
  <c r="MR7" i="4"/>
  <c r="MQ7" i="4"/>
  <c r="MO7" i="4"/>
  <c r="MN7" i="4"/>
  <c r="MM7" i="4"/>
  <c r="MR6" i="4"/>
  <c r="MQ6" i="4"/>
  <c r="MO6" i="4"/>
  <c r="MN6" i="4"/>
  <c r="MM6" i="4"/>
  <c r="MR5" i="4"/>
  <c r="MQ5" i="4"/>
  <c r="MO5" i="4"/>
  <c r="MN5" i="4"/>
  <c r="MM5" i="4"/>
  <c r="MR4" i="4"/>
  <c r="MQ4" i="4"/>
  <c r="MO4" i="4"/>
  <c r="MN4" i="4"/>
  <c r="MM4" i="4"/>
  <c r="LV19" i="4"/>
  <c r="LU19" i="4"/>
  <c r="LS19" i="4"/>
  <c r="LR19" i="4"/>
  <c r="LQ19" i="4"/>
  <c r="LV18" i="4"/>
  <c r="LU18" i="4"/>
  <c r="LS18" i="4"/>
  <c r="LR18" i="4"/>
  <c r="LQ18" i="4"/>
  <c r="LV17" i="4"/>
  <c r="LU17" i="4"/>
  <c r="LS17" i="4"/>
  <c r="LR17" i="4"/>
  <c r="LQ17" i="4"/>
  <c r="LV16" i="4"/>
  <c r="LU16" i="4"/>
  <c r="LS16" i="4"/>
  <c r="LR16" i="4"/>
  <c r="LQ16" i="4"/>
  <c r="LV15" i="4"/>
  <c r="LU15" i="4"/>
  <c r="LS15" i="4"/>
  <c r="LR15" i="4"/>
  <c r="LQ15" i="4"/>
  <c r="LV14" i="4"/>
  <c r="LU14" i="4"/>
  <c r="LS14" i="4"/>
  <c r="LR14" i="4"/>
  <c r="LQ14" i="4"/>
  <c r="LV13" i="4"/>
  <c r="LU13" i="4"/>
  <c r="LS13" i="4"/>
  <c r="LR13" i="4"/>
  <c r="LQ13" i="4"/>
  <c r="LV12" i="4"/>
  <c r="LU12" i="4"/>
  <c r="LS12" i="4"/>
  <c r="LR12" i="4"/>
  <c r="LQ12" i="4"/>
  <c r="LV11" i="4"/>
  <c r="LU11" i="4"/>
  <c r="LS11" i="4"/>
  <c r="LR11" i="4"/>
  <c r="LQ11" i="4"/>
  <c r="LV10" i="4"/>
  <c r="LU10" i="4"/>
  <c r="LS10" i="4"/>
  <c r="LR10" i="4"/>
  <c r="LQ10" i="4"/>
  <c r="LV9" i="4"/>
  <c r="LU9" i="4"/>
  <c r="LS9" i="4"/>
  <c r="LR9" i="4"/>
  <c r="LQ9" i="4"/>
  <c r="LV8" i="4"/>
  <c r="LU8" i="4"/>
  <c r="LS8" i="4"/>
  <c r="LR8" i="4"/>
  <c r="LQ8" i="4"/>
  <c r="LV7" i="4"/>
  <c r="LU7" i="4"/>
  <c r="LS7" i="4"/>
  <c r="LR7" i="4"/>
  <c r="LQ7" i="4"/>
  <c r="LV6" i="4"/>
  <c r="LU6" i="4"/>
  <c r="LS6" i="4"/>
  <c r="LR6" i="4"/>
  <c r="LQ6" i="4"/>
  <c r="LV5" i="4"/>
  <c r="LU5" i="4"/>
  <c r="LS5" i="4"/>
  <c r="LR5" i="4"/>
  <c r="LQ5" i="4"/>
  <c r="LV4" i="4"/>
  <c r="LU4" i="4"/>
  <c r="LS4" i="4"/>
  <c r="LR4" i="4"/>
  <c r="LQ4" i="4"/>
  <c r="KZ19" i="4"/>
  <c r="KY19" i="4"/>
  <c r="KW19" i="4"/>
  <c r="KV19" i="4"/>
  <c r="KU19" i="4"/>
  <c r="KZ18" i="4"/>
  <c r="KY18" i="4"/>
  <c r="KW18" i="4"/>
  <c r="KV18" i="4"/>
  <c r="KU18" i="4"/>
  <c r="KZ17" i="4"/>
  <c r="KY17" i="4"/>
  <c r="KW17" i="4"/>
  <c r="KV17" i="4"/>
  <c r="KU17" i="4"/>
  <c r="KZ16" i="4"/>
  <c r="KY16" i="4"/>
  <c r="KW16" i="4"/>
  <c r="KV16" i="4"/>
  <c r="KU16" i="4"/>
  <c r="KZ15" i="4"/>
  <c r="KY15" i="4"/>
  <c r="KW15" i="4"/>
  <c r="KV15" i="4"/>
  <c r="KU15" i="4"/>
  <c r="KZ14" i="4"/>
  <c r="KY14" i="4"/>
  <c r="KW14" i="4"/>
  <c r="KV14" i="4"/>
  <c r="KU14" i="4"/>
  <c r="KZ13" i="4"/>
  <c r="KY13" i="4"/>
  <c r="KW13" i="4"/>
  <c r="KV13" i="4"/>
  <c r="KU13" i="4"/>
  <c r="KZ12" i="4"/>
  <c r="KY12" i="4"/>
  <c r="KW12" i="4"/>
  <c r="KV12" i="4"/>
  <c r="KU12" i="4"/>
  <c r="KZ11" i="4"/>
  <c r="KY11" i="4"/>
  <c r="KW11" i="4"/>
  <c r="KV11" i="4"/>
  <c r="KU11" i="4"/>
  <c r="KZ10" i="4"/>
  <c r="KY10" i="4"/>
  <c r="KW10" i="4"/>
  <c r="KV10" i="4"/>
  <c r="KU10" i="4"/>
  <c r="KZ9" i="4"/>
  <c r="KY9" i="4"/>
  <c r="KW9" i="4"/>
  <c r="KV9" i="4"/>
  <c r="KX9" i="4" s="1"/>
  <c r="LA9" i="4" s="1"/>
  <c r="KU9" i="4"/>
  <c r="KZ8" i="4"/>
  <c r="KY8" i="4"/>
  <c r="KW8" i="4"/>
  <c r="KV8" i="4"/>
  <c r="KU8" i="4"/>
  <c r="KZ7" i="4"/>
  <c r="KY7" i="4"/>
  <c r="KW7" i="4"/>
  <c r="KV7" i="4"/>
  <c r="KU7" i="4"/>
  <c r="KZ6" i="4"/>
  <c r="KY6" i="4"/>
  <c r="KW6" i="4"/>
  <c r="KV6" i="4"/>
  <c r="KU6" i="4"/>
  <c r="KZ5" i="4"/>
  <c r="KY5" i="4"/>
  <c r="KW5" i="4"/>
  <c r="KV5" i="4"/>
  <c r="KU5" i="4"/>
  <c r="KZ4" i="4"/>
  <c r="KY4" i="4"/>
  <c r="KW4" i="4"/>
  <c r="KV4" i="4"/>
  <c r="KU4" i="4"/>
  <c r="KD19" i="4"/>
  <c r="KC19" i="4"/>
  <c r="KA19" i="4"/>
  <c r="JZ19" i="4"/>
  <c r="JY19" i="4"/>
  <c r="KD18" i="4"/>
  <c r="KC18" i="4"/>
  <c r="KA18" i="4"/>
  <c r="JZ18" i="4"/>
  <c r="JY18" i="4"/>
  <c r="KD17" i="4"/>
  <c r="KC17" i="4"/>
  <c r="KA17" i="4"/>
  <c r="JZ17" i="4"/>
  <c r="JY17" i="4"/>
  <c r="KD16" i="4"/>
  <c r="KC16" i="4"/>
  <c r="KA16" i="4"/>
  <c r="JZ16" i="4"/>
  <c r="JY16" i="4"/>
  <c r="KD15" i="4"/>
  <c r="KC15" i="4"/>
  <c r="KA15" i="4"/>
  <c r="JZ15" i="4"/>
  <c r="KB15" i="4" s="1"/>
  <c r="KE15" i="4" s="1"/>
  <c r="JY15" i="4"/>
  <c r="KD14" i="4"/>
  <c r="KC14" i="4"/>
  <c r="KA14" i="4"/>
  <c r="JZ14" i="4"/>
  <c r="JY14" i="4"/>
  <c r="KD13" i="4"/>
  <c r="KC13" i="4"/>
  <c r="KA13" i="4"/>
  <c r="JZ13" i="4"/>
  <c r="JY13" i="4"/>
  <c r="KD12" i="4"/>
  <c r="KC12" i="4"/>
  <c r="KA12" i="4"/>
  <c r="JZ12" i="4"/>
  <c r="JY12" i="4"/>
  <c r="KD11" i="4"/>
  <c r="KC11" i="4"/>
  <c r="KA11" i="4"/>
  <c r="JZ11" i="4"/>
  <c r="JY11" i="4"/>
  <c r="KD10" i="4"/>
  <c r="KC10" i="4"/>
  <c r="KA10" i="4"/>
  <c r="JZ10" i="4"/>
  <c r="JY10" i="4"/>
  <c r="KD9" i="4"/>
  <c r="KC9" i="4"/>
  <c r="KA9" i="4"/>
  <c r="JZ9" i="4"/>
  <c r="JY9" i="4"/>
  <c r="KD8" i="4"/>
  <c r="KC8" i="4"/>
  <c r="KA8" i="4"/>
  <c r="JZ8" i="4"/>
  <c r="JY8" i="4"/>
  <c r="KD7" i="4"/>
  <c r="KC7" i="4"/>
  <c r="KA7" i="4"/>
  <c r="JZ7" i="4"/>
  <c r="KB7" i="4" s="1"/>
  <c r="JY7" i="4"/>
  <c r="KD6" i="4"/>
  <c r="KC6" i="4"/>
  <c r="KA6" i="4"/>
  <c r="JZ6" i="4"/>
  <c r="JY6" i="4"/>
  <c r="KD5" i="4"/>
  <c r="KC5" i="4"/>
  <c r="KA5" i="4"/>
  <c r="JZ5" i="4"/>
  <c r="JY5" i="4"/>
  <c r="KD4" i="4"/>
  <c r="KC4" i="4"/>
  <c r="KA4" i="4"/>
  <c r="JZ4" i="4"/>
  <c r="JY4" i="4"/>
  <c r="JH19" i="4"/>
  <c r="JG19" i="4"/>
  <c r="JE19" i="4"/>
  <c r="JD19" i="4"/>
  <c r="JC19" i="4"/>
  <c r="JH18" i="4"/>
  <c r="JG18" i="4"/>
  <c r="JE18" i="4"/>
  <c r="JD18" i="4"/>
  <c r="JC18" i="4"/>
  <c r="JH17" i="4"/>
  <c r="JG17" i="4"/>
  <c r="JE17" i="4"/>
  <c r="JD17" i="4"/>
  <c r="JC17" i="4"/>
  <c r="JH16" i="4"/>
  <c r="JG16" i="4"/>
  <c r="JE16" i="4"/>
  <c r="JD16" i="4"/>
  <c r="JC16" i="4"/>
  <c r="JH15" i="4"/>
  <c r="JG15" i="4"/>
  <c r="JE15" i="4"/>
  <c r="JD15" i="4"/>
  <c r="JC15" i="4"/>
  <c r="JH14" i="4"/>
  <c r="JG14" i="4"/>
  <c r="JE14" i="4"/>
  <c r="JD14" i="4"/>
  <c r="JC14" i="4"/>
  <c r="JH13" i="4"/>
  <c r="JG13" i="4"/>
  <c r="JE13" i="4"/>
  <c r="JD13" i="4"/>
  <c r="JC13" i="4"/>
  <c r="JH12" i="4"/>
  <c r="JG12" i="4"/>
  <c r="JE12" i="4"/>
  <c r="JD12" i="4"/>
  <c r="JC12" i="4"/>
  <c r="JH11" i="4"/>
  <c r="JG11" i="4"/>
  <c r="JE11" i="4"/>
  <c r="JD11" i="4"/>
  <c r="JC11" i="4"/>
  <c r="JH10" i="4"/>
  <c r="JG10" i="4"/>
  <c r="JE10" i="4"/>
  <c r="JD10" i="4"/>
  <c r="JC10" i="4"/>
  <c r="JH9" i="4"/>
  <c r="JG9" i="4"/>
  <c r="JE9" i="4"/>
  <c r="JD9" i="4"/>
  <c r="JC9" i="4"/>
  <c r="JH8" i="4"/>
  <c r="JG8" i="4"/>
  <c r="JE8" i="4"/>
  <c r="JD8" i="4"/>
  <c r="JC8" i="4"/>
  <c r="JH7" i="4"/>
  <c r="JG7" i="4"/>
  <c r="JE7" i="4"/>
  <c r="JD7" i="4"/>
  <c r="JC7" i="4"/>
  <c r="JH6" i="4"/>
  <c r="JG6" i="4"/>
  <c r="JE6" i="4"/>
  <c r="JD6" i="4"/>
  <c r="JC6" i="4"/>
  <c r="JH5" i="4"/>
  <c r="JG5" i="4"/>
  <c r="JE5" i="4"/>
  <c r="JD5" i="4"/>
  <c r="JC5" i="4"/>
  <c r="JH4" i="4"/>
  <c r="JG4" i="4"/>
  <c r="JE4" i="4"/>
  <c r="JD4" i="4"/>
  <c r="JC4" i="4"/>
  <c r="IL19" i="4"/>
  <c r="IK19" i="4"/>
  <c r="II19" i="4"/>
  <c r="IH19" i="4"/>
  <c r="IG19" i="4"/>
  <c r="IL18" i="4"/>
  <c r="IK18" i="4"/>
  <c r="II18" i="4"/>
  <c r="IH18" i="4"/>
  <c r="IG18" i="4"/>
  <c r="IL17" i="4"/>
  <c r="IK17" i="4"/>
  <c r="II17" i="4"/>
  <c r="IH17" i="4"/>
  <c r="IG17" i="4"/>
  <c r="IL16" i="4"/>
  <c r="IK16" i="4"/>
  <c r="II16" i="4"/>
  <c r="IH16" i="4"/>
  <c r="IG16" i="4"/>
  <c r="IL15" i="4"/>
  <c r="IK15" i="4"/>
  <c r="II15" i="4"/>
  <c r="IH15" i="4"/>
  <c r="IG15" i="4"/>
  <c r="IL14" i="4"/>
  <c r="IK14" i="4"/>
  <c r="II14" i="4"/>
  <c r="IH14" i="4"/>
  <c r="IG14" i="4"/>
  <c r="IL13" i="4"/>
  <c r="IK13" i="4"/>
  <c r="II13" i="4"/>
  <c r="IH13" i="4"/>
  <c r="IG13" i="4"/>
  <c r="IL12" i="4"/>
  <c r="IK12" i="4"/>
  <c r="II12" i="4"/>
  <c r="IH12" i="4"/>
  <c r="IG12" i="4"/>
  <c r="IL11" i="4"/>
  <c r="IK11" i="4"/>
  <c r="II11" i="4"/>
  <c r="IH11" i="4"/>
  <c r="IG11" i="4"/>
  <c r="IL10" i="4"/>
  <c r="IK10" i="4"/>
  <c r="II10" i="4"/>
  <c r="IH10" i="4"/>
  <c r="IG10" i="4"/>
  <c r="IL9" i="4"/>
  <c r="IK9" i="4"/>
  <c r="II9" i="4"/>
  <c r="IH9" i="4"/>
  <c r="IJ9" i="4" s="1"/>
  <c r="IG9" i="4"/>
  <c r="IL8" i="4"/>
  <c r="IK8" i="4"/>
  <c r="II8" i="4"/>
  <c r="IH8" i="4"/>
  <c r="IG8" i="4"/>
  <c r="IL7" i="4"/>
  <c r="IK7" i="4"/>
  <c r="II7" i="4"/>
  <c r="IH7" i="4"/>
  <c r="IG7" i="4"/>
  <c r="IL6" i="4"/>
  <c r="IK6" i="4"/>
  <c r="II6" i="4"/>
  <c r="IH6" i="4"/>
  <c r="IG6" i="4"/>
  <c r="IL5" i="4"/>
  <c r="IK5" i="4"/>
  <c r="II5" i="4"/>
  <c r="IH5" i="4"/>
  <c r="IG5" i="4"/>
  <c r="IL4" i="4"/>
  <c r="IK4" i="4"/>
  <c r="II4" i="4"/>
  <c r="IH4" i="4"/>
  <c r="IG4" i="4"/>
  <c r="HP19" i="4"/>
  <c r="HO19" i="4"/>
  <c r="HM19" i="4"/>
  <c r="HL19" i="4"/>
  <c r="HK19" i="4"/>
  <c r="HP18" i="4"/>
  <c r="HO18" i="4"/>
  <c r="HM18" i="4"/>
  <c r="HL18" i="4"/>
  <c r="HK18" i="4"/>
  <c r="HP17" i="4"/>
  <c r="HO17" i="4"/>
  <c r="HM17" i="4"/>
  <c r="HL17" i="4"/>
  <c r="HK17" i="4"/>
  <c r="HP16" i="4"/>
  <c r="HO16" i="4"/>
  <c r="HM16" i="4"/>
  <c r="HL16" i="4"/>
  <c r="HK16" i="4"/>
  <c r="HP15" i="4"/>
  <c r="HO15" i="4"/>
  <c r="HM15" i="4"/>
  <c r="HL15" i="4"/>
  <c r="HK15" i="4"/>
  <c r="HP14" i="4"/>
  <c r="HO14" i="4"/>
  <c r="HM14" i="4"/>
  <c r="HL14" i="4"/>
  <c r="HK14" i="4"/>
  <c r="HP13" i="4"/>
  <c r="HO13" i="4"/>
  <c r="HM13" i="4"/>
  <c r="HL13" i="4"/>
  <c r="HK13" i="4"/>
  <c r="HP12" i="4"/>
  <c r="HO12" i="4"/>
  <c r="HM12" i="4"/>
  <c r="HL12" i="4"/>
  <c r="HK12" i="4"/>
  <c r="HP11" i="4"/>
  <c r="HO11" i="4"/>
  <c r="HM11" i="4"/>
  <c r="HL11" i="4"/>
  <c r="HK11" i="4"/>
  <c r="HP10" i="4"/>
  <c r="HO10" i="4"/>
  <c r="HM10" i="4"/>
  <c r="HL10" i="4"/>
  <c r="HK10" i="4"/>
  <c r="HP9" i="4"/>
  <c r="HO9" i="4"/>
  <c r="HM9" i="4"/>
  <c r="HL9" i="4"/>
  <c r="HK9" i="4"/>
  <c r="HP8" i="4"/>
  <c r="HO8" i="4"/>
  <c r="HM8" i="4"/>
  <c r="HL8" i="4"/>
  <c r="HK8" i="4"/>
  <c r="HP7" i="4"/>
  <c r="HO7" i="4"/>
  <c r="HM7" i="4"/>
  <c r="HL7" i="4"/>
  <c r="HK7" i="4"/>
  <c r="HP6" i="4"/>
  <c r="HO6" i="4"/>
  <c r="HM6" i="4"/>
  <c r="HL6" i="4"/>
  <c r="HK6" i="4"/>
  <c r="HP5" i="4"/>
  <c r="HO5" i="4"/>
  <c r="HM5" i="4"/>
  <c r="HL5" i="4"/>
  <c r="HK5" i="4"/>
  <c r="HP4" i="4"/>
  <c r="HO4" i="4"/>
  <c r="HM4" i="4"/>
  <c r="HL4" i="4"/>
  <c r="HK4" i="4"/>
  <c r="GT19" i="4"/>
  <c r="GS19" i="4"/>
  <c r="GQ19" i="4"/>
  <c r="GP19" i="4"/>
  <c r="GO19" i="4"/>
  <c r="GT18" i="4"/>
  <c r="GS18" i="4"/>
  <c r="GQ18" i="4"/>
  <c r="GP18" i="4"/>
  <c r="GO18" i="4"/>
  <c r="GT17" i="4"/>
  <c r="GS17" i="4"/>
  <c r="GQ17" i="4"/>
  <c r="GP17" i="4"/>
  <c r="GO17" i="4"/>
  <c r="GT16" i="4"/>
  <c r="GS16" i="4"/>
  <c r="GQ16" i="4"/>
  <c r="GP16" i="4"/>
  <c r="GO16" i="4"/>
  <c r="GT15" i="4"/>
  <c r="GS15" i="4"/>
  <c r="GQ15" i="4"/>
  <c r="GP15" i="4"/>
  <c r="GO15" i="4"/>
  <c r="GT14" i="4"/>
  <c r="GS14" i="4"/>
  <c r="GQ14" i="4"/>
  <c r="GP14" i="4"/>
  <c r="GO14" i="4"/>
  <c r="GT13" i="4"/>
  <c r="GS13" i="4"/>
  <c r="GQ13" i="4"/>
  <c r="GP13" i="4"/>
  <c r="GO13" i="4"/>
  <c r="GT12" i="4"/>
  <c r="GS12" i="4"/>
  <c r="GQ12" i="4"/>
  <c r="GP12" i="4"/>
  <c r="GO12" i="4"/>
  <c r="GT11" i="4"/>
  <c r="GS11" i="4"/>
  <c r="GQ11" i="4"/>
  <c r="GP11" i="4"/>
  <c r="GO11" i="4"/>
  <c r="GT10" i="4"/>
  <c r="GS10" i="4"/>
  <c r="GQ10" i="4"/>
  <c r="GP10" i="4"/>
  <c r="GO10" i="4"/>
  <c r="GT9" i="4"/>
  <c r="GS9" i="4"/>
  <c r="GQ9" i="4"/>
  <c r="GP9" i="4"/>
  <c r="GO9" i="4"/>
  <c r="GT8" i="4"/>
  <c r="GS8" i="4"/>
  <c r="GQ8" i="4"/>
  <c r="GP8" i="4"/>
  <c r="GO8" i="4"/>
  <c r="GT7" i="4"/>
  <c r="GS7" i="4"/>
  <c r="GQ7" i="4"/>
  <c r="GP7" i="4"/>
  <c r="GO7" i="4"/>
  <c r="GT6" i="4"/>
  <c r="GS6" i="4"/>
  <c r="GQ6" i="4"/>
  <c r="GP6" i="4"/>
  <c r="GO6" i="4"/>
  <c r="GT5" i="4"/>
  <c r="GS5" i="4"/>
  <c r="GQ5" i="4"/>
  <c r="GP5" i="4"/>
  <c r="GO5" i="4"/>
  <c r="GT4" i="4"/>
  <c r="GS4" i="4"/>
  <c r="GQ4" i="4"/>
  <c r="GP4" i="4"/>
  <c r="GO4" i="4"/>
  <c r="FX19" i="4"/>
  <c r="FW19" i="4"/>
  <c r="FU19" i="4"/>
  <c r="FT19" i="4"/>
  <c r="FV19" i="4" s="1"/>
  <c r="FS19" i="4"/>
  <c r="FX18" i="4"/>
  <c r="FW18" i="4"/>
  <c r="FU18" i="4"/>
  <c r="FT18" i="4"/>
  <c r="FS18" i="4"/>
  <c r="FX17" i="4"/>
  <c r="FW17" i="4"/>
  <c r="FU17" i="4"/>
  <c r="FT17" i="4"/>
  <c r="FS17" i="4"/>
  <c r="FX16" i="4"/>
  <c r="FW16" i="4"/>
  <c r="FU16" i="4"/>
  <c r="FT16" i="4"/>
  <c r="FS16" i="4"/>
  <c r="FX15" i="4"/>
  <c r="FW15" i="4"/>
  <c r="FU15" i="4"/>
  <c r="FT15" i="4"/>
  <c r="FS15" i="4"/>
  <c r="FX14" i="4"/>
  <c r="FW14" i="4"/>
  <c r="FU14" i="4"/>
  <c r="FT14" i="4"/>
  <c r="FS14" i="4"/>
  <c r="FX13" i="4"/>
  <c r="FW13" i="4"/>
  <c r="FU13" i="4"/>
  <c r="FT13" i="4"/>
  <c r="FS13" i="4"/>
  <c r="FX12" i="4"/>
  <c r="FW12" i="4"/>
  <c r="FU12" i="4"/>
  <c r="FT12" i="4"/>
  <c r="FS12" i="4"/>
  <c r="FX11" i="4"/>
  <c r="FW11" i="4"/>
  <c r="FU11" i="4"/>
  <c r="FT11" i="4"/>
  <c r="FV11" i="4" s="1"/>
  <c r="FY11" i="4" s="1"/>
  <c r="FS11" i="4"/>
  <c r="FX10" i="4"/>
  <c r="FW10" i="4"/>
  <c r="FU10" i="4"/>
  <c r="FT10" i="4"/>
  <c r="FS10" i="4"/>
  <c r="FX9" i="4"/>
  <c r="FW9" i="4"/>
  <c r="FU9" i="4"/>
  <c r="FT9" i="4"/>
  <c r="FS9" i="4"/>
  <c r="FX8" i="4"/>
  <c r="FW8" i="4"/>
  <c r="FU8" i="4"/>
  <c r="FT8" i="4"/>
  <c r="FS8" i="4"/>
  <c r="FX7" i="4"/>
  <c r="FW7" i="4"/>
  <c r="FU7" i="4"/>
  <c r="FT7" i="4"/>
  <c r="FS7" i="4"/>
  <c r="FX6" i="4"/>
  <c r="FW6" i="4"/>
  <c r="FU6" i="4"/>
  <c r="FT6" i="4"/>
  <c r="FS6" i="4"/>
  <c r="FX5" i="4"/>
  <c r="FW5" i="4"/>
  <c r="FU5" i="4"/>
  <c r="FT5" i="4"/>
  <c r="FS5" i="4"/>
  <c r="FX4" i="4"/>
  <c r="FW4" i="4"/>
  <c r="FU4" i="4"/>
  <c r="FT4" i="4"/>
  <c r="FS4" i="4"/>
  <c r="FB19" i="4"/>
  <c r="FA19" i="4"/>
  <c r="EY19" i="4"/>
  <c r="EX19" i="4"/>
  <c r="EW19" i="4"/>
  <c r="FB18" i="4"/>
  <c r="FA18" i="4"/>
  <c r="EY18" i="4"/>
  <c r="EX18" i="4"/>
  <c r="EW18" i="4"/>
  <c r="FB17" i="4"/>
  <c r="FA17" i="4"/>
  <c r="EY17" i="4"/>
  <c r="EX17" i="4"/>
  <c r="EW17" i="4"/>
  <c r="FB16" i="4"/>
  <c r="FA16" i="4"/>
  <c r="EY16" i="4"/>
  <c r="EX16" i="4"/>
  <c r="EW16" i="4"/>
  <c r="FB15" i="4"/>
  <c r="FA15" i="4"/>
  <c r="EY15" i="4"/>
  <c r="EX15" i="4"/>
  <c r="EW15" i="4"/>
  <c r="FB14" i="4"/>
  <c r="FA14" i="4"/>
  <c r="EY14" i="4"/>
  <c r="EX14" i="4"/>
  <c r="EW14" i="4"/>
  <c r="FB13" i="4"/>
  <c r="FA13" i="4"/>
  <c r="EY13" i="4"/>
  <c r="EX13" i="4"/>
  <c r="EW13" i="4"/>
  <c r="FB12" i="4"/>
  <c r="FA12" i="4"/>
  <c r="EY12" i="4"/>
  <c r="EX12" i="4"/>
  <c r="EW12" i="4"/>
  <c r="FB11" i="4"/>
  <c r="FA11" i="4"/>
  <c r="EY11" i="4"/>
  <c r="EX11" i="4"/>
  <c r="EW11" i="4"/>
  <c r="FB10" i="4"/>
  <c r="FA10" i="4"/>
  <c r="EY10" i="4"/>
  <c r="EX10" i="4"/>
  <c r="EW10" i="4"/>
  <c r="FB9" i="4"/>
  <c r="FA9" i="4"/>
  <c r="EY9" i="4"/>
  <c r="EX9" i="4"/>
  <c r="EW9" i="4"/>
  <c r="FB8" i="4"/>
  <c r="FA8" i="4"/>
  <c r="EY8" i="4"/>
  <c r="EX8" i="4"/>
  <c r="EW8" i="4"/>
  <c r="FB7" i="4"/>
  <c r="FA7" i="4"/>
  <c r="EY7" i="4"/>
  <c r="EX7" i="4"/>
  <c r="EW7" i="4"/>
  <c r="FB6" i="4"/>
  <c r="FA6" i="4"/>
  <c r="EY6" i="4"/>
  <c r="EX6" i="4"/>
  <c r="EW6" i="4"/>
  <c r="FB5" i="4"/>
  <c r="FA5" i="4"/>
  <c r="EY5" i="4"/>
  <c r="EX5" i="4"/>
  <c r="EW5" i="4"/>
  <c r="FB4" i="4"/>
  <c r="FA4" i="4"/>
  <c r="EY4" i="4"/>
  <c r="EX4" i="4"/>
  <c r="EW4" i="4"/>
  <c r="EF19" i="4"/>
  <c r="EE19" i="4"/>
  <c r="EC19" i="4"/>
  <c r="EB19" i="4"/>
  <c r="EA19" i="4"/>
  <c r="EF18" i="4"/>
  <c r="EE18" i="4"/>
  <c r="EC18" i="4"/>
  <c r="EB18" i="4"/>
  <c r="EA18" i="4"/>
  <c r="EF17" i="4"/>
  <c r="EE17" i="4"/>
  <c r="EC17" i="4"/>
  <c r="EB17" i="4"/>
  <c r="EA17" i="4"/>
  <c r="EF16" i="4"/>
  <c r="EE16" i="4"/>
  <c r="EC16" i="4"/>
  <c r="EB16" i="4"/>
  <c r="EA16" i="4"/>
  <c r="EF15" i="4"/>
  <c r="EE15" i="4"/>
  <c r="EC15" i="4"/>
  <c r="EB15" i="4"/>
  <c r="EA15" i="4"/>
  <c r="EF14" i="4"/>
  <c r="EE14" i="4"/>
  <c r="EC14" i="4"/>
  <c r="EB14" i="4"/>
  <c r="EA14" i="4"/>
  <c r="EF13" i="4"/>
  <c r="EE13" i="4"/>
  <c r="EC13" i="4"/>
  <c r="EB13" i="4"/>
  <c r="EA13" i="4"/>
  <c r="EF12" i="4"/>
  <c r="EE12" i="4"/>
  <c r="EC12" i="4"/>
  <c r="EB12" i="4"/>
  <c r="EA12" i="4"/>
  <c r="EF11" i="4"/>
  <c r="EE11" i="4"/>
  <c r="EC11" i="4"/>
  <c r="EB11" i="4"/>
  <c r="ED11" i="4" s="1"/>
  <c r="EG11" i="4" s="1"/>
  <c r="EA11" i="4"/>
  <c r="EF10" i="4"/>
  <c r="EE10" i="4"/>
  <c r="EC10" i="4"/>
  <c r="EB10" i="4"/>
  <c r="EA10" i="4"/>
  <c r="EF9" i="4"/>
  <c r="EE9" i="4"/>
  <c r="EC9" i="4"/>
  <c r="EB9" i="4"/>
  <c r="EA9" i="4"/>
  <c r="EF8" i="4"/>
  <c r="EE8" i="4"/>
  <c r="EC8" i="4"/>
  <c r="EB8" i="4"/>
  <c r="EA8" i="4"/>
  <c r="EF7" i="4"/>
  <c r="EE7" i="4"/>
  <c r="EC7" i="4"/>
  <c r="EB7" i="4"/>
  <c r="EA7" i="4"/>
  <c r="EF6" i="4"/>
  <c r="EE6" i="4"/>
  <c r="EC6" i="4"/>
  <c r="EB6" i="4"/>
  <c r="EA6" i="4"/>
  <c r="EF5" i="4"/>
  <c r="EE5" i="4"/>
  <c r="EC5" i="4"/>
  <c r="EB5" i="4"/>
  <c r="EA5" i="4"/>
  <c r="EF4" i="4"/>
  <c r="EE4" i="4"/>
  <c r="EC4" i="4"/>
  <c r="EB4" i="4"/>
  <c r="EA4" i="4"/>
  <c r="AH10" i="12"/>
  <c r="AI10" i="12"/>
  <c r="AJ10" i="12"/>
  <c r="AK10" i="12"/>
  <c r="BD10" i="12"/>
  <c r="BE10" i="12"/>
  <c r="BF10" i="12"/>
  <c r="BG10" i="12"/>
  <c r="BZ10" i="12"/>
  <c r="CA10" i="12"/>
  <c r="CB10" i="12"/>
  <c r="CC10" i="12"/>
  <c r="CW10" i="12"/>
  <c r="CX10" i="12"/>
  <c r="CY10" i="12"/>
  <c r="CZ10" i="12"/>
  <c r="DR10" i="12"/>
  <c r="DS10" i="12"/>
  <c r="DT10" i="12"/>
  <c r="DU10" i="12"/>
  <c r="EM10" i="12"/>
  <c r="EN10" i="12"/>
  <c r="EO10" i="12"/>
  <c r="EP10" i="12"/>
  <c r="FH10" i="12"/>
  <c r="FI10" i="12"/>
  <c r="FJ10" i="12"/>
  <c r="FK10" i="12"/>
  <c r="GC10" i="12"/>
  <c r="GD10" i="12"/>
  <c r="GE10" i="12"/>
  <c r="GF10" i="12"/>
  <c r="GX10" i="12"/>
  <c r="GY10" i="12"/>
  <c r="GZ10" i="12"/>
  <c r="HA10" i="12"/>
  <c r="HS10" i="12"/>
  <c r="HT10" i="12"/>
  <c r="HU10" i="12"/>
  <c r="HV10" i="12"/>
  <c r="IN10" i="12"/>
  <c r="IO10" i="12"/>
  <c r="IP10" i="12"/>
  <c r="IQ10" i="12"/>
  <c r="JI10" i="12"/>
  <c r="JJ10" i="12"/>
  <c r="JK10" i="12"/>
  <c r="JL10" i="12"/>
  <c r="KD10" i="12"/>
  <c r="KE10" i="12"/>
  <c r="KF10" i="12"/>
  <c r="KG10" i="12"/>
  <c r="KY10" i="12"/>
  <c r="KZ10" i="12"/>
  <c r="LA10" i="12"/>
  <c r="LB10" i="12"/>
  <c r="LT10" i="12"/>
  <c r="LU10" i="12"/>
  <c r="LV10" i="12"/>
  <c r="LW10" i="12"/>
  <c r="LY10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AH8" i="12"/>
  <c r="AI8" i="12"/>
  <c r="AJ8" i="12"/>
  <c r="AK8" i="12"/>
  <c r="BD8" i="12"/>
  <c r="BE8" i="12"/>
  <c r="BF8" i="12"/>
  <c r="BG8" i="12"/>
  <c r="BZ8" i="12"/>
  <c r="CA8" i="12"/>
  <c r="CB8" i="12"/>
  <c r="CC8" i="12"/>
  <c r="CW8" i="12"/>
  <c r="CX8" i="12"/>
  <c r="CY8" i="12"/>
  <c r="CZ8" i="12"/>
  <c r="DR8" i="12"/>
  <c r="DS8" i="12"/>
  <c r="DT8" i="12"/>
  <c r="DU8" i="12"/>
  <c r="EM8" i="12"/>
  <c r="EN8" i="12"/>
  <c r="EO8" i="12"/>
  <c r="EP8" i="12"/>
  <c r="FH8" i="12"/>
  <c r="FI8" i="12"/>
  <c r="FJ8" i="12"/>
  <c r="FK8" i="12"/>
  <c r="GC8" i="12"/>
  <c r="GD8" i="12"/>
  <c r="GE8" i="12"/>
  <c r="GF8" i="12"/>
  <c r="GX8" i="12"/>
  <c r="GY8" i="12"/>
  <c r="GZ8" i="12"/>
  <c r="HA8" i="12"/>
  <c r="HS8" i="12"/>
  <c r="HT8" i="12"/>
  <c r="HU8" i="12"/>
  <c r="HV8" i="12"/>
  <c r="IN8" i="12"/>
  <c r="IO8" i="12"/>
  <c r="IP8" i="12"/>
  <c r="IQ8" i="12"/>
  <c r="JI8" i="12"/>
  <c r="JJ8" i="12"/>
  <c r="JK8" i="12"/>
  <c r="JL8" i="12"/>
  <c r="KD8" i="12"/>
  <c r="KE8" i="12"/>
  <c r="KF8" i="12"/>
  <c r="KG8" i="12"/>
  <c r="KY8" i="12"/>
  <c r="KZ8" i="12"/>
  <c r="LA8" i="12"/>
  <c r="LB8" i="12"/>
  <c r="LT8" i="12"/>
  <c r="LU8" i="12"/>
  <c r="LV8" i="12"/>
  <c r="LW8" i="12"/>
  <c r="LY8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AH11" i="12"/>
  <c r="AI11" i="12"/>
  <c r="AJ11" i="12"/>
  <c r="AK11" i="12"/>
  <c r="BD11" i="12"/>
  <c r="BE11" i="12"/>
  <c r="BF11" i="12"/>
  <c r="BG11" i="12"/>
  <c r="BZ11" i="12"/>
  <c r="CA11" i="12"/>
  <c r="CB11" i="12"/>
  <c r="CC11" i="12"/>
  <c r="CW11" i="12"/>
  <c r="CX11" i="12"/>
  <c r="CY11" i="12"/>
  <c r="CZ11" i="12"/>
  <c r="DR11" i="12"/>
  <c r="DS11" i="12"/>
  <c r="DT11" i="12"/>
  <c r="DU11" i="12"/>
  <c r="EM11" i="12"/>
  <c r="EN11" i="12"/>
  <c r="EO11" i="12"/>
  <c r="EP11" i="12"/>
  <c r="FH11" i="12"/>
  <c r="FI11" i="12"/>
  <c r="FJ11" i="12"/>
  <c r="FK11" i="12"/>
  <c r="GC11" i="12"/>
  <c r="GD11" i="12"/>
  <c r="GE11" i="12"/>
  <c r="GF11" i="12"/>
  <c r="GX11" i="12"/>
  <c r="GY11" i="12"/>
  <c r="GZ11" i="12"/>
  <c r="HA11" i="12"/>
  <c r="HS11" i="12"/>
  <c r="HT11" i="12"/>
  <c r="HU11" i="12"/>
  <c r="HV11" i="12"/>
  <c r="IN11" i="12"/>
  <c r="IO11" i="12"/>
  <c r="IP11" i="12"/>
  <c r="IQ11" i="12"/>
  <c r="JI11" i="12"/>
  <c r="JJ11" i="12"/>
  <c r="JK11" i="12"/>
  <c r="JL11" i="12"/>
  <c r="KD11" i="12"/>
  <c r="KE11" i="12"/>
  <c r="KF11" i="12"/>
  <c r="KG11" i="12"/>
  <c r="KY11" i="12"/>
  <c r="KZ11" i="12"/>
  <c r="LA11" i="12"/>
  <c r="LB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AH4" i="12"/>
  <c r="AI4" i="12"/>
  <c r="AJ4" i="12"/>
  <c r="AK4" i="12"/>
  <c r="BD4" i="12"/>
  <c r="BE4" i="12"/>
  <c r="BF4" i="12"/>
  <c r="BG4" i="12"/>
  <c r="BZ4" i="12"/>
  <c r="CA4" i="12"/>
  <c r="CB4" i="12"/>
  <c r="CC4" i="12"/>
  <c r="CW4" i="12"/>
  <c r="CX4" i="12"/>
  <c r="CY4" i="12"/>
  <c r="CZ4" i="12"/>
  <c r="DR4" i="12"/>
  <c r="DS4" i="12"/>
  <c r="DT4" i="12"/>
  <c r="DU4" i="12"/>
  <c r="EM4" i="12"/>
  <c r="EN4" i="12"/>
  <c r="EO4" i="12"/>
  <c r="EP4" i="12"/>
  <c r="FH4" i="12"/>
  <c r="FI4" i="12"/>
  <c r="FJ4" i="12"/>
  <c r="FK4" i="12"/>
  <c r="GC4" i="12"/>
  <c r="GD4" i="12"/>
  <c r="GE4" i="12"/>
  <c r="GF4" i="12"/>
  <c r="GX4" i="12"/>
  <c r="GY4" i="12"/>
  <c r="GZ4" i="12"/>
  <c r="HA4" i="12"/>
  <c r="HS4" i="12"/>
  <c r="HT4" i="12"/>
  <c r="HU4" i="12"/>
  <c r="HV4" i="12"/>
  <c r="IN4" i="12"/>
  <c r="IO4" i="12"/>
  <c r="IP4" i="12"/>
  <c r="IQ4" i="12"/>
  <c r="JI4" i="12"/>
  <c r="JJ4" i="12"/>
  <c r="JK4" i="12"/>
  <c r="JL4" i="12"/>
  <c r="KD4" i="12"/>
  <c r="KE4" i="12"/>
  <c r="KF4" i="12"/>
  <c r="KG4" i="12"/>
  <c r="KY4" i="12"/>
  <c r="KZ4" i="12"/>
  <c r="LA4" i="12"/>
  <c r="LB4" i="12"/>
  <c r="LT4" i="12"/>
  <c r="LU4" i="12"/>
  <c r="LV4" i="12"/>
  <c r="LW4" i="12"/>
  <c r="LY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AH18" i="6"/>
  <c r="AI18" i="6"/>
  <c r="AJ18" i="6"/>
  <c r="AK18" i="6"/>
  <c r="BD18" i="6"/>
  <c r="BE18" i="6"/>
  <c r="BF18" i="6"/>
  <c r="BG18" i="6"/>
  <c r="BZ18" i="6"/>
  <c r="CA18" i="6"/>
  <c r="CB18" i="6"/>
  <c r="CC18" i="6"/>
  <c r="CW18" i="6"/>
  <c r="CX18" i="6"/>
  <c r="CY18" i="6"/>
  <c r="CZ18" i="6"/>
  <c r="DR18" i="6"/>
  <c r="DS18" i="6"/>
  <c r="DT18" i="6"/>
  <c r="DU18" i="6"/>
  <c r="EM18" i="6"/>
  <c r="EN18" i="6"/>
  <c r="EO18" i="6"/>
  <c r="EP18" i="6"/>
  <c r="FH18" i="6"/>
  <c r="FI18" i="6"/>
  <c r="FJ18" i="6"/>
  <c r="FK18" i="6"/>
  <c r="GC18" i="6"/>
  <c r="GD18" i="6"/>
  <c r="GE18" i="6"/>
  <c r="GF18" i="6"/>
  <c r="GX18" i="6"/>
  <c r="GY18" i="6"/>
  <c r="GZ18" i="6"/>
  <c r="HA18" i="6"/>
  <c r="HS18" i="6"/>
  <c r="HT18" i="6"/>
  <c r="HU18" i="6"/>
  <c r="HV18" i="6"/>
  <c r="IN18" i="6"/>
  <c r="IO18" i="6"/>
  <c r="IP18" i="6"/>
  <c r="IQ18" i="6"/>
  <c r="IR18" i="6" s="1"/>
  <c r="JI18" i="6"/>
  <c r="JJ18" i="6"/>
  <c r="JK18" i="6"/>
  <c r="JL18" i="6"/>
  <c r="KD18" i="6"/>
  <c r="KE18" i="6"/>
  <c r="KF18" i="6"/>
  <c r="KG18" i="6"/>
  <c r="KH18" i="6" s="1"/>
  <c r="KY18" i="6"/>
  <c r="KZ18" i="6"/>
  <c r="LA18" i="6"/>
  <c r="LB18" i="6"/>
  <c r="LT18" i="6"/>
  <c r="LU18" i="6"/>
  <c r="LV18" i="6"/>
  <c r="LW18" i="6"/>
  <c r="LY18" i="6"/>
  <c r="LZ18" i="6"/>
  <c r="MA18" i="6"/>
  <c r="MB18" i="6"/>
  <c r="MC18" i="6"/>
  <c r="MD18" i="6"/>
  <c r="ME18" i="6"/>
  <c r="MF18" i="6"/>
  <c r="MG18" i="6"/>
  <c r="MH18" i="6"/>
  <c r="MI18" i="6"/>
  <c r="MJ18" i="6"/>
  <c r="MK18" i="6"/>
  <c r="ML18" i="6"/>
  <c r="MM18" i="6"/>
  <c r="MN18" i="6"/>
  <c r="AH7" i="6"/>
  <c r="AI7" i="6"/>
  <c r="AJ7" i="6"/>
  <c r="AK7" i="6"/>
  <c r="BD7" i="6"/>
  <c r="BE7" i="6"/>
  <c r="BF7" i="6"/>
  <c r="BG7" i="6"/>
  <c r="BH7" i="6" s="1"/>
  <c r="BZ7" i="6"/>
  <c r="CA7" i="6"/>
  <c r="CB7" i="6"/>
  <c r="CC7" i="6"/>
  <c r="CW7" i="6"/>
  <c r="CX7" i="6"/>
  <c r="CY7" i="6"/>
  <c r="CZ7" i="6"/>
  <c r="DR7" i="6"/>
  <c r="DS7" i="6"/>
  <c r="DT7" i="6"/>
  <c r="DU7" i="6"/>
  <c r="EM7" i="6"/>
  <c r="EN7" i="6"/>
  <c r="EO7" i="6"/>
  <c r="EP7" i="6"/>
  <c r="FH7" i="6"/>
  <c r="FI7" i="6"/>
  <c r="FJ7" i="6"/>
  <c r="FK7" i="6"/>
  <c r="GC7" i="6"/>
  <c r="GD7" i="6"/>
  <c r="GE7" i="6"/>
  <c r="GF7" i="6"/>
  <c r="GG7" i="6" s="1"/>
  <c r="GX7" i="6"/>
  <c r="GY7" i="6"/>
  <c r="GZ7" i="6"/>
  <c r="HA7" i="6"/>
  <c r="HS7" i="6"/>
  <c r="HT7" i="6"/>
  <c r="HU7" i="6"/>
  <c r="HV7" i="6"/>
  <c r="IN7" i="6"/>
  <c r="IO7" i="6"/>
  <c r="IP7" i="6"/>
  <c r="IQ7" i="6"/>
  <c r="JI7" i="6"/>
  <c r="JJ7" i="6"/>
  <c r="JK7" i="6"/>
  <c r="JL7" i="6"/>
  <c r="KD7" i="6"/>
  <c r="KE7" i="6"/>
  <c r="KF7" i="6"/>
  <c r="KG7" i="6"/>
  <c r="KY7" i="6"/>
  <c r="KZ7" i="6"/>
  <c r="LA7" i="6"/>
  <c r="LB7" i="6"/>
  <c r="LT7" i="6"/>
  <c r="LU7" i="6"/>
  <c r="LV7" i="6"/>
  <c r="LW7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AH5" i="6"/>
  <c r="AI5" i="6"/>
  <c r="AJ5" i="6"/>
  <c r="AK5" i="6"/>
  <c r="BD5" i="6"/>
  <c r="BE5" i="6"/>
  <c r="BF5" i="6"/>
  <c r="BG5" i="6"/>
  <c r="BZ5" i="6"/>
  <c r="CA5" i="6"/>
  <c r="CB5" i="6"/>
  <c r="CC5" i="6"/>
  <c r="CW5" i="6"/>
  <c r="CX5" i="6"/>
  <c r="CY5" i="6"/>
  <c r="CZ5" i="6"/>
  <c r="DR5" i="6"/>
  <c r="DS5" i="6"/>
  <c r="DT5" i="6"/>
  <c r="DU5" i="6"/>
  <c r="EM5" i="6"/>
  <c r="EN5" i="6"/>
  <c r="EO5" i="6"/>
  <c r="EP5" i="6"/>
  <c r="FH5" i="6"/>
  <c r="FI5" i="6"/>
  <c r="FJ5" i="6"/>
  <c r="FK5" i="6"/>
  <c r="GC5" i="6"/>
  <c r="GD5" i="6"/>
  <c r="GE5" i="6"/>
  <c r="GF5" i="6"/>
  <c r="GX5" i="6"/>
  <c r="GY5" i="6"/>
  <c r="GZ5" i="6"/>
  <c r="HA5" i="6"/>
  <c r="HS5" i="6"/>
  <c r="HT5" i="6"/>
  <c r="HU5" i="6"/>
  <c r="HV5" i="6"/>
  <c r="IN5" i="6"/>
  <c r="IO5" i="6"/>
  <c r="IP5" i="6"/>
  <c r="IQ5" i="6"/>
  <c r="JI5" i="6"/>
  <c r="JJ5" i="6"/>
  <c r="JK5" i="6"/>
  <c r="JL5" i="6"/>
  <c r="KD5" i="6"/>
  <c r="KE5" i="6"/>
  <c r="KF5" i="6"/>
  <c r="KG5" i="6"/>
  <c r="KY5" i="6"/>
  <c r="KZ5" i="6"/>
  <c r="LA5" i="6"/>
  <c r="LB5" i="6"/>
  <c r="LT5" i="6"/>
  <c r="LU5" i="6"/>
  <c r="LV5" i="6"/>
  <c r="LW5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AQ10" i="4"/>
  <c r="AR10" i="4"/>
  <c r="AS10" i="4"/>
  <c r="AT10" i="4"/>
  <c r="AU10" i="4"/>
  <c r="AW10" i="4"/>
  <c r="AX10" i="4"/>
  <c r="BU10" i="4"/>
  <c r="BV10" i="4"/>
  <c r="BW10" i="4"/>
  <c r="BX10" i="4"/>
  <c r="BY10" i="4"/>
  <c r="CA10" i="4"/>
  <c r="CB10" i="4"/>
  <c r="CY10" i="4"/>
  <c r="CZ10" i="4"/>
  <c r="DA10" i="4"/>
  <c r="DB10" i="4"/>
  <c r="DC10" i="4"/>
  <c r="DE10" i="4"/>
  <c r="DF10" i="4"/>
  <c r="NI10" i="4"/>
  <c r="NJ10" i="4"/>
  <c r="NK10" i="4"/>
  <c r="NM10" i="4"/>
  <c r="NN10" i="4"/>
  <c r="NP10" i="4"/>
  <c r="NQ10" i="4"/>
  <c r="NR10" i="4"/>
  <c r="NS10" i="4"/>
  <c r="NT10" i="4"/>
  <c r="NU10" i="4"/>
  <c r="NV10" i="4"/>
  <c r="NW10" i="4"/>
  <c r="OL10" i="4" s="1"/>
  <c r="NX10" i="4"/>
  <c r="NY10" i="4"/>
  <c r="NZ10" i="4"/>
  <c r="OA10" i="4"/>
  <c r="OB10" i="4"/>
  <c r="OC10" i="4"/>
  <c r="OD10" i="4"/>
  <c r="OE10" i="4"/>
  <c r="OF10" i="4"/>
  <c r="OG10" i="4"/>
  <c r="OQ10" i="4" s="1"/>
  <c r="OH10" i="4"/>
  <c r="OI10" i="4"/>
  <c r="ON10" i="4"/>
  <c r="AQ8" i="4"/>
  <c r="AR8" i="4"/>
  <c r="AS8" i="4"/>
  <c r="AT8" i="4"/>
  <c r="AU8" i="4"/>
  <c r="AW8" i="4"/>
  <c r="AX8" i="4"/>
  <c r="BU8" i="4"/>
  <c r="BV8" i="4"/>
  <c r="BW8" i="4"/>
  <c r="BX8" i="4"/>
  <c r="BY8" i="4"/>
  <c r="CA8" i="4"/>
  <c r="CB8" i="4"/>
  <c r="CY8" i="4"/>
  <c r="CZ8" i="4"/>
  <c r="DA8" i="4"/>
  <c r="DB8" i="4"/>
  <c r="DC8" i="4"/>
  <c r="DE8" i="4"/>
  <c r="DF8" i="4"/>
  <c r="NI8" i="4"/>
  <c r="NJ8" i="4"/>
  <c r="NK8" i="4"/>
  <c r="NM8" i="4"/>
  <c r="NN8" i="4"/>
  <c r="NP8" i="4"/>
  <c r="NQ8" i="4"/>
  <c r="NR8" i="4"/>
  <c r="NS8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AQ4" i="4"/>
  <c r="AR4" i="4"/>
  <c r="AS4" i="4"/>
  <c r="AT4" i="4"/>
  <c r="AU4" i="4"/>
  <c r="AW4" i="4"/>
  <c r="AX4" i="4"/>
  <c r="BU4" i="4"/>
  <c r="BV4" i="4"/>
  <c r="BW4" i="4"/>
  <c r="BX4" i="4"/>
  <c r="BY4" i="4"/>
  <c r="CA4" i="4"/>
  <c r="CB4" i="4"/>
  <c r="CY4" i="4"/>
  <c r="CZ4" i="4"/>
  <c r="DA4" i="4"/>
  <c r="DB4" i="4"/>
  <c r="DC4" i="4"/>
  <c r="DE4" i="4"/>
  <c r="DF4" i="4"/>
  <c r="NI4" i="4"/>
  <c r="NJ4" i="4"/>
  <c r="NK4" i="4"/>
  <c r="NM4" i="4"/>
  <c r="NN4" i="4"/>
  <c r="NP4" i="4"/>
  <c r="NQ4" i="4"/>
  <c r="NR4" i="4"/>
  <c r="NS4" i="4"/>
  <c r="NT4" i="4"/>
  <c r="NU4" i="4"/>
  <c r="NV4" i="4"/>
  <c r="NW4" i="4"/>
  <c r="OL4" i="4" s="1"/>
  <c r="NX4" i="4"/>
  <c r="NY4" i="4"/>
  <c r="NZ4" i="4"/>
  <c r="OA4" i="4"/>
  <c r="OB4" i="4"/>
  <c r="ON4" i="4" s="1"/>
  <c r="OC4" i="4"/>
  <c r="OD4" i="4"/>
  <c r="OE4" i="4"/>
  <c r="OF4" i="4"/>
  <c r="OG4" i="4"/>
  <c r="OQ4" i="4" s="1"/>
  <c r="OH4" i="4"/>
  <c r="OI4" i="4"/>
  <c r="AQ5" i="4"/>
  <c r="AR5" i="4"/>
  <c r="AS5" i="4"/>
  <c r="AT5" i="4"/>
  <c r="AU5" i="4"/>
  <c r="AW5" i="4"/>
  <c r="AX5" i="4"/>
  <c r="BU5" i="4"/>
  <c r="BV5" i="4"/>
  <c r="BW5" i="4"/>
  <c r="BX5" i="4"/>
  <c r="BY5" i="4"/>
  <c r="CA5" i="4"/>
  <c r="CB5" i="4"/>
  <c r="CY5" i="4"/>
  <c r="CZ5" i="4"/>
  <c r="DA5" i="4"/>
  <c r="DB5" i="4"/>
  <c r="DC5" i="4"/>
  <c r="DE5" i="4"/>
  <c r="DF5" i="4"/>
  <c r="NI5" i="4"/>
  <c r="NJ5" i="4"/>
  <c r="NK5" i="4"/>
  <c r="NM5" i="4"/>
  <c r="NN5" i="4"/>
  <c r="NP5" i="4"/>
  <c r="NQ5" i="4"/>
  <c r="NR5" i="4"/>
  <c r="NS5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AQ6" i="4"/>
  <c r="AR6" i="4"/>
  <c r="AS6" i="4"/>
  <c r="AT6" i="4"/>
  <c r="AU6" i="4"/>
  <c r="AW6" i="4"/>
  <c r="AX6" i="4"/>
  <c r="BU6" i="4"/>
  <c r="BV6" i="4"/>
  <c r="BW6" i="4"/>
  <c r="BX6" i="4"/>
  <c r="BY6" i="4"/>
  <c r="CA6" i="4"/>
  <c r="CB6" i="4"/>
  <c r="CY6" i="4"/>
  <c r="CZ6" i="4"/>
  <c r="DA6" i="4"/>
  <c r="DB6" i="4"/>
  <c r="DC6" i="4"/>
  <c r="DE6" i="4"/>
  <c r="DF6" i="4"/>
  <c r="NI6" i="4"/>
  <c r="NJ6" i="4"/>
  <c r="NK6" i="4"/>
  <c r="NM6" i="4"/>
  <c r="NN6" i="4"/>
  <c r="NP6" i="4"/>
  <c r="NQ6" i="4"/>
  <c r="NR6" i="4"/>
  <c r="NS6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AQ6" i="14"/>
  <c r="AR6" i="14"/>
  <c r="AS6" i="14"/>
  <c r="AT6" i="14"/>
  <c r="AU6" i="14"/>
  <c r="AW6" i="14"/>
  <c r="AX6" i="14"/>
  <c r="BU6" i="14"/>
  <c r="BV6" i="14"/>
  <c r="BW6" i="14"/>
  <c r="BX6" i="14"/>
  <c r="BY6" i="14"/>
  <c r="CA6" i="14"/>
  <c r="CB6" i="14"/>
  <c r="CY6" i="14"/>
  <c r="CZ6" i="14"/>
  <c r="DA6" i="14"/>
  <c r="DB6" i="14"/>
  <c r="DC6" i="14"/>
  <c r="DE6" i="14"/>
  <c r="DF6" i="14"/>
  <c r="EA6" i="14"/>
  <c r="EB6" i="14"/>
  <c r="EC6" i="14"/>
  <c r="EE6" i="14"/>
  <c r="EF6" i="14"/>
  <c r="EW6" i="14"/>
  <c r="EX6" i="14"/>
  <c r="EY6" i="14"/>
  <c r="FA6" i="14"/>
  <c r="FB6" i="14"/>
  <c r="FS6" i="14"/>
  <c r="FT6" i="14"/>
  <c r="FU6" i="14"/>
  <c r="FW6" i="14"/>
  <c r="FX6" i="14"/>
  <c r="GO6" i="14"/>
  <c r="GP6" i="14"/>
  <c r="GQ6" i="14"/>
  <c r="GS6" i="14"/>
  <c r="GT6" i="14"/>
  <c r="HK6" i="14"/>
  <c r="HL6" i="14"/>
  <c r="HM6" i="14"/>
  <c r="HO6" i="14"/>
  <c r="HP6" i="14"/>
  <c r="IG6" i="14"/>
  <c r="IH6" i="14"/>
  <c r="II6" i="14"/>
  <c r="IK6" i="14"/>
  <c r="IL6" i="14"/>
  <c r="JC6" i="14"/>
  <c r="JD6" i="14"/>
  <c r="JE6" i="14"/>
  <c r="JG6" i="14"/>
  <c r="JH6" i="14"/>
  <c r="JY6" i="14"/>
  <c r="JZ6" i="14"/>
  <c r="KA6" i="14"/>
  <c r="KC6" i="14"/>
  <c r="KD6" i="14"/>
  <c r="KU6" i="14"/>
  <c r="KV6" i="14"/>
  <c r="KW6" i="14"/>
  <c r="KY6" i="14"/>
  <c r="KZ6" i="14"/>
  <c r="LQ6" i="14"/>
  <c r="LR6" i="14"/>
  <c r="LS6" i="14"/>
  <c r="LU6" i="14"/>
  <c r="LV6" i="14"/>
  <c r="MM6" i="14"/>
  <c r="MN6" i="14"/>
  <c r="MO6" i="14"/>
  <c r="MQ6" i="14"/>
  <c r="MR6" i="14"/>
  <c r="NI6" i="14"/>
  <c r="NJ6" i="14"/>
  <c r="NK6" i="14"/>
  <c r="NM6" i="14"/>
  <c r="NN6" i="14"/>
  <c r="NP6" i="14"/>
  <c r="NQ6" i="14"/>
  <c r="NR6" i="14"/>
  <c r="NS6" i="14"/>
  <c r="NT6" i="14"/>
  <c r="NU6" i="14"/>
  <c r="NV6" i="14"/>
  <c r="NW6" i="14"/>
  <c r="OL6" i="14" s="1"/>
  <c r="NX6" i="14"/>
  <c r="NY6" i="14"/>
  <c r="NZ6" i="14"/>
  <c r="OA6" i="14"/>
  <c r="OB6" i="14"/>
  <c r="ON6" i="14" s="1"/>
  <c r="OC6" i="14"/>
  <c r="OD6" i="14"/>
  <c r="OE6" i="14"/>
  <c r="OF6" i="14"/>
  <c r="OG6" i="14"/>
  <c r="OQ6" i="14" s="1"/>
  <c r="OH6" i="14"/>
  <c r="OI6" i="14"/>
  <c r="ED6" i="4" l="1"/>
  <c r="EG6" i="4" s="1"/>
  <c r="ED14" i="4"/>
  <c r="GR14" i="4"/>
  <c r="GR8" i="4"/>
  <c r="KX7" i="4"/>
  <c r="LA7" i="4" s="1"/>
  <c r="FV13" i="4"/>
  <c r="FY13" i="4" s="1"/>
  <c r="GR5" i="4"/>
  <c r="GU5" i="4" s="1"/>
  <c r="GR13" i="4"/>
  <c r="GU13" i="4" s="1"/>
  <c r="HN5" i="4"/>
  <c r="HQ5" i="4" s="1"/>
  <c r="HN13" i="4"/>
  <c r="HQ13" i="4" s="1"/>
  <c r="IJ5" i="4"/>
  <c r="IM5" i="4" s="1"/>
  <c r="KX5" i="4"/>
  <c r="KX13" i="4"/>
  <c r="LT5" i="4"/>
  <c r="LT13" i="4"/>
  <c r="MP5" i="4"/>
  <c r="MP13" i="4"/>
  <c r="BH11" i="12"/>
  <c r="KB6" i="14"/>
  <c r="KE6" i="14" s="1"/>
  <c r="ED7" i="4"/>
  <c r="EZ4" i="4"/>
  <c r="FC4" i="4" s="1"/>
  <c r="EZ12" i="4"/>
  <c r="GR12" i="4"/>
  <c r="GU12" i="4" s="1"/>
  <c r="HN4" i="4"/>
  <c r="HQ4" i="4" s="1"/>
  <c r="HN12" i="4"/>
  <c r="EZ17" i="4"/>
  <c r="GR17" i="4"/>
  <c r="MP19" i="4"/>
  <c r="MS19" i="4" s="1"/>
  <c r="IJ8" i="4"/>
  <c r="IM8" i="4" s="1"/>
  <c r="JF8" i="4"/>
  <c r="KB8" i="4"/>
  <c r="KE8" i="4" s="1"/>
  <c r="KX8" i="4"/>
  <c r="LA8" i="4" s="1"/>
  <c r="KX16" i="4"/>
  <c r="LA16" i="4" s="1"/>
  <c r="LT16" i="4"/>
  <c r="MP16" i="4"/>
  <c r="GU8" i="4"/>
  <c r="EZ10" i="4"/>
  <c r="EZ18" i="4"/>
  <c r="FC18" i="4" s="1"/>
  <c r="HN10" i="4"/>
  <c r="HN18" i="4"/>
  <c r="JF4" i="4"/>
  <c r="JI4" i="4" s="1"/>
  <c r="JF12" i="4"/>
  <c r="JI12" i="4" s="1"/>
  <c r="KB4" i="4"/>
  <c r="KE4" i="4" s="1"/>
  <c r="KX12" i="4"/>
  <c r="LA12" i="4" s="1"/>
  <c r="LT4" i="4"/>
  <c r="LT12" i="4"/>
  <c r="LW12" i="4" s="1"/>
  <c r="MP7" i="4"/>
  <c r="MS7" i="4" s="1"/>
  <c r="FV14" i="4"/>
  <c r="FY14" i="4" s="1"/>
  <c r="EZ8" i="4"/>
  <c r="FC8" i="4" s="1"/>
  <c r="GR16" i="4"/>
  <c r="GU16" i="4" s="1"/>
  <c r="HN8" i="4"/>
  <c r="HQ8" i="4" s="1"/>
  <c r="KB19" i="4"/>
  <c r="KE19" i="4" s="1"/>
  <c r="JI8" i="4"/>
  <c r="LW16" i="4"/>
  <c r="FC10" i="4"/>
  <c r="HQ10" i="4"/>
  <c r="ED15" i="4"/>
  <c r="EG15" i="4" s="1"/>
  <c r="FV7" i="4"/>
  <c r="FY7" i="4" s="1"/>
  <c r="GR7" i="4"/>
  <c r="GU7" i="4" s="1"/>
  <c r="IJ7" i="4"/>
  <c r="IM7" i="4" s="1"/>
  <c r="JF18" i="4"/>
  <c r="JI18" i="4" s="1"/>
  <c r="KB10" i="4"/>
  <c r="KX18" i="4"/>
  <c r="LA18" i="4" s="1"/>
  <c r="LT18" i="4"/>
  <c r="LW18" i="4" s="1"/>
  <c r="KH8" i="12"/>
  <c r="IR8" i="12"/>
  <c r="HB8" i="12"/>
  <c r="ED12" i="4"/>
  <c r="EG12" i="4" s="1"/>
  <c r="EZ7" i="4"/>
  <c r="FC7" i="4" s="1"/>
  <c r="EZ15" i="4"/>
  <c r="FC15" i="4" s="1"/>
  <c r="FV10" i="4"/>
  <c r="IJ11" i="4"/>
  <c r="IM11" i="4" s="1"/>
  <c r="IJ19" i="4"/>
  <c r="IM19" i="4" s="1"/>
  <c r="JF19" i="4"/>
  <c r="JI19" i="4" s="1"/>
  <c r="KB6" i="4"/>
  <c r="KE6" i="4" s="1"/>
  <c r="KB14" i="4"/>
  <c r="KE14" i="4" s="1"/>
  <c r="KB17" i="4"/>
  <c r="KE17" i="4" s="1"/>
  <c r="KX17" i="4"/>
  <c r="LT17" i="4"/>
  <c r="LW17" i="4" s="1"/>
  <c r="MP15" i="4"/>
  <c r="MS15" i="4" s="1"/>
  <c r="EG14" i="4"/>
  <c r="EZ9" i="4"/>
  <c r="FC9" i="4" s="1"/>
  <c r="FV12" i="4"/>
  <c r="FY12" i="4" s="1"/>
  <c r="FV15" i="4"/>
  <c r="FY15" i="4" s="1"/>
  <c r="GR15" i="4"/>
  <c r="GU15" i="4" s="1"/>
  <c r="HN7" i="4"/>
  <c r="HQ7" i="4" s="1"/>
  <c r="HN15" i="4"/>
  <c r="HQ15" i="4" s="1"/>
  <c r="IJ13" i="4"/>
  <c r="IM13" i="4" s="1"/>
  <c r="JF5" i="4"/>
  <c r="JI5" i="4" s="1"/>
  <c r="KB13" i="4"/>
  <c r="KE13" i="4" s="1"/>
  <c r="KB16" i="4"/>
  <c r="KE16" i="4" s="1"/>
  <c r="KX11" i="4"/>
  <c r="KX19" i="4"/>
  <c r="LA19" i="4" s="1"/>
  <c r="LT6" i="4"/>
  <c r="LW6" i="4" s="1"/>
  <c r="LT19" i="4"/>
  <c r="LW19" i="4" s="1"/>
  <c r="MP6" i="4"/>
  <c r="MS6" i="4" s="1"/>
  <c r="ED5" i="4"/>
  <c r="EG5" i="4" s="1"/>
  <c r="ED19" i="4"/>
  <c r="EZ11" i="4"/>
  <c r="FC11" i="4" s="1"/>
  <c r="EZ14" i="4"/>
  <c r="FC14" i="4" s="1"/>
  <c r="FV6" i="4"/>
  <c r="FY6" i="4" s="1"/>
  <c r="GR6" i="4"/>
  <c r="GU6" i="4" s="1"/>
  <c r="GR9" i="4"/>
  <c r="GU9" i="4" s="1"/>
  <c r="HN17" i="4"/>
  <c r="HQ17" i="4" s="1"/>
  <c r="IJ15" i="4"/>
  <c r="IM15" i="4" s="1"/>
  <c r="JF7" i="4"/>
  <c r="JI7" i="4" s="1"/>
  <c r="JF15" i="4"/>
  <c r="JI15" i="4" s="1"/>
  <c r="KE7" i="4"/>
  <c r="LA13" i="4"/>
  <c r="LW5" i="4"/>
  <c r="LW13" i="4"/>
  <c r="MS5" i="4"/>
  <c r="FY19" i="4"/>
  <c r="LT10" i="4"/>
  <c r="LW10" i="4" s="1"/>
  <c r="ED13" i="4"/>
  <c r="EZ5" i="4"/>
  <c r="FC5" i="4" s="1"/>
  <c r="FV16" i="4"/>
  <c r="FY16" i="4" s="1"/>
  <c r="GR19" i="4"/>
  <c r="GU19" i="4" s="1"/>
  <c r="HN6" i="4"/>
  <c r="HQ6" i="4" s="1"/>
  <c r="HN19" i="4"/>
  <c r="HQ19" i="4" s="1"/>
  <c r="IJ6" i="4"/>
  <c r="IM6" i="4" s="1"/>
  <c r="IJ17" i="4"/>
  <c r="IM17" i="4" s="1"/>
  <c r="JF9" i="4"/>
  <c r="JI9" i="4" s="1"/>
  <c r="JF17" i="4"/>
  <c r="JI17" i="4" s="1"/>
  <c r="KB9" i="4"/>
  <c r="KE9" i="4" s="1"/>
  <c r="KX15" i="4"/>
  <c r="LA15" i="4" s="1"/>
  <c r="LT7" i="4"/>
  <c r="LW7" i="4" s="1"/>
  <c r="LT15" i="4"/>
  <c r="LW15" i="4" s="1"/>
  <c r="MP12" i="4"/>
  <c r="MS12" i="4" s="1"/>
  <c r="ED9" i="4"/>
  <c r="EG9" i="4" s="1"/>
  <c r="ED18" i="4"/>
  <c r="EG18" i="4" s="1"/>
  <c r="FV9" i="4"/>
  <c r="FY9" i="4" s="1"/>
  <c r="GR4" i="4"/>
  <c r="GU4" i="4" s="1"/>
  <c r="GR10" i="4"/>
  <c r="GU10" i="4" s="1"/>
  <c r="HN11" i="4"/>
  <c r="HQ11" i="4" s="1"/>
  <c r="HN14" i="4"/>
  <c r="HQ14" i="4" s="1"/>
  <c r="IJ12" i="4"/>
  <c r="IM12" i="4" s="1"/>
  <c r="IJ18" i="4"/>
  <c r="IM18" i="4" s="1"/>
  <c r="JF13" i="4"/>
  <c r="JI13" i="4" s="1"/>
  <c r="JF16" i="4"/>
  <c r="JI16" i="4" s="1"/>
  <c r="KX4" i="4"/>
  <c r="LA4" i="4" s="1"/>
  <c r="KX10" i="4"/>
  <c r="LA10" i="4" s="1"/>
  <c r="LT11" i="4"/>
  <c r="LW11" i="4" s="1"/>
  <c r="LT14" i="4"/>
  <c r="LW14" i="4" s="1"/>
  <c r="MP9" i="4"/>
  <c r="MS9" i="4" s="1"/>
  <c r="EG7" i="4"/>
  <c r="EZ13" i="4"/>
  <c r="FC13" i="4" s="1"/>
  <c r="EZ16" i="4"/>
  <c r="FC16" i="4" s="1"/>
  <c r="EZ19" i="4"/>
  <c r="FC19" i="4" s="1"/>
  <c r="FV17" i="4"/>
  <c r="FY17" i="4" s="1"/>
  <c r="JF10" i="4"/>
  <c r="JI10" i="4" s="1"/>
  <c r="KB5" i="4"/>
  <c r="KE5" i="4" s="1"/>
  <c r="KB11" i="4"/>
  <c r="KE11" i="4" s="1"/>
  <c r="LT8" i="4"/>
  <c r="LW8" i="4" s="1"/>
  <c r="FC17" i="4"/>
  <c r="GR18" i="4"/>
  <c r="GU18" i="4" s="1"/>
  <c r="HN16" i="4"/>
  <c r="HQ16" i="4" s="1"/>
  <c r="MP14" i="4"/>
  <c r="MS14" i="4" s="1"/>
  <c r="ED8" i="4"/>
  <c r="EG8" i="4" s="1"/>
  <c r="ED17" i="4"/>
  <c r="EG17" i="4" s="1"/>
  <c r="FV5" i="4"/>
  <c r="FY5" i="4" s="1"/>
  <c r="FV8" i="4"/>
  <c r="FY8" i="4" s="1"/>
  <c r="IJ14" i="4"/>
  <c r="IM14" i="4" s="1"/>
  <c r="KX6" i="4"/>
  <c r="LA6" i="4" s="1"/>
  <c r="MP8" i="4"/>
  <c r="MS8" i="4" s="1"/>
  <c r="FC12" i="4"/>
  <c r="GU14" i="4"/>
  <c r="HQ18" i="4"/>
  <c r="IM9" i="4"/>
  <c r="KE10" i="4"/>
  <c r="LW4" i="4"/>
  <c r="MS13" i="4"/>
  <c r="MS16" i="4"/>
  <c r="ED4" i="4"/>
  <c r="EG4" i="4" s="1"/>
  <c r="ED10" i="4"/>
  <c r="EG10" i="4" s="1"/>
  <c r="EG19" i="4"/>
  <c r="EZ6" i="4"/>
  <c r="FC6" i="4" s="1"/>
  <c r="FY10" i="4"/>
  <c r="GR11" i="4"/>
  <c r="GU11" i="4" s="1"/>
  <c r="HQ12" i="4"/>
  <c r="JF6" i="4"/>
  <c r="JI6" i="4" s="1"/>
  <c r="LA5" i="4"/>
  <c r="LA11" i="4"/>
  <c r="KX14" i="4"/>
  <c r="LA14" i="4" s="1"/>
  <c r="LA17" i="4"/>
  <c r="MP10" i="4"/>
  <c r="MS10" i="4" s="1"/>
  <c r="EG13" i="4"/>
  <c r="ED16" i="4"/>
  <c r="EG16" i="4" s="1"/>
  <c r="FV4" i="4"/>
  <c r="FY4" i="4" s="1"/>
  <c r="FV18" i="4"/>
  <c r="FY18" i="4" s="1"/>
  <c r="GU17" i="4"/>
  <c r="HN9" i="4"/>
  <c r="HQ9" i="4" s="1"/>
  <c r="IJ4" i="4"/>
  <c r="IM4" i="4" s="1"/>
  <c r="IJ10" i="4"/>
  <c r="IM10" i="4" s="1"/>
  <c r="IJ16" i="4"/>
  <c r="IM16" i="4" s="1"/>
  <c r="JF11" i="4"/>
  <c r="JI11" i="4" s="1"/>
  <c r="JF14" i="4"/>
  <c r="JI14" i="4" s="1"/>
  <c r="KB12" i="4"/>
  <c r="KE12" i="4" s="1"/>
  <c r="KB18" i="4"/>
  <c r="KE18" i="4" s="1"/>
  <c r="LT9" i="4"/>
  <c r="LW9" i="4" s="1"/>
  <c r="MP4" i="4"/>
  <c r="MS4" i="4" s="1"/>
  <c r="MP18" i="4"/>
  <c r="MS18" i="4" s="1"/>
  <c r="BZ6" i="14"/>
  <c r="CC6" i="14" s="1"/>
  <c r="HB18" i="6"/>
  <c r="IR7" i="6"/>
  <c r="LC18" i="6"/>
  <c r="JM18" i="6"/>
  <c r="IJ6" i="14"/>
  <c r="IM6" i="14" s="1"/>
  <c r="NL10" i="4"/>
  <c r="DV8" i="12"/>
  <c r="DV18" i="6"/>
  <c r="DD6" i="14"/>
  <c r="DG6" i="14" s="1"/>
  <c r="KX6" i="14"/>
  <c r="LA6" i="14" s="1"/>
  <c r="ED6" i="14"/>
  <c r="EG6" i="14" s="1"/>
  <c r="LT6" i="14"/>
  <c r="LW6" i="14" s="1"/>
  <c r="DD8" i="4"/>
  <c r="DG8" i="4" s="1"/>
  <c r="DD10" i="4"/>
  <c r="DG10" i="4" s="1"/>
  <c r="MP8" i="12"/>
  <c r="LC8" i="12"/>
  <c r="JM8" i="12"/>
  <c r="HW8" i="12"/>
  <c r="CD10" i="12"/>
  <c r="CD18" i="6"/>
  <c r="HW18" i="6"/>
  <c r="GG18" i="6"/>
  <c r="EQ18" i="6"/>
  <c r="EZ6" i="14"/>
  <c r="FC6" i="14" s="1"/>
  <c r="MP6" i="14"/>
  <c r="MS6" i="14" s="1"/>
  <c r="GR6" i="14"/>
  <c r="GU6" i="14" s="1"/>
  <c r="JF6" i="14"/>
  <c r="JI6" i="14" s="1"/>
  <c r="FV6" i="14"/>
  <c r="FY6" i="14" s="1"/>
  <c r="BZ8" i="4"/>
  <c r="CC8" i="4" s="1"/>
  <c r="NO10" i="4"/>
  <c r="BZ10" i="4"/>
  <c r="CC10" i="4" s="1"/>
  <c r="GG10" i="12"/>
  <c r="DA10" i="12"/>
  <c r="KH10" i="12"/>
  <c r="IR10" i="12"/>
  <c r="HB10" i="12"/>
  <c r="DV10" i="12"/>
  <c r="CD8" i="12"/>
  <c r="JM10" i="12"/>
  <c r="HW10" i="12"/>
  <c r="BH10" i="12"/>
  <c r="GG8" i="12"/>
  <c r="EQ8" i="12"/>
  <c r="DA8" i="12"/>
  <c r="MR10" i="12"/>
  <c r="MQ10" i="12"/>
  <c r="AL10" i="12"/>
  <c r="LX10" i="12"/>
  <c r="LC10" i="12"/>
  <c r="FL10" i="12"/>
  <c r="EQ10" i="12"/>
  <c r="MS10" i="12"/>
  <c r="MP10" i="12"/>
  <c r="F10" i="12"/>
  <c r="G10" i="12"/>
  <c r="IR4" i="12"/>
  <c r="AL4" i="12"/>
  <c r="LC11" i="12"/>
  <c r="JM11" i="12"/>
  <c r="HW11" i="12"/>
  <c r="GG11" i="12"/>
  <c r="EQ11" i="12"/>
  <c r="BH4" i="12"/>
  <c r="KH11" i="12"/>
  <c r="IR11" i="12"/>
  <c r="DV11" i="12"/>
  <c r="LX8" i="12"/>
  <c r="FL8" i="12"/>
  <c r="MQ8" i="12"/>
  <c r="BH8" i="12"/>
  <c r="MR8" i="12"/>
  <c r="F8" i="12"/>
  <c r="AL8" i="12"/>
  <c r="MS8" i="12"/>
  <c r="G8" i="12"/>
  <c r="DA11" i="12"/>
  <c r="LC4" i="12"/>
  <c r="JM4" i="12"/>
  <c r="KH4" i="12"/>
  <c r="LX11" i="12"/>
  <c r="HB11" i="12"/>
  <c r="FL11" i="12"/>
  <c r="MR11" i="12"/>
  <c r="CD11" i="12"/>
  <c r="MS11" i="12"/>
  <c r="MQ11" i="12"/>
  <c r="MP11" i="12"/>
  <c r="F11" i="12"/>
  <c r="AL11" i="12"/>
  <c r="G11" i="12"/>
  <c r="HW4" i="12"/>
  <c r="GG4" i="12"/>
  <c r="EQ4" i="12"/>
  <c r="DA4" i="12"/>
  <c r="DV4" i="12"/>
  <c r="MR4" i="12"/>
  <c r="LX4" i="12"/>
  <c r="HB4" i="12"/>
  <c r="FL4" i="12"/>
  <c r="CD4" i="12"/>
  <c r="MS4" i="12"/>
  <c r="MQ4" i="12"/>
  <c r="MP4" i="12"/>
  <c r="F4" i="12"/>
  <c r="G4" i="12"/>
  <c r="IR5" i="6"/>
  <c r="LC7" i="6"/>
  <c r="JM7" i="6"/>
  <c r="GG5" i="6"/>
  <c r="KH7" i="6"/>
  <c r="BH18" i="6"/>
  <c r="MR18" i="6"/>
  <c r="AL18" i="6"/>
  <c r="LX18" i="6"/>
  <c r="FL18" i="6"/>
  <c r="DA18" i="6"/>
  <c r="MS18" i="6"/>
  <c r="MQ18" i="6"/>
  <c r="MP18" i="6"/>
  <c r="F18" i="6"/>
  <c r="G18" i="6"/>
  <c r="EQ7" i="6"/>
  <c r="MS5" i="6"/>
  <c r="LC5" i="6"/>
  <c r="JM5" i="6"/>
  <c r="DV7" i="6"/>
  <c r="MR7" i="6"/>
  <c r="KH5" i="6"/>
  <c r="DV5" i="6"/>
  <c r="LX7" i="6"/>
  <c r="HW7" i="6"/>
  <c r="HB7" i="6"/>
  <c r="FL7" i="6"/>
  <c r="DA7" i="6"/>
  <c r="CD7" i="6"/>
  <c r="MS7" i="6"/>
  <c r="MQ7" i="6"/>
  <c r="MP7" i="6"/>
  <c r="F7" i="6"/>
  <c r="AL7" i="6"/>
  <c r="G7" i="6"/>
  <c r="HW5" i="6"/>
  <c r="EQ5" i="6"/>
  <c r="DA5" i="6"/>
  <c r="MR5" i="6"/>
  <c r="LX5" i="6"/>
  <c r="HB5" i="6"/>
  <c r="FL5" i="6"/>
  <c r="CD5" i="6"/>
  <c r="BH5" i="6"/>
  <c r="MQ5" i="6"/>
  <c r="MP5" i="6"/>
  <c r="F5" i="6"/>
  <c r="AL5" i="6"/>
  <c r="G5" i="6"/>
  <c r="OO10" i="4"/>
  <c r="Q10" i="4"/>
  <c r="DK10" i="4" s="1"/>
  <c r="OM10" i="4"/>
  <c r="OK10" i="4"/>
  <c r="AV10" i="4"/>
  <c r="G10" i="4"/>
  <c r="H10" i="4"/>
  <c r="O10" i="4"/>
  <c r="BZ4" i="4"/>
  <c r="CC4" i="4" s="1"/>
  <c r="NL8" i="4"/>
  <c r="NO8" i="4" s="1"/>
  <c r="DD4" i="4"/>
  <c r="DG4" i="4" s="1"/>
  <c r="BZ6" i="4"/>
  <c r="CC6" i="4" s="1"/>
  <c r="NL5" i="4"/>
  <c r="NO5" i="4" s="1"/>
  <c r="BZ5" i="4"/>
  <c r="CC5" i="4" s="1"/>
  <c r="NL4" i="4"/>
  <c r="NO4" i="4" s="1"/>
  <c r="OO8" i="4"/>
  <c r="DD6" i="4"/>
  <c r="DG6" i="4" s="1"/>
  <c r="DD5" i="4"/>
  <c r="DG5" i="4" s="1"/>
  <c r="OM8" i="4"/>
  <c r="OK8" i="4"/>
  <c r="AV8" i="4"/>
  <c r="G8" i="4"/>
  <c r="J8" i="4" s="1"/>
  <c r="Q8" i="4"/>
  <c r="H8" i="4"/>
  <c r="O8" i="4"/>
  <c r="OO4" i="4"/>
  <c r="OM4" i="4"/>
  <c r="OK4" i="4"/>
  <c r="AV4" i="4"/>
  <c r="AY4" i="4" s="1"/>
  <c r="G4" i="4"/>
  <c r="J4" i="4" s="1"/>
  <c r="Q4" i="4"/>
  <c r="H4" i="4"/>
  <c r="O4" i="4"/>
  <c r="NL6" i="4"/>
  <c r="NO6" i="4" s="1"/>
  <c r="OO5" i="4"/>
  <c r="OM5" i="4"/>
  <c r="OK5" i="4"/>
  <c r="Q5" i="4"/>
  <c r="R5" i="4" s="1"/>
  <c r="O5" i="4"/>
  <c r="P5" i="4" s="1"/>
  <c r="G5" i="4"/>
  <c r="F5" i="4" s="1"/>
  <c r="AV5" i="4"/>
  <c r="AY5" i="4" s="1"/>
  <c r="H5" i="4"/>
  <c r="OO6" i="4"/>
  <c r="OK6" i="4"/>
  <c r="O6" i="4"/>
  <c r="P6" i="4" s="1"/>
  <c r="G6" i="4"/>
  <c r="F6" i="4" s="1"/>
  <c r="AV6" i="4"/>
  <c r="Q6" i="4"/>
  <c r="H6" i="4"/>
  <c r="OM6" i="4"/>
  <c r="NL6" i="14"/>
  <c r="NO6" i="14" s="1"/>
  <c r="HN6" i="14"/>
  <c r="HQ6" i="14" s="1"/>
  <c r="OO6" i="14"/>
  <c r="OM6" i="14"/>
  <c r="OK6" i="14"/>
  <c r="AV6" i="14"/>
  <c r="G6" i="14"/>
  <c r="Q6" i="14"/>
  <c r="H6" i="14"/>
  <c r="O6" i="14"/>
  <c r="MT4" i="12" l="1"/>
  <c r="MT11" i="12"/>
  <c r="K6" i="14"/>
  <c r="L6" i="14" s="1"/>
  <c r="K10" i="4"/>
  <c r="L10" i="4" s="1"/>
  <c r="K8" i="4"/>
  <c r="L8" i="4" s="1"/>
  <c r="J18" i="6"/>
  <c r="K18" i="6" s="1"/>
  <c r="MT18" i="6"/>
  <c r="AY8" i="4"/>
  <c r="J10" i="12"/>
  <c r="L10" i="12" s="1"/>
  <c r="CF10" i="12" s="1"/>
  <c r="MT10" i="12"/>
  <c r="J11" i="12"/>
  <c r="K11" i="12" s="1"/>
  <c r="J8" i="12"/>
  <c r="L8" i="12" s="1"/>
  <c r="J4" i="12"/>
  <c r="CE4" i="12" s="1"/>
  <c r="H10" i="12"/>
  <c r="I10" i="12" s="1"/>
  <c r="MT8" i="12"/>
  <c r="H8" i="12"/>
  <c r="I8" i="12" s="1"/>
  <c r="H11" i="12"/>
  <c r="I11" i="12" s="1"/>
  <c r="H4" i="12"/>
  <c r="I4" i="12" s="1"/>
  <c r="MT5" i="6"/>
  <c r="H18" i="6"/>
  <c r="I18" i="6" s="1"/>
  <c r="A18" i="6"/>
  <c r="J7" i="6"/>
  <c r="L7" i="6" s="1"/>
  <c r="H7" i="6"/>
  <c r="I7" i="6" s="1"/>
  <c r="MT7" i="6"/>
  <c r="J5" i="6"/>
  <c r="L5" i="6" s="1"/>
  <c r="H5" i="6"/>
  <c r="I5" i="6" s="1"/>
  <c r="AY10" i="4"/>
  <c r="OP10" i="4"/>
  <c r="K6" i="4"/>
  <c r="M6" i="4" s="1"/>
  <c r="I10" i="4"/>
  <c r="R10" i="4"/>
  <c r="F10" i="4"/>
  <c r="J10" i="4"/>
  <c r="P10" i="4"/>
  <c r="DI10" i="4"/>
  <c r="S10" i="4" s="1"/>
  <c r="DJ10" i="4"/>
  <c r="M10" i="4"/>
  <c r="K5" i="4"/>
  <c r="M5" i="4" s="1"/>
  <c r="OP8" i="4"/>
  <c r="F8" i="4"/>
  <c r="DK8" i="4"/>
  <c r="R8" i="4"/>
  <c r="I8" i="4"/>
  <c r="P8" i="4"/>
  <c r="DI8" i="4"/>
  <c r="K4" i="4"/>
  <c r="M4" i="4" s="1"/>
  <c r="DI6" i="4"/>
  <c r="OP5" i="4"/>
  <c r="OP4" i="4"/>
  <c r="DK5" i="4"/>
  <c r="F4" i="4"/>
  <c r="DK4" i="4"/>
  <c r="R4" i="4"/>
  <c r="I4" i="4"/>
  <c r="P4" i="4"/>
  <c r="DI4" i="4"/>
  <c r="AY6" i="4"/>
  <c r="DI5" i="4"/>
  <c r="I5" i="4"/>
  <c r="J5" i="4"/>
  <c r="OP6" i="4"/>
  <c r="J6" i="4"/>
  <c r="DJ6" i="4"/>
  <c r="I6" i="4"/>
  <c r="DK6" i="4"/>
  <c r="R6" i="4"/>
  <c r="J6" i="14"/>
  <c r="OP6" i="14"/>
  <c r="F6" i="14"/>
  <c r="AY6" i="14"/>
  <c r="DK6" i="14"/>
  <c r="R6" i="14"/>
  <c r="I6" i="14"/>
  <c r="P6" i="14"/>
  <c r="DI6" i="14"/>
  <c r="M6" i="14" l="1"/>
  <c r="DH6" i="14" s="1"/>
  <c r="DJ6" i="14"/>
  <c r="L4" i="12"/>
  <c r="M4" i="12" s="1"/>
  <c r="DJ8" i="4"/>
  <c r="CE11" i="12"/>
  <c r="L11" i="12"/>
  <c r="M11" i="12" s="1"/>
  <c r="M10" i="12"/>
  <c r="K10" i="12"/>
  <c r="M8" i="4"/>
  <c r="N8" i="4" s="1"/>
  <c r="CE10" i="12"/>
  <c r="N10" i="12" s="1"/>
  <c r="L18" i="6"/>
  <c r="CE18" i="6"/>
  <c r="DJ5" i="4"/>
  <c r="L6" i="4"/>
  <c r="N6" i="4" s="1"/>
  <c r="K8" i="12"/>
  <c r="K4" i="12"/>
  <c r="CE8" i="12"/>
  <c r="M8" i="12"/>
  <c r="CF8" i="12"/>
  <c r="K7" i="6"/>
  <c r="CE7" i="6"/>
  <c r="K5" i="6"/>
  <c r="CE5" i="6"/>
  <c r="M7" i="6"/>
  <c r="CF7" i="6"/>
  <c r="M5" i="6"/>
  <c r="CF5" i="6"/>
  <c r="L5" i="4"/>
  <c r="N5" i="4" s="1"/>
  <c r="E10" i="4"/>
  <c r="N10" i="4"/>
  <c r="DH10" i="4"/>
  <c r="T10" i="4"/>
  <c r="U10" i="4"/>
  <c r="L4" i="4"/>
  <c r="N4" i="4" s="1"/>
  <c r="DJ4" i="4"/>
  <c r="S6" i="4"/>
  <c r="E6" i="4" s="1"/>
  <c r="S4" i="4"/>
  <c r="E4" i="4" s="1"/>
  <c r="S8" i="4"/>
  <c r="E8" i="4" s="1"/>
  <c r="S5" i="4"/>
  <c r="E5" i="4" s="1"/>
  <c r="DH4" i="4"/>
  <c r="DH5" i="4"/>
  <c r="DH6" i="4"/>
  <c r="S6" i="14"/>
  <c r="E6" i="14" s="1"/>
  <c r="N6" i="14" l="1"/>
  <c r="CF4" i="12"/>
  <c r="N4" i="12" s="1"/>
  <c r="O4" i="12" s="1"/>
  <c r="CF11" i="12"/>
  <c r="N11" i="12" s="1"/>
  <c r="O11" i="12" s="1"/>
  <c r="DH8" i="4"/>
  <c r="E10" i="12"/>
  <c r="O10" i="12"/>
  <c r="P10" i="12"/>
  <c r="CF18" i="6"/>
  <c r="N18" i="6" s="1"/>
  <c r="M18" i="6"/>
  <c r="N7" i="6"/>
  <c r="E7" i="6" s="1"/>
  <c r="N8" i="12"/>
  <c r="P8" i="12" s="1"/>
  <c r="N5" i="6"/>
  <c r="O5" i="6" s="1"/>
  <c r="U6" i="4"/>
  <c r="T6" i="4"/>
  <c r="T4" i="4"/>
  <c r="T5" i="4"/>
  <c r="U5" i="4"/>
  <c r="U4" i="4"/>
  <c r="U8" i="4"/>
  <c r="T8" i="4"/>
  <c r="U6" i="14"/>
  <c r="T6" i="14"/>
  <c r="E4" i="12" l="1"/>
  <c r="P4" i="12"/>
  <c r="E11" i="12"/>
  <c r="A11" i="12" s="1"/>
  <c r="P11" i="12"/>
  <c r="E18" i="6"/>
  <c r="O8" i="12"/>
  <c r="E8" i="12"/>
  <c r="P7" i="6"/>
  <c r="P18" i="6"/>
  <c r="O18" i="6"/>
  <c r="O7" i="6"/>
  <c r="E5" i="6"/>
  <c r="P5" i="6"/>
  <c r="AH15" i="12" l="1"/>
  <c r="AI15" i="12"/>
  <c r="AJ15" i="12"/>
  <c r="AK15" i="12"/>
  <c r="BD15" i="12"/>
  <c r="BE15" i="12"/>
  <c r="BF15" i="12"/>
  <c r="BG15" i="12"/>
  <c r="BZ15" i="12"/>
  <c r="CA15" i="12"/>
  <c r="CB15" i="12"/>
  <c r="CC15" i="12"/>
  <c r="CW15" i="12"/>
  <c r="CX15" i="12"/>
  <c r="CY15" i="12"/>
  <c r="CZ15" i="12"/>
  <c r="DR15" i="12"/>
  <c r="DS15" i="12"/>
  <c r="DT15" i="12"/>
  <c r="DU15" i="12"/>
  <c r="EM15" i="12"/>
  <c r="EN15" i="12"/>
  <c r="EO15" i="12"/>
  <c r="EP15" i="12"/>
  <c r="FH15" i="12"/>
  <c r="FI15" i="12"/>
  <c r="FJ15" i="12"/>
  <c r="FK15" i="12"/>
  <c r="GC15" i="12"/>
  <c r="GD15" i="12"/>
  <c r="GE15" i="12"/>
  <c r="GF15" i="12"/>
  <c r="GX15" i="12"/>
  <c r="GY15" i="12"/>
  <c r="GZ15" i="12"/>
  <c r="HA15" i="12"/>
  <c r="HS15" i="12"/>
  <c r="HT15" i="12"/>
  <c r="HU15" i="12"/>
  <c r="HV15" i="12"/>
  <c r="IN15" i="12"/>
  <c r="IO15" i="12"/>
  <c r="IP15" i="12"/>
  <c r="IQ15" i="12"/>
  <c r="JI15" i="12"/>
  <c r="JJ15" i="12"/>
  <c r="JK15" i="12"/>
  <c r="JL15" i="12"/>
  <c r="KD15" i="12"/>
  <c r="KE15" i="12"/>
  <c r="KF15" i="12"/>
  <c r="KG15" i="12"/>
  <c r="KY15" i="12"/>
  <c r="KZ15" i="12"/>
  <c r="LA15" i="12"/>
  <c r="LB15" i="12"/>
  <c r="LT15" i="12"/>
  <c r="LU15" i="12"/>
  <c r="LV15" i="12"/>
  <c r="LW15" i="12"/>
  <c r="LY1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AH14" i="12"/>
  <c r="AI14" i="12"/>
  <c r="AJ14" i="12"/>
  <c r="AK14" i="12"/>
  <c r="BD14" i="12"/>
  <c r="BE14" i="12"/>
  <c r="BF14" i="12"/>
  <c r="BG14" i="12"/>
  <c r="BZ14" i="12"/>
  <c r="CA14" i="12"/>
  <c r="CB14" i="12"/>
  <c r="CC14" i="12"/>
  <c r="CW14" i="12"/>
  <c r="CX14" i="12"/>
  <c r="CY14" i="12"/>
  <c r="CZ14" i="12"/>
  <c r="DR14" i="12"/>
  <c r="DS14" i="12"/>
  <c r="DT14" i="12"/>
  <c r="DU14" i="12"/>
  <c r="EM14" i="12"/>
  <c r="EN14" i="12"/>
  <c r="EO14" i="12"/>
  <c r="EP14" i="12"/>
  <c r="FH14" i="12"/>
  <c r="FI14" i="12"/>
  <c r="FJ14" i="12"/>
  <c r="FK14" i="12"/>
  <c r="GC14" i="12"/>
  <c r="GD14" i="12"/>
  <c r="GE14" i="12"/>
  <c r="GF14" i="12"/>
  <c r="GX14" i="12"/>
  <c r="GY14" i="12"/>
  <c r="GZ14" i="12"/>
  <c r="HA14" i="12"/>
  <c r="HS14" i="12"/>
  <c r="HT14" i="12"/>
  <c r="HU14" i="12"/>
  <c r="HV14" i="12"/>
  <c r="IN14" i="12"/>
  <c r="IO14" i="12"/>
  <c r="IP14" i="12"/>
  <c r="IQ14" i="12"/>
  <c r="JI14" i="12"/>
  <c r="JJ14" i="12"/>
  <c r="JK14" i="12"/>
  <c r="JL14" i="12"/>
  <c r="KD14" i="12"/>
  <c r="KE14" i="12"/>
  <c r="KF14" i="12"/>
  <c r="KG14" i="12"/>
  <c r="KY14" i="12"/>
  <c r="KZ14" i="12"/>
  <c r="LA14" i="12"/>
  <c r="LB14" i="12"/>
  <c r="LT14" i="12"/>
  <c r="LU14" i="12"/>
  <c r="LV14" i="12"/>
  <c r="LW14" i="12"/>
  <c r="LY14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AH6" i="12"/>
  <c r="AI6" i="12"/>
  <c r="AJ6" i="12"/>
  <c r="AK6" i="12"/>
  <c r="BD6" i="12"/>
  <c r="BE6" i="12"/>
  <c r="BF6" i="12"/>
  <c r="BG6" i="12"/>
  <c r="BZ6" i="12"/>
  <c r="CA6" i="12"/>
  <c r="CB6" i="12"/>
  <c r="CC6" i="12"/>
  <c r="CW6" i="12"/>
  <c r="CX6" i="12"/>
  <c r="CY6" i="12"/>
  <c r="CZ6" i="12"/>
  <c r="DR6" i="12"/>
  <c r="DS6" i="12"/>
  <c r="DT6" i="12"/>
  <c r="DU6" i="12"/>
  <c r="EM6" i="12"/>
  <c r="EN6" i="12"/>
  <c r="EO6" i="12"/>
  <c r="EP6" i="12"/>
  <c r="FH6" i="12"/>
  <c r="FI6" i="12"/>
  <c r="FJ6" i="12"/>
  <c r="FK6" i="12"/>
  <c r="GC6" i="12"/>
  <c r="GD6" i="12"/>
  <c r="GE6" i="12"/>
  <c r="GF6" i="12"/>
  <c r="GX6" i="12"/>
  <c r="GY6" i="12"/>
  <c r="GZ6" i="12"/>
  <c r="HA6" i="12"/>
  <c r="HS6" i="12"/>
  <c r="HT6" i="12"/>
  <c r="HU6" i="12"/>
  <c r="HV6" i="12"/>
  <c r="IN6" i="12"/>
  <c r="IO6" i="12"/>
  <c r="IP6" i="12"/>
  <c r="IQ6" i="12"/>
  <c r="JI6" i="12"/>
  <c r="JJ6" i="12"/>
  <c r="JK6" i="12"/>
  <c r="JL6" i="12"/>
  <c r="KD6" i="12"/>
  <c r="KE6" i="12"/>
  <c r="KF6" i="12"/>
  <c r="KG6" i="12"/>
  <c r="KY6" i="12"/>
  <c r="KZ6" i="12"/>
  <c r="LA6" i="12"/>
  <c r="LB6" i="12"/>
  <c r="LT6" i="12"/>
  <c r="LU6" i="12"/>
  <c r="LV6" i="12"/>
  <c r="LW6" i="12"/>
  <c r="LY6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AH5" i="12"/>
  <c r="AI5" i="12"/>
  <c r="AJ5" i="12"/>
  <c r="AK5" i="12"/>
  <c r="BD5" i="12"/>
  <c r="BE5" i="12"/>
  <c r="BF5" i="12"/>
  <c r="BG5" i="12"/>
  <c r="BZ5" i="12"/>
  <c r="CA5" i="12"/>
  <c r="CB5" i="12"/>
  <c r="CC5" i="12"/>
  <c r="CW5" i="12"/>
  <c r="CX5" i="12"/>
  <c r="CY5" i="12"/>
  <c r="CZ5" i="12"/>
  <c r="DR5" i="12"/>
  <c r="DS5" i="12"/>
  <c r="DT5" i="12"/>
  <c r="DU5" i="12"/>
  <c r="EM5" i="12"/>
  <c r="EN5" i="12"/>
  <c r="EO5" i="12"/>
  <c r="EP5" i="12"/>
  <c r="FH5" i="12"/>
  <c r="FI5" i="12"/>
  <c r="FJ5" i="12"/>
  <c r="FK5" i="12"/>
  <c r="GC5" i="12"/>
  <c r="GD5" i="12"/>
  <c r="GE5" i="12"/>
  <c r="GF5" i="12"/>
  <c r="GX5" i="12"/>
  <c r="GY5" i="12"/>
  <c r="GZ5" i="12"/>
  <c r="HA5" i="12"/>
  <c r="HS5" i="12"/>
  <c r="HT5" i="12"/>
  <c r="HU5" i="12"/>
  <c r="HV5" i="12"/>
  <c r="IN5" i="12"/>
  <c r="IO5" i="12"/>
  <c r="IP5" i="12"/>
  <c r="IQ5" i="12"/>
  <c r="JI5" i="12"/>
  <c r="JJ5" i="12"/>
  <c r="JK5" i="12"/>
  <c r="JL5" i="12"/>
  <c r="KD5" i="12"/>
  <c r="KE5" i="12"/>
  <c r="KF5" i="12"/>
  <c r="KG5" i="12"/>
  <c r="KY5" i="12"/>
  <c r="KZ5" i="12"/>
  <c r="LA5" i="12"/>
  <c r="LB5" i="12"/>
  <c r="LT5" i="12"/>
  <c r="LU5" i="12"/>
  <c r="LV5" i="12"/>
  <c r="LW5" i="12"/>
  <c r="LY5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AH7" i="12"/>
  <c r="AI7" i="12"/>
  <c r="AJ7" i="12"/>
  <c r="AK7" i="12"/>
  <c r="BD7" i="12"/>
  <c r="BE7" i="12"/>
  <c r="BF7" i="12"/>
  <c r="BG7" i="12"/>
  <c r="BZ7" i="12"/>
  <c r="CA7" i="12"/>
  <c r="CB7" i="12"/>
  <c r="CC7" i="12"/>
  <c r="CW7" i="12"/>
  <c r="CX7" i="12"/>
  <c r="CY7" i="12"/>
  <c r="CZ7" i="12"/>
  <c r="DR7" i="12"/>
  <c r="DS7" i="12"/>
  <c r="DT7" i="12"/>
  <c r="DU7" i="12"/>
  <c r="EM7" i="12"/>
  <c r="EN7" i="12"/>
  <c r="EO7" i="12"/>
  <c r="EP7" i="12"/>
  <c r="FH7" i="12"/>
  <c r="FI7" i="12"/>
  <c r="FJ7" i="12"/>
  <c r="FK7" i="12"/>
  <c r="GC7" i="12"/>
  <c r="GD7" i="12"/>
  <c r="GE7" i="12"/>
  <c r="GF7" i="12"/>
  <c r="GX7" i="12"/>
  <c r="GY7" i="12"/>
  <c r="GZ7" i="12"/>
  <c r="HA7" i="12"/>
  <c r="HS7" i="12"/>
  <c r="HT7" i="12"/>
  <c r="HU7" i="12"/>
  <c r="HV7" i="12"/>
  <c r="IN7" i="12"/>
  <c r="IO7" i="12"/>
  <c r="IP7" i="12"/>
  <c r="IQ7" i="12"/>
  <c r="JI7" i="12"/>
  <c r="JJ7" i="12"/>
  <c r="JK7" i="12"/>
  <c r="JL7" i="12"/>
  <c r="KD7" i="12"/>
  <c r="KE7" i="12"/>
  <c r="KF7" i="12"/>
  <c r="KG7" i="12"/>
  <c r="KY7" i="12"/>
  <c r="KZ7" i="12"/>
  <c r="LA7" i="12"/>
  <c r="LB7" i="12"/>
  <c r="LT7" i="12"/>
  <c r="LU7" i="12"/>
  <c r="LV7" i="12"/>
  <c r="LW7" i="12"/>
  <c r="LY7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AH13" i="12"/>
  <c r="AI13" i="12"/>
  <c r="AJ13" i="12"/>
  <c r="AK13" i="12"/>
  <c r="BD13" i="12"/>
  <c r="BE13" i="12"/>
  <c r="BF13" i="12"/>
  <c r="BG13" i="12"/>
  <c r="BZ13" i="12"/>
  <c r="CA13" i="12"/>
  <c r="CB13" i="12"/>
  <c r="CC13" i="12"/>
  <c r="CW13" i="12"/>
  <c r="CX13" i="12"/>
  <c r="CY13" i="12"/>
  <c r="CZ13" i="12"/>
  <c r="DR13" i="12"/>
  <c r="DS13" i="12"/>
  <c r="DT13" i="12"/>
  <c r="DU13" i="12"/>
  <c r="EM13" i="12"/>
  <c r="EN13" i="12"/>
  <c r="EO13" i="12"/>
  <c r="EP13" i="12"/>
  <c r="FH13" i="12"/>
  <c r="FI13" i="12"/>
  <c r="FJ13" i="12"/>
  <c r="FK13" i="12"/>
  <c r="GC13" i="12"/>
  <c r="GD13" i="12"/>
  <c r="GE13" i="12"/>
  <c r="GF13" i="12"/>
  <c r="GX13" i="12"/>
  <c r="GY13" i="12"/>
  <c r="GZ13" i="12"/>
  <c r="HA13" i="12"/>
  <c r="HS13" i="12"/>
  <c r="HT13" i="12"/>
  <c r="HU13" i="12"/>
  <c r="HV13" i="12"/>
  <c r="IN13" i="12"/>
  <c r="IO13" i="12"/>
  <c r="IP13" i="12"/>
  <c r="IQ13" i="12"/>
  <c r="JI13" i="12"/>
  <c r="JJ13" i="12"/>
  <c r="JK13" i="12"/>
  <c r="JL13" i="12"/>
  <c r="KD13" i="12"/>
  <c r="KE13" i="12"/>
  <c r="KF13" i="12"/>
  <c r="KG13" i="12"/>
  <c r="KY13" i="12"/>
  <c r="KZ13" i="12"/>
  <c r="LA13" i="12"/>
  <c r="LB13" i="12"/>
  <c r="LT13" i="12"/>
  <c r="LU13" i="12"/>
  <c r="LV13" i="12"/>
  <c r="LW13" i="12"/>
  <c r="LY13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AH13" i="6"/>
  <c r="AI13" i="6"/>
  <c r="AJ13" i="6"/>
  <c r="AK13" i="6"/>
  <c r="BD13" i="6"/>
  <c r="BE13" i="6"/>
  <c r="BF13" i="6"/>
  <c r="BG13" i="6"/>
  <c r="BZ13" i="6"/>
  <c r="CA13" i="6"/>
  <c r="CB13" i="6"/>
  <c r="CC13" i="6"/>
  <c r="CW13" i="6"/>
  <c r="CX13" i="6"/>
  <c r="CY13" i="6"/>
  <c r="CZ13" i="6"/>
  <c r="DR13" i="6"/>
  <c r="DS13" i="6"/>
  <c r="DT13" i="6"/>
  <c r="DU13" i="6"/>
  <c r="EM13" i="6"/>
  <c r="EN13" i="6"/>
  <c r="EO13" i="6"/>
  <c r="EP13" i="6"/>
  <c r="FH13" i="6"/>
  <c r="FI13" i="6"/>
  <c r="FJ13" i="6"/>
  <c r="FK13" i="6"/>
  <c r="GC13" i="6"/>
  <c r="GD13" i="6"/>
  <c r="GE13" i="6"/>
  <c r="GF13" i="6"/>
  <c r="GX13" i="6"/>
  <c r="GY13" i="6"/>
  <c r="GZ13" i="6"/>
  <c r="HA13" i="6"/>
  <c r="HS13" i="6"/>
  <c r="HT13" i="6"/>
  <c r="HU13" i="6"/>
  <c r="HV13" i="6"/>
  <c r="IN13" i="6"/>
  <c r="IO13" i="6"/>
  <c r="IP13" i="6"/>
  <c r="IQ13" i="6"/>
  <c r="JI13" i="6"/>
  <c r="JJ13" i="6"/>
  <c r="JK13" i="6"/>
  <c r="JL13" i="6"/>
  <c r="KD13" i="6"/>
  <c r="KE13" i="6"/>
  <c r="KF13" i="6"/>
  <c r="KG13" i="6"/>
  <c r="KY13" i="6"/>
  <c r="KZ13" i="6"/>
  <c r="LA13" i="6"/>
  <c r="LB13" i="6"/>
  <c r="LT13" i="6"/>
  <c r="LU13" i="6"/>
  <c r="LV13" i="6"/>
  <c r="LW13" i="6"/>
  <c r="LY13" i="6"/>
  <c r="LZ13" i="6"/>
  <c r="MA13" i="6"/>
  <c r="MB13" i="6"/>
  <c r="MC13" i="6"/>
  <c r="MD13" i="6"/>
  <c r="ME13" i="6"/>
  <c r="MF13" i="6"/>
  <c r="MG13" i="6"/>
  <c r="MH13" i="6"/>
  <c r="MR13" i="6" s="1"/>
  <c r="MI13" i="6"/>
  <c r="MJ13" i="6"/>
  <c r="MK13" i="6"/>
  <c r="ML13" i="6"/>
  <c r="MM13" i="6"/>
  <c r="MN13" i="6"/>
  <c r="AH17" i="6"/>
  <c r="AI17" i="6"/>
  <c r="AJ17" i="6"/>
  <c r="AK17" i="6"/>
  <c r="BD17" i="6"/>
  <c r="BE17" i="6"/>
  <c r="BF17" i="6"/>
  <c r="BG17" i="6"/>
  <c r="BZ17" i="6"/>
  <c r="CA17" i="6"/>
  <c r="CB17" i="6"/>
  <c r="CC17" i="6"/>
  <c r="CW17" i="6"/>
  <c r="CX17" i="6"/>
  <c r="CY17" i="6"/>
  <c r="CZ17" i="6"/>
  <c r="DR17" i="6"/>
  <c r="DS17" i="6"/>
  <c r="DT17" i="6"/>
  <c r="DU17" i="6"/>
  <c r="EM17" i="6"/>
  <c r="EN17" i="6"/>
  <c r="EO17" i="6"/>
  <c r="EP17" i="6"/>
  <c r="FH17" i="6"/>
  <c r="FI17" i="6"/>
  <c r="FJ17" i="6"/>
  <c r="FK17" i="6"/>
  <c r="GC17" i="6"/>
  <c r="GD17" i="6"/>
  <c r="GE17" i="6"/>
  <c r="GF17" i="6"/>
  <c r="GX17" i="6"/>
  <c r="GY17" i="6"/>
  <c r="GZ17" i="6"/>
  <c r="HA17" i="6"/>
  <c r="HS17" i="6"/>
  <c r="HT17" i="6"/>
  <c r="HU17" i="6"/>
  <c r="HV17" i="6"/>
  <c r="IN17" i="6"/>
  <c r="IO17" i="6"/>
  <c r="IP17" i="6"/>
  <c r="IQ17" i="6"/>
  <c r="JI17" i="6"/>
  <c r="JJ17" i="6"/>
  <c r="JK17" i="6"/>
  <c r="JL17" i="6"/>
  <c r="KD17" i="6"/>
  <c r="KE17" i="6"/>
  <c r="KF17" i="6"/>
  <c r="KG17" i="6"/>
  <c r="KY17" i="6"/>
  <c r="KZ17" i="6"/>
  <c r="LA17" i="6"/>
  <c r="LB17" i="6"/>
  <c r="LT17" i="6"/>
  <c r="LU17" i="6"/>
  <c r="LV17" i="6"/>
  <c r="LW17" i="6"/>
  <c r="LY17" i="6"/>
  <c r="LZ17" i="6"/>
  <c r="MA17" i="6"/>
  <c r="MB17" i="6"/>
  <c r="MC17" i="6"/>
  <c r="MD17" i="6"/>
  <c r="ME17" i="6"/>
  <c r="MF17" i="6"/>
  <c r="MG17" i="6"/>
  <c r="MH17" i="6"/>
  <c r="MI17" i="6"/>
  <c r="MJ17" i="6"/>
  <c r="MK17" i="6"/>
  <c r="ML17" i="6"/>
  <c r="MM17" i="6"/>
  <c r="MN17" i="6"/>
  <c r="AH11" i="6"/>
  <c r="AI11" i="6"/>
  <c r="AJ11" i="6"/>
  <c r="AK11" i="6"/>
  <c r="BD11" i="6"/>
  <c r="BE11" i="6"/>
  <c r="BF11" i="6"/>
  <c r="BG11" i="6"/>
  <c r="BZ11" i="6"/>
  <c r="CA11" i="6"/>
  <c r="CB11" i="6"/>
  <c r="CC11" i="6"/>
  <c r="CW11" i="6"/>
  <c r="CX11" i="6"/>
  <c r="CY11" i="6"/>
  <c r="CZ11" i="6"/>
  <c r="DR11" i="6"/>
  <c r="DS11" i="6"/>
  <c r="DT11" i="6"/>
  <c r="DU11" i="6"/>
  <c r="EM11" i="6"/>
  <c r="EN11" i="6"/>
  <c r="EO11" i="6"/>
  <c r="EP11" i="6"/>
  <c r="FH11" i="6"/>
  <c r="FI11" i="6"/>
  <c r="FJ11" i="6"/>
  <c r="FK11" i="6"/>
  <c r="GC11" i="6"/>
  <c r="GD11" i="6"/>
  <c r="GE11" i="6"/>
  <c r="GF11" i="6"/>
  <c r="GX11" i="6"/>
  <c r="GY11" i="6"/>
  <c r="GZ11" i="6"/>
  <c r="HA11" i="6"/>
  <c r="HS11" i="6"/>
  <c r="HT11" i="6"/>
  <c r="HU11" i="6"/>
  <c r="HV11" i="6"/>
  <c r="IN11" i="6"/>
  <c r="IO11" i="6"/>
  <c r="IP11" i="6"/>
  <c r="IQ11" i="6"/>
  <c r="JI11" i="6"/>
  <c r="JJ11" i="6"/>
  <c r="JK11" i="6"/>
  <c r="JL11" i="6"/>
  <c r="KD11" i="6"/>
  <c r="KE11" i="6"/>
  <c r="KF11" i="6"/>
  <c r="KG11" i="6"/>
  <c r="KY11" i="6"/>
  <c r="KZ11" i="6"/>
  <c r="LA11" i="6"/>
  <c r="LB11" i="6"/>
  <c r="LT11" i="6"/>
  <c r="LU11" i="6"/>
  <c r="LV11" i="6"/>
  <c r="LW11" i="6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AH7" i="7"/>
  <c r="AI7" i="7"/>
  <c r="AJ7" i="7"/>
  <c r="AK7" i="7"/>
  <c r="BD7" i="7"/>
  <c r="BE7" i="7"/>
  <c r="BF7" i="7"/>
  <c r="BG7" i="7"/>
  <c r="BZ7" i="7"/>
  <c r="CA7" i="7"/>
  <c r="CB7" i="7"/>
  <c r="CC7" i="7"/>
  <c r="CW7" i="7"/>
  <c r="CX7" i="7"/>
  <c r="CY7" i="7"/>
  <c r="CZ7" i="7"/>
  <c r="DR7" i="7"/>
  <c r="DS7" i="7"/>
  <c r="DT7" i="7"/>
  <c r="DU7" i="7"/>
  <c r="EM7" i="7"/>
  <c r="EN7" i="7"/>
  <c r="EO7" i="7"/>
  <c r="EP7" i="7"/>
  <c r="FH7" i="7"/>
  <c r="FI7" i="7"/>
  <c r="FJ7" i="7"/>
  <c r="FK7" i="7"/>
  <c r="GC7" i="7"/>
  <c r="GD7" i="7"/>
  <c r="GE7" i="7"/>
  <c r="GF7" i="7"/>
  <c r="GX7" i="7"/>
  <c r="GY7" i="7"/>
  <c r="GZ7" i="7"/>
  <c r="HA7" i="7"/>
  <c r="HS7" i="7"/>
  <c r="HT7" i="7"/>
  <c r="HU7" i="7"/>
  <c r="HV7" i="7"/>
  <c r="IN7" i="7"/>
  <c r="IO7" i="7"/>
  <c r="IP7" i="7"/>
  <c r="IQ7" i="7"/>
  <c r="JI7" i="7"/>
  <c r="JJ7" i="7"/>
  <c r="JL7" i="7"/>
  <c r="KD7" i="7"/>
  <c r="KE7" i="7"/>
  <c r="KF7" i="7"/>
  <c r="KG7" i="7"/>
  <c r="KY7" i="7"/>
  <c r="KZ7" i="7"/>
  <c r="LA7" i="7"/>
  <c r="LB7" i="7"/>
  <c r="LT7" i="7"/>
  <c r="LU7" i="7"/>
  <c r="LV7" i="7"/>
  <c r="LW7" i="7"/>
  <c r="LY7" i="7"/>
  <c r="LZ7" i="7"/>
  <c r="MA7" i="7"/>
  <c r="MB7" i="7"/>
  <c r="MC7" i="7"/>
  <c r="MD7" i="7"/>
  <c r="ME7" i="7"/>
  <c r="MF7" i="7"/>
  <c r="MG7" i="7"/>
  <c r="MH7" i="7"/>
  <c r="MI7" i="7"/>
  <c r="MJ7" i="7"/>
  <c r="MK7" i="7"/>
  <c r="ML7" i="7"/>
  <c r="MM7" i="7"/>
  <c r="MN7" i="7"/>
  <c r="AH5" i="7"/>
  <c r="AI5" i="7"/>
  <c r="AJ5" i="7"/>
  <c r="AK5" i="7"/>
  <c r="BD5" i="7"/>
  <c r="BE5" i="7"/>
  <c r="BF5" i="7"/>
  <c r="BG5" i="7"/>
  <c r="BZ5" i="7"/>
  <c r="CA5" i="7"/>
  <c r="CB5" i="7"/>
  <c r="CC5" i="7"/>
  <c r="CW5" i="7"/>
  <c r="CX5" i="7"/>
  <c r="CY5" i="7"/>
  <c r="CZ5" i="7"/>
  <c r="DR5" i="7"/>
  <c r="DS5" i="7"/>
  <c r="DT5" i="7"/>
  <c r="DU5" i="7"/>
  <c r="EM5" i="7"/>
  <c r="EN5" i="7"/>
  <c r="EO5" i="7"/>
  <c r="EP5" i="7"/>
  <c r="FH5" i="7"/>
  <c r="FI5" i="7"/>
  <c r="FJ5" i="7"/>
  <c r="FK5" i="7"/>
  <c r="GC5" i="7"/>
  <c r="GD5" i="7"/>
  <c r="GE5" i="7"/>
  <c r="GF5" i="7"/>
  <c r="GX5" i="7"/>
  <c r="GY5" i="7"/>
  <c r="GZ5" i="7"/>
  <c r="HA5" i="7"/>
  <c r="HS5" i="7"/>
  <c r="HT5" i="7"/>
  <c r="HU5" i="7"/>
  <c r="HV5" i="7"/>
  <c r="IN5" i="7"/>
  <c r="IO5" i="7"/>
  <c r="IP5" i="7"/>
  <c r="IQ5" i="7"/>
  <c r="JI5" i="7"/>
  <c r="JJ5" i="7"/>
  <c r="JL5" i="7"/>
  <c r="KD5" i="7"/>
  <c r="KE5" i="7"/>
  <c r="KF5" i="7"/>
  <c r="KG5" i="7"/>
  <c r="KY5" i="7"/>
  <c r="KZ5" i="7"/>
  <c r="LA5" i="7"/>
  <c r="LB5" i="7"/>
  <c r="LT5" i="7"/>
  <c r="LU5" i="7"/>
  <c r="LV5" i="7"/>
  <c r="LW5" i="7"/>
  <c r="LY5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AQ16" i="14"/>
  <c r="AR16" i="14"/>
  <c r="AS16" i="14"/>
  <c r="AT16" i="14"/>
  <c r="AU16" i="14"/>
  <c r="AW16" i="14"/>
  <c r="AX16" i="14"/>
  <c r="BU16" i="14"/>
  <c r="BV16" i="14"/>
  <c r="BW16" i="14"/>
  <c r="BX16" i="14"/>
  <c r="BY16" i="14"/>
  <c r="CA16" i="14"/>
  <c r="CB16" i="14"/>
  <c r="CY16" i="14"/>
  <c r="CZ16" i="14"/>
  <c r="DA16" i="14"/>
  <c r="DB16" i="14"/>
  <c r="DC16" i="14"/>
  <c r="DE16" i="14"/>
  <c r="DF16" i="14"/>
  <c r="EA16" i="14"/>
  <c r="EB16" i="14"/>
  <c r="EC16" i="14"/>
  <c r="EE16" i="14"/>
  <c r="EF16" i="14"/>
  <c r="EW16" i="14"/>
  <c r="EX16" i="14"/>
  <c r="EY16" i="14"/>
  <c r="FA16" i="14"/>
  <c r="FB16" i="14"/>
  <c r="FS16" i="14"/>
  <c r="FT16" i="14"/>
  <c r="FU16" i="14"/>
  <c r="FW16" i="14"/>
  <c r="FX16" i="14"/>
  <c r="GO16" i="14"/>
  <c r="GP16" i="14"/>
  <c r="GQ16" i="14"/>
  <c r="GS16" i="14"/>
  <c r="GT16" i="14"/>
  <c r="HK16" i="14"/>
  <c r="HL16" i="14"/>
  <c r="HM16" i="14"/>
  <c r="HO16" i="14"/>
  <c r="HP16" i="14"/>
  <c r="IG16" i="14"/>
  <c r="IH16" i="14"/>
  <c r="II16" i="14"/>
  <c r="IK16" i="14"/>
  <c r="IL16" i="14"/>
  <c r="JC16" i="14"/>
  <c r="JD16" i="14"/>
  <c r="JE16" i="14"/>
  <c r="JG16" i="14"/>
  <c r="JH16" i="14"/>
  <c r="JY16" i="14"/>
  <c r="JZ16" i="14"/>
  <c r="KA16" i="14"/>
  <c r="KC16" i="14"/>
  <c r="KD16" i="14"/>
  <c r="KU16" i="14"/>
  <c r="KV16" i="14"/>
  <c r="KW16" i="14"/>
  <c r="KY16" i="14"/>
  <c r="KZ16" i="14"/>
  <c r="LQ16" i="14"/>
  <c r="LR16" i="14"/>
  <c r="LS16" i="14"/>
  <c r="LU16" i="14"/>
  <c r="LV16" i="14"/>
  <c r="MM16" i="14"/>
  <c r="MN16" i="14"/>
  <c r="MO16" i="14"/>
  <c r="MQ16" i="14"/>
  <c r="MR16" i="14"/>
  <c r="NI16" i="14"/>
  <c r="NJ16" i="14"/>
  <c r="NK16" i="14"/>
  <c r="NM16" i="14"/>
  <c r="NN16" i="14"/>
  <c r="NP16" i="14"/>
  <c r="NQ16" i="14"/>
  <c r="NR16" i="14"/>
  <c r="NS16" i="14"/>
  <c r="NT16" i="14"/>
  <c r="NU16" i="14"/>
  <c r="NV16" i="14"/>
  <c r="NW16" i="14"/>
  <c r="OL16" i="14" s="1"/>
  <c r="NX16" i="14"/>
  <c r="NY16" i="14"/>
  <c r="NZ16" i="14"/>
  <c r="OA16" i="14"/>
  <c r="OB16" i="14"/>
  <c r="OC16" i="14"/>
  <c r="OD16" i="14"/>
  <c r="OE16" i="14"/>
  <c r="OF16" i="14"/>
  <c r="OG16" i="14"/>
  <c r="OQ16" i="14" s="1"/>
  <c r="OH16" i="14"/>
  <c r="OI16" i="14"/>
  <c r="ON16" i="14"/>
  <c r="AQ12" i="14"/>
  <c r="AR12" i="14"/>
  <c r="AS12" i="14"/>
  <c r="AT12" i="14"/>
  <c r="AU12" i="14"/>
  <c r="AW12" i="14"/>
  <c r="AX12" i="14"/>
  <c r="BU12" i="14"/>
  <c r="BV12" i="14"/>
  <c r="BW12" i="14"/>
  <c r="BX12" i="14"/>
  <c r="BY12" i="14"/>
  <c r="CA12" i="14"/>
  <c r="CB12" i="14"/>
  <c r="CY12" i="14"/>
  <c r="CZ12" i="14"/>
  <c r="DA12" i="14"/>
  <c r="DB12" i="14"/>
  <c r="DC12" i="14"/>
  <c r="DE12" i="14"/>
  <c r="DF12" i="14"/>
  <c r="EA12" i="14"/>
  <c r="EB12" i="14"/>
  <c r="EC12" i="14"/>
  <c r="EE12" i="14"/>
  <c r="EF12" i="14"/>
  <c r="EW12" i="14"/>
  <c r="EX12" i="14"/>
  <c r="EY12" i="14"/>
  <c r="FA12" i="14"/>
  <c r="FB12" i="14"/>
  <c r="FS12" i="14"/>
  <c r="FT12" i="14"/>
  <c r="FU12" i="14"/>
  <c r="FW12" i="14"/>
  <c r="FX12" i="14"/>
  <c r="GO12" i="14"/>
  <c r="GP12" i="14"/>
  <c r="GQ12" i="14"/>
  <c r="GS12" i="14"/>
  <c r="GT12" i="14"/>
  <c r="HK12" i="14"/>
  <c r="HL12" i="14"/>
  <c r="HM12" i="14"/>
  <c r="HO12" i="14"/>
  <c r="HP12" i="14"/>
  <c r="IG12" i="14"/>
  <c r="IH12" i="14"/>
  <c r="II12" i="14"/>
  <c r="IK12" i="14"/>
  <c r="IL12" i="14"/>
  <c r="JC12" i="14"/>
  <c r="JD12" i="14"/>
  <c r="JE12" i="14"/>
  <c r="JG12" i="14"/>
  <c r="JH12" i="14"/>
  <c r="JY12" i="14"/>
  <c r="JZ12" i="14"/>
  <c r="KA12" i="14"/>
  <c r="KC12" i="14"/>
  <c r="KD12" i="14"/>
  <c r="KU12" i="14"/>
  <c r="KV12" i="14"/>
  <c r="KW12" i="14"/>
  <c r="KY12" i="14"/>
  <c r="KZ12" i="14"/>
  <c r="LQ12" i="14"/>
  <c r="LR12" i="14"/>
  <c r="LS12" i="14"/>
  <c r="LU12" i="14"/>
  <c r="LV12" i="14"/>
  <c r="MM12" i="14"/>
  <c r="MN12" i="14"/>
  <c r="MO12" i="14"/>
  <c r="MQ12" i="14"/>
  <c r="MR12" i="14"/>
  <c r="NI12" i="14"/>
  <c r="NJ12" i="14"/>
  <c r="NK12" i="14"/>
  <c r="NM12" i="14"/>
  <c r="NN12" i="14"/>
  <c r="NP12" i="14"/>
  <c r="NQ12" i="14"/>
  <c r="NR12" i="14"/>
  <c r="NS12" i="14"/>
  <c r="NT12" i="14"/>
  <c r="NU12" i="14"/>
  <c r="NV12" i="14"/>
  <c r="NW12" i="14"/>
  <c r="OL12" i="14" s="1"/>
  <c r="NX12" i="14"/>
  <c r="NY12" i="14"/>
  <c r="NZ12" i="14"/>
  <c r="OA12" i="14"/>
  <c r="OB12" i="14"/>
  <c r="OC12" i="14"/>
  <c r="OD12" i="14"/>
  <c r="OE12" i="14"/>
  <c r="OF12" i="14"/>
  <c r="OG12" i="14"/>
  <c r="OQ12" i="14" s="1"/>
  <c r="OH12" i="14"/>
  <c r="OI12" i="14"/>
  <c r="ON12" i="14"/>
  <c r="AQ10" i="14"/>
  <c r="AR10" i="14"/>
  <c r="AS10" i="14"/>
  <c r="AT10" i="14"/>
  <c r="AU10" i="14"/>
  <c r="AW10" i="14"/>
  <c r="AX10" i="14"/>
  <c r="BU10" i="14"/>
  <c r="BV10" i="14"/>
  <c r="BW10" i="14"/>
  <c r="BX10" i="14"/>
  <c r="BY10" i="14"/>
  <c r="CA10" i="14"/>
  <c r="CB10" i="14"/>
  <c r="CY10" i="14"/>
  <c r="CZ10" i="14"/>
  <c r="DA10" i="14"/>
  <c r="DB10" i="14"/>
  <c r="DC10" i="14"/>
  <c r="DE10" i="14"/>
  <c r="DF10" i="14"/>
  <c r="EA10" i="14"/>
  <c r="EB10" i="14"/>
  <c r="EC10" i="14"/>
  <c r="EE10" i="14"/>
  <c r="EF10" i="14"/>
  <c r="EW10" i="14"/>
  <c r="EX10" i="14"/>
  <c r="EY10" i="14"/>
  <c r="FA10" i="14"/>
  <c r="FB10" i="14"/>
  <c r="FS10" i="14"/>
  <c r="FT10" i="14"/>
  <c r="FU10" i="14"/>
  <c r="FW10" i="14"/>
  <c r="FX10" i="14"/>
  <c r="GO10" i="14"/>
  <c r="GP10" i="14"/>
  <c r="GQ10" i="14"/>
  <c r="GS10" i="14"/>
  <c r="GT10" i="14"/>
  <c r="HK10" i="14"/>
  <c r="HL10" i="14"/>
  <c r="HM10" i="14"/>
  <c r="HO10" i="14"/>
  <c r="HP10" i="14"/>
  <c r="IG10" i="14"/>
  <c r="IH10" i="14"/>
  <c r="II10" i="14"/>
  <c r="IK10" i="14"/>
  <c r="IL10" i="14"/>
  <c r="JC10" i="14"/>
  <c r="JD10" i="14"/>
  <c r="JE10" i="14"/>
  <c r="JG10" i="14"/>
  <c r="JH10" i="14"/>
  <c r="JY10" i="14"/>
  <c r="JZ10" i="14"/>
  <c r="KA10" i="14"/>
  <c r="KC10" i="14"/>
  <c r="KD10" i="14"/>
  <c r="KU10" i="14"/>
  <c r="KV10" i="14"/>
  <c r="KW10" i="14"/>
  <c r="KY10" i="14"/>
  <c r="KZ10" i="14"/>
  <c r="LQ10" i="14"/>
  <c r="LR10" i="14"/>
  <c r="LS10" i="14"/>
  <c r="LU10" i="14"/>
  <c r="LV10" i="14"/>
  <c r="MM10" i="14"/>
  <c r="MN10" i="14"/>
  <c r="MO10" i="14"/>
  <c r="MQ10" i="14"/>
  <c r="MR10" i="14"/>
  <c r="NI10" i="14"/>
  <c r="NJ10" i="14"/>
  <c r="NK10" i="14"/>
  <c r="NM10" i="14"/>
  <c r="NN10" i="14"/>
  <c r="NP10" i="14"/>
  <c r="NQ10" i="14"/>
  <c r="NR10" i="14"/>
  <c r="NS10" i="14"/>
  <c r="NT10" i="14"/>
  <c r="NU10" i="14"/>
  <c r="NV10" i="14"/>
  <c r="NW10" i="14"/>
  <c r="OL10" i="14" s="1"/>
  <c r="NX10" i="14"/>
  <c r="NY10" i="14"/>
  <c r="NZ10" i="14"/>
  <c r="OA10" i="14"/>
  <c r="OB10" i="14"/>
  <c r="ON10" i="14" s="1"/>
  <c r="OC10" i="14"/>
  <c r="OD10" i="14"/>
  <c r="OE10" i="14"/>
  <c r="OF10" i="14"/>
  <c r="OG10" i="14"/>
  <c r="OQ10" i="14" s="1"/>
  <c r="OH10" i="14"/>
  <c r="OI10" i="14"/>
  <c r="AQ13" i="14"/>
  <c r="AR13" i="14"/>
  <c r="AS13" i="14"/>
  <c r="AT13" i="14"/>
  <c r="AU13" i="14"/>
  <c r="AW13" i="14"/>
  <c r="AX13" i="14"/>
  <c r="BU13" i="14"/>
  <c r="BV13" i="14"/>
  <c r="BW13" i="14"/>
  <c r="BX13" i="14"/>
  <c r="BY13" i="14"/>
  <c r="CA13" i="14"/>
  <c r="CB13" i="14"/>
  <c r="CY13" i="14"/>
  <c r="CZ13" i="14"/>
  <c r="DA13" i="14"/>
  <c r="DB13" i="14"/>
  <c r="DC13" i="14"/>
  <c r="DE13" i="14"/>
  <c r="DF13" i="14"/>
  <c r="EA13" i="14"/>
  <c r="EB13" i="14"/>
  <c r="EC13" i="14"/>
  <c r="EE13" i="14"/>
  <c r="EF13" i="14"/>
  <c r="EW13" i="14"/>
  <c r="EX13" i="14"/>
  <c r="EY13" i="14"/>
  <c r="FA13" i="14"/>
  <c r="FB13" i="14"/>
  <c r="FS13" i="14"/>
  <c r="FT13" i="14"/>
  <c r="FU13" i="14"/>
  <c r="FW13" i="14"/>
  <c r="FX13" i="14"/>
  <c r="GO13" i="14"/>
  <c r="GP13" i="14"/>
  <c r="GQ13" i="14"/>
  <c r="GS13" i="14"/>
  <c r="GT13" i="14"/>
  <c r="HK13" i="14"/>
  <c r="HL13" i="14"/>
  <c r="HM13" i="14"/>
  <c r="HO13" i="14"/>
  <c r="HP13" i="14"/>
  <c r="IG13" i="14"/>
  <c r="IH13" i="14"/>
  <c r="II13" i="14"/>
  <c r="IK13" i="14"/>
  <c r="IL13" i="14"/>
  <c r="JC13" i="14"/>
  <c r="JD13" i="14"/>
  <c r="JE13" i="14"/>
  <c r="JG13" i="14"/>
  <c r="JH13" i="14"/>
  <c r="JY13" i="14"/>
  <c r="JZ13" i="14"/>
  <c r="KA13" i="14"/>
  <c r="KC13" i="14"/>
  <c r="KD13" i="14"/>
  <c r="KU13" i="14"/>
  <c r="KV13" i="14"/>
  <c r="KW13" i="14"/>
  <c r="KY13" i="14"/>
  <c r="KZ13" i="14"/>
  <c r="LQ13" i="14"/>
  <c r="LR13" i="14"/>
  <c r="LS13" i="14"/>
  <c r="LU13" i="14"/>
  <c r="LV13" i="14"/>
  <c r="MM13" i="14"/>
  <c r="MN13" i="14"/>
  <c r="MO13" i="14"/>
  <c r="MQ13" i="14"/>
  <c r="MR13" i="14"/>
  <c r="NI13" i="14"/>
  <c r="NJ13" i="14"/>
  <c r="NK13" i="14"/>
  <c r="NM13" i="14"/>
  <c r="NN13" i="14"/>
  <c r="NP13" i="14"/>
  <c r="NQ13" i="14"/>
  <c r="NR13" i="14"/>
  <c r="NS13" i="14"/>
  <c r="NT13" i="14"/>
  <c r="NU13" i="14"/>
  <c r="NV13" i="14"/>
  <c r="NW13" i="14"/>
  <c r="OL13" i="14" s="1"/>
  <c r="NX13" i="14"/>
  <c r="NY13" i="14"/>
  <c r="NZ13" i="14"/>
  <c r="OA13" i="14"/>
  <c r="OB13" i="14"/>
  <c r="OC13" i="14"/>
  <c r="OD13" i="14"/>
  <c r="OE13" i="14"/>
  <c r="OF13" i="14"/>
  <c r="OG13" i="14"/>
  <c r="OQ13" i="14" s="1"/>
  <c r="OH13" i="14"/>
  <c r="OI13" i="14"/>
  <c r="ON13" i="14"/>
  <c r="AQ14" i="14"/>
  <c r="AR14" i="14"/>
  <c r="AS14" i="14"/>
  <c r="AT14" i="14"/>
  <c r="AU14" i="14"/>
  <c r="AW14" i="14"/>
  <c r="AX14" i="14"/>
  <c r="BU14" i="14"/>
  <c r="BV14" i="14"/>
  <c r="BW14" i="14"/>
  <c r="BX14" i="14"/>
  <c r="BY14" i="14"/>
  <c r="CA14" i="14"/>
  <c r="CB14" i="14"/>
  <c r="CY14" i="14"/>
  <c r="CZ14" i="14"/>
  <c r="DA14" i="14"/>
  <c r="DB14" i="14"/>
  <c r="DC14" i="14"/>
  <c r="DE14" i="14"/>
  <c r="DF14" i="14"/>
  <c r="EA14" i="14"/>
  <c r="EB14" i="14"/>
  <c r="EC14" i="14"/>
  <c r="EE14" i="14"/>
  <c r="EF14" i="14"/>
  <c r="EW14" i="14"/>
  <c r="EX14" i="14"/>
  <c r="EY14" i="14"/>
  <c r="FA14" i="14"/>
  <c r="FB14" i="14"/>
  <c r="FS14" i="14"/>
  <c r="FT14" i="14"/>
  <c r="FU14" i="14"/>
  <c r="FW14" i="14"/>
  <c r="FX14" i="14"/>
  <c r="GO14" i="14"/>
  <c r="GP14" i="14"/>
  <c r="GQ14" i="14"/>
  <c r="GS14" i="14"/>
  <c r="GT14" i="14"/>
  <c r="HK14" i="14"/>
  <c r="HL14" i="14"/>
  <c r="HM14" i="14"/>
  <c r="HO14" i="14"/>
  <c r="HP14" i="14"/>
  <c r="IG14" i="14"/>
  <c r="IH14" i="14"/>
  <c r="II14" i="14"/>
  <c r="IK14" i="14"/>
  <c r="IL14" i="14"/>
  <c r="JC14" i="14"/>
  <c r="JD14" i="14"/>
  <c r="JE14" i="14"/>
  <c r="JG14" i="14"/>
  <c r="JH14" i="14"/>
  <c r="JY14" i="14"/>
  <c r="JZ14" i="14"/>
  <c r="KA14" i="14"/>
  <c r="KC14" i="14"/>
  <c r="KD14" i="14"/>
  <c r="KU14" i="14"/>
  <c r="KV14" i="14"/>
  <c r="KW14" i="14"/>
  <c r="KY14" i="14"/>
  <c r="KZ14" i="14"/>
  <c r="LQ14" i="14"/>
  <c r="LR14" i="14"/>
  <c r="LS14" i="14"/>
  <c r="LU14" i="14"/>
  <c r="LV14" i="14"/>
  <c r="MM14" i="14"/>
  <c r="MN14" i="14"/>
  <c r="MO14" i="14"/>
  <c r="MQ14" i="14"/>
  <c r="MR14" i="14"/>
  <c r="NI14" i="14"/>
  <c r="NJ14" i="14"/>
  <c r="NK14" i="14"/>
  <c r="NM14" i="14"/>
  <c r="NN14" i="14"/>
  <c r="NP14" i="14"/>
  <c r="NQ14" i="14"/>
  <c r="NR14" i="14"/>
  <c r="NS14" i="14"/>
  <c r="NT14" i="14"/>
  <c r="NU14" i="14"/>
  <c r="NV14" i="14"/>
  <c r="NW14" i="14"/>
  <c r="OL14" i="14" s="1"/>
  <c r="NX14" i="14"/>
  <c r="NY14" i="14"/>
  <c r="NZ14" i="14"/>
  <c r="OA14" i="14"/>
  <c r="OB14" i="14"/>
  <c r="ON14" i="14" s="1"/>
  <c r="OC14" i="14"/>
  <c r="OD14" i="14"/>
  <c r="OE14" i="14"/>
  <c r="OF14" i="14"/>
  <c r="OG14" i="14"/>
  <c r="OQ14" i="14" s="1"/>
  <c r="OH14" i="14"/>
  <c r="OI14" i="14"/>
  <c r="AQ15" i="14"/>
  <c r="AR15" i="14"/>
  <c r="AS15" i="14"/>
  <c r="AT15" i="14"/>
  <c r="AU15" i="14"/>
  <c r="AW15" i="14"/>
  <c r="AX15" i="14"/>
  <c r="BU15" i="14"/>
  <c r="BV15" i="14"/>
  <c r="BW15" i="14"/>
  <c r="BX15" i="14"/>
  <c r="BY15" i="14"/>
  <c r="CA15" i="14"/>
  <c r="CB15" i="14"/>
  <c r="CY15" i="14"/>
  <c r="CZ15" i="14"/>
  <c r="DA15" i="14"/>
  <c r="DB15" i="14"/>
  <c r="DC15" i="14"/>
  <c r="DE15" i="14"/>
  <c r="DF15" i="14"/>
  <c r="EA15" i="14"/>
  <c r="EB15" i="14"/>
  <c r="EC15" i="14"/>
  <c r="EE15" i="14"/>
  <c r="EF15" i="14"/>
  <c r="EW15" i="14"/>
  <c r="EX15" i="14"/>
  <c r="EY15" i="14"/>
  <c r="FA15" i="14"/>
  <c r="FB15" i="14"/>
  <c r="FS15" i="14"/>
  <c r="FT15" i="14"/>
  <c r="FU15" i="14"/>
  <c r="FW15" i="14"/>
  <c r="FX15" i="14"/>
  <c r="GO15" i="14"/>
  <c r="GP15" i="14"/>
  <c r="GQ15" i="14"/>
  <c r="GS15" i="14"/>
  <c r="GT15" i="14"/>
  <c r="HK15" i="14"/>
  <c r="HL15" i="14"/>
  <c r="HM15" i="14"/>
  <c r="HO15" i="14"/>
  <c r="HP15" i="14"/>
  <c r="IG15" i="14"/>
  <c r="IH15" i="14"/>
  <c r="II15" i="14"/>
  <c r="IK15" i="14"/>
  <c r="IL15" i="14"/>
  <c r="JC15" i="14"/>
  <c r="JD15" i="14"/>
  <c r="JE15" i="14"/>
  <c r="JG15" i="14"/>
  <c r="JH15" i="14"/>
  <c r="JY15" i="14"/>
  <c r="JZ15" i="14"/>
  <c r="KA15" i="14"/>
  <c r="KC15" i="14"/>
  <c r="KD15" i="14"/>
  <c r="KU15" i="14"/>
  <c r="KV15" i="14"/>
  <c r="KW15" i="14"/>
  <c r="KY15" i="14"/>
  <c r="KZ15" i="14"/>
  <c r="LQ15" i="14"/>
  <c r="LR15" i="14"/>
  <c r="LS15" i="14"/>
  <c r="LU15" i="14"/>
  <c r="LV15" i="14"/>
  <c r="MM15" i="14"/>
  <c r="MN15" i="14"/>
  <c r="MO15" i="14"/>
  <c r="MQ15" i="14"/>
  <c r="MR15" i="14"/>
  <c r="NI15" i="14"/>
  <c r="NJ15" i="14"/>
  <c r="NK15" i="14"/>
  <c r="NM15" i="14"/>
  <c r="NN15" i="14"/>
  <c r="NP15" i="14"/>
  <c r="NQ15" i="14"/>
  <c r="NR15" i="14"/>
  <c r="NS15" i="14"/>
  <c r="NT15" i="14"/>
  <c r="NU15" i="14"/>
  <c r="NV15" i="14"/>
  <c r="NW15" i="14"/>
  <c r="OL15" i="14" s="1"/>
  <c r="NX15" i="14"/>
  <c r="NY15" i="14"/>
  <c r="NZ15" i="14"/>
  <c r="OA15" i="14"/>
  <c r="OB15" i="14"/>
  <c r="ON15" i="14" s="1"/>
  <c r="OC15" i="14"/>
  <c r="OD15" i="14"/>
  <c r="OE15" i="14"/>
  <c r="OF15" i="14"/>
  <c r="OG15" i="14"/>
  <c r="OQ15" i="14" s="1"/>
  <c r="OH15" i="14"/>
  <c r="OI15" i="14"/>
  <c r="AQ18" i="14"/>
  <c r="AR18" i="14"/>
  <c r="AS18" i="14"/>
  <c r="AT18" i="14"/>
  <c r="AU18" i="14"/>
  <c r="AW18" i="14"/>
  <c r="AX18" i="14"/>
  <c r="BU18" i="14"/>
  <c r="BV18" i="14"/>
  <c r="BW18" i="14"/>
  <c r="BX18" i="14"/>
  <c r="BY18" i="14"/>
  <c r="CA18" i="14"/>
  <c r="CB18" i="14"/>
  <c r="CY18" i="14"/>
  <c r="CZ18" i="14"/>
  <c r="DA18" i="14"/>
  <c r="DB18" i="14"/>
  <c r="DC18" i="14"/>
  <c r="DE18" i="14"/>
  <c r="DF18" i="14"/>
  <c r="EA18" i="14"/>
  <c r="EB18" i="14"/>
  <c r="EC18" i="14"/>
  <c r="EE18" i="14"/>
  <c r="EF18" i="14"/>
  <c r="EW18" i="14"/>
  <c r="EX18" i="14"/>
  <c r="EY18" i="14"/>
  <c r="FA18" i="14"/>
  <c r="FB18" i="14"/>
  <c r="FS18" i="14"/>
  <c r="FT18" i="14"/>
  <c r="FU18" i="14"/>
  <c r="FW18" i="14"/>
  <c r="FX18" i="14"/>
  <c r="GO18" i="14"/>
  <c r="GP18" i="14"/>
  <c r="GQ18" i="14"/>
  <c r="GS18" i="14"/>
  <c r="GT18" i="14"/>
  <c r="HK18" i="14"/>
  <c r="HL18" i="14"/>
  <c r="HM18" i="14"/>
  <c r="HO18" i="14"/>
  <c r="HP18" i="14"/>
  <c r="IG18" i="14"/>
  <c r="IH18" i="14"/>
  <c r="II18" i="14"/>
  <c r="IK18" i="14"/>
  <c r="IL18" i="14"/>
  <c r="JC18" i="14"/>
  <c r="JD18" i="14"/>
  <c r="JE18" i="14"/>
  <c r="JG18" i="14"/>
  <c r="JH18" i="14"/>
  <c r="JY18" i="14"/>
  <c r="JZ18" i="14"/>
  <c r="KA18" i="14"/>
  <c r="KC18" i="14"/>
  <c r="KD18" i="14"/>
  <c r="KU18" i="14"/>
  <c r="KV18" i="14"/>
  <c r="KW18" i="14"/>
  <c r="KY18" i="14"/>
  <c r="KZ18" i="14"/>
  <c r="LQ18" i="14"/>
  <c r="LR18" i="14"/>
  <c r="LS18" i="14"/>
  <c r="LU18" i="14"/>
  <c r="LV18" i="14"/>
  <c r="MM18" i="14"/>
  <c r="MN18" i="14"/>
  <c r="MO18" i="14"/>
  <c r="MQ18" i="14"/>
  <c r="MR18" i="14"/>
  <c r="NI18" i="14"/>
  <c r="NJ18" i="14"/>
  <c r="NK18" i="14"/>
  <c r="NM18" i="14"/>
  <c r="NN18" i="14"/>
  <c r="NP18" i="14"/>
  <c r="NQ18" i="14"/>
  <c r="NR18" i="14"/>
  <c r="NS18" i="14"/>
  <c r="NT18" i="14"/>
  <c r="NU18" i="14"/>
  <c r="NV18" i="14"/>
  <c r="NW18" i="14"/>
  <c r="OL18" i="14" s="1"/>
  <c r="NX18" i="14"/>
  <c r="NY18" i="14"/>
  <c r="NZ18" i="14"/>
  <c r="OA18" i="14"/>
  <c r="OB18" i="14"/>
  <c r="ON18" i="14" s="1"/>
  <c r="OC18" i="14"/>
  <c r="OD18" i="14"/>
  <c r="OE18" i="14"/>
  <c r="OF18" i="14"/>
  <c r="OG18" i="14"/>
  <c r="OQ18" i="14" s="1"/>
  <c r="OH18" i="14"/>
  <c r="OI18" i="14"/>
  <c r="AQ4" i="14"/>
  <c r="AR4" i="14"/>
  <c r="AS4" i="14"/>
  <c r="AT4" i="14"/>
  <c r="AU4" i="14"/>
  <c r="AW4" i="14"/>
  <c r="AX4" i="14"/>
  <c r="BU4" i="14"/>
  <c r="BV4" i="14"/>
  <c r="BW4" i="14"/>
  <c r="BX4" i="14"/>
  <c r="BY4" i="14"/>
  <c r="CA4" i="14"/>
  <c r="CB4" i="14"/>
  <c r="CY4" i="14"/>
  <c r="CZ4" i="14"/>
  <c r="DA4" i="14"/>
  <c r="DB4" i="14"/>
  <c r="DC4" i="14"/>
  <c r="DE4" i="14"/>
  <c r="DF4" i="14"/>
  <c r="EA4" i="14"/>
  <c r="EB4" i="14"/>
  <c r="EC4" i="14"/>
  <c r="EE4" i="14"/>
  <c r="EF4" i="14"/>
  <c r="EW4" i="14"/>
  <c r="EX4" i="14"/>
  <c r="EY4" i="14"/>
  <c r="FA4" i="14"/>
  <c r="FB4" i="14"/>
  <c r="FS4" i="14"/>
  <c r="FT4" i="14"/>
  <c r="FU4" i="14"/>
  <c r="FW4" i="14"/>
  <c r="FX4" i="14"/>
  <c r="GO4" i="14"/>
  <c r="GP4" i="14"/>
  <c r="GQ4" i="14"/>
  <c r="GS4" i="14"/>
  <c r="GT4" i="14"/>
  <c r="HK4" i="14"/>
  <c r="HL4" i="14"/>
  <c r="HM4" i="14"/>
  <c r="HO4" i="14"/>
  <c r="HP4" i="14"/>
  <c r="IG4" i="14"/>
  <c r="IH4" i="14"/>
  <c r="II4" i="14"/>
  <c r="IK4" i="14"/>
  <c r="IL4" i="14"/>
  <c r="JC4" i="14"/>
  <c r="JD4" i="14"/>
  <c r="JE4" i="14"/>
  <c r="JG4" i="14"/>
  <c r="JH4" i="14"/>
  <c r="JY4" i="14"/>
  <c r="JZ4" i="14"/>
  <c r="KA4" i="14"/>
  <c r="KC4" i="14"/>
  <c r="KD4" i="14"/>
  <c r="KU4" i="14"/>
  <c r="KV4" i="14"/>
  <c r="KW4" i="14"/>
  <c r="KY4" i="14"/>
  <c r="KZ4" i="14"/>
  <c r="LQ4" i="14"/>
  <c r="LR4" i="14"/>
  <c r="LS4" i="14"/>
  <c r="LU4" i="14"/>
  <c r="LV4" i="14"/>
  <c r="MM4" i="14"/>
  <c r="MN4" i="14"/>
  <c r="MO4" i="14"/>
  <c r="MQ4" i="14"/>
  <c r="MR4" i="14"/>
  <c r="NI4" i="14"/>
  <c r="NJ4" i="14"/>
  <c r="NK4" i="14"/>
  <c r="NM4" i="14"/>
  <c r="NN4" i="14"/>
  <c r="NP4" i="14"/>
  <c r="NQ4" i="14"/>
  <c r="NR4" i="14"/>
  <c r="NS4" i="14"/>
  <c r="NT4" i="14"/>
  <c r="NU4" i="14"/>
  <c r="NV4" i="14"/>
  <c r="NW4" i="14"/>
  <c r="OL4" i="14" s="1"/>
  <c r="NX4" i="14"/>
  <c r="NY4" i="14"/>
  <c r="NZ4" i="14"/>
  <c r="OA4" i="14"/>
  <c r="OB4" i="14"/>
  <c r="OC4" i="14"/>
  <c r="OD4" i="14"/>
  <c r="OE4" i="14"/>
  <c r="OF4" i="14"/>
  <c r="OG4" i="14"/>
  <c r="OQ4" i="14" s="1"/>
  <c r="OH4" i="14"/>
  <c r="OI4" i="14"/>
  <c r="ON4" i="14"/>
  <c r="AQ19" i="14"/>
  <c r="AR19" i="14"/>
  <c r="AS19" i="14"/>
  <c r="AT19" i="14"/>
  <c r="AU19" i="14"/>
  <c r="AW19" i="14"/>
  <c r="AX19" i="14"/>
  <c r="BU19" i="14"/>
  <c r="BV19" i="14"/>
  <c r="BW19" i="14"/>
  <c r="BX19" i="14"/>
  <c r="BY19" i="14"/>
  <c r="CA19" i="14"/>
  <c r="CB19" i="14"/>
  <c r="CY19" i="14"/>
  <c r="CZ19" i="14"/>
  <c r="DA19" i="14"/>
  <c r="DB19" i="14"/>
  <c r="DC19" i="14"/>
  <c r="DE19" i="14"/>
  <c r="DF19" i="14"/>
  <c r="EA19" i="14"/>
  <c r="EB19" i="14"/>
  <c r="EC19" i="14"/>
  <c r="EE19" i="14"/>
  <c r="EF19" i="14"/>
  <c r="EW19" i="14"/>
  <c r="EX19" i="14"/>
  <c r="EY19" i="14"/>
  <c r="FA19" i="14"/>
  <c r="FB19" i="14"/>
  <c r="FS19" i="14"/>
  <c r="FT19" i="14"/>
  <c r="FU19" i="14"/>
  <c r="FW19" i="14"/>
  <c r="FX19" i="14"/>
  <c r="GO19" i="14"/>
  <c r="GP19" i="14"/>
  <c r="GQ19" i="14"/>
  <c r="GS19" i="14"/>
  <c r="GT19" i="14"/>
  <c r="HK19" i="14"/>
  <c r="HL19" i="14"/>
  <c r="HM19" i="14"/>
  <c r="HO19" i="14"/>
  <c r="HP19" i="14"/>
  <c r="IG19" i="14"/>
  <c r="IH19" i="14"/>
  <c r="II19" i="14"/>
  <c r="IK19" i="14"/>
  <c r="IL19" i="14"/>
  <c r="JC19" i="14"/>
  <c r="JD19" i="14"/>
  <c r="JE19" i="14"/>
  <c r="JG19" i="14"/>
  <c r="JH19" i="14"/>
  <c r="JY19" i="14"/>
  <c r="JZ19" i="14"/>
  <c r="KA19" i="14"/>
  <c r="KC19" i="14"/>
  <c r="KD19" i="14"/>
  <c r="KU19" i="14"/>
  <c r="KV19" i="14"/>
  <c r="KW19" i="14"/>
  <c r="KY19" i="14"/>
  <c r="KZ19" i="14"/>
  <c r="LQ19" i="14"/>
  <c r="LR19" i="14"/>
  <c r="LS19" i="14"/>
  <c r="LU19" i="14"/>
  <c r="LV19" i="14"/>
  <c r="MM19" i="14"/>
  <c r="MN19" i="14"/>
  <c r="MO19" i="14"/>
  <c r="MQ19" i="14"/>
  <c r="MR19" i="14"/>
  <c r="NI19" i="14"/>
  <c r="NJ19" i="14"/>
  <c r="NK19" i="14"/>
  <c r="NM19" i="14"/>
  <c r="NN19" i="14"/>
  <c r="NP19" i="14"/>
  <c r="NQ19" i="14"/>
  <c r="NR19" i="14"/>
  <c r="NS19" i="14"/>
  <c r="NT19" i="14"/>
  <c r="NU19" i="14"/>
  <c r="NV19" i="14"/>
  <c r="NW19" i="14"/>
  <c r="OL19" i="14" s="1"/>
  <c r="NX19" i="14"/>
  <c r="NY19" i="14"/>
  <c r="NZ19" i="14"/>
  <c r="OA19" i="14"/>
  <c r="OB19" i="14"/>
  <c r="ON19" i="14" s="1"/>
  <c r="OC19" i="14"/>
  <c r="OD19" i="14"/>
  <c r="OE19" i="14"/>
  <c r="OF19" i="14"/>
  <c r="OG19" i="14"/>
  <c r="OQ19" i="14" s="1"/>
  <c r="OH19" i="14"/>
  <c r="OI19" i="14"/>
  <c r="AQ14" i="4"/>
  <c r="AR14" i="4"/>
  <c r="AS14" i="4"/>
  <c r="AT14" i="4"/>
  <c r="AU14" i="4"/>
  <c r="AW14" i="4"/>
  <c r="AX14" i="4"/>
  <c r="BU14" i="4"/>
  <c r="BV14" i="4"/>
  <c r="BW14" i="4"/>
  <c r="BX14" i="4"/>
  <c r="BY14" i="4"/>
  <c r="CA14" i="4"/>
  <c r="CB14" i="4"/>
  <c r="CY14" i="4"/>
  <c r="CZ14" i="4"/>
  <c r="DA14" i="4"/>
  <c r="DB14" i="4"/>
  <c r="DC14" i="4"/>
  <c r="DE14" i="4"/>
  <c r="DF14" i="4"/>
  <c r="NI14" i="4"/>
  <c r="NJ14" i="4"/>
  <c r="NK14" i="4"/>
  <c r="NM14" i="4"/>
  <c r="NN14" i="4"/>
  <c r="NP14" i="4"/>
  <c r="NQ14" i="4"/>
  <c r="NR14" i="4"/>
  <c r="NS14" i="4"/>
  <c r="NT14" i="4"/>
  <c r="NU14" i="4"/>
  <c r="NV14" i="4"/>
  <c r="NW14" i="4"/>
  <c r="OL14" i="4" s="1"/>
  <c r="NX14" i="4"/>
  <c r="NY14" i="4"/>
  <c r="NZ14" i="4"/>
  <c r="OA14" i="4"/>
  <c r="OB14" i="4"/>
  <c r="ON14" i="4" s="1"/>
  <c r="OC14" i="4"/>
  <c r="OD14" i="4"/>
  <c r="OE14" i="4"/>
  <c r="OF14" i="4"/>
  <c r="OG14" i="4"/>
  <c r="OQ14" i="4" s="1"/>
  <c r="OH14" i="4"/>
  <c r="OI14" i="4"/>
  <c r="AQ16" i="4"/>
  <c r="AR16" i="4"/>
  <c r="AS16" i="4"/>
  <c r="AT16" i="4"/>
  <c r="AU16" i="4"/>
  <c r="AW16" i="4"/>
  <c r="AX16" i="4"/>
  <c r="BU16" i="4"/>
  <c r="BV16" i="4"/>
  <c r="BW16" i="4"/>
  <c r="BX16" i="4"/>
  <c r="BY16" i="4"/>
  <c r="CA16" i="4"/>
  <c r="CB16" i="4"/>
  <c r="CY16" i="4"/>
  <c r="CZ16" i="4"/>
  <c r="DA16" i="4"/>
  <c r="DB16" i="4"/>
  <c r="DC16" i="4"/>
  <c r="DE16" i="4"/>
  <c r="DF16" i="4"/>
  <c r="NI16" i="4"/>
  <c r="NJ16" i="4"/>
  <c r="NK16" i="4"/>
  <c r="NM16" i="4"/>
  <c r="NN16" i="4"/>
  <c r="NP16" i="4"/>
  <c r="NQ16" i="4"/>
  <c r="NR16" i="4"/>
  <c r="NS16" i="4"/>
  <c r="NT16" i="4"/>
  <c r="NU16" i="4"/>
  <c r="NV16" i="4"/>
  <c r="NW16" i="4"/>
  <c r="OL16" i="4" s="1"/>
  <c r="NX16" i="4"/>
  <c r="NY16" i="4"/>
  <c r="NZ16" i="4"/>
  <c r="OA16" i="4"/>
  <c r="OB16" i="4"/>
  <c r="ON16" i="4" s="1"/>
  <c r="OC16" i="4"/>
  <c r="OD16" i="4"/>
  <c r="OE16" i="4"/>
  <c r="OF16" i="4"/>
  <c r="OG16" i="4"/>
  <c r="OQ16" i="4" s="1"/>
  <c r="OH16" i="4"/>
  <c r="OI16" i="4"/>
  <c r="AQ18" i="4"/>
  <c r="AR18" i="4"/>
  <c r="AS18" i="4"/>
  <c r="AT18" i="4"/>
  <c r="AU18" i="4"/>
  <c r="AW18" i="4"/>
  <c r="AX18" i="4"/>
  <c r="BU18" i="4"/>
  <c r="BV18" i="4"/>
  <c r="BW18" i="4"/>
  <c r="BX18" i="4"/>
  <c r="BY18" i="4"/>
  <c r="CA18" i="4"/>
  <c r="CB18" i="4"/>
  <c r="CY18" i="4"/>
  <c r="CZ18" i="4"/>
  <c r="DA18" i="4"/>
  <c r="DB18" i="4"/>
  <c r="DC18" i="4"/>
  <c r="DE18" i="4"/>
  <c r="DF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C18" i="4"/>
  <c r="OD18" i="4"/>
  <c r="OE18" i="4"/>
  <c r="OF18" i="4"/>
  <c r="OG18" i="4"/>
  <c r="OQ18" i="4" s="1"/>
  <c r="OH18" i="4"/>
  <c r="OI18" i="4"/>
  <c r="ON18" i="4"/>
  <c r="OI17" i="14"/>
  <c r="OH17" i="14"/>
  <c r="OG17" i="14"/>
  <c r="OQ17" i="14" s="1"/>
  <c r="OF17" i="14"/>
  <c r="OE17" i="14"/>
  <c r="OD17" i="14"/>
  <c r="OC17" i="14"/>
  <c r="OB17" i="14"/>
  <c r="ON17" i="14" s="1"/>
  <c r="OA17" i="14"/>
  <c r="NZ17" i="14"/>
  <c r="NY17" i="14"/>
  <c r="NX17" i="14"/>
  <c r="NW17" i="14"/>
  <c r="OL17" i="14" s="1"/>
  <c r="NV17" i="14"/>
  <c r="NU17" i="14"/>
  <c r="NT17" i="14"/>
  <c r="NS17" i="14"/>
  <c r="NR17" i="14"/>
  <c r="NQ17" i="14"/>
  <c r="NP17" i="14"/>
  <c r="NN17" i="14"/>
  <c r="NM17" i="14"/>
  <c r="NK17" i="14"/>
  <c r="NJ17" i="14"/>
  <c r="NI17" i="14"/>
  <c r="MR17" i="14"/>
  <c r="MQ17" i="14"/>
  <c r="MO17" i="14"/>
  <c r="MN17" i="14"/>
  <c r="MM17" i="14"/>
  <c r="LV17" i="14"/>
  <c r="LU17" i="14"/>
  <c r="LS17" i="14"/>
  <c r="LR17" i="14"/>
  <c r="LQ17" i="14"/>
  <c r="KZ17" i="14"/>
  <c r="KY17" i="14"/>
  <c r="KW17" i="14"/>
  <c r="KV17" i="14"/>
  <c r="KU17" i="14"/>
  <c r="KD17" i="14"/>
  <c r="KC17" i="14"/>
  <c r="KA17" i="14"/>
  <c r="JZ17" i="14"/>
  <c r="JY17" i="14"/>
  <c r="JH17" i="14"/>
  <c r="JG17" i="14"/>
  <c r="JE17" i="14"/>
  <c r="JD17" i="14"/>
  <c r="JC17" i="14"/>
  <c r="IL17" i="14"/>
  <c r="IK17" i="14"/>
  <c r="II17" i="14"/>
  <c r="IH17" i="14"/>
  <c r="IG17" i="14"/>
  <c r="HP17" i="14"/>
  <c r="HO17" i="14"/>
  <c r="HM17" i="14"/>
  <c r="HL17" i="14"/>
  <c r="HK17" i="14"/>
  <c r="GT17" i="14"/>
  <c r="GS17" i="14"/>
  <c r="GQ17" i="14"/>
  <c r="GP17" i="14"/>
  <c r="GO17" i="14"/>
  <c r="FX17" i="14"/>
  <c r="FW17" i="14"/>
  <c r="FU17" i="14"/>
  <c r="FT17" i="14"/>
  <c r="FS17" i="14"/>
  <c r="FB17" i="14"/>
  <c r="FA17" i="14"/>
  <c r="EY17" i="14"/>
  <c r="EX17" i="14"/>
  <c r="EW17" i="14"/>
  <c r="EF17" i="14"/>
  <c r="EE17" i="14"/>
  <c r="EC17" i="14"/>
  <c r="EB17" i="14"/>
  <c r="EA17" i="14"/>
  <c r="DF17" i="14"/>
  <c r="DE17" i="14"/>
  <c r="DC17" i="14"/>
  <c r="DB17" i="14"/>
  <c r="DA17" i="14"/>
  <c r="CZ17" i="14"/>
  <c r="CY17" i="14"/>
  <c r="CB17" i="14"/>
  <c r="CA17" i="14"/>
  <c r="BY17" i="14"/>
  <c r="BX17" i="14"/>
  <c r="BW17" i="14"/>
  <c r="BV17" i="14"/>
  <c r="BU17" i="14"/>
  <c r="AX17" i="14"/>
  <c r="AW17" i="14"/>
  <c r="AU17" i="14"/>
  <c r="AT17" i="14"/>
  <c r="AS17" i="14"/>
  <c r="AR17" i="14"/>
  <c r="AQ17" i="14"/>
  <c r="OI9" i="14"/>
  <c r="OH9" i="14"/>
  <c r="OG9" i="14"/>
  <c r="OQ9" i="14" s="1"/>
  <c r="OF9" i="14"/>
  <c r="OE9" i="14"/>
  <c r="OD9" i="14"/>
  <c r="OC9" i="14"/>
  <c r="OB9" i="14"/>
  <c r="ON9" i="14" s="1"/>
  <c r="OA9" i="14"/>
  <c r="NZ9" i="14"/>
  <c r="NY9" i="14"/>
  <c r="NX9" i="14"/>
  <c r="NW9" i="14"/>
  <c r="OL9" i="14" s="1"/>
  <c r="NV9" i="14"/>
  <c r="NU9" i="14"/>
  <c r="NT9" i="14"/>
  <c r="NS9" i="14"/>
  <c r="NR9" i="14"/>
  <c r="NQ9" i="14"/>
  <c r="NP9" i="14"/>
  <c r="NN9" i="14"/>
  <c r="NM9" i="14"/>
  <c r="NK9" i="14"/>
  <c r="NJ9" i="14"/>
  <c r="NI9" i="14"/>
  <c r="MR9" i="14"/>
  <c r="MQ9" i="14"/>
  <c r="MO9" i="14"/>
  <c r="MN9" i="14"/>
  <c r="MM9" i="14"/>
  <c r="LV9" i="14"/>
  <c r="LU9" i="14"/>
  <c r="LS9" i="14"/>
  <c r="LR9" i="14"/>
  <c r="LQ9" i="14"/>
  <c r="KZ9" i="14"/>
  <c r="KY9" i="14"/>
  <c r="KW9" i="14"/>
  <c r="KV9" i="14"/>
  <c r="KU9" i="14"/>
  <c r="KD9" i="14"/>
  <c r="KC9" i="14"/>
  <c r="KA9" i="14"/>
  <c r="JZ9" i="14"/>
  <c r="JY9" i="14"/>
  <c r="JH9" i="14"/>
  <c r="JG9" i="14"/>
  <c r="JE9" i="14"/>
  <c r="JD9" i="14"/>
  <c r="JC9" i="14"/>
  <c r="IL9" i="14"/>
  <c r="IK9" i="14"/>
  <c r="II9" i="14"/>
  <c r="IH9" i="14"/>
  <c r="IG9" i="14"/>
  <c r="HP9" i="14"/>
  <c r="HO9" i="14"/>
  <c r="HM9" i="14"/>
  <c r="HL9" i="14"/>
  <c r="HK9" i="14"/>
  <c r="GT9" i="14"/>
  <c r="GS9" i="14"/>
  <c r="GQ9" i="14"/>
  <c r="GP9" i="14"/>
  <c r="GO9" i="14"/>
  <c r="FX9" i="14"/>
  <c r="FW9" i="14"/>
  <c r="FU9" i="14"/>
  <c r="FT9" i="14"/>
  <c r="FS9" i="14"/>
  <c r="FB9" i="14"/>
  <c r="FA9" i="14"/>
  <c r="EY9" i="14"/>
  <c r="EX9" i="14"/>
  <c r="EW9" i="14"/>
  <c r="EF9" i="14"/>
  <c r="EE9" i="14"/>
  <c r="EC9" i="14"/>
  <c r="EB9" i="14"/>
  <c r="EA9" i="14"/>
  <c r="DF9" i="14"/>
  <c r="DE9" i="14"/>
  <c r="DC9" i="14"/>
  <c r="DB9" i="14"/>
  <c r="DA9" i="14"/>
  <c r="CZ9" i="14"/>
  <c r="CY9" i="14"/>
  <c r="CB9" i="14"/>
  <c r="CA9" i="14"/>
  <c r="BY9" i="14"/>
  <c r="BX9" i="14"/>
  <c r="BW9" i="14"/>
  <c r="BV9" i="14"/>
  <c r="BU9" i="14"/>
  <c r="AX9" i="14"/>
  <c r="AW9" i="14"/>
  <c r="AU9" i="14"/>
  <c r="AT9" i="14"/>
  <c r="AS9" i="14"/>
  <c r="AR9" i="14"/>
  <c r="AQ9" i="14"/>
  <c r="OI8" i="14"/>
  <c r="OH8" i="14"/>
  <c r="OG8" i="14"/>
  <c r="OQ8" i="14" s="1"/>
  <c r="OF8" i="14"/>
  <c r="OE8" i="14"/>
  <c r="OD8" i="14"/>
  <c r="OC8" i="14"/>
  <c r="OB8" i="14"/>
  <c r="ON8" i="14" s="1"/>
  <c r="OA8" i="14"/>
  <c r="NZ8" i="14"/>
  <c r="NY8" i="14"/>
  <c r="NX8" i="14"/>
  <c r="NW8" i="14"/>
  <c r="OL8" i="14" s="1"/>
  <c r="NV8" i="14"/>
  <c r="NU8" i="14"/>
  <c r="NT8" i="14"/>
  <c r="NS8" i="14"/>
  <c r="NR8" i="14"/>
  <c r="NQ8" i="14"/>
  <c r="NP8" i="14"/>
  <c r="NN8" i="14"/>
  <c r="NM8" i="14"/>
  <c r="NK8" i="14"/>
  <c r="NJ8" i="14"/>
  <c r="NI8" i="14"/>
  <c r="MR8" i="14"/>
  <c r="MQ8" i="14"/>
  <c r="MO8" i="14"/>
  <c r="MN8" i="14"/>
  <c r="MM8" i="14"/>
  <c r="LV8" i="14"/>
  <c r="LU8" i="14"/>
  <c r="LS8" i="14"/>
  <c r="LR8" i="14"/>
  <c r="LQ8" i="14"/>
  <c r="KZ8" i="14"/>
  <c r="KY8" i="14"/>
  <c r="KW8" i="14"/>
  <c r="KV8" i="14"/>
  <c r="KU8" i="14"/>
  <c r="KD8" i="14"/>
  <c r="KC8" i="14"/>
  <c r="KA8" i="14"/>
  <c r="JZ8" i="14"/>
  <c r="JY8" i="14"/>
  <c r="JH8" i="14"/>
  <c r="JG8" i="14"/>
  <c r="JE8" i="14"/>
  <c r="JD8" i="14"/>
  <c r="JC8" i="14"/>
  <c r="IL8" i="14"/>
  <c r="IK8" i="14"/>
  <c r="II8" i="14"/>
  <c r="IH8" i="14"/>
  <c r="IG8" i="14"/>
  <c r="HP8" i="14"/>
  <c r="HO8" i="14"/>
  <c r="HM8" i="14"/>
  <c r="HL8" i="14"/>
  <c r="HK8" i="14"/>
  <c r="GT8" i="14"/>
  <c r="GS8" i="14"/>
  <c r="GQ8" i="14"/>
  <c r="GP8" i="14"/>
  <c r="GO8" i="14"/>
  <c r="FX8" i="14"/>
  <c r="FW8" i="14"/>
  <c r="FU8" i="14"/>
  <c r="FT8" i="14"/>
  <c r="FS8" i="14"/>
  <c r="FB8" i="14"/>
  <c r="FA8" i="14"/>
  <c r="EY8" i="14"/>
  <c r="EX8" i="14"/>
  <c r="EW8" i="14"/>
  <c r="EF8" i="14"/>
  <c r="EE8" i="14"/>
  <c r="EC8" i="14"/>
  <c r="EB8" i="14"/>
  <c r="EA8" i="14"/>
  <c r="DF8" i="14"/>
  <c r="DE8" i="14"/>
  <c r="DC8" i="14"/>
  <c r="DB8" i="14"/>
  <c r="DA8" i="14"/>
  <c r="CZ8" i="14"/>
  <c r="CY8" i="14"/>
  <c r="CB8" i="14"/>
  <c r="CA8" i="14"/>
  <c r="BY8" i="14"/>
  <c r="BX8" i="14"/>
  <c r="BW8" i="14"/>
  <c r="BV8" i="14"/>
  <c r="BU8" i="14"/>
  <c r="AX8" i="14"/>
  <c r="AW8" i="14"/>
  <c r="AU8" i="14"/>
  <c r="AT8" i="14"/>
  <c r="AS8" i="14"/>
  <c r="AR8" i="14"/>
  <c r="AQ8" i="14"/>
  <c r="OI11" i="14"/>
  <c r="OH11" i="14"/>
  <c r="OG11" i="14"/>
  <c r="OQ11" i="14" s="1"/>
  <c r="OF11" i="14"/>
  <c r="OE11" i="14"/>
  <c r="OD11" i="14"/>
  <c r="OC11" i="14"/>
  <c r="OB11" i="14"/>
  <c r="ON11" i="14" s="1"/>
  <c r="OA11" i="14"/>
  <c r="NZ11" i="14"/>
  <c r="NY11" i="14"/>
  <c r="NX11" i="14"/>
  <c r="NW11" i="14"/>
  <c r="OL11" i="14" s="1"/>
  <c r="NV11" i="14"/>
  <c r="NU11" i="14"/>
  <c r="NT11" i="14"/>
  <c r="NS11" i="14"/>
  <c r="NR11" i="14"/>
  <c r="NQ11" i="14"/>
  <c r="NP11" i="14"/>
  <c r="NN11" i="14"/>
  <c r="NM11" i="14"/>
  <c r="NK11" i="14"/>
  <c r="NJ11" i="14"/>
  <c r="NI11" i="14"/>
  <c r="MR11" i="14"/>
  <c r="MQ11" i="14"/>
  <c r="MO11" i="14"/>
  <c r="MN11" i="14"/>
  <c r="MM11" i="14"/>
  <c r="LV11" i="14"/>
  <c r="LU11" i="14"/>
  <c r="LS11" i="14"/>
  <c r="LR11" i="14"/>
  <c r="LQ11" i="14"/>
  <c r="KZ11" i="14"/>
  <c r="KY11" i="14"/>
  <c r="KW11" i="14"/>
  <c r="KV11" i="14"/>
  <c r="KU11" i="14"/>
  <c r="KD11" i="14"/>
  <c r="KC11" i="14"/>
  <c r="KA11" i="14"/>
  <c r="JZ11" i="14"/>
  <c r="JY11" i="14"/>
  <c r="JH11" i="14"/>
  <c r="JG11" i="14"/>
  <c r="JE11" i="14"/>
  <c r="JD11" i="14"/>
  <c r="JC11" i="14"/>
  <c r="IL11" i="14"/>
  <c r="IK11" i="14"/>
  <c r="II11" i="14"/>
  <c r="IH11" i="14"/>
  <c r="IG11" i="14"/>
  <c r="HP11" i="14"/>
  <c r="HO11" i="14"/>
  <c r="HM11" i="14"/>
  <c r="HL11" i="14"/>
  <c r="HK11" i="14"/>
  <c r="GT11" i="14"/>
  <c r="GS11" i="14"/>
  <c r="GQ11" i="14"/>
  <c r="GP11" i="14"/>
  <c r="GO11" i="14"/>
  <c r="FX11" i="14"/>
  <c r="FW11" i="14"/>
  <c r="FU11" i="14"/>
  <c r="FT11" i="14"/>
  <c r="FS11" i="14"/>
  <c r="FB11" i="14"/>
  <c r="FA11" i="14"/>
  <c r="EY11" i="14"/>
  <c r="EX11" i="14"/>
  <c r="EW11" i="14"/>
  <c r="EF11" i="14"/>
  <c r="EE11" i="14"/>
  <c r="EC11" i="14"/>
  <c r="EB11" i="14"/>
  <c r="EA11" i="14"/>
  <c r="DF11" i="14"/>
  <c r="DE11" i="14"/>
  <c r="DC11" i="14"/>
  <c r="DB11" i="14"/>
  <c r="DA11" i="14"/>
  <c r="CZ11" i="14"/>
  <c r="CY11" i="14"/>
  <c r="CB11" i="14"/>
  <c r="CA11" i="14"/>
  <c r="BY11" i="14"/>
  <c r="BX11" i="14"/>
  <c r="BW11" i="14"/>
  <c r="BV11" i="14"/>
  <c r="BU11" i="14"/>
  <c r="AX11" i="14"/>
  <c r="AW11" i="14"/>
  <c r="AU11" i="14"/>
  <c r="AT11" i="14"/>
  <c r="AS11" i="14"/>
  <c r="AR11" i="14"/>
  <c r="AQ11" i="14"/>
  <c r="OI5" i="14"/>
  <c r="OH5" i="14"/>
  <c r="OG5" i="14"/>
  <c r="OQ5" i="14" s="1"/>
  <c r="OF5" i="14"/>
  <c r="OE5" i="14"/>
  <c r="OD5" i="14"/>
  <c r="OC5" i="14"/>
  <c r="OB5" i="14"/>
  <c r="ON5" i="14" s="1"/>
  <c r="OA5" i="14"/>
  <c r="NZ5" i="14"/>
  <c r="NY5" i="14"/>
  <c r="NX5" i="14"/>
  <c r="NW5" i="14"/>
  <c r="OL5" i="14" s="1"/>
  <c r="NV5" i="14"/>
  <c r="NU5" i="14"/>
  <c r="NT5" i="14"/>
  <c r="NS5" i="14"/>
  <c r="NR5" i="14"/>
  <c r="NQ5" i="14"/>
  <c r="NP5" i="14"/>
  <c r="NN5" i="14"/>
  <c r="NM5" i="14"/>
  <c r="NK5" i="14"/>
  <c r="NJ5" i="14"/>
  <c r="NI5" i="14"/>
  <c r="MR5" i="14"/>
  <c r="MQ5" i="14"/>
  <c r="MO5" i="14"/>
  <c r="MN5" i="14"/>
  <c r="MM5" i="14"/>
  <c r="LV5" i="14"/>
  <c r="LU5" i="14"/>
  <c r="LS5" i="14"/>
  <c r="LR5" i="14"/>
  <c r="LQ5" i="14"/>
  <c r="KZ5" i="14"/>
  <c r="KY5" i="14"/>
  <c r="KW5" i="14"/>
  <c r="KV5" i="14"/>
  <c r="KU5" i="14"/>
  <c r="KD5" i="14"/>
  <c r="KC5" i="14"/>
  <c r="KA5" i="14"/>
  <c r="JZ5" i="14"/>
  <c r="JY5" i="14"/>
  <c r="JH5" i="14"/>
  <c r="JG5" i="14"/>
  <c r="JE5" i="14"/>
  <c r="JD5" i="14"/>
  <c r="JC5" i="14"/>
  <c r="IL5" i="14"/>
  <c r="IK5" i="14"/>
  <c r="II5" i="14"/>
  <c r="IH5" i="14"/>
  <c r="IG5" i="14"/>
  <c r="HP5" i="14"/>
  <c r="HO5" i="14"/>
  <c r="HM5" i="14"/>
  <c r="HL5" i="14"/>
  <c r="HK5" i="14"/>
  <c r="GT5" i="14"/>
  <c r="GS5" i="14"/>
  <c r="GQ5" i="14"/>
  <c r="GP5" i="14"/>
  <c r="GO5" i="14"/>
  <c r="FX5" i="14"/>
  <c r="FW5" i="14"/>
  <c r="FU5" i="14"/>
  <c r="FT5" i="14"/>
  <c r="FS5" i="14"/>
  <c r="FB5" i="14"/>
  <c r="FA5" i="14"/>
  <c r="EY5" i="14"/>
  <c r="EX5" i="14"/>
  <c r="EW5" i="14"/>
  <c r="EF5" i="14"/>
  <c r="EE5" i="14"/>
  <c r="EC5" i="14"/>
  <c r="EB5" i="14"/>
  <c r="EA5" i="14"/>
  <c r="DF5" i="14"/>
  <c r="DE5" i="14"/>
  <c r="DC5" i="14"/>
  <c r="DB5" i="14"/>
  <c r="DA5" i="14"/>
  <c r="CZ5" i="14"/>
  <c r="CY5" i="14"/>
  <c r="CB5" i="14"/>
  <c r="CA5" i="14"/>
  <c r="BY5" i="14"/>
  <c r="BX5" i="14"/>
  <c r="BW5" i="14"/>
  <c r="BV5" i="14"/>
  <c r="BU5" i="14"/>
  <c r="AX5" i="14"/>
  <c r="AW5" i="14"/>
  <c r="AU5" i="14"/>
  <c r="AT5" i="14"/>
  <c r="AS5" i="14"/>
  <c r="AR5" i="14"/>
  <c r="AQ5" i="14"/>
  <c r="OI7" i="14"/>
  <c r="OH7" i="14"/>
  <c r="OG7" i="14"/>
  <c r="OQ7" i="14" s="1"/>
  <c r="OF7" i="14"/>
  <c r="OE7" i="14"/>
  <c r="OD7" i="14"/>
  <c r="OC7" i="14"/>
  <c r="OB7" i="14"/>
  <c r="ON7" i="14" s="1"/>
  <c r="OA7" i="14"/>
  <c r="NZ7" i="14"/>
  <c r="NY7" i="14"/>
  <c r="NX7" i="14"/>
  <c r="NW7" i="14"/>
  <c r="OL7" i="14" s="1"/>
  <c r="NV7" i="14"/>
  <c r="NU7" i="14"/>
  <c r="NT7" i="14"/>
  <c r="NS7" i="14"/>
  <c r="NR7" i="14"/>
  <c r="NQ7" i="14"/>
  <c r="NP7" i="14"/>
  <c r="NN7" i="14"/>
  <c r="NM7" i="14"/>
  <c r="NK7" i="14"/>
  <c r="NJ7" i="14"/>
  <c r="NI7" i="14"/>
  <c r="MR7" i="14"/>
  <c r="MQ7" i="14"/>
  <c r="MO7" i="14"/>
  <c r="MN7" i="14"/>
  <c r="MM7" i="14"/>
  <c r="LV7" i="14"/>
  <c r="LU7" i="14"/>
  <c r="LS7" i="14"/>
  <c r="LR7" i="14"/>
  <c r="LQ7" i="14"/>
  <c r="KZ7" i="14"/>
  <c r="KY7" i="14"/>
  <c r="KW7" i="14"/>
  <c r="KV7" i="14"/>
  <c r="KU7" i="14"/>
  <c r="KD7" i="14"/>
  <c r="KC7" i="14"/>
  <c r="KA7" i="14"/>
  <c r="JZ7" i="14"/>
  <c r="JY7" i="14"/>
  <c r="JH7" i="14"/>
  <c r="JG7" i="14"/>
  <c r="JE7" i="14"/>
  <c r="JD7" i="14"/>
  <c r="JC7" i="14"/>
  <c r="IL7" i="14"/>
  <c r="IK7" i="14"/>
  <c r="II7" i="14"/>
  <c r="IH7" i="14"/>
  <c r="IG7" i="14"/>
  <c r="HP7" i="14"/>
  <c r="HO7" i="14"/>
  <c r="HM7" i="14"/>
  <c r="HL7" i="14"/>
  <c r="HK7" i="14"/>
  <c r="GT7" i="14"/>
  <c r="GS7" i="14"/>
  <c r="GQ7" i="14"/>
  <c r="GP7" i="14"/>
  <c r="GO7" i="14"/>
  <c r="FX7" i="14"/>
  <c r="FW7" i="14"/>
  <c r="FU7" i="14"/>
  <c r="FT7" i="14"/>
  <c r="FS7" i="14"/>
  <c r="FB7" i="14"/>
  <c r="FA7" i="14"/>
  <c r="EY7" i="14"/>
  <c r="EX7" i="14"/>
  <c r="EW7" i="14"/>
  <c r="EF7" i="14"/>
  <c r="EE7" i="14"/>
  <c r="EC7" i="14"/>
  <c r="EB7" i="14"/>
  <c r="EA7" i="14"/>
  <c r="DF7" i="14"/>
  <c r="DE7" i="14"/>
  <c r="DC7" i="14"/>
  <c r="DB7" i="14"/>
  <c r="DA7" i="14"/>
  <c r="CZ7" i="14"/>
  <c r="CY7" i="14"/>
  <c r="CB7" i="14"/>
  <c r="CA7" i="14"/>
  <c r="BY7" i="14"/>
  <c r="BX7" i="14"/>
  <c r="BW7" i="14"/>
  <c r="BV7" i="14"/>
  <c r="BU7" i="14"/>
  <c r="AX7" i="14"/>
  <c r="AW7" i="14"/>
  <c r="AU7" i="14"/>
  <c r="AT7" i="14"/>
  <c r="AS7" i="14"/>
  <c r="AR7" i="14"/>
  <c r="AQ7" i="14"/>
  <c r="NZ12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9" i="4"/>
  <c r="NU9" i="4"/>
  <c r="NV9" i="4"/>
  <c r="NW9" i="4"/>
  <c r="OL9" i="4" s="1"/>
  <c r="NX9" i="4"/>
  <c r="NY9" i="4"/>
  <c r="NZ9" i="4"/>
  <c r="OA9" i="4"/>
  <c r="OB9" i="4"/>
  <c r="ON9" i="4" s="1"/>
  <c r="OC9" i="4"/>
  <c r="OD9" i="4"/>
  <c r="OE9" i="4"/>
  <c r="OF9" i="4"/>
  <c r="OG9" i="4"/>
  <c r="OQ9" i="4" s="1"/>
  <c r="OH9" i="4"/>
  <c r="OI9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NT7" i="4"/>
  <c r="NU7" i="4"/>
  <c r="NV7" i="4"/>
  <c r="NW7" i="4"/>
  <c r="OL7" i="4" s="1"/>
  <c r="NX7" i="4"/>
  <c r="NY7" i="4"/>
  <c r="NZ7" i="4"/>
  <c r="OA7" i="4"/>
  <c r="OB7" i="4"/>
  <c r="ON7" i="4" s="1"/>
  <c r="OC7" i="4"/>
  <c r="OD7" i="4"/>
  <c r="OE7" i="4"/>
  <c r="OF7" i="4"/>
  <c r="OG7" i="4"/>
  <c r="OQ7" i="4" s="1"/>
  <c r="OH7" i="4"/>
  <c r="OI7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U12" i="4"/>
  <c r="NV12" i="4"/>
  <c r="NW12" i="4"/>
  <c r="OL12" i="4" s="1"/>
  <c r="NX12" i="4"/>
  <c r="NY12" i="4"/>
  <c r="OA12" i="4"/>
  <c r="OB12" i="4"/>
  <c r="ON12" i="4" s="1"/>
  <c r="OC12" i="4"/>
  <c r="OD12" i="4"/>
  <c r="OE12" i="4"/>
  <c r="OF12" i="4"/>
  <c r="OG12" i="4"/>
  <c r="OQ12" i="4" s="1"/>
  <c r="OH12" i="4"/>
  <c r="OI12" i="4"/>
  <c r="BU11" i="4"/>
  <c r="BV11" i="4"/>
  <c r="BW11" i="4"/>
  <c r="BX11" i="4"/>
  <c r="BY11" i="4"/>
  <c r="BU9" i="4"/>
  <c r="BV9" i="4"/>
  <c r="BW9" i="4"/>
  <c r="BX9" i="4"/>
  <c r="BY9" i="4"/>
  <c r="BU13" i="4"/>
  <c r="BV13" i="4"/>
  <c r="BW13" i="4"/>
  <c r="BX13" i="4"/>
  <c r="BY13" i="4"/>
  <c r="BU7" i="4"/>
  <c r="BV7" i="4"/>
  <c r="BW7" i="4"/>
  <c r="BX7" i="4"/>
  <c r="BY7" i="4"/>
  <c r="BU15" i="4"/>
  <c r="BV15" i="4"/>
  <c r="BW15" i="4"/>
  <c r="BX15" i="4"/>
  <c r="BY15" i="4"/>
  <c r="BU17" i="4"/>
  <c r="BV17" i="4"/>
  <c r="BW17" i="4"/>
  <c r="BX17" i="4"/>
  <c r="BY17" i="4"/>
  <c r="BU19" i="4"/>
  <c r="BV19" i="4"/>
  <c r="BW19" i="4"/>
  <c r="BX19" i="4"/>
  <c r="BY19" i="4"/>
  <c r="BY12" i="4"/>
  <c r="BW12" i="4"/>
  <c r="BU12" i="4"/>
  <c r="BX12" i="4"/>
  <c r="BV12" i="4"/>
  <c r="CY11" i="4"/>
  <c r="CZ11" i="4"/>
  <c r="DA11" i="4"/>
  <c r="DB11" i="4"/>
  <c r="DC11" i="4"/>
  <c r="DE11" i="4"/>
  <c r="DF11" i="4"/>
  <c r="CY9" i="4"/>
  <c r="CZ9" i="4"/>
  <c r="DA9" i="4"/>
  <c r="DB9" i="4"/>
  <c r="DC9" i="4"/>
  <c r="DE9" i="4"/>
  <c r="DF9" i="4"/>
  <c r="CY13" i="4"/>
  <c r="CZ13" i="4"/>
  <c r="DA13" i="4"/>
  <c r="DB13" i="4"/>
  <c r="DC13" i="4"/>
  <c r="DE13" i="4"/>
  <c r="DF13" i="4"/>
  <c r="CY7" i="4"/>
  <c r="CZ7" i="4"/>
  <c r="DA7" i="4"/>
  <c r="DB7" i="4"/>
  <c r="DC7" i="4"/>
  <c r="DE7" i="4"/>
  <c r="DF7" i="4"/>
  <c r="CY15" i="4"/>
  <c r="CZ15" i="4"/>
  <c r="DA15" i="4"/>
  <c r="DB15" i="4"/>
  <c r="DC15" i="4"/>
  <c r="DE15" i="4"/>
  <c r="DF15" i="4"/>
  <c r="CY17" i="4"/>
  <c r="CZ17" i="4"/>
  <c r="DA17" i="4"/>
  <c r="DB17" i="4"/>
  <c r="DC17" i="4"/>
  <c r="DE17" i="4"/>
  <c r="DF17" i="4"/>
  <c r="CY19" i="4"/>
  <c r="CZ19" i="4"/>
  <c r="DA19" i="4"/>
  <c r="DB19" i="4"/>
  <c r="DC19" i="4"/>
  <c r="DE19" i="4"/>
  <c r="DF19" i="4"/>
  <c r="DC12" i="4"/>
  <c r="DB12" i="4"/>
  <c r="CZ12" i="4"/>
  <c r="DA12" i="4"/>
  <c r="CY12" i="4"/>
  <c r="AU12" i="4"/>
  <c r="AT11" i="4"/>
  <c r="AT9" i="4"/>
  <c r="AT13" i="4"/>
  <c r="AT7" i="4"/>
  <c r="AT15" i="4"/>
  <c r="AT17" i="4"/>
  <c r="AT19" i="4"/>
  <c r="AT12" i="4"/>
  <c r="AR12" i="4"/>
  <c r="AR11" i="4"/>
  <c r="AR9" i="4"/>
  <c r="AR13" i="4"/>
  <c r="AR7" i="4"/>
  <c r="AR15" i="4"/>
  <c r="AR17" i="4"/>
  <c r="AR19" i="4"/>
  <c r="AS11" i="4"/>
  <c r="AS9" i="4"/>
  <c r="AS13" i="4"/>
  <c r="AS7" i="4"/>
  <c r="AS15" i="4"/>
  <c r="AS17" i="4"/>
  <c r="AS19" i="4"/>
  <c r="AS12" i="4"/>
  <c r="LT9" i="12"/>
  <c r="LU9" i="12"/>
  <c r="LV9" i="12"/>
  <c r="LW9" i="12"/>
  <c r="LV12" i="12"/>
  <c r="KY9" i="12"/>
  <c r="KZ9" i="12"/>
  <c r="LA9" i="12"/>
  <c r="LB9" i="12"/>
  <c r="LA12" i="12"/>
  <c r="KD9" i="12"/>
  <c r="KE9" i="12"/>
  <c r="KF9" i="12"/>
  <c r="KG9" i="12"/>
  <c r="KF12" i="12"/>
  <c r="JI9" i="12"/>
  <c r="JJ9" i="12"/>
  <c r="JK9" i="12"/>
  <c r="JL9" i="12"/>
  <c r="JK12" i="12"/>
  <c r="IN9" i="12"/>
  <c r="IO9" i="12"/>
  <c r="IP9" i="12"/>
  <c r="IQ9" i="12"/>
  <c r="IP12" i="12"/>
  <c r="HS9" i="12"/>
  <c r="HT9" i="12"/>
  <c r="HU9" i="12"/>
  <c r="HV9" i="12"/>
  <c r="HU12" i="12"/>
  <c r="GX9" i="12"/>
  <c r="GY9" i="12"/>
  <c r="GZ9" i="12"/>
  <c r="HA9" i="12"/>
  <c r="GZ12" i="12"/>
  <c r="GE9" i="12"/>
  <c r="GE12" i="12"/>
  <c r="FJ9" i="12"/>
  <c r="FJ12" i="12"/>
  <c r="EO9" i="12"/>
  <c r="EO12" i="12"/>
  <c r="DT9" i="12"/>
  <c r="DT12" i="12"/>
  <c r="CY9" i="12"/>
  <c r="CY12" i="12"/>
  <c r="CB9" i="12"/>
  <c r="CB12" i="12"/>
  <c r="BF9" i="12"/>
  <c r="BF12" i="12"/>
  <c r="AJ9" i="12"/>
  <c r="AJ12" i="12"/>
  <c r="LV6" i="6"/>
  <c r="LV9" i="6"/>
  <c r="LV8" i="6"/>
  <c r="LV12" i="6"/>
  <c r="LV16" i="6"/>
  <c r="LV10" i="6"/>
  <c r="LV14" i="6"/>
  <c r="LV15" i="6"/>
  <c r="LV4" i="6"/>
  <c r="LA6" i="6"/>
  <c r="LA9" i="6"/>
  <c r="LA8" i="6"/>
  <c r="LA12" i="6"/>
  <c r="LA16" i="6"/>
  <c r="LA10" i="6"/>
  <c r="LA14" i="6"/>
  <c r="LA15" i="6"/>
  <c r="LA4" i="6"/>
  <c r="KF6" i="6"/>
  <c r="KF9" i="6"/>
  <c r="KF8" i="6"/>
  <c r="KF12" i="6"/>
  <c r="KF16" i="6"/>
  <c r="KF10" i="6"/>
  <c r="KF14" i="6"/>
  <c r="KF15" i="6"/>
  <c r="KF4" i="6"/>
  <c r="JK6" i="6"/>
  <c r="JK9" i="6"/>
  <c r="JK8" i="6"/>
  <c r="JK12" i="6"/>
  <c r="JK16" i="6"/>
  <c r="JK10" i="6"/>
  <c r="JK14" i="6"/>
  <c r="JK15" i="6"/>
  <c r="JK4" i="6"/>
  <c r="IP6" i="6"/>
  <c r="IP9" i="6"/>
  <c r="IP8" i="6"/>
  <c r="IP12" i="6"/>
  <c r="IP16" i="6"/>
  <c r="IP10" i="6"/>
  <c r="IP14" i="6"/>
  <c r="IP15" i="6"/>
  <c r="IP4" i="6"/>
  <c r="HU6" i="6"/>
  <c r="HU9" i="6"/>
  <c r="HU8" i="6"/>
  <c r="HU12" i="6"/>
  <c r="HU16" i="6"/>
  <c r="HU10" i="6"/>
  <c r="HU14" i="6"/>
  <c r="HU15" i="6"/>
  <c r="HU4" i="6"/>
  <c r="GZ6" i="6"/>
  <c r="GZ9" i="6"/>
  <c r="GZ8" i="6"/>
  <c r="GZ12" i="6"/>
  <c r="GZ16" i="6"/>
  <c r="GZ10" i="6"/>
  <c r="GZ14" i="6"/>
  <c r="GZ15" i="6"/>
  <c r="GZ4" i="6"/>
  <c r="GE6" i="6"/>
  <c r="GE9" i="6"/>
  <c r="GE8" i="6"/>
  <c r="GE12" i="6"/>
  <c r="GE16" i="6"/>
  <c r="GE10" i="6"/>
  <c r="GE14" i="6"/>
  <c r="GE15" i="6"/>
  <c r="GE4" i="6"/>
  <c r="FJ6" i="6"/>
  <c r="FJ9" i="6"/>
  <c r="FJ8" i="6"/>
  <c r="FJ12" i="6"/>
  <c r="FJ16" i="6"/>
  <c r="FJ10" i="6"/>
  <c r="FJ14" i="6"/>
  <c r="FJ15" i="6"/>
  <c r="FJ4" i="6"/>
  <c r="EO6" i="6"/>
  <c r="EO9" i="6"/>
  <c r="EO8" i="6"/>
  <c r="EO12" i="6"/>
  <c r="EO16" i="6"/>
  <c r="EO10" i="6"/>
  <c r="EO14" i="6"/>
  <c r="EO15" i="6"/>
  <c r="EO4" i="6"/>
  <c r="DT6" i="6"/>
  <c r="DT9" i="6"/>
  <c r="DT8" i="6"/>
  <c r="DT12" i="6"/>
  <c r="DT16" i="6"/>
  <c r="DT10" i="6"/>
  <c r="DT14" i="6"/>
  <c r="DT15" i="6"/>
  <c r="DT4" i="6"/>
  <c r="CY6" i="6"/>
  <c r="CY9" i="6"/>
  <c r="CY8" i="6"/>
  <c r="CY12" i="6"/>
  <c r="CY16" i="6"/>
  <c r="CY10" i="6"/>
  <c r="CY14" i="6"/>
  <c r="CY15" i="6"/>
  <c r="CY4" i="6"/>
  <c r="CB6" i="6"/>
  <c r="CB9" i="6"/>
  <c r="CB8" i="6"/>
  <c r="CB12" i="6"/>
  <c r="CB16" i="6"/>
  <c r="CB10" i="6"/>
  <c r="CB14" i="6"/>
  <c r="CB15" i="6"/>
  <c r="CB4" i="6"/>
  <c r="BF6" i="6"/>
  <c r="BF9" i="6"/>
  <c r="BF8" i="6"/>
  <c r="BF12" i="6"/>
  <c r="BF16" i="6"/>
  <c r="BF10" i="6"/>
  <c r="BF14" i="6"/>
  <c r="BF15" i="6"/>
  <c r="BF4" i="6"/>
  <c r="AJ6" i="6"/>
  <c r="AJ9" i="6"/>
  <c r="AJ8" i="6"/>
  <c r="AJ12" i="6"/>
  <c r="AJ16" i="6"/>
  <c r="AJ10" i="6"/>
  <c r="AJ14" i="6"/>
  <c r="AJ15" i="6"/>
  <c r="AJ4" i="6"/>
  <c r="LV5" i="8"/>
  <c r="LV6" i="8"/>
  <c r="LV4" i="8"/>
  <c r="LA5" i="8"/>
  <c r="LA6" i="8"/>
  <c r="LA4" i="8"/>
  <c r="KF5" i="8"/>
  <c r="KF6" i="8"/>
  <c r="KF4" i="8"/>
  <c r="JK5" i="8"/>
  <c r="JK6" i="8"/>
  <c r="JK4" i="8"/>
  <c r="IP5" i="8"/>
  <c r="IP6" i="8"/>
  <c r="IP4" i="8"/>
  <c r="HU5" i="8"/>
  <c r="HU6" i="8"/>
  <c r="HU4" i="8"/>
  <c r="GZ5" i="8"/>
  <c r="GZ6" i="8"/>
  <c r="GZ4" i="8"/>
  <c r="GE5" i="8"/>
  <c r="GE6" i="8"/>
  <c r="GE4" i="8"/>
  <c r="FJ5" i="8"/>
  <c r="FJ6" i="8"/>
  <c r="FJ4" i="8"/>
  <c r="EO5" i="8"/>
  <c r="EO6" i="8"/>
  <c r="EO4" i="8"/>
  <c r="DT5" i="8"/>
  <c r="DT6" i="8"/>
  <c r="DT4" i="8"/>
  <c r="CY5" i="8"/>
  <c r="CY6" i="8"/>
  <c r="CY4" i="8"/>
  <c r="CB4" i="8"/>
  <c r="BF5" i="8"/>
  <c r="BF6" i="8"/>
  <c r="BF4" i="8"/>
  <c r="AJ5" i="8"/>
  <c r="AJ6" i="8"/>
  <c r="AJ4" i="8"/>
  <c r="AH4" i="8"/>
  <c r="LV6" i="7"/>
  <c r="LV4" i="7"/>
  <c r="LA6" i="7"/>
  <c r="LA4" i="7"/>
  <c r="KF6" i="7"/>
  <c r="KF4" i="7"/>
  <c r="JK4" i="7"/>
  <c r="IP4" i="7"/>
  <c r="IP6" i="7"/>
  <c r="IN4" i="7"/>
  <c r="HU6" i="7"/>
  <c r="HU4" i="7"/>
  <c r="HS4" i="7"/>
  <c r="GZ6" i="7"/>
  <c r="GZ4" i="7"/>
  <c r="GX4" i="7"/>
  <c r="GE6" i="7"/>
  <c r="GE4" i="7"/>
  <c r="GC4" i="7"/>
  <c r="FJ6" i="7"/>
  <c r="FJ4" i="7"/>
  <c r="FH4" i="7"/>
  <c r="EO6" i="7"/>
  <c r="EO4" i="7"/>
  <c r="EM4" i="7"/>
  <c r="DT6" i="7"/>
  <c r="DT4" i="7"/>
  <c r="DR4" i="7"/>
  <c r="CY6" i="7"/>
  <c r="CY4" i="7"/>
  <c r="CW4" i="7"/>
  <c r="CB4" i="7"/>
  <c r="CB6" i="7"/>
  <c r="BZ4" i="7"/>
  <c r="BF6" i="7"/>
  <c r="BF4" i="7"/>
  <c r="BD4" i="7"/>
  <c r="AJ6" i="7"/>
  <c r="AJ4" i="7"/>
  <c r="AH4" i="7"/>
  <c r="HB7" i="7" l="1"/>
  <c r="IR5" i="7"/>
  <c r="LC7" i="7"/>
  <c r="BH15" i="12"/>
  <c r="KX19" i="14"/>
  <c r="AV16" i="14"/>
  <c r="OR17" i="4"/>
  <c r="GG14" i="12"/>
  <c r="HW5" i="7"/>
  <c r="OR19" i="14"/>
  <c r="MP16" i="14"/>
  <c r="MS16" i="14" s="1"/>
  <c r="LT16" i="14"/>
  <c r="LW16" i="14" s="1"/>
  <c r="ED16" i="14"/>
  <c r="EG16" i="14" s="1"/>
  <c r="LT13" i="14"/>
  <c r="EZ13" i="14"/>
  <c r="MP10" i="14"/>
  <c r="MS10" i="14" s="1"/>
  <c r="FV10" i="14"/>
  <c r="KX12" i="14"/>
  <c r="LA12" i="14" s="1"/>
  <c r="KH15" i="12"/>
  <c r="GG5" i="7"/>
  <c r="FV16" i="14"/>
  <c r="FY16" i="14" s="1"/>
  <c r="EZ12" i="14"/>
  <c r="FC12" i="14" s="1"/>
  <c r="EZ16" i="14"/>
  <c r="FC16" i="14" s="1"/>
  <c r="OR18" i="4"/>
  <c r="GG13" i="6"/>
  <c r="FV12" i="14"/>
  <c r="FY12" i="14" s="1"/>
  <c r="JF12" i="14"/>
  <c r="JI12" i="14" s="1"/>
  <c r="KB12" i="14"/>
  <c r="KE12" i="14" s="1"/>
  <c r="IJ16" i="14"/>
  <c r="IM16" i="14" s="1"/>
  <c r="BZ16" i="14"/>
  <c r="CC16" i="14" s="1"/>
  <c r="IJ12" i="14"/>
  <c r="IM12" i="14" s="1"/>
  <c r="NL16" i="14"/>
  <c r="NO16" i="14" s="1"/>
  <c r="LT14" i="14"/>
  <c r="KB16" i="14"/>
  <c r="KE16" i="14" s="1"/>
  <c r="DD14" i="4"/>
  <c r="DG14" i="4" s="1"/>
  <c r="OR15" i="4"/>
  <c r="OR16" i="4"/>
  <c r="OR19" i="4"/>
  <c r="BZ14" i="4"/>
  <c r="CC14" i="4" s="1"/>
  <c r="MR6" i="12"/>
  <c r="KH14" i="12"/>
  <c r="LC15" i="12"/>
  <c r="JM15" i="12"/>
  <c r="IR15" i="12"/>
  <c r="LC13" i="6"/>
  <c r="KH13" i="6"/>
  <c r="BH13" i="6"/>
  <c r="JM13" i="6"/>
  <c r="IR13" i="6"/>
  <c r="MS13" i="6"/>
  <c r="EQ13" i="6"/>
  <c r="DV17" i="6"/>
  <c r="CD13" i="6"/>
  <c r="BH7" i="7"/>
  <c r="IR7" i="7"/>
  <c r="DV5" i="7"/>
  <c r="DV7" i="7"/>
  <c r="BH5" i="7"/>
  <c r="FL7" i="7"/>
  <c r="JM7" i="7"/>
  <c r="MR7" i="7"/>
  <c r="MP7" i="7"/>
  <c r="GG7" i="7"/>
  <c r="EQ7" i="7"/>
  <c r="CD7" i="7"/>
  <c r="EQ5" i="7"/>
  <c r="NL18" i="4"/>
  <c r="NO18" i="4" s="1"/>
  <c r="NL14" i="4"/>
  <c r="NO14" i="4" s="1"/>
  <c r="LT18" i="14"/>
  <c r="MP12" i="14"/>
  <c r="MS12" i="14" s="1"/>
  <c r="ED10" i="14"/>
  <c r="EG10" i="14" s="1"/>
  <c r="DD12" i="14"/>
  <c r="DG12" i="14" s="1"/>
  <c r="DD16" i="14"/>
  <c r="DG16" i="14" s="1"/>
  <c r="JF16" i="14"/>
  <c r="JI16" i="14" s="1"/>
  <c r="EZ10" i="14"/>
  <c r="FC10" i="14" s="1"/>
  <c r="BZ12" i="14"/>
  <c r="CC12" i="14" s="1"/>
  <c r="BZ10" i="14"/>
  <c r="CC10" i="14" s="1"/>
  <c r="BZ16" i="4"/>
  <c r="CC16" i="4" s="1"/>
  <c r="DD16" i="4"/>
  <c r="DG16" i="4" s="1"/>
  <c r="NL16" i="4"/>
  <c r="NO16" i="4" s="1"/>
  <c r="BZ18" i="4"/>
  <c r="CC18" i="4" s="1"/>
  <c r="OO16" i="4"/>
  <c r="DD18" i="4"/>
  <c r="DG18" i="4" s="1"/>
  <c r="HW15" i="12"/>
  <c r="GG15" i="12"/>
  <c r="EQ15" i="12"/>
  <c r="IR7" i="12"/>
  <c r="LC5" i="12"/>
  <c r="JM5" i="12"/>
  <c r="HW5" i="12"/>
  <c r="LC14" i="12"/>
  <c r="DV15" i="12"/>
  <c r="MR15" i="12"/>
  <c r="BH6" i="12"/>
  <c r="IR14" i="12"/>
  <c r="DV14" i="12"/>
  <c r="LX15" i="12"/>
  <c r="HB15" i="12"/>
  <c r="FL15" i="12"/>
  <c r="DA15" i="12"/>
  <c r="CD15" i="12"/>
  <c r="MS15" i="12"/>
  <c r="MQ15" i="12"/>
  <c r="MP15" i="12"/>
  <c r="F15" i="12"/>
  <c r="AL15" i="12"/>
  <c r="G15" i="12"/>
  <c r="HW14" i="12"/>
  <c r="EQ14" i="12"/>
  <c r="DA14" i="12"/>
  <c r="DV5" i="12"/>
  <c r="AL5" i="12"/>
  <c r="LC6" i="12"/>
  <c r="JM6" i="12"/>
  <c r="MR14" i="12"/>
  <c r="BH5" i="12"/>
  <c r="MS6" i="12"/>
  <c r="IR6" i="12"/>
  <c r="DV6" i="12"/>
  <c r="LX14" i="12"/>
  <c r="JM14" i="12"/>
  <c r="HB14" i="12"/>
  <c r="FL14" i="12"/>
  <c r="CD14" i="12"/>
  <c r="MS14" i="12"/>
  <c r="BH14" i="12"/>
  <c r="MQ14" i="12"/>
  <c r="MP14" i="12"/>
  <c r="F14" i="12"/>
  <c r="AL14" i="12"/>
  <c r="G14" i="12"/>
  <c r="GG6" i="12"/>
  <c r="GG13" i="12"/>
  <c r="BH13" i="12"/>
  <c r="KH7" i="12"/>
  <c r="HW6" i="12"/>
  <c r="EQ6" i="12"/>
  <c r="EQ5" i="12"/>
  <c r="KH5" i="12"/>
  <c r="IR5" i="12"/>
  <c r="HB6" i="12"/>
  <c r="LX6" i="12"/>
  <c r="KH6" i="12"/>
  <c r="FL6" i="12"/>
  <c r="DA6" i="12"/>
  <c r="CD6" i="12"/>
  <c r="MQ6" i="12"/>
  <c r="MP6" i="12"/>
  <c r="F6" i="12"/>
  <c r="AL6" i="12"/>
  <c r="G6" i="12"/>
  <c r="DA5" i="12"/>
  <c r="JM7" i="12"/>
  <c r="GG7" i="12"/>
  <c r="DA7" i="12"/>
  <c r="BH7" i="12"/>
  <c r="MR5" i="12"/>
  <c r="LX5" i="12"/>
  <c r="DV7" i="12"/>
  <c r="HB5" i="12"/>
  <c r="GG5" i="12"/>
  <c r="FL5" i="12"/>
  <c r="MS5" i="12"/>
  <c r="CD5" i="12"/>
  <c r="MQ5" i="12"/>
  <c r="MP5" i="12"/>
  <c r="F5" i="12"/>
  <c r="G5" i="12"/>
  <c r="HW7" i="12"/>
  <c r="EQ7" i="12"/>
  <c r="LC13" i="12"/>
  <c r="JM13" i="12"/>
  <c r="FL7" i="12"/>
  <c r="CD7" i="12"/>
  <c r="KH13" i="12"/>
  <c r="IR13" i="12"/>
  <c r="DV13" i="12"/>
  <c r="LX7" i="12"/>
  <c r="LC7" i="12"/>
  <c r="HB7" i="12"/>
  <c r="MR7" i="12"/>
  <c r="MS7" i="12"/>
  <c r="MQ7" i="12"/>
  <c r="MP7" i="12"/>
  <c r="F7" i="12"/>
  <c r="AL7" i="12"/>
  <c r="G7" i="12"/>
  <c r="EQ13" i="12"/>
  <c r="DA13" i="12"/>
  <c r="MR13" i="12"/>
  <c r="HB13" i="12"/>
  <c r="FL13" i="12"/>
  <c r="MQ13" i="12"/>
  <c r="LX13" i="12"/>
  <c r="HW13" i="12"/>
  <c r="MS13" i="12"/>
  <c r="CD13" i="12"/>
  <c r="MP13" i="12"/>
  <c r="F13" i="12"/>
  <c r="AL13" i="12"/>
  <c r="G13" i="12"/>
  <c r="LX13" i="6"/>
  <c r="HW13" i="6"/>
  <c r="HB13" i="6"/>
  <c r="FL13" i="6"/>
  <c r="DV13" i="6"/>
  <c r="DA13" i="6"/>
  <c r="MQ13" i="6"/>
  <c r="MP13" i="6"/>
  <c r="F13" i="6"/>
  <c r="AL13" i="6"/>
  <c r="G13" i="6"/>
  <c r="LC17" i="6"/>
  <c r="JM17" i="6"/>
  <c r="HW17" i="6"/>
  <c r="GG17" i="6"/>
  <c r="EQ17" i="6"/>
  <c r="LC11" i="6"/>
  <c r="HW11" i="6"/>
  <c r="EQ11" i="6"/>
  <c r="BH11" i="6"/>
  <c r="KH17" i="6"/>
  <c r="IR17" i="6"/>
  <c r="BH17" i="6"/>
  <c r="MR17" i="6"/>
  <c r="MP17" i="6"/>
  <c r="IR11" i="6"/>
  <c r="DV11" i="6"/>
  <c r="LX17" i="6"/>
  <c r="HB17" i="6"/>
  <c r="FL17" i="6"/>
  <c r="DA17" i="6"/>
  <c r="CD17" i="6"/>
  <c r="MS17" i="6"/>
  <c r="MQ17" i="6"/>
  <c r="F17" i="6"/>
  <c r="AL17" i="6"/>
  <c r="G17" i="6"/>
  <c r="GG11" i="6"/>
  <c r="MR11" i="6"/>
  <c r="LX11" i="6"/>
  <c r="KH11" i="6"/>
  <c r="AL11" i="6"/>
  <c r="JM11" i="6"/>
  <c r="HB11" i="6"/>
  <c r="FL11" i="6"/>
  <c r="DA11" i="6"/>
  <c r="CD11" i="6"/>
  <c r="MQ11" i="6"/>
  <c r="MP11" i="6"/>
  <c r="F11" i="6"/>
  <c r="MS11" i="6"/>
  <c r="G11" i="6"/>
  <c r="LX7" i="7"/>
  <c r="KH7" i="7"/>
  <c r="HW7" i="7"/>
  <c r="DA7" i="7"/>
  <c r="MQ7" i="7"/>
  <c r="L7" i="7"/>
  <c r="CF7" i="7" s="1"/>
  <c r="MS7" i="7"/>
  <c r="AL7" i="7"/>
  <c r="F7" i="7"/>
  <c r="J7" i="7"/>
  <c r="G7" i="7"/>
  <c r="JM5" i="7"/>
  <c r="KH5" i="7"/>
  <c r="FL5" i="7"/>
  <c r="MR5" i="7"/>
  <c r="MP5" i="7"/>
  <c r="LX5" i="7"/>
  <c r="LC5" i="7"/>
  <c r="HB5" i="7"/>
  <c r="DA5" i="7"/>
  <c r="CD5" i="7"/>
  <c r="MS5" i="7"/>
  <c r="L5" i="7"/>
  <c r="MQ5" i="7"/>
  <c r="F5" i="7"/>
  <c r="AL5" i="7"/>
  <c r="J5" i="7"/>
  <c r="G5" i="7"/>
  <c r="KX16" i="14"/>
  <c r="LA16" i="14" s="1"/>
  <c r="HN16" i="14"/>
  <c r="HQ16" i="14" s="1"/>
  <c r="GR16" i="14"/>
  <c r="GU16" i="14" s="1"/>
  <c r="OM16" i="14"/>
  <c r="OK16" i="14"/>
  <c r="OR18" i="14"/>
  <c r="OO16" i="14"/>
  <c r="O16" i="14"/>
  <c r="P16" i="14" s="1"/>
  <c r="G16" i="14"/>
  <c r="F16" i="14" s="1"/>
  <c r="AY16" i="14"/>
  <c r="Q16" i="14"/>
  <c r="H16" i="14"/>
  <c r="MP13" i="14"/>
  <c r="MS13" i="14" s="1"/>
  <c r="IJ10" i="14"/>
  <c r="IM10" i="14" s="1"/>
  <c r="NL12" i="14"/>
  <c r="NO12" i="14" s="1"/>
  <c r="ED12" i="14"/>
  <c r="EG12" i="14" s="1"/>
  <c r="LT15" i="14"/>
  <c r="LW15" i="14" s="1"/>
  <c r="EZ15" i="14"/>
  <c r="FC15" i="14" s="1"/>
  <c r="FV13" i="14"/>
  <c r="FY13" i="14" s="1"/>
  <c r="DD10" i="14"/>
  <c r="DG10" i="14" s="1"/>
  <c r="GR13" i="14"/>
  <c r="GU13" i="14" s="1"/>
  <c r="ED15" i="14"/>
  <c r="EG15" i="14" s="1"/>
  <c r="JF14" i="14"/>
  <c r="JI14" i="14" s="1"/>
  <c r="EZ14" i="14"/>
  <c r="FC14" i="14" s="1"/>
  <c r="OO12" i="14"/>
  <c r="LT12" i="14"/>
  <c r="LW12" i="14" s="1"/>
  <c r="HN12" i="14"/>
  <c r="HQ12" i="14" s="1"/>
  <c r="GR12" i="14"/>
  <c r="GU12" i="14" s="1"/>
  <c r="OM12" i="14"/>
  <c r="OK12" i="14"/>
  <c r="OR17" i="14"/>
  <c r="O12" i="14"/>
  <c r="P12" i="14" s="1"/>
  <c r="Q12" i="14"/>
  <c r="R12" i="14" s="1"/>
  <c r="G12" i="14"/>
  <c r="F12" i="14" s="1"/>
  <c r="AV12" i="14"/>
  <c r="H12" i="14"/>
  <c r="ED4" i="14"/>
  <c r="EG4" i="14" s="1"/>
  <c r="IJ13" i="14"/>
  <c r="IM13" i="14" s="1"/>
  <c r="GR10" i="14"/>
  <c r="GU10" i="14" s="1"/>
  <c r="GR4" i="14"/>
  <c r="GU4" i="14" s="1"/>
  <c r="BZ13" i="14"/>
  <c r="CC13" i="14" s="1"/>
  <c r="LT10" i="14"/>
  <c r="LW10" i="14" s="1"/>
  <c r="JF10" i="14"/>
  <c r="JI10" i="14" s="1"/>
  <c r="DD14" i="14"/>
  <c r="DG14" i="14" s="1"/>
  <c r="LW13" i="14"/>
  <c r="DD13" i="14"/>
  <c r="DG13" i="14" s="1"/>
  <c r="OO10" i="14"/>
  <c r="MP18" i="14"/>
  <c r="MS18" i="14" s="1"/>
  <c r="FV18" i="14"/>
  <c r="KB10" i="14"/>
  <c r="KE10" i="14" s="1"/>
  <c r="JF15" i="14"/>
  <c r="JI15" i="14" s="1"/>
  <c r="LT5" i="14"/>
  <c r="LW5" i="14" s="1"/>
  <c r="NL10" i="14"/>
  <c r="NO10" i="14" s="1"/>
  <c r="KX10" i="14"/>
  <c r="LA10" i="14" s="1"/>
  <c r="HN10" i="14"/>
  <c r="HQ10" i="14" s="1"/>
  <c r="FY10" i="14"/>
  <c r="OM10" i="14"/>
  <c r="OK10" i="14"/>
  <c r="OR16" i="14"/>
  <c r="O10" i="14"/>
  <c r="DI10" i="14" s="1"/>
  <c r="G10" i="14"/>
  <c r="F10" i="14" s="1"/>
  <c r="AV10" i="14"/>
  <c r="Q10" i="14"/>
  <c r="H10" i="14"/>
  <c r="JF13" i="14"/>
  <c r="JI13" i="14" s="1"/>
  <c r="FC13" i="14"/>
  <c r="HN14" i="14"/>
  <c r="HQ14" i="14" s="1"/>
  <c r="EZ18" i="14"/>
  <c r="FC18" i="14" s="1"/>
  <c r="BZ14" i="14"/>
  <c r="CC14" i="14" s="1"/>
  <c r="JF4" i="14"/>
  <c r="JI4" i="14" s="1"/>
  <c r="NL13" i="14"/>
  <c r="NO13" i="14" s="1"/>
  <c r="KX13" i="14"/>
  <c r="LA13" i="14" s="1"/>
  <c r="KB13" i="14"/>
  <c r="KE13" i="14" s="1"/>
  <c r="HN13" i="14"/>
  <c r="HQ13" i="14" s="1"/>
  <c r="ED13" i="14"/>
  <c r="EG13" i="14" s="1"/>
  <c r="OM13" i="14"/>
  <c r="OK13" i="14"/>
  <c r="OR15" i="14"/>
  <c r="OO13" i="14"/>
  <c r="O13" i="14"/>
  <c r="DI13" i="14" s="1"/>
  <c r="G13" i="14"/>
  <c r="F13" i="14" s="1"/>
  <c r="AV13" i="14"/>
  <c r="AY13" i="14" s="1"/>
  <c r="Q13" i="14"/>
  <c r="H13" i="14"/>
  <c r="ED14" i="14"/>
  <c r="EG14" i="14" s="1"/>
  <c r="LW14" i="14"/>
  <c r="NL18" i="14"/>
  <c r="NO18" i="14" s="1"/>
  <c r="DD15" i="14"/>
  <c r="DG15" i="14" s="1"/>
  <c r="LA19" i="14"/>
  <c r="IJ19" i="14"/>
  <c r="IM19" i="14" s="1"/>
  <c r="BZ19" i="14"/>
  <c r="CC19" i="14" s="1"/>
  <c r="NL4" i="14"/>
  <c r="NO4" i="14" s="1"/>
  <c r="BZ4" i="14"/>
  <c r="CC4" i="14" s="1"/>
  <c r="HN11" i="14"/>
  <c r="HQ11" i="14" s="1"/>
  <c r="GR8" i="14"/>
  <c r="GU8" i="14" s="1"/>
  <c r="FV9" i="14"/>
  <c r="EZ17" i="14"/>
  <c r="FC17" i="14" s="1"/>
  <c r="LT17" i="14"/>
  <c r="LW17" i="14" s="1"/>
  <c r="LT4" i="14"/>
  <c r="LW4" i="14" s="1"/>
  <c r="LT19" i="14"/>
  <c r="LW19" i="14" s="1"/>
  <c r="MP15" i="14"/>
  <c r="MS15" i="14" s="1"/>
  <c r="KB15" i="14"/>
  <c r="KE15" i="14" s="1"/>
  <c r="NL14" i="14"/>
  <c r="NO14" i="14" s="1"/>
  <c r="MP14" i="14"/>
  <c r="MS14" i="14" s="1"/>
  <c r="KX14" i="14"/>
  <c r="LA14" i="14" s="1"/>
  <c r="KB14" i="14"/>
  <c r="KE14" i="14" s="1"/>
  <c r="IJ14" i="14"/>
  <c r="IM14" i="14" s="1"/>
  <c r="GR14" i="14"/>
  <c r="GU14" i="14" s="1"/>
  <c r="FV14" i="14"/>
  <c r="FY14" i="14" s="1"/>
  <c r="OM14" i="14"/>
  <c r="OK14" i="14"/>
  <c r="OO14" i="14"/>
  <c r="O14" i="14"/>
  <c r="P14" i="14" s="1"/>
  <c r="G14" i="14"/>
  <c r="F14" i="14" s="1"/>
  <c r="AV14" i="14"/>
  <c r="AY14" i="14" s="1"/>
  <c r="Q14" i="14"/>
  <c r="H14" i="14"/>
  <c r="OR14" i="14"/>
  <c r="EZ19" i="14"/>
  <c r="FC19" i="14" s="1"/>
  <c r="KB18" i="14"/>
  <c r="KE18" i="14" s="1"/>
  <c r="BZ18" i="14"/>
  <c r="CC18" i="14" s="1"/>
  <c r="NL15" i="14"/>
  <c r="NO15" i="14" s="1"/>
  <c r="FV15" i="14"/>
  <c r="FY15" i="14" s="1"/>
  <c r="DD18" i="14"/>
  <c r="DG18" i="14" s="1"/>
  <c r="KX15" i="14"/>
  <c r="LA15" i="14" s="1"/>
  <c r="IJ15" i="14"/>
  <c r="IM15" i="14" s="1"/>
  <c r="HN15" i="14"/>
  <c r="HQ15" i="14" s="1"/>
  <c r="GR15" i="14"/>
  <c r="GU15" i="14" s="1"/>
  <c r="OM15" i="14"/>
  <c r="G15" i="14"/>
  <c r="F15" i="14" s="1"/>
  <c r="OK15" i="14"/>
  <c r="BZ15" i="14"/>
  <c r="CC15" i="14" s="1"/>
  <c r="OR13" i="14"/>
  <c r="OO15" i="14"/>
  <c r="O15" i="14"/>
  <c r="P15" i="14" s="1"/>
  <c r="AV15" i="14"/>
  <c r="AY15" i="14" s="1"/>
  <c r="Q15" i="14"/>
  <c r="H15" i="14"/>
  <c r="ED18" i="14"/>
  <c r="EG18" i="14" s="1"/>
  <c r="OO19" i="14"/>
  <c r="DD19" i="14"/>
  <c r="DG19" i="14" s="1"/>
  <c r="DD4" i="14"/>
  <c r="DG4" i="14" s="1"/>
  <c r="LW18" i="14"/>
  <c r="JF18" i="14"/>
  <c r="JI18" i="14" s="1"/>
  <c r="LT9" i="14"/>
  <c r="LW9" i="14" s="1"/>
  <c r="MP4" i="14"/>
  <c r="MS4" i="14" s="1"/>
  <c r="KX4" i="14"/>
  <c r="LA4" i="14" s="1"/>
  <c r="FV4" i="14"/>
  <c r="FY4" i="14" s="1"/>
  <c r="KX18" i="14"/>
  <c r="LA18" i="14" s="1"/>
  <c r="IJ18" i="14"/>
  <c r="IM18" i="14" s="1"/>
  <c r="HN18" i="14"/>
  <c r="HQ18" i="14" s="1"/>
  <c r="GR18" i="14"/>
  <c r="GU18" i="14" s="1"/>
  <c r="FY18" i="14"/>
  <c r="OM18" i="14"/>
  <c r="OK18" i="14"/>
  <c r="OR12" i="14"/>
  <c r="OO18" i="14"/>
  <c r="O18" i="14"/>
  <c r="P18" i="14" s="1"/>
  <c r="G18" i="14"/>
  <c r="AV18" i="14"/>
  <c r="Q18" i="14"/>
  <c r="H18" i="14"/>
  <c r="ED19" i="14"/>
  <c r="EG19" i="14" s="1"/>
  <c r="KB9" i="14"/>
  <c r="KE9" i="14" s="1"/>
  <c r="JF19" i="14"/>
  <c r="JI19" i="14" s="1"/>
  <c r="KB4" i="14"/>
  <c r="KE4" i="14" s="1"/>
  <c r="HN4" i="14"/>
  <c r="HQ4" i="14" s="1"/>
  <c r="EZ4" i="14"/>
  <c r="FC4" i="14" s="1"/>
  <c r="FV19" i="14"/>
  <c r="FY19" i="14" s="1"/>
  <c r="IJ4" i="14"/>
  <c r="IM4" i="14" s="1"/>
  <c r="OM4" i="14"/>
  <c r="OK4" i="14"/>
  <c r="OR11" i="14"/>
  <c r="OO4" i="14"/>
  <c r="O4" i="14"/>
  <c r="P4" i="14" s="1"/>
  <c r="Q4" i="14"/>
  <c r="DK4" i="14" s="1"/>
  <c r="H4" i="14"/>
  <c r="G4" i="14"/>
  <c r="AV4" i="14"/>
  <c r="GR19" i="14"/>
  <c r="GU19" i="14" s="1"/>
  <c r="KX11" i="14"/>
  <c r="LA11" i="14" s="1"/>
  <c r="HN8" i="14"/>
  <c r="HQ8" i="14" s="1"/>
  <c r="NL9" i="14"/>
  <c r="NO9" i="14" s="1"/>
  <c r="HN19" i="14"/>
  <c r="HQ19" i="14" s="1"/>
  <c r="MP11" i="14"/>
  <c r="MS11" i="14" s="1"/>
  <c r="OR10" i="14"/>
  <c r="MP19" i="14"/>
  <c r="MS19" i="14" s="1"/>
  <c r="KB19" i="14"/>
  <c r="KE19" i="14" s="1"/>
  <c r="JF8" i="14"/>
  <c r="JI8" i="14" s="1"/>
  <c r="AV19" i="14"/>
  <c r="NL19" i="14"/>
  <c r="NO19" i="14" s="1"/>
  <c r="OM19" i="14"/>
  <c r="OK19" i="14"/>
  <c r="O19" i="14"/>
  <c r="P19" i="14" s="1"/>
  <c r="G19" i="14"/>
  <c r="Q19" i="14"/>
  <c r="H19" i="14"/>
  <c r="FV8" i="14"/>
  <c r="FY8" i="14" s="1"/>
  <c r="EZ8" i="14"/>
  <c r="FC8" i="14" s="1"/>
  <c r="Q17" i="14"/>
  <c r="R17" i="14" s="1"/>
  <c r="Q11" i="14"/>
  <c r="FY9" i="14"/>
  <c r="GR7" i="14"/>
  <c r="GU7" i="14" s="1"/>
  <c r="KX7" i="14"/>
  <c r="LA7" i="14" s="1"/>
  <c r="OK14" i="4"/>
  <c r="OM14" i="4"/>
  <c r="Q14" i="4"/>
  <c r="R14" i="4" s="1"/>
  <c r="OR14" i="4"/>
  <c r="O14" i="4"/>
  <c r="P14" i="4" s="1"/>
  <c r="G14" i="4"/>
  <c r="AV14" i="4"/>
  <c r="OO14" i="4"/>
  <c r="H14" i="4"/>
  <c r="OM16" i="4"/>
  <c r="OK16" i="4"/>
  <c r="OR13" i="4"/>
  <c r="Q16" i="4"/>
  <c r="R16" i="4" s="1"/>
  <c r="O16" i="4"/>
  <c r="P16" i="4" s="1"/>
  <c r="G16" i="4"/>
  <c r="F16" i="4" s="1"/>
  <c r="AV16" i="4"/>
  <c r="H16" i="4"/>
  <c r="OK18" i="4"/>
  <c r="OO18" i="4"/>
  <c r="OR12" i="4"/>
  <c r="OM18" i="4"/>
  <c r="Q18" i="4"/>
  <c r="R18" i="4" s="1"/>
  <c r="O18" i="4"/>
  <c r="P18" i="4" s="1"/>
  <c r="G18" i="4"/>
  <c r="F18" i="4" s="1"/>
  <c r="AV18" i="4"/>
  <c r="H18" i="4"/>
  <c r="Q9" i="14"/>
  <c r="DK9" i="14" s="1"/>
  <c r="GR17" i="14"/>
  <c r="GU17" i="14" s="1"/>
  <c r="Q7" i="14"/>
  <c r="DK7" i="14" s="1"/>
  <c r="HN7" i="14"/>
  <c r="HQ7" i="14" s="1"/>
  <c r="ED11" i="14"/>
  <c r="EG11" i="14" s="1"/>
  <c r="Q8" i="14"/>
  <c r="R8" i="14" s="1"/>
  <c r="JF9" i="14"/>
  <c r="JI9" i="14" s="1"/>
  <c r="LT7" i="14"/>
  <c r="LW7" i="14" s="1"/>
  <c r="JF7" i="14"/>
  <c r="JI7" i="14" s="1"/>
  <c r="IJ5" i="14"/>
  <c r="IM5" i="14" s="1"/>
  <c r="ED9" i="14"/>
  <c r="EG9" i="14" s="1"/>
  <c r="FV17" i="14"/>
  <c r="FY17" i="14" s="1"/>
  <c r="KB17" i="14"/>
  <c r="KE17" i="14" s="1"/>
  <c r="IJ9" i="14"/>
  <c r="IM9" i="14" s="1"/>
  <c r="FV7" i="14"/>
  <c r="FY7" i="14" s="1"/>
  <c r="MP7" i="14"/>
  <c r="MS7" i="14" s="1"/>
  <c r="Q5" i="14"/>
  <c r="DK5" i="14" s="1"/>
  <c r="EZ11" i="14"/>
  <c r="FC11" i="14" s="1"/>
  <c r="KX8" i="14"/>
  <c r="LA8" i="14" s="1"/>
  <c r="IJ7" i="14"/>
  <c r="IM7" i="14" s="1"/>
  <c r="KB8" i="14"/>
  <c r="KE8" i="14" s="1"/>
  <c r="JF17" i="14"/>
  <c r="JI17" i="14" s="1"/>
  <c r="DD5" i="14"/>
  <c r="DG5" i="14" s="1"/>
  <c r="OO9" i="14"/>
  <c r="KB7" i="14"/>
  <c r="KE7" i="14" s="1"/>
  <c r="EZ5" i="14"/>
  <c r="FC5" i="14" s="1"/>
  <c r="HN5" i="14"/>
  <c r="HQ5" i="14" s="1"/>
  <c r="OM7" i="14"/>
  <c r="AV5" i="14"/>
  <c r="AY5" i="14" s="1"/>
  <c r="KX17" i="14"/>
  <c r="LA17" i="14" s="1"/>
  <c r="GR5" i="14"/>
  <c r="GU5" i="14" s="1"/>
  <c r="JF5" i="14"/>
  <c r="JI5" i="14" s="1"/>
  <c r="LT11" i="14"/>
  <c r="LW11" i="14" s="1"/>
  <c r="NL8" i="14"/>
  <c r="NO8" i="14" s="1"/>
  <c r="BZ9" i="14"/>
  <c r="CC9" i="14" s="1"/>
  <c r="KX9" i="14"/>
  <c r="LA9" i="14" s="1"/>
  <c r="MP17" i="14"/>
  <c r="MS17" i="14" s="1"/>
  <c r="ED5" i="14"/>
  <c r="EG5" i="14" s="1"/>
  <c r="DD11" i="14"/>
  <c r="DG11" i="14" s="1"/>
  <c r="NL7" i="14"/>
  <c r="NO7" i="14" s="1"/>
  <c r="KX5" i="14"/>
  <c r="LA5" i="14" s="1"/>
  <c r="NL5" i="14"/>
  <c r="NO5" i="14" s="1"/>
  <c r="DD8" i="14"/>
  <c r="DG8" i="14" s="1"/>
  <c r="HN17" i="14"/>
  <c r="HQ17" i="14" s="1"/>
  <c r="OR4" i="14"/>
  <c r="OK8" i="14"/>
  <c r="OK5" i="14"/>
  <c r="BZ7" i="14"/>
  <c r="CC7" i="14" s="1"/>
  <c r="BZ11" i="14"/>
  <c r="CC11" i="14" s="1"/>
  <c r="OM8" i="14"/>
  <c r="OM5" i="14"/>
  <c r="OO5" i="14"/>
  <c r="AV7" i="14"/>
  <c r="AY7" i="14" s="1"/>
  <c r="O17" i="14"/>
  <c r="DI17" i="14" s="1"/>
  <c r="AV8" i="14"/>
  <c r="AY8" i="14" s="1"/>
  <c r="O5" i="14"/>
  <c r="DI5" i="14" s="1"/>
  <c r="KB11" i="14"/>
  <c r="KE11" i="14" s="1"/>
  <c r="OR7" i="14"/>
  <c r="GR9" i="14"/>
  <c r="GU9" i="14" s="1"/>
  <c r="OM9" i="14"/>
  <c r="OM17" i="14"/>
  <c r="OO17" i="14"/>
  <c r="G7" i="14"/>
  <c r="OK7" i="14"/>
  <c r="KB5" i="14"/>
  <c r="KE5" i="14" s="1"/>
  <c r="MP5" i="14"/>
  <c r="MS5" i="14" s="1"/>
  <c r="GR11" i="14"/>
  <c r="GU11" i="14" s="1"/>
  <c r="JF11" i="14"/>
  <c r="JI11" i="14" s="1"/>
  <c r="G8" i="14"/>
  <c r="F8" i="14" s="1"/>
  <c r="IJ8" i="14"/>
  <c r="IM8" i="14" s="1"/>
  <c r="OR8" i="14"/>
  <c r="O11" i="14"/>
  <c r="DI11" i="14" s="1"/>
  <c r="OM11" i="14"/>
  <c r="OO8" i="14"/>
  <c r="DD9" i="14"/>
  <c r="DG9" i="14" s="1"/>
  <c r="OK9" i="14"/>
  <c r="DD17" i="14"/>
  <c r="DG17" i="14" s="1"/>
  <c r="H7" i="14"/>
  <c r="EZ7" i="14"/>
  <c r="FC7" i="14" s="1"/>
  <c r="OO7" i="14"/>
  <c r="BZ5" i="14"/>
  <c r="CC5" i="14" s="1"/>
  <c r="G11" i="14"/>
  <c r="F11" i="14" s="1"/>
  <c r="MP8" i="14"/>
  <c r="MS8" i="14" s="1"/>
  <c r="BZ17" i="14"/>
  <c r="CC17" i="14" s="1"/>
  <c r="ED17" i="14"/>
  <c r="EG17" i="14" s="1"/>
  <c r="FV11" i="14"/>
  <c r="FY11" i="14" s="1"/>
  <c r="IJ11" i="14"/>
  <c r="IM11" i="14" s="1"/>
  <c r="OO11" i="14"/>
  <c r="OR6" i="14"/>
  <c r="G9" i="14"/>
  <c r="F9" i="14" s="1"/>
  <c r="HN9" i="14"/>
  <c r="HQ9" i="14" s="1"/>
  <c r="AV17" i="14"/>
  <c r="AY17" i="14" s="1"/>
  <c r="OR9" i="14"/>
  <c r="DD7" i="14"/>
  <c r="DG7" i="14" s="1"/>
  <c r="ED7" i="14"/>
  <c r="EG7" i="14" s="1"/>
  <c r="G5" i="14"/>
  <c r="FV5" i="14"/>
  <c r="FY5" i="14" s="1"/>
  <c r="OR5" i="14"/>
  <c r="NL11" i="14"/>
  <c r="NO11" i="14" s="1"/>
  <c r="OK11" i="14"/>
  <c r="BZ8" i="14"/>
  <c r="CC8" i="14" s="1"/>
  <c r="ED8" i="14"/>
  <c r="EG8" i="14" s="1"/>
  <c r="LT8" i="14"/>
  <c r="LW8" i="14" s="1"/>
  <c r="EZ9" i="14"/>
  <c r="FC9" i="14" s="1"/>
  <c r="MP9" i="14"/>
  <c r="MS9" i="14" s="1"/>
  <c r="G17" i="14"/>
  <c r="IJ17" i="14"/>
  <c r="IM17" i="14" s="1"/>
  <c r="NL17" i="14"/>
  <c r="NO17" i="14" s="1"/>
  <c r="OK17" i="14"/>
  <c r="O7" i="14"/>
  <c r="AV9" i="14"/>
  <c r="H17" i="14"/>
  <c r="O8" i="14"/>
  <c r="AV11" i="14"/>
  <c r="H8" i="14"/>
  <c r="H5" i="14"/>
  <c r="O9" i="14"/>
  <c r="H9" i="14"/>
  <c r="H11" i="14"/>
  <c r="LC9" i="12"/>
  <c r="OO7" i="4"/>
  <c r="OO13" i="4"/>
  <c r="OO9" i="4"/>
  <c r="OO11" i="4"/>
  <c r="BZ17" i="4"/>
  <c r="BZ12" i="4"/>
  <c r="OR11" i="4"/>
  <c r="OR10" i="4"/>
  <c r="OR9" i="4"/>
  <c r="OR8" i="4"/>
  <c r="OR7" i="4"/>
  <c r="OR6" i="4"/>
  <c r="OR5" i="4"/>
  <c r="BZ11" i="4"/>
  <c r="OR4" i="4"/>
  <c r="OO19" i="4"/>
  <c r="OM17" i="4"/>
  <c r="OM15" i="4"/>
  <c r="OM7" i="4"/>
  <c r="OM13" i="4"/>
  <c r="OM9" i="4"/>
  <c r="OM11" i="4"/>
  <c r="OM12" i="4"/>
  <c r="DD12" i="4"/>
  <c r="OO17" i="4"/>
  <c r="OO15" i="4"/>
  <c r="OM19" i="4"/>
  <c r="OO12" i="4"/>
  <c r="DD11" i="4"/>
  <c r="DG11" i="4" s="1"/>
  <c r="DD13" i="4"/>
  <c r="DG13" i="4" s="1"/>
  <c r="BZ19" i="4"/>
  <c r="BZ7" i="4"/>
  <c r="BZ15" i="4"/>
  <c r="DD7" i="4"/>
  <c r="DG7" i="4" s="1"/>
  <c r="BZ9" i="4"/>
  <c r="DD15" i="4"/>
  <c r="DG15" i="4" s="1"/>
  <c r="BZ13" i="4"/>
  <c r="DD17" i="4"/>
  <c r="DG17" i="4" s="1"/>
  <c r="DD9" i="4"/>
  <c r="DG9" i="4" s="1"/>
  <c r="DD19" i="4"/>
  <c r="DG19" i="4" s="1"/>
  <c r="LX9" i="12"/>
  <c r="HW9" i="12"/>
  <c r="IR9" i="12"/>
  <c r="HB9" i="12"/>
  <c r="JM9" i="12"/>
  <c r="KH9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LY9" i="12"/>
  <c r="LY12" i="12"/>
  <c r="LY4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LY9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LY16" i="6"/>
  <c r="LZ16" i="6"/>
  <c r="MA16" i="6"/>
  <c r="MB16" i="6"/>
  <c r="MC16" i="6"/>
  <c r="MD16" i="6"/>
  <c r="ME16" i="6"/>
  <c r="MF16" i="6"/>
  <c r="MG16" i="6"/>
  <c r="MH16" i="6"/>
  <c r="MI16" i="6"/>
  <c r="MJ16" i="6"/>
  <c r="MK16" i="6"/>
  <c r="ML16" i="6"/>
  <c r="MM16" i="6"/>
  <c r="MN16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4" i="7"/>
  <c r="LY6" i="7"/>
  <c r="LZ6" i="7"/>
  <c r="MA6" i="7"/>
  <c r="MB6" i="7"/>
  <c r="MC6" i="7"/>
  <c r="MD6" i="7"/>
  <c r="ME6" i="7"/>
  <c r="MF6" i="7"/>
  <c r="MG6" i="7"/>
  <c r="MH6" i="7"/>
  <c r="MI6" i="7"/>
  <c r="MJ6" i="7"/>
  <c r="MK6" i="7"/>
  <c r="ML6" i="7"/>
  <c r="MM6" i="7"/>
  <c r="MN6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NP12" i="4"/>
  <c r="CC9" i="12"/>
  <c r="CA9" i="12"/>
  <c r="BZ9" i="12"/>
  <c r="CC12" i="12"/>
  <c r="CA12" i="12"/>
  <c r="BZ12" i="12"/>
  <c r="CC15" i="6"/>
  <c r="CA15" i="6"/>
  <c r="BZ15" i="6"/>
  <c r="CC14" i="6"/>
  <c r="CA14" i="6"/>
  <c r="BZ14" i="6"/>
  <c r="CC10" i="6"/>
  <c r="CA10" i="6"/>
  <c r="BZ10" i="6"/>
  <c r="CC16" i="6"/>
  <c r="CA16" i="6"/>
  <c r="BZ16" i="6"/>
  <c r="CC12" i="6"/>
  <c r="CA12" i="6"/>
  <c r="BZ12" i="6"/>
  <c r="CC8" i="6"/>
  <c r="CA8" i="6"/>
  <c r="BZ8" i="6"/>
  <c r="CC9" i="6"/>
  <c r="CA9" i="6"/>
  <c r="BZ9" i="6"/>
  <c r="CC6" i="6"/>
  <c r="CA6" i="6"/>
  <c r="BZ6" i="6"/>
  <c r="CC4" i="6"/>
  <c r="CA4" i="6"/>
  <c r="BZ4" i="6"/>
  <c r="CC6" i="8"/>
  <c r="CA6" i="8"/>
  <c r="BZ6" i="8"/>
  <c r="CC5" i="8"/>
  <c r="CA5" i="8"/>
  <c r="BZ5" i="8"/>
  <c r="CC4" i="8"/>
  <c r="CA4" i="8"/>
  <c r="BZ4" i="8"/>
  <c r="CC6" i="7"/>
  <c r="CA6" i="7"/>
  <c r="BZ6" i="7"/>
  <c r="CC4" i="7"/>
  <c r="CA4" i="7"/>
  <c r="NQ12" i="4"/>
  <c r="NR12" i="4"/>
  <c r="NS12" i="4"/>
  <c r="NT12" i="4"/>
  <c r="NQ11" i="4"/>
  <c r="NR11" i="4"/>
  <c r="NS11" i="4"/>
  <c r="NQ9" i="4"/>
  <c r="NR9" i="4"/>
  <c r="NS9" i="4"/>
  <c r="NQ13" i="4"/>
  <c r="NR13" i="4"/>
  <c r="NS13" i="4"/>
  <c r="NQ7" i="4"/>
  <c r="NR7" i="4"/>
  <c r="NS7" i="4"/>
  <c r="NQ15" i="4"/>
  <c r="NR15" i="4"/>
  <c r="NS15" i="4"/>
  <c r="NQ17" i="4"/>
  <c r="NR17" i="4"/>
  <c r="NS17" i="4"/>
  <c r="NQ19" i="4"/>
  <c r="NR19" i="4"/>
  <c r="NS19" i="4"/>
  <c r="NP11" i="4"/>
  <c r="NP9" i="4"/>
  <c r="NP13" i="4"/>
  <c r="NP7" i="4"/>
  <c r="NP15" i="4"/>
  <c r="NP17" i="4"/>
  <c r="NP19" i="4"/>
  <c r="K12" i="14" l="1"/>
  <c r="L12" i="14" s="1"/>
  <c r="M5" i="7"/>
  <c r="K18" i="4"/>
  <c r="K14" i="4"/>
  <c r="M14" i="4" s="1"/>
  <c r="J17" i="6"/>
  <c r="K17" i="6" s="1"/>
  <c r="MT5" i="7"/>
  <c r="MT6" i="12"/>
  <c r="J15" i="12"/>
  <c r="L15" i="12" s="1"/>
  <c r="MT15" i="12"/>
  <c r="J14" i="12"/>
  <c r="K14" i="12" s="1"/>
  <c r="MT14" i="12"/>
  <c r="MT17" i="6"/>
  <c r="MT13" i="6"/>
  <c r="J13" i="6"/>
  <c r="CE13" i="6" s="1"/>
  <c r="M7" i="7"/>
  <c r="CF5" i="7"/>
  <c r="MT7" i="7"/>
  <c r="K16" i="4"/>
  <c r="DJ16" i="4" s="1"/>
  <c r="K16" i="14"/>
  <c r="M16" i="14" s="1"/>
  <c r="K19" i="14"/>
  <c r="DJ19" i="14" s="1"/>
  <c r="K10" i="14"/>
  <c r="L10" i="14" s="1"/>
  <c r="OP14" i="14"/>
  <c r="OP14" i="4"/>
  <c r="AY14" i="4"/>
  <c r="J14" i="4"/>
  <c r="DK16" i="4"/>
  <c r="DK14" i="4"/>
  <c r="A15" i="12"/>
  <c r="H15" i="12"/>
  <c r="I15" i="12" s="1"/>
  <c r="J5" i="12"/>
  <c r="L5" i="12" s="1"/>
  <c r="H14" i="12"/>
  <c r="I14" i="12" s="1"/>
  <c r="A14" i="12"/>
  <c r="J6" i="12"/>
  <c r="L6" i="12" s="1"/>
  <c r="MT5" i="12"/>
  <c r="H6" i="12"/>
  <c r="I6" i="12" s="1"/>
  <c r="J13" i="12"/>
  <c r="L13" i="12" s="1"/>
  <c r="MT7" i="12"/>
  <c r="H5" i="12"/>
  <c r="I5" i="12" s="1"/>
  <c r="J7" i="12"/>
  <c r="K7" i="12" s="1"/>
  <c r="H7" i="12"/>
  <c r="I7" i="12" s="1"/>
  <c r="MT13" i="12"/>
  <c r="H13" i="12"/>
  <c r="I13" i="12" s="1"/>
  <c r="A13" i="12"/>
  <c r="H13" i="6"/>
  <c r="I13" i="6" s="1"/>
  <c r="A13" i="6"/>
  <c r="L13" i="6"/>
  <c r="J11" i="6"/>
  <c r="L11" i="6" s="1"/>
  <c r="H17" i="6"/>
  <c r="I17" i="6" s="1"/>
  <c r="A17" i="6"/>
  <c r="MT11" i="6"/>
  <c r="H11" i="6"/>
  <c r="I11" i="6" s="1"/>
  <c r="A11" i="6"/>
  <c r="H7" i="7"/>
  <c r="I7" i="7" s="1"/>
  <c r="CE7" i="7"/>
  <c r="N7" i="7" s="1"/>
  <c r="K7" i="7"/>
  <c r="A7" i="7"/>
  <c r="H5" i="7"/>
  <c r="I5" i="7" s="1"/>
  <c r="A5" i="7"/>
  <c r="CE5" i="7"/>
  <c r="K5" i="7"/>
  <c r="OP16" i="14"/>
  <c r="J16" i="14"/>
  <c r="DI16" i="14"/>
  <c r="A16" i="14" a="1"/>
  <c r="A16" i="14" s="1"/>
  <c r="I16" i="14"/>
  <c r="DK16" i="14"/>
  <c r="R16" i="14"/>
  <c r="OP12" i="14"/>
  <c r="AY10" i="14"/>
  <c r="AY12" i="14"/>
  <c r="DI12" i="14"/>
  <c r="DK12" i="14"/>
  <c r="I12" i="14"/>
  <c r="J12" i="14"/>
  <c r="A12" i="14" a="1"/>
  <c r="A12" i="14" s="1"/>
  <c r="DJ12" i="14"/>
  <c r="K13" i="14"/>
  <c r="DJ13" i="14" s="1"/>
  <c r="OP7" i="14"/>
  <c r="P11" i="14"/>
  <c r="OP13" i="14"/>
  <c r="OP10" i="14"/>
  <c r="P10" i="14"/>
  <c r="J10" i="14"/>
  <c r="I10" i="14"/>
  <c r="DK10" i="14"/>
  <c r="S10" i="14" s="1"/>
  <c r="R10" i="14"/>
  <c r="OP19" i="14"/>
  <c r="K18" i="14"/>
  <c r="L18" i="14" s="1"/>
  <c r="DI14" i="14"/>
  <c r="P13" i="14"/>
  <c r="A13" i="14" a="1"/>
  <c r="A13" i="14" s="1"/>
  <c r="J13" i="14"/>
  <c r="I13" i="14"/>
  <c r="DK13" i="14"/>
  <c r="S13" i="14" s="1"/>
  <c r="R13" i="14"/>
  <c r="AY18" i="14"/>
  <c r="K4" i="14"/>
  <c r="DJ4" i="14" s="1"/>
  <c r="K14" i="14"/>
  <c r="DJ14" i="14" s="1"/>
  <c r="A14" i="14" a="1"/>
  <c r="A14" i="14" s="1"/>
  <c r="J14" i="14"/>
  <c r="I14" i="14"/>
  <c r="DK14" i="14"/>
  <c r="R14" i="14"/>
  <c r="J17" i="14"/>
  <c r="K15" i="14"/>
  <c r="DJ15" i="14" s="1"/>
  <c r="J18" i="14"/>
  <c r="J15" i="14"/>
  <c r="A15" i="14" a="1"/>
  <c r="A15" i="14" s="1"/>
  <c r="DI15" i="14"/>
  <c r="OP15" i="14"/>
  <c r="I15" i="14"/>
  <c r="DK15" i="14"/>
  <c r="R15" i="14"/>
  <c r="OP5" i="14"/>
  <c r="P5" i="14"/>
  <c r="P17" i="14"/>
  <c r="DI18" i="14"/>
  <c r="OP18" i="14"/>
  <c r="F18" i="14"/>
  <c r="A18" i="14" a="1"/>
  <c r="A18" i="14" s="1"/>
  <c r="I18" i="14"/>
  <c r="DK18" i="14"/>
  <c r="R18" i="14"/>
  <c r="AY4" i="14"/>
  <c r="AY19" i="14"/>
  <c r="J19" i="14"/>
  <c r="R9" i="14"/>
  <c r="OP4" i="14"/>
  <c r="R4" i="14"/>
  <c r="DI4" i="14"/>
  <c r="S4" i="14" s="1"/>
  <c r="J4" i="14"/>
  <c r="I4" i="14"/>
  <c r="F4" i="14"/>
  <c r="OP9" i="14"/>
  <c r="OS10" i="14"/>
  <c r="DK8" i="14"/>
  <c r="DI19" i="14"/>
  <c r="F19" i="14"/>
  <c r="A19" i="14" a="1"/>
  <c r="A19" i="14" s="1"/>
  <c r="I19" i="14"/>
  <c r="DK19" i="14"/>
  <c r="R19" i="14"/>
  <c r="OP11" i="14"/>
  <c r="DI14" i="4"/>
  <c r="F14" i="4"/>
  <c r="A14" i="4" a="1"/>
  <c r="A14" i="4" s="1"/>
  <c r="I14" i="4"/>
  <c r="AY18" i="4"/>
  <c r="OP18" i="4"/>
  <c r="AY16" i="4"/>
  <c r="DI16" i="4"/>
  <c r="OP16" i="4"/>
  <c r="J16" i="4"/>
  <c r="A16" i="4" a="1"/>
  <c r="A16" i="4" s="1"/>
  <c r="I16" i="4"/>
  <c r="DK18" i="4"/>
  <c r="DI18" i="4"/>
  <c r="A18" i="4" a="1"/>
  <c r="A18" i="4" s="1"/>
  <c r="J18" i="4"/>
  <c r="I18" i="4"/>
  <c r="DJ18" i="4"/>
  <c r="L18" i="4"/>
  <c r="M18" i="4"/>
  <c r="K7" i="14"/>
  <c r="DJ7" i="14" s="1"/>
  <c r="K8" i="14"/>
  <c r="M8" i="14" s="1"/>
  <c r="OP8" i="14"/>
  <c r="I5" i="14"/>
  <c r="DK17" i="14"/>
  <c r="S17" i="14" s="1"/>
  <c r="U17" i="14" s="1"/>
  <c r="S5" i="14"/>
  <c r="A17" i="14" a="1"/>
  <c r="A17" i="14" s="1"/>
  <c r="K17" i="14"/>
  <c r="M17" i="14" s="1"/>
  <c r="F7" i="14"/>
  <c r="F17" i="14"/>
  <c r="I7" i="14"/>
  <c r="J7" i="14"/>
  <c r="OP17" i="14"/>
  <c r="OS14" i="14" s="1"/>
  <c r="J8" i="14"/>
  <c r="F5" i="14"/>
  <c r="R7" i="14"/>
  <c r="R5" i="14"/>
  <c r="J5" i="14"/>
  <c r="K5" i="14"/>
  <c r="M5" i="14" s="1"/>
  <c r="AY11" i="14"/>
  <c r="K11" i="14"/>
  <c r="J11" i="14"/>
  <c r="DK11" i="14"/>
  <c r="S11" i="14" s="1"/>
  <c r="R11" i="14"/>
  <c r="AY9" i="14"/>
  <c r="J9" i="14"/>
  <c r="K9" i="14"/>
  <c r="I8" i="14"/>
  <c r="DI7" i="14"/>
  <c r="S7" i="14" s="1"/>
  <c r="P7" i="14"/>
  <c r="P9" i="14"/>
  <c r="DI9" i="14"/>
  <c r="S9" i="14" s="1"/>
  <c r="DI8" i="14"/>
  <c r="P8" i="14"/>
  <c r="I9" i="14"/>
  <c r="I11" i="14"/>
  <c r="I17" i="14"/>
  <c r="OK17" i="4"/>
  <c r="OP17" i="4" s="1"/>
  <c r="CD10" i="6"/>
  <c r="OK19" i="4"/>
  <c r="OP19" i="4" s="1"/>
  <c r="MR12" i="12"/>
  <c r="OK15" i="4"/>
  <c r="OP15" i="4" s="1"/>
  <c r="OK13" i="4"/>
  <c r="OP13" i="4" s="1"/>
  <c r="OK12" i="4"/>
  <c r="OP12" i="4" s="1"/>
  <c r="OK9" i="4"/>
  <c r="OP9" i="4" s="1"/>
  <c r="OK7" i="4"/>
  <c r="OP7" i="4" s="1"/>
  <c r="OK11" i="4"/>
  <c r="OP11" i="4" s="1"/>
  <c r="MR6" i="8"/>
  <c r="MR5" i="8"/>
  <c r="MR4" i="8"/>
  <c r="MR6" i="7"/>
  <c r="MR4" i="7"/>
  <c r="MP4" i="7"/>
  <c r="CD12" i="6"/>
  <c r="MR15" i="6"/>
  <c r="MR14" i="6"/>
  <c r="MR10" i="6"/>
  <c r="MR16" i="6"/>
  <c r="MR12" i="6"/>
  <c r="MR8" i="6"/>
  <c r="MR9" i="6"/>
  <c r="MR6" i="6"/>
  <c r="MR4" i="6"/>
  <c r="MQ9" i="12"/>
  <c r="MR9" i="12"/>
  <c r="MP9" i="12"/>
  <c r="MS9" i="12"/>
  <c r="CD9" i="12"/>
  <c r="CD6" i="6"/>
  <c r="CD15" i="6"/>
  <c r="CD9" i="6"/>
  <c r="CD8" i="6"/>
  <c r="CD4" i="6"/>
  <c r="CD6" i="8"/>
  <c r="CD4" i="8"/>
  <c r="CD5" i="8"/>
  <c r="CD6" i="7"/>
  <c r="CD12" i="12"/>
  <c r="CD16" i="6"/>
  <c r="CD14" i="6"/>
  <c r="CD4" i="7"/>
  <c r="DF12" i="4"/>
  <c r="DE12" i="4"/>
  <c r="AH16" i="6"/>
  <c r="AI16" i="6"/>
  <c r="AK16" i="6"/>
  <c r="BD16" i="6"/>
  <c r="BE16" i="6"/>
  <c r="BG16" i="6"/>
  <c r="CW16" i="6"/>
  <c r="CX16" i="6"/>
  <c r="CZ16" i="6"/>
  <c r="DR16" i="6"/>
  <c r="DS16" i="6"/>
  <c r="DU16" i="6"/>
  <c r="EM16" i="6"/>
  <c r="EN16" i="6"/>
  <c r="EP16" i="6"/>
  <c r="FH16" i="6"/>
  <c r="FI16" i="6"/>
  <c r="FK16" i="6"/>
  <c r="GC16" i="6"/>
  <c r="GD16" i="6"/>
  <c r="GF16" i="6"/>
  <c r="GX16" i="6"/>
  <c r="GY16" i="6"/>
  <c r="HA16" i="6"/>
  <c r="HS16" i="6"/>
  <c r="HT16" i="6"/>
  <c r="HV16" i="6"/>
  <c r="IN16" i="6"/>
  <c r="IO16" i="6"/>
  <c r="IQ16" i="6"/>
  <c r="JI16" i="6"/>
  <c r="JJ16" i="6"/>
  <c r="JL16" i="6"/>
  <c r="KD16" i="6"/>
  <c r="KE16" i="6"/>
  <c r="KG16" i="6"/>
  <c r="KY16" i="6"/>
  <c r="KZ16" i="6"/>
  <c r="LB16" i="6"/>
  <c r="LT16" i="6"/>
  <c r="LU16" i="6"/>
  <c r="LW16" i="6"/>
  <c r="AH5" i="8"/>
  <c r="AI5" i="8"/>
  <c r="AK5" i="8"/>
  <c r="BD5" i="8"/>
  <c r="BE5" i="8"/>
  <c r="BG5" i="8"/>
  <c r="CW5" i="8"/>
  <c r="CX5" i="8"/>
  <c r="CZ5" i="8"/>
  <c r="DR5" i="8"/>
  <c r="DS5" i="8"/>
  <c r="DU5" i="8"/>
  <c r="EM5" i="8"/>
  <c r="EN5" i="8"/>
  <c r="EP5" i="8"/>
  <c r="FH5" i="8"/>
  <c r="FI5" i="8"/>
  <c r="FK5" i="8"/>
  <c r="GC5" i="8"/>
  <c r="GD5" i="8"/>
  <c r="GF5" i="8"/>
  <c r="GX5" i="8"/>
  <c r="GY5" i="8"/>
  <c r="HA5" i="8"/>
  <c r="HS5" i="8"/>
  <c r="HT5" i="8"/>
  <c r="HV5" i="8"/>
  <c r="IN5" i="8"/>
  <c r="IO5" i="8"/>
  <c r="IQ5" i="8"/>
  <c r="JI5" i="8"/>
  <c r="JJ5" i="8"/>
  <c r="JL5" i="8"/>
  <c r="KD5" i="8"/>
  <c r="KE5" i="8"/>
  <c r="KG5" i="8"/>
  <c r="KY5" i="8"/>
  <c r="KZ5" i="8"/>
  <c r="LB5" i="8"/>
  <c r="LT5" i="8"/>
  <c r="LU5" i="8"/>
  <c r="LW5" i="8"/>
  <c r="AH6" i="8"/>
  <c r="AI6" i="8"/>
  <c r="AK6" i="8"/>
  <c r="BD6" i="8"/>
  <c r="BE6" i="8"/>
  <c r="BG6" i="8"/>
  <c r="CW6" i="8"/>
  <c r="CX6" i="8"/>
  <c r="CZ6" i="8"/>
  <c r="DR6" i="8"/>
  <c r="DS6" i="8"/>
  <c r="DU6" i="8"/>
  <c r="EM6" i="8"/>
  <c r="EN6" i="8"/>
  <c r="EP6" i="8"/>
  <c r="FH6" i="8"/>
  <c r="FI6" i="8"/>
  <c r="FK6" i="8"/>
  <c r="GC6" i="8"/>
  <c r="GD6" i="8"/>
  <c r="GF6" i="8"/>
  <c r="GX6" i="8"/>
  <c r="GY6" i="8"/>
  <c r="HA6" i="8"/>
  <c r="HS6" i="8"/>
  <c r="HT6" i="8"/>
  <c r="HV6" i="8"/>
  <c r="IN6" i="8"/>
  <c r="IO6" i="8"/>
  <c r="IQ6" i="8"/>
  <c r="JI6" i="8"/>
  <c r="JJ6" i="8"/>
  <c r="JL6" i="8"/>
  <c r="KD6" i="8"/>
  <c r="KE6" i="8"/>
  <c r="KG6" i="8"/>
  <c r="KY6" i="8"/>
  <c r="KZ6" i="8"/>
  <c r="LB6" i="8"/>
  <c r="LT6" i="8"/>
  <c r="LU6" i="8"/>
  <c r="LW6" i="8"/>
  <c r="CE17" i="6" l="1"/>
  <c r="OS16" i="4"/>
  <c r="OS11" i="14"/>
  <c r="M12" i="14"/>
  <c r="DH12" i="14" s="1"/>
  <c r="OS15" i="14"/>
  <c r="OS4" i="14"/>
  <c r="OS17" i="4"/>
  <c r="OS18" i="4"/>
  <c r="L14" i="4"/>
  <c r="N14" i="4" s="1"/>
  <c r="L17" i="6"/>
  <c r="M17" i="6" s="1"/>
  <c r="M19" i="14"/>
  <c r="DH19" i="14" s="1"/>
  <c r="L19" i="14"/>
  <c r="DJ10" i="14"/>
  <c r="DJ14" i="4"/>
  <c r="M16" i="4"/>
  <c r="L16" i="4"/>
  <c r="CE14" i="12"/>
  <c r="L16" i="14"/>
  <c r="OS12" i="14"/>
  <c r="OS13" i="14"/>
  <c r="DJ16" i="14"/>
  <c r="S16" i="4"/>
  <c r="U16" i="4" s="1"/>
  <c r="L14" i="12"/>
  <c r="CF14" i="12" s="1"/>
  <c r="N5" i="7"/>
  <c r="P5" i="7" s="1"/>
  <c r="S14" i="14"/>
  <c r="T14" i="14" s="1"/>
  <c r="OS7" i="14"/>
  <c r="OS17" i="14"/>
  <c r="OS16" i="14"/>
  <c r="OS18" i="14"/>
  <c r="OS19" i="14"/>
  <c r="M10" i="14"/>
  <c r="N10" i="14" s="1"/>
  <c r="OS9" i="14"/>
  <c r="OS13" i="4"/>
  <c r="OS15" i="4"/>
  <c r="OS12" i="4"/>
  <c r="OS19" i="4"/>
  <c r="OS14" i="4"/>
  <c r="CE15" i="12"/>
  <c r="K15" i="12"/>
  <c r="K5" i="12"/>
  <c r="CE5" i="12"/>
  <c r="K13" i="12"/>
  <c r="CE13" i="12"/>
  <c r="CE6" i="12"/>
  <c r="K13" i="6"/>
  <c r="CE11" i="6"/>
  <c r="K11" i="6"/>
  <c r="M13" i="14"/>
  <c r="L13" i="14"/>
  <c r="M15" i="14"/>
  <c r="L15" i="14"/>
  <c r="S18" i="14"/>
  <c r="E18" i="14" s="1"/>
  <c r="M18" i="14"/>
  <c r="DH18" i="14" s="1"/>
  <c r="DJ18" i="14"/>
  <c r="S14" i="4"/>
  <c r="E14" i="4" s="1"/>
  <c r="S18" i="4"/>
  <c r="E18" i="4" s="1"/>
  <c r="K6" i="12"/>
  <c r="M15" i="12"/>
  <c r="CF15" i="12"/>
  <c r="M6" i="12"/>
  <c r="CF6" i="12"/>
  <c r="M5" i="12"/>
  <c r="CF5" i="12"/>
  <c r="CE7" i="12"/>
  <c r="L7" i="12"/>
  <c r="M13" i="12"/>
  <c r="CF13" i="12"/>
  <c r="M13" i="6"/>
  <c r="CF13" i="6"/>
  <c r="N13" i="6" s="1"/>
  <c r="M11" i="6"/>
  <c r="CF11" i="6"/>
  <c r="E7" i="7"/>
  <c r="O7" i="7"/>
  <c r="P7" i="7"/>
  <c r="S16" i="14"/>
  <c r="T16" i="14" s="1"/>
  <c r="N16" i="14"/>
  <c r="DH16" i="14"/>
  <c r="S8" i="14"/>
  <c r="T8" i="14" s="1"/>
  <c r="S12" i="14"/>
  <c r="E12" i="14" s="1"/>
  <c r="N12" i="14"/>
  <c r="M4" i="14"/>
  <c r="DH4" i="14" s="1"/>
  <c r="L4" i="14"/>
  <c r="DJ5" i="14"/>
  <c r="T10" i="14"/>
  <c r="U10" i="14"/>
  <c r="E10" i="14"/>
  <c r="M14" i="14"/>
  <c r="L14" i="14"/>
  <c r="E13" i="14"/>
  <c r="T13" i="14"/>
  <c r="U13" i="14"/>
  <c r="S15" i="14"/>
  <c r="T15" i="14" s="1"/>
  <c r="L7" i="14"/>
  <c r="M7" i="14"/>
  <c r="DH7" i="14" s="1"/>
  <c r="OS6" i="14"/>
  <c r="OS8" i="14"/>
  <c r="T4" i="14"/>
  <c r="U4" i="14"/>
  <c r="E4" i="14"/>
  <c r="S19" i="14"/>
  <c r="E19" i="14" s="1"/>
  <c r="L8" i="14"/>
  <c r="N8" i="14" s="1"/>
  <c r="L5" i="14"/>
  <c r="N5" i="14" s="1"/>
  <c r="DJ8" i="14"/>
  <c r="DH14" i="4"/>
  <c r="OS5" i="4"/>
  <c r="N18" i="4"/>
  <c r="DH18" i="4"/>
  <c r="E5" i="14"/>
  <c r="OS5" i="14"/>
  <c r="OS6" i="4"/>
  <c r="OS4" i="4"/>
  <c r="E11" i="14"/>
  <c r="E7" i="14"/>
  <c r="L17" i="14"/>
  <c r="DJ17" i="14"/>
  <c r="E17" i="14"/>
  <c r="T17" i="14"/>
  <c r="E9" i="14"/>
  <c r="A11" i="14" s="1" a="1"/>
  <c r="A11" i="14" s="1"/>
  <c r="DH5" i="14"/>
  <c r="U11" i="14"/>
  <c r="T11" i="14"/>
  <c r="M11" i="14"/>
  <c r="L11" i="14"/>
  <c r="DJ11" i="14"/>
  <c r="DH8" i="14"/>
  <c r="U9" i="14"/>
  <c r="T9" i="14"/>
  <c r="U7" i="14"/>
  <c r="T7" i="14"/>
  <c r="N17" i="14"/>
  <c r="DH17" i="14"/>
  <c r="M9" i="14"/>
  <c r="L9" i="14"/>
  <c r="DJ9" i="14"/>
  <c r="G16" i="6"/>
  <c r="F16" i="6"/>
  <c r="OS7" i="4"/>
  <c r="OS8" i="4"/>
  <c r="OS9" i="4"/>
  <c r="OS10" i="4"/>
  <c r="OS11" i="4"/>
  <c r="DG12" i="4"/>
  <c r="MT9" i="12"/>
  <c r="BH16" i="6"/>
  <c r="F5" i="8"/>
  <c r="G6" i="8"/>
  <c r="J6" i="8"/>
  <c r="K6" i="8" s="1"/>
  <c r="L6" i="8"/>
  <c r="F6" i="8"/>
  <c r="L5" i="8"/>
  <c r="G5" i="8"/>
  <c r="J5" i="8"/>
  <c r="K5" i="8" s="1"/>
  <c r="LC6" i="8"/>
  <c r="LX16" i="6"/>
  <c r="JM16" i="6"/>
  <c r="EQ16" i="6"/>
  <c r="KH6" i="8"/>
  <c r="DV6" i="8"/>
  <c r="GG5" i="8"/>
  <c r="FL6" i="8"/>
  <c r="DV5" i="8"/>
  <c r="EQ5" i="8"/>
  <c r="LX6" i="8"/>
  <c r="HW5" i="8"/>
  <c r="HB6" i="8"/>
  <c r="LC16" i="6"/>
  <c r="HW16" i="6"/>
  <c r="DA16" i="6"/>
  <c r="AL16" i="6"/>
  <c r="GG16" i="6"/>
  <c r="IR16" i="6"/>
  <c r="HB16" i="6"/>
  <c r="FL16" i="6"/>
  <c r="HB5" i="8"/>
  <c r="IR6" i="8"/>
  <c r="GG6" i="8"/>
  <c r="BH6" i="8"/>
  <c r="DA5" i="8"/>
  <c r="EQ6" i="8"/>
  <c r="HW6" i="8"/>
  <c r="BH5" i="8"/>
  <c r="JM6" i="8"/>
  <c r="MP6" i="8"/>
  <c r="MP5" i="8"/>
  <c r="KH16" i="6"/>
  <c r="DV16" i="6"/>
  <c r="LX5" i="8"/>
  <c r="LC5" i="8"/>
  <c r="KH5" i="8"/>
  <c r="JM5" i="8"/>
  <c r="IR5" i="8"/>
  <c r="FL5" i="8"/>
  <c r="MQ6" i="8"/>
  <c r="MS6" i="8"/>
  <c r="AL5" i="8"/>
  <c r="DA6" i="8"/>
  <c r="MQ5" i="8"/>
  <c r="MS5" i="8"/>
  <c r="AL6" i="8"/>
  <c r="N16" i="4" l="1"/>
  <c r="DH16" i="4"/>
  <c r="CF17" i="6"/>
  <c r="N17" i="6" s="1"/>
  <c r="E17" i="6" s="1"/>
  <c r="N19" i="14"/>
  <c r="N14" i="14"/>
  <c r="N15" i="14"/>
  <c r="N14" i="12"/>
  <c r="O14" i="12" s="1"/>
  <c r="DH15" i="14"/>
  <c r="E14" i="14"/>
  <c r="E16" i="4"/>
  <c r="T16" i="4"/>
  <c r="M14" i="12"/>
  <c r="O5" i="7"/>
  <c r="E5" i="7"/>
  <c r="N13" i="14"/>
  <c r="U14" i="14"/>
  <c r="DH13" i="14"/>
  <c r="N11" i="6"/>
  <c r="O11" i="6" s="1"/>
  <c r="E8" i="14"/>
  <c r="U8" i="14"/>
  <c r="U18" i="14"/>
  <c r="DH10" i="14"/>
  <c r="N18" i="14"/>
  <c r="T18" i="14"/>
  <c r="N15" i="12"/>
  <c r="P15" i="12" s="1"/>
  <c r="N6" i="12"/>
  <c r="P6" i="12" s="1"/>
  <c r="N5" i="12"/>
  <c r="O5" i="12" s="1"/>
  <c r="N13" i="12"/>
  <c r="O13" i="12" s="1"/>
  <c r="N4" i="14"/>
  <c r="DH14" i="14"/>
  <c r="T14" i="4"/>
  <c r="U14" i="4"/>
  <c r="T18" i="4"/>
  <c r="U18" i="4"/>
  <c r="M7" i="12"/>
  <c r="CF7" i="12"/>
  <c r="N7" i="12" s="1"/>
  <c r="E13" i="6"/>
  <c r="O13" i="6"/>
  <c r="P13" i="6"/>
  <c r="E16" i="14"/>
  <c r="U16" i="14"/>
  <c r="T12" i="14"/>
  <c r="U12" i="14"/>
  <c r="N7" i="14"/>
  <c r="E15" i="14"/>
  <c r="U15" i="14"/>
  <c r="U19" i="14"/>
  <c r="T19" i="14"/>
  <c r="U5" i="14"/>
  <c r="T5" i="14"/>
  <c r="N11" i="14"/>
  <c r="DH11" i="14"/>
  <c r="DH9" i="14"/>
  <c r="N9" i="14"/>
  <c r="H5" i="8"/>
  <c r="I5" i="8" s="1"/>
  <c r="H6" i="8"/>
  <c r="I6" i="8" s="1"/>
  <c r="H16" i="6"/>
  <c r="I16" i="6" s="1"/>
  <c r="J16" i="6"/>
  <c r="K16" i="6" s="1"/>
  <c r="M5" i="8"/>
  <c r="M6" i="8"/>
  <c r="CF5" i="8"/>
  <c r="MT6" i="8"/>
  <c r="CE5" i="8"/>
  <c r="CF6" i="8"/>
  <c r="MT5" i="8"/>
  <c r="CE6" i="8"/>
  <c r="P17" i="6" l="1"/>
  <c r="O17" i="6"/>
  <c r="A10" i="14" a="1"/>
  <c r="A10" i="14" s="1"/>
  <c r="P14" i="12"/>
  <c r="E14" i="12"/>
  <c r="A5" i="14" a="1"/>
  <c r="A5" i="14" s="1"/>
  <c r="E11" i="6"/>
  <c r="P11" i="6"/>
  <c r="A6" i="14" a="1"/>
  <c r="A6" i="14" s="1"/>
  <c r="O15" i="12"/>
  <c r="E15" i="12"/>
  <c r="O6" i="12"/>
  <c r="E6" i="12"/>
  <c r="E5" i="12"/>
  <c r="P5" i="12"/>
  <c r="E13" i="12"/>
  <c r="P13" i="12"/>
  <c r="A4" i="14" a="1"/>
  <c r="A4" i="14" s="1"/>
  <c r="O7" i="12"/>
  <c r="P7" i="12"/>
  <c r="E7" i="12"/>
  <c r="A7" i="14" a="1"/>
  <c r="A7" i="14" s="1"/>
  <c r="A9" i="14" a="1"/>
  <c r="A9" i="14" s="1"/>
  <c r="A8" i="14" a="1"/>
  <c r="A8" i="14" s="1"/>
  <c r="CE16" i="6"/>
  <c r="L16" i="6"/>
  <c r="M16" i="6" s="1"/>
  <c r="N5" i="8"/>
  <c r="E5" i="8" s="1"/>
  <c r="N6" i="8"/>
  <c r="E6" i="8" s="1"/>
  <c r="C11" i="11" l="1"/>
  <c r="D15" i="11"/>
  <c r="C12" i="11"/>
  <c r="D16" i="11"/>
  <c r="D14" i="11"/>
  <c r="C16" i="11"/>
  <c r="C10" i="11"/>
  <c r="C13" i="11"/>
  <c r="D10" i="11"/>
  <c r="C17" i="11"/>
  <c r="D13" i="11"/>
  <c r="C14" i="11"/>
  <c r="D17" i="11"/>
  <c r="D12" i="11"/>
  <c r="D11" i="11"/>
  <c r="C15" i="11"/>
  <c r="CF16" i="6"/>
  <c r="N16" i="6" s="1"/>
  <c r="E16" i="6" s="1"/>
  <c r="P5" i="8"/>
  <c r="O5" i="8"/>
  <c r="O6" i="8"/>
  <c r="P6" i="8"/>
  <c r="P16" i="6" l="1"/>
  <c r="O16" i="6"/>
  <c r="AH6" i="6" l="1"/>
  <c r="AI6" i="6"/>
  <c r="AK6" i="6"/>
  <c r="BD6" i="6"/>
  <c r="BE6" i="6"/>
  <c r="BG6" i="6"/>
  <c r="CW6" i="6"/>
  <c r="CX6" i="6"/>
  <c r="CZ6" i="6"/>
  <c r="DR6" i="6"/>
  <c r="DS6" i="6"/>
  <c r="DU6" i="6"/>
  <c r="EM6" i="6"/>
  <c r="EN6" i="6"/>
  <c r="EP6" i="6"/>
  <c r="FH6" i="6"/>
  <c r="FI6" i="6"/>
  <c r="FK6" i="6"/>
  <c r="GC6" i="6"/>
  <c r="GD6" i="6"/>
  <c r="GF6" i="6"/>
  <c r="GX6" i="6"/>
  <c r="GY6" i="6"/>
  <c r="HA6" i="6"/>
  <c r="HS6" i="6"/>
  <c r="HT6" i="6"/>
  <c r="HV6" i="6"/>
  <c r="IN6" i="6"/>
  <c r="IO6" i="6"/>
  <c r="IQ6" i="6"/>
  <c r="JI6" i="6"/>
  <c r="JJ6" i="6"/>
  <c r="JL6" i="6"/>
  <c r="KD6" i="6"/>
  <c r="KE6" i="6"/>
  <c r="KG6" i="6"/>
  <c r="KY6" i="6"/>
  <c r="KZ6" i="6"/>
  <c r="LB6" i="6"/>
  <c r="LT6" i="6"/>
  <c r="LU6" i="6"/>
  <c r="LW6" i="6"/>
  <c r="G6" i="6" l="1"/>
  <c r="F6" i="6"/>
  <c r="HW6" i="6"/>
  <c r="GG6" i="6"/>
  <c r="EQ6" i="6"/>
  <c r="LC6" i="6"/>
  <c r="DA6" i="6"/>
  <c r="KH6" i="6"/>
  <c r="HB6" i="6"/>
  <c r="FL6" i="6"/>
  <c r="LX6" i="6"/>
  <c r="IR6" i="6"/>
  <c r="JM6" i="6"/>
  <c r="BH6" i="6"/>
  <c r="DV6" i="6"/>
  <c r="AL6" i="6"/>
  <c r="H6" i="6" l="1"/>
  <c r="I6" i="6" s="1"/>
  <c r="J6" i="6"/>
  <c r="K6" i="6" l="1"/>
  <c r="L6" i="6"/>
  <c r="M6" i="6" s="1"/>
  <c r="CE6" i="6"/>
  <c r="CF6" i="6" l="1"/>
  <c r="N6" i="6" s="1"/>
  <c r="O6" i="6" s="1"/>
  <c r="E6" i="6" l="1"/>
  <c r="P6" i="6"/>
  <c r="LB12" i="12" l="1"/>
  <c r="KZ12" i="12"/>
  <c r="KY12" i="12"/>
  <c r="KG12" i="12"/>
  <c r="KE12" i="12"/>
  <c r="KD12" i="12"/>
  <c r="JL12" i="12"/>
  <c r="JJ12" i="12"/>
  <c r="JI12" i="12"/>
  <c r="IQ12" i="12"/>
  <c r="IO12" i="12"/>
  <c r="IN12" i="12"/>
  <c r="HV12" i="12"/>
  <c r="HT12" i="12"/>
  <c r="HS12" i="12"/>
  <c r="HA12" i="12"/>
  <c r="GY12" i="12"/>
  <c r="GX12" i="12"/>
  <c r="GF9" i="12"/>
  <c r="GD9" i="12"/>
  <c r="GC9" i="12"/>
  <c r="GF12" i="12"/>
  <c r="GD12" i="12"/>
  <c r="GC12" i="12"/>
  <c r="FK9" i="12"/>
  <c r="FI9" i="12"/>
  <c r="FH9" i="12"/>
  <c r="FK12" i="12"/>
  <c r="FI12" i="12"/>
  <c r="FH12" i="12"/>
  <c r="EP9" i="12"/>
  <c r="EN9" i="12"/>
  <c r="EM9" i="12"/>
  <c r="EP12" i="12"/>
  <c r="EN12" i="12"/>
  <c r="EM12" i="12"/>
  <c r="DU9" i="12"/>
  <c r="DS9" i="12"/>
  <c r="DR9" i="12"/>
  <c r="DU12" i="12"/>
  <c r="DS12" i="12"/>
  <c r="DR12" i="12"/>
  <c r="CZ9" i="12"/>
  <c r="CX9" i="12"/>
  <c r="CW9" i="12"/>
  <c r="CZ12" i="12"/>
  <c r="CX12" i="12"/>
  <c r="CW12" i="12"/>
  <c r="LB15" i="6"/>
  <c r="KZ15" i="6"/>
  <c r="KY15" i="6"/>
  <c r="LB12" i="6"/>
  <c r="KZ12" i="6"/>
  <c r="KY12" i="6"/>
  <c r="LB14" i="6"/>
  <c r="KZ14" i="6"/>
  <c r="KY14" i="6"/>
  <c r="LB10" i="6"/>
  <c r="KZ10" i="6"/>
  <c r="KY10" i="6"/>
  <c r="LB8" i="6"/>
  <c r="KZ8" i="6"/>
  <c r="KY8" i="6"/>
  <c r="LB9" i="6"/>
  <c r="KZ9" i="6"/>
  <c r="KY9" i="6"/>
  <c r="LB4" i="6"/>
  <c r="KZ4" i="6"/>
  <c r="KY4" i="6"/>
  <c r="KG15" i="6"/>
  <c r="KE15" i="6"/>
  <c r="KD15" i="6"/>
  <c r="KG12" i="6"/>
  <c r="KE12" i="6"/>
  <c r="KD12" i="6"/>
  <c r="KG14" i="6"/>
  <c r="KE14" i="6"/>
  <c r="KD14" i="6"/>
  <c r="KG10" i="6"/>
  <c r="KE10" i="6"/>
  <c r="KD10" i="6"/>
  <c r="KG8" i="6"/>
  <c r="KE8" i="6"/>
  <c r="KD8" i="6"/>
  <c r="KG9" i="6"/>
  <c r="KE9" i="6"/>
  <c r="KD9" i="6"/>
  <c r="KG4" i="6"/>
  <c r="KE4" i="6"/>
  <c r="KD4" i="6"/>
  <c r="JL15" i="6"/>
  <c r="JJ15" i="6"/>
  <c r="JI15" i="6"/>
  <c r="JL12" i="6"/>
  <c r="JJ12" i="6"/>
  <c r="JI12" i="6"/>
  <c r="JL14" i="6"/>
  <c r="JJ14" i="6"/>
  <c r="JI14" i="6"/>
  <c r="JL10" i="6"/>
  <c r="JJ10" i="6"/>
  <c r="JI10" i="6"/>
  <c r="JL8" i="6"/>
  <c r="JJ8" i="6"/>
  <c r="JI8" i="6"/>
  <c r="JL9" i="6"/>
  <c r="JJ9" i="6"/>
  <c r="JI9" i="6"/>
  <c r="JL4" i="6"/>
  <c r="JJ4" i="6"/>
  <c r="JI4" i="6"/>
  <c r="IQ15" i="6"/>
  <c r="IO15" i="6"/>
  <c r="IN15" i="6"/>
  <c r="IQ12" i="6"/>
  <c r="IO12" i="6"/>
  <c r="IN12" i="6"/>
  <c r="IQ14" i="6"/>
  <c r="IO14" i="6"/>
  <c r="IN14" i="6"/>
  <c r="IQ10" i="6"/>
  <c r="IO10" i="6"/>
  <c r="IN10" i="6"/>
  <c r="IQ8" i="6"/>
  <c r="IO8" i="6"/>
  <c r="IN8" i="6"/>
  <c r="IQ9" i="6"/>
  <c r="IO9" i="6"/>
  <c r="IN9" i="6"/>
  <c r="IQ4" i="6"/>
  <c r="IO4" i="6"/>
  <c r="IN4" i="6"/>
  <c r="HV15" i="6"/>
  <c r="HT15" i="6"/>
  <c r="HS15" i="6"/>
  <c r="HV12" i="6"/>
  <c r="HT12" i="6"/>
  <c r="HS12" i="6"/>
  <c r="HV14" i="6"/>
  <c r="HT14" i="6"/>
  <c r="HS14" i="6"/>
  <c r="HV10" i="6"/>
  <c r="HT10" i="6"/>
  <c r="HS10" i="6"/>
  <c r="HV8" i="6"/>
  <c r="HT8" i="6"/>
  <c r="HS8" i="6"/>
  <c r="HV9" i="6"/>
  <c r="HT9" i="6"/>
  <c r="HS9" i="6"/>
  <c r="HV4" i="6"/>
  <c r="HT4" i="6"/>
  <c r="HS4" i="6"/>
  <c r="HA15" i="6"/>
  <c r="GY15" i="6"/>
  <c r="GX15" i="6"/>
  <c r="HA12" i="6"/>
  <c r="GY12" i="6"/>
  <c r="GX12" i="6"/>
  <c r="HA14" i="6"/>
  <c r="GY14" i="6"/>
  <c r="GX14" i="6"/>
  <c r="HA10" i="6"/>
  <c r="GY10" i="6"/>
  <c r="GX10" i="6"/>
  <c r="HA8" i="6"/>
  <c r="GY8" i="6"/>
  <c r="GX8" i="6"/>
  <c r="HA9" i="6"/>
  <c r="GY9" i="6"/>
  <c r="GX9" i="6"/>
  <c r="HA4" i="6"/>
  <c r="GY4" i="6"/>
  <c r="GX4" i="6"/>
  <c r="GF15" i="6"/>
  <c r="GD15" i="6"/>
  <c r="GC15" i="6"/>
  <c r="GF12" i="6"/>
  <c r="GD12" i="6"/>
  <c r="GC12" i="6"/>
  <c r="GF14" i="6"/>
  <c r="GD14" i="6"/>
  <c r="GC14" i="6"/>
  <c r="GF10" i="6"/>
  <c r="GD10" i="6"/>
  <c r="GC10" i="6"/>
  <c r="GF8" i="6"/>
  <c r="GD8" i="6"/>
  <c r="GC8" i="6"/>
  <c r="GF9" i="6"/>
  <c r="GD9" i="6"/>
  <c r="GC9" i="6"/>
  <c r="GF4" i="6"/>
  <c r="GD4" i="6"/>
  <c r="GC4" i="6"/>
  <c r="FK15" i="6"/>
  <c r="FI15" i="6"/>
  <c r="FH15" i="6"/>
  <c r="FK12" i="6"/>
  <c r="FI12" i="6"/>
  <c r="FH12" i="6"/>
  <c r="FK14" i="6"/>
  <c r="FI14" i="6"/>
  <c r="FH14" i="6"/>
  <c r="FK10" i="6"/>
  <c r="FI10" i="6"/>
  <c r="FH10" i="6"/>
  <c r="FK8" i="6"/>
  <c r="FI8" i="6"/>
  <c r="FH8" i="6"/>
  <c r="FK9" i="6"/>
  <c r="FI9" i="6"/>
  <c r="FH9" i="6"/>
  <c r="FK4" i="6"/>
  <c r="FI4" i="6"/>
  <c r="FH4" i="6"/>
  <c r="EP15" i="6"/>
  <c r="EN15" i="6"/>
  <c r="EM15" i="6"/>
  <c r="EP12" i="6"/>
  <c r="EN12" i="6"/>
  <c r="EM12" i="6"/>
  <c r="EP14" i="6"/>
  <c r="EN14" i="6"/>
  <c r="EM14" i="6"/>
  <c r="EP10" i="6"/>
  <c r="EN10" i="6"/>
  <c r="EM10" i="6"/>
  <c r="EP8" i="6"/>
  <c r="EN8" i="6"/>
  <c r="EM8" i="6"/>
  <c r="EP9" i="6"/>
  <c r="EN9" i="6"/>
  <c r="EM9" i="6"/>
  <c r="EP4" i="6"/>
  <c r="EN4" i="6"/>
  <c r="EM4" i="6"/>
  <c r="DU15" i="6"/>
  <c r="DS15" i="6"/>
  <c r="DR15" i="6"/>
  <c r="DU12" i="6"/>
  <c r="DS12" i="6"/>
  <c r="DR12" i="6"/>
  <c r="DU14" i="6"/>
  <c r="DS14" i="6"/>
  <c r="DR14" i="6"/>
  <c r="DU10" i="6"/>
  <c r="DS10" i="6"/>
  <c r="DR10" i="6"/>
  <c r="DU8" i="6"/>
  <c r="DS8" i="6"/>
  <c r="DR8" i="6"/>
  <c r="DU9" i="6"/>
  <c r="DS9" i="6"/>
  <c r="DR9" i="6"/>
  <c r="DU4" i="6"/>
  <c r="DS4" i="6"/>
  <c r="DR4" i="6"/>
  <c r="CZ15" i="6"/>
  <c r="CX15" i="6"/>
  <c r="CW15" i="6"/>
  <c r="CZ12" i="6"/>
  <c r="CX12" i="6"/>
  <c r="CW12" i="6"/>
  <c r="CZ14" i="6"/>
  <c r="CX14" i="6"/>
  <c r="CW14" i="6"/>
  <c r="CZ10" i="6"/>
  <c r="CX10" i="6"/>
  <c r="CW10" i="6"/>
  <c r="CZ8" i="6"/>
  <c r="CX8" i="6"/>
  <c r="CW8" i="6"/>
  <c r="CZ9" i="6"/>
  <c r="CX9" i="6"/>
  <c r="CW9" i="6"/>
  <c r="CZ4" i="6"/>
  <c r="CX4" i="6"/>
  <c r="CW4" i="6"/>
  <c r="LB4" i="8"/>
  <c r="KZ4" i="8"/>
  <c r="KY4" i="8"/>
  <c r="KG4" i="8"/>
  <c r="KE4" i="8"/>
  <c r="KD4" i="8"/>
  <c r="JL4" i="8"/>
  <c r="JJ4" i="8"/>
  <c r="JI4" i="8"/>
  <c r="IQ4" i="8"/>
  <c r="IO4" i="8"/>
  <c r="IN4" i="8"/>
  <c r="HV4" i="8"/>
  <c r="HT4" i="8"/>
  <c r="HS4" i="8"/>
  <c r="HA4" i="8"/>
  <c r="GY4" i="8"/>
  <c r="GX4" i="8"/>
  <c r="GF4" i="8"/>
  <c r="GD4" i="8"/>
  <c r="GC4" i="8"/>
  <c r="FK4" i="8"/>
  <c r="FI4" i="8"/>
  <c r="FH4" i="8"/>
  <c r="EP4" i="8"/>
  <c r="EN4" i="8"/>
  <c r="EM4" i="8"/>
  <c r="DU4" i="8"/>
  <c r="DS4" i="8"/>
  <c r="DR4" i="8"/>
  <c r="CZ4" i="8"/>
  <c r="CX4" i="8"/>
  <c r="CW4" i="8"/>
  <c r="LB6" i="7"/>
  <c r="KZ6" i="7"/>
  <c r="KY6" i="7"/>
  <c r="LB4" i="7"/>
  <c r="KZ4" i="7"/>
  <c r="KY4" i="7"/>
  <c r="KG6" i="7"/>
  <c r="KE6" i="7"/>
  <c r="KD6" i="7"/>
  <c r="KG4" i="7"/>
  <c r="KE4" i="7"/>
  <c r="KD4" i="7"/>
  <c r="JL6" i="7"/>
  <c r="JJ6" i="7"/>
  <c r="JI6" i="7"/>
  <c r="JL4" i="7"/>
  <c r="JJ4" i="7"/>
  <c r="JI4" i="7"/>
  <c r="IQ6" i="7"/>
  <c r="IO6" i="7"/>
  <c r="IN6" i="7"/>
  <c r="IQ4" i="7"/>
  <c r="IO4" i="7"/>
  <c r="HV6" i="7"/>
  <c r="HT6" i="7"/>
  <c r="HS6" i="7"/>
  <c r="HV4" i="7"/>
  <c r="HT4" i="7"/>
  <c r="HA6" i="7"/>
  <c r="GY6" i="7"/>
  <c r="GX6" i="7"/>
  <c r="HA4" i="7"/>
  <c r="GY4" i="7"/>
  <c r="GF6" i="7"/>
  <c r="GD6" i="7"/>
  <c r="GC6" i="7"/>
  <c r="GF4" i="7"/>
  <c r="GD4" i="7"/>
  <c r="FK6" i="7"/>
  <c r="FI6" i="7"/>
  <c r="FH6" i="7"/>
  <c r="FK4" i="7"/>
  <c r="FI4" i="7"/>
  <c r="EP6" i="7"/>
  <c r="EN6" i="7"/>
  <c r="EM6" i="7"/>
  <c r="EP4" i="7"/>
  <c r="EN4" i="7"/>
  <c r="DU6" i="7"/>
  <c r="DS6" i="7"/>
  <c r="DR6" i="7"/>
  <c r="DU4" i="7"/>
  <c r="DS4" i="7"/>
  <c r="CZ6" i="7"/>
  <c r="CX6" i="7"/>
  <c r="CW6" i="7"/>
  <c r="CZ4" i="7"/>
  <c r="CX4" i="7"/>
  <c r="HB4" i="6" l="1"/>
  <c r="HB8" i="6"/>
  <c r="KH4" i="6"/>
  <c r="KH8" i="6"/>
  <c r="DA4" i="6"/>
  <c r="DA8" i="6"/>
  <c r="EQ8" i="6"/>
  <c r="GG8" i="6"/>
  <c r="HW4" i="6"/>
  <c r="HW8" i="6"/>
  <c r="JM4" i="6"/>
  <c r="JM8" i="6"/>
  <c r="HB4" i="7"/>
  <c r="KH4" i="7"/>
  <c r="LC12" i="12"/>
  <c r="DA4" i="8"/>
  <c r="JM4" i="8"/>
  <c r="HW4" i="7"/>
  <c r="DV9" i="6"/>
  <c r="DV10" i="6"/>
  <c r="DV12" i="6"/>
  <c r="DV15" i="6"/>
  <c r="HW9" i="6"/>
  <c r="HW10" i="6"/>
  <c r="HW12" i="6"/>
  <c r="HW15" i="6"/>
  <c r="KH9" i="6"/>
  <c r="KH10" i="6"/>
  <c r="KH12" i="6"/>
  <c r="KH15" i="6"/>
  <c r="LC9" i="6"/>
  <c r="LC10" i="6"/>
  <c r="LC12" i="6"/>
  <c r="LC15" i="6"/>
  <c r="HW6" i="7"/>
  <c r="IR4" i="7"/>
  <c r="LC4" i="7"/>
  <c r="HB6" i="7"/>
  <c r="KH6" i="7"/>
  <c r="FL12" i="12"/>
  <c r="GG9" i="12"/>
  <c r="HB12" i="12"/>
  <c r="FL10" i="6"/>
  <c r="FL12" i="6"/>
  <c r="FL15" i="6"/>
  <c r="GG12" i="6"/>
  <c r="HB12" i="6"/>
  <c r="HB15" i="6"/>
  <c r="JM15" i="6"/>
  <c r="IR4" i="8"/>
  <c r="HB4" i="8"/>
  <c r="FL4" i="7"/>
  <c r="IR6" i="7"/>
  <c r="IR12" i="12"/>
  <c r="HW12" i="12"/>
  <c r="EQ9" i="12"/>
  <c r="FL9" i="12"/>
  <c r="DA9" i="12"/>
  <c r="DV12" i="12"/>
  <c r="GG12" i="12"/>
  <c r="DA12" i="12"/>
  <c r="DV9" i="12"/>
  <c r="JM12" i="12"/>
  <c r="KH12" i="12"/>
  <c r="IR14" i="6"/>
  <c r="DA15" i="6"/>
  <c r="EQ15" i="6"/>
  <c r="LC8" i="6"/>
  <c r="GG9" i="6"/>
  <c r="GG15" i="6"/>
  <c r="IR9" i="6"/>
  <c r="IR10" i="6"/>
  <c r="IR15" i="6"/>
  <c r="JM12" i="6"/>
  <c r="DV14" i="6"/>
  <c r="FL4" i="6"/>
  <c r="FL8" i="6"/>
  <c r="LC14" i="6"/>
  <c r="EQ9" i="6"/>
  <c r="EQ10" i="6"/>
  <c r="EQ12" i="6"/>
  <c r="FL14" i="6"/>
  <c r="GG10" i="6"/>
  <c r="HB14" i="6"/>
  <c r="JM14" i="6"/>
  <c r="DA14" i="6"/>
  <c r="IR12" i="6"/>
  <c r="DV4" i="6"/>
  <c r="DV8" i="6"/>
  <c r="FL9" i="6"/>
  <c r="GG4" i="6"/>
  <c r="HB9" i="6"/>
  <c r="HB10" i="6"/>
  <c r="HW14" i="6"/>
  <c r="JM9" i="6"/>
  <c r="JM10" i="6"/>
  <c r="KH14" i="6"/>
  <c r="DA9" i="6"/>
  <c r="DA10" i="6"/>
  <c r="DA12" i="6"/>
  <c r="EQ14" i="6"/>
  <c r="GG14" i="6"/>
  <c r="IR4" i="6"/>
  <c r="IR8" i="6"/>
  <c r="LC4" i="6"/>
  <c r="DV4" i="8"/>
  <c r="HW4" i="8"/>
  <c r="EQ4" i="8"/>
  <c r="FL4" i="8"/>
  <c r="KH4" i="8"/>
  <c r="GG4" i="8"/>
  <c r="LC4" i="8"/>
  <c r="EQ4" i="7"/>
  <c r="DA4" i="7"/>
  <c r="JM4" i="7"/>
  <c r="DA6" i="7"/>
  <c r="EQ6" i="7"/>
  <c r="LC6" i="7"/>
  <c r="GG4" i="7"/>
  <c r="DV4" i="7"/>
  <c r="FL6" i="7"/>
  <c r="DV6" i="7"/>
  <c r="GG6" i="7"/>
  <c r="JM6" i="7"/>
  <c r="EQ12" i="12"/>
  <c r="EQ4" i="6"/>
  <c r="AI4" i="7" l="1"/>
  <c r="AK4" i="7"/>
  <c r="BE4" i="7"/>
  <c r="BG4" i="7"/>
  <c r="LT4" i="7"/>
  <c r="LU4" i="7"/>
  <c r="LW4" i="7"/>
  <c r="G4" i="7" l="1"/>
  <c r="F4" i="7"/>
  <c r="L4" i="7"/>
  <c r="CF4" i="7" s="1"/>
  <c r="J4" i="7"/>
  <c r="K4" i="7" s="1"/>
  <c r="LX4" i="7"/>
  <c r="BH4" i="7"/>
  <c r="AL4" i="7"/>
  <c r="H4" i="7" l="1"/>
  <c r="I4" i="7" s="1"/>
  <c r="CE4" i="7"/>
  <c r="N4" i="7" s="1"/>
  <c r="P4" i="7" s="1"/>
  <c r="M4" i="7"/>
  <c r="E4" i="7" l="1"/>
  <c r="O4" i="7"/>
  <c r="AK12" i="12" l="1"/>
  <c r="AI12" i="12"/>
  <c r="AH12" i="12"/>
  <c r="AK9" i="12"/>
  <c r="AI9" i="12"/>
  <c r="AH9" i="12"/>
  <c r="AK8" i="6"/>
  <c r="AI8" i="6"/>
  <c r="AH8" i="6"/>
  <c r="AK10" i="6"/>
  <c r="AI10" i="6"/>
  <c r="AH10" i="6"/>
  <c r="AK12" i="6"/>
  <c r="AI12" i="6"/>
  <c r="AH12" i="6"/>
  <c r="AK9" i="6"/>
  <c r="AI9" i="6"/>
  <c r="AH9" i="6"/>
  <c r="AK14" i="6"/>
  <c r="AI14" i="6"/>
  <c r="AH14" i="6"/>
  <c r="AK4" i="6"/>
  <c r="AI4" i="6"/>
  <c r="AH4" i="6"/>
  <c r="AK15" i="6"/>
  <c r="AI15" i="6"/>
  <c r="AH15" i="6"/>
  <c r="AK4" i="8"/>
  <c r="AI4" i="8"/>
  <c r="AK6" i="7"/>
  <c r="AI6" i="7"/>
  <c r="AH6" i="7"/>
  <c r="AX17" i="4"/>
  <c r="AW17" i="4"/>
  <c r="AU17" i="4"/>
  <c r="AQ17" i="4"/>
  <c r="AX19" i="4"/>
  <c r="AW19" i="4"/>
  <c r="AU19" i="4"/>
  <c r="AQ19" i="4"/>
  <c r="AX15" i="4"/>
  <c r="AW15" i="4"/>
  <c r="AU15" i="4"/>
  <c r="AQ15" i="4"/>
  <c r="AX13" i="4"/>
  <c r="AW13" i="4"/>
  <c r="AU13" i="4"/>
  <c r="AQ13" i="4"/>
  <c r="AX7" i="4"/>
  <c r="AW7" i="4"/>
  <c r="AU7" i="4"/>
  <c r="AQ7" i="4"/>
  <c r="AX9" i="4"/>
  <c r="AW9" i="4"/>
  <c r="AU9" i="4"/>
  <c r="AQ9" i="4"/>
  <c r="AX11" i="4"/>
  <c r="AW11" i="4"/>
  <c r="AU11" i="4"/>
  <c r="AQ11" i="4"/>
  <c r="AX12" i="4"/>
  <c r="AW12" i="4"/>
  <c r="AQ12" i="4"/>
  <c r="AV12" i="4" s="1"/>
  <c r="K12" i="4" l="1"/>
  <c r="AV11" i="4"/>
  <c r="AV7" i="4"/>
  <c r="K7" i="4" s="1"/>
  <c r="AV13" i="4"/>
  <c r="AV19" i="4"/>
  <c r="AV9" i="4"/>
  <c r="AV15" i="4"/>
  <c r="AV17" i="4"/>
  <c r="AL6" i="7"/>
  <c r="AL4" i="6"/>
  <c r="AL14" i="6"/>
  <c r="AL9" i="6"/>
  <c r="AL12" i="12"/>
  <c r="AL4" i="8"/>
  <c r="AL9" i="12"/>
  <c r="AL15" i="6"/>
  <c r="AL12" i="6"/>
  <c r="AL8" i="6"/>
  <c r="AL10" i="6"/>
  <c r="K17" i="4" l="1"/>
  <c r="K19" i="4"/>
  <c r="K13" i="4"/>
  <c r="K9" i="4"/>
  <c r="K15" i="4"/>
  <c r="K11" i="4"/>
  <c r="M12" i="4"/>
  <c r="AY11" i="4"/>
  <c r="AY19" i="4"/>
  <c r="AY13" i="4"/>
  <c r="AY17" i="4"/>
  <c r="AY15" i="4"/>
  <c r="AY7" i="4"/>
  <c r="AY12" i="4"/>
  <c r="AY9" i="4"/>
  <c r="NM17" i="4" l="1"/>
  <c r="NM19" i="4"/>
  <c r="NM15" i="4"/>
  <c r="NM13" i="4"/>
  <c r="NM7" i="4"/>
  <c r="NM9" i="4"/>
  <c r="NM11" i="4"/>
  <c r="NM12" i="4"/>
  <c r="CA17" i="4"/>
  <c r="CA19" i="4"/>
  <c r="CA15" i="4"/>
  <c r="CA13" i="4"/>
  <c r="CA7" i="4"/>
  <c r="CA9" i="4"/>
  <c r="CA11" i="4"/>
  <c r="CA12" i="4"/>
  <c r="MP9" i="6" l="1"/>
  <c r="MP6" i="6"/>
  <c r="MP4" i="8"/>
  <c r="MQ12" i="12"/>
  <c r="MS12" i="12"/>
  <c r="MS12" i="6"/>
  <c r="MP10" i="6"/>
  <c r="MP16" i="6"/>
  <c r="MP12" i="6"/>
  <c r="MS10" i="6"/>
  <c r="MQ10" i="6"/>
  <c r="MP8" i="6"/>
  <c r="MS9" i="6"/>
  <c r="MS6" i="6"/>
  <c r="MP4" i="6"/>
  <c r="MP15" i="6"/>
  <c r="MP14" i="6"/>
  <c r="MS14" i="6"/>
  <c r="MQ14" i="6"/>
  <c r="MS8" i="6"/>
  <c r="MQ8" i="6"/>
  <c r="MQ9" i="6"/>
  <c r="MQ4" i="6"/>
  <c r="MQ6" i="6"/>
  <c r="MS4" i="6"/>
  <c r="MS15" i="6"/>
  <c r="MS16" i="6"/>
  <c r="MQ12" i="6"/>
  <c r="MQ4" i="8"/>
  <c r="MS4" i="8"/>
  <c r="MQ6" i="7"/>
  <c r="MQ4" i="7"/>
  <c r="MP6" i="7"/>
  <c r="MS6" i="7"/>
  <c r="MS4" i="7"/>
  <c r="MP12" i="12"/>
  <c r="MQ16" i="6"/>
  <c r="MQ15" i="6"/>
  <c r="MT8" i="6" l="1"/>
  <c r="MT6" i="6"/>
  <c r="MT12" i="12"/>
  <c r="MT9" i="6"/>
  <c r="MT14" i="6"/>
  <c r="MT4" i="7"/>
  <c r="MT6" i="7"/>
  <c r="MT10" i="6"/>
  <c r="MT12" i="6"/>
  <c r="MT4" i="8"/>
  <c r="MT4" i="6"/>
  <c r="MT15" i="6"/>
  <c r="MT16" i="6"/>
  <c r="LT8" i="6"/>
  <c r="LT10" i="6"/>
  <c r="LT12" i="6"/>
  <c r="LT9" i="6"/>
  <c r="LT14" i="6"/>
  <c r="LT4" i="6"/>
  <c r="LT15" i="6"/>
  <c r="LT12" i="12" l="1"/>
  <c r="BD9" i="12"/>
  <c r="BD12" i="12"/>
  <c r="BD8" i="6"/>
  <c r="BD10" i="6"/>
  <c r="BD12" i="6"/>
  <c r="BD9" i="6"/>
  <c r="BD14" i="6"/>
  <c r="BD4" i="6"/>
  <c r="BD15" i="6"/>
  <c r="LU4" i="8" l="1"/>
  <c r="BE4" i="8"/>
  <c r="LU6" i="7"/>
  <c r="BE6" i="7"/>
  <c r="BG9" i="12"/>
  <c r="BE9" i="12"/>
  <c r="G9" i="12" s="1"/>
  <c r="LW12" i="12"/>
  <c r="LU12" i="12"/>
  <c r="BG12" i="12"/>
  <c r="BE12" i="12"/>
  <c r="G4" i="8" l="1"/>
  <c r="G12" i="12"/>
  <c r="F12" i="12"/>
  <c r="F9" i="12"/>
  <c r="J6" i="7"/>
  <c r="K6" i="7" s="1"/>
  <c r="G6" i="7"/>
  <c r="J4" i="8"/>
  <c r="K4" i="8" s="1"/>
  <c r="LX12" i="12"/>
  <c r="BH9" i="12"/>
  <c r="J9" i="12" s="1"/>
  <c r="BH12" i="12"/>
  <c r="J12" i="12" s="1"/>
  <c r="H12" i="12" l="1"/>
  <c r="I12" i="12" s="1"/>
  <c r="H9" i="12"/>
  <c r="I9" i="12" s="1"/>
  <c r="L12" i="12"/>
  <c r="M12" i="12" s="1"/>
  <c r="K12" i="12"/>
  <c r="K9" i="12"/>
  <c r="L9" i="12"/>
  <c r="M9" i="12" s="1"/>
  <c r="CE12" i="12"/>
  <c r="CE9" i="12" l="1"/>
  <c r="CF9" i="12"/>
  <c r="N9" i="12" l="1"/>
  <c r="O9" i="12" s="1"/>
  <c r="CF12" i="12"/>
  <c r="N12" i="12" s="1"/>
  <c r="P12" i="12" s="1"/>
  <c r="P9" i="12" l="1"/>
  <c r="E9" i="12"/>
  <c r="E12" i="12"/>
  <c r="O12" i="12"/>
  <c r="A6" i="12" l="1"/>
  <c r="A5" i="12"/>
  <c r="A7" i="12"/>
  <c r="A10" i="12"/>
  <c r="A8" i="12"/>
  <c r="A4" i="12"/>
  <c r="A12" i="12"/>
  <c r="A9" i="12"/>
  <c r="BE15" i="6"/>
  <c r="BG15" i="6"/>
  <c r="BE12" i="6"/>
  <c r="BG12" i="6"/>
  <c r="BE9" i="6"/>
  <c r="BG9" i="6"/>
  <c r="BE14" i="6"/>
  <c r="BG14" i="6"/>
  <c r="BE8" i="6"/>
  <c r="BG8" i="6"/>
  <c r="BE10" i="6"/>
  <c r="BG10" i="6"/>
  <c r="BG4" i="6"/>
  <c r="BE4" i="6"/>
  <c r="LW10" i="6"/>
  <c r="LU10" i="6"/>
  <c r="LW8" i="6"/>
  <c r="LU8" i="6"/>
  <c r="LW14" i="6"/>
  <c r="LU14" i="6"/>
  <c r="LW9" i="6"/>
  <c r="LU9" i="6"/>
  <c r="LW12" i="6"/>
  <c r="LU12" i="6"/>
  <c r="LW15" i="6"/>
  <c r="LU15" i="6"/>
  <c r="LW4" i="6"/>
  <c r="LU4" i="6"/>
  <c r="C42" i="11" l="1"/>
  <c r="C49" i="11"/>
  <c r="C43" i="11"/>
  <c r="C44" i="11"/>
  <c r="C45" i="11"/>
  <c r="C46" i="11"/>
  <c r="C47" i="11"/>
  <c r="C48" i="11"/>
  <c r="G10" i="6"/>
  <c r="F10" i="6"/>
  <c r="G12" i="6"/>
  <c r="F12" i="6"/>
  <c r="G8" i="6"/>
  <c r="F8" i="6"/>
  <c r="G15" i="6"/>
  <c r="F15" i="6"/>
  <c r="G9" i="6"/>
  <c r="F9" i="6"/>
  <c r="G4" i="6"/>
  <c r="F4" i="6"/>
  <c r="G14" i="6"/>
  <c r="F14" i="6"/>
  <c r="D43" i="11"/>
  <c r="D48" i="11"/>
  <c r="D49" i="11"/>
  <c r="D42" i="11"/>
  <c r="D44" i="11"/>
  <c r="D45" i="11"/>
  <c r="D46" i="11"/>
  <c r="D47" i="11"/>
  <c r="LX4" i="6"/>
  <c r="LX14" i="6"/>
  <c r="LX15" i="6"/>
  <c r="BH4" i="6"/>
  <c r="J4" i="6" s="1"/>
  <c r="BH10" i="6"/>
  <c r="J10" i="6" s="1"/>
  <c r="BH14" i="6"/>
  <c r="J14" i="6" s="1"/>
  <c r="BH12" i="6"/>
  <c r="J12" i="6" s="1"/>
  <c r="LX12" i="6"/>
  <c r="BH9" i="6"/>
  <c r="J9" i="6" s="1"/>
  <c r="BH8" i="6"/>
  <c r="J8" i="6" s="1"/>
  <c r="BH15" i="6"/>
  <c r="J15" i="6" s="1"/>
  <c r="LX8" i="6"/>
  <c r="LX9" i="6"/>
  <c r="LX10" i="6"/>
  <c r="H15" i="6" l="1"/>
  <c r="I15" i="6" s="1"/>
  <c r="H9" i="6"/>
  <c r="I9" i="6" s="1"/>
  <c r="H8" i="6"/>
  <c r="I8" i="6" s="1"/>
  <c r="H14" i="6"/>
  <c r="I14" i="6" s="1"/>
  <c r="H12" i="6"/>
  <c r="I12" i="6" s="1"/>
  <c r="H4" i="6"/>
  <c r="I4" i="6" s="1"/>
  <c r="H10" i="6"/>
  <c r="I10" i="6" s="1"/>
  <c r="L12" i="6"/>
  <c r="M12" i="6" s="1"/>
  <c r="K12" i="6"/>
  <c r="K14" i="6"/>
  <c r="L14" i="6"/>
  <c r="M14" i="6" s="1"/>
  <c r="K15" i="6"/>
  <c r="L15" i="6"/>
  <c r="M15" i="6" s="1"/>
  <c r="K10" i="6"/>
  <c r="L10" i="6"/>
  <c r="M10" i="6" s="1"/>
  <c r="L4" i="6"/>
  <c r="M4" i="6" s="1"/>
  <c r="K4" i="6"/>
  <c r="K8" i="6"/>
  <c r="L8" i="6"/>
  <c r="M8" i="6" s="1"/>
  <c r="L9" i="6"/>
  <c r="M9" i="6" s="1"/>
  <c r="K9" i="6"/>
  <c r="NI12" i="4"/>
  <c r="G12" i="4" s="1"/>
  <c r="F12" i="4" s="1"/>
  <c r="NI11" i="4"/>
  <c r="G11" i="4" s="1"/>
  <c r="F11" i="4" s="1"/>
  <c r="NI9" i="4"/>
  <c r="G9" i="4" s="1"/>
  <c r="F9" i="4" s="1"/>
  <c r="NI15" i="4"/>
  <c r="G15" i="4" s="1"/>
  <c r="F15" i="4" s="1"/>
  <c r="NI7" i="4"/>
  <c r="G7" i="4" s="1"/>
  <c r="NI19" i="4"/>
  <c r="G19" i="4" s="1"/>
  <c r="F19" i="4" s="1"/>
  <c r="NI13" i="4"/>
  <c r="G13" i="4" s="1"/>
  <c r="F13" i="4" s="1"/>
  <c r="NI17" i="4"/>
  <c r="G17" i="4" s="1"/>
  <c r="F17" i="4" s="1"/>
  <c r="F7" i="4" l="1"/>
  <c r="BG4" i="8"/>
  <c r="L4" i="8" s="1"/>
  <c r="M4" i="8" s="1"/>
  <c r="BD4" i="8"/>
  <c r="BG6" i="7"/>
  <c r="L6" i="7" s="1"/>
  <c r="M6" i="7" s="1"/>
  <c r="BD6" i="7"/>
  <c r="CB17" i="4"/>
  <c r="CB13" i="4"/>
  <c r="CB19" i="4"/>
  <c r="CB7" i="4"/>
  <c r="CB15" i="4"/>
  <c r="CB9" i="4"/>
  <c r="CB11" i="4"/>
  <c r="CB12" i="4"/>
  <c r="Q7" i="4" l="1"/>
  <c r="R7" i="4" s="1"/>
  <c r="O7" i="4"/>
  <c r="O19" i="4"/>
  <c r="Q19" i="4"/>
  <c r="R19" i="4" s="1"/>
  <c r="O17" i="4"/>
  <c r="Q17" i="4"/>
  <c r="R17" i="4" s="1"/>
  <c r="Q13" i="4"/>
  <c r="R13" i="4" s="1"/>
  <c r="O13" i="4"/>
  <c r="Q12" i="4"/>
  <c r="O12" i="4"/>
  <c r="Q11" i="4"/>
  <c r="R11" i="4" s="1"/>
  <c r="O11" i="4"/>
  <c r="Q9" i="4"/>
  <c r="R9" i="4" s="1"/>
  <c r="O9" i="4"/>
  <c r="O15" i="4"/>
  <c r="Q15" i="4"/>
  <c r="R15" i="4" s="1"/>
  <c r="BH4" i="8"/>
  <c r="R12" i="4" l="1"/>
  <c r="P17" i="4"/>
  <c r="P13" i="4"/>
  <c r="P9" i="4"/>
  <c r="P11" i="4"/>
  <c r="P19" i="4"/>
  <c r="P12" i="4"/>
  <c r="P7" i="4"/>
  <c r="P15" i="4"/>
  <c r="CC12" i="4"/>
  <c r="CC7" i="4"/>
  <c r="CC11" i="4"/>
  <c r="CC19" i="4"/>
  <c r="CC15" i="4"/>
  <c r="CC9" i="4"/>
  <c r="CC17" i="4"/>
  <c r="CC13" i="4"/>
  <c r="CF15" i="6"/>
  <c r="CF12" i="6"/>
  <c r="CF14" i="6"/>
  <c r="CF8" i="6"/>
  <c r="CF10" i="6"/>
  <c r="CF9" i="6"/>
  <c r="CF4" i="6"/>
  <c r="CE6" i="7"/>
  <c r="BH6" i="7"/>
  <c r="CE4" i="8"/>
  <c r="M13" i="4" l="1"/>
  <c r="L13" i="4"/>
  <c r="L7" i="4"/>
  <c r="M7" i="4"/>
  <c r="M15" i="4"/>
  <c r="L15" i="4"/>
  <c r="L12" i="4"/>
  <c r="M9" i="4"/>
  <c r="L9" i="4"/>
  <c r="M17" i="4"/>
  <c r="L17" i="4"/>
  <c r="M19" i="4"/>
  <c r="L19" i="4"/>
  <c r="L11" i="4"/>
  <c r="M11" i="4"/>
  <c r="N7" i="4" l="1"/>
  <c r="N11" i="4"/>
  <c r="N9" i="4"/>
  <c r="N12" i="4"/>
  <c r="N15" i="4"/>
  <c r="N19" i="4"/>
  <c r="N17" i="4"/>
  <c r="N13" i="4"/>
  <c r="CE14" i="6" l="1"/>
  <c r="N14" i="6" l="1"/>
  <c r="P14" i="6" s="1"/>
  <c r="O14" i="6" l="1"/>
  <c r="E14" i="6"/>
  <c r="NJ12" i="4"/>
  <c r="NK12" i="4"/>
  <c r="NN12" i="4"/>
  <c r="DK12" i="4" s="1"/>
  <c r="H12" i="4" l="1"/>
  <c r="DI12" i="4"/>
  <c r="S12" i="4" s="1"/>
  <c r="DH12" i="4"/>
  <c r="NL12" i="4"/>
  <c r="J12" i="4" s="1"/>
  <c r="I12" i="4" l="1"/>
  <c r="NO12" i="4"/>
  <c r="DJ12" i="4"/>
  <c r="U12" i="4" l="1"/>
  <c r="E12" i="4"/>
  <c r="T12" i="4"/>
  <c r="LW6" i="7" l="1"/>
  <c r="LT6" i="7"/>
  <c r="LW4" i="8"/>
  <c r="LT4" i="8"/>
  <c r="F6" i="7" l="1"/>
  <c r="F4" i="8"/>
  <c r="H4" i="8" s="1"/>
  <c r="CF4" i="8"/>
  <c r="CF6" i="7"/>
  <c r="LX6" i="7"/>
  <c r="LX4" i="8"/>
  <c r="NN7" i="4"/>
  <c r="NK7" i="4"/>
  <c r="NJ7" i="4"/>
  <c r="NN19" i="4"/>
  <c r="NK19" i="4"/>
  <c r="NJ19" i="4"/>
  <c r="H7" i="4" l="1"/>
  <c r="DI7" i="4"/>
  <c r="H19" i="4"/>
  <c r="DI19" i="4"/>
  <c r="H6" i="7"/>
  <c r="I6" i="7" s="1"/>
  <c r="I4" i="8"/>
  <c r="DH19" i="4"/>
  <c r="DK19" i="4"/>
  <c r="N6" i="7"/>
  <c r="P6" i="7" s="1"/>
  <c r="DH7" i="4"/>
  <c r="DK7" i="4"/>
  <c r="NL7" i="4"/>
  <c r="NL19" i="4"/>
  <c r="J19" i="4" s="1"/>
  <c r="S7" i="4" l="1"/>
  <c r="S19" i="4"/>
  <c r="I7" i="4"/>
  <c r="J7" i="4"/>
  <c r="I19" i="4"/>
  <c r="NO7" i="4"/>
  <c r="NO19" i="4"/>
  <c r="CE12" i="6"/>
  <c r="O6" i="7"/>
  <c r="CE8" i="6"/>
  <c r="E6" i="7"/>
  <c r="DJ7" i="4"/>
  <c r="DJ19" i="4"/>
  <c r="N12" i="6" l="1"/>
  <c r="P12" i="6" s="1"/>
  <c r="O12" i="6" l="1"/>
  <c r="N4" i="8"/>
  <c r="P4" i="8" s="1"/>
  <c r="E12" i="6"/>
  <c r="N8" i="6"/>
  <c r="P8" i="6" s="1"/>
  <c r="NJ11" i="4"/>
  <c r="NK11" i="4"/>
  <c r="NN11" i="4"/>
  <c r="NJ15" i="4"/>
  <c r="NK15" i="4"/>
  <c r="NN15" i="4"/>
  <c r="NJ9" i="4"/>
  <c r="NK9" i="4"/>
  <c r="NN9" i="4"/>
  <c r="NJ13" i="4"/>
  <c r="NK13" i="4"/>
  <c r="NN13" i="4"/>
  <c r="NJ17" i="4"/>
  <c r="NK17" i="4"/>
  <c r="NN17" i="4"/>
  <c r="H9" i="4" l="1"/>
  <c r="DI9" i="4"/>
  <c r="H17" i="4"/>
  <c r="DI17" i="4"/>
  <c r="H15" i="4"/>
  <c r="DI15" i="4"/>
  <c r="H13" i="4"/>
  <c r="DI13" i="4"/>
  <c r="H11" i="4"/>
  <c r="DI11" i="4"/>
  <c r="U19" i="4"/>
  <c r="E19" i="4"/>
  <c r="O4" i="8"/>
  <c r="O8" i="6"/>
  <c r="DK9" i="4"/>
  <c r="S9" i="4" s="1"/>
  <c r="DH9" i="4"/>
  <c r="DK11" i="4"/>
  <c r="S11" i="4" s="1"/>
  <c r="DH11" i="4"/>
  <c r="DH15" i="4"/>
  <c r="DK17" i="4"/>
  <c r="DH17" i="4"/>
  <c r="DK13" i="4"/>
  <c r="DH13" i="4"/>
  <c r="DK15" i="4"/>
  <c r="S15" i="4" s="1"/>
  <c r="T19" i="4"/>
  <c r="E4" i="8"/>
  <c r="E8" i="6"/>
  <c r="NL17" i="4"/>
  <c r="NL9" i="4"/>
  <c r="NL13" i="4"/>
  <c r="NL15" i="4"/>
  <c r="NL11" i="4"/>
  <c r="S17" i="4" l="1"/>
  <c r="S13" i="4"/>
  <c r="U7" i="4"/>
  <c r="E7" i="4"/>
  <c r="I13" i="4"/>
  <c r="J13" i="4"/>
  <c r="I17" i="4"/>
  <c r="J17" i="4"/>
  <c r="I9" i="4"/>
  <c r="J9" i="4"/>
  <c r="I11" i="4"/>
  <c r="J11" i="4"/>
  <c r="I15" i="4"/>
  <c r="J15" i="4"/>
  <c r="NO13" i="4"/>
  <c r="NO15" i="4"/>
  <c r="NO9" i="4"/>
  <c r="NO11" i="4"/>
  <c r="NO17" i="4"/>
  <c r="CE10" i="6"/>
  <c r="CE9" i="6"/>
  <c r="CE15" i="6"/>
  <c r="CE4" i="6"/>
  <c r="DJ9" i="4"/>
  <c r="DJ15" i="4"/>
  <c r="DJ17" i="4"/>
  <c r="DJ11" i="4"/>
  <c r="DJ13" i="4"/>
  <c r="T7" i="4"/>
  <c r="N4" i="6" l="1"/>
  <c r="N9" i="6"/>
  <c r="P9" i="6" s="1"/>
  <c r="N15" i="6"/>
  <c r="P15" i="6" s="1"/>
  <c r="P4" i="6" l="1"/>
  <c r="E4" i="6"/>
  <c r="O15" i="6"/>
  <c r="O9" i="6"/>
  <c r="O4" i="6"/>
  <c r="E15" i="6"/>
  <c r="N10" i="6"/>
  <c r="P10" i="6" s="1"/>
  <c r="E9" i="6"/>
  <c r="A7" i="6" l="1"/>
  <c r="A5" i="6"/>
  <c r="U13" i="4"/>
  <c r="E13" i="4"/>
  <c r="U9" i="4"/>
  <c r="E9" i="4"/>
  <c r="U17" i="4"/>
  <c r="E17" i="4"/>
  <c r="O10" i="6"/>
  <c r="T9" i="4"/>
  <c r="T13" i="4"/>
  <c r="T17" i="4"/>
  <c r="E10" i="6"/>
  <c r="A6" i="6" s="1"/>
  <c r="U15" i="4" l="1"/>
  <c r="E15" i="4"/>
  <c r="U11" i="4"/>
  <c r="E11" i="4"/>
  <c r="A5" i="4" s="1" a="1"/>
  <c r="A5" i="4" s="1"/>
  <c r="A16" i="6"/>
  <c r="A6" i="8"/>
  <c r="A5" i="8"/>
  <c r="A8" i="6"/>
  <c r="A10" i="6"/>
  <c r="A9" i="6"/>
  <c r="A12" i="6"/>
  <c r="A4" i="6"/>
  <c r="A15" i="6"/>
  <c r="A14" i="6"/>
  <c r="A4" i="7"/>
  <c r="T15" i="4"/>
  <c r="T11" i="4"/>
  <c r="A9" i="4" a="1"/>
  <c r="A9" i="4" s="1"/>
  <c r="A4" i="4" l="1" a="1"/>
  <c r="A4" i="4" s="1"/>
  <c r="A10" i="4" a="1"/>
  <c r="A10" i="4" s="1"/>
  <c r="A8" i="4" a="1"/>
  <c r="A8" i="4" s="1"/>
  <c r="A6" i="4" a="1"/>
  <c r="A6" i="4" s="1"/>
  <c r="A15" i="4" a="1"/>
  <c r="A15" i="4" s="1"/>
  <c r="A17" i="4" a="1"/>
  <c r="A17" i="4" s="1"/>
  <c r="A12" i="4" a="1"/>
  <c r="A12" i="4" s="1"/>
  <c r="A13" i="4" a="1"/>
  <c r="A13" i="4" s="1"/>
  <c r="C34" i="11"/>
  <c r="C35" i="11"/>
  <c r="C36" i="11"/>
  <c r="C37" i="11"/>
  <c r="C38" i="11"/>
  <c r="C39" i="11"/>
  <c r="C40" i="11"/>
  <c r="C41" i="11"/>
  <c r="A19" i="4" a="1"/>
  <c r="A19" i="4" s="1"/>
  <c r="A11" i="4" a="1"/>
  <c r="A11" i="4" s="1"/>
  <c r="A7" i="4" a="1"/>
  <c r="A7" i="4" s="1"/>
  <c r="D35" i="11"/>
  <c r="D36" i="11"/>
  <c r="D37" i="11"/>
  <c r="D41" i="11"/>
  <c r="D34" i="11"/>
  <c r="D38" i="11"/>
  <c r="D39" i="11"/>
  <c r="D40" i="11"/>
  <c r="A4" i="8"/>
  <c r="A6" i="7"/>
  <c r="C18" i="11" s="1"/>
  <c r="C2" i="11" l="1"/>
  <c r="C26" i="11"/>
  <c r="C27" i="11"/>
  <c r="C28" i="11"/>
  <c r="C29" i="11"/>
  <c r="C30" i="11"/>
  <c r="C31" i="11"/>
  <c r="C32" i="11"/>
  <c r="C33" i="11"/>
  <c r="C20" i="11"/>
  <c r="C22" i="11"/>
  <c r="C24" i="11"/>
  <c r="C21" i="11"/>
  <c r="C25" i="11"/>
  <c r="C23" i="11"/>
  <c r="C19" i="11"/>
  <c r="D27" i="11"/>
  <c r="D26" i="11"/>
  <c r="D29" i="11"/>
  <c r="D28" i="11"/>
  <c r="D31" i="11"/>
  <c r="D33" i="11"/>
  <c r="D32" i="11"/>
  <c r="D30" i="11"/>
  <c r="D19" i="11"/>
  <c r="D20" i="11"/>
  <c r="D21" i="11"/>
  <c r="D18" i="11"/>
  <c r="D22" i="11"/>
  <c r="D23" i="11"/>
  <c r="D24" i="11"/>
  <c r="D25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<sst xmlns="http://schemas.openxmlformats.org/spreadsheetml/2006/main" count="2923" uniqueCount="148">
  <si>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</si>
  <si>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</si>
  <si>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</si>
  <si>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</si>
  <si>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</si>
  <si>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</si>
  <si>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</si>
  <si>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</si>
  <si>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</si>
  <si>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</si>
  <si>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</si>
  <si>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</si>
  <si>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</si>
  <si>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</si>
  <si>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</si>
  <si>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</si>
  <si>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</si>
  <si>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</si>
  <si>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</si>
  <si>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</si>
  <si>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</si>
  <si>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</si>
  <si>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</si>
  <si>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</si>
  <si>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</si>
  <si>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</si>
  <si>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</si>
  <si>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</si>
  <si>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</si>
  <si>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</si>
  <si>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</si>
  <si>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</si>
  <si>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</si>
  <si>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</si>
  <si>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</si>
  <si>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</si>
  <si>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</si>
  <si>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</si>
  <si>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</si>
  <si>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</si>
  <si>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</si>
  <si>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</si>
  <si>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</si>
  <si>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</si>
  <si>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</si>
  <si>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</si>
  <si>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</si>
  <si>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</si>
  <si>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</si>
  <si>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</si>
  <si>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</si>
  <si>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</si>
  <si>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</si>
  <si>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</si>
  <si>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</si>
  <si>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</si>
  <si>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</si>
  <si>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</si>
  <si>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</si>
  <si>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</si>
  <si>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</si>
  <si>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Best Two Pass</t>
  </si>
  <si>
    <t>Best Full Competition</t>
  </si>
  <si>
    <t>2 Pass</t>
  </si>
  <si>
    <t>4 Pass</t>
  </si>
  <si>
    <t>Excellence DD</t>
  </si>
  <si>
    <t>Potential Injury Score</t>
  </si>
  <si>
    <t>2019 Elite Canada</t>
  </si>
  <si>
    <t>Finals DD</t>
  </si>
  <si>
    <t>Remove athlete:</t>
  </si>
  <si>
    <t>2019 Nationals</t>
  </si>
  <si>
    <t>Delete oldest international competitions</t>
  </si>
  <si>
    <t>2019 WAGC (Dec 7)</t>
  </si>
  <si>
    <t>PILLINGER, Taylor</t>
  </si>
  <si>
    <t>HARRISON, Emily</t>
  </si>
  <si>
    <t>LUPISH, Kieran</t>
  </si>
  <si>
    <t>2021 1st Virtual Technical Trial</t>
  </si>
  <si>
    <t>Merit DD</t>
  </si>
  <si>
    <t>Voluntary 3</t>
  </si>
  <si>
    <t>Vol 3</t>
  </si>
  <si>
    <t>Vol 2 DD</t>
  </si>
  <si>
    <t>Vol 3 DD</t>
  </si>
  <si>
    <t>DD Standard</t>
  </si>
  <si>
    <t>Score Standard</t>
  </si>
  <si>
    <t>DD Met</t>
  </si>
  <si>
    <t>LOVE, Ethan</t>
  </si>
  <si>
    <t>DODD, Gavin</t>
  </si>
  <si>
    <t>ARRUDA, Erik</t>
  </si>
  <si>
    <t>DON, Alex</t>
  </si>
  <si>
    <t>LEVASSEUR, Nathan</t>
  </si>
  <si>
    <t>PERREAULT, Mathieu</t>
  </si>
  <si>
    <t>CARLSON, Roman</t>
  </si>
  <si>
    <t>NAGANO, Mariko</t>
  </si>
  <si>
    <t>BONHAM, Maja</t>
  </si>
  <si>
    <t>BRIAND-BRIÈRE, Gabrielle</t>
  </si>
  <si>
    <t>BOUCHER, Alex</t>
  </si>
  <si>
    <t>ROSS, Eliane</t>
  </si>
  <si>
    <t>MAJOR, Lilyclaire</t>
  </si>
  <si>
    <t>PEDERSEN, Mitchel</t>
  </si>
  <si>
    <t>STANNARD, Adam</t>
  </si>
  <si>
    <t>2019 WAGC (Dec 6)</t>
  </si>
  <si>
    <t>SPENCE, Abby</t>
  </si>
  <si>
    <t>ZUREK, Nolan</t>
  </si>
  <si>
    <t>KLASSEN, Isaiah</t>
  </si>
  <si>
    <t>MB</t>
  </si>
  <si>
    <t>UVAKOV, Chris</t>
  </si>
  <si>
    <t>DYKMAN, Matthew</t>
  </si>
  <si>
    <t>2019 WAGC (Dec 8)</t>
  </si>
  <si>
    <t>PHANEUF, Zoe</t>
  </si>
  <si>
    <t>2019 WAGC (Dec 8))</t>
  </si>
  <si>
    <t>Best Optional</t>
  </si>
  <si>
    <t>2nd Best Optional</t>
  </si>
  <si>
    <t>KOOMAN, Spencer</t>
  </si>
  <si>
    <t>KARWACKI, Jordan</t>
  </si>
  <si>
    <t>BECKETT, Lindsey</t>
  </si>
  <si>
    <t>BERTHIAUME, Sara-Jade</t>
  </si>
  <si>
    <t>SK</t>
  </si>
  <si>
    <t>THACKERAY, Nyla</t>
  </si>
  <si>
    <t>METHERAL, Hannah</t>
  </si>
  <si>
    <t>NOSSAK, Sophie</t>
  </si>
  <si>
    <t>HARDJOWASITO, Clare</t>
  </si>
  <si>
    <t>ANDERSON, Julie</t>
  </si>
  <si>
    <t>PAPAKYRIAKOPOULOS, Eleni</t>
  </si>
  <si>
    <t>MCINTOSH, Cyena</t>
  </si>
  <si>
    <t>RABIE, Zayden</t>
  </si>
  <si>
    <t>MASSON, Félix</t>
  </si>
  <si>
    <t>MEYER, Jeremy</t>
  </si>
  <si>
    <t>PARHAR, Jasmine</t>
  </si>
  <si>
    <t>HOWELL, Kayla</t>
  </si>
  <si>
    <t>THOMPSON, Abby</t>
  </si>
  <si>
    <t>RUNDELL, Cc</t>
  </si>
  <si>
    <t>FLYNN, Gabby</t>
  </si>
  <si>
    <t>SEROUART, Guillaume</t>
  </si>
  <si>
    <t>NS</t>
  </si>
  <si>
    <t>DWYER, Kai</t>
  </si>
  <si>
    <t>AUBIN, Rémi</t>
  </si>
  <si>
    <t>FRIGON, Charles</t>
  </si>
  <si>
    <t>NB</t>
  </si>
  <si>
    <t>RICHARD, Dexter</t>
  </si>
  <si>
    <t>FERNANDES, Antonio</t>
  </si>
  <si>
    <t>DAWSON, David</t>
  </si>
  <si>
    <t>MOULD, Blake</t>
  </si>
  <si>
    <t>FOREST, Alexandra</t>
  </si>
  <si>
    <t>DODD, Kristina</t>
  </si>
  <si>
    <t>KYFIUK, MacKenzie</t>
  </si>
  <si>
    <t>2021 Rules</t>
  </si>
  <si>
    <t>Worlds Eligible</t>
  </si>
  <si>
    <t>2021 1st Technical 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</si>
</sst>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6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8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4" borderId="0" xfId="0" applyFont="1" applyFill="1" applyAlignment="1"/>
    <xf numFmtId="0" fontId="2" fillId="15" borderId="0" xfId="0" applyFont="1" applyFill="1" applyAlignment="1"/>
    <xf numFmtId="164" fontId="21" fillId="14" borderId="0" xfId="0" applyNumberFormat="1" applyFont="1" applyFill="1" applyProtection="1">
      <protection locked="0"/>
    </xf>
    <xf numFmtId="164" fontId="2" fillId="15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21" fillId="14" borderId="0" xfId="0" applyNumberFormat="1" applyFont="1" applyFill="1" applyAlignment="1" applyProtection="1">
      <protection locked="0"/>
    </xf>
    <xf numFmtId="164" fontId="2" fillId="15" borderId="0" xfId="0" applyNumberFormat="1" applyFont="1" applyFill="1" applyAlignment="1" applyProtection="1">
      <protection locked="0"/>
    </xf>
    <xf numFmtId="164" fontId="21" fillId="16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2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3" fillId="17" borderId="0" xfId="0" applyFont="1" applyFill="1" applyAlignment="1"/>
    <xf numFmtId="164" fontId="23" fillId="17" borderId="0" xfId="0" applyNumberFormat="1" applyFont="1" applyFill="1" applyProtection="1">
      <protection locked="0"/>
    </xf>
    <xf numFmtId="0" fontId="25" fillId="5" borderId="0" xfId="0" applyFont="1" applyFill="1" applyAlignment="1"/>
    <xf numFmtId="164" fontId="25" fillId="5" borderId="0" xfId="0" applyNumberFormat="1" applyFont="1" applyFill="1" applyProtection="1">
      <protection locked="0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11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  <xf numFmtId="0" fontId="13" fillId="9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47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50</xdr:row>
          <xdr:rowOff>25400</xdr:rowOff>
        </xdr:from>
        <xdr:to>
          <xdr:col>0</xdr:col>
          <xdr:colOff>965200</xdr:colOff>
          <xdr:row>50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51</xdr:row>
          <xdr:rowOff>25400</xdr:rowOff>
        </xdr:from>
        <xdr:to>
          <xdr:col>0</xdr:col>
          <xdr:colOff>965200</xdr:colOff>
          <xdr:row>51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52</xdr:row>
          <xdr:rowOff>38100</xdr:rowOff>
        </xdr:from>
        <xdr:to>
          <xdr:col>0</xdr:col>
          <xdr:colOff>965200</xdr:colOff>
          <xdr:row>52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53</xdr:row>
          <xdr:rowOff>25400</xdr:rowOff>
        </xdr:from>
        <xdr:to>
          <xdr:col>0</xdr:col>
          <xdr:colOff>977900</xdr:colOff>
          <xdr:row>53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55</xdr:row>
          <xdr:rowOff>25400</xdr:rowOff>
        </xdr:from>
        <xdr:to>
          <xdr:col>0</xdr:col>
          <xdr:colOff>977900</xdr:colOff>
          <xdr:row>55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56</xdr:row>
          <xdr:rowOff>25400</xdr:rowOff>
        </xdr:from>
        <xdr:to>
          <xdr:col>0</xdr:col>
          <xdr:colOff>965200</xdr:colOff>
          <xdr:row>56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54</xdr:row>
          <xdr:rowOff>25400</xdr:rowOff>
        </xdr:from>
        <xdr:to>
          <xdr:col>0</xdr:col>
          <xdr:colOff>977900</xdr:colOff>
          <xdr:row>54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63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38</v>
      </c>
      <c r="B1" t="s">
        <v>1</v>
      </c>
      <c r="C1" t="s">
        <v>40</v>
      </c>
      <c r="D1" s="116" t="s">
        <v>9</v>
      </c>
      <c r="E1" s="45"/>
      <c r="F1" s="45"/>
      <c r="J1" s="45"/>
      <c r="K1" s="45"/>
      <c r="L1" s="45"/>
    </row>
    <row r="2" spans="1:12" x14ac:dyDescent="0.2">
      <c r="A2" s="10" t="s">
        <v>39</v>
      </c>
      <c r="B2" s="10">
        <v>1</v>
      </c>
      <c r="C2" s="10" t="str">
        <f>IF(B2&gt;MAX('TRA-M'!A:A),"",INDEX('TRA-M'!B:B,MATCH(B2,'TRA-M'!A:A,0)))</f>
        <v>AUBIN, Rémi</v>
      </c>
      <c r="D2" s="112" t="str">
        <f>IF(B2&gt;MAX('TRA-M'!A:A),"",INDEX('TRA-M'!I:I,MATCH(B2,'TRA-M'!A:A,0)))</f>
        <v>National Team</v>
      </c>
      <c r="E2" s="25"/>
      <c r="F2" s="25"/>
    </row>
    <row r="3" spans="1:12" x14ac:dyDescent="0.2">
      <c r="A3" s="10"/>
      <c r="B3" s="10">
        <v>2</v>
      </c>
      <c r="C3" s="10" t="str">
        <f>IF(B3&gt;MAX('TRA-M'!A:A),"",INDEX('TRA-M'!B:B,MATCH(B3,'TRA-M'!A:A,0)))</f>
        <v>DWYER, Kai</v>
      </c>
      <c r="D3" s="112" t="str">
        <f>IF(B3&gt;MAX('TRA-M'!A:A),"",INDEX('TRA-M'!I:I,MATCH(B3,'TRA-M'!A:A,0)))</f>
        <v>National Team</v>
      </c>
      <c r="E3" s="25"/>
      <c r="F3" s="25"/>
    </row>
    <row r="4" spans="1:12" x14ac:dyDescent="0.2">
      <c r="A4" s="10"/>
      <c r="B4" s="10">
        <v>3</v>
      </c>
      <c r="C4" s="10" t="str">
        <f>IF(B4&gt;MAX('TRA-M'!A:A),"",INDEX('TRA-M'!B:B,MATCH(B4,'TRA-M'!A:A,0)))</f>
        <v>SEROUART, Guillaume</v>
      </c>
      <c r="D4" s="112" t="str">
        <f>IF(B4&gt;MAX('TRA-M'!A:A),"",INDEX('TRA-M'!I:I,MATCH(B4,'TRA-M'!A:A,0)))</f>
        <v>National Team</v>
      </c>
      <c r="E4" s="25"/>
      <c r="F4" s="25"/>
    </row>
    <row r="5" spans="1:12" x14ac:dyDescent="0.2">
      <c r="A5" s="10"/>
      <c r="B5" s="10">
        <v>4</v>
      </c>
      <c r="C5" s="10" t="str">
        <f>IF(B5&gt;MAX('TRA-M'!A:A),"",INDEX('TRA-M'!B:B,MATCH(B5,'TRA-M'!A:A,0)))</f>
        <v>DON, Alex</v>
      </c>
      <c r="D5" s="112" t="str">
        <f>IF(B5&gt;MAX('TRA-M'!A:A),"",INDEX('TRA-M'!I:I,MATCH(B5,'TRA-M'!A:A,0)))</f>
        <v>National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FRIGON, Charles</v>
      </c>
      <c r="D6" s="112" t="str">
        <f>IF(B6&gt;MAX('TRA-M'!A:A),"",INDEX('TRA-M'!I:I,MATCH(B6,'TRA-M'!A:A,0)))</f>
        <v>National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DODD, Gavin</v>
      </c>
      <c r="D7" s="112" t="str">
        <f>IF(B7&gt;MAX('TRA-M'!A:A),"",INDEX('TRA-M'!I:I,MATCH(B7,'TRA-M'!A:A,0)))</f>
        <v>National Team</v>
      </c>
      <c r="G7" s="46"/>
    </row>
    <row r="8" spans="1:12" x14ac:dyDescent="0.2">
      <c r="A8" s="10"/>
      <c r="B8" s="10">
        <v>7</v>
      </c>
      <c r="C8" s="10" t="str">
        <f>IF(B8&gt;MAX('TRA-M'!A:A),"",INDEX('TRA-M'!B:B,MATCH(B8,'TRA-M'!A:A,0)))</f>
        <v>RICHARD, Dexter</v>
      </c>
      <c r="D8" s="112" t="str">
        <f>IF(B8&gt;MAX('TRA-M'!A:A),"",INDEX('TRA-M'!I:I,MATCH(B8,'TRA-M'!A:A,0)))</f>
        <v>National Team</v>
      </c>
      <c r="G8" s="46"/>
    </row>
    <row r="9" spans="1:12" x14ac:dyDescent="0.2">
      <c r="A9" s="10"/>
      <c r="B9" s="10">
        <v>8</v>
      </c>
      <c r="C9" s="10" t="str">
        <f>IF(B9&gt;MAX('TRA-M'!A:A),"",INDEX('TRA-M'!B:B,MATCH(B9,'TRA-M'!A:A,0)))</f>
        <v>LUPISH, Kieran</v>
      </c>
      <c r="D9" s="112" t="str">
        <f>IF(B9&gt;MAX('TRA-M'!A:A),"",INDEX('TRA-M'!I:I,MATCH(B9,'TRA-M'!A:A,0)))</f>
        <v>National Team</v>
      </c>
    </row>
    <row r="10" spans="1:12" x14ac:dyDescent="0.2">
      <c r="A10" s="13" t="s">
        <v>42</v>
      </c>
      <c r="B10" s="13">
        <v>1</v>
      </c>
      <c r="C10" s="13" t="str">
        <f>IF(B2&gt;MAX('TRA-W'!A:A),"",INDEX('TRA-W'!B:B,MATCH(B2,'TRA-W'!A:A,0)))</f>
        <v>BERTHIAUME, Sara-Jade</v>
      </c>
      <c r="D10" s="113" t="str">
        <f>IF(B2&gt;MAX('TRA-W'!A:A),"",INDEX('TRA-W'!I:I,MATCH(B2,'TRA-W'!A:A,0)))</f>
        <v>National Team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BONHAM, Maja</v>
      </c>
      <c r="D11" s="119" t="str">
        <f>IF(B3&gt;MAX('TRA-W'!A:A),"",INDEX('TRA-W'!I:I,MATCH(B3,'TRA-W'!A:A,0)))</f>
        <v>National Team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FLYNN, Gabby</v>
      </c>
      <c r="D12" s="119" t="str">
        <f>IF(B4&gt;MAX('TRA-W'!A:A),"",INDEX('TRA-W'!I:I,MATCH(B4,'TRA-W'!A:A,0)))</f>
        <v>National Team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NAGANO, Mariko</v>
      </c>
      <c r="D13" s="119" t="str">
        <f>IF(B5&gt;MAX('TRA-W'!A:A),"",INDEX('TRA-W'!I:I,MATCH(B5,'TRA-W'!A:A,0)))</f>
        <v>National Team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BOUCHER, Alex</v>
      </c>
      <c r="D14" s="119" t="str">
        <f>IF(B6&gt;MAX('TRA-W'!A:A),"",INDEX('TRA-W'!I:I,MATCH(B6,'TRA-W'!A:A,0)))</f>
        <v>No DD</v>
      </c>
    </row>
    <row r="15" spans="1:12" x14ac:dyDescent="0.2">
      <c r="A15" s="13"/>
      <c r="B15" s="13">
        <v>6</v>
      </c>
      <c r="C15" s="13" t="str">
        <f>IF(B7&gt;MAX('TRA-W'!A:A),"",INDEX('TRA-W'!B:B,MATCH(B7,'TRA-W'!A:A,0)))</f>
        <v>ROSS, Eliane</v>
      </c>
      <c r="D15" s="119" t="str">
        <f>IF(B7&gt;MAX('TRA-W'!A:A),"",INDEX('TRA-W'!I:I,MATCH(B7,'TRA-W'!A:A,0)))</f>
        <v>No DD</v>
      </c>
    </row>
    <row r="16" spans="1:12" x14ac:dyDescent="0.2">
      <c r="A16" s="13"/>
      <c r="B16" s="13">
        <v>7</v>
      </c>
      <c r="C16" s="13" t="str">
        <f>IF(B8&gt;MAX('TRA-W'!A:A),"",INDEX('TRA-W'!B:B,MATCH(B8,'TRA-W'!A:A,0)))</f>
        <v>ANDERSON, Julie</v>
      </c>
      <c r="D16" s="119" t="str">
        <f>IF(B8&gt;MAX('TRA-W'!A:A),"",INDEX('TRA-W'!I:I,MATCH(B8,'TRA-W'!A:A,0)))</f>
        <v>No DD</v>
      </c>
      <c r="J16" s="45"/>
    </row>
    <row r="17" spans="1:10" hidden="1" x14ac:dyDescent="0.2">
      <c r="A17" s="13"/>
      <c r="B17" s="13">
        <v>8</v>
      </c>
      <c r="C17" s="13" t="str">
        <f>IF(B9&gt;MAX('TRA-W'!A:A),"",INDEX('TRA-W'!B:B,MATCH(B9,'TRA-W'!A:A,0)))</f>
        <v/>
      </c>
      <c r="D17" s="119" t="str">
        <f>IF(B9&gt;MAX('TRA-W'!A:A),"",INDEX('TRA-W'!I:I,MATCH(B9,'TRA-W'!A:A,0)))</f>
        <v/>
      </c>
      <c r="J17" s="45"/>
    </row>
    <row r="18" spans="1:10" x14ac:dyDescent="0.2">
      <c r="A18" s="10" t="s">
        <v>43</v>
      </c>
      <c r="B18" s="10">
        <v>1</v>
      </c>
      <c r="C18" s="10" t="str">
        <f>IF(B2&gt;MAX('TUM-M'!A:A),"",INDEX('TUM-M'!B:B,MATCH(B2,'TUM-M'!A:A,0)))</f>
        <v>PEDERSEN, Mitchel</v>
      </c>
      <c r="D18" s="112" t="str">
        <f>IF(B2&gt;MAX('TUM-M'!A:A),"",INDEX('TUM-M'!H:H,MATCH(B2,'TUM-M'!A:A,0)))</f>
        <v>National Team</v>
      </c>
    </row>
    <row r="19" spans="1:10" hidden="1" x14ac:dyDescent="0.2">
      <c r="A19" s="10"/>
      <c r="B19" s="10">
        <v>2</v>
      </c>
      <c r="C19" s="10" t="str">
        <f>IF(B3&gt;MAX('TUM-M'!A:A),"",INDEX('TUM-M'!B:B,MATCH(B3,'TUM-M'!A:A,0)))</f>
        <v/>
      </c>
      <c r="D19" s="112" t="str">
        <f>IF(B3&gt;MAX('TUM-M'!A:A),"",INDEX('TUM-M'!H:H,MATCH(B3,'TUM-M'!A:A,0)))</f>
        <v/>
      </c>
    </row>
    <row r="20" spans="1:10" hidden="1" x14ac:dyDescent="0.2">
      <c r="A20" s="10"/>
      <c r="B20" s="10">
        <v>3</v>
      </c>
      <c r="C20" s="10" t="str">
        <f>IF(B4&gt;MAX('TUM-M'!A:A),"",INDEX('TUM-M'!B:B,MATCH(B4,'TUM-M'!A:A,0)))</f>
        <v/>
      </c>
      <c r="D20" s="112" t="str">
        <f>IF(B4&gt;MAX('TUM-M'!A:A),"",INDEX('TUM-M'!H:H,MATCH(B4,'TUM-M'!A:A,0)))</f>
        <v/>
      </c>
    </row>
    <row r="21" spans="1:10" hidden="1" x14ac:dyDescent="0.2">
      <c r="A21" s="10"/>
      <c r="B21" s="10">
        <v>4</v>
      </c>
      <c r="C21" s="10" t="str">
        <f>IF(B5&gt;MAX('TUM-M'!A:A),"",INDEX('TUM-M'!B:B,MATCH(B5,'TUM-M'!A:A,0)))</f>
        <v/>
      </c>
      <c r="D21" s="112" t="str">
        <f>IF(B5&gt;MAX('TUM-M'!A:A),"",INDEX('TUM-M'!H:H,MATCH(B5,'TUM-M'!A:A,0)))</f>
        <v/>
      </c>
    </row>
    <row r="22" spans="1:10" hidden="1" x14ac:dyDescent="0.2">
      <c r="A22" s="10"/>
      <c r="B22" s="10">
        <v>5</v>
      </c>
      <c r="C22" s="10" t="str">
        <f>IF(B6&gt;MAX('TUM-M'!A:A),"",INDEX('TUM-M'!B:B,MATCH(B6,'TUM-M'!A:A,0)))</f>
        <v/>
      </c>
      <c r="D22" s="112" t="str">
        <f>IF(B6&gt;MAX('TUM-M'!A:A),"",INDEX('TUM-M'!H:H,MATCH(B6,'TUM-M'!A:A,0)))</f>
        <v/>
      </c>
    </row>
    <row r="23" spans="1:10" hidden="1" x14ac:dyDescent="0.2">
      <c r="A23" s="10"/>
      <c r="B23" s="10">
        <v>6</v>
      </c>
      <c r="C23" s="10" t="str">
        <f>IF(B7&gt;MAX('TUM-M'!A:A),"",INDEX('TUM-M'!B:B,MATCH(B7,'TUM-M'!A:A,0)))</f>
        <v/>
      </c>
      <c r="D23" s="112" t="str">
        <f>IF(B7&gt;MAX('TUM-M'!A:A),"",INDEX('TUM-M'!H:H,MATCH(B7,'TUM-M'!A:A,0)))</f>
        <v/>
      </c>
    </row>
    <row r="24" spans="1:10" hidden="1" x14ac:dyDescent="0.2">
      <c r="A24" s="10"/>
      <c r="B24" s="10">
        <v>7</v>
      </c>
      <c r="C24" s="10" t="str">
        <f>IF(B8&gt;MAX('TUM-M'!A:A),"",INDEX('TUM-M'!B:B,MATCH(B8,'TUM-M'!A:A,0)))</f>
        <v/>
      </c>
      <c r="D24" s="112" t="str">
        <f>IF(B8&gt;MAX('TUM-M'!A:A),"",INDEX('TUM-M'!H:H,MATCH(B8,'TUM-M'!A:A,0)))</f>
        <v/>
      </c>
    </row>
    <row r="25" spans="1:10" hidden="1" x14ac:dyDescent="0.2">
      <c r="A25" s="10"/>
      <c r="B25" s="10">
        <v>8</v>
      </c>
      <c r="C25" s="10" t="str">
        <f>IF(B9&gt;MAX('TUM-M'!A:A),"",INDEX('TUM-M'!B:B,MATCH(B9,'TUM-M'!A:A,0)))</f>
        <v/>
      </c>
      <c r="D25" s="112" t="str">
        <f>IF(B9&gt;MAX('TUM-M'!A:A),"",INDEX('TUM-M'!H:H,MATCH(B9,'TUM-M'!A:A,0)))</f>
        <v/>
      </c>
    </row>
    <row r="26" spans="1:10" x14ac:dyDescent="0.2">
      <c r="A26" s="13" t="s">
        <v>44</v>
      </c>
      <c r="B26" s="13">
        <v>1</v>
      </c>
      <c r="C26" s="13" t="str">
        <f>IF(B2&gt;MAX('TUM-W'!A:A),"",INDEX('TUM-W'!B:B,MATCH(B2,'TUM-W'!A:A,0)))</f>
        <v>PILLINGER, Taylor</v>
      </c>
      <c r="D26" s="113" t="str">
        <f>IF(B2&gt;MAX('TUM-W'!A:A),"",INDEX('TUM-W'!H:H,MATCH(B2,'TUM-W'!A:A,0)))</f>
        <v>National Team</v>
      </c>
    </row>
    <row r="27" spans="1:10" x14ac:dyDescent="0.2">
      <c r="A27" s="13"/>
      <c r="B27" s="13">
        <v>2</v>
      </c>
      <c r="C27" s="13" t="str">
        <f>IF(B3&gt;MAX('TUM-W'!A:A),"",INDEX('TUM-W'!B:B,MATCH(B3,'TUM-W'!A:A,0)))</f>
        <v>SPENCE, Abby</v>
      </c>
      <c r="D27" s="113" t="str">
        <f>IF(B3&gt;MAX('TUM-W'!A:A),"",INDEX('TUM-W'!H:H,MATCH(B3,'TUM-W'!A:A,0)))</f>
        <v>National Team</v>
      </c>
    </row>
    <row r="28" spans="1:10" x14ac:dyDescent="0.2">
      <c r="A28" s="13"/>
      <c r="B28" s="13">
        <v>3</v>
      </c>
      <c r="C28" s="13" t="str">
        <f>IF(B4&gt;MAX('TUM-W'!A:A),"",INDEX('TUM-W'!B:B,MATCH(B4,'TUM-W'!A:A,0)))</f>
        <v>HARRISON, Emily</v>
      </c>
      <c r="D28" s="113" t="str">
        <f>IF(B4&gt;MAX('TUM-W'!A:A),"",INDEX('TUM-W'!H:H,MATCH(B4,'TUM-W'!A:A,0)))</f>
        <v>National Team</v>
      </c>
    </row>
    <row r="29" spans="1:10" hidden="1" x14ac:dyDescent="0.2">
      <c r="A29" s="13"/>
      <c r="B29" s="13">
        <v>4</v>
      </c>
      <c r="C29" s="13" t="str">
        <f>IF(B5&gt;MAX('TUM-W'!A:A),"",INDEX('TUM-W'!B:B,MATCH(B5,'TUM-W'!A:A,0)))</f>
        <v/>
      </c>
      <c r="D29" s="113" t="str">
        <f>IF(B5&gt;MAX('TUM-W'!A:A),"",INDEX('TUM-W'!H:H,MATCH(B5,'TUM-W'!A:A,0)))</f>
        <v/>
      </c>
    </row>
    <row r="30" spans="1:10" hidden="1" x14ac:dyDescent="0.2">
      <c r="A30" s="13"/>
      <c r="B30" s="13">
        <v>5</v>
      </c>
      <c r="C30" s="13" t="str">
        <f>IF(B6&gt;MAX('TUM-W'!A:A),"",INDEX('TUM-W'!B:B,MATCH(B6,'TUM-W'!A:A,0)))</f>
        <v/>
      </c>
      <c r="D30" s="113" t="str">
        <f>IF(B6&gt;MAX('TUM-W'!A:A),"",INDEX('TUM-W'!H:H,MATCH(B6,'TUM-W'!A:A,0)))</f>
        <v/>
      </c>
    </row>
    <row r="31" spans="1:10" hidden="1" x14ac:dyDescent="0.2">
      <c r="A31" s="13"/>
      <c r="B31" s="13">
        <v>6</v>
      </c>
      <c r="C31" s="13" t="str">
        <f>IF(B7&gt;MAX('TUM-W'!A:A),"",INDEX('TUM-W'!B:B,MATCH(B7,'TUM-W'!A:A,0)))</f>
        <v/>
      </c>
      <c r="D31" s="113" t="str">
        <f>IF(B7&gt;MAX('TUM-W'!A:A),"",INDEX('TUM-W'!H:H,MATCH(B7,'TUM-W'!A:A,0)))</f>
        <v/>
      </c>
    </row>
    <row r="32" spans="1:10" hidden="1" x14ac:dyDescent="0.2">
      <c r="A32" s="13"/>
      <c r="B32" s="13">
        <v>7</v>
      </c>
      <c r="C32" s="13" t="str">
        <f>IF(B8&gt;MAX('TUM-W'!A:A),"",INDEX('TUM-W'!B:B,MATCH(B8,'TUM-W'!A:A,0)))</f>
        <v/>
      </c>
      <c r="D32" s="113" t="str">
        <f>IF(B8&gt;MAX('TUM-W'!A:A),"",INDEX('TUM-W'!H:H,MATCH(B8,'TUM-W'!A:A,0)))</f>
        <v/>
      </c>
    </row>
    <row r="33" spans="1:4" hidden="1" x14ac:dyDescent="0.2">
      <c r="A33" s="13"/>
      <c r="B33" s="13">
        <v>8</v>
      </c>
      <c r="C33" s="13" t="str">
        <f>IF(B9&gt;MAX('TUM-W'!A:A),"",INDEX('TUM-W'!B:B,MATCH(B9,'TUM-W'!A:A,0)))</f>
        <v/>
      </c>
      <c r="D33" s="113" t="str">
        <f>IF(B9&gt;MAX('TUM-W'!A:A),"",INDEX('TUM-W'!H:H,MATCH(B9,'TUM-W'!A:A,0)))</f>
        <v/>
      </c>
    </row>
    <row r="34" spans="1:4" x14ac:dyDescent="0.2">
      <c r="A34" s="10" t="s">
        <v>45</v>
      </c>
      <c r="B34" s="10">
        <v>1</v>
      </c>
      <c r="C34" s="10" t="str">
        <f>IF(B2&gt;MAX('DMT-M'!A:A),"",INDEX('DMT-M'!B:B,MATCH(B2,'DMT-M'!A:A,0)))</f>
        <v>LUPISH, Kieran</v>
      </c>
      <c r="D34" s="112" t="str">
        <f>IF(B2&gt;MAX('DMT-M'!A:A),"",INDEX('DMT-M'!H:H,MATCH(B2,'DMT-M'!A:A,0)))</f>
        <v>National Team</v>
      </c>
    </row>
    <row r="35" spans="1:4" x14ac:dyDescent="0.2">
      <c r="A35" s="10"/>
      <c r="B35" s="10">
        <v>2</v>
      </c>
      <c r="C35" s="10" t="str">
        <f>IF(B3&gt;MAX('DMT-M'!A:A),"",INDEX('DMT-M'!B:B,MATCH(B3,'DMT-M'!A:A,0)))</f>
        <v>FERNANDES, Antonio</v>
      </c>
      <c r="D35" s="112" t="str">
        <f>IF(B3&gt;MAX('DMT-M'!A:A),"",INDEX('DMT-M'!H:H,MATCH(B3,'DMT-M'!A:A,0)))</f>
        <v>National Team</v>
      </c>
    </row>
    <row r="36" spans="1:4" x14ac:dyDescent="0.2">
      <c r="A36" s="10"/>
      <c r="B36" s="10">
        <v>3</v>
      </c>
      <c r="C36" s="10" t="str">
        <f>IF(B4&gt;MAX('DMT-M'!A:A),"",INDEX('DMT-M'!B:B,MATCH(B4,'DMT-M'!A:A,0)))</f>
        <v>DODD, Gavin</v>
      </c>
      <c r="D36" s="112" t="str">
        <f>IF(B4&gt;MAX('DMT-M'!A:A),"",INDEX('DMT-M'!H:H,MATCH(B4,'DMT-M'!A:A,0)))</f>
        <v>National Team</v>
      </c>
    </row>
    <row r="37" spans="1:4" x14ac:dyDescent="0.2">
      <c r="A37" s="10"/>
      <c r="B37" s="10">
        <v>4</v>
      </c>
      <c r="C37" s="10" t="str">
        <f>IF(B5&gt;MAX('DMT-M'!A:A),"",INDEX('DMT-M'!B:B,MATCH(B5,'DMT-M'!A:A,0)))</f>
        <v>DAWSON, David</v>
      </c>
      <c r="D37" s="112" t="str">
        <f>IF(B5&gt;MAX('DMT-M'!A:A),"",INDEX('DMT-M'!H:H,MATCH(B5,'DMT-M'!A:A,0)))</f>
        <v>National Team</v>
      </c>
    </row>
    <row r="38" spans="1:4" x14ac:dyDescent="0.2">
      <c r="A38" s="10"/>
      <c r="B38" s="10">
        <v>5</v>
      </c>
      <c r="C38" s="10" t="str">
        <f>IF(B6&gt;MAX('DMT-M'!A:A),"",INDEX('DMT-M'!B:B,MATCH(B6,'DMT-M'!A:A,0)))</f>
        <v>KLASSEN, Isaiah</v>
      </c>
      <c r="D38" s="112" t="str">
        <f>IF(B6&gt;MAX('DMT-M'!A:A),"",INDEX('DMT-M'!H:H,MATCH(B6,'DMT-M'!A:A,0)))</f>
        <v>National Team</v>
      </c>
    </row>
    <row r="39" spans="1:4" x14ac:dyDescent="0.2">
      <c r="A39" s="10"/>
      <c r="B39" s="10">
        <v>6</v>
      </c>
      <c r="C39" s="10" t="str">
        <f>IF(B7&gt;MAX('DMT-M'!A:A),"",INDEX('DMT-M'!B:B,MATCH(B7,'DMT-M'!A:A,0)))</f>
        <v>ZUREK, Nolan</v>
      </c>
      <c r="D39" s="112" t="str">
        <f>IF(B7&gt;MAX('DMT-M'!A:A),"",INDEX('DMT-M'!H:H,MATCH(B7,'DMT-M'!A:A,0)))</f>
        <v>National Team</v>
      </c>
    </row>
    <row r="40" spans="1:4" x14ac:dyDescent="0.2">
      <c r="A40" s="10"/>
      <c r="B40" s="10">
        <v>7</v>
      </c>
      <c r="C40" s="10" t="str">
        <f>IF(B8&gt;MAX('DMT-M'!A:A),"",INDEX('DMT-M'!B:B,MATCH(B8,'DMT-M'!A:A,0)))</f>
        <v>UVAKOV, Chris</v>
      </c>
      <c r="D40" s="112" t="str">
        <f>IF(B8&gt;MAX('DMT-M'!A:A),"",INDEX('DMT-M'!H:H,MATCH(B8,'DMT-M'!A:A,0)))</f>
        <v>National Team</v>
      </c>
    </row>
    <row r="41" spans="1:4" hidden="1" x14ac:dyDescent="0.2">
      <c r="A41" s="10"/>
      <c r="B41" s="10">
        <v>8</v>
      </c>
      <c r="C41" s="10" t="str">
        <f>IF(B9&gt;MAX('DMT-M'!A:A),"",INDEX('DMT-M'!B:B,MATCH(B9,'DMT-M'!A:A,0)))</f>
        <v/>
      </c>
      <c r="D41" s="112" t="str">
        <f>IF(B9&gt;MAX('DMT-M'!A:A),"",INDEX('DMT-M'!H:H,MATCH(B9,'DMT-M'!A:A,0)))</f>
        <v/>
      </c>
    </row>
    <row r="42" spans="1:4" x14ac:dyDescent="0.2">
      <c r="A42" s="13" t="s">
        <v>46</v>
      </c>
      <c r="B42" s="13">
        <v>1</v>
      </c>
      <c r="C42" s="13" t="str">
        <f>IF(B2&gt;MAX('DMT-W'!A:A),"",INDEX('DMT-W'!B:B,MATCH(B2,'DMT-W'!A:A,0)))</f>
        <v>FLYNN, Gabby</v>
      </c>
      <c r="D42" s="113" t="str">
        <f>IF(B2&gt;MAX('DMT-W'!A:A),"",INDEX('DMT-W'!H:H,MATCH(B2,'DMT-W'!A:A,0)))</f>
        <v>National Team</v>
      </c>
    </row>
    <row r="43" spans="1:4" x14ac:dyDescent="0.2">
      <c r="A43" s="13"/>
      <c r="B43" s="13">
        <v>2</v>
      </c>
      <c r="C43" s="13" t="str">
        <f>IF(B3&gt;MAX('DMT-W'!A:A),"",INDEX('DMT-W'!B:B,MATCH(B3,'DMT-W'!A:A,0)))</f>
        <v>METHERAL, Hannah</v>
      </c>
      <c r="D43" s="113" t="str">
        <f>IF(B3&gt;MAX('DMT-W'!A:A),"",INDEX('DMT-W'!H:H,MATCH(B3,'DMT-W'!A:A,0)))</f>
        <v>National Team</v>
      </c>
    </row>
    <row r="44" spans="1:4" x14ac:dyDescent="0.2">
      <c r="A44" s="13"/>
      <c r="B44" s="13">
        <v>3</v>
      </c>
      <c r="C44" s="13" t="str">
        <f>IF(B4&gt;MAX('DMT-W'!A:A),"",INDEX('DMT-W'!B:B,MATCH(B4,'DMT-W'!A:A,0)))</f>
        <v>THOMPSON, Abby</v>
      </c>
      <c r="D44" s="113" t="str">
        <f>IF(B4&gt;MAX('DMT-W'!A:A),"",INDEX('DMT-W'!H:H,MATCH(B4,'DMT-W'!A:A,0)))</f>
        <v>National Team</v>
      </c>
    </row>
    <row r="45" spans="1:4" x14ac:dyDescent="0.2">
      <c r="A45" s="13"/>
      <c r="B45" s="13">
        <v>4</v>
      </c>
      <c r="C45" s="13" t="str">
        <f>IF(B5&gt;MAX('DMT-W'!A:A),"",INDEX('DMT-W'!B:B,MATCH(B5,'DMT-W'!A:A,0)))</f>
        <v>HOWELL, Kayla</v>
      </c>
      <c r="D45" s="113" t="str">
        <f>IF(B5&gt;MAX('DMT-W'!A:A),"",INDEX('DMT-W'!H:H,MATCH(B5,'DMT-W'!A:A,0)))</f>
        <v>National Team</v>
      </c>
    </row>
    <row r="46" spans="1:4" x14ac:dyDescent="0.2">
      <c r="A46" s="13"/>
      <c r="B46" s="13">
        <v>5</v>
      </c>
      <c r="C46" s="13" t="str">
        <f>IF(B6&gt;MAX('DMT-W'!A:A),"",INDEX('DMT-W'!B:B,MATCH(B6,'DMT-W'!A:A,0)))</f>
        <v>DODD, Kristina</v>
      </c>
      <c r="D46" s="113" t="str">
        <f>IF(B6&gt;MAX('DMT-W'!A:A),"",INDEX('DMT-W'!H:H,MATCH(B6,'DMT-W'!A:A,0)))</f>
        <v>National Team</v>
      </c>
    </row>
    <row r="47" spans="1:4" x14ac:dyDescent="0.2">
      <c r="A47" s="13"/>
      <c r="B47" s="13">
        <v>6</v>
      </c>
      <c r="C47" s="13" t="str">
        <f>IF(B7&gt;MAX('DMT-W'!A:A),"",INDEX('DMT-W'!B:B,MATCH(B7,'DMT-W'!A:A,0)))</f>
        <v>BOUCHER, Alex</v>
      </c>
      <c r="D47" s="113" t="str">
        <f>IF(B7&gt;MAX('DMT-W'!A:A),"",INDEX('DMT-W'!H:H,MATCH(B7,'DMT-W'!A:A,0)))</f>
        <v>National Team</v>
      </c>
    </row>
    <row r="48" spans="1:4" x14ac:dyDescent="0.2">
      <c r="A48" s="13"/>
      <c r="B48" s="13">
        <v>7</v>
      </c>
      <c r="C48" s="13" t="str">
        <f>IF(B8&gt;MAX('DMT-W'!A:A),"",INDEX('DMT-W'!B:B,MATCH(B8,'DMT-W'!A:A,0)))</f>
        <v>KYFIUK, MacKenzie</v>
      </c>
      <c r="D48" s="113" t="str">
        <f>IF(B8&gt;MAX('DMT-W'!A:A),"",INDEX('DMT-W'!H:H,MATCH(B8,'DMT-W'!A:A,0)))</f>
        <v>National Team</v>
      </c>
    </row>
    <row r="49" spans="1:5" hidden="1" x14ac:dyDescent="0.2">
      <c r="A49" s="13"/>
      <c r="B49" s="13">
        <v>8</v>
      </c>
      <c r="C49" s="13" t="str">
        <f>IF(B9&gt;MAX('DMT-W'!A:A),"",INDEX('DMT-W'!B:B,MATCH(B9,'DMT-W'!A:A,0)))</f>
        <v/>
      </c>
      <c r="D49" s="113" t="str">
        <f>IF(B9&gt;MAX('DMT-W'!A:A),"",INDEX('DMT-W'!H:H,MATCH(B9,'DMT-W'!A:A,0)))</f>
        <v/>
      </c>
    </row>
    <row r="50" spans="1:5" x14ac:dyDescent="0.2">
      <c r="D50" s="116"/>
    </row>
    <row r="51" spans="1:5" x14ac:dyDescent="0.2">
      <c r="B51" s="45" t="s">
        <v>37</v>
      </c>
    </row>
    <row r="52" spans="1:5" x14ac:dyDescent="0.2">
      <c r="B52" s="45" t="s">
        <v>35</v>
      </c>
    </row>
    <row r="53" spans="1:5" x14ac:dyDescent="0.2">
      <c r="B53" s="45" t="s">
        <v>36</v>
      </c>
    </row>
    <row r="54" spans="1:5" x14ac:dyDescent="0.2">
      <c r="B54" s="25" t="s">
        <v>57</v>
      </c>
      <c r="D54" s="45" t="s">
        <v>55</v>
      </c>
    </row>
    <row r="55" spans="1:5" x14ac:dyDescent="0.2">
      <c r="B55" s="25" t="s">
        <v>69</v>
      </c>
      <c r="D55" s="45" t="s">
        <v>55</v>
      </c>
      <c r="E55" t="s">
        <v>55</v>
      </c>
    </row>
    <row r="56" spans="1:5" x14ac:dyDescent="0.2">
      <c r="B56" s="45" t="s">
        <v>56</v>
      </c>
      <c r="D56" s="45"/>
    </row>
    <row r="57" spans="1:5" x14ac:dyDescent="0.2">
      <c r="B57" s="45" t="s">
        <v>71</v>
      </c>
      <c r="D57" s="45"/>
    </row>
    <row r="58" spans="1:5" x14ac:dyDescent="0.2">
      <c r="A58" t="s">
        <v>41</v>
      </c>
      <c r="B58" s="121">
        <v>44266</v>
      </c>
      <c r="C58" s="121"/>
    </row>
    <row r="59" spans="1:5" x14ac:dyDescent="0.2">
      <c r="B59" s="99" t="s">
        <v>145</v>
      </c>
    </row>
    <row r="60" spans="1:5" x14ac:dyDescent="0.2">
      <c r="B60" s="99" t="s">
        <v>147</v>
      </c>
    </row>
    <row r="61" spans="1:5" x14ac:dyDescent="0.2">
      <c r="B61" s="45"/>
    </row>
    <row r="62" spans="1:5" x14ac:dyDescent="0.2">
      <c r="B62" s="45"/>
    </row>
    <row r="63" spans="1:5" x14ac:dyDescent="0.2">
      <c r="B63" s="45"/>
    </row>
  </sheetData>
  <sheetProtection formatCells="0" formatColumns="0" formatRows="0"/>
  <mergeCells count="1">
    <mergeCell ref="B58:C58"/>
  </mergeCells>
  <conditionalFormatting sqref="D2:D49">
    <cfRule type="containsText" dxfId="146" priority="1" operator="containsText" text="No DD">
      <formula>NOT(ISERROR(SEARCH("No DD",D2)))</formula>
    </cfRule>
    <cfRule type="containsText" dxfId="145" priority="4" operator="containsText" text="Merit">
      <formula>NOT(ISERROR(SEARCH("Merit",D2)))</formula>
    </cfRule>
    <cfRule type="containsText" dxfId="144" priority="5" operator="containsText" text="Excellence">
      <formula>NOT(ISERROR(SEARCH("Excellence",D2)))</formula>
    </cfRule>
    <cfRule type="containsText" dxfId="143" priority="6" operator="containsText" text="Worlds Team">
      <formula>NOT(ISERROR(SEARCH("Worlds Team",D2)))</formula>
    </cfRule>
    <cfRule type="containsText" dxfId="142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54:D55" xr:uid="{D08F591B-E1ED-7A40-99FD-CEC4A428C792}">
      <formula1>"Select,TRA-M,TRA-W,TUM-M,TUM-W,DMT-M,DMT-W"</formula1>
    </dataValidation>
    <dataValidation type="list" allowBlank="1" showInputMessage="1" showErrorMessage="1" sqref="E55" xr:uid="{34EE6C87-AAA8-A345-8399-C87931D9699B}">
      <formula1>IF($D$55="Select",D55,INDIRECT("'"&amp;$D$55&amp;"'!"&amp;"B4:B"&amp;MATCH(TRUE,INDEX(INDIRECT("'"&amp;$D$55&amp;"'!"&amp;"B4:B100")="",0),0)+2))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50</xdr:row>
                    <xdr:rowOff>25400</xdr:rowOff>
                  </from>
                  <to>
                    <xdr:col>0</xdr:col>
                    <xdr:colOff>965200</xdr:colOff>
                    <xdr:row>50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51</xdr:row>
                    <xdr:rowOff>25400</xdr:rowOff>
                  </from>
                  <to>
                    <xdr:col>0</xdr:col>
                    <xdr:colOff>965200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52</xdr:row>
                    <xdr:rowOff>38100</xdr:rowOff>
                  </from>
                  <to>
                    <xdr:col>0</xdr:col>
                    <xdr:colOff>965200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53</xdr:row>
                    <xdr:rowOff>25400</xdr:rowOff>
                  </from>
                  <to>
                    <xdr:col>0</xdr:col>
                    <xdr:colOff>977900</xdr:colOff>
                    <xdr:row>53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55</xdr:row>
                    <xdr:rowOff>25400</xdr:rowOff>
                  </from>
                  <to>
                    <xdr:col>0</xdr:col>
                    <xdr:colOff>977900</xdr:colOff>
                    <xdr:row>55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56</xdr:row>
                    <xdr:rowOff>25400</xdr:rowOff>
                  </from>
                  <to>
                    <xdr:col>0</xdr:col>
                    <xdr:colOff>965200</xdr:colOff>
                    <xdr:row>56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54</xdr:row>
                    <xdr:rowOff>25400</xdr:rowOff>
                  </from>
                  <to>
                    <xdr:col>0</xdr:col>
                    <xdr:colOff>977900</xdr:colOff>
                    <xdr:row>54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130" width="10.83203125" hidden="1" customWidth="1"/>
    <col min="131" max="137" width="10.83203125" customWidth="1"/>
    <col min="138" max="409" width="10.83203125" hidden="1" customWidth="1"/>
  </cols>
  <sheetData>
    <row r="1" spans="1:409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23" t="s">
        <v>84</v>
      </c>
      <c r="G1" s="123" t="s">
        <v>82</v>
      </c>
      <c r="H1" s="123" t="s">
        <v>83</v>
      </c>
      <c r="I1" s="123" t="s">
        <v>9</v>
      </c>
      <c r="J1" s="123" t="s">
        <v>146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110</v>
      </c>
      <c r="P1" s="128" t="s">
        <v>32</v>
      </c>
      <c r="Q1" s="129" t="s">
        <v>111</v>
      </c>
      <c r="R1" s="128" t="s">
        <v>32</v>
      </c>
      <c r="S1" s="127" t="s">
        <v>13</v>
      </c>
      <c r="T1" s="128" t="s">
        <v>33</v>
      </c>
      <c r="U1" s="128" t="s">
        <v>32</v>
      </c>
      <c r="V1" s="124" t="s">
        <v>67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6" t="s">
        <v>70</v>
      </c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4" t="s">
        <v>76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30" t="s">
        <v>13</v>
      </c>
      <c r="DI1" s="130"/>
      <c r="DJ1" s="130"/>
      <c r="DK1" s="130"/>
      <c r="DL1" s="124" t="s">
        <v>72</v>
      </c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6"/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6"/>
      <c r="MU1" s="126"/>
      <c r="MV1" s="126"/>
      <c r="MW1" s="126"/>
      <c r="MX1" s="126"/>
      <c r="MY1" s="126"/>
      <c r="MZ1" s="126"/>
      <c r="NA1" s="126"/>
      <c r="NB1" s="126"/>
      <c r="NC1" s="126"/>
      <c r="ND1" s="126"/>
      <c r="NE1" s="126"/>
      <c r="NF1" s="126"/>
      <c r="NG1" s="126"/>
      <c r="NH1" s="126"/>
      <c r="NI1" s="126"/>
      <c r="NJ1" s="126"/>
      <c r="NK1" s="126"/>
      <c r="NL1" s="126"/>
      <c r="NM1" s="126"/>
      <c r="NN1" s="126"/>
      <c r="NO1" s="126"/>
      <c r="NP1" s="124" t="s">
        <v>66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8"/>
      <c r="L2" s="128"/>
      <c r="M2" s="128"/>
      <c r="N2" s="128"/>
      <c r="O2" s="129"/>
      <c r="P2" s="128"/>
      <c r="Q2" s="129"/>
      <c r="R2" s="128"/>
      <c r="S2" s="127"/>
      <c r="T2" s="128"/>
      <c r="U2" s="128"/>
      <c r="V2" s="122" t="s">
        <v>18</v>
      </c>
      <c r="W2" s="122"/>
      <c r="X2" s="122"/>
      <c r="Y2" s="122"/>
      <c r="Z2" s="122"/>
      <c r="AA2" s="122" t="s">
        <v>19</v>
      </c>
      <c r="AB2" s="122"/>
      <c r="AC2" s="122"/>
      <c r="AD2" s="122"/>
      <c r="AE2" s="122"/>
      <c r="AF2" s="122" t="s">
        <v>78</v>
      </c>
      <c r="AG2" s="122"/>
      <c r="AH2" s="122"/>
      <c r="AI2" s="122"/>
      <c r="AJ2" s="122"/>
      <c r="AK2" s="122" t="s">
        <v>22</v>
      </c>
      <c r="AL2" s="122"/>
      <c r="AM2" s="122"/>
      <c r="AN2" s="122"/>
      <c r="AO2" s="122"/>
      <c r="AP2" s="69"/>
      <c r="AQ2" s="9" t="s">
        <v>20</v>
      </c>
      <c r="AR2" s="9" t="s">
        <v>80</v>
      </c>
      <c r="AS2" s="9" t="s">
        <v>21</v>
      </c>
      <c r="AT2" s="9" t="s">
        <v>81</v>
      </c>
      <c r="AU2" s="9" t="s">
        <v>79</v>
      </c>
      <c r="AV2" s="9" t="s">
        <v>23</v>
      </c>
      <c r="AW2" s="9" t="s">
        <v>68</v>
      </c>
      <c r="AX2" s="9" t="s">
        <v>22</v>
      </c>
      <c r="AY2" s="9" t="s">
        <v>17</v>
      </c>
      <c r="AZ2" s="125" t="s">
        <v>18</v>
      </c>
      <c r="BA2" s="125"/>
      <c r="BB2" s="125"/>
      <c r="BC2" s="125"/>
      <c r="BD2" s="125"/>
      <c r="BE2" s="125" t="s">
        <v>19</v>
      </c>
      <c r="BF2" s="125"/>
      <c r="BG2" s="125"/>
      <c r="BH2" s="125"/>
      <c r="BI2" s="125"/>
      <c r="BJ2" s="125" t="s">
        <v>78</v>
      </c>
      <c r="BK2" s="125"/>
      <c r="BL2" s="125"/>
      <c r="BM2" s="125"/>
      <c r="BN2" s="125"/>
      <c r="BO2" s="125" t="s">
        <v>22</v>
      </c>
      <c r="BP2" s="125"/>
      <c r="BQ2" s="125"/>
      <c r="BR2" s="125"/>
      <c r="BS2" s="125"/>
      <c r="BT2" s="68"/>
      <c r="BU2" s="12" t="s">
        <v>20</v>
      </c>
      <c r="BV2" s="12" t="s">
        <v>80</v>
      </c>
      <c r="BW2" s="12" t="s">
        <v>21</v>
      </c>
      <c r="BX2" s="12" t="s">
        <v>81</v>
      </c>
      <c r="BY2" s="12" t="s">
        <v>79</v>
      </c>
      <c r="BZ2" s="12" t="s">
        <v>23</v>
      </c>
      <c r="CA2" s="12" t="s">
        <v>68</v>
      </c>
      <c r="CB2" s="12" t="s">
        <v>22</v>
      </c>
      <c r="CC2" s="12" t="s">
        <v>17</v>
      </c>
      <c r="CD2" s="122" t="s">
        <v>18</v>
      </c>
      <c r="CE2" s="122"/>
      <c r="CF2" s="122"/>
      <c r="CG2" s="122"/>
      <c r="CH2" s="122"/>
      <c r="CI2" s="122" t="s">
        <v>19</v>
      </c>
      <c r="CJ2" s="122"/>
      <c r="CK2" s="122"/>
      <c r="CL2" s="122"/>
      <c r="CM2" s="122"/>
      <c r="CN2" s="122" t="s">
        <v>78</v>
      </c>
      <c r="CO2" s="122"/>
      <c r="CP2" s="122"/>
      <c r="CQ2" s="122"/>
      <c r="CR2" s="122"/>
      <c r="CS2" s="122" t="s">
        <v>22</v>
      </c>
      <c r="CT2" s="122"/>
      <c r="CU2" s="122"/>
      <c r="CV2" s="122"/>
      <c r="CW2" s="122"/>
      <c r="CX2" s="101"/>
      <c r="CY2" s="9" t="s">
        <v>20</v>
      </c>
      <c r="CZ2" s="9" t="s">
        <v>80</v>
      </c>
      <c r="DA2" s="9" t="s">
        <v>21</v>
      </c>
      <c r="DB2" s="9" t="s">
        <v>81</v>
      </c>
      <c r="DC2" s="9" t="s">
        <v>79</v>
      </c>
      <c r="DD2" s="9" t="s">
        <v>23</v>
      </c>
      <c r="DE2" s="9" t="s">
        <v>68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2" t="s">
        <v>18</v>
      </c>
      <c r="DM2" s="122"/>
      <c r="DN2" s="122"/>
      <c r="DO2" s="122"/>
      <c r="DP2" s="122"/>
      <c r="DQ2" s="122" t="s">
        <v>19</v>
      </c>
      <c r="DR2" s="122"/>
      <c r="DS2" s="122"/>
      <c r="DT2" s="122"/>
      <c r="DU2" s="122"/>
      <c r="DV2" s="122" t="s">
        <v>22</v>
      </c>
      <c r="DW2" s="122"/>
      <c r="DX2" s="122"/>
      <c r="DY2" s="122"/>
      <c r="DZ2" s="122"/>
      <c r="EA2" s="33" t="s">
        <v>58</v>
      </c>
      <c r="EB2" s="9" t="s">
        <v>20</v>
      </c>
      <c r="EC2" s="9" t="s">
        <v>21</v>
      </c>
      <c r="ED2" s="9" t="s">
        <v>23</v>
      </c>
      <c r="EE2" s="9" t="s">
        <v>68</v>
      </c>
      <c r="EF2" s="9" t="s">
        <v>22</v>
      </c>
      <c r="EG2" s="9" t="s">
        <v>17</v>
      </c>
      <c r="EH2" s="125" t="s">
        <v>18</v>
      </c>
      <c r="EI2" s="125"/>
      <c r="EJ2" s="125"/>
      <c r="EK2" s="125"/>
      <c r="EL2" s="125"/>
      <c r="EM2" s="125" t="s">
        <v>19</v>
      </c>
      <c r="EN2" s="125"/>
      <c r="EO2" s="125"/>
      <c r="EP2" s="125"/>
      <c r="EQ2" s="125"/>
      <c r="ER2" s="125" t="s">
        <v>22</v>
      </c>
      <c r="ES2" s="125"/>
      <c r="ET2" s="125"/>
      <c r="EU2" s="125"/>
      <c r="EV2" s="125"/>
      <c r="EW2" s="34" t="s">
        <v>58</v>
      </c>
      <c r="EX2" s="12" t="s">
        <v>20</v>
      </c>
      <c r="EY2" s="12" t="s">
        <v>21</v>
      </c>
      <c r="EZ2" s="12" t="s">
        <v>23</v>
      </c>
      <c r="FA2" s="12" t="s">
        <v>68</v>
      </c>
      <c r="FB2" s="12" t="s">
        <v>22</v>
      </c>
      <c r="FC2" s="12" t="s">
        <v>17</v>
      </c>
      <c r="FD2" s="122" t="s">
        <v>18</v>
      </c>
      <c r="FE2" s="122"/>
      <c r="FF2" s="122"/>
      <c r="FG2" s="122"/>
      <c r="FH2" s="122"/>
      <c r="FI2" s="122" t="s">
        <v>19</v>
      </c>
      <c r="FJ2" s="122"/>
      <c r="FK2" s="122"/>
      <c r="FL2" s="122"/>
      <c r="FM2" s="122"/>
      <c r="FN2" s="122" t="s">
        <v>22</v>
      </c>
      <c r="FO2" s="122"/>
      <c r="FP2" s="122"/>
      <c r="FQ2" s="122"/>
      <c r="FR2" s="122"/>
      <c r="FS2" s="33" t="s">
        <v>58</v>
      </c>
      <c r="FT2" s="9" t="s">
        <v>20</v>
      </c>
      <c r="FU2" s="9" t="s">
        <v>21</v>
      </c>
      <c r="FV2" s="9" t="s">
        <v>23</v>
      </c>
      <c r="FW2" s="9" t="s">
        <v>68</v>
      </c>
      <c r="FX2" s="9" t="s">
        <v>22</v>
      </c>
      <c r="FY2" s="9" t="s">
        <v>17</v>
      </c>
      <c r="FZ2" s="125" t="s">
        <v>18</v>
      </c>
      <c r="GA2" s="125"/>
      <c r="GB2" s="125"/>
      <c r="GC2" s="125"/>
      <c r="GD2" s="125"/>
      <c r="GE2" s="125" t="s">
        <v>19</v>
      </c>
      <c r="GF2" s="125"/>
      <c r="GG2" s="125"/>
      <c r="GH2" s="125"/>
      <c r="GI2" s="125"/>
      <c r="GJ2" s="125" t="s">
        <v>22</v>
      </c>
      <c r="GK2" s="125"/>
      <c r="GL2" s="125"/>
      <c r="GM2" s="125"/>
      <c r="GN2" s="125"/>
      <c r="GO2" s="34" t="s">
        <v>58</v>
      </c>
      <c r="GP2" s="12" t="s">
        <v>20</v>
      </c>
      <c r="GQ2" s="12" t="s">
        <v>21</v>
      </c>
      <c r="GR2" s="12" t="s">
        <v>23</v>
      </c>
      <c r="GS2" s="12" t="s">
        <v>68</v>
      </c>
      <c r="GT2" s="12" t="s">
        <v>22</v>
      </c>
      <c r="GU2" s="12" t="s">
        <v>17</v>
      </c>
      <c r="GV2" s="122" t="s">
        <v>18</v>
      </c>
      <c r="GW2" s="122"/>
      <c r="GX2" s="122"/>
      <c r="GY2" s="122"/>
      <c r="GZ2" s="122"/>
      <c r="HA2" s="122" t="s">
        <v>19</v>
      </c>
      <c r="HB2" s="122"/>
      <c r="HC2" s="122"/>
      <c r="HD2" s="122"/>
      <c r="HE2" s="122"/>
      <c r="HF2" s="122" t="s">
        <v>22</v>
      </c>
      <c r="HG2" s="122"/>
      <c r="HH2" s="122"/>
      <c r="HI2" s="122"/>
      <c r="HJ2" s="122"/>
      <c r="HK2" s="33" t="s">
        <v>58</v>
      </c>
      <c r="HL2" s="9" t="s">
        <v>20</v>
      </c>
      <c r="HM2" s="9" t="s">
        <v>21</v>
      </c>
      <c r="HN2" s="9" t="s">
        <v>23</v>
      </c>
      <c r="HO2" s="9" t="s">
        <v>68</v>
      </c>
      <c r="HP2" s="9" t="s">
        <v>22</v>
      </c>
      <c r="HQ2" s="9" t="s">
        <v>17</v>
      </c>
      <c r="HR2" s="125" t="s">
        <v>18</v>
      </c>
      <c r="HS2" s="125"/>
      <c r="HT2" s="125"/>
      <c r="HU2" s="125"/>
      <c r="HV2" s="125"/>
      <c r="HW2" s="125" t="s">
        <v>19</v>
      </c>
      <c r="HX2" s="125"/>
      <c r="HY2" s="125"/>
      <c r="HZ2" s="125"/>
      <c r="IA2" s="125"/>
      <c r="IB2" s="125" t="s">
        <v>22</v>
      </c>
      <c r="IC2" s="125"/>
      <c r="ID2" s="125"/>
      <c r="IE2" s="125"/>
      <c r="IF2" s="125"/>
      <c r="IG2" s="34" t="s">
        <v>58</v>
      </c>
      <c r="IH2" s="12" t="s">
        <v>20</v>
      </c>
      <c r="II2" s="12" t="s">
        <v>21</v>
      </c>
      <c r="IJ2" s="12" t="s">
        <v>23</v>
      </c>
      <c r="IK2" s="12" t="s">
        <v>68</v>
      </c>
      <c r="IL2" s="12" t="s">
        <v>22</v>
      </c>
      <c r="IM2" s="12" t="s">
        <v>17</v>
      </c>
      <c r="IN2" s="122" t="s">
        <v>18</v>
      </c>
      <c r="IO2" s="122"/>
      <c r="IP2" s="122"/>
      <c r="IQ2" s="122"/>
      <c r="IR2" s="122"/>
      <c r="IS2" s="122" t="s">
        <v>19</v>
      </c>
      <c r="IT2" s="122"/>
      <c r="IU2" s="122"/>
      <c r="IV2" s="122"/>
      <c r="IW2" s="122"/>
      <c r="IX2" s="122" t="s">
        <v>22</v>
      </c>
      <c r="IY2" s="122"/>
      <c r="IZ2" s="122"/>
      <c r="JA2" s="122"/>
      <c r="JB2" s="122"/>
      <c r="JC2" s="33" t="s">
        <v>58</v>
      </c>
      <c r="JD2" s="9" t="s">
        <v>20</v>
      </c>
      <c r="JE2" s="9" t="s">
        <v>21</v>
      </c>
      <c r="JF2" s="9" t="s">
        <v>23</v>
      </c>
      <c r="JG2" s="9" t="s">
        <v>68</v>
      </c>
      <c r="JH2" s="9" t="s">
        <v>22</v>
      </c>
      <c r="JI2" s="9" t="s">
        <v>17</v>
      </c>
      <c r="JJ2" s="125" t="s">
        <v>18</v>
      </c>
      <c r="JK2" s="125"/>
      <c r="JL2" s="125"/>
      <c r="JM2" s="125"/>
      <c r="JN2" s="125"/>
      <c r="JO2" s="125" t="s">
        <v>19</v>
      </c>
      <c r="JP2" s="125"/>
      <c r="JQ2" s="125"/>
      <c r="JR2" s="125"/>
      <c r="JS2" s="125"/>
      <c r="JT2" s="125" t="s">
        <v>22</v>
      </c>
      <c r="JU2" s="125"/>
      <c r="JV2" s="125"/>
      <c r="JW2" s="125"/>
      <c r="JX2" s="125"/>
      <c r="JY2" s="34" t="s">
        <v>58</v>
      </c>
      <c r="JZ2" s="12" t="s">
        <v>20</v>
      </c>
      <c r="KA2" s="12" t="s">
        <v>21</v>
      </c>
      <c r="KB2" s="12" t="s">
        <v>23</v>
      </c>
      <c r="KC2" s="12" t="s">
        <v>68</v>
      </c>
      <c r="KD2" s="12" t="s">
        <v>22</v>
      </c>
      <c r="KE2" s="12" t="s">
        <v>17</v>
      </c>
      <c r="KF2" s="122" t="s">
        <v>18</v>
      </c>
      <c r="KG2" s="122"/>
      <c r="KH2" s="122"/>
      <c r="KI2" s="122"/>
      <c r="KJ2" s="122"/>
      <c r="KK2" s="122" t="s">
        <v>19</v>
      </c>
      <c r="KL2" s="122"/>
      <c r="KM2" s="122"/>
      <c r="KN2" s="122"/>
      <c r="KO2" s="122"/>
      <c r="KP2" s="122" t="s">
        <v>22</v>
      </c>
      <c r="KQ2" s="122"/>
      <c r="KR2" s="122"/>
      <c r="KS2" s="122"/>
      <c r="KT2" s="122"/>
      <c r="KU2" s="33" t="s">
        <v>58</v>
      </c>
      <c r="KV2" s="9" t="s">
        <v>20</v>
      </c>
      <c r="KW2" s="9" t="s">
        <v>21</v>
      </c>
      <c r="KX2" s="9" t="s">
        <v>23</v>
      </c>
      <c r="KY2" s="9" t="s">
        <v>68</v>
      </c>
      <c r="KZ2" s="9" t="s">
        <v>22</v>
      </c>
      <c r="LA2" s="9" t="s">
        <v>17</v>
      </c>
      <c r="LB2" s="125" t="s">
        <v>18</v>
      </c>
      <c r="LC2" s="125"/>
      <c r="LD2" s="125"/>
      <c r="LE2" s="125"/>
      <c r="LF2" s="125"/>
      <c r="LG2" s="125" t="s">
        <v>19</v>
      </c>
      <c r="LH2" s="125"/>
      <c r="LI2" s="125"/>
      <c r="LJ2" s="125"/>
      <c r="LK2" s="125"/>
      <c r="LL2" s="125" t="s">
        <v>22</v>
      </c>
      <c r="LM2" s="125"/>
      <c r="LN2" s="125"/>
      <c r="LO2" s="125"/>
      <c r="LP2" s="125"/>
      <c r="LQ2" s="34" t="s">
        <v>58</v>
      </c>
      <c r="LR2" s="12" t="s">
        <v>20</v>
      </c>
      <c r="LS2" s="12" t="s">
        <v>21</v>
      </c>
      <c r="LT2" s="12" t="s">
        <v>23</v>
      </c>
      <c r="LU2" s="12" t="s">
        <v>68</v>
      </c>
      <c r="LV2" s="12" t="s">
        <v>22</v>
      </c>
      <c r="LW2" s="12" t="s">
        <v>17</v>
      </c>
      <c r="LX2" s="122" t="s">
        <v>18</v>
      </c>
      <c r="LY2" s="122"/>
      <c r="LZ2" s="122"/>
      <c r="MA2" s="122"/>
      <c r="MB2" s="122"/>
      <c r="MC2" s="122" t="s">
        <v>19</v>
      </c>
      <c r="MD2" s="122"/>
      <c r="ME2" s="122"/>
      <c r="MF2" s="122"/>
      <c r="MG2" s="122"/>
      <c r="MH2" s="122" t="s">
        <v>22</v>
      </c>
      <c r="MI2" s="122"/>
      <c r="MJ2" s="122"/>
      <c r="MK2" s="122"/>
      <c r="ML2" s="122"/>
      <c r="MM2" s="33" t="s">
        <v>58</v>
      </c>
      <c r="MN2" s="9" t="s">
        <v>20</v>
      </c>
      <c r="MO2" s="9" t="s">
        <v>21</v>
      </c>
      <c r="MP2" s="9" t="s">
        <v>23</v>
      </c>
      <c r="MQ2" s="9" t="s">
        <v>68</v>
      </c>
      <c r="MR2" s="9" t="s">
        <v>22</v>
      </c>
      <c r="MS2" s="9" t="s">
        <v>17</v>
      </c>
      <c r="MT2" s="125" t="s">
        <v>18</v>
      </c>
      <c r="MU2" s="125"/>
      <c r="MV2" s="125"/>
      <c r="MW2" s="125"/>
      <c r="MX2" s="125"/>
      <c r="MY2" s="125" t="s">
        <v>19</v>
      </c>
      <c r="MZ2" s="125"/>
      <c r="NA2" s="125"/>
      <c r="NB2" s="125"/>
      <c r="NC2" s="125"/>
      <c r="ND2" s="125" t="s">
        <v>22</v>
      </c>
      <c r="NE2" s="125"/>
      <c r="NF2" s="125"/>
      <c r="NG2" s="125"/>
      <c r="NH2" s="125"/>
      <c r="NI2" s="34" t="s">
        <v>58</v>
      </c>
      <c r="NJ2" s="12" t="s">
        <v>20</v>
      </c>
      <c r="NK2" s="12" t="s">
        <v>21</v>
      </c>
      <c r="NL2" s="12" t="s">
        <v>23</v>
      </c>
      <c r="NM2" s="12" t="s">
        <v>68</v>
      </c>
      <c r="NN2" s="12" t="s">
        <v>22</v>
      </c>
      <c r="NO2" s="12" t="s">
        <v>17</v>
      </c>
      <c r="NP2" s="122" t="s">
        <v>18</v>
      </c>
      <c r="NQ2" s="122"/>
      <c r="NR2" s="122"/>
      <c r="NS2" s="122"/>
      <c r="NT2" s="122"/>
      <c r="NU2" s="122" t="s">
        <v>19</v>
      </c>
      <c r="NV2" s="122"/>
      <c r="NW2" s="122"/>
      <c r="NX2" s="122"/>
      <c r="NY2" s="122"/>
      <c r="NZ2" s="122" t="s">
        <v>78</v>
      </c>
      <c r="OA2" s="122"/>
      <c r="OB2" s="122"/>
      <c r="OC2" s="122"/>
      <c r="OD2" s="122"/>
      <c r="OE2" s="122" t="s">
        <v>22</v>
      </c>
      <c r="OF2" s="122"/>
      <c r="OG2" s="122"/>
      <c r="OH2" s="122"/>
      <c r="OI2" s="122"/>
      <c r="OJ2" s="94"/>
      <c r="OK2" s="9" t="s">
        <v>20</v>
      </c>
      <c r="OL2" s="9" t="s">
        <v>80</v>
      </c>
      <c r="OM2" s="9" t="s">
        <v>21</v>
      </c>
      <c r="ON2" s="9" t="s">
        <v>81</v>
      </c>
      <c r="OO2" s="9" t="s">
        <v>79</v>
      </c>
      <c r="OP2" s="9" t="s">
        <v>23</v>
      </c>
      <c r="OQ2" s="9" t="s">
        <v>68</v>
      </c>
      <c r="OR2" s="9" t="s">
        <v>22</v>
      </c>
      <c r="OS2" s="9" t="s">
        <v>17</v>
      </c>
    </row>
    <row r="3" spans="1:409" x14ac:dyDescent="0.2">
      <c r="A3" s="123"/>
      <c r="B3" s="123"/>
      <c r="C3" s="123"/>
      <c r="D3" s="123"/>
      <c r="E3" s="123"/>
      <c r="F3" s="123"/>
      <c r="G3" s="123"/>
      <c r="H3" s="123"/>
      <c r="I3" s="123"/>
      <c r="J3" s="123"/>
      <c r="K3" s="128"/>
      <c r="L3" s="128"/>
      <c r="M3" s="128"/>
      <c r="N3" s="128"/>
      <c r="O3" s="129"/>
      <c r="P3" s="128"/>
      <c r="Q3" s="129"/>
      <c r="R3" s="128"/>
      <c r="S3" s="127"/>
      <c r="T3" s="128"/>
      <c r="U3" s="128"/>
      <c r="V3" s="33" t="s">
        <v>14</v>
      </c>
      <c r="W3" s="33" t="s">
        <v>15</v>
      </c>
      <c r="X3" s="33" t="s">
        <v>7</v>
      </c>
      <c r="Y3" s="33" t="s">
        <v>16</v>
      </c>
      <c r="Z3" s="42" t="s">
        <v>27</v>
      </c>
      <c r="AA3" s="104" t="s">
        <v>14</v>
      </c>
      <c r="AB3" s="104" t="s">
        <v>15</v>
      </c>
      <c r="AC3" s="104" t="s">
        <v>7</v>
      </c>
      <c r="AD3" s="104" t="s">
        <v>16</v>
      </c>
      <c r="AE3" s="104" t="s">
        <v>27</v>
      </c>
      <c r="AF3" s="33" t="s">
        <v>14</v>
      </c>
      <c r="AG3" s="33" t="s">
        <v>15</v>
      </c>
      <c r="AH3" s="33" t="s">
        <v>7</v>
      </c>
      <c r="AI3" s="33" t="s">
        <v>16</v>
      </c>
      <c r="AJ3" s="42" t="s">
        <v>27</v>
      </c>
      <c r="AK3" s="33" t="s">
        <v>14</v>
      </c>
      <c r="AL3" s="33" t="s">
        <v>15</v>
      </c>
      <c r="AM3" s="33" t="s">
        <v>7</v>
      </c>
      <c r="AN3" s="33" t="s">
        <v>16</v>
      </c>
      <c r="AO3" s="42" t="s">
        <v>27</v>
      </c>
      <c r="AP3" s="69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34" t="s">
        <v>14</v>
      </c>
      <c r="BA3" s="34" t="s">
        <v>15</v>
      </c>
      <c r="BB3" s="34" t="s">
        <v>7</v>
      </c>
      <c r="BC3" s="34" t="s">
        <v>16</v>
      </c>
      <c r="BD3" s="43" t="s">
        <v>27</v>
      </c>
      <c r="BE3" s="105" t="s">
        <v>14</v>
      </c>
      <c r="BF3" s="105" t="s">
        <v>15</v>
      </c>
      <c r="BG3" s="105" t="s">
        <v>7</v>
      </c>
      <c r="BH3" s="105" t="s">
        <v>16</v>
      </c>
      <c r="BI3" s="105" t="s">
        <v>27</v>
      </c>
      <c r="BJ3" s="34" t="s">
        <v>14</v>
      </c>
      <c r="BK3" s="34" t="s">
        <v>15</v>
      </c>
      <c r="BL3" s="34" t="s">
        <v>7</v>
      </c>
      <c r="BM3" s="34" t="s">
        <v>16</v>
      </c>
      <c r="BN3" s="43" t="s">
        <v>27</v>
      </c>
      <c r="BO3" s="34" t="s">
        <v>14</v>
      </c>
      <c r="BP3" s="34" t="s">
        <v>15</v>
      </c>
      <c r="BQ3" s="34" t="s">
        <v>7</v>
      </c>
      <c r="BR3" s="43" t="s">
        <v>16</v>
      </c>
      <c r="BS3" s="34" t="s">
        <v>27</v>
      </c>
      <c r="BT3" s="68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01" t="s">
        <v>14</v>
      </c>
      <c r="CE3" s="101" t="s">
        <v>15</v>
      </c>
      <c r="CF3" s="101" t="s">
        <v>7</v>
      </c>
      <c r="CG3" s="101" t="s">
        <v>16</v>
      </c>
      <c r="CH3" s="101" t="s">
        <v>27</v>
      </c>
      <c r="CI3" s="104" t="s">
        <v>14</v>
      </c>
      <c r="CJ3" s="104" t="s">
        <v>15</v>
      </c>
      <c r="CK3" s="104" t="s">
        <v>7</v>
      </c>
      <c r="CL3" s="104" t="s">
        <v>16</v>
      </c>
      <c r="CM3" s="104" t="s">
        <v>27</v>
      </c>
      <c r="CN3" s="101" t="s">
        <v>14</v>
      </c>
      <c r="CO3" s="101" t="s">
        <v>15</v>
      </c>
      <c r="CP3" s="101" t="s">
        <v>7</v>
      </c>
      <c r="CQ3" s="101" t="s">
        <v>16</v>
      </c>
      <c r="CR3" s="101" t="s">
        <v>27</v>
      </c>
      <c r="CS3" s="101" t="s">
        <v>14</v>
      </c>
      <c r="CT3" s="101" t="s">
        <v>15</v>
      </c>
      <c r="CU3" s="101" t="s">
        <v>7</v>
      </c>
      <c r="CV3" s="101" t="s">
        <v>16</v>
      </c>
      <c r="CW3" s="101" t="s">
        <v>27</v>
      </c>
      <c r="CX3" s="101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33" t="s">
        <v>14</v>
      </c>
      <c r="DM3" s="33" t="s">
        <v>15</v>
      </c>
      <c r="DN3" s="33" t="s">
        <v>7</v>
      </c>
      <c r="DO3" s="33" t="s">
        <v>16</v>
      </c>
      <c r="DP3" s="42" t="s">
        <v>27</v>
      </c>
      <c r="DQ3" s="33" t="s">
        <v>14</v>
      </c>
      <c r="DR3" s="33" t="s">
        <v>15</v>
      </c>
      <c r="DS3" s="33" t="s">
        <v>7</v>
      </c>
      <c r="DT3" s="33" t="s">
        <v>16</v>
      </c>
      <c r="DU3" s="42" t="s">
        <v>27</v>
      </c>
      <c r="DV3" s="33" t="s">
        <v>14</v>
      </c>
      <c r="DW3" s="33" t="s">
        <v>15</v>
      </c>
      <c r="DX3" s="33" t="s">
        <v>7</v>
      </c>
      <c r="DY3" s="33" t="s">
        <v>16</v>
      </c>
      <c r="DZ3" s="42" t="s">
        <v>27</v>
      </c>
      <c r="EA3" s="10"/>
      <c r="EB3" s="9"/>
      <c r="EC3" s="9"/>
      <c r="ED3" s="9"/>
      <c r="EE3" s="9"/>
      <c r="EF3" s="10"/>
      <c r="EG3" s="10"/>
      <c r="EH3" s="34" t="s">
        <v>14</v>
      </c>
      <c r="EI3" s="34" t="s">
        <v>15</v>
      </c>
      <c r="EJ3" s="34" t="s">
        <v>7</v>
      </c>
      <c r="EK3" s="34" t="s">
        <v>16</v>
      </c>
      <c r="EL3" s="43" t="s">
        <v>27</v>
      </c>
      <c r="EM3" s="34" t="s">
        <v>14</v>
      </c>
      <c r="EN3" s="34" t="s">
        <v>15</v>
      </c>
      <c r="EO3" s="34" t="s">
        <v>7</v>
      </c>
      <c r="EP3" s="34" t="s">
        <v>16</v>
      </c>
      <c r="EQ3" s="43" t="s">
        <v>27</v>
      </c>
      <c r="ER3" s="34" t="s">
        <v>14</v>
      </c>
      <c r="ES3" s="34" t="s">
        <v>15</v>
      </c>
      <c r="ET3" s="34" t="s">
        <v>7</v>
      </c>
      <c r="EU3" s="34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33" t="s">
        <v>14</v>
      </c>
      <c r="FE3" s="33" t="s">
        <v>15</v>
      </c>
      <c r="FF3" s="33" t="s">
        <v>7</v>
      </c>
      <c r="FG3" s="33" t="s">
        <v>16</v>
      </c>
      <c r="FH3" s="42" t="s">
        <v>27</v>
      </c>
      <c r="FI3" s="33" t="s">
        <v>14</v>
      </c>
      <c r="FJ3" s="33" t="s">
        <v>15</v>
      </c>
      <c r="FK3" s="33" t="s">
        <v>7</v>
      </c>
      <c r="FL3" s="33" t="s">
        <v>16</v>
      </c>
      <c r="FM3" s="42" t="s">
        <v>27</v>
      </c>
      <c r="FN3" s="33" t="s">
        <v>14</v>
      </c>
      <c r="FO3" s="33" t="s">
        <v>15</v>
      </c>
      <c r="FP3" s="33" t="s">
        <v>7</v>
      </c>
      <c r="FQ3" s="33" t="s">
        <v>16</v>
      </c>
      <c r="FR3" s="42" t="s">
        <v>27</v>
      </c>
      <c r="FS3" s="10"/>
      <c r="FT3" s="9"/>
      <c r="FU3" s="9"/>
      <c r="FV3" s="9"/>
      <c r="FW3" s="9"/>
      <c r="FX3" s="10"/>
      <c r="FY3" s="10"/>
      <c r="FZ3" s="34" t="s">
        <v>14</v>
      </c>
      <c r="GA3" s="34" t="s">
        <v>15</v>
      </c>
      <c r="GB3" s="34" t="s">
        <v>7</v>
      </c>
      <c r="GC3" s="34" t="s">
        <v>16</v>
      </c>
      <c r="GD3" s="43" t="s">
        <v>27</v>
      </c>
      <c r="GE3" s="34" t="s">
        <v>14</v>
      </c>
      <c r="GF3" s="34" t="s">
        <v>15</v>
      </c>
      <c r="GG3" s="34" t="s">
        <v>7</v>
      </c>
      <c r="GH3" s="34" t="s">
        <v>16</v>
      </c>
      <c r="GI3" s="43" t="s">
        <v>27</v>
      </c>
      <c r="GJ3" s="34" t="s">
        <v>14</v>
      </c>
      <c r="GK3" s="34" t="s">
        <v>15</v>
      </c>
      <c r="GL3" s="34" t="s">
        <v>7</v>
      </c>
      <c r="GM3" s="34" t="s">
        <v>16</v>
      </c>
      <c r="GN3" s="43" t="s">
        <v>27</v>
      </c>
      <c r="GO3" s="13"/>
      <c r="GP3" s="12"/>
      <c r="GQ3" s="12"/>
      <c r="GR3" s="12"/>
      <c r="GS3" s="12"/>
      <c r="GT3" s="13"/>
      <c r="GU3" s="13"/>
      <c r="GV3" s="33" t="s">
        <v>14</v>
      </c>
      <c r="GW3" s="33" t="s">
        <v>15</v>
      </c>
      <c r="GX3" s="33" t="s">
        <v>7</v>
      </c>
      <c r="GY3" s="33" t="s">
        <v>16</v>
      </c>
      <c r="GZ3" s="42" t="s">
        <v>27</v>
      </c>
      <c r="HA3" s="33" t="s">
        <v>14</v>
      </c>
      <c r="HB3" s="33" t="s">
        <v>15</v>
      </c>
      <c r="HC3" s="33" t="s">
        <v>7</v>
      </c>
      <c r="HD3" s="33" t="s">
        <v>16</v>
      </c>
      <c r="HE3" s="42" t="s">
        <v>27</v>
      </c>
      <c r="HF3" s="33" t="s">
        <v>14</v>
      </c>
      <c r="HG3" s="33" t="s">
        <v>15</v>
      </c>
      <c r="HH3" s="33" t="s">
        <v>7</v>
      </c>
      <c r="HI3" s="33" t="s">
        <v>16</v>
      </c>
      <c r="HJ3" s="42" t="s">
        <v>27</v>
      </c>
      <c r="HK3" s="10"/>
      <c r="HL3" s="9"/>
      <c r="HM3" s="9"/>
      <c r="HN3" s="9"/>
      <c r="HO3" s="9"/>
      <c r="HP3" s="10"/>
      <c r="HQ3" s="10"/>
      <c r="HR3" s="34" t="s">
        <v>14</v>
      </c>
      <c r="HS3" s="34" t="s">
        <v>15</v>
      </c>
      <c r="HT3" s="34" t="s">
        <v>7</v>
      </c>
      <c r="HU3" s="34" t="s">
        <v>16</v>
      </c>
      <c r="HV3" s="43" t="s">
        <v>27</v>
      </c>
      <c r="HW3" s="34" t="s">
        <v>14</v>
      </c>
      <c r="HX3" s="34" t="s">
        <v>15</v>
      </c>
      <c r="HY3" s="34" t="s">
        <v>7</v>
      </c>
      <c r="HZ3" s="34" t="s">
        <v>16</v>
      </c>
      <c r="IA3" s="43" t="s">
        <v>27</v>
      </c>
      <c r="IB3" s="34" t="s">
        <v>14</v>
      </c>
      <c r="IC3" s="34" t="s">
        <v>15</v>
      </c>
      <c r="ID3" s="34" t="s">
        <v>7</v>
      </c>
      <c r="IE3" s="34" t="s">
        <v>16</v>
      </c>
      <c r="IF3" s="43" t="s">
        <v>27</v>
      </c>
      <c r="IG3" s="13"/>
      <c r="IH3" s="12"/>
      <c r="II3" s="12"/>
      <c r="IJ3" s="12"/>
      <c r="IK3" s="12"/>
      <c r="IL3" s="13"/>
      <c r="IM3" s="13"/>
      <c r="IN3" s="33" t="s">
        <v>14</v>
      </c>
      <c r="IO3" s="33" t="s">
        <v>15</v>
      </c>
      <c r="IP3" s="33" t="s">
        <v>7</v>
      </c>
      <c r="IQ3" s="33" t="s">
        <v>16</v>
      </c>
      <c r="IR3" s="42" t="s">
        <v>27</v>
      </c>
      <c r="IS3" s="33" t="s">
        <v>14</v>
      </c>
      <c r="IT3" s="33" t="s">
        <v>15</v>
      </c>
      <c r="IU3" s="33" t="s">
        <v>7</v>
      </c>
      <c r="IV3" s="33" t="s">
        <v>16</v>
      </c>
      <c r="IW3" s="42" t="s">
        <v>27</v>
      </c>
      <c r="IX3" s="33" t="s">
        <v>14</v>
      </c>
      <c r="IY3" s="33" t="s">
        <v>15</v>
      </c>
      <c r="IZ3" s="33" t="s">
        <v>7</v>
      </c>
      <c r="JA3" s="33" t="s">
        <v>16</v>
      </c>
      <c r="JB3" s="42" t="s">
        <v>27</v>
      </c>
      <c r="JC3" s="10"/>
      <c r="JD3" s="9"/>
      <c r="JE3" s="9"/>
      <c r="JF3" s="9"/>
      <c r="JG3" s="9"/>
      <c r="JH3" s="10"/>
      <c r="JI3" s="10"/>
      <c r="JJ3" s="34" t="s">
        <v>14</v>
      </c>
      <c r="JK3" s="34" t="s">
        <v>15</v>
      </c>
      <c r="JL3" s="34" t="s">
        <v>7</v>
      </c>
      <c r="JM3" s="34" t="s">
        <v>16</v>
      </c>
      <c r="JN3" s="43" t="s">
        <v>27</v>
      </c>
      <c r="JO3" s="34" t="s">
        <v>14</v>
      </c>
      <c r="JP3" s="34" t="s">
        <v>15</v>
      </c>
      <c r="JQ3" s="34" t="s">
        <v>7</v>
      </c>
      <c r="JR3" s="34" t="s">
        <v>16</v>
      </c>
      <c r="JS3" s="43" t="s">
        <v>27</v>
      </c>
      <c r="JT3" s="34" t="s">
        <v>14</v>
      </c>
      <c r="JU3" s="34" t="s">
        <v>15</v>
      </c>
      <c r="JV3" s="34" t="s">
        <v>7</v>
      </c>
      <c r="JW3" s="34" t="s">
        <v>16</v>
      </c>
      <c r="JX3" s="43" t="s">
        <v>27</v>
      </c>
      <c r="JY3" s="13"/>
      <c r="JZ3" s="12"/>
      <c r="KA3" s="12"/>
      <c r="KB3" s="12"/>
      <c r="KC3" s="12"/>
      <c r="KD3" s="13"/>
      <c r="KE3" s="13"/>
      <c r="KF3" s="33" t="s">
        <v>14</v>
      </c>
      <c r="KG3" s="33" t="s">
        <v>15</v>
      </c>
      <c r="KH3" s="33" t="s">
        <v>7</v>
      </c>
      <c r="KI3" s="33" t="s">
        <v>16</v>
      </c>
      <c r="KJ3" s="42" t="s">
        <v>27</v>
      </c>
      <c r="KK3" s="33" t="s">
        <v>14</v>
      </c>
      <c r="KL3" s="33" t="s">
        <v>15</v>
      </c>
      <c r="KM3" s="33" t="s">
        <v>7</v>
      </c>
      <c r="KN3" s="33" t="s">
        <v>16</v>
      </c>
      <c r="KO3" s="42" t="s">
        <v>27</v>
      </c>
      <c r="KP3" s="33" t="s">
        <v>14</v>
      </c>
      <c r="KQ3" s="33" t="s">
        <v>15</v>
      </c>
      <c r="KR3" s="33" t="s">
        <v>7</v>
      </c>
      <c r="KS3" s="33" t="s">
        <v>16</v>
      </c>
      <c r="KT3" s="42" t="s">
        <v>27</v>
      </c>
      <c r="KU3" s="10"/>
      <c r="KV3" s="9"/>
      <c r="KW3" s="9"/>
      <c r="KX3" s="9"/>
      <c r="KY3" s="9"/>
      <c r="KZ3" s="10"/>
      <c r="LA3" s="10"/>
      <c r="LB3" s="34" t="s">
        <v>14</v>
      </c>
      <c r="LC3" s="34" t="s">
        <v>15</v>
      </c>
      <c r="LD3" s="34" t="s">
        <v>7</v>
      </c>
      <c r="LE3" s="34" t="s">
        <v>16</v>
      </c>
      <c r="LF3" s="43" t="s">
        <v>27</v>
      </c>
      <c r="LG3" s="34" t="s">
        <v>14</v>
      </c>
      <c r="LH3" s="34" t="s">
        <v>15</v>
      </c>
      <c r="LI3" s="34" t="s">
        <v>7</v>
      </c>
      <c r="LJ3" s="34" t="s">
        <v>16</v>
      </c>
      <c r="LK3" s="43" t="s">
        <v>27</v>
      </c>
      <c r="LL3" s="34" t="s">
        <v>14</v>
      </c>
      <c r="LM3" s="34" t="s">
        <v>15</v>
      </c>
      <c r="LN3" s="34" t="s">
        <v>7</v>
      </c>
      <c r="LO3" s="34" t="s">
        <v>16</v>
      </c>
      <c r="LP3" s="43" t="s">
        <v>27</v>
      </c>
      <c r="LQ3" s="13"/>
      <c r="LR3" s="12"/>
      <c r="LS3" s="12"/>
      <c r="LT3" s="12"/>
      <c r="LU3" s="12"/>
      <c r="LV3" s="13"/>
      <c r="LW3" s="13"/>
      <c r="LX3" s="33" t="s">
        <v>14</v>
      </c>
      <c r="LY3" s="33" t="s">
        <v>15</v>
      </c>
      <c r="LZ3" s="33" t="s">
        <v>7</v>
      </c>
      <c r="MA3" s="33" t="s">
        <v>16</v>
      </c>
      <c r="MB3" s="42" t="s">
        <v>27</v>
      </c>
      <c r="MC3" s="33" t="s">
        <v>14</v>
      </c>
      <c r="MD3" s="33" t="s">
        <v>15</v>
      </c>
      <c r="ME3" s="33" t="s">
        <v>7</v>
      </c>
      <c r="MF3" s="33" t="s">
        <v>16</v>
      </c>
      <c r="MG3" s="42" t="s">
        <v>27</v>
      </c>
      <c r="MH3" s="33" t="s">
        <v>14</v>
      </c>
      <c r="MI3" s="33" t="s">
        <v>15</v>
      </c>
      <c r="MJ3" s="33" t="s">
        <v>7</v>
      </c>
      <c r="MK3" s="33" t="s">
        <v>16</v>
      </c>
      <c r="ML3" s="42" t="s">
        <v>27</v>
      </c>
      <c r="MM3" s="10"/>
      <c r="MN3" s="9"/>
      <c r="MO3" s="9"/>
      <c r="MP3" s="9"/>
      <c r="MQ3" s="9"/>
      <c r="MR3" s="10"/>
      <c r="MS3" s="10"/>
      <c r="MT3" s="34" t="s">
        <v>14</v>
      </c>
      <c r="MU3" s="34" t="s">
        <v>15</v>
      </c>
      <c r="MV3" s="34" t="s">
        <v>7</v>
      </c>
      <c r="MW3" s="34" t="s">
        <v>16</v>
      </c>
      <c r="MX3" s="43" t="s">
        <v>27</v>
      </c>
      <c r="MY3" s="34" t="s">
        <v>14</v>
      </c>
      <c r="MZ3" s="34" t="s">
        <v>15</v>
      </c>
      <c r="NA3" s="34" t="s">
        <v>7</v>
      </c>
      <c r="NB3" s="34" t="s">
        <v>16</v>
      </c>
      <c r="NC3" s="43" t="s">
        <v>27</v>
      </c>
      <c r="ND3" s="34" t="s">
        <v>14</v>
      </c>
      <c r="NE3" s="34" t="s">
        <v>15</v>
      </c>
      <c r="NF3" s="34" t="s">
        <v>7</v>
      </c>
      <c r="NG3" s="34" t="s">
        <v>16</v>
      </c>
      <c r="NH3" s="43" t="s">
        <v>27</v>
      </c>
      <c r="NI3" s="13"/>
      <c r="NJ3" s="12"/>
      <c r="NK3" s="12"/>
      <c r="NL3" s="12"/>
      <c r="NM3" s="12"/>
      <c r="NN3" s="13"/>
      <c r="NO3" s="13"/>
      <c r="NP3" s="94" t="s">
        <v>14</v>
      </c>
      <c r="NQ3" s="94" t="s">
        <v>15</v>
      </c>
      <c r="NR3" s="94" t="s">
        <v>7</v>
      </c>
      <c r="NS3" s="94" t="s">
        <v>16</v>
      </c>
      <c r="NT3" s="94" t="s">
        <v>27</v>
      </c>
      <c r="NU3" s="104" t="s">
        <v>14</v>
      </c>
      <c r="NV3" s="104" t="s">
        <v>15</v>
      </c>
      <c r="NW3" s="104" t="s">
        <v>7</v>
      </c>
      <c r="NX3" s="104" t="s">
        <v>16</v>
      </c>
      <c r="NY3" s="104" t="s">
        <v>27</v>
      </c>
      <c r="NZ3" s="94" t="s">
        <v>14</v>
      </c>
      <c r="OA3" s="94" t="s">
        <v>15</v>
      </c>
      <c r="OB3" s="94" t="s">
        <v>7</v>
      </c>
      <c r="OC3" s="94" t="s">
        <v>16</v>
      </c>
      <c r="OD3" s="94" t="s">
        <v>27</v>
      </c>
      <c r="OE3" s="94" t="s">
        <v>14</v>
      </c>
      <c r="OF3" s="94" t="s">
        <v>15</v>
      </c>
      <c r="OG3" s="94" t="s">
        <v>7</v>
      </c>
      <c r="OH3" s="94" t="s">
        <v>16</v>
      </c>
      <c r="OI3" s="94" t="s">
        <v>27</v>
      </c>
      <c r="OJ3" s="94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IF(AND(G4&lt;&gt;"",H4&lt;&gt;""),SUMPRODUCT((G$4:G$20&lt;&gt;"")*(H$4:H$20&lt;&gt;"")*(E$4:E$20&gt;E4))+1,IF(H4&lt;&gt;"",SUMPRODUCT((I$4:I$20="No DD")*(E$4:E$20&gt;E4))+1+SUMPRODUCT((G$4:G$20&lt;&gt;"")*(H$4:H$20&lt;&gt;"")),""))</f>
        <v>1</v>
      </c>
      <c r="B4" s="6" t="s">
        <v>135</v>
      </c>
      <c r="C4" s="7" t="s">
        <v>6</v>
      </c>
      <c r="D4" s="26">
        <v>2001</v>
      </c>
      <c r="E4" s="15">
        <f>SUM(O4:S4)</f>
        <v>110.74</v>
      </c>
      <c r="F4" s="3" t="str">
        <f>IF(G4&lt;&gt;"","P","")</f>
        <v>P</v>
      </c>
      <c r="G4" s="115" t="str">
        <f>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Merit",IF(OR(AND(AR4&gt;=AY$24,AR4&lt;&gt;"",AP4=""),AND(AT4&gt;=AY$24,AT4&lt;&gt;"",AP4=""),AND(AW4&gt;=AY$24,AW4&lt;&gt;"",AP4=""),AND(BV4&gt;=CC$24,BV4&lt;&gt;"",BT4=""),AND(BX4&gt;=CC$24,BX4&lt;&gt;"",BT4=""),AND(CA4&gt;=CC$24,CA4&lt;&gt;"",BT4=""),AND(CZ4&gt;=DG$24,CZ4&lt;&gt;"",CX4=""),AND(DB4&gt;=DG$24,DB4&lt;&gt;"",CX4=""),AND(DE4&gt;=DG$24,DE4&lt;&gt;"",CX4=""),AND(EA4&gt;=EG$24,EA4&lt;&gt;""),AND(EE4&gt;=EG$24,EE4&lt;&gt;""),AND(EW4&gt;=FC$24,EW4&lt;&gt;""),AND(FA4&gt;=FC$24,FA4&lt;&gt;""),AND(FS4&gt;=FY$24,FS4&lt;&gt;""),AND(FW4&gt;=FY$24,FW4&lt;&gt;""),AND(GO4&gt;=GU$24,GO4&lt;&gt;""),AND(GS4&gt;=GU$24,GS4&lt;&gt;""),AND(HK4&gt;=HQ$24,HK4&lt;&gt;""),AND(HO4&gt;=HQ$24,HO4&lt;&gt;""),AND(IG4&gt;=IM$24,IG4&lt;&gt;""),AND(IK4&gt;=IM$24,IK4&lt;&gt;""),AND(JC4&gt;=JI$24,JC4&lt;&gt;""),AND(JG4&gt;=JI$24,JG4&lt;&gt;""),AND(JY4&gt;=KE$24,JY4&lt;&gt;""),AND(KC4&gt;=KE$24,KC4&lt;&gt;""),AND(KU4&gt;=LA$24,KU4&lt;&gt;""),AND(KY4&gt;=LA$24,KY4&lt;&gt;""),AND(LQ4&gt;=LW$24,LQ4&lt;&gt;""),AND(LU4&gt;=LW$24,LU4&lt;&gt;""),AND(MM4&gt;=MS$24,MM4&lt;&gt;""),AND(MQ4&gt;=MS$24,MQ4&lt;&gt;""),AND(NI4&gt;=NO$24,NI4&lt;&gt;""),AND(NM4&gt;=NO$24,NM4&lt;&gt;"")),"Excellence",IF(OR(AND(AR4&gt;=AY$23,AR4&lt;&gt;"",AP4=""),AND(AT4&gt;=AY$23,AT4&lt;&gt;"",AP4=""),AND(AW4&gt;=AY$23,AW4&lt;&gt;"",AP4=""),AND(BV4&gt;=CC$23,BV4&lt;&gt;"",BT4=""),AND(BX4&gt;=CC$23,BX4&lt;&gt;"",BT4=""),AND(CA4&gt;=CC$23,CA4&lt;&gt;"",BT4=""),AND(CZ4&gt;=DG$23,CZ4&lt;&gt;"",CX4=""),AND(DB4&gt;=DG$23,DB4&lt;&gt;"",CX4=""),AND(DE4&gt;=DG$23,DE4&lt;&gt;"",CX4=""),AND(EA4&gt;=EG$23,EA4&lt;&gt;""),AND(EE4&gt;=EG$23,EE4&lt;&gt;""),AND(EW4&gt;=FC$23,EW4&lt;&gt;""),AND(FA4&gt;=FC$23,FA4&lt;&gt;""),AND(FS4&gt;=FY$23,FS4&lt;&gt;""),AND(FW4&gt;=FY$23,FW4&lt;&gt;""),AND(GO4&gt;=GU$23,GO4&lt;&gt;""),AND(GS4&gt;=GU$23,GS4&lt;&gt;""),AND(HK4&gt;=HQ$23,HK4&lt;&gt;""),AND(HO4&gt;=HQ$23,HO4&lt;&gt;""),AND(IG4&gt;=IM$23,IG4&lt;&gt;""),AND(IK4&gt;=IM$23,IK4&lt;&gt;""),AND(JC4&gt;=JI$23,JC4&lt;&gt;""),AND(JG4&gt;=JI$23,JG4&lt;&gt;""),AND(JY4&gt;=KE$23,JY4&lt;&gt;""),AND(KC4&gt;=KE$23,KC4&lt;&gt;""),AND(KU4&gt;=LA$23,KU4&lt;&gt;""),AND(KY4&gt;=LA$23,KY4&lt;&gt;""),AND(LQ4&gt;=LW$23,LQ4&lt;&gt;""),AND(LU4&gt;=LW$23,LU4&lt;&gt;""),AND(MM4&gt;=MS$23,MM4&lt;&gt;""),AND(MQ4&gt;=MS$23,MQ4&lt;&gt;""),AND(NI4&gt;=NO$23,NI4&lt;&gt;""),AND(NM4&gt;=NO$23,NM4&lt;&gt;"")),"Worlds Team",IF(OR(AND(AR4&gt;=AY$22,AR4&lt;&gt;"",AP4=""),AND(AT4&gt;=AY$22,AT4&lt;&gt;"",AP4=""),AND(AW4&gt;=AY$22,AW4&lt;&gt;"",AP4=""),AND(BV4&gt;=CC$22,BV4&lt;&gt;"",BT4=""),AND(BX4&gt;=CC$22,BX4&lt;&gt;"",BT4=""),AND(CA4&gt;=CC$22,CA4&lt;&gt;"",BT4=""),AND(CZ4&gt;=DG$22,CZ4&lt;&gt;"",CX4=""),AND(DB4&gt;=DG$22,DB4&lt;&gt;"",CX4=""),AND(DE4&gt;=DG$22,DE4&lt;&gt;"",CX4=""),AND(EA4&gt;=EG$22,EA4&lt;&gt;""),AND(EE4&gt;=EG$22,EE4&lt;&gt;""),AND(EW4&gt;=FC$22,EW4&lt;&gt;""),AND(FA4&gt;=FC$22,FA4&lt;&gt;""),AND(FS4&gt;=FY$22,FS4&lt;&gt;""),AND(FW4&gt;=FY$22,FW4&lt;&gt;""),AND(GO4&gt;=GU$22,GO4&lt;&gt;""),AND(GS4&gt;=GU$22,GS4&lt;&gt;""),AND(HK4&gt;=HQ$22,HK4&lt;&gt;""),AND(HO4&gt;=HQ$22,HO4&lt;&gt;""),AND(IG4&gt;=IM$22,IG4&lt;&gt;""),AND(IK4&gt;=IM$22,IK4&lt;&gt;""),AND(JC4&gt;=JI$22,JC4&lt;&gt;""),AND(JG4&gt;=JI$22,JG4&lt;&gt;""),AND(JY4&gt;=KE$22,JY4&lt;&gt;""),AND(KC4&gt;=KE$22,KC4&lt;&gt;""),AND(KU4&gt;=LA$22,KU4&lt;&gt;""),AND(KY4&gt;=LA$22,KY4&lt;&gt;""),AND(LQ4&gt;=LW$22,LQ4&lt;&gt;""),AND(LU4&gt;=LW$22,LU4&lt;&gt;""),AND(MM4&gt;=MS$22,MM4&lt;&gt;""),AND(MQ4&gt;=MS$22,MQ4&lt;&gt;""),AND(NI4&gt;=NO$22,NI4&lt;&gt;""),AND(NM4&gt;=NO$22,NM4&lt;&gt;"")),"National Team",""))))</f>
        <v>National Team</v>
      </c>
      <c r="H4" s="115" t="str">
        <f>IF(OR(AND(AS4&gt;=AY$26,AS4&lt;&gt;"",AP4=""),AND(AU4&gt;=AY$26,AU4&lt;&gt;"",AP4=""),AND(AX4&gt;=AY$26,AX4&lt;&gt;"",AP4=""),AND(BW4&gt;=CC$26,BW4&lt;&gt;"",BT4=""),AND(BY4&gt;=CC$26,BY4&lt;&gt;"",BT4=""),AND(CB4&gt;=CC$26,CB4&lt;&gt;"",BT4=""),AND(DA4&gt;=DG$26,DA4&lt;&gt;"",CX4=""),AND(DC4&gt;=DG$26,DC4&lt;&gt;"",CX4=""),AND(DF4&gt;=DG$26,DF4&lt;&gt;"",CX4=""),AND(EC4&gt;=EG$26,EC4&lt;&gt;""),AND(EF4&gt;=EG$26,EF4&lt;&gt;""),AND(EY4&gt;=FC$26,EY4&lt;&gt;""),AND(FB4&gt;=FC$26,FB4&lt;&gt;""),AND(FU4&gt;=FY$26,FU4&lt;&gt;""),AND(FX4&gt;=FY$26,FX4&lt;&gt;""),AND(GQ4&gt;=GU$26,GQ4&lt;&gt;""),AND(GT4&gt;=GU$26,GT4&lt;&gt;""),AND(HM4&gt;=HQ$26,HM4&lt;&gt;""),AND(HP4&gt;=HQ$26,HP4&lt;&gt;""),AND(II4&gt;=IM$26,II4&lt;&gt;""),AND(IL4&gt;=IM$26,IL4&lt;&gt;""),AND(JE4&gt;=JI$26,JE4&lt;&gt;""),AND(JH4&gt;=JI$26,JH4&lt;&gt;""),AND(KA4&gt;=KE$26,KA4&lt;&gt;""),AND(KD4&gt;=KE$26,KD4&lt;&gt;""),AND(KW4&gt;=LA$26,KW4&lt;&gt;""),AND(KZ4&gt;=LA$26,KZ4&lt;&gt;""),AND(LS4&gt;=LW$26,LS4&lt;&gt;""),AND(LV4&gt;=LW$26,LV4&lt;&gt;""),AND(MO4&gt;=MS$26,MO4&lt;&gt;""),AND(MR4&gt;=MS$26,MR4&lt;&gt;""),AND(NK4&gt;=NO$26,NK4&lt;&gt;""),AND(NN4&gt;=NO$26,NN4&lt;&gt;"")),"National Team","")</f>
        <v>National Team</v>
      </c>
      <c r="I4" s="11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V4&gt;=AY$27,AV4&lt;&gt;"",AP4=""),AND(BZ4&gt;=CC$27,BZ4&lt;&gt;"",BT4=""),AND(DD4&gt;=DG$27,DD4&lt;&gt;"",CX4=""),AND(ED4&gt;=EG$27,ED4&lt;&gt;""),AND(EZ4&gt;=FC$27,EZ4&lt;&gt;""),AND(FV4&gt;=FY$27,FV4&lt;&gt;""),AND(GR4&gt;=GU$27,GR4&lt;&gt;""),AND(HN4&gt;=HQ$27,HN4&lt;&gt;""),AND(IJ4&gt;=IM$27,IJ4&lt;&gt;""),AND(JF4&gt;=JI$27,JF4&lt;&gt;""),AND(KB4&gt;=KE$27,KB4&lt;&gt;""),AND(KX4&gt;=LA$27,KX4&lt;&gt;""),AND(LT4&gt;=LW$27,LT4&lt;&gt;""),AND(MP4&gt;=MS$27,MP4&lt;&gt;""),AND(NL4&gt;=NO$27,NL4&lt;&gt;"")),OR(G4="Worlds Team",G4="Excellence",G4="Merit")),"P","")</f>
        <v/>
      </c>
      <c r="K4" s="14">
        <f>IF(MAX(AV4,BZ4,DD4)&gt;0,MAX(AV4,BZ4,DD4),0)</f>
        <v>107.22499999999999</v>
      </c>
      <c r="L4" s="14" t="str">
        <f>IF(K4=0,"",IF(K4=DD4,$CD$1,IF(K4=BZ4,$AZ$1,IF(K4=AV4,$V$1,""))))</f>
        <v>2021 1st Virtual Technical Trial</v>
      </c>
      <c r="M4" s="14">
        <f>IF($K4=$AV4,MAX(BU4,CY4),IF($K4=$BZ4,MAX(AQ4,CY4),IF($K4=$DD4,MAX(AQ4,BU4),MAX(AQ4,BU4,CY4))))</f>
        <v>48.730000000000004</v>
      </c>
      <c r="N4" s="14" t="str">
        <f>IF(M4=0,"",IF(AND(M4=CY4,$L4&lt;&gt;$CD$1),$CD$1,IF(AND(M4=BU4,$L4&lt;&gt;$AZ$1),$AZ$1,IF(AND(M4=AQ4,$L4&lt;&gt;$V$1),$V$1,""))))</f>
        <v>2019 Nationals</v>
      </c>
      <c r="O4" s="14">
        <f>MAX(AS4,AU4,AX4,BW4,BY4,CB4,DA4,DC4,DF4)</f>
        <v>56.78</v>
      </c>
      <c r="P4" s="14" t="str">
        <f>IF(O4=0,"",IF(OR(O4=DC4,O4=DA4,O4=DF4),$CD$1,IF(OR(O4=BY4,O4=BW4,O4=CB4),$AZ$1,IF(OR(O4=AU4,O4=AS4,O4=AX4),$V$1,""))))</f>
        <v>2021 1st Virtual Technical Trial</v>
      </c>
      <c r="Q4" s="14">
        <f>IF(COUNT(AS4,AU4,AX4,BW4,BY4,CB4,DA4,DC4,DF4)&gt;1,LARGE((AS4,AU4,AX4,BW4,BY4,CB4,DA4,DC4,DF4),2),0)</f>
        <v>53.959999999999994</v>
      </c>
      <c r="R4" s="14" t="str">
        <f>IF(Q4=0,"",IF(OR(Q4=DC4,Q4=DA4,Q4=DF4),$CD$1,IF(OR(Q4=BY4,Q4=BW4,Q4=CB4),$AZ$1,IF(OR(Q4=AU4,Q4=AS4,Q4=AX4),$V$1,""))))</f>
        <v>2021 1st Virtual Technical Trial</v>
      </c>
      <c r="S4" s="14" t="str">
        <f>IF(MAX(DI4,DK4)&gt;0,MAX(DI4,DK4),"")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72"/>
      <c r="AQ4" s="11" t="str">
        <f>IF(SUM(V4:Y4)-Z4&gt;0,SUM(V4:Y4)-Z4,"")</f>
        <v/>
      </c>
      <c r="AR4" s="11" t="str">
        <f>IF(AC4&gt;0,AC4,"")</f>
        <v/>
      </c>
      <c r="AS4" s="11" t="str">
        <f>IF(SUM(AA4:AD4)-AE4&gt;0,SUM(AA4:AD4)-AE4,"")</f>
        <v/>
      </c>
      <c r="AT4" s="11" t="str">
        <f>IF(AH4&gt;0,AH4,"")</f>
        <v/>
      </c>
      <c r="AU4" s="11" t="str">
        <f>IF(SUM(AF4:AI4)-AJ4&gt;0,SUM(AF4:AI4)-AJ4,"")</f>
        <v/>
      </c>
      <c r="AV4" s="11" t="str">
        <f>IF(OR(AQ4&lt;&gt;"",AS4&lt;&gt;"",AU4&lt;&gt;""),AQ4+MAX(AS4,AU4),"")</f>
        <v/>
      </c>
      <c r="AW4" s="11" t="str">
        <f>IF(AM4&gt;0,AM4,"")</f>
        <v/>
      </c>
      <c r="AX4" s="11" t="str">
        <f>IF(SUM(AK4:AN4)-AO4&gt;0,SUM(AK4:AN4)-AO4,"")</f>
        <v/>
      </c>
      <c r="AY4" s="11" t="str">
        <f>IF(SUM(AV4,AX4)&gt;0,SUM(AV4,AX4),"")</f>
        <v/>
      </c>
      <c r="AZ4" s="67">
        <v>18.600000000000001</v>
      </c>
      <c r="BA4" s="67">
        <v>9.6</v>
      </c>
      <c r="BB4" s="67">
        <v>3.2</v>
      </c>
      <c r="BC4" s="67">
        <v>17.329999999999998</v>
      </c>
      <c r="BD4" s="67">
        <v>0</v>
      </c>
      <c r="BE4" s="67">
        <v>9.6999999999999993</v>
      </c>
      <c r="BF4" s="67">
        <v>5.3</v>
      </c>
      <c r="BG4" s="67">
        <v>9.4</v>
      </c>
      <c r="BH4" s="67">
        <v>9.83</v>
      </c>
      <c r="BI4" s="67">
        <v>0</v>
      </c>
      <c r="BJ4" s="67"/>
      <c r="BK4" s="67"/>
      <c r="BL4" s="67"/>
      <c r="BM4" s="67"/>
      <c r="BN4" s="67"/>
      <c r="BO4" s="67">
        <v>6.32</v>
      </c>
      <c r="BP4" s="67">
        <v>3.5</v>
      </c>
      <c r="BQ4" s="67">
        <v>6.7</v>
      </c>
      <c r="BR4" s="67">
        <v>6.65</v>
      </c>
      <c r="BS4" s="67">
        <v>0</v>
      </c>
      <c r="BT4" s="73"/>
      <c r="BU4" s="14">
        <f>IF(SUM(AZ4:BC4)-BD4&gt;0,SUM(AZ4:BC4)-BD4,"")</f>
        <v>48.730000000000004</v>
      </c>
      <c r="BV4" s="14">
        <f>IF(BG4&gt;0,BG4,"")</f>
        <v>9.4</v>
      </c>
      <c r="BW4" s="14">
        <f>IF(SUM(BE4:BH4)-BI4&gt;0,SUM(BE4:BH4)-BI4,"")</f>
        <v>34.229999999999997</v>
      </c>
      <c r="BX4" s="14" t="str">
        <f>IF(BL4&gt;0,BL4,"")</f>
        <v/>
      </c>
      <c r="BY4" s="14" t="str">
        <f>IF(SUM(BJ4:BM4)-BN4&gt;0,SUM(BJ4:BM4)-BN4,"")</f>
        <v/>
      </c>
      <c r="BZ4" s="14">
        <f>IF(BU4="",IF(MAX(BW4,BY4)&gt;0,MAX(BW4,BY4),""),MAX(BW4,BY4)+BU4)</f>
        <v>82.960000000000008</v>
      </c>
      <c r="CA4" s="14">
        <f>IF(BQ4&gt;0,BQ4,"")</f>
        <v>6.7</v>
      </c>
      <c r="CB4" s="14">
        <f>IF(SUM(BO4:BR4)-BS4&gt;0,SUM(BO4:BR4)-BS4,"")</f>
        <v>23.17</v>
      </c>
      <c r="CC4" s="14">
        <f>IF(SUM(BZ4,CB4)&gt;0,SUM(BZ4,CB4),"")</f>
        <v>106.13000000000001</v>
      </c>
      <c r="CD4" s="61">
        <v>18</v>
      </c>
      <c r="CE4" s="61">
        <v>9.75</v>
      </c>
      <c r="CF4" s="61">
        <v>4.8</v>
      </c>
      <c r="CG4" s="61">
        <v>17.895</v>
      </c>
      <c r="CH4" s="61">
        <v>0</v>
      </c>
      <c r="CI4" s="61">
        <v>14.8</v>
      </c>
      <c r="CJ4" s="61">
        <v>8.75</v>
      </c>
      <c r="CK4" s="61">
        <v>13.5</v>
      </c>
      <c r="CL4" s="61">
        <v>16.91</v>
      </c>
      <c r="CM4" s="61">
        <v>0</v>
      </c>
      <c r="CN4" s="61">
        <v>16.7</v>
      </c>
      <c r="CO4" s="61">
        <v>8.9</v>
      </c>
      <c r="CP4" s="61">
        <v>13.9</v>
      </c>
      <c r="CQ4" s="61">
        <v>17.28</v>
      </c>
      <c r="CR4" s="61">
        <v>0</v>
      </c>
      <c r="CS4" s="61">
        <v>1.7</v>
      </c>
      <c r="CT4" s="61">
        <v>0.9</v>
      </c>
      <c r="CU4" s="61">
        <v>1.7</v>
      </c>
      <c r="CV4" s="61">
        <v>1.8149999999999999</v>
      </c>
      <c r="CW4" s="61">
        <v>0</v>
      </c>
      <c r="CX4" s="72"/>
      <c r="CY4" s="11">
        <f>IF(SUM(CD4:CG4)-CH4&gt;0,SUM(CD4:CG4)-CH4,"")</f>
        <v>50.444999999999993</v>
      </c>
      <c r="CZ4" s="11">
        <f>IF(CK4&gt;0,CK4,"")</f>
        <v>13.5</v>
      </c>
      <c r="DA4" s="11">
        <f>IF(SUM(CI4:CL4)-CM4&gt;0,SUM(CI4:CL4)-CM4,"")</f>
        <v>53.959999999999994</v>
      </c>
      <c r="DB4" s="11">
        <f>IF(CP4&gt;0,CP4,"")</f>
        <v>13.9</v>
      </c>
      <c r="DC4" s="11">
        <f>IF(SUM(CN4:CQ4)-CR4&gt;0,SUM(CN4:CQ4)-CR4,"")</f>
        <v>56.78</v>
      </c>
      <c r="DD4" s="11">
        <f>IF(CY4="",IF(MAX(DA4,DC4)&gt;0,MAX(DA4,DC4),""),MAX(DA4,DC4)+CY4)</f>
        <v>107.22499999999999</v>
      </c>
      <c r="DE4" s="11">
        <f>IF(CU4&gt;0,CU4,"")</f>
        <v>1.7</v>
      </c>
      <c r="DF4" s="11">
        <f>IF(SUM(CS4:CV4)-CW4&gt;0,SUM(CS4:CV4)-CW4,"")</f>
        <v>6.1150000000000002</v>
      </c>
      <c r="DG4" s="11">
        <f>IF(SUM(DD4,DF4)&gt;0,SUM(DD4,DF4),"")</f>
        <v>113.33999999999999</v>
      </c>
      <c r="DH4" s="23" t="str">
        <f>IF(MAX(EB4,EX4,FT4,GP4,HL4,IH4,JD4,JZ4,KV4,LR4,MN4,NJ4)-IF(M4="",0,M4)&gt;0.001,MAX(EB4,EX4,FT4,GP4,HL4,IH4,JD4,JZ4,KV4,LR4,MN4,NJ4)-IF(M4="",0,M4),"")</f>
        <v/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>
        <v>17.3</v>
      </c>
      <c r="DM4" s="35">
        <v>9.1</v>
      </c>
      <c r="DN4" s="35">
        <v>2.5</v>
      </c>
      <c r="DO4" s="35">
        <v>17.14</v>
      </c>
      <c r="DP4" s="35">
        <v>0</v>
      </c>
      <c r="DQ4" s="35">
        <v>14.3</v>
      </c>
      <c r="DR4" s="35">
        <v>9.5</v>
      </c>
      <c r="DS4" s="35">
        <v>15.4</v>
      </c>
      <c r="DT4" s="35">
        <v>16.445</v>
      </c>
      <c r="DU4" s="35">
        <v>0</v>
      </c>
      <c r="DV4" s="35"/>
      <c r="DW4" s="35"/>
      <c r="DX4" s="35"/>
      <c r="DY4" s="35"/>
      <c r="DZ4" s="35"/>
      <c r="EA4" s="11">
        <f>IF(DS4&gt;0,DS4,"")</f>
        <v>15.4</v>
      </c>
      <c r="EB4" s="11">
        <f>IF(SUM(DL4:DO4)-DP4&gt;0,SUM(DL4:DO4)-DP4,"")</f>
        <v>46.04</v>
      </c>
      <c r="EC4" s="11">
        <f>IF(SUM(DQ4:DT4)-DU4&gt;0,SUM(DQ4:DT4)-DU4,"")</f>
        <v>55.645000000000003</v>
      </c>
      <c r="ED4" s="11">
        <f>IF(SUM(EB4:EC4)&gt;0,SUM(EB4:EC4),"")</f>
        <v>101.685</v>
      </c>
      <c r="EE4" s="11" t="str">
        <f>IF(DX4&gt;0,DX4,"")</f>
        <v/>
      </c>
      <c r="EF4" s="11" t="str">
        <f>IF(SUM(DV4:DY4)-DZ4&gt;0,SUM(DV4:DY4)-DZ4,"")</f>
        <v/>
      </c>
      <c r="EG4" s="11">
        <f>IF(SUM(ED4,EF4)&gt;0,SUM(ED4,EF4),"")</f>
        <v>101.685</v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>IF($CX4="P",CD4,(CD4+AZ4)/2)</f>
        <v>18.3</v>
      </c>
      <c r="NQ4" s="61">
        <f>IF($CX4="P",CE4,(CE4+BA4)/2)</f>
        <v>9.6750000000000007</v>
      </c>
      <c r="NR4" s="61">
        <f>IF($CX4="P",CF4,(CF4+BB4)/2)</f>
        <v>4</v>
      </c>
      <c r="NS4" s="61">
        <f>IF($CX4="P",CG4,(CG4+BC4)/2)</f>
        <v>17.612499999999997</v>
      </c>
      <c r="NT4" s="61">
        <f>IF($CX4="P",CH4,(CH4+BD4)/2)</f>
        <v>0</v>
      </c>
      <c r="NU4" s="61">
        <f>IF($CX4="P",CI4,(CI4+BE4)/2)</f>
        <v>12.25</v>
      </c>
      <c r="NV4" s="61">
        <f>IF($CX4="P",CJ4,(CJ4+BF4)/2)</f>
        <v>7.0250000000000004</v>
      </c>
      <c r="NW4" s="61">
        <f>IF($CX4="P",CK4,(CK4+BG4)/2)</f>
        <v>11.45</v>
      </c>
      <c r="NX4" s="61">
        <f>IF($CX4="P",CL4,(CL4+BH4)/2)</f>
        <v>13.370000000000001</v>
      </c>
      <c r="NY4" s="61">
        <f>IF($CX4="P",CM4,(CM4+BI4)/2)</f>
        <v>0</v>
      </c>
      <c r="NZ4" s="61">
        <f>IF($CX4="P",CN4,(CN4+BJ4)/2)</f>
        <v>8.35</v>
      </c>
      <c r="OA4" s="61">
        <f>IF($CX4="P",CO4,(CO4+BK4)/2)</f>
        <v>4.45</v>
      </c>
      <c r="OB4" s="61">
        <f>IF($CX4="P",CP4,(CP4+BL4)/2)</f>
        <v>6.95</v>
      </c>
      <c r="OC4" s="61">
        <f>IF($CX4="P",CQ4,(CQ4+BM4)/2)</f>
        <v>8.64</v>
      </c>
      <c r="OD4" s="61">
        <f>IF($CX4="P",CR4,(CR4+BN4)/2)</f>
        <v>0</v>
      </c>
      <c r="OE4" s="61">
        <f>IF($CX4="P",CS4,(CS4+BO4)/2)</f>
        <v>4.01</v>
      </c>
      <c r="OF4" s="61">
        <f>IF($CX4="P",CT4,(CT4+BP4)/2)</f>
        <v>2.2000000000000002</v>
      </c>
      <c r="OG4" s="61">
        <f>IF($CX4="P",CU4,(CU4+BQ4)/2)</f>
        <v>4.2</v>
      </c>
      <c r="OH4" s="61">
        <f>IF($CX4="P",CV4,(CV4+BR4)/2)</f>
        <v>4.2324999999999999</v>
      </c>
      <c r="OI4" s="61">
        <f>IF($CX4="P",CW4,(CW4+BS4)/2)</f>
        <v>0</v>
      </c>
      <c r="OJ4" s="72" t="s">
        <v>52</v>
      </c>
      <c r="OK4" s="11">
        <f>IF(SUM(NP4:NS4)-NT4&gt;0,SUM(NP4:NS4)-NT4,"")</f>
        <v>49.587499999999999</v>
      </c>
      <c r="OL4" s="11">
        <f>IF(NW4&gt;0,NW4,"")</f>
        <v>11.45</v>
      </c>
      <c r="OM4" s="11">
        <f>IF(SUM(NU4:NX4)-NY4&gt;0,SUM(NU4:NX4)-NY4,"")</f>
        <v>44.094999999999999</v>
      </c>
      <c r="ON4" s="11">
        <f>IF(OB4&gt;0,OB4,"")</f>
        <v>6.95</v>
      </c>
      <c r="OO4" s="11">
        <f>IF(SUM(NZ4:OC4)-OD4&gt;0,SUM(NZ4:OC4)-OD4,"")</f>
        <v>28.39</v>
      </c>
      <c r="OP4" s="11">
        <f>IF(OR(OK4&lt;&gt;"",OM4&lt;&gt;"",OO4&lt;&gt;""),OK4+MAX(OM4,OO4),"")</f>
        <v>93.682500000000005</v>
      </c>
      <c r="OQ4" s="11">
        <f>IF(OG4&gt;0,OG4,"")</f>
        <v>4.2</v>
      </c>
      <c r="OR4" s="11">
        <f t="shared" ref="OR4:OR11" si="0">IF(SUM(OE4:OH4)-OI4&gt;0,SUM(OE4:OH4)-OI4,"")</f>
        <v>14.6425</v>
      </c>
      <c r="OS4" s="11">
        <f>IF(SUM(OP4,OR4)&gt;0,SUM(OP4,OR4),"")</f>
        <v>108.325</v>
      </c>
    </row>
    <row r="5" spans="1:409" x14ac:dyDescent="0.2">
      <c r="A5" s="5" cm="1">
        <f t="array" ref="A5">IF(AND(G5&lt;&gt;"",H5&lt;&gt;""),SUMPRODUCT((G$4:G$20&lt;&gt;"")*(H$4:H$20&lt;&gt;"")*(E$4:E$20&gt;E5))+1,IF(H5&lt;&gt;"",SUMPRODUCT((I$4:I$20="No DD")*(E$4:E$20&gt;E5))+1+SUMPRODUCT((G$4:G$20&lt;&gt;"")*(H$4:H$20&lt;&gt;"")),""))</f>
        <v>2</v>
      </c>
      <c r="B5" s="6" t="s">
        <v>134</v>
      </c>
      <c r="C5" s="7" t="s">
        <v>133</v>
      </c>
      <c r="D5" s="26">
        <v>2001</v>
      </c>
      <c r="E5" s="15">
        <f>SUM(O5:S5)</f>
        <v>110.59</v>
      </c>
      <c r="F5" s="3" t="str">
        <f>IF(G5&lt;&gt;"","P","")</f>
        <v>P</v>
      </c>
      <c r="G5" s="115" t="str">
        <f>IF(OR(AND(AR5&gt;=AY$25,AR5&lt;&gt;"",AP5=""),AND(AT5&gt;=AY$25,AT5&lt;&gt;"",AP5=""),AND(AW5&gt;=AY$25,AW5&lt;&gt;"",AP5=""),AND(BV5&gt;=CC$25,BV5&lt;&gt;"",BT5=""),AND(BX5&gt;=CC$25,BX5&lt;&gt;"",BT5=""),AND(CA5&gt;=CC$25,CA5&lt;&gt;"",BT5=""),AND(CZ5&gt;=DG$25,CZ5&lt;&gt;"",CX5=""),AND(DB5&gt;=DG$25,DB5&lt;&gt;"",CX5=""),AND(DE5&gt;=DG$25,DE5&lt;&gt;"",CX5=""),AND(EA5&gt;=EG$25,EA5&lt;&gt;""),AND(EE5&gt;=EG$25,EE5&lt;&gt;""),AND(EW5&gt;=FC$25,EW5&lt;&gt;""),AND(FA5&gt;=FC$25,FA5&lt;&gt;""),AND(FS5&gt;=FY$25,FS5&lt;&gt;""),AND(FW5&gt;=FY$25,FW5&lt;&gt;""),AND(GO5&gt;=GU$25,GO5&lt;&gt;""),AND(GS5&gt;=GU$25,GS5&lt;&gt;""),AND(HK5&gt;=HQ$25,HK5&lt;&gt;""),AND(HO5&gt;=HQ$25,HO5&lt;&gt;""),AND(IG5&gt;=IM$25,IG5&lt;&gt;""),AND(IK5&gt;=IM$25,IK5&lt;&gt;""),AND(JC5&gt;=JI$25,JC5&lt;&gt;""),AND(JG5&gt;=JI$25,JG5&lt;&gt;""),AND(JY5&gt;=KE$25,JY5&lt;&gt;""),AND(KC5&gt;=KE$25,KC5&lt;&gt;""),AND(KU5&gt;=LA$25,KU5&lt;&gt;""),AND(KY5&gt;=LA$25,KY5&lt;&gt;""),AND(LQ5&gt;=LW$25,LQ5&lt;&gt;""),AND(LU5&gt;=LW$25,LU5&lt;&gt;""),AND(MM5&gt;=MS$25,MM5&lt;&gt;""),AND(MQ5&gt;=MS$25,MQ5&lt;&gt;""),AND(NI5&gt;=NO$25,NI5&lt;&gt;""),AND(NM5&gt;=NO$25,NM5&lt;&gt;"")),"Merit",IF(OR(AND(AR5&gt;=AY$24,AR5&lt;&gt;"",AP5=""),AND(AT5&gt;=AY$24,AT5&lt;&gt;"",AP5=""),AND(AW5&gt;=AY$24,AW5&lt;&gt;"",AP5=""),AND(BV5&gt;=CC$24,BV5&lt;&gt;"",BT5=""),AND(BX5&gt;=CC$24,BX5&lt;&gt;"",BT5=""),AND(CA5&gt;=CC$24,CA5&lt;&gt;"",BT5=""),AND(CZ5&gt;=DG$24,CZ5&lt;&gt;"",CX5=""),AND(DB5&gt;=DG$24,DB5&lt;&gt;"",CX5=""),AND(DE5&gt;=DG$24,DE5&lt;&gt;"",CX5=""),AND(EA5&gt;=EG$24,EA5&lt;&gt;""),AND(EE5&gt;=EG$24,EE5&lt;&gt;""),AND(EW5&gt;=FC$24,EW5&lt;&gt;""),AND(FA5&gt;=FC$24,FA5&lt;&gt;""),AND(FS5&gt;=FY$24,FS5&lt;&gt;""),AND(FW5&gt;=FY$24,FW5&lt;&gt;""),AND(GO5&gt;=GU$24,GO5&lt;&gt;""),AND(GS5&gt;=GU$24,GS5&lt;&gt;""),AND(HK5&gt;=HQ$24,HK5&lt;&gt;""),AND(HO5&gt;=HQ$24,HO5&lt;&gt;""),AND(IG5&gt;=IM$24,IG5&lt;&gt;""),AND(IK5&gt;=IM$24,IK5&lt;&gt;""),AND(JC5&gt;=JI$24,JC5&lt;&gt;""),AND(JG5&gt;=JI$24,JG5&lt;&gt;""),AND(JY5&gt;=KE$24,JY5&lt;&gt;""),AND(KC5&gt;=KE$24,KC5&lt;&gt;""),AND(KU5&gt;=LA$24,KU5&lt;&gt;""),AND(KY5&gt;=LA$24,KY5&lt;&gt;""),AND(LQ5&gt;=LW$24,LQ5&lt;&gt;""),AND(LU5&gt;=LW$24,LU5&lt;&gt;""),AND(MM5&gt;=MS$24,MM5&lt;&gt;""),AND(MQ5&gt;=MS$24,MQ5&lt;&gt;""),AND(NI5&gt;=NO$24,NI5&lt;&gt;""),AND(NM5&gt;=NO$24,NM5&lt;&gt;"")),"Excellence",IF(OR(AND(AR5&gt;=AY$23,AR5&lt;&gt;"",AP5=""),AND(AT5&gt;=AY$23,AT5&lt;&gt;"",AP5=""),AND(AW5&gt;=AY$23,AW5&lt;&gt;"",AP5=""),AND(BV5&gt;=CC$23,BV5&lt;&gt;"",BT5=""),AND(BX5&gt;=CC$23,BX5&lt;&gt;"",BT5=""),AND(CA5&gt;=CC$23,CA5&lt;&gt;"",BT5=""),AND(CZ5&gt;=DG$23,CZ5&lt;&gt;"",CX5=""),AND(DB5&gt;=DG$23,DB5&lt;&gt;"",CX5=""),AND(DE5&gt;=DG$23,DE5&lt;&gt;"",CX5=""),AND(EA5&gt;=EG$23,EA5&lt;&gt;""),AND(EE5&gt;=EG$23,EE5&lt;&gt;""),AND(EW5&gt;=FC$23,EW5&lt;&gt;""),AND(FA5&gt;=FC$23,FA5&lt;&gt;""),AND(FS5&gt;=FY$23,FS5&lt;&gt;""),AND(FW5&gt;=FY$23,FW5&lt;&gt;""),AND(GO5&gt;=GU$23,GO5&lt;&gt;""),AND(GS5&gt;=GU$23,GS5&lt;&gt;""),AND(HK5&gt;=HQ$23,HK5&lt;&gt;""),AND(HO5&gt;=HQ$23,HO5&lt;&gt;""),AND(IG5&gt;=IM$23,IG5&lt;&gt;""),AND(IK5&gt;=IM$23,IK5&lt;&gt;""),AND(JC5&gt;=JI$23,JC5&lt;&gt;""),AND(JG5&gt;=JI$23,JG5&lt;&gt;""),AND(JY5&gt;=KE$23,JY5&lt;&gt;""),AND(KC5&gt;=KE$23,KC5&lt;&gt;""),AND(KU5&gt;=LA$23,KU5&lt;&gt;""),AND(KY5&gt;=LA$23,KY5&lt;&gt;""),AND(LQ5&gt;=LW$23,LQ5&lt;&gt;""),AND(LU5&gt;=LW$23,LU5&lt;&gt;""),AND(MM5&gt;=MS$23,MM5&lt;&gt;""),AND(MQ5&gt;=MS$23,MQ5&lt;&gt;""),AND(NI5&gt;=NO$23,NI5&lt;&gt;""),AND(NM5&gt;=NO$23,NM5&lt;&gt;"")),"Worlds Team",IF(OR(AND(AR5&gt;=AY$22,AR5&lt;&gt;"",AP5=""),AND(AT5&gt;=AY$22,AT5&lt;&gt;"",AP5=""),AND(AW5&gt;=AY$22,AW5&lt;&gt;"",AP5=""),AND(BV5&gt;=CC$22,BV5&lt;&gt;"",BT5=""),AND(BX5&gt;=CC$22,BX5&lt;&gt;"",BT5=""),AND(CA5&gt;=CC$22,CA5&lt;&gt;"",BT5=""),AND(CZ5&gt;=DG$22,CZ5&lt;&gt;"",CX5=""),AND(DB5&gt;=DG$22,DB5&lt;&gt;"",CX5=""),AND(DE5&gt;=DG$22,DE5&lt;&gt;"",CX5=""),AND(EA5&gt;=EG$22,EA5&lt;&gt;""),AND(EE5&gt;=EG$22,EE5&lt;&gt;""),AND(EW5&gt;=FC$22,EW5&lt;&gt;""),AND(FA5&gt;=FC$22,FA5&lt;&gt;""),AND(FS5&gt;=FY$22,FS5&lt;&gt;""),AND(FW5&gt;=FY$22,FW5&lt;&gt;""),AND(GO5&gt;=GU$22,GO5&lt;&gt;""),AND(GS5&gt;=GU$22,GS5&lt;&gt;""),AND(HK5&gt;=HQ$22,HK5&lt;&gt;""),AND(HO5&gt;=HQ$22,HO5&lt;&gt;""),AND(IG5&gt;=IM$22,IG5&lt;&gt;""),AND(IK5&gt;=IM$22,IK5&lt;&gt;""),AND(JC5&gt;=JI$22,JC5&lt;&gt;""),AND(JG5&gt;=JI$22,JG5&lt;&gt;""),AND(JY5&gt;=KE$22,JY5&lt;&gt;""),AND(KC5&gt;=KE$22,KC5&lt;&gt;""),AND(KU5&gt;=LA$22,KU5&lt;&gt;""),AND(KY5&gt;=LA$22,KY5&lt;&gt;""),AND(LQ5&gt;=LW$22,LQ5&lt;&gt;""),AND(LU5&gt;=LW$22,LU5&lt;&gt;""),AND(MM5&gt;=MS$22,MM5&lt;&gt;""),AND(MQ5&gt;=MS$22,MQ5&lt;&gt;""),AND(NI5&gt;=NO$22,NI5&lt;&gt;""),AND(NM5&gt;=NO$22,NM5&lt;&gt;"")),"National Team",""))))</f>
        <v>National Team</v>
      </c>
      <c r="H5" s="115" t="str">
        <f>IF(OR(AND(AS5&gt;=AY$26,AS5&lt;&gt;"",AP5=""),AND(AU5&gt;=AY$26,AU5&lt;&gt;"",AP5=""),AND(AX5&gt;=AY$26,AX5&lt;&gt;"",AP5=""),AND(BW5&gt;=CC$26,BW5&lt;&gt;"",BT5=""),AND(BY5&gt;=CC$26,BY5&lt;&gt;"",BT5=""),AND(CB5&gt;=CC$26,CB5&lt;&gt;"",BT5=""),AND(DA5&gt;=DG$26,DA5&lt;&gt;"",CX5=""),AND(DC5&gt;=DG$26,DC5&lt;&gt;"",CX5=""),AND(DF5&gt;=DG$26,DF5&lt;&gt;"",CX5=""),AND(EC5&gt;=EG$26,EC5&lt;&gt;""),AND(EF5&gt;=EG$26,EF5&lt;&gt;""),AND(EY5&gt;=FC$26,EY5&lt;&gt;""),AND(FB5&gt;=FC$26,FB5&lt;&gt;""),AND(FU5&gt;=FY$26,FU5&lt;&gt;""),AND(FX5&gt;=FY$26,FX5&lt;&gt;""),AND(GQ5&gt;=GU$26,GQ5&lt;&gt;""),AND(GT5&gt;=GU$26,GT5&lt;&gt;""),AND(HM5&gt;=HQ$26,HM5&lt;&gt;""),AND(HP5&gt;=HQ$26,HP5&lt;&gt;""),AND(II5&gt;=IM$26,II5&lt;&gt;""),AND(IL5&gt;=IM$26,IL5&lt;&gt;""),AND(JE5&gt;=JI$26,JE5&lt;&gt;""),AND(JH5&gt;=JI$26,JH5&lt;&gt;""),AND(KA5&gt;=KE$26,KA5&lt;&gt;""),AND(KD5&gt;=KE$26,KD5&lt;&gt;""),AND(KW5&gt;=LA$26,KW5&lt;&gt;""),AND(KZ5&gt;=LA$26,KZ5&lt;&gt;""),AND(LS5&gt;=LW$26,LS5&lt;&gt;""),AND(LV5&gt;=LW$26,LV5&lt;&gt;""),AND(MO5&gt;=MS$26,MO5&lt;&gt;""),AND(MR5&gt;=MS$26,MR5&lt;&gt;""),AND(NK5&gt;=NO$26,NK5&lt;&gt;""),AND(NN5&gt;=NO$26,NN5&lt;&gt;"")),"National Team","")</f>
        <v>National Team</v>
      </c>
      <c r="I5" s="11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National Team</v>
      </c>
      <c r="J5" s="3" t="str">
        <f>IF(AND(OR(AND(AV5&gt;=AY$27,AV5&lt;&gt;"",AP5=""),AND(BZ5&gt;=CC$27,BZ5&lt;&gt;"",BT5=""),AND(DD5&gt;=DG$27,DD5&lt;&gt;"",CX5=""),AND(ED5&gt;=EG$27,ED5&lt;&gt;""),AND(EZ5&gt;=FC$27,EZ5&lt;&gt;""),AND(FV5&gt;=FY$27,FV5&lt;&gt;""),AND(GR5&gt;=GU$27,GR5&lt;&gt;""),AND(HN5&gt;=HQ$27,HN5&lt;&gt;""),AND(IJ5&gt;=IM$27,IJ5&lt;&gt;""),AND(JF5&gt;=JI$27,JF5&lt;&gt;""),AND(KB5&gt;=KE$27,KB5&lt;&gt;""),AND(KX5&gt;=LA$27,KX5&lt;&gt;""),AND(LT5&gt;=LW$27,LT5&lt;&gt;""),AND(MP5&gt;=MS$27,MP5&lt;&gt;""),AND(NL5&gt;=NO$27,NL5&lt;&gt;"")),OR(G5="Worlds Team",G5="Excellence",G5="Merit")),"P","")</f>
        <v/>
      </c>
      <c r="K5" s="14">
        <f>IF(MAX(AV5,BZ5,DD5)&gt;0,MAX(AV5,BZ5,DD5),0)</f>
        <v>103.205</v>
      </c>
      <c r="L5" s="14" t="str">
        <f>IF(K5=0,"",IF(K5=DD5,$CD$1,IF(K5=BZ5,$AZ$1,IF(K5=AV5,$V$1,""))))</f>
        <v>2019 Nationals</v>
      </c>
      <c r="M5" s="14">
        <f>IF($K5=$AV5,MAX(BU5,CY5),IF($K5=$BZ5,MAX(AQ5,CY5),IF($K5=$DD5,MAX(AQ5,BU5),MAX(AQ5,BU5,CY5))))</f>
        <v>47.855000000000004</v>
      </c>
      <c r="N5" s="14" t="str">
        <f>IF(M5=0,"",IF(AND(M5=CY5,$L5&lt;&gt;$CD$1),$CD$1,IF(AND(M5=BU5,$L5&lt;&gt;$AZ$1),$AZ$1,IF(AND(M5=AQ5,$L5&lt;&gt;$V$1),$V$1,""))))</f>
        <v>2019 Elite Canada</v>
      </c>
      <c r="O5" s="14">
        <f>MAX(AS5,AU5,AX5,BW5,BY5,CB5,DA5,DC5,DF5)</f>
        <v>55.464999999999996</v>
      </c>
      <c r="P5" s="14" t="str">
        <f>IF(O5=0,"",IF(OR(O5=DC5,O5=DA5,O5=DF5),$CD$1,IF(OR(O5=BY5,O5=BW5,O5=CB5),$AZ$1,IF(OR(O5=AU5,O5=AS5,O5=AX5),$V$1,""))))</f>
        <v>2019 Nationals</v>
      </c>
      <c r="Q5" s="14">
        <f>IF(COUNT(AS5,AU5,AX5,BW5,BY5,CB5,DA5,DC5,DF5)&gt;1,LARGE((AS5,AU5,AX5,BW5,BY5,CB5,DA5,DC5,DF5),2),0)</f>
        <v>55.125</v>
      </c>
      <c r="R5" s="14" t="str">
        <f>IF(Q5=0,"",IF(OR(Q5=DC5,Q5=DA5,Q5=DF5),$CD$1,IF(OR(Q5=BY5,Q5=BW5,Q5=CB5),$AZ$1,IF(OR(Q5=AU5,Q5=AS5,Q5=AX5),$V$1,""))))</f>
        <v>2019 Nationals</v>
      </c>
      <c r="S5" s="14" t="str">
        <f>IF(MAX(DI5,DK5)&gt;0,MAX(DI5,DK5),"")</f>
        <v/>
      </c>
      <c r="T5" s="24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1">
        <v>17.100000000000001</v>
      </c>
      <c r="W5" s="61">
        <v>9.3000000000000007</v>
      </c>
      <c r="X5" s="61">
        <v>3.9</v>
      </c>
      <c r="Y5" s="61">
        <v>17.555</v>
      </c>
      <c r="Z5" s="61">
        <v>0</v>
      </c>
      <c r="AA5" s="61">
        <v>14.5</v>
      </c>
      <c r="AB5" s="61">
        <v>9.35</v>
      </c>
      <c r="AC5" s="61">
        <v>14.3</v>
      </c>
      <c r="AD5" s="61">
        <v>16.75</v>
      </c>
      <c r="AE5" s="61">
        <v>0</v>
      </c>
      <c r="AF5" s="61"/>
      <c r="AG5" s="61"/>
      <c r="AH5" s="61"/>
      <c r="AI5" s="61"/>
      <c r="AJ5" s="61"/>
      <c r="AK5" s="61">
        <v>14.2</v>
      </c>
      <c r="AL5" s="61">
        <v>8.75</v>
      </c>
      <c r="AM5" s="61">
        <v>14.3</v>
      </c>
      <c r="AN5" s="61">
        <v>16.53</v>
      </c>
      <c r="AO5" s="61">
        <v>0</v>
      </c>
      <c r="AP5" s="72"/>
      <c r="AQ5" s="11">
        <f>IF(SUM(V5:Y5)-Z5&gt;0,SUM(V5:Y5)-Z5,"")</f>
        <v>47.855000000000004</v>
      </c>
      <c r="AR5" s="11">
        <f>IF(AC5&gt;0,AC5,"")</f>
        <v>14.3</v>
      </c>
      <c r="AS5" s="11">
        <f>IF(SUM(AA5:AD5)-AE5&gt;0,SUM(AA5:AD5)-AE5,"")</f>
        <v>54.900000000000006</v>
      </c>
      <c r="AT5" s="11" t="str">
        <f>IF(AH5&gt;0,AH5,"")</f>
        <v/>
      </c>
      <c r="AU5" s="11" t="str">
        <f>IF(SUM(AF5:AI5)-AJ5&gt;0,SUM(AF5:AI5)-AJ5,"")</f>
        <v/>
      </c>
      <c r="AV5" s="11">
        <f>IF(OR(AQ5&lt;&gt;"",AS5&lt;&gt;"",AU5&lt;&gt;""),AQ5+MAX(AS5,AU5),"")</f>
        <v>102.75500000000001</v>
      </c>
      <c r="AW5" s="11">
        <f>IF(AM5&gt;0,AM5,"")</f>
        <v>14.3</v>
      </c>
      <c r="AX5" s="11">
        <f>IF(SUM(AK5:AN5)-AO5&gt;0,SUM(AK5:AN5)-AO5,"")</f>
        <v>53.78</v>
      </c>
      <c r="AY5" s="11">
        <f>IF(SUM(AV5,AX5)&gt;0,SUM(AV5,AX5),"")</f>
        <v>156.53500000000003</v>
      </c>
      <c r="AZ5" s="67">
        <v>15.6</v>
      </c>
      <c r="BA5" s="67">
        <v>9.6</v>
      </c>
      <c r="BB5" s="67">
        <v>5.4</v>
      </c>
      <c r="BC5" s="67">
        <v>17.48</v>
      </c>
      <c r="BD5" s="67">
        <v>0</v>
      </c>
      <c r="BE5" s="67">
        <v>15.1</v>
      </c>
      <c r="BF5" s="67">
        <v>8.8000000000000007</v>
      </c>
      <c r="BG5" s="67">
        <v>15</v>
      </c>
      <c r="BH5" s="67">
        <v>16.225000000000001</v>
      </c>
      <c r="BI5" s="67">
        <v>0</v>
      </c>
      <c r="BJ5" s="67"/>
      <c r="BK5" s="67"/>
      <c r="BL5" s="67"/>
      <c r="BM5" s="67"/>
      <c r="BN5" s="67"/>
      <c r="BO5" s="67">
        <v>15.14</v>
      </c>
      <c r="BP5" s="67">
        <v>9.1</v>
      </c>
      <c r="BQ5" s="67">
        <v>15.2</v>
      </c>
      <c r="BR5" s="67">
        <v>16.024999999999999</v>
      </c>
      <c r="BS5" s="67">
        <v>0</v>
      </c>
      <c r="BT5" s="73"/>
      <c r="BU5" s="14">
        <f>IF(SUM(AZ5:BC5)-BD5&gt;0,SUM(AZ5:BC5)-BD5,"")</f>
        <v>48.08</v>
      </c>
      <c r="BV5" s="14">
        <f>IF(BG5&gt;0,BG5,"")</f>
        <v>15</v>
      </c>
      <c r="BW5" s="14">
        <f>IF(SUM(BE5:BH5)-BI5&gt;0,SUM(BE5:BH5)-BI5,"")</f>
        <v>55.125</v>
      </c>
      <c r="BX5" s="14" t="str">
        <f>IF(BL5&gt;0,BL5,"")</f>
        <v/>
      </c>
      <c r="BY5" s="14" t="str">
        <f>IF(SUM(BJ5:BM5)-BN5&gt;0,SUM(BJ5:BM5)-BN5,"")</f>
        <v/>
      </c>
      <c r="BZ5" s="14">
        <f>IF(BU5="",IF(MAX(BW5,BY5)&gt;0,MAX(BW5,BY5),""),MAX(BW5,BY5)+BU5)</f>
        <v>103.205</v>
      </c>
      <c r="CA5" s="14">
        <f>IF(BQ5&gt;0,BQ5,"")</f>
        <v>15.2</v>
      </c>
      <c r="CB5" s="14">
        <f>IF(SUM(BO5:BR5)-BS5&gt;0,SUM(BO5:BR5)-BS5,"")</f>
        <v>55.464999999999996</v>
      </c>
      <c r="CC5" s="14">
        <f>IF(SUM(BZ5,CB5)&gt;0,SUM(BZ5,CB5),"")</f>
        <v>158.66999999999999</v>
      </c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72"/>
      <c r="CY5" s="11" t="str">
        <f>IF(SUM(CD5:CG5)-CH5&gt;0,SUM(CD5:CG5)-CH5,"")</f>
        <v/>
      </c>
      <c r="CZ5" s="11" t="str">
        <f>IF(CK5&gt;0,CK5,"")</f>
        <v/>
      </c>
      <c r="DA5" s="11" t="str">
        <f>IF(SUM(CI5:CL5)-CM5&gt;0,SUM(CI5:CL5)-CM5,"")</f>
        <v/>
      </c>
      <c r="DB5" s="11" t="str">
        <f>IF(CP5&gt;0,CP5,"")</f>
        <v/>
      </c>
      <c r="DC5" s="11" t="str">
        <f>IF(SUM(CN5:CQ5)-CR5&gt;0,SUM(CN5:CQ5)-CR5,"")</f>
        <v/>
      </c>
      <c r="DD5" s="11" t="str">
        <f>IF(CY5="",IF(MAX(DA5,DC5)&gt;0,MAX(DA5,DC5),""),MAX(DA5,DC5)+CY5)</f>
        <v/>
      </c>
      <c r="DE5" s="11" t="str">
        <f>IF(CU5&gt;0,CU5,"")</f>
        <v/>
      </c>
      <c r="DF5" s="11" t="str">
        <f>IF(SUM(CS5:CV5)-CW5&gt;0,SUM(CS5:CV5)-CW5,"")</f>
        <v/>
      </c>
      <c r="DG5" s="11" t="str">
        <f>IF(SUM(DD5,DF5)&gt;0,SUM(DD5,DF5),"")</f>
        <v/>
      </c>
      <c r="DH5" s="23" t="str">
        <f>IF(MAX(EB5,EX5,FT5,GP5,HL5,IH5,JD5,JZ5,KV5,LR5,MN5,NJ5)-IF(M5="",0,M5)&gt;0.001,MAX(EB5,EX5,FT5,GP5,HL5,IH5,JD5,JZ5,KV5,LR5,MN5,NJ5)-IF(M5="",0,M5),"")</f>
        <v/>
      </c>
      <c r="DI5" s="23" t="str">
        <f>IF(MAX(EC5,EY5,FU5,GQ5,HM5,II5,JE5,KA5,KW5,LS5,MO5,NK5)-IF(O5="",0,O5)&gt;0.001,MAX(EC5,EY5,FU5,GQ5,HM5,II5,JE5,KA5,KW5,LS5,MO5,NK5)-IF(O5="",0,O5),"")</f>
        <v/>
      </c>
      <c r="DJ5" s="23" t="str">
        <f>IF(MAX(ED5,EZ5,FV5,GR5,HN5,IJ5,JF5,KB5,KX5,LT5,MP5,NL5)-IF(K5="",0,K5)&gt;0.001,MAX(ED5,EZ5,FV5,GR5,HN5,IJ5,JF5,KB5,KX5,LT5,MP5,NL5)-IF(K5="",0,K5),"")</f>
        <v/>
      </c>
      <c r="DK5" s="23" t="str">
        <f>IF(MAX(EF5,FB5,FX5,GT5,HP5,IL5,JH5,KD5,KZ5,LV5,MR5,NN5)-IF(Q5="",0,Q5)&gt;0.001,MAX(EF5,FB5,FX5,GT5,HP5,IL5,JH5,KD5,KZ5,LV5,MR5,NN5)-IF(Q5="",0,Q5),"")</f>
        <v/>
      </c>
      <c r="DL5" s="35">
        <v>14.9</v>
      </c>
      <c r="DM5" s="35">
        <v>9.3000000000000007</v>
      </c>
      <c r="DN5" s="35">
        <v>2.9</v>
      </c>
      <c r="DO5" s="35">
        <v>17.645</v>
      </c>
      <c r="DP5" s="35">
        <v>0</v>
      </c>
      <c r="DQ5" s="35">
        <v>5.3</v>
      </c>
      <c r="DR5" s="35">
        <v>3.5</v>
      </c>
      <c r="DS5" s="35">
        <v>4.7</v>
      </c>
      <c r="DT5" s="35">
        <v>6.62</v>
      </c>
      <c r="DU5" s="35">
        <v>0</v>
      </c>
      <c r="DV5" s="35"/>
      <c r="DW5" s="35"/>
      <c r="DX5" s="35"/>
      <c r="DY5" s="35"/>
      <c r="DZ5" s="35"/>
      <c r="EA5" s="11">
        <f>IF(DS5&gt;0,DS5,"")</f>
        <v>4.7</v>
      </c>
      <c r="EB5" s="11">
        <f>IF(SUM(DL5:DO5)-DP5&gt;0,SUM(DL5:DO5)-DP5,"")</f>
        <v>44.745000000000005</v>
      </c>
      <c r="EC5" s="11">
        <f>IF(SUM(DQ5:DT5)-DU5&gt;0,SUM(DQ5:DT5)-DU5,"")</f>
        <v>20.12</v>
      </c>
      <c r="ED5" s="11">
        <f>IF(SUM(EB5:EC5)&gt;0,SUM(EB5:EC5),"")</f>
        <v>64.865000000000009</v>
      </c>
      <c r="EE5" s="11" t="str">
        <f>IF(DX5&gt;0,DX5,"")</f>
        <v/>
      </c>
      <c r="EF5" s="11" t="str">
        <f>IF(SUM(DV5:DY5)-DZ5&gt;0,SUM(DV5:DY5)-DZ5,"")</f>
        <v/>
      </c>
      <c r="EG5" s="11">
        <f>IF(SUM(ED5,EF5)&gt;0,SUM(ED5,EF5),"")</f>
        <v>64.865000000000009</v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1">
        <f>IF($CX5="P",CD5,(CD5+AZ5)/2)</f>
        <v>7.8</v>
      </c>
      <c r="NQ5" s="61">
        <f>IF($CX5="P",CE5,(CE5+BA5)/2)</f>
        <v>4.8</v>
      </c>
      <c r="NR5" s="61">
        <f>IF($CX5="P",CF5,(CF5+BB5)/2)</f>
        <v>2.7</v>
      </c>
      <c r="NS5" s="61">
        <f>IF($CX5="P",CG5,(CG5+BC5)/2)</f>
        <v>8.74</v>
      </c>
      <c r="NT5" s="61">
        <f>IF($CX5="P",CH5,(CH5+BD5)/2)</f>
        <v>0</v>
      </c>
      <c r="NU5" s="61">
        <f>IF($CX5="P",CI5,(CI5+BE5)/2)</f>
        <v>7.55</v>
      </c>
      <c r="NV5" s="61">
        <f>IF($CX5="P",CJ5,(CJ5+BF5)/2)</f>
        <v>4.4000000000000004</v>
      </c>
      <c r="NW5" s="61">
        <f>IF($CX5="P",CK5,(CK5+BG5)/2)</f>
        <v>7.5</v>
      </c>
      <c r="NX5" s="61">
        <f>IF($CX5="P",CL5,(CL5+BH5)/2)</f>
        <v>8.1125000000000007</v>
      </c>
      <c r="NY5" s="61">
        <f>IF($CX5="P",CM5,(CM5+BI5)/2)</f>
        <v>0</v>
      </c>
      <c r="NZ5" s="61">
        <f>IF($CX5="P",CN5,(CN5+BJ5)/2)</f>
        <v>0</v>
      </c>
      <c r="OA5" s="61">
        <f>IF($CX5="P",CO5,(CO5+BK5)/2)</f>
        <v>0</v>
      </c>
      <c r="OB5" s="61">
        <f>IF($CX5="P",CP5,(CP5+BL5)/2)</f>
        <v>0</v>
      </c>
      <c r="OC5" s="61">
        <f>IF($CX5="P",CQ5,(CQ5+BM5)/2)</f>
        <v>0</v>
      </c>
      <c r="OD5" s="61">
        <f>IF($CX5="P",CR5,(CR5+BN5)/2)</f>
        <v>0</v>
      </c>
      <c r="OE5" s="61">
        <f>IF($CX5="P",CS5,(CS5+BO5)/2)</f>
        <v>7.57</v>
      </c>
      <c r="OF5" s="61">
        <f>IF($CX5="P",CT5,(CT5+BP5)/2)</f>
        <v>4.55</v>
      </c>
      <c r="OG5" s="61">
        <f>IF($CX5="P",CU5,(CU5+BQ5)/2)</f>
        <v>7.6</v>
      </c>
      <c r="OH5" s="61">
        <f>IF($CX5="P",CV5,(CV5+BR5)/2)</f>
        <v>8.0124999999999993</v>
      </c>
      <c r="OI5" s="61">
        <f>IF($CX5="P",CW5,(CW5+BS5)/2)</f>
        <v>0</v>
      </c>
      <c r="OJ5" s="72" t="s">
        <v>52</v>
      </c>
      <c r="OK5" s="11">
        <f>IF(SUM(NP5:NS5)-NT5&gt;0,SUM(NP5:NS5)-NT5,"")</f>
        <v>24.04</v>
      </c>
      <c r="OL5" s="11">
        <f>IF(NW5&gt;0,NW5,"")</f>
        <v>7.5</v>
      </c>
      <c r="OM5" s="11">
        <f>IF(SUM(NU5:NX5)-NY5&gt;0,SUM(NU5:NX5)-NY5,"")</f>
        <v>27.5625</v>
      </c>
      <c r="ON5" s="11" t="str">
        <f>IF(OB5&gt;0,OB5,"")</f>
        <v/>
      </c>
      <c r="OO5" s="11" t="str">
        <f>IF(SUM(NZ5:OC5)-OD5&gt;0,SUM(NZ5:OC5)-OD5,"")</f>
        <v/>
      </c>
      <c r="OP5" s="11">
        <f>IF(OR(OK5&lt;&gt;"",OM5&lt;&gt;"",OO5&lt;&gt;""),OK5+MAX(OM5,OO5),"")</f>
        <v>51.602499999999999</v>
      </c>
      <c r="OQ5" s="11">
        <f>IF(OG5&gt;0,OG5,"")</f>
        <v>7.6</v>
      </c>
      <c r="OR5" s="11">
        <f t="shared" si="0"/>
        <v>27.732499999999998</v>
      </c>
      <c r="OS5" s="11">
        <f t="shared" ref="OS5:OS11" si="1">IF(SUM(OP5,OR5)&gt;0,SUM(OP5,OR5),"")</f>
        <v>79.334999999999994</v>
      </c>
    </row>
    <row r="6" spans="1:409" x14ac:dyDescent="0.2">
      <c r="A6" s="5" cm="1">
        <f t="array" ref="A6">IF(AND(G6&lt;&gt;"",H6&lt;&gt;""),SUMPRODUCT((G$4:G$20&lt;&gt;"")*(H$4:H$20&lt;&gt;"")*(E$4:E$20&gt;E6))+1,IF(H6&lt;&gt;"",SUMPRODUCT((I$4:I$20="No DD")*(E$4:E$20&gt;E6))+1+SUMPRODUCT((G$4:G$20&lt;&gt;"")*(H$4:H$20&lt;&gt;"")),""))</f>
        <v>3</v>
      </c>
      <c r="B6" s="6" t="s">
        <v>132</v>
      </c>
      <c r="C6" s="7" t="s">
        <v>6</v>
      </c>
      <c r="D6" s="26">
        <v>2000</v>
      </c>
      <c r="E6" s="15">
        <f>SUM(O6:S6)</f>
        <v>109.43</v>
      </c>
      <c r="F6" s="3" t="str">
        <f>IF(G6&lt;&gt;"","P","")</f>
        <v>P</v>
      </c>
      <c r="G6" s="115" t="str">
        <f>IF(OR(AND(AR6&gt;=AY$25,AR6&lt;&gt;"",AP6=""),AND(AT6&gt;=AY$25,AT6&lt;&gt;"",AP6=""),AND(AW6&gt;=AY$25,AW6&lt;&gt;"",AP6=""),AND(BV6&gt;=CC$25,BV6&lt;&gt;"",BT6=""),AND(BX6&gt;=CC$25,BX6&lt;&gt;"",BT6=""),AND(CA6&gt;=CC$25,CA6&lt;&gt;"",BT6=""),AND(CZ6&gt;=DG$25,CZ6&lt;&gt;"",CX6=""),AND(DB6&gt;=DG$25,DB6&lt;&gt;"",CX6=""),AND(DE6&gt;=DG$25,DE6&lt;&gt;"",CX6=""),AND(EA6&gt;=EG$25,EA6&lt;&gt;""),AND(EE6&gt;=EG$25,EE6&lt;&gt;""),AND(EW6&gt;=FC$25,EW6&lt;&gt;""),AND(FA6&gt;=FC$25,FA6&lt;&gt;""),AND(FS6&gt;=FY$25,FS6&lt;&gt;""),AND(FW6&gt;=FY$25,FW6&lt;&gt;""),AND(GO6&gt;=GU$25,GO6&lt;&gt;""),AND(GS6&gt;=GU$25,GS6&lt;&gt;""),AND(HK6&gt;=HQ$25,HK6&lt;&gt;""),AND(HO6&gt;=HQ$25,HO6&lt;&gt;""),AND(IG6&gt;=IM$25,IG6&lt;&gt;""),AND(IK6&gt;=IM$25,IK6&lt;&gt;""),AND(JC6&gt;=JI$25,JC6&lt;&gt;""),AND(JG6&gt;=JI$25,JG6&lt;&gt;""),AND(JY6&gt;=KE$25,JY6&lt;&gt;""),AND(KC6&gt;=KE$25,KC6&lt;&gt;""),AND(KU6&gt;=LA$25,KU6&lt;&gt;""),AND(KY6&gt;=LA$25,KY6&lt;&gt;""),AND(LQ6&gt;=LW$25,LQ6&lt;&gt;""),AND(LU6&gt;=LW$25,LU6&lt;&gt;""),AND(MM6&gt;=MS$25,MM6&lt;&gt;""),AND(MQ6&gt;=MS$25,MQ6&lt;&gt;""),AND(NI6&gt;=NO$25,NI6&lt;&gt;""),AND(NM6&gt;=NO$25,NM6&lt;&gt;"")),"Merit",IF(OR(AND(AR6&gt;=AY$24,AR6&lt;&gt;"",AP6=""),AND(AT6&gt;=AY$24,AT6&lt;&gt;"",AP6=""),AND(AW6&gt;=AY$24,AW6&lt;&gt;"",AP6=""),AND(BV6&gt;=CC$24,BV6&lt;&gt;"",BT6=""),AND(BX6&gt;=CC$24,BX6&lt;&gt;"",BT6=""),AND(CA6&gt;=CC$24,CA6&lt;&gt;"",BT6=""),AND(CZ6&gt;=DG$24,CZ6&lt;&gt;"",CX6=""),AND(DB6&gt;=DG$24,DB6&lt;&gt;"",CX6=""),AND(DE6&gt;=DG$24,DE6&lt;&gt;"",CX6=""),AND(EA6&gt;=EG$24,EA6&lt;&gt;""),AND(EE6&gt;=EG$24,EE6&lt;&gt;""),AND(EW6&gt;=FC$24,EW6&lt;&gt;""),AND(FA6&gt;=FC$24,FA6&lt;&gt;""),AND(FS6&gt;=FY$24,FS6&lt;&gt;""),AND(FW6&gt;=FY$24,FW6&lt;&gt;""),AND(GO6&gt;=GU$24,GO6&lt;&gt;""),AND(GS6&gt;=GU$24,GS6&lt;&gt;""),AND(HK6&gt;=HQ$24,HK6&lt;&gt;""),AND(HO6&gt;=HQ$24,HO6&lt;&gt;""),AND(IG6&gt;=IM$24,IG6&lt;&gt;""),AND(IK6&gt;=IM$24,IK6&lt;&gt;""),AND(JC6&gt;=JI$24,JC6&lt;&gt;""),AND(JG6&gt;=JI$24,JG6&lt;&gt;""),AND(JY6&gt;=KE$24,JY6&lt;&gt;""),AND(KC6&gt;=KE$24,KC6&lt;&gt;""),AND(KU6&gt;=LA$24,KU6&lt;&gt;""),AND(KY6&gt;=LA$24,KY6&lt;&gt;""),AND(LQ6&gt;=LW$24,LQ6&lt;&gt;""),AND(LU6&gt;=LW$24,LU6&lt;&gt;""),AND(MM6&gt;=MS$24,MM6&lt;&gt;""),AND(MQ6&gt;=MS$24,MQ6&lt;&gt;""),AND(NI6&gt;=NO$24,NI6&lt;&gt;""),AND(NM6&gt;=NO$24,NM6&lt;&gt;"")),"Excellence",IF(OR(AND(AR6&gt;=AY$23,AR6&lt;&gt;"",AP6=""),AND(AT6&gt;=AY$23,AT6&lt;&gt;"",AP6=""),AND(AW6&gt;=AY$23,AW6&lt;&gt;"",AP6=""),AND(BV6&gt;=CC$23,BV6&lt;&gt;"",BT6=""),AND(BX6&gt;=CC$23,BX6&lt;&gt;"",BT6=""),AND(CA6&gt;=CC$23,CA6&lt;&gt;"",BT6=""),AND(CZ6&gt;=DG$23,CZ6&lt;&gt;"",CX6=""),AND(DB6&gt;=DG$23,DB6&lt;&gt;"",CX6=""),AND(DE6&gt;=DG$23,DE6&lt;&gt;"",CX6=""),AND(EA6&gt;=EG$23,EA6&lt;&gt;""),AND(EE6&gt;=EG$23,EE6&lt;&gt;""),AND(EW6&gt;=FC$23,EW6&lt;&gt;""),AND(FA6&gt;=FC$23,FA6&lt;&gt;""),AND(FS6&gt;=FY$23,FS6&lt;&gt;""),AND(FW6&gt;=FY$23,FW6&lt;&gt;""),AND(GO6&gt;=GU$23,GO6&lt;&gt;""),AND(GS6&gt;=GU$23,GS6&lt;&gt;""),AND(HK6&gt;=HQ$23,HK6&lt;&gt;""),AND(HO6&gt;=HQ$23,HO6&lt;&gt;""),AND(IG6&gt;=IM$23,IG6&lt;&gt;""),AND(IK6&gt;=IM$23,IK6&lt;&gt;""),AND(JC6&gt;=JI$23,JC6&lt;&gt;""),AND(JG6&gt;=JI$23,JG6&lt;&gt;""),AND(JY6&gt;=KE$23,JY6&lt;&gt;""),AND(KC6&gt;=KE$23,KC6&lt;&gt;""),AND(KU6&gt;=LA$23,KU6&lt;&gt;""),AND(KY6&gt;=LA$23,KY6&lt;&gt;""),AND(LQ6&gt;=LW$23,LQ6&lt;&gt;""),AND(LU6&gt;=LW$23,LU6&lt;&gt;""),AND(MM6&gt;=MS$23,MM6&lt;&gt;""),AND(MQ6&gt;=MS$23,MQ6&lt;&gt;""),AND(NI6&gt;=NO$23,NI6&lt;&gt;""),AND(NM6&gt;=NO$23,NM6&lt;&gt;"")),"Worlds Team",IF(OR(AND(AR6&gt;=AY$22,AR6&lt;&gt;"",AP6=""),AND(AT6&gt;=AY$22,AT6&lt;&gt;"",AP6=""),AND(AW6&gt;=AY$22,AW6&lt;&gt;"",AP6=""),AND(BV6&gt;=CC$22,BV6&lt;&gt;"",BT6=""),AND(BX6&gt;=CC$22,BX6&lt;&gt;"",BT6=""),AND(CA6&gt;=CC$22,CA6&lt;&gt;"",BT6=""),AND(CZ6&gt;=DG$22,CZ6&lt;&gt;"",CX6=""),AND(DB6&gt;=DG$22,DB6&lt;&gt;"",CX6=""),AND(DE6&gt;=DG$22,DE6&lt;&gt;"",CX6=""),AND(EA6&gt;=EG$22,EA6&lt;&gt;""),AND(EE6&gt;=EG$22,EE6&lt;&gt;""),AND(EW6&gt;=FC$22,EW6&lt;&gt;""),AND(FA6&gt;=FC$22,FA6&lt;&gt;""),AND(FS6&gt;=FY$22,FS6&lt;&gt;""),AND(FW6&gt;=FY$22,FW6&lt;&gt;""),AND(GO6&gt;=GU$22,GO6&lt;&gt;""),AND(GS6&gt;=GU$22,GS6&lt;&gt;""),AND(HK6&gt;=HQ$22,HK6&lt;&gt;""),AND(HO6&gt;=HQ$22,HO6&lt;&gt;""),AND(IG6&gt;=IM$22,IG6&lt;&gt;""),AND(IK6&gt;=IM$22,IK6&lt;&gt;""),AND(JC6&gt;=JI$22,JC6&lt;&gt;""),AND(JG6&gt;=JI$22,JG6&lt;&gt;""),AND(JY6&gt;=KE$22,JY6&lt;&gt;""),AND(KC6&gt;=KE$22,KC6&lt;&gt;""),AND(KU6&gt;=LA$22,KU6&lt;&gt;""),AND(KY6&gt;=LA$22,KY6&lt;&gt;""),AND(LQ6&gt;=LW$22,LQ6&lt;&gt;""),AND(LU6&gt;=LW$22,LU6&lt;&gt;""),AND(MM6&gt;=MS$22,MM6&lt;&gt;""),AND(MQ6&gt;=MS$22,MQ6&lt;&gt;""),AND(NI6&gt;=NO$22,NI6&lt;&gt;""),AND(NM6&gt;=NO$22,NM6&lt;&gt;"")),"National Team",""))))</f>
        <v>National Team</v>
      </c>
      <c r="H6" s="115" t="str">
        <f>IF(OR(AND(AS6&gt;=AY$26,AS6&lt;&gt;"",AP6=""),AND(AU6&gt;=AY$26,AU6&lt;&gt;"",AP6=""),AND(AX6&gt;=AY$26,AX6&lt;&gt;"",AP6=""),AND(BW6&gt;=CC$26,BW6&lt;&gt;"",BT6=""),AND(BY6&gt;=CC$26,BY6&lt;&gt;"",BT6=""),AND(CB6&gt;=CC$26,CB6&lt;&gt;"",BT6=""),AND(DA6&gt;=DG$26,DA6&lt;&gt;"",CX6=""),AND(DC6&gt;=DG$26,DC6&lt;&gt;"",CX6=""),AND(DF6&gt;=DG$26,DF6&lt;&gt;"",CX6=""),AND(EC6&gt;=EG$26,EC6&lt;&gt;""),AND(EF6&gt;=EG$26,EF6&lt;&gt;""),AND(EY6&gt;=FC$26,EY6&lt;&gt;""),AND(FB6&gt;=FC$26,FB6&lt;&gt;""),AND(FU6&gt;=FY$26,FU6&lt;&gt;""),AND(FX6&gt;=FY$26,FX6&lt;&gt;""),AND(GQ6&gt;=GU$26,GQ6&lt;&gt;""),AND(GT6&gt;=GU$26,GT6&lt;&gt;""),AND(HM6&gt;=HQ$26,HM6&lt;&gt;""),AND(HP6&gt;=HQ$26,HP6&lt;&gt;""),AND(II6&gt;=IM$26,II6&lt;&gt;""),AND(IL6&gt;=IM$26,IL6&lt;&gt;""),AND(JE6&gt;=JI$26,JE6&lt;&gt;""),AND(JH6&gt;=JI$26,JH6&lt;&gt;""),AND(KA6&gt;=KE$26,KA6&lt;&gt;""),AND(KD6&gt;=KE$26,KD6&lt;&gt;""),AND(KW6&gt;=LA$26,KW6&lt;&gt;""),AND(KZ6&gt;=LA$26,KZ6&lt;&gt;""),AND(LS6&gt;=LW$26,LS6&lt;&gt;""),AND(LV6&gt;=LW$26,LV6&lt;&gt;""),AND(MO6&gt;=MS$26,MO6&lt;&gt;""),AND(MR6&gt;=MS$26,MR6&lt;&gt;""),AND(NK6&gt;=NO$26,NK6&lt;&gt;""),AND(NN6&gt;=NO$26,NN6&lt;&gt;"")),"National Team","")</f>
        <v>National Team</v>
      </c>
      <c r="I6" s="11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National Team</v>
      </c>
      <c r="J6" s="3" t="str">
        <f>IF(AND(OR(AND(AV6&gt;=AY$27,AV6&lt;&gt;"",AP6=""),AND(BZ6&gt;=CC$27,BZ6&lt;&gt;"",BT6=""),AND(DD6&gt;=DG$27,DD6&lt;&gt;"",CX6=""),AND(ED6&gt;=EG$27,ED6&lt;&gt;""),AND(EZ6&gt;=FC$27,EZ6&lt;&gt;""),AND(FV6&gt;=FY$27,FV6&lt;&gt;""),AND(GR6&gt;=GU$27,GR6&lt;&gt;""),AND(HN6&gt;=HQ$27,HN6&lt;&gt;""),AND(IJ6&gt;=IM$27,IJ6&lt;&gt;""),AND(JF6&gt;=JI$27,JF6&lt;&gt;""),AND(KB6&gt;=KE$27,KB6&lt;&gt;""),AND(KX6&gt;=LA$27,KX6&lt;&gt;""),AND(LT6&gt;=LW$27,LT6&lt;&gt;""),AND(MP6&gt;=MS$27,MP6&lt;&gt;""),AND(NL6&gt;=NO$27,NL6&lt;&gt;"")),OR(G6="Worlds Team",G6="Excellence",G6="Merit")),"P","")</f>
        <v/>
      </c>
      <c r="K6" s="14">
        <f>IF(MAX(AV6,BZ6,DD6)&gt;0,MAX(AV6,BZ6,DD6),0)</f>
        <v>105.15</v>
      </c>
      <c r="L6" s="14" t="str">
        <f>IF(K6=0,"",IF(K6=DD6,$CD$1,IF(K6=BZ6,$AZ$1,IF(K6=AV6,$V$1,""))))</f>
        <v>2021 1st Virtual Technical Trial</v>
      </c>
      <c r="M6" s="14">
        <f>IF($K6=$AV6,MAX(BU6,CY6),IF($K6=$BZ6,MAX(AQ6,CY6),IF($K6=$DD6,MAX(AQ6,BU6),MAX(AQ6,BU6,CY6))))</f>
        <v>49.41</v>
      </c>
      <c r="N6" s="14" t="str">
        <f>IF(M6=0,"",IF(AND(M6=CY6,$L6&lt;&gt;$CD$1),$CD$1,IF(AND(M6=BU6,$L6&lt;&gt;$AZ$1),$AZ$1,IF(AND(M6=AQ6,$L6&lt;&gt;$V$1),$V$1,""))))</f>
        <v>2019 Nationals</v>
      </c>
      <c r="O6" s="14">
        <f>MAX(AS6,AU6,AX6,BW6,BY6,CB6,DA6,DC6,DF6)</f>
        <v>54.86</v>
      </c>
      <c r="P6" s="14" t="str">
        <f>IF(O6=0,"",IF(OR(O6=DC6,O6=DA6,O6=DF6),$CD$1,IF(OR(O6=BY6,O6=BW6,O6=CB6),$AZ$1,IF(OR(O6=AU6,O6=AS6,O6=AX6),$V$1,""))))</f>
        <v>2021 1st Virtual Technical Trial</v>
      </c>
      <c r="Q6" s="14">
        <f>IF(COUNT(AS6,AU6,AX6,BW6,BY6,CB6,DA6,DC6,DF6)&gt;1,LARGE((AS6,AU6,AX6,BW6,BY6,CB6,DA6,DC6,DF6),2),0)</f>
        <v>54.570000000000007</v>
      </c>
      <c r="R6" s="14" t="str">
        <f>IF(Q6=0,"",IF(OR(Q6=DC6,Q6=DA6,Q6=DF6),$CD$1,IF(OR(Q6=BY6,Q6=BW6,Q6=CB6),$AZ$1,IF(OR(Q6=AU6,Q6=AS6,Q6=AX6),$V$1,""))))</f>
        <v>2021 1st Virtual Technical Trial</v>
      </c>
      <c r="S6" s="14" t="str">
        <f>IF(MAX(DI6,DK6)&gt;0,MAX(DI6,DK6),"")</f>
        <v/>
      </c>
      <c r="T6" s="24" t="str">
        <f>IF(S6="","",IF(S6=DH6,"(Vol 1)",IF(S6=DI6,"(Vol 2)",IF(S6=DJ6,"(Prelim)",IF(S6=DK6,"(Final)")))))</f>
        <v/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/>
      </c>
      <c r="V6" s="61">
        <v>16.600000000000001</v>
      </c>
      <c r="W6" s="61">
        <v>8.8000000000000007</v>
      </c>
      <c r="X6" s="61">
        <v>3.2</v>
      </c>
      <c r="Y6" s="61">
        <v>17.86</v>
      </c>
      <c r="Z6" s="61">
        <v>0</v>
      </c>
      <c r="AA6" s="61">
        <v>14.5</v>
      </c>
      <c r="AB6" s="61">
        <v>8.6</v>
      </c>
      <c r="AC6" s="61">
        <v>10.4</v>
      </c>
      <c r="AD6" s="61">
        <v>16.649999999999999</v>
      </c>
      <c r="AE6" s="61">
        <v>3.1</v>
      </c>
      <c r="AF6" s="61"/>
      <c r="AG6" s="61"/>
      <c r="AH6" s="61"/>
      <c r="AI6" s="61"/>
      <c r="AJ6" s="61"/>
      <c r="AK6" s="61">
        <v>9.3000000000000007</v>
      </c>
      <c r="AL6" s="61">
        <v>5.5</v>
      </c>
      <c r="AM6" s="61">
        <v>8.5</v>
      </c>
      <c r="AN6" s="61">
        <v>10.27</v>
      </c>
      <c r="AO6" s="61">
        <v>0</v>
      </c>
      <c r="AP6" s="72"/>
      <c r="AQ6" s="11">
        <f>IF(SUM(V6:Y6)-Z6&gt;0,SUM(V6:Y6)-Z6,"")</f>
        <v>46.46</v>
      </c>
      <c r="AR6" s="11">
        <f>IF(AC6&gt;0,AC6,"")</f>
        <v>10.4</v>
      </c>
      <c r="AS6" s="11">
        <f>IF(SUM(AA6:AD6)-AE6&gt;0,SUM(AA6:AD6)-AE6,"")</f>
        <v>47.05</v>
      </c>
      <c r="AT6" s="11" t="str">
        <f>IF(AH6&gt;0,AH6,"")</f>
        <v/>
      </c>
      <c r="AU6" s="11" t="str">
        <f>IF(SUM(AF6:AI6)-AJ6&gt;0,SUM(AF6:AI6)-AJ6,"")</f>
        <v/>
      </c>
      <c r="AV6" s="11">
        <f>IF(OR(AQ6&lt;&gt;"",AS6&lt;&gt;"",AU6&lt;&gt;""),AQ6+MAX(AS6,AU6),"")</f>
        <v>93.509999999999991</v>
      </c>
      <c r="AW6" s="11">
        <f>IF(AM6&gt;0,AM6,"")</f>
        <v>8.5</v>
      </c>
      <c r="AX6" s="11">
        <f>IF(SUM(AK6:AN6)-AO6&gt;0,SUM(AK6:AN6)-AO6,"")</f>
        <v>33.57</v>
      </c>
      <c r="AY6" s="11">
        <f>IF(SUM(AV6,AX6)&gt;0,SUM(AV6,AX6),"")</f>
        <v>127.07999999999998</v>
      </c>
      <c r="AZ6" s="67">
        <v>17.600000000000001</v>
      </c>
      <c r="BA6" s="67">
        <v>9.1</v>
      </c>
      <c r="BB6" s="67">
        <v>5.4</v>
      </c>
      <c r="BC6" s="67">
        <v>17.309999999999999</v>
      </c>
      <c r="BD6" s="67">
        <v>0</v>
      </c>
      <c r="BE6" s="67">
        <v>16</v>
      </c>
      <c r="BF6" s="67">
        <v>9.1</v>
      </c>
      <c r="BG6" s="67">
        <v>11.7</v>
      </c>
      <c r="BH6" s="67">
        <v>15.77</v>
      </c>
      <c r="BI6" s="67">
        <v>1.8</v>
      </c>
      <c r="BJ6" s="67"/>
      <c r="BK6" s="67"/>
      <c r="BL6" s="67"/>
      <c r="BM6" s="67"/>
      <c r="BN6" s="67"/>
      <c r="BO6" s="67">
        <v>13.58</v>
      </c>
      <c r="BP6" s="67">
        <v>9.4</v>
      </c>
      <c r="BQ6" s="67">
        <v>14.4</v>
      </c>
      <c r="BR6" s="67">
        <v>15.55</v>
      </c>
      <c r="BS6" s="67">
        <v>0</v>
      </c>
      <c r="BT6" s="73"/>
      <c r="BU6" s="14">
        <f>IF(SUM(AZ6:BC6)-BD6&gt;0,SUM(AZ6:BC6)-BD6,"")</f>
        <v>49.41</v>
      </c>
      <c r="BV6" s="14">
        <f>IF(BG6&gt;0,BG6,"")</f>
        <v>11.7</v>
      </c>
      <c r="BW6" s="14">
        <f>IF(SUM(BE6:BH6)-BI6&gt;0,SUM(BE6:BH6)-BI6,"")</f>
        <v>50.769999999999996</v>
      </c>
      <c r="BX6" s="14" t="str">
        <f>IF(BL6&gt;0,BL6,"")</f>
        <v/>
      </c>
      <c r="BY6" s="14" t="str">
        <f>IF(SUM(BJ6:BM6)-BN6&gt;0,SUM(BJ6:BM6)-BN6,"")</f>
        <v/>
      </c>
      <c r="BZ6" s="14">
        <f>IF(BU6="",IF(MAX(BW6,BY6)&gt;0,MAX(BW6,BY6),""),MAX(BW6,BY6)+BU6)</f>
        <v>100.17999999999999</v>
      </c>
      <c r="CA6" s="14">
        <f>IF(BQ6&gt;0,BQ6,"")</f>
        <v>14.4</v>
      </c>
      <c r="CB6" s="14">
        <f>IF(SUM(BO6:BR6)-BS6&gt;0,SUM(BO6:BR6)-BS6,"")</f>
        <v>52.930000000000007</v>
      </c>
      <c r="CC6" s="14">
        <f>IF(SUM(BZ6,CB6)&gt;0,SUM(BZ6,CB6),"")</f>
        <v>153.11000000000001</v>
      </c>
      <c r="CD6" s="61">
        <v>17.8</v>
      </c>
      <c r="CE6" s="61">
        <v>9.4499999999999993</v>
      </c>
      <c r="CF6" s="61">
        <v>5</v>
      </c>
      <c r="CG6" s="61">
        <v>18.04</v>
      </c>
      <c r="CH6" s="61">
        <v>0</v>
      </c>
      <c r="CI6" s="61">
        <v>8.4</v>
      </c>
      <c r="CJ6" s="61">
        <v>4.3499999999999996</v>
      </c>
      <c r="CK6" s="61">
        <v>7.3</v>
      </c>
      <c r="CL6" s="61">
        <v>8.8000000000000007</v>
      </c>
      <c r="CM6" s="61">
        <v>0</v>
      </c>
      <c r="CN6" s="61">
        <v>16.66</v>
      </c>
      <c r="CO6" s="61">
        <v>9.3000000000000007</v>
      </c>
      <c r="CP6" s="61">
        <v>12.8</v>
      </c>
      <c r="CQ6" s="61">
        <v>16.8</v>
      </c>
      <c r="CR6" s="61">
        <v>0.7</v>
      </c>
      <c r="CS6" s="61">
        <v>14.8</v>
      </c>
      <c r="CT6" s="61">
        <v>9.15</v>
      </c>
      <c r="CU6" s="61">
        <v>13.7</v>
      </c>
      <c r="CV6" s="61">
        <v>16.920000000000002</v>
      </c>
      <c r="CW6" s="61">
        <v>0</v>
      </c>
      <c r="CX6" s="72"/>
      <c r="CY6" s="11">
        <f>IF(SUM(CD6:CG6)-CH6&gt;0,SUM(CD6:CG6)-CH6,"")</f>
        <v>50.29</v>
      </c>
      <c r="CZ6" s="11">
        <f>IF(CK6&gt;0,CK6,"")</f>
        <v>7.3</v>
      </c>
      <c r="DA6" s="11">
        <f>IF(SUM(CI6:CL6)-CM6&gt;0,SUM(CI6:CL6)-CM6,"")</f>
        <v>28.85</v>
      </c>
      <c r="DB6" s="11">
        <f>IF(CP6&gt;0,CP6,"")</f>
        <v>12.8</v>
      </c>
      <c r="DC6" s="11">
        <f>IF(SUM(CN6:CQ6)-CR6&gt;0,SUM(CN6:CQ6)-CR6,"")</f>
        <v>54.86</v>
      </c>
      <c r="DD6" s="11">
        <f>IF(CY6="",IF(MAX(DA6,DC6)&gt;0,MAX(DA6,DC6),""),MAX(DA6,DC6)+CY6)</f>
        <v>105.15</v>
      </c>
      <c r="DE6" s="11">
        <f>IF(CU6&gt;0,CU6,"")</f>
        <v>13.7</v>
      </c>
      <c r="DF6" s="11">
        <f>IF(SUM(CS6:CV6)-CW6&gt;0,SUM(CS6:CV6)-CW6,"")</f>
        <v>54.570000000000007</v>
      </c>
      <c r="DG6" s="11">
        <f>IF(SUM(DD6,DF6)&gt;0,SUM(DD6,DF6),"")</f>
        <v>159.72000000000003</v>
      </c>
      <c r="DH6" s="23" t="str">
        <f>IF(MAX(EB6,EX6,FT6,GP6,HL6,IH6,JD6,JZ6,KV6,LR6,MN6,NJ6)-IF(M6="",0,M6)&gt;0.001,MAX(EB6,EX6,FT6,GP6,HL6,IH6,JD6,JZ6,KV6,LR6,MN6,NJ6)-IF(M6="",0,M6),"")</f>
        <v/>
      </c>
      <c r="DI6" s="23" t="str">
        <f>IF(MAX(EC6,EY6,FU6,GQ6,HM6,II6,JE6,KA6,KW6,LS6,MO6,NK6)-IF(O6="",0,O6)&gt;0.001,MAX(EC6,EY6,FU6,GQ6,HM6,II6,JE6,KA6,KW6,LS6,MO6,NK6)-IF(O6="",0,O6),"")</f>
        <v/>
      </c>
      <c r="DJ6" s="23" t="str">
        <f>IF(MAX(ED6,EZ6,FV6,GR6,HN6,IJ6,JF6,KB6,KX6,LT6,MP6,NL6)-IF(K6="",0,K6)&gt;0.001,MAX(ED6,EZ6,FV6,GR6,HN6,IJ6,JF6,KB6,KX6,LT6,MP6,NL6)-IF(K6="",0,K6),"")</f>
        <v/>
      </c>
      <c r="DK6" s="23" t="str">
        <f>IF(MAX(EF6,FB6,FX6,GT6,HP6,IL6,JH6,KD6,KZ6,LV6,MR6,NN6)-IF(Q6="",0,Q6)&gt;0.001,MAX(EF6,FB6,FX6,GT6,HP6,IL6,JH6,KD6,KZ6,LV6,MR6,NN6)-IF(Q6="",0,Q6),"")</f>
        <v/>
      </c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11" t="str">
        <f>IF(DS6&gt;0,DS6,"")</f>
        <v/>
      </c>
      <c r="EB6" s="11" t="str">
        <f>IF(SUM(DL6:DO6)-DP6&gt;0,SUM(DL6:DO6)-DP6,"")</f>
        <v/>
      </c>
      <c r="EC6" s="11" t="str">
        <f>IF(SUM(DQ6:DT6)-DU6&gt;0,SUM(DQ6:DT6)-DU6,"")</f>
        <v/>
      </c>
      <c r="ED6" s="11" t="str">
        <f>IF(SUM(EB6:EC6)&gt;0,SUM(EB6:EC6),"")</f>
        <v/>
      </c>
      <c r="EE6" s="11" t="str">
        <f>IF(DX6&gt;0,DX6,"")</f>
        <v/>
      </c>
      <c r="EF6" s="11" t="str">
        <f>IF(SUM(DV6:DY6)-DZ6&gt;0,SUM(DV6:DY6)-DZ6,"")</f>
        <v/>
      </c>
      <c r="EG6" s="11" t="str">
        <f>IF(SUM(ED6,EF6)&gt;0,SUM(ED6,EF6),"")</f>
        <v/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35"/>
      <c r="MI6" s="35"/>
      <c r="MJ6" s="35"/>
      <c r="MK6" s="35"/>
      <c r="ML6" s="35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1">
        <f>IF($CX6="P",CD6,(CD6+AZ6)/2)</f>
        <v>17.700000000000003</v>
      </c>
      <c r="NQ6" s="61">
        <f>IF($CX6="P",CE6,(CE6+BA6)/2)</f>
        <v>9.2749999999999986</v>
      </c>
      <c r="NR6" s="61">
        <f>IF($CX6="P",CF6,(CF6+BB6)/2)</f>
        <v>5.2</v>
      </c>
      <c r="NS6" s="61">
        <f>IF($CX6="P",CG6,(CG6+BC6)/2)</f>
        <v>17.674999999999997</v>
      </c>
      <c r="NT6" s="61">
        <f>IF($CX6="P",CH6,(CH6+BD6)/2)</f>
        <v>0</v>
      </c>
      <c r="NU6" s="61">
        <f>IF($CX6="P",CI6,(CI6+BE6)/2)</f>
        <v>12.2</v>
      </c>
      <c r="NV6" s="61">
        <f>IF($CX6="P",CJ6,(CJ6+BF6)/2)</f>
        <v>6.7249999999999996</v>
      </c>
      <c r="NW6" s="61">
        <f>IF($CX6="P",CK6,(CK6+BG6)/2)</f>
        <v>9.5</v>
      </c>
      <c r="NX6" s="61">
        <f>IF($CX6="P",CL6,(CL6+BH6)/2)</f>
        <v>12.285</v>
      </c>
      <c r="NY6" s="61">
        <f>IF($CX6="P",CM6,(CM6+BI6)/2)</f>
        <v>0.9</v>
      </c>
      <c r="NZ6" s="61">
        <f>IF($CX6="P",CN6,(CN6+BJ6)/2)</f>
        <v>8.33</v>
      </c>
      <c r="OA6" s="61">
        <f>IF($CX6="P",CO6,(CO6+BK6)/2)</f>
        <v>4.6500000000000004</v>
      </c>
      <c r="OB6" s="61">
        <f>IF($CX6="P",CP6,(CP6+BL6)/2)</f>
        <v>6.4</v>
      </c>
      <c r="OC6" s="61">
        <f>IF($CX6="P",CQ6,(CQ6+BM6)/2)</f>
        <v>8.4</v>
      </c>
      <c r="OD6" s="61">
        <f>IF($CX6="P",CR6,(CR6+BN6)/2)</f>
        <v>0.35</v>
      </c>
      <c r="OE6" s="61">
        <f>IF($CX6="P",CS6,(CS6+BO6)/2)</f>
        <v>14.190000000000001</v>
      </c>
      <c r="OF6" s="61">
        <f>IF($CX6="P",CT6,(CT6+BP6)/2)</f>
        <v>9.2750000000000004</v>
      </c>
      <c r="OG6" s="61">
        <f>IF($CX6="P",CU6,(CU6+BQ6)/2)</f>
        <v>14.05</v>
      </c>
      <c r="OH6" s="61">
        <f>IF($CX6="P",CV6,(CV6+BR6)/2)</f>
        <v>16.234999999999999</v>
      </c>
      <c r="OI6" s="61">
        <f>IF($CX6="P",CW6,(CW6+BS6)/2)</f>
        <v>0</v>
      </c>
      <c r="OJ6" s="72" t="s">
        <v>52</v>
      </c>
      <c r="OK6" s="11">
        <f>IF(SUM(NP6:NS6)-NT6&gt;0,SUM(NP6:NS6)-NT6,"")</f>
        <v>49.85</v>
      </c>
      <c r="OL6" s="11">
        <f>IF(NW6&gt;0,NW6,"")</f>
        <v>9.5</v>
      </c>
      <c r="OM6" s="11">
        <f>IF(SUM(NU6:NX6)-NY6&gt;0,SUM(NU6:NX6)-NY6,"")</f>
        <v>39.809999999999995</v>
      </c>
      <c r="ON6" s="11">
        <f>IF(OB6&gt;0,OB6,"")</f>
        <v>6.4</v>
      </c>
      <c r="OO6" s="11">
        <f>IF(SUM(NZ6:OC6)-OD6&gt;0,SUM(NZ6:OC6)-OD6,"")</f>
        <v>27.43</v>
      </c>
      <c r="OP6" s="11">
        <f>IF(OR(OK6&lt;&gt;"",OM6&lt;&gt;"",OO6&lt;&gt;""),OK6+MAX(OM6,OO6),"")</f>
        <v>89.66</v>
      </c>
      <c r="OQ6" s="11">
        <f>IF(OG6&gt;0,OG6,"")</f>
        <v>14.05</v>
      </c>
      <c r="OR6" s="11">
        <f t="shared" si="0"/>
        <v>53.75</v>
      </c>
      <c r="OS6" s="11">
        <f t="shared" si="1"/>
        <v>143.41</v>
      </c>
    </row>
    <row r="7" spans="1:409" x14ac:dyDescent="0.2">
      <c r="A7" s="5" cm="1">
        <f t="array" ref="A7">IF(AND(G7&lt;&gt;"",H7&lt;&gt;""),SUMPRODUCT((G$4:G$20&lt;&gt;"")*(H$4:H$20&lt;&gt;"")*(E$4:E$20&gt;E7))+1,IF(H7&lt;&gt;"",SUMPRODUCT((I$4:I$20="No DD")*(E$4:E$20&gt;E7))+1+SUMPRODUCT((G$4:G$20&lt;&gt;"")*(H$4:H$20&lt;&gt;"")),""))</f>
        <v>4</v>
      </c>
      <c r="B7" s="6" t="s">
        <v>88</v>
      </c>
      <c r="C7" s="7" t="s">
        <v>3</v>
      </c>
      <c r="D7" s="26">
        <v>2002</v>
      </c>
      <c r="E7" s="15">
        <f>SUM(O7:S7)</f>
        <v>107.72499999999999</v>
      </c>
      <c r="F7" s="3" t="str">
        <f>IF(G7&lt;&gt;"","P","")</f>
        <v>P</v>
      </c>
      <c r="G7" s="115" t="str">
        <f>IF(OR(AND(AR7&gt;=AY$25,AR7&lt;&gt;"",AP7=""),AND(AT7&gt;=AY$25,AT7&lt;&gt;"",AP7=""),AND(AW7&gt;=AY$25,AW7&lt;&gt;"",AP7=""),AND(BV7&gt;=CC$25,BV7&lt;&gt;"",BT7=""),AND(BX7&gt;=CC$25,BX7&lt;&gt;"",BT7=""),AND(CA7&gt;=CC$25,CA7&lt;&gt;"",BT7=""),AND(CZ7&gt;=DG$25,CZ7&lt;&gt;"",CX7=""),AND(DB7&gt;=DG$25,DB7&lt;&gt;"",CX7=""),AND(DE7&gt;=DG$25,DE7&lt;&gt;"",CX7=""),AND(EA7&gt;=EG$25,EA7&lt;&gt;""),AND(EE7&gt;=EG$25,EE7&lt;&gt;""),AND(EW7&gt;=FC$25,EW7&lt;&gt;""),AND(FA7&gt;=FC$25,FA7&lt;&gt;""),AND(FS7&gt;=FY$25,FS7&lt;&gt;""),AND(FW7&gt;=FY$25,FW7&lt;&gt;""),AND(GO7&gt;=GU$25,GO7&lt;&gt;""),AND(GS7&gt;=GU$25,GS7&lt;&gt;""),AND(HK7&gt;=HQ$25,HK7&lt;&gt;""),AND(HO7&gt;=HQ$25,HO7&lt;&gt;""),AND(IG7&gt;=IM$25,IG7&lt;&gt;""),AND(IK7&gt;=IM$25,IK7&lt;&gt;""),AND(JC7&gt;=JI$25,JC7&lt;&gt;""),AND(JG7&gt;=JI$25,JG7&lt;&gt;""),AND(JY7&gt;=KE$25,JY7&lt;&gt;""),AND(KC7&gt;=KE$25,KC7&lt;&gt;""),AND(KU7&gt;=LA$25,KU7&lt;&gt;""),AND(KY7&gt;=LA$25,KY7&lt;&gt;""),AND(LQ7&gt;=LW$25,LQ7&lt;&gt;""),AND(LU7&gt;=LW$25,LU7&lt;&gt;""),AND(MM7&gt;=MS$25,MM7&lt;&gt;""),AND(MQ7&gt;=MS$25,MQ7&lt;&gt;""),AND(NI7&gt;=NO$25,NI7&lt;&gt;""),AND(NM7&gt;=NO$25,NM7&lt;&gt;"")),"Merit",IF(OR(AND(AR7&gt;=AY$24,AR7&lt;&gt;"",AP7=""),AND(AT7&gt;=AY$24,AT7&lt;&gt;"",AP7=""),AND(AW7&gt;=AY$24,AW7&lt;&gt;"",AP7=""),AND(BV7&gt;=CC$24,BV7&lt;&gt;"",BT7=""),AND(BX7&gt;=CC$24,BX7&lt;&gt;"",BT7=""),AND(CA7&gt;=CC$24,CA7&lt;&gt;"",BT7=""),AND(CZ7&gt;=DG$24,CZ7&lt;&gt;"",CX7=""),AND(DB7&gt;=DG$24,DB7&lt;&gt;"",CX7=""),AND(DE7&gt;=DG$24,DE7&lt;&gt;"",CX7=""),AND(EA7&gt;=EG$24,EA7&lt;&gt;""),AND(EE7&gt;=EG$24,EE7&lt;&gt;""),AND(EW7&gt;=FC$24,EW7&lt;&gt;""),AND(FA7&gt;=FC$24,FA7&lt;&gt;""),AND(FS7&gt;=FY$24,FS7&lt;&gt;""),AND(FW7&gt;=FY$24,FW7&lt;&gt;""),AND(GO7&gt;=GU$24,GO7&lt;&gt;""),AND(GS7&gt;=GU$24,GS7&lt;&gt;""),AND(HK7&gt;=HQ$24,HK7&lt;&gt;""),AND(HO7&gt;=HQ$24,HO7&lt;&gt;""),AND(IG7&gt;=IM$24,IG7&lt;&gt;""),AND(IK7&gt;=IM$24,IK7&lt;&gt;""),AND(JC7&gt;=JI$24,JC7&lt;&gt;""),AND(JG7&gt;=JI$24,JG7&lt;&gt;""),AND(JY7&gt;=KE$24,JY7&lt;&gt;""),AND(KC7&gt;=KE$24,KC7&lt;&gt;""),AND(KU7&gt;=LA$24,KU7&lt;&gt;""),AND(KY7&gt;=LA$24,KY7&lt;&gt;""),AND(LQ7&gt;=LW$24,LQ7&lt;&gt;""),AND(LU7&gt;=LW$24,LU7&lt;&gt;""),AND(MM7&gt;=MS$24,MM7&lt;&gt;""),AND(MQ7&gt;=MS$24,MQ7&lt;&gt;""),AND(NI7&gt;=NO$24,NI7&lt;&gt;""),AND(NM7&gt;=NO$24,NM7&lt;&gt;"")),"Excellence",IF(OR(AND(AR7&gt;=AY$23,AR7&lt;&gt;"",AP7=""),AND(AT7&gt;=AY$23,AT7&lt;&gt;"",AP7=""),AND(AW7&gt;=AY$23,AW7&lt;&gt;"",AP7=""),AND(BV7&gt;=CC$23,BV7&lt;&gt;"",BT7=""),AND(BX7&gt;=CC$23,BX7&lt;&gt;"",BT7=""),AND(CA7&gt;=CC$23,CA7&lt;&gt;"",BT7=""),AND(CZ7&gt;=DG$23,CZ7&lt;&gt;"",CX7=""),AND(DB7&gt;=DG$23,DB7&lt;&gt;"",CX7=""),AND(DE7&gt;=DG$23,DE7&lt;&gt;"",CX7=""),AND(EA7&gt;=EG$23,EA7&lt;&gt;""),AND(EE7&gt;=EG$23,EE7&lt;&gt;""),AND(EW7&gt;=FC$23,EW7&lt;&gt;""),AND(FA7&gt;=FC$23,FA7&lt;&gt;""),AND(FS7&gt;=FY$23,FS7&lt;&gt;""),AND(FW7&gt;=FY$23,FW7&lt;&gt;""),AND(GO7&gt;=GU$23,GO7&lt;&gt;""),AND(GS7&gt;=GU$23,GS7&lt;&gt;""),AND(HK7&gt;=HQ$23,HK7&lt;&gt;""),AND(HO7&gt;=HQ$23,HO7&lt;&gt;""),AND(IG7&gt;=IM$23,IG7&lt;&gt;""),AND(IK7&gt;=IM$23,IK7&lt;&gt;""),AND(JC7&gt;=JI$23,JC7&lt;&gt;""),AND(JG7&gt;=JI$23,JG7&lt;&gt;""),AND(JY7&gt;=KE$23,JY7&lt;&gt;""),AND(KC7&gt;=KE$23,KC7&lt;&gt;""),AND(KU7&gt;=LA$23,KU7&lt;&gt;""),AND(KY7&gt;=LA$23,KY7&lt;&gt;""),AND(LQ7&gt;=LW$23,LQ7&lt;&gt;""),AND(LU7&gt;=LW$23,LU7&lt;&gt;""),AND(MM7&gt;=MS$23,MM7&lt;&gt;""),AND(MQ7&gt;=MS$23,MQ7&lt;&gt;""),AND(NI7&gt;=NO$23,NI7&lt;&gt;""),AND(NM7&gt;=NO$23,NM7&lt;&gt;"")),"Worlds Team",IF(OR(AND(AR7&gt;=AY$22,AR7&lt;&gt;"",AP7=""),AND(AT7&gt;=AY$22,AT7&lt;&gt;"",AP7=""),AND(AW7&gt;=AY$22,AW7&lt;&gt;"",AP7=""),AND(BV7&gt;=CC$22,BV7&lt;&gt;"",BT7=""),AND(BX7&gt;=CC$22,BX7&lt;&gt;"",BT7=""),AND(CA7&gt;=CC$22,CA7&lt;&gt;"",BT7=""),AND(CZ7&gt;=DG$22,CZ7&lt;&gt;"",CX7=""),AND(DB7&gt;=DG$22,DB7&lt;&gt;"",CX7=""),AND(DE7&gt;=DG$22,DE7&lt;&gt;"",CX7=""),AND(EA7&gt;=EG$22,EA7&lt;&gt;""),AND(EE7&gt;=EG$22,EE7&lt;&gt;""),AND(EW7&gt;=FC$22,EW7&lt;&gt;""),AND(FA7&gt;=FC$22,FA7&lt;&gt;""),AND(FS7&gt;=FY$22,FS7&lt;&gt;""),AND(FW7&gt;=FY$22,FW7&lt;&gt;""),AND(GO7&gt;=GU$22,GO7&lt;&gt;""),AND(GS7&gt;=GU$22,GS7&lt;&gt;""),AND(HK7&gt;=HQ$22,HK7&lt;&gt;""),AND(HO7&gt;=HQ$22,HO7&lt;&gt;""),AND(IG7&gt;=IM$22,IG7&lt;&gt;""),AND(IK7&gt;=IM$22,IK7&lt;&gt;""),AND(JC7&gt;=JI$22,JC7&lt;&gt;""),AND(JG7&gt;=JI$22,JG7&lt;&gt;""),AND(JY7&gt;=KE$22,JY7&lt;&gt;""),AND(KC7&gt;=KE$22,KC7&lt;&gt;""),AND(KU7&gt;=LA$22,KU7&lt;&gt;""),AND(KY7&gt;=LA$22,KY7&lt;&gt;""),AND(LQ7&gt;=LW$22,LQ7&lt;&gt;""),AND(LU7&gt;=LW$22,LU7&lt;&gt;""),AND(MM7&gt;=MS$22,MM7&lt;&gt;""),AND(MQ7&gt;=MS$22,MQ7&lt;&gt;""),AND(NI7&gt;=NO$22,NI7&lt;&gt;""),AND(NM7&gt;=NO$22,NM7&lt;&gt;"")),"National Team",""))))</f>
        <v>National Team</v>
      </c>
      <c r="H7" s="115" t="str">
        <f>IF(OR(AND(AS7&gt;=AY$26,AS7&lt;&gt;"",AP7=""),AND(AU7&gt;=AY$26,AU7&lt;&gt;"",AP7=""),AND(AX7&gt;=AY$26,AX7&lt;&gt;"",AP7=""),AND(BW7&gt;=CC$26,BW7&lt;&gt;"",BT7=""),AND(BY7&gt;=CC$26,BY7&lt;&gt;"",BT7=""),AND(CB7&gt;=CC$26,CB7&lt;&gt;"",BT7=""),AND(DA7&gt;=DG$26,DA7&lt;&gt;"",CX7=""),AND(DC7&gt;=DG$26,DC7&lt;&gt;"",CX7=""),AND(DF7&gt;=DG$26,DF7&lt;&gt;"",CX7=""),AND(EC7&gt;=EG$26,EC7&lt;&gt;""),AND(EF7&gt;=EG$26,EF7&lt;&gt;""),AND(EY7&gt;=FC$26,EY7&lt;&gt;""),AND(FB7&gt;=FC$26,FB7&lt;&gt;""),AND(FU7&gt;=FY$26,FU7&lt;&gt;""),AND(FX7&gt;=FY$26,FX7&lt;&gt;""),AND(GQ7&gt;=GU$26,GQ7&lt;&gt;""),AND(GT7&gt;=GU$26,GT7&lt;&gt;""),AND(HM7&gt;=HQ$26,HM7&lt;&gt;""),AND(HP7&gt;=HQ$26,HP7&lt;&gt;""),AND(II7&gt;=IM$26,II7&lt;&gt;""),AND(IL7&gt;=IM$26,IL7&lt;&gt;""),AND(JE7&gt;=JI$26,JE7&lt;&gt;""),AND(JH7&gt;=JI$26,JH7&lt;&gt;""),AND(KA7&gt;=KE$26,KA7&lt;&gt;""),AND(KD7&gt;=KE$26,KD7&lt;&gt;""),AND(KW7&gt;=LA$26,KW7&lt;&gt;""),AND(KZ7&gt;=LA$26,KZ7&lt;&gt;""),AND(LS7&gt;=LW$26,LS7&lt;&gt;""),AND(LV7&gt;=LW$26,LV7&lt;&gt;""),AND(MO7&gt;=MS$26,MO7&lt;&gt;""),AND(MR7&gt;=MS$26,MR7&lt;&gt;""),AND(NK7&gt;=NO$26,NK7&lt;&gt;""),AND(NN7&gt;=NO$26,NN7&lt;&gt;"")),"National Team","")</f>
        <v>National Team</v>
      </c>
      <c r="I7" s="11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National Team</v>
      </c>
      <c r="J7" s="3" t="str">
        <f>IF(AND(OR(AND(AV7&gt;=AY$27,AV7&lt;&gt;"",AP7=""),AND(BZ7&gt;=CC$27,BZ7&lt;&gt;"",BT7=""),AND(DD7&gt;=DG$27,DD7&lt;&gt;"",CX7=""),AND(ED7&gt;=EG$27,ED7&lt;&gt;""),AND(EZ7&gt;=FC$27,EZ7&lt;&gt;""),AND(FV7&gt;=FY$27,FV7&lt;&gt;""),AND(GR7&gt;=GU$27,GR7&lt;&gt;""),AND(HN7&gt;=HQ$27,HN7&lt;&gt;""),AND(IJ7&gt;=IM$27,IJ7&lt;&gt;""),AND(JF7&gt;=JI$27,JF7&lt;&gt;""),AND(KB7&gt;=KE$27,KB7&lt;&gt;""),AND(KX7&gt;=LA$27,KX7&lt;&gt;""),AND(LT7&gt;=LW$27,LT7&lt;&gt;""),AND(MP7&gt;=MS$27,MP7&lt;&gt;""),AND(NL7&gt;=NO$27,NL7&lt;&gt;"")),OR(G7="Worlds Team",G7="Excellence",G7="Merit")),"P","")</f>
        <v/>
      </c>
      <c r="K7" s="14">
        <f>IF(MAX(AV7,BZ7,DD7)&gt;0,MAX(AV7,BZ7,DD7),0)</f>
        <v>97.495000000000005</v>
      </c>
      <c r="L7" s="14" t="str">
        <f>IF(K7=0,"",IF(K7=DD7,$CD$1,IF(K7=BZ7,$AZ$1,IF(K7=AV7,$V$1,""))))</f>
        <v>2019 Elite Canada</v>
      </c>
      <c r="M7" s="14">
        <f>IF($K7=$AV7,MAX(BU7,CY7),IF($K7=$BZ7,MAX(AQ7,CY7),IF($K7=$DD7,MAX(AQ7,BU7),MAX(AQ7,BU7,CY7))))</f>
        <v>43.79</v>
      </c>
      <c r="N7" s="14" t="str">
        <f>IF(M7=0,"",IF(AND(M7=CY7,$L7&lt;&gt;$CD$1),$CD$1,IF(AND(M7=BU7,$L7&lt;&gt;$AZ$1),$AZ$1,IF(AND(M7=AQ7,$L7&lt;&gt;$V$1),$V$1,""))))</f>
        <v>2019 Nationals</v>
      </c>
      <c r="O7" s="14">
        <f>MAX(AS7,AU7,AX7,BW7,BY7,CB7,DA7,DC7,DF7)</f>
        <v>54.125</v>
      </c>
      <c r="P7" s="14" t="str">
        <f>IF(O7=0,"",IF(OR(O7=DC7,O7=DA7,O7=DF7),$CD$1,IF(OR(O7=BY7,O7=BW7,O7=CB7),$AZ$1,IF(OR(O7=AU7,O7=AS7,O7=AX7),$V$1,""))))</f>
        <v>2019 Elite Canada</v>
      </c>
      <c r="Q7" s="14">
        <f>IF(COUNT(AS7,AU7,AX7,BW7,BY7,CB7,DA7,DC7,DF7)&gt;1,LARGE((AS7,AU7,AX7,BW7,BY7,CB7,DA7,DC7,DF7),2),0)</f>
        <v>53.6</v>
      </c>
      <c r="R7" s="14" t="str">
        <f>IF(Q7=0,"",IF(OR(Q7=DC7,Q7=DA7,Q7=DF7),$CD$1,IF(OR(Q7=BY7,Q7=BW7,Q7=CB7),$AZ$1,IF(OR(Q7=AU7,Q7=AS7,Q7=AX7),$V$1,""))))</f>
        <v>2019 Elite Canada</v>
      </c>
      <c r="S7" s="14" t="str">
        <f>IF(MAX(DI7,DK7)&gt;0,MAX(DI7,DK7),"")</f>
        <v/>
      </c>
      <c r="T7" s="24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1">
        <v>16.100000000000001</v>
      </c>
      <c r="W7" s="61">
        <v>9.4</v>
      </c>
      <c r="X7" s="61">
        <v>2.1</v>
      </c>
      <c r="Y7" s="61">
        <v>16.295000000000002</v>
      </c>
      <c r="Z7" s="61">
        <v>0</v>
      </c>
      <c r="AA7" s="61">
        <v>14.7</v>
      </c>
      <c r="AB7" s="61">
        <v>9.5</v>
      </c>
      <c r="AC7" s="61">
        <v>13.5</v>
      </c>
      <c r="AD7" s="61">
        <v>15.9</v>
      </c>
      <c r="AE7" s="61">
        <v>0</v>
      </c>
      <c r="AF7" s="61"/>
      <c r="AG7" s="61"/>
      <c r="AH7" s="61"/>
      <c r="AI7" s="61"/>
      <c r="AJ7" s="61"/>
      <c r="AK7" s="61">
        <v>15.3</v>
      </c>
      <c r="AL7" s="61">
        <v>9.5</v>
      </c>
      <c r="AM7" s="61">
        <v>13.5</v>
      </c>
      <c r="AN7" s="61">
        <v>15.824999999999999</v>
      </c>
      <c r="AO7" s="61">
        <v>0</v>
      </c>
      <c r="AP7" s="72"/>
      <c r="AQ7" s="11">
        <f>IF(SUM(V7:Y7)-Z7&gt;0,SUM(V7:Y7)-Z7,"")</f>
        <v>43.895000000000003</v>
      </c>
      <c r="AR7" s="11">
        <f>IF(AC7&gt;0,AC7,"")</f>
        <v>13.5</v>
      </c>
      <c r="AS7" s="11">
        <f>IF(SUM(AA7:AD7)-AE7&gt;0,SUM(AA7:AD7)-AE7,"")</f>
        <v>53.6</v>
      </c>
      <c r="AT7" s="11" t="str">
        <f>IF(AH7&gt;0,AH7,"")</f>
        <v/>
      </c>
      <c r="AU7" s="11" t="str">
        <f>IF(SUM(AF7:AI7)-AJ7&gt;0,SUM(AF7:AI7)-AJ7,"")</f>
        <v/>
      </c>
      <c r="AV7" s="11">
        <f>IF(OR(AQ7&lt;&gt;"",AS7&lt;&gt;"",AU7&lt;&gt;""),AQ7+MAX(AS7,AU7),"")</f>
        <v>97.495000000000005</v>
      </c>
      <c r="AW7" s="11">
        <f>IF(AM7&gt;0,AM7,"")</f>
        <v>13.5</v>
      </c>
      <c r="AX7" s="11">
        <f>IF(SUM(AK7:AN7)-AO7&gt;0,SUM(AK7:AN7)-AO7,"")</f>
        <v>54.125</v>
      </c>
      <c r="AY7" s="11">
        <f>IF(SUM(AV7,AX7)&gt;0,SUM(AV7,AX7),"")</f>
        <v>151.62</v>
      </c>
      <c r="AZ7" s="67">
        <v>14.9</v>
      </c>
      <c r="BA7" s="67">
        <v>8.6999999999999993</v>
      </c>
      <c r="BB7" s="67">
        <v>3.9</v>
      </c>
      <c r="BC7" s="67">
        <v>16.29</v>
      </c>
      <c r="BD7" s="67">
        <v>0</v>
      </c>
      <c r="BE7" s="67">
        <v>1.5</v>
      </c>
      <c r="BF7" s="67">
        <v>0.9</v>
      </c>
      <c r="BG7" s="67">
        <v>1.7</v>
      </c>
      <c r="BH7" s="67">
        <v>1.7350000000000001</v>
      </c>
      <c r="BI7" s="67">
        <v>0</v>
      </c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73"/>
      <c r="BU7" s="14">
        <f>IF(SUM(AZ7:BC7)-BD7&gt;0,SUM(AZ7:BC7)-BD7,"")</f>
        <v>43.79</v>
      </c>
      <c r="BV7" s="14">
        <f>IF(BG7&gt;0,BG7,"")</f>
        <v>1.7</v>
      </c>
      <c r="BW7" s="14">
        <f>IF(SUM(BE7:BH7)-BI7&gt;0,SUM(BE7:BH7)-BI7,"")</f>
        <v>5.835</v>
      </c>
      <c r="BX7" s="14" t="str">
        <f>IF(BL7&gt;0,BL7,"")</f>
        <v/>
      </c>
      <c r="BY7" s="14" t="str">
        <f>IF(SUM(BJ7:BM7)-BN7&gt;0,SUM(BJ7:BM7)-BN7,"")</f>
        <v/>
      </c>
      <c r="BZ7" s="14">
        <f>IF(BU7="",IF(MAX(BW7,BY7)&gt;0,MAX(BW7,BY7),""),MAX(BW7,BY7)+BU7)</f>
        <v>49.625</v>
      </c>
      <c r="CA7" s="14" t="str">
        <f>IF(BQ7&gt;0,BQ7,"")</f>
        <v/>
      </c>
      <c r="CB7" s="14" t="str">
        <f>IF(SUM(BO7:BR7)-BS7&gt;0,SUM(BO7:BR7)-BS7,"")</f>
        <v/>
      </c>
      <c r="CC7" s="14">
        <f>IF(SUM(BZ7,CB7)&gt;0,SUM(BZ7,CB7),"")</f>
        <v>49.625</v>
      </c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72"/>
      <c r="CY7" s="11" t="str">
        <f>IF(SUM(CD7:CG7)-CH7&gt;0,SUM(CD7:CG7)-CH7,"")</f>
        <v/>
      </c>
      <c r="CZ7" s="11" t="str">
        <f>IF(CK7&gt;0,CK7,"")</f>
        <v/>
      </c>
      <c r="DA7" s="11" t="str">
        <f>IF(SUM(CI7:CL7)-CM7&gt;0,SUM(CI7:CL7)-CM7,"")</f>
        <v/>
      </c>
      <c r="DB7" s="11" t="str">
        <f>IF(CP7&gt;0,CP7,"")</f>
        <v/>
      </c>
      <c r="DC7" s="11" t="str">
        <f>IF(SUM(CN7:CQ7)-CR7&gt;0,SUM(CN7:CQ7)-CR7,"")</f>
        <v/>
      </c>
      <c r="DD7" s="11" t="str">
        <f>IF(CY7="",IF(MAX(DA7,DC7)&gt;0,MAX(DA7,DC7),""),MAX(DA7,DC7)+CY7)</f>
        <v/>
      </c>
      <c r="DE7" s="11" t="str">
        <f>IF(CU7&gt;0,CU7,"")</f>
        <v/>
      </c>
      <c r="DF7" s="11" t="str">
        <f>IF(SUM(CS7:CV7)-CW7&gt;0,SUM(CS7:CV7)-CW7,"")</f>
        <v/>
      </c>
      <c r="DG7" s="11" t="str">
        <f>IF(SUM(DD7,DF7)&gt;0,SUM(DD7,DF7),"")</f>
        <v/>
      </c>
      <c r="DH7" s="23" t="str">
        <f>IF(MAX(EB7,EX7,FT7,GP7,HL7,IH7,JD7,JZ7,KV7,LR7,MN7,NJ7)-IF(M7="",0,M7)&gt;0.001,MAX(EB7,EX7,FT7,GP7,HL7,IH7,JD7,JZ7,KV7,LR7,MN7,NJ7)-IF(M7="",0,M7),"")</f>
        <v/>
      </c>
      <c r="DI7" s="23" t="str">
        <f>IF(MAX(EC7,EY7,FU7,GQ7,HM7,II7,JE7,KA7,KW7,LS7,MO7,NK7)-IF(O7="",0,O7)&gt;0.001,MAX(EC7,EY7,FU7,GQ7,HM7,II7,JE7,KA7,KW7,LS7,MO7,NK7)-IF(O7="",0,O7),"")</f>
        <v/>
      </c>
      <c r="DJ7" s="23" t="str">
        <f>IF(MAX(ED7,EZ7,FV7,GR7,HN7,IJ7,JF7,KB7,KX7,LT7,MP7,NL7)-IF(K7="",0,K7)&gt;0.001,MAX(ED7,EZ7,FV7,GR7,HN7,IJ7,JF7,KB7,KX7,LT7,MP7,NL7)-IF(K7="",0,K7),"")</f>
        <v/>
      </c>
      <c r="DK7" s="23" t="str">
        <f>IF(MAX(EF7,FB7,FX7,GT7,HP7,IL7,JH7,KD7,KZ7,LV7,MR7,NN7)-IF(Q7="",0,Q7)&gt;0.001,MAX(EF7,FB7,FX7,GT7,HP7,IL7,JH7,KD7,KZ7,LV7,MR7,NN7)-IF(Q7="",0,Q7),"")</f>
        <v/>
      </c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1">
        <f>IF($CX7="P",CD7,(CD7+AZ7)/2)</f>
        <v>7.45</v>
      </c>
      <c r="NQ7" s="61">
        <f>IF($CX7="P",CE7,(CE7+BA7)/2)</f>
        <v>4.3499999999999996</v>
      </c>
      <c r="NR7" s="61">
        <f>IF($CX7="P",CF7,(CF7+BB7)/2)</f>
        <v>1.95</v>
      </c>
      <c r="NS7" s="61">
        <f>IF($CX7="P",CG7,(CG7+BC7)/2)</f>
        <v>8.1449999999999996</v>
      </c>
      <c r="NT7" s="61">
        <f>IF($CX7="P",CH7,(CH7+BD7)/2)</f>
        <v>0</v>
      </c>
      <c r="NU7" s="61">
        <f>IF($CX7="P",CI7,(CI7+BE7)/2)</f>
        <v>0.75</v>
      </c>
      <c r="NV7" s="61">
        <f>IF($CX7="P",CJ7,(CJ7+BF7)/2)</f>
        <v>0.45</v>
      </c>
      <c r="NW7" s="61">
        <f>IF($CX7="P",CK7,(CK7+BG7)/2)</f>
        <v>0.85</v>
      </c>
      <c r="NX7" s="61">
        <f>IF($CX7="P",CL7,(CL7+BH7)/2)</f>
        <v>0.86750000000000005</v>
      </c>
      <c r="NY7" s="61">
        <f>IF($CX7="P",CM7,(CM7+BI7)/2)</f>
        <v>0</v>
      </c>
      <c r="NZ7" s="61">
        <f>IF($CX7="P",CN7,(CN7+BJ7)/2)</f>
        <v>0</v>
      </c>
      <c r="OA7" s="61">
        <f>IF($CX7="P",CO7,(CO7+BK7)/2)</f>
        <v>0</v>
      </c>
      <c r="OB7" s="61">
        <f>IF($CX7="P",CP7,(CP7+BL7)/2)</f>
        <v>0</v>
      </c>
      <c r="OC7" s="61">
        <f>IF($CX7="P",CQ7,(CQ7+BM7)/2)</f>
        <v>0</v>
      </c>
      <c r="OD7" s="61">
        <f>IF($CX7="P",CR7,(CR7+BN7)/2)</f>
        <v>0</v>
      </c>
      <c r="OE7" s="61">
        <f>IF($CX7="P",CS7,(CS7+BO7)/2)</f>
        <v>0</v>
      </c>
      <c r="OF7" s="61">
        <f>IF($CX7="P",CT7,(CT7+BP7)/2)</f>
        <v>0</v>
      </c>
      <c r="OG7" s="61">
        <f>IF($CX7="P",CU7,(CU7+BQ7)/2)</f>
        <v>0</v>
      </c>
      <c r="OH7" s="61">
        <f>IF($CX7="P",CV7,(CV7+BR7)/2)</f>
        <v>0</v>
      </c>
      <c r="OI7" s="61">
        <f>IF($CX7="P",CW7,(CW7+BS7)/2)</f>
        <v>0</v>
      </c>
      <c r="OJ7" s="72" t="s">
        <v>52</v>
      </c>
      <c r="OK7" s="11">
        <f>IF(SUM(NP7:NS7)-NT7&gt;0,SUM(NP7:NS7)-NT7,"")</f>
        <v>21.895</v>
      </c>
      <c r="OL7" s="11">
        <f>IF(NW7&gt;0,NW7,"")</f>
        <v>0.85</v>
      </c>
      <c r="OM7" s="11">
        <f>IF(SUM(NU7:NX7)-NY7&gt;0,SUM(NU7:NX7)-NY7,"")</f>
        <v>2.9175</v>
      </c>
      <c r="ON7" s="11" t="str">
        <f>IF(OB7&gt;0,OB7,"")</f>
        <v/>
      </c>
      <c r="OO7" s="11" t="str">
        <f>IF(SUM(NZ7:OC7)-OD7&gt;0,SUM(NZ7:OC7)-OD7,"")</f>
        <v/>
      </c>
      <c r="OP7" s="11">
        <f>IF(OR(OK7&lt;&gt;"",OM7&lt;&gt;"",OO7&lt;&gt;""),OK7+MAX(OM7,OO7),"")</f>
        <v>24.8125</v>
      </c>
      <c r="OQ7" s="11" t="str">
        <f>IF(OG7&gt;0,OG7,"")</f>
        <v/>
      </c>
      <c r="OR7" s="11" t="str">
        <f t="shared" si="0"/>
        <v/>
      </c>
      <c r="OS7" s="11">
        <f t="shared" si="1"/>
        <v>24.8125</v>
      </c>
    </row>
    <row r="8" spans="1:409" x14ac:dyDescent="0.2">
      <c r="A8" s="5" cm="1">
        <f t="array" ref="A8">IF(AND(G8&lt;&gt;"",H8&lt;&gt;""),SUMPRODUCT((G$4:G$20&lt;&gt;"")*(H$4:H$20&lt;&gt;"")*(E$4:E$20&gt;E8))+1,IF(H8&lt;&gt;"",SUMPRODUCT((I$4:I$20="No DD")*(E$4:E$20&gt;E8))+1+SUMPRODUCT((G$4:G$20&lt;&gt;"")*(H$4:H$20&lt;&gt;"")),""))</f>
        <v>5</v>
      </c>
      <c r="B8" s="6" t="s">
        <v>136</v>
      </c>
      <c r="C8" s="7" t="s">
        <v>6</v>
      </c>
      <c r="D8" s="26">
        <v>2000</v>
      </c>
      <c r="E8" s="15">
        <f>SUM(O8:S8)</f>
        <v>106.51000000000002</v>
      </c>
      <c r="F8" s="3" t="str">
        <f>IF(G8&lt;&gt;"","P","")</f>
        <v>P</v>
      </c>
      <c r="G8" s="115" t="str">
        <f>IF(OR(AND(AR8&gt;=AY$25,AR8&lt;&gt;"",AP8=""),AND(AT8&gt;=AY$25,AT8&lt;&gt;"",AP8=""),AND(AW8&gt;=AY$25,AW8&lt;&gt;"",AP8=""),AND(BV8&gt;=CC$25,BV8&lt;&gt;"",BT8=""),AND(BX8&gt;=CC$25,BX8&lt;&gt;"",BT8=""),AND(CA8&gt;=CC$25,CA8&lt;&gt;"",BT8=""),AND(CZ8&gt;=DG$25,CZ8&lt;&gt;"",CX8=""),AND(DB8&gt;=DG$25,DB8&lt;&gt;"",CX8=""),AND(DE8&gt;=DG$25,DE8&lt;&gt;"",CX8=""),AND(EA8&gt;=EG$25,EA8&lt;&gt;""),AND(EE8&gt;=EG$25,EE8&lt;&gt;""),AND(EW8&gt;=FC$25,EW8&lt;&gt;""),AND(FA8&gt;=FC$25,FA8&lt;&gt;""),AND(FS8&gt;=FY$25,FS8&lt;&gt;""),AND(FW8&gt;=FY$25,FW8&lt;&gt;""),AND(GO8&gt;=GU$25,GO8&lt;&gt;""),AND(GS8&gt;=GU$25,GS8&lt;&gt;""),AND(HK8&gt;=HQ$25,HK8&lt;&gt;""),AND(HO8&gt;=HQ$25,HO8&lt;&gt;""),AND(IG8&gt;=IM$25,IG8&lt;&gt;""),AND(IK8&gt;=IM$25,IK8&lt;&gt;""),AND(JC8&gt;=JI$25,JC8&lt;&gt;""),AND(JG8&gt;=JI$25,JG8&lt;&gt;""),AND(JY8&gt;=KE$25,JY8&lt;&gt;""),AND(KC8&gt;=KE$25,KC8&lt;&gt;""),AND(KU8&gt;=LA$25,KU8&lt;&gt;""),AND(KY8&gt;=LA$25,KY8&lt;&gt;""),AND(LQ8&gt;=LW$25,LQ8&lt;&gt;""),AND(LU8&gt;=LW$25,LU8&lt;&gt;""),AND(MM8&gt;=MS$25,MM8&lt;&gt;""),AND(MQ8&gt;=MS$25,MQ8&lt;&gt;""),AND(NI8&gt;=NO$25,NI8&lt;&gt;""),AND(NM8&gt;=NO$25,NM8&lt;&gt;"")),"Merit",IF(OR(AND(AR8&gt;=AY$24,AR8&lt;&gt;"",AP8=""),AND(AT8&gt;=AY$24,AT8&lt;&gt;"",AP8=""),AND(AW8&gt;=AY$24,AW8&lt;&gt;"",AP8=""),AND(BV8&gt;=CC$24,BV8&lt;&gt;"",BT8=""),AND(BX8&gt;=CC$24,BX8&lt;&gt;"",BT8=""),AND(CA8&gt;=CC$24,CA8&lt;&gt;"",BT8=""),AND(CZ8&gt;=DG$24,CZ8&lt;&gt;"",CX8=""),AND(DB8&gt;=DG$24,DB8&lt;&gt;"",CX8=""),AND(DE8&gt;=DG$24,DE8&lt;&gt;"",CX8=""),AND(EA8&gt;=EG$24,EA8&lt;&gt;""),AND(EE8&gt;=EG$24,EE8&lt;&gt;""),AND(EW8&gt;=FC$24,EW8&lt;&gt;""),AND(FA8&gt;=FC$24,FA8&lt;&gt;""),AND(FS8&gt;=FY$24,FS8&lt;&gt;""),AND(FW8&gt;=FY$24,FW8&lt;&gt;""),AND(GO8&gt;=GU$24,GO8&lt;&gt;""),AND(GS8&gt;=GU$24,GS8&lt;&gt;""),AND(HK8&gt;=HQ$24,HK8&lt;&gt;""),AND(HO8&gt;=HQ$24,HO8&lt;&gt;""),AND(IG8&gt;=IM$24,IG8&lt;&gt;""),AND(IK8&gt;=IM$24,IK8&lt;&gt;""),AND(JC8&gt;=JI$24,JC8&lt;&gt;""),AND(JG8&gt;=JI$24,JG8&lt;&gt;""),AND(JY8&gt;=KE$24,JY8&lt;&gt;""),AND(KC8&gt;=KE$24,KC8&lt;&gt;""),AND(KU8&gt;=LA$24,KU8&lt;&gt;""),AND(KY8&gt;=LA$24,KY8&lt;&gt;""),AND(LQ8&gt;=LW$24,LQ8&lt;&gt;""),AND(LU8&gt;=LW$24,LU8&lt;&gt;""),AND(MM8&gt;=MS$24,MM8&lt;&gt;""),AND(MQ8&gt;=MS$24,MQ8&lt;&gt;""),AND(NI8&gt;=NO$24,NI8&lt;&gt;""),AND(NM8&gt;=NO$24,NM8&lt;&gt;"")),"Excellence",IF(OR(AND(AR8&gt;=AY$23,AR8&lt;&gt;"",AP8=""),AND(AT8&gt;=AY$23,AT8&lt;&gt;"",AP8=""),AND(AW8&gt;=AY$23,AW8&lt;&gt;"",AP8=""),AND(BV8&gt;=CC$23,BV8&lt;&gt;"",BT8=""),AND(BX8&gt;=CC$23,BX8&lt;&gt;"",BT8=""),AND(CA8&gt;=CC$23,CA8&lt;&gt;"",BT8=""),AND(CZ8&gt;=DG$23,CZ8&lt;&gt;"",CX8=""),AND(DB8&gt;=DG$23,DB8&lt;&gt;"",CX8=""),AND(DE8&gt;=DG$23,DE8&lt;&gt;"",CX8=""),AND(EA8&gt;=EG$23,EA8&lt;&gt;""),AND(EE8&gt;=EG$23,EE8&lt;&gt;""),AND(EW8&gt;=FC$23,EW8&lt;&gt;""),AND(FA8&gt;=FC$23,FA8&lt;&gt;""),AND(FS8&gt;=FY$23,FS8&lt;&gt;""),AND(FW8&gt;=FY$23,FW8&lt;&gt;""),AND(GO8&gt;=GU$23,GO8&lt;&gt;""),AND(GS8&gt;=GU$23,GS8&lt;&gt;""),AND(HK8&gt;=HQ$23,HK8&lt;&gt;""),AND(HO8&gt;=HQ$23,HO8&lt;&gt;""),AND(IG8&gt;=IM$23,IG8&lt;&gt;""),AND(IK8&gt;=IM$23,IK8&lt;&gt;""),AND(JC8&gt;=JI$23,JC8&lt;&gt;""),AND(JG8&gt;=JI$23,JG8&lt;&gt;""),AND(JY8&gt;=KE$23,JY8&lt;&gt;""),AND(KC8&gt;=KE$23,KC8&lt;&gt;""),AND(KU8&gt;=LA$23,KU8&lt;&gt;""),AND(KY8&gt;=LA$23,KY8&lt;&gt;""),AND(LQ8&gt;=LW$23,LQ8&lt;&gt;""),AND(LU8&gt;=LW$23,LU8&lt;&gt;""),AND(MM8&gt;=MS$23,MM8&lt;&gt;""),AND(MQ8&gt;=MS$23,MQ8&lt;&gt;""),AND(NI8&gt;=NO$23,NI8&lt;&gt;""),AND(NM8&gt;=NO$23,NM8&lt;&gt;"")),"Worlds Team",IF(OR(AND(AR8&gt;=AY$22,AR8&lt;&gt;"",AP8=""),AND(AT8&gt;=AY$22,AT8&lt;&gt;"",AP8=""),AND(AW8&gt;=AY$22,AW8&lt;&gt;"",AP8=""),AND(BV8&gt;=CC$22,BV8&lt;&gt;"",BT8=""),AND(BX8&gt;=CC$22,BX8&lt;&gt;"",BT8=""),AND(CA8&gt;=CC$22,CA8&lt;&gt;"",BT8=""),AND(CZ8&gt;=DG$22,CZ8&lt;&gt;"",CX8=""),AND(DB8&gt;=DG$22,DB8&lt;&gt;"",CX8=""),AND(DE8&gt;=DG$22,DE8&lt;&gt;"",CX8=""),AND(EA8&gt;=EG$22,EA8&lt;&gt;""),AND(EE8&gt;=EG$22,EE8&lt;&gt;""),AND(EW8&gt;=FC$22,EW8&lt;&gt;""),AND(FA8&gt;=FC$22,FA8&lt;&gt;""),AND(FS8&gt;=FY$22,FS8&lt;&gt;""),AND(FW8&gt;=FY$22,FW8&lt;&gt;""),AND(GO8&gt;=GU$22,GO8&lt;&gt;""),AND(GS8&gt;=GU$22,GS8&lt;&gt;""),AND(HK8&gt;=HQ$22,HK8&lt;&gt;""),AND(HO8&gt;=HQ$22,HO8&lt;&gt;""),AND(IG8&gt;=IM$22,IG8&lt;&gt;""),AND(IK8&gt;=IM$22,IK8&lt;&gt;""),AND(JC8&gt;=JI$22,JC8&lt;&gt;""),AND(JG8&gt;=JI$22,JG8&lt;&gt;""),AND(JY8&gt;=KE$22,JY8&lt;&gt;""),AND(KC8&gt;=KE$22,KC8&lt;&gt;""),AND(KU8&gt;=LA$22,KU8&lt;&gt;""),AND(KY8&gt;=LA$22,KY8&lt;&gt;""),AND(LQ8&gt;=LW$22,LQ8&lt;&gt;""),AND(LU8&gt;=LW$22,LU8&lt;&gt;""),AND(MM8&gt;=MS$22,MM8&lt;&gt;""),AND(MQ8&gt;=MS$22,MQ8&lt;&gt;""),AND(NI8&gt;=NO$22,NI8&lt;&gt;""),AND(NM8&gt;=NO$22,NM8&lt;&gt;"")),"National Team",""))))</f>
        <v>National Team</v>
      </c>
      <c r="H8" s="115" t="str">
        <f>IF(OR(AND(AS8&gt;=AY$26,AS8&lt;&gt;"",AP8=""),AND(AU8&gt;=AY$26,AU8&lt;&gt;"",AP8=""),AND(AX8&gt;=AY$26,AX8&lt;&gt;"",AP8=""),AND(BW8&gt;=CC$26,BW8&lt;&gt;"",BT8=""),AND(BY8&gt;=CC$26,BY8&lt;&gt;"",BT8=""),AND(CB8&gt;=CC$26,CB8&lt;&gt;"",BT8=""),AND(DA8&gt;=DG$26,DA8&lt;&gt;"",CX8=""),AND(DC8&gt;=DG$26,DC8&lt;&gt;"",CX8=""),AND(DF8&gt;=DG$26,DF8&lt;&gt;"",CX8=""),AND(EC8&gt;=EG$26,EC8&lt;&gt;""),AND(EF8&gt;=EG$26,EF8&lt;&gt;""),AND(EY8&gt;=FC$26,EY8&lt;&gt;""),AND(FB8&gt;=FC$26,FB8&lt;&gt;""),AND(FU8&gt;=FY$26,FU8&lt;&gt;""),AND(FX8&gt;=FY$26,FX8&lt;&gt;""),AND(GQ8&gt;=GU$26,GQ8&lt;&gt;""),AND(GT8&gt;=GU$26,GT8&lt;&gt;""),AND(HM8&gt;=HQ$26,HM8&lt;&gt;""),AND(HP8&gt;=HQ$26,HP8&lt;&gt;""),AND(II8&gt;=IM$26,II8&lt;&gt;""),AND(IL8&gt;=IM$26,IL8&lt;&gt;""),AND(JE8&gt;=JI$26,JE8&lt;&gt;""),AND(JH8&gt;=JI$26,JH8&lt;&gt;""),AND(KA8&gt;=KE$26,KA8&lt;&gt;""),AND(KD8&gt;=KE$26,KD8&lt;&gt;""),AND(KW8&gt;=LA$26,KW8&lt;&gt;""),AND(KZ8&gt;=LA$26,KZ8&lt;&gt;""),AND(LS8&gt;=LW$26,LS8&lt;&gt;""),AND(LV8&gt;=LW$26,LV8&lt;&gt;""),AND(MO8&gt;=MS$26,MO8&lt;&gt;""),AND(MR8&gt;=MS$26,MR8&lt;&gt;""),AND(NK8&gt;=NO$26,NK8&lt;&gt;""),AND(NN8&gt;=NO$26,NN8&lt;&gt;"")),"National Team","")</f>
        <v>National Team</v>
      </c>
      <c r="I8" s="11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National Team</v>
      </c>
      <c r="J8" s="3" t="str">
        <f>IF(AND(OR(AND(AV8&gt;=AY$27,AV8&lt;&gt;"",AP8=""),AND(BZ8&gt;=CC$27,BZ8&lt;&gt;"",BT8=""),AND(DD8&gt;=DG$27,DD8&lt;&gt;"",CX8=""),AND(ED8&gt;=EG$27,ED8&lt;&gt;""),AND(EZ8&gt;=FC$27,EZ8&lt;&gt;""),AND(FV8&gt;=FY$27,FV8&lt;&gt;""),AND(GR8&gt;=GU$27,GR8&lt;&gt;""),AND(HN8&gt;=HQ$27,HN8&lt;&gt;""),AND(IJ8&gt;=IM$27,IJ8&lt;&gt;""),AND(JF8&gt;=JI$27,JF8&lt;&gt;""),AND(KB8&gt;=KE$27,KB8&lt;&gt;""),AND(KX8&gt;=LA$27,KX8&lt;&gt;""),AND(LT8&gt;=LW$27,LT8&lt;&gt;""),AND(MP8&gt;=MS$27,MP8&lt;&gt;""),AND(NL8&gt;=NO$27,NL8&lt;&gt;"")),OR(G8="Worlds Team",G8="Excellence",G8="Merit")),"P","")</f>
        <v/>
      </c>
      <c r="K8" s="14">
        <f>IF(MAX(AV8,BZ8,DD8)&gt;0,MAX(AV8,BZ8,DD8),0)</f>
        <v>100.81</v>
      </c>
      <c r="L8" s="14" t="str">
        <f>IF(K8=0,"",IF(K8=DD8,$CD$1,IF(K8=BZ8,$AZ$1,IF(K8=AV8,$V$1,""))))</f>
        <v>2021 1st Virtual Technical Trial</v>
      </c>
      <c r="M8" s="14">
        <f>IF($K8=$AV8,MAX(BU8,CY8),IF($K8=$BZ8,MAX(AQ8,CY8),IF($K8=$DD8,MAX(AQ8,BU8),MAX(AQ8,BU8,CY8))))</f>
        <v>45.794999999999995</v>
      </c>
      <c r="N8" s="14" t="str">
        <f>IF(M8=0,"",IF(AND(M8=CY8,$L8&lt;&gt;$CD$1),$CD$1,IF(AND(M8=BU8,$L8&lt;&gt;$AZ$1),$AZ$1,IF(AND(M8=AQ8,$L8&lt;&gt;$V$1),$V$1,""))))</f>
        <v>2019 Elite Canada</v>
      </c>
      <c r="O8" s="14">
        <f>MAX(AS8,AU8,AX8,BW8,BY8,CB8,DA8,DC8,DF8)</f>
        <v>54.430000000000007</v>
      </c>
      <c r="P8" s="14" t="str">
        <f>IF(O8=0,"",IF(OR(O8=DC8,O8=DA8,O8=DF8),$CD$1,IF(OR(O8=BY8,O8=BW8,O8=CB8),$AZ$1,IF(OR(O8=AU8,O8=AS8,O8=AX8),$V$1,""))))</f>
        <v>2021 1st Virtual Technical Trial</v>
      </c>
      <c r="Q8" s="14">
        <f>IF(COUNT(AS8,AU8,AX8,BW8,BY8,CB8,DA8,DC8,DF8)&gt;1,LARGE((AS8,AU8,AX8,BW8,BY8,CB8,DA8,DC8,DF8),2),0)</f>
        <v>52.080000000000005</v>
      </c>
      <c r="R8" s="14" t="str">
        <f>IF(Q8=0,"",IF(OR(Q8=DC8,Q8=DA8,Q8=DF8),$CD$1,IF(OR(Q8=BY8,Q8=BW8,Q8=CB8),$AZ$1,IF(OR(Q8=AU8,Q8=AS8,Q8=AX8),$V$1,""))))</f>
        <v>2021 1st Virtual Technical Trial</v>
      </c>
      <c r="S8" s="14" t="str">
        <f>IF(MAX(DI8,DK8)&gt;0,MAX(DI8,DK8),"")</f>
        <v/>
      </c>
      <c r="T8" s="24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1">
        <v>16.899999999999999</v>
      </c>
      <c r="W8" s="61">
        <v>9.5</v>
      </c>
      <c r="X8" s="61">
        <v>3.4</v>
      </c>
      <c r="Y8" s="61">
        <v>15.994999999999999</v>
      </c>
      <c r="Z8" s="61">
        <v>0</v>
      </c>
      <c r="AA8" s="61">
        <v>14</v>
      </c>
      <c r="AB8" s="61">
        <v>9.4499999999999993</v>
      </c>
      <c r="AC8" s="61">
        <v>12</v>
      </c>
      <c r="AD8" s="61">
        <v>14.87</v>
      </c>
      <c r="AE8" s="61">
        <v>1.5</v>
      </c>
      <c r="AF8" s="61"/>
      <c r="AG8" s="61"/>
      <c r="AH8" s="61"/>
      <c r="AI8" s="61"/>
      <c r="AJ8" s="61"/>
      <c r="AK8" s="61">
        <v>14.8</v>
      </c>
      <c r="AL8" s="61">
        <v>8.9499999999999993</v>
      </c>
      <c r="AM8" s="61">
        <v>12</v>
      </c>
      <c r="AN8" s="61">
        <v>14.955</v>
      </c>
      <c r="AO8" s="61">
        <v>1.5</v>
      </c>
      <c r="AP8" s="72"/>
      <c r="AQ8" s="11">
        <f>IF(SUM(V8:Y8)-Z8&gt;0,SUM(V8:Y8)-Z8,"")</f>
        <v>45.794999999999995</v>
      </c>
      <c r="AR8" s="11">
        <f>IF(AC8&gt;0,AC8,"")</f>
        <v>12</v>
      </c>
      <c r="AS8" s="11">
        <f>IF(SUM(AA8:AD8)-AE8&gt;0,SUM(AA8:AD8)-AE8,"")</f>
        <v>48.82</v>
      </c>
      <c r="AT8" s="11" t="str">
        <f>IF(AH8&gt;0,AH8,"")</f>
        <v/>
      </c>
      <c r="AU8" s="11" t="str">
        <f>IF(SUM(AF8:AI8)-AJ8&gt;0,SUM(AF8:AI8)-AJ8,"")</f>
        <v/>
      </c>
      <c r="AV8" s="11">
        <f>IF(OR(AQ8&lt;&gt;"",AS8&lt;&gt;"",AU8&lt;&gt;""),AQ8+MAX(AS8,AU8),"")</f>
        <v>94.614999999999995</v>
      </c>
      <c r="AW8" s="11">
        <f>IF(AM8&gt;0,AM8,"")</f>
        <v>12</v>
      </c>
      <c r="AX8" s="11">
        <f>IF(SUM(AK8:AN8)-AO8&gt;0,SUM(AK8:AN8)-AO8,"")</f>
        <v>49.204999999999998</v>
      </c>
      <c r="AY8" s="11">
        <f>IF(SUM(AV8,AX8)&gt;0,SUM(AV8,AX8),"")</f>
        <v>143.82</v>
      </c>
      <c r="AZ8" s="67">
        <v>15.335000000000001</v>
      </c>
      <c r="BA8" s="67">
        <v>17.399999999999999</v>
      </c>
      <c r="BB8" s="67">
        <v>9.3000000000000007</v>
      </c>
      <c r="BC8" s="67">
        <v>3.2</v>
      </c>
      <c r="BD8" s="67">
        <v>0</v>
      </c>
      <c r="BE8" s="67">
        <v>10.7</v>
      </c>
      <c r="BF8" s="67">
        <v>6.2</v>
      </c>
      <c r="BG8" s="67">
        <v>8.3000000000000007</v>
      </c>
      <c r="BH8" s="67">
        <v>10.215</v>
      </c>
      <c r="BI8" s="67">
        <v>0</v>
      </c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73"/>
      <c r="BU8" s="14">
        <f>IF(SUM(AZ8:BC8)-BD8&gt;0,SUM(AZ8:BC8)-BD8,"")</f>
        <v>45.234999999999999</v>
      </c>
      <c r="BV8" s="14">
        <f>IF(BG8&gt;0,BG8,"")</f>
        <v>8.3000000000000007</v>
      </c>
      <c r="BW8" s="14">
        <f>IF(SUM(BE8:BH8)-BI8&gt;0,SUM(BE8:BH8)-BI8,"")</f>
        <v>35.414999999999999</v>
      </c>
      <c r="BX8" s="14" t="str">
        <f>IF(BL8&gt;0,BL8,"")</f>
        <v/>
      </c>
      <c r="BY8" s="14" t="str">
        <f>IF(SUM(BJ8:BM8)-BN8&gt;0,SUM(BJ8:BM8)-BN8,"")</f>
        <v/>
      </c>
      <c r="BZ8" s="14">
        <f>IF(BU8="",IF(MAX(BW8,BY8)&gt;0,MAX(BW8,BY8),""),MAX(BW8,BY8)+BU8)</f>
        <v>80.650000000000006</v>
      </c>
      <c r="CA8" s="14" t="str">
        <f>IF(BQ8&gt;0,BQ8,"")</f>
        <v/>
      </c>
      <c r="CB8" s="14" t="str">
        <f>IF(SUM(BO8:BR8)-BS8&gt;0,SUM(BO8:BR8)-BS8,"")</f>
        <v/>
      </c>
      <c r="CC8" s="14">
        <f>IF(SUM(BZ8,CB8)&gt;0,SUM(BZ8,CB8),"")</f>
        <v>80.650000000000006</v>
      </c>
      <c r="CD8" s="61">
        <v>17.899999999999999</v>
      </c>
      <c r="CE8" s="61">
        <v>9.3000000000000007</v>
      </c>
      <c r="CF8" s="61">
        <v>3.4</v>
      </c>
      <c r="CG8" s="61">
        <v>15.78</v>
      </c>
      <c r="CH8" s="61">
        <v>0</v>
      </c>
      <c r="CI8" s="61">
        <v>14.4</v>
      </c>
      <c r="CJ8" s="61">
        <v>9.3000000000000007</v>
      </c>
      <c r="CK8" s="61">
        <v>13.5</v>
      </c>
      <c r="CL8" s="61">
        <v>14.88</v>
      </c>
      <c r="CM8" s="61">
        <v>0</v>
      </c>
      <c r="CN8" s="61">
        <v>16.2</v>
      </c>
      <c r="CO8" s="61">
        <v>9.5</v>
      </c>
      <c r="CP8" s="61">
        <v>13.5</v>
      </c>
      <c r="CQ8" s="61">
        <v>15.23</v>
      </c>
      <c r="CR8" s="61">
        <v>0</v>
      </c>
      <c r="CS8" s="61">
        <v>14.3</v>
      </c>
      <c r="CT8" s="61">
        <v>8.8000000000000007</v>
      </c>
      <c r="CU8" s="61">
        <v>13.3</v>
      </c>
      <c r="CV8" s="61">
        <v>14.555</v>
      </c>
      <c r="CW8" s="61">
        <v>0.4</v>
      </c>
      <c r="CX8" s="72"/>
      <c r="CY8" s="11">
        <f>IF(SUM(CD8:CG8)-CH8&gt;0,SUM(CD8:CG8)-CH8,"")</f>
        <v>46.379999999999995</v>
      </c>
      <c r="CZ8" s="11">
        <f>IF(CK8&gt;0,CK8,"")</f>
        <v>13.5</v>
      </c>
      <c r="DA8" s="11">
        <f>IF(SUM(CI8:CL8)-CM8&gt;0,SUM(CI8:CL8)-CM8,"")</f>
        <v>52.080000000000005</v>
      </c>
      <c r="DB8" s="11">
        <f>IF(CP8&gt;0,CP8,"")</f>
        <v>13.5</v>
      </c>
      <c r="DC8" s="11">
        <f>IF(SUM(CN8:CQ8)-CR8&gt;0,SUM(CN8:CQ8)-CR8,"")</f>
        <v>54.430000000000007</v>
      </c>
      <c r="DD8" s="11">
        <f>IF(CY8="",IF(MAX(DA8,DC8)&gt;0,MAX(DA8,DC8),""),MAX(DA8,DC8)+CY8)</f>
        <v>100.81</v>
      </c>
      <c r="DE8" s="11">
        <f>IF(CU8&gt;0,CU8,"")</f>
        <v>13.3</v>
      </c>
      <c r="DF8" s="11">
        <f>IF(SUM(CS8:CV8)-CW8&gt;0,SUM(CS8:CV8)-CW8,"")</f>
        <v>50.555000000000007</v>
      </c>
      <c r="DG8" s="11">
        <f>IF(SUM(DD8,DF8)&gt;0,SUM(DD8,DF8),"")</f>
        <v>151.36500000000001</v>
      </c>
      <c r="DH8" s="23" t="str">
        <f>IF(MAX(EB8,EX8,FT8,GP8,HL8,IH8,JD8,JZ8,KV8,LR8,MN8,NJ8)-IF(M8="",0,M8)&gt;0.001,MAX(EB8,EX8,FT8,GP8,HL8,IH8,JD8,JZ8,KV8,LR8,MN8,NJ8)-IF(M8="",0,M8),"")</f>
        <v/>
      </c>
      <c r="DI8" s="23" t="str">
        <f>IF(MAX(EC8,EY8,FU8,GQ8,HM8,II8,JE8,KA8,KW8,LS8,MO8,NK8)-IF(O8="",0,O8)&gt;0.001,MAX(EC8,EY8,FU8,GQ8,HM8,II8,JE8,KA8,KW8,LS8,MO8,NK8)-IF(O8="",0,O8),"")</f>
        <v/>
      </c>
      <c r="DJ8" s="23" t="str">
        <f>IF(MAX(ED8,EZ8,FV8,GR8,HN8,IJ8,JF8,KB8,KX8,LT8,MP8,NL8)-IF(K8="",0,K8)&gt;0.001,MAX(ED8,EZ8,FV8,GR8,HN8,IJ8,JF8,KB8,KX8,LT8,MP8,NL8)-IF(K8="",0,K8),"")</f>
        <v/>
      </c>
      <c r="DK8" s="23" t="str">
        <f>IF(MAX(EF8,FB8,FX8,GT8,HP8,IL8,JH8,KD8,KZ8,LV8,MR8,NN8)-IF(Q8="",0,Q8)&gt;0.001,MAX(EF8,FB8,FX8,GT8,HP8,IL8,JH8,KD8,KZ8,LV8,MR8,NN8)-IF(Q8="",0,Q8),"")</f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>IF(EO8&gt;0,EO8,"")</f>
        <v/>
      </c>
      <c r="EX8" s="14" t="str">
        <f>IF(SUM(EH8:EK8)-EL8&gt;0,SUM(EH8:EK8)-EL8,"")</f>
        <v/>
      </c>
      <c r="EY8" s="14" t="str">
        <f>IF(SUM(EM8:EP8)-EQ8&gt;0,SUM(EM8:EP8)-EQ8,"")</f>
        <v/>
      </c>
      <c r="EZ8" s="14" t="str">
        <f>IF(SUM(EX8:EY8)&gt;0,SUM(EX8:EY8),"")</f>
        <v/>
      </c>
      <c r="FA8" s="14" t="str">
        <f>IF(ET8&gt;0,ET8,"")</f>
        <v/>
      </c>
      <c r="FB8" s="14" t="str">
        <f>IF(SUM(ER8:EU8)-EV8&gt;0,SUM(ER8:EU8)-EV8,"")</f>
        <v/>
      </c>
      <c r="FC8" s="14" t="str">
        <f>IF(SUM(EZ8,FB8)&gt;0,SUM(EZ8,FB8),"")</f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1">
        <f>IF($CX8="P",CD8,(CD8+AZ8)/2)</f>
        <v>16.6175</v>
      </c>
      <c r="NQ8" s="61">
        <f>IF($CX8="P",CE8,(CE8+BA8)/2)</f>
        <v>13.35</v>
      </c>
      <c r="NR8" s="61">
        <f>IF($CX8="P",CF8,(CF8+BB8)/2)</f>
        <v>6.3500000000000005</v>
      </c>
      <c r="NS8" s="61">
        <f>IF($CX8="P",CG8,(CG8+BC8)/2)</f>
        <v>9.49</v>
      </c>
      <c r="NT8" s="61">
        <f>IF($CX8="P",CH8,(CH8+BD8)/2)</f>
        <v>0</v>
      </c>
      <c r="NU8" s="61">
        <f>IF($CX8="P",CI8,(CI8+BE8)/2)</f>
        <v>12.55</v>
      </c>
      <c r="NV8" s="61">
        <f>IF($CX8="P",CJ8,(CJ8+BF8)/2)</f>
        <v>7.75</v>
      </c>
      <c r="NW8" s="61">
        <f>IF($CX8="P",CK8,(CK8+BG8)/2)</f>
        <v>10.9</v>
      </c>
      <c r="NX8" s="61">
        <f>IF($CX8="P",CL8,(CL8+BH8)/2)</f>
        <v>12.547499999999999</v>
      </c>
      <c r="NY8" s="61">
        <f>IF($CX8="P",CM8,(CM8+BI8)/2)</f>
        <v>0</v>
      </c>
      <c r="NZ8" s="61">
        <f>IF($CX8="P",CN8,(CN8+BJ8)/2)</f>
        <v>8.1</v>
      </c>
      <c r="OA8" s="61">
        <f>IF($CX8="P",CO8,(CO8+BK8)/2)</f>
        <v>4.75</v>
      </c>
      <c r="OB8" s="61">
        <f>IF($CX8="P",CP8,(CP8+BL8)/2)</f>
        <v>6.75</v>
      </c>
      <c r="OC8" s="61">
        <f>IF($CX8="P",CQ8,(CQ8+BM8)/2)</f>
        <v>7.6150000000000002</v>
      </c>
      <c r="OD8" s="61">
        <f>IF($CX8="P",CR8,(CR8+BN8)/2)</f>
        <v>0</v>
      </c>
      <c r="OE8" s="61">
        <f>IF($CX8="P",CS8,(CS8+BO8)/2)</f>
        <v>7.15</v>
      </c>
      <c r="OF8" s="61">
        <f>IF($CX8="P",CT8,(CT8+BP8)/2)</f>
        <v>4.4000000000000004</v>
      </c>
      <c r="OG8" s="61">
        <f>IF($CX8="P",CU8,(CU8+BQ8)/2)</f>
        <v>6.65</v>
      </c>
      <c r="OH8" s="61">
        <f>IF($CX8="P",CV8,(CV8+BR8)/2)</f>
        <v>7.2774999999999999</v>
      </c>
      <c r="OI8" s="61">
        <f>IF($CX8="P",CW8,(CW8+BS8)/2)</f>
        <v>0.2</v>
      </c>
      <c r="OJ8" s="72" t="s">
        <v>52</v>
      </c>
      <c r="OK8" s="11">
        <f>IF(SUM(NP8:NS8)-NT8&gt;0,SUM(NP8:NS8)-NT8,"")</f>
        <v>45.807500000000005</v>
      </c>
      <c r="OL8" s="11">
        <f>IF(NW8&gt;0,NW8,"")</f>
        <v>10.9</v>
      </c>
      <c r="OM8" s="11">
        <f>IF(SUM(NU8:NX8)-NY8&gt;0,SUM(NU8:NX8)-NY8,"")</f>
        <v>43.747500000000002</v>
      </c>
      <c r="ON8" s="11">
        <f>IF(OB8&gt;0,OB8,"")</f>
        <v>6.75</v>
      </c>
      <c r="OO8" s="11">
        <f>IF(SUM(NZ8:OC8)-OD8&gt;0,SUM(NZ8:OC8)-OD8,"")</f>
        <v>27.215000000000003</v>
      </c>
      <c r="OP8" s="11">
        <f>IF(OR(OK8&lt;&gt;"",OM8&lt;&gt;"",OO8&lt;&gt;""),OK8+MAX(OM8,OO8),"")</f>
        <v>89.555000000000007</v>
      </c>
      <c r="OQ8" s="11">
        <f>IF(OG8&gt;0,OG8,"")</f>
        <v>6.65</v>
      </c>
      <c r="OR8" s="11">
        <f t="shared" si="0"/>
        <v>25.277500000000003</v>
      </c>
      <c r="OS8" s="11">
        <f t="shared" si="1"/>
        <v>114.83250000000001</v>
      </c>
    </row>
    <row r="9" spans="1:409" x14ac:dyDescent="0.2">
      <c r="A9" s="5" cm="1">
        <f t="array" ref="A9">IF(AND(G9&lt;&gt;"",H9&lt;&gt;""),SUMPRODUCT((G$4:G$20&lt;&gt;"")*(H$4:H$20&lt;&gt;"")*(E$4:E$20&gt;E9))+1,IF(H9&lt;&gt;"",SUMPRODUCT((I$4:I$20="No DD")*(E$4:E$20&gt;E9))+1+SUMPRODUCT((G$4:G$20&lt;&gt;"")*(H$4:H$20&lt;&gt;"")),""))</f>
        <v>6</v>
      </c>
      <c r="B9" s="6" t="s">
        <v>86</v>
      </c>
      <c r="C9" s="7" t="s">
        <v>5</v>
      </c>
      <c r="D9" s="5">
        <v>2003</v>
      </c>
      <c r="E9" s="15">
        <f>SUM(O9:S9)</f>
        <v>105.79500000000002</v>
      </c>
      <c r="F9" s="3" t="str">
        <f>IF(G9&lt;&gt;"","P","")</f>
        <v>P</v>
      </c>
      <c r="G9" s="115" t="str">
        <f>IF(OR(AND(AR9&gt;=AY$25,AR9&lt;&gt;"",AP9=""),AND(AT9&gt;=AY$25,AT9&lt;&gt;"",AP9=""),AND(AW9&gt;=AY$25,AW9&lt;&gt;"",AP9=""),AND(BV9&gt;=CC$25,BV9&lt;&gt;"",BT9=""),AND(BX9&gt;=CC$25,BX9&lt;&gt;"",BT9=""),AND(CA9&gt;=CC$25,CA9&lt;&gt;"",BT9=""),AND(CZ9&gt;=DG$25,CZ9&lt;&gt;"",CX9=""),AND(DB9&gt;=DG$25,DB9&lt;&gt;"",CX9=""),AND(DE9&gt;=DG$25,DE9&lt;&gt;"",CX9=""),AND(EA9&gt;=EG$25,EA9&lt;&gt;""),AND(EE9&gt;=EG$25,EE9&lt;&gt;""),AND(EW9&gt;=FC$25,EW9&lt;&gt;""),AND(FA9&gt;=FC$25,FA9&lt;&gt;""),AND(FS9&gt;=FY$25,FS9&lt;&gt;""),AND(FW9&gt;=FY$25,FW9&lt;&gt;""),AND(GO9&gt;=GU$25,GO9&lt;&gt;""),AND(GS9&gt;=GU$25,GS9&lt;&gt;""),AND(HK9&gt;=HQ$25,HK9&lt;&gt;""),AND(HO9&gt;=HQ$25,HO9&lt;&gt;""),AND(IG9&gt;=IM$25,IG9&lt;&gt;""),AND(IK9&gt;=IM$25,IK9&lt;&gt;""),AND(JC9&gt;=JI$25,JC9&lt;&gt;""),AND(JG9&gt;=JI$25,JG9&lt;&gt;""),AND(JY9&gt;=KE$25,JY9&lt;&gt;""),AND(KC9&gt;=KE$25,KC9&lt;&gt;""),AND(KU9&gt;=LA$25,KU9&lt;&gt;""),AND(KY9&gt;=LA$25,KY9&lt;&gt;""),AND(LQ9&gt;=LW$25,LQ9&lt;&gt;""),AND(LU9&gt;=LW$25,LU9&lt;&gt;""),AND(MM9&gt;=MS$25,MM9&lt;&gt;""),AND(MQ9&gt;=MS$25,MQ9&lt;&gt;""),AND(NI9&gt;=NO$25,NI9&lt;&gt;""),AND(NM9&gt;=NO$25,NM9&lt;&gt;"")),"Merit",IF(OR(AND(AR9&gt;=AY$24,AR9&lt;&gt;"",AP9=""),AND(AT9&gt;=AY$24,AT9&lt;&gt;"",AP9=""),AND(AW9&gt;=AY$24,AW9&lt;&gt;"",AP9=""),AND(BV9&gt;=CC$24,BV9&lt;&gt;"",BT9=""),AND(BX9&gt;=CC$24,BX9&lt;&gt;"",BT9=""),AND(CA9&gt;=CC$24,CA9&lt;&gt;"",BT9=""),AND(CZ9&gt;=DG$24,CZ9&lt;&gt;"",CX9=""),AND(DB9&gt;=DG$24,DB9&lt;&gt;"",CX9=""),AND(DE9&gt;=DG$24,DE9&lt;&gt;"",CX9=""),AND(EA9&gt;=EG$24,EA9&lt;&gt;""),AND(EE9&gt;=EG$24,EE9&lt;&gt;""),AND(EW9&gt;=FC$24,EW9&lt;&gt;""),AND(FA9&gt;=FC$24,FA9&lt;&gt;""),AND(FS9&gt;=FY$24,FS9&lt;&gt;""),AND(FW9&gt;=FY$24,FW9&lt;&gt;""),AND(GO9&gt;=GU$24,GO9&lt;&gt;""),AND(GS9&gt;=GU$24,GS9&lt;&gt;""),AND(HK9&gt;=HQ$24,HK9&lt;&gt;""),AND(HO9&gt;=HQ$24,HO9&lt;&gt;""),AND(IG9&gt;=IM$24,IG9&lt;&gt;""),AND(IK9&gt;=IM$24,IK9&lt;&gt;""),AND(JC9&gt;=JI$24,JC9&lt;&gt;""),AND(JG9&gt;=JI$24,JG9&lt;&gt;""),AND(JY9&gt;=KE$24,JY9&lt;&gt;""),AND(KC9&gt;=KE$24,KC9&lt;&gt;""),AND(KU9&gt;=LA$24,KU9&lt;&gt;""),AND(KY9&gt;=LA$24,KY9&lt;&gt;""),AND(LQ9&gt;=LW$24,LQ9&lt;&gt;""),AND(LU9&gt;=LW$24,LU9&lt;&gt;""),AND(MM9&gt;=MS$24,MM9&lt;&gt;""),AND(MQ9&gt;=MS$24,MQ9&lt;&gt;""),AND(NI9&gt;=NO$24,NI9&lt;&gt;""),AND(NM9&gt;=NO$24,NM9&lt;&gt;"")),"Excellence",IF(OR(AND(AR9&gt;=AY$23,AR9&lt;&gt;"",AP9=""),AND(AT9&gt;=AY$23,AT9&lt;&gt;"",AP9=""),AND(AW9&gt;=AY$23,AW9&lt;&gt;"",AP9=""),AND(BV9&gt;=CC$23,BV9&lt;&gt;"",BT9=""),AND(BX9&gt;=CC$23,BX9&lt;&gt;"",BT9=""),AND(CA9&gt;=CC$23,CA9&lt;&gt;"",BT9=""),AND(CZ9&gt;=DG$23,CZ9&lt;&gt;"",CX9=""),AND(DB9&gt;=DG$23,DB9&lt;&gt;"",CX9=""),AND(DE9&gt;=DG$23,DE9&lt;&gt;"",CX9=""),AND(EA9&gt;=EG$23,EA9&lt;&gt;""),AND(EE9&gt;=EG$23,EE9&lt;&gt;""),AND(EW9&gt;=FC$23,EW9&lt;&gt;""),AND(FA9&gt;=FC$23,FA9&lt;&gt;""),AND(FS9&gt;=FY$23,FS9&lt;&gt;""),AND(FW9&gt;=FY$23,FW9&lt;&gt;""),AND(GO9&gt;=GU$23,GO9&lt;&gt;""),AND(GS9&gt;=GU$23,GS9&lt;&gt;""),AND(HK9&gt;=HQ$23,HK9&lt;&gt;""),AND(HO9&gt;=HQ$23,HO9&lt;&gt;""),AND(IG9&gt;=IM$23,IG9&lt;&gt;""),AND(IK9&gt;=IM$23,IK9&lt;&gt;""),AND(JC9&gt;=JI$23,JC9&lt;&gt;""),AND(JG9&gt;=JI$23,JG9&lt;&gt;""),AND(JY9&gt;=KE$23,JY9&lt;&gt;""),AND(KC9&gt;=KE$23,KC9&lt;&gt;""),AND(KU9&gt;=LA$23,KU9&lt;&gt;""),AND(KY9&gt;=LA$23,KY9&lt;&gt;""),AND(LQ9&gt;=LW$23,LQ9&lt;&gt;""),AND(LU9&gt;=LW$23,LU9&lt;&gt;""),AND(MM9&gt;=MS$23,MM9&lt;&gt;""),AND(MQ9&gt;=MS$23,MQ9&lt;&gt;""),AND(NI9&gt;=NO$23,NI9&lt;&gt;""),AND(NM9&gt;=NO$23,NM9&lt;&gt;"")),"Worlds Team",IF(OR(AND(AR9&gt;=AY$22,AR9&lt;&gt;"",AP9=""),AND(AT9&gt;=AY$22,AT9&lt;&gt;"",AP9=""),AND(AW9&gt;=AY$22,AW9&lt;&gt;"",AP9=""),AND(BV9&gt;=CC$22,BV9&lt;&gt;"",BT9=""),AND(BX9&gt;=CC$22,BX9&lt;&gt;"",BT9=""),AND(CA9&gt;=CC$22,CA9&lt;&gt;"",BT9=""),AND(CZ9&gt;=DG$22,CZ9&lt;&gt;"",CX9=""),AND(DB9&gt;=DG$22,DB9&lt;&gt;"",CX9=""),AND(DE9&gt;=DG$22,DE9&lt;&gt;"",CX9=""),AND(EA9&gt;=EG$22,EA9&lt;&gt;""),AND(EE9&gt;=EG$22,EE9&lt;&gt;""),AND(EW9&gt;=FC$22,EW9&lt;&gt;""),AND(FA9&gt;=FC$22,FA9&lt;&gt;""),AND(FS9&gt;=FY$22,FS9&lt;&gt;""),AND(FW9&gt;=FY$22,FW9&lt;&gt;""),AND(GO9&gt;=GU$22,GO9&lt;&gt;""),AND(GS9&gt;=GU$22,GS9&lt;&gt;""),AND(HK9&gt;=HQ$22,HK9&lt;&gt;""),AND(HO9&gt;=HQ$22,HO9&lt;&gt;""),AND(IG9&gt;=IM$22,IG9&lt;&gt;""),AND(IK9&gt;=IM$22,IK9&lt;&gt;""),AND(JC9&gt;=JI$22,JC9&lt;&gt;""),AND(JG9&gt;=JI$22,JG9&lt;&gt;""),AND(JY9&gt;=KE$22,JY9&lt;&gt;""),AND(KC9&gt;=KE$22,KC9&lt;&gt;""),AND(KU9&gt;=LA$22,KU9&lt;&gt;""),AND(KY9&gt;=LA$22,KY9&lt;&gt;""),AND(LQ9&gt;=LW$22,LQ9&lt;&gt;""),AND(LU9&gt;=LW$22,LU9&lt;&gt;""),AND(MM9&gt;=MS$22,MM9&lt;&gt;""),AND(MQ9&gt;=MS$22,MQ9&lt;&gt;""),AND(NI9&gt;=NO$22,NI9&lt;&gt;""),AND(NM9&gt;=NO$22,NM9&lt;&gt;"")),"National Team",""))))</f>
        <v>National Team</v>
      </c>
      <c r="H9" s="115" t="str">
        <f>IF(OR(AND(AS9&gt;=AY$26,AS9&lt;&gt;"",AP9=""),AND(AU9&gt;=AY$26,AU9&lt;&gt;"",AP9=""),AND(AX9&gt;=AY$26,AX9&lt;&gt;"",AP9=""),AND(BW9&gt;=CC$26,BW9&lt;&gt;"",BT9=""),AND(BY9&gt;=CC$26,BY9&lt;&gt;"",BT9=""),AND(CB9&gt;=CC$26,CB9&lt;&gt;"",BT9=""),AND(DA9&gt;=DG$26,DA9&lt;&gt;"",CX9=""),AND(DC9&gt;=DG$26,DC9&lt;&gt;"",CX9=""),AND(DF9&gt;=DG$26,DF9&lt;&gt;"",CX9=""),AND(EC9&gt;=EG$26,EC9&lt;&gt;""),AND(EF9&gt;=EG$26,EF9&lt;&gt;""),AND(EY9&gt;=FC$26,EY9&lt;&gt;""),AND(FB9&gt;=FC$26,FB9&lt;&gt;""),AND(FU9&gt;=FY$26,FU9&lt;&gt;""),AND(FX9&gt;=FY$26,FX9&lt;&gt;""),AND(GQ9&gt;=GU$26,GQ9&lt;&gt;""),AND(GT9&gt;=GU$26,GT9&lt;&gt;""),AND(HM9&gt;=HQ$26,HM9&lt;&gt;""),AND(HP9&gt;=HQ$26,HP9&lt;&gt;""),AND(II9&gt;=IM$26,II9&lt;&gt;""),AND(IL9&gt;=IM$26,IL9&lt;&gt;""),AND(JE9&gt;=JI$26,JE9&lt;&gt;""),AND(JH9&gt;=JI$26,JH9&lt;&gt;""),AND(KA9&gt;=KE$26,KA9&lt;&gt;""),AND(KD9&gt;=KE$26,KD9&lt;&gt;""),AND(KW9&gt;=LA$26,KW9&lt;&gt;""),AND(KZ9&gt;=LA$26,KZ9&lt;&gt;""),AND(LS9&gt;=LW$26,LS9&lt;&gt;""),AND(LV9&gt;=LW$26,LV9&lt;&gt;""),AND(MO9&gt;=MS$26,MO9&lt;&gt;""),AND(MR9&gt;=MS$26,MR9&lt;&gt;""),AND(NK9&gt;=NO$26,NK9&lt;&gt;""),AND(NN9&gt;=NO$26,NN9&lt;&gt;"")),"National Team","")</f>
        <v>National Team</v>
      </c>
      <c r="I9" s="11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National Team</v>
      </c>
      <c r="J9" s="3" t="str">
        <f>IF(AND(OR(AND(AV9&gt;=AY$27,AV9&lt;&gt;"",AP9=""),AND(BZ9&gt;=CC$27,BZ9&lt;&gt;"",BT9=""),AND(DD9&gt;=DG$27,DD9&lt;&gt;"",CX9=""),AND(ED9&gt;=EG$27,ED9&lt;&gt;""),AND(EZ9&gt;=FC$27,EZ9&lt;&gt;""),AND(FV9&gt;=FY$27,FV9&lt;&gt;""),AND(GR9&gt;=GU$27,GR9&lt;&gt;""),AND(HN9&gt;=HQ$27,HN9&lt;&gt;""),AND(IJ9&gt;=IM$27,IJ9&lt;&gt;""),AND(JF9&gt;=JI$27,JF9&lt;&gt;""),AND(KB9&gt;=KE$27,KB9&lt;&gt;""),AND(KX9&gt;=LA$27,KX9&lt;&gt;""),AND(LT9&gt;=LW$27,LT9&lt;&gt;""),AND(MP9&gt;=MS$27,MP9&lt;&gt;""),AND(NL9&gt;=NO$27,NL9&lt;&gt;"")),OR(G9="Worlds Team",G9="Excellence",G9="Merit")),"P","")</f>
        <v/>
      </c>
      <c r="K9" s="14">
        <f>IF(MAX(AV9,BZ9,DD9)&gt;0,MAX(AV9,BZ9,DD9),0)</f>
        <v>99.2</v>
      </c>
      <c r="L9" s="14" t="str">
        <f>IF(K9=0,"",IF(K9=DD9,$CD$1,IF(K9=BZ9,$AZ$1,IF(K9=AV9,$V$1,""))))</f>
        <v>2019 Elite Canada</v>
      </c>
      <c r="M9" s="14">
        <f>IF($K9=$AV9,MAX(BU9,CY9),IF($K9=$BZ9,MAX(AQ9,CY9),IF($K9=$DD9,MAX(AQ9,BU9),MAX(AQ9,BU9,CY9))))</f>
        <v>45.704999999999998</v>
      </c>
      <c r="N9" s="14" t="str">
        <f>IF(M9=0,"",IF(AND(M9=CY9,$L9&lt;&gt;$CD$1),$CD$1,IF(AND(M9=BU9,$L9&lt;&gt;$AZ$1),$AZ$1,IF(AND(M9=AQ9,$L9&lt;&gt;$V$1),$V$1,""))))</f>
        <v>2019 Nationals</v>
      </c>
      <c r="O9" s="14">
        <f>MAX(AS9,AU9,AX9,BW9,BY9,CB9,DA9,DC9,DF9)</f>
        <v>52.915000000000006</v>
      </c>
      <c r="P9" s="14" t="str">
        <f>IF(O9=0,"",IF(OR(O9=DC9,O9=DA9,O9=DF9),$CD$1,IF(OR(O9=BY9,O9=BW9,O9=CB9),$AZ$1,IF(OR(O9=AU9,O9=AS9,O9=AX9),$V$1,""))))</f>
        <v>2019 Elite Canada</v>
      </c>
      <c r="Q9" s="14">
        <f>IF(COUNT(AS9,AU9,AX9,BW9,BY9,CB9,DA9,DC9,DF9)&gt;1,LARGE((AS9,AU9,AX9,BW9,BY9,CB9,DA9,DC9,DF9),2),0)</f>
        <v>52.88</v>
      </c>
      <c r="R9" s="14" t="str">
        <f>IF(Q9=0,"",IF(OR(Q9=DC9,Q9=DA9,Q9=DF9),$CD$1,IF(OR(Q9=BY9,Q9=BW9,Q9=CB9),$AZ$1,IF(OR(Q9=AU9,Q9=AS9,Q9=AX9),$V$1,""))))</f>
        <v>2019 Elite Canada</v>
      </c>
      <c r="S9" s="14" t="str">
        <f>IF(MAX(DI9,DK9)&gt;0,MAX(DI9,DK9),"")</f>
        <v/>
      </c>
      <c r="T9" s="24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1">
        <v>16.600000000000001</v>
      </c>
      <c r="W9" s="61">
        <v>9.3000000000000007</v>
      </c>
      <c r="X9" s="61">
        <v>4.5999999999999996</v>
      </c>
      <c r="Y9" s="61">
        <v>15.82</v>
      </c>
      <c r="Z9" s="61">
        <v>0</v>
      </c>
      <c r="AA9" s="61">
        <v>14</v>
      </c>
      <c r="AB9" s="61">
        <v>9.1999999999999993</v>
      </c>
      <c r="AC9" s="61">
        <v>14.3</v>
      </c>
      <c r="AD9" s="61">
        <v>15.38</v>
      </c>
      <c r="AE9" s="61">
        <v>0</v>
      </c>
      <c r="AF9" s="61"/>
      <c r="AG9" s="61"/>
      <c r="AH9" s="61"/>
      <c r="AI9" s="61"/>
      <c r="AJ9" s="61"/>
      <c r="AK9" s="61">
        <v>15.1</v>
      </c>
      <c r="AL9" s="61">
        <v>9.1</v>
      </c>
      <c r="AM9" s="61">
        <v>13.5</v>
      </c>
      <c r="AN9" s="61">
        <v>15.215</v>
      </c>
      <c r="AO9" s="61">
        <v>0</v>
      </c>
      <c r="AP9" s="72"/>
      <c r="AQ9" s="11">
        <f>IF(SUM(V9:Y9)-Z9&gt;0,SUM(V9:Y9)-Z9,"")</f>
        <v>46.32</v>
      </c>
      <c r="AR9" s="11">
        <f>IF(AC9&gt;0,AC9,"")</f>
        <v>14.3</v>
      </c>
      <c r="AS9" s="11">
        <f>IF(SUM(AA9:AD9)-AE9&gt;0,SUM(AA9:AD9)-AE9,"")</f>
        <v>52.88</v>
      </c>
      <c r="AT9" s="11" t="str">
        <f>IF(AH9&gt;0,AH9,"")</f>
        <v/>
      </c>
      <c r="AU9" s="11" t="str">
        <f>IF(SUM(AF9:AI9)-AJ9&gt;0,SUM(AF9:AI9)-AJ9,"")</f>
        <v/>
      </c>
      <c r="AV9" s="11">
        <f>IF(OR(AQ9&lt;&gt;"",AS9&lt;&gt;"",AU9&lt;&gt;""),AQ9+MAX(AS9,AU9),"")</f>
        <v>99.2</v>
      </c>
      <c r="AW9" s="11">
        <f>IF(AM9&gt;0,AM9,"")</f>
        <v>13.5</v>
      </c>
      <c r="AX9" s="11">
        <f>IF(SUM(AK9:AN9)-AO9&gt;0,SUM(AK9:AN9)-AO9,"")</f>
        <v>52.915000000000006</v>
      </c>
      <c r="AY9" s="11">
        <f>IF(SUM(AV9,AX9)&gt;0,SUM(AV9,AX9),"")</f>
        <v>152.11500000000001</v>
      </c>
      <c r="AZ9" s="67">
        <v>16.2</v>
      </c>
      <c r="BA9" s="67">
        <v>8.8000000000000007</v>
      </c>
      <c r="BB9" s="67">
        <v>4.8</v>
      </c>
      <c r="BC9" s="67">
        <v>15.904999999999999</v>
      </c>
      <c r="BD9" s="67">
        <v>0</v>
      </c>
      <c r="BE9" s="67">
        <v>9.3000000000000007</v>
      </c>
      <c r="BF9" s="67">
        <v>5.5</v>
      </c>
      <c r="BG9" s="67">
        <v>8.9</v>
      </c>
      <c r="BH9" s="67">
        <v>9.2249999999999996</v>
      </c>
      <c r="BI9" s="67">
        <v>0</v>
      </c>
      <c r="BJ9" s="67"/>
      <c r="BK9" s="67"/>
      <c r="BL9" s="67"/>
      <c r="BM9" s="67"/>
      <c r="BN9" s="67"/>
      <c r="BO9" s="67"/>
      <c r="BP9" s="67"/>
      <c r="BQ9" s="67"/>
      <c r="BR9" s="67"/>
      <c r="BS9" s="67"/>
      <c r="BT9" s="73"/>
      <c r="BU9" s="14">
        <f>IF(SUM(AZ9:BC9)-BD9&gt;0,SUM(AZ9:BC9)-BD9,"")</f>
        <v>45.704999999999998</v>
      </c>
      <c r="BV9" s="14">
        <f>IF(BG9&gt;0,BG9,"")</f>
        <v>8.9</v>
      </c>
      <c r="BW9" s="14">
        <f>IF(SUM(BE9:BH9)-BI9&gt;0,SUM(BE9:BH9)-BI9,"")</f>
        <v>32.925000000000004</v>
      </c>
      <c r="BX9" s="14" t="str">
        <f>IF(BL9&gt;0,BL9,"")</f>
        <v/>
      </c>
      <c r="BY9" s="14" t="str">
        <f>IF(SUM(BJ9:BM9)-BN9&gt;0,SUM(BJ9:BM9)-BN9,"")</f>
        <v/>
      </c>
      <c r="BZ9" s="14">
        <f>IF(BU9="",IF(MAX(BW9,BY9)&gt;0,MAX(BW9,BY9),""),MAX(BW9,BY9)+BU9)</f>
        <v>78.63</v>
      </c>
      <c r="CA9" s="14" t="str">
        <f>IF(BQ9&gt;0,BQ9,"")</f>
        <v/>
      </c>
      <c r="CB9" s="14" t="str">
        <f>IF(SUM(BO9:BR9)-BS9&gt;0,SUM(BO9:BR9)-BS9,"")</f>
        <v/>
      </c>
      <c r="CC9" s="14">
        <f>IF(SUM(BZ9,CB9)&gt;0,SUM(BZ9,CB9),"")</f>
        <v>78.63</v>
      </c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72"/>
      <c r="CY9" s="11" t="str">
        <f>IF(SUM(CD9:CG9)-CH9&gt;0,SUM(CD9:CG9)-CH9,"")</f>
        <v/>
      </c>
      <c r="CZ9" s="11" t="str">
        <f>IF(CK9&gt;0,CK9,"")</f>
        <v/>
      </c>
      <c r="DA9" s="11" t="str">
        <f>IF(SUM(CI9:CL9)-CM9&gt;0,SUM(CI9:CL9)-CM9,"")</f>
        <v/>
      </c>
      <c r="DB9" s="11" t="str">
        <f>IF(CP9&gt;0,CP9,"")</f>
        <v/>
      </c>
      <c r="DC9" s="11" t="str">
        <f>IF(SUM(CN9:CQ9)-CR9&gt;0,SUM(CN9:CQ9)-CR9,"")</f>
        <v/>
      </c>
      <c r="DD9" s="11" t="str">
        <f>IF(CY9="",IF(MAX(DA9,DC9)&gt;0,MAX(DA9,DC9),""),MAX(DA9,DC9)+CY9)</f>
        <v/>
      </c>
      <c r="DE9" s="11" t="str">
        <f>IF(CU9&gt;0,CU9,"")</f>
        <v/>
      </c>
      <c r="DF9" s="11" t="str">
        <f>IF(SUM(CS9:CV9)-CW9&gt;0,SUM(CS9:CV9)-CW9,"")</f>
        <v/>
      </c>
      <c r="DG9" s="11" t="str">
        <f>IF(SUM(DD9,DF9)&gt;0,SUM(DD9,DF9),"")</f>
        <v/>
      </c>
      <c r="DH9" s="23" t="str">
        <f>IF(MAX(EB9,EX9,FT9,GP9,HL9,IH9,JD9,JZ9,KV9,LR9,MN9,NJ9)-IF(M9="",0,M9)&gt;0.001,MAX(EB9,EX9,FT9,GP9,HL9,IH9,JD9,JZ9,KV9,LR9,MN9,NJ9)-IF(M9="",0,M9),"")</f>
        <v/>
      </c>
      <c r="DI9" s="23" t="str">
        <f>IF(MAX(EC9,EY9,FU9,GQ9,HM9,II9,JE9,KA9,KW9,LS9,MO9,NK9)-IF(O9="",0,O9)&gt;0.001,MAX(EC9,EY9,FU9,GQ9,HM9,II9,JE9,KA9,KW9,LS9,MO9,NK9)-IF(O9="",0,O9),"")</f>
        <v/>
      </c>
      <c r="DJ9" s="23" t="str">
        <f>IF(MAX(ED9,EZ9,FV9,GR9,HN9,IJ9,JF9,KB9,KX9,LT9,MP9,NL9)-IF(K9="",0,K9)&gt;0.001,MAX(ED9,EZ9,FV9,GR9,HN9,IJ9,JF9,KB9,KX9,LT9,MP9,NL9)-IF(K9="",0,K9),"")</f>
        <v/>
      </c>
      <c r="DK9" s="23" t="str">
        <f>IF(MAX(EF9,FB9,FX9,GT9,HP9,IL9,JH9,KD9,KZ9,LV9,MR9,NN9)-IF(Q9="",0,Q9)&gt;0.001,MAX(EF9,FB9,FX9,GT9,HP9,IL9,JH9,KD9,KZ9,LV9,MR9,NN9)-IF(Q9="",0,Q9),"")</f>
        <v/>
      </c>
      <c r="DL9" s="35">
        <v>15.8</v>
      </c>
      <c r="DM9" s="35">
        <v>9</v>
      </c>
      <c r="DN9" s="35">
        <v>0</v>
      </c>
      <c r="DO9" s="35">
        <v>15.685</v>
      </c>
      <c r="DP9" s="35">
        <v>0</v>
      </c>
      <c r="DQ9" s="35">
        <v>3</v>
      </c>
      <c r="DR9" s="35">
        <v>1.7</v>
      </c>
      <c r="DS9" s="35">
        <v>3.1</v>
      </c>
      <c r="DT9" s="35">
        <v>3.14</v>
      </c>
      <c r="DU9" s="35">
        <v>0</v>
      </c>
      <c r="DV9" s="35"/>
      <c r="DW9" s="35"/>
      <c r="DX9" s="35"/>
      <c r="DY9" s="35"/>
      <c r="DZ9" s="35"/>
      <c r="EA9" s="11">
        <f>IF(DS9&gt;0,DS9,"")</f>
        <v>3.1</v>
      </c>
      <c r="EB9" s="11">
        <f>IF(SUM(DL9:DO9)-DP9&gt;0,SUM(DL9:DO9)-DP9,"")</f>
        <v>40.484999999999999</v>
      </c>
      <c r="EC9" s="11">
        <f>IF(SUM(DQ9:DT9)-DU9&gt;0,SUM(DQ9:DT9)-DU9,"")</f>
        <v>10.940000000000001</v>
      </c>
      <c r="ED9" s="11">
        <f>IF(SUM(EB9:EC9)&gt;0,SUM(EB9:EC9),"")</f>
        <v>51.424999999999997</v>
      </c>
      <c r="EE9" s="11" t="str">
        <f>IF(DX9&gt;0,DX9,"")</f>
        <v/>
      </c>
      <c r="EF9" s="11" t="str">
        <f>IF(SUM(DV9:DY9)-DZ9&gt;0,SUM(DV9:DY9)-DZ9,"")</f>
        <v/>
      </c>
      <c r="EG9" s="11">
        <f>IF(SUM(ED9,EF9)&gt;0,SUM(ED9,EF9),"")</f>
        <v>51.424999999999997</v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1">
        <f>IF($CX9="P",CD9,(CD9+AZ9)/2)</f>
        <v>8.1</v>
      </c>
      <c r="NQ9" s="61">
        <f>IF($CX9="P",CE9,(CE9+BA9)/2)</f>
        <v>4.4000000000000004</v>
      </c>
      <c r="NR9" s="61">
        <f>IF($CX9="P",CF9,(CF9+BB9)/2)</f>
        <v>2.4</v>
      </c>
      <c r="NS9" s="61">
        <f>IF($CX9="P",CG9,(CG9+BC9)/2)</f>
        <v>7.9524999999999997</v>
      </c>
      <c r="NT9" s="61">
        <f>IF($CX9="P",CH9,(CH9+BD9)/2)</f>
        <v>0</v>
      </c>
      <c r="NU9" s="61">
        <f>IF($CX9="P",CI9,(CI9+BE9)/2)</f>
        <v>4.6500000000000004</v>
      </c>
      <c r="NV9" s="61">
        <f>IF($CX9="P",CJ9,(CJ9+BF9)/2)</f>
        <v>2.75</v>
      </c>
      <c r="NW9" s="61">
        <f>IF($CX9="P",CK9,(CK9+BG9)/2)</f>
        <v>4.45</v>
      </c>
      <c r="NX9" s="61">
        <f>IF($CX9="P",CL9,(CL9+BH9)/2)</f>
        <v>4.6124999999999998</v>
      </c>
      <c r="NY9" s="61">
        <f>IF($CX9="P",CM9,(CM9+BI9)/2)</f>
        <v>0</v>
      </c>
      <c r="NZ9" s="61">
        <f>IF($CX9="P",CN9,(CN9+BJ9)/2)</f>
        <v>0</v>
      </c>
      <c r="OA9" s="61">
        <f>IF($CX9="P",CO9,(CO9+BK9)/2)</f>
        <v>0</v>
      </c>
      <c r="OB9" s="61">
        <f>IF($CX9="P",CP9,(CP9+BL9)/2)</f>
        <v>0</v>
      </c>
      <c r="OC9" s="61">
        <f>IF($CX9="P",CQ9,(CQ9+BM9)/2)</f>
        <v>0</v>
      </c>
      <c r="OD9" s="61">
        <f>IF($CX9="P",CR9,(CR9+BN9)/2)</f>
        <v>0</v>
      </c>
      <c r="OE9" s="61">
        <f>IF($CX9="P",CS9,(CS9+BO9)/2)</f>
        <v>0</v>
      </c>
      <c r="OF9" s="61">
        <f>IF($CX9="P",CT9,(CT9+BP9)/2)</f>
        <v>0</v>
      </c>
      <c r="OG9" s="61">
        <f>IF($CX9="P",CU9,(CU9+BQ9)/2)</f>
        <v>0</v>
      </c>
      <c r="OH9" s="61">
        <f>IF($CX9="P",CV9,(CV9+BR9)/2)</f>
        <v>0</v>
      </c>
      <c r="OI9" s="61">
        <f>IF($CX9="P",CW9,(CW9+BS9)/2)</f>
        <v>0</v>
      </c>
      <c r="OJ9" s="72" t="s">
        <v>52</v>
      </c>
      <c r="OK9" s="11">
        <f>IF(SUM(NP9:NS9)-NT9&gt;0,SUM(NP9:NS9)-NT9,"")</f>
        <v>22.852499999999999</v>
      </c>
      <c r="OL9" s="11">
        <f>IF(NW9&gt;0,NW9,"")</f>
        <v>4.45</v>
      </c>
      <c r="OM9" s="11">
        <f>IF(SUM(NU9:NX9)-NY9&gt;0,SUM(NU9:NX9)-NY9,"")</f>
        <v>16.462500000000002</v>
      </c>
      <c r="ON9" s="11" t="str">
        <f>IF(OB9&gt;0,OB9,"")</f>
        <v/>
      </c>
      <c r="OO9" s="11" t="str">
        <f>IF(SUM(NZ9:OC9)-OD9&gt;0,SUM(NZ9:OC9)-OD9,"")</f>
        <v/>
      </c>
      <c r="OP9" s="11">
        <f>IF(OR(OK9&lt;&gt;"",OM9&lt;&gt;"",OO9&lt;&gt;""),OK9+MAX(OM9,OO9),"")</f>
        <v>39.314999999999998</v>
      </c>
      <c r="OQ9" s="11" t="str">
        <f>IF(OG9&gt;0,OG9,"")</f>
        <v/>
      </c>
      <c r="OR9" s="11" t="str">
        <f t="shared" si="0"/>
        <v/>
      </c>
      <c r="OS9" s="11">
        <f t="shared" si="1"/>
        <v>39.314999999999998</v>
      </c>
    </row>
    <row r="10" spans="1:409" x14ac:dyDescent="0.2">
      <c r="A10" s="5" cm="1">
        <f t="array" ref="A10">IF(AND(G10&lt;&gt;"",H10&lt;&gt;""),SUMPRODUCT((G$4:G$20&lt;&gt;"")*(H$4:H$20&lt;&gt;"")*(E$4:E$20&gt;E10))+1,IF(H10&lt;&gt;"",SUMPRODUCT((I$4:I$20="No DD")*(E$4:E$20&gt;E10))+1+SUMPRODUCT((G$4:G$20&lt;&gt;"")*(H$4:H$20&lt;&gt;"")),""))</f>
        <v>7</v>
      </c>
      <c r="B10" s="6" t="s">
        <v>138</v>
      </c>
      <c r="C10" s="7" t="s">
        <v>137</v>
      </c>
      <c r="D10" s="26">
        <v>2001</v>
      </c>
      <c r="E10" s="15">
        <f>SUM(O10:S10)</f>
        <v>105.62</v>
      </c>
      <c r="F10" s="3" t="str">
        <f>IF(G10&lt;&gt;"","P","")</f>
        <v>P</v>
      </c>
      <c r="G10" s="115" t="str">
        <f>IF(OR(AND(AR10&gt;=AY$25,AR10&lt;&gt;"",AP10=""),AND(AT10&gt;=AY$25,AT10&lt;&gt;"",AP10=""),AND(AW10&gt;=AY$25,AW10&lt;&gt;"",AP10=""),AND(BV10&gt;=CC$25,BV10&lt;&gt;"",BT10=""),AND(BX10&gt;=CC$25,BX10&lt;&gt;"",BT10=""),AND(CA10&gt;=CC$25,CA10&lt;&gt;"",BT10=""),AND(CZ10&gt;=DG$25,CZ10&lt;&gt;"",CX10=""),AND(DB10&gt;=DG$25,DB10&lt;&gt;"",CX10=""),AND(DE10&gt;=DG$25,DE10&lt;&gt;"",CX10=""),AND(EA10&gt;=EG$25,EA10&lt;&gt;""),AND(EE10&gt;=EG$25,EE10&lt;&gt;""),AND(EW10&gt;=FC$25,EW10&lt;&gt;""),AND(FA10&gt;=FC$25,FA10&lt;&gt;""),AND(FS10&gt;=FY$25,FS10&lt;&gt;""),AND(FW10&gt;=FY$25,FW10&lt;&gt;""),AND(GO10&gt;=GU$25,GO10&lt;&gt;""),AND(GS10&gt;=GU$25,GS10&lt;&gt;""),AND(HK10&gt;=HQ$25,HK10&lt;&gt;""),AND(HO10&gt;=HQ$25,HO10&lt;&gt;""),AND(IG10&gt;=IM$25,IG10&lt;&gt;""),AND(IK10&gt;=IM$25,IK10&lt;&gt;""),AND(JC10&gt;=JI$25,JC10&lt;&gt;""),AND(JG10&gt;=JI$25,JG10&lt;&gt;""),AND(JY10&gt;=KE$25,JY10&lt;&gt;""),AND(KC10&gt;=KE$25,KC10&lt;&gt;""),AND(KU10&gt;=LA$25,KU10&lt;&gt;""),AND(KY10&gt;=LA$25,KY10&lt;&gt;""),AND(LQ10&gt;=LW$25,LQ10&lt;&gt;""),AND(LU10&gt;=LW$25,LU10&lt;&gt;""),AND(MM10&gt;=MS$25,MM10&lt;&gt;""),AND(MQ10&gt;=MS$25,MQ10&lt;&gt;""),AND(NI10&gt;=NO$25,NI10&lt;&gt;""),AND(NM10&gt;=NO$25,NM10&lt;&gt;"")),"Merit",IF(OR(AND(AR10&gt;=AY$24,AR10&lt;&gt;"",AP10=""),AND(AT10&gt;=AY$24,AT10&lt;&gt;"",AP10=""),AND(AW10&gt;=AY$24,AW10&lt;&gt;"",AP10=""),AND(BV10&gt;=CC$24,BV10&lt;&gt;"",BT10=""),AND(BX10&gt;=CC$24,BX10&lt;&gt;"",BT10=""),AND(CA10&gt;=CC$24,CA10&lt;&gt;"",BT10=""),AND(CZ10&gt;=DG$24,CZ10&lt;&gt;"",CX10=""),AND(DB10&gt;=DG$24,DB10&lt;&gt;"",CX10=""),AND(DE10&gt;=DG$24,DE10&lt;&gt;"",CX10=""),AND(EA10&gt;=EG$24,EA10&lt;&gt;""),AND(EE10&gt;=EG$24,EE10&lt;&gt;""),AND(EW10&gt;=FC$24,EW10&lt;&gt;""),AND(FA10&gt;=FC$24,FA10&lt;&gt;""),AND(FS10&gt;=FY$24,FS10&lt;&gt;""),AND(FW10&gt;=FY$24,FW10&lt;&gt;""),AND(GO10&gt;=GU$24,GO10&lt;&gt;""),AND(GS10&gt;=GU$24,GS10&lt;&gt;""),AND(HK10&gt;=HQ$24,HK10&lt;&gt;""),AND(HO10&gt;=HQ$24,HO10&lt;&gt;""),AND(IG10&gt;=IM$24,IG10&lt;&gt;""),AND(IK10&gt;=IM$24,IK10&lt;&gt;""),AND(JC10&gt;=JI$24,JC10&lt;&gt;""),AND(JG10&gt;=JI$24,JG10&lt;&gt;""),AND(JY10&gt;=KE$24,JY10&lt;&gt;""),AND(KC10&gt;=KE$24,KC10&lt;&gt;""),AND(KU10&gt;=LA$24,KU10&lt;&gt;""),AND(KY10&gt;=LA$24,KY10&lt;&gt;""),AND(LQ10&gt;=LW$24,LQ10&lt;&gt;""),AND(LU10&gt;=LW$24,LU10&lt;&gt;""),AND(MM10&gt;=MS$24,MM10&lt;&gt;""),AND(MQ10&gt;=MS$24,MQ10&lt;&gt;""),AND(NI10&gt;=NO$24,NI10&lt;&gt;""),AND(NM10&gt;=NO$24,NM10&lt;&gt;"")),"Excellence",IF(OR(AND(AR10&gt;=AY$23,AR10&lt;&gt;"",AP10=""),AND(AT10&gt;=AY$23,AT10&lt;&gt;"",AP10=""),AND(AW10&gt;=AY$23,AW10&lt;&gt;"",AP10=""),AND(BV10&gt;=CC$23,BV10&lt;&gt;"",BT10=""),AND(BX10&gt;=CC$23,BX10&lt;&gt;"",BT10=""),AND(CA10&gt;=CC$23,CA10&lt;&gt;"",BT10=""),AND(CZ10&gt;=DG$23,CZ10&lt;&gt;"",CX10=""),AND(DB10&gt;=DG$23,DB10&lt;&gt;"",CX10=""),AND(DE10&gt;=DG$23,DE10&lt;&gt;"",CX10=""),AND(EA10&gt;=EG$23,EA10&lt;&gt;""),AND(EE10&gt;=EG$23,EE10&lt;&gt;""),AND(EW10&gt;=FC$23,EW10&lt;&gt;""),AND(FA10&gt;=FC$23,FA10&lt;&gt;""),AND(FS10&gt;=FY$23,FS10&lt;&gt;""),AND(FW10&gt;=FY$23,FW10&lt;&gt;""),AND(GO10&gt;=GU$23,GO10&lt;&gt;""),AND(GS10&gt;=GU$23,GS10&lt;&gt;""),AND(HK10&gt;=HQ$23,HK10&lt;&gt;""),AND(HO10&gt;=HQ$23,HO10&lt;&gt;""),AND(IG10&gt;=IM$23,IG10&lt;&gt;""),AND(IK10&gt;=IM$23,IK10&lt;&gt;""),AND(JC10&gt;=JI$23,JC10&lt;&gt;""),AND(JG10&gt;=JI$23,JG10&lt;&gt;""),AND(JY10&gt;=KE$23,JY10&lt;&gt;""),AND(KC10&gt;=KE$23,KC10&lt;&gt;""),AND(KU10&gt;=LA$23,KU10&lt;&gt;""),AND(KY10&gt;=LA$23,KY10&lt;&gt;""),AND(LQ10&gt;=LW$23,LQ10&lt;&gt;""),AND(LU10&gt;=LW$23,LU10&lt;&gt;""),AND(MM10&gt;=MS$23,MM10&lt;&gt;""),AND(MQ10&gt;=MS$23,MQ10&lt;&gt;""),AND(NI10&gt;=NO$23,NI10&lt;&gt;""),AND(NM10&gt;=NO$23,NM10&lt;&gt;"")),"Worlds Team",IF(OR(AND(AR10&gt;=AY$22,AR10&lt;&gt;"",AP10=""),AND(AT10&gt;=AY$22,AT10&lt;&gt;"",AP10=""),AND(AW10&gt;=AY$22,AW10&lt;&gt;"",AP10=""),AND(BV10&gt;=CC$22,BV10&lt;&gt;"",BT10=""),AND(BX10&gt;=CC$22,BX10&lt;&gt;"",BT10=""),AND(CA10&gt;=CC$22,CA10&lt;&gt;"",BT10=""),AND(CZ10&gt;=DG$22,CZ10&lt;&gt;"",CX10=""),AND(DB10&gt;=DG$22,DB10&lt;&gt;"",CX10=""),AND(DE10&gt;=DG$22,DE10&lt;&gt;"",CX10=""),AND(EA10&gt;=EG$22,EA10&lt;&gt;""),AND(EE10&gt;=EG$22,EE10&lt;&gt;""),AND(EW10&gt;=FC$22,EW10&lt;&gt;""),AND(FA10&gt;=FC$22,FA10&lt;&gt;""),AND(FS10&gt;=FY$22,FS10&lt;&gt;""),AND(FW10&gt;=FY$22,FW10&lt;&gt;""),AND(GO10&gt;=GU$22,GO10&lt;&gt;""),AND(GS10&gt;=GU$22,GS10&lt;&gt;""),AND(HK10&gt;=HQ$22,HK10&lt;&gt;""),AND(HO10&gt;=HQ$22,HO10&lt;&gt;""),AND(IG10&gt;=IM$22,IG10&lt;&gt;""),AND(IK10&gt;=IM$22,IK10&lt;&gt;""),AND(JC10&gt;=JI$22,JC10&lt;&gt;""),AND(JG10&gt;=JI$22,JG10&lt;&gt;""),AND(JY10&gt;=KE$22,JY10&lt;&gt;""),AND(KC10&gt;=KE$22,KC10&lt;&gt;""),AND(KU10&gt;=LA$22,KU10&lt;&gt;""),AND(KY10&gt;=LA$22,KY10&lt;&gt;""),AND(LQ10&gt;=LW$22,LQ10&lt;&gt;""),AND(LU10&gt;=LW$22,LU10&lt;&gt;""),AND(MM10&gt;=MS$22,MM10&lt;&gt;""),AND(MQ10&gt;=MS$22,MQ10&lt;&gt;""),AND(NI10&gt;=NO$22,NI10&lt;&gt;""),AND(NM10&gt;=NO$22,NM10&lt;&gt;"")),"National Team",""))))</f>
        <v>National Team</v>
      </c>
      <c r="H10" s="115" t="str">
        <f>IF(OR(AND(AS10&gt;=AY$26,AS10&lt;&gt;"",AP10=""),AND(AU10&gt;=AY$26,AU10&lt;&gt;"",AP10=""),AND(AX10&gt;=AY$26,AX10&lt;&gt;"",AP10=""),AND(BW10&gt;=CC$26,BW10&lt;&gt;"",BT10=""),AND(BY10&gt;=CC$26,BY10&lt;&gt;"",BT10=""),AND(CB10&gt;=CC$26,CB10&lt;&gt;"",BT10=""),AND(DA10&gt;=DG$26,DA10&lt;&gt;"",CX10=""),AND(DC10&gt;=DG$26,DC10&lt;&gt;"",CX10=""),AND(DF10&gt;=DG$26,DF10&lt;&gt;"",CX10=""),AND(EC10&gt;=EG$26,EC10&lt;&gt;""),AND(EF10&gt;=EG$26,EF10&lt;&gt;""),AND(EY10&gt;=FC$26,EY10&lt;&gt;""),AND(FB10&gt;=FC$26,FB10&lt;&gt;""),AND(FU10&gt;=FY$26,FU10&lt;&gt;""),AND(FX10&gt;=FY$26,FX10&lt;&gt;""),AND(GQ10&gt;=GU$26,GQ10&lt;&gt;""),AND(GT10&gt;=GU$26,GT10&lt;&gt;""),AND(HM10&gt;=HQ$26,HM10&lt;&gt;""),AND(HP10&gt;=HQ$26,HP10&lt;&gt;""),AND(II10&gt;=IM$26,II10&lt;&gt;""),AND(IL10&gt;=IM$26,IL10&lt;&gt;""),AND(JE10&gt;=JI$26,JE10&lt;&gt;""),AND(JH10&gt;=JI$26,JH10&lt;&gt;""),AND(KA10&gt;=KE$26,KA10&lt;&gt;""),AND(KD10&gt;=KE$26,KD10&lt;&gt;""),AND(KW10&gt;=LA$26,KW10&lt;&gt;""),AND(KZ10&gt;=LA$26,KZ10&lt;&gt;""),AND(LS10&gt;=LW$26,LS10&lt;&gt;""),AND(LV10&gt;=LW$26,LV10&lt;&gt;""),AND(MO10&gt;=MS$26,MO10&lt;&gt;""),AND(MR10&gt;=MS$26,MR10&lt;&gt;""),AND(NK10&gt;=NO$26,NK10&lt;&gt;""),AND(NN10&gt;=NO$26,NN10&lt;&gt;"")),"National Team","")</f>
        <v>National Team</v>
      </c>
      <c r="I10" s="11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National Team</v>
      </c>
      <c r="J10" s="3" t="str">
        <f>IF(AND(OR(AND(AV10&gt;=AY$27,AV10&lt;&gt;"",AP10=""),AND(BZ10&gt;=CC$27,BZ10&lt;&gt;"",BT10=""),AND(DD10&gt;=DG$27,DD10&lt;&gt;"",CX10=""),AND(ED10&gt;=EG$27,ED10&lt;&gt;""),AND(EZ10&gt;=FC$27,EZ10&lt;&gt;""),AND(FV10&gt;=FY$27,FV10&lt;&gt;""),AND(GR10&gt;=GU$27,GR10&lt;&gt;""),AND(HN10&gt;=HQ$27,HN10&lt;&gt;""),AND(IJ10&gt;=IM$27,IJ10&lt;&gt;""),AND(JF10&gt;=JI$27,JF10&lt;&gt;""),AND(KB10&gt;=KE$27,KB10&lt;&gt;""),AND(KX10&gt;=LA$27,KX10&lt;&gt;""),AND(LT10&gt;=LW$27,LT10&lt;&gt;""),AND(MP10&gt;=MS$27,MP10&lt;&gt;""),AND(NL10&gt;=NO$27,NL10&lt;&gt;"")),OR(G10="Worlds Team",G10="Excellence",G10="Merit")),"P","")</f>
        <v/>
      </c>
      <c r="K10" s="14">
        <f>IF(MAX(AV10,BZ10,DD10)&gt;0,MAX(AV10,BZ10,DD10),0)</f>
        <v>100.07</v>
      </c>
      <c r="L10" s="14" t="str">
        <f>IF(K10=0,"",IF(K10=DD10,$CD$1,IF(K10=BZ10,$AZ$1,IF(K10=AV10,$V$1,""))))</f>
        <v>2021 1st Virtual Technical Trial</v>
      </c>
      <c r="M10" s="14">
        <f>IF($K10=$AV10,MAX(BU10,CY10),IF($K10=$BZ10,MAX(AQ10,CY10),IF($K10=$DD10,MAX(AQ10,BU10),MAX(AQ10,BU10,CY10))))</f>
        <v>48.059999999999995</v>
      </c>
      <c r="N10" s="14" t="str">
        <f>IF(M10=0,"",IF(AND(M10=CY10,$L10&lt;&gt;$CD$1),$CD$1,IF(AND(M10=BU10,$L10&lt;&gt;$AZ$1),$AZ$1,IF(AND(M10=AQ10,$L10&lt;&gt;$V$1),$V$1,""))))</f>
        <v>2019 Nationals</v>
      </c>
      <c r="O10" s="14">
        <f>MAX(AS10,AU10,AX10,BW10,BY10,CB10,DA10,DC10,DF10)</f>
        <v>53.16</v>
      </c>
      <c r="P10" s="14" t="str">
        <f>IF(O10=0,"",IF(OR(O10=DC10,O10=DA10,O10=DF10),$CD$1,IF(OR(O10=BY10,O10=BW10,O10=CB10),$AZ$1,IF(OR(O10=AU10,O10=AS10,O10=AX10),$V$1,""))))</f>
        <v>2021 1st Virtual Technical Trial</v>
      </c>
      <c r="Q10" s="14">
        <f>IF(COUNT(AS10,AU10,AX10,BW10,BY10,CB10,DA10,DC10,DF10)&gt;1,LARGE((AS10,AU10,AX10,BW10,BY10,CB10,DA10,DC10,DF10),2),0)</f>
        <v>52.46</v>
      </c>
      <c r="R10" s="14" t="str">
        <f>IF(Q10=0,"",IF(OR(Q10=DC10,Q10=DA10,Q10=DF10),$CD$1,IF(OR(Q10=BY10,Q10=BW10,Q10=CB10),$AZ$1,IF(OR(Q10=AU10,Q10=AS10,Q10=AX10),$V$1,""))))</f>
        <v>2021 1st Virtual Technical Trial</v>
      </c>
      <c r="S10" s="14" t="str">
        <f>IF(MAX(DI10,DK10)&gt;0,MAX(DI10,DK10),"")</f>
        <v/>
      </c>
      <c r="T10" s="24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1">
        <v>14.5</v>
      </c>
      <c r="W10" s="61">
        <v>9.25</v>
      </c>
      <c r="X10" s="61">
        <v>4.3</v>
      </c>
      <c r="Y10" s="61">
        <v>15.685</v>
      </c>
      <c r="Z10" s="61">
        <v>2</v>
      </c>
      <c r="AA10" s="61">
        <v>10.4</v>
      </c>
      <c r="AB10" s="61">
        <v>6.8</v>
      </c>
      <c r="AC10" s="61">
        <v>11.2</v>
      </c>
      <c r="AD10" s="61">
        <v>12.49</v>
      </c>
      <c r="AE10" s="61">
        <v>0</v>
      </c>
      <c r="AF10" s="61"/>
      <c r="AG10" s="61"/>
      <c r="AH10" s="61"/>
      <c r="AI10" s="61"/>
      <c r="AJ10" s="61"/>
      <c r="AK10" s="61">
        <v>9.3000000000000007</v>
      </c>
      <c r="AL10" s="61">
        <v>6.65</v>
      </c>
      <c r="AM10" s="61">
        <v>10</v>
      </c>
      <c r="AN10" s="61">
        <v>11.095000000000001</v>
      </c>
      <c r="AO10" s="61">
        <v>0</v>
      </c>
      <c r="AP10" s="72"/>
      <c r="AQ10" s="11">
        <f>IF(SUM(V10:Y10)-Z10&gt;0,SUM(V10:Y10)-Z10,"")</f>
        <v>41.734999999999999</v>
      </c>
      <c r="AR10" s="11">
        <f>IF(AC10&gt;0,AC10,"")</f>
        <v>11.2</v>
      </c>
      <c r="AS10" s="11">
        <f>IF(SUM(AA10:AD10)-AE10&gt;0,SUM(AA10:AD10)-AE10,"")</f>
        <v>40.89</v>
      </c>
      <c r="AT10" s="11" t="str">
        <f>IF(AH10&gt;0,AH10,"")</f>
        <v/>
      </c>
      <c r="AU10" s="11" t="str">
        <f>IF(SUM(AF10:AI10)-AJ10&gt;0,SUM(AF10:AI10)-AJ10,"")</f>
        <v/>
      </c>
      <c r="AV10" s="11">
        <f>IF(OR(AQ10&lt;&gt;"",AS10&lt;&gt;"",AU10&lt;&gt;""),AQ10+MAX(AS10,AU10),"")</f>
        <v>82.625</v>
      </c>
      <c r="AW10" s="11">
        <f>IF(AM10&gt;0,AM10,"")</f>
        <v>10</v>
      </c>
      <c r="AX10" s="11">
        <f>IF(SUM(AK10:AN10)-AO10&gt;0,SUM(AK10:AN10)-AO10,"")</f>
        <v>37.045000000000002</v>
      </c>
      <c r="AY10" s="11">
        <f>IF(SUM(AV10,AX10)&gt;0,SUM(AV10,AX10),"")</f>
        <v>119.67</v>
      </c>
      <c r="AZ10" s="67">
        <v>17.399999999999999</v>
      </c>
      <c r="BA10" s="67">
        <v>9.6999999999999993</v>
      </c>
      <c r="BB10" s="67">
        <v>5</v>
      </c>
      <c r="BC10" s="67">
        <v>15.96</v>
      </c>
      <c r="BD10" s="67">
        <v>0</v>
      </c>
      <c r="BE10" s="67">
        <v>12.5</v>
      </c>
      <c r="BF10" s="67">
        <v>7.7</v>
      </c>
      <c r="BG10" s="67">
        <v>13</v>
      </c>
      <c r="BH10" s="67">
        <v>13.635</v>
      </c>
      <c r="BI10" s="67">
        <v>0.2</v>
      </c>
      <c r="BJ10" s="67"/>
      <c r="BK10" s="67"/>
      <c r="BL10" s="67"/>
      <c r="BM10" s="67"/>
      <c r="BN10" s="67"/>
      <c r="BO10" s="67">
        <v>12.16</v>
      </c>
      <c r="BP10" s="67">
        <v>8.6999999999999993</v>
      </c>
      <c r="BQ10" s="67">
        <v>13.7</v>
      </c>
      <c r="BR10" s="67">
        <v>14.824999999999999</v>
      </c>
      <c r="BS10" s="67">
        <v>0</v>
      </c>
      <c r="BT10" s="73"/>
      <c r="BU10" s="14">
        <f>IF(SUM(AZ10:BC10)-BD10&gt;0,SUM(AZ10:BC10)-BD10,"")</f>
        <v>48.059999999999995</v>
      </c>
      <c r="BV10" s="14">
        <f>IF(BG10&gt;0,BG10,"")</f>
        <v>13</v>
      </c>
      <c r="BW10" s="14">
        <f>IF(SUM(BE10:BH10)-BI10&gt;0,SUM(BE10:BH10)-BI10,"")</f>
        <v>46.634999999999998</v>
      </c>
      <c r="BX10" s="14" t="str">
        <f>IF(BL10&gt;0,BL10,"")</f>
        <v/>
      </c>
      <c r="BY10" s="14" t="str">
        <f>IF(SUM(BJ10:BM10)-BN10&gt;0,SUM(BJ10:BM10)-BN10,"")</f>
        <v/>
      </c>
      <c r="BZ10" s="14">
        <f>IF(BU10="",IF(MAX(BW10,BY10)&gt;0,MAX(BW10,BY10),""),MAX(BW10,BY10)+BU10)</f>
        <v>94.694999999999993</v>
      </c>
      <c r="CA10" s="14">
        <f>IF(BQ10&gt;0,BQ10,"")</f>
        <v>13.7</v>
      </c>
      <c r="CB10" s="14">
        <f>IF(SUM(BO10:BR10)-BS10&gt;0,SUM(BO10:BR10)-BS10,"")</f>
        <v>49.385000000000005</v>
      </c>
      <c r="CC10" s="14">
        <f>IF(SUM(BZ10,CB10)&gt;0,SUM(BZ10,CB10),"")</f>
        <v>144.07999999999998</v>
      </c>
      <c r="CD10" s="61">
        <v>17.5</v>
      </c>
      <c r="CE10" s="61">
        <v>9.65</v>
      </c>
      <c r="CF10" s="61">
        <v>4.4000000000000004</v>
      </c>
      <c r="CG10" s="61">
        <v>16.059999999999999</v>
      </c>
      <c r="CH10" s="61">
        <v>0</v>
      </c>
      <c r="CI10" s="61">
        <v>14.3</v>
      </c>
      <c r="CJ10" s="61">
        <v>9.1999999999999993</v>
      </c>
      <c r="CK10" s="61">
        <v>13.9</v>
      </c>
      <c r="CL10" s="61">
        <v>15.06</v>
      </c>
      <c r="CM10" s="61">
        <v>0</v>
      </c>
      <c r="CN10" s="61">
        <v>12.9</v>
      </c>
      <c r="CO10" s="61">
        <v>8.6999999999999993</v>
      </c>
      <c r="CP10" s="61">
        <v>13.3</v>
      </c>
      <c r="CQ10" s="61">
        <v>14.61</v>
      </c>
      <c r="CR10" s="61">
        <v>0.2</v>
      </c>
      <c r="CS10" s="61">
        <v>14.7</v>
      </c>
      <c r="CT10" s="61">
        <v>9.35</v>
      </c>
      <c r="CU10" s="61">
        <v>13.9</v>
      </c>
      <c r="CV10" s="61">
        <v>15.21</v>
      </c>
      <c r="CW10" s="61">
        <v>0</v>
      </c>
      <c r="CX10" s="72"/>
      <c r="CY10" s="11">
        <f>IF(SUM(CD10:CG10)-CH10&gt;0,SUM(CD10:CG10)-CH10,"")</f>
        <v>47.61</v>
      </c>
      <c r="CZ10" s="11">
        <f>IF(CK10&gt;0,CK10,"")</f>
        <v>13.9</v>
      </c>
      <c r="DA10" s="11">
        <f>IF(SUM(CI10:CL10)-CM10&gt;0,SUM(CI10:CL10)-CM10,"")</f>
        <v>52.46</v>
      </c>
      <c r="DB10" s="11">
        <f>IF(CP10&gt;0,CP10,"")</f>
        <v>13.3</v>
      </c>
      <c r="DC10" s="11">
        <f>IF(SUM(CN10:CQ10)-CR10&gt;0,SUM(CN10:CQ10)-CR10,"")</f>
        <v>49.31</v>
      </c>
      <c r="DD10" s="11">
        <f>IF(CY10="",IF(MAX(DA10,DC10)&gt;0,MAX(DA10,DC10),""),MAX(DA10,DC10)+CY10)</f>
        <v>100.07</v>
      </c>
      <c r="DE10" s="11">
        <f>IF(CU10&gt;0,CU10,"")</f>
        <v>13.9</v>
      </c>
      <c r="DF10" s="11">
        <f>IF(SUM(CS10:CV10)-CW10&gt;0,SUM(CS10:CV10)-CW10,"")</f>
        <v>53.16</v>
      </c>
      <c r="DG10" s="11">
        <f>IF(SUM(DD10,DF10)&gt;0,SUM(DD10,DF10),"")</f>
        <v>153.22999999999999</v>
      </c>
      <c r="DH10" s="23" t="str">
        <f>IF(MAX(EB10,EX10,FT10,GP10,HL10,IH10,JD10,JZ10,KV10,LR10,MN10,NJ10)-IF(M10="",0,M10)&gt;0.001,MAX(EB10,EX10,FT10,GP10,HL10,IH10,JD10,JZ10,KV10,LR10,MN10,NJ10)-IF(M10="",0,M10),"")</f>
        <v/>
      </c>
      <c r="DI10" s="23" t="str">
        <f>IF(MAX(EC10,EY10,FU10,GQ10,HM10,II10,JE10,KA10,KW10,LS10,MO10,NK10)-IF(O10="",0,O10)&gt;0.001,MAX(EC10,EY10,FU10,GQ10,HM10,II10,JE10,KA10,KW10,LS10,MO10,NK10)-IF(O10="",0,O10),"")</f>
        <v/>
      </c>
      <c r="DJ10" s="23" t="str">
        <f>IF(MAX(ED10,EZ10,FV10,GR10,HN10,IJ10,JF10,KB10,KX10,LT10,MP10,NL10)-IF(K10="",0,K10)&gt;0.001,MAX(ED10,EZ10,FV10,GR10,HN10,IJ10,JF10,KB10,KX10,LT10,MP10,NL10)-IF(K10="",0,K10),"")</f>
        <v/>
      </c>
      <c r="DK10" s="23" t="str">
        <f>IF(MAX(EF10,FB10,FX10,GT10,HP10,IL10,JH10,KD10,KZ10,LV10,MR10,NN10)-IF(Q10="",0,Q10)&gt;0.001,MAX(EF10,FB10,FX10,GT10,HP10,IL10,JH10,KD10,KZ10,LV10,MR10,NN10)-IF(Q10="",0,Q10),"")</f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1">
        <f>IF($CX10="P",CD10,(CD10+AZ10)/2)</f>
        <v>17.45</v>
      </c>
      <c r="NQ10" s="61">
        <f>IF($CX10="P",CE10,(CE10+BA10)/2)</f>
        <v>9.6750000000000007</v>
      </c>
      <c r="NR10" s="61">
        <f>IF($CX10="P",CF10,(CF10+BB10)/2)</f>
        <v>4.7</v>
      </c>
      <c r="NS10" s="61">
        <f>IF($CX10="P",CG10,(CG10+BC10)/2)</f>
        <v>16.009999999999998</v>
      </c>
      <c r="NT10" s="61">
        <f>IF($CX10="P",CH10,(CH10+BD10)/2)</f>
        <v>0</v>
      </c>
      <c r="NU10" s="61">
        <f>IF($CX10="P",CI10,(CI10+BE10)/2)</f>
        <v>13.4</v>
      </c>
      <c r="NV10" s="61">
        <f>IF($CX10="P",CJ10,(CJ10+BF10)/2)</f>
        <v>8.4499999999999993</v>
      </c>
      <c r="NW10" s="61">
        <f>IF($CX10="P",CK10,(CK10+BG10)/2)</f>
        <v>13.45</v>
      </c>
      <c r="NX10" s="61">
        <f>IF($CX10="P",CL10,(CL10+BH10)/2)</f>
        <v>14.3475</v>
      </c>
      <c r="NY10" s="61">
        <f>IF($CX10="P",CM10,(CM10+BI10)/2)</f>
        <v>0.1</v>
      </c>
      <c r="NZ10" s="61">
        <f>IF($CX10="P",CN10,(CN10+BJ10)/2)</f>
        <v>6.45</v>
      </c>
      <c r="OA10" s="61">
        <f>IF($CX10="P",CO10,(CO10+BK10)/2)</f>
        <v>4.3499999999999996</v>
      </c>
      <c r="OB10" s="61">
        <f>IF($CX10="P",CP10,(CP10+BL10)/2)</f>
        <v>6.65</v>
      </c>
      <c r="OC10" s="61">
        <f>IF($CX10="P",CQ10,(CQ10+BM10)/2)</f>
        <v>7.3049999999999997</v>
      </c>
      <c r="OD10" s="61">
        <f>IF($CX10="P",CR10,(CR10+BN10)/2)</f>
        <v>0.1</v>
      </c>
      <c r="OE10" s="61">
        <f>IF($CX10="P",CS10,(CS10+BO10)/2)</f>
        <v>13.43</v>
      </c>
      <c r="OF10" s="61">
        <f>IF($CX10="P",CT10,(CT10+BP10)/2)</f>
        <v>9.0249999999999986</v>
      </c>
      <c r="OG10" s="61">
        <f>IF($CX10="P",CU10,(CU10+BQ10)/2)</f>
        <v>13.8</v>
      </c>
      <c r="OH10" s="61">
        <f>IF($CX10="P",CV10,(CV10+BR10)/2)</f>
        <v>15.0175</v>
      </c>
      <c r="OI10" s="61">
        <f>IF($CX10="P",CW10,(CW10+BS10)/2)</f>
        <v>0</v>
      </c>
      <c r="OJ10" s="72" t="s">
        <v>52</v>
      </c>
      <c r="OK10" s="11">
        <f>IF(SUM(NP10:NS10)-NT10&gt;0,SUM(NP10:NS10)-NT10,"")</f>
        <v>47.834999999999994</v>
      </c>
      <c r="OL10" s="11">
        <f>IF(NW10&gt;0,NW10,"")</f>
        <v>13.45</v>
      </c>
      <c r="OM10" s="11">
        <f>IF(SUM(NU10:NX10)-NY10&gt;0,SUM(NU10:NX10)-NY10,"")</f>
        <v>49.547499999999992</v>
      </c>
      <c r="ON10" s="11">
        <f>IF(OB10&gt;0,OB10,"")</f>
        <v>6.65</v>
      </c>
      <c r="OO10" s="11">
        <f>IF(SUM(NZ10:OC10)-OD10&gt;0,SUM(NZ10:OC10)-OD10,"")</f>
        <v>24.655000000000001</v>
      </c>
      <c r="OP10" s="11">
        <f>IF(OR(OK10&lt;&gt;"",OM10&lt;&gt;"",OO10&lt;&gt;""),OK10+MAX(OM10,OO10),"")</f>
        <v>97.382499999999993</v>
      </c>
      <c r="OQ10" s="11">
        <f>IF(OG10&gt;0,OG10,"")</f>
        <v>13.8</v>
      </c>
      <c r="OR10" s="11">
        <f t="shared" si="0"/>
        <v>51.272499999999994</v>
      </c>
      <c r="OS10" s="11">
        <f t="shared" si="1"/>
        <v>148.65499999999997</v>
      </c>
    </row>
    <row r="11" spans="1:409" x14ac:dyDescent="0.2">
      <c r="A11" s="5" cm="1">
        <f t="array" ref="A11">IF(AND(G11&lt;&gt;"",H11&lt;&gt;""),SUMPRODUCT((G$4:G$20&lt;&gt;"")*(H$4:H$20&lt;&gt;"")*(E$4:E$20&gt;E11))+1,IF(H11&lt;&gt;"",SUMPRODUCT((I$4:I$20="No DD")*(E$4:E$20&gt;E11))+1+SUMPRODUCT((G$4:G$20&lt;&gt;"")*(H$4:H$20&lt;&gt;"")),""))</f>
        <v>8</v>
      </c>
      <c r="B11" s="8" t="s">
        <v>75</v>
      </c>
      <c r="C11" s="4" t="s">
        <v>3</v>
      </c>
      <c r="D11" s="5">
        <v>2003</v>
      </c>
      <c r="E11" s="15">
        <f>SUM(O11:S11)</f>
        <v>105.435</v>
      </c>
      <c r="F11" s="3" t="str">
        <f>IF(G11&lt;&gt;"","P","")</f>
        <v>P</v>
      </c>
      <c r="G11" s="115" t="str">
        <f>IF(OR(AND(AR11&gt;=AY$25,AR11&lt;&gt;"",AP11=""),AND(AT11&gt;=AY$25,AT11&lt;&gt;"",AP11=""),AND(AW11&gt;=AY$25,AW11&lt;&gt;"",AP11=""),AND(BV11&gt;=CC$25,BV11&lt;&gt;"",BT11=""),AND(BX11&gt;=CC$25,BX11&lt;&gt;"",BT11=""),AND(CA11&gt;=CC$25,CA11&lt;&gt;"",BT11=""),AND(CZ11&gt;=DG$25,CZ11&lt;&gt;"",CX11=""),AND(DB11&gt;=DG$25,DB11&lt;&gt;"",CX11=""),AND(DE11&gt;=DG$25,DE11&lt;&gt;"",CX11=""),AND(EA11&gt;=EG$25,EA11&lt;&gt;""),AND(EE11&gt;=EG$25,EE11&lt;&gt;""),AND(EW11&gt;=FC$25,EW11&lt;&gt;""),AND(FA11&gt;=FC$25,FA11&lt;&gt;""),AND(FS11&gt;=FY$25,FS11&lt;&gt;""),AND(FW11&gt;=FY$25,FW11&lt;&gt;""),AND(GO11&gt;=GU$25,GO11&lt;&gt;""),AND(GS11&gt;=GU$25,GS11&lt;&gt;""),AND(HK11&gt;=HQ$25,HK11&lt;&gt;""),AND(HO11&gt;=HQ$25,HO11&lt;&gt;""),AND(IG11&gt;=IM$25,IG11&lt;&gt;""),AND(IK11&gt;=IM$25,IK11&lt;&gt;""),AND(JC11&gt;=JI$25,JC11&lt;&gt;""),AND(JG11&gt;=JI$25,JG11&lt;&gt;""),AND(JY11&gt;=KE$25,JY11&lt;&gt;""),AND(KC11&gt;=KE$25,KC11&lt;&gt;""),AND(KU11&gt;=LA$25,KU11&lt;&gt;""),AND(KY11&gt;=LA$25,KY11&lt;&gt;""),AND(LQ11&gt;=LW$25,LQ11&lt;&gt;""),AND(LU11&gt;=LW$25,LU11&lt;&gt;""),AND(MM11&gt;=MS$25,MM11&lt;&gt;""),AND(MQ11&gt;=MS$25,MQ11&lt;&gt;""),AND(NI11&gt;=NO$25,NI11&lt;&gt;""),AND(NM11&gt;=NO$25,NM11&lt;&gt;"")),"Merit",IF(OR(AND(AR11&gt;=AY$24,AR11&lt;&gt;"",AP11=""),AND(AT11&gt;=AY$24,AT11&lt;&gt;"",AP11=""),AND(AW11&gt;=AY$24,AW11&lt;&gt;"",AP11=""),AND(BV11&gt;=CC$24,BV11&lt;&gt;"",BT11=""),AND(BX11&gt;=CC$24,BX11&lt;&gt;"",BT11=""),AND(CA11&gt;=CC$24,CA11&lt;&gt;"",BT11=""),AND(CZ11&gt;=DG$24,CZ11&lt;&gt;"",CX11=""),AND(DB11&gt;=DG$24,DB11&lt;&gt;"",CX11=""),AND(DE11&gt;=DG$24,DE11&lt;&gt;"",CX11=""),AND(EA11&gt;=EG$24,EA11&lt;&gt;""),AND(EE11&gt;=EG$24,EE11&lt;&gt;""),AND(EW11&gt;=FC$24,EW11&lt;&gt;""),AND(FA11&gt;=FC$24,FA11&lt;&gt;""),AND(FS11&gt;=FY$24,FS11&lt;&gt;""),AND(FW11&gt;=FY$24,FW11&lt;&gt;""),AND(GO11&gt;=GU$24,GO11&lt;&gt;""),AND(GS11&gt;=GU$24,GS11&lt;&gt;""),AND(HK11&gt;=HQ$24,HK11&lt;&gt;""),AND(HO11&gt;=HQ$24,HO11&lt;&gt;""),AND(IG11&gt;=IM$24,IG11&lt;&gt;""),AND(IK11&gt;=IM$24,IK11&lt;&gt;""),AND(JC11&gt;=JI$24,JC11&lt;&gt;""),AND(JG11&gt;=JI$24,JG11&lt;&gt;""),AND(JY11&gt;=KE$24,JY11&lt;&gt;""),AND(KC11&gt;=KE$24,KC11&lt;&gt;""),AND(KU11&gt;=LA$24,KU11&lt;&gt;""),AND(KY11&gt;=LA$24,KY11&lt;&gt;""),AND(LQ11&gt;=LW$24,LQ11&lt;&gt;""),AND(LU11&gt;=LW$24,LU11&lt;&gt;""),AND(MM11&gt;=MS$24,MM11&lt;&gt;""),AND(MQ11&gt;=MS$24,MQ11&lt;&gt;""),AND(NI11&gt;=NO$24,NI11&lt;&gt;""),AND(NM11&gt;=NO$24,NM11&lt;&gt;"")),"Excellence",IF(OR(AND(AR11&gt;=AY$23,AR11&lt;&gt;"",AP11=""),AND(AT11&gt;=AY$23,AT11&lt;&gt;"",AP11=""),AND(AW11&gt;=AY$23,AW11&lt;&gt;"",AP11=""),AND(BV11&gt;=CC$23,BV11&lt;&gt;"",BT11=""),AND(BX11&gt;=CC$23,BX11&lt;&gt;"",BT11=""),AND(CA11&gt;=CC$23,CA11&lt;&gt;"",BT11=""),AND(CZ11&gt;=DG$23,CZ11&lt;&gt;"",CX11=""),AND(DB11&gt;=DG$23,DB11&lt;&gt;"",CX11=""),AND(DE11&gt;=DG$23,DE11&lt;&gt;"",CX11=""),AND(EA11&gt;=EG$23,EA11&lt;&gt;""),AND(EE11&gt;=EG$23,EE11&lt;&gt;""),AND(EW11&gt;=FC$23,EW11&lt;&gt;""),AND(FA11&gt;=FC$23,FA11&lt;&gt;""),AND(FS11&gt;=FY$23,FS11&lt;&gt;""),AND(FW11&gt;=FY$23,FW11&lt;&gt;""),AND(GO11&gt;=GU$23,GO11&lt;&gt;""),AND(GS11&gt;=GU$23,GS11&lt;&gt;""),AND(HK11&gt;=HQ$23,HK11&lt;&gt;""),AND(HO11&gt;=HQ$23,HO11&lt;&gt;""),AND(IG11&gt;=IM$23,IG11&lt;&gt;""),AND(IK11&gt;=IM$23,IK11&lt;&gt;""),AND(JC11&gt;=JI$23,JC11&lt;&gt;""),AND(JG11&gt;=JI$23,JG11&lt;&gt;""),AND(JY11&gt;=KE$23,JY11&lt;&gt;""),AND(KC11&gt;=KE$23,KC11&lt;&gt;""),AND(KU11&gt;=LA$23,KU11&lt;&gt;""),AND(KY11&gt;=LA$23,KY11&lt;&gt;""),AND(LQ11&gt;=LW$23,LQ11&lt;&gt;""),AND(LU11&gt;=LW$23,LU11&lt;&gt;""),AND(MM11&gt;=MS$23,MM11&lt;&gt;""),AND(MQ11&gt;=MS$23,MQ11&lt;&gt;""),AND(NI11&gt;=NO$23,NI11&lt;&gt;""),AND(NM11&gt;=NO$23,NM11&lt;&gt;"")),"Worlds Team",IF(OR(AND(AR11&gt;=AY$22,AR11&lt;&gt;"",AP11=""),AND(AT11&gt;=AY$22,AT11&lt;&gt;"",AP11=""),AND(AW11&gt;=AY$22,AW11&lt;&gt;"",AP11=""),AND(BV11&gt;=CC$22,BV11&lt;&gt;"",BT11=""),AND(BX11&gt;=CC$22,BX11&lt;&gt;"",BT11=""),AND(CA11&gt;=CC$22,CA11&lt;&gt;"",BT11=""),AND(CZ11&gt;=DG$22,CZ11&lt;&gt;"",CX11=""),AND(DB11&gt;=DG$22,DB11&lt;&gt;"",CX11=""),AND(DE11&gt;=DG$22,DE11&lt;&gt;"",CX11=""),AND(EA11&gt;=EG$22,EA11&lt;&gt;""),AND(EE11&gt;=EG$22,EE11&lt;&gt;""),AND(EW11&gt;=FC$22,EW11&lt;&gt;""),AND(FA11&gt;=FC$22,FA11&lt;&gt;""),AND(FS11&gt;=FY$22,FS11&lt;&gt;""),AND(FW11&gt;=FY$22,FW11&lt;&gt;""),AND(GO11&gt;=GU$22,GO11&lt;&gt;""),AND(GS11&gt;=GU$22,GS11&lt;&gt;""),AND(HK11&gt;=HQ$22,HK11&lt;&gt;""),AND(HO11&gt;=HQ$22,HO11&lt;&gt;""),AND(IG11&gt;=IM$22,IG11&lt;&gt;""),AND(IK11&gt;=IM$22,IK11&lt;&gt;""),AND(JC11&gt;=JI$22,JC11&lt;&gt;""),AND(JG11&gt;=JI$22,JG11&lt;&gt;""),AND(JY11&gt;=KE$22,JY11&lt;&gt;""),AND(KC11&gt;=KE$22,KC11&lt;&gt;""),AND(KU11&gt;=LA$22,KU11&lt;&gt;""),AND(KY11&gt;=LA$22,KY11&lt;&gt;""),AND(LQ11&gt;=LW$22,LQ11&lt;&gt;""),AND(LU11&gt;=LW$22,LU11&lt;&gt;""),AND(MM11&gt;=MS$22,MM11&lt;&gt;""),AND(MQ11&gt;=MS$22,MQ11&lt;&gt;""),AND(NI11&gt;=NO$22,NI11&lt;&gt;""),AND(NM11&gt;=NO$22,NM11&lt;&gt;"")),"National Team",""))))</f>
        <v>National Team</v>
      </c>
      <c r="H11" s="115" t="str">
        <f>IF(OR(AND(AS11&gt;=AY$26,AS11&lt;&gt;"",AP11=""),AND(AU11&gt;=AY$26,AU11&lt;&gt;"",AP11=""),AND(AX11&gt;=AY$26,AX11&lt;&gt;"",AP11=""),AND(BW11&gt;=CC$26,BW11&lt;&gt;"",BT11=""),AND(BY11&gt;=CC$26,BY11&lt;&gt;"",BT11=""),AND(CB11&gt;=CC$26,CB11&lt;&gt;"",BT11=""),AND(DA11&gt;=DG$26,DA11&lt;&gt;"",CX11=""),AND(DC11&gt;=DG$26,DC11&lt;&gt;"",CX11=""),AND(DF11&gt;=DG$26,DF11&lt;&gt;"",CX11=""),AND(EC11&gt;=EG$26,EC11&lt;&gt;""),AND(EF11&gt;=EG$26,EF11&lt;&gt;""),AND(EY11&gt;=FC$26,EY11&lt;&gt;""),AND(FB11&gt;=FC$26,FB11&lt;&gt;""),AND(FU11&gt;=FY$26,FU11&lt;&gt;""),AND(FX11&gt;=FY$26,FX11&lt;&gt;""),AND(GQ11&gt;=GU$26,GQ11&lt;&gt;""),AND(GT11&gt;=GU$26,GT11&lt;&gt;""),AND(HM11&gt;=HQ$26,HM11&lt;&gt;""),AND(HP11&gt;=HQ$26,HP11&lt;&gt;""),AND(II11&gt;=IM$26,II11&lt;&gt;""),AND(IL11&gt;=IM$26,IL11&lt;&gt;""),AND(JE11&gt;=JI$26,JE11&lt;&gt;""),AND(JH11&gt;=JI$26,JH11&lt;&gt;""),AND(KA11&gt;=KE$26,KA11&lt;&gt;""),AND(KD11&gt;=KE$26,KD11&lt;&gt;""),AND(KW11&gt;=LA$26,KW11&lt;&gt;""),AND(KZ11&gt;=LA$26,KZ11&lt;&gt;""),AND(LS11&gt;=LW$26,LS11&lt;&gt;""),AND(LV11&gt;=LW$26,LV11&lt;&gt;""),AND(MO11&gt;=MS$26,MO11&lt;&gt;""),AND(MR11&gt;=MS$26,MR11&lt;&gt;""),AND(NK11&gt;=NO$26,NK11&lt;&gt;""),AND(NN11&gt;=NO$26,NN11&lt;&gt;"")),"National Team","")</f>
        <v>National Team</v>
      </c>
      <c r="I11" s="11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>National Team</v>
      </c>
      <c r="J11" s="3" t="str">
        <f>IF(AND(OR(AND(AV11&gt;=AY$27,AV11&lt;&gt;"",AP11=""),AND(BZ11&gt;=CC$27,BZ11&lt;&gt;"",BT11=""),AND(DD11&gt;=DG$27,DD11&lt;&gt;"",CX11=""),AND(ED11&gt;=EG$27,ED11&lt;&gt;""),AND(EZ11&gt;=FC$27,EZ11&lt;&gt;""),AND(FV11&gt;=FY$27,FV11&lt;&gt;""),AND(GR11&gt;=GU$27,GR11&lt;&gt;""),AND(HN11&gt;=HQ$27,HN11&lt;&gt;""),AND(IJ11&gt;=IM$27,IJ11&lt;&gt;""),AND(JF11&gt;=JI$27,JF11&lt;&gt;""),AND(KB11&gt;=KE$27,KB11&lt;&gt;""),AND(KX11&gt;=LA$27,KX11&lt;&gt;""),AND(LT11&gt;=LW$27,LT11&lt;&gt;""),AND(MP11&gt;=MS$27,MP11&lt;&gt;""),AND(NL11&gt;=NO$27,NL11&lt;&gt;"")),OR(G11="Worlds Team",G11="Excellence",G11="Merit")),"P","")</f>
        <v/>
      </c>
      <c r="K11" s="14">
        <f>IF(MAX(AV11,BZ11,DD11)&gt;0,MAX(AV11,BZ11,DD11),0)</f>
        <v>99.490000000000009</v>
      </c>
      <c r="L11" s="14" t="str">
        <f>IF(K11=0,"",IF(K11=DD11,$CD$1,IF(K11=BZ11,$AZ$1,IF(K11=AV11,$V$1,""))))</f>
        <v>2021 1st Virtual Technical Trial</v>
      </c>
      <c r="M11" s="14">
        <f>IF($K11=$AV11,MAX(BU11,CY11),IF($K11=$BZ11,MAX(AQ11,CY11),IF($K11=$DD11,MAX(AQ11,BU11),MAX(AQ11,BU11,CY11))))</f>
        <v>46.39</v>
      </c>
      <c r="N11" s="14" t="str">
        <f>IF(M11=0,"",IF(AND(M11=CY11,$L11&lt;&gt;$CD$1),$CD$1,IF(AND(M11=BU11,$L11&lt;&gt;$AZ$1),$AZ$1,IF(AND(M11=AQ11,$L11&lt;&gt;$V$1),$V$1,""))))</f>
        <v>2019 Nationals</v>
      </c>
      <c r="O11" s="14">
        <f>MAX(AS11,AU11,AX11,BW11,BY11,CB11,DA11,DC11,DF11)</f>
        <v>52.825000000000003</v>
      </c>
      <c r="P11" s="14" t="str">
        <f>IF(O11=0,"",IF(OR(O11=DC11,O11=DA11,O11=DF11),$CD$1,IF(OR(O11=BY11,O11=BW11,O11=CB11),$AZ$1,IF(OR(O11=AU11,O11=AS11,O11=AX11),$V$1,""))))</f>
        <v>2019 Nationals</v>
      </c>
      <c r="Q11" s="14">
        <f>IF(COUNT(AS11,AU11,AX11,BW11,BY11,CB11,DA11,DC11,DF11)&gt;1,LARGE((AS11,AU11,AX11,BW11,BY11,CB11,DA11,DC11,DF11),2),0)</f>
        <v>52.610000000000007</v>
      </c>
      <c r="R11" s="14" t="str">
        <f>IF(Q11=0,"",IF(OR(Q11=DC11,Q11=DA11,Q11=DF11),$CD$1,IF(OR(Q11=BY11,Q11=BW11,Q11=CB11),$AZ$1,IF(OR(Q11=AU11,Q11=AS11,Q11=AX11),$V$1,""))))</f>
        <v>2021 1st Virtual Technical Trial</v>
      </c>
      <c r="S11" s="14" t="str">
        <f>IF(MAX(DI11,DK11)&gt;0,MAX(DI11,DK11),"")</f>
        <v/>
      </c>
      <c r="T11" s="24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1">
        <v>15.1</v>
      </c>
      <c r="W11" s="61">
        <v>9.1</v>
      </c>
      <c r="X11" s="61">
        <v>4.8</v>
      </c>
      <c r="Y11" s="61">
        <v>15.4</v>
      </c>
      <c r="Z11" s="61">
        <v>0</v>
      </c>
      <c r="AA11" s="61">
        <v>9.6</v>
      </c>
      <c r="AB11" s="61">
        <v>8.6999999999999993</v>
      </c>
      <c r="AC11" s="61">
        <v>12.7</v>
      </c>
      <c r="AD11" s="61">
        <v>14.57</v>
      </c>
      <c r="AE11" s="61">
        <v>0</v>
      </c>
      <c r="AF11" s="61"/>
      <c r="AG11" s="61"/>
      <c r="AH11" s="61"/>
      <c r="AI11" s="61"/>
      <c r="AJ11" s="61"/>
      <c r="AK11" s="61">
        <v>1.4</v>
      </c>
      <c r="AL11" s="61">
        <v>0.9</v>
      </c>
      <c r="AM11" s="61">
        <v>1.7</v>
      </c>
      <c r="AN11" s="61">
        <v>1.63</v>
      </c>
      <c r="AO11" s="61">
        <v>0</v>
      </c>
      <c r="AP11" s="72"/>
      <c r="AQ11" s="11">
        <f>IF(SUM(V11:Y11)-Z11&gt;0,SUM(V11:Y11)-Z11,"")</f>
        <v>44.4</v>
      </c>
      <c r="AR11" s="11">
        <f>IF(AC11&gt;0,AC11,"")</f>
        <v>12.7</v>
      </c>
      <c r="AS11" s="11">
        <f>IF(SUM(AA11:AD11)-AE11&gt;0,SUM(AA11:AD11)-AE11,"")</f>
        <v>45.569999999999993</v>
      </c>
      <c r="AT11" s="11" t="str">
        <f>IF(AH11&gt;0,AH11,"")</f>
        <v/>
      </c>
      <c r="AU11" s="11" t="str">
        <f>IF(SUM(AF11:AI11)-AJ11&gt;0,SUM(AF11:AI11)-AJ11,"")</f>
        <v/>
      </c>
      <c r="AV11" s="11">
        <f>IF(OR(AQ11&lt;&gt;"",AS11&lt;&gt;"",AU11&lt;&gt;""),AQ11+MAX(AS11,AU11),"")</f>
        <v>89.97</v>
      </c>
      <c r="AW11" s="11">
        <f>IF(AM11&gt;0,AM11,"")</f>
        <v>1.7</v>
      </c>
      <c r="AX11" s="11">
        <f>IF(SUM(AK11:AN11)-AO11&gt;0,SUM(AK11:AN11)-AO11,"")</f>
        <v>5.63</v>
      </c>
      <c r="AY11" s="11">
        <f>IF(SUM(AV11,AX11)&gt;0,SUM(AV11,AX11),"")</f>
        <v>95.6</v>
      </c>
      <c r="AZ11" s="67">
        <v>17.100000000000001</v>
      </c>
      <c r="BA11" s="67">
        <v>9.5</v>
      </c>
      <c r="BB11" s="67">
        <v>3.9</v>
      </c>
      <c r="BC11" s="67">
        <v>15.89</v>
      </c>
      <c r="BD11" s="67">
        <v>0</v>
      </c>
      <c r="BE11" s="67">
        <v>13.7</v>
      </c>
      <c r="BF11" s="67">
        <v>9.3000000000000007</v>
      </c>
      <c r="BG11" s="67">
        <v>13.5</v>
      </c>
      <c r="BH11" s="67">
        <v>14.85</v>
      </c>
      <c r="BI11" s="67">
        <v>0</v>
      </c>
      <c r="BJ11" s="67"/>
      <c r="BK11" s="67"/>
      <c r="BL11" s="67"/>
      <c r="BM11" s="67"/>
      <c r="BN11" s="67"/>
      <c r="BO11" s="67">
        <v>14.36</v>
      </c>
      <c r="BP11" s="67">
        <v>9.5</v>
      </c>
      <c r="BQ11" s="67">
        <v>13.7</v>
      </c>
      <c r="BR11" s="67">
        <v>15.265000000000001</v>
      </c>
      <c r="BS11" s="67">
        <v>0</v>
      </c>
      <c r="BT11" s="73"/>
      <c r="BU11" s="14">
        <f>IF(SUM(AZ11:BC11)-BD11&gt;0,SUM(AZ11:BC11)-BD11,"")</f>
        <v>46.39</v>
      </c>
      <c r="BV11" s="14">
        <f>IF(BG11&gt;0,BG11,"")</f>
        <v>13.5</v>
      </c>
      <c r="BW11" s="14">
        <f>IF(SUM(BE11:BH11)-BI11&gt;0,SUM(BE11:BH11)-BI11,"")</f>
        <v>51.35</v>
      </c>
      <c r="BX11" s="14" t="str">
        <f>IF(BL11&gt;0,BL11,"")</f>
        <v/>
      </c>
      <c r="BY11" s="14" t="str">
        <f>IF(SUM(BJ11:BM11)-BN11&gt;0,SUM(BJ11:BM11)-BN11,"")</f>
        <v/>
      </c>
      <c r="BZ11" s="14">
        <f>IF(BU11="",IF(MAX(BW11,BY11)&gt;0,MAX(BW11,BY11),""),MAX(BW11,BY11)+BU11)</f>
        <v>97.740000000000009</v>
      </c>
      <c r="CA11" s="14">
        <f>IF(BQ11&gt;0,BQ11,"")</f>
        <v>13.7</v>
      </c>
      <c r="CB11" s="14">
        <f>IF(SUM(BO11:BR11)-BS11&gt;0,SUM(BO11:BR11)-BS11,"")</f>
        <v>52.825000000000003</v>
      </c>
      <c r="CC11" s="14">
        <f>IF(SUM(BZ11,CB11)&gt;0,SUM(BZ11,CB11),"")</f>
        <v>150.565</v>
      </c>
      <c r="CD11" s="61">
        <v>16.600000000000001</v>
      </c>
      <c r="CE11" s="61">
        <v>9.1999999999999993</v>
      </c>
      <c r="CF11" s="61">
        <v>5.6</v>
      </c>
      <c r="CG11" s="61">
        <v>15.48</v>
      </c>
      <c r="CH11" s="61">
        <v>0</v>
      </c>
      <c r="CI11" s="61">
        <v>14.8</v>
      </c>
      <c r="CJ11" s="61">
        <v>9.15</v>
      </c>
      <c r="CK11" s="61">
        <v>13.7</v>
      </c>
      <c r="CL11" s="61">
        <v>14.96</v>
      </c>
      <c r="CM11" s="61">
        <v>0</v>
      </c>
      <c r="CN11" s="61">
        <v>0</v>
      </c>
      <c r="CO11" s="61">
        <v>0</v>
      </c>
      <c r="CP11" s="61">
        <v>0</v>
      </c>
      <c r="CQ11" s="61">
        <v>0</v>
      </c>
      <c r="CR11" s="61">
        <v>0</v>
      </c>
      <c r="CS11" s="61">
        <v>0</v>
      </c>
      <c r="CT11" s="61">
        <v>0</v>
      </c>
      <c r="CU11" s="61">
        <v>0</v>
      </c>
      <c r="CV11" s="61">
        <v>0</v>
      </c>
      <c r="CW11" s="61">
        <v>0</v>
      </c>
      <c r="CX11" s="72"/>
      <c r="CY11" s="11">
        <f>IF(SUM(CD11:CG11)-CH11&gt;0,SUM(CD11:CG11)-CH11,"")</f>
        <v>46.879999999999995</v>
      </c>
      <c r="CZ11" s="11">
        <f>IF(CK11&gt;0,CK11,"")</f>
        <v>13.7</v>
      </c>
      <c r="DA11" s="11">
        <f>IF(SUM(CI11:CL11)-CM11&gt;0,SUM(CI11:CL11)-CM11,"")</f>
        <v>52.610000000000007</v>
      </c>
      <c r="DB11" s="11" t="str">
        <f>IF(CP11&gt;0,CP11,"")</f>
        <v/>
      </c>
      <c r="DC11" s="11" t="str">
        <f>IF(SUM(CN11:CQ11)-CR11&gt;0,SUM(CN11:CQ11)-CR11,"")</f>
        <v/>
      </c>
      <c r="DD11" s="11">
        <f>IF(CY11="",IF(MAX(DA11,DC11)&gt;0,MAX(DA11,DC11),""),MAX(DA11,DC11)+CY11)</f>
        <v>99.490000000000009</v>
      </c>
      <c r="DE11" s="11" t="str">
        <f>IF(CU11&gt;0,CU11,"")</f>
        <v/>
      </c>
      <c r="DF11" s="11" t="str">
        <f>IF(SUM(CS11:CV11)-CW11&gt;0,SUM(CS11:CV11)-CW11,"")</f>
        <v/>
      </c>
      <c r="DG11" s="11">
        <f>IF(SUM(DD11,DF11)&gt;0,SUM(DD11,DF11),"")</f>
        <v>99.490000000000009</v>
      </c>
      <c r="DH11" s="23" t="str">
        <f>IF(MAX(EB11,EX11,FT11,GP11,HL11,IH11,JD11,JZ11,KV11,LR11,MN11,NJ11)-IF(M11="",0,M11)&gt;0.001,MAX(EB11,EX11,FT11,GP11,HL11,IH11,JD11,JZ11,KV11,LR11,MN11,NJ11)-IF(M11="",0,M11),"")</f>
        <v/>
      </c>
      <c r="DI11" s="23" t="str">
        <f>IF(MAX(EC11,EY11,FU11,GQ11,HM11,II11,JE11,KA11,KW11,LS11,MO11,NK11)-IF(O11="",0,O11)&gt;0.001,MAX(EC11,EY11,FU11,GQ11,HM11,II11,JE11,KA11,KW11,LS11,MO11,NK11)-IF(O11="",0,O11),"")</f>
        <v/>
      </c>
      <c r="DJ11" s="23" t="str">
        <f>IF(MAX(ED11,EZ11,FV11,GR11,HN11,IJ11,JF11,KB11,KX11,LT11,MP11,NL11)-IF(K11="",0,K11)&gt;0.001,MAX(ED11,EZ11,FV11,GR11,HN11,IJ11,JF11,KB11,KX11,LT11,MP11,NL11)-IF(K11="",0,K11),"")</f>
        <v/>
      </c>
      <c r="DK11" s="23" t="str">
        <f>IF(MAX(EF11,FB11,FX11,GT11,HP11,IL11,JH11,KD11,KZ11,LV11,MR11,NN11)-IF(Q11="",0,Q11)&gt;0.001,MAX(EF11,FB11,FX11,GT11,HP11,IL11,JH11,KD11,KZ11,LV11,MR11,NN11)-IF(Q11="",0,Q11),"")</f>
        <v/>
      </c>
      <c r="DL11" s="35">
        <v>15.2</v>
      </c>
      <c r="DM11" s="35">
        <v>8.6999999999999993</v>
      </c>
      <c r="DN11" s="35">
        <v>0</v>
      </c>
      <c r="DO11" s="35">
        <v>15.77</v>
      </c>
      <c r="DP11" s="35">
        <v>0</v>
      </c>
      <c r="DQ11" s="35">
        <v>13.5</v>
      </c>
      <c r="DR11" s="35">
        <v>8.6999999999999993</v>
      </c>
      <c r="DS11" s="35">
        <v>13.5</v>
      </c>
      <c r="DT11" s="35">
        <v>14.78</v>
      </c>
      <c r="DU11" s="35">
        <v>0</v>
      </c>
      <c r="DV11" s="35"/>
      <c r="DW11" s="35"/>
      <c r="DX11" s="35"/>
      <c r="DY11" s="35"/>
      <c r="DZ11" s="35"/>
      <c r="EA11" s="11">
        <f>IF(DS11&gt;0,DS11,"")</f>
        <v>13.5</v>
      </c>
      <c r="EB11" s="11">
        <f>IF(SUM(DL11:DO11)-DP11&gt;0,SUM(DL11:DO11)-DP11,"")</f>
        <v>39.67</v>
      </c>
      <c r="EC11" s="11">
        <f>IF(SUM(DQ11:DT11)-DU11&gt;0,SUM(DQ11:DT11)-DU11,"")</f>
        <v>50.480000000000004</v>
      </c>
      <c r="ED11" s="11">
        <f>IF(SUM(EB11:EC11)&gt;0,SUM(EB11:EC11),"")</f>
        <v>90.15</v>
      </c>
      <c r="EE11" s="11" t="str">
        <f>IF(DX11&gt;0,DX11,"")</f>
        <v/>
      </c>
      <c r="EF11" s="11" t="str">
        <f>IF(SUM(DV11:DY11)-DZ11&gt;0,SUM(DV11:DY11)-DZ11,"")</f>
        <v/>
      </c>
      <c r="EG11" s="11">
        <f>IF(SUM(ED11,EF11)&gt;0,SUM(ED11,EF11),"")</f>
        <v>90.15</v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100"/>
      <c r="MI11" s="35"/>
      <c r="MJ11" s="35"/>
      <c r="MK11" s="35"/>
      <c r="ML11" s="35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1">
        <f>IF($CX11="P",CD11,(CD11+AZ11)/2)</f>
        <v>16.850000000000001</v>
      </c>
      <c r="NQ11" s="61">
        <f>IF($CX11="P",CE11,(CE11+BA11)/2)</f>
        <v>9.35</v>
      </c>
      <c r="NR11" s="61">
        <f>IF($CX11="P",CF11,(CF11+BB11)/2)</f>
        <v>4.75</v>
      </c>
      <c r="NS11" s="61">
        <f>IF($CX11="P",CG11,(CG11+BC11)/2)</f>
        <v>15.685</v>
      </c>
      <c r="NT11" s="61">
        <f>IF($CX11="P",CH11,(CH11+BD11)/2)</f>
        <v>0</v>
      </c>
      <c r="NU11" s="61">
        <f>IF($CX11="P",CI11,(CI11+BE11)/2)</f>
        <v>14.25</v>
      </c>
      <c r="NV11" s="61">
        <f>IF($CX11="P",CJ11,(CJ11+BF11)/2)</f>
        <v>9.2250000000000014</v>
      </c>
      <c r="NW11" s="61">
        <f>IF($CX11="P",CK11,(CK11+BG11)/2)</f>
        <v>13.6</v>
      </c>
      <c r="NX11" s="61">
        <f>IF($CX11="P",CL11,(CL11+BH11)/2)</f>
        <v>14.905000000000001</v>
      </c>
      <c r="NY11" s="61">
        <f>IF($CX11="P",CM11,(CM11+BI11)/2)</f>
        <v>0</v>
      </c>
      <c r="NZ11" s="61">
        <f>IF($CX11="P",CN11,(CN11+BJ11)/2)</f>
        <v>0</v>
      </c>
      <c r="OA11" s="61">
        <f>IF($CX11="P",CO11,(CO11+BK11)/2)</f>
        <v>0</v>
      </c>
      <c r="OB11" s="61">
        <f>IF($CX11="P",CP11,(CP11+BL11)/2)</f>
        <v>0</v>
      </c>
      <c r="OC11" s="61">
        <f>IF($CX11="P",CQ11,(CQ11+BM11)/2)</f>
        <v>0</v>
      </c>
      <c r="OD11" s="61">
        <f>IF($CX11="P",CR11,(CR11+BN11)/2)</f>
        <v>0</v>
      </c>
      <c r="OE11" s="61">
        <f>IF($CX11="P",CS11,(CS11+BO11)/2)</f>
        <v>7.18</v>
      </c>
      <c r="OF11" s="61">
        <f>IF($CX11="P",CT11,(CT11+BP11)/2)</f>
        <v>4.75</v>
      </c>
      <c r="OG11" s="61">
        <f>IF($CX11="P",CU11,(CU11+BQ11)/2)</f>
        <v>6.85</v>
      </c>
      <c r="OH11" s="61">
        <f>IF($CX11="P",CV11,(CV11+BR11)/2)</f>
        <v>7.6325000000000003</v>
      </c>
      <c r="OI11" s="61">
        <f>IF($CX11="P",CW11,(CW11+BS11)/2)</f>
        <v>0</v>
      </c>
      <c r="OJ11" s="72" t="s">
        <v>52</v>
      </c>
      <c r="OK11" s="11">
        <f>IF(SUM(NP11:NS11)-NT11&gt;0,SUM(NP11:NS11)-NT11,"")</f>
        <v>46.635000000000005</v>
      </c>
      <c r="OL11" s="11">
        <f>IF(NW11&gt;0,NW11,"")</f>
        <v>13.6</v>
      </c>
      <c r="OM11" s="11">
        <f>IF(SUM(NU11:NX11)-NY11&gt;0,SUM(NU11:NX11)-NY11,"")</f>
        <v>51.980000000000004</v>
      </c>
      <c r="ON11" s="11" t="str">
        <f>IF(OB11&gt;0,OB11,"")</f>
        <v/>
      </c>
      <c r="OO11" s="11" t="str">
        <f>IF(SUM(NZ11:OC11)-OD11&gt;0,SUM(NZ11:OC11)-OD11,"")</f>
        <v/>
      </c>
      <c r="OP11" s="11">
        <f>IF(OR(OK11&lt;&gt;"",OM11&lt;&gt;"",OO11&lt;&gt;""),OK11+MAX(OM11,OO11),"")</f>
        <v>98.615000000000009</v>
      </c>
      <c r="OQ11" s="11">
        <f>IF(OG11&gt;0,OG11,"")</f>
        <v>6.85</v>
      </c>
      <c r="OR11" s="11">
        <f t="shared" si="0"/>
        <v>26.412500000000001</v>
      </c>
      <c r="OS11" s="11">
        <f t="shared" si="1"/>
        <v>125.0275</v>
      </c>
    </row>
    <row r="12" spans="1:409" x14ac:dyDescent="0.2">
      <c r="A12" s="5" t="str" cm="1">
        <f t="array" ref="A12">IF(AND(G12&lt;&gt;"",H12&lt;&gt;""),SUMPRODUCT((G$4:G$20&lt;&gt;"")*(H$4:H$20&lt;&gt;"")*(E$4:E$20&gt;E12))+1,IF(H12&lt;&gt;"",SUMPRODUCT((I$4:I$20="No DD")*(E$4:E$20&gt;E12))+1+SUMPRODUCT((G$4:G$20&lt;&gt;"")*(H$4:H$20&lt;&gt;"")),""))</f>
        <v/>
      </c>
      <c r="B12" s="6" t="s">
        <v>85</v>
      </c>
      <c r="C12" s="7" t="s">
        <v>3</v>
      </c>
      <c r="D12" s="7">
        <v>2003</v>
      </c>
      <c r="E12" s="15">
        <f>SUM(O12:S12)</f>
        <v>104.515</v>
      </c>
      <c r="F12" s="3" t="str">
        <f>IF(G12&lt;&gt;"","P","")</f>
        <v>P</v>
      </c>
      <c r="G12" s="115" t="str">
        <f>IF(OR(AND(AR12&gt;=AY$25,AR12&lt;&gt;"",AP12=""),AND(AT12&gt;=AY$25,AT12&lt;&gt;"",AP12=""),AND(AW12&gt;=AY$25,AW12&lt;&gt;"",AP12=""),AND(BV12&gt;=CC$25,BV12&lt;&gt;"",BT12=""),AND(BX12&gt;=CC$25,BX12&lt;&gt;"",BT12=""),AND(CA12&gt;=CC$25,CA12&lt;&gt;"",BT12=""),AND(CZ12&gt;=DG$25,CZ12&lt;&gt;"",CX12=""),AND(DB12&gt;=DG$25,DB12&lt;&gt;"",CX12=""),AND(DE12&gt;=DG$25,DE12&lt;&gt;"",CX12=""),AND(EA12&gt;=EG$25,EA12&lt;&gt;""),AND(EE12&gt;=EG$25,EE12&lt;&gt;""),AND(EW12&gt;=FC$25,EW12&lt;&gt;""),AND(FA12&gt;=FC$25,FA12&lt;&gt;""),AND(FS12&gt;=FY$25,FS12&lt;&gt;""),AND(FW12&gt;=FY$25,FW12&lt;&gt;""),AND(GO12&gt;=GU$25,GO12&lt;&gt;""),AND(GS12&gt;=GU$25,GS12&lt;&gt;""),AND(HK12&gt;=HQ$25,HK12&lt;&gt;""),AND(HO12&gt;=HQ$25,HO12&lt;&gt;""),AND(IG12&gt;=IM$25,IG12&lt;&gt;""),AND(IK12&gt;=IM$25,IK12&lt;&gt;""),AND(JC12&gt;=JI$25,JC12&lt;&gt;""),AND(JG12&gt;=JI$25,JG12&lt;&gt;""),AND(JY12&gt;=KE$25,JY12&lt;&gt;""),AND(KC12&gt;=KE$25,KC12&lt;&gt;""),AND(KU12&gt;=LA$25,KU12&lt;&gt;""),AND(KY12&gt;=LA$25,KY12&lt;&gt;""),AND(LQ12&gt;=LW$25,LQ12&lt;&gt;""),AND(LU12&gt;=LW$25,LU12&lt;&gt;""),AND(MM12&gt;=MS$25,MM12&lt;&gt;""),AND(MQ12&gt;=MS$25,MQ12&lt;&gt;""),AND(NI12&gt;=NO$25,NI12&lt;&gt;""),AND(NM12&gt;=NO$25,NM12&lt;&gt;"")),"Merit",IF(OR(AND(AR12&gt;=AY$24,AR12&lt;&gt;"",AP12=""),AND(AT12&gt;=AY$24,AT12&lt;&gt;"",AP12=""),AND(AW12&gt;=AY$24,AW12&lt;&gt;"",AP12=""),AND(BV12&gt;=CC$24,BV12&lt;&gt;"",BT12=""),AND(BX12&gt;=CC$24,BX12&lt;&gt;"",BT12=""),AND(CA12&gt;=CC$24,CA12&lt;&gt;"",BT12=""),AND(CZ12&gt;=DG$24,CZ12&lt;&gt;"",CX12=""),AND(DB12&gt;=DG$24,DB12&lt;&gt;"",CX12=""),AND(DE12&gt;=DG$24,DE12&lt;&gt;"",CX12=""),AND(EA12&gt;=EG$24,EA12&lt;&gt;""),AND(EE12&gt;=EG$24,EE12&lt;&gt;""),AND(EW12&gt;=FC$24,EW12&lt;&gt;""),AND(FA12&gt;=FC$24,FA12&lt;&gt;""),AND(FS12&gt;=FY$24,FS12&lt;&gt;""),AND(FW12&gt;=FY$24,FW12&lt;&gt;""),AND(GO12&gt;=GU$24,GO12&lt;&gt;""),AND(GS12&gt;=GU$24,GS12&lt;&gt;""),AND(HK12&gt;=HQ$24,HK12&lt;&gt;""),AND(HO12&gt;=HQ$24,HO12&lt;&gt;""),AND(IG12&gt;=IM$24,IG12&lt;&gt;""),AND(IK12&gt;=IM$24,IK12&lt;&gt;""),AND(JC12&gt;=JI$24,JC12&lt;&gt;""),AND(JG12&gt;=JI$24,JG12&lt;&gt;""),AND(JY12&gt;=KE$24,JY12&lt;&gt;""),AND(KC12&gt;=KE$24,KC12&lt;&gt;""),AND(KU12&gt;=LA$24,KU12&lt;&gt;""),AND(KY12&gt;=LA$24,KY12&lt;&gt;""),AND(LQ12&gt;=LW$24,LQ12&lt;&gt;""),AND(LU12&gt;=LW$24,LU12&lt;&gt;""),AND(MM12&gt;=MS$24,MM12&lt;&gt;""),AND(MQ12&gt;=MS$24,MQ12&lt;&gt;""),AND(NI12&gt;=NO$24,NI12&lt;&gt;""),AND(NM12&gt;=NO$24,NM12&lt;&gt;"")),"Excellence",IF(OR(AND(AR12&gt;=AY$23,AR12&lt;&gt;"",AP12=""),AND(AT12&gt;=AY$23,AT12&lt;&gt;"",AP12=""),AND(AW12&gt;=AY$23,AW12&lt;&gt;"",AP12=""),AND(BV12&gt;=CC$23,BV12&lt;&gt;"",BT12=""),AND(BX12&gt;=CC$23,BX12&lt;&gt;"",BT12=""),AND(CA12&gt;=CC$23,CA12&lt;&gt;"",BT12=""),AND(CZ12&gt;=DG$23,CZ12&lt;&gt;"",CX12=""),AND(DB12&gt;=DG$23,DB12&lt;&gt;"",CX12=""),AND(DE12&gt;=DG$23,DE12&lt;&gt;"",CX12=""),AND(EA12&gt;=EG$23,EA12&lt;&gt;""),AND(EE12&gt;=EG$23,EE12&lt;&gt;""),AND(EW12&gt;=FC$23,EW12&lt;&gt;""),AND(FA12&gt;=FC$23,FA12&lt;&gt;""),AND(FS12&gt;=FY$23,FS12&lt;&gt;""),AND(FW12&gt;=FY$23,FW12&lt;&gt;""),AND(GO12&gt;=GU$23,GO12&lt;&gt;""),AND(GS12&gt;=GU$23,GS12&lt;&gt;""),AND(HK12&gt;=HQ$23,HK12&lt;&gt;""),AND(HO12&gt;=HQ$23,HO12&lt;&gt;""),AND(IG12&gt;=IM$23,IG12&lt;&gt;""),AND(IK12&gt;=IM$23,IK12&lt;&gt;""),AND(JC12&gt;=JI$23,JC12&lt;&gt;""),AND(JG12&gt;=JI$23,JG12&lt;&gt;""),AND(JY12&gt;=KE$23,JY12&lt;&gt;""),AND(KC12&gt;=KE$23,KC12&lt;&gt;""),AND(KU12&gt;=LA$23,KU12&lt;&gt;""),AND(KY12&gt;=LA$23,KY12&lt;&gt;""),AND(LQ12&gt;=LW$23,LQ12&lt;&gt;""),AND(LU12&gt;=LW$23,LU12&lt;&gt;""),AND(MM12&gt;=MS$23,MM12&lt;&gt;""),AND(MQ12&gt;=MS$23,MQ12&lt;&gt;""),AND(NI12&gt;=NO$23,NI12&lt;&gt;""),AND(NM12&gt;=NO$23,NM12&lt;&gt;"")),"Worlds Team",IF(OR(AND(AR12&gt;=AY$22,AR12&lt;&gt;"",AP12=""),AND(AT12&gt;=AY$22,AT12&lt;&gt;"",AP12=""),AND(AW12&gt;=AY$22,AW12&lt;&gt;"",AP12=""),AND(BV12&gt;=CC$22,BV12&lt;&gt;"",BT12=""),AND(BX12&gt;=CC$22,BX12&lt;&gt;"",BT12=""),AND(CA12&gt;=CC$22,CA12&lt;&gt;"",BT12=""),AND(CZ12&gt;=DG$22,CZ12&lt;&gt;"",CX12=""),AND(DB12&gt;=DG$22,DB12&lt;&gt;"",CX12=""),AND(DE12&gt;=DG$22,DE12&lt;&gt;"",CX12=""),AND(EA12&gt;=EG$22,EA12&lt;&gt;""),AND(EE12&gt;=EG$22,EE12&lt;&gt;""),AND(EW12&gt;=FC$22,EW12&lt;&gt;""),AND(FA12&gt;=FC$22,FA12&lt;&gt;""),AND(FS12&gt;=FY$22,FS12&lt;&gt;""),AND(FW12&gt;=FY$22,FW12&lt;&gt;""),AND(GO12&gt;=GU$22,GO12&lt;&gt;""),AND(GS12&gt;=GU$22,GS12&lt;&gt;""),AND(HK12&gt;=HQ$22,HK12&lt;&gt;""),AND(HO12&gt;=HQ$22,HO12&lt;&gt;""),AND(IG12&gt;=IM$22,IG12&lt;&gt;""),AND(IK12&gt;=IM$22,IK12&lt;&gt;""),AND(JC12&gt;=JI$22,JC12&lt;&gt;""),AND(JG12&gt;=JI$22,JG12&lt;&gt;""),AND(JY12&gt;=KE$22,JY12&lt;&gt;""),AND(KC12&gt;=KE$22,KC12&lt;&gt;""),AND(KU12&gt;=LA$22,KU12&lt;&gt;""),AND(KY12&gt;=LA$22,KY12&lt;&gt;""),AND(LQ12&gt;=LW$22,LQ12&lt;&gt;""),AND(LU12&gt;=LW$22,LU12&lt;&gt;""),AND(MM12&gt;=MS$22,MM12&lt;&gt;""),AND(MQ12&gt;=MS$22,MQ12&lt;&gt;""),AND(NI12&gt;=NO$22,NI12&lt;&gt;""),AND(NM12&gt;=NO$22,NM12&lt;&gt;"")),"National Team",""))))</f>
        <v>National Team</v>
      </c>
      <c r="H12" s="115" t="str">
        <f>IF(OR(AND(AS12&gt;=AY$26,AS12&lt;&gt;"",AP12=""),AND(AU12&gt;=AY$26,AU12&lt;&gt;"",AP12=""),AND(AX12&gt;=AY$26,AX12&lt;&gt;"",AP12=""),AND(BW12&gt;=CC$26,BW12&lt;&gt;"",BT12=""),AND(BY12&gt;=CC$26,BY12&lt;&gt;"",BT12=""),AND(CB12&gt;=CC$26,CB12&lt;&gt;"",BT12=""),AND(DA12&gt;=DG$26,DA12&lt;&gt;"",CX12=""),AND(DC12&gt;=DG$26,DC12&lt;&gt;"",CX12=""),AND(DF12&gt;=DG$26,DF12&lt;&gt;"",CX12=""),AND(EC12&gt;=EG$26,EC12&lt;&gt;""),AND(EF12&gt;=EG$26,EF12&lt;&gt;""),AND(EY12&gt;=FC$26,EY12&lt;&gt;""),AND(FB12&gt;=FC$26,FB12&lt;&gt;""),AND(FU12&gt;=FY$26,FU12&lt;&gt;""),AND(FX12&gt;=FY$26,FX12&lt;&gt;""),AND(GQ12&gt;=GU$26,GQ12&lt;&gt;""),AND(GT12&gt;=GU$26,GT12&lt;&gt;""),AND(HM12&gt;=HQ$26,HM12&lt;&gt;""),AND(HP12&gt;=HQ$26,HP12&lt;&gt;""),AND(II12&gt;=IM$26,II12&lt;&gt;""),AND(IL12&gt;=IM$26,IL12&lt;&gt;""),AND(JE12&gt;=JI$26,JE12&lt;&gt;""),AND(JH12&gt;=JI$26,JH12&lt;&gt;""),AND(KA12&gt;=KE$26,KA12&lt;&gt;""),AND(KD12&gt;=KE$26,KD12&lt;&gt;""),AND(KW12&gt;=LA$26,KW12&lt;&gt;""),AND(KZ12&gt;=LA$26,KZ12&lt;&gt;""),AND(LS12&gt;=LW$26,LS12&lt;&gt;""),AND(LV12&gt;=LW$26,LV12&lt;&gt;""),AND(MO12&gt;=MS$26,MO12&lt;&gt;""),AND(MR12&gt;=MS$26,MR12&lt;&gt;""),AND(NK12&gt;=NO$26,NK12&lt;&gt;""),AND(NN12&gt;=NO$26,NN12&lt;&gt;"")),"National Team","")</f>
        <v/>
      </c>
      <c r="I12" s="11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$27,AV12&lt;&gt;"",AP12=""),AND(BZ12&gt;=CC$27,BZ12&lt;&gt;"",BT12=""),AND(DD12&gt;=DG$27,DD12&lt;&gt;"",CX12=""),AND(ED12&gt;=EG$27,ED12&lt;&gt;""),AND(EZ12&gt;=FC$27,EZ12&lt;&gt;""),AND(FV12&gt;=FY$27,FV12&lt;&gt;""),AND(GR12&gt;=GU$27,GR12&lt;&gt;""),AND(HN12&gt;=HQ$27,HN12&lt;&gt;""),AND(IJ12&gt;=IM$27,IJ12&lt;&gt;""),AND(JF12&gt;=JI$27,JF12&lt;&gt;""),AND(KB12&gt;=KE$27,KB12&lt;&gt;""),AND(KX12&gt;=LA$27,KX12&lt;&gt;""),AND(LT12&gt;=LW$27,LT12&lt;&gt;""),AND(MP12&gt;=MS$27,MP12&lt;&gt;""),AND(NL12&gt;=NO$27,NL12&lt;&gt;"")),OR(G12="Worlds Team",G12="Excellence",G12="Merit")),"P","")</f>
        <v/>
      </c>
      <c r="K12" s="14">
        <f>IF(MAX(AV12,BZ12,DD12)&gt;0,MAX(AV12,BZ12,DD12),0)</f>
        <v>100.17999999999999</v>
      </c>
      <c r="L12" s="14" t="str">
        <f>IF(K12=0,"",IF(K12=DD12,$CD$1,IF(K12=BZ12,$AZ$1,IF(K12=AV12,$V$1,""))))</f>
        <v>2021 1st Virtual Technical Trial</v>
      </c>
      <c r="M12" s="14">
        <f>IF($K12=$AV12,MAX(BU12,CY12),IF($K12=$BZ12,MAX(AQ12,CY12),IF($K12=$DD12,MAX(AQ12,BU12),MAX(AQ12,BU12,CY12))))</f>
        <v>46.495000000000005</v>
      </c>
      <c r="N12" s="14" t="str">
        <f>IF(M12=0,"",IF(AND(M12=CY12,$L12&lt;&gt;$CD$1),$CD$1,IF(AND(M12=BU12,$L12&lt;&gt;$AZ$1),$AZ$1,IF(AND(M12=AQ12,$L12&lt;&gt;$V$1),$V$1,""))))</f>
        <v>2019 Elite Canada</v>
      </c>
      <c r="O12" s="14">
        <f>MAX(AS12,AU12,AX12,BW12,BY12,CB12,DA12,DC12,DF12)</f>
        <v>52.64</v>
      </c>
      <c r="P12" s="14" t="str">
        <f>IF(O12=0,"",IF(OR(O12=DC12,O12=DA12,O12=DF12),$CD$1,IF(OR(O12=BY12,O12=BW12,O12=CB12),$AZ$1,IF(OR(O12=AU12,O12=AS12,O12=AX12),$V$1,""))))</f>
        <v>2021 1st Virtual Technical Trial</v>
      </c>
      <c r="Q12" s="14">
        <f>IF(COUNT(AS12,AU12,AX12,BW12,BY12,CB12,DA12,DC12,DF12)&gt;1,LARGE((AS12,AU12,AX12,BW12,BY12,CB12,DA12,DC12,DF12),2),0)</f>
        <v>51.875</v>
      </c>
      <c r="R12" s="14" t="str">
        <f>IF(Q12=0,"",IF(OR(Q12=DC12,Q12=DA12,Q12=DF12),$CD$1,IF(OR(Q12=BY12,Q12=BW12,Q12=CB12),$AZ$1,IF(OR(Q12=AU12,Q12=AS12,Q12=AX12),$V$1,""))))</f>
        <v>2019 Elite Canada</v>
      </c>
      <c r="S12" s="14" t="str">
        <f>IF(MAX(DI12,DK12)&gt;0,MAX(DI12,DK12),"")</f>
        <v/>
      </c>
      <c r="T12" s="24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1">
        <v>17.100000000000001</v>
      </c>
      <c r="W12" s="61">
        <v>9.35</v>
      </c>
      <c r="X12" s="61">
        <v>3.9</v>
      </c>
      <c r="Y12" s="61">
        <v>16.145</v>
      </c>
      <c r="Z12" s="61">
        <v>0</v>
      </c>
      <c r="AA12" s="61">
        <v>13.3</v>
      </c>
      <c r="AB12" s="61">
        <v>9.6</v>
      </c>
      <c r="AC12" s="61">
        <v>13.8</v>
      </c>
      <c r="AD12" s="61">
        <v>15.175000000000001</v>
      </c>
      <c r="AE12" s="61">
        <v>0</v>
      </c>
      <c r="AF12" s="61"/>
      <c r="AG12" s="61"/>
      <c r="AH12" s="61"/>
      <c r="AI12" s="61"/>
      <c r="AJ12" s="61"/>
      <c r="AK12" s="61">
        <v>13.8</v>
      </c>
      <c r="AL12" s="61">
        <v>9</v>
      </c>
      <c r="AM12" s="61">
        <v>13.8</v>
      </c>
      <c r="AN12" s="61">
        <v>14.904999999999999</v>
      </c>
      <c r="AO12" s="61">
        <v>0</v>
      </c>
      <c r="AP12" s="72"/>
      <c r="AQ12" s="11">
        <f>IF(SUM(V12:Y12)-Z12&gt;0,SUM(V12:Y12)-Z12,"")</f>
        <v>46.495000000000005</v>
      </c>
      <c r="AR12" s="11">
        <f>IF(AC12&gt;0,AC12,"")</f>
        <v>13.8</v>
      </c>
      <c r="AS12" s="11">
        <f>IF(SUM(AA12:AD12)-AE12&gt;0,SUM(AA12:AD12)-AE12,"")</f>
        <v>51.875</v>
      </c>
      <c r="AT12" s="11" t="str">
        <f>IF(AH12&gt;0,AH12,"")</f>
        <v/>
      </c>
      <c r="AU12" s="11" t="str">
        <f>IF(SUM(AF12:AI12)-AJ12&gt;0,SUM(AF12:AI12)-AJ12,"")</f>
        <v/>
      </c>
      <c r="AV12" s="11">
        <f>IF(OR(AQ12&lt;&gt;"",AS12&lt;&gt;"",AU12&lt;&gt;""),AQ12+MAX(AS12,AU12),"")</f>
        <v>98.37</v>
      </c>
      <c r="AW12" s="11">
        <f>IF(AM12&gt;0,AM12,"")</f>
        <v>13.8</v>
      </c>
      <c r="AX12" s="11">
        <f>IF(SUM(AK12:AN12)-AO12&gt;0,SUM(AK12:AN12)-AO12,"")</f>
        <v>51.505000000000003</v>
      </c>
      <c r="AY12" s="11">
        <f>IF(SUM(AV12,AX12)&gt;0,SUM(AV12,AX12),"")</f>
        <v>149.875</v>
      </c>
      <c r="AZ12" s="67">
        <v>17.7</v>
      </c>
      <c r="BA12" s="67">
        <v>8.9</v>
      </c>
      <c r="BB12" s="67">
        <v>3.9</v>
      </c>
      <c r="BC12" s="67">
        <v>15.935</v>
      </c>
      <c r="BD12" s="67">
        <v>0</v>
      </c>
      <c r="BE12" s="67">
        <v>13.7</v>
      </c>
      <c r="BF12" s="67">
        <v>8.6999999999999993</v>
      </c>
      <c r="BG12" s="67">
        <v>13.8</v>
      </c>
      <c r="BH12" s="67">
        <v>15.404999999999999</v>
      </c>
      <c r="BI12" s="67">
        <v>0</v>
      </c>
      <c r="BJ12" s="67"/>
      <c r="BK12" s="67"/>
      <c r="BL12" s="67"/>
      <c r="BM12" s="67"/>
      <c r="BN12" s="67"/>
      <c r="BO12" s="67">
        <v>5.44</v>
      </c>
      <c r="BP12" s="67">
        <v>3.5</v>
      </c>
      <c r="BQ12" s="67">
        <v>6.1</v>
      </c>
      <c r="BR12" s="67">
        <v>6.1749999999999998</v>
      </c>
      <c r="BS12" s="67">
        <v>0</v>
      </c>
      <c r="BT12" s="73"/>
      <c r="BU12" s="14">
        <f>IF(SUM(AZ12:BC12)-BD12&gt;0,SUM(AZ12:BC12)-BD12,"")</f>
        <v>46.435000000000002</v>
      </c>
      <c r="BV12" s="14">
        <f>IF(BG12&gt;0,BG12,"")</f>
        <v>13.8</v>
      </c>
      <c r="BW12" s="14">
        <f>IF(SUM(BE12:BH12)-BI12&gt;0,SUM(BE12:BH12)-BI12,"")</f>
        <v>51.605000000000004</v>
      </c>
      <c r="BX12" s="14" t="str">
        <f>IF(BL12&gt;0,BL12,"")</f>
        <v/>
      </c>
      <c r="BY12" s="14" t="str">
        <f>IF(SUM(BJ12:BM12)-BN12&gt;0,SUM(BJ12:BM12)-BN12,"")</f>
        <v/>
      </c>
      <c r="BZ12" s="14">
        <f>IF(BU12="",IF(MAX(BW12,BY12)&gt;0,MAX(BW12,BY12),""),MAX(BW12,BY12)+BU12)</f>
        <v>98.04</v>
      </c>
      <c r="CA12" s="14">
        <f>IF(BQ12&gt;0,BQ12,"")</f>
        <v>6.1</v>
      </c>
      <c r="CB12" s="14">
        <f>IF(SUM(BO12:BR12)-BS12&gt;0,SUM(BO12:BR12)-BS12,"")</f>
        <v>21.215</v>
      </c>
      <c r="CC12" s="14">
        <f>IF(SUM(BZ12,CB12)&gt;0,SUM(BZ12,CB12),"")</f>
        <v>119.25500000000001</v>
      </c>
      <c r="CD12" s="61">
        <v>17.7</v>
      </c>
      <c r="CE12" s="61">
        <v>9.6</v>
      </c>
      <c r="CF12" s="61">
        <v>3.9</v>
      </c>
      <c r="CG12" s="61">
        <v>16.34</v>
      </c>
      <c r="CH12" s="61">
        <v>0</v>
      </c>
      <c r="CI12" s="61">
        <v>14.3</v>
      </c>
      <c r="CJ12" s="61">
        <v>8.9</v>
      </c>
      <c r="CK12" s="61">
        <v>13.6</v>
      </c>
      <c r="CL12" s="61">
        <v>14.59</v>
      </c>
      <c r="CM12" s="61">
        <v>0</v>
      </c>
      <c r="CN12" s="61">
        <v>14.6</v>
      </c>
      <c r="CO12" s="61">
        <v>9.1</v>
      </c>
      <c r="CP12" s="61">
        <v>13.8</v>
      </c>
      <c r="CQ12" s="61">
        <v>15.14</v>
      </c>
      <c r="CR12" s="61">
        <v>0</v>
      </c>
      <c r="CS12" s="61">
        <v>13</v>
      </c>
      <c r="CT12" s="61">
        <v>8.9</v>
      </c>
      <c r="CU12" s="61">
        <v>13.8</v>
      </c>
      <c r="CV12" s="61">
        <v>14.96</v>
      </c>
      <c r="CW12" s="61">
        <v>0</v>
      </c>
      <c r="CX12" s="72"/>
      <c r="CY12" s="11">
        <f>IF(SUM(CD12:CG12)-CH12&gt;0,SUM(CD12:CG12)-CH12,"")</f>
        <v>47.539999999999992</v>
      </c>
      <c r="CZ12" s="11">
        <f>IF(CK12&gt;0,CK12,"")</f>
        <v>13.6</v>
      </c>
      <c r="DA12" s="11">
        <f>IF(SUM(CI12:CL12)-CM12&gt;0,SUM(CI12:CL12)-CM12,"")</f>
        <v>51.39</v>
      </c>
      <c r="DB12" s="11">
        <f>IF(CP12&gt;0,CP12,"")</f>
        <v>13.8</v>
      </c>
      <c r="DC12" s="11">
        <f>IF(SUM(CN12:CQ12)-CR12&gt;0,SUM(CN12:CQ12)-CR12,"")</f>
        <v>52.64</v>
      </c>
      <c r="DD12" s="11">
        <f>IF(CY12="",IF(MAX(DA12,DC12)&gt;0,MAX(DA12,DC12),""),MAX(DA12,DC12)+CY12)</f>
        <v>100.17999999999999</v>
      </c>
      <c r="DE12" s="11">
        <f>IF(CU12&gt;0,CU12,"")</f>
        <v>13.8</v>
      </c>
      <c r="DF12" s="11">
        <f>IF(SUM(CS12:CV12)-CW12&gt;0,SUM(CS12:CV12)-CW12,"")</f>
        <v>50.660000000000004</v>
      </c>
      <c r="DG12" s="11">
        <f>IF(SUM(DD12,DF12)&gt;0,SUM(DD12,DF12),"")</f>
        <v>150.84</v>
      </c>
      <c r="DH12" s="23" t="str">
        <f>IF(MAX(EB12,EX12,FT12,GP12,HL12,IH12,JD12,JZ12,KV12,LR12,MN12,NJ12)-IF(M12="",0,M12)&gt;0.001,MAX(EB12,EX12,FT12,GP12,HL12,IH12,JD12,JZ12,KV12,LR12,MN12,NJ12)-IF(M12="",0,M12),"")</f>
        <v/>
      </c>
      <c r="DI12" s="23" t="str">
        <f>IF(MAX(EC12,EY12,FU12,GQ12,HM12,II12,JE12,KA12,KW12,LS12,MO12,NK12)-IF(O12="",0,O12)&gt;0.001,MAX(EC12,EY12,FU12,GQ12,HM12,II12,JE12,KA12,KW12,LS12,MO12,NK12)-IF(O12="",0,O12),"")</f>
        <v/>
      </c>
      <c r="DJ12" s="23" t="str">
        <f>IF(MAX(ED12,EZ12,FV12,GR12,HN12,IJ12,JF12,KB12,KX12,LT12,MP12,NL12)-IF(K12="",0,K12)&gt;0.001,MAX(ED12,EZ12,FV12,GR12,HN12,IJ12,JF12,KB12,KX12,LT12,MP12,NL12)-IF(K12="",0,K12),"")</f>
        <v/>
      </c>
      <c r="DK12" s="23" t="str">
        <f>IF(MAX(EF12,FB12,FX12,GT12,HP12,IL12,JH12,KD12,KZ12,LV12,MR12,NN12)-IF(Q12="",0,Q12)&gt;0.001,MAX(EF12,FB12,FX12,GT12,HP12,IL12,JH12,KD12,KZ12,LV12,MR12,NN12)-IF(Q12="",0,Q12),"")</f>
        <v/>
      </c>
      <c r="DL12" s="35">
        <v>16.100000000000001</v>
      </c>
      <c r="DM12" s="35">
        <v>9.5</v>
      </c>
      <c r="DN12" s="35">
        <v>0</v>
      </c>
      <c r="DO12" s="35">
        <v>15.89</v>
      </c>
      <c r="DP12" s="35">
        <v>0</v>
      </c>
      <c r="DQ12" s="35">
        <v>14.2</v>
      </c>
      <c r="DR12" s="35">
        <v>9.6</v>
      </c>
      <c r="DS12" s="35">
        <v>13.4</v>
      </c>
      <c r="DT12" s="35">
        <v>15.09</v>
      </c>
      <c r="DU12" s="35">
        <v>0</v>
      </c>
      <c r="DV12" s="35"/>
      <c r="DW12" s="35"/>
      <c r="DX12" s="35"/>
      <c r="DY12" s="35"/>
      <c r="DZ12" s="35"/>
      <c r="EA12" s="11">
        <f>IF(DS12&gt;0,DS12,"")</f>
        <v>13.4</v>
      </c>
      <c r="EB12" s="11">
        <f>IF(SUM(DL12:DO12)-DP12&gt;0,SUM(DL12:DO12)-DP12,"")</f>
        <v>41.49</v>
      </c>
      <c r="EC12" s="11">
        <f>IF(SUM(DQ12:DT12)-DU12&gt;0,SUM(DQ12:DT12)-DU12,"")</f>
        <v>52.289999999999992</v>
      </c>
      <c r="ED12" s="11">
        <f>IF(SUM(EB12:EC12)&gt;0,SUM(EB12:EC12),"")</f>
        <v>93.78</v>
      </c>
      <c r="EE12" s="11" t="str">
        <f>IF(DX12&gt;0,DX12,"")</f>
        <v/>
      </c>
      <c r="EF12" s="11" t="str">
        <f>IF(SUM(DV12:DY12)-DZ12&gt;0,SUM(DV12:DY12)-DZ12,"")</f>
        <v/>
      </c>
      <c r="EG12" s="11">
        <f>IF(SUM(ED12,EF12)&gt;0,SUM(ED12,EF12),"")</f>
        <v>93.78</v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1">
        <f>IF($CX12="P",CD12,(CD12+AZ12)/2)</f>
        <v>17.7</v>
      </c>
      <c r="NQ12" s="61">
        <f>IF($CX12="P",CE12,(CE12+BA12)/2)</f>
        <v>9.25</v>
      </c>
      <c r="NR12" s="61">
        <f>IF($CX12="P",CF12,(CF12+BB12)/2)</f>
        <v>3.9</v>
      </c>
      <c r="NS12" s="61">
        <f>IF($CX12="P",CG12,(CG12+BC12)/2)</f>
        <v>16.137499999999999</v>
      </c>
      <c r="NT12" s="61">
        <f>IF($CX12="P",CH12,(CH12+BD12)/2)</f>
        <v>0</v>
      </c>
      <c r="NU12" s="61">
        <f>IF($CX12="P",CI12,(CI12+BE12)/2)</f>
        <v>14</v>
      </c>
      <c r="NV12" s="61">
        <f>IF($CX12="P",CJ12,(CJ12+BF12)/2)</f>
        <v>8.8000000000000007</v>
      </c>
      <c r="NW12" s="61">
        <f>IF($CX12="P",CK12,(CK12+BG12)/2)</f>
        <v>13.7</v>
      </c>
      <c r="NX12" s="61">
        <f>IF($CX12="P",CL12,(CL12+BH12)/2)</f>
        <v>14.997499999999999</v>
      </c>
      <c r="NY12" s="61">
        <f>IF($CX12="P",CM12,(CM12+BI12)/2)</f>
        <v>0</v>
      </c>
      <c r="NZ12" s="61">
        <f>IF($CX12="P",CN12,(CN12+BJ12)/2)</f>
        <v>7.3</v>
      </c>
      <c r="OA12" s="61">
        <f>IF($CX12="P",CO12,(CO12+BK12)/2)</f>
        <v>4.55</v>
      </c>
      <c r="OB12" s="61">
        <f>IF($CX12="P",CP12,(CP12+BL12)/2)</f>
        <v>6.9</v>
      </c>
      <c r="OC12" s="61">
        <f>IF($CX12="P",CQ12,(CQ12+BM12)/2)</f>
        <v>7.57</v>
      </c>
      <c r="OD12" s="61">
        <f>IF($CX12="P",CR12,(CR12+BN12)/2)</f>
        <v>0</v>
      </c>
      <c r="OE12" s="61">
        <f>IF($CX12="P",CS12,(CS12+BO12)/2)</f>
        <v>9.2200000000000006</v>
      </c>
      <c r="OF12" s="61">
        <f>IF($CX12="P",CT12,(CT12+BP12)/2)</f>
        <v>6.2</v>
      </c>
      <c r="OG12" s="61">
        <f>IF($CX12="P",CU12,(CU12+BQ12)/2)</f>
        <v>9.9499999999999993</v>
      </c>
      <c r="OH12" s="61">
        <f>IF($CX12="P",CV12,(CV12+BR12)/2)</f>
        <v>10.567500000000001</v>
      </c>
      <c r="OI12" s="61">
        <f>IF($CX12="P",CW12,(CW12+BS12)/2)</f>
        <v>0</v>
      </c>
      <c r="OJ12" s="72" t="s">
        <v>52</v>
      </c>
      <c r="OK12" s="11">
        <f>IF(SUM(NP12:NS12)-NT12&gt;0,SUM(NP12:NS12)-NT12,"")</f>
        <v>46.987499999999997</v>
      </c>
      <c r="OL12" s="11">
        <f>IF(NW12&gt;0,NW12,"")</f>
        <v>13.7</v>
      </c>
      <c r="OM12" s="11">
        <f>IF(SUM(NU12:NX12)-NY12&gt;0,SUM(NU12:NX12)-NY12,"")</f>
        <v>51.497500000000002</v>
      </c>
      <c r="ON12" s="11">
        <f>IF(OB12&gt;0,OB12,"")</f>
        <v>6.9</v>
      </c>
      <c r="OO12" s="11">
        <f>IF(SUM(NZ12:OC12)-OD12&gt;0,SUM(NZ12:OC12)-OD12,"")</f>
        <v>26.32</v>
      </c>
      <c r="OP12" s="11">
        <f>IF(OR(OK12&lt;&gt;"",OM12&lt;&gt;"",OO12&lt;&gt;""),OK12+MAX(OM12,OO12),"")</f>
        <v>98.484999999999999</v>
      </c>
      <c r="OQ12" s="11">
        <f>IF(OG12&gt;0,OG12,"")</f>
        <v>9.9499999999999993</v>
      </c>
      <c r="OR12" s="11">
        <f t="shared" ref="OR12" si="2">IF(SUM(OE12:OH12)-OI12&gt;0,SUM(OE12:OH12)-OI12,"")</f>
        <v>35.9375</v>
      </c>
      <c r="OS12" s="11">
        <f t="shared" ref="OS12" si="3">IF(SUM(OP12,OR12)&gt;0,SUM(OP12,OR12),"")</f>
        <v>134.42250000000001</v>
      </c>
    </row>
    <row r="13" spans="1:409" x14ac:dyDescent="0.2">
      <c r="A13" s="5" t="str" cm="1">
        <f t="array" ref="A13">IF(AND(G13&lt;&gt;"",H13&lt;&gt;""),SUMPRODUCT((G$4:G$20&lt;&gt;"")*(H$4:H$20&lt;&gt;"")*(E$4:E$20&gt;E13))+1,IF(H13&lt;&gt;"",SUMPRODUCT((I$4:I$20="No DD")*(E$4:E$20&gt;E13))+1+SUMPRODUCT((G$4:G$20&lt;&gt;"")*(H$4:H$20&lt;&gt;"")),""))</f>
        <v/>
      </c>
      <c r="B13" s="6" t="s">
        <v>87</v>
      </c>
      <c r="C13" s="7" t="s">
        <v>3</v>
      </c>
      <c r="D13" s="26">
        <v>2002</v>
      </c>
      <c r="E13" s="15">
        <f>SUM(O13:S13)</f>
        <v>99.27</v>
      </c>
      <c r="F13" s="3" t="str">
        <f>IF(G13&lt;&gt;"","P","")</f>
        <v>P</v>
      </c>
      <c r="G13" s="115" t="str">
        <f>IF(OR(AND(AR13&gt;=AY$25,AR13&lt;&gt;"",AP13=""),AND(AT13&gt;=AY$25,AT13&lt;&gt;"",AP13=""),AND(AW13&gt;=AY$25,AW13&lt;&gt;"",AP13=""),AND(BV13&gt;=CC$25,BV13&lt;&gt;"",BT13=""),AND(BX13&gt;=CC$25,BX13&lt;&gt;"",BT13=""),AND(CA13&gt;=CC$25,CA13&lt;&gt;"",BT13=""),AND(CZ13&gt;=DG$25,CZ13&lt;&gt;"",CX13=""),AND(DB13&gt;=DG$25,DB13&lt;&gt;"",CX13=""),AND(DE13&gt;=DG$25,DE13&lt;&gt;"",CX13=""),AND(EA13&gt;=EG$25,EA13&lt;&gt;""),AND(EE13&gt;=EG$25,EE13&lt;&gt;""),AND(EW13&gt;=FC$25,EW13&lt;&gt;""),AND(FA13&gt;=FC$25,FA13&lt;&gt;""),AND(FS13&gt;=FY$25,FS13&lt;&gt;""),AND(FW13&gt;=FY$25,FW13&lt;&gt;""),AND(GO13&gt;=GU$25,GO13&lt;&gt;""),AND(GS13&gt;=GU$25,GS13&lt;&gt;""),AND(HK13&gt;=HQ$25,HK13&lt;&gt;""),AND(HO13&gt;=HQ$25,HO13&lt;&gt;""),AND(IG13&gt;=IM$25,IG13&lt;&gt;""),AND(IK13&gt;=IM$25,IK13&lt;&gt;""),AND(JC13&gt;=JI$25,JC13&lt;&gt;""),AND(JG13&gt;=JI$25,JG13&lt;&gt;""),AND(JY13&gt;=KE$25,JY13&lt;&gt;""),AND(KC13&gt;=KE$25,KC13&lt;&gt;""),AND(KU13&gt;=LA$25,KU13&lt;&gt;""),AND(KY13&gt;=LA$25,KY13&lt;&gt;""),AND(LQ13&gt;=LW$25,LQ13&lt;&gt;""),AND(LU13&gt;=LW$25,LU13&lt;&gt;""),AND(MM13&gt;=MS$25,MM13&lt;&gt;""),AND(MQ13&gt;=MS$25,MQ13&lt;&gt;""),AND(NI13&gt;=NO$25,NI13&lt;&gt;""),AND(NM13&gt;=NO$25,NM13&lt;&gt;"")),"Merit",IF(OR(AND(AR13&gt;=AY$24,AR13&lt;&gt;"",AP13=""),AND(AT13&gt;=AY$24,AT13&lt;&gt;"",AP13=""),AND(AW13&gt;=AY$24,AW13&lt;&gt;"",AP13=""),AND(BV13&gt;=CC$24,BV13&lt;&gt;"",BT13=""),AND(BX13&gt;=CC$24,BX13&lt;&gt;"",BT13=""),AND(CA13&gt;=CC$24,CA13&lt;&gt;"",BT13=""),AND(CZ13&gt;=DG$24,CZ13&lt;&gt;"",CX13=""),AND(DB13&gt;=DG$24,DB13&lt;&gt;"",CX13=""),AND(DE13&gt;=DG$24,DE13&lt;&gt;"",CX13=""),AND(EA13&gt;=EG$24,EA13&lt;&gt;""),AND(EE13&gt;=EG$24,EE13&lt;&gt;""),AND(EW13&gt;=FC$24,EW13&lt;&gt;""),AND(FA13&gt;=FC$24,FA13&lt;&gt;""),AND(FS13&gt;=FY$24,FS13&lt;&gt;""),AND(FW13&gt;=FY$24,FW13&lt;&gt;""),AND(GO13&gt;=GU$24,GO13&lt;&gt;""),AND(GS13&gt;=GU$24,GS13&lt;&gt;""),AND(HK13&gt;=HQ$24,HK13&lt;&gt;""),AND(HO13&gt;=HQ$24,HO13&lt;&gt;""),AND(IG13&gt;=IM$24,IG13&lt;&gt;""),AND(IK13&gt;=IM$24,IK13&lt;&gt;""),AND(JC13&gt;=JI$24,JC13&lt;&gt;""),AND(JG13&gt;=JI$24,JG13&lt;&gt;""),AND(JY13&gt;=KE$24,JY13&lt;&gt;""),AND(KC13&gt;=KE$24,KC13&lt;&gt;""),AND(KU13&gt;=LA$24,KU13&lt;&gt;""),AND(KY13&gt;=LA$24,KY13&lt;&gt;""),AND(LQ13&gt;=LW$24,LQ13&lt;&gt;""),AND(LU13&gt;=LW$24,LU13&lt;&gt;""),AND(MM13&gt;=MS$24,MM13&lt;&gt;""),AND(MQ13&gt;=MS$24,MQ13&lt;&gt;""),AND(NI13&gt;=NO$24,NI13&lt;&gt;""),AND(NM13&gt;=NO$24,NM13&lt;&gt;"")),"Excellence",IF(OR(AND(AR13&gt;=AY$23,AR13&lt;&gt;"",AP13=""),AND(AT13&gt;=AY$23,AT13&lt;&gt;"",AP13=""),AND(AW13&gt;=AY$23,AW13&lt;&gt;"",AP13=""),AND(BV13&gt;=CC$23,BV13&lt;&gt;"",BT13=""),AND(BX13&gt;=CC$23,BX13&lt;&gt;"",BT13=""),AND(CA13&gt;=CC$23,CA13&lt;&gt;"",BT13=""),AND(CZ13&gt;=DG$23,CZ13&lt;&gt;"",CX13=""),AND(DB13&gt;=DG$23,DB13&lt;&gt;"",CX13=""),AND(DE13&gt;=DG$23,DE13&lt;&gt;"",CX13=""),AND(EA13&gt;=EG$23,EA13&lt;&gt;""),AND(EE13&gt;=EG$23,EE13&lt;&gt;""),AND(EW13&gt;=FC$23,EW13&lt;&gt;""),AND(FA13&gt;=FC$23,FA13&lt;&gt;""),AND(FS13&gt;=FY$23,FS13&lt;&gt;""),AND(FW13&gt;=FY$23,FW13&lt;&gt;""),AND(GO13&gt;=GU$23,GO13&lt;&gt;""),AND(GS13&gt;=GU$23,GS13&lt;&gt;""),AND(HK13&gt;=HQ$23,HK13&lt;&gt;""),AND(HO13&gt;=HQ$23,HO13&lt;&gt;""),AND(IG13&gt;=IM$23,IG13&lt;&gt;""),AND(IK13&gt;=IM$23,IK13&lt;&gt;""),AND(JC13&gt;=JI$23,JC13&lt;&gt;""),AND(JG13&gt;=JI$23,JG13&lt;&gt;""),AND(JY13&gt;=KE$23,JY13&lt;&gt;""),AND(KC13&gt;=KE$23,KC13&lt;&gt;""),AND(KU13&gt;=LA$23,KU13&lt;&gt;""),AND(KY13&gt;=LA$23,KY13&lt;&gt;""),AND(LQ13&gt;=LW$23,LQ13&lt;&gt;""),AND(LU13&gt;=LW$23,LU13&lt;&gt;""),AND(MM13&gt;=MS$23,MM13&lt;&gt;""),AND(MQ13&gt;=MS$23,MQ13&lt;&gt;""),AND(NI13&gt;=NO$23,NI13&lt;&gt;""),AND(NM13&gt;=NO$23,NM13&lt;&gt;"")),"Worlds Team",IF(OR(AND(AR13&gt;=AY$22,AR13&lt;&gt;"",AP13=""),AND(AT13&gt;=AY$22,AT13&lt;&gt;"",AP13=""),AND(AW13&gt;=AY$22,AW13&lt;&gt;"",AP13=""),AND(BV13&gt;=CC$22,BV13&lt;&gt;"",BT13=""),AND(BX13&gt;=CC$22,BX13&lt;&gt;"",BT13=""),AND(CA13&gt;=CC$22,CA13&lt;&gt;"",BT13=""),AND(CZ13&gt;=DG$22,CZ13&lt;&gt;"",CX13=""),AND(DB13&gt;=DG$22,DB13&lt;&gt;"",CX13=""),AND(DE13&gt;=DG$22,DE13&lt;&gt;"",CX13=""),AND(EA13&gt;=EG$22,EA13&lt;&gt;""),AND(EE13&gt;=EG$22,EE13&lt;&gt;""),AND(EW13&gt;=FC$22,EW13&lt;&gt;""),AND(FA13&gt;=FC$22,FA13&lt;&gt;""),AND(FS13&gt;=FY$22,FS13&lt;&gt;""),AND(FW13&gt;=FY$22,FW13&lt;&gt;""),AND(GO13&gt;=GU$22,GO13&lt;&gt;""),AND(GS13&gt;=GU$22,GS13&lt;&gt;""),AND(HK13&gt;=HQ$22,HK13&lt;&gt;""),AND(HO13&gt;=HQ$22,HO13&lt;&gt;""),AND(IG13&gt;=IM$22,IG13&lt;&gt;""),AND(IK13&gt;=IM$22,IK13&lt;&gt;""),AND(JC13&gt;=JI$22,JC13&lt;&gt;""),AND(JG13&gt;=JI$22,JG13&lt;&gt;""),AND(JY13&gt;=KE$22,JY13&lt;&gt;""),AND(KC13&gt;=KE$22,KC13&lt;&gt;""),AND(KU13&gt;=LA$22,KU13&lt;&gt;""),AND(KY13&gt;=LA$22,KY13&lt;&gt;""),AND(LQ13&gt;=LW$22,LQ13&lt;&gt;""),AND(LU13&gt;=LW$22,LU13&lt;&gt;""),AND(MM13&gt;=MS$22,MM13&lt;&gt;""),AND(MQ13&gt;=MS$22,MQ13&lt;&gt;""),AND(NI13&gt;=NO$22,NI13&lt;&gt;""),AND(NM13&gt;=NO$22,NM13&lt;&gt;"")),"National Team",""))))</f>
        <v>National Team</v>
      </c>
      <c r="H13" s="115" t="str">
        <f>IF(OR(AND(AS13&gt;=AY$26,AS13&lt;&gt;"",AP13=""),AND(AU13&gt;=AY$26,AU13&lt;&gt;"",AP13=""),AND(AX13&gt;=AY$26,AX13&lt;&gt;"",AP13=""),AND(BW13&gt;=CC$26,BW13&lt;&gt;"",BT13=""),AND(BY13&gt;=CC$26,BY13&lt;&gt;"",BT13=""),AND(CB13&gt;=CC$26,CB13&lt;&gt;"",BT13=""),AND(DA13&gt;=DG$26,DA13&lt;&gt;"",CX13=""),AND(DC13&gt;=DG$26,DC13&lt;&gt;"",CX13=""),AND(DF13&gt;=DG$26,DF13&lt;&gt;"",CX13=""),AND(EC13&gt;=EG$26,EC13&lt;&gt;""),AND(EF13&gt;=EG$26,EF13&lt;&gt;""),AND(EY13&gt;=FC$26,EY13&lt;&gt;""),AND(FB13&gt;=FC$26,FB13&lt;&gt;""),AND(FU13&gt;=FY$26,FU13&lt;&gt;""),AND(FX13&gt;=FY$26,FX13&lt;&gt;""),AND(GQ13&gt;=GU$26,GQ13&lt;&gt;""),AND(GT13&gt;=GU$26,GT13&lt;&gt;""),AND(HM13&gt;=HQ$26,HM13&lt;&gt;""),AND(HP13&gt;=HQ$26,HP13&lt;&gt;""),AND(II13&gt;=IM$26,II13&lt;&gt;""),AND(IL13&gt;=IM$26,IL13&lt;&gt;""),AND(JE13&gt;=JI$26,JE13&lt;&gt;""),AND(JH13&gt;=JI$26,JH13&lt;&gt;""),AND(KA13&gt;=KE$26,KA13&lt;&gt;""),AND(KD13&gt;=KE$26,KD13&lt;&gt;""),AND(KW13&gt;=LA$26,KW13&lt;&gt;""),AND(KZ13&gt;=LA$26,KZ13&lt;&gt;""),AND(LS13&gt;=LW$26,LS13&lt;&gt;""),AND(LV13&gt;=LW$26,LV13&lt;&gt;""),AND(MO13&gt;=MS$26,MO13&lt;&gt;""),AND(MR13&gt;=MS$26,MR13&lt;&gt;""),AND(NK13&gt;=NO$26,NK13&lt;&gt;""),AND(NN13&gt;=NO$26,NN13&lt;&gt;"")),"National Team","")</f>
        <v/>
      </c>
      <c r="I13" s="11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$27,AV13&lt;&gt;"",AP13=""),AND(BZ13&gt;=CC$27,BZ13&lt;&gt;"",BT13=""),AND(DD13&gt;=DG$27,DD13&lt;&gt;"",CX13=""),AND(ED13&gt;=EG$27,ED13&lt;&gt;""),AND(EZ13&gt;=FC$27,EZ13&lt;&gt;""),AND(FV13&gt;=FY$27,FV13&lt;&gt;""),AND(GR13&gt;=GU$27,GR13&lt;&gt;""),AND(HN13&gt;=HQ$27,HN13&lt;&gt;""),AND(IJ13&gt;=IM$27,IJ13&lt;&gt;""),AND(JF13&gt;=JI$27,JF13&lt;&gt;""),AND(KB13&gt;=KE$27,KB13&lt;&gt;""),AND(KX13&gt;=LA$27,KX13&lt;&gt;""),AND(LT13&gt;=LW$27,LT13&lt;&gt;""),AND(MP13&gt;=MS$27,MP13&lt;&gt;""),AND(NL13&gt;=NO$27,NL13&lt;&gt;"")),OR(G13="Worlds Team",G13="Excellence",G13="Merit")),"P","")</f>
        <v/>
      </c>
      <c r="K13" s="14">
        <f>IF(MAX(AV13,BZ13,DD13)&gt;0,MAX(AV13,BZ13,DD13),0)</f>
        <v>86.834999999999994</v>
      </c>
      <c r="L13" s="14" t="str">
        <f>IF(K13=0,"",IF(K13=DD13,$CD$1,IF(K13=BZ13,$AZ$1,IF(K13=AV13,$V$1,""))))</f>
        <v>2019 Elite Canada</v>
      </c>
      <c r="M13" s="14">
        <f>IF($K13=$AV13,MAX(BU13,CY13),IF($K13=$BZ13,MAX(AQ13,CY13),IF($K13=$DD13,MAX(AQ13,BU13),MAX(AQ13,BU13,CY13))))</f>
        <v>47.56</v>
      </c>
      <c r="N13" s="14" t="str">
        <f>IF(M13=0,"",IF(AND(M13=CY13,$L13&lt;&gt;$CD$1),$CD$1,IF(AND(M13=BU13,$L13&lt;&gt;$AZ$1),$AZ$1,IF(AND(M13=AQ13,$L13&lt;&gt;$V$1),$V$1,""))))</f>
        <v>2019 Nationals</v>
      </c>
      <c r="O13" s="14">
        <f>MAX(AS13,AU13,AX13,BW13,BY13,CB13,DA13,DC13,DF13)</f>
        <v>51.364999999999995</v>
      </c>
      <c r="P13" s="14" t="str">
        <f>IF(O13=0,"",IF(OR(O13=DC13,O13=DA13,O13=DF13),$CD$1,IF(OR(O13=BY13,O13=BW13,O13=CB13),$AZ$1,IF(OR(O13=AU13,O13=AS13,O13=AX13),$V$1,""))))</f>
        <v>2019 Elite Canada</v>
      </c>
      <c r="Q13" s="14">
        <f>IF(COUNT(AS13,AU13,AX13,BW13,BY13,CB13,DA13,DC13,DF13)&gt;1,LARGE((AS13,AU13,AX13,BW13,BY13,CB13,DA13,DC13,DF13),2),0)</f>
        <v>47.905000000000001</v>
      </c>
      <c r="R13" s="14" t="str">
        <f>IF(Q13=0,"",IF(OR(Q13=DC13,Q13=DA13,Q13=DF13),$CD$1,IF(OR(Q13=BY13,Q13=BW13,Q13=CB13),$AZ$1,IF(OR(Q13=AU13,Q13=AS13,Q13=AX13),$V$1,""))))</f>
        <v>2019 Elite Canada</v>
      </c>
      <c r="S13" s="14" t="str">
        <f>IF(MAX(DI13,DK13)&gt;0,MAX(DI13,DK13),"")</f>
        <v/>
      </c>
      <c r="T13" s="24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1">
        <v>12.9</v>
      </c>
      <c r="W13" s="61">
        <v>7.3</v>
      </c>
      <c r="X13" s="61">
        <v>1.9</v>
      </c>
      <c r="Y13" s="61">
        <v>13.37</v>
      </c>
      <c r="Z13" s="61">
        <v>0</v>
      </c>
      <c r="AA13" s="61">
        <v>13.1</v>
      </c>
      <c r="AB13" s="61">
        <v>8.9499999999999993</v>
      </c>
      <c r="AC13" s="61">
        <v>13.5</v>
      </c>
      <c r="AD13" s="61">
        <v>15.815</v>
      </c>
      <c r="AE13" s="61">
        <v>0</v>
      </c>
      <c r="AF13" s="61"/>
      <c r="AG13" s="61"/>
      <c r="AH13" s="61"/>
      <c r="AI13" s="61"/>
      <c r="AJ13" s="61"/>
      <c r="AK13" s="61">
        <v>13.7</v>
      </c>
      <c r="AL13" s="61">
        <v>8.15</v>
      </c>
      <c r="AM13" s="61">
        <v>11.9</v>
      </c>
      <c r="AN13" s="61">
        <v>14.154999999999999</v>
      </c>
      <c r="AO13" s="61">
        <v>0</v>
      </c>
      <c r="AP13" s="72"/>
      <c r="AQ13" s="11">
        <f>IF(SUM(V13:Y13)-Z13&gt;0,SUM(V13:Y13)-Z13,"")</f>
        <v>35.47</v>
      </c>
      <c r="AR13" s="11">
        <f>IF(AC13&gt;0,AC13,"")</f>
        <v>13.5</v>
      </c>
      <c r="AS13" s="11">
        <f>IF(SUM(AA13:AD13)-AE13&gt;0,SUM(AA13:AD13)-AE13,"")</f>
        <v>51.364999999999995</v>
      </c>
      <c r="AT13" s="11" t="str">
        <f>IF(AH13&gt;0,AH13,"")</f>
        <v/>
      </c>
      <c r="AU13" s="11" t="str">
        <f>IF(SUM(AF13:AI13)-AJ13&gt;0,SUM(AF13:AI13)-AJ13,"")</f>
        <v/>
      </c>
      <c r="AV13" s="11">
        <f>IF(OR(AQ13&lt;&gt;"",AS13&lt;&gt;"",AU13&lt;&gt;""),AQ13+MAX(AS13,AU13),"")</f>
        <v>86.834999999999994</v>
      </c>
      <c r="AW13" s="11">
        <f>IF(AM13&gt;0,AM13,"")</f>
        <v>11.9</v>
      </c>
      <c r="AX13" s="11">
        <f>IF(SUM(AK13:AN13)-AO13&gt;0,SUM(AK13:AN13)-AO13,"")</f>
        <v>47.905000000000001</v>
      </c>
      <c r="AY13" s="11">
        <f>IF(SUM(AV13,AX13)&gt;0,SUM(AV13,AX13),"")</f>
        <v>134.74</v>
      </c>
      <c r="AZ13" s="67">
        <v>17.5</v>
      </c>
      <c r="BA13" s="67">
        <v>9.6</v>
      </c>
      <c r="BB13" s="67">
        <v>3.9</v>
      </c>
      <c r="BC13" s="67">
        <v>16.559999999999999</v>
      </c>
      <c r="BD13" s="67">
        <v>0</v>
      </c>
      <c r="BE13" s="67">
        <v>7.5</v>
      </c>
      <c r="BF13" s="67">
        <v>4.4000000000000004</v>
      </c>
      <c r="BG13" s="67">
        <v>6.4</v>
      </c>
      <c r="BH13" s="67">
        <v>7.0949999999999998</v>
      </c>
      <c r="BI13" s="67">
        <v>0</v>
      </c>
      <c r="BJ13" s="67"/>
      <c r="BK13" s="67"/>
      <c r="BL13" s="67"/>
      <c r="BM13" s="67"/>
      <c r="BN13" s="67"/>
      <c r="BO13" s="67"/>
      <c r="BP13" s="67"/>
      <c r="BQ13" s="67"/>
      <c r="BR13" s="67"/>
      <c r="BS13" s="67"/>
      <c r="BT13" s="73"/>
      <c r="BU13" s="14">
        <f>IF(SUM(AZ13:BC13)-BD13&gt;0,SUM(AZ13:BC13)-BD13,"")</f>
        <v>47.56</v>
      </c>
      <c r="BV13" s="14">
        <f>IF(BG13&gt;0,BG13,"")</f>
        <v>6.4</v>
      </c>
      <c r="BW13" s="14">
        <f>IF(SUM(BE13:BH13)-BI13&gt;0,SUM(BE13:BH13)-BI13,"")</f>
        <v>25.395</v>
      </c>
      <c r="BX13" s="14" t="str">
        <f>IF(BL13&gt;0,BL13,"")</f>
        <v/>
      </c>
      <c r="BY13" s="14" t="str">
        <f>IF(SUM(BJ13:BM13)-BN13&gt;0,SUM(BJ13:BM13)-BN13,"")</f>
        <v/>
      </c>
      <c r="BZ13" s="14">
        <f>IF(BU13="",IF(MAX(BW13,BY13)&gt;0,MAX(BW13,BY13),""),MAX(BW13,BY13)+BU13)</f>
        <v>72.954999999999998</v>
      </c>
      <c r="CA13" s="14" t="str">
        <f>IF(BQ13&gt;0,BQ13,"")</f>
        <v/>
      </c>
      <c r="CB13" s="14" t="str">
        <f>IF(SUM(BO13:BR13)-BS13&gt;0,SUM(BO13:BR13)-BS13,"")</f>
        <v/>
      </c>
      <c r="CC13" s="14">
        <f>IF(SUM(BZ13,CB13)&gt;0,SUM(BZ13,CB13),"")</f>
        <v>72.954999999999998</v>
      </c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72"/>
      <c r="CY13" s="11" t="str">
        <f>IF(SUM(CD13:CG13)-CH13&gt;0,SUM(CD13:CG13)-CH13,"")</f>
        <v/>
      </c>
      <c r="CZ13" s="11" t="str">
        <f>IF(CK13&gt;0,CK13,"")</f>
        <v/>
      </c>
      <c r="DA13" s="11" t="str">
        <f>IF(SUM(CI13:CL13)-CM13&gt;0,SUM(CI13:CL13)-CM13,"")</f>
        <v/>
      </c>
      <c r="DB13" s="11" t="str">
        <f>IF(CP13&gt;0,CP13,"")</f>
        <v/>
      </c>
      <c r="DC13" s="11" t="str">
        <f>IF(SUM(CN13:CQ13)-CR13&gt;0,SUM(CN13:CQ13)-CR13,"")</f>
        <v/>
      </c>
      <c r="DD13" s="11" t="str">
        <f>IF(CY13="",IF(MAX(DA13,DC13)&gt;0,MAX(DA13,DC13),""),MAX(DA13,DC13)+CY13)</f>
        <v/>
      </c>
      <c r="DE13" s="11" t="str">
        <f>IF(CU13&gt;0,CU13,"")</f>
        <v/>
      </c>
      <c r="DF13" s="11" t="str">
        <f>IF(SUM(CS13:CV13)-CW13&gt;0,SUM(CS13:CV13)-CW13,"")</f>
        <v/>
      </c>
      <c r="DG13" s="11" t="str">
        <f>IF(SUM(DD13,DF13)&gt;0,SUM(DD13,DF13),"")</f>
        <v/>
      </c>
      <c r="DH13" s="23" t="str">
        <f>IF(MAX(EB13,EX13,FT13,GP13,HL13,IH13,JD13,JZ13,KV13,LR13,MN13,NJ13)-IF(M13="",0,M13)&gt;0.001,MAX(EB13,EX13,FT13,GP13,HL13,IH13,JD13,JZ13,KV13,LR13,MN13,NJ13)-IF(M13="",0,M13),"")</f>
        <v/>
      </c>
      <c r="DI13" s="23" t="str">
        <f>IF(MAX(EC13,EY13,FU13,GQ13,HM13,II13,JE13,KA13,KW13,LS13,MO13,NK13)-IF(O13="",0,O13)&gt;0.001,MAX(EC13,EY13,FU13,GQ13,HM13,II13,JE13,KA13,KW13,LS13,MO13,NK13)-IF(O13="",0,O13),"")</f>
        <v/>
      </c>
      <c r="DJ13" s="23" t="str">
        <f>IF(MAX(ED13,EZ13,FV13,GR13,HN13,IJ13,JF13,KB13,KX13,LT13,MP13,NL13)-IF(K13="",0,K13)&gt;0.001,MAX(ED13,EZ13,FV13,GR13,HN13,IJ13,JF13,KB13,KX13,LT13,MP13,NL13)-IF(K13="",0,K13),"")</f>
        <v/>
      </c>
      <c r="DK13" s="23" t="str">
        <f>IF(MAX(EF13,FB13,FX13,GT13,HP13,IL13,JH13,KD13,KZ13,LV13,MR13,NN13)-IF(Q13="",0,Q13)&gt;0.001,MAX(EF13,FB13,FX13,GT13,HP13,IL13,JH13,KD13,KZ13,LV13,MR13,NN13)-IF(Q13="",0,Q13),"")</f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1">
        <f>IF($CX13="P",CD13,(CD13+AZ13)/2)</f>
        <v>8.75</v>
      </c>
      <c r="NQ13" s="61">
        <f>IF($CX13="P",CE13,(CE13+BA13)/2)</f>
        <v>4.8</v>
      </c>
      <c r="NR13" s="61">
        <f>IF($CX13="P",CF13,(CF13+BB13)/2)</f>
        <v>1.95</v>
      </c>
      <c r="NS13" s="61">
        <f>IF($CX13="P",CG13,(CG13+BC13)/2)</f>
        <v>8.2799999999999994</v>
      </c>
      <c r="NT13" s="61">
        <f>IF($CX13="P",CH13,(CH13+BD13)/2)</f>
        <v>0</v>
      </c>
      <c r="NU13" s="61">
        <f>IF($CX13="P",CI13,(CI13+BE13)/2)</f>
        <v>3.75</v>
      </c>
      <c r="NV13" s="61">
        <f>IF($CX13="P",CJ13,(CJ13+BF13)/2)</f>
        <v>2.2000000000000002</v>
      </c>
      <c r="NW13" s="61">
        <f>IF($CX13="P",CK13,(CK13+BG13)/2)</f>
        <v>3.2</v>
      </c>
      <c r="NX13" s="61">
        <f>IF($CX13="P",CL13,(CL13+BH13)/2)</f>
        <v>3.5474999999999999</v>
      </c>
      <c r="NY13" s="61">
        <f>IF($CX13="P",CM13,(CM13+BI13)/2)</f>
        <v>0</v>
      </c>
      <c r="NZ13" s="61">
        <f>IF($CX13="P",CN13,(CN13+BJ13)/2)</f>
        <v>0</v>
      </c>
      <c r="OA13" s="61">
        <f>IF($CX13="P",CO13,(CO13+BK13)/2)</f>
        <v>0</v>
      </c>
      <c r="OB13" s="61">
        <f>IF($CX13="P",CP13,(CP13+BL13)/2)</f>
        <v>0</v>
      </c>
      <c r="OC13" s="61">
        <f>IF($CX13="P",CQ13,(CQ13+BM13)/2)</f>
        <v>0</v>
      </c>
      <c r="OD13" s="61">
        <f>IF($CX13="P",CR13,(CR13+BN13)/2)</f>
        <v>0</v>
      </c>
      <c r="OE13" s="61">
        <f>IF($CX13="P",CS13,(CS13+BO13)/2)</f>
        <v>0</v>
      </c>
      <c r="OF13" s="61">
        <f>IF($CX13="P",CT13,(CT13+BP13)/2)</f>
        <v>0</v>
      </c>
      <c r="OG13" s="61">
        <f>IF($CX13="P",CU13,(CU13+BQ13)/2)</f>
        <v>0</v>
      </c>
      <c r="OH13" s="61">
        <f>IF($CX13="P",CV13,(CV13+BR13)/2)</f>
        <v>0</v>
      </c>
      <c r="OI13" s="61">
        <f>IF($CX13="P",CW13,(CW13+BS13)/2)</f>
        <v>0</v>
      </c>
      <c r="OJ13" s="72" t="s">
        <v>52</v>
      </c>
      <c r="OK13" s="11">
        <f>IF(SUM(NP13:NS13)-NT13&gt;0,SUM(NP13:NS13)-NT13,"")</f>
        <v>23.78</v>
      </c>
      <c r="OL13" s="11">
        <f>IF(NW13&gt;0,NW13,"")</f>
        <v>3.2</v>
      </c>
      <c r="OM13" s="11">
        <f>IF(SUM(NU13:NX13)-NY13&gt;0,SUM(NU13:NX13)-NY13,"")</f>
        <v>12.6975</v>
      </c>
      <c r="ON13" s="11" t="str">
        <f>IF(OB13&gt;0,OB13,"")</f>
        <v/>
      </c>
      <c r="OO13" s="11" t="str">
        <f>IF(SUM(NZ13:OC13)-OD13&gt;0,SUM(NZ13:OC13)-OD13,"")</f>
        <v/>
      </c>
      <c r="OP13" s="11">
        <f>IF(OR(OK13&lt;&gt;"",OM13&lt;&gt;"",OO13&lt;&gt;""),OK13+MAX(OM13,OO13),"")</f>
        <v>36.477499999999999</v>
      </c>
      <c r="OQ13" s="11" t="str">
        <f>IF(OG13&gt;0,OG13,"")</f>
        <v/>
      </c>
      <c r="OR13" s="11" t="str">
        <f t="shared" ref="OR13" si="4">IF(SUM(OE13:OH13)-OI13&gt;0,SUM(OE13:OH13)-OI13,"")</f>
        <v/>
      </c>
      <c r="OS13" s="11">
        <f t="shared" ref="OS13" si="5">IF(SUM(OP13,OR13)&gt;0,SUM(OP13,OR13),"")</f>
        <v>36.477499999999999</v>
      </c>
    </row>
    <row r="14" spans="1:409" x14ac:dyDescent="0.2">
      <c r="A14" s="5" t="str" cm="1">
        <f t="array" ref="A14">IF(AND(G14&lt;&gt;"",H14&lt;&gt;""),SUMPRODUCT((G$4:G$20&lt;&gt;"")*(H$4:H$20&lt;&gt;"")*(E$4:E$20&gt;E14))+1,IF(H14&lt;&gt;"",SUMPRODUCT((I$4:I$20="No DD")*(E$4:E$20&gt;E14))+1+SUMPRODUCT((G$4:G$20&lt;&gt;"")*(H$4:H$20&lt;&gt;"")),""))</f>
        <v/>
      </c>
      <c r="B14" s="6" t="s">
        <v>113</v>
      </c>
      <c r="C14" s="7" t="s">
        <v>5</v>
      </c>
      <c r="D14" s="26">
        <v>2002</v>
      </c>
      <c r="E14" s="15">
        <f>SUM(O14:S14)</f>
        <v>101.85499999999999</v>
      </c>
      <c r="F14" s="3" t="str">
        <f>IF(G14&lt;&gt;"","P","")</f>
        <v/>
      </c>
      <c r="G14" s="115" t="str">
        <f>IF(OR(AND(AR14&gt;=AY$25,AR14&lt;&gt;"",AP14=""),AND(AT14&gt;=AY$25,AT14&lt;&gt;"",AP14=""),AND(AW14&gt;=AY$25,AW14&lt;&gt;"",AP14=""),AND(BV14&gt;=CC$25,BV14&lt;&gt;"",BT14=""),AND(BX14&gt;=CC$25,BX14&lt;&gt;"",BT14=""),AND(CA14&gt;=CC$25,CA14&lt;&gt;"",BT14=""),AND(CZ14&gt;=DG$25,CZ14&lt;&gt;"",CX14=""),AND(DB14&gt;=DG$25,DB14&lt;&gt;"",CX14=""),AND(DE14&gt;=DG$25,DE14&lt;&gt;"",CX14=""),AND(EA14&gt;=EG$25,EA14&lt;&gt;""),AND(EE14&gt;=EG$25,EE14&lt;&gt;""),AND(EW14&gt;=FC$25,EW14&lt;&gt;""),AND(FA14&gt;=FC$25,FA14&lt;&gt;""),AND(FS14&gt;=FY$25,FS14&lt;&gt;""),AND(FW14&gt;=FY$25,FW14&lt;&gt;""),AND(GO14&gt;=GU$25,GO14&lt;&gt;""),AND(GS14&gt;=GU$25,GS14&lt;&gt;""),AND(HK14&gt;=HQ$25,HK14&lt;&gt;""),AND(HO14&gt;=HQ$25,HO14&lt;&gt;""),AND(IG14&gt;=IM$25,IG14&lt;&gt;""),AND(IK14&gt;=IM$25,IK14&lt;&gt;""),AND(JC14&gt;=JI$25,JC14&lt;&gt;""),AND(JG14&gt;=JI$25,JG14&lt;&gt;""),AND(JY14&gt;=KE$25,JY14&lt;&gt;""),AND(KC14&gt;=KE$25,KC14&lt;&gt;""),AND(KU14&gt;=LA$25,KU14&lt;&gt;""),AND(KY14&gt;=LA$25,KY14&lt;&gt;""),AND(LQ14&gt;=LW$25,LQ14&lt;&gt;""),AND(LU14&gt;=LW$25,LU14&lt;&gt;""),AND(MM14&gt;=MS$25,MM14&lt;&gt;""),AND(MQ14&gt;=MS$25,MQ14&lt;&gt;""),AND(NI14&gt;=NO$25,NI14&lt;&gt;""),AND(NM14&gt;=NO$25,NM14&lt;&gt;"")),"Merit",IF(OR(AND(AR14&gt;=AY$24,AR14&lt;&gt;"",AP14=""),AND(AT14&gt;=AY$24,AT14&lt;&gt;"",AP14=""),AND(AW14&gt;=AY$24,AW14&lt;&gt;"",AP14=""),AND(BV14&gt;=CC$24,BV14&lt;&gt;"",BT14=""),AND(BX14&gt;=CC$24,BX14&lt;&gt;"",BT14=""),AND(CA14&gt;=CC$24,CA14&lt;&gt;"",BT14=""),AND(CZ14&gt;=DG$24,CZ14&lt;&gt;"",CX14=""),AND(DB14&gt;=DG$24,DB14&lt;&gt;"",CX14=""),AND(DE14&gt;=DG$24,DE14&lt;&gt;"",CX14=""),AND(EA14&gt;=EG$24,EA14&lt;&gt;""),AND(EE14&gt;=EG$24,EE14&lt;&gt;""),AND(EW14&gt;=FC$24,EW14&lt;&gt;""),AND(FA14&gt;=FC$24,FA14&lt;&gt;""),AND(FS14&gt;=FY$24,FS14&lt;&gt;""),AND(FW14&gt;=FY$24,FW14&lt;&gt;""),AND(GO14&gt;=GU$24,GO14&lt;&gt;""),AND(GS14&gt;=GU$24,GS14&lt;&gt;""),AND(HK14&gt;=HQ$24,HK14&lt;&gt;""),AND(HO14&gt;=HQ$24,HO14&lt;&gt;""),AND(IG14&gt;=IM$24,IG14&lt;&gt;""),AND(IK14&gt;=IM$24,IK14&lt;&gt;""),AND(JC14&gt;=JI$24,JC14&lt;&gt;""),AND(JG14&gt;=JI$24,JG14&lt;&gt;""),AND(JY14&gt;=KE$24,JY14&lt;&gt;""),AND(KC14&gt;=KE$24,KC14&lt;&gt;""),AND(KU14&gt;=LA$24,KU14&lt;&gt;""),AND(KY14&gt;=LA$24,KY14&lt;&gt;""),AND(LQ14&gt;=LW$24,LQ14&lt;&gt;""),AND(LU14&gt;=LW$24,LU14&lt;&gt;""),AND(MM14&gt;=MS$24,MM14&lt;&gt;""),AND(MQ14&gt;=MS$24,MQ14&lt;&gt;""),AND(NI14&gt;=NO$24,NI14&lt;&gt;""),AND(NM14&gt;=NO$24,NM14&lt;&gt;"")),"Excellence",IF(OR(AND(AR14&gt;=AY$23,AR14&lt;&gt;"",AP14=""),AND(AT14&gt;=AY$23,AT14&lt;&gt;"",AP14=""),AND(AW14&gt;=AY$23,AW14&lt;&gt;"",AP14=""),AND(BV14&gt;=CC$23,BV14&lt;&gt;"",BT14=""),AND(BX14&gt;=CC$23,BX14&lt;&gt;"",BT14=""),AND(CA14&gt;=CC$23,CA14&lt;&gt;"",BT14=""),AND(CZ14&gt;=DG$23,CZ14&lt;&gt;"",CX14=""),AND(DB14&gt;=DG$23,DB14&lt;&gt;"",CX14=""),AND(DE14&gt;=DG$23,DE14&lt;&gt;"",CX14=""),AND(EA14&gt;=EG$23,EA14&lt;&gt;""),AND(EE14&gt;=EG$23,EE14&lt;&gt;""),AND(EW14&gt;=FC$23,EW14&lt;&gt;""),AND(FA14&gt;=FC$23,FA14&lt;&gt;""),AND(FS14&gt;=FY$23,FS14&lt;&gt;""),AND(FW14&gt;=FY$23,FW14&lt;&gt;""),AND(GO14&gt;=GU$23,GO14&lt;&gt;""),AND(GS14&gt;=GU$23,GS14&lt;&gt;""),AND(HK14&gt;=HQ$23,HK14&lt;&gt;""),AND(HO14&gt;=HQ$23,HO14&lt;&gt;""),AND(IG14&gt;=IM$23,IG14&lt;&gt;""),AND(IK14&gt;=IM$23,IK14&lt;&gt;""),AND(JC14&gt;=JI$23,JC14&lt;&gt;""),AND(JG14&gt;=JI$23,JG14&lt;&gt;""),AND(JY14&gt;=KE$23,JY14&lt;&gt;""),AND(KC14&gt;=KE$23,KC14&lt;&gt;""),AND(KU14&gt;=LA$23,KU14&lt;&gt;""),AND(KY14&gt;=LA$23,KY14&lt;&gt;""),AND(LQ14&gt;=LW$23,LQ14&lt;&gt;""),AND(LU14&gt;=LW$23,LU14&lt;&gt;""),AND(MM14&gt;=MS$23,MM14&lt;&gt;""),AND(MQ14&gt;=MS$23,MQ14&lt;&gt;""),AND(NI14&gt;=NO$23,NI14&lt;&gt;""),AND(NM14&gt;=NO$23,NM14&lt;&gt;"")),"Worlds Team",IF(OR(AND(AR14&gt;=AY$22,AR14&lt;&gt;"",AP14=""),AND(AT14&gt;=AY$22,AT14&lt;&gt;"",AP14=""),AND(AW14&gt;=AY$22,AW14&lt;&gt;"",AP14=""),AND(BV14&gt;=CC$22,BV14&lt;&gt;"",BT14=""),AND(BX14&gt;=CC$22,BX14&lt;&gt;"",BT14=""),AND(CA14&gt;=CC$22,CA14&lt;&gt;"",BT14=""),AND(CZ14&gt;=DG$22,CZ14&lt;&gt;"",CX14=""),AND(DB14&gt;=DG$22,DB14&lt;&gt;"",CX14=""),AND(DE14&gt;=DG$22,DE14&lt;&gt;"",CX14=""),AND(EA14&gt;=EG$22,EA14&lt;&gt;""),AND(EE14&gt;=EG$22,EE14&lt;&gt;""),AND(EW14&gt;=FC$22,EW14&lt;&gt;""),AND(FA14&gt;=FC$22,FA14&lt;&gt;""),AND(FS14&gt;=FY$22,FS14&lt;&gt;""),AND(FW14&gt;=FY$22,FW14&lt;&gt;""),AND(GO14&gt;=GU$22,GO14&lt;&gt;""),AND(GS14&gt;=GU$22,GS14&lt;&gt;""),AND(HK14&gt;=HQ$22,HK14&lt;&gt;""),AND(HO14&gt;=HQ$22,HO14&lt;&gt;""),AND(IG14&gt;=IM$22,IG14&lt;&gt;""),AND(IK14&gt;=IM$22,IK14&lt;&gt;""),AND(JC14&gt;=JI$22,JC14&lt;&gt;""),AND(JG14&gt;=JI$22,JG14&lt;&gt;""),AND(JY14&gt;=KE$22,JY14&lt;&gt;""),AND(KC14&gt;=KE$22,KC14&lt;&gt;""),AND(KU14&gt;=LA$22,KU14&lt;&gt;""),AND(KY14&gt;=LA$22,KY14&lt;&gt;""),AND(LQ14&gt;=LW$22,LQ14&lt;&gt;""),AND(LU14&gt;=LW$22,LU14&lt;&gt;""),AND(MM14&gt;=MS$22,MM14&lt;&gt;""),AND(MQ14&gt;=MS$22,MQ14&lt;&gt;""),AND(NI14&gt;=NO$22,NI14&lt;&gt;""),AND(NM14&gt;=NO$22,NM14&lt;&gt;"")),"National Team",""))))</f>
        <v/>
      </c>
      <c r="H14" s="115" t="str">
        <f>IF(OR(AND(AS14&gt;=AY$26,AS14&lt;&gt;"",AP14=""),AND(AU14&gt;=AY$26,AU14&lt;&gt;"",AP14=""),AND(AX14&gt;=AY$26,AX14&lt;&gt;"",AP14=""),AND(BW14&gt;=CC$26,BW14&lt;&gt;"",BT14=""),AND(BY14&gt;=CC$26,BY14&lt;&gt;"",BT14=""),AND(CB14&gt;=CC$26,CB14&lt;&gt;"",BT14=""),AND(DA14&gt;=DG$26,DA14&lt;&gt;"",CX14=""),AND(DC14&gt;=DG$26,DC14&lt;&gt;"",CX14=""),AND(DF14&gt;=DG$26,DF14&lt;&gt;"",CX14=""),AND(EC14&gt;=EG$26,EC14&lt;&gt;""),AND(EF14&gt;=EG$26,EF14&lt;&gt;""),AND(EY14&gt;=FC$26,EY14&lt;&gt;""),AND(FB14&gt;=FC$26,FB14&lt;&gt;""),AND(FU14&gt;=FY$26,FU14&lt;&gt;""),AND(FX14&gt;=FY$26,FX14&lt;&gt;""),AND(GQ14&gt;=GU$26,GQ14&lt;&gt;""),AND(GT14&gt;=GU$26,GT14&lt;&gt;""),AND(HM14&gt;=HQ$26,HM14&lt;&gt;""),AND(HP14&gt;=HQ$26,HP14&lt;&gt;""),AND(II14&gt;=IM$26,II14&lt;&gt;""),AND(IL14&gt;=IM$26,IL14&lt;&gt;""),AND(JE14&gt;=JI$26,JE14&lt;&gt;""),AND(JH14&gt;=JI$26,JH14&lt;&gt;""),AND(KA14&gt;=KE$26,KA14&lt;&gt;""),AND(KD14&gt;=KE$26,KD14&lt;&gt;""),AND(KW14&gt;=LA$26,KW14&lt;&gt;""),AND(KZ14&gt;=LA$26,KZ14&lt;&gt;""),AND(LS14&gt;=LW$26,LS14&lt;&gt;""),AND(LV14&gt;=LW$26,LV14&lt;&gt;""),AND(MO14&gt;=MS$26,MO14&lt;&gt;""),AND(MR14&gt;=MS$26,MR14&lt;&gt;""),AND(NK14&gt;=NO$26,NK14&lt;&gt;""),AND(NN14&gt;=NO$26,NN14&lt;&gt;"")),"National Team","")</f>
        <v/>
      </c>
      <c r="I14" s="11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$27,AV14&lt;&gt;"",AP14=""),AND(BZ14&gt;=CC$27,BZ14&lt;&gt;"",BT14=""),AND(DD14&gt;=DG$27,DD14&lt;&gt;"",CX14=""),AND(ED14&gt;=EG$27,ED14&lt;&gt;""),AND(EZ14&gt;=FC$27,EZ14&lt;&gt;""),AND(FV14&gt;=FY$27,FV14&lt;&gt;""),AND(GR14&gt;=GU$27,GR14&lt;&gt;""),AND(HN14&gt;=HQ$27,HN14&lt;&gt;""),AND(IJ14&gt;=IM$27,IJ14&lt;&gt;""),AND(JF14&gt;=JI$27,JF14&lt;&gt;""),AND(KB14&gt;=KE$27,KB14&lt;&gt;""),AND(KX14&gt;=LA$27,KX14&lt;&gt;""),AND(LT14&gt;=LW$27,LT14&lt;&gt;""),AND(MP14&gt;=MS$27,MP14&lt;&gt;""),AND(NL14&gt;=NO$27,NL14&lt;&gt;"")),OR(G14="Worlds Team",G14="Excellence",G14="Merit")),"P","")</f>
        <v/>
      </c>
      <c r="K14" s="14">
        <f>IF(MAX(AV14,BZ14,DD14)&gt;0,MAX(AV14,BZ14,DD14),0)</f>
        <v>93.89</v>
      </c>
      <c r="L14" s="14" t="str">
        <f>IF(K14=0,"",IF(K14=DD14,$CD$1,IF(K14=BZ14,$AZ$1,IF(K14=AV14,$V$1,""))))</f>
        <v>2019 Elite Canada</v>
      </c>
      <c r="M14" s="14">
        <f>IF($K14=$AV14,MAX(BU14,CY14),IF($K14=$BZ14,MAX(AQ14,CY14),IF($K14=$DD14,MAX(AQ14,BU14),MAX(AQ14,BU14,CY14))))</f>
        <v>43.515000000000001</v>
      </c>
      <c r="N14" s="14" t="str">
        <f>IF(M14=0,"",IF(AND(M14=CY14,$L14&lt;&gt;$CD$1),$CD$1,IF(AND(M14=BU14,$L14&lt;&gt;$AZ$1),$AZ$1,IF(AND(M14=AQ14,$L14&lt;&gt;$V$1),$V$1,""))))</f>
        <v>2019 Nationals</v>
      </c>
      <c r="O14" s="14">
        <f>MAX(AS14,AU14,AX14,BW14,BY14,CB14,DA14,DC14,DF14)</f>
        <v>51.305</v>
      </c>
      <c r="P14" s="14" t="str">
        <f>IF(O14=0,"",IF(OR(O14=DC14,O14=DA14,O14=DF14),$CD$1,IF(OR(O14=BY14,O14=BW14,O14=CB14),$AZ$1,IF(OR(O14=AU14,O14=AS14,O14=AX14),$V$1,""))))</f>
        <v>2019 Nationals</v>
      </c>
      <c r="Q14" s="14">
        <f>IF(COUNT(AS14,AU14,AX14,BW14,BY14,CB14,DA14,DC14,DF14)&gt;1,LARGE((AS14,AU14,AX14,BW14,BY14,CB14,DA14,DC14,DF14),2),0)</f>
        <v>50.55</v>
      </c>
      <c r="R14" s="14" t="str">
        <f>IF(Q14=0,"",IF(OR(Q14=DC14,Q14=DA14,Q14=DF14),$CD$1,IF(OR(Q14=BY14,Q14=BW14,Q14=CB14),$AZ$1,IF(OR(Q14=AU14,Q14=AS14,Q14=AX14),$V$1,""))))</f>
        <v>2019 Elite Canada</v>
      </c>
      <c r="S14" s="14" t="str">
        <f>IF(MAX(DI14,DK14)&gt;0,MAX(DI14,DK14),"")</f>
        <v/>
      </c>
      <c r="T14" s="24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1">
        <v>16.7</v>
      </c>
      <c r="W14" s="61">
        <v>9.3000000000000007</v>
      </c>
      <c r="X14" s="61">
        <v>2</v>
      </c>
      <c r="Y14" s="61">
        <v>15.34</v>
      </c>
      <c r="Z14" s="61">
        <v>0</v>
      </c>
      <c r="AA14" s="61">
        <v>13.7</v>
      </c>
      <c r="AB14" s="61">
        <v>9.35</v>
      </c>
      <c r="AC14" s="61">
        <v>12</v>
      </c>
      <c r="AD14" s="61">
        <v>15.5</v>
      </c>
      <c r="AE14" s="61">
        <v>0</v>
      </c>
      <c r="AF14" s="61"/>
      <c r="AG14" s="61"/>
      <c r="AH14" s="61"/>
      <c r="AI14" s="61"/>
      <c r="AJ14" s="61"/>
      <c r="AK14" s="61">
        <v>7.9</v>
      </c>
      <c r="AL14" s="61">
        <v>4.4000000000000004</v>
      </c>
      <c r="AM14" s="61">
        <v>6.3</v>
      </c>
      <c r="AN14" s="61">
        <v>7.665</v>
      </c>
      <c r="AO14" s="61">
        <v>0</v>
      </c>
      <c r="AP14" s="72"/>
      <c r="AQ14" s="11">
        <f>IF(SUM(V14:Y14)-Z14&gt;0,SUM(V14:Y14)-Z14,"")</f>
        <v>43.34</v>
      </c>
      <c r="AR14" s="11">
        <f>IF(AC14&gt;0,AC14,"")</f>
        <v>12</v>
      </c>
      <c r="AS14" s="11">
        <f>IF(SUM(AA14:AD14)-AE14&gt;0,SUM(AA14:AD14)-AE14,"")</f>
        <v>50.55</v>
      </c>
      <c r="AT14" s="11" t="str">
        <f>IF(AH14&gt;0,AH14,"")</f>
        <v/>
      </c>
      <c r="AU14" s="11" t="str">
        <f>IF(SUM(AF14:AI14)-AJ14&gt;0,SUM(AF14:AI14)-AJ14,"")</f>
        <v/>
      </c>
      <c r="AV14" s="11">
        <f>IF(OR(AQ14&lt;&gt;"",AS14&lt;&gt;"",AU14&lt;&gt;""),AQ14+MAX(AS14,AU14),"")</f>
        <v>93.89</v>
      </c>
      <c r="AW14" s="11">
        <f>IF(AM14&gt;0,AM14,"")</f>
        <v>6.3</v>
      </c>
      <c r="AX14" s="11">
        <f>IF(SUM(AK14:AN14)-AO14&gt;0,SUM(AK14:AN14)-AO14,"")</f>
        <v>26.265000000000001</v>
      </c>
      <c r="AY14" s="11">
        <f>IF(SUM(AV14,AX14)&gt;0,SUM(AV14,AX14),"")</f>
        <v>120.155</v>
      </c>
      <c r="AZ14" s="67">
        <v>16.7</v>
      </c>
      <c r="BA14" s="67">
        <v>9.4</v>
      </c>
      <c r="BB14" s="67">
        <v>2</v>
      </c>
      <c r="BC14" s="67">
        <v>15.414999999999999</v>
      </c>
      <c r="BD14" s="67">
        <v>0</v>
      </c>
      <c r="BE14" s="67">
        <v>11.8</v>
      </c>
      <c r="BF14" s="67">
        <v>8.8000000000000007</v>
      </c>
      <c r="BG14" s="67">
        <v>10.4</v>
      </c>
      <c r="BH14" s="67">
        <v>14.69</v>
      </c>
      <c r="BI14" s="67">
        <v>0</v>
      </c>
      <c r="BJ14" s="67"/>
      <c r="BK14" s="67"/>
      <c r="BL14" s="67"/>
      <c r="BM14" s="67"/>
      <c r="BN14" s="67"/>
      <c r="BO14" s="67">
        <v>14.96</v>
      </c>
      <c r="BP14" s="67">
        <v>8.9</v>
      </c>
      <c r="BQ14" s="67">
        <v>12</v>
      </c>
      <c r="BR14" s="67">
        <v>15.445</v>
      </c>
      <c r="BS14" s="67">
        <v>0</v>
      </c>
      <c r="BT14" s="73"/>
      <c r="BU14" s="14">
        <f>IF(SUM(AZ14:BC14)-BD14&gt;0,SUM(AZ14:BC14)-BD14,"")</f>
        <v>43.515000000000001</v>
      </c>
      <c r="BV14" s="14">
        <f>IF(BG14&gt;0,BG14,"")</f>
        <v>10.4</v>
      </c>
      <c r="BW14" s="14">
        <f>IF(SUM(BE14:BH14)-BI14&gt;0,SUM(BE14:BH14)-BI14,"")</f>
        <v>45.69</v>
      </c>
      <c r="BX14" s="14" t="str">
        <f>IF(BL14&gt;0,BL14,"")</f>
        <v/>
      </c>
      <c r="BY14" s="14" t="str">
        <f>IF(SUM(BJ14:BM14)-BN14&gt;0,SUM(BJ14:BM14)-BN14,"")</f>
        <v/>
      </c>
      <c r="BZ14" s="14">
        <f>IF(BU14="",IF(MAX(BW14,BY14)&gt;0,MAX(BW14,BY14),""),MAX(BW14,BY14)+BU14)</f>
        <v>89.204999999999998</v>
      </c>
      <c r="CA14" s="14">
        <f>IF(BQ14&gt;0,BQ14,"")</f>
        <v>12</v>
      </c>
      <c r="CB14" s="14">
        <f>IF(SUM(BO14:BR14)-BS14&gt;0,SUM(BO14:BR14)-BS14,"")</f>
        <v>51.305</v>
      </c>
      <c r="CC14" s="14">
        <f>IF(SUM(BZ14,CB14)&gt;0,SUM(BZ14,CB14),"")</f>
        <v>140.51</v>
      </c>
      <c r="CD14" s="61">
        <v>15.4</v>
      </c>
      <c r="CE14" s="61">
        <v>9.3000000000000007</v>
      </c>
      <c r="CF14" s="61">
        <v>2</v>
      </c>
      <c r="CG14" s="61">
        <v>15.69</v>
      </c>
      <c r="CH14" s="61">
        <v>0</v>
      </c>
      <c r="CI14" s="61">
        <v>14</v>
      </c>
      <c r="CJ14" s="61">
        <v>8.4</v>
      </c>
      <c r="CK14" s="61">
        <v>10</v>
      </c>
      <c r="CL14" s="61">
        <v>16.204999999999998</v>
      </c>
      <c r="CM14" s="61">
        <v>0</v>
      </c>
      <c r="CN14" s="61"/>
      <c r="CO14" s="61"/>
      <c r="CP14" s="61"/>
      <c r="CQ14" s="61"/>
      <c r="CR14" s="61"/>
      <c r="CS14" s="61">
        <v>11</v>
      </c>
      <c r="CT14" s="61">
        <v>6.85</v>
      </c>
      <c r="CU14" s="61">
        <v>8.5</v>
      </c>
      <c r="CV14" s="61">
        <v>12.625</v>
      </c>
      <c r="CW14" s="61">
        <v>0</v>
      </c>
      <c r="CX14" s="72"/>
      <c r="CY14" s="11">
        <f>IF(SUM(CD14:CG14)-CH14&gt;0,SUM(CD14:CG14)-CH14,"")</f>
        <v>42.39</v>
      </c>
      <c r="CZ14" s="11">
        <f>IF(CK14&gt;0,CK14,"")</f>
        <v>10</v>
      </c>
      <c r="DA14" s="11">
        <f>IF(SUM(CI14:CL14)-CM14&gt;0,SUM(CI14:CL14)-CM14,"")</f>
        <v>48.604999999999997</v>
      </c>
      <c r="DB14" s="11" t="str">
        <f>IF(CP14&gt;0,CP14,"")</f>
        <v/>
      </c>
      <c r="DC14" s="11" t="str">
        <f>IF(SUM(CN14:CQ14)-CR14&gt;0,SUM(CN14:CQ14)-CR14,"")</f>
        <v/>
      </c>
      <c r="DD14" s="11">
        <f>IF(CY14="",IF(MAX(DA14,DC14)&gt;0,MAX(DA14,DC14),""),MAX(DA14,DC14)+CY14)</f>
        <v>90.995000000000005</v>
      </c>
      <c r="DE14" s="11">
        <f>IF(CU14&gt;0,CU14,"")</f>
        <v>8.5</v>
      </c>
      <c r="DF14" s="11">
        <f>IF(SUM(CS14:CV14)-CW14&gt;0,SUM(CS14:CV14)-CW14,"")</f>
        <v>38.975000000000001</v>
      </c>
      <c r="DG14" s="11">
        <f>IF(SUM(DD14,DF14)&gt;0,SUM(DD14,DF14),"")</f>
        <v>129.97</v>
      </c>
      <c r="DH14" s="23" t="str">
        <f>IF(MAX(EB14,EX14,FT14,GP14,HL14,IH14,JD14,JZ14,KV14,LR14,MN14,NJ14)-IF(M14="",0,M14)&gt;0.001,MAX(EB14,EX14,FT14,GP14,HL14,IH14,JD14,JZ14,KV14,LR14,MN14,NJ14)-IF(M14="",0,M14),"")</f>
        <v/>
      </c>
      <c r="DI14" s="23" t="str">
        <f>IF(MAX(EC14,EY14,FU14,GQ14,HM14,II14,JE14,KA14,KW14,LS14,MO14,NK14)-IF(O14="",0,O14)&gt;0.001,MAX(EC14,EY14,FU14,GQ14,HM14,II14,JE14,KA14,KW14,LS14,MO14,NK14)-IF(O14="",0,O14),"")</f>
        <v/>
      </c>
      <c r="DJ14" s="23" t="str">
        <f>IF(MAX(ED14,EZ14,FV14,GR14,HN14,IJ14,JF14,KB14,KX14,LT14,MP14,NL14)-IF(K14="",0,K14)&gt;0.001,MAX(ED14,EZ14,FV14,GR14,HN14,IJ14,JF14,KB14,KX14,LT14,MP14,NL14)-IF(K14="",0,K14),"")</f>
        <v/>
      </c>
      <c r="DK14" s="23" t="str">
        <f>IF(MAX(EF14,FB14,FX14,GT14,HP14,IL14,JH14,KD14,KZ14,LV14,MR14,NN14)-IF(Q14="",0,Q14)&gt;0.001,MAX(EF14,FB14,FX14,GT14,HP14,IL14,JH14,KD14,KZ14,LV14,MR14,NN14)-IF(Q14="",0,Q14),"")</f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1">
        <f>IF($CX14="P",CD14,(CD14+AZ14)/2)</f>
        <v>16.05</v>
      </c>
      <c r="NQ14" s="61">
        <f>IF($CX14="P",CE14,(CE14+BA14)/2)</f>
        <v>9.3500000000000014</v>
      </c>
      <c r="NR14" s="61">
        <f>IF($CX14="P",CF14,(CF14+BB14)/2)</f>
        <v>2</v>
      </c>
      <c r="NS14" s="61">
        <f>IF($CX14="P",CG14,(CG14+BC14)/2)</f>
        <v>15.552499999999998</v>
      </c>
      <c r="NT14" s="61">
        <f>IF($CX14="P",CH14,(CH14+BD14)/2)</f>
        <v>0</v>
      </c>
      <c r="NU14" s="61">
        <f>IF($CX14="P",CI14,(CI14+BE14)/2)</f>
        <v>12.9</v>
      </c>
      <c r="NV14" s="61">
        <f>IF($CX14="P",CJ14,(CJ14+BF14)/2)</f>
        <v>8.6000000000000014</v>
      </c>
      <c r="NW14" s="61">
        <f>IF($CX14="P",CK14,(CK14+BG14)/2)</f>
        <v>10.199999999999999</v>
      </c>
      <c r="NX14" s="61">
        <f>IF($CX14="P",CL14,(CL14+BH14)/2)</f>
        <v>15.447499999999998</v>
      </c>
      <c r="NY14" s="61">
        <f>IF($CX14="P",CM14,(CM14+BI14)/2)</f>
        <v>0</v>
      </c>
      <c r="NZ14" s="61">
        <f>IF($CX14="P",CN14,(CN14+BJ14)/2)</f>
        <v>0</v>
      </c>
      <c r="OA14" s="61">
        <f>IF($CX14="P",CO14,(CO14+BK14)/2)</f>
        <v>0</v>
      </c>
      <c r="OB14" s="61">
        <f>IF($CX14="P",CP14,(CP14+BL14)/2)</f>
        <v>0</v>
      </c>
      <c r="OC14" s="61">
        <f>IF($CX14="P",CQ14,(CQ14+BM14)/2)</f>
        <v>0</v>
      </c>
      <c r="OD14" s="61">
        <f>IF($CX14="P",CR14,(CR14+BN14)/2)</f>
        <v>0</v>
      </c>
      <c r="OE14" s="61">
        <f>IF($CX14="P",CS14,(CS14+BO14)/2)</f>
        <v>12.98</v>
      </c>
      <c r="OF14" s="61">
        <f>IF($CX14="P",CT14,(CT14+BP14)/2)</f>
        <v>7.875</v>
      </c>
      <c r="OG14" s="61">
        <f>IF($CX14="P",CU14,(CU14+BQ14)/2)</f>
        <v>10.25</v>
      </c>
      <c r="OH14" s="61">
        <f>IF($CX14="P",CV14,(CV14+BR14)/2)</f>
        <v>14.035</v>
      </c>
      <c r="OI14" s="61">
        <f>IF($CX14="P",CW14,(CW14+BS14)/2)</f>
        <v>0</v>
      </c>
      <c r="OJ14" s="72" t="s">
        <v>52</v>
      </c>
      <c r="OK14" s="11">
        <f>IF(SUM(NP14:NS14)-NT14&gt;0,SUM(NP14:NS14)-NT14,"")</f>
        <v>42.952500000000001</v>
      </c>
      <c r="OL14" s="11">
        <f>IF(NW14&gt;0,NW14,"")</f>
        <v>10.199999999999999</v>
      </c>
      <c r="OM14" s="11">
        <f>IF(SUM(NU14:NX14)-NY14&gt;0,SUM(NU14:NX14)-NY14,"")</f>
        <v>47.147499999999994</v>
      </c>
      <c r="ON14" s="11" t="str">
        <f>IF(OB14&gt;0,OB14,"")</f>
        <v/>
      </c>
      <c r="OO14" s="11" t="str">
        <f>IF(SUM(NZ14:OC14)-OD14&gt;0,SUM(NZ14:OC14)-OD14,"")</f>
        <v/>
      </c>
      <c r="OP14" s="11">
        <f>IF(OR(OK14&lt;&gt;"",OM14&lt;&gt;"",OO14&lt;&gt;""),OK14+MAX(OM14,OO14),"")</f>
        <v>90.1</v>
      </c>
      <c r="OQ14" s="11">
        <f>IF(OG14&gt;0,OG14,"")</f>
        <v>10.25</v>
      </c>
      <c r="OR14" s="11">
        <f t="shared" ref="OR14" si="6">IF(SUM(OE14:OH14)-OI14&gt;0,SUM(OE14:OH14)-OI14,"")</f>
        <v>45.14</v>
      </c>
      <c r="OS14" s="11">
        <f t="shared" ref="OS14" si="7">IF(SUM(OP14,OR14)&gt;0,SUM(OP14,OR14),"")</f>
        <v>135.24</v>
      </c>
    </row>
    <row r="15" spans="1:409" x14ac:dyDescent="0.2">
      <c r="A15" s="5" t="str" cm="1">
        <f t="array" ref="A15">IF(AND(G15&lt;&gt;"",H15&lt;&gt;""),SUMPRODUCT((G$4:G$20&lt;&gt;"")*(H$4:H$20&lt;&gt;"")*(E$4:E$20&gt;E15))+1,IF(H15&lt;&gt;"",SUMPRODUCT((I$4:I$20="No DD")*(E$4:E$20&gt;E15))+1+SUMPRODUCT((G$4:G$20&lt;&gt;"")*(H$4:H$20&lt;&gt;"")),""))</f>
        <v/>
      </c>
      <c r="B15" s="8" t="s">
        <v>89</v>
      </c>
      <c r="C15" s="4" t="s">
        <v>6</v>
      </c>
      <c r="D15" s="26">
        <v>2004</v>
      </c>
      <c r="E15" s="15">
        <f>SUM(O15:S15)</f>
        <v>101.19</v>
      </c>
      <c r="F15" s="3" t="str">
        <f>IF(G15&lt;&gt;"","P","")</f>
        <v/>
      </c>
      <c r="G15" s="115" t="str">
        <f>IF(OR(AND(AR15&gt;=AY$25,AR15&lt;&gt;"",AP15=""),AND(AT15&gt;=AY$25,AT15&lt;&gt;"",AP15=""),AND(AW15&gt;=AY$25,AW15&lt;&gt;"",AP15=""),AND(BV15&gt;=CC$25,BV15&lt;&gt;"",BT15=""),AND(BX15&gt;=CC$25,BX15&lt;&gt;"",BT15=""),AND(CA15&gt;=CC$25,CA15&lt;&gt;"",BT15=""),AND(CZ15&gt;=DG$25,CZ15&lt;&gt;"",CX15=""),AND(DB15&gt;=DG$25,DB15&lt;&gt;"",CX15=""),AND(DE15&gt;=DG$25,DE15&lt;&gt;"",CX15=""),AND(EA15&gt;=EG$25,EA15&lt;&gt;""),AND(EE15&gt;=EG$25,EE15&lt;&gt;""),AND(EW15&gt;=FC$25,EW15&lt;&gt;""),AND(FA15&gt;=FC$25,FA15&lt;&gt;""),AND(FS15&gt;=FY$25,FS15&lt;&gt;""),AND(FW15&gt;=FY$25,FW15&lt;&gt;""),AND(GO15&gt;=GU$25,GO15&lt;&gt;""),AND(GS15&gt;=GU$25,GS15&lt;&gt;""),AND(HK15&gt;=HQ$25,HK15&lt;&gt;""),AND(HO15&gt;=HQ$25,HO15&lt;&gt;""),AND(IG15&gt;=IM$25,IG15&lt;&gt;""),AND(IK15&gt;=IM$25,IK15&lt;&gt;""),AND(JC15&gt;=JI$25,JC15&lt;&gt;""),AND(JG15&gt;=JI$25,JG15&lt;&gt;""),AND(JY15&gt;=KE$25,JY15&lt;&gt;""),AND(KC15&gt;=KE$25,KC15&lt;&gt;""),AND(KU15&gt;=LA$25,KU15&lt;&gt;""),AND(KY15&gt;=LA$25,KY15&lt;&gt;""),AND(LQ15&gt;=LW$25,LQ15&lt;&gt;""),AND(LU15&gt;=LW$25,LU15&lt;&gt;""),AND(MM15&gt;=MS$25,MM15&lt;&gt;""),AND(MQ15&gt;=MS$25,MQ15&lt;&gt;""),AND(NI15&gt;=NO$25,NI15&lt;&gt;""),AND(NM15&gt;=NO$25,NM15&lt;&gt;"")),"Merit",IF(OR(AND(AR15&gt;=AY$24,AR15&lt;&gt;"",AP15=""),AND(AT15&gt;=AY$24,AT15&lt;&gt;"",AP15=""),AND(AW15&gt;=AY$24,AW15&lt;&gt;"",AP15=""),AND(BV15&gt;=CC$24,BV15&lt;&gt;"",BT15=""),AND(BX15&gt;=CC$24,BX15&lt;&gt;"",BT15=""),AND(CA15&gt;=CC$24,CA15&lt;&gt;"",BT15=""),AND(CZ15&gt;=DG$24,CZ15&lt;&gt;"",CX15=""),AND(DB15&gt;=DG$24,DB15&lt;&gt;"",CX15=""),AND(DE15&gt;=DG$24,DE15&lt;&gt;"",CX15=""),AND(EA15&gt;=EG$24,EA15&lt;&gt;""),AND(EE15&gt;=EG$24,EE15&lt;&gt;""),AND(EW15&gt;=FC$24,EW15&lt;&gt;""),AND(FA15&gt;=FC$24,FA15&lt;&gt;""),AND(FS15&gt;=FY$24,FS15&lt;&gt;""),AND(FW15&gt;=FY$24,FW15&lt;&gt;""),AND(GO15&gt;=GU$24,GO15&lt;&gt;""),AND(GS15&gt;=GU$24,GS15&lt;&gt;""),AND(HK15&gt;=HQ$24,HK15&lt;&gt;""),AND(HO15&gt;=HQ$24,HO15&lt;&gt;""),AND(IG15&gt;=IM$24,IG15&lt;&gt;""),AND(IK15&gt;=IM$24,IK15&lt;&gt;""),AND(JC15&gt;=JI$24,JC15&lt;&gt;""),AND(JG15&gt;=JI$24,JG15&lt;&gt;""),AND(JY15&gt;=KE$24,JY15&lt;&gt;""),AND(KC15&gt;=KE$24,KC15&lt;&gt;""),AND(KU15&gt;=LA$24,KU15&lt;&gt;""),AND(KY15&gt;=LA$24,KY15&lt;&gt;""),AND(LQ15&gt;=LW$24,LQ15&lt;&gt;""),AND(LU15&gt;=LW$24,LU15&lt;&gt;""),AND(MM15&gt;=MS$24,MM15&lt;&gt;""),AND(MQ15&gt;=MS$24,MQ15&lt;&gt;""),AND(NI15&gt;=NO$24,NI15&lt;&gt;""),AND(NM15&gt;=NO$24,NM15&lt;&gt;"")),"Excellence",IF(OR(AND(AR15&gt;=AY$23,AR15&lt;&gt;"",AP15=""),AND(AT15&gt;=AY$23,AT15&lt;&gt;"",AP15=""),AND(AW15&gt;=AY$23,AW15&lt;&gt;"",AP15=""),AND(BV15&gt;=CC$23,BV15&lt;&gt;"",BT15=""),AND(BX15&gt;=CC$23,BX15&lt;&gt;"",BT15=""),AND(CA15&gt;=CC$23,CA15&lt;&gt;"",BT15=""),AND(CZ15&gt;=DG$23,CZ15&lt;&gt;"",CX15=""),AND(DB15&gt;=DG$23,DB15&lt;&gt;"",CX15=""),AND(DE15&gt;=DG$23,DE15&lt;&gt;"",CX15=""),AND(EA15&gt;=EG$23,EA15&lt;&gt;""),AND(EE15&gt;=EG$23,EE15&lt;&gt;""),AND(EW15&gt;=FC$23,EW15&lt;&gt;""),AND(FA15&gt;=FC$23,FA15&lt;&gt;""),AND(FS15&gt;=FY$23,FS15&lt;&gt;""),AND(FW15&gt;=FY$23,FW15&lt;&gt;""),AND(GO15&gt;=GU$23,GO15&lt;&gt;""),AND(GS15&gt;=GU$23,GS15&lt;&gt;""),AND(HK15&gt;=HQ$23,HK15&lt;&gt;""),AND(HO15&gt;=HQ$23,HO15&lt;&gt;""),AND(IG15&gt;=IM$23,IG15&lt;&gt;""),AND(IK15&gt;=IM$23,IK15&lt;&gt;""),AND(JC15&gt;=JI$23,JC15&lt;&gt;""),AND(JG15&gt;=JI$23,JG15&lt;&gt;""),AND(JY15&gt;=KE$23,JY15&lt;&gt;""),AND(KC15&gt;=KE$23,KC15&lt;&gt;""),AND(KU15&gt;=LA$23,KU15&lt;&gt;""),AND(KY15&gt;=LA$23,KY15&lt;&gt;""),AND(LQ15&gt;=LW$23,LQ15&lt;&gt;""),AND(LU15&gt;=LW$23,LU15&lt;&gt;""),AND(MM15&gt;=MS$23,MM15&lt;&gt;""),AND(MQ15&gt;=MS$23,MQ15&lt;&gt;""),AND(NI15&gt;=NO$23,NI15&lt;&gt;""),AND(NM15&gt;=NO$23,NM15&lt;&gt;"")),"Worlds Team",IF(OR(AND(AR15&gt;=AY$22,AR15&lt;&gt;"",AP15=""),AND(AT15&gt;=AY$22,AT15&lt;&gt;"",AP15=""),AND(AW15&gt;=AY$22,AW15&lt;&gt;"",AP15=""),AND(BV15&gt;=CC$22,BV15&lt;&gt;"",BT15=""),AND(BX15&gt;=CC$22,BX15&lt;&gt;"",BT15=""),AND(CA15&gt;=CC$22,CA15&lt;&gt;"",BT15=""),AND(CZ15&gt;=DG$22,CZ15&lt;&gt;"",CX15=""),AND(DB15&gt;=DG$22,DB15&lt;&gt;"",CX15=""),AND(DE15&gt;=DG$22,DE15&lt;&gt;"",CX15=""),AND(EA15&gt;=EG$22,EA15&lt;&gt;""),AND(EE15&gt;=EG$22,EE15&lt;&gt;""),AND(EW15&gt;=FC$22,EW15&lt;&gt;""),AND(FA15&gt;=FC$22,FA15&lt;&gt;""),AND(FS15&gt;=FY$22,FS15&lt;&gt;""),AND(FW15&gt;=FY$22,FW15&lt;&gt;""),AND(GO15&gt;=GU$22,GO15&lt;&gt;""),AND(GS15&gt;=GU$22,GS15&lt;&gt;""),AND(HK15&gt;=HQ$22,HK15&lt;&gt;""),AND(HO15&gt;=HQ$22,HO15&lt;&gt;""),AND(IG15&gt;=IM$22,IG15&lt;&gt;""),AND(IK15&gt;=IM$22,IK15&lt;&gt;""),AND(JC15&gt;=JI$22,JC15&lt;&gt;""),AND(JG15&gt;=JI$22,JG15&lt;&gt;""),AND(JY15&gt;=KE$22,JY15&lt;&gt;""),AND(KC15&gt;=KE$22,KC15&lt;&gt;""),AND(KU15&gt;=LA$22,KU15&lt;&gt;""),AND(KY15&gt;=LA$22,KY15&lt;&gt;""),AND(LQ15&gt;=LW$22,LQ15&lt;&gt;""),AND(LU15&gt;=LW$22,LU15&lt;&gt;""),AND(MM15&gt;=MS$22,MM15&lt;&gt;""),AND(MQ15&gt;=MS$22,MQ15&lt;&gt;""),AND(NI15&gt;=NO$22,NI15&lt;&gt;""),AND(NM15&gt;=NO$22,NM15&lt;&gt;"")),"National Team",""))))</f>
        <v/>
      </c>
      <c r="H15" s="115" t="str">
        <f>IF(OR(AND(AS15&gt;=AY$26,AS15&lt;&gt;"",AP15=""),AND(AU15&gt;=AY$26,AU15&lt;&gt;"",AP15=""),AND(AX15&gt;=AY$26,AX15&lt;&gt;"",AP15=""),AND(BW15&gt;=CC$26,BW15&lt;&gt;"",BT15=""),AND(BY15&gt;=CC$26,BY15&lt;&gt;"",BT15=""),AND(CB15&gt;=CC$26,CB15&lt;&gt;"",BT15=""),AND(DA15&gt;=DG$26,DA15&lt;&gt;"",CX15=""),AND(DC15&gt;=DG$26,DC15&lt;&gt;"",CX15=""),AND(DF15&gt;=DG$26,DF15&lt;&gt;"",CX15=""),AND(EC15&gt;=EG$26,EC15&lt;&gt;""),AND(EF15&gt;=EG$26,EF15&lt;&gt;""),AND(EY15&gt;=FC$26,EY15&lt;&gt;""),AND(FB15&gt;=FC$26,FB15&lt;&gt;""),AND(FU15&gt;=FY$26,FU15&lt;&gt;""),AND(FX15&gt;=FY$26,FX15&lt;&gt;""),AND(GQ15&gt;=GU$26,GQ15&lt;&gt;""),AND(GT15&gt;=GU$26,GT15&lt;&gt;""),AND(HM15&gt;=HQ$26,HM15&lt;&gt;""),AND(HP15&gt;=HQ$26,HP15&lt;&gt;""),AND(II15&gt;=IM$26,II15&lt;&gt;""),AND(IL15&gt;=IM$26,IL15&lt;&gt;""),AND(JE15&gt;=JI$26,JE15&lt;&gt;""),AND(JH15&gt;=JI$26,JH15&lt;&gt;""),AND(KA15&gt;=KE$26,KA15&lt;&gt;""),AND(KD15&gt;=KE$26,KD15&lt;&gt;""),AND(KW15&gt;=LA$26,KW15&lt;&gt;""),AND(KZ15&gt;=LA$26,KZ15&lt;&gt;""),AND(LS15&gt;=LW$26,LS15&lt;&gt;""),AND(LV15&gt;=LW$26,LV15&lt;&gt;""),AND(MO15&gt;=MS$26,MO15&lt;&gt;""),AND(MR15&gt;=MS$26,MR15&lt;&gt;""),AND(NK15&gt;=NO$26,NK15&lt;&gt;""),AND(NN15&gt;=NO$26,NN15&lt;&gt;"")),"National Team","")</f>
        <v/>
      </c>
      <c r="I15" s="11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/>
      </c>
      <c r="J15" s="3" t="str">
        <f>IF(AND(OR(AND(AV15&gt;=AY$27,AV15&lt;&gt;"",AP15=""),AND(BZ15&gt;=CC$27,BZ15&lt;&gt;"",BT15=""),AND(DD15&gt;=DG$27,DD15&lt;&gt;"",CX15=""),AND(ED15&gt;=EG$27,ED15&lt;&gt;""),AND(EZ15&gt;=FC$27,EZ15&lt;&gt;""),AND(FV15&gt;=FY$27,FV15&lt;&gt;""),AND(GR15&gt;=GU$27,GR15&lt;&gt;""),AND(HN15&gt;=HQ$27,HN15&lt;&gt;""),AND(IJ15&gt;=IM$27,IJ15&lt;&gt;""),AND(JF15&gt;=JI$27,JF15&lt;&gt;""),AND(KB15&gt;=KE$27,KB15&lt;&gt;""),AND(KX15&gt;=LA$27,KX15&lt;&gt;""),AND(LT15&gt;=LW$27,LT15&lt;&gt;""),AND(MP15&gt;=MS$27,MP15&lt;&gt;""),AND(NL15&gt;=NO$27,NL15&lt;&gt;"")),OR(G15="Worlds Team",G15="Excellence",G15="Merit")),"P","")</f>
        <v/>
      </c>
      <c r="K15" s="14">
        <f>IF(MAX(AV15,BZ15,DD15)&gt;0,MAX(AV15,BZ15,DD15),0)</f>
        <v>94.03</v>
      </c>
      <c r="L15" s="14" t="str">
        <f>IF(K15=0,"",IF(K15=DD15,$CD$1,IF(K15=BZ15,$AZ$1,IF(K15=AV15,$V$1,""))))</f>
        <v>2019 Elite Canada</v>
      </c>
      <c r="M15" s="14">
        <f>IF($K15=$AV15,MAX(BU15,CY15),IF($K15=$BZ15,MAX(AQ15,CY15),IF($K15=$DD15,MAX(AQ15,BU15),MAX(AQ15,BU15,CY15))))</f>
        <v>40.989999999999995</v>
      </c>
      <c r="N15" s="14" t="str">
        <f>IF(M15=0,"",IF(AND(M15=CY15,$L15&lt;&gt;$CD$1),$CD$1,IF(AND(M15=BU15,$L15&lt;&gt;$AZ$1),$AZ$1,IF(AND(M15=AQ15,$L15&lt;&gt;$V$1),$V$1,""))))</f>
        <v>2019 Nationals</v>
      </c>
      <c r="O15" s="14">
        <f>MAX(AS15,AU15,AX15,BW15,BY15,CB15,DA15,DC15,DF15)</f>
        <v>50.620000000000005</v>
      </c>
      <c r="P15" s="14" t="str">
        <f>IF(O15=0,"",IF(OR(O15=DC15,O15=DA15,O15=DF15),$CD$1,IF(OR(O15=BY15,O15=BW15,O15=CB15),$AZ$1,IF(OR(O15=AU15,O15=AS15,O15=AX15),$V$1,""))))</f>
        <v>2019 Elite Canada</v>
      </c>
      <c r="Q15" s="14">
        <f>IF(COUNT(AS15,AU15,AX15,BW15,BY15,CB15,DA15,DC15,DF15)&gt;1,LARGE((AS15,AU15,AX15,BW15,BY15,CB15,DA15,DC15,DF15),2),0)</f>
        <v>50.57</v>
      </c>
      <c r="R15" s="14" t="str">
        <f>IF(Q15=0,"",IF(OR(Q15=DC15,Q15=DA15,Q15=DF15),$CD$1,IF(OR(Q15=BY15,Q15=BW15,Q15=CB15),$AZ$1,IF(OR(Q15=AU15,Q15=AS15,Q15=AX15),$V$1,""))))</f>
        <v>2019 Elite Canada</v>
      </c>
      <c r="S15" s="14" t="str">
        <f>IF(MAX(DI15,DK15)&gt;0,MAX(DI15,DK15),"")</f>
        <v/>
      </c>
      <c r="T15" s="24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1">
        <v>17.100000000000001</v>
      </c>
      <c r="W15" s="61">
        <v>9.1</v>
      </c>
      <c r="X15" s="61">
        <v>2.2000000000000002</v>
      </c>
      <c r="Y15" s="61">
        <v>15.06</v>
      </c>
      <c r="Z15" s="61">
        <v>0</v>
      </c>
      <c r="AA15" s="61">
        <v>15.7</v>
      </c>
      <c r="AB15" s="61">
        <v>9.25</v>
      </c>
      <c r="AC15" s="61">
        <v>11.2</v>
      </c>
      <c r="AD15" s="61">
        <v>14.42</v>
      </c>
      <c r="AE15" s="61">
        <v>0</v>
      </c>
      <c r="AF15" s="61"/>
      <c r="AG15" s="61"/>
      <c r="AH15" s="61"/>
      <c r="AI15" s="61"/>
      <c r="AJ15" s="61"/>
      <c r="AK15" s="61">
        <v>15.9</v>
      </c>
      <c r="AL15" s="61">
        <v>8.5500000000000007</v>
      </c>
      <c r="AM15" s="61">
        <v>11.4</v>
      </c>
      <c r="AN15" s="61">
        <v>14.77</v>
      </c>
      <c r="AO15" s="61">
        <v>0</v>
      </c>
      <c r="AP15" s="72"/>
      <c r="AQ15" s="11">
        <f>IF(SUM(V15:Y15)-Z15&gt;0,SUM(V15:Y15)-Z15,"")</f>
        <v>43.46</v>
      </c>
      <c r="AR15" s="11">
        <f>IF(AC15&gt;0,AC15,"")</f>
        <v>11.2</v>
      </c>
      <c r="AS15" s="11">
        <f>IF(SUM(AA15:AD15)-AE15&gt;0,SUM(AA15:AD15)-AE15,"")</f>
        <v>50.57</v>
      </c>
      <c r="AT15" s="11" t="str">
        <f>IF(AH15&gt;0,AH15,"")</f>
        <v/>
      </c>
      <c r="AU15" s="11" t="str">
        <f>IF(SUM(AF15:AI15)-AJ15&gt;0,SUM(AF15:AI15)-AJ15,"")</f>
        <v/>
      </c>
      <c r="AV15" s="11">
        <f>IF(OR(AQ15&lt;&gt;"",AS15&lt;&gt;"",AU15&lt;&gt;""),AQ15+MAX(AS15,AU15),"")</f>
        <v>94.03</v>
      </c>
      <c r="AW15" s="11">
        <f>IF(AM15&gt;0,AM15,"")</f>
        <v>11.4</v>
      </c>
      <c r="AX15" s="11">
        <f>IF(SUM(AK15:AN15)-AO15&gt;0,SUM(AK15:AN15)-AO15,"")</f>
        <v>50.620000000000005</v>
      </c>
      <c r="AY15" s="11">
        <f>IF(SUM(AV15,AX15)&gt;0,SUM(AV15,AX15),"")</f>
        <v>144.65</v>
      </c>
      <c r="AZ15" s="67">
        <v>15.8</v>
      </c>
      <c r="BA15" s="67">
        <v>9.1</v>
      </c>
      <c r="BB15" s="67">
        <v>3.4</v>
      </c>
      <c r="BC15" s="67">
        <v>14.69</v>
      </c>
      <c r="BD15" s="67">
        <v>2</v>
      </c>
      <c r="BE15" s="67">
        <v>13.4</v>
      </c>
      <c r="BF15" s="67">
        <v>8.3000000000000007</v>
      </c>
      <c r="BG15" s="67">
        <v>9.3000000000000007</v>
      </c>
      <c r="BH15" s="67">
        <v>12.53</v>
      </c>
      <c r="BI15" s="67">
        <v>0</v>
      </c>
      <c r="BJ15" s="67"/>
      <c r="BK15" s="67"/>
      <c r="BL15" s="67"/>
      <c r="BM15" s="67"/>
      <c r="BN15" s="67"/>
      <c r="BO15" s="67">
        <v>1.44</v>
      </c>
      <c r="BP15" s="67">
        <v>1</v>
      </c>
      <c r="BQ15" s="67">
        <v>1.5</v>
      </c>
      <c r="BR15" s="67">
        <v>1.52</v>
      </c>
      <c r="BS15" s="67">
        <v>0</v>
      </c>
      <c r="BT15" s="73"/>
      <c r="BU15" s="14">
        <f>IF(SUM(AZ15:BC15)-BD15&gt;0,SUM(AZ15:BC15)-BD15,"")</f>
        <v>40.989999999999995</v>
      </c>
      <c r="BV15" s="14">
        <f>IF(BG15&gt;0,BG15,"")</f>
        <v>9.3000000000000007</v>
      </c>
      <c r="BW15" s="14">
        <f>IF(SUM(BE15:BH15)-BI15&gt;0,SUM(BE15:BH15)-BI15,"")</f>
        <v>43.53</v>
      </c>
      <c r="BX15" s="14" t="str">
        <f>IF(BL15&gt;0,BL15,"")</f>
        <v/>
      </c>
      <c r="BY15" s="14" t="str">
        <f>IF(SUM(BJ15:BM15)-BN15&gt;0,SUM(BJ15:BM15)-BN15,"")</f>
        <v/>
      </c>
      <c r="BZ15" s="14">
        <f>IF(BU15="",IF(MAX(BW15,BY15)&gt;0,MAX(BW15,BY15),""),MAX(BW15,BY15)+BU15)</f>
        <v>84.52</v>
      </c>
      <c r="CA15" s="14">
        <f>IF(BQ15&gt;0,BQ15,"")</f>
        <v>1.5</v>
      </c>
      <c r="CB15" s="14">
        <f>IF(SUM(BO15:BR15)-BS15&gt;0,SUM(BO15:BR15)-BS15,"")</f>
        <v>5.46</v>
      </c>
      <c r="CC15" s="14">
        <f>IF(SUM(BZ15,CB15)&gt;0,SUM(BZ15,CB15),"")</f>
        <v>89.97999999999999</v>
      </c>
      <c r="CD15" s="61"/>
      <c r="CE15" s="61"/>
      <c r="CF15" s="61"/>
      <c r="CG15" s="61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72"/>
      <c r="CY15" s="11" t="str">
        <f>IF(SUM(CD15:CG15)-CH15&gt;0,SUM(CD15:CG15)-CH15,"")</f>
        <v/>
      </c>
      <c r="CZ15" s="11" t="str">
        <f>IF(CK15&gt;0,CK15,"")</f>
        <v/>
      </c>
      <c r="DA15" s="11" t="str">
        <f>IF(SUM(CI15:CL15)-CM15&gt;0,SUM(CI15:CL15)-CM15,"")</f>
        <v/>
      </c>
      <c r="DB15" s="11" t="str">
        <f>IF(CP15&gt;0,CP15,"")</f>
        <v/>
      </c>
      <c r="DC15" s="11" t="str">
        <f>IF(SUM(CN15:CQ15)-CR15&gt;0,SUM(CN15:CQ15)-CR15,"")</f>
        <v/>
      </c>
      <c r="DD15" s="11" t="str">
        <f>IF(CY15="",IF(MAX(DA15,DC15)&gt;0,MAX(DA15,DC15),""),MAX(DA15,DC15)+CY15)</f>
        <v/>
      </c>
      <c r="DE15" s="11" t="str">
        <f>IF(CU15&gt;0,CU15,"")</f>
        <v/>
      </c>
      <c r="DF15" s="11" t="str">
        <f>IF(SUM(CS15:CV15)-CW15&gt;0,SUM(CS15:CV15)-CW15,"")</f>
        <v/>
      </c>
      <c r="DG15" s="11" t="str">
        <f>IF(SUM(DD15,DF15)&gt;0,SUM(DD15,DF15),"")</f>
        <v/>
      </c>
      <c r="DH15" s="23" t="str">
        <f>IF(MAX(EB15,EX15,FT15,GP15,HL15,IH15,JD15,JZ15,KV15,LR15,MN15,NJ15)-IF(M15="",0,M15)&gt;0.001,MAX(EB15,EX15,FT15,GP15,HL15,IH15,JD15,JZ15,KV15,LR15,MN15,NJ15)-IF(M15="",0,M15),"")</f>
        <v/>
      </c>
      <c r="DI15" s="23" t="str">
        <f>IF(MAX(EC15,EY15,FU15,GQ15,HM15,II15,JE15,KA15,KW15,LS15,MO15,NK15)-IF(O15="",0,O15)&gt;0.001,MAX(EC15,EY15,FU15,GQ15,HM15,II15,JE15,KA15,KW15,LS15,MO15,NK15)-IF(O15="",0,O15),"")</f>
        <v/>
      </c>
      <c r="DJ15" s="23" t="str">
        <f>IF(MAX(ED15,EZ15,FV15,GR15,HN15,IJ15,JF15,KB15,KX15,LT15,MP15,NL15)-IF(K15="",0,K15)&gt;0.001,MAX(ED15,EZ15,FV15,GR15,HN15,IJ15,JF15,KB15,KX15,LT15,MP15,NL15)-IF(K15="",0,K15),"")</f>
        <v/>
      </c>
      <c r="DK15" s="23" t="str">
        <f>IF(MAX(EF15,FB15,FX15,GT15,HP15,IL15,JH15,KD15,KZ15,LV15,MR15,NN15)-IF(Q15="",0,Q15)&gt;0.001,MAX(EF15,FB15,FX15,GT15,HP15,IL15,JH15,KD15,KZ15,LV15,MR15,NN15)-IF(Q15="",0,Q15),"")</f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>IF(HC15&gt;0,HC15,"")</f>
        <v/>
      </c>
      <c r="HL15" s="11" t="str">
        <f>IF(SUM(GV15:GY15)-GZ15&gt;0,SUM(GV15:GY15)-GZ15,"")</f>
        <v/>
      </c>
      <c r="HM15" s="11" t="str">
        <f>IF(SUM(HA15:HD15)-HE15&gt;0,SUM(HA15:HD15)-HE15,"")</f>
        <v/>
      </c>
      <c r="HN15" s="11" t="str">
        <f>IF(SUM(HL15:HM15)&gt;0,SUM(HL15:HM15),"")</f>
        <v/>
      </c>
      <c r="HO15" s="11" t="str">
        <f>IF(HH15&gt;0,HH15,"")</f>
        <v/>
      </c>
      <c r="HP15" s="11" t="str">
        <f>IF(SUM(HF15:HI15)-HJ15&gt;0,SUM(HF15:HI15)-HJ15,"")</f>
        <v/>
      </c>
      <c r="HQ15" s="11" t="str">
        <f>IF(SUM(HN15,HP15)&gt;0,SUM(HN15,HP15),"")</f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1">
        <f>IF($CX15="P",CD15,(CD15+AZ15)/2)</f>
        <v>7.9</v>
      </c>
      <c r="NQ15" s="61">
        <f>IF($CX15="P",CE15,(CE15+BA15)/2)</f>
        <v>4.55</v>
      </c>
      <c r="NR15" s="61">
        <f>IF($CX15="P",CF15,(CF15+BB15)/2)</f>
        <v>1.7</v>
      </c>
      <c r="NS15" s="61">
        <f>IF($CX15="P",CG15,(CG15+BC15)/2)</f>
        <v>7.3449999999999998</v>
      </c>
      <c r="NT15" s="61">
        <f>IF($CX15="P",CH15,(CH15+BD15)/2)</f>
        <v>1</v>
      </c>
      <c r="NU15" s="61">
        <f>IF($CX15="P",CI15,(CI15+BE15)/2)</f>
        <v>6.7</v>
      </c>
      <c r="NV15" s="61">
        <f>IF($CX15="P",CJ15,(CJ15+BF15)/2)</f>
        <v>4.1500000000000004</v>
      </c>
      <c r="NW15" s="61">
        <f>IF($CX15="P",CK15,(CK15+BG15)/2)</f>
        <v>4.6500000000000004</v>
      </c>
      <c r="NX15" s="61">
        <f>IF($CX15="P",CL15,(CL15+BH15)/2)</f>
        <v>6.2649999999999997</v>
      </c>
      <c r="NY15" s="61">
        <f>IF($CX15="P",CM15,(CM15+BI15)/2)</f>
        <v>0</v>
      </c>
      <c r="NZ15" s="61">
        <f>IF($CX15="P",CN15,(CN15+BJ15)/2)</f>
        <v>0</v>
      </c>
      <c r="OA15" s="61">
        <f>IF($CX15="P",CO15,(CO15+BK15)/2)</f>
        <v>0</v>
      </c>
      <c r="OB15" s="61">
        <f>IF($CX15="P",CP15,(CP15+BL15)/2)</f>
        <v>0</v>
      </c>
      <c r="OC15" s="61">
        <f>IF($CX15="P",CQ15,(CQ15+BM15)/2)</f>
        <v>0</v>
      </c>
      <c r="OD15" s="61">
        <f>IF($CX15="P",CR15,(CR15+BN15)/2)</f>
        <v>0</v>
      </c>
      <c r="OE15" s="61">
        <f>IF($CX15="P",CS15,(CS15+BO15)/2)</f>
        <v>0.72</v>
      </c>
      <c r="OF15" s="61">
        <f>IF($CX15="P",CT15,(CT15+BP15)/2)</f>
        <v>0.5</v>
      </c>
      <c r="OG15" s="61">
        <f>IF($CX15="P",CU15,(CU15+BQ15)/2)</f>
        <v>0.75</v>
      </c>
      <c r="OH15" s="61">
        <f>IF($CX15="P",CV15,(CV15+BR15)/2)</f>
        <v>0.76</v>
      </c>
      <c r="OI15" s="61">
        <f>IF($CX15="P",CW15,(CW15+BS15)/2)</f>
        <v>0</v>
      </c>
      <c r="OJ15" s="72" t="s">
        <v>52</v>
      </c>
      <c r="OK15" s="11">
        <f>IF(SUM(NP15:NS15)-NT15&gt;0,SUM(NP15:NS15)-NT15,"")</f>
        <v>20.494999999999997</v>
      </c>
      <c r="OL15" s="11">
        <f>IF(NW15&gt;0,NW15,"")</f>
        <v>4.6500000000000004</v>
      </c>
      <c r="OM15" s="11">
        <f>IF(SUM(NU15:NX15)-NY15&gt;0,SUM(NU15:NX15)-NY15,"")</f>
        <v>21.765000000000001</v>
      </c>
      <c r="ON15" s="11" t="str">
        <f>IF(OB15&gt;0,OB15,"")</f>
        <v/>
      </c>
      <c r="OO15" s="11" t="str">
        <f>IF(SUM(NZ15:OC15)-OD15&gt;0,SUM(NZ15:OC15)-OD15,"")</f>
        <v/>
      </c>
      <c r="OP15" s="11">
        <f>IF(OR(OK15&lt;&gt;"",OM15&lt;&gt;"",OO15&lt;&gt;""),OK15+MAX(OM15,OO15),"")</f>
        <v>42.26</v>
      </c>
      <c r="OQ15" s="11">
        <f>IF(OG15&gt;0,OG15,"")</f>
        <v>0.75</v>
      </c>
      <c r="OR15" s="11">
        <f t="shared" ref="OR15" si="8">IF(SUM(OE15:OH15)-OI15&gt;0,SUM(OE15:OH15)-OI15,"")</f>
        <v>2.73</v>
      </c>
      <c r="OS15" s="11">
        <f t="shared" ref="OS15" si="9">IF(SUM(OP15,OR15)&gt;0,SUM(OP15,OR15),"")</f>
        <v>44.989999999999995</v>
      </c>
    </row>
    <row r="16" spans="1:409" x14ac:dyDescent="0.2">
      <c r="A16" s="5" t="str" cm="1">
        <f t="array" ref="A16">IF(AND(G16&lt;&gt;"",H16&lt;&gt;""),SUMPRODUCT((G$4:G$20&lt;&gt;"")*(H$4:H$20&lt;&gt;"")*(E$4:E$20&gt;E16))+1,IF(H16&lt;&gt;"",SUMPRODUCT((I$4:I$20="No DD")*(E$4:E$20&gt;E16))+1+SUMPRODUCT((G$4:G$20&lt;&gt;"")*(H$4:H$20&lt;&gt;"")),""))</f>
        <v/>
      </c>
      <c r="B16" s="6" t="s">
        <v>102</v>
      </c>
      <c r="C16" s="7" t="s">
        <v>4</v>
      </c>
      <c r="D16" s="26">
        <v>2003</v>
      </c>
      <c r="E16" s="15">
        <f>SUM(O16:S16)</f>
        <v>101.18</v>
      </c>
      <c r="F16" s="3" t="str">
        <f>IF(G16&lt;&gt;"","P","")</f>
        <v/>
      </c>
      <c r="G16" s="115" t="str">
        <f>IF(OR(AND(AR16&gt;=AY$25,AR16&lt;&gt;"",AP16=""),AND(AT16&gt;=AY$25,AT16&lt;&gt;"",AP16=""),AND(AW16&gt;=AY$25,AW16&lt;&gt;"",AP16=""),AND(BV16&gt;=CC$25,BV16&lt;&gt;"",BT16=""),AND(BX16&gt;=CC$25,BX16&lt;&gt;"",BT16=""),AND(CA16&gt;=CC$25,CA16&lt;&gt;"",BT16=""),AND(CZ16&gt;=DG$25,CZ16&lt;&gt;"",CX16=""),AND(DB16&gt;=DG$25,DB16&lt;&gt;"",CX16=""),AND(DE16&gt;=DG$25,DE16&lt;&gt;"",CX16=""),AND(EA16&gt;=EG$25,EA16&lt;&gt;""),AND(EE16&gt;=EG$25,EE16&lt;&gt;""),AND(EW16&gt;=FC$25,EW16&lt;&gt;""),AND(FA16&gt;=FC$25,FA16&lt;&gt;""),AND(FS16&gt;=FY$25,FS16&lt;&gt;""),AND(FW16&gt;=FY$25,FW16&lt;&gt;""),AND(GO16&gt;=GU$25,GO16&lt;&gt;""),AND(GS16&gt;=GU$25,GS16&lt;&gt;""),AND(HK16&gt;=HQ$25,HK16&lt;&gt;""),AND(HO16&gt;=HQ$25,HO16&lt;&gt;""),AND(IG16&gt;=IM$25,IG16&lt;&gt;""),AND(IK16&gt;=IM$25,IK16&lt;&gt;""),AND(JC16&gt;=JI$25,JC16&lt;&gt;""),AND(JG16&gt;=JI$25,JG16&lt;&gt;""),AND(JY16&gt;=KE$25,JY16&lt;&gt;""),AND(KC16&gt;=KE$25,KC16&lt;&gt;""),AND(KU16&gt;=LA$25,KU16&lt;&gt;""),AND(KY16&gt;=LA$25,KY16&lt;&gt;""),AND(LQ16&gt;=LW$25,LQ16&lt;&gt;""),AND(LU16&gt;=LW$25,LU16&lt;&gt;""),AND(MM16&gt;=MS$25,MM16&lt;&gt;""),AND(MQ16&gt;=MS$25,MQ16&lt;&gt;""),AND(NI16&gt;=NO$25,NI16&lt;&gt;""),AND(NM16&gt;=NO$25,NM16&lt;&gt;"")),"Merit",IF(OR(AND(AR16&gt;=AY$24,AR16&lt;&gt;"",AP16=""),AND(AT16&gt;=AY$24,AT16&lt;&gt;"",AP16=""),AND(AW16&gt;=AY$24,AW16&lt;&gt;"",AP16=""),AND(BV16&gt;=CC$24,BV16&lt;&gt;"",BT16=""),AND(BX16&gt;=CC$24,BX16&lt;&gt;"",BT16=""),AND(CA16&gt;=CC$24,CA16&lt;&gt;"",BT16=""),AND(CZ16&gt;=DG$24,CZ16&lt;&gt;"",CX16=""),AND(DB16&gt;=DG$24,DB16&lt;&gt;"",CX16=""),AND(DE16&gt;=DG$24,DE16&lt;&gt;"",CX16=""),AND(EA16&gt;=EG$24,EA16&lt;&gt;""),AND(EE16&gt;=EG$24,EE16&lt;&gt;""),AND(EW16&gt;=FC$24,EW16&lt;&gt;""),AND(FA16&gt;=FC$24,FA16&lt;&gt;""),AND(FS16&gt;=FY$24,FS16&lt;&gt;""),AND(FW16&gt;=FY$24,FW16&lt;&gt;""),AND(GO16&gt;=GU$24,GO16&lt;&gt;""),AND(GS16&gt;=GU$24,GS16&lt;&gt;""),AND(HK16&gt;=HQ$24,HK16&lt;&gt;""),AND(HO16&gt;=HQ$24,HO16&lt;&gt;""),AND(IG16&gt;=IM$24,IG16&lt;&gt;""),AND(IK16&gt;=IM$24,IK16&lt;&gt;""),AND(JC16&gt;=JI$24,JC16&lt;&gt;""),AND(JG16&gt;=JI$24,JG16&lt;&gt;""),AND(JY16&gt;=KE$24,JY16&lt;&gt;""),AND(KC16&gt;=KE$24,KC16&lt;&gt;""),AND(KU16&gt;=LA$24,KU16&lt;&gt;""),AND(KY16&gt;=LA$24,KY16&lt;&gt;""),AND(LQ16&gt;=LW$24,LQ16&lt;&gt;""),AND(LU16&gt;=LW$24,LU16&lt;&gt;""),AND(MM16&gt;=MS$24,MM16&lt;&gt;""),AND(MQ16&gt;=MS$24,MQ16&lt;&gt;""),AND(NI16&gt;=NO$24,NI16&lt;&gt;""),AND(NM16&gt;=NO$24,NM16&lt;&gt;"")),"Excellence",IF(OR(AND(AR16&gt;=AY$23,AR16&lt;&gt;"",AP16=""),AND(AT16&gt;=AY$23,AT16&lt;&gt;"",AP16=""),AND(AW16&gt;=AY$23,AW16&lt;&gt;"",AP16=""),AND(BV16&gt;=CC$23,BV16&lt;&gt;"",BT16=""),AND(BX16&gt;=CC$23,BX16&lt;&gt;"",BT16=""),AND(CA16&gt;=CC$23,CA16&lt;&gt;"",BT16=""),AND(CZ16&gt;=DG$23,CZ16&lt;&gt;"",CX16=""),AND(DB16&gt;=DG$23,DB16&lt;&gt;"",CX16=""),AND(DE16&gt;=DG$23,DE16&lt;&gt;"",CX16=""),AND(EA16&gt;=EG$23,EA16&lt;&gt;""),AND(EE16&gt;=EG$23,EE16&lt;&gt;""),AND(EW16&gt;=FC$23,EW16&lt;&gt;""),AND(FA16&gt;=FC$23,FA16&lt;&gt;""),AND(FS16&gt;=FY$23,FS16&lt;&gt;""),AND(FW16&gt;=FY$23,FW16&lt;&gt;""),AND(GO16&gt;=GU$23,GO16&lt;&gt;""),AND(GS16&gt;=GU$23,GS16&lt;&gt;""),AND(HK16&gt;=HQ$23,HK16&lt;&gt;""),AND(HO16&gt;=HQ$23,HO16&lt;&gt;""),AND(IG16&gt;=IM$23,IG16&lt;&gt;""),AND(IK16&gt;=IM$23,IK16&lt;&gt;""),AND(JC16&gt;=JI$23,JC16&lt;&gt;""),AND(JG16&gt;=JI$23,JG16&lt;&gt;""),AND(JY16&gt;=KE$23,JY16&lt;&gt;""),AND(KC16&gt;=KE$23,KC16&lt;&gt;""),AND(KU16&gt;=LA$23,KU16&lt;&gt;""),AND(KY16&gt;=LA$23,KY16&lt;&gt;""),AND(LQ16&gt;=LW$23,LQ16&lt;&gt;""),AND(LU16&gt;=LW$23,LU16&lt;&gt;""),AND(MM16&gt;=MS$23,MM16&lt;&gt;""),AND(MQ16&gt;=MS$23,MQ16&lt;&gt;""),AND(NI16&gt;=NO$23,NI16&lt;&gt;""),AND(NM16&gt;=NO$23,NM16&lt;&gt;"")),"Worlds Team",IF(OR(AND(AR16&gt;=AY$22,AR16&lt;&gt;"",AP16=""),AND(AT16&gt;=AY$22,AT16&lt;&gt;"",AP16=""),AND(AW16&gt;=AY$22,AW16&lt;&gt;"",AP16=""),AND(BV16&gt;=CC$22,BV16&lt;&gt;"",BT16=""),AND(BX16&gt;=CC$22,BX16&lt;&gt;"",BT16=""),AND(CA16&gt;=CC$22,CA16&lt;&gt;"",BT16=""),AND(CZ16&gt;=DG$22,CZ16&lt;&gt;"",CX16=""),AND(DB16&gt;=DG$22,DB16&lt;&gt;"",CX16=""),AND(DE16&gt;=DG$22,DE16&lt;&gt;"",CX16=""),AND(EA16&gt;=EG$22,EA16&lt;&gt;""),AND(EE16&gt;=EG$22,EE16&lt;&gt;""),AND(EW16&gt;=FC$22,EW16&lt;&gt;""),AND(FA16&gt;=FC$22,FA16&lt;&gt;""),AND(FS16&gt;=FY$22,FS16&lt;&gt;""),AND(FW16&gt;=FY$22,FW16&lt;&gt;""),AND(GO16&gt;=GU$22,GO16&lt;&gt;""),AND(GS16&gt;=GU$22,GS16&lt;&gt;""),AND(HK16&gt;=HQ$22,HK16&lt;&gt;""),AND(HO16&gt;=HQ$22,HO16&lt;&gt;""),AND(IG16&gt;=IM$22,IG16&lt;&gt;""),AND(IK16&gt;=IM$22,IK16&lt;&gt;""),AND(JC16&gt;=JI$22,JC16&lt;&gt;""),AND(JG16&gt;=JI$22,JG16&lt;&gt;""),AND(JY16&gt;=KE$22,JY16&lt;&gt;""),AND(KC16&gt;=KE$22,KC16&lt;&gt;""),AND(KU16&gt;=LA$22,KU16&lt;&gt;""),AND(KY16&gt;=LA$22,KY16&lt;&gt;""),AND(LQ16&gt;=LW$22,LQ16&lt;&gt;""),AND(LU16&gt;=LW$22,LU16&lt;&gt;""),AND(MM16&gt;=MS$22,MM16&lt;&gt;""),AND(MQ16&gt;=MS$22,MQ16&lt;&gt;""),AND(NI16&gt;=NO$22,NI16&lt;&gt;""),AND(NM16&gt;=NO$22,NM16&lt;&gt;"")),"National Team",""))))</f>
        <v/>
      </c>
      <c r="H16" s="115" t="str">
        <f>IF(OR(AND(AS16&gt;=AY$26,AS16&lt;&gt;"",AP16=""),AND(AU16&gt;=AY$26,AU16&lt;&gt;"",AP16=""),AND(AX16&gt;=AY$26,AX16&lt;&gt;"",AP16=""),AND(BW16&gt;=CC$26,BW16&lt;&gt;"",BT16=""),AND(BY16&gt;=CC$26,BY16&lt;&gt;"",BT16=""),AND(CB16&gt;=CC$26,CB16&lt;&gt;"",BT16=""),AND(DA16&gt;=DG$26,DA16&lt;&gt;"",CX16=""),AND(DC16&gt;=DG$26,DC16&lt;&gt;"",CX16=""),AND(DF16&gt;=DG$26,DF16&lt;&gt;"",CX16=""),AND(EC16&gt;=EG$26,EC16&lt;&gt;""),AND(EF16&gt;=EG$26,EF16&lt;&gt;""),AND(EY16&gt;=FC$26,EY16&lt;&gt;""),AND(FB16&gt;=FC$26,FB16&lt;&gt;""),AND(FU16&gt;=FY$26,FU16&lt;&gt;""),AND(FX16&gt;=FY$26,FX16&lt;&gt;""),AND(GQ16&gt;=GU$26,GQ16&lt;&gt;""),AND(GT16&gt;=GU$26,GT16&lt;&gt;""),AND(HM16&gt;=HQ$26,HM16&lt;&gt;""),AND(HP16&gt;=HQ$26,HP16&lt;&gt;""),AND(II16&gt;=IM$26,II16&lt;&gt;""),AND(IL16&gt;=IM$26,IL16&lt;&gt;""),AND(JE16&gt;=JI$26,JE16&lt;&gt;""),AND(JH16&gt;=JI$26,JH16&lt;&gt;""),AND(KA16&gt;=KE$26,KA16&lt;&gt;""),AND(KD16&gt;=KE$26,KD16&lt;&gt;""),AND(KW16&gt;=LA$26,KW16&lt;&gt;""),AND(KZ16&gt;=LA$26,KZ16&lt;&gt;""),AND(LS16&gt;=LW$26,LS16&lt;&gt;""),AND(LV16&gt;=LW$26,LV16&lt;&gt;""),AND(MO16&gt;=MS$26,MO16&lt;&gt;""),AND(MR16&gt;=MS$26,MR16&lt;&gt;""),AND(NK16&gt;=NO$26,NK16&lt;&gt;""),AND(NN16&gt;=NO$26,NN16&lt;&gt;"")),"National Team","")</f>
        <v/>
      </c>
      <c r="I16" s="11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/>
      </c>
      <c r="J16" s="3" t="str">
        <f>IF(AND(OR(AND(AV16&gt;=AY$27,AV16&lt;&gt;"",AP16=""),AND(BZ16&gt;=CC$27,BZ16&lt;&gt;"",BT16=""),AND(DD16&gt;=DG$27,DD16&lt;&gt;"",CX16=""),AND(ED16&gt;=EG$27,ED16&lt;&gt;""),AND(EZ16&gt;=FC$27,EZ16&lt;&gt;""),AND(FV16&gt;=FY$27,FV16&lt;&gt;""),AND(GR16&gt;=GU$27,GR16&lt;&gt;""),AND(HN16&gt;=HQ$27,HN16&lt;&gt;""),AND(IJ16&gt;=IM$27,IJ16&lt;&gt;""),AND(JF16&gt;=JI$27,JF16&lt;&gt;""),AND(KB16&gt;=KE$27,KB16&lt;&gt;""),AND(KX16&gt;=LA$27,KX16&lt;&gt;""),AND(LT16&gt;=LW$27,LT16&lt;&gt;""),AND(MP16&gt;=MS$27,MP16&lt;&gt;""),AND(NL16&gt;=NO$27,NL16&lt;&gt;"")),OR(G16="Worlds Team",G16="Excellence",G16="Merit")),"P","")</f>
        <v/>
      </c>
      <c r="K16" s="14">
        <f>IF(MAX(AV16,BZ16,DD16)&gt;0,MAX(AV16,BZ16,DD16),0)</f>
        <v>92.87</v>
      </c>
      <c r="L16" s="14" t="str">
        <f>IF(K16=0,"",IF(K16=DD16,$CD$1,IF(K16=BZ16,$AZ$1,IF(K16=AV16,$V$1,""))))</f>
        <v>2019 Elite Canada</v>
      </c>
      <c r="M16" s="14">
        <f>IF($K16=$AV16,MAX(BU16,CY16),IF($K16=$BZ16,MAX(AQ16,CY16),IF($K16=$DD16,MAX(AQ16,BU16),MAX(AQ16,BU16,CY16))))</f>
        <v>41.61</v>
      </c>
      <c r="N16" s="14" t="str">
        <f>IF(M16=0,"",IF(AND(M16=CY16,$L16&lt;&gt;$CD$1),$CD$1,IF(AND(M16=BU16,$L16&lt;&gt;$AZ$1),$AZ$1,IF(AND(M16=AQ16,$L16&lt;&gt;$V$1),$V$1,""))))</f>
        <v>2019 Nationals</v>
      </c>
      <c r="O16" s="14">
        <f>MAX(AS16,AU16,AX16,BW16,BY16,CB16,DA16,DC16,DF16)</f>
        <v>51.104999999999997</v>
      </c>
      <c r="P16" s="14" t="str">
        <f>IF(O16=0,"",IF(OR(O16=DC16,O16=DA16,O16=DF16),$CD$1,IF(OR(O16=BY16,O16=BW16,O16=CB16),$AZ$1,IF(OR(O16=AU16,O16=AS16,O16=AX16),$V$1,""))))</f>
        <v>2019 Elite Canada</v>
      </c>
      <c r="Q16" s="14">
        <f>IF(COUNT(AS16,AU16,AX16,BW16,BY16,CB16,DA16,DC16,DF16)&gt;1,LARGE((AS16,AU16,AX16,BW16,BY16,CB16,DA16,DC16,DF16),2),0)</f>
        <v>50.075000000000003</v>
      </c>
      <c r="R16" s="14" t="str">
        <f>IF(Q16=0,"",IF(OR(Q16=DC16,Q16=DA16,Q16=DF16),$CD$1,IF(OR(Q16=BY16,Q16=BW16,Q16=CB16),$AZ$1,IF(OR(Q16=AU16,Q16=AS16,Q16=AX16),$V$1,""))))</f>
        <v>2019 Elite Canada</v>
      </c>
      <c r="S16" s="14" t="str">
        <f>IF(MAX(DI16,DK16)&gt;0,MAX(DI16,DK16),"")</f>
        <v/>
      </c>
      <c r="T16" s="24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1">
        <v>15.7</v>
      </c>
      <c r="W16" s="61">
        <v>9.25</v>
      </c>
      <c r="X16" s="61">
        <v>2.9</v>
      </c>
      <c r="Y16" s="61">
        <v>14.945</v>
      </c>
      <c r="Z16" s="61">
        <v>0</v>
      </c>
      <c r="AA16" s="61">
        <v>13.6</v>
      </c>
      <c r="AB16" s="61">
        <v>9.15</v>
      </c>
      <c r="AC16" s="61">
        <v>12.9</v>
      </c>
      <c r="AD16" s="61">
        <v>14.425000000000001</v>
      </c>
      <c r="AE16" s="61">
        <v>0</v>
      </c>
      <c r="AF16" s="61"/>
      <c r="AG16" s="61"/>
      <c r="AH16" s="61"/>
      <c r="AI16" s="61"/>
      <c r="AJ16" s="61"/>
      <c r="AK16" s="61">
        <v>15.4</v>
      </c>
      <c r="AL16" s="61">
        <v>9.6</v>
      </c>
      <c r="AM16" s="61">
        <v>11.4</v>
      </c>
      <c r="AN16" s="61">
        <v>14.705</v>
      </c>
      <c r="AO16" s="61">
        <v>0</v>
      </c>
      <c r="AP16" s="72"/>
      <c r="AQ16" s="11">
        <f>IF(SUM(V16:Y16)-Z16&gt;0,SUM(V16:Y16)-Z16,"")</f>
        <v>42.795000000000002</v>
      </c>
      <c r="AR16" s="11">
        <f>IF(AC16&gt;0,AC16,"")</f>
        <v>12.9</v>
      </c>
      <c r="AS16" s="11">
        <f>IF(SUM(AA16:AD16)-AE16&gt;0,SUM(AA16:AD16)-AE16,"")</f>
        <v>50.075000000000003</v>
      </c>
      <c r="AT16" s="11" t="str">
        <f>IF(AH16&gt;0,AH16,"")</f>
        <v/>
      </c>
      <c r="AU16" s="11" t="str">
        <f>IF(SUM(AF16:AI16)-AJ16&gt;0,SUM(AF16:AI16)-AJ16,"")</f>
        <v/>
      </c>
      <c r="AV16" s="11">
        <f>IF(OR(AQ16&lt;&gt;"",AS16&lt;&gt;"",AU16&lt;&gt;""),AQ16+MAX(AS16,AU16),"")</f>
        <v>92.87</v>
      </c>
      <c r="AW16" s="11">
        <f>IF(AM16&gt;0,AM16,"")</f>
        <v>11.4</v>
      </c>
      <c r="AX16" s="11">
        <f>IF(SUM(AK16:AN16)-AO16&gt;0,SUM(AK16:AN16)-AO16,"")</f>
        <v>51.104999999999997</v>
      </c>
      <c r="AY16" s="11">
        <f>IF(SUM(AV16,AX16)&gt;0,SUM(AV16,AX16),"")</f>
        <v>143.97499999999999</v>
      </c>
      <c r="AZ16" s="67">
        <v>14.8</v>
      </c>
      <c r="BA16" s="67">
        <v>9.1999999999999993</v>
      </c>
      <c r="BB16" s="67">
        <v>2.7</v>
      </c>
      <c r="BC16" s="67">
        <v>14.91</v>
      </c>
      <c r="BD16" s="67">
        <v>0</v>
      </c>
      <c r="BE16" s="67">
        <v>14.8</v>
      </c>
      <c r="BF16" s="67">
        <v>9.1999999999999993</v>
      </c>
      <c r="BG16" s="67">
        <v>11.4</v>
      </c>
      <c r="BH16" s="67">
        <v>14.19</v>
      </c>
      <c r="BI16" s="67">
        <v>0</v>
      </c>
      <c r="BJ16" s="67"/>
      <c r="BK16" s="67"/>
      <c r="BL16" s="67"/>
      <c r="BM16" s="67"/>
      <c r="BN16" s="67"/>
      <c r="BO16" s="67">
        <v>14.68</v>
      </c>
      <c r="BP16" s="67">
        <v>9.6</v>
      </c>
      <c r="BQ16" s="67">
        <v>11.2</v>
      </c>
      <c r="BR16" s="67">
        <v>14.515000000000001</v>
      </c>
      <c r="BS16" s="67">
        <v>0</v>
      </c>
      <c r="BT16" s="73"/>
      <c r="BU16" s="14">
        <f>IF(SUM(AZ16:BC16)-BD16&gt;0,SUM(AZ16:BC16)-BD16,"")</f>
        <v>41.61</v>
      </c>
      <c r="BV16" s="14">
        <f>IF(BG16&gt;0,BG16,"")</f>
        <v>11.4</v>
      </c>
      <c r="BW16" s="14">
        <f>IF(SUM(BE16:BH16)-BI16&gt;0,SUM(BE16:BH16)-BI16,"")</f>
        <v>49.589999999999996</v>
      </c>
      <c r="BX16" s="14" t="str">
        <f>IF(BL16&gt;0,BL16,"")</f>
        <v/>
      </c>
      <c r="BY16" s="14" t="str">
        <f>IF(SUM(BJ16:BM16)-BN16&gt;0,SUM(BJ16:BM16)-BN16,"")</f>
        <v/>
      </c>
      <c r="BZ16" s="14">
        <f>IF(BU16="",IF(MAX(BW16,BY16)&gt;0,MAX(BW16,BY16),""),MAX(BW16,BY16)+BU16)</f>
        <v>91.199999999999989</v>
      </c>
      <c r="CA16" s="14">
        <f>IF(BQ16&gt;0,BQ16,"")</f>
        <v>11.2</v>
      </c>
      <c r="CB16" s="14">
        <f>IF(SUM(BO16:BR16)-BS16&gt;0,SUM(BO16:BR16)-BS16,"")</f>
        <v>49.995000000000005</v>
      </c>
      <c r="CC16" s="14">
        <f>IF(SUM(BZ16,CB16)&gt;0,SUM(BZ16,CB16),"")</f>
        <v>141.19499999999999</v>
      </c>
      <c r="CD16" s="61"/>
      <c r="CE16" s="61"/>
      <c r="CF16" s="61"/>
      <c r="CG16" s="61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72"/>
      <c r="CY16" s="11" t="str">
        <f>IF(SUM(CD16:CG16)-CH16&gt;0,SUM(CD16:CG16)-CH16,"")</f>
        <v/>
      </c>
      <c r="CZ16" s="11" t="str">
        <f>IF(CK16&gt;0,CK16,"")</f>
        <v/>
      </c>
      <c r="DA16" s="11" t="str">
        <f>IF(SUM(CI16:CL16)-CM16&gt;0,SUM(CI16:CL16)-CM16,"")</f>
        <v/>
      </c>
      <c r="DB16" s="11" t="str">
        <f>IF(CP16&gt;0,CP16,"")</f>
        <v/>
      </c>
      <c r="DC16" s="11" t="str">
        <f>IF(SUM(CN16:CQ16)-CR16&gt;0,SUM(CN16:CQ16)-CR16,"")</f>
        <v/>
      </c>
      <c r="DD16" s="11" t="str">
        <f>IF(CY16="",IF(MAX(DA16,DC16)&gt;0,MAX(DA16,DC16),""),MAX(DA16,DC16)+CY16)</f>
        <v/>
      </c>
      <c r="DE16" s="11" t="str">
        <f>IF(CU16&gt;0,CU16,"")</f>
        <v/>
      </c>
      <c r="DF16" s="11" t="str">
        <f>IF(SUM(CS16:CV16)-CW16&gt;0,SUM(CS16:CV16)-CW16,"")</f>
        <v/>
      </c>
      <c r="DG16" s="11" t="str">
        <f>IF(SUM(DD16,DF16)&gt;0,SUM(DD16,DF16),"")</f>
        <v/>
      </c>
      <c r="DH16" s="23" t="str">
        <f>IF(MAX(EB16,EX16,FT16,GP16,HL16,IH16,JD16,JZ16,KV16,LR16,MN16,NJ16)-IF(M16="",0,M16)&gt;0.001,MAX(EB16,EX16,FT16,GP16,HL16,IH16,JD16,JZ16,KV16,LR16,MN16,NJ16)-IF(M16="",0,M16),"")</f>
        <v/>
      </c>
      <c r="DI16" s="23" t="str">
        <f>IF(MAX(EC16,EY16,FU16,GQ16,HM16,II16,JE16,KA16,KW16,LS16,MO16,NK16)-IF(O16="",0,O16)&gt;0.001,MAX(EC16,EY16,FU16,GQ16,HM16,II16,JE16,KA16,KW16,LS16,MO16,NK16)-IF(O16="",0,O16),"")</f>
        <v/>
      </c>
      <c r="DJ16" s="23" t="str">
        <f>IF(MAX(ED16,EZ16,FV16,GR16,HN16,IJ16,JF16,KB16,KX16,LT16,MP16,NL16)-IF(K16="",0,K16)&gt;0.001,MAX(ED16,EZ16,FV16,GR16,HN16,IJ16,JF16,KB16,KX16,LT16,MP16,NL16)-IF(K16="",0,K16),"")</f>
        <v/>
      </c>
      <c r="DK16" s="23" t="str">
        <f>IF(MAX(EF16,FB16,FX16,GT16,HP16,IL16,JH16,KD16,KZ16,LV16,MR16,NN16)-IF(Q16="",0,Q16)&gt;0.001,MAX(EF16,FB16,FX16,GT16,HP16,IL16,JH16,KD16,KZ16,LV16,MR16,NN16)-IF(Q16="",0,Q16),"")</f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>IF(HC16&gt;0,HC16,"")</f>
        <v/>
      </c>
      <c r="HL16" s="11" t="str">
        <f>IF(SUM(GV16:GY16)-GZ16&gt;0,SUM(GV16:GY16)-GZ16,"")</f>
        <v/>
      </c>
      <c r="HM16" s="11" t="str">
        <f>IF(SUM(HA16:HD16)-HE16&gt;0,SUM(HA16:HD16)-HE16,"")</f>
        <v/>
      </c>
      <c r="HN16" s="11" t="str">
        <f>IF(SUM(HL16:HM16)&gt;0,SUM(HL16:HM16),"")</f>
        <v/>
      </c>
      <c r="HO16" s="11" t="str">
        <f>IF(HH16&gt;0,HH16,"")</f>
        <v/>
      </c>
      <c r="HP16" s="11" t="str">
        <f>IF(SUM(HF16:HI16)-HJ16&gt;0,SUM(HF16:HI16)-HJ16,"")</f>
        <v/>
      </c>
      <c r="HQ16" s="11" t="str">
        <f>IF(SUM(HN16,HP16)&gt;0,SUM(HN16,HP16),"")</f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1">
        <f>IF($CX16="P",CD16,(CD16+AZ16)/2)</f>
        <v>7.4</v>
      </c>
      <c r="NQ16" s="61">
        <f>IF($CX16="P",CE16,(CE16+BA16)/2)</f>
        <v>4.5999999999999996</v>
      </c>
      <c r="NR16" s="61">
        <f>IF($CX16="P",CF16,(CF16+BB16)/2)</f>
        <v>1.35</v>
      </c>
      <c r="NS16" s="61">
        <f>IF($CX16="P",CG16,(CG16+BC16)/2)</f>
        <v>7.4550000000000001</v>
      </c>
      <c r="NT16" s="61">
        <f>IF($CX16="P",CH16,(CH16+BD16)/2)</f>
        <v>0</v>
      </c>
      <c r="NU16" s="61">
        <f>IF($CX16="P",CI16,(CI16+BE16)/2)</f>
        <v>7.4</v>
      </c>
      <c r="NV16" s="61">
        <f>IF($CX16="P",CJ16,(CJ16+BF16)/2)</f>
        <v>4.5999999999999996</v>
      </c>
      <c r="NW16" s="61">
        <f>IF($CX16="P",CK16,(CK16+BG16)/2)</f>
        <v>5.7</v>
      </c>
      <c r="NX16" s="61">
        <f>IF($CX16="P",CL16,(CL16+BH16)/2)</f>
        <v>7.0949999999999998</v>
      </c>
      <c r="NY16" s="61">
        <f>IF($CX16="P",CM16,(CM16+BI16)/2)</f>
        <v>0</v>
      </c>
      <c r="NZ16" s="61">
        <f>IF($CX16="P",CN16,(CN16+BJ16)/2)</f>
        <v>0</v>
      </c>
      <c r="OA16" s="61">
        <f>IF($CX16="P",CO16,(CO16+BK16)/2)</f>
        <v>0</v>
      </c>
      <c r="OB16" s="61">
        <f>IF($CX16="P",CP16,(CP16+BL16)/2)</f>
        <v>0</v>
      </c>
      <c r="OC16" s="61">
        <f>IF($CX16="P",CQ16,(CQ16+BM16)/2)</f>
        <v>0</v>
      </c>
      <c r="OD16" s="61">
        <f>IF($CX16="P",CR16,(CR16+BN16)/2)</f>
        <v>0</v>
      </c>
      <c r="OE16" s="61">
        <f>IF($CX16="P",CS16,(CS16+BO16)/2)</f>
        <v>7.34</v>
      </c>
      <c r="OF16" s="61">
        <f>IF($CX16="P",CT16,(CT16+BP16)/2)</f>
        <v>4.8</v>
      </c>
      <c r="OG16" s="61">
        <f>IF($CX16="P",CU16,(CU16+BQ16)/2)</f>
        <v>5.6</v>
      </c>
      <c r="OH16" s="61">
        <f>IF($CX16="P",CV16,(CV16+BR16)/2)</f>
        <v>7.2575000000000003</v>
      </c>
      <c r="OI16" s="61">
        <f>IF($CX16="P",CW16,(CW16+BS16)/2)</f>
        <v>0</v>
      </c>
      <c r="OJ16" s="72" t="s">
        <v>52</v>
      </c>
      <c r="OK16" s="11">
        <f>IF(SUM(NP16:NS16)-NT16&gt;0,SUM(NP16:NS16)-NT16,"")</f>
        <v>20.805</v>
      </c>
      <c r="OL16" s="11">
        <f>IF(NW16&gt;0,NW16,"")</f>
        <v>5.7</v>
      </c>
      <c r="OM16" s="11">
        <f>IF(SUM(NU16:NX16)-NY16&gt;0,SUM(NU16:NX16)-NY16,"")</f>
        <v>24.794999999999998</v>
      </c>
      <c r="ON16" s="11" t="str">
        <f>IF(OB16&gt;0,OB16,"")</f>
        <v/>
      </c>
      <c r="OO16" s="11" t="str">
        <f>IF(SUM(NZ16:OC16)-OD16&gt;0,SUM(NZ16:OC16)-OD16,"")</f>
        <v/>
      </c>
      <c r="OP16" s="11">
        <f>IF(OR(OK16&lt;&gt;"",OM16&lt;&gt;"",OO16&lt;&gt;""),OK16+MAX(OM16,OO16),"")</f>
        <v>45.599999999999994</v>
      </c>
      <c r="OQ16" s="11">
        <f>IF(OG16&gt;0,OG16,"")</f>
        <v>5.6</v>
      </c>
      <c r="OR16" s="11">
        <f t="shared" ref="OR16" si="10">IF(SUM(OE16:OH16)-OI16&gt;0,SUM(OE16:OH16)-OI16,"")</f>
        <v>24.997500000000002</v>
      </c>
      <c r="OS16" s="11">
        <f t="shared" ref="OS16" si="11">IF(SUM(OP16,OR16)&gt;0,SUM(OP16,OR16),"")</f>
        <v>70.597499999999997</v>
      </c>
    </row>
    <row r="17" spans="1:409" x14ac:dyDescent="0.2">
      <c r="A17" s="5" t="str" cm="1">
        <f t="array" ref="A17">IF(AND(G17&lt;&gt;"",H17&lt;&gt;""),SUMPRODUCT((G$4:G$20&lt;&gt;"")*(H$4:H$20&lt;&gt;"")*(E$4:E$20&gt;E17))+1,IF(H17&lt;&gt;"",SUMPRODUCT((I$4:I$20="No DD")*(E$4:E$20&gt;E17))+1+SUMPRODUCT((G$4:G$20&lt;&gt;"")*(H$4:H$20&lt;&gt;"")),""))</f>
        <v/>
      </c>
      <c r="B17" s="6" t="s">
        <v>90</v>
      </c>
      <c r="C17" s="7" t="s">
        <v>6</v>
      </c>
      <c r="D17" s="5">
        <v>2003</v>
      </c>
      <c r="E17" s="15">
        <f>SUM(O17:S17)</f>
        <v>100.345</v>
      </c>
      <c r="F17" s="3" t="str">
        <f>IF(G17&lt;&gt;"","P","")</f>
        <v/>
      </c>
      <c r="G17" s="115" t="str">
        <f>IF(OR(AND(AR17&gt;=AY$25,AR17&lt;&gt;"",AP17=""),AND(AT17&gt;=AY$25,AT17&lt;&gt;"",AP17=""),AND(AW17&gt;=AY$25,AW17&lt;&gt;"",AP17=""),AND(BV17&gt;=CC$25,BV17&lt;&gt;"",BT17=""),AND(BX17&gt;=CC$25,BX17&lt;&gt;"",BT17=""),AND(CA17&gt;=CC$25,CA17&lt;&gt;"",BT17=""),AND(CZ17&gt;=DG$25,CZ17&lt;&gt;"",CX17=""),AND(DB17&gt;=DG$25,DB17&lt;&gt;"",CX17=""),AND(DE17&gt;=DG$25,DE17&lt;&gt;"",CX17=""),AND(EA17&gt;=EG$25,EA17&lt;&gt;""),AND(EE17&gt;=EG$25,EE17&lt;&gt;""),AND(EW17&gt;=FC$25,EW17&lt;&gt;""),AND(FA17&gt;=FC$25,FA17&lt;&gt;""),AND(FS17&gt;=FY$25,FS17&lt;&gt;""),AND(FW17&gt;=FY$25,FW17&lt;&gt;""),AND(GO17&gt;=GU$25,GO17&lt;&gt;""),AND(GS17&gt;=GU$25,GS17&lt;&gt;""),AND(HK17&gt;=HQ$25,HK17&lt;&gt;""),AND(HO17&gt;=HQ$25,HO17&lt;&gt;""),AND(IG17&gt;=IM$25,IG17&lt;&gt;""),AND(IK17&gt;=IM$25,IK17&lt;&gt;""),AND(JC17&gt;=JI$25,JC17&lt;&gt;""),AND(JG17&gt;=JI$25,JG17&lt;&gt;""),AND(JY17&gt;=KE$25,JY17&lt;&gt;""),AND(KC17&gt;=KE$25,KC17&lt;&gt;""),AND(KU17&gt;=LA$25,KU17&lt;&gt;""),AND(KY17&gt;=LA$25,KY17&lt;&gt;""),AND(LQ17&gt;=LW$25,LQ17&lt;&gt;""),AND(LU17&gt;=LW$25,LU17&lt;&gt;""),AND(MM17&gt;=MS$25,MM17&lt;&gt;""),AND(MQ17&gt;=MS$25,MQ17&lt;&gt;""),AND(NI17&gt;=NO$25,NI17&lt;&gt;""),AND(NM17&gt;=NO$25,NM17&lt;&gt;"")),"Merit",IF(OR(AND(AR17&gt;=AY$24,AR17&lt;&gt;"",AP17=""),AND(AT17&gt;=AY$24,AT17&lt;&gt;"",AP17=""),AND(AW17&gt;=AY$24,AW17&lt;&gt;"",AP17=""),AND(BV17&gt;=CC$24,BV17&lt;&gt;"",BT17=""),AND(BX17&gt;=CC$24,BX17&lt;&gt;"",BT17=""),AND(CA17&gt;=CC$24,CA17&lt;&gt;"",BT17=""),AND(CZ17&gt;=DG$24,CZ17&lt;&gt;"",CX17=""),AND(DB17&gt;=DG$24,DB17&lt;&gt;"",CX17=""),AND(DE17&gt;=DG$24,DE17&lt;&gt;"",CX17=""),AND(EA17&gt;=EG$24,EA17&lt;&gt;""),AND(EE17&gt;=EG$24,EE17&lt;&gt;""),AND(EW17&gt;=FC$24,EW17&lt;&gt;""),AND(FA17&gt;=FC$24,FA17&lt;&gt;""),AND(FS17&gt;=FY$24,FS17&lt;&gt;""),AND(FW17&gt;=FY$24,FW17&lt;&gt;""),AND(GO17&gt;=GU$24,GO17&lt;&gt;""),AND(GS17&gt;=GU$24,GS17&lt;&gt;""),AND(HK17&gt;=HQ$24,HK17&lt;&gt;""),AND(HO17&gt;=HQ$24,HO17&lt;&gt;""),AND(IG17&gt;=IM$24,IG17&lt;&gt;""),AND(IK17&gt;=IM$24,IK17&lt;&gt;""),AND(JC17&gt;=JI$24,JC17&lt;&gt;""),AND(JG17&gt;=JI$24,JG17&lt;&gt;""),AND(JY17&gt;=KE$24,JY17&lt;&gt;""),AND(KC17&gt;=KE$24,KC17&lt;&gt;""),AND(KU17&gt;=LA$24,KU17&lt;&gt;""),AND(KY17&gt;=LA$24,KY17&lt;&gt;""),AND(LQ17&gt;=LW$24,LQ17&lt;&gt;""),AND(LU17&gt;=LW$24,LU17&lt;&gt;""),AND(MM17&gt;=MS$24,MM17&lt;&gt;""),AND(MQ17&gt;=MS$24,MQ17&lt;&gt;""),AND(NI17&gt;=NO$24,NI17&lt;&gt;""),AND(NM17&gt;=NO$24,NM17&lt;&gt;"")),"Excellence",IF(OR(AND(AR17&gt;=AY$23,AR17&lt;&gt;"",AP17=""),AND(AT17&gt;=AY$23,AT17&lt;&gt;"",AP17=""),AND(AW17&gt;=AY$23,AW17&lt;&gt;"",AP17=""),AND(BV17&gt;=CC$23,BV17&lt;&gt;"",BT17=""),AND(BX17&gt;=CC$23,BX17&lt;&gt;"",BT17=""),AND(CA17&gt;=CC$23,CA17&lt;&gt;"",BT17=""),AND(CZ17&gt;=DG$23,CZ17&lt;&gt;"",CX17=""),AND(DB17&gt;=DG$23,DB17&lt;&gt;"",CX17=""),AND(DE17&gt;=DG$23,DE17&lt;&gt;"",CX17=""),AND(EA17&gt;=EG$23,EA17&lt;&gt;""),AND(EE17&gt;=EG$23,EE17&lt;&gt;""),AND(EW17&gt;=FC$23,EW17&lt;&gt;""),AND(FA17&gt;=FC$23,FA17&lt;&gt;""),AND(FS17&gt;=FY$23,FS17&lt;&gt;""),AND(FW17&gt;=FY$23,FW17&lt;&gt;""),AND(GO17&gt;=GU$23,GO17&lt;&gt;""),AND(GS17&gt;=GU$23,GS17&lt;&gt;""),AND(HK17&gt;=HQ$23,HK17&lt;&gt;""),AND(HO17&gt;=HQ$23,HO17&lt;&gt;""),AND(IG17&gt;=IM$23,IG17&lt;&gt;""),AND(IK17&gt;=IM$23,IK17&lt;&gt;""),AND(JC17&gt;=JI$23,JC17&lt;&gt;""),AND(JG17&gt;=JI$23,JG17&lt;&gt;""),AND(JY17&gt;=KE$23,JY17&lt;&gt;""),AND(KC17&gt;=KE$23,KC17&lt;&gt;""),AND(KU17&gt;=LA$23,KU17&lt;&gt;""),AND(KY17&gt;=LA$23,KY17&lt;&gt;""),AND(LQ17&gt;=LW$23,LQ17&lt;&gt;""),AND(LU17&gt;=LW$23,LU17&lt;&gt;""),AND(MM17&gt;=MS$23,MM17&lt;&gt;""),AND(MQ17&gt;=MS$23,MQ17&lt;&gt;""),AND(NI17&gt;=NO$23,NI17&lt;&gt;""),AND(NM17&gt;=NO$23,NM17&lt;&gt;"")),"Worlds Team",IF(OR(AND(AR17&gt;=AY$22,AR17&lt;&gt;"",AP17=""),AND(AT17&gt;=AY$22,AT17&lt;&gt;"",AP17=""),AND(AW17&gt;=AY$22,AW17&lt;&gt;"",AP17=""),AND(BV17&gt;=CC$22,BV17&lt;&gt;"",BT17=""),AND(BX17&gt;=CC$22,BX17&lt;&gt;"",BT17=""),AND(CA17&gt;=CC$22,CA17&lt;&gt;"",BT17=""),AND(CZ17&gt;=DG$22,CZ17&lt;&gt;"",CX17=""),AND(DB17&gt;=DG$22,DB17&lt;&gt;"",CX17=""),AND(DE17&gt;=DG$22,DE17&lt;&gt;"",CX17=""),AND(EA17&gt;=EG$22,EA17&lt;&gt;""),AND(EE17&gt;=EG$22,EE17&lt;&gt;""),AND(EW17&gt;=FC$22,EW17&lt;&gt;""),AND(FA17&gt;=FC$22,FA17&lt;&gt;""),AND(FS17&gt;=FY$22,FS17&lt;&gt;""),AND(FW17&gt;=FY$22,FW17&lt;&gt;""),AND(GO17&gt;=GU$22,GO17&lt;&gt;""),AND(GS17&gt;=GU$22,GS17&lt;&gt;""),AND(HK17&gt;=HQ$22,HK17&lt;&gt;""),AND(HO17&gt;=HQ$22,HO17&lt;&gt;""),AND(IG17&gt;=IM$22,IG17&lt;&gt;""),AND(IK17&gt;=IM$22,IK17&lt;&gt;""),AND(JC17&gt;=JI$22,JC17&lt;&gt;""),AND(JG17&gt;=JI$22,JG17&lt;&gt;""),AND(JY17&gt;=KE$22,JY17&lt;&gt;""),AND(KC17&gt;=KE$22,KC17&lt;&gt;""),AND(KU17&gt;=LA$22,KU17&lt;&gt;""),AND(KY17&gt;=LA$22,KY17&lt;&gt;""),AND(LQ17&gt;=LW$22,LQ17&lt;&gt;""),AND(LU17&gt;=LW$22,LU17&lt;&gt;""),AND(MM17&gt;=MS$22,MM17&lt;&gt;""),AND(MQ17&gt;=MS$22,MQ17&lt;&gt;""),AND(NI17&gt;=NO$22,NI17&lt;&gt;""),AND(NM17&gt;=NO$22,NM17&lt;&gt;"")),"National Team",""))))</f>
        <v/>
      </c>
      <c r="H17" s="115" t="str">
        <f>IF(OR(AND(AS17&gt;=AY$26,AS17&lt;&gt;"",AP17=""),AND(AU17&gt;=AY$26,AU17&lt;&gt;"",AP17=""),AND(AX17&gt;=AY$26,AX17&lt;&gt;"",AP17=""),AND(BW17&gt;=CC$26,BW17&lt;&gt;"",BT17=""),AND(BY17&gt;=CC$26,BY17&lt;&gt;"",BT17=""),AND(CB17&gt;=CC$26,CB17&lt;&gt;"",BT17=""),AND(DA17&gt;=DG$26,DA17&lt;&gt;"",CX17=""),AND(DC17&gt;=DG$26,DC17&lt;&gt;"",CX17=""),AND(DF17&gt;=DG$26,DF17&lt;&gt;"",CX17=""),AND(EC17&gt;=EG$26,EC17&lt;&gt;""),AND(EF17&gt;=EG$26,EF17&lt;&gt;""),AND(EY17&gt;=FC$26,EY17&lt;&gt;""),AND(FB17&gt;=FC$26,FB17&lt;&gt;""),AND(FU17&gt;=FY$26,FU17&lt;&gt;""),AND(FX17&gt;=FY$26,FX17&lt;&gt;""),AND(GQ17&gt;=GU$26,GQ17&lt;&gt;""),AND(GT17&gt;=GU$26,GT17&lt;&gt;""),AND(HM17&gt;=HQ$26,HM17&lt;&gt;""),AND(HP17&gt;=HQ$26,HP17&lt;&gt;""),AND(II17&gt;=IM$26,II17&lt;&gt;""),AND(IL17&gt;=IM$26,IL17&lt;&gt;""),AND(JE17&gt;=JI$26,JE17&lt;&gt;""),AND(JH17&gt;=JI$26,JH17&lt;&gt;""),AND(KA17&gt;=KE$26,KA17&lt;&gt;""),AND(KD17&gt;=KE$26,KD17&lt;&gt;""),AND(KW17&gt;=LA$26,KW17&lt;&gt;""),AND(KZ17&gt;=LA$26,KZ17&lt;&gt;""),AND(LS17&gt;=LW$26,LS17&lt;&gt;""),AND(LV17&gt;=LW$26,LV17&lt;&gt;""),AND(MO17&gt;=MS$26,MO17&lt;&gt;""),AND(MR17&gt;=MS$26,MR17&lt;&gt;""),AND(NK17&gt;=NO$26,NK17&lt;&gt;""),AND(NN17&gt;=NO$26,NN17&lt;&gt;"")),"National Team","")</f>
        <v/>
      </c>
      <c r="I17" s="11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$27,AV17&lt;&gt;"",AP17=""),AND(BZ17&gt;=CC$27,BZ17&lt;&gt;"",BT17=""),AND(DD17&gt;=DG$27,DD17&lt;&gt;"",CX17=""),AND(ED17&gt;=EG$27,ED17&lt;&gt;""),AND(EZ17&gt;=FC$27,EZ17&lt;&gt;""),AND(FV17&gt;=FY$27,FV17&lt;&gt;""),AND(GR17&gt;=GU$27,GR17&lt;&gt;""),AND(HN17&gt;=HQ$27,HN17&lt;&gt;""),AND(IJ17&gt;=IM$27,IJ17&lt;&gt;""),AND(JF17&gt;=JI$27,JF17&lt;&gt;""),AND(KB17&gt;=KE$27,KB17&lt;&gt;""),AND(KX17&gt;=LA$27,KX17&lt;&gt;""),AND(LT17&gt;=LW$27,LT17&lt;&gt;""),AND(MP17&gt;=MS$27,MP17&lt;&gt;""),AND(NL17&gt;=NO$27,NL17&lt;&gt;"")),OR(G17="Worlds Team",G17="Excellence",G17="Merit")),"P","")</f>
        <v/>
      </c>
      <c r="K17" s="14">
        <f>IF(MAX(AV17,BZ17,DD17)&gt;0,MAX(AV17,BZ17,DD17),0)</f>
        <v>96.77</v>
      </c>
      <c r="L17" s="14" t="str">
        <f>IF(K17=0,"",IF(K17=DD17,$CD$1,IF(K17=BZ17,$AZ$1,IF(K17=AV17,$V$1,""))))</f>
        <v>2019 Nationals</v>
      </c>
      <c r="M17" s="14">
        <f>IF($K17=$AV17,MAX(BU17,CY17),IF($K17=$BZ17,MAX(AQ17,CY17),IF($K17=$DD17,MAX(AQ17,BU17),MAX(AQ17,BU17,CY17))))</f>
        <v>43.32</v>
      </c>
      <c r="N17" s="14" t="str">
        <f>IF(M17=0,"",IF(AND(M17=CY17,$L17&lt;&gt;$CD$1),$CD$1,IF(AND(M17=BU17,$L17&lt;&gt;$AZ$1),$AZ$1,IF(AND(M17=AQ17,$L17&lt;&gt;$V$1),$V$1,""))))</f>
        <v>2019 Elite Canada</v>
      </c>
      <c r="O17" s="14">
        <f>MAX(AS17,AU17,AX17,BW17,BY17,CB17,DA17,DC17,DF17)</f>
        <v>50.809999999999995</v>
      </c>
      <c r="P17" s="14" t="str">
        <f>IF(O17=0,"",IF(OR(O17=DC17,O17=DA17,O17=DF17),$CD$1,IF(OR(O17=BY17,O17=BW17,O17=CB17),$AZ$1,IF(OR(O17=AU17,O17=AS17,O17=AX17),$V$1,""))))</f>
        <v>2019 Nationals</v>
      </c>
      <c r="Q17" s="14">
        <f>IF(COUNT(AS17,AU17,AX17,BW17,BY17,CB17,DA17,DC17,DF17)&gt;1,LARGE((AS17,AU17,AX17,BW17,BY17,CB17,DA17,DC17,DF17),2),0)</f>
        <v>49.535000000000004</v>
      </c>
      <c r="R17" s="14" t="str">
        <f>IF(Q17=0,"",IF(OR(Q17=DC17,Q17=DA17,Q17=DF17),$CD$1,IF(OR(Q17=BY17,Q17=BW17,Q17=CB17),$AZ$1,IF(OR(Q17=AU17,Q17=AS17,Q17=AX17),$V$1,""))))</f>
        <v>2019 Nationals</v>
      </c>
      <c r="S17" s="14" t="str">
        <f>IF(MAX(DI17,DK17)&gt;0,MAX(DI17,DK17),"")</f>
        <v/>
      </c>
      <c r="T17" s="24" t="str">
        <f>IF(S17="","",IF(S17=DH17,"(Vol 1)",IF(S17=DI17,"(Vol 2)",IF(S17=DJ17,"(Prelim)",IF(S17=DK17,"(Final)")))))</f>
        <v/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/>
      </c>
      <c r="V17" s="61">
        <v>16.600000000000001</v>
      </c>
      <c r="W17" s="61">
        <v>9.5</v>
      </c>
      <c r="X17" s="61">
        <v>2.2000000000000002</v>
      </c>
      <c r="Y17" s="61">
        <v>15.02</v>
      </c>
      <c r="Z17" s="61">
        <v>0</v>
      </c>
      <c r="AA17" s="61">
        <v>7.2</v>
      </c>
      <c r="AB17" s="61">
        <v>4.25</v>
      </c>
      <c r="AC17" s="61">
        <v>6.3</v>
      </c>
      <c r="AD17" s="61">
        <v>7.18</v>
      </c>
      <c r="AE17" s="61">
        <v>0</v>
      </c>
      <c r="AF17" s="61"/>
      <c r="AG17" s="61"/>
      <c r="AH17" s="61"/>
      <c r="AI17" s="61"/>
      <c r="AJ17" s="61"/>
      <c r="AK17" s="61">
        <v>15.6</v>
      </c>
      <c r="AL17" s="61">
        <v>8.65</v>
      </c>
      <c r="AM17" s="61">
        <v>10.4</v>
      </c>
      <c r="AN17" s="61">
        <v>14.365</v>
      </c>
      <c r="AO17" s="61">
        <v>0</v>
      </c>
      <c r="AP17" s="72"/>
      <c r="AQ17" s="11">
        <f>IF(SUM(V17:Y17)-Z17&gt;0,SUM(V17:Y17)-Z17,"")</f>
        <v>43.32</v>
      </c>
      <c r="AR17" s="11">
        <f>IF(AC17&gt;0,AC17,"")</f>
        <v>6.3</v>
      </c>
      <c r="AS17" s="11">
        <f>IF(SUM(AA17:AD17)-AE17&gt;0,SUM(AA17:AD17)-AE17,"")</f>
        <v>24.93</v>
      </c>
      <c r="AT17" s="11" t="str">
        <f>IF(AH17&gt;0,AH17,"")</f>
        <v/>
      </c>
      <c r="AU17" s="11" t="str">
        <f>IF(SUM(AF17:AI17)-AJ17&gt;0,SUM(AF17:AI17)-AJ17,"")</f>
        <v/>
      </c>
      <c r="AV17" s="11">
        <f>IF(OR(AQ17&lt;&gt;"",AS17&lt;&gt;"",AU17&lt;&gt;""),AQ17+MAX(AS17,AU17),"")</f>
        <v>68.25</v>
      </c>
      <c r="AW17" s="11">
        <f>IF(AM17&gt;0,AM17,"")</f>
        <v>10.4</v>
      </c>
      <c r="AX17" s="11">
        <f>IF(SUM(AK17:AN17)-AO17&gt;0,SUM(AK17:AN17)-AO17,"")</f>
        <v>49.015000000000001</v>
      </c>
      <c r="AY17" s="11">
        <f>IF(SUM(AV17,AX17)&gt;0,SUM(AV17,AX17),"")</f>
        <v>117.265</v>
      </c>
      <c r="AZ17" s="67">
        <v>17.5</v>
      </c>
      <c r="BA17" s="67">
        <v>9.6</v>
      </c>
      <c r="BB17" s="67">
        <v>3.4</v>
      </c>
      <c r="BC17" s="67">
        <v>15.46</v>
      </c>
      <c r="BD17" s="67">
        <v>0</v>
      </c>
      <c r="BE17" s="67">
        <v>15.7</v>
      </c>
      <c r="BF17" s="67">
        <v>9.4</v>
      </c>
      <c r="BG17" s="67">
        <v>11.2</v>
      </c>
      <c r="BH17" s="67">
        <v>14.51</v>
      </c>
      <c r="BI17" s="67">
        <v>0</v>
      </c>
      <c r="BJ17" s="67"/>
      <c r="BK17" s="67"/>
      <c r="BL17" s="67"/>
      <c r="BM17" s="67"/>
      <c r="BN17" s="67"/>
      <c r="BO17" s="67">
        <v>14.74</v>
      </c>
      <c r="BP17" s="67">
        <v>9.4</v>
      </c>
      <c r="BQ17" s="67">
        <v>11.2</v>
      </c>
      <c r="BR17" s="67">
        <v>14.195</v>
      </c>
      <c r="BS17" s="67">
        <v>0</v>
      </c>
      <c r="BT17" s="73"/>
      <c r="BU17" s="14">
        <f>IF(SUM(AZ17:BC17)-BD17&gt;0,SUM(AZ17:BC17)-BD17,"")</f>
        <v>45.96</v>
      </c>
      <c r="BV17" s="14">
        <f>IF(BG17&gt;0,BG17,"")</f>
        <v>11.2</v>
      </c>
      <c r="BW17" s="14">
        <f>IF(SUM(BE17:BH17)-BI17&gt;0,SUM(BE17:BH17)-BI17,"")</f>
        <v>50.809999999999995</v>
      </c>
      <c r="BX17" s="14" t="str">
        <f>IF(BL17&gt;0,BL17,"")</f>
        <v/>
      </c>
      <c r="BY17" s="14" t="str">
        <f>IF(SUM(BJ17:BM17)-BN17&gt;0,SUM(BJ17:BM17)-BN17,"")</f>
        <v/>
      </c>
      <c r="BZ17" s="14">
        <f>IF(BU17="",IF(MAX(BW17,BY17)&gt;0,MAX(BW17,BY17),""),MAX(BW17,BY17)+BU17)</f>
        <v>96.77</v>
      </c>
      <c r="CA17" s="14">
        <f>IF(BQ17&gt;0,BQ17,"")</f>
        <v>11.2</v>
      </c>
      <c r="CB17" s="14">
        <f>IF(SUM(BO17:BR17)-BS17&gt;0,SUM(BO17:BR17)-BS17,"")</f>
        <v>49.535000000000004</v>
      </c>
      <c r="CC17" s="14">
        <f>IF(SUM(BZ17,CB17)&gt;0,SUM(BZ17,CB17),"")</f>
        <v>146.30500000000001</v>
      </c>
      <c r="CD17" s="61"/>
      <c r="CE17" s="61"/>
      <c r="CF17" s="61"/>
      <c r="CG17" s="61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72"/>
      <c r="CY17" s="11" t="str">
        <f>IF(SUM(CD17:CG17)-CH17&gt;0,SUM(CD17:CG17)-CH17,"")</f>
        <v/>
      </c>
      <c r="CZ17" s="11" t="str">
        <f>IF(CK17&gt;0,CK17,"")</f>
        <v/>
      </c>
      <c r="DA17" s="11" t="str">
        <f>IF(SUM(CI17:CL17)-CM17&gt;0,SUM(CI17:CL17)-CM17,"")</f>
        <v/>
      </c>
      <c r="DB17" s="11" t="str">
        <f>IF(CP17&gt;0,CP17,"")</f>
        <v/>
      </c>
      <c r="DC17" s="11" t="str">
        <f>IF(SUM(CN17:CQ17)-CR17&gt;0,SUM(CN17:CQ17)-CR17,"")</f>
        <v/>
      </c>
      <c r="DD17" s="11" t="str">
        <f>IF(CY17="",IF(MAX(DA17,DC17)&gt;0,MAX(DA17,DC17),""),MAX(DA17,DC17)+CY17)</f>
        <v/>
      </c>
      <c r="DE17" s="11" t="str">
        <f>IF(CU17&gt;0,CU17,"")</f>
        <v/>
      </c>
      <c r="DF17" s="11" t="str">
        <f>IF(SUM(CS17:CV17)-CW17&gt;0,SUM(CS17:CV17)-CW17,"")</f>
        <v/>
      </c>
      <c r="DG17" s="11" t="str">
        <f>IF(SUM(DD17,DF17)&gt;0,SUM(DD17,DF17),"")</f>
        <v/>
      </c>
      <c r="DH17" s="23" t="str">
        <f>IF(MAX(EB17,EX17,FT17,GP17,HL17,IH17,JD17,JZ17,KV17,LR17,MN17,NJ17)-IF(M17="",0,M17)&gt;0.001,MAX(EB17,EX17,FT17,GP17,HL17,IH17,JD17,JZ17,KV17,LR17,MN17,NJ17)-IF(M17="",0,M17),"")</f>
        <v/>
      </c>
      <c r="DI17" s="23" t="str">
        <f>IF(MAX(EC17,EY17,FU17,GQ17,HM17,II17,JE17,KA17,KW17,LS17,MO17,NK17)-IF(O17="",0,O17)&gt;0.001,MAX(EC17,EY17,FU17,GQ17,HM17,II17,JE17,KA17,KW17,LS17,MO17,NK17)-IF(O17="",0,O17),"")</f>
        <v/>
      </c>
      <c r="DJ17" s="23" t="str">
        <f>IF(MAX(ED17,EZ17,FV17,GR17,HN17,IJ17,JF17,KB17,KX17,LT17,MP17,NL17)-IF(K17="",0,K17)&gt;0.001,MAX(ED17,EZ17,FV17,GR17,HN17,IJ17,JF17,KB17,KX17,LT17,MP17,NL17)-IF(K17="",0,K17),"")</f>
        <v/>
      </c>
      <c r="DK17" s="23" t="str">
        <f>IF(MAX(EF17,FB17,FX17,GT17,HP17,IL17,JH17,KD17,KZ17,LV17,MR17,NN17)-IF(Q17="",0,Q17)&gt;0.001,MAX(EF17,FB17,FX17,GT17,HP17,IL17,JH17,KD17,KZ17,LV17,MR17,NN17)-IF(Q17="",0,Q17),"")</f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>IF(FK17&gt;0,FK17,"")</f>
        <v/>
      </c>
      <c r="FT17" s="11" t="str">
        <f>IF(SUM(FD17:FG17)-FH17&gt;0,SUM(FD17:FG17)-FH17,"")</f>
        <v/>
      </c>
      <c r="FU17" s="11" t="str">
        <f>IF(SUM(FI17:FL17)-FM17&gt;0,SUM(FI17:FL17)-FM17,"")</f>
        <v/>
      </c>
      <c r="FV17" s="11" t="str">
        <f>IF(SUM(FT17:FU17)&gt;0,SUM(FT17:FU17),"")</f>
        <v/>
      </c>
      <c r="FW17" s="11" t="str">
        <f>IF(FP17&gt;0,FP17,"")</f>
        <v/>
      </c>
      <c r="FX17" s="11" t="str">
        <f>IF(SUM(FN17:FQ17)-FR17&gt;0,SUM(FN17:FQ17)-FR17,"")</f>
        <v/>
      </c>
      <c r="FY17" s="11" t="str">
        <f>IF(SUM(FV17,FX17)&gt;0,SUM(FV17,FX17),"")</f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1">
        <f>IF($CX17="P",CD17,(CD17+AZ17)/2)</f>
        <v>8.75</v>
      </c>
      <c r="NQ17" s="61">
        <f>IF($CX17="P",CE17,(CE17+BA17)/2)</f>
        <v>4.8</v>
      </c>
      <c r="NR17" s="61">
        <f>IF($CX17="P",CF17,(CF17+BB17)/2)</f>
        <v>1.7</v>
      </c>
      <c r="NS17" s="61">
        <f>IF($CX17="P",CG17,(CG17+BC17)/2)</f>
        <v>7.73</v>
      </c>
      <c r="NT17" s="61">
        <f>IF($CX17="P",CH17,(CH17+BD17)/2)</f>
        <v>0</v>
      </c>
      <c r="NU17" s="61">
        <f>IF($CX17="P",CI17,(CI17+BE17)/2)</f>
        <v>7.85</v>
      </c>
      <c r="NV17" s="61">
        <f>IF($CX17="P",CJ17,(CJ17+BF17)/2)</f>
        <v>4.7</v>
      </c>
      <c r="NW17" s="61">
        <f>IF($CX17="P",CK17,(CK17+BG17)/2)</f>
        <v>5.6</v>
      </c>
      <c r="NX17" s="61">
        <f>IF($CX17="P",CL17,(CL17+BH17)/2)</f>
        <v>7.2549999999999999</v>
      </c>
      <c r="NY17" s="61">
        <f>IF($CX17="P",CM17,(CM17+BI17)/2)</f>
        <v>0</v>
      </c>
      <c r="NZ17" s="61">
        <f>IF($CX17="P",CN17,(CN17+BJ17)/2)</f>
        <v>0</v>
      </c>
      <c r="OA17" s="61">
        <f>IF($CX17="P",CO17,(CO17+BK17)/2)</f>
        <v>0</v>
      </c>
      <c r="OB17" s="61">
        <f>IF($CX17="P",CP17,(CP17+BL17)/2)</f>
        <v>0</v>
      </c>
      <c r="OC17" s="61">
        <f>IF($CX17="P",CQ17,(CQ17+BM17)/2)</f>
        <v>0</v>
      </c>
      <c r="OD17" s="61">
        <f>IF($CX17="P",CR17,(CR17+BN17)/2)</f>
        <v>0</v>
      </c>
      <c r="OE17" s="61">
        <f>IF($CX17="P",CS17,(CS17+BO17)/2)</f>
        <v>7.37</v>
      </c>
      <c r="OF17" s="61">
        <f>IF($CX17="P",CT17,(CT17+BP17)/2)</f>
        <v>4.7</v>
      </c>
      <c r="OG17" s="61">
        <f>IF($CX17="P",CU17,(CU17+BQ17)/2)</f>
        <v>5.6</v>
      </c>
      <c r="OH17" s="61">
        <f>IF($CX17="P",CV17,(CV17+BR17)/2)</f>
        <v>7.0975000000000001</v>
      </c>
      <c r="OI17" s="61">
        <f>IF($CX17="P",CW17,(CW17+BS17)/2)</f>
        <v>0</v>
      </c>
      <c r="OJ17" s="72" t="s">
        <v>52</v>
      </c>
      <c r="OK17" s="11">
        <f>IF(SUM(NP17:NS17)-NT17&gt;0,SUM(NP17:NS17)-NT17,"")</f>
        <v>22.98</v>
      </c>
      <c r="OL17" s="11">
        <f>IF(NW17&gt;0,NW17,"")</f>
        <v>5.6</v>
      </c>
      <c r="OM17" s="11">
        <f>IF(SUM(NU17:NX17)-NY17&gt;0,SUM(NU17:NX17)-NY17,"")</f>
        <v>25.404999999999998</v>
      </c>
      <c r="ON17" s="11" t="str">
        <f>IF(OB17&gt;0,OB17,"")</f>
        <v/>
      </c>
      <c r="OO17" s="11" t="str">
        <f>IF(SUM(NZ17:OC17)-OD17&gt;0,SUM(NZ17:OC17)-OD17,"")</f>
        <v/>
      </c>
      <c r="OP17" s="11">
        <f>IF(OR(OK17&lt;&gt;"",OM17&lt;&gt;"",OO17&lt;&gt;""),OK17+MAX(OM17,OO17),"")</f>
        <v>48.384999999999998</v>
      </c>
      <c r="OQ17" s="11">
        <f>IF(OG17&gt;0,OG17,"")</f>
        <v>5.6</v>
      </c>
      <c r="OR17" s="11">
        <f t="shared" ref="OR17" si="12">IF(SUM(OE17:OH17)-OI17&gt;0,SUM(OE17:OH17)-OI17,"")</f>
        <v>24.767500000000002</v>
      </c>
      <c r="OS17" s="11">
        <f t="shared" ref="OS17" si="13">IF(SUM(OP17,OR17)&gt;0,SUM(OP17,OR17),"")</f>
        <v>73.152500000000003</v>
      </c>
    </row>
    <row r="18" spans="1:409" x14ac:dyDescent="0.2">
      <c r="A18" s="5" t="str" cm="1">
        <f t="array" ref="A18">IF(AND(G18&lt;&gt;"",H18&lt;&gt;""),SUMPRODUCT((G$4:G$20&lt;&gt;"")*(H$4:H$20&lt;&gt;"")*(E$4:E$20&gt;E18))+1,IF(H18&lt;&gt;"",SUMPRODUCT((I$4:I$20="No DD")*(E$4:E$20&gt;E18))+1+SUMPRODUCT((G$4:G$20&lt;&gt;"")*(H$4:H$20&lt;&gt;"")),""))</f>
        <v/>
      </c>
      <c r="B18" s="6" t="s">
        <v>112</v>
      </c>
      <c r="C18" s="7" t="s">
        <v>4</v>
      </c>
      <c r="D18" s="26">
        <v>2002</v>
      </c>
      <c r="E18" s="15">
        <f>SUM(O18:S18)</f>
        <v>98.69</v>
      </c>
      <c r="F18" s="3" t="str">
        <f>IF(G18&lt;&gt;"","P","")</f>
        <v/>
      </c>
      <c r="G18" s="115" t="str">
        <f>IF(OR(AND(AR18&gt;=AY$25,AR18&lt;&gt;"",AP18=""),AND(AT18&gt;=AY$25,AT18&lt;&gt;"",AP18=""),AND(AW18&gt;=AY$25,AW18&lt;&gt;"",AP18=""),AND(BV18&gt;=CC$25,BV18&lt;&gt;"",BT18=""),AND(BX18&gt;=CC$25,BX18&lt;&gt;"",BT18=""),AND(CA18&gt;=CC$25,CA18&lt;&gt;"",BT18=""),AND(CZ18&gt;=DG$25,CZ18&lt;&gt;"",CX18=""),AND(DB18&gt;=DG$25,DB18&lt;&gt;"",CX18=""),AND(DE18&gt;=DG$25,DE18&lt;&gt;"",CX18=""),AND(EA18&gt;=EG$25,EA18&lt;&gt;""),AND(EE18&gt;=EG$25,EE18&lt;&gt;""),AND(EW18&gt;=FC$25,EW18&lt;&gt;""),AND(FA18&gt;=FC$25,FA18&lt;&gt;""),AND(FS18&gt;=FY$25,FS18&lt;&gt;""),AND(FW18&gt;=FY$25,FW18&lt;&gt;""),AND(GO18&gt;=GU$25,GO18&lt;&gt;""),AND(GS18&gt;=GU$25,GS18&lt;&gt;""),AND(HK18&gt;=HQ$25,HK18&lt;&gt;""),AND(HO18&gt;=HQ$25,HO18&lt;&gt;""),AND(IG18&gt;=IM$25,IG18&lt;&gt;""),AND(IK18&gt;=IM$25,IK18&lt;&gt;""),AND(JC18&gt;=JI$25,JC18&lt;&gt;""),AND(JG18&gt;=JI$25,JG18&lt;&gt;""),AND(JY18&gt;=KE$25,JY18&lt;&gt;""),AND(KC18&gt;=KE$25,KC18&lt;&gt;""),AND(KU18&gt;=LA$25,KU18&lt;&gt;""),AND(KY18&gt;=LA$25,KY18&lt;&gt;""),AND(LQ18&gt;=LW$25,LQ18&lt;&gt;""),AND(LU18&gt;=LW$25,LU18&lt;&gt;""),AND(MM18&gt;=MS$25,MM18&lt;&gt;""),AND(MQ18&gt;=MS$25,MQ18&lt;&gt;""),AND(NI18&gt;=NO$25,NI18&lt;&gt;""),AND(NM18&gt;=NO$25,NM18&lt;&gt;"")),"Merit",IF(OR(AND(AR18&gt;=AY$24,AR18&lt;&gt;"",AP18=""),AND(AT18&gt;=AY$24,AT18&lt;&gt;"",AP18=""),AND(AW18&gt;=AY$24,AW18&lt;&gt;"",AP18=""),AND(BV18&gt;=CC$24,BV18&lt;&gt;"",BT18=""),AND(BX18&gt;=CC$24,BX18&lt;&gt;"",BT18=""),AND(CA18&gt;=CC$24,CA18&lt;&gt;"",BT18=""),AND(CZ18&gt;=DG$24,CZ18&lt;&gt;"",CX18=""),AND(DB18&gt;=DG$24,DB18&lt;&gt;"",CX18=""),AND(DE18&gt;=DG$24,DE18&lt;&gt;"",CX18=""),AND(EA18&gt;=EG$24,EA18&lt;&gt;""),AND(EE18&gt;=EG$24,EE18&lt;&gt;""),AND(EW18&gt;=FC$24,EW18&lt;&gt;""),AND(FA18&gt;=FC$24,FA18&lt;&gt;""),AND(FS18&gt;=FY$24,FS18&lt;&gt;""),AND(FW18&gt;=FY$24,FW18&lt;&gt;""),AND(GO18&gt;=GU$24,GO18&lt;&gt;""),AND(GS18&gt;=GU$24,GS18&lt;&gt;""),AND(HK18&gt;=HQ$24,HK18&lt;&gt;""),AND(HO18&gt;=HQ$24,HO18&lt;&gt;""),AND(IG18&gt;=IM$24,IG18&lt;&gt;""),AND(IK18&gt;=IM$24,IK18&lt;&gt;""),AND(JC18&gt;=JI$24,JC18&lt;&gt;""),AND(JG18&gt;=JI$24,JG18&lt;&gt;""),AND(JY18&gt;=KE$24,JY18&lt;&gt;""),AND(KC18&gt;=KE$24,KC18&lt;&gt;""),AND(KU18&gt;=LA$24,KU18&lt;&gt;""),AND(KY18&gt;=LA$24,KY18&lt;&gt;""),AND(LQ18&gt;=LW$24,LQ18&lt;&gt;""),AND(LU18&gt;=LW$24,LU18&lt;&gt;""),AND(MM18&gt;=MS$24,MM18&lt;&gt;""),AND(MQ18&gt;=MS$24,MQ18&lt;&gt;""),AND(NI18&gt;=NO$24,NI18&lt;&gt;""),AND(NM18&gt;=NO$24,NM18&lt;&gt;"")),"Excellence",IF(OR(AND(AR18&gt;=AY$23,AR18&lt;&gt;"",AP18=""),AND(AT18&gt;=AY$23,AT18&lt;&gt;"",AP18=""),AND(AW18&gt;=AY$23,AW18&lt;&gt;"",AP18=""),AND(BV18&gt;=CC$23,BV18&lt;&gt;"",BT18=""),AND(BX18&gt;=CC$23,BX18&lt;&gt;"",BT18=""),AND(CA18&gt;=CC$23,CA18&lt;&gt;"",BT18=""),AND(CZ18&gt;=DG$23,CZ18&lt;&gt;"",CX18=""),AND(DB18&gt;=DG$23,DB18&lt;&gt;"",CX18=""),AND(DE18&gt;=DG$23,DE18&lt;&gt;"",CX18=""),AND(EA18&gt;=EG$23,EA18&lt;&gt;""),AND(EE18&gt;=EG$23,EE18&lt;&gt;""),AND(EW18&gt;=FC$23,EW18&lt;&gt;""),AND(FA18&gt;=FC$23,FA18&lt;&gt;""),AND(FS18&gt;=FY$23,FS18&lt;&gt;""),AND(FW18&gt;=FY$23,FW18&lt;&gt;""),AND(GO18&gt;=GU$23,GO18&lt;&gt;""),AND(GS18&gt;=GU$23,GS18&lt;&gt;""),AND(HK18&gt;=HQ$23,HK18&lt;&gt;""),AND(HO18&gt;=HQ$23,HO18&lt;&gt;""),AND(IG18&gt;=IM$23,IG18&lt;&gt;""),AND(IK18&gt;=IM$23,IK18&lt;&gt;""),AND(JC18&gt;=JI$23,JC18&lt;&gt;""),AND(JG18&gt;=JI$23,JG18&lt;&gt;""),AND(JY18&gt;=KE$23,JY18&lt;&gt;""),AND(KC18&gt;=KE$23,KC18&lt;&gt;""),AND(KU18&gt;=LA$23,KU18&lt;&gt;""),AND(KY18&gt;=LA$23,KY18&lt;&gt;""),AND(LQ18&gt;=LW$23,LQ18&lt;&gt;""),AND(LU18&gt;=LW$23,LU18&lt;&gt;""),AND(MM18&gt;=MS$23,MM18&lt;&gt;""),AND(MQ18&gt;=MS$23,MQ18&lt;&gt;""),AND(NI18&gt;=NO$23,NI18&lt;&gt;""),AND(NM18&gt;=NO$23,NM18&lt;&gt;"")),"Worlds Team",IF(OR(AND(AR18&gt;=AY$22,AR18&lt;&gt;"",AP18=""),AND(AT18&gt;=AY$22,AT18&lt;&gt;"",AP18=""),AND(AW18&gt;=AY$22,AW18&lt;&gt;"",AP18=""),AND(BV18&gt;=CC$22,BV18&lt;&gt;"",BT18=""),AND(BX18&gt;=CC$22,BX18&lt;&gt;"",BT18=""),AND(CA18&gt;=CC$22,CA18&lt;&gt;"",BT18=""),AND(CZ18&gt;=DG$22,CZ18&lt;&gt;"",CX18=""),AND(DB18&gt;=DG$22,DB18&lt;&gt;"",CX18=""),AND(DE18&gt;=DG$22,DE18&lt;&gt;"",CX18=""),AND(EA18&gt;=EG$22,EA18&lt;&gt;""),AND(EE18&gt;=EG$22,EE18&lt;&gt;""),AND(EW18&gt;=FC$22,EW18&lt;&gt;""),AND(FA18&gt;=FC$22,FA18&lt;&gt;""),AND(FS18&gt;=FY$22,FS18&lt;&gt;""),AND(FW18&gt;=FY$22,FW18&lt;&gt;""),AND(GO18&gt;=GU$22,GO18&lt;&gt;""),AND(GS18&gt;=GU$22,GS18&lt;&gt;""),AND(HK18&gt;=HQ$22,HK18&lt;&gt;""),AND(HO18&gt;=HQ$22,HO18&lt;&gt;""),AND(IG18&gt;=IM$22,IG18&lt;&gt;""),AND(IK18&gt;=IM$22,IK18&lt;&gt;""),AND(JC18&gt;=JI$22,JC18&lt;&gt;""),AND(JG18&gt;=JI$22,JG18&lt;&gt;""),AND(JY18&gt;=KE$22,JY18&lt;&gt;""),AND(KC18&gt;=KE$22,KC18&lt;&gt;""),AND(KU18&gt;=LA$22,KU18&lt;&gt;""),AND(KY18&gt;=LA$22,KY18&lt;&gt;""),AND(LQ18&gt;=LW$22,LQ18&lt;&gt;""),AND(LU18&gt;=LW$22,LU18&lt;&gt;""),AND(MM18&gt;=MS$22,MM18&lt;&gt;""),AND(MQ18&gt;=MS$22,MQ18&lt;&gt;""),AND(NI18&gt;=NO$22,NI18&lt;&gt;""),AND(NM18&gt;=NO$22,NM18&lt;&gt;"")),"National Team",""))))</f>
        <v/>
      </c>
      <c r="H18" s="115" t="str">
        <f>IF(OR(AND(AS18&gt;=AY$26,AS18&lt;&gt;"",AP18=""),AND(AU18&gt;=AY$26,AU18&lt;&gt;"",AP18=""),AND(AX18&gt;=AY$26,AX18&lt;&gt;"",AP18=""),AND(BW18&gt;=CC$26,BW18&lt;&gt;"",BT18=""),AND(BY18&gt;=CC$26,BY18&lt;&gt;"",BT18=""),AND(CB18&gt;=CC$26,CB18&lt;&gt;"",BT18=""),AND(DA18&gt;=DG$26,DA18&lt;&gt;"",CX18=""),AND(DC18&gt;=DG$26,DC18&lt;&gt;"",CX18=""),AND(DF18&gt;=DG$26,DF18&lt;&gt;"",CX18=""),AND(EC18&gt;=EG$26,EC18&lt;&gt;""),AND(EF18&gt;=EG$26,EF18&lt;&gt;""),AND(EY18&gt;=FC$26,EY18&lt;&gt;""),AND(FB18&gt;=FC$26,FB18&lt;&gt;""),AND(FU18&gt;=FY$26,FU18&lt;&gt;""),AND(FX18&gt;=FY$26,FX18&lt;&gt;""),AND(GQ18&gt;=GU$26,GQ18&lt;&gt;""),AND(GT18&gt;=GU$26,GT18&lt;&gt;""),AND(HM18&gt;=HQ$26,HM18&lt;&gt;""),AND(HP18&gt;=HQ$26,HP18&lt;&gt;""),AND(II18&gt;=IM$26,II18&lt;&gt;""),AND(IL18&gt;=IM$26,IL18&lt;&gt;""),AND(JE18&gt;=JI$26,JE18&lt;&gt;""),AND(JH18&gt;=JI$26,JH18&lt;&gt;""),AND(KA18&gt;=KE$26,KA18&lt;&gt;""),AND(KD18&gt;=KE$26,KD18&lt;&gt;""),AND(KW18&gt;=LA$26,KW18&lt;&gt;""),AND(KZ18&gt;=LA$26,KZ18&lt;&gt;""),AND(LS18&gt;=LW$26,LS18&lt;&gt;""),AND(LV18&gt;=LW$26,LV18&lt;&gt;""),AND(MO18&gt;=MS$26,MO18&lt;&gt;""),AND(MR18&gt;=MS$26,MR18&lt;&gt;""),AND(NK18&gt;=NO$26,NK18&lt;&gt;""),AND(NN18&gt;=NO$26,NN18&lt;&gt;"")),"National Team","")</f>
        <v/>
      </c>
      <c r="I18" s="116" t="str">
        <f>IF(AND(G18="Merit",H18="Merit"),"Merit",IF(AND(OR(G18="Merit",G18="Excellence"),OR(H18="Merit",H18="Excellence")),"Excellence",IF(AND(OR(G18="Merit",G18="Excellence",G18="Worlds Team"),OR(H18="Merit",H18="Excellence",H18="Worlds Team")),"Worlds Team",IF(AND(OR(G18="Merit",G18="Excellence",G18="Worlds Team",G18="National Team"),OR(H18="Merit",H18="Excellence",H18="Worlds Team",H18="National Team")),"National Team",IF(OR(H18="Merit",H18="Excellence",H18="Worlds Team",H18="National Team"),"No DD","")))))</f>
        <v/>
      </c>
      <c r="J18" s="3" t="str">
        <f>IF(AND(OR(AND(AV18&gt;=AY$27,AV18&lt;&gt;"",AP18=""),AND(BZ18&gt;=CC$27,BZ18&lt;&gt;"",BT18=""),AND(DD18&gt;=DG$27,DD18&lt;&gt;"",CX18=""),AND(ED18&gt;=EG$27,ED18&lt;&gt;""),AND(EZ18&gt;=FC$27,EZ18&lt;&gt;""),AND(FV18&gt;=FY$27,FV18&lt;&gt;""),AND(GR18&gt;=GU$27,GR18&lt;&gt;""),AND(HN18&gt;=HQ$27,HN18&lt;&gt;""),AND(IJ18&gt;=IM$27,IJ18&lt;&gt;""),AND(JF18&gt;=JI$27,JF18&lt;&gt;""),AND(KB18&gt;=KE$27,KB18&lt;&gt;""),AND(KX18&gt;=LA$27,KX18&lt;&gt;""),AND(LT18&gt;=LW$27,LT18&lt;&gt;""),AND(MP18&gt;=MS$27,MP18&lt;&gt;""),AND(NL18&gt;=NO$27,NL18&lt;&gt;"")),OR(G18="Worlds Team",G18="Excellence",G18="Merit")),"P","")</f>
        <v/>
      </c>
      <c r="K18" s="14">
        <f>IF(MAX(AV18,BZ18,DD18)&gt;0,MAX(AV18,BZ18,DD18),0)</f>
        <v>58.65</v>
      </c>
      <c r="L18" s="14" t="str">
        <f>IF(K18=0,"",IF(K18=DD18,$CD$1,IF(K18=BZ18,$AZ$1,IF(K18=AV18,$V$1,""))))</f>
        <v>2021 1st Virtual Technical Trial</v>
      </c>
      <c r="M18" s="14">
        <f>IF($K18=$AV18,MAX(BU18,CY18),IF($K18=$BZ18,MAX(AQ18,CY18),IF($K18=$DD18,MAX(AQ18,BU18),MAX(AQ18,BU18,CY18))))</f>
        <v>0</v>
      </c>
      <c r="N18" s="14" t="str">
        <f>IF(M18=0,"",IF(AND(M18=CY18,$L18&lt;&gt;$CD$1),$CD$1,IF(AND(M18=BU18,$L18&lt;&gt;$AZ$1),$AZ$1,IF(AND(M18=AQ18,$L18&lt;&gt;$V$1),$V$1,""))))</f>
        <v/>
      </c>
      <c r="O18" s="14">
        <f>MAX(AS18,AU18,AX18,BW18,BY18,CB18,DA18,DC18,DF18)</f>
        <v>49.89</v>
      </c>
      <c r="P18" s="14" t="str">
        <f>IF(O18=0,"",IF(OR(O18=DC18,O18=DA18,O18=DF18),$CD$1,IF(OR(O18=BY18,O18=BW18,O18=CB18),$AZ$1,IF(OR(O18=AU18,O18=AS18,O18=AX18),$V$1,""))))</f>
        <v>2021 1st Virtual Technical Trial</v>
      </c>
      <c r="Q18" s="14">
        <f>IF(COUNT(AS18,AU18,AX18,BW18,BY18,CB18,DA18,DC18,DF18)&gt;1,LARGE((AS18,AU18,AX18,BW18,BY18,CB18,DA18,DC18,DF18),2),0)</f>
        <v>48.800000000000004</v>
      </c>
      <c r="R18" s="14" t="str">
        <f>IF(Q18=0,"",IF(OR(Q18=DC18,Q18=DA18,Q18=DF18),$CD$1,IF(OR(Q18=BY18,Q18=BW18,Q18=CB18),$AZ$1,IF(OR(Q18=AU18,Q18=AS18,Q18=AX18),$V$1,""))))</f>
        <v>2021 1st Virtual Technical Trial</v>
      </c>
      <c r="S18" s="14" t="str">
        <f>IF(MAX(DI18,DK18)&gt;0,MAX(DI18,DK18),"")</f>
        <v/>
      </c>
      <c r="T18" s="24" t="str">
        <f>IF(S18="","",IF(S18=DH18,"(Vol 1)",IF(S18=DI18,"(Vol 2)",IF(S18=DJ18,"(Prelim)",IF(S18=DK18,"(Final)")))))</f>
        <v/>
      </c>
      <c r="U18" s="14" t="str">
        <f>IF(S18="","",IF(S18=DH18,IF(S18+IF(M18="",0,M18)=NJ18,$MT$1,IF(S18+IF(M18="",0,M18)=MN18,$LX$1,IF(S18+IF(M18="",0,M18)=LR18,$LB$1,IF(S18+IF(M18="",0,M18)=KV18,$KF$1,IF(S18+IF(M18="",0,M18)=JZ18,$JJ$1,IF(S18+IF(M18="",0,M18)=JD18,$IN$1,IF(S18+IF(M18="",0,M18)=IH18,$HR$1,IF(S18+IF(M18="",0,M18)=HL18,$GV$1,IF(S18+IF(M18="",0,M18)=GP18,$FZ$1,IF(S18+IF(M18="",0,M18)=FT18,$FD$1,IF(S18+IF(M18="",0,M18)=EX18,$EH$1,IF(S18+IF(M18="",0,M18)=EB18,$DL$1)))))))))))),IF(S18=DI18,IF(S18+IF(O18="",0,O18)=NK18,$MT$1,IF(S18+IF(O18="",0,O18)=MO18,$LX$1,IF(S18+IF(O18="",0,O18)=LS18,$LB$1,IF(S18+IF(O18="",0,O18)=KW18,$KF$1,IF(S18+IF(O18="",0,O18)=KA18,$JJ$1,IF(S18+IF(O18="",0,O18)=JE18,$IN$1,IF(S18+IF(O18="",0,O18)=II18,$HR$1,IF(S18+IF(O18="",0,O18)=HM18,$GV$1,IF(S18+IF(O18="",0,O18)=GQ18,$FZ$1,IF(S18+IF(O18="",0,O18)=FU18,$FD$1,IF(S18+IF(O18="",0,O18)=EY18,$EH$1,IF(S18+IF(O18="",0,O18)=EC18,$DL$1)))))))))))),IF(S18=DJ18,IF(S18+IF(K18="",0,K18)=NL18,$MT$1,IF(S18+IF(K18="",0,K18)=MP18,$LX$1,IF(S18+IF(K18="",0,K18)=LT18,$LB$1,IF(S18+IF(K18="",0,K18)=KX18,$KF$1,IF(S18+IF(K18="",0,K18)=KB18,$JJ$1,IF(S18+IF(K18="",0,K18)=JF18,$IN$1,IF(S18+IF(K18="",0,K18)=IJ18,$HR$1,IF(S18+IF(K18="",0,K18)=HN18,$GV$1,IF(S18+IF(K18="",0,K18)=GR18,$FZ$1,IF(S18+IF(K18="",0,K18)=FV18,$FD$1,IF(S18+IF(K18="",0,K18)=EZ18,$EH$1,IF(S18+IF(K18="",0,K18)=ED18,$DL$1)))))))))))),IF(S18=DK18,IF(S18+IF(Q18="",0,Q18)=NN18,$MT$1,IF(S18+IF(Q18="",0,Q18)=MR18,$LX$1,IF(S18+IF(Q18="",0,Q18)=LV18,$LB$1,IF(S18+IF(Q18="",0,Q18)=KZ18,$KF$1,IF(S18+IF(Q18="",0,Q18)=KD18,$JJ$1,IF(S18+IF(Q18="",0,Q18)=JH18,$IN$1,IF(S18+IF(Q18="",0,Q18)=IL18,$HR$1,IF(S18+IF(Q18="",0,Q18)=HP18,$GV$1,IF(S18+IF(Q18="",0,Q18)=GT18,$FZ$1,IF(S18+IF(Q18="",0,Q18)=FX18,$FD$1,IF(S18+IF(Q18="",0,Q18)=FB18,$EH$1,IF(S18+IF(Q18="",0,Q18)=EF18,$DL$1)))))))))))))))))</f>
        <v/>
      </c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72"/>
      <c r="AQ18" s="11" t="str">
        <f>IF(SUM(V18:Y18)-Z18&gt;0,SUM(V18:Y18)-Z18,"")</f>
        <v/>
      </c>
      <c r="AR18" s="11" t="str">
        <f>IF(AC18&gt;0,AC18,"")</f>
        <v/>
      </c>
      <c r="AS18" s="11" t="str">
        <f>IF(SUM(AA18:AD18)-AE18&gt;0,SUM(AA18:AD18)-AE18,"")</f>
        <v/>
      </c>
      <c r="AT18" s="11" t="str">
        <f>IF(AH18&gt;0,AH18,"")</f>
        <v/>
      </c>
      <c r="AU18" s="11" t="str">
        <f>IF(SUM(AF18:AI18)-AJ18&gt;0,SUM(AF18:AI18)-AJ18,"")</f>
        <v/>
      </c>
      <c r="AV18" s="11" t="str">
        <f>IF(OR(AQ18&lt;&gt;"",AS18&lt;&gt;"",AU18&lt;&gt;""),AQ18+MAX(AS18,AU18),"")</f>
        <v/>
      </c>
      <c r="AW18" s="11" t="str">
        <f>IF(AM18&gt;0,AM18,"")</f>
        <v/>
      </c>
      <c r="AX18" s="11" t="str">
        <f>IF(SUM(AK18:AN18)-AO18&gt;0,SUM(AK18:AN18)-AO18,"")</f>
        <v/>
      </c>
      <c r="AY18" s="11" t="str">
        <f>IF(SUM(AV18,AX18)&gt;0,SUM(AV18,AX18),"")</f>
        <v/>
      </c>
      <c r="AZ18" s="67"/>
      <c r="BA18" s="67"/>
      <c r="BB18" s="67"/>
      <c r="BC18" s="67"/>
      <c r="BD18" s="67"/>
      <c r="BE18" s="67"/>
      <c r="BF18" s="67"/>
      <c r="BG18" s="67"/>
      <c r="BH18" s="67"/>
      <c r="BI18" s="67"/>
      <c r="BJ18" s="67"/>
      <c r="BK18" s="67"/>
      <c r="BL18" s="67"/>
      <c r="BM18" s="67"/>
      <c r="BN18" s="67"/>
      <c r="BO18" s="67"/>
      <c r="BP18" s="67"/>
      <c r="BQ18" s="67"/>
      <c r="BR18" s="67"/>
      <c r="BS18" s="67"/>
      <c r="BT18" s="73"/>
      <c r="BU18" s="14" t="str">
        <f>IF(SUM(AZ18:BC18)-BD18&gt;0,SUM(AZ18:BC18)-BD18,"")</f>
        <v/>
      </c>
      <c r="BV18" s="14" t="str">
        <f>IF(BG18&gt;0,BG18,"")</f>
        <v/>
      </c>
      <c r="BW18" s="14" t="str">
        <f>IF(SUM(BE18:BH18)-BI18&gt;0,SUM(BE18:BH18)-BI18,"")</f>
        <v/>
      </c>
      <c r="BX18" s="14" t="str">
        <f>IF(BL18&gt;0,BL18,"")</f>
        <v/>
      </c>
      <c r="BY18" s="14" t="str">
        <f>IF(SUM(BJ18:BM18)-BN18&gt;0,SUM(BJ18:BM18)-BN18,"")</f>
        <v/>
      </c>
      <c r="BZ18" s="14" t="str">
        <f>IF(BU18="",IF(MAX(BW18,BY18)&gt;0,MAX(BW18,BY18),""),MAX(BW18,BY18)+BU18)</f>
        <v/>
      </c>
      <c r="CA18" s="14" t="str">
        <f>IF(BQ18&gt;0,BQ18,"")</f>
        <v/>
      </c>
      <c r="CB18" s="14" t="str">
        <f>IF(SUM(BO18:BR18)-BS18&gt;0,SUM(BO18:BR18)-BS18,"")</f>
        <v/>
      </c>
      <c r="CC18" s="14" t="str">
        <f>IF(SUM(BZ18,CB18)&gt;0,SUM(BZ18,CB18),"")</f>
        <v/>
      </c>
      <c r="CD18" s="61">
        <v>2.5</v>
      </c>
      <c r="CE18" s="61">
        <v>1.8</v>
      </c>
      <c r="CF18" s="61">
        <v>1.3</v>
      </c>
      <c r="CG18" s="61">
        <v>3.16</v>
      </c>
      <c r="CH18" s="61">
        <v>0</v>
      </c>
      <c r="CI18" s="61">
        <v>15.2</v>
      </c>
      <c r="CJ18" s="61">
        <v>9.75</v>
      </c>
      <c r="CK18" s="61">
        <v>10.3</v>
      </c>
      <c r="CL18" s="61">
        <v>14.64</v>
      </c>
      <c r="CM18" s="61">
        <v>0</v>
      </c>
      <c r="CN18" s="61"/>
      <c r="CO18" s="61"/>
      <c r="CP18" s="61"/>
      <c r="CQ18" s="61"/>
      <c r="CR18" s="61"/>
      <c r="CS18" s="61">
        <v>14.6</v>
      </c>
      <c r="CT18" s="61">
        <v>9.5</v>
      </c>
      <c r="CU18" s="61">
        <v>10.3</v>
      </c>
      <c r="CV18" s="61">
        <v>14.4</v>
      </c>
      <c r="CW18" s="61">
        <v>0</v>
      </c>
      <c r="CX18" s="72"/>
      <c r="CY18" s="11">
        <f>IF(SUM(CD18:CG18)-CH18&gt;0,SUM(CD18:CG18)-CH18,"")</f>
        <v>8.76</v>
      </c>
      <c r="CZ18" s="11">
        <f>IF(CK18&gt;0,CK18,"")</f>
        <v>10.3</v>
      </c>
      <c r="DA18" s="11">
        <f>IF(SUM(CI18:CL18)-CM18&gt;0,SUM(CI18:CL18)-CM18,"")</f>
        <v>49.89</v>
      </c>
      <c r="DB18" s="11" t="str">
        <f>IF(CP18&gt;0,CP18,"")</f>
        <v/>
      </c>
      <c r="DC18" s="11" t="str">
        <f>IF(SUM(CN18:CQ18)-CR18&gt;0,SUM(CN18:CQ18)-CR18,"")</f>
        <v/>
      </c>
      <c r="DD18" s="11">
        <f>IF(CY18="",IF(MAX(DA18,DC18)&gt;0,MAX(DA18,DC18),""),MAX(DA18,DC18)+CY18)</f>
        <v>58.65</v>
      </c>
      <c r="DE18" s="11">
        <f>IF(CU18&gt;0,CU18,"")</f>
        <v>10.3</v>
      </c>
      <c r="DF18" s="11">
        <f>IF(SUM(CS18:CV18)-CW18&gt;0,SUM(CS18:CV18)-CW18,"")</f>
        <v>48.800000000000004</v>
      </c>
      <c r="DG18" s="11">
        <f>IF(SUM(DD18,DF18)&gt;0,SUM(DD18,DF18),"")</f>
        <v>107.45</v>
      </c>
      <c r="DH18" s="23" t="str">
        <f>IF(MAX(EB18,EX18,FT18,GP18,HL18,IH18,JD18,JZ18,KV18,LR18,MN18,NJ18)-IF(M18="",0,M18)&gt;0.001,MAX(EB18,EX18,FT18,GP18,HL18,IH18,JD18,JZ18,KV18,LR18,MN18,NJ18)-IF(M18="",0,M18),"")</f>
        <v/>
      </c>
      <c r="DI18" s="23" t="str">
        <f>IF(MAX(EC18,EY18,FU18,GQ18,HM18,II18,JE18,KA18,KW18,LS18,MO18,NK18)-IF(O18="",0,O18)&gt;0.001,MAX(EC18,EY18,FU18,GQ18,HM18,II18,JE18,KA18,KW18,LS18,MO18,NK18)-IF(O18="",0,O18),"")</f>
        <v/>
      </c>
      <c r="DJ18" s="23" t="str">
        <f>IF(MAX(ED18,EZ18,FV18,GR18,HN18,IJ18,JF18,KB18,KX18,LT18,MP18,NL18)-IF(K18="",0,K18)&gt;0.001,MAX(ED18,EZ18,FV18,GR18,HN18,IJ18,JF18,KB18,KX18,LT18,MP18,NL18)-IF(K18="",0,K18),"")</f>
        <v/>
      </c>
      <c r="DK18" s="23" t="str">
        <f>IF(MAX(EF18,FB18,FX18,GT18,HP18,IL18,JH18,KD18,KZ18,LV18,MR18,NN18)-IF(Q18="",0,Q18)&gt;0.001,MAX(EF18,FB18,FX18,GT18,HP18,IL18,JH18,KD18,KZ18,LV18,MR18,NN18)-IF(Q18="",0,Q18),"")</f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>IF(DS18&gt;0,DS18,"")</f>
        <v/>
      </c>
      <c r="EB18" s="11" t="str">
        <f>IF(SUM(DL18:DO18)-DP18&gt;0,SUM(DL18:DO18)-DP18,"")</f>
        <v/>
      </c>
      <c r="EC18" s="11" t="str">
        <f>IF(SUM(DQ18:DT18)-DU18&gt;0,SUM(DQ18:DT18)-DU18,"")</f>
        <v/>
      </c>
      <c r="ED18" s="11" t="str">
        <f>IF(SUM(EB18:EC18)&gt;0,SUM(EB18:EC18),"")</f>
        <v/>
      </c>
      <c r="EE18" s="11" t="str">
        <f>IF(DX18&gt;0,DX18,"")</f>
        <v/>
      </c>
      <c r="EF18" s="11" t="str">
        <f>IF(SUM(DV18:DY18)-DZ18&gt;0,SUM(DV18:DY18)-DZ18,"")</f>
        <v/>
      </c>
      <c r="EG18" s="11" t="str">
        <f>IF(SUM(ED18,EF18)&gt;0,SUM(ED18,EF18),"")</f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>IF(EO18&gt;0,EO18,"")</f>
        <v/>
      </c>
      <c r="EX18" s="14" t="str">
        <f>IF(SUM(EH18:EK18)-EL18&gt;0,SUM(EH18:EK18)-EL18,"")</f>
        <v/>
      </c>
      <c r="EY18" s="14" t="str">
        <f>IF(SUM(EM18:EP18)-EQ18&gt;0,SUM(EM18:EP18)-EQ18,"")</f>
        <v/>
      </c>
      <c r="EZ18" s="14" t="str">
        <f>IF(SUM(EX18:EY18)&gt;0,SUM(EX18:EY18),"")</f>
        <v/>
      </c>
      <c r="FA18" s="14" t="str">
        <f>IF(ET18&gt;0,ET18,"")</f>
        <v/>
      </c>
      <c r="FB18" s="14" t="str">
        <f>IF(SUM(ER18:EU18)-EV18&gt;0,SUM(ER18:EU18)-EV18,"")</f>
        <v/>
      </c>
      <c r="FC18" s="14" t="str">
        <f>IF(SUM(EZ18,FB18)&gt;0,SUM(EZ18,FB18),"")</f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>IF(FK18&gt;0,FK18,"")</f>
        <v/>
      </c>
      <c r="FT18" s="11" t="str">
        <f>IF(SUM(FD18:FG18)-FH18&gt;0,SUM(FD18:FG18)-FH18,"")</f>
        <v/>
      </c>
      <c r="FU18" s="11" t="str">
        <f>IF(SUM(FI18:FL18)-FM18&gt;0,SUM(FI18:FL18)-FM18,"")</f>
        <v/>
      </c>
      <c r="FV18" s="11" t="str">
        <f>IF(SUM(FT18:FU18)&gt;0,SUM(FT18:FU18),"")</f>
        <v/>
      </c>
      <c r="FW18" s="11" t="str">
        <f>IF(FP18&gt;0,FP18,"")</f>
        <v/>
      </c>
      <c r="FX18" s="11" t="str">
        <f>IF(SUM(FN18:FQ18)-FR18&gt;0,SUM(FN18:FQ18)-FR18,"")</f>
        <v/>
      </c>
      <c r="FY18" s="11" t="str">
        <f>IF(SUM(FV18,FX18)&gt;0,SUM(FV18,FX18),"")</f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>IF(GG18&gt;0,GG18,"")</f>
        <v/>
      </c>
      <c r="GP18" s="14" t="str">
        <f>IF(SUM(FZ18:GC18)-GD18&gt;0,SUM(FZ18:GC18)-GD18,"")</f>
        <v/>
      </c>
      <c r="GQ18" s="14" t="str">
        <f>IF(SUM(GE18:GH18)-GI18&gt;0,SUM(GE18:GH18)-GI18,"")</f>
        <v/>
      </c>
      <c r="GR18" s="14" t="str">
        <f>IF(SUM(GP18:GQ18)&gt;0,SUM(GP18:GQ18),"")</f>
        <v/>
      </c>
      <c r="GS18" s="14" t="str">
        <f>IF(GL18&gt;0,GL18,"")</f>
        <v/>
      </c>
      <c r="GT18" s="14" t="str">
        <f>IF(SUM(GJ18:GM18)-GN18&gt;0,SUM(GJ18:GM18)-GN18,"")</f>
        <v/>
      </c>
      <c r="GU18" s="14" t="str">
        <f>IF(SUM(GR18,GT18)&gt;0,SUM(GR18,GT18),"")</f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>IF(HC18&gt;0,HC18,"")</f>
        <v/>
      </c>
      <c r="HL18" s="11" t="str">
        <f>IF(SUM(GV18:GY18)-GZ18&gt;0,SUM(GV18:GY18)-GZ18,"")</f>
        <v/>
      </c>
      <c r="HM18" s="11" t="str">
        <f>IF(SUM(HA18:HD18)-HE18&gt;0,SUM(HA18:HD18)-HE18,"")</f>
        <v/>
      </c>
      <c r="HN18" s="11" t="str">
        <f>IF(SUM(HL18:HM18)&gt;0,SUM(HL18:HM18),"")</f>
        <v/>
      </c>
      <c r="HO18" s="11" t="str">
        <f>IF(HH18&gt;0,HH18,"")</f>
        <v/>
      </c>
      <c r="HP18" s="11" t="str">
        <f>IF(SUM(HF18:HI18)-HJ18&gt;0,SUM(HF18:HI18)-HJ18,"")</f>
        <v/>
      </c>
      <c r="HQ18" s="11" t="str">
        <f>IF(SUM(HN18,HP18)&gt;0,SUM(HN18,HP18),"")</f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>IF(HY18&gt;0,HY18,"")</f>
        <v/>
      </c>
      <c r="IH18" s="14" t="str">
        <f>IF(SUM(HR18:HU18)-HV18&gt;0,SUM(HR18:HU18)-HV18,"")</f>
        <v/>
      </c>
      <c r="II18" s="14" t="str">
        <f>IF(SUM(HW18:HZ18)-IA18&gt;0,SUM(HW18:HZ18)-IA18,"")</f>
        <v/>
      </c>
      <c r="IJ18" s="14" t="str">
        <f>IF(SUM(IH18:II18)&gt;0,SUM(IH18:II18),"")</f>
        <v/>
      </c>
      <c r="IK18" s="14" t="str">
        <f>IF(ID18&gt;0,ID18,"")</f>
        <v/>
      </c>
      <c r="IL18" s="14" t="str">
        <f>IF(SUM(IB18:IE18)-IF18&gt;0,SUM(IB18:IE18)-IF18,"")</f>
        <v/>
      </c>
      <c r="IM18" s="14" t="str">
        <f>IF(SUM(IJ18,IL18)&gt;0,SUM(IJ18,IL18),"")</f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>IF(IU18&gt;0,IU18,"")</f>
        <v/>
      </c>
      <c r="JD18" s="11" t="str">
        <f>IF(SUM(IN18:IQ18)-IR18&gt;0,SUM(IN18:IQ18)-IR18,"")</f>
        <v/>
      </c>
      <c r="JE18" s="11" t="str">
        <f>IF(SUM(IS18:IV18)-IW18&gt;0,SUM(IS18:IV18)-IW18,"")</f>
        <v/>
      </c>
      <c r="JF18" s="11" t="str">
        <f>IF(SUM(JD18:JE18)&gt;0,SUM(JD18:JE18),"")</f>
        <v/>
      </c>
      <c r="JG18" s="11" t="str">
        <f>IF(IZ18&gt;0,IZ18,"")</f>
        <v/>
      </c>
      <c r="JH18" s="11" t="str">
        <f>IF(SUM(IX18:JA18)-JB18&gt;0,SUM(IX18:JA18)-JB18,"")</f>
        <v/>
      </c>
      <c r="JI18" s="11" t="str">
        <f>IF(SUM(JF18,JH18)&gt;0,SUM(JF18,JH18),"")</f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>IF(JQ18&gt;0,JQ18,"")</f>
        <v/>
      </c>
      <c r="JZ18" s="14" t="str">
        <f>IF(SUM(JJ18:JM18)-JN18&gt;0,SUM(JJ18:JM18)-JN18,"")</f>
        <v/>
      </c>
      <c r="KA18" s="14" t="str">
        <f>IF(SUM(JO18:JR18)-JS18&gt;0,SUM(JO18:JR18)-JS18,"")</f>
        <v/>
      </c>
      <c r="KB18" s="14" t="str">
        <f>IF(SUM(JZ18:KA18)&gt;0,SUM(JZ18:KA18),"")</f>
        <v/>
      </c>
      <c r="KC18" s="14" t="str">
        <f>IF(JV18&gt;0,JV18,"")</f>
        <v/>
      </c>
      <c r="KD18" s="14" t="str">
        <f>IF(SUM(JT18:JW18)-JX18&gt;0,SUM(JT18:JW18)-JX18,"")</f>
        <v/>
      </c>
      <c r="KE18" s="14" t="str">
        <f>IF(SUM(KB18,KD18)&gt;0,SUM(KB18,KD18),"")</f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>IF(KM18&gt;0,KM18,"")</f>
        <v/>
      </c>
      <c r="KV18" s="11" t="str">
        <f>IF(SUM(KF18:KI18)-KJ18&gt;0,SUM(KF18:KI18)-KJ18,"")</f>
        <v/>
      </c>
      <c r="KW18" s="11" t="str">
        <f>IF(SUM(KK18:KN18)-KO18&gt;0,SUM(KK18:KN18)-KO18,"")</f>
        <v/>
      </c>
      <c r="KX18" s="11" t="str">
        <f>IF(SUM(KV18:KW18)&gt;0,SUM(KV18:KW18),"")</f>
        <v/>
      </c>
      <c r="KY18" s="11" t="str">
        <f>IF(KR18&gt;0,KR18,"")</f>
        <v/>
      </c>
      <c r="KZ18" s="11" t="str">
        <f>IF(SUM(KP18:KS18)-KT18&gt;0,SUM(KP18:KS18)-KT18,"")</f>
        <v/>
      </c>
      <c r="LA18" s="11" t="str">
        <f>IF(SUM(KX18,KZ18)&gt;0,SUM(KX18,KZ18),"")</f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>IF(LI18&gt;0,LI18,"")</f>
        <v/>
      </c>
      <c r="LR18" s="14" t="str">
        <f>IF(SUM(LB18:LE18)-LF18&gt;0,SUM(LB18:LE18)-LF18,"")</f>
        <v/>
      </c>
      <c r="LS18" s="14" t="str">
        <f>IF(SUM(LG18:LJ18)-LK18&gt;0,SUM(LG18:LJ18)-LK18,"")</f>
        <v/>
      </c>
      <c r="LT18" s="14" t="str">
        <f>IF(SUM(LR18:LS18)&gt;0,SUM(LR18:LS18),"")</f>
        <v/>
      </c>
      <c r="LU18" s="14" t="str">
        <f>IF(LN18&gt;0,LN18,"")</f>
        <v/>
      </c>
      <c r="LV18" s="14" t="str">
        <f>IF(SUM(LL18:LO18)-LP18&gt;0,SUM(LL18:LO18)-LP18,"")</f>
        <v/>
      </c>
      <c r="LW18" s="14" t="str">
        <f>IF(SUM(LT18,LV18)&gt;0,SUM(LT18,LV18),"")</f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>IF(ME18&gt;0,ME18,"")</f>
        <v/>
      </c>
      <c r="MN18" s="11" t="str">
        <f>IF(SUM(LX18:MA18)-MB18&gt;0,SUM(LX18:MA18)-MB18,"")</f>
        <v/>
      </c>
      <c r="MO18" s="11" t="str">
        <f>IF(SUM(MC18:MF18)-MG18&gt;0,SUM(MC18:MF18)-MG18,"")</f>
        <v/>
      </c>
      <c r="MP18" s="11" t="str">
        <f>IF(SUM(MN18:MO18)&gt;0,SUM(MN18:MO18),"")</f>
        <v/>
      </c>
      <c r="MQ18" s="11" t="str">
        <f>IF(MJ18&gt;0,MJ18,"")</f>
        <v/>
      </c>
      <c r="MR18" s="11" t="str">
        <f>IF(SUM(MH18:MK18)-ML18&gt;0,SUM(MH18:MK18)-ML18,"")</f>
        <v/>
      </c>
      <c r="MS18" s="11" t="str">
        <f>IF(SUM(MP18,MR18)&gt;0,SUM(MP18,MR18),"")</f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>IF(NA18&gt;0,NA18,"")</f>
        <v/>
      </c>
      <c r="NJ18" s="14" t="str">
        <f>IF(SUM(MT18:MW18)-MX18&gt;0,SUM(MT18:MW18)-MX18,"")</f>
        <v/>
      </c>
      <c r="NK18" s="14" t="str">
        <f>IF(SUM(MY18:NB18)-NC18&gt;0,SUM(MY18:NB18)-NC18,"")</f>
        <v/>
      </c>
      <c r="NL18" s="14" t="str">
        <f>IF(SUM(NJ18:NK18)&gt;0,SUM(NJ18:NK18),"")</f>
        <v/>
      </c>
      <c r="NM18" s="14" t="str">
        <f>IF(NF18&gt;0,NF18,"")</f>
        <v/>
      </c>
      <c r="NN18" s="14" t="str">
        <f>IF(SUM(ND18:NG18)-NH18&gt;0,SUM(ND18:NG18)-NH18,"")</f>
        <v/>
      </c>
      <c r="NO18" s="14" t="str">
        <f>IF(SUM(NL18,NN18)&gt;0,SUM(NL18,NN18),"")</f>
        <v/>
      </c>
      <c r="NP18" s="61">
        <f>IF($CX18="P",CD18,(CD18+AZ18)/2)</f>
        <v>1.25</v>
      </c>
      <c r="NQ18" s="61">
        <f>IF($CX18="P",CE18,(CE18+BA18)/2)</f>
        <v>0.9</v>
      </c>
      <c r="NR18" s="61">
        <f>IF($CX18="P",CF18,(CF18+BB18)/2)</f>
        <v>0.65</v>
      </c>
      <c r="NS18" s="61">
        <f>IF($CX18="P",CG18,(CG18+BC18)/2)</f>
        <v>1.58</v>
      </c>
      <c r="NT18" s="61">
        <f>IF($CX18="P",CH18,(CH18+BD18)/2)</f>
        <v>0</v>
      </c>
      <c r="NU18" s="61">
        <f>IF($CX18="P",CI18,(CI18+BE18)/2)</f>
        <v>7.6</v>
      </c>
      <c r="NV18" s="61">
        <f>IF($CX18="P",CJ18,(CJ18+BF18)/2)</f>
        <v>4.875</v>
      </c>
      <c r="NW18" s="61">
        <f>IF($CX18="P",CK18,(CK18+BG18)/2)</f>
        <v>5.15</v>
      </c>
      <c r="NX18" s="61">
        <f>IF($CX18="P",CL18,(CL18+BH18)/2)</f>
        <v>7.32</v>
      </c>
      <c r="NY18" s="61">
        <f>IF($CX18="P",CM18,(CM18+BI18)/2)</f>
        <v>0</v>
      </c>
      <c r="NZ18" s="61">
        <f>IF($CX18="P",CN18,(CN18+BJ18)/2)</f>
        <v>0</v>
      </c>
      <c r="OA18" s="61">
        <f>IF($CX18="P",CO18,(CO18+BK18)/2)</f>
        <v>0</v>
      </c>
      <c r="OB18" s="61">
        <f>IF($CX18="P",CP18,(CP18+BL18)/2)</f>
        <v>0</v>
      </c>
      <c r="OC18" s="61">
        <f>IF($CX18="P",CQ18,(CQ18+BM18)/2)</f>
        <v>0</v>
      </c>
      <c r="OD18" s="61">
        <f>IF($CX18="P",CR18,(CR18+BN18)/2)</f>
        <v>0</v>
      </c>
      <c r="OE18" s="61">
        <f>IF($CX18="P",CS18,(CS18+BO18)/2)</f>
        <v>7.3</v>
      </c>
      <c r="OF18" s="61">
        <f>IF($CX18="P",CT18,(CT18+BP18)/2)</f>
        <v>4.75</v>
      </c>
      <c r="OG18" s="61">
        <f>IF($CX18="P",CU18,(CU18+BQ18)/2)</f>
        <v>5.15</v>
      </c>
      <c r="OH18" s="61">
        <f>IF($CX18="P",CV18,(CV18+BR18)/2)</f>
        <v>7.2</v>
      </c>
      <c r="OI18" s="61">
        <f>IF($CX18="P",CW18,(CW18+BS18)/2)</f>
        <v>0</v>
      </c>
      <c r="OJ18" s="72" t="s">
        <v>52</v>
      </c>
      <c r="OK18" s="11">
        <f>IF(SUM(NP18:NS18)-NT18&gt;0,SUM(NP18:NS18)-NT18,"")</f>
        <v>4.38</v>
      </c>
      <c r="OL18" s="11">
        <f>IF(NW18&gt;0,NW18,"")</f>
        <v>5.15</v>
      </c>
      <c r="OM18" s="11">
        <f>IF(SUM(NU18:NX18)-NY18&gt;0,SUM(NU18:NX18)-NY18,"")</f>
        <v>24.945</v>
      </c>
      <c r="ON18" s="11" t="str">
        <f>IF(OB18&gt;0,OB18,"")</f>
        <v/>
      </c>
      <c r="OO18" s="11" t="str">
        <f>IF(SUM(NZ18:OC18)-OD18&gt;0,SUM(NZ18:OC18)-OD18,"")</f>
        <v/>
      </c>
      <c r="OP18" s="11">
        <f>IF(OR(OK18&lt;&gt;"",OM18&lt;&gt;"",OO18&lt;&gt;""),OK18+MAX(OM18,OO18),"")</f>
        <v>29.324999999999999</v>
      </c>
      <c r="OQ18" s="11">
        <f>IF(OG18&gt;0,OG18,"")</f>
        <v>5.15</v>
      </c>
      <c r="OR18" s="11">
        <f t="shared" ref="OR18" si="14">IF(SUM(OE18:OH18)-OI18&gt;0,SUM(OE18:OH18)-OI18,"")</f>
        <v>24.400000000000002</v>
      </c>
      <c r="OS18" s="11">
        <f t="shared" ref="OS18" si="15">IF(SUM(OP18,OR18)&gt;0,SUM(OP18,OR18),"")</f>
        <v>53.725000000000001</v>
      </c>
    </row>
    <row r="19" spans="1:409" x14ac:dyDescent="0.2">
      <c r="A19" s="5" t="str" cm="1">
        <f t="array" ref="A19">IF(AND(G19&lt;&gt;"",H19&lt;&gt;""),SUMPRODUCT((G$4:G$20&lt;&gt;"")*(H$4:H$20&lt;&gt;"")*(E$4:E$20&gt;E19))+1,IF(H19&lt;&gt;"",SUMPRODUCT((I$4:I$20="No DD")*(E$4:E$20&gt;E19))+1+SUMPRODUCT((G$4:G$20&lt;&gt;"")*(H$4:H$20&lt;&gt;"")),""))</f>
        <v/>
      </c>
      <c r="B19" s="6" t="s">
        <v>91</v>
      </c>
      <c r="C19" s="7" t="s">
        <v>4</v>
      </c>
      <c r="D19" s="26">
        <v>2002</v>
      </c>
      <c r="E19" s="15">
        <f>SUM(O19:S19)</f>
        <v>27.8</v>
      </c>
      <c r="F19" s="3" t="str">
        <f>IF(G19&lt;&gt;"","P","")</f>
        <v/>
      </c>
      <c r="G19" s="115" t="str">
        <f>IF(OR(AND(AR19&gt;=AY$25,AR19&lt;&gt;"",AP19=""),AND(AT19&gt;=AY$25,AT19&lt;&gt;"",AP19=""),AND(AW19&gt;=AY$25,AW19&lt;&gt;"",AP19=""),AND(BV19&gt;=CC$25,BV19&lt;&gt;"",BT19=""),AND(BX19&gt;=CC$25,BX19&lt;&gt;"",BT19=""),AND(CA19&gt;=CC$25,CA19&lt;&gt;"",BT19=""),AND(CZ19&gt;=DG$25,CZ19&lt;&gt;"",CX19=""),AND(DB19&gt;=DG$25,DB19&lt;&gt;"",CX19=""),AND(DE19&gt;=DG$25,DE19&lt;&gt;"",CX19=""),AND(EA19&gt;=EG$25,EA19&lt;&gt;""),AND(EE19&gt;=EG$25,EE19&lt;&gt;""),AND(EW19&gt;=FC$25,EW19&lt;&gt;""),AND(FA19&gt;=FC$25,FA19&lt;&gt;""),AND(FS19&gt;=FY$25,FS19&lt;&gt;""),AND(FW19&gt;=FY$25,FW19&lt;&gt;""),AND(GO19&gt;=GU$25,GO19&lt;&gt;""),AND(GS19&gt;=GU$25,GS19&lt;&gt;""),AND(HK19&gt;=HQ$25,HK19&lt;&gt;""),AND(HO19&gt;=HQ$25,HO19&lt;&gt;""),AND(IG19&gt;=IM$25,IG19&lt;&gt;""),AND(IK19&gt;=IM$25,IK19&lt;&gt;""),AND(JC19&gt;=JI$25,JC19&lt;&gt;""),AND(JG19&gt;=JI$25,JG19&lt;&gt;""),AND(JY19&gt;=KE$25,JY19&lt;&gt;""),AND(KC19&gt;=KE$25,KC19&lt;&gt;""),AND(KU19&gt;=LA$25,KU19&lt;&gt;""),AND(KY19&gt;=LA$25,KY19&lt;&gt;""),AND(LQ19&gt;=LW$25,LQ19&lt;&gt;""),AND(LU19&gt;=LW$25,LU19&lt;&gt;""),AND(MM19&gt;=MS$25,MM19&lt;&gt;""),AND(MQ19&gt;=MS$25,MQ19&lt;&gt;""),AND(NI19&gt;=NO$25,NI19&lt;&gt;""),AND(NM19&gt;=NO$25,NM19&lt;&gt;"")),"Merit",IF(OR(AND(AR19&gt;=AY$24,AR19&lt;&gt;"",AP19=""),AND(AT19&gt;=AY$24,AT19&lt;&gt;"",AP19=""),AND(AW19&gt;=AY$24,AW19&lt;&gt;"",AP19=""),AND(BV19&gt;=CC$24,BV19&lt;&gt;"",BT19=""),AND(BX19&gt;=CC$24,BX19&lt;&gt;"",BT19=""),AND(CA19&gt;=CC$24,CA19&lt;&gt;"",BT19=""),AND(CZ19&gt;=DG$24,CZ19&lt;&gt;"",CX19=""),AND(DB19&gt;=DG$24,DB19&lt;&gt;"",CX19=""),AND(DE19&gt;=DG$24,DE19&lt;&gt;"",CX19=""),AND(EA19&gt;=EG$24,EA19&lt;&gt;""),AND(EE19&gt;=EG$24,EE19&lt;&gt;""),AND(EW19&gt;=FC$24,EW19&lt;&gt;""),AND(FA19&gt;=FC$24,FA19&lt;&gt;""),AND(FS19&gt;=FY$24,FS19&lt;&gt;""),AND(FW19&gt;=FY$24,FW19&lt;&gt;""),AND(GO19&gt;=GU$24,GO19&lt;&gt;""),AND(GS19&gt;=GU$24,GS19&lt;&gt;""),AND(HK19&gt;=HQ$24,HK19&lt;&gt;""),AND(HO19&gt;=HQ$24,HO19&lt;&gt;""),AND(IG19&gt;=IM$24,IG19&lt;&gt;""),AND(IK19&gt;=IM$24,IK19&lt;&gt;""),AND(JC19&gt;=JI$24,JC19&lt;&gt;""),AND(JG19&gt;=JI$24,JG19&lt;&gt;""),AND(JY19&gt;=KE$24,JY19&lt;&gt;""),AND(KC19&gt;=KE$24,KC19&lt;&gt;""),AND(KU19&gt;=LA$24,KU19&lt;&gt;""),AND(KY19&gt;=LA$24,KY19&lt;&gt;""),AND(LQ19&gt;=LW$24,LQ19&lt;&gt;""),AND(LU19&gt;=LW$24,LU19&lt;&gt;""),AND(MM19&gt;=MS$24,MM19&lt;&gt;""),AND(MQ19&gt;=MS$24,MQ19&lt;&gt;""),AND(NI19&gt;=NO$24,NI19&lt;&gt;""),AND(NM19&gt;=NO$24,NM19&lt;&gt;"")),"Excellence",IF(OR(AND(AR19&gt;=AY$23,AR19&lt;&gt;"",AP19=""),AND(AT19&gt;=AY$23,AT19&lt;&gt;"",AP19=""),AND(AW19&gt;=AY$23,AW19&lt;&gt;"",AP19=""),AND(BV19&gt;=CC$23,BV19&lt;&gt;"",BT19=""),AND(BX19&gt;=CC$23,BX19&lt;&gt;"",BT19=""),AND(CA19&gt;=CC$23,CA19&lt;&gt;"",BT19=""),AND(CZ19&gt;=DG$23,CZ19&lt;&gt;"",CX19=""),AND(DB19&gt;=DG$23,DB19&lt;&gt;"",CX19=""),AND(DE19&gt;=DG$23,DE19&lt;&gt;"",CX19=""),AND(EA19&gt;=EG$23,EA19&lt;&gt;""),AND(EE19&gt;=EG$23,EE19&lt;&gt;""),AND(EW19&gt;=FC$23,EW19&lt;&gt;""),AND(FA19&gt;=FC$23,FA19&lt;&gt;""),AND(FS19&gt;=FY$23,FS19&lt;&gt;""),AND(FW19&gt;=FY$23,FW19&lt;&gt;""),AND(GO19&gt;=GU$23,GO19&lt;&gt;""),AND(GS19&gt;=GU$23,GS19&lt;&gt;""),AND(HK19&gt;=HQ$23,HK19&lt;&gt;""),AND(HO19&gt;=HQ$23,HO19&lt;&gt;""),AND(IG19&gt;=IM$23,IG19&lt;&gt;""),AND(IK19&gt;=IM$23,IK19&lt;&gt;""),AND(JC19&gt;=JI$23,JC19&lt;&gt;""),AND(JG19&gt;=JI$23,JG19&lt;&gt;""),AND(JY19&gt;=KE$23,JY19&lt;&gt;""),AND(KC19&gt;=KE$23,KC19&lt;&gt;""),AND(KU19&gt;=LA$23,KU19&lt;&gt;""),AND(KY19&gt;=LA$23,KY19&lt;&gt;""),AND(LQ19&gt;=LW$23,LQ19&lt;&gt;""),AND(LU19&gt;=LW$23,LU19&lt;&gt;""),AND(MM19&gt;=MS$23,MM19&lt;&gt;""),AND(MQ19&gt;=MS$23,MQ19&lt;&gt;""),AND(NI19&gt;=NO$23,NI19&lt;&gt;""),AND(NM19&gt;=NO$23,NM19&lt;&gt;"")),"Worlds Team",IF(OR(AND(AR19&gt;=AY$22,AR19&lt;&gt;"",AP19=""),AND(AT19&gt;=AY$22,AT19&lt;&gt;"",AP19=""),AND(AW19&gt;=AY$22,AW19&lt;&gt;"",AP19=""),AND(BV19&gt;=CC$22,BV19&lt;&gt;"",BT19=""),AND(BX19&gt;=CC$22,BX19&lt;&gt;"",BT19=""),AND(CA19&gt;=CC$22,CA19&lt;&gt;"",BT19=""),AND(CZ19&gt;=DG$22,CZ19&lt;&gt;"",CX19=""),AND(DB19&gt;=DG$22,DB19&lt;&gt;"",CX19=""),AND(DE19&gt;=DG$22,DE19&lt;&gt;"",CX19=""),AND(EA19&gt;=EG$22,EA19&lt;&gt;""),AND(EE19&gt;=EG$22,EE19&lt;&gt;""),AND(EW19&gt;=FC$22,EW19&lt;&gt;""),AND(FA19&gt;=FC$22,FA19&lt;&gt;""),AND(FS19&gt;=FY$22,FS19&lt;&gt;""),AND(FW19&gt;=FY$22,FW19&lt;&gt;""),AND(GO19&gt;=GU$22,GO19&lt;&gt;""),AND(GS19&gt;=GU$22,GS19&lt;&gt;""),AND(HK19&gt;=HQ$22,HK19&lt;&gt;""),AND(HO19&gt;=HQ$22,HO19&lt;&gt;""),AND(IG19&gt;=IM$22,IG19&lt;&gt;""),AND(IK19&gt;=IM$22,IK19&lt;&gt;""),AND(JC19&gt;=JI$22,JC19&lt;&gt;""),AND(JG19&gt;=JI$22,JG19&lt;&gt;""),AND(JY19&gt;=KE$22,JY19&lt;&gt;""),AND(KC19&gt;=KE$22,KC19&lt;&gt;""),AND(KU19&gt;=LA$22,KU19&lt;&gt;""),AND(KY19&gt;=LA$22,KY19&lt;&gt;""),AND(LQ19&gt;=LW$22,LQ19&lt;&gt;""),AND(LU19&gt;=LW$22,LU19&lt;&gt;""),AND(MM19&gt;=MS$22,MM19&lt;&gt;""),AND(MQ19&gt;=MS$22,MQ19&lt;&gt;""),AND(NI19&gt;=NO$22,NI19&lt;&gt;""),AND(NM19&gt;=NO$22,NM19&lt;&gt;"")),"National Team",""))))</f>
        <v/>
      </c>
      <c r="H19" s="115" t="str">
        <f>IF(OR(AND(AS19&gt;=AY$26,AS19&lt;&gt;"",AP19=""),AND(AU19&gt;=AY$26,AU19&lt;&gt;"",AP19=""),AND(AX19&gt;=AY$26,AX19&lt;&gt;"",AP19=""),AND(BW19&gt;=CC$26,BW19&lt;&gt;"",BT19=""),AND(BY19&gt;=CC$26,BY19&lt;&gt;"",BT19=""),AND(CB19&gt;=CC$26,CB19&lt;&gt;"",BT19=""),AND(DA19&gt;=DG$26,DA19&lt;&gt;"",CX19=""),AND(DC19&gt;=DG$26,DC19&lt;&gt;"",CX19=""),AND(DF19&gt;=DG$26,DF19&lt;&gt;"",CX19=""),AND(EC19&gt;=EG$26,EC19&lt;&gt;""),AND(EF19&gt;=EG$26,EF19&lt;&gt;""),AND(EY19&gt;=FC$26,EY19&lt;&gt;""),AND(FB19&gt;=FC$26,FB19&lt;&gt;""),AND(FU19&gt;=FY$26,FU19&lt;&gt;""),AND(FX19&gt;=FY$26,FX19&lt;&gt;""),AND(GQ19&gt;=GU$26,GQ19&lt;&gt;""),AND(GT19&gt;=GU$26,GT19&lt;&gt;""),AND(HM19&gt;=HQ$26,HM19&lt;&gt;""),AND(HP19&gt;=HQ$26,HP19&lt;&gt;""),AND(II19&gt;=IM$26,II19&lt;&gt;""),AND(IL19&gt;=IM$26,IL19&lt;&gt;""),AND(JE19&gt;=JI$26,JE19&lt;&gt;""),AND(JH19&gt;=JI$26,JH19&lt;&gt;""),AND(KA19&gt;=KE$26,KA19&lt;&gt;""),AND(KD19&gt;=KE$26,KD19&lt;&gt;""),AND(KW19&gt;=LA$26,KW19&lt;&gt;""),AND(KZ19&gt;=LA$26,KZ19&lt;&gt;""),AND(LS19&gt;=LW$26,LS19&lt;&gt;""),AND(LV19&gt;=LW$26,LV19&lt;&gt;""),AND(MO19&gt;=MS$26,MO19&lt;&gt;""),AND(MR19&gt;=MS$26,MR19&lt;&gt;""),AND(NK19&gt;=NO$26,NK19&lt;&gt;""),AND(NN19&gt;=NO$26,NN19&lt;&gt;"")),"National Team","")</f>
        <v/>
      </c>
      <c r="I19" s="116" t="str">
        <f>IF(AND(G19="Merit",H19="Merit"),"Merit",IF(AND(OR(G19="Merit",G19="Excellence"),OR(H19="Merit",H19="Excellence")),"Excellence",IF(AND(OR(G19="Merit",G19="Excellence",G19="Worlds Team"),OR(H19="Merit",H19="Excellence",H19="Worlds Team")),"Worlds Team",IF(AND(OR(G19="Merit",G19="Excellence",G19="Worlds Team",G19="National Team"),OR(H19="Merit",H19="Excellence",H19="Worlds Team",H19="National Team")),"National Team",IF(OR(H19="Merit",H19="Excellence",H19="Worlds Team",H19="National Team"),"No DD","")))))</f>
        <v/>
      </c>
      <c r="J19" s="3" t="str">
        <f>IF(AND(OR(AND(AV19&gt;=AY$27,AV19&lt;&gt;"",AP19=""),AND(BZ19&gt;=CC$27,BZ19&lt;&gt;"",BT19=""),AND(DD19&gt;=DG$27,DD19&lt;&gt;"",CX19=""),AND(ED19&gt;=EG$27,ED19&lt;&gt;""),AND(EZ19&gt;=FC$27,EZ19&lt;&gt;""),AND(FV19&gt;=FY$27,FV19&lt;&gt;""),AND(GR19&gt;=GU$27,GR19&lt;&gt;""),AND(HN19&gt;=HQ$27,HN19&lt;&gt;""),AND(IJ19&gt;=IM$27,IJ19&lt;&gt;""),AND(JF19&gt;=JI$27,JF19&lt;&gt;""),AND(KB19&gt;=KE$27,KB19&lt;&gt;""),AND(KX19&gt;=LA$27,KX19&lt;&gt;""),AND(LT19&gt;=LW$27,LT19&lt;&gt;""),AND(MP19&gt;=MS$27,MP19&lt;&gt;""),AND(NL19&gt;=NO$27,NL19&lt;&gt;"")),OR(G19="Worlds Team",G19="Excellence",G19="Merit")),"P","")</f>
        <v/>
      </c>
      <c r="K19" s="14">
        <f>IF(MAX(AV19,BZ19,DD19)&gt;0,MAX(AV19,BZ19,DD19),0)</f>
        <v>62.965000000000003</v>
      </c>
      <c r="L19" s="14" t="str">
        <f>IF(K19=0,"",IF(K19=DD19,$CD$1,IF(K19=BZ19,$AZ$1,IF(K19=AV19,$V$1,""))))</f>
        <v>2019 Elite Canada</v>
      </c>
      <c r="M19" s="14">
        <f>IF($K19=$AV19,MAX(BU19,CY19),IF($K19=$BZ19,MAX(AQ19,CY19),IF($K19=$DD19,MAX(AQ19,BU19),MAX(AQ19,BU19,CY19))))</f>
        <v>47.454999999999998</v>
      </c>
      <c r="N19" s="14" t="str">
        <f>IF(M19=0,"",IF(AND(M19=CY19,$L19&lt;&gt;$CD$1),$CD$1,IF(AND(M19=BU19,$L19&lt;&gt;$AZ$1),$AZ$1,IF(AND(M19=AQ19,$L19&lt;&gt;$V$1),$V$1,""))))</f>
        <v>2019 Nationals</v>
      </c>
      <c r="O19" s="14">
        <f>MAX(AS19,AU19,AX19,BW19,BY19,CB19,DA19,DC19,DF19)</f>
        <v>16.64</v>
      </c>
      <c r="P19" s="14" t="str">
        <f>IF(O19=0,"",IF(OR(O19=DC19,O19=DA19,O19=DF19),$CD$1,IF(OR(O19=BY19,O19=BW19,O19=CB19),$AZ$1,IF(OR(O19=AU19,O19=AS19,O19=AX19),$V$1,""))))</f>
        <v>2019 Elite Canada</v>
      </c>
      <c r="Q19" s="14">
        <f>IF(COUNT(AS19,AU19,AX19,BW19,BY19,CB19,DA19,DC19,DF19)&gt;1,LARGE((AS19,AU19,AX19,BW19,BY19,CB19,DA19,DC19,DF19),2),0)</f>
        <v>11.16</v>
      </c>
      <c r="R19" s="14" t="str">
        <f>IF(Q19=0,"",IF(OR(Q19=DC19,Q19=DA19,Q19=DF19),$CD$1,IF(OR(Q19=BY19,Q19=BW19,Q19=CB19),$AZ$1,IF(OR(Q19=AU19,Q19=AS19,Q19=AX19),$V$1,""))))</f>
        <v>2019 Nationals</v>
      </c>
      <c r="S19" s="14" t="str">
        <f>IF(MAX(DI19,DK19)&gt;0,MAX(DI19,DK19),"")</f>
        <v/>
      </c>
      <c r="T19" s="24" t="str">
        <f>IF(S19="","",IF(S19=DH19,"(Vol 1)",IF(S19=DI19,"(Vol 2)",IF(S19=DJ19,"(Prelim)",IF(S19=DK19,"(Final)")))))</f>
        <v/>
      </c>
      <c r="U19" s="14" t="str">
        <f>IF(S19="","",IF(S19=DH19,IF(S19+IF(M19="",0,M19)=NJ19,$MT$1,IF(S19+IF(M19="",0,M19)=MN19,$LX$1,IF(S19+IF(M19="",0,M19)=LR19,$LB$1,IF(S19+IF(M19="",0,M19)=KV19,$KF$1,IF(S19+IF(M19="",0,M19)=JZ19,$JJ$1,IF(S19+IF(M19="",0,M19)=JD19,$IN$1,IF(S19+IF(M19="",0,M19)=IH19,$HR$1,IF(S19+IF(M19="",0,M19)=HL19,$GV$1,IF(S19+IF(M19="",0,M19)=GP19,$FZ$1,IF(S19+IF(M19="",0,M19)=FT19,$FD$1,IF(S19+IF(M19="",0,M19)=EX19,$EH$1,IF(S19+IF(M19="",0,M19)=EB19,$DL$1)))))))))))),IF(S19=DI19,IF(S19+IF(O19="",0,O19)=NK19,$MT$1,IF(S19+IF(O19="",0,O19)=MO19,$LX$1,IF(S19+IF(O19="",0,O19)=LS19,$LB$1,IF(S19+IF(O19="",0,O19)=KW19,$KF$1,IF(S19+IF(O19="",0,O19)=KA19,$JJ$1,IF(S19+IF(O19="",0,O19)=JE19,$IN$1,IF(S19+IF(O19="",0,O19)=II19,$HR$1,IF(S19+IF(O19="",0,O19)=HM19,$GV$1,IF(S19+IF(O19="",0,O19)=GQ19,$FZ$1,IF(S19+IF(O19="",0,O19)=FU19,$FD$1,IF(S19+IF(O19="",0,O19)=EY19,$EH$1,IF(S19+IF(O19="",0,O19)=EC19,$DL$1)))))))))))),IF(S19=DJ19,IF(S19+IF(K19="",0,K19)=NL19,$MT$1,IF(S19+IF(K19="",0,K19)=MP19,$LX$1,IF(S19+IF(K19="",0,K19)=LT19,$LB$1,IF(S19+IF(K19="",0,K19)=KX19,$KF$1,IF(S19+IF(K19="",0,K19)=KB19,$JJ$1,IF(S19+IF(K19="",0,K19)=JF19,$IN$1,IF(S19+IF(K19="",0,K19)=IJ19,$HR$1,IF(S19+IF(K19="",0,K19)=HN19,$GV$1,IF(S19+IF(K19="",0,K19)=GR19,$FZ$1,IF(S19+IF(K19="",0,K19)=FV19,$FD$1,IF(S19+IF(K19="",0,K19)=EZ19,$EH$1,IF(S19+IF(K19="",0,K19)=ED19,$DL$1)))))))))))),IF(S19=DK19,IF(S19+IF(Q19="",0,Q19)=NN19,$MT$1,IF(S19+IF(Q19="",0,Q19)=MR19,$LX$1,IF(S19+IF(Q19="",0,Q19)=LV19,$LB$1,IF(S19+IF(Q19="",0,Q19)=KZ19,$KF$1,IF(S19+IF(Q19="",0,Q19)=KD19,$JJ$1,IF(S19+IF(Q19="",0,Q19)=JH19,$IN$1,IF(S19+IF(Q19="",0,Q19)=IL19,$HR$1,IF(S19+IF(Q19="",0,Q19)=HP19,$GV$1,IF(S19+IF(Q19="",0,Q19)=GT19,$FZ$1,IF(S19+IF(Q19="",0,Q19)=FX19,$FD$1,IF(S19+IF(Q19="",0,Q19)=FB19,$EH$1,IF(S19+IF(Q19="",0,Q19)=EF19,$DL$1)))))))))))))))))</f>
        <v/>
      </c>
      <c r="V19" s="61">
        <v>17.100000000000001</v>
      </c>
      <c r="W19" s="61">
        <v>8.9499999999999993</v>
      </c>
      <c r="X19" s="61">
        <v>4</v>
      </c>
      <c r="Y19" s="61">
        <v>16.274999999999999</v>
      </c>
      <c r="Z19" s="61">
        <v>0</v>
      </c>
      <c r="AA19" s="61">
        <v>4.5</v>
      </c>
      <c r="AB19" s="61">
        <v>2.5</v>
      </c>
      <c r="AC19" s="61">
        <v>4.5999999999999996</v>
      </c>
      <c r="AD19" s="61">
        <v>5.04</v>
      </c>
      <c r="AE19" s="61">
        <v>0</v>
      </c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72"/>
      <c r="AQ19" s="11">
        <f>IF(SUM(V19:Y19)-Z19&gt;0,SUM(V19:Y19)-Z19,"")</f>
        <v>46.325000000000003</v>
      </c>
      <c r="AR19" s="11">
        <f>IF(AC19&gt;0,AC19,"")</f>
        <v>4.5999999999999996</v>
      </c>
      <c r="AS19" s="11">
        <f>IF(SUM(AA19:AD19)-AE19&gt;0,SUM(AA19:AD19)-AE19,"")</f>
        <v>16.64</v>
      </c>
      <c r="AT19" s="11" t="str">
        <f>IF(AH19&gt;0,AH19,"")</f>
        <v/>
      </c>
      <c r="AU19" s="11" t="str">
        <f>IF(SUM(AF19:AI19)-AJ19&gt;0,SUM(AF19:AI19)-AJ19,"")</f>
        <v/>
      </c>
      <c r="AV19" s="11">
        <f>IF(OR(AQ19&lt;&gt;"",AS19&lt;&gt;"",AU19&lt;&gt;""),AQ19+MAX(AS19,AU19),"")</f>
        <v>62.965000000000003</v>
      </c>
      <c r="AW19" s="11" t="str">
        <f>IF(AM19&gt;0,AM19,"")</f>
        <v/>
      </c>
      <c r="AX19" s="11" t="str">
        <f>IF(SUM(AK19:AN19)-AO19&gt;0,SUM(AK19:AN19)-AO19,"")</f>
        <v/>
      </c>
      <c r="AY19" s="11">
        <f>IF(SUM(AV19,AX19)&gt;0,SUM(AV19,AX19),"")</f>
        <v>62.965000000000003</v>
      </c>
      <c r="AZ19" s="67">
        <v>17.8</v>
      </c>
      <c r="BA19" s="67">
        <v>9.5</v>
      </c>
      <c r="BB19" s="67">
        <v>4</v>
      </c>
      <c r="BC19" s="67">
        <v>16.155000000000001</v>
      </c>
      <c r="BD19" s="67">
        <v>0</v>
      </c>
      <c r="BE19" s="67">
        <v>3</v>
      </c>
      <c r="BF19" s="67">
        <v>1.7</v>
      </c>
      <c r="BG19" s="67">
        <v>3.1</v>
      </c>
      <c r="BH19" s="67">
        <v>3.36</v>
      </c>
      <c r="BI19" s="67">
        <v>0</v>
      </c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>
        <f>IF(SUM(AZ19:BC19)-BD19&gt;0,SUM(AZ19:BC19)-BD19,"")</f>
        <v>47.454999999999998</v>
      </c>
      <c r="BV19" s="14">
        <f>IF(BG19&gt;0,BG19,"")</f>
        <v>3.1</v>
      </c>
      <c r="BW19" s="14">
        <f>IF(SUM(BE19:BH19)-BI19&gt;0,SUM(BE19:BH19)-BI19,"")</f>
        <v>11.16</v>
      </c>
      <c r="BX19" s="14" t="str">
        <f>IF(BL19&gt;0,BL19,"")</f>
        <v/>
      </c>
      <c r="BY19" s="14" t="str">
        <f>IF(SUM(BJ19:BM19)-BN19&gt;0,SUM(BJ19:BM19)-BN19,"")</f>
        <v/>
      </c>
      <c r="BZ19" s="14">
        <f>IF(BU19="",IF(MAX(BW19,BY19)&gt;0,MAX(BW19,BY19),""),MAX(BW19,BY19)+BU19)</f>
        <v>58.614999999999995</v>
      </c>
      <c r="CA19" s="14" t="str">
        <f>IF(BQ19&gt;0,BQ19,"")</f>
        <v/>
      </c>
      <c r="CB19" s="14" t="str">
        <f>IF(SUM(BO19:BR19)-BS19&gt;0,SUM(BO19:BR19)-BS19,"")</f>
        <v/>
      </c>
      <c r="CC19" s="14">
        <f>IF(SUM(BZ19,CB19)&gt;0,SUM(BZ19,CB19),"")</f>
        <v>58.614999999999995</v>
      </c>
      <c r="CD19" s="61"/>
      <c r="CE19" s="61"/>
      <c r="CF19" s="61"/>
      <c r="CG19" s="61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72"/>
      <c r="CY19" s="11" t="str">
        <f>IF(SUM(CD19:CG19)-CH19&gt;0,SUM(CD19:CG19)-CH19,"")</f>
        <v/>
      </c>
      <c r="CZ19" s="11" t="str">
        <f>IF(CK19&gt;0,CK19,"")</f>
        <v/>
      </c>
      <c r="DA19" s="11" t="str">
        <f>IF(SUM(CI19:CL19)-CM19&gt;0,SUM(CI19:CL19)-CM19,"")</f>
        <v/>
      </c>
      <c r="DB19" s="11" t="str">
        <f>IF(CP19&gt;0,CP19,"")</f>
        <v/>
      </c>
      <c r="DC19" s="11" t="str">
        <f>IF(SUM(CN19:CQ19)-CR19&gt;0,SUM(CN19:CQ19)-CR19,"")</f>
        <v/>
      </c>
      <c r="DD19" s="11" t="str">
        <f>IF(CY19="",IF(MAX(DA19,DC19)&gt;0,MAX(DA19,DC19),""),MAX(DA19,DC19)+CY19)</f>
        <v/>
      </c>
      <c r="DE19" s="11" t="str">
        <f>IF(CU19&gt;0,CU19,"")</f>
        <v/>
      </c>
      <c r="DF19" s="11" t="str">
        <f>IF(SUM(CS19:CV19)-CW19&gt;0,SUM(CS19:CV19)-CW19,"")</f>
        <v/>
      </c>
      <c r="DG19" s="11" t="str">
        <f>IF(SUM(DD19,DF19)&gt;0,SUM(DD19,DF19),"")</f>
        <v/>
      </c>
      <c r="DH19" s="23" t="str">
        <f>IF(MAX(EB19,EX19,FT19,GP19,HL19,IH19,JD19,JZ19,KV19,LR19,MN19,NJ19)-IF(M19="",0,M19)&gt;0.001,MAX(EB19,EX19,FT19,GP19,HL19,IH19,JD19,JZ19,KV19,LR19,MN19,NJ19)-IF(M19="",0,M19),"")</f>
        <v/>
      </c>
      <c r="DI19" s="23" t="str">
        <f>IF(MAX(EC19,EY19,FU19,GQ19,HM19,II19,JE19,KA19,KW19,LS19,MO19,NK19)-IF(O19="",0,O19)&gt;0.001,MAX(EC19,EY19,FU19,GQ19,HM19,II19,JE19,KA19,KW19,LS19,MO19,NK19)-IF(O19="",0,O19),"")</f>
        <v/>
      </c>
      <c r="DJ19" s="23" t="str">
        <f>IF(MAX(ED19,EZ19,FV19,GR19,HN19,IJ19,JF19,KB19,KX19,LT19,MP19,NL19)-IF(K19="",0,K19)&gt;0.001,MAX(ED19,EZ19,FV19,GR19,HN19,IJ19,JF19,KB19,KX19,LT19,MP19,NL19)-IF(K19="",0,K19),"")</f>
        <v/>
      </c>
      <c r="DK19" s="23" t="str">
        <f>IF(MAX(EF19,FB19,FX19,GT19,HP19,IL19,JH19,KD19,KZ19,LV19,MR19,NN19)-IF(Q19="",0,Q19)&gt;0.001,MAX(EF19,FB19,FX19,GT19,HP19,IL19,JH19,KD19,KZ19,LV19,MR19,NN19)-IF(Q19="",0,Q19),"")</f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>IF(DS19&gt;0,DS19,"")</f>
        <v/>
      </c>
      <c r="EB19" s="11" t="str">
        <f>IF(SUM(DL19:DO19)-DP19&gt;0,SUM(DL19:DO19)-DP19,"")</f>
        <v/>
      </c>
      <c r="EC19" s="11" t="str">
        <f>IF(SUM(DQ19:DT19)-DU19&gt;0,SUM(DQ19:DT19)-DU19,"")</f>
        <v/>
      </c>
      <c r="ED19" s="11" t="str">
        <f>IF(SUM(EB19:EC19)&gt;0,SUM(EB19:EC19),"")</f>
        <v/>
      </c>
      <c r="EE19" s="11" t="str">
        <f>IF(DX19&gt;0,DX19,"")</f>
        <v/>
      </c>
      <c r="EF19" s="11" t="str">
        <f>IF(SUM(DV19:DY19)-DZ19&gt;0,SUM(DV19:DY19)-DZ19,"")</f>
        <v/>
      </c>
      <c r="EG19" s="11" t="str">
        <f>IF(SUM(ED19,EF19)&gt;0,SUM(ED19,EF19),"")</f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>IF(EO19&gt;0,EO19,"")</f>
        <v/>
      </c>
      <c r="EX19" s="14" t="str">
        <f>IF(SUM(EH19:EK19)-EL19&gt;0,SUM(EH19:EK19)-EL19,"")</f>
        <v/>
      </c>
      <c r="EY19" s="14" t="str">
        <f>IF(SUM(EM19:EP19)-EQ19&gt;0,SUM(EM19:EP19)-EQ19,"")</f>
        <v/>
      </c>
      <c r="EZ19" s="14" t="str">
        <f>IF(SUM(EX19:EY19)&gt;0,SUM(EX19:EY19),"")</f>
        <v/>
      </c>
      <c r="FA19" s="14" t="str">
        <f>IF(ET19&gt;0,ET19,"")</f>
        <v/>
      </c>
      <c r="FB19" s="14" t="str">
        <f>IF(SUM(ER19:EU19)-EV19&gt;0,SUM(ER19:EU19)-EV19,"")</f>
        <v/>
      </c>
      <c r="FC19" s="14" t="str">
        <f>IF(SUM(EZ19,FB19)&gt;0,SUM(EZ19,FB19),"")</f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>IF(FK19&gt;0,FK19,"")</f>
        <v/>
      </c>
      <c r="FT19" s="11" t="str">
        <f>IF(SUM(FD19:FG19)-FH19&gt;0,SUM(FD19:FG19)-FH19,"")</f>
        <v/>
      </c>
      <c r="FU19" s="11" t="str">
        <f>IF(SUM(FI19:FL19)-FM19&gt;0,SUM(FI19:FL19)-FM19,"")</f>
        <v/>
      </c>
      <c r="FV19" s="11" t="str">
        <f>IF(SUM(FT19:FU19)&gt;0,SUM(FT19:FU19),"")</f>
        <v/>
      </c>
      <c r="FW19" s="11" t="str">
        <f>IF(FP19&gt;0,FP19,"")</f>
        <v/>
      </c>
      <c r="FX19" s="11" t="str">
        <f>IF(SUM(FN19:FQ19)-FR19&gt;0,SUM(FN19:FQ19)-FR19,"")</f>
        <v/>
      </c>
      <c r="FY19" s="11" t="str">
        <f>IF(SUM(FV19,FX19)&gt;0,SUM(FV19,FX19),"")</f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>IF(GG19&gt;0,GG19,"")</f>
        <v/>
      </c>
      <c r="GP19" s="14" t="str">
        <f>IF(SUM(FZ19:GC19)-GD19&gt;0,SUM(FZ19:GC19)-GD19,"")</f>
        <v/>
      </c>
      <c r="GQ19" s="14" t="str">
        <f>IF(SUM(GE19:GH19)-GI19&gt;0,SUM(GE19:GH19)-GI19,"")</f>
        <v/>
      </c>
      <c r="GR19" s="14" t="str">
        <f>IF(SUM(GP19:GQ19)&gt;0,SUM(GP19:GQ19),"")</f>
        <v/>
      </c>
      <c r="GS19" s="14" t="str">
        <f>IF(GL19&gt;0,GL19,"")</f>
        <v/>
      </c>
      <c r="GT19" s="14" t="str">
        <f>IF(SUM(GJ19:GM19)-GN19&gt;0,SUM(GJ19:GM19)-GN19,"")</f>
        <v/>
      </c>
      <c r="GU19" s="14" t="str">
        <f>IF(SUM(GR19,GT19)&gt;0,SUM(GR19,GT19),"")</f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>IF(HC19&gt;0,HC19,"")</f>
        <v/>
      </c>
      <c r="HL19" s="11" t="str">
        <f>IF(SUM(GV19:GY19)-GZ19&gt;0,SUM(GV19:GY19)-GZ19,"")</f>
        <v/>
      </c>
      <c r="HM19" s="11" t="str">
        <f>IF(SUM(HA19:HD19)-HE19&gt;0,SUM(HA19:HD19)-HE19,"")</f>
        <v/>
      </c>
      <c r="HN19" s="11" t="str">
        <f>IF(SUM(HL19:HM19)&gt;0,SUM(HL19:HM19),"")</f>
        <v/>
      </c>
      <c r="HO19" s="11" t="str">
        <f>IF(HH19&gt;0,HH19,"")</f>
        <v/>
      </c>
      <c r="HP19" s="11" t="str">
        <f>IF(SUM(HF19:HI19)-HJ19&gt;0,SUM(HF19:HI19)-HJ19,"")</f>
        <v/>
      </c>
      <c r="HQ19" s="11" t="str">
        <f>IF(SUM(HN19,HP19)&gt;0,SUM(HN19,HP19),"")</f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>IF(HY19&gt;0,HY19,"")</f>
        <v/>
      </c>
      <c r="IH19" s="14" t="str">
        <f>IF(SUM(HR19:HU19)-HV19&gt;0,SUM(HR19:HU19)-HV19,"")</f>
        <v/>
      </c>
      <c r="II19" s="14" t="str">
        <f>IF(SUM(HW19:HZ19)-IA19&gt;0,SUM(HW19:HZ19)-IA19,"")</f>
        <v/>
      </c>
      <c r="IJ19" s="14" t="str">
        <f>IF(SUM(IH19:II19)&gt;0,SUM(IH19:II19),"")</f>
        <v/>
      </c>
      <c r="IK19" s="14" t="str">
        <f>IF(ID19&gt;0,ID19,"")</f>
        <v/>
      </c>
      <c r="IL19" s="14" t="str">
        <f>IF(SUM(IB19:IE19)-IF19&gt;0,SUM(IB19:IE19)-IF19,"")</f>
        <v/>
      </c>
      <c r="IM19" s="14" t="str">
        <f>IF(SUM(IJ19,IL19)&gt;0,SUM(IJ19,IL19),"")</f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>IF(IU19&gt;0,IU19,"")</f>
        <v/>
      </c>
      <c r="JD19" s="11" t="str">
        <f>IF(SUM(IN19:IQ19)-IR19&gt;0,SUM(IN19:IQ19)-IR19,"")</f>
        <v/>
      </c>
      <c r="JE19" s="11" t="str">
        <f>IF(SUM(IS19:IV19)-IW19&gt;0,SUM(IS19:IV19)-IW19,"")</f>
        <v/>
      </c>
      <c r="JF19" s="11" t="str">
        <f>IF(SUM(JD19:JE19)&gt;0,SUM(JD19:JE19),"")</f>
        <v/>
      </c>
      <c r="JG19" s="11" t="str">
        <f>IF(IZ19&gt;0,IZ19,"")</f>
        <v/>
      </c>
      <c r="JH19" s="11" t="str">
        <f>IF(SUM(IX19:JA19)-JB19&gt;0,SUM(IX19:JA19)-JB19,"")</f>
        <v/>
      </c>
      <c r="JI19" s="11" t="str">
        <f>IF(SUM(JF19,JH19)&gt;0,SUM(JF19,JH19),"")</f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>IF(JQ19&gt;0,JQ19,"")</f>
        <v/>
      </c>
      <c r="JZ19" s="14" t="str">
        <f>IF(SUM(JJ19:JM19)-JN19&gt;0,SUM(JJ19:JM19)-JN19,"")</f>
        <v/>
      </c>
      <c r="KA19" s="14" t="str">
        <f>IF(SUM(JO19:JR19)-JS19&gt;0,SUM(JO19:JR19)-JS19,"")</f>
        <v/>
      </c>
      <c r="KB19" s="14" t="str">
        <f>IF(SUM(JZ19:KA19)&gt;0,SUM(JZ19:KA19),"")</f>
        <v/>
      </c>
      <c r="KC19" s="14" t="str">
        <f>IF(JV19&gt;0,JV19,"")</f>
        <v/>
      </c>
      <c r="KD19" s="14" t="str">
        <f>IF(SUM(JT19:JW19)-JX19&gt;0,SUM(JT19:JW19)-JX19,"")</f>
        <v/>
      </c>
      <c r="KE19" s="14" t="str">
        <f>IF(SUM(KB19,KD19)&gt;0,SUM(KB19,KD19),"")</f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>IF(KM19&gt;0,KM19,"")</f>
        <v/>
      </c>
      <c r="KV19" s="11" t="str">
        <f>IF(SUM(KF19:KI19)-KJ19&gt;0,SUM(KF19:KI19)-KJ19,"")</f>
        <v/>
      </c>
      <c r="KW19" s="11" t="str">
        <f>IF(SUM(KK19:KN19)-KO19&gt;0,SUM(KK19:KN19)-KO19,"")</f>
        <v/>
      </c>
      <c r="KX19" s="11" t="str">
        <f>IF(SUM(KV19:KW19)&gt;0,SUM(KV19:KW19),"")</f>
        <v/>
      </c>
      <c r="KY19" s="11" t="str">
        <f>IF(KR19&gt;0,KR19,"")</f>
        <v/>
      </c>
      <c r="KZ19" s="11" t="str">
        <f>IF(SUM(KP19:KS19)-KT19&gt;0,SUM(KP19:KS19)-KT19,"")</f>
        <v/>
      </c>
      <c r="LA19" s="11" t="str">
        <f>IF(SUM(KX19,KZ19)&gt;0,SUM(KX19,KZ19),"")</f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>IF(LI19&gt;0,LI19,"")</f>
        <v/>
      </c>
      <c r="LR19" s="14" t="str">
        <f>IF(SUM(LB19:LE19)-LF19&gt;0,SUM(LB19:LE19)-LF19,"")</f>
        <v/>
      </c>
      <c r="LS19" s="14" t="str">
        <f>IF(SUM(LG19:LJ19)-LK19&gt;0,SUM(LG19:LJ19)-LK19,"")</f>
        <v/>
      </c>
      <c r="LT19" s="14" t="str">
        <f>IF(SUM(LR19:LS19)&gt;0,SUM(LR19:LS19),"")</f>
        <v/>
      </c>
      <c r="LU19" s="14" t="str">
        <f>IF(LN19&gt;0,LN19,"")</f>
        <v/>
      </c>
      <c r="LV19" s="14" t="str">
        <f>IF(SUM(LL19:LO19)-LP19&gt;0,SUM(LL19:LO19)-LP19,"")</f>
        <v/>
      </c>
      <c r="LW19" s="14" t="str">
        <f>IF(SUM(LT19,LV19)&gt;0,SUM(LT19,LV19),"")</f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>IF(ME19&gt;0,ME19,"")</f>
        <v/>
      </c>
      <c r="MN19" s="11" t="str">
        <f>IF(SUM(LX19:MA19)-MB19&gt;0,SUM(LX19:MA19)-MB19,"")</f>
        <v/>
      </c>
      <c r="MO19" s="11" t="str">
        <f>IF(SUM(MC19:MF19)-MG19&gt;0,SUM(MC19:MF19)-MG19,"")</f>
        <v/>
      </c>
      <c r="MP19" s="11" t="str">
        <f>IF(SUM(MN19:MO19)&gt;0,SUM(MN19:MO19),"")</f>
        <v/>
      </c>
      <c r="MQ19" s="11" t="str">
        <f>IF(MJ19&gt;0,MJ19,"")</f>
        <v/>
      </c>
      <c r="MR19" s="11" t="str">
        <f>IF(SUM(MH19:MK19)-ML19&gt;0,SUM(MH19:MK19)-ML19,"")</f>
        <v/>
      </c>
      <c r="MS19" s="11" t="str">
        <f>IF(SUM(MP19,MR19)&gt;0,SUM(MP19,MR19),"")</f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>IF(NA19&gt;0,NA19,"")</f>
        <v/>
      </c>
      <c r="NJ19" s="14" t="str">
        <f>IF(SUM(MT19:MW19)-MX19&gt;0,SUM(MT19:MW19)-MX19,"")</f>
        <v/>
      </c>
      <c r="NK19" s="14" t="str">
        <f>IF(SUM(MY19:NB19)-NC19&gt;0,SUM(MY19:NB19)-NC19,"")</f>
        <v/>
      </c>
      <c r="NL19" s="14" t="str">
        <f>IF(SUM(NJ19:NK19)&gt;0,SUM(NJ19:NK19),"")</f>
        <v/>
      </c>
      <c r="NM19" s="14" t="str">
        <f>IF(NF19&gt;0,NF19,"")</f>
        <v/>
      </c>
      <c r="NN19" s="14" t="str">
        <f>IF(SUM(ND19:NG19)-NH19&gt;0,SUM(ND19:NG19)-NH19,"")</f>
        <v/>
      </c>
      <c r="NO19" s="14" t="str">
        <f>IF(SUM(NL19,NN19)&gt;0,SUM(NL19,NN19),"")</f>
        <v/>
      </c>
      <c r="NP19" s="61">
        <f>IF($CX19="P",CD19,(CD19+AZ19)/2)</f>
        <v>8.9</v>
      </c>
      <c r="NQ19" s="61">
        <f>IF($CX19="P",CE19,(CE19+BA19)/2)</f>
        <v>4.75</v>
      </c>
      <c r="NR19" s="61">
        <f>IF($CX19="P",CF19,(CF19+BB19)/2)</f>
        <v>2</v>
      </c>
      <c r="NS19" s="61">
        <f>IF($CX19="P",CG19,(CG19+BC19)/2)</f>
        <v>8.0775000000000006</v>
      </c>
      <c r="NT19" s="61">
        <f>IF($CX19="P",CH19,(CH19+BD19)/2)</f>
        <v>0</v>
      </c>
      <c r="NU19" s="61">
        <f>IF($CX19="P",CI19,(CI19+BE19)/2)</f>
        <v>1.5</v>
      </c>
      <c r="NV19" s="61">
        <f>IF($CX19="P",CJ19,(CJ19+BF19)/2)</f>
        <v>0.85</v>
      </c>
      <c r="NW19" s="61">
        <f>IF($CX19="P",CK19,(CK19+BG19)/2)</f>
        <v>1.55</v>
      </c>
      <c r="NX19" s="61">
        <f>IF($CX19="P",CL19,(CL19+BH19)/2)</f>
        <v>1.68</v>
      </c>
      <c r="NY19" s="61">
        <f>IF($CX19="P",CM19,(CM19+BI19)/2)</f>
        <v>0</v>
      </c>
      <c r="NZ19" s="61">
        <f>IF($CX19="P",CN19,(CN19+BJ19)/2)</f>
        <v>0</v>
      </c>
      <c r="OA19" s="61">
        <f>IF($CX19="P",CO19,(CO19+BK19)/2)</f>
        <v>0</v>
      </c>
      <c r="OB19" s="61">
        <f>IF($CX19="P",CP19,(CP19+BL19)/2)</f>
        <v>0</v>
      </c>
      <c r="OC19" s="61">
        <f>IF($CX19="P",CQ19,(CQ19+BM19)/2)</f>
        <v>0</v>
      </c>
      <c r="OD19" s="61">
        <f>IF($CX19="P",CR19,(CR19+BN19)/2)</f>
        <v>0</v>
      </c>
      <c r="OE19" s="61">
        <f>IF($CX19="P",CS19,(CS19+BO19)/2)</f>
        <v>0</v>
      </c>
      <c r="OF19" s="61">
        <f>IF($CX19="P",CT19,(CT19+BP19)/2)</f>
        <v>0</v>
      </c>
      <c r="OG19" s="61">
        <f>IF($CX19="P",CU19,(CU19+BQ19)/2)</f>
        <v>0</v>
      </c>
      <c r="OH19" s="61">
        <f>IF($CX19="P",CV19,(CV19+BR19)/2)</f>
        <v>0</v>
      </c>
      <c r="OI19" s="61">
        <f>IF($CX19="P",CW19,(CW19+BS19)/2)</f>
        <v>0</v>
      </c>
      <c r="OJ19" s="72" t="s">
        <v>52</v>
      </c>
      <c r="OK19" s="11">
        <f>IF(SUM(NP19:NS19)-NT19&gt;0,SUM(NP19:NS19)-NT19,"")</f>
        <v>23.727499999999999</v>
      </c>
      <c r="OL19" s="11">
        <f>IF(NW19&gt;0,NW19,"")</f>
        <v>1.55</v>
      </c>
      <c r="OM19" s="11">
        <f>IF(SUM(NU19:NX19)-NY19&gt;0,SUM(NU19:NX19)-NY19,"")</f>
        <v>5.58</v>
      </c>
      <c r="ON19" s="11" t="str">
        <f>IF(OB19&gt;0,OB19,"")</f>
        <v/>
      </c>
      <c r="OO19" s="11" t="str">
        <f>IF(SUM(NZ19:OC19)-OD19&gt;0,SUM(NZ19:OC19)-OD19,"")</f>
        <v/>
      </c>
      <c r="OP19" s="11">
        <f>IF(OR(OK19&lt;&gt;"",OM19&lt;&gt;"",OO19&lt;&gt;""),OK19+MAX(OM19,OO19),"")</f>
        <v>29.307499999999997</v>
      </c>
      <c r="OQ19" s="11" t="str">
        <f>IF(OG19&gt;0,OG19,"")</f>
        <v/>
      </c>
      <c r="OR19" s="11" t="str">
        <f t="shared" ref="OR19" si="16">IF(SUM(OE19:OH19)-OI19&gt;0,SUM(OE19:OH19)-OI19,"")</f>
        <v/>
      </c>
      <c r="OS19" s="11">
        <f t="shared" ref="OS19" si="17">IF(SUM(OP19,OR19)&gt;0,SUM(OP19,OR19),"")</f>
        <v>29.307499999999997</v>
      </c>
    </row>
    <row r="20" spans="1:409" x14ac:dyDescent="0.2">
      <c r="B20" s="6"/>
      <c r="D20" s="1"/>
    </row>
    <row r="21" spans="1:409" x14ac:dyDescent="0.2">
      <c r="H21" s="115"/>
      <c r="J21" s="115"/>
    </row>
    <row r="22" spans="1:409" x14ac:dyDescent="0.2">
      <c r="B22" s="62" t="s">
        <v>50</v>
      </c>
      <c r="C22" s="49"/>
      <c r="H22" s="3"/>
      <c r="AR22" s="114"/>
      <c r="AS22" s="114"/>
      <c r="AT22" s="114"/>
      <c r="AW22" s="47"/>
      <c r="AY22" s="56">
        <v>13.5</v>
      </c>
      <c r="BV22" s="114"/>
      <c r="BW22" s="114"/>
      <c r="BX22" s="114"/>
      <c r="CA22" s="47"/>
      <c r="CC22" s="56">
        <v>13.5</v>
      </c>
      <c r="CZ22" s="114"/>
      <c r="DA22" s="114"/>
      <c r="DB22" s="114"/>
      <c r="DE22" s="47"/>
      <c r="DG22" s="56">
        <v>13.5</v>
      </c>
      <c r="EA22" s="49"/>
      <c r="EE22" s="47"/>
      <c r="EG22" s="56">
        <v>13.5</v>
      </c>
      <c r="EW22" s="49"/>
      <c r="FA22" s="47"/>
      <c r="FC22" s="56">
        <v>13.5</v>
      </c>
      <c r="FS22" s="49"/>
      <c r="FW22" s="47"/>
      <c r="FY22" s="56">
        <v>13.5</v>
      </c>
      <c r="GO22" s="49"/>
      <c r="GS22" s="47"/>
      <c r="GU22" s="56">
        <v>13.5</v>
      </c>
      <c r="HK22" s="49"/>
      <c r="HO22" s="47"/>
      <c r="HQ22" s="56">
        <v>13.5</v>
      </c>
      <c r="IG22" s="49"/>
      <c r="IK22" s="47"/>
      <c r="IM22" s="56">
        <v>13.5</v>
      </c>
      <c r="JC22" s="49"/>
      <c r="JG22" s="47"/>
      <c r="JI22" s="56">
        <v>13.5</v>
      </c>
      <c r="JY22" s="49"/>
      <c r="KC22" s="47"/>
      <c r="KE22" s="56">
        <v>13.5</v>
      </c>
      <c r="KU22" s="49"/>
      <c r="KY22" s="47"/>
      <c r="LA22" s="56">
        <v>13.5</v>
      </c>
      <c r="LQ22" s="49"/>
      <c r="LU22" s="47"/>
      <c r="LW22" s="56">
        <v>13.5</v>
      </c>
      <c r="MM22" s="49"/>
      <c r="MQ22" s="47"/>
      <c r="MS22" s="56">
        <v>13.5</v>
      </c>
      <c r="NI22" s="49"/>
      <c r="NM22" s="47"/>
      <c r="NO22" s="56">
        <v>13.5</v>
      </c>
    </row>
    <row r="23" spans="1:409" hidden="1" x14ac:dyDescent="0.2">
      <c r="B23" s="83" t="s">
        <v>49</v>
      </c>
      <c r="C23" s="49"/>
      <c r="AR23" s="114"/>
      <c r="AS23" s="114"/>
      <c r="AT23" s="114"/>
      <c r="AW23" s="47"/>
      <c r="AY23" s="98">
        <v>1000</v>
      </c>
      <c r="BV23" s="114"/>
      <c r="BW23" s="114"/>
      <c r="BX23" s="114"/>
      <c r="CA23" s="47"/>
      <c r="CC23" s="98">
        <v>1000</v>
      </c>
      <c r="CZ23" s="114"/>
      <c r="DA23" s="114"/>
      <c r="DB23" s="114"/>
      <c r="DE23" s="47"/>
      <c r="DG23" s="98">
        <v>1000</v>
      </c>
      <c r="EA23" s="49"/>
      <c r="EE23" s="47"/>
      <c r="EG23" s="98">
        <v>1000</v>
      </c>
      <c r="EW23" s="49"/>
      <c r="FA23" s="47"/>
      <c r="FC23" s="98">
        <v>1000</v>
      </c>
      <c r="FS23" s="49"/>
      <c r="FW23" s="47"/>
      <c r="FY23" s="98">
        <v>1000</v>
      </c>
      <c r="GO23" s="49"/>
      <c r="GS23" s="47"/>
      <c r="GU23" s="98">
        <v>1000</v>
      </c>
      <c r="HK23" s="49"/>
      <c r="HO23" s="47"/>
      <c r="HQ23" s="98">
        <v>1000</v>
      </c>
      <c r="IG23" s="49"/>
      <c r="IK23" s="47"/>
      <c r="IM23" s="98">
        <v>1000</v>
      </c>
      <c r="JC23" s="49"/>
      <c r="JG23" s="47"/>
      <c r="JI23" s="98">
        <v>1000</v>
      </c>
      <c r="JY23" s="49"/>
      <c r="KC23" s="47"/>
      <c r="KE23" s="98">
        <v>1000</v>
      </c>
      <c r="KU23" s="49"/>
      <c r="KY23" s="47"/>
      <c r="LA23" s="98">
        <v>1000</v>
      </c>
      <c r="LQ23" s="49"/>
      <c r="LU23" s="47"/>
      <c r="LW23" s="98">
        <v>1000</v>
      </c>
      <c r="MM23" s="49"/>
      <c r="MQ23" s="47"/>
      <c r="MS23" s="98">
        <v>1000</v>
      </c>
      <c r="NI23" s="49"/>
      <c r="NM23" s="47"/>
      <c r="NO23" s="98">
        <v>1000</v>
      </c>
    </row>
    <row r="24" spans="1:409" hidden="1" x14ac:dyDescent="0.2">
      <c r="A24" s="49"/>
      <c r="B24" s="84" t="s">
        <v>65</v>
      </c>
      <c r="C24" s="49"/>
      <c r="AR24" s="114"/>
      <c r="AS24" s="114"/>
      <c r="AT24" s="114"/>
      <c r="AV24" s="47"/>
      <c r="AW24" s="47"/>
      <c r="AX24" s="47"/>
      <c r="AY24" s="86">
        <v>1000</v>
      </c>
      <c r="BV24" s="114"/>
      <c r="BW24" s="114"/>
      <c r="BX24" s="114"/>
      <c r="CA24" s="47"/>
      <c r="CC24" s="86">
        <v>1000</v>
      </c>
      <c r="CZ24" s="114"/>
      <c r="DA24" s="114"/>
      <c r="DB24" s="114"/>
      <c r="DD24" s="47"/>
      <c r="DE24" s="47"/>
      <c r="DF24" s="47"/>
      <c r="DG24" s="86">
        <v>1000</v>
      </c>
      <c r="EA24" s="49"/>
      <c r="EE24" s="47"/>
      <c r="EG24" s="86">
        <v>1000</v>
      </c>
      <c r="EW24" s="49"/>
      <c r="FA24" s="47"/>
      <c r="FC24" s="86">
        <v>1000</v>
      </c>
      <c r="FS24" s="49"/>
      <c r="FW24" s="47"/>
      <c r="FY24" s="86">
        <v>1000</v>
      </c>
      <c r="GO24" s="49"/>
      <c r="GS24" s="47"/>
      <c r="GU24" s="86">
        <v>1000</v>
      </c>
      <c r="HK24" s="49"/>
      <c r="HO24" s="47"/>
      <c r="HQ24" s="86">
        <v>1000</v>
      </c>
      <c r="IG24" s="49"/>
      <c r="IK24" s="47"/>
      <c r="IM24" s="86">
        <v>1000</v>
      </c>
      <c r="JC24" s="49"/>
      <c r="JG24" s="47"/>
      <c r="JI24" s="86">
        <v>1000</v>
      </c>
      <c r="JY24" s="49"/>
      <c r="KC24" s="47"/>
      <c r="KE24" s="86">
        <v>1000</v>
      </c>
      <c r="KU24" s="49"/>
      <c r="KY24" s="47"/>
      <c r="LA24" s="86">
        <v>1000</v>
      </c>
      <c r="LQ24" s="49"/>
      <c r="LU24" s="47"/>
      <c r="LW24" s="86">
        <v>1000</v>
      </c>
      <c r="MM24" s="49"/>
      <c r="MQ24" s="47"/>
      <c r="MS24" s="86">
        <v>1000</v>
      </c>
      <c r="NI24" s="49"/>
      <c r="NM24" s="47"/>
      <c r="NO24" s="86">
        <v>1000</v>
      </c>
    </row>
    <row r="25" spans="1:409" hidden="1" x14ac:dyDescent="0.2">
      <c r="A25" s="49"/>
      <c r="B25" s="110" t="s">
        <v>77</v>
      </c>
      <c r="C25" s="49"/>
      <c r="AR25" s="114"/>
      <c r="AS25" s="114"/>
      <c r="AT25" s="114"/>
      <c r="AV25" s="47"/>
      <c r="AW25" s="47"/>
      <c r="AX25" s="47"/>
      <c r="AY25" s="111">
        <v>1000</v>
      </c>
      <c r="BV25" s="114"/>
      <c r="BW25" s="114"/>
      <c r="BX25" s="114"/>
      <c r="CA25" s="47"/>
      <c r="CC25" s="111">
        <v>1000</v>
      </c>
      <c r="CZ25" s="114"/>
      <c r="DA25" s="114"/>
      <c r="DB25" s="114"/>
      <c r="DD25" s="47"/>
      <c r="DE25" s="47"/>
      <c r="DF25" s="47"/>
      <c r="DG25" s="111">
        <v>1000</v>
      </c>
      <c r="EA25" s="49"/>
      <c r="EE25" s="47"/>
      <c r="EG25" s="111">
        <v>1000</v>
      </c>
      <c r="EW25" s="49"/>
      <c r="FA25" s="47"/>
      <c r="FC25" s="111">
        <v>1000</v>
      </c>
      <c r="FS25" s="49"/>
      <c r="FW25" s="47"/>
      <c r="FY25" s="111">
        <v>1000</v>
      </c>
      <c r="GO25" s="49"/>
      <c r="GS25" s="47"/>
      <c r="GU25" s="111">
        <v>1000</v>
      </c>
      <c r="HK25" s="49"/>
      <c r="HO25" s="47"/>
      <c r="HQ25" s="111">
        <v>1000</v>
      </c>
      <c r="IG25" s="49"/>
      <c r="IK25" s="47"/>
      <c r="IM25" s="111">
        <v>1000</v>
      </c>
      <c r="JC25" s="49"/>
      <c r="JG25" s="47"/>
      <c r="JI25" s="111">
        <v>1000</v>
      </c>
      <c r="JY25" s="49"/>
      <c r="KC25" s="47"/>
      <c r="KE25" s="111">
        <v>1000</v>
      </c>
      <c r="KU25" s="49"/>
      <c r="KY25" s="47"/>
      <c r="LA25" s="111">
        <v>1000</v>
      </c>
      <c r="LQ25" s="49"/>
      <c r="LU25" s="47"/>
      <c r="LW25" s="111">
        <v>1000</v>
      </c>
      <c r="MM25" s="49"/>
      <c r="MQ25" s="47"/>
      <c r="MS25" s="111">
        <v>1000</v>
      </c>
      <c r="NI25" s="49"/>
      <c r="NM25" s="47"/>
      <c r="NO25" s="111">
        <v>1000</v>
      </c>
    </row>
    <row r="26" spans="1:409" x14ac:dyDescent="0.2">
      <c r="A26" s="49"/>
      <c r="B26" s="108" t="s">
        <v>47</v>
      </c>
      <c r="C26" s="49"/>
      <c r="O26" s="2"/>
      <c r="AR26" s="114"/>
      <c r="AS26" s="114"/>
      <c r="AT26" s="114"/>
      <c r="AV26" s="47"/>
      <c r="AW26" s="47"/>
      <c r="AX26" s="47"/>
      <c r="AY26" s="109">
        <v>52.8</v>
      </c>
      <c r="BV26" s="114"/>
      <c r="BW26" s="114"/>
      <c r="BX26" s="114"/>
      <c r="CA26" s="47"/>
      <c r="CC26" s="109">
        <v>52.8</v>
      </c>
      <c r="CZ26" s="114"/>
      <c r="DA26" s="114"/>
      <c r="DB26" s="114"/>
      <c r="DD26" s="47"/>
      <c r="DE26" s="47"/>
      <c r="DF26" s="47"/>
      <c r="DG26" s="109">
        <v>52.8</v>
      </c>
      <c r="EA26" s="49"/>
      <c r="EE26" s="47"/>
      <c r="EG26" s="109">
        <v>52.8</v>
      </c>
      <c r="EW26" s="49"/>
      <c r="FA26" s="47"/>
      <c r="FC26" s="109">
        <v>52.8</v>
      </c>
      <c r="FS26" s="49"/>
      <c r="FW26" s="47"/>
      <c r="FY26" s="109">
        <v>52.8</v>
      </c>
      <c r="GO26" s="49"/>
      <c r="GS26" s="47"/>
      <c r="GU26" s="109">
        <v>52.8</v>
      </c>
      <c r="HK26" s="49"/>
      <c r="HO26" s="47"/>
      <c r="HQ26" s="109">
        <v>52.8</v>
      </c>
      <c r="IG26" s="49"/>
      <c r="IK26" s="47"/>
      <c r="IM26" s="109">
        <v>52.8</v>
      </c>
      <c r="JC26" s="49"/>
      <c r="JG26" s="47"/>
      <c r="JI26" s="109">
        <v>52.8</v>
      </c>
      <c r="JY26" s="49"/>
      <c r="KC26" s="47"/>
      <c r="KE26" s="109">
        <v>52.8</v>
      </c>
      <c r="KU26" s="49"/>
      <c r="KY26" s="47"/>
      <c r="LA26" s="109">
        <v>52.8</v>
      </c>
      <c r="LQ26" s="49"/>
      <c r="LU26" s="47"/>
      <c r="LW26" s="109">
        <v>52.8</v>
      </c>
      <c r="MM26" s="49"/>
      <c r="MQ26" s="47"/>
      <c r="MS26" s="109">
        <v>52.8</v>
      </c>
      <c r="NI26" s="49"/>
      <c r="NM26" s="47"/>
      <c r="NO26" s="109">
        <v>52.8</v>
      </c>
    </row>
    <row r="27" spans="1:409" hidden="1" x14ac:dyDescent="0.2">
      <c r="A27" s="49"/>
      <c r="B27" s="64" t="s">
        <v>48</v>
      </c>
      <c r="C27" s="49"/>
      <c r="O27" s="2"/>
      <c r="AR27" s="114"/>
      <c r="AS27" s="114"/>
      <c r="AT27" s="114"/>
      <c r="AV27" s="47"/>
      <c r="AW27" s="47"/>
      <c r="AX27" s="47"/>
      <c r="AY27" s="58">
        <v>1000</v>
      </c>
      <c r="BV27" s="114"/>
      <c r="BW27" s="114"/>
      <c r="BX27" s="114"/>
      <c r="CA27" s="47"/>
      <c r="CC27" s="58">
        <v>1000</v>
      </c>
      <c r="CZ27" s="114"/>
      <c r="DA27" s="114"/>
      <c r="DB27" s="114"/>
      <c r="DD27" s="47"/>
      <c r="DE27" s="47"/>
      <c r="DF27" s="47"/>
      <c r="DG27" s="58">
        <v>1000</v>
      </c>
      <c r="EA27" s="49"/>
      <c r="EE27" s="47"/>
      <c r="EG27" s="58">
        <v>1000</v>
      </c>
      <c r="EW27" s="49"/>
      <c r="FA27" s="47"/>
      <c r="FC27" s="58">
        <v>1000</v>
      </c>
      <c r="FS27" s="49"/>
      <c r="FW27" s="47"/>
      <c r="FY27" s="58">
        <v>1000</v>
      </c>
      <c r="GO27" s="49"/>
      <c r="GS27" s="47"/>
      <c r="GU27" s="58">
        <v>1000</v>
      </c>
      <c r="HK27" s="49"/>
      <c r="HO27" s="47"/>
      <c r="HQ27" s="58">
        <v>1000</v>
      </c>
      <c r="IG27" s="49"/>
      <c r="IK27" s="47"/>
      <c r="IM27" s="58">
        <v>1000</v>
      </c>
      <c r="JC27" s="49"/>
      <c r="JG27" s="47"/>
      <c r="JI27" s="58">
        <v>1000</v>
      </c>
      <c r="JY27" s="49"/>
      <c r="KC27" s="47"/>
      <c r="KE27" s="58">
        <v>1000</v>
      </c>
      <c r="KU27" s="49"/>
      <c r="KY27" s="47"/>
      <c r="LA27" s="58">
        <v>1000</v>
      </c>
      <c r="LQ27" s="49"/>
      <c r="LU27" s="47"/>
      <c r="LW27" s="58">
        <v>1000</v>
      </c>
      <c r="MM27" s="49"/>
      <c r="MQ27" s="47"/>
      <c r="MS27" s="58">
        <v>1000</v>
      </c>
      <c r="NI27" s="49"/>
      <c r="NM27" s="47"/>
      <c r="NO27" s="58">
        <v>1000</v>
      </c>
    </row>
    <row r="28" spans="1:409" hidden="1" x14ac:dyDescent="0.2">
      <c r="A28" s="49"/>
      <c r="B28" s="106" t="s">
        <v>60</v>
      </c>
      <c r="C28" s="49"/>
      <c r="AR28" s="114"/>
      <c r="AS28" s="114"/>
      <c r="AT28" s="114"/>
      <c r="AV28" s="47"/>
      <c r="AW28" s="47"/>
      <c r="AX28" s="47"/>
      <c r="AY28" s="107">
        <v>1000</v>
      </c>
      <c r="BV28" s="114"/>
      <c r="BW28" s="114"/>
      <c r="BX28" s="114"/>
      <c r="CA28" s="47"/>
      <c r="CB28" s="117"/>
      <c r="CC28" s="107">
        <v>1000</v>
      </c>
      <c r="CZ28" s="114"/>
      <c r="DA28" s="114"/>
      <c r="DB28" s="114"/>
      <c r="DD28" s="47"/>
      <c r="DE28" s="47"/>
      <c r="DF28" s="47"/>
      <c r="DG28" s="107">
        <v>1000</v>
      </c>
      <c r="EA28" s="49"/>
      <c r="EE28" s="47"/>
      <c r="EF28" s="117"/>
      <c r="EG28" s="107">
        <v>1000</v>
      </c>
      <c r="EW28" s="49"/>
      <c r="FA28" s="47"/>
      <c r="FC28" s="107">
        <v>1000</v>
      </c>
      <c r="FS28" s="49"/>
      <c r="FW28" s="47"/>
      <c r="FY28" s="107">
        <v>1000</v>
      </c>
      <c r="GO28" s="49"/>
      <c r="GS28" s="47"/>
      <c r="GT28" s="117"/>
      <c r="GU28" s="107">
        <v>1000</v>
      </c>
      <c r="HK28" s="49"/>
      <c r="HO28" s="47"/>
      <c r="HP28" s="117"/>
      <c r="HQ28" s="107">
        <v>1000</v>
      </c>
      <c r="IG28" s="49"/>
      <c r="IK28" s="47"/>
      <c r="IL28" s="117"/>
      <c r="IM28" s="107">
        <v>1000</v>
      </c>
      <c r="JC28" s="49"/>
      <c r="JG28" s="47"/>
      <c r="JI28" s="107">
        <v>1000</v>
      </c>
      <c r="JY28" s="49"/>
      <c r="KC28" s="47"/>
      <c r="KE28" s="107">
        <v>1000</v>
      </c>
      <c r="KU28" s="49"/>
      <c r="KY28" s="47"/>
      <c r="LA28" s="107">
        <v>1000</v>
      </c>
      <c r="LQ28" s="49"/>
      <c r="LU28" s="47"/>
      <c r="LW28" s="107">
        <v>1000</v>
      </c>
      <c r="MM28" s="49"/>
      <c r="MQ28" s="47"/>
      <c r="MS28" s="107">
        <v>1000</v>
      </c>
      <c r="NI28" s="49"/>
      <c r="NM28" s="47"/>
      <c r="NO28" s="107">
        <v>1000</v>
      </c>
    </row>
    <row r="29" spans="1:409" hidden="1" x14ac:dyDescent="0.2">
      <c r="A29" s="49"/>
      <c r="B29" s="66" t="s">
        <v>34</v>
      </c>
      <c r="C29" s="49"/>
      <c r="O29" s="2"/>
      <c r="AR29" s="114"/>
      <c r="AS29" s="114"/>
      <c r="AT29" s="114"/>
      <c r="AV29" s="47"/>
      <c r="AW29" s="47"/>
      <c r="AX29" s="47"/>
      <c r="AY29" s="60">
        <v>1000</v>
      </c>
      <c r="BV29" s="114"/>
      <c r="BW29" s="114"/>
      <c r="BX29" s="114"/>
      <c r="CA29" s="47"/>
      <c r="CC29" s="60">
        <v>1000</v>
      </c>
      <c r="CZ29" s="114"/>
      <c r="DA29" s="114"/>
      <c r="DB29" s="114"/>
      <c r="DD29" s="47"/>
      <c r="DE29" s="47"/>
      <c r="DF29" s="47"/>
      <c r="DG29" s="60">
        <v>1000</v>
      </c>
      <c r="EA29" s="49"/>
      <c r="EE29" s="47"/>
      <c r="EG29" s="60">
        <v>1000</v>
      </c>
      <c r="EW29" s="49"/>
      <c r="FA29" s="47"/>
      <c r="FC29" s="60">
        <v>1000</v>
      </c>
      <c r="FS29" s="49"/>
      <c r="FW29" s="47"/>
      <c r="FY29" s="60">
        <v>1000</v>
      </c>
      <c r="GO29" s="49"/>
      <c r="GS29" s="47"/>
      <c r="GU29" s="60">
        <v>1000</v>
      </c>
      <c r="HK29" s="49"/>
      <c r="HO29" s="47"/>
      <c r="HQ29" s="60">
        <v>1000</v>
      </c>
      <c r="IG29" s="49"/>
      <c r="IK29" s="47"/>
      <c r="IL29" s="117"/>
      <c r="IM29" s="60">
        <v>1000</v>
      </c>
      <c r="JC29" s="49"/>
      <c r="JG29" s="47"/>
      <c r="JI29" s="60">
        <v>1000</v>
      </c>
      <c r="JY29" s="49"/>
      <c r="KC29" s="47"/>
      <c r="KE29" s="60">
        <v>1000</v>
      </c>
      <c r="KU29" s="49"/>
      <c r="KY29" s="47"/>
      <c r="LA29" s="60">
        <v>1000</v>
      </c>
      <c r="LQ29" s="49"/>
      <c r="LU29" s="47"/>
      <c r="LW29" s="60">
        <v>1000</v>
      </c>
      <c r="MM29" s="49"/>
      <c r="MQ29" s="47"/>
      <c r="MS29" s="60">
        <v>1000</v>
      </c>
      <c r="NI29" s="49"/>
      <c r="NM29" s="47"/>
      <c r="NO29" s="60">
        <v>1000</v>
      </c>
    </row>
    <row r="30" spans="1:409" x14ac:dyDescent="0.2">
      <c r="B30" s="74" t="s">
        <v>53</v>
      </c>
      <c r="C30" s="2"/>
      <c r="AU30" s="47"/>
      <c r="AV30" s="47"/>
      <c r="AX30" s="47"/>
      <c r="DC30" s="47"/>
      <c r="DD30" s="47"/>
      <c r="DF30" s="47"/>
      <c r="EX30" s="47"/>
    </row>
    <row r="31" spans="1:409" x14ac:dyDescent="0.2">
      <c r="A31" s="49"/>
      <c r="B31" s="49"/>
      <c r="C31" s="48"/>
      <c r="AQ31" s="47"/>
      <c r="AR31" s="47"/>
      <c r="AS31" s="47"/>
      <c r="AT31" s="47"/>
      <c r="AU31" s="47"/>
      <c r="AV31" s="47"/>
      <c r="AX31" s="47"/>
      <c r="CY31" s="47"/>
      <c r="CZ31" s="47"/>
      <c r="DA31" s="47"/>
      <c r="DB31" s="47"/>
      <c r="DC31" s="47"/>
      <c r="DD31" s="47"/>
      <c r="DF31" s="47"/>
    </row>
    <row r="32" spans="1:409" ht="17" x14ac:dyDescent="0.2">
      <c r="A32" s="49"/>
      <c r="B32" s="49"/>
      <c r="C32" s="48"/>
      <c r="S32" s="18"/>
      <c r="T32" s="18"/>
      <c r="AQ32" s="47"/>
      <c r="AR32" s="47"/>
      <c r="AS32" s="47"/>
      <c r="AT32" s="47"/>
      <c r="AU32" s="47"/>
      <c r="AV32" s="47"/>
      <c r="AX32" s="47"/>
      <c r="CY32" s="47"/>
      <c r="CZ32" s="47"/>
      <c r="DA32" s="47"/>
      <c r="DB32" s="47"/>
      <c r="DC32" s="47"/>
      <c r="DD32" s="47"/>
      <c r="DF32" s="47"/>
    </row>
    <row r="33" spans="1:110" ht="17" x14ac:dyDescent="0.2">
      <c r="A33" s="49"/>
      <c r="B33" s="49"/>
      <c r="C33" s="48"/>
      <c r="S33" s="18"/>
      <c r="AQ33" s="47"/>
      <c r="AR33" s="47"/>
      <c r="AS33" s="47"/>
      <c r="AT33" s="47"/>
      <c r="AU33" s="47"/>
      <c r="AV33" s="47"/>
      <c r="AX33" s="47"/>
      <c r="CY33" s="47"/>
      <c r="CZ33" s="47"/>
      <c r="DA33" s="47"/>
      <c r="DB33" s="47"/>
      <c r="DC33" s="47"/>
      <c r="DD33" s="47"/>
      <c r="DF33" s="47"/>
    </row>
    <row r="34" spans="1:110" ht="17" x14ac:dyDescent="0.2">
      <c r="S34" s="18"/>
      <c r="T34" s="18"/>
      <c r="AQ34" s="47"/>
      <c r="AR34" s="47"/>
      <c r="AS34" s="47"/>
      <c r="AT34" s="47"/>
      <c r="AU34" s="47"/>
      <c r="AV34" s="47"/>
      <c r="AX34" s="47"/>
      <c r="CY34" s="47"/>
      <c r="CZ34" s="47"/>
      <c r="DA34" s="47"/>
      <c r="DB34" s="47"/>
      <c r="DC34" s="47"/>
      <c r="DD34" s="47"/>
      <c r="DF34" s="47"/>
    </row>
    <row r="35" spans="1:110" ht="17" x14ac:dyDescent="0.2">
      <c r="S35" s="18"/>
      <c r="T35" s="18"/>
      <c r="AQ35" s="47"/>
      <c r="AR35" s="47"/>
      <c r="AS35" s="47"/>
      <c r="AT35" s="47"/>
      <c r="AU35" s="47"/>
      <c r="AV35" s="47"/>
      <c r="AX35" s="47"/>
      <c r="CY35" s="47"/>
      <c r="CZ35" s="47"/>
      <c r="DA35" s="47"/>
      <c r="DB35" s="47"/>
      <c r="DC35" s="47"/>
      <c r="DD35" s="47"/>
      <c r="DF35" s="47"/>
    </row>
    <row r="36" spans="1:110" ht="17" x14ac:dyDescent="0.2">
      <c r="S36" s="18"/>
      <c r="T36" s="18"/>
      <c r="AQ36" s="47"/>
      <c r="AR36" s="47"/>
      <c r="AS36" s="47"/>
      <c r="AT36" s="47"/>
      <c r="AU36" s="47"/>
      <c r="AV36" s="47"/>
      <c r="AX36" s="47"/>
      <c r="CY36" s="47"/>
      <c r="CZ36" s="47"/>
      <c r="DA36" s="47"/>
      <c r="DB36" s="47"/>
      <c r="DC36" s="47"/>
      <c r="DD36" s="47"/>
      <c r="DF36" s="47"/>
    </row>
    <row r="37" spans="1:110" ht="17" x14ac:dyDescent="0.2">
      <c r="S37" s="18"/>
      <c r="T37" s="18"/>
      <c r="U37" s="18"/>
    </row>
    <row r="38" spans="1:110" ht="17" x14ac:dyDescent="0.2">
      <c r="S38" s="18"/>
      <c r="T38" s="18"/>
      <c r="U38" s="18"/>
    </row>
    <row r="39" spans="1:110" ht="17" x14ac:dyDescent="0.2">
      <c r="S39" s="18"/>
      <c r="T39" s="18"/>
      <c r="U39" s="18"/>
    </row>
    <row r="40" spans="1:110" ht="17" x14ac:dyDescent="0.2">
      <c r="S40" s="18"/>
      <c r="T40" s="18"/>
      <c r="U40" s="18"/>
    </row>
    <row r="41" spans="1:110" ht="17" x14ac:dyDescent="0.2">
      <c r="S41" s="18"/>
      <c r="T41" s="18"/>
      <c r="U41" s="18"/>
    </row>
    <row r="42" spans="1:110" ht="17" x14ac:dyDescent="0.2">
      <c r="S42" s="18"/>
      <c r="T42" s="18"/>
      <c r="U42" s="18"/>
    </row>
    <row r="43" spans="1:110" ht="17" x14ac:dyDescent="0.2">
      <c r="S43" s="18"/>
      <c r="T43" s="18"/>
      <c r="U43" s="18"/>
    </row>
    <row r="44" spans="1:110" ht="17" x14ac:dyDescent="0.2">
      <c r="S44" s="18"/>
      <c r="T44" s="18"/>
      <c r="U44" s="18"/>
    </row>
    <row r="45" spans="1:110" ht="17" x14ac:dyDescent="0.2">
      <c r="S45" s="18"/>
      <c r="T45" s="18"/>
      <c r="U45" s="18"/>
    </row>
    <row r="46" spans="1:110" ht="17" x14ac:dyDescent="0.2">
      <c r="S46" s="18"/>
      <c r="T46" s="18"/>
      <c r="U46" s="18"/>
    </row>
    <row r="47" spans="1:110" ht="17" x14ac:dyDescent="0.2">
      <c r="S47" s="18"/>
      <c r="T47" s="18"/>
      <c r="U47" s="18"/>
    </row>
    <row r="48" spans="1:110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</sheetData>
  <sheetProtection sheet="1" formatCells="0" formatColumns="0" formatRows="0"/>
  <autoFilter ref="A1:OQ11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19">
      <sortCondition descending="1" ref="F1:F20"/>
    </sortState>
  </autoFilter>
  <sortState xmlns:xlrd2="http://schemas.microsoft.com/office/spreadsheetml/2017/richdata2" ref="A1:P3">
    <sortCondition ref="A1"/>
  </sortState>
  <mergeCells count="90">
    <mergeCell ref="FZ2:GD2"/>
    <mergeCell ref="FN2:FR2"/>
    <mergeCell ref="FI2:FM2"/>
    <mergeCell ref="EM2:EQ2"/>
    <mergeCell ref="FD1:FY1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S1:S3"/>
    <mergeCell ref="U1:U3"/>
    <mergeCell ref="T1:T3"/>
    <mergeCell ref="V2:Z2"/>
    <mergeCell ref="AA2:AE2"/>
    <mergeCell ref="A1:A3"/>
    <mergeCell ref="B1:B3"/>
    <mergeCell ref="C1:C3"/>
    <mergeCell ref="E1:E3"/>
    <mergeCell ref="G1:G3"/>
    <mergeCell ref="D1:D3"/>
    <mergeCell ref="F1:F3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</mergeCells>
  <conditionalFormatting sqref="I1:I1048576">
    <cfRule type="containsText" dxfId="141" priority="5" operator="containsText" text="No DD">
      <formula>NOT(ISERROR(SEARCH("No DD",I1)))</formula>
    </cfRule>
    <cfRule type="containsText" dxfId="140" priority="6" operator="containsText" text="Merit">
      <formula>NOT(ISERROR(SEARCH("Merit",I1)))</formula>
    </cfRule>
    <cfRule type="containsText" dxfId="139" priority="7" operator="containsText" text="Excellence">
      <formula>NOT(ISERROR(SEARCH("Excellence",I1)))</formula>
    </cfRule>
    <cfRule type="containsText" dxfId="138" priority="8" operator="containsText" text="Worlds Team">
      <formula>NOT(ISERROR(SEARCH("Worlds Team",I1)))</formula>
    </cfRule>
    <cfRule type="containsText" dxfId="137" priority="9" operator="containsText" text="National Team">
      <formula>NOT(ISERROR(SEARCH("National Team",I1)))</formula>
    </cfRule>
  </conditionalFormatting>
  <conditionalFormatting sqref="V4:AY19">
    <cfRule type="expression" dxfId="136" priority="1" stopIfTrue="1">
      <formula>IF($AP4&lt;&gt;"",1,0)</formula>
    </cfRule>
  </conditionalFormatting>
  <conditionalFormatting sqref="AZ4:CC19">
    <cfRule type="expression" dxfId="135" priority="3" stopIfTrue="1">
      <formula>IF($BT4&lt;&gt;"",1,0)</formula>
    </cfRule>
  </conditionalFormatting>
  <conditionalFormatting sqref="N1:N1048576 L1:L1048576 P1:P1048576 R1:R1048576">
    <cfRule type="expression" dxfId="134" priority="10">
      <formula>IF(L1=$CD$1,1,0)</formula>
    </cfRule>
    <cfRule type="expression" dxfId="133" priority="11">
      <formula>IF(L1=$AZ$1,1,0)</formula>
    </cfRule>
    <cfRule type="expression" dxfId="132" priority="12">
      <formula>IF(L1=$V$1,1,0)</formula>
    </cfRule>
  </conditionalFormatting>
  <conditionalFormatting sqref="A1:A1048576">
    <cfRule type="expression" dxfId="131" priority="37339">
      <formula>AND(H1&lt;&gt;"",G1="")</formula>
    </cfRule>
  </conditionalFormatting>
  <conditionalFormatting sqref="CD4:DG19">
    <cfRule type="expression" dxfId="130" priority="4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29" priority="42769" operator="between">
      <formula>AY$26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28" priority="42814" operator="between">
      <formula>AY$26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27" priority="42859" operator="between">
      <formula>EG$25</formula>
      <formula>1000</formula>
    </cfRule>
    <cfRule type="cellIs" dxfId="126" priority="42860" operator="between">
      <formula>EG$24</formula>
      <formula>EG$25</formula>
    </cfRule>
    <cfRule type="cellIs" dxfId="125" priority="42861" operator="between">
      <formula>EG$23</formula>
      <formula>EG$24</formula>
    </cfRule>
    <cfRule type="cellIs" dxfId="124" priority="42862" operator="between">
      <formula>EG$22</formula>
      <formula>EG$23</formula>
    </cfRule>
  </conditionalFormatting>
  <conditionalFormatting sqref="AR1:AR1048576 BV1:BV1048576 CZ1:CZ1048576">
    <cfRule type="cellIs" dxfId="123" priority="43003" operator="between">
      <formula>AY$25</formula>
      <formula>1000</formula>
    </cfRule>
    <cfRule type="cellIs" dxfId="122" priority="43004" operator="between">
      <formula>AY$24</formula>
      <formula>AY$25</formula>
    </cfRule>
    <cfRule type="cellIs" dxfId="121" priority="43005" operator="between">
      <formula>AY$23</formula>
      <formula>AY$24</formula>
    </cfRule>
    <cfRule type="cellIs" dxfId="120" priority="43006" operator="between">
      <formula>AY$22</formula>
      <formula>AY$23</formula>
    </cfRule>
  </conditionalFormatting>
  <conditionalFormatting sqref="AS1:AS1048576 BW1:BW1048576 DA1:DA1048576">
    <cfRule type="cellIs" dxfId="119" priority="43039" operator="between">
      <formula>AY$26</formula>
      <formula>1000</formula>
    </cfRule>
  </conditionalFormatting>
  <conditionalFormatting sqref="AT1:AT1048576 BX1:BX1048576 DB1:DB1048576">
    <cfRule type="cellIs" dxfId="118" priority="43048" operator="between">
      <formula>AY$25</formula>
      <formula>1000</formula>
    </cfRule>
    <cfRule type="cellIs" dxfId="117" priority="43049" operator="between">
      <formula>AY$24</formula>
      <formula>AY$25</formula>
    </cfRule>
    <cfRule type="cellIs" dxfId="116" priority="43050" operator="between">
      <formula>AY$23</formula>
      <formula>AY$24</formula>
    </cfRule>
    <cfRule type="cellIs" dxfId="115" priority="43051" operator="between">
      <formula>AY$22</formula>
      <formula>AY$23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14" priority="43084" operator="between">
      <formula>AY$25</formula>
      <formula>1000</formula>
    </cfRule>
    <cfRule type="cellIs" dxfId="113" priority="43085" operator="between">
      <formula>AY$24</formula>
      <formula>AY$25</formula>
    </cfRule>
    <cfRule type="cellIs" dxfId="112" priority="43086" operator="between">
      <formula>AY$23</formula>
      <formula>AY$24</formula>
    </cfRule>
    <cfRule type="cellIs" dxfId="111" priority="43087" operator="between">
      <formula>AY$22</formula>
      <formula>AY$23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S5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130" width="10.83203125" hidden="1" customWidth="1"/>
    <col min="131" max="137" width="10.83203125" customWidth="1"/>
    <col min="138" max="409" width="10.83203125" hidden="1" customWidth="1"/>
  </cols>
  <sheetData>
    <row r="1" spans="1:409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23" t="s">
        <v>84</v>
      </c>
      <c r="G1" s="123" t="s">
        <v>82</v>
      </c>
      <c r="H1" s="123" t="s">
        <v>83</v>
      </c>
      <c r="I1" s="123" t="s">
        <v>9</v>
      </c>
      <c r="J1" s="123" t="s">
        <v>146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110</v>
      </c>
      <c r="P1" s="128" t="s">
        <v>32</v>
      </c>
      <c r="Q1" s="129" t="s">
        <v>111</v>
      </c>
      <c r="R1" s="128" t="s">
        <v>32</v>
      </c>
      <c r="S1" s="127" t="s">
        <v>13</v>
      </c>
      <c r="T1" s="128" t="s">
        <v>33</v>
      </c>
      <c r="U1" s="128" t="s">
        <v>32</v>
      </c>
      <c r="V1" s="124" t="s">
        <v>67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6" t="s">
        <v>70</v>
      </c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4" t="s">
        <v>76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30" t="s">
        <v>13</v>
      </c>
      <c r="DI1" s="130"/>
      <c r="DJ1" s="130"/>
      <c r="DK1" s="130"/>
      <c r="DL1" s="124" t="s">
        <v>72</v>
      </c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6"/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6"/>
      <c r="MU1" s="126"/>
      <c r="MV1" s="126"/>
      <c r="MW1" s="126"/>
      <c r="MX1" s="126"/>
      <c r="MY1" s="126"/>
      <c r="MZ1" s="126"/>
      <c r="NA1" s="126"/>
      <c r="NB1" s="126"/>
      <c r="NC1" s="126"/>
      <c r="ND1" s="126"/>
      <c r="NE1" s="126"/>
      <c r="NF1" s="126"/>
      <c r="NG1" s="126"/>
      <c r="NH1" s="126"/>
      <c r="NI1" s="126"/>
      <c r="NJ1" s="126"/>
      <c r="NK1" s="126"/>
      <c r="NL1" s="126"/>
      <c r="NM1" s="126"/>
      <c r="NN1" s="126"/>
      <c r="NO1" s="126"/>
      <c r="NP1" s="124" t="s">
        <v>66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8"/>
      <c r="L2" s="128"/>
      <c r="M2" s="128"/>
      <c r="N2" s="128"/>
      <c r="O2" s="129"/>
      <c r="P2" s="128"/>
      <c r="Q2" s="129"/>
      <c r="R2" s="128"/>
      <c r="S2" s="127"/>
      <c r="T2" s="128"/>
      <c r="U2" s="128"/>
      <c r="V2" s="122" t="s">
        <v>18</v>
      </c>
      <c r="W2" s="122"/>
      <c r="X2" s="122"/>
      <c r="Y2" s="122"/>
      <c r="Z2" s="122"/>
      <c r="AA2" s="122" t="s">
        <v>19</v>
      </c>
      <c r="AB2" s="122"/>
      <c r="AC2" s="122"/>
      <c r="AD2" s="122"/>
      <c r="AE2" s="122"/>
      <c r="AF2" s="122" t="s">
        <v>78</v>
      </c>
      <c r="AG2" s="122"/>
      <c r="AH2" s="122"/>
      <c r="AI2" s="122"/>
      <c r="AJ2" s="122"/>
      <c r="AK2" s="122" t="s">
        <v>22</v>
      </c>
      <c r="AL2" s="122"/>
      <c r="AM2" s="122"/>
      <c r="AN2" s="122"/>
      <c r="AO2" s="122"/>
      <c r="AP2" s="120"/>
      <c r="AQ2" s="9" t="s">
        <v>20</v>
      </c>
      <c r="AR2" s="9" t="s">
        <v>80</v>
      </c>
      <c r="AS2" s="9" t="s">
        <v>21</v>
      </c>
      <c r="AT2" s="9" t="s">
        <v>81</v>
      </c>
      <c r="AU2" s="9" t="s">
        <v>79</v>
      </c>
      <c r="AV2" s="9" t="s">
        <v>23</v>
      </c>
      <c r="AW2" s="9" t="s">
        <v>68</v>
      </c>
      <c r="AX2" s="9" t="s">
        <v>22</v>
      </c>
      <c r="AY2" s="9" t="s">
        <v>17</v>
      </c>
      <c r="AZ2" s="125" t="s">
        <v>18</v>
      </c>
      <c r="BA2" s="125"/>
      <c r="BB2" s="125"/>
      <c r="BC2" s="125"/>
      <c r="BD2" s="125"/>
      <c r="BE2" s="125" t="s">
        <v>19</v>
      </c>
      <c r="BF2" s="125"/>
      <c r="BG2" s="125"/>
      <c r="BH2" s="125"/>
      <c r="BI2" s="125"/>
      <c r="BJ2" s="125" t="s">
        <v>78</v>
      </c>
      <c r="BK2" s="125"/>
      <c r="BL2" s="125"/>
      <c r="BM2" s="125"/>
      <c r="BN2" s="125"/>
      <c r="BO2" s="125" t="s">
        <v>22</v>
      </c>
      <c r="BP2" s="125"/>
      <c r="BQ2" s="125"/>
      <c r="BR2" s="125"/>
      <c r="BS2" s="125"/>
      <c r="BT2" s="119"/>
      <c r="BU2" s="12" t="s">
        <v>20</v>
      </c>
      <c r="BV2" s="12" t="s">
        <v>80</v>
      </c>
      <c r="BW2" s="12" t="s">
        <v>21</v>
      </c>
      <c r="BX2" s="12" t="s">
        <v>81</v>
      </c>
      <c r="BY2" s="12" t="s">
        <v>79</v>
      </c>
      <c r="BZ2" s="12" t="s">
        <v>23</v>
      </c>
      <c r="CA2" s="12" t="s">
        <v>68</v>
      </c>
      <c r="CB2" s="12" t="s">
        <v>22</v>
      </c>
      <c r="CC2" s="12" t="s">
        <v>17</v>
      </c>
      <c r="CD2" s="122" t="s">
        <v>18</v>
      </c>
      <c r="CE2" s="122"/>
      <c r="CF2" s="122"/>
      <c r="CG2" s="122"/>
      <c r="CH2" s="122"/>
      <c r="CI2" s="122" t="s">
        <v>19</v>
      </c>
      <c r="CJ2" s="122"/>
      <c r="CK2" s="122"/>
      <c r="CL2" s="122"/>
      <c r="CM2" s="122"/>
      <c r="CN2" s="122" t="s">
        <v>78</v>
      </c>
      <c r="CO2" s="122"/>
      <c r="CP2" s="122"/>
      <c r="CQ2" s="122"/>
      <c r="CR2" s="122"/>
      <c r="CS2" s="122" t="s">
        <v>22</v>
      </c>
      <c r="CT2" s="122"/>
      <c r="CU2" s="122"/>
      <c r="CV2" s="122"/>
      <c r="CW2" s="122"/>
      <c r="CX2" s="120"/>
      <c r="CY2" s="9" t="s">
        <v>20</v>
      </c>
      <c r="CZ2" s="9" t="s">
        <v>80</v>
      </c>
      <c r="DA2" s="9" t="s">
        <v>21</v>
      </c>
      <c r="DB2" s="9" t="s">
        <v>81</v>
      </c>
      <c r="DC2" s="9" t="s">
        <v>79</v>
      </c>
      <c r="DD2" s="9" t="s">
        <v>23</v>
      </c>
      <c r="DE2" s="9" t="s">
        <v>68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2" t="s">
        <v>18</v>
      </c>
      <c r="DM2" s="122"/>
      <c r="DN2" s="122"/>
      <c r="DO2" s="122"/>
      <c r="DP2" s="122"/>
      <c r="DQ2" s="122" t="s">
        <v>19</v>
      </c>
      <c r="DR2" s="122"/>
      <c r="DS2" s="122"/>
      <c r="DT2" s="122"/>
      <c r="DU2" s="122"/>
      <c r="DV2" s="122" t="s">
        <v>22</v>
      </c>
      <c r="DW2" s="122"/>
      <c r="DX2" s="122"/>
      <c r="DY2" s="122"/>
      <c r="DZ2" s="122"/>
      <c r="EA2" s="120" t="s">
        <v>58</v>
      </c>
      <c r="EB2" s="9" t="s">
        <v>20</v>
      </c>
      <c r="EC2" s="9" t="s">
        <v>21</v>
      </c>
      <c r="ED2" s="9" t="s">
        <v>23</v>
      </c>
      <c r="EE2" s="9" t="s">
        <v>68</v>
      </c>
      <c r="EF2" s="9" t="s">
        <v>22</v>
      </c>
      <c r="EG2" s="9" t="s">
        <v>17</v>
      </c>
      <c r="EH2" s="125" t="s">
        <v>18</v>
      </c>
      <c r="EI2" s="125"/>
      <c r="EJ2" s="125"/>
      <c r="EK2" s="125"/>
      <c r="EL2" s="125"/>
      <c r="EM2" s="125" t="s">
        <v>19</v>
      </c>
      <c r="EN2" s="125"/>
      <c r="EO2" s="125"/>
      <c r="EP2" s="125"/>
      <c r="EQ2" s="125"/>
      <c r="ER2" s="125" t="s">
        <v>22</v>
      </c>
      <c r="ES2" s="125"/>
      <c r="ET2" s="125"/>
      <c r="EU2" s="125"/>
      <c r="EV2" s="125"/>
      <c r="EW2" s="119" t="s">
        <v>58</v>
      </c>
      <c r="EX2" s="12" t="s">
        <v>20</v>
      </c>
      <c r="EY2" s="12" t="s">
        <v>21</v>
      </c>
      <c r="EZ2" s="12" t="s">
        <v>23</v>
      </c>
      <c r="FA2" s="12" t="s">
        <v>68</v>
      </c>
      <c r="FB2" s="12" t="s">
        <v>22</v>
      </c>
      <c r="FC2" s="12" t="s">
        <v>17</v>
      </c>
      <c r="FD2" s="122" t="s">
        <v>18</v>
      </c>
      <c r="FE2" s="122"/>
      <c r="FF2" s="122"/>
      <c r="FG2" s="122"/>
      <c r="FH2" s="122"/>
      <c r="FI2" s="122" t="s">
        <v>19</v>
      </c>
      <c r="FJ2" s="122"/>
      <c r="FK2" s="122"/>
      <c r="FL2" s="122"/>
      <c r="FM2" s="122"/>
      <c r="FN2" s="122" t="s">
        <v>22</v>
      </c>
      <c r="FO2" s="122"/>
      <c r="FP2" s="122"/>
      <c r="FQ2" s="122"/>
      <c r="FR2" s="122"/>
      <c r="FS2" s="120" t="s">
        <v>58</v>
      </c>
      <c r="FT2" s="9" t="s">
        <v>20</v>
      </c>
      <c r="FU2" s="9" t="s">
        <v>21</v>
      </c>
      <c r="FV2" s="9" t="s">
        <v>23</v>
      </c>
      <c r="FW2" s="9" t="s">
        <v>68</v>
      </c>
      <c r="FX2" s="9" t="s">
        <v>22</v>
      </c>
      <c r="FY2" s="9" t="s">
        <v>17</v>
      </c>
      <c r="FZ2" s="125" t="s">
        <v>18</v>
      </c>
      <c r="GA2" s="125"/>
      <c r="GB2" s="125"/>
      <c r="GC2" s="125"/>
      <c r="GD2" s="125"/>
      <c r="GE2" s="125" t="s">
        <v>19</v>
      </c>
      <c r="GF2" s="125"/>
      <c r="GG2" s="125"/>
      <c r="GH2" s="125"/>
      <c r="GI2" s="125"/>
      <c r="GJ2" s="125" t="s">
        <v>22</v>
      </c>
      <c r="GK2" s="125"/>
      <c r="GL2" s="125"/>
      <c r="GM2" s="125"/>
      <c r="GN2" s="125"/>
      <c r="GO2" s="119" t="s">
        <v>58</v>
      </c>
      <c r="GP2" s="12" t="s">
        <v>20</v>
      </c>
      <c r="GQ2" s="12" t="s">
        <v>21</v>
      </c>
      <c r="GR2" s="12" t="s">
        <v>23</v>
      </c>
      <c r="GS2" s="12" t="s">
        <v>68</v>
      </c>
      <c r="GT2" s="12" t="s">
        <v>22</v>
      </c>
      <c r="GU2" s="12" t="s">
        <v>17</v>
      </c>
      <c r="GV2" s="122" t="s">
        <v>18</v>
      </c>
      <c r="GW2" s="122"/>
      <c r="GX2" s="122"/>
      <c r="GY2" s="122"/>
      <c r="GZ2" s="122"/>
      <c r="HA2" s="122" t="s">
        <v>19</v>
      </c>
      <c r="HB2" s="122"/>
      <c r="HC2" s="122"/>
      <c r="HD2" s="122"/>
      <c r="HE2" s="122"/>
      <c r="HF2" s="122" t="s">
        <v>22</v>
      </c>
      <c r="HG2" s="122"/>
      <c r="HH2" s="122"/>
      <c r="HI2" s="122"/>
      <c r="HJ2" s="122"/>
      <c r="HK2" s="120" t="s">
        <v>58</v>
      </c>
      <c r="HL2" s="9" t="s">
        <v>20</v>
      </c>
      <c r="HM2" s="9" t="s">
        <v>21</v>
      </c>
      <c r="HN2" s="9" t="s">
        <v>23</v>
      </c>
      <c r="HO2" s="9" t="s">
        <v>68</v>
      </c>
      <c r="HP2" s="9" t="s">
        <v>22</v>
      </c>
      <c r="HQ2" s="9" t="s">
        <v>17</v>
      </c>
      <c r="HR2" s="125" t="s">
        <v>18</v>
      </c>
      <c r="HS2" s="125"/>
      <c r="HT2" s="125"/>
      <c r="HU2" s="125"/>
      <c r="HV2" s="125"/>
      <c r="HW2" s="125" t="s">
        <v>19</v>
      </c>
      <c r="HX2" s="125"/>
      <c r="HY2" s="125"/>
      <c r="HZ2" s="125"/>
      <c r="IA2" s="125"/>
      <c r="IB2" s="125" t="s">
        <v>22</v>
      </c>
      <c r="IC2" s="125"/>
      <c r="ID2" s="125"/>
      <c r="IE2" s="125"/>
      <c r="IF2" s="125"/>
      <c r="IG2" s="119" t="s">
        <v>58</v>
      </c>
      <c r="IH2" s="12" t="s">
        <v>20</v>
      </c>
      <c r="II2" s="12" t="s">
        <v>21</v>
      </c>
      <c r="IJ2" s="12" t="s">
        <v>23</v>
      </c>
      <c r="IK2" s="12" t="s">
        <v>68</v>
      </c>
      <c r="IL2" s="12" t="s">
        <v>22</v>
      </c>
      <c r="IM2" s="12" t="s">
        <v>17</v>
      </c>
      <c r="IN2" s="122" t="s">
        <v>18</v>
      </c>
      <c r="IO2" s="122"/>
      <c r="IP2" s="122"/>
      <c r="IQ2" s="122"/>
      <c r="IR2" s="122"/>
      <c r="IS2" s="122" t="s">
        <v>19</v>
      </c>
      <c r="IT2" s="122"/>
      <c r="IU2" s="122"/>
      <c r="IV2" s="122"/>
      <c r="IW2" s="122"/>
      <c r="IX2" s="122" t="s">
        <v>22</v>
      </c>
      <c r="IY2" s="122"/>
      <c r="IZ2" s="122"/>
      <c r="JA2" s="122"/>
      <c r="JB2" s="122"/>
      <c r="JC2" s="120" t="s">
        <v>58</v>
      </c>
      <c r="JD2" s="9" t="s">
        <v>20</v>
      </c>
      <c r="JE2" s="9" t="s">
        <v>21</v>
      </c>
      <c r="JF2" s="9" t="s">
        <v>23</v>
      </c>
      <c r="JG2" s="9" t="s">
        <v>68</v>
      </c>
      <c r="JH2" s="9" t="s">
        <v>22</v>
      </c>
      <c r="JI2" s="9" t="s">
        <v>17</v>
      </c>
      <c r="JJ2" s="125" t="s">
        <v>18</v>
      </c>
      <c r="JK2" s="125"/>
      <c r="JL2" s="125"/>
      <c r="JM2" s="125"/>
      <c r="JN2" s="125"/>
      <c r="JO2" s="125" t="s">
        <v>19</v>
      </c>
      <c r="JP2" s="125"/>
      <c r="JQ2" s="125"/>
      <c r="JR2" s="125"/>
      <c r="JS2" s="125"/>
      <c r="JT2" s="125" t="s">
        <v>22</v>
      </c>
      <c r="JU2" s="125"/>
      <c r="JV2" s="125"/>
      <c r="JW2" s="125"/>
      <c r="JX2" s="125"/>
      <c r="JY2" s="119" t="s">
        <v>58</v>
      </c>
      <c r="JZ2" s="12" t="s">
        <v>20</v>
      </c>
      <c r="KA2" s="12" t="s">
        <v>21</v>
      </c>
      <c r="KB2" s="12" t="s">
        <v>23</v>
      </c>
      <c r="KC2" s="12" t="s">
        <v>68</v>
      </c>
      <c r="KD2" s="12" t="s">
        <v>22</v>
      </c>
      <c r="KE2" s="12" t="s">
        <v>17</v>
      </c>
      <c r="KF2" s="122" t="s">
        <v>18</v>
      </c>
      <c r="KG2" s="122"/>
      <c r="KH2" s="122"/>
      <c r="KI2" s="122"/>
      <c r="KJ2" s="122"/>
      <c r="KK2" s="122" t="s">
        <v>19</v>
      </c>
      <c r="KL2" s="122"/>
      <c r="KM2" s="122"/>
      <c r="KN2" s="122"/>
      <c r="KO2" s="122"/>
      <c r="KP2" s="122" t="s">
        <v>22</v>
      </c>
      <c r="KQ2" s="122"/>
      <c r="KR2" s="122"/>
      <c r="KS2" s="122"/>
      <c r="KT2" s="122"/>
      <c r="KU2" s="120" t="s">
        <v>58</v>
      </c>
      <c r="KV2" s="9" t="s">
        <v>20</v>
      </c>
      <c r="KW2" s="9" t="s">
        <v>21</v>
      </c>
      <c r="KX2" s="9" t="s">
        <v>23</v>
      </c>
      <c r="KY2" s="9" t="s">
        <v>68</v>
      </c>
      <c r="KZ2" s="9" t="s">
        <v>22</v>
      </c>
      <c r="LA2" s="9" t="s">
        <v>17</v>
      </c>
      <c r="LB2" s="125" t="s">
        <v>18</v>
      </c>
      <c r="LC2" s="125"/>
      <c r="LD2" s="125"/>
      <c r="LE2" s="125"/>
      <c r="LF2" s="125"/>
      <c r="LG2" s="125" t="s">
        <v>19</v>
      </c>
      <c r="LH2" s="125"/>
      <c r="LI2" s="125"/>
      <c r="LJ2" s="125"/>
      <c r="LK2" s="125"/>
      <c r="LL2" s="125" t="s">
        <v>22</v>
      </c>
      <c r="LM2" s="125"/>
      <c r="LN2" s="125"/>
      <c r="LO2" s="125"/>
      <c r="LP2" s="125"/>
      <c r="LQ2" s="119" t="s">
        <v>58</v>
      </c>
      <c r="LR2" s="12" t="s">
        <v>20</v>
      </c>
      <c r="LS2" s="12" t="s">
        <v>21</v>
      </c>
      <c r="LT2" s="12" t="s">
        <v>23</v>
      </c>
      <c r="LU2" s="12" t="s">
        <v>68</v>
      </c>
      <c r="LV2" s="12" t="s">
        <v>22</v>
      </c>
      <c r="LW2" s="12" t="s">
        <v>17</v>
      </c>
      <c r="LX2" s="122" t="s">
        <v>18</v>
      </c>
      <c r="LY2" s="122"/>
      <c r="LZ2" s="122"/>
      <c r="MA2" s="122"/>
      <c r="MB2" s="122"/>
      <c r="MC2" s="122" t="s">
        <v>19</v>
      </c>
      <c r="MD2" s="122"/>
      <c r="ME2" s="122"/>
      <c r="MF2" s="122"/>
      <c r="MG2" s="122"/>
      <c r="MH2" s="122" t="s">
        <v>22</v>
      </c>
      <c r="MI2" s="122"/>
      <c r="MJ2" s="122"/>
      <c r="MK2" s="122"/>
      <c r="ML2" s="122"/>
      <c r="MM2" s="120" t="s">
        <v>58</v>
      </c>
      <c r="MN2" s="9" t="s">
        <v>20</v>
      </c>
      <c r="MO2" s="9" t="s">
        <v>21</v>
      </c>
      <c r="MP2" s="9" t="s">
        <v>23</v>
      </c>
      <c r="MQ2" s="9" t="s">
        <v>68</v>
      </c>
      <c r="MR2" s="9" t="s">
        <v>22</v>
      </c>
      <c r="MS2" s="9" t="s">
        <v>17</v>
      </c>
      <c r="MT2" s="125" t="s">
        <v>18</v>
      </c>
      <c r="MU2" s="125"/>
      <c r="MV2" s="125"/>
      <c r="MW2" s="125"/>
      <c r="MX2" s="125"/>
      <c r="MY2" s="125" t="s">
        <v>19</v>
      </c>
      <c r="MZ2" s="125"/>
      <c r="NA2" s="125"/>
      <c r="NB2" s="125"/>
      <c r="NC2" s="125"/>
      <c r="ND2" s="125" t="s">
        <v>22</v>
      </c>
      <c r="NE2" s="125"/>
      <c r="NF2" s="125"/>
      <c r="NG2" s="125"/>
      <c r="NH2" s="125"/>
      <c r="NI2" s="119" t="s">
        <v>58</v>
      </c>
      <c r="NJ2" s="12" t="s">
        <v>20</v>
      </c>
      <c r="NK2" s="12" t="s">
        <v>21</v>
      </c>
      <c r="NL2" s="12" t="s">
        <v>23</v>
      </c>
      <c r="NM2" s="12" t="s">
        <v>68</v>
      </c>
      <c r="NN2" s="12" t="s">
        <v>22</v>
      </c>
      <c r="NO2" s="12" t="s">
        <v>17</v>
      </c>
      <c r="NP2" s="122" t="s">
        <v>18</v>
      </c>
      <c r="NQ2" s="122"/>
      <c r="NR2" s="122"/>
      <c r="NS2" s="122"/>
      <c r="NT2" s="122"/>
      <c r="NU2" s="122" t="s">
        <v>19</v>
      </c>
      <c r="NV2" s="122"/>
      <c r="NW2" s="122"/>
      <c r="NX2" s="122"/>
      <c r="NY2" s="122"/>
      <c r="NZ2" s="122" t="s">
        <v>78</v>
      </c>
      <c r="OA2" s="122"/>
      <c r="OB2" s="122"/>
      <c r="OC2" s="122"/>
      <c r="OD2" s="122"/>
      <c r="OE2" s="122" t="s">
        <v>22</v>
      </c>
      <c r="OF2" s="122"/>
      <c r="OG2" s="122"/>
      <c r="OH2" s="122"/>
      <c r="OI2" s="122"/>
      <c r="OJ2" s="120"/>
      <c r="OK2" s="9" t="s">
        <v>20</v>
      </c>
      <c r="OL2" s="9" t="s">
        <v>80</v>
      </c>
      <c r="OM2" s="9" t="s">
        <v>21</v>
      </c>
      <c r="ON2" s="9" t="s">
        <v>81</v>
      </c>
      <c r="OO2" s="9" t="s">
        <v>79</v>
      </c>
      <c r="OP2" s="9" t="s">
        <v>23</v>
      </c>
      <c r="OQ2" s="9" t="s">
        <v>68</v>
      </c>
      <c r="OR2" s="9" t="s">
        <v>22</v>
      </c>
      <c r="OS2" s="9" t="s">
        <v>17</v>
      </c>
    </row>
    <row r="3" spans="1:409" x14ac:dyDescent="0.2">
      <c r="A3" s="123"/>
      <c r="B3" s="123"/>
      <c r="C3" s="123"/>
      <c r="D3" s="123"/>
      <c r="E3" s="123"/>
      <c r="F3" s="123"/>
      <c r="G3" s="123"/>
      <c r="H3" s="123"/>
      <c r="I3" s="123"/>
      <c r="J3" s="123"/>
      <c r="K3" s="128"/>
      <c r="L3" s="128"/>
      <c r="M3" s="128"/>
      <c r="N3" s="128"/>
      <c r="O3" s="129"/>
      <c r="P3" s="128"/>
      <c r="Q3" s="129"/>
      <c r="R3" s="128"/>
      <c r="S3" s="127"/>
      <c r="T3" s="128"/>
      <c r="U3" s="128"/>
      <c r="V3" s="120" t="s">
        <v>14</v>
      </c>
      <c r="W3" s="120" t="s">
        <v>15</v>
      </c>
      <c r="X3" s="120" t="s">
        <v>7</v>
      </c>
      <c r="Y3" s="120" t="s">
        <v>16</v>
      </c>
      <c r="Z3" s="120" t="s">
        <v>27</v>
      </c>
      <c r="AA3" s="120" t="s">
        <v>14</v>
      </c>
      <c r="AB3" s="120" t="s">
        <v>15</v>
      </c>
      <c r="AC3" s="120" t="s">
        <v>7</v>
      </c>
      <c r="AD3" s="120" t="s">
        <v>16</v>
      </c>
      <c r="AE3" s="120" t="s">
        <v>27</v>
      </c>
      <c r="AF3" s="120" t="s">
        <v>14</v>
      </c>
      <c r="AG3" s="120" t="s">
        <v>15</v>
      </c>
      <c r="AH3" s="120" t="s">
        <v>7</v>
      </c>
      <c r="AI3" s="120" t="s">
        <v>16</v>
      </c>
      <c r="AJ3" s="120" t="s">
        <v>27</v>
      </c>
      <c r="AK3" s="120" t="s">
        <v>14</v>
      </c>
      <c r="AL3" s="120" t="s">
        <v>15</v>
      </c>
      <c r="AM3" s="120" t="s">
        <v>7</v>
      </c>
      <c r="AN3" s="120" t="s">
        <v>16</v>
      </c>
      <c r="AO3" s="120" t="s">
        <v>27</v>
      </c>
      <c r="AP3" s="120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119" t="s">
        <v>14</v>
      </c>
      <c r="BA3" s="119" t="s">
        <v>15</v>
      </c>
      <c r="BB3" s="119" t="s">
        <v>7</v>
      </c>
      <c r="BC3" s="119" t="s">
        <v>16</v>
      </c>
      <c r="BD3" s="119" t="s">
        <v>27</v>
      </c>
      <c r="BE3" s="119" t="s">
        <v>14</v>
      </c>
      <c r="BF3" s="119" t="s">
        <v>15</v>
      </c>
      <c r="BG3" s="119" t="s">
        <v>7</v>
      </c>
      <c r="BH3" s="119" t="s">
        <v>16</v>
      </c>
      <c r="BI3" s="119" t="s">
        <v>27</v>
      </c>
      <c r="BJ3" s="119" t="s">
        <v>14</v>
      </c>
      <c r="BK3" s="119" t="s">
        <v>15</v>
      </c>
      <c r="BL3" s="119" t="s">
        <v>7</v>
      </c>
      <c r="BM3" s="119" t="s">
        <v>16</v>
      </c>
      <c r="BN3" s="119" t="s">
        <v>27</v>
      </c>
      <c r="BO3" s="119" t="s">
        <v>14</v>
      </c>
      <c r="BP3" s="119" t="s">
        <v>15</v>
      </c>
      <c r="BQ3" s="119" t="s">
        <v>7</v>
      </c>
      <c r="BR3" s="119" t="s">
        <v>16</v>
      </c>
      <c r="BS3" s="119" t="s">
        <v>27</v>
      </c>
      <c r="BT3" s="119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20" t="s">
        <v>14</v>
      </c>
      <c r="CE3" s="120" t="s">
        <v>15</v>
      </c>
      <c r="CF3" s="120" t="s">
        <v>7</v>
      </c>
      <c r="CG3" s="120" t="s">
        <v>16</v>
      </c>
      <c r="CH3" s="120" t="s">
        <v>27</v>
      </c>
      <c r="CI3" s="120" t="s">
        <v>14</v>
      </c>
      <c r="CJ3" s="120" t="s">
        <v>15</v>
      </c>
      <c r="CK3" s="120" t="s">
        <v>7</v>
      </c>
      <c r="CL3" s="120" t="s">
        <v>16</v>
      </c>
      <c r="CM3" s="120" t="s">
        <v>27</v>
      </c>
      <c r="CN3" s="120" t="s">
        <v>14</v>
      </c>
      <c r="CO3" s="120" t="s">
        <v>15</v>
      </c>
      <c r="CP3" s="120" t="s">
        <v>7</v>
      </c>
      <c r="CQ3" s="120" t="s">
        <v>16</v>
      </c>
      <c r="CR3" s="120" t="s">
        <v>27</v>
      </c>
      <c r="CS3" s="120" t="s">
        <v>14</v>
      </c>
      <c r="CT3" s="120" t="s">
        <v>15</v>
      </c>
      <c r="CU3" s="120" t="s">
        <v>7</v>
      </c>
      <c r="CV3" s="120" t="s">
        <v>16</v>
      </c>
      <c r="CW3" s="120" t="s">
        <v>27</v>
      </c>
      <c r="CX3" s="120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120" t="s">
        <v>14</v>
      </c>
      <c r="DM3" s="120" t="s">
        <v>15</v>
      </c>
      <c r="DN3" s="120" t="s">
        <v>7</v>
      </c>
      <c r="DO3" s="120" t="s">
        <v>16</v>
      </c>
      <c r="DP3" s="120" t="s">
        <v>27</v>
      </c>
      <c r="DQ3" s="120" t="s">
        <v>14</v>
      </c>
      <c r="DR3" s="120" t="s">
        <v>15</v>
      </c>
      <c r="DS3" s="120" t="s">
        <v>7</v>
      </c>
      <c r="DT3" s="120" t="s">
        <v>16</v>
      </c>
      <c r="DU3" s="120" t="s">
        <v>27</v>
      </c>
      <c r="DV3" s="120" t="s">
        <v>14</v>
      </c>
      <c r="DW3" s="120" t="s">
        <v>15</v>
      </c>
      <c r="DX3" s="120" t="s">
        <v>7</v>
      </c>
      <c r="DY3" s="120" t="s">
        <v>16</v>
      </c>
      <c r="DZ3" s="120" t="s">
        <v>27</v>
      </c>
      <c r="EA3" s="10"/>
      <c r="EB3" s="9"/>
      <c r="EC3" s="9"/>
      <c r="ED3" s="9"/>
      <c r="EE3" s="9"/>
      <c r="EF3" s="10"/>
      <c r="EG3" s="10"/>
      <c r="EH3" s="119" t="s">
        <v>14</v>
      </c>
      <c r="EI3" s="119" t="s">
        <v>15</v>
      </c>
      <c r="EJ3" s="119" t="s">
        <v>7</v>
      </c>
      <c r="EK3" s="119" t="s">
        <v>16</v>
      </c>
      <c r="EL3" s="119" t="s">
        <v>27</v>
      </c>
      <c r="EM3" s="119" t="s">
        <v>14</v>
      </c>
      <c r="EN3" s="119" t="s">
        <v>15</v>
      </c>
      <c r="EO3" s="119" t="s">
        <v>7</v>
      </c>
      <c r="EP3" s="119" t="s">
        <v>16</v>
      </c>
      <c r="EQ3" s="119" t="s">
        <v>27</v>
      </c>
      <c r="ER3" s="119" t="s">
        <v>14</v>
      </c>
      <c r="ES3" s="119" t="s">
        <v>15</v>
      </c>
      <c r="ET3" s="119" t="s">
        <v>7</v>
      </c>
      <c r="EU3" s="119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120" t="s">
        <v>14</v>
      </c>
      <c r="FE3" s="120" t="s">
        <v>15</v>
      </c>
      <c r="FF3" s="120" t="s">
        <v>7</v>
      </c>
      <c r="FG3" s="120" t="s">
        <v>16</v>
      </c>
      <c r="FH3" s="120" t="s">
        <v>27</v>
      </c>
      <c r="FI3" s="120" t="s">
        <v>14</v>
      </c>
      <c r="FJ3" s="120" t="s">
        <v>15</v>
      </c>
      <c r="FK3" s="120" t="s">
        <v>7</v>
      </c>
      <c r="FL3" s="120" t="s">
        <v>16</v>
      </c>
      <c r="FM3" s="120" t="s">
        <v>27</v>
      </c>
      <c r="FN3" s="120" t="s">
        <v>14</v>
      </c>
      <c r="FO3" s="120" t="s">
        <v>15</v>
      </c>
      <c r="FP3" s="120" t="s">
        <v>7</v>
      </c>
      <c r="FQ3" s="120" t="s">
        <v>16</v>
      </c>
      <c r="FR3" s="120" t="s">
        <v>27</v>
      </c>
      <c r="FS3" s="10"/>
      <c r="FT3" s="9"/>
      <c r="FU3" s="9"/>
      <c r="FV3" s="9"/>
      <c r="FW3" s="9"/>
      <c r="FX3" s="10"/>
      <c r="FY3" s="10"/>
      <c r="FZ3" s="119" t="s">
        <v>14</v>
      </c>
      <c r="GA3" s="119" t="s">
        <v>15</v>
      </c>
      <c r="GB3" s="119" t="s">
        <v>7</v>
      </c>
      <c r="GC3" s="119" t="s">
        <v>16</v>
      </c>
      <c r="GD3" s="119" t="s">
        <v>27</v>
      </c>
      <c r="GE3" s="119" t="s">
        <v>14</v>
      </c>
      <c r="GF3" s="119" t="s">
        <v>15</v>
      </c>
      <c r="GG3" s="119" t="s">
        <v>7</v>
      </c>
      <c r="GH3" s="119" t="s">
        <v>16</v>
      </c>
      <c r="GI3" s="119" t="s">
        <v>27</v>
      </c>
      <c r="GJ3" s="119" t="s">
        <v>14</v>
      </c>
      <c r="GK3" s="119" t="s">
        <v>15</v>
      </c>
      <c r="GL3" s="119" t="s">
        <v>7</v>
      </c>
      <c r="GM3" s="119" t="s">
        <v>16</v>
      </c>
      <c r="GN3" s="119" t="s">
        <v>27</v>
      </c>
      <c r="GO3" s="13"/>
      <c r="GP3" s="12"/>
      <c r="GQ3" s="12"/>
      <c r="GR3" s="12"/>
      <c r="GS3" s="12"/>
      <c r="GT3" s="13"/>
      <c r="GU3" s="13"/>
      <c r="GV3" s="120" t="s">
        <v>14</v>
      </c>
      <c r="GW3" s="120" t="s">
        <v>15</v>
      </c>
      <c r="GX3" s="120" t="s">
        <v>7</v>
      </c>
      <c r="GY3" s="120" t="s">
        <v>16</v>
      </c>
      <c r="GZ3" s="120" t="s">
        <v>27</v>
      </c>
      <c r="HA3" s="120" t="s">
        <v>14</v>
      </c>
      <c r="HB3" s="120" t="s">
        <v>15</v>
      </c>
      <c r="HC3" s="120" t="s">
        <v>7</v>
      </c>
      <c r="HD3" s="120" t="s">
        <v>16</v>
      </c>
      <c r="HE3" s="120" t="s">
        <v>27</v>
      </c>
      <c r="HF3" s="120" t="s">
        <v>14</v>
      </c>
      <c r="HG3" s="120" t="s">
        <v>15</v>
      </c>
      <c r="HH3" s="120" t="s">
        <v>7</v>
      </c>
      <c r="HI3" s="120" t="s">
        <v>16</v>
      </c>
      <c r="HJ3" s="120" t="s">
        <v>27</v>
      </c>
      <c r="HK3" s="10"/>
      <c r="HL3" s="9"/>
      <c r="HM3" s="9"/>
      <c r="HN3" s="9"/>
      <c r="HO3" s="9"/>
      <c r="HP3" s="10"/>
      <c r="HQ3" s="10"/>
      <c r="HR3" s="119" t="s">
        <v>14</v>
      </c>
      <c r="HS3" s="119" t="s">
        <v>15</v>
      </c>
      <c r="HT3" s="119" t="s">
        <v>7</v>
      </c>
      <c r="HU3" s="119" t="s">
        <v>16</v>
      </c>
      <c r="HV3" s="119" t="s">
        <v>27</v>
      </c>
      <c r="HW3" s="119" t="s">
        <v>14</v>
      </c>
      <c r="HX3" s="119" t="s">
        <v>15</v>
      </c>
      <c r="HY3" s="119" t="s">
        <v>7</v>
      </c>
      <c r="HZ3" s="119" t="s">
        <v>16</v>
      </c>
      <c r="IA3" s="119" t="s">
        <v>27</v>
      </c>
      <c r="IB3" s="119" t="s">
        <v>14</v>
      </c>
      <c r="IC3" s="119" t="s">
        <v>15</v>
      </c>
      <c r="ID3" s="119" t="s">
        <v>7</v>
      </c>
      <c r="IE3" s="119" t="s">
        <v>16</v>
      </c>
      <c r="IF3" s="119" t="s">
        <v>27</v>
      </c>
      <c r="IG3" s="13"/>
      <c r="IH3" s="12"/>
      <c r="II3" s="12"/>
      <c r="IJ3" s="12"/>
      <c r="IK3" s="12"/>
      <c r="IL3" s="13"/>
      <c r="IM3" s="13"/>
      <c r="IN3" s="120" t="s">
        <v>14</v>
      </c>
      <c r="IO3" s="120" t="s">
        <v>15</v>
      </c>
      <c r="IP3" s="120" t="s">
        <v>7</v>
      </c>
      <c r="IQ3" s="120" t="s">
        <v>16</v>
      </c>
      <c r="IR3" s="120" t="s">
        <v>27</v>
      </c>
      <c r="IS3" s="120" t="s">
        <v>14</v>
      </c>
      <c r="IT3" s="120" t="s">
        <v>15</v>
      </c>
      <c r="IU3" s="120" t="s">
        <v>7</v>
      </c>
      <c r="IV3" s="120" t="s">
        <v>16</v>
      </c>
      <c r="IW3" s="120" t="s">
        <v>27</v>
      </c>
      <c r="IX3" s="120" t="s">
        <v>14</v>
      </c>
      <c r="IY3" s="120" t="s">
        <v>15</v>
      </c>
      <c r="IZ3" s="120" t="s">
        <v>7</v>
      </c>
      <c r="JA3" s="120" t="s">
        <v>16</v>
      </c>
      <c r="JB3" s="120" t="s">
        <v>27</v>
      </c>
      <c r="JC3" s="10"/>
      <c r="JD3" s="9"/>
      <c r="JE3" s="9"/>
      <c r="JF3" s="9"/>
      <c r="JG3" s="9"/>
      <c r="JH3" s="10"/>
      <c r="JI3" s="10"/>
      <c r="JJ3" s="119" t="s">
        <v>14</v>
      </c>
      <c r="JK3" s="119" t="s">
        <v>15</v>
      </c>
      <c r="JL3" s="119" t="s">
        <v>7</v>
      </c>
      <c r="JM3" s="119" t="s">
        <v>16</v>
      </c>
      <c r="JN3" s="119" t="s">
        <v>27</v>
      </c>
      <c r="JO3" s="119" t="s">
        <v>14</v>
      </c>
      <c r="JP3" s="119" t="s">
        <v>15</v>
      </c>
      <c r="JQ3" s="119" t="s">
        <v>7</v>
      </c>
      <c r="JR3" s="119" t="s">
        <v>16</v>
      </c>
      <c r="JS3" s="119" t="s">
        <v>27</v>
      </c>
      <c r="JT3" s="119" t="s">
        <v>14</v>
      </c>
      <c r="JU3" s="119" t="s">
        <v>15</v>
      </c>
      <c r="JV3" s="119" t="s">
        <v>7</v>
      </c>
      <c r="JW3" s="119" t="s">
        <v>16</v>
      </c>
      <c r="JX3" s="119" t="s">
        <v>27</v>
      </c>
      <c r="JY3" s="13"/>
      <c r="JZ3" s="12"/>
      <c r="KA3" s="12"/>
      <c r="KB3" s="12"/>
      <c r="KC3" s="12"/>
      <c r="KD3" s="13"/>
      <c r="KE3" s="13"/>
      <c r="KF3" s="120" t="s">
        <v>14</v>
      </c>
      <c r="KG3" s="120" t="s">
        <v>15</v>
      </c>
      <c r="KH3" s="120" t="s">
        <v>7</v>
      </c>
      <c r="KI3" s="120" t="s">
        <v>16</v>
      </c>
      <c r="KJ3" s="120" t="s">
        <v>27</v>
      </c>
      <c r="KK3" s="120" t="s">
        <v>14</v>
      </c>
      <c r="KL3" s="120" t="s">
        <v>15</v>
      </c>
      <c r="KM3" s="120" t="s">
        <v>7</v>
      </c>
      <c r="KN3" s="120" t="s">
        <v>16</v>
      </c>
      <c r="KO3" s="120" t="s">
        <v>27</v>
      </c>
      <c r="KP3" s="120" t="s">
        <v>14</v>
      </c>
      <c r="KQ3" s="120" t="s">
        <v>15</v>
      </c>
      <c r="KR3" s="120" t="s">
        <v>7</v>
      </c>
      <c r="KS3" s="120" t="s">
        <v>16</v>
      </c>
      <c r="KT3" s="120" t="s">
        <v>27</v>
      </c>
      <c r="KU3" s="10"/>
      <c r="KV3" s="9"/>
      <c r="KW3" s="9"/>
      <c r="KX3" s="9"/>
      <c r="KY3" s="9"/>
      <c r="KZ3" s="10"/>
      <c r="LA3" s="10"/>
      <c r="LB3" s="119" t="s">
        <v>14</v>
      </c>
      <c r="LC3" s="119" t="s">
        <v>15</v>
      </c>
      <c r="LD3" s="119" t="s">
        <v>7</v>
      </c>
      <c r="LE3" s="119" t="s">
        <v>16</v>
      </c>
      <c r="LF3" s="119" t="s">
        <v>27</v>
      </c>
      <c r="LG3" s="119" t="s">
        <v>14</v>
      </c>
      <c r="LH3" s="119" t="s">
        <v>15</v>
      </c>
      <c r="LI3" s="119" t="s">
        <v>7</v>
      </c>
      <c r="LJ3" s="119" t="s">
        <v>16</v>
      </c>
      <c r="LK3" s="119" t="s">
        <v>27</v>
      </c>
      <c r="LL3" s="119" t="s">
        <v>14</v>
      </c>
      <c r="LM3" s="119" t="s">
        <v>15</v>
      </c>
      <c r="LN3" s="119" t="s">
        <v>7</v>
      </c>
      <c r="LO3" s="119" t="s">
        <v>16</v>
      </c>
      <c r="LP3" s="119" t="s">
        <v>27</v>
      </c>
      <c r="LQ3" s="13"/>
      <c r="LR3" s="12"/>
      <c r="LS3" s="12"/>
      <c r="LT3" s="12"/>
      <c r="LU3" s="12"/>
      <c r="LV3" s="13"/>
      <c r="LW3" s="13"/>
      <c r="LX3" s="120" t="s">
        <v>14</v>
      </c>
      <c r="LY3" s="120" t="s">
        <v>15</v>
      </c>
      <c r="LZ3" s="120" t="s">
        <v>7</v>
      </c>
      <c r="MA3" s="120" t="s">
        <v>16</v>
      </c>
      <c r="MB3" s="120" t="s">
        <v>27</v>
      </c>
      <c r="MC3" s="120" t="s">
        <v>14</v>
      </c>
      <c r="MD3" s="120" t="s">
        <v>15</v>
      </c>
      <c r="ME3" s="120" t="s">
        <v>7</v>
      </c>
      <c r="MF3" s="120" t="s">
        <v>16</v>
      </c>
      <c r="MG3" s="120" t="s">
        <v>27</v>
      </c>
      <c r="MH3" s="120" t="s">
        <v>14</v>
      </c>
      <c r="MI3" s="120" t="s">
        <v>15</v>
      </c>
      <c r="MJ3" s="120" t="s">
        <v>7</v>
      </c>
      <c r="MK3" s="120" t="s">
        <v>16</v>
      </c>
      <c r="ML3" s="120" t="s">
        <v>27</v>
      </c>
      <c r="MM3" s="10"/>
      <c r="MN3" s="9"/>
      <c r="MO3" s="9"/>
      <c r="MP3" s="9"/>
      <c r="MQ3" s="9"/>
      <c r="MR3" s="10"/>
      <c r="MS3" s="10"/>
      <c r="MT3" s="119" t="s">
        <v>14</v>
      </c>
      <c r="MU3" s="119" t="s">
        <v>15</v>
      </c>
      <c r="MV3" s="119" t="s">
        <v>7</v>
      </c>
      <c r="MW3" s="119" t="s">
        <v>16</v>
      </c>
      <c r="MX3" s="119" t="s">
        <v>27</v>
      </c>
      <c r="MY3" s="119" t="s">
        <v>14</v>
      </c>
      <c r="MZ3" s="119" t="s">
        <v>15</v>
      </c>
      <c r="NA3" s="119" t="s">
        <v>7</v>
      </c>
      <c r="NB3" s="119" t="s">
        <v>16</v>
      </c>
      <c r="NC3" s="119" t="s">
        <v>27</v>
      </c>
      <c r="ND3" s="119" t="s">
        <v>14</v>
      </c>
      <c r="NE3" s="119" t="s">
        <v>15</v>
      </c>
      <c r="NF3" s="119" t="s">
        <v>7</v>
      </c>
      <c r="NG3" s="119" t="s">
        <v>16</v>
      </c>
      <c r="NH3" s="119" t="s">
        <v>27</v>
      </c>
      <c r="NI3" s="13"/>
      <c r="NJ3" s="12"/>
      <c r="NK3" s="12"/>
      <c r="NL3" s="12"/>
      <c r="NM3" s="12"/>
      <c r="NN3" s="13"/>
      <c r="NO3" s="13"/>
      <c r="NP3" s="120" t="s">
        <v>14</v>
      </c>
      <c r="NQ3" s="120" t="s">
        <v>15</v>
      </c>
      <c r="NR3" s="120" t="s">
        <v>7</v>
      </c>
      <c r="NS3" s="120" t="s">
        <v>16</v>
      </c>
      <c r="NT3" s="120" t="s">
        <v>27</v>
      </c>
      <c r="NU3" s="120" t="s">
        <v>14</v>
      </c>
      <c r="NV3" s="120" t="s">
        <v>15</v>
      </c>
      <c r="NW3" s="120" t="s">
        <v>7</v>
      </c>
      <c r="NX3" s="120" t="s">
        <v>16</v>
      </c>
      <c r="NY3" s="120" t="s">
        <v>27</v>
      </c>
      <c r="NZ3" s="120" t="s">
        <v>14</v>
      </c>
      <c r="OA3" s="120" t="s">
        <v>15</v>
      </c>
      <c r="OB3" s="120" t="s">
        <v>7</v>
      </c>
      <c r="OC3" s="120" t="s">
        <v>16</v>
      </c>
      <c r="OD3" s="120" t="s">
        <v>27</v>
      </c>
      <c r="OE3" s="120" t="s">
        <v>14</v>
      </c>
      <c r="OF3" s="120" t="s">
        <v>15</v>
      </c>
      <c r="OG3" s="120" t="s">
        <v>7</v>
      </c>
      <c r="OH3" s="120" t="s">
        <v>16</v>
      </c>
      <c r="OI3" s="120" t="s">
        <v>27</v>
      </c>
      <c r="OJ3" s="120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IF(AND(G4&lt;&gt;"",H4&lt;&gt;""),SUMPRODUCT((G$4:G$20&lt;&gt;"")*(H$4:H$20&lt;&gt;"")*(E$4:E$20&gt;E4))+1,IF(H4&lt;&gt;"",SUMPRODUCT((I$4:I$20="No DD")*(E$4:E$20&gt;E4))+1+SUMPRODUCT((G$4:G$20&lt;&gt;"")*(H$4:H$20&lt;&gt;"")),""))</f>
        <v>1</v>
      </c>
      <c r="B4" s="8" t="s">
        <v>115</v>
      </c>
      <c r="C4" s="4" t="s">
        <v>6</v>
      </c>
      <c r="D4" s="26">
        <v>2000</v>
      </c>
      <c r="E4" s="15">
        <f>SUM(O4:S4)</f>
        <v>103.35</v>
      </c>
      <c r="F4" s="3" t="str">
        <f>IF(G4&lt;&gt;"","P","")</f>
        <v>P</v>
      </c>
      <c r="G4" s="115" t="str">
        <f>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Merit",IF(OR(AND(AR4&gt;=AY$24,AR4&lt;&gt;"",AP4=""),AND(AT4&gt;=AY$24,AT4&lt;&gt;"",AP4=""),AND(AW4&gt;=AY$24,AW4&lt;&gt;"",AP4=""),AND(BV4&gt;=CC$24,BV4&lt;&gt;"",BT4=""),AND(BX4&gt;=CC$24,BX4&lt;&gt;"",BT4=""),AND(CA4&gt;=CC$24,CA4&lt;&gt;"",BT4=""),AND(CZ4&gt;=DG$24,CZ4&lt;&gt;"",CX4=""),AND(DB4&gt;=DG$24,DB4&lt;&gt;"",CX4=""),AND(DE4&gt;=DG$24,DE4&lt;&gt;"",CX4=""),AND(EA4&gt;=EG$24,EA4&lt;&gt;""),AND(EE4&gt;=EG$24,EE4&lt;&gt;""),AND(EW4&gt;=FC$24,EW4&lt;&gt;""),AND(FA4&gt;=FC$24,FA4&lt;&gt;""),AND(FS4&gt;=FY$24,FS4&lt;&gt;""),AND(FW4&gt;=FY$24,FW4&lt;&gt;""),AND(GO4&gt;=GU$24,GO4&lt;&gt;""),AND(GS4&gt;=GU$24,GS4&lt;&gt;""),AND(HK4&gt;=HQ$24,HK4&lt;&gt;""),AND(HO4&gt;=HQ$24,HO4&lt;&gt;""),AND(IG4&gt;=IM$24,IG4&lt;&gt;""),AND(IK4&gt;=IM$24,IK4&lt;&gt;""),AND(JC4&gt;=JI$24,JC4&lt;&gt;""),AND(JG4&gt;=JI$24,JG4&lt;&gt;""),AND(JY4&gt;=KE$24,JY4&lt;&gt;""),AND(KC4&gt;=KE$24,KC4&lt;&gt;""),AND(KU4&gt;=LA$24,KU4&lt;&gt;""),AND(KY4&gt;=LA$24,KY4&lt;&gt;""),AND(LQ4&gt;=LW$24,LQ4&lt;&gt;""),AND(LU4&gt;=LW$24,LU4&lt;&gt;""),AND(MM4&gt;=MS$24,MM4&lt;&gt;""),AND(MQ4&gt;=MS$24,MQ4&lt;&gt;""),AND(NI4&gt;=NO$24,NI4&lt;&gt;""),AND(NM4&gt;=NO$24,NM4&lt;&gt;"")),"Excellence",IF(OR(AND(AR4&gt;=AY$23,AR4&lt;&gt;"",AP4=""),AND(AT4&gt;=AY$23,AT4&lt;&gt;"",AP4=""),AND(AW4&gt;=AY$23,AW4&lt;&gt;"",AP4=""),AND(BV4&gt;=CC$23,BV4&lt;&gt;"",BT4=""),AND(BX4&gt;=CC$23,BX4&lt;&gt;"",BT4=""),AND(CA4&gt;=CC$23,CA4&lt;&gt;"",BT4=""),AND(CZ4&gt;=DG$23,CZ4&lt;&gt;"",CX4=""),AND(DB4&gt;=DG$23,DB4&lt;&gt;"",CX4=""),AND(DE4&gt;=DG$23,DE4&lt;&gt;"",CX4=""),AND(EA4&gt;=EG$23,EA4&lt;&gt;""),AND(EE4&gt;=EG$23,EE4&lt;&gt;""),AND(EW4&gt;=FC$23,EW4&lt;&gt;""),AND(FA4&gt;=FC$23,FA4&lt;&gt;""),AND(FS4&gt;=FY$23,FS4&lt;&gt;""),AND(FW4&gt;=FY$23,FW4&lt;&gt;""),AND(GO4&gt;=GU$23,GO4&lt;&gt;""),AND(GS4&gt;=GU$23,GS4&lt;&gt;""),AND(HK4&gt;=HQ$23,HK4&lt;&gt;""),AND(HO4&gt;=HQ$23,HO4&lt;&gt;""),AND(IG4&gt;=IM$23,IG4&lt;&gt;""),AND(IK4&gt;=IM$23,IK4&lt;&gt;""),AND(JC4&gt;=JI$23,JC4&lt;&gt;""),AND(JG4&gt;=JI$23,JG4&lt;&gt;""),AND(JY4&gt;=KE$23,JY4&lt;&gt;""),AND(KC4&gt;=KE$23,KC4&lt;&gt;""),AND(KU4&gt;=LA$23,KU4&lt;&gt;""),AND(KY4&gt;=LA$23,KY4&lt;&gt;""),AND(LQ4&gt;=LW$23,LQ4&lt;&gt;""),AND(LU4&gt;=LW$23,LU4&lt;&gt;""),AND(MM4&gt;=MS$23,MM4&lt;&gt;""),AND(MQ4&gt;=MS$23,MQ4&lt;&gt;""),AND(NI4&gt;=NO$23,NI4&lt;&gt;""),AND(NM4&gt;=NO$23,NM4&lt;&gt;"")),"Worlds Team",IF(OR(AND(AR4&gt;=AY$22,AR4&lt;&gt;"",AP4=""),AND(AT4&gt;=AY$22,AT4&lt;&gt;"",AP4=""),AND(AW4&gt;=AY$22,AW4&lt;&gt;"",AP4=""),AND(BV4&gt;=CC$22,BV4&lt;&gt;"",BT4=""),AND(BX4&gt;=CC$22,BX4&lt;&gt;"",BT4=""),AND(CA4&gt;=CC$22,CA4&lt;&gt;"",BT4=""),AND(CZ4&gt;=DG$22,CZ4&lt;&gt;"",CX4=""),AND(DB4&gt;=DG$22,DB4&lt;&gt;"",CX4=""),AND(DE4&gt;=DG$22,DE4&lt;&gt;"",CX4=""),AND(EA4&gt;=EG$22,EA4&lt;&gt;""),AND(EE4&gt;=EG$22,EE4&lt;&gt;""),AND(EW4&gt;=FC$22,EW4&lt;&gt;""),AND(FA4&gt;=FC$22,FA4&lt;&gt;""),AND(FS4&gt;=FY$22,FS4&lt;&gt;""),AND(FW4&gt;=FY$22,FW4&lt;&gt;""),AND(GO4&gt;=GU$22,GO4&lt;&gt;""),AND(GS4&gt;=GU$22,GS4&lt;&gt;""),AND(HK4&gt;=HQ$22,HK4&lt;&gt;""),AND(HO4&gt;=HQ$22,HO4&lt;&gt;""),AND(IG4&gt;=IM$22,IG4&lt;&gt;""),AND(IK4&gt;=IM$22,IK4&lt;&gt;""),AND(JC4&gt;=JI$22,JC4&lt;&gt;""),AND(JG4&gt;=JI$22,JG4&lt;&gt;""),AND(JY4&gt;=KE$22,JY4&lt;&gt;""),AND(KC4&gt;=KE$22,KC4&lt;&gt;""),AND(KU4&gt;=LA$22,KU4&lt;&gt;""),AND(KY4&gt;=LA$22,KY4&lt;&gt;""),AND(LQ4&gt;=LW$22,LQ4&lt;&gt;""),AND(LU4&gt;=LW$22,LU4&lt;&gt;""),AND(MM4&gt;=MS$22,MM4&lt;&gt;""),AND(MQ4&gt;=MS$22,MQ4&lt;&gt;""),AND(NI4&gt;=NO$22,NI4&lt;&gt;""),AND(NM4&gt;=NO$22,NM4&lt;&gt;"")),"National Team",""))))</f>
        <v>National Team</v>
      </c>
      <c r="H4" s="115" t="str">
        <f>IF(OR(AND(AS4&gt;=AY$26,AS4&lt;&gt;"",AP4=""),AND(AU4&gt;=AY$26,AU4&lt;&gt;"",AP4=""),AND(AX4&gt;=AY$26,AX4&lt;&gt;"",AP4=""),AND(BW4&gt;=CC$26,BW4&lt;&gt;"",BT4=""),AND(BY4&gt;=CC$26,BY4&lt;&gt;"",BT4=""),AND(CB4&gt;=CC$26,CB4&lt;&gt;"",BT4=""),AND(DA4&gt;=DG$26,DA4&lt;&gt;"",CX4=""),AND(DC4&gt;=DG$26,DC4&lt;&gt;"",CX4=""),AND(DF4&gt;=DG$26,DF4&lt;&gt;"",CX4=""),AND(EC4&gt;=EG$26,EC4&lt;&gt;""),AND(EF4&gt;=EG$26,EF4&lt;&gt;""),AND(EY4&gt;=FC$26,EY4&lt;&gt;""),AND(FB4&gt;=FC$26,FB4&lt;&gt;""),AND(FU4&gt;=FY$26,FU4&lt;&gt;""),AND(FX4&gt;=FY$26,FX4&lt;&gt;""),AND(GQ4&gt;=GU$26,GQ4&lt;&gt;""),AND(GT4&gt;=GU$26,GT4&lt;&gt;""),AND(HM4&gt;=HQ$26,HM4&lt;&gt;""),AND(HP4&gt;=HQ$26,HP4&lt;&gt;""),AND(II4&gt;=IM$26,II4&lt;&gt;""),AND(IL4&gt;=IM$26,IL4&lt;&gt;""),AND(JE4&gt;=JI$26,JE4&lt;&gt;""),AND(JH4&gt;=JI$26,JH4&lt;&gt;""),AND(KA4&gt;=KE$26,KA4&lt;&gt;""),AND(KD4&gt;=KE$26,KD4&lt;&gt;""),AND(KW4&gt;=LA$26,KW4&lt;&gt;""),AND(KZ4&gt;=LA$26,KZ4&lt;&gt;""),AND(LS4&gt;=LW$26,LS4&lt;&gt;""),AND(LV4&gt;=LW$26,LV4&lt;&gt;""),AND(MO4&gt;=MS$26,MO4&lt;&gt;""),AND(MR4&gt;=MS$26,MR4&lt;&gt;""),AND(NK4&gt;=NO$26,NK4&lt;&gt;""),AND(NN4&gt;=NO$26,NN4&lt;&gt;"")),"National Team","")</f>
        <v>National Team</v>
      </c>
      <c r="I4" s="11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V4&gt;=AY$27,AV4&lt;&gt;"",AP4=""),AND(BZ4&gt;=CC$27,BZ4&lt;&gt;"",BT4=""),AND(DD4&gt;=DG$27,DD4&lt;&gt;"",CX4=""),AND(ED4&gt;=EG$27,ED4&lt;&gt;""),AND(EZ4&gt;=FC$27,EZ4&lt;&gt;""),AND(FV4&gt;=FY$27,FV4&lt;&gt;""),AND(GR4&gt;=GU$27,GR4&lt;&gt;""),AND(HN4&gt;=HQ$27,HN4&lt;&gt;""),AND(IJ4&gt;=IM$27,IJ4&lt;&gt;""),AND(JF4&gt;=JI$27,JF4&lt;&gt;""),AND(KB4&gt;=KE$27,KB4&lt;&gt;""),AND(KX4&gt;=LA$27,KX4&lt;&gt;""),AND(LT4&gt;=LW$27,LT4&lt;&gt;""),AND(MP4&gt;=MS$27,MP4&lt;&gt;""),AND(NL4&gt;=NO$27,NL4&lt;&gt;"")),OR(G4="Worlds Team",G4="Excellence",G4="Merit")),"P","")</f>
        <v/>
      </c>
      <c r="K4" s="14">
        <f>IF(MAX(AV4,BZ4,DD4)&gt;0,MAX(AV4,BZ4,DD4),0)</f>
        <v>98.289999999999992</v>
      </c>
      <c r="L4" s="14" t="str">
        <f>IF(K4=0,"",IF(K4=DD4,$CD$1,IF(K4=BZ4,$AZ$1,IF(K4=AV4,$V$1,""))))</f>
        <v>2021 1st Virtual Technical Trial</v>
      </c>
      <c r="M4" s="14">
        <f>IF($K4=$AV4,MAX(BU4,CY4),IF($K4=$BZ4,MAX(AQ4,CY4),IF($K4=$DD4,MAX(AQ4,BU4),MAX(AQ4,BU4,CY4))))</f>
        <v>46.244999999999997</v>
      </c>
      <c r="N4" s="14" t="str">
        <f>IF(M4=0,"",IF(AND(M4=CY4,$L4&lt;&gt;$CD$1),$CD$1,IF(AND(M4=BU4,$L4&lt;&gt;$AZ$1),$AZ$1,IF(AND(M4=AQ4,$L4&lt;&gt;$V$1),$V$1,""))))</f>
        <v>2019 Elite Canada</v>
      </c>
      <c r="O4" s="14">
        <f>MAX(AS4,AU4,AX4,BW4,BY4,CB4,DA4,DC4,DF4)</f>
        <v>51.81</v>
      </c>
      <c r="P4" s="14" t="str">
        <f>IF(O4=0,"",IF(OR(O4=DC4,O4=DA4,O4=DF4),$CD$1,IF(OR(O4=BY4,O4=BW4,O4=CB4),$AZ$1,IF(OR(O4=AU4,O4=AS4,O4=AX4),$V$1,""))))</f>
        <v>2021 1st Virtual Technical Trial</v>
      </c>
      <c r="Q4" s="14">
        <f>IF(COUNT(AS4,AU4,AX4,BW4,BY4,CB4,DA4,DC4,DF4)&gt;1,LARGE((AS4,AU4,AX4,BW4,BY4,CB4,DA4,DC4,DF4),2),0)</f>
        <v>51.54</v>
      </c>
      <c r="R4" s="14" t="str">
        <f>IF(Q4=0,"",IF(OR(Q4=DC4,Q4=DA4,Q4=DF4),$CD$1,IF(OR(Q4=BY4,Q4=BW4,Q4=CB4),$AZ$1,IF(OR(Q4=AU4,Q4=AS4,Q4=AX4),$V$1,""))))</f>
        <v>2021 1st Virtual Technical Trial</v>
      </c>
      <c r="S4" s="14" t="str">
        <f>IF(MAX(DI4,DK4)&gt;0,MAX(DI4,DK4),"")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17.8</v>
      </c>
      <c r="W4" s="61">
        <v>9.75</v>
      </c>
      <c r="X4" s="61">
        <v>3.4</v>
      </c>
      <c r="Y4" s="61">
        <v>15.295</v>
      </c>
      <c r="Z4" s="61">
        <v>0</v>
      </c>
      <c r="AA4" s="61">
        <v>13.4</v>
      </c>
      <c r="AB4" s="61">
        <v>8.9499999999999993</v>
      </c>
      <c r="AC4" s="61">
        <v>10</v>
      </c>
      <c r="AD4" s="61">
        <v>14.275</v>
      </c>
      <c r="AE4" s="61">
        <v>1.2</v>
      </c>
      <c r="AF4" s="61"/>
      <c r="AG4" s="61"/>
      <c r="AH4" s="61"/>
      <c r="AI4" s="61"/>
      <c r="AJ4" s="61"/>
      <c r="AK4" s="61">
        <v>14.7</v>
      </c>
      <c r="AL4" s="61">
        <v>9.1</v>
      </c>
      <c r="AM4" s="61">
        <v>10.7</v>
      </c>
      <c r="AN4" s="61">
        <v>14.585000000000001</v>
      </c>
      <c r="AO4" s="61">
        <v>0.5</v>
      </c>
      <c r="AP4" s="72"/>
      <c r="AQ4" s="11">
        <f>IF(SUM(V4:Y4)-Z4&gt;0,SUM(V4:Y4)-Z4,"")</f>
        <v>46.244999999999997</v>
      </c>
      <c r="AR4" s="11">
        <f>IF(AC4&gt;0,AC4,"")</f>
        <v>10</v>
      </c>
      <c r="AS4" s="11">
        <f>IF(SUM(AA4:AD4)-AE4&gt;0,SUM(AA4:AD4)-AE4,"")</f>
        <v>45.424999999999997</v>
      </c>
      <c r="AT4" s="11" t="str">
        <f>IF(AH4&gt;0,AH4,"")</f>
        <v/>
      </c>
      <c r="AU4" s="11" t="str">
        <f>IF(SUM(AF4:AI4)-AJ4&gt;0,SUM(AF4:AI4)-AJ4,"")</f>
        <v/>
      </c>
      <c r="AV4" s="11">
        <f>IF(OR(AQ4&lt;&gt;"",AS4&lt;&gt;"",AU4&lt;&gt;""),AQ4+MAX(AS4,AU4),"")</f>
        <v>91.669999999999987</v>
      </c>
      <c r="AW4" s="11">
        <f>IF(AM4&gt;0,AM4,"")</f>
        <v>10.7</v>
      </c>
      <c r="AX4" s="11">
        <f>IF(SUM(AK4:AN4)-AO4&gt;0,SUM(AK4:AN4)-AO4,"")</f>
        <v>48.585000000000001</v>
      </c>
      <c r="AY4" s="11">
        <f>IF(SUM(AV4,AX4)&gt;0,SUM(AV4,AX4),"")</f>
        <v>140.255</v>
      </c>
      <c r="AZ4" s="67">
        <v>16.399999999999999</v>
      </c>
      <c r="BA4" s="67">
        <v>8.9</v>
      </c>
      <c r="BB4" s="67">
        <v>1.9</v>
      </c>
      <c r="BC4" s="67">
        <v>14.125</v>
      </c>
      <c r="BD4" s="67">
        <v>0</v>
      </c>
      <c r="BE4" s="67">
        <v>14.2</v>
      </c>
      <c r="BF4" s="67">
        <v>9.3000000000000007</v>
      </c>
      <c r="BG4" s="67">
        <v>10</v>
      </c>
      <c r="BH4" s="67">
        <v>13.775</v>
      </c>
      <c r="BI4" s="67">
        <v>1.2</v>
      </c>
      <c r="BJ4" s="67"/>
      <c r="BK4" s="67"/>
      <c r="BL4" s="67"/>
      <c r="BM4" s="67"/>
      <c r="BN4" s="67"/>
      <c r="BO4" s="67">
        <v>6.36</v>
      </c>
      <c r="BP4" s="67">
        <v>3.8</v>
      </c>
      <c r="BQ4" s="67">
        <v>5</v>
      </c>
      <c r="BR4" s="67">
        <v>6.08</v>
      </c>
      <c r="BS4" s="67"/>
      <c r="BT4" s="73"/>
      <c r="BU4" s="14">
        <f>IF(SUM(AZ4:BC4)-BD4&gt;0,SUM(AZ4:BC4)-BD4,"")</f>
        <v>41.324999999999996</v>
      </c>
      <c r="BV4" s="14">
        <f>IF(BG4&gt;0,BG4,"")</f>
        <v>10</v>
      </c>
      <c r="BW4" s="14">
        <f>IF(SUM(BE4:BH4)-BI4&gt;0,SUM(BE4:BH4)-BI4,"")</f>
        <v>46.074999999999996</v>
      </c>
      <c r="BX4" s="14" t="str">
        <f>IF(BL4&gt;0,BL4,"")</f>
        <v/>
      </c>
      <c r="BY4" s="14" t="str">
        <f>IF(SUM(BJ4:BM4)-BN4&gt;0,SUM(BJ4:BM4)-BN4,"")</f>
        <v/>
      </c>
      <c r="BZ4" s="14">
        <f>IF(BU4="",IF(MAX(BW4,BY4)&gt;0,MAX(BW4,BY4),""),MAX(BW4,BY4)+BU4)</f>
        <v>87.399999999999991</v>
      </c>
      <c r="CA4" s="14">
        <f>IF(BQ4&gt;0,BQ4,"")</f>
        <v>5</v>
      </c>
      <c r="CB4" s="14">
        <f>IF(SUM(BO4:BR4)-BS4&gt;0,SUM(BO4:BR4)-BS4,"")</f>
        <v>21.240000000000002</v>
      </c>
      <c r="CC4" s="14">
        <f>IF(SUM(BZ4,CB4)&gt;0,SUM(BZ4,CB4),"")</f>
        <v>108.63999999999999</v>
      </c>
      <c r="CD4" s="61">
        <v>17.5</v>
      </c>
      <c r="CE4" s="61">
        <v>9.5</v>
      </c>
      <c r="CF4" s="61">
        <v>3.4</v>
      </c>
      <c r="CG4" s="61">
        <v>16.079999999999998</v>
      </c>
      <c r="CH4" s="61">
        <v>0</v>
      </c>
      <c r="CI4" s="61">
        <v>14.1</v>
      </c>
      <c r="CJ4" s="61">
        <v>9.65</v>
      </c>
      <c r="CK4" s="61">
        <v>11.5</v>
      </c>
      <c r="CL4" s="61">
        <v>15.24</v>
      </c>
      <c r="CM4" s="61">
        <v>0</v>
      </c>
      <c r="CN4" s="61">
        <v>15.8</v>
      </c>
      <c r="CO4" s="61">
        <v>9.35</v>
      </c>
      <c r="CP4" s="61">
        <v>11.5</v>
      </c>
      <c r="CQ4" s="61">
        <v>15.16</v>
      </c>
      <c r="CR4" s="61">
        <v>0</v>
      </c>
      <c r="CS4" s="61">
        <v>15.3</v>
      </c>
      <c r="CT4" s="61">
        <v>9</v>
      </c>
      <c r="CU4" s="61">
        <v>12.2</v>
      </c>
      <c r="CV4" s="61">
        <v>15.04</v>
      </c>
      <c r="CW4" s="61">
        <v>0</v>
      </c>
      <c r="CX4" s="72"/>
      <c r="CY4" s="11">
        <f>IF(SUM(CD4:CG4)-CH4&gt;0,SUM(CD4:CG4)-CH4,"")</f>
        <v>46.48</v>
      </c>
      <c r="CZ4" s="11">
        <f>IF(CK4&gt;0,CK4,"")</f>
        <v>11.5</v>
      </c>
      <c r="DA4" s="11">
        <f>IF(SUM(CI4:CL4)-CM4&gt;0,SUM(CI4:CL4)-CM4,"")</f>
        <v>50.49</v>
      </c>
      <c r="DB4" s="11">
        <f>IF(CP4&gt;0,CP4,"")</f>
        <v>11.5</v>
      </c>
      <c r="DC4" s="11">
        <f>IF(SUM(CN4:CQ4)-CR4&gt;0,SUM(CN4:CQ4)-CR4,"")</f>
        <v>51.81</v>
      </c>
      <c r="DD4" s="11">
        <f>IF(CY4="",IF(MAX(DA4,DC4)&gt;0,MAX(DA4,DC4),""),MAX(DA4,DC4)+CY4)</f>
        <v>98.289999999999992</v>
      </c>
      <c r="DE4" s="11">
        <f>IF(CU4&gt;0,CU4,"")</f>
        <v>12.2</v>
      </c>
      <c r="DF4" s="11">
        <f>IF(SUM(CS4:CV4)-CW4&gt;0,SUM(CS4:CV4)-CW4,"")</f>
        <v>51.54</v>
      </c>
      <c r="DG4" s="11">
        <f>IF(SUM(DD4,DF4)&gt;0,SUM(DD4,DF4),"")</f>
        <v>149.82999999999998</v>
      </c>
      <c r="DH4" s="23" t="str">
        <f>IF(MAX(EB4,EX4,FT4,GP4,HL4,IH4,JD4,JZ4,KV4,LR4,MN4,NJ4)-IF(M4="",0,M4)&gt;0.001,MAX(EB4,EX4,FT4,GP4,HL4,IH4,JD4,JZ4,KV4,LR4,MN4,NJ4)-IF(M4="",0,M4),"")</f>
        <v/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>IF($CX4="P",CD4,(CD4+AZ4)/2)</f>
        <v>16.95</v>
      </c>
      <c r="NQ4" s="61">
        <f>IF($CX4="P",CE4,(CE4+BA4)/2)</f>
        <v>9.1999999999999993</v>
      </c>
      <c r="NR4" s="61">
        <f>IF($CX4="P",CF4,(CF4+BB4)/2)</f>
        <v>2.65</v>
      </c>
      <c r="NS4" s="61">
        <f>IF($CX4="P",CG4,(CG4+BC4)/2)</f>
        <v>15.102499999999999</v>
      </c>
      <c r="NT4" s="61">
        <f>IF($CX4="P",CH4,(CH4+BD4)/2)</f>
        <v>0</v>
      </c>
      <c r="NU4" s="61">
        <f>IF($CX4="P",CI4,(CI4+BE4)/2)</f>
        <v>14.149999999999999</v>
      </c>
      <c r="NV4" s="61">
        <f>IF($CX4="P",CJ4,(CJ4+BF4)/2)</f>
        <v>9.4750000000000014</v>
      </c>
      <c r="NW4" s="61">
        <f>IF($CX4="P",CK4,(CK4+BG4)/2)</f>
        <v>10.75</v>
      </c>
      <c r="NX4" s="61">
        <f>IF($CX4="P",CL4,(CL4+BH4)/2)</f>
        <v>14.5075</v>
      </c>
      <c r="NY4" s="61">
        <f>IF($CX4="P",CM4,(CM4+BI4)/2)</f>
        <v>0.6</v>
      </c>
      <c r="NZ4" s="61">
        <f>IF($CX4="P",CN4,(CN4+BJ4)/2)</f>
        <v>7.9</v>
      </c>
      <c r="OA4" s="61">
        <f>IF($CX4="P",CO4,(CO4+BK4)/2)</f>
        <v>4.6749999999999998</v>
      </c>
      <c r="OB4" s="61">
        <f>IF($CX4="P",CP4,(CP4+BL4)/2)</f>
        <v>5.75</v>
      </c>
      <c r="OC4" s="61">
        <f>IF($CX4="P",CQ4,(CQ4+BM4)/2)</f>
        <v>7.58</v>
      </c>
      <c r="OD4" s="61">
        <f>IF($CX4="P",CR4,(CR4+BN4)/2)</f>
        <v>0</v>
      </c>
      <c r="OE4" s="61">
        <f>IF($CX4="P",CS4,(CS4+BO4)/2)</f>
        <v>10.83</v>
      </c>
      <c r="OF4" s="61">
        <f>IF($CX4="P",CT4,(CT4+BP4)/2)</f>
        <v>6.4</v>
      </c>
      <c r="OG4" s="61">
        <f>IF($CX4="P",CU4,(CU4+BQ4)/2)</f>
        <v>8.6</v>
      </c>
      <c r="OH4" s="61">
        <f>IF($CX4="P",CV4,(CV4+BR4)/2)</f>
        <v>10.559999999999999</v>
      </c>
      <c r="OI4" s="61">
        <f>IF($CX4="P",CW4,(CW4+BS4)/2)</f>
        <v>0</v>
      </c>
      <c r="OJ4" s="72" t="s">
        <v>52</v>
      </c>
      <c r="OK4" s="11">
        <f>IF(SUM(NP4:NS4)-NT4&gt;0,SUM(NP4:NS4)-NT4,"")</f>
        <v>43.902499999999996</v>
      </c>
      <c r="OL4" s="11">
        <f>IF(NW4&gt;0,NW4,"")</f>
        <v>10.75</v>
      </c>
      <c r="OM4" s="11">
        <f>IF(SUM(NU4:NX4)-NY4&gt;0,SUM(NU4:NX4)-NY4,"")</f>
        <v>48.282499999999999</v>
      </c>
      <c r="ON4" s="11">
        <f>IF(OB4&gt;0,OB4,"")</f>
        <v>5.75</v>
      </c>
      <c r="OO4" s="11">
        <f>IF(SUM(NZ4:OC4)-OD4&gt;0,SUM(NZ4:OC4)-OD4,"")</f>
        <v>25.905000000000001</v>
      </c>
      <c r="OP4" s="11">
        <f>IF(OR(OK4&lt;&gt;"",OM4&lt;&gt;"",OO4&lt;&gt;""),OK4+MAX(OM4,OO4),"")</f>
        <v>92.185000000000002</v>
      </c>
      <c r="OQ4" s="11">
        <f>IF(OG4&gt;0,OG4,"")</f>
        <v>8.6</v>
      </c>
      <c r="OR4" s="11">
        <f t="shared" ref="OR4:OR9" si="0">IF(SUM(OE4:OH4)-OI4&gt;0,SUM(OE4:OH4)-OI4,"")</f>
        <v>36.39</v>
      </c>
      <c r="OS4" s="11">
        <f>IF(SUM(OP4,OR4)&gt;0,SUM(OP4,OR4),"")</f>
        <v>128.57499999999999</v>
      </c>
    </row>
    <row r="5" spans="1:409" x14ac:dyDescent="0.2">
      <c r="A5" s="5" cm="1">
        <f t="array" ref="A5">IF(AND(G5&lt;&gt;"",H5&lt;&gt;""),SUMPRODUCT((G$4:G$20&lt;&gt;"")*(H$4:H$20&lt;&gt;"")*(E$4:E$20&gt;E5))+1,IF(H5&lt;&gt;"",SUMPRODUCT((I$4:I$20="No DD")*(E$4:E$20&gt;E5))+1+SUMPRODUCT((G$4:G$20&lt;&gt;"")*(H$4:H$20&lt;&gt;"")),""))</f>
        <v>2</v>
      </c>
      <c r="B5" s="8" t="s">
        <v>93</v>
      </c>
      <c r="C5" s="4" t="s">
        <v>5</v>
      </c>
      <c r="D5" s="5">
        <v>2002</v>
      </c>
      <c r="E5" s="15">
        <f>SUM(O5:S5)</f>
        <v>99.06</v>
      </c>
      <c r="F5" s="3" t="str">
        <f>IF(G5&lt;&gt;"","P","")</f>
        <v>P</v>
      </c>
      <c r="G5" s="115" t="str">
        <f>IF(OR(AND(AR5&gt;=AY$25,AR5&lt;&gt;"",AP5=""),AND(AT5&gt;=AY$25,AT5&lt;&gt;"",AP5=""),AND(AW5&gt;=AY$25,AW5&lt;&gt;"",AP5=""),AND(BV5&gt;=CC$25,BV5&lt;&gt;"",BT5=""),AND(BX5&gt;=CC$25,BX5&lt;&gt;"",BT5=""),AND(CA5&gt;=CC$25,CA5&lt;&gt;"",BT5=""),AND(CZ5&gt;=DG$25,CZ5&lt;&gt;"",CX5=""),AND(DB5&gt;=DG$25,DB5&lt;&gt;"",CX5=""),AND(DE5&gt;=DG$25,DE5&lt;&gt;"",CX5=""),AND(EA5&gt;=EG$25,EA5&lt;&gt;""),AND(EE5&gt;=EG$25,EE5&lt;&gt;""),AND(EW5&gt;=FC$25,EW5&lt;&gt;""),AND(FA5&gt;=FC$25,FA5&lt;&gt;""),AND(FS5&gt;=FY$25,FS5&lt;&gt;""),AND(FW5&gt;=FY$25,FW5&lt;&gt;""),AND(GO5&gt;=GU$25,GO5&lt;&gt;""),AND(GS5&gt;=GU$25,GS5&lt;&gt;""),AND(HK5&gt;=HQ$25,HK5&lt;&gt;""),AND(HO5&gt;=HQ$25,HO5&lt;&gt;""),AND(IG5&gt;=IM$25,IG5&lt;&gt;""),AND(IK5&gt;=IM$25,IK5&lt;&gt;""),AND(JC5&gt;=JI$25,JC5&lt;&gt;""),AND(JG5&gt;=JI$25,JG5&lt;&gt;""),AND(JY5&gt;=KE$25,JY5&lt;&gt;""),AND(KC5&gt;=KE$25,KC5&lt;&gt;""),AND(KU5&gt;=LA$25,KU5&lt;&gt;""),AND(KY5&gt;=LA$25,KY5&lt;&gt;""),AND(LQ5&gt;=LW$25,LQ5&lt;&gt;""),AND(LU5&gt;=LW$25,LU5&lt;&gt;""),AND(MM5&gt;=MS$25,MM5&lt;&gt;""),AND(MQ5&gt;=MS$25,MQ5&lt;&gt;""),AND(NI5&gt;=NO$25,NI5&lt;&gt;""),AND(NM5&gt;=NO$25,NM5&lt;&gt;"")),"Merit",IF(OR(AND(AR5&gt;=AY$24,AR5&lt;&gt;"",AP5=""),AND(AT5&gt;=AY$24,AT5&lt;&gt;"",AP5=""),AND(AW5&gt;=AY$24,AW5&lt;&gt;"",AP5=""),AND(BV5&gt;=CC$24,BV5&lt;&gt;"",BT5=""),AND(BX5&gt;=CC$24,BX5&lt;&gt;"",BT5=""),AND(CA5&gt;=CC$24,CA5&lt;&gt;"",BT5=""),AND(CZ5&gt;=DG$24,CZ5&lt;&gt;"",CX5=""),AND(DB5&gt;=DG$24,DB5&lt;&gt;"",CX5=""),AND(DE5&gt;=DG$24,DE5&lt;&gt;"",CX5=""),AND(EA5&gt;=EG$24,EA5&lt;&gt;""),AND(EE5&gt;=EG$24,EE5&lt;&gt;""),AND(EW5&gt;=FC$24,EW5&lt;&gt;""),AND(FA5&gt;=FC$24,FA5&lt;&gt;""),AND(FS5&gt;=FY$24,FS5&lt;&gt;""),AND(FW5&gt;=FY$24,FW5&lt;&gt;""),AND(GO5&gt;=GU$24,GO5&lt;&gt;""),AND(GS5&gt;=GU$24,GS5&lt;&gt;""),AND(HK5&gt;=HQ$24,HK5&lt;&gt;""),AND(HO5&gt;=HQ$24,HO5&lt;&gt;""),AND(IG5&gt;=IM$24,IG5&lt;&gt;""),AND(IK5&gt;=IM$24,IK5&lt;&gt;""),AND(JC5&gt;=JI$24,JC5&lt;&gt;""),AND(JG5&gt;=JI$24,JG5&lt;&gt;""),AND(JY5&gt;=KE$24,JY5&lt;&gt;""),AND(KC5&gt;=KE$24,KC5&lt;&gt;""),AND(KU5&gt;=LA$24,KU5&lt;&gt;""),AND(KY5&gt;=LA$24,KY5&lt;&gt;""),AND(LQ5&gt;=LW$24,LQ5&lt;&gt;""),AND(LU5&gt;=LW$24,LU5&lt;&gt;""),AND(MM5&gt;=MS$24,MM5&lt;&gt;""),AND(MQ5&gt;=MS$24,MQ5&lt;&gt;""),AND(NI5&gt;=NO$24,NI5&lt;&gt;""),AND(NM5&gt;=NO$24,NM5&lt;&gt;"")),"Excellence",IF(OR(AND(AR5&gt;=AY$23,AR5&lt;&gt;"",AP5=""),AND(AT5&gt;=AY$23,AT5&lt;&gt;"",AP5=""),AND(AW5&gt;=AY$23,AW5&lt;&gt;"",AP5=""),AND(BV5&gt;=CC$23,BV5&lt;&gt;"",BT5=""),AND(BX5&gt;=CC$23,BX5&lt;&gt;"",BT5=""),AND(CA5&gt;=CC$23,CA5&lt;&gt;"",BT5=""),AND(CZ5&gt;=DG$23,CZ5&lt;&gt;"",CX5=""),AND(DB5&gt;=DG$23,DB5&lt;&gt;"",CX5=""),AND(DE5&gt;=DG$23,DE5&lt;&gt;"",CX5=""),AND(EA5&gt;=EG$23,EA5&lt;&gt;""),AND(EE5&gt;=EG$23,EE5&lt;&gt;""),AND(EW5&gt;=FC$23,EW5&lt;&gt;""),AND(FA5&gt;=FC$23,FA5&lt;&gt;""),AND(FS5&gt;=FY$23,FS5&lt;&gt;""),AND(FW5&gt;=FY$23,FW5&lt;&gt;""),AND(GO5&gt;=GU$23,GO5&lt;&gt;""),AND(GS5&gt;=GU$23,GS5&lt;&gt;""),AND(HK5&gt;=HQ$23,HK5&lt;&gt;""),AND(HO5&gt;=HQ$23,HO5&lt;&gt;""),AND(IG5&gt;=IM$23,IG5&lt;&gt;""),AND(IK5&gt;=IM$23,IK5&lt;&gt;""),AND(JC5&gt;=JI$23,JC5&lt;&gt;""),AND(JG5&gt;=JI$23,JG5&lt;&gt;""),AND(JY5&gt;=KE$23,JY5&lt;&gt;""),AND(KC5&gt;=KE$23,KC5&lt;&gt;""),AND(KU5&gt;=LA$23,KU5&lt;&gt;""),AND(KY5&gt;=LA$23,KY5&lt;&gt;""),AND(LQ5&gt;=LW$23,LQ5&lt;&gt;""),AND(LU5&gt;=LW$23,LU5&lt;&gt;""),AND(MM5&gt;=MS$23,MM5&lt;&gt;""),AND(MQ5&gt;=MS$23,MQ5&lt;&gt;""),AND(NI5&gt;=NO$23,NI5&lt;&gt;""),AND(NM5&gt;=NO$23,NM5&lt;&gt;"")),"Worlds Team",IF(OR(AND(AR5&gt;=AY$22,AR5&lt;&gt;"",AP5=""),AND(AT5&gt;=AY$22,AT5&lt;&gt;"",AP5=""),AND(AW5&gt;=AY$22,AW5&lt;&gt;"",AP5=""),AND(BV5&gt;=CC$22,BV5&lt;&gt;"",BT5=""),AND(BX5&gt;=CC$22,BX5&lt;&gt;"",BT5=""),AND(CA5&gt;=CC$22,CA5&lt;&gt;"",BT5=""),AND(CZ5&gt;=DG$22,CZ5&lt;&gt;"",CX5=""),AND(DB5&gt;=DG$22,DB5&lt;&gt;"",CX5=""),AND(DE5&gt;=DG$22,DE5&lt;&gt;"",CX5=""),AND(EA5&gt;=EG$22,EA5&lt;&gt;""),AND(EE5&gt;=EG$22,EE5&lt;&gt;""),AND(EW5&gt;=FC$22,EW5&lt;&gt;""),AND(FA5&gt;=FC$22,FA5&lt;&gt;""),AND(FS5&gt;=FY$22,FS5&lt;&gt;""),AND(FW5&gt;=FY$22,FW5&lt;&gt;""),AND(GO5&gt;=GU$22,GO5&lt;&gt;""),AND(GS5&gt;=GU$22,GS5&lt;&gt;""),AND(HK5&gt;=HQ$22,HK5&lt;&gt;""),AND(HO5&gt;=HQ$22,HO5&lt;&gt;""),AND(IG5&gt;=IM$22,IG5&lt;&gt;""),AND(IK5&gt;=IM$22,IK5&lt;&gt;""),AND(JC5&gt;=JI$22,JC5&lt;&gt;""),AND(JG5&gt;=JI$22,JG5&lt;&gt;""),AND(JY5&gt;=KE$22,JY5&lt;&gt;""),AND(KC5&gt;=KE$22,KC5&lt;&gt;""),AND(KU5&gt;=LA$22,KU5&lt;&gt;""),AND(KY5&gt;=LA$22,KY5&lt;&gt;""),AND(LQ5&gt;=LW$22,LQ5&lt;&gt;""),AND(LU5&gt;=LW$22,LU5&lt;&gt;""),AND(MM5&gt;=MS$22,MM5&lt;&gt;""),AND(MQ5&gt;=MS$22,MQ5&lt;&gt;""),AND(NI5&gt;=NO$22,NI5&lt;&gt;""),AND(NM5&gt;=NO$22,NM5&lt;&gt;"")),"National Team",""))))</f>
        <v>National Team</v>
      </c>
      <c r="H5" s="115" t="str">
        <f>IF(OR(AND(AS5&gt;=AY$26,AS5&lt;&gt;"",AP5=""),AND(AU5&gt;=AY$26,AU5&lt;&gt;"",AP5=""),AND(AX5&gt;=AY$26,AX5&lt;&gt;"",AP5=""),AND(BW5&gt;=CC$26,BW5&lt;&gt;"",BT5=""),AND(BY5&gt;=CC$26,BY5&lt;&gt;"",BT5=""),AND(CB5&gt;=CC$26,CB5&lt;&gt;"",BT5=""),AND(DA5&gt;=DG$26,DA5&lt;&gt;"",CX5=""),AND(DC5&gt;=DG$26,DC5&lt;&gt;"",CX5=""),AND(DF5&gt;=DG$26,DF5&lt;&gt;"",CX5=""),AND(EC5&gt;=EG$26,EC5&lt;&gt;""),AND(EF5&gt;=EG$26,EF5&lt;&gt;""),AND(EY5&gt;=FC$26,EY5&lt;&gt;""),AND(FB5&gt;=FC$26,FB5&lt;&gt;""),AND(FU5&gt;=FY$26,FU5&lt;&gt;""),AND(FX5&gt;=FY$26,FX5&lt;&gt;""),AND(GQ5&gt;=GU$26,GQ5&lt;&gt;""),AND(GT5&gt;=GU$26,GT5&lt;&gt;""),AND(HM5&gt;=HQ$26,HM5&lt;&gt;""),AND(HP5&gt;=HQ$26,HP5&lt;&gt;""),AND(II5&gt;=IM$26,II5&lt;&gt;""),AND(IL5&gt;=IM$26,IL5&lt;&gt;""),AND(JE5&gt;=JI$26,JE5&lt;&gt;""),AND(JH5&gt;=JI$26,JH5&lt;&gt;""),AND(KA5&gt;=KE$26,KA5&lt;&gt;""),AND(KD5&gt;=KE$26,KD5&lt;&gt;""),AND(KW5&gt;=LA$26,KW5&lt;&gt;""),AND(KZ5&gt;=LA$26,KZ5&lt;&gt;""),AND(LS5&gt;=LW$26,LS5&lt;&gt;""),AND(LV5&gt;=LW$26,LV5&lt;&gt;""),AND(MO5&gt;=MS$26,MO5&lt;&gt;""),AND(MR5&gt;=MS$26,MR5&lt;&gt;""),AND(NK5&gt;=NO$26,NK5&lt;&gt;""),AND(NN5&gt;=NO$26,NN5&lt;&gt;"")),"National Team","")</f>
        <v>National Team</v>
      </c>
      <c r="I5" s="11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National Team</v>
      </c>
      <c r="J5" s="3" t="str">
        <f>IF(AND(OR(AND(AV5&gt;=AY$27,AV5&lt;&gt;"",AP5=""),AND(BZ5&gt;=CC$27,BZ5&lt;&gt;"",BT5=""),AND(DD5&gt;=DG$27,DD5&lt;&gt;"",CX5=""),AND(ED5&gt;=EG$27,ED5&lt;&gt;""),AND(EZ5&gt;=FC$27,EZ5&lt;&gt;""),AND(FV5&gt;=FY$27,FV5&lt;&gt;""),AND(GR5&gt;=GU$27,GR5&lt;&gt;""),AND(HN5&gt;=HQ$27,HN5&lt;&gt;""),AND(IJ5&gt;=IM$27,IJ5&lt;&gt;""),AND(JF5&gt;=JI$27,JF5&lt;&gt;""),AND(KB5&gt;=KE$27,KB5&lt;&gt;""),AND(KX5&gt;=LA$27,KX5&lt;&gt;""),AND(LT5&gt;=LW$27,LT5&lt;&gt;""),AND(MP5&gt;=MS$27,MP5&lt;&gt;""),AND(NL5&gt;=NO$27,NL5&lt;&gt;"")),OR(G5="Worlds Team",G5="Excellence",G5="Merit")),"P","")</f>
        <v/>
      </c>
      <c r="K5" s="14">
        <f>IF(MAX(AV5,BZ5,DD5)&gt;0,MAX(AV5,BZ5,DD5),0)</f>
        <v>94.444999999999993</v>
      </c>
      <c r="L5" s="14" t="str">
        <f>IF(K5=0,"",IF(K5=DD5,$CD$1,IF(K5=BZ5,$AZ$1,IF(K5=AV5,$V$1,""))))</f>
        <v>2019 Nationals</v>
      </c>
      <c r="M5" s="14">
        <f>IF($K5=$AV5,MAX(BU5,CY5),IF($K5=$BZ5,MAX(AQ5,CY5),IF($K5=$DD5,MAX(AQ5,BU5),MAX(AQ5,BU5,CY5))))</f>
        <v>44.339999999999996</v>
      </c>
      <c r="N5" s="14" t="str">
        <f>IF(M5=0,"",IF(AND(M5=CY5,$L5&lt;&gt;$CD$1),$CD$1,IF(AND(M5=BU5,$L5&lt;&gt;$AZ$1),$AZ$1,IF(AND(M5=AQ5,$L5&lt;&gt;$V$1),$V$1,""))))</f>
        <v>2021 1st Virtual Technical Trial</v>
      </c>
      <c r="O5" s="14">
        <f>MAX(AS5,AU5,AX5,BW5,BY5,CB5,DA5,DC5,DF5)</f>
        <v>49.980000000000004</v>
      </c>
      <c r="P5" s="14" t="str">
        <f>IF(O5=0,"",IF(OR(O5=DC5,O5=DA5,O5=DF5),$CD$1,IF(OR(O5=BY5,O5=BW5,O5=CB5),$AZ$1,IF(OR(O5=AU5,O5=AS5,O5=AX5),$V$1,""))))</f>
        <v>2019 Elite Canada</v>
      </c>
      <c r="Q5" s="14">
        <f>IF(COUNT(AS5,AU5,AX5,BW5,BY5,CB5,DA5,DC5,DF5)&gt;1,LARGE((AS5,AU5,AX5,BW5,BY5,CB5,DA5,DC5,DF5),2),0)</f>
        <v>49.08</v>
      </c>
      <c r="R5" s="14" t="str">
        <f>IF(Q5=0,"",IF(OR(Q5=DC5,Q5=DA5,Q5=DF5),$CD$1,IF(OR(Q5=BY5,Q5=BW5,Q5=CB5),$AZ$1,IF(OR(Q5=AU5,Q5=AS5,Q5=AX5),$V$1,""))))</f>
        <v>2019 Nationals</v>
      </c>
      <c r="S5" s="14" t="str">
        <f>IF(MAX(DI5,DK5)&gt;0,MAX(DI5,DK5),"")</f>
        <v/>
      </c>
      <c r="T5" s="24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1">
        <v>16.399999999999999</v>
      </c>
      <c r="W5" s="61">
        <v>9.0500000000000007</v>
      </c>
      <c r="X5" s="61">
        <v>3.2</v>
      </c>
      <c r="Y5" s="61">
        <v>15.175000000000001</v>
      </c>
      <c r="Z5" s="61">
        <v>0</v>
      </c>
      <c r="AA5" s="61">
        <v>14.7</v>
      </c>
      <c r="AB5" s="61">
        <v>9.1999999999999993</v>
      </c>
      <c r="AC5" s="61">
        <v>11.3</v>
      </c>
      <c r="AD5" s="61">
        <v>14.78</v>
      </c>
      <c r="AE5" s="61">
        <v>0</v>
      </c>
      <c r="AF5" s="61"/>
      <c r="AG5" s="61"/>
      <c r="AH5" s="61"/>
      <c r="AI5" s="61"/>
      <c r="AJ5" s="61"/>
      <c r="AK5" s="61">
        <v>12.9</v>
      </c>
      <c r="AL5" s="61">
        <v>9.15</v>
      </c>
      <c r="AM5" s="61">
        <v>10.1</v>
      </c>
      <c r="AN5" s="61">
        <v>13.63</v>
      </c>
      <c r="AO5" s="61">
        <v>0</v>
      </c>
      <c r="AP5" s="72"/>
      <c r="AQ5" s="11">
        <f>IF(SUM(V5:Y5)-Z5&gt;0,SUM(V5:Y5)-Z5,"")</f>
        <v>43.825000000000003</v>
      </c>
      <c r="AR5" s="11">
        <f>IF(AC5&gt;0,AC5,"")</f>
        <v>11.3</v>
      </c>
      <c r="AS5" s="11">
        <f>IF(SUM(AA5:AD5)-AE5&gt;0,SUM(AA5:AD5)-AE5,"")</f>
        <v>49.980000000000004</v>
      </c>
      <c r="AT5" s="11" t="str">
        <f>IF(AH5&gt;0,AH5,"")</f>
        <v/>
      </c>
      <c r="AU5" s="11" t="str">
        <f>IF(SUM(AF5:AI5)-AJ5&gt;0,SUM(AF5:AI5)-AJ5,"")</f>
        <v/>
      </c>
      <c r="AV5" s="11">
        <f>IF(OR(AQ5&lt;&gt;"",AS5&lt;&gt;"",AU5&lt;&gt;""),AQ5+MAX(AS5,AU5),"")</f>
        <v>93.805000000000007</v>
      </c>
      <c r="AW5" s="11">
        <f>IF(AM5&gt;0,AM5,"")</f>
        <v>10.1</v>
      </c>
      <c r="AX5" s="11">
        <f>IF(SUM(AK5:AN5)-AO5&gt;0,SUM(AK5:AN5)-AO5,"")</f>
        <v>45.78</v>
      </c>
      <c r="AY5" s="11">
        <f>IF(SUM(AV5,AX5)&gt;0,SUM(AV5,AX5),"")</f>
        <v>139.58500000000001</v>
      </c>
      <c r="AZ5" s="67">
        <v>17.5</v>
      </c>
      <c r="BA5" s="67">
        <v>9.6999999999999993</v>
      </c>
      <c r="BB5" s="67">
        <v>3.2</v>
      </c>
      <c r="BC5" s="67">
        <v>14.965</v>
      </c>
      <c r="BD5" s="67">
        <v>0</v>
      </c>
      <c r="BE5" s="67">
        <v>14.5</v>
      </c>
      <c r="BF5" s="67">
        <v>9</v>
      </c>
      <c r="BG5" s="67">
        <v>11.3</v>
      </c>
      <c r="BH5" s="67">
        <v>14.28</v>
      </c>
      <c r="BI5" s="67">
        <v>0</v>
      </c>
      <c r="BJ5" s="67"/>
      <c r="BK5" s="67"/>
      <c r="BL5" s="67"/>
      <c r="BM5" s="67"/>
      <c r="BN5" s="67"/>
      <c r="BO5" s="67">
        <v>4.5599999999999996</v>
      </c>
      <c r="BP5" s="67">
        <v>2.7</v>
      </c>
      <c r="BQ5" s="67">
        <v>3.5</v>
      </c>
      <c r="BR5" s="67">
        <v>4.53</v>
      </c>
      <c r="BS5" s="67">
        <v>0</v>
      </c>
      <c r="BT5" s="73"/>
      <c r="BU5" s="14">
        <f>IF(SUM(AZ5:BC5)-BD5&gt;0,SUM(AZ5:BC5)-BD5,"")</f>
        <v>45.364999999999995</v>
      </c>
      <c r="BV5" s="14">
        <f>IF(BG5&gt;0,BG5,"")</f>
        <v>11.3</v>
      </c>
      <c r="BW5" s="14">
        <f>IF(SUM(BE5:BH5)-BI5&gt;0,SUM(BE5:BH5)-BI5,"")</f>
        <v>49.08</v>
      </c>
      <c r="BX5" s="14" t="str">
        <f>IF(BL5&gt;0,BL5,"")</f>
        <v/>
      </c>
      <c r="BY5" s="14" t="str">
        <f>IF(SUM(BJ5:BM5)-BN5&gt;0,SUM(BJ5:BM5)-BN5,"")</f>
        <v/>
      </c>
      <c r="BZ5" s="14">
        <f>IF(BU5="",IF(MAX(BW5,BY5)&gt;0,MAX(BW5,BY5),""),MAX(BW5,BY5)+BU5)</f>
        <v>94.444999999999993</v>
      </c>
      <c r="CA5" s="14">
        <f>IF(BQ5&gt;0,BQ5,"")</f>
        <v>3.5</v>
      </c>
      <c r="CB5" s="14">
        <f>IF(SUM(BO5:BR5)-BS5&gt;0,SUM(BO5:BR5)-BS5,"")</f>
        <v>15.29</v>
      </c>
      <c r="CC5" s="14">
        <f>IF(SUM(BZ5,CB5)&gt;0,SUM(BZ5,CB5),"")</f>
        <v>109.73499999999999</v>
      </c>
      <c r="CD5" s="61">
        <v>16.7</v>
      </c>
      <c r="CE5" s="61">
        <v>9.1999999999999993</v>
      </c>
      <c r="CF5" s="61">
        <v>3.7</v>
      </c>
      <c r="CG5" s="61">
        <v>14.74</v>
      </c>
      <c r="CH5" s="61">
        <v>0</v>
      </c>
      <c r="CI5" s="61">
        <v>13.8</v>
      </c>
      <c r="CJ5" s="61">
        <v>9.0500000000000007</v>
      </c>
      <c r="CK5" s="61">
        <v>12</v>
      </c>
      <c r="CL5" s="61">
        <v>14.105</v>
      </c>
      <c r="CM5" s="61">
        <v>0</v>
      </c>
      <c r="CN5" s="61">
        <v>0</v>
      </c>
      <c r="CO5" s="61">
        <v>0</v>
      </c>
      <c r="CP5" s="61">
        <v>0</v>
      </c>
      <c r="CQ5" s="61">
        <v>0</v>
      </c>
      <c r="CR5" s="61">
        <v>0</v>
      </c>
      <c r="CS5" s="61">
        <v>14.3</v>
      </c>
      <c r="CT5" s="61">
        <v>9</v>
      </c>
      <c r="CU5" s="61">
        <v>11.3</v>
      </c>
      <c r="CV5" s="61">
        <v>14.21</v>
      </c>
      <c r="CW5" s="61">
        <v>0</v>
      </c>
      <c r="CX5" s="72"/>
      <c r="CY5" s="11">
        <f>IF(SUM(CD5:CG5)-CH5&gt;0,SUM(CD5:CG5)-CH5,"")</f>
        <v>44.339999999999996</v>
      </c>
      <c r="CZ5" s="11">
        <f>IF(CK5&gt;0,CK5,"")</f>
        <v>12</v>
      </c>
      <c r="DA5" s="11">
        <f>IF(SUM(CI5:CL5)-CM5&gt;0,SUM(CI5:CL5)-CM5,"")</f>
        <v>48.954999999999998</v>
      </c>
      <c r="DB5" s="11" t="str">
        <f>IF(CP5&gt;0,CP5,"")</f>
        <v/>
      </c>
      <c r="DC5" s="11" t="str">
        <f>IF(SUM(CN5:CQ5)-CR5&gt;0,SUM(CN5:CQ5)-CR5,"")</f>
        <v/>
      </c>
      <c r="DD5" s="11">
        <f>IF(CY5="",IF(MAX(DA5,DC5)&gt;0,MAX(DA5,DC5),""),MAX(DA5,DC5)+CY5)</f>
        <v>93.294999999999987</v>
      </c>
      <c r="DE5" s="11">
        <f>IF(CU5&gt;0,CU5,"")</f>
        <v>11.3</v>
      </c>
      <c r="DF5" s="11">
        <f>IF(SUM(CS5:CV5)-CW5&gt;0,SUM(CS5:CV5)-CW5,"")</f>
        <v>48.81</v>
      </c>
      <c r="DG5" s="11">
        <f>IF(SUM(DD5,DF5)&gt;0,SUM(DD5,DF5),"")</f>
        <v>142.10499999999999</v>
      </c>
      <c r="DH5" s="23" t="str">
        <f>IF(MAX(EB5,EX5,FT5,GP5,HL5,IH5,JD5,JZ5,KV5,LR5,MN5,NJ5)-IF(M5="",0,M5)&gt;0.001,MAX(EB5,EX5,FT5,GP5,HL5,IH5,JD5,JZ5,KV5,LR5,MN5,NJ5)-IF(M5="",0,M5),"")</f>
        <v/>
      </c>
      <c r="DI5" s="23" t="str">
        <f>IF(MAX(EC5,EY5,FU5,GQ5,HM5,II5,JE5,KA5,KW5,LS5,MO5,NK5)-IF(O5="",0,O5)&gt;0.001,MAX(EC5,EY5,FU5,GQ5,HM5,II5,JE5,KA5,KW5,LS5,MO5,NK5)-IF(O5="",0,O5),"")</f>
        <v/>
      </c>
      <c r="DJ5" s="23" t="str">
        <f>IF(MAX(ED5,EZ5,FV5,GR5,HN5,IJ5,JF5,KB5,KX5,LT5,MP5,NL5)-IF(K5="",0,K5)&gt;0.001,MAX(ED5,EZ5,FV5,GR5,HN5,IJ5,JF5,KB5,KX5,LT5,MP5,NL5)-IF(K5="",0,K5),"")</f>
        <v/>
      </c>
      <c r="DK5" s="23" t="str">
        <f>IF(MAX(EF5,FB5,FX5,GT5,HP5,IL5,JH5,KD5,KZ5,LV5,MR5,NN5)-IF(Q5="",0,Q5)&gt;0.001,MAX(EF5,FB5,FX5,GT5,HP5,IL5,JH5,KD5,KZ5,LV5,MR5,NN5)-IF(Q5="",0,Q5),"")</f>
        <v/>
      </c>
      <c r="DL5" s="35">
        <v>15.7</v>
      </c>
      <c r="DM5" s="35">
        <v>9.3000000000000007</v>
      </c>
      <c r="DN5" s="35">
        <v>2</v>
      </c>
      <c r="DO5" s="35">
        <v>14.375</v>
      </c>
      <c r="DP5" s="35">
        <v>0</v>
      </c>
      <c r="DQ5" s="35">
        <v>13.7</v>
      </c>
      <c r="DR5" s="35">
        <v>9.1999999999999993</v>
      </c>
      <c r="DS5" s="35">
        <v>10.6</v>
      </c>
      <c r="DT5" s="35">
        <v>13.705</v>
      </c>
      <c r="DU5" s="35">
        <v>0</v>
      </c>
      <c r="DV5" s="35"/>
      <c r="DW5" s="35"/>
      <c r="DX5" s="35"/>
      <c r="DY5" s="35"/>
      <c r="DZ5" s="35"/>
      <c r="EA5" s="11">
        <f>IF(DS5&gt;0,DS5,"")</f>
        <v>10.6</v>
      </c>
      <c r="EB5" s="11">
        <f>IF(SUM(DL5:DO5)-DP5&gt;0,SUM(DL5:DO5)-DP5,"")</f>
        <v>41.375</v>
      </c>
      <c r="EC5" s="11">
        <f>IF(SUM(DQ5:DT5)-DU5&gt;0,SUM(DQ5:DT5)-DU5,"")</f>
        <v>47.204999999999998</v>
      </c>
      <c r="ED5" s="11">
        <f>IF(SUM(EB5:EC5)&gt;0,SUM(EB5:EC5),"")</f>
        <v>88.58</v>
      </c>
      <c r="EE5" s="11" t="str">
        <f>IF(DX5&gt;0,DX5,"")</f>
        <v/>
      </c>
      <c r="EF5" s="11" t="str">
        <f>IF(SUM(DV5:DY5)-DZ5&gt;0,SUM(DV5:DY5)-DZ5,"")</f>
        <v/>
      </c>
      <c r="EG5" s="11">
        <f>IF(SUM(ED5,EF5)&gt;0,SUM(ED5,EF5),"")</f>
        <v>88.58</v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100"/>
      <c r="MI5" s="35"/>
      <c r="MJ5" s="35"/>
      <c r="MK5" s="35"/>
      <c r="ML5" s="35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1">
        <f>IF($CX5="P",CD5,(CD5+AZ5)/2)</f>
        <v>17.100000000000001</v>
      </c>
      <c r="NQ5" s="61">
        <f>IF($CX5="P",CE5,(CE5+BA5)/2)</f>
        <v>9.4499999999999993</v>
      </c>
      <c r="NR5" s="61">
        <f>IF($CX5="P",CF5,(CF5+BB5)/2)</f>
        <v>3.45</v>
      </c>
      <c r="NS5" s="61">
        <f>IF($CX5="P",CG5,(CG5+BC5)/2)</f>
        <v>14.852499999999999</v>
      </c>
      <c r="NT5" s="61">
        <f>IF($CX5="P",CH5,(CH5+BD5)/2)</f>
        <v>0</v>
      </c>
      <c r="NU5" s="61">
        <f>IF($CX5="P",CI5,(CI5+BE5)/2)</f>
        <v>14.15</v>
      </c>
      <c r="NV5" s="61">
        <f>IF($CX5="P",CJ5,(CJ5+BF5)/2)</f>
        <v>9.0250000000000004</v>
      </c>
      <c r="NW5" s="61">
        <f>IF($CX5="P",CK5,(CK5+BG5)/2)</f>
        <v>11.65</v>
      </c>
      <c r="NX5" s="61">
        <f>IF($CX5="P",CL5,(CL5+BH5)/2)</f>
        <v>14.192499999999999</v>
      </c>
      <c r="NY5" s="61">
        <f>IF($CX5="P",CM5,(CM5+BI5)/2)</f>
        <v>0</v>
      </c>
      <c r="NZ5" s="61">
        <f>IF($CX5="P",CN5,(CN5+BJ5)/2)</f>
        <v>0</v>
      </c>
      <c r="OA5" s="61">
        <f>IF($CX5="P",CO5,(CO5+BK5)/2)</f>
        <v>0</v>
      </c>
      <c r="OB5" s="61">
        <f>IF($CX5="P",CP5,(CP5+BL5)/2)</f>
        <v>0</v>
      </c>
      <c r="OC5" s="61">
        <f>IF($CX5="P",CQ5,(CQ5+BM5)/2)</f>
        <v>0</v>
      </c>
      <c r="OD5" s="61">
        <f>IF($CX5="P",CR5,(CR5+BN5)/2)</f>
        <v>0</v>
      </c>
      <c r="OE5" s="61">
        <f>IF($CX5="P",CS5,(CS5+BO5)/2)</f>
        <v>9.43</v>
      </c>
      <c r="OF5" s="61">
        <f>IF($CX5="P",CT5,(CT5+BP5)/2)</f>
        <v>5.85</v>
      </c>
      <c r="OG5" s="61">
        <f>IF($CX5="P",CU5,(CU5+BQ5)/2)</f>
        <v>7.4</v>
      </c>
      <c r="OH5" s="61">
        <f>IF($CX5="P",CV5,(CV5+BR5)/2)</f>
        <v>9.370000000000001</v>
      </c>
      <c r="OI5" s="61">
        <f>IF($CX5="P",CW5,(CW5+BS5)/2)</f>
        <v>0</v>
      </c>
      <c r="OJ5" s="72" t="s">
        <v>52</v>
      </c>
      <c r="OK5" s="11">
        <f>IF(SUM(NP5:NS5)-NT5&gt;0,SUM(NP5:NS5)-NT5,"")</f>
        <v>44.852499999999999</v>
      </c>
      <c r="OL5" s="11">
        <f>IF(NW5&gt;0,NW5,"")</f>
        <v>11.65</v>
      </c>
      <c r="OM5" s="11">
        <f>IF(SUM(NU5:NX5)-NY5&gt;0,SUM(NU5:NX5)-NY5,"")</f>
        <v>49.017499999999998</v>
      </c>
      <c r="ON5" s="11" t="str">
        <f>IF(OB5&gt;0,OB5,"")</f>
        <v/>
      </c>
      <c r="OO5" s="11" t="str">
        <f>IF(SUM(NZ5:OC5)-OD5&gt;0,SUM(NZ5:OC5)-OD5,"")</f>
        <v/>
      </c>
      <c r="OP5" s="11">
        <f>IF(OR(OK5&lt;&gt;"",OM5&lt;&gt;"",OO5&lt;&gt;""),OK5+MAX(OM5,OO5),"")</f>
        <v>93.87</v>
      </c>
      <c r="OQ5" s="11">
        <f>IF(OG5&gt;0,OG5,"")</f>
        <v>7.4</v>
      </c>
      <c r="OR5" s="11">
        <f t="shared" si="0"/>
        <v>32.049999999999997</v>
      </c>
      <c r="OS5" s="11">
        <f t="shared" ref="OS5:OS9" si="1">IF(SUM(OP5,OR5)&gt;0,SUM(OP5,OR5),"")</f>
        <v>125.92</v>
      </c>
    </row>
    <row r="6" spans="1:409" x14ac:dyDescent="0.2">
      <c r="A6" s="5" cm="1">
        <f t="array" ref="A6">IF(AND(G6&lt;&gt;"",H6&lt;&gt;""),SUMPRODUCT((G$4:G$20&lt;&gt;"")*(H$4:H$20&lt;&gt;"")*(E$4:E$20&gt;E6))+1,IF(H6&lt;&gt;"",SUMPRODUCT((I$4:I$20="No DD")*(E$4:E$20&gt;E6))+1+SUMPRODUCT((G$4:G$20&lt;&gt;"")*(H$4:H$20&lt;&gt;"")),""))</f>
        <v>3</v>
      </c>
      <c r="B6" s="8" t="s">
        <v>131</v>
      </c>
      <c r="C6" s="4" t="s">
        <v>5</v>
      </c>
      <c r="D6" s="26">
        <v>2001</v>
      </c>
      <c r="E6" s="15">
        <f>SUM(O6:S6)</f>
        <v>98.86</v>
      </c>
      <c r="F6" s="3" t="str">
        <f>IF(G6&lt;&gt;"","P","")</f>
        <v>P</v>
      </c>
      <c r="G6" s="115" t="str">
        <f>IF(OR(AND(AR6&gt;=AY$25,AR6&lt;&gt;"",AP6=""),AND(AT6&gt;=AY$25,AT6&lt;&gt;"",AP6=""),AND(AW6&gt;=AY$25,AW6&lt;&gt;"",AP6=""),AND(BV6&gt;=CC$25,BV6&lt;&gt;"",BT6=""),AND(BX6&gt;=CC$25,BX6&lt;&gt;"",BT6=""),AND(CA6&gt;=CC$25,CA6&lt;&gt;"",BT6=""),AND(CZ6&gt;=DG$25,CZ6&lt;&gt;"",CX6=""),AND(DB6&gt;=DG$25,DB6&lt;&gt;"",CX6=""),AND(DE6&gt;=DG$25,DE6&lt;&gt;"",CX6=""),AND(EA6&gt;=EG$25,EA6&lt;&gt;""),AND(EE6&gt;=EG$25,EE6&lt;&gt;""),AND(EW6&gt;=FC$25,EW6&lt;&gt;""),AND(FA6&gt;=FC$25,FA6&lt;&gt;""),AND(FS6&gt;=FY$25,FS6&lt;&gt;""),AND(FW6&gt;=FY$25,FW6&lt;&gt;""),AND(GO6&gt;=GU$25,GO6&lt;&gt;""),AND(GS6&gt;=GU$25,GS6&lt;&gt;""),AND(HK6&gt;=HQ$25,HK6&lt;&gt;""),AND(HO6&gt;=HQ$25,HO6&lt;&gt;""),AND(IG6&gt;=IM$25,IG6&lt;&gt;""),AND(IK6&gt;=IM$25,IK6&lt;&gt;""),AND(JC6&gt;=JI$25,JC6&lt;&gt;""),AND(JG6&gt;=JI$25,JG6&lt;&gt;""),AND(JY6&gt;=KE$25,JY6&lt;&gt;""),AND(KC6&gt;=KE$25,KC6&lt;&gt;""),AND(KU6&gt;=LA$25,KU6&lt;&gt;""),AND(KY6&gt;=LA$25,KY6&lt;&gt;""),AND(LQ6&gt;=LW$25,LQ6&lt;&gt;""),AND(LU6&gt;=LW$25,LU6&lt;&gt;""),AND(MM6&gt;=MS$25,MM6&lt;&gt;""),AND(MQ6&gt;=MS$25,MQ6&lt;&gt;""),AND(NI6&gt;=NO$25,NI6&lt;&gt;""),AND(NM6&gt;=NO$25,NM6&lt;&gt;"")),"Merit",IF(OR(AND(AR6&gt;=AY$24,AR6&lt;&gt;"",AP6=""),AND(AT6&gt;=AY$24,AT6&lt;&gt;"",AP6=""),AND(AW6&gt;=AY$24,AW6&lt;&gt;"",AP6=""),AND(BV6&gt;=CC$24,BV6&lt;&gt;"",BT6=""),AND(BX6&gt;=CC$24,BX6&lt;&gt;"",BT6=""),AND(CA6&gt;=CC$24,CA6&lt;&gt;"",BT6=""),AND(CZ6&gt;=DG$24,CZ6&lt;&gt;"",CX6=""),AND(DB6&gt;=DG$24,DB6&lt;&gt;"",CX6=""),AND(DE6&gt;=DG$24,DE6&lt;&gt;"",CX6=""),AND(EA6&gt;=EG$24,EA6&lt;&gt;""),AND(EE6&gt;=EG$24,EE6&lt;&gt;""),AND(EW6&gt;=FC$24,EW6&lt;&gt;""),AND(FA6&gt;=FC$24,FA6&lt;&gt;""),AND(FS6&gt;=FY$24,FS6&lt;&gt;""),AND(FW6&gt;=FY$24,FW6&lt;&gt;""),AND(GO6&gt;=GU$24,GO6&lt;&gt;""),AND(GS6&gt;=GU$24,GS6&lt;&gt;""),AND(HK6&gt;=HQ$24,HK6&lt;&gt;""),AND(HO6&gt;=HQ$24,HO6&lt;&gt;""),AND(IG6&gt;=IM$24,IG6&lt;&gt;""),AND(IK6&gt;=IM$24,IK6&lt;&gt;""),AND(JC6&gt;=JI$24,JC6&lt;&gt;""),AND(JG6&gt;=JI$24,JG6&lt;&gt;""),AND(JY6&gt;=KE$24,JY6&lt;&gt;""),AND(KC6&gt;=KE$24,KC6&lt;&gt;""),AND(KU6&gt;=LA$24,KU6&lt;&gt;""),AND(KY6&gt;=LA$24,KY6&lt;&gt;""),AND(LQ6&gt;=LW$24,LQ6&lt;&gt;""),AND(LU6&gt;=LW$24,LU6&lt;&gt;""),AND(MM6&gt;=MS$24,MM6&lt;&gt;""),AND(MQ6&gt;=MS$24,MQ6&lt;&gt;""),AND(NI6&gt;=NO$24,NI6&lt;&gt;""),AND(NM6&gt;=NO$24,NM6&lt;&gt;"")),"Excellence",IF(OR(AND(AR6&gt;=AY$23,AR6&lt;&gt;"",AP6=""),AND(AT6&gt;=AY$23,AT6&lt;&gt;"",AP6=""),AND(AW6&gt;=AY$23,AW6&lt;&gt;"",AP6=""),AND(BV6&gt;=CC$23,BV6&lt;&gt;"",BT6=""),AND(BX6&gt;=CC$23,BX6&lt;&gt;"",BT6=""),AND(CA6&gt;=CC$23,CA6&lt;&gt;"",BT6=""),AND(CZ6&gt;=DG$23,CZ6&lt;&gt;"",CX6=""),AND(DB6&gt;=DG$23,DB6&lt;&gt;"",CX6=""),AND(DE6&gt;=DG$23,DE6&lt;&gt;"",CX6=""),AND(EA6&gt;=EG$23,EA6&lt;&gt;""),AND(EE6&gt;=EG$23,EE6&lt;&gt;""),AND(EW6&gt;=FC$23,EW6&lt;&gt;""),AND(FA6&gt;=FC$23,FA6&lt;&gt;""),AND(FS6&gt;=FY$23,FS6&lt;&gt;""),AND(FW6&gt;=FY$23,FW6&lt;&gt;""),AND(GO6&gt;=GU$23,GO6&lt;&gt;""),AND(GS6&gt;=GU$23,GS6&lt;&gt;""),AND(HK6&gt;=HQ$23,HK6&lt;&gt;""),AND(HO6&gt;=HQ$23,HO6&lt;&gt;""),AND(IG6&gt;=IM$23,IG6&lt;&gt;""),AND(IK6&gt;=IM$23,IK6&lt;&gt;""),AND(JC6&gt;=JI$23,JC6&lt;&gt;""),AND(JG6&gt;=JI$23,JG6&lt;&gt;""),AND(JY6&gt;=KE$23,JY6&lt;&gt;""),AND(KC6&gt;=KE$23,KC6&lt;&gt;""),AND(KU6&gt;=LA$23,KU6&lt;&gt;""),AND(KY6&gt;=LA$23,KY6&lt;&gt;""),AND(LQ6&gt;=LW$23,LQ6&lt;&gt;""),AND(LU6&gt;=LW$23,LU6&lt;&gt;""),AND(MM6&gt;=MS$23,MM6&lt;&gt;""),AND(MQ6&gt;=MS$23,MQ6&lt;&gt;""),AND(NI6&gt;=NO$23,NI6&lt;&gt;""),AND(NM6&gt;=NO$23,NM6&lt;&gt;"")),"Worlds Team",IF(OR(AND(AR6&gt;=AY$22,AR6&lt;&gt;"",AP6=""),AND(AT6&gt;=AY$22,AT6&lt;&gt;"",AP6=""),AND(AW6&gt;=AY$22,AW6&lt;&gt;"",AP6=""),AND(BV6&gt;=CC$22,BV6&lt;&gt;"",BT6=""),AND(BX6&gt;=CC$22,BX6&lt;&gt;"",BT6=""),AND(CA6&gt;=CC$22,CA6&lt;&gt;"",BT6=""),AND(CZ6&gt;=DG$22,CZ6&lt;&gt;"",CX6=""),AND(DB6&gt;=DG$22,DB6&lt;&gt;"",CX6=""),AND(DE6&gt;=DG$22,DE6&lt;&gt;"",CX6=""),AND(EA6&gt;=EG$22,EA6&lt;&gt;""),AND(EE6&gt;=EG$22,EE6&lt;&gt;""),AND(EW6&gt;=FC$22,EW6&lt;&gt;""),AND(FA6&gt;=FC$22,FA6&lt;&gt;""),AND(FS6&gt;=FY$22,FS6&lt;&gt;""),AND(FW6&gt;=FY$22,FW6&lt;&gt;""),AND(GO6&gt;=GU$22,GO6&lt;&gt;""),AND(GS6&gt;=GU$22,GS6&lt;&gt;""),AND(HK6&gt;=HQ$22,HK6&lt;&gt;""),AND(HO6&gt;=HQ$22,HO6&lt;&gt;""),AND(IG6&gt;=IM$22,IG6&lt;&gt;""),AND(IK6&gt;=IM$22,IK6&lt;&gt;""),AND(JC6&gt;=JI$22,JC6&lt;&gt;""),AND(JG6&gt;=JI$22,JG6&lt;&gt;""),AND(JY6&gt;=KE$22,JY6&lt;&gt;""),AND(KC6&gt;=KE$22,KC6&lt;&gt;""),AND(KU6&gt;=LA$22,KU6&lt;&gt;""),AND(KY6&gt;=LA$22,KY6&lt;&gt;""),AND(LQ6&gt;=LW$22,LQ6&lt;&gt;""),AND(LU6&gt;=LW$22,LU6&lt;&gt;""),AND(MM6&gt;=MS$22,MM6&lt;&gt;""),AND(MQ6&gt;=MS$22,MQ6&lt;&gt;""),AND(NI6&gt;=NO$22,NI6&lt;&gt;""),AND(NM6&gt;=NO$22,NM6&lt;&gt;"")),"National Team",""))))</f>
        <v>National Team</v>
      </c>
      <c r="H6" s="115" t="str">
        <f>IF(OR(AND(AS6&gt;=AY$26,AS6&lt;&gt;"",AP6=""),AND(AU6&gt;=AY$26,AU6&lt;&gt;"",AP6=""),AND(AX6&gt;=AY$26,AX6&lt;&gt;"",AP6=""),AND(BW6&gt;=CC$26,BW6&lt;&gt;"",BT6=""),AND(BY6&gt;=CC$26,BY6&lt;&gt;"",BT6=""),AND(CB6&gt;=CC$26,CB6&lt;&gt;"",BT6=""),AND(DA6&gt;=DG$26,DA6&lt;&gt;"",CX6=""),AND(DC6&gt;=DG$26,DC6&lt;&gt;"",CX6=""),AND(DF6&gt;=DG$26,DF6&lt;&gt;"",CX6=""),AND(EC6&gt;=EG$26,EC6&lt;&gt;""),AND(EF6&gt;=EG$26,EF6&lt;&gt;""),AND(EY6&gt;=FC$26,EY6&lt;&gt;""),AND(FB6&gt;=FC$26,FB6&lt;&gt;""),AND(FU6&gt;=FY$26,FU6&lt;&gt;""),AND(FX6&gt;=FY$26,FX6&lt;&gt;""),AND(GQ6&gt;=GU$26,GQ6&lt;&gt;""),AND(GT6&gt;=GU$26,GT6&lt;&gt;""),AND(HM6&gt;=HQ$26,HM6&lt;&gt;""),AND(HP6&gt;=HQ$26,HP6&lt;&gt;""),AND(II6&gt;=IM$26,II6&lt;&gt;""),AND(IL6&gt;=IM$26,IL6&lt;&gt;""),AND(JE6&gt;=JI$26,JE6&lt;&gt;""),AND(JH6&gt;=JI$26,JH6&lt;&gt;""),AND(KA6&gt;=KE$26,KA6&lt;&gt;""),AND(KD6&gt;=KE$26,KD6&lt;&gt;""),AND(KW6&gt;=LA$26,KW6&lt;&gt;""),AND(KZ6&gt;=LA$26,KZ6&lt;&gt;""),AND(LS6&gt;=LW$26,LS6&lt;&gt;""),AND(LV6&gt;=LW$26,LV6&lt;&gt;""),AND(MO6&gt;=MS$26,MO6&lt;&gt;""),AND(MR6&gt;=MS$26,MR6&lt;&gt;""),AND(NK6&gt;=NO$26,NK6&lt;&gt;""),AND(NN6&gt;=NO$26,NN6&lt;&gt;"")),"National Team","")</f>
        <v>National Team</v>
      </c>
      <c r="I6" s="11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National Team</v>
      </c>
      <c r="J6" s="3" t="str">
        <f>IF(AND(OR(AND(AV6&gt;=AY$27,AV6&lt;&gt;"",AP6=""),AND(BZ6&gt;=CC$27,BZ6&lt;&gt;"",BT6=""),AND(DD6&gt;=DG$27,DD6&lt;&gt;"",CX6=""),AND(ED6&gt;=EG$27,ED6&lt;&gt;""),AND(EZ6&gt;=FC$27,EZ6&lt;&gt;""),AND(FV6&gt;=FY$27,FV6&lt;&gt;""),AND(GR6&gt;=GU$27,GR6&lt;&gt;""),AND(HN6&gt;=HQ$27,HN6&lt;&gt;""),AND(IJ6&gt;=IM$27,IJ6&lt;&gt;""),AND(JF6&gt;=JI$27,JF6&lt;&gt;""),AND(KB6&gt;=KE$27,KB6&lt;&gt;""),AND(KX6&gt;=LA$27,KX6&lt;&gt;""),AND(LT6&gt;=LW$27,LT6&lt;&gt;""),AND(MP6&gt;=MS$27,MP6&lt;&gt;""),AND(NL6&gt;=NO$27,NL6&lt;&gt;"")),OR(G6="Worlds Team",G6="Excellence",G6="Merit")),"P","")</f>
        <v/>
      </c>
      <c r="K6" s="14">
        <f>IF(MAX(AV6,BZ6,DD6)&gt;0,MAX(AV6,BZ6,DD6),0)</f>
        <v>94.539999999999992</v>
      </c>
      <c r="L6" s="14" t="str">
        <f>IF(K6=0,"",IF(K6=DD6,$CD$1,IF(K6=BZ6,$AZ$1,IF(K6=AV6,$V$1,""))))</f>
        <v>2019 Elite Canada</v>
      </c>
      <c r="M6" s="14">
        <f>IF($K6=$AV6,MAX(BU6,CY6),IF($K6=$BZ6,MAX(AQ6,CY6),IF($K6=$DD6,MAX(AQ6,BU6),MAX(AQ6,BU6,CY6))))</f>
        <v>45.314999999999998</v>
      </c>
      <c r="N6" s="14" t="str">
        <f>IF(M6=0,"",IF(AND(M6=CY6,$L6&lt;&gt;$CD$1),$CD$1,IF(AND(M6=BU6,$L6&lt;&gt;$AZ$1),$AZ$1,IF(AND(M6=AQ6,$L6&lt;&gt;$V$1),$V$1,""))))</f>
        <v>2019 Nationals</v>
      </c>
      <c r="O6" s="14">
        <f>MAX(AS6,AU6,AX6,BW6,BY6,CB6,DA6,DC6,DF6)</f>
        <v>50.03</v>
      </c>
      <c r="P6" s="14" t="str">
        <f>IF(O6=0,"",IF(OR(O6=DC6,O6=DA6,O6=DF6),$CD$1,IF(OR(O6=BY6,O6=BW6,O6=CB6),$AZ$1,IF(OR(O6=AU6,O6=AS6,O6=AX6),$V$1,""))))</f>
        <v>2019 Elite Canada</v>
      </c>
      <c r="Q6" s="14">
        <f>IF(COUNT(AS6,AU6,AX6,BW6,BY6,CB6,DA6,DC6,DF6)&gt;1,LARGE((AS6,AU6,AX6,BW6,BY6,CB6,DA6,DC6,DF6),2),0)</f>
        <v>48.559999999999995</v>
      </c>
      <c r="R6" s="14" t="str">
        <f>IF(Q6=0,"",IF(OR(Q6=DC6,Q6=DA6,Q6=DF6),$CD$1,IF(OR(Q6=BY6,Q6=BW6,Q6=CB6),$AZ$1,IF(OR(Q6=AU6,Q6=AS6,Q6=AX6),$V$1,""))))</f>
        <v>2021 1st Virtual Technical Trial</v>
      </c>
      <c r="S6" s="14">
        <f>IF(MAX(DI6,DK6)&gt;0,MAX(DI6,DK6),"")</f>
        <v>0.26999999999999602</v>
      </c>
      <c r="T6" s="24" t="str">
        <f>IF(S6="","",IF(S6=DH6,"(Vol 1)",IF(S6=DI6,"(Vol 2)",IF(S6=DJ6,"(Prelim)",IF(S6=DK6,"(Final)")))))</f>
        <v>(Vol 2)</v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>2019 WAGC (Dec 7)</v>
      </c>
      <c r="V6" s="61">
        <v>15.8</v>
      </c>
      <c r="W6" s="61">
        <v>9.6999999999999993</v>
      </c>
      <c r="X6" s="61">
        <v>3.5</v>
      </c>
      <c r="Y6" s="61">
        <v>15.51</v>
      </c>
      <c r="Z6" s="61">
        <v>0</v>
      </c>
      <c r="AA6" s="61">
        <v>13.4</v>
      </c>
      <c r="AB6" s="61">
        <v>9.15</v>
      </c>
      <c r="AC6" s="61">
        <v>13.1</v>
      </c>
      <c r="AD6" s="61">
        <v>14.38</v>
      </c>
      <c r="AE6" s="61">
        <v>0</v>
      </c>
      <c r="AF6" s="61"/>
      <c r="AG6" s="61"/>
      <c r="AH6" s="61"/>
      <c r="AI6" s="61"/>
      <c r="AJ6" s="61"/>
      <c r="AK6" s="61">
        <v>11</v>
      </c>
      <c r="AL6" s="61">
        <v>8.85</v>
      </c>
      <c r="AM6" s="61">
        <v>12.9</v>
      </c>
      <c r="AN6" s="61">
        <v>13.984999999999999</v>
      </c>
      <c r="AO6" s="61">
        <v>0</v>
      </c>
      <c r="AP6" s="72"/>
      <c r="AQ6" s="11">
        <f>IF(SUM(V6:Y6)-Z6&gt;0,SUM(V6:Y6)-Z6,"")</f>
        <v>44.51</v>
      </c>
      <c r="AR6" s="11">
        <f>IF(AC6&gt;0,AC6,"")</f>
        <v>13.1</v>
      </c>
      <c r="AS6" s="11">
        <f>IF(SUM(AA6:AD6)-AE6&gt;0,SUM(AA6:AD6)-AE6,"")</f>
        <v>50.03</v>
      </c>
      <c r="AT6" s="11" t="str">
        <f>IF(AH6&gt;0,AH6,"")</f>
        <v/>
      </c>
      <c r="AU6" s="11" t="str">
        <f>IF(SUM(AF6:AI6)-AJ6&gt;0,SUM(AF6:AI6)-AJ6,"")</f>
        <v/>
      </c>
      <c r="AV6" s="11">
        <f>IF(OR(AQ6&lt;&gt;"",AS6&lt;&gt;"",AU6&lt;&gt;""),AQ6+MAX(AS6,AU6),"")</f>
        <v>94.539999999999992</v>
      </c>
      <c r="AW6" s="11">
        <f>IF(AM6&gt;0,AM6,"")</f>
        <v>12.9</v>
      </c>
      <c r="AX6" s="11">
        <f>IF(SUM(AK6:AN6)-AO6&gt;0,SUM(AK6:AN6)-AO6,"")</f>
        <v>46.734999999999999</v>
      </c>
      <c r="AY6" s="11">
        <f>IF(SUM(AV6,AX6)&gt;0,SUM(AV6,AX6),"")</f>
        <v>141.27499999999998</v>
      </c>
      <c r="AZ6" s="67">
        <v>17.2</v>
      </c>
      <c r="BA6" s="67">
        <v>9.6</v>
      </c>
      <c r="BB6" s="67">
        <v>3.5</v>
      </c>
      <c r="BC6" s="67">
        <v>15.015000000000001</v>
      </c>
      <c r="BD6" s="67">
        <v>0</v>
      </c>
      <c r="BE6" s="67">
        <v>13.2</v>
      </c>
      <c r="BF6" s="67">
        <v>8.3000000000000007</v>
      </c>
      <c r="BG6" s="67">
        <v>13.1</v>
      </c>
      <c r="BH6" s="67">
        <v>14.06</v>
      </c>
      <c r="BI6" s="67">
        <v>0.2</v>
      </c>
      <c r="BJ6" s="67"/>
      <c r="BK6" s="67"/>
      <c r="BL6" s="67"/>
      <c r="BM6" s="67"/>
      <c r="BN6" s="67"/>
      <c r="BO6" s="67">
        <v>2.44</v>
      </c>
      <c r="BP6" s="67">
        <v>1.6</v>
      </c>
      <c r="BQ6" s="67">
        <v>3.1</v>
      </c>
      <c r="BR6" s="67">
        <v>2.9449999999999998</v>
      </c>
      <c r="BS6" s="67">
        <v>0</v>
      </c>
      <c r="BT6" s="73"/>
      <c r="BU6" s="14">
        <f>IF(SUM(AZ6:BC6)-BD6&gt;0,SUM(AZ6:BC6)-BD6,"")</f>
        <v>45.314999999999998</v>
      </c>
      <c r="BV6" s="14">
        <f>IF(BG6&gt;0,BG6,"")</f>
        <v>13.1</v>
      </c>
      <c r="BW6" s="14">
        <f>IF(SUM(BE6:BH6)-BI6&gt;0,SUM(BE6:BH6)-BI6,"")</f>
        <v>48.46</v>
      </c>
      <c r="BX6" s="14" t="str">
        <f>IF(BL6&gt;0,BL6,"")</f>
        <v/>
      </c>
      <c r="BY6" s="14" t="str">
        <f>IF(SUM(BJ6:BM6)-BN6&gt;0,SUM(BJ6:BM6)-BN6,"")</f>
        <v/>
      </c>
      <c r="BZ6" s="14">
        <f>IF(BU6="",IF(MAX(BW6,BY6)&gt;0,MAX(BW6,BY6),""),MAX(BW6,BY6)+BU6)</f>
        <v>93.775000000000006</v>
      </c>
      <c r="CA6" s="14">
        <f>IF(BQ6&gt;0,BQ6,"")</f>
        <v>3.1</v>
      </c>
      <c r="CB6" s="14">
        <f>IF(SUM(BO6:BR6)-BS6&gt;0,SUM(BO6:BR6)-BS6,"")</f>
        <v>10.085000000000001</v>
      </c>
      <c r="CC6" s="14">
        <f>IF(SUM(BZ6,CB6)&gt;0,SUM(BZ6,CB6),"")</f>
        <v>103.86000000000001</v>
      </c>
      <c r="CD6" s="61">
        <v>16.100000000000001</v>
      </c>
      <c r="CE6" s="61">
        <v>9.4</v>
      </c>
      <c r="CF6" s="61">
        <v>3.4</v>
      </c>
      <c r="CG6" s="61">
        <v>15.005000000000001</v>
      </c>
      <c r="CH6" s="61">
        <v>0</v>
      </c>
      <c r="CI6" s="61">
        <v>13.9</v>
      </c>
      <c r="CJ6" s="61">
        <v>8.9499999999999993</v>
      </c>
      <c r="CK6" s="61">
        <v>11.2</v>
      </c>
      <c r="CL6" s="61">
        <v>14.51</v>
      </c>
      <c r="CM6" s="61">
        <v>0</v>
      </c>
      <c r="CN6" s="61">
        <v>12.8</v>
      </c>
      <c r="CO6" s="61">
        <v>8.6999999999999993</v>
      </c>
      <c r="CP6" s="61">
        <v>12</v>
      </c>
      <c r="CQ6" s="61">
        <v>14.39</v>
      </c>
      <c r="CR6" s="61">
        <v>0</v>
      </c>
      <c r="CS6" s="61">
        <v>10.6</v>
      </c>
      <c r="CT6" s="61">
        <v>8.5500000000000007</v>
      </c>
      <c r="CU6" s="61">
        <v>11</v>
      </c>
      <c r="CV6" s="61">
        <v>12.725</v>
      </c>
      <c r="CW6" s="61">
        <v>0.2</v>
      </c>
      <c r="CX6" s="72"/>
      <c r="CY6" s="11">
        <f>IF(SUM(CD6:CG6)-CH6&gt;0,SUM(CD6:CG6)-CH6,"")</f>
        <v>43.905000000000001</v>
      </c>
      <c r="CZ6" s="11">
        <f>IF(CK6&gt;0,CK6,"")</f>
        <v>11.2</v>
      </c>
      <c r="DA6" s="11">
        <f>IF(SUM(CI6:CL6)-CM6&gt;0,SUM(CI6:CL6)-CM6,"")</f>
        <v>48.559999999999995</v>
      </c>
      <c r="DB6" s="11">
        <f>IF(CP6&gt;0,CP6,"")</f>
        <v>12</v>
      </c>
      <c r="DC6" s="11">
        <f>IF(SUM(CN6:CQ6)-CR6&gt;0,SUM(CN6:CQ6)-CR6,"")</f>
        <v>47.89</v>
      </c>
      <c r="DD6" s="11">
        <f>IF(CY6="",IF(MAX(DA6,DC6)&gt;0,MAX(DA6,DC6),""),MAX(DA6,DC6)+CY6)</f>
        <v>92.465000000000003</v>
      </c>
      <c r="DE6" s="11">
        <f>IF(CU6&gt;0,CU6,"")</f>
        <v>11</v>
      </c>
      <c r="DF6" s="11">
        <f>IF(SUM(CS6:CV6)-CW6&gt;0,SUM(CS6:CV6)-CW6,"")</f>
        <v>42.674999999999997</v>
      </c>
      <c r="DG6" s="11">
        <f>IF(SUM(DD6,DF6)&gt;0,SUM(DD6,DF6),"")</f>
        <v>135.13999999999999</v>
      </c>
      <c r="DH6" s="23" t="str">
        <f>IF(MAX(EB6,EX6,FT6,GP6,HL6,IH6,JD6,JZ6,KV6,LR6,MN6,NJ6)-IF(M6="",0,M6)&gt;0.001,MAX(EB6,EX6,FT6,GP6,HL6,IH6,JD6,JZ6,KV6,LR6,MN6,NJ6)-IF(M6="",0,M6),"")</f>
        <v/>
      </c>
      <c r="DI6" s="23">
        <f>IF(MAX(EC6,EY6,FU6,GQ6,HM6,II6,JE6,KA6,KW6,LS6,MO6,NK6)-IF(O6="",0,O6)&gt;0.001,MAX(EC6,EY6,FU6,GQ6,HM6,II6,JE6,KA6,KW6,LS6,MO6,NK6)-IF(O6="",0,O6),"")</f>
        <v>0.26999999999999602</v>
      </c>
      <c r="DJ6" s="23">
        <f>IF(MAX(ED6,EZ6,FV6,GR6,HN6,IJ6,JF6,KB6,KX6,LT6,MP6,NL6)-IF(K6="",0,K6)&gt;0.001,MAX(ED6,EZ6,FV6,GR6,HN6,IJ6,JF6,KB6,KX6,LT6,MP6,NL6)-IF(K6="",0,K6),"")</f>
        <v>7.000000000000739E-2</v>
      </c>
      <c r="DK6" s="23" t="str">
        <f>IF(MAX(EF6,FB6,FX6,GT6,HP6,IL6,JH6,KD6,KZ6,LV6,MR6,NN6)-IF(Q6="",0,Q6)&gt;0.001,MAX(EF6,FB6,FX6,GT6,HP6,IL6,JH6,KD6,KZ6,LV6,MR6,NN6)-IF(Q6="",0,Q6),"")</f>
        <v/>
      </c>
      <c r="DL6" s="35">
        <v>16.600000000000001</v>
      </c>
      <c r="DM6" s="35">
        <v>9.9</v>
      </c>
      <c r="DN6" s="35">
        <v>2.9</v>
      </c>
      <c r="DO6" s="35">
        <v>14.91</v>
      </c>
      <c r="DP6" s="35">
        <v>0</v>
      </c>
      <c r="DQ6" s="35">
        <v>13.5</v>
      </c>
      <c r="DR6" s="35">
        <v>9.5</v>
      </c>
      <c r="DS6" s="35">
        <v>13.3</v>
      </c>
      <c r="DT6" s="35">
        <v>14</v>
      </c>
      <c r="DU6" s="35">
        <v>0</v>
      </c>
      <c r="DV6" s="35"/>
      <c r="DW6" s="35"/>
      <c r="DX6" s="35"/>
      <c r="DY6" s="35"/>
      <c r="DZ6" s="35"/>
      <c r="EA6" s="11">
        <f>IF(DS6&gt;0,DS6,"")</f>
        <v>13.3</v>
      </c>
      <c r="EB6" s="11">
        <f>IF(SUM(DL6:DO6)-DP6&gt;0,SUM(DL6:DO6)-DP6,"")</f>
        <v>44.31</v>
      </c>
      <c r="EC6" s="11">
        <f>IF(SUM(DQ6:DT6)-DU6&gt;0,SUM(DQ6:DT6)-DU6,"")</f>
        <v>50.3</v>
      </c>
      <c r="ED6" s="11">
        <f>IF(SUM(EB6:EC6)&gt;0,SUM(EB6:EC6),"")</f>
        <v>94.61</v>
      </c>
      <c r="EE6" s="11" t="str">
        <f>IF(DX6&gt;0,DX6,"")</f>
        <v/>
      </c>
      <c r="EF6" s="11" t="str">
        <f>IF(SUM(DV6:DY6)-DZ6&gt;0,SUM(DV6:DY6)-DZ6,"")</f>
        <v/>
      </c>
      <c r="EG6" s="11">
        <f>IF(SUM(ED6,EF6)&gt;0,SUM(ED6,EF6),"")</f>
        <v>94.61</v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35"/>
      <c r="MI6" s="35"/>
      <c r="MJ6" s="35"/>
      <c r="MK6" s="35"/>
      <c r="ML6" s="35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1">
        <f>IF($CX6="P",CD6,(CD6+AZ6)/2)</f>
        <v>16.649999999999999</v>
      </c>
      <c r="NQ6" s="61">
        <f>IF($CX6="P",CE6,(CE6+BA6)/2)</f>
        <v>9.5</v>
      </c>
      <c r="NR6" s="61">
        <f>IF($CX6="P",CF6,(CF6+BB6)/2)</f>
        <v>3.45</v>
      </c>
      <c r="NS6" s="61">
        <f>IF($CX6="P",CG6,(CG6+BC6)/2)</f>
        <v>15.010000000000002</v>
      </c>
      <c r="NT6" s="61">
        <f>IF($CX6="P",CH6,(CH6+BD6)/2)</f>
        <v>0</v>
      </c>
      <c r="NU6" s="61">
        <f>IF($CX6="P",CI6,(CI6+BE6)/2)</f>
        <v>13.55</v>
      </c>
      <c r="NV6" s="61">
        <f>IF($CX6="P",CJ6,(CJ6+BF6)/2)</f>
        <v>8.625</v>
      </c>
      <c r="NW6" s="61">
        <f>IF($CX6="P",CK6,(CK6+BG6)/2)</f>
        <v>12.149999999999999</v>
      </c>
      <c r="NX6" s="61">
        <f>IF($CX6="P",CL6,(CL6+BH6)/2)</f>
        <v>14.285</v>
      </c>
      <c r="NY6" s="61">
        <f>IF($CX6="P",CM6,(CM6+BI6)/2)</f>
        <v>0.1</v>
      </c>
      <c r="NZ6" s="61">
        <f>IF($CX6="P",CN6,(CN6+BJ6)/2)</f>
        <v>6.4</v>
      </c>
      <c r="OA6" s="61">
        <f>IF($CX6="P",CO6,(CO6+BK6)/2)</f>
        <v>4.3499999999999996</v>
      </c>
      <c r="OB6" s="61">
        <f>IF($CX6="P",CP6,(CP6+BL6)/2)</f>
        <v>6</v>
      </c>
      <c r="OC6" s="61">
        <f>IF($CX6="P",CQ6,(CQ6+BM6)/2)</f>
        <v>7.1950000000000003</v>
      </c>
      <c r="OD6" s="61">
        <f>IF($CX6="P",CR6,(CR6+BN6)/2)</f>
        <v>0</v>
      </c>
      <c r="OE6" s="61">
        <f>IF($CX6="P",CS6,(CS6+BO6)/2)</f>
        <v>6.52</v>
      </c>
      <c r="OF6" s="61">
        <f>IF($CX6="P",CT6,(CT6+BP6)/2)</f>
        <v>5.0750000000000002</v>
      </c>
      <c r="OG6" s="61">
        <f>IF($CX6="P",CU6,(CU6+BQ6)/2)</f>
        <v>7.05</v>
      </c>
      <c r="OH6" s="61">
        <f>IF($CX6="P",CV6,(CV6+BR6)/2)</f>
        <v>7.835</v>
      </c>
      <c r="OI6" s="61">
        <f>IF($CX6="P",CW6,(CW6+BS6)/2)</f>
        <v>0.1</v>
      </c>
      <c r="OJ6" s="72" t="s">
        <v>52</v>
      </c>
      <c r="OK6" s="11">
        <f>IF(SUM(NP6:NS6)-NT6&gt;0,SUM(NP6:NS6)-NT6,"")</f>
        <v>44.61</v>
      </c>
      <c r="OL6" s="11">
        <f>IF(NW6&gt;0,NW6,"")</f>
        <v>12.149999999999999</v>
      </c>
      <c r="OM6" s="11">
        <f>IF(SUM(NU6:NX6)-NY6&gt;0,SUM(NU6:NX6)-NY6,"")</f>
        <v>48.51</v>
      </c>
      <c r="ON6" s="11">
        <f>IF(OB6&gt;0,OB6,"")</f>
        <v>6</v>
      </c>
      <c r="OO6" s="11">
        <f>IF(SUM(NZ6:OC6)-OD6&gt;0,SUM(NZ6:OC6)-OD6,"")</f>
        <v>23.945</v>
      </c>
      <c r="OP6" s="11">
        <f>IF(OR(OK6&lt;&gt;"",OM6&lt;&gt;"",OO6&lt;&gt;""),OK6+MAX(OM6,OO6),"")</f>
        <v>93.12</v>
      </c>
      <c r="OQ6" s="11">
        <f>IF(OG6&gt;0,OG6,"")</f>
        <v>7.05</v>
      </c>
      <c r="OR6" s="11">
        <f t="shared" si="0"/>
        <v>26.38</v>
      </c>
      <c r="OS6" s="11">
        <f t="shared" si="1"/>
        <v>119.5</v>
      </c>
    </row>
    <row r="7" spans="1:409" x14ac:dyDescent="0.2">
      <c r="A7" s="5" cm="1">
        <f t="array" ref="A7">IF(AND(G7&lt;&gt;"",H7&lt;&gt;""),SUMPRODUCT((G$4:G$20&lt;&gt;"")*(H$4:H$20&lt;&gt;"")*(E$4:E$20&gt;E7))+1,IF(H7&lt;&gt;"",SUMPRODUCT((I$4:I$20="No DD")*(E$4:E$20&gt;E7))+1+SUMPRODUCT((G$4:G$20&lt;&gt;"")*(H$4:H$20&lt;&gt;"")),""))</f>
        <v>4</v>
      </c>
      <c r="B7" s="6" t="s">
        <v>92</v>
      </c>
      <c r="C7" s="7" t="s">
        <v>3</v>
      </c>
      <c r="D7" s="7">
        <v>2002</v>
      </c>
      <c r="E7" s="15">
        <f>SUM(O7:S7)</f>
        <v>97.74</v>
      </c>
      <c r="F7" s="3" t="str">
        <f>IF(G7&lt;&gt;"","P","")</f>
        <v>P</v>
      </c>
      <c r="G7" s="115" t="str">
        <f>IF(OR(AND(AR7&gt;=AY$25,AR7&lt;&gt;"",AP7=""),AND(AT7&gt;=AY$25,AT7&lt;&gt;"",AP7=""),AND(AW7&gt;=AY$25,AW7&lt;&gt;"",AP7=""),AND(BV7&gt;=CC$25,BV7&lt;&gt;"",BT7=""),AND(BX7&gt;=CC$25,BX7&lt;&gt;"",BT7=""),AND(CA7&gt;=CC$25,CA7&lt;&gt;"",BT7=""),AND(CZ7&gt;=DG$25,CZ7&lt;&gt;"",CX7=""),AND(DB7&gt;=DG$25,DB7&lt;&gt;"",CX7=""),AND(DE7&gt;=DG$25,DE7&lt;&gt;"",CX7=""),AND(EA7&gt;=EG$25,EA7&lt;&gt;""),AND(EE7&gt;=EG$25,EE7&lt;&gt;""),AND(EW7&gt;=FC$25,EW7&lt;&gt;""),AND(FA7&gt;=FC$25,FA7&lt;&gt;""),AND(FS7&gt;=FY$25,FS7&lt;&gt;""),AND(FW7&gt;=FY$25,FW7&lt;&gt;""),AND(GO7&gt;=GU$25,GO7&lt;&gt;""),AND(GS7&gt;=GU$25,GS7&lt;&gt;""),AND(HK7&gt;=HQ$25,HK7&lt;&gt;""),AND(HO7&gt;=HQ$25,HO7&lt;&gt;""),AND(IG7&gt;=IM$25,IG7&lt;&gt;""),AND(IK7&gt;=IM$25,IK7&lt;&gt;""),AND(JC7&gt;=JI$25,JC7&lt;&gt;""),AND(JG7&gt;=JI$25,JG7&lt;&gt;""),AND(JY7&gt;=KE$25,JY7&lt;&gt;""),AND(KC7&gt;=KE$25,KC7&lt;&gt;""),AND(KU7&gt;=LA$25,KU7&lt;&gt;""),AND(KY7&gt;=LA$25,KY7&lt;&gt;""),AND(LQ7&gt;=LW$25,LQ7&lt;&gt;""),AND(LU7&gt;=LW$25,LU7&lt;&gt;""),AND(MM7&gt;=MS$25,MM7&lt;&gt;""),AND(MQ7&gt;=MS$25,MQ7&lt;&gt;""),AND(NI7&gt;=NO$25,NI7&lt;&gt;""),AND(NM7&gt;=NO$25,NM7&lt;&gt;"")),"Merit",IF(OR(AND(AR7&gt;=AY$24,AR7&lt;&gt;"",AP7=""),AND(AT7&gt;=AY$24,AT7&lt;&gt;"",AP7=""),AND(AW7&gt;=AY$24,AW7&lt;&gt;"",AP7=""),AND(BV7&gt;=CC$24,BV7&lt;&gt;"",BT7=""),AND(BX7&gt;=CC$24,BX7&lt;&gt;"",BT7=""),AND(CA7&gt;=CC$24,CA7&lt;&gt;"",BT7=""),AND(CZ7&gt;=DG$24,CZ7&lt;&gt;"",CX7=""),AND(DB7&gt;=DG$24,DB7&lt;&gt;"",CX7=""),AND(DE7&gt;=DG$24,DE7&lt;&gt;"",CX7=""),AND(EA7&gt;=EG$24,EA7&lt;&gt;""),AND(EE7&gt;=EG$24,EE7&lt;&gt;""),AND(EW7&gt;=FC$24,EW7&lt;&gt;""),AND(FA7&gt;=FC$24,FA7&lt;&gt;""),AND(FS7&gt;=FY$24,FS7&lt;&gt;""),AND(FW7&gt;=FY$24,FW7&lt;&gt;""),AND(GO7&gt;=GU$24,GO7&lt;&gt;""),AND(GS7&gt;=GU$24,GS7&lt;&gt;""),AND(HK7&gt;=HQ$24,HK7&lt;&gt;""),AND(HO7&gt;=HQ$24,HO7&lt;&gt;""),AND(IG7&gt;=IM$24,IG7&lt;&gt;""),AND(IK7&gt;=IM$24,IK7&lt;&gt;""),AND(JC7&gt;=JI$24,JC7&lt;&gt;""),AND(JG7&gt;=JI$24,JG7&lt;&gt;""),AND(JY7&gt;=KE$24,JY7&lt;&gt;""),AND(KC7&gt;=KE$24,KC7&lt;&gt;""),AND(KU7&gt;=LA$24,KU7&lt;&gt;""),AND(KY7&gt;=LA$24,KY7&lt;&gt;""),AND(LQ7&gt;=LW$24,LQ7&lt;&gt;""),AND(LU7&gt;=LW$24,LU7&lt;&gt;""),AND(MM7&gt;=MS$24,MM7&lt;&gt;""),AND(MQ7&gt;=MS$24,MQ7&lt;&gt;""),AND(NI7&gt;=NO$24,NI7&lt;&gt;""),AND(NM7&gt;=NO$24,NM7&lt;&gt;"")),"Excellence",IF(OR(AND(AR7&gt;=AY$23,AR7&lt;&gt;"",AP7=""),AND(AT7&gt;=AY$23,AT7&lt;&gt;"",AP7=""),AND(AW7&gt;=AY$23,AW7&lt;&gt;"",AP7=""),AND(BV7&gt;=CC$23,BV7&lt;&gt;"",BT7=""),AND(BX7&gt;=CC$23,BX7&lt;&gt;"",BT7=""),AND(CA7&gt;=CC$23,CA7&lt;&gt;"",BT7=""),AND(CZ7&gt;=DG$23,CZ7&lt;&gt;"",CX7=""),AND(DB7&gt;=DG$23,DB7&lt;&gt;"",CX7=""),AND(DE7&gt;=DG$23,DE7&lt;&gt;"",CX7=""),AND(EA7&gt;=EG$23,EA7&lt;&gt;""),AND(EE7&gt;=EG$23,EE7&lt;&gt;""),AND(EW7&gt;=FC$23,EW7&lt;&gt;""),AND(FA7&gt;=FC$23,FA7&lt;&gt;""),AND(FS7&gt;=FY$23,FS7&lt;&gt;""),AND(FW7&gt;=FY$23,FW7&lt;&gt;""),AND(GO7&gt;=GU$23,GO7&lt;&gt;""),AND(GS7&gt;=GU$23,GS7&lt;&gt;""),AND(HK7&gt;=HQ$23,HK7&lt;&gt;""),AND(HO7&gt;=HQ$23,HO7&lt;&gt;""),AND(IG7&gt;=IM$23,IG7&lt;&gt;""),AND(IK7&gt;=IM$23,IK7&lt;&gt;""),AND(JC7&gt;=JI$23,JC7&lt;&gt;""),AND(JG7&gt;=JI$23,JG7&lt;&gt;""),AND(JY7&gt;=KE$23,JY7&lt;&gt;""),AND(KC7&gt;=KE$23,KC7&lt;&gt;""),AND(KU7&gt;=LA$23,KU7&lt;&gt;""),AND(KY7&gt;=LA$23,KY7&lt;&gt;""),AND(LQ7&gt;=LW$23,LQ7&lt;&gt;""),AND(LU7&gt;=LW$23,LU7&lt;&gt;""),AND(MM7&gt;=MS$23,MM7&lt;&gt;""),AND(MQ7&gt;=MS$23,MQ7&lt;&gt;""),AND(NI7&gt;=NO$23,NI7&lt;&gt;""),AND(NM7&gt;=NO$23,NM7&lt;&gt;"")),"Worlds Team",IF(OR(AND(AR7&gt;=AY$22,AR7&lt;&gt;"",AP7=""),AND(AT7&gt;=AY$22,AT7&lt;&gt;"",AP7=""),AND(AW7&gt;=AY$22,AW7&lt;&gt;"",AP7=""),AND(BV7&gt;=CC$22,BV7&lt;&gt;"",BT7=""),AND(BX7&gt;=CC$22,BX7&lt;&gt;"",BT7=""),AND(CA7&gt;=CC$22,CA7&lt;&gt;"",BT7=""),AND(CZ7&gt;=DG$22,CZ7&lt;&gt;"",CX7=""),AND(DB7&gt;=DG$22,DB7&lt;&gt;"",CX7=""),AND(DE7&gt;=DG$22,DE7&lt;&gt;"",CX7=""),AND(EA7&gt;=EG$22,EA7&lt;&gt;""),AND(EE7&gt;=EG$22,EE7&lt;&gt;""),AND(EW7&gt;=FC$22,EW7&lt;&gt;""),AND(FA7&gt;=FC$22,FA7&lt;&gt;""),AND(FS7&gt;=FY$22,FS7&lt;&gt;""),AND(FW7&gt;=FY$22,FW7&lt;&gt;""),AND(GO7&gt;=GU$22,GO7&lt;&gt;""),AND(GS7&gt;=GU$22,GS7&lt;&gt;""),AND(HK7&gt;=HQ$22,HK7&lt;&gt;""),AND(HO7&gt;=HQ$22,HO7&lt;&gt;""),AND(IG7&gt;=IM$22,IG7&lt;&gt;""),AND(IK7&gt;=IM$22,IK7&lt;&gt;""),AND(JC7&gt;=JI$22,JC7&lt;&gt;""),AND(JG7&gt;=JI$22,JG7&lt;&gt;""),AND(JY7&gt;=KE$22,JY7&lt;&gt;""),AND(KC7&gt;=KE$22,KC7&lt;&gt;""),AND(KU7&gt;=LA$22,KU7&lt;&gt;""),AND(KY7&gt;=LA$22,KY7&lt;&gt;""),AND(LQ7&gt;=LW$22,LQ7&lt;&gt;""),AND(LU7&gt;=LW$22,LU7&lt;&gt;""),AND(MM7&gt;=MS$22,MM7&lt;&gt;""),AND(MQ7&gt;=MS$22,MQ7&lt;&gt;""),AND(NI7&gt;=NO$22,NI7&lt;&gt;""),AND(NM7&gt;=NO$22,NM7&lt;&gt;"")),"National Team",""))))</f>
        <v>National Team</v>
      </c>
      <c r="H7" s="115" t="str">
        <f>IF(OR(AND(AS7&gt;=AY$26,AS7&lt;&gt;"",AP7=""),AND(AU7&gt;=AY$26,AU7&lt;&gt;"",AP7=""),AND(AX7&gt;=AY$26,AX7&lt;&gt;"",AP7=""),AND(BW7&gt;=CC$26,BW7&lt;&gt;"",BT7=""),AND(BY7&gt;=CC$26,BY7&lt;&gt;"",BT7=""),AND(CB7&gt;=CC$26,CB7&lt;&gt;"",BT7=""),AND(DA7&gt;=DG$26,DA7&lt;&gt;"",CX7=""),AND(DC7&gt;=DG$26,DC7&lt;&gt;"",CX7=""),AND(DF7&gt;=DG$26,DF7&lt;&gt;"",CX7=""),AND(EC7&gt;=EG$26,EC7&lt;&gt;""),AND(EF7&gt;=EG$26,EF7&lt;&gt;""),AND(EY7&gt;=FC$26,EY7&lt;&gt;""),AND(FB7&gt;=FC$26,FB7&lt;&gt;""),AND(FU7&gt;=FY$26,FU7&lt;&gt;""),AND(FX7&gt;=FY$26,FX7&lt;&gt;""),AND(GQ7&gt;=GU$26,GQ7&lt;&gt;""),AND(GT7&gt;=GU$26,GT7&lt;&gt;""),AND(HM7&gt;=HQ$26,HM7&lt;&gt;""),AND(HP7&gt;=HQ$26,HP7&lt;&gt;""),AND(II7&gt;=IM$26,II7&lt;&gt;""),AND(IL7&gt;=IM$26,IL7&lt;&gt;""),AND(JE7&gt;=JI$26,JE7&lt;&gt;""),AND(JH7&gt;=JI$26,JH7&lt;&gt;""),AND(KA7&gt;=KE$26,KA7&lt;&gt;""),AND(KD7&gt;=KE$26,KD7&lt;&gt;""),AND(KW7&gt;=LA$26,KW7&lt;&gt;""),AND(KZ7&gt;=LA$26,KZ7&lt;&gt;""),AND(LS7&gt;=LW$26,LS7&lt;&gt;""),AND(LV7&gt;=LW$26,LV7&lt;&gt;""),AND(MO7&gt;=MS$26,MO7&lt;&gt;""),AND(MR7&gt;=MS$26,MR7&lt;&gt;""),AND(NK7&gt;=NO$26,NK7&lt;&gt;""),AND(NN7&gt;=NO$26,NN7&lt;&gt;"")),"National Team","")</f>
        <v>National Team</v>
      </c>
      <c r="I7" s="11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National Team</v>
      </c>
      <c r="J7" s="3" t="str">
        <f>IF(AND(OR(AND(AV7&gt;=AY$27,AV7&lt;&gt;"",AP7=""),AND(BZ7&gt;=CC$27,BZ7&lt;&gt;"",BT7=""),AND(DD7&gt;=DG$27,DD7&lt;&gt;"",CX7=""),AND(ED7&gt;=EG$27,ED7&lt;&gt;""),AND(EZ7&gt;=FC$27,EZ7&lt;&gt;""),AND(FV7&gt;=FY$27,FV7&lt;&gt;""),AND(GR7&gt;=GU$27,GR7&lt;&gt;""),AND(HN7&gt;=HQ$27,HN7&lt;&gt;""),AND(IJ7&gt;=IM$27,IJ7&lt;&gt;""),AND(JF7&gt;=JI$27,JF7&lt;&gt;""),AND(KB7&gt;=KE$27,KB7&lt;&gt;""),AND(KX7&gt;=LA$27,KX7&lt;&gt;""),AND(LT7&gt;=LW$27,LT7&lt;&gt;""),AND(MP7&gt;=MS$27,MP7&lt;&gt;""),AND(NL7&gt;=NO$27,NL7&lt;&gt;"")),OR(G7="Worlds Team",G7="Excellence",G7="Merit")),"P","")</f>
        <v/>
      </c>
      <c r="K7" s="14">
        <f>IF(MAX(AV7,BZ7,DD7)&gt;0,MAX(AV7,BZ7,DD7),0)</f>
        <v>93.284999999999997</v>
      </c>
      <c r="L7" s="14" t="str">
        <f>IF(K7=0,"",IF(K7=DD7,$CD$1,IF(K7=BZ7,$AZ$1,IF(K7=AV7,$V$1,""))))</f>
        <v>2019 Nationals</v>
      </c>
      <c r="M7" s="14">
        <f>IF($K7=$AV7,MAX(BU7,CY7),IF($K7=$BZ7,MAX(AQ7,CY7),IF($K7=$DD7,MAX(AQ7,BU7),MAX(AQ7,BU7,CY7))))</f>
        <v>43.16</v>
      </c>
      <c r="N7" s="14" t="str">
        <f>IF(M7=0,"",IF(AND(M7=CY7,$L7&lt;&gt;$CD$1),$CD$1,IF(AND(M7=BU7,$L7&lt;&gt;$AZ$1),$AZ$1,IF(AND(M7=AQ7,$L7&lt;&gt;$V$1),$V$1,""))))</f>
        <v>2019 Elite Canada</v>
      </c>
      <c r="O7" s="14">
        <f>MAX(AS7,AU7,AX7,BW7,BY7,CB7,DA7,DC7,DF7)</f>
        <v>49.209999999999994</v>
      </c>
      <c r="P7" s="14" t="str">
        <f>IF(O7=0,"",IF(OR(O7=DC7,O7=DA7,O7=DF7),$CD$1,IF(OR(O7=BY7,O7=BW7,O7=CB7),$AZ$1,IF(OR(O7=AU7,O7=AS7,O7=AX7),$V$1,""))))</f>
        <v>2019 Elite Canada</v>
      </c>
      <c r="Q7" s="14">
        <f>IF(COUNT(AS7,AU7,AX7,BW7,BY7,CB7,DA7,DC7,DF7)&gt;1,LARGE((AS7,AU7,AX7,BW7,BY7,CB7,DA7,DC7,DF7),2),0)</f>
        <v>48.53</v>
      </c>
      <c r="R7" s="14" t="str">
        <f>IF(Q7=0,"",IF(OR(Q7=DC7,Q7=DA7,Q7=DF7),$CD$1,IF(OR(Q7=BY7,Q7=BW7,Q7=CB7),$AZ$1,IF(OR(Q7=AU7,Q7=AS7,Q7=AX7),$V$1,""))))</f>
        <v>2019 Nationals</v>
      </c>
      <c r="S7" s="14" t="str">
        <f>IF(MAX(DI7,DK7)&gt;0,MAX(DI7,DK7),"")</f>
        <v/>
      </c>
      <c r="T7" s="24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1">
        <v>15</v>
      </c>
      <c r="W7" s="61">
        <v>8.75</v>
      </c>
      <c r="X7" s="61">
        <v>4.4000000000000004</v>
      </c>
      <c r="Y7" s="61">
        <v>15.01</v>
      </c>
      <c r="Z7" s="61">
        <v>0</v>
      </c>
      <c r="AA7" s="61">
        <v>15.1</v>
      </c>
      <c r="AB7" s="61">
        <v>8.9499999999999993</v>
      </c>
      <c r="AC7" s="61">
        <v>10.5</v>
      </c>
      <c r="AD7" s="61">
        <v>14.66</v>
      </c>
      <c r="AE7" s="61">
        <v>0</v>
      </c>
      <c r="AF7" s="61"/>
      <c r="AG7" s="61"/>
      <c r="AH7" s="61"/>
      <c r="AI7" s="61"/>
      <c r="AJ7" s="61"/>
      <c r="AK7" s="61">
        <v>14.7</v>
      </c>
      <c r="AL7" s="61">
        <v>8.6999999999999993</v>
      </c>
      <c r="AM7" s="61">
        <v>9.3000000000000007</v>
      </c>
      <c r="AN7" s="61">
        <v>14.64</v>
      </c>
      <c r="AO7" s="61">
        <v>0.2</v>
      </c>
      <c r="AP7" s="72"/>
      <c r="AQ7" s="11">
        <f>IF(SUM(V7:Y7)-Z7&gt;0,SUM(V7:Y7)-Z7,"")</f>
        <v>43.16</v>
      </c>
      <c r="AR7" s="11">
        <f>IF(AC7&gt;0,AC7,"")</f>
        <v>10.5</v>
      </c>
      <c r="AS7" s="11">
        <f>IF(SUM(AA7:AD7)-AE7&gt;0,SUM(AA7:AD7)-AE7,"")</f>
        <v>49.209999999999994</v>
      </c>
      <c r="AT7" s="11" t="str">
        <f>IF(AH7&gt;0,AH7,"")</f>
        <v/>
      </c>
      <c r="AU7" s="11" t="str">
        <f>IF(SUM(AF7:AI7)-AJ7&gt;0,SUM(AF7:AI7)-AJ7,"")</f>
        <v/>
      </c>
      <c r="AV7" s="11">
        <f>IF(OR(AQ7&lt;&gt;"",AS7&lt;&gt;"",AU7&lt;&gt;""),AQ7+MAX(AS7,AU7),"")</f>
        <v>92.36999999999999</v>
      </c>
      <c r="AW7" s="11">
        <f>IF(AM7&gt;0,AM7,"")</f>
        <v>9.3000000000000007</v>
      </c>
      <c r="AX7" s="11">
        <f>IF(SUM(AK7:AN7)-AO7&gt;0,SUM(AK7:AN7)-AO7,"")</f>
        <v>47.14</v>
      </c>
      <c r="AY7" s="11">
        <f>IF(SUM(AV7,AX7)&gt;0,SUM(AV7,AX7),"")</f>
        <v>139.51</v>
      </c>
      <c r="AZ7" s="67">
        <v>17.100000000000001</v>
      </c>
      <c r="BA7" s="67">
        <v>9.6</v>
      </c>
      <c r="BB7" s="67">
        <v>3.9</v>
      </c>
      <c r="BC7" s="67">
        <v>14.8</v>
      </c>
      <c r="BD7" s="67">
        <v>0</v>
      </c>
      <c r="BE7" s="67">
        <v>12.6</v>
      </c>
      <c r="BF7" s="67">
        <v>9.5</v>
      </c>
      <c r="BG7" s="67">
        <v>11.4</v>
      </c>
      <c r="BH7" s="67">
        <v>14.385</v>
      </c>
      <c r="BI7" s="67">
        <v>0</v>
      </c>
      <c r="BJ7" s="67"/>
      <c r="BK7" s="67"/>
      <c r="BL7" s="67"/>
      <c r="BM7" s="67"/>
      <c r="BN7" s="67"/>
      <c r="BO7" s="67">
        <v>14.9</v>
      </c>
      <c r="BP7" s="67">
        <v>9.1</v>
      </c>
      <c r="BQ7" s="67">
        <v>10.5</v>
      </c>
      <c r="BR7" s="67">
        <v>14.03</v>
      </c>
      <c r="BS7" s="67">
        <v>0</v>
      </c>
      <c r="BT7" s="73"/>
      <c r="BU7" s="14">
        <f>IF(SUM(AZ7:BC7)-BD7&gt;0,SUM(AZ7:BC7)-BD7,"")</f>
        <v>45.400000000000006</v>
      </c>
      <c r="BV7" s="14">
        <f>IF(BG7&gt;0,BG7,"")</f>
        <v>11.4</v>
      </c>
      <c r="BW7" s="14">
        <f>IF(SUM(BE7:BH7)-BI7&gt;0,SUM(BE7:BH7)-BI7,"")</f>
        <v>47.884999999999998</v>
      </c>
      <c r="BX7" s="14" t="str">
        <f>IF(BL7&gt;0,BL7,"")</f>
        <v/>
      </c>
      <c r="BY7" s="14" t="str">
        <f>IF(SUM(BJ7:BM7)-BN7&gt;0,SUM(BJ7:BM7)-BN7,"")</f>
        <v/>
      </c>
      <c r="BZ7" s="14">
        <f>IF(BU7="",IF(MAX(BW7,BY7)&gt;0,MAX(BW7,BY7),""),MAX(BW7,BY7)+BU7)</f>
        <v>93.284999999999997</v>
      </c>
      <c r="CA7" s="14">
        <f>IF(BQ7&gt;0,BQ7,"")</f>
        <v>10.5</v>
      </c>
      <c r="CB7" s="14">
        <f>IF(SUM(BO7:BR7)-BS7&gt;0,SUM(BO7:BR7)-BS7,"")</f>
        <v>48.53</v>
      </c>
      <c r="CC7" s="14">
        <f>IF(SUM(BZ7,CB7)&gt;0,SUM(BZ7,CB7),"")</f>
        <v>141.815</v>
      </c>
      <c r="CD7" s="61">
        <v>15</v>
      </c>
      <c r="CE7" s="61">
        <v>8.9499999999999993</v>
      </c>
      <c r="CF7" s="61">
        <v>3.9</v>
      </c>
      <c r="CG7" s="61">
        <v>14.125</v>
      </c>
      <c r="CH7" s="61">
        <v>0</v>
      </c>
      <c r="CI7" s="61">
        <v>8.1</v>
      </c>
      <c r="CJ7" s="61">
        <v>5.4</v>
      </c>
      <c r="CK7" s="61">
        <v>5.9</v>
      </c>
      <c r="CL7" s="61">
        <v>8.6349999999999998</v>
      </c>
      <c r="CM7" s="61">
        <v>0</v>
      </c>
      <c r="CN7" s="61">
        <v>9.8000000000000007</v>
      </c>
      <c r="CO7" s="61">
        <v>6.8</v>
      </c>
      <c r="CP7" s="61">
        <v>7.2</v>
      </c>
      <c r="CQ7" s="61">
        <v>10.19</v>
      </c>
      <c r="CR7" s="61">
        <v>0</v>
      </c>
      <c r="CS7" s="61">
        <v>3.3</v>
      </c>
      <c r="CT7" s="61">
        <v>2.5</v>
      </c>
      <c r="CU7" s="61">
        <v>2.6</v>
      </c>
      <c r="CV7" s="61">
        <v>4.335</v>
      </c>
      <c r="CW7" s="61">
        <v>0</v>
      </c>
      <c r="CX7" s="72"/>
      <c r="CY7" s="11">
        <f>IF(SUM(CD7:CG7)-CH7&gt;0,SUM(CD7:CG7)-CH7,"")</f>
        <v>41.974999999999994</v>
      </c>
      <c r="CZ7" s="11">
        <f>IF(CK7&gt;0,CK7,"")</f>
        <v>5.9</v>
      </c>
      <c r="DA7" s="11">
        <f>IF(SUM(CI7:CL7)-CM7&gt;0,SUM(CI7:CL7)-CM7,"")</f>
        <v>28.034999999999997</v>
      </c>
      <c r="DB7" s="11">
        <f>IF(CP7&gt;0,CP7,"")</f>
        <v>7.2</v>
      </c>
      <c r="DC7" s="11">
        <f>IF(SUM(CN7:CQ7)-CR7&gt;0,SUM(CN7:CQ7)-CR7,"")</f>
        <v>33.99</v>
      </c>
      <c r="DD7" s="11">
        <f>IF(CY7="",IF(MAX(DA7,DC7)&gt;0,MAX(DA7,DC7),""),MAX(DA7,DC7)+CY7)</f>
        <v>75.965000000000003</v>
      </c>
      <c r="DE7" s="11">
        <f>IF(CU7&gt;0,CU7,"")</f>
        <v>2.6</v>
      </c>
      <c r="DF7" s="11">
        <f>IF(SUM(CS7:CV7)-CW7&gt;0,SUM(CS7:CV7)-CW7,"")</f>
        <v>12.734999999999999</v>
      </c>
      <c r="DG7" s="11">
        <f>IF(SUM(DD7,DF7)&gt;0,SUM(DD7,DF7),"")</f>
        <v>88.7</v>
      </c>
      <c r="DH7" s="23" t="str">
        <f>IF(MAX(EB7,EX7,FT7,GP7,HL7,IH7,JD7,JZ7,KV7,LR7,MN7,NJ7)-IF(M7="",0,M7)&gt;0.001,MAX(EB7,EX7,FT7,GP7,HL7,IH7,JD7,JZ7,KV7,LR7,MN7,NJ7)-IF(M7="",0,M7),"")</f>
        <v/>
      </c>
      <c r="DI7" s="23" t="str">
        <f>IF(MAX(EC7,EY7,FU7,GQ7,HM7,II7,JE7,KA7,KW7,LS7,MO7,NK7)-IF(O7="",0,O7)&gt;0.001,MAX(EC7,EY7,FU7,GQ7,HM7,II7,JE7,KA7,KW7,LS7,MO7,NK7)-IF(O7="",0,O7),"")</f>
        <v/>
      </c>
      <c r="DJ7" s="23" t="str">
        <f>IF(MAX(ED7,EZ7,FV7,GR7,HN7,IJ7,JF7,KB7,KX7,LT7,MP7,NL7)-IF(K7="",0,K7)&gt;0.001,MAX(ED7,EZ7,FV7,GR7,HN7,IJ7,JF7,KB7,KX7,LT7,MP7,NL7)-IF(K7="",0,K7),"")</f>
        <v/>
      </c>
      <c r="DK7" s="23" t="str">
        <f>IF(MAX(EF7,FB7,FX7,GT7,HP7,IL7,JH7,KD7,KZ7,LV7,MR7,NN7)-IF(Q7="",0,Q7)&gt;0.001,MAX(EF7,FB7,FX7,GT7,HP7,IL7,JH7,KD7,KZ7,LV7,MR7,NN7)-IF(Q7="",0,Q7),"")</f>
        <v/>
      </c>
      <c r="DL7" s="35">
        <v>13.7</v>
      </c>
      <c r="DM7" s="35">
        <v>9.3000000000000007</v>
      </c>
      <c r="DN7" s="35">
        <v>2.7</v>
      </c>
      <c r="DO7" s="35">
        <v>14.875</v>
      </c>
      <c r="DP7" s="35">
        <v>0</v>
      </c>
      <c r="DQ7" s="35">
        <v>12.7</v>
      </c>
      <c r="DR7" s="35">
        <v>9.1</v>
      </c>
      <c r="DS7" s="35">
        <v>10</v>
      </c>
      <c r="DT7" s="35">
        <v>13.88</v>
      </c>
      <c r="DU7" s="35">
        <v>0</v>
      </c>
      <c r="DV7" s="35"/>
      <c r="DW7" s="35"/>
      <c r="DX7" s="35"/>
      <c r="DY7" s="35"/>
      <c r="DZ7" s="35"/>
      <c r="EA7" s="11">
        <f>IF(DS7&gt;0,DS7,"")</f>
        <v>10</v>
      </c>
      <c r="EB7" s="11">
        <f>IF(SUM(DL7:DO7)-DP7&gt;0,SUM(DL7:DO7)-DP7,"")</f>
        <v>40.575000000000003</v>
      </c>
      <c r="EC7" s="11">
        <f>IF(SUM(DQ7:DT7)-DU7&gt;0,SUM(DQ7:DT7)-DU7,"")</f>
        <v>45.68</v>
      </c>
      <c r="ED7" s="11">
        <f>IF(SUM(EB7:EC7)&gt;0,SUM(EB7:EC7),"")</f>
        <v>86.254999999999995</v>
      </c>
      <c r="EE7" s="11" t="str">
        <f>IF(DX7&gt;0,DX7,"")</f>
        <v/>
      </c>
      <c r="EF7" s="11" t="str">
        <f>IF(SUM(DV7:DY7)-DZ7&gt;0,SUM(DV7:DY7)-DZ7,"")</f>
        <v/>
      </c>
      <c r="EG7" s="11">
        <f>IF(SUM(ED7,EF7)&gt;0,SUM(ED7,EF7),"")</f>
        <v>86.254999999999995</v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1">
        <f>IF($CX7="P",CD7,(CD7+AZ7)/2)</f>
        <v>16.05</v>
      </c>
      <c r="NQ7" s="61">
        <f>IF($CX7="P",CE7,(CE7+BA7)/2)</f>
        <v>9.2749999999999986</v>
      </c>
      <c r="NR7" s="61">
        <f>IF($CX7="P",CF7,(CF7+BB7)/2)</f>
        <v>3.9</v>
      </c>
      <c r="NS7" s="61">
        <f>IF($CX7="P",CG7,(CG7+BC7)/2)</f>
        <v>14.4625</v>
      </c>
      <c r="NT7" s="61">
        <f>IF($CX7="P",CH7,(CH7+BD7)/2)</f>
        <v>0</v>
      </c>
      <c r="NU7" s="61">
        <f>IF($CX7="P",CI7,(CI7+BE7)/2)</f>
        <v>10.35</v>
      </c>
      <c r="NV7" s="61">
        <f>IF($CX7="P",CJ7,(CJ7+BF7)/2)</f>
        <v>7.45</v>
      </c>
      <c r="NW7" s="61">
        <f>IF($CX7="P",CK7,(CK7+BG7)/2)</f>
        <v>8.65</v>
      </c>
      <c r="NX7" s="61">
        <f>IF($CX7="P",CL7,(CL7+BH7)/2)</f>
        <v>11.51</v>
      </c>
      <c r="NY7" s="61">
        <f>IF($CX7="P",CM7,(CM7+BI7)/2)</f>
        <v>0</v>
      </c>
      <c r="NZ7" s="61">
        <f>IF($CX7="P",CN7,(CN7+BJ7)/2)</f>
        <v>4.9000000000000004</v>
      </c>
      <c r="OA7" s="61">
        <f>IF($CX7="P",CO7,(CO7+BK7)/2)</f>
        <v>3.4</v>
      </c>
      <c r="OB7" s="61">
        <f>IF($CX7="P",CP7,(CP7+BL7)/2)</f>
        <v>3.6</v>
      </c>
      <c r="OC7" s="61">
        <f>IF($CX7="P",CQ7,(CQ7+BM7)/2)</f>
        <v>5.0949999999999998</v>
      </c>
      <c r="OD7" s="61">
        <f>IF($CX7="P",CR7,(CR7+BN7)/2)</f>
        <v>0</v>
      </c>
      <c r="OE7" s="61">
        <f>IF($CX7="P",CS7,(CS7+BO7)/2)</f>
        <v>9.1</v>
      </c>
      <c r="OF7" s="61">
        <f>IF($CX7="P",CT7,(CT7+BP7)/2)</f>
        <v>5.8</v>
      </c>
      <c r="OG7" s="61">
        <f>IF($CX7="P",CU7,(CU7+BQ7)/2)</f>
        <v>6.55</v>
      </c>
      <c r="OH7" s="61">
        <f>IF($CX7="P",CV7,(CV7+BR7)/2)</f>
        <v>9.1824999999999992</v>
      </c>
      <c r="OI7" s="61">
        <f>IF($CX7="P",CW7,(CW7+BS7)/2)</f>
        <v>0</v>
      </c>
      <c r="OJ7" s="72" t="s">
        <v>52</v>
      </c>
      <c r="OK7" s="11">
        <f>IF(SUM(NP7:NS7)-NT7&gt;0,SUM(NP7:NS7)-NT7,"")</f>
        <v>43.6875</v>
      </c>
      <c r="OL7" s="11">
        <f>IF(NW7&gt;0,NW7,"")</f>
        <v>8.65</v>
      </c>
      <c r="OM7" s="11">
        <f>IF(SUM(NU7:NX7)-NY7&gt;0,SUM(NU7:NX7)-NY7,"")</f>
        <v>37.96</v>
      </c>
      <c r="ON7" s="11">
        <f>IF(OB7&gt;0,OB7,"")</f>
        <v>3.6</v>
      </c>
      <c r="OO7" s="11">
        <f>IF(SUM(NZ7:OC7)-OD7&gt;0,SUM(NZ7:OC7)-OD7,"")</f>
        <v>16.995000000000001</v>
      </c>
      <c r="OP7" s="11">
        <f>IF(OR(OK7&lt;&gt;"",OM7&lt;&gt;"",OO7&lt;&gt;""),OK7+MAX(OM7,OO7),"")</f>
        <v>81.647500000000008</v>
      </c>
      <c r="OQ7" s="11">
        <f>IF(OG7&gt;0,OG7,"")</f>
        <v>6.55</v>
      </c>
      <c r="OR7" s="11">
        <f t="shared" si="0"/>
        <v>30.6325</v>
      </c>
      <c r="OS7" s="11">
        <f t="shared" si="1"/>
        <v>112.28</v>
      </c>
    </row>
    <row r="8" spans="1:409" x14ac:dyDescent="0.2">
      <c r="A8" s="5" cm="1">
        <f t="array" ref="A8">IF(AND(G8&lt;&gt;"",H8&lt;&gt;""),SUMPRODUCT((G$4:G$20&lt;&gt;"")*(H$4:H$20&lt;&gt;"")*(E$4:E$20&gt;E8))+1,IF(H8&lt;&gt;"",SUMPRODUCT((I$4:I$20="No DD")*(E$4:E$20&gt;E8))+1+SUMPRODUCT((G$4:G$20&lt;&gt;"")*(H$4:H$20&lt;&gt;"")),""))</f>
        <v>5</v>
      </c>
      <c r="B8" s="6" t="s">
        <v>95</v>
      </c>
      <c r="C8" s="7" t="s">
        <v>4</v>
      </c>
      <c r="D8" s="26">
        <v>2002</v>
      </c>
      <c r="E8" s="15">
        <f>SUM(O8:S8)</f>
        <v>98.224999999999994</v>
      </c>
      <c r="F8" s="3" t="str">
        <f>IF(G8&lt;&gt;"","P","")</f>
        <v/>
      </c>
      <c r="G8" s="115" t="str">
        <f>IF(OR(AND(AR8&gt;=AY$25,AR8&lt;&gt;"",AP8=""),AND(AT8&gt;=AY$25,AT8&lt;&gt;"",AP8=""),AND(AW8&gt;=AY$25,AW8&lt;&gt;"",AP8=""),AND(BV8&gt;=CC$25,BV8&lt;&gt;"",BT8=""),AND(BX8&gt;=CC$25,BX8&lt;&gt;"",BT8=""),AND(CA8&gt;=CC$25,CA8&lt;&gt;"",BT8=""),AND(CZ8&gt;=DG$25,CZ8&lt;&gt;"",CX8=""),AND(DB8&gt;=DG$25,DB8&lt;&gt;"",CX8=""),AND(DE8&gt;=DG$25,DE8&lt;&gt;"",CX8=""),AND(EA8&gt;=EG$25,EA8&lt;&gt;""),AND(EE8&gt;=EG$25,EE8&lt;&gt;""),AND(EW8&gt;=FC$25,EW8&lt;&gt;""),AND(FA8&gt;=FC$25,FA8&lt;&gt;""),AND(FS8&gt;=FY$25,FS8&lt;&gt;""),AND(FW8&gt;=FY$25,FW8&lt;&gt;""),AND(GO8&gt;=GU$25,GO8&lt;&gt;""),AND(GS8&gt;=GU$25,GS8&lt;&gt;""),AND(HK8&gt;=HQ$25,HK8&lt;&gt;""),AND(HO8&gt;=HQ$25,HO8&lt;&gt;""),AND(IG8&gt;=IM$25,IG8&lt;&gt;""),AND(IK8&gt;=IM$25,IK8&lt;&gt;""),AND(JC8&gt;=JI$25,JC8&lt;&gt;""),AND(JG8&gt;=JI$25,JG8&lt;&gt;""),AND(JY8&gt;=KE$25,JY8&lt;&gt;""),AND(KC8&gt;=KE$25,KC8&lt;&gt;""),AND(KU8&gt;=LA$25,KU8&lt;&gt;""),AND(KY8&gt;=LA$25,KY8&lt;&gt;""),AND(LQ8&gt;=LW$25,LQ8&lt;&gt;""),AND(LU8&gt;=LW$25,LU8&lt;&gt;""),AND(MM8&gt;=MS$25,MM8&lt;&gt;""),AND(MQ8&gt;=MS$25,MQ8&lt;&gt;""),AND(NI8&gt;=NO$25,NI8&lt;&gt;""),AND(NM8&gt;=NO$25,NM8&lt;&gt;"")),"Merit",IF(OR(AND(AR8&gt;=AY$24,AR8&lt;&gt;"",AP8=""),AND(AT8&gt;=AY$24,AT8&lt;&gt;"",AP8=""),AND(AW8&gt;=AY$24,AW8&lt;&gt;"",AP8=""),AND(BV8&gt;=CC$24,BV8&lt;&gt;"",BT8=""),AND(BX8&gt;=CC$24,BX8&lt;&gt;"",BT8=""),AND(CA8&gt;=CC$24,CA8&lt;&gt;"",BT8=""),AND(CZ8&gt;=DG$24,CZ8&lt;&gt;"",CX8=""),AND(DB8&gt;=DG$24,DB8&lt;&gt;"",CX8=""),AND(DE8&gt;=DG$24,DE8&lt;&gt;"",CX8=""),AND(EA8&gt;=EG$24,EA8&lt;&gt;""),AND(EE8&gt;=EG$24,EE8&lt;&gt;""),AND(EW8&gt;=FC$24,EW8&lt;&gt;""),AND(FA8&gt;=FC$24,FA8&lt;&gt;""),AND(FS8&gt;=FY$24,FS8&lt;&gt;""),AND(FW8&gt;=FY$24,FW8&lt;&gt;""),AND(GO8&gt;=GU$24,GO8&lt;&gt;""),AND(GS8&gt;=GU$24,GS8&lt;&gt;""),AND(HK8&gt;=HQ$24,HK8&lt;&gt;""),AND(HO8&gt;=HQ$24,HO8&lt;&gt;""),AND(IG8&gt;=IM$24,IG8&lt;&gt;""),AND(IK8&gt;=IM$24,IK8&lt;&gt;""),AND(JC8&gt;=JI$24,JC8&lt;&gt;""),AND(JG8&gt;=JI$24,JG8&lt;&gt;""),AND(JY8&gt;=KE$24,JY8&lt;&gt;""),AND(KC8&gt;=KE$24,KC8&lt;&gt;""),AND(KU8&gt;=LA$24,KU8&lt;&gt;""),AND(KY8&gt;=LA$24,KY8&lt;&gt;""),AND(LQ8&gt;=LW$24,LQ8&lt;&gt;""),AND(LU8&gt;=LW$24,LU8&lt;&gt;""),AND(MM8&gt;=MS$24,MM8&lt;&gt;""),AND(MQ8&gt;=MS$24,MQ8&lt;&gt;""),AND(NI8&gt;=NO$24,NI8&lt;&gt;""),AND(NM8&gt;=NO$24,NM8&lt;&gt;"")),"Excellence",IF(OR(AND(AR8&gt;=AY$23,AR8&lt;&gt;"",AP8=""),AND(AT8&gt;=AY$23,AT8&lt;&gt;"",AP8=""),AND(AW8&gt;=AY$23,AW8&lt;&gt;"",AP8=""),AND(BV8&gt;=CC$23,BV8&lt;&gt;"",BT8=""),AND(BX8&gt;=CC$23,BX8&lt;&gt;"",BT8=""),AND(CA8&gt;=CC$23,CA8&lt;&gt;"",BT8=""),AND(CZ8&gt;=DG$23,CZ8&lt;&gt;"",CX8=""),AND(DB8&gt;=DG$23,DB8&lt;&gt;"",CX8=""),AND(DE8&gt;=DG$23,DE8&lt;&gt;"",CX8=""),AND(EA8&gt;=EG$23,EA8&lt;&gt;""),AND(EE8&gt;=EG$23,EE8&lt;&gt;""),AND(EW8&gt;=FC$23,EW8&lt;&gt;""),AND(FA8&gt;=FC$23,FA8&lt;&gt;""),AND(FS8&gt;=FY$23,FS8&lt;&gt;""),AND(FW8&gt;=FY$23,FW8&lt;&gt;""),AND(GO8&gt;=GU$23,GO8&lt;&gt;""),AND(GS8&gt;=GU$23,GS8&lt;&gt;""),AND(HK8&gt;=HQ$23,HK8&lt;&gt;""),AND(HO8&gt;=HQ$23,HO8&lt;&gt;""),AND(IG8&gt;=IM$23,IG8&lt;&gt;""),AND(IK8&gt;=IM$23,IK8&lt;&gt;""),AND(JC8&gt;=JI$23,JC8&lt;&gt;""),AND(JG8&gt;=JI$23,JG8&lt;&gt;""),AND(JY8&gt;=KE$23,JY8&lt;&gt;""),AND(KC8&gt;=KE$23,KC8&lt;&gt;""),AND(KU8&gt;=LA$23,KU8&lt;&gt;""),AND(KY8&gt;=LA$23,KY8&lt;&gt;""),AND(LQ8&gt;=LW$23,LQ8&lt;&gt;""),AND(LU8&gt;=LW$23,LU8&lt;&gt;""),AND(MM8&gt;=MS$23,MM8&lt;&gt;""),AND(MQ8&gt;=MS$23,MQ8&lt;&gt;""),AND(NI8&gt;=NO$23,NI8&lt;&gt;""),AND(NM8&gt;=NO$23,NM8&lt;&gt;"")),"Worlds Team",IF(OR(AND(AR8&gt;=AY$22,AR8&lt;&gt;"",AP8=""),AND(AT8&gt;=AY$22,AT8&lt;&gt;"",AP8=""),AND(AW8&gt;=AY$22,AW8&lt;&gt;"",AP8=""),AND(BV8&gt;=CC$22,BV8&lt;&gt;"",BT8=""),AND(BX8&gt;=CC$22,BX8&lt;&gt;"",BT8=""),AND(CA8&gt;=CC$22,CA8&lt;&gt;"",BT8=""),AND(CZ8&gt;=DG$22,CZ8&lt;&gt;"",CX8=""),AND(DB8&gt;=DG$22,DB8&lt;&gt;"",CX8=""),AND(DE8&gt;=DG$22,DE8&lt;&gt;"",CX8=""),AND(EA8&gt;=EG$22,EA8&lt;&gt;""),AND(EE8&gt;=EG$22,EE8&lt;&gt;""),AND(EW8&gt;=FC$22,EW8&lt;&gt;""),AND(FA8&gt;=FC$22,FA8&lt;&gt;""),AND(FS8&gt;=FY$22,FS8&lt;&gt;""),AND(FW8&gt;=FY$22,FW8&lt;&gt;""),AND(GO8&gt;=GU$22,GO8&lt;&gt;""),AND(GS8&gt;=GU$22,GS8&lt;&gt;""),AND(HK8&gt;=HQ$22,HK8&lt;&gt;""),AND(HO8&gt;=HQ$22,HO8&lt;&gt;""),AND(IG8&gt;=IM$22,IG8&lt;&gt;""),AND(IK8&gt;=IM$22,IK8&lt;&gt;""),AND(JC8&gt;=JI$22,JC8&lt;&gt;""),AND(JG8&gt;=JI$22,JG8&lt;&gt;""),AND(JY8&gt;=KE$22,JY8&lt;&gt;""),AND(KC8&gt;=KE$22,KC8&lt;&gt;""),AND(KU8&gt;=LA$22,KU8&lt;&gt;""),AND(KY8&gt;=LA$22,KY8&lt;&gt;""),AND(LQ8&gt;=LW$22,LQ8&lt;&gt;""),AND(LU8&gt;=LW$22,LU8&lt;&gt;""),AND(MM8&gt;=MS$22,MM8&lt;&gt;""),AND(MQ8&gt;=MS$22,MQ8&lt;&gt;""),AND(NI8&gt;=NO$22,NI8&lt;&gt;""),AND(NM8&gt;=NO$22,NM8&lt;&gt;"")),"National Team",""))))</f>
        <v/>
      </c>
      <c r="H8" s="115" t="str">
        <f>IF(OR(AND(AS8&gt;=AY$26,AS8&lt;&gt;"",AP8=""),AND(AU8&gt;=AY$26,AU8&lt;&gt;"",AP8=""),AND(AX8&gt;=AY$26,AX8&lt;&gt;"",AP8=""),AND(BW8&gt;=CC$26,BW8&lt;&gt;"",BT8=""),AND(BY8&gt;=CC$26,BY8&lt;&gt;"",BT8=""),AND(CB8&gt;=CC$26,CB8&lt;&gt;"",BT8=""),AND(DA8&gt;=DG$26,DA8&lt;&gt;"",CX8=""),AND(DC8&gt;=DG$26,DC8&lt;&gt;"",CX8=""),AND(DF8&gt;=DG$26,DF8&lt;&gt;"",CX8=""),AND(EC8&gt;=EG$26,EC8&lt;&gt;""),AND(EF8&gt;=EG$26,EF8&lt;&gt;""),AND(EY8&gt;=FC$26,EY8&lt;&gt;""),AND(FB8&gt;=FC$26,FB8&lt;&gt;""),AND(FU8&gt;=FY$26,FU8&lt;&gt;""),AND(FX8&gt;=FY$26,FX8&lt;&gt;""),AND(GQ8&gt;=GU$26,GQ8&lt;&gt;""),AND(GT8&gt;=GU$26,GT8&lt;&gt;""),AND(HM8&gt;=HQ$26,HM8&lt;&gt;""),AND(HP8&gt;=HQ$26,HP8&lt;&gt;""),AND(II8&gt;=IM$26,II8&lt;&gt;""),AND(IL8&gt;=IM$26,IL8&lt;&gt;""),AND(JE8&gt;=JI$26,JE8&lt;&gt;""),AND(JH8&gt;=JI$26,JH8&lt;&gt;""),AND(KA8&gt;=KE$26,KA8&lt;&gt;""),AND(KD8&gt;=KE$26,KD8&lt;&gt;""),AND(KW8&gt;=LA$26,KW8&lt;&gt;""),AND(KZ8&gt;=LA$26,KZ8&lt;&gt;""),AND(LS8&gt;=LW$26,LS8&lt;&gt;""),AND(LV8&gt;=LW$26,LV8&lt;&gt;""),AND(MO8&gt;=MS$26,MO8&lt;&gt;""),AND(MR8&gt;=MS$26,MR8&lt;&gt;""),AND(NK8&gt;=NO$26,NK8&lt;&gt;""),AND(NN8&gt;=NO$26,NN8&lt;&gt;"")),"National Team","")</f>
        <v>National Team</v>
      </c>
      <c r="I8" s="11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No DD</v>
      </c>
      <c r="J8" s="3" t="str">
        <f>IF(AND(OR(AND(AV8&gt;=AY$27,AV8&lt;&gt;"",AP8=""),AND(BZ8&gt;=CC$27,BZ8&lt;&gt;"",BT8=""),AND(DD8&gt;=DG$27,DD8&lt;&gt;"",CX8=""),AND(ED8&gt;=EG$27,ED8&lt;&gt;""),AND(EZ8&gt;=FC$27,EZ8&lt;&gt;""),AND(FV8&gt;=FY$27,FV8&lt;&gt;""),AND(GR8&gt;=GU$27,GR8&lt;&gt;""),AND(HN8&gt;=HQ$27,HN8&lt;&gt;""),AND(IJ8&gt;=IM$27,IJ8&lt;&gt;""),AND(JF8&gt;=JI$27,JF8&lt;&gt;""),AND(KB8&gt;=KE$27,KB8&lt;&gt;""),AND(KX8&gt;=LA$27,KX8&lt;&gt;""),AND(LT8&gt;=LW$27,LT8&lt;&gt;""),AND(MP8&gt;=MS$27,MP8&lt;&gt;""),AND(NL8&gt;=NO$27,NL8&lt;&gt;"")),OR(G8="Worlds Team",G8="Excellence",G8="Merit")),"P","")</f>
        <v/>
      </c>
      <c r="K8" s="14">
        <f>IF(MAX(AV8,BZ8,DD8)&gt;0,MAX(AV8,BZ8,DD8),0)</f>
        <v>93.6</v>
      </c>
      <c r="L8" s="14" t="str">
        <f>IF(K8=0,"",IF(K8=DD8,$CD$1,IF(K8=BZ8,$AZ$1,IF(K8=AV8,$V$1,""))))</f>
        <v>2019 Elite Canada</v>
      </c>
      <c r="M8" s="14">
        <f>IF($K8=$AV8,MAX(BU8,CY8),IF($K8=$BZ8,MAX(AQ8,CY8),IF($K8=$DD8,MAX(AQ8,BU8),MAX(AQ8,BU8,CY8))))</f>
        <v>13.745000000000001</v>
      </c>
      <c r="N8" s="14" t="str">
        <f>IF(M8=0,"",IF(AND(M8=CY8,$L8&lt;&gt;$CD$1),$CD$1,IF(AND(M8=BU8,$L8&lt;&gt;$AZ$1),$AZ$1,IF(AND(M8=AQ8,$L8&lt;&gt;$V$1),$V$1,""))))</f>
        <v>2019 Nationals</v>
      </c>
      <c r="O8" s="14">
        <f>MAX(AS8,AU8,AX8,BW8,BY8,CB8,DA8,DC8,DF8)</f>
        <v>49.255000000000003</v>
      </c>
      <c r="P8" s="14" t="str">
        <f>IF(O8=0,"",IF(OR(O8=DC8,O8=DA8,O8=DF8),$CD$1,IF(OR(O8=BY8,O8=BW8,O8=CB8),$AZ$1,IF(OR(O8=AU8,O8=AS8,O8=AX8),$V$1,""))))</f>
        <v>2019 Elite Canada</v>
      </c>
      <c r="Q8" s="14">
        <f>IF(COUNT(AS8,AU8,AX8,BW8,BY8,CB8,DA8,DC8,DF8)&gt;1,LARGE((AS8,AU8,AX8,BW8,BY8,CB8,DA8,DC8,DF8),2),0)</f>
        <v>48.97</v>
      </c>
      <c r="R8" s="14" t="str">
        <f>IF(Q8=0,"",IF(OR(Q8=DC8,Q8=DA8,Q8=DF8),$CD$1,IF(OR(Q8=BY8,Q8=BW8,Q8=CB8),$AZ$1,IF(OR(Q8=AU8,Q8=AS8,Q8=AX8),$V$1,""))))</f>
        <v>2019 Elite Canada</v>
      </c>
      <c r="S8" s="14" t="str">
        <f>IF(MAX(DI8,DK8)&gt;0,MAX(DI8,DK8),"")</f>
        <v/>
      </c>
      <c r="T8" s="24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1">
        <v>16</v>
      </c>
      <c r="W8" s="61">
        <v>9.6999999999999993</v>
      </c>
      <c r="X8" s="61">
        <v>3.7</v>
      </c>
      <c r="Y8" s="61">
        <v>14.945</v>
      </c>
      <c r="Z8" s="61">
        <v>0</v>
      </c>
      <c r="AA8" s="61">
        <v>14.9</v>
      </c>
      <c r="AB8" s="61">
        <v>9.1999999999999993</v>
      </c>
      <c r="AC8" s="61">
        <v>11</v>
      </c>
      <c r="AD8" s="61">
        <v>14.154999999999999</v>
      </c>
      <c r="AE8" s="61">
        <v>0</v>
      </c>
      <c r="AF8" s="61"/>
      <c r="AG8" s="61"/>
      <c r="AH8" s="61"/>
      <c r="AI8" s="61"/>
      <c r="AJ8" s="61"/>
      <c r="AK8" s="61">
        <v>15.7</v>
      </c>
      <c r="AL8" s="61">
        <v>9.3000000000000007</v>
      </c>
      <c r="AM8" s="61">
        <v>9.6</v>
      </c>
      <c r="AN8" s="61">
        <v>14.37</v>
      </c>
      <c r="AO8" s="61">
        <v>0</v>
      </c>
      <c r="AP8" s="72"/>
      <c r="AQ8" s="11">
        <f>IF(SUM(V8:Y8)-Z8&gt;0,SUM(V8:Y8)-Z8,"")</f>
        <v>44.344999999999999</v>
      </c>
      <c r="AR8" s="11">
        <f>IF(AC8&gt;0,AC8,"")</f>
        <v>11</v>
      </c>
      <c r="AS8" s="11">
        <f>IF(SUM(AA8:AD8)-AE8&gt;0,SUM(AA8:AD8)-AE8,"")</f>
        <v>49.255000000000003</v>
      </c>
      <c r="AT8" s="11" t="str">
        <f>IF(AH8&gt;0,AH8,"")</f>
        <v/>
      </c>
      <c r="AU8" s="11" t="str">
        <f>IF(SUM(AF8:AI8)-AJ8&gt;0,SUM(AF8:AI8)-AJ8,"")</f>
        <v/>
      </c>
      <c r="AV8" s="11">
        <f>IF(OR(AQ8&lt;&gt;"",AS8&lt;&gt;"",AU8&lt;&gt;""),AQ8+MAX(AS8,AU8),"")</f>
        <v>93.6</v>
      </c>
      <c r="AW8" s="11">
        <f>IF(AM8&gt;0,AM8,"")</f>
        <v>9.6</v>
      </c>
      <c r="AX8" s="11">
        <f>IF(SUM(AK8:AN8)-AO8&gt;0,SUM(AK8:AN8)-AO8,"")</f>
        <v>48.97</v>
      </c>
      <c r="AY8" s="11">
        <f>IF(SUM(AV8,AX8)&gt;0,SUM(AV8,AX8),"")</f>
        <v>142.57</v>
      </c>
      <c r="AZ8" s="67">
        <v>5.3</v>
      </c>
      <c r="BA8" s="67">
        <v>2.9</v>
      </c>
      <c r="BB8" s="67">
        <v>1.3</v>
      </c>
      <c r="BC8" s="67">
        <v>4.2450000000000001</v>
      </c>
      <c r="BD8" s="67">
        <v>0</v>
      </c>
      <c r="BE8" s="67">
        <v>9.1</v>
      </c>
      <c r="BF8" s="67">
        <v>5.4</v>
      </c>
      <c r="BG8" s="67">
        <v>5.4</v>
      </c>
      <c r="BH8" s="67">
        <v>8.8350000000000009</v>
      </c>
      <c r="BI8" s="67">
        <v>0</v>
      </c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73"/>
      <c r="BU8" s="14">
        <f>IF(SUM(AZ8:BC8)-BD8&gt;0,SUM(AZ8:BC8)-BD8,"")</f>
        <v>13.745000000000001</v>
      </c>
      <c r="BV8" s="14">
        <f>IF(BG8&gt;0,BG8,"")</f>
        <v>5.4</v>
      </c>
      <c r="BW8" s="14">
        <f>IF(SUM(BE8:BH8)-BI8&gt;0,SUM(BE8:BH8)-BI8,"")</f>
        <v>28.734999999999999</v>
      </c>
      <c r="BX8" s="14" t="str">
        <f>IF(BL8&gt;0,BL8,"")</f>
        <v/>
      </c>
      <c r="BY8" s="14" t="str">
        <f>IF(SUM(BJ8:BM8)-BN8&gt;0,SUM(BJ8:BM8)-BN8,"")</f>
        <v/>
      </c>
      <c r="BZ8" s="14">
        <f>IF(BU8="",IF(MAX(BW8,BY8)&gt;0,MAX(BW8,BY8),""),MAX(BW8,BY8)+BU8)</f>
        <v>42.480000000000004</v>
      </c>
      <c r="CA8" s="14" t="str">
        <f>IF(BQ8&gt;0,BQ8,"")</f>
        <v/>
      </c>
      <c r="CB8" s="14" t="str">
        <f>IF(SUM(BO8:BR8)-BS8&gt;0,SUM(BO8:BR8)-BS8,"")</f>
        <v/>
      </c>
      <c r="CC8" s="14">
        <f>IF(SUM(BZ8,CB8)&gt;0,SUM(BZ8,CB8),"")</f>
        <v>42.480000000000004</v>
      </c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72"/>
      <c r="CY8" s="11" t="str">
        <f>IF(SUM(CD8:CG8)-CH8&gt;0,SUM(CD8:CG8)-CH8,"")</f>
        <v/>
      </c>
      <c r="CZ8" s="11" t="str">
        <f>IF(CK8&gt;0,CK8,"")</f>
        <v/>
      </c>
      <c r="DA8" s="11" t="str">
        <f>IF(SUM(CI8:CL8)-CM8&gt;0,SUM(CI8:CL8)-CM8,"")</f>
        <v/>
      </c>
      <c r="DB8" s="11" t="str">
        <f>IF(CP8&gt;0,CP8,"")</f>
        <v/>
      </c>
      <c r="DC8" s="11" t="str">
        <f>IF(SUM(CN8:CQ8)-CR8&gt;0,SUM(CN8:CQ8)-CR8,"")</f>
        <v/>
      </c>
      <c r="DD8" s="11" t="str">
        <f>IF(CY8="",IF(MAX(DA8,DC8)&gt;0,MAX(DA8,DC8),""),MAX(DA8,DC8)+CY8)</f>
        <v/>
      </c>
      <c r="DE8" s="11" t="str">
        <f>IF(CU8&gt;0,CU8,"")</f>
        <v/>
      </c>
      <c r="DF8" s="11" t="str">
        <f>IF(SUM(CS8:CV8)-CW8&gt;0,SUM(CS8:CV8)-CW8,"")</f>
        <v/>
      </c>
      <c r="DG8" s="11" t="str">
        <f>IF(SUM(DD8,DF8)&gt;0,SUM(DD8,DF8),"")</f>
        <v/>
      </c>
      <c r="DH8" s="23" t="str">
        <f>IF(MAX(EB8,EX8,FT8,GP8,HL8,IH8,JD8,JZ8,KV8,LR8,MN8,NJ8)-IF(M8="",0,M8)&gt;0.001,MAX(EB8,EX8,FT8,GP8,HL8,IH8,JD8,JZ8,KV8,LR8,MN8,NJ8)-IF(M8="",0,M8),"")</f>
        <v/>
      </c>
      <c r="DI8" s="23" t="str">
        <f>IF(MAX(EC8,EY8,FU8,GQ8,HM8,II8,JE8,KA8,KW8,LS8,MO8,NK8)-IF(O8="",0,O8)&gt;0.001,MAX(EC8,EY8,FU8,GQ8,HM8,II8,JE8,KA8,KW8,LS8,MO8,NK8)-IF(O8="",0,O8),"")</f>
        <v/>
      </c>
      <c r="DJ8" s="23" t="str">
        <f>IF(MAX(ED8,EZ8,FV8,GR8,HN8,IJ8,JF8,KB8,KX8,LT8,MP8,NL8)-IF(K8="",0,K8)&gt;0.001,MAX(ED8,EZ8,FV8,GR8,HN8,IJ8,JF8,KB8,KX8,LT8,MP8,NL8)-IF(K8="",0,K8),"")</f>
        <v/>
      </c>
      <c r="DK8" s="23" t="str">
        <f>IF(MAX(EF8,FB8,FX8,GT8,HP8,IL8,JH8,KD8,KZ8,LV8,MR8,NN8)-IF(Q8="",0,Q8)&gt;0.001,MAX(EF8,FB8,FX8,GT8,HP8,IL8,JH8,KD8,KZ8,LV8,MR8,NN8)-IF(Q8="",0,Q8),"")</f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>IF(EO8&gt;0,EO8,"")</f>
        <v/>
      </c>
      <c r="EX8" s="14" t="str">
        <f>IF(SUM(EH8:EK8)-EL8&gt;0,SUM(EH8:EK8)-EL8,"")</f>
        <v/>
      </c>
      <c r="EY8" s="14" t="str">
        <f>IF(SUM(EM8:EP8)-EQ8&gt;0,SUM(EM8:EP8)-EQ8,"")</f>
        <v/>
      </c>
      <c r="EZ8" s="14" t="str">
        <f>IF(SUM(EX8:EY8)&gt;0,SUM(EX8:EY8),"")</f>
        <v/>
      </c>
      <c r="FA8" s="14" t="str">
        <f>IF(ET8&gt;0,ET8,"")</f>
        <v/>
      </c>
      <c r="FB8" s="14" t="str">
        <f>IF(SUM(ER8:EU8)-EV8&gt;0,SUM(ER8:EU8)-EV8,"")</f>
        <v/>
      </c>
      <c r="FC8" s="14" t="str">
        <f>IF(SUM(EZ8,FB8)&gt;0,SUM(EZ8,FB8),"")</f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1">
        <f>IF($CX8="P",CD8,(CD8+AZ8)/2)</f>
        <v>2.65</v>
      </c>
      <c r="NQ8" s="61">
        <f>IF($CX8="P",CE8,(CE8+BA8)/2)</f>
        <v>1.45</v>
      </c>
      <c r="NR8" s="61">
        <f>IF($CX8="P",CF8,(CF8+BB8)/2)</f>
        <v>0.65</v>
      </c>
      <c r="NS8" s="61">
        <f>IF($CX8="P",CG8,(CG8+BC8)/2)</f>
        <v>2.1225000000000001</v>
      </c>
      <c r="NT8" s="61">
        <f>IF($CX8="P",CH8,(CH8+BD8)/2)</f>
        <v>0</v>
      </c>
      <c r="NU8" s="61">
        <f>IF($CX8="P",CI8,(CI8+BE8)/2)</f>
        <v>4.55</v>
      </c>
      <c r="NV8" s="61">
        <f>IF($CX8="P",CJ8,(CJ8+BF8)/2)</f>
        <v>2.7</v>
      </c>
      <c r="NW8" s="61">
        <f>IF($CX8="P",CK8,(CK8+BG8)/2)</f>
        <v>2.7</v>
      </c>
      <c r="NX8" s="61">
        <f>IF($CX8="P",CL8,(CL8+BH8)/2)</f>
        <v>4.4175000000000004</v>
      </c>
      <c r="NY8" s="61">
        <f>IF($CX8="P",CM8,(CM8+BI8)/2)</f>
        <v>0</v>
      </c>
      <c r="NZ8" s="61">
        <f>IF($CX8="P",CN8,(CN8+BJ8)/2)</f>
        <v>0</v>
      </c>
      <c r="OA8" s="61">
        <f>IF($CX8="P",CO8,(CO8+BK8)/2)</f>
        <v>0</v>
      </c>
      <c r="OB8" s="61">
        <f>IF($CX8="P",CP8,(CP8+BL8)/2)</f>
        <v>0</v>
      </c>
      <c r="OC8" s="61">
        <f>IF($CX8="P",CQ8,(CQ8+BM8)/2)</f>
        <v>0</v>
      </c>
      <c r="OD8" s="61">
        <f>IF($CX8="P",CR8,(CR8+BN8)/2)</f>
        <v>0</v>
      </c>
      <c r="OE8" s="61">
        <f>IF($CX8="P",CS8,(CS8+BO8)/2)</f>
        <v>0</v>
      </c>
      <c r="OF8" s="61">
        <f>IF($CX8="P",CT8,(CT8+BP8)/2)</f>
        <v>0</v>
      </c>
      <c r="OG8" s="61">
        <f>IF($CX8="P",CU8,(CU8+BQ8)/2)</f>
        <v>0</v>
      </c>
      <c r="OH8" s="61">
        <f>IF($CX8="P",CV8,(CV8+BR8)/2)</f>
        <v>0</v>
      </c>
      <c r="OI8" s="61">
        <f>IF($CX8="P",CW8,(CW8+BS8)/2)</f>
        <v>0</v>
      </c>
      <c r="OJ8" s="72" t="s">
        <v>52</v>
      </c>
      <c r="OK8" s="11">
        <f>IF(SUM(NP8:NS8)-NT8&gt;0,SUM(NP8:NS8)-NT8,"")</f>
        <v>6.8725000000000005</v>
      </c>
      <c r="OL8" s="11">
        <f>IF(NW8&gt;0,NW8,"")</f>
        <v>2.7</v>
      </c>
      <c r="OM8" s="11">
        <f>IF(SUM(NU8:NX8)-NY8&gt;0,SUM(NU8:NX8)-NY8,"")</f>
        <v>14.3675</v>
      </c>
      <c r="ON8" s="11" t="str">
        <f>IF(OB8&gt;0,OB8,"")</f>
        <v/>
      </c>
      <c r="OO8" s="11" t="str">
        <f>IF(SUM(NZ8:OC8)-OD8&gt;0,SUM(NZ8:OC8)-OD8,"")</f>
        <v/>
      </c>
      <c r="OP8" s="11">
        <f>IF(OR(OK8&lt;&gt;"",OM8&lt;&gt;"",OO8&lt;&gt;""),OK8+MAX(OM8,OO8),"")</f>
        <v>21.240000000000002</v>
      </c>
      <c r="OQ8" s="11" t="str">
        <f>IF(OG8&gt;0,OG8,"")</f>
        <v/>
      </c>
      <c r="OR8" s="11" t="str">
        <f t="shared" si="0"/>
        <v/>
      </c>
      <c r="OS8" s="11">
        <f t="shared" si="1"/>
        <v>21.240000000000002</v>
      </c>
    </row>
    <row r="9" spans="1:409" x14ac:dyDescent="0.2">
      <c r="A9" s="5" cm="1">
        <f t="array" ref="A9">IF(AND(G9&lt;&gt;"",H9&lt;&gt;""),SUMPRODUCT((G$4:G$20&lt;&gt;"")*(H$4:H$20&lt;&gt;"")*(E$4:E$20&gt;E9))+1,IF(H9&lt;&gt;"",SUMPRODUCT((I$4:I$20="No DD")*(E$4:E$20&gt;E9))+1+SUMPRODUCT((G$4:G$20&lt;&gt;"")*(H$4:H$20&lt;&gt;"")),""))</f>
        <v>6</v>
      </c>
      <c r="B9" s="6" t="s">
        <v>96</v>
      </c>
      <c r="C9" s="7" t="s">
        <v>6</v>
      </c>
      <c r="D9" s="26">
        <v>2002</v>
      </c>
      <c r="E9" s="15">
        <f>SUM(O9:S9)</f>
        <v>97.945000000000007</v>
      </c>
      <c r="F9" s="3" t="str">
        <f>IF(G9&lt;&gt;"","P","")</f>
        <v/>
      </c>
      <c r="G9" s="115" t="str">
        <f>IF(OR(AND(AR9&gt;=AY$25,AR9&lt;&gt;"",AP9=""),AND(AT9&gt;=AY$25,AT9&lt;&gt;"",AP9=""),AND(AW9&gt;=AY$25,AW9&lt;&gt;"",AP9=""),AND(BV9&gt;=CC$25,BV9&lt;&gt;"",BT9=""),AND(BX9&gt;=CC$25,BX9&lt;&gt;"",BT9=""),AND(CA9&gt;=CC$25,CA9&lt;&gt;"",BT9=""),AND(CZ9&gt;=DG$25,CZ9&lt;&gt;"",CX9=""),AND(DB9&gt;=DG$25,DB9&lt;&gt;"",CX9=""),AND(DE9&gt;=DG$25,DE9&lt;&gt;"",CX9=""),AND(EA9&gt;=EG$25,EA9&lt;&gt;""),AND(EE9&gt;=EG$25,EE9&lt;&gt;""),AND(EW9&gt;=FC$25,EW9&lt;&gt;""),AND(FA9&gt;=FC$25,FA9&lt;&gt;""),AND(FS9&gt;=FY$25,FS9&lt;&gt;""),AND(FW9&gt;=FY$25,FW9&lt;&gt;""),AND(GO9&gt;=GU$25,GO9&lt;&gt;""),AND(GS9&gt;=GU$25,GS9&lt;&gt;""),AND(HK9&gt;=HQ$25,HK9&lt;&gt;""),AND(HO9&gt;=HQ$25,HO9&lt;&gt;""),AND(IG9&gt;=IM$25,IG9&lt;&gt;""),AND(IK9&gt;=IM$25,IK9&lt;&gt;""),AND(JC9&gt;=JI$25,JC9&lt;&gt;""),AND(JG9&gt;=JI$25,JG9&lt;&gt;""),AND(JY9&gt;=KE$25,JY9&lt;&gt;""),AND(KC9&gt;=KE$25,KC9&lt;&gt;""),AND(KU9&gt;=LA$25,KU9&lt;&gt;""),AND(KY9&gt;=LA$25,KY9&lt;&gt;""),AND(LQ9&gt;=LW$25,LQ9&lt;&gt;""),AND(LU9&gt;=LW$25,LU9&lt;&gt;""),AND(MM9&gt;=MS$25,MM9&lt;&gt;""),AND(MQ9&gt;=MS$25,MQ9&lt;&gt;""),AND(NI9&gt;=NO$25,NI9&lt;&gt;""),AND(NM9&gt;=NO$25,NM9&lt;&gt;"")),"Merit",IF(OR(AND(AR9&gt;=AY$24,AR9&lt;&gt;"",AP9=""),AND(AT9&gt;=AY$24,AT9&lt;&gt;"",AP9=""),AND(AW9&gt;=AY$24,AW9&lt;&gt;"",AP9=""),AND(BV9&gt;=CC$24,BV9&lt;&gt;"",BT9=""),AND(BX9&gt;=CC$24,BX9&lt;&gt;"",BT9=""),AND(CA9&gt;=CC$24,CA9&lt;&gt;"",BT9=""),AND(CZ9&gt;=DG$24,CZ9&lt;&gt;"",CX9=""),AND(DB9&gt;=DG$24,DB9&lt;&gt;"",CX9=""),AND(DE9&gt;=DG$24,DE9&lt;&gt;"",CX9=""),AND(EA9&gt;=EG$24,EA9&lt;&gt;""),AND(EE9&gt;=EG$24,EE9&lt;&gt;""),AND(EW9&gt;=FC$24,EW9&lt;&gt;""),AND(FA9&gt;=FC$24,FA9&lt;&gt;""),AND(FS9&gt;=FY$24,FS9&lt;&gt;""),AND(FW9&gt;=FY$24,FW9&lt;&gt;""),AND(GO9&gt;=GU$24,GO9&lt;&gt;""),AND(GS9&gt;=GU$24,GS9&lt;&gt;""),AND(HK9&gt;=HQ$24,HK9&lt;&gt;""),AND(HO9&gt;=HQ$24,HO9&lt;&gt;""),AND(IG9&gt;=IM$24,IG9&lt;&gt;""),AND(IK9&gt;=IM$24,IK9&lt;&gt;""),AND(JC9&gt;=JI$24,JC9&lt;&gt;""),AND(JG9&gt;=JI$24,JG9&lt;&gt;""),AND(JY9&gt;=KE$24,JY9&lt;&gt;""),AND(KC9&gt;=KE$24,KC9&lt;&gt;""),AND(KU9&gt;=LA$24,KU9&lt;&gt;""),AND(KY9&gt;=LA$24,KY9&lt;&gt;""),AND(LQ9&gt;=LW$24,LQ9&lt;&gt;""),AND(LU9&gt;=LW$24,LU9&lt;&gt;""),AND(MM9&gt;=MS$24,MM9&lt;&gt;""),AND(MQ9&gt;=MS$24,MQ9&lt;&gt;""),AND(NI9&gt;=NO$24,NI9&lt;&gt;""),AND(NM9&gt;=NO$24,NM9&lt;&gt;"")),"Excellence",IF(OR(AND(AR9&gt;=AY$23,AR9&lt;&gt;"",AP9=""),AND(AT9&gt;=AY$23,AT9&lt;&gt;"",AP9=""),AND(AW9&gt;=AY$23,AW9&lt;&gt;"",AP9=""),AND(BV9&gt;=CC$23,BV9&lt;&gt;"",BT9=""),AND(BX9&gt;=CC$23,BX9&lt;&gt;"",BT9=""),AND(CA9&gt;=CC$23,CA9&lt;&gt;"",BT9=""),AND(CZ9&gt;=DG$23,CZ9&lt;&gt;"",CX9=""),AND(DB9&gt;=DG$23,DB9&lt;&gt;"",CX9=""),AND(DE9&gt;=DG$23,DE9&lt;&gt;"",CX9=""),AND(EA9&gt;=EG$23,EA9&lt;&gt;""),AND(EE9&gt;=EG$23,EE9&lt;&gt;""),AND(EW9&gt;=FC$23,EW9&lt;&gt;""),AND(FA9&gt;=FC$23,FA9&lt;&gt;""),AND(FS9&gt;=FY$23,FS9&lt;&gt;""),AND(FW9&gt;=FY$23,FW9&lt;&gt;""),AND(GO9&gt;=GU$23,GO9&lt;&gt;""),AND(GS9&gt;=GU$23,GS9&lt;&gt;""),AND(HK9&gt;=HQ$23,HK9&lt;&gt;""),AND(HO9&gt;=HQ$23,HO9&lt;&gt;""),AND(IG9&gt;=IM$23,IG9&lt;&gt;""),AND(IK9&gt;=IM$23,IK9&lt;&gt;""),AND(JC9&gt;=JI$23,JC9&lt;&gt;""),AND(JG9&gt;=JI$23,JG9&lt;&gt;""),AND(JY9&gt;=KE$23,JY9&lt;&gt;""),AND(KC9&gt;=KE$23,KC9&lt;&gt;""),AND(KU9&gt;=LA$23,KU9&lt;&gt;""),AND(KY9&gt;=LA$23,KY9&lt;&gt;""),AND(LQ9&gt;=LW$23,LQ9&lt;&gt;""),AND(LU9&gt;=LW$23,LU9&lt;&gt;""),AND(MM9&gt;=MS$23,MM9&lt;&gt;""),AND(MQ9&gt;=MS$23,MQ9&lt;&gt;""),AND(NI9&gt;=NO$23,NI9&lt;&gt;""),AND(NM9&gt;=NO$23,NM9&lt;&gt;"")),"Worlds Team",IF(OR(AND(AR9&gt;=AY$22,AR9&lt;&gt;"",AP9=""),AND(AT9&gt;=AY$22,AT9&lt;&gt;"",AP9=""),AND(AW9&gt;=AY$22,AW9&lt;&gt;"",AP9=""),AND(BV9&gt;=CC$22,BV9&lt;&gt;"",BT9=""),AND(BX9&gt;=CC$22,BX9&lt;&gt;"",BT9=""),AND(CA9&gt;=CC$22,CA9&lt;&gt;"",BT9=""),AND(CZ9&gt;=DG$22,CZ9&lt;&gt;"",CX9=""),AND(DB9&gt;=DG$22,DB9&lt;&gt;"",CX9=""),AND(DE9&gt;=DG$22,DE9&lt;&gt;"",CX9=""),AND(EA9&gt;=EG$22,EA9&lt;&gt;""),AND(EE9&gt;=EG$22,EE9&lt;&gt;""),AND(EW9&gt;=FC$22,EW9&lt;&gt;""),AND(FA9&gt;=FC$22,FA9&lt;&gt;""),AND(FS9&gt;=FY$22,FS9&lt;&gt;""),AND(FW9&gt;=FY$22,FW9&lt;&gt;""),AND(GO9&gt;=GU$22,GO9&lt;&gt;""),AND(GS9&gt;=GU$22,GS9&lt;&gt;""),AND(HK9&gt;=HQ$22,HK9&lt;&gt;""),AND(HO9&gt;=HQ$22,HO9&lt;&gt;""),AND(IG9&gt;=IM$22,IG9&lt;&gt;""),AND(IK9&gt;=IM$22,IK9&lt;&gt;""),AND(JC9&gt;=JI$22,JC9&lt;&gt;""),AND(JG9&gt;=JI$22,JG9&lt;&gt;""),AND(JY9&gt;=KE$22,JY9&lt;&gt;""),AND(KC9&gt;=KE$22,KC9&lt;&gt;""),AND(KU9&gt;=LA$22,KU9&lt;&gt;""),AND(KY9&gt;=LA$22,KY9&lt;&gt;""),AND(LQ9&gt;=LW$22,LQ9&lt;&gt;""),AND(LU9&gt;=LW$22,LU9&lt;&gt;""),AND(MM9&gt;=MS$22,MM9&lt;&gt;""),AND(MQ9&gt;=MS$22,MQ9&lt;&gt;""),AND(NI9&gt;=NO$22,NI9&lt;&gt;""),AND(NM9&gt;=NO$22,NM9&lt;&gt;"")),"National Team",""))))</f>
        <v/>
      </c>
      <c r="H9" s="115" t="str">
        <f>IF(OR(AND(AS9&gt;=AY$26,AS9&lt;&gt;"",AP9=""),AND(AU9&gt;=AY$26,AU9&lt;&gt;"",AP9=""),AND(AX9&gt;=AY$26,AX9&lt;&gt;"",AP9=""),AND(BW9&gt;=CC$26,BW9&lt;&gt;"",BT9=""),AND(BY9&gt;=CC$26,BY9&lt;&gt;"",BT9=""),AND(CB9&gt;=CC$26,CB9&lt;&gt;"",BT9=""),AND(DA9&gt;=DG$26,DA9&lt;&gt;"",CX9=""),AND(DC9&gt;=DG$26,DC9&lt;&gt;"",CX9=""),AND(DF9&gt;=DG$26,DF9&lt;&gt;"",CX9=""),AND(EC9&gt;=EG$26,EC9&lt;&gt;""),AND(EF9&gt;=EG$26,EF9&lt;&gt;""),AND(EY9&gt;=FC$26,EY9&lt;&gt;""),AND(FB9&gt;=FC$26,FB9&lt;&gt;""),AND(FU9&gt;=FY$26,FU9&lt;&gt;""),AND(FX9&gt;=FY$26,FX9&lt;&gt;""),AND(GQ9&gt;=GU$26,GQ9&lt;&gt;""),AND(GT9&gt;=GU$26,GT9&lt;&gt;""),AND(HM9&gt;=HQ$26,HM9&lt;&gt;""),AND(HP9&gt;=HQ$26,HP9&lt;&gt;""),AND(II9&gt;=IM$26,II9&lt;&gt;""),AND(IL9&gt;=IM$26,IL9&lt;&gt;""),AND(JE9&gt;=JI$26,JE9&lt;&gt;""),AND(JH9&gt;=JI$26,JH9&lt;&gt;""),AND(KA9&gt;=KE$26,KA9&lt;&gt;""),AND(KD9&gt;=KE$26,KD9&lt;&gt;""),AND(KW9&gt;=LA$26,KW9&lt;&gt;""),AND(KZ9&gt;=LA$26,KZ9&lt;&gt;""),AND(LS9&gt;=LW$26,LS9&lt;&gt;""),AND(LV9&gt;=LW$26,LV9&lt;&gt;""),AND(MO9&gt;=MS$26,MO9&lt;&gt;""),AND(MR9&gt;=MS$26,MR9&lt;&gt;""),AND(NK9&gt;=NO$26,NK9&lt;&gt;""),AND(NN9&gt;=NO$26,NN9&lt;&gt;"")),"National Team","")</f>
        <v>National Team</v>
      </c>
      <c r="I9" s="11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No DD</v>
      </c>
      <c r="J9" s="3" t="str">
        <f>IF(AND(OR(AND(AV9&gt;=AY$27,AV9&lt;&gt;"",AP9=""),AND(BZ9&gt;=CC$27,BZ9&lt;&gt;"",BT9=""),AND(DD9&gt;=DG$27,DD9&lt;&gt;"",CX9=""),AND(ED9&gt;=EG$27,ED9&lt;&gt;""),AND(EZ9&gt;=FC$27,EZ9&lt;&gt;""),AND(FV9&gt;=FY$27,FV9&lt;&gt;""),AND(GR9&gt;=GU$27,GR9&lt;&gt;""),AND(HN9&gt;=HQ$27,HN9&lt;&gt;""),AND(IJ9&gt;=IM$27,IJ9&lt;&gt;""),AND(JF9&gt;=JI$27,JF9&lt;&gt;""),AND(KB9&gt;=KE$27,KB9&lt;&gt;""),AND(KX9&gt;=LA$27,KX9&lt;&gt;""),AND(LT9&gt;=LW$27,LT9&lt;&gt;""),AND(MP9&gt;=MS$27,MP9&lt;&gt;""),AND(NL9&gt;=NO$27,NL9&lt;&gt;"")),OR(G9="Worlds Team",G9="Excellence",G9="Merit")),"P","")</f>
        <v/>
      </c>
      <c r="K9" s="14">
        <f>IF(MAX(AV9,BZ9,DD9)&gt;0,MAX(AV9,BZ9,DD9),0)</f>
        <v>93.365000000000009</v>
      </c>
      <c r="L9" s="14" t="str">
        <f>IF(K9=0,"",IF(K9=DD9,$CD$1,IF(K9=BZ9,$AZ$1,IF(K9=AV9,$V$1,""))))</f>
        <v>2019 Elite Canada</v>
      </c>
      <c r="M9" s="14">
        <f>IF($K9=$AV9,MAX(BU9,CY9),IF($K9=$BZ9,MAX(AQ9,CY9),IF($K9=$DD9,MAX(AQ9,BU9),MAX(AQ9,BU9,CY9))))</f>
        <v>0</v>
      </c>
      <c r="N9" s="14" t="str">
        <f>IF(M9=0,"",IF(AND(M9=CY9,$L9&lt;&gt;$CD$1),$CD$1,IF(AND(M9=BU9,$L9&lt;&gt;$AZ$1),$AZ$1,IF(AND(M9=AQ9,$L9&lt;&gt;$V$1),$V$1,""))))</f>
        <v/>
      </c>
      <c r="O9" s="14">
        <f>MAX(AS9,AU9,AX9,BW9,BY9,CB9,DA9,DC9,DF9)</f>
        <v>49.120000000000005</v>
      </c>
      <c r="P9" s="14" t="str">
        <f>IF(O9=0,"",IF(OR(O9=DC9,O9=DA9,O9=DF9),$CD$1,IF(OR(O9=BY9,O9=BW9,O9=CB9),$AZ$1,IF(OR(O9=AU9,O9=AS9,O9=AX9),$V$1,""))))</f>
        <v>2019 Elite Canada</v>
      </c>
      <c r="Q9" s="14">
        <f>IF(COUNT(AS9,AU9,AX9,BW9,BY9,CB9,DA9,DC9,DF9)&gt;1,LARGE((AS9,AU9,AX9,BW9,BY9,CB9,DA9,DC9,DF9),2),0)</f>
        <v>48.825000000000003</v>
      </c>
      <c r="R9" s="14" t="str">
        <f>IF(Q9=0,"",IF(OR(Q9=DC9,Q9=DA9,Q9=DF9),$CD$1,IF(OR(Q9=BY9,Q9=BW9,Q9=CB9),$AZ$1,IF(OR(Q9=AU9,Q9=AS9,Q9=AX9),$V$1,""))))</f>
        <v>2019 Elite Canada</v>
      </c>
      <c r="S9" s="14" t="str">
        <f>IF(MAX(DI9,DK9)&gt;0,MAX(DI9,DK9),"")</f>
        <v/>
      </c>
      <c r="T9" s="24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1">
        <v>17</v>
      </c>
      <c r="W9" s="61">
        <v>9.4499999999999993</v>
      </c>
      <c r="X9" s="61">
        <v>3.8</v>
      </c>
      <c r="Y9" s="61">
        <v>14.29</v>
      </c>
      <c r="Z9" s="61">
        <v>0</v>
      </c>
      <c r="AA9" s="61">
        <v>15</v>
      </c>
      <c r="AB9" s="61">
        <v>9.35</v>
      </c>
      <c r="AC9" s="61">
        <v>10.5</v>
      </c>
      <c r="AD9" s="61">
        <v>13.975</v>
      </c>
      <c r="AE9" s="61">
        <v>0</v>
      </c>
      <c r="AF9" s="61"/>
      <c r="AG9" s="61"/>
      <c r="AH9" s="61"/>
      <c r="AI9" s="61"/>
      <c r="AJ9" s="61"/>
      <c r="AK9" s="61">
        <v>15.4</v>
      </c>
      <c r="AL9" s="61">
        <v>9.3000000000000007</v>
      </c>
      <c r="AM9" s="61">
        <v>10.5</v>
      </c>
      <c r="AN9" s="61">
        <v>13.92</v>
      </c>
      <c r="AO9" s="61">
        <v>0</v>
      </c>
      <c r="AP9" s="72"/>
      <c r="AQ9" s="11">
        <f>IF(SUM(V9:Y9)-Z9&gt;0,SUM(V9:Y9)-Z9,"")</f>
        <v>44.54</v>
      </c>
      <c r="AR9" s="11">
        <f>IF(AC9&gt;0,AC9,"")</f>
        <v>10.5</v>
      </c>
      <c r="AS9" s="11">
        <f>IF(SUM(AA9:AD9)-AE9&gt;0,SUM(AA9:AD9)-AE9,"")</f>
        <v>48.825000000000003</v>
      </c>
      <c r="AT9" s="11" t="str">
        <f>IF(AH9&gt;0,AH9,"")</f>
        <v/>
      </c>
      <c r="AU9" s="11" t="str">
        <f>IF(SUM(AF9:AI9)-AJ9&gt;0,SUM(AF9:AI9)-AJ9,"")</f>
        <v/>
      </c>
      <c r="AV9" s="11">
        <f>IF(OR(AQ9&lt;&gt;"",AS9&lt;&gt;"",AU9&lt;&gt;""),AQ9+MAX(AS9,AU9),"")</f>
        <v>93.365000000000009</v>
      </c>
      <c r="AW9" s="11">
        <f>IF(AM9&gt;0,AM9,"")</f>
        <v>10.5</v>
      </c>
      <c r="AX9" s="11">
        <f>IF(SUM(AK9:AN9)-AO9&gt;0,SUM(AK9:AN9)-AO9,"")</f>
        <v>49.120000000000005</v>
      </c>
      <c r="AY9" s="11">
        <f>IF(SUM(AV9,AX9)&gt;0,SUM(AV9,AX9),"")</f>
        <v>142.48500000000001</v>
      </c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7"/>
      <c r="BR9" s="67"/>
      <c r="BS9" s="67"/>
      <c r="BT9" s="73"/>
      <c r="BU9" s="14" t="str">
        <f>IF(SUM(AZ9:BC9)-BD9&gt;0,SUM(AZ9:BC9)-BD9,"")</f>
        <v/>
      </c>
      <c r="BV9" s="14" t="str">
        <f>IF(BG9&gt;0,BG9,"")</f>
        <v/>
      </c>
      <c r="BW9" s="14" t="str">
        <f>IF(SUM(BE9:BH9)-BI9&gt;0,SUM(BE9:BH9)-BI9,"")</f>
        <v/>
      </c>
      <c r="BX9" s="14" t="str">
        <f>IF(BL9&gt;0,BL9,"")</f>
        <v/>
      </c>
      <c r="BY9" s="14" t="str">
        <f>IF(SUM(BJ9:BM9)-BN9&gt;0,SUM(BJ9:BM9)-BN9,"")</f>
        <v/>
      </c>
      <c r="BZ9" s="14" t="str">
        <f>IF(BU9="",IF(MAX(BW9,BY9)&gt;0,MAX(BW9,BY9),""),MAX(BW9,BY9)+BU9)</f>
        <v/>
      </c>
      <c r="CA9" s="14" t="str">
        <f>IF(BQ9&gt;0,BQ9,"")</f>
        <v/>
      </c>
      <c r="CB9" s="14" t="str">
        <f>IF(SUM(BO9:BR9)-BS9&gt;0,SUM(BO9:BR9)-BS9,"")</f>
        <v/>
      </c>
      <c r="CC9" s="14" t="str">
        <f>IF(SUM(BZ9,CB9)&gt;0,SUM(BZ9,CB9),"")</f>
        <v/>
      </c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72"/>
      <c r="CY9" s="11" t="str">
        <f>IF(SUM(CD9:CG9)-CH9&gt;0,SUM(CD9:CG9)-CH9,"")</f>
        <v/>
      </c>
      <c r="CZ9" s="11" t="str">
        <f>IF(CK9&gt;0,CK9,"")</f>
        <v/>
      </c>
      <c r="DA9" s="11" t="str">
        <f>IF(SUM(CI9:CL9)-CM9&gt;0,SUM(CI9:CL9)-CM9,"")</f>
        <v/>
      </c>
      <c r="DB9" s="11" t="str">
        <f>IF(CP9&gt;0,CP9,"")</f>
        <v/>
      </c>
      <c r="DC9" s="11" t="str">
        <f>IF(SUM(CN9:CQ9)-CR9&gt;0,SUM(CN9:CQ9)-CR9,"")</f>
        <v/>
      </c>
      <c r="DD9" s="11" t="str">
        <f>IF(CY9="",IF(MAX(DA9,DC9)&gt;0,MAX(DA9,DC9),""),MAX(DA9,DC9)+CY9)</f>
        <v/>
      </c>
      <c r="DE9" s="11" t="str">
        <f>IF(CU9&gt;0,CU9,"")</f>
        <v/>
      </c>
      <c r="DF9" s="11" t="str">
        <f>IF(SUM(CS9:CV9)-CW9&gt;0,SUM(CS9:CV9)-CW9,"")</f>
        <v/>
      </c>
      <c r="DG9" s="11" t="str">
        <f>IF(SUM(DD9,DF9)&gt;0,SUM(DD9,DF9),"")</f>
        <v/>
      </c>
      <c r="DH9" s="23" t="str">
        <f>IF(MAX(EB9,EX9,FT9,GP9,HL9,IH9,JD9,JZ9,KV9,LR9,MN9,NJ9)-IF(M9="",0,M9)&gt;0.001,MAX(EB9,EX9,FT9,GP9,HL9,IH9,JD9,JZ9,KV9,LR9,MN9,NJ9)-IF(M9="",0,M9),"")</f>
        <v/>
      </c>
      <c r="DI9" s="23" t="str">
        <f>IF(MAX(EC9,EY9,FU9,GQ9,HM9,II9,JE9,KA9,KW9,LS9,MO9,NK9)-IF(O9="",0,O9)&gt;0.001,MAX(EC9,EY9,FU9,GQ9,HM9,II9,JE9,KA9,KW9,LS9,MO9,NK9)-IF(O9="",0,O9),"")</f>
        <v/>
      </c>
      <c r="DJ9" s="23" t="str">
        <f>IF(MAX(ED9,EZ9,FV9,GR9,HN9,IJ9,JF9,KB9,KX9,LT9,MP9,NL9)-IF(K9="",0,K9)&gt;0.001,MAX(ED9,EZ9,FV9,GR9,HN9,IJ9,JF9,KB9,KX9,LT9,MP9,NL9)-IF(K9="",0,K9),"")</f>
        <v/>
      </c>
      <c r="DK9" s="23" t="str">
        <f>IF(MAX(EF9,FB9,FX9,GT9,HP9,IL9,JH9,KD9,KZ9,LV9,MR9,NN9)-IF(Q9="",0,Q9)&gt;0.001,MAX(EF9,FB9,FX9,GT9,HP9,IL9,JH9,KD9,KZ9,LV9,MR9,NN9)-IF(Q9="",0,Q9),"")</f>
        <v/>
      </c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11" t="str">
        <f>IF(DS9&gt;0,DS9,"")</f>
        <v/>
      </c>
      <c r="EB9" s="11" t="str">
        <f>IF(SUM(DL9:DO9)-DP9&gt;0,SUM(DL9:DO9)-DP9,"")</f>
        <v/>
      </c>
      <c r="EC9" s="11" t="str">
        <f>IF(SUM(DQ9:DT9)-DU9&gt;0,SUM(DQ9:DT9)-DU9,"")</f>
        <v/>
      </c>
      <c r="ED9" s="11" t="str">
        <f>IF(SUM(EB9:EC9)&gt;0,SUM(EB9:EC9),"")</f>
        <v/>
      </c>
      <c r="EE9" s="11" t="str">
        <f>IF(DX9&gt;0,DX9,"")</f>
        <v/>
      </c>
      <c r="EF9" s="11" t="str">
        <f>IF(SUM(DV9:DY9)-DZ9&gt;0,SUM(DV9:DY9)-DZ9,"")</f>
        <v/>
      </c>
      <c r="EG9" s="11" t="str">
        <f>IF(SUM(ED9,EF9)&gt;0,SUM(ED9,EF9),"")</f>
        <v/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1">
        <f>IF($CX9="P",CD9,(CD9+AZ9)/2)</f>
        <v>0</v>
      </c>
      <c r="NQ9" s="61">
        <f>IF($CX9="P",CE9,(CE9+BA9)/2)</f>
        <v>0</v>
      </c>
      <c r="NR9" s="61">
        <f>IF($CX9="P",CF9,(CF9+BB9)/2)</f>
        <v>0</v>
      </c>
      <c r="NS9" s="61">
        <f>IF($CX9="P",CG9,(CG9+BC9)/2)</f>
        <v>0</v>
      </c>
      <c r="NT9" s="61">
        <f>IF($CX9="P",CH9,(CH9+BD9)/2)</f>
        <v>0</v>
      </c>
      <c r="NU9" s="61">
        <f>IF($CX9="P",CI9,(CI9+BE9)/2)</f>
        <v>0</v>
      </c>
      <c r="NV9" s="61">
        <f>IF($CX9="P",CJ9,(CJ9+BF9)/2)</f>
        <v>0</v>
      </c>
      <c r="NW9" s="61">
        <f>IF($CX9="P",CK9,(CK9+BG9)/2)</f>
        <v>0</v>
      </c>
      <c r="NX9" s="61">
        <f>IF($CX9="P",CL9,(CL9+BH9)/2)</f>
        <v>0</v>
      </c>
      <c r="NY9" s="61">
        <f>IF($CX9="P",CM9,(CM9+BI9)/2)</f>
        <v>0</v>
      </c>
      <c r="NZ9" s="61">
        <f>IF($CX9="P",CN9,(CN9+BJ9)/2)</f>
        <v>0</v>
      </c>
      <c r="OA9" s="61">
        <f>IF($CX9="P",CO9,(CO9+BK9)/2)</f>
        <v>0</v>
      </c>
      <c r="OB9" s="61">
        <f>IF($CX9="P",CP9,(CP9+BL9)/2)</f>
        <v>0</v>
      </c>
      <c r="OC9" s="61">
        <f>IF($CX9="P",CQ9,(CQ9+BM9)/2)</f>
        <v>0</v>
      </c>
      <c r="OD9" s="61">
        <f>IF($CX9="P",CR9,(CR9+BN9)/2)</f>
        <v>0</v>
      </c>
      <c r="OE9" s="61">
        <f>IF($CX9="P",CS9,(CS9+BO9)/2)</f>
        <v>0</v>
      </c>
      <c r="OF9" s="61">
        <f>IF($CX9="P",CT9,(CT9+BP9)/2)</f>
        <v>0</v>
      </c>
      <c r="OG9" s="61">
        <f>IF($CX9="P",CU9,(CU9+BQ9)/2)</f>
        <v>0</v>
      </c>
      <c r="OH9" s="61">
        <f>IF($CX9="P",CV9,(CV9+BR9)/2)</f>
        <v>0</v>
      </c>
      <c r="OI9" s="61">
        <f>IF($CX9="P",CW9,(CW9+BS9)/2)</f>
        <v>0</v>
      </c>
      <c r="OJ9" s="72" t="s">
        <v>52</v>
      </c>
      <c r="OK9" s="11" t="str">
        <f>IF(SUM(NP9:NS9)-NT9&gt;0,SUM(NP9:NS9)-NT9,"")</f>
        <v/>
      </c>
      <c r="OL9" s="11" t="str">
        <f>IF(NW9&gt;0,NW9,"")</f>
        <v/>
      </c>
      <c r="OM9" s="11" t="str">
        <f>IF(SUM(NU9:NX9)-NY9&gt;0,SUM(NU9:NX9)-NY9,"")</f>
        <v/>
      </c>
      <c r="ON9" s="11" t="str">
        <f>IF(OB9&gt;0,OB9,"")</f>
        <v/>
      </c>
      <c r="OO9" s="11" t="str">
        <f>IF(SUM(NZ9:OC9)-OD9&gt;0,SUM(NZ9:OC9)-OD9,"")</f>
        <v/>
      </c>
      <c r="OP9" s="11" t="str">
        <f>IF(OR(OK9&lt;&gt;"",OM9&lt;&gt;"",OO9&lt;&gt;""),OK9+MAX(OM9,OO9),"")</f>
        <v/>
      </c>
      <c r="OQ9" s="11" t="str">
        <f>IF(OG9&gt;0,OG9,"")</f>
        <v/>
      </c>
      <c r="OR9" s="11" t="str">
        <f t="shared" si="0"/>
        <v/>
      </c>
      <c r="OS9" s="11" t="str">
        <f t="shared" si="1"/>
        <v/>
      </c>
    </row>
    <row r="10" spans="1:409" x14ac:dyDescent="0.2">
      <c r="A10" s="5" cm="1">
        <f t="array" ref="A10">IF(AND(G10&lt;&gt;"",H10&lt;&gt;""),SUMPRODUCT((G$4:G$20&lt;&gt;"")*(H$4:H$20&lt;&gt;"")*(E$4:E$20&gt;E10))+1,IF(H10&lt;&gt;"",SUMPRODUCT((I$4:I$20="No DD")*(E$4:E$20&gt;E10))+1+SUMPRODUCT((G$4:G$20&lt;&gt;"")*(H$4:H$20&lt;&gt;"")),""))</f>
        <v>7</v>
      </c>
      <c r="B10" s="8" t="s">
        <v>121</v>
      </c>
      <c r="C10" s="4" t="s">
        <v>5</v>
      </c>
      <c r="D10" s="26">
        <v>2003</v>
      </c>
      <c r="E10" s="15">
        <f>SUM(O10:S10)</f>
        <v>96.655000000000001</v>
      </c>
      <c r="F10" s="3" t="str">
        <f>IF(G10&lt;&gt;"","P","")</f>
        <v/>
      </c>
      <c r="G10" s="115" t="str">
        <f>IF(OR(AND(AR10&gt;=AY$25,AR10&lt;&gt;"",AP10=""),AND(AT10&gt;=AY$25,AT10&lt;&gt;"",AP10=""),AND(AW10&gt;=AY$25,AW10&lt;&gt;"",AP10=""),AND(BV10&gt;=CC$25,BV10&lt;&gt;"",BT10=""),AND(BX10&gt;=CC$25,BX10&lt;&gt;"",BT10=""),AND(CA10&gt;=CC$25,CA10&lt;&gt;"",BT10=""),AND(CZ10&gt;=DG$25,CZ10&lt;&gt;"",CX10=""),AND(DB10&gt;=DG$25,DB10&lt;&gt;"",CX10=""),AND(DE10&gt;=DG$25,DE10&lt;&gt;"",CX10=""),AND(EA10&gt;=EG$25,EA10&lt;&gt;""),AND(EE10&gt;=EG$25,EE10&lt;&gt;""),AND(EW10&gt;=FC$25,EW10&lt;&gt;""),AND(FA10&gt;=FC$25,FA10&lt;&gt;""),AND(FS10&gt;=FY$25,FS10&lt;&gt;""),AND(FW10&gt;=FY$25,FW10&lt;&gt;""),AND(GO10&gt;=GU$25,GO10&lt;&gt;""),AND(GS10&gt;=GU$25,GS10&lt;&gt;""),AND(HK10&gt;=HQ$25,HK10&lt;&gt;""),AND(HO10&gt;=HQ$25,HO10&lt;&gt;""),AND(IG10&gt;=IM$25,IG10&lt;&gt;""),AND(IK10&gt;=IM$25,IK10&lt;&gt;""),AND(JC10&gt;=JI$25,JC10&lt;&gt;""),AND(JG10&gt;=JI$25,JG10&lt;&gt;""),AND(JY10&gt;=KE$25,JY10&lt;&gt;""),AND(KC10&gt;=KE$25,KC10&lt;&gt;""),AND(KU10&gt;=LA$25,KU10&lt;&gt;""),AND(KY10&gt;=LA$25,KY10&lt;&gt;""),AND(LQ10&gt;=LW$25,LQ10&lt;&gt;""),AND(LU10&gt;=LW$25,LU10&lt;&gt;""),AND(MM10&gt;=MS$25,MM10&lt;&gt;""),AND(MQ10&gt;=MS$25,MQ10&lt;&gt;""),AND(NI10&gt;=NO$25,NI10&lt;&gt;""),AND(NM10&gt;=NO$25,NM10&lt;&gt;"")),"Merit",IF(OR(AND(AR10&gt;=AY$24,AR10&lt;&gt;"",AP10=""),AND(AT10&gt;=AY$24,AT10&lt;&gt;"",AP10=""),AND(AW10&gt;=AY$24,AW10&lt;&gt;"",AP10=""),AND(BV10&gt;=CC$24,BV10&lt;&gt;"",BT10=""),AND(BX10&gt;=CC$24,BX10&lt;&gt;"",BT10=""),AND(CA10&gt;=CC$24,CA10&lt;&gt;"",BT10=""),AND(CZ10&gt;=DG$24,CZ10&lt;&gt;"",CX10=""),AND(DB10&gt;=DG$24,DB10&lt;&gt;"",CX10=""),AND(DE10&gt;=DG$24,DE10&lt;&gt;"",CX10=""),AND(EA10&gt;=EG$24,EA10&lt;&gt;""),AND(EE10&gt;=EG$24,EE10&lt;&gt;""),AND(EW10&gt;=FC$24,EW10&lt;&gt;""),AND(FA10&gt;=FC$24,FA10&lt;&gt;""),AND(FS10&gt;=FY$24,FS10&lt;&gt;""),AND(FW10&gt;=FY$24,FW10&lt;&gt;""),AND(GO10&gt;=GU$24,GO10&lt;&gt;""),AND(GS10&gt;=GU$24,GS10&lt;&gt;""),AND(HK10&gt;=HQ$24,HK10&lt;&gt;""),AND(HO10&gt;=HQ$24,HO10&lt;&gt;""),AND(IG10&gt;=IM$24,IG10&lt;&gt;""),AND(IK10&gt;=IM$24,IK10&lt;&gt;""),AND(JC10&gt;=JI$24,JC10&lt;&gt;""),AND(JG10&gt;=JI$24,JG10&lt;&gt;""),AND(JY10&gt;=KE$24,JY10&lt;&gt;""),AND(KC10&gt;=KE$24,KC10&lt;&gt;""),AND(KU10&gt;=LA$24,KU10&lt;&gt;""),AND(KY10&gt;=LA$24,KY10&lt;&gt;""),AND(LQ10&gt;=LW$24,LQ10&lt;&gt;""),AND(LU10&gt;=LW$24,LU10&lt;&gt;""),AND(MM10&gt;=MS$24,MM10&lt;&gt;""),AND(MQ10&gt;=MS$24,MQ10&lt;&gt;""),AND(NI10&gt;=NO$24,NI10&lt;&gt;""),AND(NM10&gt;=NO$24,NM10&lt;&gt;"")),"Excellence",IF(OR(AND(AR10&gt;=AY$23,AR10&lt;&gt;"",AP10=""),AND(AT10&gt;=AY$23,AT10&lt;&gt;"",AP10=""),AND(AW10&gt;=AY$23,AW10&lt;&gt;"",AP10=""),AND(BV10&gt;=CC$23,BV10&lt;&gt;"",BT10=""),AND(BX10&gt;=CC$23,BX10&lt;&gt;"",BT10=""),AND(CA10&gt;=CC$23,CA10&lt;&gt;"",BT10=""),AND(CZ10&gt;=DG$23,CZ10&lt;&gt;"",CX10=""),AND(DB10&gt;=DG$23,DB10&lt;&gt;"",CX10=""),AND(DE10&gt;=DG$23,DE10&lt;&gt;"",CX10=""),AND(EA10&gt;=EG$23,EA10&lt;&gt;""),AND(EE10&gt;=EG$23,EE10&lt;&gt;""),AND(EW10&gt;=FC$23,EW10&lt;&gt;""),AND(FA10&gt;=FC$23,FA10&lt;&gt;""),AND(FS10&gt;=FY$23,FS10&lt;&gt;""),AND(FW10&gt;=FY$23,FW10&lt;&gt;""),AND(GO10&gt;=GU$23,GO10&lt;&gt;""),AND(GS10&gt;=GU$23,GS10&lt;&gt;""),AND(HK10&gt;=HQ$23,HK10&lt;&gt;""),AND(HO10&gt;=HQ$23,HO10&lt;&gt;""),AND(IG10&gt;=IM$23,IG10&lt;&gt;""),AND(IK10&gt;=IM$23,IK10&lt;&gt;""),AND(JC10&gt;=JI$23,JC10&lt;&gt;""),AND(JG10&gt;=JI$23,JG10&lt;&gt;""),AND(JY10&gt;=KE$23,JY10&lt;&gt;""),AND(KC10&gt;=KE$23,KC10&lt;&gt;""),AND(KU10&gt;=LA$23,KU10&lt;&gt;""),AND(KY10&gt;=LA$23,KY10&lt;&gt;""),AND(LQ10&gt;=LW$23,LQ10&lt;&gt;""),AND(LU10&gt;=LW$23,LU10&lt;&gt;""),AND(MM10&gt;=MS$23,MM10&lt;&gt;""),AND(MQ10&gt;=MS$23,MQ10&lt;&gt;""),AND(NI10&gt;=NO$23,NI10&lt;&gt;""),AND(NM10&gt;=NO$23,NM10&lt;&gt;"")),"Worlds Team",IF(OR(AND(AR10&gt;=AY$22,AR10&lt;&gt;"",AP10=""),AND(AT10&gt;=AY$22,AT10&lt;&gt;"",AP10=""),AND(AW10&gt;=AY$22,AW10&lt;&gt;"",AP10=""),AND(BV10&gt;=CC$22,BV10&lt;&gt;"",BT10=""),AND(BX10&gt;=CC$22,BX10&lt;&gt;"",BT10=""),AND(CA10&gt;=CC$22,CA10&lt;&gt;"",BT10=""),AND(CZ10&gt;=DG$22,CZ10&lt;&gt;"",CX10=""),AND(DB10&gt;=DG$22,DB10&lt;&gt;"",CX10=""),AND(DE10&gt;=DG$22,DE10&lt;&gt;"",CX10=""),AND(EA10&gt;=EG$22,EA10&lt;&gt;""),AND(EE10&gt;=EG$22,EE10&lt;&gt;""),AND(EW10&gt;=FC$22,EW10&lt;&gt;""),AND(FA10&gt;=FC$22,FA10&lt;&gt;""),AND(FS10&gt;=FY$22,FS10&lt;&gt;""),AND(FW10&gt;=FY$22,FW10&lt;&gt;""),AND(GO10&gt;=GU$22,GO10&lt;&gt;""),AND(GS10&gt;=GU$22,GS10&lt;&gt;""),AND(HK10&gt;=HQ$22,HK10&lt;&gt;""),AND(HO10&gt;=HQ$22,HO10&lt;&gt;""),AND(IG10&gt;=IM$22,IG10&lt;&gt;""),AND(IK10&gt;=IM$22,IK10&lt;&gt;""),AND(JC10&gt;=JI$22,JC10&lt;&gt;""),AND(JG10&gt;=JI$22,JG10&lt;&gt;""),AND(JY10&gt;=KE$22,JY10&lt;&gt;""),AND(KC10&gt;=KE$22,KC10&lt;&gt;""),AND(KU10&gt;=LA$22,KU10&lt;&gt;""),AND(KY10&gt;=LA$22,KY10&lt;&gt;""),AND(LQ10&gt;=LW$22,LQ10&lt;&gt;""),AND(LU10&gt;=LW$22,LU10&lt;&gt;""),AND(MM10&gt;=MS$22,MM10&lt;&gt;""),AND(MQ10&gt;=MS$22,MQ10&lt;&gt;""),AND(NI10&gt;=NO$22,NI10&lt;&gt;""),AND(NM10&gt;=NO$22,NM10&lt;&gt;"")),"National Team",""))))</f>
        <v/>
      </c>
      <c r="H10" s="115" t="str">
        <f>IF(OR(AND(AS10&gt;=AY$26,AS10&lt;&gt;"",AP10=""),AND(AU10&gt;=AY$26,AU10&lt;&gt;"",AP10=""),AND(AX10&gt;=AY$26,AX10&lt;&gt;"",AP10=""),AND(BW10&gt;=CC$26,BW10&lt;&gt;"",BT10=""),AND(BY10&gt;=CC$26,BY10&lt;&gt;"",BT10=""),AND(CB10&gt;=CC$26,CB10&lt;&gt;"",BT10=""),AND(DA10&gt;=DG$26,DA10&lt;&gt;"",CX10=""),AND(DC10&gt;=DG$26,DC10&lt;&gt;"",CX10=""),AND(DF10&gt;=DG$26,DF10&lt;&gt;"",CX10=""),AND(EC10&gt;=EG$26,EC10&lt;&gt;""),AND(EF10&gt;=EG$26,EF10&lt;&gt;""),AND(EY10&gt;=FC$26,EY10&lt;&gt;""),AND(FB10&gt;=FC$26,FB10&lt;&gt;""),AND(FU10&gt;=FY$26,FU10&lt;&gt;""),AND(FX10&gt;=FY$26,FX10&lt;&gt;""),AND(GQ10&gt;=GU$26,GQ10&lt;&gt;""),AND(GT10&gt;=GU$26,GT10&lt;&gt;""),AND(HM10&gt;=HQ$26,HM10&lt;&gt;""),AND(HP10&gt;=HQ$26,HP10&lt;&gt;""),AND(II10&gt;=IM$26,II10&lt;&gt;""),AND(IL10&gt;=IM$26,IL10&lt;&gt;""),AND(JE10&gt;=JI$26,JE10&lt;&gt;""),AND(JH10&gt;=JI$26,JH10&lt;&gt;""),AND(KA10&gt;=KE$26,KA10&lt;&gt;""),AND(KD10&gt;=KE$26,KD10&lt;&gt;""),AND(KW10&gt;=LA$26,KW10&lt;&gt;""),AND(KZ10&gt;=LA$26,KZ10&lt;&gt;""),AND(LS10&gt;=LW$26,LS10&lt;&gt;""),AND(LV10&gt;=LW$26,LV10&lt;&gt;""),AND(MO10&gt;=MS$26,MO10&lt;&gt;""),AND(MR10&gt;=MS$26,MR10&lt;&gt;""),AND(NK10&gt;=NO$26,NK10&lt;&gt;""),AND(NN10&gt;=NO$26,NN10&lt;&gt;"")),"National Team","")</f>
        <v>National Team</v>
      </c>
      <c r="I10" s="11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No DD</v>
      </c>
      <c r="J10" s="3" t="str">
        <f>IF(AND(OR(AND(AV10&gt;=AY$27,AV10&lt;&gt;"",AP10=""),AND(BZ10&gt;=CC$27,BZ10&lt;&gt;"",BT10=""),AND(DD10&gt;=DG$27,DD10&lt;&gt;"",CX10=""),AND(ED10&gt;=EG$27,ED10&lt;&gt;""),AND(EZ10&gt;=FC$27,EZ10&lt;&gt;""),AND(FV10&gt;=FY$27,FV10&lt;&gt;""),AND(GR10&gt;=GU$27,GR10&lt;&gt;""),AND(HN10&gt;=HQ$27,HN10&lt;&gt;""),AND(IJ10&gt;=IM$27,IJ10&lt;&gt;""),AND(JF10&gt;=JI$27,JF10&lt;&gt;""),AND(KB10&gt;=KE$27,KB10&lt;&gt;""),AND(KX10&gt;=LA$27,KX10&lt;&gt;""),AND(LT10&gt;=LW$27,LT10&lt;&gt;""),AND(MP10&gt;=MS$27,MP10&lt;&gt;""),AND(NL10&gt;=NO$27,NL10&lt;&gt;"")),OR(G10="Worlds Team",G10="Excellence",G10="Merit")),"P","")</f>
        <v/>
      </c>
      <c r="K10" s="14">
        <f>IF(MAX(AV10,BZ10,DD10)&gt;0,MAX(AV10,BZ10,DD10),0)</f>
        <v>89.72</v>
      </c>
      <c r="L10" s="14" t="str">
        <f>IF(K10=0,"",IF(K10=DD10,$CD$1,IF(K10=BZ10,$AZ$1,IF(K10=AV10,$V$1,""))))</f>
        <v>2019 Nationals</v>
      </c>
      <c r="M10" s="14">
        <f>IF($K10=$AV10,MAX(BU10,CY10),IF($K10=$BZ10,MAX(AQ10,CY10),IF($K10=$DD10,MAX(AQ10,BU10),MAX(AQ10,BU10,CY10))))</f>
        <v>42.105000000000004</v>
      </c>
      <c r="N10" s="14" t="str">
        <f>IF(M10=0,"",IF(AND(M10=CY10,$L10&lt;&gt;$CD$1),$CD$1,IF(AND(M10=BU10,$L10&lt;&gt;$AZ$1),$AZ$1,IF(AND(M10=AQ10,$L10&lt;&gt;$V$1),$V$1,""))))</f>
        <v>2019 Elite Canada</v>
      </c>
      <c r="O10" s="14">
        <f>MAX(AS10,AU10,AX10,BW10,BY10,CB10,DA10,DC10,DF10)</f>
        <v>48.56</v>
      </c>
      <c r="P10" s="14" t="str">
        <f>IF(O10=0,"",IF(OR(O10=DC10,O10=DA10,O10=DF10),$CD$1,IF(OR(O10=BY10,O10=BW10,O10=CB10),$AZ$1,IF(OR(O10=AU10,O10=AS10,O10=AX10),$V$1,""))))</f>
        <v>2021 1st Virtual Technical Trial</v>
      </c>
      <c r="Q10" s="14">
        <f>IF(COUNT(AS10,AU10,AX10,BW10,BY10,CB10,DA10,DC10,DF10)&gt;1,LARGE((AS10,AU10,AX10,BW10,BY10,CB10,DA10,DC10,DF10),2),0)</f>
        <v>48.094999999999992</v>
      </c>
      <c r="R10" s="14" t="str">
        <f>IF(Q10=0,"",IF(OR(Q10=DC10,Q10=DA10,Q10=DF10),$CD$1,IF(OR(Q10=BY10,Q10=BW10,Q10=CB10),$AZ$1,IF(OR(Q10=AU10,Q10=AS10,Q10=AX10),$V$1,""))))</f>
        <v>2019 Nationals</v>
      </c>
      <c r="S10" s="14" t="str">
        <f>IF(MAX(DI10,DK10)&gt;0,MAX(DI10,DK10),"")</f>
        <v/>
      </c>
      <c r="T10" s="24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1">
        <v>17.100000000000001</v>
      </c>
      <c r="W10" s="61">
        <v>9.5</v>
      </c>
      <c r="X10" s="61">
        <v>1.4</v>
      </c>
      <c r="Y10" s="61">
        <v>14.105</v>
      </c>
      <c r="Z10" s="61">
        <v>0</v>
      </c>
      <c r="AA10" s="61">
        <v>14.7</v>
      </c>
      <c r="AB10" s="61">
        <v>9</v>
      </c>
      <c r="AC10" s="61">
        <v>9.6999999999999993</v>
      </c>
      <c r="AD10" s="61">
        <v>13.52</v>
      </c>
      <c r="AE10" s="61">
        <v>0</v>
      </c>
      <c r="AF10" s="61"/>
      <c r="AG10" s="61"/>
      <c r="AH10" s="61"/>
      <c r="AI10" s="61"/>
      <c r="AJ10" s="61"/>
      <c r="AK10" s="61">
        <v>13.3</v>
      </c>
      <c r="AL10" s="61">
        <v>8.9</v>
      </c>
      <c r="AM10" s="61">
        <v>9.6999999999999993</v>
      </c>
      <c r="AN10" s="61">
        <v>13.365</v>
      </c>
      <c r="AO10" s="61">
        <v>0</v>
      </c>
      <c r="AP10" s="72"/>
      <c r="AQ10" s="11">
        <f>IF(SUM(V10:Y10)-Z10&gt;0,SUM(V10:Y10)-Z10,"")</f>
        <v>42.105000000000004</v>
      </c>
      <c r="AR10" s="11">
        <f>IF(AC10&gt;0,AC10,"")</f>
        <v>9.6999999999999993</v>
      </c>
      <c r="AS10" s="11">
        <f>IF(SUM(AA10:AD10)-AE10&gt;0,SUM(AA10:AD10)-AE10,"")</f>
        <v>46.92</v>
      </c>
      <c r="AT10" s="11" t="str">
        <f>IF(AH10&gt;0,AH10,"")</f>
        <v/>
      </c>
      <c r="AU10" s="11" t="str">
        <f>IF(SUM(AF10:AI10)-AJ10&gt;0,SUM(AF10:AI10)-AJ10,"")</f>
        <v/>
      </c>
      <c r="AV10" s="11">
        <f>IF(OR(AQ10&lt;&gt;"",AS10&lt;&gt;"",AU10&lt;&gt;""),AQ10+MAX(AS10,AU10),"")</f>
        <v>89.025000000000006</v>
      </c>
      <c r="AW10" s="11">
        <f>IF(AM10&gt;0,AM10,"")</f>
        <v>9.6999999999999993</v>
      </c>
      <c r="AX10" s="11">
        <f>IF(SUM(AK10:AN10)-AO10&gt;0,SUM(AK10:AN10)-AO10,"")</f>
        <v>45.265000000000001</v>
      </c>
      <c r="AY10" s="11">
        <f>IF(SUM(AV10,AX10)&gt;0,SUM(AV10,AX10),"")</f>
        <v>134.29000000000002</v>
      </c>
      <c r="AZ10" s="67">
        <v>16.7</v>
      </c>
      <c r="BA10" s="67">
        <v>9.3000000000000007</v>
      </c>
      <c r="BB10" s="67">
        <v>1.4</v>
      </c>
      <c r="BC10" s="67">
        <v>14.225</v>
      </c>
      <c r="BD10" s="67">
        <v>0</v>
      </c>
      <c r="BE10" s="67">
        <v>15.4</v>
      </c>
      <c r="BF10" s="67">
        <v>9</v>
      </c>
      <c r="BG10" s="67">
        <v>9.6999999999999993</v>
      </c>
      <c r="BH10" s="67">
        <v>13.994999999999999</v>
      </c>
      <c r="BI10" s="67">
        <v>0</v>
      </c>
      <c r="BJ10" s="67"/>
      <c r="BK10" s="67"/>
      <c r="BL10" s="67"/>
      <c r="BM10" s="67"/>
      <c r="BN10" s="67"/>
      <c r="BO10" s="67">
        <v>12.24</v>
      </c>
      <c r="BP10" s="67">
        <v>8.6999999999999993</v>
      </c>
      <c r="BQ10" s="67">
        <v>9.6</v>
      </c>
      <c r="BR10" s="67">
        <v>13.7</v>
      </c>
      <c r="BS10" s="67">
        <v>0</v>
      </c>
      <c r="BT10" s="73"/>
      <c r="BU10" s="14">
        <f>IF(SUM(AZ10:BC10)-BD10&gt;0,SUM(AZ10:BC10)-BD10,"")</f>
        <v>41.625</v>
      </c>
      <c r="BV10" s="14">
        <f>IF(BG10&gt;0,BG10,"")</f>
        <v>9.6999999999999993</v>
      </c>
      <c r="BW10" s="14">
        <f>IF(SUM(BE10:BH10)-BI10&gt;0,SUM(BE10:BH10)-BI10,"")</f>
        <v>48.094999999999992</v>
      </c>
      <c r="BX10" s="14" t="str">
        <f>IF(BL10&gt;0,BL10,"")</f>
        <v/>
      </c>
      <c r="BY10" s="14" t="str">
        <f>IF(SUM(BJ10:BM10)-BN10&gt;0,SUM(BJ10:BM10)-BN10,"")</f>
        <v/>
      </c>
      <c r="BZ10" s="14">
        <f>IF(BU10="",IF(MAX(BW10,BY10)&gt;0,MAX(BW10,BY10),""),MAX(BW10,BY10)+BU10)</f>
        <v>89.72</v>
      </c>
      <c r="CA10" s="14">
        <f>IF(BQ10&gt;0,BQ10,"")</f>
        <v>9.6</v>
      </c>
      <c r="CB10" s="14">
        <f>IF(SUM(BO10:BR10)-BS10&gt;0,SUM(BO10:BR10)-BS10,"")</f>
        <v>44.239999999999995</v>
      </c>
      <c r="CC10" s="14">
        <f>IF(SUM(BZ10,CB10)&gt;0,SUM(BZ10,CB10),"")</f>
        <v>133.95999999999998</v>
      </c>
      <c r="CD10" s="61">
        <v>16.100000000000001</v>
      </c>
      <c r="CE10" s="61">
        <v>9.5</v>
      </c>
      <c r="CF10" s="61">
        <v>1.5</v>
      </c>
      <c r="CG10" s="61">
        <v>14.14</v>
      </c>
      <c r="CH10" s="61">
        <v>0</v>
      </c>
      <c r="CI10" s="61">
        <v>2.6</v>
      </c>
      <c r="CJ10" s="61">
        <v>1.75</v>
      </c>
      <c r="CK10" s="61">
        <v>2.5</v>
      </c>
      <c r="CL10" s="61">
        <v>2.88</v>
      </c>
      <c r="CM10" s="61">
        <v>0</v>
      </c>
      <c r="CN10" s="61"/>
      <c r="CO10" s="61"/>
      <c r="CP10" s="61"/>
      <c r="CQ10" s="61"/>
      <c r="CR10" s="61"/>
      <c r="CS10" s="61">
        <v>15</v>
      </c>
      <c r="CT10" s="61">
        <v>9.65</v>
      </c>
      <c r="CU10" s="61">
        <v>10</v>
      </c>
      <c r="CV10" s="61">
        <v>13.91</v>
      </c>
      <c r="CW10" s="61">
        <v>0</v>
      </c>
      <c r="CX10" s="72"/>
      <c r="CY10" s="11">
        <f>IF(SUM(CD10:CG10)-CH10&gt;0,SUM(CD10:CG10)-CH10,"")</f>
        <v>41.24</v>
      </c>
      <c r="CZ10" s="11">
        <f>IF(CK10&gt;0,CK10,"")</f>
        <v>2.5</v>
      </c>
      <c r="DA10" s="11">
        <f>IF(SUM(CI10:CL10)-CM10&gt;0,SUM(CI10:CL10)-CM10,"")</f>
        <v>9.73</v>
      </c>
      <c r="DB10" s="11" t="str">
        <f>IF(CP10&gt;0,CP10,"")</f>
        <v/>
      </c>
      <c r="DC10" s="11" t="str">
        <f>IF(SUM(CN10:CQ10)-CR10&gt;0,SUM(CN10:CQ10)-CR10,"")</f>
        <v/>
      </c>
      <c r="DD10" s="11">
        <f>IF(CY10="",IF(MAX(DA10,DC10)&gt;0,MAX(DA10,DC10),""),MAX(DA10,DC10)+CY10)</f>
        <v>50.97</v>
      </c>
      <c r="DE10" s="11">
        <f>IF(CU10&gt;0,CU10,"")</f>
        <v>10</v>
      </c>
      <c r="DF10" s="11">
        <f>IF(SUM(CS10:CV10)-CW10&gt;0,SUM(CS10:CV10)-CW10,"")</f>
        <v>48.56</v>
      </c>
      <c r="DG10" s="11">
        <f>IF(SUM(DD10,DF10)&gt;0,SUM(DD10,DF10),"")</f>
        <v>99.53</v>
      </c>
      <c r="DH10" s="23" t="str">
        <f>IF(MAX(EB10,EX10,FT10,GP10,HL10,IH10,JD10,JZ10,KV10,LR10,MN10,NJ10)-IF(M10="",0,M10)&gt;0.001,MAX(EB10,EX10,FT10,GP10,HL10,IH10,JD10,JZ10,KV10,LR10,MN10,NJ10)-IF(M10="",0,M10),"")</f>
        <v/>
      </c>
      <c r="DI10" s="23" t="str">
        <f>IF(MAX(EC10,EY10,FU10,GQ10,HM10,II10,JE10,KA10,KW10,LS10,MO10,NK10)-IF(O10="",0,O10)&gt;0.001,MAX(EC10,EY10,FU10,GQ10,HM10,II10,JE10,KA10,KW10,LS10,MO10,NK10)-IF(O10="",0,O10),"")</f>
        <v/>
      </c>
      <c r="DJ10" s="23" t="str">
        <f>IF(MAX(ED10,EZ10,FV10,GR10,HN10,IJ10,JF10,KB10,KX10,LT10,MP10,NL10)-IF(K10="",0,K10)&gt;0.001,MAX(ED10,EZ10,FV10,GR10,HN10,IJ10,JF10,KB10,KX10,LT10,MP10,NL10)-IF(K10="",0,K10),"")</f>
        <v/>
      </c>
      <c r="DK10" s="23" t="str">
        <f>IF(MAX(EF10,FB10,FX10,GT10,HP10,IL10,JH10,KD10,KZ10,LV10,MR10,NN10)-IF(Q10="",0,Q10)&gt;0.001,MAX(EF10,FB10,FX10,GT10,HP10,IL10,JH10,KD10,KZ10,LV10,MR10,NN10)-IF(Q10="",0,Q10),"")</f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1">
        <f>IF($CX10="P",CD10,(CD10+AZ10)/2)</f>
        <v>16.399999999999999</v>
      </c>
      <c r="NQ10" s="61">
        <f>IF($CX10="P",CE10,(CE10+BA10)/2)</f>
        <v>9.4</v>
      </c>
      <c r="NR10" s="61">
        <f>IF($CX10="P",CF10,(CF10+BB10)/2)</f>
        <v>1.45</v>
      </c>
      <c r="NS10" s="61">
        <f>IF($CX10="P",CG10,(CG10+BC10)/2)</f>
        <v>14.182500000000001</v>
      </c>
      <c r="NT10" s="61">
        <f>IF($CX10="P",CH10,(CH10+BD10)/2)</f>
        <v>0</v>
      </c>
      <c r="NU10" s="61">
        <f>IF($CX10="P",CI10,(CI10+BE10)/2)</f>
        <v>9</v>
      </c>
      <c r="NV10" s="61">
        <f>IF($CX10="P",CJ10,(CJ10+BF10)/2)</f>
        <v>5.375</v>
      </c>
      <c r="NW10" s="61">
        <f>IF($CX10="P",CK10,(CK10+BG10)/2)</f>
        <v>6.1</v>
      </c>
      <c r="NX10" s="61">
        <f>IF($CX10="P",CL10,(CL10+BH10)/2)</f>
        <v>8.4375</v>
      </c>
      <c r="NY10" s="61">
        <f>IF($CX10="P",CM10,(CM10+BI10)/2)</f>
        <v>0</v>
      </c>
      <c r="NZ10" s="61">
        <f>IF($CX10="P",CN10,(CN10+BJ10)/2)</f>
        <v>0</v>
      </c>
      <c r="OA10" s="61">
        <f>IF($CX10="P",CO10,(CO10+BK10)/2)</f>
        <v>0</v>
      </c>
      <c r="OB10" s="61">
        <f>IF($CX10="P",CP10,(CP10+BL10)/2)</f>
        <v>0</v>
      </c>
      <c r="OC10" s="61">
        <f>IF($CX10="P",CQ10,(CQ10+BM10)/2)</f>
        <v>0</v>
      </c>
      <c r="OD10" s="61">
        <f>IF($CX10="P",CR10,(CR10+BN10)/2)</f>
        <v>0</v>
      </c>
      <c r="OE10" s="61">
        <f>IF($CX10="P",CS10,(CS10+BO10)/2)</f>
        <v>13.620000000000001</v>
      </c>
      <c r="OF10" s="61">
        <f>IF($CX10="P",CT10,(CT10+BP10)/2)</f>
        <v>9.1750000000000007</v>
      </c>
      <c r="OG10" s="61">
        <f>IF($CX10="P",CU10,(CU10+BQ10)/2)</f>
        <v>9.8000000000000007</v>
      </c>
      <c r="OH10" s="61">
        <f>IF($CX10="P",CV10,(CV10+BR10)/2)</f>
        <v>13.805</v>
      </c>
      <c r="OI10" s="61">
        <f>IF($CX10="P",CW10,(CW10+BS10)/2)</f>
        <v>0</v>
      </c>
      <c r="OJ10" s="72" t="s">
        <v>52</v>
      </c>
      <c r="OK10" s="11">
        <f>IF(SUM(NP10:NS10)-NT10&gt;0,SUM(NP10:NS10)-NT10,"")</f>
        <v>41.432499999999997</v>
      </c>
      <c r="OL10" s="11">
        <f>IF(NW10&gt;0,NW10,"")</f>
        <v>6.1</v>
      </c>
      <c r="OM10" s="11">
        <f>IF(SUM(NU10:NX10)-NY10&gt;0,SUM(NU10:NX10)-NY10,"")</f>
        <v>28.912500000000001</v>
      </c>
      <c r="ON10" s="11" t="str">
        <f>IF(OB10&gt;0,OB10,"")</f>
        <v/>
      </c>
      <c r="OO10" s="11" t="str">
        <f>IF(SUM(NZ10:OC10)-OD10&gt;0,SUM(NZ10:OC10)-OD10,"")</f>
        <v/>
      </c>
      <c r="OP10" s="11">
        <f>IF(OR(OK10&lt;&gt;"",OM10&lt;&gt;"",OO10&lt;&gt;""),OK10+MAX(OM10,OO10),"")</f>
        <v>70.344999999999999</v>
      </c>
      <c r="OQ10" s="11">
        <f>IF(OG10&gt;0,OG10,"")</f>
        <v>9.8000000000000007</v>
      </c>
      <c r="OR10" s="11">
        <f t="shared" ref="OR10" si="2">IF(SUM(OE10:OH10)-OI10&gt;0,SUM(OE10:OH10)-OI10,"")</f>
        <v>46.4</v>
      </c>
      <c r="OS10" s="11">
        <f t="shared" ref="OS10" si="3">IF(SUM(OP10,OR10)&gt;0,SUM(OP10,OR10),"")</f>
        <v>116.745</v>
      </c>
    </row>
    <row r="11" spans="1:409" x14ac:dyDescent="0.2">
      <c r="A11" s="5" t="str" cm="1">
        <f t="array" ref="A11">IF(AND(G11&lt;&gt;"",H11&lt;&gt;""),SUMPRODUCT((G$4:G$20&lt;&gt;"")*(H$4:H$20&lt;&gt;"")*(E$4:E$20&gt;E11))+1,IF(H11&lt;&gt;"",SUMPRODUCT((I$4:I$20="No DD")*(E$4:E$20&gt;E11))+1+SUMPRODUCT((G$4:G$20&lt;&gt;"")*(H$4:H$20&lt;&gt;"")),""))</f>
        <v/>
      </c>
      <c r="B11" s="6" t="s">
        <v>94</v>
      </c>
      <c r="C11" s="7" t="s">
        <v>6</v>
      </c>
      <c r="D11" s="5">
        <v>2003</v>
      </c>
      <c r="E11" s="15">
        <f>SUM(O11:S11)</f>
        <v>95.17</v>
      </c>
      <c r="F11" s="3" t="str">
        <f>IF(G11&lt;&gt;"","P","")</f>
        <v/>
      </c>
      <c r="G11" s="115" t="str">
        <f>IF(OR(AND(AR11&gt;=AY$25,AR11&lt;&gt;"",AP11=""),AND(AT11&gt;=AY$25,AT11&lt;&gt;"",AP11=""),AND(AW11&gt;=AY$25,AW11&lt;&gt;"",AP11=""),AND(BV11&gt;=CC$25,BV11&lt;&gt;"",BT11=""),AND(BX11&gt;=CC$25,BX11&lt;&gt;"",BT11=""),AND(CA11&gt;=CC$25,CA11&lt;&gt;"",BT11=""),AND(CZ11&gt;=DG$25,CZ11&lt;&gt;"",CX11=""),AND(DB11&gt;=DG$25,DB11&lt;&gt;"",CX11=""),AND(DE11&gt;=DG$25,DE11&lt;&gt;"",CX11=""),AND(EA11&gt;=EG$25,EA11&lt;&gt;""),AND(EE11&gt;=EG$25,EE11&lt;&gt;""),AND(EW11&gt;=FC$25,EW11&lt;&gt;""),AND(FA11&gt;=FC$25,FA11&lt;&gt;""),AND(FS11&gt;=FY$25,FS11&lt;&gt;""),AND(FW11&gt;=FY$25,FW11&lt;&gt;""),AND(GO11&gt;=GU$25,GO11&lt;&gt;""),AND(GS11&gt;=GU$25,GS11&lt;&gt;""),AND(HK11&gt;=HQ$25,HK11&lt;&gt;""),AND(HO11&gt;=HQ$25,HO11&lt;&gt;""),AND(IG11&gt;=IM$25,IG11&lt;&gt;""),AND(IK11&gt;=IM$25,IK11&lt;&gt;""),AND(JC11&gt;=JI$25,JC11&lt;&gt;""),AND(JG11&gt;=JI$25,JG11&lt;&gt;""),AND(JY11&gt;=KE$25,JY11&lt;&gt;""),AND(KC11&gt;=KE$25,KC11&lt;&gt;""),AND(KU11&gt;=LA$25,KU11&lt;&gt;""),AND(KY11&gt;=LA$25,KY11&lt;&gt;""),AND(LQ11&gt;=LW$25,LQ11&lt;&gt;""),AND(LU11&gt;=LW$25,LU11&lt;&gt;""),AND(MM11&gt;=MS$25,MM11&lt;&gt;""),AND(MQ11&gt;=MS$25,MQ11&lt;&gt;""),AND(NI11&gt;=NO$25,NI11&lt;&gt;""),AND(NM11&gt;=NO$25,NM11&lt;&gt;"")),"Merit",IF(OR(AND(AR11&gt;=AY$24,AR11&lt;&gt;"",AP11=""),AND(AT11&gt;=AY$24,AT11&lt;&gt;"",AP11=""),AND(AW11&gt;=AY$24,AW11&lt;&gt;"",AP11=""),AND(BV11&gt;=CC$24,BV11&lt;&gt;"",BT11=""),AND(BX11&gt;=CC$24,BX11&lt;&gt;"",BT11=""),AND(CA11&gt;=CC$24,CA11&lt;&gt;"",BT11=""),AND(CZ11&gt;=DG$24,CZ11&lt;&gt;"",CX11=""),AND(DB11&gt;=DG$24,DB11&lt;&gt;"",CX11=""),AND(DE11&gt;=DG$24,DE11&lt;&gt;"",CX11=""),AND(EA11&gt;=EG$24,EA11&lt;&gt;""),AND(EE11&gt;=EG$24,EE11&lt;&gt;""),AND(EW11&gt;=FC$24,EW11&lt;&gt;""),AND(FA11&gt;=FC$24,FA11&lt;&gt;""),AND(FS11&gt;=FY$24,FS11&lt;&gt;""),AND(FW11&gt;=FY$24,FW11&lt;&gt;""),AND(GO11&gt;=GU$24,GO11&lt;&gt;""),AND(GS11&gt;=GU$24,GS11&lt;&gt;""),AND(HK11&gt;=HQ$24,HK11&lt;&gt;""),AND(HO11&gt;=HQ$24,HO11&lt;&gt;""),AND(IG11&gt;=IM$24,IG11&lt;&gt;""),AND(IK11&gt;=IM$24,IK11&lt;&gt;""),AND(JC11&gt;=JI$24,JC11&lt;&gt;""),AND(JG11&gt;=JI$24,JG11&lt;&gt;""),AND(JY11&gt;=KE$24,JY11&lt;&gt;""),AND(KC11&gt;=KE$24,KC11&lt;&gt;""),AND(KU11&gt;=LA$24,KU11&lt;&gt;""),AND(KY11&gt;=LA$24,KY11&lt;&gt;""),AND(LQ11&gt;=LW$24,LQ11&lt;&gt;""),AND(LU11&gt;=LW$24,LU11&lt;&gt;""),AND(MM11&gt;=MS$24,MM11&lt;&gt;""),AND(MQ11&gt;=MS$24,MQ11&lt;&gt;""),AND(NI11&gt;=NO$24,NI11&lt;&gt;""),AND(NM11&gt;=NO$24,NM11&lt;&gt;"")),"Excellence",IF(OR(AND(AR11&gt;=AY$23,AR11&lt;&gt;"",AP11=""),AND(AT11&gt;=AY$23,AT11&lt;&gt;"",AP11=""),AND(AW11&gt;=AY$23,AW11&lt;&gt;"",AP11=""),AND(BV11&gt;=CC$23,BV11&lt;&gt;"",BT11=""),AND(BX11&gt;=CC$23,BX11&lt;&gt;"",BT11=""),AND(CA11&gt;=CC$23,CA11&lt;&gt;"",BT11=""),AND(CZ11&gt;=DG$23,CZ11&lt;&gt;"",CX11=""),AND(DB11&gt;=DG$23,DB11&lt;&gt;"",CX11=""),AND(DE11&gt;=DG$23,DE11&lt;&gt;"",CX11=""),AND(EA11&gt;=EG$23,EA11&lt;&gt;""),AND(EE11&gt;=EG$23,EE11&lt;&gt;""),AND(EW11&gt;=FC$23,EW11&lt;&gt;""),AND(FA11&gt;=FC$23,FA11&lt;&gt;""),AND(FS11&gt;=FY$23,FS11&lt;&gt;""),AND(FW11&gt;=FY$23,FW11&lt;&gt;""),AND(GO11&gt;=GU$23,GO11&lt;&gt;""),AND(GS11&gt;=GU$23,GS11&lt;&gt;""),AND(HK11&gt;=HQ$23,HK11&lt;&gt;""),AND(HO11&gt;=HQ$23,HO11&lt;&gt;""),AND(IG11&gt;=IM$23,IG11&lt;&gt;""),AND(IK11&gt;=IM$23,IK11&lt;&gt;""),AND(JC11&gt;=JI$23,JC11&lt;&gt;""),AND(JG11&gt;=JI$23,JG11&lt;&gt;""),AND(JY11&gt;=KE$23,JY11&lt;&gt;""),AND(KC11&gt;=KE$23,KC11&lt;&gt;""),AND(KU11&gt;=LA$23,KU11&lt;&gt;""),AND(KY11&gt;=LA$23,KY11&lt;&gt;""),AND(LQ11&gt;=LW$23,LQ11&lt;&gt;""),AND(LU11&gt;=LW$23,LU11&lt;&gt;""),AND(MM11&gt;=MS$23,MM11&lt;&gt;""),AND(MQ11&gt;=MS$23,MQ11&lt;&gt;""),AND(NI11&gt;=NO$23,NI11&lt;&gt;""),AND(NM11&gt;=NO$23,NM11&lt;&gt;"")),"Worlds Team",IF(OR(AND(AR11&gt;=AY$22,AR11&lt;&gt;"",AP11=""),AND(AT11&gt;=AY$22,AT11&lt;&gt;"",AP11=""),AND(AW11&gt;=AY$22,AW11&lt;&gt;"",AP11=""),AND(BV11&gt;=CC$22,BV11&lt;&gt;"",BT11=""),AND(BX11&gt;=CC$22,BX11&lt;&gt;"",BT11=""),AND(CA11&gt;=CC$22,CA11&lt;&gt;"",BT11=""),AND(CZ11&gt;=DG$22,CZ11&lt;&gt;"",CX11=""),AND(DB11&gt;=DG$22,DB11&lt;&gt;"",CX11=""),AND(DE11&gt;=DG$22,DE11&lt;&gt;"",CX11=""),AND(EA11&gt;=EG$22,EA11&lt;&gt;""),AND(EE11&gt;=EG$22,EE11&lt;&gt;""),AND(EW11&gt;=FC$22,EW11&lt;&gt;""),AND(FA11&gt;=FC$22,FA11&lt;&gt;""),AND(FS11&gt;=FY$22,FS11&lt;&gt;""),AND(FW11&gt;=FY$22,FW11&lt;&gt;""),AND(GO11&gt;=GU$22,GO11&lt;&gt;""),AND(GS11&gt;=GU$22,GS11&lt;&gt;""),AND(HK11&gt;=HQ$22,HK11&lt;&gt;""),AND(HO11&gt;=HQ$22,HO11&lt;&gt;""),AND(IG11&gt;=IM$22,IG11&lt;&gt;""),AND(IK11&gt;=IM$22,IK11&lt;&gt;""),AND(JC11&gt;=JI$22,JC11&lt;&gt;""),AND(JG11&gt;=JI$22,JG11&lt;&gt;""),AND(JY11&gt;=KE$22,JY11&lt;&gt;""),AND(KC11&gt;=KE$22,KC11&lt;&gt;""),AND(KU11&gt;=LA$22,KU11&lt;&gt;""),AND(KY11&gt;=LA$22,KY11&lt;&gt;""),AND(LQ11&gt;=LW$22,LQ11&lt;&gt;""),AND(LU11&gt;=LW$22,LU11&lt;&gt;""),AND(MM11&gt;=MS$22,MM11&lt;&gt;""),AND(MQ11&gt;=MS$22,MQ11&lt;&gt;""),AND(NI11&gt;=NO$22,NI11&lt;&gt;""),AND(NM11&gt;=NO$22,NM11&lt;&gt;"")),"National Team",""))))</f>
        <v/>
      </c>
      <c r="H11" s="115" t="str">
        <f>IF(OR(AND(AS11&gt;=AY$26,AS11&lt;&gt;"",AP11=""),AND(AU11&gt;=AY$26,AU11&lt;&gt;"",AP11=""),AND(AX11&gt;=AY$26,AX11&lt;&gt;"",AP11=""),AND(BW11&gt;=CC$26,BW11&lt;&gt;"",BT11=""),AND(BY11&gt;=CC$26,BY11&lt;&gt;"",BT11=""),AND(CB11&gt;=CC$26,CB11&lt;&gt;"",BT11=""),AND(DA11&gt;=DG$26,DA11&lt;&gt;"",CX11=""),AND(DC11&gt;=DG$26,DC11&lt;&gt;"",CX11=""),AND(DF11&gt;=DG$26,DF11&lt;&gt;"",CX11=""),AND(EC11&gt;=EG$26,EC11&lt;&gt;""),AND(EF11&gt;=EG$26,EF11&lt;&gt;""),AND(EY11&gt;=FC$26,EY11&lt;&gt;""),AND(FB11&gt;=FC$26,FB11&lt;&gt;""),AND(FU11&gt;=FY$26,FU11&lt;&gt;""),AND(FX11&gt;=FY$26,FX11&lt;&gt;""),AND(GQ11&gt;=GU$26,GQ11&lt;&gt;""),AND(GT11&gt;=GU$26,GT11&lt;&gt;""),AND(HM11&gt;=HQ$26,HM11&lt;&gt;""),AND(HP11&gt;=HQ$26,HP11&lt;&gt;""),AND(II11&gt;=IM$26,II11&lt;&gt;""),AND(IL11&gt;=IM$26,IL11&lt;&gt;""),AND(JE11&gt;=JI$26,JE11&lt;&gt;""),AND(JH11&gt;=JI$26,JH11&lt;&gt;""),AND(KA11&gt;=KE$26,KA11&lt;&gt;""),AND(KD11&gt;=KE$26,KD11&lt;&gt;""),AND(KW11&gt;=LA$26,KW11&lt;&gt;""),AND(KZ11&gt;=LA$26,KZ11&lt;&gt;""),AND(LS11&gt;=LW$26,LS11&lt;&gt;""),AND(LV11&gt;=LW$26,LV11&lt;&gt;""),AND(MO11&gt;=MS$26,MO11&lt;&gt;""),AND(MR11&gt;=MS$26,MR11&lt;&gt;""),AND(NK11&gt;=NO$26,NK11&lt;&gt;""),AND(NN11&gt;=NO$26,NN11&lt;&gt;"")),"National Team","")</f>
        <v/>
      </c>
      <c r="I11" s="11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/>
      </c>
      <c r="J11" s="3" t="str">
        <f>IF(AND(OR(AND(AV11&gt;=AY$27,AV11&lt;&gt;"",AP11=""),AND(BZ11&gt;=CC$27,BZ11&lt;&gt;"",BT11=""),AND(DD11&gt;=DG$27,DD11&lt;&gt;"",CX11=""),AND(ED11&gt;=EG$27,ED11&lt;&gt;""),AND(EZ11&gt;=FC$27,EZ11&lt;&gt;""),AND(FV11&gt;=FY$27,FV11&lt;&gt;""),AND(GR11&gt;=GU$27,GR11&lt;&gt;""),AND(HN11&gt;=HQ$27,HN11&lt;&gt;""),AND(IJ11&gt;=IM$27,IJ11&lt;&gt;""),AND(JF11&gt;=JI$27,JF11&lt;&gt;""),AND(KB11&gt;=KE$27,KB11&lt;&gt;""),AND(KX11&gt;=LA$27,KX11&lt;&gt;""),AND(LT11&gt;=LW$27,LT11&lt;&gt;""),AND(MP11&gt;=MS$27,MP11&lt;&gt;""),AND(NL11&gt;=NO$27,NL11&lt;&gt;"")),OR(G11="Worlds Team",G11="Excellence",G11="Merit")),"P","")</f>
        <v/>
      </c>
      <c r="K11" s="14">
        <f>IF(MAX(AV11,BZ11,DD11)&gt;0,MAX(AV11,BZ11,DD11),0)</f>
        <v>90.204999999999998</v>
      </c>
      <c r="L11" s="14" t="str">
        <f>IF(K11=0,"",IF(K11=DD11,$CD$1,IF(K11=BZ11,$AZ$1,IF(K11=AV11,$V$1,""))))</f>
        <v>2019 Elite Canada</v>
      </c>
      <c r="M11" s="14">
        <f>IF($K11=$AV11,MAX(BU11,CY11),IF($K11=$BZ11,MAX(AQ11,CY11),IF($K11=$DD11,MAX(AQ11,BU11),MAX(AQ11,BU11,CY11))))</f>
        <v>42.664999999999999</v>
      </c>
      <c r="N11" s="14" t="str">
        <f>IF(M11=0,"",IF(AND(M11=CY11,$L11&lt;&gt;$CD$1),$CD$1,IF(AND(M11=BU11,$L11&lt;&gt;$AZ$1),$AZ$1,IF(AND(M11=AQ11,$L11&lt;&gt;$V$1),$V$1,""))))</f>
        <v>2019 Nationals</v>
      </c>
      <c r="O11" s="14">
        <f>MAX(AS11,AU11,AX11,BW11,BY11,CB11,DA11,DC11,DF11)</f>
        <v>47.75</v>
      </c>
      <c r="P11" s="14" t="str">
        <f>IF(O11=0,"",IF(OR(O11=DC11,O11=DA11,O11=DF11),$CD$1,IF(OR(O11=BY11,O11=BW11,O11=CB11),$AZ$1,IF(OR(O11=AU11,O11=AS11,O11=AX11),$V$1,""))))</f>
        <v>2019 Elite Canada</v>
      </c>
      <c r="Q11" s="14">
        <f>IF(COUNT(AS11,AU11,AX11,BW11,BY11,CB11,DA11,DC11,DF11)&gt;1,LARGE((AS11,AU11,AX11,BW11,BY11,CB11,DA11,DC11,DF11),2),0)</f>
        <v>47.42</v>
      </c>
      <c r="R11" s="14" t="str">
        <f>IF(Q11=0,"",IF(OR(Q11=DC11,Q11=DA11,Q11=DF11),$CD$1,IF(OR(Q11=BY11,Q11=BW11,Q11=CB11),$AZ$1,IF(OR(Q11=AU11,Q11=AS11,Q11=AX11),$V$1,""))))</f>
        <v>2019 Elite Canada</v>
      </c>
      <c r="S11" s="14" t="str">
        <f>IF(MAX(DI11,DK11)&gt;0,MAX(DI11,DK11),"")</f>
        <v/>
      </c>
      <c r="T11" s="24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1">
        <v>16.7</v>
      </c>
      <c r="W11" s="61">
        <v>9.1999999999999993</v>
      </c>
      <c r="X11" s="61">
        <v>2</v>
      </c>
      <c r="Y11" s="61">
        <v>14.885</v>
      </c>
      <c r="Z11" s="61">
        <v>0</v>
      </c>
      <c r="AA11" s="61">
        <v>14</v>
      </c>
      <c r="AB11" s="61">
        <v>9.15</v>
      </c>
      <c r="AC11" s="61">
        <v>9.8000000000000007</v>
      </c>
      <c r="AD11" s="61">
        <v>14.47</v>
      </c>
      <c r="AE11" s="61">
        <v>0</v>
      </c>
      <c r="AF11" s="61"/>
      <c r="AG11" s="61"/>
      <c r="AH11" s="61"/>
      <c r="AI11" s="61"/>
      <c r="AJ11" s="61"/>
      <c r="AK11" s="61">
        <v>14.6</v>
      </c>
      <c r="AL11" s="61">
        <v>9.1</v>
      </c>
      <c r="AM11" s="61">
        <v>9.8000000000000007</v>
      </c>
      <c r="AN11" s="61">
        <v>14.25</v>
      </c>
      <c r="AO11" s="61">
        <v>0</v>
      </c>
      <c r="AP11" s="72"/>
      <c r="AQ11" s="11">
        <f>IF(SUM(V11:Y11)-Z11&gt;0,SUM(V11:Y11)-Z11,"")</f>
        <v>42.784999999999997</v>
      </c>
      <c r="AR11" s="11">
        <f>IF(AC11&gt;0,AC11,"")</f>
        <v>9.8000000000000007</v>
      </c>
      <c r="AS11" s="11">
        <f>IF(SUM(AA11:AD11)-AE11&gt;0,SUM(AA11:AD11)-AE11,"")</f>
        <v>47.42</v>
      </c>
      <c r="AT11" s="11" t="str">
        <f>IF(AH11&gt;0,AH11,"")</f>
        <v/>
      </c>
      <c r="AU11" s="11" t="str">
        <f>IF(SUM(AF11:AI11)-AJ11&gt;0,SUM(AF11:AI11)-AJ11,"")</f>
        <v/>
      </c>
      <c r="AV11" s="11">
        <f>IF(OR(AQ11&lt;&gt;"",AS11&lt;&gt;"",AU11&lt;&gt;""),AQ11+MAX(AS11,AU11),"")</f>
        <v>90.204999999999998</v>
      </c>
      <c r="AW11" s="11">
        <f>IF(AM11&gt;0,AM11,"")</f>
        <v>9.8000000000000007</v>
      </c>
      <c r="AX11" s="11">
        <f>IF(SUM(AK11:AN11)-AO11&gt;0,SUM(AK11:AN11)-AO11,"")</f>
        <v>47.75</v>
      </c>
      <c r="AY11" s="11">
        <f>IF(SUM(AV11,AX11)&gt;0,SUM(AV11,AX11),"")</f>
        <v>137.95499999999998</v>
      </c>
      <c r="AZ11" s="67">
        <v>16.7</v>
      </c>
      <c r="BA11" s="67">
        <v>8.8000000000000007</v>
      </c>
      <c r="BB11" s="67">
        <v>2.2999999999999998</v>
      </c>
      <c r="BC11" s="67">
        <v>14.865</v>
      </c>
      <c r="BD11" s="67">
        <v>0</v>
      </c>
      <c r="BE11" s="67">
        <v>12</v>
      </c>
      <c r="BF11" s="67">
        <v>6.9</v>
      </c>
      <c r="BG11" s="67">
        <v>6.8</v>
      </c>
      <c r="BH11" s="67">
        <v>11.675000000000001</v>
      </c>
      <c r="BI11" s="67">
        <v>0</v>
      </c>
      <c r="BJ11" s="67"/>
      <c r="BK11" s="67"/>
      <c r="BL11" s="67"/>
      <c r="BM11" s="67"/>
      <c r="BN11" s="67"/>
      <c r="BO11" s="67">
        <v>15.5</v>
      </c>
      <c r="BP11" s="67">
        <v>9</v>
      </c>
      <c r="BQ11" s="67">
        <v>8.6</v>
      </c>
      <c r="BR11" s="67">
        <v>15.015000000000001</v>
      </c>
      <c r="BS11" s="67">
        <v>0.9</v>
      </c>
      <c r="BT11" s="73"/>
      <c r="BU11" s="14">
        <f>IF(SUM(AZ11:BC11)-BD11&gt;0,SUM(AZ11:BC11)-BD11,"")</f>
        <v>42.664999999999999</v>
      </c>
      <c r="BV11" s="14">
        <f>IF(BG11&gt;0,BG11,"")</f>
        <v>6.8</v>
      </c>
      <c r="BW11" s="14">
        <f>IF(SUM(BE11:BH11)-BI11&gt;0,SUM(BE11:BH11)-BI11,"")</f>
        <v>37.375</v>
      </c>
      <c r="BX11" s="14" t="str">
        <f>IF(BL11&gt;0,BL11,"")</f>
        <v/>
      </c>
      <c r="BY11" s="14" t="str">
        <f>IF(SUM(BJ11:BM11)-BN11&gt;0,SUM(BJ11:BM11)-BN11,"")</f>
        <v/>
      </c>
      <c r="BZ11" s="14">
        <f>IF(BU11="",IF(MAX(BW11,BY11)&gt;0,MAX(BW11,BY11),""),MAX(BW11,BY11)+BU11)</f>
        <v>80.039999999999992</v>
      </c>
      <c r="CA11" s="14">
        <f>IF(BQ11&gt;0,BQ11,"")</f>
        <v>8.6</v>
      </c>
      <c r="CB11" s="14">
        <f>IF(SUM(BO11:BR11)-BS11&gt;0,SUM(BO11:BR11)-BS11,"")</f>
        <v>47.215000000000003</v>
      </c>
      <c r="CC11" s="14">
        <f>IF(SUM(BZ11,CB11)&gt;0,SUM(BZ11,CB11),"")</f>
        <v>127.255</v>
      </c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72"/>
      <c r="CY11" s="11" t="str">
        <f>IF(SUM(CD11:CG11)-CH11&gt;0,SUM(CD11:CG11)-CH11,"")</f>
        <v/>
      </c>
      <c r="CZ11" s="11" t="str">
        <f>IF(CK11&gt;0,CK11,"")</f>
        <v/>
      </c>
      <c r="DA11" s="11" t="str">
        <f>IF(SUM(CI11:CL11)-CM11&gt;0,SUM(CI11:CL11)-CM11,"")</f>
        <v/>
      </c>
      <c r="DB11" s="11" t="str">
        <f>IF(CP11&gt;0,CP11,"")</f>
        <v/>
      </c>
      <c r="DC11" s="11" t="str">
        <f>IF(SUM(CN11:CQ11)-CR11&gt;0,SUM(CN11:CQ11)-CR11,"")</f>
        <v/>
      </c>
      <c r="DD11" s="11" t="str">
        <f>IF(CY11="",IF(MAX(DA11,DC11)&gt;0,MAX(DA11,DC11),""),MAX(DA11,DC11)+CY11)</f>
        <v/>
      </c>
      <c r="DE11" s="11" t="str">
        <f>IF(CU11&gt;0,CU11,"")</f>
        <v/>
      </c>
      <c r="DF11" s="11" t="str">
        <f>IF(SUM(CS11:CV11)-CW11&gt;0,SUM(CS11:CV11)-CW11,"")</f>
        <v/>
      </c>
      <c r="DG11" s="11" t="str">
        <f>IF(SUM(DD11,DF11)&gt;0,SUM(DD11,DF11),"")</f>
        <v/>
      </c>
      <c r="DH11" s="23" t="str">
        <f>IF(MAX(EB11,EX11,FT11,GP11,HL11,IH11,JD11,JZ11,KV11,LR11,MN11,NJ11)-IF(M11="",0,M11)&gt;0.001,MAX(EB11,EX11,FT11,GP11,HL11,IH11,JD11,JZ11,KV11,LR11,MN11,NJ11)-IF(M11="",0,M11),"")</f>
        <v/>
      </c>
      <c r="DI11" s="23" t="str">
        <f>IF(MAX(EC11,EY11,FU11,GQ11,HM11,II11,JE11,KA11,KW11,LS11,MO11,NK11)-IF(O11="",0,O11)&gt;0.001,MAX(EC11,EY11,FU11,GQ11,HM11,II11,JE11,KA11,KW11,LS11,MO11,NK11)-IF(O11="",0,O11),"")</f>
        <v/>
      </c>
      <c r="DJ11" s="23" t="str">
        <f>IF(MAX(ED11,EZ11,FV11,GR11,HN11,IJ11,JF11,KB11,KX11,LT11,MP11,NL11)-IF(K11="",0,K11)&gt;0.001,MAX(ED11,EZ11,FV11,GR11,HN11,IJ11,JF11,KB11,KX11,LT11,MP11,NL11)-IF(K11="",0,K11),"")</f>
        <v/>
      </c>
      <c r="DK11" s="23" t="str">
        <f>IF(MAX(EF11,FB11,FX11,GT11,HP11,IL11,JH11,KD11,KZ11,LV11,MR11,NN11)-IF(Q11="",0,Q11)&gt;0.001,MAX(EF11,FB11,FX11,GT11,HP11,IL11,JH11,KD11,KZ11,LV11,MR11,NN11)-IF(Q11="",0,Q11),"")</f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1">
        <f>IF($CX11="P",CD11,(CD11+AZ11)/2)</f>
        <v>8.35</v>
      </c>
      <c r="NQ11" s="61">
        <f>IF($CX11="P",CE11,(CE11+BA11)/2)</f>
        <v>4.4000000000000004</v>
      </c>
      <c r="NR11" s="61">
        <f>IF($CX11="P",CF11,(CF11+BB11)/2)</f>
        <v>1.1499999999999999</v>
      </c>
      <c r="NS11" s="61">
        <f>IF($CX11="P",CG11,(CG11+BC11)/2)</f>
        <v>7.4325000000000001</v>
      </c>
      <c r="NT11" s="61">
        <f>IF($CX11="P",CH11,(CH11+BD11)/2)</f>
        <v>0</v>
      </c>
      <c r="NU11" s="61">
        <f>IF($CX11="P",CI11,(CI11+BE11)/2)</f>
        <v>6</v>
      </c>
      <c r="NV11" s="61">
        <f>IF($CX11="P",CJ11,(CJ11+BF11)/2)</f>
        <v>3.45</v>
      </c>
      <c r="NW11" s="61">
        <f>IF($CX11="P",CK11,(CK11+BG11)/2)</f>
        <v>3.4</v>
      </c>
      <c r="NX11" s="61">
        <f>IF($CX11="P",CL11,(CL11+BH11)/2)</f>
        <v>5.8375000000000004</v>
      </c>
      <c r="NY11" s="61">
        <f>IF($CX11="P",CM11,(CM11+BI11)/2)</f>
        <v>0</v>
      </c>
      <c r="NZ11" s="61">
        <f>IF($CX11="P",CN11,(CN11+BJ11)/2)</f>
        <v>0</v>
      </c>
      <c r="OA11" s="61">
        <f>IF($CX11="P",CO11,(CO11+BK11)/2)</f>
        <v>0</v>
      </c>
      <c r="OB11" s="61">
        <f>IF($CX11="P",CP11,(CP11+BL11)/2)</f>
        <v>0</v>
      </c>
      <c r="OC11" s="61">
        <f>IF($CX11="P",CQ11,(CQ11+BM11)/2)</f>
        <v>0</v>
      </c>
      <c r="OD11" s="61">
        <f>IF($CX11="P",CR11,(CR11+BN11)/2)</f>
        <v>0</v>
      </c>
      <c r="OE11" s="61">
        <f>IF($CX11="P",CS11,(CS11+BO11)/2)</f>
        <v>7.75</v>
      </c>
      <c r="OF11" s="61">
        <f>IF($CX11="P",CT11,(CT11+BP11)/2)</f>
        <v>4.5</v>
      </c>
      <c r="OG11" s="61">
        <f>IF($CX11="P",CU11,(CU11+BQ11)/2)</f>
        <v>4.3</v>
      </c>
      <c r="OH11" s="61">
        <f>IF($CX11="P",CV11,(CV11+BR11)/2)</f>
        <v>7.5075000000000003</v>
      </c>
      <c r="OI11" s="61">
        <f>IF($CX11="P",CW11,(CW11+BS11)/2)</f>
        <v>0.45</v>
      </c>
      <c r="OJ11" s="72" t="s">
        <v>52</v>
      </c>
      <c r="OK11" s="11">
        <f>IF(SUM(NP11:NS11)-NT11&gt;0,SUM(NP11:NS11)-NT11,"")</f>
        <v>21.3325</v>
      </c>
      <c r="OL11" s="11">
        <f>IF(NW11&gt;0,NW11,"")</f>
        <v>3.4</v>
      </c>
      <c r="OM11" s="11">
        <f>IF(SUM(NU11:NX11)-NY11&gt;0,SUM(NU11:NX11)-NY11,"")</f>
        <v>18.6875</v>
      </c>
      <c r="ON11" s="11" t="str">
        <f>IF(OB11&gt;0,OB11,"")</f>
        <v/>
      </c>
      <c r="OO11" s="11" t="str">
        <f>IF(SUM(NZ11:OC11)-OD11&gt;0,SUM(NZ11:OC11)-OD11,"")</f>
        <v/>
      </c>
      <c r="OP11" s="11">
        <f>IF(OR(OK11&lt;&gt;"",OM11&lt;&gt;"",OO11&lt;&gt;""),OK11+MAX(OM11,OO11),"")</f>
        <v>40.019999999999996</v>
      </c>
      <c r="OQ11" s="11">
        <f>IF(OG11&gt;0,OG11,"")</f>
        <v>4.3</v>
      </c>
      <c r="OR11" s="11">
        <f t="shared" ref="OR11" si="4">IF(SUM(OE11:OH11)-OI11&gt;0,SUM(OE11:OH11)-OI11,"")</f>
        <v>23.607500000000002</v>
      </c>
      <c r="OS11" s="11">
        <f t="shared" ref="OS11" si="5">IF(SUM(OP11,OR11)&gt;0,SUM(OP11,OR11),"")</f>
        <v>63.627499999999998</v>
      </c>
    </row>
    <row r="12" spans="1:409" x14ac:dyDescent="0.2">
      <c r="A12" s="5" t="str" cm="1">
        <f t="array" ref="A12">IF(AND(G12&lt;&gt;"",H12&lt;&gt;""),SUMPRODUCT((G$4:G$20&lt;&gt;"")*(H$4:H$20&lt;&gt;"")*(E$4:E$20&gt;E12))+1,IF(H12&lt;&gt;"",SUMPRODUCT((I$4:I$20="No DD")*(E$4:E$20&gt;E12))+1+SUMPRODUCT((G$4:G$20&lt;&gt;"")*(H$4:H$20&lt;&gt;"")),""))</f>
        <v/>
      </c>
      <c r="B12" s="8" t="s">
        <v>122</v>
      </c>
      <c r="C12" s="4" t="s">
        <v>5</v>
      </c>
      <c r="D12" s="26">
        <v>2004</v>
      </c>
      <c r="E12" s="15">
        <f>SUM(O12:S12)</f>
        <v>94.649999999999991</v>
      </c>
      <c r="F12" s="3" t="str">
        <f>IF(G12&lt;&gt;"","P","")</f>
        <v/>
      </c>
      <c r="G12" s="115" t="str">
        <f>IF(OR(AND(AR12&gt;=AY$25,AR12&lt;&gt;"",AP12=""),AND(AT12&gt;=AY$25,AT12&lt;&gt;"",AP12=""),AND(AW12&gt;=AY$25,AW12&lt;&gt;"",AP12=""),AND(BV12&gt;=CC$25,BV12&lt;&gt;"",BT12=""),AND(BX12&gt;=CC$25,BX12&lt;&gt;"",BT12=""),AND(CA12&gt;=CC$25,CA12&lt;&gt;"",BT12=""),AND(CZ12&gt;=DG$25,CZ12&lt;&gt;"",CX12=""),AND(DB12&gt;=DG$25,DB12&lt;&gt;"",CX12=""),AND(DE12&gt;=DG$25,DE12&lt;&gt;"",CX12=""),AND(EA12&gt;=EG$25,EA12&lt;&gt;""),AND(EE12&gt;=EG$25,EE12&lt;&gt;""),AND(EW12&gt;=FC$25,EW12&lt;&gt;""),AND(FA12&gt;=FC$25,FA12&lt;&gt;""),AND(FS12&gt;=FY$25,FS12&lt;&gt;""),AND(FW12&gt;=FY$25,FW12&lt;&gt;""),AND(GO12&gt;=GU$25,GO12&lt;&gt;""),AND(GS12&gt;=GU$25,GS12&lt;&gt;""),AND(HK12&gt;=HQ$25,HK12&lt;&gt;""),AND(HO12&gt;=HQ$25,HO12&lt;&gt;""),AND(IG12&gt;=IM$25,IG12&lt;&gt;""),AND(IK12&gt;=IM$25,IK12&lt;&gt;""),AND(JC12&gt;=JI$25,JC12&lt;&gt;""),AND(JG12&gt;=JI$25,JG12&lt;&gt;""),AND(JY12&gt;=KE$25,JY12&lt;&gt;""),AND(KC12&gt;=KE$25,KC12&lt;&gt;""),AND(KU12&gt;=LA$25,KU12&lt;&gt;""),AND(KY12&gt;=LA$25,KY12&lt;&gt;""),AND(LQ12&gt;=LW$25,LQ12&lt;&gt;""),AND(LU12&gt;=LW$25,LU12&lt;&gt;""),AND(MM12&gt;=MS$25,MM12&lt;&gt;""),AND(MQ12&gt;=MS$25,MQ12&lt;&gt;""),AND(NI12&gt;=NO$25,NI12&lt;&gt;""),AND(NM12&gt;=NO$25,NM12&lt;&gt;"")),"Merit",IF(OR(AND(AR12&gt;=AY$24,AR12&lt;&gt;"",AP12=""),AND(AT12&gt;=AY$24,AT12&lt;&gt;"",AP12=""),AND(AW12&gt;=AY$24,AW12&lt;&gt;"",AP12=""),AND(BV12&gt;=CC$24,BV12&lt;&gt;"",BT12=""),AND(BX12&gt;=CC$24,BX12&lt;&gt;"",BT12=""),AND(CA12&gt;=CC$24,CA12&lt;&gt;"",BT12=""),AND(CZ12&gt;=DG$24,CZ12&lt;&gt;"",CX12=""),AND(DB12&gt;=DG$24,DB12&lt;&gt;"",CX12=""),AND(DE12&gt;=DG$24,DE12&lt;&gt;"",CX12=""),AND(EA12&gt;=EG$24,EA12&lt;&gt;""),AND(EE12&gt;=EG$24,EE12&lt;&gt;""),AND(EW12&gt;=FC$24,EW12&lt;&gt;""),AND(FA12&gt;=FC$24,FA12&lt;&gt;""),AND(FS12&gt;=FY$24,FS12&lt;&gt;""),AND(FW12&gt;=FY$24,FW12&lt;&gt;""),AND(GO12&gt;=GU$24,GO12&lt;&gt;""),AND(GS12&gt;=GU$24,GS12&lt;&gt;""),AND(HK12&gt;=HQ$24,HK12&lt;&gt;""),AND(HO12&gt;=HQ$24,HO12&lt;&gt;""),AND(IG12&gt;=IM$24,IG12&lt;&gt;""),AND(IK12&gt;=IM$24,IK12&lt;&gt;""),AND(JC12&gt;=JI$24,JC12&lt;&gt;""),AND(JG12&gt;=JI$24,JG12&lt;&gt;""),AND(JY12&gt;=KE$24,JY12&lt;&gt;""),AND(KC12&gt;=KE$24,KC12&lt;&gt;""),AND(KU12&gt;=LA$24,KU12&lt;&gt;""),AND(KY12&gt;=LA$24,KY12&lt;&gt;""),AND(LQ12&gt;=LW$24,LQ12&lt;&gt;""),AND(LU12&gt;=LW$24,LU12&lt;&gt;""),AND(MM12&gt;=MS$24,MM12&lt;&gt;""),AND(MQ12&gt;=MS$24,MQ12&lt;&gt;""),AND(NI12&gt;=NO$24,NI12&lt;&gt;""),AND(NM12&gt;=NO$24,NM12&lt;&gt;"")),"Excellence",IF(OR(AND(AR12&gt;=AY$23,AR12&lt;&gt;"",AP12=""),AND(AT12&gt;=AY$23,AT12&lt;&gt;"",AP12=""),AND(AW12&gt;=AY$23,AW12&lt;&gt;"",AP12=""),AND(BV12&gt;=CC$23,BV12&lt;&gt;"",BT12=""),AND(BX12&gt;=CC$23,BX12&lt;&gt;"",BT12=""),AND(CA12&gt;=CC$23,CA12&lt;&gt;"",BT12=""),AND(CZ12&gt;=DG$23,CZ12&lt;&gt;"",CX12=""),AND(DB12&gt;=DG$23,DB12&lt;&gt;"",CX12=""),AND(DE12&gt;=DG$23,DE12&lt;&gt;"",CX12=""),AND(EA12&gt;=EG$23,EA12&lt;&gt;""),AND(EE12&gt;=EG$23,EE12&lt;&gt;""),AND(EW12&gt;=FC$23,EW12&lt;&gt;""),AND(FA12&gt;=FC$23,FA12&lt;&gt;""),AND(FS12&gt;=FY$23,FS12&lt;&gt;""),AND(FW12&gt;=FY$23,FW12&lt;&gt;""),AND(GO12&gt;=GU$23,GO12&lt;&gt;""),AND(GS12&gt;=GU$23,GS12&lt;&gt;""),AND(HK12&gt;=HQ$23,HK12&lt;&gt;""),AND(HO12&gt;=HQ$23,HO12&lt;&gt;""),AND(IG12&gt;=IM$23,IG12&lt;&gt;""),AND(IK12&gt;=IM$23,IK12&lt;&gt;""),AND(JC12&gt;=JI$23,JC12&lt;&gt;""),AND(JG12&gt;=JI$23,JG12&lt;&gt;""),AND(JY12&gt;=KE$23,JY12&lt;&gt;""),AND(KC12&gt;=KE$23,KC12&lt;&gt;""),AND(KU12&gt;=LA$23,KU12&lt;&gt;""),AND(KY12&gt;=LA$23,KY12&lt;&gt;""),AND(LQ12&gt;=LW$23,LQ12&lt;&gt;""),AND(LU12&gt;=LW$23,LU12&lt;&gt;""),AND(MM12&gt;=MS$23,MM12&lt;&gt;""),AND(MQ12&gt;=MS$23,MQ12&lt;&gt;""),AND(NI12&gt;=NO$23,NI12&lt;&gt;""),AND(NM12&gt;=NO$23,NM12&lt;&gt;"")),"Worlds Team",IF(OR(AND(AR12&gt;=AY$22,AR12&lt;&gt;"",AP12=""),AND(AT12&gt;=AY$22,AT12&lt;&gt;"",AP12=""),AND(AW12&gt;=AY$22,AW12&lt;&gt;"",AP12=""),AND(BV12&gt;=CC$22,BV12&lt;&gt;"",BT12=""),AND(BX12&gt;=CC$22,BX12&lt;&gt;"",BT12=""),AND(CA12&gt;=CC$22,CA12&lt;&gt;"",BT12=""),AND(CZ12&gt;=DG$22,CZ12&lt;&gt;"",CX12=""),AND(DB12&gt;=DG$22,DB12&lt;&gt;"",CX12=""),AND(DE12&gt;=DG$22,DE12&lt;&gt;"",CX12=""),AND(EA12&gt;=EG$22,EA12&lt;&gt;""),AND(EE12&gt;=EG$22,EE12&lt;&gt;""),AND(EW12&gt;=FC$22,EW12&lt;&gt;""),AND(FA12&gt;=FC$22,FA12&lt;&gt;""),AND(FS12&gt;=FY$22,FS12&lt;&gt;""),AND(FW12&gt;=FY$22,FW12&lt;&gt;""),AND(GO12&gt;=GU$22,GO12&lt;&gt;""),AND(GS12&gt;=GU$22,GS12&lt;&gt;""),AND(HK12&gt;=HQ$22,HK12&lt;&gt;""),AND(HO12&gt;=HQ$22,HO12&lt;&gt;""),AND(IG12&gt;=IM$22,IG12&lt;&gt;""),AND(IK12&gt;=IM$22,IK12&lt;&gt;""),AND(JC12&gt;=JI$22,JC12&lt;&gt;""),AND(JG12&gt;=JI$22,JG12&lt;&gt;""),AND(JY12&gt;=KE$22,JY12&lt;&gt;""),AND(KC12&gt;=KE$22,KC12&lt;&gt;""),AND(KU12&gt;=LA$22,KU12&lt;&gt;""),AND(KY12&gt;=LA$22,KY12&lt;&gt;""),AND(LQ12&gt;=LW$22,LQ12&lt;&gt;""),AND(LU12&gt;=LW$22,LU12&lt;&gt;""),AND(MM12&gt;=MS$22,MM12&lt;&gt;""),AND(MQ12&gt;=MS$22,MQ12&lt;&gt;""),AND(NI12&gt;=NO$22,NI12&lt;&gt;""),AND(NM12&gt;=NO$22,NM12&lt;&gt;"")),"National Team",""))))</f>
        <v/>
      </c>
      <c r="H12" s="115" t="str">
        <f>IF(OR(AND(AS12&gt;=AY$26,AS12&lt;&gt;"",AP12=""),AND(AU12&gt;=AY$26,AU12&lt;&gt;"",AP12=""),AND(AX12&gt;=AY$26,AX12&lt;&gt;"",AP12=""),AND(BW12&gt;=CC$26,BW12&lt;&gt;"",BT12=""),AND(BY12&gt;=CC$26,BY12&lt;&gt;"",BT12=""),AND(CB12&gt;=CC$26,CB12&lt;&gt;"",BT12=""),AND(DA12&gt;=DG$26,DA12&lt;&gt;"",CX12=""),AND(DC12&gt;=DG$26,DC12&lt;&gt;"",CX12=""),AND(DF12&gt;=DG$26,DF12&lt;&gt;"",CX12=""),AND(EC12&gt;=EG$26,EC12&lt;&gt;""),AND(EF12&gt;=EG$26,EF12&lt;&gt;""),AND(EY12&gt;=FC$26,EY12&lt;&gt;""),AND(FB12&gt;=FC$26,FB12&lt;&gt;""),AND(FU12&gt;=FY$26,FU12&lt;&gt;""),AND(FX12&gt;=FY$26,FX12&lt;&gt;""),AND(GQ12&gt;=GU$26,GQ12&lt;&gt;""),AND(GT12&gt;=GU$26,GT12&lt;&gt;""),AND(HM12&gt;=HQ$26,HM12&lt;&gt;""),AND(HP12&gt;=HQ$26,HP12&lt;&gt;""),AND(II12&gt;=IM$26,II12&lt;&gt;""),AND(IL12&gt;=IM$26,IL12&lt;&gt;""),AND(JE12&gt;=JI$26,JE12&lt;&gt;""),AND(JH12&gt;=JI$26,JH12&lt;&gt;""),AND(KA12&gt;=KE$26,KA12&lt;&gt;""),AND(KD12&gt;=KE$26,KD12&lt;&gt;""),AND(KW12&gt;=LA$26,KW12&lt;&gt;""),AND(KZ12&gt;=LA$26,KZ12&lt;&gt;""),AND(LS12&gt;=LW$26,LS12&lt;&gt;""),AND(LV12&gt;=LW$26,LV12&lt;&gt;""),AND(MO12&gt;=MS$26,MO12&lt;&gt;""),AND(MR12&gt;=MS$26,MR12&lt;&gt;""),AND(NK12&gt;=NO$26,NK12&lt;&gt;""),AND(NN12&gt;=NO$26,NN12&lt;&gt;"")),"National Team","")</f>
        <v/>
      </c>
      <c r="I12" s="11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$27,AV12&lt;&gt;"",AP12=""),AND(BZ12&gt;=CC$27,BZ12&lt;&gt;"",BT12=""),AND(DD12&gt;=DG$27,DD12&lt;&gt;"",CX12=""),AND(ED12&gt;=EG$27,ED12&lt;&gt;""),AND(EZ12&gt;=FC$27,EZ12&lt;&gt;""),AND(FV12&gt;=FY$27,FV12&lt;&gt;""),AND(GR12&gt;=GU$27,GR12&lt;&gt;""),AND(HN12&gt;=HQ$27,HN12&lt;&gt;""),AND(IJ12&gt;=IM$27,IJ12&lt;&gt;""),AND(JF12&gt;=JI$27,JF12&lt;&gt;""),AND(KB12&gt;=KE$27,KB12&lt;&gt;""),AND(KX12&gt;=LA$27,KX12&lt;&gt;""),AND(LT12&gt;=LW$27,LT12&lt;&gt;""),AND(MP12&gt;=MS$27,MP12&lt;&gt;""),AND(NL12&gt;=NO$27,NL12&lt;&gt;"")),OR(G12="Worlds Team",G12="Excellence",G12="Merit")),"P","")</f>
        <v/>
      </c>
      <c r="K12" s="14">
        <f>IF(MAX(AV12,BZ12,DD12)&gt;0,MAX(AV12,BZ12,DD12),0)</f>
        <v>88.949999999999989</v>
      </c>
      <c r="L12" s="14" t="str">
        <f>IF(K12=0,"",IF(K12=DD12,$CD$1,IF(K12=BZ12,$AZ$1,IF(K12=AV12,$V$1,""))))</f>
        <v>2019 Elite Canada</v>
      </c>
      <c r="M12" s="14">
        <f>IF($K12=$AV12,MAX(BU12,CY12),IF($K12=$BZ12,MAX(AQ12,CY12),IF($K12=$DD12,MAX(AQ12,BU12),MAX(AQ12,BU12,CY12))))</f>
        <v>41.87</v>
      </c>
      <c r="N12" s="14" t="str">
        <f>IF(M12=0,"",IF(AND(M12=CY12,$L12&lt;&gt;$CD$1),$CD$1,IF(AND(M12=BU12,$L12&lt;&gt;$AZ$1),$AZ$1,IF(AND(M12=AQ12,$L12&lt;&gt;$V$1),$V$1,""))))</f>
        <v>2019 Nationals</v>
      </c>
      <c r="O12" s="14">
        <f>MAX(AS12,AU12,AX12,BW12,BY12,CB12,DA12,DC12,DF12)</f>
        <v>47.639999999999993</v>
      </c>
      <c r="P12" s="14" t="str">
        <f>IF(O12=0,"",IF(OR(O12=DC12,O12=DA12,O12=DF12),$CD$1,IF(OR(O12=BY12,O12=BW12,O12=CB12),$AZ$1,IF(OR(O12=AU12,O12=AS12,O12=AX12),$V$1,""))))</f>
        <v>2019 Elite Canada</v>
      </c>
      <c r="Q12" s="14">
        <f>IF(COUNT(AS12,AU12,AX12,BW12,BY12,CB12,DA12,DC12,DF12)&gt;1,LARGE((AS12,AU12,AX12,BW12,BY12,CB12,DA12,DC12,DF12),2),0)</f>
        <v>47.01</v>
      </c>
      <c r="R12" s="14" t="str">
        <f>IF(Q12=0,"",IF(OR(Q12=DC12,Q12=DA12,Q12=DF12),$CD$1,IF(OR(Q12=BY12,Q12=BW12,Q12=CB12),$AZ$1,IF(OR(Q12=AU12,Q12=AS12,Q12=AX12),$V$1,""))))</f>
        <v>2021 1st Virtual Technical Trial</v>
      </c>
      <c r="S12" s="14" t="str">
        <f>IF(MAX(DI12,DK12)&gt;0,MAX(DI12,DK12),"")</f>
        <v/>
      </c>
      <c r="T12" s="24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1">
        <v>16.600000000000001</v>
      </c>
      <c r="W12" s="61">
        <v>9.3000000000000007</v>
      </c>
      <c r="X12" s="61">
        <v>1.4</v>
      </c>
      <c r="Y12" s="61">
        <v>14.01</v>
      </c>
      <c r="Z12" s="61">
        <v>0</v>
      </c>
      <c r="AA12" s="61">
        <v>14.7</v>
      </c>
      <c r="AB12" s="61">
        <v>9.4499999999999993</v>
      </c>
      <c r="AC12" s="61">
        <v>9.6999999999999993</v>
      </c>
      <c r="AD12" s="61">
        <v>13.79</v>
      </c>
      <c r="AE12" s="61">
        <v>0</v>
      </c>
      <c r="AF12" s="61"/>
      <c r="AG12" s="61"/>
      <c r="AH12" s="61"/>
      <c r="AI12" s="61"/>
      <c r="AJ12" s="61"/>
      <c r="AK12" s="61">
        <v>13.8</v>
      </c>
      <c r="AL12" s="61">
        <v>8.65</v>
      </c>
      <c r="AM12" s="61">
        <v>9.6999999999999993</v>
      </c>
      <c r="AN12" s="61">
        <v>13.595000000000001</v>
      </c>
      <c r="AO12" s="61">
        <v>0</v>
      </c>
      <c r="AP12" s="72"/>
      <c r="AQ12" s="11">
        <f>IF(SUM(V12:Y12)-Z12&gt;0,SUM(V12:Y12)-Z12,"")</f>
        <v>41.31</v>
      </c>
      <c r="AR12" s="11">
        <f>IF(AC12&gt;0,AC12,"")</f>
        <v>9.6999999999999993</v>
      </c>
      <c r="AS12" s="11">
        <f>IF(SUM(AA12:AD12)-AE12&gt;0,SUM(AA12:AD12)-AE12,"")</f>
        <v>47.639999999999993</v>
      </c>
      <c r="AT12" s="11" t="str">
        <f>IF(AH12&gt;0,AH12,"")</f>
        <v/>
      </c>
      <c r="AU12" s="11" t="str">
        <f>IF(SUM(AF12:AI12)-AJ12&gt;0,SUM(AF12:AI12)-AJ12,"")</f>
        <v/>
      </c>
      <c r="AV12" s="11">
        <f>IF(OR(AQ12&lt;&gt;"",AS12&lt;&gt;"",AU12&lt;&gt;""),AQ12+MAX(AS12,AU12),"")</f>
        <v>88.949999999999989</v>
      </c>
      <c r="AW12" s="11">
        <f>IF(AM12&gt;0,AM12,"")</f>
        <v>9.6999999999999993</v>
      </c>
      <c r="AX12" s="11">
        <f>IF(SUM(AK12:AN12)-AO12&gt;0,SUM(AK12:AN12)-AO12,"")</f>
        <v>45.745000000000005</v>
      </c>
      <c r="AY12" s="11">
        <f>IF(SUM(AV12,AX12)&gt;0,SUM(AV12,AX12),"")</f>
        <v>134.69499999999999</v>
      </c>
      <c r="AZ12" s="67">
        <v>17.2</v>
      </c>
      <c r="BA12" s="67">
        <v>9.3000000000000007</v>
      </c>
      <c r="BB12" s="67">
        <v>1.4</v>
      </c>
      <c r="BC12" s="67">
        <v>13.97</v>
      </c>
      <c r="BD12" s="67">
        <v>0</v>
      </c>
      <c r="BE12" s="67">
        <v>4.5</v>
      </c>
      <c r="BF12" s="67">
        <v>2.8</v>
      </c>
      <c r="BG12" s="67">
        <v>3.1</v>
      </c>
      <c r="BH12" s="67">
        <v>4.25</v>
      </c>
      <c r="BI12" s="67">
        <v>0</v>
      </c>
      <c r="BJ12" s="67"/>
      <c r="BK12" s="67"/>
      <c r="BL12" s="67"/>
      <c r="BM12" s="67"/>
      <c r="BN12" s="67"/>
      <c r="BO12" s="67"/>
      <c r="BP12" s="67"/>
      <c r="BQ12" s="67"/>
      <c r="BR12" s="67"/>
      <c r="BS12" s="67"/>
      <c r="BT12" s="73"/>
      <c r="BU12" s="14">
        <f>IF(SUM(AZ12:BC12)-BD12&gt;0,SUM(AZ12:BC12)-BD12,"")</f>
        <v>41.87</v>
      </c>
      <c r="BV12" s="14">
        <f>IF(BG12&gt;0,BG12,"")</f>
        <v>3.1</v>
      </c>
      <c r="BW12" s="14">
        <f>IF(SUM(BE12:BH12)-BI12&gt;0,SUM(BE12:BH12)-BI12,"")</f>
        <v>14.65</v>
      </c>
      <c r="BX12" s="14" t="str">
        <f>IF(BL12&gt;0,BL12,"")</f>
        <v/>
      </c>
      <c r="BY12" s="14" t="str">
        <f>IF(SUM(BJ12:BM12)-BN12&gt;0,SUM(BJ12:BM12)-BN12,"")</f>
        <v/>
      </c>
      <c r="BZ12" s="14">
        <f>IF(BU12="",IF(MAX(BW12,BY12)&gt;0,MAX(BW12,BY12),""),MAX(BW12,BY12)+BU12)</f>
        <v>56.519999999999996</v>
      </c>
      <c r="CA12" s="14" t="str">
        <f>IF(BQ12&gt;0,BQ12,"")</f>
        <v/>
      </c>
      <c r="CB12" s="14" t="str">
        <f>IF(SUM(BO12:BR12)-BS12&gt;0,SUM(BO12:BR12)-BS12,"")</f>
        <v/>
      </c>
      <c r="CC12" s="14">
        <f>IF(SUM(BZ12,CB12)&gt;0,SUM(BZ12,CB12),"")</f>
        <v>56.519999999999996</v>
      </c>
      <c r="CD12" s="61">
        <v>15.2</v>
      </c>
      <c r="CE12" s="61">
        <v>9.5500000000000007</v>
      </c>
      <c r="CF12" s="61">
        <v>1.4</v>
      </c>
      <c r="CG12" s="61">
        <v>13.86</v>
      </c>
      <c r="CH12" s="61">
        <v>0</v>
      </c>
      <c r="CI12" s="61">
        <v>15</v>
      </c>
      <c r="CJ12" s="61">
        <v>9.3000000000000007</v>
      </c>
      <c r="CK12" s="61">
        <v>7.6</v>
      </c>
      <c r="CL12" s="61">
        <v>13.74</v>
      </c>
      <c r="CM12" s="61">
        <v>1.2</v>
      </c>
      <c r="CN12" s="61"/>
      <c r="CO12" s="61"/>
      <c r="CP12" s="61"/>
      <c r="CQ12" s="61"/>
      <c r="CR12" s="61"/>
      <c r="CS12" s="61">
        <v>16</v>
      </c>
      <c r="CT12" s="61">
        <v>9.5500000000000007</v>
      </c>
      <c r="CU12" s="61">
        <v>8.1999999999999993</v>
      </c>
      <c r="CV12" s="61">
        <v>13.86</v>
      </c>
      <c r="CW12" s="61">
        <v>0.6</v>
      </c>
      <c r="CX12" s="72"/>
      <c r="CY12" s="11">
        <f>IF(SUM(CD12:CG12)-CH12&gt;0,SUM(CD12:CG12)-CH12,"")</f>
        <v>40.01</v>
      </c>
      <c r="CZ12" s="11">
        <f>IF(CK12&gt;0,CK12,"")</f>
        <v>7.6</v>
      </c>
      <c r="DA12" s="11">
        <f>IF(SUM(CI12:CL12)-CM12&gt;0,SUM(CI12:CL12)-CM12,"")</f>
        <v>44.44</v>
      </c>
      <c r="DB12" s="11" t="str">
        <f>IF(CP12&gt;0,CP12,"")</f>
        <v/>
      </c>
      <c r="DC12" s="11" t="str">
        <f>IF(SUM(CN12:CQ12)-CR12&gt;0,SUM(CN12:CQ12)-CR12,"")</f>
        <v/>
      </c>
      <c r="DD12" s="11">
        <f>IF(CY12="",IF(MAX(DA12,DC12)&gt;0,MAX(DA12,DC12),""),MAX(DA12,DC12)+CY12)</f>
        <v>84.449999999999989</v>
      </c>
      <c r="DE12" s="11">
        <f>IF(CU12&gt;0,CU12,"")</f>
        <v>8.1999999999999993</v>
      </c>
      <c r="DF12" s="11">
        <f>IF(SUM(CS12:CV12)-CW12&gt;0,SUM(CS12:CV12)-CW12,"")</f>
        <v>47.01</v>
      </c>
      <c r="DG12" s="11">
        <f>IF(SUM(DD12,DF12)&gt;0,SUM(DD12,DF12),"")</f>
        <v>131.45999999999998</v>
      </c>
      <c r="DH12" s="23" t="str">
        <f>IF(MAX(EB12,EX12,FT12,GP12,HL12,IH12,JD12,JZ12,KV12,LR12,MN12,NJ12)-IF(M12="",0,M12)&gt;0.001,MAX(EB12,EX12,FT12,GP12,HL12,IH12,JD12,JZ12,KV12,LR12,MN12,NJ12)-IF(M12="",0,M12),"")</f>
        <v/>
      </c>
      <c r="DI12" s="23" t="str">
        <f>IF(MAX(EC12,EY12,FU12,GQ12,HM12,II12,JE12,KA12,KW12,LS12,MO12,NK12)-IF(O12="",0,O12)&gt;0.001,MAX(EC12,EY12,FU12,GQ12,HM12,II12,JE12,KA12,KW12,LS12,MO12,NK12)-IF(O12="",0,O12),"")</f>
        <v/>
      </c>
      <c r="DJ12" s="23" t="str">
        <f>IF(MAX(ED12,EZ12,FV12,GR12,HN12,IJ12,JF12,KB12,KX12,LT12,MP12,NL12)-IF(K12="",0,K12)&gt;0.001,MAX(ED12,EZ12,FV12,GR12,HN12,IJ12,JF12,KB12,KX12,LT12,MP12,NL12)-IF(K12="",0,K12),"")</f>
        <v/>
      </c>
      <c r="DK12" s="23" t="str">
        <f>IF(MAX(EF12,FB12,FX12,GT12,HP12,IL12,JH12,KD12,KZ12,LV12,MR12,NN12)-IF(Q12="",0,Q12)&gt;0.001,MAX(EF12,FB12,FX12,GT12,HP12,IL12,JH12,KD12,KZ12,LV12,MR12,NN12)-IF(Q12="",0,Q12),"")</f>
        <v/>
      </c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1">
        <f>IF($CX12="P",CD12,(CD12+AZ12)/2)</f>
        <v>16.2</v>
      </c>
      <c r="NQ12" s="61">
        <f>IF($CX12="P",CE12,(CE12+BA12)/2)</f>
        <v>9.4250000000000007</v>
      </c>
      <c r="NR12" s="61">
        <f>IF($CX12="P",CF12,(CF12+BB12)/2)</f>
        <v>1.4</v>
      </c>
      <c r="NS12" s="61">
        <f>IF($CX12="P",CG12,(CG12+BC12)/2)</f>
        <v>13.914999999999999</v>
      </c>
      <c r="NT12" s="61">
        <f>IF($CX12="P",CH12,(CH12+BD12)/2)</f>
        <v>0</v>
      </c>
      <c r="NU12" s="61">
        <f>IF($CX12="P",CI12,(CI12+BE12)/2)</f>
        <v>9.75</v>
      </c>
      <c r="NV12" s="61">
        <f>IF($CX12="P",CJ12,(CJ12+BF12)/2)</f>
        <v>6.0500000000000007</v>
      </c>
      <c r="NW12" s="61">
        <f>IF($CX12="P",CK12,(CK12+BG12)/2)</f>
        <v>5.35</v>
      </c>
      <c r="NX12" s="61">
        <f>IF($CX12="P",CL12,(CL12+BH12)/2)</f>
        <v>8.995000000000001</v>
      </c>
      <c r="NY12" s="61">
        <f>IF($CX12="P",CM12,(CM12+BI12)/2)</f>
        <v>0.6</v>
      </c>
      <c r="NZ12" s="61">
        <f>IF($CX12="P",CN12,(CN12+BJ12)/2)</f>
        <v>0</v>
      </c>
      <c r="OA12" s="61">
        <f>IF($CX12="P",CO12,(CO12+BK12)/2)</f>
        <v>0</v>
      </c>
      <c r="OB12" s="61">
        <f>IF($CX12="P",CP12,(CP12+BL12)/2)</f>
        <v>0</v>
      </c>
      <c r="OC12" s="61">
        <f>IF($CX12="P",CQ12,(CQ12+BM12)/2)</f>
        <v>0</v>
      </c>
      <c r="OD12" s="61">
        <f>IF($CX12="P",CR12,(CR12+BN12)/2)</f>
        <v>0</v>
      </c>
      <c r="OE12" s="61">
        <f>IF($CX12="P",CS12,(CS12+BO12)/2)</f>
        <v>8</v>
      </c>
      <c r="OF12" s="61">
        <f>IF($CX12="P",CT12,(CT12+BP12)/2)</f>
        <v>4.7750000000000004</v>
      </c>
      <c r="OG12" s="61">
        <f>IF($CX12="P",CU12,(CU12+BQ12)/2)</f>
        <v>4.0999999999999996</v>
      </c>
      <c r="OH12" s="61">
        <f>IF($CX12="P",CV12,(CV12+BR12)/2)</f>
        <v>6.93</v>
      </c>
      <c r="OI12" s="61">
        <f>IF($CX12="P",CW12,(CW12+BS12)/2)</f>
        <v>0.3</v>
      </c>
      <c r="OJ12" s="72" t="s">
        <v>52</v>
      </c>
      <c r="OK12" s="11">
        <f>IF(SUM(NP12:NS12)-NT12&gt;0,SUM(NP12:NS12)-NT12,"")</f>
        <v>40.94</v>
      </c>
      <c r="OL12" s="11">
        <f>IF(NW12&gt;0,NW12,"")</f>
        <v>5.35</v>
      </c>
      <c r="OM12" s="11">
        <f>IF(SUM(NU12:NX12)-NY12&gt;0,SUM(NU12:NX12)-NY12,"")</f>
        <v>29.544999999999998</v>
      </c>
      <c r="ON12" s="11" t="str">
        <f>IF(OB12&gt;0,OB12,"")</f>
        <v/>
      </c>
      <c r="OO12" s="11" t="str">
        <f>IF(SUM(NZ12:OC12)-OD12&gt;0,SUM(NZ12:OC12)-OD12,"")</f>
        <v/>
      </c>
      <c r="OP12" s="11">
        <f>IF(OR(OK12&lt;&gt;"",OM12&lt;&gt;"",OO12&lt;&gt;""),OK12+MAX(OM12,OO12),"")</f>
        <v>70.484999999999999</v>
      </c>
      <c r="OQ12" s="11">
        <f>IF(OG12&gt;0,OG12,"")</f>
        <v>4.0999999999999996</v>
      </c>
      <c r="OR12" s="11">
        <f t="shared" ref="OR12" si="6">IF(SUM(OE12:OH12)-OI12&gt;0,SUM(OE12:OH12)-OI12,"")</f>
        <v>23.504999999999999</v>
      </c>
      <c r="OS12" s="11">
        <f t="shared" ref="OS12" si="7">IF(SUM(OP12,OR12)&gt;0,SUM(OP12,OR12),"")</f>
        <v>93.99</v>
      </c>
    </row>
    <row r="13" spans="1:409" x14ac:dyDescent="0.2">
      <c r="A13" s="5" t="str" cm="1">
        <f t="array" ref="A13">IF(AND(G13&lt;&gt;"",H13&lt;&gt;""),SUMPRODUCT((G$4:G$20&lt;&gt;"")*(H$4:H$20&lt;&gt;"")*(E$4:E$20&gt;E13))+1,IF(H13&lt;&gt;"",SUMPRODUCT((I$4:I$20="No DD")*(E$4:E$20&gt;E13))+1+SUMPRODUCT((G$4:G$20&lt;&gt;"")*(H$4:H$20&lt;&gt;"")),""))</f>
        <v/>
      </c>
      <c r="B13" s="8" t="s">
        <v>120</v>
      </c>
      <c r="C13" s="4" t="s">
        <v>5</v>
      </c>
      <c r="D13" s="26">
        <v>2000</v>
      </c>
      <c r="E13" s="15">
        <f>SUM(O13:S13)</f>
        <v>93.15</v>
      </c>
      <c r="F13" s="3" t="str">
        <f>IF(G13&lt;&gt;"","P","")</f>
        <v/>
      </c>
      <c r="G13" s="115" t="str">
        <f>IF(OR(AND(AR13&gt;=AY$25,AR13&lt;&gt;"",AP13=""),AND(AT13&gt;=AY$25,AT13&lt;&gt;"",AP13=""),AND(AW13&gt;=AY$25,AW13&lt;&gt;"",AP13=""),AND(BV13&gt;=CC$25,BV13&lt;&gt;"",BT13=""),AND(BX13&gt;=CC$25,BX13&lt;&gt;"",BT13=""),AND(CA13&gt;=CC$25,CA13&lt;&gt;"",BT13=""),AND(CZ13&gt;=DG$25,CZ13&lt;&gt;"",CX13=""),AND(DB13&gt;=DG$25,DB13&lt;&gt;"",CX13=""),AND(DE13&gt;=DG$25,DE13&lt;&gt;"",CX13=""),AND(EA13&gt;=EG$25,EA13&lt;&gt;""),AND(EE13&gt;=EG$25,EE13&lt;&gt;""),AND(EW13&gt;=FC$25,EW13&lt;&gt;""),AND(FA13&gt;=FC$25,FA13&lt;&gt;""),AND(FS13&gt;=FY$25,FS13&lt;&gt;""),AND(FW13&gt;=FY$25,FW13&lt;&gt;""),AND(GO13&gt;=GU$25,GO13&lt;&gt;""),AND(GS13&gt;=GU$25,GS13&lt;&gt;""),AND(HK13&gt;=HQ$25,HK13&lt;&gt;""),AND(HO13&gt;=HQ$25,HO13&lt;&gt;""),AND(IG13&gt;=IM$25,IG13&lt;&gt;""),AND(IK13&gt;=IM$25,IK13&lt;&gt;""),AND(JC13&gt;=JI$25,JC13&lt;&gt;""),AND(JG13&gt;=JI$25,JG13&lt;&gt;""),AND(JY13&gt;=KE$25,JY13&lt;&gt;""),AND(KC13&gt;=KE$25,KC13&lt;&gt;""),AND(KU13&gt;=LA$25,KU13&lt;&gt;""),AND(KY13&gt;=LA$25,KY13&lt;&gt;""),AND(LQ13&gt;=LW$25,LQ13&lt;&gt;""),AND(LU13&gt;=LW$25,LU13&lt;&gt;""),AND(MM13&gt;=MS$25,MM13&lt;&gt;""),AND(MQ13&gt;=MS$25,MQ13&lt;&gt;""),AND(NI13&gt;=NO$25,NI13&lt;&gt;""),AND(NM13&gt;=NO$25,NM13&lt;&gt;"")),"Merit",IF(OR(AND(AR13&gt;=AY$24,AR13&lt;&gt;"",AP13=""),AND(AT13&gt;=AY$24,AT13&lt;&gt;"",AP13=""),AND(AW13&gt;=AY$24,AW13&lt;&gt;"",AP13=""),AND(BV13&gt;=CC$24,BV13&lt;&gt;"",BT13=""),AND(BX13&gt;=CC$24,BX13&lt;&gt;"",BT13=""),AND(CA13&gt;=CC$24,CA13&lt;&gt;"",BT13=""),AND(CZ13&gt;=DG$24,CZ13&lt;&gt;"",CX13=""),AND(DB13&gt;=DG$24,DB13&lt;&gt;"",CX13=""),AND(DE13&gt;=DG$24,DE13&lt;&gt;"",CX13=""),AND(EA13&gt;=EG$24,EA13&lt;&gt;""),AND(EE13&gt;=EG$24,EE13&lt;&gt;""),AND(EW13&gt;=FC$24,EW13&lt;&gt;""),AND(FA13&gt;=FC$24,FA13&lt;&gt;""),AND(FS13&gt;=FY$24,FS13&lt;&gt;""),AND(FW13&gt;=FY$24,FW13&lt;&gt;""),AND(GO13&gt;=GU$24,GO13&lt;&gt;""),AND(GS13&gt;=GU$24,GS13&lt;&gt;""),AND(HK13&gt;=HQ$24,HK13&lt;&gt;""),AND(HO13&gt;=HQ$24,HO13&lt;&gt;""),AND(IG13&gt;=IM$24,IG13&lt;&gt;""),AND(IK13&gt;=IM$24,IK13&lt;&gt;""),AND(JC13&gt;=JI$24,JC13&lt;&gt;""),AND(JG13&gt;=JI$24,JG13&lt;&gt;""),AND(JY13&gt;=KE$24,JY13&lt;&gt;""),AND(KC13&gt;=KE$24,KC13&lt;&gt;""),AND(KU13&gt;=LA$24,KU13&lt;&gt;""),AND(KY13&gt;=LA$24,KY13&lt;&gt;""),AND(LQ13&gt;=LW$24,LQ13&lt;&gt;""),AND(LU13&gt;=LW$24,LU13&lt;&gt;""),AND(MM13&gt;=MS$24,MM13&lt;&gt;""),AND(MQ13&gt;=MS$24,MQ13&lt;&gt;""),AND(NI13&gt;=NO$24,NI13&lt;&gt;""),AND(NM13&gt;=NO$24,NM13&lt;&gt;"")),"Excellence",IF(OR(AND(AR13&gt;=AY$23,AR13&lt;&gt;"",AP13=""),AND(AT13&gt;=AY$23,AT13&lt;&gt;"",AP13=""),AND(AW13&gt;=AY$23,AW13&lt;&gt;"",AP13=""),AND(BV13&gt;=CC$23,BV13&lt;&gt;"",BT13=""),AND(BX13&gt;=CC$23,BX13&lt;&gt;"",BT13=""),AND(CA13&gt;=CC$23,CA13&lt;&gt;"",BT13=""),AND(CZ13&gt;=DG$23,CZ13&lt;&gt;"",CX13=""),AND(DB13&gt;=DG$23,DB13&lt;&gt;"",CX13=""),AND(DE13&gt;=DG$23,DE13&lt;&gt;"",CX13=""),AND(EA13&gt;=EG$23,EA13&lt;&gt;""),AND(EE13&gt;=EG$23,EE13&lt;&gt;""),AND(EW13&gt;=FC$23,EW13&lt;&gt;""),AND(FA13&gt;=FC$23,FA13&lt;&gt;""),AND(FS13&gt;=FY$23,FS13&lt;&gt;""),AND(FW13&gt;=FY$23,FW13&lt;&gt;""),AND(GO13&gt;=GU$23,GO13&lt;&gt;""),AND(GS13&gt;=GU$23,GS13&lt;&gt;""),AND(HK13&gt;=HQ$23,HK13&lt;&gt;""),AND(HO13&gt;=HQ$23,HO13&lt;&gt;""),AND(IG13&gt;=IM$23,IG13&lt;&gt;""),AND(IK13&gt;=IM$23,IK13&lt;&gt;""),AND(JC13&gt;=JI$23,JC13&lt;&gt;""),AND(JG13&gt;=JI$23,JG13&lt;&gt;""),AND(JY13&gt;=KE$23,JY13&lt;&gt;""),AND(KC13&gt;=KE$23,KC13&lt;&gt;""),AND(KU13&gt;=LA$23,KU13&lt;&gt;""),AND(KY13&gt;=LA$23,KY13&lt;&gt;""),AND(LQ13&gt;=LW$23,LQ13&lt;&gt;""),AND(LU13&gt;=LW$23,LU13&lt;&gt;""),AND(MM13&gt;=MS$23,MM13&lt;&gt;""),AND(MQ13&gt;=MS$23,MQ13&lt;&gt;""),AND(NI13&gt;=NO$23,NI13&lt;&gt;""),AND(NM13&gt;=NO$23,NM13&lt;&gt;"")),"Worlds Team",IF(OR(AND(AR13&gt;=AY$22,AR13&lt;&gt;"",AP13=""),AND(AT13&gt;=AY$22,AT13&lt;&gt;"",AP13=""),AND(AW13&gt;=AY$22,AW13&lt;&gt;"",AP13=""),AND(BV13&gt;=CC$22,BV13&lt;&gt;"",BT13=""),AND(BX13&gt;=CC$22,BX13&lt;&gt;"",BT13=""),AND(CA13&gt;=CC$22,CA13&lt;&gt;"",BT13=""),AND(CZ13&gt;=DG$22,CZ13&lt;&gt;"",CX13=""),AND(DB13&gt;=DG$22,DB13&lt;&gt;"",CX13=""),AND(DE13&gt;=DG$22,DE13&lt;&gt;"",CX13=""),AND(EA13&gt;=EG$22,EA13&lt;&gt;""),AND(EE13&gt;=EG$22,EE13&lt;&gt;""),AND(EW13&gt;=FC$22,EW13&lt;&gt;""),AND(FA13&gt;=FC$22,FA13&lt;&gt;""),AND(FS13&gt;=FY$22,FS13&lt;&gt;""),AND(FW13&gt;=FY$22,FW13&lt;&gt;""),AND(GO13&gt;=GU$22,GO13&lt;&gt;""),AND(GS13&gt;=GU$22,GS13&lt;&gt;""),AND(HK13&gt;=HQ$22,HK13&lt;&gt;""),AND(HO13&gt;=HQ$22,HO13&lt;&gt;""),AND(IG13&gt;=IM$22,IG13&lt;&gt;""),AND(IK13&gt;=IM$22,IK13&lt;&gt;""),AND(JC13&gt;=JI$22,JC13&lt;&gt;""),AND(JG13&gt;=JI$22,JG13&lt;&gt;""),AND(JY13&gt;=KE$22,JY13&lt;&gt;""),AND(KC13&gt;=KE$22,KC13&lt;&gt;""),AND(KU13&gt;=LA$22,KU13&lt;&gt;""),AND(KY13&gt;=LA$22,KY13&lt;&gt;""),AND(LQ13&gt;=LW$22,LQ13&lt;&gt;""),AND(LU13&gt;=LW$22,LU13&lt;&gt;""),AND(MM13&gt;=MS$22,MM13&lt;&gt;""),AND(MQ13&gt;=MS$22,MQ13&lt;&gt;""),AND(NI13&gt;=NO$22,NI13&lt;&gt;""),AND(NM13&gt;=NO$22,NM13&lt;&gt;"")),"National Team",""))))</f>
        <v/>
      </c>
      <c r="H13" s="115" t="str">
        <f>IF(OR(AND(AS13&gt;=AY$26,AS13&lt;&gt;"",AP13=""),AND(AU13&gt;=AY$26,AU13&lt;&gt;"",AP13=""),AND(AX13&gt;=AY$26,AX13&lt;&gt;"",AP13=""),AND(BW13&gt;=CC$26,BW13&lt;&gt;"",BT13=""),AND(BY13&gt;=CC$26,BY13&lt;&gt;"",BT13=""),AND(CB13&gt;=CC$26,CB13&lt;&gt;"",BT13=""),AND(DA13&gt;=DG$26,DA13&lt;&gt;"",CX13=""),AND(DC13&gt;=DG$26,DC13&lt;&gt;"",CX13=""),AND(DF13&gt;=DG$26,DF13&lt;&gt;"",CX13=""),AND(EC13&gt;=EG$26,EC13&lt;&gt;""),AND(EF13&gt;=EG$26,EF13&lt;&gt;""),AND(EY13&gt;=FC$26,EY13&lt;&gt;""),AND(FB13&gt;=FC$26,FB13&lt;&gt;""),AND(FU13&gt;=FY$26,FU13&lt;&gt;""),AND(FX13&gt;=FY$26,FX13&lt;&gt;""),AND(GQ13&gt;=GU$26,GQ13&lt;&gt;""),AND(GT13&gt;=GU$26,GT13&lt;&gt;""),AND(HM13&gt;=HQ$26,HM13&lt;&gt;""),AND(HP13&gt;=HQ$26,HP13&lt;&gt;""),AND(II13&gt;=IM$26,II13&lt;&gt;""),AND(IL13&gt;=IM$26,IL13&lt;&gt;""),AND(JE13&gt;=JI$26,JE13&lt;&gt;""),AND(JH13&gt;=JI$26,JH13&lt;&gt;""),AND(KA13&gt;=KE$26,KA13&lt;&gt;""),AND(KD13&gt;=KE$26,KD13&lt;&gt;""),AND(KW13&gt;=LA$26,KW13&lt;&gt;""),AND(KZ13&gt;=LA$26,KZ13&lt;&gt;""),AND(LS13&gt;=LW$26,LS13&lt;&gt;""),AND(LV13&gt;=LW$26,LV13&lt;&gt;""),AND(MO13&gt;=MS$26,MO13&lt;&gt;""),AND(MR13&gt;=MS$26,MR13&lt;&gt;""),AND(NK13&gt;=NO$26,NK13&lt;&gt;""),AND(NN13&gt;=NO$26,NN13&lt;&gt;"")),"National Team","")</f>
        <v/>
      </c>
      <c r="I13" s="11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$27,AV13&lt;&gt;"",AP13=""),AND(BZ13&gt;=CC$27,BZ13&lt;&gt;"",BT13=""),AND(DD13&gt;=DG$27,DD13&lt;&gt;"",CX13=""),AND(ED13&gt;=EG$27,ED13&lt;&gt;""),AND(EZ13&gt;=FC$27,EZ13&lt;&gt;""),AND(FV13&gt;=FY$27,FV13&lt;&gt;""),AND(GR13&gt;=GU$27,GR13&lt;&gt;""),AND(HN13&gt;=HQ$27,HN13&lt;&gt;""),AND(IJ13&gt;=IM$27,IJ13&lt;&gt;""),AND(JF13&gt;=JI$27,JF13&lt;&gt;""),AND(KB13&gt;=KE$27,KB13&lt;&gt;""),AND(KX13&gt;=LA$27,KX13&lt;&gt;""),AND(LT13&gt;=LW$27,LT13&lt;&gt;""),AND(MP13&gt;=MS$27,MP13&lt;&gt;""),AND(NL13&gt;=NO$27,NL13&lt;&gt;"")),OR(G13="Worlds Team",G13="Excellence",G13="Merit")),"P","")</f>
        <v/>
      </c>
      <c r="K13" s="14">
        <f>IF(MAX(AV13,BZ13,DD13)&gt;0,MAX(AV13,BZ13,DD13),0)</f>
        <v>84.954999999999998</v>
      </c>
      <c r="L13" s="14" t="str">
        <f>IF(K13=0,"",IF(K13=DD13,$CD$1,IF(K13=BZ13,$AZ$1,IF(K13=AV13,$V$1,""))))</f>
        <v>2019 Nationals</v>
      </c>
      <c r="M13" s="14">
        <f>IF($K13=$AV13,MAX(BU13,CY13),IF($K13=$BZ13,MAX(AQ13,CY13),IF($K13=$DD13,MAX(AQ13,BU13),MAX(AQ13,BU13,CY13))))</f>
        <v>34.844999999999999</v>
      </c>
      <c r="N13" s="14" t="str">
        <f>IF(M13=0,"",IF(AND(M13=CY13,$L13&lt;&gt;$CD$1),$CD$1,IF(AND(M13=BU13,$L13&lt;&gt;$AZ$1),$AZ$1,IF(AND(M13=AQ13,$L13&lt;&gt;$V$1),$V$1,""))))</f>
        <v>2021 1st Virtual Technical Trial</v>
      </c>
      <c r="O13" s="14">
        <f>MAX(AS13,AU13,AX13,BW13,BY13,CB13,DA13,DC13,DF13)</f>
        <v>46.775000000000006</v>
      </c>
      <c r="P13" s="14" t="str">
        <f>IF(O13=0,"",IF(OR(O13=DC13,O13=DA13,O13=DF13),$CD$1,IF(OR(O13=BY13,O13=BW13,O13=CB13),$AZ$1,IF(OR(O13=AU13,O13=AS13,O13=AX13),$V$1,""))))</f>
        <v>2021 1st Virtual Technical Trial</v>
      </c>
      <c r="Q13" s="14">
        <f>IF(COUNT(AS13,AU13,AX13,BW13,BY13,CB13,DA13,DC13,DF13)&gt;1,LARGE((AS13,AU13,AX13,BW13,BY13,CB13,DA13,DC13,DF13),2),0)</f>
        <v>46.375</v>
      </c>
      <c r="R13" s="14" t="str">
        <f>IF(Q13=0,"",IF(OR(Q13=DC13,Q13=DA13,Q13=DF13),$CD$1,IF(OR(Q13=BY13,Q13=BW13,Q13=CB13),$AZ$1,IF(OR(Q13=AU13,Q13=AS13,Q13=AX13),$V$1,""))))</f>
        <v>2021 1st Virtual Technical Trial</v>
      </c>
      <c r="S13" s="14" t="str">
        <f>IF(MAX(DI13,DK13)&gt;0,MAX(DI13,DK13),"")</f>
        <v/>
      </c>
      <c r="T13" s="24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1">
        <v>13.1</v>
      </c>
      <c r="W13" s="61">
        <v>8.35</v>
      </c>
      <c r="X13" s="61">
        <v>0.8</v>
      </c>
      <c r="Y13" s="61">
        <v>12.545</v>
      </c>
      <c r="Z13" s="61">
        <v>0</v>
      </c>
      <c r="AA13" s="61">
        <v>13.1</v>
      </c>
      <c r="AB13" s="61">
        <v>8.75</v>
      </c>
      <c r="AC13" s="61">
        <v>9.1</v>
      </c>
      <c r="AD13" s="61">
        <v>12.994999999999999</v>
      </c>
      <c r="AE13" s="61">
        <v>0</v>
      </c>
      <c r="AF13" s="61"/>
      <c r="AG13" s="61"/>
      <c r="AH13" s="61"/>
      <c r="AI13" s="61"/>
      <c r="AJ13" s="61"/>
      <c r="AK13" s="61">
        <v>1</v>
      </c>
      <c r="AL13" s="61">
        <v>1</v>
      </c>
      <c r="AM13" s="61">
        <v>1.5</v>
      </c>
      <c r="AN13" s="61">
        <v>1.44</v>
      </c>
      <c r="AO13" s="61">
        <v>0</v>
      </c>
      <c r="AP13" s="72"/>
      <c r="AQ13" s="11">
        <f>IF(SUM(V13:Y13)-Z13&gt;0,SUM(V13:Y13)-Z13,"")</f>
        <v>34.795000000000002</v>
      </c>
      <c r="AR13" s="11">
        <f>IF(AC13&gt;0,AC13,"")</f>
        <v>9.1</v>
      </c>
      <c r="AS13" s="11">
        <f>IF(SUM(AA13:AD13)-AE13&gt;0,SUM(AA13:AD13)-AE13,"")</f>
        <v>43.945</v>
      </c>
      <c r="AT13" s="11" t="str">
        <f>IF(AH13&gt;0,AH13,"")</f>
        <v/>
      </c>
      <c r="AU13" s="11" t="str">
        <f>IF(SUM(AF13:AI13)-AJ13&gt;0,SUM(AF13:AI13)-AJ13,"")</f>
        <v/>
      </c>
      <c r="AV13" s="11">
        <f>IF(OR(AQ13&lt;&gt;"",AS13&lt;&gt;"",AU13&lt;&gt;""),AQ13+MAX(AS13,AU13),"")</f>
        <v>78.740000000000009</v>
      </c>
      <c r="AW13" s="11">
        <f>IF(AM13&gt;0,AM13,"")</f>
        <v>1.5</v>
      </c>
      <c r="AX13" s="11">
        <f>IF(SUM(AK13:AN13)-AO13&gt;0,SUM(AK13:AN13)-AO13,"")</f>
        <v>4.9399999999999995</v>
      </c>
      <c r="AY13" s="11">
        <f>IF(SUM(AV13,AX13)&gt;0,SUM(AV13,AX13),"")</f>
        <v>83.68</v>
      </c>
      <c r="AZ13" s="67">
        <v>15.7</v>
      </c>
      <c r="BA13" s="67">
        <v>9.1</v>
      </c>
      <c r="BB13" s="67">
        <v>2</v>
      </c>
      <c r="BC13" s="67">
        <v>13.68</v>
      </c>
      <c r="BD13" s="67">
        <v>0</v>
      </c>
      <c r="BE13" s="67">
        <v>14</v>
      </c>
      <c r="BF13" s="67">
        <v>9</v>
      </c>
      <c r="BG13" s="67">
        <v>8.5</v>
      </c>
      <c r="BH13" s="67">
        <v>13.275</v>
      </c>
      <c r="BI13" s="67">
        <v>0.3</v>
      </c>
      <c r="BJ13" s="67"/>
      <c r="BK13" s="67"/>
      <c r="BL13" s="67"/>
      <c r="BM13" s="67"/>
      <c r="BN13" s="67"/>
      <c r="BO13" s="67">
        <v>11.2</v>
      </c>
      <c r="BP13" s="67">
        <v>7</v>
      </c>
      <c r="BQ13" s="67">
        <v>7.3</v>
      </c>
      <c r="BR13" s="67">
        <v>10.545</v>
      </c>
      <c r="BS13" s="67">
        <v>0</v>
      </c>
      <c r="BT13" s="73"/>
      <c r="BU13" s="14">
        <f>IF(SUM(AZ13:BC13)-BD13&gt;0,SUM(AZ13:BC13)-BD13,"")</f>
        <v>40.479999999999997</v>
      </c>
      <c r="BV13" s="14">
        <f>IF(BG13&gt;0,BG13,"")</f>
        <v>8.5</v>
      </c>
      <c r="BW13" s="14">
        <f>IF(SUM(BE13:BH13)-BI13&gt;0,SUM(BE13:BH13)-BI13,"")</f>
        <v>44.475000000000001</v>
      </c>
      <c r="BX13" s="14" t="str">
        <f>IF(BL13&gt;0,BL13,"")</f>
        <v/>
      </c>
      <c r="BY13" s="14" t="str">
        <f>IF(SUM(BJ13:BM13)-BN13&gt;0,SUM(BJ13:BM13)-BN13,"")</f>
        <v/>
      </c>
      <c r="BZ13" s="14">
        <f>IF(BU13="",IF(MAX(BW13,BY13)&gt;0,MAX(BW13,BY13),""),MAX(BW13,BY13)+BU13)</f>
        <v>84.954999999999998</v>
      </c>
      <c r="CA13" s="14">
        <f>IF(BQ13&gt;0,BQ13,"")</f>
        <v>7.3</v>
      </c>
      <c r="CB13" s="14">
        <f>IF(SUM(BO13:BR13)-BS13&gt;0,SUM(BO13:BR13)-BS13,"")</f>
        <v>36.045000000000002</v>
      </c>
      <c r="CC13" s="14">
        <f>IF(SUM(BZ13,CB13)&gt;0,SUM(BZ13,CB13),"")</f>
        <v>121</v>
      </c>
      <c r="CD13" s="61">
        <v>13.3</v>
      </c>
      <c r="CE13" s="61">
        <v>8.3000000000000007</v>
      </c>
      <c r="CF13" s="61">
        <v>0.8</v>
      </c>
      <c r="CG13" s="61">
        <v>12.445</v>
      </c>
      <c r="CH13" s="61">
        <v>0</v>
      </c>
      <c r="CI13" s="61">
        <v>14.8</v>
      </c>
      <c r="CJ13" s="61">
        <v>9.1999999999999993</v>
      </c>
      <c r="CK13" s="61">
        <v>9.1</v>
      </c>
      <c r="CL13" s="61">
        <v>13.275</v>
      </c>
      <c r="CM13" s="61">
        <v>0</v>
      </c>
      <c r="CN13" s="61"/>
      <c r="CO13" s="61"/>
      <c r="CP13" s="61"/>
      <c r="CQ13" s="61"/>
      <c r="CR13" s="61"/>
      <c r="CS13" s="61">
        <v>15.3</v>
      </c>
      <c r="CT13" s="61">
        <v>9.0500000000000007</v>
      </c>
      <c r="CU13" s="61">
        <v>9.1</v>
      </c>
      <c r="CV13" s="61">
        <v>13.324999999999999</v>
      </c>
      <c r="CW13" s="61">
        <v>0</v>
      </c>
      <c r="CX13" s="72"/>
      <c r="CY13" s="11">
        <f>IF(SUM(CD13:CG13)-CH13&gt;0,SUM(CD13:CG13)-CH13,"")</f>
        <v>34.844999999999999</v>
      </c>
      <c r="CZ13" s="11">
        <f>IF(CK13&gt;0,CK13,"")</f>
        <v>9.1</v>
      </c>
      <c r="DA13" s="11">
        <f>IF(SUM(CI13:CL13)-CM13&gt;0,SUM(CI13:CL13)-CM13,"")</f>
        <v>46.375</v>
      </c>
      <c r="DB13" s="11" t="str">
        <f>IF(CP13&gt;0,CP13,"")</f>
        <v/>
      </c>
      <c r="DC13" s="11" t="str">
        <f>IF(SUM(CN13:CQ13)-CR13&gt;0,SUM(CN13:CQ13)-CR13,"")</f>
        <v/>
      </c>
      <c r="DD13" s="11">
        <f>IF(CY13="",IF(MAX(DA13,DC13)&gt;0,MAX(DA13,DC13),""),MAX(DA13,DC13)+CY13)</f>
        <v>81.22</v>
      </c>
      <c r="DE13" s="11">
        <f>IF(CU13&gt;0,CU13,"")</f>
        <v>9.1</v>
      </c>
      <c r="DF13" s="11">
        <f>IF(SUM(CS13:CV13)-CW13&gt;0,SUM(CS13:CV13)-CW13,"")</f>
        <v>46.775000000000006</v>
      </c>
      <c r="DG13" s="11">
        <f>IF(SUM(DD13,DF13)&gt;0,SUM(DD13,DF13),"")</f>
        <v>127.995</v>
      </c>
      <c r="DH13" s="23" t="str">
        <f>IF(MAX(EB13,EX13,FT13,GP13,HL13,IH13,JD13,JZ13,KV13,LR13,MN13,NJ13)-IF(M13="",0,M13)&gt;0.001,MAX(EB13,EX13,FT13,GP13,HL13,IH13,JD13,JZ13,KV13,LR13,MN13,NJ13)-IF(M13="",0,M13),"")</f>
        <v/>
      </c>
      <c r="DI13" s="23" t="str">
        <f>IF(MAX(EC13,EY13,FU13,GQ13,HM13,II13,JE13,KA13,KW13,LS13,MO13,NK13)-IF(O13="",0,O13)&gt;0.001,MAX(EC13,EY13,FU13,GQ13,HM13,II13,JE13,KA13,KW13,LS13,MO13,NK13)-IF(O13="",0,O13),"")</f>
        <v/>
      </c>
      <c r="DJ13" s="23" t="str">
        <f>IF(MAX(ED13,EZ13,FV13,GR13,HN13,IJ13,JF13,KB13,KX13,LT13,MP13,NL13)-IF(K13="",0,K13)&gt;0.001,MAX(ED13,EZ13,FV13,GR13,HN13,IJ13,JF13,KB13,KX13,LT13,MP13,NL13)-IF(K13="",0,K13),"")</f>
        <v/>
      </c>
      <c r="DK13" s="23" t="str">
        <f>IF(MAX(EF13,FB13,FX13,GT13,HP13,IL13,JH13,KD13,KZ13,LV13,MR13,NN13)-IF(Q13="",0,Q13)&gt;0.001,MAX(EF13,FB13,FX13,GT13,HP13,IL13,JH13,KD13,KZ13,LV13,MR13,NN13)-IF(Q13="",0,Q13),"")</f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1">
        <f>IF($CX13="P",CD13,(CD13+AZ13)/2)</f>
        <v>14.5</v>
      </c>
      <c r="NQ13" s="61">
        <f>IF($CX13="P",CE13,(CE13+BA13)/2)</f>
        <v>8.6999999999999993</v>
      </c>
      <c r="NR13" s="61">
        <f>IF($CX13="P",CF13,(CF13+BB13)/2)</f>
        <v>1.4</v>
      </c>
      <c r="NS13" s="61">
        <f>IF($CX13="P",CG13,(CG13+BC13)/2)</f>
        <v>13.0625</v>
      </c>
      <c r="NT13" s="61">
        <f>IF($CX13="P",CH13,(CH13+BD13)/2)</f>
        <v>0</v>
      </c>
      <c r="NU13" s="61">
        <f>IF($CX13="P",CI13,(CI13+BE13)/2)</f>
        <v>14.4</v>
      </c>
      <c r="NV13" s="61">
        <f>IF($CX13="P",CJ13,(CJ13+BF13)/2)</f>
        <v>9.1</v>
      </c>
      <c r="NW13" s="61">
        <f>IF($CX13="P",CK13,(CK13+BG13)/2)</f>
        <v>8.8000000000000007</v>
      </c>
      <c r="NX13" s="61">
        <f>IF($CX13="P",CL13,(CL13+BH13)/2)</f>
        <v>13.275</v>
      </c>
      <c r="NY13" s="61">
        <f>IF($CX13="P",CM13,(CM13+BI13)/2)</f>
        <v>0.15</v>
      </c>
      <c r="NZ13" s="61">
        <f>IF($CX13="P",CN13,(CN13+BJ13)/2)</f>
        <v>0</v>
      </c>
      <c r="OA13" s="61">
        <f>IF($CX13="P",CO13,(CO13+BK13)/2)</f>
        <v>0</v>
      </c>
      <c r="OB13" s="61">
        <f>IF($CX13="P",CP13,(CP13+BL13)/2)</f>
        <v>0</v>
      </c>
      <c r="OC13" s="61">
        <f>IF($CX13="P",CQ13,(CQ13+BM13)/2)</f>
        <v>0</v>
      </c>
      <c r="OD13" s="61">
        <f>IF($CX13="P",CR13,(CR13+BN13)/2)</f>
        <v>0</v>
      </c>
      <c r="OE13" s="61">
        <f>IF($CX13="P",CS13,(CS13+BO13)/2)</f>
        <v>13.25</v>
      </c>
      <c r="OF13" s="61">
        <f>IF($CX13="P",CT13,(CT13+BP13)/2)</f>
        <v>8.0250000000000004</v>
      </c>
      <c r="OG13" s="61">
        <f>IF($CX13="P",CU13,(CU13+BQ13)/2)</f>
        <v>8.1999999999999993</v>
      </c>
      <c r="OH13" s="61">
        <f>IF($CX13="P",CV13,(CV13+BR13)/2)</f>
        <v>11.934999999999999</v>
      </c>
      <c r="OI13" s="61">
        <f>IF($CX13="P",CW13,(CW13+BS13)/2)</f>
        <v>0</v>
      </c>
      <c r="OJ13" s="72" t="s">
        <v>52</v>
      </c>
      <c r="OK13" s="11">
        <f>IF(SUM(NP13:NS13)-NT13&gt;0,SUM(NP13:NS13)-NT13,"")</f>
        <v>37.662499999999994</v>
      </c>
      <c r="OL13" s="11">
        <f>IF(NW13&gt;0,NW13,"")</f>
        <v>8.8000000000000007</v>
      </c>
      <c r="OM13" s="11">
        <f>IF(SUM(NU13:NX13)-NY13&gt;0,SUM(NU13:NX13)-NY13,"")</f>
        <v>45.424999999999997</v>
      </c>
      <c r="ON13" s="11" t="str">
        <f>IF(OB13&gt;0,OB13,"")</f>
        <v/>
      </c>
      <c r="OO13" s="11" t="str">
        <f>IF(SUM(NZ13:OC13)-OD13&gt;0,SUM(NZ13:OC13)-OD13,"")</f>
        <v/>
      </c>
      <c r="OP13" s="11">
        <f>IF(OR(OK13&lt;&gt;"",OM13&lt;&gt;"",OO13&lt;&gt;""),OK13+MAX(OM13,OO13),"")</f>
        <v>83.087499999999991</v>
      </c>
      <c r="OQ13" s="11">
        <f>IF(OG13&gt;0,OG13,"")</f>
        <v>8.1999999999999993</v>
      </c>
      <c r="OR13" s="11">
        <f t="shared" ref="OR13" si="8">IF(SUM(OE13:OH13)-OI13&gt;0,SUM(OE13:OH13)-OI13,"")</f>
        <v>41.41</v>
      </c>
      <c r="OS13" s="11">
        <f t="shared" ref="OS13" si="9">IF(SUM(OP13,OR13)&gt;0,SUM(OP13,OR13),"")</f>
        <v>124.49749999999999</v>
      </c>
    </row>
    <row r="14" spans="1:409" x14ac:dyDescent="0.2">
      <c r="A14" s="5" t="str" cm="1">
        <f t="array" ref="A14">IF(AND(G14&lt;&gt;"",H14&lt;&gt;""),SUMPRODUCT((G$4:G$20&lt;&gt;"")*(H$4:H$20&lt;&gt;"")*(E$4:E$20&gt;E14))+1,IF(H14&lt;&gt;"",SUMPRODUCT((I$4:I$20="No DD")*(E$4:E$20&gt;E14))+1+SUMPRODUCT((G$4:G$20&lt;&gt;"")*(H$4:H$20&lt;&gt;"")),""))</f>
        <v/>
      </c>
      <c r="B14" s="8" t="s">
        <v>119</v>
      </c>
      <c r="C14" s="4" t="s">
        <v>4</v>
      </c>
      <c r="D14" s="26">
        <v>2004</v>
      </c>
      <c r="E14" s="15">
        <f>SUM(O14:S14)</f>
        <v>93.094999999999999</v>
      </c>
      <c r="F14" s="3" t="str">
        <f>IF(G14&lt;&gt;"","P","")</f>
        <v/>
      </c>
      <c r="G14" s="115" t="str">
        <f>IF(OR(AND(AR14&gt;=AY$25,AR14&lt;&gt;"",AP14=""),AND(AT14&gt;=AY$25,AT14&lt;&gt;"",AP14=""),AND(AW14&gt;=AY$25,AW14&lt;&gt;"",AP14=""),AND(BV14&gt;=CC$25,BV14&lt;&gt;"",BT14=""),AND(BX14&gt;=CC$25,BX14&lt;&gt;"",BT14=""),AND(CA14&gt;=CC$25,CA14&lt;&gt;"",BT14=""),AND(CZ14&gt;=DG$25,CZ14&lt;&gt;"",CX14=""),AND(DB14&gt;=DG$25,DB14&lt;&gt;"",CX14=""),AND(DE14&gt;=DG$25,DE14&lt;&gt;"",CX14=""),AND(EA14&gt;=EG$25,EA14&lt;&gt;""),AND(EE14&gt;=EG$25,EE14&lt;&gt;""),AND(EW14&gt;=FC$25,EW14&lt;&gt;""),AND(FA14&gt;=FC$25,FA14&lt;&gt;""),AND(FS14&gt;=FY$25,FS14&lt;&gt;""),AND(FW14&gt;=FY$25,FW14&lt;&gt;""),AND(GO14&gt;=GU$25,GO14&lt;&gt;""),AND(GS14&gt;=GU$25,GS14&lt;&gt;""),AND(HK14&gt;=HQ$25,HK14&lt;&gt;""),AND(HO14&gt;=HQ$25,HO14&lt;&gt;""),AND(IG14&gt;=IM$25,IG14&lt;&gt;""),AND(IK14&gt;=IM$25,IK14&lt;&gt;""),AND(JC14&gt;=JI$25,JC14&lt;&gt;""),AND(JG14&gt;=JI$25,JG14&lt;&gt;""),AND(JY14&gt;=KE$25,JY14&lt;&gt;""),AND(KC14&gt;=KE$25,KC14&lt;&gt;""),AND(KU14&gt;=LA$25,KU14&lt;&gt;""),AND(KY14&gt;=LA$25,KY14&lt;&gt;""),AND(LQ14&gt;=LW$25,LQ14&lt;&gt;""),AND(LU14&gt;=LW$25,LU14&lt;&gt;""),AND(MM14&gt;=MS$25,MM14&lt;&gt;""),AND(MQ14&gt;=MS$25,MQ14&lt;&gt;""),AND(NI14&gt;=NO$25,NI14&lt;&gt;""),AND(NM14&gt;=NO$25,NM14&lt;&gt;"")),"Merit",IF(OR(AND(AR14&gt;=AY$24,AR14&lt;&gt;"",AP14=""),AND(AT14&gt;=AY$24,AT14&lt;&gt;"",AP14=""),AND(AW14&gt;=AY$24,AW14&lt;&gt;"",AP14=""),AND(BV14&gt;=CC$24,BV14&lt;&gt;"",BT14=""),AND(BX14&gt;=CC$24,BX14&lt;&gt;"",BT14=""),AND(CA14&gt;=CC$24,CA14&lt;&gt;"",BT14=""),AND(CZ14&gt;=DG$24,CZ14&lt;&gt;"",CX14=""),AND(DB14&gt;=DG$24,DB14&lt;&gt;"",CX14=""),AND(DE14&gt;=DG$24,DE14&lt;&gt;"",CX14=""),AND(EA14&gt;=EG$24,EA14&lt;&gt;""),AND(EE14&gt;=EG$24,EE14&lt;&gt;""),AND(EW14&gt;=FC$24,EW14&lt;&gt;""),AND(FA14&gt;=FC$24,FA14&lt;&gt;""),AND(FS14&gt;=FY$24,FS14&lt;&gt;""),AND(FW14&gt;=FY$24,FW14&lt;&gt;""),AND(GO14&gt;=GU$24,GO14&lt;&gt;""),AND(GS14&gt;=GU$24,GS14&lt;&gt;""),AND(HK14&gt;=HQ$24,HK14&lt;&gt;""),AND(HO14&gt;=HQ$24,HO14&lt;&gt;""),AND(IG14&gt;=IM$24,IG14&lt;&gt;""),AND(IK14&gt;=IM$24,IK14&lt;&gt;""),AND(JC14&gt;=JI$24,JC14&lt;&gt;""),AND(JG14&gt;=JI$24,JG14&lt;&gt;""),AND(JY14&gt;=KE$24,JY14&lt;&gt;""),AND(KC14&gt;=KE$24,KC14&lt;&gt;""),AND(KU14&gt;=LA$24,KU14&lt;&gt;""),AND(KY14&gt;=LA$24,KY14&lt;&gt;""),AND(LQ14&gt;=LW$24,LQ14&lt;&gt;""),AND(LU14&gt;=LW$24,LU14&lt;&gt;""),AND(MM14&gt;=MS$24,MM14&lt;&gt;""),AND(MQ14&gt;=MS$24,MQ14&lt;&gt;""),AND(NI14&gt;=NO$24,NI14&lt;&gt;""),AND(NM14&gt;=NO$24,NM14&lt;&gt;"")),"Excellence",IF(OR(AND(AR14&gt;=AY$23,AR14&lt;&gt;"",AP14=""),AND(AT14&gt;=AY$23,AT14&lt;&gt;"",AP14=""),AND(AW14&gt;=AY$23,AW14&lt;&gt;"",AP14=""),AND(BV14&gt;=CC$23,BV14&lt;&gt;"",BT14=""),AND(BX14&gt;=CC$23,BX14&lt;&gt;"",BT14=""),AND(CA14&gt;=CC$23,CA14&lt;&gt;"",BT14=""),AND(CZ14&gt;=DG$23,CZ14&lt;&gt;"",CX14=""),AND(DB14&gt;=DG$23,DB14&lt;&gt;"",CX14=""),AND(DE14&gt;=DG$23,DE14&lt;&gt;"",CX14=""),AND(EA14&gt;=EG$23,EA14&lt;&gt;""),AND(EE14&gt;=EG$23,EE14&lt;&gt;""),AND(EW14&gt;=FC$23,EW14&lt;&gt;""),AND(FA14&gt;=FC$23,FA14&lt;&gt;""),AND(FS14&gt;=FY$23,FS14&lt;&gt;""),AND(FW14&gt;=FY$23,FW14&lt;&gt;""),AND(GO14&gt;=GU$23,GO14&lt;&gt;""),AND(GS14&gt;=GU$23,GS14&lt;&gt;""),AND(HK14&gt;=HQ$23,HK14&lt;&gt;""),AND(HO14&gt;=HQ$23,HO14&lt;&gt;""),AND(IG14&gt;=IM$23,IG14&lt;&gt;""),AND(IK14&gt;=IM$23,IK14&lt;&gt;""),AND(JC14&gt;=JI$23,JC14&lt;&gt;""),AND(JG14&gt;=JI$23,JG14&lt;&gt;""),AND(JY14&gt;=KE$23,JY14&lt;&gt;""),AND(KC14&gt;=KE$23,KC14&lt;&gt;""),AND(KU14&gt;=LA$23,KU14&lt;&gt;""),AND(KY14&gt;=LA$23,KY14&lt;&gt;""),AND(LQ14&gt;=LW$23,LQ14&lt;&gt;""),AND(LU14&gt;=LW$23,LU14&lt;&gt;""),AND(MM14&gt;=MS$23,MM14&lt;&gt;""),AND(MQ14&gt;=MS$23,MQ14&lt;&gt;""),AND(NI14&gt;=NO$23,NI14&lt;&gt;""),AND(NM14&gt;=NO$23,NM14&lt;&gt;"")),"Worlds Team",IF(OR(AND(AR14&gt;=AY$22,AR14&lt;&gt;"",AP14=""),AND(AT14&gt;=AY$22,AT14&lt;&gt;"",AP14=""),AND(AW14&gt;=AY$22,AW14&lt;&gt;"",AP14=""),AND(BV14&gt;=CC$22,BV14&lt;&gt;"",BT14=""),AND(BX14&gt;=CC$22,BX14&lt;&gt;"",BT14=""),AND(CA14&gt;=CC$22,CA14&lt;&gt;"",BT14=""),AND(CZ14&gt;=DG$22,CZ14&lt;&gt;"",CX14=""),AND(DB14&gt;=DG$22,DB14&lt;&gt;"",CX14=""),AND(DE14&gt;=DG$22,DE14&lt;&gt;"",CX14=""),AND(EA14&gt;=EG$22,EA14&lt;&gt;""),AND(EE14&gt;=EG$22,EE14&lt;&gt;""),AND(EW14&gt;=FC$22,EW14&lt;&gt;""),AND(FA14&gt;=FC$22,FA14&lt;&gt;""),AND(FS14&gt;=FY$22,FS14&lt;&gt;""),AND(FW14&gt;=FY$22,FW14&lt;&gt;""),AND(GO14&gt;=GU$22,GO14&lt;&gt;""),AND(GS14&gt;=GU$22,GS14&lt;&gt;""),AND(HK14&gt;=HQ$22,HK14&lt;&gt;""),AND(HO14&gt;=HQ$22,HO14&lt;&gt;""),AND(IG14&gt;=IM$22,IG14&lt;&gt;""),AND(IK14&gt;=IM$22,IK14&lt;&gt;""),AND(JC14&gt;=JI$22,JC14&lt;&gt;""),AND(JG14&gt;=JI$22,JG14&lt;&gt;""),AND(JY14&gt;=KE$22,JY14&lt;&gt;""),AND(KC14&gt;=KE$22,KC14&lt;&gt;""),AND(KU14&gt;=LA$22,KU14&lt;&gt;""),AND(KY14&gt;=LA$22,KY14&lt;&gt;""),AND(LQ14&gt;=LW$22,LQ14&lt;&gt;""),AND(LU14&gt;=LW$22,LU14&lt;&gt;""),AND(MM14&gt;=MS$22,MM14&lt;&gt;""),AND(MQ14&gt;=MS$22,MQ14&lt;&gt;""),AND(NI14&gt;=NO$22,NI14&lt;&gt;""),AND(NM14&gt;=NO$22,NM14&lt;&gt;"")),"National Team",""))))</f>
        <v/>
      </c>
      <c r="H14" s="115" t="str">
        <f>IF(OR(AND(AS14&gt;=AY$26,AS14&lt;&gt;"",AP14=""),AND(AU14&gt;=AY$26,AU14&lt;&gt;"",AP14=""),AND(AX14&gt;=AY$26,AX14&lt;&gt;"",AP14=""),AND(BW14&gt;=CC$26,BW14&lt;&gt;"",BT14=""),AND(BY14&gt;=CC$26,BY14&lt;&gt;"",BT14=""),AND(CB14&gt;=CC$26,CB14&lt;&gt;"",BT14=""),AND(DA14&gt;=DG$26,DA14&lt;&gt;"",CX14=""),AND(DC14&gt;=DG$26,DC14&lt;&gt;"",CX14=""),AND(DF14&gt;=DG$26,DF14&lt;&gt;"",CX14=""),AND(EC14&gt;=EG$26,EC14&lt;&gt;""),AND(EF14&gt;=EG$26,EF14&lt;&gt;""),AND(EY14&gt;=FC$26,EY14&lt;&gt;""),AND(FB14&gt;=FC$26,FB14&lt;&gt;""),AND(FU14&gt;=FY$26,FU14&lt;&gt;""),AND(FX14&gt;=FY$26,FX14&lt;&gt;""),AND(GQ14&gt;=GU$26,GQ14&lt;&gt;""),AND(GT14&gt;=GU$26,GT14&lt;&gt;""),AND(HM14&gt;=HQ$26,HM14&lt;&gt;""),AND(HP14&gt;=HQ$26,HP14&lt;&gt;""),AND(II14&gt;=IM$26,II14&lt;&gt;""),AND(IL14&gt;=IM$26,IL14&lt;&gt;""),AND(JE14&gt;=JI$26,JE14&lt;&gt;""),AND(JH14&gt;=JI$26,JH14&lt;&gt;""),AND(KA14&gt;=KE$26,KA14&lt;&gt;""),AND(KD14&gt;=KE$26,KD14&lt;&gt;""),AND(KW14&gt;=LA$26,KW14&lt;&gt;""),AND(KZ14&gt;=LA$26,KZ14&lt;&gt;""),AND(LS14&gt;=LW$26,LS14&lt;&gt;""),AND(LV14&gt;=LW$26,LV14&lt;&gt;""),AND(MO14&gt;=MS$26,MO14&lt;&gt;""),AND(MR14&gt;=MS$26,MR14&lt;&gt;""),AND(NK14&gt;=NO$26,NK14&lt;&gt;""),AND(NN14&gt;=NO$26,NN14&lt;&gt;"")),"National Team","")</f>
        <v/>
      </c>
      <c r="I14" s="11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$27,AV14&lt;&gt;"",AP14=""),AND(BZ14&gt;=CC$27,BZ14&lt;&gt;"",BT14=""),AND(DD14&gt;=DG$27,DD14&lt;&gt;"",CX14=""),AND(ED14&gt;=EG$27,ED14&lt;&gt;""),AND(EZ14&gt;=FC$27,EZ14&lt;&gt;""),AND(FV14&gt;=FY$27,FV14&lt;&gt;""),AND(GR14&gt;=GU$27,GR14&lt;&gt;""),AND(HN14&gt;=HQ$27,HN14&lt;&gt;""),AND(IJ14&gt;=IM$27,IJ14&lt;&gt;""),AND(JF14&gt;=JI$27,JF14&lt;&gt;""),AND(KB14&gt;=KE$27,KB14&lt;&gt;""),AND(KX14&gt;=LA$27,KX14&lt;&gt;""),AND(LT14&gt;=LW$27,LT14&lt;&gt;""),AND(MP14&gt;=MS$27,MP14&lt;&gt;""),AND(NL14&gt;=NO$27,NL14&lt;&gt;"")),OR(G14="Worlds Team",G14="Excellence",G14="Merit")),"P","")</f>
        <v/>
      </c>
      <c r="K14" s="14">
        <f>IF(MAX(AV14,BZ14,DD14)&gt;0,MAX(AV14,BZ14,DD14),0)</f>
        <v>87.9</v>
      </c>
      <c r="L14" s="14" t="str">
        <f>IF(K14=0,"",IF(K14=DD14,$CD$1,IF(K14=BZ14,$AZ$1,IF(K14=AV14,$V$1,""))))</f>
        <v>2019 Nationals</v>
      </c>
      <c r="M14" s="14">
        <f>IF($K14=$AV14,MAX(BU14,CY14),IF($K14=$BZ14,MAX(AQ14,CY14),IF($K14=$DD14,MAX(AQ14,BU14),MAX(AQ14,BU14,CY14))))</f>
        <v>41.65</v>
      </c>
      <c r="N14" s="14" t="str">
        <f>IF(M14=0,"",IF(AND(M14=CY14,$L14&lt;&gt;$CD$1),$CD$1,IF(AND(M14=BU14,$L14&lt;&gt;$AZ$1),$AZ$1,IF(AND(M14=AQ14,$L14&lt;&gt;$V$1),$V$1,""))))</f>
        <v>2021 1st Virtual Technical Trial</v>
      </c>
      <c r="O14" s="14">
        <f>MAX(AS14,AU14,AX14,BW14,BY14,CB14,DA14,DC14,DF14)</f>
        <v>46.72</v>
      </c>
      <c r="P14" s="14" t="str">
        <f>IF(O14=0,"",IF(OR(O14=DC14,O14=DA14,O14=DF14),$CD$1,IF(OR(O14=BY14,O14=BW14,O14=CB14),$AZ$1,IF(OR(O14=AU14,O14=AS14,O14=AX14),$V$1,""))))</f>
        <v>2019 Nationals</v>
      </c>
      <c r="Q14" s="14">
        <f>IF(COUNT(AS14,AU14,AX14,BW14,BY14,CB14,DA14,DC14,DF14)&gt;1,LARGE((AS14,AU14,AX14,BW14,BY14,CB14,DA14,DC14,DF14),2),0)</f>
        <v>46.375</v>
      </c>
      <c r="R14" s="14" t="str">
        <f>IF(Q14=0,"",IF(OR(Q14=DC14,Q14=DA14,Q14=DF14),$CD$1,IF(OR(Q14=BY14,Q14=BW14,Q14=CB14),$AZ$1,IF(OR(Q14=AU14,Q14=AS14,Q14=AX14),$V$1,""))))</f>
        <v>2019 Nationals</v>
      </c>
      <c r="S14" s="14" t="str">
        <f>IF(MAX(DI14,DK14)&gt;0,MAX(DI14,DK14),"")</f>
        <v/>
      </c>
      <c r="T14" s="24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72"/>
      <c r="AQ14" s="11" t="str">
        <f>IF(SUM(V14:Y14)-Z14&gt;0,SUM(V14:Y14)-Z14,"")</f>
        <v/>
      </c>
      <c r="AR14" s="11" t="str">
        <f>IF(AC14&gt;0,AC14,"")</f>
        <v/>
      </c>
      <c r="AS14" s="11" t="str">
        <f>IF(SUM(AA14:AD14)-AE14&gt;0,SUM(AA14:AD14)-AE14,"")</f>
        <v/>
      </c>
      <c r="AT14" s="11" t="str">
        <f>IF(AH14&gt;0,AH14,"")</f>
        <v/>
      </c>
      <c r="AU14" s="11" t="str">
        <f>IF(SUM(AF14:AI14)-AJ14&gt;0,SUM(AF14:AI14)-AJ14,"")</f>
        <v/>
      </c>
      <c r="AV14" s="11" t="str">
        <f>IF(OR(AQ14&lt;&gt;"",AS14&lt;&gt;"",AU14&lt;&gt;""),AQ14+MAX(AS14,AU14),"")</f>
        <v/>
      </c>
      <c r="AW14" s="11" t="str">
        <f>IF(AM14&gt;0,AM14,"")</f>
        <v/>
      </c>
      <c r="AX14" s="11" t="str">
        <f>IF(SUM(AK14:AN14)-AO14&gt;0,SUM(AK14:AN14)-AO14,"")</f>
        <v/>
      </c>
      <c r="AY14" s="11" t="str">
        <f>IF(SUM(AV14,AX14)&gt;0,SUM(AV14,AX14),"")</f>
        <v/>
      </c>
      <c r="AZ14" s="67">
        <v>16.2</v>
      </c>
      <c r="BA14" s="67">
        <v>9.4</v>
      </c>
      <c r="BB14" s="67">
        <v>1.5</v>
      </c>
      <c r="BC14" s="67">
        <v>14.425000000000001</v>
      </c>
      <c r="BD14" s="67">
        <v>0</v>
      </c>
      <c r="BE14" s="67">
        <v>13.3</v>
      </c>
      <c r="BF14" s="67">
        <v>9.4</v>
      </c>
      <c r="BG14" s="67">
        <v>9.8000000000000007</v>
      </c>
      <c r="BH14" s="67">
        <v>13.875</v>
      </c>
      <c r="BI14" s="67">
        <v>0</v>
      </c>
      <c r="BJ14" s="67"/>
      <c r="BK14" s="67"/>
      <c r="BL14" s="67"/>
      <c r="BM14" s="67"/>
      <c r="BN14" s="67"/>
      <c r="BO14" s="67">
        <v>13.64</v>
      </c>
      <c r="BP14" s="67">
        <v>9.3000000000000007</v>
      </c>
      <c r="BQ14" s="67">
        <v>9.8000000000000007</v>
      </c>
      <c r="BR14" s="67">
        <v>13.98</v>
      </c>
      <c r="BS14" s="67">
        <v>0</v>
      </c>
      <c r="BT14" s="73"/>
      <c r="BU14" s="14">
        <f>IF(SUM(AZ14:BC14)-BD14&gt;0,SUM(AZ14:BC14)-BD14,"")</f>
        <v>41.525000000000006</v>
      </c>
      <c r="BV14" s="14">
        <f>IF(BG14&gt;0,BG14,"")</f>
        <v>9.8000000000000007</v>
      </c>
      <c r="BW14" s="14">
        <f>IF(SUM(BE14:BH14)-BI14&gt;0,SUM(BE14:BH14)-BI14,"")</f>
        <v>46.375</v>
      </c>
      <c r="BX14" s="14" t="str">
        <f>IF(BL14&gt;0,BL14,"")</f>
        <v/>
      </c>
      <c r="BY14" s="14" t="str">
        <f>IF(SUM(BJ14:BM14)-BN14&gt;0,SUM(BJ14:BM14)-BN14,"")</f>
        <v/>
      </c>
      <c r="BZ14" s="14">
        <f>IF(BU14="",IF(MAX(BW14,BY14)&gt;0,MAX(BW14,BY14),""),MAX(BW14,BY14)+BU14)</f>
        <v>87.9</v>
      </c>
      <c r="CA14" s="14">
        <f>IF(BQ14&gt;0,BQ14,"")</f>
        <v>9.8000000000000007</v>
      </c>
      <c r="CB14" s="14">
        <f>IF(SUM(BO14:BR14)-BS14&gt;0,SUM(BO14:BR14)-BS14,"")</f>
        <v>46.72</v>
      </c>
      <c r="CC14" s="14">
        <f>IF(SUM(BZ14,CB14)&gt;0,SUM(BZ14,CB14),"")</f>
        <v>134.62</v>
      </c>
      <c r="CD14" s="61">
        <v>15.3</v>
      </c>
      <c r="CE14" s="61">
        <v>9.75</v>
      </c>
      <c r="CF14" s="61">
        <v>2</v>
      </c>
      <c r="CG14" s="61">
        <v>14.6</v>
      </c>
      <c r="CH14" s="61">
        <v>0</v>
      </c>
      <c r="CI14" s="61">
        <v>12.7</v>
      </c>
      <c r="CJ14" s="61">
        <v>8.6</v>
      </c>
      <c r="CK14" s="61">
        <v>8.4</v>
      </c>
      <c r="CL14" s="61">
        <v>13.2</v>
      </c>
      <c r="CM14" s="61">
        <v>0</v>
      </c>
      <c r="CN14" s="61"/>
      <c r="CO14" s="61"/>
      <c r="CP14" s="61"/>
      <c r="CQ14" s="61"/>
      <c r="CR14" s="61"/>
      <c r="CS14" s="61">
        <v>11.1</v>
      </c>
      <c r="CT14" s="61">
        <v>7.6</v>
      </c>
      <c r="CU14" s="61">
        <v>7.8</v>
      </c>
      <c r="CV14" s="61">
        <v>11.6</v>
      </c>
      <c r="CW14" s="61">
        <v>0</v>
      </c>
      <c r="CX14" s="72"/>
      <c r="CY14" s="11">
        <f>IF(SUM(CD14:CG14)-CH14&gt;0,SUM(CD14:CG14)-CH14,"")</f>
        <v>41.65</v>
      </c>
      <c r="CZ14" s="11">
        <f>IF(CK14&gt;0,CK14,"")</f>
        <v>8.4</v>
      </c>
      <c r="DA14" s="11">
        <f>IF(SUM(CI14:CL14)-CM14&gt;0,SUM(CI14:CL14)-CM14,"")</f>
        <v>42.899999999999991</v>
      </c>
      <c r="DB14" s="11" t="str">
        <f>IF(CP14&gt;0,CP14,"")</f>
        <v/>
      </c>
      <c r="DC14" s="11" t="str">
        <f>IF(SUM(CN14:CQ14)-CR14&gt;0,SUM(CN14:CQ14)-CR14,"")</f>
        <v/>
      </c>
      <c r="DD14" s="11">
        <f>IF(CY14="",IF(MAX(DA14,DC14)&gt;0,MAX(DA14,DC14),""),MAX(DA14,DC14)+CY14)</f>
        <v>84.549999999999983</v>
      </c>
      <c r="DE14" s="11">
        <f>IF(CU14&gt;0,CU14,"")</f>
        <v>7.8</v>
      </c>
      <c r="DF14" s="11">
        <f>IF(SUM(CS14:CV14)-CW14&gt;0,SUM(CS14:CV14)-CW14,"")</f>
        <v>38.1</v>
      </c>
      <c r="DG14" s="11">
        <f>IF(SUM(DD14,DF14)&gt;0,SUM(DD14,DF14),"")</f>
        <v>122.64999999999998</v>
      </c>
      <c r="DH14" s="23" t="str">
        <f>IF(MAX(EB14,EX14,FT14,GP14,HL14,IH14,JD14,JZ14,KV14,LR14,MN14,NJ14)-IF(M14="",0,M14)&gt;0.001,MAX(EB14,EX14,FT14,GP14,HL14,IH14,JD14,JZ14,KV14,LR14,MN14,NJ14)-IF(M14="",0,M14),"")</f>
        <v/>
      </c>
      <c r="DI14" s="23" t="str">
        <f>IF(MAX(EC14,EY14,FU14,GQ14,HM14,II14,JE14,KA14,KW14,LS14,MO14,NK14)-IF(O14="",0,O14)&gt;0.001,MAX(EC14,EY14,FU14,GQ14,HM14,II14,JE14,KA14,KW14,LS14,MO14,NK14)-IF(O14="",0,O14),"")</f>
        <v/>
      </c>
      <c r="DJ14" s="23" t="str">
        <f>IF(MAX(ED14,EZ14,FV14,GR14,HN14,IJ14,JF14,KB14,KX14,LT14,MP14,NL14)-IF(K14="",0,K14)&gt;0.001,MAX(ED14,EZ14,FV14,GR14,HN14,IJ14,JF14,KB14,KX14,LT14,MP14,NL14)-IF(K14="",0,K14),"")</f>
        <v/>
      </c>
      <c r="DK14" s="23" t="str">
        <f>IF(MAX(EF14,FB14,FX14,GT14,HP14,IL14,JH14,KD14,KZ14,LV14,MR14,NN14)-IF(Q14="",0,Q14)&gt;0.001,MAX(EF14,FB14,FX14,GT14,HP14,IL14,JH14,KD14,KZ14,LV14,MR14,NN14)-IF(Q14="",0,Q14),"")</f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1">
        <f>IF($CX14="P",CD14,(CD14+AZ14)/2)</f>
        <v>15.75</v>
      </c>
      <c r="NQ14" s="61">
        <f>IF($CX14="P",CE14,(CE14+BA14)/2)</f>
        <v>9.5749999999999993</v>
      </c>
      <c r="NR14" s="61">
        <f>IF($CX14="P",CF14,(CF14+BB14)/2)</f>
        <v>1.75</v>
      </c>
      <c r="NS14" s="61">
        <f>IF($CX14="P",CG14,(CG14+BC14)/2)</f>
        <v>14.512499999999999</v>
      </c>
      <c r="NT14" s="61">
        <f>IF($CX14="P",CH14,(CH14+BD14)/2)</f>
        <v>0</v>
      </c>
      <c r="NU14" s="61">
        <f>IF($CX14="P",CI14,(CI14+BE14)/2)</f>
        <v>13</v>
      </c>
      <c r="NV14" s="61">
        <f>IF($CX14="P",CJ14,(CJ14+BF14)/2)</f>
        <v>9</v>
      </c>
      <c r="NW14" s="61">
        <f>IF($CX14="P",CK14,(CK14+BG14)/2)</f>
        <v>9.1000000000000014</v>
      </c>
      <c r="NX14" s="61">
        <f>IF($CX14="P",CL14,(CL14+BH14)/2)</f>
        <v>13.5375</v>
      </c>
      <c r="NY14" s="61">
        <f>IF($CX14="P",CM14,(CM14+BI14)/2)</f>
        <v>0</v>
      </c>
      <c r="NZ14" s="61">
        <f>IF($CX14="P",CN14,(CN14+BJ14)/2)</f>
        <v>0</v>
      </c>
      <c r="OA14" s="61">
        <f>IF($CX14="P",CO14,(CO14+BK14)/2)</f>
        <v>0</v>
      </c>
      <c r="OB14" s="61">
        <f>IF($CX14="P",CP14,(CP14+BL14)/2)</f>
        <v>0</v>
      </c>
      <c r="OC14" s="61">
        <f>IF($CX14="P",CQ14,(CQ14+BM14)/2)</f>
        <v>0</v>
      </c>
      <c r="OD14" s="61">
        <f>IF($CX14="P",CR14,(CR14+BN14)/2)</f>
        <v>0</v>
      </c>
      <c r="OE14" s="61">
        <f>IF($CX14="P",CS14,(CS14+BO14)/2)</f>
        <v>12.370000000000001</v>
      </c>
      <c r="OF14" s="61">
        <f>IF($CX14="P",CT14,(CT14+BP14)/2)</f>
        <v>8.4499999999999993</v>
      </c>
      <c r="OG14" s="61">
        <f>IF($CX14="P",CU14,(CU14+BQ14)/2)</f>
        <v>8.8000000000000007</v>
      </c>
      <c r="OH14" s="61">
        <f>IF($CX14="P",CV14,(CV14+BR14)/2)</f>
        <v>12.79</v>
      </c>
      <c r="OI14" s="61">
        <f>IF($CX14="P",CW14,(CW14+BS14)/2)</f>
        <v>0</v>
      </c>
      <c r="OJ14" s="72" t="s">
        <v>52</v>
      </c>
      <c r="OK14" s="11">
        <f>IF(SUM(NP14:NS14)-NT14&gt;0,SUM(NP14:NS14)-NT14,"")</f>
        <v>41.587499999999999</v>
      </c>
      <c r="OL14" s="11">
        <f>IF(NW14&gt;0,NW14,"")</f>
        <v>9.1000000000000014</v>
      </c>
      <c r="OM14" s="11">
        <f>IF(SUM(NU14:NX14)-NY14&gt;0,SUM(NU14:NX14)-NY14,"")</f>
        <v>44.637500000000003</v>
      </c>
      <c r="ON14" s="11" t="str">
        <f>IF(OB14&gt;0,OB14,"")</f>
        <v/>
      </c>
      <c r="OO14" s="11" t="str">
        <f>IF(SUM(NZ14:OC14)-OD14&gt;0,SUM(NZ14:OC14)-OD14,"")</f>
        <v/>
      </c>
      <c r="OP14" s="11">
        <f>IF(OR(OK14&lt;&gt;"",OM14&lt;&gt;"",OO14&lt;&gt;""),OK14+MAX(OM14,OO14),"")</f>
        <v>86.224999999999994</v>
      </c>
      <c r="OQ14" s="11">
        <f>IF(OG14&gt;0,OG14,"")</f>
        <v>8.8000000000000007</v>
      </c>
      <c r="OR14" s="11">
        <f t="shared" ref="OR14" si="10">IF(SUM(OE14:OH14)-OI14&gt;0,SUM(OE14:OH14)-OI14,"")</f>
        <v>42.41</v>
      </c>
      <c r="OS14" s="11">
        <f t="shared" ref="OS14" si="11">IF(SUM(OP14,OR14)&gt;0,SUM(OP14,OR14),"")</f>
        <v>128.63499999999999</v>
      </c>
    </row>
    <row r="15" spans="1:409" x14ac:dyDescent="0.2">
      <c r="A15" s="5" t="str" cm="1">
        <f t="array" ref="A15">IF(AND(G15&lt;&gt;"",H15&lt;&gt;""),SUMPRODUCT((G$4:G$20&lt;&gt;"")*(H$4:H$20&lt;&gt;"")*(E$4:E$20&gt;E15))+1,IF(H15&lt;&gt;"",SUMPRODUCT((I$4:I$20="No DD")*(E$4:E$20&gt;E15))+1+SUMPRODUCT((G$4:G$20&lt;&gt;"")*(H$4:H$20&lt;&gt;"")),""))</f>
        <v/>
      </c>
      <c r="B15" s="8" t="s">
        <v>118</v>
      </c>
      <c r="C15" s="4" t="s">
        <v>116</v>
      </c>
      <c r="D15" s="26">
        <v>2002</v>
      </c>
      <c r="E15" s="15">
        <f>SUM(O15:S15)</f>
        <v>91.59</v>
      </c>
      <c r="F15" s="3" t="str">
        <f>IF(G15&lt;&gt;"","P","")</f>
        <v/>
      </c>
      <c r="G15" s="115" t="str">
        <f>IF(OR(AND(AR15&gt;=AY$25,AR15&lt;&gt;"",AP15=""),AND(AT15&gt;=AY$25,AT15&lt;&gt;"",AP15=""),AND(AW15&gt;=AY$25,AW15&lt;&gt;"",AP15=""),AND(BV15&gt;=CC$25,BV15&lt;&gt;"",BT15=""),AND(BX15&gt;=CC$25,BX15&lt;&gt;"",BT15=""),AND(CA15&gt;=CC$25,CA15&lt;&gt;"",BT15=""),AND(CZ15&gt;=DG$25,CZ15&lt;&gt;"",CX15=""),AND(DB15&gt;=DG$25,DB15&lt;&gt;"",CX15=""),AND(DE15&gt;=DG$25,DE15&lt;&gt;"",CX15=""),AND(EA15&gt;=EG$25,EA15&lt;&gt;""),AND(EE15&gt;=EG$25,EE15&lt;&gt;""),AND(EW15&gt;=FC$25,EW15&lt;&gt;""),AND(FA15&gt;=FC$25,FA15&lt;&gt;""),AND(FS15&gt;=FY$25,FS15&lt;&gt;""),AND(FW15&gt;=FY$25,FW15&lt;&gt;""),AND(GO15&gt;=GU$25,GO15&lt;&gt;""),AND(GS15&gt;=GU$25,GS15&lt;&gt;""),AND(HK15&gt;=HQ$25,HK15&lt;&gt;""),AND(HO15&gt;=HQ$25,HO15&lt;&gt;""),AND(IG15&gt;=IM$25,IG15&lt;&gt;""),AND(IK15&gt;=IM$25,IK15&lt;&gt;""),AND(JC15&gt;=JI$25,JC15&lt;&gt;""),AND(JG15&gt;=JI$25,JG15&lt;&gt;""),AND(JY15&gt;=KE$25,JY15&lt;&gt;""),AND(KC15&gt;=KE$25,KC15&lt;&gt;""),AND(KU15&gt;=LA$25,KU15&lt;&gt;""),AND(KY15&gt;=LA$25,KY15&lt;&gt;""),AND(LQ15&gt;=LW$25,LQ15&lt;&gt;""),AND(LU15&gt;=LW$25,LU15&lt;&gt;""),AND(MM15&gt;=MS$25,MM15&lt;&gt;""),AND(MQ15&gt;=MS$25,MQ15&lt;&gt;""),AND(NI15&gt;=NO$25,NI15&lt;&gt;""),AND(NM15&gt;=NO$25,NM15&lt;&gt;"")),"Merit",IF(OR(AND(AR15&gt;=AY$24,AR15&lt;&gt;"",AP15=""),AND(AT15&gt;=AY$24,AT15&lt;&gt;"",AP15=""),AND(AW15&gt;=AY$24,AW15&lt;&gt;"",AP15=""),AND(BV15&gt;=CC$24,BV15&lt;&gt;"",BT15=""),AND(BX15&gt;=CC$24,BX15&lt;&gt;"",BT15=""),AND(CA15&gt;=CC$24,CA15&lt;&gt;"",BT15=""),AND(CZ15&gt;=DG$24,CZ15&lt;&gt;"",CX15=""),AND(DB15&gt;=DG$24,DB15&lt;&gt;"",CX15=""),AND(DE15&gt;=DG$24,DE15&lt;&gt;"",CX15=""),AND(EA15&gt;=EG$24,EA15&lt;&gt;""),AND(EE15&gt;=EG$24,EE15&lt;&gt;""),AND(EW15&gt;=FC$24,EW15&lt;&gt;""),AND(FA15&gt;=FC$24,FA15&lt;&gt;""),AND(FS15&gt;=FY$24,FS15&lt;&gt;""),AND(FW15&gt;=FY$24,FW15&lt;&gt;""),AND(GO15&gt;=GU$24,GO15&lt;&gt;""),AND(GS15&gt;=GU$24,GS15&lt;&gt;""),AND(HK15&gt;=HQ$24,HK15&lt;&gt;""),AND(HO15&gt;=HQ$24,HO15&lt;&gt;""),AND(IG15&gt;=IM$24,IG15&lt;&gt;""),AND(IK15&gt;=IM$24,IK15&lt;&gt;""),AND(JC15&gt;=JI$24,JC15&lt;&gt;""),AND(JG15&gt;=JI$24,JG15&lt;&gt;""),AND(JY15&gt;=KE$24,JY15&lt;&gt;""),AND(KC15&gt;=KE$24,KC15&lt;&gt;""),AND(KU15&gt;=LA$24,KU15&lt;&gt;""),AND(KY15&gt;=LA$24,KY15&lt;&gt;""),AND(LQ15&gt;=LW$24,LQ15&lt;&gt;""),AND(LU15&gt;=LW$24,LU15&lt;&gt;""),AND(MM15&gt;=MS$24,MM15&lt;&gt;""),AND(MQ15&gt;=MS$24,MQ15&lt;&gt;""),AND(NI15&gt;=NO$24,NI15&lt;&gt;""),AND(NM15&gt;=NO$24,NM15&lt;&gt;"")),"Excellence",IF(OR(AND(AR15&gt;=AY$23,AR15&lt;&gt;"",AP15=""),AND(AT15&gt;=AY$23,AT15&lt;&gt;"",AP15=""),AND(AW15&gt;=AY$23,AW15&lt;&gt;"",AP15=""),AND(BV15&gt;=CC$23,BV15&lt;&gt;"",BT15=""),AND(BX15&gt;=CC$23,BX15&lt;&gt;"",BT15=""),AND(CA15&gt;=CC$23,CA15&lt;&gt;"",BT15=""),AND(CZ15&gt;=DG$23,CZ15&lt;&gt;"",CX15=""),AND(DB15&gt;=DG$23,DB15&lt;&gt;"",CX15=""),AND(DE15&gt;=DG$23,DE15&lt;&gt;"",CX15=""),AND(EA15&gt;=EG$23,EA15&lt;&gt;""),AND(EE15&gt;=EG$23,EE15&lt;&gt;""),AND(EW15&gt;=FC$23,EW15&lt;&gt;""),AND(FA15&gt;=FC$23,FA15&lt;&gt;""),AND(FS15&gt;=FY$23,FS15&lt;&gt;""),AND(FW15&gt;=FY$23,FW15&lt;&gt;""),AND(GO15&gt;=GU$23,GO15&lt;&gt;""),AND(GS15&gt;=GU$23,GS15&lt;&gt;""),AND(HK15&gt;=HQ$23,HK15&lt;&gt;""),AND(HO15&gt;=HQ$23,HO15&lt;&gt;""),AND(IG15&gt;=IM$23,IG15&lt;&gt;""),AND(IK15&gt;=IM$23,IK15&lt;&gt;""),AND(JC15&gt;=JI$23,JC15&lt;&gt;""),AND(JG15&gt;=JI$23,JG15&lt;&gt;""),AND(JY15&gt;=KE$23,JY15&lt;&gt;""),AND(KC15&gt;=KE$23,KC15&lt;&gt;""),AND(KU15&gt;=LA$23,KU15&lt;&gt;""),AND(KY15&gt;=LA$23,KY15&lt;&gt;""),AND(LQ15&gt;=LW$23,LQ15&lt;&gt;""),AND(LU15&gt;=LW$23,LU15&lt;&gt;""),AND(MM15&gt;=MS$23,MM15&lt;&gt;""),AND(MQ15&gt;=MS$23,MQ15&lt;&gt;""),AND(NI15&gt;=NO$23,NI15&lt;&gt;""),AND(NM15&gt;=NO$23,NM15&lt;&gt;"")),"Worlds Team",IF(OR(AND(AR15&gt;=AY$22,AR15&lt;&gt;"",AP15=""),AND(AT15&gt;=AY$22,AT15&lt;&gt;"",AP15=""),AND(AW15&gt;=AY$22,AW15&lt;&gt;"",AP15=""),AND(BV15&gt;=CC$22,BV15&lt;&gt;"",BT15=""),AND(BX15&gt;=CC$22,BX15&lt;&gt;"",BT15=""),AND(CA15&gt;=CC$22,CA15&lt;&gt;"",BT15=""),AND(CZ15&gt;=DG$22,CZ15&lt;&gt;"",CX15=""),AND(DB15&gt;=DG$22,DB15&lt;&gt;"",CX15=""),AND(DE15&gt;=DG$22,DE15&lt;&gt;"",CX15=""),AND(EA15&gt;=EG$22,EA15&lt;&gt;""),AND(EE15&gt;=EG$22,EE15&lt;&gt;""),AND(EW15&gt;=FC$22,EW15&lt;&gt;""),AND(FA15&gt;=FC$22,FA15&lt;&gt;""),AND(FS15&gt;=FY$22,FS15&lt;&gt;""),AND(FW15&gt;=FY$22,FW15&lt;&gt;""),AND(GO15&gt;=GU$22,GO15&lt;&gt;""),AND(GS15&gt;=GU$22,GS15&lt;&gt;""),AND(HK15&gt;=HQ$22,HK15&lt;&gt;""),AND(HO15&gt;=HQ$22,HO15&lt;&gt;""),AND(IG15&gt;=IM$22,IG15&lt;&gt;""),AND(IK15&gt;=IM$22,IK15&lt;&gt;""),AND(JC15&gt;=JI$22,JC15&lt;&gt;""),AND(JG15&gt;=JI$22,JG15&lt;&gt;""),AND(JY15&gt;=KE$22,JY15&lt;&gt;""),AND(KC15&gt;=KE$22,KC15&lt;&gt;""),AND(KU15&gt;=LA$22,KU15&lt;&gt;""),AND(KY15&gt;=LA$22,KY15&lt;&gt;""),AND(LQ15&gt;=LW$22,LQ15&lt;&gt;""),AND(LU15&gt;=LW$22,LU15&lt;&gt;""),AND(MM15&gt;=MS$22,MM15&lt;&gt;""),AND(MQ15&gt;=MS$22,MQ15&lt;&gt;""),AND(NI15&gt;=NO$22,NI15&lt;&gt;""),AND(NM15&gt;=NO$22,NM15&lt;&gt;"")),"National Team",""))))</f>
        <v/>
      </c>
      <c r="H15" s="115" t="str">
        <f>IF(OR(AND(AS15&gt;=AY$26,AS15&lt;&gt;"",AP15=""),AND(AU15&gt;=AY$26,AU15&lt;&gt;"",AP15=""),AND(AX15&gt;=AY$26,AX15&lt;&gt;"",AP15=""),AND(BW15&gt;=CC$26,BW15&lt;&gt;"",BT15=""),AND(BY15&gt;=CC$26,BY15&lt;&gt;"",BT15=""),AND(CB15&gt;=CC$26,CB15&lt;&gt;"",BT15=""),AND(DA15&gt;=DG$26,DA15&lt;&gt;"",CX15=""),AND(DC15&gt;=DG$26,DC15&lt;&gt;"",CX15=""),AND(DF15&gt;=DG$26,DF15&lt;&gt;"",CX15=""),AND(EC15&gt;=EG$26,EC15&lt;&gt;""),AND(EF15&gt;=EG$26,EF15&lt;&gt;""),AND(EY15&gt;=FC$26,EY15&lt;&gt;""),AND(FB15&gt;=FC$26,FB15&lt;&gt;""),AND(FU15&gt;=FY$26,FU15&lt;&gt;""),AND(FX15&gt;=FY$26,FX15&lt;&gt;""),AND(GQ15&gt;=GU$26,GQ15&lt;&gt;""),AND(GT15&gt;=GU$26,GT15&lt;&gt;""),AND(HM15&gt;=HQ$26,HM15&lt;&gt;""),AND(HP15&gt;=HQ$26,HP15&lt;&gt;""),AND(II15&gt;=IM$26,II15&lt;&gt;""),AND(IL15&gt;=IM$26,IL15&lt;&gt;""),AND(JE15&gt;=JI$26,JE15&lt;&gt;""),AND(JH15&gt;=JI$26,JH15&lt;&gt;""),AND(KA15&gt;=KE$26,KA15&lt;&gt;""),AND(KD15&gt;=KE$26,KD15&lt;&gt;""),AND(KW15&gt;=LA$26,KW15&lt;&gt;""),AND(KZ15&gt;=LA$26,KZ15&lt;&gt;""),AND(LS15&gt;=LW$26,LS15&lt;&gt;""),AND(LV15&gt;=LW$26,LV15&lt;&gt;""),AND(MO15&gt;=MS$26,MO15&lt;&gt;""),AND(MR15&gt;=MS$26,MR15&lt;&gt;""),AND(NK15&gt;=NO$26,NK15&lt;&gt;""),AND(NN15&gt;=NO$26,NN15&lt;&gt;"")),"National Team","")</f>
        <v/>
      </c>
      <c r="I15" s="11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/>
      </c>
      <c r="J15" s="3" t="str">
        <f>IF(AND(OR(AND(AV15&gt;=AY$27,AV15&lt;&gt;"",AP15=""),AND(BZ15&gt;=CC$27,BZ15&lt;&gt;"",BT15=""),AND(DD15&gt;=DG$27,DD15&lt;&gt;"",CX15=""),AND(ED15&gt;=EG$27,ED15&lt;&gt;""),AND(EZ15&gt;=FC$27,EZ15&lt;&gt;""),AND(FV15&gt;=FY$27,FV15&lt;&gt;""),AND(GR15&gt;=GU$27,GR15&lt;&gt;""),AND(HN15&gt;=HQ$27,HN15&lt;&gt;""),AND(IJ15&gt;=IM$27,IJ15&lt;&gt;""),AND(JF15&gt;=JI$27,JF15&lt;&gt;""),AND(KB15&gt;=KE$27,KB15&lt;&gt;""),AND(KX15&gt;=LA$27,KX15&lt;&gt;""),AND(LT15&gt;=LW$27,LT15&lt;&gt;""),AND(MP15&gt;=MS$27,MP15&lt;&gt;""),AND(NL15&gt;=NO$27,NL15&lt;&gt;"")),OR(G15="Worlds Team",G15="Excellence",G15="Merit")),"P","")</f>
        <v/>
      </c>
      <c r="K15" s="14">
        <f>IF(MAX(AV15,BZ15,DD15)&gt;0,MAX(AV15,BZ15,DD15),0)</f>
        <v>86.685000000000002</v>
      </c>
      <c r="L15" s="14" t="str">
        <f>IF(K15=0,"",IF(K15=DD15,$CD$1,IF(K15=BZ15,$AZ$1,IF(K15=AV15,$V$1,""))))</f>
        <v>2021 1st Virtual Technical Trial</v>
      </c>
      <c r="M15" s="14">
        <f>IF($K15=$AV15,MAX(BU15,CY15),IF($K15=$BZ15,MAX(AQ15,CY15),IF($K15=$DD15,MAX(AQ15,BU15),MAX(AQ15,BU15,CY15))))</f>
        <v>40.745000000000005</v>
      </c>
      <c r="N15" s="14" t="str">
        <f>IF(M15=0,"",IF(AND(M15=CY15,$L15&lt;&gt;$CD$1),$CD$1,IF(AND(M15=BU15,$L15&lt;&gt;$AZ$1),$AZ$1,IF(AND(M15=AQ15,$L15&lt;&gt;$V$1),$V$1,""))))</f>
        <v>2019 Nationals</v>
      </c>
      <c r="O15" s="14">
        <f>MAX(AS15,AU15,AX15,BW15,BY15,CB15,DA15,DC15,DF15)</f>
        <v>45.86</v>
      </c>
      <c r="P15" s="14" t="str">
        <f>IF(O15=0,"",IF(OR(O15=DC15,O15=DA15,O15=DF15),$CD$1,IF(OR(O15=BY15,O15=BW15,O15=CB15),$AZ$1,IF(OR(O15=AU15,O15=AS15,O15=AX15),$V$1,""))))</f>
        <v>2021 1st Virtual Technical Trial</v>
      </c>
      <c r="Q15" s="14">
        <f>IF(COUNT(AS15,AU15,AX15,BW15,BY15,CB15,DA15,DC15,DF15)&gt;1,LARGE((AS15,AU15,AX15,BW15,BY15,CB15,DA15,DC15,DF15),2),0)</f>
        <v>45.73</v>
      </c>
      <c r="R15" s="14" t="str">
        <f>IF(Q15=0,"",IF(OR(Q15=DC15,Q15=DA15,Q15=DF15),$CD$1,IF(OR(Q15=BY15,Q15=BW15,Q15=CB15),$AZ$1,IF(OR(Q15=AU15,Q15=AS15,Q15=AX15),$V$1,""))))</f>
        <v>2021 1st Virtual Technical Trial</v>
      </c>
      <c r="S15" s="14" t="str">
        <f>IF(MAX(DI15,DK15)&gt;0,MAX(DI15,DK15),"")</f>
        <v/>
      </c>
      <c r="T15" s="24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72"/>
      <c r="AQ15" s="11" t="str">
        <f>IF(SUM(V15:Y15)-Z15&gt;0,SUM(V15:Y15)-Z15,"")</f>
        <v/>
      </c>
      <c r="AR15" s="11" t="str">
        <f>IF(AC15&gt;0,AC15,"")</f>
        <v/>
      </c>
      <c r="AS15" s="11" t="str">
        <f>IF(SUM(AA15:AD15)-AE15&gt;0,SUM(AA15:AD15)-AE15,"")</f>
        <v/>
      </c>
      <c r="AT15" s="11" t="str">
        <f>IF(AH15&gt;0,AH15,"")</f>
        <v/>
      </c>
      <c r="AU15" s="11" t="str">
        <f>IF(SUM(AF15:AI15)-AJ15&gt;0,SUM(AF15:AI15)-AJ15,"")</f>
        <v/>
      </c>
      <c r="AV15" s="11" t="str">
        <f>IF(OR(AQ15&lt;&gt;"",AS15&lt;&gt;"",AU15&lt;&gt;""),AQ15+MAX(AS15,AU15),"")</f>
        <v/>
      </c>
      <c r="AW15" s="11" t="str">
        <f>IF(AM15&gt;0,AM15,"")</f>
        <v/>
      </c>
      <c r="AX15" s="11" t="str">
        <f>IF(SUM(AK15:AN15)-AO15&gt;0,SUM(AK15:AN15)-AO15,"")</f>
        <v/>
      </c>
      <c r="AY15" s="11" t="str">
        <f>IF(SUM(AV15,AX15)&gt;0,SUM(AV15,AX15),"")</f>
        <v/>
      </c>
      <c r="AZ15" s="67">
        <v>16</v>
      </c>
      <c r="BA15" s="67">
        <v>9.3000000000000007</v>
      </c>
      <c r="BB15" s="67">
        <v>1.8</v>
      </c>
      <c r="BC15" s="67">
        <v>13.645</v>
      </c>
      <c r="BD15" s="67">
        <v>0</v>
      </c>
      <c r="BE15" s="67">
        <v>3.2</v>
      </c>
      <c r="BF15" s="67">
        <v>1.7</v>
      </c>
      <c r="BG15" s="67">
        <v>1.9</v>
      </c>
      <c r="BH15" s="67">
        <v>2.7450000000000001</v>
      </c>
      <c r="BI15" s="67">
        <v>0</v>
      </c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73"/>
      <c r="BU15" s="14">
        <f>IF(SUM(AZ15:BC15)-BD15&gt;0,SUM(AZ15:BC15)-BD15,"")</f>
        <v>40.745000000000005</v>
      </c>
      <c r="BV15" s="14">
        <f>IF(BG15&gt;0,BG15,"")</f>
        <v>1.9</v>
      </c>
      <c r="BW15" s="14">
        <f>IF(SUM(BE15:BH15)-BI15&gt;0,SUM(BE15:BH15)-BI15,"")</f>
        <v>9.5450000000000017</v>
      </c>
      <c r="BX15" s="14" t="str">
        <f>IF(BL15&gt;0,BL15,"")</f>
        <v/>
      </c>
      <c r="BY15" s="14" t="str">
        <f>IF(SUM(BJ15:BM15)-BN15&gt;0,SUM(BJ15:BM15)-BN15,"")</f>
        <v/>
      </c>
      <c r="BZ15" s="14">
        <f>IF(BU15="",IF(MAX(BW15,BY15)&gt;0,MAX(BW15,BY15),""),MAX(BW15,BY15)+BU15)</f>
        <v>50.290000000000006</v>
      </c>
      <c r="CA15" s="14" t="str">
        <f>IF(BQ15&gt;0,BQ15,"")</f>
        <v/>
      </c>
      <c r="CB15" s="14" t="str">
        <f>IF(SUM(BO15:BR15)-BS15&gt;0,SUM(BO15:BR15)-BS15,"")</f>
        <v/>
      </c>
      <c r="CC15" s="14">
        <f>IF(SUM(BZ15,CB15)&gt;0,SUM(BZ15,CB15),"")</f>
        <v>50.290000000000006</v>
      </c>
      <c r="CD15" s="61">
        <v>15.7</v>
      </c>
      <c r="CE15" s="61">
        <v>9.6</v>
      </c>
      <c r="CF15" s="61">
        <v>2</v>
      </c>
      <c r="CG15" s="61">
        <v>13.525</v>
      </c>
      <c r="CH15" s="61">
        <v>0</v>
      </c>
      <c r="CI15" s="61">
        <v>14</v>
      </c>
      <c r="CJ15" s="61">
        <v>9.1</v>
      </c>
      <c r="CK15" s="61">
        <v>9.6999999999999993</v>
      </c>
      <c r="CL15" s="61">
        <v>13.06</v>
      </c>
      <c r="CM15" s="61">
        <v>0</v>
      </c>
      <c r="CN15" s="61"/>
      <c r="CO15" s="61"/>
      <c r="CP15" s="61"/>
      <c r="CQ15" s="61"/>
      <c r="CR15" s="61"/>
      <c r="CS15" s="61">
        <v>14</v>
      </c>
      <c r="CT15" s="61">
        <v>9.3000000000000007</v>
      </c>
      <c r="CU15" s="61">
        <v>9.1</v>
      </c>
      <c r="CV15" s="61">
        <v>13.33</v>
      </c>
      <c r="CW15" s="61">
        <v>0</v>
      </c>
      <c r="CX15" s="72"/>
      <c r="CY15" s="11">
        <f>IF(SUM(CD15:CG15)-CH15&gt;0,SUM(CD15:CG15)-CH15,"")</f>
        <v>40.824999999999996</v>
      </c>
      <c r="CZ15" s="11">
        <f>IF(CK15&gt;0,CK15,"")</f>
        <v>9.6999999999999993</v>
      </c>
      <c r="DA15" s="11">
        <f>IF(SUM(CI15:CL15)-CM15&gt;0,SUM(CI15:CL15)-CM15,"")</f>
        <v>45.86</v>
      </c>
      <c r="DB15" s="11" t="str">
        <f>IF(CP15&gt;0,CP15,"")</f>
        <v/>
      </c>
      <c r="DC15" s="11" t="str">
        <f>IF(SUM(CN15:CQ15)-CR15&gt;0,SUM(CN15:CQ15)-CR15,"")</f>
        <v/>
      </c>
      <c r="DD15" s="11">
        <f>IF(CY15="",IF(MAX(DA15,DC15)&gt;0,MAX(DA15,DC15),""),MAX(DA15,DC15)+CY15)</f>
        <v>86.685000000000002</v>
      </c>
      <c r="DE15" s="11">
        <f>IF(CU15&gt;0,CU15,"")</f>
        <v>9.1</v>
      </c>
      <c r="DF15" s="11">
        <f>IF(SUM(CS15:CV15)-CW15&gt;0,SUM(CS15:CV15)-CW15,"")</f>
        <v>45.73</v>
      </c>
      <c r="DG15" s="11">
        <f>IF(SUM(DD15,DF15)&gt;0,SUM(DD15,DF15),"")</f>
        <v>132.41499999999999</v>
      </c>
      <c r="DH15" s="23" t="str">
        <f>IF(MAX(EB15,EX15,FT15,GP15,HL15,IH15,JD15,JZ15,KV15,LR15,MN15,NJ15)-IF(M15="",0,M15)&gt;0.001,MAX(EB15,EX15,FT15,GP15,HL15,IH15,JD15,JZ15,KV15,LR15,MN15,NJ15)-IF(M15="",0,M15),"")</f>
        <v/>
      </c>
      <c r="DI15" s="23" t="str">
        <f>IF(MAX(EC15,EY15,FU15,GQ15,HM15,II15,JE15,KA15,KW15,LS15,MO15,NK15)-IF(O15="",0,O15)&gt;0.001,MAX(EC15,EY15,FU15,GQ15,HM15,II15,JE15,KA15,KW15,LS15,MO15,NK15)-IF(O15="",0,O15),"")</f>
        <v/>
      </c>
      <c r="DJ15" s="23" t="str">
        <f>IF(MAX(ED15,EZ15,FV15,GR15,HN15,IJ15,JF15,KB15,KX15,LT15,MP15,NL15)-IF(K15="",0,K15)&gt;0.001,MAX(ED15,EZ15,FV15,GR15,HN15,IJ15,JF15,KB15,KX15,LT15,MP15,NL15)-IF(K15="",0,K15),"")</f>
        <v/>
      </c>
      <c r="DK15" s="23" t="str">
        <f>IF(MAX(EF15,FB15,FX15,GT15,HP15,IL15,JH15,KD15,KZ15,LV15,MR15,NN15)-IF(Q15="",0,Q15)&gt;0.001,MAX(EF15,FB15,FX15,GT15,HP15,IL15,JH15,KD15,KZ15,LV15,MR15,NN15)-IF(Q15="",0,Q15),"")</f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>IF(HC15&gt;0,HC15,"")</f>
        <v/>
      </c>
      <c r="HL15" s="11" t="str">
        <f>IF(SUM(GV15:GY15)-GZ15&gt;0,SUM(GV15:GY15)-GZ15,"")</f>
        <v/>
      </c>
      <c r="HM15" s="11" t="str">
        <f>IF(SUM(HA15:HD15)-HE15&gt;0,SUM(HA15:HD15)-HE15,"")</f>
        <v/>
      </c>
      <c r="HN15" s="11" t="str">
        <f>IF(SUM(HL15:HM15)&gt;0,SUM(HL15:HM15),"")</f>
        <v/>
      </c>
      <c r="HO15" s="11" t="str">
        <f>IF(HH15&gt;0,HH15,"")</f>
        <v/>
      </c>
      <c r="HP15" s="11" t="str">
        <f>IF(SUM(HF15:HI15)-HJ15&gt;0,SUM(HF15:HI15)-HJ15,"")</f>
        <v/>
      </c>
      <c r="HQ15" s="11" t="str">
        <f>IF(SUM(HN15,HP15)&gt;0,SUM(HN15,HP15),"")</f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1">
        <f>IF($CX15="P",CD15,(CD15+AZ15)/2)</f>
        <v>15.85</v>
      </c>
      <c r="NQ15" s="61">
        <f>IF($CX15="P",CE15,(CE15+BA15)/2)</f>
        <v>9.4499999999999993</v>
      </c>
      <c r="NR15" s="61">
        <f>IF($CX15="P",CF15,(CF15+BB15)/2)</f>
        <v>1.9</v>
      </c>
      <c r="NS15" s="61">
        <f>IF($CX15="P",CG15,(CG15+BC15)/2)</f>
        <v>13.585000000000001</v>
      </c>
      <c r="NT15" s="61">
        <f>IF($CX15="P",CH15,(CH15+BD15)/2)</f>
        <v>0</v>
      </c>
      <c r="NU15" s="61">
        <f>IF($CX15="P",CI15,(CI15+BE15)/2)</f>
        <v>8.6</v>
      </c>
      <c r="NV15" s="61">
        <f>IF($CX15="P",CJ15,(CJ15+BF15)/2)</f>
        <v>5.3999999999999995</v>
      </c>
      <c r="NW15" s="61">
        <f>IF($CX15="P",CK15,(CK15+BG15)/2)</f>
        <v>5.8</v>
      </c>
      <c r="NX15" s="61">
        <f>IF($CX15="P",CL15,(CL15+BH15)/2)</f>
        <v>7.9024999999999999</v>
      </c>
      <c r="NY15" s="61">
        <f>IF($CX15="P",CM15,(CM15+BI15)/2)</f>
        <v>0</v>
      </c>
      <c r="NZ15" s="61">
        <f>IF($CX15="P",CN15,(CN15+BJ15)/2)</f>
        <v>0</v>
      </c>
      <c r="OA15" s="61">
        <f>IF($CX15="P",CO15,(CO15+BK15)/2)</f>
        <v>0</v>
      </c>
      <c r="OB15" s="61">
        <f>IF($CX15="P",CP15,(CP15+BL15)/2)</f>
        <v>0</v>
      </c>
      <c r="OC15" s="61">
        <f>IF($CX15="P",CQ15,(CQ15+BM15)/2)</f>
        <v>0</v>
      </c>
      <c r="OD15" s="61">
        <f>IF($CX15="P",CR15,(CR15+BN15)/2)</f>
        <v>0</v>
      </c>
      <c r="OE15" s="61">
        <f>IF($CX15="P",CS15,(CS15+BO15)/2)</f>
        <v>7</v>
      </c>
      <c r="OF15" s="61">
        <f>IF($CX15="P",CT15,(CT15+BP15)/2)</f>
        <v>4.6500000000000004</v>
      </c>
      <c r="OG15" s="61">
        <f>IF($CX15="P",CU15,(CU15+BQ15)/2)</f>
        <v>4.55</v>
      </c>
      <c r="OH15" s="61">
        <f>IF($CX15="P",CV15,(CV15+BR15)/2)</f>
        <v>6.665</v>
      </c>
      <c r="OI15" s="61">
        <f>IF($CX15="P",CW15,(CW15+BS15)/2)</f>
        <v>0</v>
      </c>
      <c r="OJ15" s="72" t="s">
        <v>52</v>
      </c>
      <c r="OK15" s="11">
        <f>IF(SUM(NP15:NS15)-NT15&gt;0,SUM(NP15:NS15)-NT15,"")</f>
        <v>40.784999999999997</v>
      </c>
      <c r="OL15" s="11">
        <f>IF(NW15&gt;0,NW15,"")</f>
        <v>5.8</v>
      </c>
      <c r="OM15" s="11">
        <f>IF(SUM(NU15:NX15)-NY15&gt;0,SUM(NU15:NX15)-NY15,"")</f>
        <v>27.702500000000001</v>
      </c>
      <c r="ON15" s="11" t="str">
        <f>IF(OB15&gt;0,OB15,"")</f>
        <v/>
      </c>
      <c r="OO15" s="11" t="str">
        <f>IF(SUM(NZ15:OC15)-OD15&gt;0,SUM(NZ15:OC15)-OD15,"")</f>
        <v/>
      </c>
      <c r="OP15" s="11">
        <f>IF(OR(OK15&lt;&gt;"",OM15&lt;&gt;"",OO15&lt;&gt;""),OK15+MAX(OM15,OO15),"")</f>
        <v>68.487499999999997</v>
      </c>
      <c r="OQ15" s="11">
        <f>IF(OG15&gt;0,OG15,"")</f>
        <v>4.55</v>
      </c>
      <c r="OR15" s="11">
        <f t="shared" ref="OR15" si="12">IF(SUM(OE15:OH15)-OI15&gt;0,SUM(OE15:OH15)-OI15,"")</f>
        <v>22.864999999999998</v>
      </c>
      <c r="OS15" s="11">
        <f t="shared" ref="OS15" si="13">IF(SUM(OP15,OR15)&gt;0,SUM(OP15,OR15),"")</f>
        <v>91.352499999999992</v>
      </c>
    </row>
    <row r="16" spans="1:409" x14ac:dyDescent="0.2">
      <c r="A16" s="5" t="str" cm="1">
        <f t="array" ref="A16">IF(AND(G16&lt;&gt;"",H16&lt;&gt;""),SUMPRODUCT((G$4:G$20&lt;&gt;"")*(H$4:H$20&lt;&gt;"")*(E$4:E$20&gt;E16))+1,IF(H16&lt;&gt;"",SUMPRODUCT((I$4:I$20="No DD")*(E$4:E$20&gt;E16))+1+SUMPRODUCT((G$4:G$20&lt;&gt;"")*(H$4:H$20&lt;&gt;"")),""))</f>
        <v/>
      </c>
      <c r="B16" s="8" t="s">
        <v>123</v>
      </c>
      <c r="C16" s="4" t="s">
        <v>5</v>
      </c>
      <c r="D16" s="26">
        <v>2003</v>
      </c>
      <c r="E16" s="15">
        <f>SUM(O16:S16)</f>
        <v>91.42</v>
      </c>
      <c r="F16" s="3" t="str">
        <f>IF(G16&lt;&gt;"","P","")</f>
        <v/>
      </c>
      <c r="G16" s="115" t="str">
        <f>IF(OR(AND(AR16&gt;=AY$25,AR16&lt;&gt;"",AP16=""),AND(AT16&gt;=AY$25,AT16&lt;&gt;"",AP16=""),AND(AW16&gt;=AY$25,AW16&lt;&gt;"",AP16=""),AND(BV16&gt;=CC$25,BV16&lt;&gt;"",BT16=""),AND(BX16&gt;=CC$25,BX16&lt;&gt;"",BT16=""),AND(CA16&gt;=CC$25,CA16&lt;&gt;"",BT16=""),AND(CZ16&gt;=DG$25,CZ16&lt;&gt;"",CX16=""),AND(DB16&gt;=DG$25,DB16&lt;&gt;"",CX16=""),AND(DE16&gt;=DG$25,DE16&lt;&gt;"",CX16=""),AND(EA16&gt;=EG$25,EA16&lt;&gt;""),AND(EE16&gt;=EG$25,EE16&lt;&gt;""),AND(EW16&gt;=FC$25,EW16&lt;&gt;""),AND(FA16&gt;=FC$25,FA16&lt;&gt;""),AND(FS16&gt;=FY$25,FS16&lt;&gt;""),AND(FW16&gt;=FY$25,FW16&lt;&gt;""),AND(GO16&gt;=GU$25,GO16&lt;&gt;""),AND(GS16&gt;=GU$25,GS16&lt;&gt;""),AND(HK16&gt;=HQ$25,HK16&lt;&gt;""),AND(HO16&gt;=HQ$25,HO16&lt;&gt;""),AND(IG16&gt;=IM$25,IG16&lt;&gt;""),AND(IK16&gt;=IM$25,IK16&lt;&gt;""),AND(JC16&gt;=JI$25,JC16&lt;&gt;""),AND(JG16&gt;=JI$25,JG16&lt;&gt;""),AND(JY16&gt;=KE$25,JY16&lt;&gt;""),AND(KC16&gt;=KE$25,KC16&lt;&gt;""),AND(KU16&gt;=LA$25,KU16&lt;&gt;""),AND(KY16&gt;=LA$25,KY16&lt;&gt;""),AND(LQ16&gt;=LW$25,LQ16&lt;&gt;""),AND(LU16&gt;=LW$25,LU16&lt;&gt;""),AND(MM16&gt;=MS$25,MM16&lt;&gt;""),AND(MQ16&gt;=MS$25,MQ16&lt;&gt;""),AND(NI16&gt;=NO$25,NI16&lt;&gt;""),AND(NM16&gt;=NO$25,NM16&lt;&gt;"")),"Merit",IF(OR(AND(AR16&gt;=AY$24,AR16&lt;&gt;"",AP16=""),AND(AT16&gt;=AY$24,AT16&lt;&gt;"",AP16=""),AND(AW16&gt;=AY$24,AW16&lt;&gt;"",AP16=""),AND(BV16&gt;=CC$24,BV16&lt;&gt;"",BT16=""),AND(BX16&gt;=CC$24,BX16&lt;&gt;"",BT16=""),AND(CA16&gt;=CC$24,CA16&lt;&gt;"",BT16=""),AND(CZ16&gt;=DG$24,CZ16&lt;&gt;"",CX16=""),AND(DB16&gt;=DG$24,DB16&lt;&gt;"",CX16=""),AND(DE16&gt;=DG$24,DE16&lt;&gt;"",CX16=""),AND(EA16&gt;=EG$24,EA16&lt;&gt;""),AND(EE16&gt;=EG$24,EE16&lt;&gt;""),AND(EW16&gt;=FC$24,EW16&lt;&gt;""),AND(FA16&gt;=FC$24,FA16&lt;&gt;""),AND(FS16&gt;=FY$24,FS16&lt;&gt;""),AND(FW16&gt;=FY$24,FW16&lt;&gt;""),AND(GO16&gt;=GU$24,GO16&lt;&gt;""),AND(GS16&gt;=GU$24,GS16&lt;&gt;""),AND(HK16&gt;=HQ$24,HK16&lt;&gt;""),AND(HO16&gt;=HQ$24,HO16&lt;&gt;""),AND(IG16&gt;=IM$24,IG16&lt;&gt;""),AND(IK16&gt;=IM$24,IK16&lt;&gt;""),AND(JC16&gt;=JI$24,JC16&lt;&gt;""),AND(JG16&gt;=JI$24,JG16&lt;&gt;""),AND(JY16&gt;=KE$24,JY16&lt;&gt;""),AND(KC16&gt;=KE$24,KC16&lt;&gt;""),AND(KU16&gt;=LA$24,KU16&lt;&gt;""),AND(KY16&gt;=LA$24,KY16&lt;&gt;""),AND(LQ16&gt;=LW$24,LQ16&lt;&gt;""),AND(LU16&gt;=LW$24,LU16&lt;&gt;""),AND(MM16&gt;=MS$24,MM16&lt;&gt;""),AND(MQ16&gt;=MS$24,MQ16&lt;&gt;""),AND(NI16&gt;=NO$24,NI16&lt;&gt;""),AND(NM16&gt;=NO$24,NM16&lt;&gt;"")),"Excellence",IF(OR(AND(AR16&gt;=AY$23,AR16&lt;&gt;"",AP16=""),AND(AT16&gt;=AY$23,AT16&lt;&gt;"",AP16=""),AND(AW16&gt;=AY$23,AW16&lt;&gt;"",AP16=""),AND(BV16&gt;=CC$23,BV16&lt;&gt;"",BT16=""),AND(BX16&gt;=CC$23,BX16&lt;&gt;"",BT16=""),AND(CA16&gt;=CC$23,CA16&lt;&gt;"",BT16=""),AND(CZ16&gt;=DG$23,CZ16&lt;&gt;"",CX16=""),AND(DB16&gt;=DG$23,DB16&lt;&gt;"",CX16=""),AND(DE16&gt;=DG$23,DE16&lt;&gt;"",CX16=""),AND(EA16&gt;=EG$23,EA16&lt;&gt;""),AND(EE16&gt;=EG$23,EE16&lt;&gt;""),AND(EW16&gt;=FC$23,EW16&lt;&gt;""),AND(FA16&gt;=FC$23,FA16&lt;&gt;""),AND(FS16&gt;=FY$23,FS16&lt;&gt;""),AND(FW16&gt;=FY$23,FW16&lt;&gt;""),AND(GO16&gt;=GU$23,GO16&lt;&gt;""),AND(GS16&gt;=GU$23,GS16&lt;&gt;""),AND(HK16&gt;=HQ$23,HK16&lt;&gt;""),AND(HO16&gt;=HQ$23,HO16&lt;&gt;""),AND(IG16&gt;=IM$23,IG16&lt;&gt;""),AND(IK16&gt;=IM$23,IK16&lt;&gt;""),AND(JC16&gt;=JI$23,JC16&lt;&gt;""),AND(JG16&gt;=JI$23,JG16&lt;&gt;""),AND(JY16&gt;=KE$23,JY16&lt;&gt;""),AND(KC16&gt;=KE$23,KC16&lt;&gt;""),AND(KU16&gt;=LA$23,KU16&lt;&gt;""),AND(KY16&gt;=LA$23,KY16&lt;&gt;""),AND(LQ16&gt;=LW$23,LQ16&lt;&gt;""),AND(LU16&gt;=LW$23,LU16&lt;&gt;""),AND(MM16&gt;=MS$23,MM16&lt;&gt;""),AND(MQ16&gt;=MS$23,MQ16&lt;&gt;""),AND(NI16&gt;=NO$23,NI16&lt;&gt;""),AND(NM16&gt;=NO$23,NM16&lt;&gt;"")),"Worlds Team",IF(OR(AND(AR16&gt;=AY$22,AR16&lt;&gt;"",AP16=""),AND(AT16&gt;=AY$22,AT16&lt;&gt;"",AP16=""),AND(AW16&gt;=AY$22,AW16&lt;&gt;"",AP16=""),AND(BV16&gt;=CC$22,BV16&lt;&gt;"",BT16=""),AND(BX16&gt;=CC$22,BX16&lt;&gt;"",BT16=""),AND(CA16&gt;=CC$22,CA16&lt;&gt;"",BT16=""),AND(CZ16&gt;=DG$22,CZ16&lt;&gt;"",CX16=""),AND(DB16&gt;=DG$22,DB16&lt;&gt;"",CX16=""),AND(DE16&gt;=DG$22,DE16&lt;&gt;"",CX16=""),AND(EA16&gt;=EG$22,EA16&lt;&gt;""),AND(EE16&gt;=EG$22,EE16&lt;&gt;""),AND(EW16&gt;=FC$22,EW16&lt;&gt;""),AND(FA16&gt;=FC$22,FA16&lt;&gt;""),AND(FS16&gt;=FY$22,FS16&lt;&gt;""),AND(FW16&gt;=FY$22,FW16&lt;&gt;""),AND(GO16&gt;=GU$22,GO16&lt;&gt;""),AND(GS16&gt;=GU$22,GS16&lt;&gt;""),AND(HK16&gt;=HQ$22,HK16&lt;&gt;""),AND(HO16&gt;=HQ$22,HO16&lt;&gt;""),AND(IG16&gt;=IM$22,IG16&lt;&gt;""),AND(IK16&gt;=IM$22,IK16&lt;&gt;""),AND(JC16&gt;=JI$22,JC16&lt;&gt;""),AND(JG16&gt;=JI$22,JG16&lt;&gt;""),AND(JY16&gt;=KE$22,JY16&lt;&gt;""),AND(KC16&gt;=KE$22,KC16&lt;&gt;""),AND(KU16&gt;=LA$22,KU16&lt;&gt;""),AND(KY16&gt;=LA$22,KY16&lt;&gt;""),AND(LQ16&gt;=LW$22,LQ16&lt;&gt;""),AND(LU16&gt;=LW$22,LU16&lt;&gt;""),AND(MM16&gt;=MS$22,MM16&lt;&gt;""),AND(MQ16&gt;=MS$22,MQ16&lt;&gt;""),AND(NI16&gt;=NO$22,NI16&lt;&gt;""),AND(NM16&gt;=NO$22,NM16&lt;&gt;"")),"National Team",""))))</f>
        <v/>
      </c>
      <c r="H16" s="115" t="str">
        <f>IF(OR(AND(AS16&gt;=AY$26,AS16&lt;&gt;"",AP16=""),AND(AU16&gt;=AY$26,AU16&lt;&gt;"",AP16=""),AND(AX16&gt;=AY$26,AX16&lt;&gt;"",AP16=""),AND(BW16&gt;=CC$26,BW16&lt;&gt;"",BT16=""),AND(BY16&gt;=CC$26,BY16&lt;&gt;"",BT16=""),AND(CB16&gt;=CC$26,CB16&lt;&gt;"",BT16=""),AND(DA16&gt;=DG$26,DA16&lt;&gt;"",CX16=""),AND(DC16&gt;=DG$26,DC16&lt;&gt;"",CX16=""),AND(DF16&gt;=DG$26,DF16&lt;&gt;"",CX16=""),AND(EC16&gt;=EG$26,EC16&lt;&gt;""),AND(EF16&gt;=EG$26,EF16&lt;&gt;""),AND(EY16&gt;=FC$26,EY16&lt;&gt;""),AND(FB16&gt;=FC$26,FB16&lt;&gt;""),AND(FU16&gt;=FY$26,FU16&lt;&gt;""),AND(FX16&gt;=FY$26,FX16&lt;&gt;""),AND(GQ16&gt;=GU$26,GQ16&lt;&gt;""),AND(GT16&gt;=GU$26,GT16&lt;&gt;""),AND(HM16&gt;=HQ$26,HM16&lt;&gt;""),AND(HP16&gt;=HQ$26,HP16&lt;&gt;""),AND(II16&gt;=IM$26,II16&lt;&gt;""),AND(IL16&gt;=IM$26,IL16&lt;&gt;""),AND(JE16&gt;=JI$26,JE16&lt;&gt;""),AND(JH16&gt;=JI$26,JH16&lt;&gt;""),AND(KA16&gt;=KE$26,KA16&lt;&gt;""),AND(KD16&gt;=KE$26,KD16&lt;&gt;""),AND(KW16&gt;=LA$26,KW16&lt;&gt;""),AND(KZ16&gt;=LA$26,KZ16&lt;&gt;""),AND(LS16&gt;=LW$26,LS16&lt;&gt;""),AND(LV16&gt;=LW$26,LV16&lt;&gt;""),AND(MO16&gt;=MS$26,MO16&lt;&gt;""),AND(MR16&gt;=MS$26,MR16&lt;&gt;""),AND(NK16&gt;=NO$26,NK16&lt;&gt;""),AND(NN16&gt;=NO$26,NN16&lt;&gt;"")),"National Team","")</f>
        <v/>
      </c>
      <c r="I16" s="11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/>
      </c>
      <c r="J16" s="3" t="str">
        <f>IF(AND(OR(AND(AV16&gt;=AY$27,AV16&lt;&gt;"",AP16=""),AND(BZ16&gt;=CC$27,BZ16&lt;&gt;"",BT16=""),AND(DD16&gt;=DG$27,DD16&lt;&gt;"",CX16=""),AND(ED16&gt;=EG$27,ED16&lt;&gt;""),AND(EZ16&gt;=FC$27,EZ16&lt;&gt;""),AND(FV16&gt;=FY$27,FV16&lt;&gt;""),AND(GR16&gt;=GU$27,GR16&lt;&gt;""),AND(HN16&gt;=HQ$27,HN16&lt;&gt;""),AND(IJ16&gt;=IM$27,IJ16&lt;&gt;""),AND(JF16&gt;=JI$27,JF16&lt;&gt;""),AND(KB16&gt;=KE$27,KB16&lt;&gt;""),AND(KX16&gt;=LA$27,KX16&lt;&gt;""),AND(LT16&gt;=LW$27,LT16&lt;&gt;""),AND(MP16&gt;=MS$27,MP16&lt;&gt;""),AND(NL16&gt;=NO$27,NL16&lt;&gt;"")),OR(G16="Worlds Team",G16="Excellence",G16="Merit")),"P","")</f>
        <v/>
      </c>
      <c r="K16" s="14">
        <f>IF(MAX(AV16,BZ16,DD16)&gt;0,MAX(AV16,BZ16,DD16),0)</f>
        <v>85</v>
      </c>
      <c r="L16" s="14" t="str">
        <f>IF(K16=0,"",IF(K16=DD16,$CD$1,IF(K16=BZ16,$AZ$1,IF(K16=AV16,$V$1,""))))</f>
        <v>2021 1st Virtual Technical Trial</v>
      </c>
      <c r="M16" s="14">
        <f>IF($K16=$AV16,MAX(BU16,CY16),IF($K16=$BZ16,MAX(AQ16,CY16),IF($K16=$DD16,MAX(AQ16,BU16),MAX(AQ16,BU16,CY16))))</f>
        <v>0</v>
      </c>
      <c r="N16" s="14" t="str">
        <f>IF(M16=0,"",IF(AND(M16=CY16,$L16&lt;&gt;$CD$1),$CD$1,IF(AND(M16=BU16,$L16&lt;&gt;$AZ$1),$AZ$1,IF(AND(M16=AQ16,$L16&lt;&gt;$V$1),$V$1,""))))</f>
        <v/>
      </c>
      <c r="O16" s="14">
        <f>MAX(AS16,AU16,AX16,BW16,BY16,CB16,DA16,DC16,DF16)</f>
        <v>45.96</v>
      </c>
      <c r="P16" s="14" t="str">
        <f>IF(O16=0,"",IF(OR(O16=DC16,O16=DA16,O16=DF16),$CD$1,IF(OR(O16=BY16,O16=BW16,O16=CB16),$AZ$1,IF(OR(O16=AU16,O16=AS16,O16=AX16),$V$1,""))))</f>
        <v>2021 1st Virtual Technical Trial</v>
      </c>
      <c r="Q16" s="14">
        <f>IF(COUNT(AS16,AU16,AX16,BW16,BY16,CB16,DA16,DC16,DF16)&gt;1,LARGE((AS16,AU16,AX16,BW16,BY16,CB16,DA16,DC16,DF16),2),0)</f>
        <v>45.46</v>
      </c>
      <c r="R16" s="14" t="str">
        <f>IF(Q16=0,"",IF(OR(Q16=DC16,Q16=DA16,Q16=DF16),$CD$1,IF(OR(Q16=BY16,Q16=BW16,Q16=CB16),$AZ$1,IF(OR(Q16=AU16,Q16=AS16,Q16=AX16),$V$1,""))))</f>
        <v>2021 1st Virtual Technical Trial</v>
      </c>
      <c r="S16" s="14" t="str">
        <f>IF(MAX(DI16,DK16)&gt;0,MAX(DI16,DK16),"")</f>
        <v/>
      </c>
      <c r="T16" s="24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72"/>
      <c r="AQ16" s="11" t="str">
        <f>IF(SUM(V16:Y16)-Z16&gt;0,SUM(V16:Y16)-Z16,"")</f>
        <v/>
      </c>
      <c r="AR16" s="11" t="str">
        <f>IF(AC16&gt;0,AC16,"")</f>
        <v/>
      </c>
      <c r="AS16" s="11" t="str">
        <f>IF(SUM(AA16:AD16)-AE16&gt;0,SUM(AA16:AD16)-AE16,"")</f>
        <v/>
      </c>
      <c r="AT16" s="11" t="str">
        <f>IF(AH16&gt;0,AH16,"")</f>
        <v/>
      </c>
      <c r="AU16" s="11" t="str">
        <f>IF(SUM(AF16:AI16)-AJ16&gt;0,SUM(AF16:AI16)-AJ16,"")</f>
        <v/>
      </c>
      <c r="AV16" s="11" t="str">
        <f>IF(OR(AQ16&lt;&gt;"",AS16&lt;&gt;"",AU16&lt;&gt;""),AQ16+MAX(AS16,AU16),"")</f>
        <v/>
      </c>
      <c r="AW16" s="11" t="str">
        <f>IF(AM16&gt;0,AM16,"")</f>
        <v/>
      </c>
      <c r="AX16" s="11" t="str">
        <f>IF(SUM(AK16:AN16)-AO16&gt;0,SUM(AK16:AN16)-AO16,"")</f>
        <v/>
      </c>
      <c r="AY16" s="11" t="str">
        <f>IF(SUM(AV16,AX16)&gt;0,SUM(AV16,AX16),"")</f>
        <v/>
      </c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  <c r="BK16" s="67"/>
      <c r="BL16" s="67"/>
      <c r="BM16" s="67"/>
      <c r="BN16" s="67"/>
      <c r="BO16" s="67"/>
      <c r="BP16" s="67"/>
      <c r="BQ16" s="67"/>
      <c r="BR16" s="67"/>
      <c r="BS16" s="67"/>
      <c r="BT16" s="73"/>
      <c r="BU16" s="14" t="str">
        <f>IF(SUM(AZ16:BC16)-BD16&gt;0,SUM(AZ16:BC16)-BD16,"")</f>
        <v/>
      </c>
      <c r="BV16" s="14" t="str">
        <f>IF(BG16&gt;0,BG16,"")</f>
        <v/>
      </c>
      <c r="BW16" s="14" t="str">
        <f>IF(SUM(BE16:BH16)-BI16&gt;0,SUM(BE16:BH16)-BI16,"")</f>
        <v/>
      </c>
      <c r="BX16" s="14" t="str">
        <f>IF(BL16&gt;0,BL16,"")</f>
        <v/>
      </c>
      <c r="BY16" s="14" t="str">
        <f>IF(SUM(BJ16:BM16)-BN16&gt;0,SUM(BJ16:BM16)-BN16,"")</f>
        <v/>
      </c>
      <c r="BZ16" s="14" t="str">
        <f>IF(BU16="",IF(MAX(BW16,BY16)&gt;0,MAX(BW16,BY16),""),MAX(BW16,BY16)+BU16)</f>
        <v/>
      </c>
      <c r="CA16" s="14" t="str">
        <f>IF(BQ16&gt;0,BQ16,"")</f>
        <v/>
      </c>
      <c r="CB16" s="14" t="str">
        <f>IF(SUM(BO16:BR16)-BS16&gt;0,SUM(BO16:BR16)-BS16,"")</f>
        <v/>
      </c>
      <c r="CC16" s="14" t="str">
        <f>IF(SUM(BZ16,CB16)&gt;0,SUM(BZ16,CB16),"")</f>
        <v/>
      </c>
      <c r="CD16" s="61">
        <v>15.4</v>
      </c>
      <c r="CE16" s="61">
        <v>9.4</v>
      </c>
      <c r="CF16" s="61">
        <v>1.4</v>
      </c>
      <c r="CG16" s="61">
        <v>13.34</v>
      </c>
      <c r="CH16" s="61">
        <v>0</v>
      </c>
      <c r="CI16" s="61">
        <v>14.3</v>
      </c>
      <c r="CJ16" s="61">
        <v>9.4</v>
      </c>
      <c r="CK16" s="61">
        <v>8.8000000000000007</v>
      </c>
      <c r="CL16" s="61">
        <v>12.96</v>
      </c>
      <c r="CM16" s="61">
        <v>0</v>
      </c>
      <c r="CN16" s="61"/>
      <c r="CO16" s="61"/>
      <c r="CP16" s="61"/>
      <c r="CQ16" s="61"/>
      <c r="CR16" s="61"/>
      <c r="CS16" s="61">
        <v>13.8</v>
      </c>
      <c r="CT16" s="61">
        <v>9.25</v>
      </c>
      <c r="CU16" s="61">
        <v>9.6999999999999993</v>
      </c>
      <c r="CV16" s="61">
        <v>13.21</v>
      </c>
      <c r="CW16" s="61">
        <v>0</v>
      </c>
      <c r="CX16" s="72"/>
      <c r="CY16" s="11">
        <f>IF(SUM(CD16:CG16)-CH16&gt;0,SUM(CD16:CG16)-CH16,"")</f>
        <v>39.54</v>
      </c>
      <c r="CZ16" s="11">
        <f>IF(CK16&gt;0,CK16,"")</f>
        <v>8.8000000000000007</v>
      </c>
      <c r="DA16" s="11">
        <f>IF(SUM(CI16:CL16)-CM16&gt;0,SUM(CI16:CL16)-CM16,"")</f>
        <v>45.46</v>
      </c>
      <c r="DB16" s="11" t="str">
        <f>IF(CP16&gt;0,CP16,"")</f>
        <v/>
      </c>
      <c r="DC16" s="11" t="str">
        <f>IF(SUM(CN16:CQ16)-CR16&gt;0,SUM(CN16:CQ16)-CR16,"")</f>
        <v/>
      </c>
      <c r="DD16" s="11">
        <f>IF(CY16="",IF(MAX(DA16,DC16)&gt;0,MAX(DA16,DC16),""),MAX(DA16,DC16)+CY16)</f>
        <v>85</v>
      </c>
      <c r="DE16" s="11">
        <f>IF(CU16&gt;0,CU16,"")</f>
        <v>9.6999999999999993</v>
      </c>
      <c r="DF16" s="11">
        <f>IF(SUM(CS16:CV16)-CW16&gt;0,SUM(CS16:CV16)-CW16,"")</f>
        <v>45.96</v>
      </c>
      <c r="DG16" s="11">
        <f>IF(SUM(DD16,DF16)&gt;0,SUM(DD16,DF16),"")</f>
        <v>130.96</v>
      </c>
      <c r="DH16" s="23" t="str">
        <f>IF(MAX(EB16,EX16,FT16,GP16,HL16,IH16,JD16,JZ16,KV16,LR16,MN16,NJ16)-IF(M16="",0,M16)&gt;0.001,MAX(EB16,EX16,FT16,GP16,HL16,IH16,JD16,JZ16,KV16,LR16,MN16,NJ16)-IF(M16="",0,M16),"")</f>
        <v/>
      </c>
      <c r="DI16" s="23" t="str">
        <f>IF(MAX(EC16,EY16,FU16,GQ16,HM16,II16,JE16,KA16,KW16,LS16,MO16,NK16)-IF(O16="",0,O16)&gt;0.001,MAX(EC16,EY16,FU16,GQ16,HM16,II16,JE16,KA16,KW16,LS16,MO16,NK16)-IF(O16="",0,O16),"")</f>
        <v/>
      </c>
      <c r="DJ16" s="23" t="str">
        <f>IF(MAX(ED16,EZ16,FV16,GR16,HN16,IJ16,JF16,KB16,KX16,LT16,MP16,NL16)-IF(K16="",0,K16)&gt;0.001,MAX(ED16,EZ16,FV16,GR16,HN16,IJ16,JF16,KB16,KX16,LT16,MP16,NL16)-IF(K16="",0,K16),"")</f>
        <v/>
      </c>
      <c r="DK16" s="23" t="str">
        <f>IF(MAX(EF16,FB16,FX16,GT16,HP16,IL16,JH16,KD16,KZ16,LV16,MR16,NN16)-IF(Q16="",0,Q16)&gt;0.001,MAX(EF16,FB16,FX16,GT16,HP16,IL16,JH16,KD16,KZ16,LV16,MR16,NN16)-IF(Q16="",0,Q16),"")</f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>IF(HC16&gt;0,HC16,"")</f>
        <v/>
      </c>
      <c r="HL16" s="11" t="str">
        <f>IF(SUM(GV16:GY16)-GZ16&gt;0,SUM(GV16:GY16)-GZ16,"")</f>
        <v/>
      </c>
      <c r="HM16" s="11" t="str">
        <f>IF(SUM(HA16:HD16)-HE16&gt;0,SUM(HA16:HD16)-HE16,"")</f>
        <v/>
      </c>
      <c r="HN16" s="11" t="str">
        <f>IF(SUM(HL16:HM16)&gt;0,SUM(HL16:HM16),"")</f>
        <v/>
      </c>
      <c r="HO16" s="11" t="str">
        <f>IF(HH16&gt;0,HH16,"")</f>
        <v/>
      </c>
      <c r="HP16" s="11" t="str">
        <f>IF(SUM(HF16:HI16)-HJ16&gt;0,SUM(HF16:HI16)-HJ16,"")</f>
        <v/>
      </c>
      <c r="HQ16" s="11" t="str">
        <f>IF(SUM(HN16,HP16)&gt;0,SUM(HN16,HP16),"")</f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1">
        <f>IF($CX16="P",CD16,(CD16+AZ16)/2)</f>
        <v>7.7</v>
      </c>
      <c r="NQ16" s="61">
        <f>IF($CX16="P",CE16,(CE16+BA16)/2)</f>
        <v>4.7</v>
      </c>
      <c r="NR16" s="61">
        <f>IF($CX16="P",CF16,(CF16+BB16)/2)</f>
        <v>0.7</v>
      </c>
      <c r="NS16" s="61">
        <f>IF($CX16="P",CG16,(CG16+BC16)/2)</f>
        <v>6.67</v>
      </c>
      <c r="NT16" s="61">
        <f>IF($CX16="P",CH16,(CH16+BD16)/2)</f>
        <v>0</v>
      </c>
      <c r="NU16" s="61">
        <f>IF($CX16="P",CI16,(CI16+BE16)/2)</f>
        <v>7.15</v>
      </c>
      <c r="NV16" s="61">
        <f>IF($CX16="P",CJ16,(CJ16+BF16)/2)</f>
        <v>4.7</v>
      </c>
      <c r="NW16" s="61">
        <f>IF($CX16="P",CK16,(CK16+BG16)/2)</f>
        <v>4.4000000000000004</v>
      </c>
      <c r="NX16" s="61">
        <f>IF($CX16="P",CL16,(CL16+BH16)/2)</f>
        <v>6.48</v>
      </c>
      <c r="NY16" s="61">
        <f>IF($CX16="P",CM16,(CM16+BI16)/2)</f>
        <v>0</v>
      </c>
      <c r="NZ16" s="61">
        <f>IF($CX16="P",CN16,(CN16+BJ16)/2)</f>
        <v>0</v>
      </c>
      <c r="OA16" s="61">
        <f>IF($CX16="P",CO16,(CO16+BK16)/2)</f>
        <v>0</v>
      </c>
      <c r="OB16" s="61">
        <f>IF($CX16="P",CP16,(CP16+BL16)/2)</f>
        <v>0</v>
      </c>
      <c r="OC16" s="61">
        <f>IF($CX16="P",CQ16,(CQ16+BM16)/2)</f>
        <v>0</v>
      </c>
      <c r="OD16" s="61">
        <f>IF($CX16="P",CR16,(CR16+BN16)/2)</f>
        <v>0</v>
      </c>
      <c r="OE16" s="61">
        <f>IF($CX16="P",CS16,(CS16+BO16)/2)</f>
        <v>6.9</v>
      </c>
      <c r="OF16" s="61">
        <f>IF($CX16="P",CT16,(CT16+BP16)/2)</f>
        <v>4.625</v>
      </c>
      <c r="OG16" s="61">
        <f>IF($CX16="P",CU16,(CU16+BQ16)/2)</f>
        <v>4.8499999999999996</v>
      </c>
      <c r="OH16" s="61">
        <f>IF($CX16="P",CV16,(CV16+BR16)/2)</f>
        <v>6.6050000000000004</v>
      </c>
      <c r="OI16" s="61">
        <f>IF($CX16="P",CW16,(CW16+BS16)/2)</f>
        <v>0</v>
      </c>
      <c r="OJ16" s="72" t="s">
        <v>52</v>
      </c>
      <c r="OK16" s="11">
        <f>IF(SUM(NP16:NS16)-NT16&gt;0,SUM(NP16:NS16)-NT16,"")</f>
        <v>19.77</v>
      </c>
      <c r="OL16" s="11">
        <f>IF(NW16&gt;0,NW16,"")</f>
        <v>4.4000000000000004</v>
      </c>
      <c r="OM16" s="11">
        <f>IF(SUM(NU16:NX16)-NY16&gt;0,SUM(NU16:NX16)-NY16,"")</f>
        <v>22.73</v>
      </c>
      <c r="ON16" s="11" t="str">
        <f>IF(OB16&gt;0,OB16,"")</f>
        <v/>
      </c>
      <c r="OO16" s="11" t="str">
        <f>IF(SUM(NZ16:OC16)-OD16&gt;0,SUM(NZ16:OC16)-OD16,"")</f>
        <v/>
      </c>
      <c r="OP16" s="11">
        <f>IF(OR(OK16&lt;&gt;"",OM16&lt;&gt;"",OO16&lt;&gt;""),OK16+MAX(OM16,OO16),"")</f>
        <v>42.5</v>
      </c>
      <c r="OQ16" s="11">
        <f>IF(OG16&gt;0,OG16,"")</f>
        <v>4.8499999999999996</v>
      </c>
      <c r="OR16" s="11">
        <f t="shared" ref="OR16" si="14">IF(SUM(OE16:OH16)-OI16&gt;0,SUM(OE16:OH16)-OI16,"")</f>
        <v>22.98</v>
      </c>
      <c r="OS16" s="11">
        <f t="shared" ref="OS16" si="15">IF(SUM(OP16,OR16)&gt;0,SUM(OP16,OR16),"")</f>
        <v>65.48</v>
      </c>
    </row>
    <row r="17" spans="1:409" x14ac:dyDescent="0.2">
      <c r="A17" s="5" t="str" cm="1">
        <f t="array" ref="A17">IF(AND(G17&lt;&gt;"",H17&lt;&gt;""),SUMPRODUCT((G$4:G$20&lt;&gt;"")*(H$4:H$20&lt;&gt;"")*(E$4:E$20&gt;E17))+1,IF(H17&lt;&gt;"",SUMPRODUCT((I$4:I$20="No DD")*(E$4:E$20&gt;E17))+1+SUMPRODUCT((G$4:G$20&lt;&gt;"")*(H$4:H$20&lt;&gt;"")),""))</f>
        <v/>
      </c>
      <c r="B17" s="8" t="s">
        <v>97</v>
      </c>
      <c r="C17" s="4" t="s">
        <v>6</v>
      </c>
      <c r="D17" s="26">
        <v>2002</v>
      </c>
      <c r="E17" s="15">
        <f>SUM(O17:S17)</f>
        <v>89.490000000000009</v>
      </c>
      <c r="F17" s="3" t="str">
        <f>IF(G17&lt;&gt;"","P","")</f>
        <v/>
      </c>
      <c r="G17" s="115" t="str">
        <f>IF(OR(AND(AR17&gt;=AY$25,AR17&lt;&gt;"",AP17=""),AND(AT17&gt;=AY$25,AT17&lt;&gt;"",AP17=""),AND(AW17&gt;=AY$25,AW17&lt;&gt;"",AP17=""),AND(BV17&gt;=CC$25,BV17&lt;&gt;"",BT17=""),AND(BX17&gt;=CC$25,BX17&lt;&gt;"",BT17=""),AND(CA17&gt;=CC$25,CA17&lt;&gt;"",BT17=""),AND(CZ17&gt;=DG$25,CZ17&lt;&gt;"",CX17=""),AND(DB17&gt;=DG$25,DB17&lt;&gt;"",CX17=""),AND(DE17&gt;=DG$25,DE17&lt;&gt;"",CX17=""),AND(EA17&gt;=EG$25,EA17&lt;&gt;""),AND(EE17&gt;=EG$25,EE17&lt;&gt;""),AND(EW17&gt;=FC$25,EW17&lt;&gt;""),AND(FA17&gt;=FC$25,FA17&lt;&gt;""),AND(FS17&gt;=FY$25,FS17&lt;&gt;""),AND(FW17&gt;=FY$25,FW17&lt;&gt;""),AND(GO17&gt;=GU$25,GO17&lt;&gt;""),AND(GS17&gt;=GU$25,GS17&lt;&gt;""),AND(HK17&gt;=HQ$25,HK17&lt;&gt;""),AND(HO17&gt;=HQ$25,HO17&lt;&gt;""),AND(IG17&gt;=IM$25,IG17&lt;&gt;""),AND(IK17&gt;=IM$25,IK17&lt;&gt;""),AND(JC17&gt;=JI$25,JC17&lt;&gt;""),AND(JG17&gt;=JI$25,JG17&lt;&gt;""),AND(JY17&gt;=KE$25,JY17&lt;&gt;""),AND(KC17&gt;=KE$25,KC17&lt;&gt;""),AND(KU17&gt;=LA$25,KU17&lt;&gt;""),AND(KY17&gt;=LA$25,KY17&lt;&gt;""),AND(LQ17&gt;=LW$25,LQ17&lt;&gt;""),AND(LU17&gt;=LW$25,LU17&lt;&gt;""),AND(MM17&gt;=MS$25,MM17&lt;&gt;""),AND(MQ17&gt;=MS$25,MQ17&lt;&gt;""),AND(NI17&gt;=NO$25,NI17&lt;&gt;""),AND(NM17&gt;=NO$25,NM17&lt;&gt;"")),"Merit",IF(OR(AND(AR17&gt;=AY$24,AR17&lt;&gt;"",AP17=""),AND(AT17&gt;=AY$24,AT17&lt;&gt;"",AP17=""),AND(AW17&gt;=AY$24,AW17&lt;&gt;"",AP17=""),AND(BV17&gt;=CC$24,BV17&lt;&gt;"",BT17=""),AND(BX17&gt;=CC$24,BX17&lt;&gt;"",BT17=""),AND(CA17&gt;=CC$24,CA17&lt;&gt;"",BT17=""),AND(CZ17&gt;=DG$24,CZ17&lt;&gt;"",CX17=""),AND(DB17&gt;=DG$24,DB17&lt;&gt;"",CX17=""),AND(DE17&gt;=DG$24,DE17&lt;&gt;"",CX17=""),AND(EA17&gt;=EG$24,EA17&lt;&gt;""),AND(EE17&gt;=EG$24,EE17&lt;&gt;""),AND(EW17&gt;=FC$24,EW17&lt;&gt;""),AND(FA17&gt;=FC$24,FA17&lt;&gt;""),AND(FS17&gt;=FY$24,FS17&lt;&gt;""),AND(FW17&gt;=FY$24,FW17&lt;&gt;""),AND(GO17&gt;=GU$24,GO17&lt;&gt;""),AND(GS17&gt;=GU$24,GS17&lt;&gt;""),AND(HK17&gt;=HQ$24,HK17&lt;&gt;""),AND(HO17&gt;=HQ$24,HO17&lt;&gt;""),AND(IG17&gt;=IM$24,IG17&lt;&gt;""),AND(IK17&gt;=IM$24,IK17&lt;&gt;""),AND(JC17&gt;=JI$24,JC17&lt;&gt;""),AND(JG17&gt;=JI$24,JG17&lt;&gt;""),AND(JY17&gt;=KE$24,JY17&lt;&gt;""),AND(KC17&gt;=KE$24,KC17&lt;&gt;""),AND(KU17&gt;=LA$24,KU17&lt;&gt;""),AND(KY17&gt;=LA$24,KY17&lt;&gt;""),AND(LQ17&gt;=LW$24,LQ17&lt;&gt;""),AND(LU17&gt;=LW$24,LU17&lt;&gt;""),AND(MM17&gt;=MS$24,MM17&lt;&gt;""),AND(MQ17&gt;=MS$24,MQ17&lt;&gt;""),AND(NI17&gt;=NO$24,NI17&lt;&gt;""),AND(NM17&gt;=NO$24,NM17&lt;&gt;"")),"Excellence",IF(OR(AND(AR17&gt;=AY$23,AR17&lt;&gt;"",AP17=""),AND(AT17&gt;=AY$23,AT17&lt;&gt;"",AP17=""),AND(AW17&gt;=AY$23,AW17&lt;&gt;"",AP17=""),AND(BV17&gt;=CC$23,BV17&lt;&gt;"",BT17=""),AND(BX17&gt;=CC$23,BX17&lt;&gt;"",BT17=""),AND(CA17&gt;=CC$23,CA17&lt;&gt;"",BT17=""),AND(CZ17&gt;=DG$23,CZ17&lt;&gt;"",CX17=""),AND(DB17&gt;=DG$23,DB17&lt;&gt;"",CX17=""),AND(DE17&gt;=DG$23,DE17&lt;&gt;"",CX17=""),AND(EA17&gt;=EG$23,EA17&lt;&gt;""),AND(EE17&gt;=EG$23,EE17&lt;&gt;""),AND(EW17&gt;=FC$23,EW17&lt;&gt;""),AND(FA17&gt;=FC$23,FA17&lt;&gt;""),AND(FS17&gt;=FY$23,FS17&lt;&gt;""),AND(FW17&gt;=FY$23,FW17&lt;&gt;""),AND(GO17&gt;=GU$23,GO17&lt;&gt;""),AND(GS17&gt;=GU$23,GS17&lt;&gt;""),AND(HK17&gt;=HQ$23,HK17&lt;&gt;""),AND(HO17&gt;=HQ$23,HO17&lt;&gt;""),AND(IG17&gt;=IM$23,IG17&lt;&gt;""),AND(IK17&gt;=IM$23,IK17&lt;&gt;""),AND(JC17&gt;=JI$23,JC17&lt;&gt;""),AND(JG17&gt;=JI$23,JG17&lt;&gt;""),AND(JY17&gt;=KE$23,JY17&lt;&gt;""),AND(KC17&gt;=KE$23,KC17&lt;&gt;""),AND(KU17&gt;=LA$23,KU17&lt;&gt;""),AND(KY17&gt;=LA$23,KY17&lt;&gt;""),AND(LQ17&gt;=LW$23,LQ17&lt;&gt;""),AND(LU17&gt;=LW$23,LU17&lt;&gt;""),AND(MM17&gt;=MS$23,MM17&lt;&gt;""),AND(MQ17&gt;=MS$23,MQ17&lt;&gt;""),AND(NI17&gt;=NO$23,NI17&lt;&gt;""),AND(NM17&gt;=NO$23,NM17&lt;&gt;"")),"Worlds Team",IF(OR(AND(AR17&gt;=AY$22,AR17&lt;&gt;"",AP17=""),AND(AT17&gt;=AY$22,AT17&lt;&gt;"",AP17=""),AND(AW17&gt;=AY$22,AW17&lt;&gt;"",AP17=""),AND(BV17&gt;=CC$22,BV17&lt;&gt;"",BT17=""),AND(BX17&gt;=CC$22,BX17&lt;&gt;"",BT17=""),AND(CA17&gt;=CC$22,CA17&lt;&gt;"",BT17=""),AND(CZ17&gt;=DG$22,CZ17&lt;&gt;"",CX17=""),AND(DB17&gt;=DG$22,DB17&lt;&gt;"",CX17=""),AND(DE17&gt;=DG$22,DE17&lt;&gt;"",CX17=""),AND(EA17&gt;=EG$22,EA17&lt;&gt;""),AND(EE17&gt;=EG$22,EE17&lt;&gt;""),AND(EW17&gt;=FC$22,EW17&lt;&gt;""),AND(FA17&gt;=FC$22,FA17&lt;&gt;""),AND(FS17&gt;=FY$22,FS17&lt;&gt;""),AND(FW17&gt;=FY$22,FW17&lt;&gt;""),AND(GO17&gt;=GU$22,GO17&lt;&gt;""),AND(GS17&gt;=GU$22,GS17&lt;&gt;""),AND(HK17&gt;=HQ$22,HK17&lt;&gt;""),AND(HO17&gt;=HQ$22,HO17&lt;&gt;""),AND(IG17&gt;=IM$22,IG17&lt;&gt;""),AND(IK17&gt;=IM$22,IK17&lt;&gt;""),AND(JC17&gt;=JI$22,JC17&lt;&gt;""),AND(JG17&gt;=JI$22,JG17&lt;&gt;""),AND(JY17&gt;=KE$22,JY17&lt;&gt;""),AND(KC17&gt;=KE$22,KC17&lt;&gt;""),AND(KU17&gt;=LA$22,KU17&lt;&gt;""),AND(KY17&gt;=LA$22,KY17&lt;&gt;""),AND(LQ17&gt;=LW$22,LQ17&lt;&gt;""),AND(LU17&gt;=LW$22,LU17&lt;&gt;""),AND(MM17&gt;=MS$22,MM17&lt;&gt;""),AND(MQ17&gt;=MS$22,MQ17&lt;&gt;""),AND(NI17&gt;=NO$22,NI17&lt;&gt;""),AND(NM17&gt;=NO$22,NM17&lt;&gt;"")),"National Team",""))))</f>
        <v/>
      </c>
      <c r="H17" s="115" t="str">
        <f>IF(OR(AND(AS17&gt;=AY$26,AS17&lt;&gt;"",AP17=""),AND(AU17&gt;=AY$26,AU17&lt;&gt;"",AP17=""),AND(AX17&gt;=AY$26,AX17&lt;&gt;"",AP17=""),AND(BW17&gt;=CC$26,BW17&lt;&gt;"",BT17=""),AND(BY17&gt;=CC$26,BY17&lt;&gt;"",BT17=""),AND(CB17&gt;=CC$26,CB17&lt;&gt;"",BT17=""),AND(DA17&gt;=DG$26,DA17&lt;&gt;"",CX17=""),AND(DC17&gt;=DG$26,DC17&lt;&gt;"",CX17=""),AND(DF17&gt;=DG$26,DF17&lt;&gt;"",CX17=""),AND(EC17&gt;=EG$26,EC17&lt;&gt;""),AND(EF17&gt;=EG$26,EF17&lt;&gt;""),AND(EY17&gt;=FC$26,EY17&lt;&gt;""),AND(FB17&gt;=FC$26,FB17&lt;&gt;""),AND(FU17&gt;=FY$26,FU17&lt;&gt;""),AND(FX17&gt;=FY$26,FX17&lt;&gt;""),AND(GQ17&gt;=GU$26,GQ17&lt;&gt;""),AND(GT17&gt;=GU$26,GT17&lt;&gt;""),AND(HM17&gt;=HQ$26,HM17&lt;&gt;""),AND(HP17&gt;=HQ$26,HP17&lt;&gt;""),AND(II17&gt;=IM$26,II17&lt;&gt;""),AND(IL17&gt;=IM$26,IL17&lt;&gt;""),AND(JE17&gt;=JI$26,JE17&lt;&gt;""),AND(JH17&gt;=JI$26,JH17&lt;&gt;""),AND(KA17&gt;=KE$26,KA17&lt;&gt;""),AND(KD17&gt;=KE$26,KD17&lt;&gt;""),AND(KW17&gt;=LA$26,KW17&lt;&gt;""),AND(KZ17&gt;=LA$26,KZ17&lt;&gt;""),AND(LS17&gt;=LW$26,LS17&lt;&gt;""),AND(LV17&gt;=LW$26,LV17&lt;&gt;""),AND(MO17&gt;=MS$26,MO17&lt;&gt;""),AND(MR17&gt;=MS$26,MR17&lt;&gt;""),AND(NK17&gt;=NO$26,NK17&lt;&gt;""),AND(NN17&gt;=NO$26,NN17&lt;&gt;"")),"National Team","")</f>
        <v/>
      </c>
      <c r="I17" s="11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$27,AV17&lt;&gt;"",AP17=""),AND(BZ17&gt;=CC$27,BZ17&lt;&gt;"",BT17=""),AND(DD17&gt;=DG$27,DD17&lt;&gt;"",CX17=""),AND(ED17&gt;=EG$27,ED17&lt;&gt;""),AND(EZ17&gt;=FC$27,EZ17&lt;&gt;""),AND(FV17&gt;=FY$27,FV17&lt;&gt;""),AND(GR17&gt;=GU$27,GR17&lt;&gt;""),AND(HN17&gt;=HQ$27,HN17&lt;&gt;""),AND(IJ17&gt;=IM$27,IJ17&lt;&gt;""),AND(JF17&gt;=JI$27,JF17&lt;&gt;""),AND(KB17&gt;=KE$27,KB17&lt;&gt;""),AND(KX17&gt;=LA$27,KX17&lt;&gt;""),AND(LT17&gt;=LW$27,LT17&lt;&gt;""),AND(MP17&gt;=MS$27,MP17&lt;&gt;""),AND(NL17&gt;=NO$27,NL17&lt;&gt;"")),OR(G17="Worlds Team",G17="Excellence",G17="Merit")),"P","")</f>
        <v/>
      </c>
      <c r="K17" s="14">
        <f>IF(MAX(AV17,BZ17,DD17)&gt;0,MAX(AV17,BZ17,DD17),0)</f>
        <v>86.82</v>
      </c>
      <c r="L17" s="14" t="str">
        <f>IF(K17=0,"",IF(K17=DD17,$CD$1,IF(K17=BZ17,$AZ$1,IF(K17=AV17,$V$1,""))))</f>
        <v>2019 Nationals</v>
      </c>
      <c r="M17" s="14">
        <f>IF($K17=$AV17,MAX(BU17,CY17),IF($K17=$BZ17,MAX(AQ17,CY17),IF($K17=$DD17,MAX(AQ17,BU17),MAX(AQ17,BU17,CY17))))</f>
        <v>0</v>
      </c>
      <c r="N17" s="14" t="str">
        <f>IF(M17=0,"",IF(AND(M17=CY17,$L17&lt;&gt;$CD$1),$CD$1,IF(AND(M17=BU17,$L17&lt;&gt;$AZ$1),$AZ$1,IF(AND(M17=AQ17,$L17&lt;&gt;$V$1),$V$1,""))))</f>
        <v/>
      </c>
      <c r="O17" s="14">
        <f>MAX(AS17,AU17,AX17,BW17,BY17,CB17,DA17,DC17,DF17)</f>
        <v>48.18</v>
      </c>
      <c r="P17" s="14" t="str">
        <f>IF(O17=0,"",IF(OR(O17=DC17,O17=DA17,O17=DF17),$CD$1,IF(OR(O17=BY17,O17=BW17,O17=CB17),$AZ$1,IF(OR(O17=AU17,O17=AS17,O17=AX17),$V$1,""))))</f>
        <v>2019 Nationals</v>
      </c>
      <c r="Q17" s="14">
        <f>IF(COUNT(AS17,AU17,AX17,BW17,BY17,CB17,DA17,DC17,DF17)&gt;1,LARGE((AS17,AU17,AX17,BW17,BY17,CB17,DA17,DC17,DF17),2),0)</f>
        <v>41.31</v>
      </c>
      <c r="R17" s="14" t="str">
        <f>IF(Q17=0,"",IF(OR(Q17=DC17,Q17=DA17,Q17=DF17),$CD$1,IF(OR(Q17=BY17,Q17=BW17,Q17=CB17),$AZ$1,IF(OR(Q17=AU17,Q17=AS17,Q17=AX17),$V$1,""))))</f>
        <v>2019 Nationals</v>
      </c>
      <c r="S17" s="14" t="str">
        <f>IF(MAX(DI17,DK17)&gt;0,MAX(DI17,DK17),"")</f>
        <v/>
      </c>
      <c r="T17" s="24" t="str">
        <f>IF(S17="","",IF(S17=DH17,"(Vol 1)",IF(S17=DI17,"(Vol 2)",IF(S17=DJ17,"(Prelim)",IF(S17=DK17,"(Final)")))))</f>
        <v/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/>
      </c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72"/>
      <c r="AQ17" s="11" t="str">
        <f>IF(SUM(V17:Y17)-Z17&gt;0,SUM(V17:Y17)-Z17,"")</f>
        <v/>
      </c>
      <c r="AR17" s="11" t="str">
        <f>IF(AC17&gt;0,AC17,"")</f>
        <v/>
      </c>
      <c r="AS17" s="11" t="str">
        <f>IF(SUM(AA17:AD17)-AE17&gt;0,SUM(AA17:AD17)-AE17,"")</f>
        <v/>
      </c>
      <c r="AT17" s="11" t="str">
        <f>IF(AH17&gt;0,AH17,"")</f>
        <v/>
      </c>
      <c r="AU17" s="11" t="str">
        <f>IF(SUM(AF17:AI17)-AJ17&gt;0,SUM(AF17:AI17)-AJ17,"")</f>
        <v/>
      </c>
      <c r="AV17" s="11" t="str">
        <f>IF(OR(AQ17&lt;&gt;"",AS17&lt;&gt;"",AU17&lt;&gt;""),AQ17+MAX(AS17,AU17),"")</f>
        <v/>
      </c>
      <c r="AW17" s="11" t="str">
        <f>IF(AM17&gt;0,AM17,"")</f>
        <v/>
      </c>
      <c r="AX17" s="11" t="str">
        <f>IF(SUM(AK17:AN17)-AO17&gt;0,SUM(AK17:AN17)-AO17,"")</f>
        <v/>
      </c>
      <c r="AY17" s="11" t="str">
        <f>IF(SUM(AV17,AX17)&gt;0,SUM(AV17,AX17),"")</f>
        <v/>
      </c>
      <c r="AZ17" s="67">
        <v>17.5</v>
      </c>
      <c r="BA17" s="67">
        <v>9.6</v>
      </c>
      <c r="BB17" s="67">
        <v>3.9</v>
      </c>
      <c r="BC17" s="67">
        <v>14.51</v>
      </c>
      <c r="BD17" s="67">
        <v>0</v>
      </c>
      <c r="BE17" s="67">
        <v>12.1</v>
      </c>
      <c r="BF17" s="67">
        <v>8.1999999999999993</v>
      </c>
      <c r="BG17" s="67">
        <v>9.1</v>
      </c>
      <c r="BH17" s="67">
        <v>11.91</v>
      </c>
      <c r="BI17" s="67">
        <v>0</v>
      </c>
      <c r="BJ17" s="67"/>
      <c r="BK17" s="67"/>
      <c r="BL17" s="67"/>
      <c r="BM17" s="67"/>
      <c r="BN17" s="67"/>
      <c r="BO17" s="67">
        <v>14.9</v>
      </c>
      <c r="BP17" s="67">
        <v>9.1999999999999993</v>
      </c>
      <c r="BQ17" s="67">
        <v>10.5</v>
      </c>
      <c r="BR17" s="67">
        <v>13.58</v>
      </c>
      <c r="BS17" s="67">
        <v>0</v>
      </c>
      <c r="BT17" s="73"/>
      <c r="BU17" s="14">
        <f>IF(SUM(AZ17:BC17)-BD17&gt;0,SUM(AZ17:BC17)-BD17,"")</f>
        <v>45.51</v>
      </c>
      <c r="BV17" s="14">
        <f>IF(BG17&gt;0,BG17,"")</f>
        <v>9.1</v>
      </c>
      <c r="BW17" s="14">
        <f>IF(SUM(BE17:BH17)-BI17&gt;0,SUM(BE17:BH17)-BI17,"")</f>
        <v>41.31</v>
      </c>
      <c r="BX17" s="14" t="str">
        <f>IF(BL17&gt;0,BL17,"")</f>
        <v/>
      </c>
      <c r="BY17" s="14" t="str">
        <f>IF(SUM(BJ17:BM17)-BN17&gt;0,SUM(BJ17:BM17)-BN17,"")</f>
        <v/>
      </c>
      <c r="BZ17" s="14">
        <f>IF(BU17="",IF(MAX(BW17,BY17)&gt;0,MAX(BW17,BY17),""),MAX(BW17,BY17)+BU17)</f>
        <v>86.82</v>
      </c>
      <c r="CA17" s="14">
        <f>IF(BQ17&gt;0,BQ17,"")</f>
        <v>10.5</v>
      </c>
      <c r="CB17" s="14">
        <f>IF(SUM(BO17:BR17)-BS17&gt;0,SUM(BO17:BR17)-BS17,"")</f>
        <v>48.18</v>
      </c>
      <c r="CC17" s="14">
        <f>IF(SUM(BZ17,CB17)&gt;0,SUM(BZ17,CB17),"")</f>
        <v>135</v>
      </c>
      <c r="CD17" s="61"/>
      <c r="CE17" s="61"/>
      <c r="CF17" s="61"/>
      <c r="CG17" s="61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72"/>
      <c r="CY17" s="11" t="str">
        <f>IF(SUM(CD17:CG17)-CH17&gt;0,SUM(CD17:CG17)-CH17,"")</f>
        <v/>
      </c>
      <c r="CZ17" s="11" t="str">
        <f>IF(CK17&gt;0,CK17,"")</f>
        <v/>
      </c>
      <c r="DA17" s="11" t="str">
        <f>IF(SUM(CI17:CL17)-CM17&gt;0,SUM(CI17:CL17)-CM17,"")</f>
        <v/>
      </c>
      <c r="DB17" s="11" t="str">
        <f>IF(CP17&gt;0,CP17,"")</f>
        <v/>
      </c>
      <c r="DC17" s="11" t="str">
        <f>IF(SUM(CN17:CQ17)-CR17&gt;0,SUM(CN17:CQ17)-CR17,"")</f>
        <v/>
      </c>
      <c r="DD17" s="11" t="str">
        <f>IF(CY17="",IF(MAX(DA17,DC17)&gt;0,MAX(DA17,DC17),""),MAX(DA17,DC17)+CY17)</f>
        <v/>
      </c>
      <c r="DE17" s="11" t="str">
        <f>IF(CU17&gt;0,CU17,"")</f>
        <v/>
      </c>
      <c r="DF17" s="11" t="str">
        <f>IF(SUM(CS17:CV17)-CW17&gt;0,SUM(CS17:CV17)-CW17,"")</f>
        <v/>
      </c>
      <c r="DG17" s="11" t="str">
        <f>IF(SUM(DD17,DF17)&gt;0,SUM(DD17,DF17),"")</f>
        <v/>
      </c>
      <c r="DH17" s="23" t="str">
        <f>IF(MAX(EB17,EX17,FT17,GP17,HL17,IH17,JD17,JZ17,KV17,LR17,MN17,NJ17)-IF(M17="",0,M17)&gt;0.001,MAX(EB17,EX17,FT17,GP17,HL17,IH17,JD17,JZ17,KV17,LR17,MN17,NJ17)-IF(M17="",0,M17),"")</f>
        <v/>
      </c>
      <c r="DI17" s="23" t="str">
        <f>IF(MAX(EC17,EY17,FU17,GQ17,HM17,II17,JE17,KA17,KW17,LS17,MO17,NK17)-IF(O17="",0,O17)&gt;0.001,MAX(EC17,EY17,FU17,GQ17,HM17,II17,JE17,KA17,KW17,LS17,MO17,NK17)-IF(O17="",0,O17),"")</f>
        <v/>
      </c>
      <c r="DJ17" s="23" t="str">
        <f>IF(MAX(ED17,EZ17,FV17,GR17,HN17,IJ17,JF17,KB17,KX17,LT17,MP17,NL17)-IF(K17="",0,K17)&gt;0.001,MAX(ED17,EZ17,FV17,GR17,HN17,IJ17,JF17,KB17,KX17,LT17,MP17,NL17)-IF(K17="",0,K17),"")</f>
        <v/>
      </c>
      <c r="DK17" s="23" t="str">
        <f>IF(MAX(EF17,FB17,FX17,GT17,HP17,IL17,JH17,KD17,KZ17,LV17,MR17,NN17)-IF(Q17="",0,Q17)&gt;0.001,MAX(EF17,FB17,FX17,GT17,HP17,IL17,JH17,KD17,KZ17,LV17,MR17,NN17)-IF(Q17="",0,Q17),"")</f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>IF(FK17&gt;0,FK17,"")</f>
        <v/>
      </c>
      <c r="FT17" s="11" t="str">
        <f>IF(SUM(FD17:FG17)-FH17&gt;0,SUM(FD17:FG17)-FH17,"")</f>
        <v/>
      </c>
      <c r="FU17" s="11" t="str">
        <f>IF(SUM(FI17:FL17)-FM17&gt;0,SUM(FI17:FL17)-FM17,"")</f>
        <v/>
      </c>
      <c r="FV17" s="11" t="str">
        <f>IF(SUM(FT17:FU17)&gt;0,SUM(FT17:FU17),"")</f>
        <v/>
      </c>
      <c r="FW17" s="11" t="str">
        <f>IF(FP17&gt;0,FP17,"")</f>
        <v/>
      </c>
      <c r="FX17" s="11" t="str">
        <f>IF(SUM(FN17:FQ17)-FR17&gt;0,SUM(FN17:FQ17)-FR17,"")</f>
        <v/>
      </c>
      <c r="FY17" s="11" t="str">
        <f>IF(SUM(FV17,FX17)&gt;0,SUM(FV17,FX17),"")</f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1">
        <f>IF($CX17="P",CD17,(CD17+AZ17)/2)</f>
        <v>8.75</v>
      </c>
      <c r="NQ17" s="61">
        <f>IF($CX17="P",CE17,(CE17+BA17)/2)</f>
        <v>4.8</v>
      </c>
      <c r="NR17" s="61">
        <f>IF($CX17="P",CF17,(CF17+BB17)/2)</f>
        <v>1.95</v>
      </c>
      <c r="NS17" s="61">
        <f>IF($CX17="P",CG17,(CG17+BC17)/2)</f>
        <v>7.2549999999999999</v>
      </c>
      <c r="NT17" s="61">
        <f>IF($CX17="P",CH17,(CH17+BD17)/2)</f>
        <v>0</v>
      </c>
      <c r="NU17" s="61">
        <f>IF($CX17="P",CI17,(CI17+BE17)/2)</f>
        <v>6.05</v>
      </c>
      <c r="NV17" s="61">
        <f>IF($CX17="P",CJ17,(CJ17+BF17)/2)</f>
        <v>4.0999999999999996</v>
      </c>
      <c r="NW17" s="61">
        <f>IF($CX17="P",CK17,(CK17+BG17)/2)</f>
        <v>4.55</v>
      </c>
      <c r="NX17" s="61">
        <f>IF($CX17="P",CL17,(CL17+BH17)/2)</f>
        <v>5.9550000000000001</v>
      </c>
      <c r="NY17" s="61">
        <f>IF($CX17="P",CM17,(CM17+BI17)/2)</f>
        <v>0</v>
      </c>
      <c r="NZ17" s="61">
        <f>IF($CX17="P",CN17,(CN17+BJ17)/2)</f>
        <v>0</v>
      </c>
      <c r="OA17" s="61">
        <f>IF($CX17="P",CO17,(CO17+BK17)/2)</f>
        <v>0</v>
      </c>
      <c r="OB17" s="61">
        <f>IF($CX17="P",CP17,(CP17+BL17)/2)</f>
        <v>0</v>
      </c>
      <c r="OC17" s="61">
        <f>IF($CX17="P",CQ17,(CQ17+BM17)/2)</f>
        <v>0</v>
      </c>
      <c r="OD17" s="61">
        <f>IF($CX17="P",CR17,(CR17+BN17)/2)</f>
        <v>0</v>
      </c>
      <c r="OE17" s="61">
        <f>IF($CX17="P",CS17,(CS17+BO17)/2)</f>
        <v>7.45</v>
      </c>
      <c r="OF17" s="61">
        <f>IF($CX17="P",CT17,(CT17+BP17)/2)</f>
        <v>4.5999999999999996</v>
      </c>
      <c r="OG17" s="61">
        <f>IF($CX17="P",CU17,(CU17+BQ17)/2)</f>
        <v>5.25</v>
      </c>
      <c r="OH17" s="61">
        <f>IF($CX17="P",CV17,(CV17+BR17)/2)</f>
        <v>6.79</v>
      </c>
      <c r="OI17" s="61">
        <f>IF($CX17="P",CW17,(CW17+BS17)/2)</f>
        <v>0</v>
      </c>
      <c r="OJ17" s="72" t="s">
        <v>52</v>
      </c>
      <c r="OK17" s="11">
        <f>IF(SUM(NP17:NS17)-NT17&gt;0,SUM(NP17:NS17)-NT17,"")</f>
        <v>22.754999999999999</v>
      </c>
      <c r="OL17" s="11">
        <f>IF(NW17&gt;0,NW17,"")</f>
        <v>4.55</v>
      </c>
      <c r="OM17" s="11">
        <f>IF(SUM(NU17:NX17)-NY17&gt;0,SUM(NU17:NX17)-NY17,"")</f>
        <v>20.655000000000001</v>
      </c>
      <c r="ON17" s="11" t="str">
        <f>IF(OB17&gt;0,OB17,"")</f>
        <v/>
      </c>
      <c r="OO17" s="11" t="str">
        <f>IF(SUM(NZ17:OC17)-OD17&gt;0,SUM(NZ17:OC17)-OD17,"")</f>
        <v/>
      </c>
      <c r="OP17" s="11">
        <f>IF(OR(OK17&lt;&gt;"",OM17&lt;&gt;"",OO17&lt;&gt;""),OK17+MAX(OM17,OO17),"")</f>
        <v>43.41</v>
      </c>
      <c r="OQ17" s="11">
        <f>IF(OG17&gt;0,OG17,"")</f>
        <v>5.25</v>
      </c>
      <c r="OR17" s="11">
        <f t="shared" ref="OR17" si="16">IF(SUM(OE17:OH17)-OI17&gt;0,SUM(OE17:OH17)-OI17,"")</f>
        <v>24.09</v>
      </c>
      <c r="OS17" s="11">
        <f t="shared" ref="OS17" si="17">IF(SUM(OP17,OR17)&gt;0,SUM(OP17,OR17),"")</f>
        <v>67.5</v>
      </c>
    </row>
    <row r="18" spans="1:409" x14ac:dyDescent="0.2">
      <c r="A18" s="5" t="str" cm="1">
        <f t="array" ref="A18">IF(AND(G18&lt;&gt;"",H18&lt;&gt;""),SUMPRODUCT((G$4:G$20&lt;&gt;"")*(H$4:H$20&lt;&gt;"")*(E$4:E$20&gt;E18))+1,IF(H18&lt;&gt;"",SUMPRODUCT((I$4:I$20="No DD")*(E$4:E$20&gt;E18))+1+SUMPRODUCT((G$4:G$20&lt;&gt;"")*(H$4:H$20&lt;&gt;"")),""))</f>
        <v/>
      </c>
      <c r="B18" s="8" t="s">
        <v>117</v>
      </c>
      <c r="C18" s="4" t="s">
        <v>116</v>
      </c>
      <c r="D18" s="26">
        <v>2003</v>
      </c>
      <c r="E18" s="15">
        <f>SUM(O18:S18)</f>
        <v>79.414999999999992</v>
      </c>
      <c r="F18" s="3" t="str">
        <f>IF(G18&lt;&gt;"","P","")</f>
        <v/>
      </c>
      <c r="G18" s="115" t="str">
        <f>IF(OR(AND(AR18&gt;=AY$25,AR18&lt;&gt;"",AP18=""),AND(AT18&gt;=AY$25,AT18&lt;&gt;"",AP18=""),AND(AW18&gt;=AY$25,AW18&lt;&gt;"",AP18=""),AND(BV18&gt;=CC$25,BV18&lt;&gt;"",BT18=""),AND(BX18&gt;=CC$25,BX18&lt;&gt;"",BT18=""),AND(CA18&gt;=CC$25,CA18&lt;&gt;"",BT18=""),AND(CZ18&gt;=DG$25,CZ18&lt;&gt;"",CX18=""),AND(DB18&gt;=DG$25,DB18&lt;&gt;"",CX18=""),AND(DE18&gt;=DG$25,DE18&lt;&gt;"",CX18=""),AND(EA18&gt;=EG$25,EA18&lt;&gt;""),AND(EE18&gt;=EG$25,EE18&lt;&gt;""),AND(EW18&gt;=FC$25,EW18&lt;&gt;""),AND(FA18&gt;=FC$25,FA18&lt;&gt;""),AND(FS18&gt;=FY$25,FS18&lt;&gt;""),AND(FW18&gt;=FY$25,FW18&lt;&gt;""),AND(GO18&gt;=GU$25,GO18&lt;&gt;""),AND(GS18&gt;=GU$25,GS18&lt;&gt;""),AND(HK18&gt;=HQ$25,HK18&lt;&gt;""),AND(HO18&gt;=HQ$25,HO18&lt;&gt;""),AND(IG18&gt;=IM$25,IG18&lt;&gt;""),AND(IK18&gt;=IM$25,IK18&lt;&gt;""),AND(JC18&gt;=JI$25,JC18&lt;&gt;""),AND(JG18&gt;=JI$25,JG18&lt;&gt;""),AND(JY18&gt;=KE$25,JY18&lt;&gt;""),AND(KC18&gt;=KE$25,KC18&lt;&gt;""),AND(KU18&gt;=LA$25,KU18&lt;&gt;""),AND(KY18&gt;=LA$25,KY18&lt;&gt;""),AND(LQ18&gt;=LW$25,LQ18&lt;&gt;""),AND(LU18&gt;=LW$25,LU18&lt;&gt;""),AND(MM18&gt;=MS$25,MM18&lt;&gt;""),AND(MQ18&gt;=MS$25,MQ18&lt;&gt;""),AND(NI18&gt;=NO$25,NI18&lt;&gt;""),AND(NM18&gt;=NO$25,NM18&lt;&gt;"")),"Merit",IF(OR(AND(AR18&gt;=AY$24,AR18&lt;&gt;"",AP18=""),AND(AT18&gt;=AY$24,AT18&lt;&gt;"",AP18=""),AND(AW18&gt;=AY$24,AW18&lt;&gt;"",AP18=""),AND(BV18&gt;=CC$24,BV18&lt;&gt;"",BT18=""),AND(BX18&gt;=CC$24,BX18&lt;&gt;"",BT18=""),AND(CA18&gt;=CC$24,CA18&lt;&gt;"",BT18=""),AND(CZ18&gt;=DG$24,CZ18&lt;&gt;"",CX18=""),AND(DB18&gt;=DG$24,DB18&lt;&gt;"",CX18=""),AND(DE18&gt;=DG$24,DE18&lt;&gt;"",CX18=""),AND(EA18&gt;=EG$24,EA18&lt;&gt;""),AND(EE18&gt;=EG$24,EE18&lt;&gt;""),AND(EW18&gt;=FC$24,EW18&lt;&gt;""),AND(FA18&gt;=FC$24,FA18&lt;&gt;""),AND(FS18&gt;=FY$24,FS18&lt;&gt;""),AND(FW18&gt;=FY$24,FW18&lt;&gt;""),AND(GO18&gt;=GU$24,GO18&lt;&gt;""),AND(GS18&gt;=GU$24,GS18&lt;&gt;""),AND(HK18&gt;=HQ$24,HK18&lt;&gt;""),AND(HO18&gt;=HQ$24,HO18&lt;&gt;""),AND(IG18&gt;=IM$24,IG18&lt;&gt;""),AND(IK18&gt;=IM$24,IK18&lt;&gt;""),AND(JC18&gt;=JI$24,JC18&lt;&gt;""),AND(JG18&gt;=JI$24,JG18&lt;&gt;""),AND(JY18&gt;=KE$24,JY18&lt;&gt;""),AND(KC18&gt;=KE$24,KC18&lt;&gt;""),AND(KU18&gt;=LA$24,KU18&lt;&gt;""),AND(KY18&gt;=LA$24,KY18&lt;&gt;""),AND(LQ18&gt;=LW$24,LQ18&lt;&gt;""),AND(LU18&gt;=LW$24,LU18&lt;&gt;""),AND(MM18&gt;=MS$24,MM18&lt;&gt;""),AND(MQ18&gt;=MS$24,MQ18&lt;&gt;""),AND(NI18&gt;=NO$24,NI18&lt;&gt;""),AND(NM18&gt;=NO$24,NM18&lt;&gt;"")),"Excellence",IF(OR(AND(AR18&gt;=AY$23,AR18&lt;&gt;"",AP18=""),AND(AT18&gt;=AY$23,AT18&lt;&gt;"",AP18=""),AND(AW18&gt;=AY$23,AW18&lt;&gt;"",AP18=""),AND(BV18&gt;=CC$23,BV18&lt;&gt;"",BT18=""),AND(BX18&gt;=CC$23,BX18&lt;&gt;"",BT18=""),AND(CA18&gt;=CC$23,CA18&lt;&gt;"",BT18=""),AND(CZ18&gt;=DG$23,CZ18&lt;&gt;"",CX18=""),AND(DB18&gt;=DG$23,DB18&lt;&gt;"",CX18=""),AND(DE18&gt;=DG$23,DE18&lt;&gt;"",CX18=""),AND(EA18&gt;=EG$23,EA18&lt;&gt;""),AND(EE18&gt;=EG$23,EE18&lt;&gt;""),AND(EW18&gt;=FC$23,EW18&lt;&gt;""),AND(FA18&gt;=FC$23,FA18&lt;&gt;""),AND(FS18&gt;=FY$23,FS18&lt;&gt;""),AND(FW18&gt;=FY$23,FW18&lt;&gt;""),AND(GO18&gt;=GU$23,GO18&lt;&gt;""),AND(GS18&gt;=GU$23,GS18&lt;&gt;""),AND(HK18&gt;=HQ$23,HK18&lt;&gt;""),AND(HO18&gt;=HQ$23,HO18&lt;&gt;""),AND(IG18&gt;=IM$23,IG18&lt;&gt;""),AND(IK18&gt;=IM$23,IK18&lt;&gt;""),AND(JC18&gt;=JI$23,JC18&lt;&gt;""),AND(JG18&gt;=JI$23,JG18&lt;&gt;""),AND(JY18&gt;=KE$23,JY18&lt;&gt;""),AND(KC18&gt;=KE$23,KC18&lt;&gt;""),AND(KU18&gt;=LA$23,KU18&lt;&gt;""),AND(KY18&gt;=LA$23,KY18&lt;&gt;""),AND(LQ18&gt;=LW$23,LQ18&lt;&gt;""),AND(LU18&gt;=LW$23,LU18&lt;&gt;""),AND(MM18&gt;=MS$23,MM18&lt;&gt;""),AND(MQ18&gt;=MS$23,MQ18&lt;&gt;""),AND(NI18&gt;=NO$23,NI18&lt;&gt;""),AND(NM18&gt;=NO$23,NM18&lt;&gt;"")),"Worlds Team",IF(OR(AND(AR18&gt;=AY$22,AR18&lt;&gt;"",AP18=""),AND(AT18&gt;=AY$22,AT18&lt;&gt;"",AP18=""),AND(AW18&gt;=AY$22,AW18&lt;&gt;"",AP18=""),AND(BV18&gt;=CC$22,BV18&lt;&gt;"",BT18=""),AND(BX18&gt;=CC$22,BX18&lt;&gt;"",BT18=""),AND(CA18&gt;=CC$22,CA18&lt;&gt;"",BT18=""),AND(CZ18&gt;=DG$22,CZ18&lt;&gt;"",CX18=""),AND(DB18&gt;=DG$22,DB18&lt;&gt;"",CX18=""),AND(DE18&gt;=DG$22,DE18&lt;&gt;"",CX18=""),AND(EA18&gt;=EG$22,EA18&lt;&gt;""),AND(EE18&gt;=EG$22,EE18&lt;&gt;""),AND(EW18&gt;=FC$22,EW18&lt;&gt;""),AND(FA18&gt;=FC$22,FA18&lt;&gt;""),AND(FS18&gt;=FY$22,FS18&lt;&gt;""),AND(FW18&gt;=FY$22,FW18&lt;&gt;""),AND(GO18&gt;=GU$22,GO18&lt;&gt;""),AND(GS18&gt;=GU$22,GS18&lt;&gt;""),AND(HK18&gt;=HQ$22,HK18&lt;&gt;""),AND(HO18&gt;=HQ$22,HO18&lt;&gt;""),AND(IG18&gt;=IM$22,IG18&lt;&gt;""),AND(IK18&gt;=IM$22,IK18&lt;&gt;""),AND(JC18&gt;=JI$22,JC18&lt;&gt;""),AND(JG18&gt;=JI$22,JG18&lt;&gt;""),AND(JY18&gt;=KE$22,JY18&lt;&gt;""),AND(KC18&gt;=KE$22,KC18&lt;&gt;""),AND(KU18&gt;=LA$22,KU18&lt;&gt;""),AND(KY18&gt;=LA$22,KY18&lt;&gt;""),AND(LQ18&gt;=LW$22,LQ18&lt;&gt;""),AND(LU18&gt;=LW$22,LU18&lt;&gt;""),AND(MM18&gt;=MS$22,MM18&lt;&gt;""),AND(MQ18&gt;=MS$22,MQ18&lt;&gt;""),AND(NI18&gt;=NO$22,NI18&lt;&gt;""),AND(NM18&gt;=NO$22,NM18&lt;&gt;"")),"National Team",""))))</f>
        <v/>
      </c>
      <c r="H18" s="115" t="str">
        <f>IF(OR(AND(AS18&gt;=AY$26,AS18&lt;&gt;"",AP18=""),AND(AU18&gt;=AY$26,AU18&lt;&gt;"",AP18=""),AND(AX18&gt;=AY$26,AX18&lt;&gt;"",AP18=""),AND(BW18&gt;=CC$26,BW18&lt;&gt;"",BT18=""),AND(BY18&gt;=CC$26,BY18&lt;&gt;"",BT18=""),AND(CB18&gt;=CC$26,CB18&lt;&gt;"",BT18=""),AND(DA18&gt;=DG$26,DA18&lt;&gt;"",CX18=""),AND(DC18&gt;=DG$26,DC18&lt;&gt;"",CX18=""),AND(DF18&gt;=DG$26,DF18&lt;&gt;"",CX18=""),AND(EC18&gt;=EG$26,EC18&lt;&gt;""),AND(EF18&gt;=EG$26,EF18&lt;&gt;""),AND(EY18&gt;=FC$26,EY18&lt;&gt;""),AND(FB18&gt;=FC$26,FB18&lt;&gt;""),AND(FU18&gt;=FY$26,FU18&lt;&gt;""),AND(FX18&gt;=FY$26,FX18&lt;&gt;""),AND(GQ18&gt;=GU$26,GQ18&lt;&gt;""),AND(GT18&gt;=GU$26,GT18&lt;&gt;""),AND(HM18&gt;=HQ$26,HM18&lt;&gt;""),AND(HP18&gt;=HQ$26,HP18&lt;&gt;""),AND(II18&gt;=IM$26,II18&lt;&gt;""),AND(IL18&gt;=IM$26,IL18&lt;&gt;""),AND(JE18&gt;=JI$26,JE18&lt;&gt;""),AND(JH18&gt;=JI$26,JH18&lt;&gt;""),AND(KA18&gt;=KE$26,KA18&lt;&gt;""),AND(KD18&gt;=KE$26,KD18&lt;&gt;""),AND(KW18&gt;=LA$26,KW18&lt;&gt;""),AND(KZ18&gt;=LA$26,KZ18&lt;&gt;""),AND(LS18&gt;=LW$26,LS18&lt;&gt;""),AND(LV18&gt;=LW$26,LV18&lt;&gt;""),AND(MO18&gt;=MS$26,MO18&lt;&gt;""),AND(MR18&gt;=MS$26,MR18&lt;&gt;""),AND(NK18&gt;=NO$26,NK18&lt;&gt;""),AND(NN18&gt;=NO$26,NN18&lt;&gt;"")),"National Team","")</f>
        <v/>
      </c>
      <c r="I18" s="116" t="str">
        <f>IF(AND(G18="Merit",H18="Merit"),"Merit",IF(AND(OR(G18="Merit",G18="Excellence"),OR(H18="Merit",H18="Excellence")),"Excellence",IF(AND(OR(G18="Merit",G18="Excellence",G18="Worlds Team"),OR(H18="Merit",H18="Excellence",H18="Worlds Team")),"Worlds Team",IF(AND(OR(G18="Merit",G18="Excellence",G18="Worlds Team",G18="National Team"),OR(H18="Merit",H18="Excellence",H18="Worlds Team",H18="National Team")),"National Team",IF(OR(H18="Merit",H18="Excellence",H18="Worlds Team",H18="National Team"),"No DD","")))))</f>
        <v/>
      </c>
      <c r="J18" s="3" t="str">
        <f>IF(AND(OR(AND(AV18&gt;=AY$27,AV18&lt;&gt;"",AP18=""),AND(BZ18&gt;=CC$27,BZ18&lt;&gt;"",BT18=""),AND(DD18&gt;=DG$27,DD18&lt;&gt;"",CX18=""),AND(ED18&gt;=EG$27,ED18&lt;&gt;""),AND(EZ18&gt;=FC$27,EZ18&lt;&gt;""),AND(FV18&gt;=FY$27,FV18&lt;&gt;""),AND(GR18&gt;=GU$27,GR18&lt;&gt;""),AND(HN18&gt;=HQ$27,HN18&lt;&gt;""),AND(IJ18&gt;=IM$27,IJ18&lt;&gt;""),AND(JF18&gt;=JI$27,JF18&lt;&gt;""),AND(KB18&gt;=KE$27,KB18&lt;&gt;""),AND(KX18&gt;=LA$27,KX18&lt;&gt;""),AND(LT18&gt;=LW$27,LT18&lt;&gt;""),AND(MP18&gt;=MS$27,MP18&lt;&gt;""),AND(NL18&gt;=NO$27,NL18&lt;&gt;"")),OR(G18="Worlds Team",G18="Excellence",G18="Merit")),"P","")</f>
        <v/>
      </c>
      <c r="K18" s="14">
        <f>IF(MAX(AV18,BZ18,DD18)&gt;0,MAX(AV18,BZ18,DD18),0)</f>
        <v>67.995000000000005</v>
      </c>
      <c r="L18" s="14" t="str">
        <f>IF(K18=0,"",IF(K18=DD18,$CD$1,IF(K18=BZ18,$AZ$1,IF(K18=AV18,$V$1,""))))</f>
        <v>2019 Nationals</v>
      </c>
      <c r="M18" s="14">
        <f>IF($K18=$AV18,MAX(BU18,CY18),IF($K18=$BZ18,MAX(AQ18,CY18),IF($K18=$DD18,MAX(AQ18,BU18),MAX(AQ18,BU18,CY18))))</f>
        <v>40.105000000000004</v>
      </c>
      <c r="N18" s="14" t="str">
        <f>IF(M18=0,"",IF(AND(M18=CY18,$L18&lt;&gt;$CD$1),$CD$1,IF(AND(M18=BU18,$L18&lt;&gt;$AZ$1),$AZ$1,IF(AND(M18=AQ18,$L18&lt;&gt;$V$1),$V$1,""))))</f>
        <v>2019 Elite Canada</v>
      </c>
      <c r="O18" s="14">
        <f>MAX(AS18,AU18,AX18,BW18,BY18,CB18,DA18,DC18,DF18)</f>
        <v>47.294999999999995</v>
      </c>
      <c r="P18" s="14" t="str">
        <f>IF(O18=0,"",IF(OR(O18=DC18,O18=DA18,O18=DF18),$CD$1,IF(OR(O18=BY18,O18=BW18,O18=CB18),$AZ$1,IF(OR(O18=AU18,O18=AS18,O18=AX18),$V$1,""))))</f>
        <v>2021 1st Virtual Technical Trial</v>
      </c>
      <c r="Q18" s="14">
        <f>IF(COUNT(AS18,AU18,AX18,BW18,BY18,CB18,DA18,DC18,DF18)&gt;1,LARGE((AS18,AU18,AX18,BW18,BY18,CB18,DA18,DC18,DF18),2),0)</f>
        <v>32.119999999999997</v>
      </c>
      <c r="R18" s="14" t="str">
        <f>IF(Q18=0,"",IF(OR(Q18=DC18,Q18=DA18,Q18=DF18),$CD$1,IF(OR(Q18=BY18,Q18=BW18,Q18=CB18),$AZ$1,IF(OR(Q18=AU18,Q18=AS18,Q18=AX18),$V$1,""))))</f>
        <v>2019 Nationals</v>
      </c>
      <c r="S18" s="14" t="str">
        <f>IF(MAX(DI18,DK18)&gt;0,MAX(DI18,DK18),"")</f>
        <v/>
      </c>
      <c r="T18" s="24" t="str">
        <f>IF(S18="","",IF(S18=DH18,"(Vol 1)",IF(S18=DI18,"(Vol 2)",IF(S18=DJ18,"(Prelim)",IF(S18=DK18,"(Final)")))))</f>
        <v/>
      </c>
      <c r="U18" s="14" t="str">
        <f>IF(S18="","",IF(S18=DH18,IF(S18+IF(M18="",0,M18)=NJ18,$MT$1,IF(S18+IF(M18="",0,M18)=MN18,$LX$1,IF(S18+IF(M18="",0,M18)=LR18,$LB$1,IF(S18+IF(M18="",0,M18)=KV18,$KF$1,IF(S18+IF(M18="",0,M18)=JZ18,$JJ$1,IF(S18+IF(M18="",0,M18)=JD18,$IN$1,IF(S18+IF(M18="",0,M18)=IH18,$HR$1,IF(S18+IF(M18="",0,M18)=HL18,$GV$1,IF(S18+IF(M18="",0,M18)=GP18,$FZ$1,IF(S18+IF(M18="",0,M18)=FT18,$FD$1,IF(S18+IF(M18="",0,M18)=EX18,$EH$1,IF(S18+IF(M18="",0,M18)=EB18,$DL$1)))))))))))),IF(S18=DI18,IF(S18+IF(O18="",0,O18)=NK18,$MT$1,IF(S18+IF(O18="",0,O18)=MO18,$LX$1,IF(S18+IF(O18="",0,O18)=LS18,$LB$1,IF(S18+IF(O18="",0,O18)=KW18,$KF$1,IF(S18+IF(O18="",0,O18)=KA18,$JJ$1,IF(S18+IF(O18="",0,O18)=JE18,$IN$1,IF(S18+IF(O18="",0,O18)=II18,$HR$1,IF(S18+IF(O18="",0,O18)=HM18,$GV$1,IF(S18+IF(O18="",0,O18)=GQ18,$FZ$1,IF(S18+IF(O18="",0,O18)=FU18,$FD$1,IF(S18+IF(O18="",0,O18)=EY18,$EH$1,IF(S18+IF(O18="",0,O18)=EC18,$DL$1)))))))))))),IF(S18=DJ18,IF(S18+IF(K18="",0,K18)=NL18,$MT$1,IF(S18+IF(K18="",0,K18)=MP18,$LX$1,IF(S18+IF(K18="",0,K18)=LT18,$LB$1,IF(S18+IF(K18="",0,K18)=KX18,$KF$1,IF(S18+IF(K18="",0,K18)=KB18,$JJ$1,IF(S18+IF(K18="",0,K18)=JF18,$IN$1,IF(S18+IF(K18="",0,K18)=IJ18,$HR$1,IF(S18+IF(K18="",0,K18)=HN18,$GV$1,IF(S18+IF(K18="",0,K18)=GR18,$FZ$1,IF(S18+IF(K18="",0,K18)=FV18,$FD$1,IF(S18+IF(K18="",0,K18)=EZ18,$EH$1,IF(S18+IF(K18="",0,K18)=ED18,$DL$1)))))))))))),IF(S18=DK18,IF(S18+IF(Q18="",0,Q18)=NN18,$MT$1,IF(S18+IF(Q18="",0,Q18)=MR18,$LX$1,IF(S18+IF(Q18="",0,Q18)=LV18,$LB$1,IF(S18+IF(Q18="",0,Q18)=KZ18,$KF$1,IF(S18+IF(Q18="",0,Q18)=KD18,$JJ$1,IF(S18+IF(Q18="",0,Q18)=JH18,$IN$1,IF(S18+IF(Q18="",0,Q18)=IL18,$HR$1,IF(S18+IF(Q18="",0,Q18)=HP18,$GV$1,IF(S18+IF(Q18="",0,Q18)=GT18,$FZ$1,IF(S18+IF(Q18="",0,Q18)=FX18,$FD$1,IF(S18+IF(Q18="",0,Q18)=FB18,$EH$1,IF(S18+IF(Q18="",0,Q18)=EF18,$DL$1)))))))))))))))))</f>
        <v/>
      </c>
      <c r="V18" s="61">
        <v>15.1</v>
      </c>
      <c r="W18" s="61">
        <v>9.35</v>
      </c>
      <c r="X18" s="61">
        <v>1.8</v>
      </c>
      <c r="Y18" s="61">
        <v>13.855</v>
      </c>
      <c r="Z18" s="61">
        <v>0</v>
      </c>
      <c r="AA18" s="61">
        <v>2.4</v>
      </c>
      <c r="AB18" s="61">
        <v>1.7</v>
      </c>
      <c r="AC18" s="61">
        <v>2</v>
      </c>
      <c r="AD18" s="61">
        <v>2.74</v>
      </c>
      <c r="AE18" s="61">
        <v>0.2</v>
      </c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72"/>
      <c r="AQ18" s="11">
        <f>IF(SUM(V18:Y18)-Z18&gt;0,SUM(V18:Y18)-Z18,"")</f>
        <v>40.105000000000004</v>
      </c>
      <c r="AR18" s="11">
        <f>IF(AC18&gt;0,AC18,"")</f>
        <v>2</v>
      </c>
      <c r="AS18" s="11">
        <f>IF(SUM(AA18:AD18)-AE18&gt;0,SUM(AA18:AD18)-AE18,"")</f>
        <v>8.64</v>
      </c>
      <c r="AT18" s="11" t="str">
        <f>IF(AH18&gt;0,AH18,"")</f>
        <v/>
      </c>
      <c r="AU18" s="11" t="str">
        <f>IF(SUM(AF18:AI18)-AJ18&gt;0,SUM(AF18:AI18)-AJ18,"")</f>
        <v/>
      </c>
      <c r="AV18" s="11">
        <f>IF(OR(AQ18&lt;&gt;"",AS18&lt;&gt;"",AU18&lt;&gt;""),AQ18+MAX(AS18,AU18),"")</f>
        <v>48.745000000000005</v>
      </c>
      <c r="AW18" s="11" t="str">
        <f>IF(AM18&gt;0,AM18,"")</f>
        <v/>
      </c>
      <c r="AX18" s="11" t="str">
        <f>IF(SUM(AK18:AN18)-AO18&gt;0,SUM(AK18:AN18)-AO18,"")</f>
        <v/>
      </c>
      <c r="AY18" s="11">
        <f>IF(SUM(AV18,AX18)&gt;0,SUM(AV18,AX18),"")</f>
        <v>48.745000000000005</v>
      </c>
      <c r="AZ18" s="67">
        <v>14.3</v>
      </c>
      <c r="BA18" s="67">
        <v>8.4</v>
      </c>
      <c r="BB18" s="67">
        <v>0.8</v>
      </c>
      <c r="BC18" s="67">
        <v>12.375</v>
      </c>
      <c r="BD18" s="67">
        <v>0</v>
      </c>
      <c r="BE18" s="67">
        <v>10.1</v>
      </c>
      <c r="BF18" s="67">
        <v>6.1</v>
      </c>
      <c r="BG18" s="67">
        <v>6.8</v>
      </c>
      <c r="BH18" s="67">
        <v>9.1199999999999992</v>
      </c>
      <c r="BI18" s="67">
        <v>0</v>
      </c>
      <c r="BJ18" s="67"/>
      <c r="BK18" s="67"/>
      <c r="BL18" s="67"/>
      <c r="BM18" s="67"/>
      <c r="BN18" s="67"/>
      <c r="BO18" s="67"/>
      <c r="BP18" s="67"/>
      <c r="BQ18" s="67"/>
      <c r="BR18" s="67"/>
      <c r="BS18" s="67"/>
      <c r="BT18" s="73"/>
      <c r="BU18" s="14">
        <f>IF(SUM(AZ18:BC18)-BD18&gt;0,SUM(AZ18:BC18)-BD18,"")</f>
        <v>35.875</v>
      </c>
      <c r="BV18" s="14">
        <f>IF(BG18&gt;0,BG18,"")</f>
        <v>6.8</v>
      </c>
      <c r="BW18" s="14">
        <f>IF(SUM(BE18:BH18)-BI18&gt;0,SUM(BE18:BH18)-BI18,"")</f>
        <v>32.119999999999997</v>
      </c>
      <c r="BX18" s="14" t="str">
        <f>IF(BL18&gt;0,BL18,"")</f>
        <v/>
      </c>
      <c r="BY18" s="14" t="str">
        <f>IF(SUM(BJ18:BM18)-BN18&gt;0,SUM(BJ18:BM18)-BN18,"")</f>
        <v/>
      </c>
      <c r="BZ18" s="14">
        <f>IF(BU18="",IF(MAX(BW18,BY18)&gt;0,MAX(BW18,BY18),""),MAX(BW18,BY18)+BU18)</f>
        <v>67.995000000000005</v>
      </c>
      <c r="CA18" s="14" t="str">
        <f>IF(BQ18&gt;0,BQ18,"")</f>
        <v/>
      </c>
      <c r="CB18" s="14" t="str">
        <f>IF(SUM(BO18:BR18)-BS18&gt;0,SUM(BO18:BR18)-BS18,"")</f>
        <v/>
      </c>
      <c r="CC18" s="14">
        <f>IF(SUM(BZ18,CB18)&gt;0,SUM(BZ18,CB18),"")</f>
        <v>67.995000000000005</v>
      </c>
      <c r="CD18" s="61">
        <v>15.3</v>
      </c>
      <c r="CE18" s="61">
        <v>9.5</v>
      </c>
      <c r="CF18" s="61">
        <v>1.5</v>
      </c>
      <c r="CG18" s="61">
        <v>13.76</v>
      </c>
      <c r="CH18" s="61">
        <v>0</v>
      </c>
      <c r="CI18" s="61">
        <v>4.8</v>
      </c>
      <c r="CJ18" s="61">
        <v>2.95</v>
      </c>
      <c r="CK18" s="61">
        <v>2.5</v>
      </c>
      <c r="CL18" s="61">
        <v>4.3600000000000003</v>
      </c>
      <c r="CM18" s="61">
        <v>0</v>
      </c>
      <c r="CN18" s="61"/>
      <c r="CO18" s="61"/>
      <c r="CP18" s="61"/>
      <c r="CQ18" s="61"/>
      <c r="CR18" s="61"/>
      <c r="CS18" s="61">
        <v>14.5</v>
      </c>
      <c r="CT18" s="61">
        <v>9.4</v>
      </c>
      <c r="CU18" s="61">
        <v>9.4</v>
      </c>
      <c r="CV18" s="61">
        <v>13.994999999999999</v>
      </c>
      <c r="CW18" s="61">
        <v>0</v>
      </c>
      <c r="CX18" s="72"/>
      <c r="CY18" s="11">
        <f>IF(SUM(CD18:CG18)-CH18&gt;0,SUM(CD18:CG18)-CH18,"")</f>
        <v>40.06</v>
      </c>
      <c r="CZ18" s="11">
        <f>IF(CK18&gt;0,CK18,"")</f>
        <v>2.5</v>
      </c>
      <c r="DA18" s="11">
        <f>IF(SUM(CI18:CL18)-CM18&gt;0,SUM(CI18:CL18)-CM18,"")</f>
        <v>14.61</v>
      </c>
      <c r="DB18" s="11" t="str">
        <f>IF(CP18&gt;0,CP18,"")</f>
        <v/>
      </c>
      <c r="DC18" s="11" t="str">
        <f>IF(SUM(CN18:CQ18)-CR18&gt;0,SUM(CN18:CQ18)-CR18,"")</f>
        <v/>
      </c>
      <c r="DD18" s="11">
        <f>IF(CY18="",IF(MAX(DA18,DC18)&gt;0,MAX(DA18,DC18),""),MAX(DA18,DC18)+CY18)</f>
        <v>54.67</v>
      </c>
      <c r="DE18" s="11">
        <f>IF(CU18&gt;0,CU18,"")</f>
        <v>9.4</v>
      </c>
      <c r="DF18" s="11">
        <f>IF(SUM(CS18:CV18)-CW18&gt;0,SUM(CS18:CV18)-CW18,"")</f>
        <v>47.294999999999995</v>
      </c>
      <c r="DG18" s="11">
        <f>IF(SUM(DD18,DF18)&gt;0,SUM(DD18,DF18),"")</f>
        <v>101.965</v>
      </c>
      <c r="DH18" s="23" t="str">
        <f>IF(MAX(EB18,EX18,FT18,GP18,HL18,IH18,JD18,JZ18,KV18,LR18,MN18,NJ18)-IF(M18="",0,M18)&gt;0.001,MAX(EB18,EX18,FT18,GP18,HL18,IH18,JD18,JZ18,KV18,LR18,MN18,NJ18)-IF(M18="",0,M18),"")</f>
        <v/>
      </c>
      <c r="DI18" s="23" t="str">
        <f>IF(MAX(EC18,EY18,FU18,GQ18,HM18,II18,JE18,KA18,KW18,LS18,MO18,NK18)-IF(O18="",0,O18)&gt;0.001,MAX(EC18,EY18,FU18,GQ18,HM18,II18,JE18,KA18,KW18,LS18,MO18,NK18)-IF(O18="",0,O18),"")</f>
        <v/>
      </c>
      <c r="DJ18" s="23" t="str">
        <f>IF(MAX(ED18,EZ18,FV18,GR18,HN18,IJ18,JF18,KB18,KX18,LT18,MP18,NL18)-IF(K18="",0,K18)&gt;0.001,MAX(ED18,EZ18,FV18,GR18,HN18,IJ18,JF18,KB18,KX18,LT18,MP18,NL18)-IF(K18="",0,K18),"")</f>
        <v/>
      </c>
      <c r="DK18" s="23" t="str">
        <f>IF(MAX(EF18,FB18,FX18,GT18,HP18,IL18,JH18,KD18,KZ18,LV18,MR18,NN18)-IF(Q18="",0,Q18)&gt;0.001,MAX(EF18,FB18,FX18,GT18,HP18,IL18,JH18,KD18,KZ18,LV18,MR18,NN18)-IF(Q18="",0,Q18),"")</f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>IF(DS18&gt;0,DS18,"")</f>
        <v/>
      </c>
      <c r="EB18" s="11" t="str">
        <f>IF(SUM(DL18:DO18)-DP18&gt;0,SUM(DL18:DO18)-DP18,"")</f>
        <v/>
      </c>
      <c r="EC18" s="11" t="str">
        <f>IF(SUM(DQ18:DT18)-DU18&gt;0,SUM(DQ18:DT18)-DU18,"")</f>
        <v/>
      </c>
      <c r="ED18" s="11" t="str">
        <f>IF(SUM(EB18:EC18)&gt;0,SUM(EB18:EC18),"")</f>
        <v/>
      </c>
      <c r="EE18" s="11" t="str">
        <f>IF(DX18&gt;0,DX18,"")</f>
        <v/>
      </c>
      <c r="EF18" s="11" t="str">
        <f>IF(SUM(DV18:DY18)-DZ18&gt;0,SUM(DV18:DY18)-DZ18,"")</f>
        <v/>
      </c>
      <c r="EG18" s="11" t="str">
        <f>IF(SUM(ED18,EF18)&gt;0,SUM(ED18,EF18),"")</f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>IF(EO18&gt;0,EO18,"")</f>
        <v/>
      </c>
      <c r="EX18" s="14" t="str">
        <f>IF(SUM(EH18:EK18)-EL18&gt;0,SUM(EH18:EK18)-EL18,"")</f>
        <v/>
      </c>
      <c r="EY18" s="14" t="str">
        <f>IF(SUM(EM18:EP18)-EQ18&gt;0,SUM(EM18:EP18)-EQ18,"")</f>
        <v/>
      </c>
      <c r="EZ18" s="14" t="str">
        <f>IF(SUM(EX18:EY18)&gt;0,SUM(EX18:EY18),"")</f>
        <v/>
      </c>
      <c r="FA18" s="14" t="str">
        <f>IF(ET18&gt;0,ET18,"")</f>
        <v/>
      </c>
      <c r="FB18" s="14" t="str">
        <f>IF(SUM(ER18:EU18)-EV18&gt;0,SUM(ER18:EU18)-EV18,"")</f>
        <v/>
      </c>
      <c r="FC18" s="14" t="str">
        <f>IF(SUM(EZ18,FB18)&gt;0,SUM(EZ18,FB18),"")</f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>IF(FK18&gt;0,FK18,"")</f>
        <v/>
      </c>
      <c r="FT18" s="11" t="str">
        <f>IF(SUM(FD18:FG18)-FH18&gt;0,SUM(FD18:FG18)-FH18,"")</f>
        <v/>
      </c>
      <c r="FU18" s="11" t="str">
        <f>IF(SUM(FI18:FL18)-FM18&gt;0,SUM(FI18:FL18)-FM18,"")</f>
        <v/>
      </c>
      <c r="FV18" s="11" t="str">
        <f>IF(SUM(FT18:FU18)&gt;0,SUM(FT18:FU18),"")</f>
        <v/>
      </c>
      <c r="FW18" s="11" t="str">
        <f>IF(FP18&gt;0,FP18,"")</f>
        <v/>
      </c>
      <c r="FX18" s="11" t="str">
        <f>IF(SUM(FN18:FQ18)-FR18&gt;0,SUM(FN18:FQ18)-FR18,"")</f>
        <v/>
      </c>
      <c r="FY18" s="11" t="str">
        <f>IF(SUM(FV18,FX18)&gt;0,SUM(FV18,FX18),"")</f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>IF(GG18&gt;0,GG18,"")</f>
        <v/>
      </c>
      <c r="GP18" s="14" t="str">
        <f>IF(SUM(FZ18:GC18)-GD18&gt;0,SUM(FZ18:GC18)-GD18,"")</f>
        <v/>
      </c>
      <c r="GQ18" s="14" t="str">
        <f>IF(SUM(GE18:GH18)-GI18&gt;0,SUM(GE18:GH18)-GI18,"")</f>
        <v/>
      </c>
      <c r="GR18" s="14" t="str">
        <f>IF(SUM(GP18:GQ18)&gt;0,SUM(GP18:GQ18),"")</f>
        <v/>
      </c>
      <c r="GS18" s="14" t="str">
        <f>IF(GL18&gt;0,GL18,"")</f>
        <v/>
      </c>
      <c r="GT18" s="14" t="str">
        <f>IF(SUM(GJ18:GM18)-GN18&gt;0,SUM(GJ18:GM18)-GN18,"")</f>
        <v/>
      </c>
      <c r="GU18" s="14" t="str">
        <f>IF(SUM(GR18,GT18)&gt;0,SUM(GR18,GT18),"")</f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>IF(HC18&gt;0,HC18,"")</f>
        <v/>
      </c>
      <c r="HL18" s="11" t="str">
        <f>IF(SUM(GV18:GY18)-GZ18&gt;0,SUM(GV18:GY18)-GZ18,"")</f>
        <v/>
      </c>
      <c r="HM18" s="11" t="str">
        <f>IF(SUM(HA18:HD18)-HE18&gt;0,SUM(HA18:HD18)-HE18,"")</f>
        <v/>
      </c>
      <c r="HN18" s="11" t="str">
        <f>IF(SUM(HL18:HM18)&gt;0,SUM(HL18:HM18),"")</f>
        <v/>
      </c>
      <c r="HO18" s="11" t="str">
        <f>IF(HH18&gt;0,HH18,"")</f>
        <v/>
      </c>
      <c r="HP18" s="11" t="str">
        <f>IF(SUM(HF18:HI18)-HJ18&gt;0,SUM(HF18:HI18)-HJ18,"")</f>
        <v/>
      </c>
      <c r="HQ18" s="11" t="str">
        <f>IF(SUM(HN18,HP18)&gt;0,SUM(HN18,HP18),"")</f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>IF(HY18&gt;0,HY18,"")</f>
        <v/>
      </c>
      <c r="IH18" s="14" t="str">
        <f>IF(SUM(HR18:HU18)-HV18&gt;0,SUM(HR18:HU18)-HV18,"")</f>
        <v/>
      </c>
      <c r="II18" s="14" t="str">
        <f>IF(SUM(HW18:HZ18)-IA18&gt;0,SUM(HW18:HZ18)-IA18,"")</f>
        <v/>
      </c>
      <c r="IJ18" s="14" t="str">
        <f>IF(SUM(IH18:II18)&gt;0,SUM(IH18:II18),"")</f>
        <v/>
      </c>
      <c r="IK18" s="14" t="str">
        <f>IF(ID18&gt;0,ID18,"")</f>
        <v/>
      </c>
      <c r="IL18" s="14" t="str">
        <f>IF(SUM(IB18:IE18)-IF18&gt;0,SUM(IB18:IE18)-IF18,"")</f>
        <v/>
      </c>
      <c r="IM18" s="14" t="str">
        <f>IF(SUM(IJ18,IL18)&gt;0,SUM(IJ18,IL18),"")</f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>IF(IU18&gt;0,IU18,"")</f>
        <v/>
      </c>
      <c r="JD18" s="11" t="str">
        <f>IF(SUM(IN18:IQ18)-IR18&gt;0,SUM(IN18:IQ18)-IR18,"")</f>
        <v/>
      </c>
      <c r="JE18" s="11" t="str">
        <f>IF(SUM(IS18:IV18)-IW18&gt;0,SUM(IS18:IV18)-IW18,"")</f>
        <v/>
      </c>
      <c r="JF18" s="11" t="str">
        <f>IF(SUM(JD18:JE18)&gt;0,SUM(JD18:JE18),"")</f>
        <v/>
      </c>
      <c r="JG18" s="11" t="str">
        <f>IF(IZ18&gt;0,IZ18,"")</f>
        <v/>
      </c>
      <c r="JH18" s="11" t="str">
        <f>IF(SUM(IX18:JA18)-JB18&gt;0,SUM(IX18:JA18)-JB18,"")</f>
        <v/>
      </c>
      <c r="JI18" s="11" t="str">
        <f>IF(SUM(JF18,JH18)&gt;0,SUM(JF18,JH18),"")</f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>IF(JQ18&gt;0,JQ18,"")</f>
        <v/>
      </c>
      <c r="JZ18" s="14" t="str">
        <f>IF(SUM(JJ18:JM18)-JN18&gt;0,SUM(JJ18:JM18)-JN18,"")</f>
        <v/>
      </c>
      <c r="KA18" s="14" t="str">
        <f>IF(SUM(JO18:JR18)-JS18&gt;0,SUM(JO18:JR18)-JS18,"")</f>
        <v/>
      </c>
      <c r="KB18" s="14" t="str">
        <f>IF(SUM(JZ18:KA18)&gt;0,SUM(JZ18:KA18),"")</f>
        <v/>
      </c>
      <c r="KC18" s="14" t="str">
        <f>IF(JV18&gt;0,JV18,"")</f>
        <v/>
      </c>
      <c r="KD18" s="14" t="str">
        <f>IF(SUM(JT18:JW18)-JX18&gt;0,SUM(JT18:JW18)-JX18,"")</f>
        <v/>
      </c>
      <c r="KE18" s="14" t="str">
        <f>IF(SUM(KB18,KD18)&gt;0,SUM(KB18,KD18),"")</f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>IF(KM18&gt;0,KM18,"")</f>
        <v/>
      </c>
      <c r="KV18" s="11" t="str">
        <f>IF(SUM(KF18:KI18)-KJ18&gt;0,SUM(KF18:KI18)-KJ18,"")</f>
        <v/>
      </c>
      <c r="KW18" s="11" t="str">
        <f>IF(SUM(KK18:KN18)-KO18&gt;0,SUM(KK18:KN18)-KO18,"")</f>
        <v/>
      </c>
      <c r="KX18" s="11" t="str">
        <f>IF(SUM(KV18:KW18)&gt;0,SUM(KV18:KW18),"")</f>
        <v/>
      </c>
      <c r="KY18" s="11" t="str">
        <f>IF(KR18&gt;0,KR18,"")</f>
        <v/>
      </c>
      <c r="KZ18" s="11" t="str">
        <f>IF(SUM(KP18:KS18)-KT18&gt;0,SUM(KP18:KS18)-KT18,"")</f>
        <v/>
      </c>
      <c r="LA18" s="11" t="str">
        <f>IF(SUM(KX18,KZ18)&gt;0,SUM(KX18,KZ18),"")</f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>IF(LI18&gt;0,LI18,"")</f>
        <v/>
      </c>
      <c r="LR18" s="14" t="str">
        <f>IF(SUM(LB18:LE18)-LF18&gt;0,SUM(LB18:LE18)-LF18,"")</f>
        <v/>
      </c>
      <c r="LS18" s="14" t="str">
        <f>IF(SUM(LG18:LJ18)-LK18&gt;0,SUM(LG18:LJ18)-LK18,"")</f>
        <v/>
      </c>
      <c r="LT18" s="14" t="str">
        <f>IF(SUM(LR18:LS18)&gt;0,SUM(LR18:LS18),"")</f>
        <v/>
      </c>
      <c r="LU18" s="14" t="str">
        <f>IF(LN18&gt;0,LN18,"")</f>
        <v/>
      </c>
      <c r="LV18" s="14" t="str">
        <f>IF(SUM(LL18:LO18)-LP18&gt;0,SUM(LL18:LO18)-LP18,"")</f>
        <v/>
      </c>
      <c r="LW18" s="14" t="str">
        <f>IF(SUM(LT18,LV18)&gt;0,SUM(LT18,LV18),"")</f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>IF(ME18&gt;0,ME18,"")</f>
        <v/>
      </c>
      <c r="MN18" s="11" t="str">
        <f>IF(SUM(LX18:MA18)-MB18&gt;0,SUM(LX18:MA18)-MB18,"")</f>
        <v/>
      </c>
      <c r="MO18" s="11" t="str">
        <f>IF(SUM(MC18:MF18)-MG18&gt;0,SUM(MC18:MF18)-MG18,"")</f>
        <v/>
      </c>
      <c r="MP18" s="11" t="str">
        <f>IF(SUM(MN18:MO18)&gt;0,SUM(MN18:MO18),"")</f>
        <v/>
      </c>
      <c r="MQ18" s="11" t="str">
        <f>IF(MJ18&gt;0,MJ18,"")</f>
        <v/>
      </c>
      <c r="MR18" s="11" t="str">
        <f>IF(SUM(MH18:MK18)-ML18&gt;0,SUM(MH18:MK18)-ML18,"")</f>
        <v/>
      </c>
      <c r="MS18" s="11" t="str">
        <f>IF(SUM(MP18,MR18)&gt;0,SUM(MP18,MR18),"")</f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>IF(NA18&gt;0,NA18,"")</f>
        <v/>
      </c>
      <c r="NJ18" s="14" t="str">
        <f>IF(SUM(MT18:MW18)-MX18&gt;0,SUM(MT18:MW18)-MX18,"")</f>
        <v/>
      </c>
      <c r="NK18" s="14" t="str">
        <f>IF(SUM(MY18:NB18)-NC18&gt;0,SUM(MY18:NB18)-NC18,"")</f>
        <v/>
      </c>
      <c r="NL18" s="14" t="str">
        <f>IF(SUM(NJ18:NK18)&gt;0,SUM(NJ18:NK18),"")</f>
        <v/>
      </c>
      <c r="NM18" s="14" t="str">
        <f>IF(NF18&gt;0,NF18,"")</f>
        <v/>
      </c>
      <c r="NN18" s="14" t="str">
        <f>IF(SUM(ND18:NG18)-NH18&gt;0,SUM(ND18:NG18)-NH18,"")</f>
        <v/>
      </c>
      <c r="NO18" s="14" t="str">
        <f>IF(SUM(NL18,NN18)&gt;0,SUM(NL18,NN18),"")</f>
        <v/>
      </c>
      <c r="NP18" s="61">
        <f>IF($CX18="P",CD18,(CD18+AZ18)/2)</f>
        <v>14.8</v>
      </c>
      <c r="NQ18" s="61">
        <f>IF($CX18="P",CE18,(CE18+BA18)/2)</f>
        <v>8.9499999999999993</v>
      </c>
      <c r="NR18" s="61">
        <f>IF($CX18="P",CF18,(CF18+BB18)/2)</f>
        <v>1.1499999999999999</v>
      </c>
      <c r="NS18" s="61">
        <f>IF($CX18="P",CG18,(CG18+BC18)/2)</f>
        <v>13.067499999999999</v>
      </c>
      <c r="NT18" s="61">
        <f>IF($CX18="P",CH18,(CH18+BD18)/2)</f>
        <v>0</v>
      </c>
      <c r="NU18" s="61">
        <f>IF($CX18="P",CI18,(CI18+BE18)/2)</f>
        <v>7.4499999999999993</v>
      </c>
      <c r="NV18" s="61">
        <f>IF($CX18="P",CJ18,(CJ18+BF18)/2)</f>
        <v>4.5250000000000004</v>
      </c>
      <c r="NW18" s="61">
        <f>IF($CX18="P",CK18,(CK18+BG18)/2)</f>
        <v>4.6500000000000004</v>
      </c>
      <c r="NX18" s="61">
        <f>IF($CX18="P",CL18,(CL18+BH18)/2)</f>
        <v>6.74</v>
      </c>
      <c r="NY18" s="61">
        <f>IF($CX18="P",CM18,(CM18+BI18)/2)</f>
        <v>0</v>
      </c>
      <c r="NZ18" s="61">
        <f>IF($CX18="P",CN18,(CN18+BJ18)/2)</f>
        <v>0</v>
      </c>
      <c r="OA18" s="61">
        <f>IF($CX18="P",CO18,(CO18+BK18)/2)</f>
        <v>0</v>
      </c>
      <c r="OB18" s="61">
        <f>IF($CX18="P",CP18,(CP18+BL18)/2)</f>
        <v>0</v>
      </c>
      <c r="OC18" s="61">
        <f>IF($CX18="P",CQ18,(CQ18+BM18)/2)</f>
        <v>0</v>
      </c>
      <c r="OD18" s="61">
        <f>IF($CX18="P",CR18,(CR18+BN18)/2)</f>
        <v>0</v>
      </c>
      <c r="OE18" s="61">
        <f>IF($CX18="P",CS18,(CS18+BO18)/2)</f>
        <v>7.25</v>
      </c>
      <c r="OF18" s="61">
        <f>IF($CX18="P",CT18,(CT18+BP18)/2)</f>
        <v>4.7</v>
      </c>
      <c r="OG18" s="61">
        <f>IF($CX18="P",CU18,(CU18+BQ18)/2)</f>
        <v>4.7</v>
      </c>
      <c r="OH18" s="61">
        <f>IF($CX18="P",CV18,(CV18+BR18)/2)</f>
        <v>6.9974999999999996</v>
      </c>
      <c r="OI18" s="61">
        <f>IF($CX18="P",CW18,(CW18+BS18)/2)</f>
        <v>0</v>
      </c>
      <c r="OJ18" s="72" t="s">
        <v>52</v>
      </c>
      <c r="OK18" s="11">
        <f>IF(SUM(NP18:NS18)-NT18&gt;0,SUM(NP18:NS18)-NT18,"")</f>
        <v>37.967500000000001</v>
      </c>
      <c r="OL18" s="11">
        <f>IF(NW18&gt;0,NW18,"")</f>
        <v>4.6500000000000004</v>
      </c>
      <c r="OM18" s="11">
        <f>IF(SUM(NU18:NX18)-NY18&gt;0,SUM(NU18:NX18)-NY18,"")</f>
        <v>23.365000000000002</v>
      </c>
      <c r="ON18" s="11" t="str">
        <f>IF(OB18&gt;0,OB18,"")</f>
        <v/>
      </c>
      <c r="OO18" s="11" t="str">
        <f>IF(SUM(NZ18:OC18)-OD18&gt;0,SUM(NZ18:OC18)-OD18,"")</f>
        <v/>
      </c>
      <c r="OP18" s="11">
        <f>IF(OR(OK18&lt;&gt;"",OM18&lt;&gt;"",OO18&lt;&gt;""),OK18+MAX(OM18,OO18),"")</f>
        <v>61.332500000000003</v>
      </c>
      <c r="OQ18" s="11">
        <f>IF(OG18&gt;0,OG18,"")</f>
        <v>4.7</v>
      </c>
      <c r="OR18" s="11">
        <f t="shared" ref="OR18" si="18">IF(SUM(OE18:OH18)-OI18&gt;0,SUM(OE18:OH18)-OI18,"")</f>
        <v>23.647499999999997</v>
      </c>
      <c r="OS18" s="11">
        <f t="shared" ref="OS18" si="19">IF(SUM(OP18,OR18)&gt;0,SUM(OP18,OR18),"")</f>
        <v>84.98</v>
      </c>
    </row>
    <row r="19" spans="1:409" x14ac:dyDescent="0.2">
      <c r="A19" s="5" t="str" cm="1">
        <f t="array" ref="A19">IF(AND(G19&lt;&gt;"",H19&lt;&gt;""),SUMPRODUCT((G$4:G$20&lt;&gt;"")*(H$4:H$20&lt;&gt;"")*(E$4:E$20&gt;E19))+1,IF(H19&lt;&gt;"",SUMPRODUCT((I$4:I$20="No DD")*(E$4:E$20&gt;E19))+1+SUMPRODUCT((G$4:G$20&lt;&gt;"")*(H$4:H$20&lt;&gt;"")),""))</f>
        <v/>
      </c>
      <c r="B19" s="8" t="s">
        <v>114</v>
      </c>
      <c r="C19" s="4" t="s">
        <v>4</v>
      </c>
      <c r="D19" s="26">
        <v>2004</v>
      </c>
      <c r="E19" s="15">
        <f>SUM(O19:S19)</f>
        <v>60.54</v>
      </c>
      <c r="F19" s="3" t="str">
        <f>IF(G19&lt;&gt;"","P","")</f>
        <v/>
      </c>
      <c r="G19" s="115" t="str">
        <f>IF(OR(AND(AR19&gt;=AY$25,AR19&lt;&gt;"",AP19=""),AND(AT19&gt;=AY$25,AT19&lt;&gt;"",AP19=""),AND(AW19&gt;=AY$25,AW19&lt;&gt;"",AP19=""),AND(BV19&gt;=CC$25,BV19&lt;&gt;"",BT19=""),AND(BX19&gt;=CC$25,BX19&lt;&gt;"",BT19=""),AND(CA19&gt;=CC$25,CA19&lt;&gt;"",BT19=""),AND(CZ19&gt;=DG$25,CZ19&lt;&gt;"",CX19=""),AND(DB19&gt;=DG$25,DB19&lt;&gt;"",CX19=""),AND(DE19&gt;=DG$25,DE19&lt;&gt;"",CX19=""),AND(EA19&gt;=EG$25,EA19&lt;&gt;""),AND(EE19&gt;=EG$25,EE19&lt;&gt;""),AND(EW19&gt;=FC$25,EW19&lt;&gt;""),AND(FA19&gt;=FC$25,FA19&lt;&gt;""),AND(FS19&gt;=FY$25,FS19&lt;&gt;""),AND(FW19&gt;=FY$25,FW19&lt;&gt;""),AND(GO19&gt;=GU$25,GO19&lt;&gt;""),AND(GS19&gt;=GU$25,GS19&lt;&gt;""),AND(HK19&gt;=HQ$25,HK19&lt;&gt;""),AND(HO19&gt;=HQ$25,HO19&lt;&gt;""),AND(IG19&gt;=IM$25,IG19&lt;&gt;""),AND(IK19&gt;=IM$25,IK19&lt;&gt;""),AND(JC19&gt;=JI$25,JC19&lt;&gt;""),AND(JG19&gt;=JI$25,JG19&lt;&gt;""),AND(JY19&gt;=KE$25,JY19&lt;&gt;""),AND(KC19&gt;=KE$25,KC19&lt;&gt;""),AND(KU19&gt;=LA$25,KU19&lt;&gt;""),AND(KY19&gt;=LA$25,KY19&lt;&gt;""),AND(LQ19&gt;=LW$25,LQ19&lt;&gt;""),AND(LU19&gt;=LW$25,LU19&lt;&gt;""),AND(MM19&gt;=MS$25,MM19&lt;&gt;""),AND(MQ19&gt;=MS$25,MQ19&lt;&gt;""),AND(NI19&gt;=NO$25,NI19&lt;&gt;""),AND(NM19&gt;=NO$25,NM19&lt;&gt;"")),"Merit",IF(OR(AND(AR19&gt;=AY$24,AR19&lt;&gt;"",AP19=""),AND(AT19&gt;=AY$24,AT19&lt;&gt;"",AP19=""),AND(AW19&gt;=AY$24,AW19&lt;&gt;"",AP19=""),AND(BV19&gt;=CC$24,BV19&lt;&gt;"",BT19=""),AND(BX19&gt;=CC$24,BX19&lt;&gt;"",BT19=""),AND(CA19&gt;=CC$24,CA19&lt;&gt;"",BT19=""),AND(CZ19&gt;=DG$24,CZ19&lt;&gt;"",CX19=""),AND(DB19&gt;=DG$24,DB19&lt;&gt;"",CX19=""),AND(DE19&gt;=DG$24,DE19&lt;&gt;"",CX19=""),AND(EA19&gt;=EG$24,EA19&lt;&gt;""),AND(EE19&gt;=EG$24,EE19&lt;&gt;""),AND(EW19&gt;=FC$24,EW19&lt;&gt;""),AND(FA19&gt;=FC$24,FA19&lt;&gt;""),AND(FS19&gt;=FY$24,FS19&lt;&gt;""),AND(FW19&gt;=FY$24,FW19&lt;&gt;""),AND(GO19&gt;=GU$24,GO19&lt;&gt;""),AND(GS19&gt;=GU$24,GS19&lt;&gt;""),AND(HK19&gt;=HQ$24,HK19&lt;&gt;""),AND(HO19&gt;=HQ$24,HO19&lt;&gt;""),AND(IG19&gt;=IM$24,IG19&lt;&gt;""),AND(IK19&gt;=IM$24,IK19&lt;&gt;""),AND(JC19&gt;=JI$24,JC19&lt;&gt;""),AND(JG19&gt;=JI$24,JG19&lt;&gt;""),AND(JY19&gt;=KE$24,JY19&lt;&gt;""),AND(KC19&gt;=KE$24,KC19&lt;&gt;""),AND(KU19&gt;=LA$24,KU19&lt;&gt;""),AND(KY19&gt;=LA$24,KY19&lt;&gt;""),AND(LQ19&gt;=LW$24,LQ19&lt;&gt;""),AND(LU19&gt;=LW$24,LU19&lt;&gt;""),AND(MM19&gt;=MS$24,MM19&lt;&gt;""),AND(MQ19&gt;=MS$24,MQ19&lt;&gt;""),AND(NI19&gt;=NO$24,NI19&lt;&gt;""),AND(NM19&gt;=NO$24,NM19&lt;&gt;"")),"Excellence",IF(OR(AND(AR19&gt;=AY$23,AR19&lt;&gt;"",AP19=""),AND(AT19&gt;=AY$23,AT19&lt;&gt;"",AP19=""),AND(AW19&gt;=AY$23,AW19&lt;&gt;"",AP19=""),AND(BV19&gt;=CC$23,BV19&lt;&gt;"",BT19=""),AND(BX19&gt;=CC$23,BX19&lt;&gt;"",BT19=""),AND(CA19&gt;=CC$23,CA19&lt;&gt;"",BT19=""),AND(CZ19&gt;=DG$23,CZ19&lt;&gt;"",CX19=""),AND(DB19&gt;=DG$23,DB19&lt;&gt;"",CX19=""),AND(DE19&gt;=DG$23,DE19&lt;&gt;"",CX19=""),AND(EA19&gt;=EG$23,EA19&lt;&gt;""),AND(EE19&gt;=EG$23,EE19&lt;&gt;""),AND(EW19&gt;=FC$23,EW19&lt;&gt;""),AND(FA19&gt;=FC$23,FA19&lt;&gt;""),AND(FS19&gt;=FY$23,FS19&lt;&gt;""),AND(FW19&gt;=FY$23,FW19&lt;&gt;""),AND(GO19&gt;=GU$23,GO19&lt;&gt;""),AND(GS19&gt;=GU$23,GS19&lt;&gt;""),AND(HK19&gt;=HQ$23,HK19&lt;&gt;""),AND(HO19&gt;=HQ$23,HO19&lt;&gt;""),AND(IG19&gt;=IM$23,IG19&lt;&gt;""),AND(IK19&gt;=IM$23,IK19&lt;&gt;""),AND(JC19&gt;=JI$23,JC19&lt;&gt;""),AND(JG19&gt;=JI$23,JG19&lt;&gt;""),AND(JY19&gt;=KE$23,JY19&lt;&gt;""),AND(KC19&gt;=KE$23,KC19&lt;&gt;""),AND(KU19&gt;=LA$23,KU19&lt;&gt;""),AND(KY19&gt;=LA$23,KY19&lt;&gt;""),AND(LQ19&gt;=LW$23,LQ19&lt;&gt;""),AND(LU19&gt;=LW$23,LU19&lt;&gt;""),AND(MM19&gt;=MS$23,MM19&lt;&gt;""),AND(MQ19&gt;=MS$23,MQ19&lt;&gt;""),AND(NI19&gt;=NO$23,NI19&lt;&gt;""),AND(NM19&gt;=NO$23,NM19&lt;&gt;"")),"Worlds Team",IF(OR(AND(AR19&gt;=AY$22,AR19&lt;&gt;"",AP19=""),AND(AT19&gt;=AY$22,AT19&lt;&gt;"",AP19=""),AND(AW19&gt;=AY$22,AW19&lt;&gt;"",AP19=""),AND(BV19&gt;=CC$22,BV19&lt;&gt;"",BT19=""),AND(BX19&gt;=CC$22,BX19&lt;&gt;"",BT19=""),AND(CA19&gt;=CC$22,CA19&lt;&gt;"",BT19=""),AND(CZ19&gt;=DG$22,CZ19&lt;&gt;"",CX19=""),AND(DB19&gt;=DG$22,DB19&lt;&gt;"",CX19=""),AND(DE19&gt;=DG$22,DE19&lt;&gt;"",CX19=""),AND(EA19&gt;=EG$22,EA19&lt;&gt;""),AND(EE19&gt;=EG$22,EE19&lt;&gt;""),AND(EW19&gt;=FC$22,EW19&lt;&gt;""),AND(FA19&gt;=FC$22,FA19&lt;&gt;""),AND(FS19&gt;=FY$22,FS19&lt;&gt;""),AND(FW19&gt;=FY$22,FW19&lt;&gt;""),AND(GO19&gt;=GU$22,GO19&lt;&gt;""),AND(GS19&gt;=GU$22,GS19&lt;&gt;""),AND(HK19&gt;=HQ$22,HK19&lt;&gt;""),AND(HO19&gt;=HQ$22,HO19&lt;&gt;""),AND(IG19&gt;=IM$22,IG19&lt;&gt;""),AND(IK19&gt;=IM$22,IK19&lt;&gt;""),AND(JC19&gt;=JI$22,JC19&lt;&gt;""),AND(JG19&gt;=JI$22,JG19&lt;&gt;""),AND(JY19&gt;=KE$22,JY19&lt;&gt;""),AND(KC19&gt;=KE$22,KC19&lt;&gt;""),AND(KU19&gt;=LA$22,KU19&lt;&gt;""),AND(KY19&gt;=LA$22,KY19&lt;&gt;""),AND(LQ19&gt;=LW$22,LQ19&lt;&gt;""),AND(LU19&gt;=LW$22,LU19&lt;&gt;""),AND(MM19&gt;=MS$22,MM19&lt;&gt;""),AND(MQ19&gt;=MS$22,MQ19&lt;&gt;""),AND(NI19&gt;=NO$22,NI19&lt;&gt;""),AND(NM19&gt;=NO$22,NM19&lt;&gt;"")),"National Team",""))))</f>
        <v/>
      </c>
      <c r="H19" s="115" t="str">
        <f>IF(OR(AND(AS19&gt;=AY$26,AS19&lt;&gt;"",AP19=""),AND(AU19&gt;=AY$26,AU19&lt;&gt;"",AP19=""),AND(AX19&gt;=AY$26,AX19&lt;&gt;"",AP19=""),AND(BW19&gt;=CC$26,BW19&lt;&gt;"",BT19=""),AND(BY19&gt;=CC$26,BY19&lt;&gt;"",BT19=""),AND(CB19&gt;=CC$26,CB19&lt;&gt;"",BT19=""),AND(DA19&gt;=DG$26,DA19&lt;&gt;"",CX19=""),AND(DC19&gt;=DG$26,DC19&lt;&gt;"",CX19=""),AND(DF19&gt;=DG$26,DF19&lt;&gt;"",CX19=""),AND(EC19&gt;=EG$26,EC19&lt;&gt;""),AND(EF19&gt;=EG$26,EF19&lt;&gt;""),AND(EY19&gt;=FC$26,EY19&lt;&gt;""),AND(FB19&gt;=FC$26,FB19&lt;&gt;""),AND(FU19&gt;=FY$26,FU19&lt;&gt;""),AND(FX19&gt;=FY$26,FX19&lt;&gt;""),AND(GQ19&gt;=GU$26,GQ19&lt;&gt;""),AND(GT19&gt;=GU$26,GT19&lt;&gt;""),AND(HM19&gt;=HQ$26,HM19&lt;&gt;""),AND(HP19&gt;=HQ$26,HP19&lt;&gt;""),AND(II19&gt;=IM$26,II19&lt;&gt;""),AND(IL19&gt;=IM$26,IL19&lt;&gt;""),AND(JE19&gt;=JI$26,JE19&lt;&gt;""),AND(JH19&gt;=JI$26,JH19&lt;&gt;""),AND(KA19&gt;=KE$26,KA19&lt;&gt;""),AND(KD19&gt;=KE$26,KD19&lt;&gt;""),AND(KW19&gt;=LA$26,KW19&lt;&gt;""),AND(KZ19&gt;=LA$26,KZ19&lt;&gt;""),AND(LS19&gt;=LW$26,LS19&lt;&gt;""),AND(LV19&gt;=LW$26,LV19&lt;&gt;""),AND(MO19&gt;=MS$26,MO19&lt;&gt;""),AND(MR19&gt;=MS$26,MR19&lt;&gt;""),AND(NK19&gt;=NO$26,NK19&lt;&gt;""),AND(NN19&gt;=NO$26,NN19&lt;&gt;"")),"National Team","")</f>
        <v/>
      </c>
      <c r="I19" s="116" t="str">
        <f>IF(AND(G19="Merit",H19="Merit"),"Merit",IF(AND(OR(G19="Merit",G19="Excellence"),OR(H19="Merit",H19="Excellence")),"Excellence",IF(AND(OR(G19="Merit",G19="Excellence",G19="Worlds Team"),OR(H19="Merit",H19="Excellence",H19="Worlds Team")),"Worlds Team",IF(AND(OR(G19="Merit",G19="Excellence",G19="Worlds Team",G19="National Team"),OR(H19="Merit",H19="Excellence",H19="Worlds Team",H19="National Team")),"National Team",IF(OR(H19="Merit",H19="Excellence",H19="Worlds Team",H19="National Team"),"No DD","")))))</f>
        <v/>
      </c>
      <c r="J19" s="3" t="str">
        <f>IF(AND(OR(AND(AV19&gt;=AY$27,AV19&lt;&gt;"",AP19=""),AND(BZ19&gt;=CC$27,BZ19&lt;&gt;"",BT19=""),AND(DD19&gt;=DG$27,DD19&lt;&gt;"",CX19=""),AND(ED19&gt;=EG$27,ED19&lt;&gt;""),AND(EZ19&gt;=FC$27,EZ19&lt;&gt;""),AND(FV19&gt;=FY$27,FV19&lt;&gt;""),AND(GR19&gt;=GU$27,GR19&lt;&gt;""),AND(HN19&gt;=HQ$27,HN19&lt;&gt;""),AND(IJ19&gt;=IM$27,IJ19&lt;&gt;""),AND(JF19&gt;=JI$27,JF19&lt;&gt;""),AND(KB19&gt;=KE$27,KB19&lt;&gt;""),AND(KX19&gt;=LA$27,KX19&lt;&gt;""),AND(LT19&gt;=LW$27,LT19&lt;&gt;""),AND(MP19&gt;=MS$27,MP19&lt;&gt;""),AND(NL19&gt;=NO$27,NL19&lt;&gt;"")),OR(G19="Worlds Team",G19="Excellence",G19="Merit")),"P","")</f>
        <v/>
      </c>
      <c r="K19" s="14">
        <f>IF(MAX(AV19,BZ19,DD19)&gt;0,MAX(AV19,BZ19,DD19),0)</f>
        <v>83.14500000000001</v>
      </c>
      <c r="L19" s="14" t="str">
        <f>IF(K19=0,"",IF(K19=DD19,$CD$1,IF(K19=BZ19,$AZ$1,IF(K19=AV19,$V$1,""))))</f>
        <v>2021 1st Virtual Technical Trial</v>
      </c>
      <c r="M19" s="14">
        <f>IF($K19=$AV19,MAX(BU19,CY19),IF($K19=$BZ19,MAX(AQ19,CY19),IF($K19=$DD19,MAX(AQ19,BU19),MAX(AQ19,BU19,CY19))))</f>
        <v>0</v>
      </c>
      <c r="N19" s="14" t="str">
        <f>IF(M19=0,"",IF(AND(M19=CY19,$L19&lt;&gt;$CD$1),$CD$1,IF(AND(M19=BU19,$L19&lt;&gt;$AZ$1),$AZ$1,IF(AND(M19=AQ19,$L19&lt;&gt;$V$1),$V$1,""))))</f>
        <v/>
      </c>
      <c r="O19" s="14">
        <f>MAX(AS19,AU19,AX19,BW19,BY19,CB19,DA19,DC19,DF19)</f>
        <v>42.99</v>
      </c>
      <c r="P19" s="14" t="str">
        <f>IF(O19=0,"",IF(OR(O19=DC19,O19=DA19,O19=DF19),$CD$1,IF(OR(O19=BY19,O19=BW19,O19=CB19),$AZ$1,IF(OR(O19=AU19,O19=AS19,O19=AX19),$V$1,""))))</f>
        <v>2021 1st Virtual Technical Trial</v>
      </c>
      <c r="Q19" s="14">
        <f>IF(COUNT(AS19,AU19,AX19,BW19,BY19,CB19,DA19,DC19,DF19)&gt;1,LARGE((AS19,AU19,AX19,BW19,BY19,CB19,DA19,DC19,DF19),2),0)</f>
        <v>17.549999999999997</v>
      </c>
      <c r="R19" s="14" t="str">
        <f>IF(Q19=0,"",IF(OR(Q19=DC19,Q19=DA19,Q19=DF19),$CD$1,IF(OR(Q19=BY19,Q19=BW19,Q19=CB19),$AZ$1,IF(OR(Q19=AU19,Q19=AS19,Q19=AX19),$V$1,""))))</f>
        <v>2021 1st Virtual Technical Trial</v>
      </c>
      <c r="S19" s="14" t="str">
        <f>IF(MAX(DI19,DK19)&gt;0,MAX(DI19,DK19),"")</f>
        <v/>
      </c>
      <c r="T19" s="24" t="str">
        <f>IF(S19="","",IF(S19=DH19,"(Vol 1)",IF(S19=DI19,"(Vol 2)",IF(S19=DJ19,"(Prelim)",IF(S19=DK19,"(Final)")))))</f>
        <v/>
      </c>
      <c r="U19" s="14" t="str">
        <f>IF(S19="","",IF(S19=DH19,IF(S19+IF(M19="",0,M19)=NJ19,$MT$1,IF(S19+IF(M19="",0,M19)=MN19,$LX$1,IF(S19+IF(M19="",0,M19)=LR19,$LB$1,IF(S19+IF(M19="",0,M19)=KV19,$KF$1,IF(S19+IF(M19="",0,M19)=JZ19,$JJ$1,IF(S19+IF(M19="",0,M19)=JD19,$IN$1,IF(S19+IF(M19="",0,M19)=IH19,$HR$1,IF(S19+IF(M19="",0,M19)=HL19,$GV$1,IF(S19+IF(M19="",0,M19)=GP19,$FZ$1,IF(S19+IF(M19="",0,M19)=FT19,$FD$1,IF(S19+IF(M19="",0,M19)=EX19,$EH$1,IF(S19+IF(M19="",0,M19)=EB19,$DL$1)))))))))))),IF(S19=DI19,IF(S19+IF(O19="",0,O19)=NK19,$MT$1,IF(S19+IF(O19="",0,O19)=MO19,$LX$1,IF(S19+IF(O19="",0,O19)=LS19,$LB$1,IF(S19+IF(O19="",0,O19)=KW19,$KF$1,IF(S19+IF(O19="",0,O19)=KA19,$JJ$1,IF(S19+IF(O19="",0,O19)=JE19,$IN$1,IF(S19+IF(O19="",0,O19)=II19,$HR$1,IF(S19+IF(O19="",0,O19)=HM19,$GV$1,IF(S19+IF(O19="",0,O19)=GQ19,$FZ$1,IF(S19+IF(O19="",0,O19)=FU19,$FD$1,IF(S19+IF(O19="",0,O19)=EY19,$EH$1,IF(S19+IF(O19="",0,O19)=EC19,$DL$1)))))))))))),IF(S19=DJ19,IF(S19+IF(K19="",0,K19)=NL19,$MT$1,IF(S19+IF(K19="",0,K19)=MP19,$LX$1,IF(S19+IF(K19="",0,K19)=LT19,$LB$1,IF(S19+IF(K19="",0,K19)=KX19,$KF$1,IF(S19+IF(K19="",0,K19)=KB19,$JJ$1,IF(S19+IF(K19="",0,K19)=JF19,$IN$1,IF(S19+IF(K19="",0,K19)=IJ19,$HR$1,IF(S19+IF(K19="",0,K19)=HN19,$GV$1,IF(S19+IF(K19="",0,K19)=GR19,$FZ$1,IF(S19+IF(K19="",0,K19)=FV19,$FD$1,IF(S19+IF(K19="",0,K19)=EZ19,$EH$1,IF(S19+IF(K19="",0,K19)=ED19,$DL$1)))))))))))),IF(S19=DK19,IF(S19+IF(Q19="",0,Q19)=NN19,$MT$1,IF(S19+IF(Q19="",0,Q19)=MR19,$LX$1,IF(S19+IF(Q19="",0,Q19)=LV19,$LB$1,IF(S19+IF(Q19="",0,Q19)=KZ19,$KF$1,IF(S19+IF(Q19="",0,Q19)=KD19,$JJ$1,IF(S19+IF(Q19="",0,Q19)=JH19,$IN$1,IF(S19+IF(Q19="",0,Q19)=IL19,$HR$1,IF(S19+IF(Q19="",0,Q19)=HP19,$GV$1,IF(S19+IF(Q19="",0,Q19)=GT19,$FZ$1,IF(S19+IF(Q19="",0,Q19)=FX19,$FD$1,IF(S19+IF(Q19="",0,Q19)=FB19,$EH$1,IF(S19+IF(Q19="",0,Q19)=EF19,$DL$1)))))))))))))))))</f>
        <v/>
      </c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72"/>
      <c r="AQ19" s="11" t="str">
        <f>IF(SUM(V19:Y19)-Z19&gt;0,SUM(V19:Y19)-Z19,"")</f>
        <v/>
      </c>
      <c r="AR19" s="11" t="str">
        <f>IF(AC19&gt;0,AC19,"")</f>
        <v/>
      </c>
      <c r="AS19" s="11" t="str">
        <f>IF(SUM(AA19:AD19)-AE19&gt;0,SUM(AA19:AD19)-AE19,"")</f>
        <v/>
      </c>
      <c r="AT19" s="11" t="str">
        <f>IF(AH19&gt;0,AH19,"")</f>
        <v/>
      </c>
      <c r="AU19" s="11" t="str">
        <f>IF(SUM(AF19:AI19)-AJ19&gt;0,SUM(AF19:AI19)-AJ19,"")</f>
        <v/>
      </c>
      <c r="AV19" s="11" t="str">
        <f>IF(OR(AQ19&lt;&gt;"",AS19&lt;&gt;"",AU19&lt;&gt;""),AQ19+MAX(AS19,AU19),"")</f>
        <v/>
      </c>
      <c r="AW19" s="11" t="str">
        <f>IF(AM19&gt;0,AM19,"")</f>
        <v/>
      </c>
      <c r="AX19" s="11" t="str">
        <f>IF(SUM(AK19:AN19)-AO19&gt;0,SUM(AK19:AN19)-AO19,"")</f>
        <v/>
      </c>
      <c r="AY19" s="11" t="str">
        <f>IF(SUM(AV19,AX19)&gt;0,SUM(AV19,AX19),"")</f>
        <v/>
      </c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 t="str">
        <f>IF(SUM(AZ19:BC19)-BD19&gt;0,SUM(AZ19:BC19)-BD19,"")</f>
        <v/>
      </c>
      <c r="BV19" s="14" t="str">
        <f>IF(BG19&gt;0,BG19,"")</f>
        <v/>
      </c>
      <c r="BW19" s="14" t="str">
        <f>IF(SUM(BE19:BH19)-BI19&gt;0,SUM(BE19:BH19)-BI19,"")</f>
        <v/>
      </c>
      <c r="BX19" s="14" t="str">
        <f>IF(BL19&gt;0,BL19,"")</f>
        <v/>
      </c>
      <c r="BY19" s="14" t="str">
        <f>IF(SUM(BJ19:BM19)-BN19&gt;0,SUM(BJ19:BM19)-BN19,"")</f>
        <v/>
      </c>
      <c r="BZ19" s="14" t="str">
        <f>IF(BU19="",IF(MAX(BW19,BY19)&gt;0,MAX(BW19,BY19),""),MAX(BW19,BY19)+BU19)</f>
        <v/>
      </c>
      <c r="CA19" s="14" t="str">
        <f>IF(BQ19&gt;0,BQ19,"")</f>
        <v/>
      </c>
      <c r="CB19" s="14" t="str">
        <f>IF(SUM(BO19:BR19)-BS19&gt;0,SUM(BO19:BR19)-BS19,"")</f>
        <v/>
      </c>
      <c r="CC19" s="14" t="str">
        <f>IF(SUM(BZ19,CB19)&gt;0,SUM(BZ19,CB19),"")</f>
        <v/>
      </c>
      <c r="CD19" s="61">
        <v>15.9</v>
      </c>
      <c r="CE19" s="61">
        <v>9.4499999999999993</v>
      </c>
      <c r="CF19" s="61">
        <v>1.5</v>
      </c>
      <c r="CG19" s="61">
        <v>13.305</v>
      </c>
      <c r="CH19" s="61">
        <v>0</v>
      </c>
      <c r="CI19" s="61">
        <v>13.3</v>
      </c>
      <c r="CJ19" s="61">
        <v>8.6999999999999993</v>
      </c>
      <c r="CK19" s="61">
        <v>8.6999999999999993</v>
      </c>
      <c r="CL19" s="61">
        <v>12.39</v>
      </c>
      <c r="CM19" s="61">
        <v>0.1</v>
      </c>
      <c r="CN19" s="61"/>
      <c r="CO19" s="61"/>
      <c r="CP19" s="61"/>
      <c r="CQ19" s="61"/>
      <c r="CR19" s="61"/>
      <c r="CS19" s="61">
        <v>4.8</v>
      </c>
      <c r="CT19" s="61">
        <v>3.3</v>
      </c>
      <c r="CU19" s="61">
        <v>4.3</v>
      </c>
      <c r="CV19" s="61">
        <v>5.15</v>
      </c>
      <c r="CW19" s="61">
        <v>0</v>
      </c>
      <c r="CX19" s="72"/>
      <c r="CY19" s="11">
        <f>IF(SUM(CD19:CG19)-CH19&gt;0,SUM(CD19:CG19)-CH19,"")</f>
        <v>40.155000000000001</v>
      </c>
      <c r="CZ19" s="11">
        <f>IF(CK19&gt;0,CK19,"")</f>
        <v>8.6999999999999993</v>
      </c>
      <c r="DA19" s="11">
        <f>IF(SUM(CI19:CL19)-CM19&gt;0,SUM(CI19:CL19)-CM19,"")</f>
        <v>42.99</v>
      </c>
      <c r="DB19" s="11" t="str">
        <f>IF(CP19&gt;0,CP19,"")</f>
        <v/>
      </c>
      <c r="DC19" s="11" t="str">
        <f>IF(SUM(CN19:CQ19)-CR19&gt;0,SUM(CN19:CQ19)-CR19,"")</f>
        <v/>
      </c>
      <c r="DD19" s="11">
        <f>IF(CY19="",IF(MAX(DA19,DC19)&gt;0,MAX(DA19,DC19),""),MAX(DA19,DC19)+CY19)</f>
        <v>83.14500000000001</v>
      </c>
      <c r="DE19" s="11">
        <f>IF(CU19&gt;0,CU19,"")</f>
        <v>4.3</v>
      </c>
      <c r="DF19" s="11">
        <f>IF(SUM(CS19:CV19)-CW19&gt;0,SUM(CS19:CV19)-CW19,"")</f>
        <v>17.549999999999997</v>
      </c>
      <c r="DG19" s="11">
        <f>IF(SUM(DD19,DF19)&gt;0,SUM(DD19,DF19),"")</f>
        <v>100.69500000000001</v>
      </c>
      <c r="DH19" s="23" t="str">
        <f>IF(MAX(EB19,EX19,FT19,GP19,HL19,IH19,JD19,JZ19,KV19,LR19,MN19,NJ19)-IF(M19="",0,M19)&gt;0.001,MAX(EB19,EX19,FT19,GP19,HL19,IH19,JD19,JZ19,KV19,LR19,MN19,NJ19)-IF(M19="",0,M19),"")</f>
        <v/>
      </c>
      <c r="DI19" s="23" t="str">
        <f>IF(MAX(EC19,EY19,FU19,GQ19,HM19,II19,JE19,KA19,KW19,LS19,MO19,NK19)-IF(O19="",0,O19)&gt;0.001,MAX(EC19,EY19,FU19,GQ19,HM19,II19,JE19,KA19,KW19,LS19,MO19,NK19)-IF(O19="",0,O19),"")</f>
        <v/>
      </c>
      <c r="DJ19" s="23" t="str">
        <f>IF(MAX(ED19,EZ19,FV19,GR19,HN19,IJ19,JF19,KB19,KX19,LT19,MP19,NL19)-IF(K19="",0,K19)&gt;0.001,MAX(ED19,EZ19,FV19,GR19,HN19,IJ19,JF19,KB19,KX19,LT19,MP19,NL19)-IF(K19="",0,K19),"")</f>
        <v/>
      </c>
      <c r="DK19" s="23" t="str">
        <f>IF(MAX(EF19,FB19,FX19,GT19,HP19,IL19,JH19,KD19,KZ19,LV19,MR19,NN19)-IF(Q19="",0,Q19)&gt;0.001,MAX(EF19,FB19,FX19,GT19,HP19,IL19,JH19,KD19,KZ19,LV19,MR19,NN19)-IF(Q19="",0,Q19),"")</f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>IF(DS19&gt;0,DS19,"")</f>
        <v/>
      </c>
      <c r="EB19" s="11" t="str">
        <f>IF(SUM(DL19:DO19)-DP19&gt;0,SUM(DL19:DO19)-DP19,"")</f>
        <v/>
      </c>
      <c r="EC19" s="11" t="str">
        <f>IF(SUM(DQ19:DT19)-DU19&gt;0,SUM(DQ19:DT19)-DU19,"")</f>
        <v/>
      </c>
      <c r="ED19" s="11" t="str">
        <f>IF(SUM(EB19:EC19)&gt;0,SUM(EB19:EC19),"")</f>
        <v/>
      </c>
      <c r="EE19" s="11" t="str">
        <f>IF(DX19&gt;0,DX19,"")</f>
        <v/>
      </c>
      <c r="EF19" s="11" t="str">
        <f>IF(SUM(DV19:DY19)-DZ19&gt;0,SUM(DV19:DY19)-DZ19,"")</f>
        <v/>
      </c>
      <c r="EG19" s="11" t="str">
        <f>IF(SUM(ED19,EF19)&gt;0,SUM(ED19,EF19),"")</f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>IF(EO19&gt;0,EO19,"")</f>
        <v/>
      </c>
      <c r="EX19" s="14" t="str">
        <f>IF(SUM(EH19:EK19)-EL19&gt;0,SUM(EH19:EK19)-EL19,"")</f>
        <v/>
      </c>
      <c r="EY19" s="14" t="str">
        <f>IF(SUM(EM19:EP19)-EQ19&gt;0,SUM(EM19:EP19)-EQ19,"")</f>
        <v/>
      </c>
      <c r="EZ19" s="14" t="str">
        <f>IF(SUM(EX19:EY19)&gt;0,SUM(EX19:EY19),"")</f>
        <v/>
      </c>
      <c r="FA19" s="14" t="str">
        <f>IF(ET19&gt;0,ET19,"")</f>
        <v/>
      </c>
      <c r="FB19" s="14" t="str">
        <f>IF(SUM(ER19:EU19)-EV19&gt;0,SUM(ER19:EU19)-EV19,"")</f>
        <v/>
      </c>
      <c r="FC19" s="14" t="str">
        <f>IF(SUM(EZ19,FB19)&gt;0,SUM(EZ19,FB19),"")</f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>IF(FK19&gt;0,FK19,"")</f>
        <v/>
      </c>
      <c r="FT19" s="11" t="str">
        <f>IF(SUM(FD19:FG19)-FH19&gt;0,SUM(FD19:FG19)-FH19,"")</f>
        <v/>
      </c>
      <c r="FU19" s="11" t="str">
        <f>IF(SUM(FI19:FL19)-FM19&gt;0,SUM(FI19:FL19)-FM19,"")</f>
        <v/>
      </c>
      <c r="FV19" s="11" t="str">
        <f>IF(SUM(FT19:FU19)&gt;0,SUM(FT19:FU19),"")</f>
        <v/>
      </c>
      <c r="FW19" s="11" t="str">
        <f>IF(FP19&gt;0,FP19,"")</f>
        <v/>
      </c>
      <c r="FX19" s="11" t="str">
        <f>IF(SUM(FN19:FQ19)-FR19&gt;0,SUM(FN19:FQ19)-FR19,"")</f>
        <v/>
      </c>
      <c r="FY19" s="11" t="str">
        <f>IF(SUM(FV19,FX19)&gt;0,SUM(FV19,FX19),"")</f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>IF(GG19&gt;0,GG19,"")</f>
        <v/>
      </c>
      <c r="GP19" s="14" t="str">
        <f>IF(SUM(FZ19:GC19)-GD19&gt;0,SUM(FZ19:GC19)-GD19,"")</f>
        <v/>
      </c>
      <c r="GQ19" s="14" t="str">
        <f>IF(SUM(GE19:GH19)-GI19&gt;0,SUM(GE19:GH19)-GI19,"")</f>
        <v/>
      </c>
      <c r="GR19" s="14" t="str">
        <f>IF(SUM(GP19:GQ19)&gt;0,SUM(GP19:GQ19),"")</f>
        <v/>
      </c>
      <c r="GS19" s="14" t="str">
        <f>IF(GL19&gt;0,GL19,"")</f>
        <v/>
      </c>
      <c r="GT19" s="14" t="str">
        <f>IF(SUM(GJ19:GM19)-GN19&gt;0,SUM(GJ19:GM19)-GN19,"")</f>
        <v/>
      </c>
      <c r="GU19" s="14" t="str">
        <f>IF(SUM(GR19,GT19)&gt;0,SUM(GR19,GT19),"")</f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>IF(HC19&gt;0,HC19,"")</f>
        <v/>
      </c>
      <c r="HL19" s="11" t="str">
        <f>IF(SUM(GV19:GY19)-GZ19&gt;0,SUM(GV19:GY19)-GZ19,"")</f>
        <v/>
      </c>
      <c r="HM19" s="11" t="str">
        <f>IF(SUM(HA19:HD19)-HE19&gt;0,SUM(HA19:HD19)-HE19,"")</f>
        <v/>
      </c>
      <c r="HN19" s="11" t="str">
        <f>IF(SUM(HL19:HM19)&gt;0,SUM(HL19:HM19),"")</f>
        <v/>
      </c>
      <c r="HO19" s="11" t="str">
        <f>IF(HH19&gt;0,HH19,"")</f>
        <v/>
      </c>
      <c r="HP19" s="11" t="str">
        <f>IF(SUM(HF19:HI19)-HJ19&gt;0,SUM(HF19:HI19)-HJ19,"")</f>
        <v/>
      </c>
      <c r="HQ19" s="11" t="str">
        <f>IF(SUM(HN19,HP19)&gt;0,SUM(HN19,HP19),"")</f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>IF(HY19&gt;0,HY19,"")</f>
        <v/>
      </c>
      <c r="IH19" s="14" t="str">
        <f>IF(SUM(HR19:HU19)-HV19&gt;0,SUM(HR19:HU19)-HV19,"")</f>
        <v/>
      </c>
      <c r="II19" s="14" t="str">
        <f>IF(SUM(HW19:HZ19)-IA19&gt;0,SUM(HW19:HZ19)-IA19,"")</f>
        <v/>
      </c>
      <c r="IJ19" s="14" t="str">
        <f>IF(SUM(IH19:II19)&gt;0,SUM(IH19:II19),"")</f>
        <v/>
      </c>
      <c r="IK19" s="14" t="str">
        <f>IF(ID19&gt;0,ID19,"")</f>
        <v/>
      </c>
      <c r="IL19" s="14" t="str">
        <f>IF(SUM(IB19:IE19)-IF19&gt;0,SUM(IB19:IE19)-IF19,"")</f>
        <v/>
      </c>
      <c r="IM19" s="14" t="str">
        <f>IF(SUM(IJ19,IL19)&gt;0,SUM(IJ19,IL19),"")</f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>IF(IU19&gt;0,IU19,"")</f>
        <v/>
      </c>
      <c r="JD19" s="11" t="str">
        <f>IF(SUM(IN19:IQ19)-IR19&gt;0,SUM(IN19:IQ19)-IR19,"")</f>
        <v/>
      </c>
      <c r="JE19" s="11" t="str">
        <f>IF(SUM(IS19:IV19)-IW19&gt;0,SUM(IS19:IV19)-IW19,"")</f>
        <v/>
      </c>
      <c r="JF19" s="11" t="str">
        <f>IF(SUM(JD19:JE19)&gt;0,SUM(JD19:JE19),"")</f>
        <v/>
      </c>
      <c r="JG19" s="11" t="str">
        <f>IF(IZ19&gt;0,IZ19,"")</f>
        <v/>
      </c>
      <c r="JH19" s="11" t="str">
        <f>IF(SUM(IX19:JA19)-JB19&gt;0,SUM(IX19:JA19)-JB19,"")</f>
        <v/>
      </c>
      <c r="JI19" s="11" t="str">
        <f>IF(SUM(JF19,JH19)&gt;0,SUM(JF19,JH19),"")</f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>IF(JQ19&gt;0,JQ19,"")</f>
        <v/>
      </c>
      <c r="JZ19" s="14" t="str">
        <f>IF(SUM(JJ19:JM19)-JN19&gt;0,SUM(JJ19:JM19)-JN19,"")</f>
        <v/>
      </c>
      <c r="KA19" s="14" t="str">
        <f>IF(SUM(JO19:JR19)-JS19&gt;0,SUM(JO19:JR19)-JS19,"")</f>
        <v/>
      </c>
      <c r="KB19" s="14" t="str">
        <f>IF(SUM(JZ19:KA19)&gt;0,SUM(JZ19:KA19),"")</f>
        <v/>
      </c>
      <c r="KC19" s="14" t="str">
        <f>IF(JV19&gt;0,JV19,"")</f>
        <v/>
      </c>
      <c r="KD19" s="14" t="str">
        <f>IF(SUM(JT19:JW19)-JX19&gt;0,SUM(JT19:JW19)-JX19,"")</f>
        <v/>
      </c>
      <c r="KE19" s="14" t="str">
        <f>IF(SUM(KB19,KD19)&gt;0,SUM(KB19,KD19),"")</f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>IF(KM19&gt;0,KM19,"")</f>
        <v/>
      </c>
      <c r="KV19" s="11" t="str">
        <f>IF(SUM(KF19:KI19)-KJ19&gt;0,SUM(KF19:KI19)-KJ19,"")</f>
        <v/>
      </c>
      <c r="KW19" s="11" t="str">
        <f>IF(SUM(KK19:KN19)-KO19&gt;0,SUM(KK19:KN19)-KO19,"")</f>
        <v/>
      </c>
      <c r="KX19" s="11" t="str">
        <f>IF(SUM(KV19:KW19)&gt;0,SUM(KV19:KW19),"")</f>
        <v/>
      </c>
      <c r="KY19" s="11" t="str">
        <f>IF(KR19&gt;0,KR19,"")</f>
        <v/>
      </c>
      <c r="KZ19" s="11" t="str">
        <f>IF(SUM(KP19:KS19)-KT19&gt;0,SUM(KP19:KS19)-KT19,"")</f>
        <v/>
      </c>
      <c r="LA19" s="11" t="str">
        <f>IF(SUM(KX19,KZ19)&gt;0,SUM(KX19,KZ19),"")</f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>IF(LI19&gt;0,LI19,"")</f>
        <v/>
      </c>
      <c r="LR19" s="14" t="str">
        <f>IF(SUM(LB19:LE19)-LF19&gt;0,SUM(LB19:LE19)-LF19,"")</f>
        <v/>
      </c>
      <c r="LS19" s="14" t="str">
        <f>IF(SUM(LG19:LJ19)-LK19&gt;0,SUM(LG19:LJ19)-LK19,"")</f>
        <v/>
      </c>
      <c r="LT19" s="14" t="str">
        <f>IF(SUM(LR19:LS19)&gt;0,SUM(LR19:LS19),"")</f>
        <v/>
      </c>
      <c r="LU19" s="14" t="str">
        <f>IF(LN19&gt;0,LN19,"")</f>
        <v/>
      </c>
      <c r="LV19" s="14" t="str">
        <f>IF(SUM(LL19:LO19)-LP19&gt;0,SUM(LL19:LO19)-LP19,"")</f>
        <v/>
      </c>
      <c r="LW19" s="14" t="str">
        <f>IF(SUM(LT19,LV19)&gt;0,SUM(LT19,LV19),"")</f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>IF(ME19&gt;0,ME19,"")</f>
        <v/>
      </c>
      <c r="MN19" s="11" t="str">
        <f>IF(SUM(LX19:MA19)-MB19&gt;0,SUM(LX19:MA19)-MB19,"")</f>
        <v/>
      </c>
      <c r="MO19" s="11" t="str">
        <f>IF(SUM(MC19:MF19)-MG19&gt;0,SUM(MC19:MF19)-MG19,"")</f>
        <v/>
      </c>
      <c r="MP19" s="11" t="str">
        <f>IF(SUM(MN19:MO19)&gt;0,SUM(MN19:MO19),"")</f>
        <v/>
      </c>
      <c r="MQ19" s="11" t="str">
        <f>IF(MJ19&gt;0,MJ19,"")</f>
        <v/>
      </c>
      <c r="MR19" s="11" t="str">
        <f>IF(SUM(MH19:MK19)-ML19&gt;0,SUM(MH19:MK19)-ML19,"")</f>
        <v/>
      </c>
      <c r="MS19" s="11" t="str">
        <f>IF(SUM(MP19,MR19)&gt;0,SUM(MP19,MR19),"")</f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>IF(NA19&gt;0,NA19,"")</f>
        <v/>
      </c>
      <c r="NJ19" s="14" t="str">
        <f>IF(SUM(MT19:MW19)-MX19&gt;0,SUM(MT19:MW19)-MX19,"")</f>
        <v/>
      </c>
      <c r="NK19" s="14" t="str">
        <f>IF(SUM(MY19:NB19)-NC19&gt;0,SUM(MY19:NB19)-NC19,"")</f>
        <v/>
      </c>
      <c r="NL19" s="14" t="str">
        <f>IF(SUM(NJ19:NK19)&gt;0,SUM(NJ19:NK19),"")</f>
        <v/>
      </c>
      <c r="NM19" s="14" t="str">
        <f>IF(NF19&gt;0,NF19,"")</f>
        <v/>
      </c>
      <c r="NN19" s="14" t="str">
        <f>IF(SUM(ND19:NG19)-NH19&gt;0,SUM(ND19:NG19)-NH19,"")</f>
        <v/>
      </c>
      <c r="NO19" s="14" t="str">
        <f>IF(SUM(NL19,NN19)&gt;0,SUM(NL19,NN19),"")</f>
        <v/>
      </c>
      <c r="NP19" s="61">
        <f>IF($CX19="P",CD19,(CD19+AZ19)/2)</f>
        <v>7.95</v>
      </c>
      <c r="NQ19" s="61">
        <f>IF($CX19="P",CE19,(CE19+BA19)/2)</f>
        <v>4.7249999999999996</v>
      </c>
      <c r="NR19" s="61">
        <f>IF($CX19="P",CF19,(CF19+BB19)/2)</f>
        <v>0.75</v>
      </c>
      <c r="NS19" s="61">
        <f>IF($CX19="P",CG19,(CG19+BC19)/2)</f>
        <v>6.6524999999999999</v>
      </c>
      <c r="NT19" s="61">
        <f>IF($CX19="P",CH19,(CH19+BD19)/2)</f>
        <v>0</v>
      </c>
      <c r="NU19" s="61">
        <f>IF($CX19="P",CI19,(CI19+BE19)/2)</f>
        <v>6.65</v>
      </c>
      <c r="NV19" s="61">
        <f>IF($CX19="P",CJ19,(CJ19+BF19)/2)</f>
        <v>4.3499999999999996</v>
      </c>
      <c r="NW19" s="61">
        <f>IF($CX19="P",CK19,(CK19+BG19)/2)</f>
        <v>4.3499999999999996</v>
      </c>
      <c r="NX19" s="61">
        <f>IF($CX19="P",CL19,(CL19+BH19)/2)</f>
        <v>6.1950000000000003</v>
      </c>
      <c r="NY19" s="61">
        <f>IF($CX19="P",CM19,(CM19+BI19)/2)</f>
        <v>0.05</v>
      </c>
      <c r="NZ19" s="61">
        <f>IF($CX19="P",CN19,(CN19+BJ19)/2)</f>
        <v>0</v>
      </c>
      <c r="OA19" s="61">
        <f>IF($CX19="P",CO19,(CO19+BK19)/2)</f>
        <v>0</v>
      </c>
      <c r="OB19" s="61">
        <f>IF($CX19="P",CP19,(CP19+BL19)/2)</f>
        <v>0</v>
      </c>
      <c r="OC19" s="61">
        <f>IF($CX19="P",CQ19,(CQ19+BM19)/2)</f>
        <v>0</v>
      </c>
      <c r="OD19" s="61">
        <f>IF($CX19="P",CR19,(CR19+BN19)/2)</f>
        <v>0</v>
      </c>
      <c r="OE19" s="61">
        <f>IF($CX19="P",CS19,(CS19+BO19)/2)</f>
        <v>2.4</v>
      </c>
      <c r="OF19" s="61">
        <f>IF($CX19="P",CT19,(CT19+BP19)/2)</f>
        <v>1.65</v>
      </c>
      <c r="OG19" s="61">
        <f>IF($CX19="P",CU19,(CU19+BQ19)/2)</f>
        <v>2.15</v>
      </c>
      <c r="OH19" s="61">
        <f>IF($CX19="P",CV19,(CV19+BR19)/2)</f>
        <v>2.5750000000000002</v>
      </c>
      <c r="OI19" s="61">
        <f>IF($CX19="P",CW19,(CW19+BS19)/2)</f>
        <v>0</v>
      </c>
      <c r="OJ19" s="72" t="s">
        <v>52</v>
      </c>
      <c r="OK19" s="11">
        <f>IF(SUM(NP19:NS19)-NT19&gt;0,SUM(NP19:NS19)-NT19,"")</f>
        <v>20.077500000000001</v>
      </c>
      <c r="OL19" s="11">
        <f>IF(NW19&gt;0,NW19,"")</f>
        <v>4.3499999999999996</v>
      </c>
      <c r="OM19" s="11">
        <f>IF(SUM(NU19:NX19)-NY19&gt;0,SUM(NU19:NX19)-NY19,"")</f>
        <v>21.495000000000001</v>
      </c>
      <c r="ON19" s="11" t="str">
        <f>IF(OB19&gt;0,OB19,"")</f>
        <v/>
      </c>
      <c r="OO19" s="11" t="str">
        <f>IF(SUM(NZ19:OC19)-OD19&gt;0,SUM(NZ19:OC19)-OD19,"")</f>
        <v/>
      </c>
      <c r="OP19" s="11">
        <f>IF(OR(OK19&lt;&gt;"",OM19&lt;&gt;"",OO19&lt;&gt;""),OK19+MAX(OM19,OO19),"")</f>
        <v>41.572500000000005</v>
      </c>
      <c r="OQ19" s="11">
        <f>IF(OG19&gt;0,OG19,"")</f>
        <v>2.15</v>
      </c>
      <c r="OR19" s="11">
        <f t="shared" ref="OR19" si="20">IF(SUM(OE19:OH19)-OI19&gt;0,SUM(OE19:OH19)-OI19,"")</f>
        <v>8.7749999999999986</v>
      </c>
      <c r="OS19" s="11">
        <f t="shared" ref="OS19" si="21">IF(SUM(OP19,OR19)&gt;0,SUM(OP19,OR19),"")</f>
        <v>50.347500000000004</v>
      </c>
    </row>
    <row r="20" spans="1:409" x14ac:dyDescent="0.2">
      <c r="B20" s="6"/>
      <c r="D20" s="1"/>
    </row>
    <row r="21" spans="1:409" x14ac:dyDescent="0.2">
      <c r="H21" s="115"/>
      <c r="J21" s="115"/>
    </row>
    <row r="22" spans="1:409" x14ac:dyDescent="0.2">
      <c r="B22" s="62" t="s">
        <v>50</v>
      </c>
      <c r="C22" s="49"/>
      <c r="H22" s="3"/>
      <c r="AR22" s="114"/>
      <c r="AS22" s="114"/>
      <c r="AT22" s="114"/>
      <c r="AW22" s="47"/>
      <c r="AY22" s="56">
        <v>11.2</v>
      </c>
      <c r="BV22" s="114"/>
      <c r="BW22" s="114"/>
      <c r="BX22" s="114"/>
      <c r="CA22" s="47"/>
      <c r="CC22" s="56">
        <v>11.2</v>
      </c>
      <c r="CZ22" s="114"/>
      <c r="DA22" s="114"/>
      <c r="DB22" s="114"/>
      <c r="DE22" s="47"/>
      <c r="DG22" s="56">
        <v>11.2</v>
      </c>
      <c r="EA22" s="49"/>
      <c r="EE22" s="47"/>
      <c r="EG22" s="56">
        <v>11.2</v>
      </c>
      <c r="EW22" s="49"/>
      <c r="FA22" s="47"/>
      <c r="FC22" s="56">
        <v>11.2</v>
      </c>
      <c r="FS22" s="49"/>
      <c r="FW22" s="47"/>
      <c r="FY22" s="56">
        <v>11.2</v>
      </c>
      <c r="GO22" s="49"/>
      <c r="GS22" s="47"/>
      <c r="GU22" s="56">
        <v>11.2</v>
      </c>
      <c r="HK22" s="49"/>
      <c r="HO22" s="47"/>
      <c r="HQ22" s="56">
        <v>11.2</v>
      </c>
      <c r="IG22" s="49"/>
      <c r="IK22" s="47"/>
      <c r="IM22" s="56">
        <v>11.2</v>
      </c>
      <c r="JC22" s="49"/>
      <c r="JG22" s="47"/>
      <c r="JI22" s="56">
        <v>11.2</v>
      </c>
      <c r="JY22" s="49"/>
      <c r="KC22" s="47"/>
      <c r="KE22" s="56">
        <v>11.2</v>
      </c>
      <c r="KU22" s="49"/>
      <c r="KY22" s="47"/>
      <c r="LA22" s="56">
        <v>11.2</v>
      </c>
      <c r="LQ22" s="49"/>
      <c r="LU22" s="47"/>
      <c r="LW22" s="56">
        <v>11.2</v>
      </c>
      <c r="MM22" s="49"/>
      <c r="MQ22" s="47"/>
      <c r="MS22" s="56">
        <v>11.2</v>
      </c>
      <c r="NI22" s="49"/>
      <c r="NM22" s="47"/>
      <c r="NO22" s="56">
        <v>11.2</v>
      </c>
    </row>
    <row r="23" spans="1:409" hidden="1" x14ac:dyDescent="0.2">
      <c r="B23" s="83" t="s">
        <v>49</v>
      </c>
      <c r="C23" s="49"/>
      <c r="AR23" s="114"/>
      <c r="AS23" s="114"/>
      <c r="AT23" s="114"/>
      <c r="AW23" s="47"/>
      <c r="AY23" s="98">
        <v>1000</v>
      </c>
      <c r="BV23" s="114"/>
      <c r="BW23" s="114"/>
      <c r="BX23" s="114"/>
      <c r="CA23" s="47"/>
      <c r="CC23" s="98">
        <v>1000</v>
      </c>
      <c r="CZ23" s="114"/>
      <c r="DA23" s="114"/>
      <c r="DB23" s="114"/>
      <c r="DE23" s="47"/>
      <c r="DG23" s="98">
        <v>1000</v>
      </c>
      <c r="EA23" s="49"/>
      <c r="EE23" s="47"/>
      <c r="EG23" s="98">
        <v>1000</v>
      </c>
      <c r="EW23" s="49"/>
      <c r="FA23" s="47"/>
      <c r="FC23" s="98">
        <v>1000</v>
      </c>
      <c r="FS23" s="49"/>
      <c r="FW23" s="47"/>
      <c r="FY23" s="98">
        <v>1000</v>
      </c>
      <c r="GO23" s="49"/>
      <c r="GS23" s="47"/>
      <c r="GU23" s="98">
        <v>1000</v>
      </c>
      <c r="HK23" s="49"/>
      <c r="HO23" s="47"/>
      <c r="HQ23" s="98">
        <v>1000</v>
      </c>
      <c r="IG23" s="49"/>
      <c r="IK23" s="47"/>
      <c r="IM23" s="98">
        <v>1000</v>
      </c>
      <c r="JC23" s="49"/>
      <c r="JG23" s="47"/>
      <c r="JI23" s="98">
        <v>1000</v>
      </c>
      <c r="JY23" s="49"/>
      <c r="KC23" s="47"/>
      <c r="KE23" s="98">
        <v>1000</v>
      </c>
      <c r="KU23" s="49"/>
      <c r="KY23" s="47"/>
      <c r="LA23" s="98">
        <v>1000</v>
      </c>
      <c r="LQ23" s="49"/>
      <c r="LU23" s="47"/>
      <c r="LW23" s="98">
        <v>1000</v>
      </c>
      <c r="MM23" s="49"/>
      <c r="MQ23" s="47"/>
      <c r="MS23" s="98">
        <v>1000</v>
      </c>
      <c r="NI23" s="49"/>
      <c r="NM23" s="47"/>
      <c r="NO23" s="98">
        <v>1000</v>
      </c>
    </row>
    <row r="24" spans="1:409" hidden="1" x14ac:dyDescent="0.2">
      <c r="A24" s="49"/>
      <c r="B24" s="84" t="s">
        <v>65</v>
      </c>
      <c r="C24" s="49"/>
      <c r="AR24" s="114"/>
      <c r="AS24" s="114"/>
      <c r="AT24" s="114"/>
      <c r="AV24" s="47"/>
      <c r="AW24" s="47"/>
      <c r="AX24" s="47"/>
      <c r="AY24" s="86">
        <v>1000</v>
      </c>
      <c r="BV24" s="114"/>
      <c r="BW24" s="114"/>
      <c r="BX24" s="114"/>
      <c r="CA24" s="47"/>
      <c r="CC24" s="86">
        <v>1000</v>
      </c>
      <c r="CZ24" s="114"/>
      <c r="DA24" s="114"/>
      <c r="DB24" s="114"/>
      <c r="DD24" s="47"/>
      <c r="DE24" s="47"/>
      <c r="DF24" s="47"/>
      <c r="DG24" s="86">
        <v>1000</v>
      </c>
      <c r="EA24" s="49"/>
      <c r="EE24" s="47"/>
      <c r="EG24" s="86">
        <v>1000</v>
      </c>
      <c r="EW24" s="49"/>
      <c r="FA24" s="47"/>
      <c r="FC24" s="86">
        <v>1000</v>
      </c>
      <c r="FS24" s="49"/>
      <c r="FW24" s="47"/>
      <c r="FY24" s="86">
        <v>1000</v>
      </c>
      <c r="GO24" s="49"/>
      <c r="GS24" s="47"/>
      <c r="GU24" s="86">
        <v>1000</v>
      </c>
      <c r="HK24" s="49"/>
      <c r="HO24" s="47"/>
      <c r="HQ24" s="86">
        <v>1000</v>
      </c>
      <c r="IG24" s="49"/>
      <c r="IK24" s="47"/>
      <c r="IM24" s="86">
        <v>1000</v>
      </c>
      <c r="JC24" s="49"/>
      <c r="JG24" s="47"/>
      <c r="JI24" s="86">
        <v>1000</v>
      </c>
      <c r="JY24" s="49"/>
      <c r="KC24" s="47"/>
      <c r="KE24" s="86">
        <v>1000</v>
      </c>
      <c r="KU24" s="49"/>
      <c r="KY24" s="47"/>
      <c r="LA24" s="86">
        <v>1000</v>
      </c>
      <c r="LQ24" s="49"/>
      <c r="LU24" s="47"/>
      <c r="LW24" s="86">
        <v>1000</v>
      </c>
      <c r="MM24" s="49"/>
      <c r="MQ24" s="47"/>
      <c r="MS24" s="86">
        <v>1000</v>
      </c>
      <c r="NI24" s="49"/>
      <c r="NM24" s="47"/>
      <c r="NO24" s="86">
        <v>1000</v>
      </c>
    </row>
    <row r="25" spans="1:409" hidden="1" x14ac:dyDescent="0.2">
      <c r="A25" s="49"/>
      <c r="B25" s="110" t="s">
        <v>77</v>
      </c>
      <c r="C25" s="49"/>
      <c r="AR25" s="114"/>
      <c r="AS25" s="114"/>
      <c r="AT25" s="114"/>
      <c r="AV25" s="47"/>
      <c r="AW25" s="47"/>
      <c r="AX25" s="47"/>
      <c r="AY25" s="111">
        <v>1000</v>
      </c>
      <c r="BV25" s="114"/>
      <c r="BW25" s="114"/>
      <c r="BX25" s="114"/>
      <c r="CA25" s="47"/>
      <c r="CC25" s="111">
        <v>1000</v>
      </c>
      <c r="CZ25" s="114"/>
      <c r="DA25" s="114"/>
      <c r="DB25" s="114"/>
      <c r="DD25" s="47"/>
      <c r="DE25" s="47"/>
      <c r="DF25" s="47"/>
      <c r="DG25" s="111">
        <v>1000</v>
      </c>
      <c r="EA25" s="49"/>
      <c r="EE25" s="47"/>
      <c r="EG25" s="111">
        <v>1000</v>
      </c>
      <c r="EW25" s="49"/>
      <c r="FA25" s="47"/>
      <c r="FC25" s="111">
        <v>1000</v>
      </c>
      <c r="FS25" s="49"/>
      <c r="FW25" s="47"/>
      <c r="FY25" s="111">
        <v>1000</v>
      </c>
      <c r="GO25" s="49"/>
      <c r="GS25" s="47"/>
      <c r="GU25" s="111">
        <v>1000</v>
      </c>
      <c r="HK25" s="49"/>
      <c r="HO25" s="47"/>
      <c r="HQ25" s="111">
        <v>1000</v>
      </c>
      <c r="IG25" s="49"/>
      <c r="IK25" s="47"/>
      <c r="IM25" s="111">
        <v>1000</v>
      </c>
      <c r="JC25" s="49"/>
      <c r="JG25" s="47"/>
      <c r="JI25" s="111">
        <v>1000</v>
      </c>
      <c r="JY25" s="49"/>
      <c r="KC25" s="47"/>
      <c r="KE25" s="111">
        <v>1000</v>
      </c>
      <c r="KU25" s="49"/>
      <c r="KY25" s="47"/>
      <c r="LA25" s="111">
        <v>1000</v>
      </c>
      <c r="LQ25" s="49"/>
      <c r="LU25" s="47"/>
      <c r="LW25" s="111">
        <v>1000</v>
      </c>
      <c r="MM25" s="49"/>
      <c r="MQ25" s="47"/>
      <c r="MS25" s="111">
        <v>1000</v>
      </c>
      <c r="NI25" s="49"/>
      <c r="NM25" s="47"/>
      <c r="NO25" s="111">
        <v>1000</v>
      </c>
    </row>
    <row r="26" spans="1:409" x14ac:dyDescent="0.2">
      <c r="A26" s="49"/>
      <c r="B26" s="108" t="s">
        <v>47</v>
      </c>
      <c r="C26" s="49"/>
      <c r="O26" s="2"/>
      <c r="AR26" s="114"/>
      <c r="AS26" s="114"/>
      <c r="AT26" s="114"/>
      <c r="AV26" s="47"/>
      <c r="AW26" s="47"/>
      <c r="AX26" s="47"/>
      <c r="AY26" s="109">
        <v>48.3</v>
      </c>
      <c r="BV26" s="114"/>
      <c r="BW26" s="114"/>
      <c r="BX26" s="114"/>
      <c r="CA26" s="47"/>
      <c r="CC26" s="109">
        <v>48.3</v>
      </c>
      <c r="CZ26" s="114"/>
      <c r="DA26" s="114"/>
      <c r="DB26" s="114"/>
      <c r="DD26" s="47"/>
      <c r="DE26" s="47"/>
      <c r="DF26" s="47"/>
      <c r="DG26" s="109">
        <v>48.3</v>
      </c>
      <c r="EA26" s="49"/>
      <c r="EE26" s="47"/>
      <c r="EG26" s="109">
        <v>48.3</v>
      </c>
      <c r="EW26" s="49"/>
      <c r="FA26" s="47"/>
      <c r="FC26" s="109">
        <v>48.3</v>
      </c>
      <c r="FS26" s="49"/>
      <c r="FW26" s="47"/>
      <c r="FY26" s="109">
        <v>48.3</v>
      </c>
      <c r="GO26" s="49"/>
      <c r="GS26" s="47"/>
      <c r="GU26" s="109">
        <v>48.3</v>
      </c>
      <c r="HK26" s="49"/>
      <c r="HO26" s="47"/>
      <c r="HQ26" s="109">
        <v>48.3</v>
      </c>
      <c r="IG26" s="49"/>
      <c r="IK26" s="47"/>
      <c r="IM26" s="109">
        <v>48.3</v>
      </c>
      <c r="JC26" s="49"/>
      <c r="JG26" s="47"/>
      <c r="JI26" s="109">
        <v>48.3</v>
      </c>
      <c r="JY26" s="49"/>
      <c r="KC26" s="47"/>
      <c r="KE26" s="109">
        <v>48.3</v>
      </c>
      <c r="KU26" s="49"/>
      <c r="KY26" s="47"/>
      <c r="LA26" s="109">
        <v>48.3</v>
      </c>
      <c r="LQ26" s="49"/>
      <c r="LU26" s="47"/>
      <c r="LW26" s="109">
        <v>48.3</v>
      </c>
      <c r="MM26" s="49"/>
      <c r="MQ26" s="47"/>
      <c r="MS26" s="109">
        <v>48.3</v>
      </c>
      <c r="NI26" s="49"/>
      <c r="NM26" s="47"/>
      <c r="NO26" s="109">
        <v>48.3</v>
      </c>
    </row>
    <row r="27" spans="1:409" hidden="1" x14ac:dyDescent="0.2">
      <c r="A27" s="49"/>
      <c r="B27" s="64" t="s">
        <v>48</v>
      </c>
      <c r="C27" s="49"/>
      <c r="O27" s="2"/>
      <c r="AR27" s="114"/>
      <c r="AS27" s="114"/>
      <c r="AT27" s="114"/>
      <c r="AV27" s="47"/>
      <c r="AW27" s="47"/>
      <c r="AX27" s="47"/>
      <c r="AY27" s="58">
        <v>1000</v>
      </c>
      <c r="BV27" s="114"/>
      <c r="BW27" s="114"/>
      <c r="BX27" s="114"/>
      <c r="CA27" s="47"/>
      <c r="CC27" s="58">
        <v>1000</v>
      </c>
      <c r="CZ27" s="114"/>
      <c r="DA27" s="114"/>
      <c r="DB27" s="114"/>
      <c r="DD27" s="47"/>
      <c r="DE27" s="47"/>
      <c r="DF27" s="47"/>
      <c r="DG27" s="58">
        <v>1000</v>
      </c>
      <c r="EA27" s="49"/>
      <c r="EE27" s="47"/>
      <c r="EG27" s="58">
        <v>1000</v>
      </c>
      <c r="EW27" s="49"/>
      <c r="FA27" s="47"/>
      <c r="FC27" s="58">
        <v>1000</v>
      </c>
      <c r="FS27" s="49"/>
      <c r="FW27" s="47"/>
      <c r="FY27" s="58">
        <v>1000</v>
      </c>
      <c r="GO27" s="49"/>
      <c r="GS27" s="47"/>
      <c r="GU27" s="58">
        <v>1000</v>
      </c>
      <c r="HK27" s="49"/>
      <c r="HO27" s="47"/>
      <c r="HQ27" s="58">
        <v>1000</v>
      </c>
      <c r="IG27" s="49"/>
      <c r="IK27" s="47"/>
      <c r="IM27" s="58">
        <v>1000</v>
      </c>
      <c r="JC27" s="49"/>
      <c r="JG27" s="47"/>
      <c r="JI27" s="58">
        <v>1000</v>
      </c>
      <c r="JY27" s="49"/>
      <c r="KC27" s="47"/>
      <c r="KE27" s="58">
        <v>1000</v>
      </c>
      <c r="KU27" s="49"/>
      <c r="KY27" s="47"/>
      <c r="LA27" s="58">
        <v>1000</v>
      </c>
      <c r="LQ27" s="49"/>
      <c r="LU27" s="47"/>
      <c r="LW27" s="58">
        <v>1000</v>
      </c>
      <c r="MM27" s="49"/>
      <c r="MQ27" s="47"/>
      <c r="MS27" s="58">
        <v>1000</v>
      </c>
      <c r="NI27" s="49"/>
      <c r="NM27" s="47"/>
      <c r="NO27" s="58">
        <v>1000</v>
      </c>
    </row>
    <row r="28" spans="1:409" hidden="1" x14ac:dyDescent="0.2">
      <c r="A28" s="49"/>
      <c r="B28" s="106" t="s">
        <v>60</v>
      </c>
      <c r="C28" s="49"/>
      <c r="AR28" s="114"/>
      <c r="AS28" s="114"/>
      <c r="AT28" s="114"/>
      <c r="AV28" s="47"/>
      <c r="AW28" s="47"/>
      <c r="AX28" s="47"/>
      <c r="AY28" s="107">
        <v>1000</v>
      </c>
      <c r="BV28" s="114"/>
      <c r="BW28" s="114"/>
      <c r="BX28" s="114"/>
      <c r="CA28" s="47"/>
      <c r="CB28" s="117"/>
      <c r="CC28" s="107">
        <v>1000</v>
      </c>
      <c r="CZ28" s="114"/>
      <c r="DA28" s="114"/>
      <c r="DB28" s="114"/>
      <c r="DD28" s="47"/>
      <c r="DE28" s="47"/>
      <c r="DF28" s="47"/>
      <c r="DG28" s="107">
        <v>1000</v>
      </c>
      <c r="EA28" s="49"/>
      <c r="EE28" s="47"/>
      <c r="EF28" s="117"/>
      <c r="EG28" s="107">
        <v>1000</v>
      </c>
      <c r="EW28" s="49"/>
      <c r="FA28" s="47"/>
      <c r="FC28" s="107">
        <v>1000</v>
      </c>
      <c r="FS28" s="49"/>
      <c r="FW28" s="47"/>
      <c r="FY28" s="107">
        <v>1000</v>
      </c>
      <c r="GO28" s="49"/>
      <c r="GS28" s="47"/>
      <c r="GT28" s="117"/>
      <c r="GU28" s="107">
        <v>1000</v>
      </c>
      <c r="HK28" s="49"/>
      <c r="HO28" s="47"/>
      <c r="HP28" s="117"/>
      <c r="HQ28" s="107">
        <v>1000</v>
      </c>
      <c r="IG28" s="49"/>
      <c r="IK28" s="47"/>
      <c r="IL28" s="117"/>
      <c r="IM28" s="107">
        <v>1000</v>
      </c>
      <c r="JC28" s="49"/>
      <c r="JG28" s="47"/>
      <c r="JI28" s="107">
        <v>1000</v>
      </c>
      <c r="JY28" s="49"/>
      <c r="KC28" s="47"/>
      <c r="KE28" s="107">
        <v>1000</v>
      </c>
      <c r="KU28" s="49"/>
      <c r="KY28" s="47"/>
      <c r="LA28" s="107">
        <v>1000</v>
      </c>
      <c r="LQ28" s="49"/>
      <c r="LU28" s="47"/>
      <c r="LW28" s="107">
        <v>1000</v>
      </c>
      <c r="MM28" s="49"/>
      <c r="MQ28" s="47"/>
      <c r="MS28" s="107">
        <v>1000</v>
      </c>
      <c r="NI28" s="49"/>
      <c r="NM28" s="47"/>
      <c r="NO28" s="107">
        <v>1000</v>
      </c>
    </row>
    <row r="29" spans="1:409" hidden="1" x14ac:dyDescent="0.2">
      <c r="A29" s="49"/>
      <c r="B29" s="66" t="s">
        <v>34</v>
      </c>
      <c r="C29" s="49"/>
      <c r="O29" s="2"/>
      <c r="AR29" s="114"/>
      <c r="AS29" s="114"/>
      <c r="AT29" s="114"/>
      <c r="AV29" s="47"/>
      <c r="AW29" s="47"/>
      <c r="AX29" s="47"/>
      <c r="AY29" s="60">
        <v>1000</v>
      </c>
      <c r="BV29" s="114"/>
      <c r="BW29" s="114"/>
      <c r="BX29" s="114"/>
      <c r="CA29" s="47"/>
      <c r="CC29" s="60">
        <v>1000</v>
      </c>
      <c r="CZ29" s="114"/>
      <c r="DA29" s="114"/>
      <c r="DB29" s="114"/>
      <c r="DD29" s="47"/>
      <c r="DE29" s="47"/>
      <c r="DF29" s="47"/>
      <c r="DG29" s="60">
        <v>1000</v>
      </c>
      <c r="EA29" s="49"/>
      <c r="EE29" s="47"/>
      <c r="EG29" s="60">
        <v>1000</v>
      </c>
      <c r="EW29" s="49"/>
      <c r="FA29" s="47"/>
      <c r="FC29" s="60">
        <v>1000</v>
      </c>
      <c r="FS29" s="49"/>
      <c r="FW29" s="47"/>
      <c r="FY29" s="60">
        <v>1000</v>
      </c>
      <c r="GO29" s="49"/>
      <c r="GS29" s="47"/>
      <c r="GU29" s="60">
        <v>1000</v>
      </c>
      <c r="HK29" s="49"/>
      <c r="HO29" s="47"/>
      <c r="HQ29" s="60">
        <v>1000</v>
      </c>
      <c r="IG29" s="49"/>
      <c r="IK29" s="47"/>
      <c r="IL29" s="117"/>
      <c r="IM29" s="60">
        <v>1000</v>
      </c>
      <c r="JC29" s="49"/>
      <c r="JG29" s="47"/>
      <c r="JI29" s="60">
        <v>1000</v>
      </c>
      <c r="JY29" s="49"/>
      <c r="KC29" s="47"/>
      <c r="KE29" s="60">
        <v>1000</v>
      </c>
      <c r="KU29" s="49"/>
      <c r="KY29" s="47"/>
      <c r="LA29" s="60">
        <v>1000</v>
      </c>
      <c r="LQ29" s="49"/>
      <c r="LU29" s="47"/>
      <c r="LW29" s="60">
        <v>1000</v>
      </c>
      <c r="MM29" s="49"/>
      <c r="MQ29" s="47"/>
      <c r="MS29" s="60">
        <v>1000</v>
      </c>
      <c r="NI29" s="49"/>
      <c r="NM29" s="47"/>
      <c r="NO29" s="60">
        <v>1000</v>
      </c>
    </row>
    <row r="30" spans="1:409" x14ac:dyDescent="0.2">
      <c r="B30" s="74" t="s">
        <v>53</v>
      </c>
      <c r="C30" s="2"/>
      <c r="AU30" s="47"/>
      <c r="AV30" s="47"/>
      <c r="AX30" s="47"/>
      <c r="DC30" s="47"/>
      <c r="DD30" s="47"/>
      <c r="DF30" s="47"/>
      <c r="EX30" s="47"/>
    </row>
    <row r="31" spans="1:409" x14ac:dyDescent="0.2">
      <c r="A31" s="49"/>
      <c r="B31" s="49"/>
      <c r="C31" s="48"/>
      <c r="AQ31" s="47"/>
      <c r="AR31" s="47"/>
      <c r="AS31" s="47"/>
      <c r="AT31" s="47"/>
      <c r="AU31" s="47"/>
      <c r="AV31" s="47"/>
      <c r="AX31" s="47"/>
      <c r="CY31" s="47"/>
      <c r="CZ31" s="47"/>
      <c r="DA31" s="47"/>
      <c r="DB31" s="47"/>
      <c r="DC31" s="47"/>
      <c r="DD31" s="47"/>
      <c r="DF31" s="47"/>
    </row>
    <row r="32" spans="1:409" ht="17" x14ac:dyDescent="0.2">
      <c r="A32" s="49"/>
      <c r="B32" s="49"/>
      <c r="C32" s="48"/>
      <c r="S32" s="18"/>
      <c r="T32" s="18"/>
      <c r="AQ32" s="47"/>
      <c r="AR32" s="47"/>
      <c r="AS32" s="47"/>
      <c r="AT32" s="47"/>
      <c r="AU32" s="47"/>
      <c r="AV32" s="47"/>
      <c r="AX32" s="47"/>
      <c r="CY32" s="47"/>
      <c r="CZ32" s="47"/>
      <c r="DA32" s="47"/>
      <c r="DB32" s="47"/>
      <c r="DC32" s="47"/>
      <c r="DD32" s="47"/>
      <c r="DF32" s="47"/>
    </row>
    <row r="33" spans="1:110" ht="17" x14ac:dyDescent="0.2">
      <c r="A33" s="49"/>
      <c r="B33" s="49"/>
      <c r="C33" s="48"/>
      <c r="S33" s="18"/>
      <c r="AQ33" s="47"/>
      <c r="AR33" s="47"/>
      <c r="AS33" s="47"/>
      <c r="AT33" s="47"/>
      <c r="AU33" s="47"/>
      <c r="AV33" s="47"/>
      <c r="AX33" s="47"/>
      <c r="CY33" s="47"/>
      <c r="CZ33" s="47"/>
      <c r="DA33" s="47"/>
      <c r="DB33" s="47"/>
      <c r="DC33" s="47"/>
      <c r="DD33" s="47"/>
      <c r="DF33" s="47"/>
    </row>
    <row r="34" spans="1:110" ht="17" x14ac:dyDescent="0.2">
      <c r="S34" s="18"/>
      <c r="T34" s="18"/>
      <c r="AQ34" s="47"/>
      <c r="AR34" s="47"/>
      <c r="AS34" s="47"/>
      <c r="AT34" s="47"/>
      <c r="AU34" s="47"/>
      <c r="AV34" s="47"/>
      <c r="AX34" s="47"/>
      <c r="CY34" s="47"/>
      <c r="CZ34" s="47"/>
      <c r="DA34" s="47"/>
      <c r="DB34" s="47"/>
      <c r="DC34" s="47"/>
      <c r="DD34" s="47"/>
      <c r="DF34" s="47"/>
    </row>
    <row r="35" spans="1:110" ht="17" x14ac:dyDescent="0.2">
      <c r="S35" s="18"/>
      <c r="T35" s="18"/>
      <c r="AQ35" s="47"/>
      <c r="AR35" s="47"/>
      <c r="AS35" s="47"/>
      <c r="AT35" s="47"/>
      <c r="AU35" s="47"/>
      <c r="AV35" s="47"/>
      <c r="AX35" s="47"/>
      <c r="CY35" s="47"/>
      <c r="CZ35" s="47"/>
      <c r="DA35" s="47"/>
      <c r="DB35" s="47"/>
      <c r="DC35" s="47"/>
      <c r="DD35" s="47"/>
      <c r="DF35" s="47"/>
    </row>
    <row r="36" spans="1:110" ht="17" x14ac:dyDescent="0.2">
      <c r="S36" s="18"/>
      <c r="T36" s="18"/>
      <c r="AQ36" s="47"/>
      <c r="AR36" s="47"/>
      <c r="AS36" s="47"/>
      <c r="AT36" s="47"/>
      <c r="AU36" s="47"/>
      <c r="AV36" s="47"/>
      <c r="AX36" s="47"/>
      <c r="CY36" s="47"/>
      <c r="CZ36" s="47"/>
      <c r="DA36" s="47"/>
      <c r="DB36" s="47"/>
      <c r="DC36" s="47"/>
      <c r="DD36" s="47"/>
      <c r="DF36" s="47"/>
    </row>
    <row r="37" spans="1:110" ht="17" x14ac:dyDescent="0.2">
      <c r="S37" s="18"/>
      <c r="T37" s="18"/>
      <c r="U37" s="18"/>
    </row>
    <row r="38" spans="1:110" ht="17" x14ac:dyDescent="0.2">
      <c r="S38" s="18"/>
      <c r="T38" s="18"/>
      <c r="U38" s="18"/>
    </row>
    <row r="39" spans="1:110" ht="17" x14ac:dyDescent="0.2">
      <c r="S39" s="18"/>
      <c r="T39" s="18"/>
      <c r="U39" s="18"/>
    </row>
    <row r="40" spans="1:110" ht="17" x14ac:dyDescent="0.2">
      <c r="S40" s="18"/>
      <c r="T40" s="18"/>
      <c r="U40" s="18"/>
    </row>
    <row r="41" spans="1:110" ht="17" x14ac:dyDescent="0.2">
      <c r="S41" s="18"/>
      <c r="T41" s="18"/>
      <c r="U41" s="18"/>
    </row>
    <row r="42" spans="1:110" ht="17" x14ac:dyDescent="0.2">
      <c r="S42" s="18"/>
      <c r="T42" s="18"/>
      <c r="U42" s="18"/>
    </row>
    <row r="43" spans="1:110" ht="17" x14ac:dyDescent="0.2">
      <c r="S43" s="18"/>
      <c r="T43" s="18"/>
      <c r="U43" s="18"/>
    </row>
    <row r="44" spans="1:110" ht="17" x14ac:dyDescent="0.2">
      <c r="S44" s="18"/>
      <c r="T44" s="18"/>
      <c r="U44" s="18"/>
    </row>
    <row r="45" spans="1:110" ht="17" x14ac:dyDescent="0.2">
      <c r="S45" s="18"/>
      <c r="T45" s="18"/>
      <c r="U45" s="18"/>
    </row>
    <row r="46" spans="1:110" ht="17" x14ac:dyDescent="0.2">
      <c r="S46" s="18"/>
      <c r="T46" s="18"/>
      <c r="U46" s="18"/>
    </row>
    <row r="47" spans="1:110" ht="17" x14ac:dyDescent="0.2">
      <c r="S47" s="18"/>
      <c r="T47" s="18"/>
      <c r="U47" s="18"/>
    </row>
    <row r="48" spans="1:110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</sheetData>
  <sheetProtection sheet="1" formatCells="0" formatColumns="0" formatRows="0"/>
  <autoFilter ref="A1:OQ9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19">
      <sortCondition descending="1" ref="F1:F20"/>
    </sortState>
  </autoFilter>
  <mergeCells count="90"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DL2:DP2"/>
    <mergeCell ref="DQ2:DU2"/>
    <mergeCell ref="DV2:DZ2"/>
    <mergeCell ref="EH2:EL2"/>
    <mergeCell ref="EM2:EQ2"/>
    <mergeCell ref="ER2:EV2"/>
    <mergeCell ref="MT1:NO1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HR1:IM1"/>
    <mergeCell ref="IN1:JI1"/>
    <mergeCell ref="JJ1:KE1"/>
    <mergeCell ref="KF1:LA1"/>
    <mergeCell ref="LB1:LW1"/>
    <mergeCell ref="LX1:MS1"/>
    <mergeCell ref="DH1:DK1"/>
    <mergeCell ref="DL1:EG1"/>
    <mergeCell ref="EH1:FC1"/>
    <mergeCell ref="FD1:FY1"/>
    <mergeCell ref="FZ1:GU1"/>
    <mergeCell ref="GV1:HQ1"/>
    <mergeCell ref="S1:S3"/>
    <mergeCell ref="T1:T3"/>
    <mergeCell ref="U1:U3"/>
    <mergeCell ref="V1:AY1"/>
    <mergeCell ref="AZ1:CC1"/>
    <mergeCell ref="CD1:DG1"/>
    <mergeCell ref="CD2:CH2"/>
    <mergeCell ref="CI2:CM2"/>
    <mergeCell ref="CN2:CR2"/>
    <mergeCell ref="CS2:CW2"/>
    <mergeCell ref="R1:R3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Q3"/>
    <mergeCell ref="F1:F3"/>
    <mergeCell ref="A1:A3"/>
    <mergeCell ref="B1:B3"/>
    <mergeCell ref="C1:C3"/>
    <mergeCell ref="D1:D3"/>
    <mergeCell ref="E1:E3"/>
  </mergeCells>
  <conditionalFormatting sqref="I1:I1048576">
    <cfRule type="containsText" dxfId="110" priority="4" operator="containsText" text="No DD">
      <formula>NOT(ISERROR(SEARCH("No DD",I1)))</formula>
    </cfRule>
    <cfRule type="containsText" dxfId="109" priority="5" operator="containsText" text="Merit">
      <formula>NOT(ISERROR(SEARCH("Merit",I1)))</formula>
    </cfRule>
    <cfRule type="containsText" dxfId="108" priority="6" operator="containsText" text="Excellence">
      <formula>NOT(ISERROR(SEARCH("Excellence",I1)))</formula>
    </cfRule>
    <cfRule type="containsText" dxfId="107" priority="7" operator="containsText" text="Worlds Team">
      <formula>NOT(ISERROR(SEARCH("Worlds Team",I1)))</formula>
    </cfRule>
    <cfRule type="containsText" dxfId="106" priority="8" operator="containsText" text="National Team">
      <formula>NOT(ISERROR(SEARCH("National Team",I1)))</formula>
    </cfRule>
  </conditionalFormatting>
  <conditionalFormatting sqref="V4:AY19">
    <cfRule type="expression" dxfId="105" priority="1" stopIfTrue="1">
      <formula>IF($AP4&lt;&gt;"",1,0)</formula>
    </cfRule>
  </conditionalFormatting>
  <conditionalFormatting sqref="AZ4:CC19">
    <cfRule type="expression" dxfId="104" priority="2" stopIfTrue="1">
      <formula>IF($BT4&lt;&gt;"",1,0)</formula>
    </cfRule>
  </conditionalFormatting>
  <conditionalFormatting sqref="N1:N1048576 L1:L1048576 P1:P1048576 R1:R1048576">
    <cfRule type="expression" dxfId="103" priority="9">
      <formula>IF(L1=$CD$1,1,0)</formula>
    </cfRule>
    <cfRule type="expression" dxfId="102" priority="10">
      <formula>IF(L1=$AZ$1,1,0)</formula>
    </cfRule>
    <cfRule type="expression" dxfId="101" priority="11">
      <formula>IF(L1=$V$1,1,0)</formula>
    </cfRule>
  </conditionalFormatting>
  <conditionalFormatting sqref="A1:A1048576">
    <cfRule type="expression" dxfId="100" priority="12">
      <formula>AND(H1&lt;&gt;"",G1="")</formula>
    </cfRule>
  </conditionalFormatting>
  <conditionalFormatting sqref="CD4:DG19">
    <cfRule type="expression" dxfId="99" priority="3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98" priority="42011" operator="between">
      <formula>AY$26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97" priority="42056" operator="between">
      <formula>AY$26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96" priority="42101" operator="between">
      <formula>EG$25</formula>
      <formula>1000</formula>
    </cfRule>
    <cfRule type="cellIs" dxfId="95" priority="42102" operator="between">
      <formula>EG$24</formula>
      <formula>EG$25</formula>
    </cfRule>
    <cfRule type="cellIs" dxfId="94" priority="42103" operator="between">
      <formula>EG$23</formula>
      <formula>EG$24</formula>
    </cfRule>
    <cfRule type="cellIs" dxfId="93" priority="42104" operator="between">
      <formula>EG$22</formula>
      <formula>EG$23</formula>
    </cfRule>
  </conditionalFormatting>
  <conditionalFormatting sqref="AR1:AR1048576 BV1:BV1048576 CZ1:CZ1048576">
    <cfRule type="cellIs" dxfId="92" priority="42245" operator="between">
      <formula>AY$25</formula>
      <formula>1000</formula>
    </cfRule>
    <cfRule type="cellIs" dxfId="91" priority="42246" operator="between">
      <formula>AY$24</formula>
      <formula>AY$25</formula>
    </cfRule>
    <cfRule type="cellIs" dxfId="90" priority="42247" operator="between">
      <formula>AY$23</formula>
      <formula>AY$24</formula>
    </cfRule>
    <cfRule type="cellIs" dxfId="89" priority="42248" operator="between">
      <formula>AY$22</formula>
      <formula>AY$23</formula>
    </cfRule>
  </conditionalFormatting>
  <conditionalFormatting sqref="AS1:AS1048576 BW1:BW1048576 DA1:DA1048576">
    <cfRule type="cellIs" dxfId="88" priority="42281" operator="between">
      <formula>AY$26</formula>
      <formula>1000</formula>
    </cfRule>
  </conditionalFormatting>
  <conditionalFormatting sqref="AT1:AT1048576 BX1:BX1048576 DB1:DB1048576">
    <cfRule type="cellIs" dxfId="87" priority="42290" operator="between">
      <formula>AY$25</formula>
      <formula>1000</formula>
    </cfRule>
    <cfRule type="cellIs" dxfId="86" priority="42291" operator="between">
      <formula>AY$24</formula>
      <formula>AY$25</formula>
    </cfRule>
    <cfRule type="cellIs" dxfId="85" priority="42292" operator="between">
      <formula>AY$23</formula>
      <formula>AY$24</formula>
    </cfRule>
    <cfRule type="cellIs" dxfId="84" priority="42293" operator="between">
      <formula>AY$22</formula>
      <formula>AY$23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83" priority="42326" operator="between">
      <formula>AY$25</formula>
      <formula>1000</formula>
    </cfRule>
    <cfRule type="cellIs" dxfId="82" priority="42327" operator="between">
      <formula>AY$24</formula>
      <formula>AY$25</formula>
    </cfRule>
    <cfRule type="cellIs" dxfId="81" priority="42328" operator="between">
      <formula>AY$23</formula>
      <formula>AY$24</formula>
    </cfRule>
    <cfRule type="cellIs" dxfId="80" priority="42329" operator="between">
      <formula>AY$22</formula>
      <formula>AY$23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16" bestFit="1" customWidth="1"/>
    <col min="9" max="9" width="15.16406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100" width="10.83203125" hidden="1" customWidth="1"/>
    <col min="101" max="105" width="10.83203125" customWidth="1"/>
    <col min="106" max="358" width="10.83203125" hidden="1" customWidth="1"/>
    <col min="359" max="381" width="10.83203125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146</v>
      </c>
      <c r="J1" s="128" t="s">
        <v>10</v>
      </c>
      <c r="K1" s="128" t="s">
        <v>32</v>
      </c>
      <c r="L1" s="128" t="s">
        <v>12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67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70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76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24" t="s">
        <v>100</v>
      </c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6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4" t="s">
        <v>66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8"/>
      <c r="K2" s="128"/>
      <c r="L2" s="128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68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68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68</v>
      </c>
      <c r="CC2" s="9" t="s">
        <v>22</v>
      </c>
      <c r="CD2" s="9" t="s">
        <v>17</v>
      </c>
      <c r="CE2" s="21" t="s">
        <v>23</v>
      </c>
      <c r="CF2" s="21" t="s">
        <v>22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4" t="s">
        <v>31</v>
      </c>
      <c r="CT2" s="134"/>
      <c r="CU2" s="134"/>
      <c r="CV2" s="134"/>
      <c r="CW2" s="51" t="s">
        <v>24</v>
      </c>
      <c r="CX2" s="9" t="s">
        <v>23</v>
      </c>
      <c r="CY2" s="9" t="s">
        <v>68</v>
      </c>
      <c r="CZ2" s="9" t="s">
        <v>22</v>
      </c>
      <c r="DA2" s="9" t="s">
        <v>17</v>
      </c>
      <c r="DB2" s="125" t="s">
        <v>26</v>
      </c>
      <c r="DC2" s="125"/>
      <c r="DD2" s="125"/>
      <c r="DE2" s="125"/>
      <c r="DF2" s="125" t="s">
        <v>29</v>
      </c>
      <c r="DG2" s="125"/>
      <c r="DH2" s="125"/>
      <c r="DI2" s="125"/>
      <c r="DJ2" s="125" t="s">
        <v>30</v>
      </c>
      <c r="DK2" s="125"/>
      <c r="DL2" s="125"/>
      <c r="DM2" s="125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68</v>
      </c>
      <c r="DU2" s="12" t="s">
        <v>22</v>
      </c>
      <c r="DV2" s="12" t="s">
        <v>17</v>
      </c>
      <c r="DW2" s="122" t="s">
        <v>26</v>
      </c>
      <c r="DX2" s="122"/>
      <c r="DY2" s="122"/>
      <c r="DZ2" s="122"/>
      <c r="EA2" s="122" t="s">
        <v>29</v>
      </c>
      <c r="EB2" s="122"/>
      <c r="EC2" s="122"/>
      <c r="ED2" s="122"/>
      <c r="EE2" s="122" t="s">
        <v>30</v>
      </c>
      <c r="EF2" s="122"/>
      <c r="EG2" s="122"/>
      <c r="EH2" s="122"/>
      <c r="EI2" s="134" t="s">
        <v>31</v>
      </c>
      <c r="EJ2" s="134"/>
      <c r="EK2" s="134"/>
      <c r="EL2" s="134"/>
      <c r="EM2" s="51" t="s">
        <v>24</v>
      </c>
      <c r="EN2" s="9" t="s">
        <v>23</v>
      </c>
      <c r="EO2" s="9" t="s">
        <v>68</v>
      </c>
      <c r="EP2" s="9" t="s">
        <v>22</v>
      </c>
      <c r="EQ2" s="9" t="s">
        <v>17</v>
      </c>
      <c r="ER2" s="125" t="s">
        <v>26</v>
      </c>
      <c r="ES2" s="125"/>
      <c r="ET2" s="125"/>
      <c r="EU2" s="125"/>
      <c r="EV2" s="125" t="s">
        <v>29</v>
      </c>
      <c r="EW2" s="125"/>
      <c r="EX2" s="125"/>
      <c r="EY2" s="125"/>
      <c r="EZ2" s="125" t="s">
        <v>30</v>
      </c>
      <c r="FA2" s="125"/>
      <c r="FB2" s="125"/>
      <c r="FC2" s="125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68</v>
      </c>
      <c r="FK2" s="12" t="s">
        <v>22</v>
      </c>
      <c r="FL2" s="12" t="s">
        <v>17</v>
      </c>
      <c r="FM2" s="122" t="s">
        <v>26</v>
      </c>
      <c r="FN2" s="122"/>
      <c r="FO2" s="122"/>
      <c r="FP2" s="122"/>
      <c r="FQ2" s="122" t="s">
        <v>29</v>
      </c>
      <c r="FR2" s="122"/>
      <c r="FS2" s="122"/>
      <c r="FT2" s="122"/>
      <c r="FU2" s="122" t="s">
        <v>30</v>
      </c>
      <c r="FV2" s="122"/>
      <c r="FW2" s="122"/>
      <c r="FX2" s="122"/>
      <c r="FY2" s="134" t="s">
        <v>31</v>
      </c>
      <c r="FZ2" s="134"/>
      <c r="GA2" s="134"/>
      <c r="GB2" s="134"/>
      <c r="GC2" s="20" t="s">
        <v>24</v>
      </c>
      <c r="GD2" s="9" t="s">
        <v>23</v>
      </c>
      <c r="GE2" s="9" t="s">
        <v>68</v>
      </c>
      <c r="GF2" s="9" t="s">
        <v>22</v>
      </c>
      <c r="GG2" s="9" t="s">
        <v>17</v>
      </c>
      <c r="GH2" s="125" t="s">
        <v>26</v>
      </c>
      <c r="GI2" s="125"/>
      <c r="GJ2" s="125"/>
      <c r="GK2" s="125"/>
      <c r="GL2" s="125" t="s">
        <v>29</v>
      </c>
      <c r="GM2" s="125"/>
      <c r="GN2" s="125"/>
      <c r="GO2" s="125"/>
      <c r="GP2" s="125" t="s">
        <v>30</v>
      </c>
      <c r="GQ2" s="125"/>
      <c r="GR2" s="125"/>
      <c r="GS2" s="125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68</v>
      </c>
      <c r="HA2" s="12" t="s">
        <v>22</v>
      </c>
      <c r="HB2" s="12" t="s">
        <v>17</v>
      </c>
      <c r="HC2" s="122" t="s">
        <v>26</v>
      </c>
      <c r="HD2" s="122"/>
      <c r="HE2" s="122"/>
      <c r="HF2" s="122"/>
      <c r="HG2" s="122" t="s">
        <v>29</v>
      </c>
      <c r="HH2" s="122"/>
      <c r="HI2" s="122"/>
      <c r="HJ2" s="122"/>
      <c r="HK2" s="122" t="s">
        <v>30</v>
      </c>
      <c r="HL2" s="122"/>
      <c r="HM2" s="122"/>
      <c r="HN2" s="122"/>
      <c r="HO2" s="134" t="s">
        <v>31</v>
      </c>
      <c r="HP2" s="134"/>
      <c r="HQ2" s="134"/>
      <c r="HR2" s="134"/>
      <c r="HS2" s="20" t="s">
        <v>24</v>
      </c>
      <c r="HT2" s="9" t="s">
        <v>23</v>
      </c>
      <c r="HU2" s="9" t="s">
        <v>68</v>
      </c>
      <c r="HV2" s="9" t="s">
        <v>22</v>
      </c>
      <c r="HW2" s="9" t="s">
        <v>17</v>
      </c>
      <c r="HX2" s="125" t="s">
        <v>26</v>
      </c>
      <c r="HY2" s="125"/>
      <c r="HZ2" s="125"/>
      <c r="IA2" s="125"/>
      <c r="IB2" s="125" t="s">
        <v>29</v>
      </c>
      <c r="IC2" s="125"/>
      <c r="ID2" s="125"/>
      <c r="IE2" s="125"/>
      <c r="IF2" s="125" t="s">
        <v>30</v>
      </c>
      <c r="IG2" s="125"/>
      <c r="IH2" s="125"/>
      <c r="II2" s="125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68</v>
      </c>
      <c r="IQ2" s="12" t="s">
        <v>22</v>
      </c>
      <c r="IR2" s="12" t="s">
        <v>17</v>
      </c>
      <c r="IS2" s="122" t="s">
        <v>26</v>
      </c>
      <c r="IT2" s="122"/>
      <c r="IU2" s="122"/>
      <c r="IV2" s="122"/>
      <c r="IW2" s="122" t="s">
        <v>29</v>
      </c>
      <c r="IX2" s="122"/>
      <c r="IY2" s="122"/>
      <c r="IZ2" s="122"/>
      <c r="JA2" s="122" t="s">
        <v>30</v>
      </c>
      <c r="JB2" s="122"/>
      <c r="JC2" s="122"/>
      <c r="JD2" s="122"/>
      <c r="JE2" s="134" t="s">
        <v>31</v>
      </c>
      <c r="JF2" s="134"/>
      <c r="JG2" s="134"/>
      <c r="JH2" s="134"/>
      <c r="JI2" s="20" t="s">
        <v>24</v>
      </c>
      <c r="JJ2" s="9" t="s">
        <v>23</v>
      </c>
      <c r="JK2" s="9" t="s">
        <v>68</v>
      </c>
      <c r="JL2" s="9" t="s">
        <v>22</v>
      </c>
      <c r="JM2" s="9" t="s">
        <v>17</v>
      </c>
      <c r="JN2" s="125" t="s">
        <v>26</v>
      </c>
      <c r="JO2" s="125"/>
      <c r="JP2" s="125"/>
      <c r="JQ2" s="125"/>
      <c r="JR2" s="125" t="s">
        <v>29</v>
      </c>
      <c r="JS2" s="125"/>
      <c r="JT2" s="125"/>
      <c r="JU2" s="125"/>
      <c r="JV2" s="125" t="s">
        <v>30</v>
      </c>
      <c r="JW2" s="125"/>
      <c r="JX2" s="125"/>
      <c r="JY2" s="125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68</v>
      </c>
      <c r="KG2" s="12" t="s">
        <v>22</v>
      </c>
      <c r="KH2" s="12" t="s">
        <v>17</v>
      </c>
      <c r="KI2" s="122" t="s">
        <v>26</v>
      </c>
      <c r="KJ2" s="122"/>
      <c r="KK2" s="122"/>
      <c r="KL2" s="122"/>
      <c r="KM2" s="122" t="s">
        <v>29</v>
      </c>
      <c r="KN2" s="122"/>
      <c r="KO2" s="122"/>
      <c r="KP2" s="122"/>
      <c r="KQ2" s="122" t="s">
        <v>30</v>
      </c>
      <c r="KR2" s="122"/>
      <c r="KS2" s="122"/>
      <c r="KT2" s="122"/>
      <c r="KU2" s="134" t="s">
        <v>31</v>
      </c>
      <c r="KV2" s="134"/>
      <c r="KW2" s="134"/>
      <c r="KX2" s="134"/>
      <c r="KY2" s="20" t="s">
        <v>24</v>
      </c>
      <c r="KZ2" s="9" t="s">
        <v>23</v>
      </c>
      <c r="LA2" s="9" t="s">
        <v>68</v>
      </c>
      <c r="LB2" s="9" t="s">
        <v>22</v>
      </c>
      <c r="LC2" s="9" t="s">
        <v>17</v>
      </c>
      <c r="LD2" s="125" t="s">
        <v>26</v>
      </c>
      <c r="LE2" s="125"/>
      <c r="LF2" s="125"/>
      <c r="LG2" s="125"/>
      <c r="LH2" s="125" t="s">
        <v>29</v>
      </c>
      <c r="LI2" s="125"/>
      <c r="LJ2" s="125"/>
      <c r="LK2" s="125"/>
      <c r="LL2" s="125" t="s">
        <v>30</v>
      </c>
      <c r="LM2" s="125"/>
      <c r="LN2" s="125"/>
      <c r="LO2" s="125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68</v>
      </c>
      <c r="LW2" s="12" t="s">
        <v>22</v>
      </c>
      <c r="LX2" s="12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68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8"/>
      <c r="K3" s="128"/>
      <c r="L3" s="128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IF(AND(F4="P",G4="P"),SUMPRODUCT((F$4:F$8="P")*(G$4:G$8="P")*(E$4:E$8&gt;E4))+1,IF(G4="P",SUMPRODUCT((F$4:F$8="")*(G$4:G$8="P")*(E$4:E$8&gt;E4))+1+SUMPRODUCT((F$4:F$8="P")*(G$4:G$8="P")),""))</f>
        <v>1</v>
      </c>
      <c r="B4" s="6" t="s">
        <v>98</v>
      </c>
      <c r="C4" s="7" t="s">
        <v>4</v>
      </c>
      <c r="D4" s="26">
        <v>2002</v>
      </c>
      <c r="E4" s="15">
        <f>SUM(J4:N4)</f>
        <v>126.5</v>
      </c>
      <c r="F4" s="3" t="str">
        <f>IF(OR(AND(AH4&gt;=AL$10,AI4&gt;=AL$14,AI4&lt;&gt;"",AG4=""),AND(BD4&gt;=BH$10,BE4&gt;=BH$14,BE4&lt;&gt;"",BC4=""),AND(BZ4&gt;=CD$10,CA4&gt;=CD$14,CA4&lt;&gt;"",BY4=""),AND(CW4&gt;=DA$10,CX4&gt;=DA$14,CX4&lt;&gt;""),AND(DR4&gt;=DV$10,DS4&gt;=DV$14,DS4&lt;&gt;""),AND(EM4&gt;=EQ$10,EN4&gt;=EQ$14,EN4&lt;&gt;""),AND(FH4&gt;=FL$10,FI4&gt;=FL$14,FI4&lt;&gt;""),AND(GC4&gt;=GG$10,GD4&gt;=GG$14,GD4&lt;&gt;""),AND(GX4&gt;=HB$10,GY4&gt;=HB$14,GY4&lt;&gt;""),AND(HS4&gt;=HW$10,HT4&gt;=HW$14,HT4&lt;&gt;""),AND(IN4&gt;=IR$10,IO4&gt;=IR$14,IO4&lt;&gt;""),AND(JI4&gt;=JM$10,JJ4&gt;=JM$14,JJ4&lt;&gt;""),AND(KD4&gt;=KH$10,KE4&gt;=KH$14,KE4&lt;&gt;""),AND(KY4&gt;=LC$10,KZ4&gt;=LC$14,KZ4&lt;&gt;""),AND(LT4&gt;=LX$10,LU4&gt;=LX$14,LU4&lt;&gt;"")),"P","")</f>
        <v>P</v>
      </c>
      <c r="G4" s="3" t="str">
        <f>IF(OR(AND(AI4&gt;=AL$14,AI4&lt;&gt;"",AG4=""),AND(BE4&gt;=BH$14,BE4&lt;&gt;"",BC4=""),AND(CA4&gt;=CD$14,CA4&lt;&gt;"",BY4=""),AND(CX4&gt;=DA$14,CX4&lt;&gt;""),AND(DS4&gt;=DV$14,DS4&lt;&gt;""),AND(EN4&gt;=EQ$14,EN4&lt;&gt;""),AND(FI4&gt;=FL$14,FI4&lt;&gt;""),AND(GD4&gt;=GG$14,GD4&lt;&gt;""),AND(GY4&gt;=HB$14,GY4&lt;&gt;""),AND(HT4&gt;=HW$14,HT4&lt;&gt;""),AND(IO4&gt;=IR$14,IO4&lt;&gt;""),AND(JJ4&gt;=JM$14,JJ4&lt;&gt;""),AND(KE4&gt;=KH$14,KE4&lt;&gt;""),AND(KZ4&gt;=LC$14,KZ4&lt;&gt;""),AND(LU4&gt;=LX$14,LU4&lt;&gt;"")),"P","")</f>
        <v>P</v>
      </c>
      <c r="H4" s="116" t="str">
        <f>IF(AND(G4="P",F4=""),"No DD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Merit",IF(OR(AND(AI4&gt;=AL$16,AI4&lt;&gt;"",AH4&gt;=AL$12,AH4&lt;&gt;"",AG4=""),AND(BE4&gt;=BH$16,BE4&lt;&gt;"",BD4&gt;=BH$12,BD4&lt;&gt;"",BC4=""),AND(CA4&gt;=CD$16,CA4&lt;&gt;"",BZ4&gt;=CD$12,BZ4&lt;&gt;"",BY4=""),AND(CX4&gt;=DA$16,CX4&lt;&gt;"",CW4&gt;=DA$12,CW4&lt;&gt;""),AND(DS4&gt;=DV$16,DS4&lt;&gt;"",DR4&gt;=DV$12,DR4&lt;&gt;""),AND(EN4&gt;=EQ$16,EN4&lt;&gt;"",EM4&gt;=EQ$12,EM4&lt;&gt;""),AND(FI4&gt;=FL$16,FI4&lt;&gt;"",FH4&gt;=FL$12,FH4&lt;&gt;""),AND(GD4&gt;=GG$16,GD4&lt;&gt;"",GC4&gt;=GG$12,GC4&lt;&gt;""),AND(GY4&gt;=HB$16,GY4&lt;&gt;"",GX4&gt;=HB$12,GX4&lt;&gt;""),AND(HT4&gt;=HW$16,HT4&lt;&gt;"",HS4&gt;=HW$12,HS4&lt;&gt;""),AND(IO4&gt;=IR$16,IO4&lt;&gt;"",IN4&gt;=IR$12,IN4&lt;&gt;""),AND(JJ4&gt;=JM$16,JJ4&lt;&gt;"",JI4&gt;=JM$12,JI4&lt;&gt;""),AND(KE4&gt;=KH$16,KE4&lt;&gt;"",KD4&gt;=KH$12,KD4&lt;&gt;""),AND(KZ4&gt;=LC$16,KZ4&lt;&gt;"",KY4&gt;=LC$12,KY4&lt;&gt;""),AND(LU4&gt;=LX$16,LU4&lt;&gt;"",LT4&gt;=LX$12,LT4&lt;&gt;"")),"Excellence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Worlds Team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63.199999999999996</v>
      </c>
      <c r="K4" s="14" t="str">
        <f>IF(J4=0,"",IF(J4=CA4,$BI$1,IF(J4=BE4,$AM$1,IF(J4=AI4,$Q$1,""))))</f>
        <v>2019 Nationals</v>
      </c>
      <c r="L4" s="14">
        <f>MAX(AK4,BG4,CC4)</f>
        <v>63.300000000000004</v>
      </c>
      <c r="M4" s="14" t="str">
        <f>IF(L4=0,"",IF(J4=CC4,$BI$1,IF(L4=BG4,$AM$1,IF(L4=AK4,$Q$1,""))))</f>
        <v>2019 Nationals</v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1">
        <v>22.7</v>
      </c>
      <c r="R4" s="41">
        <v>4.8</v>
      </c>
      <c r="S4" s="41">
        <v>0</v>
      </c>
      <c r="T4" s="41">
        <v>0</v>
      </c>
      <c r="U4" s="41">
        <v>26</v>
      </c>
      <c r="V4" s="41">
        <v>4.7</v>
      </c>
      <c r="W4" s="41">
        <v>0</v>
      </c>
      <c r="X4" s="41">
        <v>0</v>
      </c>
      <c r="Y4" s="41">
        <v>25.1</v>
      </c>
      <c r="Z4" s="41">
        <v>5.7</v>
      </c>
      <c r="AA4" s="41">
        <v>0</v>
      </c>
      <c r="AB4" s="41">
        <v>0</v>
      </c>
      <c r="AC4" s="41">
        <v>26.3</v>
      </c>
      <c r="AD4" s="41">
        <v>4.7</v>
      </c>
      <c r="AE4" s="41">
        <v>0</v>
      </c>
      <c r="AF4" s="41">
        <v>0</v>
      </c>
      <c r="AG4" s="72"/>
      <c r="AH4" s="11">
        <f>IF(SUM(R4,V4)&gt;0,SUM(R4,V4),"")</f>
        <v>9.5</v>
      </c>
      <c r="AI4" s="11">
        <f>IF(SUM(Q4:R4,T4:V4,X4)-S4-W4&gt;0,SUM(Q4:R4,T4:V4,X4)-S4-W4,"")</f>
        <v>58.2</v>
      </c>
      <c r="AJ4" s="11">
        <f>IF(SUM(Z4,AD4)&gt;0,SUM(Z4,AD4),"")</f>
        <v>10.4</v>
      </c>
      <c r="AK4" s="11">
        <f>IF(SUM(Y4:Z4,AB4:AD4,AF4)-SUM(AA4,AE4)&gt;0,SUM(Y4:Z4,AB4:AD4,AF4)-SUM(AA4,AE4),"")</f>
        <v>61.800000000000004</v>
      </c>
      <c r="AL4" s="11">
        <f>IF(SUM(AI4,AK4)&gt;0,SUM(AI4,AK4),"")</f>
        <v>120</v>
      </c>
      <c r="AM4" s="36">
        <v>25.8</v>
      </c>
      <c r="AN4" s="36">
        <v>5.5</v>
      </c>
      <c r="AO4" s="36">
        <v>0</v>
      </c>
      <c r="AP4" s="36">
        <v>0</v>
      </c>
      <c r="AQ4" s="36">
        <v>25.5</v>
      </c>
      <c r="AR4" s="36">
        <v>5.4</v>
      </c>
      <c r="AS4" s="36">
        <v>0</v>
      </c>
      <c r="AT4" s="36">
        <v>1</v>
      </c>
      <c r="AU4" s="36">
        <v>25.7</v>
      </c>
      <c r="AV4" s="36">
        <v>5.3</v>
      </c>
      <c r="AW4" s="36">
        <v>0.3</v>
      </c>
      <c r="AX4" s="36">
        <v>0</v>
      </c>
      <c r="AY4" s="36">
        <v>25.5</v>
      </c>
      <c r="AZ4" s="36">
        <v>6.1</v>
      </c>
      <c r="BA4" s="36">
        <v>0</v>
      </c>
      <c r="BB4" s="36">
        <v>1</v>
      </c>
      <c r="BC4" s="73"/>
      <c r="BD4" s="14">
        <f>IF(SUM(AN4,AR4)&gt;0,SUM(AN4,AR4),"")</f>
        <v>10.9</v>
      </c>
      <c r="BE4" s="14">
        <f>IF(SUM(AM4:AN4,AP4:AR4,AT4)-AO4-AS4&gt;0,SUM(AM4:AN4,AP4:AR4,AT4)-AO4-AS4,"")</f>
        <v>63.199999999999996</v>
      </c>
      <c r="BF4" s="14">
        <f>IF(SUM(AV4,AZ4)&gt;0,SUM(AN4,AR4),"")</f>
        <v>10.9</v>
      </c>
      <c r="BG4" s="14">
        <f>IF(SUM(AU4:AV4,AX4:AZ4,BB4)-SUM(AW4,BA4)&gt;0,SUM(AU4:AV4,AX4:AZ4,BB4)-SUM(AW4,BA4),"")</f>
        <v>63.300000000000004</v>
      </c>
      <c r="BH4" s="14">
        <f>IF(SUM(BE4,BG4)&gt;0,SUM(BE4,BG4),"")</f>
        <v>126.5</v>
      </c>
      <c r="BI4" s="41">
        <v>23.1</v>
      </c>
      <c r="BJ4" s="41">
        <v>4.4000000000000004</v>
      </c>
      <c r="BK4" s="41">
        <v>0.6</v>
      </c>
      <c r="BL4" s="41">
        <v>0</v>
      </c>
      <c r="BM4" s="41">
        <v>26.2</v>
      </c>
      <c r="BN4" s="41">
        <v>6.1</v>
      </c>
      <c r="BO4" s="41">
        <v>0</v>
      </c>
      <c r="BP4" s="41">
        <v>0</v>
      </c>
      <c r="BQ4" s="41">
        <v>22.6</v>
      </c>
      <c r="BR4" s="41">
        <v>5.6</v>
      </c>
      <c r="BS4" s="41">
        <v>0.3</v>
      </c>
      <c r="BT4" s="41">
        <v>0</v>
      </c>
      <c r="BU4" s="41">
        <v>24.8</v>
      </c>
      <c r="BV4" s="41">
        <v>5.9</v>
      </c>
      <c r="BW4" s="41">
        <v>0</v>
      </c>
      <c r="BX4" s="41">
        <v>0</v>
      </c>
      <c r="BY4" s="72"/>
      <c r="BZ4" s="11">
        <f>IF(SUM(BJ4,BN4)&gt;0,SUM(BJ4,BN4),"")</f>
        <v>10.5</v>
      </c>
      <c r="CA4" s="11">
        <f>IF(SUM(BI4:BJ4,BL4:BN4,BP4)-BK4-BO4&gt;0,SUM(BI4:BJ4,BL4:BN4,BP4)-BK4-BO4,"")</f>
        <v>59.2</v>
      </c>
      <c r="CB4" s="11">
        <f>IF(SUM(BR4,BV4)&gt;0,SUM(BR4,BV4),"")</f>
        <v>11.5</v>
      </c>
      <c r="CC4" s="11">
        <f>IF(SUM(BQ4:BR4,BT4:BV4,BX4)-SUM(BS4,BW4)&gt;0,SUM(BQ4:BR4,BT4:BV4,BX4)-SUM(BS4,BW4),"")</f>
        <v>58.6</v>
      </c>
      <c r="CD4" s="11">
        <f>IF(SUM(CA4,CC4)&gt;0,SUM(CA4,CC4),"")</f>
        <v>117.80000000000001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>
        <v>26.6</v>
      </c>
      <c r="CH4" s="35">
        <v>5.8</v>
      </c>
      <c r="CI4" s="35">
        <v>0</v>
      </c>
      <c r="CJ4" s="35">
        <v>0</v>
      </c>
      <c r="CK4" s="35">
        <v>24.6</v>
      </c>
      <c r="CL4" s="35">
        <v>5.4</v>
      </c>
      <c r="CM4" s="35">
        <v>0</v>
      </c>
      <c r="CN4" s="35">
        <v>0</v>
      </c>
      <c r="CO4" s="35"/>
      <c r="CP4" s="35"/>
      <c r="CQ4" s="35"/>
      <c r="CR4" s="35"/>
      <c r="CS4" s="35"/>
      <c r="CT4" s="35"/>
      <c r="CU4" s="35"/>
      <c r="CV4" s="35"/>
      <c r="CW4" s="11">
        <f>IF(SUM(CH4,CL4)&gt;0,SUM(CH4,CL4),"")</f>
        <v>11.2</v>
      </c>
      <c r="CX4" s="11">
        <f>IF(SUM(CG4:CH4,CJ4:CL4,CN4)-CI4-CM4&gt;0,SUM(CG4:CH4,CJ4:CL4,CN4)-CI4-CM4,"")</f>
        <v>62.4</v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>
        <f>IF(SUM(CX4,CZ4)&gt;0,SUM(CX4,CZ4),"")</f>
        <v>62.4</v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24.450000000000003</v>
      </c>
      <c r="LZ4" s="61">
        <f>IF($BY4="P",BJ4,(BJ4+AN4)/2)</f>
        <v>4.95</v>
      </c>
      <c r="MA4" s="61">
        <f>IF($BY4="P",BK4,(BK4+AO4)/2)</f>
        <v>0.3</v>
      </c>
      <c r="MB4" s="61">
        <f>IF($BY4="P",BL4,(BL4+AP4)/2)</f>
        <v>0</v>
      </c>
      <c r="MC4" s="61">
        <f>IF($BY4="P",BM4,(BM4+AQ4)/2)</f>
        <v>25.85</v>
      </c>
      <c r="MD4" s="61">
        <f>IF($BY4="P",BN4,(BN4+AR4)/2)</f>
        <v>5.75</v>
      </c>
      <c r="ME4" s="61">
        <f>IF($BY4="P",BO4,(BO4+AS4)/2)</f>
        <v>0</v>
      </c>
      <c r="MF4" s="61">
        <f>IF($BY4="P",BP4,(BP4+AT4)/2)</f>
        <v>0.5</v>
      </c>
      <c r="MG4" s="61">
        <f>IF($BY4="P",BQ4,(BQ4+AU4)/2)</f>
        <v>24.15</v>
      </c>
      <c r="MH4" s="61">
        <f>IF($BY4="P",BR4,(BR4+AV4)/2)</f>
        <v>5.4499999999999993</v>
      </c>
      <c r="MI4" s="61">
        <f>IF($BY4="P",BS4,(BS4+AW4)/2)</f>
        <v>0.3</v>
      </c>
      <c r="MJ4" s="61">
        <f>IF($BY4="P",BT4,(BT4+AX4)/2)</f>
        <v>0</v>
      </c>
      <c r="MK4" s="61">
        <f>IF($BY4="P",BU4,(BU4+AY4)/2)</f>
        <v>25.15</v>
      </c>
      <c r="ML4" s="61">
        <f>IF($BY4="P",BV4,(BV4+AZ4)/2)</f>
        <v>6</v>
      </c>
      <c r="MM4" s="61">
        <f>IF($BY4="P",BW4,(BW4+BA4)/2)</f>
        <v>0</v>
      </c>
      <c r="MN4" s="61">
        <f>IF($BY4="P",BX4,(BX4+BB4)/2)</f>
        <v>0.5</v>
      </c>
      <c r="MO4" s="72" t="s">
        <v>52</v>
      </c>
      <c r="MP4" s="11">
        <f>IF(SUM(LZ4,MD4)&gt;0,SUM(LZ4,MD4),"")</f>
        <v>10.7</v>
      </c>
      <c r="MQ4" s="11">
        <f>IF(SUM(LY4:LZ4,MB4:MD4,MF4)-MA4-ME4&gt;0,SUM(LY4:LZ4,MB4:MD4,MF4)-MA4-ME4,"")</f>
        <v>61.2</v>
      </c>
      <c r="MR4" s="11">
        <f>IF(SUM(MH4,ML4)&gt;0,SUM(MH4,ML4),"")</f>
        <v>11.45</v>
      </c>
      <c r="MS4" s="11">
        <f>IF(SUM(MG4:MH4,MJ4:ML4,MN4)-SUM(MI4,MM4)&gt;0,SUM(MG4:MH4,MJ4:ML4,MN4)-SUM(MI4,MM4),"")</f>
        <v>60.95</v>
      </c>
      <c r="MT4" s="11">
        <f>IF(SUM(MQ4,MS4)&gt;0,SUM(MQ4,MS4),"")</f>
        <v>122.15</v>
      </c>
    </row>
    <row r="5" spans="1:358" x14ac:dyDescent="0.2">
      <c r="A5" s="5" t="str">
        <f>IF(AND(F5="P",G5="P"),SUMPRODUCT((F$4:F$8="P")*(G$4:G$8="P")*(E$4:E$8&gt;E5))+1,IF(G5="P",SUMPRODUCT((F$4:F$8="")*(G$4:G$8="P")*(E$4:E$8&gt;E5))+1+SUMPRODUCT((F$4:F$8="P")*(G$4:G$8="P")),""))</f>
        <v/>
      </c>
      <c r="B5" s="8" t="s">
        <v>124</v>
      </c>
      <c r="C5" s="4" t="s">
        <v>4</v>
      </c>
      <c r="D5" s="26">
        <v>2004</v>
      </c>
      <c r="E5" s="15">
        <f>SUM(J5:N5)</f>
        <v>113</v>
      </c>
      <c r="F5" s="3" t="str">
        <f>IF(OR(AND(AH5&gt;=AL$10,AI5&gt;=AL$14,AI5&lt;&gt;"",AG5=""),AND(BD5&gt;=BH$10,BE5&gt;=BH$14,BE5&lt;&gt;"",BC5=""),AND(BZ5&gt;=CD$10,CA5&gt;=CD$14,CA5&lt;&gt;"",BY5=""),AND(CW5&gt;=DA$10,CX5&gt;=DA$14,CX5&lt;&gt;""),AND(DR5&gt;=DV$10,DS5&gt;=DV$14,DS5&lt;&gt;""),AND(EM5&gt;=EQ$10,EN5&gt;=EQ$14,EN5&lt;&gt;""),AND(FH5&gt;=FL$10,FI5&gt;=FL$14,FI5&lt;&gt;""),AND(GC5&gt;=GG$10,GD5&gt;=GG$14,GD5&lt;&gt;""),AND(GX5&gt;=HB$10,GY5&gt;=HB$14,GY5&lt;&gt;""),AND(HS5&gt;=HW$10,HT5&gt;=HW$14,HT5&lt;&gt;""),AND(IN5&gt;=IR$10,IO5&gt;=IR$14,IO5&lt;&gt;""),AND(JI5&gt;=JM$10,JJ5&gt;=JM$14,JJ5&lt;&gt;""),AND(KD5&gt;=KH$10,KE5&gt;=KH$14,KE5&lt;&gt;""),AND(KY5&gt;=LC$10,KZ5&gt;=LC$14,KZ5&lt;&gt;""),AND(LT5&gt;=LX$10,LU5&gt;=LX$14,LU5&lt;&gt;"")),"P","")</f>
        <v/>
      </c>
      <c r="G5" s="3" t="str">
        <f>IF(OR(AND(AI5&gt;=AL$14,AI5&lt;&gt;"",AG5=""),AND(BE5&gt;=BH$14,BE5&lt;&gt;"",BC5=""),AND(CA5&gt;=CD$14,CA5&lt;&gt;"",BY5=""),AND(CX5&gt;=DA$14,CX5&lt;&gt;""),AND(DS5&gt;=DV$14,DS5&lt;&gt;""),AND(EN5&gt;=EQ$14,EN5&lt;&gt;""),AND(FI5&gt;=FL$14,FI5&lt;&gt;""),AND(GD5&gt;=GG$14,GD5&lt;&gt;""),AND(GY5&gt;=HB$14,GY5&lt;&gt;""),AND(HT5&gt;=HW$14,HT5&lt;&gt;""),AND(IO5&gt;=IR$14,IO5&lt;&gt;""),AND(JJ5&gt;=JM$14,JJ5&lt;&gt;""),AND(KE5&gt;=KH$14,KE5&lt;&gt;""),AND(KZ5&gt;=LC$14,KZ5&lt;&gt;""),AND(LU5&gt;=LX$14,LU5&lt;&gt;"")),"P","")</f>
        <v/>
      </c>
      <c r="H5" s="116" t="str">
        <f>IF(AND(G5="P",F5=""),"No DD",IF(OR(AND(AI5&gt;=AL$17,AI5&lt;&gt;"",AH5&gt;=AL$13,AH5&lt;&gt;"",AG5=""),AND(BE5&gt;=BH$17,BE5&lt;&gt;"",BD5&gt;=BH$13,BD5&lt;&gt;"",BC5=""),AND(CA5&gt;=CD$17,CA5&lt;&gt;"",BZ5&gt;=CD$13,BZ5&lt;&gt;"",BY5=""),AND(CX5&gt;=DA$17,CX5&lt;&gt;"",CW5&gt;=DA$13,CW5&lt;&gt;""),AND(DS5&gt;=DV$17,DS5&lt;&gt;"",DR5&gt;=DV$13,DR5&lt;&gt;""),AND(EN5&gt;=EQ$17,EN5&lt;&gt;"",EM5&gt;=EQ$13,EM5&lt;&gt;""),AND(FI5&gt;=FL$17,FI5&lt;&gt;"",FH5&gt;=FL$13,FH5&lt;&gt;""),AND(GD5&gt;=GG$17,GD5&lt;&gt;"",GC5&gt;=GG$13,GC5&lt;&gt;""),AND(GY5&gt;=HB$17,GY5&lt;&gt;"",GX5&gt;=HB$13,GX5&lt;&gt;""),AND(HT5&gt;=HW$17,HT5&lt;&gt;"",HS5&gt;=HW$13,HS5&lt;&gt;""),AND(IO5&gt;=IR$17,IO5&lt;&gt;"",IN5&gt;=IR$13,IN5&lt;&gt;""),AND(JJ5&gt;=JM$17,JJ5&lt;&gt;"",JI5&gt;=JM$13,JI5&lt;&gt;""),AND(KE5&gt;=KH$17,KE5&lt;&gt;"",KD5&gt;=KH$13,KD5&lt;&gt;""),AND(KZ5&gt;=LC$17,KZ5&lt;&gt;"",KY5&gt;=LC$13,KY5&lt;&gt;""),AND(LU5&gt;=LX$17,LU5&lt;&gt;"",LT5&gt;=LX$13,LT5&lt;&gt;"")),"Merit",IF(OR(AND(AI5&gt;=AL$16,AI5&lt;&gt;"",AH5&gt;=AL$12,AH5&lt;&gt;"",AG5=""),AND(BE5&gt;=BH$16,BE5&lt;&gt;"",BD5&gt;=BH$12,BD5&lt;&gt;"",BC5=""),AND(CA5&gt;=CD$16,CA5&lt;&gt;"",BZ5&gt;=CD$12,BZ5&lt;&gt;"",BY5=""),AND(CX5&gt;=DA$16,CX5&lt;&gt;"",CW5&gt;=DA$12,CW5&lt;&gt;""),AND(DS5&gt;=DV$16,DS5&lt;&gt;"",DR5&gt;=DV$12,DR5&lt;&gt;""),AND(EN5&gt;=EQ$16,EN5&lt;&gt;"",EM5&gt;=EQ$12,EM5&lt;&gt;""),AND(FI5&gt;=FL$16,FI5&lt;&gt;"",FH5&gt;=FL$12,FH5&lt;&gt;""),AND(GD5&gt;=GG$16,GD5&lt;&gt;"",GC5&gt;=GG$12,GC5&lt;&gt;""),AND(GY5&gt;=HB$16,GY5&lt;&gt;"",GX5&gt;=HB$12,GX5&lt;&gt;""),AND(HT5&gt;=HW$16,HT5&lt;&gt;"",HS5&gt;=HW$12,HS5&lt;&gt;""),AND(IO5&gt;=IR$16,IO5&lt;&gt;"",IN5&gt;=IR$12,IN5&lt;&gt;""),AND(JJ5&gt;=JM$16,JJ5&lt;&gt;"",JI5&gt;=JM$12,JI5&lt;&gt;""),AND(KE5&gt;=KH$16,KE5&lt;&gt;"",KD5&gt;=KH$12,KD5&lt;&gt;""),AND(KZ5&gt;=LC$16,KZ5&lt;&gt;"",KY5&gt;=LC$12,KY5&lt;&gt;""),AND(LU5&gt;=LX$16,LU5&lt;&gt;"",LT5&gt;=LX$12,LT5&lt;&gt;"")),"Excellence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Worlds Team",IF(OR(AND(AI5&gt;=AL$14,AI5&lt;&gt;"",AH5&gt;=AL$10,AH5&lt;&gt;"",AG5=""),AND(BE5&gt;=BH$14,BE5&lt;&gt;"",BD5&gt;=BH$10,BD5&lt;&gt;"",BC5=""),AND(CA5&gt;=CD$14,CA5&lt;&gt;"",BZ5&gt;=CD$10,BZ5&lt;&gt;"",BY5=""),AND(CX5&gt;=DA$14,CX5&lt;&gt;"",CW5&gt;=DA$10,CW5&lt;&gt;""),AND(DS5&gt;=DV$14,DS5&lt;&gt;"",DR5&gt;=DV$10,DR5&lt;&gt;""),AND(EN5&gt;=EQ$14,EN5&lt;&gt;"",EM5&gt;=EQ$10,EM5&lt;&gt;""),AND(FI5&gt;=FL$14,FI5&lt;&gt;"",FH5&gt;=FL$10,FH5&lt;&gt;""),AND(GD5&gt;=GG$14,GD5&lt;&gt;"",GC5&gt;=GG$10,GC5&lt;&gt;""),AND(GY5&gt;=HB$14,GY5&lt;&gt;"",GX5&gt;=HB$10,GX5&lt;&gt;""),AND(HT5&gt;=HW$14,HT5&lt;&gt;"",HS5&gt;=HW$10,HS5&lt;&gt;""),AND(IO5&gt;=IR$14,IO5&lt;&gt;"",IN5&gt;=IR$10,IN5&lt;&gt;""),AND(JJ5&gt;=JM$14,JJ5&lt;&gt;"",JI5&gt;=JM$10,JI5&lt;&gt;""),AND(KE5&gt;=KH$14,KE5&lt;&gt;"",KD5&gt;=KH$10,KD5&lt;&gt;""),AND(KZ5&gt;=LC$14,KZ5&lt;&gt;"",KY5&gt;=LC$10,KY5&lt;&gt;""),AND(LU5&gt;=LX$14,LU5&lt;&gt;"",LT5&gt;=LX$10,LT5&lt;&gt;"")),"National Team","")))))</f>
        <v/>
      </c>
      <c r="I5" s="3" t="str">
        <f>IF(OR(H5="Worlds Team",H5="Excellence",H5="Merit"),"P","")</f>
        <v/>
      </c>
      <c r="J5" s="14">
        <f>MAX(AI5,BE5,CA5)</f>
        <v>57.9</v>
      </c>
      <c r="K5" s="14" t="str">
        <f>IF(J5=0,"",IF(J5=CA5,$BI$1,IF(J5=BE5,$AM$1,IF(J5=AI5,$Q$1,""))))</f>
        <v>2021 1st Virtual Technical Trial</v>
      </c>
      <c r="L5" s="14">
        <f>MAX(AK5,BG5,CC5)</f>
        <v>55.1</v>
      </c>
      <c r="M5" s="14" t="str">
        <f>IF(L5=0,"",IF(J5=CC5,$BI$1,IF(L5=BG5,$AM$1,IF(L5=AK5,$Q$1,""))))</f>
        <v/>
      </c>
      <c r="N5" s="14" t="str">
        <f>IF(MAX(CE5:CF5)&gt;0,MAX(CE5:CF5),"")</f>
        <v/>
      </c>
      <c r="O5" s="24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72"/>
      <c r="AH5" s="11" t="str">
        <f>IF(SUM(R5,V5)&gt;0,SUM(R5,V5),"")</f>
        <v/>
      </c>
      <c r="AI5" s="11" t="str">
        <f>IF(SUM(Q5:R5,T5:V5,X5)-S5-W5&gt;0,SUM(Q5:R5,T5:V5,X5)-S5-W5,"")</f>
        <v/>
      </c>
      <c r="AJ5" s="11" t="str">
        <f>IF(SUM(Z5,AD5)&gt;0,SUM(Z5,AD5),"")</f>
        <v/>
      </c>
      <c r="AK5" s="11" t="str">
        <f>IF(SUM(Y5:Z5,AB5:AD5,AF5)-SUM(AA5,AE5)&gt;0,SUM(Y5:Z5,AB5:AD5,AF5)-SUM(AA5,AE5),"")</f>
        <v/>
      </c>
      <c r="AL5" s="11" t="str">
        <f>IF(SUM(AI5,AK5)&gt;0,SUM(AI5,AK5),"")</f>
        <v/>
      </c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73"/>
      <c r="BD5" s="14" t="str">
        <f>IF(SUM(AN5,AR5)&gt;0,SUM(AN5,AR5),"")</f>
        <v/>
      </c>
      <c r="BE5" s="14" t="str">
        <f>IF(SUM(AM5:AN5,AP5:AR5,AT5)-AO5-AS5&gt;0,SUM(AM5:AN5,AP5:AR5,AT5)-AO5-AS5,"")</f>
        <v/>
      </c>
      <c r="BF5" s="14" t="str">
        <f>IF(SUM(AV5,AZ5)&gt;0,SUM(AN5,AR5),"")</f>
        <v/>
      </c>
      <c r="BG5" s="14" t="str">
        <f>IF(SUM(AU5:AV5,AX5:AZ5,BB5)-SUM(AW5,BA5)&gt;0,SUM(AU5:AV5,AX5:AZ5,BB5)-SUM(AW5,BA5),"")</f>
        <v/>
      </c>
      <c r="BH5" s="14" t="str">
        <f>IF(SUM(BE5,BG5)&gt;0,SUM(BE5,BG5),"")</f>
        <v/>
      </c>
      <c r="BI5" s="61">
        <v>24</v>
      </c>
      <c r="BJ5" s="61">
        <v>4.5999999999999996</v>
      </c>
      <c r="BK5" s="61">
        <v>0</v>
      </c>
      <c r="BL5" s="61">
        <v>0.6</v>
      </c>
      <c r="BM5" s="61">
        <v>25.3</v>
      </c>
      <c r="BN5" s="61">
        <v>3.4</v>
      </c>
      <c r="BO5" s="61">
        <v>0</v>
      </c>
      <c r="BP5" s="61">
        <v>0</v>
      </c>
      <c r="BQ5" s="61">
        <v>25</v>
      </c>
      <c r="BR5" s="61">
        <v>3.9</v>
      </c>
      <c r="BS5" s="61">
        <v>0</v>
      </c>
      <c r="BT5" s="61">
        <v>0</v>
      </c>
      <c r="BU5" s="61">
        <v>22.8</v>
      </c>
      <c r="BV5" s="61">
        <v>3.4</v>
      </c>
      <c r="BW5" s="61">
        <v>0</v>
      </c>
      <c r="BX5" s="61">
        <v>0</v>
      </c>
      <c r="BY5" s="72"/>
      <c r="BZ5" s="11">
        <f>IF(SUM(BJ5,BN5)&gt;0,SUM(BJ5,BN5),"")</f>
        <v>8</v>
      </c>
      <c r="CA5" s="11">
        <f>IF(SUM(BI5:BJ5,BL5:BN5,BP5)-BK5-BO5&gt;0,SUM(BI5:BJ5,BL5:BN5,BP5)-BK5-BO5,"")</f>
        <v>57.9</v>
      </c>
      <c r="CB5" s="11">
        <f>IF(SUM(BR5,BV5)&gt;0,SUM(BR5,BV5),"")</f>
        <v>7.3</v>
      </c>
      <c r="CC5" s="11">
        <f>IF(SUM(BQ5:BR5,BT5:BV5,BX5)-SUM(BS5,BW5)&gt;0,SUM(BQ5:BR5,BT5:BV5,BX5)-SUM(BS5,BW5),"")</f>
        <v>55.1</v>
      </c>
      <c r="CD5" s="11">
        <f>IF(SUM(CA5,CC5)&gt;0,SUM(CA5,CC5),"")</f>
        <v>113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IF(MAX(CZ5,DU5,EP5,FK5,GF5,HA5,HV5,IQ5,JL5,KG5,LB5,LW5)-IF(L5="",0,L5)&gt;0.001,MAX(CZ5,DU5,EP5,FK5,GF5,HA5,HV5,IQ5,JL5,KG5,LB5,LW5)-IF(L5="",0,L5),"")</f>
        <v/>
      </c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/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12</v>
      </c>
      <c r="LZ5" s="61">
        <f>IF($BY5="P",BJ5,(BJ5+AN5)/2)</f>
        <v>2.2999999999999998</v>
      </c>
      <c r="MA5" s="61">
        <f>IF($BY5="P",BK5,(BK5+AO5)/2)</f>
        <v>0</v>
      </c>
      <c r="MB5" s="61">
        <f>IF($BY5="P",BL5,(BL5+AP5)/2)</f>
        <v>0.3</v>
      </c>
      <c r="MC5" s="61">
        <f>IF($BY5="P",BM5,(BM5+AQ5)/2)</f>
        <v>12.65</v>
      </c>
      <c r="MD5" s="61">
        <f>IF($BY5="P",BN5,(BN5+AR5)/2)</f>
        <v>1.7</v>
      </c>
      <c r="ME5" s="61">
        <f>IF($BY5="P",BO5,(BO5+AS5)/2)</f>
        <v>0</v>
      </c>
      <c r="MF5" s="61">
        <f>IF($BY5="P",BP5,(BP5+AT5)/2)</f>
        <v>0</v>
      </c>
      <c r="MG5" s="61">
        <f>IF($BY5="P",BQ5,(BQ5+AU5)/2)</f>
        <v>12.5</v>
      </c>
      <c r="MH5" s="61">
        <f>IF($BY5="P",BR5,(BR5+AV5)/2)</f>
        <v>1.95</v>
      </c>
      <c r="MI5" s="61">
        <f>IF($BY5="P",BS5,(BS5+AW5)/2)</f>
        <v>0</v>
      </c>
      <c r="MJ5" s="61">
        <f>IF($BY5="P",BT5,(BT5+AX5)/2)</f>
        <v>0</v>
      </c>
      <c r="MK5" s="61">
        <f>IF($BY5="P",BU5,(BU5+AY5)/2)</f>
        <v>11.4</v>
      </c>
      <c r="ML5" s="61">
        <f>IF($BY5="P",BV5,(BV5+AZ5)/2)</f>
        <v>1.7</v>
      </c>
      <c r="MM5" s="61">
        <f>IF($BY5="P",BW5,(BW5+BA5)/2)</f>
        <v>0</v>
      </c>
      <c r="MN5" s="61">
        <f>IF($BY5="P",BX5,(BX5+BB5)/2)</f>
        <v>0</v>
      </c>
      <c r="MO5" s="72" t="s">
        <v>52</v>
      </c>
      <c r="MP5" s="11">
        <f>IF(SUM(LZ5,MD5)&gt;0,SUM(LZ5,MD5),"")</f>
        <v>4</v>
      </c>
      <c r="MQ5" s="11">
        <f>IF(SUM(LY5:LZ5,MB5:MD5,MF5)-MA5-ME5&gt;0,SUM(LY5:LZ5,MB5:MD5,MF5)-MA5-ME5,"")</f>
        <v>28.95</v>
      </c>
      <c r="MR5" s="11">
        <f>IF(SUM(MH5,ML5)&gt;0,SUM(MH5,ML5),"")</f>
        <v>3.65</v>
      </c>
      <c r="MS5" s="11">
        <f>IF(SUM(MG5:MH5,MJ5:ML5,MN5)-SUM(MI5,MM5)&gt;0,SUM(MG5:MH5,MJ5:ML5,MN5)-SUM(MI5,MM5),"")</f>
        <v>27.55</v>
      </c>
      <c r="MT5" s="11">
        <f>IF(SUM(MQ5,MS5)&gt;0,SUM(MQ5,MS5),"")</f>
        <v>56.5</v>
      </c>
    </row>
    <row r="6" spans="1:358" x14ac:dyDescent="0.2">
      <c r="A6" s="5" t="str">
        <f>IF(AND(F6="P",G6="P"),SUMPRODUCT((F$4:F$8="P")*(G$4:G$8="P")*(E$4:E$8&gt;E6))+1,IF(G6="P",SUMPRODUCT((F$4:F$8="")*(G$4:G$8="P")*(E$4:E$8&gt;E6))+1+SUMPRODUCT((F$4:F$8="P")*(G$4:G$8="P")),""))</f>
        <v/>
      </c>
      <c r="B6" s="8" t="s">
        <v>99</v>
      </c>
      <c r="C6" s="4" t="s">
        <v>4</v>
      </c>
      <c r="D6" s="26">
        <v>2003</v>
      </c>
      <c r="E6" s="15">
        <f>SUM(J6:N6)</f>
        <v>53.199999999999996</v>
      </c>
      <c r="F6" s="3" t="str">
        <f>IF(OR(AND(AH6&gt;=AL$10,AI6&gt;=AL$14,AI6&lt;&gt;"",AG6=""),AND(BD6&gt;=BH$10,BE6&gt;=BH$14,BE6&lt;&gt;"",BC6=""),AND(BZ6&gt;=CD$10,CA6&gt;=CD$14,CA6&lt;&gt;"",BY6=""),AND(CW6&gt;=DA$10,CX6&gt;=DA$14,CX6&lt;&gt;""),AND(DR6&gt;=DV$10,DS6&gt;=DV$14,DS6&lt;&gt;""),AND(EM6&gt;=EQ$10,EN6&gt;=EQ$14,EN6&lt;&gt;""),AND(FH6&gt;=FL$10,FI6&gt;=FL$14,FI6&lt;&gt;""),AND(GC6&gt;=GG$10,GD6&gt;=GG$14,GD6&lt;&gt;""),AND(GX6&gt;=HB$10,GY6&gt;=HB$14,GY6&lt;&gt;""),AND(HS6&gt;=HW$10,HT6&gt;=HW$14,HT6&lt;&gt;""),AND(IN6&gt;=IR$10,IO6&gt;=IR$14,IO6&lt;&gt;""),AND(JI6&gt;=JM$10,JJ6&gt;=JM$14,JJ6&lt;&gt;""),AND(KD6&gt;=KH$10,KE6&gt;=KH$14,KE6&lt;&gt;""),AND(KY6&gt;=LC$10,KZ6&gt;=LC$14,KZ6&lt;&gt;""),AND(LT6&gt;=LX$10,LU6&gt;=LX$14,LU6&lt;&gt;"")),"P","")</f>
        <v/>
      </c>
      <c r="G6" s="3" t="str">
        <f>IF(OR(AND(AI6&gt;=AL$14,AI6&lt;&gt;"",AG6=""),AND(BE6&gt;=BH$14,BE6&lt;&gt;"",BC6=""),AND(CA6&gt;=CD$14,CA6&lt;&gt;"",BY6=""),AND(CX6&gt;=DA$14,CX6&lt;&gt;""),AND(DS6&gt;=DV$14,DS6&lt;&gt;""),AND(EN6&gt;=EQ$14,EN6&lt;&gt;""),AND(FI6&gt;=FL$14,FI6&lt;&gt;""),AND(GD6&gt;=GG$14,GD6&lt;&gt;""),AND(GY6&gt;=HB$14,GY6&lt;&gt;""),AND(HT6&gt;=HW$14,HT6&lt;&gt;""),AND(IO6&gt;=IR$14,IO6&lt;&gt;""),AND(JJ6&gt;=JM$14,JJ6&lt;&gt;""),AND(KE6&gt;=KH$14,KE6&lt;&gt;""),AND(KZ6&gt;=LC$14,KZ6&lt;&gt;""),AND(LU6&gt;=LX$14,LU6&lt;&gt;"")),"P","")</f>
        <v/>
      </c>
      <c r="H6" s="116" t="str">
        <f>IF(AND(G6="P",F6=""),"No DD",IF(OR(AND(AI6&gt;=AL$17,AI6&lt;&gt;"",AH6&gt;=AL$13,AH6&lt;&gt;"",AG6=""),AND(BE6&gt;=BH$17,BE6&lt;&gt;"",BD6&gt;=BH$13,BD6&lt;&gt;"",BC6=""),AND(CA6&gt;=CD$17,CA6&lt;&gt;"",BZ6&gt;=CD$13,BZ6&lt;&gt;"",BY6=""),AND(CX6&gt;=DA$17,CX6&lt;&gt;"",CW6&gt;=DA$13,CW6&lt;&gt;""),AND(DS6&gt;=DV$17,DS6&lt;&gt;"",DR6&gt;=DV$13,DR6&lt;&gt;""),AND(EN6&gt;=EQ$17,EN6&lt;&gt;"",EM6&gt;=EQ$13,EM6&lt;&gt;""),AND(FI6&gt;=FL$17,FI6&lt;&gt;"",FH6&gt;=FL$13,FH6&lt;&gt;""),AND(GD6&gt;=GG$17,GD6&lt;&gt;"",GC6&gt;=GG$13,GC6&lt;&gt;""),AND(GY6&gt;=HB$17,GY6&lt;&gt;"",GX6&gt;=HB$13,GX6&lt;&gt;""),AND(HT6&gt;=HW$17,HT6&lt;&gt;"",HS6&gt;=HW$13,HS6&lt;&gt;""),AND(IO6&gt;=IR$17,IO6&lt;&gt;"",IN6&gt;=IR$13,IN6&lt;&gt;""),AND(JJ6&gt;=JM$17,JJ6&lt;&gt;"",JI6&gt;=JM$13,JI6&lt;&gt;""),AND(KE6&gt;=KH$17,KE6&lt;&gt;"",KD6&gt;=KH$13,KD6&lt;&gt;""),AND(KZ6&gt;=LC$17,KZ6&lt;&gt;"",KY6&gt;=LC$13,KY6&lt;&gt;""),AND(LU6&gt;=LX$17,LU6&lt;&gt;"",LT6&gt;=LX$13,LT6&lt;&gt;"")),"Merit",IF(OR(AND(AI6&gt;=AL$16,AI6&lt;&gt;"",AH6&gt;=AL$12,AH6&lt;&gt;"",AG6=""),AND(BE6&gt;=BH$16,BE6&lt;&gt;"",BD6&gt;=BH$12,BD6&lt;&gt;"",BC6=""),AND(CA6&gt;=CD$16,CA6&lt;&gt;"",BZ6&gt;=CD$12,BZ6&lt;&gt;"",BY6=""),AND(CX6&gt;=DA$16,CX6&lt;&gt;"",CW6&gt;=DA$12,CW6&lt;&gt;""),AND(DS6&gt;=DV$16,DS6&lt;&gt;"",DR6&gt;=DV$12,DR6&lt;&gt;""),AND(EN6&gt;=EQ$16,EN6&lt;&gt;"",EM6&gt;=EQ$12,EM6&lt;&gt;""),AND(FI6&gt;=FL$16,FI6&lt;&gt;"",FH6&gt;=FL$12,FH6&lt;&gt;""),AND(GD6&gt;=GG$16,GD6&lt;&gt;"",GC6&gt;=GG$12,GC6&lt;&gt;""),AND(GY6&gt;=HB$16,GY6&lt;&gt;"",GX6&gt;=HB$12,GX6&lt;&gt;""),AND(HT6&gt;=HW$16,HT6&lt;&gt;"",HS6&gt;=HW$12,HS6&lt;&gt;""),AND(IO6&gt;=IR$16,IO6&lt;&gt;"",IN6&gt;=IR$12,IN6&lt;&gt;""),AND(JJ6&gt;=JM$16,JJ6&lt;&gt;"",JI6&gt;=JM$12,JI6&lt;&gt;""),AND(KE6&gt;=KH$16,KE6&lt;&gt;"",KD6&gt;=KH$12,KD6&lt;&gt;""),AND(KZ6&gt;=LC$16,KZ6&lt;&gt;"",KY6&gt;=LC$12,KY6&lt;&gt;""),AND(LU6&gt;=LX$16,LU6&lt;&gt;"",LT6&gt;=LX$12,LT6&lt;&gt;"")),"Excellence",IF(OR(AND(AI6&gt;=AL$15,AI6&lt;&gt;"",AH6&gt;=AL$11,AH6&lt;&gt;"",AG6=""),AND(BE6&gt;=BH$15,BE6&lt;&gt;"",BD6&gt;=BH$11,BD6&lt;&gt;"",BC6=""),AND(CA6&gt;=CD$15,CA6&lt;&gt;"",BZ6&gt;=CD$11,BZ6&lt;&gt;"",BY6=""),AND(CX6&gt;=DA$15,CX6&lt;&gt;"",CW6&gt;=DA$11,CW6&lt;&gt;""),AND(DS6&gt;=DV$15,DS6&lt;&gt;"",DR6&gt;=DV$11,DR6&lt;&gt;""),AND(EN6&gt;=EQ$15,EN6&lt;&gt;"",EM6&gt;=EQ$11,EM6&lt;&gt;""),AND(FI6&gt;=FL$15,FI6&lt;&gt;"",FH6&gt;=FL$11,FH6&lt;&gt;""),AND(GD6&gt;=GG$15,GD6&lt;&gt;"",GC6&gt;=GG$11,GC6&lt;&gt;""),AND(GY6&gt;=HB$15,GY6&lt;&gt;"",GX6&gt;=HB$11,GX6&lt;&gt;""),AND(HT6&gt;=HW$15,HT6&lt;&gt;"",HS6&gt;=HW$11,HS6&lt;&gt;""),AND(IO6&gt;=IR$15,IO6&lt;&gt;"",IN6&gt;=IR$11,IN6&lt;&gt;""),AND(JJ6&gt;=JM$15,JJ6&lt;&gt;"",JI6&gt;=JM$11,JI6&lt;&gt;""),AND(KE6&gt;=KH$15,KE6&lt;&gt;"",KD6&gt;=KH$11,KD6&lt;&gt;""),AND(KZ6&gt;=LC$15,KZ6&lt;&gt;"",KY6&gt;=LC$11,KY6&lt;&gt;""),AND(LU6&gt;=LX$15,LU6&lt;&gt;"",LT6&gt;=LX$11,LT6&lt;&gt;"")),"Worlds Team",IF(OR(AND(AI6&gt;=AL$14,AI6&lt;&gt;"",AH6&gt;=AL$10,AH6&lt;&gt;"",AG6=""),AND(BE6&gt;=BH$14,BE6&lt;&gt;"",BD6&gt;=BH$10,BD6&lt;&gt;"",BC6=""),AND(CA6&gt;=CD$14,CA6&lt;&gt;"",BZ6&gt;=CD$10,BZ6&lt;&gt;"",BY6=""),AND(CX6&gt;=DA$14,CX6&lt;&gt;"",CW6&gt;=DA$10,CW6&lt;&gt;""),AND(DS6&gt;=DV$14,DS6&lt;&gt;"",DR6&gt;=DV$10,DR6&lt;&gt;""),AND(EN6&gt;=EQ$14,EN6&lt;&gt;"",EM6&gt;=EQ$10,EM6&lt;&gt;""),AND(FI6&gt;=FL$14,FI6&lt;&gt;"",FH6&gt;=FL$10,FH6&lt;&gt;""),AND(GD6&gt;=GG$14,GD6&lt;&gt;"",GC6&gt;=GG$10,GC6&lt;&gt;""),AND(GY6&gt;=HB$14,GY6&lt;&gt;"",GX6&gt;=HB$10,GX6&lt;&gt;""),AND(HT6&gt;=HW$14,HT6&lt;&gt;"",HS6&gt;=HW$10,HS6&lt;&gt;""),AND(IO6&gt;=IR$14,IO6&lt;&gt;"",IN6&gt;=IR$10,IN6&lt;&gt;""),AND(JJ6&gt;=JM$14,JJ6&lt;&gt;"",JI6&gt;=JM$10,JI6&lt;&gt;""),AND(KE6&gt;=KH$14,KE6&lt;&gt;"",KD6&gt;=KH$10,KD6&lt;&gt;""),AND(KZ6&gt;=LC$14,KZ6&lt;&gt;"",KY6&gt;=LC$10,KY6&lt;&gt;""),AND(LU6&gt;=LX$14,LU6&lt;&gt;"",LT6&gt;=LX$10,LT6&lt;&gt;"")),"National Team","")))))</f>
        <v/>
      </c>
      <c r="I6" s="3" t="str">
        <f>IF(OR(H6="Worlds Team",H6="Excellence",H6="Merit"),"P","")</f>
        <v/>
      </c>
      <c r="J6" s="14">
        <f>MAX(AI6,BE6,CA6)</f>
        <v>53.199999999999996</v>
      </c>
      <c r="K6" s="14" t="str">
        <f>IF(J6=0,"",IF(J6=CA6,$BI$1,IF(J6=BE6,$AM$1,IF(J6=AI6,$Q$1,""))))</f>
        <v>2019 Elite Canada</v>
      </c>
      <c r="L6" s="14">
        <f>MAX(AK6,BG6,CC6)</f>
        <v>0</v>
      </c>
      <c r="M6" s="14" t="str">
        <f>IF(L6=0,"",IF(J6=CC6,$BI$1,IF(L6=BG6,$AM$1,IF(L6=AK6,$Q$1,""))))</f>
        <v/>
      </c>
      <c r="N6" s="14" t="str">
        <f>IF(MAX(CE6:CF6)&gt;0,MAX(CE6:CF6),"")</f>
        <v/>
      </c>
      <c r="O6" s="24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61">
        <v>23.4</v>
      </c>
      <c r="R6" s="61">
        <v>5.0999999999999996</v>
      </c>
      <c r="S6" s="61">
        <v>0</v>
      </c>
      <c r="T6" s="61">
        <v>0</v>
      </c>
      <c r="U6" s="61">
        <v>23.4</v>
      </c>
      <c r="V6" s="61">
        <v>1.3</v>
      </c>
      <c r="W6" s="61">
        <v>0</v>
      </c>
      <c r="X6" s="61">
        <v>0</v>
      </c>
      <c r="Y6" s="61"/>
      <c r="Z6" s="61"/>
      <c r="AA6" s="61"/>
      <c r="AB6" s="61"/>
      <c r="AC6" s="61"/>
      <c r="AD6" s="61"/>
      <c r="AE6" s="61"/>
      <c r="AF6" s="61"/>
      <c r="AG6" s="72"/>
      <c r="AH6" s="11">
        <f>IF(SUM(R6,V6)&gt;0,SUM(R6,V6),"")</f>
        <v>6.3999999999999995</v>
      </c>
      <c r="AI6" s="11">
        <f>IF(SUM(Q6:R6,T6:V6,X6)-S6-W6&gt;0,SUM(Q6:R6,T6:V6,X6)-S6-W6,"")</f>
        <v>53.199999999999996</v>
      </c>
      <c r="AJ6" s="11" t="str">
        <f>IF(SUM(Z6,AD6)&gt;0,SUM(Z6,AD6),"")</f>
        <v/>
      </c>
      <c r="AK6" s="11" t="str">
        <f>IF(SUM(Y6:Z6,AB6:AD6,AF6)-SUM(AA6,AE6)&gt;0,SUM(Y6:Z6,AB6:AD6,AF6)-SUM(AA6,AE6),"")</f>
        <v/>
      </c>
      <c r="AL6" s="11">
        <f>IF(SUM(AI6,AK6)&gt;0,SUM(AI6,AK6),"")</f>
        <v>53.199999999999996</v>
      </c>
      <c r="AM6" s="36">
        <v>23.6</v>
      </c>
      <c r="AN6" s="36">
        <v>5.5</v>
      </c>
      <c r="AO6" s="36">
        <v>0</v>
      </c>
      <c r="AP6" s="36">
        <v>0</v>
      </c>
      <c r="AQ6" s="36">
        <v>13.2</v>
      </c>
      <c r="AR6" s="36">
        <v>0.5</v>
      </c>
      <c r="AS6" s="36">
        <v>0</v>
      </c>
      <c r="AT6" s="36">
        <v>0</v>
      </c>
      <c r="AU6" s="36"/>
      <c r="AV6" s="36"/>
      <c r="AW6" s="36"/>
      <c r="AX6" s="36"/>
      <c r="AY6" s="36"/>
      <c r="AZ6" s="36"/>
      <c r="BA6" s="36"/>
      <c r="BB6" s="36"/>
      <c r="BC6" s="73"/>
      <c r="BD6" s="14">
        <f>IF(SUM(AN6,AR6)&gt;0,SUM(AN6,AR6),"")</f>
        <v>6</v>
      </c>
      <c r="BE6" s="14">
        <f>IF(SUM(AM6:AN6,AP6:AR6,AT6)-AO6-AS6&gt;0,SUM(AM6:AN6,AP6:AR6,AT6)-AO6-AS6,"")</f>
        <v>42.8</v>
      </c>
      <c r="BF6" s="14" t="str">
        <f>IF(SUM(AV6,AZ6)&gt;0,SUM(AN6,AR6),"")</f>
        <v/>
      </c>
      <c r="BG6" s="14" t="str">
        <f>IF(SUM(AU6:AV6,AX6:AZ6,BB6)-SUM(AW6,BA6)&gt;0,SUM(AU6:AV6,AX6:AZ6,BB6)-SUM(AW6,BA6),"")</f>
        <v/>
      </c>
      <c r="BH6" s="14">
        <f>IF(SUM(BE6,BG6)&gt;0,SUM(BE6,BG6),"")</f>
        <v>42.8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72"/>
      <c r="BZ6" s="11" t="str">
        <f>IF(SUM(BJ6,BN6)&gt;0,SUM(BJ6,BN6),"")</f>
        <v/>
      </c>
      <c r="CA6" s="11" t="str">
        <f>IF(SUM(BI6:BJ6,BL6:BN6,BP6)-BK6-BO6&gt;0,SUM(BI6:BJ6,BL6:BN6,BP6)-BK6-BO6,"")</f>
        <v/>
      </c>
      <c r="CB6" s="11" t="str">
        <f>IF(SUM(BR6,BV6)&gt;0,SUM(BR6,BV6),"")</f>
        <v/>
      </c>
      <c r="CC6" s="11" t="str">
        <f>IF(SUM(BQ6:BR6,BT6:BV6,BX6)-SUM(BS6,BW6)&gt;0,SUM(BQ6:BR6,BT6:BV6,BX6)-SUM(BS6,BW6),"")</f>
        <v/>
      </c>
      <c r="CD6" s="11" t="str">
        <f>IF(SUM(CA6,CC6)&gt;0,SUM(CA6,CC6),"")</f>
        <v/>
      </c>
      <c r="CE6" s="23" t="str">
        <f>IF(MAX(CX6,DS6,EN6,FI6,GD6,GY6,HT6,IO6,JJ6,KE6,KZ6,LU6)-IF(J6="",0,J6)&gt;0.001,MAX(CX6,DS6,EN6,FI6,GD6,GY6,HT6,IO6,JJ6,KE6,KZ6,LU6)-IF(J6="",0,J6),"")</f>
        <v/>
      </c>
      <c r="CF6" s="23" t="str">
        <f>IF(MAX(CZ6,DU6,EP6,FK6,GF6,HA6,HV6,IQ6,JL6,KG6,LB6,LW6)-IF(L6="",0,L6)&gt;0.001,MAX(CZ6,DU6,EP6,FK6,GF6,HA6,HV6,IQ6,JL6,KG6,LB6,LW6)-IF(L6="",0,L6),"")</f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/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11.8</v>
      </c>
      <c r="LZ6" s="61">
        <f>IF($BY6="P",BJ6,(BJ6+AN6)/2)</f>
        <v>2.75</v>
      </c>
      <c r="MA6" s="61">
        <f>IF($BY6="P",BK6,(BK6+AO6)/2)</f>
        <v>0</v>
      </c>
      <c r="MB6" s="61">
        <f>IF($BY6="P",BL6,(BL6+AP6)/2)</f>
        <v>0</v>
      </c>
      <c r="MC6" s="61">
        <f>IF($BY6="P",BM6,(BM6+AQ6)/2)</f>
        <v>6.6</v>
      </c>
      <c r="MD6" s="61">
        <f>IF($BY6="P",BN6,(BN6+AR6)/2)</f>
        <v>0.25</v>
      </c>
      <c r="ME6" s="61">
        <f>IF($BY6="P",BO6,(BO6+AS6)/2)</f>
        <v>0</v>
      </c>
      <c r="MF6" s="61">
        <f>IF($BY6="P",BP6,(BP6+AT6)/2)</f>
        <v>0</v>
      </c>
      <c r="MG6" s="61">
        <f>IF($BY6="P",BQ6,(BQ6+AU6)/2)</f>
        <v>0</v>
      </c>
      <c r="MH6" s="61">
        <f>IF($BY6="P",BR6,(BR6+AV6)/2)</f>
        <v>0</v>
      </c>
      <c r="MI6" s="61">
        <f>IF($BY6="P",BS6,(BS6+AW6)/2)</f>
        <v>0</v>
      </c>
      <c r="MJ6" s="61">
        <f>IF($BY6="P",BT6,(BT6+AX6)/2)</f>
        <v>0</v>
      </c>
      <c r="MK6" s="61">
        <f>IF($BY6="P",BU6,(BU6+AY6)/2)</f>
        <v>0</v>
      </c>
      <c r="ML6" s="61">
        <f>IF($BY6="P",BV6,(BV6+AZ6)/2)</f>
        <v>0</v>
      </c>
      <c r="MM6" s="61">
        <f>IF($BY6="P",BW6,(BW6+BA6)/2)</f>
        <v>0</v>
      </c>
      <c r="MN6" s="61">
        <f>IF($BY6="P",BX6,(BX6+BB6)/2)</f>
        <v>0</v>
      </c>
      <c r="MO6" s="72" t="s">
        <v>52</v>
      </c>
      <c r="MP6" s="11">
        <f>IF(SUM(LZ6,MD6)&gt;0,SUM(LZ6,MD6),"")</f>
        <v>3</v>
      </c>
      <c r="MQ6" s="11">
        <f>IF(SUM(LY6:LZ6,MB6:MD6,MF6)-MA6-ME6&gt;0,SUM(LY6:LZ6,MB6:MD6,MF6)-MA6-ME6,"")</f>
        <v>21.4</v>
      </c>
      <c r="MR6" s="11" t="str">
        <f>IF(SUM(MH6,ML6)&gt;0,SUM(MH6,ML6),"")</f>
        <v/>
      </c>
      <c r="MS6" s="11" t="str">
        <f>IF(SUM(MG6:MH6,MJ6:ML6,MN6)-SUM(MI6,MM6)&gt;0,SUM(MG6:MH6,MJ6:ML6,MN6)-SUM(MI6,MM6),"")</f>
        <v/>
      </c>
      <c r="MT6" s="11">
        <f>IF(SUM(MQ6,MS6)&gt;0,SUM(MQ6,MS6),"")</f>
        <v>21.4</v>
      </c>
    </row>
    <row r="7" spans="1:358" x14ac:dyDescent="0.2">
      <c r="A7" s="5" t="str">
        <f>IF(AND(F7="P",G7="P"),SUMPRODUCT((F$4:F$8="P")*(G$4:G$8="P")*(E$4:E$8&gt;E7))+1,IF(G7="P",SUMPRODUCT((F$4:F$8="")*(G$4:G$8="P")*(E$4:E$8&gt;E7))+1+SUMPRODUCT((F$4:F$8="P")*(G$4:G$8="P")),""))</f>
        <v/>
      </c>
      <c r="B7" s="8" t="s">
        <v>102</v>
      </c>
      <c r="C7" s="4" t="s">
        <v>4</v>
      </c>
      <c r="D7" s="26">
        <v>2003</v>
      </c>
      <c r="E7" s="15">
        <f>SUM(J7:N7)</f>
        <v>50.1</v>
      </c>
      <c r="F7" s="3" t="str">
        <f>IF(OR(AND(AH7&gt;=AL$10,AI7&gt;=AL$14,AI7&lt;&gt;"",AG7=""),AND(BD7&gt;=BH$10,BE7&gt;=BH$14,BE7&lt;&gt;"",BC7=""),AND(BZ7&gt;=CD$10,CA7&gt;=CD$14,CA7&lt;&gt;"",BY7=""),AND(CW7&gt;=DA$10,CX7&gt;=DA$14,CX7&lt;&gt;""),AND(DR7&gt;=DV$10,DS7&gt;=DV$14,DS7&lt;&gt;""),AND(EM7&gt;=EQ$10,EN7&gt;=EQ$14,EN7&lt;&gt;""),AND(FH7&gt;=FL$10,FI7&gt;=FL$14,FI7&lt;&gt;""),AND(GC7&gt;=GG$10,GD7&gt;=GG$14,GD7&lt;&gt;""),AND(GX7&gt;=HB$10,GY7&gt;=HB$14,GY7&lt;&gt;""),AND(HS7&gt;=HW$10,HT7&gt;=HW$14,HT7&lt;&gt;""),AND(IN7&gt;=IR$10,IO7&gt;=IR$14,IO7&lt;&gt;""),AND(JI7&gt;=JM$10,JJ7&gt;=JM$14,JJ7&lt;&gt;""),AND(KD7&gt;=KH$10,KE7&gt;=KH$14,KE7&lt;&gt;""),AND(KY7&gt;=LC$10,KZ7&gt;=LC$14,KZ7&lt;&gt;""),AND(LT7&gt;=LX$10,LU7&gt;=LX$14,LU7&lt;&gt;"")),"P","")</f>
        <v/>
      </c>
      <c r="G7" s="3" t="str">
        <f>IF(OR(AND(AI7&gt;=AL$14,AI7&lt;&gt;"",AG7=""),AND(BE7&gt;=BH$14,BE7&lt;&gt;"",BC7=""),AND(CA7&gt;=CD$14,CA7&lt;&gt;"",BY7=""),AND(CX7&gt;=DA$14,CX7&lt;&gt;""),AND(DS7&gt;=DV$14,DS7&lt;&gt;""),AND(EN7&gt;=EQ$14,EN7&lt;&gt;""),AND(FI7&gt;=FL$14,FI7&lt;&gt;""),AND(GD7&gt;=GG$14,GD7&lt;&gt;""),AND(GY7&gt;=HB$14,GY7&lt;&gt;""),AND(HT7&gt;=HW$14,HT7&lt;&gt;""),AND(IO7&gt;=IR$14,IO7&lt;&gt;""),AND(JJ7&gt;=JM$14,JJ7&lt;&gt;""),AND(KE7&gt;=KH$14,KE7&lt;&gt;""),AND(KZ7&gt;=LC$14,KZ7&lt;&gt;""),AND(LU7&gt;=LX$14,LU7&lt;&gt;"")),"P","")</f>
        <v/>
      </c>
      <c r="H7" s="116" t="str">
        <f>IF(AND(G7="P",F7=""),"No DD",IF(OR(AND(AI7&gt;=AL$17,AI7&lt;&gt;"",AH7&gt;=AL$13,AH7&lt;&gt;"",AG7=""),AND(BE7&gt;=BH$17,BE7&lt;&gt;"",BD7&gt;=BH$13,BD7&lt;&gt;"",BC7=""),AND(CA7&gt;=CD$17,CA7&lt;&gt;"",BZ7&gt;=CD$13,BZ7&lt;&gt;"",BY7=""),AND(CX7&gt;=DA$17,CX7&lt;&gt;"",CW7&gt;=DA$13,CW7&lt;&gt;""),AND(DS7&gt;=DV$17,DS7&lt;&gt;"",DR7&gt;=DV$13,DR7&lt;&gt;""),AND(EN7&gt;=EQ$17,EN7&lt;&gt;"",EM7&gt;=EQ$13,EM7&lt;&gt;""),AND(FI7&gt;=FL$17,FI7&lt;&gt;"",FH7&gt;=FL$13,FH7&lt;&gt;""),AND(GD7&gt;=GG$17,GD7&lt;&gt;"",GC7&gt;=GG$13,GC7&lt;&gt;""),AND(GY7&gt;=HB$17,GY7&lt;&gt;"",GX7&gt;=HB$13,GX7&lt;&gt;""),AND(HT7&gt;=HW$17,HT7&lt;&gt;"",HS7&gt;=HW$13,HS7&lt;&gt;""),AND(IO7&gt;=IR$17,IO7&lt;&gt;"",IN7&gt;=IR$13,IN7&lt;&gt;""),AND(JJ7&gt;=JM$17,JJ7&lt;&gt;"",JI7&gt;=JM$13,JI7&lt;&gt;""),AND(KE7&gt;=KH$17,KE7&lt;&gt;"",KD7&gt;=KH$13,KD7&lt;&gt;""),AND(KZ7&gt;=LC$17,KZ7&lt;&gt;"",KY7&gt;=LC$13,KY7&lt;&gt;""),AND(LU7&gt;=LX$17,LU7&lt;&gt;"",LT7&gt;=LX$13,LT7&lt;&gt;"")),"Merit",IF(OR(AND(AI7&gt;=AL$16,AI7&lt;&gt;"",AH7&gt;=AL$12,AH7&lt;&gt;"",AG7=""),AND(BE7&gt;=BH$16,BE7&lt;&gt;"",BD7&gt;=BH$12,BD7&lt;&gt;"",BC7=""),AND(CA7&gt;=CD$16,CA7&lt;&gt;"",BZ7&gt;=CD$12,BZ7&lt;&gt;"",BY7=""),AND(CX7&gt;=DA$16,CX7&lt;&gt;"",CW7&gt;=DA$12,CW7&lt;&gt;""),AND(DS7&gt;=DV$16,DS7&lt;&gt;"",DR7&gt;=DV$12,DR7&lt;&gt;""),AND(EN7&gt;=EQ$16,EN7&lt;&gt;"",EM7&gt;=EQ$12,EM7&lt;&gt;""),AND(FI7&gt;=FL$16,FI7&lt;&gt;"",FH7&gt;=FL$12,FH7&lt;&gt;""),AND(GD7&gt;=GG$16,GD7&lt;&gt;"",GC7&gt;=GG$12,GC7&lt;&gt;""),AND(GY7&gt;=HB$16,GY7&lt;&gt;"",GX7&gt;=HB$12,GX7&lt;&gt;""),AND(HT7&gt;=HW$16,HT7&lt;&gt;"",HS7&gt;=HW$12,HS7&lt;&gt;""),AND(IO7&gt;=IR$16,IO7&lt;&gt;"",IN7&gt;=IR$12,IN7&lt;&gt;""),AND(JJ7&gt;=JM$16,JJ7&lt;&gt;"",JI7&gt;=JM$12,JI7&lt;&gt;""),AND(KE7&gt;=KH$16,KE7&lt;&gt;"",KD7&gt;=KH$12,KD7&lt;&gt;""),AND(KZ7&gt;=LC$16,KZ7&lt;&gt;"",KY7&gt;=LC$12,KY7&lt;&gt;""),AND(LU7&gt;=LX$16,LU7&lt;&gt;"",LT7&gt;=LX$12,LT7&lt;&gt;"")),"Excellence",IF(OR(AND(AI7&gt;=AL$15,AI7&lt;&gt;"",AH7&gt;=AL$11,AH7&lt;&gt;"",AG7=""),AND(BE7&gt;=BH$15,BE7&lt;&gt;"",BD7&gt;=BH$11,BD7&lt;&gt;"",BC7=""),AND(CA7&gt;=CD$15,CA7&lt;&gt;"",BZ7&gt;=CD$11,BZ7&lt;&gt;"",BY7=""),AND(CX7&gt;=DA$15,CX7&lt;&gt;"",CW7&gt;=DA$11,CW7&lt;&gt;""),AND(DS7&gt;=DV$15,DS7&lt;&gt;"",DR7&gt;=DV$11,DR7&lt;&gt;""),AND(EN7&gt;=EQ$15,EN7&lt;&gt;"",EM7&gt;=EQ$11,EM7&lt;&gt;""),AND(FI7&gt;=FL$15,FI7&lt;&gt;"",FH7&gt;=FL$11,FH7&lt;&gt;""),AND(GD7&gt;=GG$15,GD7&lt;&gt;"",GC7&gt;=GG$11,GC7&lt;&gt;""),AND(GY7&gt;=HB$15,GY7&lt;&gt;"",GX7&gt;=HB$11,GX7&lt;&gt;""),AND(HT7&gt;=HW$15,HT7&lt;&gt;"",HS7&gt;=HW$11,HS7&lt;&gt;""),AND(IO7&gt;=IR$15,IO7&lt;&gt;"",IN7&gt;=IR$11,IN7&lt;&gt;""),AND(JJ7&gt;=JM$15,JJ7&lt;&gt;"",JI7&gt;=JM$11,JI7&lt;&gt;""),AND(KE7&gt;=KH$15,KE7&lt;&gt;"",KD7&gt;=KH$11,KD7&lt;&gt;""),AND(KZ7&gt;=LC$15,KZ7&lt;&gt;"",KY7&gt;=LC$11,KY7&lt;&gt;""),AND(LU7&gt;=LX$15,LU7&lt;&gt;"",LT7&gt;=LX$11,LT7&lt;&gt;"")),"Worlds Team",IF(OR(AND(AI7&gt;=AL$14,AI7&lt;&gt;"",AH7&gt;=AL$10,AH7&lt;&gt;"",AG7=""),AND(BE7&gt;=BH$14,BE7&lt;&gt;"",BD7&gt;=BH$10,BD7&lt;&gt;"",BC7=""),AND(CA7&gt;=CD$14,CA7&lt;&gt;"",BZ7&gt;=CD$10,BZ7&lt;&gt;"",BY7=""),AND(CX7&gt;=DA$14,CX7&lt;&gt;"",CW7&gt;=DA$10,CW7&lt;&gt;""),AND(DS7&gt;=DV$14,DS7&lt;&gt;"",DR7&gt;=DV$10,DR7&lt;&gt;""),AND(EN7&gt;=EQ$14,EN7&lt;&gt;"",EM7&gt;=EQ$10,EM7&lt;&gt;""),AND(FI7&gt;=FL$14,FI7&lt;&gt;"",FH7&gt;=FL$10,FH7&lt;&gt;""),AND(GD7&gt;=GG$14,GD7&lt;&gt;"",GC7&gt;=GG$10,GC7&lt;&gt;""),AND(GY7&gt;=HB$14,GY7&lt;&gt;"",GX7&gt;=HB$10,GX7&lt;&gt;""),AND(HT7&gt;=HW$14,HT7&lt;&gt;"",HS7&gt;=HW$10,HS7&lt;&gt;""),AND(IO7&gt;=IR$14,IO7&lt;&gt;"",IN7&gt;=IR$10,IN7&lt;&gt;""),AND(JJ7&gt;=JM$14,JJ7&lt;&gt;"",JI7&gt;=JM$10,JI7&lt;&gt;""),AND(KE7&gt;=KH$14,KE7&lt;&gt;"",KD7&gt;=KH$10,KD7&lt;&gt;""),AND(KZ7&gt;=LC$14,KZ7&lt;&gt;"",KY7&gt;=LC$10,KY7&lt;&gt;""),AND(LU7&gt;=LX$14,LU7&lt;&gt;"",LT7&gt;=LX$10,LT7&lt;&gt;"")),"National Team","")))))</f>
        <v/>
      </c>
      <c r="I7" s="3" t="str">
        <f>IF(OR(H7="Worlds Team",H7="Excellence",H7="Merit"),"P","")</f>
        <v/>
      </c>
      <c r="J7" s="14">
        <f>MAX(AI7,BE7,CA7)</f>
        <v>50.1</v>
      </c>
      <c r="K7" s="14" t="str">
        <f>IF(J7=0,"",IF(J7=CA7,$BI$1,IF(J7=BE7,$AM$1,IF(J7=AI7,$Q$1,""))))</f>
        <v>2019 Nationals</v>
      </c>
      <c r="L7" s="14">
        <f>MAX(AK7,BG7,CC7)</f>
        <v>0</v>
      </c>
      <c r="M7" s="14" t="str">
        <f>IF(L7=0,"",IF(J7=CC7,$BI$1,IF(L7=BG7,$AM$1,IF(L7=AK7,$Q$1,""))))</f>
        <v/>
      </c>
      <c r="N7" s="14" t="str">
        <f>IF(MAX(CE7:CF7)&gt;0,MAX(CE7:CF7),"")</f>
        <v/>
      </c>
      <c r="O7" s="24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72"/>
      <c r="AH7" s="11" t="str">
        <f>IF(SUM(R7,V7)&gt;0,SUM(R7,V7),"")</f>
        <v/>
      </c>
      <c r="AI7" s="11" t="str">
        <f>IF(SUM(Q7:R7,T7:V7,X7)-S7-W7&gt;0,SUM(Q7:R7,T7:V7,X7)-S7-W7,"")</f>
        <v/>
      </c>
      <c r="AJ7" s="11" t="str">
        <f>IF(SUM(Z7,AD7)&gt;0,SUM(Z7,AD7),"")</f>
        <v/>
      </c>
      <c r="AK7" s="11" t="str">
        <f>IF(SUM(Y7:Z7,AB7:AD7,AF7)-SUM(AA7,AE7)&gt;0,SUM(Y7:Z7,AB7:AD7,AF7)-SUM(AA7,AE7),"")</f>
        <v/>
      </c>
      <c r="AL7" s="11" t="str">
        <f>IF(SUM(AI7,AK7)&gt;0,SUM(AI7,AK7),"")</f>
        <v/>
      </c>
      <c r="AM7" s="36">
        <v>25.3</v>
      </c>
      <c r="AN7" s="36">
        <v>3.2</v>
      </c>
      <c r="AO7" s="36">
        <v>0.3</v>
      </c>
      <c r="AP7" s="36">
        <v>0</v>
      </c>
      <c r="AQ7" s="36">
        <v>24.2</v>
      </c>
      <c r="AR7" s="36">
        <v>2.4</v>
      </c>
      <c r="AS7" s="36">
        <v>4.7</v>
      </c>
      <c r="AT7" s="36">
        <v>0</v>
      </c>
      <c r="AU7" s="36"/>
      <c r="AV7" s="36"/>
      <c r="AW7" s="36"/>
      <c r="AX7" s="36"/>
      <c r="AY7" s="36"/>
      <c r="AZ7" s="36"/>
      <c r="BA7" s="36"/>
      <c r="BB7" s="36"/>
      <c r="BC7" s="73"/>
      <c r="BD7" s="14">
        <f>IF(SUM(AN7,AR7)&gt;0,SUM(AN7,AR7),"")</f>
        <v>5.6</v>
      </c>
      <c r="BE7" s="14">
        <f>IF(SUM(AM7:AN7,AP7:AR7,AT7)-AO7-AS7&gt;0,SUM(AM7:AN7,AP7:AR7,AT7)-AO7-AS7,"")</f>
        <v>50.1</v>
      </c>
      <c r="BF7" s="14" t="str">
        <f>IF(SUM(AV7,AZ7)&gt;0,SUM(AN7,AR7),"")</f>
        <v/>
      </c>
      <c r="BG7" s="14" t="str">
        <f>IF(SUM(AU7:AV7,AX7:AZ7,BB7)-SUM(AW7,BA7)&gt;0,SUM(AU7:AV7,AX7:AZ7,BB7)-SUM(AW7,BA7),"")</f>
        <v/>
      </c>
      <c r="BH7" s="14">
        <f>IF(SUM(BE7,BG7)&gt;0,SUM(BE7,BG7),"")</f>
        <v>50.1</v>
      </c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72"/>
      <c r="BZ7" s="11" t="str">
        <f>IF(SUM(BJ7,BN7)&gt;0,SUM(BJ7,BN7),"")</f>
        <v/>
      </c>
      <c r="CA7" s="11" t="str">
        <f>IF(SUM(BI7:BJ7,BL7:BN7,BP7)-BK7-BO7&gt;0,SUM(BI7:BJ7,BL7:BN7,BP7)-BK7-BO7,"")</f>
        <v/>
      </c>
      <c r="CB7" s="11" t="str">
        <f>IF(SUM(BR7,BV7)&gt;0,SUM(BR7,BV7),"")</f>
        <v/>
      </c>
      <c r="CC7" s="11" t="str">
        <f>IF(SUM(BQ7:BR7,BT7:BV7,BX7)-SUM(BS7,BW7)&gt;0,SUM(BQ7:BR7,BT7:BV7,BX7)-SUM(BS7,BW7),"")</f>
        <v/>
      </c>
      <c r="CD7" s="11" t="str">
        <f>IF(SUM(CA7,CC7)&gt;0,SUM(CA7,CC7),"")</f>
        <v/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IF(MAX(CZ7,DU7,EP7,FK7,GF7,HA7,HV7,IQ7,JL7,KG7,LB7,LW7)-IF(L7="",0,L7)&gt;0.001,MAX(CZ7,DU7,EP7,FK7,GF7,HA7,HV7,IQ7,JL7,KG7,LB7,LW7)-IF(L7="",0,L7),"")</f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/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12.65</v>
      </c>
      <c r="LZ7" s="61">
        <f>IF($BY7="P",BJ7,(BJ7+AN7)/2)</f>
        <v>1.6</v>
      </c>
      <c r="MA7" s="61">
        <f>IF($BY7="P",BK7,(BK7+AO7)/2)</f>
        <v>0.15</v>
      </c>
      <c r="MB7" s="61">
        <f>IF($BY7="P",BL7,(BL7+AP7)/2)</f>
        <v>0</v>
      </c>
      <c r="MC7" s="61">
        <f>IF($BY7="P",BM7,(BM7+AQ7)/2)</f>
        <v>12.1</v>
      </c>
      <c r="MD7" s="61">
        <f>IF($BY7="P",BN7,(BN7+AR7)/2)</f>
        <v>1.2</v>
      </c>
      <c r="ME7" s="61">
        <f>IF($BY7="P",BO7,(BO7+AS7)/2)</f>
        <v>2.35</v>
      </c>
      <c r="MF7" s="61">
        <f>IF($BY7="P",BP7,(BP7+AT7)/2)</f>
        <v>0</v>
      </c>
      <c r="MG7" s="61">
        <f>IF($BY7="P",BQ7,(BQ7+AU7)/2)</f>
        <v>0</v>
      </c>
      <c r="MH7" s="61">
        <f>IF($BY7="P",BR7,(BR7+AV7)/2)</f>
        <v>0</v>
      </c>
      <c r="MI7" s="61">
        <f>IF($BY7="P",BS7,(BS7+AW7)/2)</f>
        <v>0</v>
      </c>
      <c r="MJ7" s="61">
        <f>IF($BY7="P",BT7,(BT7+AX7)/2)</f>
        <v>0</v>
      </c>
      <c r="MK7" s="61">
        <f>IF($BY7="P",BU7,(BU7+AY7)/2)</f>
        <v>0</v>
      </c>
      <c r="ML7" s="61">
        <f>IF($BY7="P",BV7,(BV7+AZ7)/2)</f>
        <v>0</v>
      </c>
      <c r="MM7" s="61">
        <f>IF($BY7="P",BW7,(BW7+BA7)/2)</f>
        <v>0</v>
      </c>
      <c r="MN7" s="61">
        <f>IF($BY7="P",BX7,(BX7+BB7)/2)</f>
        <v>0</v>
      </c>
      <c r="MO7" s="72" t="s">
        <v>52</v>
      </c>
      <c r="MP7" s="11">
        <f>IF(SUM(LZ7,MD7)&gt;0,SUM(LZ7,MD7),"")</f>
        <v>2.8</v>
      </c>
      <c r="MQ7" s="11">
        <f>IF(SUM(LY7:LZ7,MB7:MD7,MF7)-MA7-ME7&gt;0,SUM(LY7:LZ7,MB7:MD7,MF7)-MA7-ME7,"")</f>
        <v>25.05</v>
      </c>
      <c r="MR7" s="11" t="str">
        <f>IF(SUM(MH7,ML7)&gt;0,SUM(MH7,ML7),"")</f>
        <v/>
      </c>
      <c r="MS7" s="11" t="str">
        <f>IF(SUM(MG7:MH7,MJ7:ML7,MN7)-SUM(MI7,MM7)&gt;0,SUM(MG7:MH7,MJ7:ML7,MN7)-SUM(MI7,MM7),"")</f>
        <v/>
      </c>
      <c r="MT7" s="11">
        <f>IF(SUM(MQ7,MS7)&gt;0,SUM(MQ7,MS7),"")</f>
        <v>25.05</v>
      </c>
    </row>
    <row r="8" spans="1:358" x14ac:dyDescent="0.2">
      <c r="D8" s="1"/>
    </row>
    <row r="10" spans="1:358" x14ac:dyDescent="0.2">
      <c r="B10" s="62" t="s">
        <v>50</v>
      </c>
      <c r="AH10" s="49"/>
      <c r="AL10" s="56">
        <v>7.6</v>
      </c>
      <c r="BD10" s="49"/>
      <c r="BH10" s="56">
        <v>7.6</v>
      </c>
      <c r="BZ10" s="49"/>
      <c r="CD10" s="56">
        <v>7.6</v>
      </c>
      <c r="CW10" s="49"/>
      <c r="DA10" s="56">
        <v>7.6</v>
      </c>
      <c r="DR10" s="49"/>
      <c r="DV10" s="56">
        <v>7.6</v>
      </c>
      <c r="EM10" s="49"/>
      <c r="EQ10" s="56">
        <v>7.6</v>
      </c>
      <c r="FH10" s="49"/>
      <c r="FL10" s="56">
        <v>7.6</v>
      </c>
      <c r="GC10" s="49"/>
      <c r="GG10" s="56">
        <v>7.6</v>
      </c>
      <c r="GX10" s="49"/>
      <c r="HB10" s="56">
        <v>7.6</v>
      </c>
      <c r="HS10" s="49"/>
      <c r="HW10" s="56">
        <v>7.6</v>
      </c>
      <c r="IN10" s="49"/>
      <c r="IR10" s="56">
        <v>7.6</v>
      </c>
      <c r="JI10" s="49"/>
      <c r="JM10" s="56">
        <v>7.6</v>
      </c>
      <c r="KD10" s="49"/>
      <c r="KH10" s="56">
        <v>7.6</v>
      </c>
      <c r="KY10" s="49"/>
      <c r="LC10" s="56">
        <v>7.6</v>
      </c>
      <c r="LT10" s="49"/>
      <c r="LX10" s="56">
        <v>7.6</v>
      </c>
    </row>
    <row r="11" spans="1:358" hidden="1" x14ac:dyDescent="0.2">
      <c r="B11" s="83" t="s">
        <v>49</v>
      </c>
      <c r="AH11" s="49"/>
      <c r="AL11" s="85">
        <v>1000</v>
      </c>
      <c r="BD11" s="49"/>
      <c r="BH11" s="85">
        <v>1000</v>
      </c>
      <c r="BZ11" s="49"/>
      <c r="CD11" s="85">
        <v>1000</v>
      </c>
      <c r="CW11" s="49"/>
      <c r="DA11" s="85">
        <v>1000</v>
      </c>
      <c r="DR11" s="49"/>
      <c r="DV11" s="85">
        <v>1000</v>
      </c>
      <c r="EM11" s="49"/>
      <c r="EQ11" s="85">
        <v>1000</v>
      </c>
      <c r="FH11" s="49"/>
      <c r="FL11" s="85">
        <v>1000</v>
      </c>
      <c r="GC11" s="49"/>
      <c r="GG11" s="85">
        <v>1000</v>
      </c>
      <c r="GX11" s="49"/>
      <c r="HB11" s="85">
        <v>1000</v>
      </c>
      <c r="HS11" s="49"/>
      <c r="HW11" s="85">
        <v>1000</v>
      </c>
      <c r="IN11" s="49"/>
      <c r="IR11" s="85">
        <v>1000</v>
      </c>
      <c r="JI11" s="49"/>
      <c r="JM11" s="85">
        <v>1000</v>
      </c>
      <c r="KD11" s="49"/>
      <c r="KH11" s="85">
        <v>1000</v>
      </c>
      <c r="KY11" s="49"/>
      <c r="LC11" s="85">
        <v>1000</v>
      </c>
      <c r="LT11" s="49"/>
      <c r="LX11" s="85">
        <v>1000</v>
      </c>
    </row>
    <row r="12" spans="1:358" hidden="1" x14ac:dyDescent="0.2">
      <c r="A12" s="49"/>
      <c r="B12" s="84" t="s">
        <v>65</v>
      </c>
      <c r="C12" s="48"/>
      <c r="AH12" s="49"/>
      <c r="AL12" s="86">
        <v>1000</v>
      </c>
      <c r="BD12" s="49"/>
      <c r="BH12" s="86">
        <v>1000</v>
      </c>
      <c r="BZ12" s="49"/>
      <c r="CD12" s="86">
        <v>1000</v>
      </c>
      <c r="CW12" s="49"/>
      <c r="DA12" s="86">
        <v>1000</v>
      </c>
      <c r="DR12" s="49"/>
      <c r="DV12" s="86">
        <v>1000</v>
      </c>
      <c r="EM12" s="49"/>
      <c r="EQ12" s="86">
        <v>1000</v>
      </c>
      <c r="FH12" s="49"/>
      <c r="FL12" s="86">
        <v>1000</v>
      </c>
      <c r="GC12" s="49"/>
      <c r="GG12" s="86">
        <v>1000</v>
      </c>
      <c r="GX12" s="49"/>
      <c r="HB12" s="86">
        <v>1000</v>
      </c>
      <c r="HS12" s="49"/>
      <c r="HW12" s="86">
        <v>1000</v>
      </c>
      <c r="IN12" s="49"/>
      <c r="IR12" s="86">
        <v>1000</v>
      </c>
      <c r="JI12" s="49"/>
      <c r="JM12" s="86">
        <v>1000</v>
      </c>
      <c r="KD12" s="49"/>
      <c r="KH12" s="86">
        <v>1000</v>
      </c>
      <c r="KY12" s="49"/>
      <c r="LC12" s="86">
        <v>1000</v>
      </c>
      <c r="LT12" s="49"/>
      <c r="LX12" s="86">
        <v>1000</v>
      </c>
    </row>
    <row r="13" spans="1:358" hidden="1" x14ac:dyDescent="0.2">
      <c r="A13" s="49"/>
      <c r="B13" s="110" t="s">
        <v>77</v>
      </c>
      <c r="C13" s="48"/>
      <c r="AH13" s="49"/>
      <c r="AL13" s="111">
        <v>1000</v>
      </c>
      <c r="BD13" s="49"/>
      <c r="BH13" s="111">
        <v>1000</v>
      </c>
      <c r="BZ13" s="49"/>
      <c r="CD13" s="111">
        <v>1000</v>
      </c>
      <c r="CW13" s="49"/>
      <c r="DA13" s="111">
        <v>1000</v>
      </c>
      <c r="DR13" s="49"/>
      <c r="DV13" s="111">
        <v>1000</v>
      </c>
      <c r="EM13" s="49"/>
      <c r="EQ13" s="111">
        <v>1000</v>
      </c>
      <c r="FH13" s="49"/>
      <c r="FL13" s="111">
        <v>1000</v>
      </c>
      <c r="GC13" s="49"/>
      <c r="GG13" s="111">
        <v>1000</v>
      </c>
      <c r="GX13" s="49"/>
      <c r="HB13" s="111">
        <v>1000</v>
      </c>
      <c r="HS13" s="49"/>
      <c r="HW13" s="111">
        <v>1000</v>
      </c>
      <c r="IN13" s="49"/>
      <c r="IR13" s="111">
        <v>1000</v>
      </c>
      <c r="JI13" s="49"/>
      <c r="JM13" s="111">
        <v>1000</v>
      </c>
      <c r="KD13" s="49"/>
      <c r="KH13" s="111">
        <v>1000</v>
      </c>
      <c r="KY13" s="49"/>
      <c r="LC13" s="111">
        <v>1000</v>
      </c>
      <c r="LT13" s="49"/>
      <c r="LX13" s="111">
        <v>1000</v>
      </c>
    </row>
    <row r="14" spans="1:358" x14ac:dyDescent="0.2">
      <c r="A14" s="49"/>
      <c r="B14" s="108" t="s">
        <v>47</v>
      </c>
      <c r="C14" s="48"/>
      <c r="AH14" s="49"/>
      <c r="AL14" s="109">
        <v>61.6</v>
      </c>
      <c r="BD14" s="49"/>
      <c r="BH14" s="109">
        <v>61.6</v>
      </c>
      <c r="BZ14" s="49"/>
      <c r="CD14" s="109">
        <v>61.6</v>
      </c>
      <c r="CW14" s="49"/>
      <c r="DA14" s="109">
        <v>61.6</v>
      </c>
      <c r="DR14" s="49"/>
      <c r="DV14" s="109">
        <v>61.6</v>
      </c>
      <c r="EM14" s="49"/>
      <c r="EQ14" s="109">
        <v>61.6</v>
      </c>
      <c r="FH14" s="49"/>
      <c r="FL14" s="109">
        <v>61.6</v>
      </c>
      <c r="GC14" s="49"/>
      <c r="GG14" s="109">
        <v>61.6</v>
      </c>
      <c r="GX14" s="49"/>
      <c r="HB14" s="109">
        <v>61.6</v>
      </c>
      <c r="HS14" s="49"/>
      <c r="HW14" s="109">
        <v>61.6</v>
      </c>
      <c r="IN14" s="49"/>
      <c r="IR14" s="109">
        <v>61.6</v>
      </c>
      <c r="JI14" s="49"/>
      <c r="JM14" s="109">
        <v>61.6</v>
      </c>
      <c r="KD14" s="49"/>
      <c r="KH14" s="109">
        <v>61.6</v>
      </c>
      <c r="KY14" s="49"/>
      <c r="LC14" s="109">
        <v>61.6</v>
      </c>
      <c r="LT14" s="49"/>
      <c r="LX14" s="109">
        <v>61.6</v>
      </c>
    </row>
    <row r="15" spans="1:358" hidden="1" x14ac:dyDescent="0.2">
      <c r="A15" s="49"/>
      <c r="B15" s="64" t="s">
        <v>48</v>
      </c>
      <c r="C15" s="48"/>
      <c r="AH15" s="49"/>
      <c r="AL15" s="58">
        <v>1000</v>
      </c>
      <c r="BD15" s="49"/>
      <c r="BH15" s="58">
        <v>1000</v>
      </c>
      <c r="BZ15" s="49"/>
      <c r="CD15" s="58">
        <v>1000</v>
      </c>
      <c r="CW15" s="49"/>
      <c r="DA15" s="58">
        <v>1000</v>
      </c>
      <c r="DR15" s="49"/>
      <c r="DV15" s="58">
        <v>1000</v>
      </c>
      <c r="EM15" s="49"/>
      <c r="EQ15" s="58">
        <v>1000</v>
      </c>
      <c r="FH15" s="49"/>
      <c r="FL15" s="58">
        <v>1000</v>
      </c>
      <c r="GC15" s="49"/>
      <c r="GG15" s="58">
        <v>1000</v>
      </c>
      <c r="GX15" s="49"/>
      <c r="HB15" s="58">
        <v>1000</v>
      </c>
      <c r="HS15" s="49"/>
      <c r="HW15" s="58">
        <v>1000</v>
      </c>
      <c r="IN15" s="49"/>
      <c r="IR15" s="58">
        <v>1000</v>
      </c>
      <c r="JI15" s="49"/>
      <c r="JM15" s="58">
        <v>1000</v>
      </c>
      <c r="KD15" s="49"/>
      <c r="KH15" s="58">
        <v>1000</v>
      </c>
      <c r="KY15" s="49"/>
      <c r="LC15" s="58">
        <v>1000</v>
      </c>
      <c r="LT15" s="49"/>
      <c r="LX15" s="58">
        <v>1000</v>
      </c>
    </row>
    <row r="16" spans="1:358" hidden="1" x14ac:dyDescent="0.2">
      <c r="A16" s="49"/>
      <c r="B16" s="106" t="s">
        <v>60</v>
      </c>
      <c r="C16" s="48"/>
      <c r="AH16" s="49"/>
      <c r="AL16" s="107">
        <v>1000</v>
      </c>
      <c r="BD16" s="49"/>
      <c r="BH16" s="107">
        <v>1000</v>
      </c>
      <c r="BZ16" s="49"/>
      <c r="CD16" s="107">
        <v>1000</v>
      </c>
      <c r="CW16" s="49"/>
      <c r="DA16" s="107">
        <v>1000</v>
      </c>
      <c r="DR16" s="49"/>
      <c r="DV16" s="107">
        <v>1000</v>
      </c>
      <c r="EM16" s="49"/>
      <c r="EQ16" s="107">
        <v>1000</v>
      </c>
      <c r="FH16" s="49"/>
      <c r="FL16" s="107">
        <v>1000</v>
      </c>
      <c r="GC16" s="49"/>
      <c r="GG16" s="107">
        <v>1000</v>
      </c>
      <c r="GX16" s="49"/>
      <c r="HB16" s="107">
        <v>1000</v>
      </c>
      <c r="HS16" s="49"/>
      <c r="HW16" s="107">
        <v>1000</v>
      </c>
      <c r="IN16" s="49"/>
      <c r="IR16" s="107">
        <v>1000</v>
      </c>
      <c r="JI16" s="49"/>
      <c r="JM16" s="107">
        <v>1000</v>
      </c>
      <c r="KD16" s="49"/>
      <c r="KH16" s="107">
        <v>1000</v>
      </c>
      <c r="KY16" s="49"/>
      <c r="LC16" s="107">
        <v>1000</v>
      </c>
      <c r="LT16" s="49"/>
      <c r="LX16" s="107">
        <v>1000</v>
      </c>
    </row>
    <row r="17" spans="1:336" hidden="1" x14ac:dyDescent="0.2">
      <c r="A17" s="49"/>
      <c r="B17" s="66" t="s">
        <v>34</v>
      </c>
      <c r="C17" s="48"/>
      <c r="AH17" s="49"/>
      <c r="AL17" s="60">
        <v>1000</v>
      </c>
      <c r="BD17" s="49"/>
      <c r="BH17" s="60">
        <v>1000</v>
      </c>
      <c r="BZ17" s="49"/>
      <c r="CD17" s="60">
        <v>1000</v>
      </c>
      <c r="CW17" s="49"/>
      <c r="DA17" s="60">
        <v>1000</v>
      </c>
      <c r="DR17" s="49"/>
      <c r="DV17" s="60">
        <v>1000</v>
      </c>
      <c r="EM17" s="49"/>
      <c r="EQ17" s="60">
        <v>1000</v>
      </c>
      <c r="FH17" s="49"/>
      <c r="FL17" s="60">
        <v>1000</v>
      </c>
      <c r="GC17" s="49"/>
      <c r="GG17" s="60">
        <v>1000</v>
      </c>
      <c r="GX17" s="49"/>
      <c r="HB17" s="60">
        <v>1000</v>
      </c>
      <c r="HS17" s="49"/>
      <c r="HW17" s="60">
        <v>1000</v>
      </c>
      <c r="IN17" s="49"/>
      <c r="IR17" s="60">
        <v>1000</v>
      </c>
      <c r="JI17" s="49"/>
      <c r="JM17" s="60">
        <v>1000</v>
      </c>
      <c r="KD17" s="49"/>
      <c r="KH17" s="60">
        <v>1000</v>
      </c>
      <c r="KY17" s="49"/>
      <c r="LC17" s="60">
        <v>1000</v>
      </c>
      <c r="LT17" s="49"/>
      <c r="LX17" s="60">
        <v>1000</v>
      </c>
    </row>
    <row r="18" spans="1:336" x14ac:dyDescent="0.2">
      <c r="B18" s="74" t="s">
        <v>53</v>
      </c>
      <c r="C18" s="2"/>
    </row>
    <row r="19" spans="1:336" x14ac:dyDescent="0.2">
      <c r="A19" s="49"/>
      <c r="B19" s="49"/>
      <c r="C19" s="48"/>
    </row>
    <row r="20" spans="1:336" ht="17" x14ac:dyDescent="0.2">
      <c r="A20" s="49"/>
      <c r="B20" s="49"/>
      <c r="C20" s="48"/>
      <c r="N20" s="18"/>
      <c r="O20" s="18"/>
      <c r="P20" s="18"/>
    </row>
    <row r="21" spans="1:336" ht="17" x14ac:dyDescent="0.2">
      <c r="A21" s="49"/>
      <c r="B21" s="49"/>
      <c r="C21" s="48"/>
      <c r="N21" s="18"/>
      <c r="O21" s="18"/>
      <c r="P21" s="18"/>
    </row>
    <row r="22" spans="1:336" ht="17" x14ac:dyDescent="0.2">
      <c r="N22" s="18"/>
      <c r="O22" s="18"/>
      <c r="P22" s="18"/>
    </row>
    <row r="23" spans="1:336" ht="17" x14ac:dyDescent="0.2">
      <c r="N23" s="18"/>
      <c r="O23" s="18"/>
      <c r="P23" s="18"/>
    </row>
    <row r="24" spans="1:336" ht="17" x14ac:dyDescent="0.2">
      <c r="N24" s="18"/>
      <c r="O24" s="18"/>
      <c r="P24" s="18"/>
    </row>
    <row r="25" spans="1:336" ht="17" x14ac:dyDescent="0.2">
      <c r="N25" s="18"/>
      <c r="O25" s="18"/>
      <c r="P25" s="18"/>
    </row>
    <row r="26" spans="1:336" ht="17" x14ac:dyDescent="0.2">
      <c r="N26" s="18"/>
      <c r="O26" s="18"/>
      <c r="P26" s="18"/>
    </row>
    <row r="27" spans="1:336" ht="17" x14ac:dyDescent="0.2">
      <c r="N27" s="18"/>
      <c r="O27" s="18"/>
      <c r="P27" s="18"/>
    </row>
    <row r="28" spans="1:336" ht="17" x14ac:dyDescent="0.2">
      <c r="N28" s="18"/>
      <c r="O28" s="18"/>
      <c r="P28" s="18"/>
    </row>
    <row r="29" spans="1:336" ht="17" x14ac:dyDescent="0.2">
      <c r="N29" s="18"/>
      <c r="O29" s="18"/>
      <c r="P29" s="18"/>
    </row>
    <row r="30" spans="1:336" ht="17" x14ac:dyDescent="0.2">
      <c r="N30" s="18"/>
      <c r="O30" s="18"/>
      <c r="P30" s="18"/>
    </row>
    <row r="31" spans="1:336" ht="17" x14ac:dyDescent="0.2">
      <c r="N31" s="18"/>
      <c r="O31" s="18"/>
      <c r="P31" s="18"/>
    </row>
    <row r="32" spans="1:336" ht="17" x14ac:dyDescent="0.2">
      <c r="N32" s="18"/>
      <c r="O32" s="18"/>
      <c r="P32" s="18"/>
    </row>
    <row r="33" spans="14:16" ht="17" x14ac:dyDescent="0.2">
      <c r="N33" s="18"/>
      <c r="O33" s="18"/>
      <c r="P33" s="18"/>
    </row>
    <row r="34" spans="14:16" ht="17" x14ac:dyDescent="0.2">
      <c r="N34" s="18"/>
      <c r="O34" s="18"/>
      <c r="P34" s="18"/>
    </row>
    <row r="35" spans="14:16" ht="17" x14ac:dyDescent="0.2">
      <c r="N35" s="18"/>
      <c r="O35" s="18"/>
      <c r="P35" s="18"/>
    </row>
    <row r="36" spans="14:16" ht="17" x14ac:dyDescent="0.2">
      <c r="N36" s="18"/>
      <c r="O36" s="18"/>
      <c r="P36" s="18"/>
    </row>
    <row r="37" spans="14:16" ht="17" x14ac:dyDescent="0.2">
      <c r="N37" s="18"/>
      <c r="O37" s="18"/>
      <c r="P37" s="18"/>
    </row>
    <row r="38" spans="14:16" ht="17" x14ac:dyDescent="0.2">
      <c r="N38" s="18"/>
      <c r="O38" s="18"/>
      <c r="P38" s="18"/>
    </row>
    <row r="39" spans="14:16" ht="17" x14ac:dyDescent="0.2">
      <c r="N39" s="18"/>
      <c r="O39" s="18"/>
      <c r="P39" s="18"/>
    </row>
  </sheetData>
  <sheetProtection sheet="1" formatCells="0" formatColumns="0" formatRows="0"/>
  <autoFilter ref="A1:MT5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7">
      <sortCondition descending="1" ref="F1:F8"/>
    </sortState>
  </autoFilter>
  <mergeCells count="97"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I1:I3"/>
    <mergeCell ref="G1:G3"/>
    <mergeCell ref="H1:H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LY1:MT1"/>
    <mergeCell ref="LY2:MB2"/>
    <mergeCell ref="MC2:MF2"/>
    <mergeCell ref="MG2:MJ2"/>
    <mergeCell ref="MK2:MN2"/>
  </mergeCells>
  <conditionalFormatting sqref="Q4:AL7">
    <cfRule type="expression" dxfId="79" priority="1" stopIfTrue="1">
      <formula>IF($AG4&lt;&gt;"",1,0)</formula>
    </cfRule>
  </conditionalFormatting>
  <conditionalFormatting sqref="AM4:BH7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7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3127" operator="between">
      <formula>AL$13</formula>
      <formula>1000</formula>
    </cfRule>
    <cfRule type="cellIs" dxfId="66" priority="43128" operator="between">
      <formula>AL$12</formula>
      <formula>AL$13</formula>
    </cfRule>
    <cfRule type="cellIs" dxfId="65" priority="43129" operator="between">
      <formula>AL$11</formula>
      <formula>AL$12</formula>
    </cfRule>
    <cfRule type="cellIs" dxfId="64" priority="43130" operator="between">
      <formula>AL$10</formula>
      <formula>AL$11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3307" operator="between">
      <formula>AL$17</formula>
      <formula>1000</formula>
    </cfRule>
    <cfRule type="cellIs" dxfId="62" priority="43308" operator="between">
      <formula>AL$16</formula>
      <formula>AL$17</formula>
    </cfRule>
    <cfRule type="cellIs" dxfId="61" priority="43309" operator="between">
      <formula>AL$15</formula>
      <formula>AL$16</formula>
    </cfRule>
    <cfRule type="cellIs" dxfId="60" priority="43310" operator="between">
      <formula>AL$14</formula>
      <formula>AL$15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16" bestFit="1" customWidth="1"/>
    <col min="9" max="9" width="15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100" width="10.83203125" hidden="1" customWidth="1"/>
    <col min="101" max="105" width="10.83203125" customWidth="1"/>
    <col min="106" max="358" width="10.83203125" hidden="1" customWidth="1"/>
    <col min="359" max="381" width="10.83203125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146</v>
      </c>
      <c r="J1" s="128" t="s">
        <v>10</v>
      </c>
      <c r="K1" s="128" t="s">
        <v>32</v>
      </c>
      <c r="L1" s="128" t="s">
        <v>12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67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70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76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24" t="s">
        <v>100</v>
      </c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6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4" t="s">
        <v>66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8"/>
      <c r="K2" s="128"/>
      <c r="L2" s="128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68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68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68</v>
      </c>
      <c r="CC2" s="9" t="s">
        <v>22</v>
      </c>
      <c r="CD2" s="9" t="s">
        <v>17</v>
      </c>
      <c r="CE2" s="21" t="s">
        <v>23</v>
      </c>
      <c r="CF2" s="21" t="s">
        <v>22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4" t="s">
        <v>31</v>
      </c>
      <c r="CT2" s="134"/>
      <c r="CU2" s="134"/>
      <c r="CV2" s="134"/>
      <c r="CW2" s="51" t="s">
        <v>24</v>
      </c>
      <c r="CX2" s="9" t="s">
        <v>23</v>
      </c>
      <c r="CY2" s="9" t="s">
        <v>68</v>
      </c>
      <c r="CZ2" s="9" t="s">
        <v>22</v>
      </c>
      <c r="DA2" s="9" t="s">
        <v>17</v>
      </c>
      <c r="DB2" s="125" t="s">
        <v>26</v>
      </c>
      <c r="DC2" s="125"/>
      <c r="DD2" s="125"/>
      <c r="DE2" s="125"/>
      <c r="DF2" s="125" t="s">
        <v>29</v>
      </c>
      <c r="DG2" s="125"/>
      <c r="DH2" s="125"/>
      <c r="DI2" s="125"/>
      <c r="DJ2" s="125" t="s">
        <v>30</v>
      </c>
      <c r="DK2" s="125"/>
      <c r="DL2" s="125"/>
      <c r="DM2" s="125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68</v>
      </c>
      <c r="DU2" s="12" t="s">
        <v>22</v>
      </c>
      <c r="DV2" s="12" t="s">
        <v>17</v>
      </c>
      <c r="DW2" s="122" t="s">
        <v>26</v>
      </c>
      <c r="DX2" s="122"/>
      <c r="DY2" s="122"/>
      <c r="DZ2" s="122"/>
      <c r="EA2" s="122" t="s">
        <v>29</v>
      </c>
      <c r="EB2" s="122"/>
      <c r="EC2" s="122"/>
      <c r="ED2" s="122"/>
      <c r="EE2" s="122" t="s">
        <v>30</v>
      </c>
      <c r="EF2" s="122"/>
      <c r="EG2" s="122"/>
      <c r="EH2" s="122"/>
      <c r="EI2" s="134" t="s">
        <v>31</v>
      </c>
      <c r="EJ2" s="134"/>
      <c r="EK2" s="134"/>
      <c r="EL2" s="134"/>
      <c r="EM2" s="51" t="s">
        <v>24</v>
      </c>
      <c r="EN2" s="9" t="s">
        <v>23</v>
      </c>
      <c r="EO2" s="9" t="s">
        <v>68</v>
      </c>
      <c r="EP2" s="9" t="s">
        <v>22</v>
      </c>
      <c r="EQ2" s="9" t="s">
        <v>17</v>
      </c>
      <c r="ER2" s="125" t="s">
        <v>26</v>
      </c>
      <c r="ES2" s="125"/>
      <c r="ET2" s="125"/>
      <c r="EU2" s="125"/>
      <c r="EV2" s="125" t="s">
        <v>29</v>
      </c>
      <c r="EW2" s="125"/>
      <c r="EX2" s="125"/>
      <c r="EY2" s="125"/>
      <c r="EZ2" s="125" t="s">
        <v>30</v>
      </c>
      <c r="FA2" s="125"/>
      <c r="FB2" s="125"/>
      <c r="FC2" s="125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68</v>
      </c>
      <c r="FK2" s="12" t="s">
        <v>22</v>
      </c>
      <c r="FL2" s="12" t="s">
        <v>17</v>
      </c>
      <c r="FM2" s="122" t="s">
        <v>26</v>
      </c>
      <c r="FN2" s="122"/>
      <c r="FO2" s="122"/>
      <c r="FP2" s="122"/>
      <c r="FQ2" s="122" t="s">
        <v>29</v>
      </c>
      <c r="FR2" s="122"/>
      <c r="FS2" s="122"/>
      <c r="FT2" s="122"/>
      <c r="FU2" s="122" t="s">
        <v>30</v>
      </c>
      <c r="FV2" s="122"/>
      <c r="FW2" s="122"/>
      <c r="FX2" s="122"/>
      <c r="FY2" s="134" t="s">
        <v>31</v>
      </c>
      <c r="FZ2" s="134"/>
      <c r="GA2" s="134"/>
      <c r="GB2" s="134"/>
      <c r="GC2" s="20" t="s">
        <v>24</v>
      </c>
      <c r="GD2" s="9" t="s">
        <v>23</v>
      </c>
      <c r="GE2" s="9" t="s">
        <v>68</v>
      </c>
      <c r="GF2" s="9" t="s">
        <v>22</v>
      </c>
      <c r="GG2" s="9" t="s">
        <v>17</v>
      </c>
      <c r="GH2" s="125" t="s">
        <v>26</v>
      </c>
      <c r="GI2" s="125"/>
      <c r="GJ2" s="125"/>
      <c r="GK2" s="125"/>
      <c r="GL2" s="125" t="s">
        <v>29</v>
      </c>
      <c r="GM2" s="125"/>
      <c r="GN2" s="125"/>
      <c r="GO2" s="125"/>
      <c r="GP2" s="125" t="s">
        <v>30</v>
      </c>
      <c r="GQ2" s="125"/>
      <c r="GR2" s="125"/>
      <c r="GS2" s="125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68</v>
      </c>
      <c r="HA2" s="12" t="s">
        <v>22</v>
      </c>
      <c r="HB2" s="12" t="s">
        <v>17</v>
      </c>
      <c r="HC2" s="122" t="s">
        <v>26</v>
      </c>
      <c r="HD2" s="122"/>
      <c r="HE2" s="122"/>
      <c r="HF2" s="122"/>
      <c r="HG2" s="122" t="s">
        <v>29</v>
      </c>
      <c r="HH2" s="122"/>
      <c r="HI2" s="122"/>
      <c r="HJ2" s="122"/>
      <c r="HK2" s="122" t="s">
        <v>30</v>
      </c>
      <c r="HL2" s="122"/>
      <c r="HM2" s="122"/>
      <c r="HN2" s="122"/>
      <c r="HO2" s="134" t="s">
        <v>31</v>
      </c>
      <c r="HP2" s="134"/>
      <c r="HQ2" s="134"/>
      <c r="HR2" s="134"/>
      <c r="HS2" s="20" t="s">
        <v>24</v>
      </c>
      <c r="HT2" s="9" t="s">
        <v>23</v>
      </c>
      <c r="HU2" s="9" t="s">
        <v>68</v>
      </c>
      <c r="HV2" s="9" t="s">
        <v>22</v>
      </c>
      <c r="HW2" s="9" t="s">
        <v>17</v>
      </c>
      <c r="HX2" s="125" t="s">
        <v>26</v>
      </c>
      <c r="HY2" s="125"/>
      <c r="HZ2" s="125"/>
      <c r="IA2" s="125"/>
      <c r="IB2" s="125" t="s">
        <v>29</v>
      </c>
      <c r="IC2" s="125"/>
      <c r="ID2" s="125"/>
      <c r="IE2" s="125"/>
      <c r="IF2" s="125" t="s">
        <v>30</v>
      </c>
      <c r="IG2" s="125"/>
      <c r="IH2" s="125"/>
      <c r="II2" s="125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68</v>
      </c>
      <c r="IQ2" s="12" t="s">
        <v>22</v>
      </c>
      <c r="IR2" s="12" t="s">
        <v>17</v>
      </c>
      <c r="IS2" s="122" t="s">
        <v>26</v>
      </c>
      <c r="IT2" s="122"/>
      <c r="IU2" s="122"/>
      <c r="IV2" s="122"/>
      <c r="IW2" s="122" t="s">
        <v>29</v>
      </c>
      <c r="IX2" s="122"/>
      <c r="IY2" s="122"/>
      <c r="IZ2" s="122"/>
      <c r="JA2" s="122" t="s">
        <v>30</v>
      </c>
      <c r="JB2" s="122"/>
      <c r="JC2" s="122"/>
      <c r="JD2" s="122"/>
      <c r="JE2" s="134" t="s">
        <v>31</v>
      </c>
      <c r="JF2" s="134"/>
      <c r="JG2" s="134"/>
      <c r="JH2" s="134"/>
      <c r="JI2" s="20" t="s">
        <v>24</v>
      </c>
      <c r="JJ2" s="9" t="s">
        <v>23</v>
      </c>
      <c r="JK2" s="9" t="s">
        <v>68</v>
      </c>
      <c r="JL2" s="9" t="s">
        <v>22</v>
      </c>
      <c r="JM2" s="9" t="s">
        <v>17</v>
      </c>
      <c r="JN2" s="125" t="s">
        <v>26</v>
      </c>
      <c r="JO2" s="125"/>
      <c r="JP2" s="125"/>
      <c r="JQ2" s="125"/>
      <c r="JR2" s="125" t="s">
        <v>29</v>
      </c>
      <c r="JS2" s="125"/>
      <c r="JT2" s="125"/>
      <c r="JU2" s="125"/>
      <c r="JV2" s="125" t="s">
        <v>30</v>
      </c>
      <c r="JW2" s="125"/>
      <c r="JX2" s="125"/>
      <c r="JY2" s="125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68</v>
      </c>
      <c r="KG2" s="12" t="s">
        <v>22</v>
      </c>
      <c r="KH2" s="12" t="s">
        <v>17</v>
      </c>
      <c r="KI2" s="122" t="s">
        <v>26</v>
      </c>
      <c r="KJ2" s="122"/>
      <c r="KK2" s="122"/>
      <c r="KL2" s="122"/>
      <c r="KM2" s="122" t="s">
        <v>29</v>
      </c>
      <c r="KN2" s="122"/>
      <c r="KO2" s="122"/>
      <c r="KP2" s="122"/>
      <c r="KQ2" s="122" t="s">
        <v>30</v>
      </c>
      <c r="KR2" s="122"/>
      <c r="KS2" s="122"/>
      <c r="KT2" s="122"/>
      <c r="KU2" s="134" t="s">
        <v>31</v>
      </c>
      <c r="KV2" s="134"/>
      <c r="KW2" s="134"/>
      <c r="KX2" s="134"/>
      <c r="KY2" s="20" t="s">
        <v>24</v>
      </c>
      <c r="KZ2" s="9" t="s">
        <v>23</v>
      </c>
      <c r="LA2" s="9" t="s">
        <v>68</v>
      </c>
      <c r="LB2" s="9" t="s">
        <v>22</v>
      </c>
      <c r="LC2" s="9" t="s">
        <v>17</v>
      </c>
      <c r="LD2" s="125" t="s">
        <v>26</v>
      </c>
      <c r="LE2" s="125"/>
      <c r="LF2" s="125"/>
      <c r="LG2" s="125"/>
      <c r="LH2" s="125" t="s">
        <v>29</v>
      </c>
      <c r="LI2" s="125"/>
      <c r="LJ2" s="125"/>
      <c r="LK2" s="125"/>
      <c r="LL2" s="125" t="s">
        <v>30</v>
      </c>
      <c r="LM2" s="125"/>
      <c r="LN2" s="125"/>
      <c r="LO2" s="125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68</v>
      </c>
      <c r="LW2" s="12" t="s">
        <v>22</v>
      </c>
      <c r="LX2" s="12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68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8"/>
      <c r="K3" s="128"/>
      <c r="L3" s="128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IF(AND(F4="P",G4="P"),SUMPRODUCT((F$4:F$7="P")*(G$4:G$7="P")*(E$4:E$7&gt;E4))+1,IF(G4="P",SUMPRODUCT((F$4:F$7="")*(G$4:G$7="P")*(E$4:E$7&gt;E4))+1+SUMPRODUCT((F$4:F$7="P")*(G$4:G$7="P")),""))</f>
        <v>1</v>
      </c>
      <c r="B4" s="6" t="s">
        <v>73</v>
      </c>
      <c r="C4" s="7" t="s">
        <v>3</v>
      </c>
      <c r="D4" s="26">
        <v>2003</v>
      </c>
      <c r="E4" s="15">
        <f>SUM(J4:N4)</f>
        <v>124.8</v>
      </c>
      <c r="F4" s="3" t="str">
        <f>IF(OR(AND(AH4&gt;=AL$9,AI4&gt;=AL$13,AI4&lt;&gt;"",AG4=""),AND(BD4&gt;=BH$9,BE4&gt;=BH$13,BE4&lt;&gt;"",BC4=""),AND(BZ4&gt;=CD$9,CA4&gt;=CD$13,CA4&lt;&gt;"",BY4=""),AND(CW4&gt;=DA$9,CX4&gt;=DA$13,CX4&lt;&gt;""),AND(DR4&gt;=DV$9,DS4&gt;=DV$13,DS4&lt;&gt;""),AND(EM4&gt;=EQ$9,EN4&gt;=EQ$13,EN4&lt;&gt;""),AND(FH4&gt;=FL$9,FI4&gt;=FL$13,FI4&lt;&gt;""),AND(GC4&gt;=GG$9,GD4&gt;=GG$13,GD4&lt;&gt;""),AND(GX4&gt;=HB$9,GY4&gt;=HB$13,GY4&lt;&gt;""),AND(HS4&gt;=HW$9,HT4&gt;=HW$13,HT4&lt;&gt;""),AND(IN4&gt;=IR$9,IO4&gt;=IR$13,IO4&lt;&gt;""),AND(JI4&gt;=JM$9,JJ4&gt;=JM$13,JJ4&lt;&gt;""),AND(KD4&gt;=KH$9,KE4&gt;=KH$13,KE4&lt;&gt;""),AND(KY4&gt;=LC$9,KZ4&gt;=LC$13,KZ4&lt;&gt;""),AND(LT4&gt;=LX$9,LU4&gt;=LX$13,LU4&lt;&gt;"")),"P","")</f>
        <v>P</v>
      </c>
      <c r="G4" s="3" t="str">
        <f>IF(OR(AND(AI4&gt;=AL$13,AI4&lt;&gt;"",AG4=""),AND(BE4&gt;=BH$13,BE4&lt;&gt;"",BC4=""),AND(CA4&gt;=CD$13,CA4&lt;&gt;"",BY4=""),AND(CX4&gt;=DA$13,CX4&lt;&gt;""),AND(DS4&gt;=DV$13,DS4&lt;&gt;""),AND(EN4&gt;=EQ$13,EN4&lt;&gt;""),AND(FI4&gt;=FL$13,FI4&lt;&gt;""),AND(GD4&gt;=GG$13,GD4&lt;&gt;""),AND(GY4&gt;=HB$13,GY4&lt;&gt;""),AND(HT4&gt;=HW$13,HT4&lt;&gt;""),AND(IO4&gt;=IR$13,IO4&lt;&gt;""),AND(JJ4&gt;=JM$13,JJ4&lt;&gt;""),AND(KE4&gt;=KH$13,KE4&lt;&gt;""),AND(KZ4&gt;=LC$13,KZ4&lt;&gt;""),AND(LU4&gt;=LX$13,LU4&lt;&gt;"")),"P","")</f>
        <v>P</v>
      </c>
      <c r="H4" s="116" t="str">
        <f>IF(AND(G4="P",F4=""),"No DD",IF(OR(AND(AI4&gt;=AL$16,AI4&lt;&gt;"",AH4&gt;=AL$12,AH4&lt;&gt;"",AG4=""),AND(BE4&gt;=BH$16,BE4&lt;&gt;"",BD4&gt;=BH$12,BD4&lt;&gt;"",BC4=""),AND(CA4&gt;=CD$16,CA4&lt;&gt;"",BZ4&gt;=CD$12,BZ4&lt;&gt;"",BY4=""),AND(CX4&gt;=DA$16,CX4&lt;&gt;"",CW4&gt;=DA$12,CW4&lt;&gt;""),AND(DS4&gt;=DV$16,DS4&lt;&gt;"",DR4&gt;=DV$12,DR4&lt;&gt;""),AND(EN4&gt;=EQ$16,EN4&lt;&gt;"",EM4&gt;=EQ$12,EM4&lt;&gt;""),AND(FI4&gt;=FL$16,FI4&lt;&gt;"",FH4&gt;=FL$12,FH4&lt;&gt;""),AND(GD4&gt;=GG$16,GD4&lt;&gt;"",GC4&gt;=GG$12,GC4&lt;&gt;""),AND(GY4&gt;=HB$16,GY4&lt;&gt;"",GX4&gt;=HB$12,GX4&lt;&gt;""),AND(HT4&gt;=HW$16,HT4&lt;&gt;"",HS4&gt;=HW$12,HS4&lt;&gt;""),AND(IO4&gt;=IR$16,IO4&lt;&gt;"",IN4&gt;=IR$12,IN4&lt;&gt;""),AND(JJ4&gt;=JM$16,JJ4&lt;&gt;"",JI4&gt;=JM$12,JI4&lt;&gt;""),AND(KE4&gt;=KH$16,KE4&lt;&gt;"",KD4&gt;=KH$12,KD4&lt;&gt;""),AND(KZ4&gt;=LC$16,KZ4&lt;&gt;"",KY4&gt;=LC$12,KY4&lt;&gt;""),AND(LU4&gt;=LX$16,LU4&lt;&gt;"",LT4&gt;=LX$12,LT4&lt;&gt;"")),"Merit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Excellence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Worlds Team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62.5</v>
      </c>
      <c r="K4" s="14" t="str">
        <f>IF(J4=0,"",IF(J4=CA4,$BI$1,IF(J4=BE4,$AM$1,IF(J4=AI4,$Q$1,""))))</f>
        <v>2019 Nationals</v>
      </c>
      <c r="L4" s="14">
        <f>MAX(AK4,BG4,CC4)</f>
        <v>62.3</v>
      </c>
      <c r="M4" s="14" t="str">
        <f>IF(L4=0,"",IF(J4=CC4,$BI$1,IF(L4=BG4,$AM$1,IF(L4=AK4,$Q$1,""))))</f>
        <v>2019 Nationals</v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37">
        <v>25.1</v>
      </c>
      <c r="R4" s="37">
        <v>3.6</v>
      </c>
      <c r="S4" s="37">
        <v>0</v>
      </c>
      <c r="T4" s="37">
        <v>0</v>
      </c>
      <c r="U4" s="37">
        <v>24.8</v>
      </c>
      <c r="V4" s="37">
        <v>4.3</v>
      </c>
      <c r="W4" s="37">
        <v>0</v>
      </c>
      <c r="X4" s="37">
        <v>1</v>
      </c>
      <c r="Y4" s="37">
        <v>25.6</v>
      </c>
      <c r="Z4" s="37">
        <v>3.6</v>
      </c>
      <c r="AA4" s="37">
        <v>0.3</v>
      </c>
      <c r="AB4" s="37">
        <v>0</v>
      </c>
      <c r="AC4" s="37">
        <v>24.2</v>
      </c>
      <c r="AD4" s="37">
        <v>1.2</v>
      </c>
      <c r="AE4" s="37">
        <v>0</v>
      </c>
      <c r="AF4" s="37">
        <v>0</v>
      </c>
      <c r="AG4" s="72"/>
      <c r="AH4" s="11">
        <f>IF(SUM(R4,V4)&gt;0,SUM(R4,V4),"")</f>
        <v>7.9</v>
      </c>
      <c r="AI4" s="11">
        <f>IF(SUM(Q4:R4,T4:V4,X4)-S4-W4&gt;0,SUM(Q4:R4,T4:V4,X4)-S4-W4,"")</f>
        <v>58.8</v>
      </c>
      <c r="AJ4" s="11">
        <f>IF(SUM(Z4,AD4)&gt;0,SUM(Z4,AD4),"")</f>
        <v>4.8</v>
      </c>
      <c r="AK4" s="11">
        <f>IF(SUM(Y4:Z4,AB4:AD4,AF4)-SUM(AA4,AE4)&gt;0,SUM(Y4:Z4,AB4:AD4,AF4)-SUM(AA4,AE4),"")</f>
        <v>54.300000000000011</v>
      </c>
      <c r="AL4" s="11">
        <f>IF(SUM(AI4,AK4)&gt;0,SUM(AI4,AK4),"")</f>
        <v>113.10000000000001</v>
      </c>
      <c r="AM4" s="36">
        <v>26.7</v>
      </c>
      <c r="AN4" s="36">
        <v>3.6</v>
      </c>
      <c r="AO4" s="36">
        <v>0</v>
      </c>
      <c r="AP4" s="36">
        <v>0</v>
      </c>
      <c r="AQ4" s="36">
        <v>26.9</v>
      </c>
      <c r="AR4" s="36">
        <v>4.3</v>
      </c>
      <c r="AS4" s="36">
        <v>0</v>
      </c>
      <c r="AT4" s="36">
        <v>1</v>
      </c>
      <c r="AU4" s="36">
        <v>27.2</v>
      </c>
      <c r="AV4" s="36">
        <v>3.6</v>
      </c>
      <c r="AW4" s="36">
        <v>0</v>
      </c>
      <c r="AX4" s="36">
        <v>0</v>
      </c>
      <c r="AY4" s="36">
        <v>26.2</v>
      </c>
      <c r="AZ4" s="36">
        <v>4.3</v>
      </c>
      <c r="BA4" s="36">
        <v>0</v>
      </c>
      <c r="BB4" s="36">
        <v>1</v>
      </c>
      <c r="BC4" s="73"/>
      <c r="BD4" s="14">
        <f>IF(SUM(AN4,AR4)&gt;0,SUM(AN4,AR4),"")</f>
        <v>7.9</v>
      </c>
      <c r="BE4" s="14">
        <f>IF(SUM(AM4:AN4,AP4:AR4,AT4)-AO4-AS4&gt;0,SUM(AM4:AN4,AP4:AR4,AT4)-AO4-AS4,"")</f>
        <v>62.5</v>
      </c>
      <c r="BF4" s="14">
        <f>IF(SUM(AV4,AZ4)&gt;0,SUM(AV4,AZ4),"")</f>
        <v>7.9</v>
      </c>
      <c r="BG4" s="14">
        <f>IF(SUM(AU4:AV4,AX4:AZ4,BB4)-SUM(AW4,BA4)&gt;0,SUM(AU4:AV4,AX4:AZ4,BB4)-SUM(AW4,BA4),"")</f>
        <v>62.3</v>
      </c>
      <c r="BH4" s="14">
        <f>IF(SUM(BE4,BG4)&gt;0,SUM(BE4,BG4),"")</f>
        <v>124.8</v>
      </c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72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>
        <v>27.7</v>
      </c>
      <c r="CH4" s="35">
        <v>3.6</v>
      </c>
      <c r="CI4" s="35">
        <v>0</v>
      </c>
      <c r="CJ4" s="35">
        <v>0</v>
      </c>
      <c r="CK4" s="35">
        <v>26.4</v>
      </c>
      <c r="CL4" s="35">
        <v>3.8</v>
      </c>
      <c r="CM4" s="35">
        <v>0</v>
      </c>
      <c r="CN4" s="35">
        <v>0</v>
      </c>
      <c r="CO4" s="35"/>
      <c r="CP4" s="35"/>
      <c r="CQ4" s="35"/>
      <c r="CR4" s="35"/>
      <c r="CS4" s="35"/>
      <c r="CT4" s="35"/>
      <c r="CU4" s="35"/>
      <c r="CV4" s="35"/>
      <c r="CW4" s="11">
        <f>IF(SUM(CH4,CL4)&gt;0,SUM(CH4,CL4),"")</f>
        <v>7.4</v>
      </c>
      <c r="CX4" s="11">
        <f>IF(SUM(CG4:CH4,CJ4:CL4,CN4)-CI4-CM4&gt;0,SUM(CG4:CH4,CJ4:CL4,CN4)-CI4-CM4,"")</f>
        <v>61.5</v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>
        <f>IF(SUM(CX4,CZ4)&gt;0,SUM(CX4,CZ4),"")</f>
        <v>61.5</v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13.35</v>
      </c>
      <c r="LZ4" s="61">
        <f>IF($BY4="P",BJ4,(BJ4+AN4)/2)</f>
        <v>1.8</v>
      </c>
      <c r="MA4" s="61">
        <f>IF($BY4="P",BK4,(BK4+AO4)/2)</f>
        <v>0</v>
      </c>
      <c r="MB4" s="61">
        <f>IF($BY4="P",BL4,(BL4+AP4)/2)</f>
        <v>0</v>
      </c>
      <c r="MC4" s="61">
        <f>IF($BY4="P",BM4,(BM4+AQ4)/2)</f>
        <v>13.45</v>
      </c>
      <c r="MD4" s="61">
        <f>IF($BY4="P",BN4,(BN4+AR4)/2)</f>
        <v>2.15</v>
      </c>
      <c r="ME4" s="61">
        <f>IF($BY4="P",BO4,(BO4+AS4)/2)</f>
        <v>0</v>
      </c>
      <c r="MF4" s="61">
        <f>IF($BY4="P",BP4,(BP4+AT4)/2)</f>
        <v>0.5</v>
      </c>
      <c r="MG4" s="61">
        <f>IF($BY4="P",BQ4,(BQ4+AU4)/2)</f>
        <v>13.6</v>
      </c>
      <c r="MH4" s="61">
        <f>IF($BY4="P",BR4,(BR4+AV4)/2)</f>
        <v>1.8</v>
      </c>
      <c r="MI4" s="61">
        <f>IF($BY4="P",BS4,(BS4+AW4)/2)</f>
        <v>0</v>
      </c>
      <c r="MJ4" s="61">
        <f>IF($BY4="P",BT4,(BT4+AX4)/2)</f>
        <v>0</v>
      </c>
      <c r="MK4" s="61">
        <f>IF($BY4="P",BU4,(BU4+AY4)/2)</f>
        <v>13.1</v>
      </c>
      <c r="ML4" s="61">
        <f>IF($BY4="P",BV4,(BV4+AZ4)/2)</f>
        <v>2.15</v>
      </c>
      <c r="MM4" s="61">
        <f>IF($BY4="P",BW4,(BW4+BA4)/2)</f>
        <v>0</v>
      </c>
      <c r="MN4" s="61">
        <f>IF($BY4="P",BX4,(BX4+BB4)/2)</f>
        <v>0.5</v>
      </c>
      <c r="MO4" s="72" t="s">
        <v>52</v>
      </c>
      <c r="MP4" s="11">
        <f>IF(SUM(LZ4,MD4)&gt;0,SUM(LZ4,MD4),"")</f>
        <v>3.95</v>
      </c>
      <c r="MQ4" s="11">
        <f>IF(SUM(LY4:LZ4,MB4:MD4,MF4)-MA4-ME4&gt;0,SUM(LY4:LZ4,MB4:MD4,MF4)-MA4-ME4,"")</f>
        <v>31.25</v>
      </c>
      <c r="MR4" s="11">
        <f>IF(SUM(MH4,ML4)&gt;0,SUM(MH4,ML4),"")</f>
        <v>3.95</v>
      </c>
      <c r="MS4" s="11">
        <f>IF(SUM(MG4:MH4,MJ4:ML4,MN4)-SUM(MI4,MM4)&gt;0,SUM(MG4:MH4,MJ4:ML4,MN4)-SUM(MI4,MM4),"")</f>
        <v>31.15</v>
      </c>
      <c r="MT4" s="11">
        <f>IF(SUM(MQ4,MS4)&gt;0,SUM(MQ4,MS4),"")</f>
        <v>62.4</v>
      </c>
    </row>
    <row r="5" spans="1:358" x14ac:dyDescent="0.2">
      <c r="A5" s="5">
        <f>IF(AND(F5="P",G5="P"),SUMPRODUCT((F$4:F$7="P")*(G$4:G$7="P")*(E$4:E$7&gt;E5))+1,IF(G5="P",SUMPRODUCT((F$4:F$7="")*(G$4:G$7="P")*(E$4:E$7&gt;E5))+1+SUMPRODUCT((F$4:F$7="P")*(G$4:G$7="P")),""))</f>
        <v>2</v>
      </c>
      <c r="B5" s="6" t="s">
        <v>101</v>
      </c>
      <c r="C5" s="7" t="s">
        <v>3</v>
      </c>
      <c r="D5" s="26">
        <v>2004</v>
      </c>
      <c r="E5" s="15">
        <f>SUM(J5:N5)</f>
        <v>123.79999999999998</v>
      </c>
      <c r="F5" s="3" t="str">
        <f>IF(OR(AND(AH5&gt;=AL$9,AI5&gt;=AL$13,AI5&lt;&gt;"",AG5=""),AND(BD5&gt;=BH$9,BE5&gt;=BH$13,BE5&lt;&gt;"",BC5=""),AND(BZ5&gt;=CD$9,CA5&gt;=CD$13,CA5&lt;&gt;"",BY5=""),AND(CW5&gt;=DA$9,CX5&gt;=DA$13,CX5&lt;&gt;""),AND(DR5&gt;=DV$9,DS5&gt;=DV$13,DS5&lt;&gt;""),AND(EM5&gt;=EQ$9,EN5&gt;=EQ$13,EN5&lt;&gt;""),AND(FH5&gt;=FL$9,FI5&gt;=FL$13,FI5&lt;&gt;""),AND(GC5&gt;=GG$9,GD5&gt;=GG$13,GD5&lt;&gt;""),AND(GX5&gt;=HB$9,GY5&gt;=HB$13,GY5&lt;&gt;""),AND(HS5&gt;=HW$9,HT5&gt;=HW$13,HT5&lt;&gt;""),AND(IN5&gt;=IR$9,IO5&gt;=IR$13,IO5&lt;&gt;""),AND(JI5&gt;=JM$9,JJ5&gt;=JM$13,JJ5&lt;&gt;""),AND(KD5&gt;=KH$9,KE5&gt;=KH$13,KE5&lt;&gt;""),AND(KY5&gt;=LC$9,KZ5&gt;=LC$13,KZ5&lt;&gt;""),AND(LT5&gt;=LX$9,LU5&gt;=LX$13,LU5&lt;&gt;"")),"P","")</f>
        <v>P</v>
      </c>
      <c r="G5" s="3" t="str">
        <f>IF(OR(AND(AI5&gt;=AL$13,AI5&lt;&gt;"",AG5=""),AND(BE5&gt;=BH$13,BE5&lt;&gt;"",BC5=""),AND(CA5&gt;=CD$13,CA5&lt;&gt;"",BY5=""),AND(CX5&gt;=DA$13,CX5&lt;&gt;""),AND(DS5&gt;=DV$13,DS5&lt;&gt;""),AND(EN5&gt;=EQ$13,EN5&lt;&gt;""),AND(FI5&gt;=FL$13,FI5&lt;&gt;""),AND(GD5&gt;=GG$13,GD5&lt;&gt;""),AND(GY5&gt;=HB$13,GY5&lt;&gt;""),AND(HT5&gt;=HW$13,HT5&lt;&gt;""),AND(IO5&gt;=IR$13,IO5&lt;&gt;""),AND(JJ5&gt;=JM$13,JJ5&lt;&gt;""),AND(KE5&gt;=KH$13,KE5&lt;&gt;""),AND(KZ5&gt;=LC$13,KZ5&lt;&gt;""),AND(LU5&gt;=LX$13,LU5&lt;&gt;"")),"P","")</f>
        <v>P</v>
      </c>
      <c r="H5" s="116" t="str">
        <f>IF(AND(G5="P",F5=""),"No DD",IF(OR(AND(AI5&gt;=AL$16,AI5&lt;&gt;"",AH5&gt;=AL$12,AH5&lt;&gt;"",AG5=""),AND(BE5&gt;=BH$16,BE5&lt;&gt;"",BD5&gt;=BH$12,BD5&lt;&gt;"",BC5=""),AND(CA5&gt;=CD$16,CA5&lt;&gt;"",BZ5&gt;=CD$12,BZ5&lt;&gt;"",BY5=""),AND(CX5&gt;=DA$16,CX5&lt;&gt;"",CW5&gt;=DA$12,CW5&lt;&gt;""),AND(DS5&gt;=DV$16,DS5&lt;&gt;"",DR5&gt;=DV$12,DR5&lt;&gt;""),AND(EN5&gt;=EQ$16,EN5&lt;&gt;"",EM5&gt;=EQ$12,EM5&lt;&gt;""),AND(FI5&gt;=FL$16,FI5&lt;&gt;"",FH5&gt;=FL$12,FH5&lt;&gt;""),AND(GD5&gt;=GG$16,GD5&lt;&gt;"",GC5&gt;=GG$12,GC5&lt;&gt;""),AND(GY5&gt;=HB$16,GY5&lt;&gt;"",GX5&gt;=HB$12,GX5&lt;&gt;""),AND(HT5&gt;=HW$16,HT5&lt;&gt;"",HS5&gt;=HW$12,HS5&lt;&gt;""),AND(IO5&gt;=IR$16,IO5&lt;&gt;"",IN5&gt;=IR$12,IN5&lt;&gt;""),AND(JJ5&gt;=JM$16,JJ5&lt;&gt;"",JI5&gt;=JM$12,JI5&lt;&gt;""),AND(KE5&gt;=KH$16,KE5&lt;&gt;"",KD5&gt;=KH$12,KD5&lt;&gt;""),AND(KZ5&gt;=LC$16,KZ5&lt;&gt;"",KY5&gt;=LC$12,KY5&lt;&gt;""),AND(LU5&gt;=LX$16,LU5&lt;&gt;"",LT5&gt;=LX$12,LT5&lt;&gt;"")),"Merit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Excellence",IF(OR(AND(AI5&gt;=AL$14,AI5&lt;&gt;"",AH5&gt;=AL$10,AH5&lt;&gt;"",AG5=""),AND(BE5&gt;=BH$14,BE5&lt;&gt;"",BD5&gt;=BH$10,BD5&lt;&gt;"",BC5=""),AND(CA5&gt;=CD$14,CA5&lt;&gt;"",BZ5&gt;=CD$10,BZ5&lt;&gt;"",BY5=""),AND(CX5&gt;=DA$14,CX5&lt;&gt;"",CW5&gt;=DA$10,CW5&lt;&gt;""),AND(DS5&gt;=DV$14,DS5&lt;&gt;"",DR5&gt;=DV$10,DR5&lt;&gt;""),AND(EN5&gt;=EQ$14,EN5&lt;&gt;"",EM5&gt;=EQ$10,EM5&lt;&gt;""),AND(FI5&gt;=FL$14,FI5&lt;&gt;"",FH5&gt;=FL$10,FH5&lt;&gt;""),AND(GD5&gt;=GG$14,GD5&lt;&gt;"",GC5&gt;=GG$10,GC5&lt;&gt;""),AND(GY5&gt;=HB$14,GY5&lt;&gt;"",GX5&gt;=HB$10,GX5&lt;&gt;""),AND(HT5&gt;=HW$14,HT5&lt;&gt;"",HS5&gt;=HW$10,HS5&lt;&gt;""),AND(IO5&gt;=IR$14,IO5&lt;&gt;"",IN5&gt;=IR$10,IN5&lt;&gt;""),AND(JJ5&gt;=JM$14,JJ5&lt;&gt;"",JI5&gt;=JM$10,JI5&lt;&gt;""),AND(KE5&gt;=KH$14,KE5&lt;&gt;"",KD5&gt;=KH$10,KD5&lt;&gt;""),AND(KZ5&gt;=LC$14,KZ5&lt;&gt;"",KY5&gt;=LC$10,KY5&lt;&gt;""),AND(LU5&gt;=LX$14,LU5&lt;&gt;"",LT5&gt;=LX$10,LT5&lt;&gt;"")),"Worlds Team",IF(OR(AND(AI5&gt;=AL$13,AI5&lt;&gt;"",AH5&gt;=AL$9,AH5&lt;&gt;"",AG5=""),AND(BE5&gt;=BH$13,BE5&lt;&gt;"",BD5&gt;=BH$9,BD5&lt;&gt;"",BC5=""),AND(CA5&gt;=CD$13,CA5&lt;&gt;"",BZ5&gt;=CD$9,BZ5&lt;&gt;"",BY5=""),AND(CX5&gt;=DA$13,CX5&lt;&gt;"",CW5&gt;=DA$9,CW5&lt;&gt;""),AND(DS5&gt;=DV$13,DS5&lt;&gt;"",DR5&gt;=DV$9,DR5&lt;&gt;""),AND(EN5&gt;=EQ$13,EN5&lt;&gt;"",EM5&gt;=EQ$9,EM5&lt;&gt;""),AND(FI5&gt;=FL$13,FI5&lt;&gt;"",FH5&gt;=FL$9,FH5&lt;&gt;""),AND(GD5&gt;=GG$13,GD5&lt;&gt;"",GC5&gt;=GG$9,GC5&lt;&gt;""),AND(GY5&gt;=HB$13,GY5&lt;&gt;"",GX5&gt;=HB$9,GX5&lt;&gt;""),AND(HT5&gt;=HW$13,HT5&lt;&gt;"",HS5&gt;=HW$9,HS5&lt;&gt;""),AND(IO5&gt;=IR$13,IO5&lt;&gt;"",IN5&gt;=IR$9,IN5&lt;&gt;""),AND(JJ5&gt;=JM$13,JJ5&lt;&gt;"",JI5&gt;=JM$9,JI5&lt;&gt;""),AND(KE5&gt;=KH$13,KE5&lt;&gt;"",KD5&gt;=KH$9,KD5&lt;&gt;""),AND(KZ5&gt;=LC$13,KZ5&lt;&gt;"",KY5&gt;=LC$9,KY5&lt;&gt;""),AND(LU5&gt;=LX$13,LU5&lt;&gt;"",LT5&gt;=LX$9,LT5&lt;&gt;"")),"National Team","")))))</f>
        <v>National Team</v>
      </c>
      <c r="I5" s="3" t="str">
        <f>IF(OR(H5="Worlds Team",H5="Excellence",H5="Merit"),"P","")</f>
        <v/>
      </c>
      <c r="J5" s="14">
        <f>MAX(AI5,BE5,CA5)</f>
        <v>62.199999999999996</v>
      </c>
      <c r="K5" s="14" t="str">
        <f>IF(J5=0,"",IF(J5=CA5,$BI$1,IF(J5=BE5,$AM$1,IF(J5=AI5,$Q$1,""))))</f>
        <v>2019 Nationals</v>
      </c>
      <c r="L5" s="14">
        <f>MAX(AK5,BG5,CC5)</f>
        <v>61.599999999999994</v>
      </c>
      <c r="M5" s="14" t="str">
        <f>IF(L5=0,"",IF(J5=CC5,$BI$1,IF(L5=BG5,$AM$1,IF(L5=AK5,$Q$1,""))))</f>
        <v>2019 Nationals</v>
      </c>
      <c r="N5" s="14" t="str">
        <f>IF(MAX(CE5:CF5)&gt;0,MAX(CE5:CF5),"")</f>
        <v/>
      </c>
      <c r="O5" s="24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37">
        <v>26.7</v>
      </c>
      <c r="R5" s="37">
        <v>3.4</v>
      </c>
      <c r="S5" s="37">
        <v>0</v>
      </c>
      <c r="T5" s="37">
        <v>0</v>
      </c>
      <c r="U5" s="37">
        <v>25.5</v>
      </c>
      <c r="V5" s="37">
        <v>3.6</v>
      </c>
      <c r="W5" s="37">
        <v>0</v>
      </c>
      <c r="X5" s="37">
        <v>1</v>
      </c>
      <c r="Y5" s="37">
        <v>26.8</v>
      </c>
      <c r="Z5" s="37">
        <v>3.4</v>
      </c>
      <c r="AA5" s="37">
        <v>0</v>
      </c>
      <c r="AB5" s="37">
        <v>0</v>
      </c>
      <c r="AC5" s="37">
        <v>26.6</v>
      </c>
      <c r="AD5" s="37">
        <v>3.6</v>
      </c>
      <c r="AE5" s="37">
        <v>0</v>
      </c>
      <c r="AF5" s="37">
        <v>1</v>
      </c>
      <c r="AG5" s="72"/>
      <c r="AH5" s="11">
        <f>IF(SUM(R5,V5)&gt;0,SUM(R5,V5),"")</f>
        <v>7</v>
      </c>
      <c r="AI5" s="11">
        <f>IF(SUM(Q5:R5,T5:V5,X5)-S5-W5&gt;0,SUM(Q5:R5,T5:V5,X5)-S5-W5,"")</f>
        <v>60.199999999999996</v>
      </c>
      <c r="AJ5" s="11">
        <f>IF(SUM(Z5,AD5)&gt;0,SUM(Z5,AD5),"")</f>
        <v>7</v>
      </c>
      <c r="AK5" s="11">
        <f>IF(SUM(Y5:Z5,AB5:AD5,AF5)-SUM(AA5,AE5)&gt;0,SUM(Y5:Z5,AB5:AD5,AF5)-SUM(AA5,AE5),"")</f>
        <v>61.4</v>
      </c>
      <c r="AL5" s="11">
        <f>IF(SUM(AI5,AK5)&gt;0,SUM(AI5,AK5),"")</f>
        <v>121.6</v>
      </c>
      <c r="AM5" s="36">
        <v>26.7</v>
      </c>
      <c r="AN5" s="36">
        <v>3.8</v>
      </c>
      <c r="AO5" s="36">
        <v>0</v>
      </c>
      <c r="AP5" s="36">
        <v>0</v>
      </c>
      <c r="AQ5" s="36">
        <v>26.4</v>
      </c>
      <c r="AR5" s="36">
        <v>4.3</v>
      </c>
      <c r="AS5" s="36">
        <v>0</v>
      </c>
      <c r="AT5" s="36">
        <v>1</v>
      </c>
      <c r="AU5" s="36">
        <v>27</v>
      </c>
      <c r="AV5" s="36">
        <v>3.6</v>
      </c>
      <c r="AW5" s="36">
        <v>0</v>
      </c>
      <c r="AX5" s="36">
        <v>0</v>
      </c>
      <c r="AY5" s="36">
        <v>25.7</v>
      </c>
      <c r="AZ5" s="36">
        <v>4.3</v>
      </c>
      <c r="BA5" s="36">
        <v>0</v>
      </c>
      <c r="BB5" s="36">
        <v>1</v>
      </c>
      <c r="BC5" s="73"/>
      <c r="BD5" s="14">
        <f>IF(SUM(AN5,AR5)&gt;0,SUM(AN5,AR5),"")</f>
        <v>8.1</v>
      </c>
      <c r="BE5" s="14">
        <f>IF(SUM(AM5:AN5,AP5:AR5,AT5)-AO5-AS5&gt;0,SUM(AM5:AN5,AP5:AR5,AT5)-AO5-AS5,"")</f>
        <v>62.199999999999996</v>
      </c>
      <c r="BF5" s="14">
        <f>IF(SUM(AV5,AZ5)&gt;0,SUM(AV5,AZ5),"")</f>
        <v>7.9</v>
      </c>
      <c r="BG5" s="14">
        <f>IF(SUM(AU5:AV5,AX5:AZ5,BB5)-SUM(AW5,BA5)&gt;0,SUM(AU5:AV5,AX5:AZ5,BB5)-SUM(AW5,BA5),"")</f>
        <v>61.599999999999994</v>
      </c>
      <c r="BH5" s="14">
        <f>IF(SUM(BE5,BG5)&gt;0,SUM(BE5,BG5),"")</f>
        <v>123.79999999999998</v>
      </c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72"/>
      <c r="BZ5" s="11" t="str">
        <f>IF(SUM(BJ5,BN5)&gt;0,SUM(BJ5,BN5),"")</f>
        <v/>
      </c>
      <c r="CA5" s="11" t="str">
        <f>IF(SUM(BI5:BJ5,BL5:BN5,BP5)-BK5-BO5&gt;0,SUM(BI5:BJ5,BL5:BN5,BP5)-BK5-BO5,"")</f>
        <v/>
      </c>
      <c r="CB5" s="11"/>
      <c r="CC5" s="11" t="str">
        <f>IF(SUM(BQ5:BR5,BT5:BV5,BX5)-SUM(BS5,BW5)&gt;0,SUM(BQ5:BR5,BT5:BV5,BX5)-SUM(BS5,BW5),"")</f>
        <v/>
      </c>
      <c r="CD5" s="11" t="str">
        <f>IF(SUM(CA5,CC5)&gt;0,SUM(CA5,CC5),"")</f>
        <v/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IF(MAX(CZ5,DU5,EP5,FK5,GF5,HA5,HV5,IQ5,JL5,KG5,LB5,LW5)-IF(L5="",0,L5)&gt;0.001,MAX(CZ5,DU5,EP5,FK5,GF5,HA5,HV5,IQ5,JL5,KG5,LB5,LW5)-IF(L5="",0,L5),"")</f>
        <v/>
      </c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13.35</v>
      </c>
      <c r="LZ5" s="61">
        <f>IF($BY5="P",BJ5,(BJ5+AN5)/2)</f>
        <v>1.9</v>
      </c>
      <c r="MA5" s="61">
        <f>IF($BY5="P",BK5,(BK5+AO5)/2)</f>
        <v>0</v>
      </c>
      <c r="MB5" s="61">
        <f>IF($BY5="P",BL5,(BL5+AP5)/2)</f>
        <v>0</v>
      </c>
      <c r="MC5" s="61">
        <f>IF($BY5="P",BM5,(BM5+AQ5)/2)</f>
        <v>13.2</v>
      </c>
      <c r="MD5" s="61">
        <f>IF($BY5="P",BN5,(BN5+AR5)/2)</f>
        <v>2.15</v>
      </c>
      <c r="ME5" s="61">
        <f>IF($BY5="P",BO5,(BO5+AS5)/2)</f>
        <v>0</v>
      </c>
      <c r="MF5" s="61">
        <f>IF($BY5="P",BP5,(BP5+AT5)/2)</f>
        <v>0.5</v>
      </c>
      <c r="MG5" s="61">
        <f>IF($BY5="P",BQ5,(BQ5+AU5)/2)</f>
        <v>13.5</v>
      </c>
      <c r="MH5" s="61">
        <f>IF($BY5="P",BR5,(BR5+AV5)/2)</f>
        <v>1.8</v>
      </c>
      <c r="MI5" s="61">
        <f>IF($BY5="P",BS5,(BS5+AW5)/2)</f>
        <v>0</v>
      </c>
      <c r="MJ5" s="61">
        <f>IF($BY5="P",BT5,(BT5+AX5)/2)</f>
        <v>0</v>
      </c>
      <c r="MK5" s="61">
        <f>IF($BY5="P",BU5,(BU5+AY5)/2)</f>
        <v>12.85</v>
      </c>
      <c r="ML5" s="61">
        <f>IF($BY5="P",BV5,(BV5+AZ5)/2)</f>
        <v>2.15</v>
      </c>
      <c r="MM5" s="61">
        <f>IF($BY5="P",BW5,(BW5+BA5)/2)</f>
        <v>0</v>
      </c>
      <c r="MN5" s="61">
        <f>IF($BY5="P",BX5,(BX5+BB5)/2)</f>
        <v>0.5</v>
      </c>
      <c r="MO5" s="72" t="s">
        <v>52</v>
      </c>
      <c r="MP5" s="11">
        <f>IF(SUM(LZ5,MD5)&gt;0,SUM(LZ5,MD5),"")</f>
        <v>4.05</v>
      </c>
      <c r="MQ5" s="11">
        <f>IF(SUM(LY5:LZ5,MB5:MD5,MF5)-MA5-ME5&gt;0,SUM(LY5:LZ5,MB5:MD5,MF5)-MA5-ME5,"")</f>
        <v>31.099999999999998</v>
      </c>
      <c r="MR5" s="11">
        <f>IF(SUM(MH5,ML5)&gt;0,SUM(MH5,ML5),"")</f>
        <v>3.95</v>
      </c>
      <c r="MS5" s="11">
        <f>IF(SUM(MG5:MH5,MJ5:ML5,MN5)-SUM(MI5,MM5)&gt;0,SUM(MG5:MH5,MJ5:ML5,MN5)-SUM(MI5,MM5),"")</f>
        <v>30.799999999999997</v>
      </c>
      <c r="MT5" s="11">
        <f>IF(SUM(MQ5,MS5)&gt;0,SUM(MQ5,MS5),"")</f>
        <v>61.899999999999991</v>
      </c>
    </row>
    <row r="6" spans="1:358" x14ac:dyDescent="0.2">
      <c r="A6" s="5">
        <f>IF(AND(F6="P",G6="P"),SUMPRODUCT((F$4:F$7="P")*(G$4:G$7="P")*(E$4:E$7&gt;E6))+1,IF(G6="P",SUMPRODUCT((F$4:F$7="")*(G$4:G$7="P")*(E$4:E$7&gt;E6))+1+SUMPRODUCT((F$4:F$7="P")*(G$4:G$7="P")),""))</f>
        <v>3</v>
      </c>
      <c r="B6" s="6" t="s">
        <v>74</v>
      </c>
      <c r="C6" s="7" t="s">
        <v>3</v>
      </c>
      <c r="D6" s="26">
        <v>2003</v>
      </c>
      <c r="E6" s="15">
        <f>SUM(J6:N6)</f>
        <v>121.39999999999999</v>
      </c>
      <c r="F6" s="3" t="str">
        <f>IF(OR(AND(AH6&gt;=AL$9,AI6&gt;=AL$13,AI6&lt;&gt;"",AG6=""),AND(BD6&gt;=BH$9,BE6&gt;=BH$13,BE6&lt;&gt;"",BC6=""),AND(BZ6&gt;=CD$9,CA6&gt;=CD$13,CA6&lt;&gt;"",BY6=""),AND(CW6&gt;=DA$9,CX6&gt;=DA$13,CX6&lt;&gt;""),AND(DR6&gt;=DV$9,DS6&gt;=DV$13,DS6&lt;&gt;""),AND(EM6&gt;=EQ$9,EN6&gt;=EQ$13,EN6&lt;&gt;""),AND(FH6&gt;=FL$9,FI6&gt;=FL$13,FI6&lt;&gt;""),AND(GC6&gt;=GG$9,GD6&gt;=GG$13,GD6&lt;&gt;""),AND(GX6&gt;=HB$9,GY6&gt;=HB$13,GY6&lt;&gt;""),AND(HS6&gt;=HW$9,HT6&gt;=HW$13,HT6&lt;&gt;""),AND(IN6&gt;=IR$9,IO6&gt;=IR$13,IO6&lt;&gt;""),AND(JI6&gt;=JM$9,JJ6&gt;=JM$13,JJ6&lt;&gt;""),AND(KD6&gt;=KH$9,KE6&gt;=KH$13,KE6&lt;&gt;""),AND(KY6&gt;=LC$9,KZ6&gt;=LC$13,KZ6&lt;&gt;""),AND(LT6&gt;=LX$9,LU6&gt;=LX$13,LU6&lt;&gt;"")),"P","")</f>
        <v>P</v>
      </c>
      <c r="G6" s="3" t="str">
        <f>IF(OR(AND(AI6&gt;=AL$13,AI6&lt;&gt;"",AG6=""),AND(BE6&gt;=BH$13,BE6&lt;&gt;"",BC6=""),AND(CA6&gt;=CD$13,CA6&lt;&gt;"",BY6=""),AND(CX6&gt;=DA$13,CX6&lt;&gt;""),AND(DS6&gt;=DV$13,DS6&lt;&gt;""),AND(EN6&gt;=EQ$13,EN6&lt;&gt;""),AND(FI6&gt;=FL$13,FI6&lt;&gt;""),AND(GD6&gt;=GG$13,GD6&lt;&gt;""),AND(GY6&gt;=HB$13,GY6&lt;&gt;""),AND(HT6&gt;=HW$13,HT6&lt;&gt;""),AND(IO6&gt;=IR$13,IO6&lt;&gt;""),AND(JJ6&gt;=JM$13,JJ6&lt;&gt;""),AND(KE6&gt;=KH$13,KE6&lt;&gt;""),AND(KZ6&gt;=LC$13,KZ6&lt;&gt;""),AND(LU6&gt;=LX$13,LU6&lt;&gt;"")),"P","")</f>
        <v>P</v>
      </c>
      <c r="H6" s="116" t="str">
        <f>IF(AND(G6="P",F6=""),"No DD",IF(OR(AND(AI6&gt;=AL$16,AI6&lt;&gt;"",AH6&gt;=AL$12,AH6&lt;&gt;"",AG6=""),AND(BE6&gt;=BH$16,BE6&lt;&gt;"",BD6&gt;=BH$12,BD6&lt;&gt;"",BC6=""),AND(CA6&gt;=CD$16,CA6&lt;&gt;"",BZ6&gt;=CD$12,BZ6&lt;&gt;"",BY6=""),AND(CX6&gt;=DA$16,CX6&lt;&gt;"",CW6&gt;=DA$12,CW6&lt;&gt;""),AND(DS6&gt;=DV$16,DS6&lt;&gt;"",DR6&gt;=DV$12,DR6&lt;&gt;""),AND(EN6&gt;=EQ$16,EN6&lt;&gt;"",EM6&gt;=EQ$12,EM6&lt;&gt;""),AND(FI6&gt;=FL$16,FI6&lt;&gt;"",FH6&gt;=FL$12,FH6&lt;&gt;""),AND(GD6&gt;=GG$16,GD6&lt;&gt;"",GC6&gt;=GG$12,GC6&lt;&gt;""),AND(GY6&gt;=HB$16,GY6&lt;&gt;"",GX6&gt;=HB$12,GX6&lt;&gt;""),AND(HT6&gt;=HW$16,HT6&lt;&gt;"",HS6&gt;=HW$12,HS6&lt;&gt;""),AND(IO6&gt;=IR$16,IO6&lt;&gt;"",IN6&gt;=IR$12,IN6&lt;&gt;""),AND(JJ6&gt;=JM$16,JJ6&lt;&gt;"",JI6&gt;=JM$12,JI6&lt;&gt;""),AND(KE6&gt;=KH$16,KE6&lt;&gt;"",KD6&gt;=KH$12,KD6&lt;&gt;""),AND(KZ6&gt;=LC$16,KZ6&lt;&gt;"",KY6&gt;=LC$12,KY6&lt;&gt;""),AND(LU6&gt;=LX$16,LU6&lt;&gt;"",LT6&gt;=LX$12,LT6&lt;&gt;"")),"Merit",IF(OR(AND(AI6&gt;=AL$15,AI6&lt;&gt;"",AH6&gt;=AL$11,AH6&lt;&gt;"",AG6=""),AND(BE6&gt;=BH$15,BE6&lt;&gt;"",BD6&gt;=BH$11,BD6&lt;&gt;"",BC6=""),AND(CA6&gt;=CD$15,CA6&lt;&gt;"",BZ6&gt;=CD$11,BZ6&lt;&gt;"",BY6=""),AND(CX6&gt;=DA$15,CX6&lt;&gt;"",CW6&gt;=DA$11,CW6&lt;&gt;""),AND(DS6&gt;=DV$15,DS6&lt;&gt;"",DR6&gt;=DV$11,DR6&lt;&gt;""),AND(EN6&gt;=EQ$15,EN6&lt;&gt;"",EM6&gt;=EQ$11,EM6&lt;&gt;""),AND(FI6&gt;=FL$15,FI6&lt;&gt;"",FH6&gt;=FL$11,FH6&lt;&gt;""),AND(GD6&gt;=GG$15,GD6&lt;&gt;"",GC6&gt;=GG$11,GC6&lt;&gt;""),AND(GY6&gt;=HB$15,GY6&lt;&gt;"",GX6&gt;=HB$11,GX6&lt;&gt;""),AND(HT6&gt;=HW$15,HT6&lt;&gt;"",HS6&gt;=HW$11,HS6&lt;&gt;""),AND(IO6&gt;=IR$15,IO6&lt;&gt;"",IN6&gt;=IR$11,IN6&lt;&gt;""),AND(JJ6&gt;=JM$15,JJ6&lt;&gt;"",JI6&gt;=JM$11,JI6&lt;&gt;""),AND(KE6&gt;=KH$15,KE6&lt;&gt;"",KD6&gt;=KH$11,KD6&lt;&gt;""),AND(KZ6&gt;=LC$15,KZ6&lt;&gt;"",KY6&gt;=LC$11,KY6&lt;&gt;""),AND(LU6&gt;=LX$15,LU6&lt;&gt;"",LT6&gt;=LX$11,LT6&lt;&gt;"")),"Excellence",IF(OR(AND(AI6&gt;=AL$14,AI6&lt;&gt;"",AH6&gt;=AL$10,AH6&lt;&gt;"",AG6=""),AND(BE6&gt;=BH$14,BE6&lt;&gt;"",BD6&gt;=BH$10,BD6&lt;&gt;"",BC6=""),AND(CA6&gt;=CD$14,CA6&lt;&gt;"",BZ6&gt;=CD$10,BZ6&lt;&gt;"",BY6=""),AND(CX6&gt;=DA$14,CX6&lt;&gt;"",CW6&gt;=DA$10,CW6&lt;&gt;""),AND(DS6&gt;=DV$14,DS6&lt;&gt;"",DR6&gt;=DV$10,DR6&lt;&gt;""),AND(EN6&gt;=EQ$14,EN6&lt;&gt;"",EM6&gt;=EQ$10,EM6&lt;&gt;""),AND(FI6&gt;=FL$14,FI6&lt;&gt;"",FH6&gt;=FL$10,FH6&lt;&gt;""),AND(GD6&gt;=GG$14,GD6&lt;&gt;"",GC6&gt;=GG$10,GC6&lt;&gt;""),AND(GY6&gt;=HB$14,GY6&lt;&gt;"",GX6&gt;=HB$10,GX6&lt;&gt;""),AND(HT6&gt;=HW$14,HT6&lt;&gt;"",HS6&gt;=HW$10,HS6&lt;&gt;""),AND(IO6&gt;=IR$14,IO6&lt;&gt;"",IN6&gt;=IR$10,IN6&lt;&gt;""),AND(JJ6&gt;=JM$14,JJ6&lt;&gt;"",JI6&gt;=JM$10,JI6&lt;&gt;""),AND(KE6&gt;=KH$14,KE6&lt;&gt;"",KD6&gt;=KH$10,KD6&lt;&gt;""),AND(KZ6&gt;=LC$14,KZ6&lt;&gt;"",KY6&gt;=LC$10,KY6&lt;&gt;""),AND(LU6&gt;=LX$14,LU6&lt;&gt;"",LT6&gt;=LX$10,LT6&lt;&gt;"")),"Worlds Team",IF(OR(AND(AI6&gt;=AL$13,AI6&lt;&gt;"",AH6&gt;=AL$9,AH6&lt;&gt;"",AG6=""),AND(BE6&gt;=BH$13,BE6&lt;&gt;"",BD6&gt;=BH$9,BD6&lt;&gt;"",BC6=""),AND(CA6&gt;=CD$13,CA6&lt;&gt;"",BZ6&gt;=CD$9,BZ6&lt;&gt;"",BY6=""),AND(CX6&gt;=DA$13,CX6&lt;&gt;"",CW6&gt;=DA$9,CW6&lt;&gt;""),AND(DS6&gt;=DV$13,DS6&lt;&gt;"",DR6&gt;=DV$9,DR6&lt;&gt;""),AND(EN6&gt;=EQ$13,EN6&lt;&gt;"",EM6&gt;=EQ$9,EM6&lt;&gt;""),AND(FI6&gt;=FL$13,FI6&lt;&gt;"",FH6&gt;=FL$9,FH6&lt;&gt;""),AND(GD6&gt;=GG$13,GD6&lt;&gt;"",GC6&gt;=GG$9,GC6&lt;&gt;""),AND(GY6&gt;=HB$13,GY6&lt;&gt;"",GX6&gt;=HB$9,GX6&lt;&gt;""),AND(HT6&gt;=HW$13,HT6&lt;&gt;"",HS6&gt;=HW$9,HS6&lt;&gt;""),AND(IO6&gt;=IR$13,IO6&lt;&gt;"",IN6&gt;=IR$9,IN6&lt;&gt;""),AND(JJ6&gt;=JM$13,JJ6&lt;&gt;"",JI6&gt;=JM$9,JI6&lt;&gt;""),AND(KE6&gt;=KH$13,KE6&lt;&gt;"",KD6&gt;=KH$9,KD6&lt;&gt;""),AND(KZ6&gt;=LC$13,KZ6&lt;&gt;"",KY6&gt;=LC$9,KY6&lt;&gt;""),AND(LU6&gt;=LX$13,LU6&lt;&gt;"",LT6&gt;=LX$9,LT6&lt;&gt;"")),"National Team","")))))</f>
        <v>National Team</v>
      </c>
      <c r="I6" s="3" t="str">
        <f>IF(OR(H6="Worlds Team",H6="Excellence",H6="Merit"),"P","")</f>
        <v/>
      </c>
      <c r="J6" s="14">
        <f>MAX(AI6,BE6,CA6)</f>
        <v>63.599999999999994</v>
      </c>
      <c r="K6" s="14" t="str">
        <f>IF(J6=0,"",IF(J6=CA6,$BI$1,IF(J6=BE6,$AM$1,IF(J6=AI6,$Q$1,""))))</f>
        <v>2019 Nationals</v>
      </c>
      <c r="L6" s="14">
        <f>MAX(AK6,BG6,CC6)</f>
        <v>57.8</v>
      </c>
      <c r="M6" s="14" t="str">
        <f>IF(L6=0,"",IF(J6=CC6,$BI$1,IF(L6=BG6,$AM$1,IF(L6=AK6,$Q$1,""))))</f>
        <v>2019 Elite Canada</v>
      </c>
      <c r="N6" s="14" t="str">
        <f>IF(MAX(CE6:CF6)&gt;0,MAX(CE6:CF6),"")</f>
        <v/>
      </c>
      <c r="O6" s="24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37">
        <v>26.5</v>
      </c>
      <c r="R6" s="37">
        <v>4.3</v>
      </c>
      <c r="S6" s="37">
        <v>0</v>
      </c>
      <c r="T6" s="37">
        <v>0</v>
      </c>
      <c r="U6" s="37">
        <v>25.8</v>
      </c>
      <c r="V6" s="37">
        <v>4.3</v>
      </c>
      <c r="W6" s="37">
        <v>0</v>
      </c>
      <c r="X6" s="37">
        <v>1</v>
      </c>
      <c r="Y6" s="37">
        <v>25.2</v>
      </c>
      <c r="Z6" s="37">
        <v>6.1</v>
      </c>
      <c r="AA6" s="37">
        <v>0</v>
      </c>
      <c r="AB6" s="37">
        <v>1</v>
      </c>
      <c r="AC6" s="37">
        <v>23.6</v>
      </c>
      <c r="AD6" s="37">
        <v>1.9</v>
      </c>
      <c r="AE6" s="37">
        <v>0</v>
      </c>
      <c r="AF6" s="37">
        <v>0</v>
      </c>
      <c r="AG6" s="72"/>
      <c r="AH6" s="11">
        <f>IF(SUM(R6,V6)&gt;0,SUM(R6,V6),"")</f>
        <v>8.6</v>
      </c>
      <c r="AI6" s="11">
        <f>IF(SUM(Q6:R6,T6:V6,X6)-S6-W6&gt;0,SUM(Q6:R6,T6:V6,X6)-S6-W6,"")</f>
        <v>61.9</v>
      </c>
      <c r="AJ6" s="11">
        <f>IF(SUM(Z6,AD6)&gt;0,SUM(Z6,AD6),"")</f>
        <v>8</v>
      </c>
      <c r="AK6" s="11">
        <f>IF(SUM(Y6:Z6,AB6:AD6,AF6)-SUM(AA6,AE6)&gt;0,SUM(Y6:Z6,AB6:AD6,AF6)-SUM(AA6,AE6),"")</f>
        <v>57.8</v>
      </c>
      <c r="AL6" s="11">
        <f>IF(SUM(AI6,AK6)&gt;0,SUM(AI6,AK6),"")</f>
        <v>119.69999999999999</v>
      </c>
      <c r="AM6" s="36">
        <v>25</v>
      </c>
      <c r="AN6" s="36">
        <v>6.1</v>
      </c>
      <c r="AO6" s="36">
        <v>0</v>
      </c>
      <c r="AP6" s="36">
        <v>1</v>
      </c>
      <c r="AQ6" s="36">
        <v>26.2</v>
      </c>
      <c r="AR6" s="36">
        <v>4.3</v>
      </c>
      <c r="AS6" s="36">
        <v>0</v>
      </c>
      <c r="AT6" s="36">
        <v>1</v>
      </c>
      <c r="AU6" s="36">
        <v>23.3</v>
      </c>
      <c r="AV6" s="36">
        <v>2.9</v>
      </c>
      <c r="AW6" s="36">
        <v>0</v>
      </c>
      <c r="AX6" s="36">
        <v>0</v>
      </c>
      <c r="AY6" s="36"/>
      <c r="AZ6" s="36"/>
      <c r="BA6" s="36"/>
      <c r="BB6" s="36"/>
      <c r="BC6" s="73"/>
      <c r="BD6" s="14">
        <f>IF(SUM(AN6,AR6)&gt;0,SUM(AN6,AR6),"")</f>
        <v>10.399999999999999</v>
      </c>
      <c r="BE6" s="14">
        <f>IF(SUM(AM6:AN6,AP6:AR6,AT6)-AO6-AS6&gt;0,SUM(AM6:AN6,AP6:AR6,AT6)-AO6-AS6,"")</f>
        <v>63.599999999999994</v>
      </c>
      <c r="BF6" s="14">
        <f>IF(SUM(AV6,AZ6)&gt;0,SUM(AV6,AZ6),"")</f>
        <v>2.9</v>
      </c>
      <c r="BG6" s="14">
        <f>IF(SUM(AU6:AV6,AX6:AZ6,BB6)-SUM(AW6,BA6)&gt;0,SUM(AU6:AV6,AX6:AZ6,BB6)-SUM(AW6,BA6),"")</f>
        <v>26.2</v>
      </c>
      <c r="BH6" s="14">
        <f>IF(SUM(BE6,BG6)&gt;0,SUM(BE6,BG6),"")</f>
        <v>89.8</v>
      </c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72"/>
      <c r="BZ6" s="11" t="str">
        <f>IF(SUM(BJ6,BN6)&gt;0,SUM(BJ6,BN6),"")</f>
        <v/>
      </c>
      <c r="CA6" s="11" t="str">
        <f>IF(SUM(BI6:BJ6,BL6:BN6,BP6)-BK6-BO6&gt;0,SUM(BI6:BJ6,BL6:BN6,BP6)-BK6-BO6,"")</f>
        <v/>
      </c>
      <c r="CB6" s="11"/>
      <c r="CC6" s="11" t="str">
        <f>IF(SUM(BQ6:BR6,BT6:BV6,BX6)-SUM(BS6,BW6)&gt;0,SUM(BQ6:BR6,BT6:BV6,BX6)-SUM(BS6,BW6),"")</f>
        <v/>
      </c>
      <c r="CD6" s="11" t="str">
        <f>IF(SUM(CA6,CC6)&gt;0,SUM(CA6,CC6),"")</f>
        <v/>
      </c>
      <c r="CE6" s="23" t="str">
        <f>IF(MAX(CX6,DS6,EN6,FI6,GD6,GY6,HT6,IO6,JJ6,KE6,KZ6,LU6)-IF(J6="",0,J6)&gt;0.001,MAX(CX6,DS6,EN6,FI6,GD6,GY6,HT6,IO6,JJ6,KE6,KZ6,LU6)-IF(J6="",0,J6),"")</f>
        <v/>
      </c>
      <c r="CF6" s="23" t="str">
        <f>IF(MAX(CZ6,DU6,EP6,FK6,GF6,HA6,HV6,IQ6,JL6,KG6,LB6,LW6)-IF(L6="",0,L6)&gt;0.001,MAX(CZ6,DU6,EP6,FK6,GF6,HA6,HV6,IQ6,JL6,KG6,LB6,LW6)-IF(L6="",0,L6),"")</f>
        <v/>
      </c>
      <c r="CG6" s="35">
        <v>25.4</v>
      </c>
      <c r="CH6" s="35">
        <v>6.3</v>
      </c>
      <c r="CI6" s="35">
        <v>0</v>
      </c>
      <c r="CJ6" s="35">
        <v>0</v>
      </c>
      <c r="CK6" s="35">
        <v>26.2</v>
      </c>
      <c r="CL6" s="35">
        <v>4.5</v>
      </c>
      <c r="CM6" s="35">
        <v>0</v>
      </c>
      <c r="CN6" s="35">
        <v>0</v>
      </c>
      <c r="CO6" s="35"/>
      <c r="CP6" s="35"/>
      <c r="CQ6" s="35"/>
      <c r="CR6" s="35"/>
      <c r="CS6" s="35"/>
      <c r="CT6" s="35"/>
      <c r="CU6" s="35"/>
      <c r="CV6" s="35"/>
      <c r="CW6" s="11">
        <f>IF(SUM(CH6,CL6)&gt;0,SUM(CH6,CL6),"")</f>
        <v>10.8</v>
      </c>
      <c r="CX6" s="11">
        <f>IF(SUM(CG6:CH6,CJ6:CL6,CN6)-CI6-CM6&gt;0,SUM(CG6:CH6,CJ6:CL6,CN6)-CI6-CM6,"")</f>
        <v>62.4</v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>
        <f>IF(SUM(CX6,CZ6)&gt;0,SUM(CX6,CZ6),"")</f>
        <v>62.4</v>
      </c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12.5</v>
      </c>
      <c r="LZ6" s="61">
        <f>IF($BY6="P",BJ6,(BJ6+AN6)/2)</f>
        <v>3.05</v>
      </c>
      <c r="MA6" s="61">
        <f>IF($BY6="P",BK6,(BK6+AO6)/2)</f>
        <v>0</v>
      </c>
      <c r="MB6" s="61">
        <f>IF($BY6="P",BL6,(BL6+AP6)/2)</f>
        <v>0.5</v>
      </c>
      <c r="MC6" s="61">
        <f>IF($BY6="P",BM6,(BM6+AQ6)/2)</f>
        <v>13.1</v>
      </c>
      <c r="MD6" s="61">
        <f>IF($BY6="P",BN6,(BN6+AR6)/2)</f>
        <v>2.15</v>
      </c>
      <c r="ME6" s="61">
        <f>IF($BY6="P",BO6,(BO6+AS6)/2)</f>
        <v>0</v>
      </c>
      <c r="MF6" s="61">
        <f>IF($BY6="P",BP6,(BP6+AT6)/2)</f>
        <v>0.5</v>
      </c>
      <c r="MG6" s="61">
        <f>IF($BY6="P",BQ6,(BQ6+AU6)/2)</f>
        <v>11.65</v>
      </c>
      <c r="MH6" s="61">
        <f>IF($BY6="P",BR6,(BR6+AV6)/2)</f>
        <v>1.45</v>
      </c>
      <c r="MI6" s="61">
        <f>IF($BY6="P",BS6,(BS6+AW6)/2)</f>
        <v>0</v>
      </c>
      <c r="MJ6" s="61">
        <f>IF($BY6="P",BT6,(BT6+AX6)/2)</f>
        <v>0</v>
      </c>
      <c r="MK6" s="61">
        <f>IF($BY6="P",BU6,(BU6+AY6)/2)</f>
        <v>0</v>
      </c>
      <c r="ML6" s="61">
        <f>IF($BY6="P",BV6,(BV6+AZ6)/2)</f>
        <v>0</v>
      </c>
      <c r="MM6" s="61">
        <f>IF($BY6="P",BW6,(BW6+BA6)/2)</f>
        <v>0</v>
      </c>
      <c r="MN6" s="61">
        <f>IF($BY6="P",BX6,(BX6+BB6)/2)</f>
        <v>0</v>
      </c>
      <c r="MO6" s="72" t="s">
        <v>52</v>
      </c>
      <c r="MP6" s="11">
        <f>IF(SUM(LZ6,MD6)&gt;0,SUM(LZ6,MD6),"")</f>
        <v>5.1999999999999993</v>
      </c>
      <c r="MQ6" s="11">
        <f>IF(SUM(LY6:LZ6,MB6:MD6,MF6)-MA6-ME6&gt;0,SUM(LY6:LZ6,MB6:MD6,MF6)-MA6-ME6,"")</f>
        <v>31.799999999999997</v>
      </c>
      <c r="MR6" s="11">
        <f>IF(SUM(MH6,ML6)&gt;0,SUM(MH6,ML6),"")</f>
        <v>1.45</v>
      </c>
      <c r="MS6" s="11">
        <f>IF(SUM(MG6:MH6,MJ6:ML6,MN6)-SUM(MI6,MM6)&gt;0,SUM(MG6:MH6,MJ6:ML6,MN6)-SUM(MI6,MM6),"")</f>
        <v>13.1</v>
      </c>
      <c r="MT6" s="11">
        <f>IF(SUM(MQ6,MS6)&gt;0,SUM(MQ6,MS6),"")</f>
        <v>44.9</v>
      </c>
    </row>
    <row r="7" spans="1:358" ht="17" x14ac:dyDescent="0.2">
      <c r="N7" s="18"/>
      <c r="O7" s="18"/>
      <c r="P7" s="1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38"/>
      <c r="JZ7" s="38"/>
      <c r="KA7" s="38"/>
      <c r="KB7" s="38"/>
      <c r="KC7" s="38"/>
    </row>
    <row r="8" spans="1:358" ht="17" x14ac:dyDescent="0.2">
      <c r="N8" s="18"/>
      <c r="O8" s="18"/>
      <c r="P8" s="18"/>
    </row>
    <row r="9" spans="1:358" ht="17" x14ac:dyDescent="0.2">
      <c r="B9" s="62" t="s">
        <v>50</v>
      </c>
      <c r="N9" s="18"/>
      <c r="O9" s="18"/>
      <c r="P9" s="18"/>
      <c r="AH9" s="49"/>
      <c r="AL9" s="56">
        <v>7.2</v>
      </c>
      <c r="BD9" s="49"/>
      <c r="BH9" s="56">
        <v>7.2</v>
      </c>
      <c r="BZ9" s="49"/>
      <c r="CD9" s="56">
        <v>7.2</v>
      </c>
      <c r="CW9" s="49"/>
      <c r="DA9" s="56">
        <v>7.2</v>
      </c>
      <c r="DR9" s="49"/>
      <c r="DV9" s="56">
        <v>7.2</v>
      </c>
      <c r="EM9" s="49"/>
      <c r="EQ9" s="56">
        <v>7.2</v>
      </c>
      <c r="FH9" s="49"/>
      <c r="FL9" s="56">
        <v>7.2</v>
      </c>
      <c r="GC9" s="49"/>
      <c r="GG9" s="56">
        <v>7.2</v>
      </c>
      <c r="GX9" s="49"/>
      <c r="HB9" s="56">
        <v>7.2</v>
      </c>
      <c r="HS9" s="49"/>
      <c r="HW9" s="56">
        <v>7.2</v>
      </c>
      <c r="IN9" s="49"/>
      <c r="IR9" s="56">
        <v>7.2</v>
      </c>
      <c r="JI9" s="49"/>
      <c r="JM9" s="56">
        <v>7.2</v>
      </c>
      <c r="KD9" s="49"/>
      <c r="KH9" s="56">
        <v>7.2</v>
      </c>
      <c r="KY9" s="49"/>
      <c r="LC9" s="56">
        <v>7.2</v>
      </c>
      <c r="LT9" s="49"/>
      <c r="LX9" s="56">
        <v>7.2</v>
      </c>
    </row>
    <row r="10" spans="1:358" ht="17" hidden="1" x14ac:dyDescent="0.2">
      <c r="B10" s="83" t="s">
        <v>49</v>
      </c>
      <c r="N10" s="18"/>
      <c r="O10" s="18"/>
      <c r="P10" s="18"/>
      <c r="AH10" s="49"/>
      <c r="AL10" s="85">
        <v>1000</v>
      </c>
      <c r="BD10" s="49"/>
      <c r="BH10" s="85">
        <v>1000</v>
      </c>
      <c r="BZ10" s="49"/>
      <c r="CD10" s="85">
        <v>1000</v>
      </c>
      <c r="CW10" s="49"/>
      <c r="DA10" s="85">
        <v>1000</v>
      </c>
      <c r="DR10" s="49"/>
      <c r="DV10" s="85">
        <v>1000</v>
      </c>
      <c r="EM10" s="49"/>
      <c r="EQ10" s="85">
        <v>1000</v>
      </c>
      <c r="FH10" s="49"/>
      <c r="FL10" s="85">
        <v>1000</v>
      </c>
      <c r="GC10" s="49"/>
      <c r="GG10" s="85">
        <v>1000</v>
      </c>
      <c r="GX10" s="49"/>
      <c r="HB10" s="85">
        <v>1000</v>
      </c>
      <c r="HS10" s="49"/>
      <c r="HW10" s="85">
        <v>1000</v>
      </c>
      <c r="IN10" s="49"/>
      <c r="IR10" s="85">
        <v>1000</v>
      </c>
      <c r="JI10" s="49"/>
      <c r="JM10" s="85">
        <v>1000</v>
      </c>
      <c r="KD10" s="49"/>
      <c r="KH10" s="85">
        <v>1000</v>
      </c>
      <c r="KY10" s="49"/>
      <c r="LC10" s="85">
        <v>1000</v>
      </c>
      <c r="LT10" s="49"/>
      <c r="LX10" s="85">
        <v>1000</v>
      </c>
    </row>
    <row r="11" spans="1:358" ht="17" hidden="1" x14ac:dyDescent="0.2">
      <c r="A11" s="49"/>
      <c r="B11" s="84" t="s">
        <v>65</v>
      </c>
      <c r="C11" s="48"/>
      <c r="N11" s="18"/>
      <c r="O11" s="18"/>
      <c r="P11" s="18"/>
      <c r="AH11" s="49"/>
      <c r="AL11" s="86">
        <v>1000</v>
      </c>
      <c r="BD11" s="49"/>
      <c r="BH11" s="86">
        <v>1000</v>
      </c>
      <c r="BZ11" s="49"/>
      <c r="CD11" s="86">
        <v>1000</v>
      </c>
      <c r="CW11" s="49"/>
      <c r="DA11" s="86">
        <v>1000</v>
      </c>
      <c r="DR11" s="49"/>
      <c r="DV11" s="86">
        <v>1000</v>
      </c>
      <c r="EM11" s="49"/>
      <c r="EQ11" s="86">
        <v>1000</v>
      </c>
      <c r="FH11" s="49"/>
      <c r="FL11" s="86">
        <v>1000</v>
      </c>
      <c r="GC11" s="49"/>
      <c r="GG11" s="86">
        <v>1000</v>
      </c>
      <c r="GX11" s="49"/>
      <c r="HB11" s="86">
        <v>1000</v>
      </c>
      <c r="HS11" s="49"/>
      <c r="HW11" s="86">
        <v>1000</v>
      </c>
      <c r="IN11" s="49"/>
      <c r="IR11" s="86">
        <v>1000</v>
      </c>
      <c r="JI11" s="49"/>
      <c r="JM11" s="86">
        <v>1000</v>
      </c>
      <c r="KD11" s="49"/>
      <c r="KH11" s="86">
        <v>1000</v>
      </c>
      <c r="KY11" s="49"/>
      <c r="LC11" s="86">
        <v>1000</v>
      </c>
      <c r="LT11" s="49"/>
      <c r="LX11" s="86">
        <v>1000</v>
      </c>
    </row>
    <row r="12" spans="1:358" ht="17" hidden="1" x14ac:dyDescent="0.2">
      <c r="A12" s="49"/>
      <c r="B12" s="110" t="s">
        <v>77</v>
      </c>
      <c r="C12" s="48"/>
      <c r="N12" s="18"/>
      <c r="O12" s="18"/>
      <c r="P12" s="18"/>
      <c r="AH12" s="49"/>
      <c r="AL12" s="111">
        <v>1000</v>
      </c>
      <c r="BD12" s="49"/>
      <c r="BH12" s="111">
        <v>1000</v>
      </c>
      <c r="BZ12" s="49"/>
      <c r="CD12" s="111">
        <v>1000</v>
      </c>
      <c r="CW12" s="49"/>
      <c r="DA12" s="111">
        <v>1000</v>
      </c>
      <c r="DR12" s="49"/>
      <c r="DV12" s="111">
        <v>1000</v>
      </c>
      <c r="EM12" s="49"/>
      <c r="EQ12" s="111">
        <v>1000</v>
      </c>
      <c r="FH12" s="49"/>
      <c r="FL12" s="111">
        <v>1000</v>
      </c>
      <c r="GC12" s="49"/>
      <c r="GG12" s="111">
        <v>1000</v>
      </c>
      <c r="GX12" s="49"/>
      <c r="HB12" s="111">
        <v>1000</v>
      </c>
      <c r="HS12" s="49"/>
      <c r="HW12" s="111">
        <v>1000</v>
      </c>
      <c r="IN12" s="49"/>
      <c r="IR12" s="111">
        <v>1000</v>
      </c>
      <c r="JI12" s="49"/>
      <c r="JM12" s="111">
        <v>1000</v>
      </c>
      <c r="KD12" s="49"/>
      <c r="KH12" s="111">
        <v>1000</v>
      </c>
      <c r="KY12" s="49"/>
      <c r="LC12" s="111">
        <v>1000</v>
      </c>
      <c r="LT12" s="49"/>
      <c r="LX12" s="111">
        <v>1000</v>
      </c>
    </row>
    <row r="13" spans="1:358" ht="17" x14ac:dyDescent="0.2">
      <c r="A13" s="49"/>
      <c r="B13" s="108" t="s">
        <v>47</v>
      </c>
      <c r="C13" s="48"/>
      <c r="N13" s="18"/>
      <c r="O13" s="18"/>
      <c r="P13" s="18"/>
      <c r="AH13" s="49"/>
      <c r="AL13" s="109">
        <v>60</v>
      </c>
      <c r="BD13" s="49"/>
      <c r="BH13" s="109">
        <v>60</v>
      </c>
      <c r="BZ13" s="49"/>
      <c r="CD13" s="109">
        <v>60</v>
      </c>
      <c r="CW13" s="49"/>
      <c r="DA13" s="109">
        <v>60</v>
      </c>
      <c r="DR13" s="49"/>
      <c r="DV13" s="109">
        <v>60</v>
      </c>
      <c r="EM13" s="49"/>
      <c r="EQ13" s="109">
        <v>60</v>
      </c>
      <c r="FH13" s="49"/>
      <c r="FL13" s="109">
        <v>60</v>
      </c>
      <c r="GC13" s="49"/>
      <c r="GG13" s="109">
        <v>60</v>
      </c>
      <c r="GX13" s="49"/>
      <c r="HB13" s="109">
        <v>60</v>
      </c>
      <c r="HS13" s="49"/>
      <c r="HW13" s="109">
        <v>60</v>
      </c>
      <c r="IN13" s="49"/>
      <c r="IR13" s="109">
        <v>60</v>
      </c>
      <c r="JI13" s="49"/>
      <c r="JM13" s="109">
        <v>60</v>
      </c>
      <c r="KD13" s="49"/>
      <c r="KH13" s="109">
        <v>60</v>
      </c>
      <c r="KY13" s="49"/>
      <c r="LC13" s="109">
        <v>60</v>
      </c>
      <c r="LT13" s="49"/>
      <c r="LX13" s="109">
        <v>60</v>
      </c>
    </row>
    <row r="14" spans="1:358" ht="17" hidden="1" x14ac:dyDescent="0.2">
      <c r="A14" s="49"/>
      <c r="B14" s="64" t="s">
        <v>48</v>
      </c>
      <c r="C14" s="48"/>
      <c r="N14" s="18"/>
      <c r="O14" s="18"/>
      <c r="P14" s="18"/>
      <c r="AH14" s="49"/>
      <c r="AL14" s="58">
        <v>1000</v>
      </c>
      <c r="BD14" s="49"/>
      <c r="BH14" s="58">
        <v>1000</v>
      </c>
      <c r="BZ14" s="49"/>
      <c r="CD14" s="58">
        <v>1000</v>
      </c>
      <c r="CW14" s="49"/>
      <c r="DA14" s="58">
        <v>1000</v>
      </c>
      <c r="DR14" s="49"/>
      <c r="DV14" s="58">
        <v>1000</v>
      </c>
      <c r="EM14" s="49"/>
      <c r="EQ14" s="58">
        <v>1000</v>
      </c>
      <c r="FH14" s="49"/>
      <c r="FL14" s="58">
        <v>1000</v>
      </c>
      <c r="GC14" s="49"/>
      <c r="GG14" s="58">
        <v>1000</v>
      </c>
      <c r="GX14" s="49"/>
      <c r="HB14" s="58">
        <v>1000</v>
      </c>
      <c r="HS14" s="49"/>
      <c r="HW14" s="58">
        <v>1000</v>
      </c>
      <c r="IN14" s="49"/>
      <c r="IR14" s="58">
        <v>1000</v>
      </c>
      <c r="JI14" s="49"/>
      <c r="JM14" s="58">
        <v>1000</v>
      </c>
      <c r="KD14" s="49"/>
      <c r="KH14" s="58">
        <v>1000</v>
      </c>
      <c r="KY14" s="49"/>
      <c r="LC14" s="58">
        <v>1000</v>
      </c>
      <c r="LT14" s="49"/>
      <c r="LX14" s="58">
        <v>1000</v>
      </c>
    </row>
    <row r="15" spans="1:358" ht="17" hidden="1" x14ac:dyDescent="0.2">
      <c r="A15" s="49"/>
      <c r="B15" s="106" t="s">
        <v>60</v>
      </c>
      <c r="C15" s="48"/>
      <c r="N15" s="18"/>
      <c r="O15" s="18"/>
      <c r="P15" s="18"/>
      <c r="AH15" s="49"/>
      <c r="AL15" s="107">
        <v>1000</v>
      </c>
      <c r="BD15" s="49"/>
      <c r="BH15" s="107">
        <v>1000</v>
      </c>
      <c r="BZ15" s="49"/>
      <c r="CD15" s="107">
        <v>1000</v>
      </c>
      <c r="CW15" s="49"/>
      <c r="DA15" s="107">
        <v>1000</v>
      </c>
      <c r="DR15" s="49"/>
      <c r="DV15" s="107">
        <v>1000</v>
      </c>
      <c r="EM15" s="49"/>
      <c r="EQ15" s="107">
        <v>1000</v>
      </c>
      <c r="FH15" s="49"/>
      <c r="FL15" s="107">
        <v>1000</v>
      </c>
      <c r="GC15" s="49"/>
      <c r="GG15" s="107">
        <v>1000</v>
      </c>
      <c r="GX15" s="49"/>
      <c r="HB15" s="107">
        <v>1000</v>
      </c>
      <c r="HS15" s="49"/>
      <c r="HW15" s="107">
        <v>1000</v>
      </c>
      <c r="IN15" s="49"/>
      <c r="IR15" s="107">
        <v>1000</v>
      </c>
      <c r="JI15" s="49"/>
      <c r="JM15" s="107">
        <v>1000</v>
      </c>
      <c r="KD15" s="49"/>
      <c r="KH15" s="107">
        <v>1000</v>
      </c>
      <c r="KY15" s="49"/>
      <c r="LC15" s="107">
        <v>1000</v>
      </c>
      <c r="LT15" s="49"/>
      <c r="LX15" s="107">
        <v>1000</v>
      </c>
    </row>
    <row r="16" spans="1:358" ht="17" hidden="1" x14ac:dyDescent="0.2">
      <c r="A16" s="49"/>
      <c r="B16" s="66" t="s">
        <v>34</v>
      </c>
      <c r="C16" s="48"/>
      <c r="N16" s="18"/>
      <c r="O16" s="18"/>
      <c r="P16" s="18"/>
      <c r="AH16" s="49"/>
      <c r="AL16" s="60">
        <v>1000</v>
      </c>
      <c r="BD16" s="49"/>
      <c r="BH16" s="60">
        <v>1000</v>
      </c>
      <c r="BZ16" s="49"/>
      <c r="CD16" s="60">
        <v>1000</v>
      </c>
      <c r="CW16" s="49"/>
      <c r="DA16" s="60">
        <v>1000</v>
      </c>
      <c r="DR16" s="49"/>
      <c r="DV16" s="60">
        <v>1000</v>
      </c>
      <c r="EM16" s="49"/>
      <c r="EQ16" s="60">
        <v>1000</v>
      </c>
      <c r="FH16" s="49"/>
      <c r="FL16" s="60">
        <v>1000</v>
      </c>
      <c r="GC16" s="49"/>
      <c r="GG16" s="60">
        <v>1000</v>
      </c>
      <c r="GX16" s="49"/>
      <c r="HB16" s="60">
        <v>1000</v>
      </c>
      <c r="HS16" s="49"/>
      <c r="HW16" s="60">
        <v>1000</v>
      </c>
      <c r="IN16" s="49"/>
      <c r="IR16" s="60">
        <v>1000</v>
      </c>
      <c r="JI16" s="49"/>
      <c r="JM16" s="60">
        <v>1000</v>
      </c>
      <c r="KD16" s="49"/>
      <c r="KH16" s="60">
        <v>1000</v>
      </c>
      <c r="KY16" s="49"/>
      <c r="LC16" s="60">
        <v>1000</v>
      </c>
      <c r="LT16" s="49"/>
      <c r="LX16" s="60">
        <v>1000</v>
      </c>
    </row>
    <row r="17" spans="1:3" x14ac:dyDescent="0.2">
      <c r="B17" s="74" t="s">
        <v>53</v>
      </c>
      <c r="C17" s="2"/>
    </row>
    <row r="18" spans="1:3" x14ac:dyDescent="0.2">
      <c r="A18" s="49"/>
      <c r="B18" s="49"/>
      <c r="C18" s="48"/>
    </row>
    <row r="19" spans="1:3" x14ac:dyDescent="0.2">
      <c r="A19" s="49"/>
      <c r="B19" s="49"/>
      <c r="C19" s="48"/>
    </row>
    <row r="20" spans="1:3" x14ac:dyDescent="0.2">
      <c r="A20" s="49"/>
      <c r="B20" s="49"/>
      <c r="C20" s="48"/>
    </row>
    <row r="21" spans="1:3" x14ac:dyDescent="0.2">
      <c r="A21" s="6"/>
      <c r="B21" s="6"/>
      <c r="C21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6">
      <sortCondition descending="1" ref="F1:F7"/>
    </sortState>
  </autoFilter>
  <mergeCells count="97">
    <mergeCell ref="BI1:CD1"/>
    <mergeCell ref="BI2:BL2"/>
    <mergeCell ref="BM2:BP2"/>
    <mergeCell ref="BQ2:BT2"/>
    <mergeCell ref="BU2:BX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LL2:LO2"/>
    <mergeCell ref="LP2:LS2"/>
    <mergeCell ref="KI2:KL2"/>
    <mergeCell ref="KM2:KP2"/>
    <mergeCell ref="KQ2:KT2"/>
    <mergeCell ref="KU2:KX2"/>
    <mergeCell ref="LD2:L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LY1:MT1"/>
    <mergeCell ref="LY2:MB2"/>
    <mergeCell ref="MC2:MF2"/>
    <mergeCell ref="MG2:MJ2"/>
    <mergeCell ref="MK2:MN2"/>
  </mergeCells>
  <conditionalFormatting sqref="Q4:AL6">
    <cfRule type="expression" dxfId="59" priority="1" stopIfTrue="1">
      <formula>IF($AG4&lt;&gt;"",1,0)</formula>
    </cfRule>
  </conditionalFormatting>
  <conditionalFormatting sqref="AM4:BH6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6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0652" operator="between">
      <formula>AL$12</formula>
      <formula>1000</formula>
    </cfRule>
    <cfRule type="cellIs" dxfId="46" priority="40653" operator="between">
      <formula>AL$11</formula>
      <formula>AL$12</formula>
    </cfRule>
    <cfRule type="cellIs" dxfId="45" priority="40654" operator="between">
      <formula>AL$10</formula>
      <formula>AL$11</formula>
    </cfRule>
    <cfRule type="cellIs" dxfId="44" priority="40655" operator="between">
      <formula>AL$9</formula>
      <formula>AL$10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40834" operator="between">
      <formula>AL$16</formula>
      <formula>1000</formula>
    </cfRule>
    <cfRule type="cellIs" dxfId="42" priority="40835" operator="between">
      <formula>AL$15</formula>
      <formula>AL$16</formula>
    </cfRule>
    <cfRule type="cellIs" dxfId="41" priority="40836" operator="between">
      <formula>AL$14</formula>
      <formula>AL$15</formula>
    </cfRule>
    <cfRule type="cellIs" dxfId="40" priority="40837" operator="between">
      <formula>AL$13</formula>
      <formula>AL$14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16406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100" width="10.83203125" hidden="1" customWidth="1"/>
    <col min="101" max="105" width="10.83203125" customWidth="1"/>
    <col min="106" max="358" width="10.83203125" hidden="1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146</v>
      </c>
      <c r="J1" s="129" t="s">
        <v>62</v>
      </c>
      <c r="K1" s="128" t="s">
        <v>32</v>
      </c>
      <c r="L1" s="129" t="s">
        <v>61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67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70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76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36" t="s">
        <v>107</v>
      </c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4" t="s">
        <v>66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9"/>
      <c r="K2" s="128"/>
      <c r="L2" s="129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79" t="s">
        <v>24</v>
      </c>
      <c r="AI2" s="9" t="s">
        <v>23</v>
      </c>
      <c r="AJ2" s="51" t="s">
        <v>68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5" t="s">
        <v>31</v>
      </c>
      <c r="AZ2" s="135"/>
      <c r="BA2" s="135"/>
      <c r="BB2" s="135"/>
      <c r="BC2" s="71"/>
      <c r="BD2" s="80" t="s">
        <v>24</v>
      </c>
      <c r="BE2" s="12" t="s">
        <v>23</v>
      </c>
      <c r="BF2" s="80" t="s">
        <v>68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68</v>
      </c>
      <c r="CC2" s="9" t="s">
        <v>22</v>
      </c>
      <c r="CD2" s="9" t="s">
        <v>17</v>
      </c>
      <c r="CE2" s="21" t="s">
        <v>64</v>
      </c>
      <c r="CF2" s="21" t="s">
        <v>63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79" t="s">
        <v>68</v>
      </c>
      <c r="CZ2" s="9" t="s">
        <v>22</v>
      </c>
      <c r="DA2" s="9" t="s">
        <v>17</v>
      </c>
      <c r="DB2" s="135" t="s">
        <v>26</v>
      </c>
      <c r="DC2" s="135"/>
      <c r="DD2" s="135"/>
      <c r="DE2" s="135"/>
      <c r="DF2" s="135" t="s">
        <v>29</v>
      </c>
      <c r="DG2" s="135"/>
      <c r="DH2" s="135"/>
      <c r="DI2" s="135"/>
      <c r="DJ2" s="135" t="s">
        <v>30</v>
      </c>
      <c r="DK2" s="135"/>
      <c r="DL2" s="135"/>
      <c r="DM2" s="135"/>
      <c r="DN2" s="135" t="s">
        <v>31</v>
      </c>
      <c r="DO2" s="135"/>
      <c r="DP2" s="135"/>
      <c r="DQ2" s="135"/>
      <c r="DR2" s="80" t="s">
        <v>24</v>
      </c>
      <c r="DS2" s="16" t="s">
        <v>23</v>
      </c>
      <c r="DT2" s="80" t="s">
        <v>68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79" t="s">
        <v>68</v>
      </c>
      <c r="EP2" s="17" t="s">
        <v>22</v>
      </c>
      <c r="EQ2" s="17" t="s">
        <v>17</v>
      </c>
      <c r="ER2" s="135" t="s">
        <v>26</v>
      </c>
      <c r="ES2" s="135"/>
      <c r="ET2" s="135"/>
      <c r="EU2" s="135"/>
      <c r="EV2" s="135" t="s">
        <v>29</v>
      </c>
      <c r="EW2" s="135"/>
      <c r="EX2" s="135"/>
      <c r="EY2" s="135"/>
      <c r="EZ2" s="135" t="s">
        <v>30</v>
      </c>
      <c r="FA2" s="135"/>
      <c r="FB2" s="135"/>
      <c r="FC2" s="135"/>
      <c r="FD2" s="135" t="s">
        <v>31</v>
      </c>
      <c r="FE2" s="135"/>
      <c r="FF2" s="135"/>
      <c r="FG2" s="135"/>
      <c r="FH2" s="80" t="s">
        <v>24</v>
      </c>
      <c r="FI2" s="16" t="s">
        <v>23</v>
      </c>
      <c r="FJ2" s="80" t="s">
        <v>68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79" t="s">
        <v>68</v>
      </c>
      <c r="GF2" s="17" t="s">
        <v>22</v>
      </c>
      <c r="GG2" s="17" t="s">
        <v>17</v>
      </c>
      <c r="GH2" s="135" t="s">
        <v>26</v>
      </c>
      <c r="GI2" s="135"/>
      <c r="GJ2" s="135"/>
      <c r="GK2" s="135"/>
      <c r="GL2" s="135" t="s">
        <v>29</v>
      </c>
      <c r="GM2" s="135"/>
      <c r="GN2" s="135"/>
      <c r="GO2" s="135"/>
      <c r="GP2" s="135" t="s">
        <v>30</v>
      </c>
      <c r="GQ2" s="135"/>
      <c r="GR2" s="135"/>
      <c r="GS2" s="135"/>
      <c r="GT2" s="135" t="s">
        <v>31</v>
      </c>
      <c r="GU2" s="135"/>
      <c r="GV2" s="135"/>
      <c r="GW2" s="135"/>
      <c r="GX2" s="81" t="s">
        <v>24</v>
      </c>
      <c r="GY2" s="16" t="s">
        <v>23</v>
      </c>
      <c r="GZ2" s="81" t="s">
        <v>68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82" t="s">
        <v>24</v>
      </c>
      <c r="HT2" s="17" t="s">
        <v>23</v>
      </c>
      <c r="HU2" s="82" t="s">
        <v>68</v>
      </c>
      <c r="HV2" s="17" t="s">
        <v>22</v>
      </c>
      <c r="HW2" s="17" t="s">
        <v>17</v>
      </c>
      <c r="HX2" s="135" t="s">
        <v>26</v>
      </c>
      <c r="HY2" s="135"/>
      <c r="HZ2" s="135"/>
      <c r="IA2" s="135"/>
      <c r="IB2" s="135" t="s">
        <v>29</v>
      </c>
      <c r="IC2" s="135"/>
      <c r="ID2" s="135"/>
      <c r="IE2" s="135"/>
      <c r="IF2" s="135" t="s">
        <v>30</v>
      </c>
      <c r="IG2" s="135"/>
      <c r="IH2" s="135"/>
      <c r="II2" s="135"/>
      <c r="IJ2" s="135" t="s">
        <v>31</v>
      </c>
      <c r="IK2" s="135"/>
      <c r="IL2" s="135"/>
      <c r="IM2" s="135"/>
      <c r="IN2" s="81" t="s">
        <v>24</v>
      </c>
      <c r="IO2" s="16" t="s">
        <v>23</v>
      </c>
      <c r="IP2" s="81" t="s">
        <v>68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82" t="s">
        <v>24</v>
      </c>
      <c r="JJ2" s="17" t="s">
        <v>23</v>
      </c>
      <c r="JK2" s="82" t="s">
        <v>68</v>
      </c>
      <c r="JL2" s="17" t="s">
        <v>22</v>
      </c>
      <c r="JM2" s="17" t="s">
        <v>17</v>
      </c>
      <c r="JN2" s="135" t="s">
        <v>26</v>
      </c>
      <c r="JO2" s="135"/>
      <c r="JP2" s="135"/>
      <c r="JQ2" s="135"/>
      <c r="JR2" s="135" t="s">
        <v>29</v>
      </c>
      <c r="JS2" s="135"/>
      <c r="JT2" s="135"/>
      <c r="JU2" s="135"/>
      <c r="JV2" s="135" t="s">
        <v>30</v>
      </c>
      <c r="JW2" s="135"/>
      <c r="JX2" s="135"/>
      <c r="JY2" s="135"/>
      <c r="JZ2" s="135" t="s">
        <v>31</v>
      </c>
      <c r="KA2" s="135"/>
      <c r="KB2" s="135"/>
      <c r="KC2" s="135"/>
      <c r="KD2" s="81" t="s">
        <v>24</v>
      </c>
      <c r="KE2" s="16" t="s">
        <v>23</v>
      </c>
      <c r="KF2" s="81" t="s">
        <v>68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82" t="s">
        <v>24</v>
      </c>
      <c r="KZ2" s="17" t="s">
        <v>23</v>
      </c>
      <c r="LA2" s="82" t="s">
        <v>68</v>
      </c>
      <c r="LB2" s="17" t="s">
        <v>22</v>
      </c>
      <c r="LC2" s="17" t="s">
        <v>17</v>
      </c>
      <c r="LD2" s="135" t="s">
        <v>26</v>
      </c>
      <c r="LE2" s="135"/>
      <c r="LF2" s="135"/>
      <c r="LG2" s="135"/>
      <c r="LH2" s="135" t="s">
        <v>29</v>
      </c>
      <c r="LI2" s="135"/>
      <c r="LJ2" s="135"/>
      <c r="LK2" s="135"/>
      <c r="LL2" s="135" t="s">
        <v>30</v>
      </c>
      <c r="LM2" s="135"/>
      <c r="LN2" s="135"/>
      <c r="LO2" s="135"/>
      <c r="LP2" s="135" t="s">
        <v>31</v>
      </c>
      <c r="LQ2" s="135"/>
      <c r="LR2" s="135"/>
      <c r="LS2" s="135"/>
      <c r="LT2" s="81" t="s">
        <v>24</v>
      </c>
      <c r="LU2" s="16" t="s">
        <v>23</v>
      </c>
      <c r="LV2" s="81" t="s">
        <v>68</v>
      </c>
      <c r="LW2" s="16" t="s">
        <v>22</v>
      </c>
      <c r="LX2" s="16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68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9"/>
      <c r="K3" s="128"/>
      <c r="L3" s="129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10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5" t="s">
        <v>14</v>
      </c>
      <c r="AZ3" s="55" t="s">
        <v>7</v>
      </c>
      <c r="BA3" s="55" t="s">
        <v>27</v>
      </c>
      <c r="BB3" s="55" t="s">
        <v>28</v>
      </c>
      <c r="BC3" s="71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4" t="s">
        <v>14</v>
      </c>
      <c r="CT3" s="54" t="s">
        <v>7</v>
      </c>
      <c r="CU3" s="54" t="s">
        <v>27</v>
      </c>
      <c r="CV3" s="54" t="s">
        <v>28</v>
      </c>
      <c r="CW3" s="10"/>
      <c r="CX3" s="9"/>
      <c r="CY3" s="10"/>
      <c r="CZ3" s="10"/>
      <c r="DA3" s="10"/>
      <c r="DB3" s="55" t="s">
        <v>14</v>
      </c>
      <c r="DC3" s="55" t="s">
        <v>7</v>
      </c>
      <c r="DD3" s="55" t="s">
        <v>27</v>
      </c>
      <c r="DE3" s="55" t="s">
        <v>28</v>
      </c>
      <c r="DF3" s="55" t="s">
        <v>14</v>
      </c>
      <c r="DG3" s="55" t="s">
        <v>7</v>
      </c>
      <c r="DH3" s="55" t="s">
        <v>27</v>
      </c>
      <c r="DI3" s="55" t="s">
        <v>28</v>
      </c>
      <c r="DJ3" s="55" t="s">
        <v>14</v>
      </c>
      <c r="DK3" s="55" t="s">
        <v>7</v>
      </c>
      <c r="DL3" s="55" t="s">
        <v>27</v>
      </c>
      <c r="DM3" s="55" t="s">
        <v>28</v>
      </c>
      <c r="DN3" s="55" t="s">
        <v>14</v>
      </c>
      <c r="DO3" s="55" t="s">
        <v>7</v>
      </c>
      <c r="DP3" s="55" t="s">
        <v>27</v>
      </c>
      <c r="DQ3" s="55" t="s">
        <v>28</v>
      </c>
      <c r="DR3" s="13"/>
      <c r="DS3" s="16"/>
      <c r="DT3" s="13"/>
      <c r="DU3" s="16"/>
      <c r="DV3" s="16"/>
      <c r="DW3" s="54" t="s">
        <v>14</v>
      </c>
      <c r="DX3" s="54" t="s">
        <v>7</v>
      </c>
      <c r="DY3" s="54" t="s">
        <v>27</v>
      </c>
      <c r="DZ3" s="54" t="s">
        <v>28</v>
      </c>
      <c r="EA3" s="54" t="s">
        <v>14</v>
      </c>
      <c r="EB3" s="54" t="s">
        <v>7</v>
      </c>
      <c r="EC3" s="54" t="s">
        <v>27</v>
      </c>
      <c r="ED3" s="54" t="s">
        <v>28</v>
      </c>
      <c r="EE3" s="54" t="s">
        <v>14</v>
      </c>
      <c r="EF3" s="54" t="s">
        <v>7</v>
      </c>
      <c r="EG3" s="54" t="s">
        <v>27</v>
      </c>
      <c r="EH3" s="54" t="s">
        <v>28</v>
      </c>
      <c r="EI3" s="54" t="s">
        <v>14</v>
      </c>
      <c r="EJ3" s="54" t="s">
        <v>7</v>
      </c>
      <c r="EK3" s="54" t="s">
        <v>27</v>
      </c>
      <c r="EL3" s="54" t="s">
        <v>28</v>
      </c>
      <c r="EM3" s="10"/>
      <c r="EN3" s="17"/>
      <c r="EO3" s="10"/>
      <c r="EP3" s="17"/>
      <c r="EQ3" s="17"/>
      <c r="ER3" s="55" t="s">
        <v>14</v>
      </c>
      <c r="ES3" s="55" t="s">
        <v>7</v>
      </c>
      <c r="ET3" s="55" t="s">
        <v>27</v>
      </c>
      <c r="EU3" s="55" t="s">
        <v>28</v>
      </c>
      <c r="EV3" s="55" t="s">
        <v>14</v>
      </c>
      <c r="EW3" s="55" t="s">
        <v>7</v>
      </c>
      <c r="EX3" s="55" t="s">
        <v>27</v>
      </c>
      <c r="EY3" s="55" t="s">
        <v>28</v>
      </c>
      <c r="EZ3" s="55" t="s">
        <v>14</v>
      </c>
      <c r="FA3" s="55" t="s">
        <v>7</v>
      </c>
      <c r="FB3" s="55" t="s">
        <v>27</v>
      </c>
      <c r="FC3" s="55" t="s">
        <v>28</v>
      </c>
      <c r="FD3" s="55" t="s">
        <v>14</v>
      </c>
      <c r="FE3" s="55" t="s">
        <v>7</v>
      </c>
      <c r="FF3" s="55" t="s">
        <v>27</v>
      </c>
      <c r="FG3" s="55" t="s">
        <v>28</v>
      </c>
      <c r="FH3" s="13"/>
      <c r="FI3" s="16"/>
      <c r="FJ3" s="13"/>
      <c r="FK3" s="16"/>
      <c r="FL3" s="16"/>
      <c r="FM3" s="32" t="s">
        <v>14</v>
      </c>
      <c r="FN3" s="32" t="s">
        <v>7</v>
      </c>
      <c r="FO3" s="32" t="s">
        <v>27</v>
      </c>
      <c r="FP3" s="32" t="s">
        <v>28</v>
      </c>
      <c r="FQ3" s="32" t="s">
        <v>14</v>
      </c>
      <c r="FR3" s="32" t="s">
        <v>7</v>
      </c>
      <c r="FS3" s="32" t="s">
        <v>27</v>
      </c>
      <c r="FT3" s="32" t="s">
        <v>28</v>
      </c>
      <c r="FU3" s="32" t="s">
        <v>14</v>
      </c>
      <c r="FV3" s="32" t="s">
        <v>7</v>
      </c>
      <c r="FW3" s="32" t="s">
        <v>27</v>
      </c>
      <c r="FX3" s="32" t="s">
        <v>28</v>
      </c>
      <c r="FY3" s="32" t="s">
        <v>14</v>
      </c>
      <c r="FZ3" s="32" t="s">
        <v>7</v>
      </c>
      <c r="GA3" s="32" t="s">
        <v>27</v>
      </c>
      <c r="GB3" s="32" t="s">
        <v>28</v>
      </c>
      <c r="GC3" s="10"/>
      <c r="GD3" s="17"/>
      <c r="GE3" s="10"/>
      <c r="GF3" s="17"/>
      <c r="GG3" s="17"/>
      <c r="GH3" s="31" t="s">
        <v>14</v>
      </c>
      <c r="GI3" s="31" t="s">
        <v>7</v>
      </c>
      <c r="GJ3" s="31" t="s">
        <v>27</v>
      </c>
      <c r="GK3" s="31" t="s">
        <v>28</v>
      </c>
      <c r="GL3" s="31" t="s">
        <v>14</v>
      </c>
      <c r="GM3" s="31" t="s">
        <v>7</v>
      </c>
      <c r="GN3" s="31" t="s">
        <v>27</v>
      </c>
      <c r="GO3" s="31" t="s">
        <v>28</v>
      </c>
      <c r="GP3" s="31" t="s">
        <v>14</v>
      </c>
      <c r="GQ3" s="31" t="s">
        <v>7</v>
      </c>
      <c r="GR3" s="31" t="s">
        <v>27</v>
      </c>
      <c r="GS3" s="31" t="s">
        <v>28</v>
      </c>
      <c r="GT3" s="31" t="s">
        <v>14</v>
      </c>
      <c r="GU3" s="31" t="s">
        <v>7</v>
      </c>
      <c r="GV3" s="31" t="s">
        <v>27</v>
      </c>
      <c r="GW3" s="31" t="s">
        <v>28</v>
      </c>
      <c r="GX3" s="13"/>
      <c r="GY3" s="16"/>
      <c r="GZ3" s="13"/>
      <c r="HA3" s="16"/>
      <c r="HB3" s="16"/>
      <c r="HC3" s="32" t="s">
        <v>14</v>
      </c>
      <c r="HD3" s="32" t="s">
        <v>7</v>
      </c>
      <c r="HE3" s="32" t="s">
        <v>27</v>
      </c>
      <c r="HF3" s="32" t="s">
        <v>28</v>
      </c>
      <c r="HG3" s="32" t="s">
        <v>14</v>
      </c>
      <c r="HH3" s="32" t="s">
        <v>7</v>
      </c>
      <c r="HI3" s="32" t="s">
        <v>27</v>
      </c>
      <c r="HJ3" s="32" t="s">
        <v>28</v>
      </c>
      <c r="HK3" s="32" t="s">
        <v>14</v>
      </c>
      <c r="HL3" s="32" t="s">
        <v>7</v>
      </c>
      <c r="HM3" s="32" t="s">
        <v>27</v>
      </c>
      <c r="HN3" s="32" t="s">
        <v>28</v>
      </c>
      <c r="HO3" s="32" t="s">
        <v>14</v>
      </c>
      <c r="HP3" s="32" t="s">
        <v>7</v>
      </c>
      <c r="HQ3" s="32" t="s">
        <v>27</v>
      </c>
      <c r="HR3" s="32" t="s">
        <v>28</v>
      </c>
      <c r="HS3" s="10"/>
      <c r="HT3" s="17"/>
      <c r="HU3" s="10"/>
      <c r="HV3" s="17"/>
      <c r="HW3" s="17"/>
      <c r="HX3" s="31" t="s">
        <v>14</v>
      </c>
      <c r="HY3" s="31" t="s">
        <v>7</v>
      </c>
      <c r="HZ3" s="31" t="s">
        <v>27</v>
      </c>
      <c r="IA3" s="31" t="s">
        <v>28</v>
      </c>
      <c r="IB3" s="31" t="s">
        <v>14</v>
      </c>
      <c r="IC3" s="31" t="s">
        <v>7</v>
      </c>
      <c r="ID3" s="31" t="s">
        <v>27</v>
      </c>
      <c r="IE3" s="31" t="s">
        <v>28</v>
      </c>
      <c r="IF3" s="31" t="s">
        <v>14</v>
      </c>
      <c r="IG3" s="31" t="s">
        <v>7</v>
      </c>
      <c r="IH3" s="31" t="s">
        <v>27</v>
      </c>
      <c r="II3" s="31" t="s">
        <v>28</v>
      </c>
      <c r="IJ3" s="31" t="s">
        <v>14</v>
      </c>
      <c r="IK3" s="31" t="s">
        <v>7</v>
      </c>
      <c r="IL3" s="31" t="s">
        <v>27</v>
      </c>
      <c r="IM3" s="31" t="s">
        <v>28</v>
      </c>
      <c r="IN3" s="13"/>
      <c r="IO3" s="16"/>
      <c r="IP3" s="13"/>
      <c r="IQ3" s="16"/>
      <c r="IR3" s="16"/>
      <c r="IS3" s="32" t="s">
        <v>14</v>
      </c>
      <c r="IT3" s="32" t="s">
        <v>7</v>
      </c>
      <c r="IU3" s="32" t="s">
        <v>27</v>
      </c>
      <c r="IV3" s="32" t="s">
        <v>28</v>
      </c>
      <c r="IW3" s="32" t="s">
        <v>14</v>
      </c>
      <c r="IX3" s="32" t="s">
        <v>7</v>
      </c>
      <c r="IY3" s="32" t="s">
        <v>27</v>
      </c>
      <c r="IZ3" s="32" t="s">
        <v>28</v>
      </c>
      <c r="JA3" s="32" t="s">
        <v>14</v>
      </c>
      <c r="JB3" s="32" t="s">
        <v>7</v>
      </c>
      <c r="JC3" s="32" t="s">
        <v>27</v>
      </c>
      <c r="JD3" s="32" t="s">
        <v>28</v>
      </c>
      <c r="JE3" s="32" t="s">
        <v>14</v>
      </c>
      <c r="JF3" s="32" t="s">
        <v>7</v>
      </c>
      <c r="JG3" s="32" t="s">
        <v>27</v>
      </c>
      <c r="JH3" s="32" t="s">
        <v>28</v>
      </c>
      <c r="JI3" s="10"/>
      <c r="JJ3" s="17"/>
      <c r="JK3" s="10"/>
      <c r="JL3" s="17"/>
      <c r="JM3" s="17"/>
      <c r="JN3" s="31" t="s">
        <v>14</v>
      </c>
      <c r="JO3" s="31" t="s">
        <v>7</v>
      </c>
      <c r="JP3" s="31" t="s">
        <v>27</v>
      </c>
      <c r="JQ3" s="31" t="s">
        <v>28</v>
      </c>
      <c r="JR3" s="31" t="s">
        <v>14</v>
      </c>
      <c r="JS3" s="31" t="s">
        <v>7</v>
      </c>
      <c r="JT3" s="31" t="s">
        <v>27</v>
      </c>
      <c r="JU3" s="31" t="s">
        <v>28</v>
      </c>
      <c r="JV3" s="31" t="s">
        <v>14</v>
      </c>
      <c r="JW3" s="31" t="s">
        <v>7</v>
      </c>
      <c r="JX3" s="31" t="s">
        <v>27</v>
      </c>
      <c r="JY3" s="31" t="s">
        <v>28</v>
      </c>
      <c r="JZ3" s="31" t="s">
        <v>14</v>
      </c>
      <c r="KA3" s="31" t="s">
        <v>7</v>
      </c>
      <c r="KB3" s="31" t="s">
        <v>27</v>
      </c>
      <c r="KC3" s="31" t="s">
        <v>28</v>
      </c>
      <c r="KD3" s="13"/>
      <c r="KE3" s="16"/>
      <c r="KF3" s="13"/>
      <c r="KG3" s="16"/>
      <c r="KH3" s="16"/>
      <c r="KI3" s="32" t="s">
        <v>14</v>
      </c>
      <c r="KJ3" s="32" t="s">
        <v>7</v>
      </c>
      <c r="KK3" s="32" t="s">
        <v>27</v>
      </c>
      <c r="KL3" s="32" t="s">
        <v>28</v>
      </c>
      <c r="KM3" s="32" t="s">
        <v>14</v>
      </c>
      <c r="KN3" s="32" t="s">
        <v>7</v>
      </c>
      <c r="KO3" s="32" t="s">
        <v>27</v>
      </c>
      <c r="KP3" s="32" t="s">
        <v>28</v>
      </c>
      <c r="KQ3" s="32" t="s">
        <v>14</v>
      </c>
      <c r="KR3" s="32" t="s">
        <v>7</v>
      </c>
      <c r="KS3" s="32" t="s">
        <v>27</v>
      </c>
      <c r="KT3" s="32" t="s">
        <v>28</v>
      </c>
      <c r="KU3" s="32" t="s">
        <v>14</v>
      </c>
      <c r="KV3" s="32" t="s">
        <v>7</v>
      </c>
      <c r="KW3" s="32" t="s">
        <v>27</v>
      </c>
      <c r="KX3" s="32" t="s">
        <v>28</v>
      </c>
      <c r="KY3" s="10"/>
      <c r="KZ3" s="17"/>
      <c r="LA3" s="10"/>
      <c r="LB3" s="17"/>
      <c r="LC3" s="17"/>
      <c r="LD3" s="31" t="s">
        <v>14</v>
      </c>
      <c r="LE3" s="31" t="s">
        <v>7</v>
      </c>
      <c r="LF3" s="31" t="s">
        <v>27</v>
      </c>
      <c r="LG3" s="31" t="s">
        <v>28</v>
      </c>
      <c r="LH3" s="31" t="s">
        <v>14</v>
      </c>
      <c r="LI3" s="31" t="s">
        <v>7</v>
      </c>
      <c r="LJ3" s="31" t="s">
        <v>27</v>
      </c>
      <c r="LK3" s="31" t="s">
        <v>28</v>
      </c>
      <c r="LL3" s="31" t="s">
        <v>14</v>
      </c>
      <c r="LM3" s="31" t="s">
        <v>7</v>
      </c>
      <c r="LN3" s="31" t="s">
        <v>27</v>
      </c>
      <c r="LO3" s="31" t="s">
        <v>28</v>
      </c>
      <c r="LP3" s="31" t="s">
        <v>14</v>
      </c>
      <c r="LQ3" s="31" t="s">
        <v>7</v>
      </c>
      <c r="LR3" s="31" t="s">
        <v>27</v>
      </c>
      <c r="LS3" s="31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IF(AND(F4="P",G4="P"),SUMPRODUCT((F$4:F$19="P")*(G$4:G$19="P")*(E$4:E$19&gt;E4))+1,IF(G4="P",SUMPRODUCT((F$4:F$19="")*(G$4:G$19="P")*(E$4:E$19&gt;E4))+1+SUMPRODUCT((F$4:F$19="P")*(G$4:G$19="P")),""))</f>
        <v>1</v>
      </c>
      <c r="B4" s="8" t="s">
        <v>75</v>
      </c>
      <c r="C4" s="4" t="s">
        <v>3</v>
      </c>
      <c r="D4" s="5">
        <v>2003</v>
      </c>
      <c r="E4" s="15">
        <f>SUM(J4:N4)</f>
        <v>215</v>
      </c>
      <c r="F4" s="3" t="str">
        <f>IF(OR(AND(AH4&gt;=AL$21,AI4&gt;=AL$25,AI4&lt;&gt;"",AG4=""),AND(BD4&gt;=BH$21,BE4&gt;=BH$25,BE4&lt;&gt;"",BC4=""),AND(BZ4&gt;=CD$21,CA4&gt;=CD$25,CA4&lt;&gt;"",BY4=""),AND(CW4&gt;=DA$21,CX4&gt;=DA$25,CX4&lt;&gt;""),AND(DR4&gt;=DV$21,DS4&gt;=DV$25,DS4&lt;&gt;""),AND(EM4&gt;=EQ$21,EN4&gt;=EQ$25,EN4&lt;&gt;""),AND(FH4&gt;=FL$21,FI4&gt;=FL$25,FI4&lt;&gt;""),AND(GC4&gt;=GG$21,GD4&gt;=GG$25,GD4&lt;&gt;""),AND(GX4&gt;=HB$21,GY4&gt;=HB$25,GY4&lt;&gt;""),AND(HS4&gt;=HW$21,HT4&gt;=HW$25,HT4&lt;&gt;""),AND(IN4&gt;=IR$21,IO4&gt;=IR$25,IO4&lt;&gt;""),AND(JI4&gt;=JM$21,JJ4&gt;=JM$25,JJ4&lt;&gt;""),AND(KD4&gt;=KH$21,KE4&gt;=KH$25,KE4&lt;&gt;""),AND(KY4&gt;=LC$21,KZ4&gt;=LC$25,KZ4&lt;&gt;""),AND(LT4&gt;=LX$21,LU4&gt;=LX$25,LU4&lt;&gt;"")),"P","")</f>
        <v>P</v>
      </c>
      <c r="G4" s="3" t="str">
        <f>IF(OR(AND(AI4&gt;=AL$25,AI4&lt;&gt;"",AG4=""),AND(BE4&gt;=BH$25,BE4&lt;&gt;"",BC4=""),AND(CA4&gt;=CD$25,CA4&lt;&gt;"",BY4=""),AND(CX4&gt;=DA$25,CX4&lt;&gt;""),AND(DS4&gt;=DV$25,DS4&lt;&gt;""),AND(EN4&gt;=EQ$25,EN4&lt;&gt;""),AND(FI4&gt;=FL$25,FI4&lt;&gt;""),AND(GD4&gt;=GG$25,GD4&lt;&gt;""),AND(GY4&gt;=HB$25,GY4&lt;&gt;""),AND(HT4&gt;=HW$25,HT4&lt;&gt;""),AND(IO4&gt;=IR$25,IO4&lt;&gt;""),AND(JJ4&gt;=JM$25,JJ4&lt;&gt;""),AND(KE4&gt;=KH$25,KE4&lt;&gt;""),AND(KZ4&gt;=LC$25,KZ4&lt;&gt;""),AND(LU4&gt;=LX$25,LU4&lt;&gt;"")),"P","")</f>
        <v>P</v>
      </c>
      <c r="H4" s="116" t="str">
        <f>IF(AND(G4="P",F4=""),"No DD",IF(OR(AND(AH4&gt;=AL$24,AH4&lt;&gt;"",AI4&gt;=AL$28,AI4&lt;&gt;"",AG4=""),AND(BD4&gt;=BH$24,BD4&lt;&gt;"",BE4&gt;=BH$28,BE4&lt;&gt;"",BC4=""),AND(BZ4&gt;=CD$24,BZ4&lt;&gt;"",CA4&gt;=CD$28,CA4&lt;&gt;"",BY4=""),AND(CW4&gt;=DA$24,CW4&lt;&gt;"",CX4&gt;=DA$28,CX4&lt;&gt;""),AND(DR4&gt;=DV$24,DR4&lt;&gt;"",DS4&gt;=DV$28,DS4&lt;&gt;""),AND(EM4&gt;=EQ$24,EM4&lt;&gt;"",EN4&gt;=EQ$28,EN4&lt;&gt;""),AND(FH4&gt;=FL$24,FH4&lt;&gt;"",FI4&gt;=FL$28,FI4&lt;&gt;""),AND(GC4&gt;=GG$24,GC4&lt;&gt;"",GD4&gt;=GG$28,GD4&lt;&gt;""),AND(GX4&gt;=HB$24,GX4&lt;&gt;"",GY4&gt;=HB$28,GY4&lt;&gt;""),AND(HS4&gt;=HW$24,HS4&lt;&gt;"",HT4&gt;=HW$28,HT4&lt;&gt;""),AND(IN4&gt;=IR$24,IN4&lt;&gt;"",IO4&gt;=IR$28,IO4&lt;&gt;""),AND(JI4&gt;=JM$24,JI4&lt;&gt;"",JJ4&gt;=JM$28,JJ4&lt;&gt;""),AND(KD4&gt;=KH$24,KD4&lt;&gt;"",KE4&gt;=KH$28,KE4&lt;&gt;""),AND(KY4&gt;=LC$24,KY4&lt;&gt;"",KZ4&gt;=LC$28,KZ4&lt;&gt;""),AND(LT4&gt;=LX$24,LT4&lt;&gt;"",LU4&gt;=LX$28,LU4&lt;&gt;"")),"Merit",IF(OR(AND(AH4&gt;=AL$23,AH4&lt;&gt;"",AI4&gt;=AL$27,AI4&lt;&gt;"",AG4=""),AND(BD4&gt;=BH$23,BD4&lt;&gt;"",BE4&gt;=BH$27,BE4&lt;&gt;"",BC4=""),AND(BZ4&gt;=CD$23,BZ4&lt;&gt;"",CA4&gt;=CD$27,CA4&lt;&gt;"",BY4=""),AND(CW4&gt;=DA$23,CW4&lt;&gt;"",CX4&gt;=DA$27,CX4&lt;&gt;""),AND(DR4&gt;=DV$23,DR4&lt;&gt;"",DS4&gt;=DV$27,DS4&lt;&gt;""),AND(EM4&gt;=EQ$23,EM4&lt;&gt;"",EN4&gt;=EQ$27,EN4&lt;&gt;""),AND(FH4&gt;=FL$23,FH4&lt;&gt;"",FI4&gt;=FL$27,FI4&lt;&gt;""),AND(GC4&gt;=GG$23,GC4&lt;&gt;"",GD4&gt;=GG$27,GD4&lt;&gt;""),AND(GX4&gt;=HB$23,GX4&lt;&gt;"",GY4&gt;=HB$27,GY4&lt;&gt;""),AND(HS4&gt;=HW$23,HS4&lt;&gt;"",HT4&gt;=HW$27,HT4&lt;&gt;""),AND(IN4&gt;=IR$23,IN4&lt;&gt;"",IO4&gt;=IR$27,IO4&lt;&gt;""),AND(JI4&gt;=JM$23,JI4&lt;&gt;"",JJ4&gt;=JM$27,JJ4&lt;&gt;""),AND(KD4&gt;=KH$23,KD4&lt;&gt;"",KE4&gt;=KH$27,KE4&lt;&gt;""),AND(KY4&gt;=LC$23,KY4&lt;&gt;"",KZ4&gt;=LC$27,KZ4&lt;&gt;""),AND(LT4&gt;=LX$23,LT4&lt;&gt;"",LU4&gt;=LX$27,LU4&lt;&gt;"")),"Excellence",IF(OR(AND(AH4&gt;=AL$22,AH4&lt;&gt;"",AI4&gt;=AL$26,AI4&lt;&gt;"",AG4=""),AND(BD4&gt;=BH$22,BD4&lt;&gt;"",BE4&gt;=BH$26,BE4&lt;&gt;"",BC4=""),AND(BZ4&gt;=CD$22,BZ4&lt;&gt;"",CA4&gt;=CD$26,CA4&lt;&gt;"",BY4=""),AND(CW4&gt;=DA$22,CW4&lt;&gt;"",CX4&gt;=DA$26,CX4&lt;&gt;""),AND(DR4&gt;=DV$22,DR4&lt;&gt;"",DS4&gt;=DV$26,DS4&lt;&gt;""),AND(EM4&gt;=EQ$22,EM4&lt;&gt;"",EN4&gt;=EQ$26,EN4&lt;&gt;""),AND(FH4&gt;=FL$22,FH4&lt;&gt;"",FI4&gt;=FL$26,FI4&lt;&gt;""),AND(GC4&gt;=GG$22,GC4&lt;&gt;"",GD4&gt;=GG$26,GD4&lt;&gt;""),AND(GX4&gt;=HB$22,GX4&lt;&gt;"",GY4&gt;=HB$26,GY4&lt;&gt;""),AND(HS4&gt;=HW$22,HS4&lt;&gt;"",HT4&gt;=HW$26,HT4&lt;&gt;""),AND(IN4&gt;=IR$22,IN4&lt;&gt;"",IO4&gt;=IR$26,IO4&lt;&gt;""),AND(JI4&gt;=JM$22,JI4&lt;&gt;"",JJ4&gt;=JM$26,JJ4&lt;&gt;""),AND(KD4&gt;=KH$22,KD4&lt;&gt;"",KE4&gt;=KH$26,KE4&lt;&gt;""),AND(KY4&gt;=LC$22,KY4&lt;&gt;"",KZ4&gt;=LC$26,KZ4&lt;&gt;""),AND(LT4&gt;=LX$22,LT4&lt;&gt;"",LU4&gt;=LX$26,LU4&lt;&gt;"")),"Worlds Team",IF(OR(AND(AH4&gt;=AL$21,AH4&lt;&gt;"",AI4&gt;=AL$25,AI4&lt;&gt;"",AG4=""),AND(BD4&gt;=BH$21,BD4&lt;&gt;"",BE4&gt;=BH$25,BE4&lt;&gt;"",BC4=""),AND(BZ4&gt;=CD$21,BZ4&lt;&gt;"",CA4&gt;=CD$25,CA4&lt;&gt;"",BY4=""),AND(CW4&gt;=DA$21,CW4&lt;&gt;"",CX4&gt;=DA$25,CX4&lt;&gt;""),AND(DR4&gt;=DV$21,DR4&lt;&gt;"",DS4&gt;=DV$25,DS4&lt;&gt;""),AND(EM4&gt;=EQ$21,EM4&lt;&gt;"",EN4&gt;=EQ$25,EN4&lt;&gt;""),AND(FH4&gt;=FL$21,FH4&lt;&gt;"",FI4&gt;=FL$25,FI4&lt;&gt;""),AND(GC4&gt;=GG$21,GC4&lt;&gt;"",GD4&gt;=GG$25,GD4&lt;&gt;""),AND(GX4&gt;=HB$21,GX4&lt;&gt;"",GY4&gt;=HB$25,GY4&lt;&gt;""),AND(HS4&gt;=HW$21,HS4&lt;&gt;"",HT4&gt;=HW$25,HT4&lt;&gt;""),AND(IN4&gt;=IR$21,IN4&lt;&gt;"",IO4&gt;=IR$25,IO4&lt;&gt;""),AND(JI4&gt;=JM$21,JI4&lt;&gt;"",JJ4&gt;=JM$25,JJ4&lt;&gt;""),AND(KD4&gt;=KH$21,KD4&lt;&gt;"",KE4&gt;=KH$25,KE4&lt;&gt;""),AND(KY4&gt;=LC$21,KY4&lt;&gt;"",KZ4&gt;=LC$25,KZ4&lt;&gt;""),AND(LT4&gt;=LX$21,LT4&lt;&gt;"",LU4&gt;=LX$25,LU4&lt;&gt;"")),"National Team","")))))</f>
        <v>National Team</v>
      </c>
      <c r="I4" s="3" t="str">
        <f>IF(OR(H4="Worlds Team",H4="Excellence",H4="Merit"),"P","")</f>
        <v/>
      </c>
      <c r="J4" s="14">
        <f>MAX(AL4,BH4,CD4)</f>
        <v>140.625</v>
      </c>
      <c r="K4" s="14" t="str">
        <f>IF(J4=0,"",IF(J4=CD4,$BI$1,IF(J4=BH4,$AM$1,IF(J4=AL4,$Q$1,""))))</f>
        <v>2021 1st Virtual Technical Trial</v>
      </c>
      <c r="L4" s="14">
        <f>IF(J4=AL4,MAX(BE4,BG4,CA4,CC4),IF(J4=BH4,MAX(AI4,AK4,CA4,CC4),MAX(AI4,AK4,BE4,BG4)))</f>
        <v>72</v>
      </c>
      <c r="M4" s="14" t="str">
        <f>IF(L4=0,"",IF(AND(J4&lt;&gt;CD4,OR(L4=CA4,L4=CC4)),$BI$1,IF(AND(J4&lt;&gt;BH4,OR(L4=BG4,L4=BE4)),$AM$1,IF(OR(L4=AK4,L4=AI4),$Q$1,""))))</f>
        <v>2019 Nationals</v>
      </c>
      <c r="N4" s="14">
        <f>IF(MAX(CE4:CF4)&gt;0,MAX(CE4:CF4),"")</f>
        <v>2.375</v>
      </c>
      <c r="O4" s="24" t="str">
        <f>IF(N4="","",IF(N4=CE4,"(4 Pass)",IF(N4=CF4,"(2 Pass)")))</f>
        <v>(4 Pass)</v>
      </c>
      <c r="P4" s="14" t="str">
        <f>IF(N4="","",IF(N4=CE4,IF(N4+IF(J4="",0,J4)=DA4,$CG$1,IF(N4+IF(J4="",0,J4)=DV4,$DB$1,IF(N4+IF(J4="",0,J4)=EQ4,$DW$1,IF(N4+IF(J4="",0,J4)=FL4,$ER$1,IF(N4+IF(J4="",0,J4)=GG4,$FM$1,IF(N4+IF(J4="",0,J4)=HB4,$GH$1,IF(N4+IF(J4="",0,J4)=HW4,$HC$1,IF(N4+IF(J4="",0,J4)=IR4,$HX$1,IF(N4+IF(J4="",0,J4)=JM4,$IS$1,IF(N4+IF(J4="",0,J4)=KH4,$JN$1,IF(N4+IF(J4="",0,J4)=LC4,$KI$1,IF(N4+IF(J4="",0,J4)=LX4,$LD$1)))))))))))),IF(N4=CF4,IF(OR(N4+IF(L4="",0,L4)=CX4,N4+IF(L4="",0,L4)=CZ4),$CG$1,IF(OR(N4+IF(L4="",0,L4)=DS4,N4+IF(L4="",0,L4)=DU4),$DB$1,IF(OR(N4+IF(L4="",0,L4)=EN4,N4+IF(L4="",0,L4)=EP4),$DW$1,IF(OR(N4+IF(L4="",0,L4)=FI4,N4+IF(L4="",0,L4)=FK4),$ER$1,IF(OR(N4+IF(L4="",0,L4)=GD4,N4+IF(L4="",0,L4)=GF4),$FM$1,IF(OR(N4+IF(L4="",0,L4)=GY4,N4+IF(L4="",0,L4)=HA4),$GH$1,IF(OR(N4+IF(L4="",0,L4)=HT4,N4+IF(L4="",0,L4)=HV4),$HC$1,IF(OR(N4+IF(L4="",0,L4)=IO4,N4+IF(L4="",0,L4)=IQ4),$HX$1,IF(OR(N4+IF(L4="",0,L4)=JJ4,N4+IF(L4="",0,L4)=JL4),$IS$1,IF(OR(N4+IF(L4="",0,L4)=KE4,N4+IF(L4="",0,L4)=KG4),$JN$1,IF(OR(N4+IF(L4="",0,L4)=KZ4,N4+IF(L4="",0,L4)=LB4),$KI$1,IF(OR(N4+IF(L4="",0,L4)=LU4,N4+IF(L4="",0,L4)=LW4),$LD$1)))))))))))))))</f>
        <v>2019 WAGC (Dec 8)</v>
      </c>
      <c r="Q4" s="61">
        <v>28.5</v>
      </c>
      <c r="R4" s="61">
        <v>7.2</v>
      </c>
      <c r="S4" s="61">
        <v>0</v>
      </c>
      <c r="T4" s="61">
        <v>0</v>
      </c>
      <c r="U4" s="61">
        <v>28.4</v>
      </c>
      <c r="V4" s="61">
        <v>7.2</v>
      </c>
      <c r="W4" s="61">
        <v>0</v>
      </c>
      <c r="X4" s="61">
        <v>0</v>
      </c>
      <c r="Y4" s="61">
        <v>27.2</v>
      </c>
      <c r="Z4" s="61">
        <v>7.6</v>
      </c>
      <c r="AA4" s="61">
        <v>0</v>
      </c>
      <c r="AB4" s="61">
        <v>0</v>
      </c>
      <c r="AC4" s="61">
        <v>27.4</v>
      </c>
      <c r="AD4" s="61">
        <v>7.6</v>
      </c>
      <c r="AE4" s="61">
        <v>0.9</v>
      </c>
      <c r="AF4" s="61">
        <v>0</v>
      </c>
      <c r="AG4" s="72"/>
      <c r="AH4" s="11">
        <f>IF(SUM(R4,V4)&gt;0,SUM(R4,V4),"")</f>
        <v>14.4</v>
      </c>
      <c r="AI4" s="11">
        <f>IF(SUM(Q4:R4,T4:V4,X4)-SUM(S4,W4)&gt;0,SUM(Q4:R4,T4:V4,X4)-SUM(S4,W4),"")</f>
        <v>71.3</v>
      </c>
      <c r="AJ4" s="11">
        <f>IF(SUM(Z4,AD4)&gt;0,SUM(Z4,AD4),"")</f>
        <v>15.2</v>
      </c>
      <c r="AK4" s="11">
        <f>IF(SUM(Y4:Z4,AB4:AD4,AF4)-SUM(AA4,AE4)&gt;0,SUM(Y4:Z4,AB4:AD4,AF4)-SUM(AA4,AE4),"")</f>
        <v>68.899999999999991</v>
      </c>
      <c r="AL4" s="11">
        <f>IF(SUM(AI4,AK4)&gt;0,SUM(AI4,AK4),"")</f>
        <v>140.19999999999999</v>
      </c>
      <c r="AM4" s="36">
        <v>25.2</v>
      </c>
      <c r="AN4" s="36">
        <v>8.4</v>
      </c>
      <c r="AO4" s="36">
        <v>1.2</v>
      </c>
      <c r="AP4" s="36">
        <v>0</v>
      </c>
      <c r="AQ4" s="36">
        <v>27.8</v>
      </c>
      <c r="AR4" s="36">
        <v>7.3</v>
      </c>
      <c r="AS4" s="36">
        <v>0.9</v>
      </c>
      <c r="AT4" s="36">
        <v>0</v>
      </c>
      <c r="AU4" s="36">
        <v>28.6</v>
      </c>
      <c r="AV4" s="36">
        <v>7.6</v>
      </c>
      <c r="AW4" s="36">
        <v>0.9</v>
      </c>
      <c r="AX4" s="36">
        <v>0</v>
      </c>
      <c r="AY4" s="36">
        <v>28.7</v>
      </c>
      <c r="AZ4" s="36">
        <v>8</v>
      </c>
      <c r="BA4" s="36">
        <v>0</v>
      </c>
      <c r="BB4" s="36">
        <v>0</v>
      </c>
      <c r="BC4" s="73"/>
      <c r="BD4" s="14">
        <f>IF(SUM(AN4,AR4)&gt;0,SUM(AN4,AR4),"")</f>
        <v>15.7</v>
      </c>
      <c r="BE4" s="14">
        <f>IF(SUM(AM4:AN4,AP4:AR4,AT4)-SUM(AO4,AS4)&gt;0,SUM(AM4:AN4,AP4:AR4,AT4)-SUM(AO4,AS4),"")</f>
        <v>66.600000000000009</v>
      </c>
      <c r="BF4" s="14">
        <f>IF(SUM(AV4,AZ4)&gt;0,SUM(AV4,AZ4),"")</f>
        <v>15.6</v>
      </c>
      <c r="BG4" s="14">
        <f>IF(SUM(AU4:AV4,AX4:AZ4,BB4)-SUM(AW4,BA4)&gt;0,SUM(AU4:AV4,AX4:AZ4,BB4)-SUM(AW4,BA4),"")</f>
        <v>72</v>
      </c>
      <c r="BH4" s="14">
        <f>IF(SUM(BE4,BG4)&gt;0,SUM(BE4,BG4),"")</f>
        <v>138.60000000000002</v>
      </c>
      <c r="BI4" s="61">
        <v>28.8</v>
      </c>
      <c r="BJ4" s="61">
        <v>8</v>
      </c>
      <c r="BK4" s="61">
        <v>0.3</v>
      </c>
      <c r="BL4" s="61">
        <v>0.3</v>
      </c>
      <c r="BM4" s="61">
        <v>28.824999999999999</v>
      </c>
      <c r="BN4" s="61">
        <v>8.4</v>
      </c>
      <c r="BO4" s="61">
        <v>0.3</v>
      </c>
      <c r="BP4" s="61">
        <v>0</v>
      </c>
      <c r="BQ4" s="61">
        <v>26.774999999999999</v>
      </c>
      <c r="BR4" s="61">
        <v>5.6</v>
      </c>
      <c r="BS4" s="61">
        <v>0.7</v>
      </c>
      <c r="BT4" s="61">
        <v>0</v>
      </c>
      <c r="BU4" s="61">
        <v>28.225000000000001</v>
      </c>
      <c r="BV4" s="61">
        <v>7.3</v>
      </c>
      <c r="BW4" s="61">
        <v>0.3</v>
      </c>
      <c r="BX4" s="61">
        <v>0</v>
      </c>
      <c r="BY4" s="72"/>
      <c r="BZ4" s="11">
        <f>IF(SUM(BJ4,BN4)&gt;0,SUM(BJ4,BN4),"")</f>
        <v>16.399999999999999</v>
      </c>
      <c r="CA4" s="11">
        <f>IF(SUM(BI4:BJ4,BL4:BN4,BP4)-SUM(BK4,BO4)&gt;0,SUM(BI4:BJ4,BL4:BN4,BP4)-SUM(BK4,BO4),"")</f>
        <v>73.725000000000009</v>
      </c>
      <c r="CB4" s="11">
        <f>IF(SUM(BR4,BV4)&gt;0,SUM(BR4,BV4),"")</f>
        <v>12.899999999999999</v>
      </c>
      <c r="CC4" s="11">
        <f>IF(SUM(BQ4:BR4,BT4:BV4,BX4)-SUM(BS4,BW4)&gt;0,SUM(BQ4:BR4,BT4:BV4,BX4)-SUM(BS4,BW4),"")</f>
        <v>66.900000000000006</v>
      </c>
      <c r="CD4" s="11">
        <f>IF(SUM(CA4,CC4)&gt;0,SUM(CA4,CC4),"")</f>
        <v>140.625</v>
      </c>
      <c r="CE4" s="23">
        <f>IF(MAX(DA4,DV4,EQ4,FL4,GG4,HB4,HW4,IR4,JM4,KH4,LC4,LX4)-IF(J4="",0,J4)&gt;0.001,MAX(DA4,DV4,EQ4,FL4,GG4,HB4,HW4,IR4,JM4,KH4,LC4,LX4)-IF(J4="",0,J4),"")</f>
        <v>2.375</v>
      </c>
      <c r="CF4" s="23">
        <f>IF(MAX(CX4,CZ4,DS4,DU4,EN4,EP4,FI4,FK4,GD4,GF4,GY4,HA4,HT4,HV4,IO4,IQ4,JJ4,JL4,KE4,KG4,KZ4,LB4,LU4,LW4)-IF(L4="",0,L4)&gt;0.001,MAX(CX4,CZ4,DS4,DU4,EN4,EP4,FI4,FK4,GD4,GF4,GY4,HA4,HT4,HV4,IO4,IQ4,JJ4,JL4,KE4,KG4,KZ4,LB4,LU4,LW4)-IF(L4="",0,L4),"")</f>
        <v>9.9999999999994316E-2</v>
      </c>
      <c r="CG4" s="40">
        <v>27.8</v>
      </c>
      <c r="CH4" s="40">
        <v>6.4</v>
      </c>
      <c r="CI4" s="40">
        <v>0.3</v>
      </c>
      <c r="CJ4" s="40">
        <v>0</v>
      </c>
      <c r="CK4" s="40">
        <v>28.6</v>
      </c>
      <c r="CL4" s="40">
        <v>8.4</v>
      </c>
      <c r="CM4" s="40">
        <v>0</v>
      </c>
      <c r="CN4" s="40">
        <v>0</v>
      </c>
      <c r="CO4" s="40">
        <v>27.8</v>
      </c>
      <c r="CP4" s="40">
        <v>8.1999999999999993</v>
      </c>
      <c r="CQ4" s="40">
        <v>0</v>
      </c>
      <c r="CR4" s="40">
        <v>0</v>
      </c>
      <c r="CS4" s="40">
        <v>28</v>
      </c>
      <c r="CT4" s="40">
        <v>8.1</v>
      </c>
      <c r="CU4" s="40">
        <v>0</v>
      </c>
      <c r="CV4" s="40">
        <v>0</v>
      </c>
      <c r="CW4" s="11">
        <f>IF(SUM(CH4,CL4)&gt;0,SUM(CH4,CL4),"")</f>
        <v>14.8</v>
      </c>
      <c r="CX4" s="11">
        <f>IF(SUM(CG4:CH4,CJ4:CL4,CN4)-SUM(CI4,CM4)&gt;0,SUM(CG4:CH4,CJ4:CL4,CN4)-SUM(CI4,CM4),"")</f>
        <v>70.900000000000006</v>
      </c>
      <c r="CY4" s="11">
        <f>IF(SUM(CP4,CT4)&gt;0,SUM(CP4,CT4),"")</f>
        <v>16.299999999999997</v>
      </c>
      <c r="CZ4" s="11">
        <f>IF(SUM(CO4:CP4,CR4:CT4,CV4)-SUM(CQ4,CU4)&gt;0,SUM(CO4:CP4,CR4:CT4,CV4)-SUM(CQ4,CU4),"")</f>
        <v>72.099999999999994</v>
      </c>
      <c r="DA4" s="11">
        <f>IF(SUM(CX4,CZ4)&gt;0,SUM(CX4,CZ4),"")</f>
        <v>143</v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27</v>
      </c>
      <c r="LZ4" s="61">
        <f>IF($BY4="P",BJ4,(BJ4+AN4)/2)</f>
        <v>8.1999999999999993</v>
      </c>
      <c r="MA4" s="61">
        <f>IF($BY4="P",BK4,(BK4+AO4)/2)</f>
        <v>0.75</v>
      </c>
      <c r="MB4" s="61">
        <f>IF($BY4="P",BL4,(BL4+AP4)/2)</f>
        <v>0.15</v>
      </c>
      <c r="MC4" s="61">
        <f>IF($BY4="P",BM4,(BM4+AQ4)/2)</f>
        <v>28.3125</v>
      </c>
      <c r="MD4" s="61">
        <f>IF($BY4="P",BN4,(BN4+AR4)/2)</f>
        <v>7.85</v>
      </c>
      <c r="ME4" s="61">
        <f>IF($BY4="P",BO4,(BO4+AS4)/2)</f>
        <v>0.6</v>
      </c>
      <c r="MF4" s="61">
        <f>IF($BY4="P",BP4,(BP4+AT4)/2)</f>
        <v>0</v>
      </c>
      <c r="MG4" s="61">
        <f>IF($BY4="P",BQ4,(BQ4+AU4)/2)</f>
        <v>27.6875</v>
      </c>
      <c r="MH4" s="61">
        <f>IF($BY4="P",BR4,(BR4+AV4)/2)</f>
        <v>6.6</v>
      </c>
      <c r="MI4" s="61">
        <f>IF($BY4="P",BS4,(BS4+AW4)/2)</f>
        <v>0.8</v>
      </c>
      <c r="MJ4" s="61">
        <f>IF($BY4="P",BT4,(BT4+AX4)/2)</f>
        <v>0</v>
      </c>
      <c r="MK4" s="61">
        <f>IF($BY4="P",BU4,(BU4+AY4)/2)</f>
        <v>28.462499999999999</v>
      </c>
      <c r="ML4" s="61">
        <f>IF($BY4="P",BV4,(BV4+AZ4)/2)</f>
        <v>7.65</v>
      </c>
      <c r="MM4" s="61">
        <f>IF($BY4="P",BW4,(BW4+BA4)/2)</f>
        <v>0.15</v>
      </c>
      <c r="MN4" s="61">
        <f>IF($BY4="P",BX4,(BX4+BB4)/2)</f>
        <v>0</v>
      </c>
      <c r="MO4" s="72" t="s">
        <v>52</v>
      </c>
      <c r="MP4" s="11">
        <f>IF(SUM(LZ4,MD4)&gt;0,SUM(LZ4,MD4),"")</f>
        <v>16.049999999999997</v>
      </c>
      <c r="MQ4" s="11">
        <f>IF(SUM(LY4:LZ4,MB4:MD4,MF4)-SUM(MA4,ME4)&gt;0,SUM(LY4:LZ4,MB4:MD4,MF4)-SUM(MA4,ME4),"")</f>
        <v>70.162500000000009</v>
      </c>
      <c r="MR4" s="11">
        <f>IF(SUM(MH4,ML4)&gt;0,SUM(MH4,ML4),"")</f>
        <v>14.25</v>
      </c>
      <c r="MS4" s="11">
        <f>IF(SUM(MG4:MH4,MJ4:ML4,MN4)-SUM(MI4,MM4)&gt;0,SUM(MG4:MH4,MJ4:ML4,MN4)-SUM(MI4,MM4),"")</f>
        <v>69.45</v>
      </c>
      <c r="MT4" s="11">
        <f>IF(SUM(MQ4,MS4)&gt;0,SUM(MQ4,MS4),"")</f>
        <v>139.61250000000001</v>
      </c>
    </row>
    <row r="5" spans="1:358" x14ac:dyDescent="0.2">
      <c r="A5" s="5">
        <f>IF(AND(F5="P",G5="P"),SUMPRODUCT((F$4:F$19="P")*(G$4:G$19="P")*(E$4:E$19&gt;E5))+1,IF(G5="P",SUMPRODUCT((F$4:F$19="")*(G$4:G$19="P")*(E$4:E$19&gt;E5))+1+SUMPRODUCT((F$4:F$19="P")*(G$4:G$19="P")),""))</f>
        <v>2</v>
      </c>
      <c r="B5" s="8" t="s">
        <v>139</v>
      </c>
      <c r="C5" s="4" t="s">
        <v>4</v>
      </c>
      <c r="D5" s="5">
        <v>2001</v>
      </c>
      <c r="E5" s="15">
        <f>SUM(J5:N5)</f>
        <v>212.6</v>
      </c>
      <c r="F5" s="3" t="str">
        <f>IF(OR(AND(AH5&gt;=AL$21,AI5&gt;=AL$25,AI5&lt;&gt;"",AG5=""),AND(BD5&gt;=BH$21,BE5&gt;=BH$25,BE5&lt;&gt;"",BC5=""),AND(BZ5&gt;=CD$21,CA5&gt;=CD$25,CA5&lt;&gt;"",BY5=""),AND(CW5&gt;=DA$21,CX5&gt;=DA$25,CX5&lt;&gt;""),AND(DR5&gt;=DV$21,DS5&gt;=DV$25,DS5&lt;&gt;""),AND(EM5&gt;=EQ$21,EN5&gt;=EQ$25,EN5&lt;&gt;""),AND(FH5&gt;=FL$21,FI5&gt;=FL$25,FI5&lt;&gt;""),AND(GC5&gt;=GG$21,GD5&gt;=GG$25,GD5&lt;&gt;""),AND(GX5&gt;=HB$21,GY5&gt;=HB$25,GY5&lt;&gt;""),AND(HS5&gt;=HW$21,HT5&gt;=HW$25,HT5&lt;&gt;""),AND(IN5&gt;=IR$21,IO5&gt;=IR$25,IO5&lt;&gt;""),AND(JI5&gt;=JM$21,JJ5&gt;=JM$25,JJ5&lt;&gt;""),AND(KD5&gt;=KH$21,KE5&gt;=KH$25,KE5&lt;&gt;""),AND(KY5&gt;=LC$21,KZ5&gt;=LC$25,KZ5&lt;&gt;""),AND(LT5&gt;=LX$21,LU5&gt;=LX$25,LU5&lt;&gt;"")),"P","")</f>
        <v>P</v>
      </c>
      <c r="G5" s="3" t="str">
        <f>IF(OR(AND(AI5&gt;=AL$25,AI5&lt;&gt;"",AG5=""),AND(BE5&gt;=BH$25,BE5&lt;&gt;"",BC5=""),AND(CA5&gt;=CD$25,CA5&lt;&gt;"",BY5=""),AND(CX5&gt;=DA$25,CX5&lt;&gt;""),AND(DS5&gt;=DV$25,DS5&lt;&gt;""),AND(EN5&gt;=EQ$25,EN5&lt;&gt;""),AND(FI5&gt;=FL$25,FI5&lt;&gt;""),AND(GD5&gt;=GG$25,GD5&lt;&gt;""),AND(GY5&gt;=HB$25,GY5&lt;&gt;""),AND(HT5&gt;=HW$25,HT5&lt;&gt;""),AND(IO5&gt;=IR$25,IO5&lt;&gt;""),AND(JJ5&gt;=JM$25,JJ5&lt;&gt;""),AND(KE5&gt;=KH$25,KE5&lt;&gt;""),AND(KZ5&gt;=LC$25,KZ5&lt;&gt;""),AND(LU5&gt;=LX$25,LU5&lt;&gt;"")),"P","")</f>
        <v>P</v>
      </c>
      <c r="H5" s="116" t="str">
        <f>IF(AND(G5="P",F5=""),"No DD",IF(OR(AND(AH5&gt;=AL$24,AH5&lt;&gt;"",AI5&gt;=AL$28,AI5&lt;&gt;"",AG5=""),AND(BD5&gt;=BH$24,BD5&lt;&gt;"",BE5&gt;=BH$28,BE5&lt;&gt;"",BC5=""),AND(BZ5&gt;=CD$24,BZ5&lt;&gt;"",CA5&gt;=CD$28,CA5&lt;&gt;"",BY5=""),AND(CW5&gt;=DA$24,CW5&lt;&gt;"",CX5&gt;=DA$28,CX5&lt;&gt;""),AND(DR5&gt;=DV$24,DR5&lt;&gt;"",DS5&gt;=DV$28,DS5&lt;&gt;""),AND(EM5&gt;=EQ$24,EM5&lt;&gt;"",EN5&gt;=EQ$28,EN5&lt;&gt;""),AND(FH5&gt;=FL$24,FH5&lt;&gt;"",FI5&gt;=FL$28,FI5&lt;&gt;""),AND(GC5&gt;=GG$24,GC5&lt;&gt;"",GD5&gt;=GG$28,GD5&lt;&gt;""),AND(GX5&gt;=HB$24,GX5&lt;&gt;"",GY5&gt;=HB$28,GY5&lt;&gt;""),AND(HS5&gt;=HW$24,HS5&lt;&gt;"",HT5&gt;=HW$28,HT5&lt;&gt;""),AND(IN5&gt;=IR$24,IN5&lt;&gt;"",IO5&gt;=IR$28,IO5&lt;&gt;""),AND(JI5&gt;=JM$24,JI5&lt;&gt;"",JJ5&gt;=JM$28,JJ5&lt;&gt;""),AND(KD5&gt;=KH$24,KD5&lt;&gt;"",KE5&gt;=KH$28,KE5&lt;&gt;""),AND(KY5&gt;=LC$24,KY5&lt;&gt;"",KZ5&gt;=LC$28,KZ5&lt;&gt;""),AND(LT5&gt;=LX$24,LT5&lt;&gt;"",LU5&gt;=LX$28,LU5&lt;&gt;"")),"Merit",IF(OR(AND(AH5&gt;=AL$23,AH5&lt;&gt;"",AI5&gt;=AL$27,AI5&lt;&gt;"",AG5=""),AND(BD5&gt;=BH$23,BD5&lt;&gt;"",BE5&gt;=BH$27,BE5&lt;&gt;"",BC5=""),AND(BZ5&gt;=CD$23,BZ5&lt;&gt;"",CA5&gt;=CD$27,CA5&lt;&gt;"",BY5=""),AND(CW5&gt;=DA$23,CW5&lt;&gt;"",CX5&gt;=DA$27,CX5&lt;&gt;""),AND(DR5&gt;=DV$23,DR5&lt;&gt;"",DS5&gt;=DV$27,DS5&lt;&gt;""),AND(EM5&gt;=EQ$23,EM5&lt;&gt;"",EN5&gt;=EQ$27,EN5&lt;&gt;""),AND(FH5&gt;=FL$23,FH5&lt;&gt;"",FI5&gt;=FL$27,FI5&lt;&gt;""),AND(GC5&gt;=GG$23,GC5&lt;&gt;"",GD5&gt;=GG$27,GD5&lt;&gt;""),AND(GX5&gt;=HB$23,GX5&lt;&gt;"",GY5&gt;=HB$27,GY5&lt;&gt;""),AND(HS5&gt;=HW$23,HS5&lt;&gt;"",HT5&gt;=HW$27,HT5&lt;&gt;""),AND(IN5&gt;=IR$23,IN5&lt;&gt;"",IO5&gt;=IR$27,IO5&lt;&gt;""),AND(JI5&gt;=JM$23,JI5&lt;&gt;"",JJ5&gt;=JM$27,JJ5&lt;&gt;""),AND(KD5&gt;=KH$23,KD5&lt;&gt;"",KE5&gt;=KH$27,KE5&lt;&gt;""),AND(KY5&gt;=LC$23,KY5&lt;&gt;"",KZ5&gt;=LC$27,KZ5&lt;&gt;""),AND(LT5&gt;=LX$23,LT5&lt;&gt;"",LU5&gt;=LX$27,LU5&lt;&gt;"")),"Excellence",IF(OR(AND(AH5&gt;=AL$22,AH5&lt;&gt;"",AI5&gt;=AL$26,AI5&lt;&gt;"",AG5=""),AND(BD5&gt;=BH$22,BD5&lt;&gt;"",BE5&gt;=BH$26,BE5&lt;&gt;"",BC5=""),AND(BZ5&gt;=CD$22,BZ5&lt;&gt;"",CA5&gt;=CD$26,CA5&lt;&gt;"",BY5=""),AND(CW5&gt;=DA$22,CW5&lt;&gt;"",CX5&gt;=DA$26,CX5&lt;&gt;""),AND(DR5&gt;=DV$22,DR5&lt;&gt;"",DS5&gt;=DV$26,DS5&lt;&gt;""),AND(EM5&gt;=EQ$22,EM5&lt;&gt;"",EN5&gt;=EQ$26,EN5&lt;&gt;""),AND(FH5&gt;=FL$22,FH5&lt;&gt;"",FI5&gt;=FL$26,FI5&lt;&gt;""),AND(GC5&gt;=GG$22,GC5&lt;&gt;"",GD5&gt;=GG$26,GD5&lt;&gt;""),AND(GX5&gt;=HB$22,GX5&lt;&gt;"",GY5&gt;=HB$26,GY5&lt;&gt;""),AND(HS5&gt;=HW$22,HS5&lt;&gt;"",HT5&gt;=HW$26,HT5&lt;&gt;""),AND(IN5&gt;=IR$22,IN5&lt;&gt;"",IO5&gt;=IR$26,IO5&lt;&gt;""),AND(JI5&gt;=JM$22,JI5&lt;&gt;"",JJ5&gt;=JM$26,JJ5&lt;&gt;""),AND(KD5&gt;=KH$22,KD5&lt;&gt;"",KE5&gt;=KH$26,KE5&lt;&gt;""),AND(KY5&gt;=LC$22,KY5&lt;&gt;"",KZ5&gt;=LC$26,KZ5&lt;&gt;""),AND(LT5&gt;=LX$22,LT5&lt;&gt;"",LU5&gt;=LX$26,LU5&lt;&gt;"")),"Worlds Team",IF(OR(AND(AH5&gt;=AL$21,AH5&lt;&gt;"",AI5&gt;=AL$25,AI5&lt;&gt;"",AG5=""),AND(BD5&gt;=BH$21,BD5&lt;&gt;"",BE5&gt;=BH$25,BE5&lt;&gt;"",BC5=""),AND(BZ5&gt;=CD$21,BZ5&lt;&gt;"",CA5&gt;=CD$25,CA5&lt;&gt;"",BY5=""),AND(CW5&gt;=DA$21,CW5&lt;&gt;"",CX5&gt;=DA$25,CX5&lt;&gt;""),AND(DR5&gt;=DV$21,DR5&lt;&gt;"",DS5&gt;=DV$25,DS5&lt;&gt;""),AND(EM5&gt;=EQ$21,EM5&lt;&gt;"",EN5&gt;=EQ$25,EN5&lt;&gt;""),AND(FH5&gt;=FL$21,FH5&lt;&gt;"",FI5&gt;=FL$25,FI5&lt;&gt;""),AND(GC5&gt;=GG$21,GC5&lt;&gt;"",GD5&gt;=GG$25,GD5&lt;&gt;""),AND(GX5&gt;=HB$21,GX5&lt;&gt;"",GY5&gt;=HB$25,GY5&lt;&gt;""),AND(HS5&gt;=HW$21,HS5&lt;&gt;"",HT5&gt;=HW$25,HT5&lt;&gt;""),AND(IN5&gt;=IR$21,IN5&lt;&gt;"",IO5&gt;=IR$25,IO5&lt;&gt;""),AND(JI5&gt;=JM$21,JI5&lt;&gt;"",JJ5&gt;=JM$25,JJ5&lt;&gt;""),AND(KD5&gt;=KH$21,KD5&lt;&gt;"",KE5&gt;=KH$25,KE5&lt;&gt;""),AND(KY5&gt;=LC$21,KY5&lt;&gt;"",KZ5&gt;=LC$25,KZ5&lt;&gt;""),AND(LT5&gt;=LX$21,LT5&lt;&gt;"",LU5&gt;=LX$25,LU5&lt;&gt;"")),"National Team","")))))</f>
        <v>National Team</v>
      </c>
      <c r="I5" s="3" t="str">
        <f>IF(OR(H5="Worlds Team",H5="Excellence",H5="Merit"),"P","")</f>
        <v/>
      </c>
      <c r="J5" s="14">
        <f>MAX(AL5,BH5,CD5)</f>
        <v>142.79999999999998</v>
      </c>
      <c r="K5" s="14" t="str">
        <f>IF(J5=0,"",IF(J5=CD5,$BI$1,IF(J5=BH5,$AM$1,IF(J5=AL5,$Q$1,""))))</f>
        <v>2019 Nationals</v>
      </c>
      <c r="L5" s="14">
        <f>IF(J5=AL5,MAX(BE5,BG5,CA5,CC5),IF(J5=BH5,MAX(AI5,AK5,CA5,CC5),MAX(AI5,AK5,BE5,BG5)))</f>
        <v>35.300000000000004</v>
      </c>
      <c r="M5" s="14" t="str">
        <f>IF(L5=0,"",IF(AND(J5&lt;&gt;CD5,OR(L5=CA5,L5=CC5)),$BI$1,IF(AND(J5&lt;&gt;BH5,OR(L5=BG5,L5=BE5)),$AM$1,IF(OR(L5=AK5,L5=AI5),$Q$1,""))))</f>
        <v>2019 Elite Canada</v>
      </c>
      <c r="N5" s="14">
        <f>IF(MAX(CE5:CF5)&gt;0,MAX(CE5:CF5),"")</f>
        <v>34.499999999999993</v>
      </c>
      <c r="O5" s="24" t="str">
        <f>IF(N5="","",IF(N5=CE5,"(4 Pass)",IF(N5=CF5,"(2 Pass)")))</f>
        <v>(2 Pass)</v>
      </c>
      <c r="P5" s="14" t="str">
        <f>IF(N5="","",IF(N5=CE5,IF(N5+IF(J5="",0,J5)=DA5,$CG$1,IF(N5+IF(J5="",0,J5)=DV5,$DB$1,IF(N5+IF(J5="",0,J5)=EQ5,$DW$1,IF(N5+IF(J5="",0,J5)=FL5,$ER$1,IF(N5+IF(J5="",0,J5)=GG5,$FM$1,IF(N5+IF(J5="",0,J5)=HB5,$GH$1,IF(N5+IF(J5="",0,J5)=HW5,$HC$1,IF(N5+IF(J5="",0,J5)=IR5,$HX$1,IF(N5+IF(J5="",0,J5)=JM5,$IS$1,IF(N5+IF(J5="",0,J5)=KH5,$JN$1,IF(N5+IF(J5="",0,J5)=LC5,$KI$1,IF(N5+IF(J5="",0,J5)=LX5,$LD$1)))))))))))),IF(N5=CF5,IF(OR(N5+IF(L5="",0,L5)=CX5,N5+IF(L5="",0,L5)=CZ5),$CG$1,IF(OR(N5+IF(L5="",0,L5)=DS5,N5+IF(L5="",0,L5)=DU5),$DB$1,IF(OR(N5+IF(L5="",0,L5)=EN5,N5+IF(L5="",0,L5)=EP5),$DW$1,IF(OR(N5+IF(L5="",0,L5)=FI5,N5+IF(L5="",0,L5)=FK5),$ER$1,IF(OR(N5+IF(L5="",0,L5)=GD5,N5+IF(L5="",0,L5)=GF5),$FM$1,IF(OR(N5+IF(L5="",0,L5)=GY5,N5+IF(L5="",0,L5)=HA5),$GH$1,IF(OR(N5+IF(L5="",0,L5)=HT5,N5+IF(L5="",0,L5)=HV5),$HC$1,IF(OR(N5+IF(L5="",0,L5)=IO5,N5+IF(L5="",0,L5)=IQ5),$HX$1,IF(OR(N5+IF(L5="",0,L5)=JJ5,N5+IF(L5="",0,L5)=JL5),$IS$1,IF(OR(N5+IF(L5="",0,L5)=KE5,N5+IF(L5="",0,L5)=KG5),$JN$1,IF(OR(N5+IF(L5="",0,L5)=KZ5,N5+IF(L5="",0,L5)=LB5),$KI$1,IF(OR(N5+IF(L5="",0,L5)=LU5,N5+IF(L5="",0,L5)=LW5),$LD$1)))))))))))))))</f>
        <v>2019 WAGC (Dec 8)</v>
      </c>
      <c r="Q5" s="61">
        <v>0</v>
      </c>
      <c r="R5" s="61">
        <v>0</v>
      </c>
      <c r="S5" s="61">
        <v>0</v>
      </c>
      <c r="T5" s="61">
        <v>0</v>
      </c>
      <c r="U5" s="61">
        <v>27.6</v>
      </c>
      <c r="V5" s="61">
        <v>8</v>
      </c>
      <c r="W5" s="61">
        <v>0.3</v>
      </c>
      <c r="X5" s="61">
        <v>0</v>
      </c>
      <c r="Y5" s="61"/>
      <c r="Z5" s="61"/>
      <c r="AA5" s="61"/>
      <c r="AB5" s="61"/>
      <c r="AC5" s="61"/>
      <c r="AD5" s="61"/>
      <c r="AE5" s="61"/>
      <c r="AF5" s="61"/>
      <c r="AG5" s="72"/>
      <c r="AH5" s="11">
        <f>IF(SUM(R5,V5)&gt;0,SUM(R5,V5),"")</f>
        <v>8</v>
      </c>
      <c r="AI5" s="11">
        <f>IF(SUM(Q5:R5,T5:V5,X5)-SUM(S5,W5)&gt;0,SUM(Q5:R5,T5:V5,X5)-SUM(S5,W5),"")</f>
        <v>35.300000000000004</v>
      </c>
      <c r="AJ5" s="11" t="str">
        <f>IF(SUM(Z5,AD5)&gt;0,SUM(Z5,AD5),"")</f>
        <v/>
      </c>
      <c r="AK5" s="11" t="str">
        <f>IF(SUM(Y5:Z5,AB5:AD5,AF5)-SUM(AA5,AE5)&gt;0,SUM(Y5:Z5,AB5:AD5,AF5)-SUM(AA5,AE5),"")</f>
        <v/>
      </c>
      <c r="AL5" s="11">
        <f>IF(SUM(AI5,AK5)&gt;0,SUM(AI5,AK5),"")</f>
        <v>35.300000000000004</v>
      </c>
      <c r="AM5" s="36">
        <v>28.5</v>
      </c>
      <c r="AN5" s="36">
        <v>8</v>
      </c>
      <c r="AO5" s="36">
        <v>0</v>
      </c>
      <c r="AP5" s="36">
        <v>0</v>
      </c>
      <c r="AQ5" s="36">
        <v>28.3</v>
      </c>
      <c r="AR5" s="36">
        <v>8.4</v>
      </c>
      <c r="AS5" s="36">
        <v>0.9</v>
      </c>
      <c r="AT5" s="36">
        <v>0</v>
      </c>
      <c r="AU5" s="36">
        <v>27.9</v>
      </c>
      <c r="AV5" s="36">
        <v>7.2</v>
      </c>
      <c r="AW5" s="36">
        <v>0</v>
      </c>
      <c r="AX5" s="36">
        <v>0</v>
      </c>
      <c r="AY5" s="36">
        <v>28.7</v>
      </c>
      <c r="AZ5" s="36">
        <v>7.6</v>
      </c>
      <c r="BA5" s="36">
        <v>0.9</v>
      </c>
      <c r="BB5" s="36">
        <v>0</v>
      </c>
      <c r="BC5" s="73"/>
      <c r="BD5" s="14">
        <f>IF(SUM(AN5,AR5)&gt;0,SUM(AN5,AR5),"")</f>
        <v>16.399999999999999</v>
      </c>
      <c r="BE5" s="14">
        <f>IF(SUM(AM5:AN5,AP5:AR5,AT5)-SUM(AO5,AS5)&gt;0,SUM(AM5:AN5,AP5:AR5,AT5)-SUM(AO5,AS5),"")</f>
        <v>72.3</v>
      </c>
      <c r="BF5" s="14">
        <f>IF(SUM(AV5,AZ5)&gt;0,SUM(AV5,AZ5),"")</f>
        <v>14.8</v>
      </c>
      <c r="BG5" s="14">
        <f>IF(SUM(AU5:AV5,AX5:AZ5,BB5)-SUM(AW5,BA5)&gt;0,SUM(AU5:AV5,AX5:AZ5,BB5)-SUM(AW5,BA5),"")</f>
        <v>70.499999999999986</v>
      </c>
      <c r="BH5" s="14">
        <f>IF(SUM(BE5,BG5)&gt;0,SUM(BE5,BG5),"")</f>
        <v>142.79999999999998</v>
      </c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72"/>
      <c r="BZ5" s="11" t="str">
        <f>IF(SUM(BJ5,BN5)&gt;0,SUM(BJ5,BN5),"")</f>
        <v/>
      </c>
      <c r="CA5" s="11" t="str">
        <f>IF(SUM(BI5:BJ5,BL5:BN5,BP5)-SUM(BK5,BO5)&gt;0,SUM(BI5:BJ5,BL5:BN5,BP5)-SUM(BK5,BO5),"")</f>
        <v/>
      </c>
      <c r="CB5" s="11" t="str">
        <f>IF(SUM(BR5,BV5)&gt;0,SUM(BR5,BV5),"")</f>
        <v/>
      </c>
      <c r="CC5" s="11" t="str">
        <f>IF(SUM(BQ5:BR5,BT5:BV5,BX5)-SUM(BS5,BW5)&gt;0,SUM(BQ5:BR5,BT5:BV5,BX5)-SUM(BS5,BW5),"")</f>
        <v/>
      </c>
      <c r="CD5" s="11" t="str">
        <f>IF(SUM(CA5,CC5)&gt;0,SUM(CA5,CC5),"")</f>
        <v/>
      </c>
      <c r="CE5" s="23" t="str">
        <f>IF(MAX(DA5,DV5,EQ5,FL5,GG5,HB5,HW5,IR5,JM5,KH5,LC5,LX5)-IF(J5="",0,J5)&gt;0.001,MAX(DA5,DV5,EQ5,FL5,GG5,HB5,HW5,IR5,JM5,KH5,LC5,LX5)-IF(J5="",0,J5),"")</f>
        <v/>
      </c>
      <c r="CF5" s="23">
        <f>IF(MAX(CX5,CZ5,DS5,DU5,EN5,EP5,FI5,FK5,GD5,GF5,GY5,HA5,HT5,HV5,IO5,IQ5,JJ5,JL5,KE5,KG5,KZ5,LB5,LU5,LW5)-IF(L5="",0,L5)&gt;0.001,MAX(CX5,CZ5,DS5,DU5,EN5,EP5,FI5,FK5,GD5,GF5,GY5,HA5,HT5,HV5,IO5,IQ5,JJ5,JL5,KE5,KG5,KZ5,LB5,LU5,LW5)-IF(L5="",0,L5),"")</f>
        <v>34.499999999999993</v>
      </c>
      <c r="CG5" s="40">
        <v>28.3</v>
      </c>
      <c r="CH5" s="40">
        <v>7.4</v>
      </c>
      <c r="CI5" s="40">
        <v>0</v>
      </c>
      <c r="CJ5" s="40">
        <v>0</v>
      </c>
      <c r="CK5" s="40">
        <v>27.7</v>
      </c>
      <c r="CL5" s="40">
        <v>7.6</v>
      </c>
      <c r="CM5" s="40">
        <v>1.2</v>
      </c>
      <c r="CN5" s="40">
        <v>0</v>
      </c>
      <c r="CO5" s="40"/>
      <c r="CP5" s="40"/>
      <c r="CQ5" s="40"/>
      <c r="CR5" s="40"/>
      <c r="CS5" s="40"/>
      <c r="CT5" s="40"/>
      <c r="CU5" s="40"/>
      <c r="CV5" s="40"/>
      <c r="CW5" s="11">
        <f>IF(SUM(CH5,CL5)&gt;0,SUM(CH5,CL5),"")</f>
        <v>15</v>
      </c>
      <c r="CX5" s="11">
        <f>IF(SUM(CG5:CH5,CJ5:CL5,CN5)-SUM(CI5,CM5)&gt;0,SUM(CG5:CH5,CJ5:CL5,CN5)-SUM(CI5,CM5),"")</f>
        <v>69.8</v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>
        <f>IF(SUM(CX5,CZ5)&gt;0,SUM(CX5,CZ5),"")</f>
        <v>69.8</v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14.25</v>
      </c>
      <c r="LZ5" s="61">
        <f>IF($BY5="P",BJ5,(BJ5+AN5)/2)</f>
        <v>4</v>
      </c>
      <c r="MA5" s="61">
        <f>IF($BY5="P",BK5,(BK5+AO5)/2)</f>
        <v>0</v>
      </c>
      <c r="MB5" s="61">
        <f>IF($BY5="P",BL5,(BL5+AP5)/2)</f>
        <v>0</v>
      </c>
      <c r="MC5" s="61">
        <f>IF($BY5="P",BM5,(BM5+AQ5)/2)</f>
        <v>14.15</v>
      </c>
      <c r="MD5" s="61">
        <f>IF($BY5="P",BN5,(BN5+AR5)/2)</f>
        <v>4.2</v>
      </c>
      <c r="ME5" s="61">
        <f>IF($BY5="P",BO5,(BO5+AS5)/2)</f>
        <v>0.45</v>
      </c>
      <c r="MF5" s="61">
        <f>IF($BY5="P",BP5,(BP5+AT5)/2)</f>
        <v>0</v>
      </c>
      <c r="MG5" s="61">
        <f>IF($BY5="P",BQ5,(BQ5+AU5)/2)</f>
        <v>13.95</v>
      </c>
      <c r="MH5" s="61">
        <f>IF($BY5="P",BR5,(BR5+AV5)/2)</f>
        <v>3.6</v>
      </c>
      <c r="MI5" s="61">
        <f>IF($BY5="P",BS5,(BS5+AW5)/2)</f>
        <v>0</v>
      </c>
      <c r="MJ5" s="61">
        <f>IF($BY5="P",BT5,(BT5+AX5)/2)</f>
        <v>0</v>
      </c>
      <c r="MK5" s="61">
        <f>IF($BY5="P",BU5,(BU5+AY5)/2)</f>
        <v>14.35</v>
      </c>
      <c r="ML5" s="61">
        <f>IF($BY5="P",BV5,(BV5+AZ5)/2)</f>
        <v>3.8</v>
      </c>
      <c r="MM5" s="61">
        <f>IF($BY5="P",BW5,(BW5+BA5)/2)</f>
        <v>0.45</v>
      </c>
      <c r="MN5" s="61">
        <f>IF($BY5="P",BX5,(BX5+BB5)/2)</f>
        <v>0</v>
      </c>
      <c r="MO5" s="72" t="s">
        <v>52</v>
      </c>
      <c r="MP5" s="11">
        <f>IF(SUM(LZ5,MD5)&gt;0,SUM(LZ5,MD5),"")</f>
        <v>8.1999999999999993</v>
      </c>
      <c r="MQ5" s="11">
        <f>IF(SUM(LY5:LZ5,MB5:MD5,MF5)-SUM(MA5,ME5)&gt;0,SUM(LY5:LZ5,MB5:MD5,MF5)-SUM(MA5,ME5),"")</f>
        <v>36.15</v>
      </c>
      <c r="MR5" s="11">
        <f>IF(SUM(MH5,ML5)&gt;0,SUM(MH5,ML5),"")</f>
        <v>7.4</v>
      </c>
      <c r="MS5" s="11">
        <f>IF(SUM(MG5:MH5,MJ5:ML5,MN5)-SUM(MI5,MM5)&gt;0,SUM(MG5:MH5,MJ5:ML5,MN5)-SUM(MI5,MM5),"")</f>
        <v>35.249999999999993</v>
      </c>
      <c r="MT5" s="11">
        <f>IF(SUM(MQ5,MS5)&gt;0,SUM(MQ5,MS5),"")</f>
        <v>71.399999999999991</v>
      </c>
    </row>
    <row r="6" spans="1:358" x14ac:dyDescent="0.2">
      <c r="A6" s="5">
        <f>IF(AND(F6="P",G6="P"),SUMPRODUCT((F$4:F$19="P")*(G$4:G$19="P")*(E$4:E$19&gt;E6))+1,IF(G6="P",SUMPRODUCT((F$4:F$19="")*(G$4:G$19="P")*(E$4:E$19&gt;E6))+1+SUMPRODUCT((F$4:F$19="P")*(G$4:G$19="P")),""))</f>
        <v>3</v>
      </c>
      <c r="B6" s="8" t="s">
        <v>86</v>
      </c>
      <c r="C6" s="4" t="s">
        <v>5</v>
      </c>
      <c r="D6" s="5">
        <v>2003</v>
      </c>
      <c r="E6" s="15">
        <f>SUM(J6:N6)</f>
        <v>209.6</v>
      </c>
      <c r="F6" s="3" t="str">
        <f>IF(OR(AND(AH6&gt;=AL$21,AI6&gt;=AL$25,AI6&lt;&gt;"",AG6=""),AND(BD6&gt;=BH$21,BE6&gt;=BH$25,BE6&lt;&gt;"",BC6=""),AND(BZ6&gt;=CD$21,CA6&gt;=CD$25,CA6&lt;&gt;"",BY6=""),AND(CW6&gt;=DA$21,CX6&gt;=DA$25,CX6&lt;&gt;""),AND(DR6&gt;=DV$21,DS6&gt;=DV$25,DS6&lt;&gt;""),AND(EM6&gt;=EQ$21,EN6&gt;=EQ$25,EN6&lt;&gt;""),AND(FH6&gt;=FL$21,FI6&gt;=FL$25,FI6&lt;&gt;""),AND(GC6&gt;=GG$21,GD6&gt;=GG$25,GD6&lt;&gt;""),AND(GX6&gt;=HB$21,GY6&gt;=HB$25,GY6&lt;&gt;""),AND(HS6&gt;=HW$21,HT6&gt;=HW$25,HT6&lt;&gt;""),AND(IN6&gt;=IR$21,IO6&gt;=IR$25,IO6&lt;&gt;""),AND(JI6&gt;=JM$21,JJ6&gt;=JM$25,JJ6&lt;&gt;""),AND(KD6&gt;=KH$21,KE6&gt;=KH$25,KE6&lt;&gt;""),AND(KY6&gt;=LC$21,KZ6&gt;=LC$25,KZ6&lt;&gt;""),AND(LT6&gt;=LX$21,LU6&gt;=LX$25,LU6&lt;&gt;"")),"P","")</f>
        <v>P</v>
      </c>
      <c r="G6" s="3" t="str">
        <f>IF(OR(AND(AI6&gt;=AL$25,AI6&lt;&gt;"",AG6=""),AND(BE6&gt;=BH$25,BE6&lt;&gt;"",BC6=""),AND(CA6&gt;=CD$25,CA6&lt;&gt;"",BY6=""),AND(CX6&gt;=DA$25,CX6&lt;&gt;""),AND(DS6&gt;=DV$25,DS6&lt;&gt;""),AND(EN6&gt;=EQ$25,EN6&lt;&gt;""),AND(FI6&gt;=FL$25,FI6&lt;&gt;""),AND(GD6&gt;=GG$25,GD6&lt;&gt;""),AND(GY6&gt;=HB$25,GY6&lt;&gt;""),AND(HT6&gt;=HW$25,HT6&lt;&gt;""),AND(IO6&gt;=IR$25,IO6&lt;&gt;""),AND(JJ6&gt;=JM$25,JJ6&lt;&gt;""),AND(KE6&gt;=KH$25,KE6&lt;&gt;""),AND(KZ6&gt;=LC$25,KZ6&lt;&gt;""),AND(LU6&gt;=LX$25,LU6&lt;&gt;"")),"P","")</f>
        <v>P</v>
      </c>
      <c r="H6" s="116" t="str">
        <f>IF(AND(G6="P",F6=""),"No DD",IF(OR(AND(AH6&gt;=AL$24,AH6&lt;&gt;"",AI6&gt;=AL$28,AI6&lt;&gt;"",AG6=""),AND(BD6&gt;=BH$24,BD6&lt;&gt;"",BE6&gt;=BH$28,BE6&lt;&gt;"",BC6=""),AND(BZ6&gt;=CD$24,BZ6&lt;&gt;"",CA6&gt;=CD$28,CA6&lt;&gt;"",BY6=""),AND(CW6&gt;=DA$24,CW6&lt;&gt;"",CX6&gt;=DA$28,CX6&lt;&gt;""),AND(DR6&gt;=DV$24,DR6&lt;&gt;"",DS6&gt;=DV$28,DS6&lt;&gt;""),AND(EM6&gt;=EQ$24,EM6&lt;&gt;"",EN6&gt;=EQ$28,EN6&lt;&gt;""),AND(FH6&gt;=FL$24,FH6&lt;&gt;"",FI6&gt;=FL$28,FI6&lt;&gt;""),AND(GC6&gt;=GG$24,GC6&lt;&gt;"",GD6&gt;=GG$28,GD6&lt;&gt;""),AND(GX6&gt;=HB$24,GX6&lt;&gt;"",GY6&gt;=HB$28,GY6&lt;&gt;""),AND(HS6&gt;=HW$24,HS6&lt;&gt;"",HT6&gt;=HW$28,HT6&lt;&gt;""),AND(IN6&gt;=IR$24,IN6&lt;&gt;"",IO6&gt;=IR$28,IO6&lt;&gt;""),AND(JI6&gt;=JM$24,JI6&lt;&gt;"",JJ6&gt;=JM$28,JJ6&lt;&gt;""),AND(KD6&gt;=KH$24,KD6&lt;&gt;"",KE6&gt;=KH$28,KE6&lt;&gt;""),AND(KY6&gt;=LC$24,KY6&lt;&gt;"",KZ6&gt;=LC$28,KZ6&lt;&gt;""),AND(LT6&gt;=LX$24,LT6&lt;&gt;"",LU6&gt;=LX$28,LU6&lt;&gt;"")),"Merit",IF(OR(AND(AH6&gt;=AL$23,AH6&lt;&gt;"",AI6&gt;=AL$27,AI6&lt;&gt;"",AG6=""),AND(BD6&gt;=BH$23,BD6&lt;&gt;"",BE6&gt;=BH$27,BE6&lt;&gt;"",BC6=""),AND(BZ6&gt;=CD$23,BZ6&lt;&gt;"",CA6&gt;=CD$27,CA6&lt;&gt;"",BY6=""),AND(CW6&gt;=DA$23,CW6&lt;&gt;"",CX6&gt;=DA$27,CX6&lt;&gt;""),AND(DR6&gt;=DV$23,DR6&lt;&gt;"",DS6&gt;=DV$27,DS6&lt;&gt;""),AND(EM6&gt;=EQ$23,EM6&lt;&gt;"",EN6&gt;=EQ$27,EN6&lt;&gt;""),AND(FH6&gt;=FL$23,FH6&lt;&gt;"",FI6&gt;=FL$27,FI6&lt;&gt;""),AND(GC6&gt;=GG$23,GC6&lt;&gt;"",GD6&gt;=GG$27,GD6&lt;&gt;""),AND(GX6&gt;=HB$23,GX6&lt;&gt;"",GY6&gt;=HB$27,GY6&lt;&gt;""),AND(HS6&gt;=HW$23,HS6&lt;&gt;"",HT6&gt;=HW$27,HT6&lt;&gt;""),AND(IN6&gt;=IR$23,IN6&lt;&gt;"",IO6&gt;=IR$27,IO6&lt;&gt;""),AND(JI6&gt;=JM$23,JI6&lt;&gt;"",JJ6&gt;=JM$27,JJ6&lt;&gt;""),AND(KD6&gt;=KH$23,KD6&lt;&gt;"",KE6&gt;=KH$27,KE6&lt;&gt;""),AND(KY6&gt;=LC$23,KY6&lt;&gt;"",KZ6&gt;=LC$27,KZ6&lt;&gt;""),AND(LT6&gt;=LX$23,LT6&lt;&gt;"",LU6&gt;=LX$27,LU6&lt;&gt;"")),"Excellence",IF(OR(AND(AH6&gt;=AL$22,AH6&lt;&gt;"",AI6&gt;=AL$26,AI6&lt;&gt;"",AG6=""),AND(BD6&gt;=BH$22,BD6&lt;&gt;"",BE6&gt;=BH$26,BE6&lt;&gt;"",BC6=""),AND(BZ6&gt;=CD$22,BZ6&lt;&gt;"",CA6&gt;=CD$26,CA6&lt;&gt;"",BY6=""),AND(CW6&gt;=DA$22,CW6&lt;&gt;"",CX6&gt;=DA$26,CX6&lt;&gt;""),AND(DR6&gt;=DV$22,DR6&lt;&gt;"",DS6&gt;=DV$26,DS6&lt;&gt;""),AND(EM6&gt;=EQ$22,EM6&lt;&gt;"",EN6&gt;=EQ$26,EN6&lt;&gt;""),AND(FH6&gt;=FL$22,FH6&lt;&gt;"",FI6&gt;=FL$26,FI6&lt;&gt;""),AND(GC6&gt;=GG$22,GC6&lt;&gt;"",GD6&gt;=GG$26,GD6&lt;&gt;""),AND(GX6&gt;=HB$22,GX6&lt;&gt;"",GY6&gt;=HB$26,GY6&lt;&gt;""),AND(HS6&gt;=HW$22,HS6&lt;&gt;"",HT6&gt;=HW$26,HT6&lt;&gt;""),AND(IN6&gt;=IR$22,IN6&lt;&gt;"",IO6&gt;=IR$26,IO6&lt;&gt;""),AND(JI6&gt;=JM$22,JI6&lt;&gt;"",JJ6&gt;=JM$26,JJ6&lt;&gt;""),AND(KD6&gt;=KH$22,KD6&lt;&gt;"",KE6&gt;=KH$26,KE6&lt;&gt;""),AND(KY6&gt;=LC$22,KY6&lt;&gt;"",KZ6&gt;=LC$26,KZ6&lt;&gt;""),AND(LT6&gt;=LX$22,LT6&lt;&gt;"",LU6&gt;=LX$26,LU6&lt;&gt;"")),"Worlds Team",IF(OR(AND(AH6&gt;=AL$21,AH6&lt;&gt;"",AI6&gt;=AL$25,AI6&lt;&gt;"",AG6=""),AND(BD6&gt;=BH$21,BD6&lt;&gt;"",BE6&gt;=BH$25,BE6&lt;&gt;"",BC6=""),AND(BZ6&gt;=CD$21,BZ6&lt;&gt;"",CA6&gt;=CD$25,CA6&lt;&gt;"",BY6=""),AND(CW6&gt;=DA$21,CW6&lt;&gt;"",CX6&gt;=DA$25,CX6&lt;&gt;""),AND(DR6&gt;=DV$21,DR6&lt;&gt;"",DS6&gt;=DV$25,DS6&lt;&gt;""),AND(EM6&gt;=EQ$21,EM6&lt;&gt;"",EN6&gt;=EQ$25,EN6&lt;&gt;""),AND(FH6&gt;=FL$21,FH6&lt;&gt;"",FI6&gt;=FL$25,FI6&lt;&gt;""),AND(GC6&gt;=GG$21,GC6&lt;&gt;"",GD6&gt;=GG$25,GD6&lt;&gt;""),AND(GX6&gt;=HB$21,GX6&lt;&gt;"",GY6&gt;=HB$25,GY6&lt;&gt;""),AND(HS6&gt;=HW$21,HS6&lt;&gt;"",HT6&gt;=HW$25,HT6&lt;&gt;""),AND(IN6&gt;=IR$21,IN6&lt;&gt;"",IO6&gt;=IR$25,IO6&lt;&gt;""),AND(JI6&gt;=JM$21,JI6&lt;&gt;"",JJ6&gt;=JM$25,JJ6&lt;&gt;""),AND(KD6&gt;=KH$21,KD6&lt;&gt;"",KE6&gt;=KH$25,KE6&lt;&gt;""),AND(KY6&gt;=LC$21,KY6&lt;&gt;"",KZ6&gt;=LC$25,KZ6&lt;&gt;""),AND(LT6&gt;=LX$21,LT6&lt;&gt;"",LU6&gt;=LX$25,LU6&lt;&gt;"")),"National Team","")))))</f>
        <v>National Team</v>
      </c>
      <c r="I6" s="3" t="str">
        <f>IF(OR(H6="Worlds Team",H6="Excellence",H6="Merit"),"P","")</f>
        <v/>
      </c>
      <c r="J6" s="14">
        <f>MAX(AL6,BH6,CD6)</f>
        <v>140.5</v>
      </c>
      <c r="K6" s="14" t="str">
        <f>IF(J6=0,"",IF(J6=CD6,$BI$1,IF(J6=BH6,$AM$1,IF(J6=AL6,$Q$1,""))))</f>
        <v>2019 Elite Canada</v>
      </c>
      <c r="L6" s="14">
        <f>IF(J6=AL6,MAX(BE6,BG6,CA6,CC6),IF(J6=BH6,MAX(AI6,AK6,CA6,CC6),MAX(AI6,AK6,BE6,BG6)))</f>
        <v>69.099999999999994</v>
      </c>
      <c r="M6" s="14" t="str">
        <f>IF(L6=0,"",IF(AND(J6&lt;&gt;CD6,OR(L6=CA6,L6=CC6)),$BI$1,IF(AND(J6&lt;&gt;BH6,OR(L6=BG6,L6=BE6)),$AM$1,IF(OR(L6=AK6,L6=AI6),$Q$1,""))))</f>
        <v>2019 Nationals</v>
      </c>
      <c r="N6" s="14" t="str">
        <f>IF(MAX(CE6:CF6)&gt;0,MAX(CE6:CF6),"")</f>
        <v/>
      </c>
      <c r="O6" s="24" t="str">
        <f>IF(N6="","",IF(N6=CE6,"(4 Pass)",IF(N6=CF6,"(2 Pass)")))</f>
        <v/>
      </c>
      <c r="P6" s="14" t="str">
        <f>IF(N6="","",IF(N6=CE6,IF(N6+IF(J6="",0,J6)=DA6,$CG$1,IF(N6+IF(J6="",0,J6)=DV6,$DB$1,IF(N6+IF(J6="",0,J6)=EQ6,$DW$1,IF(N6+IF(J6="",0,J6)=FL6,$ER$1,IF(N6+IF(J6="",0,J6)=GG6,$FM$1,IF(N6+IF(J6="",0,J6)=HB6,$GH$1,IF(N6+IF(J6="",0,J6)=HW6,$HC$1,IF(N6+IF(J6="",0,J6)=IR6,$HX$1,IF(N6+IF(J6="",0,J6)=JM6,$IS$1,IF(N6+IF(J6="",0,J6)=KH6,$JN$1,IF(N6+IF(J6="",0,J6)=LC6,$KI$1,IF(N6+IF(J6="",0,J6)=LX6,$LD$1)))))))))))),IF(N6=CF6,IF(OR(N6+IF(L6="",0,L6)=CX6,N6+IF(L6="",0,L6)=CZ6),$CG$1,IF(OR(N6+IF(L6="",0,L6)=DS6,N6+IF(L6="",0,L6)=DU6),$DB$1,IF(OR(N6+IF(L6="",0,L6)=EN6,N6+IF(L6="",0,L6)=EP6),$DW$1,IF(OR(N6+IF(L6="",0,L6)=FI6,N6+IF(L6="",0,L6)=FK6),$ER$1,IF(OR(N6+IF(L6="",0,L6)=GD6,N6+IF(L6="",0,L6)=GF6),$FM$1,IF(OR(N6+IF(L6="",0,L6)=GY6,N6+IF(L6="",0,L6)=HA6),$GH$1,IF(OR(N6+IF(L6="",0,L6)=HT6,N6+IF(L6="",0,L6)=HV6),$HC$1,IF(OR(N6+IF(L6="",0,L6)=IO6,N6+IF(L6="",0,L6)=IQ6),$HX$1,IF(OR(N6+IF(L6="",0,L6)=JJ6,N6+IF(L6="",0,L6)=JL6),$IS$1,IF(OR(N6+IF(L6="",0,L6)=KE6,N6+IF(L6="",0,L6)=KG6),$JN$1,IF(OR(N6+IF(L6="",0,L6)=KZ6,N6+IF(L6="",0,L6)=LB6),$KI$1,IF(OR(N6+IF(L6="",0,L6)=LU6,N6+IF(L6="",0,L6)=LW6),$LD$1)))))))))))))))</f>
        <v/>
      </c>
      <c r="Q6" s="61">
        <v>28.3</v>
      </c>
      <c r="R6" s="61">
        <v>7.6</v>
      </c>
      <c r="S6" s="61">
        <v>0</v>
      </c>
      <c r="T6" s="61">
        <v>0</v>
      </c>
      <c r="U6" s="61">
        <v>28</v>
      </c>
      <c r="V6" s="61">
        <v>7.2</v>
      </c>
      <c r="W6" s="61">
        <v>0</v>
      </c>
      <c r="X6" s="61">
        <v>0</v>
      </c>
      <c r="Y6" s="61">
        <v>27.1</v>
      </c>
      <c r="Z6" s="61">
        <v>7.6</v>
      </c>
      <c r="AA6" s="61">
        <v>0.3</v>
      </c>
      <c r="AB6" s="61">
        <v>0</v>
      </c>
      <c r="AC6" s="61">
        <v>28.2</v>
      </c>
      <c r="AD6" s="61">
        <v>6.8</v>
      </c>
      <c r="AE6" s="61">
        <v>0</v>
      </c>
      <c r="AF6" s="61">
        <v>0</v>
      </c>
      <c r="AG6" s="72"/>
      <c r="AH6" s="11">
        <f>IF(SUM(R6,V6)&gt;0,SUM(R6,V6),"")</f>
        <v>14.8</v>
      </c>
      <c r="AI6" s="11">
        <f>IF(SUM(Q6:R6,T6:V6,X6)-SUM(S6,W6)&gt;0,SUM(Q6:R6,T6:V6,X6)-SUM(S6,W6),"")</f>
        <v>71.099999999999994</v>
      </c>
      <c r="AJ6" s="11">
        <f>IF(SUM(Z6,AD6)&gt;0,SUM(Z6,AD6),"")</f>
        <v>14.399999999999999</v>
      </c>
      <c r="AK6" s="11">
        <f>IF(SUM(Y6:Z6,AB6:AD6,AF6)-SUM(AA6,AE6)&gt;0,SUM(Y6:Z6,AB6:AD6,AF6)-SUM(AA6,AE6),"")</f>
        <v>69.400000000000006</v>
      </c>
      <c r="AL6" s="11">
        <f>IF(SUM(AI6,AK6)&gt;0,SUM(AI6,AK6),"")</f>
        <v>140.5</v>
      </c>
      <c r="AM6" s="36">
        <v>27.6</v>
      </c>
      <c r="AN6" s="36">
        <v>7.2</v>
      </c>
      <c r="AO6" s="36">
        <v>0.9</v>
      </c>
      <c r="AP6" s="36">
        <v>0</v>
      </c>
      <c r="AQ6" s="36">
        <v>28</v>
      </c>
      <c r="AR6" s="36">
        <v>7.2</v>
      </c>
      <c r="AS6" s="36">
        <v>0</v>
      </c>
      <c r="AT6" s="36">
        <v>0</v>
      </c>
      <c r="AU6" s="36">
        <v>27.9</v>
      </c>
      <c r="AV6" s="36">
        <v>7.6</v>
      </c>
      <c r="AW6" s="36">
        <v>0.9</v>
      </c>
      <c r="AX6" s="36">
        <v>0</v>
      </c>
      <c r="AY6" s="36">
        <v>27.6</v>
      </c>
      <c r="AZ6" s="36">
        <v>7.6</v>
      </c>
      <c r="BA6" s="36">
        <v>0.9</v>
      </c>
      <c r="BB6" s="36">
        <v>0</v>
      </c>
      <c r="BC6" s="73"/>
      <c r="BD6" s="14">
        <f>IF(SUM(AN6,AR6)&gt;0,SUM(AN6,AR6),"")</f>
        <v>14.4</v>
      </c>
      <c r="BE6" s="14">
        <f>IF(SUM(AM6:AN6,AP6:AR6,AT6)-SUM(AO6,AS6)&gt;0,SUM(AM6:AN6,AP6:AR6,AT6)-SUM(AO6,AS6),"")</f>
        <v>69.099999999999994</v>
      </c>
      <c r="BF6" s="14">
        <f>IF(SUM(AV6,AZ6)&gt;0,SUM(AV6,AZ6),"")</f>
        <v>15.2</v>
      </c>
      <c r="BG6" s="14">
        <f>IF(SUM(AU6:AV6,AX6:AZ6,BB6)-SUM(AW6,BA6)&gt;0,SUM(AU6:AV6,AX6:AZ6,BB6)-SUM(AW6,BA6),"")</f>
        <v>68.900000000000006</v>
      </c>
      <c r="BH6" s="14">
        <f>IF(SUM(BE6,BG6)&gt;0,SUM(BE6,BG6),"")</f>
        <v>138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72"/>
      <c r="BZ6" s="11" t="str">
        <f>IF(SUM(BJ6,BN6)&gt;0,SUM(BJ6,BN6),"")</f>
        <v/>
      </c>
      <c r="CA6" s="11" t="str">
        <f>IF(SUM(BI6:BJ6,BL6:BN6,BP6)-SUM(BK6,BO6)&gt;0,SUM(BI6:BJ6,BL6:BN6,BP6)-SUM(BK6,BO6),"")</f>
        <v/>
      </c>
      <c r="CB6" s="11" t="str">
        <f>IF(SUM(BR6,BV6)&gt;0,SUM(BR6,BV6),"")</f>
        <v/>
      </c>
      <c r="CC6" s="11" t="str">
        <f>IF(SUM(BQ6:BR6,BT6:BV6,BX6)-SUM(BS6,BW6)&gt;0,SUM(BQ6:BR6,BT6:BV6,BX6)-SUM(BS6,BW6),"")</f>
        <v/>
      </c>
      <c r="CD6" s="11" t="str">
        <f>IF(SUM(CA6,CC6)&gt;0,SUM(CA6,CC6),"")</f>
        <v/>
      </c>
      <c r="CE6" s="23" t="str">
        <f>IF(MAX(DA6,DV6,EQ6,FL6,GG6,HB6,HW6,IR6,JM6,KH6,LC6,LX6)-IF(J6="",0,J6)&gt;0.001,MAX(DA6,DV6,EQ6,FL6,GG6,HB6,HW6,IR6,JM6,KH6,LC6,LX6)-IF(J6="",0,J6),"")</f>
        <v/>
      </c>
      <c r="CF6" s="23" t="str">
        <f>IF(MAX(CX6,CZ6,DS6,DU6,EN6,EP6,FI6,FK6,GD6,GF6,GY6,HA6,HT6,HV6,IO6,IQ6,JJ6,JL6,KE6,KG6,KZ6,LB6,LU6,LW6)-IF(L6="",0,L6)&gt;0.001,MAX(CX6,CZ6,DS6,DU6,EN6,EP6,FI6,FK6,GD6,GF6,GY6,HA6,HT6,HV6,IO6,IQ6,JJ6,JL6,KE6,KG6,KZ6,LB6,LU6,LW6)-IF(L6="",0,L6),"")</f>
        <v/>
      </c>
      <c r="CG6" s="40">
        <v>28.1</v>
      </c>
      <c r="CH6" s="40">
        <v>7</v>
      </c>
      <c r="CI6" s="40">
        <v>0</v>
      </c>
      <c r="CJ6" s="40">
        <v>0</v>
      </c>
      <c r="CK6" s="40">
        <v>27.4</v>
      </c>
      <c r="CL6" s="40">
        <v>7.2</v>
      </c>
      <c r="CM6" s="40">
        <v>0.9</v>
      </c>
      <c r="CN6" s="40">
        <v>0</v>
      </c>
      <c r="CO6" s="40"/>
      <c r="CP6" s="40"/>
      <c r="CQ6" s="40"/>
      <c r="CR6" s="40"/>
      <c r="CS6" s="40"/>
      <c r="CT6" s="40"/>
      <c r="CU6" s="40"/>
      <c r="CV6" s="40"/>
      <c r="CW6" s="11">
        <f>IF(SUM(CH6,CL6)&gt;0,SUM(CH6,CL6),"")</f>
        <v>14.2</v>
      </c>
      <c r="CX6" s="11">
        <f>IF(SUM(CG6:CH6,CJ6:CL6,CN6)-SUM(CI6,CM6)&gt;0,SUM(CG6:CH6,CJ6:CL6,CN6)-SUM(CI6,CM6),"")</f>
        <v>68.8</v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>
        <f>IF(SUM(CX6,CZ6)&gt;0,SUM(CX6,CZ6),"")</f>
        <v>68.8</v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13.8</v>
      </c>
      <c r="LZ6" s="61">
        <f>IF($BY6="P",BJ6,(BJ6+AN6)/2)</f>
        <v>3.6</v>
      </c>
      <c r="MA6" s="61">
        <f>IF($BY6="P",BK6,(BK6+AO6)/2)</f>
        <v>0.45</v>
      </c>
      <c r="MB6" s="61">
        <f>IF($BY6="P",BL6,(BL6+AP6)/2)</f>
        <v>0</v>
      </c>
      <c r="MC6" s="61">
        <f>IF($BY6="P",BM6,(BM6+AQ6)/2)</f>
        <v>14</v>
      </c>
      <c r="MD6" s="61">
        <f>IF($BY6="P",BN6,(BN6+AR6)/2)</f>
        <v>3.6</v>
      </c>
      <c r="ME6" s="61">
        <f>IF($BY6="P",BO6,(BO6+AS6)/2)</f>
        <v>0</v>
      </c>
      <c r="MF6" s="61">
        <f>IF($BY6="P",BP6,(BP6+AT6)/2)</f>
        <v>0</v>
      </c>
      <c r="MG6" s="61">
        <f>IF($BY6="P",BQ6,(BQ6+AU6)/2)</f>
        <v>13.95</v>
      </c>
      <c r="MH6" s="61">
        <f>IF($BY6="P",BR6,(BR6+AV6)/2)</f>
        <v>3.8</v>
      </c>
      <c r="MI6" s="61">
        <f>IF($BY6="P",BS6,(BS6+AW6)/2)</f>
        <v>0.45</v>
      </c>
      <c r="MJ6" s="61">
        <f>IF($BY6="P",BT6,(BT6+AX6)/2)</f>
        <v>0</v>
      </c>
      <c r="MK6" s="61">
        <f>IF($BY6="P",BU6,(BU6+AY6)/2)</f>
        <v>13.8</v>
      </c>
      <c r="ML6" s="61">
        <f>IF($BY6="P",BV6,(BV6+AZ6)/2)</f>
        <v>3.8</v>
      </c>
      <c r="MM6" s="61">
        <f>IF($BY6="P",BW6,(BW6+BA6)/2)</f>
        <v>0.45</v>
      </c>
      <c r="MN6" s="61">
        <f>IF($BY6="P",BX6,(BX6+BB6)/2)</f>
        <v>0</v>
      </c>
      <c r="MO6" s="72" t="s">
        <v>52</v>
      </c>
      <c r="MP6" s="11">
        <f>IF(SUM(LZ6,MD6)&gt;0,SUM(LZ6,MD6),"")</f>
        <v>7.2</v>
      </c>
      <c r="MQ6" s="11">
        <f>IF(SUM(LY6:LZ6,MB6:MD6,MF6)-SUM(MA6,ME6)&gt;0,SUM(LY6:LZ6,MB6:MD6,MF6)-SUM(MA6,ME6),"")</f>
        <v>34.549999999999997</v>
      </c>
      <c r="MR6" s="11">
        <f>IF(SUM(MH6,ML6)&gt;0,SUM(MH6,ML6),"")</f>
        <v>7.6</v>
      </c>
      <c r="MS6" s="11">
        <f>IF(SUM(MG6:MH6,MJ6:ML6,MN6)-SUM(MI6,MM6)&gt;0,SUM(MG6:MH6,MJ6:ML6,MN6)-SUM(MI6,MM6),"")</f>
        <v>34.450000000000003</v>
      </c>
      <c r="MT6" s="11">
        <f>IF(SUM(MQ6,MS6)&gt;0,SUM(MQ6,MS6),"")</f>
        <v>69</v>
      </c>
    </row>
    <row r="7" spans="1:358" x14ac:dyDescent="0.2">
      <c r="A7" s="5">
        <f>IF(AND(F7="P",G7="P"),SUMPRODUCT((F$4:F$19="P")*(G$4:G$19="P")*(E$4:E$19&gt;E7))+1,IF(G7="P",SUMPRODUCT((F$4:F$19="")*(G$4:G$19="P")*(E$4:E$19&gt;E7))+1+SUMPRODUCT((F$4:F$19="P")*(G$4:G$19="P")),""))</f>
        <v>4</v>
      </c>
      <c r="B7" s="8" t="s">
        <v>140</v>
      </c>
      <c r="C7" s="4" t="s">
        <v>3</v>
      </c>
      <c r="D7" s="5">
        <v>2000</v>
      </c>
      <c r="E7" s="15">
        <f>SUM(J7:N7)</f>
        <v>207.10000000000002</v>
      </c>
      <c r="F7" s="3" t="str">
        <f>IF(OR(AND(AH7&gt;=AL$21,AI7&gt;=AL$25,AI7&lt;&gt;"",AG7=""),AND(BD7&gt;=BH$21,BE7&gt;=BH$25,BE7&lt;&gt;"",BC7=""),AND(BZ7&gt;=CD$21,CA7&gt;=CD$25,CA7&lt;&gt;"",BY7=""),AND(CW7&gt;=DA$21,CX7&gt;=DA$25,CX7&lt;&gt;""),AND(DR7&gt;=DV$21,DS7&gt;=DV$25,DS7&lt;&gt;""),AND(EM7&gt;=EQ$21,EN7&gt;=EQ$25,EN7&lt;&gt;""),AND(FH7&gt;=FL$21,FI7&gt;=FL$25,FI7&lt;&gt;""),AND(GC7&gt;=GG$21,GD7&gt;=GG$25,GD7&lt;&gt;""),AND(GX7&gt;=HB$21,GY7&gt;=HB$25,GY7&lt;&gt;""),AND(HS7&gt;=HW$21,HT7&gt;=HW$25,HT7&lt;&gt;""),AND(IN7&gt;=IR$21,IO7&gt;=IR$25,IO7&lt;&gt;""),AND(JI7&gt;=JM$21,JJ7&gt;=JM$25,JJ7&lt;&gt;""),AND(KD7&gt;=KH$21,KE7&gt;=KH$25,KE7&lt;&gt;""),AND(KY7&gt;=LC$21,KZ7&gt;=LC$25,KZ7&lt;&gt;""),AND(LT7&gt;=LX$21,LU7&gt;=LX$25,LU7&lt;&gt;"")),"P","")</f>
        <v>P</v>
      </c>
      <c r="G7" s="3" t="str">
        <f>IF(OR(AND(AI7&gt;=AL$25,AI7&lt;&gt;"",AG7=""),AND(BE7&gt;=BH$25,BE7&lt;&gt;"",BC7=""),AND(CA7&gt;=CD$25,CA7&lt;&gt;"",BY7=""),AND(CX7&gt;=DA$25,CX7&lt;&gt;""),AND(DS7&gt;=DV$25,DS7&lt;&gt;""),AND(EN7&gt;=EQ$25,EN7&lt;&gt;""),AND(FI7&gt;=FL$25,FI7&lt;&gt;""),AND(GD7&gt;=GG$25,GD7&lt;&gt;""),AND(GY7&gt;=HB$25,GY7&lt;&gt;""),AND(HT7&gt;=HW$25,HT7&lt;&gt;""),AND(IO7&gt;=IR$25,IO7&lt;&gt;""),AND(JJ7&gt;=JM$25,JJ7&lt;&gt;""),AND(KE7&gt;=KH$25,KE7&lt;&gt;""),AND(KZ7&gt;=LC$25,KZ7&lt;&gt;""),AND(LU7&gt;=LX$25,LU7&lt;&gt;"")),"P","")</f>
        <v>P</v>
      </c>
      <c r="H7" s="116" t="str">
        <f>IF(AND(G7="P",F7=""),"No DD",IF(OR(AND(AH7&gt;=AL$24,AH7&lt;&gt;"",AI7&gt;=AL$28,AI7&lt;&gt;"",AG7=""),AND(BD7&gt;=BH$24,BD7&lt;&gt;"",BE7&gt;=BH$28,BE7&lt;&gt;"",BC7=""),AND(BZ7&gt;=CD$24,BZ7&lt;&gt;"",CA7&gt;=CD$28,CA7&lt;&gt;"",BY7=""),AND(CW7&gt;=DA$24,CW7&lt;&gt;"",CX7&gt;=DA$28,CX7&lt;&gt;""),AND(DR7&gt;=DV$24,DR7&lt;&gt;"",DS7&gt;=DV$28,DS7&lt;&gt;""),AND(EM7&gt;=EQ$24,EM7&lt;&gt;"",EN7&gt;=EQ$28,EN7&lt;&gt;""),AND(FH7&gt;=FL$24,FH7&lt;&gt;"",FI7&gt;=FL$28,FI7&lt;&gt;""),AND(GC7&gt;=GG$24,GC7&lt;&gt;"",GD7&gt;=GG$28,GD7&lt;&gt;""),AND(GX7&gt;=HB$24,GX7&lt;&gt;"",GY7&gt;=HB$28,GY7&lt;&gt;""),AND(HS7&gt;=HW$24,HS7&lt;&gt;"",HT7&gt;=HW$28,HT7&lt;&gt;""),AND(IN7&gt;=IR$24,IN7&lt;&gt;"",IO7&gt;=IR$28,IO7&lt;&gt;""),AND(JI7&gt;=JM$24,JI7&lt;&gt;"",JJ7&gt;=JM$28,JJ7&lt;&gt;""),AND(KD7&gt;=KH$24,KD7&lt;&gt;"",KE7&gt;=KH$28,KE7&lt;&gt;""),AND(KY7&gt;=LC$24,KY7&lt;&gt;"",KZ7&gt;=LC$28,KZ7&lt;&gt;""),AND(LT7&gt;=LX$24,LT7&lt;&gt;"",LU7&gt;=LX$28,LU7&lt;&gt;"")),"Merit",IF(OR(AND(AH7&gt;=AL$23,AH7&lt;&gt;"",AI7&gt;=AL$27,AI7&lt;&gt;"",AG7=""),AND(BD7&gt;=BH$23,BD7&lt;&gt;"",BE7&gt;=BH$27,BE7&lt;&gt;"",BC7=""),AND(BZ7&gt;=CD$23,BZ7&lt;&gt;"",CA7&gt;=CD$27,CA7&lt;&gt;"",BY7=""),AND(CW7&gt;=DA$23,CW7&lt;&gt;"",CX7&gt;=DA$27,CX7&lt;&gt;""),AND(DR7&gt;=DV$23,DR7&lt;&gt;"",DS7&gt;=DV$27,DS7&lt;&gt;""),AND(EM7&gt;=EQ$23,EM7&lt;&gt;"",EN7&gt;=EQ$27,EN7&lt;&gt;""),AND(FH7&gt;=FL$23,FH7&lt;&gt;"",FI7&gt;=FL$27,FI7&lt;&gt;""),AND(GC7&gt;=GG$23,GC7&lt;&gt;"",GD7&gt;=GG$27,GD7&lt;&gt;""),AND(GX7&gt;=HB$23,GX7&lt;&gt;"",GY7&gt;=HB$27,GY7&lt;&gt;""),AND(HS7&gt;=HW$23,HS7&lt;&gt;"",HT7&gt;=HW$27,HT7&lt;&gt;""),AND(IN7&gt;=IR$23,IN7&lt;&gt;"",IO7&gt;=IR$27,IO7&lt;&gt;""),AND(JI7&gt;=JM$23,JI7&lt;&gt;"",JJ7&gt;=JM$27,JJ7&lt;&gt;""),AND(KD7&gt;=KH$23,KD7&lt;&gt;"",KE7&gt;=KH$27,KE7&lt;&gt;""),AND(KY7&gt;=LC$23,KY7&lt;&gt;"",KZ7&gt;=LC$27,KZ7&lt;&gt;""),AND(LT7&gt;=LX$23,LT7&lt;&gt;"",LU7&gt;=LX$27,LU7&lt;&gt;"")),"Excellence",IF(OR(AND(AH7&gt;=AL$22,AH7&lt;&gt;"",AI7&gt;=AL$26,AI7&lt;&gt;"",AG7=""),AND(BD7&gt;=BH$22,BD7&lt;&gt;"",BE7&gt;=BH$26,BE7&lt;&gt;"",BC7=""),AND(BZ7&gt;=CD$22,BZ7&lt;&gt;"",CA7&gt;=CD$26,CA7&lt;&gt;"",BY7=""),AND(CW7&gt;=DA$22,CW7&lt;&gt;"",CX7&gt;=DA$26,CX7&lt;&gt;""),AND(DR7&gt;=DV$22,DR7&lt;&gt;"",DS7&gt;=DV$26,DS7&lt;&gt;""),AND(EM7&gt;=EQ$22,EM7&lt;&gt;"",EN7&gt;=EQ$26,EN7&lt;&gt;""),AND(FH7&gt;=FL$22,FH7&lt;&gt;"",FI7&gt;=FL$26,FI7&lt;&gt;""),AND(GC7&gt;=GG$22,GC7&lt;&gt;"",GD7&gt;=GG$26,GD7&lt;&gt;""),AND(GX7&gt;=HB$22,GX7&lt;&gt;"",GY7&gt;=HB$26,GY7&lt;&gt;""),AND(HS7&gt;=HW$22,HS7&lt;&gt;"",HT7&gt;=HW$26,HT7&lt;&gt;""),AND(IN7&gt;=IR$22,IN7&lt;&gt;"",IO7&gt;=IR$26,IO7&lt;&gt;""),AND(JI7&gt;=JM$22,JI7&lt;&gt;"",JJ7&gt;=JM$26,JJ7&lt;&gt;""),AND(KD7&gt;=KH$22,KD7&lt;&gt;"",KE7&gt;=KH$26,KE7&lt;&gt;""),AND(KY7&gt;=LC$22,KY7&lt;&gt;"",KZ7&gt;=LC$26,KZ7&lt;&gt;""),AND(LT7&gt;=LX$22,LT7&lt;&gt;"",LU7&gt;=LX$26,LU7&lt;&gt;"")),"Worlds Team",IF(OR(AND(AH7&gt;=AL$21,AH7&lt;&gt;"",AI7&gt;=AL$25,AI7&lt;&gt;"",AG7=""),AND(BD7&gt;=BH$21,BD7&lt;&gt;"",BE7&gt;=BH$25,BE7&lt;&gt;"",BC7=""),AND(BZ7&gt;=CD$21,BZ7&lt;&gt;"",CA7&gt;=CD$25,CA7&lt;&gt;"",BY7=""),AND(CW7&gt;=DA$21,CW7&lt;&gt;"",CX7&gt;=DA$25,CX7&lt;&gt;""),AND(DR7&gt;=DV$21,DR7&lt;&gt;"",DS7&gt;=DV$25,DS7&lt;&gt;""),AND(EM7&gt;=EQ$21,EM7&lt;&gt;"",EN7&gt;=EQ$25,EN7&lt;&gt;""),AND(FH7&gt;=FL$21,FH7&lt;&gt;"",FI7&gt;=FL$25,FI7&lt;&gt;""),AND(GC7&gt;=GG$21,GC7&lt;&gt;"",GD7&gt;=GG$25,GD7&lt;&gt;""),AND(GX7&gt;=HB$21,GX7&lt;&gt;"",GY7&gt;=HB$25,GY7&lt;&gt;""),AND(HS7&gt;=HW$21,HS7&lt;&gt;"",HT7&gt;=HW$25,HT7&lt;&gt;""),AND(IN7&gt;=IR$21,IN7&lt;&gt;"",IO7&gt;=IR$25,IO7&lt;&gt;""),AND(JI7&gt;=JM$21,JI7&lt;&gt;"",JJ7&gt;=JM$25,JJ7&lt;&gt;""),AND(KD7&gt;=KH$21,KD7&lt;&gt;"",KE7&gt;=KH$25,KE7&lt;&gt;""),AND(KY7&gt;=LC$21,KY7&lt;&gt;"",KZ7&gt;=LC$25,KZ7&lt;&gt;""),AND(LT7&gt;=LX$21,LT7&lt;&gt;"",LU7&gt;=LX$25,LU7&lt;&gt;"")),"National Team","")))))</f>
        <v>National Team</v>
      </c>
      <c r="I7" s="3" t="str">
        <f>IF(OR(H7="Worlds Team",H7="Excellence",H7="Merit"),"P","")</f>
        <v/>
      </c>
      <c r="J7" s="14">
        <f>MAX(AL7,BH7,CD7)</f>
        <v>138.4</v>
      </c>
      <c r="K7" s="14" t="str">
        <f>IF(J7=0,"",IF(J7=CD7,$BI$1,IF(J7=BH7,$AM$1,IF(J7=AL7,$Q$1,""))))</f>
        <v>2019 Nationals</v>
      </c>
      <c r="L7" s="14">
        <f>IF(J7=AL7,MAX(BE7,BG7,CA7,CC7),IF(J7=BH7,MAX(AI7,AK7,CA7,CC7),MAX(AI7,AK7,BE7,BG7)))</f>
        <v>68.7</v>
      </c>
      <c r="M7" s="14" t="str">
        <f>IF(L7=0,"",IF(AND(J7&lt;&gt;CD7,OR(L7=CA7,L7=CC7)),$BI$1,IF(AND(J7&lt;&gt;BH7,OR(L7=BG7,L7=BE7)),$AM$1,IF(OR(L7=AK7,L7=AI7),$Q$1,""))))</f>
        <v>2019 Elite Canada</v>
      </c>
      <c r="N7" s="14" t="str">
        <f>IF(MAX(CE7:CF7)&gt;0,MAX(CE7:CF7),"")</f>
        <v/>
      </c>
      <c r="O7" s="24" t="str">
        <f>IF(N7="","",IF(N7=CE7,"(4 Pass)",IF(N7=CF7,"(2 Pass)")))</f>
        <v/>
      </c>
      <c r="P7" s="14" t="str">
        <f>IF(N7="","",IF(N7=CE7,IF(N7+IF(J7="",0,J7)=DA7,$CG$1,IF(N7+IF(J7="",0,J7)=DV7,$DB$1,IF(N7+IF(J7="",0,J7)=EQ7,$DW$1,IF(N7+IF(J7="",0,J7)=FL7,$ER$1,IF(N7+IF(J7="",0,J7)=GG7,$FM$1,IF(N7+IF(J7="",0,J7)=HB7,$GH$1,IF(N7+IF(J7="",0,J7)=HW7,$HC$1,IF(N7+IF(J7="",0,J7)=IR7,$HX$1,IF(N7+IF(J7="",0,J7)=JM7,$IS$1,IF(N7+IF(J7="",0,J7)=KH7,$JN$1,IF(N7+IF(J7="",0,J7)=LC7,$KI$1,IF(N7+IF(J7="",0,J7)=LX7,$LD$1)))))))))))),IF(N7=CF7,IF(OR(N7+IF(L7="",0,L7)=CX7,N7+IF(L7="",0,L7)=CZ7),$CG$1,IF(OR(N7+IF(L7="",0,L7)=DS7,N7+IF(L7="",0,L7)=DU7),$DB$1,IF(OR(N7+IF(L7="",0,L7)=EN7,N7+IF(L7="",0,L7)=EP7),$DW$1,IF(OR(N7+IF(L7="",0,L7)=FI7,N7+IF(L7="",0,L7)=FK7),$ER$1,IF(OR(N7+IF(L7="",0,L7)=GD7,N7+IF(L7="",0,L7)=GF7),$FM$1,IF(OR(N7+IF(L7="",0,L7)=GY7,N7+IF(L7="",0,L7)=HA7),$GH$1,IF(OR(N7+IF(L7="",0,L7)=HT7,N7+IF(L7="",0,L7)=HV7),$HC$1,IF(OR(N7+IF(L7="",0,L7)=IO7,N7+IF(L7="",0,L7)=IQ7),$HX$1,IF(OR(N7+IF(L7="",0,L7)=JJ7,N7+IF(L7="",0,L7)=JL7),$IS$1,IF(OR(N7+IF(L7="",0,L7)=KE7,N7+IF(L7="",0,L7)=KG7),$JN$1,IF(OR(N7+IF(L7="",0,L7)=KZ7,N7+IF(L7="",0,L7)=LB7),$KI$1,IF(OR(N7+IF(L7="",0,L7)=LU7,N7+IF(L7="",0,L7)=LW7),$LD$1)))))))))))))))</f>
        <v/>
      </c>
      <c r="Q7" s="61">
        <v>27.7</v>
      </c>
      <c r="R7" s="61">
        <v>6.8</v>
      </c>
      <c r="S7" s="61">
        <v>0</v>
      </c>
      <c r="T7" s="61">
        <v>0</v>
      </c>
      <c r="U7" s="61">
        <v>27.8</v>
      </c>
      <c r="V7" s="61">
        <v>6.4</v>
      </c>
      <c r="W7" s="61">
        <v>0</v>
      </c>
      <c r="X7" s="61">
        <v>0</v>
      </c>
      <c r="Y7" s="61">
        <v>27</v>
      </c>
      <c r="Z7" s="61">
        <v>7.2</v>
      </c>
      <c r="AA7" s="61">
        <v>0.9</v>
      </c>
      <c r="AB7" s="61">
        <v>0</v>
      </c>
      <c r="AC7" s="61">
        <v>26.9</v>
      </c>
      <c r="AD7" s="61">
        <v>6.8</v>
      </c>
      <c r="AE7" s="61">
        <v>0</v>
      </c>
      <c r="AF7" s="61">
        <v>0</v>
      </c>
      <c r="AG7" s="72"/>
      <c r="AH7" s="11">
        <f>IF(SUM(R7,V7)&gt;0,SUM(R7,V7),"")</f>
        <v>13.2</v>
      </c>
      <c r="AI7" s="11">
        <f>IF(SUM(Q7:R7,T7:V7,X7)-SUM(S7,W7)&gt;0,SUM(Q7:R7,T7:V7,X7)-SUM(S7,W7),"")</f>
        <v>68.7</v>
      </c>
      <c r="AJ7" s="11">
        <f>IF(SUM(Z7,AD7)&gt;0,SUM(Z7,AD7),"")</f>
        <v>14</v>
      </c>
      <c r="AK7" s="11">
        <f>IF(SUM(Y7:Z7,AB7:AD7,AF7)-SUM(AA7,AE7)&gt;0,SUM(Y7:Z7,AB7:AD7,AF7)-SUM(AA7,AE7),"")</f>
        <v>67</v>
      </c>
      <c r="AL7" s="11">
        <f>IF(SUM(AI7,AK7)&gt;0,SUM(AI7,AK7),"")</f>
        <v>135.69999999999999</v>
      </c>
      <c r="AM7" s="36">
        <v>28</v>
      </c>
      <c r="AN7" s="36">
        <v>7.2</v>
      </c>
      <c r="AO7" s="36">
        <v>0.3</v>
      </c>
      <c r="AP7" s="36">
        <v>0</v>
      </c>
      <c r="AQ7" s="36">
        <v>28.1</v>
      </c>
      <c r="AR7" s="36">
        <v>7.2</v>
      </c>
      <c r="AS7" s="36">
        <v>0.3</v>
      </c>
      <c r="AT7" s="36">
        <v>0</v>
      </c>
      <c r="AU7" s="36">
        <v>28.2</v>
      </c>
      <c r="AV7" s="36">
        <v>7.6</v>
      </c>
      <c r="AW7" s="36">
        <v>1.2</v>
      </c>
      <c r="AX7" s="36">
        <v>0</v>
      </c>
      <c r="AY7" s="36">
        <v>27.4</v>
      </c>
      <c r="AZ7" s="36">
        <v>6.8</v>
      </c>
      <c r="BA7" s="36">
        <v>0.3</v>
      </c>
      <c r="BB7" s="36">
        <v>0</v>
      </c>
      <c r="BC7" s="73"/>
      <c r="BD7" s="14">
        <f>IF(SUM(AN7,AR7)&gt;0,SUM(AN7,AR7),"")</f>
        <v>14.4</v>
      </c>
      <c r="BE7" s="14">
        <f>IF(SUM(AM7:AN7,AP7:AR7,AT7)-SUM(AO7,AS7)&gt;0,SUM(AM7:AN7,AP7:AR7,AT7)-SUM(AO7,AS7),"")</f>
        <v>69.900000000000006</v>
      </c>
      <c r="BF7" s="14">
        <f>IF(SUM(AV7,AZ7)&gt;0,SUM(AV7,AZ7),"")</f>
        <v>14.399999999999999</v>
      </c>
      <c r="BG7" s="14">
        <f>IF(SUM(AU7:AV7,AX7:AZ7,BB7)-SUM(AW7,BA7)&gt;0,SUM(AU7:AV7,AX7:AZ7,BB7)-SUM(AW7,BA7),"")</f>
        <v>68.5</v>
      </c>
      <c r="BH7" s="14">
        <f>IF(SUM(BE7,BG7)&gt;0,SUM(BE7,BG7),"")</f>
        <v>138.4</v>
      </c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72"/>
      <c r="BZ7" s="11" t="str">
        <f>IF(SUM(BJ7,BN7)&gt;0,SUM(BJ7,BN7),"")</f>
        <v/>
      </c>
      <c r="CA7" s="11" t="str">
        <f>IF(SUM(BI7:BJ7,BL7:BN7,BP7)-SUM(BK7,BO7)&gt;0,SUM(BI7:BJ7,BL7:BN7,BP7)-SUM(BK7,BO7),"")</f>
        <v/>
      </c>
      <c r="CB7" s="11" t="str">
        <f>IF(SUM(BR7,BV7)&gt;0,SUM(BR7,BV7),"")</f>
        <v/>
      </c>
      <c r="CC7" s="11" t="str">
        <f>IF(SUM(BQ7:BR7,BT7:BV7,BX7)-SUM(BS7,BW7)&gt;0,SUM(BQ7:BR7,BT7:BV7,BX7)-SUM(BS7,BW7),"")</f>
        <v/>
      </c>
      <c r="CD7" s="11" t="str">
        <f>IF(SUM(CA7,CC7)&gt;0,SUM(CA7,CC7),"")</f>
        <v/>
      </c>
      <c r="CE7" s="23" t="str">
        <f>IF(MAX(DA7,DV7,EQ7,FL7,GG7,HB7,HW7,IR7,JM7,KH7,LC7,LX7)-IF(J7="",0,J7)&gt;0.001,MAX(DA7,DV7,EQ7,FL7,GG7,HB7,HW7,IR7,JM7,KH7,LC7,LX7)-IF(J7="",0,J7),"")</f>
        <v/>
      </c>
      <c r="CF7" s="23" t="str">
        <f>IF(MAX(CX7,CZ7,DS7,DU7,EN7,EP7,FI7,FK7,GD7,GF7,GY7,HA7,HT7,HV7,IO7,IQ7,JJ7,JL7,KE7,KG7,KZ7,LB7,LU7,LW7)-IF(L7="",0,L7)&gt;0.001,MAX(CX7,CZ7,DS7,DU7,EN7,EP7,FI7,FK7,GD7,GF7,GY7,HA7,HT7,HV7,IO7,IQ7,JJ7,JL7,KE7,KG7,KZ7,LB7,LU7,LW7)-IF(L7="",0,L7),"")</f>
        <v/>
      </c>
      <c r="CG7" s="40">
        <v>27.8</v>
      </c>
      <c r="CH7" s="40">
        <v>7.2</v>
      </c>
      <c r="CI7" s="40">
        <v>0.9</v>
      </c>
      <c r="CJ7" s="40">
        <v>0</v>
      </c>
      <c r="CK7" s="40">
        <v>26.8</v>
      </c>
      <c r="CL7" s="40">
        <v>6.8</v>
      </c>
      <c r="CM7" s="40">
        <v>0.9</v>
      </c>
      <c r="CN7" s="40">
        <v>0</v>
      </c>
      <c r="CO7" s="40"/>
      <c r="CP7" s="40"/>
      <c r="CQ7" s="40"/>
      <c r="CR7" s="40"/>
      <c r="CS7" s="40"/>
      <c r="CT7" s="40"/>
      <c r="CU7" s="40"/>
      <c r="CV7" s="40"/>
      <c r="CW7" s="11">
        <f>IF(SUM(CH7,CL7)&gt;0,SUM(CH7,CL7),"")</f>
        <v>14</v>
      </c>
      <c r="CX7" s="11">
        <f>IF(SUM(CG7:CH7,CJ7:CL7,CN7)-SUM(CI7,CM7)&gt;0,SUM(CG7:CH7,CJ7:CL7,CN7)-SUM(CI7,CM7),"")</f>
        <v>66.8</v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>
        <f>IF(SUM(CX7,CZ7)&gt;0,SUM(CX7,CZ7),"")</f>
        <v>66.8</v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14</v>
      </c>
      <c r="LZ7" s="61">
        <f>IF($BY7="P",BJ7,(BJ7+AN7)/2)</f>
        <v>3.6</v>
      </c>
      <c r="MA7" s="61">
        <f>IF($BY7="P",BK7,(BK7+AO7)/2)</f>
        <v>0.15</v>
      </c>
      <c r="MB7" s="61">
        <f>IF($BY7="P",BL7,(BL7+AP7)/2)</f>
        <v>0</v>
      </c>
      <c r="MC7" s="61">
        <f>IF($BY7="P",BM7,(BM7+AQ7)/2)</f>
        <v>14.05</v>
      </c>
      <c r="MD7" s="61">
        <f>IF($BY7="P",BN7,(BN7+AR7)/2)</f>
        <v>3.6</v>
      </c>
      <c r="ME7" s="61">
        <f>IF($BY7="P",BO7,(BO7+AS7)/2)</f>
        <v>0.15</v>
      </c>
      <c r="MF7" s="61">
        <f>IF($BY7="P",BP7,(BP7+AT7)/2)</f>
        <v>0</v>
      </c>
      <c r="MG7" s="61">
        <f>IF($BY7="P",BQ7,(BQ7+AU7)/2)</f>
        <v>14.1</v>
      </c>
      <c r="MH7" s="61">
        <f>IF($BY7="P",BR7,(BR7+AV7)/2)</f>
        <v>3.8</v>
      </c>
      <c r="MI7" s="61">
        <f>IF($BY7="P",BS7,(BS7+AW7)/2)</f>
        <v>0.6</v>
      </c>
      <c r="MJ7" s="61">
        <f>IF($BY7="P",BT7,(BT7+AX7)/2)</f>
        <v>0</v>
      </c>
      <c r="MK7" s="61">
        <f>IF($BY7="P",BU7,(BU7+AY7)/2)</f>
        <v>13.7</v>
      </c>
      <c r="ML7" s="61">
        <f>IF($BY7="P",BV7,(BV7+AZ7)/2)</f>
        <v>3.4</v>
      </c>
      <c r="MM7" s="61">
        <f>IF($BY7="P",BW7,(BW7+BA7)/2)</f>
        <v>0.15</v>
      </c>
      <c r="MN7" s="61">
        <f>IF($BY7="P",BX7,(BX7+BB7)/2)</f>
        <v>0</v>
      </c>
      <c r="MO7" s="72" t="s">
        <v>52</v>
      </c>
      <c r="MP7" s="11">
        <f>IF(SUM(LZ7,MD7)&gt;0,SUM(LZ7,MD7),"")</f>
        <v>7.2</v>
      </c>
      <c r="MQ7" s="11">
        <f>IF(SUM(LY7:LZ7,MB7:MD7,MF7)-SUM(MA7,ME7)&gt;0,SUM(LY7:LZ7,MB7:MD7,MF7)-SUM(MA7,ME7),"")</f>
        <v>34.950000000000003</v>
      </c>
      <c r="MR7" s="11">
        <f>IF(SUM(MH7,ML7)&gt;0,SUM(MH7,ML7),"")</f>
        <v>7.1999999999999993</v>
      </c>
      <c r="MS7" s="11">
        <f>IF(SUM(MG7:MH7,MJ7:ML7,MN7)-SUM(MI7,MM7)&gt;0,SUM(MG7:MH7,MJ7:ML7,MN7)-SUM(MI7,MM7),"")</f>
        <v>34.25</v>
      </c>
      <c r="MT7" s="11">
        <f>IF(SUM(MQ7,MS7)&gt;0,SUM(MQ7,MS7),"")</f>
        <v>69.2</v>
      </c>
    </row>
    <row r="8" spans="1:358" x14ac:dyDescent="0.2">
      <c r="A8" s="5">
        <f>IF(AND(F8="P",G8="P"),SUMPRODUCT((F$4:F$19="P")*(G$4:G$19="P")*(E$4:E$19&gt;E8))+1,IF(G8="P",SUMPRODUCT((F$4:F$19="")*(G$4:G$19="P")*(E$4:E$19&gt;E8))+1+SUMPRODUCT((F$4:F$19="P")*(G$4:G$19="P")),""))</f>
        <v>5</v>
      </c>
      <c r="B8" s="8" t="s">
        <v>103</v>
      </c>
      <c r="C8" s="4" t="s">
        <v>104</v>
      </c>
      <c r="D8" s="5">
        <v>2002</v>
      </c>
      <c r="E8" s="15">
        <f>SUM(J8:N8)</f>
        <v>206</v>
      </c>
      <c r="F8" s="3" t="str">
        <f>IF(OR(AND(AH8&gt;=AL$21,AI8&gt;=AL$25,AI8&lt;&gt;"",AG8=""),AND(BD8&gt;=BH$21,BE8&gt;=BH$25,BE8&lt;&gt;"",BC8=""),AND(BZ8&gt;=CD$21,CA8&gt;=CD$25,CA8&lt;&gt;"",BY8=""),AND(CW8&gt;=DA$21,CX8&gt;=DA$25,CX8&lt;&gt;""),AND(DR8&gt;=DV$21,DS8&gt;=DV$25,DS8&lt;&gt;""),AND(EM8&gt;=EQ$21,EN8&gt;=EQ$25,EN8&lt;&gt;""),AND(FH8&gt;=FL$21,FI8&gt;=FL$25,FI8&lt;&gt;""),AND(GC8&gt;=GG$21,GD8&gt;=GG$25,GD8&lt;&gt;""),AND(GX8&gt;=HB$21,GY8&gt;=HB$25,GY8&lt;&gt;""),AND(HS8&gt;=HW$21,HT8&gt;=HW$25,HT8&lt;&gt;""),AND(IN8&gt;=IR$21,IO8&gt;=IR$25,IO8&lt;&gt;""),AND(JI8&gt;=JM$21,JJ8&gt;=JM$25,JJ8&lt;&gt;""),AND(KD8&gt;=KH$21,KE8&gt;=KH$25,KE8&lt;&gt;""),AND(KY8&gt;=LC$21,KZ8&gt;=LC$25,KZ8&lt;&gt;""),AND(LT8&gt;=LX$21,LU8&gt;=LX$25,LU8&lt;&gt;"")),"P","")</f>
        <v>P</v>
      </c>
      <c r="G8" s="3" t="str">
        <f>IF(OR(AND(AI8&gt;=AL$25,AI8&lt;&gt;"",AG8=""),AND(BE8&gt;=BH$25,BE8&lt;&gt;"",BC8=""),AND(CA8&gt;=CD$25,CA8&lt;&gt;"",BY8=""),AND(CX8&gt;=DA$25,CX8&lt;&gt;""),AND(DS8&gt;=DV$25,DS8&lt;&gt;""),AND(EN8&gt;=EQ$25,EN8&lt;&gt;""),AND(FI8&gt;=FL$25,FI8&lt;&gt;""),AND(GD8&gt;=GG$25,GD8&lt;&gt;""),AND(GY8&gt;=HB$25,GY8&lt;&gt;""),AND(HT8&gt;=HW$25,HT8&lt;&gt;""),AND(IO8&gt;=IR$25,IO8&lt;&gt;""),AND(JJ8&gt;=JM$25,JJ8&lt;&gt;""),AND(KE8&gt;=KH$25,KE8&lt;&gt;""),AND(KZ8&gt;=LC$25,KZ8&lt;&gt;""),AND(LU8&gt;=LX$25,LU8&lt;&gt;"")),"P","")</f>
        <v>P</v>
      </c>
      <c r="H8" s="116" t="str">
        <f>IF(AND(G8="P",F8=""),"No DD",IF(OR(AND(AH8&gt;=AL$24,AH8&lt;&gt;"",AI8&gt;=AL$28,AI8&lt;&gt;"",AG8=""),AND(BD8&gt;=BH$24,BD8&lt;&gt;"",BE8&gt;=BH$28,BE8&lt;&gt;"",BC8=""),AND(BZ8&gt;=CD$24,BZ8&lt;&gt;"",CA8&gt;=CD$28,CA8&lt;&gt;"",BY8=""),AND(CW8&gt;=DA$24,CW8&lt;&gt;"",CX8&gt;=DA$28,CX8&lt;&gt;""),AND(DR8&gt;=DV$24,DR8&lt;&gt;"",DS8&gt;=DV$28,DS8&lt;&gt;""),AND(EM8&gt;=EQ$24,EM8&lt;&gt;"",EN8&gt;=EQ$28,EN8&lt;&gt;""),AND(FH8&gt;=FL$24,FH8&lt;&gt;"",FI8&gt;=FL$28,FI8&lt;&gt;""),AND(GC8&gt;=GG$24,GC8&lt;&gt;"",GD8&gt;=GG$28,GD8&lt;&gt;""),AND(GX8&gt;=HB$24,GX8&lt;&gt;"",GY8&gt;=HB$28,GY8&lt;&gt;""),AND(HS8&gt;=HW$24,HS8&lt;&gt;"",HT8&gt;=HW$28,HT8&lt;&gt;""),AND(IN8&gt;=IR$24,IN8&lt;&gt;"",IO8&gt;=IR$28,IO8&lt;&gt;""),AND(JI8&gt;=JM$24,JI8&lt;&gt;"",JJ8&gt;=JM$28,JJ8&lt;&gt;""),AND(KD8&gt;=KH$24,KD8&lt;&gt;"",KE8&gt;=KH$28,KE8&lt;&gt;""),AND(KY8&gt;=LC$24,KY8&lt;&gt;"",KZ8&gt;=LC$28,KZ8&lt;&gt;""),AND(LT8&gt;=LX$24,LT8&lt;&gt;"",LU8&gt;=LX$28,LU8&lt;&gt;"")),"Merit",IF(OR(AND(AH8&gt;=AL$23,AH8&lt;&gt;"",AI8&gt;=AL$27,AI8&lt;&gt;"",AG8=""),AND(BD8&gt;=BH$23,BD8&lt;&gt;"",BE8&gt;=BH$27,BE8&lt;&gt;"",BC8=""),AND(BZ8&gt;=CD$23,BZ8&lt;&gt;"",CA8&gt;=CD$27,CA8&lt;&gt;"",BY8=""),AND(CW8&gt;=DA$23,CW8&lt;&gt;"",CX8&gt;=DA$27,CX8&lt;&gt;""),AND(DR8&gt;=DV$23,DR8&lt;&gt;"",DS8&gt;=DV$27,DS8&lt;&gt;""),AND(EM8&gt;=EQ$23,EM8&lt;&gt;"",EN8&gt;=EQ$27,EN8&lt;&gt;""),AND(FH8&gt;=FL$23,FH8&lt;&gt;"",FI8&gt;=FL$27,FI8&lt;&gt;""),AND(GC8&gt;=GG$23,GC8&lt;&gt;"",GD8&gt;=GG$27,GD8&lt;&gt;""),AND(GX8&gt;=HB$23,GX8&lt;&gt;"",GY8&gt;=HB$27,GY8&lt;&gt;""),AND(HS8&gt;=HW$23,HS8&lt;&gt;"",HT8&gt;=HW$27,HT8&lt;&gt;""),AND(IN8&gt;=IR$23,IN8&lt;&gt;"",IO8&gt;=IR$27,IO8&lt;&gt;""),AND(JI8&gt;=JM$23,JI8&lt;&gt;"",JJ8&gt;=JM$27,JJ8&lt;&gt;""),AND(KD8&gt;=KH$23,KD8&lt;&gt;"",KE8&gt;=KH$27,KE8&lt;&gt;""),AND(KY8&gt;=LC$23,KY8&lt;&gt;"",KZ8&gt;=LC$27,KZ8&lt;&gt;""),AND(LT8&gt;=LX$23,LT8&lt;&gt;"",LU8&gt;=LX$27,LU8&lt;&gt;"")),"Excellence",IF(OR(AND(AH8&gt;=AL$22,AH8&lt;&gt;"",AI8&gt;=AL$26,AI8&lt;&gt;"",AG8=""),AND(BD8&gt;=BH$22,BD8&lt;&gt;"",BE8&gt;=BH$26,BE8&lt;&gt;"",BC8=""),AND(BZ8&gt;=CD$22,BZ8&lt;&gt;"",CA8&gt;=CD$26,CA8&lt;&gt;"",BY8=""),AND(CW8&gt;=DA$22,CW8&lt;&gt;"",CX8&gt;=DA$26,CX8&lt;&gt;""),AND(DR8&gt;=DV$22,DR8&lt;&gt;"",DS8&gt;=DV$26,DS8&lt;&gt;""),AND(EM8&gt;=EQ$22,EM8&lt;&gt;"",EN8&gt;=EQ$26,EN8&lt;&gt;""),AND(FH8&gt;=FL$22,FH8&lt;&gt;"",FI8&gt;=FL$26,FI8&lt;&gt;""),AND(GC8&gt;=GG$22,GC8&lt;&gt;"",GD8&gt;=GG$26,GD8&lt;&gt;""),AND(GX8&gt;=HB$22,GX8&lt;&gt;"",GY8&gt;=HB$26,GY8&lt;&gt;""),AND(HS8&gt;=HW$22,HS8&lt;&gt;"",HT8&gt;=HW$26,HT8&lt;&gt;""),AND(IN8&gt;=IR$22,IN8&lt;&gt;"",IO8&gt;=IR$26,IO8&lt;&gt;""),AND(JI8&gt;=JM$22,JI8&lt;&gt;"",JJ8&gt;=JM$26,JJ8&lt;&gt;""),AND(KD8&gt;=KH$22,KD8&lt;&gt;"",KE8&gt;=KH$26,KE8&lt;&gt;""),AND(KY8&gt;=LC$22,KY8&lt;&gt;"",KZ8&gt;=LC$26,KZ8&lt;&gt;""),AND(LT8&gt;=LX$22,LT8&lt;&gt;"",LU8&gt;=LX$26,LU8&lt;&gt;"")),"Worlds Team",IF(OR(AND(AH8&gt;=AL$21,AH8&lt;&gt;"",AI8&gt;=AL$25,AI8&lt;&gt;"",AG8=""),AND(BD8&gt;=BH$21,BD8&lt;&gt;"",BE8&gt;=BH$25,BE8&lt;&gt;"",BC8=""),AND(BZ8&gt;=CD$21,BZ8&lt;&gt;"",CA8&gt;=CD$25,CA8&lt;&gt;"",BY8=""),AND(CW8&gt;=DA$21,CW8&lt;&gt;"",CX8&gt;=DA$25,CX8&lt;&gt;""),AND(DR8&gt;=DV$21,DR8&lt;&gt;"",DS8&gt;=DV$25,DS8&lt;&gt;""),AND(EM8&gt;=EQ$21,EM8&lt;&gt;"",EN8&gt;=EQ$25,EN8&lt;&gt;""),AND(FH8&gt;=FL$21,FH8&lt;&gt;"",FI8&gt;=FL$25,FI8&lt;&gt;""),AND(GC8&gt;=GG$21,GC8&lt;&gt;"",GD8&gt;=GG$25,GD8&lt;&gt;""),AND(GX8&gt;=HB$21,GX8&lt;&gt;"",GY8&gt;=HB$25,GY8&lt;&gt;""),AND(HS8&gt;=HW$21,HS8&lt;&gt;"",HT8&gt;=HW$25,HT8&lt;&gt;""),AND(IN8&gt;=IR$21,IN8&lt;&gt;"",IO8&gt;=IR$25,IO8&lt;&gt;""),AND(JI8&gt;=JM$21,JI8&lt;&gt;"",JJ8&gt;=JM$25,JJ8&lt;&gt;""),AND(KD8&gt;=KH$21,KD8&lt;&gt;"",KE8&gt;=KH$25,KE8&lt;&gt;""),AND(KY8&gt;=LC$21,KY8&lt;&gt;"",KZ8&gt;=LC$25,KZ8&lt;&gt;""),AND(LT8&gt;=LX$21,LT8&lt;&gt;"",LU8&gt;=LX$25,LU8&lt;&gt;"")),"National Team","")))))</f>
        <v>National Team</v>
      </c>
      <c r="I8" s="3" t="str">
        <f>IF(OR(H8="Worlds Team",H8="Excellence",H8="Merit"),"P","")</f>
        <v/>
      </c>
      <c r="J8" s="14">
        <f>MAX(AL8,BH8,CD8)</f>
        <v>137.1</v>
      </c>
      <c r="K8" s="14" t="str">
        <f>IF(J8=0,"",IF(J8=CD8,$BI$1,IF(J8=BH8,$AM$1,IF(J8=AL8,$Q$1,""))))</f>
        <v>2019 Nationals</v>
      </c>
      <c r="L8" s="14">
        <f>IF(J8=AL8,MAX(BE8,BG8,CA8,CC8),IF(J8=BH8,MAX(AI8,AK8,CA8,CC8),MAX(AI8,AK8,BE8,BG8)))</f>
        <v>68.900000000000006</v>
      </c>
      <c r="M8" s="14" t="str">
        <f>IF(L8=0,"",IF(AND(J8&lt;&gt;CD8,OR(L8=CA8,L8=CC8)),$BI$1,IF(AND(J8&lt;&gt;BH8,OR(L8=BG8,L8=BE8)),$AM$1,IF(OR(L8=AK8,L8=AI8),$Q$1,""))))</f>
        <v>2019 Elite Canada</v>
      </c>
      <c r="N8" s="14" t="str">
        <f>IF(MAX(CE8:CF8)&gt;0,MAX(CE8:CF8),"")</f>
        <v/>
      </c>
      <c r="O8" s="24" t="str">
        <f>IF(N8="","",IF(N8=CE8,"(4 Pass)",IF(N8=CF8,"(2 Pass)")))</f>
        <v/>
      </c>
      <c r="P8" s="14" t="str">
        <f>IF(N8="","",IF(N8=CE8,IF(N8+IF(J8="",0,J8)=DA8,$CG$1,IF(N8+IF(J8="",0,J8)=DV8,$DB$1,IF(N8+IF(J8="",0,J8)=EQ8,$DW$1,IF(N8+IF(J8="",0,J8)=FL8,$ER$1,IF(N8+IF(J8="",0,J8)=GG8,$FM$1,IF(N8+IF(J8="",0,J8)=HB8,$GH$1,IF(N8+IF(J8="",0,J8)=HW8,$HC$1,IF(N8+IF(J8="",0,J8)=IR8,$HX$1,IF(N8+IF(J8="",0,J8)=JM8,$IS$1,IF(N8+IF(J8="",0,J8)=KH8,$JN$1,IF(N8+IF(J8="",0,J8)=LC8,$KI$1,IF(N8+IF(J8="",0,J8)=LX8,$LD$1)))))))))))),IF(N8=CF8,IF(OR(N8+IF(L8="",0,L8)=CX8,N8+IF(L8="",0,L8)=CZ8),$CG$1,IF(OR(N8+IF(L8="",0,L8)=DS8,N8+IF(L8="",0,L8)=DU8),$DB$1,IF(OR(N8+IF(L8="",0,L8)=EN8,N8+IF(L8="",0,L8)=EP8),$DW$1,IF(OR(N8+IF(L8="",0,L8)=FI8,N8+IF(L8="",0,L8)=FK8),$ER$1,IF(OR(N8+IF(L8="",0,L8)=GD8,N8+IF(L8="",0,L8)=GF8),$FM$1,IF(OR(N8+IF(L8="",0,L8)=GY8,N8+IF(L8="",0,L8)=HA8),$GH$1,IF(OR(N8+IF(L8="",0,L8)=HT8,N8+IF(L8="",0,L8)=HV8),$HC$1,IF(OR(N8+IF(L8="",0,L8)=IO8,N8+IF(L8="",0,L8)=IQ8),$HX$1,IF(OR(N8+IF(L8="",0,L8)=JJ8,N8+IF(L8="",0,L8)=JL8),$IS$1,IF(OR(N8+IF(L8="",0,L8)=KE8,N8+IF(L8="",0,L8)=KG8),$JN$1,IF(OR(N8+IF(L8="",0,L8)=KZ8,N8+IF(L8="",0,L8)=LB8),$KI$1,IF(OR(N8+IF(L8="",0,L8)=LU8,N8+IF(L8="",0,L8)=LW8),$LD$1)))))))))))))))</f>
        <v/>
      </c>
      <c r="Q8" s="61">
        <v>27.8</v>
      </c>
      <c r="R8" s="61">
        <v>6.4</v>
      </c>
      <c r="S8" s="61">
        <v>0.3</v>
      </c>
      <c r="T8" s="61">
        <v>0</v>
      </c>
      <c r="U8" s="61">
        <v>28.6</v>
      </c>
      <c r="V8" s="61">
        <v>6.4</v>
      </c>
      <c r="W8" s="61">
        <v>0</v>
      </c>
      <c r="X8" s="61">
        <v>0</v>
      </c>
      <c r="Y8" s="61">
        <v>28.3</v>
      </c>
      <c r="Z8" s="61">
        <v>5.6</v>
      </c>
      <c r="AA8" s="61">
        <v>0.9</v>
      </c>
      <c r="AB8" s="61">
        <v>0</v>
      </c>
      <c r="AC8" s="61">
        <v>28</v>
      </c>
      <c r="AD8" s="61">
        <v>5.6</v>
      </c>
      <c r="AE8" s="61">
        <v>0</v>
      </c>
      <c r="AF8" s="61">
        <v>0</v>
      </c>
      <c r="AG8" s="72"/>
      <c r="AH8" s="11">
        <f>IF(SUM(R8,V8)&gt;0,SUM(R8,V8),"")</f>
        <v>12.8</v>
      </c>
      <c r="AI8" s="11">
        <f>IF(SUM(Q8:R8,T8:V8,X8)-SUM(S8,W8)&gt;0,SUM(Q8:R8,T8:V8,X8)-SUM(S8,W8),"")</f>
        <v>68.900000000000006</v>
      </c>
      <c r="AJ8" s="11">
        <f>IF(SUM(Z8,AD8)&gt;0,SUM(Z8,AD8),"")</f>
        <v>11.2</v>
      </c>
      <c r="AK8" s="11">
        <f>IF(SUM(Y8:Z8,AB8:AD8,AF8)-SUM(AA8,AE8)&gt;0,SUM(Y8:Z8,AB8:AD8,AF8)-SUM(AA8,AE8),"")</f>
        <v>66.599999999999994</v>
      </c>
      <c r="AL8" s="11">
        <f>IF(SUM(AI8,AK8)&gt;0,SUM(AI8,AK8),"")</f>
        <v>135.5</v>
      </c>
      <c r="AM8" s="36">
        <v>27.9</v>
      </c>
      <c r="AN8" s="36">
        <v>6.4</v>
      </c>
      <c r="AO8" s="36">
        <v>0.3</v>
      </c>
      <c r="AP8" s="36">
        <v>0</v>
      </c>
      <c r="AQ8" s="36">
        <v>28.5</v>
      </c>
      <c r="AR8" s="36">
        <v>7.2</v>
      </c>
      <c r="AS8" s="36">
        <v>0</v>
      </c>
      <c r="AT8" s="36">
        <v>0</v>
      </c>
      <c r="AU8" s="36">
        <v>27.9</v>
      </c>
      <c r="AV8" s="36">
        <v>6</v>
      </c>
      <c r="AW8" s="36">
        <v>0</v>
      </c>
      <c r="AX8" s="36">
        <v>0</v>
      </c>
      <c r="AY8" s="36">
        <v>28.4</v>
      </c>
      <c r="AZ8" s="36">
        <v>6</v>
      </c>
      <c r="BA8" s="36">
        <v>0.9</v>
      </c>
      <c r="BB8" s="36">
        <v>0</v>
      </c>
      <c r="BC8" s="73"/>
      <c r="BD8" s="14">
        <f>IF(SUM(AN8,AR8)&gt;0,SUM(AN8,AR8),"")</f>
        <v>13.600000000000001</v>
      </c>
      <c r="BE8" s="14">
        <f>IF(SUM(AM8:AN8,AP8:AR8,AT8)-SUM(AO8,AS8)&gt;0,SUM(AM8:AN8,AP8:AR8,AT8)-SUM(AO8,AS8),"")</f>
        <v>69.7</v>
      </c>
      <c r="BF8" s="14">
        <f>IF(SUM(AV8,AZ8)&gt;0,SUM(AV8,AZ8),"")</f>
        <v>12</v>
      </c>
      <c r="BG8" s="14">
        <f>IF(SUM(AU8:AV8,AX8:AZ8,BB8)-SUM(AW8,BA8)&gt;0,SUM(AU8:AV8,AX8:AZ8,BB8)-SUM(AW8,BA8),"")</f>
        <v>67.399999999999991</v>
      </c>
      <c r="BH8" s="14">
        <f>IF(SUM(BE8,BG8)&gt;0,SUM(BE8,BG8),"")</f>
        <v>137.1</v>
      </c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72"/>
      <c r="BZ8" s="11" t="str">
        <f>IF(SUM(BJ8,BN8)&gt;0,SUM(BJ8,BN8),"")</f>
        <v/>
      </c>
      <c r="CA8" s="11" t="str">
        <f>IF(SUM(BI8:BJ8,BL8:BN8,BP8)-SUM(BK8,BO8)&gt;0,SUM(BI8:BJ8,BL8:BN8,BP8)-SUM(BK8,BO8),"")</f>
        <v/>
      </c>
      <c r="CB8" s="11" t="str">
        <f>IF(SUM(BR8,BV8)&gt;0,SUM(BR8,BV8),"")</f>
        <v/>
      </c>
      <c r="CC8" s="11" t="str">
        <f>IF(SUM(BQ8:BR8,BT8:BV8,BX8)-SUM(BS8,BW8)&gt;0,SUM(BQ8:BR8,BT8:BV8,BX8)-SUM(BS8,BW8),"")</f>
        <v/>
      </c>
      <c r="CD8" s="11" t="str">
        <f>IF(SUM(CA8,CC8)&gt;0,SUM(CA8,CC8),"")</f>
        <v/>
      </c>
      <c r="CE8" s="23" t="str">
        <f>IF(MAX(DA8,DV8,EQ8,FL8,GG8,HB8,HW8,IR8,JM8,KH8,LC8,LX8)-IF(J8="",0,J8)&gt;0.001,MAX(DA8,DV8,EQ8,FL8,GG8,HB8,HW8,IR8,JM8,KH8,LC8,LX8)-IF(J8="",0,J8),"")</f>
        <v/>
      </c>
      <c r="CF8" s="23" t="str">
        <f>IF(MAX(CX8,CZ8,DS8,DU8,EN8,EP8,FI8,FK8,GD8,GF8,GY8,HA8,HT8,HV8,IO8,IQ8,JJ8,JL8,KE8,KG8,KZ8,LB8,LU8,LW8)-IF(L8="",0,L8)&gt;0.001,MAX(CX8,CZ8,DS8,DU8,EN8,EP8,FI8,FK8,GD8,GF8,GY8,HA8,HT8,HV8,IO8,IQ8,JJ8,JL8,KE8,KG8,KZ8,LB8,LU8,LW8)-IF(L8="",0,L8),"")</f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13.95</v>
      </c>
      <c r="LZ8" s="61">
        <f>IF($BY8="P",BJ8,(BJ8+AN8)/2)</f>
        <v>3.2</v>
      </c>
      <c r="MA8" s="61">
        <f>IF($BY8="P",BK8,(BK8+AO8)/2)</f>
        <v>0.15</v>
      </c>
      <c r="MB8" s="61">
        <f>IF($BY8="P",BL8,(BL8+AP8)/2)</f>
        <v>0</v>
      </c>
      <c r="MC8" s="61">
        <f>IF($BY8="P",BM8,(BM8+AQ8)/2)</f>
        <v>14.25</v>
      </c>
      <c r="MD8" s="61">
        <f>IF($BY8="P",BN8,(BN8+AR8)/2)</f>
        <v>3.6</v>
      </c>
      <c r="ME8" s="61">
        <f>IF($BY8="P",BO8,(BO8+AS8)/2)</f>
        <v>0</v>
      </c>
      <c r="MF8" s="61">
        <f>IF($BY8="P",BP8,(BP8+AT8)/2)</f>
        <v>0</v>
      </c>
      <c r="MG8" s="61">
        <f>IF($BY8="P",BQ8,(BQ8+AU8)/2)</f>
        <v>13.95</v>
      </c>
      <c r="MH8" s="61">
        <f>IF($BY8="P",BR8,(BR8+AV8)/2)</f>
        <v>3</v>
      </c>
      <c r="MI8" s="61">
        <f>IF($BY8="P",BS8,(BS8+AW8)/2)</f>
        <v>0</v>
      </c>
      <c r="MJ8" s="61">
        <f>IF($BY8="P",BT8,(BT8+AX8)/2)</f>
        <v>0</v>
      </c>
      <c r="MK8" s="61">
        <f>IF($BY8="P",BU8,(BU8+AY8)/2)</f>
        <v>14.2</v>
      </c>
      <c r="ML8" s="61">
        <f>IF($BY8="P",BV8,(BV8+AZ8)/2)</f>
        <v>3</v>
      </c>
      <c r="MM8" s="61">
        <f>IF($BY8="P",BW8,(BW8+BA8)/2)</f>
        <v>0.45</v>
      </c>
      <c r="MN8" s="61">
        <f>IF($BY8="P",BX8,(BX8+BB8)/2)</f>
        <v>0</v>
      </c>
      <c r="MO8" s="72" t="s">
        <v>52</v>
      </c>
      <c r="MP8" s="11">
        <f>IF(SUM(LZ8,MD8)&gt;0,SUM(LZ8,MD8),"")</f>
        <v>6.8000000000000007</v>
      </c>
      <c r="MQ8" s="11">
        <f>IF(SUM(LY8:LZ8,MB8:MD8,MF8)-SUM(MA8,ME8)&gt;0,SUM(LY8:LZ8,MB8:MD8,MF8)-SUM(MA8,ME8),"")</f>
        <v>34.85</v>
      </c>
      <c r="MR8" s="11">
        <f>IF(SUM(MH8,ML8)&gt;0,SUM(MH8,ML8),"")</f>
        <v>6</v>
      </c>
      <c r="MS8" s="11">
        <f>IF(SUM(MG8:MH8,MJ8:ML8,MN8)-SUM(MI8,MM8)&gt;0,SUM(MG8:MH8,MJ8:ML8,MN8)-SUM(MI8,MM8),"")</f>
        <v>33.699999999999996</v>
      </c>
      <c r="MT8" s="11">
        <f>IF(SUM(MQ8,MS8)&gt;0,SUM(MQ8,MS8),"")</f>
        <v>68.55</v>
      </c>
    </row>
    <row r="9" spans="1:358" x14ac:dyDescent="0.2">
      <c r="A9" s="5">
        <f>IF(AND(F9="P",G9="P"),SUMPRODUCT((F$4:F$19="P")*(G$4:G$19="P")*(E$4:E$19&gt;E9))+1,IF(G9="P",SUMPRODUCT((F$4:F$19="")*(G$4:G$19="P")*(E$4:E$19&gt;E9))+1+SUMPRODUCT((F$4:F$19="P")*(G$4:G$19="P")),""))</f>
        <v>6</v>
      </c>
      <c r="B9" s="8" t="s">
        <v>102</v>
      </c>
      <c r="C9" s="4" t="s">
        <v>4</v>
      </c>
      <c r="D9" s="5">
        <v>2003</v>
      </c>
      <c r="E9" s="15">
        <f>SUM(J9:N9)</f>
        <v>204.1</v>
      </c>
      <c r="F9" s="3" t="str">
        <f>IF(OR(AND(AH9&gt;=AL$21,AI9&gt;=AL$25,AI9&lt;&gt;"",AG9=""),AND(BD9&gt;=BH$21,BE9&gt;=BH$25,BE9&lt;&gt;"",BC9=""),AND(BZ9&gt;=CD$21,CA9&gt;=CD$25,CA9&lt;&gt;"",BY9=""),AND(CW9&gt;=DA$21,CX9&gt;=DA$25,CX9&lt;&gt;""),AND(DR9&gt;=DV$21,DS9&gt;=DV$25,DS9&lt;&gt;""),AND(EM9&gt;=EQ$21,EN9&gt;=EQ$25,EN9&lt;&gt;""),AND(FH9&gt;=FL$21,FI9&gt;=FL$25,FI9&lt;&gt;""),AND(GC9&gt;=GG$21,GD9&gt;=GG$25,GD9&lt;&gt;""),AND(GX9&gt;=HB$21,GY9&gt;=HB$25,GY9&lt;&gt;""),AND(HS9&gt;=HW$21,HT9&gt;=HW$25,HT9&lt;&gt;""),AND(IN9&gt;=IR$21,IO9&gt;=IR$25,IO9&lt;&gt;""),AND(JI9&gt;=JM$21,JJ9&gt;=JM$25,JJ9&lt;&gt;""),AND(KD9&gt;=KH$21,KE9&gt;=KH$25,KE9&lt;&gt;""),AND(KY9&gt;=LC$21,KZ9&gt;=LC$25,KZ9&lt;&gt;""),AND(LT9&gt;=LX$21,LU9&gt;=LX$25,LU9&lt;&gt;"")),"P","")</f>
        <v>P</v>
      </c>
      <c r="G9" s="3" t="str">
        <f>IF(OR(AND(AI9&gt;=AL$25,AI9&lt;&gt;"",AG9=""),AND(BE9&gt;=BH$25,BE9&lt;&gt;"",BC9=""),AND(CA9&gt;=CD$25,CA9&lt;&gt;"",BY9=""),AND(CX9&gt;=DA$25,CX9&lt;&gt;""),AND(DS9&gt;=DV$25,DS9&lt;&gt;""),AND(EN9&gt;=EQ$25,EN9&lt;&gt;""),AND(FI9&gt;=FL$25,FI9&lt;&gt;""),AND(GD9&gt;=GG$25,GD9&lt;&gt;""),AND(GY9&gt;=HB$25,GY9&lt;&gt;""),AND(HT9&gt;=HW$25,HT9&lt;&gt;""),AND(IO9&gt;=IR$25,IO9&lt;&gt;""),AND(JJ9&gt;=JM$25,JJ9&lt;&gt;""),AND(KE9&gt;=KH$25,KE9&lt;&gt;""),AND(KZ9&gt;=LC$25,KZ9&lt;&gt;""),AND(LU9&gt;=LX$25,LU9&lt;&gt;"")),"P","")</f>
        <v>P</v>
      </c>
      <c r="H9" s="116" t="str">
        <f>IF(AND(G9="P",F9=""),"No DD",IF(OR(AND(AH9&gt;=AL$24,AH9&lt;&gt;"",AI9&gt;=AL$28,AI9&lt;&gt;"",AG9=""),AND(BD9&gt;=BH$24,BD9&lt;&gt;"",BE9&gt;=BH$28,BE9&lt;&gt;"",BC9=""),AND(BZ9&gt;=CD$24,BZ9&lt;&gt;"",CA9&gt;=CD$28,CA9&lt;&gt;"",BY9=""),AND(CW9&gt;=DA$24,CW9&lt;&gt;"",CX9&gt;=DA$28,CX9&lt;&gt;""),AND(DR9&gt;=DV$24,DR9&lt;&gt;"",DS9&gt;=DV$28,DS9&lt;&gt;""),AND(EM9&gt;=EQ$24,EM9&lt;&gt;"",EN9&gt;=EQ$28,EN9&lt;&gt;""),AND(FH9&gt;=FL$24,FH9&lt;&gt;"",FI9&gt;=FL$28,FI9&lt;&gt;""),AND(GC9&gt;=GG$24,GC9&lt;&gt;"",GD9&gt;=GG$28,GD9&lt;&gt;""),AND(GX9&gt;=HB$24,GX9&lt;&gt;"",GY9&gt;=HB$28,GY9&lt;&gt;""),AND(HS9&gt;=HW$24,HS9&lt;&gt;"",HT9&gt;=HW$28,HT9&lt;&gt;""),AND(IN9&gt;=IR$24,IN9&lt;&gt;"",IO9&gt;=IR$28,IO9&lt;&gt;""),AND(JI9&gt;=JM$24,JI9&lt;&gt;"",JJ9&gt;=JM$28,JJ9&lt;&gt;""),AND(KD9&gt;=KH$24,KD9&lt;&gt;"",KE9&gt;=KH$28,KE9&lt;&gt;""),AND(KY9&gt;=LC$24,KY9&lt;&gt;"",KZ9&gt;=LC$28,KZ9&lt;&gt;""),AND(LT9&gt;=LX$24,LT9&lt;&gt;"",LU9&gt;=LX$28,LU9&lt;&gt;"")),"Merit",IF(OR(AND(AH9&gt;=AL$23,AH9&lt;&gt;"",AI9&gt;=AL$27,AI9&lt;&gt;"",AG9=""),AND(BD9&gt;=BH$23,BD9&lt;&gt;"",BE9&gt;=BH$27,BE9&lt;&gt;"",BC9=""),AND(BZ9&gt;=CD$23,BZ9&lt;&gt;"",CA9&gt;=CD$27,CA9&lt;&gt;"",BY9=""),AND(CW9&gt;=DA$23,CW9&lt;&gt;"",CX9&gt;=DA$27,CX9&lt;&gt;""),AND(DR9&gt;=DV$23,DR9&lt;&gt;"",DS9&gt;=DV$27,DS9&lt;&gt;""),AND(EM9&gt;=EQ$23,EM9&lt;&gt;"",EN9&gt;=EQ$27,EN9&lt;&gt;""),AND(FH9&gt;=FL$23,FH9&lt;&gt;"",FI9&gt;=FL$27,FI9&lt;&gt;""),AND(GC9&gt;=GG$23,GC9&lt;&gt;"",GD9&gt;=GG$27,GD9&lt;&gt;""),AND(GX9&gt;=HB$23,GX9&lt;&gt;"",GY9&gt;=HB$27,GY9&lt;&gt;""),AND(HS9&gt;=HW$23,HS9&lt;&gt;"",HT9&gt;=HW$27,HT9&lt;&gt;""),AND(IN9&gt;=IR$23,IN9&lt;&gt;"",IO9&gt;=IR$27,IO9&lt;&gt;""),AND(JI9&gt;=JM$23,JI9&lt;&gt;"",JJ9&gt;=JM$27,JJ9&lt;&gt;""),AND(KD9&gt;=KH$23,KD9&lt;&gt;"",KE9&gt;=KH$27,KE9&lt;&gt;""),AND(KY9&gt;=LC$23,KY9&lt;&gt;"",KZ9&gt;=LC$27,KZ9&lt;&gt;""),AND(LT9&gt;=LX$23,LT9&lt;&gt;"",LU9&gt;=LX$27,LU9&lt;&gt;"")),"Excellence",IF(OR(AND(AH9&gt;=AL$22,AH9&lt;&gt;"",AI9&gt;=AL$26,AI9&lt;&gt;"",AG9=""),AND(BD9&gt;=BH$22,BD9&lt;&gt;"",BE9&gt;=BH$26,BE9&lt;&gt;"",BC9=""),AND(BZ9&gt;=CD$22,BZ9&lt;&gt;"",CA9&gt;=CD$26,CA9&lt;&gt;"",BY9=""),AND(CW9&gt;=DA$22,CW9&lt;&gt;"",CX9&gt;=DA$26,CX9&lt;&gt;""),AND(DR9&gt;=DV$22,DR9&lt;&gt;"",DS9&gt;=DV$26,DS9&lt;&gt;""),AND(EM9&gt;=EQ$22,EM9&lt;&gt;"",EN9&gt;=EQ$26,EN9&lt;&gt;""),AND(FH9&gt;=FL$22,FH9&lt;&gt;"",FI9&gt;=FL$26,FI9&lt;&gt;""),AND(GC9&gt;=GG$22,GC9&lt;&gt;"",GD9&gt;=GG$26,GD9&lt;&gt;""),AND(GX9&gt;=HB$22,GX9&lt;&gt;"",GY9&gt;=HB$26,GY9&lt;&gt;""),AND(HS9&gt;=HW$22,HS9&lt;&gt;"",HT9&gt;=HW$26,HT9&lt;&gt;""),AND(IN9&gt;=IR$22,IN9&lt;&gt;"",IO9&gt;=IR$26,IO9&lt;&gt;""),AND(JI9&gt;=JM$22,JI9&lt;&gt;"",JJ9&gt;=JM$26,JJ9&lt;&gt;""),AND(KD9&gt;=KH$22,KD9&lt;&gt;"",KE9&gt;=KH$26,KE9&lt;&gt;""),AND(KY9&gt;=LC$22,KY9&lt;&gt;"",KZ9&gt;=LC$26,KZ9&lt;&gt;""),AND(LT9&gt;=LX$22,LT9&lt;&gt;"",LU9&gt;=LX$26,LU9&lt;&gt;"")),"Worlds Team",IF(OR(AND(AH9&gt;=AL$21,AH9&lt;&gt;"",AI9&gt;=AL$25,AI9&lt;&gt;"",AG9=""),AND(BD9&gt;=BH$21,BD9&lt;&gt;"",BE9&gt;=BH$25,BE9&lt;&gt;"",BC9=""),AND(BZ9&gt;=CD$21,BZ9&lt;&gt;"",CA9&gt;=CD$25,CA9&lt;&gt;"",BY9=""),AND(CW9&gt;=DA$21,CW9&lt;&gt;"",CX9&gt;=DA$25,CX9&lt;&gt;""),AND(DR9&gt;=DV$21,DR9&lt;&gt;"",DS9&gt;=DV$25,DS9&lt;&gt;""),AND(EM9&gt;=EQ$21,EM9&lt;&gt;"",EN9&gt;=EQ$25,EN9&lt;&gt;""),AND(FH9&gt;=FL$21,FH9&lt;&gt;"",FI9&gt;=FL$25,FI9&lt;&gt;""),AND(GC9&gt;=GG$21,GC9&lt;&gt;"",GD9&gt;=GG$25,GD9&lt;&gt;""),AND(GX9&gt;=HB$21,GX9&lt;&gt;"",GY9&gt;=HB$25,GY9&lt;&gt;""),AND(HS9&gt;=HW$21,HS9&lt;&gt;"",HT9&gt;=HW$25,HT9&lt;&gt;""),AND(IN9&gt;=IR$21,IN9&lt;&gt;"",IO9&gt;=IR$25,IO9&lt;&gt;""),AND(JI9&gt;=JM$21,JI9&lt;&gt;"",JJ9&gt;=JM$25,JJ9&lt;&gt;""),AND(KD9&gt;=KH$21,KD9&lt;&gt;"",KE9&gt;=KH$25,KE9&lt;&gt;""),AND(KY9&gt;=LC$21,KY9&lt;&gt;"",KZ9&gt;=LC$25,KZ9&lt;&gt;""),AND(LT9&gt;=LX$21,LT9&lt;&gt;"",LU9&gt;=LX$25,LU9&lt;&gt;"")),"National Team","")))))</f>
        <v>National Team</v>
      </c>
      <c r="I9" s="3" t="str">
        <f>IF(OR(H9="Worlds Team",H9="Excellence",H9="Merit"),"P","")</f>
        <v/>
      </c>
      <c r="J9" s="14">
        <f>MAX(AL9,BH9,CD9)</f>
        <v>135.9</v>
      </c>
      <c r="K9" s="14" t="str">
        <f>IF(J9=0,"",IF(J9=CD9,$BI$1,IF(J9=BH9,$AM$1,IF(J9=AL9,$Q$1,""))))</f>
        <v>2019 Nationals</v>
      </c>
      <c r="L9" s="14">
        <f>IF(J9=AL9,MAX(BE9,BG9,CA9,CC9),IF(J9=BH9,MAX(AI9,AK9,CA9,CC9),MAX(AI9,AK9,BE9,BG9)))</f>
        <v>67.699999999999989</v>
      </c>
      <c r="M9" s="14" t="str">
        <f>IF(L9=0,"",IF(AND(J9&lt;&gt;CD9,OR(L9=CA9,L9=CC9)),$BI$1,IF(AND(J9&lt;&gt;BH9,OR(L9=BG9,L9=BE9)),$AM$1,IF(OR(L9=AK9,L9=AI9),$Q$1,""))))</f>
        <v>2021 1st Virtual Technical Trial</v>
      </c>
      <c r="N9" s="14">
        <f>IF(MAX(CE9:CF9)&gt;0,MAX(CE9:CF9),"")</f>
        <v>0.5</v>
      </c>
      <c r="O9" s="24" t="str">
        <f>IF(N9="","",IF(N9=CE9,"(4 Pass)",IF(N9=CF9,"(2 Pass)")))</f>
        <v>(2 Pass)</v>
      </c>
      <c r="P9" s="14" t="str">
        <f>IF(N9="","",IF(N9=CE9,IF(N9+IF(J9="",0,J9)=DA9,$CG$1,IF(N9+IF(J9="",0,J9)=DV9,$DB$1,IF(N9+IF(J9="",0,J9)=EQ9,$DW$1,IF(N9+IF(J9="",0,J9)=FL9,$ER$1,IF(N9+IF(J9="",0,J9)=GG9,$FM$1,IF(N9+IF(J9="",0,J9)=HB9,$GH$1,IF(N9+IF(J9="",0,J9)=HW9,$HC$1,IF(N9+IF(J9="",0,J9)=IR9,$HX$1,IF(N9+IF(J9="",0,J9)=JM9,$IS$1,IF(N9+IF(J9="",0,J9)=KH9,$JN$1,IF(N9+IF(J9="",0,J9)=LC9,$KI$1,IF(N9+IF(J9="",0,J9)=LX9,$LD$1)))))))))))),IF(N9=CF9,IF(OR(N9+IF(L9="",0,L9)=CX9,N9+IF(L9="",0,L9)=CZ9),$CG$1,IF(OR(N9+IF(L9="",0,L9)=DS9,N9+IF(L9="",0,L9)=DU9),$DB$1,IF(OR(N9+IF(L9="",0,L9)=EN9,N9+IF(L9="",0,L9)=EP9),$DW$1,IF(OR(N9+IF(L9="",0,L9)=FI9,N9+IF(L9="",0,L9)=FK9),$ER$1,IF(OR(N9+IF(L9="",0,L9)=GD9,N9+IF(L9="",0,L9)=GF9),$FM$1,IF(OR(N9+IF(L9="",0,L9)=GY9,N9+IF(L9="",0,L9)=HA9),$GH$1,IF(OR(N9+IF(L9="",0,L9)=HT9,N9+IF(L9="",0,L9)=HV9),$HC$1,IF(OR(N9+IF(L9="",0,L9)=IO9,N9+IF(L9="",0,L9)=IQ9),$HX$1,IF(OR(N9+IF(L9="",0,L9)=JJ9,N9+IF(L9="",0,L9)=JL9),$IS$1,IF(OR(N9+IF(L9="",0,L9)=KE9,N9+IF(L9="",0,L9)=KG9),$JN$1,IF(OR(N9+IF(L9="",0,L9)=KZ9,N9+IF(L9="",0,L9)=LB9),$KI$1,IF(OR(N9+IF(L9="",0,L9)=LU9,N9+IF(L9="",0,L9)=LW9),$LD$1)))))))))))))))</f>
        <v>2019 WAGC (Dec 8)</v>
      </c>
      <c r="Q9" s="61">
        <v>27.6</v>
      </c>
      <c r="R9" s="61">
        <v>6.4</v>
      </c>
      <c r="S9" s="61">
        <v>1.2</v>
      </c>
      <c r="T9" s="61">
        <v>0</v>
      </c>
      <c r="U9" s="61">
        <v>27.7</v>
      </c>
      <c r="V9" s="61">
        <v>6.8</v>
      </c>
      <c r="W9" s="61">
        <v>1.2</v>
      </c>
      <c r="X9" s="61">
        <v>0</v>
      </c>
      <c r="Y9" s="61">
        <v>27.4</v>
      </c>
      <c r="Z9" s="61">
        <v>6</v>
      </c>
      <c r="AA9" s="61">
        <v>1.2</v>
      </c>
      <c r="AB9" s="61">
        <v>0</v>
      </c>
      <c r="AC9" s="61">
        <v>27.3</v>
      </c>
      <c r="AD9" s="61">
        <v>6.8</v>
      </c>
      <c r="AE9" s="61">
        <v>0.9</v>
      </c>
      <c r="AF9" s="61">
        <v>0</v>
      </c>
      <c r="AG9" s="72"/>
      <c r="AH9" s="11">
        <f>IF(SUM(R9,V9)&gt;0,SUM(R9,V9),"")</f>
        <v>13.2</v>
      </c>
      <c r="AI9" s="11">
        <f>IF(SUM(Q9:R9,T9:V9,X9)-SUM(S9,W9)&gt;0,SUM(Q9:R9,T9:V9,X9)-SUM(S9,W9),"")</f>
        <v>66.099999999999994</v>
      </c>
      <c r="AJ9" s="11">
        <f>IF(SUM(Z9,AD9)&gt;0,SUM(Z9,AD9),"")</f>
        <v>12.8</v>
      </c>
      <c r="AK9" s="11">
        <f>IF(SUM(Y9:Z9,AB9:AD9,AF9)-SUM(AA9,AE9)&gt;0,SUM(Y9:Z9,AB9:AD9,AF9)-SUM(AA9,AE9),"")</f>
        <v>65.400000000000006</v>
      </c>
      <c r="AL9" s="11">
        <f>IF(SUM(AI9,AK9)&gt;0,SUM(AI9,AK9),"")</f>
        <v>131.5</v>
      </c>
      <c r="AM9" s="36">
        <v>28.1</v>
      </c>
      <c r="AN9" s="36">
        <v>6.4</v>
      </c>
      <c r="AO9" s="36">
        <v>0</v>
      </c>
      <c r="AP9" s="36">
        <v>0</v>
      </c>
      <c r="AQ9" s="36">
        <v>27.9</v>
      </c>
      <c r="AR9" s="36">
        <v>6.8</v>
      </c>
      <c r="AS9" s="36">
        <v>0</v>
      </c>
      <c r="AT9" s="36">
        <v>0</v>
      </c>
      <c r="AU9" s="36">
        <v>27.8</v>
      </c>
      <c r="AV9" s="36">
        <v>6.8</v>
      </c>
      <c r="AW9" s="36">
        <v>0.9</v>
      </c>
      <c r="AX9" s="36">
        <v>0</v>
      </c>
      <c r="AY9" s="36">
        <v>27.9</v>
      </c>
      <c r="AZ9" s="36">
        <v>6</v>
      </c>
      <c r="BA9" s="36">
        <v>0.9</v>
      </c>
      <c r="BB9" s="36">
        <v>0</v>
      </c>
      <c r="BC9" s="73"/>
      <c r="BD9" s="14">
        <f>IF(SUM(AN9,AR9)&gt;0,SUM(AN9,AR9),"")</f>
        <v>13.2</v>
      </c>
      <c r="BE9" s="14">
        <f>IF(SUM(AM9:AN9,AP9:AR9,AT9)-SUM(AO9,AS9)&gt;0,SUM(AM9:AN9,AP9:AR9,AT9)-SUM(AO9,AS9),"")</f>
        <v>69.2</v>
      </c>
      <c r="BF9" s="14">
        <f>IF(SUM(AV9,AZ9)&gt;0,SUM(AV9,AZ9),"")</f>
        <v>12.8</v>
      </c>
      <c r="BG9" s="14">
        <f>IF(SUM(AU9:AV9,AX9:AZ9,BB9)-SUM(AW9,BA9)&gt;0,SUM(AU9:AV9,AX9:AZ9,BB9)-SUM(AW9,BA9),"")</f>
        <v>66.7</v>
      </c>
      <c r="BH9" s="14">
        <f>IF(SUM(BE9,BG9)&gt;0,SUM(BE9,BG9),"")</f>
        <v>135.9</v>
      </c>
      <c r="BI9" s="61">
        <v>28</v>
      </c>
      <c r="BJ9" s="61">
        <v>6.8</v>
      </c>
      <c r="BK9" s="61">
        <v>1.2</v>
      </c>
      <c r="BL9" s="61">
        <v>0</v>
      </c>
      <c r="BM9" s="61">
        <v>28.1</v>
      </c>
      <c r="BN9" s="61">
        <v>7.2</v>
      </c>
      <c r="BO9" s="61">
        <v>1.2</v>
      </c>
      <c r="BP9" s="61">
        <v>0</v>
      </c>
      <c r="BQ9" s="61">
        <v>28.4</v>
      </c>
      <c r="BR9" s="61">
        <v>2.8</v>
      </c>
      <c r="BS9" s="61">
        <v>4.0999999999999996</v>
      </c>
      <c r="BT9" s="61">
        <v>0</v>
      </c>
      <c r="BU9" s="61">
        <v>27.8</v>
      </c>
      <c r="BV9" s="61">
        <v>6</v>
      </c>
      <c r="BW9" s="61">
        <v>1.5</v>
      </c>
      <c r="BX9" s="61">
        <v>0</v>
      </c>
      <c r="BY9" s="72"/>
      <c r="BZ9" s="11">
        <f>IF(SUM(BJ9,BN9)&gt;0,SUM(BJ9,BN9),"")</f>
        <v>14</v>
      </c>
      <c r="CA9" s="11">
        <f>IF(SUM(BI9:BJ9,BL9:BN9,BP9)-SUM(BK9,BO9)&gt;0,SUM(BI9:BJ9,BL9:BN9,BP9)-SUM(BK9,BO9),"")</f>
        <v>67.699999999999989</v>
      </c>
      <c r="CB9" s="11">
        <f>IF(SUM(BR9,BV9)&gt;0,SUM(BR9,BV9),"")</f>
        <v>8.8000000000000007</v>
      </c>
      <c r="CC9" s="11">
        <f>IF(SUM(BQ9:BR9,BT9:BV9,BX9)-SUM(BS9,BW9)&gt;0,SUM(BQ9:BR9,BT9:BV9,BX9)-SUM(BS9,BW9),"")</f>
        <v>59.4</v>
      </c>
      <c r="CD9" s="11">
        <f>IF(SUM(CA9,CC9)&gt;0,SUM(CA9,CC9),"")</f>
        <v>127.1</v>
      </c>
      <c r="CE9" s="23" t="str">
        <f>IF(MAX(DA9,DV9,EQ9,FL9,GG9,HB9,HW9,IR9,JM9,KH9,LC9,LX9)-IF(J9="",0,J9)&gt;0.001,MAX(DA9,DV9,EQ9,FL9,GG9,HB9,HW9,IR9,JM9,KH9,LC9,LX9)-IF(J9="",0,J9),"")</f>
        <v/>
      </c>
      <c r="CF9" s="23">
        <f>IF(MAX(CX9,CZ9,DS9,DU9,EN9,EP9,FI9,FK9,GD9,GF9,GY9,HA9,HT9,HV9,IO9,IQ9,JJ9,JL9,KE9,KG9,KZ9,LB9,LU9,LW9)-IF(L9="",0,L9)&gt;0.001,MAX(CX9,CZ9,DS9,DU9,EN9,EP9,FI9,FK9,GD9,GF9,GY9,HA9,HT9,HV9,IO9,IQ9,JJ9,JL9,KE9,KG9,KZ9,LB9,LU9,LW9)-IF(L9="",0,L9),"")</f>
        <v>0.5</v>
      </c>
      <c r="CG9" s="40">
        <v>26.8</v>
      </c>
      <c r="CH9" s="40">
        <v>7.2</v>
      </c>
      <c r="CI9" s="40">
        <v>0.9</v>
      </c>
      <c r="CJ9" s="40">
        <v>0</v>
      </c>
      <c r="CK9" s="40">
        <v>27.9</v>
      </c>
      <c r="CL9" s="40">
        <v>7.2</v>
      </c>
      <c r="CM9" s="40">
        <v>0</v>
      </c>
      <c r="CN9" s="40">
        <v>0</v>
      </c>
      <c r="CO9" s="40"/>
      <c r="CP9" s="40"/>
      <c r="CQ9" s="40"/>
      <c r="CR9" s="40"/>
      <c r="CS9" s="40"/>
      <c r="CT9" s="40"/>
      <c r="CU9" s="40"/>
      <c r="CV9" s="40"/>
      <c r="CW9" s="11">
        <f>IF(SUM(CH9,CL9)&gt;0,SUM(CH9,CL9),"")</f>
        <v>14.4</v>
      </c>
      <c r="CX9" s="11">
        <f>IF(SUM(CG9:CH9,CJ9:CL9,CN9)-SUM(CI9,CM9)&gt;0,SUM(CG9:CH9,CJ9:CL9,CN9)-SUM(CI9,CM9),"")</f>
        <v>68.199999999999989</v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>
        <f>IF(SUM(CX9,CZ9)&gt;0,SUM(CX9,CZ9),"")</f>
        <v>68.199999999999989</v>
      </c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28.05</v>
      </c>
      <c r="LZ9" s="61">
        <f>IF($BY9="P",BJ9,(BJ9+AN9)/2)</f>
        <v>6.6</v>
      </c>
      <c r="MA9" s="61">
        <f>IF($BY9="P",BK9,(BK9+AO9)/2)</f>
        <v>0.6</v>
      </c>
      <c r="MB9" s="61">
        <f>IF($BY9="P",BL9,(BL9+AP9)/2)</f>
        <v>0</v>
      </c>
      <c r="MC9" s="61">
        <f>IF($BY9="P",BM9,(BM9+AQ9)/2)</f>
        <v>28</v>
      </c>
      <c r="MD9" s="61">
        <f>IF($BY9="P",BN9,(BN9+AR9)/2)</f>
        <v>7</v>
      </c>
      <c r="ME9" s="61">
        <f>IF($BY9="P",BO9,(BO9+AS9)/2)</f>
        <v>0.6</v>
      </c>
      <c r="MF9" s="61">
        <f>IF($BY9="P",BP9,(BP9+AT9)/2)</f>
        <v>0</v>
      </c>
      <c r="MG9" s="61">
        <f>IF($BY9="P",BQ9,(BQ9+AU9)/2)</f>
        <v>28.1</v>
      </c>
      <c r="MH9" s="61">
        <f>IF($BY9="P",BR9,(BR9+AV9)/2)</f>
        <v>4.8</v>
      </c>
      <c r="MI9" s="61">
        <f>IF($BY9="P",BS9,(BS9+AW9)/2)</f>
        <v>2.5</v>
      </c>
      <c r="MJ9" s="61">
        <f>IF($BY9="P",BT9,(BT9+AX9)/2)</f>
        <v>0</v>
      </c>
      <c r="MK9" s="61">
        <f>IF($BY9="P",BU9,(BU9+AY9)/2)</f>
        <v>27.85</v>
      </c>
      <c r="ML9" s="61">
        <f>IF($BY9="P",BV9,(BV9+AZ9)/2)</f>
        <v>6</v>
      </c>
      <c r="MM9" s="61">
        <f>IF($BY9="P",BW9,(BW9+BA9)/2)</f>
        <v>1.2</v>
      </c>
      <c r="MN9" s="61">
        <f>IF($BY9="P",BX9,(BX9+BB9)/2)</f>
        <v>0</v>
      </c>
      <c r="MO9" s="72" t="s">
        <v>52</v>
      </c>
      <c r="MP9" s="11">
        <f>IF(SUM(LZ9,MD9)&gt;0,SUM(LZ9,MD9),"")</f>
        <v>13.6</v>
      </c>
      <c r="MQ9" s="11">
        <f>IF(SUM(LY9:LZ9,MB9:MD9,MF9)-SUM(MA9,ME9)&gt;0,SUM(LY9:LZ9,MB9:MD9,MF9)-SUM(MA9,ME9),"")</f>
        <v>68.45</v>
      </c>
      <c r="MR9" s="11">
        <f>IF(SUM(MH9,ML9)&gt;0,SUM(MH9,ML9),"")</f>
        <v>10.8</v>
      </c>
      <c r="MS9" s="11">
        <f>IF(SUM(MG9:MH9,MJ9:ML9,MN9)-SUM(MI9,MM9)&gt;0,SUM(MG9:MH9,MJ9:ML9,MN9)-SUM(MI9,MM9),"")</f>
        <v>63.05</v>
      </c>
      <c r="MT9" s="11">
        <f>IF(SUM(MQ9,MS9)&gt;0,SUM(MQ9,MS9),"")</f>
        <v>131.5</v>
      </c>
    </row>
    <row r="10" spans="1:358" x14ac:dyDescent="0.2">
      <c r="A10" s="5">
        <f>IF(AND(F10="P",G10="P"),SUMPRODUCT((F$4:F$19="P")*(G$4:G$19="P")*(E$4:E$19&gt;E10))+1,IF(G10="P",SUMPRODUCT((F$4:F$19="")*(G$4:G$19="P")*(E$4:E$19&gt;E10))+1+SUMPRODUCT((F$4:F$19="P")*(G$4:G$19="P")),""))</f>
        <v>7</v>
      </c>
      <c r="B10" s="8" t="s">
        <v>105</v>
      </c>
      <c r="C10" s="4" t="s">
        <v>3</v>
      </c>
      <c r="D10" s="5">
        <v>2004</v>
      </c>
      <c r="E10" s="15">
        <f>SUM(J10:N10)</f>
        <v>153.70000000000002</v>
      </c>
      <c r="F10" s="3" t="str">
        <f>IF(OR(AND(AH10&gt;=AL$21,AI10&gt;=AL$25,AI10&lt;&gt;"",AG10=""),AND(BD10&gt;=BH$21,BE10&gt;=BH$25,BE10&lt;&gt;"",BC10=""),AND(BZ10&gt;=CD$21,CA10&gt;=CD$25,CA10&lt;&gt;"",BY10=""),AND(CW10&gt;=DA$21,CX10&gt;=DA$25,CX10&lt;&gt;""),AND(DR10&gt;=DV$21,DS10&gt;=DV$25,DS10&lt;&gt;""),AND(EM10&gt;=EQ$21,EN10&gt;=EQ$25,EN10&lt;&gt;""),AND(FH10&gt;=FL$21,FI10&gt;=FL$25,FI10&lt;&gt;""),AND(GC10&gt;=GG$21,GD10&gt;=GG$25,GD10&lt;&gt;""),AND(GX10&gt;=HB$21,GY10&gt;=HB$25,GY10&lt;&gt;""),AND(HS10&gt;=HW$21,HT10&gt;=HW$25,HT10&lt;&gt;""),AND(IN10&gt;=IR$21,IO10&gt;=IR$25,IO10&lt;&gt;""),AND(JI10&gt;=JM$21,JJ10&gt;=JM$25,JJ10&lt;&gt;""),AND(KD10&gt;=KH$21,KE10&gt;=KH$25,KE10&lt;&gt;""),AND(KY10&gt;=LC$21,KZ10&gt;=LC$25,KZ10&lt;&gt;""),AND(LT10&gt;=LX$21,LU10&gt;=LX$25,LU10&lt;&gt;"")),"P","")</f>
        <v>P</v>
      </c>
      <c r="G10" s="3" t="str">
        <f>IF(OR(AND(AI10&gt;=AL$25,AI10&lt;&gt;"",AG10=""),AND(BE10&gt;=BH$25,BE10&lt;&gt;"",BC10=""),AND(CA10&gt;=CD$25,CA10&lt;&gt;"",BY10=""),AND(CX10&gt;=DA$25,CX10&lt;&gt;""),AND(DS10&gt;=DV$25,DS10&lt;&gt;""),AND(EN10&gt;=EQ$25,EN10&lt;&gt;""),AND(FI10&gt;=FL$25,FI10&lt;&gt;""),AND(GD10&gt;=GG$25,GD10&lt;&gt;""),AND(GY10&gt;=HB$25,GY10&lt;&gt;""),AND(HT10&gt;=HW$25,HT10&lt;&gt;""),AND(IO10&gt;=IR$25,IO10&lt;&gt;""),AND(JJ10&gt;=JM$25,JJ10&lt;&gt;""),AND(KE10&gt;=KH$25,KE10&lt;&gt;""),AND(KZ10&gt;=LC$25,KZ10&lt;&gt;""),AND(LU10&gt;=LX$25,LU10&lt;&gt;"")),"P","")</f>
        <v>P</v>
      </c>
      <c r="H10" s="116" t="str">
        <f>IF(AND(G10="P",F10=""),"No DD",IF(OR(AND(AH10&gt;=AL$24,AH10&lt;&gt;"",AI10&gt;=AL$28,AI10&lt;&gt;"",AG10=""),AND(BD10&gt;=BH$24,BD10&lt;&gt;"",BE10&gt;=BH$28,BE10&lt;&gt;"",BC10=""),AND(BZ10&gt;=CD$24,BZ10&lt;&gt;"",CA10&gt;=CD$28,CA10&lt;&gt;"",BY10=""),AND(CW10&gt;=DA$24,CW10&lt;&gt;"",CX10&gt;=DA$28,CX10&lt;&gt;""),AND(DR10&gt;=DV$24,DR10&lt;&gt;"",DS10&gt;=DV$28,DS10&lt;&gt;""),AND(EM10&gt;=EQ$24,EM10&lt;&gt;"",EN10&gt;=EQ$28,EN10&lt;&gt;""),AND(FH10&gt;=FL$24,FH10&lt;&gt;"",FI10&gt;=FL$28,FI10&lt;&gt;""),AND(GC10&gt;=GG$24,GC10&lt;&gt;"",GD10&gt;=GG$28,GD10&lt;&gt;""),AND(GX10&gt;=HB$24,GX10&lt;&gt;"",GY10&gt;=HB$28,GY10&lt;&gt;""),AND(HS10&gt;=HW$24,HS10&lt;&gt;"",HT10&gt;=HW$28,HT10&lt;&gt;""),AND(IN10&gt;=IR$24,IN10&lt;&gt;"",IO10&gt;=IR$28,IO10&lt;&gt;""),AND(JI10&gt;=JM$24,JI10&lt;&gt;"",JJ10&gt;=JM$28,JJ10&lt;&gt;""),AND(KD10&gt;=KH$24,KD10&lt;&gt;"",KE10&gt;=KH$28,KE10&lt;&gt;""),AND(KY10&gt;=LC$24,KY10&lt;&gt;"",KZ10&gt;=LC$28,KZ10&lt;&gt;""),AND(LT10&gt;=LX$24,LT10&lt;&gt;"",LU10&gt;=LX$28,LU10&lt;&gt;"")),"Merit",IF(OR(AND(AH10&gt;=AL$23,AH10&lt;&gt;"",AI10&gt;=AL$27,AI10&lt;&gt;"",AG10=""),AND(BD10&gt;=BH$23,BD10&lt;&gt;"",BE10&gt;=BH$27,BE10&lt;&gt;"",BC10=""),AND(BZ10&gt;=CD$23,BZ10&lt;&gt;"",CA10&gt;=CD$27,CA10&lt;&gt;"",BY10=""),AND(CW10&gt;=DA$23,CW10&lt;&gt;"",CX10&gt;=DA$27,CX10&lt;&gt;""),AND(DR10&gt;=DV$23,DR10&lt;&gt;"",DS10&gt;=DV$27,DS10&lt;&gt;""),AND(EM10&gt;=EQ$23,EM10&lt;&gt;"",EN10&gt;=EQ$27,EN10&lt;&gt;""),AND(FH10&gt;=FL$23,FH10&lt;&gt;"",FI10&gt;=FL$27,FI10&lt;&gt;""),AND(GC10&gt;=GG$23,GC10&lt;&gt;"",GD10&gt;=GG$27,GD10&lt;&gt;""),AND(GX10&gt;=HB$23,GX10&lt;&gt;"",GY10&gt;=HB$27,GY10&lt;&gt;""),AND(HS10&gt;=HW$23,HS10&lt;&gt;"",HT10&gt;=HW$27,HT10&lt;&gt;""),AND(IN10&gt;=IR$23,IN10&lt;&gt;"",IO10&gt;=IR$27,IO10&lt;&gt;""),AND(JI10&gt;=JM$23,JI10&lt;&gt;"",JJ10&gt;=JM$27,JJ10&lt;&gt;""),AND(KD10&gt;=KH$23,KD10&lt;&gt;"",KE10&gt;=KH$27,KE10&lt;&gt;""),AND(KY10&gt;=LC$23,KY10&lt;&gt;"",KZ10&gt;=LC$27,KZ10&lt;&gt;""),AND(LT10&gt;=LX$23,LT10&lt;&gt;"",LU10&gt;=LX$27,LU10&lt;&gt;"")),"Excellence",IF(OR(AND(AH10&gt;=AL$22,AH10&lt;&gt;"",AI10&gt;=AL$26,AI10&lt;&gt;"",AG10=""),AND(BD10&gt;=BH$22,BD10&lt;&gt;"",BE10&gt;=BH$26,BE10&lt;&gt;"",BC10=""),AND(BZ10&gt;=CD$22,BZ10&lt;&gt;"",CA10&gt;=CD$26,CA10&lt;&gt;"",BY10=""),AND(CW10&gt;=DA$22,CW10&lt;&gt;"",CX10&gt;=DA$26,CX10&lt;&gt;""),AND(DR10&gt;=DV$22,DR10&lt;&gt;"",DS10&gt;=DV$26,DS10&lt;&gt;""),AND(EM10&gt;=EQ$22,EM10&lt;&gt;"",EN10&gt;=EQ$26,EN10&lt;&gt;""),AND(FH10&gt;=FL$22,FH10&lt;&gt;"",FI10&gt;=FL$26,FI10&lt;&gt;""),AND(GC10&gt;=GG$22,GC10&lt;&gt;"",GD10&gt;=GG$26,GD10&lt;&gt;""),AND(GX10&gt;=HB$22,GX10&lt;&gt;"",GY10&gt;=HB$26,GY10&lt;&gt;""),AND(HS10&gt;=HW$22,HS10&lt;&gt;"",HT10&gt;=HW$26,HT10&lt;&gt;""),AND(IN10&gt;=IR$22,IN10&lt;&gt;"",IO10&gt;=IR$26,IO10&lt;&gt;""),AND(JI10&gt;=JM$22,JI10&lt;&gt;"",JJ10&gt;=JM$26,JJ10&lt;&gt;""),AND(KD10&gt;=KH$22,KD10&lt;&gt;"",KE10&gt;=KH$26,KE10&lt;&gt;""),AND(KY10&gt;=LC$22,KY10&lt;&gt;"",KZ10&gt;=LC$26,KZ10&lt;&gt;""),AND(LT10&gt;=LX$22,LT10&lt;&gt;"",LU10&gt;=LX$26,LU10&lt;&gt;"")),"Worlds Team",IF(OR(AND(AH10&gt;=AL$21,AH10&lt;&gt;"",AI10&gt;=AL$25,AI10&lt;&gt;"",AG10=""),AND(BD10&gt;=BH$21,BD10&lt;&gt;"",BE10&gt;=BH$25,BE10&lt;&gt;"",BC10=""),AND(BZ10&gt;=CD$21,BZ10&lt;&gt;"",CA10&gt;=CD$25,CA10&lt;&gt;"",BY10=""),AND(CW10&gt;=DA$21,CW10&lt;&gt;"",CX10&gt;=DA$25,CX10&lt;&gt;""),AND(DR10&gt;=DV$21,DR10&lt;&gt;"",DS10&gt;=DV$25,DS10&lt;&gt;""),AND(EM10&gt;=EQ$21,EM10&lt;&gt;"",EN10&gt;=EQ$25,EN10&lt;&gt;""),AND(FH10&gt;=FL$21,FH10&lt;&gt;"",FI10&gt;=FL$25,FI10&lt;&gt;""),AND(GC10&gt;=GG$21,GC10&lt;&gt;"",GD10&gt;=GG$25,GD10&lt;&gt;""),AND(GX10&gt;=HB$21,GX10&lt;&gt;"",GY10&gt;=HB$25,GY10&lt;&gt;""),AND(HS10&gt;=HW$21,HS10&lt;&gt;"",HT10&gt;=HW$25,HT10&lt;&gt;""),AND(IN10&gt;=IR$21,IN10&lt;&gt;"",IO10&gt;=IR$25,IO10&lt;&gt;""),AND(JI10&gt;=JM$21,JI10&lt;&gt;"",JJ10&gt;=JM$25,JJ10&lt;&gt;""),AND(KD10&gt;=KH$21,KD10&lt;&gt;"",KE10&gt;=KH$25,KE10&lt;&gt;""),AND(KY10&gt;=LC$21,KY10&lt;&gt;"",KZ10&gt;=LC$25,KZ10&lt;&gt;""),AND(LT10&gt;=LX$21,LT10&lt;&gt;"",LU10&gt;=LX$25,LU10&lt;&gt;"")),"National Team","")))))</f>
        <v>National Team</v>
      </c>
      <c r="I10" s="3" t="str">
        <f>IF(OR(H10="Worlds Team",H10="Excellence",H10="Merit"),"P","")</f>
        <v/>
      </c>
      <c r="J10" s="14">
        <f>MAX(AL10,BH10,CD10)</f>
        <v>125.20000000000002</v>
      </c>
      <c r="K10" s="14" t="str">
        <f>IF(J10=0,"",IF(J10=CD10,$BI$1,IF(J10=BH10,$AM$1,IF(J10=AL10,$Q$1,""))))</f>
        <v>2019 Elite Canada</v>
      </c>
      <c r="L10" s="14">
        <f>IF(J10=AL10,MAX(BE10,BG10,CA10,CC10),IF(J10=BH10,MAX(AI10,AK10,CA10,CC10),MAX(AI10,AK10,BE10,BG10)))</f>
        <v>28.5</v>
      </c>
      <c r="M10" s="14" t="str">
        <f>IF(L10=0,"",IF(AND(J10&lt;&gt;CD10,OR(L10=CA10,L10=CC10)),$BI$1,IF(AND(J10&lt;&gt;BH10,OR(L10=BG10,L10=BE10)),$AM$1,IF(OR(L10=AK10,L10=AI10),$Q$1,""))))</f>
        <v>2019 Nationals</v>
      </c>
      <c r="N10" s="14" t="str">
        <f>IF(MAX(CE10:CF10)&gt;0,MAX(CE10:CF10),"")</f>
        <v/>
      </c>
      <c r="O10" s="24" t="str">
        <f>IF(N10="","",IF(N10=CE10,"(4 Pass)",IF(N10=CF10,"(2 Pass)")))</f>
        <v/>
      </c>
      <c r="P10" s="14" t="str">
        <f>IF(N10="","",IF(N10=CE10,IF(N10+IF(J10="",0,J10)=DA10,$CG$1,IF(N10+IF(J10="",0,J10)=DV10,$DB$1,IF(N10+IF(J10="",0,J10)=EQ10,$DW$1,IF(N10+IF(J10="",0,J10)=FL10,$ER$1,IF(N10+IF(J10="",0,J10)=GG10,$FM$1,IF(N10+IF(J10="",0,J10)=HB10,$GH$1,IF(N10+IF(J10="",0,J10)=HW10,$HC$1,IF(N10+IF(J10="",0,J10)=IR10,$HX$1,IF(N10+IF(J10="",0,J10)=JM10,$IS$1,IF(N10+IF(J10="",0,J10)=KH10,$JN$1,IF(N10+IF(J10="",0,J10)=LC10,$KI$1,IF(N10+IF(J10="",0,J10)=LX10,$LD$1)))))))))))),IF(N10=CF10,IF(OR(N10+IF(L10="",0,L10)=CX10,N10+IF(L10="",0,L10)=CZ10),$CG$1,IF(OR(N10+IF(L10="",0,L10)=DS10,N10+IF(L10="",0,L10)=DU10),$DB$1,IF(OR(N10+IF(L10="",0,L10)=EN10,N10+IF(L10="",0,L10)=EP10),$DW$1,IF(OR(N10+IF(L10="",0,L10)=FI10,N10+IF(L10="",0,L10)=FK10),$ER$1,IF(OR(N10+IF(L10="",0,L10)=GD10,N10+IF(L10="",0,L10)=GF10),$FM$1,IF(OR(N10+IF(L10="",0,L10)=GY10,N10+IF(L10="",0,L10)=HA10),$GH$1,IF(OR(N10+IF(L10="",0,L10)=HT10,N10+IF(L10="",0,L10)=HV10),$HC$1,IF(OR(N10+IF(L10="",0,L10)=IO10,N10+IF(L10="",0,L10)=IQ10),$HX$1,IF(OR(N10+IF(L10="",0,L10)=JJ10,N10+IF(L10="",0,L10)=JL10),$IS$1,IF(OR(N10+IF(L10="",0,L10)=KE10,N10+IF(L10="",0,L10)=KG10),$JN$1,IF(OR(N10+IF(L10="",0,L10)=KZ10,N10+IF(L10="",0,L10)=LB10),$KI$1,IF(OR(N10+IF(L10="",0,L10)=LU10,N10+IF(L10="",0,L10)=LW10),$LD$1)))))))))))))))</f>
        <v/>
      </c>
      <c r="Q10" s="61">
        <v>27.8</v>
      </c>
      <c r="R10" s="61">
        <v>6.8</v>
      </c>
      <c r="S10" s="61">
        <v>0</v>
      </c>
      <c r="T10" s="61">
        <v>0</v>
      </c>
      <c r="U10" s="61">
        <v>27.9</v>
      </c>
      <c r="V10" s="61">
        <v>6.4</v>
      </c>
      <c r="W10" s="61">
        <v>0</v>
      </c>
      <c r="X10" s="61">
        <v>0</v>
      </c>
      <c r="Y10" s="61">
        <v>22.7</v>
      </c>
      <c r="Z10" s="61">
        <v>3.2</v>
      </c>
      <c r="AA10" s="61">
        <v>0.3</v>
      </c>
      <c r="AB10" s="61">
        <v>0</v>
      </c>
      <c r="AC10" s="61">
        <v>26.6</v>
      </c>
      <c r="AD10" s="61">
        <v>5.6</v>
      </c>
      <c r="AE10" s="61">
        <v>1.5</v>
      </c>
      <c r="AF10" s="61">
        <v>0</v>
      </c>
      <c r="AG10" s="72"/>
      <c r="AH10" s="11">
        <f>IF(SUM(R10,V10)&gt;0,SUM(R10,V10),"")</f>
        <v>13.2</v>
      </c>
      <c r="AI10" s="11">
        <f>IF(SUM(Q10:R10,T10:V10,X10)-SUM(S10,W10)&gt;0,SUM(Q10:R10,T10:V10,X10)-SUM(S10,W10),"")</f>
        <v>68.900000000000006</v>
      </c>
      <c r="AJ10" s="11">
        <f>IF(SUM(Z10,AD10)&gt;0,SUM(Z10,AD10),"")</f>
        <v>8.8000000000000007</v>
      </c>
      <c r="AK10" s="11">
        <f>IF(SUM(Y10:Z10,AB10:AD10,AF10)-SUM(AA10,AE10)&gt;0,SUM(Y10:Z10,AB10:AD10,AF10)-SUM(AA10,AE10),"")</f>
        <v>56.300000000000004</v>
      </c>
      <c r="AL10" s="11">
        <f>IF(SUM(AI10,AK10)&gt;0,SUM(AI10,AK10),"")</f>
        <v>125.20000000000002</v>
      </c>
      <c r="AM10" s="36">
        <v>0</v>
      </c>
      <c r="AN10" s="36">
        <v>0</v>
      </c>
      <c r="AO10" s="36">
        <v>0</v>
      </c>
      <c r="AP10" s="36">
        <v>0</v>
      </c>
      <c r="AQ10" s="36">
        <v>20.100000000000001</v>
      </c>
      <c r="AR10" s="36">
        <v>8.4</v>
      </c>
      <c r="AS10" s="36">
        <v>0</v>
      </c>
      <c r="AT10" s="36">
        <v>0</v>
      </c>
      <c r="AU10" s="36"/>
      <c r="AV10" s="36"/>
      <c r="AW10" s="36"/>
      <c r="AX10" s="36"/>
      <c r="AY10" s="36"/>
      <c r="AZ10" s="36"/>
      <c r="BA10" s="36"/>
      <c r="BB10" s="36"/>
      <c r="BC10" s="73"/>
      <c r="BD10" s="14">
        <f>IF(SUM(AN10,AR10)&gt;0,SUM(AN10,AR10),"")</f>
        <v>8.4</v>
      </c>
      <c r="BE10" s="14">
        <f>IF(SUM(AM10:AN10,AP10:AR10,AT10)-SUM(AO10,AS10)&gt;0,SUM(AM10:AN10,AP10:AR10,AT10)-SUM(AO10,AS10),"")</f>
        <v>28.5</v>
      </c>
      <c r="BF10" s="14" t="str">
        <f>IF(SUM(AV10,AZ10)&gt;0,SUM(AV10,AZ10),"")</f>
        <v/>
      </c>
      <c r="BG10" s="14" t="str">
        <f>IF(SUM(AU10:AV10,AX10:AZ10,BB10)-SUM(AW10,BA10)&gt;0,SUM(AU10:AV10,AX10:AZ10,BB10)-SUM(AW10,BA10),"")</f>
        <v/>
      </c>
      <c r="BH10" s="14">
        <f>IF(SUM(BE10,BG10)&gt;0,SUM(BE10,BG10),"")</f>
        <v>28.5</v>
      </c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72"/>
      <c r="BZ10" s="11" t="str">
        <f>IF(SUM(BJ10,BN10)&gt;0,SUM(BJ10,BN10),"")</f>
        <v/>
      </c>
      <c r="CA10" s="11" t="str">
        <f>IF(SUM(BI10:BJ10,BL10:BN10,BP10)-SUM(BK10,BO10)&gt;0,SUM(BI10:BJ10,BL10:BN10,BP10)-SUM(BK10,BO10),"")</f>
        <v/>
      </c>
      <c r="CB10" s="11" t="str">
        <f>IF(SUM(BR10,BV10)&gt;0,SUM(BR10,BV10),"")</f>
        <v/>
      </c>
      <c r="CC10" s="11" t="str">
        <f>IF(SUM(BQ10:BR10,BT10:BV10,BX10)-SUM(BS10,BW10)&gt;0,SUM(BQ10:BR10,BT10:BV10,BX10)-SUM(BS10,BW10),"")</f>
        <v/>
      </c>
      <c r="CD10" s="11" t="str">
        <f>IF(SUM(CA10,CC10)&gt;0,SUM(CA10,CC10),"")</f>
        <v/>
      </c>
      <c r="CE10" s="23" t="str">
        <f>IF(MAX(DA10,DV10,EQ10,FL10,GG10,HB10,HW10,IR10,JM10,KH10,LC10,LX10)-IF(J10="",0,J10)&gt;0.001,MAX(DA10,DV10,EQ10,FL10,GG10,HB10,HW10,IR10,JM10,KH10,LC10,LX10)-IF(J10="",0,J10),"")</f>
        <v/>
      </c>
      <c r="CF10" s="23" t="str">
        <f>IF(MAX(CX10,CZ10,DS10,DU10,EN10,EP10,FI10,FK10,GD10,GF10,GY10,HA10,HT10,HV10,IO10,IQ10,JJ10,JL10,KE10,KG10,KZ10,LB10,LU10,LW10)-IF(L10="",0,L10)&gt;0.001,MAX(CX10,CZ10,DS10,DU10,EN10,EP10,FI10,FK10,GD10,GF10,GY10,HA10,HT10,HV10,IO10,IQ10,JJ10,JL10,KE10,KG10,KZ10,LB10,LU10,LW10)-IF(L10="",0,L10),"")</f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0</v>
      </c>
      <c r="LZ10" s="61">
        <f>IF($BY10="P",BJ10,(BJ10+AN10)/2)</f>
        <v>0</v>
      </c>
      <c r="MA10" s="61">
        <f>IF($BY10="P",BK10,(BK10+AO10)/2)</f>
        <v>0</v>
      </c>
      <c r="MB10" s="61">
        <f>IF($BY10="P",BL10,(BL10+AP10)/2)</f>
        <v>0</v>
      </c>
      <c r="MC10" s="61">
        <f>IF($BY10="P",BM10,(BM10+AQ10)/2)</f>
        <v>10.050000000000001</v>
      </c>
      <c r="MD10" s="61">
        <f>IF($BY10="P",BN10,(BN10+AR10)/2)</f>
        <v>4.2</v>
      </c>
      <c r="ME10" s="61">
        <f>IF($BY10="P",BO10,(BO10+AS10)/2)</f>
        <v>0</v>
      </c>
      <c r="MF10" s="61">
        <f>IF($BY10="P",BP10,(BP10+AT10)/2)</f>
        <v>0</v>
      </c>
      <c r="MG10" s="61">
        <f>IF($BY10="P",BQ10,(BQ10+AU10)/2)</f>
        <v>0</v>
      </c>
      <c r="MH10" s="61">
        <f>IF($BY10="P",BR10,(BR10+AV10)/2)</f>
        <v>0</v>
      </c>
      <c r="MI10" s="61">
        <f>IF($BY10="P",BS10,(BS10+AW10)/2)</f>
        <v>0</v>
      </c>
      <c r="MJ10" s="61">
        <f>IF($BY10="P",BT10,(BT10+AX10)/2)</f>
        <v>0</v>
      </c>
      <c r="MK10" s="61">
        <f>IF($BY10="P",BU10,(BU10+AY10)/2)</f>
        <v>0</v>
      </c>
      <c r="ML10" s="61">
        <f>IF($BY10="P",BV10,(BV10+AZ10)/2)</f>
        <v>0</v>
      </c>
      <c r="MM10" s="61">
        <f>IF($BY10="P",BW10,(BW10+BA10)/2)</f>
        <v>0</v>
      </c>
      <c r="MN10" s="61">
        <f>IF($BY10="P",BX10,(BX10+BB10)/2)</f>
        <v>0</v>
      </c>
      <c r="MO10" s="72" t="s">
        <v>52</v>
      </c>
      <c r="MP10" s="11">
        <f>IF(SUM(LZ10,MD10)&gt;0,SUM(LZ10,MD10),"")</f>
        <v>4.2</v>
      </c>
      <c r="MQ10" s="11">
        <f>IF(SUM(LY10:LZ10,MB10:MD10,MF10)-SUM(MA10,ME10)&gt;0,SUM(LY10:LZ10,MB10:MD10,MF10)-SUM(MA10,ME10),"")</f>
        <v>14.25</v>
      </c>
      <c r="MR10" s="11" t="str">
        <f>IF(SUM(MH10,ML10)&gt;0,SUM(MH10,ML10),"")</f>
        <v/>
      </c>
      <c r="MS10" s="11" t="str">
        <f>IF(SUM(MG10:MH10,MJ10:ML10,MN10)-SUM(MI10,MM10)&gt;0,SUM(MG10:MH10,MJ10:ML10,MN10)-SUM(MI10,MM10),"")</f>
        <v/>
      </c>
      <c r="MT10" s="11">
        <f>IF(SUM(MQ10,MS10)&gt;0,SUM(MQ10,MS10),"")</f>
        <v>14.25</v>
      </c>
    </row>
    <row r="11" spans="1:358" x14ac:dyDescent="0.2">
      <c r="A11" s="5" t="str">
        <f>IF(AND(F11="P",G11="P"),SUMPRODUCT((F$4:F$19="P")*(G$4:G$19="P")*(E$4:E$19&gt;E11))+1,IF(G11="P",SUMPRODUCT((F$4:F$19="")*(G$4:G$19="P")*(E$4:E$19&gt;E11))+1+SUMPRODUCT((F$4:F$19="P")*(G$4:G$19="P")),""))</f>
        <v/>
      </c>
      <c r="B11" s="8" t="s">
        <v>125</v>
      </c>
      <c r="C11" s="4" t="s">
        <v>6</v>
      </c>
      <c r="D11" s="5">
        <v>2000</v>
      </c>
      <c r="E11" s="15">
        <f>SUM(J11:N11)</f>
        <v>196</v>
      </c>
      <c r="F11" s="3" t="str">
        <f>IF(OR(AND(AH11&gt;=AL$21,AI11&gt;=AL$25,AI11&lt;&gt;"",AG11=""),AND(BD11&gt;=BH$21,BE11&gt;=BH$25,BE11&lt;&gt;"",BC11=""),AND(BZ11&gt;=CD$21,CA11&gt;=CD$25,CA11&lt;&gt;"",BY11=""),AND(CW11&gt;=DA$21,CX11&gt;=DA$25,CX11&lt;&gt;""),AND(DR11&gt;=DV$21,DS11&gt;=DV$25,DS11&lt;&gt;""),AND(EM11&gt;=EQ$21,EN11&gt;=EQ$25,EN11&lt;&gt;""),AND(FH11&gt;=FL$21,FI11&gt;=FL$25,FI11&lt;&gt;""),AND(GC11&gt;=GG$21,GD11&gt;=GG$25,GD11&lt;&gt;""),AND(GX11&gt;=HB$21,GY11&gt;=HB$25,GY11&lt;&gt;""),AND(HS11&gt;=HW$21,HT11&gt;=HW$25,HT11&lt;&gt;""),AND(IN11&gt;=IR$21,IO11&gt;=IR$25,IO11&lt;&gt;""),AND(JI11&gt;=JM$21,JJ11&gt;=JM$25,JJ11&lt;&gt;""),AND(KD11&gt;=KH$21,KE11&gt;=KH$25,KE11&lt;&gt;""),AND(KY11&gt;=LC$21,KZ11&gt;=LC$25,KZ11&lt;&gt;""),AND(LT11&gt;=LX$21,LU11&gt;=LX$25,LU11&lt;&gt;"")),"P","")</f>
        <v/>
      </c>
      <c r="G11" s="3" t="str">
        <f>IF(OR(AND(AI11&gt;=AL$25,AI11&lt;&gt;"",AG11=""),AND(BE11&gt;=BH$25,BE11&lt;&gt;"",BC11=""),AND(CA11&gt;=CD$25,CA11&lt;&gt;"",BY11=""),AND(CX11&gt;=DA$25,CX11&lt;&gt;""),AND(DS11&gt;=DV$25,DS11&lt;&gt;""),AND(EN11&gt;=EQ$25,EN11&lt;&gt;""),AND(FI11&gt;=FL$25,FI11&lt;&gt;""),AND(GD11&gt;=GG$25,GD11&lt;&gt;""),AND(GY11&gt;=HB$25,GY11&lt;&gt;""),AND(HT11&gt;=HW$25,HT11&lt;&gt;""),AND(IO11&gt;=IR$25,IO11&lt;&gt;""),AND(JJ11&gt;=JM$25,JJ11&lt;&gt;""),AND(KE11&gt;=KH$25,KE11&lt;&gt;""),AND(KZ11&gt;=LC$25,KZ11&lt;&gt;""),AND(LU11&gt;=LX$25,LU11&lt;&gt;"")),"P","")</f>
        <v/>
      </c>
      <c r="H11" s="116" t="str">
        <f>IF(AND(G11="P",F11=""),"No DD",IF(OR(AND(AH11&gt;=AL$24,AH11&lt;&gt;"",AI11&gt;=AL$28,AI11&lt;&gt;"",AG11=""),AND(BD11&gt;=BH$24,BD11&lt;&gt;"",BE11&gt;=BH$28,BE11&lt;&gt;"",BC11=""),AND(BZ11&gt;=CD$24,BZ11&lt;&gt;"",CA11&gt;=CD$28,CA11&lt;&gt;"",BY11=""),AND(CW11&gt;=DA$24,CW11&lt;&gt;"",CX11&gt;=DA$28,CX11&lt;&gt;""),AND(DR11&gt;=DV$24,DR11&lt;&gt;"",DS11&gt;=DV$28,DS11&lt;&gt;""),AND(EM11&gt;=EQ$24,EM11&lt;&gt;"",EN11&gt;=EQ$28,EN11&lt;&gt;""),AND(FH11&gt;=FL$24,FH11&lt;&gt;"",FI11&gt;=FL$28,FI11&lt;&gt;""),AND(GC11&gt;=GG$24,GC11&lt;&gt;"",GD11&gt;=GG$28,GD11&lt;&gt;""),AND(GX11&gt;=HB$24,GX11&lt;&gt;"",GY11&gt;=HB$28,GY11&lt;&gt;""),AND(HS11&gt;=HW$24,HS11&lt;&gt;"",HT11&gt;=HW$28,HT11&lt;&gt;""),AND(IN11&gt;=IR$24,IN11&lt;&gt;"",IO11&gt;=IR$28,IO11&lt;&gt;""),AND(JI11&gt;=JM$24,JI11&lt;&gt;"",JJ11&gt;=JM$28,JJ11&lt;&gt;""),AND(KD11&gt;=KH$24,KD11&lt;&gt;"",KE11&gt;=KH$28,KE11&lt;&gt;""),AND(KY11&gt;=LC$24,KY11&lt;&gt;"",KZ11&gt;=LC$28,KZ11&lt;&gt;""),AND(LT11&gt;=LX$24,LT11&lt;&gt;"",LU11&gt;=LX$28,LU11&lt;&gt;"")),"Merit",IF(OR(AND(AH11&gt;=AL$23,AH11&lt;&gt;"",AI11&gt;=AL$27,AI11&lt;&gt;"",AG11=""),AND(BD11&gt;=BH$23,BD11&lt;&gt;"",BE11&gt;=BH$27,BE11&lt;&gt;"",BC11=""),AND(BZ11&gt;=CD$23,BZ11&lt;&gt;"",CA11&gt;=CD$27,CA11&lt;&gt;"",BY11=""),AND(CW11&gt;=DA$23,CW11&lt;&gt;"",CX11&gt;=DA$27,CX11&lt;&gt;""),AND(DR11&gt;=DV$23,DR11&lt;&gt;"",DS11&gt;=DV$27,DS11&lt;&gt;""),AND(EM11&gt;=EQ$23,EM11&lt;&gt;"",EN11&gt;=EQ$27,EN11&lt;&gt;""),AND(FH11&gt;=FL$23,FH11&lt;&gt;"",FI11&gt;=FL$27,FI11&lt;&gt;""),AND(GC11&gt;=GG$23,GC11&lt;&gt;"",GD11&gt;=GG$27,GD11&lt;&gt;""),AND(GX11&gt;=HB$23,GX11&lt;&gt;"",GY11&gt;=HB$27,GY11&lt;&gt;""),AND(HS11&gt;=HW$23,HS11&lt;&gt;"",HT11&gt;=HW$27,HT11&lt;&gt;""),AND(IN11&gt;=IR$23,IN11&lt;&gt;"",IO11&gt;=IR$27,IO11&lt;&gt;""),AND(JI11&gt;=JM$23,JI11&lt;&gt;"",JJ11&gt;=JM$27,JJ11&lt;&gt;""),AND(KD11&gt;=KH$23,KD11&lt;&gt;"",KE11&gt;=KH$27,KE11&lt;&gt;""),AND(KY11&gt;=LC$23,KY11&lt;&gt;"",KZ11&gt;=LC$27,KZ11&lt;&gt;""),AND(LT11&gt;=LX$23,LT11&lt;&gt;"",LU11&gt;=LX$27,LU11&lt;&gt;"")),"Excellence",IF(OR(AND(AH11&gt;=AL$22,AH11&lt;&gt;"",AI11&gt;=AL$26,AI11&lt;&gt;"",AG11=""),AND(BD11&gt;=BH$22,BD11&lt;&gt;"",BE11&gt;=BH$26,BE11&lt;&gt;"",BC11=""),AND(BZ11&gt;=CD$22,BZ11&lt;&gt;"",CA11&gt;=CD$26,CA11&lt;&gt;"",BY11=""),AND(CW11&gt;=DA$22,CW11&lt;&gt;"",CX11&gt;=DA$26,CX11&lt;&gt;""),AND(DR11&gt;=DV$22,DR11&lt;&gt;"",DS11&gt;=DV$26,DS11&lt;&gt;""),AND(EM11&gt;=EQ$22,EM11&lt;&gt;"",EN11&gt;=EQ$26,EN11&lt;&gt;""),AND(FH11&gt;=FL$22,FH11&lt;&gt;"",FI11&gt;=FL$26,FI11&lt;&gt;""),AND(GC11&gt;=GG$22,GC11&lt;&gt;"",GD11&gt;=GG$26,GD11&lt;&gt;""),AND(GX11&gt;=HB$22,GX11&lt;&gt;"",GY11&gt;=HB$26,GY11&lt;&gt;""),AND(HS11&gt;=HW$22,HS11&lt;&gt;"",HT11&gt;=HW$26,HT11&lt;&gt;""),AND(IN11&gt;=IR$22,IN11&lt;&gt;"",IO11&gt;=IR$26,IO11&lt;&gt;""),AND(JI11&gt;=JM$22,JI11&lt;&gt;"",JJ11&gt;=JM$26,JJ11&lt;&gt;""),AND(KD11&gt;=KH$22,KD11&lt;&gt;"",KE11&gt;=KH$26,KE11&lt;&gt;""),AND(KY11&gt;=LC$22,KY11&lt;&gt;"",KZ11&gt;=LC$26,KZ11&lt;&gt;""),AND(LT11&gt;=LX$22,LT11&lt;&gt;"",LU11&gt;=LX$26,LU11&lt;&gt;"")),"Worlds Team",IF(OR(AND(AH11&gt;=AL$21,AH11&lt;&gt;"",AI11&gt;=AL$25,AI11&lt;&gt;"",AG11=""),AND(BD11&gt;=BH$21,BD11&lt;&gt;"",BE11&gt;=BH$25,BE11&lt;&gt;"",BC11=""),AND(BZ11&gt;=CD$21,BZ11&lt;&gt;"",CA11&gt;=CD$25,CA11&lt;&gt;"",BY11=""),AND(CW11&gt;=DA$21,CW11&lt;&gt;"",CX11&gt;=DA$25,CX11&lt;&gt;""),AND(DR11&gt;=DV$21,DR11&lt;&gt;"",DS11&gt;=DV$25,DS11&lt;&gt;""),AND(EM11&gt;=EQ$21,EM11&lt;&gt;"",EN11&gt;=EQ$25,EN11&lt;&gt;""),AND(FH11&gt;=FL$21,FH11&lt;&gt;"",FI11&gt;=FL$25,FI11&lt;&gt;""),AND(GC11&gt;=GG$21,GC11&lt;&gt;"",GD11&gt;=GG$25,GD11&lt;&gt;""),AND(GX11&gt;=HB$21,GX11&lt;&gt;"",GY11&gt;=HB$25,GY11&lt;&gt;""),AND(HS11&gt;=HW$21,HS11&lt;&gt;"",HT11&gt;=HW$25,HT11&lt;&gt;""),AND(IN11&gt;=IR$21,IN11&lt;&gt;"",IO11&gt;=IR$25,IO11&lt;&gt;""),AND(JI11&gt;=JM$21,JI11&lt;&gt;"",JJ11&gt;=JM$25,JJ11&lt;&gt;""),AND(KD11&gt;=KH$21,KD11&lt;&gt;"",KE11&gt;=KH$25,KE11&lt;&gt;""),AND(KY11&gt;=LC$21,KY11&lt;&gt;"",KZ11&gt;=LC$25,KZ11&lt;&gt;""),AND(LT11&gt;=LX$21,LT11&lt;&gt;"",LU11&gt;=LX$25,LU11&lt;&gt;"")),"National Team","")))))</f>
        <v/>
      </c>
      <c r="I11" s="3" t="str">
        <f>IF(OR(H11="Worlds Team",H11="Excellence",H11="Merit"),"P","")</f>
        <v/>
      </c>
      <c r="J11" s="14">
        <f>MAX(AL11,BH11,CD11)</f>
        <v>131.20000000000002</v>
      </c>
      <c r="K11" s="14" t="str">
        <f>IF(J11=0,"",IF(J11=CD11,$BI$1,IF(J11=BH11,$AM$1,IF(J11=AL11,$Q$1,""))))</f>
        <v>2021 1st Virtual Technical Trial</v>
      </c>
      <c r="L11" s="14">
        <f>IF(J11=AL11,MAX(BE11,BG11,CA11,CC11),IF(J11=BH11,MAX(AI11,AK11,CA11,CC11),MAX(AI11,AK11,BE11,BG11)))</f>
        <v>64.8</v>
      </c>
      <c r="M11" s="14" t="str">
        <f>IF(L11=0,"",IF(AND(J11&lt;&gt;CD11,OR(L11=CA11,L11=CC11)),$BI$1,IF(AND(J11&lt;&gt;BH11,OR(L11=BG11,L11=BE11)),$AM$1,IF(OR(L11=AK11,L11=AI11),$Q$1,""))))</f>
        <v>2019 Nationals</v>
      </c>
      <c r="N11" s="14" t="str">
        <f>IF(MAX(CE11:CF11)&gt;0,MAX(CE11:CF11),"")</f>
        <v/>
      </c>
      <c r="O11" s="24" t="str">
        <f>IF(N11="","",IF(N11=CE11,"(4 Pass)",IF(N11=CF11,"(2 Pass)")))</f>
        <v/>
      </c>
      <c r="P11" s="14" t="str">
        <f>IF(N11="","",IF(N11=CE11,IF(N11+IF(J11="",0,J11)=DA11,$CG$1,IF(N11+IF(J11="",0,J11)=DV11,$DB$1,IF(N11+IF(J11="",0,J11)=EQ11,$DW$1,IF(N11+IF(J11="",0,J11)=FL11,$ER$1,IF(N11+IF(J11="",0,J11)=GG11,$FM$1,IF(N11+IF(J11="",0,J11)=HB11,$GH$1,IF(N11+IF(J11="",0,J11)=HW11,$HC$1,IF(N11+IF(J11="",0,J11)=IR11,$HX$1,IF(N11+IF(J11="",0,J11)=JM11,$IS$1,IF(N11+IF(J11="",0,J11)=KH11,$JN$1,IF(N11+IF(J11="",0,J11)=LC11,$KI$1,IF(N11+IF(J11="",0,J11)=LX11,$LD$1)))))))))))),IF(N11=CF11,IF(OR(N11+IF(L11="",0,L11)=CX11,N11+IF(L11="",0,L11)=CZ11),$CG$1,IF(OR(N11+IF(L11="",0,L11)=DS11,N11+IF(L11="",0,L11)=DU11),$DB$1,IF(OR(N11+IF(L11="",0,L11)=EN11,N11+IF(L11="",0,L11)=EP11),$DW$1,IF(OR(N11+IF(L11="",0,L11)=FI11,N11+IF(L11="",0,L11)=FK11),$ER$1,IF(OR(N11+IF(L11="",0,L11)=GD11,N11+IF(L11="",0,L11)=GF11),$FM$1,IF(OR(N11+IF(L11="",0,L11)=GY11,N11+IF(L11="",0,L11)=HA11),$GH$1,IF(OR(N11+IF(L11="",0,L11)=HT11,N11+IF(L11="",0,L11)=HV11),$HC$1,IF(OR(N11+IF(L11="",0,L11)=IO11,N11+IF(L11="",0,L11)=IQ11),$HX$1,IF(OR(N11+IF(L11="",0,L11)=JJ11,N11+IF(L11="",0,L11)=JL11),$IS$1,IF(OR(N11+IF(L11="",0,L11)=KE11,N11+IF(L11="",0,L11)=KG11),$JN$1,IF(OR(N11+IF(L11="",0,L11)=KZ11,N11+IF(L11="",0,L11)=LB11),$KI$1,IF(OR(N11+IF(L11="",0,L11)=LU11,N11+IF(L11="",0,L11)=LW11),$LD$1)))))))))))))))</f>
        <v/>
      </c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72"/>
      <c r="AH11" s="11" t="str">
        <f>IF(SUM(R11,V11)&gt;0,SUM(R11,V11),"")</f>
        <v/>
      </c>
      <c r="AI11" s="11" t="str">
        <f>IF(SUM(Q11:R11,T11:V11,X11)-SUM(S11,W11)&gt;0,SUM(Q11:R11,T11:V11,X11)-SUM(S11,W11),"")</f>
        <v/>
      </c>
      <c r="AJ11" s="11" t="str">
        <f>IF(SUM(Z11,AD11)&gt;0,SUM(Z11,AD11),"")</f>
        <v/>
      </c>
      <c r="AK11" s="11" t="str">
        <f>IF(SUM(Y11:Z11,AB11:AD11,AF11)-SUM(AA11,AE11)&gt;0,SUM(Y11:Z11,AB11:AD11,AF11)-SUM(AA11,AE11),"")</f>
        <v/>
      </c>
      <c r="AL11" s="11" t="str">
        <f>IF(SUM(AI11,AK11)&gt;0,SUM(AI11,AK11),"")</f>
        <v/>
      </c>
      <c r="AM11" s="36">
        <v>27.9</v>
      </c>
      <c r="AN11" s="36">
        <v>4.4000000000000004</v>
      </c>
      <c r="AO11" s="36">
        <v>0</v>
      </c>
      <c r="AP11" s="36">
        <v>0</v>
      </c>
      <c r="AQ11" s="36">
        <v>27.3</v>
      </c>
      <c r="AR11" s="36">
        <v>5.2</v>
      </c>
      <c r="AS11" s="36">
        <v>0</v>
      </c>
      <c r="AT11" s="36">
        <v>0</v>
      </c>
      <c r="AU11" s="36">
        <v>28.3</v>
      </c>
      <c r="AV11" s="36">
        <v>3.5</v>
      </c>
      <c r="AW11" s="36">
        <v>0.3</v>
      </c>
      <c r="AX11" s="36">
        <v>0</v>
      </c>
      <c r="AY11" s="36">
        <v>29</v>
      </c>
      <c r="AZ11" s="36">
        <v>3.7</v>
      </c>
      <c r="BA11" s="36">
        <v>0.9</v>
      </c>
      <c r="BB11" s="36">
        <v>0</v>
      </c>
      <c r="BC11" s="73"/>
      <c r="BD11" s="14">
        <f>IF(SUM(AN11,AR11)&gt;0,SUM(AN11,AR11),"")</f>
        <v>9.6000000000000014</v>
      </c>
      <c r="BE11" s="14">
        <f>IF(SUM(AM11:AN11,AP11:AR11,AT11)-SUM(AO11,AS11)&gt;0,SUM(AM11:AN11,AP11:AR11,AT11)-SUM(AO11,AS11),"")</f>
        <v>64.8</v>
      </c>
      <c r="BF11" s="14">
        <f>IF(SUM(AV11,AZ11)&gt;0,SUM(AV11,AZ11),"")</f>
        <v>7.2</v>
      </c>
      <c r="BG11" s="14">
        <f>IF(SUM(AU11:AV11,AX11:AZ11,BB11)-SUM(AW11,BA11)&gt;0,SUM(AU11:AV11,AX11:AZ11,BB11)-SUM(AW11,BA11),"")</f>
        <v>63.3</v>
      </c>
      <c r="BH11" s="14">
        <f>IF(SUM(BE11,BG11)&gt;0,SUM(BE11,BG11),"")</f>
        <v>128.1</v>
      </c>
      <c r="BI11" s="61">
        <v>28</v>
      </c>
      <c r="BJ11" s="61">
        <v>3</v>
      </c>
      <c r="BK11" s="61">
        <v>0.6</v>
      </c>
      <c r="BL11" s="61">
        <v>0</v>
      </c>
      <c r="BM11" s="61">
        <v>27.2</v>
      </c>
      <c r="BN11" s="61">
        <v>6.4</v>
      </c>
      <c r="BO11" s="61">
        <v>0.3</v>
      </c>
      <c r="BP11" s="61">
        <v>0</v>
      </c>
      <c r="BQ11" s="61">
        <v>28.1</v>
      </c>
      <c r="BR11" s="61">
        <v>6.4</v>
      </c>
      <c r="BS11" s="61">
        <v>0.3</v>
      </c>
      <c r="BT11" s="61">
        <v>0</v>
      </c>
      <c r="BU11" s="61">
        <v>28.1</v>
      </c>
      <c r="BV11" s="61">
        <v>6.4</v>
      </c>
      <c r="BW11" s="61">
        <v>1.2</v>
      </c>
      <c r="BX11" s="61">
        <v>0</v>
      </c>
      <c r="BY11" s="72"/>
      <c r="BZ11" s="11">
        <f>IF(SUM(BJ11,BN11)&gt;0,SUM(BJ11,BN11),"")</f>
        <v>9.4</v>
      </c>
      <c r="CA11" s="11">
        <f>IF(SUM(BI11:BJ11,BL11:BN11,BP11)-SUM(BK11,BO11)&gt;0,SUM(BI11:BJ11,BL11:BN11,BP11)-SUM(BK11,BO11),"")</f>
        <v>63.70000000000001</v>
      </c>
      <c r="CB11" s="11">
        <f>IF(SUM(BR11,BV11)&gt;0,SUM(BR11,BV11),"")</f>
        <v>12.8</v>
      </c>
      <c r="CC11" s="11">
        <f>IF(SUM(BQ11:BR11,BT11:BV11,BX11)-SUM(BS11,BW11)&gt;0,SUM(BQ11:BR11,BT11:BV11,BX11)-SUM(BS11,BW11),"")</f>
        <v>67.5</v>
      </c>
      <c r="CD11" s="11">
        <f>IF(SUM(CA11,CC11)&gt;0,SUM(CA11,CC11),"")</f>
        <v>131.20000000000002</v>
      </c>
      <c r="CE11" s="23" t="str">
        <f>IF(MAX(DA11,DV11,EQ11,FL11,GG11,HB11,HW11,IR11,JM11,KH11,LC11,LX11)-IF(J11="",0,J11)&gt;0.001,MAX(DA11,DV11,EQ11,FL11,GG11,HB11,HW11,IR11,JM11,KH11,LC11,LX11)-IF(J11="",0,J11),"")</f>
        <v/>
      </c>
      <c r="CF11" s="23" t="str">
        <f>IF(MAX(CX11,CZ11,DS11,DU11,EN11,EP11,FI11,FK11,GD11,GF11,GY11,HA11,HT11,HV11,IO11,IQ11,JJ11,JL11,KE11,KG11,KZ11,LB11,LU11,LW11)-IF(L11="",0,L11)&gt;0.001,MAX(CX11,CZ11,DS11,DU11,EN11,EP11,FI11,FK11,GD11,GF11,GY11,HA11,HT11,HV11,IO11,IQ11,JJ11,JL11,KE11,KG11,KZ11,LB11,LU11,LW11)-IF(L11="",0,L11),"")</f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1">
        <f>IF($BY11="P",BI11,(BI11+AM11)/2)</f>
        <v>27.95</v>
      </c>
      <c r="LZ11" s="61">
        <f>IF($BY11="P",BJ11,(BJ11+AN11)/2)</f>
        <v>3.7</v>
      </c>
      <c r="MA11" s="61">
        <f>IF($BY11="P",BK11,(BK11+AO11)/2)</f>
        <v>0.3</v>
      </c>
      <c r="MB11" s="61">
        <f>IF($BY11="P",BL11,(BL11+AP11)/2)</f>
        <v>0</v>
      </c>
      <c r="MC11" s="61">
        <f>IF($BY11="P",BM11,(BM11+AQ11)/2)</f>
        <v>27.25</v>
      </c>
      <c r="MD11" s="61">
        <f>IF($BY11="P",BN11,(BN11+AR11)/2)</f>
        <v>5.8000000000000007</v>
      </c>
      <c r="ME11" s="61">
        <f>IF($BY11="P",BO11,(BO11+AS11)/2)</f>
        <v>0.15</v>
      </c>
      <c r="MF11" s="61">
        <f>IF($BY11="P",BP11,(BP11+AT11)/2)</f>
        <v>0</v>
      </c>
      <c r="MG11" s="61">
        <f>IF($BY11="P",BQ11,(BQ11+AU11)/2)</f>
        <v>28.200000000000003</v>
      </c>
      <c r="MH11" s="61">
        <f>IF($BY11="P",BR11,(BR11+AV11)/2)</f>
        <v>4.95</v>
      </c>
      <c r="MI11" s="61">
        <f>IF($BY11="P",BS11,(BS11+AW11)/2)</f>
        <v>0.3</v>
      </c>
      <c r="MJ11" s="61">
        <f>IF($BY11="P",BT11,(BT11+AX11)/2)</f>
        <v>0</v>
      </c>
      <c r="MK11" s="61">
        <f>IF($BY11="P",BU11,(BU11+AY11)/2)</f>
        <v>28.55</v>
      </c>
      <c r="ML11" s="61">
        <f>IF($BY11="P",BV11,(BV11+AZ11)/2)</f>
        <v>5.0500000000000007</v>
      </c>
      <c r="MM11" s="61">
        <f>IF($BY11="P",BW11,(BW11+BA11)/2)</f>
        <v>1.05</v>
      </c>
      <c r="MN11" s="61">
        <f>IF($BY11="P",BX11,(BX11+BB11)/2)</f>
        <v>0</v>
      </c>
      <c r="MO11" s="72" t="s">
        <v>52</v>
      </c>
      <c r="MP11" s="11">
        <f>IF(SUM(LZ11,MD11)&gt;0,SUM(LZ11,MD11),"")</f>
        <v>9.5</v>
      </c>
      <c r="MQ11" s="11">
        <f>IF(SUM(LY11:LZ11,MB11:MD11,MF11)-SUM(MA11,ME11)&gt;0,SUM(LY11:LZ11,MB11:MD11,MF11)-SUM(MA11,ME11),"")</f>
        <v>64.25</v>
      </c>
      <c r="MR11" s="11">
        <f>IF(SUM(MH11,ML11)&gt;0,SUM(MH11,ML11),"")</f>
        <v>10</v>
      </c>
      <c r="MS11" s="11">
        <f>IF(SUM(MG11:MH11,MJ11:ML11,MN11)-SUM(MI11,MM11)&gt;0,SUM(MG11:MH11,MJ11:ML11,MN11)-SUM(MI11,MM11),"")</f>
        <v>65.400000000000006</v>
      </c>
      <c r="MT11" s="11">
        <f>IF(SUM(MQ11,MS11)&gt;0,SUM(MQ11,MS11),"")</f>
        <v>129.65</v>
      </c>
    </row>
    <row r="12" spans="1:358" x14ac:dyDescent="0.2">
      <c r="A12" s="5" t="str">
        <f>IF(AND(F12="P",G12="P"),SUMPRODUCT((F$4:F$19="P")*(G$4:G$19="P")*(E$4:E$19&gt;E12))+1,IF(G12="P",SUMPRODUCT((F$4:F$19="")*(G$4:G$19="P")*(E$4:E$19&gt;E12))+1+SUMPRODUCT((F$4:F$19="P")*(G$4:G$19="P")),""))</f>
        <v/>
      </c>
      <c r="B12" s="8" t="s">
        <v>99</v>
      </c>
      <c r="C12" s="4" t="s">
        <v>4</v>
      </c>
      <c r="D12" s="5">
        <v>2003</v>
      </c>
      <c r="E12" s="15">
        <f>SUM(J12:N12)</f>
        <v>194.70000000000002</v>
      </c>
      <c r="F12" s="3" t="str">
        <f>IF(OR(AND(AH12&gt;=AL$21,AI12&gt;=AL$25,AI12&lt;&gt;"",AG12=""),AND(BD12&gt;=BH$21,BE12&gt;=BH$25,BE12&lt;&gt;"",BC12=""),AND(BZ12&gt;=CD$21,CA12&gt;=CD$25,CA12&lt;&gt;"",BY12=""),AND(CW12&gt;=DA$21,CX12&gt;=DA$25,CX12&lt;&gt;""),AND(DR12&gt;=DV$21,DS12&gt;=DV$25,DS12&lt;&gt;""),AND(EM12&gt;=EQ$21,EN12&gt;=EQ$25,EN12&lt;&gt;""),AND(FH12&gt;=FL$21,FI12&gt;=FL$25,FI12&lt;&gt;""),AND(GC12&gt;=GG$21,GD12&gt;=GG$25,GD12&lt;&gt;""),AND(GX12&gt;=HB$21,GY12&gt;=HB$25,GY12&lt;&gt;""),AND(HS12&gt;=HW$21,HT12&gt;=HW$25,HT12&lt;&gt;""),AND(IN12&gt;=IR$21,IO12&gt;=IR$25,IO12&lt;&gt;""),AND(JI12&gt;=JM$21,JJ12&gt;=JM$25,JJ12&lt;&gt;""),AND(KD12&gt;=KH$21,KE12&gt;=KH$25,KE12&lt;&gt;""),AND(KY12&gt;=LC$21,KZ12&gt;=LC$25,KZ12&lt;&gt;""),AND(LT12&gt;=LX$21,LU12&gt;=LX$25,LU12&lt;&gt;"")),"P","")</f>
        <v/>
      </c>
      <c r="G12" s="3" t="str">
        <f>IF(OR(AND(AI12&gt;=AL$25,AI12&lt;&gt;"",AG12=""),AND(BE12&gt;=BH$25,BE12&lt;&gt;"",BC12=""),AND(CA12&gt;=CD$25,CA12&lt;&gt;"",BY12=""),AND(CX12&gt;=DA$25,CX12&lt;&gt;""),AND(DS12&gt;=DV$25,DS12&lt;&gt;""),AND(EN12&gt;=EQ$25,EN12&lt;&gt;""),AND(FI12&gt;=FL$25,FI12&lt;&gt;""),AND(GD12&gt;=GG$25,GD12&lt;&gt;""),AND(GY12&gt;=HB$25,GY12&lt;&gt;""),AND(HT12&gt;=HW$25,HT12&lt;&gt;""),AND(IO12&gt;=IR$25,IO12&lt;&gt;""),AND(JJ12&gt;=JM$25,JJ12&lt;&gt;""),AND(KE12&gt;=KH$25,KE12&lt;&gt;""),AND(KZ12&gt;=LC$25,KZ12&lt;&gt;""),AND(LU12&gt;=LX$25,LU12&lt;&gt;"")),"P","")</f>
        <v/>
      </c>
      <c r="H12" s="116" t="str">
        <f>IF(AND(G12="P",F12=""),"No DD",IF(OR(AND(AH12&gt;=AL$24,AH12&lt;&gt;"",AI12&gt;=AL$28,AI12&lt;&gt;"",AG12=""),AND(BD12&gt;=BH$24,BD12&lt;&gt;"",BE12&gt;=BH$28,BE12&lt;&gt;"",BC12=""),AND(BZ12&gt;=CD$24,BZ12&lt;&gt;"",CA12&gt;=CD$28,CA12&lt;&gt;"",BY12=""),AND(CW12&gt;=DA$24,CW12&lt;&gt;"",CX12&gt;=DA$28,CX12&lt;&gt;""),AND(DR12&gt;=DV$24,DR12&lt;&gt;"",DS12&gt;=DV$28,DS12&lt;&gt;""),AND(EM12&gt;=EQ$24,EM12&lt;&gt;"",EN12&gt;=EQ$28,EN12&lt;&gt;""),AND(FH12&gt;=FL$24,FH12&lt;&gt;"",FI12&gt;=FL$28,FI12&lt;&gt;""),AND(GC12&gt;=GG$24,GC12&lt;&gt;"",GD12&gt;=GG$28,GD12&lt;&gt;""),AND(GX12&gt;=HB$24,GX12&lt;&gt;"",GY12&gt;=HB$28,GY12&lt;&gt;""),AND(HS12&gt;=HW$24,HS12&lt;&gt;"",HT12&gt;=HW$28,HT12&lt;&gt;""),AND(IN12&gt;=IR$24,IN12&lt;&gt;"",IO12&gt;=IR$28,IO12&lt;&gt;""),AND(JI12&gt;=JM$24,JI12&lt;&gt;"",JJ12&gt;=JM$28,JJ12&lt;&gt;""),AND(KD12&gt;=KH$24,KD12&lt;&gt;"",KE12&gt;=KH$28,KE12&lt;&gt;""),AND(KY12&gt;=LC$24,KY12&lt;&gt;"",KZ12&gt;=LC$28,KZ12&lt;&gt;""),AND(LT12&gt;=LX$24,LT12&lt;&gt;"",LU12&gt;=LX$28,LU12&lt;&gt;"")),"Merit",IF(OR(AND(AH12&gt;=AL$23,AH12&lt;&gt;"",AI12&gt;=AL$27,AI12&lt;&gt;"",AG12=""),AND(BD12&gt;=BH$23,BD12&lt;&gt;"",BE12&gt;=BH$27,BE12&lt;&gt;"",BC12=""),AND(BZ12&gt;=CD$23,BZ12&lt;&gt;"",CA12&gt;=CD$27,CA12&lt;&gt;"",BY12=""),AND(CW12&gt;=DA$23,CW12&lt;&gt;"",CX12&gt;=DA$27,CX12&lt;&gt;""),AND(DR12&gt;=DV$23,DR12&lt;&gt;"",DS12&gt;=DV$27,DS12&lt;&gt;""),AND(EM12&gt;=EQ$23,EM12&lt;&gt;"",EN12&gt;=EQ$27,EN12&lt;&gt;""),AND(FH12&gt;=FL$23,FH12&lt;&gt;"",FI12&gt;=FL$27,FI12&lt;&gt;""),AND(GC12&gt;=GG$23,GC12&lt;&gt;"",GD12&gt;=GG$27,GD12&lt;&gt;""),AND(GX12&gt;=HB$23,GX12&lt;&gt;"",GY12&gt;=HB$27,GY12&lt;&gt;""),AND(HS12&gt;=HW$23,HS12&lt;&gt;"",HT12&gt;=HW$27,HT12&lt;&gt;""),AND(IN12&gt;=IR$23,IN12&lt;&gt;"",IO12&gt;=IR$27,IO12&lt;&gt;""),AND(JI12&gt;=JM$23,JI12&lt;&gt;"",JJ12&gt;=JM$27,JJ12&lt;&gt;""),AND(KD12&gt;=KH$23,KD12&lt;&gt;"",KE12&gt;=KH$27,KE12&lt;&gt;""),AND(KY12&gt;=LC$23,KY12&lt;&gt;"",KZ12&gt;=LC$27,KZ12&lt;&gt;""),AND(LT12&gt;=LX$23,LT12&lt;&gt;"",LU12&gt;=LX$27,LU12&lt;&gt;"")),"Excellence",IF(OR(AND(AH12&gt;=AL$22,AH12&lt;&gt;"",AI12&gt;=AL$26,AI12&lt;&gt;"",AG12=""),AND(BD12&gt;=BH$22,BD12&lt;&gt;"",BE12&gt;=BH$26,BE12&lt;&gt;"",BC12=""),AND(BZ12&gt;=CD$22,BZ12&lt;&gt;"",CA12&gt;=CD$26,CA12&lt;&gt;"",BY12=""),AND(CW12&gt;=DA$22,CW12&lt;&gt;"",CX12&gt;=DA$26,CX12&lt;&gt;""),AND(DR12&gt;=DV$22,DR12&lt;&gt;"",DS12&gt;=DV$26,DS12&lt;&gt;""),AND(EM12&gt;=EQ$22,EM12&lt;&gt;"",EN12&gt;=EQ$26,EN12&lt;&gt;""),AND(FH12&gt;=FL$22,FH12&lt;&gt;"",FI12&gt;=FL$26,FI12&lt;&gt;""),AND(GC12&gt;=GG$22,GC12&lt;&gt;"",GD12&gt;=GG$26,GD12&lt;&gt;""),AND(GX12&gt;=HB$22,GX12&lt;&gt;"",GY12&gt;=HB$26,GY12&lt;&gt;""),AND(HS12&gt;=HW$22,HS12&lt;&gt;"",HT12&gt;=HW$26,HT12&lt;&gt;""),AND(IN12&gt;=IR$22,IN12&lt;&gt;"",IO12&gt;=IR$26,IO12&lt;&gt;""),AND(JI12&gt;=JM$22,JI12&lt;&gt;"",JJ12&gt;=JM$26,JJ12&lt;&gt;""),AND(KD12&gt;=KH$22,KD12&lt;&gt;"",KE12&gt;=KH$26,KE12&lt;&gt;""),AND(KY12&gt;=LC$22,KY12&lt;&gt;"",KZ12&gt;=LC$26,KZ12&lt;&gt;""),AND(LT12&gt;=LX$22,LT12&lt;&gt;"",LU12&gt;=LX$26,LU12&lt;&gt;"")),"Worlds Team",IF(OR(AND(AH12&gt;=AL$21,AH12&lt;&gt;"",AI12&gt;=AL$25,AI12&lt;&gt;"",AG12=""),AND(BD12&gt;=BH$21,BD12&lt;&gt;"",BE12&gt;=BH$25,BE12&lt;&gt;"",BC12=""),AND(BZ12&gt;=CD$21,BZ12&lt;&gt;"",CA12&gt;=CD$25,CA12&lt;&gt;"",BY12=""),AND(CW12&gt;=DA$21,CW12&lt;&gt;"",CX12&gt;=DA$25,CX12&lt;&gt;""),AND(DR12&gt;=DV$21,DR12&lt;&gt;"",DS12&gt;=DV$25,DS12&lt;&gt;""),AND(EM12&gt;=EQ$21,EM12&lt;&gt;"",EN12&gt;=EQ$25,EN12&lt;&gt;""),AND(FH12&gt;=FL$21,FH12&lt;&gt;"",FI12&gt;=FL$25,FI12&lt;&gt;""),AND(GC12&gt;=GG$21,GC12&lt;&gt;"",GD12&gt;=GG$25,GD12&lt;&gt;""),AND(GX12&gt;=HB$21,GX12&lt;&gt;"",GY12&gt;=HB$25,GY12&lt;&gt;""),AND(HS12&gt;=HW$21,HS12&lt;&gt;"",HT12&gt;=HW$25,HT12&lt;&gt;""),AND(IN12&gt;=IR$21,IN12&lt;&gt;"",IO12&gt;=IR$25,IO12&lt;&gt;""),AND(JI12&gt;=JM$21,JI12&lt;&gt;"",JJ12&gt;=JM$25,JJ12&lt;&gt;""),AND(KD12&gt;=KH$21,KD12&lt;&gt;"",KE12&gt;=KH$25,KE12&lt;&gt;""),AND(KY12&gt;=LC$21,KY12&lt;&gt;"",KZ12&gt;=LC$25,KZ12&lt;&gt;""),AND(LT12&gt;=LX$21,LT12&lt;&gt;"",LU12&gt;=LX$25,LU12&lt;&gt;"")),"National Team","")))))</f>
        <v/>
      </c>
      <c r="I12" s="3" t="str">
        <f>IF(OR(H12="Worlds Team",H12="Excellence",H12="Merit"),"P","")</f>
        <v/>
      </c>
      <c r="J12" s="14">
        <f>MAX(AL12,BH12,CD12)</f>
        <v>127.30000000000001</v>
      </c>
      <c r="K12" s="14" t="str">
        <f>IF(J12=0,"",IF(J12=CD12,$BI$1,IF(J12=BH12,$AM$1,IF(J12=AL12,$Q$1,""))))</f>
        <v>2019 Elite Canada</v>
      </c>
      <c r="L12" s="14">
        <f>IF(J12=AL12,MAX(BE12,BG12,CA12,CC12),IF(J12=BH12,MAX(AI12,AK12,CA12,CC12),MAX(AI12,AK12,BE12,BG12)))</f>
        <v>67.400000000000006</v>
      </c>
      <c r="M12" s="14" t="str">
        <f>IF(L12=0,"",IF(AND(J12&lt;&gt;CD12,OR(L12=CA12,L12=CC12)),$BI$1,IF(AND(J12&lt;&gt;BH12,OR(L12=BG12,L12=BE12)),$AM$1,IF(OR(L12=AK12,L12=AI12),$Q$1,""))))</f>
        <v>2019 Nationals</v>
      </c>
      <c r="N12" s="14" t="str">
        <f>IF(MAX(CE12:CF12)&gt;0,MAX(CE12:CF12),"")</f>
        <v/>
      </c>
      <c r="O12" s="24" t="str">
        <f>IF(N12="","",IF(N12=CE12,"(4 Pass)",IF(N12=CF12,"(2 Pass)")))</f>
        <v/>
      </c>
      <c r="P12" s="14" t="str">
        <f>IF(N12="","",IF(N12=CE12,IF(N12+IF(J12="",0,J12)=DA12,$CG$1,IF(N12+IF(J12="",0,J12)=DV12,$DB$1,IF(N12+IF(J12="",0,J12)=EQ12,$DW$1,IF(N12+IF(J12="",0,J12)=FL12,$ER$1,IF(N12+IF(J12="",0,J12)=GG12,$FM$1,IF(N12+IF(J12="",0,J12)=HB12,$GH$1,IF(N12+IF(J12="",0,J12)=HW12,$HC$1,IF(N12+IF(J12="",0,J12)=IR12,$HX$1,IF(N12+IF(J12="",0,J12)=JM12,$IS$1,IF(N12+IF(J12="",0,J12)=KH12,$JN$1,IF(N12+IF(J12="",0,J12)=LC12,$KI$1,IF(N12+IF(J12="",0,J12)=LX12,$LD$1)))))))))))),IF(N12=CF12,IF(OR(N12+IF(L12="",0,L12)=CX12,N12+IF(L12="",0,L12)=CZ12),$CG$1,IF(OR(N12+IF(L12="",0,L12)=DS12,N12+IF(L12="",0,L12)=DU12),$DB$1,IF(OR(N12+IF(L12="",0,L12)=EN12,N12+IF(L12="",0,L12)=EP12),$DW$1,IF(OR(N12+IF(L12="",0,L12)=FI12,N12+IF(L12="",0,L12)=FK12),$ER$1,IF(OR(N12+IF(L12="",0,L12)=GD12,N12+IF(L12="",0,L12)=GF12),$FM$1,IF(OR(N12+IF(L12="",0,L12)=GY12,N12+IF(L12="",0,L12)=HA12),$GH$1,IF(OR(N12+IF(L12="",0,L12)=HT12,N12+IF(L12="",0,L12)=HV12),$HC$1,IF(OR(N12+IF(L12="",0,L12)=IO12,N12+IF(L12="",0,L12)=IQ12),$HX$1,IF(OR(N12+IF(L12="",0,L12)=JJ12,N12+IF(L12="",0,L12)=JL12),$IS$1,IF(OR(N12+IF(L12="",0,L12)=KE12,N12+IF(L12="",0,L12)=KG12),$JN$1,IF(OR(N12+IF(L12="",0,L12)=KZ12,N12+IF(L12="",0,L12)=LB12),$KI$1,IF(OR(N12+IF(L12="",0,L12)=LU12,N12+IF(L12="",0,L12)=LW12),$LD$1)))))))))))))))</f>
        <v/>
      </c>
      <c r="Q12" s="61">
        <v>27.4</v>
      </c>
      <c r="R12" s="61">
        <v>2.9</v>
      </c>
      <c r="S12" s="61">
        <v>2.6</v>
      </c>
      <c r="T12" s="61">
        <v>0</v>
      </c>
      <c r="U12" s="61">
        <v>27.8</v>
      </c>
      <c r="V12" s="61">
        <v>5.2</v>
      </c>
      <c r="W12" s="61">
        <v>0</v>
      </c>
      <c r="X12" s="61">
        <v>0</v>
      </c>
      <c r="Y12" s="61">
        <v>27.2</v>
      </c>
      <c r="Z12" s="61">
        <v>6.8</v>
      </c>
      <c r="AA12" s="61">
        <v>1.5</v>
      </c>
      <c r="AB12" s="61">
        <v>0</v>
      </c>
      <c r="AC12" s="61">
        <v>27.7</v>
      </c>
      <c r="AD12" s="61">
        <v>6.4</v>
      </c>
      <c r="AE12" s="61">
        <v>0</v>
      </c>
      <c r="AF12" s="61">
        <v>0</v>
      </c>
      <c r="AG12" s="72"/>
      <c r="AH12" s="11">
        <f>IF(SUM(R12,V12)&gt;0,SUM(R12,V12),"")</f>
        <v>8.1</v>
      </c>
      <c r="AI12" s="11">
        <f>IF(SUM(Q12:R12,T12:V12,X12)-SUM(S12,W12)&gt;0,SUM(Q12:R12,T12:V12,X12)-SUM(S12,W12),"")</f>
        <v>60.699999999999996</v>
      </c>
      <c r="AJ12" s="11">
        <f>IF(SUM(Z12,AD12)&gt;0,SUM(Z12,AD12),"")</f>
        <v>13.2</v>
      </c>
      <c r="AK12" s="11">
        <f>IF(SUM(Y12:Z12,AB12:AD12,AF12)-SUM(AA12,AE12)&gt;0,SUM(Y12:Z12,AB12:AD12,AF12)-SUM(AA12,AE12),"")</f>
        <v>66.600000000000009</v>
      </c>
      <c r="AL12" s="11">
        <f>IF(SUM(AI12,AK12)&gt;0,SUM(AI12,AK12),"")</f>
        <v>127.30000000000001</v>
      </c>
      <c r="AM12" s="36">
        <v>28.6</v>
      </c>
      <c r="AN12" s="36">
        <v>6.8</v>
      </c>
      <c r="AO12" s="36">
        <v>0.9</v>
      </c>
      <c r="AP12" s="36">
        <v>0</v>
      </c>
      <c r="AQ12" s="36">
        <v>27.4</v>
      </c>
      <c r="AR12" s="36">
        <v>6.4</v>
      </c>
      <c r="AS12" s="36">
        <v>0.9</v>
      </c>
      <c r="AT12" s="36">
        <v>0</v>
      </c>
      <c r="AU12" s="36"/>
      <c r="AV12" s="36"/>
      <c r="AW12" s="36"/>
      <c r="AX12" s="36"/>
      <c r="AY12" s="36"/>
      <c r="AZ12" s="36"/>
      <c r="BA12" s="36"/>
      <c r="BB12" s="36"/>
      <c r="BC12" s="73"/>
      <c r="BD12" s="14">
        <f>IF(SUM(AN12,AR12)&gt;0,SUM(AN12,AR12),"")</f>
        <v>13.2</v>
      </c>
      <c r="BE12" s="14">
        <f>IF(SUM(AM12:AN12,AP12:AR12,AT12)-SUM(AO12,AS12)&gt;0,SUM(AM12:AN12,AP12:AR12,AT12)-SUM(AO12,AS12),"")</f>
        <v>67.400000000000006</v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>
        <f>IF(SUM(BE12,BG12)&gt;0,SUM(BE12,BG12),"")</f>
        <v>67.400000000000006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72"/>
      <c r="BZ12" s="11" t="str">
        <f>IF(SUM(BJ12,BN12)&gt;0,SUM(BJ12,BN12),"")</f>
        <v/>
      </c>
      <c r="CA12" s="11" t="str">
        <f>IF(SUM(BI12:BJ12,BL12:BN12,BP12)-SUM(BK12,BO12)&gt;0,SUM(BI12:BJ12,BL12:BN12,BP12)-SUM(BK12,BO12),"")</f>
        <v/>
      </c>
      <c r="CB12" s="11" t="str">
        <f>IF(SUM(BR12,BV12)&gt;0,SUM(BR12,BV12),"")</f>
        <v/>
      </c>
      <c r="CC12" s="11" t="str">
        <f>IF(SUM(BQ12:BR12,BT12:BV12,BX12)-SUM(BS12,BW12)&gt;0,SUM(BQ12:BR12,BT12:BV12,BX12)-SUM(BS12,BW12),"")</f>
        <v/>
      </c>
      <c r="CD12" s="11" t="str">
        <f>IF(SUM(CA12,CC12)&gt;0,SUM(CA12,CC12),"")</f>
        <v/>
      </c>
      <c r="CE12" s="23" t="str">
        <f>IF(MAX(DA12,DV12,EQ12,FL12,GG12,HB12,HW12,IR12,JM12,KH12,LC12,LX12)-IF(J12="",0,J12)&gt;0.001,MAX(DA12,DV12,EQ12,FL12,GG12,HB12,HW12,IR12,JM12,KH12,LC12,LX12)-IF(J12="",0,J12),"")</f>
        <v/>
      </c>
      <c r="CF12" s="23" t="str">
        <f>IF(MAX(CX12,CZ12,DS12,DU12,EN12,EP12,FI12,FK12,GD12,GF12,GY12,HA12,HT12,HV12,IO12,IQ12,JJ12,JL12,KE12,KG12,KZ12,LB12,LU12,LW12)-IF(L12="",0,L12)&gt;0.001,MAX(CX12,CZ12,DS12,DU12,EN12,EP12,FI12,FK12,GD12,GF12,GY12,HA12,HT12,HV12,IO12,IQ12,JJ12,JL12,KE12,KG12,KZ12,LB12,LU12,LW12)-IF(L12="",0,L12),"")</f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1">
        <f>IF($BY12="P",BI12,(BI12+AM12)/2)</f>
        <v>14.3</v>
      </c>
      <c r="LZ12" s="61">
        <f>IF($BY12="P",BJ12,(BJ12+AN12)/2)</f>
        <v>3.4</v>
      </c>
      <c r="MA12" s="61">
        <f>IF($BY12="P",BK12,(BK12+AO12)/2)</f>
        <v>0.45</v>
      </c>
      <c r="MB12" s="61">
        <f>IF($BY12="P",BL12,(BL12+AP12)/2)</f>
        <v>0</v>
      </c>
      <c r="MC12" s="61">
        <f>IF($BY12="P",BM12,(BM12+AQ12)/2)</f>
        <v>13.7</v>
      </c>
      <c r="MD12" s="61">
        <f>IF($BY12="P",BN12,(BN12+AR12)/2)</f>
        <v>3.2</v>
      </c>
      <c r="ME12" s="61">
        <f>IF($BY12="P",BO12,(BO12+AS12)/2)</f>
        <v>0.45</v>
      </c>
      <c r="MF12" s="61">
        <f>IF($BY12="P",BP12,(BP12+AT12)/2)</f>
        <v>0</v>
      </c>
      <c r="MG12" s="61">
        <f>IF($BY12="P",BQ12,(BQ12+AU12)/2)</f>
        <v>0</v>
      </c>
      <c r="MH12" s="61">
        <f>IF($BY12="P",BR12,(BR12+AV12)/2)</f>
        <v>0</v>
      </c>
      <c r="MI12" s="61">
        <f>IF($BY12="P",BS12,(BS12+AW12)/2)</f>
        <v>0</v>
      </c>
      <c r="MJ12" s="61">
        <f>IF($BY12="P",BT12,(BT12+AX12)/2)</f>
        <v>0</v>
      </c>
      <c r="MK12" s="61">
        <f>IF($BY12="P",BU12,(BU12+AY12)/2)</f>
        <v>0</v>
      </c>
      <c r="ML12" s="61">
        <f>IF($BY12="P",BV12,(BV12+AZ12)/2)</f>
        <v>0</v>
      </c>
      <c r="MM12" s="61">
        <f>IF($BY12="P",BW12,(BW12+BA12)/2)</f>
        <v>0</v>
      </c>
      <c r="MN12" s="61">
        <f>IF($BY12="P",BX12,(BX12+BB12)/2)</f>
        <v>0</v>
      </c>
      <c r="MO12" s="72" t="s">
        <v>52</v>
      </c>
      <c r="MP12" s="11">
        <f>IF(SUM(LZ12,MD12)&gt;0,SUM(LZ12,MD12),"")</f>
        <v>6.6</v>
      </c>
      <c r="MQ12" s="11">
        <f>IF(SUM(LY12:LZ12,MB12:MD12,MF12)-SUM(MA12,ME12)&gt;0,SUM(LY12:LZ12,MB12:MD12,MF12)-SUM(MA12,ME12),"")</f>
        <v>33.700000000000003</v>
      </c>
      <c r="MR12" s="11" t="str">
        <f>IF(SUM(MH12,ML12)&gt;0,SUM(MH12,ML12),"")</f>
        <v/>
      </c>
      <c r="MS12" s="11" t="str">
        <f>IF(SUM(MG12:MH12,MJ12:ML12,MN12)-SUM(MI12,MM12)&gt;0,SUM(MG12:MH12,MJ12:ML12,MN12)-SUM(MI12,MM12),"")</f>
        <v/>
      </c>
      <c r="MT12" s="11">
        <f>IF(SUM(MQ12,MS12)&gt;0,SUM(MQ12,MS12),"")</f>
        <v>33.700000000000003</v>
      </c>
    </row>
    <row r="13" spans="1:358" x14ac:dyDescent="0.2">
      <c r="A13" s="5" t="str">
        <f>IF(AND(F13="P",G13="P"),SUMPRODUCT((F$4:F$19="P")*(G$4:G$19="P")*(E$4:E$19&gt;E13))+1,IF(G13="P",SUMPRODUCT((F$4:F$19="")*(G$4:G$19="P")*(E$4:E$19&gt;E13))+1+SUMPRODUCT((F$4:F$19="P")*(G$4:G$19="P")),""))</f>
        <v/>
      </c>
      <c r="B13" s="8" t="s">
        <v>113</v>
      </c>
      <c r="C13" s="4" t="s">
        <v>5</v>
      </c>
      <c r="D13" s="5">
        <v>2002</v>
      </c>
      <c r="E13" s="15">
        <f>SUM(J13:N13)</f>
        <v>189.10000000000002</v>
      </c>
      <c r="F13" s="3" t="str">
        <f>IF(OR(AND(AH13&gt;=AL$21,AI13&gt;=AL$25,AI13&lt;&gt;"",AG13=""),AND(BD13&gt;=BH$21,BE13&gt;=BH$25,BE13&lt;&gt;"",BC13=""),AND(BZ13&gt;=CD$21,CA13&gt;=CD$25,CA13&lt;&gt;"",BY13=""),AND(CW13&gt;=DA$21,CX13&gt;=DA$25,CX13&lt;&gt;""),AND(DR13&gt;=DV$21,DS13&gt;=DV$25,DS13&lt;&gt;""),AND(EM13&gt;=EQ$21,EN13&gt;=EQ$25,EN13&lt;&gt;""),AND(FH13&gt;=FL$21,FI13&gt;=FL$25,FI13&lt;&gt;""),AND(GC13&gt;=GG$21,GD13&gt;=GG$25,GD13&lt;&gt;""),AND(GX13&gt;=HB$21,GY13&gt;=HB$25,GY13&lt;&gt;""),AND(HS13&gt;=HW$21,HT13&gt;=HW$25,HT13&lt;&gt;""),AND(IN13&gt;=IR$21,IO13&gt;=IR$25,IO13&lt;&gt;""),AND(JI13&gt;=JM$21,JJ13&gt;=JM$25,JJ13&lt;&gt;""),AND(KD13&gt;=KH$21,KE13&gt;=KH$25,KE13&lt;&gt;""),AND(KY13&gt;=LC$21,KZ13&gt;=LC$25,KZ13&lt;&gt;""),AND(LT13&gt;=LX$21,LU13&gt;=LX$25,LU13&lt;&gt;"")),"P","")</f>
        <v/>
      </c>
      <c r="G13" s="3" t="str">
        <f>IF(OR(AND(AI13&gt;=AL$25,AI13&lt;&gt;"",AG13=""),AND(BE13&gt;=BH$25,BE13&lt;&gt;"",BC13=""),AND(CA13&gt;=CD$25,CA13&lt;&gt;"",BY13=""),AND(CX13&gt;=DA$25,CX13&lt;&gt;""),AND(DS13&gt;=DV$25,DS13&lt;&gt;""),AND(EN13&gt;=EQ$25,EN13&lt;&gt;""),AND(FI13&gt;=FL$25,FI13&lt;&gt;""),AND(GD13&gt;=GG$25,GD13&lt;&gt;""),AND(GY13&gt;=HB$25,GY13&lt;&gt;""),AND(HT13&gt;=HW$25,HT13&lt;&gt;""),AND(IO13&gt;=IR$25,IO13&lt;&gt;""),AND(JJ13&gt;=JM$25,JJ13&lt;&gt;""),AND(KE13&gt;=KH$25,KE13&lt;&gt;""),AND(KZ13&gt;=LC$25,KZ13&lt;&gt;""),AND(LU13&gt;=LX$25,LU13&lt;&gt;"")),"P","")</f>
        <v/>
      </c>
      <c r="H13" s="116" t="str">
        <f>IF(AND(G13="P",F13=""),"No DD",IF(OR(AND(AH13&gt;=AL$24,AH13&lt;&gt;"",AI13&gt;=AL$28,AI13&lt;&gt;"",AG13=""),AND(BD13&gt;=BH$24,BD13&lt;&gt;"",BE13&gt;=BH$28,BE13&lt;&gt;"",BC13=""),AND(BZ13&gt;=CD$24,BZ13&lt;&gt;"",CA13&gt;=CD$28,CA13&lt;&gt;"",BY13=""),AND(CW13&gt;=DA$24,CW13&lt;&gt;"",CX13&gt;=DA$28,CX13&lt;&gt;""),AND(DR13&gt;=DV$24,DR13&lt;&gt;"",DS13&gt;=DV$28,DS13&lt;&gt;""),AND(EM13&gt;=EQ$24,EM13&lt;&gt;"",EN13&gt;=EQ$28,EN13&lt;&gt;""),AND(FH13&gt;=FL$24,FH13&lt;&gt;"",FI13&gt;=FL$28,FI13&lt;&gt;""),AND(GC13&gt;=GG$24,GC13&lt;&gt;"",GD13&gt;=GG$28,GD13&lt;&gt;""),AND(GX13&gt;=HB$24,GX13&lt;&gt;"",GY13&gt;=HB$28,GY13&lt;&gt;""),AND(HS13&gt;=HW$24,HS13&lt;&gt;"",HT13&gt;=HW$28,HT13&lt;&gt;""),AND(IN13&gt;=IR$24,IN13&lt;&gt;"",IO13&gt;=IR$28,IO13&lt;&gt;""),AND(JI13&gt;=JM$24,JI13&lt;&gt;"",JJ13&gt;=JM$28,JJ13&lt;&gt;""),AND(KD13&gt;=KH$24,KD13&lt;&gt;"",KE13&gt;=KH$28,KE13&lt;&gt;""),AND(KY13&gt;=LC$24,KY13&lt;&gt;"",KZ13&gt;=LC$28,KZ13&lt;&gt;""),AND(LT13&gt;=LX$24,LT13&lt;&gt;"",LU13&gt;=LX$28,LU13&lt;&gt;"")),"Merit",IF(OR(AND(AH13&gt;=AL$23,AH13&lt;&gt;"",AI13&gt;=AL$27,AI13&lt;&gt;"",AG13=""),AND(BD13&gt;=BH$23,BD13&lt;&gt;"",BE13&gt;=BH$27,BE13&lt;&gt;"",BC13=""),AND(BZ13&gt;=CD$23,BZ13&lt;&gt;"",CA13&gt;=CD$27,CA13&lt;&gt;"",BY13=""),AND(CW13&gt;=DA$23,CW13&lt;&gt;"",CX13&gt;=DA$27,CX13&lt;&gt;""),AND(DR13&gt;=DV$23,DR13&lt;&gt;"",DS13&gt;=DV$27,DS13&lt;&gt;""),AND(EM13&gt;=EQ$23,EM13&lt;&gt;"",EN13&gt;=EQ$27,EN13&lt;&gt;""),AND(FH13&gt;=FL$23,FH13&lt;&gt;"",FI13&gt;=FL$27,FI13&lt;&gt;""),AND(GC13&gt;=GG$23,GC13&lt;&gt;"",GD13&gt;=GG$27,GD13&lt;&gt;""),AND(GX13&gt;=HB$23,GX13&lt;&gt;"",GY13&gt;=HB$27,GY13&lt;&gt;""),AND(HS13&gt;=HW$23,HS13&lt;&gt;"",HT13&gt;=HW$27,HT13&lt;&gt;""),AND(IN13&gt;=IR$23,IN13&lt;&gt;"",IO13&gt;=IR$27,IO13&lt;&gt;""),AND(JI13&gt;=JM$23,JI13&lt;&gt;"",JJ13&gt;=JM$27,JJ13&lt;&gt;""),AND(KD13&gt;=KH$23,KD13&lt;&gt;"",KE13&gt;=KH$27,KE13&lt;&gt;""),AND(KY13&gt;=LC$23,KY13&lt;&gt;"",KZ13&gt;=LC$27,KZ13&lt;&gt;""),AND(LT13&gt;=LX$23,LT13&lt;&gt;"",LU13&gt;=LX$27,LU13&lt;&gt;"")),"Excellence",IF(OR(AND(AH13&gt;=AL$22,AH13&lt;&gt;"",AI13&gt;=AL$26,AI13&lt;&gt;"",AG13=""),AND(BD13&gt;=BH$22,BD13&lt;&gt;"",BE13&gt;=BH$26,BE13&lt;&gt;"",BC13=""),AND(BZ13&gt;=CD$22,BZ13&lt;&gt;"",CA13&gt;=CD$26,CA13&lt;&gt;"",BY13=""),AND(CW13&gt;=DA$22,CW13&lt;&gt;"",CX13&gt;=DA$26,CX13&lt;&gt;""),AND(DR13&gt;=DV$22,DR13&lt;&gt;"",DS13&gt;=DV$26,DS13&lt;&gt;""),AND(EM13&gt;=EQ$22,EM13&lt;&gt;"",EN13&gt;=EQ$26,EN13&lt;&gt;""),AND(FH13&gt;=FL$22,FH13&lt;&gt;"",FI13&gt;=FL$26,FI13&lt;&gt;""),AND(GC13&gt;=GG$22,GC13&lt;&gt;"",GD13&gt;=GG$26,GD13&lt;&gt;""),AND(GX13&gt;=HB$22,GX13&lt;&gt;"",GY13&gt;=HB$26,GY13&lt;&gt;""),AND(HS13&gt;=HW$22,HS13&lt;&gt;"",HT13&gt;=HW$26,HT13&lt;&gt;""),AND(IN13&gt;=IR$22,IN13&lt;&gt;"",IO13&gt;=IR$26,IO13&lt;&gt;""),AND(JI13&gt;=JM$22,JI13&lt;&gt;"",JJ13&gt;=JM$26,JJ13&lt;&gt;""),AND(KD13&gt;=KH$22,KD13&lt;&gt;"",KE13&gt;=KH$26,KE13&lt;&gt;""),AND(KY13&gt;=LC$22,KY13&lt;&gt;"",KZ13&gt;=LC$26,KZ13&lt;&gt;""),AND(LT13&gt;=LX$22,LT13&lt;&gt;"",LU13&gt;=LX$26,LU13&lt;&gt;"")),"Worlds Team",IF(OR(AND(AH13&gt;=AL$21,AH13&lt;&gt;"",AI13&gt;=AL$25,AI13&lt;&gt;"",AG13=""),AND(BD13&gt;=BH$21,BD13&lt;&gt;"",BE13&gt;=BH$25,BE13&lt;&gt;"",BC13=""),AND(BZ13&gt;=CD$21,BZ13&lt;&gt;"",CA13&gt;=CD$25,CA13&lt;&gt;"",BY13=""),AND(CW13&gt;=DA$21,CW13&lt;&gt;"",CX13&gt;=DA$25,CX13&lt;&gt;""),AND(DR13&gt;=DV$21,DR13&lt;&gt;"",DS13&gt;=DV$25,DS13&lt;&gt;""),AND(EM13&gt;=EQ$21,EM13&lt;&gt;"",EN13&gt;=EQ$25,EN13&lt;&gt;""),AND(FH13&gt;=FL$21,FH13&lt;&gt;"",FI13&gt;=FL$25,FI13&lt;&gt;""),AND(GC13&gt;=GG$21,GC13&lt;&gt;"",GD13&gt;=GG$25,GD13&lt;&gt;""),AND(GX13&gt;=HB$21,GX13&lt;&gt;"",GY13&gt;=HB$25,GY13&lt;&gt;""),AND(HS13&gt;=HW$21,HS13&lt;&gt;"",HT13&gt;=HW$25,HT13&lt;&gt;""),AND(IN13&gt;=IR$21,IN13&lt;&gt;"",IO13&gt;=IR$25,IO13&lt;&gt;""),AND(JI13&gt;=JM$21,JI13&lt;&gt;"",JJ13&gt;=JM$25,JJ13&lt;&gt;""),AND(KD13&gt;=KH$21,KD13&lt;&gt;"",KE13&gt;=KH$25,KE13&lt;&gt;""),AND(KY13&gt;=LC$21,KY13&lt;&gt;"",KZ13&gt;=LC$25,KZ13&lt;&gt;""),AND(LT13&gt;=LX$21,LT13&lt;&gt;"",LU13&gt;=LX$25,LU13&lt;&gt;"")),"National Team","")))))</f>
        <v/>
      </c>
      <c r="I13" s="3" t="str">
        <f>IF(OR(H13="Worlds Team",H13="Excellence",H13="Merit"),"P","")</f>
        <v/>
      </c>
      <c r="J13" s="14">
        <f>MAX(AL13,BH13,CD13)</f>
        <v>127.70000000000002</v>
      </c>
      <c r="K13" s="14" t="str">
        <f>IF(J13=0,"",IF(J13=CD13,$BI$1,IF(J13=BH13,$AM$1,IF(J13=AL13,$Q$1,""))))</f>
        <v>2019 Elite Canada</v>
      </c>
      <c r="L13" s="14">
        <f>IF(J13=AL13,MAX(BE13,BG13,CA13,CC13),IF(J13=BH13,MAX(AI13,AK13,CA13,CC13),MAX(AI13,AK13,BE13,BG13)))</f>
        <v>61.400000000000006</v>
      </c>
      <c r="M13" s="14" t="str">
        <f>IF(L13=0,"",IF(AND(J13&lt;&gt;CD13,OR(L13=CA13,L13=CC13)),$BI$1,IF(AND(J13&lt;&gt;BH13,OR(L13=BG13,L13=BE13)),$AM$1,IF(OR(L13=AK13,L13=AI13),$Q$1,""))))</f>
        <v>2021 1st Virtual Technical Trial</v>
      </c>
      <c r="N13" s="14" t="str">
        <f>IF(MAX(CE13:CF13)&gt;0,MAX(CE13:CF13),"")</f>
        <v/>
      </c>
      <c r="O13" s="24" t="str">
        <f>IF(N13="","",IF(N13=CE13,"(4 Pass)",IF(N13=CF13,"(2 Pass)")))</f>
        <v/>
      </c>
      <c r="P13" s="14" t="str">
        <f>IF(N13="","",IF(N13=CE13,IF(N13+IF(J13="",0,J13)=DA13,$CG$1,IF(N13+IF(J13="",0,J13)=DV13,$DB$1,IF(N13+IF(J13="",0,J13)=EQ13,$DW$1,IF(N13+IF(J13="",0,J13)=FL13,$ER$1,IF(N13+IF(J13="",0,J13)=GG13,$FM$1,IF(N13+IF(J13="",0,J13)=HB13,$GH$1,IF(N13+IF(J13="",0,J13)=HW13,$HC$1,IF(N13+IF(J13="",0,J13)=IR13,$HX$1,IF(N13+IF(J13="",0,J13)=JM13,$IS$1,IF(N13+IF(J13="",0,J13)=KH13,$JN$1,IF(N13+IF(J13="",0,J13)=LC13,$KI$1,IF(N13+IF(J13="",0,J13)=LX13,$LD$1)))))))))))),IF(N13=CF13,IF(OR(N13+IF(L13="",0,L13)=CX13,N13+IF(L13="",0,L13)=CZ13),$CG$1,IF(OR(N13+IF(L13="",0,L13)=DS13,N13+IF(L13="",0,L13)=DU13),$DB$1,IF(OR(N13+IF(L13="",0,L13)=EN13,N13+IF(L13="",0,L13)=EP13),$DW$1,IF(OR(N13+IF(L13="",0,L13)=FI13,N13+IF(L13="",0,L13)=FK13),$ER$1,IF(OR(N13+IF(L13="",0,L13)=GD13,N13+IF(L13="",0,L13)=GF13),$FM$1,IF(OR(N13+IF(L13="",0,L13)=GY13,N13+IF(L13="",0,L13)=HA13),$GH$1,IF(OR(N13+IF(L13="",0,L13)=HT13,N13+IF(L13="",0,L13)=HV13),$HC$1,IF(OR(N13+IF(L13="",0,L13)=IO13,N13+IF(L13="",0,L13)=IQ13),$HX$1,IF(OR(N13+IF(L13="",0,L13)=JJ13,N13+IF(L13="",0,L13)=JL13),$IS$1,IF(OR(N13+IF(L13="",0,L13)=KE13,N13+IF(L13="",0,L13)=KG13),$JN$1,IF(OR(N13+IF(L13="",0,L13)=KZ13,N13+IF(L13="",0,L13)=LB13),$KI$1,IF(OR(N13+IF(L13="",0,L13)=LU13,N13+IF(L13="",0,L13)=LW13),$LD$1)))))))))))))))</f>
        <v/>
      </c>
      <c r="Q13" s="61">
        <v>27.6</v>
      </c>
      <c r="R13" s="61">
        <v>5.2</v>
      </c>
      <c r="S13" s="61">
        <v>0</v>
      </c>
      <c r="T13" s="61">
        <v>0</v>
      </c>
      <c r="U13" s="61">
        <v>27.4</v>
      </c>
      <c r="V13" s="61">
        <v>5.2</v>
      </c>
      <c r="W13" s="61">
        <v>0.9</v>
      </c>
      <c r="X13" s="61">
        <v>0</v>
      </c>
      <c r="Y13" s="61">
        <v>28.2</v>
      </c>
      <c r="Z13" s="61">
        <v>4</v>
      </c>
      <c r="AA13" s="61">
        <v>0</v>
      </c>
      <c r="AB13" s="61">
        <v>0</v>
      </c>
      <c r="AC13" s="61">
        <v>27.5</v>
      </c>
      <c r="AD13" s="61">
        <v>4.4000000000000004</v>
      </c>
      <c r="AE13" s="61">
        <v>0.9</v>
      </c>
      <c r="AF13" s="61">
        <v>0</v>
      </c>
      <c r="AG13" s="72"/>
      <c r="AH13" s="11">
        <f>IF(SUM(R13,V13)&gt;0,SUM(R13,V13),"")</f>
        <v>10.4</v>
      </c>
      <c r="AI13" s="11">
        <f>IF(SUM(Q13:R13,T13:V13,X13)-SUM(S13,W13)&gt;0,SUM(Q13:R13,T13:V13,X13)-SUM(S13,W13),"")</f>
        <v>64.5</v>
      </c>
      <c r="AJ13" s="11">
        <f>IF(SUM(Z13,AD13)&gt;0,SUM(Z13,AD13),"")</f>
        <v>8.4</v>
      </c>
      <c r="AK13" s="11">
        <f>IF(SUM(Y13:Z13,AB13:AD13,AF13)-SUM(AA13,AE13)&gt;0,SUM(Y13:Z13,AB13:AD13,AF13)-SUM(AA13,AE13),"")</f>
        <v>63.20000000000001</v>
      </c>
      <c r="AL13" s="11">
        <f>IF(SUM(AI13,AK13)&gt;0,SUM(AI13,AK13),"")</f>
        <v>127.70000000000002</v>
      </c>
      <c r="AM13" s="36">
        <v>0</v>
      </c>
      <c r="AN13" s="36">
        <v>0</v>
      </c>
      <c r="AO13" s="36">
        <v>0</v>
      </c>
      <c r="AP13" s="36">
        <v>0</v>
      </c>
      <c r="AQ13" s="36">
        <v>28.2</v>
      </c>
      <c r="AR13" s="36">
        <v>6</v>
      </c>
      <c r="AS13" s="36">
        <v>1.2</v>
      </c>
      <c r="AT13" s="36">
        <v>0</v>
      </c>
      <c r="AU13" s="36"/>
      <c r="AV13" s="36"/>
      <c r="AW13" s="36"/>
      <c r="AX13" s="36"/>
      <c r="AY13" s="36"/>
      <c r="AZ13" s="36"/>
      <c r="BA13" s="36"/>
      <c r="BB13" s="36"/>
      <c r="BC13" s="73"/>
      <c r="BD13" s="14">
        <f>IF(SUM(AN13,AR13)&gt;0,SUM(AN13,AR13),"")</f>
        <v>6</v>
      </c>
      <c r="BE13" s="14">
        <f>IF(SUM(AM13:AN13,AP13:AR13,AT13)-SUM(AO13,AS13)&gt;0,SUM(AM13:AN13,AP13:AR13,AT13)-SUM(AO13,AS13),"")</f>
        <v>33</v>
      </c>
      <c r="BF13" s="14" t="str">
        <f>IF(SUM(AV13,AZ13)&gt;0,SUM(AV13,AZ13),"")</f>
        <v/>
      </c>
      <c r="BG13" s="14" t="str">
        <f>IF(SUM(AU13:AV13,AX13:AZ13,BB13)-SUM(AW13,BA13)&gt;0,SUM(AU13:AV13,AX13:AZ13,BB13)-SUM(AW13,BA13),"")</f>
        <v/>
      </c>
      <c r="BH13" s="14">
        <f>IF(SUM(BE13,BG13)&gt;0,SUM(BE13,BG13),"")</f>
        <v>33</v>
      </c>
      <c r="BI13" s="61">
        <v>27.5</v>
      </c>
      <c r="BJ13" s="61">
        <v>6</v>
      </c>
      <c r="BK13" s="61">
        <v>0</v>
      </c>
      <c r="BL13" s="61">
        <v>0</v>
      </c>
      <c r="BM13" s="61">
        <v>28</v>
      </c>
      <c r="BN13" s="61">
        <v>3.4</v>
      </c>
      <c r="BO13" s="61">
        <v>3.5</v>
      </c>
      <c r="BP13" s="61">
        <v>0</v>
      </c>
      <c r="BQ13" s="61">
        <v>0</v>
      </c>
      <c r="BR13" s="61">
        <v>0</v>
      </c>
      <c r="BS13" s="61">
        <v>0</v>
      </c>
      <c r="BT13" s="61">
        <v>0</v>
      </c>
      <c r="BU13" s="61">
        <v>0</v>
      </c>
      <c r="BV13" s="61">
        <v>0</v>
      </c>
      <c r="BW13" s="61">
        <v>0</v>
      </c>
      <c r="BX13" s="61">
        <v>0</v>
      </c>
      <c r="BY13" s="72"/>
      <c r="BZ13" s="11">
        <f>IF(SUM(BJ13,BN13)&gt;0,SUM(BJ13,BN13),"")</f>
        <v>9.4</v>
      </c>
      <c r="CA13" s="11">
        <f>IF(SUM(BI13:BJ13,BL13:BN13,BP13)-SUM(BK13,BO13)&gt;0,SUM(BI13:BJ13,BL13:BN13,BP13)-SUM(BK13,BO13),"")</f>
        <v>61.400000000000006</v>
      </c>
      <c r="CB13" s="11" t="str">
        <f>IF(SUM(BR13,BV13)&gt;0,SUM(BR13,BV13),"")</f>
        <v/>
      </c>
      <c r="CC13" s="11" t="str">
        <f>IF(SUM(BQ13:BR13,BT13:BV13,BX13)-SUM(BS13,BW13)&gt;0,SUM(BQ13:BR13,BT13:BV13,BX13)-SUM(BS13,BW13),"")</f>
        <v/>
      </c>
      <c r="CD13" s="11">
        <f>IF(SUM(CA13,CC13)&gt;0,SUM(CA13,CC13),"")</f>
        <v>61.400000000000006</v>
      </c>
      <c r="CE13" s="23" t="str">
        <f>IF(MAX(DA13,DV13,EQ13,FL13,GG13,HB13,HW13,IR13,JM13,KH13,LC13,LX13)-IF(J13="",0,J13)&gt;0.001,MAX(DA13,DV13,EQ13,FL13,GG13,HB13,HW13,IR13,JM13,KH13,LC13,LX13)-IF(J13="",0,J13),"")</f>
        <v/>
      </c>
      <c r="CF13" s="23" t="str">
        <f>IF(MAX(CX13,CZ13,DS13,DU13,EN13,EP13,FI13,FK13,GD13,GF13,GY13,HA13,HT13,HV13,IO13,IQ13,JJ13,JL13,KE13,KG13,KZ13,LB13,LU13,LW13)-IF(L13="",0,L13)&gt;0.001,MAX(CX13,CZ13,DS13,DU13,EN13,EP13,FI13,FK13,GD13,GF13,GY13,HA13,HT13,HV13,IO13,IQ13,JJ13,JL13,KE13,KG13,KZ13,LB13,LU13,LW13)-IF(L13="",0,L13),"")</f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1">
        <f>IF($BY13="P",BI13,(BI13+AM13)/2)</f>
        <v>13.75</v>
      </c>
      <c r="LZ13" s="61">
        <f>IF($BY13="P",BJ13,(BJ13+AN13)/2)</f>
        <v>3</v>
      </c>
      <c r="MA13" s="61">
        <f>IF($BY13="P",BK13,(BK13+AO13)/2)</f>
        <v>0</v>
      </c>
      <c r="MB13" s="61">
        <f>IF($BY13="P",BL13,(BL13+AP13)/2)</f>
        <v>0</v>
      </c>
      <c r="MC13" s="61">
        <f>IF($BY13="P",BM13,(BM13+AQ13)/2)</f>
        <v>28.1</v>
      </c>
      <c r="MD13" s="61">
        <f>IF($BY13="P",BN13,(BN13+AR13)/2)</f>
        <v>4.7</v>
      </c>
      <c r="ME13" s="61">
        <f>IF($BY13="P",BO13,(BO13+AS13)/2)</f>
        <v>2.35</v>
      </c>
      <c r="MF13" s="61">
        <f>IF($BY13="P",BP13,(BP13+AT13)/2)</f>
        <v>0</v>
      </c>
      <c r="MG13" s="61">
        <f>IF($BY13="P",BQ13,(BQ13+AU13)/2)</f>
        <v>0</v>
      </c>
      <c r="MH13" s="61">
        <f>IF($BY13="P",BR13,(BR13+AV13)/2)</f>
        <v>0</v>
      </c>
      <c r="MI13" s="61">
        <f>IF($BY13="P",BS13,(BS13+AW13)/2)</f>
        <v>0</v>
      </c>
      <c r="MJ13" s="61">
        <f>IF($BY13="P",BT13,(BT13+AX13)/2)</f>
        <v>0</v>
      </c>
      <c r="MK13" s="61">
        <f>IF($BY13="P",BU13,(BU13+AY13)/2)</f>
        <v>0</v>
      </c>
      <c r="ML13" s="61">
        <f>IF($BY13="P",BV13,(BV13+AZ13)/2)</f>
        <v>0</v>
      </c>
      <c r="MM13" s="61">
        <f>IF($BY13="P",BW13,(BW13+BA13)/2)</f>
        <v>0</v>
      </c>
      <c r="MN13" s="61">
        <f>IF($BY13="P",BX13,(BX13+BB13)/2)</f>
        <v>0</v>
      </c>
      <c r="MO13" s="72" t="s">
        <v>52</v>
      </c>
      <c r="MP13" s="11">
        <f>IF(SUM(LZ13,MD13)&gt;0,SUM(LZ13,MD13),"")</f>
        <v>7.7</v>
      </c>
      <c r="MQ13" s="11">
        <f>IF(SUM(LY13:LZ13,MB13:MD13,MF13)-SUM(MA13,ME13)&gt;0,SUM(LY13:LZ13,MB13:MD13,MF13)-SUM(MA13,ME13),"")</f>
        <v>47.2</v>
      </c>
      <c r="MR13" s="11" t="str">
        <f>IF(SUM(MH13,ML13)&gt;0,SUM(MH13,ML13),"")</f>
        <v/>
      </c>
      <c r="MS13" s="11" t="str">
        <f>IF(SUM(MG13:MH13,MJ13:ML13,MN13)-SUM(MI13,MM13)&gt;0,SUM(MG13:MH13,MJ13:ML13,MN13)-SUM(MI13,MM13),"")</f>
        <v/>
      </c>
      <c r="MT13" s="11">
        <f>IF(SUM(MQ13,MS13)&gt;0,SUM(MQ13,MS13),"")</f>
        <v>47.2</v>
      </c>
    </row>
    <row r="14" spans="1:358" x14ac:dyDescent="0.2">
      <c r="A14" s="5" t="str">
        <f>IF(AND(F14="P",G14="P"),SUMPRODUCT((F$4:F$19="P")*(G$4:G$19="P")*(E$4:E$19&gt;E14))+1,IF(G14="P",SUMPRODUCT((F$4:F$19="")*(G$4:G$19="P")*(E$4:E$19&gt;E14))+1+SUMPRODUCT((F$4:F$19="P")*(G$4:G$19="P")),""))</f>
        <v/>
      </c>
      <c r="B14" s="8" t="s">
        <v>98</v>
      </c>
      <c r="C14" s="4" t="s">
        <v>4</v>
      </c>
      <c r="D14" s="5">
        <v>2002</v>
      </c>
      <c r="E14" s="15">
        <f>SUM(J14:N14)</f>
        <v>180.60000000000002</v>
      </c>
      <c r="F14" s="3" t="str">
        <f>IF(OR(AND(AH14&gt;=AL$21,AI14&gt;=AL$25,AI14&lt;&gt;"",AG14=""),AND(BD14&gt;=BH$21,BE14&gt;=BH$25,BE14&lt;&gt;"",BC14=""),AND(BZ14&gt;=CD$21,CA14&gt;=CD$25,CA14&lt;&gt;"",BY14=""),AND(CW14&gt;=DA$21,CX14&gt;=DA$25,CX14&lt;&gt;""),AND(DR14&gt;=DV$21,DS14&gt;=DV$25,DS14&lt;&gt;""),AND(EM14&gt;=EQ$21,EN14&gt;=EQ$25,EN14&lt;&gt;""),AND(FH14&gt;=FL$21,FI14&gt;=FL$25,FI14&lt;&gt;""),AND(GC14&gt;=GG$21,GD14&gt;=GG$25,GD14&lt;&gt;""),AND(GX14&gt;=HB$21,GY14&gt;=HB$25,GY14&lt;&gt;""),AND(HS14&gt;=HW$21,HT14&gt;=HW$25,HT14&lt;&gt;""),AND(IN14&gt;=IR$21,IO14&gt;=IR$25,IO14&lt;&gt;""),AND(JI14&gt;=JM$21,JJ14&gt;=JM$25,JJ14&lt;&gt;""),AND(KD14&gt;=KH$21,KE14&gt;=KH$25,KE14&lt;&gt;""),AND(KY14&gt;=LC$21,KZ14&gt;=LC$25,KZ14&lt;&gt;""),AND(LT14&gt;=LX$21,LU14&gt;=LX$25,LU14&lt;&gt;"")),"P","")</f>
        <v/>
      </c>
      <c r="G14" s="3" t="str">
        <f>IF(OR(AND(AI14&gt;=AL$25,AI14&lt;&gt;"",AG14=""),AND(BE14&gt;=BH$25,BE14&lt;&gt;"",BC14=""),AND(CA14&gt;=CD$25,CA14&lt;&gt;"",BY14=""),AND(CX14&gt;=DA$25,CX14&lt;&gt;""),AND(DS14&gt;=DV$25,DS14&lt;&gt;""),AND(EN14&gt;=EQ$25,EN14&lt;&gt;""),AND(FI14&gt;=FL$25,FI14&lt;&gt;""),AND(GD14&gt;=GG$25,GD14&lt;&gt;""),AND(GY14&gt;=HB$25,GY14&lt;&gt;""),AND(HT14&gt;=HW$25,HT14&lt;&gt;""),AND(IO14&gt;=IR$25,IO14&lt;&gt;""),AND(JJ14&gt;=JM$25,JJ14&lt;&gt;""),AND(KE14&gt;=KH$25,KE14&lt;&gt;""),AND(KZ14&gt;=LC$25,KZ14&lt;&gt;""),AND(LU14&gt;=LX$25,LU14&lt;&gt;"")),"P","")</f>
        <v/>
      </c>
      <c r="H14" s="116" t="str">
        <f>IF(AND(G14="P",F14=""),"No DD",IF(OR(AND(AH14&gt;=AL$24,AH14&lt;&gt;"",AI14&gt;=AL$28,AI14&lt;&gt;"",AG14=""),AND(BD14&gt;=BH$24,BD14&lt;&gt;"",BE14&gt;=BH$28,BE14&lt;&gt;"",BC14=""),AND(BZ14&gt;=CD$24,BZ14&lt;&gt;"",CA14&gt;=CD$28,CA14&lt;&gt;"",BY14=""),AND(CW14&gt;=DA$24,CW14&lt;&gt;"",CX14&gt;=DA$28,CX14&lt;&gt;""),AND(DR14&gt;=DV$24,DR14&lt;&gt;"",DS14&gt;=DV$28,DS14&lt;&gt;""),AND(EM14&gt;=EQ$24,EM14&lt;&gt;"",EN14&gt;=EQ$28,EN14&lt;&gt;""),AND(FH14&gt;=FL$24,FH14&lt;&gt;"",FI14&gt;=FL$28,FI14&lt;&gt;""),AND(GC14&gt;=GG$24,GC14&lt;&gt;"",GD14&gt;=GG$28,GD14&lt;&gt;""),AND(GX14&gt;=HB$24,GX14&lt;&gt;"",GY14&gt;=HB$28,GY14&lt;&gt;""),AND(HS14&gt;=HW$24,HS14&lt;&gt;"",HT14&gt;=HW$28,HT14&lt;&gt;""),AND(IN14&gt;=IR$24,IN14&lt;&gt;"",IO14&gt;=IR$28,IO14&lt;&gt;""),AND(JI14&gt;=JM$24,JI14&lt;&gt;"",JJ14&gt;=JM$28,JJ14&lt;&gt;""),AND(KD14&gt;=KH$24,KD14&lt;&gt;"",KE14&gt;=KH$28,KE14&lt;&gt;""),AND(KY14&gt;=LC$24,KY14&lt;&gt;"",KZ14&gt;=LC$28,KZ14&lt;&gt;""),AND(LT14&gt;=LX$24,LT14&lt;&gt;"",LU14&gt;=LX$28,LU14&lt;&gt;"")),"Merit",IF(OR(AND(AH14&gt;=AL$23,AH14&lt;&gt;"",AI14&gt;=AL$27,AI14&lt;&gt;"",AG14=""),AND(BD14&gt;=BH$23,BD14&lt;&gt;"",BE14&gt;=BH$27,BE14&lt;&gt;"",BC14=""),AND(BZ14&gt;=CD$23,BZ14&lt;&gt;"",CA14&gt;=CD$27,CA14&lt;&gt;"",BY14=""),AND(CW14&gt;=DA$23,CW14&lt;&gt;"",CX14&gt;=DA$27,CX14&lt;&gt;""),AND(DR14&gt;=DV$23,DR14&lt;&gt;"",DS14&gt;=DV$27,DS14&lt;&gt;""),AND(EM14&gt;=EQ$23,EM14&lt;&gt;"",EN14&gt;=EQ$27,EN14&lt;&gt;""),AND(FH14&gt;=FL$23,FH14&lt;&gt;"",FI14&gt;=FL$27,FI14&lt;&gt;""),AND(GC14&gt;=GG$23,GC14&lt;&gt;"",GD14&gt;=GG$27,GD14&lt;&gt;""),AND(GX14&gt;=HB$23,GX14&lt;&gt;"",GY14&gt;=HB$27,GY14&lt;&gt;""),AND(HS14&gt;=HW$23,HS14&lt;&gt;"",HT14&gt;=HW$27,HT14&lt;&gt;""),AND(IN14&gt;=IR$23,IN14&lt;&gt;"",IO14&gt;=IR$27,IO14&lt;&gt;""),AND(JI14&gt;=JM$23,JI14&lt;&gt;"",JJ14&gt;=JM$27,JJ14&lt;&gt;""),AND(KD14&gt;=KH$23,KD14&lt;&gt;"",KE14&gt;=KH$27,KE14&lt;&gt;""),AND(KY14&gt;=LC$23,KY14&lt;&gt;"",KZ14&gt;=LC$27,KZ14&lt;&gt;""),AND(LT14&gt;=LX$23,LT14&lt;&gt;"",LU14&gt;=LX$27,LU14&lt;&gt;"")),"Excellence",IF(OR(AND(AH14&gt;=AL$22,AH14&lt;&gt;"",AI14&gt;=AL$26,AI14&lt;&gt;"",AG14=""),AND(BD14&gt;=BH$22,BD14&lt;&gt;"",BE14&gt;=BH$26,BE14&lt;&gt;"",BC14=""),AND(BZ14&gt;=CD$22,BZ14&lt;&gt;"",CA14&gt;=CD$26,CA14&lt;&gt;"",BY14=""),AND(CW14&gt;=DA$22,CW14&lt;&gt;"",CX14&gt;=DA$26,CX14&lt;&gt;""),AND(DR14&gt;=DV$22,DR14&lt;&gt;"",DS14&gt;=DV$26,DS14&lt;&gt;""),AND(EM14&gt;=EQ$22,EM14&lt;&gt;"",EN14&gt;=EQ$26,EN14&lt;&gt;""),AND(FH14&gt;=FL$22,FH14&lt;&gt;"",FI14&gt;=FL$26,FI14&lt;&gt;""),AND(GC14&gt;=GG$22,GC14&lt;&gt;"",GD14&gt;=GG$26,GD14&lt;&gt;""),AND(GX14&gt;=HB$22,GX14&lt;&gt;"",GY14&gt;=HB$26,GY14&lt;&gt;""),AND(HS14&gt;=HW$22,HS14&lt;&gt;"",HT14&gt;=HW$26,HT14&lt;&gt;""),AND(IN14&gt;=IR$22,IN14&lt;&gt;"",IO14&gt;=IR$26,IO14&lt;&gt;""),AND(JI14&gt;=JM$22,JI14&lt;&gt;"",JJ14&gt;=JM$26,JJ14&lt;&gt;""),AND(KD14&gt;=KH$22,KD14&lt;&gt;"",KE14&gt;=KH$26,KE14&lt;&gt;""),AND(KY14&gt;=LC$22,KY14&lt;&gt;"",KZ14&gt;=LC$26,KZ14&lt;&gt;""),AND(LT14&gt;=LX$22,LT14&lt;&gt;"",LU14&gt;=LX$26,LU14&lt;&gt;"")),"Worlds Team",IF(OR(AND(AH14&gt;=AL$21,AH14&lt;&gt;"",AI14&gt;=AL$25,AI14&lt;&gt;"",AG14=""),AND(BD14&gt;=BH$21,BD14&lt;&gt;"",BE14&gt;=BH$25,BE14&lt;&gt;"",BC14=""),AND(BZ14&gt;=CD$21,BZ14&lt;&gt;"",CA14&gt;=CD$25,CA14&lt;&gt;"",BY14=""),AND(CW14&gt;=DA$21,CW14&lt;&gt;"",CX14&gt;=DA$25,CX14&lt;&gt;""),AND(DR14&gt;=DV$21,DR14&lt;&gt;"",DS14&gt;=DV$25,DS14&lt;&gt;""),AND(EM14&gt;=EQ$21,EM14&lt;&gt;"",EN14&gt;=EQ$25,EN14&lt;&gt;""),AND(FH14&gt;=FL$21,FH14&lt;&gt;"",FI14&gt;=FL$25,FI14&lt;&gt;""),AND(GC14&gt;=GG$21,GC14&lt;&gt;"",GD14&gt;=GG$25,GD14&lt;&gt;""),AND(GX14&gt;=HB$21,GX14&lt;&gt;"",GY14&gt;=HB$25,GY14&lt;&gt;""),AND(HS14&gt;=HW$21,HS14&lt;&gt;"",HT14&gt;=HW$25,HT14&lt;&gt;""),AND(IN14&gt;=IR$21,IN14&lt;&gt;"",IO14&gt;=IR$25,IO14&lt;&gt;""),AND(JI14&gt;=JM$21,JI14&lt;&gt;"",JJ14&gt;=JM$25,JJ14&lt;&gt;""),AND(KD14&gt;=KH$21,KD14&lt;&gt;"",KE14&gt;=KH$25,KE14&lt;&gt;""),AND(KY14&gt;=LC$21,KY14&lt;&gt;"",KZ14&gt;=LC$25,KZ14&lt;&gt;""),AND(LT14&gt;=LX$21,LT14&lt;&gt;"",LU14&gt;=LX$25,LU14&lt;&gt;"")),"National Team","")))))</f>
        <v/>
      </c>
      <c r="I14" s="3" t="str">
        <f>IF(OR(H14="Worlds Team",H14="Excellence",H14="Merit"),"P","")</f>
        <v/>
      </c>
      <c r="J14" s="14">
        <f>MAX(AL14,BH14,CD14)</f>
        <v>114.20000000000002</v>
      </c>
      <c r="K14" s="14" t="str">
        <f>IF(J14=0,"",IF(J14=CD14,$BI$1,IF(J14=BH14,$AM$1,IF(J14=AL14,$Q$1,""))))</f>
        <v>2019 Nationals</v>
      </c>
      <c r="L14" s="14">
        <f>IF(J14=AL14,MAX(BE14,BG14,CA14,CC14),IF(J14=BH14,MAX(AI14,AK14,CA14,CC14),MAX(AI14,AK14,BE14,BG14)))</f>
        <v>66.400000000000006</v>
      </c>
      <c r="M14" s="14" t="str">
        <f>IF(L14=0,"",IF(AND(J14&lt;&gt;CD14,OR(L14=CA14,L14=CC14)),$BI$1,IF(AND(J14&lt;&gt;BH14,OR(L14=BG14,L14=BE14)),$AM$1,IF(OR(L14=AK14,L14=AI14),$Q$1,""))))</f>
        <v>2021 1st Virtual Technical Trial</v>
      </c>
      <c r="N14" s="14" t="str">
        <f>IF(MAX(CE14:CF14)&gt;0,MAX(CE14:CF14),"")</f>
        <v/>
      </c>
      <c r="O14" s="24" t="str">
        <f>IF(N14="","",IF(N14=CE14,"(4 Pass)",IF(N14=CF14,"(2 Pass)")))</f>
        <v/>
      </c>
      <c r="P14" s="14" t="str">
        <f>IF(N14="","",IF(N14=CE14,IF(N14+IF(J14="",0,J14)=DA14,$CG$1,IF(N14+IF(J14="",0,J14)=DV14,$DB$1,IF(N14+IF(J14="",0,J14)=EQ14,$DW$1,IF(N14+IF(J14="",0,J14)=FL14,$ER$1,IF(N14+IF(J14="",0,J14)=GG14,$FM$1,IF(N14+IF(J14="",0,J14)=HB14,$GH$1,IF(N14+IF(J14="",0,J14)=HW14,$HC$1,IF(N14+IF(J14="",0,J14)=IR14,$HX$1,IF(N14+IF(J14="",0,J14)=JM14,$IS$1,IF(N14+IF(J14="",0,J14)=KH14,$JN$1,IF(N14+IF(J14="",0,J14)=LC14,$KI$1,IF(N14+IF(J14="",0,J14)=LX14,$LD$1)))))))))))),IF(N14=CF14,IF(OR(N14+IF(L14="",0,L14)=CX14,N14+IF(L14="",0,L14)=CZ14),$CG$1,IF(OR(N14+IF(L14="",0,L14)=DS14,N14+IF(L14="",0,L14)=DU14),$DB$1,IF(OR(N14+IF(L14="",0,L14)=EN14,N14+IF(L14="",0,L14)=EP14),$DW$1,IF(OR(N14+IF(L14="",0,L14)=FI14,N14+IF(L14="",0,L14)=FK14),$ER$1,IF(OR(N14+IF(L14="",0,L14)=GD14,N14+IF(L14="",0,L14)=GF14),$FM$1,IF(OR(N14+IF(L14="",0,L14)=GY14,N14+IF(L14="",0,L14)=HA14),$GH$1,IF(OR(N14+IF(L14="",0,L14)=HT14,N14+IF(L14="",0,L14)=HV14),$HC$1,IF(OR(N14+IF(L14="",0,L14)=IO14,N14+IF(L14="",0,L14)=IQ14),$HX$1,IF(OR(N14+IF(L14="",0,L14)=JJ14,N14+IF(L14="",0,L14)=JL14),$IS$1,IF(OR(N14+IF(L14="",0,L14)=KE14,N14+IF(L14="",0,L14)=KG14),$JN$1,IF(OR(N14+IF(L14="",0,L14)=KZ14,N14+IF(L14="",0,L14)=LB14),$KI$1,IF(OR(N14+IF(L14="",0,L14)=LU14,N14+IF(L14="",0,L14)=LW14),$LD$1)))))))))))))))</f>
        <v/>
      </c>
      <c r="Q14" s="61">
        <v>0</v>
      </c>
      <c r="R14" s="61">
        <v>0</v>
      </c>
      <c r="S14" s="61">
        <v>0</v>
      </c>
      <c r="T14" s="61">
        <v>0</v>
      </c>
      <c r="U14" s="61">
        <v>27.7</v>
      </c>
      <c r="V14" s="61">
        <v>6.8</v>
      </c>
      <c r="W14" s="61">
        <v>1.5</v>
      </c>
      <c r="X14" s="61">
        <v>0</v>
      </c>
      <c r="Y14" s="61"/>
      <c r="Z14" s="61"/>
      <c r="AA14" s="61"/>
      <c r="AB14" s="61"/>
      <c r="AC14" s="61"/>
      <c r="AD14" s="61"/>
      <c r="AE14" s="61"/>
      <c r="AF14" s="61"/>
      <c r="AG14" s="72"/>
      <c r="AH14" s="11">
        <f>IF(SUM(R14,V14)&gt;0,SUM(R14,V14),"")</f>
        <v>6.8</v>
      </c>
      <c r="AI14" s="11">
        <f>IF(SUM(Q14:R14,T14:V14,X14)-SUM(S14,W14)&gt;0,SUM(Q14:R14,T14:V14,X14)-SUM(S14,W14),"")</f>
        <v>33</v>
      </c>
      <c r="AJ14" s="11" t="str">
        <f>IF(SUM(Z14,AD14)&gt;0,SUM(Z14,AD14),"")</f>
        <v/>
      </c>
      <c r="AK14" s="11" t="str">
        <f>IF(SUM(Y14:Z14,AB14:AD14,AF14)-SUM(AA14,AE14)&gt;0,SUM(Y14:Z14,AB14:AD14,AF14)-SUM(AA14,AE14),"")</f>
        <v/>
      </c>
      <c r="AL14" s="11">
        <f>IF(SUM(AI14,AK14)&gt;0,SUM(AI14,AK14),"")</f>
        <v>33</v>
      </c>
      <c r="AM14" s="36">
        <v>27.4</v>
      </c>
      <c r="AN14" s="36">
        <v>7.2</v>
      </c>
      <c r="AO14" s="36">
        <v>0.3</v>
      </c>
      <c r="AP14" s="36">
        <v>0</v>
      </c>
      <c r="AQ14" s="36">
        <v>19.8</v>
      </c>
      <c r="AR14" s="36">
        <v>3.2</v>
      </c>
      <c r="AS14" s="36">
        <v>0.9</v>
      </c>
      <c r="AT14" s="36">
        <v>0</v>
      </c>
      <c r="AU14" s="36">
        <v>27.9</v>
      </c>
      <c r="AV14" s="36">
        <v>7.6</v>
      </c>
      <c r="AW14" s="36">
        <v>0.3</v>
      </c>
      <c r="AX14" s="36">
        <v>0</v>
      </c>
      <c r="AY14" s="36">
        <v>20.2</v>
      </c>
      <c r="AZ14" s="36">
        <v>2.4</v>
      </c>
      <c r="BA14" s="36">
        <v>0</v>
      </c>
      <c r="BB14" s="36">
        <v>0</v>
      </c>
      <c r="BC14" s="73"/>
      <c r="BD14" s="14">
        <f>IF(SUM(AN14,AR14)&gt;0,SUM(AN14,AR14),"")</f>
        <v>10.4</v>
      </c>
      <c r="BE14" s="14">
        <f>IF(SUM(AM14:AN14,AP14:AR14,AT14)-SUM(AO14,AS14)&gt;0,SUM(AM14:AN14,AP14:AR14,AT14)-SUM(AO14,AS14),"")</f>
        <v>56.400000000000006</v>
      </c>
      <c r="BF14" s="14">
        <f>IF(SUM(AV14,AZ14)&gt;0,SUM(AV14,AZ14),"")</f>
        <v>10</v>
      </c>
      <c r="BG14" s="14">
        <f>IF(SUM(AU14:AV14,AX14:AZ14,BB14)-SUM(AW14,BA14)&gt;0,SUM(AU14:AV14,AX14:AZ14,BB14)-SUM(AW14,BA14),"")</f>
        <v>57.800000000000004</v>
      </c>
      <c r="BH14" s="14">
        <f>IF(SUM(BE14,BG14)&gt;0,SUM(BE14,BG14),"")</f>
        <v>114.20000000000002</v>
      </c>
      <c r="BI14" s="61">
        <v>28</v>
      </c>
      <c r="BJ14" s="61">
        <v>6.8</v>
      </c>
      <c r="BK14" s="61">
        <v>0</v>
      </c>
      <c r="BL14" s="61">
        <v>0</v>
      </c>
      <c r="BM14" s="61">
        <v>24.6</v>
      </c>
      <c r="BN14" s="61">
        <v>7.3</v>
      </c>
      <c r="BO14" s="61">
        <v>0.3</v>
      </c>
      <c r="BP14" s="61">
        <v>0</v>
      </c>
      <c r="BQ14" s="61">
        <v>0</v>
      </c>
      <c r="BR14" s="61">
        <v>0</v>
      </c>
      <c r="BS14" s="61">
        <v>0</v>
      </c>
      <c r="BT14" s="61">
        <v>0</v>
      </c>
      <c r="BU14" s="61">
        <v>0</v>
      </c>
      <c r="BV14" s="61">
        <v>0</v>
      </c>
      <c r="BW14" s="61">
        <v>0</v>
      </c>
      <c r="BX14" s="61">
        <v>0</v>
      </c>
      <c r="BY14" s="72"/>
      <c r="BZ14" s="11">
        <f>IF(SUM(BJ14,BN14)&gt;0,SUM(BJ14,BN14),"")</f>
        <v>14.1</v>
      </c>
      <c r="CA14" s="11">
        <f>IF(SUM(BI14:BJ14,BL14:BN14,BP14)-SUM(BK14,BO14)&gt;0,SUM(BI14:BJ14,BL14:BN14,BP14)-SUM(BK14,BO14),"")</f>
        <v>66.400000000000006</v>
      </c>
      <c r="CB14" s="11" t="str">
        <f>IF(SUM(BR14,BV14)&gt;0,SUM(BR14,BV14),"")</f>
        <v/>
      </c>
      <c r="CC14" s="11" t="str">
        <f>IF(SUM(BQ14:BR14,BT14:BV14,BX14)-SUM(BS14,BW14)&gt;0,SUM(BQ14:BR14,BT14:BV14,BX14)-SUM(BS14,BW14),"")</f>
        <v/>
      </c>
      <c r="CD14" s="11">
        <f>IF(SUM(CA14,CC14)&gt;0,SUM(CA14,CC14),"")</f>
        <v>66.400000000000006</v>
      </c>
      <c r="CE14" s="23" t="str">
        <f>IF(MAX(DA14,DV14,EQ14,FL14,GG14,HB14,HW14,IR14,JM14,KH14,LC14,LX14)-IF(J14="",0,J14)&gt;0.001,MAX(DA14,DV14,EQ14,FL14,GG14,HB14,HW14,IR14,JM14,KH14,LC14,LX14)-IF(J14="",0,J14),"")</f>
        <v/>
      </c>
      <c r="CF14" s="23" t="str">
        <f>IF(MAX(CX14,CZ14,DS14,DU14,EN14,EP14,FI14,FK14,GD14,GF14,GY14,HA14,HT14,HV14,IO14,IQ14,JJ14,JL14,KE14,KG14,KZ14,LB14,LU14,LW14)-IF(L14="",0,L14)&gt;0.001,MAX(CX14,CZ14,DS14,DU14,EN14,EP14,FI14,FK14,GD14,GF14,GY14,HA14,HT14,HV14,IO14,IQ14,JJ14,JL14,KE14,KG14,KZ14,LB14,LU14,LW14)-IF(L14="",0,L14),"")</f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1">
        <f>IF($BY14="P",BI14,(BI14+AM14)/2)</f>
        <v>27.7</v>
      </c>
      <c r="LZ14" s="61">
        <f>IF($BY14="P",BJ14,(BJ14+AN14)/2)</f>
        <v>7</v>
      </c>
      <c r="MA14" s="61">
        <f>IF($BY14="P",BK14,(BK14+AO14)/2)</f>
        <v>0.15</v>
      </c>
      <c r="MB14" s="61">
        <f>IF($BY14="P",BL14,(BL14+AP14)/2)</f>
        <v>0</v>
      </c>
      <c r="MC14" s="61">
        <f>IF($BY14="P",BM14,(BM14+AQ14)/2)</f>
        <v>22.200000000000003</v>
      </c>
      <c r="MD14" s="61">
        <f>IF($BY14="P",BN14,(BN14+AR14)/2)</f>
        <v>5.25</v>
      </c>
      <c r="ME14" s="61">
        <f>IF($BY14="P",BO14,(BO14+AS14)/2)</f>
        <v>0.6</v>
      </c>
      <c r="MF14" s="61">
        <f>IF($BY14="P",BP14,(BP14+AT14)/2)</f>
        <v>0</v>
      </c>
      <c r="MG14" s="61">
        <f>IF($BY14="P",BQ14,(BQ14+AU14)/2)</f>
        <v>13.95</v>
      </c>
      <c r="MH14" s="61">
        <f>IF($BY14="P",BR14,(BR14+AV14)/2)</f>
        <v>3.8</v>
      </c>
      <c r="MI14" s="61">
        <f>IF($BY14="P",BS14,(BS14+AW14)/2)</f>
        <v>0.15</v>
      </c>
      <c r="MJ14" s="61">
        <f>IF($BY14="P",BT14,(BT14+AX14)/2)</f>
        <v>0</v>
      </c>
      <c r="MK14" s="61">
        <f>IF($BY14="P",BU14,(BU14+AY14)/2)</f>
        <v>10.1</v>
      </c>
      <c r="ML14" s="61">
        <f>IF($BY14="P",BV14,(BV14+AZ14)/2)</f>
        <v>1.2</v>
      </c>
      <c r="MM14" s="61">
        <f>IF($BY14="P",BW14,(BW14+BA14)/2)</f>
        <v>0</v>
      </c>
      <c r="MN14" s="61">
        <f>IF($BY14="P",BX14,(BX14+BB14)/2)</f>
        <v>0</v>
      </c>
      <c r="MO14" s="72" t="s">
        <v>52</v>
      </c>
      <c r="MP14" s="11">
        <f>IF(SUM(LZ14,MD14)&gt;0,SUM(LZ14,MD14),"")</f>
        <v>12.25</v>
      </c>
      <c r="MQ14" s="11">
        <f>IF(SUM(LY14:LZ14,MB14:MD14,MF14)-SUM(MA14,ME14)&gt;0,SUM(LY14:LZ14,MB14:MD14,MF14)-SUM(MA14,ME14),"")</f>
        <v>61.400000000000006</v>
      </c>
      <c r="MR14" s="11">
        <f>IF(SUM(MH14,ML14)&gt;0,SUM(MH14,ML14),"")</f>
        <v>5</v>
      </c>
      <c r="MS14" s="11">
        <f>IF(SUM(MG14:MH14,MJ14:ML14,MN14)-SUM(MI14,MM14)&gt;0,SUM(MG14:MH14,MJ14:ML14,MN14)-SUM(MI14,MM14),"")</f>
        <v>28.900000000000002</v>
      </c>
      <c r="MT14" s="11">
        <f>IF(SUM(MQ14,MS14)&gt;0,SUM(MQ14,MS14),"")</f>
        <v>90.300000000000011</v>
      </c>
    </row>
    <row r="15" spans="1:358" x14ac:dyDescent="0.2">
      <c r="A15" s="5" t="str">
        <f>IF(AND(F15="P",G15="P"),SUMPRODUCT((F$4:F$19="P")*(G$4:G$19="P")*(E$4:E$19&gt;E15))+1,IF(G15="P",SUMPRODUCT((F$4:F$19="")*(G$4:G$19="P")*(E$4:E$19&gt;E15))+1+SUMPRODUCT((F$4:F$19="P")*(G$4:G$19="P")),""))</f>
        <v/>
      </c>
      <c r="B15" s="8" t="s">
        <v>106</v>
      </c>
      <c r="C15" s="4" t="s">
        <v>5</v>
      </c>
      <c r="D15" s="5">
        <v>2003</v>
      </c>
      <c r="E15" s="15">
        <f>SUM(J15:N15)</f>
        <v>159</v>
      </c>
      <c r="F15" s="3" t="str">
        <f>IF(OR(AND(AH15&gt;=AL$21,AI15&gt;=AL$25,AI15&lt;&gt;"",AG15=""),AND(BD15&gt;=BH$21,BE15&gt;=BH$25,BE15&lt;&gt;"",BC15=""),AND(BZ15&gt;=CD$21,CA15&gt;=CD$25,CA15&lt;&gt;"",BY15=""),AND(CW15&gt;=DA$21,CX15&gt;=DA$25,CX15&lt;&gt;""),AND(DR15&gt;=DV$21,DS15&gt;=DV$25,DS15&lt;&gt;""),AND(EM15&gt;=EQ$21,EN15&gt;=EQ$25,EN15&lt;&gt;""),AND(FH15&gt;=FL$21,FI15&gt;=FL$25,FI15&lt;&gt;""),AND(GC15&gt;=GG$21,GD15&gt;=GG$25,GD15&lt;&gt;""),AND(GX15&gt;=HB$21,GY15&gt;=HB$25,GY15&lt;&gt;""),AND(HS15&gt;=HW$21,HT15&gt;=HW$25,HT15&lt;&gt;""),AND(IN15&gt;=IR$21,IO15&gt;=IR$25,IO15&lt;&gt;""),AND(JI15&gt;=JM$21,JJ15&gt;=JM$25,JJ15&lt;&gt;""),AND(KD15&gt;=KH$21,KE15&gt;=KH$25,KE15&lt;&gt;""),AND(KY15&gt;=LC$21,KZ15&gt;=LC$25,KZ15&lt;&gt;""),AND(LT15&gt;=LX$21,LU15&gt;=LX$25,LU15&lt;&gt;"")),"P","")</f>
        <v/>
      </c>
      <c r="G15" s="3" t="str">
        <f>IF(OR(AND(AI15&gt;=AL$25,AI15&lt;&gt;"",AG15=""),AND(BE15&gt;=BH$25,BE15&lt;&gt;"",BC15=""),AND(CA15&gt;=CD$25,CA15&lt;&gt;"",BY15=""),AND(CX15&gt;=DA$25,CX15&lt;&gt;""),AND(DS15&gt;=DV$25,DS15&lt;&gt;""),AND(EN15&gt;=EQ$25,EN15&lt;&gt;""),AND(FI15&gt;=FL$25,FI15&lt;&gt;""),AND(GD15&gt;=GG$25,GD15&lt;&gt;""),AND(GY15&gt;=HB$25,GY15&lt;&gt;""),AND(HT15&gt;=HW$25,HT15&lt;&gt;""),AND(IO15&gt;=IR$25,IO15&lt;&gt;""),AND(JJ15&gt;=JM$25,JJ15&lt;&gt;""),AND(KE15&gt;=KH$25,KE15&lt;&gt;""),AND(KZ15&gt;=LC$25,KZ15&lt;&gt;""),AND(LU15&gt;=LX$25,LU15&lt;&gt;"")),"P","")</f>
        <v/>
      </c>
      <c r="H15" s="116" t="str">
        <f>IF(AND(G15="P",F15=""),"No DD",IF(OR(AND(AH15&gt;=AL$24,AH15&lt;&gt;"",AI15&gt;=AL$28,AI15&lt;&gt;"",AG15=""),AND(BD15&gt;=BH$24,BD15&lt;&gt;"",BE15&gt;=BH$28,BE15&lt;&gt;"",BC15=""),AND(BZ15&gt;=CD$24,BZ15&lt;&gt;"",CA15&gt;=CD$28,CA15&lt;&gt;"",BY15=""),AND(CW15&gt;=DA$24,CW15&lt;&gt;"",CX15&gt;=DA$28,CX15&lt;&gt;""),AND(DR15&gt;=DV$24,DR15&lt;&gt;"",DS15&gt;=DV$28,DS15&lt;&gt;""),AND(EM15&gt;=EQ$24,EM15&lt;&gt;"",EN15&gt;=EQ$28,EN15&lt;&gt;""),AND(FH15&gt;=FL$24,FH15&lt;&gt;"",FI15&gt;=FL$28,FI15&lt;&gt;""),AND(GC15&gt;=GG$24,GC15&lt;&gt;"",GD15&gt;=GG$28,GD15&lt;&gt;""),AND(GX15&gt;=HB$24,GX15&lt;&gt;"",GY15&gt;=HB$28,GY15&lt;&gt;""),AND(HS15&gt;=HW$24,HS15&lt;&gt;"",HT15&gt;=HW$28,HT15&lt;&gt;""),AND(IN15&gt;=IR$24,IN15&lt;&gt;"",IO15&gt;=IR$28,IO15&lt;&gt;""),AND(JI15&gt;=JM$24,JI15&lt;&gt;"",JJ15&gt;=JM$28,JJ15&lt;&gt;""),AND(KD15&gt;=KH$24,KD15&lt;&gt;"",KE15&gt;=KH$28,KE15&lt;&gt;""),AND(KY15&gt;=LC$24,KY15&lt;&gt;"",KZ15&gt;=LC$28,KZ15&lt;&gt;""),AND(LT15&gt;=LX$24,LT15&lt;&gt;"",LU15&gt;=LX$28,LU15&lt;&gt;"")),"Merit",IF(OR(AND(AH15&gt;=AL$23,AH15&lt;&gt;"",AI15&gt;=AL$27,AI15&lt;&gt;"",AG15=""),AND(BD15&gt;=BH$23,BD15&lt;&gt;"",BE15&gt;=BH$27,BE15&lt;&gt;"",BC15=""),AND(BZ15&gt;=CD$23,BZ15&lt;&gt;"",CA15&gt;=CD$27,CA15&lt;&gt;"",BY15=""),AND(CW15&gt;=DA$23,CW15&lt;&gt;"",CX15&gt;=DA$27,CX15&lt;&gt;""),AND(DR15&gt;=DV$23,DR15&lt;&gt;"",DS15&gt;=DV$27,DS15&lt;&gt;""),AND(EM15&gt;=EQ$23,EM15&lt;&gt;"",EN15&gt;=EQ$27,EN15&lt;&gt;""),AND(FH15&gt;=FL$23,FH15&lt;&gt;"",FI15&gt;=FL$27,FI15&lt;&gt;""),AND(GC15&gt;=GG$23,GC15&lt;&gt;"",GD15&gt;=GG$27,GD15&lt;&gt;""),AND(GX15&gt;=HB$23,GX15&lt;&gt;"",GY15&gt;=HB$27,GY15&lt;&gt;""),AND(HS15&gt;=HW$23,HS15&lt;&gt;"",HT15&gt;=HW$27,HT15&lt;&gt;""),AND(IN15&gt;=IR$23,IN15&lt;&gt;"",IO15&gt;=IR$27,IO15&lt;&gt;""),AND(JI15&gt;=JM$23,JI15&lt;&gt;"",JJ15&gt;=JM$27,JJ15&lt;&gt;""),AND(KD15&gt;=KH$23,KD15&lt;&gt;"",KE15&gt;=KH$27,KE15&lt;&gt;""),AND(KY15&gt;=LC$23,KY15&lt;&gt;"",KZ15&gt;=LC$27,KZ15&lt;&gt;""),AND(LT15&gt;=LX$23,LT15&lt;&gt;"",LU15&gt;=LX$27,LU15&lt;&gt;"")),"Excellence",IF(OR(AND(AH15&gt;=AL$22,AH15&lt;&gt;"",AI15&gt;=AL$26,AI15&lt;&gt;"",AG15=""),AND(BD15&gt;=BH$22,BD15&lt;&gt;"",BE15&gt;=BH$26,BE15&lt;&gt;"",BC15=""),AND(BZ15&gt;=CD$22,BZ15&lt;&gt;"",CA15&gt;=CD$26,CA15&lt;&gt;"",BY15=""),AND(CW15&gt;=DA$22,CW15&lt;&gt;"",CX15&gt;=DA$26,CX15&lt;&gt;""),AND(DR15&gt;=DV$22,DR15&lt;&gt;"",DS15&gt;=DV$26,DS15&lt;&gt;""),AND(EM15&gt;=EQ$22,EM15&lt;&gt;"",EN15&gt;=EQ$26,EN15&lt;&gt;""),AND(FH15&gt;=FL$22,FH15&lt;&gt;"",FI15&gt;=FL$26,FI15&lt;&gt;""),AND(GC15&gt;=GG$22,GC15&lt;&gt;"",GD15&gt;=GG$26,GD15&lt;&gt;""),AND(GX15&gt;=HB$22,GX15&lt;&gt;"",GY15&gt;=HB$26,GY15&lt;&gt;""),AND(HS15&gt;=HW$22,HS15&lt;&gt;"",HT15&gt;=HW$26,HT15&lt;&gt;""),AND(IN15&gt;=IR$22,IN15&lt;&gt;"",IO15&gt;=IR$26,IO15&lt;&gt;""),AND(JI15&gt;=JM$22,JI15&lt;&gt;"",JJ15&gt;=JM$26,JJ15&lt;&gt;""),AND(KD15&gt;=KH$22,KD15&lt;&gt;"",KE15&gt;=KH$26,KE15&lt;&gt;""),AND(KY15&gt;=LC$22,KY15&lt;&gt;"",KZ15&gt;=LC$26,KZ15&lt;&gt;""),AND(LT15&gt;=LX$22,LT15&lt;&gt;"",LU15&gt;=LX$26,LU15&lt;&gt;"")),"Worlds Team",IF(OR(AND(AH15&gt;=AL$21,AH15&lt;&gt;"",AI15&gt;=AL$25,AI15&lt;&gt;"",AG15=""),AND(BD15&gt;=BH$21,BD15&lt;&gt;"",BE15&gt;=BH$25,BE15&lt;&gt;"",BC15=""),AND(BZ15&gt;=CD$21,BZ15&lt;&gt;"",CA15&gt;=CD$25,CA15&lt;&gt;"",BY15=""),AND(CW15&gt;=DA$21,CW15&lt;&gt;"",CX15&gt;=DA$25,CX15&lt;&gt;""),AND(DR15&gt;=DV$21,DR15&lt;&gt;"",DS15&gt;=DV$25,DS15&lt;&gt;""),AND(EM15&gt;=EQ$21,EM15&lt;&gt;"",EN15&gt;=EQ$25,EN15&lt;&gt;""),AND(FH15&gt;=FL$21,FH15&lt;&gt;"",FI15&gt;=FL$25,FI15&lt;&gt;""),AND(GC15&gt;=GG$21,GC15&lt;&gt;"",GD15&gt;=GG$25,GD15&lt;&gt;""),AND(GX15&gt;=HB$21,GX15&lt;&gt;"",GY15&gt;=HB$25,GY15&lt;&gt;""),AND(HS15&gt;=HW$21,HS15&lt;&gt;"",HT15&gt;=HW$25,HT15&lt;&gt;""),AND(IN15&gt;=IR$21,IN15&lt;&gt;"",IO15&gt;=IR$25,IO15&lt;&gt;""),AND(JI15&gt;=JM$21,JI15&lt;&gt;"",JJ15&gt;=JM$25,JJ15&lt;&gt;""),AND(KD15&gt;=KH$21,KD15&lt;&gt;"",KE15&gt;=KH$25,KE15&lt;&gt;""),AND(KY15&gt;=LC$21,KY15&lt;&gt;"",KZ15&gt;=LC$25,KZ15&lt;&gt;""),AND(LT15&gt;=LX$21,LT15&lt;&gt;"",LU15&gt;=LX$25,LU15&lt;&gt;"")),"National Team","")))))</f>
        <v/>
      </c>
      <c r="I15" s="3" t="str">
        <f>IF(OR(H15="Worlds Team",H15="Excellence",H15="Merit"),"P","")</f>
        <v/>
      </c>
      <c r="J15" s="14">
        <f>MAX(AL15,BH15,CD15)</f>
        <v>98.8</v>
      </c>
      <c r="K15" s="14" t="str">
        <f>IF(J15=0,"",IF(J15=CD15,$BI$1,IF(J15=BH15,$AM$1,IF(J15=AL15,$Q$1,""))))</f>
        <v>2019 Nationals</v>
      </c>
      <c r="L15" s="14">
        <f>IF(J15=AL15,MAX(BE15,BG15,CA15,CC15),IF(J15=BH15,MAX(AI15,AK15,CA15,CC15),MAX(AI15,AK15,BE15,BG15)))</f>
        <v>60.199999999999996</v>
      </c>
      <c r="M15" s="14" t="str">
        <f>IF(L15=0,"",IF(AND(J15&lt;&gt;CD15,OR(L15=CA15,L15=CC15)),$BI$1,IF(AND(J15&lt;&gt;BH15,OR(L15=BG15,L15=BE15)),$AM$1,IF(OR(L15=AK15,L15=AI15),$Q$1,""))))</f>
        <v>2021 1st Virtual Technical Trial</v>
      </c>
      <c r="N15" s="14" t="str">
        <f>IF(MAX(CE15:CF15)&gt;0,MAX(CE15:CF15),"")</f>
        <v/>
      </c>
      <c r="O15" s="24" t="str">
        <f>IF(N15="","",IF(N15=CE15,"(4 Pass)",IF(N15=CF15,"(2 Pass)")))</f>
        <v/>
      </c>
      <c r="P15" s="14" t="str">
        <f>IF(N15="","",IF(N15=CE15,IF(N15+IF(J15="",0,J15)=DA15,$CG$1,IF(N15+IF(J15="",0,J15)=DV15,$DB$1,IF(N15+IF(J15="",0,J15)=EQ15,$DW$1,IF(N15+IF(J15="",0,J15)=FL15,$ER$1,IF(N15+IF(J15="",0,J15)=GG15,$FM$1,IF(N15+IF(J15="",0,J15)=HB15,$GH$1,IF(N15+IF(J15="",0,J15)=HW15,$HC$1,IF(N15+IF(J15="",0,J15)=IR15,$HX$1,IF(N15+IF(J15="",0,J15)=JM15,$IS$1,IF(N15+IF(J15="",0,J15)=KH15,$JN$1,IF(N15+IF(J15="",0,J15)=LC15,$KI$1,IF(N15+IF(J15="",0,J15)=LX15,$LD$1)))))))))))),IF(N15=CF15,IF(OR(N15+IF(L15="",0,L15)=CX15,N15+IF(L15="",0,L15)=CZ15),$CG$1,IF(OR(N15+IF(L15="",0,L15)=DS15,N15+IF(L15="",0,L15)=DU15),$DB$1,IF(OR(N15+IF(L15="",0,L15)=EN15,N15+IF(L15="",0,L15)=EP15),$DW$1,IF(OR(N15+IF(L15="",0,L15)=FI15,N15+IF(L15="",0,L15)=FK15),$ER$1,IF(OR(N15+IF(L15="",0,L15)=GD15,N15+IF(L15="",0,L15)=GF15),$FM$1,IF(OR(N15+IF(L15="",0,L15)=GY15,N15+IF(L15="",0,L15)=HA15),$GH$1,IF(OR(N15+IF(L15="",0,L15)=HT15,N15+IF(L15="",0,L15)=HV15),$HC$1,IF(OR(N15+IF(L15="",0,L15)=IO15,N15+IF(L15="",0,L15)=IQ15),$HX$1,IF(OR(N15+IF(L15="",0,L15)=JJ15,N15+IF(L15="",0,L15)=JL15),$IS$1,IF(OR(N15+IF(L15="",0,L15)=KE15,N15+IF(L15="",0,L15)=KG15),$JN$1,IF(OR(N15+IF(L15="",0,L15)=KZ15,N15+IF(L15="",0,L15)=LB15),$KI$1,IF(OR(N15+IF(L15="",0,L15)=LU15,N15+IF(L15="",0,L15)=LW15),$LD$1)))))))))))))))</f>
        <v/>
      </c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72"/>
      <c r="AH15" s="11" t="str">
        <f>IF(SUM(R15,V15)&gt;0,SUM(R15,V15),"")</f>
        <v/>
      </c>
      <c r="AI15" s="11" t="str">
        <f>IF(SUM(Q15:R15,T15:V15,X15)-SUM(S15,W15)&gt;0,SUM(Q15:R15,T15:V15,X15)-SUM(S15,W15),"")</f>
        <v/>
      </c>
      <c r="AJ15" s="11" t="str">
        <f>IF(SUM(Z15,AD15)&gt;0,SUM(Z15,AD15),"")</f>
        <v/>
      </c>
      <c r="AK15" s="11" t="str">
        <f>IF(SUM(Y15:Z15,AB15:AD15,AF15)-SUM(AA15,AE15)&gt;0,SUM(Y15:Z15,AB15:AD15,AF15)-SUM(AA15,AE15),"")</f>
        <v/>
      </c>
      <c r="AL15" s="11" t="str">
        <f>IF(SUM(AI15,AK15)&gt;0,SUM(AI15,AK15),"")</f>
        <v/>
      </c>
      <c r="AM15" s="36">
        <v>28</v>
      </c>
      <c r="AN15" s="36">
        <v>6.4</v>
      </c>
      <c r="AO15" s="36">
        <v>0</v>
      </c>
      <c r="AP15" s="36">
        <v>0</v>
      </c>
      <c r="AQ15" s="36">
        <v>27.2</v>
      </c>
      <c r="AR15" s="36">
        <v>6</v>
      </c>
      <c r="AS15" s="36">
        <v>0.3</v>
      </c>
      <c r="AT15" s="36">
        <v>0</v>
      </c>
      <c r="AU15" s="36">
        <v>0</v>
      </c>
      <c r="AV15" s="36">
        <v>0</v>
      </c>
      <c r="AW15" s="36">
        <v>0</v>
      </c>
      <c r="AX15" s="36">
        <v>0</v>
      </c>
      <c r="AY15" s="36">
        <v>24.9</v>
      </c>
      <c r="AZ15" s="36">
        <v>6.9</v>
      </c>
      <c r="BA15" s="36">
        <v>0.3</v>
      </c>
      <c r="BB15" s="36">
        <v>0</v>
      </c>
      <c r="BC15" s="73"/>
      <c r="BD15" s="14">
        <f>IF(SUM(AN15,AR15)&gt;0,SUM(AN15,AR15),"")</f>
        <v>12.4</v>
      </c>
      <c r="BE15" s="14">
        <f>IF(SUM(AM15:AN15,AP15:AR15,AT15)-SUM(AO15,AS15)&gt;0,SUM(AM15:AN15,AP15:AR15,AT15)-SUM(AO15,AS15),"")</f>
        <v>67.3</v>
      </c>
      <c r="BF15" s="14">
        <f>IF(SUM(AV15,AZ15)&gt;0,SUM(AV15,AZ15),"")</f>
        <v>6.9</v>
      </c>
      <c r="BG15" s="14">
        <f>IF(SUM(AU15:AV15,AX15:AZ15,BB15)-SUM(AW15,BA15)&gt;0,SUM(AU15:AV15,AX15:AZ15,BB15)-SUM(AW15,BA15),"")</f>
        <v>31.499999999999996</v>
      </c>
      <c r="BH15" s="14">
        <f>IF(SUM(BE15,BG15)&gt;0,SUM(BE15,BG15),"")</f>
        <v>98.8</v>
      </c>
      <c r="BI15" s="61">
        <v>25.4</v>
      </c>
      <c r="BJ15" s="61">
        <v>4.4000000000000004</v>
      </c>
      <c r="BK15" s="61">
        <v>0.9</v>
      </c>
      <c r="BL15" s="61">
        <v>0</v>
      </c>
      <c r="BM15" s="61">
        <v>28.5</v>
      </c>
      <c r="BN15" s="61">
        <v>3.1</v>
      </c>
      <c r="BO15" s="61">
        <v>0.3</v>
      </c>
      <c r="BP15" s="61">
        <v>0</v>
      </c>
      <c r="BQ15" s="61">
        <v>0</v>
      </c>
      <c r="BR15" s="61">
        <v>0</v>
      </c>
      <c r="BS15" s="61">
        <v>0</v>
      </c>
      <c r="BT15" s="61">
        <v>0</v>
      </c>
      <c r="BU15" s="61">
        <v>0</v>
      </c>
      <c r="BV15" s="61">
        <v>0</v>
      </c>
      <c r="BW15" s="61">
        <v>0</v>
      </c>
      <c r="BX15" s="61">
        <v>0</v>
      </c>
      <c r="BY15" s="72"/>
      <c r="BZ15" s="11">
        <f>IF(SUM(BJ15,BN15)&gt;0,SUM(BJ15,BN15),"")</f>
        <v>7.5</v>
      </c>
      <c r="CA15" s="11">
        <f>IF(SUM(BI15:BJ15,BL15:BN15,BP15)-SUM(BK15,BO15)&gt;0,SUM(BI15:BJ15,BL15:BN15,BP15)-SUM(BK15,BO15),"")</f>
        <v>60.199999999999996</v>
      </c>
      <c r="CB15" s="11" t="str">
        <f>IF(SUM(BR15,BV15)&gt;0,SUM(BR15,BV15),"")</f>
        <v/>
      </c>
      <c r="CC15" s="11" t="str">
        <f>IF(SUM(BQ15:BR15,BT15:BV15,BX15)-SUM(BS15,BW15)&gt;0,SUM(BQ15:BR15,BT15:BV15,BX15)-SUM(BS15,BW15),"")</f>
        <v/>
      </c>
      <c r="CD15" s="11">
        <f>IF(SUM(CA15,CC15)&gt;0,SUM(CA15,CC15),"")</f>
        <v>60.199999999999996</v>
      </c>
      <c r="CE15" s="23" t="str">
        <f>IF(MAX(DA15,DV15,EQ15,FL15,GG15,HB15,HW15,IR15,JM15,KH15,LC15,LX15)-IF(J15="",0,J15)&gt;0.001,MAX(DA15,DV15,EQ15,FL15,GG15,HB15,HW15,IR15,JM15,KH15,LC15,LX15)-IF(J15="",0,J15),"")</f>
        <v/>
      </c>
      <c r="CF15" s="23" t="str">
        <f>IF(MAX(CX15,CZ15,DS15,DU15,EN15,EP15,FI15,FK15,GD15,GF15,GY15,HA15,HT15,HV15,IO15,IQ15,JJ15,JL15,KE15,KG15,KZ15,LB15,LU15,LW15)-IF(L15="",0,L15)&gt;0.001,MAX(CX15,CZ15,DS15,DU15,EN15,EP15,FI15,FK15,GD15,GF15,GY15,HA15,HT15,HV15,IO15,IQ15,JJ15,JL15,KE15,KG15,KZ15,LB15,LU15,LW15)-IF(L15="",0,L15),"")</f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1">
        <f>IF($BY15="P",BI15,(BI15+AM15)/2)</f>
        <v>26.7</v>
      </c>
      <c r="LZ15" s="61">
        <f>IF($BY15="P",BJ15,(BJ15+AN15)/2)</f>
        <v>5.4</v>
      </c>
      <c r="MA15" s="61">
        <f>IF($BY15="P",BK15,(BK15+AO15)/2)</f>
        <v>0.45</v>
      </c>
      <c r="MB15" s="61">
        <f>IF($BY15="P",BL15,(BL15+AP15)/2)</f>
        <v>0</v>
      </c>
      <c r="MC15" s="61">
        <f>IF($BY15="P",BM15,(BM15+AQ15)/2)</f>
        <v>27.85</v>
      </c>
      <c r="MD15" s="61">
        <f>IF($BY15="P",BN15,(BN15+AR15)/2)</f>
        <v>4.55</v>
      </c>
      <c r="ME15" s="61">
        <f>IF($BY15="P",BO15,(BO15+AS15)/2)</f>
        <v>0.3</v>
      </c>
      <c r="MF15" s="61">
        <f>IF($BY15="P",BP15,(BP15+AT15)/2)</f>
        <v>0</v>
      </c>
      <c r="MG15" s="61">
        <f>IF($BY15="P",BQ15,(BQ15+AU15)/2)</f>
        <v>0</v>
      </c>
      <c r="MH15" s="61">
        <f>IF($BY15="P",BR15,(BR15+AV15)/2)</f>
        <v>0</v>
      </c>
      <c r="MI15" s="61">
        <f>IF($BY15="P",BS15,(BS15+AW15)/2)</f>
        <v>0</v>
      </c>
      <c r="MJ15" s="61">
        <f>IF($BY15="P",BT15,(BT15+AX15)/2)</f>
        <v>0</v>
      </c>
      <c r="MK15" s="61">
        <f>IF($BY15="P",BU15,(BU15+AY15)/2)</f>
        <v>12.45</v>
      </c>
      <c r="ML15" s="61">
        <f>IF($BY15="P",BV15,(BV15+AZ15)/2)</f>
        <v>3.45</v>
      </c>
      <c r="MM15" s="61">
        <f>IF($BY15="P",BW15,(BW15+BA15)/2)</f>
        <v>0.15</v>
      </c>
      <c r="MN15" s="61">
        <f>IF($BY15="P",BX15,(BX15+BB15)/2)</f>
        <v>0</v>
      </c>
      <c r="MO15" s="72" t="s">
        <v>52</v>
      </c>
      <c r="MP15" s="11">
        <f>IF(SUM(LZ15,MD15)&gt;0,SUM(LZ15,MD15),"")</f>
        <v>9.9499999999999993</v>
      </c>
      <c r="MQ15" s="11">
        <f>IF(SUM(LY15:LZ15,MB15:MD15,MF15)-SUM(MA15,ME15)&gt;0,SUM(LY15:LZ15,MB15:MD15,MF15)-SUM(MA15,ME15),"")</f>
        <v>63.75</v>
      </c>
      <c r="MR15" s="11">
        <f>IF(SUM(MH15,ML15)&gt;0,SUM(MH15,ML15),"")</f>
        <v>3.45</v>
      </c>
      <c r="MS15" s="11">
        <f>IF(SUM(MG15:MH15,MJ15:ML15,MN15)-SUM(MI15,MM15)&gt;0,SUM(MG15:MH15,MJ15:ML15,MN15)-SUM(MI15,MM15),"")</f>
        <v>15.749999999999998</v>
      </c>
      <c r="MT15" s="11">
        <f>IF(SUM(MQ15,MS15)&gt;0,SUM(MQ15,MS15),"")</f>
        <v>79.5</v>
      </c>
    </row>
    <row r="16" spans="1:358" x14ac:dyDescent="0.2">
      <c r="A16" s="5" t="str">
        <f>IF(AND(F16="P",G16="P"),SUMPRODUCT((F$4:F$19="P")*(G$4:G$19="P")*(E$4:E$19&gt;E16))+1,IF(G16="P",SUMPRODUCT((F$4:F$19="")*(G$4:G$19="P")*(E$4:E$19&gt;E16))+1+SUMPRODUCT((F$4:F$19="P")*(G$4:G$19="P")),""))</f>
        <v/>
      </c>
      <c r="B16" s="8" t="s">
        <v>91</v>
      </c>
      <c r="C16" s="4" t="s">
        <v>4</v>
      </c>
      <c r="D16" s="5">
        <v>2002</v>
      </c>
      <c r="E16" s="15">
        <f>SUM(J16:N16)</f>
        <v>155.70000000000002</v>
      </c>
      <c r="F16" s="3" t="str">
        <f>IF(OR(AND(AH16&gt;=AL$21,AI16&gt;=AL$25,AI16&lt;&gt;"",AG16=""),AND(BD16&gt;=BH$21,BE16&gt;=BH$25,BE16&lt;&gt;"",BC16=""),AND(BZ16&gt;=CD$21,CA16&gt;=CD$25,CA16&lt;&gt;"",BY16=""),AND(CW16&gt;=DA$21,CX16&gt;=DA$25,CX16&lt;&gt;""),AND(DR16&gt;=DV$21,DS16&gt;=DV$25,DS16&lt;&gt;""),AND(EM16&gt;=EQ$21,EN16&gt;=EQ$25,EN16&lt;&gt;""),AND(FH16&gt;=FL$21,FI16&gt;=FL$25,FI16&lt;&gt;""),AND(GC16&gt;=GG$21,GD16&gt;=GG$25,GD16&lt;&gt;""),AND(GX16&gt;=HB$21,GY16&gt;=HB$25,GY16&lt;&gt;""),AND(HS16&gt;=HW$21,HT16&gt;=HW$25,HT16&lt;&gt;""),AND(IN16&gt;=IR$21,IO16&gt;=IR$25,IO16&lt;&gt;""),AND(JI16&gt;=JM$21,JJ16&gt;=JM$25,JJ16&lt;&gt;""),AND(KD16&gt;=KH$21,KE16&gt;=KH$25,KE16&lt;&gt;""),AND(KY16&gt;=LC$21,KZ16&gt;=LC$25,KZ16&lt;&gt;""),AND(LT16&gt;=LX$21,LU16&gt;=LX$25,LU16&lt;&gt;"")),"P","")</f>
        <v/>
      </c>
      <c r="G16" s="3" t="str">
        <f>IF(OR(AND(AI16&gt;=AL$25,AI16&lt;&gt;"",AG16=""),AND(BE16&gt;=BH$25,BE16&lt;&gt;"",BC16=""),AND(CA16&gt;=CD$25,CA16&lt;&gt;"",BY16=""),AND(CX16&gt;=DA$25,CX16&lt;&gt;""),AND(DS16&gt;=DV$25,DS16&lt;&gt;""),AND(EN16&gt;=EQ$25,EN16&lt;&gt;""),AND(FI16&gt;=FL$25,FI16&lt;&gt;""),AND(GD16&gt;=GG$25,GD16&lt;&gt;""),AND(GY16&gt;=HB$25,GY16&lt;&gt;""),AND(HT16&gt;=HW$25,HT16&lt;&gt;""),AND(IO16&gt;=IR$25,IO16&lt;&gt;""),AND(JJ16&gt;=JM$25,JJ16&lt;&gt;""),AND(KE16&gt;=KH$25,KE16&lt;&gt;""),AND(KZ16&gt;=LC$25,KZ16&lt;&gt;""),AND(LU16&gt;=LX$25,LU16&lt;&gt;"")),"P","")</f>
        <v/>
      </c>
      <c r="H16" s="116" t="str">
        <f>IF(AND(G16="P",F16=""),"No DD",IF(OR(AND(AH16&gt;=AL$24,AH16&lt;&gt;"",AI16&gt;=AL$28,AI16&lt;&gt;"",AG16=""),AND(BD16&gt;=BH$24,BD16&lt;&gt;"",BE16&gt;=BH$28,BE16&lt;&gt;"",BC16=""),AND(BZ16&gt;=CD$24,BZ16&lt;&gt;"",CA16&gt;=CD$28,CA16&lt;&gt;"",BY16=""),AND(CW16&gt;=DA$24,CW16&lt;&gt;"",CX16&gt;=DA$28,CX16&lt;&gt;""),AND(DR16&gt;=DV$24,DR16&lt;&gt;"",DS16&gt;=DV$28,DS16&lt;&gt;""),AND(EM16&gt;=EQ$24,EM16&lt;&gt;"",EN16&gt;=EQ$28,EN16&lt;&gt;""),AND(FH16&gt;=FL$24,FH16&lt;&gt;"",FI16&gt;=FL$28,FI16&lt;&gt;""),AND(GC16&gt;=GG$24,GC16&lt;&gt;"",GD16&gt;=GG$28,GD16&lt;&gt;""),AND(GX16&gt;=HB$24,GX16&lt;&gt;"",GY16&gt;=HB$28,GY16&lt;&gt;""),AND(HS16&gt;=HW$24,HS16&lt;&gt;"",HT16&gt;=HW$28,HT16&lt;&gt;""),AND(IN16&gt;=IR$24,IN16&lt;&gt;"",IO16&gt;=IR$28,IO16&lt;&gt;""),AND(JI16&gt;=JM$24,JI16&lt;&gt;"",JJ16&gt;=JM$28,JJ16&lt;&gt;""),AND(KD16&gt;=KH$24,KD16&lt;&gt;"",KE16&gt;=KH$28,KE16&lt;&gt;""),AND(KY16&gt;=LC$24,KY16&lt;&gt;"",KZ16&gt;=LC$28,KZ16&lt;&gt;""),AND(LT16&gt;=LX$24,LT16&lt;&gt;"",LU16&gt;=LX$28,LU16&lt;&gt;"")),"Merit",IF(OR(AND(AH16&gt;=AL$23,AH16&lt;&gt;"",AI16&gt;=AL$27,AI16&lt;&gt;"",AG16=""),AND(BD16&gt;=BH$23,BD16&lt;&gt;"",BE16&gt;=BH$27,BE16&lt;&gt;"",BC16=""),AND(BZ16&gt;=CD$23,BZ16&lt;&gt;"",CA16&gt;=CD$27,CA16&lt;&gt;"",BY16=""),AND(CW16&gt;=DA$23,CW16&lt;&gt;"",CX16&gt;=DA$27,CX16&lt;&gt;""),AND(DR16&gt;=DV$23,DR16&lt;&gt;"",DS16&gt;=DV$27,DS16&lt;&gt;""),AND(EM16&gt;=EQ$23,EM16&lt;&gt;"",EN16&gt;=EQ$27,EN16&lt;&gt;""),AND(FH16&gt;=FL$23,FH16&lt;&gt;"",FI16&gt;=FL$27,FI16&lt;&gt;""),AND(GC16&gt;=GG$23,GC16&lt;&gt;"",GD16&gt;=GG$27,GD16&lt;&gt;""),AND(GX16&gt;=HB$23,GX16&lt;&gt;"",GY16&gt;=HB$27,GY16&lt;&gt;""),AND(HS16&gt;=HW$23,HS16&lt;&gt;"",HT16&gt;=HW$27,HT16&lt;&gt;""),AND(IN16&gt;=IR$23,IN16&lt;&gt;"",IO16&gt;=IR$27,IO16&lt;&gt;""),AND(JI16&gt;=JM$23,JI16&lt;&gt;"",JJ16&gt;=JM$27,JJ16&lt;&gt;""),AND(KD16&gt;=KH$23,KD16&lt;&gt;"",KE16&gt;=KH$27,KE16&lt;&gt;""),AND(KY16&gt;=LC$23,KY16&lt;&gt;"",KZ16&gt;=LC$27,KZ16&lt;&gt;""),AND(LT16&gt;=LX$23,LT16&lt;&gt;"",LU16&gt;=LX$27,LU16&lt;&gt;"")),"Excellence",IF(OR(AND(AH16&gt;=AL$22,AH16&lt;&gt;"",AI16&gt;=AL$26,AI16&lt;&gt;"",AG16=""),AND(BD16&gt;=BH$22,BD16&lt;&gt;"",BE16&gt;=BH$26,BE16&lt;&gt;"",BC16=""),AND(BZ16&gt;=CD$22,BZ16&lt;&gt;"",CA16&gt;=CD$26,CA16&lt;&gt;"",BY16=""),AND(CW16&gt;=DA$22,CW16&lt;&gt;"",CX16&gt;=DA$26,CX16&lt;&gt;""),AND(DR16&gt;=DV$22,DR16&lt;&gt;"",DS16&gt;=DV$26,DS16&lt;&gt;""),AND(EM16&gt;=EQ$22,EM16&lt;&gt;"",EN16&gt;=EQ$26,EN16&lt;&gt;""),AND(FH16&gt;=FL$22,FH16&lt;&gt;"",FI16&gt;=FL$26,FI16&lt;&gt;""),AND(GC16&gt;=GG$22,GC16&lt;&gt;"",GD16&gt;=GG$26,GD16&lt;&gt;""),AND(GX16&gt;=HB$22,GX16&lt;&gt;"",GY16&gt;=HB$26,GY16&lt;&gt;""),AND(HS16&gt;=HW$22,HS16&lt;&gt;"",HT16&gt;=HW$26,HT16&lt;&gt;""),AND(IN16&gt;=IR$22,IN16&lt;&gt;"",IO16&gt;=IR$26,IO16&lt;&gt;""),AND(JI16&gt;=JM$22,JI16&lt;&gt;"",JJ16&gt;=JM$26,JJ16&lt;&gt;""),AND(KD16&gt;=KH$22,KD16&lt;&gt;"",KE16&gt;=KH$26,KE16&lt;&gt;""),AND(KY16&gt;=LC$22,KY16&lt;&gt;"",KZ16&gt;=LC$26,KZ16&lt;&gt;""),AND(LT16&gt;=LX$22,LT16&lt;&gt;"",LU16&gt;=LX$26,LU16&lt;&gt;"")),"Worlds Team",IF(OR(AND(AH16&gt;=AL$21,AH16&lt;&gt;"",AI16&gt;=AL$25,AI16&lt;&gt;"",AG16=""),AND(BD16&gt;=BH$21,BD16&lt;&gt;"",BE16&gt;=BH$25,BE16&lt;&gt;"",BC16=""),AND(BZ16&gt;=CD$21,BZ16&lt;&gt;"",CA16&gt;=CD$25,CA16&lt;&gt;"",BY16=""),AND(CW16&gt;=DA$21,CW16&lt;&gt;"",CX16&gt;=DA$25,CX16&lt;&gt;""),AND(DR16&gt;=DV$21,DR16&lt;&gt;"",DS16&gt;=DV$25,DS16&lt;&gt;""),AND(EM16&gt;=EQ$21,EM16&lt;&gt;"",EN16&gt;=EQ$25,EN16&lt;&gt;""),AND(FH16&gt;=FL$21,FH16&lt;&gt;"",FI16&gt;=FL$25,FI16&lt;&gt;""),AND(GC16&gt;=GG$21,GC16&lt;&gt;"",GD16&gt;=GG$25,GD16&lt;&gt;""),AND(GX16&gt;=HB$21,GX16&lt;&gt;"",GY16&gt;=HB$25,GY16&lt;&gt;""),AND(HS16&gt;=HW$21,HS16&lt;&gt;"",HT16&gt;=HW$25,HT16&lt;&gt;""),AND(IN16&gt;=IR$21,IN16&lt;&gt;"",IO16&gt;=IR$25,IO16&lt;&gt;""),AND(JI16&gt;=JM$21,JI16&lt;&gt;"",JJ16&gt;=JM$25,JJ16&lt;&gt;""),AND(KD16&gt;=KH$21,KD16&lt;&gt;"",KE16&gt;=KH$25,KE16&lt;&gt;""),AND(KY16&gt;=LC$21,KY16&lt;&gt;"",KZ16&gt;=LC$25,KZ16&lt;&gt;""),AND(LT16&gt;=LX$21,LT16&lt;&gt;"",LU16&gt;=LX$25,LU16&lt;&gt;"")),"National Team","")))))</f>
        <v/>
      </c>
      <c r="I16" s="3" t="str">
        <f>IF(OR(H16="Worlds Team",H16="Excellence",H16="Merit"),"P","")</f>
        <v/>
      </c>
      <c r="J16" s="14">
        <f>MAX(AL16,BH16,CD16)</f>
        <v>132.60000000000002</v>
      </c>
      <c r="K16" s="14" t="str">
        <f>IF(J16=0,"",IF(J16=CD16,$BI$1,IF(J16=BH16,$AM$1,IF(J16=AL16,$Q$1,""))))</f>
        <v>2019 Elite Canada</v>
      </c>
      <c r="L16" s="14">
        <f>IF(J16=AL16,MAX(BE16,BG16,CA16,CC16),IF(J16=BH16,MAX(AI16,AK16,CA16,CC16),MAX(AI16,AK16,BE16,BG16)))</f>
        <v>23.099999999999998</v>
      </c>
      <c r="M16" s="14" t="str">
        <f>IF(L16=0,"",IF(AND(J16&lt;&gt;CD16,OR(L16=CA16,L16=CC16)),$BI$1,IF(AND(J16&lt;&gt;BH16,OR(L16=BG16,L16=BE16)),$AM$1,IF(OR(L16=AK16,L16=AI16),$Q$1,""))))</f>
        <v>2019 Nationals</v>
      </c>
      <c r="N16" s="14" t="str">
        <f>IF(MAX(CE16:CF16)&gt;0,MAX(CE16:CF16),"")</f>
        <v/>
      </c>
      <c r="O16" s="24" t="str">
        <f>IF(N16="","",IF(N16=CE16,"(4 Pass)",IF(N16=CF16,"(2 Pass)")))</f>
        <v/>
      </c>
      <c r="P16" s="14" t="str">
        <f>IF(N16="","",IF(N16=CE16,IF(N16+IF(J16="",0,J16)=DA16,$CG$1,IF(N16+IF(J16="",0,J16)=DV16,$DB$1,IF(N16+IF(J16="",0,J16)=EQ16,$DW$1,IF(N16+IF(J16="",0,J16)=FL16,$ER$1,IF(N16+IF(J16="",0,J16)=GG16,$FM$1,IF(N16+IF(J16="",0,J16)=HB16,$GH$1,IF(N16+IF(J16="",0,J16)=HW16,$HC$1,IF(N16+IF(J16="",0,J16)=IR16,$HX$1,IF(N16+IF(J16="",0,J16)=JM16,$IS$1,IF(N16+IF(J16="",0,J16)=KH16,$JN$1,IF(N16+IF(J16="",0,J16)=LC16,$KI$1,IF(N16+IF(J16="",0,J16)=LX16,$LD$1)))))))))))),IF(N16=CF16,IF(OR(N16+IF(L16="",0,L16)=CX16,N16+IF(L16="",0,L16)=CZ16),$CG$1,IF(OR(N16+IF(L16="",0,L16)=DS16,N16+IF(L16="",0,L16)=DU16),$DB$1,IF(OR(N16+IF(L16="",0,L16)=EN16,N16+IF(L16="",0,L16)=EP16),$DW$1,IF(OR(N16+IF(L16="",0,L16)=FI16,N16+IF(L16="",0,L16)=FK16),$ER$1,IF(OR(N16+IF(L16="",0,L16)=GD16,N16+IF(L16="",0,L16)=GF16),$FM$1,IF(OR(N16+IF(L16="",0,L16)=GY16,N16+IF(L16="",0,L16)=HA16),$GH$1,IF(OR(N16+IF(L16="",0,L16)=HT16,N16+IF(L16="",0,L16)=HV16),$HC$1,IF(OR(N16+IF(L16="",0,L16)=IO16,N16+IF(L16="",0,L16)=IQ16),$HX$1,IF(OR(N16+IF(L16="",0,L16)=JJ16,N16+IF(L16="",0,L16)=JL16),$IS$1,IF(OR(N16+IF(L16="",0,L16)=KE16,N16+IF(L16="",0,L16)=KG16),$JN$1,IF(OR(N16+IF(L16="",0,L16)=KZ16,N16+IF(L16="",0,L16)=LB16),$KI$1,IF(OR(N16+IF(L16="",0,L16)=LU16,N16+IF(L16="",0,L16)=LW16),$LD$1)))))))))))))))</f>
        <v/>
      </c>
      <c r="Q16" s="61">
        <v>28.8</v>
      </c>
      <c r="R16" s="61">
        <v>6</v>
      </c>
      <c r="S16" s="61">
        <v>0</v>
      </c>
      <c r="T16" s="61">
        <v>0</v>
      </c>
      <c r="U16" s="61">
        <v>25</v>
      </c>
      <c r="V16" s="61">
        <v>6.4</v>
      </c>
      <c r="W16" s="61">
        <v>1.5</v>
      </c>
      <c r="X16" s="61">
        <v>0</v>
      </c>
      <c r="Y16" s="61">
        <v>28.5</v>
      </c>
      <c r="Z16" s="61">
        <v>5.2</v>
      </c>
      <c r="AA16" s="61">
        <v>0</v>
      </c>
      <c r="AB16" s="61">
        <v>0</v>
      </c>
      <c r="AC16" s="61">
        <v>29</v>
      </c>
      <c r="AD16" s="61">
        <v>5.2</v>
      </c>
      <c r="AE16" s="61">
        <v>0</v>
      </c>
      <c r="AF16" s="61">
        <v>0</v>
      </c>
      <c r="AG16" s="72"/>
      <c r="AH16" s="11">
        <f>IF(SUM(R16,V16)&gt;0,SUM(R16,V16),"")</f>
        <v>12.4</v>
      </c>
      <c r="AI16" s="11">
        <f>IF(SUM(Q16:R16,T16:V16,X16)-SUM(S16,W16)&gt;0,SUM(Q16:R16,T16:V16,X16)-SUM(S16,W16),"")</f>
        <v>64.7</v>
      </c>
      <c r="AJ16" s="11">
        <f>IF(SUM(Z16,AD16)&gt;0,SUM(Z16,AD16),"")</f>
        <v>10.4</v>
      </c>
      <c r="AK16" s="11">
        <f>IF(SUM(Y16:Z16,AB16:AD16,AF16)-SUM(AA16,AE16)&gt;0,SUM(Y16:Z16,AB16:AD16,AF16)-SUM(AA16,AE16),"")</f>
        <v>67.900000000000006</v>
      </c>
      <c r="AL16" s="11">
        <f>IF(SUM(AI16,AK16)&gt;0,SUM(AI16,AK16),"")</f>
        <v>132.60000000000002</v>
      </c>
      <c r="AM16" s="36">
        <v>0</v>
      </c>
      <c r="AN16" s="36">
        <v>0</v>
      </c>
      <c r="AO16" s="36">
        <v>0</v>
      </c>
      <c r="AP16" s="36">
        <v>0</v>
      </c>
      <c r="AQ16" s="36">
        <v>19.899999999999999</v>
      </c>
      <c r="AR16" s="36">
        <v>3.2</v>
      </c>
      <c r="AS16" s="36">
        <v>0</v>
      </c>
      <c r="AT16" s="36">
        <v>0</v>
      </c>
      <c r="AU16" s="36"/>
      <c r="AV16" s="36"/>
      <c r="AW16" s="36"/>
      <c r="AX16" s="36"/>
      <c r="AY16" s="36"/>
      <c r="AZ16" s="36"/>
      <c r="BA16" s="36"/>
      <c r="BB16" s="36"/>
      <c r="BC16" s="73"/>
      <c r="BD16" s="14">
        <f>IF(SUM(AN16,AR16)&gt;0,SUM(AN16,AR16),"")</f>
        <v>3.2</v>
      </c>
      <c r="BE16" s="14">
        <f>IF(SUM(AM16:AN16,AP16:AR16,AT16)-SUM(AO16,AS16)&gt;0,SUM(AM16:AN16,AP16:AR16,AT16)-SUM(AO16,AS16),"")</f>
        <v>23.099999999999998</v>
      </c>
      <c r="BF16" s="14" t="str">
        <f>IF(SUM(AV16,AZ16)&gt;0,SUM(AV16,AZ16),"")</f>
        <v/>
      </c>
      <c r="BG16" s="14" t="str">
        <f>IF(SUM(AU16:AV16,AX16:AZ16,BB16)-SUM(AW16,BA16)&gt;0,SUM(AU16:AV16,AX16:AZ16,BB16)-SUM(AW16,BA16),"")</f>
        <v/>
      </c>
      <c r="BH16" s="14">
        <f>IF(SUM(BE16,BG16)&gt;0,SUM(BE16,BG16),"")</f>
        <v>23.099999999999998</v>
      </c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72"/>
      <c r="BZ16" s="11" t="str">
        <f>IF(SUM(BJ16,BN16)&gt;0,SUM(BJ16,BN16),"")</f>
        <v/>
      </c>
      <c r="CA16" s="11" t="str">
        <f>IF(SUM(BI16:BJ16,BL16:BN16,BP16)-SUM(BK16,BO16)&gt;0,SUM(BI16:BJ16,BL16:BN16,BP16)-SUM(BK16,BO16),"")</f>
        <v/>
      </c>
      <c r="CB16" s="11" t="str">
        <f>IF(SUM(BR16,BV16)&gt;0,SUM(BR16,BV16),"")</f>
        <v/>
      </c>
      <c r="CC16" s="11" t="str">
        <f>IF(SUM(BQ16:BR16,BT16:BV16,BX16)-SUM(BS16,BW16)&gt;0,SUM(BQ16:BR16,BT16:BV16,BX16)-SUM(BS16,BW16),"")</f>
        <v/>
      </c>
      <c r="CD16" s="11" t="str">
        <f>IF(SUM(CA16,CC16)&gt;0,SUM(CA16,CC16),"")</f>
        <v/>
      </c>
      <c r="CE16" s="23" t="str">
        <f>IF(MAX(DA16,DV16,EQ16,FL16,GG16,HB16,HW16,IR16,JM16,KH16,LC16,LX16)-IF(J16="",0,J16)&gt;0.001,MAX(DA16,DV16,EQ16,FL16,GG16,HB16,HW16,IR16,JM16,KH16,LC16,LX16)-IF(J16="",0,J16),"")</f>
        <v/>
      </c>
      <c r="CF16" s="23" t="str">
        <f>IF(MAX(CX16,CZ16,DS16,DU16,EN16,EP16,FI16,FK16,GD16,GF16,GY16,HA16,HT16,HV16,IO16,IQ16,JJ16,JL16,KE16,KG16,KZ16,LB16,LU16,LW16)-IF(L16="",0,L16)&gt;0.001,MAX(CX16,CZ16,DS16,DU16,EN16,EP16,FI16,FK16,GD16,GF16,GY16,HA16,HT16,HV16,IO16,IQ16,JJ16,JL16,KE16,KG16,KZ16,LB16,LU16,LW16)-IF(L16="",0,L16),"")</f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>IF(SUM(CH16,CL16)&gt;0,SUM(CH16,CL16),"")</f>
        <v/>
      </c>
      <c r="CX16" s="11" t="str">
        <f>IF(SUM(CG16:CH16,CJ16:CL16,CN16)-SUM(CI16,CM16)&gt;0,SUM(CG16:CH16,CJ16:CL16,CN16)-SUM(CI16,CM16),"")</f>
        <v/>
      </c>
      <c r="CY16" s="11" t="str">
        <f>IF(SUM(CP16,CT16)&gt;0,SUM(CP16,CT16),"")</f>
        <v/>
      </c>
      <c r="CZ16" s="11" t="str">
        <f>IF(SUM(CO16:CP16,CR16:CT16,CV16)-SUM(CQ16,CU16)&gt;0,SUM(CO16:CP16,CR16:CT16,CV16)-SUM(CQ16,CU16),"")</f>
        <v/>
      </c>
      <c r="DA16" s="11" t="str">
        <f>IF(SUM(CX16,CZ16)&gt;0,SUM(CX16,CZ16),"")</f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>IF(SUM(DC16,DG16)&gt;0,SUM(DC16,DG16),"")</f>
        <v/>
      </c>
      <c r="DS16" s="14" t="str">
        <f>IF(SUM(DB16:DC16,DE16:DG16,DI16)-SUM(DD16,DH16)&gt;0,SUM(DB16:DC16,DE16:DG16,DI16)-SUM(DD16,DH16),"")</f>
        <v/>
      </c>
      <c r="DT16" s="14" t="str">
        <f>IF(SUM(DK16,DO16)&gt;0,SUM(DK16,DO16),"")</f>
        <v/>
      </c>
      <c r="DU16" s="14" t="str">
        <f>IF(SUM(DJ16:DK16,DM16:DO16,DQ16)-SUM(DL16,DP16)&gt;0,SUM(DJ16:DK16,DM16:DO16,DQ16)-SUM(DL16,DP16),"")</f>
        <v/>
      </c>
      <c r="DV16" s="14" t="str">
        <f>IF(SUM(DS16,DU16)&gt;0,SUM(DS16,DU16),"")</f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>IF(SUM(DX16,EB16)&gt;0,SUM(DX16,EB16),"")</f>
        <v/>
      </c>
      <c r="EN16" s="11" t="str">
        <f>IF(SUM(DW16:DX16,DZ16:EB16,ED16)-SUM(DY16,EC16)&gt;0,SUM(DW16:DX16,DZ16:EB16,ED16)-SUM(DY16,EC16),"")</f>
        <v/>
      </c>
      <c r="EO16" s="11" t="str">
        <f>IF(SUM(EF16,EJ16)&gt;0,SUM(EF16,EJ16),"")</f>
        <v/>
      </c>
      <c r="EP16" s="11" t="str">
        <f>IF(SUM(EE16:EF16,EH16:EJ16,EL16)-SUM(EG16,EK16)&gt;0,SUM(EE16:EF16,EH16:EJ16,EL16)-SUM(EG16,EK16),"")</f>
        <v/>
      </c>
      <c r="EQ16" s="11" t="str">
        <f>IF(SUM(EN16,EP16)&gt;0,SUM(EN16,EP16),"")</f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>IF(SUM(ES16,EW16)&gt;0,SUM(ES16,EW16),"")</f>
        <v/>
      </c>
      <c r="FI16" s="14" t="str">
        <f>IF(SUM(ER16:ES16,EU16:EW16,EY16)-SUM(ET16,EX16)&gt;0,SUM(ER16:ES16,EU16:EW16,EY16)-SUM(ET16,EX16),"")</f>
        <v/>
      </c>
      <c r="FJ16" s="14" t="str">
        <f>IF(SUM(FA16,FE16)&gt;0,SUM(FA16,FE16),"")</f>
        <v/>
      </c>
      <c r="FK16" s="14" t="str">
        <f>IF(SUM(EZ16:FA16,FC16:FE16,FG16)-SUM(FB16,FF16)&gt;0,SUM(EZ16:FA16,FC16:FE16,FG16)-SUM(FB16,FF16),"")</f>
        <v/>
      </c>
      <c r="FL16" s="14" t="str">
        <f>IF(SUM(FI16,FK16)&gt;0,SUM(FI16,FK16),"")</f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>IF(SUM(FN16,FR16)&gt;0,SUM(FN16,FR16),"")</f>
        <v/>
      </c>
      <c r="GD16" s="11" t="str">
        <f>IF(SUM(FM16:FN16,FP16:FR16,FT16)-SUM(FO16,FS16)&gt;0,SUM(FM16:FN16,FP16:FR16,FT16)-SUM(FO16,FS16),"")</f>
        <v/>
      </c>
      <c r="GE16" s="11" t="str">
        <f>IF(SUM(FV16,FZ16)&gt;0,SUM(FV16,FZ16),"")</f>
        <v/>
      </c>
      <c r="GF16" s="11" t="str">
        <f>IF(SUM(FU16:FV16,FX16:FZ16,GB16)-SUM(FW16,GA16)&gt;0,SUM(FU16:FV16,FX16:FZ16,GB16)-SUM(FW16,GA16),"")</f>
        <v/>
      </c>
      <c r="GG16" s="11" t="str">
        <f>IF(SUM(GD16,GF16)&gt;0,SUM(GD16,GF16),"")</f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>IF(SUM(GI16,GM16)&gt;0,SUM(GI16,GM16),"")</f>
        <v/>
      </c>
      <c r="GY16" s="14" t="str">
        <f>IF(SUM(GH16:GI16,GK16:GM16,GO16)-SUM(GJ16,GN16)&gt;0,SUM(GH16:GI16,GK16:GM16,GO16)-SUM(GJ16,GN16),"")</f>
        <v/>
      </c>
      <c r="GZ16" s="14" t="str">
        <f>IF(SUM(GQ16,GU16)&gt;0,SUM(GQ16,GU16),"")</f>
        <v/>
      </c>
      <c r="HA16" s="14" t="str">
        <f>IF(SUM(GP16:GQ16,GS16:GU16,GW16)-SUM(GR16,GV16)&gt;0,SUM(GP16:GQ16,GS16:GU16,GW16)-SUM(GR16,GV16),"")</f>
        <v/>
      </c>
      <c r="HB16" s="14" t="str">
        <f>IF(SUM(GY16,HA16)&gt;0,SUM(GY16,HA16),"")</f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>IF(SUM(HD16,HH16)&gt;0,SUM(HD16,HH16),"")</f>
        <v/>
      </c>
      <c r="HT16" s="11" t="str">
        <f>IF(SUM(HC16:HD16,HF16:HH16,HJ16)-SUM(HE16,HI16)&gt;0,SUM(HC16:HD16,HF16:HH16,HJ16)-SUM(HE16,HI16),"")</f>
        <v/>
      </c>
      <c r="HU16" s="11" t="str">
        <f>IF(SUM(HL16,HP16)&gt;0,SUM(HL16,HP16),"")</f>
        <v/>
      </c>
      <c r="HV16" s="11" t="str">
        <f>IF(SUM(HK16:HL16,HN16:HP16,HR16)-SUM(HM16,HQ16)&gt;0,SUM(HK16:HL16,HN16:HP16,HR16)-SUM(HM16,HQ16),"")</f>
        <v/>
      </c>
      <c r="HW16" s="11" t="str">
        <f>IF(SUM(HT16,HV16)&gt;0,SUM(HT16,HV16),"")</f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>IF(SUM(HY16,IC16)&gt;0,SUM(HY16,IC16),"")</f>
        <v/>
      </c>
      <c r="IO16" s="14" t="str">
        <f>IF(SUM(HX16:HY16,IA16:IC16,IE16)-SUM(HZ16,ID16)&gt;0,SUM(HX16:HY16,IA16:IC16,IE16)-SUM(HZ16,ID16),"")</f>
        <v/>
      </c>
      <c r="IP16" s="14" t="str">
        <f>IF(SUM(IG16,IK16)&gt;0,SUM(IG16,IK16),"")</f>
        <v/>
      </c>
      <c r="IQ16" s="14" t="str">
        <f>IF(SUM(IF16:IG16,II16:IK16,IM16)-SUM(IH16,IL16)&gt;0,SUM(IF16:IG16,II16:IK16,IM16)-SUM(IH16,IL16),"")</f>
        <v/>
      </c>
      <c r="IR16" s="14" t="str">
        <f>IF(SUM(IO16,IQ16)&gt;0,SUM(IO16,IQ16),"")</f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>IF(SUM(IT16,IX16)&gt;0,SUM(IT16,IX16),"")</f>
        <v/>
      </c>
      <c r="JJ16" s="11" t="str">
        <f>IF(SUM(IS16:IT16,IV16:IX16,IZ16)-SUM(IU16,IY16)&gt;0,SUM(IS16:IT16,IV16:IX16,IZ16)-SUM(IU16,IY16),"")</f>
        <v/>
      </c>
      <c r="JK16" s="11" t="str">
        <f>IF(SUM(JB16,JF16)&gt;0,SUM(JB16,JF16),"")</f>
        <v/>
      </c>
      <c r="JL16" s="11" t="str">
        <f>IF(SUM(JA16:JB16,JD16:JF16,JH16)-SUM(JC16,JG16)&gt;0,SUM(JA16:JB16,JD16:JF16,JH16)-SUM(JC16,JG16),"")</f>
        <v/>
      </c>
      <c r="JM16" s="11" t="str">
        <f>IF(SUM(JJ16,JL16)&gt;0,SUM(JJ16,JL16),"")</f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>IF(SUM(JO16,JS16)&gt;0,SUM(JO16,JS16),"")</f>
        <v/>
      </c>
      <c r="KE16" s="14" t="str">
        <f>IF(SUM(JN16:JO16,JQ16:JS16,JU16)-SUM(JP16,JT16)&gt;0,SUM(JN16:JO16,JQ16:JS16,JU16)-SUM(JP16,JT16),"")</f>
        <v/>
      </c>
      <c r="KF16" s="14" t="str">
        <f>IF(SUM(JW16,KA16)&gt;0,SUM(JW16,KA16),"")</f>
        <v/>
      </c>
      <c r="KG16" s="14" t="str">
        <f>IF(SUM(JV16:JW16,JY16:KA16,KC16)-SUM(JX16,KB16)&gt;0,SUM(JV16:JW16,JY16:KA16,KC16)-SUM(JX16,KB16),"")</f>
        <v/>
      </c>
      <c r="KH16" s="14" t="str">
        <f>IF(SUM(KE16,KG16)&gt;0,SUM(KE16,KG16),"")</f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>IF(SUM(KJ16,KN16)&gt;0,SUM(KJ16,KN16),"")</f>
        <v/>
      </c>
      <c r="KZ16" s="11" t="str">
        <f>IF(SUM(KI16:KJ16,KL16:KN16,KP16)-SUM(KK16,KO16)&gt;0,SUM(KI16:KJ16,KL16:KN16,KP16)-SUM(KK16,KO16),"")</f>
        <v/>
      </c>
      <c r="LA16" s="11" t="str">
        <f>IF(SUM(KR16,KV16)&gt;0,SUM(KR16,KV16),"")</f>
        <v/>
      </c>
      <c r="LB16" s="11" t="str">
        <f>IF(SUM(KQ16:KR16,KT16:KV16,KX16)-SUM(KS16,KW16)&gt;0,SUM(KQ16:KR16,KT16:KV16,KX16)-SUM(KS16,KW16),"")</f>
        <v/>
      </c>
      <c r="LC16" s="11" t="str">
        <f>IF(SUM(KZ16,LB16)&gt;0,SUM(KZ16,LB16),"")</f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>IF(SUM(LE16,LI16)&gt;0,SUM(LE16,LI16),"")</f>
        <v/>
      </c>
      <c r="LU16" s="14" t="str">
        <f>IF(SUM(LD16:LE16,LG16:LI16,LK16)-SUM(LF16,LJ16)&gt;0,SUM(LD16:LE16,LG16:LI16,LK16)-SUM(LF16,LJ16),"")</f>
        <v/>
      </c>
      <c r="LV16" s="14" t="str">
        <f>IF(SUM(LM16,LQ16)&gt;0,SUM(LM16,LQ16),"")</f>
        <v/>
      </c>
      <c r="LW16" s="14" t="str">
        <f>IF(SUM(LL16:LM16,LO16:LQ16,LS16)-SUM(LN16,LR16)&gt;0,SUM(LL16:LM16,LO16:LQ16,LS16)-SUM(LN16,LR16),"")</f>
        <v/>
      </c>
      <c r="LX16" s="14" t="str">
        <f>IF(SUM(LU16,LW16)&gt;0,SUM(LU16,LW16),"")</f>
        <v/>
      </c>
      <c r="LY16" s="61">
        <f>IF($BY16="P",BI16,(BI16+AM16)/2)</f>
        <v>0</v>
      </c>
      <c r="LZ16" s="61">
        <f>IF($BY16="P",BJ16,(BJ16+AN16)/2)</f>
        <v>0</v>
      </c>
      <c r="MA16" s="61">
        <f>IF($BY16="P",BK16,(BK16+AO16)/2)</f>
        <v>0</v>
      </c>
      <c r="MB16" s="61">
        <f>IF($BY16="P",BL16,(BL16+AP16)/2)</f>
        <v>0</v>
      </c>
      <c r="MC16" s="61">
        <f>IF($BY16="P",BM16,(BM16+AQ16)/2)</f>
        <v>9.9499999999999993</v>
      </c>
      <c r="MD16" s="61">
        <f>IF($BY16="P",BN16,(BN16+AR16)/2)</f>
        <v>1.6</v>
      </c>
      <c r="ME16" s="61">
        <f>IF($BY16="P",BO16,(BO16+AS16)/2)</f>
        <v>0</v>
      </c>
      <c r="MF16" s="61">
        <f>IF($BY16="P",BP16,(BP16+AT16)/2)</f>
        <v>0</v>
      </c>
      <c r="MG16" s="61">
        <f>IF($BY16="P",BQ16,(BQ16+AU16)/2)</f>
        <v>0</v>
      </c>
      <c r="MH16" s="61">
        <f>IF($BY16="P",BR16,(BR16+AV16)/2)</f>
        <v>0</v>
      </c>
      <c r="MI16" s="61">
        <f>IF($BY16="P",BS16,(BS16+AW16)/2)</f>
        <v>0</v>
      </c>
      <c r="MJ16" s="61">
        <f>IF($BY16="P",BT16,(BT16+AX16)/2)</f>
        <v>0</v>
      </c>
      <c r="MK16" s="61">
        <f>IF($BY16="P",BU16,(BU16+AY16)/2)</f>
        <v>0</v>
      </c>
      <c r="ML16" s="61">
        <f>IF($BY16="P",BV16,(BV16+AZ16)/2)</f>
        <v>0</v>
      </c>
      <c r="MM16" s="61">
        <f>IF($BY16="P",BW16,(BW16+BA16)/2)</f>
        <v>0</v>
      </c>
      <c r="MN16" s="61">
        <f>IF($BY16="P",BX16,(BX16+BB16)/2)</f>
        <v>0</v>
      </c>
      <c r="MO16" s="72" t="s">
        <v>52</v>
      </c>
      <c r="MP16" s="11">
        <f>IF(SUM(LZ16,MD16)&gt;0,SUM(LZ16,MD16),"")</f>
        <v>1.6</v>
      </c>
      <c r="MQ16" s="11">
        <f>IF(SUM(LY16:LZ16,MB16:MD16,MF16)-SUM(MA16,ME16)&gt;0,SUM(LY16:LZ16,MB16:MD16,MF16)-SUM(MA16,ME16),"")</f>
        <v>11.549999999999999</v>
      </c>
      <c r="MR16" s="11" t="str">
        <f>IF(SUM(MH16,ML16)&gt;0,SUM(MH16,ML16),"")</f>
        <v/>
      </c>
      <c r="MS16" s="11" t="str">
        <f>IF(SUM(MG16:MH16,MJ16:ML16,MN16)-SUM(MI16,MM16)&gt;0,SUM(MG16:MH16,MJ16:ML16,MN16)-SUM(MI16,MM16),"")</f>
        <v/>
      </c>
      <c r="MT16" s="11">
        <f>IF(SUM(MQ16,MS16)&gt;0,SUM(MQ16,MS16),"")</f>
        <v>11.549999999999999</v>
      </c>
    </row>
    <row r="17" spans="1:358" x14ac:dyDescent="0.2">
      <c r="A17" s="5" t="str">
        <f>IF(AND(F17="P",G17="P"),SUMPRODUCT((F$4:F$19="P")*(G$4:G$19="P")*(E$4:E$19&gt;E17))+1,IF(G17="P",SUMPRODUCT((F$4:F$19="")*(G$4:G$19="P")*(E$4:E$19&gt;E17))+1+SUMPRODUCT((F$4:F$19="P")*(G$4:G$19="P")),""))</f>
        <v/>
      </c>
      <c r="B17" s="8" t="s">
        <v>126</v>
      </c>
      <c r="C17" s="4" t="s">
        <v>4</v>
      </c>
      <c r="D17" s="5">
        <v>2004</v>
      </c>
      <c r="E17" s="15">
        <f>SUM(J17:N17)</f>
        <v>130.9</v>
      </c>
      <c r="F17" s="3" t="str">
        <f>IF(OR(AND(AH17&gt;=AL$21,AI17&gt;=AL$25,AI17&lt;&gt;"",AG17=""),AND(BD17&gt;=BH$21,BE17&gt;=BH$25,BE17&lt;&gt;"",BC17=""),AND(BZ17&gt;=CD$21,CA17&gt;=CD$25,CA17&lt;&gt;"",BY17=""),AND(CW17&gt;=DA$21,CX17&gt;=DA$25,CX17&lt;&gt;""),AND(DR17&gt;=DV$21,DS17&gt;=DV$25,DS17&lt;&gt;""),AND(EM17&gt;=EQ$21,EN17&gt;=EQ$25,EN17&lt;&gt;""),AND(FH17&gt;=FL$21,FI17&gt;=FL$25,FI17&lt;&gt;""),AND(GC17&gt;=GG$21,GD17&gt;=GG$25,GD17&lt;&gt;""),AND(GX17&gt;=HB$21,GY17&gt;=HB$25,GY17&lt;&gt;""),AND(HS17&gt;=HW$21,HT17&gt;=HW$25,HT17&lt;&gt;""),AND(IN17&gt;=IR$21,IO17&gt;=IR$25,IO17&lt;&gt;""),AND(JI17&gt;=JM$21,JJ17&gt;=JM$25,JJ17&lt;&gt;""),AND(KD17&gt;=KH$21,KE17&gt;=KH$25,KE17&lt;&gt;""),AND(KY17&gt;=LC$21,KZ17&gt;=LC$25,KZ17&lt;&gt;""),AND(LT17&gt;=LX$21,LU17&gt;=LX$25,LU17&lt;&gt;"")),"P","")</f>
        <v/>
      </c>
      <c r="G17" s="3" t="str">
        <f>IF(OR(AND(AI17&gt;=AL$25,AI17&lt;&gt;"",AG17=""),AND(BE17&gt;=BH$25,BE17&lt;&gt;"",BC17=""),AND(CA17&gt;=CD$25,CA17&lt;&gt;"",BY17=""),AND(CX17&gt;=DA$25,CX17&lt;&gt;""),AND(DS17&gt;=DV$25,DS17&lt;&gt;""),AND(EN17&gt;=EQ$25,EN17&lt;&gt;""),AND(FI17&gt;=FL$25,FI17&lt;&gt;""),AND(GD17&gt;=GG$25,GD17&lt;&gt;""),AND(GY17&gt;=HB$25,GY17&lt;&gt;""),AND(HT17&gt;=HW$25,HT17&lt;&gt;""),AND(IO17&gt;=IR$25,IO17&lt;&gt;""),AND(JJ17&gt;=JM$25,JJ17&lt;&gt;""),AND(KE17&gt;=KH$25,KE17&lt;&gt;""),AND(KZ17&gt;=LC$25,KZ17&lt;&gt;""),AND(LU17&gt;=LX$25,LU17&lt;&gt;"")),"P","")</f>
        <v/>
      </c>
      <c r="H17" s="116" t="str">
        <f>IF(AND(G17="P",F17=""),"No DD",IF(OR(AND(AH17&gt;=AL$24,AH17&lt;&gt;"",AI17&gt;=AL$28,AI17&lt;&gt;"",AG17=""),AND(BD17&gt;=BH$24,BD17&lt;&gt;"",BE17&gt;=BH$28,BE17&lt;&gt;"",BC17=""),AND(BZ17&gt;=CD$24,BZ17&lt;&gt;"",CA17&gt;=CD$28,CA17&lt;&gt;"",BY17=""),AND(CW17&gt;=DA$24,CW17&lt;&gt;"",CX17&gt;=DA$28,CX17&lt;&gt;""),AND(DR17&gt;=DV$24,DR17&lt;&gt;"",DS17&gt;=DV$28,DS17&lt;&gt;""),AND(EM17&gt;=EQ$24,EM17&lt;&gt;"",EN17&gt;=EQ$28,EN17&lt;&gt;""),AND(FH17&gt;=FL$24,FH17&lt;&gt;"",FI17&gt;=FL$28,FI17&lt;&gt;""),AND(GC17&gt;=GG$24,GC17&lt;&gt;"",GD17&gt;=GG$28,GD17&lt;&gt;""),AND(GX17&gt;=HB$24,GX17&lt;&gt;"",GY17&gt;=HB$28,GY17&lt;&gt;""),AND(HS17&gt;=HW$24,HS17&lt;&gt;"",HT17&gt;=HW$28,HT17&lt;&gt;""),AND(IN17&gt;=IR$24,IN17&lt;&gt;"",IO17&gt;=IR$28,IO17&lt;&gt;""),AND(JI17&gt;=JM$24,JI17&lt;&gt;"",JJ17&gt;=JM$28,JJ17&lt;&gt;""),AND(KD17&gt;=KH$24,KD17&lt;&gt;"",KE17&gt;=KH$28,KE17&lt;&gt;""),AND(KY17&gt;=LC$24,KY17&lt;&gt;"",KZ17&gt;=LC$28,KZ17&lt;&gt;""),AND(LT17&gt;=LX$24,LT17&lt;&gt;"",LU17&gt;=LX$28,LU17&lt;&gt;"")),"Merit",IF(OR(AND(AH17&gt;=AL$23,AH17&lt;&gt;"",AI17&gt;=AL$27,AI17&lt;&gt;"",AG17=""),AND(BD17&gt;=BH$23,BD17&lt;&gt;"",BE17&gt;=BH$27,BE17&lt;&gt;"",BC17=""),AND(BZ17&gt;=CD$23,BZ17&lt;&gt;"",CA17&gt;=CD$27,CA17&lt;&gt;"",BY17=""),AND(CW17&gt;=DA$23,CW17&lt;&gt;"",CX17&gt;=DA$27,CX17&lt;&gt;""),AND(DR17&gt;=DV$23,DR17&lt;&gt;"",DS17&gt;=DV$27,DS17&lt;&gt;""),AND(EM17&gt;=EQ$23,EM17&lt;&gt;"",EN17&gt;=EQ$27,EN17&lt;&gt;""),AND(FH17&gt;=FL$23,FH17&lt;&gt;"",FI17&gt;=FL$27,FI17&lt;&gt;""),AND(GC17&gt;=GG$23,GC17&lt;&gt;"",GD17&gt;=GG$27,GD17&lt;&gt;""),AND(GX17&gt;=HB$23,GX17&lt;&gt;"",GY17&gt;=HB$27,GY17&lt;&gt;""),AND(HS17&gt;=HW$23,HS17&lt;&gt;"",HT17&gt;=HW$27,HT17&lt;&gt;""),AND(IN17&gt;=IR$23,IN17&lt;&gt;"",IO17&gt;=IR$27,IO17&lt;&gt;""),AND(JI17&gt;=JM$23,JI17&lt;&gt;"",JJ17&gt;=JM$27,JJ17&lt;&gt;""),AND(KD17&gt;=KH$23,KD17&lt;&gt;"",KE17&gt;=KH$27,KE17&lt;&gt;""),AND(KY17&gt;=LC$23,KY17&lt;&gt;"",KZ17&gt;=LC$27,KZ17&lt;&gt;""),AND(LT17&gt;=LX$23,LT17&lt;&gt;"",LU17&gt;=LX$27,LU17&lt;&gt;"")),"Excellence",IF(OR(AND(AH17&gt;=AL$22,AH17&lt;&gt;"",AI17&gt;=AL$26,AI17&lt;&gt;"",AG17=""),AND(BD17&gt;=BH$22,BD17&lt;&gt;"",BE17&gt;=BH$26,BE17&lt;&gt;"",BC17=""),AND(BZ17&gt;=CD$22,BZ17&lt;&gt;"",CA17&gt;=CD$26,CA17&lt;&gt;"",BY17=""),AND(CW17&gt;=DA$22,CW17&lt;&gt;"",CX17&gt;=DA$26,CX17&lt;&gt;""),AND(DR17&gt;=DV$22,DR17&lt;&gt;"",DS17&gt;=DV$26,DS17&lt;&gt;""),AND(EM17&gt;=EQ$22,EM17&lt;&gt;"",EN17&gt;=EQ$26,EN17&lt;&gt;""),AND(FH17&gt;=FL$22,FH17&lt;&gt;"",FI17&gt;=FL$26,FI17&lt;&gt;""),AND(GC17&gt;=GG$22,GC17&lt;&gt;"",GD17&gt;=GG$26,GD17&lt;&gt;""),AND(GX17&gt;=HB$22,GX17&lt;&gt;"",GY17&gt;=HB$26,GY17&lt;&gt;""),AND(HS17&gt;=HW$22,HS17&lt;&gt;"",HT17&gt;=HW$26,HT17&lt;&gt;""),AND(IN17&gt;=IR$22,IN17&lt;&gt;"",IO17&gt;=IR$26,IO17&lt;&gt;""),AND(JI17&gt;=JM$22,JI17&lt;&gt;"",JJ17&gt;=JM$26,JJ17&lt;&gt;""),AND(KD17&gt;=KH$22,KD17&lt;&gt;"",KE17&gt;=KH$26,KE17&lt;&gt;""),AND(KY17&gt;=LC$22,KY17&lt;&gt;"",KZ17&gt;=LC$26,KZ17&lt;&gt;""),AND(LT17&gt;=LX$22,LT17&lt;&gt;"",LU17&gt;=LX$26,LU17&lt;&gt;"")),"Worlds Team",IF(OR(AND(AH17&gt;=AL$21,AH17&lt;&gt;"",AI17&gt;=AL$25,AI17&lt;&gt;"",AG17=""),AND(BD17&gt;=BH$21,BD17&lt;&gt;"",BE17&gt;=BH$25,BE17&lt;&gt;"",BC17=""),AND(BZ17&gt;=CD$21,BZ17&lt;&gt;"",CA17&gt;=CD$25,CA17&lt;&gt;"",BY17=""),AND(CW17&gt;=DA$21,CW17&lt;&gt;"",CX17&gt;=DA$25,CX17&lt;&gt;""),AND(DR17&gt;=DV$21,DR17&lt;&gt;"",DS17&gt;=DV$25,DS17&lt;&gt;""),AND(EM17&gt;=EQ$21,EM17&lt;&gt;"",EN17&gt;=EQ$25,EN17&lt;&gt;""),AND(FH17&gt;=FL$21,FH17&lt;&gt;"",FI17&gt;=FL$25,FI17&lt;&gt;""),AND(GC17&gt;=GG$21,GC17&lt;&gt;"",GD17&gt;=GG$25,GD17&lt;&gt;""),AND(GX17&gt;=HB$21,GX17&lt;&gt;"",GY17&gt;=HB$25,GY17&lt;&gt;""),AND(HS17&gt;=HW$21,HS17&lt;&gt;"",HT17&gt;=HW$25,HT17&lt;&gt;""),AND(IN17&gt;=IR$21,IN17&lt;&gt;"",IO17&gt;=IR$25,IO17&lt;&gt;""),AND(JI17&gt;=JM$21,JI17&lt;&gt;"",JJ17&gt;=JM$25,JJ17&lt;&gt;""),AND(KD17&gt;=KH$21,KD17&lt;&gt;"",KE17&gt;=KH$25,KE17&lt;&gt;""),AND(KY17&gt;=LC$21,KY17&lt;&gt;"",KZ17&gt;=LC$25,KZ17&lt;&gt;""),AND(LT17&gt;=LX$21,LT17&lt;&gt;"",LU17&gt;=LX$25,LU17&lt;&gt;"")),"National Team","")))))</f>
        <v/>
      </c>
      <c r="I17" s="3" t="str">
        <f>IF(OR(H17="Worlds Team",H17="Excellence",H17="Merit"),"P","")</f>
        <v/>
      </c>
      <c r="J17" s="14">
        <f>MAX(AL17,BH17,CD17)</f>
        <v>130.9</v>
      </c>
      <c r="K17" s="14" t="str">
        <f>IF(J17=0,"",IF(J17=CD17,$BI$1,IF(J17=BH17,$AM$1,IF(J17=AL17,$Q$1,""))))</f>
        <v>2021 1st Virtual Technical Trial</v>
      </c>
      <c r="L17" s="14">
        <f>IF(J17=AL17,MAX(BE17,BG17,CA17,CC17),IF(J17=BH17,MAX(AI17,AK17,CA17,CC17),MAX(AI17,AK17,BE17,BG17)))</f>
        <v>0</v>
      </c>
      <c r="M17" s="14" t="str">
        <f>IF(L17=0,"",IF(AND(J17&lt;&gt;CD17,OR(L17=CA17,L17=CC17)),$BI$1,IF(AND(J17&lt;&gt;BH17,OR(L17=BG17,L17=BE17)),$AM$1,IF(OR(L17=AK17,L17=AI17),$Q$1,""))))</f>
        <v/>
      </c>
      <c r="N17" s="14" t="str">
        <f>IF(MAX(CE17:CF17)&gt;0,MAX(CE17:CF17),"")</f>
        <v/>
      </c>
      <c r="O17" s="24" t="str">
        <f>IF(N17="","",IF(N17=CE17,"(4 Pass)",IF(N17=CF17,"(2 Pass)")))</f>
        <v/>
      </c>
      <c r="P17" s="14" t="str">
        <f>IF(N17="","",IF(N17=CE17,IF(N17+IF(J17="",0,J17)=DA17,$CG$1,IF(N17+IF(J17="",0,J17)=DV17,$DB$1,IF(N17+IF(J17="",0,J17)=EQ17,$DW$1,IF(N17+IF(J17="",0,J17)=FL17,$ER$1,IF(N17+IF(J17="",0,J17)=GG17,$FM$1,IF(N17+IF(J17="",0,J17)=HB17,$GH$1,IF(N17+IF(J17="",0,J17)=HW17,$HC$1,IF(N17+IF(J17="",0,J17)=IR17,$HX$1,IF(N17+IF(J17="",0,J17)=JM17,$IS$1,IF(N17+IF(J17="",0,J17)=KH17,$JN$1,IF(N17+IF(J17="",0,J17)=LC17,$KI$1,IF(N17+IF(J17="",0,J17)=LX17,$LD$1)))))))))))),IF(N17=CF17,IF(OR(N17+IF(L17="",0,L17)=CX17,N17+IF(L17="",0,L17)=CZ17),$CG$1,IF(OR(N17+IF(L17="",0,L17)=DS17,N17+IF(L17="",0,L17)=DU17),$DB$1,IF(OR(N17+IF(L17="",0,L17)=EN17,N17+IF(L17="",0,L17)=EP17),$DW$1,IF(OR(N17+IF(L17="",0,L17)=FI17,N17+IF(L17="",0,L17)=FK17),$ER$1,IF(OR(N17+IF(L17="",0,L17)=GD17,N17+IF(L17="",0,L17)=GF17),$FM$1,IF(OR(N17+IF(L17="",0,L17)=GY17,N17+IF(L17="",0,L17)=HA17),$GH$1,IF(OR(N17+IF(L17="",0,L17)=HT17,N17+IF(L17="",0,L17)=HV17),$HC$1,IF(OR(N17+IF(L17="",0,L17)=IO17,N17+IF(L17="",0,L17)=IQ17),$HX$1,IF(OR(N17+IF(L17="",0,L17)=JJ17,N17+IF(L17="",0,L17)=JL17),$IS$1,IF(OR(N17+IF(L17="",0,L17)=KE17,N17+IF(L17="",0,L17)=KG17),$JN$1,IF(OR(N17+IF(L17="",0,L17)=KZ17,N17+IF(L17="",0,L17)=LB17),$KI$1,IF(OR(N17+IF(L17="",0,L17)=LU17,N17+IF(L17="",0,L17)=LW17),$LD$1)))))))))))))))</f>
        <v/>
      </c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72"/>
      <c r="AH17" s="11" t="str">
        <f>IF(SUM(R17,V17)&gt;0,SUM(R17,V17),"")</f>
        <v/>
      </c>
      <c r="AI17" s="11" t="str">
        <f>IF(SUM(Q17:R17,T17:V17,X17)-SUM(S17,W17)&gt;0,SUM(Q17:R17,T17:V17,X17)-SUM(S17,W17),"")</f>
        <v/>
      </c>
      <c r="AJ17" s="11" t="str">
        <f>IF(SUM(Z17,AD17)&gt;0,SUM(Z17,AD17),"")</f>
        <v/>
      </c>
      <c r="AK17" s="11" t="str">
        <f>IF(SUM(Y17:Z17,AB17:AD17,AF17)-SUM(AA17,AE17)&gt;0,SUM(Y17:Z17,AB17:AD17,AF17)-SUM(AA17,AE17),"")</f>
        <v/>
      </c>
      <c r="AL17" s="11" t="str">
        <f>IF(SUM(AI17,AK17)&gt;0,SUM(AI17,AK17),"")</f>
        <v/>
      </c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73"/>
      <c r="BD17" s="14" t="str">
        <f>IF(SUM(AN17,AR17)&gt;0,SUM(AN17,AR17),"")</f>
        <v/>
      </c>
      <c r="BE17" s="14" t="str">
        <f>IF(SUM(AM17:AN17,AP17:AR17,AT17)-SUM(AO17,AS17)&gt;0,SUM(AM17:AN17,AP17:AR17,AT17)-SUM(AO17,AS17),"")</f>
        <v/>
      </c>
      <c r="BF17" s="14" t="str">
        <f>IF(SUM(AV17,AZ17)&gt;0,SUM(AV17,AZ17),"")</f>
        <v/>
      </c>
      <c r="BG17" s="14" t="str">
        <f>IF(SUM(AU17:AV17,AX17:AZ17,BB17)-SUM(AW17,BA17)&gt;0,SUM(AU17:AV17,AX17:AZ17,BB17)-SUM(AW17,BA17),"")</f>
        <v/>
      </c>
      <c r="BH17" s="14" t="str">
        <f>IF(SUM(BE17,BG17)&gt;0,SUM(BE17,BG17),"")</f>
        <v/>
      </c>
      <c r="BI17" s="61">
        <v>28.2</v>
      </c>
      <c r="BJ17" s="61">
        <v>6</v>
      </c>
      <c r="BK17" s="61">
        <v>0</v>
      </c>
      <c r="BL17" s="61">
        <v>0</v>
      </c>
      <c r="BM17" s="61">
        <v>27.5</v>
      </c>
      <c r="BN17" s="61">
        <v>5.6</v>
      </c>
      <c r="BO17" s="61">
        <v>0</v>
      </c>
      <c r="BP17" s="61">
        <v>0</v>
      </c>
      <c r="BQ17" s="61">
        <v>27.3</v>
      </c>
      <c r="BR17" s="61">
        <v>5.2</v>
      </c>
      <c r="BS17" s="61">
        <v>0</v>
      </c>
      <c r="BT17" s="61">
        <v>0</v>
      </c>
      <c r="BU17" s="61">
        <v>26.8</v>
      </c>
      <c r="BV17" s="61">
        <v>5.2</v>
      </c>
      <c r="BW17" s="61">
        <v>0.9</v>
      </c>
      <c r="BX17" s="61">
        <v>0</v>
      </c>
      <c r="BY17" s="72"/>
      <c r="BZ17" s="11">
        <f>IF(SUM(BJ17,BN17)&gt;0,SUM(BJ17,BN17),"")</f>
        <v>11.6</v>
      </c>
      <c r="CA17" s="11">
        <f>IF(SUM(BI17:BJ17,BL17:BN17,BP17)-SUM(BK17,BO17)&gt;0,SUM(BI17:BJ17,BL17:BN17,BP17)-SUM(BK17,BO17),"")</f>
        <v>67.3</v>
      </c>
      <c r="CB17" s="11">
        <f>IF(SUM(BR17,BV17)&gt;0,SUM(BR17,BV17),"")</f>
        <v>10.4</v>
      </c>
      <c r="CC17" s="11">
        <f>IF(SUM(BQ17:BR17,BT17:BV17,BX17)-SUM(BS17,BW17)&gt;0,SUM(BQ17:BR17,BT17:BV17,BX17)-SUM(BS17,BW17),"")</f>
        <v>63.6</v>
      </c>
      <c r="CD17" s="11">
        <f>IF(SUM(CA17,CC17)&gt;0,SUM(CA17,CC17),"")</f>
        <v>130.9</v>
      </c>
      <c r="CE17" s="23" t="str">
        <f>IF(MAX(DA17,DV17,EQ17,FL17,GG17,HB17,HW17,IR17,JM17,KH17,LC17,LX17)-IF(J17="",0,J17)&gt;0.001,MAX(DA17,DV17,EQ17,FL17,GG17,HB17,HW17,IR17,JM17,KH17,LC17,LX17)-IF(J17="",0,J17),"")</f>
        <v/>
      </c>
      <c r="CF17" s="23" t="str">
        <f>IF(MAX(CX17,CZ17,DS17,DU17,EN17,EP17,FI17,FK17,GD17,GF17,GY17,HA17,HT17,HV17,IO17,IQ17,JJ17,JL17,KE17,KG17,KZ17,LB17,LU17,LW17)-IF(L17="",0,L17)&gt;0.001,MAX(CX17,CZ17,DS17,DU17,EN17,EP17,FI17,FK17,GD17,GF17,GY17,HA17,HT17,HV17,IO17,IQ17,JJ17,JL17,KE17,KG17,KZ17,LB17,LU17,LW17)-IF(L17="",0,L17),"")</f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>IF(SUM(CH17,CL17)&gt;0,SUM(CH17,CL17),"")</f>
        <v/>
      </c>
      <c r="CX17" s="11" t="str">
        <f>IF(SUM(CG17:CH17,CJ17:CL17,CN17)-SUM(CI17,CM17)&gt;0,SUM(CG17:CH17,CJ17:CL17,CN17)-SUM(CI17,CM17),"")</f>
        <v/>
      </c>
      <c r="CY17" s="11" t="str">
        <f>IF(SUM(CP17,CT17)&gt;0,SUM(CP17,CT17),"")</f>
        <v/>
      </c>
      <c r="CZ17" s="11" t="str">
        <f>IF(SUM(CO17:CP17,CR17:CT17,CV17)-SUM(CQ17,CU17)&gt;0,SUM(CO17:CP17,CR17:CT17,CV17)-SUM(CQ17,CU17),"")</f>
        <v/>
      </c>
      <c r="DA17" s="11" t="str">
        <f>IF(SUM(CX17,CZ17)&gt;0,SUM(CX17,CZ17),"")</f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>IF(SUM(DC17,DG17)&gt;0,SUM(DC17,DG17),"")</f>
        <v/>
      </c>
      <c r="DS17" s="14" t="str">
        <f>IF(SUM(DB17:DC17,DE17:DG17,DI17)-SUM(DD17,DH17)&gt;0,SUM(DB17:DC17,DE17:DG17,DI17)-SUM(DD17,DH17),"")</f>
        <v/>
      </c>
      <c r="DT17" s="14" t="str">
        <f>IF(SUM(DK17,DO17)&gt;0,SUM(DK17,DO17),"")</f>
        <v/>
      </c>
      <c r="DU17" s="14" t="str">
        <f>IF(SUM(DJ17:DK17,DM17:DO17,DQ17)-SUM(DL17,DP17)&gt;0,SUM(DJ17:DK17,DM17:DO17,DQ17)-SUM(DL17,DP17),"")</f>
        <v/>
      </c>
      <c r="DV17" s="14" t="str">
        <f>IF(SUM(DS17,DU17)&gt;0,SUM(DS17,DU17),"")</f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>IF(SUM(DX17,EB17)&gt;0,SUM(DX17,EB17),"")</f>
        <v/>
      </c>
      <c r="EN17" s="11" t="str">
        <f>IF(SUM(DW17:DX17,DZ17:EB17,ED17)-SUM(DY17,EC17)&gt;0,SUM(DW17:DX17,DZ17:EB17,ED17)-SUM(DY17,EC17),"")</f>
        <v/>
      </c>
      <c r="EO17" s="11" t="str">
        <f>IF(SUM(EF17,EJ17)&gt;0,SUM(EF17,EJ17),"")</f>
        <v/>
      </c>
      <c r="EP17" s="11" t="str">
        <f>IF(SUM(EE17:EF17,EH17:EJ17,EL17)-SUM(EG17,EK17)&gt;0,SUM(EE17:EF17,EH17:EJ17,EL17)-SUM(EG17,EK17),"")</f>
        <v/>
      </c>
      <c r="EQ17" s="11" t="str">
        <f>IF(SUM(EN17,EP17)&gt;0,SUM(EN17,EP17),"")</f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>IF(SUM(ES17,EW17)&gt;0,SUM(ES17,EW17),"")</f>
        <v/>
      </c>
      <c r="FI17" s="14" t="str">
        <f>IF(SUM(ER17:ES17,EU17:EW17,EY17)-SUM(ET17,EX17)&gt;0,SUM(ER17:ES17,EU17:EW17,EY17)-SUM(ET17,EX17),"")</f>
        <v/>
      </c>
      <c r="FJ17" s="14" t="str">
        <f>IF(SUM(FA17,FE17)&gt;0,SUM(FA17,FE17),"")</f>
        <v/>
      </c>
      <c r="FK17" s="14" t="str">
        <f>IF(SUM(EZ17:FA17,FC17:FE17,FG17)-SUM(FB17,FF17)&gt;0,SUM(EZ17:FA17,FC17:FE17,FG17)-SUM(FB17,FF17),"")</f>
        <v/>
      </c>
      <c r="FL17" s="14" t="str">
        <f>IF(SUM(FI17,FK17)&gt;0,SUM(FI17,FK17),"")</f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>IF(SUM(FN17,FR17)&gt;0,SUM(FN17,FR17),"")</f>
        <v/>
      </c>
      <c r="GD17" s="11" t="str">
        <f>IF(SUM(FM17:FN17,FP17:FR17,FT17)-SUM(FO17,FS17)&gt;0,SUM(FM17:FN17,FP17:FR17,FT17)-SUM(FO17,FS17),"")</f>
        <v/>
      </c>
      <c r="GE17" s="11" t="str">
        <f>IF(SUM(FV17,FZ17)&gt;0,SUM(FV17,FZ17),"")</f>
        <v/>
      </c>
      <c r="GF17" s="11" t="str">
        <f>IF(SUM(FU17:FV17,FX17:FZ17,GB17)-SUM(FW17,GA17)&gt;0,SUM(FU17:FV17,FX17:FZ17,GB17)-SUM(FW17,GA17),"")</f>
        <v/>
      </c>
      <c r="GG17" s="11" t="str">
        <f>IF(SUM(GD17,GF17)&gt;0,SUM(GD17,GF17),"")</f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>IF(SUM(GI17,GM17)&gt;0,SUM(GI17,GM17),"")</f>
        <v/>
      </c>
      <c r="GY17" s="14" t="str">
        <f>IF(SUM(GH17:GI17,GK17:GM17,GO17)-SUM(GJ17,GN17)&gt;0,SUM(GH17:GI17,GK17:GM17,GO17)-SUM(GJ17,GN17),"")</f>
        <v/>
      </c>
      <c r="GZ17" s="14" t="str">
        <f>IF(SUM(GQ17,GU17)&gt;0,SUM(GQ17,GU17),"")</f>
        <v/>
      </c>
      <c r="HA17" s="14" t="str">
        <f>IF(SUM(GP17:GQ17,GS17:GU17,GW17)-SUM(GR17,GV17)&gt;0,SUM(GP17:GQ17,GS17:GU17,GW17)-SUM(GR17,GV17),"")</f>
        <v/>
      </c>
      <c r="HB17" s="14" t="str">
        <f>IF(SUM(GY17,HA17)&gt;0,SUM(GY17,HA17),"")</f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>IF(SUM(HD17,HH17)&gt;0,SUM(HD17,HH17),"")</f>
        <v/>
      </c>
      <c r="HT17" s="11" t="str">
        <f>IF(SUM(HC17:HD17,HF17:HH17,HJ17)-SUM(HE17,HI17)&gt;0,SUM(HC17:HD17,HF17:HH17,HJ17)-SUM(HE17,HI17),"")</f>
        <v/>
      </c>
      <c r="HU17" s="11" t="str">
        <f>IF(SUM(HL17,HP17)&gt;0,SUM(HL17,HP17),"")</f>
        <v/>
      </c>
      <c r="HV17" s="11" t="str">
        <f>IF(SUM(HK17:HL17,HN17:HP17,HR17)-SUM(HM17,HQ17)&gt;0,SUM(HK17:HL17,HN17:HP17,HR17)-SUM(HM17,HQ17),"")</f>
        <v/>
      </c>
      <c r="HW17" s="11" t="str">
        <f>IF(SUM(HT17,HV17)&gt;0,SUM(HT17,HV17),"")</f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>IF(SUM(HY17,IC17)&gt;0,SUM(HY17,IC17),"")</f>
        <v/>
      </c>
      <c r="IO17" s="14" t="str">
        <f>IF(SUM(HX17:HY17,IA17:IC17,IE17)-SUM(HZ17,ID17)&gt;0,SUM(HX17:HY17,IA17:IC17,IE17)-SUM(HZ17,ID17),"")</f>
        <v/>
      </c>
      <c r="IP17" s="14" t="str">
        <f>IF(SUM(IG17,IK17)&gt;0,SUM(IG17,IK17),"")</f>
        <v/>
      </c>
      <c r="IQ17" s="14" t="str">
        <f>IF(SUM(IF17:IG17,II17:IK17,IM17)-SUM(IH17,IL17)&gt;0,SUM(IF17:IG17,II17:IK17,IM17)-SUM(IH17,IL17),"")</f>
        <v/>
      </c>
      <c r="IR17" s="14" t="str">
        <f>IF(SUM(IO17,IQ17)&gt;0,SUM(IO17,IQ17),"")</f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>IF(SUM(IT17,IX17)&gt;0,SUM(IT17,IX17),"")</f>
        <v/>
      </c>
      <c r="JJ17" s="11" t="str">
        <f>IF(SUM(IS17:IT17,IV17:IX17,IZ17)-SUM(IU17,IY17)&gt;0,SUM(IS17:IT17,IV17:IX17,IZ17)-SUM(IU17,IY17),"")</f>
        <v/>
      </c>
      <c r="JK17" s="11" t="str">
        <f>IF(SUM(JB17,JF17)&gt;0,SUM(JB17,JF17),"")</f>
        <v/>
      </c>
      <c r="JL17" s="11" t="str">
        <f>IF(SUM(JA17:JB17,JD17:JF17,JH17)-SUM(JC17,JG17)&gt;0,SUM(JA17:JB17,JD17:JF17,JH17)-SUM(JC17,JG17),"")</f>
        <v/>
      </c>
      <c r="JM17" s="11" t="str">
        <f>IF(SUM(JJ17,JL17)&gt;0,SUM(JJ17,JL17),"")</f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>IF(SUM(JO17,JS17)&gt;0,SUM(JO17,JS17),"")</f>
        <v/>
      </c>
      <c r="KE17" s="14" t="str">
        <f>IF(SUM(JN17:JO17,JQ17:JS17,JU17)-SUM(JP17,JT17)&gt;0,SUM(JN17:JO17,JQ17:JS17,JU17)-SUM(JP17,JT17),"")</f>
        <v/>
      </c>
      <c r="KF17" s="14" t="str">
        <f>IF(SUM(JW17,KA17)&gt;0,SUM(JW17,KA17),"")</f>
        <v/>
      </c>
      <c r="KG17" s="14" t="str">
        <f>IF(SUM(JV17:JW17,JY17:KA17,KC17)-SUM(JX17,KB17)&gt;0,SUM(JV17:JW17,JY17:KA17,KC17)-SUM(JX17,KB17),"")</f>
        <v/>
      </c>
      <c r="KH17" s="14" t="str">
        <f>IF(SUM(KE17,KG17)&gt;0,SUM(KE17,KG17),"")</f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>IF(SUM(KJ17,KN17)&gt;0,SUM(KJ17,KN17),"")</f>
        <v/>
      </c>
      <c r="KZ17" s="11" t="str">
        <f>IF(SUM(KI17:KJ17,KL17:KN17,KP17)-SUM(KK17,KO17)&gt;0,SUM(KI17:KJ17,KL17:KN17,KP17)-SUM(KK17,KO17),"")</f>
        <v/>
      </c>
      <c r="LA17" s="11" t="str">
        <f>IF(SUM(KR17,KV17)&gt;0,SUM(KR17,KV17),"")</f>
        <v/>
      </c>
      <c r="LB17" s="11" t="str">
        <f>IF(SUM(KQ17:KR17,KT17:KV17,KX17)-SUM(KS17,KW17)&gt;0,SUM(KQ17:KR17,KT17:KV17,KX17)-SUM(KS17,KW17),"")</f>
        <v/>
      </c>
      <c r="LC17" s="11" t="str">
        <f>IF(SUM(KZ17,LB17)&gt;0,SUM(KZ17,LB17),"")</f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>IF(SUM(LE17,LI17)&gt;0,SUM(LE17,LI17),"")</f>
        <v/>
      </c>
      <c r="LU17" s="14" t="str">
        <f>IF(SUM(LD17:LE17,LG17:LI17,LK17)-SUM(LF17,LJ17)&gt;0,SUM(LD17:LE17,LG17:LI17,LK17)-SUM(LF17,LJ17),"")</f>
        <v/>
      </c>
      <c r="LV17" s="14" t="str">
        <f>IF(SUM(LM17,LQ17)&gt;0,SUM(LM17,LQ17),"")</f>
        <v/>
      </c>
      <c r="LW17" s="14" t="str">
        <f>IF(SUM(LL17:LM17,LO17:LQ17,LS17)-SUM(LN17,LR17)&gt;0,SUM(LL17:LM17,LO17:LQ17,LS17)-SUM(LN17,LR17),"")</f>
        <v/>
      </c>
      <c r="LX17" s="14" t="str">
        <f>IF(SUM(LU17,LW17)&gt;0,SUM(LU17,LW17),"")</f>
        <v/>
      </c>
      <c r="LY17" s="61">
        <f>IF($BY17="P",BI17,(BI17+AM17)/2)</f>
        <v>14.1</v>
      </c>
      <c r="LZ17" s="61">
        <f>IF($BY17="P",BJ17,(BJ17+AN17)/2)</f>
        <v>3</v>
      </c>
      <c r="MA17" s="61">
        <f>IF($BY17="P",BK17,(BK17+AO17)/2)</f>
        <v>0</v>
      </c>
      <c r="MB17" s="61">
        <f>IF($BY17="P",BL17,(BL17+AP17)/2)</f>
        <v>0</v>
      </c>
      <c r="MC17" s="61">
        <f>IF($BY17="P",BM17,(BM17+AQ17)/2)</f>
        <v>13.75</v>
      </c>
      <c r="MD17" s="61">
        <f>IF($BY17="P",BN17,(BN17+AR17)/2)</f>
        <v>2.8</v>
      </c>
      <c r="ME17" s="61">
        <f>IF($BY17="P",BO17,(BO17+AS17)/2)</f>
        <v>0</v>
      </c>
      <c r="MF17" s="61">
        <f>IF($BY17="P",BP17,(BP17+AT17)/2)</f>
        <v>0</v>
      </c>
      <c r="MG17" s="61">
        <f>IF($BY17="P",BQ17,(BQ17+AU17)/2)</f>
        <v>13.65</v>
      </c>
      <c r="MH17" s="61">
        <f>IF($BY17="P",BR17,(BR17+AV17)/2)</f>
        <v>2.6</v>
      </c>
      <c r="MI17" s="61">
        <f>IF($BY17="P",BS17,(BS17+AW17)/2)</f>
        <v>0</v>
      </c>
      <c r="MJ17" s="61">
        <f>IF($BY17="P",BT17,(BT17+AX17)/2)</f>
        <v>0</v>
      </c>
      <c r="MK17" s="61">
        <f>IF($BY17="P",BU17,(BU17+AY17)/2)</f>
        <v>13.4</v>
      </c>
      <c r="ML17" s="61">
        <f>IF($BY17="P",BV17,(BV17+AZ17)/2)</f>
        <v>2.6</v>
      </c>
      <c r="MM17" s="61">
        <f>IF($BY17="P",BW17,(BW17+BA17)/2)</f>
        <v>0.45</v>
      </c>
      <c r="MN17" s="61">
        <f>IF($BY17="P",BX17,(BX17+BB17)/2)</f>
        <v>0</v>
      </c>
      <c r="MO17" s="72" t="s">
        <v>52</v>
      </c>
      <c r="MP17" s="11">
        <f>IF(SUM(LZ17,MD17)&gt;0,SUM(LZ17,MD17),"")</f>
        <v>5.8</v>
      </c>
      <c r="MQ17" s="11">
        <f>IF(SUM(LY17:LZ17,MB17:MD17,MF17)-SUM(MA17,ME17)&gt;0,SUM(LY17:LZ17,MB17:MD17,MF17)-SUM(MA17,ME17),"")</f>
        <v>33.65</v>
      </c>
      <c r="MR17" s="11">
        <f>IF(SUM(MH17,ML17)&gt;0,SUM(MH17,ML17),"")</f>
        <v>5.2</v>
      </c>
      <c r="MS17" s="11">
        <f>IF(SUM(MG17:MH17,MJ17:ML17,MN17)-SUM(MI17,MM17)&gt;0,SUM(MG17:MH17,MJ17:ML17,MN17)-SUM(MI17,MM17),"")</f>
        <v>31.8</v>
      </c>
      <c r="MT17" s="11">
        <f>IF(SUM(MQ17,MS17)&gt;0,SUM(MQ17,MS17),"")</f>
        <v>65.45</v>
      </c>
    </row>
    <row r="18" spans="1:358" x14ac:dyDescent="0.2">
      <c r="A18" s="5" t="str">
        <f>IF(AND(F18="P",G18="P"),SUMPRODUCT((F$4:F$19="P")*(G$4:G$19="P")*(E$4:E$19&gt;E18))+1,IF(G18="P",SUMPRODUCT((F$4:F$19="")*(G$4:G$19="P")*(E$4:E$19&gt;E18))+1+SUMPRODUCT((F$4:F$19="P")*(G$4:G$19="P")),""))</f>
        <v/>
      </c>
      <c r="B18" s="8" t="s">
        <v>141</v>
      </c>
      <c r="C18" s="4" t="s">
        <v>5</v>
      </c>
      <c r="D18" s="5">
        <v>2001</v>
      </c>
      <c r="E18" s="15">
        <f>SUM(J18:N18)</f>
        <v>121.30000000000001</v>
      </c>
      <c r="F18" s="3" t="str">
        <f>IF(OR(AND(AH18&gt;=AL$21,AI18&gt;=AL$25,AI18&lt;&gt;"",AG18=""),AND(BD18&gt;=BH$21,BE18&gt;=BH$25,BE18&lt;&gt;"",BC18=""),AND(BZ18&gt;=CD$21,CA18&gt;=CD$25,CA18&lt;&gt;"",BY18=""),AND(CW18&gt;=DA$21,CX18&gt;=DA$25,CX18&lt;&gt;""),AND(DR18&gt;=DV$21,DS18&gt;=DV$25,DS18&lt;&gt;""),AND(EM18&gt;=EQ$21,EN18&gt;=EQ$25,EN18&lt;&gt;""),AND(FH18&gt;=FL$21,FI18&gt;=FL$25,FI18&lt;&gt;""),AND(GC18&gt;=GG$21,GD18&gt;=GG$25,GD18&lt;&gt;""),AND(GX18&gt;=HB$21,GY18&gt;=HB$25,GY18&lt;&gt;""),AND(HS18&gt;=HW$21,HT18&gt;=HW$25,HT18&lt;&gt;""),AND(IN18&gt;=IR$21,IO18&gt;=IR$25,IO18&lt;&gt;""),AND(JI18&gt;=JM$21,JJ18&gt;=JM$25,JJ18&lt;&gt;""),AND(KD18&gt;=KH$21,KE18&gt;=KH$25,KE18&lt;&gt;""),AND(KY18&gt;=LC$21,KZ18&gt;=LC$25,KZ18&lt;&gt;""),AND(LT18&gt;=LX$21,LU18&gt;=LX$25,LU18&lt;&gt;"")),"P","")</f>
        <v/>
      </c>
      <c r="G18" s="3" t="str">
        <f>IF(OR(AND(AI18&gt;=AL$25,AI18&lt;&gt;"",AG18=""),AND(BE18&gt;=BH$25,BE18&lt;&gt;"",BC18=""),AND(CA18&gt;=CD$25,CA18&lt;&gt;"",BY18=""),AND(CX18&gt;=DA$25,CX18&lt;&gt;""),AND(DS18&gt;=DV$25,DS18&lt;&gt;""),AND(EN18&gt;=EQ$25,EN18&lt;&gt;""),AND(FI18&gt;=FL$25,FI18&lt;&gt;""),AND(GD18&gt;=GG$25,GD18&lt;&gt;""),AND(GY18&gt;=HB$25,GY18&lt;&gt;""),AND(HT18&gt;=HW$25,HT18&lt;&gt;""),AND(IO18&gt;=IR$25,IO18&lt;&gt;""),AND(JJ18&gt;=JM$25,JJ18&lt;&gt;""),AND(KE18&gt;=KH$25,KE18&lt;&gt;""),AND(KZ18&gt;=LC$25,KZ18&lt;&gt;""),AND(LU18&gt;=LX$25,LU18&lt;&gt;"")),"P","")</f>
        <v/>
      </c>
      <c r="H18" s="116" t="str">
        <f>IF(AND(G18="P",F18=""),"No DD",IF(OR(AND(AH18&gt;=AL$24,AH18&lt;&gt;"",AI18&gt;=AL$28,AI18&lt;&gt;"",AG18=""),AND(BD18&gt;=BH$24,BD18&lt;&gt;"",BE18&gt;=BH$28,BE18&lt;&gt;"",BC18=""),AND(BZ18&gt;=CD$24,BZ18&lt;&gt;"",CA18&gt;=CD$28,CA18&lt;&gt;"",BY18=""),AND(CW18&gt;=DA$24,CW18&lt;&gt;"",CX18&gt;=DA$28,CX18&lt;&gt;""),AND(DR18&gt;=DV$24,DR18&lt;&gt;"",DS18&gt;=DV$28,DS18&lt;&gt;""),AND(EM18&gt;=EQ$24,EM18&lt;&gt;"",EN18&gt;=EQ$28,EN18&lt;&gt;""),AND(FH18&gt;=FL$24,FH18&lt;&gt;"",FI18&gt;=FL$28,FI18&lt;&gt;""),AND(GC18&gt;=GG$24,GC18&lt;&gt;"",GD18&gt;=GG$28,GD18&lt;&gt;""),AND(GX18&gt;=HB$24,GX18&lt;&gt;"",GY18&gt;=HB$28,GY18&lt;&gt;""),AND(HS18&gt;=HW$24,HS18&lt;&gt;"",HT18&gt;=HW$28,HT18&lt;&gt;""),AND(IN18&gt;=IR$24,IN18&lt;&gt;"",IO18&gt;=IR$28,IO18&lt;&gt;""),AND(JI18&gt;=JM$24,JI18&lt;&gt;"",JJ18&gt;=JM$28,JJ18&lt;&gt;""),AND(KD18&gt;=KH$24,KD18&lt;&gt;"",KE18&gt;=KH$28,KE18&lt;&gt;""),AND(KY18&gt;=LC$24,KY18&lt;&gt;"",KZ18&gt;=LC$28,KZ18&lt;&gt;""),AND(LT18&gt;=LX$24,LT18&lt;&gt;"",LU18&gt;=LX$28,LU18&lt;&gt;"")),"Merit",IF(OR(AND(AH18&gt;=AL$23,AH18&lt;&gt;"",AI18&gt;=AL$27,AI18&lt;&gt;"",AG18=""),AND(BD18&gt;=BH$23,BD18&lt;&gt;"",BE18&gt;=BH$27,BE18&lt;&gt;"",BC18=""),AND(BZ18&gt;=CD$23,BZ18&lt;&gt;"",CA18&gt;=CD$27,CA18&lt;&gt;"",BY18=""),AND(CW18&gt;=DA$23,CW18&lt;&gt;"",CX18&gt;=DA$27,CX18&lt;&gt;""),AND(DR18&gt;=DV$23,DR18&lt;&gt;"",DS18&gt;=DV$27,DS18&lt;&gt;""),AND(EM18&gt;=EQ$23,EM18&lt;&gt;"",EN18&gt;=EQ$27,EN18&lt;&gt;""),AND(FH18&gt;=FL$23,FH18&lt;&gt;"",FI18&gt;=FL$27,FI18&lt;&gt;""),AND(GC18&gt;=GG$23,GC18&lt;&gt;"",GD18&gt;=GG$27,GD18&lt;&gt;""),AND(GX18&gt;=HB$23,GX18&lt;&gt;"",GY18&gt;=HB$27,GY18&lt;&gt;""),AND(HS18&gt;=HW$23,HS18&lt;&gt;"",HT18&gt;=HW$27,HT18&lt;&gt;""),AND(IN18&gt;=IR$23,IN18&lt;&gt;"",IO18&gt;=IR$27,IO18&lt;&gt;""),AND(JI18&gt;=JM$23,JI18&lt;&gt;"",JJ18&gt;=JM$27,JJ18&lt;&gt;""),AND(KD18&gt;=KH$23,KD18&lt;&gt;"",KE18&gt;=KH$27,KE18&lt;&gt;""),AND(KY18&gt;=LC$23,KY18&lt;&gt;"",KZ18&gt;=LC$27,KZ18&lt;&gt;""),AND(LT18&gt;=LX$23,LT18&lt;&gt;"",LU18&gt;=LX$27,LU18&lt;&gt;"")),"Excellence",IF(OR(AND(AH18&gt;=AL$22,AH18&lt;&gt;"",AI18&gt;=AL$26,AI18&lt;&gt;"",AG18=""),AND(BD18&gt;=BH$22,BD18&lt;&gt;"",BE18&gt;=BH$26,BE18&lt;&gt;"",BC18=""),AND(BZ18&gt;=CD$22,BZ18&lt;&gt;"",CA18&gt;=CD$26,CA18&lt;&gt;"",BY18=""),AND(CW18&gt;=DA$22,CW18&lt;&gt;"",CX18&gt;=DA$26,CX18&lt;&gt;""),AND(DR18&gt;=DV$22,DR18&lt;&gt;"",DS18&gt;=DV$26,DS18&lt;&gt;""),AND(EM18&gt;=EQ$22,EM18&lt;&gt;"",EN18&gt;=EQ$26,EN18&lt;&gt;""),AND(FH18&gt;=FL$22,FH18&lt;&gt;"",FI18&gt;=FL$26,FI18&lt;&gt;""),AND(GC18&gt;=GG$22,GC18&lt;&gt;"",GD18&gt;=GG$26,GD18&lt;&gt;""),AND(GX18&gt;=HB$22,GX18&lt;&gt;"",GY18&gt;=HB$26,GY18&lt;&gt;""),AND(HS18&gt;=HW$22,HS18&lt;&gt;"",HT18&gt;=HW$26,HT18&lt;&gt;""),AND(IN18&gt;=IR$22,IN18&lt;&gt;"",IO18&gt;=IR$26,IO18&lt;&gt;""),AND(JI18&gt;=JM$22,JI18&lt;&gt;"",JJ18&gt;=JM$26,JJ18&lt;&gt;""),AND(KD18&gt;=KH$22,KD18&lt;&gt;"",KE18&gt;=KH$26,KE18&lt;&gt;""),AND(KY18&gt;=LC$22,KY18&lt;&gt;"",KZ18&gt;=LC$26,KZ18&lt;&gt;""),AND(LT18&gt;=LX$22,LT18&lt;&gt;"",LU18&gt;=LX$26,LU18&lt;&gt;"")),"Worlds Team",IF(OR(AND(AH18&gt;=AL$21,AH18&lt;&gt;"",AI18&gt;=AL$25,AI18&lt;&gt;"",AG18=""),AND(BD18&gt;=BH$21,BD18&lt;&gt;"",BE18&gt;=BH$25,BE18&lt;&gt;"",BC18=""),AND(BZ18&gt;=CD$21,BZ18&lt;&gt;"",CA18&gt;=CD$25,CA18&lt;&gt;"",BY18=""),AND(CW18&gt;=DA$21,CW18&lt;&gt;"",CX18&gt;=DA$25,CX18&lt;&gt;""),AND(DR18&gt;=DV$21,DR18&lt;&gt;"",DS18&gt;=DV$25,DS18&lt;&gt;""),AND(EM18&gt;=EQ$21,EM18&lt;&gt;"",EN18&gt;=EQ$25,EN18&lt;&gt;""),AND(FH18&gt;=FL$21,FH18&lt;&gt;"",FI18&gt;=FL$25,FI18&lt;&gt;""),AND(GC18&gt;=GG$21,GC18&lt;&gt;"",GD18&gt;=GG$25,GD18&lt;&gt;""),AND(GX18&gt;=HB$21,GX18&lt;&gt;"",GY18&gt;=HB$25,GY18&lt;&gt;""),AND(HS18&gt;=HW$21,HS18&lt;&gt;"",HT18&gt;=HW$25,HT18&lt;&gt;""),AND(IN18&gt;=IR$21,IN18&lt;&gt;"",IO18&gt;=IR$25,IO18&lt;&gt;""),AND(JI18&gt;=JM$21,JI18&lt;&gt;"",JJ18&gt;=JM$25,JJ18&lt;&gt;""),AND(KD18&gt;=KH$21,KD18&lt;&gt;"",KE18&gt;=KH$25,KE18&lt;&gt;""),AND(KY18&gt;=LC$21,KY18&lt;&gt;"",KZ18&gt;=LC$25,KZ18&lt;&gt;""),AND(LT18&gt;=LX$21,LT18&lt;&gt;"",LU18&gt;=LX$25,LU18&lt;&gt;"")),"National Team","")))))</f>
        <v/>
      </c>
      <c r="I18" s="3" t="str">
        <f>IF(OR(H18="Worlds Team",H18="Excellence",H18="Merit"),"P","")</f>
        <v/>
      </c>
      <c r="J18" s="14">
        <f>MAX(AL18,BH18,CD18)</f>
        <v>121.30000000000001</v>
      </c>
      <c r="K18" s="14" t="str">
        <f>IF(J18=0,"",IF(J18=CD18,$BI$1,IF(J18=BH18,$AM$1,IF(J18=AL18,$Q$1,""))))</f>
        <v>2019 Nationals</v>
      </c>
      <c r="L18" s="14">
        <f>IF(J18=AL18,MAX(BE18,BG18,CA18,CC18),IF(J18=BH18,MAX(AI18,AK18,CA18,CC18),MAX(AI18,AK18,BE18,BG18)))</f>
        <v>0</v>
      </c>
      <c r="M18" s="14" t="str">
        <f>IF(L18=0,"",IF(AND(J18&lt;&gt;CD18,OR(L18=CA18,L18=CC18)),$BI$1,IF(AND(J18&lt;&gt;BH18,OR(L18=BG18,L18=BE18)),$AM$1,IF(OR(L18=AK18,L18=AI18),$Q$1,""))))</f>
        <v/>
      </c>
      <c r="N18" s="14" t="str">
        <f>IF(MAX(CE18:CF18)&gt;0,MAX(CE18:CF18),"")</f>
        <v/>
      </c>
      <c r="O18" s="24" t="str">
        <f>IF(N18="","",IF(N18=CE18,"(4 Pass)",IF(N18=CF18,"(2 Pass)")))</f>
        <v/>
      </c>
      <c r="P18" s="14" t="str">
        <f>IF(N18="","",IF(N18=CE18,IF(N18+IF(J18="",0,J18)=DA18,$CG$1,IF(N18+IF(J18="",0,J18)=DV18,$DB$1,IF(N18+IF(J18="",0,J18)=EQ18,$DW$1,IF(N18+IF(J18="",0,J18)=FL18,$ER$1,IF(N18+IF(J18="",0,J18)=GG18,$FM$1,IF(N18+IF(J18="",0,J18)=HB18,$GH$1,IF(N18+IF(J18="",0,J18)=HW18,$HC$1,IF(N18+IF(J18="",0,J18)=IR18,$HX$1,IF(N18+IF(J18="",0,J18)=JM18,$IS$1,IF(N18+IF(J18="",0,J18)=KH18,$JN$1,IF(N18+IF(J18="",0,J18)=LC18,$KI$1,IF(N18+IF(J18="",0,J18)=LX18,$LD$1)))))))))))),IF(N18=CF18,IF(OR(N18+IF(L18="",0,L18)=CX18,N18+IF(L18="",0,L18)=CZ18),$CG$1,IF(OR(N18+IF(L18="",0,L18)=DS18,N18+IF(L18="",0,L18)=DU18),$DB$1,IF(OR(N18+IF(L18="",0,L18)=EN18,N18+IF(L18="",0,L18)=EP18),$DW$1,IF(OR(N18+IF(L18="",0,L18)=FI18,N18+IF(L18="",0,L18)=FK18),$ER$1,IF(OR(N18+IF(L18="",0,L18)=GD18,N18+IF(L18="",0,L18)=GF18),$FM$1,IF(OR(N18+IF(L18="",0,L18)=GY18,N18+IF(L18="",0,L18)=HA18),$GH$1,IF(OR(N18+IF(L18="",0,L18)=HT18,N18+IF(L18="",0,L18)=HV18),$HC$1,IF(OR(N18+IF(L18="",0,L18)=IO18,N18+IF(L18="",0,L18)=IQ18),$HX$1,IF(OR(N18+IF(L18="",0,L18)=JJ18,N18+IF(L18="",0,L18)=JL18),$IS$1,IF(OR(N18+IF(L18="",0,L18)=KE18,N18+IF(L18="",0,L18)=KG18),$JN$1,IF(OR(N18+IF(L18="",0,L18)=KZ18,N18+IF(L18="",0,L18)=LB18),$KI$1,IF(OR(N18+IF(L18="",0,L18)=LU18,N18+IF(L18="",0,L18)=LW18),$LD$1)))))))))))))))</f>
        <v/>
      </c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72"/>
      <c r="AH18" s="11" t="str">
        <f>IF(SUM(R18,V18)&gt;0,SUM(R18,V18),"")</f>
        <v/>
      </c>
      <c r="AI18" s="11" t="str">
        <f>IF(SUM(Q18:R18,T18:V18,X18)-SUM(S18,W18)&gt;0,SUM(Q18:R18,T18:V18,X18)-SUM(S18,W18),"")</f>
        <v/>
      </c>
      <c r="AJ18" s="11" t="str">
        <f>IF(SUM(Z18,AD18)&gt;0,SUM(Z18,AD18),"")</f>
        <v/>
      </c>
      <c r="AK18" s="11" t="str">
        <f>IF(SUM(Y18:Z18,AB18:AD18,AF18)-SUM(AA18,AE18)&gt;0,SUM(Y18:Z18,AB18:AD18,AF18)-SUM(AA18,AE18),"")</f>
        <v/>
      </c>
      <c r="AL18" s="11" t="str">
        <f>IF(SUM(AI18,AK18)&gt;0,SUM(AI18,AK18),"")</f>
        <v/>
      </c>
      <c r="AM18" s="36">
        <v>25.2</v>
      </c>
      <c r="AN18" s="36">
        <v>8</v>
      </c>
      <c r="AO18" s="36">
        <v>0.9</v>
      </c>
      <c r="AP18" s="36">
        <v>0</v>
      </c>
      <c r="AQ18" s="36">
        <v>27.8</v>
      </c>
      <c r="AR18" s="36">
        <v>8.4</v>
      </c>
      <c r="AS18" s="36">
        <v>1.2</v>
      </c>
      <c r="AT18" s="36">
        <v>0</v>
      </c>
      <c r="AU18" s="36">
        <v>20.6</v>
      </c>
      <c r="AV18" s="36">
        <v>2.4</v>
      </c>
      <c r="AW18" s="36">
        <v>0</v>
      </c>
      <c r="AX18" s="36">
        <v>0</v>
      </c>
      <c r="AY18" s="36">
        <v>24.5</v>
      </c>
      <c r="AZ18" s="36">
        <v>7.7</v>
      </c>
      <c r="BA18" s="36">
        <v>1.2</v>
      </c>
      <c r="BB18" s="36">
        <v>0</v>
      </c>
      <c r="BC18" s="73"/>
      <c r="BD18" s="14">
        <f>IF(SUM(AN18,AR18)&gt;0,SUM(AN18,AR18),"")</f>
        <v>16.399999999999999</v>
      </c>
      <c r="BE18" s="14">
        <f>IF(SUM(AM18:AN18,AP18:AR18,AT18)-SUM(AO18,AS18)&gt;0,SUM(AM18:AN18,AP18:AR18,AT18)-SUM(AO18,AS18),"")</f>
        <v>67.300000000000011</v>
      </c>
      <c r="BF18" s="14">
        <f>IF(SUM(AV18,AZ18)&gt;0,SUM(AV18,AZ18),"")</f>
        <v>10.1</v>
      </c>
      <c r="BG18" s="14">
        <f>IF(SUM(AU18:AV18,AX18:AZ18,BB18)-SUM(AW18,BA18)&gt;0,SUM(AU18:AV18,AX18:AZ18,BB18)-SUM(AW18,BA18),"")</f>
        <v>54</v>
      </c>
      <c r="BH18" s="14">
        <f>IF(SUM(BE18,BG18)&gt;0,SUM(BE18,BG18),"")</f>
        <v>121.30000000000001</v>
      </c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72"/>
      <c r="BZ18" s="11" t="str">
        <f>IF(SUM(BJ18,BN18)&gt;0,SUM(BJ18,BN18),"")</f>
        <v/>
      </c>
      <c r="CA18" s="11" t="str">
        <f>IF(SUM(BI18:BJ18,BL18:BN18,BP18)-SUM(BK18,BO18)&gt;0,SUM(BI18:BJ18,BL18:BN18,BP18)-SUM(BK18,BO18),"")</f>
        <v/>
      </c>
      <c r="CB18" s="11" t="str">
        <f>IF(SUM(BR18,BV18)&gt;0,SUM(BR18,BV18),"")</f>
        <v/>
      </c>
      <c r="CC18" s="11" t="str">
        <f>IF(SUM(BQ18:BR18,BT18:BV18,BX18)-SUM(BS18,BW18)&gt;0,SUM(BQ18:BR18,BT18:BV18,BX18)-SUM(BS18,BW18),"")</f>
        <v/>
      </c>
      <c r="CD18" s="11" t="str">
        <f>IF(SUM(CA18,CC18)&gt;0,SUM(CA18,CC18),"")</f>
        <v/>
      </c>
      <c r="CE18" s="23" t="str">
        <f>IF(MAX(DA18,DV18,EQ18,FL18,GG18,HB18,HW18,IR18,JM18,KH18,LC18,LX18)-IF(J18="",0,J18)&gt;0.001,MAX(DA18,DV18,EQ18,FL18,GG18,HB18,HW18,IR18,JM18,KH18,LC18,LX18)-IF(J18="",0,J18),"")</f>
        <v/>
      </c>
      <c r="CF18" s="23" t="str">
        <f>IF(MAX(CX18,CZ18,DS18,DU18,EN18,EP18,FI18,FK18,GD18,GF18,GY18,HA18,HT18,HV18,IO18,IQ18,JJ18,JL18,KE18,KG18,KZ18,LB18,LU18,LW18)-IF(L18="",0,L18)&gt;0.001,MAX(CX18,CZ18,DS18,DU18,EN18,EP18,FI18,FK18,GD18,GF18,GY18,HA18,HT18,HV18,IO18,IQ18,JJ18,JL18,KE18,KG18,KZ18,LB18,LU18,LW18)-IF(L18="",0,L18),"")</f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>IF(SUM(CH18,CL18)&gt;0,SUM(CH18,CL18),"")</f>
        <v/>
      </c>
      <c r="CX18" s="11" t="str">
        <f>IF(SUM(CG18:CH18,CJ18:CL18,CN18)-SUM(CI18,CM18)&gt;0,SUM(CG18:CH18,CJ18:CL18,CN18)-SUM(CI18,CM18),"")</f>
        <v/>
      </c>
      <c r="CY18" s="11" t="str">
        <f>IF(SUM(CP18,CT18)&gt;0,SUM(CP18,CT18),"")</f>
        <v/>
      </c>
      <c r="CZ18" s="11" t="str">
        <f>IF(SUM(CO18:CP18,CR18:CT18,CV18)-SUM(CQ18,CU18)&gt;0,SUM(CO18:CP18,CR18:CT18,CV18)-SUM(CQ18,CU18),"")</f>
        <v/>
      </c>
      <c r="DA18" s="11" t="str">
        <f>IF(SUM(CX18,CZ18)&gt;0,SUM(CX18,CZ18),"")</f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>IF(SUM(DC18,DG18)&gt;0,SUM(DC18,DG18),"")</f>
        <v/>
      </c>
      <c r="DS18" s="14" t="str">
        <f>IF(SUM(DB18:DC18,DE18:DG18,DI18)-SUM(DD18,DH18)&gt;0,SUM(DB18:DC18,DE18:DG18,DI18)-SUM(DD18,DH18),"")</f>
        <v/>
      </c>
      <c r="DT18" s="14" t="str">
        <f>IF(SUM(DK18,DO18)&gt;0,SUM(DK18,DO18),"")</f>
        <v/>
      </c>
      <c r="DU18" s="14" t="str">
        <f>IF(SUM(DJ18:DK18,DM18:DO18,DQ18)-SUM(DL18,DP18)&gt;0,SUM(DJ18:DK18,DM18:DO18,DQ18)-SUM(DL18,DP18),"")</f>
        <v/>
      </c>
      <c r="DV18" s="14" t="str">
        <f>IF(SUM(DS18,DU18)&gt;0,SUM(DS18,DU18),"")</f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>IF(SUM(DX18,EB18)&gt;0,SUM(DX18,EB18),"")</f>
        <v/>
      </c>
      <c r="EN18" s="11" t="str">
        <f>IF(SUM(DW18:DX18,DZ18:EB18,ED18)-SUM(DY18,EC18)&gt;0,SUM(DW18:DX18,DZ18:EB18,ED18)-SUM(DY18,EC18),"")</f>
        <v/>
      </c>
      <c r="EO18" s="11" t="str">
        <f>IF(SUM(EF18,EJ18)&gt;0,SUM(EF18,EJ18),"")</f>
        <v/>
      </c>
      <c r="EP18" s="11" t="str">
        <f>IF(SUM(EE18:EF18,EH18:EJ18,EL18)-SUM(EG18,EK18)&gt;0,SUM(EE18:EF18,EH18:EJ18,EL18)-SUM(EG18,EK18),"")</f>
        <v/>
      </c>
      <c r="EQ18" s="11" t="str">
        <f>IF(SUM(EN18,EP18)&gt;0,SUM(EN18,EP18),"")</f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>IF(SUM(ES18,EW18)&gt;0,SUM(ES18,EW18),"")</f>
        <v/>
      </c>
      <c r="FI18" s="14" t="str">
        <f>IF(SUM(ER18:ES18,EU18:EW18,EY18)-SUM(ET18,EX18)&gt;0,SUM(ER18:ES18,EU18:EW18,EY18)-SUM(ET18,EX18),"")</f>
        <v/>
      </c>
      <c r="FJ18" s="14" t="str">
        <f>IF(SUM(FA18,FE18)&gt;0,SUM(FA18,FE18),"")</f>
        <v/>
      </c>
      <c r="FK18" s="14" t="str">
        <f>IF(SUM(EZ18:FA18,FC18:FE18,FG18)-SUM(FB18,FF18)&gt;0,SUM(EZ18:FA18,FC18:FE18,FG18)-SUM(FB18,FF18),"")</f>
        <v/>
      </c>
      <c r="FL18" s="14" t="str">
        <f>IF(SUM(FI18,FK18)&gt;0,SUM(FI18,FK18),"")</f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>IF(SUM(FN18,FR18)&gt;0,SUM(FN18,FR18),"")</f>
        <v/>
      </c>
      <c r="GD18" s="11" t="str">
        <f>IF(SUM(FM18:FN18,FP18:FR18,FT18)-SUM(FO18,FS18)&gt;0,SUM(FM18:FN18,FP18:FR18,FT18)-SUM(FO18,FS18),"")</f>
        <v/>
      </c>
      <c r="GE18" s="11" t="str">
        <f>IF(SUM(FV18,FZ18)&gt;0,SUM(FV18,FZ18),"")</f>
        <v/>
      </c>
      <c r="GF18" s="11" t="str">
        <f>IF(SUM(FU18:FV18,FX18:FZ18,GB18)-SUM(FW18,GA18)&gt;0,SUM(FU18:FV18,FX18:FZ18,GB18)-SUM(FW18,GA18),"")</f>
        <v/>
      </c>
      <c r="GG18" s="11" t="str">
        <f>IF(SUM(GD18,GF18)&gt;0,SUM(GD18,GF18),"")</f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>IF(SUM(GI18,GM18)&gt;0,SUM(GI18,GM18),"")</f>
        <v/>
      </c>
      <c r="GY18" s="14" t="str">
        <f>IF(SUM(GH18:GI18,GK18:GM18,GO18)-SUM(GJ18,GN18)&gt;0,SUM(GH18:GI18,GK18:GM18,GO18)-SUM(GJ18,GN18),"")</f>
        <v/>
      </c>
      <c r="GZ18" s="14" t="str">
        <f>IF(SUM(GQ18,GU18)&gt;0,SUM(GQ18,GU18),"")</f>
        <v/>
      </c>
      <c r="HA18" s="14" t="str">
        <f>IF(SUM(GP18:GQ18,GS18:GU18,GW18)-SUM(GR18,GV18)&gt;0,SUM(GP18:GQ18,GS18:GU18,GW18)-SUM(GR18,GV18),"")</f>
        <v/>
      </c>
      <c r="HB18" s="14" t="str">
        <f>IF(SUM(GY18,HA18)&gt;0,SUM(GY18,HA18),"")</f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>IF(SUM(HD18,HH18)&gt;0,SUM(HD18,HH18),"")</f>
        <v/>
      </c>
      <c r="HT18" s="11" t="str">
        <f>IF(SUM(HC18:HD18,HF18:HH18,HJ18)-SUM(HE18,HI18)&gt;0,SUM(HC18:HD18,HF18:HH18,HJ18)-SUM(HE18,HI18),"")</f>
        <v/>
      </c>
      <c r="HU18" s="11" t="str">
        <f>IF(SUM(HL18,HP18)&gt;0,SUM(HL18,HP18),"")</f>
        <v/>
      </c>
      <c r="HV18" s="11" t="str">
        <f>IF(SUM(HK18:HL18,HN18:HP18,HR18)-SUM(HM18,HQ18)&gt;0,SUM(HK18:HL18,HN18:HP18,HR18)-SUM(HM18,HQ18),"")</f>
        <v/>
      </c>
      <c r="HW18" s="11" t="str">
        <f>IF(SUM(HT18,HV18)&gt;0,SUM(HT18,HV18),"")</f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>IF(SUM(HY18,IC18)&gt;0,SUM(HY18,IC18),"")</f>
        <v/>
      </c>
      <c r="IO18" s="14" t="str">
        <f>IF(SUM(HX18:HY18,IA18:IC18,IE18)-SUM(HZ18,ID18)&gt;0,SUM(HX18:HY18,IA18:IC18,IE18)-SUM(HZ18,ID18),"")</f>
        <v/>
      </c>
      <c r="IP18" s="14" t="str">
        <f>IF(SUM(IG18,IK18)&gt;0,SUM(IG18,IK18),"")</f>
        <v/>
      </c>
      <c r="IQ18" s="14" t="str">
        <f>IF(SUM(IF18:IG18,II18:IK18,IM18)-SUM(IH18,IL18)&gt;0,SUM(IF18:IG18,II18:IK18,IM18)-SUM(IH18,IL18),"")</f>
        <v/>
      </c>
      <c r="IR18" s="14" t="str">
        <f>IF(SUM(IO18,IQ18)&gt;0,SUM(IO18,IQ18),"")</f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>IF(SUM(IT18,IX18)&gt;0,SUM(IT18,IX18),"")</f>
        <v/>
      </c>
      <c r="JJ18" s="11" t="str">
        <f>IF(SUM(IS18:IT18,IV18:IX18,IZ18)-SUM(IU18,IY18)&gt;0,SUM(IS18:IT18,IV18:IX18,IZ18)-SUM(IU18,IY18),"")</f>
        <v/>
      </c>
      <c r="JK18" s="11" t="str">
        <f>IF(SUM(JB18,JF18)&gt;0,SUM(JB18,JF18),"")</f>
        <v/>
      </c>
      <c r="JL18" s="11" t="str">
        <f>IF(SUM(JA18:JB18,JD18:JF18,JH18)-SUM(JC18,JG18)&gt;0,SUM(JA18:JB18,JD18:JF18,JH18)-SUM(JC18,JG18),"")</f>
        <v/>
      </c>
      <c r="JM18" s="11" t="str">
        <f>IF(SUM(JJ18,JL18)&gt;0,SUM(JJ18,JL18),"")</f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>IF(SUM(JO18,JS18)&gt;0,SUM(JO18,JS18),"")</f>
        <v/>
      </c>
      <c r="KE18" s="14" t="str">
        <f>IF(SUM(JN18:JO18,JQ18:JS18,JU18)-SUM(JP18,JT18)&gt;0,SUM(JN18:JO18,JQ18:JS18,JU18)-SUM(JP18,JT18),"")</f>
        <v/>
      </c>
      <c r="KF18" s="14" t="str">
        <f>IF(SUM(JW18,KA18)&gt;0,SUM(JW18,KA18),"")</f>
        <v/>
      </c>
      <c r="KG18" s="14" t="str">
        <f>IF(SUM(JV18:JW18,JY18:KA18,KC18)-SUM(JX18,KB18)&gt;0,SUM(JV18:JW18,JY18:KA18,KC18)-SUM(JX18,KB18),"")</f>
        <v/>
      </c>
      <c r="KH18" s="14" t="str">
        <f>IF(SUM(KE18,KG18)&gt;0,SUM(KE18,KG18),"")</f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>IF(SUM(KJ18,KN18)&gt;0,SUM(KJ18,KN18),"")</f>
        <v/>
      </c>
      <c r="KZ18" s="11" t="str">
        <f>IF(SUM(KI18:KJ18,KL18:KN18,KP18)-SUM(KK18,KO18)&gt;0,SUM(KI18:KJ18,KL18:KN18,KP18)-SUM(KK18,KO18),"")</f>
        <v/>
      </c>
      <c r="LA18" s="11" t="str">
        <f>IF(SUM(KR18,KV18)&gt;0,SUM(KR18,KV18),"")</f>
        <v/>
      </c>
      <c r="LB18" s="11" t="str">
        <f>IF(SUM(KQ18:KR18,KT18:KV18,KX18)-SUM(KS18,KW18)&gt;0,SUM(KQ18:KR18,KT18:KV18,KX18)-SUM(KS18,KW18),"")</f>
        <v/>
      </c>
      <c r="LC18" s="11" t="str">
        <f>IF(SUM(KZ18,LB18)&gt;0,SUM(KZ18,LB18),"")</f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>IF(SUM(LE18,LI18)&gt;0,SUM(LE18,LI18),"")</f>
        <v/>
      </c>
      <c r="LU18" s="14" t="str">
        <f>IF(SUM(LD18:LE18,LG18:LI18,LK18)-SUM(LF18,LJ18)&gt;0,SUM(LD18:LE18,LG18:LI18,LK18)-SUM(LF18,LJ18),"")</f>
        <v/>
      </c>
      <c r="LV18" s="14" t="str">
        <f>IF(SUM(LM18,LQ18)&gt;0,SUM(LM18,LQ18),"")</f>
        <v/>
      </c>
      <c r="LW18" s="14" t="str">
        <f>IF(SUM(LL18:LM18,LO18:LQ18,LS18)-SUM(LN18,LR18)&gt;0,SUM(LL18:LM18,LO18:LQ18,LS18)-SUM(LN18,LR18),"")</f>
        <v/>
      </c>
      <c r="LX18" s="14" t="str">
        <f>IF(SUM(LU18,LW18)&gt;0,SUM(LU18,LW18),"")</f>
        <v/>
      </c>
      <c r="LY18" s="61">
        <f>IF($BY18="P",BI18,(BI18+AM18)/2)</f>
        <v>12.6</v>
      </c>
      <c r="LZ18" s="61">
        <f>IF($BY18="P",BJ18,(BJ18+AN18)/2)</f>
        <v>4</v>
      </c>
      <c r="MA18" s="61">
        <f>IF($BY18="P",BK18,(BK18+AO18)/2)</f>
        <v>0.45</v>
      </c>
      <c r="MB18" s="61">
        <f>IF($BY18="P",BL18,(BL18+AP18)/2)</f>
        <v>0</v>
      </c>
      <c r="MC18" s="61">
        <f>IF($BY18="P",BM18,(BM18+AQ18)/2)</f>
        <v>13.9</v>
      </c>
      <c r="MD18" s="61">
        <f>IF($BY18="P",BN18,(BN18+AR18)/2)</f>
        <v>4.2</v>
      </c>
      <c r="ME18" s="61">
        <f>IF($BY18="P",BO18,(BO18+AS18)/2)</f>
        <v>0.6</v>
      </c>
      <c r="MF18" s="61">
        <f>IF($BY18="P",BP18,(BP18+AT18)/2)</f>
        <v>0</v>
      </c>
      <c r="MG18" s="61">
        <f>IF($BY18="P",BQ18,(BQ18+AU18)/2)</f>
        <v>10.3</v>
      </c>
      <c r="MH18" s="61">
        <f>IF($BY18="P",BR18,(BR18+AV18)/2)</f>
        <v>1.2</v>
      </c>
      <c r="MI18" s="61">
        <f>IF($BY18="P",BS18,(BS18+AW18)/2)</f>
        <v>0</v>
      </c>
      <c r="MJ18" s="61">
        <f>IF($BY18="P",BT18,(BT18+AX18)/2)</f>
        <v>0</v>
      </c>
      <c r="MK18" s="61">
        <f>IF($BY18="P",BU18,(BU18+AY18)/2)</f>
        <v>12.25</v>
      </c>
      <c r="ML18" s="61">
        <f>IF($BY18="P",BV18,(BV18+AZ18)/2)</f>
        <v>3.85</v>
      </c>
      <c r="MM18" s="61">
        <f>IF($BY18="P",BW18,(BW18+BA18)/2)</f>
        <v>0.6</v>
      </c>
      <c r="MN18" s="61">
        <f>IF($BY18="P",BX18,(BX18+BB18)/2)</f>
        <v>0</v>
      </c>
      <c r="MO18" s="72" t="s">
        <v>52</v>
      </c>
      <c r="MP18" s="11">
        <f>IF(SUM(LZ18,MD18)&gt;0,SUM(LZ18,MD18),"")</f>
        <v>8.1999999999999993</v>
      </c>
      <c r="MQ18" s="11">
        <f>IF(SUM(LY18:LZ18,MB18:MD18,MF18)-SUM(MA18,ME18)&gt;0,SUM(LY18:LZ18,MB18:MD18,MF18)-SUM(MA18,ME18),"")</f>
        <v>33.650000000000006</v>
      </c>
      <c r="MR18" s="11">
        <f>IF(SUM(MH18,ML18)&gt;0,SUM(MH18,ML18),"")</f>
        <v>5.05</v>
      </c>
      <c r="MS18" s="11">
        <f>IF(SUM(MG18:MH18,MJ18:ML18,MN18)-SUM(MI18,MM18)&gt;0,SUM(MG18:MH18,MJ18:ML18,MN18)-SUM(MI18,MM18),"")</f>
        <v>27</v>
      </c>
      <c r="MT18" s="11">
        <f>IF(SUM(MQ18,MS18)&gt;0,SUM(MQ18,MS18),"")</f>
        <v>60.650000000000006</v>
      </c>
    </row>
    <row r="21" spans="1:358" x14ac:dyDescent="0.2">
      <c r="B21" s="62" t="s">
        <v>50</v>
      </c>
      <c r="AH21" s="49"/>
      <c r="AJ21" s="49"/>
      <c r="AL21" s="56">
        <v>12.8</v>
      </c>
      <c r="BD21" s="49"/>
      <c r="BF21" s="49"/>
      <c r="BH21" s="56">
        <v>12.8</v>
      </c>
      <c r="BZ21" s="49"/>
      <c r="CB21" s="49"/>
      <c r="CD21" s="56">
        <v>12.8</v>
      </c>
      <c r="CW21" s="49"/>
      <c r="CY21" s="49"/>
      <c r="DA21" s="56">
        <v>12.8</v>
      </c>
      <c r="DR21" s="49"/>
      <c r="DT21" s="49"/>
      <c r="DV21" s="56">
        <v>12.8</v>
      </c>
      <c r="EM21" s="49"/>
      <c r="EO21" s="49"/>
      <c r="EQ21" s="56">
        <v>12.8</v>
      </c>
      <c r="FH21" s="49"/>
      <c r="FJ21" s="49"/>
      <c r="FL21" s="56">
        <v>12.8</v>
      </c>
      <c r="GC21" s="49"/>
      <c r="GE21" s="49"/>
      <c r="GG21" s="56">
        <v>12.8</v>
      </c>
      <c r="GX21" s="49"/>
      <c r="GZ21" s="49"/>
      <c r="HB21" s="56">
        <v>12.8</v>
      </c>
      <c r="HS21" s="49"/>
      <c r="HU21" s="49"/>
      <c r="HW21" s="56">
        <v>12.8</v>
      </c>
      <c r="IN21" s="49"/>
      <c r="IP21" s="49"/>
      <c r="IR21" s="56">
        <v>12.8</v>
      </c>
      <c r="JI21" s="49"/>
      <c r="JK21" s="49"/>
      <c r="JM21" s="56">
        <v>12.8</v>
      </c>
      <c r="KD21" s="49"/>
      <c r="KF21" s="49"/>
      <c r="KH21" s="56">
        <v>12.8</v>
      </c>
      <c r="KY21" s="49"/>
      <c r="LA21" s="49"/>
      <c r="LC21" s="56">
        <v>12.8</v>
      </c>
      <c r="LT21" s="49"/>
      <c r="LV21" s="49"/>
      <c r="LX21" s="56">
        <v>12.8</v>
      </c>
    </row>
    <row r="22" spans="1:358" hidden="1" x14ac:dyDescent="0.2">
      <c r="B22" s="83" t="s">
        <v>49</v>
      </c>
      <c r="AH22" s="49"/>
      <c r="AJ22" s="49"/>
      <c r="AL22" s="96">
        <v>1000</v>
      </c>
      <c r="BD22" s="49"/>
      <c r="BF22" s="49"/>
      <c r="BH22" s="96">
        <v>1000</v>
      </c>
      <c r="BZ22" s="49"/>
      <c r="CB22" s="49"/>
      <c r="CD22" s="96">
        <v>1000</v>
      </c>
      <c r="CW22" s="49"/>
      <c r="CY22" s="49"/>
      <c r="DA22" s="96">
        <v>1000</v>
      </c>
      <c r="DR22" s="49"/>
      <c r="DT22" s="49"/>
      <c r="DV22" s="96">
        <v>1000</v>
      </c>
      <c r="EM22" s="49"/>
      <c r="EO22" s="49"/>
      <c r="EQ22" s="96">
        <v>1000</v>
      </c>
      <c r="FH22" s="49"/>
      <c r="FJ22" s="49"/>
      <c r="FL22" s="96">
        <v>1000</v>
      </c>
      <c r="GC22" s="49"/>
      <c r="GE22" s="49"/>
      <c r="GG22" s="96">
        <v>1000</v>
      </c>
      <c r="GX22" s="49"/>
      <c r="GZ22" s="49"/>
      <c r="HB22" s="96">
        <v>1000</v>
      </c>
      <c r="HS22" s="49"/>
      <c r="HU22" s="49"/>
      <c r="HW22" s="96">
        <v>1000</v>
      </c>
      <c r="IN22" s="49"/>
      <c r="IP22" s="49"/>
      <c r="IR22" s="96">
        <v>1000</v>
      </c>
      <c r="JI22" s="49"/>
      <c r="JK22" s="49"/>
      <c r="JM22" s="96">
        <v>1000</v>
      </c>
      <c r="KD22" s="49"/>
      <c r="KF22" s="49"/>
      <c r="KH22" s="96">
        <v>1000</v>
      </c>
      <c r="KY22" s="49"/>
      <c r="LA22" s="49"/>
      <c r="LC22" s="96">
        <v>1000</v>
      </c>
      <c r="LT22" s="49"/>
      <c r="LV22" s="49"/>
      <c r="LX22" s="96">
        <v>1000</v>
      </c>
    </row>
    <row r="23" spans="1:358" hidden="1" x14ac:dyDescent="0.2">
      <c r="A23" s="49"/>
      <c r="B23" s="84" t="s">
        <v>65</v>
      </c>
      <c r="C23" s="48"/>
      <c r="AH23" s="49"/>
      <c r="AJ23" s="49"/>
      <c r="AK23" s="117"/>
      <c r="AL23" s="97">
        <v>1000</v>
      </c>
      <c r="BD23" s="49"/>
      <c r="BF23" s="49"/>
      <c r="BG23" s="117"/>
      <c r="BH23" s="97">
        <v>1000</v>
      </c>
      <c r="BZ23" s="49"/>
      <c r="CB23" s="49"/>
      <c r="CD23" s="97">
        <v>1000</v>
      </c>
      <c r="CW23" s="49"/>
      <c r="CY23" s="49"/>
      <c r="CZ23" s="117"/>
      <c r="DA23" s="97">
        <v>1000</v>
      </c>
      <c r="DR23" s="49"/>
      <c r="DT23" s="49"/>
      <c r="DV23" s="97">
        <v>1000</v>
      </c>
      <c r="EM23" s="49"/>
      <c r="EO23" s="49"/>
      <c r="EQ23" s="97">
        <v>1000</v>
      </c>
      <c r="FH23" s="49"/>
      <c r="FJ23" s="49"/>
      <c r="FL23" s="97">
        <v>1000</v>
      </c>
      <c r="GC23" s="49"/>
      <c r="GE23" s="49"/>
      <c r="GG23" s="97">
        <v>1000</v>
      </c>
      <c r="GX23" s="49"/>
      <c r="GZ23" s="49"/>
      <c r="HB23" s="97">
        <v>1000</v>
      </c>
      <c r="HS23" s="49"/>
      <c r="HU23" s="49"/>
      <c r="HW23" s="97">
        <v>1000</v>
      </c>
      <c r="IN23" s="49"/>
      <c r="IP23" s="49"/>
      <c r="IR23" s="97">
        <v>1000</v>
      </c>
      <c r="JI23" s="49"/>
      <c r="JK23" s="49"/>
      <c r="JM23" s="97">
        <v>1000</v>
      </c>
      <c r="KD23" s="49"/>
      <c r="KF23" s="49"/>
      <c r="KH23" s="97">
        <v>1000</v>
      </c>
      <c r="KY23" s="49"/>
      <c r="LA23" s="49"/>
      <c r="LC23" s="97">
        <v>1000</v>
      </c>
      <c r="LT23" s="49"/>
      <c r="LV23" s="49"/>
      <c r="LX23" s="97">
        <v>1000</v>
      </c>
    </row>
    <row r="24" spans="1:358" hidden="1" x14ac:dyDescent="0.2">
      <c r="A24" s="49"/>
      <c r="B24" s="63" t="s">
        <v>77</v>
      </c>
      <c r="C24" s="48"/>
      <c r="AH24" s="49"/>
      <c r="AJ24" s="49"/>
      <c r="AL24" s="57">
        <v>1000</v>
      </c>
      <c r="BD24" s="49"/>
      <c r="BF24" s="49"/>
      <c r="BH24" s="57">
        <v>1000</v>
      </c>
      <c r="BZ24" s="49"/>
      <c r="CB24" s="49"/>
      <c r="CD24" s="57">
        <v>1000</v>
      </c>
      <c r="CW24" s="49"/>
      <c r="CY24" s="49"/>
      <c r="DA24" s="57">
        <v>1000</v>
      </c>
      <c r="DR24" s="49"/>
      <c r="DT24" s="49"/>
      <c r="DV24" s="57">
        <v>1000</v>
      </c>
      <c r="EM24" s="49"/>
      <c r="EO24" s="49"/>
      <c r="EP24" s="117"/>
      <c r="EQ24" s="57">
        <v>1000</v>
      </c>
      <c r="FH24" s="49"/>
      <c r="FJ24" s="49"/>
      <c r="FL24" s="57">
        <v>1000</v>
      </c>
      <c r="GC24" s="49"/>
      <c r="GE24" s="49"/>
      <c r="GG24" s="57">
        <v>1000</v>
      </c>
      <c r="GX24" s="49"/>
      <c r="GZ24" s="49"/>
      <c r="HB24" s="57">
        <v>1000</v>
      </c>
      <c r="HS24" s="49"/>
      <c r="HU24" s="49"/>
      <c r="HW24" s="57">
        <v>1000</v>
      </c>
      <c r="IN24" s="49"/>
      <c r="IP24" s="49"/>
      <c r="IR24" s="57">
        <v>1000</v>
      </c>
      <c r="JI24" s="49"/>
      <c r="JK24" s="49"/>
      <c r="JM24" s="57">
        <v>1000</v>
      </c>
      <c r="KD24" s="49"/>
      <c r="KF24" s="49"/>
      <c r="KH24" s="57">
        <v>1000</v>
      </c>
      <c r="KY24" s="49"/>
      <c r="LA24" s="49"/>
      <c r="LC24" s="57">
        <v>1000</v>
      </c>
      <c r="LT24" s="49"/>
      <c r="LV24" s="49"/>
      <c r="LX24" s="57">
        <v>1000</v>
      </c>
    </row>
    <row r="25" spans="1:358" x14ac:dyDescent="0.2">
      <c r="A25" s="49"/>
      <c r="B25" s="65" t="s">
        <v>47</v>
      </c>
      <c r="C25" s="48"/>
      <c r="AH25" s="49"/>
      <c r="AJ25" s="49"/>
      <c r="AL25" s="59">
        <v>68.599999999999994</v>
      </c>
      <c r="BD25" s="49"/>
      <c r="BF25" s="49"/>
      <c r="BH25" s="59">
        <v>68.599999999999994</v>
      </c>
      <c r="BZ25" s="49"/>
      <c r="CB25" s="49"/>
      <c r="CD25" s="59">
        <v>68.599999999999994</v>
      </c>
      <c r="CW25" s="49"/>
      <c r="CY25" s="49"/>
      <c r="DA25" s="59">
        <v>68.599999999999994</v>
      </c>
      <c r="DR25" s="49"/>
      <c r="DT25" s="49"/>
      <c r="DV25" s="59">
        <v>68.599999999999994</v>
      </c>
      <c r="EM25" s="49"/>
      <c r="EO25" s="49"/>
      <c r="EQ25" s="59">
        <v>68.599999999999994</v>
      </c>
      <c r="FH25" s="49"/>
      <c r="FJ25" s="49"/>
      <c r="FL25" s="59">
        <v>68.599999999999994</v>
      </c>
      <c r="GC25" s="49"/>
      <c r="GE25" s="49"/>
      <c r="GG25" s="59">
        <v>68.599999999999994</v>
      </c>
      <c r="GX25" s="49"/>
      <c r="GZ25" s="49"/>
      <c r="HB25" s="59">
        <v>68.599999999999994</v>
      </c>
      <c r="HS25" s="49"/>
      <c r="HU25" s="49"/>
      <c r="HW25" s="59">
        <v>68.599999999999994</v>
      </c>
      <c r="IN25" s="49"/>
      <c r="IP25" s="49"/>
      <c r="IR25" s="59">
        <v>68.599999999999994</v>
      </c>
      <c r="JI25" s="49"/>
      <c r="JK25" s="49"/>
      <c r="JM25" s="59">
        <v>68.599999999999994</v>
      </c>
      <c r="KD25" s="49"/>
      <c r="KF25" s="49"/>
      <c r="KH25" s="59">
        <v>68.599999999999994</v>
      </c>
      <c r="KY25" s="49"/>
      <c r="LA25" s="49"/>
      <c r="LC25" s="59">
        <v>68.599999999999994</v>
      </c>
      <c r="LT25" s="49"/>
      <c r="LV25" s="49"/>
      <c r="LX25" s="59">
        <v>68.599999999999994</v>
      </c>
    </row>
    <row r="26" spans="1:358" hidden="1" x14ac:dyDescent="0.2">
      <c r="A26" s="49"/>
      <c r="B26" s="64" t="s">
        <v>48</v>
      </c>
      <c r="C26" s="48"/>
      <c r="AH26" s="49"/>
      <c r="AJ26" s="49"/>
      <c r="AL26" s="58">
        <v>1000</v>
      </c>
      <c r="BD26" s="49"/>
      <c r="BF26" s="49"/>
      <c r="BH26" s="58">
        <v>1000</v>
      </c>
      <c r="BZ26" s="49"/>
      <c r="CB26" s="49"/>
      <c r="CD26" s="58">
        <v>1000</v>
      </c>
      <c r="CW26" s="49"/>
      <c r="CY26" s="49"/>
      <c r="DA26" s="58">
        <v>1000</v>
      </c>
      <c r="DR26" s="49"/>
      <c r="DT26" s="49"/>
      <c r="DV26" s="58">
        <v>1000</v>
      </c>
      <c r="EM26" s="49"/>
      <c r="EO26" s="49"/>
      <c r="EQ26" s="58">
        <v>1000</v>
      </c>
      <c r="FH26" s="49"/>
      <c r="FJ26" s="49"/>
      <c r="FL26" s="58">
        <v>1000</v>
      </c>
      <c r="GC26" s="49"/>
      <c r="GE26" s="49"/>
      <c r="GG26" s="58">
        <v>1000</v>
      </c>
      <c r="GX26" s="49"/>
      <c r="GZ26" s="49"/>
      <c r="HB26" s="58">
        <v>1000</v>
      </c>
      <c r="HS26" s="49"/>
      <c r="HU26" s="49"/>
      <c r="HW26" s="58">
        <v>1000</v>
      </c>
      <c r="IN26" s="49"/>
      <c r="IP26" s="49"/>
      <c r="IR26" s="58">
        <v>1000</v>
      </c>
      <c r="JI26" s="49"/>
      <c r="JK26" s="49"/>
      <c r="JM26" s="58">
        <v>1000</v>
      </c>
      <c r="KD26" s="49"/>
      <c r="KF26" s="49"/>
      <c r="KH26" s="58">
        <v>1000</v>
      </c>
      <c r="KY26" s="49"/>
      <c r="LA26" s="49"/>
      <c r="LC26" s="58">
        <v>1000</v>
      </c>
      <c r="LT26" s="49"/>
      <c r="LV26" s="49"/>
      <c r="LX26" s="58">
        <v>1000</v>
      </c>
    </row>
    <row r="27" spans="1:358" hidden="1" x14ac:dyDescent="0.2">
      <c r="A27" s="49"/>
      <c r="B27" s="106" t="s">
        <v>60</v>
      </c>
      <c r="C27" s="48"/>
      <c r="AH27" s="49"/>
      <c r="AJ27" s="49"/>
      <c r="AK27" s="117"/>
      <c r="AL27" s="107">
        <v>1000</v>
      </c>
      <c r="BD27" s="49"/>
      <c r="BF27" s="49"/>
      <c r="BG27" s="117"/>
      <c r="BH27" s="107">
        <v>1000</v>
      </c>
      <c r="BZ27" s="49"/>
      <c r="CB27" s="49"/>
      <c r="CD27" s="107">
        <v>1000</v>
      </c>
      <c r="CW27" s="49"/>
      <c r="CY27" s="49"/>
      <c r="CZ27" s="117"/>
      <c r="DA27" s="107">
        <v>1000</v>
      </c>
      <c r="DR27" s="49"/>
      <c r="DT27" s="49"/>
      <c r="DV27" s="107">
        <v>1000</v>
      </c>
      <c r="EM27" s="49"/>
      <c r="EO27" s="49"/>
      <c r="EQ27" s="107">
        <v>1000</v>
      </c>
      <c r="FH27" s="49"/>
      <c r="FJ27" s="49"/>
      <c r="FK27" s="117"/>
      <c r="FL27" s="107">
        <v>1000</v>
      </c>
      <c r="GC27" s="49"/>
      <c r="GE27" s="49"/>
      <c r="GG27" s="107">
        <v>1000</v>
      </c>
      <c r="GX27" s="49"/>
      <c r="GZ27" s="49"/>
      <c r="HB27" s="107">
        <v>1000</v>
      </c>
      <c r="HS27" s="49"/>
      <c r="HU27" s="49"/>
      <c r="HW27" s="107">
        <v>1000</v>
      </c>
      <c r="IN27" s="49"/>
      <c r="IP27" s="49"/>
      <c r="IR27" s="107">
        <v>1000</v>
      </c>
      <c r="JI27" s="49"/>
      <c r="JK27" s="49"/>
      <c r="JM27" s="107">
        <v>1000</v>
      </c>
      <c r="KD27" s="49"/>
      <c r="KF27" s="49"/>
      <c r="KH27" s="107">
        <v>1000</v>
      </c>
      <c r="KY27" s="49"/>
      <c r="LA27" s="49"/>
      <c r="LC27" s="107">
        <v>1000</v>
      </c>
      <c r="LT27" s="49"/>
      <c r="LV27" s="49"/>
      <c r="LX27" s="107">
        <v>1000</v>
      </c>
    </row>
    <row r="28" spans="1:358" hidden="1" x14ac:dyDescent="0.2">
      <c r="A28" s="49"/>
      <c r="B28" s="66" t="s">
        <v>34</v>
      </c>
      <c r="C28" s="48"/>
      <c r="AH28" s="49"/>
      <c r="AJ28" s="49"/>
      <c r="AL28" s="60">
        <v>1000</v>
      </c>
      <c r="BD28" s="49"/>
      <c r="BF28" s="49"/>
      <c r="BH28" s="60">
        <v>1000</v>
      </c>
      <c r="BZ28" s="49"/>
      <c r="CB28" s="49"/>
      <c r="CD28" s="60">
        <v>1000</v>
      </c>
      <c r="CW28" s="49"/>
      <c r="CY28" s="49"/>
      <c r="DA28" s="60">
        <v>1000</v>
      </c>
      <c r="DR28" s="49"/>
      <c r="DT28" s="49"/>
      <c r="DV28" s="60">
        <v>1000</v>
      </c>
      <c r="EM28" s="49"/>
      <c r="EO28" s="49"/>
      <c r="EP28" s="117"/>
      <c r="EQ28" s="60">
        <v>1000</v>
      </c>
      <c r="FH28" s="49"/>
      <c r="FJ28" s="49"/>
      <c r="FL28" s="60">
        <v>1000</v>
      </c>
      <c r="GC28" s="49"/>
      <c r="GE28" s="49"/>
      <c r="GG28" s="60">
        <v>1000</v>
      </c>
      <c r="GX28" s="49"/>
      <c r="GZ28" s="49"/>
      <c r="HB28" s="60">
        <v>1000</v>
      </c>
      <c r="HS28" s="49"/>
      <c r="HU28" s="49"/>
      <c r="HW28" s="60">
        <v>1000</v>
      </c>
      <c r="IN28" s="49"/>
      <c r="IP28" s="49"/>
      <c r="IR28" s="60">
        <v>1000</v>
      </c>
      <c r="JI28" s="49"/>
      <c r="JK28" s="49"/>
      <c r="JM28" s="60">
        <v>1000</v>
      </c>
      <c r="KD28" s="49"/>
      <c r="KF28" s="49"/>
      <c r="KH28" s="60">
        <v>1000</v>
      </c>
      <c r="KY28" s="49"/>
      <c r="LA28" s="49"/>
      <c r="LC28" s="60">
        <v>1000</v>
      </c>
      <c r="LT28" s="49"/>
      <c r="LV28" s="49"/>
      <c r="LX28" s="60">
        <v>1000</v>
      </c>
    </row>
    <row r="29" spans="1:358" x14ac:dyDescent="0.2">
      <c r="B29" s="74" t="s">
        <v>53</v>
      </c>
      <c r="C29" s="2"/>
      <c r="CX29" s="6"/>
      <c r="KE29" s="6"/>
    </row>
    <row r="30" spans="1:358" x14ac:dyDescent="0.2">
      <c r="A30" s="49"/>
      <c r="B30" s="49"/>
      <c r="C30" s="48"/>
    </row>
    <row r="31" spans="1:358" x14ac:dyDescent="0.2">
      <c r="A31" s="49"/>
      <c r="B31" s="49"/>
      <c r="C31" s="48"/>
    </row>
    <row r="32" spans="1:358" x14ac:dyDescent="0.2">
      <c r="A32" s="49"/>
      <c r="B32" s="49"/>
      <c r="C32" s="48"/>
    </row>
  </sheetData>
  <sheetProtection sheet="1" formatCells="0" formatColumns="0" formatRows="0"/>
  <autoFilter ref="A1:MT12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8">
      <sortCondition descending="1" ref="F1:F19"/>
    </sortState>
  </autoFilter>
  <mergeCells count="97"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  <mergeCell ref="LD1:LX1"/>
    <mergeCell ref="LD2:LG2"/>
    <mergeCell ref="LH2:LK2"/>
    <mergeCell ref="LL2:LO2"/>
    <mergeCell ref="LP2:LS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A1:A3"/>
    <mergeCell ref="B1:B3"/>
    <mergeCell ref="C1:C3"/>
    <mergeCell ref="E1:E3"/>
    <mergeCell ref="I1:I3"/>
    <mergeCell ref="F1:F3"/>
    <mergeCell ref="D1:D3"/>
    <mergeCell ref="G1:G3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LY1:MT1"/>
    <mergeCell ref="LY2:MB2"/>
    <mergeCell ref="MC2:MF2"/>
    <mergeCell ref="MG2:MJ2"/>
    <mergeCell ref="MK2:MN2"/>
  </mergeCells>
  <conditionalFormatting sqref="AM4:BH18">
    <cfRule type="expression" dxfId="39" priority="3" stopIfTrue="1">
      <formula>IF($BC4&lt;&gt;"",1,0)</formula>
    </cfRule>
  </conditionalFormatting>
  <conditionalFormatting sqref="Q4:AL18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18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44028" operator="between">
      <formula>AL$24</formula>
      <formula>1000</formula>
    </cfRule>
    <cfRule type="cellIs" dxfId="26" priority="44029" operator="between">
      <formula>AL$23</formula>
      <formula>AL$24</formula>
    </cfRule>
    <cfRule type="cellIs" dxfId="25" priority="44030" operator="between">
      <formula>AL$22</formula>
      <formula>AL$23</formula>
    </cfRule>
    <cfRule type="cellIs" dxfId="24" priority="44031" operator="between">
      <formula>AL$21</formula>
      <formula>AL$22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44208" operator="between">
      <formula>AL$28</formula>
      <formula>1000</formula>
    </cfRule>
    <cfRule type="cellIs" dxfId="22" priority="44209" operator="between">
      <formula>AL$27</formula>
      <formula>AL$28</formula>
    </cfRule>
    <cfRule type="cellIs" dxfId="21" priority="44210" operator="between">
      <formula>AL$26</formula>
      <formula>AL$27</formula>
    </cfRule>
    <cfRule type="cellIs" dxfId="20" priority="44211" operator="between">
      <formula>AL$25</formula>
      <formula>AL$26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100" width="10.83203125" hidden="1" customWidth="1"/>
    <col min="101" max="105" width="10.83203125" customWidth="1"/>
    <col min="106" max="358" width="10.83203125" hidden="1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146</v>
      </c>
      <c r="J1" s="129" t="s">
        <v>62</v>
      </c>
      <c r="K1" s="128" t="s">
        <v>32</v>
      </c>
      <c r="L1" s="129" t="s">
        <v>61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67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70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76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36" t="s">
        <v>109</v>
      </c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4" t="s">
        <v>66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9"/>
      <c r="K2" s="128"/>
      <c r="L2" s="129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6"/>
      <c r="AH2" s="79" t="s">
        <v>24</v>
      </c>
      <c r="AI2" s="9" t="s">
        <v>23</v>
      </c>
      <c r="AJ2" s="101" t="s">
        <v>68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5" t="s">
        <v>31</v>
      </c>
      <c r="AZ2" s="135"/>
      <c r="BA2" s="135"/>
      <c r="BB2" s="135"/>
      <c r="BC2" s="75"/>
      <c r="BD2" s="80" t="s">
        <v>24</v>
      </c>
      <c r="BE2" s="12" t="s">
        <v>23</v>
      </c>
      <c r="BF2" s="102" t="s">
        <v>68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68</v>
      </c>
      <c r="CC2" s="9" t="s">
        <v>22</v>
      </c>
      <c r="CD2" s="9" t="s">
        <v>17</v>
      </c>
      <c r="CE2" s="21" t="s">
        <v>64</v>
      </c>
      <c r="CF2" s="21" t="s">
        <v>63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101" t="s">
        <v>68</v>
      </c>
      <c r="CZ2" s="9" t="s">
        <v>22</v>
      </c>
      <c r="DA2" s="9" t="s">
        <v>17</v>
      </c>
      <c r="DB2" s="135" t="s">
        <v>26</v>
      </c>
      <c r="DC2" s="135"/>
      <c r="DD2" s="135"/>
      <c r="DE2" s="135"/>
      <c r="DF2" s="135" t="s">
        <v>29</v>
      </c>
      <c r="DG2" s="135"/>
      <c r="DH2" s="135"/>
      <c r="DI2" s="135"/>
      <c r="DJ2" s="135" t="s">
        <v>30</v>
      </c>
      <c r="DK2" s="135"/>
      <c r="DL2" s="135"/>
      <c r="DM2" s="135"/>
      <c r="DN2" s="135" t="s">
        <v>31</v>
      </c>
      <c r="DO2" s="135"/>
      <c r="DP2" s="135"/>
      <c r="DQ2" s="135"/>
      <c r="DR2" s="80" t="s">
        <v>24</v>
      </c>
      <c r="DS2" s="16" t="s">
        <v>23</v>
      </c>
      <c r="DT2" s="102" t="s">
        <v>68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101" t="s">
        <v>68</v>
      </c>
      <c r="EP2" s="17" t="s">
        <v>22</v>
      </c>
      <c r="EQ2" s="17" t="s">
        <v>17</v>
      </c>
      <c r="ER2" s="135" t="s">
        <v>26</v>
      </c>
      <c r="ES2" s="135"/>
      <c r="ET2" s="135"/>
      <c r="EU2" s="135"/>
      <c r="EV2" s="135" t="s">
        <v>29</v>
      </c>
      <c r="EW2" s="135"/>
      <c r="EX2" s="135"/>
      <c r="EY2" s="135"/>
      <c r="EZ2" s="135" t="s">
        <v>30</v>
      </c>
      <c r="FA2" s="135"/>
      <c r="FB2" s="135"/>
      <c r="FC2" s="135"/>
      <c r="FD2" s="135" t="s">
        <v>31</v>
      </c>
      <c r="FE2" s="135"/>
      <c r="FF2" s="135"/>
      <c r="FG2" s="135"/>
      <c r="FH2" s="80" t="s">
        <v>24</v>
      </c>
      <c r="FI2" s="16" t="s">
        <v>23</v>
      </c>
      <c r="FJ2" s="102" t="s">
        <v>68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101" t="s">
        <v>68</v>
      </c>
      <c r="GF2" s="17" t="s">
        <v>22</v>
      </c>
      <c r="GG2" s="17" t="s">
        <v>17</v>
      </c>
      <c r="GH2" s="135" t="s">
        <v>26</v>
      </c>
      <c r="GI2" s="135"/>
      <c r="GJ2" s="135"/>
      <c r="GK2" s="135"/>
      <c r="GL2" s="135" t="s">
        <v>29</v>
      </c>
      <c r="GM2" s="135"/>
      <c r="GN2" s="135"/>
      <c r="GO2" s="135"/>
      <c r="GP2" s="135" t="s">
        <v>30</v>
      </c>
      <c r="GQ2" s="135"/>
      <c r="GR2" s="135"/>
      <c r="GS2" s="135"/>
      <c r="GT2" s="135" t="s">
        <v>31</v>
      </c>
      <c r="GU2" s="135"/>
      <c r="GV2" s="135"/>
      <c r="GW2" s="135"/>
      <c r="GX2" s="80" t="s">
        <v>24</v>
      </c>
      <c r="GY2" s="16" t="s">
        <v>23</v>
      </c>
      <c r="GZ2" s="102" t="s">
        <v>68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79" t="s">
        <v>24</v>
      </c>
      <c r="HT2" s="17" t="s">
        <v>23</v>
      </c>
      <c r="HU2" s="101" t="s">
        <v>68</v>
      </c>
      <c r="HV2" s="17" t="s">
        <v>22</v>
      </c>
      <c r="HW2" s="17" t="s">
        <v>17</v>
      </c>
      <c r="HX2" s="135" t="s">
        <v>26</v>
      </c>
      <c r="HY2" s="135"/>
      <c r="HZ2" s="135"/>
      <c r="IA2" s="135"/>
      <c r="IB2" s="135" t="s">
        <v>29</v>
      </c>
      <c r="IC2" s="135"/>
      <c r="ID2" s="135"/>
      <c r="IE2" s="135"/>
      <c r="IF2" s="135" t="s">
        <v>30</v>
      </c>
      <c r="IG2" s="135"/>
      <c r="IH2" s="135"/>
      <c r="II2" s="135"/>
      <c r="IJ2" s="135" t="s">
        <v>31</v>
      </c>
      <c r="IK2" s="135"/>
      <c r="IL2" s="135"/>
      <c r="IM2" s="135"/>
      <c r="IN2" s="80" t="s">
        <v>24</v>
      </c>
      <c r="IO2" s="16" t="s">
        <v>23</v>
      </c>
      <c r="IP2" s="102" t="s">
        <v>68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79" t="s">
        <v>24</v>
      </c>
      <c r="JJ2" s="17" t="s">
        <v>23</v>
      </c>
      <c r="JK2" s="101" t="s">
        <v>68</v>
      </c>
      <c r="JL2" s="17" t="s">
        <v>22</v>
      </c>
      <c r="JM2" s="17" t="s">
        <v>17</v>
      </c>
      <c r="JN2" s="135" t="s">
        <v>26</v>
      </c>
      <c r="JO2" s="135"/>
      <c r="JP2" s="135"/>
      <c r="JQ2" s="135"/>
      <c r="JR2" s="135" t="s">
        <v>29</v>
      </c>
      <c r="JS2" s="135"/>
      <c r="JT2" s="135"/>
      <c r="JU2" s="135"/>
      <c r="JV2" s="135" t="s">
        <v>30</v>
      </c>
      <c r="JW2" s="135"/>
      <c r="JX2" s="135"/>
      <c r="JY2" s="135"/>
      <c r="JZ2" s="135" t="s">
        <v>31</v>
      </c>
      <c r="KA2" s="135"/>
      <c r="KB2" s="135"/>
      <c r="KC2" s="135"/>
      <c r="KD2" s="80" t="s">
        <v>24</v>
      </c>
      <c r="KE2" s="16" t="s">
        <v>23</v>
      </c>
      <c r="KF2" s="102" t="s">
        <v>68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79" t="s">
        <v>24</v>
      </c>
      <c r="KZ2" s="17" t="s">
        <v>23</v>
      </c>
      <c r="LA2" s="101" t="s">
        <v>68</v>
      </c>
      <c r="LB2" s="17" t="s">
        <v>22</v>
      </c>
      <c r="LC2" s="17" t="s">
        <v>17</v>
      </c>
      <c r="LD2" s="135" t="s">
        <v>26</v>
      </c>
      <c r="LE2" s="135"/>
      <c r="LF2" s="135"/>
      <c r="LG2" s="135"/>
      <c r="LH2" s="135" t="s">
        <v>29</v>
      </c>
      <c r="LI2" s="135"/>
      <c r="LJ2" s="135"/>
      <c r="LK2" s="135"/>
      <c r="LL2" s="135" t="s">
        <v>30</v>
      </c>
      <c r="LM2" s="135"/>
      <c r="LN2" s="135"/>
      <c r="LO2" s="135"/>
      <c r="LP2" s="135" t="s">
        <v>31</v>
      </c>
      <c r="LQ2" s="135"/>
      <c r="LR2" s="135"/>
      <c r="LS2" s="135"/>
      <c r="LT2" s="80" t="s">
        <v>24</v>
      </c>
      <c r="LU2" s="16" t="s">
        <v>23</v>
      </c>
      <c r="LV2" s="102" t="s">
        <v>68</v>
      </c>
      <c r="LW2" s="16" t="s">
        <v>22</v>
      </c>
      <c r="LX2" s="16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68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9"/>
      <c r="K3" s="128"/>
      <c r="L3" s="129"/>
      <c r="M3" s="128"/>
      <c r="N3" s="127"/>
      <c r="O3" s="128"/>
      <c r="P3" s="128"/>
      <c r="Q3" s="76" t="s">
        <v>14</v>
      </c>
      <c r="R3" s="76" t="s">
        <v>7</v>
      </c>
      <c r="S3" s="76" t="s">
        <v>27</v>
      </c>
      <c r="T3" s="76" t="s">
        <v>28</v>
      </c>
      <c r="U3" s="76" t="s">
        <v>14</v>
      </c>
      <c r="V3" s="76" t="s">
        <v>7</v>
      </c>
      <c r="W3" s="76" t="s">
        <v>27</v>
      </c>
      <c r="X3" s="76" t="s">
        <v>28</v>
      </c>
      <c r="Y3" s="76" t="s">
        <v>14</v>
      </c>
      <c r="Z3" s="76" t="s">
        <v>7</v>
      </c>
      <c r="AA3" s="76" t="s">
        <v>27</v>
      </c>
      <c r="AB3" s="76" t="s">
        <v>28</v>
      </c>
      <c r="AC3" s="77" t="s">
        <v>14</v>
      </c>
      <c r="AD3" s="77" t="s">
        <v>7</v>
      </c>
      <c r="AE3" s="77" t="s">
        <v>27</v>
      </c>
      <c r="AF3" s="77" t="s">
        <v>28</v>
      </c>
      <c r="AG3" s="76" t="s">
        <v>51</v>
      </c>
      <c r="AH3" s="10"/>
      <c r="AI3" s="9"/>
      <c r="AJ3" s="10"/>
      <c r="AK3" s="10"/>
      <c r="AL3" s="10"/>
      <c r="AM3" s="75" t="s">
        <v>14</v>
      </c>
      <c r="AN3" s="75" t="s">
        <v>7</v>
      </c>
      <c r="AO3" s="75" t="s">
        <v>27</v>
      </c>
      <c r="AP3" s="75" t="s">
        <v>28</v>
      </c>
      <c r="AQ3" s="75" t="s">
        <v>14</v>
      </c>
      <c r="AR3" s="75" t="s">
        <v>7</v>
      </c>
      <c r="AS3" s="75" t="s">
        <v>27</v>
      </c>
      <c r="AT3" s="75" t="s">
        <v>28</v>
      </c>
      <c r="AU3" s="75" t="s">
        <v>14</v>
      </c>
      <c r="AV3" s="75" t="s">
        <v>7</v>
      </c>
      <c r="AW3" s="75" t="s">
        <v>27</v>
      </c>
      <c r="AX3" s="75" t="s">
        <v>28</v>
      </c>
      <c r="AY3" s="78" t="s">
        <v>14</v>
      </c>
      <c r="AZ3" s="78" t="s">
        <v>7</v>
      </c>
      <c r="BA3" s="78" t="s">
        <v>27</v>
      </c>
      <c r="BB3" s="78" t="s">
        <v>28</v>
      </c>
      <c r="BC3" s="75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76" t="s">
        <v>14</v>
      </c>
      <c r="CH3" s="76" t="s">
        <v>7</v>
      </c>
      <c r="CI3" s="76" t="s">
        <v>27</v>
      </c>
      <c r="CJ3" s="76" t="s">
        <v>28</v>
      </c>
      <c r="CK3" s="76" t="s">
        <v>14</v>
      </c>
      <c r="CL3" s="76" t="s">
        <v>7</v>
      </c>
      <c r="CM3" s="76" t="s">
        <v>27</v>
      </c>
      <c r="CN3" s="76" t="s">
        <v>28</v>
      </c>
      <c r="CO3" s="76" t="s">
        <v>14</v>
      </c>
      <c r="CP3" s="76" t="s">
        <v>7</v>
      </c>
      <c r="CQ3" s="76" t="s">
        <v>27</v>
      </c>
      <c r="CR3" s="76" t="s">
        <v>28</v>
      </c>
      <c r="CS3" s="77" t="s">
        <v>14</v>
      </c>
      <c r="CT3" s="77" t="s">
        <v>7</v>
      </c>
      <c r="CU3" s="77" t="s">
        <v>27</v>
      </c>
      <c r="CV3" s="77" t="s">
        <v>28</v>
      </c>
      <c r="CW3" s="10"/>
      <c r="CX3" s="9"/>
      <c r="CY3" s="10"/>
      <c r="CZ3" s="10"/>
      <c r="DA3" s="10"/>
      <c r="DB3" s="78" t="s">
        <v>14</v>
      </c>
      <c r="DC3" s="78" t="s">
        <v>7</v>
      </c>
      <c r="DD3" s="78" t="s">
        <v>27</v>
      </c>
      <c r="DE3" s="78" t="s">
        <v>28</v>
      </c>
      <c r="DF3" s="78" t="s">
        <v>14</v>
      </c>
      <c r="DG3" s="78" t="s">
        <v>7</v>
      </c>
      <c r="DH3" s="78" t="s">
        <v>27</v>
      </c>
      <c r="DI3" s="78" t="s">
        <v>28</v>
      </c>
      <c r="DJ3" s="78" t="s">
        <v>14</v>
      </c>
      <c r="DK3" s="78" t="s">
        <v>7</v>
      </c>
      <c r="DL3" s="78" t="s">
        <v>27</v>
      </c>
      <c r="DM3" s="78" t="s">
        <v>28</v>
      </c>
      <c r="DN3" s="78" t="s">
        <v>14</v>
      </c>
      <c r="DO3" s="78" t="s">
        <v>7</v>
      </c>
      <c r="DP3" s="78" t="s">
        <v>27</v>
      </c>
      <c r="DQ3" s="78" t="s">
        <v>28</v>
      </c>
      <c r="DR3" s="13"/>
      <c r="DS3" s="16"/>
      <c r="DT3" s="13"/>
      <c r="DU3" s="16"/>
      <c r="DV3" s="16"/>
      <c r="DW3" s="77" t="s">
        <v>14</v>
      </c>
      <c r="DX3" s="77" t="s">
        <v>7</v>
      </c>
      <c r="DY3" s="77" t="s">
        <v>27</v>
      </c>
      <c r="DZ3" s="77" t="s">
        <v>28</v>
      </c>
      <c r="EA3" s="77" t="s">
        <v>14</v>
      </c>
      <c r="EB3" s="77" t="s">
        <v>7</v>
      </c>
      <c r="EC3" s="77" t="s">
        <v>27</v>
      </c>
      <c r="ED3" s="77" t="s">
        <v>28</v>
      </c>
      <c r="EE3" s="77" t="s">
        <v>14</v>
      </c>
      <c r="EF3" s="77" t="s">
        <v>7</v>
      </c>
      <c r="EG3" s="77" t="s">
        <v>27</v>
      </c>
      <c r="EH3" s="77" t="s">
        <v>28</v>
      </c>
      <c r="EI3" s="77" t="s">
        <v>14</v>
      </c>
      <c r="EJ3" s="77" t="s">
        <v>7</v>
      </c>
      <c r="EK3" s="77" t="s">
        <v>27</v>
      </c>
      <c r="EL3" s="77" t="s">
        <v>28</v>
      </c>
      <c r="EM3" s="10"/>
      <c r="EN3" s="17"/>
      <c r="EO3" s="10"/>
      <c r="EP3" s="17"/>
      <c r="EQ3" s="17"/>
      <c r="ER3" s="78" t="s">
        <v>14</v>
      </c>
      <c r="ES3" s="78" t="s">
        <v>7</v>
      </c>
      <c r="ET3" s="78" t="s">
        <v>27</v>
      </c>
      <c r="EU3" s="78" t="s">
        <v>28</v>
      </c>
      <c r="EV3" s="78" t="s">
        <v>14</v>
      </c>
      <c r="EW3" s="78" t="s">
        <v>7</v>
      </c>
      <c r="EX3" s="78" t="s">
        <v>27</v>
      </c>
      <c r="EY3" s="78" t="s">
        <v>28</v>
      </c>
      <c r="EZ3" s="78" t="s">
        <v>14</v>
      </c>
      <c r="FA3" s="78" t="s">
        <v>7</v>
      </c>
      <c r="FB3" s="78" t="s">
        <v>27</v>
      </c>
      <c r="FC3" s="78" t="s">
        <v>28</v>
      </c>
      <c r="FD3" s="78" t="s">
        <v>14</v>
      </c>
      <c r="FE3" s="78" t="s">
        <v>7</v>
      </c>
      <c r="FF3" s="78" t="s">
        <v>27</v>
      </c>
      <c r="FG3" s="78" t="s">
        <v>28</v>
      </c>
      <c r="FH3" s="13"/>
      <c r="FI3" s="16"/>
      <c r="FJ3" s="13"/>
      <c r="FK3" s="16"/>
      <c r="FL3" s="16"/>
      <c r="FM3" s="77" t="s">
        <v>14</v>
      </c>
      <c r="FN3" s="77" t="s">
        <v>7</v>
      </c>
      <c r="FO3" s="77" t="s">
        <v>27</v>
      </c>
      <c r="FP3" s="77" t="s">
        <v>28</v>
      </c>
      <c r="FQ3" s="77" t="s">
        <v>14</v>
      </c>
      <c r="FR3" s="77" t="s">
        <v>7</v>
      </c>
      <c r="FS3" s="77" t="s">
        <v>27</v>
      </c>
      <c r="FT3" s="77" t="s">
        <v>28</v>
      </c>
      <c r="FU3" s="77" t="s">
        <v>14</v>
      </c>
      <c r="FV3" s="77" t="s">
        <v>7</v>
      </c>
      <c r="FW3" s="77" t="s">
        <v>27</v>
      </c>
      <c r="FX3" s="77" t="s">
        <v>28</v>
      </c>
      <c r="FY3" s="77" t="s">
        <v>14</v>
      </c>
      <c r="FZ3" s="77" t="s">
        <v>7</v>
      </c>
      <c r="GA3" s="77" t="s">
        <v>27</v>
      </c>
      <c r="GB3" s="77" t="s">
        <v>28</v>
      </c>
      <c r="GC3" s="10"/>
      <c r="GD3" s="17"/>
      <c r="GE3" s="10"/>
      <c r="GF3" s="17"/>
      <c r="GG3" s="17"/>
      <c r="GH3" s="78" t="s">
        <v>14</v>
      </c>
      <c r="GI3" s="78" t="s">
        <v>7</v>
      </c>
      <c r="GJ3" s="78" t="s">
        <v>27</v>
      </c>
      <c r="GK3" s="78" t="s">
        <v>28</v>
      </c>
      <c r="GL3" s="78" t="s">
        <v>14</v>
      </c>
      <c r="GM3" s="78" t="s">
        <v>7</v>
      </c>
      <c r="GN3" s="78" t="s">
        <v>27</v>
      </c>
      <c r="GO3" s="78" t="s">
        <v>28</v>
      </c>
      <c r="GP3" s="78" t="s">
        <v>14</v>
      </c>
      <c r="GQ3" s="78" t="s">
        <v>7</v>
      </c>
      <c r="GR3" s="78" t="s">
        <v>27</v>
      </c>
      <c r="GS3" s="78" t="s">
        <v>28</v>
      </c>
      <c r="GT3" s="78" t="s">
        <v>14</v>
      </c>
      <c r="GU3" s="78" t="s">
        <v>7</v>
      </c>
      <c r="GV3" s="78" t="s">
        <v>27</v>
      </c>
      <c r="GW3" s="78" t="s">
        <v>28</v>
      </c>
      <c r="GX3" s="13"/>
      <c r="GY3" s="16"/>
      <c r="GZ3" s="13"/>
      <c r="HA3" s="16"/>
      <c r="HB3" s="16"/>
      <c r="HC3" s="77" t="s">
        <v>14</v>
      </c>
      <c r="HD3" s="77" t="s">
        <v>7</v>
      </c>
      <c r="HE3" s="77" t="s">
        <v>27</v>
      </c>
      <c r="HF3" s="77" t="s">
        <v>28</v>
      </c>
      <c r="HG3" s="77" t="s">
        <v>14</v>
      </c>
      <c r="HH3" s="77" t="s">
        <v>7</v>
      </c>
      <c r="HI3" s="77" t="s">
        <v>27</v>
      </c>
      <c r="HJ3" s="77" t="s">
        <v>28</v>
      </c>
      <c r="HK3" s="77" t="s">
        <v>14</v>
      </c>
      <c r="HL3" s="77" t="s">
        <v>7</v>
      </c>
      <c r="HM3" s="77" t="s">
        <v>27</v>
      </c>
      <c r="HN3" s="77" t="s">
        <v>28</v>
      </c>
      <c r="HO3" s="77" t="s">
        <v>14</v>
      </c>
      <c r="HP3" s="77" t="s">
        <v>7</v>
      </c>
      <c r="HQ3" s="77" t="s">
        <v>27</v>
      </c>
      <c r="HR3" s="77" t="s">
        <v>28</v>
      </c>
      <c r="HS3" s="10"/>
      <c r="HT3" s="17"/>
      <c r="HU3" s="10"/>
      <c r="HV3" s="17"/>
      <c r="HW3" s="17"/>
      <c r="HX3" s="78" t="s">
        <v>14</v>
      </c>
      <c r="HY3" s="78" t="s">
        <v>7</v>
      </c>
      <c r="HZ3" s="78" t="s">
        <v>27</v>
      </c>
      <c r="IA3" s="78" t="s">
        <v>28</v>
      </c>
      <c r="IB3" s="78" t="s">
        <v>14</v>
      </c>
      <c r="IC3" s="78" t="s">
        <v>7</v>
      </c>
      <c r="ID3" s="78" t="s">
        <v>27</v>
      </c>
      <c r="IE3" s="78" t="s">
        <v>28</v>
      </c>
      <c r="IF3" s="78" t="s">
        <v>14</v>
      </c>
      <c r="IG3" s="78" t="s">
        <v>7</v>
      </c>
      <c r="IH3" s="78" t="s">
        <v>27</v>
      </c>
      <c r="II3" s="78" t="s">
        <v>28</v>
      </c>
      <c r="IJ3" s="78" t="s">
        <v>14</v>
      </c>
      <c r="IK3" s="78" t="s">
        <v>7</v>
      </c>
      <c r="IL3" s="78" t="s">
        <v>27</v>
      </c>
      <c r="IM3" s="78" t="s">
        <v>28</v>
      </c>
      <c r="IN3" s="13"/>
      <c r="IO3" s="16"/>
      <c r="IP3" s="13"/>
      <c r="IQ3" s="16"/>
      <c r="IR3" s="16"/>
      <c r="IS3" s="77" t="s">
        <v>14</v>
      </c>
      <c r="IT3" s="77" t="s">
        <v>7</v>
      </c>
      <c r="IU3" s="77" t="s">
        <v>27</v>
      </c>
      <c r="IV3" s="77" t="s">
        <v>28</v>
      </c>
      <c r="IW3" s="77" t="s">
        <v>14</v>
      </c>
      <c r="IX3" s="77" t="s">
        <v>7</v>
      </c>
      <c r="IY3" s="77" t="s">
        <v>27</v>
      </c>
      <c r="IZ3" s="77" t="s">
        <v>28</v>
      </c>
      <c r="JA3" s="77" t="s">
        <v>14</v>
      </c>
      <c r="JB3" s="77" t="s">
        <v>7</v>
      </c>
      <c r="JC3" s="77" t="s">
        <v>27</v>
      </c>
      <c r="JD3" s="77" t="s">
        <v>28</v>
      </c>
      <c r="JE3" s="77" t="s">
        <v>14</v>
      </c>
      <c r="JF3" s="77" t="s">
        <v>7</v>
      </c>
      <c r="JG3" s="77" t="s">
        <v>27</v>
      </c>
      <c r="JH3" s="77" t="s">
        <v>28</v>
      </c>
      <c r="JI3" s="10"/>
      <c r="JJ3" s="17"/>
      <c r="JK3" s="10"/>
      <c r="JL3" s="17"/>
      <c r="JM3" s="17"/>
      <c r="JN3" s="78" t="s">
        <v>14</v>
      </c>
      <c r="JO3" s="78" t="s">
        <v>7</v>
      </c>
      <c r="JP3" s="78" t="s">
        <v>27</v>
      </c>
      <c r="JQ3" s="78" t="s">
        <v>28</v>
      </c>
      <c r="JR3" s="78" t="s">
        <v>14</v>
      </c>
      <c r="JS3" s="78" t="s">
        <v>7</v>
      </c>
      <c r="JT3" s="78" t="s">
        <v>27</v>
      </c>
      <c r="JU3" s="78" t="s">
        <v>28</v>
      </c>
      <c r="JV3" s="78" t="s">
        <v>14</v>
      </c>
      <c r="JW3" s="78" t="s">
        <v>7</v>
      </c>
      <c r="JX3" s="78" t="s">
        <v>27</v>
      </c>
      <c r="JY3" s="78" t="s">
        <v>28</v>
      </c>
      <c r="JZ3" s="78" t="s">
        <v>14</v>
      </c>
      <c r="KA3" s="78" t="s">
        <v>7</v>
      </c>
      <c r="KB3" s="78" t="s">
        <v>27</v>
      </c>
      <c r="KC3" s="78" t="s">
        <v>28</v>
      </c>
      <c r="KD3" s="13"/>
      <c r="KE3" s="16"/>
      <c r="KF3" s="13"/>
      <c r="KG3" s="16"/>
      <c r="KH3" s="16"/>
      <c r="KI3" s="77" t="s">
        <v>14</v>
      </c>
      <c r="KJ3" s="77" t="s">
        <v>7</v>
      </c>
      <c r="KK3" s="77" t="s">
        <v>27</v>
      </c>
      <c r="KL3" s="77" t="s">
        <v>28</v>
      </c>
      <c r="KM3" s="77" t="s">
        <v>14</v>
      </c>
      <c r="KN3" s="77" t="s">
        <v>7</v>
      </c>
      <c r="KO3" s="77" t="s">
        <v>27</v>
      </c>
      <c r="KP3" s="77" t="s">
        <v>28</v>
      </c>
      <c r="KQ3" s="77" t="s">
        <v>14</v>
      </c>
      <c r="KR3" s="77" t="s">
        <v>7</v>
      </c>
      <c r="KS3" s="77" t="s">
        <v>27</v>
      </c>
      <c r="KT3" s="77" t="s">
        <v>28</v>
      </c>
      <c r="KU3" s="77" t="s">
        <v>14</v>
      </c>
      <c r="KV3" s="77" t="s">
        <v>7</v>
      </c>
      <c r="KW3" s="77" t="s">
        <v>27</v>
      </c>
      <c r="KX3" s="77" t="s">
        <v>28</v>
      </c>
      <c r="KY3" s="10"/>
      <c r="KZ3" s="17"/>
      <c r="LA3" s="10"/>
      <c r="LB3" s="17"/>
      <c r="LC3" s="17"/>
      <c r="LD3" s="78" t="s">
        <v>14</v>
      </c>
      <c r="LE3" s="78" t="s">
        <v>7</v>
      </c>
      <c r="LF3" s="78" t="s">
        <v>27</v>
      </c>
      <c r="LG3" s="78" t="s">
        <v>28</v>
      </c>
      <c r="LH3" s="78" t="s">
        <v>14</v>
      </c>
      <c r="LI3" s="78" t="s">
        <v>7</v>
      </c>
      <c r="LJ3" s="78" t="s">
        <v>27</v>
      </c>
      <c r="LK3" s="78" t="s">
        <v>28</v>
      </c>
      <c r="LL3" s="78" t="s">
        <v>14</v>
      </c>
      <c r="LM3" s="78" t="s">
        <v>7</v>
      </c>
      <c r="LN3" s="78" t="s">
        <v>27</v>
      </c>
      <c r="LO3" s="78" t="s">
        <v>28</v>
      </c>
      <c r="LP3" s="78" t="s">
        <v>14</v>
      </c>
      <c r="LQ3" s="78" t="s">
        <v>7</v>
      </c>
      <c r="LR3" s="78" t="s">
        <v>27</v>
      </c>
      <c r="LS3" s="78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IF(AND(F4="P",G4="P"),SUMPRODUCT((F$4:F$16="P")*(G$4:G$16="P")*(E$4:E$16&gt;E4))+1,IF(G4="P",SUMPRODUCT((F$4:F$16="")*(G$4:G$16="P")*(E$4:E$16&gt;E4))+1+SUMPRODUCT((F$4:F$16="P")*(G$4:G$16="P")),""))</f>
        <v>1</v>
      </c>
      <c r="B4" s="8" t="s">
        <v>131</v>
      </c>
      <c r="C4" s="4" t="s">
        <v>5</v>
      </c>
      <c r="D4" s="5">
        <v>2001</v>
      </c>
      <c r="E4" s="15">
        <f>SUM(J4:N4)</f>
        <v>201.50000000000003</v>
      </c>
      <c r="F4" s="3" t="str">
        <f>IF(OR(AND(AH4&gt;=AL$18,AI4&gt;=AL$22,AI4&lt;&gt;"",AG4=""),AND(BD4&gt;=BH$18,BE4&gt;=BH$22,BE4&lt;&gt;"",BC4=""),AND(BZ4&gt;=CD$18,CA4&gt;=CD$22,CA4&lt;&gt;"",BY4=""),AND(CW4&gt;=DA$18,CX4&gt;=DA$22,CX4&lt;&gt;""),AND(DR4&gt;=DV$18,DS4&gt;=DV$22,DS4&lt;&gt;""),AND(EM4&gt;=EQ$18,EN4&gt;=EQ$22,EN4&lt;&gt;""),AND(FH4&gt;=FL$18,FI4&gt;=FL$22,FI4&lt;&gt;""),AND(GC4&gt;=GG$18,GD4&gt;=GG$22,GD4&lt;&gt;""),AND(GX4&gt;=HB$18,GY4&gt;=HB$22,GY4&lt;&gt;""),AND(HS4&gt;=HW$18,HT4&gt;=HW$22,HT4&lt;&gt;""),AND(IN4&gt;=IR$18,IO4&gt;=IR$22,IO4&lt;&gt;""),AND(JI4&gt;=JM$18,JJ4&gt;=JM$22,JJ4&lt;&gt;""),AND(KD4&gt;=KH$18,KE4&gt;=KH$22,KE4&lt;&gt;""),AND(KY4&gt;=LC$18,KZ4&gt;=LC$22,KZ4&lt;&gt;""),AND(LT4&gt;=LX$18,LU4&gt;=LX$22,LU4&lt;&gt;"")),"P","")</f>
        <v>P</v>
      </c>
      <c r="G4" s="3" t="str">
        <f>IF(OR(AND(AI4&gt;=AL$22,AI4&lt;&gt;"",AG4=""),AND(BE4&gt;=BH$22,BE4&lt;&gt;"",BC4=""),AND(CA4&gt;=CD$22,CA4&lt;&gt;"",BY4=""),AND(CX4&gt;=DA$22,CX4&lt;&gt;""),AND(DS4&gt;=DV$22,DS4&lt;&gt;""),AND(EN4&gt;=EQ$22,EN4&lt;&gt;""),AND(FI4&gt;=FL$22,FI4&lt;&gt;""),AND(GD4&gt;=GG$22,GD4&lt;&gt;""),AND(GY4&gt;=HB$22,GY4&lt;&gt;""),AND(HT4&gt;=HW$22,HT4&lt;&gt;""),AND(IO4&gt;=IR$22,IO4&lt;&gt;""),AND(JJ4&gt;=JM$22,JJ4&lt;&gt;""),AND(KE4&gt;=KH$22,KE4&lt;&gt;""),AND(KZ4&gt;=LC$22,KZ4&lt;&gt;""),AND(LU4&gt;=LX$22,LU4&lt;&gt;"")),"P","")</f>
        <v>P</v>
      </c>
      <c r="H4" s="116" t="str">
        <f>IF(AND(G4="P",F4=""),"No DD",IF(OR(AND(AH4&gt;=AL$21,AH4&lt;&gt;"",AI4&gt;=AL$25,AI4&lt;&gt;"",AG4=""),AND(BD4&gt;=BH$21,BD4&lt;&gt;"",BE4&gt;=BH$25,BE4&lt;&gt;"",BC4=""),AND(BZ4&gt;=CD$21,BZ4&lt;&gt;"",CA4&gt;=CD$25,CA4&lt;&gt;"",BY4=""),AND(CW4&gt;=DA$21,CW4&lt;&gt;"",CX4&gt;=DA$25,CX4&lt;&gt;""),AND(DR4&gt;=DV$21,DR4&lt;&gt;"",DS4&gt;=DV$25,DS4&lt;&gt;""),AND(EM4&gt;=EQ$21,EM4&lt;&gt;"",EN4&gt;=EQ$25,EN4&lt;&gt;""),AND(FH4&gt;=FL$21,FH4&lt;&gt;"",FI4&gt;=FL$25,FI4&lt;&gt;""),AND(GC4&gt;=GG$21,GC4&lt;&gt;"",GD4&gt;=GG$25,GD4&lt;&gt;""),AND(GX4&gt;=HB$21,GX4&lt;&gt;"",GY4&gt;=HB$25,GY4&lt;&gt;""),AND(HS4&gt;=HW$21,HS4&lt;&gt;"",HT4&gt;=HW$25,HT4&lt;&gt;""),AND(IN4&gt;=IR$21,IN4&lt;&gt;"",IO4&gt;=IR$25,IO4&lt;&gt;""),AND(JI4&gt;=JM$21,JI4&lt;&gt;"",JJ4&gt;=JM$25,JJ4&lt;&gt;""),AND(KD4&gt;=KH$21,KD4&lt;&gt;"",KE4&gt;=KH$25,KE4&lt;&gt;""),AND(KY4&gt;=LC$21,KY4&lt;&gt;"",KZ4&gt;=LC$25,KZ4&lt;&gt;""),AND(LT4&gt;=LX$21,LT4&lt;&gt;"",LU4&gt;=LX$25,LU4&lt;&gt;"")),"Merit",IF(OR(AND(AH4&gt;=AL$20,AH4&lt;&gt;"",AI4&gt;=AL$24,AI4&lt;&gt;"",AG4=""),AND(BD4&gt;=BH$20,BD4&lt;&gt;"",BE4&gt;=BH$24,BE4&lt;&gt;"",BC4=""),AND(BZ4&gt;=CD$20,BZ4&lt;&gt;"",CA4&gt;=CD$24,CA4&lt;&gt;"",BY4=""),AND(CW4&gt;=DA$20,CW4&lt;&gt;"",CX4&gt;=DA$24,CX4&lt;&gt;""),AND(DR4&gt;=DV$20,DR4&lt;&gt;"",DS4&gt;=DV$24,DS4&lt;&gt;""),AND(EM4&gt;=EQ$20,EM4&lt;&gt;"",EN4&gt;=EQ$24,EN4&lt;&gt;""),AND(FH4&gt;=FL$20,FH4&lt;&gt;"",FI4&gt;=FL$24,FI4&lt;&gt;""),AND(GC4&gt;=GG$20,GC4&lt;&gt;"",GD4&gt;=GG$24,GD4&lt;&gt;""),AND(GX4&gt;=HB$20,GX4&lt;&gt;"",GY4&gt;=HB$24,GY4&lt;&gt;""),AND(HS4&gt;=HW$20,HS4&lt;&gt;"",HT4&gt;=HW$24,HT4&lt;&gt;""),AND(IN4&gt;=IR$20,IN4&lt;&gt;"",IO4&gt;=IR$24,IO4&lt;&gt;""),AND(JI4&gt;=JM$20,JI4&lt;&gt;"",JJ4&gt;=JM$24,JJ4&lt;&gt;""),AND(KD4&gt;=KH$20,KD4&lt;&gt;"",KE4&gt;=KH$24,KE4&lt;&gt;""),AND(KY4&gt;=LC$20,KY4&lt;&gt;"",KZ4&gt;=LC$24,KZ4&lt;&gt;""),AND(LT4&gt;=LX$20,LT4&lt;&gt;"",LU4&gt;=LX$24,LU4&lt;&gt;"")),"Excellence",IF(OR(AND(AH4&gt;=AL$19,AH4&lt;&gt;"",AI4&gt;=AL$23,AI4&lt;&gt;"",AG4=""),AND(BD4&gt;=BH$19,BD4&lt;&gt;"",BE4&gt;=BH$23,BE4&lt;&gt;"",BC4=""),AND(BZ4&gt;=CD$19,BZ4&lt;&gt;"",CA4&gt;=CD$23,CA4&lt;&gt;"",BY4=""),AND(CW4&gt;=DA$19,CW4&lt;&gt;"",CX4&gt;=DA$23,CX4&lt;&gt;""),AND(DR4&gt;=DV$19,DR4&lt;&gt;"",DS4&gt;=DV$23,DS4&lt;&gt;""),AND(EM4&gt;=EQ$19,EM4&lt;&gt;"",EN4&gt;=EQ$23,EN4&lt;&gt;""),AND(FH4&gt;=FL$19,FH4&lt;&gt;"",FI4&gt;=FL$23,FI4&lt;&gt;""),AND(GC4&gt;=GG$19,GC4&lt;&gt;"",GD4&gt;=GG$23,GD4&lt;&gt;""),AND(GX4&gt;=HB$19,GX4&lt;&gt;"",GY4&gt;=HB$23,GY4&lt;&gt;""),AND(HS4&gt;=HW$19,HS4&lt;&gt;"",HT4&gt;=HW$23,HT4&lt;&gt;""),AND(IN4&gt;=IR$19,IN4&lt;&gt;"",IO4&gt;=IR$23,IO4&lt;&gt;""),AND(JI4&gt;=JM$19,JI4&lt;&gt;"",JJ4&gt;=JM$23,JJ4&lt;&gt;""),AND(KD4&gt;=KH$19,KD4&lt;&gt;"",KE4&gt;=KH$23,KE4&lt;&gt;""),AND(KY4&gt;=LC$19,KY4&lt;&gt;"",KZ4&gt;=LC$23,KZ4&lt;&gt;""),AND(LT4&gt;=LX$19,LT4&lt;&gt;"",LU4&gt;=LX$23,LU4&lt;&gt;"")),"Worlds Team",IF(OR(AND(AH4&gt;=AL$18,AH4&lt;&gt;"",AI4&gt;=AL$22,AI4&lt;&gt;"",AG4=""),AND(BD4&gt;=BH$18,BD4&lt;&gt;"",BE4&gt;=BH$22,BE4&lt;&gt;"",BC4=""),AND(BZ4&gt;=CD$18,BZ4&lt;&gt;"",CA4&gt;=CD$22,CA4&lt;&gt;"",BY4=""),AND(CW4&gt;=DA$18,CW4&lt;&gt;"",CX4&gt;=DA$22,CX4&lt;&gt;""),AND(DR4&gt;=DV$18,DR4&lt;&gt;"",DS4&gt;=DV$22,DS4&lt;&gt;""),AND(EM4&gt;=EQ$18,EM4&lt;&gt;"",EN4&gt;=EQ$22,EN4&lt;&gt;""),AND(FH4&gt;=FL$18,FH4&lt;&gt;"",FI4&gt;=FL$22,FI4&lt;&gt;""),AND(GC4&gt;=GG$18,GC4&lt;&gt;"",GD4&gt;=GG$22,GD4&lt;&gt;""),AND(GX4&gt;=HB$18,GX4&lt;&gt;"",GY4&gt;=HB$22,GY4&lt;&gt;""),AND(HS4&gt;=HW$18,HS4&lt;&gt;"",HT4&gt;=HW$22,HT4&lt;&gt;""),AND(IN4&gt;=IR$18,IN4&lt;&gt;"",IO4&gt;=IR$22,IO4&lt;&gt;""),AND(JI4&gt;=JM$18,JI4&lt;&gt;"",JJ4&gt;=JM$22,JJ4&lt;&gt;""),AND(KD4&gt;=KH$18,KD4&lt;&gt;"",KE4&gt;=KH$22,KE4&lt;&gt;""),AND(KY4&gt;=LC$18,KY4&lt;&gt;"",KZ4&gt;=LC$22,KZ4&lt;&gt;""),AND(LT4&gt;=LX$18,LT4&lt;&gt;"",LU4&gt;=LX$22,LU4&lt;&gt;"")),"National Team","")))))</f>
        <v>National Team</v>
      </c>
      <c r="I4" s="3" t="str">
        <f>IF(OR(H4="Worlds Team",H4="Excellence",H4="Merit"),"P","")</f>
        <v/>
      </c>
      <c r="J4" s="14">
        <f>MAX(AL4,BH4,CD4)</f>
        <v>132.30000000000001</v>
      </c>
      <c r="K4" s="14" t="str">
        <f>IF(J4=0,"",IF(J4=CD4,$BI$1,IF(J4=BH4,$AM$1,IF(J4=AL4,$Q$1,""))))</f>
        <v>2019 Elite Canada</v>
      </c>
      <c r="L4" s="14">
        <f>IF(J4=AL4,MAX(BE4,BG4,CA4,CC4),IF(J4=BH4,MAX(AI4,AK4,CA4,CC4),MAX(AI4,AK4,BE4,BG4)))</f>
        <v>68.100000000000009</v>
      </c>
      <c r="M4" s="14" t="str">
        <f>IF(L4=0,"",IF(AND(J4&lt;&gt;CD4,OR(L4=CA4,L4=CC4)),$BI$1,IF(AND(J4&lt;&gt;BH4,OR(L4=BG4,L4=BE4)),$AM$1,IF(OR(L4=AK4,L4=AI4),$Q$1,""))))</f>
        <v>2019 Nationals</v>
      </c>
      <c r="N4" s="14">
        <f>IF(MAX(CE4:CF4)&gt;0,MAX(CE4:CF4),"")</f>
        <v>1.0999999999999943</v>
      </c>
      <c r="O4" s="24" t="str">
        <f>IF(N4="","",IF(N4=CE4,"(4 Pass)",IF(N4=CF4,"(2 Pass)")))</f>
        <v>(4 Pass)</v>
      </c>
      <c r="P4" s="14" t="str">
        <f>IF(N4="","",IF(N4=CE4,IF(N4+IF(J4="",0,J4)=DA4,$CG$1,IF(N4+IF(J4="",0,J4)=DV4,$DB$1,IF(N4+IF(J4="",0,J4)=EQ4,$DW$1,IF(N4+IF(J4="",0,J4)=FL4,$ER$1,IF(N4+IF(J4="",0,J4)=GG4,$FM$1,IF(N4+IF(J4="",0,J4)=HB4,$GH$1,IF(N4+IF(J4="",0,J4)=HW4,$HC$1,IF(N4+IF(J4="",0,J4)=IR4,$HX$1,IF(N4+IF(J4="",0,J4)=JM4,$IS$1,IF(N4+IF(J4="",0,J4)=KH4,$JN$1,IF(N4+IF(J4="",0,J4)=LC4,$KI$1,IF(N4+IF(J4="",0,J4)=LX4,$LD$1)))))))))))),IF(N4=CF4,IF(OR(N4+IF(L4="",0,L4)=CX4,N4+IF(L4="",0,L4)=CZ4),$CG$1,IF(OR(N4+IF(L4="",0,L4)=DS4,N4+IF(L4="",0,L4)=DU4),$DB$1,IF(OR(N4+IF(L4="",0,L4)=EN4,N4+IF(L4="",0,L4)=EP4),$DW$1,IF(OR(N4+IF(L4="",0,L4)=FI4,N4+IF(L4="",0,L4)=FK4),$ER$1,IF(OR(N4+IF(L4="",0,L4)=GD4,N4+IF(L4="",0,L4)=GF4),$FM$1,IF(OR(N4+IF(L4="",0,L4)=GY4,N4+IF(L4="",0,L4)=HA4),$GH$1,IF(OR(N4+IF(L4="",0,L4)=HT4,N4+IF(L4="",0,L4)=HV4),$HC$1,IF(OR(N4+IF(L4="",0,L4)=IO4,N4+IF(L4="",0,L4)=IQ4),$HX$1,IF(OR(N4+IF(L4="",0,L4)=JJ4,N4+IF(L4="",0,L4)=JL4),$IS$1,IF(OR(N4+IF(L4="",0,L4)=KE4,N4+IF(L4="",0,L4)=KG4),$JN$1,IF(OR(N4+IF(L4="",0,L4)=KZ4,N4+IF(L4="",0,L4)=LB4),$KI$1,IF(OR(N4+IF(L4="",0,L4)=LU4,N4+IF(L4="",0,L4)=LW4),$LD$1)))))))))))))))</f>
        <v>2019 WAGC (Dec 8))</v>
      </c>
      <c r="Q4" s="61">
        <v>28.2</v>
      </c>
      <c r="R4" s="61">
        <v>5.2</v>
      </c>
      <c r="S4" s="61">
        <v>0</v>
      </c>
      <c r="T4" s="61">
        <v>0</v>
      </c>
      <c r="U4" s="61">
        <v>28.2</v>
      </c>
      <c r="V4" s="61">
        <v>5.2</v>
      </c>
      <c r="W4" s="61">
        <v>0</v>
      </c>
      <c r="X4" s="61">
        <v>0.5</v>
      </c>
      <c r="Y4" s="61">
        <v>27.3</v>
      </c>
      <c r="Z4" s="61">
        <v>5.2</v>
      </c>
      <c r="AA4" s="61">
        <v>0.9</v>
      </c>
      <c r="AB4" s="61">
        <v>0</v>
      </c>
      <c r="AC4" s="61">
        <v>29.1</v>
      </c>
      <c r="AD4" s="61">
        <v>5.2</v>
      </c>
      <c r="AE4" s="61">
        <v>0.9</v>
      </c>
      <c r="AF4" s="61">
        <v>0</v>
      </c>
      <c r="AG4" s="72"/>
      <c r="AH4" s="11">
        <f>IF(SUM(R4,V4)&gt;0,SUM(R4,V4),"")</f>
        <v>10.4</v>
      </c>
      <c r="AI4" s="11">
        <f>IF(SUM(Q4:R4,T4:V4,X4)-SUM(S4,W4)&gt;0,SUM(Q4:R4,T4:V4,X4)-SUM(S4,W4),"")</f>
        <v>67.3</v>
      </c>
      <c r="AJ4" s="11">
        <f>IF(SUM(Z4,AD4)&gt;0,SUM(Z4,AD4),"")</f>
        <v>10.4</v>
      </c>
      <c r="AK4" s="11">
        <f>IF(SUM(Y4:Z4,AB4:AD4,AF4)-SUM(AA4,AE4)&gt;0,SUM(Y4:Z4,AB4:AD4,AF4)-SUM(AA4,AE4),"")</f>
        <v>65</v>
      </c>
      <c r="AL4" s="11">
        <f>IF(SUM(AI4,AK4)&gt;0,SUM(AI4,AK4),"")</f>
        <v>132.30000000000001</v>
      </c>
      <c r="AM4" s="36">
        <v>28.2</v>
      </c>
      <c r="AN4" s="36">
        <v>6.8</v>
      </c>
      <c r="AO4" s="36">
        <v>0.9</v>
      </c>
      <c r="AP4" s="36">
        <v>0</v>
      </c>
      <c r="AQ4" s="36">
        <v>28.5</v>
      </c>
      <c r="AR4" s="36">
        <v>6.4</v>
      </c>
      <c r="AS4" s="36">
        <v>0.9</v>
      </c>
      <c r="AT4" s="36">
        <v>0</v>
      </c>
      <c r="AU4" s="36">
        <v>26.4</v>
      </c>
      <c r="AV4" s="36">
        <v>4.8</v>
      </c>
      <c r="AW4" s="36">
        <v>0.3</v>
      </c>
      <c r="AX4" s="36">
        <v>0</v>
      </c>
      <c r="AY4" s="36">
        <v>28.1</v>
      </c>
      <c r="AZ4" s="36">
        <v>6</v>
      </c>
      <c r="BA4" s="36">
        <v>0.9</v>
      </c>
      <c r="BB4" s="36">
        <v>0</v>
      </c>
      <c r="BC4" s="73"/>
      <c r="BD4" s="14">
        <f>IF(SUM(AN4,AR4)&gt;0,SUM(AN4,AR4),"")</f>
        <v>13.2</v>
      </c>
      <c r="BE4" s="14">
        <f>IF(SUM(AM4:AN4,AP4:AR4,AT4)-SUM(AO4,AS4)&gt;0,SUM(AM4:AN4,AP4:AR4,AT4)-SUM(AO4,AS4),"")</f>
        <v>68.100000000000009</v>
      </c>
      <c r="BF4" s="14">
        <f>IF(SUM(AV4,AZ4)&gt;0,SUM(AV4,AZ4),"")</f>
        <v>10.8</v>
      </c>
      <c r="BG4" s="14">
        <f>IF(SUM(AU4:AV4,AX4:AZ4,BB4)-SUM(AW4,BA4)&gt;0,SUM(AU4:AV4,AX4:AZ4,BB4)-SUM(AW4,BA4),"")</f>
        <v>64.099999999999994</v>
      </c>
      <c r="BH4" s="14">
        <f>IF(SUM(BE4,BG4)&gt;0,SUM(BE4,BG4),"")</f>
        <v>132.19999999999999</v>
      </c>
      <c r="BI4" s="61">
        <v>27.8</v>
      </c>
      <c r="BJ4" s="61">
        <v>6.4</v>
      </c>
      <c r="BK4" s="61">
        <v>0.3</v>
      </c>
      <c r="BL4" s="61">
        <v>0</v>
      </c>
      <c r="BM4" s="61">
        <v>27.9</v>
      </c>
      <c r="BN4" s="61">
        <v>5.2</v>
      </c>
      <c r="BO4" s="61">
        <v>0.3</v>
      </c>
      <c r="BP4" s="61">
        <v>0</v>
      </c>
      <c r="BQ4" s="61">
        <v>0</v>
      </c>
      <c r="BR4" s="61">
        <v>0</v>
      </c>
      <c r="BS4" s="61">
        <v>0</v>
      </c>
      <c r="BT4" s="61">
        <v>0</v>
      </c>
      <c r="BU4" s="61">
        <v>0</v>
      </c>
      <c r="BV4" s="61">
        <v>0</v>
      </c>
      <c r="BW4" s="61">
        <v>0</v>
      </c>
      <c r="BX4" s="61">
        <v>0</v>
      </c>
      <c r="BY4" s="72"/>
      <c r="BZ4" s="11">
        <f>IF(SUM(BJ4,BN4)&gt;0,SUM(BJ4,BN4),"")</f>
        <v>11.600000000000001</v>
      </c>
      <c r="CA4" s="11">
        <f>IF(SUM(BI4:BJ4,BL4:BN4,BP4)-SUM(BK4,BO4)&gt;0,SUM(BI4:BJ4,BL4:BN4,BP4)-SUM(BK4,BO4),"")</f>
        <v>66.7</v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>
        <f>IF(SUM(CA4,CC4)&gt;0,SUM(CA4,CC4),"")</f>
        <v>66.7</v>
      </c>
      <c r="CE4" s="23">
        <f>IF(MAX(DA4,DV4,EQ4,FL4,GG4,HB4,HW4,IR4,JM4,KH4,LC4,LX4)-IF(J4="",0,J4)&gt;0.001,MAX(DA4,DV4,EQ4,FL4,GG4,HB4,HW4,IR4,JM4,KH4,LC4,LX4)-IF(J4="",0,J4),"")</f>
        <v>1.0999999999999943</v>
      </c>
      <c r="CF4" s="23" t="str">
        <f>IF(MAX(CX4,CZ4,DS4,DU4,EN4,EP4,FI4,FK4,GD4,GF4,GY4,HA4,HT4,HV4,IO4,IQ4,JJ4,JL4,KE4,KG4,KZ4,LB4,LU4,LW4)-IF(L4="",0,L4)&gt;0.001,MAX(CX4,CZ4,DS4,DU4,EN4,EP4,FI4,FK4,GD4,GF4,GY4,HA4,HT4,HV4,IO4,IQ4,JJ4,JL4,KE4,KG4,KZ4,LB4,LU4,LW4)-IF(L4="",0,L4),"")</f>
        <v/>
      </c>
      <c r="CG4" s="40">
        <v>27.6</v>
      </c>
      <c r="CH4" s="40">
        <v>6</v>
      </c>
      <c r="CI4" s="40">
        <v>1.2</v>
      </c>
      <c r="CJ4" s="40">
        <v>0</v>
      </c>
      <c r="CK4" s="40">
        <v>27.9</v>
      </c>
      <c r="CL4" s="40">
        <v>6.4</v>
      </c>
      <c r="CM4" s="40">
        <v>0</v>
      </c>
      <c r="CN4" s="40">
        <v>0</v>
      </c>
      <c r="CO4" s="40">
        <v>27.6</v>
      </c>
      <c r="CP4" s="40">
        <v>5.2</v>
      </c>
      <c r="CQ4" s="40">
        <v>0</v>
      </c>
      <c r="CR4" s="40">
        <v>0</v>
      </c>
      <c r="CS4" s="40">
        <v>27.1</v>
      </c>
      <c r="CT4" s="40">
        <v>6.8</v>
      </c>
      <c r="CU4" s="40">
        <v>0</v>
      </c>
      <c r="CV4" s="40">
        <v>0</v>
      </c>
      <c r="CW4" s="11">
        <f>IF(SUM(CH4,CL4)&gt;0,SUM(CH4,CL4),"")</f>
        <v>12.4</v>
      </c>
      <c r="CX4" s="11">
        <f>IF(SUM(CG4:CH4,CJ4:CL4,CN4)-SUM(CI4,CM4)&gt;0,SUM(CG4:CH4,CJ4:CL4,CN4)-SUM(CI4,CM4),"")</f>
        <v>66.7</v>
      </c>
      <c r="CY4" s="11">
        <f>IF(SUM(CP4,CT4)&gt;0,SUM(CP4,CT4),"")</f>
        <v>12</v>
      </c>
      <c r="CZ4" s="11">
        <f>IF(SUM(CO4:CP4,CR4:CT4,CV4)-SUM(CQ4,CU4)&gt;0,SUM(CO4:CP4,CR4:CT4,CV4)-SUM(CQ4,CU4),"")</f>
        <v>66.7</v>
      </c>
      <c r="DA4" s="11">
        <f>IF(SUM(CX4,CZ4)&gt;0,SUM(CX4,CZ4),"")</f>
        <v>133.4</v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28</v>
      </c>
      <c r="LZ4" s="61">
        <f>IF($BY4="P",BJ4,(BJ4+AN4)/2)</f>
        <v>6.6</v>
      </c>
      <c r="MA4" s="61">
        <f>IF($BY4="P",BK4,(BK4+AO4)/2)</f>
        <v>0.6</v>
      </c>
      <c r="MB4" s="61">
        <f>IF($BY4="P",BL4,(BL4+AP4)/2)</f>
        <v>0</v>
      </c>
      <c r="MC4" s="61">
        <f>IF($BY4="P",BM4,(BM4+AQ4)/2)</f>
        <v>28.2</v>
      </c>
      <c r="MD4" s="61">
        <f>IF($BY4="P",BN4,(BN4+AR4)/2)</f>
        <v>5.8000000000000007</v>
      </c>
      <c r="ME4" s="61">
        <f>IF($BY4="P",BO4,(BO4+AS4)/2)</f>
        <v>0.6</v>
      </c>
      <c r="MF4" s="61">
        <f>IF($BY4="P",BP4,(BP4+AT4)/2)</f>
        <v>0</v>
      </c>
      <c r="MG4" s="61">
        <f>IF($BY4="P",BQ4,(BQ4+AU4)/2)</f>
        <v>13.2</v>
      </c>
      <c r="MH4" s="61">
        <f>IF($BY4="P",BR4,(BR4+AV4)/2)</f>
        <v>2.4</v>
      </c>
      <c r="MI4" s="61">
        <f>IF($BY4="P",BS4,(BS4+AW4)/2)</f>
        <v>0.15</v>
      </c>
      <c r="MJ4" s="61">
        <f>IF($BY4="P",BT4,(BT4+AX4)/2)</f>
        <v>0</v>
      </c>
      <c r="MK4" s="61">
        <f>IF($BY4="P",BU4,(BU4+AY4)/2)</f>
        <v>14.05</v>
      </c>
      <c r="ML4" s="61">
        <f>IF($BY4="P",BV4,(BV4+AZ4)/2)</f>
        <v>3</v>
      </c>
      <c r="MM4" s="61">
        <f>IF($BY4="P",BW4,(BW4+BA4)/2)</f>
        <v>0.45</v>
      </c>
      <c r="MN4" s="61">
        <f>IF($BY4="P",BX4,(BX4+BB4)/2)</f>
        <v>0</v>
      </c>
      <c r="MO4" s="72" t="s">
        <v>52</v>
      </c>
      <c r="MP4" s="11">
        <f>IF(SUM(LZ4,MD4)&gt;0,SUM(LZ4,MD4),"")</f>
        <v>12.4</v>
      </c>
      <c r="MQ4" s="11">
        <f>IF(SUM(LY4:LZ4,MB4:MD4,MF4)-SUM(MA4,ME4)&gt;0,SUM(LY4:LZ4,MB4:MD4,MF4)-SUM(MA4,ME4),"")</f>
        <v>67.399999999999991</v>
      </c>
      <c r="MR4" s="11">
        <f>IF(SUM(MH4,ML4)&gt;0,SUM(MH4,ML4),"")</f>
        <v>5.4</v>
      </c>
      <c r="MS4" s="11">
        <f>IF(SUM(MG4:MH4,MJ4:ML4,MN4)-SUM(MI4,MM4)&gt;0,SUM(MG4:MH4,MJ4:ML4,MN4)-SUM(MI4,MM4),"")</f>
        <v>32.049999999999997</v>
      </c>
      <c r="MT4" s="11">
        <f>IF(SUM(MQ4,MS4)&gt;0,SUM(MQ4,MS4),"")</f>
        <v>99.449999999999989</v>
      </c>
    </row>
    <row r="5" spans="1:358" x14ac:dyDescent="0.2">
      <c r="A5" s="5">
        <f>IF(AND(F5="P",G5="P"),SUMPRODUCT((F$4:F$16="P")*(G$4:G$16="P")*(E$4:E$16&gt;E5))+1,IF(G5="P",SUMPRODUCT((F$4:F$16="")*(G$4:G$16="P")*(E$4:E$16&gt;E5))+1+SUMPRODUCT((F$4:F$16="P")*(G$4:G$16="P")),""))</f>
        <v>2</v>
      </c>
      <c r="B5" s="8" t="s">
        <v>118</v>
      </c>
      <c r="C5" s="4" t="s">
        <v>116</v>
      </c>
      <c r="D5" s="5">
        <v>2002</v>
      </c>
      <c r="E5" s="15">
        <f>SUM(J5:N5)</f>
        <v>196.32499999999999</v>
      </c>
      <c r="F5" s="3" t="str">
        <f>IF(OR(AND(AH5&gt;=AL$18,AI5&gt;=AL$22,AI5&lt;&gt;"",AG5=""),AND(BD5&gt;=BH$18,BE5&gt;=BH$22,BE5&lt;&gt;"",BC5=""),AND(BZ5&gt;=CD$18,CA5&gt;=CD$22,CA5&lt;&gt;"",BY5=""),AND(CW5&gt;=DA$18,CX5&gt;=DA$22,CX5&lt;&gt;""),AND(DR5&gt;=DV$18,DS5&gt;=DV$22,DS5&lt;&gt;""),AND(EM5&gt;=EQ$18,EN5&gt;=EQ$22,EN5&lt;&gt;""),AND(FH5&gt;=FL$18,FI5&gt;=FL$22,FI5&lt;&gt;""),AND(GC5&gt;=GG$18,GD5&gt;=GG$22,GD5&lt;&gt;""),AND(GX5&gt;=HB$18,GY5&gt;=HB$22,GY5&lt;&gt;""),AND(HS5&gt;=HW$18,HT5&gt;=HW$22,HT5&lt;&gt;""),AND(IN5&gt;=IR$18,IO5&gt;=IR$22,IO5&lt;&gt;""),AND(JI5&gt;=JM$18,JJ5&gt;=JM$22,JJ5&lt;&gt;""),AND(KD5&gt;=KH$18,KE5&gt;=KH$22,KE5&lt;&gt;""),AND(KY5&gt;=LC$18,KZ5&gt;=LC$22,KZ5&lt;&gt;""),AND(LT5&gt;=LX$18,LU5&gt;=LX$22,LU5&lt;&gt;"")),"P","")</f>
        <v>P</v>
      </c>
      <c r="G5" s="3" t="str">
        <f>IF(OR(AND(AI5&gt;=AL$22,AI5&lt;&gt;"",AG5=""),AND(BE5&gt;=BH$22,BE5&lt;&gt;"",BC5=""),AND(CA5&gt;=CD$22,CA5&lt;&gt;"",BY5=""),AND(CX5&gt;=DA$22,CX5&lt;&gt;""),AND(DS5&gt;=DV$22,DS5&lt;&gt;""),AND(EN5&gt;=EQ$22,EN5&lt;&gt;""),AND(FI5&gt;=FL$22,FI5&lt;&gt;""),AND(GD5&gt;=GG$22,GD5&lt;&gt;""),AND(GY5&gt;=HB$22,GY5&lt;&gt;""),AND(HT5&gt;=HW$22,HT5&lt;&gt;""),AND(IO5&gt;=IR$22,IO5&lt;&gt;""),AND(JJ5&gt;=JM$22,JJ5&lt;&gt;""),AND(KE5&gt;=KH$22,KE5&lt;&gt;""),AND(KZ5&gt;=LC$22,KZ5&lt;&gt;""),AND(LU5&gt;=LX$22,LU5&lt;&gt;"")),"P","")</f>
        <v>P</v>
      </c>
      <c r="H5" s="116" t="str">
        <f>IF(AND(G5="P",F5=""),"No DD",IF(OR(AND(AH5&gt;=AL$21,AH5&lt;&gt;"",AI5&gt;=AL$25,AI5&lt;&gt;"",AG5=""),AND(BD5&gt;=BH$21,BD5&lt;&gt;"",BE5&gt;=BH$25,BE5&lt;&gt;"",BC5=""),AND(BZ5&gt;=CD$21,BZ5&lt;&gt;"",CA5&gt;=CD$25,CA5&lt;&gt;"",BY5=""),AND(CW5&gt;=DA$21,CW5&lt;&gt;"",CX5&gt;=DA$25,CX5&lt;&gt;""),AND(DR5&gt;=DV$21,DR5&lt;&gt;"",DS5&gt;=DV$25,DS5&lt;&gt;""),AND(EM5&gt;=EQ$21,EM5&lt;&gt;"",EN5&gt;=EQ$25,EN5&lt;&gt;""),AND(FH5&gt;=FL$21,FH5&lt;&gt;"",FI5&gt;=FL$25,FI5&lt;&gt;""),AND(GC5&gt;=GG$21,GC5&lt;&gt;"",GD5&gt;=GG$25,GD5&lt;&gt;""),AND(GX5&gt;=HB$21,GX5&lt;&gt;"",GY5&gt;=HB$25,GY5&lt;&gt;""),AND(HS5&gt;=HW$21,HS5&lt;&gt;"",HT5&gt;=HW$25,HT5&lt;&gt;""),AND(IN5&gt;=IR$21,IN5&lt;&gt;"",IO5&gt;=IR$25,IO5&lt;&gt;""),AND(JI5&gt;=JM$21,JI5&lt;&gt;"",JJ5&gt;=JM$25,JJ5&lt;&gt;""),AND(KD5&gt;=KH$21,KD5&lt;&gt;"",KE5&gt;=KH$25,KE5&lt;&gt;""),AND(KY5&gt;=LC$21,KY5&lt;&gt;"",KZ5&gt;=LC$25,KZ5&lt;&gt;""),AND(LT5&gt;=LX$21,LT5&lt;&gt;"",LU5&gt;=LX$25,LU5&lt;&gt;"")),"Merit",IF(OR(AND(AH5&gt;=AL$20,AH5&lt;&gt;"",AI5&gt;=AL$24,AI5&lt;&gt;"",AG5=""),AND(BD5&gt;=BH$20,BD5&lt;&gt;"",BE5&gt;=BH$24,BE5&lt;&gt;"",BC5=""),AND(BZ5&gt;=CD$20,BZ5&lt;&gt;"",CA5&gt;=CD$24,CA5&lt;&gt;"",BY5=""),AND(CW5&gt;=DA$20,CW5&lt;&gt;"",CX5&gt;=DA$24,CX5&lt;&gt;""),AND(DR5&gt;=DV$20,DR5&lt;&gt;"",DS5&gt;=DV$24,DS5&lt;&gt;""),AND(EM5&gt;=EQ$20,EM5&lt;&gt;"",EN5&gt;=EQ$24,EN5&lt;&gt;""),AND(FH5&gt;=FL$20,FH5&lt;&gt;"",FI5&gt;=FL$24,FI5&lt;&gt;""),AND(GC5&gt;=GG$20,GC5&lt;&gt;"",GD5&gt;=GG$24,GD5&lt;&gt;""),AND(GX5&gt;=HB$20,GX5&lt;&gt;"",GY5&gt;=HB$24,GY5&lt;&gt;""),AND(HS5&gt;=HW$20,HS5&lt;&gt;"",HT5&gt;=HW$24,HT5&lt;&gt;""),AND(IN5&gt;=IR$20,IN5&lt;&gt;"",IO5&gt;=IR$24,IO5&lt;&gt;""),AND(JI5&gt;=JM$20,JI5&lt;&gt;"",JJ5&gt;=JM$24,JJ5&lt;&gt;""),AND(KD5&gt;=KH$20,KD5&lt;&gt;"",KE5&gt;=KH$24,KE5&lt;&gt;""),AND(KY5&gt;=LC$20,KY5&lt;&gt;"",KZ5&gt;=LC$24,KZ5&lt;&gt;""),AND(LT5&gt;=LX$20,LT5&lt;&gt;"",LU5&gt;=LX$24,LU5&lt;&gt;"")),"Excellence",IF(OR(AND(AH5&gt;=AL$19,AH5&lt;&gt;"",AI5&gt;=AL$23,AI5&lt;&gt;"",AG5=""),AND(BD5&gt;=BH$19,BD5&lt;&gt;"",BE5&gt;=BH$23,BE5&lt;&gt;"",BC5=""),AND(BZ5&gt;=CD$19,BZ5&lt;&gt;"",CA5&gt;=CD$23,CA5&lt;&gt;"",BY5=""),AND(CW5&gt;=DA$19,CW5&lt;&gt;"",CX5&gt;=DA$23,CX5&lt;&gt;""),AND(DR5&gt;=DV$19,DR5&lt;&gt;"",DS5&gt;=DV$23,DS5&lt;&gt;""),AND(EM5&gt;=EQ$19,EM5&lt;&gt;"",EN5&gt;=EQ$23,EN5&lt;&gt;""),AND(FH5&gt;=FL$19,FH5&lt;&gt;"",FI5&gt;=FL$23,FI5&lt;&gt;""),AND(GC5&gt;=GG$19,GC5&lt;&gt;"",GD5&gt;=GG$23,GD5&lt;&gt;""),AND(GX5&gt;=HB$19,GX5&lt;&gt;"",GY5&gt;=HB$23,GY5&lt;&gt;""),AND(HS5&gt;=HW$19,HS5&lt;&gt;"",HT5&gt;=HW$23,HT5&lt;&gt;""),AND(IN5&gt;=IR$19,IN5&lt;&gt;"",IO5&gt;=IR$23,IO5&lt;&gt;""),AND(JI5&gt;=JM$19,JI5&lt;&gt;"",JJ5&gt;=JM$23,JJ5&lt;&gt;""),AND(KD5&gt;=KH$19,KD5&lt;&gt;"",KE5&gt;=KH$23,KE5&lt;&gt;""),AND(KY5&gt;=LC$19,KY5&lt;&gt;"",KZ5&gt;=LC$23,KZ5&lt;&gt;""),AND(LT5&gt;=LX$19,LT5&lt;&gt;"",LU5&gt;=LX$23,LU5&lt;&gt;"")),"Worlds Team",IF(OR(AND(AH5&gt;=AL$18,AH5&lt;&gt;"",AI5&gt;=AL$22,AI5&lt;&gt;"",AG5=""),AND(BD5&gt;=BH$18,BD5&lt;&gt;"",BE5&gt;=BH$22,BE5&lt;&gt;"",BC5=""),AND(BZ5&gt;=CD$18,BZ5&lt;&gt;"",CA5&gt;=CD$22,CA5&lt;&gt;"",BY5=""),AND(CW5&gt;=DA$18,CW5&lt;&gt;"",CX5&gt;=DA$22,CX5&lt;&gt;""),AND(DR5&gt;=DV$18,DR5&lt;&gt;"",DS5&gt;=DV$22,DS5&lt;&gt;""),AND(EM5&gt;=EQ$18,EM5&lt;&gt;"",EN5&gt;=EQ$22,EN5&lt;&gt;""),AND(FH5&gt;=FL$18,FH5&lt;&gt;"",FI5&gt;=FL$22,FI5&lt;&gt;""),AND(GC5&gt;=GG$18,GC5&lt;&gt;"",GD5&gt;=GG$22,GD5&lt;&gt;""),AND(GX5&gt;=HB$18,GX5&lt;&gt;"",GY5&gt;=HB$22,GY5&lt;&gt;""),AND(HS5&gt;=HW$18,HS5&lt;&gt;"",HT5&gt;=HW$22,HT5&lt;&gt;""),AND(IN5&gt;=IR$18,IN5&lt;&gt;"",IO5&gt;=IR$22,IO5&lt;&gt;""),AND(JI5&gt;=JM$18,JI5&lt;&gt;"",JJ5&gt;=JM$22,JJ5&lt;&gt;""),AND(KD5&gt;=KH$18,KD5&lt;&gt;"",KE5&gt;=KH$22,KE5&lt;&gt;""),AND(KY5&gt;=LC$18,KY5&lt;&gt;"",KZ5&gt;=LC$22,KZ5&lt;&gt;""),AND(LT5&gt;=LX$18,LT5&lt;&gt;"",LU5&gt;=LX$22,LU5&lt;&gt;"")),"National Team","")))))</f>
        <v>National Team</v>
      </c>
      <c r="I5" s="3" t="str">
        <f>IF(OR(H5="Worlds Team",H5="Excellence",H5="Merit"),"P","")</f>
        <v/>
      </c>
      <c r="J5" s="14">
        <f>MAX(AL5,BH5,CD5)</f>
        <v>132.52499999999998</v>
      </c>
      <c r="K5" s="14" t="str">
        <f>IF(J5=0,"",IF(J5=CD5,$BI$1,IF(J5=BH5,$AM$1,IF(J5=AL5,$Q$1,""))))</f>
        <v>2021 1st Virtual Technical Trial</v>
      </c>
      <c r="L5" s="14">
        <f>IF(J5=AL5,MAX(BE5,BG5,CA5,CC5),IF(J5=BH5,MAX(AI5,AK5,CA5,CC5),MAX(AI5,AK5,BE5,BG5)))</f>
        <v>63.8</v>
      </c>
      <c r="M5" s="14" t="str">
        <f>IF(L5=0,"",IF(AND(J5&lt;&gt;CD5,OR(L5=CA5,L5=CC5)),$BI$1,IF(AND(J5&lt;&gt;BH5,OR(L5=BG5,L5=BE5)),$AM$1,IF(OR(L5=AK5,L5=AI5),$Q$1,""))))</f>
        <v>2019 Nationals</v>
      </c>
      <c r="N5" s="14" t="str">
        <f>IF(MAX(CE5:CF5)&gt;0,MAX(CE5:CF5),"")</f>
        <v/>
      </c>
      <c r="O5" s="24" t="str">
        <f>IF(N5="","",IF(N5=CE5,"(4 Pass)",IF(N5=CF5,"(2 Pass)")))</f>
        <v/>
      </c>
      <c r="P5" s="14" t="str">
        <f>IF(N5="","",IF(N5=CE5,IF(N5+IF(J5="",0,J5)=DA5,$CG$1,IF(N5+IF(J5="",0,J5)=DV5,$DB$1,IF(N5+IF(J5="",0,J5)=EQ5,$DW$1,IF(N5+IF(J5="",0,J5)=FL5,$ER$1,IF(N5+IF(J5="",0,J5)=GG5,$FM$1,IF(N5+IF(J5="",0,J5)=HB5,$GH$1,IF(N5+IF(J5="",0,J5)=HW5,$HC$1,IF(N5+IF(J5="",0,J5)=IR5,$HX$1,IF(N5+IF(J5="",0,J5)=JM5,$IS$1,IF(N5+IF(J5="",0,J5)=KH5,$JN$1,IF(N5+IF(J5="",0,J5)=LC5,$KI$1,IF(N5+IF(J5="",0,J5)=LX5,$LD$1)))))))))))),IF(N5=CF5,IF(OR(N5+IF(L5="",0,L5)=CX5,N5+IF(L5="",0,L5)=CZ5),$CG$1,IF(OR(N5+IF(L5="",0,L5)=DS5,N5+IF(L5="",0,L5)=DU5),$DB$1,IF(OR(N5+IF(L5="",0,L5)=EN5,N5+IF(L5="",0,L5)=EP5),$DW$1,IF(OR(N5+IF(L5="",0,L5)=FI5,N5+IF(L5="",0,L5)=FK5),$ER$1,IF(OR(N5+IF(L5="",0,L5)=GD5,N5+IF(L5="",0,L5)=GF5),$FM$1,IF(OR(N5+IF(L5="",0,L5)=GY5,N5+IF(L5="",0,L5)=HA5),$GH$1,IF(OR(N5+IF(L5="",0,L5)=HT5,N5+IF(L5="",0,L5)=HV5),$HC$1,IF(OR(N5+IF(L5="",0,L5)=IO5,N5+IF(L5="",0,L5)=IQ5),$HX$1,IF(OR(N5+IF(L5="",0,L5)=JJ5,N5+IF(L5="",0,L5)=JL5),$IS$1,IF(OR(N5+IF(L5="",0,L5)=KE5,N5+IF(L5="",0,L5)=KG5),$JN$1,IF(OR(N5+IF(L5="",0,L5)=KZ5,N5+IF(L5="",0,L5)=LB5),$KI$1,IF(OR(N5+IF(L5="",0,L5)=LU5,N5+IF(L5="",0,L5)=LW5),$LD$1)))))))))))))))</f>
        <v/>
      </c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72"/>
      <c r="AH5" s="11" t="str">
        <f>IF(SUM(R5,V5)&gt;0,SUM(R5,V5),"")</f>
        <v/>
      </c>
      <c r="AI5" s="11" t="str">
        <f>IF(SUM(Q5:R5,T5:V5,X5)-SUM(S5,W5)&gt;0,SUM(Q5:R5,T5:V5,X5)-SUM(S5,W5),"")</f>
        <v/>
      </c>
      <c r="AJ5" s="11" t="str">
        <f>IF(SUM(Z5,AD5)&gt;0,SUM(Z5,AD5),"")</f>
        <v/>
      </c>
      <c r="AK5" s="11" t="str">
        <f>IF(SUM(Y5:Z5,AB5:AD5,AF5)-SUM(AA5,AE5)&gt;0,SUM(Y5:Z5,AB5:AD5,AF5)-SUM(AA5,AE5),"")</f>
        <v/>
      </c>
      <c r="AL5" s="11" t="str">
        <f>IF(SUM(AI5,AK5)&gt;0,SUM(AI5,AK5),"")</f>
        <v/>
      </c>
      <c r="AM5" s="36">
        <v>27.8</v>
      </c>
      <c r="AN5" s="36">
        <v>3.5</v>
      </c>
      <c r="AO5" s="36">
        <v>0.3</v>
      </c>
      <c r="AP5" s="36">
        <v>0</v>
      </c>
      <c r="AQ5" s="36">
        <v>28.8</v>
      </c>
      <c r="AR5" s="36">
        <v>4</v>
      </c>
      <c r="AS5" s="36">
        <v>0</v>
      </c>
      <c r="AT5" s="36">
        <v>0</v>
      </c>
      <c r="AU5" s="36">
        <v>28.5</v>
      </c>
      <c r="AV5" s="36">
        <v>4.3</v>
      </c>
      <c r="AW5" s="36">
        <v>0</v>
      </c>
      <c r="AX5" s="36">
        <v>0</v>
      </c>
      <c r="AY5" s="36">
        <v>27.9</v>
      </c>
      <c r="AZ5" s="36">
        <v>3.3</v>
      </c>
      <c r="BA5" s="36">
        <v>0.9</v>
      </c>
      <c r="BB5" s="36">
        <v>0</v>
      </c>
      <c r="BC5" s="73"/>
      <c r="BD5" s="14">
        <f>IF(SUM(AN5,AR5)&gt;0,SUM(AN5,AR5),"")</f>
        <v>7.5</v>
      </c>
      <c r="BE5" s="14">
        <f>IF(SUM(AM5:AN5,AP5:AR5,AT5)-SUM(AO5,AS5)&gt;0,SUM(AM5:AN5,AP5:AR5,AT5)-SUM(AO5,AS5),"")</f>
        <v>63.8</v>
      </c>
      <c r="BF5" s="14">
        <f>IF(SUM(AV5,AZ5)&gt;0,SUM(AV5,AZ5),"")</f>
        <v>7.6</v>
      </c>
      <c r="BG5" s="14">
        <f>IF(SUM(AU5:AV5,AX5:AZ5,BB5)-SUM(AW5,BA5)&gt;0,SUM(AU5:AV5,AX5:AZ5,BB5)-SUM(AW5,BA5),"")</f>
        <v>63.099999999999994</v>
      </c>
      <c r="BH5" s="14">
        <f>IF(SUM(BE5,BG5)&gt;0,SUM(BE5,BG5),"")</f>
        <v>126.89999999999999</v>
      </c>
      <c r="BI5" s="61">
        <v>27.9</v>
      </c>
      <c r="BJ5" s="61">
        <v>5.6</v>
      </c>
      <c r="BK5" s="61">
        <v>0</v>
      </c>
      <c r="BL5" s="61">
        <v>0.3</v>
      </c>
      <c r="BM5" s="61">
        <v>28.524999999999999</v>
      </c>
      <c r="BN5" s="61">
        <v>5.2</v>
      </c>
      <c r="BO5" s="61">
        <v>0</v>
      </c>
      <c r="BP5" s="61">
        <v>0</v>
      </c>
      <c r="BQ5" s="61">
        <v>28</v>
      </c>
      <c r="BR5" s="61">
        <v>4.4000000000000004</v>
      </c>
      <c r="BS5" s="61">
        <v>0</v>
      </c>
      <c r="BT5" s="61">
        <v>0</v>
      </c>
      <c r="BU5" s="61">
        <v>28.3</v>
      </c>
      <c r="BV5" s="61">
        <v>4.3</v>
      </c>
      <c r="BW5" s="61">
        <v>0</v>
      </c>
      <c r="BX5" s="61">
        <v>0</v>
      </c>
      <c r="BY5" s="72"/>
      <c r="BZ5" s="11">
        <f>IF(SUM(BJ5,BN5)&gt;0,SUM(BJ5,BN5),"")</f>
        <v>10.8</v>
      </c>
      <c r="CA5" s="11">
        <f>IF(SUM(BI5:BJ5,BL5:BN5,BP5)-SUM(BK5,BO5)&gt;0,SUM(BI5:BJ5,BL5:BN5,BP5)-SUM(BK5,BO5),"")</f>
        <v>67.524999999999991</v>
      </c>
      <c r="CB5" s="11">
        <f>IF(SUM(BR5,BV5)&gt;0,SUM(BR5,BV5),"")</f>
        <v>8.6999999999999993</v>
      </c>
      <c r="CC5" s="11">
        <f>IF(SUM(BQ5:BR5,BT5:BV5,BX5)-SUM(BS5,BW5)&gt;0,SUM(BQ5:BR5,BT5:BV5,BX5)-SUM(BS5,BW5),"")</f>
        <v>65</v>
      </c>
      <c r="CD5" s="11">
        <f>IF(SUM(CA5,CC5)&gt;0,SUM(CA5,CC5),"")</f>
        <v>132.52499999999998</v>
      </c>
      <c r="CE5" s="23" t="str">
        <f>IF(MAX(DA5,DV5,EQ5,FL5,GG5,HB5,HW5,IR5,JM5,KH5,LC5,LX5)-IF(J5="",0,J5)&gt;0.001,MAX(DA5,DV5,EQ5,FL5,GG5,HB5,HW5,IR5,JM5,KH5,LC5,LX5)-IF(J5="",0,J5),"")</f>
        <v/>
      </c>
      <c r="CF5" s="23" t="str">
        <f>IF(MAX(CX5,CZ5,DS5,DU5,EN5,EP5,FI5,FK5,GD5,GF5,GY5,HA5,HT5,HV5,IO5,IQ5,JJ5,JL5,KE5,KG5,KZ5,LB5,LU5,LW5)-IF(L5="",0,L5)&gt;0.001,MAX(CX5,CZ5,DS5,DU5,EN5,EP5,FI5,FK5,GD5,GF5,GY5,HA5,HT5,HV5,IO5,IQ5,JJ5,JL5,KE5,KG5,KZ5,LB5,LU5,LW5)-IF(L5="",0,L5),"")</f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27.85</v>
      </c>
      <c r="LZ5" s="61">
        <f>IF($BY5="P",BJ5,(BJ5+AN5)/2)</f>
        <v>4.55</v>
      </c>
      <c r="MA5" s="61">
        <f>IF($BY5="P",BK5,(BK5+AO5)/2)</f>
        <v>0.15</v>
      </c>
      <c r="MB5" s="61">
        <f>IF($BY5="P",BL5,(BL5+AP5)/2)</f>
        <v>0.15</v>
      </c>
      <c r="MC5" s="61">
        <f>IF($BY5="P",BM5,(BM5+AQ5)/2)</f>
        <v>28.662500000000001</v>
      </c>
      <c r="MD5" s="61">
        <f>IF($BY5="P",BN5,(BN5+AR5)/2)</f>
        <v>4.5999999999999996</v>
      </c>
      <c r="ME5" s="61">
        <f>IF($BY5="P",BO5,(BO5+AS5)/2)</f>
        <v>0</v>
      </c>
      <c r="MF5" s="61">
        <f>IF($BY5="P",BP5,(BP5+AT5)/2)</f>
        <v>0</v>
      </c>
      <c r="MG5" s="61">
        <f>IF($BY5="P",BQ5,(BQ5+AU5)/2)</f>
        <v>28.25</v>
      </c>
      <c r="MH5" s="61">
        <f>IF($BY5="P",BR5,(BR5+AV5)/2)</f>
        <v>4.3499999999999996</v>
      </c>
      <c r="MI5" s="61">
        <f>IF($BY5="P",BS5,(BS5+AW5)/2)</f>
        <v>0</v>
      </c>
      <c r="MJ5" s="61">
        <f>IF($BY5="P",BT5,(BT5+AX5)/2)</f>
        <v>0</v>
      </c>
      <c r="MK5" s="61">
        <f>IF($BY5="P",BU5,(BU5+AY5)/2)</f>
        <v>28.1</v>
      </c>
      <c r="ML5" s="61">
        <f>IF($BY5="P",BV5,(BV5+AZ5)/2)</f>
        <v>3.8</v>
      </c>
      <c r="MM5" s="61">
        <f>IF($BY5="P",BW5,(BW5+BA5)/2)</f>
        <v>0.45</v>
      </c>
      <c r="MN5" s="61">
        <f>IF($BY5="P",BX5,(BX5+BB5)/2)</f>
        <v>0</v>
      </c>
      <c r="MO5" s="72" t="s">
        <v>52</v>
      </c>
      <c r="MP5" s="11">
        <f>IF(SUM(LZ5,MD5)&gt;0,SUM(LZ5,MD5),"")</f>
        <v>9.1499999999999986</v>
      </c>
      <c r="MQ5" s="11">
        <f>IF(SUM(LY5:LZ5,MB5:MD5,MF5)-SUM(MA5,ME5)&gt;0,SUM(LY5:LZ5,MB5:MD5,MF5)-SUM(MA5,ME5),"")</f>
        <v>65.662499999999994</v>
      </c>
      <c r="MR5" s="11">
        <f>IF(SUM(MH5,ML5)&gt;0,SUM(MH5,ML5),"")</f>
        <v>8.1499999999999986</v>
      </c>
      <c r="MS5" s="11">
        <f>IF(SUM(MG5:MH5,MJ5:ML5,MN5)-SUM(MI5,MM5)&gt;0,SUM(MG5:MH5,MJ5:ML5,MN5)-SUM(MI5,MM5),"")</f>
        <v>64.05</v>
      </c>
      <c r="MT5" s="11">
        <f>IF(SUM(MQ5,MS5)&gt;0,SUM(MQ5,MS5),"")</f>
        <v>129.71249999999998</v>
      </c>
    </row>
    <row r="6" spans="1:358" x14ac:dyDescent="0.2">
      <c r="A6" s="5">
        <f>IF(AND(F6="P",G6="P"),SUMPRODUCT((F$4:F$16="P")*(G$4:G$16="P")*(E$4:E$16&gt;E6))+1,IF(G6="P",SUMPRODUCT((F$4:F$16="")*(G$4:G$16="P")*(E$4:E$16&gt;E6))+1+SUMPRODUCT((F$4:F$16="P")*(G$4:G$16="P")),""))</f>
        <v>3</v>
      </c>
      <c r="B6" s="8" t="s">
        <v>129</v>
      </c>
      <c r="C6" s="4" t="s">
        <v>4</v>
      </c>
      <c r="D6" s="5">
        <v>2003</v>
      </c>
      <c r="E6" s="15">
        <f>SUM(J6:N6)</f>
        <v>195.45</v>
      </c>
      <c r="F6" s="3" t="str">
        <f>IF(OR(AND(AH6&gt;=AL$18,AI6&gt;=AL$22,AI6&lt;&gt;"",AG6=""),AND(BD6&gt;=BH$18,BE6&gt;=BH$22,BE6&lt;&gt;"",BC6=""),AND(BZ6&gt;=CD$18,CA6&gt;=CD$22,CA6&lt;&gt;"",BY6=""),AND(CW6&gt;=DA$18,CX6&gt;=DA$22,CX6&lt;&gt;""),AND(DR6&gt;=DV$18,DS6&gt;=DV$22,DS6&lt;&gt;""),AND(EM6&gt;=EQ$18,EN6&gt;=EQ$22,EN6&lt;&gt;""),AND(FH6&gt;=FL$18,FI6&gt;=FL$22,FI6&lt;&gt;""),AND(GC6&gt;=GG$18,GD6&gt;=GG$22,GD6&lt;&gt;""),AND(GX6&gt;=HB$18,GY6&gt;=HB$22,GY6&lt;&gt;""),AND(HS6&gt;=HW$18,HT6&gt;=HW$22,HT6&lt;&gt;""),AND(IN6&gt;=IR$18,IO6&gt;=IR$22,IO6&lt;&gt;""),AND(JI6&gt;=JM$18,JJ6&gt;=JM$22,JJ6&lt;&gt;""),AND(KD6&gt;=KH$18,KE6&gt;=KH$22,KE6&lt;&gt;""),AND(KY6&gt;=LC$18,KZ6&gt;=LC$22,KZ6&lt;&gt;""),AND(LT6&gt;=LX$18,LU6&gt;=LX$22,LU6&lt;&gt;"")),"P","")</f>
        <v>P</v>
      </c>
      <c r="G6" s="3" t="str">
        <f>IF(OR(AND(AI6&gt;=AL$22,AI6&lt;&gt;"",AG6=""),AND(BE6&gt;=BH$22,BE6&lt;&gt;"",BC6=""),AND(CA6&gt;=CD$22,CA6&lt;&gt;"",BY6=""),AND(CX6&gt;=DA$22,CX6&lt;&gt;""),AND(DS6&gt;=DV$22,DS6&lt;&gt;""),AND(EN6&gt;=EQ$22,EN6&lt;&gt;""),AND(FI6&gt;=FL$22,FI6&lt;&gt;""),AND(GD6&gt;=GG$22,GD6&lt;&gt;""),AND(GY6&gt;=HB$22,GY6&lt;&gt;""),AND(HT6&gt;=HW$22,HT6&lt;&gt;""),AND(IO6&gt;=IR$22,IO6&lt;&gt;""),AND(JJ6&gt;=JM$22,JJ6&lt;&gt;""),AND(KE6&gt;=KH$22,KE6&lt;&gt;""),AND(KZ6&gt;=LC$22,KZ6&lt;&gt;""),AND(LU6&gt;=LX$22,LU6&lt;&gt;"")),"P","")</f>
        <v>P</v>
      </c>
      <c r="H6" s="116" t="str">
        <f>IF(AND(G6="P",F6=""),"No DD",IF(OR(AND(AH6&gt;=AL$21,AH6&lt;&gt;"",AI6&gt;=AL$25,AI6&lt;&gt;"",AG6=""),AND(BD6&gt;=BH$21,BD6&lt;&gt;"",BE6&gt;=BH$25,BE6&lt;&gt;"",BC6=""),AND(BZ6&gt;=CD$21,BZ6&lt;&gt;"",CA6&gt;=CD$25,CA6&lt;&gt;"",BY6=""),AND(CW6&gt;=DA$21,CW6&lt;&gt;"",CX6&gt;=DA$25,CX6&lt;&gt;""),AND(DR6&gt;=DV$21,DR6&lt;&gt;"",DS6&gt;=DV$25,DS6&lt;&gt;""),AND(EM6&gt;=EQ$21,EM6&lt;&gt;"",EN6&gt;=EQ$25,EN6&lt;&gt;""),AND(FH6&gt;=FL$21,FH6&lt;&gt;"",FI6&gt;=FL$25,FI6&lt;&gt;""),AND(GC6&gt;=GG$21,GC6&lt;&gt;"",GD6&gt;=GG$25,GD6&lt;&gt;""),AND(GX6&gt;=HB$21,GX6&lt;&gt;"",GY6&gt;=HB$25,GY6&lt;&gt;""),AND(HS6&gt;=HW$21,HS6&lt;&gt;"",HT6&gt;=HW$25,HT6&lt;&gt;""),AND(IN6&gt;=IR$21,IN6&lt;&gt;"",IO6&gt;=IR$25,IO6&lt;&gt;""),AND(JI6&gt;=JM$21,JI6&lt;&gt;"",JJ6&gt;=JM$25,JJ6&lt;&gt;""),AND(KD6&gt;=KH$21,KD6&lt;&gt;"",KE6&gt;=KH$25,KE6&lt;&gt;""),AND(KY6&gt;=LC$21,KY6&lt;&gt;"",KZ6&gt;=LC$25,KZ6&lt;&gt;""),AND(LT6&gt;=LX$21,LT6&lt;&gt;"",LU6&gt;=LX$25,LU6&lt;&gt;"")),"Merit",IF(OR(AND(AH6&gt;=AL$20,AH6&lt;&gt;"",AI6&gt;=AL$24,AI6&lt;&gt;"",AG6=""),AND(BD6&gt;=BH$20,BD6&lt;&gt;"",BE6&gt;=BH$24,BE6&lt;&gt;"",BC6=""),AND(BZ6&gt;=CD$20,BZ6&lt;&gt;"",CA6&gt;=CD$24,CA6&lt;&gt;"",BY6=""),AND(CW6&gt;=DA$20,CW6&lt;&gt;"",CX6&gt;=DA$24,CX6&lt;&gt;""),AND(DR6&gt;=DV$20,DR6&lt;&gt;"",DS6&gt;=DV$24,DS6&lt;&gt;""),AND(EM6&gt;=EQ$20,EM6&lt;&gt;"",EN6&gt;=EQ$24,EN6&lt;&gt;""),AND(FH6&gt;=FL$20,FH6&lt;&gt;"",FI6&gt;=FL$24,FI6&lt;&gt;""),AND(GC6&gt;=GG$20,GC6&lt;&gt;"",GD6&gt;=GG$24,GD6&lt;&gt;""),AND(GX6&gt;=HB$20,GX6&lt;&gt;"",GY6&gt;=HB$24,GY6&lt;&gt;""),AND(HS6&gt;=HW$20,HS6&lt;&gt;"",HT6&gt;=HW$24,HT6&lt;&gt;""),AND(IN6&gt;=IR$20,IN6&lt;&gt;"",IO6&gt;=IR$24,IO6&lt;&gt;""),AND(JI6&gt;=JM$20,JI6&lt;&gt;"",JJ6&gt;=JM$24,JJ6&lt;&gt;""),AND(KD6&gt;=KH$20,KD6&lt;&gt;"",KE6&gt;=KH$24,KE6&lt;&gt;""),AND(KY6&gt;=LC$20,KY6&lt;&gt;"",KZ6&gt;=LC$24,KZ6&lt;&gt;""),AND(LT6&gt;=LX$20,LT6&lt;&gt;"",LU6&gt;=LX$24,LU6&lt;&gt;"")),"Excellence",IF(OR(AND(AH6&gt;=AL$19,AH6&lt;&gt;"",AI6&gt;=AL$23,AI6&lt;&gt;"",AG6=""),AND(BD6&gt;=BH$19,BD6&lt;&gt;"",BE6&gt;=BH$23,BE6&lt;&gt;"",BC6=""),AND(BZ6&gt;=CD$19,BZ6&lt;&gt;"",CA6&gt;=CD$23,CA6&lt;&gt;"",BY6=""),AND(CW6&gt;=DA$19,CW6&lt;&gt;"",CX6&gt;=DA$23,CX6&lt;&gt;""),AND(DR6&gt;=DV$19,DR6&lt;&gt;"",DS6&gt;=DV$23,DS6&lt;&gt;""),AND(EM6&gt;=EQ$19,EM6&lt;&gt;"",EN6&gt;=EQ$23,EN6&lt;&gt;""),AND(FH6&gt;=FL$19,FH6&lt;&gt;"",FI6&gt;=FL$23,FI6&lt;&gt;""),AND(GC6&gt;=GG$19,GC6&lt;&gt;"",GD6&gt;=GG$23,GD6&lt;&gt;""),AND(GX6&gt;=HB$19,GX6&lt;&gt;"",GY6&gt;=HB$23,GY6&lt;&gt;""),AND(HS6&gt;=HW$19,HS6&lt;&gt;"",HT6&gt;=HW$23,HT6&lt;&gt;""),AND(IN6&gt;=IR$19,IN6&lt;&gt;"",IO6&gt;=IR$23,IO6&lt;&gt;""),AND(JI6&gt;=JM$19,JI6&lt;&gt;"",JJ6&gt;=JM$23,JJ6&lt;&gt;""),AND(KD6&gt;=KH$19,KD6&lt;&gt;"",KE6&gt;=KH$23,KE6&lt;&gt;""),AND(KY6&gt;=LC$19,KY6&lt;&gt;"",KZ6&gt;=LC$23,KZ6&lt;&gt;""),AND(LT6&gt;=LX$19,LT6&lt;&gt;"",LU6&gt;=LX$23,LU6&lt;&gt;"")),"Worlds Team",IF(OR(AND(AH6&gt;=AL$18,AH6&lt;&gt;"",AI6&gt;=AL$22,AI6&lt;&gt;"",AG6=""),AND(BD6&gt;=BH$18,BD6&lt;&gt;"",BE6&gt;=BH$22,BE6&lt;&gt;"",BC6=""),AND(BZ6&gt;=CD$18,BZ6&lt;&gt;"",CA6&gt;=CD$22,CA6&lt;&gt;"",BY6=""),AND(CW6&gt;=DA$18,CW6&lt;&gt;"",CX6&gt;=DA$22,CX6&lt;&gt;""),AND(DR6&gt;=DV$18,DR6&lt;&gt;"",DS6&gt;=DV$22,DS6&lt;&gt;""),AND(EM6&gt;=EQ$18,EM6&lt;&gt;"",EN6&gt;=EQ$22,EN6&lt;&gt;""),AND(FH6&gt;=FL$18,FH6&lt;&gt;"",FI6&gt;=FL$22,FI6&lt;&gt;""),AND(GC6&gt;=GG$18,GC6&lt;&gt;"",GD6&gt;=GG$22,GD6&lt;&gt;""),AND(GX6&gt;=HB$18,GX6&lt;&gt;"",GY6&gt;=HB$22,GY6&lt;&gt;""),AND(HS6&gt;=HW$18,HS6&lt;&gt;"",HT6&gt;=HW$22,HT6&lt;&gt;""),AND(IN6&gt;=IR$18,IN6&lt;&gt;"",IO6&gt;=IR$22,IO6&lt;&gt;""),AND(JI6&gt;=JM$18,JI6&lt;&gt;"",JJ6&gt;=JM$22,JJ6&lt;&gt;""),AND(KD6&gt;=KH$18,KD6&lt;&gt;"",KE6&gt;=KH$22,KE6&lt;&gt;""),AND(KY6&gt;=LC$18,KY6&lt;&gt;"",KZ6&gt;=LC$22,KZ6&lt;&gt;""),AND(LT6&gt;=LX$18,LT6&lt;&gt;"",LU6&gt;=LX$22,LU6&lt;&gt;"")),"National Team","")))))</f>
        <v>National Team</v>
      </c>
      <c r="I6" s="3" t="str">
        <f>IF(OR(H6="Worlds Team",H6="Excellence",H6="Merit"),"P","")</f>
        <v/>
      </c>
      <c r="J6" s="14">
        <f>MAX(AL6,BH6,CD6)</f>
        <v>129.1</v>
      </c>
      <c r="K6" s="14" t="str">
        <f>IF(J6=0,"",IF(J6=CD6,$BI$1,IF(J6=BH6,$AM$1,IF(J6=AL6,$Q$1,""))))</f>
        <v>2019 Nationals</v>
      </c>
      <c r="L6" s="14">
        <f>IF(J6=AL6,MAX(BE6,BG6,CA6,CC6),IF(J6=BH6,MAX(AI6,AK6,CA6,CC6),MAX(AI6,AK6,BE6,BG6)))</f>
        <v>66.349999999999994</v>
      </c>
      <c r="M6" s="14" t="str">
        <f>IF(L6=0,"",IF(AND(J6&lt;&gt;CD6,OR(L6=CA6,L6=CC6)),$BI$1,IF(AND(J6&lt;&gt;BH6,OR(L6=BG6,L6=BE6)),$AM$1,IF(OR(L6=AK6,L6=AI6),$Q$1,""))))</f>
        <v>2021 1st Virtual Technical Trial</v>
      </c>
      <c r="N6" s="14" t="str">
        <f>IF(MAX(CE6:CF6)&gt;0,MAX(CE6:CF6),"")</f>
        <v/>
      </c>
      <c r="O6" s="24" t="str">
        <f>IF(N6="","",IF(N6=CE6,"(4 Pass)",IF(N6=CF6,"(2 Pass)")))</f>
        <v/>
      </c>
      <c r="P6" s="14" t="str">
        <f>IF(N6="","",IF(N6=CE6,IF(N6+IF(J6="",0,J6)=DA6,$CG$1,IF(N6+IF(J6="",0,J6)=DV6,$DB$1,IF(N6+IF(J6="",0,J6)=EQ6,$DW$1,IF(N6+IF(J6="",0,J6)=FL6,$ER$1,IF(N6+IF(J6="",0,J6)=GG6,$FM$1,IF(N6+IF(J6="",0,J6)=HB6,$GH$1,IF(N6+IF(J6="",0,J6)=HW6,$HC$1,IF(N6+IF(J6="",0,J6)=IR6,$HX$1,IF(N6+IF(J6="",0,J6)=JM6,$IS$1,IF(N6+IF(J6="",0,J6)=KH6,$JN$1,IF(N6+IF(J6="",0,J6)=LC6,$KI$1,IF(N6+IF(J6="",0,J6)=LX6,$LD$1)))))))))))),IF(N6=CF6,IF(OR(N6+IF(L6="",0,L6)=CX6,N6+IF(L6="",0,L6)=CZ6),$CG$1,IF(OR(N6+IF(L6="",0,L6)=DS6,N6+IF(L6="",0,L6)=DU6),$DB$1,IF(OR(N6+IF(L6="",0,L6)=EN6,N6+IF(L6="",0,L6)=EP6),$DW$1,IF(OR(N6+IF(L6="",0,L6)=FI6,N6+IF(L6="",0,L6)=FK6),$ER$1,IF(OR(N6+IF(L6="",0,L6)=GD6,N6+IF(L6="",0,L6)=GF6),$FM$1,IF(OR(N6+IF(L6="",0,L6)=GY6,N6+IF(L6="",0,L6)=HA6),$GH$1,IF(OR(N6+IF(L6="",0,L6)=HT6,N6+IF(L6="",0,L6)=HV6),$HC$1,IF(OR(N6+IF(L6="",0,L6)=IO6,N6+IF(L6="",0,L6)=IQ6),$HX$1,IF(OR(N6+IF(L6="",0,L6)=JJ6,N6+IF(L6="",0,L6)=JL6),$IS$1,IF(OR(N6+IF(L6="",0,L6)=KE6,N6+IF(L6="",0,L6)=KG6),$JN$1,IF(OR(N6+IF(L6="",0,L6)=KZ6,N6+IF(L6="",0,L6)=LB6),$KI$1,IF(OR(N6+IF(L6="",0,L6)=LU6,N6+IF(L6="",0,L6)=LW6),$LD$1)))))))))))))))</f>
        <v/>
      </c>
      <c r="Q6" s="61">
        <v>28</v>
      </c>
      <c r="R6" s="61">
        <v>5.2</v>
      </c>
      <c r="S6" s="61">
        <v>0</v>
      </c>
      <c r="T6" s="61">
        <v>0</v>
      </c>
      <c r="U6" s="61">
        <v>27.7</v>
      </c>
      <c r="V6" s="61">
        <v>4.8</v>
      </c>
      <c r="W6" s="61">
        <v>0</v>
      </c>
      <c r="X6" s="61">
        <v>0.5</v>
      </c>
      <c r="Y6" s="61">
        <v>20</v>
      </c>
      <c r="Z6" s="61">
        <v>2.4</v>
      </c>
      <c r="AA6" s="61">
        <v>0</v>
      </c>
      <c r="AB6" s="61">
        <v>0</v>
      </c>
      <c r="AC6" s="61">
        <v>27.8</v>
      </c>
      <c r="AD6" s="61">
        <v>3.5</v>
      </c>
      <c r="AE6" s="61">
        <v>0</v>
      </c>
      <c r="AF6" s="61">
        <v>0</v>
      </c>
      <c r="AG6" s="72"/>
      <c r="AH6" s="11">
        <f>IF(SUM(R6,V6)&gt;0,SUM(R6,V6),"")</f>
        <v>10</v>
      </c>
      <c r="AI6" s="11">
        <f>IF(SUM(Q6:R6,T6:V6,X6)-SUM(S6,W6)&gt;0,SUM(Q6:R6,T6:V6,X6)-SUM(S6,W6),"")</f>
        <v>66.2</v>
      </c>
      <c r="AJ6" s="11">
        <f>IF(SUM(Z6,AD6)&gt;0,SUM(Z6,AD6),"")</f>
        <v>5.9</v>
      </c>
      <c r="AK6" s="11">
        <f>IF(SUM(Y6:Z6,AB6:AD6,AF6)-SUM(AA6,AE6)&gt;0,SUM(Y6:Z6,AB6:AD6,AF6)-SUM(AA6,AE6),"")</f>
        <v>53.7</v>
      </c>
      <c r="AL6" s="11">
        <f>IF(SUM(AI6,AK6)&gt;0,SUM(AI6,AK6),"")</f>
        <v>119.9</v>
      </c>
      <c r="AM6" s="36">
        <v>27.6</v>
      </c>
      <c r="AN6" s="36">
        <v>5.2</v>
      </c>
      <c r="AO6" s="36">
        <v>0</v>
      </c>
      <c r="AP6" s="36">
        <v>0</v>
      </c>
      <c r="AQ6" s="36">
        <v>27.4</v>
      </c>
      <c r="AR6" s="36">
        <v>4.8</v>
      </c>
      <c r="AS6" s="36">
        <v>0.9</v>
      </c>
      <c r="AT6" s="36">
        <v>0.5</v>
      </c>
      <c r="AU6" s="36">
        <v>27.8</v>
      </c>
      <c r="AV6" s="36">
        <v>4.8</v>
      </c>
      <c r="AW6" s="36">
        <v>0</v>
      </c>
      <c r="AX6" s="36">
        <v>0</v>
      </c>
      <c r="AY6" s="36">
        <v>27.9</v>
      </c>
      <c r="AZ6" s="36">
        <v>4</v>
      </c>
      <c r="BA6" s="36">
        <v>0</v>
      </c>
      <c r="BB6" s="36">
        <v>0</v>
      </c>
      <c r="BC6" s="73"/>
      <c r="BD6" s="14">
        <f>IF(SUM(AN6,AR6)&gt;0,SUM(AN6,AR6),"")</f>
        <v>10</v>
      </c>
      <c r="BE6" s="14">
        <f>IF(SUM(AM6:AN6,AP6:AR6,AT6)-SUM(AO6,AS6)&gt;0,SUM(AM6:AN6,AP6:AR6,AT6)-SUM(AO6,AS6),"")</f>
        <v>64.599999999999994</v>
      </c>
      <c r="BF6" s="14">
        <f>IF(SUM(AV6,AZ6)&gt;0,SUM(AV6,AZ6),"")</f>
        <v>8.8000000000000007</v>
      </c>
      <c r="BG6" s="14">
        <f>IF(SUM(AU6:AV6,AX6:AZ6,BB6)-SUM(AW6,BA6)&gt;0,SUM(AU6:AV6,AX6:AZ6,BB6)-SUM(AW6,BA6),"")</f>
        <v>64.5</v>
      </c>
      <c r="BH6" s="14">
        <f>IF(SUM(BE6,BG6)&gt;0,SUM(BE6,BG6),"")</f>
        <v>129.1</v>
      </c>
      <c r="BI6" s="61">
        <v>27.15</v>
      </c>
      <c r="BJ6" s="61">
        <v>6</v>
      </c>
      <c r="BK6" s="61">
        <v>0</v>
      </c>
      <c r="BL6" s="61">
        <v>0</v>
      </c>
      <c r="BM6" s="61">
        <v>27.6</v>
      </c>
      <c r="BN6" s="61">
        <v>5.6</v>
      </c>
      <c r="BO6" s="61">
        <v>0.3</v>
      </c>
      <c r="BP6" s="61">
        <v>0.3</v>
      </c>
      <c r="BQ6" s="61">
        <v>27.8</v>
      </c>
      <c r="BR6" s="61">
        <v>3</v>
      </c>
      <c r="BS6" s="61">
        <v>0</v>
      </c>
      <c r="BT6" s="61">
        <v>0</v>
      </c>
      <c r="BU6" s="61">
        <v>28.4</v>
      </c>
      <c r="BV6" s="61">
        <v>3.5</v>
      </c>
      <c r="BW6" s="61">
        <v>0.9</v>
      </c>
      <c r="BX6" s="61">
        <v>0</v>
      </c>
      <c r="BY6" s="72"/>
      <c r="BZ6" s="11">
        <f>IF(SUM(BJ6,BN6)&gt;0,SUM(BJ6,BN6),"")</f>
        <v>11.6</v>
      </c>
      <c r="CA6" s="11">
        <f>IF(SUM(BI6:BJ6,BL6:BN6,BP6)-SUM(BK6,BO6)&gt;0,SUM(BI6:BJ6,BL6:BN6,BP6)-SUM(BK6,BO6),"")</f>
        <v>66.349999999999994</v>
      </c>
      <c r="CB6" s="11">
        <f>IF(SUM(BR6,BV6)&gt;0,SUM(BR6,BV6),"")</f>
        <v>6.5</v>
      </c>
      <c r="CC6" s="11">
        <f>IF(SUM(BQ6:BR6,BT6:BV6,BX6)-SUM(BS6,BW6)&gt;0,SUM(BQ6:BR6,BT6:BV6,BX6)-SUM(BS6,BW6),"")</f>
        <v>61.800000000000004</v>
      </c>
      <c r="CD6" s="11">
        <f>IF(SUM(CA6,CC6)&gt;0,SUM(CA6,CC6),"")</f>
        <v>128.15</v>
      </c>
      <c r="CE6" s="23" t="str">
        <f>IF(MAX(DA6,DV6,EQ6,FL6,GG6,HB6,HW6,IR6,JM6,KH6,LC6,LX6)-IF(J6="",0,J6)&gt;0.001,MAX(DA6,DV6,EQ6,FL6,GG6,HB6,HW6,IR6,JM6,KH6,LC6,LX6)-IF(J6="",0,J6),"")</f>
        <v/>
      </c>
      <c r="CF6" s="23" t="str">
        <f>IF(MAX(CX6,CZ6,DS6,DU6,EN6,EP6,FI6,FK6,GD6,GF6,GY6,HA6,HT6,HV6,IO6,IQ6,JJ6,JL6,KE6,KG6,KZ6,LB6,LU6,LW6)-IF(L6="",0,L6)&gt;0.001,MAX(CX6,CZ6,DS6,DU6,EN6,EP6,FI6,FK6,GD6,GF6,GY6,HA6,HT6,HV6,IO6,IQ6,JJ6,JL6,KE6,KG6,KZ6,LB6,LU6,LW6)-IF(L6="",0,L6),"")</f>
        <v/>
      </c>
      <c r="CG6" s="40">
        <v>27.6</v>
      </c>
      <c r="CH6" s="40">
        <v>5.2</v>
      </c>
      <c r="CI6" s="40">
        <v>0.9</v>
      </c>
      <c r="CJ6" s="40">
        <v>0</v>
      </c>
      <c r="CK6" s="40">
        <v>27.5</v>
      </c>
      <c r="CL6" s="40">
        <v>4.8</v>
      </c>
      <c r="CM6" s="40">
        <v>0.9</v>
      </c>
      <c r="CN6" s="40">
        <v>0</v>
      </c>
      <c r="CO6" s="40">
        <v>27.5</v>
      </c>
      <c r="CP6" s="40">
        <v>3.5</v>
      </c>
      <c r="CQ6" s="40">
        <v>0.3</v>
      </c>
      <c r="CR6" s="40">
        <v>0</v>
      </c>
      <c r="CS6" s="40">
        <v>27.4</v>
      </c>
      <c r="CT6" s="40">
        <v>4.8</v>
      </c>
      <c r="CU6" s="40">
        <v>0.9</v>
      </c>
      <c r="CV6" s="40">
        <v>0</v>
      </c>
      <c r="CW6" s="11">
        <f>IF(SUM(CH6,CL6)&gt;0,SUM(CH6,CL6),"")</f>
        <v>10</v>
      </c>
      <c r="CX6" s="11">
        <f>IF(SUM(CG6:CH6,CJ6:CL6,CN6)-SUM(CI6,CM6)&gt;0,SUM(CG6:CH6,CJ6:CL6,CN6)-SUM(CI6,CM6),"")</f>
        <v>63.300000000000011</v>
      </c>
      <c r="CY6" s="11">
        <f>IF(SUM(CP6,CT6)&gt;0,SUM(CP6,CT6),"")</f>
        <v>8.3000000000000007</v>
      </c>
      <c r="CZ6" s="11">
        <f>IF(SUM(CO6:CP6,CR6:CT6,CV6)-SUM(CQ6,CU6)&gt;0,SUM(CO6:CP6,CR6:CT6,CV6)-SUM(CQ6,CU6),"")</f>
        <v>61.999999999999993</v>
      </c>
      <c r="DA6" s="11">
        <f>IF(SUM(CX6,CZ6)&gt;0,SUM(CX6,CZ6),"")</f>
        <v>125.30000000000001</v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27.375</v>
      </c>
      <c r="LZ6" s="61">
        <f>IF($BY6="P",BJ6,(BJ6+AN6)/2)</f>
        <v>5.6</v>
      </c>
      <c r="MA6" s="61">
        <f>IF($BY6="P",BK6,(BK6+AO6)/2)</f>
        <v>0</v>
      </c>
      <c r="MB6" s="61">
        <f>IF($BY6="P",BL6,(BL6+AP6)/2)</f>
        <v>0</v>
      </c>
      <c r="MC6" s="61">
        <f>IF($BY6="P",BM6,(BM6+AQ6)/2)</f>
        <v>27.5</v>
      </c>
      <c r="MD6" s="61">
        <f>IF($BY6="P",BN6,(BN6+AR6)/2)</f>
        <v>5.1999999999999993</v>
      </c>
      <c r="ME6" s="61">
        <f>IF($BY6="P",BO6,(BO6+AS6)/2)</f>
        <v>0.6</v>
      </c>
      <c r="MF6" s="61">
        <f>IF($BY6="P",BP6,(BP6+AT6)/2)</f>
        <v>0.4</v>
      </c>
      <c r="MG6" s="61">
        <f>IF($BY6="P",BQ6,(BQ6+AU6)/2)</f>
        <v>27.8</v>
      </c>
      <c r="MH6" s="61">
        <f>IF($BY6="P",BR6,(BR6+AV6)/2)</f>
        <v>3.9</v>
      </c>
      <c r="MI6" s="61">
        <f>IF($BY6="P",BS6,(BS6+AW6)/2)</f>
        <v>0</v>
      </c>
      <c r="MJ6" s="61">
        <f>IF($BY6="P",BT6,(BT6+AX6)/2)</f>
        <v>0</v>
      </c>
      <c r="MK6" s="61">
        <f>IF($BY6="P",BU6,(BU6+AY6)/2)</f>
        <v>28.15</v>
      </c>
      <c r="ML6" s="61">
        <f>IF($BY6="P",BV6,(BV6+AZ6)/2)</f>
        <v>3.75</v>
      </c>
      <c r="MM6" s="61">
        <f>IF($BY6="P",BW6,(BW6+BA6)/2)</f>
        <v>0.45</v>
      </c>
      <c r="MN6" s="61">
        <f>IF($BY6="P",BX6,(BX6+BB6)/2)</f>
        <v>0</v>
      </c>
      <c r="MO6" s="72" t="s">
        <v>52</v>
      </c>
      <c r="MP6" s="11">
        <f>IF(SUM(LZ6,MD6)&gt;0,SUM(LZ6,MD6),"")</f>
        <v>10.799999999999999</v>
      </c>
      <c r="MQ6" s="11">
        <f>IF(SUM(LY6:LZ6,MB6:MD6,MF6)-SUM(MA6,ME6)&gt;0,SUM(LY6:LZ6,MB6:MD6,MF6)-SUM(MA6,ME6),"")</f>
        <v>65.475000000000009</v>
      </c>
      <c r="MR6" s="11">
        <f>IF(SUM(MH6,ML6)&gt;0,SUM(MH6,ML6),"")</f>
        <v>7.65</v>
      </c>
      <c r="MS6" s="11">
        <f>IF(SUM(MG6:MH6,MJ6:ML6,MN6)-SUM(MI6,MM6)&gt;0,SUM(MG6:MH6,MJ6:ML6,MN6)-SUM(MI6,MM6),"")</f>
        <v>63.149999999999991</v>
      </c>
      <c r="MT6" s="11">
        <f>IF(SUM(MQ6,MS6)&gt;0,SUM(MQ6,MS6),"")</f>
        <v>128.625</v>
      </c>
    </row>
    <row r="7" spans="1:358" x14ac:dyDescent="0.2">
      <c r="A7" s="5">
        <f>IF(AND(F7="P",G7="P"),SUMPRODUCT((F$4:F$16="P")*(G$4:G$16="P")*(E$4:E$16&gt;E7))+1,IF(G7="P",SUMPRODUCT((F$4:F$16="")*(G$4:G$16="P")*(E$4:E$16&gt;E7))+1+SUMPRODUCT((F$4:F$16="P")*(G$4:G$16="P")),""))</f>
        <v>4</v>
      </c>
      <c r="B7" s="8" t="s">
        <v>128</v>
      </c>
      <c r="C7" s="4" t="s">
        <v>5</v>
      </c>
      <c r="D7" s="5">
        <v>2004</v>
      </c>
      <c r="E7" s="15">
        <f>SUM(J7:N7)</f>
        <v>194.02500000000001</v>
      </c>
      <c r="F7" s="3" t="str">
        <f>IF(OR(AND(AH7&gt;=AL$18,AI7&gt;=AL$22,AI7&lt;&gt;"",AG7=""),AND(BD7&gt;=BH$18,BE7&gt;=BH$22,BE7&lt;&gt;"",BC7=""),AND(BZ7&gt;=CD$18,CA7&gt;=CD$22,CA7&lt;&gt;"",BY7=""),AND(CW7&gt;=DA$18,CX7&gt;=DA$22,CX7&lt;&gt;""),AND(DR7&gt;=DV$18,DS7&gt;=DV$22,DS7&lt;&gt;""),AND(EM7&gt;=EQ$18,EN7&gt;=EQ$22,EN7&lt;&gt;""),AND(FH7&gt;=FL$18,FI7&gt;=FL$22,FI7&lt;&gt;""),AND(GC7&gt;=GG$18,GD7&gt;=GG$22,GD7&lt;&gt;""),AND(GX7&gt;=HB$18,GY7&gt;=HB$22,GY7&lt;&gt;""),AND(HS7&gt;=HW$18,HT7&gt;=HW$22,HT7&lt;&gt;""),AND(IN7&gt;=IR$18,IO7&gt;=IR$22,IO7&lt;&gt;""),AND(JI7&gt;=JM$18,JJ7&gt;=JM$22,JJ7&lt;&gt;""),AND(KD7&gt;=KH$18,KE7&gt;=KH$22,KE7&lt;&gt;""),AND(KY7&gt;=LC$18,KZ7&gt;=LC$22,KZ7&lt;&gt;""),AND(LT7&gt;=LX$18,LU7&gt;=LX$22,LU7&lt;&gt;"")),"P","")</f>
        <v>P</v>
      </c>
      <c r="G7" s="3" t="str">
        <f>IF(OR(AND(AI7&gt;=AL$22,AI7&lt;&gt;"",AG7=""),AND(BE7&gt;=BH$22,BE7&lt;&gt;"",BC7=""),AND(CA7&gt;=CD$22,CA7&lt;&gt;"",BY7=""),AND(CX7&gt;=DA$22,CX7&lt;&gt;""),AND(DS7&gt;=DV$22,DS7&lt;&gt;""),AND(EN7&gt;=EQ$22,EN7&lt;&gt;""),AND(FI7&gt;=FL$22,FI7&lt;&gt;""),AND(GD7&gt;=GG$22,GD7&lt;&gt;""),AND(GY7&gt;=HB$22,GY7&lt;&gt;""),AND(HT7&gt;=HW$22,HT7&lt;&gt;""),AND(IO7&gt;=IR$22,IO7&lt;&gt;""),AND(JJ7&gt;=JM$22,JJ7&lt;&gt;""),AND(KE7&gt;=KH$22,KE7&lt;&gt;""),AND(KZ7&gt;=LC$22,KZ7&lt;&gt;""),AND(LU7&gt;=LX$22,LU7&lt;&gt;"")),"P","")</f>
        <v>P</v>
      </c>
      <c r="H7" s="116" t="str">
        <f>IF(AND(G7="P",F7=""),"No DD",IF(OR(AND(AH7&gt;=AL$21,AH7&lt;&gt;"",AI7&gt;=AL$25,AI7&lt;&gt;"",AG7=""),AND(BD7&gt;=BH$21,BD7&lt;&gt;"",BE7&gt;=BH$25,BE7&lt;&gt;"",BC7=""),AND(BZ7&gt;=CD$21,BZ7&lt;&gt;"",CA7&gt;=CD$25,CA7&lt;&gt;"",BY7=""),AND(CW7&gt;=DA$21,CW7&lt;&gt;"",CX7&gt;=DA$25,CX7&lt;&gt;""),AND(DR7&gt;=DV$21,DR7&lt;&gt;"",DS7&gt;=DV$25,DS7&lt;&gt;""),AND(EM7&gt;=EQ$21,EM7&lt;&gt;"",EN7&gt;=EQ$25,EN7&lt;&gt;""),AND(FH7&gt;=FL$21,FH7&lt;&gt;"",FI7&gt;=FL$25,FI7&lt;&gt;""),AND(GC7&gt;=GG$21,GC7&lt;&gt;"",GD7&gt;=GG$25,GD7&lt;&gt;""),AND(GX7&gt;=HB$21,GX7&lt;&gt;"",GY7&gt;=HB$25,GY7&lt;&gt;""),AND(HS7&gt;=HW$21,HS7&lt;&gt;"",HT7&gt;=HW$25,HT7&lt;&gt;""),AND(IN7&gt;=IR$21,IN7&lt;&gt;"",IO7&gt;=IR$25,IO7&lt;&gt;""),AND(JI7&gt;=JM$21,JI7&lt;&gt;"",JJ7&gt;=JM$25,JJ7&lt;&gt;""),AND(KD7&gt;=KH$21,KD7&lt;&gt;"",KE7&gt;=KH$25,KE7&lt;&gt;""),AND(KY7&gt;=LC$21,KY7&lt;&gt;"",KZ7&gt;=LC$25,KZ7&lt;&gt;""),AND(LT7&gt;=LX$21,LT7&lt;&gt;"",LU7&gt;=LX$25,LU7&lt;&gt;"")),"Merit",IF(OR(AND(AH7&gt;=AL$20,AH7&lt;&gt;"",AI7&gt;=AL$24,AI7&lt;&gt;"",AG7=""),AND(BD7&gt;=BH$20,BD7&lt;&gt;"",BE7&gt;=BH$24,BE7&lt;&gt;"",BC7=""),AND(BZ7&gt;=CD$20,BZ7&lt;&gt;"",CA7&gt;=CD$24,CA7&lt;&gt;"",BY7=""),AND(CW7&gt;=DA$20,CW7&lt;&gt;"",CX7&gt;=DA$24,CX7&lt;&gt;""),AND(DR7&gt;=DV$20,DR7&lt;&gt;"",DS7&gt;=DV$24,DS7&lt;&gt;""),AND(EM7&gt;=EQ$20,EM7&lt;&gt;"",EN7&gt;=EQ$24,EN7&lt;&gt;""),AND(FH7&gt;=FL$20,FH7&lt;&gt;"",FI7&gt;=FL$24,FI7&lt;&gt;""),AND(GC7&gt;=GG$20,GC7&lt;&gt;"",GD7&gt;=GG$24,GD7&lt;&gt;""),AND(GX7&gt;=HB$20,GX7&lt;&gt;"",GY7&gt;=HB$24,GY7&lt;&gt;""),AND(HS7&gt;=HW$20,HS7&lt;&gt;"",HT7&gt;=HW$24,HT7&lt;&gt;""),AND(IN7&gt;=IR$20,IN7&lt;&gt;"",IO7&gt;=IR$24,IO7&lt;&gt;""),AND(JI7&gt;=JM$20,JI7&lt;&gt;"",JJ7&gt;=JM$24,JJ7&lt;&gt;""),AND(KD7&gt;=KH$20,KD7&lt;&gt;"",KE7&gt;=KH$24,KE7&lt;&gt;""),AND(KY7&gt;=LC$20,KY7&lt;&gt;"",KZ7&gt;=LC$24,KZ7&lt;&gt;""),AND(LT7&gt;=LX$20,LT7&lt;&gt;"",LU7&gt;=LX$24,LU7&lt;&gt;"")),"Excellence",IF(OR(AND(AH7&gt;=AL$19,AH7&lt;&gt;"",AI7&gt;=AL$23,AI7&lt;&gt;"",AG7=""),AND(BD7&gt;=BH$19,BD7&lt;&gt;"",BE7&gt;=BH$23,BE7&lt;&gt;"",BC7=""),AND(BZ7&gt;=CD$19,BZ7&lt;&gt;"",CA7&gt;=CD$23,CA7&lt;&gt;"",BY7=""),AND(CW7&gt;=DA$19,CW7&lt;&gt;"",CX7&gt;=DA$23,CX7&lt;&gt;""),AND(DR7&gt;=DV$19,DR7&lt;&gt;"",DS7&gt;=DV$23,DS7&lt;&gt;""),AND(EM7&gt;=EQ$19,EM7&lt;&gt;"",EN7&gt;=EQ$23,EN7&lt;&gt;""),AND(FH7&gt;=FL$19,FH7&lt;&gt;"",FI7&gt;=FL$23,FI7&lt;&gt;""),AND(GC7&gt;=GG$19,GC7&lt;&gt;"",GD7&gt;=GG$23,GD7&lt;&gt;""),AND(GX7&gt;=HB$19,GX7&lt;&gt;"",GY7&gt;=HB$23,GY7&lt;&gt;""),AND(HS7&gt;=HW$19,HS7&lt;&gt;"",HT7&gt;=HW$23,HT7&lt;&gt;""),AND(IN7&gt;=IR$19,IN7&lt;&gt;"",IO7&gt;=IR$23,IO7&lt;&gt;""),AND(JI7&gt;=JM$19,JI7&lt;&gt;"",JJ7&gt;=JM$23,JJ7&lt;&gt;""),AND(KD7&gt;=KH$19,KD7&lt;&gt;"",KE7&gt;=KH$23,KE7&lt;&gt;""),AND(KY7&gt;=LC$19,KY7&lt;&gt;"",KZ7&gt;=LC$23,KZ7&lt;&gt;""),AND(LT7&gt;=LX$19,LT7&lt;&gt;"",LU7&gt;=LX$23,LU7&lt;&gt;"")),"Worlds Team",IF(OR(AND(AH7&gt;=AL$18,AH7&lt;&gt;"",AI7&gt;=AL$22,AI7&lt;&gt;"",AG7=""),AND(BD7&gt;=BH$18,BD7&lt;&gt;"",BE7&gt;=BH$22,BE7&lt;&gt;"",BC7=""),AND(BZ7&gt;=CD$18,BZ7&lt;&gt;"",CA7&gt;=CD$22,CA7&lt;&gt;"",BY7=""),AND(CW7&gt;=DA$18,CW7&lt;&gt;"",CX7&gt;=DA$22,CX7&lt;&gt;""),AND(DR7&gt;=DV$18,DR7&lt;&gt;"",DS7&gt;=DV$22,DS7&lt;&gt;""),AND(EM7&gt;=EQ$18,EM7&lt;&gt;"",EN7&gt;=EQ$22,EN7&lt;&gt;""),AND(FH7&gt;=FL$18,FH7&lt;&gt;"",FI7&gt;=FL$22,FI7&lt;&gt;""),AND(GC7&gt;=GG$18,GC7&lt;&gt;"",GD7&gt;=GG$22,GD7&lt;&gt;""),AND(GX7&gt;=HB$18,GX7&lt;&gt;"",GY7&gt;=HB$22,GY7&lt;&gt;""),AND(HS7&gt;=HW$18,HS7&lt;&gt;"",HT7&gt;=HW$22,HT7&lt;&gt;""),AND(IN7&gt;=IR$18,IN7&lt;&gt;"",IO7&gt;=IR$22,IO7&lt;&gt;""),AND(JI7&gt;=JM$18,JI7&lt;&gt;"",JJ7&gt;=JM$22,JJ7&lt;&gt;""),AND(KD7&gt;=KH$18,KD7&lt;&gt;"",KE7&gt;=KH$22,KE7&lt;&gt;""),AND(KY7&gt;=LC$18,KY7&lt;&gt;"",KZ7&gt;=LC$22,KZ7&lt;&gt;""),AND(LT7&gt;=LX$18,LT7&lt;&gt;"",LU7&gt;=LX$22,LU7&lt;&gt;"")),"National Team","")))))</f>
        <v>National Team</v>
      </c>
      <c r="I7" s="3" t="str">
        <f>IF(OR(H7="Worlds Team",H7="Excellence",H7="Merit"),"P","")</f>
        <v/>
      </c>
      <c r="J7" s="14">
        <f>MAX(AL7,BH7,CD7)</f>
        <v>130.32500000000002</v>
      </c>
      <c r="K7" s="14" t="str">
        <f>IF(J7=0,"",IF(J7=CD7,$BI$1,IF(J7=BH7,$AM$1,IF(J7=AL7,$Q$1,""))))</f>
        <v>2021 1st Virtual Technical Trial</v>
      </c>
      <c r="L7" s="14">
        <f>IF(J7=AL7,MAX(BE7,BG7,CA7,CC7),IF(J7=BH7,MAX(AI7,AK7,CA7,CC7),MAX(AI7,AK7,BE7,BG7)))</f>
        <v>63.699999999999996</v>
      </c>
      <c r="M7" s="14" t="str">
        <f>IF(L7=0,"",IF(AND(J7&lt;&gt;CD7,OR(L7=CA7,L7=CC7)),$BI$1,IF(AND(J7&lt;&gt;BH7,OR(L7=BG7,L7=BE7)),$AM$1,IF(OR(L7=AK7,L7=AI7),$Q$1,""))))</f>
        <v>2019 Elite Canada</v>
      </c>
      <c r="N7" s="14" t="str">
        <f>IF(MAX(CE7:CF7)&gt;0,MAX(CE7:CF7),"")</f>
        <v/>
      </c>
      <c r="O7" s="24" t="str">
        <f>IF(N7="","",IF(N7=CE7,"(4 Pass)",IF(N7=CF7,"(2 Pass)")))</f>
        <v/>
      </c>
      <c r="P7" s="14" t="str">
        <f>IF(N7="","",IF(N7=CE7,IF(N7+IF(J7="",0,J7)=DA7,$CG$1,IF(N7+IF(J7="",0,J7)=DV7,$DB$1,IF(N7+IF(J7="",0,J7)=EQ7,$DW$1,IF(N7+IF(J7="",0,J7)=FL7,$ER$1,IF(N7+IF(J7="",0,J7)=GG7,$FM$1,IF(N7+IF(J7="",0,J7)=HB7,$GH$1,IF(N7+IF(J7="",0,J7)=HW7,$HC$1,IF(N7+IF(J7="",0,J7)=IR7,$HX$1,IF(N7+IF(J7="",0,J7)=JM7,$IS$1,IF(N7+IF(J7="",0,J7)=KH7,$JN$1,IF(N7+IF(J7="",0,J7)=LC7,$KI$1,IF(N7+IF(J7="",0,J7)=LX7,$LD$1)))))))))))),IF(N7=CF7,IF(OR(N7+IF(L7="",0,L7)=CX7,N7+IF(L7="",0,L7)=CZ7),$CG$1,IF(OR(N7+IF(L7="",0,L7)=DS7,N7+IF(L7="",0,L7)=DU7),$DB$1,IF(OR(N7+IF(L7="",0,L7)=EN7,N7+IF(L7="",0,L7)=EP7),$DW$1,IF(OR(N7+IF(L7="",0,L7)=FI7,N7+IF(L7="",0,L7)=FK7),$ER$1,IF(OR(N7+IF(L7="",0,L7)=GD7,N7+IF(L7="",0,L7)=GF7),$FM$1,IF(OR(N7+IF(L7="",0,L7)=GY7,N7+IF(L7="",0,L7)=HA7),$GH$1,IF(OR(N7+IF(L7="",0,L7)=HT7,N7+IF(L7="",0,L7)=HV7),$HC$1,IF(OR(N7+IF(L7="",0,L7)=IO7,N7+IF(L7="",0,L7)=IQ7),$HX$1,IF(OR(N7+IF(L7="",0,L7)=JJ7,N7+IF(L7="",0,L7)=JL7),$IS$1,IF(OR(N7+IF(L7="",0,L7)=KE7,N7+IF(L7="",0,L7)=KG7),$JN$1,IF(OR(N7+IF(L7="",0,L7)=KZ7,N7+IF(L7="",0,L7)=LB7),$KI$1,IF(OR(N7+IF(L7="",0,L7)=LU7,N7+IF(L7="",0,L7)=LW7),$LD$1)))))))))))))))</f>
        <v/>
      </c>
      <c r="Q7" s="61">
        <v>27</v>
      </c>
      <c r="R7" s="61">
        <v>4.8</v>
      </c>
      <c r="S7" s="61">
        <v>0.3</v>
      </c>
      <c r="T7" s="61">
        <v>0</v>
      </c>
      <c r="U7" s="61">
        <v>27.2</v>
      </c>
      <c r="V7" s="61">
        <v>4.8</v>
      </c>
      <c r="W7" s="61">
        <v>0.3</v>
      </c>
      <c r="X7" s="61">
        <v>0.5</v>
      </c>
      <c r="Y7" s="61">
        <v>28.4</v>
      </c>
      <c r="Z7" s="61">
        <v>3.4</v>
      </c>
      <c r="AA7" s="61">
        <v>0</v>
      </c>
      <c r="AB7" s="61">
        <v>0</v>
      </c>
      <c r="AC7" s="61">
        <v>28.3</v>
      </c>
      <c r="AD7" s="61">
        <v>3.3</v>
      </c>
      <c r="AE7" s="61">
        <v>0</v>
      </c>
      <c r="AF7" s="61">
        <v>0</v>
      </c>
      <c r="AG7" s="72"/>
      <c r="AH7" s="11">
        <f>IF(SUM(R7,V7)&gt;0,SUM(R7,V7),"")</f>
        <v>9.6</v>
      </c>
      <c r="AI7" s="11">
        <f>IF(SUM(Q7:R7,T7:V7,X7)-SUM(S7,W7)&gt;0,SUM(Q7:R7,T7:V7,X7)-SUM(S7,W7),"")</f>
        <v>63.699999999999996</v>
      </c>
      <c r="AJ7" s="11">
        <f>IF(SUM(Z7,AD7)&gt;0,SUM(Z7,AD7),"")</f>
        <v>6.6999999999999993</v>
      </c>
      <c r="AK7" s="11">
        <f>IF(SUM(Y7:Z7,AB7:AD7,AF7)-SUM(AA7,AE7)&gt;0,SUM(Y7:Z7,AB7:AD7,AF7)-SUM(AA7,AE7),"")</f>
        <v>63.399999999999991</v>
      </c>
      <c r="AL7" s="11">
        <f>IF(SUM(AI7,AK7)&gt;0,SUM(AI7,AK7),"")</f>
        <v>127.1</v>
      </c>
      <c r="AM7" s="36">
        <v>27.5</v>
      </c>
      <c r="AN7" s="36">
        <v>4.8</v>
      </c>
      <c r="AO7" s="36">
        <v>0.9</v>
      </c>
      <c r="AP7" s="36">
        <v>0.5</v>
      </c>
      <c r="AQ7" s="36">
        <v>26.6</v>
      </c>
      <c r="AR7" s="36">
        <v>5.2</v>
      </c>
      <c r="AS7" s="36">
        <v>1.2</v>
      </c>
      <c r="AT7" s="36">
        <v>0</v>
      </c>
      <c r="AU7" s="36">
        <v>28.2</v>
      </c>
      <c r="AV7" s="36">
        <v>3.4</v>
      </c>
      <c r="AW7" s="36">
        <v>0</v>
      </c>
      <c r="AX7" s="36">
        <v>0</v>
      </c>
      <c r="AY7" s="36">
        <v>27.8</v>
      </c>
      <c r="AZ7" s="36">
        <v>3.3</v>
      </c>
      <c r="BA7" s="36">
        <v>0</v>
      </c>
      <c r="BB7" s="36">
        <v>0</v>
      </c>
      <c r="BC7" s="73"/>
      <c r="BD7" s="14">
        <f>IF(SUM(AN7,AR7)&gt;0,SUM(AN7,AR7),"")</f>
        <v>10</v>
      </c>
      <c r="BE7" s="14">
        <f>IF(SUM(AM7:AN7,AP7:AR7,AT7)-SUM(AO7,AS7)&gt;0,SUM(AM7:AN7,AP7:AR7,AT7)-SUM(AO7,AS7),"")</f>
        <v>62.499999999999993</v>
      </c>
      <c r="BF7" s="14">
        <f>IF(SUM(AV7,AZ7)&gt;0,SUM(AV7,AZ7),"")</f>
        <v>6.6999999999999993</v>
      </c>
      <c r="BG7" s="14">
        <f>IF(SUM(AU7:AV7,AX7:AZ7,BB7)-SUM(AW7,BA7)&gt;0,SUM(AU7:AV7,AX7:AZ7,BB7)-SUM(AW7,BA7),"")</f>
        <v>62.699999999999996</v>
      </c>
      <c r="BH7" s="14">
        <f>IF(SUM(BE7,BG7)&gt;0,SUM(BE7,BG7),"")</f>
        <v>125.19999999999999</v>
      </c>
      <c r="BI7" s="61">
        <v>28.4</v>
      </c>
      <c r="BJ7" s="61">
        <v>5.2</v>
      </c>
      <c r="BK7" s="61">
        <v>0</v>
      </c>
      <c r="BL7" s="61">
        <v>0</v>
      </c>
      <c r="BM7" s="61">
        <v>28.225000000000001</v>
      </c>
      <c r="BN7" s="61">
        <v>5.2</v>
      </c>
      <c r="BO7" s="61">
        <v>0.3</v>
      </c>
      <c r="BP7" s="61">
        <v>0.3</v>
      </c>
      <c r="BQ7" s="61">
        <v>27.3</v>
      </c>
      <c r="BR7" s="61">
        <v>4.4000000000000004</v>
      </c>
      <c r="BS7" s="61">
        <v>0</v>
      </c>
      <c r="BT7" s="61">
        <v>0</v>
      </c>
      <c r="BU7" s="61">
        <v>27.9</v>
      </c>
      <c r="BV7" s="61">
        <v>3.7</v>
      </c>
      <c r="BW7" s="61">
        <v>0</v>
      </c>
      <c r="BX7" s="61">
        <v>0</v>
      </c>
      <c r="BY7" s="72"/>
      <c r="BZ7" s="11">
        <f>IF(SUM(BJ7,BN7)&gt;0,SUM(BJ7,BN7),"")</f>
        <v>10.4</v>
      </c>
      <c r="CA7" s="11">
        <f>IF(SUM(BI7:BJ7,BL7:BN7,BP7)-SUM(BK7,BO7)&gt;0,SUM(BI7:BJ7,BL7:BN7,BP7)-SUM(BK7,BO7),"")</f>
        <v>67.025000000000006</v>
      </c>
      <c r="CB7" s="11">
        <f>IF(SUM(BR7,BV7)&gt;0,SUM(BR7,BV7),"")</f>
        <v>8.1000000000000014</v>
      </c>
      <c r="CC7" s="11">
        <f>IF(SUM(BQ7:BR7,BT7:BV7,BX7)-SUM(BS7,BW7)&gt;0,SUM(BQ7:BR7,BT7:BV7,BX7)-SUM(BS7,BW7),"")</f>
        <v>63.300000000000004</v>
      </c>
      <c r="CD7" s="11">
        <f>IF(SUM(CA7,CC7)&gt;0,SUM(CA7,CC7),"")</f>
        <v>130.32500000000002</v>
      </c>
      <c r="CE7" s="23" t="str">
        <f>IF(MAX(DA7,DV7,EQ7,FL7,GG7,HB7,HW7,IR7,JM7,KH7,LC7,LX7)-IF(J7="",0,J7)&gt;0.001,MAX(DA7,DV7,EQ7,FL7,GG7,HB7,HW7,IR7,JM7,KH7,LC7,LX7)-IF(J7="",0,J7),"")</f>
        <v/>
      </c>
      <c r="CF7" s="23" t="str">
        <f>IF(MAX(CX7,CZ7,DS7,DU7,EN7,EP7,FI7,FK7,GD7,GF7,GY7,HA7,HT7,HV7,IO7,IQ7,JJ7,JL7,KE7,KG7,KZ7,LB7,LU7,LW7)-IF(L7="",0,L7)&gt;0.001,MAX(CX7,CZ7,DS7,DU7,EN7,EP7,FI7,FK7,GD7,GF7,GY7,HA7,HT7,HV7,IO7,IQ7,JJ7,JL7,KE7,KG7,KZ7,LB7,LU7,LW7)-IF(L7="",0,L7),"")</f>
        <v/>
      </c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11" t="str">
        <f>IF(SUM(CH7,CL7)&gt;0,SUM(CH7,CL7),"")</f>
        <v/>
      </c>
      <c r="CX7" s="11" t="str">
        <f>IF(SUM(CG7:CH7,CJ7:CL7,CN7)-SUM(CI7,CM7)&gt;0,SUM(CG7:CH7,CJ7:CL7,CN7)-SUM(CI7,CM7),"")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27.95</v>
      </c>
      <c r="LZ7" s="61">
        <f>IF($BY7="P",BJ7,(BJ7+AN7)/2)</f>
        <v>5</v>
      </c>
      <c r="MA7" s="61">
        <f>IF($BY7="P",BK7,(BK7+AO7)/2)</f>
        <v>0.45</v>
      </c>
      <c r="MB7" s="61">
        <f>IF($BY7="P",BL7,(BL7+AP7)/2)</f>
        <v>0.25</v>
      </c>
      <c r="MC7" s="61">
        <f>IF($BY7="P",BM7,(BM7+AQ7)/2)</f>
        <v>27.412500000000001</v>
      </c>
      <c r="MD7" s="61">
        <f>IF($BY7="P",BN7,(BN7+AR7)/2)</f>
        <v>5.2</v>
      </c>
      <c r="ME7" s="61">
        <f>IF($BY7="P",BO7,(BO7+AS7)/2)</f>
        <v>0.75</v>
      </c>
      <c r="MF7" s="61">
        <f>IF($BY7="P",BP7,(BP7+AT7)/2)</f>
        <v>0.15</v>
      </c>
      <c r="MG7" s="61">
        <f>IF($BY7="P",BQ7,(BQ7+AU7)/2)</f>
        <v>27.75</v>
      </c>
      <c r="MH7" s="61">
        <f>IF($BY7="P",BR7,(BR7+AV7)/2)</f>
        <v>3.9000000000000004</v>
      </c>
      <c r="MI7" s="61">
        <f>IF($BY7="P",BS7,(BS7+AW7)/2)</f>
        <v>0</v>
      </c>
      <c r="MJ7" s="61">
        <f>IF($BY7="P",BT7,(BT7+AX7)/2)</f>
        <v>0</v>
      </c>
      <c r="MK7" s="61">
        <f>IF($BY7="P",BU7,(BU7+AY7)/2)</f>
        <v>27.85</v>
      </c>
      <c r="ML7" s="61">
        <f>IF($BY7="P",BV7,(BV7+AZ7)/2)</f>
        <v>3.5</v>
      </c>
      <c r="MM7" s="61">
        <f>IF($BY7="P",BW7,(BW7+BA7)/2)</f>
        <v>0</v>
      </c>
      <c r="MN7" s="61">
        <f>IF($BY7="P",BX7,(BX7+BB7)/2)</f>
        <v>0</v>
      </c>
      <c r="MO7" s="72" t="s">
        <v>52</v>
      </c>
      <c r="MP7" s="11">
        <f>IF(SUM(LZ7,MD7)&gt;0,SUM(LZ7,MD7),"")</f>
        <v>10.199999999999999</v>
      </c>
      <c r="MQ7" s="11">
        <f>IF(SUM(LY7:LZ7,MB7:MD7,MF7)-SUM(MA7,ME7)&gt;0,SUM(LY7:LZ7,MB7:MD7,MF7)-SUM(MA7,ME7),"")</f>
        <v>64.762500000000003</v>
      </c>
      <c r="MR7" s="11">
        <f>IF(SUM(MH7,ML7)&gt;0,SUM(MH7,ML7),"")</f>
        <v>7.4</v>
      </c>
      <c r="MS7" s="11">
        <f>IF(SUM(MG7:MH7,MJ7:ML7,MN7)-SUM(MI7,MM7)&gt;0,SUM(MG7:MH7,MJ7:ML7,MN7)-SUM(MI7,MM7),"")</f>
        <v>63</v>
      </c>
      <c r="MT7" s="11">
        <f>IF(SUM(MQ7,MS7)&gt;0,SUM(MQ7,MS7),"")</f>
        <v>127.7625</v>
      </c>
    </row>
    <row r="8" spans="1:358" x14ac:dyDescent="0.2">
      <c r="A8" s="5">
        <f>IF(AND(F8="P",G8="P"),SUMPRODUCT((F$4:F$16="P")*(G$4:G$16="P")*(E$4:E$16&gt;E8))+1,IF(G8="P",SUMPRODUCT((F$4:F$16="")*(G$4:G$16="P")*(E$4:E$16&gt;E8))+1+SUMPRODUCT((F$4:F$16="P")*(G$4:G$16="P")),""))</f>
        <v>5</v>
      </c>
      <c r="B8" s="8" t="s">
        <v>143</v>
      </c>
      <c r="C8" s="4" t="s">
        <v>5</v>
      </c>
      <c r="D8" s="5">
        <v>2001</v>
      </c>
      <c r="E8" s="15">
        <f>SUM(J8:N8)</f>
        <v>192.7</v>
      </c>
      <c r="F8" s="3" t="str">
        <f>IF(OR(AND(AH8&gt;=AL$18,AI8&gt;=AL$22,AI8&lt;&gt;"",AG8=""),AND(BD8&gt;=BH$18,BE8&gt;=BH$22,BE8&lt;&gt;"",BC8=""),AND(BZ8&gt;=CD$18,CA8&gt;=CD$22,CA8&lt;&gt;"",BY8=""),AND(CW8&gt;=DA$18,CX8&gt;=DA$22,CX8&lt;&gt;""),AND(DR8&gt;=DV$18,DS8&gt;=DV$22,DS8&lt;&gt;""),AND(EM8&gt;=EQ$18,EN8&gt;=EQ$22,EN8&lt;&gt;""),AND(FH8&gt;=FL$18,FI8&gt;=FL$22,FI8&lt;&gt;""),AND(GC8&gt;=GG$18,GD8&gt;=GG$22,GD8&lt;&gt;""),AND(GX8&gt;=HB$18,GY8&gt;=HB$22,GY8&lt;&gt;""),AND(HS8&gt;=HW$18,HT8&gt;=HW$22,HT8&lt;&gt;""),AND(IN8&gt;=IR$18,IO8&gt;=IR$22,IO8&lt;&gt;""),AND(JI8&gt;=JM$18,JJ8&gt;=JM$22,JJ8&lt;&gt;""),AND(KD8&gt;=KH$18,KE8&gt;=KH$22,KE8&lt;&gt;""),AND(KY8&gt;=LC$18,KZ8&gt;=LC$22,KZ8&lt;&gt;""),AND(LT8&gt;=LX$18,LU8&gt;=LX$22,LU8&lt;&gt;"")),"P","")</f>
        <v>P</v>
      </c>
      <c r="G8" s="3" t="str">
        <f>IF(OR(AND(AI8&gt;=AL$22,AI8&lt;&gt;"",AG8=""),AND(BE8&gt;=BH$22,BE8&lt;&gt;"",BC8=""),AND(CA8&gt;=CD$22,CA8&lt;&gt;"",BY8=""),AND(CX8&gt;=DA$22,CX8&lt;&gt;""),AND(DS8&gt;=DV$22,DS8&lt;&gt;""),AND(EN8&gt;=EQ$22,EN8&lt;&gt;""),AND(FI8&gt;=FL$22,FI8&lt;&gt;""),AND(GD8&gt;=GG$22,GD8&lt;&gt;""),AND(GY8&gt;=HB$22,GY8&lt;&gt;""),AND(HT8&gt;=HW$22,HT8&lt;&gt;""),AND(IO8&gt;=IR$22,IO8&lt;&gt;""),AND(JJ8&gt;=JM$22,JJ8&lt;&gt;""),AND(KE8&gt;=KH$22,KE8&lt;&gt;""),AND(KZ8&gt;=LC$22,KZ8&lt;&gt;""),AND(LU8&gt;=LX$22,LU8&lt;&gt;"")),"P","")</f>
        <v>P</v>
      </c>
      <c r="H8" s="116" t="str">
        <f>IF(AND(G8="P",F8=""),"No DD",IF(OR(AND(AH8&gt;=AL$21,AH8&lt;&gt;"",AI8&gt;=AL$25,AI8&lt;&gt;"",AG8=""),AND(BD8&gt;=BH$21,BD8&lt;&gt;"",BE8&gt;=BH$25,BE8&lt;&gt;"",BC8=""),AND(BZ8&gt;=CD$21,BZ8&lt;&gt;"",CA8&gt;=CD$25,CA8&lt;&gt;"",BY8=""),AND(CW8&gt;=DA$21,CW8&lt;&gt;"",CX8&gt;=DA$25,CX8&lt;&gt;""),AND(DR8&gt;=DV$21,DR8&lt;&gt;"",DS8&gt;=DV$25,DS8&lt;&gt;""),AND(EM8&gt;=EQ$21,EM8&lt;&gt;"",EN8&gt;=EQ$25,EN8&lt;&gt;""),AND(FH8&gt;=FL$21,FH8&lt;&gt;"",FI8&gt;=FL$25,FI8&lt;&gt;""),AND(GC8&gt;=GG$21,GC8&lt;&gt;"",GD8&gt;=GG$25,GD8&lt;&gt;""),AND(GX8&gt;=HB$21,GX8&lt;&gt;"",GY8&gt;=HB$25,GY8&lt;&gt;""),AND(HS8&gt;=HW$21,HS8&lt;&gt;"",HT8&gt;=HW$25,HT8&lt;&gt;""),AND(IN8&gt;=IR$21,IN8&lt;&gt;"",IO8&gt;=IR$25,IO8&lt;&gt;""),AND(JI8&gt;=JM$21,JI8&lt;&gt;"",JJ8&gt;=JM$25,JJ8&lt;&gt;""),AND(KD8&gt;=KH$21,KD8&lt;&gt;"",KE8&gt;=KH$25,KE8&lt;&gt;""),AND(KY8&gt;=LC$21,KY8&lt;&gt;"",KZ8&gt;=LC$25,KZ8&lt;&gt;""),AND(LT8&gt;=LX$21,LT8&lt;&gt;"",LU8&gt;=LX$25,LU8&lt;&gt;"")),"Merit",IF(OR(AND(AH8&gt;=AL$20,AH8&lt;&gt;"",AI8&gt;=AL$24,AI8&lt;&gt;"",AG8=""),AND(BD8&gt;=BH$20,BD8&lt;&gt;"",BE8&gt;=BH$24,BE8&lt;&gt;"",BC8=""),AND(BZ8&gt;=CD$20,BZ8&lt;&gt;"",CA8&gt;=CD$24,CA8&lt;&gt;"",BY8=""),AND(CW8&gt;=DA$20,CW8&lt;&gt;"",CX8&gt;=DA$24,CX8&lt;&gt;""),AND(DR8&gt;=DV$20,DR8&lt;&gt;"",DS8&gt;=DV$24,DS8&lt;&gt;""),AND(EM8&gt;=EQ$20,EM8&lt;&gt;"",EN8&gt;=EQ$24,EN8&lt;&gt;""),AND(FH8&gt;=FL$20,FH8&lt;&gt;"",FI8&gt;=FL$24,FI8&lt;&gt;""),AND(GC8&gt;=GG$20,GC8&lt;&gt;"",GD8&gt;=GG$24,GD8&lt;&gt;""),AND(GX8&gt;=HB$20,GX8&lt;&gt;"",GY8&gt;=HB$24,GY8&lt;&gt;""),AND(HS8&gt;=HW$20,HS8&lt;&gt;"",HT8&gt;=HW$24,HT8&lt;&gt;""),AND(IN8&gt;=IR$20,IN8&lt;&gt;"",IO8&gt;=IR$24,IO8&lt;&gt;""),AND(JI8&gt;=JM$20,JI8&lt;&gt;"",JJ8&gt;=JM$24,JJ8&lt;&gt;""),AND(KD8&gt;=KH$20,KD8&lt;&gt;"",KE8&gt;=KH$24,KE8&lt;&gt;""),AND(KY8&gt;=LC$20,KY8&lt;&gt;"",KZ8&gt;=LC$24,KZ8&lt;&gt;""),AND(LT8&gt;=LX$20,LT8&lt;&gt;"",LU8&gt;=LX$24,LU8&lt;&gt;"")),"Excellence",IF(OR(AND(AH8&gt;=AL$19,AH8&lt;&gt;"",AI8&gt;=AL$23,AI8&lt;&gt;"",AG8=""),AND(BD8&gt;=BH$19,BD8&lt;&gt;"",BE8&gt;=BH$23,BE8&lt;&gt;"",BC8=""),AND(BZ8&gt;=CD$19,BZ8&lt;&gt;"",CA8&gt;=CD$23,CA8&lt;&gt;"",BY8=""),AND(CW8&gt;=DA$19,CW8&lt;&gt;"",CX8&gt;=DA$23,CX8&lt;&gt;""),AND(DR8&gt;=DV$19,DR8&lt;&gt;"",DS8&gt;=DV$23,DS8&lt;&gt;""),AND(EM8&gt;=EQ$19,EM8&lt;&gt;"",EN8&gt;=EQ$23,EN8&lt;&gt;""),AND(FH8&gt;=FL$19,FH8&lt;&gt;"",FI8&gt;=FL$23,FI8&lt;&gt;""),AND(GC8&gt;=GG$19,GC8&lt;&gt;"",GD8&gt;=GG$23,GD8&lt;&gt;""),AND(GX8&gt;=HB$19,GX8&lt;&gt;"",GY8&gt;=HB$23,GY8&lt;&gt;""),AND(HS8&gt;=HW$19,HS8&lt;&gt;"",HT8&gt;=HW$23,HT8&lt;&gt;""),AND(IN8&gt;=IR$19,IN8&lt;&gt;"",IO8&gt;=IR$23,IO8&lt;&gt;""),AND(JI8&gt;=JM$19,JI8&lt;&gt;"",JJ8&gt;=JM$23,JJ8&lt;&gt;""),AND(KD8&gt;=KH$19,KD8&lt;&gt;"",KE8&gt;=KH$23,KE8&lt;&gt;""),AND(KY8&gt;=LC$19,KY8&lt;&gt;"",KZ8&gt;=LC$23,KZ8&lt;&gt;""),AND(LT8&gt;=LX$19,LT8&lt;&gt;"",LU8&gt;=LX$23,LU8&lt;&gt;"")),"Worlds Team",IF(OR(AND(AH8&gt;=AL$18,AH8&lt;&gt;"",AI8&gt;=AL$22,AI8&lt;&gt;"",AG8=""),AND(BD8&gt;=BH$18,BD8&lt;&gt;"",BE8&gt;=BH$22,BE8&lt;&gt;"",BC8=""),AND(BZ8&gt;=CD$18,BZ8&lt;&gt;"",CA8&gt;=CD$22,CA8&lt;&gt;"",BY8=""),AND(CW8&gt;=DA$18,CW8&lt;&gt;"",CX8&gt;=DA$22,CX8&lt;&gt;""),AND(DR8&gt;=DV$18,DR8&lt;&gt;"",DS8&gt;=DV$22,DS8&lt;&gt;""),AND(EM8&gt;=EQ$18,EM8&lt;&gt;"",EN8&gt;=EQ$22,EN8&lt;&gt;""),AND(FH8&gt;=FL$18,FH8&lt;&gt;"",FI8&gt;=FL$22,FI8&lt;&gt;""),AND(GC8&gt;=GG$18,GC8&lt;&gt;"",GD8&gt;=GG$22,GD8&lt;&gt;""),AND(GX8&gt;=HB$18,GX8&lt;&gt;"",GY8&gt;=HB$22,GY8&lt;&gt;""),AND(HS8&gt;=HW$18,HS8&lt;&gt;"",HT8&gt;=HW$22,HT8&lt;&gt;""),AND(IN8&gt;=IR$18,IN8&lt;&gt;"",IO8&gt;=IR$22,IO8&lt;&gt;""),AND(JI8&gt;=JM$18,JI8&lt;&gt;"",JJ8&gt;=JM$22,JJ8&lt;&gt;""),AND(KD8&gt;=KH$18,KD8&lt;&gt;"",KE8&gt;=KH$22,KE8&lt;&gt;""),AND(KY8&gt;=LC$18,KY8&lt;&gt;"",KZ8&gt;=LC$22,KZ8&lt;&gt;""),AND(LT8&gt;=LX$18,LT8&lt;&gt;"",LU8&gt;=LX$22,LU8&lt;&gt;"")),"National Team","")))))</f>
        <v>National Team</v>
      </c>
      <c r="I8" s="3" t="str">
        <f>IF(OR(H8="Worlds Team",H8="Excellence",H8="Merit"),"P","")</f>
        <v/>
      </c>
      <c r="J8" s="14">
        <f>MAX(AL8,BH8,CD8)</f>
        <v>129.29999999999998</v>
      </c>
      <c r="K8" s="14" t="str">
        <f>IF(J8=0,"",IF(J8=CD8,$BI$1,IF(J8=BH8,$AM$1,IF(J8=AL8,$Q$1,""))))</f>
        <v>2019 Nationals</v>
      </c>
      <c r="L8" s="14">
        <f>IF(J8=AL8,MAX(BE8,BG8,CA8,CC8),IF(J8=BH8,MAX(AI8,AK8,CA8,CC8),MAX(AI8,AK8,BE8,BG8)))</f>
        <v>63.4</v>
      </c>
      <c r="M8" s="14" t="str">
        <f>IF(L8=0,"",IF(AND(J8&lt;&gt;CD8,OR(L8=CA8,L8=CC8)),$BI$1,IF(AND(J8&lt;&gt;BH8,OR(L8=BG8,L8=BE8)),$AM$1,IF(OR(L8=AK8,L8=AI8),$Q$1,""))))</f>
        <v>2019 Elite Canada</v>
      </c>
      <c r="N8" s="14" t="str">
        <f>IF(MAX(CE8:CF8)&gt;0,MAX(CE8:CF8),"")</f>
        <v/>
      </c>
      <c r="O8" s="24" t="str">
        <f>IF(N8="","",IF(N8=CE8,"(4 Pass)",IF(N8=CF8,"(2 Pass)")))</f>
        <v/>
      </c>
      <c r="P8" s="14" t="str">
        <f>IF(N8="","",IF(N8=CE8,IF(N8+IF(J8="",0,J8)=DA8,$CG$1,IF(N8+IF(J8="",0,J8)=DV8,$DB$1,IF(N8+IF(J8="",0,J8)=EQ8,$DW$1,IF(N8+IF(J8="",0,J8)=FL8,$ER$1,IF(N8+IF(J8="",0,J8)=GG8,$FM$1,IF(N8+IF(J8="",0,J8)=HB8,$GH$1,IF(N8+IF(J8="",0,J8)=HW8,$HC$1,IF(N8+IF(J8="",0,J8)=IR8,$HX$1,IF(N8+IF(J8="",0,J8)=JM8,$IS$1,IF(N8+IF(J8="",0,J8)=KH8,$JN$1,IF(N8+IF(J8="",0,J8)=LC8,$KI$1,IF(N8+IF(J8="",0,J8)=LX8,$LD$1)))))))))))),IF(N8=CF8,IF(OR(N8+IF(L8="",0,L8)=CX8,N8+IF(L8="",0,L8)=CZ8),$CG$1,IF(OR(N8+IF(L8="",0,L8)=DS8,N8+IF(L8="",0,L8)=DU8),$DB$1,IF(OR(N8+IF(L8="",0,L8)=EN8,N8+IF(L8="",0,L8)=EP8),$DW$1,IF(OR(N8+IF(L8="",0,L8)=FI8,N8+IF(L8="",0,L8)=FK8),$ER$1,IF(OR(N8+IF(L8="",0,L8)=GD8,N8+IF(L8="",0,L8)=GF8),$FM$1,IF(OR(N8+IF(L8="",0,L8)=GY8,N8+IF(L8="",0,L8)=HA8),$GH$1,IF(OR(N8+IF(L8="",0,L8)=HT8,N8+IF(L8="",0,L8)=HV8),$HC$1,IF(OR(N8+IF(L8="",0,L8)=IO8,N8+IF(L8="",0,L8)=IQ8),$HX$1,IF(OR(N8+IF(L8="",0,L8)=JJ8,N8+IF(L8="",0,L8)=JL8),$IS$1,IF(OR(N8+IF(L8="",0,L8)=KE8,N8+IF(L8="",0,L8)=KG8),$JN$1,IF(OR(N8+IF(L8="",0,L8)=KZ8,N8+IF(L8="",0,L8)=LB8),$KI$1,IF(OR(N8+IF(L8="",0,L8)=LU8,N8+IF(L8="",0,L8)=LW8),$LD$1)))))))))))))))</f>
        <v/>
      </c>
      <c r="Q8" s="61">
        <v>26.6</v>
      </c>
      <c r="R8" s="61">
        <v>4.8</v>
      </c>
      <c r="S8" s="61">
        <v>0.9</v>
      </c>
      <c r="T8" s="61">
        <v>0</v>
      </c>
      <c r="U8" s="61">
        <v>27.3</v>
      </c>
      <c r="V8" s="61">
        <v>5.6</v>
      </c>
      <c r="W8" s="61">
        <v>0</v>
      </c>
      <c r="X8" s="61">
        <v>0</v>
      </c>
      <c r="Y8" s="61">
        <v>27.9</v>
      </c>
      <c r="Z8" s="61">
        <v>3.7</v>
      </c>
      <c r="AA8" s="61">
        <v>1.2</v>
      </c>
      <c r="AB8" s="61">
        <v>0</v>
      </c>
      <c r="AC8" s="61">
        <v>27.7</v>
      </c>
      <c r="AD8" s="61">
        <v>4.8</v>
      </c>
      <c r="AE8" s="61">
        <v>0.9</v>
      </c>
      <c r="AF8" s="61">
        <v>0</v>
      </c>
      <c r="AG8" s="72"/>
      <c r="AH8" s="11">
        <f>IF(SUM(R8,V8)&gt;0,SUM(R8,V8),"")</f>
        <v>10.399999999999999</v>
      </c>
      <c r="AI8" s="11">
        <f>IF(SUM(Q8:R8,T8:V8,X8)-SUM(S8,W8)&gt;0,SUM(Q8:R8,T8:V8,X8)-SUM(S8,W8),"")</f>
        <v>63.4</v>
      </c>
      <c r="AJ8" s="11">
        <f>IF(SUM(Z8,AD8)&gt;0,SUM(Z8,AD8),"")</f>
        <v>8.5</v>
      </c>
      <c r="AK8" s="11">
        <f>IF(SUM(Y8:Z8,AB8:AD8,AF8)-SUM(AA8,AE8)&gt;0,SUM(Y8:Z8,AB8:AD8,AF8)-SUM(AA8,AE8),"")</f>
        <v>61.999999999999993</v>
      </c>
      <c r="AL8" s="11">
        <f>IF(SUM(AI8,AK8)&gt;0,SUM(AI8,AK8),"")</f>
        <v>125.39999999999999</v>
      </c>
      <c r="AM8" s="36">
        <v>27.4</v>
      </c>
      <c r="AN8" s="36">
        <v>4.8</v>
      </c>
      <c r="AO8" s="36">
        <v>0</v>
      </c>
      <c r="AP8" s="36">
        <v>0</v>
      </c>
      <c r="AQ8" s="36">
        <v>28.4</v>
      </c>
      <c r="AR8" s="36">
        <v>5.6</v>
      </c>
      <c r="AS8" s="36">
        <v>0</v>
      </c>
      <c r="AT8" s="36">
        <v>0</v>
      </c>
      <c r="AU8" s="36">
        <v>27.3</v>
      </c>
      <c r="AV8" s="36">
        <v>4.8</v>
      </c>
      <c r="AW8" s="36">
        <v>0.9</v>
      </c>
      <c r="AX8" s="36">
        <v>0</v>
      </c>
      <c r="AY8" s="36">
        <v>27</v>
      </c>
      <c r="AZ8" s="36">
        <v>5.2</v>
      </c>
      <c r="BA8" s="36">
        <v>0.3</v>
      </c>
      <c r="BB8" s="36">
        <v>0</v>
      </c>
      <c r="BC8" s="73"/>
      <c r="BD8" s="14">
        <f>IF(SUM(AN8,AR8)&gt;0,SUM(AN8,AR8),"")</f>
        <v>10.399999999999999</v>
      </c>
      <c r="BE8" s="14">
        <f>IF(SUM(AM8:AN8,AP8:AR8,AT8)-SUM(AO8,AS8)&gt;0,SUM(AM8:AN8,AP8:AR8,AT8)-SUM(AO8,AS8),"")</f>
        <v>66.199999999999989</v>
      </c>
      <c r="BF8" s="14">
        <f>IF(SUM(AV8,AZ8)&gt;0,SUM(AV8,AZ8),"")</f>
        <v>10</v>
      </c>
      <c r="BG8" s="14">
        <f>IF(SUM(AU8:AV8,AX8:AZ8,BB8)-SUM(AW8,BA8)&gt;0,SUM(AU8:AV8,AX8:AZ8,BB8)-SUM(AW8,BA8),"")</f>
        <v>63.099999999999994</v>
      </c>
      <c r="BH8" s="14">
        <f>IF(SUM(BE8,BG8)&gt;0,SUM(BE8,BG8),"")</f>
        <v>129.29999999999998</v>
      </c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72"/>
      <c r="BZ8" s="11" t="str">
        <f>IF(SUM(BJ8,BN8)&gt;0,SUM(BJ8,BN8),"")</f>
        <v/>
      </c>
      <c r="CA8" s="11" t="str">
        <f>IF(SUM(BI8:BJ8,BL8:BN8,BP8)-SUM(BK8,BO8)&gt;0,SUM(BI8:BJ8,BL8:BN8,BP8)-SUM(BK8,BO8),"")</f>
        <v/>
      </c>
      <c r="CB8" s="11" t="str">
        <f>IF(SUM(BR8,BV8)&gt;0,SUM(BR8,BV8),"")</f>
        <v/>
      </c>
      <c r="CC8" s="11" t="str">
        <f>IF(SUM(BQ8:BR8,BT8:BV8,BX8)-SUM(BS8,BW8)&gt;0,SUM(BQ8:BR8,BT8:BV8,BX8)-SUM(BS8,BW8),"")</f>
        <v/>
      </c>
      <c r="CD8" s="11" t="str">
        <f>IF(SUM(CA8,CC8)&gt;0,SUM(CA8,CC8),"")</f>
        <v/>
      </c>
      <c r="CE8" s="23" t="str">
        <f>IF(MAX(DA8,DV8,EQ8,FL8,GG8,HB8,HW8,IR8,JM8,KH8,LC8,LX8)-IF(J8="",0,J8)&gt;0.001,MAX(DA8,DV8,EQ8,FL8,GG8,HB8,HW8,IR8,JM8,KH8,LC8,LX8)-IF(J8="",0,J8),"")</f>
        <v/>
      </c>
      <c r="CF8" s="23" t="str">
        <f>IF(MAX(CX8,CZ8,DS8,DU8,EN8,EP8,FI8,FK8,GD8,GF8,GY8,HA8,HT8,HV8,IO8,IQ8,JJ8,JL8,KE8,KG8,KZ8,LB8,LU8,LW8)-IF(L8="",0,L8)&gt;0.001,MAX(CX8,CZ8,DS8,DU8,EN8,EP8,FI8,FK8,GD8,GF8,GY8,HA8,HT8,HV8,IO8,IQ8,JJ8,JL8,KE8,KG8,KZ8,LB8,LU8,LW8)-IF(L8="",0,L8),"")</f>
        <v/>
      </c>
      <c r="CG8" s="40">
        <v>27.5</v>
      </c>
      <c r="CH8" s="40">
        <v>5.2</v>
      </c>
      <c r="CI8" s="40">
        <v>0</v>
      </c>
      <c r="CJ8" s="40">
        <v>0</v>
      </c>
      <c r="CK8" s="40">
        <v>26.4</v>
      </c>
      <c r="CL8" s="40">
        <v>3.3</v>
      </c>
      <c r="CM8" s="40">
        <v>0.3</v>
      </c>
      <c r="CN8" s="40">
        <v>0</v>
      </c>
      <c r="CO8" s="40"/>
      <c r="CP8" s="40"/>
      <c r="CQ8" s="40"/>
      <c r="CR8" s="40"/>
      <c r="CS8" s="40"/>
      <c r="CT8" s="40"/>
      <c r="CU8" s="40"/>
      <c r="CV8" s="40"/>
      <c r="CW8" s="11">
        <f>IF(SUM(CH8,CL8)&gt;0,SUM(CH8,CL8),"")</f>
        <v>8.5</v>
      </c>
      <c r="CX8" s="11">
        <f>IF(SUM(CG8:CH8,CJ8:CL8,CN8)-SUM(CI8,CM8)&gt;0,SUM(CG8:CH8,CJ8:CL8,CN8)-SUM(CI8,CM8),"")</f>
        <v>62.1</v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>
        <f>IF(SUM(CX8,CZ8)&gt;0,SUM(CX8,CZ8),"")</f>
        <v>62.1</v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13.7</v>
      </c>
      <c r="LZ8" s="61">
        <f>IF($BY8="P",BJ8,(BJ8+AN8)/2)</f>
        <v>2.4</v>
      </c>
      <c r="MA8" s="61">
        <f>IF($BY8="P",BK8,(BK8+AO8)/2)</f>
        <v>0</v>
      </c>
      <c r="MB8" s="61">
        <f>IF($BY8="P",BL8,(BL8+AP8)/2)</f>
        <v>0</v>
      </c>
      <c r="MC8" s="61">
        <f>IF($BY8="P",BM8,(BM8+AQ8)/2)</f>
        <v>14.2</v>
      </c>
      <c r="MD8" s="61">
        <f>IF($BY8="P",BN8,(BN8+AR8)/2)</f>
        <v>2.8</v>
      </c>
      <c r="ME8" s="61">
        <f>IF($BY8="P",BO8,(BO8+AS8)/2)</f>
        <v>0</v>
      </c>
      <c r="MF8" s="61">
        <f>IF($BY8="P",BP8,(BP8+AT8)/2)</f>
        <v>0</v>
      </c>
      <c r="MG8" s="61">
        <f>IF($BY8="P",BQ8,(BQ8+AU8)/2)</f>
        <v>13.65</v>
      </c>
      <c r="MH8" s="61">
        <f>IF($BY8="P",BR8,(BR8+AV8)/2)</f>
        <v>2.4</v>
      </c>
      <c r="MI8" s="61">
        <f>IF($BY8="P",BS8,(BS8+AW8)/2)</f>
        <v>0.45</v>
      </c>
      <c r="MJ8" s="61">
        <f>IF($BY8="P",BT8,(BT8+AX8)/2)</f>
        <v>0</v>
      </c>
      <c r="MK8" s="61">
        <f>IF($BY8="P",BU8,(BU8+AY8)/2)</f>
        <v>13.5</v>
      </c>
      <c r="ML8" s="61">
        <f>IF($BY8="P",BV8,(BV8+AZ8)/2)</f>
        <v>2.6</v>
      </c>
      <c r="MM8" s="61">
        <f>IF($BY8="P",BW8,(BW8+BA8)/2)</f>
        <v>0.15</v>
      </c>
      <c r="MN8" s="61">
        <f>IF($BY8="P",BX8,(BX8+BB8)/2)</f>
        <v>0</v>
      </c>
      <c r="MO8" s="72" t="s">
        <v>52</v>
      </c>
      <c r="MP8" s="11">
        <f>IF(SUM(LZ8,MD8)&gt;0,SUM(LZ8,MD8),"")</f>
        <v>5.1999999999999993</v>
      </c>
      <c r="MQ8" s="11">
        <f>IF(SUM(LY8:LZ8,MB8:MD8,MF8)-SUM(MA8,ME8)&gt;0,SUM(LY8:LZ8,MB8:MD8,MF8)-SUM(MA8,ME8),"")</f>
        <v>33.099999999999994</v>
      </c>
      <c r="MR8" s="11">
        <f>IF(SUM(MH8,ML8)&gt;0,SUM(MH8,ML8),"")</f>
        <v>5</v>
      </c>
      <c r="MS8" s="11">
        <f>IF(SUM(MG8:MH8,MJ8:ML8,MN8)-SUM(MI8,MM8)&gt;0,SUM(MG8:MH8,MJ8:ML8,MN8)-SUM(MI8,MM8),"")</f>
        <v>31.549999999999997</v>
      </c>
      <c r="MT8" s="11">
        <f>IF(SUM(MQ8,MS8)&gt;0,SUM(MQ8,MS8),"")</f>
        <v>64.649999999999991</v>
      </c>
    </row>
    <row r="9" spans="1:358" x14ac:dyDescent="0.2">
      <c r="A9" s="5">
        <f>IF(AND(F9="P",G9="P"),SUMPRODUCT((F$4:F$16="P")*(G$4:G$16="P")*(E$4:E$16&gt;E9))+1,IF(G9="P",SUMPRODUCT((F$4:F$16="")*(G$4:G$16="P")*(E$4:E$16&gt;E9))+1+SUMPRODUCT((F$4:F$16="P")*(G$4:G$16="P")),""))</f>
        <v>6</v>
      </c>
      <c r="B9" s="8" t="s">
        <v>95</v>
      </c>
      <c r="C9" s="4" t="s">
        <v>4</v>
      </c>
      <c r="D9" s="5">
        <v>2002</v>
      </c>
      <c r="E9" s="15">
        <f>SUM(J9:N9)</f>
        <v>175.2</v>
      </c>
      <c r="F9" s="3" t="str">
        <f>IF(OR(AND(AH9&gt;=AL$18,AI9&gt;=AL$22,AI9&lt;&gt;"",AG9=""),AND(BD9&gt;=BH$18,BE9&gt;=BH$22,BE9&lt;&gt;"",BC9=""),AND(BZ9&gt;=CD$18,CA9&gt;=CD$22,CA9&lt;&gt;"",BY9=""),AND(CW9&gt;=DA$18,CX9&gt;=DA$22,CX9&lt;&gt;""),AND(DR9&gt;=DV$18,DS9&gt;=DV$22,DS9&lt;&gt;""),AND(EM9&gt;=EQ$18,EN9&gt;=EQ$22,EN9&lt;&gt;""),AND(FH9&gt;=FL$18,FI9&gt;=FL$22,FI9&lt;&gt;""),AND(GC9&gt;=GG$18,GD9&gt;=GG$22,GD9&lt;&gt;""),AND(GX9&gt;=HB$18,GY9&gt;=HB$22,GY9&lt;&gt;""),AND(HS9&gt;=HW$18,HT9&gt;=HW$22,HT9&lt;&gt;""),AND(IN9&gt;=IR$18,IO9&gt;=IR$22,IO9&lt;&gt;""),AND(JI9&gt;=JM$18,JJ9&gt;=JM$22,JJ9&lt;&gt;""),AND(KD9&gt;=KH$18,KE9&gt;=KH$22,KE9&lt;&gt;""),AND(KY9&gt;=LC$18,KZ9&gt;=LC$22,KZ9&lt;&gt;""),AND(LT9&gt;=LX$18,LU9&gt;=LX$22,LU9&lt;&gt;"")),"P","")</f>
        <v>P</v>
      </c>
      <c r="G9" s="3" t="str">
        <f>IF(OR(AND(AI9&gt;=AL$22,AI9&lt;&gt;"",AG9=""),AND(BE9&gt;=BH$22,BE9&lt;&gt;"",BC9=""),AND(CA9&gt;=CD$22,CA9&lt;&gt;"",BY9=""),AND(CX9&gt;=DA$22,CX9&lt;&gt;""),AND(DS9&gt;=DV$22,DS9&lt;&gt;""),AND(EN9&gt;=EQ$22,EN9&lt;&gt;""),AND(FI9&gt;=FL$22,FI9&lt;&gt;""),AND(GD9&gt;=GG$22,GD9&lt;&gt;""),AND(GY9&gt;=HB$22,GY9&lt;&gt;""),AND(HT9&gt;=HW$22,HT9&lt;&gt;""),AND(IO9&gt;=IR$22,IO9&lt;&gt;""),AND(JJ9&gt;=JM$22,JJ9&lt;&gt;""),AND(KE9&gt;=KH$22,KE9&lt;&gt;""),AND(KZ9&gt;=LC$22,KZ9&lt;&gt;""),AND(LU9&gt;=LX$22,LU9&lt;&gt;"")),"P","")</f>
        <v>P</v>
      </c>
      <c r="H9" s="116" t="str">
        <f>IF(AND(G9="P",F9=""),"No DD",IF(OR(AND(AH9&gt;=AL$21,AH9&lt;&gt;"",AI9&gt;=AL$25,AI9&lt;&gt;"",AG9=""),AND(BD9&gt;=BH$21,BD9&lt;&gt;"",BE9&gt;=BH$25,BE9&lt;&gt;"",BC9=""),AND(BZ9&gt;=CD$21,BZ9&lt;&gt;"",CA9&gt;=CD$25,CA9&lt;&gt;"",BY9=""),AND(CW9&gt;=DA$21,CW9&lt;&gt;"",CX9&gt;=DA$25,CX9&lt;&gt;""),AND(DR9&gt;=DV$21,DR9&lt;&gt;"",DS9&gt;=DV$25,DS9&lt;&gt;""),AND(EM9&gt;=EQ$21,EM9&lt;&gt;"",EN9&gt;=EQ$25,EN9&lt;&gt;""),AND(FH9&gt;=FL$21,FH9&lt;&gt;"",FI9&gt;=FL$25,FI9&lt;&gt;""),AND(GC9&gt;=GG$21,GC9&lt;&gt;"",GD9&gt;=GG$25,GD9&lt;&gt;""),AND(GX9&gt;=HB$21,GX9&lt;&gt;"",GY9&gt;=HB$25,GY9&lt;&gt;""),AND(HS9&gt;=HW$21,HS9&lt;&gt;"",HT9&gt;=HW$25,HT9&lt;&gt;""),AND(IN9&gt;=IR$21,IN9&lt;&gt;"",IO9&gt;=IR$25,IO9&lt;&gt;""),AND(JI9&gt;=JM$21,JI9&lt;&gt;"",JJ9&gt;=JM$25,JJ9&lt;&gt;""),AND(KD9&gt;=KH$21,KD9&lt;&gt;"",KE9&gt;=KH$25,KE9&lt;&gt;""),AND(KY9&gt;=LC$21,KY9&lt;&gt;"",KZ9&gt;=LC$25,KZ9&lt;&gt;""),AND(LT9&gt;=LX$21,LT9&lt;&gt;"",LU9&gt;=LX$25,LU9&lt;&gt;"")),"Merit",IF(OR(AND(AH9&gt;=AL$20,AH9&lt;&gt;"",AI9&gt;=AL$24,AI9&lt;&gt;"",AG9=""),AND(BD9&gt;=BH$20,BD9&lt;&gt;"",BE9&gt;=BH$24,BE9&lt;&gt;"",BC9=""),AND(BZ9&gt;=CD$20,BZ9&lt;&gt;"",CA9&gt;=CD$24,CA9&lt;&gt;"",BY9=""),AND(CW9&gt;=DA$20,CW9&lt;&gt;"",CX9&gt;=DA$24,CX9&lt;&gt;""),AND(DR9&gt;=DV$20,DR9&lt;&gt;"",DS9&gt;=DV$24,DS9&lt;&gt;""),AND(EM9&gt;=EQ$20,EM9&lt;&gt;"",EN9&gt;=EQ$24,EN9&lt;&gt;""),AND(FH9&gt;=FL$20,FH9&lt;&gt;"",FI9&gt;=FL$24,FI9&lt;&gt;""),AND(GC9&gt;=GG$20,GC9&lt;&gt;"",GD9&gt;=GG$24,GD9&lt;&gt;""),AND(GX9&gt;=HB$20,GX9&lt;&gt;"",GY9&gt;=HB$24,GY9&lt;&gt;""),AND(HS9&gt;=HW$20,HS9&lt;&gt;"",HT9&gt;=HW$24,HT9&lt;&gt;""),AND(IN9&gt;=IR$20,IN9&lt;&gt;"",IO9&gt;=IR$24,IO9&lt;&gt;""),AND(JI9&gt;=JM$20,JI9&lt;&gt;"",JJ9&gt;=JM$24,JJ9&lt;&gt;""),AND(KD9&gt;=KH$20,KD9&lt;&gt;"",KE9&gt;=KH$24,KE9&lt;&gt;""),AND(KY9&gt;=LC$20,KY9&lt;&gt;"",KZ9&gt;=LC$24,KZ9&lt;&gt;""),AND(LT9&gt;=LX$20,LT9&lt;&gt;"",LU9&gt;=LX$24,LU9&lt;&gt;"")),"Excellence",IF(OR(AND(AH9&gt;=AL$19,AH9&lt;&gt;"",AI9&gt;=AL$23,AI9&lt;&gt;"",AG9=""),AND(BD9&gt;=BH$19,BD9&lt;&gt;"",BE9&gt;=BH$23,BE9&lt;&gt;"",BC9=""),AND(BZ9&gt;=CD$19,BZ9&lt;&gt;"",CA9&gt;=CD$23,CA9&lt;&gt;"",BY9=""),AND(CW9&gt;=DA$19,CW9&lt;&gt;"",CX9&gt;=DA$23,CX9&lt;&gt;""),AND(DR9&gt;=DV$19,DR9&lt;&gt;"",DS9&gt;=DV$23,DS9&lt;&gt;""),AND(EM9&gt;=EQ$19,EM9&lt;&gt;"",EN9&gt;=EQ$23,EN9&lt;&gt;""),AND(FH9&gt;=FL$19,FH9&lt;&gt;"",FI9&gt;=FL$23,FI9&lt;&gt;""),AND(GC9&gt;=GG$19,GC9&lt;&gt;"",GD9&gt;=GG$23,GD9&lt;&gt;""),AND(GX9&gt;=HB$19,GX9&lt;&gt;"",GY9&gt;=HB$23,GY9&lt;&gt;""),AND(HS9&gt;=HW$19,HS9&lt;&gt;"",HT9&gt;=HW$23,HT9&lt;&gt;""),AND(IN9&gt;=IR$19,IN9&lt;&gt;"",IO9&gt;=IR$23,IO9&lt;&gt;""),AND(JI9&gt;=JM$19,JI9&lt;&gt;"",JJ9&gt;=JM$23,JJ9&lt;&gt;""),AND(KD9&gt;=KH$19,KD9&lt;&gt;"",KE9&gt;=KH$23,KE9&lt;&gt;""),AND(KY9&gt;=LC$19,KY9&lt;&gt;"",KZ9&gt;=LC$23,KZ9&lt;&gt;""),AND(LT9&gt;=LX$19,LT9&lt;&gt;"",LU9&gt;=LX$23,LU9&lt;&gt;"")),"Worlds Team",IF(OR(AND(AH9&gt;=AL$18,AH9&lt;&gt;"",AI9&gt;=AL$22,AI9&lt;&gt;"",AG9=""),AND(BD9&gt;=BH$18,BD9&lt;&gt;"",BE9&gt;=BH$22,BE9&lt;&gt;"",BC9=""),AND(BZ9&gt;=CD$18,BZ9&lt;&gt;"",CA9&gt;=CD$22,CA9&lt;&gt;"",BY9=""),AND(CW9&gt;=DA$18,CW9&lt;&gt;"",CX9&gt;=DA$22,CX9&lt;&gt;""),AND(DR9&gt;=DV$18,DR9&lt;&gt;"",DS9&gt;=DV$22,DS9&lt;&gt;""),AND(EM9&gt;=EQ$18,EM9&lt;&gt;"",EN9&gt;=EQ$22,EN9&lt;&gt;""),AND(FH9&gt;=FL$18,FH9&lt;&gt;"",FI9&gt;=FL$22,FI9&lt;&gt;""),AND(GC9&gt;=GG$18,GC9&lt;&gt;"",GD9&gt;=GG$22,GD9&lt;&gt;""),AND(GX9&gt;=HB$18,GX9&lt;&gt;"",GY9&gt;=HB$22,GY9&lt;&gt;""),AND(HS9&gt;=HW$18,HS9&lt;&gt;"",HT9&gt;=HW$22,HT9&lt;&gt;""),AND(IN9&gt;=IR$18,IN9&lt;&gt;"",IO9&gt;=IR$22,IO9&lt;&gt;""),AND(JI9&gt;=JM$18,JI9&lt;&gt;"",JJ9&gt;=JM$22,JJ9&lt;&gt;""),AND(KD9&gt;=KH$18,KD9&lt;&gt;"",KE9&gt;=KH$22,KE9&lt;&gt;""),AND(KY9&gt;=LC$18,KY9&lt;&gt;"",KZ9&gt;=LC$22,KZ9&lt;&gt;""),AND(LT9&gt;=LX$18,LT9&lt;&gt;"",LU9&gt;=LX$22,LU9&lt;&gt;"")),"National Team","")))))</f>
        <v>National Team</v>
      </c>
      <c r="I9" s="3" t="str">
        <f>IF(OR(H9="Worlds Team",H9="Excellence",H9="Merit"),"P","")</f>
        <v/>
      </c>
      <c r="J9" s="14">
        <f>MAX(AL9,BH9,CD9)</f>
        <v>120.1</v>
      </c>
      <c r="K9" s="14" t="str">
        <f>IF(J9=0,"",IF(J9=CD9,$BI$1,IF(J9=BH9,$AM$1,IF(J9=AL9,$Q$1,""))))</f>
        <v>2019 Elite Canada</v>
      </c>
      <c r="L9" s="14">
        <f>IF(J9=AL9,MAX(BE9,BG9,CA9,CC9),IF(J9=BH9,MAX(AI9,AK9,CA9,CC9),MAX(AI9,AK9,BE9,BG9)))</f>
        <v>53.4</v>
      </c>
      <c r="M9" s="14" t="str">
        <f>IF(L9=0,"",IF(AND(J9&lt;&gt;CD9,OR(L9=CA9,L9=CC9)),$BI$1,IF(AND(J9&lt;&gt;BH9,OR(L9=BG9,L9=BE9)),$AM$1,IF(OR(L9=AK9,L9=AI9),$Q$1,""))))</f>
        <v>2019 Nationals</v>
      </c>
      <c r="N9" s="14">
        <f>IF(MAX(CE9:CF9)&gt;0,MAX(CE9:CF9),"")</f>
        <v>1.7000000000000028</v>
      </c>
      <c r="O9" s="24" t="str">
        <f>IF(N9="","",IF(N9=CE9,"(4 Pass)",IF(N9=CF9,"(2 Pass)")))</f>
        <v>(2 Pass)</v>
      </c>
      <c r="P9" s="14" t="str">
        <f>IF(N9="","",IF(N9=CE9,IF(N9+IF(J9="",0,J9)=DA9,$CG$1,IF(N9+IF(J9="",0,J9)=DV9,$DB$1,IF(N9+IF(J9="",0,J9)=EQ9,$DW$1,IF(N9+IF(J9="",0,J9)=FL9,$ER$1,IF(N9+IF(J9="",0,J9)=GG9,$FM$1,IF(N9+IF(J9="",0,J9)=HB9,$GH$1,IF(N9+IF(J9="",0,J9)=HW9,$HC$1,IF(N9+IF(J9="",0,J9)=IR9,$HX$1,IF(N9+IF(J9="",0,J9)=JM9,$IS$1,IF(N9+IF(J9="",0,J9)=KH9,$JN$1,IF(N9+IF(J9="",0,J9)=LC9,$KI$1,IF(N9+IF(J9="",0,J9)=LX9,$LD$1)))))))))))),IF(N9=CF9,IF(OR(N9+IF(L9="",0,L9)=CX9,N9+IF(L9="",0,L9)=CZ9),$CG$1,IF(OR(N9+IF(L9="",0,L9)=DS9,N9+IF(L9="",0,L9)=DU9),$DB$1,IF(OR(N9+IF(L9="",0,L9)=EN9,N9+IF(L9="",0,L9)=EP9),$DW$1,IF(OR(N9+IF(L9="",0,L9)=FI9,N9+IF(L9="",0,L9)=FK9),$ER$1,IF(OR(N9+IF(L9="",0,L9)=GD9,N9+IF(L9="",0,L9)=GF9),$FM$1,IF(OR(N9+IF(L9="",0,L9)=GY9,N9+IF(L9="",0,L9)=HA9),$GH$1,IF(OR(N9+IF(L9="",0,L9)=HT9,N9+IF(L9="",0,L9)=HV9),$HC$1,IF(OR(N9+IF(L9="",0,L9)=IO9,N9+IF(L9="",0,L9)=IQ9),$HX$1,IF(OR(N9+IF(L9="",0,L9)=JJ9,N9+IF(L9="",0,L9)=JL9),$IS$1,IF(OR(N9+IF(L9="",0,L9)=KE9,N9+IF(L9="",0,L9)=KG9),$JN$1,IF(OR(N9+IF(L9="",0,L9)=KZ9,N9+IF(L9="",0,L9)=LB9),$KI$1,IF(OR(N9+IF(L9="",0,L9)=LU9,N9+IF(L9="",0,L9)=LW9),$LD$1)))))))))))))))</f>
        <v>2019 WAGC (Dec 8))</v>
      </c>
      <c r="Q9" s="61">
        <v>28.5</v>
      </c>
      <c r="R9" s="61">
        <v>5.2</v>
      </c>
      <c r="S9" s="61">
        <v>0.9</v>
      </c>
      <c r="T9" s="61">
        <v>0</v>
      </c>
      <c r="U9" s="61">
        <v>28.6</v>
      </c>
      <c r="V9" s="61">
        <v>5.6</v>
      </c>
      <c r="W9" s="61">
        <v>0</v>
      </c>
      <c r="X9" s="61">
        <v>0</v>
      </c>
      <c r="Y9" s="61">
        <v>20.2</v>
      </c>
      <c r="Z9" s="61">
        <v>2.8</v>
      </c>
      <c r="AA9" s="61">
        <v>0</v>
      </c>
      <c r="AB9" s="61">
        <v>0</v>
      </c>
      <c r="AC9" s="61">
        <v>28.2</v>
      </c>
      <c r="AD9" s="61">
        <v>3.4</v>
      </c>
      <c r="AE9" s="61">
        <v>1.5</v>
      </c>
      <c r="AF9" s="61">
        <v>0</v>
      </c>
      <c r="AG9" s="72"/>
      <c r="AH9" s="11">
        <f>IF(SUM(R9,V9)&gt;0,SUM(R9,V9),"")</f>
        <v>10.8</v>
      </c>
      <c r="AI9" s="11">
        <f>IF(SUM(Q9:R9,T9:V9,X9)-SUM(S9,W9)&gt;0,SUM(Q9:R9,T9:V9,X9)-SUM(S9,W9),"")</f>
        <v>67</v>
      </c>
      <c r="AJ9" s="11">
        <f>IF(SUM(Z9,AD9)&gt;0,SUM(Z9,AD9),"")</f>
        <v>6.1999999999999993</v>
      </c>
      <c r="AK9" s="11">
        <f>IF(SUM(Y9:Z9,AB9:AD9,AF9)-SUM(AA9,AE9)&gt;0,SUM(Y9:Z9,AB9:AD9,AF9)-SUM(AA9,AE9),"")</f>
        <v>53.1</v>
      </c>
      <c r="AL9" s="11">
        <f>IF(SUM(AI9,AK9)&gt;0,SUM(AI9,AK9),"")</f>
        <v>120.1</v>
      </c>
      <c r="AM9" s="36">
        <v>28.5</v>
      </c>
      <c r="AN9" s="36">
        <v>3</v>
      </c>
      <c r="AO9" s="36">
        <v>1</v>
      </c>
      <c r="AP9" s="36">
        <v>0</v>
      </c>
      <c r="AQ9" s="36">
        <v>20.100000000000001</v>
      </c>
      <c r="AR9" s="36">
        <v>2.8</v>
      </c>
      <c r="AS9" s="36">
        <v>0</v>
      </c>
      <c r="AT9" s="36">
        <v>0</v>
      </c>
      <c r="AU9" s="36"/>
      <c r="AV9" s="36"/>
      <c r="AW9" s="36"/>
      <c r="AX9" s="36"/>
      <c r="AY9" s="36"/>
      <c r="AZ9" s="36"/>
      <c r="BA9" s="36"/>
      <c r="BB9" s="36"/>
      <c r="BC9" s="73"/>
      <c r="BD9" s="14">
        <f>IF(SUM(AN9,AR9)&gt;0,SUM(AN9,AR9),"")</f>
        <v>5.8</v>
      </c>
      <c r="BE9" s="14">
        <f>IF(SUM(AM9:AN9,AP9:AR9,AT9)-SUM(AO9,AS9)&gt;0,SUM(AM9:AN9,AP9:AR9,AT9)-SUM(AO9,AS9),"")</f>
        <v>53.4</v>
      </c>
      <c r="BF9" s="14" t="str">
        <f>IF(SUM(AV9,AZ9)&gt;0,SUM(AV9,AZ9),"")</f>
        <v/>
      </c>
      <c r="BG9" s="14" t="str">
        <f>IF(SUM(AU9:AV9,AX9:AZ9,BB9)-SUM(AW9,BA9)&gt;0,SUM(AU9:AV9,AX9:AZ9,BB9)-SUM(AW9,BA9),"")</f>
        <v/>
      </c>
      <c r="BH9" s="14">
        <f>IF(SUM(BE9,BG9)&gt;0,SUM(BE9,BG9),"")</f>
        <v>53.4</v>
      </c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72"/>
      <c r="BZ9" s="11" t="str">
        <f>IF(SUM(BJ9,BN9)&gt;0,SUM(BJ9,BN9),"")</f>
        <v/>
      </c>
      <c r="CA9" s="11" t="str">
        <f>IF(SUM(BI9:BJ9,BL9:BN9,BP9)-SUM(BK9,BO9)&gt;0,SUM(BI9:BJ9,BL9:BN9,BP9)-SUM(BK9,BO9),"")</f>
        <v/>
      </c>
      <c r="CB9" s="11" t="str">
        <f>IF(SUM(BR9,BV9)&gt;0,SUM(BR9,BV9),"")</f>
        <v/>
      </c>
      <c r="CC9" s="11" t="str">
        <f>IF(SUM(BQ9:BR9,BT9:BV9,BX9)-SUM(BS9,BW9)&gt;0,SUM(BQ9:BR9,BT9:BV9,BX9)-SUM(BS9,BW9),"")</f>
        <v/>
      </c>
      <c r="CD9" s="11" t="str">
        <f>IF(SUM(CA9,CC9)&gt;0,SUM(CA9,CC9),"")</f>
        <v/>
      </c>
      <c r="CE9" s="23" t="str">
        <f>IF(MAX(DA9,DV9,EQ9,FL9,GG9,HB9,HW9,IR9,JM9,KH9,LC9,LX9)-IF(J9="",0,J9)&gt;0.001,MAX(DA9,DV9,EQ9,FL9,GG9,HB9,HW9,IR9,JM9,KH9,LC9,LX9)-IF(J9="",0,J9),"")</f>
        <v/>
      </c>
      <c r="CF9" s="23">
        <f>IF(MAX(CX9,CZ9,DS9,DU9,EN9,EP9,FI9,FK9,GD9,GF9,GY9,HA9,HT9,HV9,IO9,IQ9,JJ9,JL9,KE9,KG9,KZ9,LB9,LU9,LW9)-IF(L9="",0,L9)&gt;0.001,MAX(CX9,CZ9,DS9,DU9,EN9,EP9,FI9,FK9,GD9,GF9,GY9,HA9,HT9,HV9,IO9,IQ9,JJ9,JL9,KE9,KG9,KZ9,LB9,LU9,LW9)-IF(L9="",0,L9),"")</f>
        <v>1.7000000000000028</v>
      </c>
      <c r="CG9" s="40">
        <v>27.7</v>
      </c>
      <c r="CH9" s="40">
        <v>5.2</v>
      </c>
      <c r="CI9" s="40">
        <v>0</v>
      </c>
      <c r="CJ9" s="40">
        <v>0</v>
      </c>
      <c r="CK9" s="40">
        <v>19.8</v>
      </c>
      <c r="CL9" s="40">
        <v>2.4</v>
      </c>
      <c r="CM9" s="40">
        <v>0</v>
      </c>
      <c r="CN9" s="40">
        <v>0</v>
      </c>
      <c r="CO9" s="40"/>
      <c r="CP9" s="40"/>
      <c r="CQ9" s="40"/>
      <c r="CR9" s="40"/>
      <c r="CS9" s="40"/>
      <c r="CT9" s="40"/>
      <c r="CU9" s="40"/>
      <c r="CV9" s="40"/>
      <c r="CW9" s="11">
        <f>IF(SUM(CH9,CL9)&gt;0,SUM(CH9,CL9),"")</f>
        <v>7.6</v>
      </c>
      <c r="CX9" s="11">
        <f>IF(SUM(CG9:CH9,CJ9:CL9,CN9)-SUM(CI9,CM9)&gt;0,SUM(CG9:CH9,CJ9:CL9,CN9)-SUM(CI9,CM9),"")</f>
        <v>55.1</v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>
        <f>IF(SUM(CX9,CZ9)&gt;0,SUM(CX9,CZ9),"")</f>
        <v>55.1</v>
      </c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14.25</v>
      </c>
      <c r="LZ9" s="61">
        <f>IF($BY9="P",BJ9,(BJ9+AN9)/2)</f>
        <v>1.5</v>
      </c>
      <c r="MA9" s="61">
        <f>IF($BY9="P",BK9,(BK9+AO9)/2)</f>
        <v>0.5</v>
      </c>
      <c r="MB9" s="61">
        <f>IF($BY9="P",BL9,(BL9+AP9)/2)</f>
        <v>0</v>
      </c>
      <c r="MC9" s="61">
        <f>IF($BY9="P",BM9,(BM9+AQ9)/2)</f>
        <v>10.050000000000001</v>
      </c>
      <c r="MD9" s="61">
        <f>IF($BY9="P",BN9,(BN9+AR9)/2)</f>
        <v>1.4</v>
      </c>
      <c r="ME9" s="61">
        <f>IF($BY9="P",BO9,(BO9+AS9)/2)</f>
        <v>0</v>
      </c>
      <c r="MF9" s="61">
        <f>IF($BY9="P",BP9,(BP9+AT9)/2)</f>
        <v>0</v>
      </c>
      <c r="MG9" s="61">
        <f>IF($BY9="P",BQ9,(BQ9+AU9)/2)</f>
        <v>0</v>
      </c>
      <c r="MH9" s="61">
        <f>IF($BY9="P",BR9,(BR9+AV9)/2)</f>
        <v>0</v>
      </c>
      <c r="MI9" s="61">
        <f>IF($BY9="P",BS9,(BS9+AW9)/2)</f>
        <v>0</v>
      </c>
      <c r="MJ9" s="61">
        <f>IF($BY9="P",BT9,(BT9+AX9)/2)</f>
        <v>0</v>
      </c>
      <c r="MK9" s="61">
        <f>IF($BY9="P",BU9,(BU9+AY9)/2)</f>
        <v>0</v>
      </c>
      <c r="ML9" s="61">
        <f>IF($BY9="P",BV9,(BV9+AZ9)/2)</f>
        <v>0</v>
      </c>
      <c r="MM9" s="61">
        <f>IF($BY9="P",BW9,(BW9+BA9)/2)</f>
        <v>0</v>
      </c>
      <c r="MN9" s="61">
        <f>IF($BY9="P",BX9,(BX9+BB9)/2)</f>
        <v>0</v>
      </c>
      <c r="MO9" s="72" t="s">
        <v>52</v>
      </c>
      <c r="MP9" s="11">
        <f>IF(SUM(LZ9,MD9)&gt;0,SUM(LZ9,MD9),"")</f>
        <v>2.9</v>
      </c>
      <c r="MQ9" s="11">
        <f>IF(SUM(LY9:LZ9,MB9:MD9,MF9)-SUM(MA9,ME9)&gt;0,SUM(LY9:LZ9,MB9:MD9,MF9)-SUM(MA9,ME9),"")</f>
        <v>26.7</v>
      </c>
      <c r="MR9" s="11" t="str">
        <f>IF(SUM(MH9,ML9)&gt;0,SUM(MH9,ML9),"")</f>
        <v/>
      </c>
      <c r="MS9" s="11" t="str">
        <f>IF(SUM(MG9:MH9,MJ9:ML9,MN9)-SUM(MI9,MM9)&gt;0,SUM(MG9:MH9,MJ9:ML9,MN9)-SUM(MI9,MM9),"")</f>
        <v/>
      </c>
      <c r="MT9" s="11">
        <f>IF(SUM(MQ9,MS9)&gt;0,SUM(MQ9,MS9),"")</f>
        <v>26.7</v>
      </c>
    </row>
    <row r="10" spans="1:358" x14ac:dyDescent="0.2">
      <c r="A10" s="5">
        <f>IF(AND(F10="P",G10="P"),SUMPRODUCT((F$4:F$16="P")*(G$4:G$16="P")*(E$4:E$16&gt;E10))+1,IF(G10="P",SUMPRODUCT((F$4:F$16="")*(G$4:G$16="P")*(E$4:E$16&gt;E10))+1+SUMPRODUCT((F$4:F$16="P")*(G$4:G$16="P")),""))</f>
        <v>7</v>
      </c>
      <c r="B10" s="8" t="s">
        <v>144</v>
      </c>
      <c r="C10" s="4" t="s">
        <v>4</v>
      </c>
      <c r="D10" s="5">
        <v>2000</v>
      </c>
      <c r="E10" s="15">
        <f>SUM(J10:N10)</f>
        <v>170.4</v>
      </c>
      <c r="F10" s="3" t="str">
        <f>IF(OR(AND(AH10&gt;=AL$18,AI10&gt;=AL$22,AI10&lt;&gt;"",AG10=""),AND(BD10&gt;=BH$18,BE10&gt;=BH$22,BE10&lt;&gt;"",BC10=""),AND(BZ10&gt;=CD$18,CA10&gt;=CD$22,CA10&lt;&gt;"",BY10=""),AND(CW10&gt;=DA$18,CX10&gt;=DA$22,CX10&lt;&gt;""),AND(DR10&gt;=DV$18,DS10&gt;=DV$22,DS10&lt;&gt;""),AND(EM10&gt;=EQ$18,EN10&gt;=EQ$22,EN10&lt;&gt;""),AND(FH10&gt;=FL$18,FI10&gt;=FL$22,FI10&lt;&gt;""),AND(GC10&gt;=GG$18,GD10&gt;=GG$22,GD10&lt;&gt;""),AND(GX10&gt;=HB$18,GY10&gt;=HB$22,GY10&lt;&gt;""),AND(HS10&gt;=HW$18,HT10&gt;=HW$22,HT10&lt;&gt;""),AND(IN10&gt;=IR$18,IO10&gt;=IR$22,IO10&lt;&gt;""),AND(JI10&gt;=JM$18,JJ10&gt;=JM$22,JJ10&lt;&gt;""),AND(KD10&gt;=KH$18,KE10&gt;=KH$22,KE10&lt;&gt;""),AND(KY10&gt;=LC$18,KZ10&gt;=LC$22,KZ10&lt;&gt;""),AND(LT10&gt;=LX$18,LU10&gt;=LX$22,LU10&lt;&gt;"")),"P","")</f>
        <v>P</v>
      </c>
      <c r="G10" s="3" t="str">
        <f>IF(OR(AND(AI10&gt;=AL$22,AI10&lt;&gt;"",AG10=""),AND(BE10&gt;=BH$22,BE10&lt;&gt;"",BC10=""),AND(CA10&gt;=CD$22,CA10&lt;&gt;"",BY10=""),AND(CX10&gt;=DA$22,CX10&lt;&gt;""),AND(DS10&gt;=DV$22,DS10&lt;&gt;""),AND(EN10&gt;=EQ$22,EN10&lt;&gt;""),AND(FI10&gt;=FL$22,FI10&lt;&gt;""),AND(GD10&gt;=GG$22,GD10&lt;&gt;""),AND(GY10&gt;=HB$22,GY10&lt;&gt;""),AND(HT10&gt;=HW$22,HT10&lt;&gt;""),AND(IO10&gt;=IR$22,IO10&lt;&gt;""),AND(JJ10&gt;=JM$22,JJ10&lt;&gt;""),AND(KE10&gt;=KH$22,KE10&lt;&gt;""),AND(KZ10&gt;=LC$22,KZ10&lt;&gt;""),AND(LU10&gt;=LX$22,LU10&lt;&gt;"")),"P","")</f>
        <v>P</v>
      </c>
      <c r="H10" s="116" t="str">
        <f>IF(AND(G10="P",F10=""),"No DD",IF(OR(AND(AH10&gt;=AL$21,AH10&lt;&gt;"",AI10&gt;=AL$25,AI10&lt;&gt;"",AG10=""),AND(BD10&gt;=BH$21,BD10&lt;&gt;"",BE10&gt;=BH$25,BE10&lt;&gt;"",BC10=""),AND(BZ10&gt;=CD$21,BZ10&lt;&gt;"",CA10&gt;=CD$25,CA10&lt;&gt;"",BY10=""),AND(CW10&gt;=DA$21,CW10&lt;&gt;"",CX10&gt;=DA$25,CX10&lt;&gt;""),AND(DR10&gt;=DV$21,DR10&lt;&gt;"",DS10&gt;=DV$25,DS10&lt;&gt;""),AND(EM10&gt;=EQ$21,EM10&lt;&gt;"",EN10&gt;=EQ$25,EN10&lt;&gt;""),AND(FH10&gt;=FL$21,FH10&lt;&gt;"",FI10&gt;=FL$25,FI10&lt;&gt;""),AND(GC10&gt;=GG$21,GC10&lt;&gt;"",GD10&gt;=GG$25,GD10&lt;&gt;""),AND(GX10&gt;=HB$21,GX10&lt;&gt;"",GY10&gt;=HB$25,GY10&lt;&gt;""),AND(HS10&gt;=HW$21,HS10&lt;&gt;"",HT10&gt;=HW$25,HT10&lt;&gt;""),AND(IN10&gt;=IR$21,IN10&lt;&gt;"",IO10&gt;=IR$25,IO10&lt;&gt;""),AND(JI10&gt;=JM$21,JI10&lt;&gt;"",JJ10&gt;=JM$25,JJ10&lt;&gt;""),AND(KD10&gt;=KH$21,KD10&lt;&gt;"",KE10&gt;=KH$25,KE10&lt;&gt;""),AND(KY10&gt;=LC$21,KY10&lt;&gt;"",KZ10&gt;=LC$25,KZ10&lt;&gt;""),AND(LT10&gt;=LX$21,LT10&lt;&gt;"",LU10&gt;=LX$25,LU10&lt;&gt;"")),"Merit",IF(OR(AND(AH10&gt;=AL$20,AH10&lt;&gt;"",AI10&gt;=AL$24,AI10&lt;&gt;"",AG10=""),AND(BD10&gt;=BH$20,BD10&lt;&gt;"",BE10&gt;=BH$24,BE10&lt;&gt;"",BC10=""),AND(BZ10&gt;=CD$20,BZ10&lt;&gt;"",CA10&gt;=CD$24,CA10&lt;&gt;"",BY10=""),AND(CW10&gt;=DA$20,CW10&lt;&gt;"",CX10&gt;=DA$24,CX10&lt;&gt;""),AND(DR10&gt;=DV$20,DR10&lt;&gt;"",DS10&gt;=DV$24,DS10&lt;&gt;""),AND(EM10&gt;=EQ$20,EM10&lt;&gt;"",EN10&gt;=EQ$24,EN10&lt;&gt;""),AND(FH10&gt;=FL$20,FH10&lt;&gt;"",FI10&gt;=FL$24,FI10&lt;&gt;""),AND(GC10&gt;=GG$20,GC10&lt;&gt;"",GD10&gt;=GG$24,GD10&lt;&gt;""),AND(GX10&gt;=HB$20,GX10&lt;&gt;"",GY10&gt;=HB$24,GY10&lt;&gt;""),AND(HS10&gt;=HW$20,HS10&lt;&gt;"",HT10&gt;=HW$24,HT10&lt;&gt;""),AND(IN10&gt;=IR$20,IN10&lt;&gt;"",IO10&gt;=IR$24,IO10&lt;&gt;""),AND(JI10&gt;=JM$20,JI10&lt;&gt;"",JJ10&gt;=JM$24,JJ10&lt;&gt;""),AND(KD10&gt;=KH$20,KD10&lt;&gt;"",KE10&gt;=KH$24,KE10&lt;&gt;""),AND(KY10&gt;=LC$20,KY10&lt;&gt;"",KZ10&gt;=LC$24,KZ10&lt;&gt;""),AND(LT10&gt;=LX$20,LT10&lt;&gt;"",LU10&gt;=LX$24,LU10&lt;&gt;"")),"Excellence",IF(OR(AND(AH10&gt;=AL$19,AH10&lt;&gt;"",AI10&gt;=AL$23,AI10&lt;&gt;"",AG10=""),AND(BD10&gt;=BH$19,BD10&lt;&gt;"",BE10&gt;=BH$23,BE10&lt;&gt;"",BC10=""),AND(BZ10&gt;=CD$19,BZ10&lt;&gt;"",CA10&gt;=CD$23,CA10&lt;&gt;"",BY10=""),AND(CW10&gt;=DA$19,CW10&lt;&gt;"",CX10&gt;=DA$23,CX10&lt;&gt;""),AND(DR10&gt;=DV$19,DR10&lt;&gt;"",DS10&gt;=DV$23,DS10&lt;&gt;""),AND(EM10&gt;=EQ$19,EM10&lt;&gt;"",EN10&gt;=EQ$23,EN10&lt;&gt;""),AND(FH10&gt;=FL$19,FH10&lt;&gt;"",FI10&gt;=FL$23,FI10&lt;&gt;""),AND(GC10&gt;=GG$19,GC10&lt;&gt;"",GD10&gt;=GG$23,GD10&lt;&gt;""),AND(GX10&gt;=HB$19,GX10&lt;&gt;"",GY10&gt;=HB$23,GY10&lt;&gt;""),AND(HS10&gt;=HW$19,HS10&lt;&gt;"",HT10&gt;=HW$23,HT10&lt;&gt;""),AND(IN10&gt;=IR$19,IN10&lt;&gt;"",IO10&gt;=IR$23,IO10&lt;&gt;""),AND(JI10&gt;=JM$19,JI10&lt;&gt;"",JJ10&gt;=JM$23,JJ10&lt;&gt;""),AND(KD10&gt;=KH$19,KD10&lt;&gt;"",KE10&gt;=KH$23,KE10&lt;&gt;""),AND(KY10&gt;=LC$19,KY10&lt;&gt;"",KZ10&gt;=LC$23,KZ10&lt;&gt;""),AND(LT10&gt;=LX$19,LT10&lt;&gt;"",LU10&gt;=LX$23,LU10&lt;&gt;"")),"Worlds Team",IF(OR(AND(AH10&gt;=AL$18,AH10&lt;&gt;"",AI10&gt;=AL$22,AI10&lt;&gt;"",AG10=""),AND(BD10&gt;=BH$18,BD10&lt;&gt;"",BE10&gt;=BH$22,BE10&lt;&gt;"",BC10=""),AND(BZ10&gt;=CD$18,BZ10&lt;&gt;"",CA10&gt;=CD$22,CA10&lt;&gt;"",BY10=""),AND(CW10&gt;=DA$18,CW10&lt;&gt;"",CX10&gt;=DA$22,CX10&lt;&gt;""),AND(DR10&gt;=DV$18,DR10&lt;&gt;"",DS10&gt;=DV$22,DS10&lt;&gt;""),AND(EM10&gt;=EQ$18,EM10&lt;&gt;"",EN10&gt;=EQ$22,EN10&lt;&gt;""),AND(FH10&gt;=FL$18,FH10&lt;&gt;"",FI10&gt;=FL$22,FI10&lt;&gt;""),AND(GC10&gt;=GG$18,GC10&lt;&gt;"",GD10&gt;=GG$22,GD10&lt;&gt;""),AND(GX10&gt;=HB$18,GX10&lt;&gt;"",GY10&gt;=HB$22,GY10&lt;&gt;""),AND(HS10&gt;=HW$18,HS10&lt;&gt;"",HT10&gt;=HW$22,HT10&lt;&gt;""),AND(IN10&gt;=IR$18,IN10&lt;&gt;"",IO10&gt;=IR$22,IO10&lt;&gt;""),AND(JI10&gt;=JM$18,JI10&lt;&gt;"",JJ10&gt;=JM$22,JJ10&lt;&gt;""),AND(KD10&gt;=KH$18,KD10&lt;&gt;"",KE10&gt;=KH$22,KE10&lt;&gt;""),AND(KY10&gt;=LC$18,KY10&lt;&gt;"",KZ10&gt;=LC$22,KZ10&lt;&gt;""),AND(LT10&gt;=LX$18,LT10&lt;&gt;"",LU10&gt;=LX$22,LU10&lt;&gt;"")),"National Team","")))))</f>
        <v>National Team</v>
      </c>
      <c r="I10" s="3" t="str">
        <f>IF(OR(H10="Worlds Team",H10="Excellence",H10="Merit"),"P","")</f>
        <v/>
      </c>
      <c r="J10" s="14">
        <f>MAX(AL10,BH10,CD10)</f>
        <v>113.9</v>
      </c>
      <c r="K10" s="14" t="str">
        <f>IF(J10=0,"",IF(J10=CD10,$BI$1,IF(J10=BH10,$AM$1,IF(J10=AL10,$Q$1,""))))</f>
        <v>2019 Nationals</v>
      </c>
      <c r="L10" s="14">
        <f>IF(J10=AL10,MAX(BE10,BG10,CA10,CC10),IF(J10=BH10,MAX(AI10,AK10,CA10,CC10),MAX(AI10,AK10,BE10,BG10)))</f>
        <v>56.499999999999993</v>
      </c>
      <c r="M10" s="14" t="str">
        <f>IF(L10=0,"",IF(AND(J10&lt;&gt;CD10,OR(L10=CA10,L10=CC10)),$BI$1,IF(AND(J10&lt;&gt;BH10,OR(L10=BG10,L10=BE10)),$AM$1,IF(OR(L10=AK10,L10=AI10),$Q$1,""))))</f>
        <v>2019 Elite Canada</v>
      </c>
      <c r="N10" s="14" t="str">
        <f>IF(MAX(CE10:CF10)&gt;0,MAX(CE10:CF10),"")</f>
        <v/>
      </c>
      <c r="O10" s="24" t="str">
        <f>IF(N10="","",IF(N10=CE10,"(4 Pass)",IF(N10=CF10,"(2 Pass)")))</f>
        <v/>
      </c>
      <c r="P10" s="14" t="str">
        <f>IF(N10="","",IF(N10=CE10,IF(N10+IF(J10="",0,J10)=DA10,$CG$1,IF(N10+IF(J10="",0,J10)=DV10,$DB$1,IF(N10+IF(J10="",0,J10)=EQ10,$DW$1,IF(N10+IF(J10="",0,J10)=FL10,$ER$1,IF(N10+IF(J10="",0,J10)=GG10,$FM$1,IF(N10+IF(J10="",0,J10)=HB10,$GH$1,IF(N10+IF(J10="",0,J10)=HW10,$HC$1,IF(N10+IF(J10="",0,J10)=IR10,$HX$1,IF(N10+IF(J10="",0,J10)=JM10,$IS$1,IF(N10+IF(J10="",0,J10)=KH10,$JN$1,IF(N10+IF(J10="",0,J10)=LC10,$KI$1,IF(N10+IF(J10="",0,J10)=LX10,$LD$1)))))))))))),IF(N10=CF10,IF(OR(N10+IF(L10="",0,L10)=CX10,N10+IF(L10="",0,L10)=CZ10),$CG$1,IF(OR(N10+IF(L10="",0,L10)=DS10,N10+IF(L10="",0,L10)=DU10),$DB$1,IF(OR(N10+IF(L10="",0,L10)=EN10,N10+IF(L10="",0,L10)=EP10),$DW$1,IF(OR(N10+IF(L10="",0,L10)=FI10,N10+IF(L10="",0,L10)=FK10),$ER$1,IF(OR(N10+IF(L10="",0,L10)=GD10,N10+IF(L10="",0,L10)=GF10),$FM$1,IF(OR(N10+IF(L10="",0,L10)=GY10,N10+IF(L10="",0,L10)=HA10),$GH$1,IF(OR(N10+IF(L10="",0,L10)=HT10,N10+IF(L10="",0,L10)=HV10),$HC$1,IF(OR(N10+IF(L10="",0,L10)=IO10,N10+IF(L10="",0,L10)=IQ10),$HX$1,IF(OR(N10+IF(L10="",0,L10)=JJ10,N10+IF(L10="",0,L10)=JL10),$IS$1,IF(OR(N10+IF(L10="",0,L10)=KE10,N10+IF(L10="",0,L10)=KG10),$JN$1,IF(OR(N10+IF(L10="",0,L10)=KZ10,N10+IF(L10="",0,L10)=LB10),$KI$1,IF(OR(N10+IF(L10="",0,L10)=LU10,N10+IF(L10="",0,L10)=LW10),$LD$1)))))))))))))))</f>
        <v/>
      </c>
      <c r="Q10" s="61">
        <v>24.4</v>
      </c>
      <c r="R10" s="61">
        <v>6</v>
      </c>
      <c r="S10" s="61">
        <v>1.2</v>
      </c>
      <c r="T10" s="61">
        <v>0</v>
      </c>
      <c r="U10" s="61">
        <v>26.5</v>
      </c>
      <c r="V10" s="61">
        <v>2.8</v>
      </c>
      <c r="W10" s="61">
        <v>2</v>
      </c>
      <c r="X10" s="61">
        <v>0</v>
      </c>
      <c r="Y10" s="61"/>
      <c r="Z10" s="61"/>
      <c r="AA10" s="61"/>
      <c r="AB10" s="61"/>
      <c r="AC10" s="61"/>
      <c r="AD10" s="61"/>
      <c r="AE10" s="61"/>
      <c r="AF10" s="61"/>
      <c r="AG10" s="72"/>
      <c r="AH10" s="11">
        <f>IF(SUM(R10,V10)&gt;0,SUM(R10,V10),"")</f>
        <v>8.8000000000000007</v>
      </c>
      <c r="AI10" s="11">
        <f>IF(SUM(Q10:R10,T10:V10,X10)-SUM(S10,W10)&gt;0,SUM(Q10:R10,T10:V10,X10)-SUM(S10,W10),"")</f>
        <v>56.499999999999993</v>
      </c>
      <c r="AJ10" s="11" t="str">
        <f>IF(SUM(Z10,AD10)&gt;0,SUM(Z10,AD10),"")</f>
        <v/>
      </c>
      <c r="AK10" s="11" t="str">
        <f>IF(SUM(Y10:Z10,AB10:AD10,AF10)-SUM(AA10,AE10)&gt;0,SUM(Y10:Z10,AB10:AD10,AF10)-SUM(AA10,AE10),"")</f>
        <v/>
      </c>
      <c r="AL10" s="11">
        <f>IF(SUM(AI10,AK10)&gt;0,SUM(AI10,AK10),"")</f>
        <v>56.499999999999993</v>
      </c>
      <c r="AM10" s="36">
        <v>28.4</v>
      </c>
      <c r="AN10" s="36">
        <v>6</v>
      </c>
      <c r="AO10" s="36">
        <v>0</v>
      </c>
      <c r="AP10" s="36">
        <v>0</v>
      </c>
      <c r="AQ10" s="36">
        <v>27</v>
      </c>
      <c r="AR10" s="36">
        <v>5.6</v>
      </c>
      <c r="AS10" s="36">
        <v>0.3</v>
      </c>
      <c r="AT10" s="36">
        <v>0</v>
      </c>
      <c r="AU10" s="36">
        <v>19.8</v>
      </c>
      <c r="AV10" s="36">
        <v>2.4</v>
      </c>
      <c r="AW10" s="36">
        <v>0</v>
      </c>
      <c r="AX10" s="36">
        <v>0</v>
      </c>
      <c r="AY10" s="36">
        <v>27</v>
      </c>
      <c r="AZ10" s="36">
        <v>2</v>
      </c>
      <c r="BA10" s="36">
        <v>4</v>
      </c>
      <c r="BB10" s="36">
        <v>0</v>
      </c>
      <c r="BC10" s="73"/>
      <c r="BD10" s="14">
        <f>IF(SUM(AN10,AR10)&gt;0,SUM(AN10,AR10),"")</f>
        <v>11.6</v>
      </c>
      <c r="BE10" s="14">
        <f>IF(SUM(AM10:AN10,AP10:AR10,AT10)-SUM(AO10,AS10)&gt;0,SUM(AM10:AN10,AP10:AR10,AT10)-SUM(AO10,AS10),"")</f>
        <v>66.7</v>
      </c>
      <c r="BF10" s="14">
        <f>IF(SUM(AV10,AZ10)&gt;0,SUM(AV10,AZ10),"")</f>
        <v>4.4000000000000004</v>
      </c>
      <c r="BG10" s="14">
        <f>IF(SUM(AU10:AV10,AX10:AZ10,BB10)-SUM(AW10,BA10)&gt;0,SUM(AU10:AV10,AX10:AZ10,BB10)-SUM(AW10,BA10),"")</f>
        <v>47.2</v>
      </c>
      <c r="BH10" s="14">
        <f>IF(SUM(BE10,BG10)&gt;0,SUM(BE10,BG10),"")</f>
        <v>113.9</v>
      </c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72"/>
      <c r="BZ10" s="11" t="str">
        <f>IF(SUM(BJ10,BN10)&gt;0,SUM(BJ10,BN10),"")</f>
        <v/>
      </c>
      <c r="CA10" s="11" t="str">
        <f>IF(SUM(BI10:BJ10,BL10:BN10,BP10)-SUM(BK10,BO10)&gt;0,SUM(BI10:BJ10,BL10:BN10,BP10)-SUM(BK10,BO10),"")</f>
        <v/>
      </c>
      <c r="CB10" s="11" t="str">
        <f>IF(SUM(BR10,BV10)&gt;0,SUM(BR10,BV10),"")</f>
        <v/>
      </c>
      <c r="CC10" s="11" t="str">
        <f>IF(SUM(BQ10:BR10,BT10:BV10,BX10)-SUM(BS10,BW10)&gt;0,SUM(BQ10:BR10,BT10:BV10,BX10)-SUM(BS10,BW10),"")</f>
        <v/>
      </c>
      <c r="CD10" s="11" t="str">
        <f>IF(SUM(CA10,CC10)&gt;0,SUM(CA10,CC10),"")</f>
        <v/>
      </c>
      <c r="CE10" s="23" t="str">
        <f>IF(MAX(DA10,DV10,EQ10,FL10,GG10,HB10,HW10,IR10,JM10,KH10,LC10,LX10)-IF(J10="",0,J10)&gt;0.001,MAX(DA10,DV10,EQ10,FL10,GG10,HB10,HW10,IR10,JM10,KH10,LC10,LX10)-IF(J10="",0,J10),"")</f>
        <v/>
      </c>
      <c r="CF10" s="23" t="str">
        <f>IF(MAX(CX10,CZ10,DS10,DU10,EN10,EP10,FI10,FK10,GD10,GF10,GY10,HA10,HT10,HV10,IO10,IQ10,JJ10,JL10,KE10,KG10,KZ10,LB10,LU10,LW10)-IF(L10="",0,L10)&gt;0.001,MAX(CX10,CZ10,DS10,DU10,EN10,EP10,FI10,FK10,GD10,GF10,GY10,HA10,HT10,HV10,IO10,IQ10,JJ10,JL10,KE10,KG10,KZ10,LB10,LU10,LW10)-IF(L10="",0,L10),"")</f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14.2</v>
      </c>
      <c r="LZ10" s="61">
        <f>IF($BY10="P",BJ10,(BJ10+AN10)/2)</f>
        <v>3</v>
      </c>
      <c r="MA10" s="61">
        <f>IF($BY10="P",BK10,(BK10+AO10)/2)</f>
        <v>0</v>
      </c>
      <c r="MB10" s="61">
        <f>IF($BY10="P",BL10,(BL10+AP10)/2)</f>
        <v>0</v>
      </c>
      <c r="MC10" s="61">
        <f>IF($BY10="P",BM10,(BM10+AQ10)/2)</f>
        <v>13.5</v>
      </c>
      <c r="MD10" s="61">
        <f>IF($BY10="P",BN10,(BN10+AR10)/2)</f>
        <v>2.8</v>
      </c>
      <c r="ME10" s="61">
        <f>IF($BY10="P",BO10,(BO10+AS10)/2)</f>
        <v>0.15</v>
      </c>
      <c r="MF10" s="61">
        <f>IF($BY10="P",BP10,(BP10+AT10)/2)</f>
        <v>0</v>
      </c>
      <c r="MG10" s="61">
        <f>IF($BY10="P",BQ10,(BQ10+AU10)/2)</f>
        <v>9.9</v>
      </c>
      <c r="MH10" s="61">
        <f>IF($BY10="P",BR10,(BR10+AV10)/2)</f>
        <v>1.2</v>
      </c>
      <c r="MI10" s="61">
        <f>IF($BY10="P",BS10,(BS10+AW10)/2)</f>
        <v>0</v>
      </c>
      <c r="MJ10" s="61">
        <f>IF($BY10="P",BT10,(BT10+AX10)/2)</f>
        <v>0</v>
      </c>
      <c r="MK10" s="61">
        <f>IF($BY10="P",BU10,(BU10+AY10)/2)</f>
        <v>13.5</v>
      </c>
      <c r="ML10" s="61">
        <f>IF($BY10="P",BV10,(BV10+AZ10)/2)</f>
        <v>1</v>
      </c>
      <c r="MM10" s="61">
        <f>IF($BY10="P",BW10,(BW10+BA10)/2)</f>
        <v>2</v>
      </c>
      <c r="MN10" s="61">
        <f>IF($BY10="P",BX10,(BX10+BB10)/2)</f>
        <v>0</v>
      </c>
      <c r="MO10" s="72" t="s">
        <v>52</v>
      </c>
      <c r="MP10" s="11">
        <f>IF(SUM(LZ10,MD10)&gt;0,SUM(LZ10,MD10),"")</f>
        <v>5.8</v>
      </c>
      <c r="MQ10" s="11">
        <f>IF(SUM(LY10:LZ10,MB10:MD10,MF10)-SUM(MA10,ME10)&gt;0,SUM(LY10:LZ10,MB10:MD10,MF10)-SUM(MA10,ME10),"")</f>
        <v>33.35</v>
      </c>
      <c r="MR10" s="11">
        <f>IF(SUM(MH10,ML10)&gt;0,SUM(MH10,ML10),"")</f>
        <v>2.2000000000000002</v>
      </c>
      <c r="MS10" s="11">
        <f>IF(SUM(MG10:MH10,MJ10:ML10,MN10)-SUM(MI10,MM10)&gt;0,SUM(MG10:MH10,MJ10:ML10,MN10)-SUM(MI10,MM10),"")</f>
        <v>23.6</v>
      </c>
      <c r="MT10" s="11">
        <f>IF(SUM(MQ10,MS10)&gt;0,SUM(MQ10,MS10),"")</f>
        <v>56.95</v>
      </c>
    </row>
    <row r="11" spans="1:358" x14ac:dyDescent="0.2">
      <c r="A11" s="5" t="str">
        <f>IF(AND(F11="P",G11="P"),SUMPRODUCT((F$4:F$16="P")*(G$4:G$16="P")*(E$4:E$16&gt;E11))+1,IF(G11="P",SUMPRODUCT((F$4:F$16="")*(G$4:G$16="P")*(E$4:E$16&gt;E11))+1+SUMPRODUCT((F$4:F$16="P")*(G$4:G$16="P")),""))</f>
        <v/>
      </c>
      <c r="B11" s="8" t="s">
        <v>142</v>
      </c>
      <c r="C11" s="4" t="s">
        <v>4</v>
      </c>
      <c r="D11" s="5">
        <v>2000</v>
      </c>
      <c r="E11" s="15">
        <f>SUM(J11:N11)</f>
        <v>196.85</v>
      </c>
      <c r="F11" s="3" t="str">
        <f>IF(OR(AND(AH11&gt;=AL$18,AI11&gt;=AL$22,AI11&lt;&gt;"",AG11=""),AND(BD11&gt;=BH$18,BE11&gt;=BH$22,BE11&lt;&gt;"",BC11=""),AND(BZ11&gt;=CD$18,CA11&gt;=CD$22,CA11&lt;&gt;"",BY11=""),AND(CW11&gt;=DA$18,CX11&gt;=DA$22,CX11&lt;&gt;""),AND(DR11&gt;=DV$18,DS11&gt;=DV$22,DS11&lt;&gt;""),AND(EM11&gt;=EQ$18,EN11&gt;=EQ$22,EN11&lt;&gt;""),AND(FH11&gt;=FL$18,FI11&gt;=FL$22,FI11&lt;&gt;""),AND(GC11&gt;=GG$18,GD11&gt;=GG$22,GD11&lt;&gt;""),AND(GX11&gt;=HB$18,GY11&gt;=HB$22,GY11&lt;&gt;""),AND(HS11&gt;=HW$18,HT11&gt;=HW$22,HT11&lt;&gt;""),AND(IN11&gt;=IR$18,IO11&gt;=IR$22,IO11&lt;&gt;""),AND(JI11&gt;=JM$18,JJ11&gt;=JM$22,JJ11&lt;&gt;""),AND(KD11&gt;=KH$18,KE11&gt;=KH$22,KE11&lt;&gt;""),AND(KY11&gt;=LC$18,KZ11&gt;=LC$22,KZ11&lt;&gt;""),AND(LT11&gt;=LX$18,LU11&gt;=LX$22,LU11&lt;&gt;"")),"P","")</f>
        <v/>
      </c>
      <c r="G11" s="3" t="str">
        <f>IF(OR(AND(AI11&gt;=AL$22,AI11&lt;&gt;"",AG11=""),AND(BE11&gt;=BH$22,BE11&lt;&gt;"",BC11=""),AND(CA11&gt;=CD$22,CA11&lt;&gt;"",BY11=""),AND(CX11&gt;=DA$22,CX11&lt;&gt;""),AND(DS11&gt;=DV$22,DS11&lt;&gt;""),AND(EN11&gt;=EQ$22,EN11&lt;&gt;""),AND(FI11&gt;=FL$22,FI11&lt;&gt;""),AND(GD11&gt;=GG$22,GD11&lt;&gt;""),AND(GY11&gt;=HB$22,GY11&lt;&gt;""),AND(HT11&gt;=HW$22,HT11&lt;&gt;""),AND(IO11&gt;=IR$22,IO11&lt;&gt;""),AND(JJ11&gt;=JM$22,JJ11&lt;&gt;""),AND(KE11&gt;=KH$22,KE11&lt;&gt;""),AND(KZ11&gt;=LC$22,KZ11&lt;&gt;""),AND(LU11&gt;=LX$22,LU11&lt;&gt;"")),"P","")</f>
        <v/>
      </c>
      <c r="H11" s="116" t="str">
        <f>IF(AND(G11="P",F11=""),"No DD",IF(OR(AND(AH11&gt;=AL$21,AH11&lt;&gt;"",AI11&gt;=AL$25,AI11&lt;&gt;"",AG11=""),AND(BD11&gt;=BH$21,BD11&lt;&gt;"",BE11&gt;=BH$25,BE11&lt;&gt;"",BC11=""),AND(BZ11&gt;=CD$21,BZ11&lt;&gt;"",CA11&gt;=CD$25,CA11&lt;&gt;"",BY11=""),AND(CW11&gt;=DA$21,CW11&lt;&gt;"",CX11&gt;=DA$25,CX11&lt;&gt;""),AND(DR11&gt;=DV$21,DR11&lt;&gt;"",DS11&gt;=DV$25,DS11&lt;&gt;""),AND(EM11&gt;=EQ$21,EM11&lt;&gt;"",EN11&gt;=EQ$25,EN11&lt;&gt;""),AND(FH11&gt;=FL$21,FH11&lt;&gt;"",FI11&gt;=FL$25,FI11&lt;&gt;""),AND(GC11&gt;=GG$21,GC11&lt;&gt;"",GD11&gt;=GG$25,GD11&lt;&gt;""),AND(GX11&gt;=HB$21,GX11&lt;&gt;"",GY11&gt;=HB$25,GY11&lt;&gt;""),AND(HS11&gt;=HW$21,HS11&lt;&gt;"",HT11&gt;=HW$25,HT11&lt;&gt;""),AND(IN11&gt;=IR$21,IN11&lt;&gt;"",IO11&gt;=IR$25,IO11&lt;&gt;""),AND(JI11&gt;=JM$21,JI11&lt;&gt;"",JJ11&gt;=JM$25,JJ11&lt;&gt;""),AND(KD11&gt;=KH$21,KD11&lt;&gt;"",KE11&gt;=KH$25,KE11&lt;&gt;""),AND(KY11&gt;=LC$21,KY11&lt;&gt;"",KZ11&gt;=LC$25,KZ11&lt;&gt;""),AND(LT11&gt;=LX$21,LT11&lt;&gt;"",LU11&gt;=LX$25,LU11&lt;&gt;"")),"Merit",IF(OR(AND(AH11&gt;=AL$20,AH11&lt;&gt;"",AI11&gt;=AL$24,AI11&lt;&gt;"",AG11=""),AND(BD11&gt;=BH$20,BD11&lt;&gt;"",BE11&gt;=BH$24,BE11&lt;&gt;"",BC11=""),AND(BZ11&gt;=CD$20,BZ11&lt;&gt;"",CA11&gt;=CD$24,CA11&lt;&gt;"",BY11=""),AND(CW11&gt;=DA$20,CW11&lt;&gt;"",CX11&gt;=DA$24,CX11&lt;&gt;""),AND(DR11&gt;=DV$20,DR11&lt;&gt;"",DS11&gt;=DV$24,DS11&lt;&gt;""),AND(EM11&gt;=EQ$20,EM11&lt;&gt;"",EN11&gt;=EQ$24,EN11&lt;&gt;""),AND(FH11&gt;=FL$20,FH11&lt;&gt;"",FI11&gt;=FL$24,FI11&lt;&gt;""),AND(GC11&gt;=GG$20,GC11&lt;&gt;"",GD11&gt;=GG$24,GD11&lt;&gt;""),AND(GX11&gt;=HB$20,GX11&lt;&gt;"",GY11&gt;=HB$24,GY11&lt;&gt;""),AND(HS11&gt;=HW$20,HS11&lt;&gt;"",HT11&gt;=HW$24,HT11&lt;&gt;""),AND(IN11&gt;=IR$20,IN11&lt;&gt;"",IO11&gt;=IR$24,IO11&lt;&gt;""),AND(JI11&gt;=JM$20,JI11&lt;&gt;"",JJ11&gt;=JM$24,JJ11&lt;&gt;""),AND(KD11&gt;=KH$20,KD11&lt;&gt;"",KE11&gt;=KH$24,KE11&lt;&gt;""),AND(KY11&gt;=LC$20,KY11&lt;&gt;"",KZ11&gt;=LC$24,KZ11&lt;&gt;""),AND(LT11&gt;=LX$20,LT11&lt;&gt;"",LU11&gt;=LX$24,LU11&lt;&gt;"")),"Excellence",IF(OR(AND(AH11&gt;=AL$19,AH11&lt;&gt;"",AI11&gt;=AL$23,AI11&lt;&gt;"",AG11=""),AND(BD11&gt;=BH$19,BD11&lt;&gt;"",BE11&gt;=BH$23,BE11&lt;&gt;"",BC11=""),AND(BZ11&gt;=CD$19,BZ11&lt;&gt;"",CA11&gt;=CD$23,CA11&lt;&gt;"",BY11=""),AND(CW11&gt;=DA$19,CW11&lt;&gt;"",CX11&gt;=DA$23,CX11&lt;&gt;""),AND(DR11&gt;=DV$19,DR11&lt;&gt;"",DS11&gt;=DV$23,DS11&lt;&gt;""),AND(EM11&gt;=EQ$19,EM11&lt;&gt;"",EN11&gt;=EQ$23,EN11&lt;&gt;""),AND(FH11&gt;=FL$19,FH11&lt;&gt;"",FI11&gt;=FL$23,FI11&lt;&gt;""),AND(GC11&gt;=GG$19,GC11&lt;&gt;"",GD11&gt;=GG$23,GD11&lt;&gt;""),AND(GX11&gt;=HB$19,GX11&lt;&gt;"",GY11&gt;=HB$23,GY11&lt;&gt;""),AND(HS11&gt;=HW$19,HS11&lt;&gt;"",HT11&gt;=HW$23,HT11&lt;&gt;""),AND(IN11&gt;=IR$19,IN11&lt;&gt;"",IO11&gt;=IR$23,IO11&lt;&gt;""),AND(JI11&gt;=JM$19,JI11&lt;&gt;"",JJ11&gt;=JM$23,JJ11&lt;&gt;""),AND(KD11&gt;=KH$19,KD11&lt;&gt;"",KE11&gt;=KH$23,KE11&lt;&gt;""),AND(KY11&gt;=LC$19,KY11&lt;&gt;"",KZ11&gt;=LC$23,KZ11&lt;&gt;""),AND(LT11&gt;=LX$19,LT11&lt;&gt;"",LU11&gt;=LX$23,LU11&lt;&gt;"")),"Worlds Team",IF(OR(AND(AH11&gt;=AL$18,AH11&lt;&gt;"",AI11&gt;=AL$22,AI11&lt;&gt;"",AG11=""),AND(BD11&gt;=BH$18,BD11&lt;&gt;"",BE11&gt;=BH$22,BE11&lt;&gt;"",BC11=""),AND(BZ11&gt;=CD$18,BZ11&lt;&gt;"",CA11&gt;=CD$22,CA11&lt;&gt;"",BY11=""),AND(CW11&gt;=DA$18,CW11&lt;&gt;"",CX11&gt;=DA$22,CX11&lt;&gt;""),AND(DR11&gt;=DV$18,DR11&lt;&gt;"",DS11&gt;=DV$22,DS11&lt;&gt;""),AND(EM11&gt;=EQ$18,EM11&lt;&gt;"",EN11&gt;=EQ$22,EN11&lt;&gt;""),AND(FH11&gt;=FL$18,FH11&lt;&gt;"",FI11&gt;=FL$22,FI11&lt;&gt;""),AND(GC11&gt;=GG$18,GC11&lt;&gt;"",GD11&gt;=GG$22,GD11&lt;&gt;""),AND(GX11&gt;=HB$18,GX11&lt;&gt;"",GY11&gt;=HB$22,GY11&lt;&gt;""),AND(HS11&gt;=HW$18,HS11&lt;&gt;"",HT11&gt;=HW$22,HT11&lt;&gt;""),AND(IN11&gt;=IR$18,IN11&lt;&gt;"",IO11&gt;=IR$22,IO11&lt;&gt;""),AND(JI11&gt;=JM$18,JI11&lt;&gt;"",JJ11&gt;=JM$22,JJ11&lt;&gt;""),AND(KD11&gt;=KH$18,KD11&lt;&gt;"",KE11&gt;=KH$22,KE11&lt;&gt;""),AND(KY11&gt;=LC$18,KY11&lt;&gt;"",KZ11&gt;=LC$22,KZ11&lt;&gt;""),AND(LT11&gt;=LX$18,LT11&lt;&gt;"",LU11&gt;=LX$22,LU11&lt;&gt;"")),"National Team","")))))</f>
        <v/>
      </c>
      <c r="I11" s="3" t="str">
        <f>IF(OR(H11="Worlds Team",H11="Excellence",H11="Merit"),"P","")</f>
        <v/>
      </c>
      <c r="J11" s="14">
        <f>MAX(AL11,BH11,CD11)</f>
        <v>129.25</v>
      </c>
      <c r="K11" s="14" t="str">
        <f>IF(J11=0,"",IF(J11=CD11,$BI$1,IF(J11=BH11,$AM$1,IF(J11=AL11,$Q$1,""))))</f>
        <v>2019 Nationals</v>
      </c>
      <c r="L11" s="14">
        <f>IF(J11=AL11,MAX(BE11,BG11,CA11,CC11),IF(J11=BH11,MAX(AI11,AK11,CA11,CC11),MAX(AI11,AK11,BE11,BG11)))</f>
        <v>67.599999999999994</v>
      </c>
      <c r="M11" s="14" t="str">
        <f>IF(L11=0,"",IF(AND(J11&lt;&gt;CD11,OR(L11=CA11,L11=CC11)),$BI$1,IF(AND(J11&lt;&gt;BH11,OR(L11=BG11,L11=BE11)),$AM$1,IF(OR(L11=AK11,L11=AI11),$Q$1,""))))</f>
        <v>2019 Elite Canada</v>
      </c>
      <c r="N11" s="14" t="str">
        <f>IF(MAX(CE11:CF11)&gt;0,MAX(CE11:CF11),"")</f>
        <v/>
      </c>
      <c r="O11" s="24" t="str">
        <f>IF(N11="","",IF(N11=CE11,"(4 Pass)",IF(N11=CF11,"(2 Pass)")))</f>
        <v/>
      </c>
      <c r="P11" s="14" t="str">
        <f>IF(N11="","",IF(N11=CE11,IF(N11+IF(J11="",0,J11)=DA11,$CG$1,IF(N11+IF(J11="",0,J11)=DV11,$DB$1,IF(N11+IF(J11="",0,J11)=EQ11,$DW$1,IF(N11+IF(J11="",0,J11)=FL11,$ER$1,IF(N11+IF(J11="",0,J11)=GG11,$FM$1,IF(N11+IF(J11="",0,J11)=HB11,$GH$1,IF(N11+IF(J11="",0,J11)=HW11,$HC$1,IF(N11+IF(J11="",0,J11)=IR11,$HX$1,IF(N11+IF(J11="",0,J11)=JM11,$IS$1,IF(N11+IF(J11="",0,J11)=KH11,$JN$1,IF(N11+IF(J11="",0,J11)=LC11,$KI$1,IF(N11+IF(J11="",0,J11)=LX11,$LD$1)))))))))))),IF(N11=CF11,IF(OR(N11+IF(L11="",0,L11)=CX11,N11+IF(L11="",0,L11)=CZ11),$CG$1,IF(OR(N11+IF(L11="",0,L11)=DS11,N11+IF(L11="",0,L11)=DU11),$DB$1,IF(OR(N11+IF(L11="",0,L11)=EN11,N11+IF(L11="",0,L11)=EP11),$DW$1,IF(OR(N11+IF(L11="",0,L11)=FI11,N11+IF(L11="",0,L11)=FK11),$ER$1,IF(OR(N11+IF(L11="",0,L11)=GD11,N11+IF(L11="",0,L11)=GF11),$FM$1,IF(OR(N11+IF(L11="",0,L11)=GY11,N11+IF(L11="",0,L11)=HA11),$GH$1,IF(OR(N11+IF(L11="",0,L11)=HT11,N11+IF(L11="",0,L11)=HV11),$HC$1,IF(OR(N11+IF(L11="",0,L11)=IO11,N11+IF(L11="",0,L11)=IQ11),$HX$1,IF(OR(N11+IF(L11="",0,L11)=JJ11,N11+IF(L11="",0,L11)=JL11),$IS$1,IF(OR(N11+IF(L11="",0,L11)=KE11,N11+IF(L11="",0,L11)=KG11),$JN$1,IF(OR(N11+IF(L11="",0,L11)=KZ11,N11+IF(L11="",0,L11)=LB11),$KI$1,IF(OR(N11+IF(L11="",0,L11)=LU11,N11+IF(L11="",0,L11)=LW11),$LD$1)))))))))))))))</f>
        <v/>
      </c>
      <c r="Q11" s="61">
        <v>27.85</v>
      </c>
      <c r="R11" s="61">
        <v>6</v>
      </c>
      <c r="S11" s="61">
        <v>0</v>
      </c>
      <c r="T11" s="61">
        <v>0</v>
      </c>
      <c r="U11" s="61">
        <v>28.6</v>
      </c>
      <c r="V11" s="61">
        <v>5.6</v>
      </c>
      <c r="W11" s="61">
        <v>0.45</v>
      </c>
      <c r="X11" s="61">
        <v>0</v>
      </c>
      <c r="Y11" s="61">
        <v>23.950000000000003</v>
      </c>
      <c r="Z11" s="61">
        <v>4</v>
      </c>
      <c r="AA11" s="61">
        <v>0</v>
      </c>
      <c r="AB11" s="61">
        <v>0</v>
      </c>
      <c r="AC11" s="61">
        <v>28.5</v>
      </c>
      <c r="AD11" s="61">
        <v>5.2</v>
      </c>
      <c r="AE11" s="61">
        <v>0</v>
      </c>
      <c r="AF11" s="61">
        <v>0</v>
      </c>
      <c r="AG11" s="72" t="s">
        <v>52</v>
      </c>
      <c r="AH11" s="11">
        <f>IF(SUM(R11,V11)&gt;0,SUM(R11,V11),"")</f>
        <v>11.6</v>
      </c>
      <c r="AI11" s="11">
        <f>IF(SUM(Q11:R11,T11:V11,X11)-SUM(S11,W11)&gt;0,SUM(Q11:R11,T11:V11,X11)-SUM(S11,W11),"")</f>
        <v>67.599999999999994</v>
      </c>
      <c r="AJ11" s="11">
        <f>IF(SUM(Z11,AD11)&gt;0,SUM(Z11,AD11),"")</f>
        <v>9.1999999999999993</v>
      </c>
      <c r="AK11" s="11">
        <f>IF(SUM(Y11:Z11,AB11:AD11,AF11)-SUM(AA11,AE11)&gt;0,SUM(Y11:Z11,AB11:AD11,AF11)-SUM(AA11,AE11),"")</f>
        <v>61.650000000000006</v>
      </c>
      <c r="AL11" s="11">
        <f>IF(SUM(AI11,AK11)&gt;0,SUM(AI11,AK11),"")</f>
        <v>129.25</v>
      </c>
      <c r="AM11" s="36">
        <v>27.85</v>
      </c>
      <c r="AN11" s="36">
        <v>6</v>
      </c>
      <c r="AO11" s="36">
        <v>0</v>
      </c>
      <c r="AP11" s="36">
        <v>0</v>
      </c>
      <c r="AQ11" s="36">
        <v>28.6</v>
      </c>
      <c r="AR11" s="36">
        <v>5.6</v>
      </c>
      <c r="AS11" s="36">
        <v>0.45</v>
      </c>
      <c r="AT11" s="36">
        <v>0</v>
      </c>
      <c r="AU11" s="36">
        <v>23.950000000000003</v>
      </c>
      <c r="AV11" s="36">
        <v>4</v>
      </c>
      <c r="AW11" s="36">
        <v>0</v>
      </c>
      <c r="AX11" s="36">
        <v>0</v>
      </c>
      <c r="AY11" s="36">
        <v>28.5</v>
      </c>
      <c r="AZ11" s="36">
        <v>5.2</v>
      </c>
      <c r="BA11" s="36">
        <v>0</v>
      </c>
      <c r="BB11" s="36">
        <v>0</v>
      </c>
      <c r="BC11" s="73" t="s">
        <v>52</v>
      </c>
      <c r="BD11" s="14">
        <f>IF(SUM(AN11,AR11)&gt;0,SUM(AN11,AR11),"")</f>
        <v>11.6</v>
      </c>
      <c r="BE11" s="14">
        <f>IF(SUM(AM11:AN11,AP11:AR11,AT11)-SUM(AO11,AS11)&gt;0,SUM(AM11:AN11,AP11:AR11,AT11)-SUM(AO11,AS11),"")</f>
        <v>67.599999999999994</v>
      </c>
      <c r="BF11" s="14">
        <f>IF(SUM(AV11,AZ11)&gt;0,SUM(AV11,AZ11),"")</f>
        <v>9.1999999999999993</v>
      </c>
      <c r="BG11" s="14">
        <f>IF(SUM(AU11:AV11,AX11:AZ11,BB11)-SUM(AW11,BA11)&gt;0,SUM(AU11:AV11,AX11:AZ11,BB11)-SUM(AW11,BA11),"")</f>
        <v>61.650000000000006</v>
      </c>
      <c r="BH11" s="14">
        <f>IF(SUM(BE11,BG11)&gt;0,SUM(BE11,BG11),"")</f>
        <v>129.25</v>
      </c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72"/>
      <c r="BZ11" s="11" t="str">
        <f>IF(SUM(BJ11,BN11)&gt;0,SUM(BJ11,BN11),"")</f>
        <v/>
      </c>
      <c r="CA11" s="11" t="str">
        <f>IF(SUM(BI11:BJ11,BL11:BN11,BP11)-SUM(BK11,BO11)&gt;0,SUM(BI11:BJ11,BL11:BN11,BP11)-SUM(BK11,BO11),"")</f>
        <v/>
      </c>
      <c r="CB11" s="11" t="str">
        <f>IF(SUM(BR11,BV11)&gt;0,SUM(BR11,BV11),"")</f>
        <v/>
      </c>
      <c r="CC11" s="11" t="str">
        <f>IF(SUM(BQ11:BR11,BT11:BV11,BX11)-SUM(BS11,BW11)&gt;0,SUM(BQ11:BR11,BT11:BV11,BX11)-SUM(BS11,BW11),"")</f>
        <v/>
      </c>
      <c r="CD11" s="11" t="str">
        <f>IF(SUM(CA11,CC11)&gt;0,SUM(CA11,CC11),"")</f>
        <v/>
      </c>
      <c r="CE11" s="23" t="str">
        <f>IF(MAX(DA11,DV11,EQ11,FL11,GG11,HB11,HW11,IR11,JM11,KH11,LC11,LX11)-IF(J11="",0,J11)&gt;0.001,MAX(DA11,DV11,EQ11,FL11,GG11,HB11,HW11,IR11,JM11,KH11,LC11,LX11)-IF(J11="",0,J11),"")</f>
        <v/>
      </c>
      <c r="CF11" s="23" t="str">
        <f>IF(MAX(CX11,CZ11,DS11,DU11,EN11,EP11,FI11,FK11,GD11,GF11,GY11,HA11,HT11,HV11,IO11,IQ11,JJ11,JL11,KE11,KG11,KZ11,LB11,LU11,LW11)-IF(L11="",0,L11)&gt;0.001,MAX(CX11,CZ11,DS11,DU11,EN11,EP11,FI11,FK11,GD11,GF11,GY11,HA11,HT11,HV11,IO11,IQ11,JJ11,JL11,KE11,KG11,KZ11,LB11,LU11,LW11)-IF(L11="",0,L11),"")</f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1">
        <f>IF($BY11="P",BI11,(BI11+AM11)/2)</f>
        <v>13.925000000000001</v>
      </c>
      <c r="LZ11" s="61">
        <f>IF($BY11="P",BJ11,(BJ11+AN11)/2)</f>
        <v>3</v>
      </c>
      <c r="MA11" s="61">
        <f>IF($BY11="P",BK11,(BK11+AO11)/2)</f>
        <v>0</v>
      </c>
      <c r="MB11" s="61">
        <f>IF($BY11="P",BL11,(BL11+AP11)/2)</f>
        <v>0</v>
      </c>
      <c r="MC11" s="61">
        <f>IF($BY11="P",BM11,(BM11+AQ11)/2)</f>
        <v>14.3</v>
      </c>
      <c r="MD11" s="61">
        <f>IF($BY11="P",BN11,(BN11+AR11)/2)</f>
        <v>2.8</v>
      </c>
      <c r="ME11" s="61">
        <f>IF($BY11="P",BO11,(BO11+AS11)/2)</f>
        <v>0.22500000000000001</v>
      </c>
      <c r="MF11" s="61">
        <f>IF($BY11="P",BP11,(BP11+AT11)/2)</f>
        <v>0</v>
      </c>
      <c r="MG11" s="61">
        <f>IF($BY11="P",BQ11,(BQ11+AU11)/2)</f>
        <v>11.975000000000001</v>
      </c>
      <c r="MH11" s="61">
        <f>IF($BY11="P",BR11,(BR11+AV11)/2)</f>
        <v>2</v>
      </c>
      <c r="MI11" s="61">
        <f>IF($BY11="P",BS11,(BS11+AW11)/2)</f>
        <v>0</v>
      </c>
      <c r="MJ11" s="61">
        <f>IF($BY11="P",BT11,(BT11+AX11)/2)</f>
        <v>0</v>
      </c>
      <c r="MK11" s="61">
        <f>IF($BY11="P",BU11,(BU11+AY11)/2)</f>
        <v>14.25</v>
      </c>
      <c r="ML11" s="61">
        <f>IF($BY11="P",BV11,(BV11+AZ11)/2)</f>
        <v>2.6</v>
      </c>
      <c r="MM11" s="61">
        <f>IF($BY11="P",BW11,(BW11+BA11)/2)</f>
        <v>0</v>
      </c>
      <c r="MN11" s="61">
        <f>IF($BY11="P",BX11,(BX11+BB11)/2)</f>
        <v>0</v>
      </c>
      <c r="MO11" s="72" t="s">
        <v>52</v>
      </c>
      <c r="MP11" s="11">
        <f>IF(SUM(LZ11,MD11)&gt;0,SUM(LZ11,MD11),"")</f>
        <v>5.8</v>
      </c>
      <c r="MQ11" s="11">
        <f>IF(SUM(LY11:LZ11,MB11:MD11,MF11)-SUM(MA11,ME11)&gt;0,SUM(LY11:LZ11,MB11:MD11,MF11)-SUM(MA11,ME11),"")</f>
        <v>33.799999999999997</v>
      </c>
      <c r="MR11" s="11">
        <f>IF(SUM(MH11,ML11)&gt;0,SUM(MH11,ML11),"")</f>
        <v>4.5999999999999996</v>
      </c>
      <c r="MS11" s="11">
        <f>IF(SUM(MG11:MH11,MJ11:ML11,MN11)-SUM(MI11,MM11)&gt;0,SUM(MG11:MH11,MJ11:ML11,MN11)-SUM(MI11,MM11),"")</f>
        <v>30.825000000000003</v>
      </c>
      <c r="MT11" s="11">
        <f>IF(SUM(MQ11,MS11)&gt;0,SUM(MQ11,MS11),"")</f>
        <v>64.625</v>
      </c>
    </row>
    <row r="12" spans="1:358" x14ac:dyDescent="0.2">
      <c r="A12" s="5" t="str">
        <f>IF(AND(F12="P",G12="P"),SUMPRODUCT((F$4:F$16="P")*(G$4:G$16="P")*(E$4:E$16&gt;E12))+1,IF(G12="P",SUMPRODUCT((F$4:F$16="")*(G$4:G$16="P")*(E$4:E$16&gt;E12))+1+SUMPRODUCT((F$4:F$16="P")*(G$4:G$16="P")),""))</f>
        <v/>
      </c>
      <c r="B12" s="8" t="s">
        <v>108</v>
      </c>
      <c r="C12" s="4" t="s">
        <v>4</v>
      </c>
      <c r="D12" s="5">
        <v>2003</v>
      </c>
      <c r="E12" s="15">
        <f>SUM(J12:N12)</f>
        <v>196.4</v>
      </c>
      <c r="F12" s="3" t="str">
        <f>IF(OR(AND(AH12&gt;=AL$18,AI12&gt;=AL$22,AI12&lt;&gt;"",AG12=""),AND(BD12&gt;=BH$18,BE12&gt;=BH$22,BE12&lt;&gt;"",BC12=""),AND(BZ12&gt;=CD$18,CA12&gt;=CD$22,CA12&lt;&gt;"",BY12=""),AND(CW12&gt;=DA$18,CX12&gt;=DA$22,CX12&lt;&gt;""),AND(DR12&gt;=DV$18,DS12&gt;=DV$22,DS12&lt;&gt;""),AND(EM12&gt;=EQ$18,EN12&gt;=EQ$22,EN12&lt;&gt;""),AND(FH12&gt;=FL$18,FI12&gt;=FL$22,FI12&lt;&gt;""),AND(GC12&gt;=GG$18,GD12&gt;=GG$22,GD12&lt;&gt;""),AND(GX12&gt;=HB$18,GY12&gt;=HB$22,GY12&lt;&gt;""),AND(HS12&gt;=HW$18,HT12&gt;=HW$22,HT12&lt;&gt;""),AND(IN12&gt;=IR$18,IO12&gt;=IR$22,IO12&lt;&gt;""),AND(JI12&gt;=JM$18,JJ12&gt;=JM$22,JJ12&lt;&gt;""),AND(KD12&gt;=KH$18,KE12&gt;=KH$22,KE12&lt;&gt;""),AND(KY12&gt;=LC$18,KZ12&gt;=LC$22,KZ12&lt;&gt;""),AND(LT12&gt;=LX$18,LU12&gt;=LX$22,LU12&lt;&gt;"")),"P","")</f>
        <v/>
      </c>
      <c r="G12" s="3" t="str">
        <f>IF(OR(AND(AI12&gt;=AL$22,AI12&lt;&gt;"",AG12=""),AND(BE12&gt;=BH$22,BE12&lt;&gt;"",BC12=""),AND(CA12&gt;=CD$22,CA12&lt;&gt;"",BY12=""),AND(CX12&gt;=DA$22,CX12&lt;&gt;""),AND(DS12&gt;=DV$22,DS12&lt;&gt;""),AND(EN12&gt;=EQ$22,EN12&lt;&gt;""),AND(FI12&gt;=FL$22,FI12&lt;&gt;""),AND(GD12&gt;=GG$22,GD12&lt;&gt;""),AND(GY12&gt;=HB$22,GY12&lt;&gt;""),AND(HT12&gt;=HW$22,HT12&lt;&gt;""),AND(IO12&gt;=IR$22,IO12&lt;&gt;""),AND(JJ12&gt;=JM$22,JJ12&lt;&gt;""),AND(KE12&gt;=KH$22,KE12&lt;&gt;""),AND(KZ12&gt;=LC$22,KZ12&lt;&gt;""),AND(LU12&gt;=LX$22,LU12&lt;&gt;"")),"P","")</f>
        <v/>
      </c>
      <c r="H12" s="116" t="str">
        <f>IF(AND(G12="P",F12=""),"No DD",IF(OR(AND(AH12&gt;=AL$21,AH12&lt;&gt;"",AI12&gt;=AL$25,AI12&lt;&gt;"",AG12=""),AND(BD12&gt;=BH$21,BD12&lt;&gt;"",BE12&gt;=BH$25,BE12&lt;&gt;"",BC12=""),AND(BZ12&gt;=CD$21,BZ12&lt;&gt;"",CA12&gt;=CD$25,CA12&lt;&gt;"",BY12=""),AND(CW12&gt;=DA$21,CW12&lt;&gt;"",CX12&gt;=DA$25,CX12&lt;&gt;""),AND(DR12&gt;=DV$21,DR12&lt;&gt;"",DS12&gt;=DV$25,DS12&lt;&gt;""),AND(EM12&gt;=EQ$21,EM12&lt;&gt;"",EN12&gt;=EQ$25,EN12&lt;&gt;""),AND(FH12&gt;=FL$21,FH12&lt;&gt;"",FI12&gt;=FL$25,FI12&lt;&gt;""),AND(GC12&gt;=GG$21,GC12&lt;&gt;"",GD12&gt;=GG$25,GD12&lt;&gt;""),AND(GX12&gt;=HB$21,GX12&lt;&gt;"",GY12&gt;=HB$25,GY12&lt;&gt;""),AND(HS12&gt;=HW$21,HS12&lt;&gt;"",HT12&gt;=HW$25,HT12&lt;&gt;""),AND(IN12&gt;=IR$21,IN12&lt;&gt;"",IO12&gt;=IR$25,IO12&lt;&gt;""),AND(JI12&gt;=JM$21,JI12&lt;&gt;"",JJ12&gt;=JM$25,JJ12&lt;&gt;""),AND(KD12&gt;=KH$21,KD12&lt;&gt;"",KE12&gt;=KH$25,KE12&lt;&gt;""),AND(KY12&gt;=LC$21,KY12&lt;&gt;"",KZ12&gt;=LC$25,KZ12&lt;&gt;""),AND(LT12&gt;=LX$21,LT12&lt;&gt;"",LU12&gt;=LX$25,LU12&lt;&gt;"")),"Merit",IF(OR(AND(AH12&gt;=AL$20,AH12&lt;&gt;"",AI12&gt;=AL$24,AI12&lt;&gt;"",AG12=""),AND(BD12&gt;=BH$20,BD12&lt;&gt;"",BE12&gt;=BH$24,BE12&lt;&gt;"",BC12=""),AND(BZ12&gt;=CD$20,BZ12&lt;&gt;"",CA12&gt;=CD$24,CA12&lt;&gt;"",BY12=""),AND(CW12&gt;=DA$20,CW12&lt;&gt;"",CX12&gt;=DA$24,CX12&lt;&gt;""),AND(DR12&gt;=DV$20,DR12&lt;&gt;"",DS12&gt;=DV$24,DS12&lt;&gt;""),AND(EM12&gt;=EQ$20,EM12&lt;&gt;"",EN12&gt;=EQ$24,EN12&lt;&gt;""),AND(FH12&gt;=FL$20,FH12&lt;&gt;"",FI12&gt;=FL$24,FI12&lt;&gt;""),AND(GC12&gt;=GG$20,GC12&lt;&gt;"",GD12&gt;=GG$24,GD12&lt;&gt;""),AND(GX12&gt;=HB$20,GX12&lt;&gt;"",GY12&gt;=HB$24,GY12&lt;&gt;""),AND(HS12&gt;=HW$20,HS12&lt;&gt;"",HT12&gt;=HW$24,HT12&lt;&gt;""),AND(IN12&gt;=IR$20,IN12&lt;&gt;"",IO12&gt;=IR$24,IO12&lt;&gt;""),AND(JI12&gt;=JM$20,JI12&lt;&gt;"",JJ12&gt;=JM$24,JJ12&lt;&gt;""),AND(KD12&gt;=KH$20,KD12&lt;&gt;"",KE12&gt;=KH$24,KE12&lt;&gt;""),AND(KY12&gt;=LC$20,KY12&lt;&gt;"",KZ12&gt;=LC$24,KZ12&lt;&gt;""),AND(LT12&gt;=LX$20,LT12&lt;&gt;"",LU12&gt;=LX$24,LU12&lt;&gt;"")),"Excellence",IF(OR(AND(AH12&gt;=AL$19,AH12&lt;&gt;"",AI12&gt;=AL$23,AI12&lt;&gt;"",AG12=""),AND(BD12&gt;=BH$19,BD12&lt;&gt;"",BE12&gt;=BH$23,BE12&lt;&gt;"",BC12=""),AND(BZ12&gt;=CD$19,BZ12&lt;&gt;"",CA12&gt;=CD$23,CA12&lt;&gt;"",BY12=""),AND(CW12&gt;=DA$19,CW12&lt;&gt;"",CX12&gt;=DA$23,CX12&lt;&gt;""),AND(DR12&gt;=DV$19,DR12&lt;&gt;"",DS12&gt;=DV$23,DS12&lt;&gt;""),AND(EM12&gt;=EQ$19,EM12&lt;&gt;"",EN12&gt;=EQ$23,EN12&lt;&gt;""),AND(FH12&gt;=FL$19,FH12&lt;&gt;"",FI12&gt;=FL$23,FI12&lt;&gt;""),AND(GC12&gt;=GG$19,GC12&lt;&gt;"",GD12&gt;=GG$23,GD12&lt;&gt;""),AND(GX12&gt;=HB$19,GX12&lt;&gt;"",GY12&gt;=HB$23,GY12&lt;&gt;""),AND(HS12&gt;=HW$19,HS12&lt;&gt;"",HT12&gt;=HW$23,HT12&lt;&gt;""),AND(IN12&gt;=IR$19,IN12&lt;&gt;"",IO12&gt;=IR$23,IO12&lt;&gt;""),AND(JI12&gt;=JM$19,JI12&lt;&gt;"",JJ12&gt;=JM$23,JJ12&lt;&gt;""),AND(KD12&gt;=KH$19,KD12&lt;&gt;"",KE12&gt;=KH$23,KE12&lt;&gt;""),AND(KY12&gt;=LC$19,KY12&lt;&gt;"",KZ12&gt;=LC$23,KZ12&lt;&gt;""),AND(LT12&gt;=LX$19,LT12&lt;&gt;"",LU12&gt;=LX$23,LU12&lt;&gt;"")),"Worlds Team",IF(OR(AND(AH12&gt;=AL$18,AH12&lt;&gt;"",AI12&gt;=AL$22,AI12&lt;&gt;"",AG12=""),AND(BD12&gt;=BH$18,BD12&lt;&gt;"",BE12&gt;=BH$22,BE12&lt;&gt;"",BC12=""),AND(BZ12&gt;=CD$18,BZ12&lt;&gt;"",CA12&gt;=CD$22,CA12&lt;&gt;"",BY12=""),AND(CW12&gt;=DA$18,CW12&lt;&gt;"",CX12&gt;=DA$22,CX12&lt;&gt;""),AND(DR12&gt;=DV$18,DR12&lt;&gt;"",DS12&gt;=DV$22,DS12&lt;&gt;""),AND(EM12&gt;=EQ$18,EM12&lt;&gt;"",EN12&gt;=EQ$22,EN12&lt;&gt;""),AND(FH12&gt;=FL$18,FH12&lt;&gt;"",FI12&gt;=FL$22,FI12&lt;&gt;""),AND(GC12&gt;=GG$18,GC12&lt;&gt;"",GD12&gt;=GG$22,GD12&lt;&gt;""),AND(GX12&gt;=HB$18,GX12&lt;&gt;"",GY12&gt;=HB$22,GY12&lt;&gt;""),AND(HS12&gt;=HW$18,HS12&lt;&gt;"",HT12&gt;=HW$22,HT12&lt;&gt;""),AND(IN12&gt;=IR$18,IN12&lt;&gt;"",IO12&gt;=IR$22,IO12&lt;&gt;""),AND(JI12&gt;=JM$18,JI12&lt;&gt;"",JJ12&gt;=JM$22,JJ12&lt;&gt;""),AND(KD12&gt;=KH$18,KD12&lt;&gt;"",KE12&gt;=KH$22,KE12&lt;&gt;""),AND(KY12&gt;=LC$18,KY12&lt;&gt;"",KZ12&gt;=LC$22,KZ12&lt;&gt;""),AND(LT12&gt;=LX$18,LT12&lt;&gt;"",LU12&gt;=LX$22,LU12&lt;&gt;"")),"National Team","")))))</f>
        <v/>
      </c>
      <c r="I12" s="3" t="str">
        <f>IF(OR(H12="Worlds Team",H12="Excellence",H12="Merit"),"P","")</f>
        <v/>
      </c>
      <c r="J12" s="14">
        <f>MAX(AL12,BH12,CD12)</f>
        <v>130.80000000000001</v>
      </c>
      <c r="K12" s="14" t="str">
        <f>IF(J12=0,"",IF(J12=CD12,$BI$1,IF(J12=BH12,$AM$1,IF(J12=AL12,$Q$1,""))))</f>
        <v>2021 1st Virtual Technical Trial</v>
      </c>
      <c r="L12" s="14">
        <f>IF(J12=AL12,MAX(BE12,BG12,CA12,CC12),IF(J12=BH12,MAX(AI12,AK12,CA12,CC12),MAX(AI12,AK12,BE12,BG12)))</f>
        <v>65.599999999999994</v>
      </c>
      <c r="M12" s="14" t="str">
        <f>IF(L12=0,"",IF(AND(J12&lt;&gt;CD12,OR(L12=CA12,L12=CC12)),$BI$1,IF(AND(J12&lt;&gt;BH12,OR(L12=BG12,L12=BE12)),$AM$1,IF(OR(L12=AK12,L12=AI12),$Q$1,""))))</f>
        <v>2019 Elite Canada</v>
      </c>
      <c r="N12" s="14" t="str">
        <f>IF(MAX(CE12:CF12)&gt;0,MAX(CE12:CF12),"")</f>
        <v/>
      </c>
      <c r="O12" s="24" t="str">
        <f>IF(N12="","",IF(N12=CE12,"(4 Pass)",IF(N12=CF12,"(2 Pass)")))</f>
        <v/>
      </c>
      <c r="P12" s="14" t="str">
        <f>IF(N12="","",IF(N12=CE12,IF(N12+IF(J12="",0,J12)=DA12,$CG$1,IF(N12+IF(J12="",0,J12)=DV12,$DB$1,IF(N12+IF(J12="",0,J12)=EQ12,$DW$1,IF(N12+IF(J12="",0,J12)=FL12,$ER$1,IF(N12+IF(J12="",0,J12)=GG12,$FM$1,IF(N12+IF(J12="",0,J12)=HB12,$GH$1,IF(N12+IF(J12="",0,J12)=HW12,$HC$1,IF(N12+IF(J12="",0,J12)=IR12,$HX$1,IF(N12+IF(J12="",0,J12)=JM12,$IS$1,IF(N12+IF(J12="",0,J12)=KH12,$JN$1,IF(N12+IF(J12="",0,J12)=LC12,$KI$1,IF(N12+IF(J12="",0,J12)=LX12,$LD$1)))))))))))),IF(N12=CF12,IF(OR(N12+IF(L12="",0,L12)=CX12,N12+IF(L12="",0,L12)=CZ12),$CG$1,IF(OR(N12+IF(L12="",0,L12)=DS12,N12+IF(L12="",0,L12)=DU12),$DB$1,IF(OR(N12+IF(L12="",0,L12)=EN12,N12+IF(L12="",0,L12)=EP12),$DW$1,IF(OR(N12+IF(L12="",0,L12)=FI12,N12+IF(L12="",0,L12)=FK12),$ER$1,IF(OR(N12+IF(L12="",0,L12)=GD12,N12+IF(L12="",0,L12)=GF12),$FM$1,IF(OR(N12+IF(L12="",0,L12)=GY12,N12+IF(L12="",0,L12)=HA12),$GH$1,IF(OR(N12+IF(L12="",0,L12)=HT12,N12+IF(L12="",0,L12)=HV12),$HC$1,IF(OR(N12+IF(L12="",0,L12)=IO12,N12+IF(L12="",0,L12)=IQ12),$HX$1,IF(OR(N12+IF(L12="",0,L12)=JJ12,N12+IF(L12="",0,L12)=JL12),$IS$1,IF(OR(N12+IF(L12="",0,L12)=KE12,N12+IF(L12="",0,L12)=KG12),$JN$1,IF(OR(N12+IF(L12="",0,L12)=KZ12,N12+IF(L12="",0,L12)=LB12),$KI$1,IF(OR(N12+IF(L12="",0,L12)=LU12,N12+IF(L12="",0,L12)=LW12),$LD$1)))))))))))))))</f>
        <v/>
      </c>
      <c r="Q12" s="61">
        <v>27.7</v>
      </c>
      <c r="R12" s="61">
        <v>6</v>
      </c>
      <c r="S12" s="61">
        <v>0.9</v>
      </c>
      <c r="T12" s="61">
        <v>0</v>
      </c>
      <c r="U12" s="61">
        <v>28</v>
      </c>
      <c r="V12" s="61">
        <v>4.8</v>
      </c>
      <c r="W12" s="61">
        <v>0</v>
      </c>
      <c r="X12" s="61">
        <v>0</v>
      </c>
      <c r="Y12" s="61">
        <v>24.7</v>
      </c>
      <c r="Z12" s="61">
        <v>3</v>
      </c>
      <c r="AA12" s="61">
        <v>1.9</v>
      </c>
      <c r="AB12" s="61">
        <v>0</v>
      </c>
      <c r="AC12" s="61">
        <v>26.9</v>
      </c>
      <c r="AD12" s="61">
        <v>2.8</v>
      </c>
      <c r="AE12" s="61">
        <v>2.1</v>
      </c>
      <c r="AF12" s="61">
        <v>0</v>
      </c>
      <c r="AG12" s="72"/>
      <c r="AH12" s="11">
        <f>IF(SUM(R12,V12)&gt;0,SUM(R12,V12),"")</f>
        <v>10.8</v>
      </c>
      <c r="AI12" s="11">
        <f>IF(SUM(Q12:R12,T12:V12,X12)-SUM(S12,W12)&gt;0,SUM(Q12:R12,T12:V12,X12)-SUM(S12,W12),"")</f>
        <v>65.599999999999994</v>
      </c>
      <c r="AJ12" s="11">
        <f>IF(SUM(Z12,AD12)&gt;0,SUM(Z12,AD12),"")</f>
        <v>5.8</v>
      </c>
      <c r="AK12" s="11">
        <f>IF(SUM(Y12:Z12,AB12:AD12,AF12)-SUM(AA12,AE12)&gt;0,SUM(Y12:Z12,AB12:AD12,AF12)-SUM(AA12,AE12),"")</f>
        <v>53.399999999999991</v>
      </c>
      <c r="AL12" s="11">
        <f>IF(SUM(AI12,AK12)&gt;0,SUM(AI12,AK12),"")</f>
        <v>118.99999999999999</v>
      </c>
      <c r="AM12" s="36">
        <v>19.8</v>
      </c>
      <c r="AN12" s="36">
        <v>2.4</v>
      </c>
      <c r="AO12" s="36">
        <v>0</v>
      </c>
      <c r="AP12" s="36">
        <v>0</v>
      </c>
      <c r="AQ12" s="36">
        <v>27.9</v>
      </c>
      <c r="AR12" s="36">
        <v>5.6</v>
      </c>
      <c r="AS12" s="36">
        <v>0</v>
      </c>
      <c r="AT12" s="36">
        <v>0</v>
      </c>
      <c r="AU12" s="36">
        <v>27.6</v>
      </c>
      <c r="AV12" s="36">
        <v>5.6</v>
      </c>
      <c r="AW12" s="36">
        <v>0.9</v>
      </c>
      <c r="AX12" s="36">
        <v>0</v>
      </c>
      <c r="AY12" s="36">
        <v>27.9</v>
      </c>
      <c r="AZ12" s="36">
        <v>4.8</v>
      </c>
      <c r="BA12" s="36">
        <v>0</v>
      </c>
      <c r="BB12" s="36">
        <v>0</v>
      </c>
      <c r="BC12" s="73"/>
      <c r="BD12" s="14">
        <f>IF(SUM(AN12,AR12)&gt;0,SUM(AN12,AR12),"")</f>
        <v>8</v>
      </c>
      <c r="BE12" s="14">
        <f>IF(SUM(AM12:AN12,AP12:AR12,AT12)-SUM(AO12,AS12)&gt;0,SUM(AM12:AN12,AP12:AR12,AT12)-SUM(AO12,AS12),"")</f>
        <v>55.699999999999996</v>
      </c>
      <c r="BF12" s="14">
        <f>IF(SUM(AV12,AZ12)&gt;0,SUM(AV12,AZ12),"")</f>
        <v>10.399999999999999</v>
      </c>
      <c r="BG12" s="14">
        <f>IF(SUM(AU12:AV12,AX12:AZ12,BB12)-SUM(AW12,BA12)&gt;0,SUM(AU12:AV12,AX12:AZ12,BB12)-SUM(AW12,BA12),"")</f>
        <v>65</v>
      </c>
      <c r="BH12" s="14">
        <f>IF(SUM(BE12,BG12)&gt;0,SUM(BE12,BG12),"")</f>
        <v>120.69999999999999</v>
      </c>
      <c r="BI12" s="61">
        <v>27.7</v>
      </c>
      <c r="BJ12" s="61">
        <v>5.6</v>
      </c>
      <c r="BK12" s="61">
        <v>0</v>
      </c>
      <c r="BL12" s="61">
        <v>0</v>
      </c>
      <c r="BM12" s="61">
        <v>27.1</v>
      </c>
      <c r="BN12" s="61">
        <v>6</v>
      </c>
      <c r="BO12" s="61">
        <v>0.9</v>
      </c>
      <c r="BP12" s="61">
        <v>0</v>
      </c>
      <c r="BQ12" s="61">
        <v>27.3</v>
      </c>
      <c r="BR12" s="61">
        <v>5.6</v>
      </c>
      <c r="BS12" s="61">
        <v>0</v>
      </c>
      <c r="BT12" s="61">
        <v>0</v>
      </c>
      <c r="BU12" s="61">
        <v>27.6</v>
      </c>
      <c r="BV12" s="61">
        <v>4.8</v>
      </c>
      <c r="BW12" s="61">
        <v>0</v>
      </c>
      <c r="BX12" s="61">
        <v>0</v>
      </c>
      <c r="BY12" s="72"/>
      <c r="BZ12" s="11">
        <f>IF(SUM(BJ12,BN12)&gt;0,SUM(BJ12,BN12),"")</f>
        <v>11.6</v>
      </c>
      <c r="CA12" s="11">
        <f>IF(SUM(BI12:BJ12,BL12:BN12,BP12)-SUM(BK12,BO12)&gt;0,SUM(BI12:BJ12,BL12:BN12,BP12)-SUM(BK12,BO12),"")</f>
        <v>65.5</v>
      </c>
      <c r="CB12" s="11">
        <f>IF(SUM(BR12,BV12)&gt;0,SUM(BR12,BV12),"")</f>
        <v>10.399999999999999</v>
      </c>
      <c r="CC12" s="11">
        <f>IF(SUM(BQ12:BR12,BT12:BV12,BX12)-SUM(BS12,BW12)&gt;0,SUM(BQ12:BR12,BT12:BV12,BX12)-SUM(BS12,BW12),"")</f>
        <v>65.3</v>
      </c>
      <c r="CD12" s="11">
        <f>IF(SUM(CA12,CC12)&gt;0,SUM(CA12,CC12),"")</f>
        <v>130.80000000000001</v>
      </c>
      <c r="CE12" s="23" t="str">
        <f>IF(MAX(DA12,DV12,EQ12,FL12,GG12,HB12,HW12,IR12,JM12,KH12,LC12,LX12)-IF(J12="",0,J12)&gt;0.001,MAX(DA12,DV12,EQ12,FL12,GG12,HB12,HW12,IR12,JM12,KH12,LC12,LX12)-IF(J12="",0,J12),"")</f>
        <v/>
      </c>
      <c r="CF12" s="23" t="str">
        <f>IF(MAX(CX12,CZ12,DS12,DU12,EN12,EP12,FI12,FK12,GD12,GF12,GY12,HA12,HT12,HV12,IO12,IQ12,JJ12,JL12,KE12,KG12,KZ12,LB12,LU12,LW12)-IF(L12="",0,L12)&gt;0.001,MAX(CX12,CZ12,DS12,DU12,EN12,EP12,FI12,FK12,GD12,GF12,GY12,HA12,HT12,HV12,IO12,IQ12,JJ12,JL12,KE12,KG12,KZ12,LB12,LU12,LW12)-IF(L12="",0,L12),"")</f>
        <v/>
      </c>
      <c r="CG12" s="40">
        <v>24.9</v>
      </c>
      <c r="CH12" s="40">
        <v>6.4</v>
      </c>
      <c r="CI12" s="40">
        <v>0</v>
      </c>
      <c r="CJ12" s="40">
        <v>0</v>
      </c>
      <c r="CK12" s="40">
        <v>27.3</v>
      </c>
      <c r="CL12" s="40">
        <v>6.8</v>
      </c>
      <c r="CM12" s="40">
        <v>0</v>
      </c>
      <c r="CN12" s="40">
        <v>0</v>
      </c>
      <c r="CO12" s="40">
        <v>26.7</v>
      </c>
      <c r="CP12" s="40">
        <v>5.2</v>
      </c>
      <c r="CQ12" s="40">
        <v>0.9</v>
      </c>
      <c r="CR12" s="40">
        <v>0</v>
      </c>
      <c r="CS12" s="40">
        <v>26.1</v>
      </c>
      <c r="CT12" s="40">
        <v>5.2</v>
      </c>
      <c r="CU12" s="40">
        <v>1.2</v>
      </c>
      <c r="CV12" s="40">
        <v>0</v>
      </c>
      <c r="CW12" s="11">
        <f>IF(SUM(CH12,CL12)&gt;0,SUM(CH12,CL12),"")</f>
        <v>13.2</v>
      </c>
      <c r="CX12" s="11">
        <f>IF(SUM(CG12:CH12,CJ12:CL12,CN12)-SUM(CI12,CM12)&gt;0,SUM(CG12:CH12,CJ12:CL12,CN12)-SUM(CI12,CM12),"")</f>
        <v>65.399999999999991</v>
      </c>
      <c r="CY12" s="11">
        <f>IF(SUM(CP12,CT12)&gt;0,SUM(CP12,CT12),"")</f>
        <v>10.4</v>
      </c>
      <c r="CZ12" s="11">
        <f>IF(SUM(CO12:CP12,CR12:CT12,CV12)-SUM(CQ12,CU12)&gt;0,SUM(CO12:CP12,CR12:CT12,CV12)-SUM(CQ12,CU12),"")</f>
        <v>61.1</v>
      </c>
      <c r="DA12" s="11">
        <f>IF(SUM(CX12,CZ12)&gt;0,SUM(CX12,CZ12),"")</f>
        <v>126.5</v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1">
        <f>IF($BY12="P",BI12,(BI12+AM12)/2)</f>
        <v>23.75</v>
      </c>
      <c r="LZ12" s="61">
        <f>IF($BY12="P",BJ12,(BJ12+AN12)/2)</f>
        <v>4</v>
      </c>
      <c r="MA12" s="61">
        <f>IF($BY12="P",BK12,(BK12+AO12)/2)</f>
        <v>0</v>
      </c>
      <c r="MB12" s="61">
        <f>IF($BY12="P",BL12,(BL12+AP12)/2)</f>
        <v>0</v>
      </c>
      <c r="MC12" s="61">
        <f>IF($BY12="P",BM12,(BM12+AQ12)/2)</f>
        <v>27.5</v>
      </c>
      <c r="MD12" s="61">
        <f>IF($BY12="P",BN12,(BN12+AR12)/2)</f>
        <v>5.8</v>
      </c>
      <c r="ME12" s="61">
        <f>IF($BY12="P",BO12,(BO12+AS12)/2)</f>
        <v>0.45</v>
      </c>
      <c r="MF12" s="61">
        <f>IF($BY12="P",BP12,(BP12+AT12)/2)</f>
        <v>0</v>
      </c>
      <c r="MG12" s="61">
        <f>IF($BY12="P",BQ12,(BQ12+AU12)/2)</f>
        <v>27.450000000000003</v>
      </c>
      <c r="MH12" s="61">
        <f>IF($BY12="P",BR12,(BR12+AV12)/2)</f>
        <v>5.6</v>
      </c>
      <c r="MI12" s="61">
        <f>IF($BY12="P",BS12,(BS12+AW12)/2)</f>
        <v>0.45</v>
      </c>
      <c r="MJ12" s="61">
        <f>IF($BY12="P",BT12,(BT12+AX12)/2)</f>
        <v>0</v>
      </c>
      <c r="MK12" s="61">
        <f>IF($BY12="P",BU12,(BU12+AY12)/2)</f>
        <v>27.75</v>
      </c>
      <c r="ML12" s="61">
        <f>IF($BY12="P",BV12,(BV12+AZ12)/2)</f>
        <v>4.8</v>
      </c>
      <c r="MM12" s="61">
        <f>IF($BY12="P",BW12,(BW12+BA12)/2)</f>
        <v>0</v>
      </c>
      <c r="MN12" s="61">
        <f>IF($BY12="P",BX12,(BX12+BB12)/2)</f>
        <v>0</v>
      </c>
      <c r="MO12" s="72" t="s">
        <v>52</v>
      </c>
      <c r="MP12" s="11">
        <f>IF(SUM(LZ12,MD12)&gt;0,SUM(LZ12,MD12),"")</f>
        <v>9.8000000000000007</v>
      </c>
      <c r="MQ12" s="11">
        <f>IF(SUM(LY12:LZ12,MB12:MD12,MF12)-SUM(MA12,ME12)&gt;0,SUM(LY12:LZ12,MB12:MD12,MF12)-SUM(MA12,ME12),"")</f>
        <v>60.599999999999994</v>
      </c>
      <c r="MR12" s="11">
        <f>IF(SUM(MH12,ML12)&gt;0,SUM(MH12,ML12),"")</f>
        <v>10.399999999999999</v>
      </c>
      <c r="MS12" s="11">
        <f>IF(SUM(MG12:MH12,MJ12:ML12,MN12)-SUM(MI12,MM12)&gt;0,SUM(MG12:MH12,MJ12:ML12,MN12)-SUM(MI12,MM12),"")</f>
        <v>65.150000000000006</v>
      </c>
      <c r="MT12" s="11">
        <f>IF(SUM(MQ12,MS12)&gt;0,SUM(MQ12,MS12),"")</f>
        <v>125.75</v>
      </c>
    </row>
    <row r="13" spans="1:358" x14ac:dyDescent="0.2">
      <c r="A13" s="5" t="str">
        <f>IF(AND(F13="P",G13="P"),SUMPRODUCT((F$4:F$16="P")*(G$4:G$16="P")*(E$4:E$16&gt;E13))+1,IF(G13="P",SUMPRODUCT((F$4:F$16="")*(G$4:G$16="P")*(E$4:E$16&gt;E13))+1+SUMPRODUCT((F$4:F$16="P")*(G$4:G$16="P")),""))</f>
        <v/>
      </c>
      <c r="B13" s="8" t="s">
        <v>127</v>
      </c>
      <c r="C13" s="4" t="s">
        <v>5</v>
      </c>
      <c r="D13" s="5">
        <v>2003</v>
      </c>
      <c r="E13" s="15">
        <f>SUM(J13:N13)</f>
        <v>192.39999999999998</v>
      </c>
      <c r="F13" s="3" t="str">
        <f>IF(OR(AND(AH13&gt;=AL$18,AI13&gt;=AL$22,AI13&lt;&gt;"",AG13=""),AND(BD13&gt;=BH$18,BE13&gt;=BH$22,BE13&lt;&gt;"",BC13=""),AND(BZ13&gt;=CD$18,CA13&gt;=CD$22,CA13&lt;&gt;"",BY13=""),AND(CW13&gt;=DA$18,CX13&gt;=DA$22,CX13&lt;&gt;""),AND(DR13&gt;=DV$18,DS13&gt;=DV$22,DS13&lt;&gt;""),AND(EM13&gt;=EQ$18,EN13&gt;=EQ$22,EN13&lt;&gt;""),AND(FH13&gt;=FL$18,FI13&gt;=FL$22,FI13&lt;&gt;""),AND(GC13&gt;=GG$18,GD13&gt;=GG$22,GD13&lt;&gt;""),AND(GX13&gt;=HB$18,GY13&gt;=HB$22,GY13&lt;&gt;""),AND(HS13&gt;=HW$18,HT13&gt;=HW$22,HT13&lt;&gt;""),AND(IN13&gt;=IR$18,IO13&gt;=IR$22,IO13&lt;&gt;""),AND(JI13&gt;=JM$18,JJ13&gt;=JM$22,JJ13&lt;&gt;""),AND(KD13&gt;=KH$18,KE13&gt;=KH$22,KE13&lt;&gt;""),AND(KY13&gt;=LC$18,KZ13&gt;=LC$22,KZ13&lt;&gt;""),AND(LT13&gt;=LX$18,LU13&gt;=LX$22,LU13&lt;&gt;"")),"P","")</f>
        <v/>
      </c>
      <c r="G13" s="3" t="str">
        <f>IF(OR(AND(AI13&gt;=AL$22,AI13&lt;&gt;"",AG13=""),AND(BE13&gt;=BH$22,BE13&lt;&gt;"",BC13=""),AND(CA13&gt;=CD$22,CA13&lt;&gt;"",BY13=""),AND(CX13&gt;=DA$22,CX13&lt;&gt;""),AND(DS13&gt;=DV$22,DS13&lt;&gt;""),AND(EN13&gt;=EQ$22,EN13&lt;&gt;""),AND(FI13&gt;=FL$22,FI13&lt;&gt;""),AND(GD13&gt;=GG$22,GD13&lt;&gt;""),AND(GY13&gt;=HB$22,GY13&lt;&gt;""),AND(HT13&gt;=HW$22,HT13&lt;&gt;""),AND(IO13&gt;=IR$22,IO13&lt;&gt;""),AND(JJ13&gt;=JM$22,JJ13&lt;&gt;""),AND(KE13&gt;=KH$22,KE13&lt;&gt;""),AND(KZ13&gt;=LC$22,KZ13&lt;&gt;""),AND(LU13&gt;=LX$22,LU13&lt;&gt;"")),"P","")</f>
        <v/>
      </c>
      <c r="H13" s="116" t="str">
        <f>IF(AND(G13="P",F13=""),"No DD",IF(OR(AND(AH13&gt;=AL$21,AH13&lt;&gt;"",AI13&gt;=AL$25,AI13&lt;&gt;"",AG13=""),AND(BD13&gt;=BH$21,BD13&lt;&gt;"",BE13&gt;=BH$25,BE13&lt;&gt;"",BC13=""),AND(BZ13&gt;=CD$21,BZ13&lt;&gt;"",CA13&gt;=CD$25,CA13&lt;&gt;"",BY13=""),AND(CW13&gt;=DA$21,CW13&lt;&gt;"",CX13&gt;=DA$25,CX13&lt;&gt;""),AND(DR13&gt;=DV$21,DR13&lt;&gt;"",DS13&gt;=DV$25,DS13&lt;&gt;""),AND(EM13&gt;=EQ$21,EM13&lt;&gt;"",EN13&gt;=EQ$25,EN13&lt;&gt;""),AND(FH13&gt;=FL$21,FH13&lt;&gt;"",FI13&gt;=FL$25,FI13&lt;&gt;""),AND(GC13&gt;=GG$21,GC13&lt;&gt;"",GD13&gt;=GG$25,GD13&lt;&gt;""),AND(GX13&gt;=HB$21,GX13&lt;&gt;"",GY13&gt;=HB$25,GY13&lt;&gt;""),AND(HS13&gt;=HW$21,HS13&lt;&gt;"",HT13&gt;=HW$25,HT13&lt;&gt;""),AND(IN13&gt;=IR$21,IN13&lt;&gt;"",IO13&gt;=IR$25,IO13&lt;&gt;""),AND(JI13&gt;=JM$21,JI13&lt;&gt;"",JJ13&gt;=JM$25,JJ13&lt;&gt;""),AND(KD13&gt;=KH$21,KD13&lt;&gt;"",KE13&gt;=KH$25,KE13&lt;&gt;""),AND(KY13&gt;=LC$21,KY13&lt;&gt;"",KZ13&gt;=LC$25,KZ13&lt;&gt;""),AND(LT13&gt;=LX$21,LT13&lt;&gt;"",LU13&gt;=LX$25,LU13&lt;&gt;"")),"Merit",IF(OR(AND(AH13&gt;=AL$20,AH13&lt;&gt;"",AI13&gt;=AL$24,AI13&lt;&gt;"",AG13=""),AND(BD13&gt;=BH$20,BD13&lt;&gt;"",BE13&gt;=BH$24,BE13&lt;&gt;"",BC13=""),AND(BZ13&gt;=CD$20,BZ13&lt;&gt;"",CA13&gt;=CD$24,CA13&lt;&gt;"",BY13=""),AND(CW13&gt;=DA$20,CW13&lt;&gt;"",CX13&gt;=DA$24,CX13&lt;&gt;""),AND(DR13&gt;=DV$20,DR13&lt;&gt;"",DS13&gt;=DV$24,DS13&lt;&gt;""),AND(EM13&gt;=EQ$20,EM13&lt;&gt;"",EN13&gt;=EQ$24,EN13&lt;&gt;""),AND(FH13&gt;=FL$20,FH13&lt;&gt;"",FI13&gt;=FL$24,FI13&lt;&gt;""),AND(GC13&gt;=GG$20,GC13&lt;&gt;"",GD13&gt;=GG$24,GD13&lt;&gt;""),AND(GX13&gt;=HB$20,GX13&lt;&gt;"",GY13&gt;=HB$24,GY13&lt;&gt;""),AND(HS13&gt;=HW$20,HS13&lt;&gt;"",HT13&gt;=HW$24,HT13&lt;&gt;""),AND(IN13&gt;=IR$20,IN13&lt;&gt;"",IO13&gt;=IR$24,IO13&lt;&gt;""),AND(JI13&gt;=JM$20,JI13&lt;&gt;"",JJ13&gt;=JM$24,JJ13&lt;&gt;""),AND(KD13&gt;=KH$20,KD13&lt;&gt;"",KE13&gt;=KH$24,KE13&lt;&gt;""),AND(KY13&gt;=LC$20,KY13&lt;&gt;"",KZ13&gt;=LC$24,KZ13&lt;&gt;""),AND(LT13&gt;=LX$20,LT13&lt;&gt;"",LU13&gt;=LX$24,LU13&lt;&gt;"")),"Excellence",IF(OR(AND(AH13&gt;=AL$19,AH13&lt;&gt;"",AI13&gt;=AL$23,AI13&lt;&gt;"",AG13=""),AND(BD13&gt;=BH$19,BD13&lt;&gt;"",BE13&gt;=BH$23,BE13&lt;&gt;"",BC13=""),AND(BZ13&gt;=CD$19,BZ13&lt;&gt;"",CA13&gt;=CD$23,CA13&lt;&gt;"",BY13=""),AND(CW13&gt;=DA$19,CW13&lt;&gt;"",CX13&gt;=DA$23,CX13&lt;&gt;""),AND(DR13&gt;=DV$19,DR13&lt;&gt;"",DS13&gt;=DV$23,DS13&lt;&gt;""),AND(EM13&gt;=EQ$19,EM13&lt;&gt;"",EN13&gt;=EQ$23,EN13&lt;&gt;""),AND(FH13&gt;=FL$19,FH13&lt;&gt;"",FI13&gt;=FL$23,FI13&lt;&gt;""),AND(GC13&gt;=GG$19,GC13&lt;&gt;"",GD13&gt;=GG$23,GD13&lt;&gt;""),AND(GX13&gt;=HB$19,GX13&lt;&gt;"",GY13&gt;=HB$23,GY13&lt;&gt;""),AND(HS13&gt;=HW$19,HS13&lt;&gt;"",HT13&gt;=HW$23,HT13&lt;&gt;""),AND(IN13&gt;=IR$19,IN13&lt;&gt;"",IO13&gt;=IR$23,IO13&lt;&gt;""),AND(JI13&gt;=JM$19,JI13&lt;&gt;"",JJ13&gt;=JM$23,JJ13&lt;&gt;""),AND(KD13&gt;=KH$19,KD13&lt;&gt;"",KE13&gt;=KH$23,KE13&lt;&gt;""),AND(KY13&gt;=LC$19,KY13&lt;&gt;"",KZ13&gt;=LC$23,KZ13&lt;&gt;""),AND(LT13&gt;=LX$19,LT13&lt;&gt;"",LU13&gt;=LX$23,LU13&lt;&gt;"")),"Worlds Team",IF(OR(AND(AH13&gt;=AL$18,AH13&lt;&gt;"",AI13&gt;=AL$22,AI13&lt;&gt;"",AG13=""),AND(BD13&gt;=BH$18,BD13&lt;&gt;"",BE13&gt;=BH$22,BE13&lt;&gt;"",BC13=""),AND(BZ13&gt;=CD$18,BZ13&lt;&gt;"",CA13&gt;=CD$22,CA13&lt;&gt;"",BY13=""),AND(CW13&gt;=DA$18,CW13&lt;&gt;"",CX13&gt;=DA$22,CX13&lt;&gt;""),AND(DR13&gt;=DV$18,DR13&lt;&gt;"",DS13&gt;=DV$22,DS13&lt;&gt;""),AND(EM13&gt;=EQ$18,EM13&lt;&gt;"",EN13&gt;=EQ$22,EN13&lt;&gt;""),AND(FH13&gt;=FL$18,FH13&lt;&gt;"",FI13&gt;=FL$22,FI13&lt;&gt;""),AND(GC13&gt;=GG$18,GC13&lt;&gt;"",GD13&gt;=GG$22,GD13&lt;&gt;""),AND(GX13&gt;=HB$18,GX13&lt;&gt;"",GY13&gt;=HB$22,GY13&lt;&gt;""),AND(HS13&gt;=HW$18,HS13&lt;&gt;"",HT13&gt;=HW$22,HT13&lt;&gt;""),AND(IN13&gt;=IR$18,IN13&lt;&gt;"",IO13&gt;=IR$22,IO13&lt;&gt;""),AND(JI13&gt;=JM$18,JI13&lt;&gt;"",JJ13&gt;=JM$22,JJ13&lt;&gt;""),AND(KD13&gt;=KH$18,KD13&lt;&gt;"",KE13&gt;=KH$22,KE13&lt;&gt;""),AND(KY13&gt;=LC$18,KY13&lt;&gt;"",KZ13&gt;=LC$22,KZ13&lt;&gt;""),AND(LT13&gt;=LX$18,LT13&lt;&gt;"",LU13&gt;=LX$22,LU13&lt;&gt;"")),"National Team","")))))</f>
        <v/>
      </c>
      <c r="I13" s="3" t="str">
        <f>IF(OR(H13="Worlds Team",H13="Excellence",H13="Merit"),"P","")</f>
        <v/>
      </c>
      <c r="J13" s="14">
        <f>MAX(AL13,BH13,CD13)</f>
        <v>127.6</v>
      </c>
      <c r="K13" s="14" t="str">
        <f>IF(J13=0,"",IF(J13=CD13,$BI$1,IF(J13=BH13,$AM$1,IF(J13=AL13,$Q$1,""))))</f>
        <v>2019 Nationals</v>
      </c>
      <c r="L13" s="14">
        <f>IF(J13=AL13,MAX(BE13,BG13,CA13,CC13),IF(J13=BH13,MAX(AI13,AK13,CA13,CC13),MAX(AI13,AK13,BE13,BG13)))</f>
        <v>64.8</v>
      </c>
      <c r="M13" s="14" t="str">
        <f>IF(L13=0,"",IF(AND(J13&lt;&gt;CD13,OR(L13=CA13,L13=CC13)),$BI$1,IF(AND(J13&lt;&gt;BH13,OR(L13=BG13,L13=BE13)),$AM$1,IF(OR(L13=AK13,L13=AI13),$Q$1,""))))</f>
        <v>2019 Elite Canada</v>
      </c>
      <c r="N13" s="14" t="str">
        <f>IF(MAX(CE13:CF13)&gt;0,MAX(CE13:CF13),"")</f>
        <v/>
      </c>
      <c r="O13" s="24" t="str">
        <f>IF(N13="","",IF(N13=CE13,"(4 Pass)",IF(N13=CF13,"(2 Pass)")))</f>
        <v/>
      </c>
      <c r="P13" s="14" t="str">
        <f>IF(N13="","",IF(N13=CE13,IF(N13+IF(J13="",0,J13)=DA13,$CG$1,IF(N13+IF(J13="",0,J13)=DV13,$DB$1,IF(N13+IF(J13="",0,J13)=EQ13,$DW$1,IF(N13+IF(J13="",0,J13)=FL13,$ER$1,IF(N13+IF(J13="",0,J13)=GG13,$FM$1,IF(N13+IF(J13="",0,J13)=HB13,$GH$1,IF(N13+IF(J13="",0,J13)=HW13,$HC$1,IF(N13+IF(J13="",0,J13)=IR13,$HX$1,IF(N13+IF(J13="",0,J13)=JM13,$IS$1,IF(N13+IF(J13="",0,J13)=KH13,$JN$1,IF(N13+IF(J13="",0,J13)=LC13,$KI$1,IF(N13+IF(J13="",0,J13)=LX13,$LD$1)))))))))))),IF(N13=CF13,IF(OR(N13+IF(L13="",0,L13)=CX13,N13+IF(L13="",0,L13)=CZ13),$CG$1,IF(OR(N13+IF(L13="",0,L13)=DS13,N13+IF(L13="",0,L13)=DU13),$DB$1,IF(OR(N13+IF(L13="",0,L13)=EN13,N13+IF(L13="",0,L13)=EP13),$DW$1,IF(OR(N13+IF(L13="",0,L13)=FI13,N13+IF(L13="",0,L13)=FK13),$ER$1,IF(OR(N13+IF(L13="",0,L13)=GD13,N13+IF(L13="",0,L13)=GF13),$FM$1,IF(OR(N13+IF(L13="",0,L13)=GY13,N13+IF(L13="",0,L13)=HA13),$GH$1,IF(OR(N13+IF(L13="",0,L13)=HT13,N13+IF(L13="",0,L13)=HV13),$HC$1,IF(OR(N13+IF(L13="",0,L13)=IO13,N13+IF(L13="",0,L13)=IQ13),$HX$1,IF(OR(N13+IF(L13="",0,L13)=JJ13,N13+IF(L13="",0,L13)=JL13),$IS$1,IF(OR(N13+IF(L13="",0,L13)=KE13,N13+IF(L13="",0,L13)=KG13),$JN$1,IF(OR(N13+IF(L13="",0,L13)=KZ13,N13+IF(L13="",0,L13)=LB13),$KI$1,IF(OR(N13+IF(L13="",0,L13)=LU13,N13+IF(L13="",0,L13)=LW13),$LD$1)))))))))))))))</f>
        <v/>
      </c>
      <c r="Q13" s="61">
        <v>27.2</v>
      </c>
      <c r="R13" s="61">
        <v>5.2</v>
      </c>
      <c r="S13" s="61">
        <v>0</v>
      </c>
      <c r="T13" s="61">
        <v>0</v>
      </c>
      <c r="U13" s="61">
        <v>27</v>
      </c>
      <c r="V13" s="61">
        <v>5.2</v>
      </c>
      <c r="W13" s="61">
        <v>0.3</v>
      </c>
      <c r="X13" s="61">
        <v>0.5</v>
      </c>
      <c r="Y13" s="61">
        <v>27.9</v>
      </c>
      <c r="Z13" s="61">
        <v>3.3</v>
      </c>
      <c r="AA13" s="61">
        <v>0</v>
      </c>
      <c r="AB13" s="61">
        <v>0</v>
      </c>
      <c r="AC13" s="61">
        <v>27.5</v>
      </c>
      <c r="AD13" s="61">
        <v>3.4</v>
      </c>
      <c r="AE13" s="61">
        <v>0</v>
      </c>
      <c r="AF13" s="61">
        <v>0</v>
      </c>
      <c r="AG13" s="72"/>
      <c r="AH13" s="11">
        <f>IF(SUM(R13,V13)&gt;0,SUM(R13,V13),"")</f>
        <v>10.4</v>
      </c>
      <c r="AI13" s="11">
        <f>IF(SUM(Q13:R13,T13:V13,X13)-SUM(S13,W13)&gt;0,SUM(Q13:R13,T13:V13,X13)-SUM(S13,W13),"")</f>
        <v>64.8</v>
      </c>
      <c r="AJ13" s="11">
        <f>IF(SUM(Z13,AD13)&gt;0,SUM(Z13,AD13),"")</f>
        <v>6.6999999999999993</v>
      </c>
      <c r="AK13" s="11">
        <f>IF(SUM(Y13:Z13,AB13:AD13,AF13)-SUM(AA13,AE13)&gt;0,SUM(Y13:Z13,AB13:AD13,AF13)-SUM(AA13,AE13),"")</f>
        <v>62.1</v>
      </c>
      <c r="AL13" s="11">
        <f>IF(SUM(AI13,AK13)&gt;0,SUM(AI13,AK13),"")</f>
        <v>126.9</v>
      </c>
      <c r="AM13" s="36">
        <v>27.8</v>
      </c>
      <c r="AN13" s="36">
        <v>3.4</v>
      </c>
      <c r="AO13" s="36">
        <v>0.3</v>
      </c>
      <c r="AP13" s="36">
        <v>0</v>
      </c>
      <c r="AQ13" s="36">
        <v>28.2</v>
      </c>
      <c r="AR13" s="36">
        <v>3.3</v>
      </c>
      <c r="AS13" s="36">
        <v>0</v>
      </c>
      <c r="AT13" s="36">
        <v>0</v>
      </c>
      <c r="AU13" s="36">
        <v>28.6</v>
      </c>
      <c r="AV13" s="36">
        <v>3.1</v>
      </c>
      <c r="AW13" s="36">
        <v>0</v>
      </c>
      <c r="AX13" s="36">
        <v>0</v>
      </c>
      <c r="AY13" s="36">
        <v>28.3</v>
      </c>
      <c r="AZ13" s="36">
        <v>5.2</v>
      </c>
      <c r="BA13" s="36">
        <v>0</v>
      </c>
      <c r="BB13" s="36">
        <v>0</v>
      </c>
      <c r="BC13" s="73"/>
      <c r="BD13" s="14">
        <f>IF(SUM(AN13,AR13)&gt;0,SUM(AN13,AR13),"")</f>
        <v>6.6999999999999993</v>
      </c>
      <c r="BE13" s="14">
        <f>IF(SUM(AM13:AN13,AP13:AR13,AT13)-SUM(AO13,AS13)&gt;0,SUM(AM13:AN13,AP13:AR13,AT13)-SUM(AO13,AS13),"")</f>
        <v>62.4</v>
      </c>
      <c r="BF13" s="14">
        <f>IF(SUM(AV13,AZ13)&gt;0,SUM(AV13,AZ13),"")</f>
        <v>8.3000000000000007</v>
      </c>
      <c r="BG13" s="14">
        <f>IF(SUM(AU13:AV13,AX13:AZ13,BB13)-SUM(AW13,BA13)&gt;0,SUM(AU13:AV13,AX13:AZ13,BB13)-SUM(AW13,BA13),"")</f>
        <v>65.2</v>
      </c>
      <c r="BH13" s="14">
        <f>IF(SUM(BE13,BG13)&gt;0,SUM(BE13,BG13),"")</f>
        <v>127.6</v>
      </c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72"/>
      <c r="BZ13" s="11" t="str">
        <f>IF(SUM(BJ13,BN13)&gt;0,SUM(BJ13,BN13),"")</f>
        <v/>
      </c>
      <c r="CA13" s="11" t="str">
        <f>IF(SUM(BI13:BJ13,BL13:BN13,BP13)-SUM(BK13,BO13)&gt;0,SUM(BI13:BJ13,BL13:BN13,BP13)-SUM(BK13,BO13),"")</f>
        <v/>
      </c>
      <c r="CB13" s="11" t="str">
        <f>IF(SUM(BR13,BV13)&gt;0,SUM(BR13,BV13),"")</f>
        <v/>
      </c>
      <c r="CC13" s="11" t="str">
        <f>IF(SUM(BQ13:BR13,BT13:BV13,BX13)-SUM(BS13,BW13)&gt;0,SUM(BQ13:BR13,BT13:BV13,BX13)-SUM(BS13,BW13),"")</f>
        <v/>
      </c>
      <c r="CD13" s="11" t="str">
        <f>IF(SUM(CA13,CC13)&gt;0,SUM(CA13,CC13),"")</f>
        <v/>
      </c>
      <c r="CE13" s="23" t="str">
        <f>IF(MAX(DA13,DV13,EQ13,FL13,GG13,HB13,HW13,IR13,JM13,KH13,LC13,LX13)-IF(J13="",0,J13)&gt;0.001,MAX(DA13,DV13,EQ13,FL13,GG13,HB13,HW13,IR13,JM13,KH13,LC13,LX13)-IF(J13="",0,J13),"")</f>
        <v/>
      </c>
      <c r="CF13" s="23" t="str">
        <f>IF(MAX(CX13,CZ13,DS13,DU13,EN13,EP13,FI13,FK13,GD13,GF13,GY13,HA13,HT13,HV13,IO13,IQ13,JJ13,JL13,KE13,KG13,KZ13,LB13,LU13,LW13)-IF(L13="",0,L13)&gt;0.001,MAX(CX13,CZ13,DS13,DU13,EN13,EP13,FI13,FK13,GD13,GF13,GY13,HA13,HT13,HV13,IO13,IQ13,JJ13,JL13,KE13,KG13,KZ13,LB13,LU13,LW13)-IF(L13="",0,L13),"")</f>
        <v/>
      </c>
      <c r="CG13" s="40">
        <v>26.7</v>
      </c>
      <c r="CH13" s="40">
        <v>5.2</v>
      </c>
      <c r="CI13" s="40">
        <v>0.3</v>
      </c>
      <c r="CJ13" s="40">
        <v>0</v>
      </c>
      <c r="CK13" s="40">
        <v>26.7</v>
      </c>
      <c r="CL13" s="40">
        <v>5.2</v>
      </c>
      <c r="CM13" s="40">
        <v>0</v>
      </c>
      <c r="CN13" s="40">
        <v>0</v>
      </c>
      <c r="CO13" s="40">
        <v>19.5</v>
      </c>
      <c r="CP13" s="40">
        <v>2.4</v>
      </c>
      <c r="CQ13" s="40">
        <v>0</v>
      </c>
      <c r="CR13" s="40">
        <v>0</v>
      </c>
      <c r="CS13" s="40">
        <v>27.4</v>
      </c>
      <c r="CT13" s="40">
        <v>3.7</v>
      </c>
      <c r="CU13" s="40">
        <v>0</v>
      </c>
      <c r="CV13" s="40">
        <v>0</v>
      </c>
      <c r="CW13" s="11">
        <f>IF(SUM(CH13,CL13)&gt;0,SUM(CH13,CL13),"")</f>
        <v>10.4</v>
      </c>
      <c r="CX13" s="11">
        <f>IF(SUM(CG13:CH13,CJ13:CL13,CN13)-SUM(CI13,CM13)&gt;0,SUM(CG13:CH13,CJ13:CL13,CN13)-SUM(CI13,CM13),"")</f>
        <v>63.5</v>
      </c>
      <c r="CY13" s="11">
        <f>IF(SUM(CP13,CT13)&gt;0,SUM(CP13,CT13),"")</f>
        <v>6.1</v>
      </c>
      <c r="CZ13" s="11">
        <f>IF(SUM(CO13:CP13,CR13:CT13,CV13)-SUM(CQ13,CU13)&gt;0,SUM(CO13:CP13,CR13:CT13,CV13)-SUM(CQ13,CU13),"")</f>
        <v>53</v>
      </c>
      <c r="DA13" s="11">
        <f>IF(SUM(CX13,CZ13)&gt;0,SUM(CX13,CZ13),"")</f>
        <v>116.5</v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1">
        <f>IF($BY13="P",BI13,(BI13+AM13)/2)</f>
        <v>13.9</v>
      </c>
      <c r="LZ13" s="61">
        <f>IF($BY13="P",BJ13,(BJ13+AN13)/2)</f>
        <v>1.7</v>
      </c>
      <c r="MA13" s="61">
        <f>IF($BY13="P",BK13,(BK13+AO13)/2)</f>
        <v>0.15</v>
      </c>
      <c r="MB13" s="61">
        <f>IF($BY13="P",BL13,(BL13+AP13)/2)</f>
        <v>0</v>
      </c>
      <c r="MC13" s="61">
        <f>IF($BY13="P",BM13,(BM13+AQ13)/2)</f>
        <v>14.1</v>
      </c>
      <c r="MD13" s="61">
        <f>IF($BY13="P",BN13,(BN13+AR13)/2)</f>
        <v>1.65</v>
      </c>
      <c r="ME13" s="61">
        <f>IF($BY13="P",BO13,(BO13+AS13)/2)</f>
        <v>0</v>
      </c>
      <c r="MF13" s="61">
        <f>IF($BY13="P",BP13,(BP13+AT13)/2)</f>
        <v>0</v>
      </c>
      <c r="MG13" s="61">
        <f>IF($BY13="P",BQ13,(BQ13+AU13)/2)</f>
        <v>14.3</v>
      </c>
      <c r="MH13" s="61">
        <f>IF($BY13="P",BR13,(BR13+AV13)/2)</f>
        <v>1.55</v>
      </c>
      <c r="MI13" s="61">
        <f>IF($BY13="P",BS13,(BS13+AW13)/2)</f>
        <v>0</v>
      </c>
      <c r="MJ13" s="61">
        <f>IF($BY13="P",BT13,(BT13+AX13)/2)</f>
        <v>0</v>
      </c>
      <c r="MK13" s="61">
        <f>IF($BY13="P",BU13,(BU13+AY13)/2)</f>
        <v>14.15</v>
      </c>
      <c r="ML13" s="61">
        <f>IF($BY13="P",BV13,(BV13+AZ13)/2)</f>
        <v>2.6</v>
      </c>
      <c r="MM13" s="61">
        <f>IF($BY13="P",BW13,(BW13+BA13)/2)</f>
        <v>0</v>
      </c>
      <c r="MN13" s="61">
        <f>IF($BY13="P",BX13,(BX13+BB13)/2)</f>
        <v>0</v>
      </c>
      <c r="MO13" s="72" t="s">
        <v>52</v>
      </c>
      <c r="MP13" s="11">
        <f>IF(SUM(LZ13,MD13)&gt;0,SUM(LZ13,MD13),"")</f>
        <v>3.3499999999999996</v>
      </c>
      <c r="MQ13" s="11">
        <f>IF(SUM(LY13:LZ13,MB13:MD13,MF13)-SUM(MA13,ME13)&gt;0,SUM(LY13:LZ13,MB13:MD13,MF13)-SUM(MA13,ME13),"")</f>
        <v>31.2</v>
      </c>
      <c r="MR13" s="11">
        <f>IF(SUM(MH13,ML13)&gt;0,SUM(MH13,ML13),"")</f>
        <v>4.1500000000000004</v>
      </c>
      <c r="MS13" s="11">
        <f>IF(SUM(MG13:MH13,MJ13:ML13,MN13)-SUM(MI13,MM13)&gt;0,SUM(MG13:MH13,MJ13:ML13,MN13)-SUM(MI13,MM13),"")</f>
        <v>32.6</v>
      </c>
      <c r="MT13" s="11">
        <f>IF(SUM(MQ13,MS13)&gt;0,SUM(MQ13,MS13),"")</f>
        <v>63.8</v>
      </c>
    </row>
    <row r="14" spans="1:358" x14ac:dyDescent="0.2">
      <c r="A14" s="5" t="str">
        <f>IF(AND(F14="P",G14="P"),SUMPRODUCT((F$4:F$16="P")*(G$4:G$16="P")*(E$4:E$16&gt;E14))+1,IF(G14="P",SUMPRODUCT((F$4:F$16="")*(G$4:G$16="P")*(E$4:E$16&gt;E14))+1+SUMPRODUCT((F$4:F$16="P")*(G$4:G$16="P")),""))</f>
        <v/>
      </c>
      <c r="B14" s="8" t="s">
        <v>122</v>
      </c>
      <c r="C14" s="4" t="s">
        <v>5</v>
      </c>
      <c r="D14" s="5">
        <v>2004</v>
      </c>
      <c r="E14" s="15">
        <f>SUM(J14:N14)</f>
        <v>187</v>
      </c>
      <c r="F14" s="3" t="str">
        <f>IF(OR(AND(AH14&gt;=AL$18,AI14&gt;=AL$22,AI14&lt;&gt;"",AG14=""),AND(BD14&gt;=BH$18,BE14&gt;=BH$22,BE14&lt;&gt;"",BC14=""),AND(BZ14&gt;=CD$18,CA14&gt;=CD$22,CA14&lt;&gt;"",BY14=""),AND(CW14&gt;=DA$18,CX14&gt;=DA$22,CX14&lt;&gt;""),AND(DR14&gt;=DV$18,DS14&gt;=DV$22,DS14&lt;&gt;""),AND(EM14&gt;=EQ$18,EN14&gt;=EQ$22,EN14&lt;&gt;""),AND(FH14&gt;=FL$18,FI14&gt;=FL$22,FI14&lt;&gt;""),AND(GC14&gt;=GG$18,GD14&gt;=GG$22,GD14&lt;&gt;""),AND(GX14&gt;=HB$18,GY14&gt;=HB$22,GY14&lt;&gt;""),AND(HS14&gt;=HW$18,HT14&gt;=HW$22,HT14&lt;&gt;""),AND(IN14&gt;=IR$18,IO14&gt;=IR$22,IO14&lt;&gt;""),AND(JI14&gt;=JM$18,JJ14&gt;=JM$22,JJ14&lt;&gt;""),AND(KD14&gt;=KH$18,KE14&gt;=KH$22,KE14&lt;&gt;""),AND(KY14&gt;=LC$18,KZ14&gt;=LC$22,KZ14&lt;&gt;""),AND(LT14&gt;=LX$18,LU14&gt;=LX$22,LU14&lt;&gt;"")),"P","")</f>
        <v/>
      </c>
      <c r="G14" s="3" t="str">
        <f>IF(OR(AND(AI14&gt;=AL$22,AI14&lt;&gt;"",AG14=""),AND(BE14&gt;=BH$22,BE14&lt;&gt;"",BC14=""),AND(CA14&gt;=CD$22,CA14&lt;&gt;"",BY14=""),AND(CX14&gt;=DA$22,CX14&lt;&gt;""),AND(DS14&gt;=DV$22,DS14&lt;&gt;""),AND(EN14&gt;=EQ$22,EN14&lt;&gt;""),AND(FI14&gt;=FL$22,FI14&lt;&gt;""),AND(GD14&gt;=GG$22,GD14&lt;&gt;""),AND(GY14&gt;=HB$22,GY14&lt;&gt;""),AND(HT14&gt;=HW$22,HT14&lt;&gt;""),AND(IO14&gt;=IR$22,IO14&lt;&gt;""),AND(JJ14&gt;=JM$22,JJ14&lt;&gt;""),AND(KE14&gt;=KH$22,KE14&lt;&gt;""),AND(KZ14&gt;=LC$22,KZ14&lt;&gt;""),AND(LU14&gt;=LX$22,LU14&lt;&gt;"")),"P","")</f>
        <v/>
      </c>
      <c r="H14" s="116" t="str">
        <f>IF(AND(G14="P",F14=""),"No DD",IF(OR(AND(AH14&gt;=AL$21,AH14&lt;&gt;"",AI14&gt;=AL$25,AI14&lt;&gt;"",AG14=""),AND(BD14&gt;=BH$21,BD14&lt;&gt;"",BE14&gt;=BH$25,BE14&lt;&gt;"",BC14=""),AND(BZ14&gt;=CD$21,BZ14&lt;&gt;"",CA14&gt;=CD$25,CA14&lt;&gt;"",BY14=""),AND(CW14&gt;=DA$21,CW14&lt;&gt;"",CX14&gt;=DA$25,CX14&lt;&gt;""),AND(DR14&gt;=DV$21,DR14&lt;&gt;"",DS14&gt;=DV$25,DS14&lt;&gt;""),AND(EM14&gt;=EQ$21,EM14&lt;&gt;"",EN14&gt;=EQ$25,EN14&lt;&gt;""),AND(FH14&gt;=FL$21,FH14&lt;&gt;"",FI14&gt;=FL$25,FI14&lt;&gt;""),AND(GC14&gt;=GG$21,GC14&lt;&gt;"",GD14&gt;=GG$25,GD14&lt;&gt;""),AND(GX14&gt;=HB$21,GX14&lt;&gt;"",GY14&gt;=HB$25,GY14&lt;&gt;""),AND(HS14&gt;=HW$21,HS14&lt;&gt;"",HT14&gt;=HW$25,HT14&lt;&gt;""),AND(IN14&gt;=IR$21,IN14&lt;&gt;"",IO14&gt;=IR$25,IO14&lt;&gt;""),AND(JI14&gt;=JM$21,JI14&lt;&gt;"",JJ14&gt;=JM$25,JJ14&lt;&gt;""),AND(KD14&gt;=KH$21,KD14&lt;&gt;"",KE14&gt;=KH$25,KE14&lt;&gt;""),AND(KY14&gt;=LC$21,KY14&lt;&gt;"",KZ14&gt;=LC$25,KZ14&lt;&gt;""),AND(LT14&gt;=LX$21,LT14&lt;&gt;"",LU14&gt;=LX$25,LU14&lt;&gt;"")),"Merit",IF(OR(AND(AH14&gt;=AL$20,AH14&lt;&gt;"",AI14&gt;=AL$24,AI14&lt;&gt;"",AG14=""),AND(BD14&gt;=BH$20,BD14&lt;&gt;"",BE14&gt;=BH$24,BE14&lt;&gt;"",BC14=""),AND(BZ14&gt;=CD$20,BZ14&lt;&gt;"",CA14&gt;=CD$24,CA14&lt;&gt;"",BY14=""),AND(CW14&gt;=DA$20,CW14&lt;&gt;"",CX14&gt;=DA$24,CX14&lt;&gt;""),AND(DR14&gt;=DV$20,DR14&lt;&gt;"",DS14&gt;=DV$24,DS14&lt;&gt;""),AND(EM14&gt;=EQ$20,EM14&lt;&gt;"",EN14&gt;=EQ$24,EN14&lt;&gt;""),AND(FH14&gt;=FL$20,FH14&lt;&gt;"",FI14&gt;=FL$24,FI14&lt;&gt;""),AND(GC14&gt;=GG$20,GC14&lt;&gt;"",GD14&gt;=GG$24,GD14&lt;&gt;""),AND(GX14&gt;=HB$20,GX14&lt;&gt;"",GY14&gt;=HB$24,GY14&lt;&gt;""),AND(HS14&gt;=HW$20,HS14&lt;&gt;"",HT14&gt;=HW$24,HT14&lt;&gt;""),AND(IN14&gt;=IR$20,IN14&lt;&gt;"",IO14&gt;=IR$24,IO14&lt;&gt;""),AND(JI14&gt;=JM$20,JI14&lt;&gt;"",JJ14&gt;=JM$24,JJ14&lt;&gt;""),AND(KD14&gt;=KH$20,KD14&lt;&gt;"",KE14&gt;=KH$24,KE14&lt;&gt;""),AND(KY14&gt;=LC$20,KY14&lt;&gt;"",KZ14&gt;=LC$24,KZ14&lt;&gt;""),AND(LT14&gt;=LX$20,LT14&lt;&gt;"",LU14&gt;=LX$24,LU14&lt;&gt;"")),"Excellence",IF(OR(AND(AH14&gt;=AL$19,AH14&lt;&gt;"",AI14&gt;=AL$23,AI14&lt;&gt;"",AG14=""),AND(BD14&gt;=BH$19,BD14&lt;&gt;"",BE14&gt;=BH$23,BE14&lt;&gt;"",BC14=""),AND(BZ14&gt;=CD$19,BZ14&lt;&gt;"",CA14&gt;=CD$23,CA14&lt;&gt;"",BY14=""),AND(CW14&gt;=DA$19,CW14&lt;&gt;"",CX14&gt;=DA$23,CX14&lt;&gt;""),AND(DR14&gt;=DV$19,DR14&lt;&gt;"",DS14&gt;=DV$23,DS14&lt;&gt;""),AND(EM14&gt;=EQ$19,EM14&lt;&gt;"",EN14&gt;=EQ$23,EN14&lt;&gt;""),AND(FH14&gt;=FL$19,FH14&lt;&gt;"",FI14&gt;=FL$23,FI14&lt;&gt;""),AND(GC14&gt;=GG$19,GC14&lt;&gt;"",GD14&gt;=GG$23,GD14&lt;&gt;""),AND(GX14&gt;=HB$19,GX14&lt;&gt;"",GY14&gt;=HB$23,GY14&lt;&gt;""),AND(HS14&gt;=HW$19,HS14&lt;&gt;"",HT14&gt;=HW$23,HT14&lt;&gt;""),AND(IN14&gt;=IR$19,IN14&lt;&gt;"",IO14&gt;=IR$23,IO14&lt;&gt;""),AND(JI14&gt;=JM$19,JI14&lt;&gt;"",JJ14&gt;=JM$23,JJ14&lt;&gt;""),AND(KD14&gt;=KH$19,KD14&lt;&gt;"",KE14&gt;=KH$23,KE14&lt;&gt;""),AND(KY14&gt;=LC$19,KY14&lt;&gt;"",KZ14&gt;=LC$23,KZ14&lt;&gt;""),AND(LT14&gt;=LX$19,LT14&lt;&gt;"",LU14&gt;=LX$23,LU14&lt;&gt;"")),"Worlds Team",IF(OR(AND(AH14&gt;=AL$18,AH14&lt;&gt;"",AI14&gt;=AL$22,AI14&lt;&gt;"",AG14=""),AND(BD14&gt;=BH$18,BD14&lt;&gt;"",BE14&gt;=BH$22,BE14&lt;&gt;"",BC14=""),AND(BZ14&gt;=CD$18,BZ14&lt;&gt;"",CA14&gt;=CD$22,CA14&lt;&gt;"",BY14=""),AND(CW14&gt;=DA$18,CW14&lt;&gt;"",CX14&gt;=DA$22,CX14&lt;&gt;""),AND(DR14&gt;=DV$18,DR14&lt;&gt;"",DS14&gt;=DV$22,DS14&lt;&gt;""),AND(EM14&gt;=EQ$18,EM14&lt;&gt;"",EN14&gt;=EQ$22,EN14&lt;&gt;""),AND(FH14&gt;=FL$18,FH14&lt;&gt;"",FI14&gt;=FL$22,FI14&lt;&gt;""),AND(GC14&gt;=GG$18,GC14&lt;&gt;"",GD14&gt;=GG$22,GD14&lt;&gt;""),AND(GX14&gt;=HB$18,GX14&lt;&gt;"",GY14&gt;=HB$22,GY14&lt;&gt;""),AND(HS14&gt;=HW$18,HS14&lt;&gt;"",HT14&gt;=HW$22,HT14&lt;&gt;""),AND(IN14&gt;=IR$18,IN14&lt;&gt;"",IO14&gt;=IR$22,IO14&lt;&gt;""),AND(JI14&gt;=JM$18,JI14&lt;&gt;"",JJ14&gt;=JM$22,JJ14&lt;&gt;""),AND(KD14&gt;=KH$18,KD14&lt;&gt;"",KE14&gt;=KH$22,KE14&lt;&gt;""),AND(KY14&gt;=LC$18,KY14&lt;&gt;"",KZ14&gt;=LC$22,KZ14&lt;&gt;""),AND(LT14&gt;=LX$18,LT14&lt;&gt;"",LU14&gt;=LX$22,LU14&lt;&gt;"")),"National Team","")))))</f>
        <v/>
      </c>
      <c r="I14" s="3" t="str">
        <f>IF(OR(H14="Worlds Team",H14="Excellence",H14="Merit"),"P","")</f>
        <v/>
      </c>
      <c r="J14" s="14">
        <f>MAX(AL14,BH14,CD14)</f>
        <v>123.4</v>
      </c>
      <c r="K14" s="14" t="str">
        <f>IF(J14=0,"",IF(J14=CD14,$BI$1,IF(J14=BH14,$AM$1,IF(J14=AL14,$Q$1,""))))</f>
        <v>2019 Elite Canada</v>
      </c>
      <c r="L14" s="14">
        <f>IF(J14=AL14,MAX(BE14,BG14,CA14,CC14),IF(J14=BH14,MAX(AI14,AK14,CA14,CC14),MAX(AI14,AK14,BE14,BG14)))</f>
        <v>63.6</v>
      </c>
      <c r="M14" s="14" t="str">
        <f>IF(L14=0,"",IF(AND(J14&lt;&gt;CD14,OR(L14=CA14,L14=CC14)),$BI$1,IF(AND(J14&lt;&gt;BH14,OR(L14=BG14,L14=BE14)),$AM$1,IF(OR(L14=AK14,L14=AI14),$Q$1,""))))</f>
        <v>2019 Nationals</v>
      </c>
      <c r="N14" s="14" t="str">
        <f>IF(MAX(CE14:CF14)&gt;0,MAX(CE14:CF14),"")</f>
        <v/>
      </c>
      <c r="O14" s="24" t="str">
        <f>IF(N14="","",IF(N14=CE14,"(4 Pass)",IF(N14=CF14,"(2 Pass)")))</f>
        <v/>
      </c>
      <c r="P14" s="14" t="str">
        <f>IF(N14="","",IF(N14=CE14,IF(N14+IF(J14="",0,J14)=DA14,$CG$1,IF(N14+IF(J14="",0,J14)=DV14,$DB$1,IF(N14+IF(J14="",0,J14)=EQ14,$DW$1,IF(N14+IF(J14="",0,J14)=FL14,$ER$1,IF(N14+IF(J14="",0,J14)=GG14,$FM$1,IF(N14+IF(J14="",0,J14)=HB14,$GH$1,IF(N14+IF(J14="",0,J14)=HW14,$HC$1,IF(N14+IF(J14="",0,J14)=IR14,$HX$1,IF(N14+IF(J14="",0,J14)=JM14,$IS$1,IF(N14+IF(J14="",0,J14)=KH14,$JN$1,IF(N14+IF(J14="",0,J14)=LC14,$KI$1,IF(N14+IF(J14="",0,J14)=LX14,$LD$1)))))))))))),IF(N14=CF14,IF(OR(N14+IF(L14="",0,L14)=CX14,N14+IF(L14="",0,L14)=CZ14),$CG$1,IF(OR(N14+IF(L14="",0,L14)=DS14,N14+IF(L14="",0,L14)=DU14),$DB$1,IF(OR(N14+IF(L14="",0,L14)=EN14,N14+IF(L14="",0,L14)=EP14),$DW$1,IF(OR(N14+IF(L14="",0,L14)=FI14,N14+IF(L14="",0,L14)=FK14),$ER$1,IF(OR(N14+IF(L14="",0,L14)=GD14,N14+IF(L14="",0,L14)=GF14),$FM$1,IF(OR(N14+IF(L14="",0,L14)=GY14,N14+IF(L14="",0,L14)=HA14),$GH$1,IF(OR(N14+IF(L14="",0,L14)=HT14,N14+IF(L14="",0,L14)=HV14),$HC$1,IF(OR(N14+IF(L14="",0,L14)=IO14,N14+IF(L14="",0,L14)=IQ14),$HX$1,IF(OR(N14+IF(L14="",0,L14)=JJ14,N14+IF(L14="",0,L14)=JL14),$IS$1,IF(OR(N14+IF(L14="",0,L14)=KE14,N14+IF(L14="",0,L14)=KG14),$JN$1,IF(OR(N14+IF(L14="",0,L14)=KZ14,N14+IF(L14="",0,L14)=LB14),$KI$1,IF(OR(N14+IF(L14="",0,L14)=LU14,N14+IF(L14="",0,L14)=LW14),$LD$1)))))))))))))))</f>
        <v/>
      </c>
      <c r="Q14" s="61">
        <v>27.2</v>
      </c>
      <c r="R14" s="61">
        <v>3.7</v>
      </c>
      <c r="S14" s="61">
        <v>0</v>
      </c>
      <c r="T14" s="61">
        <v>0</v>
      </c>
      <c r="U14" s="61">
        <v>27.6</v>
      </c>
      <c r="V14" s="61">
        <v>3.5</v>
      </c>
      <c r="W14" s="61">
        <v>0</v>
      </c>
      <c r="X14" s="61">
        <v>0</v>
      </c>
      <c r="Y14" s="61">
        <v>27.3</v>
      </c>
      <c r="Z14" s="61">
        <v>3.2</v>
      </c>
      <c r="AA14" s="61">
        <v>0</v>
      </c>
      <c r="AB14" s="61">
        <v>0</v>
      </c>
      <c r="AC14" s="61">
        <v>27.8</v>
      </c>
      <c r="AD14" s="61">
        <v>3.1</v>
      </c>
      <c r="AE14" s="61">
        <v>0</v>
      </c>
      <c r="AF14" s="61">
        <v>0</v>
      </c>
      <c r="AG14" s="72"/>
      <c r="AH14" s="11">
        <f>IF(SUM(R14,V14)&gt;0,SUM(R14,V14),"")</f>
        <v>7.2</v>
      </c>
      <c r="AI14" s="11">
        <f>IF(SUM(Q14:R14,T14:V14,X14)-SUM(S14,W14)&gt;0,SUM(Q14:R14,T14:V14,X14)-SUM(S14,W14),"")</f>
        <v>62</v>
      </c>
      <c r="AJ14" s="11">
        <f>IF(SUM(Z14,AD14)&gt;0,SUM(Z14,AD14),"")</f>
        <v>6.3000000000000007</v>
      </c>
      <c r="AK14" s="11">
        <f>IF(SUM(Y14:Z14,AB14:AD14,AF14)-SUM(AA14,AE14)&gt;0,SUM(Y14:Z14,AB14:AD14,AF14)-SUM(AA14,AE14),"")</f>
        <v>61.4</v>
      </c>
      <c r="AL14" s="11">
        <f>IF(SUM(AI14,AK14)&gt;0,SUM(AI14,AK14),"")</f>
        <v>123.4</v>
      </c>
      <c r="AM14" s="36">
        <v>27.9</v>
      </c>
      <c r="AN14" s="36">
        <v>3.6</v>
      </c>
      <c r="AO14" s="36">
        <v>0</v>
      </c>
      <c r="AP14" s="36">
        <v>0</v>
      </c>
      <c r="AQ14" s="36">
        <v>28.6</v>
      </c>
      <c r="AR14" s="36">
        <v>3.5</v>
      </c>
      <c r="AS14" s="36">
        <v>0</v>
      </c>
      <c r="AT14" s="36">
        <v>0</v>
      </c>
      <c r="AU14" s="36">
        <v>20.100000000000001</v>
      </c>
      <c r="AV14" s="36">
        <v>1.2</v>
      </c>
      <c r="AW14" s="36">
        <v>0</v>
      </c>
      <c r="AX14" s="36">
        <v>0</v>
      </c>
      <c r="AY14" s="36">
        <v>27.3</v>
      </c>
      <c r="AZ14" s="36">
        <v>4.4000000000000004</v>
      </c>
      <c r="BA14" s="36">
        <v>1.2</v>
      </c>
      <c r="BB14" s="36">
        <v>0</v>
      </c>
      <c r="BC14" s="73"/>
      <c r="BD14" s="14">
        <f>IF(SUM(AN14,AR14)&gt;0,SUM(AN14,AR14),"")</f>
        <v>7.1</v>
      </c>
      <c r="BE14" s="14">
        <f>IF(SUM(AM14:AN14,AP14:AR14,AT14)-SUM(AO14,AS14)&gt;0,SUM(AM14:AN14,AP14:AR14,AT14)-SUM(AO14,AS14),"")</f>
        <v>63.6</v>
      </c>
      <c r="BF14" s="14">
        <f>IF(SUM(AV14,AZ14)&gt;0,SUM(AV14,AZ14),"")</f>
        <v>5.6000000000000005</v>
      </c>
      <c r="BG14" s="14">
        <f>IF(SUM(AU14:AV14,AX14:AZ14,BB14)-SUM(AW14,BA14)&gt;0,SUM(AU14:AV14,AX14:AZ14,BB14)-SUM(AW14,BA14),"")</f>
        <v>51.8</v>
      </c>
      <c r="BH14" s="14">
        <f>IF(SUM(BE14,BG14)&gt;0,SUM(BE14,BG14),"")</f>
        <v>115.4</v>
      </c>
      <c r="BI14" s="61">
        <v>27.7</v>
      </c>
      <c r="BJ14" s="61">
        <v>4.4000000000000004</v>
      </c>
      <c r="BK14" s="61">
        <v>0.9</v>
      </c>
      <c r="BL14" s="61">
        <v>0</v>
      </c>
      <c r="BM14" s="61">
        <v>28.4</v>
      </c>
      <c r="BN14" s="61">
        <v>3.1</v>
      </c>
      <c r="BO14" s="61">
        <v>0</v>
      </c>
      <c r="BP14" s="61">
        <v>0</v>
      </c>
      <c r="BQ14" s="61">
        <v>0</v>
      </c>
      <c r="BR14" s="61">
        <v>0</v>
      </c>
      <c r="BS14" s="61">
        <v>0</v>
      </c>
      <c r="BT14" s="61">
        <v>0</v>
      </c>
      <c r="BU14" s="61">
        <v>0</v>
      </c>
      <c r="BV14" s="61">
        <v>0</v>
      </c>
      <c r="BW14" s="61">
        <v>0</v>
      </c>
      <c r="BX14" s="61">
        <v>0</v>
      </c>
      <c r="BY14" s="72"/>
      <c r="BZ14" s="11">
        <f>IF(SUM(BJ14,BN14)&gt;0,SUM(BJ14,BN14),"")</f>
        <v>7.5</v>
      </c>
      <c r="CA14" s="11">
        <f>IF(SUM(BI14:BJ14,BL14:BN14,BP14)-SUM(BK14,BO14)&gt;0,SUM(BI14:BJ14,BL14:BN14,BP14)-SUM(BK14,BO14),"")</f>
        <v>62.7</v>
      </c>
      <c r="CB14" s="11" t="str">
        <f>IF(SUM(BR14,BV14)&gt;0,SUM(BR14,BV14),"")</f>
        <v/>
      </c>
      <c r="CC14" s="11" t="str">
        <f>IF(SUM(BQ14:BR14,BT14:BV14,BX14)-SUM(BS14,BW14)&gt;0,SUM(BQ14:BR14,BT14:BV14,BX14)-SUM(BS14,BW14),"")</f>
        <v/>
      </c>
      <c r="CD14" s="11">
        <f>IF(SUM(CA14,CC14)&gt;0,SUM(CA14,CC14),"")</f>
        <v>62.7</v>
      </c>
      <c r="CE14" s="23" t="str">
        <f>IF(MAX(DA14,DV14,EQ14,FL14,GG14,HB14,HW14,IR14,JM14,KH14,LC14,LX14)-IF(J14="",0,J14)&gt;0.001,MAX(DA14,DV14,EQ14,FL14,GG14,HB14,HW14,IR14,JM14,KH14,LC14,LX14)-IF(J14="",0,J14),"")</f>
        <v/>
      </c>
      <c r="CF14" s="23" t="str">
        <f>IF(MAX(CX14,CZ14,DS14,DU14,EN14,EP14,FI14,FK14,GD14,GF14,GY14,HA14,HT14,HV14,IO14,IQ14,JJ14,JL14,KE14,KG14,KZ14,LB14,LU14,LW14)-IF(L14="",0,L14)&gt;0.001,MAX(CX14,CZ14,DS14,DU14,EN14,EP14,FI14,FK14,GD14,GF14,GY14,HA14,HT14,HV14,IO14,IQ14,JJ14,JL14,KE14,KG14,KZ14,LB14,LU14,LW14)-IF(L14="",0,L14),"")</f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1">
        <f>IF($BY14="P",BI14,(BI14+AM14)/2)</f>
        <v>27.799999999999997</v>
      </c>
      <c r="LZ14" s="61">
        <f>IF($BY14="P",BJ14,(BJ14+AN14)/2)</f>
        <v>4</v>
      </c>
      <c r="MA14" s="61">
        <f>IF($BY14="P",BK14,(BK14+AO14)/2)</f>
        <v>0.45</v>
      </c>
      <c r="MB14" s="61">
        <f>IF($BY14="P",BL14,(BL14+AP14)/2)</f>
        <v>0</v>
      </c>
      <c r="MC14" s="61">
        <f>IF($BY14="P",BM14,(BM14+AQ14)/2)</f>
        <v>28.5</v>
      </c>
      <c r="MD14" s="61">
        <f>IF($BY14="P",BN14,(BN14+AR14)/2)</f>
        <v>3.3</v>
      </c>
      <c r="ME14" s="61">
        <f>IF($BY14="P",BO14,(BO14+AS14)/2)</f>
        <v>0</v>
      </c>
      <c r="MF14" s="61">
        <f>IF($BY14="P",BP14,(BP14+AT14)/2)</f>
        <v>0</v>
      </c>
      <c r="MG14" s="61">
        <f>IF($BY14="P",BQ14,(BQ14+AU14)/2)</f>
        <v>10.050000000000001</v>
      </c>
      <c r="MH14" s="61">
        <f>IF($BY14="P",BR14,(BR14+AV14)/2)</f>
        <v>0.6</v>
      </c>
      <c r="MI14" s="61">
        <f>IF($BY14="P",BS14,(BS14+AW14)/2)</f>
        <v>0</v>
      </c>
      <c r="MJ14" s="61">
        <f>IF($BY14="P",BT14,(BT14+AX14)/2)</f>
        <v>0</v>
      </c>
      <c r="MK14" s="61">
        <f>IF($BY14="P",BU14,(BU14+AY14)/2)</f>
        <v>13.65</v>
      </c>
      <c r="ML14" s="61">
        <f>IF($BY14="P",BV14,(BV14+AZ14)/2)</f>
        <v>2.2000000000000002</v>
      </c>
      <c r="MM14" s="61">
        <f>IF($BY14="P",BW14,(BW14+BA14)/2)</f>
        <v>0.6</v>
      </c>
      <c r="MN14" s="61">
        <f>IF($BY14="P",BX14,(BX14+BB14)/2)</f>
        <v>0</v>
      </c>
      <c r="MO14" s="72" t="s">
        <v>52</v>
      </c>
      <c r="MP14" s="11">
        <f>IF(SUM(LZ14,MD14)&gt;0,SUM(LZ14,MD14),"")</f>
        <v>7.3</v>
      </c>
      <c r="MQ14" s="11">
        <f>IF(SUM(LY14:LZ14,MB14:MD14,MF14)-SUM(MA14,ME14)&gt;0,SUM(LY14:LZ14,MB14:MD14,MF14)-SUM(MA14,ME14),"")</f>
        <v>63.149999999999991</v>
      </c>
      <c r="MR14" s="11">
        <f>IF(SUM(MH14,ML14)&gt;0,SUM(MH14,ML14),"")</f>
        <v>2.8000000000000003</v>
      </c>
      <c r="MS14" s="11">
        <f>IF(SUM(MG14:MH14,MJ14:ML14,MN14)-SUM(MI14,MM14)&gt;0,SUM(MG14:MH14,MJ14:ML14,MN14)-SUM(MI14,MM14),"")</f>
        <v>25.9</v>
      </c>
      <c r="MT14" s="11">
        <f>IF(SUM(MQ14,MS14)&gt;0,SUM(MQ14,MS14),"")</f>
        <v>89.049999999999983</v>
      </c>
    </row>
    <row r="15" spans="1:358" x14ac:dyDescent="0.2">
      <c r="A15" s="5" t="str">
        <f>IF(AND(F15="P",G15="P"),SUMPRODUCT((F$4:F$16="P")*(G$4:G$16="P")*(E$4:E$16&gt;E15))+1,IF(G15="P",SUMPRODUCT((F$4:F$16="")*(G$4:G$16="P")*(E$4:E$16&gt;E15))+1+SUMPRODUCT((F$4:F$16="P")*(G$4:G$16="P")),""))</f>
        <v/>
      </c>
      <c r="B15" s="8" t="s">
        <v>130</v>
      </c>
      <c r="C15" s="4" t="s">
        <v>5</v>
      </c>
      <c r="D15" s="5">
        <v>2001</v>
      </c>
      <c r="E15" s="15">
        <f>SUM(J15:N15)</f>
        <v>186.3</v>
      </c>
      <c r="F15" s="3" t="str">
        <f>IF(OR(AND(AH15&gt;=AL$18,AI15&gt;=AL$22,AI15&lt;&gt;"",AG15=""),AND(BD15&gt;=BH$18,BE15&gt;=BH$22,BE15&lt;&gt;"",BC15=""),AND(BZ15&gt;=CD$18,CA15&gt;=CD$22,CA15&lt;&gt;"",BY15=""),AND(CW15&gt;=DA$18,CX15&gt;=DA$22,CX15&lt;&gt;""),AND(DR15&gt;=DV$18,DS15&gt;=DV$22,DS15&lt;&gt;""),AND(EM15&gt;=EQ$18,EN15&gt;=EQ$22,EN15&lt;&gt;""),AND(FH15&gt;=FL$18,FI15&gt;=FL$22,FI15&lt;&gt;""),AND(GC15&gt;=GG$18,GD15&gt;=GG$22,GD15&lt;&gt;""),AND(GX15&gt;=HB$18,GY15&gt;=HB$22,GY15&lt;&gt;""),AND(HS15&gt;=HW$18,HT15&gt;=HW$22,HT15&lt;&gt;""),AND(IN15&gt;=IR$18,IO15&gt;=IR$22,IO15&lt;&gt;""),AND(JI15&gt;=JM$18,JJ15&gt;=JM$22,JJ15&lt;&gt;""),AND(KD15&gt;=KH$18,KE15&gt;=KH$22,KE15&lt;&gt;""),AND(KY15&gt;=LC$18,KZ15&gt;=LC$22,KZ15&lt;&gt;""),AND(LT15&gt;=LX$18,LU15&gt;=LX$22,LU15&lt;&gt;"")),"P","")</f>
        <v/>
      </c>
      <c r="G15" s="3" t="str">
        <f>IF(OR(AND(AI15&gt;=AL$22,AI15&lt;&gt;"",AG15=""),AND(BE15&gt;=BH$22,BE15&lt;&gt;"",BC15=""),AND(CA15&gt;=CD$22,CA15&lt;&gt;"",BY15=""),AND(CX15&gt;=DA$22,CX15&lt;&gt;""),AND(DS15&gt;=DV$22,DS15&lt;&gt;""),AND(EN15&gt;=EQ$22,EN15&lt;&gt;""),AND(FI15&gt;=FL$22,FI15&lt;&gt;""),AND(GD15&gt;=GG$22,GD15&lt;&gt;""),AND(GY15&gt;=HB$22,GY15&lt;&gt;""),AND(HT15&gt;=HW$22,HT15&lt;&gt;""),AND(IO15&gt;=IR$22,IO15&lt;&gt;""),AND(JJ15&gt;=JM$22,JJ15&lt;&gt;""),AND(KE15&gt;=KH$22,KE15&lt;&gt;""),AND(KZ15&gt;=LC$22,KZ15&lt;&gt;""),AND(LU15&gt;=LX$22,LU15&lt;&gt;"")),"P","")</f>
        <v/>
      </c>
      <c r="H15" s="116" t="str">
        <f>IF(AND(G15="P",F15=""),"No DD",IF(OR(AND(AH15&gt;=AL$21,AH15&lt;&gt;"",AI15&gt;=AL$25,AI15&lt;&gt;"",AG15=""),AND(BD15&gt;=BH$21,BD15&lt;&gt;"",BE15&gt;=BH$25,BE15&lt;&gt;"",BC15=""),AND(BZ15&gt;=CD$21,BZ15&lt;&gt;"",CA15&gt;=CD$25,CA15&lt;&gt;"",BY15=""),AND(CW15&gt;=DA$21,CW15&lt;&gt;"",CX15&gt;=DA$25,CX15&lt;&gt;""),AND(DR15&gt;=DV$21,DR15&lt;&gt;"",DS15&gt;=DV$25,DS15&lt;&gt;""),AND(EM15&gt;=EQ$21,EM15&lt;&gt;"",EN15&gt;=EQ$25,EN15&lt;&gt;""),AND(FH15&gt;=FL$21,FH15&lt;&gt;"",FI15&gt;=FL$25,FI15&lt;&gt;""),AND(GC15&gt;=GG$21,GC15&lt;&gt;"",GD15&gt;=GG$25,GD15&lt;&gt;""),AND(GX15&gt;=HB$21,GX15&lt;&gt;"",GY15&gt;=HB$25,GY15&lt;&gt;""),AND(HS15&gt;=HW$21,HS15&lt;&gt;"",HT15&gt;=HW$25,HT15&lt;&gt;""),AND(IN15&gt;=IR$21,IN15&lt;&gt;"",IO15&gt;=IR$25,IO15&lt;&gt;""),AND(JI15&gt;=JM$21,JI15&lt;&gt;"",JJ15&gt;=JM$25,JJ15&lt;&gt;""),AND(KD15&gt;=KH$21,KD15&lt;&gt;"",KE15&gt;=KH$25,KE15&lt;&gt;""),AND(KY15&gt;=LC$21,KY15&lt;&gt;"",KZ15&gt;=LC$25,KZ15&lt;&gt;""),AND(LT15&gt;=LX$21,LT15&lt;&gt;"",LU15&gt;=LX$25,LU15&lt;&gt;"")),"Merit",IF(OR(AND(AH15&gt;=AL$20,AH15&lt;&gt;"",AI15&gt;=AL$24,AI15&lt;&gt;"",AG15=""),AND(BD15&gt;=BH$20,BD15&lt;&gt;"",BE15&gt;=BH$24,BE15&lt;&gt;"",BC15=""),AND(BZ15&gt;=CD$20,BZ15&lt;&gt;"",CA15&gt;=CD$24,CA15&lt;&gt;"",BY15=""),AND(CW15&gt;=DA$20,CW15&lt;&gt;"",CX15&gt;=DA$24,CX15&lt;&gt;""),AND(DR15&gt;=DV$20,DR15&lt;&gt;"",DS15&gt;=DV$24,DS15&lt;&gt;""),AND(EM15&gt;=EQ$20,EM15&lt;&gt;"",EN15&gt;=EQ$24,EN15&lt;&gt;""),AND(FH15&gt;=FL$20,FH15&lt;&gt;"",FI15&gt;=FL$24,FI15&lt;&gt;""),AND(GC15&gt;=GG$20,GC15&lt;&gt;"",GD15&gt;=GG$24,GD15&lt;&gt;""),AND(GX15&gt;=HB$20,GX15&lt;&gt;"",GY15&gt;=HB$24,GY15&lt;&gt;""),AND(HS15&gt;=HW$20,HS15&lt;&gt;"",HT15&gt;=HW$24,HT15&lt;&gt;""),AND(IN15&gt;=IR$20,IN15&lt;&gt;"",IO15&gt;=IR$24,IO15&lt;&gt;""),AND(JI15&gt;=JM$20,JI15&lt;&gt;"",JJ15&gt;=JM$24,JJ15&lt;&gt;""),AND(KD15&gt;=KH$20,KD15&lt;&gt;"",KE15&gt;=KH$24,KE15&lt;&gt;""),AND(KY15&gt;=LC$20,KY15&lt;&gt;"",KZ15&gt;=LC$24,KZ15&lt;&gt;""),AND(LT15&gt;=LX$20,LT15&lt;&gt;"",LU15&gt;=LX$24,LU15&lt;&gt;"")),"Excellence",IF(OR(AND(AH15&gt;=AL$19,AH15&lt;&gt;"",AI15&gt;=AL$23,AI15&lt;&gt;"",AG15=""),AND(BD15&gt;=BH$19,BD15&lt;&gt;"",BE15&gt;=BH$23,BE15&lt;&gt;"",BC15=""),AND(BZ15&gt;=CD$19,BZ15&lt;&gt;"",CA15&gt;=CD$23,CA15&lt;&gt;"",BY15=""),AND(CW15&gt;=DA$19,CW15&lt;&gt;"",CX15&gt;=DA$23,CX15&lt;&gt;""),AND(DR15&gt;=DV$19,DR15&lt;&gt;"",DS15&gt;=DV$23,DS15&lt;&gt;""),AND(EM15&gt;=EQ$19,EM15&lt;&gt;"",EN15&gt;=EQ$23,EN15&lt;&gt;""),AND(FH15&gt;=FL$19,FH15&lt;&gt;"",FI15&gt;=FL$23,FI15&lt;&gt;""),AND(GC15&gt;=GG$19,GC15&lt;&gt;"",GD15&gt;=GG$23,GD15&lt;&gt;""),AND(GX15&gt;=HB$19,GX15&lt;&gt;"",GY15&gt;=HB$23,GY15&lt;&gt;""),AND(HS15&gt;=HW$19,HS15&lt;&gt;"",HT15&gt;=HW$23,HT15&lt;&gt;""),AND(IN15&gt;=IR$19,IN15&lt;&gt;"",IO15&gt;=IR$23,IO15&lt;&gt;""),AND(JI15&gt;=JM$19,JI15&lt;&gt;"",JJ15&gt;=JM$23,JJ15&lt;&gt;""),AND(KD15&gt;=KH$19,KD15&lt;&gt;"",KE15&gt;=KH$23,KE15&lt;&gt;""),AND(KY15&gt;=LC$19,KY15&lt;&gt;"",KZ15&gt;=LC$23,KZ15&lt;&gt;""),AND(LT15&gt;=LX$19,LT15&lt;&gt;"",LU15&gt;=LX$23,LU15&lt;&gt;"")),"Worlds Team",IF(OR(AND(AH15&gt;=AL$18,AH15&lt;&gt;"",AI15&gt;=AL$22,AI15&lt;&gt;"",AG15=""),AND(BD15&gt;=BH$18,BD15&lt;&gt;"",BE15&gt;=BH$22,BE15&lt;&gt;"",BC15=""),AND(BZ15&gt;=CD$18,BZ15&lt;&gt;"",CA15&gt;=CD$22,CA15&lt;&gt;"",BY15=""),AND(CW15&gt;=DA$18,CW15&lt;&gt;"",CX15&gt;=DA$22,CX15&lt;&gt;""),AND(DR15&gt;=DV$18,DR15&lt;&gt;"",DS15&gt;=DV$22,DS15&lt;&gt;""),AND(EM15&gt;=EQ$18,EM15&lt;&gt;"",EN15&gt;=EQ$22,EN15&lt;&gt;""),AND(FH15&gt;=FL$18,FH15&lt;&gt;"",FI15&gt;=FL$22,FI15&lt;&gt;""),AND(GC15&gt;=GG$18,GC15&lt;&gt;"",GD15&gt;=GG$22,GD15&lt;&gt;""),AND(GX15&gt;=HB$18,GX15&lt;&gt;"",GY15&gt;=HB$22,GY15&lt;&gt;""),AND(HS15&gt;=HW$18,HS15&lt;&gt;"",HT15&gt;=HW$22,HT15&lt;&gt;""),AND(IN15&gt;=IR$18,IN15&lt;&gt;"",IO15&gt;=IR$22,IO15&lt;&gt;""),AND(JI15&gt;=JM$18,JI15&lt;&gt;"",JJ15&gt;=JM$22,JJ15&lt;&gt;""),AND(KD15&gt;=KH$18,KD15&lt;&gt;"",KE15&gt;=KH$22,KE15&lt;&gt;""),AND(KY15&gt;=LC$18,KY15&lt;&gt;"",KZ15&gt;=LC$22,KZ15&lt;&gt;""),AND(LT15&gt;=LX$18,LT15&lt;&gt;"",LU15&gt;=LX$22,LU15&lt;&gt;"")),"National Team","")))))</f>
        <v/>
      </c>
      <c r="I15" s="3" t="str">
        <f>IF(OR(H15="Worlds Team",H15="Excellence",H15="Merit"),"P","")</f>
        <v/>
      </c>
      <c r="J15" s="14">
        <f>MAX(AL15,BH15,CD15)</f>
        <v>124.6</v>
      </c>
      <c r="K15" s="14" t="str">
        <f>IF(J15=0,"",IF(J15=CD15,$BI$1,IF(J15=BH15,$AM$1,IF(J15=AL15,$Q$1,""))))</f>
        <v>2019 Elite Canada</v>
      </c>
      <c r="L15" s="14">
        <f>IF(J15=AL15,MAX(BE15,BG15,CA15,CC15),IF(J15=BH15,MAX(AI15,AK15,CA15,CC15),MAX(AI15,AK15,BE15,BG15)))</f>
        <v>61.7</v>
      </c>
      <c r="M15" s="14" t="str">
        <f>IF(L15=0,"",IF(AND(J15&lt;&gt;CD15,OR(L15=CA15,L15=CC15)),$BI$1,IF(AND(J15&lt;&gt;BH15,OR(L15=BG15,L15=BE15)),$AM$1,IF(OR(L15=AK15,L15=AI15),$Q$1,""))))</f>
        <v>2021 1st Virtual Technical Trial</v>
      </c>
      <c r="N15" s="14" t="str">
        <f>IF(MAX(CE15:CF15)&gt;0,MAX(CE15:CF15),"")</f>
        <v/>
      </c>
      <c r="O15" s="24" t="str">
        <f>IF(N15="","",IF(N15=CE15,"(4 Pass)",IF(N15=CF15,"(2 Pass)")))</f>
        <v/>
      </c>
      <c r="P15" s="14" t="str">
        <f>IF(N15="","",IF(N15=CE15,IF(N15+IF(J15="",0,J15)=DA15,$CG$1,IF(N15+IF(J15="",0,J15)=DV15,$DB$1,IF(N15+IF(J15="",0,J15)=EQ15,$DW$1,IF(N15+IF(J15="",0,J15)=FL15,$ER$1,IF(N15+IF(J15="",0,J15)=GG15,$FM$1,IF(N15+IF(J15="",0,J15)=HB15,$GH$1,IF(N15+IF(J15="",0,J15)=HW15,$HC$1,IF(N15+IF(J15="",0,J15)=IR15,$HX$1,IF(N15+IF(J15="",0,J15)=JM15,$IS$1,IF(N15+IF(J15="",0,J15)=KH15,$JN$1,IF(N15+IF(J15="",0,J15)=LC15,$KI$1,IF(N15+IF(J15="",0,J15)=LX15,$LD$1)))))))))))),IF(N15=CF15,IF(OR(N15+IF(L15="",0,L15)=CX15,N15+IF(L15="",0,L15)=CZ15),$CG$1,IF(OR(N15+IF(L15="",0,L15)=DS15,N15+IF(L15="",0,L15)=DU15),$DB$1,IF(OR(N15+IF(L15="",0,L15)=EN15,N15+IF(L15="",0,L15)=EP15),$DW$1,IF(OR(N15+IF(L15="",0,L15)=FI15,N15+IF(L15="",0,L15)=FK15),$ER$1,IF(OR(N15+IF(L15="",0,L15)=GD15,N15+IF(L15="",0,L15)=GF15),$FM$1,IF(OR(N15+IF(L15="",0,L15)=GY15,N15+IF(L15="",0,L15)=HA15),$GH$1,IF(OR(N15+IF(L15="",0,L15)=HT15,N15+IF(L15="",0,L15)=HV15),$HC$1,IF(OR(N15+IF(L15="",0,L15)=IO15,N15+IF(L15="",0,L15)=IQ15),$HX$1,IF(OR(N15+IF(L15="",0,L15)=JJ15,N15+IF(L15="",0,L15)=JL15),$IS$1,IF(OR(N15+IF(L15="",0,L15)=KE15,N15+IF(L15="",0,L15)=KG15),$JN$1,IF(OR(N15+IF(L15="",0,L15)=KZ15,N15+IF(L15="",0,L15)=LB15),$KI$1,IF(OR(N15+IF(L15="",0,L15)=LU15,N15+IF(L15="",0,L15)=LW15),$LD$1)))))))))))))))</f>
        <v/>
      </c>
      <c r="Q15" s="61">
        <v>28.2</v>
      </c>
      <c r="R15" s="61">
        <v>3.6</v>
      </c>
      <c r="S15" s="61">
        <v>0.3</v>
      </c>
      <c r="T15" s="61">
        <v>0</v>
      </c>
      <c r="U15" s="61">
        <v>27.9</v>
      </c>
      <c r="V15" s="61">
        <v>3.3</v>
      </c>
      <c r="W15" s="61">
        <v>0</v>
      </c>
      <c r="X15" s="61">
        <v>0</v>
      </c>
      <c r="Y15" s="61">
        <v>27.4</v>
      </c>
      <c r="Z15" s="61">
        <v>3.2</v>
      </c>
      <c r="AA15" s="61">
        <v>0</v>
      </c>
      <c r="AB15" s="61">
        <v>0</v>
      </c>
      <c r="AC15" s="61">
        <v>27.9</v>
      </c>
      <c r="AD15" s="61">
        <v>3.4</v>
      </c>
      <c r="AE15" s="61">
        <v>0</v>
      </c>
      <c r="AF15" s="61">
        <v>0</v>
      </c>
      <c r="AG15" s="72"/>
      <c r="AH15" s="11">
        <f>IF(SUM(R15,V15)&gt;0,SUM(R15,V15),"")</f>
        <v>6.9</v>
      </c>
      <c r="AI15" s="11">
        <f>IF(SUM(Q15:R15,T15:V15,X15)-SUM(S15,W15)&gt;0,SUM(Q15:R15,T15:V15,X15)-SUM(S15,W15),"")</f>
        <v>62.7</v>
      </c>
      <c r="AJ15" s="11">
        <f>IF(SUM(Z15,AD15)&gt;0,SUM(Z15,AD15),"")</f>
        <v>6.6</v>
      </c>
      <c r="AK15" s="11">
        <f>IF(SUM(Y15:Z15,AB15:AD15,AF15)-SUM(AA15,AE15)&gt;0,SUM(Y15:Z15,AB15:AD15,AF15)-SUM(AA15,AE15),"")</f>
        <v>61.9</v>
      </c>
      <c r="AL15" s="11">
        <f>IF(SUM(AI15,AK15)&gt;0,SUM(AI15,AK15),"")</f>
        <v>124.6</v>
      </c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73"/>
      <c r="BD15" s="14" t="str">
        <f>IF(SUM(AN15,AR15)&gt;0,SUM(AN15,AR15),"")</f>
        <v/>
      </c>
      <c r="BE15" s="14" t="str">
        <f>IF(SUM(AM15:AN15,AP15:AR15,AT15)-SUM(AO15,AS15)&gt;0,SUM(AM15:AN15,AP15:AR15,AT15)-SUM(AO15,AS15),"")</f>
        <v/>
      </c>
      <c r="BF15" s="14" t="str">
        <f>IF(SUM(AV15,AZ15)&gt;0,SUM(AV15,AZ15),"")</f>
        <v/>
      </c>
      <c r="BG15" s="14" t="str">
        <f>IF(SUM(AU15:AV15,AX15:AZ15,BB15)-SUM(AW15,BA15)&gt;0,SUM(AU15:AV15,AX15:AZ15,BB15)-SUM(AW15,BA15),"")</f>
        <v/>
      </c>
      <c r="BH15" s="14" t="str">
        <f>IF(SUM(BE15,BG15)&gt;0,SUM(BE15,BG15),"")</f>
        <v/>
      </c>
      <c r="BI15" s="61">
        <v>26.6</v>
      </c>
      <c r="BJ15" s="61">
        <v>4.4000000000000004</v>
      </c>
      <c r="BK15" s="61">
        <v>0.3</v>
      </c>
      <c r="BL15" s="61">
        <v>0</v>
      </c>
      <c r="BM15" s="61">
        <v>28.2</v>
      </c>
      <c r="BN15" s="61">
        <v>3.1</v>
      </c>
      <c r="BO15" s="61">
        <v>0.3</v>
      </c>
      <c r="BP15" s="61">
        <v>0</v>
      </c>
      <c r="BQ15" s="61">
        <v>26.6</v>
      </c>
      <c r="BR15" s="61">
        <v>4.8</v>
      </c>
      <c r="BS15" s="61">
        <v>0.3</v>
      </c>
      <c r="BT15" s="61">
        <v>0</v>
      </c>
      <c r="BU15" s="61">
        <v>27</v>
      </c>
      <c r="BV15" s="61">
        <v>3.6</v>
      </c>
      <c r="BW15" s="61">
        <v>0.3</v>
      </c>
      <c r="BX15" s="61">
        <v>0</v>
      </c>
      <c r="BY15" s="72"/>
      <c r="BZ15" s="11">
        <f>IF(SUM(BJ15,BN15)&gt;0,SUM(BJ15,BN15),"")</f>
        <v>7.5</v>
      </c>
      <c r="CA15" s="11">
        <f>IF(SUM(BI15:BJ15,BL15:BN15,BP15)-SUM(BK15,BO15)&gt;0,SUM(BI15:BJ15,BL15:BN15,BP15)-SUM(BK15,BO15),"")</f>
        <v>61.7</v>
      </c>
      <c r="CB15" s="11">
        <f>IF(SUM(BR15,BV15)&gt;0,SUM(BR15,BV15),"")</f>
        <v>8.4</v>
      </c>
      <c r="CC15" s="11">
        <f>IF(SUM(BQ15:BR15,BT15:BV15,BX15)-SUM(BS15,BW15)&gt;0,SUM(BQ15:BR15,BT15:BV15,BX15)-SUM(BS15,BW15),"")</f>
        <v>61.400000000000006</v>
      </c>
      <c r="CD15" s="11">
        <f>IF(SUM(CA15,CC15)&gt;0,SUM(CA15,CC15),"")</f>
        <v>123.10000000000001</v>
      </c>
      <c r="CE15" s="23" t="str">
        <f>IF(MAX(DA15,DV15,EQ15,FL15,GG15,HB15,HW15,IR15,JM15,KH15,LC15,LX15)-IF(J15="",0,J15)&gt;0.001,MAX(DA15,DV15,EQ15,FL15,GG15,HB15,HW15,IR15,JM15,KH15,LC15,LX15)-IF(J15="",0,J15),"")</f>
        <v/>
      </c>
      <c r="CF15" s="23" t="str">
        <f>IF(MAX(CX15,CZ15,DS15,DU15,EN15,EP15,FI15,FK15,GD15,GF15,GY15,HA15,HT15,HV15,IO15,IQ15,JJ15,JL15,KE15,KG15,KZ15,LB15,LU15,LW15)-IF(L15="",0,L15)&gt;0.001,MAX(CX15,CZ15,DS15,DU15,EN15,EP15,FI15,FK15,GD15,GF15,GY15,HA15,HT15,HV15,IO15,IQ15,JJ15,JL15,KE15,KG15,KZ15,LB15,LU15,LW15)-IF(L15="",0,L15),"")</f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1">
        <f>IF($BY15="P",BI15,(BI15+AM15)/2)</f>
        <v>13.3</v>
      </c>
      <c r="LZ15" s="61">
        <f>IF($BY15="P",BJ15,(BJ15+AN15)/2)</f>
        <v>2.2000000000000002</v>
      </c>
      <c r="MA15" s="61">
        <f>IF($BY15="P",BK15,(BK15+AO15)/2)</f>
        <v>0.15</v>
      </c>
      <c r="MB15" s="61">
        <f>IF($BY15="P",BL15,(BL15+AP15)/2)</f>
        <v>0</v>
      </c>
      <c r="MC15" s="61">
        <f>IF($BY15="P",BM15,(BM15+AQ15)/2)</f>
        <v>14.1</v>
      </c>
      <c r="MD15" s="61">
        <f>IF($BY15="P",BN15,(BN15+AR15)/2)</f>
        <v>1.55</v>
      </c>
      <c r="ME15" s="61">
        <f>IF($BY15="P",BO15,(BO15+AS15)/2)</f>
        <v>0.15</v>
      </c>
      <c r="MF15" s="61">
        <f>IF($BY15="P",BP15,(BP15+AT15)/2)</f>
        <v>0</v>
      </c>
      <c r="MG15" s="61">
        <f>IF($BY15="P",BQ15,(BQ15+AU15)/2)</f>
        <v>13.3</v>
      </c>
      <c r="MH15" s="61">
        <f>IF($BY15="P",BR15,(BR15+AV15)/2)</f>
        <v>2.4</v>
      </c>
      <c r="MI15" s="61">
        <f>IF($BY15="P",BS15,(BS15+AW15)/2)</f>
        <v>0.15</v>
      </c>
      <c r="MJ15" s="61">
        <f>IF($BY15="P",BT15,(BT15+AX15)/2)</f>
        <v>0</v>
      </c>
      <c r="MK15" s="61">
        <f>IF($BY15="P",BU15,(BU15+AY15)/2)</f>
        <v>13.5</v>
      </c>
      <c r="ML15" s="61">
        <f>IF($BY15="P",BV15,(BV15+AZ15)/2)</f>
        <v>1.8</v>
      </c>
      <c r="MM15" s="61">
        <f>IF($BY15="P",BW15,(BW15+BA15)/2)</f>
        <v>0.15</v>
      </c>
      <c r="MN15" s="61">
        <f>IF($BY15="P",BX15,(BX15+BB15)/2)</f>
        <v>0</v>
      </c>
      <c r="MO15" s="72" t="s">
        <v>52</v>
      </c>
      <c r="MP15" s="11">
        <f>IF(SUM(LZ15,MD15)&gt;0,SUM(LZ15,MD15),"")</f>
        <v>3.75</v>
      </c>
      <c r="MQ15" s="11">
        <f>IF(SUM(LY15:LZ15,MB15:MD15,MF15)-SUM(MA15,ME15)&gt;0,SUM(LY15:LZ15,MB15:MD15,MF15)-SUM(MA15,ME15),"")</f>
        <v>30.85</v>
      </c>
      <c r="MR15" s="11">
        <f>IF(SUM(MH15,ML15)&gt;0,SUM(MH15,ML15),"")</f>
        <v>4.2</v>
      </c>
      <c r="MS15" s="11">
        <f>IF(SUM(MG15:MH15,MJ15:ML15,MN15)-SUM(MI15,MM15)&gt;0,SUM(MG15:MH15,MJ15:ML15,MN15)-SUM(MI15,MM15),"")</f>
        <v>30.700000000000003</v>
      </c>
      <c r="MT15" s="11">
        <f>IF(SUM(MQ15,MS15)&gt;0,SUM(MQ15,MS15),"")</f>
        <v>61.550000000000004</v>
      </c>
    </row>
    <row r="16" spans="1:358" s="46" customFormat="1" x14ac:dyDescent="0.2">
      <c r="A16" s="7"/>
      <c r="B16" s="8"/>
      <c r="C16" s="4"/>
      <c r="D16" s="7"/>
      <c r="E16" s="87"/>
      <c r="F16" s="88"/>
      <c r="G16" s="88"/>
      <c r="H16" s="118"/>
      <c r="I16" s="88"/>
      <c r="J16" s="47"/>
      <c r="K16" s="47"/>
      <c r="L16" s="47"/>
      <c r="M16" s="47"/>
      <c r="N16" s="47"/>
      <c r="O16" s="89"/>
      <c r="P16" s="47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1"/>
      <c r="AH16" s="47"/>
      <c r="AI16" s="47"/>
      <c r="AJ16" s="47"/>
      <c r="AK16" s="47"/>
      <c r="AL16" s="47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BC16" s="91"/>
      <c r="BD16" s="47"/>
      <c r="BE16" s="47"/>
      <c r="BF16" s="47"/>
      <c r="BG16" s="47"/>
      <c r="BH16" s="47"/>
      <c r="BI16" s="90"/>
      <c r="BJ16" s="90"/>
      <c r="BK16" s="90"/>
      <c r="BL16" s="90"/>
      <c r="BM16" s="90"/>
      <c r="BN16" s="90"/>
      <c r="BO16" s="90"/>
      <c r="BP16" s="90"/>
      <c r="BQ16" s="90"/>
      <c r="BR16" s="90"/>
      <c r="BS16" s="90"/>
      <c r="BT16" s="90"/>
      <c r="BU16" s="90"/>
      <c r="BV16" s="90"/>
      <c r="BW16" s="90"/>
      <c r="BX16" s="90"/>
      <c r="BY16" s="91"/>
      <c r="BZ16" s="47"/>
      <c r="CA16" s="47"/>
      <c r="CB16" s="47"/>
      <c r="CC16" s="47"/>
      <c r="CD16" s="47"/>
      <c r="CE16" s="47"/>
      <c r="CF16" s="47"/>
      <c r="CG16" s="93"/>
      <c r="CH16" s="93"/>
      <c r="CI16" s="93"/>
      <c r="CJ16" s="93"/>
      <c r="CK16" s="93"/>
      <c r="CL16" s="93"/>
      <c r="CM16" s="93"/>
      <c r="CN16" s="93"/>
      <c r="CO16" s="93"/>
      <c r="CP16" s="93"/>
      <c r="CQ16" s="93"/>
      <c r="CR16" s="93"/>
      <c r="CS16" s="93"/>
      <c r="CT16" s="93"/>
      <c r="CU16" s="93"/>
      <c r="CV16" s="93"/>
      <c r="CW16" s="47"/>
      <c r="CX16" s="47"/>
      <c r="CY16" s="47"/>
      <c r="CZ16" s="47"/>
      <c r="DA16" s="47"/>
      <c r="DB16" s="93"/>
      <c r="DC16" s="93"/>
      <c r="DD16" s="93"/>
      <c r="DE16" s="93"/>
      <c r="DF16" s="93"/>
      <c r="DG16" s="93"/>
      <c r="DH16" s="93"/>
      <c r="DI16" s="93"/>
      <c r="DJ16" s="93"/>
      <c r="DK16" s="93"/>
      <c r="DL16" s="93"/>
      <c r="DM16" s="93"/>
      <c r="DN16" s="93"/>
      <c r="DO16" s="93"/>
      <c r="DP16" s="93"/>
      <c r="DQ16" s="93"/>
      <c r="DR16" s="47"/>
      <c r="DS16" s="47"/>
      <c r="DT16" s="47"/>
      <c r="DU16" s="47"/>
      <c r="DV16" s="47"/>
      <c r="DW16" s="93"/>
      <c r="DX16" s="93"/>
      <c r="DY16" s="93"/>
      <c r="DZ16" s="93"/>
      <c r="EA16" s="93"/>
      <c r="EB16" s="93"/>
      <c r="EC16" s="93"/>
      <c r="ED16" s="93"/>
      <c r="EE16" s="93"/>
      <c r="EF16" s="93"/>
      <c r="EG16" s="93"/>
      <c r="EH16" s="93"/>
      <c r="EI16" s="93"/>
      <c r="EJ16" s="93"/>
      <c r="EK16" s="93"/>
      <c r="EL16" s="93"/>
      <c r="EM16" s="47"/>
      <c r="EN16" s="47"/>
      <c r="EO16" s="47"/>
      <c r="EP16" s="47"/>
      <c r="EQ16" s="47"/>
      <c r="ER16" s="93"/>
      <c r="ES16" s="93"/>
      <c r="ET16" s="93"/>
      <c r="EU16" s="93"/>
      <c r="EV16" s="93"/>
      <c r="EW16" s="93"/>
      <c r="EX16" s="93"/>
      <c r="EY16" s="93"/>
      <c r="EZ16" s="93"/>
      <c r="FA16" s="93"/>
      <c r="FB16" s="93"/>
      <c r="FC16" s="93"/>
      <c r="FD16" s="93"/>
      <c r="FE16" s="93"/>
      <c r="FF16" s="93"/>
      <c r="FG16" s="93"/>
      <c r="FH16" s="47"/>
      <c r="FI16" s="47"/>
      <c r="FJ16" s="47"/>
      <c r="FK16" s="47"/>
      <c r="FL16" s="47"/>
      <c r="FM16" s="93"/>
      <c r="FN16" s="93"/>
      <c r="FO16" s="93"/>
      <c r="FP16" s="93"/>
      <c r="FQ16" s="93"/>
      <c r="FR16" s="93"/>
      <c r="FS16" s="93"/>
      <c r="FT16" s="93"/>
      <c r="FU16" s="93"/>
      <c r="FV16" s="93"/>
      <c r="FW16" s="93"/>
      <c r="FX16" s="93"/>
      <c r="FY16" s="93"/>
      <c r="FZ16" s="93"/>
      <c r="GA16" s="93"/>
      <c r="GB16" s="93"/>
      <c r="GC16" s="47"/>
      <c r="GD16" s="47"/>
      <c r="GE16" s="47"/>
      <c r="GF16" s="47"/>
      <c r="GG16" s="47"/>
      <c r="GH16" s="93"/>
      <c r="GI16" s="93"/>
      <c r="GJ16" s="93"/>
      <c r="GK16" s="93"/>
      <c r="GL16" s="93"/>
      <c r="GM16" s="93"/>
      <c r="GN16" s="93"/>
      <c r="GO16" s="93"/>
      <c r="GP16" s="93"/>
      <c r="GQ16" s="93"/>
      <c r="GR16" s="93"/>
      <c r="GS16" s="93"/>
      <c r="GT16" s="93"/>
      <c r="GU16" s="93"/>
      <c r="GV16" s="93"/>
      <c r="GW16" s="93"/>
      <c r="GX16" s="47"/>
      <c r="GY16" s="47"/>
      <c r="GZ16" s="47"/>
      <c r="HA16" s="47"/>
      <c r="HB16" s="47"/>
      <c r="HC16" s="93"/>
      <c r="HD16" s="93"/>
      <c r="HE16" s="93"/>
      <c r="HF16" s="93"/>
      <c r="HG16" s="93"/>
      <c r="HH16" s="93"/>
      <c r="HI16" s="93"/>
      <c r="HJ16" s="93"/>
      <c r="HK16" s="93"/>
      <c r="HL16" s="93"/>
      <c r="HM16" s="93"/>
      <c r="HN16" s="93"/>
      <c r="HO16" s="93"/>
      <c r="HP16" s="93"/>
      <c r="HQ16" s="93"/>
      <c r="HR16" s="93"/>
      <c r="HS16" s="47"/>
      <c r="HT16" s="47"/>
      <c r="HU16" s="47"/>
      <c r="HV16" s="47"/>
      <c r="HW16" s="47"/>
      <c r="HX16" s="93"/>
      <c r="HY16" s="93"/>
      <c r="HZ16" s="93"/>
      <c r="IA16" s="93"/>
      <c r="IB16" s="93"/>
      <c r="IC16" s="93"/>
      <c r="ID16" s="93"/>
      <c r="IE16" s="93"/>
      <c r="IF16" s="93"/>
      <c r="IG16" s="93"/>
      <c r="IH16" s="93"/>
      <c r="II16" s="93"/>
      <c r="IJ16" s="93"/>
      <c r="IK16" s="93"/>
      <c r="IL16" s="93"/>
      <c r="IM16" s="93"/>
      <c r="IN16" s="47"/>
      <c r="IO16" s="47"/>
      <c r="IP16" s="47"/>
      <c r="IQ16" s="47"/>
      <c r="IR16" s="47"/>
      <c r="IS16" s="93"/>
      <c r="IT16" s="93"/>
      <c r="IU16" s="93"/>
      <c r="IV16" s="93"/>
      <c r="IW16" s="93"/>
      <c r="IX16" s="93"/>
      <c r="IY16" s="93"/>
      <c r="IZ16" s="93"/>
      <c r="JA16" s="93"/>
      <c r="JB16" s="93"/>
      <c r="JC16" s="93"/>
      <c r="JD16" s="93"/>
      <c r="JE16" s="93"/>
      <c r="JF16" s="93"/>
      <c r="JG16" s="93"/>
      <c r="JH16" s="93"/>
      <c r="JI16" s="47"/>
      <c r="JJ16" s="47"/>
      <c r="JK16" s="47"/>
      <c r="JL16" s="47"/>
      <c r="JM16" s="47"/>
      <c r="JN16" s="93"/>
      <c r="JO16" s="93"/>
      <c r="JP16" s="93"/>
      <c r="JQ16" s="93"/>
      <c r="JR16" s="93"/>
      <c r="JS16" s="93"/>
      <c r="JT16" s="93"/>
      <c r="JU16" s="93"/>
      <c r="JV16" s="93"/>
      <c r="JW16" s="93"/>
      <c r="JX16" s="93"/>
      <c r="JY16" s="93"/>
      <c r="JZ16" s="93"/>
      <c r="KA16" s="93"/>
      <c r="KB16" s="93"/>
      <c r="KC16" s="93"/>
      <c r="KD16" s="47"/>
      <c r="KE16" s="47"/>
      <c r="KF16" s="47"/>
      <c r="KG16" s="47"/>
      <c r="KH16" s="47"/>
      <c r="KI16" s="93"/>
      <c r="KJ16" s="93"/>
      <c r="KK16" s="93"/>
      <c r="KL16" s="93"/>
      <c r="KM16" s="93"/>
      <c r="KN16" s="93"/>
      <c r="KO16" s="93"/>
      <c r="KP16" s="93"/>
      <c r="KQ16" s="93"/>
      <c r="KR16" s="93"/>
      <c r="KS16" s="93"/>
      <c r="KT16" s="93"/>
      <c r="KU16" s="93"/>
      <c r="KV16" s="93"/>
      <c r="KW16" s="93"/>
      <c r="KX16" s="93"/>
      <c r="KY16" s="47"/>
      <c r="KZ16" s="47"/>
      <c r="LA16" s="47"/>
      <c r="LB16" s="47"/>
      <c r="LC16" s="47"/>
      <c r="LD16" s="93"/>
      <c r="LE16" s="93"/>
      <c r="LF16" s="93"/>
      <c r="LG16" s="93"/>
      <c r="LH16" s="93"/>
      <c r="LI16" s="93"/>
      <c r="LJ16" s="93"/>
      <c r="LK16" s="93"/>
      <c r="LL16" s="93"/>
      <c r="LM16" s="93"/>
      <c r="LN16" s="93"/>
      <c r="LO16" s="93"/>
      <c r="LP16" s="93"/>
      <c r="LQ16" s="93"/>
      <c r="LR16" s="93"/>
      <c r="LS16" s="93"/>
      <c r="LT16" s="47"/>
      <c r="LU16" s="47"/>
      <c r="LV16" s="47"/>
      <c r="LW16" s="47"/>
      <c r="LX16" s="47"/>
    </row>
    <row r="17" spans="1:336" x14ac:dyDescent="0.2">
      <c r="AH17" s="47"/>
      <c r="AJ17" s="47"/>
      <c r="BD17" s="47"/>
      <c r="BF17" s="47"/>
      <c r="BZ17" s="47"/>
      <c r="CB17" s="47"/>
      <c r="CW17" s="47"/>
      <c r="CY17" s="47"/>
      <c r="DR17" s="47"/>
      <c r="DT17" s="47"/>
      <c r="EM17" s="47"/>
      <c r="EO17" s="47"/>
      <c r="FH17" s="47"/>
      <c r="FJ17" s="47"/>
      <c r="GC17" s="47"/>
      <c r="GE17" s="47"/>
      <c r="GX17" s="47"/>
      <c r="GZ17" s="47"/>
      <c r="HS17" s="47"/>
      <c r="HU17" s="47"/>
      <c r="IN17" s="47"/>
      <c r="IP17" s="47"/>
      <c r="JI17" s="47"/>
      <c r="JK17" s="47"/>
      <c r="KD17" s="47"/>
      <c r="KF17" s="47"/>
      <c r="KY17" s="47"/>
      <c r="LA17" s="47"/>
      <c r="LT17" s="47"/>
      <c r="LV17" s="47"/>
    </row>
    <row r="18" spans="1:336" x14ac:dyDescent="0.2">
      <c r="B18" s="62" t="s">
        <v>50</v>
      </c>
      <c r="AH18" s="47"/>
      <c r="AJ18" s="47"/>
      <c r="AL18" s="56">
        <v>10.4</v>
      </c>
      <c r="BD18" s="47"/>
      <c r="BF18" s="47"/>
      <c r="BH18" s="56">
        <v>10.4</v>
      </c>
      <c r="BZ18" s="47"/>
      <c r="CB18" s="47"/>
      <c r="CD18" s="56">
        <v>10.4</v>
      </c>
      <c r="CW18" s="47"/>
      <c r="CY18" s="47"/>
      <c r="DA18" s="56">
        <v>10.4</v>
      </c>
      <c r="DR18" s="47"/>
      <c r="DT18" s="47"/>
      <c r="DV18" s="56">
        <v>10.4</v>
      </c>
      <c r="EM18" s="47"/>
      <c r="EO18" s="47"/>
      <c r="EQ18" s="56">
        <v>10.4</v>
      </c>
      <c r="FH18" s="47"/>
      <c r="FJ18" s="47"/>
      <c r="FL18" s="56">
        <v>10.4</v>
      </c>
      <c r="GC18" s="47"/>
      <c r="GE18" s="47"/>
      <c r="GG18" s="56">
        <v>10.4</v>
      </c>
      <c r="GX18" s="47"/>
      <c r="GZ18" s="47"/>
      <c r="HB18" s="56">
        <v>10.4</v>
      </c>
      <c r="HS18" s="47"/>
      <c r="HU18" s="47"/>
      <c r="HW18" s="56">
        <v>10.4</v>
      </c>
      <c r="IN18" s="47"/>
      <c r="IP18" s="47"/>
      <c r="IR18" s="56">
        <v>10.4</v>
      </c>
      <c r="JI18" s="47"/>
      <c r="JK18" s="47"/>
      <c r="JM18" s="56">
        <v>10.4</v>
      </c>
      <c r="KD18" s="47"/>
      <c r="KF18" s="47"/>
      <c r="KH18" s="56">
        <v>10.4</v>
      </c>
      <c r="KY18" s="47"/>
      <c r="LA18" s="47"/>
      <c r="LC18" s="56">
        <v>10.4</v>
      </c>
      <c r="LT18" s="47"/>
      <c r="LV18" s="47"/>
      <c r="LX18" s="56">
        <v>10.4</v>
      </c>
    </row>
    <row r="19" spans="1:336" hidden="1" x14ac:dyDescent="0.2">
      <c r="B19" s="83" t="s">
        <v>49</v>
      </c>
      <c r="AH19" s="47"/>
      <c r="AJ19" s="47"/>
      <c r="AL19" s="85">
        <v>1000</v>
      </c>
      <c r="BD19" s="47"/>
      <c r="BF19" s="47"/>
      <c r="BH19" s="85">
        <v>1000</v>
      </c>
      <c r="BZ19" s="47"/>
      <c r="CB19" s="47"/>
      <c r="CD19" s="85">
        <v>1000</v>
      </c>
      <c r="CW19" s="47"/>
      <c r="CY19" s="47"/>
      <c r="DA19" s="85">
        <v>1000</v>
      </c>
      <c r="DR19" s="47"/>
      <c r="DT19" s="47"/>
      <c r="DV19" s="85">
        <v>1000</v>
      </c>
      <c r="EM19" s="47"/>
      <c r="EO19" s="47"/>
      <c r="EQ19" s="85">
        <v>1000</v>
      </c>
      <c r="FH19" s="47"/>
      <c r="FJ19" s="47"/>
      <c r="FL19" s="85">
        <v>1000</v>
      </c>
      <c r="GC19" s="47"/>
      <c r="GE19" s="47"/>
      <c r="GG19" s="85">
        <v>1000</v>
      </c>
      <c r="GX19" s="47"/>
      <c r="GZ19" s="47"/>
      <c r="HB19" s="85">
        <v>1000</v>
      </c>
      <c r="HS19" s="47"/>
      <c r="HU19" s="47"/>
      <c r="HW19" s="85">
        <v>1000</v>
      </c>
      <c r="IN19" s="47"/>
      <c r="IP19" s="47"/>
      <c r="IR19" s="85">
        <v>1000</v>
      </c>
      <c r="JI19" s="47"/>
      <c r="JK19" s="47"/>
      <c r="JM19" s="85">
        <v>1000</v>
      </c>
      <c r="KD19" s="47"/>
      <c r="KF19" s="47"/>
      <c r="KH19" s="85">
        <v>1000</v>
      </c>
      <c r="KY19" s="47"/>
      <c r="LA19" s="47"/>
      <c r="LC19" s="85">
        <v>1000</v>
      </c>
      <c r="LT19" s="47"/>
      <c r="LV19" s="47"/>
      <c r="LX19" s="85">
        <v>1000</v>
      </c>
    </row>
    <row r="20" spans="1:336" hidden="1" x14ac:dyDescent="0.2">
      <c r="A20" s="49"/>
      <c r="B20" s="84" t="s">
        <v>65</v>
      </c>
      <c r="C20" s="48"/>
      <c r="AL20" s="86">
        <v>1000</v>
      </c>
      <c r="BG20" s="117"/>
      <c r="BH20" s="86">
        <v>1000</v>
      </c>
      <c r="CD20" s="86">
        <v>1000</v>
      </c>
      <c r="DA20" s="86">
        <v>1000</v>
      </c>
      <c r="DU20" s="117"/>
      <c r="DV20" s="86">
        <v>1000</v>
      </c>
      <c r="EQ20" s="86">
        <v>1000</v>
      </c>
      <c r="FL20" s="86">
        <v>1000</v>
      </c>
      <c r="GG20" s="86">
        <v>1000</v>
      </c>
      <c r="HB20" s="86">
        <v>1000</v>
      </c>
      <c r="HW20" s="86">
        <v>1000</v>
      </c>
      <c r="IR20" s="86">
        <v>1000</v>
      </c>
      <c r="JM20" s="86">
        <v>1000</v>
      </c>
      <c r="KH20" s="86">
        <v>1000</v>
      </c>
      <c r="LC20" s="86">
        <v>1000</v>
      </c>
      <c r="LX20" s="86">
        <v>1000</v>
      </c>
    </row>
    <row r="21" spans="1:336" hidden="1" x14ac:dyDescent="0.2">
      <c r="A21" s="49"/>
      <c r="B21" s="63" t="s">
        <v>77</v>
      </c>
      <c r="C21" s="48"/>
      <c r="AK21" s="117"/>
      <c r="AL21" s="57">
        <v>1000</v>
      </c>
      <c r="BG21" s="117"/>
      <c r="BH21" s="57">
        <v>1000</v>
      </c>
      <c r="CD21" s="57">
        <v>1000</v>
      </c>
      <c r="DA21" s="57">
        <v>1000</v>
      </c>
      <c r="DV21" s="57">
        <v>1000</v>
      </c>
      <c r="EQ21" s="57">
        <v>1000</v>
      </c>
      <c r="FL21" s="57">
        <v>1000</v>
      </c>
      <c r="GG21" s="57">
        <v>1000</v>
      </c>
      <c r="HB21" s="57">
        <v>1000</v>
      </c>
      <c r="HW21" s="57">
        <v>1000</v>
      </c>
      <c r="IR21" s="57">
        <v>1000</v>
      </c>
      <c r="JM21" s="57">
        <v>1000</v>
      </c>
      <c r="KH21" s="57">
        <v>1000</v>
      </c>
      <c r="LC21" s="57">
        <v>1000</v>
      </c>
      <c r="LX21" s="57">
        <v>1000</v>
      </c>
    </row>
    <row r="22" spans="1:336" x14ac:dyDescent="0.2">
      <c r="A22" s="49"/>
      <c r="B22" s="65" t="s">
        <v>47</v>
      </c>
      <c r="C22" s="48"/>
      <c r="AH22" s="49"/>
      <c r="AJ22" s="49"/>
      <c r="AL22" s="59">
        <v>66.2</v>
      </c>
      <c r="BD22" s="49"/>
      <c r="BF22" s="49"/>
      <c r="BH22" s="59">
        <v>66.2</v>
      </c>
      <c r="BZ22" s="49"/>
      <c r="CB22" s="49"/>
      <c r="CD22" s="59">
        <v>66.2</v>
      </c>
      <c r="CW22" s="49"/>
      <c r="CY22" s="49"/>
      <c r="DA22" s="59">
        <v>66.2</v>
      </c>
      <c r="DR22" s="49"/>
      <c r="DT22" s="49"/>
      <c r="DV22" s="59">
        <v>66.2</v>
      </c>
      <c r="EM22" s="49"/>
      <c r="EO22" s="49"/>
      <c r="EQ22" s="59">
        <v>66.2</v>
      </c>
      <c r="FH22" s="49"/>
      <c r="FJ22" s="49"/>
      <c r="FL22" s="59">
        <v>66.2</v>
      </c>
      <c r="GC22" s="49"/>
      <c r="GE22" s="49"/>
      <c r="GG22" s="59">
        <v>66.2</v>
      </c>
      <c r="GX22" s="49"/>
      <c r="GZ22" s="49"/>
      <c r="HB22" s="59">
        <v>66.2</v>
      </c>
      <c r="HS22" s="49"/>
      <c r="HU22" s="49"/>
      <c r="HW22" s="59">
        <v>66.2</v>
      </c>
      <c r="IN22" s="49"/>
      <c r="IP22" s="49"/>
      <c r="IR22" s="59">
        <v>66.2</v>
      </c>
      <c r="JI22" s="49"/>
      <c r="JK22" s="49"/>
      <c r="JM22" s="59">
        <v>66.2</v>
      </c>
      <c r="KD22" s="49"/>
      <c r="KF22" s="49"/>
      <c r="KH22" s="59">
        <v>66.2</v>
      </c>
      <c r="KY22" s="49"/>
      <c r="LA22" s="49"/>
      <c r="LC22" s="59">
        <v>66.2</v>
      </c>
      <c r="LT22" s="49"/>
      <c r="LV22" s="49"/>
      <c r="LX22" s="59">
        <v>66.2</v>
      </c>
    </row>
    <row r="23" spans="1:336" hidden="1" x14ac:dyDescent="0.2">
      <c r="A23" s="49"/>
      <c r="B23" s="64" t="s">
        <v>48</v>
      </c>
      <c r="C23" s="48"/>
      <c r="AH23" s="49"/>
      <c r="AJ23" s="49"/>
      <c r="AL23" s="58">
        <v>1000</v>
      </c>
      <c r="BD23" s="49"/>
      <c r="BF23" s="49"/>
      <c r="BH23" s="58">
        <v>1000</v>
      </c>
      <c r="BZ23" s="49"/>
      <c r="CB23" s="49"/>
      <c r="CD23" s="58">
        <v>1000</v>
      </c>
      <c r="CW23" s="49"/>
      <c r="CY23" s="49"/>
      <c r="DA23" s="58">
        <v>1000</v>
      </c>
      <c r="DR23" s="49"/>
      <c r="DT23" s="49"/>
      <c r="DV23" s="58">
        <v>1000</v>
      </c>
      <c r="EM23" s="49"/>
      <c r="EO23" s="49"/>
      <c r="EQ23" s="58">
        <v>1000</v>
      </c>
      <c r="FH23" s="49"/>
      <c r="FJ23" s="49"/>
      <c r="FL23" s="58">
        <v>1000</v>
      </c>
      <c r="GC23" s="49"/>
      <c r="GE23" s="49"/>
      <c r="GG23" s="58">
        <v>1000</v>
      </c>
      <c r="GX23" s="49"/>
      <c r="GZ23" s="49"/>
      <c r="HB23" s="58">
        <v>1000</v>
      </c>
      <c r="HS23" s="49"/>
      <c r="HU23" s="49"/>
      <c r="HW23" s="58">
        <v>1000</v>
      </c>
      <c r="IN23" s="49"/>
      <c r="IP23" s="49"/>
      <c r="IR23" s="58">
        <v>1000</v>
      </c>
      <c r="JI23" s="49"/>
      <c r="JK23" s="49"/>
      <c r="JM23" s="58">
        <v>1000</v>
      </c>
      <c r="KD23" s="49"/>
      <c r="KF23" s="49"/>
      <c r="KH23" s="58">
        <v>1000</v>
      </c>
      <c r="KY23" s="49"/>
      <c r="LA23" s="49"/>
      <c r="LC23" s="58">
        <v>1000</v>
      </c>
      <c r="LT23" s="49"/>
      <c r="LV23" s="49"/>
      <c r="LX23" s="58">
        <v>1000</v>
      </c>
    </row>
    <row r="24" spans="1:336" hidden="1" x14ac:dyDescent="0.2">
      <c r="A24" s="49"/>
      <c r="B24" s="106" t="s">
        <v>60</v>
      </c>
      <c r="C24" s="48"/>
      <c r="AH24" s="49"/>
      <c r="AJ24" s="49"/>
      <c r="AL24" s="107">
        <v>1000</v>
      </c>
      <c r="BD24" s="49"/>
      <c r="BF24" s="49"/>
      <c r="BG24" s="117"/>
      <c r="BH24" s="107">
        <v>1000</v>
      </c>
      <c r="BZ24" s="49"/>
      <c r="CB24" s="49"/>
      <c r="CD24" s="107">
        <v>1000</v>
      </c>
      <c r="CW24" s="49"/>
      <c r="CY24" s="49"/>
      <c r="DA24" s="107">
        <v>1000</v>
      </c>
      <c r="DR24" s="49"/>
      <c r="DT24" s="49"/>
      <c r="DU24" s="117"/>
      <c r="DV24" s="107">
        <v>1000</v>
      </c>
      <c r="EM24" s="49"/>
      <c r="EO24" s="49"/>
      <c r="EQ24" s="107">
        <v>1000</v>
      </c>
      <c r="FH24" s="49"/>
      <c r="FJ24" s="49"/>
      <c r="FL24" s="107">
        <v>1000</v>
      </c>
      <c r="GC24" s="49"/>
      <c r="GE24" s="49"/>
      <c r="GG24" s="107">
        <v>1000</v>
      </c>
      <c r="GX24" s="49"/>
      <c r="GZ24" s="49"/>
      <c r="HB24" s="107">
        <v>1000</v>
      </c>
      <c r="HS24" s="49"/>
      <c r="HU24" s="49"/>
      <c r="HW24" s="107">
        <v>1000</v>
      </c>
      <c r="IN24" s="49"/>
      <c r="IP24" s="49"/>
      <c r="IR24" s="107">
        <v>1000</v>
      </c>
      <c r="JI24" s="49"/>
      <c r="JK24" s="49"/>
      <c r="JM24" s="107">
        <v>1000</v>
      </c>
      <c r="KD24" s="49"/>
      <c r="KF24" s="49"/>
      <c r="KH24" s="107">
        <v>1000</v>
      </c>
      <c r="KY24" s="49"/>
      <c r="LA24" s="49"/>
      <c r="LC24" s="107">
        <v>1000</v>
      </c>
      <c r="LT24" s="49"/>
      <c r="LV24" s="49"/>
      <c r="LX24" s="107">
        <v>1000</v>
      </c>
    </row>
    <row r="25" spans="1:336" hidden="1" x14ac:dyDescent="0.2">
      <c r="A25" s="49"/>
      <c r="B25" s="66" t="s">
        <v>34</v>
      </c>
      <c r="C25" s="48"/>
      <c r="AH25" s="49"/>
      <c r="AJ25" s="49"/>
      <c r="AK25" s="117"/>
      <c r="AL25" s="60">
        <v>1000</v>
      </c>
      <c r="BD25" s="49"/>
      <c r="BF25" s="49"/>
      <c r="BG25" s="117"/>
      <c r="BH25" s="60">
        <v>1000</v>
      </c>
      <c r="BZ25" s="49"/>
      <c r="CB25" s="49"/>
      <c r="CD25" s="60">
        <v>1000</v>
      </c>
      <c r="CW25" s="49"/>
      <c r="CY25" s="49"/>
      <c r="DA25" s="60">
        <v>1000</v>
      </c>
      <c r="DR25" s="49"/>
      <c r="DT25" s="49"/>
      <c r="DV25" s="60">
        <v>1000</v>
      </c>
      <c r="EM25" s="49"/>
      <c r="EO25" s="49"/>
      <c r="EQ25" s="60">
        <v>1000</v>
      </c>
      <c r="FH25" s="49"/>
      <c r="FJ25" s="49"/>
      <c r="FL25" s="60">
        <v>1000</v>
      </c>
      <c r="GC25" s="49"/>
      <c r="GE25" s="49"/>
      <c r="GG25" s="60">
        <v>1000</v>
      </c>
      <c r="GX25" s="49"/>
      <c r="GZ25" s="49"/>
      <c r="HB25" s="60">
        <v>1000</v>
      </c>
      <c r="HS25" s="49"/>
      <c r="HU25" s="49"/>
      <c r="HW25" s="60">
        <v>1000</v>
      </c>
      <c r="IN25" s="49"/>
      <c r="IP25" s="49"/>
      <c r="IR25" s="60">
        <v>1000</v>
      </c>
      <c r="JI25" s="49"/>
      <c r="JK25" s="49"/>
      <c r="JM25" s="60">
        <v>1000</v>
      </c>
      <c r="KD25" s="49"/>
      <c r="KF25" s="49"/>
      <c r="KH25" s="60">
        <v>1000</v>
      </c>
      <c r="KY25" s="49"/>
      <c r="LA25" s="49"/>
      <c r="LC25" s="60">
        <v>1000</v>
      </c>
      <c r="LT25" s="49"/>
      <c r="LV25" s="49"/>
      <c r="LX25" s="60">
        <v>1000</v>
      </c>
    </row>
    <row r="26" spans="1:336" x14ac:dyDescent="0.2">
      <c r="B26" s="74" t="s">
        <v>53</v>
      </c>
      <c r="C26" s="2"/>
      <c r="AH26" s="49"/>
      <c r="AJ26" s="49"/>
      <c r="BD26" s="49"/>
      <c r="BF26" s="49"/>
      <c r="BZ26" s="49"/>
      <c r="CB26" s="49"/>
      <c r="CW26" s="49"/>
      <c r="CX26" s="6"/>
      <c r="CY26" s="49"/>
      <c r="DR26" s="49"/>
      <c r="DT26" s="49"/>
      <c r="EM26" s="49"/>
      <c r="EO26" s="49"/>
      <c r="FH26" s="49"/>
      <c r="FJ26" s="49"/>
      <c r="GC26" s="49"/>
      <c r="GE26" s="49"/>
      <c r="GX26" s="49"/>
      <c r="GZ26" s="49"/>
      <c r="HS26" s="49"/>
      <c r="HU26" s="49"/>
      <c r="IN26" s="49"/>
      <c r="IP26" s="49"/>
      <c r="JI26" s="49"/>
      <c r="JK26" s="49"/>
      <c r="KD26" s="49"/>
      <c r="KE26" s="6"/>
      <c r="KF26" s="49"/>
      <c r="KY26" s="49"/>
      <c r="LA26" s="49"/>
      <c r="LT26" s="49"/>
      <c r="LV26" s="49"/>
    </row>
    <row r="27" spans="1:336" x14ac:dyDescent="0.2">
      <c r="A27" s="49"/>
      <c r="B27" s="49"/>
      <c r="C27" s="48"/>
      <c r="AH27" s="49"/>
      <c r="AJ27" s="49"/>
      <c r="BD27" s="49"/>
      <c r="BF27" s="49"/>
      <c r="BZ27" s="49"/>
      <c r="CB27" s="49"/>
      <c r="CW27" s="49"/>
      <c r="CY27" s="49"/>
      <c r="DR27" s="49"/>
      <c r="DT27" s="49"/>
      <c r="EM27" s="49"/>
      <c r="EO27" s="49"/>
      <c r="FH27" s="49"/>
      <c r="FJ27" s="49"/>
      <c r="GC27" s="49"/>
      <c r="GE27" s="49"/>
      <c r="GX27" s="49"/>
      <c r="GZ27" s="49"/>
      <c r="HS27" s="49"/>
      <c r="HU27" s="49"/>
      <c r="IN27" s="49"/>
      <c r="IP27" s="49"/>
      <c r="JI27" s="49"/>
      <c r="JK27" s="49"/>
      <c r="KD27" s="49"/>
      <c r="KF27" s="49"/>
      <c r="KY27" s="49"/>
      <c r="LA27" s="49"/>
      <c r="LT27" s="49"/>
      <c r="LV27" s="49"/>
    </row>
    <row r="28" spans="1:336" x14ac:dyDescent="0.2">
      <c r="A28" s="49"/>
      <c r="B28" s="49"/>
      <c r="C28" s="48"/>
      <c r="AH28" s="49"/>
      <c r="AJ28" s="49"/>
      <c r="BD28" s="49"/>
      <c r="BF28" s="49"/>
      <c r="BZ28" s="49"/>
      <c r="CB28" s="49"/>
      <c r="CW28" s="49"/>
      <c r="CY28" s="49"/>
      <c r="DR28" s="49"/>
      <c r="DT28" s="49"/>
      <c r="EM28" s="49"/>
      <c r="EO28" s="49"/>
      <c r="FH28" s="49"/>
      <c r="FJ28" s="49"/>
      <c r="GC28" s="49"/>
      <c r="GE28" s="49"/>
      <c r="GX28" s="49"/>
      <c r="GZ28" s="49"/>
      <c r="HS28" s="49"/>
      <c r="HU28" s="49"/>
      <c r="IN28" s="49"/>
      <c r="IP28" s="49"/>
      <c r="JI28" s="49"/>
      <c r="JK28" s="49"/>
      <c r="KD28" s="49"/>
      <c r="KF28" s="49"/>
      <c r="KY28" s="49"/>
      <c r="LA28" s="49"/>
      <c r="LT28" s="49"/>
      <c r="LV28" s="49"/>
    </row>
    <row r="29" spans="1:336" x14ac:dyDescent="0.2">
      <c r="A29" s="49"/>
      <c r="B29" s="49"/>
      <c r="C29" s="48"/>
    </row>
  </sheetData>
  <sheetProtection sheet="1" formatCells="0" formatColumns="0" formatRows="0"/>
  <autoFilter ref="A1:MT5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5">
      <sortCondition descending="1" ref="F1:F16"/>
    </sortState>
  </autoFilter>
  <mergeCells count="97">
    <mergeCell ref="LD1:LX1"/>
    <mergeCell ref="JN1:KH1"/>
    <mergeCell ref="IS1:JM1"/>
    <mergeCell ref="HX1:IR1"/>
    <mergeCell ref="HC1:HW1"/>
    <mergeCell ref="KI1:LC1"/>
    <mergeCell ref="BI1:CD1"/>
    <mergeCell ref="BI2:BL2"/>
    <mergeCell ref="BM2:BP2"/>
    <mergeCell ref="BQ2:BT2"/>
    <mergeCell ref="BU2:BX2"/>
    <mergeCell ref="F1:F3"/>
    <mergeCell ref="A1:A3"/>
    <mergeCell ref="B1:B3"/>
    <mergeCell ref="C1:C3"/>
    <mergeCell ref="D1:D3"/>
    <mergeCell ref="E1:E3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CE1:CF1"/>
    <mergeCell ref="CG1:DA1"/>
    <mergeCell ref="DB1:DV1"/>
    <mergeCell ref="DW1:EQ1"/>
    <mergeCell ref="ER1:FL1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KU2:KX2"/>
    <mergeCell ref="LD2:LG2"/>
    <mergeCell ref="LH2:LK2"/>
    <mergeCell ref="LL2:LO2"/>
    <mergeCell ref="LP2:LS2"/>
    <mergeCell ref="LY1:MT1"/>
    <mergeCell ref="LY2:MB2"/>
    <mergeCell ref="MC2:MF2"/>
    <mergeCell ref="MG2:MJ2"/>
    <mergeCell ref="MK2:MN2"/>
  </mergeCells>
  <conditionalFormatting sqref="AM4:BH15">
    <cfRule type="expression" dxfId="19" priority="2" stopIfTrue="1">
      <formula>IF($BC4&lt;&gt;"",1,0)</formula>
    </cfRule>
  </conditionalFormatting>
  <conditionalFormatting sqref="Q4:AL15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15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3805" operator="between">
      <formula>AL$21</formula>
      <formula>1000</formula>
    </cfRule>
    <cfRule type="cellIs" dxfId="6" priority="43806" operator="between">
      <formula>AL$20</formula>
      <formula>AL$21</formula>
    </cfRule>
    <cfRule type="cellIs" dxfId="5" priority="43807" operator="between">
      <formula>AL$19</formula>
      <formula>AL$20</formula>
    </cfRule>
    <cfRule type="cellIs" dxfId="4" priority="43808" operator="between">
      <formula>AL$18</formula>
      <formula>AL$19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3985" operator="between">
      <formula>AL$25</formula>
      <formula>1000</formula>
    </cfRule>
    <cfRule type="cellIs" dxfId="2" priority="43986" operator="between">
      <formula>AL$24</formula>
      <formula>AL$25</formula>
    </cfRule>
    <cfRule type="cellIs" dxfId="1" priority="43987" operator="between">
      <formula>AL$23</formula>
      <formula>AL$24</formula>
    </cfRule>
    <cfRule type="cellIs" dxfId="0" priority="43988" operator="between">
      <formula>AL$22</formula>
      <formula>AL$23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2021-03-17T18:27:03Z</dcterms:modified>
</cp:coreProperties>
</file>