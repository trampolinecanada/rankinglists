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75952EDA-967A-3741-B71B-CF1BC09BCF64}" xr6:coauthVersionLast="47" xr6:coauthVersionMax="47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14" r:id="rId3"/>
    <sheet name="TUM-M" sheetId="7" r:id="rId4"/>
    <sheet name="TUM-W" sheetId="8" r:id="rId5"/>
    <sheet name="DMT-M" sheetId="6" r:id="rId6"/>
    <sheet name="DMT-W" sheetId="12" r:id="rId7"/>
  </sheets>
  <definedNames>
    <definedName name="_xlnm._FilterDatabase" localSheetId="5" hidden="1">'DMT-M'!$A$1:$MT$10</definedName>
    <definedName name="_xlnm._FilterDatabase" localSheetId="6" hidden="1">'DMT-W'!$A$1:$MT$5</definedName>
    <definedName name="_xlnm._FilterDatabase" localSheetId="1" hidden="1">'TRA-M'!$A$1:$OQ$10</definedName>
    <definedName name="_xlnm._FilterDatabase" localSheetId="2" hidden="1">'TRA-W'!$A$1:$OQ$9</definedName>
    <definedName name="_xlnm._FilterDatabase" localSheetId="3" hidden="1">'TUM-M'!$A$1:$MT$5</definedName>
    <definedName name="_xlnm._FilterDatabase" localSheetId="4" hidden="1">'TUM-W'!$A$1:$MT$6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H21" i="12" l="1"/>
  <c r="AI21" i="12"/>
  <c r="AJ21" i="12"/>
  <c r="AK21" i="12"/>
  <c r="BD21" i="12"/>
  <c r="BE21" i="12"/>
  <c r="BF21" i="12"/>
  <c r="BG21" i="12"/>
  <c r="BH21" i="12" s="1"/>
  <c r="BZ21" i="12"/>
  <c r="CA21" i="12"/>
  <c r="CB21" i="12"/>
  <c r="CC21" i="12"/>
  <c r="CW21" i="12"/>
  <c r="CX21" i="12"/>
  <c r="CY21" i="12"/>
  <c r="CZ21" i="12"/>
  <c r="DR21" i="12"/>
  <c r="DS21" i="12"/>
  <c r="DT21" i="12"/>
  <c r="DU21" i="12"/>
  <c r="DV21" i="12" s="1"/>
  <c r="EM21" i="12"/>
  <c r="EN21" i="12"/>
  <c r="EO21" i="12"/>
  <c r="EP21" i="12"/>
  <c r="FH21" i="12"/>
  <c r="FI21" i="12"/>
  <c r="FJ21" i="12"/>
  <c r="FK21" i="12"/>
  <c r="GC21" i="12"/>
  <c r="GD21" i="12"/>
  <c r="GE21" i="12"/>
  <c r="GF21" i="12"/>
  <c r="GG21" i="12" s="1"/>
  <c r="GX21" i="12"/>
  <c r="GY21" i="12"/>
  <c r="GZ21" i="12"/>
  <c r="HA21" i="12"/>
  <c r="HS21" i="12"/>
  <c r="HT21" i="12"/>
  <c r="HU21" i="12"/>
  <c r="HV21" i="12"/>
  <c r="IN21" i="12"/>
  <c r="IO21" i="12"/>
  <c r="IP21" i="12"/>
  <c r="IQ21" i="12"/>
  <c r="IR21" i="12" s="1"/>
  <c r="JI21" i="12"/>
  <c r="JJ21" i="12"/>
  <c r="JK21" i="12"/>
  <c r="JL21" i="12"/>
  <c r="KD21" i="12"/>
  <c r="KE21" i="12"/>
  <c r="KF21" i="12"/>
  <c r="KG21" i="12"/>
  <c r="KH21" i="12" s="1"/>
  <c r="KY21" i="12"/>
  <c r="KZ21" i="12"/>
  <c r="LA21" i="12"/>
  <c r="LB21" i="12"/>
  <c r="LT21" i="12"/>
  <c r="LU21" i="12"/>
  <c r="LV21" i="12"/>
  <c r="LW21" i="12"/>
  <c r="LY21" i="12"/>
  <c r="LZ21" i="12"/>
  <c r="MA21" i="12"/>
  <c r="MB21" i="12"/>
  <c r="MC21" i="12"/>
  <c r="MD21" i="12"/>
  <c r="ME21" i="12"/>
  <c r="MF21" i="12"/>
  <c r="MG21" i="12"/>
  <c r="MH21" i="12"/>
  <c r="MI21" i="12"/>
  <c r="MJ21" i="12"/>
  <c r="MK21" i="12"/>
  <c r="ML21" i="12"/>
  <c r="MM21" i="12"/>
  <c r="MN21" i="12"/>
  <c r="AH20" i="12"/>
  <c r="AI20" i="12"/>
  <c r="AJ20" i="12"/>
  <c r="AK20" i="12"/>
  <c r="BD20" i="12"/>
  <c r="BE20" i="12"/>
  <c r="BF20" i="12"/>
  <c r="BG20" i="12"/>
  <c r="BH20" i="12" s="1"/>
  <c r="BZ20" i="12"/>
  <c r="CA20" i="12"/>
  <c r="CB20" i="12"/>
  <c r="CC20" i="12"/>
  <c r="CW20" i="12"/>
  <c r="CX20" i="12"/>
  <c r="CY20" i="12"/>
  <c r="CZ20" i="12"/>
  <c r="DR20" i="12"/>
  <c r="DS20" i="12"/>
  <c r="DT20" i="12"/>
  <c r="DU20" i="12"/>
  <c r="EM20" i="12"/>
  <c r="EN20" i="12"/>
  <c r="EO20" i="12"/>
  <c r="EP20" i="12"/>
  <c r="FH20" i="12"/>
  <c r="FI20" i="12"/>
  <c r="FJ20" i="12"/>
  <c r="FK20" i="12"/>
  <c r="GC20" i="12"/>
  <c r="GD20" i="12"/>
  <c r="GE20" i="12"/>
  <c r="GF20" i="12"/>
  <c r="GX20" i="12"/>
  <c r="GY20" i="12"/>
  <c r="GZ20" i="12"/>
  <c r="HA20" i="12"/>
  <c r="HS20" i="12"/>
  <c r="HT20" i="12"/>
  <c r="HU20" i="12"/>
  <c r="HV20" i="12"/>
  <c r="IN20" i="12"/>
  <c r="IO20" i="12"/>
  <c r="IP20" i="12"/>
  <c r="IQ20" i="12"/>
  <c r="JI20" i="12"/>
  <c r="JJ20" i="12"/>
  <c r="JK20" i="12"/>
  <c r="JL20" i="12"/>
  <c r="KD20" i="12"/>
  <c r="KE20" i="12"/>
  <c r="KF20" i="12"/>
  <c r="KG20" i="12"/>
  <c r="KY20" i="12"/>
  <c r="KZ20" i="12"/>
  <c r="LA20" i="12"/>
  <c r="LB20" i="12"/>
  <c r="LT20" i="12"/>
  <c r="LU20" i="12"/>
  <c r="LV20" i="12"/>
  <c r="LW20" i="12"/>
  <c r="LY20" i="12"/>
  <c r="LZ20" i="12"/>
  <c r="MA20" i="12"/>
  <c r="MB20" i="12"/>
  <c r="MC20" i="12"/>
  <c r="MD20" i="12"/>
  <c r="ME20" i="12"/>
  <c r="MF20" i="12"/>
  <c r="MG20" i="12"/>
  <c r="MH20" i="12"/>
  <c r="MI20" i="12"/>
  <c r="MJ20" i="12"/>
  <c r="MK20" i="12"/>
  <c r="ML20" i="12"/>
  <c r="MM20" i="12"/>
  <c r="MN20" i="12"/>
  <c r="AH16" i="6"/>
  <c r="AI16" i="6"/>
  <c r="AJ16" i="6"/>
  <c r="AK16" i="6"/>
  <c r="BD16" i="6"/>
  <c r="BE16" i="6"/>
  <c r="BF16" i="6"/>
  <c r="BG16" i="6"/>
  <c r="BH16" i="6" s="1"/>
  <c r="BZ16" i="6"/>
  <c r="CA16" i="6"/>
  <c r="CD16" i="6" s="1"/>
  <c r="CB16" i="6"/>
  <c r="CC16" i="6"/>
  <c r="CW16" i="6"/>
  <c r="CX16" i="6"/>
  <c r="CY16" i="6"/>
  <c r="CZ16" i="6"/>
  <c r="DR16" i="6"/>
  <c r="DS16" i="6"/>
  <c r="DV16" i="6" s="1"/>
  <c r="DT16" i="6"/>
  <c r="DU16" i="6"/>
  <c r="EM16" i="6"/>
  <c r="EN16" i="6"/>
  <c r="EO16" i="6"/>
  <c r="EP16" i="6"/>
  <c r="FH16" i="6"/>
  <c r="FI16" i="6"/>
  <c r="FJ16" i="6"/>
  <c r="FK16" i="6"/>
  <c r="GC16" i="6"/>
  <c r="GD16" i="6"/>
  <c r="GE16" i="6"/>
  <c r="GF16" i="6"/>
  <c r="GX16" i="6"/>
  <c r="GY16" i="6"/>
  <c r="GZ16" i="6"/>
  <c r="HA16" i="6"/>
  <c r="HS16" i="6"/>
  <c r="HT16" i="6"/>
  <c r="HU16" i="6"/>
  <c r="HV16" i="6"/>
  <c r="IN16" i="6"/>
  <c r="IO16" i="6"/>
  <c r="IP16" i="6"/>
  <c r="IQ16" i="6"/>
  <c r="JI16" i="6"/>
  <c r="JJ16" i="6"/>
  <c r="JK16" i="6"/>
  <c r="JL16" i="6"/>
  <c r="KD16" i="6"/>
  <c r="KE16" i="6"/>
  <c r="KH16" i="6" s="1"/>
  <c r="KF16" i="6"/>
  <c r="KG16" i="6"/>
  <c r="KY16" i="6"/>
  <c r="KZ16" i="6"/>
  <c r="LA16" i="6"/>
  <c r="LB16" i="6"/>
  <c r="LT16" i="6"/>
  <c r="LU16" i="6"/>
  <c r="LV16" i="6"/>
  <c r="LW16" i="6"/>
  <c r="LY16" i="6"/>
  <c r="LZ16" i="6"/>
  <c r="MA16" i="6"/>
  <c r="MB16" i="6"/>
  <c r="MC16" i="6"/>
  <c r="MD16" i="6"/>
  <c r="ME16" i="6"/>
  <c r="MF16" i="6"/>
  <c r="MG16" i="6"/>
  <c r="MH16" i="6"/>
  <c r="MI16" i="6"/>
  <c r="MJ16" i="6"/>
  <c r="MK16" i="6"/>
  <c r="ML16" i="6"/>
  <c r="MM16" i="6"/>
  <c r="MN16" i="6"/>
  <c r="AH13" i="6"/>
  <c r="AI13" i="6"/>
  <c r="AJ13" i="6"/>
  <c r="AK13" i="6"/>
  <c r="BD13" i="6"/>
  <c r="BE13" i="6"/>
  <c r="BF13" i="6"/>
  <c r="BG13" i="6"/>
  <c r="BH13" i="6" s="1"/>
  <c r="BZ13" i="6"/>
  <c r="CA13" i="6"/>
  <c r="CB13" i="6"/>
  <c r="CC13" i="6"/>
  <c r="CW13" i="6"/>
  <c r="CX13" i="6"/>
  <c r="CY13" i="6"/>
  <c r="CZ13" i="6"/>
  <c r="DR13" i="6"/>
  <c r="DS13" i="6"/>
  <c r="DT13" i="6"/>
  <c r="DU13" i="6"/>
  <c r="EM13" i="6"/>
  <c r="EN13" i="6"/>
  <c r="EO13" i="6"/>
  <c r="EP13" i="6"/>
  <c r="FH13" i="6"/>
  <c r="FI13" i="6"/>
  <c r="FJ13" i="6"/>
  <c r="FK13" i="6"/>
  <c r="GC13" i="6"/>
  <c r="GD13" i="6"/>
  <c r="GE13" i="6"/>
  <c r="GF13" i="6"/>
  <c r="GX13" i="6"/>
  <c r="GY13" i="6"/>
  <c r="GZ13" i="6"/>
  <c r="HA13" i="6"/>
  <c r="HB13" i="6" s="1"/>
  <c r="HS13" i="6"/>
  <c r="HT13" i="6"/>
  <c r="HU13" i="6"/>
  <c r="HV13" i="6"/>
  <c r="IN13" i="6"/>
  <c r="IO13" i="6"/>
  <c r="IP13" i="6"/>
  <c r="IQ13" i="6"/>
  <c r="IR13" i="6" s="1"/>
  <c r="JI13" i="6"/>
  <c r="JJ13" i="6"/>
  <c r="JM13" i="6" s="1"/>
  <c r="JK13" i="6"/>
  <c r="JL13" i="6"/>
  <c r="KD13" i="6"/>
  <c r="KE13" i="6"/>
  <c r="KF13" i="6"/>
  <c r="KG13" i="6"/>
  <c r="KY13" i="6"/>
  <c r="KZ13" i="6"/>
  <c r="LA13" i="6"/>
  <c r="LB13" i="6"/>
  <c r="LT13" i="6"/>
  <c r="LU13" i="6"/>
  <c r="LV13" i="6"/>
  <c r="LW13" i="6"/>
  <c r="LY13" i="6"/>
  <c r="LZ13" i="6"/>
  <c r="MA13" i="6"/>
  <c r="MB13" i="6"/>
  <c r="MC13" i="6"/>
  <c r="MD13" i="6"/>
  <c r="ME13" i="6"/>
  <c r="MF13" i="6"/>
  <c r="MG13" i="6"/>
  <c r="MH13" i="6"/>
  <c r="MI13" i="6"/>
  <c r="MJ13" i="6"/>
  <c r="MK13" i="6"/>
  <c r="ML13" i="6"/>
  <c r="MM13" i="6"/>
  <c r="MN13" i="6"/>
  <c r="AH21" i="6"/>
  <c r="AI21" i="6"/>
  <c r="AJ21" i="6"/>
  <c r="AK21" i="6"/>
  <c r="BD21" i="6"/>
  <c r="BE21" i="6"/>
  <c r="BF21" i="6"/>
  <c r="BG21" i="6"/>
  <c r="BZ21" i="6"/>
  <c r="CA21" i="6"/>
  <c r="CB21" i="6"/>
  <c r="CC21" i="6"/>
  <c r="CW21" i="6"/>
  <c r="CX21" i="6"/>
  <c r="CY21" i="6"/>
  <c r="CZ21" i="6"/>
  <c r="DR21" i="6"/>
  <c r="DS21" i="6"/>
  <c r="DT21" i="6"/>
  <c r="DU21" i="6"/>
  <c r="EM21" i="6"/>
  <c r="EN21" i="6"/>
  <c r="EO21" i="6"/>
  <c r="EP21" i="6"/>
  <c r="FH21" i="6"/>
  <c r="FI21" i="6"/>
  <c r="FJ21" i="6"/>
  <c r="FK21" i="6"/>
  <c r="GC21" i="6"/>
  <c r="GD21" i="6"/>
  <c r="GE21" i="6"/>
  <c r="GF21" i="6"/>
  <c r="GX21" i="6"/>
  <c r="GY21" i="6"/>
  <c r="GZ21" i="6"/>
  <c r="HA21" i="6"/>
  <c r="HS21" i="6"/>
  <c r="HT21" i="6"/>
  <c r="HU21" i="6"/>
  <c r="HV21" i="6"/>
  <c r="IN21" i="6"/>
  <c r="IO21" i="6"/>
  <c r="IP21" i="6"/>
  <c r="IQ21" i="6"/>
  <c r="JI21" i="6"/>
  <c r="JJ21" i="6"/>
  <c r="JK21" i="6"/>
  <c r="JL21" i="6"/>
  <c r="KD21" i="6"/>
  <c r="KE21" i="6"/>
  <c r="KF21" i="6"/>
  <c r="KG21" i="6"/>
  <c r="KH21" i="6" s="1"/>
  <c r="KY21" i="6"/>
  <c r="KZ21" i="6"/>
  <c r="LA21" i="6"/>
  <c r="LB21" i="6"/>
  <c r="LT21" i="6"/>
  <c r="LU21" i="6"/>
  <c r="LV21" i="6"/>
  <c r="LW21" i="6"/>
  <c r="LY21" i="6"/>
  <c r="LZ21" i="6"/>
  <c r="MA21" i="6"/>
  <c r="MB21" i="6"/>
  <c r="MC21" i="6"/>
  <c r="MD21" i="6"/>
  <c r="ME21" i="6"/>
  <c r="MF21" i="6"/>
  <c r="MG21" i="6"/>
  <c r="MH21" i="6"/>
  <c r="MI21" i="6"/>
  <c r="MJ21" i="6"/>
  <c r="MK21" i="6"/>
  <c r="ML21" i="6"/>
  <c r="MM21" i="6"/>
  <c r="MN21" i="6"/>
  <c r="AH15" i="6"/>
  <c r="AI15" i="6"/>
  <c r="AJ15" i="6"/>
  <c r="AK15" i="6"/>
  <c r="BD15" i="6"/>
  <c r="BE15" i="6"/>
  <c r="BF15" i="6"/>
  <c r="BG15" i="6"/>
  <c r="BZ15" i="6"/>
  <c r="CA15" i="6"/>
  <c r="CB15" i="6"/>
  <c r="CC15" i="6"/>
  <c r="CW15" i="6"/>
  <c r="CX15" i="6"/>
  <c r="CY15" i="6"/>
  <c r="CZ15" i="6"/>
  <c r="DR15" i="6"/>
  <c r="DS15" i="6"/>
  <c r="DT15" i="6"/>
  <c r="DU15" i="6"/>
  <c r="EM15" i="6"/>
  <c r="EN15" i="6"/>
  <c r="EO15" i="6"/>
  <c r="EP15" i="6"/>
  <c r="EQ15" i="6" s="1"/>
  <c r="FH15" i="6"/>
  <c r="FI15" i="6"/>
  <c r="FJ15" i="6"/>
  <c r="FK15" i="6"/>
  <c r="GC15" i="6"/>
  <c r="GD15" i="6"/>
  <c r="GE15" i="6"/>
  <c r="GF15" i="6"/>
  <c r="GX15" i="6"/>
  <c r="GY15" i="6"/>
  <c r="GZ15" i="6"/>
  <c r="HA15" i="6"/>
  <c r="HS15" i="6"/>
  <c r="HT15" i="6"/>
  <c r="HU15" i="6"/>
  <c r="HV15" i="6"/>
  <c r="IN15" i="6"/>
  <c r="IO15" i="6"/>
  <c r="IP15" i="6"/>
  <c r="IQ15" i="6"/>
  <c r="JI15" i="6"/>
  <c r="JJ15" i="6"/>
  <c r="JK15" i="6"/>
  <c r="JL15" i="6"/>
  <c r="KD15" i="6"/>
  <c r="KE15" i="6"/>
  <c r="KF15" i="6"/>
  <c r="KG15" i="6"/>
  <c r="KY15" i="6"/>
  <c r="KZ15" i="6"/>
  <c r="LA15" i="6"/>
  <c r="LB15" i="6"/>
  <c r="LT15" i="6"/>
  <c r="LU15" i="6"/>
  <c r="LV15" i="6"/>
  <c r="LW15" i="6"/>
  <c r="LY15" i="6"/>
  <c r="LZ15" i="6"/>
  <c r="MA15" i="6"/>
  <c r="MB15" i="6"/>
  <c r="MC15" i="6"/>
  <c r="MD15" i="6"/>
  <c r="ME15" i="6"/>
  <c r="MF15" i="6"/>
  <c r="MG15" i="6"/>
  <c r="MH15" i="6"/>
  <c r="MI15" i="6"/>
  <c r="MJ15" i="6"/>
  <c r="MK15" i="6"/>
  <c r="ML15" i="6"/>
  <c r="MM15" i="6"/>
  <c r="MN15" i="6"/>
  <c r="AH12" i="8"/>
  <c r="AI12" i="8"/>
  <c r="AJ12" i="8"/>
  <c r="AK12" i="8"/>
  <c r="BD12" i="8"/>
  <c r="BE12" i="8"/>
  <c r="BF12" i="8"/>
  <c r="BG12" i="8"/>
  <c r="BZ12" i="8"/>
  <c r="CA12" i="8"/>
  <c r="CB12" i="8"/>
  <c r="CC12" i="8"/>
  <c r="CW12" i="8"/>
  <c r="CX12" i="8"/>
  <c r="CY12" i="8"/>
  <c r="CZ12" i="8"/>
  <c r="DR12" i="8"/>
  <c r="DS12" i="8"/>
  <c r="DT12" i="8"/>
  <c r="DU12" i="8"/>
  <c r="EM12" i="8"/>
  <c r="EN12" i="8"/>
  <c r="EQ12" i="8" s="1"/>
  <c r="EO12" i="8"/>
  <c r="EP12" i="8"/>
  <c r="FH12" i="8"/>
  <c r="FI12" i="8"/>
  <c r="FJ12" i="8"/>
  <c r="FK12" i="8"/>
  <c r="GC12" i="8"/>
  <c r="GD12" i="8"/>
  <c r="GE12" i="8"/>
  <c r="GF12" i="8"/>
  <c r="GX12" i="8"/>
  <c r="GY12" i="8"/>
  <c r="GZ12" i="8"/>
  <c r="HA12" i="8"/>
  <c r="HB12" i="8" s="1"/>
  <c r="HS12" i="8"/>
  <c r="HT12" i="8"/>
  <c r="HU12" i="8"/>
  <c r="HV12" i="8"/>
  <c r="IN12" i="8"/>
  <c r="IO12" i="8"/>
  <c r="IP12" i="8"/>
  <c r="IQ12" i="8"/>
  <c r="JI12" i="8"/>
  <c r="JJ12" i="8"/>
  <c r="JK12" i="8"/>
  <c r="JL12" i="8"/>
  <c r="KD12" i="8"/>
  <c r="KE12" i="8"/>
  <c r="KH12" i="8" s="1"/>
  <c r="KF12" i="8"/>
  <c r="KG12" i="8"/>
  <c r="KY12" i="8"/>
  <c r="KZ12" i="8"/>
  <c r="LA12" i="8"/>
  <c r="LB12" i="8"/>
  <c r="LT12" i="8"/>
  <c r="LU12" i="8"/>
  <c r="LV12" i="8"/>
  <c r="LW12" i="8"/>
  <c r="LY12" i="8"/>
  <c r="LZ12" i="8"/>
  <c r="MA12" i="8"/>
  <c r="MB12" i="8"/>
  <c r="MC12" i="8"/>
  <c r="MD12" i="8"/>
  <c r="ME12" i="8"/>
  <c r="MF12" i="8"/>
  <c r="MG12" i="8"/>
  <c r="MH12" i="8"/>
  <c r="MI12" i="8"/>
  <c r="MJ12" i="8"/>
  <c r="MK12" i="8"/>
  <c r="ML12" i="8"/>
  <c r="MM12" i="8"/>
  <c r="MN12" i="8"/>
  <c r="AH5" i="8"/>
  <c r="AI5" i="8"/>
  <c r="AJ5" i="8"/>
  <c r="AK5" i="8"/>
  <c r="BD5" i="8"/>
  <c r="BE5" i="8"/>
  <c r="BF5" i="8"/>
  <c r="BG5" i="8"/>
  <c r="BZ5" i="8"/>
  <c r="CA5" i="8"/>
  <c r="CB5" i="8"/>
  <c r="CC5" i="8"/>
  <c r="CW5" i="8"/>
  <c r="CX5" i="8"/>
  <c r="CY5" i="8"/>
  <c r="CZ5" i="8"/>
  <c r="DR5" i="8"/>
  <c r="DS5" i="8"/>
  <c r="DT5" i="8"/>
  <c r="DU5" i="8"/>
  <c r="EM5" i="8"/>
  <c r="EN5" i="8"/>
  <c r="EO5" i="8"/>
  <c r="EP5" i="8"/>
  <c r="FH5" i="8"/>
  <c r="FI5" i="8"/>
  <c r="FJ5" i="8"/>
  <c r="FK5" i="8"/>
  <c r="GC5" i="8"/>
  <c r="GD5" i="8"/>
  <c r="GE5" i="8"/>
  <c r="GF5" i="8"/>
  <c r="GX5" i="8"/>
  <c r="GY5" i="8"/>
  <c r="GZ5" i="8"/>
  <c r="HA5" i="8"/>
  <c r="HS5" i="8"/>
  <c r="HT5" i="8"/>
  <c r="HU5" i="8"/>
  <c r="HV5" i="8"/>
  <c r="IN5" i="8"/>
  <c r="IO5" i="8"/>
  <c r="IR5" i="8" s="1"/>
  <c r="IP5" i="8"/>
  <c r="IQ5" i="8"/>
  <c r="JI5" i="8"/>
  <c r="JJ5" i="8"/>
  <c r="JM5" i="8" s="1"/>
  <c r="JK5" i="8"/>
  <c r="JL5" i="8"/>
  <c r="KD5" i="8"/>
  <c r="KE5" i="8"/>
  <c r="KF5" i="8"/>
  <c r="KG5" i="8"/>
  <c r="KY5" i="8"/>
  <c r="KZ5" i="8"/>
  <c r="LC5" i="8" s="1"/>
  <c r="LA5" i="8"/>
  <c r="LB5" i="8"/>
  <c r="LT5" i="8"/>
  <c r="LU5" i="8"/>
  <c r="LV5" i="8"/>
  <c r="LW5" i="8"/>
  <c r="LY5" i="8"/>
  <c r="LZ5" i="8"/>
  <c r="MA5" i="8"/>
  <c r="MB5" i="8"/>
  <c r="MC5" i="8"/>
  <c r="MD5" i="8"/>
  <c r="ME5" i="8"/>
  <c r="MF5" i="8"/>
  <c r="MG5" i="8"/>
  <c r="MH5" i="8"/>
  <c r="MI5" i="8"/>
  <c r="MJ5" i="8"/>
  <c r="MK5" i="8"/>
  <c r="ML5" i="8"/>
  <c r="MM5" i="8"/>
  <c r="MN5" i="8"/>
  <c r="AH8" i="7"/>
  <c r="AI8" i="7"/>
  <c r="AJ8" i="7"/>
  <c r="AK8" i="7"/>
  <c r="BD8" i="7"/>
  <c r="BE8" i="7"/>
  <c r="BF8" i="7"/>
  <c r="BG8" i="7"/>
  <c r="BH8" i="7" s="1"/>
  <c r="BZ8" i="7"/>
  <c r="CA8" i="7"/>
  <c r="CB8" i="7"/>
  <c r="CC8" i="7"/>
  <c r="CW8" i="7"/>
  <c r="CX8" i="7"/>
  <c r="CY8" i="7"/>
  <c r="CZ8" i="7"/>
  <c r="DR8" i="7"/>
  <c r="DS8" i="7"/>
  <c r="DT8" i="7"/>
  <c r="DU8" i="7"/>
  <c r="EM8" i="7"/>
  <c r="EN8" i="7"/>
  <c r="EO8" i="7"/>
  <c r="EP8" i="7"/>
  <c r="FH8" i="7"/>
  <c r="FI8" i="7"/>
  <c r="FL8" i="7" s="1"/>
  <c r="FJ8" i="7"/>
  <c r="FK8" i="7"/>
  <c r="GC8" i="7"/>
  <c r="GD8" i="7"/>
  <c r="GE8" i="7"/>
  <c r="GF8" i="7"/>
  <c r="GX8" i="7"/>
  <c r="GY8" i="7"/>
  <c r="HB8" i="7" s="1"/>
  <c r="GZ8" i="7"/>
  <c r="HA8" i="7"/>
  <c r="HS8" i="7"/>
  <c r="HT8" i="7"/>
  <c r="HU8" i="7"/>
  <c r="HV8" i="7"/>
  <c r="IN8" i="7"/>
  <c r="IO8" i="7"/>
  <c r="IR8" i="7" s="1"/>
  <c r="IQ8" i="7"/>
  <c r="JI8" i="7"/>
  <c r="JJ8" i="7"/>
  <c r="JK8" i="7"/>
  <c r="JL8" i="7"/>
  <c r="KD8" i="7"/>
  <c r="KE8" i="7"/>
  <c r="KF8" i="7"/>
  <c r="KG8" i="7"/>
  <c r="KY8" i="7"/>
  <c r="KZ8" i="7"/>
  <c r="LA8" i="7"/>
  <c r="LB8" i="7"/>
  <c r="LC8" i="7"/>
  <c r="LT8" i="7"/>
  <c r="LU8" i="7"/>
  <c r="LV8" i="7"/>
  <c r="LW8" i="7"/>
  <c r="LY8" i="7"/>
  <c r="LZ8" i="7"/>
  <c r="MA8" i="7"/>
  <c r="MB8" i="7"/>
  <c r="MC8" i="7"/>
  <c r="MD8" i="7"/>
  <c r="ME8" i="7"/>
  <c r="MF8" i="7"/>
  <c r="MG8" i="7"/>
  <c r="MH8" i="7"/>
  <c r="MI8" i="7"/>
  <c r="MJ8" i="7"/>
  <c r="MK8" i="7"/>
  <c r="ML8" i="7"/>
  <c r="MM8" i="7"/>
  <c r="MN8" i="7"/>
  <c r="AH10" i="7"/>
  <c r="AI10" i="7"/>
  <c r="AJ10" i="7"/>
  <c r="AK10" i="7"/>
  <c r="BD10" i="7"/>
  <c r="BE10" i="7"/>
  <c r="BF10" i="7"/>
  <c r="BG10" i="7"/>
  <c r="BZ10" i="7"/>
  <c r="CA10" i="7"/>
  <c r="CB10" i="7"/>
  <c r="CC10" i="7"/>
  <c r="CW10" i="7"/>
  <c r="CX10" i="7"/>
  <c r="CY10" i="7"/>
  <c r="CZ10" i="7"/>
  <c r="DR10" i="7"/>
  <c r="DS10" i="7"/>
  <c r="DT10" i="7"/>
  <c r="DU10" i="7"/>
  <c r="EM10" i="7"/>
  <c r="EN10" i="7"/>
  <c r="EQ10" i="7" s="1"/>
  <c r="EO10" i="7"/>
  <c r="EP10" i="7"/>
  <c r="FH10" i="7"/>
  <c r="FI10" i="7"/>
  <c r="FJ10" i="7"/>
  <c r="FK10" i="7"/>
  <c r="GC10" i="7"/>
  <c r="GD10" i="7"/>
  <c r="GG10" i="7" s="1"/>
  <c r="GE10" i="7"/>
  <c r="GF10" i="7"/>
  <c r="GX10" i="7"/>
  <c r="GY10" i="7"/>
  <c r="GZ10" i="7"/>
  <c r="HA10" i="7"/>
  <c r="HS10" i="7"/>
  <c r="HT10" i="7"/>
  <c r="HW10" i="7" s="1"/>
  <c r="HU10" i="7"/>
  <c r="HV10" i="7"/>
  <c r="IN10" i="7"/>
  <c r="IO10" i="7"/>
  <c r="IQ10" i="7"/>
  <c r="IR10" i="7"/>
  <c r="JI10" i="7"/>
  <c r="JJ10" i="7"/>
  <c r="JM10" i="7" s="1"/>
  <c r="JK10" i="7"/>
  <c r="JL10" i="7"/>
  <c r="KD10" i="7"/>
  <c r="KE10" i="7"/>
  <c r="KF10" i="7"/>
  <c r="KG10" i="7"/>
  <c r="KH10" i="7" s="1"/>
  <c r="KY10" i="7"/>
  <c r="KZ10" i="7"/>
  <c r="LC10" i="7" s="1"/>
  <c r="LA10" i="7"/>
  <c r="LB10" i="7"/>
  <c r="LT10" i="7"/>
  <c r="LU10" i="7"/>
  <c r="LV10" i="7"/>
  <c r="LW10" i="7"/>
  <c r="LY10" i="7"/>
  <c r="LZ10" i="7"/>
  <c r="MA10" i="7"/>
  <c r="MB10" i="7"/>
  <c r="MC10" i="7"/>
  <c r="MD10" i="7"/>
  <c r="ME10" i="7"/>
  <c r="MF10" i="7"/>
  <c r="MG10" i="7"/>
  <c r="MH10" i="7"/>
  <c r="MI10" i="7"/>
  <c r="MJ10" i="7"/>
  <c r="MK10" i="7"/>
  <c r="ML10" i="7"/>
  <c r="MM10" i="7"/>
  <c r="MN10" i="7"/>
  <c r="AQ25" i="14"/>
  <c r="AR25" i="14"/>
  <c r="AS25" i="14"/>
  <c r="AT25" i="14"/>
  <c r="AU25" i="14"/>
  <c r="AW25" i="14"/>
  <c r="AX25" i="14"/>
  <c r="BU25" i="14"/>
  <c r="BZ25" i="14" s="1"/>
  <c r="CC25" i="14" s="1"/>
  <c r="BV25" i="14"/>
  <c r="BW25" i="14"/>
  <c r="BX25" i="14"/>
  <c r="BY25" i="14"/>
  <c r="CA25" i="14"/>
  <c r="CB25" i="14"/>
  <c r="CY25" i="14"/>
  <c r="CZ25" i="14"/>
  <c r="DA25" i="14"/>
  <c r="DB25" i="14"/>
  <c r="DC25" i="14"/>
  <c r="DE25" i="14"/>
  <c r="DF25" i="14"/>
  <c r="EA25" i="14"/>
  <c r="EB25" i="14"/>
  <c r="EC25" i="14"/>
  <c r="EE25" i="14"/>
  <c r="EF25" i="14"/>
  <c r="EW25" i="14"/>
  <c r="EX25" i="14"/>
  <c r="EY25" i="14"/>
  <c r="EZ25" i="14" s="1"/>
  <c r="FA25" i="14"/>
  <c r="FB25" i="14"/>
  <c r="FS25" i="14"/>
  <c r="FT25" i="14"/>
  <c r="FV25" i="14" s="1"/>
  <c r="FY25" i="14" s="1"/>
  <c r="FU25" i="14"/>
  <c r="FW25" i="14"/>
  <c r="FX25" i="14"/>
  <c r="GO25" i="14"/>
  <c r="GP25" i="14"/>
  <c r="GQ25" i="14"/>
  <c r="GS25" i="14"/>
  <c r="GT25" i="14"/>
  <c r="HK25" i="14"/>
  <c r="HL25" i="14"/>
  <c r="HM25" i="14"/>
  <c r="HO25" i="14"/>
  <c r="HP25" i="14"/>
  <c r="IG25" i="14"/>
  <c r="IH25" i="14"/>
  <c r="IJ25" i="14" s="1"/>
  <c r="IM25" i="14" s="1"/>
  <c r="II25" i="14"/>
  <c r="IK25" i="14"/>
  <c r="IL25" i="14"/>
  <c r="JC25" i="14"/>
  <c r="JD25" i="14"/>
  <c r="JE25" i="14"/>
  <c r="JG25" i="14"/>
  <c r="JH25" i="14"/>
  <c r="JY25" i="14"/>
  <c r="JZ25" i="14"/>
  <c r="KB25" i="14" s="1"/>
  <c r="KA25" i="14"/>
  <c r="KC25" i="14"/>
  <c r="KD25" i="14"/>
  <c r="KU25" i="14"/>
  <c r="KV25" i="14"/>
  <c r="KW25" i="14"/>
  <c r="KX25" i="14" s="1"/>
  <c r="LA25" i="14" s="1"/>
  <c r="KY25" i="14"/>
  <c r="KZ25" i="14"/>
  <c r="LQ25" i="14"/>
  <c r="LR25" i="14"/>
  <c r="LS25" i="14"/>
  <c r="LT25" i="14" s="1"/>
  <c r="LU25" i="14"/>
  <c r="LV25" i="14"/>
  <c r="MM25" i="14"/>
  <c r="MN25" i="14"/>
  <c r="MP25" i="14" s="1"/>
  <c r="MS25" i="14" s="1"/>
  <c r="MO25" i="14"/>
  <c r="MQ25" i="14"/>
  <c r="MR25" i="14"/>
  <c r="NI25" i="14"/>
  <c r="NJ25" i="14"/>
  <c r="NK25" i="14"/>
  <c r="NM25" i="14"/>
  <c r="NN25" i="14"/>
  <c r="NP25" i="14"/>
  <c r="NQ25" i="14"/>
  <c r="NR25" i="14"/>
  <c r="NS25" i="14"/>
  <c r="NT25" i="14"/>
  <c r="NU25" i="14"/>
  <c r="NV25" i="14"/>
  <c r="NW25" i="14"/>
  <c r="OL25" i="14" s="1"/>
  <c r="NX25" i="14"/>
  <c r="NY25" i="14"/>
  <c r="NZ25" i="14"/>
  <c r="OA25" i="14"/>
  <c r="OB25" i="14"/>
  <c r="OC25" i="14"/>
  <c r="OD25" i="14"/>
  <c r="OE25" i="14"/>
  <c r="OF25" i="14"/>
  <c r="OG25" i="14"/>
  <c r="OQ25" i="14" s="1"/>
  <c r="OH25" i="14"/>
  <c r="OI25" i="14"/>
  <c r="ON25" i="14"/>
  <c r="AQ26" i="14"/>
  <c r="AR26" i="14"/>
  <c r="AS26" i="14"/>
  <c r="AT26" i="14"/>
  <c r="AU26" i="14"/>
  <c r="AW26" i="14"/>
  <c r="AX26" i="14"/>
  <c r="BU26" i="14"/>
  <c r="BV26" i="14"/>
  <c r="BW26" i="14"/>
  <c r="BX26" i="14"/>
  <c r="BY26" i="14"/>
  <c r="CA26" i="14"/>
  <c r="CB26" i="14"/>
  <c r="CY26" i="14"/>
  <c r="CZ26" i="14"/>
  <c r="DA26" i="14"/>
  <c r="DB26" i="14"/>
  <c r="DC26" i="14"/>
  <c r="DE26" i="14"/>
  <c r="DF26" i="14"/>
  <c r="EA26" i="14"/>
  <c r="EB26" i="14"/>
  <c r="EC26" i="14"/>
  <c r="EE26" i="14"/>
  <c r="EF26" i="14"/>
  <c r="EW26" i="14"/>
  <c r="EX26" i="14"/>
  <c r="EY26" i="14"/>
  <c r="FA26" i="14"/>
  <c r="FB26" i="14"/>
  <c r="FS26" i="14"/>
  <c r="FT26" i="14"/>
  <c r="FU26" i="14"/>
  <c r="FW26" i="14"/>
  <c r="FX26" i="14"/>
  <c r="GO26" i="14"/>
  <c r="GP26" i="14"/>
  <c r="GQ26" i="14"/>
  <c r="GS26" i="14"/>
  <c r="GT26" i="14"/>
  <c r="HK26" i="14"/>
  <c r="HL26" i="14"/>
  <c r="HM26" i="14"/>
  <c r="HO26" i="14"/>
  <c r="HP26" i="14"/>
  <c r="IG26" i="14"/>
  <c r="IH26" i="14"/>
  <c r="II26" i="14"/>
  <c r="IK26" i="14"/>
  <c r="IL26" i="14"/>
  <c r="JC26" i="14"/>
  <c r="JD26" i="14"/>
  <c r="JE26" i="14"/>
  <c r="JG26" i="14"/>
  <c r="JH26" i="14"/>
  <c r="JY26" i="14"/>
  <c r="JZ26" i="14"/>
  <c r="KA26" i="14"/>
  <c r="KC26" i="14"/>
  <c r="KD26" i="14"/>
  <c r="KU26" i="14"/>
  <c r="KV26" i="14"/>
  <c r="KW26" i="14"/>
  <c r="KY26" i="14"/>
  <c r="KZ26" i="14"/>
  <c r="LQ26" i="14"/>
  <c r="LR26" i="14"/>
  <c r="LT26" i="14" s="1"/>
  <c r="LS26" i="14"/>
  <c r="LU26" i="14"/>
  <c r="LV26" i="14"/>
  <c r="MM26" i="14"/>
  <c r="MN26" i="14"/>
  <c r="MP26" i="14" s="1"/>
  <c r="MO26" i="14"/>
  <c r="MQ26" i="14"/>
  <c r="MR26" i="14"/>
  <c r="NI26" i="14"/>
  <c r="NJ26" i="14"/>
  <c r="NK26" i="14"/>
  <c r="NM26" i="14"/>
  <c r="NN26" i="14"/>
  <c r="NP26" i="14"/>
  <c r="NQ26" i="14"/>
  <c r="NR26" i="14"/>
  <c r="NS26" i="14"/>
  <c r="NT26" i="14"/>
  <c r="NU26" i="14"/>
  <c r="NV26" i="14"/>
  <c r="NW26" i="14"/>
  <c r="OL26" i="14" s="1"/>
  <c r="NX26" i="14"/>
  <c r="NY26" i="14"/>
  <c r="NZ26" i="14"/>
  <c r="OA26" i="14"/>
  <c r="OB26" i="14"/>
  <c r="OC26" i="14"/>
  <c r="OD26" i="14"/>
  <c r="OE26" i="14"/>
  <c r="OF26" i="14"/>
  <c r="OG26" i="14"/>
  <c r="OQ26" i="14" s="1"/>
  <c r="OH26" i="14"/>
  <c r="OI26" i="14"/>
  <c r="ON26" i="14"/>
  <c r="AQ24" i="14"/>
  <c r="AR24" i="14"/>
  <c r="AS24" i="14"/>
  <c r="AT24" i="14"/>
  <c r="AU24" i="14"/>
  <c r="AW24" i="14"/>
  <c r="AX24" i="14"/>
  <c r="BU24" i="14"/>
  <c r="BV24" i="14"/>
  <c r="BW24" i="14"/>
  <c r="BX24" i="14"/>
  <c r="BY24" i="14"/>
  <c r="CA24" i="14"/>
  <c r="CB24" i="14"/>
  <c r="CY24" i="14"/>
  <c r="CZ24" i="14"/>
  <c r="DA24" i="14"/>
  <c r="DB24" i="14"/>
  <c r="DC24" i="14"/>
  <c r="DE24" i="14"/>
  <c r="DF24" i="14"/>
  <c r="EA24" i="14"/>
  <c r="EB24" i="14"/>
  <c r="EC24" i="14"/>
  <c r="EE24" i="14"/>
  <c r="EF24" i="14"/>
  <c r="EW24" i="14"/>
  <c r="EX24" i="14"/>
  <c r="EY24" i="14"/>
  <c r="FA24" i="14"/>
  <c r="FB24" i="14"/>
  <c r="FS24" i="14"/>
  <c r="FT24" i="14"/>
  <c r="FU24" i="14"/>
  <c r="FW24" i="14"/>
  <c r="FX24" i="14"/>
  <c r="GO24" i="14"/>
  <c r="GP24" i="14"/>
  <c r="GQ24" i="14"/>
  <c r="GR24" i="14" s="1"/>
  <c r="GS24" i="14"/>
  <c r="GT24" i="14"/>
  <c r="HK24" i="14"/>
  <c r="HL24" i="14"/>
  <c r="HM24" i="14"/>
  <c r="HO24" i="14"/>
  <c r="HP24" i="14"/>
  <c r="IG24" i="14"/>
  <c r="IH24" i="14"/>
  <c r="II24" i="14"/>
  <c r="IK24" i="14"/>
  <c r="IL24" i="14"/>
  <c r="JC24" i="14"/>
  <c r="JD24" i="14"/>
  <c r="JE24" i="14"/>
  <c r="JG24" i="14"/>
  <c r="JH24" i="14"/>
  <c r="JY24" i="14"/>
  <c r="JZ24" i="14"/>
  <c r="KA24" i="14"/>
  <c r="KC24" i="14"/>
  <c r="KD24" i="14"/>
  <c r="KU24" i="14"/>
  <c r="KV24" i="14"/>
  <c r="KW24" i="14"/>
  <c r="KY24" i="14"/>
  <c r="KZ24" i="14"/>
  <c r="LQ24" i="14"/>
  <c r="LR24" i="14"/>
  <c r="LT24" i="14" s="1"/>
  <c r="LS24" i="14"/>
  <c r="LU24" i="14"/>
  <c r="LV24" i="14"/>
  <c r="MM24" i="14"/>
  <c r="MN24" i="14"/>
  <c r="MO24" i="14"/>
  <c r="MQ24" i="14"/>
  <c r="MR24" i="14"/>
  <c r="NI24" i="14"/>
  <c r="NJ24" i="14"/>
  <c r="NL24" i="14" s="1"/>
  <c r="NO24" i="14" s="1"/>
  <c r="NK24" i="14"/>
  <c r="NM24" i="14"/>
  <c r="NN24" i="14"/>
  <c r="NP24" i="14"/>
  <c r="NQ24" i="14"/>
  <c r="NR24" i="14"/>
  <c r="NS24" i="14"/>
  <c r="NT24" i="14"/>
  <c r="NU24" i="14"/>
  <c r="NV24" i="14"/>
  <c r="NW24" i="14"/>
  <c r="OL24" i="14" s="1"/>
  <c r="NX24" i="14"/>
  <c r="NY24" i="14"/>
  <c r="NZ24" i="14"/>
  <c r="OA24" i="14"/>
  <c r="OB24" i="14"/>
  <c r="ON24" i="14" s="1"/>
  <c r="OC24" i="14"/>
  <c r="OD24" i="14"/>
  <c r="OE24" i="14"/>
  <c r="OF24" i="14"/>
  <c r="OG24" i="14"/>
  <c r="OQ24" i="14" s="1"/>
  <c r="OH24" i="14"/>
  <c r="OI24" i="14"/>
  <c r="AQ23" i="14"/>
  <c r="AR23" i="14"/>
  <c r="AS23" i="14"/>
  <c r="AT23" i="14"/>
  <c r="AU23" i="14"/>
  <c r="AW23" i="14"/>
  <c r="AX23" i="14"/>
  <c r="BU23" i="14"/>
  <c r="BV23" i="14"/>
  <c r="BW23" i="14"/>
  <c r="BX23" i="14"/>
  <c r="BY23" i="14"/>
  <c r="CA23" i="14"/>
  <c r="CB23" i="14"/>
  <c r="CY23" i="14"/>
  <c r="CZ23" i="14"/>
  <c r="DA23" i="14"/>
  <c r="DB23" i="14"/>
  <c r="DC23" i="14"/>
  <c r="DE23" i="14"/>
  <c r="DF23" i="14"/>
  <c r="EA23" i="14"/>
  <c r="EB23" i="14"/>
  <c r="EC23" i="14"/>
  <c r="EE23" i="14"/>
  <c r="EF23" i="14"/>
  <c r="EW23" i="14"/>
  <c r="EX23" i="14"/>
  <c r="EY23" i="14"/>
  <c r="FA23" i="14"/>
  <c r="FB23" i="14"/>
  <c r="FS23" i="14"/>
  <c r="FT23" i="14"/>
  <c r="FU23" i="14"/>
  <c r="FW23" i="14"/>
  <c r="FX23" i="14"/>
  <c r="GO23" i="14"/>
  <c r="GP23" i="14"/>
  <c r="GQ23" i="14"/>
  <c r="GS23" i="14"/>
  <c r="GT23" i="14"/>
  <c r="HK23" i="14"/>
  <c r="HL23" i="14"/>
  <c r="HM23" i="14"/>
  <c r="HO23" i="14"/>
  <c r="HP23" i="14"/>
  <c r="IG23" i="14"/>
  <c r="IH23" i="14"/>
  <c r="II23" i="14"/>
  <c r="IK23" i="14"/>
  <c r="IL23" i="14"/>
  <c r="JC23" i="14"/>
  <c r="JD23" i="14"/>
  <c r="JE23" i="14"/>
  <c r="JG23" i="14"/>
  <c r="JH23" i="14"/>
  <c r="JY23" i="14"/>
  <c r="JZ23" i="14"/>
  <c r="KA23" i="14"/>
  <c r="KC23" i="14"/>
  <c r="KD23" i="14"/>
  <c r="KU23" i="14"/>
  <c r="KV23" i="14"/>
  <c r="KW23" i="14"/>
  <c r="KY23" i="14"/>
  <c r="KZ23" i="14"/>
  <c r="LQ23" i="14"/>
  <c r="LR23" i="14"/>
  <c r="LS23" i="14"/>
  <c r="LU23" i="14"/>
  <c r="LV23" i="14"/>
  <c r="MM23" i="14"/>
  <c r="MN23" i="14"/>
  <c r="MO23" i="14"/>
  <c r="MQ23" i="14"/>
  <c r="MR23" i="14"/>
  <c r="NI23" i="14"/>
  <c r="NJ23" i="14"/>
  <c r="NK23" i="14"/>
  <c r="NM23" i="14"/>
  <c r="NN23" i="14"/>
  <c r="NP23" i="14"/>
  <c r="NQ23" i="14"/>
  <c r="NR23" i="14"/>
  <c r="NS23" i="14"/>
  <c r="NT23" i="14"/>
  <c r="NU23" i="14"/>
  <c r="NV23" i="14"/>
  <c r="NW23" i="14"/>
  <c r="OL23" i="14" s="1"/>
  <c r="NX23" i="14"/>
  <c r="NY23" i="14"/>
  <c r="NZ23" i="14"/>
  <c r="OA23" i="14"/>
  <c r="OB23" i="14"/>
  <c r="OC23" i="14"/>
  <c r="OD23" i="14"/>
  <c r="OE23" i="14"/>
  <c r="OF23" i="14"/>
  <c r="OG23" i="14"/>
  <c r="OQ23" i="14" s="1"/>
  <c r="OH23" i="14"/>
  <c r="OI23" i="14"/>
  <c r="ON23" i="14"/>
  <c r="AQ21" i="4"/>
  <c r="AR21" i="4"/>
  <c r="AS21" i="4"/>
  <c r="AT21" i="4"/>
  <c r="AU21" i="4"/>
  <c r="AW21" i="4"/>
  <c r="AX21" i="4"/>
  <c r="BU21" i="4"/>
  <c r="BV21" i="4"/>
  <c r="BW21" i="4"/>
  <c r="BX21" i="4"/>
  <c r="BY21" i="4"/>
  <c r="CA21" i="4"/>
  <c r="CB21" i="4"/>
  <c r="CY21" i="4"/>
  <c r="DD21" i="4" s="1"/>
  <c r="DG21" i="4" s="1"/>
  <c r="CZ21" i="4"/>
  <c r="DA21" i="4"/>
  <c r="DB21" i="4"/>
  <c r="DC21" i="4"/>
  <c r="DE21" i="4"/>
  <c r="DF21" i="4"/>
  <c r="EA21" i="4"/>
  <c r="EB21" i="4"/>
  <c r="EC21" i="4"/>
  <c r="EE21" i="4"/>
  <c r="EF21" i="4"/>
  <c r="EW21" i="4"/>
  <c r="EX21" i="4"/>
  <c r="EZ21" i="4" s="1"/>
  <c r="EY21" i="4"/>
  <c r="FA21" i="4"/>
  <c r="FB21" i="4"/>
  <c r="FS21" i="4"/>
  <c r="FT21" i="4"/>
  <c r="FV21" i="4" s="1"/>
  <c r="FU21" i="4"/>
  <c r="FW21" i="4"/>
  <c r="FX21" i="4"/>
  <c r="GO21" i="4"/>
  <c r="GP21" i="4"/>
  <c r="GQ21" i="4"/>
  <c r="GS21" i="4"/>
  <c r="GT21" i="4"/>
  <c r="HK21" i="4"/>
  <c r="HL21" i="4"/>
  <c r="HM21" i="4"/>
  <c r="HO21" i="4"/>
  <c r="HP21" i="4"/>
  <c r="IG21" i="4"/>
  <c r="IH21" i="4"/>
  <c r="II21" i="4"/>
  <c r="IK21" i="4"/>
  <c r="IL21" i="4"/>
  <c r="JC21" i="4"/>
  <c r="JD21" i="4"/>
  <c r="JE21" i="4"/>
  <c r="JG21" i="4"/>
  <c r="JH21" i="4"/>
  <c r="JY21" i="4"/>
  <c r="JZ21" i="4"/>
  <c r="KA21" i="4"/>
  <c r="KC21" i="4"/>
  <c r="KD21" i="4"/>
  <c r="KU21" i="4"/>
  <c r="KV21" i="4"/>
  <c r="KW21" i="4"/>
  <c r="KY21" i="4"/>
  <c r="KZ21" i="4"/>
  <c r="LQ21" i="4"/>
  <c r="LR21" i="4"/>
  <c r="LS21" i="4"/>
  <c r="LU21" i="4"/>
  <c r="LV21" i="4"/>
  <c r="MM21" i="4"/>
  <c r="MN21" i="4"/>
  <c r="MO21" i="4"/>
  <c r="MQ21" i="4"/>
  <c r="MR21" i="4"/>
  <c r="NI21" i="4"/>
  <c r="NJ21" i="4"/>
  <c r="NK21" i="4"/>
  <c r="NM21" i="4"/>
  <c r="NN21" i="4"/>
  <c r="NP21" i="4"/>
  <c r="NQ21" i="4"/>
  <c r="NR21" i="4"/>
  <c r="NS21" i="4"/>
  <c r="NT21" i="4"/>
  <c r="NU21" i="4"/>
  <c r="NV21" i="4"/>
  <c r="NW21" i="4"/>
  <c r="OL21" i="4" s="1"/>
  <c r="NX21" i="4"/>
  <c r="NY21" i="4"/>
  <c r="NZ21" i="4"/>
  <c r="OA21" i="4"/>
  <c r="OB21" i="4"/>
  <c r="OC21" i="4"/>
  <c r="OD21" i="4"/>
  <c r="OE21" i="4"/>
  <c r="OF21" i="4"/>
  <c r="OG21" i="4"/>
  <c r="OQ21" i="4" s="1"/>
  <c r="OH21" i="4"/>
  <c r="OI21" i="4"/>
  <c r="ON21" i="4"/>
  <c r="AQ22" i="4"/>
  <c r="AR22" i="4"/>
  <c r="AS22" i="4"/>
  <c r="AT22" i="4"/>
  <c r="AU22" i="4"/>
  <c r="AW22" i="4"/>
  <c r="AX22" i="4"/>
  <c r="BU22" i="4"/>
  <c r="BV22" i="4"/>
  <c r="BW22" i="4"/>
  <c r="BX22" i="4"/>
  <c r="BY22" i="4"/>
  <c r="CA22" i="4"/>
  <c r="CB22" i="4"/>
  <c r="CY22" i="4"/>
  <c r="CZ22" i="4"/>
  <c r="DA22" i="4"/>
  <c r="DB22" i="4"/>
  <c r="DC22" i="4"/>
  <c r="DE22" i="4"/>
  <c r="DF22" i="4"/>
  <c r="EA22" i="4"/>
  <c r="EB22" i="4"/>
  <c r="EC22" i="4"/>
  <c r="EE22" i="4"/>
  <c r="EF22" i="4"/>
  <c r="EW22" i="4"/>
  <c r="EX22" i="4"/>
  <c r="EY22" i="4"/>
  <c r="EZ22" i="4" s="1"/>
  <c r="FA22" i="4"/>
  <c r="FB22" i="4"/>
  <c r="FS22" i="4"/>
  <c r="FT22" i="4"/>
  <c r="FU22" i="4"/>
  <c r="FV22" i="4" s="1"/>
  <c r="FW22" i="4"/>
  <c r="FX22" i="4"/>
  <c r="GO22" i="4"/>
  <c r="GP22" i="4"/>
  <c r="GQ22" i="4"/>
  <c r="GS22" i="4"/>
  <c r="GT22" i="4"/>
  <c r="HK22" i="4"/>
  <c r="HL22" i="4"/>
  <c r="HM22" i="4"/>
  <c r="HO22" i="4"/>
  <c r="HP22" i="4"/>
  <c r="IG22" i="4"/>
  <c r="IH22" i="4"/>
  <c r="II22" i="4"/>
  <c r="IK22" i="4"/>
  <c r="IL22" i="4"/>
  <c r="JC22" i="4"/>
  <c r="JD22" i="4"/>
  <c r="JE22" i="4"/>
  <c r="JG22" i="4"/>
  <c r="JH22" i="4"/>
  <c r="JY22" i="4"/>
  <c r="JZ22" i="4"/>
  <c r="KA22" i="4"/>
  <c r="KC22" i="4"/>
  <c r="KD22" i="4"/>
  <c r="KU22" i="4"/>
  <c r="KV22" i="4"/>
  <c r="KW22" i="4"/>
  <c r="KY22" i="4"/>
  <c r="KZ22" i="4"/>
  <c r="LQ22" i="4"/>
  <c r="LR22" i="4"/>
  <c r="LS22" i="4"/>
  <c r="LU22" i="4"/>
  <c r="LV22" i="4"/>
  <c r="MM22" i="4"/>
  <c r="MN22" i="4"/>
  <c r="MO22" i="4"/>
  <c r="MP22" i="4" s="1"/>
  <c r="MQ22" i="4"/>
  <c r="MR22" i="4"/>
  <c r="NI22" i="4"/>
  <c r="NJ22" i="4"/>
  <c r="NK22" i="4"/>
  <c r="NM22" i="4"/>
  <c r="NN22" i="4"/>
  <c r="NP22" i="4"/>
  <c r="NQ22" i="4"/>
  <c r="NR22" i="4"/>
  <c r="NS22" i="4"/>
  <c r="NT22" i="4"/>
  <c r="NU22" i="4"/>
  <c r="NV22" i="4"/>
  <c r="NW22" i="4"/>
  <c r="OL22" i="4" s="1"/>
  <c r="NX22" i="4"/>
  <c r="NY22" i="4"/>
  <c r="NZ22" i="4"/>
  <c r="OA22" i="4"/>
  <c r="OB22" i="4"/>
  <c r="ON22" i="4" s="1"/>
  <c r="OC22" i="4"/>
  <c r="OD22" i="4"/>
  <c r="OE22" i="4"/>
  <c r="OF22" i="4"/>
  <c r="OG22" i="4"/>
  <c r="OQ22" i="4" s="1"/>
  <c r="OH22" i="4"/>
  <c r="OI22" i="4"/>
  <c r="AQ20" i="4"/>
  <c r="AR20" i="4"/>
  <c r="AS20" i="4"/>
  <c r="AT20" i="4"/>
  <c r="AU20" i="4"/>
  <c r="AW20" i="4"/>
  <c r="AX20" i="4"/>
  <c r="BU20" i="4"/>
  <c r="BV20" i="4"/>
  <c r="BW20" i="4"/>
  <c r="BX20" i="4"/>
  <c r="BY20" i="4"/>
  <c r="CA20" i="4"/>
  <c r="CB20" i="4"/>
  <c r="CY20" i="4"/>
  <c r="CZ20" i="4"/>
  <c r="DA20" i="4"/>
  <c r="DB20" i="4"/>
  <c r="DC20" i="4"/>
  <c r="DE20" i="4"/>
  <c r="DF20" i="4"/>
  <c r="EA20" i="4"/>
  <c r="EB20" i="4"/>
  <c r="EC20" i="4"/>
  <c r="EE20" i="4"/>
  <c r="EF20" i="4"/>
  <c r="EW20" i="4"/>
  <c r="EX20" i="4"/>
  <c r="EY20" i="4"/>
  <c r="FA20" i="4"/>
  <c r="FB20" i="4"/>
  <c r="FS20" i="4"/>
  <c r="FT20" i="4"/>
  <c r="FU20" i="4"/>
  <c r="FW20" i="4"/>
  <c r="FX20" i="4"/>
  <c r="GO20" i="4"/>
  <c r="GP20" i="4"/>
  <c r="GQ20" i="4"/>
  <c r="GS20" i="4"/>
  <c r="GT20" i="4"/>
  <c r="HK20" i="4"/>
  <c r="HL20" i="4"/>
  <c r="HM20" i="4"/>
  <c r="HO20" i="4"/>
  <c r="HP20" i="4"/>
  <c r="IG20" i="4"/>
  <c r="IH20" i="4"/>
  <c r="II20" i="4"/>
  <c r="IK20" i="4"/>
  <c r="IL20" i="4"/>
  <c r="JC20" i="4"/>
  <c r="JD20" i="4"/>
  <c r="JE20" i="4"/>
  <c r="JG20" i="4"/>
  <c r="JH20" i="4"/>
  <c r="JY20" i="4"/>
  <c r="JZ20" i="4"/>
  <c r="KA20" i="4"/>
  <c r="KC20" i="4"/>
  <c r="KD20" i="4"/>
  <c r="KU20" i="4"/>
  <c r="KV20" i="4"/>
  <c r="KW20" i="4"/>
  <c r="KY20" i="4"/>
  <c r="KZ20" i="4"/>
  <c r="LQ20" i="4"/>
  <c r="LR20" i="4"/>
  <c r="LS20" i="4"/>
  <c r="LU20" i="4"/>
  <c r="LV20" i="4"/>
  <c r="MM20" i="4"/>
  <c r="MN20" i="4"/>
  <c r="MO20" i="4"/>
  <c r="MQ20" i="4"/>
  <c r="MR20" i="4"/>
  <c r="NI20" i="4"/>
  <c r="NJ20" i="4"/>
  <c r="NK20" i="4"/>
  <c r="NL20" i="4" s="1"/>
  <c r="NO20" i="4" s="1"/>
  <c r="NM20" i="4"/>
  <c r="NN20" i="4"/>
  <c r="NP20" i="4"/>
  <c r="NQ20" i="4"/>
  <c r="NR20" i="4"/>
  <c r="NS20" i="4"/>
  <c r="NT20" i="4"/>
  <c r="NU20" i="4"/>
  <c r="NV20" i="4"/>
  <c r="NW20" i="4"/>
  <c r="OL20" i="4" s="1"/>
  <c r="NX20" i="4"/>
  <c r="NY20" i="4"/>
  <c r="NZ20" i="4"/>
  <c r="OA20" i="4"/>
  <c r="OB20" i="4"/>
  <c r="ON20" i="4" s="1"/>
  <c r="OC20" i="4"/>
  <c r="OD20" i="4"/>
  <c r="OE20" i="4"/>
  <c r="OF20" i="4"/>
  <c r="OG20" i="4"/>
  <c r="OQ20" i="4" s="1"/>
  <c r="OH20" i="4"/>
  <c r="OI20" i="4"/>
  <c r="AQ17" i="4"/>
  <c r="AR17" i="4"/>
  <c r="AS17" i="4"/>
  <c r="AT17" i="4"/>
  <c r="AU17" i="4"/>
  <c r="AW17" i="4"/>
  <c r="AX17" i="4"/>
  <c r="BU17" i="4"/>
  <c r="BV17" i="4"/>
  <c r="BW17" i="4"/>
  <c r="BX17" i="4"/>
  <c r="BY17" i="4"/>
  <c r="CA17" i="4"/>
  <c r="CB17" i="4"/>
  <c r="CY17" i="4"/>
  <c r="CZ17" i="4"/>
  <c r="DA17" i="4"/>
  <c r="DB17" i="4"/>
  <c r="DC17" i="4"/>
  <c r="DE17" i="4"/>
  <c r="DF17" i="4"/>
  <c r="EA17" i="4"/>
  <c r="EB17" i="4"/>
  <c r="EC17" i="4"/>
  <c r="EE17" i="4"/>
  <c r="EF17" i="4"/>
  <c r="EW17" i="4"/>
  <c r="EX17" i="4"/>
  <c r="EY17" i="4"/>
  <c r="FA17" i="4"/>
  <c r="FB17" i="4"/>
  <c r="FS17" i="4"/>
  <c r="FT17" i="4"/>
  <c r="FU17" i="4"/>
  <c r="FW17" i="4"/>
  <c r="FX17" i="4"/>
  <c r="GO17" i="4"/>
  <c r="GP17" i="4"/>
  <c r="GQ17" i="4"/>
  <c r="GS17" i="4"/>
  <c r="GT17" i="4"/>
  <c r="HK17" i="4"/>
  <c r="HL17" i="4"/>
  <c r="HM17" i="4"/>
  <c r="HO17" i="4"/>
  <c r="HP17" i="4"/>
  <c r="IG17" i="4"/>
  <c r="IH17" i="4"/>
  <c r="II17" i="4"/>
  <c r="IK17" i="4"/>
  <c r="IL17" i="4"/>
  <c r="JC17" i="4"/>
  <c r="JD17" i="4"/>
  <c r="JE17" i="4"/>
  <c r="JG17" i="4"/>
  <c r="JH17" i="4"/>
  <c r="JY17" i="4"/>
  <c r="JZ17" i="4"/>
  <c r="KA17" i="4"/>
  <c r="KC17" i="4"/>
  <c r="KD17" i="4"/>
  <c r="KU17" i="4"/>
  <c r="KV17" i="4"/>
  <c r="KW17" i="4"/>
  <c r="KY17" i="4"/>
  <c r="KZ17" i="4"/>
  <c r="LQ17" i="4"/>
  <c r="LR17" i="4"/>
  <c r="LS17" i="4"/>
  <c r="LU17" i="4"/>
  <c r="LV17" i="4"/>
  <c r="MM17" i="4"/>
  <c r="MN17" i="4"/>
  <c r="MO17" i="4"/>
  <c r="MQ17" i="4"/>
  <c r="MR17" i="4"/>
  <c r="NI17" i="4"/>
  <c r="NJ17" i="4"/>
  <c r="NK17" i="4"/>
  <c r="NM17" i="4"/>
  <c r="NN17" i="4"/>
  <c r="NP17" i="4"/>
  <c r="NQ17" i="4"/>
  <c r="NR17" i="4"/>
  <c r="NS17" i="4"/>
  <c r="NT17" i="4"/>
  <c r="NU17" i="4"/>
  <c r="NV17" i="4"/>
  <c r="NW17" i="4"/>
  <c r="OL17" i="4" s="1"/>
  <c r="NX17" i="4"/>
  <c r="NY17" i="4"/>
  <c r="NZ17" i="4"/>
  <c r="OA17" i="4"/>
  <c r="OB17" i="4"/>
  <c r="ON17" i="4" s="1"/>
  <c r="OC17" i="4"/>
  <c r="OD17" i="4"/>
  <c r="OE17" i="4"/>
  <c r="OF17" i="4"/>
  <c r="OG17" i="4"/>
  <c r="OQ17" i="4" s="1"/>
  <c r="OH17" i="4"/>
  <c r="OI17" i="4"/>
  <c r="DV20" i="12" l="1"/>
  <c r="MR21" i="12"/>
  <c r="KH13" i="6"/>
  <c r="MS16" i="6"/>
  <c r="LC16" i="6"/>
  <c r="JM16" i="6"/>
  <c r="HW16" i="6"/>
  <c r="EQ16" i="6"/>
  <c r="IR16" i="6"/>
  <c r="HW13" i="6"/>
  <c r="IR21" i="6"/>
  <c r="MP13" i="6"/>
  <c r="LC13" i="6"/>
  <c r="DA16" i="6"/>
  <c r="GG13" i="6"/>
  <c r="EQ13" i="6"/>
  <c r="DA13" i="6"/>
  <c r="KH15" i="6"/>
  <c r="IR15" i="6"/>
  <c r="HB15" i="6"/>
  <c r="DV15" i="6"/>
  <c r="BH21" i="6"/>
  <c r="MR16" i="6"/>
  <c r="HB16" i="6"/>
  <c r="IR12" i="8"/>
  <c r="FL5" i="8"/>
  <c r="KH5" i="8"/>
  <c r="DV12" i="8"/>
  <c r="DV5" i="8"/>
  <c r="AL5" i="8"/>
  <c r="LC12" i="8"/>
  <c r="GG12" i="8"/>
  <c r="JM12" i="8"/>
  <c r="GG5" i="8"/>
  <c r="BH5" i="8"/>
  <c r="EZ26" i="14"/>
  <c r="FC26" i="14" s="1"/>
  <c r="FV26" i="14"/>
  <c r="KX26" i="14"/>
  <c r="KX24" i="14"/>
  <c r="LA24" i="14" s="1"/>
  <c r="BZ23" i="14"/>
  <c r="CC23" i="14" s="1"/>
  <c r="LT23" i="14"/>
  <c r="LW23" i="14" s="1"/>
  <c r="KE25" i="14"/>
  <c r="MP23" i="14"/>
  <c r="MS23" i="14" s="1"/>
  <c r="IJ24" i="14"/>
  <c r="IM24" i="14" s="1"/>
  <c r="NL26" i="14"/>
  <c r="NO26" i="14" s="1"/>
  <c r="DD25" i="14"/>
  <c r="DG25" i="14" s="1"/>
  <c r="OO26" i="14"/>
  <c r="LA26" i="14"/>
  <c r="ED26" i="14"/>
  <c r="BZ26" i="14"/>
  <c r="CC26" i="14" s="1"/>
  <c r="JF25" i="14"/>
  <c r="JI25" i="14" s="1"/>
  <c r="GR25" i="14"/>
  <c r="GU25" i="14" s="1"/>
  <c r="MS26" i="14"/>
  <c r="FC25" i="14"/>
  <c r="JF23" i="14"/>
  <c r="NL22" i="4"/>
  <c r="NO22" i="4" s="1"/>
  <c r="GR22" i="4"/>
  <c r="GU22" i="4" s="1"/>
  <c r="JF21" i="4"/>
  <c r="JI21" i="4" s="1"/>
  <c r="HN21" i="4"/>
  <c r="KB21" i="4"/>
  <c r="KE21" i="4" s="1"/>
  <c r="OM21" i="4"/>
  <c r="KX22" i="4"/>
  <c r="IJ21" i="4"/>
  <c r="IM21" i="4" s="1"/>
  <c r="DD22" i="4"/>
  <c r="DG22" i="4" s="1"/>
  <c r="OO21" i="4"/>
  <c r="GR21" i="4"/>
  <c r="GU21" i="4" s="1"/>
  <c r="FC21" i="4"/>
  <c r="ED21" i="4"/>
  <c r="EG21" i="4" s="1"/>
  <c r="BZ21" i="4"/>
  <c r="CC21" i="4" s="1"/>
  <c r="LC21" i="12"/>
  <c r="JM21" i="12"/>
  <c r="KH20" i="12"/>
  <c r="IR20" i="12"/>
  <c r="HB20" i="12"/>
  <c r="HW21" i="12"/>
  <c r="EQ21" i="12"/>
  <c r="LC20" i="12"/>
  <c r="JM20" i="12"/>
  <c r="HW20" i="12"/>
  <c r="EQ20" i="12"/>
  <c r="CD20" i="12"/>
  <c r="LX21" i="12"/>
  <c r="HB21" i="12"/>
  <c r="FL21" i="12"/>
  <c r="DA21" i="12"/>
  <c r="MS21" i="12"/>
  <c r="CD21" i="12"/>
  <c r="MQ21" i="12"/>
  <c r="MP21" i="12"/>
  <c r="F21" i="12"/>
  <c r="AL21" i="12"/>
  <c r="J21" i="12"/>
  <c r="G21" i="12"/>
  <c r="MR20" i="12"/>
  <c r="MP20" i="12"/>
  <c r="LX20" i="12"/>
  <c r="GG20" i="12"/>
  <c r="FL20" i="12"/>
  <c r="DA20" i="12"/>
  <c r="MS20" i="12"/>
  <c r="MQ20" i="12"/>
  <c r="AL20" i="12"/>
  <c r="F20" i="12"/>
  <c r="J20" i="12"/>
  <c r="G20" i="12"/>
  <c r="MP16" i="6"/>
  <c r="CD13" i="6"/>
  <c r="DV10" i="7"/>
  <c r="AL10" i="7"/>
  <c r="GG8" i="7"/>
  <c r="EQ8" i="7"/>
  <c r="BH10" i="7"/>
  <c r="LX16" i="6"/>
  <c r="GG16" i="6"/>
  <c r="FL16" i="6"/>
  <c r="MQ16" i="6"/>
  <c r="MT16" i="6" s="1"/>
  <c r="F16" i="6"/>
  <c r="AL16" i="6"/>
  <c r="J16" i="6"/>
  <c r="G16" i="6"/>
  <c r="H16" i="6" s="1"/>
  <c r="I16" i="6" s="1"/>
  <c r="JM21" i="6"/>
  <c r="HW21" i="6"/>
  <c r="LX13" i="6"/>
  <c r="DV13" i="6"/>
  <c r="HB21" i="6"/>
  <c r="DV21" i="6"/>
  <c r="AL13" i="6"/>
  <c r="FL13" i="6"/>
  <c r="MS13" i="6"/>
  <c r="MR13" i="6"/>
  <c r="MQ13" i="6"/>
  <c r="F13" i="6"/>
  <c r="J13" i="6"/>
  <c r="G13" i="6"/>
  <c r="GG21" i="6"/>
  <c r="EQ21" i="6"/>
  <c r="DA21" i="6"/>
  <c r="JM15" i="6"/>
  <c r="MS21" i="6"/>
  <c r="AL21" i="6"/>
  <c r="LX21" i="6"/>
  <c r="LC21" i="6"/>
  <c r="FL21" i="6"/>
  <c r="MQ21" i="6"/>
  <c r="MT21" i="6" s="1"/>
  <c r="CD21" i="6"/>
  <c r="MR21" i="6"/>
  <c r="MP21" i="6"/>
  <c r="F21" i="6"/>
  <c r="J21" i="6"/>
  <c r="G21" i="6"/>
  <c r="GG15" i="6"/>
  <c r="BH15" i="6"/>
  <c r="LX15" i="6"/>
  <c r="CD15" i="6"/>
  <c r="LC15" i="6"/>
  <c r="HW15" i="6"/>
  <c r="FL15" i="6"/>
  <c r="DA15" i="6"/>
  <c r="MP15" i="6"/>
  <c r="MR15" i="6"/>
  <c r="MS15" i="6"/>
  <c r="MQ15" i="6"/>
  <c r="F15" i="6"/>
  <c r="AL15" i="6"/>
  <c r="J15" i="6"/>
  <c r="G15" i="6"/>
  <c r="MR12" i="8"/>
  <c r="CD12" i="8"/>
  <c r="MS5" i="8"/>
  <c r="LX12" i="8"/>
  <c r="HW12" i="8"/>
  <c r="FL12" i="8"/>
  <c r="DA12" i="8"/>
  <c r="BH12" i="8"/>
  <c r="MS12" i="8"/>
  <c r="MQ12" i="8"/>
  <c r="L12" i="8"/>
  <c r="MP12" i="8"/>
  <c r="F12" i="8"/>
  <c r="AL12" i="8"/>
  <c r="J12" i="8"/>
  <c r="G12" i="8"/>
  <c r="EQ5" i="8"/>
  <c r="DA5" i="8"/>
  <c r="LX5" i="8"/>
  <c r="HW5" i="8"/>
  <c r="HB5" i="8"/>
  <c r="MR5" i="8"/>
  <c r="CD5" i="8"/>
  <c r="L5" i="8"/>
  <c r="CF5" i="8" s="1"/>
  <c r="MQ5" i="8"/>
  <c r="MT5" i="8" s="1"/>
  <c r="MP5" i="8"/>
  <c r="F5" i="8"/>
  <c r="J5" i="8"/>
  <c r="G5" i="8"/>
  <c r="CD8" i="7"/>
  <c r="LX8" i="7"/>
  <c r="KH8" i="7"/>
  <c r="JM8" i="7"/>
  <c r="HW8" i="7"/>
  <c r="DV8" i="7"/>
  <c r="DA8" i="7"/>
  <c r="MS8" i="7"/>
  <c r="L8" i="7"/>
  <c r="MR8" i="7"/>
  <c r="MP8" i="7"/>
  <c r="MQ8" i="7"/>
  <c r="F8" i="7"/>
  <c r="AL8" i="7"/>
  <c r="M8" i="7"/>
  <c r="CF8" i="7"/>
  <c r="J8" i="7"/>
  <c r="G8" i="7"/>
  <c r="LX10" i="7"/>
  <c r="HB10" i="7"/>
  <c r="FL10" i="7"/>
  <c r="DA10" i="7"/>
  <c r="MR10" i="7"/>
  <c r="MP10" i="7"/>
  <c r="CD10" i="7"/>
  <c r="L10" i="7"/>
  <c r="CF10" i="7" s="1"/>
  <c r="MS10" i="7"/>
  <c r="MQ10" i="7"/>
  <c r="F10" i="7"/>
  <c r="J10" i="7"/>
  <c r="G10" i="7"/>
  <c r="OK25" i="14"/>
  <c r="DD26" i="14"/>
  <c r="DG26" i="14" s="1"/>
  <c r="OM26" i="14"/>
  <c r="DD24" i="14"/>
  <c r="DG24" i="14" s="1"/>
  <c r="NL25" i="14"/>
  <c r="NO25" i="14" s="1"/>
  <c r="LW25" i="14"/>
  <c r="HN25" i="14"/>
  <c r="HQ25" i="14" s="1"/>
  <c r="ED25" i="14"/>
  <c r="EG25" i="14" s="1"/>
  <c r="OO25" i="14"/>
  <c r="OR26" i="14"/>
  <c r="OM25" i="14"/>
  <c r="Q25" i="14"/>
  <c r="R25" i="14" s="1"/>
  <c r="O25" i="14"/>
  <c r="P25" i="14" s="1"/>
  <c r="G25" i="14"/>
  <c r="F25" i="14" s="1"/>
  <c r="AV25" i="14"/>
  <c r="K25" i="14" s="1"/>
  <c r="H25" i="14"/>
  <c r="EZ24" i="14"/>
  <c r="FC24" i="14" s="1"/>
  <c r="KB24" i="14"/>
  <c r="ED24" i="14"/>
  <c r="BZ24" i="14"/>
  <c r="CC24" i="14" s="1"/>
  <c r="IJ26" i="14"/>
  <c r="IM26" i="14" s="1"/>
  <c r="LW26" i="14"/>
  <c r="KB26" i="14"/>
  <c r="KE26" i="14" s="1"/>
  <c r="JF26" i="14"/>
  <c r="JI26" i="14" s="1"/>
  <c r="HN26" i="14"/>
  <c r="HQ26" i="14" s="1"/>
  <c r="GR26" i="14"/>
  <c r="GU26" i="14" s="1"/>
  <c r="FY26" i="14"/>
  <c r="EG26" i="14"/>
  <c r="OK26" i="14"/>
  <c r="OR25" i="14"/>
  <c r="O26" i="14"/>
  <c r="DI26" i="14" s="1"/>
  <c r="G26" i="14"/>
  <c r="F26" i="14" s="1"/>
  <c r="AV26" i="14"/>
  <c r="K26" i="14" s="1"/>
  <c r="Q26" i="14"/>
  <c r="H26" i="14"/>
  <c r="JI23" i="14"/>
  <c r="IJ23" i="14"/>
  <c r="IM23" i="14" s="1"/>
  <c r="DD23" i="14"/>
  <c r="DG23" i="14" s="1"/>
  <c r="JF24" i="14"/>
  <c r="JI24" i="14" s="1"/>
  <c r="KX23" i="14"/>
  <c r="LA23" i="14" s="1"/>
  <c r="OK24" i="14"/>
  <c r="MP24" i="14"/>
  <c r="MS24" i="14" s="1"/>
  <c r="OO24" i="14"/>
  <c r="KE24" i="14"/>
  <c r="FV24" i="14"/>
  <c r="FY24" i="14" s="1"/>
  <c r="LW24" i="14"/>
  <c r="HN24" i="14"/>
  <c r="HQ24" i="14" s="1"/>
  <c r="GU24" i="14"/>
  <c r="EG24" i="14"/>
  <c r="OR24" i="14"/>
  <c r="O24" i="14"/>
  <c r="P24" i="14" s="1"/>
  <c r="G24" i="14"/>
  <c r="OM24" i="14"/>
  <c r="Q24" i="14"/>
  <c r="R24" i="14" s="1"/>
  <c r="AV24" i="14"/>
  <c r="AY24" i="14" s="1"/>
  <c r="H24" i="14"/>
  <c r="OK23" i="14"/>
  <c r="EZ23" i="14"/>
  <c r="FC23" i="14" s="1"/>
  <c r="ED23" i="14"/>
  <c r="EG23" i="14" s="1"/>
  <c r="KB23" i="14"/>
  <c r="KE23" i="14" s="1"/>
  <c r="NL23" i="14"/>
  <c r="NO23" i="14" s="1"/>
  <c r="FV23" i="14"/>
  <c r="FY23" i="14" s="1"/>
  <c r="HN23" i="14"/>
  <c r="HQ23" i="14" s="1"/>
  <c r="GR23" i="14"/>
  <c r="GU23" i="14" s="1"/>
  <c r="OO23" i="14"/>
  <c r="OR23" i="14"/>
  <c r="OM23" i="14"/>
  <c r="O23" i="14"/>
  <c r="P23" i="14" s="1"/>
  <c r="G23" i="14"/>
  <c r="F23" i="14" s="1"/>
  <c r="AV23" i="14"/>
  <c r="AY23" i="14" s="1"/>
  <c r="Q23" i="14"/>
  <c r="H23" i="14"/>
  <c r="FV17" i="4"/>
  <c r="FY17" i="4" s="1"/>
  <c r="JF22" i="4"/>
  <c r="JI22" i="4" s="1"/>
  <c r="LT21" i="4"/>
  <c r="LW21" i="4" s="1"/>
  <c r="KX20" i="4"/>
  <c r="LT22" i="4"/>
  <c r="LW22" i="4" s="1"/>
  <c r="JF20" i="4"/>
  <c r="JI20" i="4" s="1"/>
  <c r="OO22" i="4"/>
  <c r="ED17" i="4"/>
  <c r="EG17" i="4" s="1"/>
  <c r="JF17" i="4"/>
  <c r="JI17" i="4" s="1"/>
  <c r="GR20" i="4"/>
  <c r="GU20" i="4" s="1"/>
  <c r="FV20" i="4"/>
  <c r="FY20" i="4" s="1"/>
  <c r="NL21" i="4"/>
  <c r="NO21" i="4" s="1"/>
  <c r="FY21" i="4"/>
  <c r="FC22" i="4"/>
  <c r="BZ22" i="4"/>
  <c r="CC22" i="4" s="1"/>
  <c r="AV21" i="4"/>
  <c r="K21" i="4" s="1"/>
  <c r="OM22" i="4"/>
  <c r="OR20" i="4"/>
  <c r="DD17" i="4"/>
  <c r="DG17" i="4" s="1"/>
  <c r="MP21" i="4"/>
  <c r="MS21" i="4" s="1"/>
  <c r="KX21" i="4"/>
  <c r="LA21" i="4" s="1"/>
  <c r="HQ21" i="4"/>
  <c r="OK21" i="4"/>
  <c r="OP21" i="4" s="1"/>
  <c r="Q21" i="4"/>
  <c r="DK21" i="4" s="1"/>
  <c r="O21" i="4"/>
  <c r="DI21" i="4" s="1"/>
  <c r="G21" i="4"/>
  <c r="F21" i="4" s="1"/>
  <c r="H21" i="4"/>
  <c r="KB20" i="4"/>
  <c r="KE20" i="4" s="1"/>
  <c r="EZ20" i="4"/>
  <c r="ED22" i="4"/>
  <c r="EG22" i="4" s="1"/>
  <c r="KB22" i="4"/>
  <c r="KE22" i="4" s="1"/>
  <c r="HN22" i="4"/>
  <c r="FY22" i="4"/>
  <c r="LA20" i="4"/>
  <c r="BZ17" i="4"/>
  <c r="CC17" i="4" s="1"/>
  <c r="BZ20" i="4"/>
  <c r="CC20" i="4" s="1"/>
  <c r="LA22" i="4"/>
  <c r="MS22" i="4"/>
  <c r="IJ22" i="4"/>
  <c r="IM22" i="4" s="1"/>
  <c r="HQ22" i="4"/>
  <c r="OK22" i="4"/>
  <c r="H22" i="4"/>
  <c r="G22" i="4"/>
  <c r="Q22" i="4"/>
  <c r="R22" i="4" s="1"/>
  <c r="AV22" i="4"/>
  <c r="AY22" i="4" s="1"/>
  <c r="O22" i="4"/>
  <c r="LT20" i="4"/>
  <c r="LW20" i="4" s="1"/>
  <c r="ED20" i="4"/>
  <c r="EG20" i="4" s="1"/>
  <c r="MP20" i="4"/>
  <c r="MS20" i="4" s="1"/>
  <c r="FC20" i="4"/>
  <c r="OO20" i="4"/>
  <c r="IJ20" i="4"/>
  <c r="IM20" i="4" s="1"/>
  <c r="HN20" i="4"/>
  <c r="HQ20" i="4" s="1"/>
  <c r="DD20" i="4"/>
  <c r="DG20" i="4" s="1"/>
  <c r="O20" i="4"/>
  <c r="DI20" i="4" s="1"/>
  <c r="OM20" i="4"/>
  <c r="OK20" i="4"/>
  <c r="G20" i="4"/>
  <c r="F20" i="4" s="1"/>
  <c r="OR21" i="4"/>
  <c r="Q20" i="4"/>
  <c r="DK20" i="4" s="1"/>
  <c r="AV20" i="4"/>
  <c r="H20" i="4"/>
  <c r="OO17" i="4"/>
  <c r="LT17" i="4"/>
  <c r="LW17" i="4" s="1"/>
  <c r="MP17" i="4"/>
  <c r="MS17" i="4" s="1"/>
  <c r="HN17" i="4"/>
  <c r="HQ17" i="4" s="1"/>
  <c r="KB17" i="4"/>
  <c r="KE17" i="4" s="1"/>
  <c r="KX17" i="4"/>
  <c r="LA17" i="4" s="1"/>
  <c r="NL17" i="4"/>
  <c r="NO17" i="4" s="1"/>
  <c r="IJ17" i="4"/>
  <c r="IM17" i="4" s="1"/>
  <c r="GR17" i="4"/>
  <c r="GU17" i="4" s="1"/>
  <c r="EZ17" i="4"/>
  <c r="FC17" i="4" s="1"/>
  <c r="OK17" i="4"/>
  <c r="OM17" i="4"/>
  <c r="G17" i="4"/>
  <c r="F17" i="4" s="1"/>
  <c r="O17" i="4"/>
  <c r="P17" i="4" s="1"/>
  <c r="AV17" i="4"/>
  <c r="AY17" i="4" s="1"/>
  <c r="Q17" i="4"/>
  <c r="H17" i="4"/>
  <c r="BG22" i="12"/>
  <c r="BF22" i="12"/>
  <c r="BE22" i="12"/>
  <c r="BD22" i="12"/>
  <c r="BG18" i="12"/>
  <c r="BF18" i="12"/>
  <c r="BE18" i="12"/>
  <c r="BD18" i="12"/>
  <c r="BG14" i="12"/>
  <c r="BF14" i="12"/>
  <c r="BE14" i="12"/>
  <c r="BD14" i="12"/>
  <c r="BG13" i="12"/>
  <c r="BF13" i="12"/>
  <c r="BE13" i="12"/>
  <c r="BD13" i="12"/>
  <c r="BG17" i="12"/>
  <c r="BF17" i="12"/>
  <c r="BE17" i="12"/>
  <c r="BD17" i="12"/>
  <c r="BG16" i="12"/>
  <c r="BF16" i="12"/>
  <c r="BE16" i="12"/>
  <c r="BD16" i="12"/>
  <c r="BG19" i="12"/>
  <c r="BF19" i="12"/>
  <c r="BE19" i="12"/>
  <c r="BD19" i="12"/>
  <c r="BG12" i="12"/>
  <c r="BF12" i="12"/>
  <c r="BE12" i="12"/>
  <c r="BD12" i="12"/>
  <c r="BG11" i="12"/>
  <c r="BF11" i="12"/>
  <c r="BE11" i="12"/>
  <c r="BD11" i="12"/>
  <c r="BG15" i="12"/>
  <c r="BF15" i="12"/>
  <c r="BE15" i="12"/>
  <c r="BD15" i="12"/>
  <c r="BG8" i="12"/>
  <c r="BF8" i="12"/>
  <c r="BE8" i="12"/>
  <c r="BD8" i="12"/>
  <c r="BG9" i="12"/>
  <c r="BF9" i="12"/>
  <c r="BE9" i="12"/>
  <c r="BH9" i="12" s="1"/>
  <c r="BD9" i="12"/>
  <c r="BG4" i="12"/>
  <c r="BF4" i="12"/>
  <c r="BE4" i="12"/>
  <c r="BD4" i="12"/>
  <c r="BG10" i="12"/>
  <c r="BF10" i="12"/>
  <c r="BE10" i="12"/>
  <c r="BD10" i="12"/>
  <c r="BG7" i="12"/>
  <c r="BF7" i="12"/>
  <c r="BE7" i="12"/>
  <c r="BD7" i="12"/>
  <c r="BG6" i="12"/>
  <c r="BF6" i="12"/>
  <c r="BE6" i="12"/>
  <c r="BD6" i="12"/>
  <c r="BG5" i="12"/>
  <c r="BF5" i="12"/>
  <c r="BE5" i="12"/>
  <c r="BD5" i="12"/>
  <c r="AK22" i="12"/>
  <c r="AJ22" i="12"/>
  <c r="AI22" i="12"/>
  <c r="AH22" i="12"/>
  <c r="AK18" i="12"/>
  <c r="AJ18" i="12"/>
  <c r="AI18" i="12"/>
  <c r="AH18" i="12"/>
  <c r="AK14" i="12"/>
  <c r="AJ14" i="12"/>
  <c r="AI14" i="12"/>
  <c r="AH14" i="12"/>
  <c r="AK13" i="12"/>
  <c r="AJ13" i="12"/>
  <c r="AI13" i="12"/>
  <c r="AH13" i="12"/>
  <c r="AK17" i="12"/>
  <c r="AJ17" i="12"/>
  <c r="AI17" i="12"/>
  <c r="AH17" i="12"/>
  <c r="AK16" i="12"/>
  <c r="AJ16" i="12"/>
  <c r="AI16" i="12"/>
  <c r="AH16" i="12"/>
  <c r="AK19" i="12"/>
  <c r="AJ19" i="12"/>
  <c r="AI19" i="12"/>
  <c r="AH19" i="12"/>
  <c r="AK12" i="12"/>
  <c r="AJ12" i="12"/>
  <c r="AI12" i="12"/>
  <c r="AH12" i="12"/>
  <c r="AK11" i="12"/>
  <c r="AJ11" i="12"/>
  <c r="AI11" i="12"/>
  <c r="AH11" i="12"/>
  <c r="AK15" i="12"/>
  <c r="AJ15" i="12"/>
  <c r="AI15" i="12"/>
  <c r="AH15" i="12"/>
  <c r="AK8" i="12"/>
  <c r="AJ8" i="12"/>
  <c r="AI8" i="12"/>
  <c r="AH8" i="12"/>
  <c r="AK9" i="12"/>
  <c r="AJ9" i="12"/>
  <c r="AI9" i="12"/>
  <c r="AH9" i="12"/>
  <c r="AK4" i="12"/>
  <c r="AJ4" i="12"/>
  <c r="AI4" i="12"/>
  <c r="AH4" i="12"/>
  <c r="AK10" i="12"/>
  <c r="AJ10" i="12"/>
  <c r="AI10" i="12"/>
  <c r="AH10" i="12"/>
  <c r="AK7" i="12"/>
  <c r="AJ7" i="12"/>
  <c r="AI7" i="12"/>
  <c r="AH7" i="12"/>
  <c r="AK6" i="12"/>
  <c r="AJ6" i="12"/>
  <c r="AI6" i="12"/>
  <c r="AH6" i="12"/>
  <c r="AK5" i="12"/>
  <c r="AJ5" i="12"/>
  <c r="AI5" i="12"/>
  <c r="AH5" i="12"/>
  <c r="BG20" i="6"/>
  <c r="BF20" i="6"/>
  <c r="BE20" i="6"/>
  <c r="BD20" i="6"/>
  <c r="BG12" i="6"/>
  <c r="BF12" i="6"/>
  <c r="BE12" i="6"/>
  <c r="BD12" i="6"/>
  <c r="BG9" i="6"/>
  <c r="BF9" i="6"/>
  <c r="BE9" i="6"/>
  <c r="BD9" i="6"/>
  <c r="BG19" i="6"/>
  <c r="BF19" i="6"/>
  <c r="BE19" i="6"/>
  <c r="BD19" i="6"/>
  <c r="BG8" i="6"/>
  <c r="BF8" i="6"/>
  <c r="BE8" i="6"/>
  <c r="BD8" i="6"/>
  <c r="BG11" i="6"/>
  <c r="BF11" i="6"/>
  <c r="BE11" i="6"/>
  <c r="BD11" i="6"/>
  <c r="BG10" i="6"/>
  <c r="BF10" i="6"/>
  <c r="BE10" i="6"/>
  <c r="BD10" i="6"/>
  <c r="BG14" i="6"/>
  <c r="BF14" i="6"/>
  <c r="BE14" i="6"/>
  <c r="BD14" i="6"/>
  <c r="BG18" i="6"/>
  <c r="BF18" i="6"/>
  <c r="BE18" i="6"/>
  <c r="BD18" i="6"/>
  <c r="BG6" i="6"/>
  <c r="BF6" i="6"/>
  <c r="BE6" i="6"/>
  <c r="BD6" i="6"/>
  <c r="BG17" i="6"/>
  <c r="BF17" i="6"/>
  <c r="BE17" i="6"/>
  <c r="BD17" i="6"/>
  <c r="BG7" i="6"/>
  <c r="BF7" i="6"/>
  <c r="BE7" i="6"/>
  <c r="BD7" i="6"/>
  <c r="BG4" i="6"/>
  <c r="BF4" i="6"/>
  <c r="BE4" i="6"/>
  <c r="BD4" i="6"/>
  <c r="BG5" i="6"/>
  <c r="BF5" i="6"/>
  <c r="BE5" i="6"/>
  <c r="BD5" i="6"/>
  <c r="AK20" i="6"/>
  <c r="AJ20" i="6"/>
  <c r="AI20" i="6"/>
  <c r="AH20" i="6"/>
  <c r="AK12" i="6"/>
  <c r="AJ12" i="6"/>
  <c r="AI12" i="6"/>
  <c r="AH12" i="6"/>
  <c r="AK9" i="6"/>
  <c r="AJ9" i="6"/>
  <c r="AI9" i="6"/>
  <c r="AH9" i="6"/>
  <c r="AK19" i="6"/>
  <c r="AJ19" i="6"/>
  <c r="AI19" i="6"/>
  <c r="AH19" i="6"/>
  <c r="AK8" i="6"/>
  <c r="AJ8" i="6"/>
  <c r="AI8" i="6"/>
  <c r="AH8" i="6"/>
  <c r="AK11" i="6"/>
  <c r="AJ11" i="6"/>
  <c r="AI11" i="6"/>
  <c r="AH11" i="6"/>
  <c r="AK10" i="6"/>
  <c r="AJ10" i="6"/>
  <c r="AI10" i="6"/>
  <c r="AH10" i="6"/>
  <c r="AK14" i="6"/>
  <c r="AJ14" i="6"/>
  <c r="AI14" i="6"/>
  <c r="AH14" i="6"/>
  <c r="AK18" i="6"/>
  <c r="AJ18" i="6"/>
  <c r="AI18" i="6"/>
  <c r="AH18" i="6"/>
  <c r="AK6" i="6"/>
  <c r="AJ6" i="6"/>
  <c r="AI6" i="6"/>
  <c r="AH6" i="6"/>
  <c r="AK17" i="6"/>
  <c r="AJ17" i="6"/>
  <c r="AI17" i="6"/>
  <c r="AH17" i="6"/>
  <c r="AK7" i="6"/>
  <c r="AJ7" i="6"/>
  <c r="AI7" i="6"/>
  <c r="AH7" i="6"/>
  <c r="AK4" i="6"/>
  <c r="AJ4" i="6"/>
  <c r="AI4" i="6"/>
  <c r="AH4" i="6"/>
  <c r="AK5" i="6"/>
  <c r="AJ5" i="6"/>
  <c r="AI5" i="6"/>
  <c r="AH5" i="6"/>
  <c r="BG10" i="8"/>
  <c r="BF10" i="8"/>
  <c r="BE10" i="8"/>
  <c r="BD10" i="8"/>
  <c r="BG7" i="8"/>
  <c r="BF7" i="8"/>
  <c r="BE7" i="8"/>
  <c r="BD7" i="8"/>
  <c r="BG9" i="8"/>
  <c r="BF9" i="8"/>
  <c r="BE9" i="8"/>
  <c r="BD9" i="8"/>
  <c r="BG11" i="8"/>
  <c r="BF11" i="8"/>
  <c r="BE11" i="8"/>
  <c r="BD11" i="8"/>
  <c r="BG4" i="8"/>
  <c r="BF4" i="8"/>
  <c r="BE4" i="8"/>
  <c r="BD4" i="8"/>
  <c r="BG8" i="8"/>
  <c r="BF8" i="8"/>
  <c r="BE8" i="8"/>
  <c r="BD8" i="8"/>
  <c r="BG6" i="8"/>
  <c r="BF6" i="8"/>
  <c r="BE6" i="8"/>
  <c r="BD6" i="8"/>
  <c r="AK10" i="8"/>
  <c r="AJ10" i="8"/>
  <c r="AI10" i="8"/>
  <c r="AH10" i="8"/>
  <c r="AK7" i="8"/>
  <c r="AJ7" i="8"/>
  <c r="AI7" i="8"/>
  <c r="AH7" i="8"/>
  <c r="AK9" i="8"/>
  <c r="AJ9" i="8"/>
  <c r="AI9" i="8"/>
  <c r="AH9" i="8"/>
  <c r="AK11" i="8"/>
  <c r="AJ11" i="8"/>
  <c r="AI11" i="8"/>
  <c r="AH11" i="8"/>
  <c r="AK4" i="8"/>
  <c r="AJ4" i="8"/>
  <c r="AI4" i="8"/>
  <c r="AH4" i="8"/>
  <c r="AK8" i="8"/>
  <c r="AJ8" i="8"/>
  <c r="AI8" i="8"/>
  <c r="AH8" i="8"/>
  <c r="AK6" i="8"/>
  <c r="AJ6" i="8"/>
  <c r="AI6" i="8"/>
  <c r="AH6" i="8"/>
  <c r="BG9" i="7"/>
  <c r="BF9" i="7"/>
  <c r="BE9" i="7"/>
  <c r="BD9" i="7"/>
  <c r="BG7" i="7"/>
  <c r="BF7" i="7"/>
  <c r="BE7" i="7"/>
  <c r="BD7" i="7"/>
  <c r="BG6" i="7"/>
  <c r="BF6" i="7"/>
  <c r="BE6" i="7"/>
  <c r="BD6" i="7"/>
  <c r="BG5" i="7"/>
  <c r="BF5" i="7"/>
  <c r="BE5" i="7"/>
  <c r="BD5" i="7"/>
  <c r="BG4" i="7"/>
  <c r="BH4" i="7" s="1"/>
  <c r="BF4" i="7"/>
  <c r="BE4" i="7"/>
  <c r="BD4" i="7"/>
  <c r="AK9" i="7"/>
  <c r="AJ9" i="7"/>
  <c r="AI9" i="7"/>
  <c r="AH9" i="7"/>
  <c r="AK7" i="7"/>
  <c r="AL7" i="7" s="1"/>
  <c r="AJ7" i="7"/>
  <c r="AI7" i="7"/>
  <c r="AH7" i="7"/>
  <c r="AK6" i="7"/>
  <c r="AJ6" i="7"/>
  <c r="AI6" i="7"/>
  <c r="AH6" i="7"/>
  <c r="AK5" i="7"/>
  <c r="AJ5" i="7"/>
  <c r="AI5" i="7"/>
  <c r="AH5" i="7"/>
  <c r="AK4" i="7"/>
  <c r="AJ4" i="7"/>
  <c r="AI4" i="7"/>
  <c r="AH4" i="7"/>
  <c r="CB20" i="14"/>
  <c r="CA20" i="14"/>
  <c r="BY20" i="14"/>
  <c r="BX20" i="14"/>
  <c r="BW20" i="14"/>
  <c r="BV20" i="14"/>
  <c r="BU20" i="14"/>
  <c r="CB22" i="14"/>
  <c r="CA22" i="14"/>
  <c r="BY22" i="14"/>
  <c r="BX22" i="14"/>
  <c r="BW22" i="14"/>
  <c r="BV22" i="14"/>
  <c r="BU22" i="14"/>
  <c r="CB21" i="14"/>
  <c r="CA21" i="14"/>
  <c r="BY21" i="14"/>
  <c r="BX21" i="14"/>
  <c r="BW21" i="14"/>
  <c r="BV21" i="14"/>
  <c r="BU21" i="14"/>
  <c r="BZ21" i="14" s="1"/>
  <c r="CB9" i="14"/>
  <c r="CA9" i="14"/>
  <c r="BY9" i="14"/>
  <c r="BX9" i="14"/>
  <c r="BW9" i="14"/>
  <c r="BV9" i="14"/>
  <c r="BU9" i="14"/>
  <c r="CB19" i="14"/>
  <c r="CA19" i="14"/>
  <c r="BY19" i="14"/>
  <c r="BX19" i="14"/>
  <c r="BW19" i="14"/>
  <c r="BV19" i="14"/>
  <c r="BU19" i="14"/>
  <c r="CB17" i="14"/>
  <c r="CA17" i="14"/>
  <c r="BY17" i="14"/>
  <c r="BX17" i="14"/>
  <c r="BW17" i="14"/>
  <c r="BV17" i="14"/>
  <c r="BU17" i="14"/>
  <c r="CB18" i="14"/>
  <c r="CA18" i="14"/>
  <c r="BY18" i="14"/>
  <c r="BX18" i="14"/>
  <c r="BW18" i="14"/>
  <c r="BV18" i="14"/>
  <c r="BU18" i="14"/>
  <c r="CB16" i="14"/>
  <c r="CA16" i="14"/>
  <c r="BY16" i="14"/>
  <c r="BX16" i="14"/>
  <c r="BW16" i="14"/>
  <c r="BV16" i="14"/>
  <c r="BU16" i="14"/>
  <c r="CB8" i="14"/>
  <c r="CA8" i="14"/>
  <c r="BY8" i="14"/>
  <c r="BX8" i="14"/>
  <c r="BW8" i="14"/>
  <c r="BV8" i="14"/>
  <c r="BU8" i="14"/>
  <c r="CB15" i="14"/>
  <c r="CA15" i="14"/>
  <c r="BY15" i="14"/>
  <c r="BX15" i="14"/>
  <c r="BW15" i="14"/>
  <c r="BV15" i="14"/>
  <c r="BU15" i="14"/>
  <c r="CB12" i="14"/>
  <c r="CA12" i="14"/>
  <c r="BY12" i="14"/>
  <c r="BX12" i="14"/>
  <c r="BW12" i="14"/>
  <c r="BV12" i="14"/>
  <c r="BU12" i="14"/>
  <c r="CB11" i="14"/>
  <c r="CA11" i="14"/>
  <c r="BY11" i="14"/>
  <c r="BX11" i="14"/>
  <c r="BW11" i="14"/>
  <c r="BV11" i="14"/>
  <c r="BU11" i="14"/>
  <c r="CB10" i="14"/>
  <c r="CA10" i="14"/>
  <c r="BY10" i="14"/>
  <c r="BX10" i="14"/>
  <c r="BW10" i="14"/>
  <c r="BV10" i="14"/>
  <c r="BU10" i="14"/>
  <c r="CB13" i="14"/>
  <c r="CA13" i="14"/>
  <c r="BY13" i="14"/>
  <c r="BX13" i="14"/>
  <c r="BW13" i="14"/>
  <c r="BV13" i="14"/>
  <c r="BU13" i="14"/>
  <c r="CB7" i="14"/>
  <c r="CA7" i="14"/>
  <c r="BY7" i="14"/>
  <c r="BX7" i="14"/>
  <c r="BW7" i="14"/>
  <c r="BV7" i="14"/>
  <c r="BU7" i="14"/>
  <c r="CB14" i="14"/>
  <c r="CA14" i="14"/>
  <c r="BY14" i="14"/>
  <c r="BX14" i="14"/>
  <c r="BW14" i="14"/>
  <c r="BV14" i="14"/>
  <c r="BU14" i="14"/>
  <c r="CB5" i="14"/>
  <c r="CA5" i="14"/>
  <c r="BY5" i="14"/>
  <c r="BX5" i="14"/>
  <c r="BW5" i="14"/>
  <c r="BV5" i="14"/>
  <c r="BU5" i="14"/>
  <c r="CB6" i="14"/>
  <c r="CA6" i="14"/>
  <c r="BY6" i="14"/>
  <c r="BX6" i="14"/>
  <c r="BW6" i="14"/>
  <c r="BV6" i="14"/>
  <c r="BU6" i="14"/>
  <c r="CB4" i="14"/>
  <c r="CA4" i="14"/>
  <c r="BY4" i="14"/>
  <c r="BX4" i="14"/>
  <c r="BW4" i="14"/>
  <c r="BV4" i="14"/>
  <c r="BU4" i="14"/>
  <c r="AX20" i="14"/>
  <c r="AW20" i="14"/>
  <c r="AU20" i="14"/>
  <c r="AT20" i="14"/>
  <c r="AS20" i="14"/>
  <c r="AR20" i="14"/>
  <c r="AQ20" i="14"/>
  <c r="AX22" i="14"/>
  <c r="AW22" i="14"/>
  <c r="AU22" i="14"/>
  <c r="AT22" i="14"/>
  <c r="AS22" i="14"/>
  <c r="AR22" i="14"/>
  <c r="AQ22" i="14"/>
  <c r="AX21" i="14"/>
  <c r="AW21" i="14"/>
  <c r="AU21" i="14"/>
  <c r="AT21" i="14"/>
  <c r="AS21" i="14"/>
  <c r="AR21" i="14"/>
  <c r="AQ21" i="14"/>
  <c r="AX9" i="14"/>
  <c r="AW9" i="14"/>
  <c r="AU9" i="14"/>
  <c r="AT9" i="14"/>
  <c r="AS9" i="14"/>
  <c r="AR9" i="14"/>
  <c r="AQ9" i="14"/>
  <c r="AX19" i="14"/>
  <c r="AW19" i="14"/>
  <c r="AU19" i="14"/>
  <c r="AT19" i="14"/>
  <c r="AS19" i="14"/>
  <c r="AR19" i="14"/>
  <c r="AQ19" i="14"/>
  <c r="AX17" i="14"/>
  <c r="AW17" i="14"/>
  <c r="AU17" i="14"/>
  <c r="AT17" i="14"/>
  <c r="AS17" i="14"/>
  <c r="AR17" i="14"/>
  <c r="AQ17" i="14"/>
  <c r="AX18" i="14"/>
  <c r="AW18" i="14"/>
  <c r="AU18" i="14"/>
  <c r="AT18" i="14"/>
  <c r="AS18" i="14"/>
  <c r="AR18" i="14"/>
  <c r="AQ18" i="14"/>
  <c r="AX16" i="14"/>
  <c r="AW16" i="14"/>
  <c r="AU16" i="14"/>
  <c r="AT16" i="14"/>
  <c r="AS16" i="14"/>
  <c r="AR16" i="14"/>
  <c r="AQ16" i="14"/>
  <c r="AX8" i="14"/>
  <c r="AW8" i="14"/>
  <c r="AU8" i="14"/>
  <c r="AT8" i="14"/>
  <c r="AS8" i="14"/>
  <c r="AR8" i="14"/>
  <c r="AQ8" i="14"/>
  <c r="AX15" i="14"/>
  <c r="AW15" i="14"/>
  <c r="AU15" i="14"/>
  <c r="AT15" i="14"/>
  <c r="AS15" i="14"/>
  <c r="AR15" i="14"/>
  <c r="AQ15" i="14"/>
  <c r="AX12" i="14"/>
  <c r="AW12" i="14"/>
  <c r="AU12" i="14"/>
  <c r="AT12" i="14"/>
  <c r="AS12" i="14"/>
  <c r="AR12" i="14"/>
  <c r="AQ12" i="14"/>
  <c r="AX11" i="14"/>
  <c r="AW11" i="14"/>
  <c r="AU11" i="14"/>
  <c r="AT11" i="14"/>
  <c r="AS11" i="14"/>
  <c r="AR11" i="14"/>
  <c r="AQ11" i="14"/>
  <c r="AX10" i="14"/>
  <c r="AW10" i="14"/>
  <c r="AU10" i="14"/>
  <c r="AT10" i="14"/>
  <c r="AS10" i="14"/>
  <c r="AR10" i="14"/>
  <c r="AQ10" i="14"/>
  <c r="AX13" i="14"/>
  <c r="AW13" i="14"/>
  <c r="AU13" i="14"/>
  <c r="AT13" i="14"/>
  <c r="AS13" i="14"/>
  <c r="AR13" i="14"/>
  <c r="AQ13" i="14"/>
  <c r="AX7" i="14"/>
  <c r="AW7" i="14"/>
  <c r="AU7" i="14"/>
  <c r="AT7" i="14"/>
  <c r="AS7" i="14"/>
  <c r="AR7" i="14"/>
  <c r="AQ7" i="14"/>
  <c r="AX14" i="14"/>
  <c r="AW14" i="14"/>
  <c r="AU14" i="14"/>
  <c r="AT14" i="14"/>
  <c r="AS14" i="14"/>
  <c r="AR14" i="14"/>
  <c r="AQ14" i="14"/>
  <c r="AX5" i="14"/>
  <c r="AW5" i="14"/>
  <c r="AU5" i="14"/>
  <c r="AT5" i="14"/>
  <c r="AS5" i="14"/>
  <c r="AR5" i="14"/>
  <c r="AQ5" i="14"/>
  <c r="AX6" i="14"/>
  <c r="AW6" i="14"/>
  <c r="AU6" i="14"/>
  <c r="AT6" i="14"/>
  <c r="AS6" i="14"/>
  <c r="AR6" i="14"/>
  <c r="AQ6" i="14"/>
  <c r="AX4" i="14"/>
  <c r="AW4" i="14"/>
  <c r="AU4" i="14"/>
  <c r="AT4" i="14"/>
  <c r="AS4" i="14"/>
  <c r="AR4" i="14"/>
  <c r="AQ4" i="14"/>
  <c r="CB19" i="4"/>
  <c r="CA19" i="4"/>
  <c r="BY19" i="4"/>
  <c r="BX19" i="4"/>
  <c r="BW19" i="4"/>
  <c r="BV19" i="4"/>
  <c r="BU19" i="4"/>
  <c r="CB15" i="4"/>
  <c r="CA15" i="4"/>
  <c r="BY15" i="4"/>
  <c r="BX15" i="4"/>
  <c r="BW15" i="4"/>
  <c r="BV15" i="4"/>
  <c r="BU15" i="4"/>
  <c r="CB13" i="4"/>
  <c r="CA13" i="4"/>
  <c r="BY13" i="4"/>
  <c r="BX13" i="4"/>
  <c r="BW13" i="4"/>
  <c r="BV13" i="4"/>
  <c r="BU13" i="4"/>
  <c r="CB16" i="4"/>
  <c r="CA16" i="4"/>
  <c r="BY16" i="4"/>
  <c r="BX16" i="4"/>
  <c r="BW16" i="4"/>
  <c r="BV16" i="4"/>
  <c r="BU16" i="4"/>
  <c r="CB23" i="4"/>
  <c r="CA23" i="4"/>
  <c r="BY23" i="4"/>
  <c r="BX23" i="4"/>
  <c r="BW23" i="4"/>
  <c r="BV23" i="4"/>
  <c r="BU23" i="4"/>
  <c r="CB11" i="4"/>
  <c r="CA11" i="4"/>
  <c r="BY11" i="4"/>
  <c r="BX11" i="4"/>
  <c r="BW11" i="4"/>
  <c r="BV11" i="4"/>
  <c r="BU11" i="4"/>
  <c r="CB18" i="4"/>
  <c r="CA18" i="4"/>
  <c r="BY18" i="4"/>
  <c r="BX18" i="4"/>
  <c r="BW18" i="4"/>
  <c r="BV18" i="4"/>
  <c r="BU18" i="4"/>
  <c r="CB14" i="4"/>
  <c r="CA14" i="4"/>
  <c r="BY14" i="4"/>
  <c r="BX14" i="4"/>
  <c r="BW14" i="4"/>
  <c r="BV14" i="4"/>
  <c r="BU14" i="4"/>
  <c r="CB10" i="4"/>
  <c r="CA10" i="4"/>
  <c r="BY10" i="4"/>
  <c r="BX10" i="4"/>
  <c r="BW10" i="4"/>
  <c r="BV10" i="4"/>
  <c r="BU10" i="4"/>
  <c r="CB12" i="4"/>
  <c r="CA12" i="4"/>
  <c r="BY12" i="4"/>
  <c r="BX12" i="4"/>
  <c r="BW12" i="4"/>
  <c r="BV12" i="4"/>
  <c r="BU12" i="4"/>
  <c r="CB9" i="4"/>
  <c r="CA9" i="4"/>
  <c r="BY9" i="4"/>
  <c r="BX9" i="4"/>
  <c r="BW9" i="4"/>
  <c r="BV9" i="4"/>
  <c r="BU9" i="4"/>
  <c r="CB8" i="4"/>
  <c r="CA8" i="4"/>
  <c r="BY8" i="4"/>
  <c r="BX8" i="4"/>
  <c r="BW8" i="4"/>
  <c r="BV8" i="4"/>
  <c r="BU8" i="4"/>
  <c r="CB7" i="4"/>
  <c r="CA7" i="4"/>
  <c r="BY7" i="4"/>
  <c r="BX7" i="4"/>
  <c r="BW7" i="4"/>
  <c r="BV7" i="4"/>
  <c r="BU7" i="4"/>
  <c r="CB6" i="4"/>
  <c r="CA6" i="4"/>
  <c r="BY6" i="4"/>
  <c r="BX6" i="4"/>
  <c r="BW6" i="4"/>
  <c r="BV6" i="4"/>
  <c r="BU6" i="4"/>
  <c r="CB5" i="4"/>
  <c r="CA5" i="4"/>
  <c r="BY5" i="4"/>
  <c r="BX5" i="4"/>
  <c r="BW5" i="4"/>
  <c r="BV5" i="4"/>
  <c r="BU5" i="4"/>
  <c r="CB4" i="4"/>
  <c r="CA4" i="4"/>
  <c r="BY4" i="4"/>
  <c r="BX4" i="4"/>
  <c r="BW4" i="4"/>
  <c r="BV4" i="4"/>
  <c r="BU4" i="4"/>
  <c r="AX19" i="4"/>
  <c r="AW19" i="4"/>
  <c r="AU19" i="4"/>
  <c r="AT19" i="4"/>
  <c r="AS19" i="4"/>
  <c r="AR19" i="4"/>
  <c r="AQ19" i="4"/>
  <c r="AX15" i="4"/>
  <c r="AW15" i="4"/>
  <c r="AU15" i="4"/>
  <c r="AT15" i="4"/>
  <c r="AS15" i="4"/>
  <c r="AR15" i="4"/>
  <c r="AQ15" i="4"/>
  <c r="AX13" i="4"/>
  <c r="AW13" i="4"/>
  <c r="AU13" i="4"/>
  <c r="AT13" i="4"/>
  <c r="AS13" i="4"/>
  <c r="AR13" i="4"/>
  <c r="AQ13" i="4"/>
  <c r="AX16" i="4"/>
  <c r="AW16" i="4"/>
  <c r="AU16" i="4"/>
  <c r="AT16" i="4"/>
  <c r="AS16" i="4"/>
  <c r="AR16" i="4"/>
  <c r="AQ16" i="4"/>
  <c r="AX23" i="4"/>
  <c r="AW23" i="4"/>
  <c r="AU23" i="4"/>
  <c r="AT23" i="4"/>
  <c r="AS23" i="4"/>
  <c r="AR23" i="4"/>
  <c r="AQ23" i="4"/>
  <c r="AX11" i="4"/>
  <c r="AW11" i="4"/>
  <c r="AU11" i="4"/>
  <c r="AT11" i="4"/>
  <c r="AS11" i="4"/>
  <c r="AR11" i="4"/>
  <c r="AQ11" i="4"/>
  <c r="AX18" i="4"/>
  <c r="AW18" i="4"/>
  <c r="AU18" i="4"/>
  <c r="AT18" i="4"/>
  <c r="AS18" i="4"/>
  <c r="AR18" i="4"/>
  <c r="AQ18" i="4"/>
  <c r="AX14" i="4"/>
  <c r="AW14" i="4"/>
  <c r="AU14" i="4"/>
  <c r="AT14" i="4"/>
  <c r="AS14" i="4"/>
  <c r="AR14" i="4"/>
  <c r="AQ14" i="4"/>
  <c r="AX10" i="4"/>
  <c r="AW10" i="4"/>
  <c r="AU10" i="4"/>
  <c r="AT10" i="4"/>
  <c r="AS10" i="4"/>
  <c r="AR10" i="4"/>
  <c r="AQ10" i="4"/>
  <c r="AX12" i="4"/>
  <c r="AW12" i="4"/>
  <c r="AU12" i="4"/>
  <c r="AT12" i="4"/>
  <c r="AS12" i="4"/>
  <c r="AR12" i="4"/>
  <c r="AQ12" i="4"/>
  <c r="AX9" i="4"/>
  <c r="AW9" i="4"/>
  <c r="AU9" i="4"/>
  <c r="AT9" i="4"/>
  <c r="AS9" i="4"/>
  <c r="AR9" i="4"/>
  <c r="AQ9" i="4"/>
  <c r="AX8" i="4"/>
  <c r="AW8" i="4"/>
  <c r="AU8" i="4"/>
  <c r="AT8" i="4"/>
  <c r="AS8" i="4"/>
  <c r="AR8" i="4"/>
  <c r="AQ8" i="4"/>
  <c r="AX7" i="4"/>
  <c r="AW7" i="4"/>
  <c r="AU7" i="4"/>
  <c r="AT7" i="4"/>
  <c r="AS7" i="4"/>
  <c r="AR7" i="4"/>
  <c r="AQ7" i="4"/>
  <c r="AX6" i="4"/>
  <c r="AW6" i="4"/>
  <c r="AU6" i="4"/>
  <c r="AT6" i="4"/>
  <c r="AS6" i="4"/>
  <c r="AR6" i="4"/>
  <c r="AQ6" i="4"/>
  <c r="AX5" i="4"/>
  <c r="AW5" i="4"/>
  <c r="AU5" i="4"/>
  <c r="AT5" i="4"/>
  <c r="AS5" i="4"/>
  <c r="AR5" i="4"/>
  <c r="AQ5" i="4"/>
  <c r="AX4" i="4"/>
  <c r="AW4" i="4"/>
  <c r="AU4" i="4"/>
  <c r="AT4" i="4"/>
  <c r="AS4" i="4"/>
  <c r="AR4" i="4"/>
  <c r="AQ4" i="4"/>
  <c r="CB8" i="8"/>
  <c r="CB4" i="8"/>
  <c r="CB11" i="8"/>
  <c r="CB9" i="8"/>
  <c r="CB7" i="8"/>
  <c r="CB10" i="8"/>
  <c r="LB18" i="12"/>
  <c r="LA18" i="12"/>
  <c r="KZ18" i="12"/>
  <c r="KY18" i="12"/>
  <c r="LB22" i="12"/>
  <c r="LA22" i="12"/>
  <c r="KZ22" i="12"/>
  <c r="KY22" i="12"/>
  <c r="LB14" i="12"/>
  <c r="LA14" i="12"/>
  <c r="KZ14" i="12"/>
  <c r="KY14" i="12"/>
  <c r="LB13" i="12"/>
  <c r="LA13" i="12"/>
  <c r="KZ13" i="12"/>
  <c r="KY13" i="12"/>
  <c r="LB17" i="12"/>
  <c r="LA17" i="12"/>
  <c r="KZ17" i="12"/>
  <c r="KY17" i="12"/>
  <c r="LB16" i="12"/>
  <c r="LA16" i="12"/>
  <c r="KZ16" i="12"/>
  <c r="KY16" i="12"/>
  <c r="LB12" i="12"/>
  <c r="LA12" i="12"/>
  <c r="KZ12" i="12"/>
  <c r="KY12" i="12"/>
  <c r="LB11" i="12"/>
  <c r="LA11" i="12"/>
  <c r="KZ11" i="12"/>
  <c r="KY11" i="12"/>
  <c r="LB19" i="12"/>
  <c r="LA19" i="12"/>
  <c r="KZ19" i="12"/>
  <c r="KY19" i="12"/>
  <c r="LB15" i="12"/>
  <c r="LA15" i="12"/>
  <c r="KZ15" i="12"/>
  <c r="KY15" i="12"/>
  <c r="LB9" i="12"/>
  <c r="LA9" i="12"/>
  <c r="KZ9" i="12"/>
  <c r="KY9" i="12"/>
  <c r="LB10" i="12"/>
  <c r="LA10" i="12"/>
  <c r="KZ10" i="12"/>
  <c r="KY10" i="12"/>
  <c r="LB7" i="12"/>
  <c r="LA7" i="12"/>
  <c r="KZ7" i="12"/>
  <c r="KY7" i="12"/>
  <c r="LB5" i="12"/>
  <c r="LA5" i="12"/>
  <c r="KZ5" i="12"/>
  <c r="KY5" i="12"/>
  <c r="LB4" i="12"/>
  <c r="LA4" i="12"/>
  <c r="KZ4" i="12"/>
  <c r="KY4" i="12"/>
  <c r="LB6" i="12"/>
  <c r="LA6" i="12"/>
  <c r="KZ6" i="12"/>
  <c r="KY6" i="12"/>
  <c r="LB8" i="12"/>
  <c r="LA8" i="12"/>
  <c r="KZ8" i="12"/>
  <c r="KY8" i="12"/>
  <c r="KG18" i="12"/>
  <c r="KF18" i="12"/>
  <c r="KE18" i="12"/>
  <c r="KD18" i="12"/>
  <c r="KG22" i="12"/>
  <c r="KF22" i="12"/>
  <c r="KE22" i="12"/>
  <c r="KD22" i="12"/>
  <c r="KG14" i="12"/>
  <c r="KF14" i="12"/>
  <c r="KE14" i="12"/>
  <c r="KD14" i="12"/>
  <c r="KG13" i="12"/>
  <c r="KF13" i="12"/>
  <c r="KE13" i="12"/>
  <c r="KD13" i="12"/>
  <c r="KG17" i="12"/>
  <c r="KF17" i="12"/>
  <c r="KE17" i="12"/>
  <c r="KD17" i="12"/>
  <c r="KG16" i="12"/>
  <c r="KF16" i="12"/>
  <c r="KE16" i="12"/>
  <c r="KD16" i="12"/>
  <c r="KG12" i="12"/>
  <c r="KF12" i="12"/>
  <c r="KE12" i="12"/>
  <c r="KD12" i="12"/>
  <c r="KG11" i="12"/>
  <c r="KF11" i="12"/>
  <c r="KE11" i="12"/>
  <c r="KD11" i="12"/>
  <c r="KG19" i="12"/>
  <c r="KF19" i="12"/>
  <c r="KE19" i="12"/>
  <c r="KD19" i="12"/>
  <c r="KG15" i="12"/>
  <c r="KF15" i="12"/>
  <c r="KE15" i="12"/>
  <c r="KD15" i="12"/>
  <c r="KG9" i="12"/>
  <c r="KF9" i="12"/>
  <c r="KE9" i="12"/>
  <c r="KD9" i="12"/>
  <c r="KG10" i="12"/>
  <c r="KF10" i="12"/>
  <c r="KE10" i="12"/>
  <c r="KD10" i="12"/>
  <c r="KG7" i="12"/>
  <c r="KF7" i="12"/>
  <c r="KE7" i="12"/>
  <c r="KD7" i="12"/>
  <c r="KG5" i="12"/>
  <c r="KF5" i="12"/>
  <c r="KE5" i="12"/>
  <c r="KD5" i="12"/>
  <c r="KG4" i="12"/>
  <c r="KF4" i="12"/>
  <c r="KE4" i="12"/>
  <c r="KD4" i="12"/>
  <c r="KG6" i="12"/>
  <c r="KF6" i="12"/>
  <c r="KE6" i="12"/>
  <c r="KD6" i="12"/>
  <c r="KG8" i="12"/>
  <c r="KF8" i="12"/>
  <c r="KE8" i="12"/>
  <c r="KD8" i="12"/>
  <c r="JL18" i="12"/>
  <c r="JK18" i="12"/>
  <c r="JJ18" i="12"/>
  <c r="JI18" i="12"/>
  <c r="JL22" i="12"/>
  <c r="JK22" i="12"/>
  <c r="JJ22" i="12"/>
  <c r="JI22" i="12"/>
  <c r="JL14" i="12"/>
  <c r="JK14" i="12"/>
  <c r="JJ14" i="12"/>
  <c r="JI14" i="12"/>
  <c r="JL13" i="12"/>
  <c r="JK13" i="12"/>
  <c r="JJ13" i="12"/>
  <c r="JI13" i="12"/>
  <c r="JL17" i="12"/>
  <c r="JK17" i="12"/>
  <c r="JJ17" i="12"/>
  <c r="JI17" i="12"/>
  <c r="JL16" i="12"/>
  <c r="JK16" i="12"/>
  <c r="JJ16" i="12"/>
  <c r="JI16" i="12"/>
  <c r="JL12" i="12"/>
  <c r="JK12" i="12"/>
  <c r="JJ12" i="12"/>
  <c r="JI12" i="12"/>
  <c r="JL11" i="12"/>
  <c r="JK11" i="12"/>
  <c r="JJ11" i="12"/>
  <c r="JI11" i="12"/>
  <c r="JL19" i="12"/>
  <c r="JK19" i="12"/>
  <c r="JJ19" i="12"/>
  <c r="JI19" i="12"/>
  <c r="JL15" i="12"/>
  <c r="JK15" i="12"/>
  <c r="JJ15" i="12"/>
  <c r="JI15" i="12"/>
  <c r="JL9" i="12"/>
  <c r="JK9" i="12"/>
  <c r="JJ9" i="12"/>
  <c r="JI9" i="12"/>
  <c r="JL10" i="12"/>
  <c r="JK10" i="12"/>
  <c r="JJ10" i="12"/>
  <c r="JI10" i="12"/>
  <c r="JL7" i="12"/>
  <c r="JK7" i="12"/>
  <c r="JJ7" i="12"/>
  <c r="JI7" i="12"/>
  <c r="JL5" i="12"/>
  <c r="JK5" i="12"/>
  <c r="JJ5" i="12"/>
  <c r="JI5" i="12"/>
  <c r="JL4" i="12"/>
  <c r="JK4" i="12"/>
  <c r="JJ4" i="12"/>
  <c r="JI4" i="12"/>
  <c r="JL6" i="12"/>
  <c r="JK6" i="12"/>
  <c r="JJ6" i="12"/>
  <c r="JI6" i="12"/>
  <c r="JL8" i="12"/>
  <c r="JK8" i="12"/>
  <c r="JJ8" i="12"/>
  <c r="JI8" i="12"/>
  <c r="IQ18" i="12"/>
  <c r="IP18" i="12"/>
  <c r="IO18" i="12"/>
  <c r="IN18" i="12"/>
  <c r="IQ22" i="12"/>
  <c r="IP22" i="12"/>
  <c r="IO22" i="12"/>
  <c r="IN22" i="12"/>
  <c r="IQ14" i="12"/>
  <c r="IP14" i="12"/>
  <c r="IO14" i="12"/>
  <c r="IN14" i="12"/>
  <c r="IQ13" i="12"/>
  <c r="IP13" i="12"/>
  <c r="IO13" i="12"/>
  <c r="IN13" i="12"/>
  <c r="IQ17" i="12"/>
  <c r="IP17" i="12"/>
  <c r="IO17" i="12"/>
  <c r="IN17" i="12"/>
  <c r="IQ16" i="12"/>
  <c r="IP16" i="12"/>
  <c r="IO16" i="12"/>
  <c r="IN16" i="12"/>
  <c r="IQ12" i="12"/>
  <c r="IP12" i="12"/>
  <c r="IO12" i="12"/>
  <c r="IN12" i="12"/>
  <c r="IQ11" i="12"/>
  <c r="IP11" i="12"/>
  <c r="IO11" i="12"/>
  <c r="IN11" i="12"/>
  <c r="IQ19" i="12"/>
  <c r="IP19" i="12"/>
  <c r="IO19" i="12"/>
  <c r="IN19" i="12"/>
  <c r="IQ15" i="12"/>
  <c r="IP15" i="12"/>
  <c r="IO15" i="12"/>
  <c r="IN15" i="12"/>
  <c r="IQ9" i="12"/>
  <c r="IP9" i="12"/>
  <c r="IO9" i="12"/>
  <c r="IN9" i="12"/>
  <c r="IQ10" i="12"/>
  <c r="IP10" i="12"/>
  <c r="IO10" i="12"/>
  <c r="IN10" i="12"/>
  <c r="IQ7" i="12"/>
  <c r="IP7" i="12"/>
  <c r="IO7" i="12"/>
  <c r="IN7" i="12"/>
  <c r="IQ5" i="12"/>
  <c r="IP5" i="12"/>
  <c r="IO5" i="12"/>
  <c r="IN5" i="12"/>
  <c r="IQ4" i="12"/>
  <c r="IP4" i="12"/>
  <c r="IO4" i="12"/>
  <c r="IN4" i="12"/>
  <c r="IQ6" i="12"/>
  <c r="IP6" i="12"/>
  <c r="IO6" i="12"/>
  <c r="IN6" i="12"/>
  <c r="IQ8" i="12"/>
  <c r="IP8" i="12"/>
  <c r="IO8" i="12"/>
  <c r="IN8" i="12"/>
  <c r="HV18" i="12"/>
  <c r="HU18" i="12"/>
  <c r="HT18" i="12"/>
  <c r="HS18" i="12"/>
  <c r="HV22" i="12"/>
  <c r="HU22" i="12"/>
  <c r="HT22" i="12"/>
  <c r="HS22" i="12"/>
  <c r="HV14" i="12"/>
  <c r="HU14" i="12"/>
  <c r="HT14" i="12"/>
  <c r="HS14" i="12"/>
  <c r="HV13" i="12"/>
  <c r="HU13" i="12"/>
  <c r="HT13" i="12"/>
  <c r="HS13" i="12"/>
  <c r="HV17" i="12"/>
  <c r="HU17" i="12"/>
  <c r="HT17" i="12"/>
  <c r="HS17" i="12"/>
  <c r="HV16" i="12"/>
  <c r="HU16" i="12"/>
  <c r="HT16" i="12"/>
  <c r="HS16" i="12"/>
  <c r="HV12" i="12"/>
  <c r="HU12" i="12"/>
  <c r="HT12" i="12"/>
  <c r="HS12" i="12"/>
  <c r="HV11" i="12"/>
  <c r="HU11" i="12"/>
  <c r="HT11" i="12"/>
  <c r="HS11" i="12"/>
  <c r="HV19" i="12"/>
  <c r="HU19" i="12"/>
  <c r="HT19" i="12"/>
  <c r="HS19" i="12"/>
  <c r="HV15" i="12"/>
  <c r="HU15" i="12"/>
  <c r="HT15" i="12"/>
  <c r="HS15" i="12"/>
  <c r="HV9" i="12"/>
  <c r="HU9" i="12"/>
  <c r="HT9" i="12"/>
  <c r="HS9" i="12"/>
  <c r="HV10" i="12"/>
  <c r="HU10" i="12"/>
  <c r="HT10" i="12"/>
  <c r="HS10" i="12"/>
  <c r="HV7" i="12"/>
  <c r="HU7" i="12"/>
  <c r="HT7" i="12"/>
  <c r="HS7" i="12"/>
  <c r="HV5" i="12"/>
  <c r="HU5" i="12"/>
  <c r="HT5" i="12"/>
  <c r="HS5" i="12"/>
  <c r="HV4" i="12"/>
  <c r="HU4" i="12"/>
  <c r="HT4" i="12"/>
  <c r="HS4" i="12"/>
  <c r="HV6" i="12"/>
  <c r="HU6" i="12"/>
  <c r="HT6" i="12"/>
  <c r="HS6" i="12"/>
  <c r="HV8" i="12"/>
  <c r="HU8" i="12"/>
  <c r="HT8" i="12"/>
  <c r="HS8" i="12"/>
  <c r="HA18" i="12"/>
  <c r="GZ18" i="12"/>
  <c r="GY18" i="12"/>
  <c r="GX18" i="12"/>
  <c r="HA22" i="12"/>
  <c r="GZ22" i="12"/>
  <c r="GY22" i="12"/>
  <c r="GX22" i="12"/>
  <c r="HA14" i="12"/>
  <c r="GZ14" i="12"/>
  <c r="GY14" i="12"/>
  <c r="GX14" i="12"/>
  <c r="HA13" i="12"/>
  <c r="GZ13" i="12"/>
  <c r="GY13" i="12"/>
  <c r="GX13" i="12"/>
  <c r="HA17" i="12"/>
  <c r="GZ17" i="12"/>
  <c r="GY17" i="12"/>
  <c r="GX17" i="12"/>
  <c r="HA16" i="12"/>
  <c r="GZ16" i="12"/>
  <c r="GY16" i="12"/>
  <c r="GX16" i="12"/>
  <c r="HA12" i="12"/>
  <c r="GZ12" i="12"/>
  <c r="GY12" i="12"/>
  <c r="GX12" i="12"/>
  <c r="HA11" i="12"/>
  <c r="GZ11" i="12"/>
  <c r="GY11" i="12"/>
  <c r="GX11" i="12"/>
  <c r="HA19" i="12"/>
  <c r="GZ19" i="12"/>
  <c r="GY19" i="12"/>
  <c r="GX19" i="12"/>
  <c r="HA15" i="12"/>
  <c r="GZ15" i="12"/>
  <c r="GY15" i="12"/>
  <c r="GX15" i="12"/>
  <c r="HA9" i="12"/>
  <c r="GZ9" i="12"/>
  <c r="GY9" i="12"/>
  <c r="GX9" i="12"/>
  <c r="HA10" i="12"/>
  <c r="GZ10" i="12"/>
  <c r="GY10" i="12"/>
  <c r="GX10" i="12"/>
  <c r="HA7" i="12"/>
  <c r="GZ7" i="12"/>
  <c r="GY7" i="12"/>
  <c r="GX7" i="12"/>
  <c r="HA5" i="12"/>
  <c r="GZ5" i="12"/>
  <c r="GY5" i="12"/>
  <c r="GX5" i="12"/>
  <c r="HA4" i="12"/>
  <c r="GZ4" i="12"/>
  <c r="GY4" i="12"/>
  <c r="GX4" i="12"/>
  <c r="HA6" i="12"/>
  <c r="GZ6" i="12"/>
  <c r="GY6" i="12"/>
  <c r="GX6" i="12"/>
  <c r="HA8" i="12"/>
  <c r="GZ8" i="12"/>
  <c r="GY8" i="12"/>
  <c r="GX8" i="12"/>
  <c r="GF18" i="12"/>
  <c r="GE18" i="12"/>
  <c r="GD18" i="12"/>
  <c r="GC18" i="12"/>
  <c r="GF22" i="12"/>
  <c r="GE22" i="12"/>
  <c r="GD22" i="12"/>
  <c r="GC22" i="12"/>
  <c r="GF14" i="12"/>
  <c r="GE14" i="12"/>
  <c r="GD14" i="12"/>
  <c r="GC14" i="12"/>
  <c r="GF13" i="12"/>
  <c r="GE13" i="12"/>
  <c r="GD13" i="12"/>
  <c r="GC13" i="12"/>
  <c r="GF17" i="12"/>
  <c r="GE17" i="12"/>
  <c r="GD17" i="12"/>
  <c r="GC17" i="12"/>
  <c r="GF16" i="12"/>
  <c r="GE16" i="12"/>
  <c r="GD16" i="12"/>
  <c r="GC16" i="12"/>
  <c r="GF12" i="12"/>
  <c r="GE12" i="12"/>
  <c r="GD12" i="12"/>
  <c r="GC12" i="12"/>
  <c r="GF11" i="12"/>
  <c r="GE11" i="12"/>
  <c r="GD11" i="12"/>
  <c r="GC11" i="12"/>
  <c r="GF19" i="12"/>
  <c r="GE19" i="12"/>
  <c r="GD19" i="12"/>
  <c r="GC19" i="12"/>
  <c r="GF15" i="12"/>
  <c r="GE15" i="12"/>
  <c r="GD15" i="12"/>
  <c r="GC15" i="12"/>
  <c r="GF9" i="12"/>
  <c r="GE9" i="12"/>
  <c r="GD9" i="12"/>
  <c r="GC9" i="12"/>
  <c r="GF10" i="12"/>
  <c r="GE10" i="12"/>
  <c r="GD10" i="12"/>
  <c r="GC10" i="12"/>
  <c r="GF7" i="12"/>
  <c r="GE7" i="12"/>
  <c r="GD7" i="12"/>
  <c r="GC7" i="12"/>
  <c r="GF5" i="12"/>
  <c r="GE5" i="12"/>
  <c r="GD5" i="12"/>
  <c r="GC5" i="12"/>
  <c r="GF4" i="12"/>
  <c r="GE4" i="12"/>
  <c r="GD4" i="12"/>
  <c r="GC4" i="12"/>
  <c r="GF6" i="12"/>
  <c r="GE6" i="12"/>
  <c r="GD6" i="12"/>
  <c r="GC6" i="12"/>
  <c r="GF8" i="12"/>
  <c r="GE8" i="12"/>
  <c r="GD8" i="12"/>
  <c r="GC8" i="12"/>
  <c r="FK18" i="12"/>
  <c r="FJ18" i="12"/>
  <c r="FI18" i="12"/>
  <c r="FH18" i="12"/>
  <c r="FK22" i="12"/>
  <c r="FJ22" i="12"/>
  <c r="FI22" i="12"/>
  <c r="FH22" i="12"/>
  <c r="FK14" i="12"/>
  <c r="FJ14" i="12"/>
  <c r="FI14" i="12"/>
  <c r="FH14" i="12"/>
  <c r="FK13" i="12"/>
  <c r="FJ13" i="12"/>
  <c r="FI13" i="12"/>
  <c r="FH13" i="12"/>
  <c r="FK17" i="12"/>
  <c r="FJ17" i="12"/>
  <c r="FI17" i="12"/>
  <c r="FH17" i="12"/>
  <c r="FK16" i="12"/>
  <c r="FJ16" i="12"/>
  <c r="FI16" i="12"/>
  <c r="FH16" i="12"/>
  <c r="FK12" i="12"/>
  <c r="FJ12" i="12"/>
  <c r="FI12" i="12"/>
  <c r="FH12" i="12"/>
  <c r="FK11" i="12"/>
  <c r="FJ11" i="12"/>
  <c r="FI11" i="12"/>
  <c r="FH11" i="12"/>
  <c r="FK19" i="12"/>
  <c r="FJ19" i="12"/>
  <c r="FI19" i="12"/>
  <c r="FH19" i="12"/>
  <c r="FK15" i="12"/>
  <c r="FJ15" i="12"/>
  <c r="FI15" i="12"/>
  <c r="FH15" i="12"/>
  <c r="FK9" i="12"/>
  <c r="FJ9" i="12"/>
  <c r="FI9" i="12"/>
  <c r="FH9" i="12"/>
  <c r="FK10" i="12"/>
  <c r="FJ10" i="12"/>
  <c r="FI10" i="12"/>
  <c r="FH10" i="12"/>
  <c r="FK7" i="12"/>
  <c r="FJ7" i="12"/>
  <c r="FI7" i="12"/>
  <c r="FH7" i="12"/>
  <c r="FK5" i="12"/>
  <c r="FJ5" i="12"/>
  <c r="FI5" i="12"/>
  <c r="FH5" i="12"/>
  <c r="FK4" i="12"/>
  <c r="FJ4" i="12"/>
  <c r="FI4" i="12"/>
  <c r="FH4" i="12"/>
  <c r="FK6" i="12"/>
  <c r="FJ6" i="12"/>
  <c r="FI6" i="12"/>
  <c r="FH6" i="12"/>
  <c r="FK8" i="12"/>
  <c r="FJ8" i="12"/>
  <c r="FI8" i="12"/>
  <c r="FH8" i="12"/>
  <c r="EP18" i="12"/>
  <c r="EO18" i="12"/>
  <c r="EN18" i="12"/>
  <c r="EM18" i="12"/>
  <c r="EP22" i="12"/>
  <c r="EO22" i="12"/>
  <c r="EN22" i="12"/>
  <c r="EM22" i="12"/>
  <c r="EP14" i="12"/>
  <c r="EO14" i="12"/>
  <c r="EN14" i="12"/>
  <c r="EM14" i="12"/>
  <c r="EP13" i="12"/>
  <c r="EO13" i="12"/>
  <c r="EN13" i="12"/>
  <c r="EM13" i="12"/>
  <c r="EP17" i="12"/>
  <c r="EO17" i="12"/>
  <c r="EN17" i="12"/>
  <c r="EM17" i="12"/>
  <c r="EP16" i="12"/>
  <c r="EO16" i="12"/>
  <c r="EN16" i="12"/>
  <c r="EM16" i="12"/>
  <c r="EP12" i="12"/>
  <c r="EO12" i="12"/>
  <c r="EN12" i="12"/>
  <c r="EM12" i="12"/>
  <c r="EP11" i="12"/>
  <c r="EO11" i="12"/>
  <c r="EN11" i="12"/>
  <c r="EM11" i="12"/>
  <c r="EP19" i="12"/>
  <c r="EO19" i="12"/>
  <c r="EN19" i="12"/>
  <c r="EM19" i="12"/>
  <c r="EP15" i="12"/>
  <c r="EO15" i="12"/>
  <c r="EN15" i="12"/>
  <c r="EM15" i="12"/>
  <c r="EP9" i="12"/>
  <c r="EO9" i="12"/>
  <c r="EN9" i="12"/>
  <c r="EM9" i="12"/>
  <c r="EP10" i="12"/>
  <c r="EO10" i="12"/>
  <c r="EN10" i="12"/>
  <c r="EM10" i="12"/>
  <c r="EP7" i="12"/>
  <c r="EO7" i="12"/>
  <c r="EN7" i="12"/>
  <c r="EM7" i="12"/>
  <c r="EP5" i="12"/>
  <c r="EO5" i="12"/>
  <c r="EN5" i="12"/>
  <c r="EM5" i="12"/>
  <c r="EP4" i="12"/>
  <c r="EO4" i="12"/>
  <c r="EN4" i="12"/>
  <c r="EM4" i="12"/>
  <c r="EP6" i="12"/>
  <c r="EO6" i="12"/>
  <c r="EN6" i="12"/>
  <c r="EM6" i="12"/>
  <c r="EP8" i="12"/>
  <c r="EO8" i="12"/>
  <c r="EN8" i="12"/>
  <c r="EM8" i="12"/>
  <c r="DU18" i="12"/>
  <c r="DT18" i="12"/>
  <c r="DS18" i="12"/>
  <c r="DR18" i="12"/>
  <c r="DU22" i="12"/>
  <c r="DT22" i="12"/>
  <c r="DS22" i="12"/>
  <c r="DR22" i="12"/>
  <c r="DU14" i="12"/>
  <c r="DT14" i="12"/>
  <c r="DS14" i="12"/>
  <c r="DR14" i="12"/>
  <c r="DU13" i="12"/>
  <c r="DT13" i="12"/>
  <c r="DS13" i="12"/>
  <c r="DR13" i="12"/>
  <c r="DU17" i="12"/>
  <c r="DT17" i="12"/>
  <c r="DS17" i="12"/>
  <c r="DR17" i="12"/>
  <c r="DU16" i="12"/>
  <c r="DT16" i="12"/>
  <c r="DS16" i="12"/>
  <c r="DR16" i="12"/>
  <c r="DU12" i="12"/>
  <c r="DT12" i="12"/>
  <c r="DS12" i="12"/>
  <c r="DR12" i="12"/>
  <c r="DU11" i="12"/>
  <c r="DT11" i="12"/>
  <c r="DS11" i="12"/>
  <c r="DR11" i="12"/>
  <c r="DU19" i="12"/>
  <c r="DT19" i="12"/>
  <c r="DS19" i="12"/>
  <c r="DR19" i="12"/>
  <c r="DU15" i="12"/>
  <c r="DT15" i="12"/>
  <c r="DS15" i="12"/>
  <c r="DR15" i="12"/>
  <c r="DU9" i="12"/>
  <c r="DT9" i="12"/>
  <c r="DS9" i="12"/>
  <c r="DR9" i="12"/>
  <c r="DU10" i="12"/>
  <c r="DT10" i="12"/>
  <c r="DS10" i="12"/>
  <c r="DR10" i="12"/>
  <c r="DU7" i="12"/>
  <c r="DT7" i="12"/>
  <c r="DS7" i="12"/>
  <c r="DR7" i="12"/>
  <c r="DU5" i="12"/>
  <c r="DT5" i="12"/>
  <c r="DS5" i="12"/>
  <c r="DR5" i="12"/>
  <c r="DU4" i="12"/>
  <c r="DT4" i="12"/>
  <c r="DS4" i="12"/>
  <c r="DR4" i="12"/>
  <c r="DU6" i="12"/>
  <c r="DT6" i="12"/>
  <c r="DS6" i="12"/>
  <c r="DR6" i="12"/>
  <c r="DU8" i="12"/>
  <c r="DT8" i="12"/>
  <c r="DS8" i="12"/>
  <c r="DR8" i="12"/>
  <c r="CZ18" i="12"/>
  <c r="CY18" i="12"/>
  <c r="CX18" i="12"/>
  <c r="CW18" i="12"/>
  <c r="CZ22" i="12"/>
  <c r="CY22" i="12"/>
  <c r="CX22" i="12"/>
  <c r="CW22" i="12"/>
  <c r="CZ14" i="12"/>
  <c r="CY14" i="12"/>
  <c r="CX14" i="12"/>
  <c r="CW14" i="12"/>
  <c r="CZ13" i="12"/>
  <c r="CY13" i="12"/>
  <c r="CX13" i="12"/>
  <c r="CW13" i="12"/>
  <c r="CZ17" i="12"/>
  <c r="CY17" i="12"/>
  <c r="CX17" i="12"/>
  <c r="CW17" i="12"/>
  <c r="CZ16" i="12"/>
  <c r="CY16" i="12"/>
  <c r="CX16" i="12"/>
  <c r="CW16" i="12"/>
  <c r="CZ12" i="12"/>
  <c r="CY12" i="12"/>
  <c r="CX12" i="12"/>
  <c r="CW12" i="12"/>
  <c r="CZ11" i="12"/>
  <c r="CY11" i="12"/>
  <c r="CX11" i="12"/>
  <c r="CW11" i="12"/>
  <c r="CZ19" i="12"/>
  <c r="CY19" i="12"/>
  <c r="CX19" i="12"/>
  <c r="CW19" i="12"/>
  <c r="CZ15" i="12"/>
  <c r="CY15" i="12"/>
  <c r="CX15" i="12"/>
  <c r="CW15" i="12"/>
  <c r="CZ9" i="12"/>
  <c r="CY9" i="12"/>
  <c r="CX9" i="12"/>
  <c r="CW9" i="12"/>
  <c r="CZ10" i="12"/>
  <c r="CY10" i="12"/>
  <c r="CX10" i="12"/>
  <c r="CW10" i="12"/>
  <c r="CZ7" i="12"/>
  <c r="CY7" i="12"/>
  <c r="CX7" i="12"/>
  <c r="CW7" i="12"/>
  <c r="CZ5" i="12"/>
  <c r="CY5" i="12"/>
  <c r="CX5" i="12"/>
  <c r="CW5" i="12"/>
  <c r="CZ4" i="12"/>
  <c r="CY4" i="12"/>
  <c r="CX4" i="12"/>
  <c r="CW4" i="12"/>
  <c r="CZ6" i="12"/>
  <c r="CY6" i="12"/>
  <c r="CX6" i="12"/>
  <c r="CW6" i="12"/>
  <c r="CZ8" i="12"/>
  <c r="CY8" i="12"/>
  <c r="CX8" i="12"/>
  <c r="CW8" i="12"/>
  <c r="LB19" i="6"/>
  <c r="LA19" i="6"/>
  <c r="KZ19" i="6"/>
  <c r="KY19" i="6"/>
  <c r="LB20" i="6"/>
  <c r="LA20" i="6"/>
  <c r="KZ20" i="6"/>
  <c r="LC20" i="6" s="1"/>
  <c r="KY20" i="6"/>
  <c r="LB12" i="6"/>
  <c r="LA12" i="6"/>
  <c r="KZ12" i="6"/>
  <c r="KY12" i="6"/>
  <c r="LB9" i="6"/>
  <c r="LA9" i="6"/>
  <c r="KZ9" i="6"/>
  <c r="KY9" i="6"/>
  <c r="LB8" i="6"/>
  <c r="LA8" i="6"/>
  <c r="KZ8" i="6"/>
  <c r="KY8" i="6"/>
  <c r="LB10" i="6"/>
  <c r="LA10" i="6"/>
  <c r="KZ10" i="6"/>
  <c r="KY10" i="6"/>
  <c r="LB11" i="6"/>
  <c r="LA11" i="6"/>
  <c r="KZ11" i="6"/>
  <c r="KY11" i="6"/>
  <c r="LB14" i="6"/>
  <c r="LA14" i="6"/>
  <c r="KZ14" i="6"/>
  <c r="KY14" i="6"/>
  <c r="LB6" i="6"/>
  <c r="LA6" i="6"/>
  <c r="KZ6" i="6"/>
  <c r="KY6" i="6"/>
  <c r="LB17" i="6"/>
  <c r="LA17" i="6"/>
  <c r="KZ17" i="6"/>
  <c r="KY17" i="6"/>
  <c r="LB7" i="6"/>
  <c r="LA7" i="6"/>
  <c r="KZ7" i="6"/>
  <c r="KY7" i="6"/>
  <c r="LB18" i="6"/>
  <c r="LA18" i="6"/>
  <c r="KZ18" i="6"/>
  <c r="KY18" i="6"/>
  <c r="LB4" i="6"/>
  <c r="LA4" i="6"/>
  <c r="KZ4" i="6"/>
  <c r="KY4" i="6"/>
  <c r="LB5" i="6"/>
  <c r="LA5" i="6"/>
  <c r="KZ5" i="6"/>
  <c r="KY5" i="6"/>
  <c r="KG19" i="6"/>
  <c r="KF19" i="6"/>
  <c r="KE19" i="6"/>
  <c r="KD19" i="6"/>
  <c r="KG20" i="6"/>
  <c r="KF20" i="6"/>
  <c r="KE20" i="6"/>
  <c r="KD20" i="6"/>
  <c r="KG12" i="6"/>
  <c r="KF12" i="6"/>
  <c r="KE12" i="6"/>
  <c r="KD12" i="6"/>
  <c r="KG9" i="6"/>
  <c r="KF9" i="6"/>
  <c r="KE9" i="6"/>
  <c r="KD9" i="6"/>
  <c r="KG8" i="6"/>
  <c r="KF8" i="6"/>
  <c r="KE8" i="6"/>
  <c r="KD8" i="6"/>
  <c r="KG10" i="6"/>
  <c r="KF10" i="6"/>
  <c r="KE10" i="6"/>
  <c r="KD10" i="6"/>
  <c r="KG11" i="6"/>
  <c r="KF11" i="6"/>
  <c r="KE11" i="6"/>
  <c r="KD11" i="6"/>
  <c r="KG14" i="6"/>
  <c r="KF14" i="6"/>
  <c r="KE14" i="6"/>
  <c r="KD14" i="6"/>
  <c r="KG6" i="6"/>
  <c r="KF6" i="6"/>
  <c r="KE6" i="6"/>
  <c r="KD6" i="6"/>
  <c r="KG17" i="6"/>
  <c r="KF17" i="6"/>
  <c r="KE17" i="6"/>
  <c r="KD17" i="6"/>
  <c r="KG7" i="6"/>
  <c r="KF7" i="6"/>
  <c r="KE7" i="6"/>
  <c r="KD7" i="6"/>
  <c r="KG18" i="6"/>
  <c r="KF18" i="6"/>
  <c r="KE18" i="6"/>
  <c r="KD18" i="6"/>
  <c r="KG4" i="6"/>
  <c r="KF4" i="6"/>
  <c r="KE4" i="6"/>
  <c r="KD4" i="6"/>
  <c r="KG5" i="6"/>
  <c r="KF5" i="6"/>
  <c r="KE5" i="6"/>
  <c r="KD5" i="6"/>
  <c r="JL19" i="6"/>
  <c r="JK19" i="6"/>
  <c r="JJ19" i="6"/>
  <c r="JI19" i="6"/>
  <c r="JL20" i="6"/>
  <c r="JK20" i="6"/>
  <c r="JJ20" i="6"/>
  <c r="JI20" i="6"/>
  <c r="JL12" i="6"/>
  <c r="JK12" i="6"/>
  <c r="JJ12" i="6"/>
  <c r="JI12" i="6"/>
  <c r="JL9" i="6"/>
  <c r="JK9" i="6"/>
  <c r="JJ9" i="6"/>
  <c r="JI9" i="6"/>
  <c r="JL8" i="6"/>
  <c r="JK8" i="6"/>
  <c r="JJ8" i="6"/>
  <c r="JI8" i="6"/>
  <c r="JL10" i="6"/>
  <c r="JK10" i="6"/>
  <c r="JJ10" i="6"/>
  <c r="JI10" i="6"/>
  <c r="JL11" i="6"/>
  <c r="JK11" i="6"/>
  <c r="JJ11" i="6"/>
  <c r="JI11" i="6"/>
  <c r="JL14" i="6"/>
  <c r="JK14" i="6"/>
  <c r="JJ14" i="6"/>
  <c r="JM14" i="6" s="1"/>
  <c r="JI14" i="6"/>
  <c r="JL6" i="6"/>
  <c r="JK6" i="6"/>
  <c r="JJ6" i="6"/>
  <c r="JI6" i="6"/>
  <c r="JL17" i="6"/>
  <c r="JK17" i="6"/>
  <c r="JJ17" i="6"/>
  <c r="JI17" i="6"/>
  <c r="JL7" i="6"/>
  <c r="JK7" i="6"/>
  <c r="JJ7" i="6"/>
  <c r="JI7" i="6"/>
  <c r="JL18" i="6"/>
  <c r="JK18" i="6"/>
  <c r="JJ18" i="6"/>
  <c r="JI18" i="6"/>
  <c r="JL4" i="6"/>
  <c r="JK4" i="6"/>
  <c r="JJ4" i="6"/>
  <c r="JI4" i="6"/>
  <c r="JL5" i="6"/>
  <c r="JK5" i="6"/>
  <c r="JJ5" i="6"/>
  <c r="JI5" i="6"/>
  <c r="IQ19" i="6"/>
  <c r="IP19" i="6"/>
  <c r="IO19" i="6"/>
  <c r="IN19" i="6"/>
  <c r="IQ20" i="6"/>
  <c r="IP20" i="6"/>
  <c r="IO20" i="6"/>
  <c r="IN20" i="6"/>
  <c r="IQ12" i="6"/>
  <c r="IP12" i="6"/>
  <c r="IO12" i="6"/>
  <c r="IN12" i="6"/>
  <c r="IQ9" i="6"/>
  <c r="IP9" i="6"/>
  <c r="IO9" i="6"/>
  <c r="IN9" i="6"/>
  <c r="IQ8" i="6"/>
  <c r="IP8" i="6"/>
  <c r="IO8" i="6"/>
  <c r="IN8" i="6"/>
  <c r="IQ10" i="6"/>
  <c r="IP10" i="6"/>
  <c r="IO10" i="6"/>
  <c r="IN10" i="6"/>
  <c r="IQ11" i="6"/>
  <c r="IP11" i="6"/>
  <c r="IO11" i="6"/>
  <c r="IN11" i="6"/>
  <c r="IQ14" i="6"/>
  <c r="IP14" i="6"/>
  <c r="IO14" i="6"/>
  <c r="IN14" i="6"/>
  <c r="IQ6" i="6"/>
  <c r="IP6" i="6"/>
  <c r="IO6" i="6"/>
  <c r="IN6" i="6"/>
  <c r="IQ17" i="6"/>
  <c r="IP17" i="6"/>
  <c r="IO17" i="6"/>
  <c r="IN17" i="6"/>
  <c r="IQ7" i="6"/>
  <c r="IP7" i="6"/>
  <c r="IO7" i="6"/>
  <c r="IN7" i="6"/>
  <c r="IQ18" i="6"/>
  <c r="IP18" i="6"/>
  <c r="IO18" i="6"/>
  <c r="IN18" i="6"/>
  <c r="IQ4" i="6"/>
  <c r="IP4" i="6"/>
  <c r="IO4" i="6"/>
  <c r="IN4" i="6"/>
  <c r="IQ5" i="6"/>
  <c r="IP5" i="6"/>
  <c r="IO5" i="6"/>
  <c r="IN5" i="6"/>
  <c r="HV19" i="6"/>
  <c r="HU19" i="6"/>
  <c r="HT19" i="6"/>
  <c r="HS19" i="6"/>
  <c r="HV20" i="6"/>
  <c r="HU20" i="6"/>
  <c r="HT20" i="6"/>
  <c r="HS20" i="6"/>
  <c r="HV12" i="6"/>
  <c r="HU12" i="6"/>
  <c r="HT12" i="6"/>
  <c r="HS12" i="6"/>
  <c r="HV9" i="6"/>
  <c r="HU9" i="6"/>
  <c r="HT9" i="6"/>
  <c r="HS9" i="6"/>
  <c r="HV8" i="6"/>
  <c r="HU8" i="6"/>
  <c r="HT8" i="6"/>
  <c r="HS8" i="6"/>
  <c r="HV10" i="6"/>
  <c r="HU10" i="6"/>
  <c r="HT10" i="6"/>
  <c r="HS10" i="6"/>
  <c r="HV11" i="6"/>
  <c r="HU11" i="6"/>
  <c r="HT11" i="6"/>
  <c r="HS11" i="6"/>
  <c r="HV14" i="6"/>
  <c r="HU14" i="6"/>
  <c r="HT14" i="6"/>
  <c r="HS14" i="6"/>
  <c r="HV6" i="6"/>
  <c r="HU6" i="6"/>
  <c r="HT6" i="6"/>
  <c r="HS6" i="6"/>
  <c r="HV17" i="6"/>
  <c r="HU17" i="6"/>
  <c r="HT17" i="6"/>
  <c r="HS17" i="6"/>
  <c r="HV7" i="6"/>
  <c r="HU7" i="6"/>
  <c r="HT7" i="6"/>
  <c r="HS7" i="6"/>
  <c r="HV18" i="6"/>
  <c r="HU18" i="6"/>
  <c r="HT18" i="6"/>
  <c r="HS18" i="6"/>
  <c r="HV4" i="6"/>
  <c r="HU4" i="6"/>
  <c r="HT4" i="6"/>
  <c r="HS4" i="6"/>
  <c r="HV5" i="6"/>
  <c r="HU5" i="6"/>
  <c r="HT5" i="6"/>
  <c r="HS5" i="6"/>
  <c r="HA19" i="6"/>
  <c r="GZ19" i="6"/>
  <c r="GY19" i="6"/>
  <c r="GX19" i="6"/>
  <c r="HA20" i="6"/>
  <c r="GZ20" i="6"/>
  <c r="GY20" i="6"/>
  <c r="GX20" i="6"/>
  <c r="HA12" i="6"/>
  <c r="GZ12" i="6"/>
  <c r="GY12" i="6"/>
  <c r="GX12" i="6"/>
  <c r="HA9" i="6"/>
  <c r="GZ9" i="6"/>
  <c r="GY9" i="6"/>
  <c r="GX9" i="6"/>
  <c r="HA8" i="6"/>
  <c r="GZ8" i="6"/>
  <c r="GY8" i="6"/>
  <c r="GX8" i="6"/>
  <c r="HA10" i="6"/>
  <c r="GZ10" i="6"/>
  <c r="GY10" i="6"/>
  <c r="GX10" i="6"/>
  <c r="HA11" i="6"/>
  <c r="GZ11" i="6"/>
  <c r="GY11" i="6"/>
  <c r="GX11" i="6"/>
  <c r="HA14" i="6"/>
  <c r="GZ14" i="6"/>
  <c r="GY14" i="6"/>
  <c r="GX14" i="6"/>
  <c r="HA6" i="6"/>
  <c r="GZ6" i="6"/>
  <c r="GY6" i="6"/>
  <c r="GX6" i="6"/>
  <c r="HA17" i="6"/>
  <c r="GZ17" i="6"/>
  <c r="GY17" i="6"/>
  <c r="GX17" i="6"/>
  <c r="HA7" i="6"/>
  <c r="GZ7" i="6"/>
  <c r="GY7" i="6"/>
  <c r="GX7" i="6"/>
  <c r="HA18" i="6"/>
  <c r="GZ18" i="6"/>
  <c r="GY18" i="6"/>
  <c r="GX18" i="6"/>
  <c r="HA4" i="6"/>
  <c r="GZ4" i="6"/>
  <c r="GY4" i="6"/>
  <c r="GX4" i="6"/>
  <c r="HA5" i="6"/>
  <c r="GZ5" i="6"/>
  <c r="GY5" i="6"/>
  <c r="GX5" i="6"/>
  <c r="GF19" i="6"/>
  <c r="GE19" i="6"/>
  <c r="GD19" i="6"/>
  <c r="GC19" i="6"/>
  <c r="GF20" i="6"/>
  <c r="GE20" i="6"/>
  <c r="GD20" i="6"/>
  <c r="GC20" i="6"/>
  <c r="GF12" i="6"/>
  <c r="GE12" i="6"/>
  <c r="GD12" i="6"/>
  <c r="GC12" i="6"/>
  <c r="GF9" i="6"/>
  <c r="GE9" i="6"/>
  <c r="GD9" i="6"/>
  <c r="GC9" i="6"/>
  <c r="GF8" i="6"/>
  <c r="GE8" i="6"/>
  <c r="GD8" i="6"/>
  <c r="GC8" i="6"/>
  <c r="GF10" i="6"/>
  <c r="GE10" i="6"/>
  <c r="GD10" i="6"/>
  <c r="GC10" i="6"/>
  <c r="GF11" i="6"/>
  <c r="GE11" i="6"/>
  <c r="GD11" i="6"/>
  <c r="GC11" i="6"/>
  <c r="GF14" i="6"/>
  <c r="GE14" i="6"/>
  <c r="GD14" i="6"/>
  <c r="GC14" i="6"/>
  <c r="GF6" i="6"/>
  <c r="GE6" i="6"/>
  <c r="GD6" i="6"/>
  <c r="GC6" i="6"/>
  <c r="GF17" i="6"/>
  <c r="GE17" i="6"/>
  <c r="GD17" i="6"/>
  <c r="GC17" i="6"/>
  <c r="GF7" i="6"/>
  <c r="GE7" i="6"/>
  <c r="GD7" i="6"/>
  <c r="GC7" i="6"/>
  <c r="GF18" i="6"/>
  <c r="GE18" i="6"/>
  <c r="GD18" i="6"/>
  <c r="GC18" i="6"/>
  <c r="GF4" i="6"/>
  <c r="GE4" i="6"/>
  <c r="GD4" i="6"/>
  <c r="GC4" i="6"/>
  <c r="GF5" i="6"/>
  <c r="GE5" i="6"/>
  <c r="GD5" i="6"/>
  <c r="GC5" i="6"/>
  <c r="FK19" i="6"/>
  <c r="FJ19" i="6"/>
  <c r="FI19" i="6"/>
  <c r="FH19" i="6"/>
  <c r="FK20" i="6"/>
  <c r="FJ20" i="6"/>
  <c r="FI20" i="6"/>
  <c r="FH20" i="6"/>
  <c r="FK12" i="6"/>
  <c r="FJ12" i="6"/>
  <c r="FI12" i="6"/>
  <c r="FH12" i="6"/>
  <c r="FK9" i="6"/>
  <c r="FJ9" i="6"/>
  <c r="FI9" i="6"/>
  <c r="FH9" i="6"/>
  <c r="FK8" i="6"/>
  <c r="FJ8" i="6"/>
  <c r="FI8" i="6"/>
  <c r="FH8" i="6"/>
  <c r="FK10" i="6"/>
  <c r="FJ10" i="6"/>
  <c r="FI10" i="6"/>
  <c r="FH10" i="6"/>
  <c r="FK11" i="6"/>
  <c r="FJ11" i="6"/>
  <c r="FI11" i="6"/>
  <c r="FH11" i="6"/>
  <c r="FK14" i="6"/>
  <c r="FJ14" i="6"/>
  <c r="FI14" i="6"/>
  <c r="FH14" i="6"/>
  <c r="FK6" i="6"/>
  <c r="FJ6" i="6"/>
  <c r="FI6" i="6"/>
  <c r="FH6" i="6"/>
  <c r="FK17" i="6"/>
  <c r="FJ17" i="6"/>
  <c r="FI17" i="6"/>
  <c r="FH17" i="6"/>
  <c r="FK7" i="6"/>
  <c r="FJ7" i="6"/>
  <c r="FI7" i="6"/>
  <c r="FH7" i="6"/>
  <c r="FK18" i="6"/>
  <c r="FJ18" i="6"/>
  <c r="FI18" i="6"/>
  <c r="FH18" i="6"/>
  <c r="FK4" i="6"/>
  <c r="FJ4" i="6"/>
  <c r="FI4" i="6"/>
  <c r="FH4" i="6"/>
  <c r="FK5" i="6"/>
  <c r="FJ5" i="6"/>
  <c r="FI5" i="6"/>
  <c r="FH5" i="6"/>
  <c r="EP19" i="6"/>
  <c r="EO19" i="6"/>
  <c r="EN19" i="6"/>
  <c r="EM19" i="6"/>
  <c r="EP20" i="6"/>
  <c r="EO20" i="6"/>
  <c r="EN20" i="6"/>
  <c r="EM20" i="6"/>
  <c r="EP12" i="6"/>
  <c r="EO12" i="6"/>
  <c r="EN12" i="6"/>
  <c r="EM12" i="6"/>
  <c r="EP9" i="6"/>
  <c r="EO9" i="6"/>
  <c r="EN9" i="6"/>
  <c r="EM9" i="6"/>
  <c r="EP8" i="6"/>
  <c r="EO8" i="6"/>
  <c r="EN8" i="6"/>
  <c r="EM8" i="6"/>
  <c r="EP10" i="6"/>
  <c r="EO10" i="6"/>
  <c r="EN10" i="6"/>
  <c r="EM10" i="6"/>
  <c r="EP11" i="6"/>
  <c r="EO11" i="6"/>
  <c r="EN11" i="6"/>
  <c r="EM11" i="6"/>
  <c r="EP14" i="6"/>
  <c r="EO14" i="6"/>
  <c r="EN14" i="6"/>
  <c r="EM14" i="6"/>
  <c r="EP6" i="6"/>
  <c r="EO6" i="6"/>
  <c r="EN6" i="6"/>
  <c r="EM6" i="6"/>
  <c r="EP17" i="6"/>
  <c r="EO17" i="6"/>
  <c r="EN17" i="6"/>
  <c r="EM17" i="6"/>
  <c r="EP7" i="6"/>
  <c r="EO7" i="6"/>
  <c r="EN7" i="6"/>
  <c r="EM7" i="6"/>
  <c r="EP18" i="6"/>
  <c r="EO18" i="6"/>
  <c r="EN18" i="6"/>
  <c r="EM18" i="6"/>
  <c r="EP4" i="6"/>
  <c r="EO4" i="6"/>
  <c r="EN4" i="6"/>
  <c r="EM4" i="6"/>
  <c r="EP5" i="6"/>
  <c r="EO5" i="6"/>
  <c r="EN5" i="6"/>
  <c r="EM5" i="6"/>
  <c r="DU19" i="6"/>
  <c r="DT19" i="6"/>
  <c r="DS19" i="6"/>
  <c r="DR19" i="6"/>
  <c r="DU20" i="6"/>
  <c r="DT20" i="6"/>
  <c r="DS20" i="6"/>
  <c r="DV20" i="6" s="1"/>
  <c r="DR20" i="6"/>
  <c r="DU12" i="6"/>
  <c r="DT12" i="6"/>
  <c r="DS12" i="6"/>
  <c r="DR12" i="6"/>
  <c r="DU9" i="6"/>
  <c r="DT9" i="6"/>
  <c r="DS9" i="6"/>
  <c r="DR9" i="6"/>
  <c r="DU8" i="6"/>
  <c r="DT8" i="6"/>
  <c r="DS8" i="6"/>
  <c r="DR8" i="6"/>
  <c r="DU10" i="6"/>
  <c r="DT10" i="6"/>
  <c r="DS10" i="6"/>
  <c r="DR10" i="6"/>
  <c r="DU11" i="6"/>
  <c r="DT11" i="6"/>
  <c r="DS11" i="6"/>
  <c r="DR11" i="6"/>
  <c r="DU14" i="6"/>
  <c r="DT14" i="6"/>
  <c r="DS14" i="6"/>
  <c r="DR14" i="6"/>
  <c r="DU6" i="6"/>
  <c r="DT6" i="6"/>
  <c r="DS6" i="6"/>
  <c r="DR6" i="6"/>
  <c r="DU17" i="6"/>
  <c r="DT17" i="6"/>
  <c r="DS17" i="6"/>
  <c r="DR17" i="6"/>
  <c r="DU7" i="6"/>
  <c r="DT7" i="6"/>
  <c r="DS7" i="6"/>
  <c r="DR7" i="6"/>
  <c r="DU18" i="6"/>
  <c r="DT18" i="6"/>
  <c r="DS18" i="6"/>
  <c r="DR18" i="6"/>
  <c r="DU4" i="6"/>
  <c r="DT4" i="6"/>
  <c r="DS4" i="6"/>
  <c r="DR4" i="6"/>
  <c r="DU5" i="6"/>
  <c r="DT5" i="6"/>
  <c r="DS5" i="6"/>
  <c r="DR5" i="6"/>
  <c r="CZ19" i="6"/>
  <c r="CY19" i="6"/>
  <c r="CX19" i="6"/>
  <c r="CW19" i="6"/>
  <c r="CZ20" i="6"/>
  <c r="CY20" i="6"/>
  <c r="CX20" i="6"/>
  <c r="DA20" i="6" s="1"/>
  <c r="CW20" i="6"/>
  <c r="CZ12" i="6"/>
  <c r="CY12" i="6"/>
  <c r="CX12" i="6"/>
  <c r="CW12" i="6"/>
  <c r="CZ9" i="6"/>
  <c r="CY9" i="6"/>
  <c r="CX9" i="6"/>
  <c r="CW9" i="6"/>
  <c r="CZ8" i="6"/>
  <c r="CY8" i="6"/>
  <c r="CX8" i="6"/>
  <c r="CW8" i="6"/>
  <c r="CZ10" i="6"/>
  <c r="CY10" i="6"/>
  <c r="CX10" i="6"/>
  <c r="CW10" i="6"/>
  <c r="CZ11" i="6"/>
  <c r="CY11" i="6"/>
  <c r="CX11" i="6"/>
  <c r="CW11" i="6"/>
  <c r="CZ14" i="6"/>
  <c r="CY14" i="6"/>
  <c r="CX14" i="6"/>
  <c r="CW14" i="6"/>
  <c r="CZ6" i="6"/>
  <c r="CY6" i="6"/>
  <c r="CX6" i="6"/>
  <c r="CW6" i="6"/>
  <c r="CZ17" i="6"/>
  <c r="CY17" i="6"/>
  <c r="CX17" i="6"/>
  <c r="CW17" i="6"/>
  <c r="CZ7" i="6"/>
  <c r="CY7" i="6"/>
  <c r="CX7" i="6"/>
  <c r="CW7" i="6"/>
  <c r="CZ18" i="6"/>
  <c r="CY18" i="6"/>
  <c r="CX18" i="6"/>
  <c r="CW18" i="6"/>
  <c r="CZ4" i="6"/>
  <c r="CY4" i="6"/>
  <c r="CX4" i="6"/>
  <c r="CW4" i="6"/>
  <c r="CZ5" i="6"/>
  <c r="CY5" i="6"/>
  <c r="CX5" i="6"/>
  <c r="CW5" i="6"/>
  <c r="LB10" i="8"/>
  <c r="LA10" i="8"/>
  <c r="KZ10" i="8"/>
  <c r="KY10" i="8"/>
  <c r="LB7" i="8"/>
  <c r="LA7" i="8"/>
  <c r="KZ7" i="8"/>
  <c r="KY7" i="8"/>
  <c r="LB9" i="8"/>
  <c r="LA9" i="8"/>
  <c r="KZ9" i="8"/>
  <c r="KY9" i="8"/>
  <c r="LB11" i="8"/>
  <c r="LA11" i="8"/>
  <c r="KZ11" i="8"/>
  <c r="KY11" i="8"/>
  <c r="LB4" i="8"/>
  <c r="LA4" i="8"/>
  <c r="KZ4" i="8"/>
  <c r="KY4" i="8"/>
  <c r="LB8" i="8"/>
  <c r="LA8" i="8"/>
  <c r="KZ8" i="8"/>
  <c r="KY8" i="8"/>
  <c r="LB6" i="8"/>
  <c r="LA6" i="8"/>
  <c r="KZ6" i="8"/>
  <c r="KY6" i="8"/>
  <c r="KG10" i="8"/>
  <c r="KF10" i="8"/>
  <c r="KE10" i="8"/>
  <c r="KD10" i="8"/>
  <c r="KG7" i="8"/>
  <c r="KF7" i="8"/>
  <c r="KE7" i="8"/>
  <c r="KD7" i="8"/>
  <c r="KG9" i="8"/>
  <c r="KF9" i="8"/>
  <c r="KE9" i="8"/>
  <c r="KD9" i="8"/>
  <c r="KG11" i="8"/>
  <c r="KF11" i="8"/>
  <c r="KE11" i="8"/>
  <c r="KD11" i="8"/>
  <c r="KG4" i="8"/>
  <c r="KF4" i="8"/>
  <c r="KE4" i="8"/>
  <c r="KD4" i="8"/>
  <c r="KG8" i="8"/>
  <c r="KF8" i="8"/>
  <c r="KE8" i="8"/>
  <c r="KD8" i="8"/>
  <c r="KG6" i="8"/>
  <c r="KF6" i="8"/>
  <c r="KE6" i="8"/>
  <c r="KD6" i="8"/>
  <c r="JL10" i="8"/>
  <c r="JK10" i="8"/>
  <c r="JJ10" i="8"/>
  <c r="JI10" i="8"/>
  <c r="JL7" i="8"/>
  <c r="JK7" i="8"/>
  <c r="JJ7" i="8"/>
  <c r="JI7" i="8"/>
  <c r="JL9" i="8"/>
  <c r="JK9" i="8"/>
  <c r="JJ9" i="8"/>
  <c r="JI9" i="8"/>
  <c r="JL11" i="8"/>
  <c r="JK11" i="8"/>
  <c r="JJ11" i="8"/>
  <c r="JI11" i="8"/>
  <c r="JL4" i="8"/>
  <c r="JK4" i="8"/>
  <c r="JJ4" i="8"/>
  <c r="JI4" i="8"/>
  <c r="JL8" i="8"/>
  <c r="JK8" i="8"/>
  <c r="JJ8" i="8"/>
  <c r="JI8" i="8"/>
  <c r="JL6" i="8"/>
  <c r="JK6" i="8"/>
  <c r="JJ6" i="8"/>
  <c r="JI6" i="8"/>
  <c r="IQ10" i="8"/>
  <c r="IP10" i="8"/>
  <c r="IO10" i="8"/>
  <c r="IN10" i="8"/>
  <c r="IQ7" i="8"/>
  <c r="IP7" i="8"/>
  <c r="IO7" i="8"/>
  <c r="IN7" i="8"/>
  <c r="IQ9" i="8"/>
  <c r="IP9" i="8"/>
  <c r="IO9" i="8"/>
  <c r="IN9" i="8"/>
  <c r="IQ11" i="8"/>
  <c r="IP11" i="8"/>
  <c r="IO11" i="8"/>
  <c r="IN11" i="8"/>
  <c r="IQ4" i="8"/>
  <c r="IP4" i="8"/>
  <c r="IO4" i="8"/>
  <c r="IN4" i="8"/>
  <c r="IQ8" i="8"/>
  <c r="IP8" i="8"/>
  <c r="IO8" i="8"/>
  <c r="IN8" i="8"/>
  <c r="IQ6" i="8"/>
  <c r="IP6" i="8"/>
  <c r="IO6" i="8"/>
  <c r="IN6" i="8"/>
  <c r="HV10" i="8"/>
  <c r="HU10" i="8"/>
  <c r="HT10" i="8"/>
  <c r="HS10" i="8"/>
  <c r="HV7" i="8"/>
  <c r="HU7" i="8"/>
  <c r="HT7" i="8"/>
  <c r="HS7" i="8"/>
  <c r="HV9" i="8"/>
  <c r="HU9" i="8"/>
  <c r="HT9" i="8"/>
  <c r="HS9" i="8"/>
  <c r="HV11" i="8"/>
  <c r="HU11" i="8"/>
  <c r="HT11" i="8"/>
  <c r="HW11" i="8" s="1"/>
  <c r="HS11" i="8"/>
  <c r="HV4" i="8"/>
  <c r="HU4" i="8"/>
  <c r="HT4" i="8"/>
  <c r="HS4" i="8"/>
  <c r="HV8" i="8"/>
  <c r="HU8" i="8"/>
  <c r="HT8" i="8"/>
  <c r="HW8" i="8" s="1"/>
  <c r="HS8" i="8"/>
  <c r="HV6" i="8"/>
  <c r="HU6" i="8"/>
  <c r="HT6" i="8"/>
  <c r="HS6" i="8"/>
  <c r="HA10" i="8"/>
  <c r="GZ10" i="8"/>
  <c r="GY10" i="8"/>
  <c r="HB10" i="8" s="1"/>
  <c r="GX10" i="8"/>
  <c r="HA7" i="8"/>
  <c r="GZ7" i="8"/>
  <c r="GY7" i="8"/>
  <c r="GX7" i="8"/>
  <c r="HA9" i="8"/>
  <c r="GZ9" i="8"/>
  <c r="GY9" i="8"/>
  <c r="HB9" i="8" s="1"/>
  <c r="GX9" i="8"/>
  <c r="HA11" i="8"/>
  <c r="GZ11" i="8"/>
  <c r="GY11" i="8"/>
  <c r="GX11" i="8"/>
  <c r="HA4" i="8"/>
  <c r="GZ4" i="8"/>
  <c r="GY4" i="8"/>
  <c r="HB4" i="8" s="1"/>
  <c r="GX4" i="8"/>
  <c r="HA8" i="8"/>
  <c r="GZ8" i="8"/>
  <c r="GY8" i="8"/>
  <c r="GX8" i="8"/>
  <c r="HA6" i="8"/>
  <c r="GZ6" i="8"/>
  <c r="GY6" i="8"/>
  <c r="GX6" i="8"/>
  <c r="GF10" i="8"/>
  <c r="GE10" i="8"/>
  <c r="GD10" i="8"/>
  <c r="GC10" i="8"/>
  <c r="GF7" i="8"/>
  <c r="GE7" i="8"/>
  <c r="GD7" i="8"/>
  <c r="GC7" i="8"/>
  <c r="GF9" i="8"/>
  <c r="GE9" i="8"/>
  <c r="GD9" i="8"/>
  <c r="GC9" i="8"/>
  <c r="GF11" i="8"/>
  <c r="GE11" i="8"/>
  <c r="GD11" i="8"/>
  <c r="GG11" i="8" s="1"/>
  <c r="GC11" i="8"/>
  <c r="GF4" i="8"/>
  <c r="GE4" i="8"/>
  <c r="GD4" i="8"/>
  <c r="GC4" i="8"/>
  <c r="GF8" i="8"/>
  <c r="GE8" i="8"/>
  <c r="GD8" i="8"/>
  <c r="GC8" i="8"/>
  <c r="GF6" i="8"/>
  <c r="GE6" i="8"/>
  <c r="GD6" i="8"/>
  <c r="GC6" i="8"/>
  <c r="FK10" i="8"/>
  <c r="FJ10" i="8"/>
  <c r="FI10" i="8"/>
  <c r="FH10" i="8"/>
  <c r="FK7" i="8"/>
  <c r="FJ7" i="8"/>
  <c r="FI7" i="8"/>
  <c r="FH7" i="8"/>
  <c r="FK9" i="8"/>
  <c r="FJ9" i="8"/>
  <c r="FI9" i="8"/>
  <c r="FH9" i="8"/>
  <c r="FK11" i="8"/>
  <c r="FJ11" i="8"/>
  <c r="FI11" i="8"/>
  <c r="FH11" i="8"/>
  <c r="FK4" i="8"/>
  <c r="FJ4" i="8"/>
  <c r="FI4" i="8"/>
  <c r="FH4" i="8"/>
  <c r="FK8" i="8"/>
  <c r="FJ8" i="8"/>
  <c r="FI8" i="8"/>
  <c r="FH8" i="8"/>
  <c r="FK6" i="8"/>
  <c r="FJ6" i="8"/>
  <c r="FI6" i="8"/>
  <c r="FL6" i="8" s="1"/>
  <c r="FH6" i="8"/>
  <c r="EP10" i="8"/>
  <c r="EO10" i="8"/>
  <c r="EN10" i="8"/>
  <c r="EM10" i="8"/>
  <c r="EP7" i="8"/>
  <c r="EO7" i="8"/>
  <c r="EN7" i="8"/>
  <c r="EM7" i="8"/>
  <c r="EP9" i="8"/>
  <c r="EO9" i="8"/>
  <c r="EN9" i="8"/>
  <c r="EM9" i="8"/>
  <c r="EP11" i="8"/>
  <c r="EO11" i="8"/>
  <c r="EN11" i="8"/>
  <c r="EQ11" i="8" s="1"/>
  <c r="EM11" i="8"/>
  <c r="EP4" i="8"/>
  <c r="EO4" i="8"/>
  <c r="EN4" i="8"/>
  <c r="EM4" i="8"/>
  <c r="EP8" i="8"/>
  <c r="EO8" i="8"/>
  <c r="EN8" i="8"/>
  <c r="EQ8" i="8" s="1"/>
  <c r="EM8" i="8"/>
  <c r="EP6" i="8"/>
  <c r="EO6" i="8"/>
  <c r="EN6" i="8"/>
  <c r="EM6" i="8"/>
  <c r="DU10" i="8"/>
  <c r="DT10" i="8"/>
  <c r="DS10" i="8"/>
  <c r="DV10" i="8" s="1"/>
  <c r="DR10" i="8"/>
  <c r="DU7" i="8"/>
  <c r="DT7" i="8"/>
  <c r="DS7" i="8"/>
  <c r="DR7" i="8"/>
  <c r="DU9" i="8"/>
  <c r="DT9" i="8"/>
  <c r="DS9" i="8"/>
  <c r="DV9" i="8" s="1"/>
  <c r="DR9" i="8"/>
  <c r="DU11" i="8"/>
  <c r="DT11" i="8"/>
  <c r="DS11" i="8"/>
  <c r="DR11" i="8"/>
  <c r="DU4" i="8"/>
  <c r="DT4" i="8"/>
  <c r="DS4" i="8"/>
  <c r="DR4" i="8"/>
  <c r="DU8" i="8"/>
  <c r="DT8" i="8"/>
  <c r="DS8" i="8"/>
  <c r="DR8" i="8"/>
  <c r="DU6" i="8"/>
  <c r="DT6" i="8"/>
  <c r="DS6" i="8"/>
  <c r="DR6" i="8"/>
  <c r="CZ10" i="8"/>
  <c r="CY10" i="8"/>
  <c r="CX10" i="8"/>
  <c r="CW10" i="8"/>
  <c r="CZ7" i="8"/>
  <c r="CY7" i="8"/>
  <c r="CX7" i="8"/>
  <c r="DA7" i="8" s="1"/>
  <c r="CW7" i="8"/>
  <c r="CZ9" i="8"/>
  <c r="CY9" i="8"/>
  <c r="CX9" i="8"/>
  <c r="CW9" i="8"/>
  <c r="CZ11" i="8"/>
  <c r="CY11" i="8"/>
  <c r="CX11" i="8"/>
  <c r="DA11" i="8" s="1"/>
  <c r="CW11" i="8"/>
  <c r="CZ4" i="8"/>
  <c r="CY4" i="8"/>
  <c r="CX4" i="8"/>
  <c r="CW4" i="8"/>
  <c r="CZ8" i="8"/>
  <c r="CY8" i="8"/>
  <c r="CX8" i="8"/>
  <c r="DA8" i="8" s="1"/>
  <c r="CW8" i="8"/>
  <c r="CZ6" i="8"/>
  <c r="CY6" i="8"/>
  <c r="CX6" i="8"/>
  <c r="CW6" i="8"/>
  <c r="LB9" i="7"/>
  <c r="LA9" i="7"/>
  <c r="KZ9" i="7"/>
  <c r="KY9" i="7"/>
  <c r="LB7" i="7"/>
  <c r="LA7" i="7"/>
  <c r="KZ7" i="7"/>
  <c r="KY7" i="7"/>
  <c r="LB6" i="7"/>
  <c r="LA6" i="7"/>
  <c r="KZ6" i="7"/>
  <c r="KY6" i="7"/>
  <c r="LB5" i="7"/>
  <c r="LA5" i="7"/>
  <c r="KZ5" i="7"/>
  <c r="KY5" i="7"/>
  <c r="LB4" i="7"/>
  <c r="LA4" i="7"/>
  <c r="KZ4" i="7"/>
  <c r="KY4" i="7"/>
  <c r="KG9" i="7"/>
  <c r="KF9" i="7"/>
  <c r="KE9" i="7"/>
  <c r="KD9" i="7"/>
  <c r="KG7" i="7"/>
  <c r="KF7" i="7"/>
  <c r="KE7" i="7"/>
  <c r="KD7" i="7"/>
  <c r="KG6" i="7"/>
  <c r="KF6" i="7"/>
  <c r="KE6" i="7"/>
  <c r="KD6" i="7"/>
  <c r="KG5" i="7"/>
  <c r="KF5" i="7"/>
  <c r="KE5" i="7"/>
  <c r="KD5" i="7"/>
  <c r="KG4" i="7"/>
  <c r="KF4" i="7"/>
  <c r="KE4" i="7"/>
  <c r="KD4" i="7"/>
  <c r="JL9" i="7"/>
  <c r="JK9" i="7"/>
  <c r="JJ9" i="7"/>
  <c r="JI9" i="7"/>
  <c r="JL7" i="7"/>
  <c r="JK7" i="7"/>
  <c r="JJ7" i="7"/>
  <c r="JI7" i="7"/>
  <c r="JL6" i="7"/>
  <c r="JK6" i="7"/>
  <c r="JJ6" i="7"/>
  <c r="JI6" i="7"/>
  <c r="JL5" i="7"/>
  <c r="JK5" i="7"/>
  <c r="JJ5" i="7"/>
  <c r="JI5" i="7"/>
  <c r="JL4" i="7"/>
  <c r="JK4" i="7"/>
  <c r="JJ4" i="7"/>
  <c r="JI4" i="7"/>
  <c r="IQ9" i="7"/>
  <c r="IO9" i="7"/>
  <c r="IN9" i="7"/>
  <c r="IQ7" i="7"/>
  <c r="IO7" i="7"/>
  <c r="IN7" i="7"/>
  <c r="IQ6" i="7"/>
  <c r="IO6" i="7"/>
  <c r="IN6" i="7"/>
  <c r="IQ5" i="7"/>
  <c r="IP5" i="7"/>
  <c r="IO5" i="7"/>
  <c r="IN5" i="7"/>
  <c r="IQ4" i="7"/>
  <c r="IO4" i="7"/>
  <c r="IN4" i="7"/>
  <c r="HV9" i="7"/>
  <c r="HU9" i="7"/>
  <c r="HT9" i="7"/>
  <c r="HS9" i="7"/>
  <c r="HV7" i="7"/>
  <c r="HU7" i="7"/>
  <c r="HT7" i="7"/>
  <c r="HS7" i="7"/>
  <c r="HV6" i="7"/>
  <c r="HU6" i="7"/>
  <c r="HT6" i="7"/>
  <c r="HS6" i="7"/>
  <c r="HV5" i="7"/>
  <c r="HU5" i="7"/>
  <c r="HT5" i="7"/>
  <c r="HS5" i="7"/>
  <c r="HV4" i="7"/>
  <c r="HU4" i="7"/>
  <c r="HT4" i="7"/>
  <c r="HS4" i="7"/>
  <c r="HA9" i="7"/>
  <c r="GZ9" i="7"/>
  <c r="GY9" i="7"/>
  <c r="GX9" i="7"/>
  <c r="HA7" i="7"/>
  <c r="GZ7" i="7"/>
  <c r="GY7" i="7"/>
  <c r="GX7" i="7"/>
  <c r="HA6" i="7"/>
  <c r="GZ6" i="7"/>
  <c r="GY6" i="7"/>
  <c r="GX6" i="7"/>
  <c r="HA5" i="7"/>
  <c r="GZ5" i="7"/>
  <c r="GY5" i="7"/>
  <c r="GX5" i="7"/>
  <c r="HA4" i="7"/>
  <c r="GZ4" i="7"/>
  <c r="GY4" i="7"/>
  <c r="GX4" i="7"/>
  <c r="GF9" i="7"/>
  <c r="GE9" i="7"/>
  <c r="GD9" i="7"/>
  <c r="GC9" i="7"/>
  <c r="GF7" i="7"/>
  <c r="GG7" i="7" s="1"/>
  <c r="GE7" i="7"/>
  <c r="GD7" i="7"/>
  <c r="GC7" i="7"/>
  <c r="GF6" i="7"/>
  <c r="GE6" i="7"/>
  <c r="GD6" i="7"/>
  <c r="GC6" i="7"/>
  <c r="GF5" i="7"/>
  <c r="GE5" i="7"/>
  <c r="GD5" i="7"/>
  <c r="GC5" i="7"/>
  <c r="GF4" i="7"/>
  <c r="GE4" i="7"/>
  <c r="GD4" i="7"/>
  <c r="GC4" i="7"/>
  <c r="FK9" i="7"/>
  <c r="FJ9" i="7"/>
  <c r="FI9" i="7"/>
  <c r="FH9" i="7"/>
  <c r="FK7" i="7"/>
  <c r="FJ7" i="7"/>
  <c r="FI7" i="7"/>
  <c r="FH7" i="7"/>
  <c r="FK6" i="7"/>
  <c r="FJ6" i="7"/>
  <c r="FI6" i="7"/>
  <c r="FH6" i="7"/>
  <c r="FK5" i="7"/>
  <c r="FJ5" i="7"/>
  <c r="FI5" i="7"/>
  <c r="FH5" i="7"/>
  <c r="FK4" i="7"/>
  <c r="FJ4" i="7"/>
  <c r="FI4" i="7"/>
  <c r="FH4" i="7"/>
  <c r="EP9" i="7"/>
  <c r="EO9" i="7"/>
  <c r="EN9" i="7"/>
  <c r="EM9" i="7"/>
  <c r="EP7" i="7"/>
  <c r="EO7" i="7"/>
  <c r="EN7" i="7"/>
  <c r="EM7" i="7"/>
  <c r="EP6" i="7"/>
  <c r="EO6" i="7"/>
  <c r="EN6" i="7"/>
  <c r="EM6" i="7"/>
  <c r="EP5" i="7"/>
  <c r="EO5" i="7"/>
  <c r="EN5" i="7"/>
  <c r="EM5" i="7"/>
  <c r="EP4" i="7"/>
  <c r="EO4" i="7"/>
  <c r="EN4" i="7"/>
  <c r="EM4" i="7"/>
  <c r="DU9" i="7"/>
  <c r="DT9" i="7"/>
  <c r="DS9" i="7"/>
  <c r="DR9" i="7"/>
  <c r="DU7" i="7"/>
  <c r="DT7" i="7"/>
  <c r="DS7" i="7"/>
  <c r="DR7" i="7"/>
  <c r="DU6" i="7"/>
  <c r="DT6" i="7"/>
  <c r="DS6" i="7"/>
  <c r="DR6" i="7"/>
  <c r="DU5" i="7"/>
  <c r="DT5" i="7"/>
  <c r="DS5" i="7"/>
  <c r="DR5" i="7"/>
  <c r="DU4" i="7"/>
  <c r="DT4" i="7"/>
  <c r="DS4" i="7"/>
  <c r="DR4" i="7"/>
  <c r="CZ9" i="7"/>
  <c r="CY9" i="7"/>
  <c r="CX9" i="7"/>
  <c r="CW9" i="7"/>
  <c r="CZ7" i="7"/>
  <c r="CY7" i="7"/>
  <c r="CX7" i="7"/>
  <c r="CW7" i="7"/>
  <c r="CZ6" i="7"/>
  <c r="CY6" i="7"/>
  <c r="CX6" i="7"/>
  <c r="CW6" i="7"/>
  <c r="CZ5" i="7"/>
  <c r="CY5" i="7"/>
  <c r="CX5" i="7"/>
  <c r="CW5" i="7"/>
  <c r="CZ4" i="7"/>
  <c r="CY4" i="7"/>
  <c r="CX4" i="7"/>
  <c r="CW4" i="7"/>
  <c r="MR20" i="14"/>
  <c r="MQ20" i="14"/>
  <c r="MO20" i="14"/>
  <c r="MN20" i="14"/>
  <c r="MM20" i="14"/>
  <c r="MR22" i="14"/>
  <c r="MQ22" i="14"/>
  <c r="MO22" i="14"/>
  <c r="MN22" i="14"/>
  <c r="MM22" i="14"/>
  <c r="MR21" i="14"/>
  <c r="MQ21" i="14"/>
  <c r="MO21" i="14"/>
  <c r="MN21" i="14"/>
  <c r="MM21" i="14"/>
  <c r="MR9" i="14"/>
  <c r="MQ9" i="14"/>
  <c r="MO9" i="14"/>
  <c r="MN9" i="14"/>
  <c r="MM9" i="14"/>
  <c r="MR19" i="14"/>
  <c r="MQ19" i="14"/>
  <c r="MO19" i="14"/>
  <c r="MN19" i="14"/>
  <c r="MM19" i="14"/>
  <c r="MR17" i="14"/>
  <c r="MQ17" i="14"/>
  <c r="MO17" i="14"/>
  <c r="MN17" i="14"/>
  <c r="MM17" i="14"/>
  <c r="MR18" i="14"/>
  <c r="MQ18" i="14"/>
  <c r="MO18" i="14"/>
  <c r="MN18" i="14"/>
  <c r="MM18" i="14"/>
  <c r="MR16" i="14"/>
  <c r="MQ16" i="14"/>
  <c r="MO16" i="14"/>
  <c r="MN16" i="14"/>
  <c r="MM16" i="14"/>
  <c r="MR8" i="14"/>
  <c r="MQ8" i="14"/>
  <c r="MO8" i="14"/>
  <c r="MN8" i="14"/>
  <c r="MM8" i="14"/>
  <c r="MR15" i="14"/>
  <c r="MQ15" i="14"/>
  <c r="MO15" i="14"/>
  <c r="MN15" i="14"/>
  <c r="MM15" i="14"/>
  <c r="MR12" i="14"/>
  <c r="MQ12" i="14"/>
  <c r="MO12" i="14"/>
  <c r="MN12" i="14"/>
  <c r="MM12" i="14"/>
  <c r="MR11" i="14"/>
  <c r="MQ11" i="14"/>
  <c r="MO11" i="14"/>
  <c r="MN11" i="14"/>
  <c r="MM11" i="14"/>
  <c r="MR10" i="14"/>
  <c r="MQ10" i="14"/>
  <c r="MO10" i="14"/>
  <c r="MN10" i="14"/>
  <c r="MM10" i="14"/>
  <c r="MR13" i="14"/>
  <c r="MQ13" i="14"/>
  <c r="MO13" i="14"/>
  <c r="MN13" i="14"/>
  <c r="MM13" i="14"/>
  <c r="MR7" i="14"/>
  <c r="MQ7" i="14"/>
  <c r="MO7" i="14"/>
  <c r="MN7" i="14"/>
  <c r="MM7" i="14"/>
  <c r="MR14" i="14"/>
  <c r="MQ14" i="14"/>
  <c r="MO14" i="14"/>
  <c r="MN14" i="14"/>
  <c r="MM14" i="14"/>
  <c r="MR6" i="14"/>
  <c r="MQ6" i="14"/>
  <c r="MO6" i="14"/>
  <c r="MN6" i="14"/>
  <c r="MM6" i="14"/>
  <c r="MR5" i="14"/>
  <c r="MQ5" i="14"/>
  <c r="MO5" i="14"/>
  <c r="MN5" i="14"/>
  <c r="MM5" i="14"/>
  <c r="MR4" i="14"/>
  <c r="MQ4" i="14"/>
  <c r="MO4" i="14"/>
  <c r="MN4" i="14"/>
  <c r="MM4" i="14"/>
  <c r="LV20" i="14"/>
  <c r="LU20" i="14"/>
  <c r="LS20" i="14"/>
  <c r="LR20" i="14"/>
  <c r="LQ20" i="14"/>
  <c r="LV22" i="14"/>
  <c r="LU22" i="14"/>
  <c r="LS22" i="14"/>
  <c r="LR22" i="14"/>
  <c r="LQ22" i="14"/>
  <c r="LV21" i="14"/>
  <c r="LU21" i="14"/>
  <c r="LS21" i="14"/>
  <c r="LR21" i="14"/>
  <c r="LQ21" i="14"/>
  <c r="LV9" i="14"/>
  <c r="LU9" i="14"/>
  <c r="LS9" i="14"/>
  <c r="LR9" i="14"/>
  <c r="LQ9" i="14"/>
  <c r="LV19" i="14"/>
  <c r="LU19" i="14"/>
  <c r="LS19" i="14"/>
  <c r="LR19" i="14"/>
  <c r="LQ19" i="14"/>
  <c r="LV17" i="14"/>
  <c r="LU17" i="14"/>
  <c r="LS17" i="14"/>
  <c r="LR17" i="14"/>
  <c r="LQ17" i="14"/>
  <c r="LV18" i="14"/>
  <c r="LU18" i="14"/>
  <c r="LS18" i="14"/>
  <c r="LR18" i="14"/>
  <c r="LQ18" i="14"/>
  <c r="LV16" i="14"/>
  <c r="LU16" i="14"/>
  <c r="LS16" i="14"/>
  <c r="LR16" i="14"/>
  <c r="LQ16" i="14"/>
  <c r="LV8" i="14"/>
  <c r="LU8" i="14"/>
  <c r="LS8" i="14"/>
  <c r="LR8" i="14"/>
  <c r="LQ8" i="14"/>
  <c r="LV15" i="14"/>
  <c r="LU15" i="14"/>
  <c r="LS15" i="14"/>
  <c r="LR15" i="14"/>
  <c r="LQ15" i="14"/>
  <c r="LV12" i="14"/>
  <c r="LU12" i="14"/>
  <c r="LS12" i="14"/>
  <c r="LR12" i="14"/>
  <c r="LQ12" i="14"/>
  <c r="LV11" i="14"/>
  <c r="LU11" i="14"/>
  <c r="LS11" i="14"/>
  <c r="LR11" i="14"/>
  <c r="LQ11" i="14"/>
  <c r="LV10" i="14"/>
  <c r="LU10" i="14"/>
  <c r="LS10" i="14"/>
  <c r="LR10" i="14"/>
  <c r="LQ10" i="14"/>
  <c r="LV13" i="14"/>
  <c r="LU13" i="14"/>
  <c r="LS13" i="14"/>
  <c r="LR13" i="14"/>
  <c r="LQ13" i="14"/>
  <c r="LV7" i="14"/>
  <c r="LU7" i="14"/>
  <c r="LS7" i="14"/>
  <c r="LR7" i="14"/>
  <c r="LQ7" i="14"/>
  <c r="LV14" i="14"/>
  <c r="LU14" i="14"/>
  <c r="LS14" i="14"/>
  <c r="LR14" i="14"/>
  <c r="LQ14" i="14"/>
  <c r="LV6" i="14"/>
  <c r="LU6" i="14"/>
  <c r="LS6" i="14"/>
  <c r="LR6" i="14"/>
  <c r="LQ6" i="14"/>
  <c r="LV5" i="14"/>
  <c r="LU5" i="14"/>
  <c r="LS5" i="14"/>
  <c r="LR5" i="14"/>
  <c r="LQ5" i="14"/>
  <c r="LV4" i="14"/>
  <c r="LU4" i="14"/>
  <c r="LS4" i="14"/>
  <c r="LR4" i="14"/>
  <c r="LQ4" i="14"/>
  <c r="KZ20" i="14"/>
  <c r="KY20" i="14"/>
  <c r="KW20" i="14"/>
  <c r="KV20" i="14"/>
  <c r="KU20" i="14"/>
  <c r="KZ22" i="14"/>
  <c r="KY22" i="14"/>
  <c r="KW22" i="14"/>
  <c r="KV22" i="14"/>
  <c r="KU22" i="14"/>
  <c r="KZ21" i="14"/>
  <c r="KY21" i="14"/>
  <c r="KW21" i="14"/>
  <c r="KV21" i="14"/>
  <c r="KU21" i="14"/>
  <c r="KZ9" i="14"/>
  <c r="KY9" i="14"/>
  <c r="KW9" i="14"/>
  <c r="KV9" i="14"/>
  <c r="KU9" i="14"/>
  <c r="KZ19" i="14"/>
  <c r="KY19" i="14"/>
  <c r="KW19" i="14"/>
  <c r="KV19" i="14"/>
  <c r="KU19" i="14"/>
  <c r="KZ17" i="14"/>
  <c r="KY17" i="14"/>
  <c r="KW17" i="14"/>
  <c r="KV17" i="14"/>
  <c r="KU17" i="14"/>
  <c r="KZ18" i="14"/>
  <c r="KY18" i="14"/>
  <c r="KW18" i="14"/>
  <c r="KV18" i="14"/>
  <c r="KU18" i="14"/>
  <c r="KZ16" i="14"/>
  <c r="KY16" i="14"/>
  <c r="KW16" i="14"/>
  <c r="KV16" i="14"/>
  <c r="KU16" i="14"/>
  <c r="KZ8" i="14"/>
  <c r="KY8" i="14"/>
  <c r="KW8" i="14"/>
  <c r="KV8" i="14"/>
  <c r="KU8" i="14"/>
  <c r="KZ15" i="14"/>
  <c r="KY15" i="14"/>
  <c r="KW15" i="14"/>
  <c r="KV15" i="14"/>
  <c r="KU15" i="14"/>
  <c r="KZ12" i="14"/>
  <c r="KY12" i="14"/>
  <c r="KW12" i="14"/>
  <c r="KV12" i="14"/>
  <c r="KU12" i="14"/>
  <c r="KZ11" i="14"/>
  <c r="KY11" i="14"/>
  <c r="KW11" i="14"/>
  <c r="KV11" i="14"/>
  <c r="KU11" i="14"/>
  <c r="KZ10" i="14"/>
  <c r="KY10" i="14"/>
  <c r="KW10" i="14"/>
  <c r="KV10" i="14"/>
  <c r="KU10" i="14"/>
  <c r="KZ13" i="14"/>
  <c r="KY13" i="14"/>
  <c r="KW13" i="14"/>
  <c r="KV13" i="14"/>
  <c r="KU13" i="14"/>
  <c r="KZ7" i="14"/>
  <c r="KY7" i="14"/>
  <c r="KW7" i="14"/>
  <c r="KV7" i="14"/>
  <c r="KU7" i="14"/>
  <c r="KZ14" i="14"/>
  <c r="KY14" i="14"/>
  <c r="KW14" i="14"/>
  <c r="KV14" i="14"/>
  <c r="KU14" i="14"/>
  <c r="KZ6" i="14"/>
  <c r="KY6" i="14"/>
  <c r="KW6" i="14"/>
  <c r="KV6" i="14"/>
  <c r="KU6" i="14"/>
  <c r="KZ5" i="14"/>
  <c r="KY5" i="14"/>
  <c r="KW5" i="14"/>
  <c r="KV5" i="14"/>
  <c r="KU5" i="14"/>
  <c r="KZ4" i="14"/>
  <c r="KY4" i="14"/>
  <c r="KW4" i="14"/>
  <c r="KV4" i="14"/>
  <c r="KU4" i="14"/>
  <c r="KD20" i="14"/>
  <c r="KC20" i="14"/>
  <c r="KA20" i="14"/>
  <c r="JZ20" i="14"/>
  <c r="JY20" i="14"/>
  <c r="KD22" i="14"/>
  <c r="KC22" i="14"/>
  <c r="KA22" i="14"/>
  <c r="JZ22" i="14"/>
  <c r="JY22" i="14"/>
  <c r="KD21" i="14"/>
  <c r="KC21" i="14"/>
  <c r="KA21" i="14"/>
  <c r="JZ21" i="14"/>
  <c r="JY21" i="14"/>
  <c r="KD9" i="14"/>
  <c r="KC9" i="14"/>
  <c r="KA9" i="14"/>
  <c r="JZ9" i="14"/>
  <c r="JY9" i="14"/>
  <c r="KD19" i="14"/>
  <c r="KC19" i="14"/>
  <c r="KA19" i="14"/>
  <c r="JZ19" i="14"/>
  <c r="JY19" i="14"/>
  <c r="KD17" i="14"/>
  <c r="KC17" i="14"/>
  <c r="KA17" i="14"/>
  <c r="JZ17" i="14"/>
  <c r="JY17" i="14"/>
  <c r="KD18" i="14"/>
  <c r="KC18" i="14"/>
  <c r="KA18" i="14"/>
  <c r="JZ18" i="14"/>
  <c r="JY18" i="14"/>
  <c r="KD16" i="14"/>
  <c r="KC16" i="14"/>
  <c r="KA16" i="14"/>
  <c r="JZ16" i="14"/>
  <c r="JY16" i="14"/>
  <c r="KD8" i="14"/>
  <c r="KC8" i="14"/>
  <c r="KA8" i="14"/>
  <c r="JZ8" i="14"/>
  <c r="JY8" i="14"/>
  <c r="KD15" i="14"/>
  <c r="KC15" i="14"/>
  <c r="KA15" i="14"/>
  <c r="JZ15" i="14"/>
  <c r="JY15" i="14"/>
  <c r="KD12" i="14"/>
  <c r="KC12" i="14"/>
  <c r="KA12" i="14"/>
  <c r="JZ12" i="14"/>
  <c r="JY12" i="14"/>
  <c r="KD11" i="14"/>
  <c r="KC11" i="14"/>
  <c r="KA11" i="14"/>
  <c r="JZ11" i="14"/>
  <c r="JY11" i="14"/>
  <c r="KD10" i="14"/>
  <c r="KC10" i="14"/>
  <c r="KA10" i="14"/>
  <c r="JZ10" i="14"/>
  <c r="JY10" i="14"/>
  <c r="KD13" i="14"/>
  <c r="KC13" i="14"/>
  <c r="KA13" i="14"/>
  <c r="JZ13" i="14"/>
  <c r="JY13" i="14"/>
  <c r="KD7" i="14"/>
  <c r="KC7" i="14"/>
  <c r="KA7" i="14"/>
  <c r="JZ7" i="14"/>
  <c r="JY7" i="14"/>
  <c r="KD14" i="14"/>
  <c r="KC14" i="14"/>
  <c r="KA14" i="14"/>
  <c r="JZ14" i="14"/>
  <c r="JY14" i="14"/>
  <c r="KD6" i="14"/>
  <c r="KC6" i="14"/>
  <c r="KA6" i="14"/>
  <c r="JZ6" i="14"/>
  <c r="JY6" i="14"/>
  <c r="KD5" i="14"/>
  <c r="KC5" i="14"/>
  <c r="KA5" i="14"/>
  <c r="JZ5" i="14"/>
  <c r="JY5" i="14"/>
  <c r="KD4" i="14"/>
  <c r="KC4" i="14"/>
  <c r="KA4" i="14"/>
  <c r="JZ4" i="14"/>
  <c r="JY4" i="14"/>
  <c r="JH20" i="14"/>
  <c r="JG20" i="14"/>
  <c r="JE20" i="14"/>
  <c r="JD20" i="14"/>
  <c r="JC20" i="14"/>
  <c r="JH22" i="14"/>
  <c r="JG22" i="14"/>
  <c r="JE22" i="14"/>
  <c r="JD22" i="14"/>
  <c r="JC22" i="14"/>
  <c r="JH21" i="14"/>
  <c r="JG21" i="14"/>
  <c r="JE21" i="14"/>
  <c r="JD21" i="14"/>
  <c r="JC21" i="14"/>
  <c r="JH9" i="14"/>
  <c r="JG9" i="14"/>
  <c r="JE9" i="14"/>
  <c r="JD9" i="14"/>
  <c r="JC9" i="14"/>
  <c r="JH19" i="14"/>
  <c r="JG19" i="14"/>
  <c r="JE19" i="14"/>
  <c r="JD19" i="14"/>
  <c r="JC19" i="14"/>
  <c r="JH17" i="14"/>
  <c r="JG17" i="14"/>
  <c r="JE17" i="14"/>
  <c r="JD17" i="14"/>
  <c r="JC17" i="14"/>
  <c r="JH18" i="14"/>
  <c r="JG18" i="14"/>
  <c r="JE18" i="14"/>
  <c r="JD18" i="14"/>
  <c r="JC18" i="14"/>
  <c r="JH16" i="14"/>
  <c r="JG16" i="14"/>
  <c r="JE16" i="14"/>
  <c r="JD16" i="14"/>
  <c r="JC16" i="14"/>
  <c r="JH8" i="14"/>
  <c r="JG8" i="14"/>
  <c r="JE8" i="14"/>
  <c r="JD8" i="14"/>
  <c r="JC8" i="14"/>
  <c r="JH15" i="14"/>
  <c r="JG15" i="14"/>
  <c r="JE15" i="14"/>
  <c r="JD15" i="14"/>
  <c r="JC15" i="14"/>
  <c r="JH12" i="14"/>
  <c r="JG12" i="14"/>
  <c r="JE12" i="14"/>
  <c r="JD12" i="14"/>
  <c r="JC12" i="14"/>
  <c r="JH11" i="14"/>
  <c r="JG11" i="14"/>
  <c r="JE11" i="14"/>
  <c r="JD11" i="14"/>
  <c r="JC11" i="14"/>
  <c r="JH10" i="14"/>
  <c r="JG10" i="14"/>
  <c r="JE10" i="14"/>
  <c r="JD10" i="14"/>
  <c r="JC10" i="14"/>
  <c r="JH13" i="14"/>
  <c r="JG13" i="14"/>
  <c r="JE13" i="14"/>
  <c r="JD13" i="14"/>
  <c r="JC13" i="14"/>
  <c r="JH7" i="14"/>
  <c r="JG7" i="14"/>
  <c r="JE7" i="14"/>
  <c r="JD7" i="14"/>
  <c r="JC7" i="14"/>
  <c r="JH14" i="14"/>
  <c r="JG14" i="14"/>
  <c r="JE14" i="14"/>
  <c r="JD14" i="14"/>
  <c r="JC14" i="14"/>
  <c r="JH6" i="14"/>
  <c r="JG6" i="14"/>
  <c r="JE6" i="14"/>
  <c r="JD6" i="14"/>
  <c r="JC6" i="14"/>
  <c r="JH5" i="14"/>
  <c r="JG5" i="14"/>
  <c r="JE5" i="14"/>
  <c r="JD5" i="14"/>
  <c r="JC5" i="14"/>
  <c r="JH4" i="14"/>
  <c r="JG4" i="14"/>
  <c r="JE4" i="14"/>
  <c r="JD4" i="14"/>
  <c r="JC4" i="14"/>
  <c r="IL20" i="14"/>
  <c r="IK20" i="14"/>
  <c r="II20" i="14"/>
  <c r="IH20" i="14"/>
  <c r="IG20" i="14"/>
  <c r="IL22" i="14"/>
  <c r="IK22" i="14"/>
  <c r="II22" i="14"/>
  <c r="IH22" i="14"/>
  <c r="IG22" i="14"/>
  <c r="IL21" i="14"/>
  <c r="IK21" i="14"/>
  <c r="II21" i="14"/>
  <c r="IH21" i="14"/>
  <c r="IG21" i="14"/>
  <c r="IL9" i="14"/>
  <c r="IK9" i="14"/>
  <c r="II9" i="14"/>
  <c r="IH9" i="14"/>
  <c r="IG9" i="14"/>
  <c r="IL19" i="14"/>
  <c r="IK19" i="14"/>
  <c r="II19" i="14"/>
  <c r="IH19" i="14"/>
  <c r="IG19" i="14"/>
  <c r="IL17" i="14"/>
  <c r="IK17" i="14"/>
  <c r="II17" i="14"/>
  <c r="IH17" i="14"/>
  <c r="IG17" i="14"/>
  <c r="IL18" i="14"/>
  <c r="IK18" i="14"/>
  <c r="II18" i="14"/>
  <c r="IH18" i="14"/>
  <c r="IG18" i="14"/>
  <c r="IL16" i="14"/>
  <c r="IK16" i="14"/>
  <c r="II16" i="14"/>
  <c r="IH16" i="14"/>
  <c r="IG16" i="14"/>
  <c r="IL8" i="14"/>
  <c r="IK8" i="14"/>
  <c r="II8" i="14"/>
  <c r="IH8" i="14"/>
  <c r="IG8" i="14"/>
  <c r="IL15" i="14"/>
  <c r="IK15" i="14"/>
  <c r="II15" i="14"/>
  <c r="IH15" i="14"/>
  <c r="IG15" i="14"/>
  <c r="IL12" i="14"/>
  <c r="IK12" i="14"/>
  <c r="II12" i="14"/>
  <c r="IH12" i="14"/>
  <c r="IG12" i="14"/>
  <c r="IL11" i="14"/>
  <c r="IK11" i="14"/>
  <c r="II11" i="14"/>
  <c r="IH11" i="14"/>
  <c r="IG11" i="14"/>
  <c r="IL10" i="14"/>
  <c r="IK10" i="14"/>
  <c r="II10" i="14"/>
  <c r="IH10" i="14"/>
  <c r="IG10" i="14"/>
  <c r="IL13" i="14"/>
  <c r="IK13" i="14"/>
  <c r="II13" i="14"/>
  <c r="IH13" i="14"/>
  <c r="IG13" i="14"/>
  <c r="IL7" i="14"/>
  <c r="IK7" i="14"/>
  <c r="II7" i="14"/>
  <c r="IH7" i="14"/>
  <c r="IJ7" i="14" s="1"/>
  <c r="IG7" i="14"/>
  <c r="IL14" i="14"/>
  <c r="IK14" i="14"/>
  <c r="II14" i="14"/>
  <c r="IH14" i="14"/>
  <c r="IG14" i="14"/>
  <c r="IL6" i="14"/>
  <c r="IK6" i="14"/>
  <c r="II6" i="14"/>
  <c r="IH6" i="14"/>
  <c r="IG6" i="14"/>
  <c r="IL5" i="14"/>
  <c r="IK5" i="14"/>
  <c r="II5" i="14"/>
  <c r="IH5" i="14"/>
  <c r="IG5" i="14"/>
  <c r="IL4" i="14"/>
  <c r="IK4" i="14"/>
  <c r="II4" i="14"/>
  <c r="IH4" i="14"/>
  <c r="IG4" i="14"/>
  <c r="HP20" i="14"/>
  <c r="HO20" i="14"/>
  <c r="HM20" i="14"/>
  <c r="HL20" i="14"/>
  <c r="HK20" i="14"/>
  <c r="HP22" i="14"/>
  <c r="HO22" i="14"/>
  <c r="HM22" i="14"/>
  <c r="HL22" i="14"/>
  <c r="HK22" i="14"/>
  <c r="HP21" i="14"/>
  <c r="HO21" i="14"/>
  <c r="HM21" i="14"/>
  <c r="HL21" i="14"/>
  <c r="HK21" i="14"/>
  <c r="HP9" i="14"/>
  <c r="HO9" i="14"/>
  <c r="HM9" i="14"/>
  <c r="HL9" i="14"/>
  <c r="HK9" i="14"/>
  <c r="HP19" i="14"/>
  <c r="HO19" i="14"/>
  <c r="HM19" i="14"/>
  <c r="HL19" i="14"/>
  <c r="HK19" i="14"/>
  <c r="HP17" i="14"/>
  <c r="HO17" i="14"/>
  <c r="HM17" i="14"/>
  <c r="HL17" i="14"/>
  <c r="HK17" i="14"/>
  <c r="HP18" i="14"/>
  <c r="HO18" i="14"/>
  <c r="HM18" i="14"/>
  <c r="HL18" i="14"/>
  <c r="HK18" i="14"/>
  <c r="HP16" i="14"/>
  <c r="HO16" i="14"/>
  <c r="HM16" i="14"/>
  <c r="HL16" i="14"/>
  <c r="HK16" i="14"/>
  <c r="HP8" i="14"/>
  <c r="HO8" i="14"/>
  <c r="HM8" i="14"/>
  <c r="HL8" i="14"/>
  <c r="HK8" i="14"/>
  <c r="HP15" i="14"/>
  <c r="HO15" i="14"/>
  <c r="HM15" i="14"/>
  <c r="HL15" i="14"/>
  <c r="HK15" i="14"/>
  <c r="HP12" i="14"/>
  <c r="HO12" i="14"/>
  <c r="HM12" i="14"/>
  <c r="HL12" i="14"/>
  <c r="HK12" i="14"/>
  <c r="HP11" i="14"/>
  <c r="HO11" i="14"/>
  <c r="HM11" i="14"/>
  <c r="HL11" i="14"/>
  <c r="HK11" i="14"/>
  <c r="HP10" i="14"/>
  <c r="HO10" i="14"/>
  <c r="HM10" i="14"/>
  <c r="HL10" i="14"/>
  <c r="HK10" i="14"/>
  <c r="HP13" i="14"/>
  <c r="HO13" i="14"/>
  <c r="HM13" i="14"/>
  <c r="HL13" i="14"/>
  <c r="HK13" i="14"/>
  <c r="HP7" i="14"/>
  <c r="HO7" i="14"/>
  <c r="HM7" i="14"/>
  <c r="HL7" i="14"/>
  <c r="HK7" i="14"/>
  <c r="HP14" i="14"/>
  <c r="HO14" i="14"/>
  <c r="HM14" i="14"/>
  <c r="HL14" i="14"/>
  <c r="HK14" i="14"/>
  <c r="HP6" i="14"/>
  <c r="HO6" i="14"/>
  <c r="HM6" i="14"/>
  <c r="HL6" i="14"/>
  <c r="HK6" i="14"/>
  <c r="HP5" i="14"/>
  <c r="HO5" i="14"/>
  <c r="HM5" i="14"/>
  <c r="HL5" i="14"/>
  <c r="HK5" i="14"/>
  <c r="HP4" i="14"/>
  <c r="HO4" i="14"/>
  <c r="HM4" i="14"/>
  <c r="HL4" i="14"/>
  <c r="HK4" i="14"/>
  <c r="GT20" i="14"/>
  <c r="GS20" i="14"/>
  <c r="GQ20" i="14"/>
  <c r="GP20" i="14"/>
  <c r="GO20" i="14"/>
  <c r="GT22" i="14"/>
  <c r="GS22" i="14"/>
  <c r="GQ22" i="14"/>
  <c r="GP22" i="14"/>
  <c r="GO22" i="14"/>
  <c r="GT21" i="14"/>
  <c r="GS21" i="14"/>
  <c r="GQ21" i="14"/>
  <c r="GP21" i="14"/>
  <c r="GO21" i="14"/>
  <c r="GT9" i="14"/>
  <c r="GS9" i="14"/>
  <c r="GQ9" i="14"/>
  <c r="GP9" i="14"/>
  <c r="GO9" i="14"/>
  <c r="GT19" i="14"/>
  <c r="GS19" i="14"/>
  <c r="GQ19" i="14"/>
  <c r="GP19" i="14"/>
  <c r="GO19" i="14"/>
  <c r="GT17" i="14"/>
  <c r="GS17" i="14"/>
  <c r="GQ17" i="14"/>
  <c r="GP17" i="14"/>
  <c r="GO17" i="14"/>
  <c r="GT18" i="14"/>
  <c r="GS18" i="14"/>
  <c r="GQ18" i="14"/>
  <c r="GP18" i="14"/>
  <c r="GO18" i="14"/>
  <c r="GT16" i="14"/>
  <c r="GS16" i="14"/>
  <c r="GQ16" i="14"/>
  <c r="GP16" i="14"/>
  <c r="GO16" i="14"/>
  <c r="GT8" i="14"/>
  <c r="GS8" i="14"/>
  <c r="GQ8" i="14"/>
  <c r="GP8" i="14"/>
  <c r="GO8" i="14"/>
  <c r="GT15" i="14"/>
  <c r="GS15" i="14"/>
  <c r="GQ15" i="14"/>
  <c r="GP15" i="14"/>
  <c r="GO15" i="14"/>
  <c r="GT12" i="14"/>
  <c r="GS12" i="14"/>
  <c r="GQ12" i="14"/>
  <c r="GP12" i="14"/>
  <c r="GO12" i="14"/>
  <c r="GT11" i="14"/>
  <c r="GS11" i="14"/>
  <c r="GQ11" i="14"/>
  <c r="GP11" i="14"/>
  <c r="GO11" i="14"/>
  <c r="GT10" i="14"/>
  <c r="GS10" i="14"/>
  <c r="GQ10" i="14"/>
  <c r="GP10" i="14"/>
  <c r="GO10" i="14"/>
  <c r="GT13" i="14"/>
  <c r="GS13" i="14"/>
  <c r="GQ13" i="14"/>
  <c r="GP13" i="14"/>
  <c r="GO13" i="14"/>
  <c r="GT7" i="14"/>
  <c r="GS7" i="14"/>
  <c r="GQ7" i="14"/>
  <c r="GP7" i="14"/>
  <c r="GO7" i="14"/>
  <c r="GT14" i="14"/>
  <c r="GS14" i="14"/>
  <c r="GQ14" i="14"/>
  <c r="GP14" i="14"/>
  <c r="GO14" i="14"/>
  <c r="GT6" i="14"/>
  <c r="GS6" i="14"/>
  <c r="GQ6" i="14"/>
  <c r="GP6" i="14"/>
  <c r="GO6" i="14"/>
  <c r="GT5" i="14"/>
  <c r="GS5" i="14"/>
  <c r="GQ5" i="14"/>
  <c r="GP5" i="14"/>
  <c r="GO5" i="14"/>
  <c r="GT4" i="14"/>
  <c r="GS4" i="14"/>
  <c r="GQ4" i="14"/>
  <c r="GP4" i="14"/>
  <c r="GO4" i="14"/>
  <c r="FX20" i="14"/>
  <c r="FW20" i="14"/>
  <c r="FU20" i="14"/>
  <c r="FT20" i="14"/>
  <c r="FS20" i="14"/>
  <c r="FX22" i="14"/>
  <c r="FW22" i="14"/>
  <c r="FU22" i="14"/>
  <c r="FT22" i="14"/>
  <c r="FS22" i="14"/>
  <c r="FX21" i="14"/>
  <c r="FW21" i="14"/>
  <c r="FU21" i="14"/>
  <c r="FT21" i="14"/>
  <c r="FS21" i="14"/>
  <c r="FX9" i="14"/>
  <c r="FW9" i="14"/>
  <c r="FU9" i="14"/>
  <c r="FT9" i="14"/>
  <c r="FS9" i="14"/>
  <c r="FX19" i="14"/>
  <c r="FW19" i="14"/>
  <c r="FU19" i="14"/>
  <c r="FT19" i="14"/>
  <c r="FS19" i="14"/>
  <c r="FX17" i="14"/>
  <c r="FW17" i="14"/>
  <c r="FU17" i="14"/>
  <c r="FT17" i="14"/>
  <c r="FS17" i="14"/>
  <c r="FX18" i="14"/>
  <c r="FW18" i="14"/>
  <c r="FU18" i="14"/>
  <c r="FT18" i="14"/>
  <c r="FS18" i="14"/>
  <c r="FX16" i="14"/>
  <c r="FW16" i="14"/>
  <c r="FU16" i="14"/>
  <c r="FT16" i="14"/>
  <c r="FS16" i="14"/>
  <c r="FX8" i="14"/>
  <c r="FW8" i="14"/>
  <c r="FU8" i="14"/>
  <c r="FT8" i="14"/>
  <c r="FS8" i="14"/>
  <c r="FX15" i="14"/>
  <c r="FW15" i="14"/>
  <c r="FU15" i="14"/>
  <c r="FT15" i="14"/>
  <c r="FS15" i="14"/>
  <c r="FX12" i="14"/>
  <c r="FW12" i="14"/>
  <c r="FU12" i="14"/>
  <c r="FT12" i="14"/>
  <c r="FS12" i="14"/>
  <c r="FX11" i="14"/>
  <c r="FW11" i="14"/>
  <c r="FU11" i="14"/>
  <c r="FT11" i="14"/>
  <c r="FS11" i="14"/>
  <c r="FX10" i="14"/>
  <c r="FW10" i="14"/>
  <c r="FU10" i="14"/>
  <c r="FT10" i="14"/>
  <c r="FS10" i="14"/>
  <c r="FX13" i="14"/>
  <c r="FW13" i="14"/>
  <c r="FU13" i="14"/>
  <c r="FT13" i="14"/>
  <c r="FS13" i="14"/>
  <c r="FX7" i="14"/>
  <c r="FW7" i="14"/>
  <c r="FU7" i="14"/>
  <c r="FT7" i="14"/>
  <c r="FS7" i="14"/>
  <c r="FX14" i="14"/>
  <c r="FW14" i="14"/>
  <c r="FU14" i="14"/>
  <c r="FT14" i="14"/>
  <c r="FS14" i="14"/>
  <c r="FX6" i="14"/>
  <c r="FW6" i="14"/>
  <c r="FU6" i="14"/>
  <c r="FT6" i="14"/>
  <c r="FS6" i="14"/>
  <c r="FX5" i="14"/>
  <c r="FW5" i="14"/>
  <c r="FU5" i="14"/>
  <c r="FT5" i="14"/>
  <c r="FS5" i="14"/>
  <c r="FX4" i="14"/>
  <c r="FW4" i="14"/>
  <c r="FU4" i="14"/>
  <c r="FT4" i="14"/>
  <c r="FS4" i="14"/>
  <c r="FB20" i="14"/>
  <c r="FA20" i="14"/>
  <c r="EY20" i="14"/>
  <c r="EX20" i="14"/>
  <c r="EW20" i="14"/>
  <c r="FB22" i="14"/>
  <c r="FA22" i="14"/>
  <c r="EY22" i="14"/>
  <c r="EX22" i="14"/>
  <c r="EW22" i="14"/>
  <c r="FB21" i="14"/>
  <c r="FA21" i="14"/>
  <c r="EY21" i="14"/>
  <c r="EX21" i="14"/>
  <c r="EW21" i="14"/>
  <c r="FB9" i="14"/>
  <c r="FA9" i="14"/>
  <c r="EY9" i="14"/>
  <c r="EX9" i="14"/>
  <c r="EW9" i="14"/>
  <c r="FB19" i="14"/>
  <c r="FA19" i="14"/>
  <c r="EY19" i="14"/>
  <c r="EX19" i="14"/>
  <c r="EW19" i="14"/>
  <c r="FB17" i="14"/>
  <c r="FA17" i="14"/>
  <c r="EY17" i="14"/>
  <c r="EX17" i="14"/>
  <c r="EW17" i="14"/>
  <c r="FB18" i="14"/>
  <c r="FA18" i="14"/>
  <c r="EY18" i="14"/>
  <c r="EX18" i="14"/>
  <c r="EW18" i="14"/>
  <c r="FB16" i="14"/>
  <c r="FA16" i="14"/>
  <c r="EY16" i="14"/>
  <c r="EX16" i="14"/>
  <c r="EW16" i="14"/>
  <c r="FB8" i="14"/>
  <c r="FA8" i="14"/>
  <c r="EY8" i="14"/>
  <c r="EX8" i="14"/>
  <c r="EW8" i="14"/>
  <c r="FB15" i="14"/>
  <c r="FA15" i="14"/>
  <c r="EY15" i="14"/>
  <c r="EX15" i="14"/>
  <c r="EW15" i="14"/>
  <c r="FB12" i="14"/>
  <c r="FA12" i="14"/>
  <c r="EY12" i="14"/>
  <c r="EX12" i="14"/>
  <c r="EW12" i="14"/>
  <c r="FB11" i="14"/>
  <c r="FA11" i="14"/>
  <c r="EY11" i="14"/>
  <c r="EX11" i="14"/>
  <c r="EW11" i="14"/>
  <c r="FB10" i="14"/>
  <c r="FA10" i="14"/>
  <c r="EY10" i="14"/>
  <c r="EX10" i="14"/>
  <c r="EW10" i="14"/>
  <c r="FB13" i="14"/>
  <c r="FA13" i="14"/>
  <c r="EY13" i="14"/>
  <c r="EX13" i="14"/>
  <c r="EW13" i="14"/>
  <c r="FB7" i="14"/>
  <c r="FA7" i="14"/>
  <c r="EY7" i="14"/>
  <c r="EX7" i="14"/>
  <c r="EW7" i="14"/>
  <c r="FB14" i="14"/>
  <c r="FA14" i="14"/>
  <c r="EY14" i="14"/>
  <c r="EX14" i="14"/>
  <c r="EW14" i="14"/>
  <c r="FB6" i="14"/>
  <c r="FA6" i="14"/>
  <c r="EY6" i="14"/>
  <c r="EX6" i="14"/>
  <c r="EW6" i="14"/>
  <c r="FB5" i="14"/>
  <c r="FA5" i="14"/>
  <c r="EY5" i="14"/>
  <c r="EX5" i="14"/>
  <c r="EW5" i="14"/>
  <c r="FB4" i="14"/>
  <c r="FA4" i="14"/>
  <c r="EY4" i="14"/>
  <c r="EX4" i="14"/>
  <c r="EW4" i="14"/>
  <c r="EF20" i="14"/>
  <c r="EE20" i="14"/>
  <c r="EC20" i="14"/>
  <c r="EB20" i="14"/>
  <c r="EA20" i="14"/>
  <c r="EF22" i="14"/>
  <c r="EE22" i="14"/>
  <c r="EC22" i="14"/>
  <c r="EB22" i="14"/>
  <c r="EA22" i="14"/>
  <c r="EF21" i="14"/>
  <c r="EE21" i="14"/>
  <c r="EC21" i="14"/>
  <c r="EB21" i="14"/>
  <c r="EA21" i="14"/>
  <c r="EF9" i="14"/>
  <c r="EE9" i="14"/>
  <c r="EC9" i="14"/>
  <c r="EB9" i="14"/>
  <c r="EA9" i="14"/>
  <c r="EF19" i="14"/>
  <c r="EE19" i="14"/>
  <c r="EC19" i="14"/>
  <c r="EB19" i="14"/>
  <c r="EA19" i="14"/>
  <c r="EF17" i="14"/>
  <c r="EE17" i="14"/>
  <c r="EC17" i="14"/>
  <c r="EB17" i="14"/>
  <c r="EA17" i="14"/>
  <c r="EF18" i="14"/>
  <c r="EE18" i="14"/>
  <c r="EC18" i="14"/>
  <c r="EB18" i="14"/>
  <c r="EA18" i="14"/>
  <c r="EF16" i="14"/>
  <c r="EE16" i="14"/>
  <c r="EC16" i="14"/>
  <c r="EB16" i="14"/>
  <c r="EA16" i="14"/>
  <c r="EF8" i="14"/>
  <c r="EE8" i="14"/>
  <c r="EC8" i="14"/>
  <c r="EB8" i="14"/>
  <c r="EA8" i="14"/>
  <c r="EF15" i="14"/>
  <c r="EE15" i="14"/>
  <c r="EC15" i="14"/>
  <c r="EB15" i="14"/>
  <c r="EA15" i="14"/>
  <c r="EF12" i="14"/>
  <c r="EE12" i="14"/>
  <c r="EC12" i="14"/>
  <c r="EB12" i="14"/>
  <c r="EA12" i="14"/>
  <c r="EF11" i="14"/>
  <c r="EE11" i="14"/>
  <c r="EC11" i="14"/>
  <c r="EB11" i="14"/>
  <c r="EA11" i="14"/>
  <c r="EF10" i="14"/>
  <c r="EE10" i="14"/>
  <c r="EC10" i="14"/>
  <c r="EB10" i="14"/>
  <c r="EA10" i="14"/>
  <c r="EF13" i="14"/>
  <c r="EE13" i="14"/>
  <c r="EC13" i="14"/>
  <c r="EB13" i="14"/>
  <c r="EA13" i="14"/>
  <c r="EF7" i="14"/>
  <c r="EE7" i="14"/>
  <c r="EC7" i="14"/>
  <c r="EB7" i="14"/>
  <c r="EA7" i="14"/>
  <c r="EF14" i="14"/>
  <c r="EE14" i="14"/>
  <c r="EC14" i="14"/>
  <c r="EB14" i="14"/>
  <c r="ED14" i="14" s="1"/>
  <c r="EA14" i="14"/>
  <c r="EF6" i="14"/>
  <c r="EE6" i="14"/>
  <c r="EC6" i="14"/>
  <c r="EB6" i="14"/>
  <c r="EA6" i="14"/>
  <c r="EF5" i="14"/>
  <c r="EE5" i="14"/>
  <c r="EC5" i="14"/>
  <c r="EB5" i="14"/>
  <c r="EA5" i="14"/>
  <c r="EF4" i="14"/>
  <c r="EE4" i="14"/>
  <c r="EC4" i="14"/>
  <c r="EB4" i="14"/>
  <c r="EA4" i="14"/>
  <c r="MR19" i="4"/>
  <c r="MQ19" i="4"/>
  <c r="MO19" i="4"/>
  <c r="MN19" i="4"/>
  <c r="MM19" i="4"/>
  <c r="MR15" i="4"/>
  <c r="MQ15" i="4"/>
  <c r="MO15" i="4"/>
  <c r="MN15" i="4"/>
  <c r="MM15" i="4"/>
  <c r="MR13" i="4"/>
  <c r="MQ13" i="4"/>
  <c r="MO13" i="4"/>
  <c r="MN13" i="4"/>
  <c r="MM13" i="4"/>
  <c r="MR16" i="4"/>
  <c r="MQ16" i="4"/>
  <c r="MO16" i="4"/>
  <c r="MN16" i="4"/>
  <c r="MM16" i="4"/>
  <c r="MR23" i="4"/>
  <c r="MQ23" i="4"/>
  <c r="MO23" i="4"/>
  <c r="MN23" i="4"/>
  <c r="MM23" i="4"/>
  <c r="MR11" i="4"/>
  <c r="MQ11" i="4"/>
  <c r="MO11" i="4"/>
  <c r="MN11" i="4"/>
  <c r="MM11" i="4"/>
  <c r="MR18" i="4"/>
  <c r="MQ18" i="4"/>
  <c r="MO18" i="4"/>
  <c r="MN18" i="4"/>
  <c r="MM18" i="4"/>
  <c r="MR14" i="4"/>
  <c r="MQ14" i="4"/>
  <c r="MO14" i="4"/>
  <c r="MN14" i="4"/>
  <c r="MM14" i="4"/>
  <c r="MR10" i="4"/>
  <c r="MQ10" i="4"/>
  <c r="MO10" i="4"/>
  <c r="MN10" i="4"/>
  <c r="MM10" i="4"/>
  <c r="MR12" i="4"/>
  <c r="MQ12" i="4"/>
  <c r="MO12" i="4"/>
  <c r="MN12" i="4"/>
  <c r="MM12" i="4"/>
  <c r="MR9" i="4"/>
  <c r="MQ9" i="4"/>
  <c r="MO9" i="4"/>
  <c r="MN9" i="4"/>
  <c r="MM9" i="4"/>
  <c r="MR8" i="4"/>
  <c r="MQ8" i="4"/>
  <c r="MO8" i="4"/>
  <c r="MN8" i="4"/>
  <c r="MM8" i="4"/>
  <c r="MR7" i="4"/>
  <c r="MQ7" i="4"/>
  <c r="MO7" i="4"/>
  <c r="MN7" i="4"/>
  <c r="MM7" i="4"/>
  <c r="MR6" i="4"/>
  <c r="MQ6" i="4"/>
  <c r="MO6" i="4"/>
  <c r="MN6" i="4"/>
  <c r="MM6" i="4"/>
  <c r="MR5" i="4"/>
  <c r="MQ5" i="4"/>
  <c r="MO5" i="4"/>
  <c r="MN5" i="4"/>
  <c r="MM5" i="4"/>
  <c r="MR4" i="4"/>
  <c r="MQ4" i="4"/>
  <c r="MO4" i="4"/>
  <c r="MN4" i="4"/>
  <c r="MM4" i="4"/>
  <c r="LV19" i="4"/>
  <c r="LU19" i="4"/>
  <c r="LS19" i="4"/>
  <c r="LR19" i="4"/>
  <c r="LQ19" i="4"/>
  <c r="LV15" i="4"/>
  <c r="LU15" i="4"/>
  <c r="LS15" i="4"/>
  <c r="LR15" i="4"/>
  <c r="LQ15" i="4"/>
  <c r="LV13" i="4"/>
  <c r="LU13" i="4"/>
  <c r="LS13" i="4"/>
  <c r="LR13" i="4"/>
  <c r="LQ13" i="4"/>
  <c r="LV16" i="4"/>
  <c r="LU16" i="4"/>
  <c r="LS16" i="4"/>
  <c r="LR16" i="4"/>
  <c r="LQ16" i="4"/>
  <c r="LV23" i="4"/>
  <c r="LU23" i="4"/>
  <c r="LS23" i="4"/>
  <c r="LR23" i="4"/>
  <c r="LQ23" i="4"/>
  <c r="LV11" i="4"/>
  <c r="LU11" i="4"/>
  <c r="LS11" i="4"/>
  <c r="LR11" i="4"/>
  <c r="LQ11" i="4"/>
  <c r="LV18" i="4"/>
  <c r="LU18" i="4"/>
  <c r="LS18" i="4"/>
  <c r="LR18" i="4"/>
  <c r="LQ18" i="4"/>
  <c r="LV14" i="4"/>
  <c r="LU14" i="4"/>
  <c r="LS14" i="4"/>
  <c r="LR14" i="4"/>
  <c r="LQ14" i="4"/>
  <c r="LV10" i="4"/>
  <c r="LU10" i="4"/>
  <c r="LS10" i="4"/>
  <c r="LR10" i="4"/>
  <c r="LQ10" i="4"/>
  <c r="LV12" i="4"/>
  <c r="LU12" i="4"/>
  <c r="LS12" i="4"/>
  <c r="LR12" i="4"/>
  <c r="LQ12" i="4"/>
  <c r="LV9" i="4"/>
  <c r="LU9" i="4"/>
  <c r="LS9" i="4"/>
  <c r="LR9" i="4"/>
  <c r="LQ9" i="4"/>
  <c r="LV8" i="4"/>
  <c r="LU8" i="4"/>
  <c r="LS8" i="4"/>
  <c r="LR8" i="4"/>
  <c r="LQ8" i="4"/>
  <c r="LV7" i="4"/>
  <c r="LU7" i="4"/>
  <c r="LS7" i="4"/>
  <c r="LR7" i="4"/>
  <c r="LQ7" i="4"/>
  <c r="LV6" i="4"/>
  <c r="LU6" i="4"/>
  <c r="LS6" i="4"/>
  <c r="LR6" i="4"/>
  <c r="LQ6" i="4"/>
  <c r="LV5" i="4"/>
  <c r="LU5" i="4"/>
  <c r="LS5" i="4"/>
  <c r="LR5" i="4"/>
  <c r="LQ5" i="4"/>
  <c r="LV4" i="4"/>
  <c r="LU4" i="4"/>
  <c r="LS4" i="4"/>
  <c r="LR4" i="4"/>
  <c r="LQ4" i="4"/>
  <c r="KZ19" i="4"/>
  <c r="KY19" i="4"/>
  <c r="KW19" i="4"/>
  <c r="KV19" i="4"/>
  <c r="KU19" i="4"/>
  <c r="KZ15" i="4"/>
  <c r="KY15" i="4"/>
  <c r="KW15" i="4"/>
  <c r="KV15" i="4"/>
  <c r="KU15" i="4"/>
  <c r="KZ13" i="4"/>
  <c r="KY13" i="4"/>
  <c r="KW13" i="4"/>
  <c r="KV13" i="4"/>
  <c r="KU13" i="4"/>
  <c r="KZ16" i="4"/>
  <c r="KY16" i="4"/>
  <c r="KW16" i="4"/>
  <c r="KV16" i="4"/>
  <c r="KU16" i="4"/>
  <c r="KZ23" i="4"/>
  <c r="KY23" i="4"/>
  <c r="KW23" i="4"/>
  <c r="KV23" i="4"/>
  <c r="KU23" i="4"/>
  <c r="KZ11" i="4"/>
  <c r="KY11" i="4"/>
  <c r="KW11" i="4"/>
  <c r="KV11" i="4"/>
  <c r="KU11" i="4"/>
  <c r="KZ18" i="4"/>
  <c r="KY18" i="4"/>
  <c r="KW18" i="4"/>
  <c r="KV18" i="4"/>
  <c r="KU18" i="4"/>
  <c r="KZ14" i="4"/>
  <c r="KY14" i="4"/>
  <c r="KW14" i="4"/>
  <c r="KV14" i="4"/>
  <c r="KU14" i="4"/>
  <c r="KZ10" i="4"/>
  <c r="KY10" i="4"/>
  <c r="KW10" i="4"/>
  <c r="KV10" i="4"/>
  <c r="KU10" i="4"/>
  <c r="KZ12" i="4"/>
  <c r="KY12" i="4"/>
  <c r="KW12" i="4"/>
  <c r="KV12" i="4"/>
  <c r="KU12" i="4"/>
  <c r="KZ9" i="4"/>
  <c r="KY9" i="4"/>
  <c r="KW9" i="4"/>
  <c r="KV9" i="4"/>
  <c r="KU9" i="4"/>
  <c r="KZ8" i="4"/>
  <c r="KY8" i="4"/>
  <c r="KW8" i="4"/>
  <c r="KV8" i="4"/>
  <c r="KU8" i="4"/>
  <c r="KZ7" i="4"/>
  <c r="KY7" i="4"/>
  <c r="KW7" i="4"/>
  <c r="KV7" i="4"/>
  <c r="KU7" i="4"/>
  <c r="KZ6" i="4"/>
  <c r="KY6" i="4"/>
  <c r="KW6" i="4"/>
  <c r="KV6" i="4"/>
  <c r="KU6" i="4"/>
  <c r="KZ5" i="4"/>
  <c r="KY5" i="4"/>
  <c r="KW5" i="4"/>
  <c r="KV5" i="4"/>
  <c r="KU5" i="4"/>
  <c r="KZ4" i="4"/>
  <c r="KY4" i="4"/>
  <c r="KW4" i="4"/>
  <c r="KV4" i="4"/>
  <c r="KU4" i="4"/>
  <c r="KD19" i="4"/>
  <c r="KC19" i="4"/>
  <c r="KA19" i="4"/>
  <c r="JZ19" i="4"/>
  <c r="JY19" i="4"/>
  <c r="KD15" i="4"/>
  <c r="KC15" i="4"/>
  <c r="KA15" i="4"/>
  <c r="JZ15" i="4"/>
  <c r="JY15" i="4"/>
  <c r="KD13" i="4"/>
  <c r="KC13" i="4"/>
  <c r="KA13" i="4"/>
  <c r="JZ13" i="4"/>
  <c r="JY13" i="4"/>
  <c r="KD16" i="4"/>
  <c r="KC16" i="4"/>
  <c r="KA16" i="4"/>
  <c r="JZ16" i="4"/>
  <c r="JY16" i="4"/>
  <c r="KD23" i="4"/>
  <c r="KC23" i="4"/>
  <c r="KA23" i="4"/>
  <c r="JZ23" i="4"/>
  <c r="JY23" i="4"/>
  <c r="KD11" i="4"/>
  <c r="KC11" i="4"/>
  <c r="KA11" i="4"/>
  <c r="JZ11" i="4"/>
  <c r="JY11" i="4"/>
  <c r="KD18" i="4"/>
  <c r="KC18" i="4"/>
  <c r="KA18" i="4"/>
  <c r="JZ18" i="4"/>
  <c r="JY18" i="4"/>
  <c r="KD14" i="4"/>
  <c r="KC14" i="4"/>
  <c r="KA14" i="4"/>
  <c r="JZ14" i="4"/>
  <c r="JY14" i="4"/>
  <c r="KD10" i="4"/>
  <c r="KC10" i="4"/>
  <c r="KA10" i="4"/>
  <c r="JZ10" i="4"/>
  <c r="JY10" i="4"/>
  <c r="KD12" i="4"/>
  <c r="KC12" i="4"/>
  <c r="KA12" i="4"/>
  <c r="JZ12" i="4"/>
  <c r="JY12" i="4"/>
  <c r="KD9" i="4"/>
  <c r="KC9" i="4"/>
  <c r="KA9" i="4"/>
  <c r="JZ9" i="4"/>
  <c r="JY9" i="4"/>
  <c r="KD8" i="4"/>
  <c r="KC8" i="4"/>
  <c r="KA8" i="4"/>
  <c r="JZ8" i="4"/>
  <c r="JY8" i="4"/>
  <c r="KD7" i="4"/>
  <c r="KC7" i="4"/>
  <c r="KA7" i="4"/>
  <c r="JZ7" i="4"/>
  <c r="JY7" i="4"/>
  <c r="KD6" i="4"/>
  <c r="KC6" i="4"/>
  <c r="KA6" i="4"/>
  <c r="JZ6" i="4"/>
  <c r="JY6" i="4"/>
  <c r="KD5" i="4"/>
  <c r="KC5" i="4"/>
  <c r="KA5" i="4"/>
  <c r="JZ5" i="4"/>
  <c r="JY5" i="4"/>
  <c r="KD4" i="4"/>
  <c r="KC4" i="4"/>
  <c r="KA4" i="4"/>
  <c r="JZ4" i="4"/>
  <c r="JY4" i="4"/>
  <c r="JH19" i="4"/>
  <c r="JG19" i="4"/>
  <c r="JE19" i="4"/>
  <c r="JD19" i="4"/>
  <c r="JC19" i="4"/>
  <c r="JH15" i="4"/>
  <c r="JG15" i="4"/>
  <c r="JE15" i="4"/>
  <c r="JD15" i="4"/>
  <c r="JC15" i="4"/>
  <c r="JH13" i="4"/>
  <c r="JG13" i="4"/>
  <c r="JE13" i="4"/>
  <c r="JD13" i="4"/>
  <c r="JC13" i="4"/>
  <c r="JH16" i="4"/>
  <c r="JG16" i="4"/>
  <c r="JE16" i="4"/>
  <c r="JD16" i="4"/>
  <c r="JC16" i="4"/>
  <c r="JH23" i="4"/>
  <c r="JG23" i="4"/>
  <c r="JE23" i="4"/>
  <c r="JD23" i="4"/>
  <c r="JC23" i="4"/>
  <c r="JH11" i="4"/>
  <c r="JG11" i="4"/>
  <c r="JE11" i="4"/>
  <c r="JD11" i="4"/>
  <c r="JC11" i="4"/>
  <c r="JH18" i="4"/>
  <c r="JG18" i="4"/>
  <c r="JE18" i="4"/>
  <c r="JD18" i="4"/>
  <c r="JC18" i="4"/>
  <c r="JH14" i="4"/>
  <c r="JG14" i="4"/>
  <c r="JE14" i="4"/>
  <c r="JD14" i="4"/>
  <c r="JC14" i="4"/>
  <c r="JH10" i="4"/>
  <c r="JG10" i="4"/>
  <c r="JE10" i="4"/>
  <c r="JD10" i="4"/>
  <c r="JC10" i="4"/>
  <c r="JH12" i="4"/>
  <c r="JG12" i="4"/>
  <c r="JE12" i="4"/>
  <c r="JD12" i="4"/>
  <c r="JC12" i="4"/>
  <c r="JH9" i="4"/>
  <c r="JG9" i="4"/>
  <c r="JE9" i="4"/>
  <c r="JD9" i="4"/>
  <c r="JC9" i="4"/>
  <c r="JH8" i="4"/>
  <c r="JG8" i="4"/>
  <c r="JE8" i="4"/>
  <c r="JD8" i="4"/>
  <c r="JC8" i="4"/>
  <c r="JH7" i="4"/>
  <c r="JG7" i="4"/>
  <c r="JE7" i="4"/>
  <c r="JD7" i="4"/>
  <c r="JC7" i="4"/>
  <c r="JH6" i="4"/>
  <c r="JG6" i="4"/>
  <c r="JE6" i="4"/>
  <c r="JD6" i="4"/>
  <c r="JC6" i="4"/>
  <c r="JH5" i="4"/>
  <c r="JG5" i="4"/>
  <c r="JE5" i="4"/>
  <c r="JD5" i="4"/>
  <c r="JC5" i="4"/>
  <c r="JH4" i="4"/>
  <c r="JG4" i="4"/>
  <c r="JE4" i="4"/>
  <c r="JD4" i="4"/>
  <c r="JC4" i="4"/>
  <c r="IL19" i="4"/>
  <c r="IK19" i="4"/>
  <c r="II19" i="4"/>
  <c r="IH19" i="4"/>
  <c r="IG19" i="4"/>
  <c r="IL15" i="4"/>
  <c r="IK15" i="4"/>
  <c r="II15" i="4"/>
  <c r="IH15" i="4"/>
  <c r="IG15" i="4"/>
  <c r="IL13" i="4"/>
  <c r="IK13" i="4"/>
  <c r="II13" i="4"/>
  <c r="IH13" i="4"/>
  <c r="IG13" i="4"/>
  <c r="IL16" i="4"/>
  <c r="IK16" i="4"/>
  <c r="II16" i="4"/>
  <c r="IH16" i="4"/>
  <c r="IG16" i="4"/>
  <c r="IL23" i="4"/>
  <c r="IK23" i="4"/>
  <c r="II23" i="4"/>
  <c r="IH23" i="4"/>
  <c r="IG23" i="4"/>
  <c r="IL11" i="4"/>
  <c r="IK11" i="4"/>
  <c r="II11" i="4"/>
  <c r="IH11" i="4"/>
  <c r="IG11" i="4"/>
  <c r="IL18" i="4"/>
  <c r="IK18" i="4"/>
  <c r="II18" i="4"/>
  <c r="IH18" i="4"/>
  <c r="IG18" i="4"/>
  <c r="IL14" i="4"/>
  <c r="IK14" i="4"/>
  <c r="II14" i="4"/>
  <c r="IH14" i="4"/>
  <c r="IG14" i="4"/>
  <c r="IL10" i="4"/>
  <c r="IK10" i="4"/>
  <c r="II10" i="4"/>
  <c r="IH10" i="4"/>
  <c r="IG10" i="4"/>
  <c r="IL12" i="4"/>
  <c r="IK12" i="4"/>
  <c r="II12" i="4"/>
  <c r="IH12" i="4"/>
  <c r="IG12" i="4"/>
  <c r="IL9" i="4"/>
  <c r="IK9" i="4"/>
  <c r="II9" i="4"/>
  <c r="IH9" i="4"/>
  <c r="IG9" i="4"/>
  <c r="IL8" i="4"/>
  <c r="IK8" i="4"/>
  <c r="II8" i="4"/>
  <c r="IH8" i="4"/>
  <c r="IG8" i="4"/>
  <c r="IL7" i="4"/>
  <c r="IK7" i="4"/>
  <c r="II7" i="4"/>
  <c r="IH7" i="4"/>
  <c r="IG7" i="4"/>
  <c r="IL6" i="4"/>
  <c r="IK6" i="4"/>
  <c r="II6" i="4"/>
  <c r="IH6" i="4"/>
  <c r="IG6" i="4"/>
  <c r="IL5" i="4"/>
  <c r="IK5" i="4"/>
  <c r="II5" i="4"/>
  <c r="IH5" i="4"/>
  <c r="IG5" i="4"/>
  <c r="IL4" i="4"/>
  <c r="IK4" i="4"/>
  <c r="II4" i="4"/>
  <c r="IH4" i="4"/>
  <c r="IG4" i="4"/>
  <c r="HP19" i="4"/>
  <c r="HO19" i="4"/>
  <c r="HM19" i="4"/>
  <c r="HL19" i="4"/>
  <c r="HK19" i="4"/>
  <c r="HP15" i="4"/>
  <c r="HO15" i="4"/>
  <c r="HM15" i="4"/>
  <c r="HL15" i="4"/>
  <c r="HK15" i="4"/>
  <c r="HP13" i="4"/>
  <c r="HO13" i="4"/>
  <c r="HM13" i="4"/>
  <c r="HL13" i="4"/>
  <c r="HK13" i="4"/>
  <c r="HP16" i="4"/>
  <c r="HO16" i="4"/>
  <c r="HM16" i="4"/>
  <c r="HL16" i="4"/>
  <c r="HK16" i="4"/>
  <c r="HP23" i="4"/>
  <c r="HO23" i="4"/>
  <c r="HM23" i="4"/>
  <c r="HL23" i="4"/>
  <c r="HK23" i="4"/>
  <c r="HP11" i="4"/>
  <c r="HO11" i="4"/>
  <c r="HM11" i="4"/>
  <c r="HL11" i="4"/>
  <c r="HK11" i="4"/>
  <c r="HP18" i="4"/>
  <c r="HO18" i="4"/>
  <c r="HM18" i="4"/>
  <c r="HL18" i="4"/>
  <c r="HK18" i="4"/>
  <c r="HP14" i="4"/>
  <c r="HO14" i="4"/>
  <c r="HM14" i="4"/>
  <c r="HL14" i="4"/>
  <c r="HK14" i="4"/>
  <c r="HP10" i="4"/>
  <c r="HO10" i="4"/>
  <c r="HM10" i="4"/>
  <c r="HL10" i="4"/>
  <c r="HK10" i="4"/>
  <c r="HP12" i="4"/>
  <c r="HO12" i="4"/>
  <c r="HM12" i="4"/>
  <c r="HL12" i="4"/>
  <c r="HK12" i="4"/>
  <c r="HP9" i="4"/>
  <c r="HO9" i="4"/>
  <c r="HM9" i="4"/>
  <c r="HL9" i="4"/>
  <c r="HK9" i="4"/>
  <c r="HP8" i="4"/>
  <c r="HO8" i="4"/>
  <c r="HM8" i="4"/>
  <c r="HL8" i="4"/>
  <c r="HK8" i="4"/>
  <c r="HP7" i="4"/>
  <c r="HO7" i="4"/>
  <c r="HM7" i="4"/>
  <c r="HL7" i="4"/>
  <c r="HK7" i="4"/>
  <c r="HP6" i="4"/>
  <c r="HO6" i="4"/>
  <c r="HM6" i="4"/>
  <c r="HL6" i="4"/>
  <c r="HK6" i="4"/>
  <c r="HP5" i="4"/>
  <c r="HO5" i="4"/>
  <c r="HM5" i="4"/>
  <c r="HL5" i="4"/>
  <c r="HK5" i="4"/>
  <c r="HP4" i="4"/>
  <c r="HO4" i="4"/>
  <c r="HM4" i="4"/>
  <c r="HL4" i="4"/>
  <c r="HK4" i="4"/>
  <c r="GT19" i="4"/>
  <c r="GS19" i="4"/>
  <c r="GQ19" i="4"/>
  <c r="GP19" i="4"/>
  <c r="GO19" i="4"/>
  <c r="GT15" i="4"/>
  <c r="GS15" i="4"/>
  <c r="GQ15" i="4"/>
  <c r="GP15" i="4"/>
  <c r="GO15" i="4"/>
  <c r="GT13" i="4"/>
  <c r="GS13" i="4"/>
  <c r="GQ13" i="4"/>
  <c r="GP13" i="4"/>
  <c r="GO13" i="4"/>
  <c r="GT16" i="4"/>
  <c r="GS16" i="4"/>
  <c r="GQ16" i="4"/>
  <c r="GP16" i="4"/>
  <c r="GO16" i="4"/>
  <c r="GT23" i="4"/>
  <c r="GS23" i="4"/>
  <c r="GQ23" i="4"/>
  <c r="GP23" i="4"/>
  <c r="GO23" i="4"/>
  <c r="GT11" i="4"/>
  <c r="GS11" i="4"/>
  <c r="GQ11" i="4"/>
  <c r="GP11" i="4"/>
  <c r="GO11" i="4"/>
  <c r="GT18" i="4"/>
  <c r="GS18" i="4"/>
  <c r="GQ18" i="4"/>
  <c r="GP18" i="4"/>
  <c r="GO18" i="4"/>
  <c r="GT14" i="4"/>
  <c r="GS14" i="4"/>
  <c r="GQ14" i="4"/>
  <c r="GP14" i="4"/>
  <c r="GO14" i="4"/>
  <c r="GT10" i="4"/>
  <c r="GS10" i="4"/>
  <c r="GQ10" i="4"/>
  <c r="GP10" i="4"/>
  <c r="GO10" i="4"/>
  <c r="GT12" i="4"/>
  <c r="GS12" i="4"/>
  <c r="GQ12" i="4"/>
  <c r="GP12" i="4"/>
  <c r="GO12" i="4"/>
  <c r="GT9" i="4"/>
  <c r="GS9" i="4"/>
  <c r="GQ9" i="4"/>
  <c r="GP9" i="4"/>
  <c r="GO9" i="4"/>
  <c r="GT8" i="4"/>
  <c r="GS8" i="4"/>
  <c r="GQ8" i="4"/>
  <c r="GP8" i="4"/>
  <c r="GO8" i="4"/>
  <c r="GT7" i="4"/>
  <c r="GS7" i="4"/>
  <c r="GQ7" i="4"/>
  <c r="GP7" i="4"/>
  <c r="GO7" i="4"/>
  <c r="GT6" i="4"/>
  <c r="GS6" i="4"/>
  <c r="GQ6" i="4"/>
  <c r="GP6" i="4"/>
  <c r="GO6" i="4"/>
  <c r="GT5" i="4"/>
  <c r="GS5" i="4"/>
  <c r="GQ5" i="4"/>
  <c r="GP5" i="4"/>
  <c r="GO5" i="4"/>
  <c r="GT4" i="4"/>
  <c r="GS4" i="4"/>
  <c r="GQ4" i="4"/>
  <c r="GP4" i="4"/>
  <c r="GO4" i="4"/>
  <c r="FX19" i="4"/>
  <c r="FW19" i="4"/>
  <c r="FU19" i="4"/>
  <c r="FT19" i="4"/>
  <c r="FS19" i="4"/>
  <c r="FX15" i="4"/>
  <c r="FW15" i="4"/>
  <c r="FU15" i="4"/>
  <c r="FT15" i="4"/>
  <c r="FS15" i="4"/>
  <c r="FX13" i="4"/>
  <c r="FW13" i="4"/>
  <c r="FU13" i="4"/>
  <c r="FT13" i="4"/>
  <c r="FS13" i="4"/>
  <c r="FX16" i="4"/>
  <c r="FW16" i="4"/>
  <c r="FU16" i="4"/>
  <c r="FT16" i="4"/>
  <c r="FS16" i="4"/>
  <c r="FX23" i="4"/>
  <c r="FW23" i="4"/>
  <c r="FU23" i="4"/>
  <c r="FT23" i="4"/>
  <c r="FS23" i="4"/>
  <c r="FX11" i="4"/>
  <c r="FW11" i="4"/>
  <c r="FU11" i="4"/>
  <c r="FT11" i="4"/>
  <c r="FS11" i="4"/>
  <c r="FX18" i="4"/>
  <c r="FW18" i="4"/>
  <c r="FU18" i="4"/>
  <c r="FT18" i="4"/>
  <c r="FS18" i="4"/>
  <c r="FX14" i="4"/>
  <c r="FW14" i="4"/>
  <c r="FU14" i="4"/>
  <c r="FT14" i="4"/>
  <c r="FS14" i="4"/>
  <c r="FX10" i="4"/>
  <c r="FW10" i="4"/>
  <c r="FU10" i="4"/>
  <c r="FT10" i="4"/>
  <c r="FS10" i="4"/>
  <c r="FX12" i="4"/>
  <c r="FW12" i="4"/>
  <c r="FU12" i="4"/>
  <c r="FT12" i="4"/>
  <c r="FS12" i="4"/>
  <c r="FX9" i="4"/>
  <c r="FW9" i="4"/>
  <c r="FU9" i="4"/>
  <c r="FT9" i="4"/>
  <c r="FS9" i="4"/>
  <c r="FX8" i="4"/>
  <c r="FW8" i="4"/>
  <c r="FU8" i="4"/>
  <c r="FT8" i="4"/>
  <c r="FS8" i="4"/>
  <c r="FX7" i="4"/>
  <c r="FW7" i="4"/>
  <c r="FU7" i="4"/>
  <c r="FT7" i="4"/>
  <c r="FS7" i="4"/>
  <c r="FX6" i="4"/>
  <c r="FW6" i="4"/>
  <c r="FU6" i="4"/>
  <c r="FT6" i="4"/>
  <c r="FS6" i="4"/>
  <c r="FX5" i="4"/>
  <c r="FW5" i="4"/>
  <c r="FU5" i="4"/>
  <c r="FT5" i="4"/>
  <c r="FS5" i="4"/>
  <c r="FX4" i="4"/>
  <c r="FW4" i="4"/>
  <c r="FU4" i="4"/>
  <c r="FT4" i="4"/>
  <c r="FS4" i="4"/>
  <c r="FB19" i="4"/>
  <c r="FA19" i="4"/>
  <c r="EY19" i="4"/>
  <c r="EX19" i="4"/>
  <c r="EW19" i="4"/>
  <c r="FB15" i="4"/>
  <c r="FA15" i="4"/>
  <c r="EY15" i="4"/>
  <c r="EX15" i="4"/>
  <c r="EW15" i="4"/>
  <c r="FB13" i="4"/>
  <c r="FA13" i="4"/>
  <c r="EY13" i="4"/>
  <c r="EX13" i="4"/>
  <c r="EW13" i="4"/>
  <c r="FB16" i="4"/>
  <c r="FA16" i="4"/>
  <c r="EY16" i="4"/>
  <c r="EX16" i="4"/>
  <c r="EW16" i="4"/>
  <c r="FB23" i="4"/>
  <c r="FA23" i="4"/>
  <c r="EY23" i="4"/>
  <c r="EX23" i="4"/>
  <c r="EW23" i="4"/>
  <c r="FB11" i="4"/>
  <c r="FA11" i="4"/>
  <c r="EY11" i="4"/>
  <c r="EX11" i="4"/>
  <c r="EW11" i="4"/>
  <c r="FB18" i="4"/>
  <c r="FA18" i="4"/>
  <c r="EY18" i="4"/>
  <c r="EX18" i="4"/>
  <c r="EW18" i="4"/>
  <c r="FB14" i="4"/>
  <c r="FA14" i="4"/>
  <c r="EY14" i="4"/>
  <c r="EX14" i="4"/>
  <c r="EW14" i="4"/>
  <c r="FB10" i="4"/>
  <c r="FA10" i="4"/>
  <c r="EY10" i="4"/>
  <c r="EX10" i="4"/>
  <c r="EW10" i="4"/>
  <c r="FB12" i="4"/>
  <c r="FA12" i="4"/>
  <c r="EY12" i="4"/>
  <c r="EX12" i="4"/>
  <c r="EW12" i="4"/>
  <c r="FB9" i="4"/>
  <c r="FA9" i="4"/>
  <c r="EY9" i="4"/>
  <c r="EX9" i="4"/>
  <c r="EW9" i="4"/>
  <c r="FB8" i="4"/>
  <c r="FA8" i="4"/>
  <c r="EY8" i="4"/>
  <c r="EX8" i="4"/>
  <c r="EW8" i="4"/>
  <c r="FB7" i="4"/>
  <c r="FA7" i="4"/>
  <c r="EY7" i="4"/>
  <c r="EX7" i="4"/>
  <c r="EW7" i="4"/>
  <c r="FB6" i="4"/>
  <c r="FA6" i="4"/>
  <c r="EY6" i="4"/>
  <c r="EX6" i="4"/>
  <c r="EW6" i="4"/>
  <c r="FB5" i="4"/>
  <c r="FA5" i="4"/>
  <c r="EY5" i="4"/>
  <c r="EX5" i="4"/>
  <c r="EW5" i="4"/>
  <c r="FB4" i="4"/>
  <c r="FA4" i="4"/>
  <c r="EY4" i="4"/>
  <c r="EX4" i="4"/>
  <c r="EW4" i="4"/>
  <c r="EF19" i="4"/>
  <c r="EE19" i="4"/>
  <c r="EC19" i="4"/>
  <c r="EB19" i="4"/>
  <c r="EA19" i="4"/>
  <c r="EF15" i="4"/>
  <c r="EE15" i="4"/>
  <c r="EC15" i="4"/>
  <c r="EB15" i="4"/>
  <c r="EA15" i="4"/>
  <c r="EF13" i="4"/>
  <c r="EE13" i="4"/>
  <c r="EC13" i="4"/>
  <c r="EB13" i="4"/>
  <c r="EA13" i="4"/>
  <c r="EF16" i="4"/>
  <c r="EE16" i="4"/>
  <c r="EC16" i="4"/>
  <c r="EB16" i="4"/>
  <c r="EA16" i="4"/>
  <c r="EF23" i="4"/>
  <c r="EE23" i="4"/>
  <c r="EC23" i="4"/>
  <c r="EB23" i="4"/>
  <c r="EA23" i="4"/>
  <c r="EF11" i="4"/>
  <c r="EE11" i="4"/>
  <c r="EC11" i="4"/>
  <c r="EB11" i="4"/>
  <c r="EA11" i="4"/>
  <c r="EF18" i="4"/>
  <c r="EE18" i="4"/>
  <c r="EC18" i="4"/>
  <c r="EB18" i="4"/>
  <c r="EA18" i="4"/>
  <c r="EF14" i="4"/>
  <c r="EE14" i="4"/>
  <c r="EC14" i="4"/>
  <c r="EB14" i="4"/>
  <c r="EA14" i="4"/>
  <c r="EF10" i="4"/>
  <c r="EE10" i="4"/>
  <c r="EC10" i="4"/>
  <c r="EB10" i="4"/>
  <c r="EA10" i="4"/>
  <c r="EF12" i="4"/>
  <c r="EE12" i="4"/>
  <c r="EC12" i="4"/>
  <c r="EB12" i="4"/>
  <c r="EA12" i="4"/>
  <c r="EF9" i="4"/>
  <c r="EE9" i="4"/>
  <c r="EC9" i="4"/>
  <c r="EB9" i="4"/>
  <c r="EA9" i="4"/>
  <c r="EF8" i="4"/>
  <c r="EE8" i="4"/>
  <c r="EC8" i="4"/>
  <c r="EB8" i="4"/>
  <c r="EA8" i="4"/>
  <c r="EF7" i="4"/>
  <c r="EE7" i="4"/>
  <c r="EC7" i="4"/>
  <c r="EB7" i="4"/>
  <c r="EA7" i="4"/>
  <c r="EF6" i="4"/>
  <c r="EE6" i="4"/>
  <c r="EC6" i="4"/>
  <c r="EB6" i="4"/>
  <c r="EA6" i="4"/>
  <c r="EF5" i="4"/>
  <c r="EE5" i="4"/>
  <c r="EC5" i="4"/>
  <c r="EB5" i="4"/>
  <c r="EA5" i="4"/>
  <c r="EF4" i="4"/>
  <c r="EE4" i="4"/>
  <c r="EC4" i="4"/>
  <c r="EB4" i="4"/>
  <c r="EA4" i="4"/>
  <c r="BZ10" i="8"/>
  <c r="CA10" i="8"/>
  <c r="CC10" i="8"/>
  <c r="LT10" i="8"/>
  <c r="LU10" i="8"/>
  <c r="LV10" i="8"/>
  <c r="LW10" i="8"/>
  <c r="LY10" i="8"/>
  <c r="LZ10" i="8"/>
  <c r="MA10" i="8"/>
  <c r="MB10" i="8"/>
  <c r="MC10" i="8"/>
  <c r="MD10" i="8"/>
  <c r="ME10" i="8"/>
  <c r="MF10" i="8"/>
  <c r="MG10" i="8"/>
  <c r="MH10" i="8"/>
  <c r="MI10" i="8"/>
  <c r="MJ10" i="8"/>
  <c r="MK10" i="8"/>
  <c r="ML10" i="8"/>
  <c r="MM10" i="8"/>
  <c r="MN10" i="8"/>
  <c r="BZ11" i="8"/>
  <c r="CA11" i="8"/>
  <c r="CC11" i="8"/>
  <c r="LT11" i="8"/>
  <c r="LU11" i="8"/>
  <c r="LV11" i="8"/>
  <c r="LW11" i="8"/>
  <c r="LY11" i="8"/>
  <c r="LZ11" i="8"/>
  <c r="MA11" i="8"/>
  <c r="MB11" i="8"/>
  <c r="MC11" i="8"/>
  <c r="MD11" i="8"/>
  <c r="ME11" i="8"/>
  <c r="MF11" i="8"/>
  <c r="MG11" i="8"/>
  <c r="MH11" i="8"/>
  <c r="MI11" i="8"/>
  <c r="MJ11" i="8"/>
  <c r="MK11" i="8"/>
  <c r="ML11" i="8"/>
  <c r="MM11" i="8"/>
  <c r="MN11" i="8"/>
  <c r="BZ9" i="8"/>
  <c r="CA9" i="8"/>
  <c r="CC9" i="8"/>
  <c r="LT9" i="8"/>
  <c r="LU9" i="8"/>
  <c r="LV9" i="8"/>
  <c r="LW9" i="8"/>
  <c r="LY9" i="8"/>
  <c r="LZ9" i="8"/>
  <c r="MA9" i="8"/>
  <c r="MB9" i="8"/>
  <c r="MC9" i="8"/>
  <c r="MD9" i="8"/>
  <c r="ME9" i="8"/>
  <c r="MF9" i="8"/>
  <c r="MG9" i="8"/>
  <c r="MH9" i="8"/>
  <c r="MI9" i="8"/>
  <c r="MJ9" i="8"/>
  <c r="MK9" i="8"/>
  <c r="ML9" i="8"/>
  <c r="MM9" i="8"/>
  <c r="MN9" i="8"/>
  <c r="BZ7" i="8"/>
  <c r="CA7" i="8"/>
  <c r="CC7" i="8"/>
  <c r="LT7" i="8"/>
  <c r="LU7" i="8"/>
  <c r="LV7" i="8"/>
  <c r="LW7" i="8"/>
  <c r="LY7" i="8"/>
  <c r="LZ7" i="8"/>
  <c r="MA7" i="8"/>
  <c r="MB7" i="8"/>
  <c r="MC7" i="8"/>
  <c r="MD7" i="8"/>
  <c r="ME7" i="8"/>
  <c r="MF7" i="8"/>
  <c r="MG7" i="8"/>
  <c r="MH7" i="8"/>
  <c r="MI7" i="8"/>
  <c r="MJ7" i="8"/>
  <c r="MK7" i="8"/>
  <c r="ML7" i="8"/>
  <c r="MM7" i="8"/>
  <c r="MN7" i="8"/>
  <c r="BZ9" i="7"/>
  <c r="CA9" i="7"/>
  <c r="CB9" i="7"/>
  <c r="CC9" i="7"/>
  <c r="LT9" i="7"/>
  <c r="LU9" i="7"/>
  <c r="LV9" i="7"/>
  <c r="LW9" i="7"/>
  <c r="LY9" i="7"/>
  <c r="LZ9" i="7"/>
  <c r="MA9" i="7"/>
  <c r="MB9" i="7"/>
  <c r="MC9" i="7"/>
  <c r="MD9" i="7"/>
  <c r="ME9" i="7"/>
  <c r="MF9" i="7"/>
  <c r="MG9" i="7"/>
  <c r="MH9" i="7"/>
  <c r="MI9" i="7"/>
  <c r="MJ9" i="7"/>
  <c r="MK9" i="7"/>
  <c r="ML9" i="7"/>
  <c r="MM9" i="7"/>
  <c r="MN9" i="7"/>
  <c r="BZ7" i="7"/>
  <c r="CA7" i="7"/>
  <c r="CB7" i="7"/>
  <c r="CC7" i="7"/>
  <c r="LT7" i="7"/>
  <c r="LU7" i="7"/>
  <c r="LV7" i="7"/>
  <c r="LW7" i="7"/>
  <c r="LY7" i="7"/>
  <c r="LZ7" i="7"/>
  <c r="MA7" i="7"/>
  <c r="MB7" i="7"/>
  <c r="MC7" i="7"/>
  <c r="MD7" i="7"/>
  <c r="ME7" i="7"/>
  <c r="MF7" i="7"/>
  <c r="MG7" i="7"/>
  <c r="MH7" i="7"/>
  <c r="MI7" i="7"/>
  <c r="MJ7" i="7"/>
  <c r="MK7" i="7"/>
  <c r="ML7" i="7"/>
  <c r="MM7" i="7"/>
  <c r="MN7" i="7"/>
  <c r="BZ4" i="7"/>
  <c r="CA4" i="7"/>
  <c r="CB4" i="7"/>
  <c r="CC4" i="7"/>
  <c r="LT4" i="7"/>
  <c r="LU4" i="7"/>
  <c r="LV4" i="7"/>
  <c r="LW4" i="7"/>
  <c r="LY4" i="7"/>
  <c r="LZ4" i="7"/>
  <c r="MA4" i="7"/>
  <c r="MB4" i="7"/>
  <c r="MC4" i="7"/>
  <c r="MD4" i="7"/>
  <c r="ME4" i="7"/>
  <c r="MF4" i="7"/>
  <c r="MG4" i="7"/>
  <c r="MH4" i="7"/>
  <c r="MI4" i="7"/>
  <c r="MJ4" i="7"/>
  <c r="MK4" i="7"/>
  <c r="ML4" i="7"/>
  <c r="MM4" i="7"/>
  <c r="MN4" i="7"/>
  <c r="CY22" i="14"/>
  <c r="CZ22" i="14"/>
  <c r="DA22" i="14"/>
  <c r="DB22" i="14"/>
  <c r="DC22" i="14"/>
  <c r="DE22" i="14"/>
  <c r="DF22" i="14"/>
  <c r="NI22" i="14"/>
  <c r="NJ22" i="14"/>
  <c r="NK22" i="14"/>
  <c r="NM22" i="14"/>
  <c r="NN22" i="14"/>
  <c r="NP22" i="14"/>
  <c r="NQ22" i="14"/>
  <c r="NR22" i="14"/>
  <c r="NS22" i="14"/>
  <c r="NT22" i="14"/>
  <c r="NU22" i="14"/>
  <c r="NV22" i="14"/>
  <c r="NW22" i="14"/>
  <c r="OL22" i="14" s="1"/>
  <c r="NX22" i="14"/>
  <c r="NY22" i="14"/>
  <c r="NZ22" i="14"/>
  <c r="OA22" i="14"/>
  <c r="OB22" i="14"/>
  <c r="ON22" i="14" s="1"/>
  <c r="OC22" i="14"/>
  <c r="OD22" i="14"/>
  <c r="OE22" i="14"/>
  <c r="OF22" i="14"/>
  <c r="OG22" i="14"/>
  <c r="OQ22" i="14" s="1"/>
  <c r="OH22" i="14"/>
  <c r="OI22" i="14"/>
  <c r="CY9" i="14"/>
  <c r="CZ9" i="14"/>
  <c r="DA9" i="14"/>
  <c r="DB9" i="14"/>
  <c r="DC9" i="14"/>
  <c r="DE9" i="14"/>
  <c r="DF9" i="14"/>
  <c r="NI9" i="14"/>
  <c r="NJ9" i="14"/>
  <c r="NK9" i="14"/>
  <c r="NM9" i="14"/>
  <c r="NN9" i="14"/>
  <c r="NP9" i="14"/>
  <c r="NQ9" i="14"/>
  <c r="NR9" i="14"/>
  <c r="NS9" i="14"/>
  <c r="NT9" i="14"/>
  <c r="NU9" i="14"/>
  <c r="NV9" i="14"/>
  <c r="NW9" i="14"/>
  <c r="OL9" i="14" s="1"/>
  <c r="NX9" i="14"/>
  <c r="NY9" i="14"/>
  <c r="NZ9" i="14"/>
  <c r="OA9" i="14"/>
  <c r="OB9" i="14"/>
  <c r="ON9" i="14" s="1"/>
  <c r="OC9" i="14"/>
  <c r="OD9" i="14"/>
  <c r="OE9" i="14"/>
  <c r="OF9" i="14"/>
  <c r="OG9" i="14"/>
  <c r="OQ9" i="14" s="1"/>
  <c r="OH9" i="14"/>
  <c r="OI9" i="14"/>
  <c r="CY17" i="14"/>
  <c r="CZ17" i="14"/>
  <c r="DA17" i="14"/>
  <c r="DB17" i="14"/>
  <c r="DC17" i="14"/>
  <c r="DE17" i="14"/>
  <c r="DF17" i="14"/>
  <c r="NI17" i="14"/>
  <c r="NJ17" i="14"/>
  <c r="NK17" i="14"/>
  <c r="NM17" i="14"/>
  <c r="NN17" i="14"/>
  <c r="NP17" i="14"/>
  <c r="NQ17" i="14"/>
  <c r="NR17" i="14"/>
  <c r="NS17" i="14"/>
  <c r="NT17" i="14"/>
  <c r="NU17" i="14"/>
  <c r="NV17" i="14"/>
  <c r="NW17" i="14"/>
  <c r="OL17" i="14" s="1"/>
  <c r="NX17" i="14"/>
  <c r="NY17" i="14"/>
  <c r="NZ17" i="14"/>
  <c r="OA17" i="14"/>
  <c r="OB17" i="14"/>
  <c r="ON17" i="14" s="1"/>
  <c r="OC17" i="14"/>
  <c r="OD17" i="14"/>
  <c r="OE17" i="14"/>
  <c r="OF17" i="14"/>
  <c r="OG17" i="14"/>
  <c r="OQ17" i="14" s="1"/>
  <c r="OH17" i="14"/>
  <c r="OI17" i="14"/>
  <c r="CY16" i="14"/>
  <c r="CZ16" i="14"/>
  <c r="DA16" i="14"/>
  <c r="DB16" i="14"/>
  <c r="DC16" i="14"/>
  <c r="DE16" i="14"/>
  <c r="DF16" i="14"/>
  <c r="NI16" i="14"/>
  <c r="NJ16" i="14"/>
  <c r="NK16" i="14"/>
  <c r="NM16" i="14"/>
  <c r="NN16" i="14"/>
  <c r="NP16" i="14"/>
  <c r="NQ16" i="14"/>
  <c r="NR16" i="14"/>
  <c r="NS16" i="14"/>
  <c r="NT16" i="14"/>
  <c r="NU16" i="14"/>
  <c r="NV16" i="14"/>
  <c r="NW16" i="14"/>
  <c r="OL16" i="14" s="1"/>
  <c r="NX16" i="14"/>
  <c r="NY16" i="14"/>
  <c r="NZ16" i="14"/>
  <c r="OA16" i="14"/>
  <c r="OB16" i="14"/>
  <c r="ON16" i="14" s="1"/>
  <c r="OC16" i="14"/>
  <c r="OD16" i="14"/>
  <c r="OE16" i="14"/>
  <c r="OF16" i="14"/>
  <c r="OG16" i="14"/>
  <c r="OQ16" i="14" s="1"/>
  <c r="OH16" i="14"/>
  <c r="OI16" i="14"/>
  <c r="CY16" i="4"/>
  <c r="CZ16" i="4"/>
  <c r="DA16" i="4"/>
  <c r="DB16" i="4"/>
  <c r="DC16" i="4"/>
  <c r="DE16" i="4"/>
  <c r="DF16" i="4"/>
  <c r="NI16" i="4"/>
  <c r="NJ16" i="4"/>
  <c r="NK16" i="4"/>
  <c r="NM16" i="4"/>
  <c r="NN16" i="4"/>
  <c r="NP16" i="4"/>
  <c r="NQ16" i="4"/>
  <c r="NR16" i="4"/>
  <c r="NS16" i="4"/>
  <c r="NT16" i="4"/>
  <c r="NU16" i="4"/>
  <c r="NV16" i="4"/>
  <c r="NW16" i="4"/>
  <c r="OL16" i="4" s="1"/>
  <c r="NX16" i="4"/>
  <c r="NY16" i="4"/>
  <c r="NZ16" i="4"/>
  <c r="OA16" i="4"/>
  <c r="OB16" i="4"/>
  <c r="ON16" i="4" s="1"/>
  <c r="OC16" i="4"/>
  <c r="OD16" i="4"/>
  <c r="OE16" i="4"/>
  <c r="OF16" i="4"/>
  <c r="OG16" i="4"/>
  <c r="OQ16" i="4" s="1"/>
  <c r="OH16" i="4"/>
  <c r="OI16" i="4"/>
  <c r="BZ22" i="12"/>
  <c r="CA22" i="12"/>
  <c r="CB22" i="12"/>
  <c r="CC22" i="12"/>
  <c r="LT22" i="12"/>
  <c r="LU22" i="12"/>
  <c r="LV22" i="12"/>
  <c r="LW22" i="12"/>
  <c r="LY22" i="12"/>
  <c r="LZ22" i="12"/>
  <c r="MA22" i="12"/>
  <c r="MB22" i="12"/>
  <c r="MC22" i="12"/>
  <c r="MD22" i="12"/>
  <c r="ME22" i="12"/>
  <c r="MF22" i="12"/>
  <c r="MG22" i="12"/>
  <c r="MH22" i="12"/>
  <c r="MI22" i="12"/>
  <c r="MJ22" i="12"/>
  <c r="MK22" i="12"/>
  <c r="ML22" i="12"/>
  <c r="MM22" i="12"/>
  <c r="MN22" i="12"/>
  <c r="BZ14" i="12"/>
  <c r="CA14" i="12"/>
  <c r="CB14" i="12"/>
  <c r="CC14" i="12"/>
  <c r="LT14" i="12"/>
  <c r="LU14" i="12"/>
  <c r="LV14" i="12"/>
  <c r="LW14" i="12"/>
  <c r="LY14" i="12"/>
  <c r="LZ14" i="12"/>
  <c r="MA14" i="12"/>
  <c r="MB14" i="12"/>
  <c r="MC14" i="12"/>
  <c r="MD14" i="12"/>
  <c r="ME14" i="12"/>
  <c r="MF14" i="12"/>
  <c r="MG14" i="12"/>
  <c r="MH14" i="12"/>
  <c r="MI14" i="12"/>
  <c r="MJ14" i="12"/>
  <c r="MK14" i="12"/>
  <c r="ML14" i="12"/>
  <c r="MM14" i="12"/>
  <c r="MN14" i="12"/>
  <c r="BZ13" i="12"/>
  <c r="CA13" i="12"/>
  <c r="CB13" i="12"/>
  <c r="CC13" i="12"/>
  <c r="LT13" i="12"/>
  <c r="LU13" i="12"/>
  <c r="LV13" i="12"/>
  <c r="LW13" i="12"/>
  <c r="LY13" i="12"/>
  <c r="LZ13" i="12"/>
  <c r="MA13" i="12"/>
  <c r="MB13" i="12"/>
  <c r="MC13" i="12"/>
  <c r="MD13" i="12"/>
  <c r="ME13" i="12"/>
  <c r="MF13" i="12"/>
  <c r="MG13" i="12"/>
  <c r="MH13" i="12"/>
  <c r="MI13" i="12"/>
  <c r="MJ13" i="12"/>
  <c r="MK13" i="12"/>
  <c r="ML13" i="12"/>
  <c r="MM13" i="12"/>
  <c r="MN13" i="12"/>
  <c r="BZ11" i="12"/>
  <c r="CA11" i="12"/>
  <c r="CB11" i="12"/>
  <c r="CC11" i="12"/>
  <c r="LT11" i="12"/>
  <c r="LU11" i="12"/>
  <c r="LV11" i="12"/>
  <c r="LW11" i="12"/>
  <c r="LY11" i="12"/>
  <c r="LZ11" i="12"/>
  <c r="MA11" i="12"/>
  <c r="MB11" i="12"/>
  <c r="MC11" i="12"/>
  <c r="MD11" i="12"/>
  <c r="ME11" i="12"/>
  <c r="MF11" i="12"/>
  <c r="MG11" i="12"/>
  <c r="MH11" i="12"/>
  <c r="MI11" i="12"/>
  <c r="MJ11" i="12"/>
  <c r="MK11" i="12"/>
  <c r="ML11" i="12"/>
  <c r="MM11" i="12"/>
  <c r="MN11" i="12"/>
  <c r="BH11" i="8" l="1"/>
  <c r="BH7" i="8"/>
  <c r="IR4" i="8"/>
  <c r="AL4" i="8"/>
  <c r="AL9" i="8"/>
  <c r="IR9" i="8"/>
  <c r="IR10" i="8"/>
  <c r="JM8" i="8"/>
  <c r="JM11" i="8"/>
  <c r="JM7" i="8"/>
  <c r="KH10" i="8"/>
  <c r="AL11" i="8"/>
  <c r="BH6" i="8"/>
  <c r="BH9" i="8"/>
  <c r="BH10" i="8"/>
  <c r="MT10" i="7"/>
  <c r="P26" i="14"/>
  <c r="AY26" i="14"/>
  <c r="OP26" i="14"/>
  <c r="AY25" i="14"/>
  <c r="AY21" i="4"/>
  <c r="OP22" i="4"/>
  <c r="MT20" i="12"/>
  <c r="MT21" i="12"/>
  <c r="AL9" i="12"/>
  <c r="AL12" i="12"/>
  <c r="AL16" i="12"/>
  <c r="AL13" i="12"/>
  <c r="AL18" i="12"/>
  <c r="BH7" i="12"/>
  <c r="GG13" i="12"/>
  <c r="IR8" i="12"/>
  <c r="IR7" i="12"/>
  <c r="IR14" i="12"/>
  <c r="IR18" i="12"/>
  <c r="JM6" i="12"/>
  <c r="JM5" i="12"/>
  <c r="JM10" i="12"/>
  <c r="JM13" i="12"/>
  <c r="KH9" i="12"/>
  <c r="KH19" i="12"/>
  <c r="KH14" i="12"/>
  <c r="KH18" i="12"/>
  <c r="LC6" i="12"/>
  <c r="LC5" i="12"/>
  <c r="LC10" i="12"/>
  <c r="LC15" i="12"/>
  <c r="LC11" i="12"/>
  <c r="LC16" i="12"/>
  <c r="LC13" i="12"/>
  <c r="LC22" i="12"/>
  <c r="AL5" i="12"/>
  <c r="AL4" i="12"/>
  <c r="AL8" i="12"/>
  <c r="AL11" i="12"/>
  <c r="AL17" i="12"/>
  <c r="H21" i="12"/>
  <c r="I21" i="12" s="1"/>
  <c r="A21" i="12"/>
  <c r="L21" i="12"/>
  <c r="CE21" i="12"/>
  <c r="K21" i="12"/>
  <c r="BH15" i="12"/>
  <c r="BH13" i="12"/>
  <c r="BH18" i="12"/>
  <c r="BH8" i="12"/>
  <c r="BH11" i="12"/>
  <c r="BH17" i="12"/>
  <c r="BH14" i="12"/>
  <c r="BH22" i="12"/>
  <c r="H20" i="12"/>
  <c r="I20" i="12" s="1"/>
  <c r="L20" i="12"/>
  <c r="CE20" i="12"/>
  <c r="K20" i="12"/>
  <c r="A20" i="12"/>
  <c r="BH5" i="12"/>
  <c r="BH4" i="12"/>
  <c r="AL15" i="12"/>
  <c r="DA22" i="12"/>
  <c r="DV4" i="12"/>
  <c r="EQ13" i="12"/>
  <c r="BH19" i="12"/>
  <c r="AL7" i="12"/>
  <c r="AL14" i="12"/>
  <c r="AL22" i="12"/>
  <c r="BH6" i="12"/>
  <c r="BH10" i="12"/>
  <c r="DA19" i="12"/>
  <c r="GG8" i="12"/>
  <c r="AL19" i="12"/>
  <c r="BH12" i="12"/>
  <c r="BH16" i="12"/>
  <c r="GG18" i="12"/>
  <c r="HB6" i="12"/>
  <c r="HB5" i="12"/>
  <c r="HB10" i="12"/>
  <c r="HB11" i="12"/>
  <c r="HB16" i="12"/>
  <c r="HB13" i="12"/>
  <c r="HW8" i="12"/>
  <c r="HW7" i="12"/>
  <c r="HW19" i="12"/>
  <c r="HW17" i="12"/>
  <c r="HW18" i="12"/>
  <c r="IR10" i="12"/>
  <c r="IR11" i="12"/>
  <c r="IR16" i="12"/>
  <c r="IR13" i="12"/>
  <c r="KH13" i="12"/>
  <c r="LC8" i="12"/>
  <c r="LC7" i="12"/>
  <c r="LC18" i="12"/>
  <c r="AL6" i="12"/>
  <c r="AL10" i="12"/>
  <c r="MT13" i="6"/>
  <c r="IR4" i="7"/>
  <c r="HB4" i="7"/>
  <c r="HW7" i="7"/>
  <c r="L16" i="6"/>
  <c r="CE16" i="6"/>
  <c r="K16" i="6"/>
  <c r="A16" i="6"/>
  <c r="H13" i="6"/>
  <c r="I13" i="6" s="1"/>
  <c r="L13" i="6"/>
  <c r="K13" i="6"/>
  <c r="CE13" i="6"/>
  <c r="A13" i="6"/>
  <c r="H21" i="6"/>
  <c r="I21" i="6" s="1"/>
  <c r="L21" i="6"/>
  <c r="K21" i="6"/>
  <c r="CE21" i="6"/>
  <c r="A21" i="6"/>
  <c r="H15" i="6"/>
  <c r="I15" i="6" s="1"/>
  <c r="MT15" i="6"/>
  <c r="A15" i="6"/>
  <c r="L15" i="6"/>
  <c r="CE15" i="6"/>
  <c r="K15" i="6"/>
  <c r="AL14" i="6"/>
  <c r="BH5" i="6"/>
  <c r="AL10" i="6"/>
  <c r="AL8" i="6"/>
  <c r="AL9" i="6"/>
  <c r="AL20" i="6"/>
  <c r="BH4" i="6"/>
  <c r="BH17" i="6"/>
  <c r="BH10" i="6"/>
  <c r="BH8" i="6"/>
  <c r="BH9" i="6"/>
  <c r="BH20" i="6"/>
  <c r="DA7" i="6"/>
  <c r="DV4" i="6"/>
  <c r="DV8" i="6"/>
  <c r="IR4" i="6"/>
  <c r="HW10" i="6"/>
  <c r="BH7" i="6"/>
  <c r="BH14" i="6"/>
  <c r="BH11" i="6"/>
  <c r="BH12" i="6"/>
  <c r="LC5" i="6"/>
  <c r="AL18" i="6"/>
  <c r="KH4" i="6"/>
  <c r="KH7" i="6"/>
  <c r="HW19" i="6"/>
  <c r="AL5" i="6"/>
  <c r="AL6" i="6"/>
  <c r="AL19" i="6"/>
  <c r="AL12" i="6"/>
  <c r="IR5" i="6"/>
  <c r="BH18" i="6"/>
  <c r="AL7" i="6"/>
  <c r="AL11" i="6"/>
  <c r="BH6" i="6"/>
  <c r="AL4" i="6"/>
  <c r="AL17" i="6"/>
  <c r="BH19" i="6"/>
  <c r="M12" i="8"/>
  <c r="MT12" i="8"/>
  <c r="CF12" i="8"/>
  <c r="H12" i="8"/>
  <c r="I12" i="8" s="1"/>
  <c r="CE12" i="8"/>
  <c r="K12" i="8"/>
  <c r="A12" i="8"/>
  <c r="AL10" i="8"/>
  <c r="DA4" i="8"/>
  <c r="DA10" i="8"/>
  <c r="DV8" i="8"/>
  <c r="DV11" i="8"/>
  <c r="FL11" i="8"/>
  <c r="GG9" i="8"/>
  <c r="GG10" i="8"/>
  <c r="HB8" i="8"/>
  <c r="HB11" i="8"/>
  <c r="HW4" i="8"/>
  <c r="HW9" i="8"/>
  <c r="IR11" i="8"/>
  <c r="JM4" i="8"/>
  <c r="JM9" i="8"/>
  <c r="JM10" i="8"/>
  <c r="KH11" i="8"/>
  <c r="KH7" i="8"/>
  <c r="LC4" i="8"/>
  <c r="LC9" i="8"/>
  <c r="LC10" i="8"/>
  <c r="AL7" i="8"/>
  <c r="H5" i="8"/>
  <c r="I5" i="8" s="1"/>
  <c r="CE5" i="8"/>
  <c r="N5" i="8" s="1"/>
  <c r="K5" i="8"/>
  <c r="A5" i="8"/>
  <c r="M5" i="8"/>
  <c r="BH4" i="8"/>
  <c r="AL6" i="8"/>
  <c r="BH8" i="8"/>
  <c r="AL8" i="8"/>
  <c r="MT8" i="7"/>
  <c r="H8" i="7"/>
  <c r="I8" i="7" s="1"/>
  <c r="CE8" i="7"/>
  <c r="N8" i="7" s="1"/>
  <c r="K8" i="7"/>
  <c r="A8" i="7"/>
  <c r="AL9" i="7"/>
  <c r="BH5" i="7"/>
  <c r="BH7" i="7"/>
  <c r="JM9" i="7"/>
  <c r="KH5" i="7"/>
  <c r="KH7" i="7"/>
  <c r="LC9" i="7"/>
  <c r="AL4" i="7"/>
  <c r="M10" i="7"/>
  <c r="EQ7" i="7"/>
  <c r="AL5" i="7"/>
  <c r="BH9" i="7"/>
  <c r="H10" i="7"/>
  <c r="I10" i="7" s="1"/>
  <c r="CE10" i="7"/>
  <c r="N10" i="7" s="1"/>
  <c r="K10" i="7"/>
  <c r="A10" i="7"/>
  <c r="BH6" i="7"/>
  <c r="FL5" i="7"/>
  <c r="FL7" i="7"/>
  <c r="AL6" i="7"/>
  <c r="J24" i="14"/>
  <c r="K24" i="14"/>
  <c r="L24" i="14" s="1"/>
  <c r="DK25" i="14"/>
  <c r="OP24" i="14"/>
  <c r="OS24" i="14" s="1"/>
  <c r="A25" i="14" a="1"/>
  <c r="A25" i="14" s="1"/>
  <c r="OP25" i="14"/>
  <c r="OS26" i="14" s="1"/>
  <c r="DI25" i="14"/>
  <c r="J25" i="14"/>
  <c r="I25" i="14"/>
  <c r="DJ25" i="14"/>
  <c r="L25" i="14"/>
  <c r="M25" i="14"/>
  <c r="HN16" i="14"/>
  <c r="IJ4" i="14"/>
  <c r="IJ12" i="14"/>
  <c r="IJ21" i="14"/>
  <c r="IM21" i="14" s="1"/>
  <c r="KB6" i="14"/>
  <c r="DI24" i="14"/>
  <c r="J26" i="14"/>
  <c r="A26" i="14" a="1"/>
  <c r="A26" i="14" s="1"/>
  <c r="DJ26" i="14"/>
  <c r="L26" i="14"/>
  <c r="M26" i="14"/>
  <c r="I26" i="14"/>
  <c r="DK26" i="14"/>
  <c r="S26" i="14" s="1"/>
  <c r="R26" i="14"/>
  <c r="OP23" i="14"/>
  <c r="OS23" i="14" s="1"/>
  <c r="IM7" i="14"/>
  <c r="AV17" i="14"/>
  <c r="AY17" i="14" s="1"/>
  <c r="BZ20" i="14"/>
  <c r="CC20" i="14" s="1"/>
  <c r="LT17" i="14"/>
  <c r="MP6" i="14"/>
  <c r="MP20" i="14"/>
  <c r="AV4" i="14"/>
  <c r="AY4" i="14" s="1"/>
  <c r="AV7" i="14"/>
  <c r="AY7" i="14" s="1"/>
  <c r="BZ22" i="14"/>
  <c r="CC22" i="14" s="1"/>
  <c r="K23" i="14"/>
  <c r="DJ23" i="14" s="1"/>
  <c r="I24" i="14"/>
  <c r="F24" i="14"/>
  <c r="DK24" i="14"/>
  <c r="A24" i="14" a="1"/>
  <c r="A24" i="14" s="1"/>
  <c r="DJ24" i="14"/>
  <c r="KX17" i="14"/>
  <c r="LA17" i="14" s="1"/>
  <c r="LT6" i="14"/>
  <c r="LW6" i="14" s="1"/>
  <c r="LT8" i="14"/>
  <c r="LW8" i="14" s="1"/>
  <c r="AV14" i="14"/>
  <c r="AY14" i="14" s="1"/>
  <c r="BZ12" i="14"/>
  <c r="CC12" i="14" s="1"/>
  <c r="CC21" i="14"/>
  <c r="BZ19" i="14"/>
  <c r="CC19" i="14" s="1"/>
  <c r="BZ10" i="14"/>
  <c r="CC10" i="14" s="1"/>
  <c r="AV21" i="14"/>
  <c r="AY21" i="14" s="1"/>
  <c r="BZ13" i="14"/>
  <c r="CC13" i="14" s="1"/>
  <c r="AV22" i="14"/>
  <c r="AY22" i="14" s="1"/>
  <c r="BZ7" i="14"/>
  <c r="LT16" i="14"/>
  <c r="LW16" i="14" s="1"/>
  <c r="MP4" i="14"/>
  <c r="MS4" i="14" s="1"/>
  <c r="AV10" i="14"/>
  <c r="AY10" i="14" s="1"/>
  <c r="AV12" i="14"/>
  <c r="AY12" i="14" s="1"/>
  <c r="AV19" i="14"/>
  <c r="AY19" i="14" s="1"/>
  <c r="DI23" i="14"/>
  <c r="J23" i="14"/>
  <c r="I23" i="14"/>
  <c r="A23" i="14" a="1"/>
  <c r="A23" i="14" s="1"/>
  <c r="DK23" i="14"/>
  <c r="R23" i="14"/>
  <c r="MP12" i="14"/>
  <c r="MS12" i="14" s="1"/>
  <c r="AV8" i="14"/>
  <c r="AY8" i="14" s="1"/>
  <c r="AV20" i="14"/>
  <c r="AY20" i="14" s="1"/>
  <c r="BZ15" i="14"/>
  <c r="CC15" i="14" s="1"/>
  <c r="HN9" i="14"/>
  <c r="HQ9" i="14" s="1"/>
  <c r="AV13" i="14"/>
  <c r="AY13" i="14" s="1"/>
  <c r="AV15" i="14"/>
  <c r="AY15" i="14" s="1"/>
  <c r="BZ4" i="14"/>
  <c r="CC4" i="14" s="1"/>
  <c r="CC7" i="14"/>
  <c r="AV11" i="14"/>
  <c r="AY11" i="14" s="1"/>
  <c r="AV18" i="14"/>
  <c r="AY18" i="14" s="1"/>
  <c r="BZ14" i="14"/>
  <c r="CC14" i="14" s="1"/>
  <c r="BZ17" i="14"/>
  <c r="CC17" i="14" s="1"/>
  <c r="IM4" i="14"/>
  <c r="AV6" i="14"/>
  <c r="AY6" i="14" s="1"/>
  <c r="AV16" i="14"/>
  <c r="AY16" i="14" s="1"/>
  <c r="BZ5" i="14"/>
  <c r="CC5" i="14" s="1"/>
  <c r="BZ11" i="14"/>
  <c r="CC11" i="14" s="1"/>
  <c r="BZ18" i="14"/>
  <c r="CC18" i="14" s="1"/>
  <c r="AV5" i="14"/>
  <c r="AY5" i="14" s="1"/>
  <c r="AV9" i="14"/>
  <c r="AY9" i="14" s="1"/>
  <c r="BZ6" i="14"/>
  <c r="CC6" i="14" s="1"/>
  <c r="BZ16" i="14"/>
  <c r="CC16" i="14" s="1"/>
  <c r="KB11" i="14"/>
  <c r="KE11" i="14" s="1"/>
  <c r="BZ8" i="14"/>
  <c r="CC8" i="14" s="1"/>
  <c r="BZ9" i="14"/>
  <c r="CC9" i="14" s="1"/>
  <c r="K22" i="4"/>
  <c r="DJ22" i="4" s="1"/>
  <c r="MP13" i="4"/>
  <c r="AV12" i="4"/>
  <c r="AY12" i="4" s="1"/>
  <c r="BZ8" i="4"/>
  <c r="CC8" i="4" s="1"/>
  <c r="ED13" i="4"/>
  <c r="BZ23" i="4"/>
  <c r="P21" i="4"/>
  <c r="R21" i="4"/>
  <c r="DK22" i="4"/>
  <c r="A22" i="4" a="1"/>
  <c r="A22" i="4" s="1"/>
  <c r="OP20" i="4"/>
  <c r="K20" i="4"/>
  <c r="M20" i="4" s="1"/>
  <c r="K17" i="4"/>
  <c r="M17" i="4" s="1"/>
  <c r="OP17" i="4"/>
  <c r="OS20" i="4" s="1"/>
  <c r="I21" i="4"/>
  <c r="J21" i="4"/>
  <c r="S21" i="4"/>
  <c r="A21" i="4" a="1"/>
  <c r="A21" i="4" s="1"/>
  <c r="DJ21" i="4"/>
  <c r="L21" i="4"/>
  <c r="M21" i="4"/>
  <c r="OS21" i="4"/>
  <c r="IJ13" i="4"/>
  <c r="JF8" i="4"/>
  <c r="JI8" i="4" s="1"/>
  <c r="JF23" i="4"/>
  <c r="JI23" i="4" s="1"/>
  <c r="KB18" i="4"/>
  <c r="KE18" i="4" s="1"/>
  <c r="LT12" i="4"/>
  <c r="LW12" i="4" s="1"/>
  <c r="AY20" i="4"/>
  <c r="P20" i="4"/>
  <c r="MS13" i="4"/>
  <c r="AV5" i="4"/>
  <c r="AY5" i="4" s="1"/>
  <c r="MP19" i="4"/>
  <c r="J22" i="4"/>
  <c r="F22" i="4"/>
  <c r="I22" i="4"/>
  <c r="P22" i="4"/>
  <c r="DI22" i="4"/>
  <c r="MP15" i="4"/>
  <c r="MS15" i="4" s="1"/>
  <c r="AV15" i="4"/>
  <c r="AY15" i="4" s="1"/>
  <c r="FV5" i="4"/>
  <c r="FY5" i="4" s="1"/>
  <c r="LT11" i="4"/>
  <c r="LW11" i="4" s="1"/>
  <c r="AV14" i="4"/>
  <c r="AY14" i="4" s="1"/>
  <c r="BZ13" i="4"/>
  <c r="CC13" i="4" s="1"/>
  <c r="IJ15" i="4"/>
  <c r="IM15" i="4" s="1"/>
  <c r="JF16" i="4"/>
  <c r="JI16" i="4" s="1"/>
  <c r="KX5" i="4"/>
  <c r="KX14" i="4"/>
  <c r="LT4" i="4"/>
  <c r="LT15" i="4"/>
  <c r="MP9" i="4"/>
  <c r="MP16" i="4"/>
  <c r="MS16" i="4" s="1"/>
  <c r="R20" i="4"/>
  <c r="A20" i="4" a="1"/>
  <c r="A20" i="4" s="1"/>
  <c r="S20" i="4"/>
  <c r="T20" i="4" s="1"/>
  <c r="J20" i="4"/>
  <c r="I20" i="4"/>
  <c r="DJ20" i="4"/>
  <c r="L20" i="4"/>
  <c r="BZ19" i="4"/>
  <c r="CC19" i="4" s="1"/>
  <c r="CC23" i="4"/>
  <c r="AV9" i="4"/>
  <c r="AY9" i="4" s="1"/>
  <c r="BZ11" i="4"/>
  <c r="CC11" i="4" s="1"/>
  <c r="AV8" i="4"/>
  <c r="AY8" i="4" s="1"/>
  <c r="AV13" i="4"/>
  <c r="AY13" i="4" s="1"/>
  <c r="BZ6" i="4"/>
  <c r="CC6" i="4" s="1"/>
  <c r="BZ12" i="4"/>
  <c r="CC12" i="4" s="1"/>
  <c r="AV10" i="4"/>
  <c r="AY10" i="4" s="1"/>
  <c r="AV11" i="4"/>
  <c r="AY11" i="4" s="1"/>
  <c r="AV16" i="4"/>
  <c r="AY16" i="4" s="1"/>
  <c r="BZ5" i="4"/>
  <c r="CC5" i="4" s="1"/>
  <c r="DI17" i="4"/>
  <c r="A17" i="4" a="1"/>
  <c r="A17" i="4" s="1"/>
  <c r="J17" i="4"/>
  <c r="DK17" i="4"/>
  <c r="R17" i="4"/>
  <c r="I17" i="4"/>
  <c r="EZ23" i="4"/>
  <c r="FC23" i="4" s="1"/>
  <c r="BZ9" i="4"/>
  <c r="CC9" i="4" s="1"/>
  <c r="BZ18" i="4"/>
  <c r="CC18" i="4" s="1"/>
  <c r="IM13" i="4"/>
  <c r="BZ4" i="4"/>
  <c r="CC4" i="4" s="1"/>
  <c r="BZ14" i="4"/>
  <c r="CC14" i="4" s="1"/>
  <c r="AV4" i="4"/>
  <c r="AY4" i="4" s="1"/>
  <c r="AV7" i="4"/>
  <c r="AY7" i="4" s="1"/>
  <c r="AV19" i="4"/>
  <c r="AY19" i="4" s="1"/>
  <c r="BZ16" i="4"/>
  <c r="CC16" i="4" s="1"/>
  <c r="AV6" i="4"/>
  <c r="AY6" i="4" s="1"/>
  <c r="AV23" i="4"/>
  <c r="AY23" i="4" s="1"/>
  <c r="BZ10" i="4"/>
  <c r="CC10" i="4" s="1"/>
  <c r="ED8" i="4"/>
  <c r="EG8" i="4" s="1"/>
  <c r="ED23" i="4"/>
  <c r="EG23" i="4" s="1"/>
  <c r="AV18" i="4"/>
  <c r="AY18" i="4" s="1"/>
  <c r="BZ7" i="4"/>
  <c r="CC7" i="4" s="1"/>
  <c r="BZ15" i="4"/>
  <c r="CC15" i="4" s="1"/>
  <c r="DA8" i="12"/>
  <c r="DA6" i="12"/>
  <c r="DA5" i="12"/>
  <c r="DA10" i="12"/>
  <c r="GG12" i="12"/>
  <c r="DV9" i="12"/>
  <c r="EQ10" i="12"/>
  <c r="EQ22" i="12"/>
  <c r="FL9" i="12"/>
  <c r="FL19" i="12"/>
  <c r="FL17" i="12"/>
  <c r="FL14" i="12"/>
  <c r="KH15" i="12"/>
  <c r="GG10" i="12"/>
  <c r="GG15" i="12"/>
  <c r="GG11" i="12"/>
  <c r="GG16" i="12"/>
  <c r="J11" i="12"/>
  <c r="CE11" i="12" s="1"/>
  <c r="KH17" i="12"/>
  <c r="DA14" i="12"/>
  <c r="DA18" i="12"/>
  <c r="DV6" i="12"/>
  <c r="DV5" i="12"/>
  <c r="DV10" i="12"/>
  <c r="DV15" i="12"/>
  <c r="DV11" i="12"/>
  <c r="DV16" i="12"/>
  <c r="DV13" i="12"/>
  <c r="DV22" i="12"/>
  <c r="EQ9" i="12"/>
  <c r="FL10" i="12"/>
  <c r="FL11" i="12"/>
  <c r="HB4" i="12"/>
  <c r="EQ12" i="6"/>
  <c r="FL12" i="6"/>
  <c r="GG17" i="6"/>
  <c r="GG12" i="6"/>
  <c r="EQ5" i="6"/>
  <c r="EQ9" i="6"/>
  <c r="EQ19" i="6"/>
  <c r="FL5" i="6"/>
  <c r="FL14" i="6"/>
  <c r="FL9" i="6"/>
  <c r="FL19" i="6"/>
  <c r="GG5" i="6"/>
  <c r="GG18" i="6"/>
  <c r="GG14" i="6"/>
  <c r="GG9" i="6"/>
  <c r="GG19" i="6"/>
  <c r="HB5" i="6"/>
  <c r="HB6" i="6"/>
  <c r="HB14" i="6"/>
  <c r="HB19" i="6"/>
  <c r="HW5" i="6"/>
  <c r="HW14" i="6"/>
  <c r="DV5" i="6"/>
  <c r="HW11" i="6"/>
  <c r="HW8" i="6"/>
  <c r="HW20" i="6"/>
  <c r="DV18" i="6"/>
  <c r="JM17" i="6"/>
  <c r="FL4" i="6"/>
  <c r="FL7" i="6"/>
  <c r="IR14" i="6"/>
  <c r="IR9" i="6"/>
  <c r="IR19" i="6"/>
  <c r="JM5" i="6"/>
  <c r="JM6" i="6"/>
  <c r="LC17" i="6"/>
  <c r="LC12" i="6"/>
  <c r="KH5" i="6"/>
  <c r="KH6" i="6"/>
  <c r="KH14" i="6"/>
  <c r="DA18" i="6"/>
  <c r="HB11" i="6"/>
  <c r="HB8" i="6"/>
  <c r="HB20" i="6"/>
  <c r="HW4" i="6"/>
  <c r="LC6" i="6"/>
  <c r="LC14" i="6"/>
  <c r="LC9" i="6"/>
  <c r="LC7" i="8"/>
  <c r="GG6" i="8"/>
  <c r="EQ6" i="7"/>
  <c r="KH9" i="7"/>
  <c r="LC7" i="7"/>
  <c r="DV7" i="7"/>
  <c r="JM7" i="7"/>
  <c r="HB7" i="7"/>
  <c r="IR9" i="7"/>
  <c r="JM4" i="7"/>
  <c r="EZ4" i="14"/>
  <c r="EZ21" i="14"/>
  <c r="FC21" i="14" s="1"/>
  <c r="IJ9" i="14"/>
  <c r="IM9" i="14" s="1"/>
  <c r="ED21" i="14"/>
  <c r="EG21" i="14" s="1"/>
  <c r="EZ17" i="14"/>
  <c r="FC17" i="14" s="1"/>
  <c r="FV8" i="14"/>
  <c r="FY8" i="14" s="1"/>
  <c r="GR11" i="14"/>
  <c r="GU11" i="14" s="1"/>
  <c r="HN7" i="14"/>
  <c r="HQ7" i="14" s="1"/>
  <c r="LT13" i="14"/>
  <c r="LW13" i="14" s="1"/>
  <c r="MP8" i="14"/>
  <c r="MS8" i="14" s="1"/>
  <c r="MP9" i="14"/>
  <c r="MS9" i="14" s="1"/>
  <c r="GR4" i="14"/>
  <c r="GU4" i="14" s="1"/>
  <c r="HN17" i="14"/>
  <c r="HQ17" i="14" s="1"/>
  <c r="IJ8" i="14"/>
  <c r="IM8" i="14" s="1"/>
  <c r="IJ20" i="14"/>
  <c r="IM20" i="14" s="1"/>
  <c r="GR6" i="14"/>
  <c r="IJ18" i="14"/>
  <c r="IM18" i="14" s="1"/>
  <c r="LW17" i="14"/>
  <c r="MS20" i="14"/>
  <c r="ED6" i="14"/>
  <c r="EG6" i="14" s="1"/>
  <c r="EZ9" i="14"/>
  <c r="FC9" i="14" s="1"/>
  <c r="HN5" i="14"/>
  <c r="HQ5" i="14" s="1"/>
  <c r="IJ19" i="14"/>
  <c r="IM19" i="14" s="1"/>
  <c r="JF4" i="14"/>
  <c r="JI4" i="14" s="1"/>
  <c r="JF12" i="14"/>
  <c r="JF21" i="14"/>
  <c r="JI21" i="14" s="1"/>
  <c r="LT11" i="14"/>
  <c r="LW11" i="14" s="1"/>
  <c r="LT7" i="14"/>
  <c r="LW7" i="14" s="1"/>
  <c r="LT15" i="14"/>
  <c r="LW15" i="14" s="1"/>
  <c r="FV12" i="4"/>
  <c r="FV13" i="4"/>
  <c r="FY13" i="4" s="1"/>
  <c r="GR8" i="4"/>
  <c r="GU8" i="4" s="1"/>
  <c r="HN18" i="4"/>
  <c r="HQ18" i="4" s="1"/>
  <c r="JF12" i="4"/>
  <c r="JI12" i="4" s="1"/>
  <c r="JF13" i="4"/>
  <c r="JI13" i="4" s="1"/>
  <c r="KB8" i="4"/>
  <c r="KE8" i="4" s="1"/>
  <c r="KB23" i="4"/>
  <c r="KE23" i="4" s="1"/>
  <c r="LT19" i="4"/>
  <c r="LW19" i="4" s="1"/>
  <c r="HN15" i="4"/>
  <c r="HQ15" i="4" s="1"/>
  <c r="KX23" i="4"/>
  <c r="LA23" i="4" s="1"/>
  <c r="IJ8" i="4"/>
  <c r="IM8" i="4" s="1"/>
  <c r="IJ23" i="4"/>
  <c r="IM23" i="4" s="1"/>
  <c r="FV10" i="4"/>
  <c r="FY10" i="4" s="1"/>
  <c r="FV15" i="4"/>
  <c r="FY15" i="4" s="1"/>
  <c r="GR9" i="4"/>
  <c r="GR16" i="4"/>
  <c r="GU16" i="4" s="1"/>
  <c r="MP23" i="4"/>
  <c r="MS23" i="4" s="1"/>
  <c r="ED4" i="4"/>
  <c r="EG4" i="4" s="1"/>
  <c r="ED10" i="4"/>
  <c r="EG10" i="4" s="1"/>
  <c r="ED16" i="4"/>
  <c r="EG16" i="4" s="1"/>
  <c r="EZ11" i="4"/>
  <c r="FC11" i="4" s="1"/>
  <c r="MP12" i="4"/>
  <c r="MS12" i="4" s="1"/>
  <c r="EZ4" i="4"/>
  <c r="FC4" i="4" s="1"/>
  <c r="FV11" i="4"/>
  <c r="FY11" i="4" s="1"/>
  <c r="GR13" i="4"/>
  <c r="GU13" i="4" s="1"/>
  <c r="HN8" i="4"/>
  <c r="HQ8" i="4" s="1"/>
  <c r="HN23" i="4"/>
  <c r="HQ23" i="4" s="1"/>
  <c r="EZ5" i="4"/>
  <c r="FC5" i="4" s="1"/>
  <c r="LT23" i="4"/>
  <c r="LW23" i="4" s="1"/>
  <c r="MP18" i="4"/>
  <c r="MS18" i="4" s="1"/>
  <c r="DA12" i="12"/>
  <c r="FL4" i="12"/>
  <c r="IR12" i="12"/>
  <c r="LC12" i="12"/>
  <c r="J13" i="12"/>
  <c r="K13" i="12" s="1"/>
  <c r="J14" i="12"/>
  <c r="K14" i="12" s="1"/>
  <c r="DA11" i="12"/>
  <c r="DA16" i="12"/>
  <c r="DA13" i="12"/>
  <c r="EQ4" i="12"/>
  <c r="EQ18" i="12"/>
  <c r="FL6" i="12"/>
  <c r="FL5" i="12"/>
  <c r="JM15" i="12"/>
  <c r="EQ12" i="12"/>
  <c r="FL16" i="12"/>
  <c r="FL13" i="12"/>
  <c r="HB9" i="12"/>
  <c r="HB19" i="12"/>
  <c r="HB17" i="12"/>
  <c r="JM8" i="12"/>
  <c r="JM7" i="12"/>
  <c r="JM22" i="12"/>
  <c r="KH4" i="12"/>
  <c r="DV18" i="12"/>
  <c r="EQ6" i="12"/>
  <c r="EQ5" i="12"/>
  <c r="GG7" i="12"/>
  <c r="HW10" i="12"/>
  <c r="JM9" i="12"/>
  <c r="JM19" i="12"/>
  <c r="JM17" i="12"/>
  <c r="DA7" i="12"/>
  <c r="DV12" i="12"/>
  <c r="EQ15" i="12"/>
  <c r="EQ11" i="12"/>
  <c r="EQ16" i="12"/>
  <c r="GG19" i="12"/>
  <c r="HW11" i="12"/>
  <c r="HW16" i="12"/>
  <c r="HW13" i="12"/>
  <c r="JM14" i="12"/>
  <c r="JM18" i="12"/>
  <c r="KH6" i="12"/>
  <c r="KH5" i="12"/>
  <c r="KH10" i="12"/>
  <c r="DA15" i="12"/>
  <c r="DV8" i="12"/>
  <c r="DV7" i="12"/>
  <c r="EQ8" i="12"/>
  <c r="EQ7" i="12"/>
  <c r="FL8" i="12"/>
  <c r="FL7" i="12"/>
  <c r="FL22" i="12"/>
  <c r="GG9" i="12"/>
  <c r="HB8" i="12"/>
  <c r="HB7" i="12"/>
  <c r="HB22" i="12"/>
  <c r="HW9" i="12"/>
  <c r="HW22" i="12"/>
  <c r="IR9" i="12"/>
  <c r="IR19" i="12"/>
  <c r="IR17" i="12"/>
  <c r="JM12" i="12"/>
  <c r="KH11" i="12"/>
  <c r="KH16" i="12"/>
  <c r="GG4" i="12"/>
  <c r="GG22" i="12"/>
  <c r="HW4" i="12"/>
  <c r="IR4" i="12"/>
  <c r="DA9" i="12"/>
  <c r="DV19" i="12"/>
  <c r="DV17" i="12"/>
  <c r="EQ19" i="12"/>
  <c r="EQ17" i="12"/>
  <c r="FL18" i="12"/>
  <c r="GG17" i="12"/>
  <c r="HB14" i="12"/>
  <c r="HB18" i="12"/>
  <c r="HW14" i="12"/>
  <c r="JM11" i="12"/>
  <c r="JM16" i="12"/>
  <c r="LC9" i="12"/>
  <c r="J22" i="12"/>
  <c r="DA4" i="12"/>
  <c r="DA17" i="12"/>
  <c r="DV14" i="12"/>
  <c r="EQ14" i="12"/>
  <c r="FL12" i="12"/>
  <c r="GG6" i="12"/>
  <c r="GG5" i="12"/>
  <c r="GG14" i="12"/>
  <c r="HB12" i="12"/>
  <c r="HW6" i="12"/>
  <c r="HW5" i="12"/>
  <c r="HW12" i="12"/>
  <c r="IR6" i="12"/>
  <c r="IR5" i="12"/>
  <c r="KH8" i="12"/>
  <c r="KH7" i="12"/>
  <c r="KH22" i="12"/>
  <c r="LC4" i="12"/>
  <c r="LC19" i="12"/>
  <c r="LC17" i="12"/>
  <c r="LC14" i="12"/>
  <c r="HW15" i="12"/>
  <c r="IR15" i="12"/>
  <c r="KH12" i="12"/>
  <c r="FL15" i="12"/>
  <c r="HB15" i="12"/>
  <c r="IR22" i="12"/>
  <c r="JM4" i="12"/>
  <c r="DA8" i="6"/>
  <c r="EQ4" i="6"/>
  <c r="EQ7" i="6"/>
  <c r="KH10" i="6"/>
  <c r="LC19" i="6"/>
  <c r="DV17" i="6"/>
  <c r="GG10" i="6"/>
  <c r="DA14" i="6"/>
  <c r="DA19" i="6"/>
  <c r="KH11" i="6"/>
  <c r="KH8" i="6"/>
  <c r="KH20" i="6"/>
  <c r="DA5" i="6"/>
  <c r="DV6" i="6"/>
  <c r="DV14" i="6"/>
  <c r="DV10" i="6"/>
  <c r="DV19" i="6"/>
  <c r="GG11" i="6"/>
  <c r="HB10" i="6"/>
  <c r="HW18" i="6"/>
  <c r="IR18" i="6"/>
  <c r="JM12" i="6"/>
  <c r="EQ18" i="6"/>
  <c r="EQ14" i="6"/>
  <c r="KH19" i="6"/>
  <c r="HB17" i="6"/>
  <c r="HW17" i="6"/>
  <c r="JM10" i="6"/>
  <c r="JM19" i="6"/>
  <c r="DA6" i="6"/>
  <c r="DA12" i="6"/>
  <c r="DV9" i="6"/>
  <c r="EQ11" i="6"/>
  <c r="EQ8" i="6"/>
  <c r="EQ20" i="6"/>
  <c r="FL18" i="6"/>
  <c r="GG8" i="6"/>
  <c r="GG20" i="6"/>
  <c r="HB9" i="6"/>
  <c r="EQ17" i="6"/>
  <c r="FL10" i="6"/>
  <c r="HB18" i="6"/>
  <c r="HW12" i="6"/>
  <c r="IR10" i="6"/>
  <c r="LC18" i="6"/>
  <c r="DA4" i="6"/>
  <c r="DA9" i="6"/>
  <c r="DV7" i="6"/>
  <c r="GG6" i="6"/>
  <c r="HW6" i="6"/>
  <c r="IR7" i="6"/>
  <c r="IR17" i="6"/>
  <c r="JM9" i="6"/>
  <c r="KH17" i="6"/>
  <c r="DA10" i="6"/>
  <c r="DV11" i="6"/>
  <c r="EQ6" i="6"/>
  <c r="FL11" i="6"/>
  <c r="FL8" i="6"/>
  <c r="FL20" i="6"/>
  <c r="HB4" i="6"/>
  <c r="HB7" i="6"/>
  <c r="HW9" i="6"/>
  <c r="IR11" i="6"/>
  <c r="IR8" i="6"/>
  <c r="IR12" i="6"/>
  <c r="IR20" i="6"/>
  <c r="JM18" i="6"/>
  <c r="KH12" i="6"/>
  <c r="LC4" i="6"/>
  <c r="LC7" i="6"/>
  <c r="LC10" i="6"/>
  <c r="FL17" i="6"/>
  <c r="DA11" i="6"/>
  <c r="GG4" i="6"/>
  <c r="JM4" i="6"/>
  <c r="JM7" i="6"/>
  <c r="KH9" i="6"/>
  <c r="LC11" i="6"/>
  <c r="LC8" i="6"/>
  <c r="DA17" i="6"/>
  <c r="DV12" i="6"/>
  <c r="EQ10" i="6"/>
  <c r="FL6" i="6"/>
  <c r="GG7" i="6"/>
  <c r="HB12" i="6"/>
  <c r="HW7" i="6"/>
  <c r="IR6" i="6"/>
  <c r="JM11" i="6"/>
  <c r="JM8" i="6"/>
  <c r="JM20" i="6"/>
  <c r="KH18" i="6"/>
  <c r="LX10" i="8"/>
  <c r="DV6" i="8"/>
  <c r="FL9" i="8"/>
  <c r="FL10" i="8"/>
  <c r="GG8" i="8"/>
  <c r="EQ7" i="8"/>
  <c r="KH4" i="8"/>
  <c r="EQ4" i="8"/>
  <c r="EQ9" i="8"/>
  <c r="EQ10" i="8"/>
  <c r="FL8" i="8"/>
  <c r="GG7" i="8"/>
  <c r="DV7" i="8"/>
  <c r="HW7" i="8"/>
  <c r="LC8" i="8"/>
  <c r="LC11" i="8"/>
  <c r="FL4" i="8"/>
  <c r="IR6" i="8"/>
  <c r="LX11" i="8"/>
  <c r="DV4" i="8"/>
  <c r="EQ6" i="8"/>
  <c r="HB7" i="8"/>
  <c r="HW6" i="8"/>
  <c r="HW10" i="8"/>
  <c r="IR8" i="8"/>
  <c r="KH9" i="8"/>
  <c r="LC6" i="8"/>
  <c r="KH6" i="8"/>
  <c r="DA9" i="8"/>
  <c r="FL7" i="8"/>
  <c r="GG4" i="8"/>
  <c r="HB6" i="8"/>
  <c r="IR7" i="8"/>
  <c r="JM6" i="8"/>
  <c r="KH8" i="8"/>
  <c r="DA6" i="8"/>
  <c r="DA7" i="7"/>
  <c r="DV6" i="7"/>
  <c r="HW6" i="7"/>
  <c r="IR5" i="7"/>
  <c r="GG4" i="7"/>
  <c r="KH4" i="7"/>
  <c r="DA6" i="7"/>
  <c r="FL4" i="7"/>
  <c r="HW5" i="7"/>
  <c r="IR6" i="7"/>
  <c r="HB6" i="7"/>
  <c r="HW4" i="7"/>
  <c r="JM5" i="7"/>
  <c r="DA5" i="7"/>
  <c r="EQ9" i="7"/>
  <c r="HB9" i="7"/>
  <c r="KH6" i="7"/>
  <c r="LC4" i="7"/>
  <c r="EQ4" i="7"/>
  <c r="DV9" i="7"/>
  <c r="GG6" i="7"/>
  <c r="LC5" i="7"/>
  <c r="DV4" i="7"/>
  <c r="EQ5" i="7"/>
  <c r="GG9" i="7"/>
  <c r="HB5" i="7"/>
  <c r="JM6" i="7"/>
  <c r="DA9" i="7"/>
  <c r="DV5" i="7"/>
  <c r="FL6" i="7"/>
  <c r="IR7" i="7"/>
  <c r="DA4" i="7"/>
  <c r="FL9" i="7"/>
  <c r="GG5" i="7"/>
  <c r="HW9" i="7"/>
  <c r="LC6" i="7"/>
  <c r="FV9" i="14"/>
  <c r="FY9" i="14" s="1"/>
  <c r="FV7" i="14"/>
  <c r="FY7" i="14" s="1"/>
  <c r="IJ14" i="14"/>
  <c r="IM14" i="14" s="1"/>
  <c r="IM12" i="14"/>
  <c r="GR16" i="14"/>
  <c r="GU16" i="14" s="1"/>
  <c r="GR19" i="14"/>
  <c r="GU19" i="14" s="1"/>
  <c r="HN4" i="14"/>
  <c r="HN12" i="14"/>
  <c r="HQ12" i="14" s="1"/>
  <c r="JF6" i="14"/>
  <c r="JI6" i="14" s="1"/>
  <c r="JF8" i="14"/>
  <c r="JI8" i="14" s="1"/>
  <c r="JF20" i="14"/>
  <c r="KB20" i="14"/>
  <c r="KE20" i="14" s="1"/>
  <c r="KX11" i="14"/>
  <c r="LA11" i="14" s="1"/>
  <c r="KX9" i="14"/>
  <c r="LA9" i="14" s="1"/>
  <c r="MP15" i="14"/>
  <c r="MS15" i="14" s="1"/>
  <c r="LT22" i="14"/>
  <c r="LW22" i="14" s="1"/>
  <c r="EZ14" i="14"/>
  <c r="FC14" i="14" s="1"/>
  <c r="EZ10" i="14"/>
  <c r="FC10" i="14" s="1"/>
  <c r="EZ16" i="14"/>
  <c r="FC16" i="14" s="1"/>
  <c r="FV12" i="14"/>
  <c r="FY12" i="14" s="1"/>
  <c r="GR17" i="14"/>
  <c r="GU17" i="14" s="1"/>
  <c r="JF7" i="14"/>
  <c r="JI7" i="14" s="1"/>
  <c r="JF18" i="14"/>
  <c r="JF9" i="14"/>
  <c r="JI9" i="14" s="1"/>
  <c r="KB18" i="14"/>
  <c r="KE18" i="14" s="1"/>
  <c r="KX5" i="14"/>
  <c r="LA5" i="14" s="1"/>
  <c r="KX22" i="14"/>
  <c r="LA22" i="14" s="1"/>
  <c r="KX14" i="14"/>
  <c r="LA14" i="14" s="1"/>
  <c r="KX10" i="14"/>
  <c r="LA10" i="14" s="1"/>
  <c r="KX16" i="14"/>
  <c r="LA16" i="14" s="1"/>
  <c r="LT14" i="14"/>
  <c r="LW14" i="14" s="1"/>
  <c r="ED10" i="14"/>
  <c r="EG10" i="14" s="1"/>
  <c r="FC4" i="14"/>
  <c r="FV13" i="14"/>
  <c r="FY13" i="14" s="1"/>
  <c r="GR21" i="14"/>
  <c r="GU21" i="14" s="1"/>
  <c r="HN13" i="14"/>
  <c r="HQ13" i="14" s="1"/>
  <c r="HN21" i="14"/>
  <c r="HQ21" i="14" s="1"/>
  <c r="IJ17" i="14"/>
  <c r="IM17" i="14" s="1"/>
  <c r="JF13" i="14"/>
  <c r="JI13" i="14" s="1"/>
  <c r="KB21" i="14"/>
  <c r="KE21" i="14" s="1"/>
  <c r="KX6" i="14"/>
  <c r="LA6" i="14" s="1"/>
  <c r="KX8" i="14"/>
  <c r="LA8" i="14" s="1"/>
  <c r="LT9" i="14"/>
  <c r="LW9" i="14" s="1"/>
  <c r="MP7" i="14"/>
  <c r="MS7" i="14" s="1"/>
  <c r="MP11" i="14"/>
  <c r="MS11" i="14" s="1"/>
  <c r="MP18" i="14"/>
  <c r="MS18" i="14" s="1"/>
  <c r="ED12" i="14"/>
  <c r="ED17" i="14"/>
  <c r="EG17" i="14" s="1"/>
  <c r="EZ6" i="14"/>
  <c r="FC6" i="14" s="1"/>
  <c r="EZ20" i="14"/>
  <c r="FC20" i="14" s="1"/>
  <c r="FV11" i="14"/>
  <c r="FY11" i="14" s="1"/>
  <c r="FV20" i="14"/>
  <c r="FY20" i="14" s="1"/>
  <c r="GR8" i="14"/>
  <c r="GU8" i="14" s="1"/>
  <c r="HN11" i="14"/>
  <c r="HQ11" i="14" s="1"/>
  <c r="HN8" i="14"/>
  <c r="HQ8" i="14" s="1"/>
  <c r="HN20" i="14"/>
  <c r="HQ20" i="14" s="1"/>
  <c r="IJ11" i="14"/>
  <c r="IM11" i="14" s="1"/>
  <c r="JF11" i="14"/>
  <c r="JI11" i="14" s="1"/>
  <c r="KB9" i="14"/>
  <c r="KE9" i="14" s="1"/>
  <c r="KX18" i="14"/>
  <c r="LA18" i="14" s="1"/>
  <c r="MP22" i="14"/>
  <c r="MS22" i="14" s="1"/>
  <c r="ED11" i="14"/>
  <c r="EG11" i="14" s="1"/>
  <c r="ED9" i="14"/>
  <c r="EG9" i="14" s="1"/>
  <c r="EZ7" i="14"/>
  <c r="FC7" i="14" s="1"/>
  <c r="EZ11" i="14"/>
  <c r="FC11" i="14" s="1"/>
  <c r="EZ18" i="14"/>
  <c r="FC18" i="14" s="1"/>
  <c r="FV15" i="14"/>
  <c r="FY15" i="14" s="1"/>
  <c r="GR5" i="14"/>
  <c r="GU5" i="14" s="1"/>
  <c r="GR18" i="14"/>
  <c r="GU18" i="14" s="1"/>
  <c r="GR9" i="14"/>
  <c r="GU9" i="14" s="1"/>
  <c r="HN18" i="14"/>
  <c r="HQ18" i="14" s="1"/>
  <c r="IJ5" i="14"/>
  <c r="IM5" i="14" s="1"/>
  <c r="IJ15" i="14"/>
  <c r="IM15" i="14" s="1"/>
  <c r="KB5" i="14"/>
  <c r="KE5" i="14" s="1"/>
  <c r="KB15" i="14"/>
  <c r="KE15" i="14" s="1"/>
  <c r="KB22" i="14"/>
  <c r="KE22" i="14" s="1"/>
  <c r="MP14" i="14"/>
  <c r="MS14" i="14" s="1"/>
  <c r="MP10" i="14"/>
  <c r="MS10" i="14" s="1"/>
  <c r="MP16" i="14"/>
  <c r="MP19" i="14"/>
  <c r="EZ5" i="14"/>
  <c r="FC5" i="14" s="1"/>
  <c r="EZ22" i="14"/>
  <c r="FC22" i="14" s="1"/>
  <c r="FV22" i="14"/>
  <c r="FY22" i="14" s="1"/>
  <c r="GR15" i="14"/>
  <c r="GU15" i="14" s="1"/>
  <c r="MP21" i="14"/>
  <c r="MS21" i="14" s="1"/>
  <c r="ED5" i="14"/>
  <c r="EG5" i="14" s="1"/>
  <c r="ED15" i="14"/>
  <c r="EG15" i="14" s="1"/>
  <c r="FV14" i="14"/>
  <c r="FY14" i="14" s="1"/>
  <c r="IJ16" i="14"/>
  <c r="IM16" i="14" s="1"/>
  <c r="JF14" i="14"/>
  <c r="JI14" i="14" s="1"/>
  <c r="JF16" i="14"/>
  <c r="JI16" i="14" s="1"/>
  <c r="JF19" i="14"/>
  <c r="JI19" i="14" s="1"/>
  <c r="KX21" i="14"/>
  <c r="LA21" i="14" s="1"/>
  <c r="LT12" i="14"/>
  <c r="LW12" i="14" s="1"/>
  <c r="LT21" i="14"/>
  <c r="LW21" i="14" s="1"/>
  <c r="MP17" i="14"/>
  <c r="MS17" i="14" s="1"/>
  <c r="ED7" i="4"/>
  <c r="EG7" i="4" s="1"/>
  <c r="EZ8" i="4"/>
  <c r="FC8" i="4" s="1"/>
  <c r="EZ15" i="4"/>
  <c r="FC15" i="4" s="1"/>
  <c r="GR5" i="4"/>
  <c r="GU5" i="4" s="1"/>
  <c r="GR14" i="4"/>
  <c r="GU14" i="4" s="1"/>
  <c r="GR23" i="4"/>
  <c r="GU23" i="4" s="1"/>
  <c r="HN4" i="4"/>
  <c r="HQ4" i="4" s="1"/>
  <c r="HN10" i="4"/>
  <c r="HQ10" i="4" s="1"/>
  <c r="JF5" i="4"/>
  <c r="JI5" i="4" s="1"/>
  <c r="KB4" i="4"/>
  <c r="KE4" i="4" s="1"/>
  <c r="KB10" i="4"/>
  <c r="KE10" i="4" s="1"/>
  <c r="KB15" i="4"/>
  <c r="KE15" i="4" s="1"/>
  <c r="KX9" i="4"/>
  <c r="LA9" i="4" s="1"/>
  <c r="KX16" i="4"/>
  <c r="LA16" i="4" s="1"/>
  <c r="MP5" i="4"/>
  <c r="MS5" i="4" s="1"/>
  <c r="MP8" i="4"/>
  <c r="MS8" i="4" s="1"/>
  <c r="ED9" i="4"/>
  <c r="EG9" i="4" s="1"/>
  <c r="EZ12" i="4"/>
  <c r="FC12" i="4" s="1"/>
  <c r="FV4" i="4"/>
  <c r="FY4" i="4" s="1"/>
  <c r="HN5" i="4"/>
  <c r="HQ5" i="4" s="1"/>
  <c r="IJ9" i="4"/>
  <c r="IM9" i="4" s="1"/>
  <c r="IJ16" i="4"/>
  <c r="IM16" i="4" s="1"/>
  <c r="KB5" i="4"/>
  <c r="KE5" i="4" s="1"/>
  <c r="KX4" i="4"/>
  <c r="LA4" i="4" s="1"/>
  <c r="KX10" i="4"/>
  <c r="LA10" i="4" s="1"/>
  <c r="KX15" i="4"/>
  <c r="LA15" i="4" s="1"/>
  <c r="LT9" i="4"/>
  <c r="LW9" i="4" s="1"/>
  <c r="LT16" i="4"/>
  <c r="LW16" i="4" s="1"/>
  <c r="EG13" i="4"/>
  <c r="FV8" i="4"/>
  <c r="FY8" i="4" s="1"/>
  <c r="HN12" i="4"/>
  <c r="HQ12" i="4" s="1"/>
  <c r="IJ4" i="4"/>
  <c r="IM4" i="4" s="1"/>
  <c r="IJ10" i="4"/>
  <c r="IM10" i="4" s="1"/>
  <c r="KB12" i="4"/>
  <c r="KE12" i="4" s="1"/>
  <c r="KX8" i="4"/>
  <c r="LA8" i="4" s="1"/>
  <c r="LT6" i="4"/>
  <c r="LW6" i="4" s="1"/>
  <c r="LT18" i="4"/>
  <c r="LW18" i="4" s="1"/>
  <c r="DD16" i="4"/>
  <c r="DG16" i="4" s="1"/>
  <c r="LA14" i="4"/>
  <c r="LW4" i="4"/>
  <c r="LW15" i="4"/>
  <c r="MS9" i="4"/>
  <c r="MS19" i="4"/>
  <c r="ED5" i="4"/>
  <c r="EG5" i="4" s="1"/>
  <c r="EZ9" i="4"/>
  <c r="FC9" i="4" s="1"/>
  <c r="EZ19" i="4"/>
  <c r="FC19" i="4" s="1"/>
  <c r="FV23" i="4"/>
  <c r="FY23" i="4" s="1"/>
  <c r="GR6" i="4"/>
  <c r="GU6" i="4" s="1"/>
  <c r="HN11" i="4"/>
  <c r="HQ11" i="4" s="1"/>
  <c r="IJ14" i="4"/>
  <c r="IM14" i="4" s="1"/>
  <c r="JF18" i="4"/>
  <c r="JI18" i="4" s="1"/>
  <c r="KB11" i="4"/>
  <c r="KE11" i="4" s="1"/>
  <c r="KX12" i="4"/>
  <c r="LA12" i="4" s="1"/>
  <c r="LT8" i="4"/>
  <c r="LW8" i="4" s="1"/>
  <c r="ED12" i="4"/>
  <c r="EG12" i="4" s="1"/>
  <c r="EZ6" i="4"/>
  <c r="FC6" i="4" s="1"/>
  <c r="EZ18" i="4"/>
  <c r="FC18" i="4" s="1"/>
  <c r="EZ16" i="4"/>
  <c r="FC16" i="4" s="1"/>
  <c r="FV14" i="4"/>
  <c r="FY14" i="4" s="1"/>
  <c r="GR4" i="4"/>
  <c r="GU4" i="4" s="1"/>
  <c r="GR10" i="4"/>
  <c r="GU10" i="4" s="1"/>
  <c r="GR15" i="4"/>
  <c r="GU15" i="4" s="1"/>
  <c r="IJ12" i="4"/>
  <c r="IM12" i="4" s="1"/>
  <c r="JF4" i="4"/>
  <c r="JI4" i="4" s="1"/>
  <c r="JF15" i="4"/>
  <c r="JI15" i="4" s="1"/>
  <c r="LT5" i="4"/>
  <c r="LW5" i="4" s="1"/>
  <c r="MP4" i="4"/>
  <c r="MS4" i="4" s="1"/>
  <c r="MP10" i="4"/>
  <c r="MS10" i="4" s="1"/>
  <c r="ED18" i="4"/>
  <c r="EG18" i="4" s="1"/>
  <c r="ED19" i="4"/>
  <c r="EG19" i="4" s="1"/>
  <c r="EZ14" i="4"/>
  <c r="FC14" i="4" s="1"/>
  <c r="FV7" i="4"/>
  <c r="FY7" i="4" s="1"/>
  <c r="FV19" i="4"/>
  <c r="FY19" i="4" s="1"/>
  <c r="GU9" i="4"/>
  <c r="HN7" i="4"/>
  <c r="HQ7" i="4" s="1"/>
  <c r="HN13" i="4"/>
  <c r="HQ13" i="4" s="1"/>
  <c r="IJ11" i="4"/>
  <c r="IM11" i="4" s="1"/>
  <c r="JF10" i="4"/>
  <c r="JI10" i="4" s="1"/>
  <c r="KB7" i="4"/>
  <c r="KE7" i="4" s="1"/>
  <c r="KB13" i="4"/>
  <c r="KE13" i="4" s="1"/>
  <c r="KX18" i="4"/>
  <c r="LA18" i="4" s="1"/>
  <c r="KX19" i="4"/>
  <c r="LA19" i="4" s="1"/>
  <c r="LT14" i="4"/>
  <c r="LW14" i="4" s="1"/>
  <c r="MP6" i="4"/>
  <c r="MS6" i="4" s="1"/>
  <c r="LA5" i="4"/>
  <c r="MP11" i="4"/>
  <c r="MS11" i="4" s="1"/>
  <c r="EZ7" i="4"/>
  <c r="FC7" i="4" s="1"/>
  <c r="EZ13" i="4"/>
  <c r="FC13" i="4" s="1"/>
  <c r="FV6" i="4"/>
  <c r="FY6" i="4" s="1"/>
  <c r="FV9" i="4"/>
  <c r="FY9" i="4" s="1"/>
  <c r="GR7" i="4"/>
  <c r="GU7" i="4" s="1"/>
  <c r="GR12" i="4"/>
  <c r="GU12" i="4" s="1"/>
  <c r="HN6" i="4"/>
  <c r="HQ6" i="4" s="1"/>
  <c r="HN9" i="4"/>
  <c r="HQ9" i="4" s="1"/>
  <c r="HN19" i="4"/>
  <c r="HQ19" i="4" s="1"/>
  <c r="IJ5" i="4"/>
  <c r="IM5" i="4" s="1"/>
  <c r="IJ18" i="4"/>
  <c r="IM18" i="4" s="1"/>
  <c r="IJ19" i="4"/>
  <c r="IM19" i="4" s="1"/>
  <c r="JF14" i="4"/>
  <c r="JI14" i="4" s="1"/>
  <c r="KB6" i="4"/>
  <c r="KE6" i="4" s="1"/>
  <c r="KB9" i="4"/>
  <c r="KE9" i="4" s="1"/>
  <c r="KB19" i="4"/>
  <c r="KE19" i="4" s="1"/>
  <c r="LT7" i="4"/>
  <c r="LW7" i="4" s="1"/>
  <c r="LT13" i="4"/>
  <c r="LW13" i="4" s="1"/>
  <c r="ED14" i="4"/>
  <c r="EG14" i="4" s="1"/>
  <c r="ED15" i="4"/>
  <c r="EG15" i="4" s="1"/>
  <c r="FY12" i="4"/>
  <c r="HN16" i="4"/>
  <c r="HQ16" i="4" s="1"/>
  <c r="KB16" i="4"/>
  <c r="KE16" i="4" s="1"/>
  <c r="GR11" i="4"/>
  <c r="GU11" i="4" s="1"/>
  <c r="IJ7" i="4"/>
  <c r="IM7" i="4" s="1"/>
  <c r="JF7" i="4"/>
  <c r="JI7" i="4" s="1"/>
  <c r="KX7" i="4"/>
  <c r="LA7" i="4" s="1"/>
  <c r="JF11" i="4"/>
  <c r="JI11" i="4" s="1"/>
  <c r="OO16" i="4"/>
  <c r="ED6" i="4"/>
  <c r="EG6" i="4" s="1"/>
  <c r="ED11" i="4"/>
  <c r="EG11" i="4" s="1"/>
  <c r="EZ10" i="4"/>
  <c r="FC10" i="4" s="1"/>
  <c r="FV18" i="4"/>
  <c r="FY18" i="4" s="1"/>
  <c r="FV16" i="4"/>
  <c r="FY16" i="4" s="1"/>
  <c r="GR18" i="4"/>
  <c r="GU18" i="4" s="1"/>
  <c r="GR19" i="4"/>
  <c r="GU19" i="4" s="1"/>
  <c r="HN14" i="4"/>
  <c r="HQ14" i="4" s="1"/>
  <c r="IJ6" i="4"/>
  <c r="IM6" i="4" s="1"/>
  <c r="JF6" i="4"/>
  <c r="JI6" i="4" s="1"/>
  <c r="JF9" i="4"/>
  <c r="JI9" i="4" s="1"/>
  <c r="JF19" i="4"/>
  <c r="JI19" i="4" s="1"/>
  <c r="KB14" i="4"/>
  <c r="KE14" i="4" s="1"/>
  <c r="KX6" i="4"/>
  <c r="LA6" i="4" s="1"/>
  <c r="KX11" i="4"/>
  <c r="LA11" i="4" s="1"/>
  <c r="KX13" i="4"/>
  <c r="LA13" i="4" s="1"/>
  <c r="LT10" i="4"/>
  <c r="LW10" i="4" s="1"/>
  <c r="MP7" i="4"/>
  <c r="MS7" i="4" s="1"/>
  <c r="MP14" i="4"/>
  <c r="MS14" i="4" s="1"/>
  <c r="EZ19" i="14"/>
  <c r="FC19" i="14" s="1"/>
  <c r="FV10" i="14"/>
  <c r="FY10" i="14" s="1"/>
  <c r="JF22" i="14"/>
  <c r="JI22" i="14" s="1"/>
  <c r="LT19" i="14"/>
  <c r="LW19" i="14" s="1"/>
  <c r="HQ4" i="14"/>
  <c r="OO22" i="14"/>
  <c r="ED7" i="14"/>
  <c r="EG7" i="14" s="1"/>
  <c r="ED8" i="14"/>
  <c r="EG8" i="14" s="1"/>
  <c r="EZ13" i="14"/>
  <c r="FC13" i="14" s="1"/>
  <c r="EZ12" i="14"/>
  <c r="FC12" i="14" s="1"/>
  <c r="FV4" i="14"/>
  <c r="FY4" i="14" s="1"/>
  <c r="FV16" i="14"/>
  <c r="FY16" i="14" s="1"/>
  <c r="FV19" i="14"/>
  <c r="FY19" i="14" s="1"/>
  <c r="GR14" i="14"/>
  <c r="GU14" i="14" s="1"/>
  <c r="GR10" i="14"/>
  <c r="GU10" i="14" s="1"/>
  <c r="GR22" i="14"/>
  <c r="GU22" i="14" s="1"/>
  <c r="IJ6" i="14"/>
  <c r="IM6" i="14" s="1"/>
  <c r="IJ10" i="14"/>
  <c r="IM10" i="14" s="1"/>
  <c r="JF17" i="14"/>
  <c r="JI17" i="14" s="1"/>
  <c r="KB4" i="14"/>
  <c r="KE4" i="14" s="1"/>
  <c r="KB14" i="14"/>
  <c r="KE14" i="14" s="1"/>
  <c r="KB10" i="14"/>
  <c r="KE10" i="14" s="1"/>
  <c r="KX7" i="14"/>
  <c r="LA7" i="14" s="1"/>
  <c r="KX20" i="14"/>
  <c r="LA20" i="14" s="1"/>
  <c r="MP5" i="14"/>
  <c r="MS5" i="14" s="1"/>
  <c r="EG12" i="14"/>
  <c r="ED18" i="14"/>
  <c r="EG18" i="14" s="1"/>
  <c r="ED20" i="14"/>
  <c r="EG20" i="14" s="1"/>
  <c r="EZ8" i="14"/>
  <c r="FC8" i="14" s="1"/>
  <c r="FV6" i="14"/>
  <c r="FY6" i="14" s="1"/>
  <c r="FV17" i="14"/>
  <c r="FY17" i="14" s="1"/>
  <c r="FV21" i="14"/>
  <c r="FY21" i="14" s="1"/>
  <c r="GR13" i="14"/>
  <c r="GU13" i="14" s="1"/>
  <c r="GR12" i="14"/>
  <c r="GU12" i="14" s="1"/>
  <c r="HN14" i="14"/>
  <c r="HQ14" i="14" s="1"/>
  <c r="HN10" i="14"/>
  <c r="HQ10" i="14" s="1"/>
  <c r="HN15" i="14"/>
  <c r="HQ15" i="14" s="1"/>
  <c r="IJ13" i="14"/>
  <c r="IM13" i="14" s="1"/>
  <c r="IJ22" i="14"/>
  <c r="IM22" i="14" s="1"/>
  <c r="JF5" i="14"/>
  <c r="JI5" i="14" s="1"/>
  <c r="JI12" i="14"/>
  <c r="KB13" i="14"/>
  <c r="KE13" i="14" s="1"/>
  <c r="KB12" i="14"/>
  <c r="KE12" i="14" s="1"/>
  <c r="KB16" i="14"/>
  <c r="KE16" i="14" s="1"/>
  <c r="KB19" i="14"/>
  <c r="KE19" i="14" s="1"/>
  <c r="KX15" i="14"/>
  <c r="LA15" i="14" s="1"/>
  <c r="LT5" i="14"/>
  <c r="LW5" i="14" s="1"/>
  <c r="EG14" i="14"/>
  <c r="GU6" i="14"/>
  <c r="JI18" i="14"/>
  <c r="JI20" i="14"/>
  <c r="KE6" i="14"/>
  <c r="LT20" i="14"/>
  <c r="LW20" i="14" s="1"/>
  <c r="MP13" i="14"/>
  <c r="MS13" i="14" s="1"/>
  <c r="ED4" i="14"/>
  <c r="EG4" i="14" s="1"/>
  <c r="HQ16" i="14"/>
  <c r="HN19" i="14"/>
  <c r="HQ19" i="14" s="1"/>
  <c r="JF10" i="14"/>
  <c r="JI10" i="14" s="1"/>
  <c r="JF15" i="14"/>
  <c r="JI15" i="14" s="1"/>
  <c r="KB17" i="14"/>
  <c r="KE17" i="14" s="1"/>
  <c r="KX4" i="14"/>
  <c r="LA4" i="14" s="1"/>
  <c r="KX19" i="14"/>
  <c r="LA19" i="14" s="1"/>
  <c r="MS6" i="14"/>
  <c r="MS16" i="14"/>
  <c r="MS19" i="14"/>
  <c r="ED13" i="14"/>
  <c r="EG13" i="14" s="1"/>
  <c r="ED16" i="14"/>
  <c r="EG16" i="14" s="1"/>
  <c r="ED19" i="14"/>
  <c r="EG19" i="14" s="1"/>
  <c r="ED22" i="14"/>
  <c r="EG22" i="14" s="1"/>
  <c r="EZ15" i="14"/>
  <c r="FC15" i="14" s="1"/>
  <c r="FV5" i="14"/>
  <c r="FY5" i="14" s="1"/>
  <c r="FV18" i="14"/>
  <c r="FY18" i="14" s="1"/>
  <c r="GR7" i="14"/>
  <c r="GU7" i="14" s="1"/>
  <c r="GR20" i="14"/>
  <c r="GU20" i="14" s="1"/>
  <c r="HN6" i="14"/>
  <c r="HQ6" i="14" s="1"/>
  <c r="HN22" i="14"/>
  <c r="HQ22" i="14" s="1"/>
  <c r="KB7" i="14"/>
  <c r="KE7" i="14" s="1"/>
  <c r="KB8" i="14"/>
  <c r="KE8" i="14" s="1"/>
  <c r="KX13" i="14"/>
  <c r="LA13" i="14" s="1"/>
  <c r="KX12" i="14"/>
  <c r="LA12" i="14" s="1"/>
  <c r="LT4" i="14"/>
  <c r="LW4" i="14" s="1"/>
  <c r="LT10" i="14"/>
  <c r="LW10" i="14" s="1"/>
  <c r="LT18" i="14"/>
  <c r="LW18" i="14" s="1"/>
  <c r="NL22" i="14"/>
  <c r="NO22" i="14" s="1"/>
  <c r="MR10" i="8"/>
  <c r="MP9" i="7"/>
  <c r="DD16" i="14"/>
  <c r="DG16" i="14" s="1"/>
  <c r="NL17" i="14"/>
  <c r="NO17" i="14" s="1"/>
  <c r="DD17" i="14"/>
  <c r="DG17" i="14" s="1"/>
  <c r="DD9" i="14"/>
  <c r="DG9" i="14" s="1"/>
  <c r="DD22" i="14"/>
  <c r="DG22" i="14" s="1"/>
  <c r="OO16" i="14"/>
  <c r="NL16" i="4"/>
  <c r="NO16" i="4" s="1"/>
  <c r="MP10" i="8"/>
  <c r="CD10" i="8"/>
  <c r="MQ10" i="8"/>
  <c r="MS10" i="8"/>
  <c r="L10" i="8"/>
  <c r="CF10" i="8" s="1"/>
  <c r="F10" i="8"/>
  <c r="J10" i="8"/>
  <c r="G10" i="8"/>
  <c r="LX9" i="8"/>
  <c r="CD11" i="8"/>
  <c r="MS11" i="8"/>
  <c r="MQ11" i="8"/>
  <c r="MR11" i="8"/>
  <c r="MP11" i="8"/>
  <c r="L11" i="8"/>
  <c r="CF11" i="8" s="1"/>
  <c r="F11" i="8"/>
  <c r="J11" i="8"/>
  <c r="G11" i="8"/>
  <c r="CD7" i="8"/>
  <c r="MQ9" i="8"/>
  <c r="CD9" i="8"/>
  <c r="MR9" i="8"/>
  <c r="MP9" i="8"/>
  <c r="L9" i="8"/>
  <c r="CF9" i="8" s="1"/>
  <c r="MS9" i="8"/>
  <c r="F9" i="8"/>
  <c r="J9" i="8"/>
  <c r="G9" i="8"/>
  <c r="LX7" i="8"/>
  <c r="MQ7" i="8"/>
  <c r="L7" i="8"/>
  <c r="CF7" i="8" s="1"/>
  <c r="MR7" i="8"/>
  <c r="MP7" i="8"/>
  <c r="MS7" i="8"/>
  <c r="F7" i="8"/>
  <c r="J7" i="8"/>
  <c r="G7" i="8"/>
  <c r="LX9" i="7"/>
  <c r="MQ9" i="7"/>
  <c r="CD9" i="7"/>
  <c r="L9" i="7"/>
  <c r="CF9" i="7" s="1"/>
  <c r="MR9" i="7"/>
  <c r="MS9" i="7"/>
  <c r="F9" i="7"/>
  <c r="J9" i="7"/>
  <c r="G9" i="7"/>
  <c r="LX7" i="7"/>
  <c r="CD7" i="7"/>
  <c r="MP7" i="7"/>
  <c r="L7" i="7"/>
  <c r="CF7" i="7" s="1"/>
  <c r="MR7" i="7"/>
  <c r="MS7" i="7"/>
  <c r="MQ7" i="7"/>
  <c r="F7" i="7"/>
  <c r="J7" i="7"/>
  <c r="G7" i="7"/>
  <c r="LX4" i="7"/>
  <c r="CD4" i="7"/>
  <c r="MR4" i="7"/>
  <c r="MP4" i="7"/>
  <c r="L4" i="7"/>
  <c r="CF4" i="7" s="1"/>
  <c r="MS4" i="7"/>
  <c r="MQ4" i="7"/>
  <c r="F4" i="7"/>
  <c r="J4" i="7"/>
  <c r="G4" i="7"/>
  <c r="OM22" i="14"/>
  <c r="OK22" i="14"/>
  <c r="O22" i="14"/>
  <c r="DI22" i="14" s="1"/>
  <c r="G22" i="14"/>
  <c r="Q22" i="14"/>
  <c r="H22" i="14"/>
  <c r="NL9" i="14"/>
  <c r="NO9" i="14" s="1"/>
  <c r="OO9" i="14"/>
  <c r="OM9" i="14"/>
  <c r="OK9" i="14"/>
  <c r="O9" i="14"/>
  <c r="DI9" i="14" s="1"/>
  <c r="G9" i="14"/>
  <c r="Q9" i="14"/>
  <c r="H9" i="14"/>
  <c r="OO17" i="14"/>
  <c r="OM17" i="14"/>
  <c r="OK17" i="14"/>
  <c r="O17" i="14"/>
  <c r="DI17" i="14" s="1"/>
  <c r="G17" i="14"/>
  <c r="F17" i="14" s="1"/>
  <c r="Q17" i="14"/>
  <c r="H17" i="14"/>
  <c r="NL16" i="14"/>
  <c r="NO16" i="14" s="1"/>
  <c r="OM16" i="14"/>
  <c r="OK16" i="14"/>
  <c r="G16" i="14"/>
  <c r="J16" i="14" s="1"/>
  <c r="Q16" i="14"/>
  <c r="H16" i="14"/>
  <c r="O16" i="14"/>
  <c r="OM16" i="4"/>
  <c r="OK16" i="4"/>
  <c r="O16" i="4"/>
  <c r="P16" i="4" s="1"/>
  <c r="G16" i="4"/>
  <c r="Q16" i="4"/>
  <c r="H16" i="4"/>
  <c r="CD22" i="12"/>
  <c r="LX22" i="12"/>
  <c r="MS22" i="12"/>
  <c r="MQ22" i="12"/>
  <c r="MR22" i="12"/>
  <c r="MP22" i="12"/>
  <c r="F22" i="12"/>
  <c r="G22" i="12"/>
  <c r="MR14" i="12"/>
  <c r="MP14" i="12"/>
  <c r="LX14" i="12"/>
  <c r="CD14" i="12"/>
  <c r="MS14" i="12"/>
  <c r="MQ14" i="12"/>
  <c r="F14" i="12"/>
  <c r="G14" i="12"/>
  <c r="CD13" i="12"/>
  <c r="LX13" i="12"/>
  <c r="MS13" i="12"/>
  <c r="MQ13" i="12"/>
  <c r="MP13" i="12"/>
  <c r="MR13" i="12"/>
  <c r="F13" i="12"/>
  <c r="G13" i="12"/>
  <c r="LX11" i="12"/>
  <c r="MP11" i="12"/>
  <c r="MR11" i="12"/>
  <c r="CD11" i="12"/>
  <c r="MQ11" i="12"/>
  <c r="MS11" i="12"/>
  <c r="F11" i="12"/>
  <c r="G11" i="12"/>
  <c r="BZ12" i="6"/>
  <c r="CA12" i="6"/>
  <c r="CB12" i="6"/>
  <c r="CC12" i="6"/>
  <c r="LT12" i="6"/>
  <c r="LU12" i="6"/>
  <c r="LV12" i="6"/>
  <c r="LW12" i="6"/>
  <c r="LY12" i="6"/>
  <c r="LZ12" i="6"/>
  <c r="MA12" i="6"/>
  <c r="MB12" i="6"/>
  <c r="MC12" i="6"/>
  <c r="MD12" i="6"/>
  <c r="ME12" i="6"/>
  <c r="MF12" i="6"/>
  <c r="MG12" i="6"/>
  <c r="MH12" i="6"/>
  <c r="MI12" i="6"/>
  <c r="MJ12" i="6"/>
  <c r="MK12" i="6"/>
  <c r="ML12" i="6"/>
  <c r="MM12" i="6"/>
  <c r="MN12" i="6"/>
  <c r="BZ9" i="6"/>
  <c r="CA9" i="6"/>
  <c r="CB9" i="6"/>
  <c r="CC9" i="6"/>
  <c r="LT9" i="6"/>
  <c r="LU9" i="6"/>
  <c r="LV9" i="6"/>
  <c r="LW9" i="6"/>
  <c r="LY9" i="6"/>
  <c r="LZ9" i="6"/>
  <c r="MA9" i="6"/>
  <c r="MB9" i="6"/>
  <c r="MC9" i="6"/>
  <c r="MD9" i="6"/>
  <c r="ME9" i="6"/>
  <c r="MF9" i="6"/>
  <c r="MG9" i="6"/>
  <c r="MH9" i="6"/>
  <c r="MI9" i="6"/>
  <c r="MJ9" i="6"/>
  <c r="MK9" i="6"/>
  <c r="ML9" i="6"/>
  <c r="MM9" i="6"/>
  <c r="MN9" i="6"/>
  <c r="BZ14" i="6"/>
  <c r="CA14" i="6"/>
  <c r="CB14" i="6"/>
  <c r="CC14" i="6"/>
  <c r="LT14" i="6"/>
  <c r="LU14" i="6"/>
  <c r="LV14" i="6"/>
  <c r="LW14" i="6"/>
  <c r="LY14" i="6"/>
  <c r="LZ14" i="6"/>
  <c r="MA14" i="6"/>
  <c r="MB14" i="6"/>
  <c r="MC14" i="6"/>
  <c r="MD14" i="6"/>
  <c r="ME14" i="6"/>
  <c r="MF14" i="6"/>
  <c r="MG14" i="6"/>
  <c r="MH14" i="6"/>
  <c r="MI14" i="6"/>
  <c r="MJ14" i="6"/>
  <c r="MK14" i="6"/>
  <c r="ML14" i="6"/>
  <c r="MM14" i="6"/>
  <c r="MN14" i="6"/>
  <c r="M24" i="14" l="1"/>
  <c r="OS25" i="14"/>
  <c r="M22" i="4"/>
  <c r="L22" i="4"/>
  <c r="M21" i="12"/>
  <c r="CF21" i="12"/>
  <c r="N21" i="12" s="1"/>
  <c r="K11" i="12"/>
  <c r="M20" i="12"/>
  <c r="CF20" i="12"/>
  <c r="N20" i="12" s="1"/>
  <c r="M16" i="6"/>
  <c r="CF16" i="6"/>
  <c r="N16" i="6" s="1"/>
  <c r="M13" i="6"/>
  <c r="CF13" i="6"/>
  <c r="N13" i="6" s="1"/>
  <c r="M21" i="6"/>
  <c r="CF21" i="6"/>
  <c r="N21" i="6" s="1"/>
  <c r="M15" i="6"/>
  <c r="CF15" i="6"/>
  <c r="N15" i="6" s="1"/>
  <c r="N12" i="8"/>
  <c r="E12" i="8" s="1"/>
  <c r="E5" i="8"/>
  <c r="O5" i="8"/>
  <c r="P5" i="8"/>
  <c r="E8" i="7"/>
  <c r="O8" i="7"/>
  <c r="P8" i="7"/>
  <c r="E10" i="7"/>
  <c r="O10" i="7"/>
  <c r="P10" i="7"/>
  <c r="S25" i="14"/>
  <c r="T25" i="14" s="1"/>
  <c r="M23" i="14"/>
  <c r="J9" i="14"/>
  <c r="U25" i="14"/>
  <c r="E25" i="14"/>
  <c r="N25" i="14"/>
  <c r="DH25" i="14"/>
  <c r="S24" i="14"/>
  <c r="U24" i="14" s="1"/>
  <c r="E26" i="14"/>
  <c r="T26" i="14"/>
  <c r="U26" i="14"/>
  <c r="N26" i="14"/>
  <c r="DH26" i="14"/>
  <c r="S23" i="14"/>
  <c r="E23" i="14" s="1"/>
  <c r="L23" i="14"/>
  <c r="N24" i="14"/>
  <c r="DH24" i="14"/>
  <c r="J22" i="14"/>
  <c r="N23" i="14"/>
  <c r="DH23" i="14"/>
  <c r="L17" i="4"/>
  <c r="DJ17" i="4"/>
  <c r="E21" i="4"/>
  <c r="U21" i="4"/>
  <c r="S22" i="4"/>
  <c r="T22" i="4" s="1"/>
  <c r="J16" i="4"/>
  <c r="T21" i="4"/>
  <c r="N21" i="4"/>
  <c r="DH21" i="4"/>
  <c r="DH22" i="4"/>
  <c r="N22" i="4"/>
  <c r="U20" i="4"/>
  <c r="E20" i="4"/>
  <c r="N20" i="4"/>
  <c r="DH20" i="4"/>
  <c r="S17" i="4"/>
  <c r="E17" i="4" s="1"/>
  <c r="DH17" i="4"/>
  <c r="N17" i="4"/>
  <c r="L13" i="12"/>
  <c r="CF13" i="12" s="1"/>
  <c r="L14" i="12"/>
  <c r="CF14" i="12" s="1"/>
  <c r="CE14" i="12"/>
  <c r="CE13" i="12"/>
  <c r="L11" i="12"/>
  <c r="CF11" i="12" s="1"/>
  <c r="N11" i="12" s="1"/>
  <c r="CE22" i="12"/>
  <c r="K22" i="12"/>
  <c r="L22" i="12"/>
  <c r="J14" i="6"/>
  <c r="J9" i="6"/>
  <c r="J12" i="6"/>
  <c r="K16" i="14"/>
  <c r="DJ16" i="14" s="1"/>
  <c r="K16" i="4"/>
  <c r="DJ16" i="4" s="1"/>
  <c r="K9" i="14"/>
  <c r="M9" i="14" s="1"/>
  <c r="MR9" i="6"/>
  <c r="LX12" i="6"/>
  <c r="OP17" i="14"/>
  <c r="K22" i="14"/>
  <c r="DJ22" i="14" s="1"/>
  <c r="K17" i="14"/>
  <c r="DJ17" i="14" s="1"/>
  <c r="MT10" i="8"/>
  <c r="H10" i="8"/>
  <c r="I10" i="8" s="1"/>
  <c r="CE10" i="8"/>
  <c r="N10" i="8" s="1"/>
  <c r="K10" i="8"/>
  <c r="A10" i="8"/>
  <c r="M10" i="8"/>
  <c r="MT11" i="8"/>
  <c r="H11" i="8"/>
  <c r="I11" i="8" s="1"/>
  <c r="CE11" i="8"/>
  <c r="N11" i="8" s="1"/>
  <c r="K11" i="8"/>
  <c r="A11" i="8"/>
  <c r="M11" i="8"/>
  <c r="M9" i="8"/>
  <c r="MT9" i="8"/>
  <c r="H9" i="8"/>
  <c r="I9" i="8" s="1"/>
  <c r="CE9" i="8"/>
  <c r="N9" i="8" s="1"/>
  <c r="K9" i="8"/>
  <c r="A9" i="8"/>
  <c r="M7" i="8"/>
  <c r="H7" i="8"/>
  <c r="I7" i="8" s="1"/>
  <c r="MT7" i="8"/>
  <c r="CE7" i="8"/>
  <c r="N7" i="8" s="1"/>
  <c r="K7" i="8"/>
  <c r="M9" i="7"/>
  <c r="MT9" i="7"/>
  <c r="MT7" i="7"/>
  <c r="MT4" i="7"/>
  <c r="H9" i="7"/>
  <c r="I9" i="7" s="1"/>
  <c r="CE9" i="7"/>
  <c r="N9" i="7" s="1"/>
  <c r="K9" i="7"/>
  <c r="A9" i="7"/>
  <c r="M7" i="7"/>
  <c r="H7" i="7"/>
  <c r="I7" i="7" s="1"/>
  <c r="CE7" i="7"/>
  <c r="N7" i="7" s="1"/>
  <c r="K7" i="7"/>
  <c r="A7" i="7"/>
  <c r="M4" i="7"/>
  <c r="H4" i="7"/>
  <c r="I4" i="7" s="1"/>
  <c r="CE4" i="7"/>
  <c r="N4" i="7" s="1"/>
  <c r="K4" i="7"/>
  <c r="OP22" i="14"/>
  <c r="P22" i="14"/>
  <c r="F22" i="14"/>
  <c r="A22" i="14" a="1"/>
  <c r="A22" i="14" s="1"/>
  <c r="DK22" i="14"/>
  <c r="S22" i="14" s="1"/>
  <c r="R22" i="14"/>
  <c r="I22" i="14"/>
  <c r="P9" i="14"/>
  <c r="OP9" i="14"/>
  <c r="F9" i="14"/>
  <c r="I9" i="14"/>
  <c r="DK9" i="14"/>
  <c r="S9" i="14" s="1"/>
  <c r="R9" i="14"/>
  <c r="P17" i="14"/>
  <c r="A17" i="14" a="1"/>
  <c r="A17" i="14" s="1"/>
  <c r="J17" i="14"/>
  <c r="I17" i="14"/>
  <c r="DK17" i="14"/>
  <c r="S17" i="14" s="1"/>
  <c r="R17" i="14"/>
  <c r="OP16" i="14"/>
  <c r="I16" i="14"/>
  <c r="F16" i="14"/>
  <c r="A16" i="14" a="1"/>
  <c r="A16" i="14" s="1"/>
  <c r="DK16" i="14"/>
  <c r="R16" i="14"/>
  <c r="P16" i="14"/>
  <c r="DI16" i="14"/>
  <c r="OP16" i="4"/>
  <c r="DI16" i="4"/>
  <c r="F16" i="4"/>
  <c r="I16" i="4"/>
  <c r="DK16" i="4"/>
  <c r="R16" i="4"/>
  <c r="MT22" i="12"/>
  <c r="H22" i="12"/>
  <c r="I22" i="12" s="1"/>
  <c r="A22" i="12"/>
  <c r="MT14" i="12"/>
  <c r="H14" i="12"/>
  <c r="I14" i="12" s="1"/>
  <c r="A14" i="12"/>
  <c r="MT13" i="12"/>
  <c r="H13" i="12"/>
  <c r="I13" i="12" s="1"/>
  <c r="A13" i="12"/>
  <c r="MT11" i="12"/>
  <c r="H11" i="12"/>
  <c r="I11" i="12" s="1"/>
  <c r="A11" i="12"/>
  <c r="MR12" i="6"/>
  <c r="CD12" i="6"/>
  <c r="MP12" i="6"/>
  <c r="MS12" i="6"/>
  <c r="MQ12" i="6"/>
  <c r="F12" i="6"/>
  <c r="G12" i="6"/>
  <c r="LX9" i="6"/>
  <c r="MP9" i="6"/>
  <c r="CD9" i="6"/>
  <c r="MS9" i="6"/>
  <c r="MQ9" i="6"/>
  <c r="F9" i="6"/>
  <c r="G9" i="6"/>
  <c r="MR14" i="6"/>
  <c r="CD14" i="6"/>
  <c r="MP14" i="6"/>
  <c r="LX14" i="6"/>
  <c r="MQ14" i="6"/>
  <c r="MS14" i="6"/>
  <c r="F14" i="6"/>
  <c r="G14" i="6"/>
  <c r="CY10" i="4"/>
  <c r="CZ10" i="4"/>
  <c r="DA10" i="4"/>
  <c r="DB10" i="4"/>
  <c r="DC10" i="4"/>
  <c r="DE10" i="4"/>
  <c r="DF10" i="4"/>
  <c r="NI10" i="4"/>
  <c r="NJ10" i="4"/>
  <c r="NK10" i="4"/>
  <c r="NM10" i="4"/>
  <c r="NN10" i="4"/>
  <c r="NP10" i="4"/>
  <c r="NQ10" i="4"/>
  <c r="NR10" i="4"/>
  <c r="NS10" i="4"/>
  <c r="NT10" i="4"/>
  <c r="NU10" i="4"/>
  <c r="NV10" i="4"/>
  <c r="NW10" i="4"/>
  <c r="OL10" i="4" s="1"/>
  <c r="NX10" i="4"/>
  <c r="NY10" i="4"/>
  <c r="NZ10" i="4"/>
  <c r="OA10" i="4"/>
  <c r="OB10" i="4"/>
  <c r="ON10" i="4" s="1"/>
  <c r="OC10" i="4"/>
  <c r="OD10" i="4"/>
  <c r="OE10" i="4"/>
  <c r="OF10" i="4"/>
  <c r="OG10" i="4"/>
  <c r="OQ10" i="4" s="1"/>
  <c r="OH10" i="4"/>
  <c r="OI10" i="4"/>
  <c r="BZ19" i="12"/>
  <c r="CA19" i="12"/>
  <c r="CB19" i="12"/>
  <c r="CC19" i="12"/>
  <c r="LT19" i="12"/>
  <c r="LU19" i="12"/>
  <c r="LV19" i="12"/>
  <c r="LW19" i="12"/>
  <c r="LY19" i="12"/>
  <c r="LZ19" i="12"/>
  <c r="MA19" i="12"/>
  <c r="MB19" i="12"/>
  <c r="MC19" i="12"/>
  <c r="MD19" i="12"/>
  <c r="ME19" i="12"/>
  <c r="MF19" i="12"/>
  <c r="MG19" i="12"/>
  <c r="MH19" i="12"/>
  <c r="MI19" i="12"/>
  <c r="MJ19" i="12"/>
  <c r="MK19" i="12"/>
  <c r="ML19" i="12"/>
  <c r="MM19" i="12"/>
  <c r="MN19" i="12"/>
  <c r="BZ20" i="6"/>
  <c r="CA20" i="6"/>
  <c r="CB20" i="6"/>
  <c r="CC20" i="6"/>
  <c r="LT20" i="6"/>
  <c r="LU20" i="6"/>
  <c r="LV20" i="6"/>
  <c r="LW20" i="6"/>
  <c r="LY20" i="6"/>
  <c r="LZ20" i="6"/>
  <c r="MA20" i="6"/>
  <c r="MB20" i="6"/>
  <c r="MC20" i="6"/>
  <c r="MD20" i="6"/>
  <c r="ME20" i="6"/>
  <c r="MF20" i="6"/>
  <c r="MG20" i="6"/>
  <c r="MH20" i="6"/>
  <c r="MI20" i="6"/>
  <c r="MJ20" i="6"/>
  <c r="MK20" i="6"/>
  <c r="ML20" i="6"/>
  <c r="MM20" i="6"/>
  <c r="MN20" i="6"/>
  <c r="BZ17" i="6"/>
  <c r="CA17" i="6"/>
  <c r="CB17" i="6"/>
  <c r="CC17" i="6"/>
  <c r="LT17" i="6"/>
  <c r="LU17" i="6"/>
  <c r="LV17" i="6"/>
  <c r="LW17" i="6"/>
  <c r="LY17" i="6"/>
  <c r="LZ17" i="6"/>
  <c r="MA17" i="6"/>
  <c r="MB17" i="6"/>
  <c r="MC17" i="6"/>
  <c r="MD17" i="6"/>
  <c r="ME17" i="6"/>
  <c r="MF17" i="6"/>
  <c r="MG17" i="6"/>
  <c r="MH17" i="6"/>
  <c r="MI17" i="6"/>
  <c r="MJ17" i="6"/>
  <c r="MK17" i="6"/>
  <c r="ML17" i="6"/>
  <c r="MM17" i="6"/>
  <c r="MN17" i="6"/>
  <c r="BZ9" i="12"/>
  <c r="CA9" i="12"/>
  <c r="J9" i="12" s="1"/>
  <c r="CB9" i="12"/>
  <c r="CC9" i="12"/>
  <c r="LT9" i="12"/>
  <c r="LU9" i="12"/>
  <c r="LV9" i="12"/>
  <c r="LW9" i="12"/>
  <c r="LY9" i="12"/>
  <c r="LZ9" i="12"/>
  <c r="MA9" i="12"/>
  <c r="MB9" i="12"/>
  <c r="MC9" i="12"/>
  <c r="MD9" i="12"/>
  <c r="ME9" i="12"/>
  <c r="MF9" i="12"/>
  <c r="MG9" i="12"/>
  <c r="MH9" i="12"/>
  <c r="MI9" i="12"/>
  <c r="MJ9" i="12"/>
  <c r="MK9" i="12"/>
  <c r="ML9" i="12"/>
  <c r="MM9" i="12"/>
  <c r="MN9" i="12"/>
  <c r="BZ10" i="12"/>
  <c r="CA10" i="12"/>
  <c r="J10" i="12" s="1"/>
  <c r="CB10" i="12"/>
  <c r="CC10" i="12"/>
  <c r="LT10" i="12"/>
  <c r="LU10" i="12"/>
  <c r="LV10" i="12"/>
  <c r="LW10" i="12"/>
  <c r="LY10" i="12"/>
  <c r="LZ10" i="12"/>
  <c r="MA10" i="12"/>
  <c r="MB10" i="12"/>
  <c r="MC10" i="12"/>
  <c r="MD10" i="12"/>
  <c r="ME10" i="12"/>
  <c r="MF10" i="12"/>
  <c r="MG10" i="12"/>
  <c r="MH10" i="12"/>
  <c r="MI10" i="12"/>
  <c r="MJ10" i="12"/>
  <c r="MK10" i="12"/>
  <c r="ML10" i="12"/>
  <c r="MM10" i="12"/>
  <c r="MN10" i="12"/>
  <c r="BZ17" i="12"/>
  <c r="CA17" i="12"/>
  <c r="CB17" i="12"/>
  <c r="CC17" i="12"/>
  <c r="LT17" i="12"/>
  <c r="LU17" i="12"/>
  <c r="LV17" i="12"/>
  <c r="LW17" i="12"/>
  <c r="LY17" i="12"/>
  <c r="LZ17" i="12"/>
  <c r="MA17" i="12"/>
  <c r="MB17" i="12"/>
  <c r="MC17" i="12"/>
  <c r="MD17" i="12"/>
  <c r="ME17" i="12"/>
  <c r="MF17" i="12"/>
  <c r="MG17" i="12"/>
  <c r="MH17" i="12"/>
  <c r="MI17" i="12"/>
  <c r="MJ17" i="12"/>
  <c r="MK17" i="12"/>
  <c r="ML17" i="12"/>
  <c r="MM17" i="12"/>
  <c r="MN17" i="12"/>
  <c r="BZ8" i="12"/>
  <c r="CA8" i="12"/>
  <c r="J8" i="12" s="1"/>
  <c r="CB8" i="12"/>
  <c r="CC8" i="12"/>
  <c r="LT8" i="12"/>
  <c r="LU8" i="12"/>
  <c r="LV8" i="12"/>
  <c r="LW8" i="12"/>
  <c r="LY8" i="12"/>
  <c r="LZ8" i="12"/>
  <c r="MA8" i="12"/>
  <c r="MB8" i="12"/>
  <c r="MC8" i="12"/>
  <c r="MD8" i="12"/>
  <c r="ME8" i="12"/>
  <c r="MF8" i="12"/>
  <c r="MG8" i="12"/>
  <c r="MH8" i="12"/>
  <c r="MI8" i="12"/>
  <c r="MJ8" i="12"/>
  <c r="MK8" i="12"/>
  <c r="ML8" i="12"/>
  <c r="MM8" i="12"/>
  <c r="MN8" i="12"/>
  <c r="BZ18" i="6"/>
  <c r="CA18" i="6"/>
  <c r="CB18" i="6"/>
  <c r="CC18" i="6"/>
  <c r="LT18" i="6"/>
  <c r="LU18" i="6"/>
  <c r="LV18" i="6"/>
  <c r="LW18" i="6"/>
  <c r="LY18" i="6"/>
  <c r="LZ18" i="6"/>
  <c r="MA18" i="6"/>
  <c r="MB18" i="6"/>
  <c r="MC18" i="6"/>
  <c r="MD18" i="6"/>
  <c r="ME18" i="6"/>
  <c r="MF18" i="6"/>
  <c r="MG18" i="6"/>
  <c r="MH18" i="6"/>
  <c r="MI18" i="6"/>
  <c r="MJ18" i="6"/>
  <c r="MK18" i="6"/>
  <c r="ML18" i="6"/>
  <c r="MM18" i="6"/>
  <c r="MN18" i="6"/>
  <c r="CY6" i="4"/>
  <c r="CZ6" i="4"/>
  <c r="DA6" i="4"/>
  <c r="DB6" i="4"/>
  <c r="DC6" i="4"/>
  <c r="DE6" i="4"/>
  <c r="DF6" i="4"/>
  <c r="NI6" i="4"/>
  <c r="NJ6" i="4"/>
  <c r="NK6" i="4"/>
  <c r="NM6" i="4"/>
  <c r="NN6" i="4"/>
  <c r="NP6" i="4"/>
  <c r="NQ6" i="4"/>
  <c r="NR6" i="4"/>
  <c r="NS6" i="4"/>
  <c r="NT6" i="4"/>
  <c r="NU6" i="4"/>
  <c r="NV6" i="4"/>
  <c r="NW6" i="4"/>
  <c r="OL6" i="4" s="1"/>
  <c r="NX6" i="4"/>
  <c r="NY6" i="4"/>
  <c r="NZ6" i="4"/>
  <c r="OA6" i="4"/>
  <c r="OB6" i="4"/>
  <c r="ON6" i="4" s="1"/>
  <c r="OC6" i="4"/>
  <c r="OD6" i="4"/>
  <c r="OE6" i="4"/>
  <c r="OF6" i="4"/>
  <c r="OG6" i="4"/>
  <c r="OQ6" i="4" s="1"/>
  <c r="OH6" i="4"/>
  <c r="OI6" i="4"/>
  <c r="CY8" i="4"/>
  <c r="CZ8" i="4"/>
  <c r="DA8" i="4"/>
  <c r="DB8" i="4"/>
  <c r="DC8" i="4"/>
  <c r="DE8" i="4"/>
  <c r="DF8" i="4"/>
  <c r="NI8" i="4"/>
  <c r="NJ8" i="4"/>
  <c r="NK8" i="4"/>
  <c r="NM8" i="4"/>
  <c r="NN8" i="4"/>
  <c r="NP8" i="4"/>
  <c r="NQ8" i="4"/>
  <c r="NR8" i="4"/>
  <c r="NS8" i="4"/>
  <c r="NT8" i="4"/>
  <c r="NU8" i="4"/>
  <c r="NV8" i="4"/>
  <c r="NW8" i="4"/>
  <c r="OL8" i="4" s="1"/>
  <c r="NX8" i="4"/>
  <c r="NY8" i="4"/>
  <c r="NZ8" i="4"/>
  <c r="OA8" i="4"/>
  <c r="OB8" i="4"/>
  <c r="ON8" i="4" s="1"/>
  <c r="OC8" i="4"/>
  <c r="OD8" i="4"/>
  <c r="OE8" i="4"/>
  <c r="OF8" i="4"/>
  <c r="OG8" i="4"/>
  <c r="OQ8" i="4" s="1"/>
  <c r="OH8" i="4"/>
  <c r="OI8" i="4"/>
  <c r="CY4" i="4"/>
  <c r="CZ4" i="4"/>
  <c r="DA4" i="4"/>
  <c r="DB4" i="4"/>
  <c r="DC4" i="4"/>
  <c r="DE4" i="4"/>
  <c r="DF4" i="4"/>
  <c r="NI4" i="4"/>
  <c r="NJ4" i="4"/>
  <c r="NK4" i="4"/>
  <c r="NM4" i="4"/>
  <c r="NN4" i="4"/>
  <c r="NP4" i="4"/>
  <c r="NQ4" i="4"/>
  <c r="NR4" i="4"/>
  <c r="NS4" i="4"/>
  <c r="NT4" i="4"/>
  <c r="NU4" i="4"/>
  <c r="NV4" i="4"/>
  <c r="NW4" i="4"/>
  <c r="OL4" i="4" s="1"/>
  <c r="NX4" i="4"/>
  <c r="NY4" i="4"/>
  <c r="NZ4" i="4"/>
  <c r="OA4" i="4"/>
  <c r="OB4" i="4"/>
  <c r="ON4" i="4" s="1"/>
  <c r="OC4" i="4"/>
  <c r="OD4" i="4"/>
  <c r="OE4" i="4"/>
  <c r="OF4" i="4"/>
  <c r="OG4" i="4"/>
  <c r="OQ4" i="4" s="1"/>
  <c r="OH4" i="4"/>
  <c r="OI4" i="4"/>
  <c r="CY5" i="4"/>
  <c r="CZ5" i="4"/>
  <c r="DA5" i="4"/>
  <c r="DB5" i="4"/>
  <c r="DC5" i="4"/>
  <c r="DE5" i="4"/>
  <c r="DF5" i="4"/>
  <c r="NI5" i="4"/>
  <c r="NJ5" i="4"/>
  <c r="NK5" i="4"/>
  <c r="NM5" i="4"/>
  <c r="NN5" i="4"/>
  <c r="NP5" i="4"/>
  <c r="NQ5" i="4"/>
  <c r="NR5" i="4"/>
  <c r="NS5" i="4"/>
  <c r="NT5" i="4"/>
  <c r="NU5" i="4"/>
  <c r="NV5" i="4"/>
  <c r="NW5" i="4"/>
  <c r="OL5" i="4" s="1"/>
  <c r="NX5" i="4"/>
  <c r="NY5" i="4"/>
  <c r="NZ5" i="4"/>
  <c r="OA5" i="4"/>
  <c r="OB5" i="4"/>
  <c r="ON5" i="4" s="1"/>
  <c r="OC5" i="4"/>
  <c r="OD5" i="4"/>
  <c r="OE5" i="4"/>
  <c r="OF5" i="4"/>
  <c r="OG5" i="4"/>
  <c r="OQ5" i="4" s="1"/>
  <c r="OH5" i="4"/>
  <c r="OI5" i="4"/>
  <c r="CY5" i="14"/>
  <c r="CZ5" i="14"/>
  <c r="DA5" i="14"/>
  <c r="DB5" i="14"/>
  <c r="DC5" i="14"/>
  <c r="DE5" i="14"/>
  <c r="DF5" i="14"/>
  <c r="NI5" i="14"/>
  <c r="NJ5" i="14"/>
  <c r="NK5" i="14"/>
  <c r="NM5" i="14"/>
  <c r="NN5" i="14"/>
  <c r="NP5" i="14"/>
  <c r="NQ5" i="14"/>
  <c r="NR5" i="14"/>
  <c r="NS5" i="14"/>
  <c r="NT5" i="14"/>
  <c r="NU5" i="14"/>
  <c r="NV5" i="14"/>
  <c r="NW5" i="14"/>
  <c r="OL5" i="14" s="1"/>
  <c r="NX5" i="14"/>
  <c r="NY5" i="14"/>
  <c r="NZ5" i="14"/>
  <c r="OA5" i="14"/>
  <c r="OB5" i="14"/>
  <c r="ON5" i="14" s="1"/>
  <c r="OC5" i="14"/>
  <c r="OD5" i="14"/>
  <c r="OE5" i="14"/>
  <c r="OF5" i="14"/>
  <c r="OG5" i="14"/>
  <c r="OQ5" i="14" s="1"/>
  <c r="OH5" i="14"/>
  <c r="OI5" i="14"/>
  <c r="E21" i="12" l="1"/>
  <c r="O21" i="12"/>
  <c r="P21" i="12"/>
  <c r="M13" i="12"/>
  <c r="O20" i="12"/>
  <c r="P20" i="12"/>
  <c r="E20" i="12"/>
  <c r="M14" i="12"/>
  <c r="O16" i="6"/>
  <c r="P16" i="6"/>
  <c r="E16" i="6"/>
  <c r="O13" i="6"/>
  <c r="P13" i="6"/>
  <c r="E13" i="6"/>
  <c r="O21" i="6"/>
  <c r="P21" i="6"/>
  <c r="E21" i="6"/>
  <c r="E15" i="6"/>
  <c r="O15" i="6"/>
  <c r="P15" i="6"/>
  <c r="P12" i="8"/>
  <c r="O12" i="8"/>
  <c r="E24" i="14"/>
  <c r="U23" i="14"/>
  <c r="T23" i="14"/>
  <c r="DJ9" i="14"/>
  <c r="T24" i="14"/>
  <c r="E22" i="4"/>
  <c r="U22" i="4"/>
  <c r="U17" i="4"/>
  <c r="T17" i="4"/>
  <c r="M16" i="14"/>
  <c r="N16" i="14" s="1"/>
  <c r="L16" i="14"/>
  <c r="M11" i="12"/>
  <c r="N13" i="12"/>
  <c r="P13" i="12" s="1"/>
  <c r="N14" i="12"/>
  <c r="O14" i="12" s="1"/>
  <c r="M17" i="14"/>
  <c r="DH17" i="14" s="1"/>
  <c r="L9" i="14"/>
  <c r="N9" i="14" s="1"/>
  <c r="L17" i="14"/>
  <c r="K9" i="12"/>
  <c r="CE9" i="12"/>
  <c r="CE8" i="12"/>
  <c r="K8" i="12"/>
  <c r="P11" i="12"/>
  <c r="O11" i="12"/>
  <c r="J17" i="12"/>
  <c r="J19" i="12"/>
  <c r="M22" i="12"/>
  <c r="CF22" i="12"/>
  <c r="N22" i="12" s="1"/>
  <c r="K10" i="12"/>
  <c r="CE10" i="12"/>
  <c r="J18" i="6"/>
  <c r="J17" i="6"/>
  <c r="J20" i="6"/>
  <c r="CE12" i="6"/>
  <c r="L12" i="6"/>
  <c r="K12" i="6"/>
  <c r="K9" i="6"/>
  <c r="L9" i="6"/>
  <c r="CE9" i="6"/>
  <c r="K14" i="6"/>
  <c r="L14" i="6"/>
  <c r="CE14" i="6"/>
  <c r="M22" i="14"/>
  <c r="DH22" i="14" s="1"/>
  <c r="M16" i="4"/>
  <c r="DH16" i="4" s="1"/>
  <c r="L16" i="4"/>
  <c r="L22" i="14"/>
  <c r="S16" i="4"/>
  <c r="T16" i="4" s="1"/>
  <c r="E10" i="8"/>
  <c r="O10" i="8"/>
  <c r="P10" i="8"/>
  <c r="E11" i="8"/>
  <c r="O11" i="8"/>
  <c r="P11" i="8"/>
  <c r="E9" i="8"/>
  <c r="O9" i="8"/>
  <c r="P9" i="8"/>
  <c r="E7" i="8"/>
  <c r="A7" i="8" s="1"/>
  <c r="O7" i="8"/>
  <c r="P7" i="8"/>
  <c r="E9" i="7"/>
  <c r="O9" i="7"/>
  <c r="P9" i="7"/>
  <c r="E7" i="7"/>
  <c r="O7" i="7"/>
  <c r="P7" i="7"/>
  <c r="E4" i="7"/>
  <c r="O4" i="7"/>
  <c r="P4" i="7"/>
  <c r="E22" i="14"/>
  <c r="T22" i="14"/>
  <c r="U22" i="14"/>
  <c r="E9" i="14"/>
  <c r="T9" i="14"/>
  <c r="U9" i="14"/>
  <c r="DH9" i="14"/>
  <c r="S16" i="14"/>
  <c r="E16" i="14" s="1"/>
  <c r="E17" i="14"/>
  <c r="T17" i="14"/>
  <c r="U17" i="14"/>
  <c r="DH16" i="14"/>
  <c r="NL10" i="4"/>
  <c r="NO10" i="4" s="1"/>
  <c r="LX19" i="12"/>
  <c r="MT12" i="6"/>
  <c r="H12" i="6"/>
  <c r="I12" i="6" s="1"/>
  <c r="A12" i="6"/>
  <c r="MR20" i="6"/>
  <c r="MP20" i="6"/>
  <c r="MT9" i="6"/>
  <c r="H9" i="6"/>
  <c r="I9" i="6" s="1"/>
  <c r="A9" i="6"/>
  <c r="MT14" i="6"/>
  <c r="H14" i="6"/>
  <c r="I14" i="6" s="1"/>
  <c r="A14" i="6"/>
  <c r="OO10" i="4"/>
  <c r="DD10" i="4"/>
  <c r="DG10" i="4" s="1"/>
  <c r="OM10" i="4"/>
  <c r="OK10" i="4"/>
  <c r="O10" i="4"/>
  <c r="P10" i="4" s="1"/>
  <c r="G10" i="4"/>
  <c r="Q10" i="4"/>
  <c r="H10" i="4"/>
  <c r="MR19" i="12"/>
  <c r="CD19" i="12"/>
  <c r="MP19" i="12"/>
  <c r="F19" i="12"/>
  <c r="MS19" i="12"/>
  <c r="MQ19" i="12"/>
  <c r="G19" i="12"/>
  <c r="LX20" i="6"/>
  <c r="MS20" i="6"/>
  <c r="MQ20" i="6"/>
  <c r="CD20" i="6"/>
  <c r="F20" i="6"/>
  <c r="G20" i="6"/>
  <c r="LX17" i="6"/>
  <c r="CD17" i="6"/>
  <c r="MS17" i="6"/>
  <c r="MQ17" i="6"/>
  <c r="MR17" i="6"/>
  <c r="MP17" i="6"/>
  <c r="F17" i="6"/>
  <c r="G17" i="6"/>
  <c r="NL6" i="4"/>
  <c r="NO6" i="4" s="1"/>
  <c r="DD5" i="14"/>
  <c r="DG5" i="14" s="1"/>
  <c r="DD8" i="4"/>
  <c r="DG8" i="4" s="1"/>
  <c r="DD6" i="4"/>
  <c r="DG6" i="4" s="1"/>
  <c r="MP10" i="12"/>
  <c r="CD9" i="12"/>
  <c r="L9" i="12" s="1"/>
  <c r="CD10" i="12"/>
  <c r="MR9" i="12"/>
  <c r="MQ9" i="12"/>
  <c r="LX9" i="12"/>
  <c r="MS9" i="12"/>
  <c r="MP9" i="12"/>
  <c r="F9" i="12"/>
  <c r="G9" i="12"/>
  <c r="LX10" i="12"/>
  <c r="MQ10" i="12"/>
  <c r="MR10" i="12"/>
  <c r="F10" i="12"/>
  <c r="MS10" i="12"/>
  <c r="G10" i="12"/>
  <c r="LX17" i="12"/>
  <c r="MR17" i="12"/>
  <c r="CD17" i="12"/>
  <c r="MS17" i="12"/>
  <c r="MQ17" i="12"/>
  <c r="MP17" i="12"/>
  <c r="F17" i="12"/>
  <c r="G17" i="12"/>
  <c r="MR8" i="12"/>
  <c r="LX8" i="12"/>
  <c r="CD8" i="12"/>
  <c r="MS8" i="12"/>
  <c r="MQ8" i="12"/>
  <c r="MP8" i="12"/>
  <c r="F8" i="12"/>
  <c r="G8" i="12"/>
  <c r="MS18" i="6"/>
  <c r="MR18" i="6"/>
  <c r="LX18" i="6"/>
  <c r="CD18" i="6"/>
  <c r="MQ18" i="6"/>
  <c r="MP18" i="6"/>
  <c r="F18" i="6"/>
  <c r="G18" i="6"/>
  <c r="OO6" i="4"/>
  <c r="Q6" i="4"/>
  <c r="DK6" i="4" s="1"/>
  <c r="OM6" i="4"/>
  <c r="OK6" i="4"/>
  <c r="G6" i="4"/>
  <c r="H6" i="4"/>
  <c r="O6" i="4"/>
  <c r="NL8" i="4"/>
  <c r="NO8" i="4" s="1"/>
  <c r="DD4" i="4"/>
  <c r="DG4" i="4" s="1"/>
  <c r="NL4" i="4"/>
  <c r="NO4" i="4" s="1"/>
  <c r="OO8" i="4"/>
  <c r="DD5" i="4"/>
  <c r="DG5" i="4" s="1"/>
  <c r="OM8" i="4"/>
  <c r="OK8" i="4"/>
  <c r="G8" i="4"/>
  <c r="J8" i="4" s="1"/>
  <c r="Q8" i="4"/>
  <c r="H8" i="4"/>
  <c r="O8" i="4"/>
  <c r="OO4" i="4"/>
  <c r="OM4" i="4"/>
  <c r="OK4" i="4"/>
  <c r="G4" i="4"/>
  <c r="J4" i="4" s="1"/>
  <c r="Q4" i="4"/>
  <c r="H4" i="4"/>
  <c r="O4" i="4"/>
  <c r="NL5" i="4"/>
  <c r="NO5" i="4" s="1"/>
  <c r="OO5" i="4"/>
  <c r="OK5" i="4"/>
  <c r="O5" i="4"/>
  <c r="P5" i="4" s="1"/>
  <c r="G5" i="4"/>
  <c r="F5" i="4" s="1"/>
  <c r="Q5" i="4"/>
  <c r="H5" i="4"/>
  <c r="OM5" i="4"/>
  <c r="NL5" i="14"/>
  <c r="NO5" i="14" s="1"/>
  <c r="OO5" i="14"/>
  <c r="OM5" i="14"/>
  <c r="OK5" i="14"/>
  <c r="G5" i="14"/>
  <c r="Q5" i="14"/>
  <c r="H5" i="14"/>
  <c r="O5" i="14"/>
  <c r="O13" i="12" l="1"/>
  <c r="N22" i="14"/>
  <c r="P14" i="12"/>
  <c r="N17" i="14"/>
  <c r="N16" i="4"/>
  <c r="L10" i="12"/>
  <c r="CF10" i="12" s="1"/>
  <c r="N10" i="12" s="1"/>
  <c r="L8" i="12"/>
  <c r="M8" i="12" s="1"/>
  <c r="CF9" i="12"/>
  <c r="N9" i="12" s="1"/>
  <c r="M9" i="12"/>
  <c r="CE19" i="12"/>
  <c r="K19" i="12"/>
  <c r="L19" i="12"/>
  <c r="P22" i="12"/>
  <c r="O22" i="12"/>
  <c r="CE17" i="12"/>
  <c r="K17" i="12"/>
  <c r="L17" i="12"/>
  <c r="CE17" i="6"/>
  <c r="K17" i="6"/>
  <c r="L17" i="6"/>
  <c r="M12" i="6"/>
  <c r="CF12" i="6"/>
  <c r="N12" i="6" s="1"/>
  <c r="M9" i="6"/>
  <c r="CF9" i="6"/>
  <c r="M14" i="6"/>
  <c r="CF14" i="6"/>
  <c r="CE20" i="6"/>
  <c r="K20" i="6"/>
  <c r="L20" i="6"/>
  <c r="K18" i="6"/>
  <c r="CE18" i="6"/>
  <c r="L18" i="6"/>
  <c r="K10" i="4"/>
  <c r="M10" i="4" s="1"/>
  <c r="DI10" i="4"/>
  <c r="E13" i="12"/>
  <c r="E16" i="4"/>
  <c r="A16" i="4" s="1" a="1"/>
  <c r="A16" i="4" s="1"/>
  <c r="U16" i="4"/>
  <c r="U16" i="14"/>
  <c r="T16" i="14"/>
  <c r="E22" i="12"/>
  <c r="E14" i="12"/>
  <c r="MT20" i="6"/>
  <c r="J10" i="4"/>
  <c r="OP10" i="4"/>
  <c r="F10" i="4"/>
  <c r="I10" i="4"/>
  <c r="DK10" i="4"/>
  <c r="R10" i="4"/>
  <c r="MT19" i="12"/>
  <c r="A19" i="12"/>
  <c r="H19" i="12"/>
  <c r="I19" i="12" s="1"/>
  <c r="H20" i="6"/>
  <c r="I20" i="6" s="1"/>
  <c r="MT17" i="6"/>
  <c r="H17" i="6"/>
  <c r="I17" i="6" s="1"/>
  <c r="MT8" i="12"/>
  <c r="MT17" i="12"/>
  <c r="K5" i="14"/>
  <c r="L5" i="14" s="1"/>
  <c r="K6" i="4"/>
  <c r="L6" i="4" s="1"/>
  <c r="K8" i="4"/>
  <c r="L8" i="4" s="1"/>
  <c r="MT9" i="12"/>
  <c r="H9" i="12"/>
  <c r="I9" i="12" s="1"/>
  <c r="MT10" i="12"/>
  <c r="H10" i="12"/>
  <c r="I10" i="12" s="1"/>
  <c r="H17" i="12"/>
  <c r="I17" i="12" s="1"/>
  <c r="H8" i="12"/>
  <c r="I8" i="12" s="1"/>
  <c r="MT18" i="6"/>
  <c r="H18" i="6"/>
  <c r="I18" i="6" s="1"/>
  <c r="OP6" i="4"/>
  <c r="K5" i="4"/>
  <c r="M5" i="4" s="1"/>
  <c r="I6" i="4"/>
  <c r="R6" i="4"/>
  <c r="F6" i="4"/>
  <c r="J6" i="4"/>
  <c r="P6" i="4"/>
  <c r="DI6" i="4"/>
  <c r="S6" i="4" s="1"/>
  <c r="OP8" i="4"/>
  <c r="F8" i="4"/>
  <c r="DK8" i="4"/>
  <c r="R8" i="4"/>
  <c r="I8" i="4"/>
  <c r="P8" i="4"/>
  <c r="DI8" i="4"/>
  <c r="K4" i="4"/>
  <c r="M4" i="4" s="1"/>
  <c r="DI5" i="4"/>
  <c r="OP4" i="4"/>
  <c r="F4" i="4"/>
  <c r="DK4" i="4"/>
  <c r="R4" i="4"/>
  <c r="I4" i="4"/>
  <c r="P4" i="4"/>
  <c r="DI4" i="4"/>
  <c r="OP5" i="4"/>
  <c r="J5" i="4"/>
  <c r="I5" i="4"/>
  <c r="DK5" i="4"/>
  <c r="R5" i="4"/>
  <c r="J5" i="14"/>
  <c r="OP5" i="14"/>
  <c r="F5" i="14"/>
  <c r="DK5" i="14"/>
  <c r="R5" i="14"/>
  <c r="I5" i="14"/>
  <c r="P5" i="14"/>
  <c r="DI5" i="14"/>
  <c r="M10" i="12" l="1"/>
  <c r="S10" i="4"/>
  <c r="E10" i="4" s="1"/>
  <c r="L10" i="4"/>
  <c r="N10" i="4" s="1"/>
  <c r="DJ10" i="4"/>
  <c r="CF19" i="12"/>
  <c r="N19" i="12" s="1"/>
  <c r="M19" i="12"/>
  <c r="M17" i="12"/>
  <c r="CF17" i="12"/>
  <c r="N17" i="12" s="1"/>
  <c r="O10" i="12"/>
  <c r="P10" i="12"/>
  <c r="O9" i="12"/>
  <c r="P9" i="12"/>
  <c r="M18" i="6"/>
  <c r="CF18" i="6"/>
  <c r="CF17" i="6"/>
  <c r="M17" i="6"/>
  <c r="CF20" i="6"/>
  <c r="N20" i="6" s="1"/>
  <c r="M20" i="6"/>
  <c r="O12" i="6"/>
  <c r="P12" i="6"/>
  <c r="E12" i="6"/>
  <c r="N9" i="6"/>
  <c r="E11" i="12"/>
  <c r="N14" i="6"/>
  <c r="DH10" i="4"/>
  <c r="DJ5" i="4"/>
  <c r="M6" i="4"/>
  <c r="DH6" i="4" s="1"/>
  <c r="DJ6" i="4"/>
  <c r="M5" i="14"/>
  <c r="DH5" i="14" s="1"/>
  <c r="DJ5" i="14"/>
  <c r="DJ8" i="4"/>
  <c r="M8" i="4"/>
  <c r="N8" i="4" s="1"/>
  <c r="L5" i="4"/>
  <c r="N5" i="4" s="1"/>
  <c r="E6" i="4"/>
  <c r="T6" i="4"/>
  <c r="U6" i="4"/>
  <c r="L4" i="4"/>
  <c r="N4" i="4" s="1"/>
  <c r="DJ4" i="4"/>
  <c r="S5" i="4"/>
  <c r="E5" i="4" s="1"/>
  <c r="S4" i="4"/>
  <c r="E4" i="4" s="1"/>
  <c r="S8" i="4"/>
  <c r="E8" i="4" s="1"/>
  <c r="DH4" i="4"/>
  <c r="DH5" i="4"/>
  <c r="S5" i="14"/>
  <c r="E5" i="14" s="1"/>
  <c r="U10" i="4" l="1"/>
  <c r="T10" i="4"/>
  <c r="O17" i="12"/>
  <c r="P17" i="12"/>
  <c r="O19" i="12"/>
  <c r="P19" i="12"/>
  <c r="CF8" i="12"/>
  <c r="N8" i="12" s="1"/>
  <c r="O14" i="6"/>
  <c r="P14" i="6"/>
  <c r="O9" i="6"/>
  <c r="P9" i="6"/>
  <c r="P20" i="6"/>
  <c r="O20" i="6"/>
  <c r="N18" i="6"/>
  <c r="N17" i="6"/>
  <c r="E9" i="6"/>
  <c r="N6" i="4"/>
  <c r="E14" i="6"/>
  <c r="E20" i="6"/>
  <c r="A20" i="6" s="1"/>
  <c r="E19" i="12"/>
  <c r="N5" i="14"/>
  <c r="DH8" i="4"/>
  <c r="E9" i="12"/>
  <c r="U5" i="4"/>
  <c r="T5" i="4"/>
  <c r="T4" i="4"/>
  <c r="U4" i="4"/>
  <c r="U8" i="4"/>
  <c r="T8" i="4"/>
  <c r="U5" i="14"/>
  <c r="T5" i="14"/>
  <c r="O8" i="12" l="1"/>
  <c r="P8" i="12"/>
  <c r="O17" i="6"/>
  <c r="P17" i="6"/>
  <c r="O18" i="6"/>
  <c r="P18" i="6"/>
  <c r="E17" i="6"/>
  <c r="E8" i="12"/>
  <c r="E17" i="12"/>
  <c r="A17" i="12" s="1"/>
  <c r="E10" i="12"/>
  <c r="E18" i="6"/>
  <c r="BZ12" i="12" l="1"/>
  <c r="CA12" i="12"/>
  <c r="J12" i="12" s="1"/>
  <c r="CB12" i="12"/>
  <c r="CC12" i="12"/>
  <c r="LT12" i="12"/>
  <c r="LU12" i="12"/>
  <c r="LV12" i="12"/>
  <c r="LW12" i="12"/>
  <c r="LY12" i="12"/>
  <c r="LZ12" i="12"/>
  <c r="MA12" i="12"/>
  <c r="MB12" i="12"/>
  <c r="MC12" i="12"/>
  <c r="MD12" i="12"/>
  <c r="ME12" i="12"/>
  <c r="MF12" i="12"/>
  <c r="MG12" i="12"/>
  <c r="MH12" i="12"/>
  <c r="MI12" i="12"/>
  <c r="MJ12" i="12"/>
  <c r="MK12" i="12"/>
  <c r="ML12" i="12"/>
  <c r="MM12" i="12"/>
  <c r="MN12" i="12"/>
  <c r="BZ16" i="12"/>
  <c r="CA16" i="12"/>
  <c r="J16" i="12" s="1"/>
  <c r="CB16" i="12"/>
  <c r="CC16" i="12"/>
  <c r="LT16" i="12"/>
  <c r="LU16" i="12"/>
  <c r="LV16" i="12"/>
  <c r="LW16" i="12"/>
  <c r="LY16" i="12"/>
  <c r="LZ16" i="12"/>
  <c r="MA16" i="12"/>
  <c r="MB16" i="12"/>
  <c r="MC16" i="12"/>
  <c r="MD16" i="12"/>
  <c r="ME16" i="12"/>
  <c r="MF16" i="12"/>
  <c r="MG16" i="12"/>
  <c r="MH16" i="12"/>
  <c r="MI16" i="12"/>
  <c r="MJ16" i="12"/>
  <c r="MK16" i="12"/>
  <c r="ML16" i="12"/>
  <c r="MM16" i="12"/>
  <c r="MN16" i="12"/>
  <c r="BZ7" i="12"/>
  <c r="CA7" i="12"/>
  <c r="J7" i="12" s="1"/>
  <c r="CB7" i="12"/>
  <c r="CC7" i="12"/>
  <c r="LT7" i="12"/>
  <c r="LU7" i="12"/>
  <c r="LV7" i="12"/>
  <c r="LW7" i="12"/>
  <c r="LY7" i="12"/>
  <c r="LZ7" i="12"/>
  <c r="MA7" i="12"/>
  <c r="MB7" i="12"/>
  <c r="MC7" i="12"/>
  <c r="MD7" i="12"/>
  <c r="ME7" i="12"/>
  <c r="MF7" i="12"/>
  <c r="MG7" i="12"/>
  <c r="MH7" i="12"/>
  <c r="MI7" i="12"/>
  <c r="MJ7" i="12"/>
  <c r="MK7" i="12"/>
  <c r="ML7" i="12"/>
  <c r="MM7" i="12"/>
  <c r="MN7" i="12"/>
  <c r="BZ4" i="12"/>
  <c r="CA4" i="12"/>
  <c r="J4" i="12" s="1"/>
  <c r="CB4" i="12"/>
  <c r="CC4" i="12"/>
  <c r="LT4" i="12"/>
  <c r="LU4" i="12"/>
  <c r="LV4" i="12"/>
  <c r="LW4" i="12"/>
  <c r="LY4" i="12"/>
  <c r="LZ4" i="12"/>
  <c r="MA4" i="12"/>
  <c r="MB4" i="12"/>
  <c r="MC4" i="12"/>
  <c r="MD4" i="12"/>
  <c r="ME4" i="12"/>
  <c r="MF4" i="12"/>
  <c r="MG4" i="12"/>
  <c r="MH4" i="12"/>
  <c r="MI4" i="12"/>
  <c r="MJ4" i="12"/>
  <c r="MK4" i="12"/>
  <c r="ML4" i="12"/>
  <c r="MM4" i="12"/>
  <c r="MN4" i="12"/>
  <c r="BZ6" i="12"/>
  <c r="CA6" i="12"/>
  <c r="J6" i="12" s="1"/>
  <c r="CB6" i="12"/>
  <c r="CC6" i="12"/>
  <c r="LT6" i="12"/>
  <c r="LU6" i="12"/>
  <c r="LV6" i="12"/>
  <c r="LW6" i="12"/>
  <c r="LY6" i="12"/>
  <c r="LZ6" i="12"/>
  <c r="MA6" i="12"/>
  <c r="MB6" i="12"/>
  <c r="MC6" i="12"/>
  <c r="MD6" i="12"/>
  <c r="ME6" i="12"/>
  <c r="MF6" i="12"/>
  <c r="MG6" i="12"/>
  <c r="MH6" i="12"/>
  <c r="MI6" i="12"/>
  <c r="MJ6" i="12"/>
  <c r="MK6" i="12"/>
  <c r="ML6" i="12"/>
  <c r="MM6" i="12"/>
  <c r="MN6" i="12"/>
  <c r="BZ15" i="12"/>
  <c r="CA15" i="12"/>
  <c r="J15" i="12" s="1"/>
  <c r="CB15" i="12"/>
  <c r="CC15" i="12"/>
  <c r="LT15" i="12"/>
  <c r="LU15" i="12"/>
  <c r="LV15" i="12"/>
  <c r="LW15" i="12"/>
  <c r="LY15" i="12"/>
  <c r="LZ15" i="12"/>
  <c r="MA15" i="12"/>
  <c r="MB15" i="12"/>
  <c r="MC15" i="12"/>
  <c r="MD15" i="12"/>
  <c r="ME15" i="12"/>
  <c r="MF15" i="12"/>
  <c r="MG15" i="12"/>
  <c r="MH15" i="12"/>
  <c r="MI15" i="12"/>
  <c r="MJ15" i="12"/>
  <c r="MK15" i="12"/>
  <c r="ML15" i="12"/>
  <c r="MM15" i="12"/>
  <c r="MN15" i="12"/>
  <c r="BZ19" i="6"/>
  <c r="CA19" i="6"/>
  <c r="J19" i="6" s="1"/>
  <c r="CB19" i="6"/>
  <c r="CC19" i="6"/>
  <c r="LT19" i="6"/>
  <c r="LU19" i="6"/>
  <c r="LV19" i="6"/>
  <c r="LW19" i="6"/>
  <c r="LY19" i="6"/>
  <c r="LZ19" i="6"/>
  <c r="MA19" i="6"/>
  <c r="MB19" i="6"/>
  <c r="MC19" i="6"/>
  <c r="MD19" i="6"/>
  <c r="ME19" i="6"/>
  <c r="MF19" i="6"/>
  <c r="MG19" i="6"/>
  <c r="MH19" i="6"/>
  <c r="MI19" i="6"/>
  <c r="MJ19" i="6"/>
  <c r="MK19" i="6"/>
  <c r="ML19" i="6"/>
  <c r="MM19" i="6"/>
  <c r="MN19" i="6"/>
  <c r="BZ11" i="6"/>
  <c r="CA11" i="6"/>
  <c r="J11" i="6" s="1"/>
  <c r="CB11" i="6"/>
  <c r="CC11" i="6"/>
  <c r="LT11" i="6"/>
  <c r="LU11" i="6"/>
  <c r="LV11" i="6"/>
  <c r="LW11" i="6"/>
  <c r="LY11" i="6"/>
  <c r="LZ11" i="6"/>
  <c r="MA11" i="6"/>
  <c r="MB11" i="6"/>
  <c r="MC11" i="6"/>
  <c r="MD11" i="6"/>
  <c r="ME11" i="6"/>
  <c r="MF11" i="6"/>
  <c r="MG11" i="6"/>
  <c r="MH11" i="6"/>
  <c r="MI11" i="6"/>
  <c r="MJ11" i="6"/>
  <c r="MK11" i="6"/>
  <c r="ML11" i="6"/>
  <c r="MM11" i="6"/>
  <c r="MN11" i="6"/>
  <c r="BZ10" i="6"/>
  <c r="CA10" i="6"/>
  <c r="J10" i="6" s="1"/>
  <c r="CB10" i="6"/>
  <c r="CC10" i="6"/>
  <c r="LT10" i="6"/>
  <c r="LU10" i="6"/>
  <c r="LV10" i="6"/>
  <c r="LW10" i="6"/>
  <c r="LY10" i="6"/>
  <c r="LZ10" i="6"/>
  <c r="MA10" i="6"/>
  <c r="MB10" i="6"/>
  <c r="MC10" i="6"/>
  <c r="MD10" i="6"/>
  <c r="ME10" i="6"/>
  <c r="MF10" i="6"/>
  <c r="MG10" i="6"/>
  <c r="MH10" i="6"/>
  <c r="MI10" i="6"/>
  <c r="MJ10" i="6"/>
  <c r="MK10" i="6"/>
  <c r="ML10" i="6"/>
  <c r="MM10" i="6"/>
  <c r="MN10" i="6"/>
  <c r="BZ6" i="7"/>
  <c r="CA6" i="7"/>
  <c r="CB6" i="7"/>
  <c r="CC6" i="7"/>
  <c r="LT6" i="7"/>
  <c r="LU6" i="7"/>
  <c r="LV6" i="7"/>
  <c r="LW6" i="7"/>
  <c r="LY6" i="7"/>
  <c r="LZ6" i="7"/>
  <c r="MA6" i="7"/>
  <c r="MB6" i="7"/>
  <c r="MC6" i="7"/>
  <c r="MD6" i="7"/>
  <c r="ME6" i="7"/>
  <c r="MF6" i="7"/>
  <c r="MG6" i="7"/>
  <c r="MH6" i="7"/>
  <c r="MI6" i="7"/>
  <c r="MJ6" i="7"/>
  <c r="MK6" i="7"/>
  <c r="ML6" i="7"/>
  <c r="MM6" i="7"/>
  <c r="MN6" i="7"/>
  <c r="CY12" i="14"/>
  <c r="CZ12" i="14"/>
  <c r="DA12" i="14"/>
  <c r="DB12" i="14"/>
  <c r="DC12" i="14"/>
  <c r="DE12" i="14"/>
  <c r="DF12" i="14"/>
  <c r="NI12" i="14"/>
  <c r="NJ12" i="14"/>
  <c r="NK12" i="14"/>
  <c r="NM12" i="14"/>
  <c r="NN12" i="14"/>
  <c r="NP12" i="14"/>
  <c r="NQ12" i="14"/>
  <c r="NR12" i="14"/>
  <c r="NS12" i="14"/>
  <c r="NT12" i="14"/>
  <c r="NU12" i="14"/>
  <c r="NV12" i="14"/>
  <c r="NW12" i="14"/>
  <c r="OL12" i="14" s="1"/>
  <c r="NX12" i="14"/>
  <c r="NY12" i="14"/>
  <c r="NZ12" i="14"/>
  <c r="OA12" i="14"/>
  <c r="OB12" i="14"/>
  <c r="OC12" i="14"/>
  <c r="OD12" i="14"/>
  <c r="OE12" i="14"/>
  <c r="OF12" i="14"/>
  <c r="OG12" i="14"/>
  <c r="OQ12" i="14" s="1"/>
  <c r="OH12" i="14"/>
  <c r="OI12" i="14"/>
  <c r="ON12" i="14"/>
  <c r="CY15" i="14"/>
  <c r="CZ15" i="14"/>
  <c r="DA15" i="14"/>
  <c r="DB15" i="14"/>
  <c r="DC15" i="14"/>
  <c r="DE15" i="14"/>
  <c r="DF15" i="14"/>
  <c r="NI15" i="14"/>
  <c r="NJ15" i="14"/>
  <c r="NK15" i="14"/>
  <c r="NM15" i="14"/>
  <c r="NN15" i="14"/>
  <c r="NP15" i="14"/>
  <c r="NQ15" i="14"/>
  <c r="NR15" i="14"/>
  <c r="NS15" i="14"/>
  <c r="NT15" i="14"/>
  <c r="NU15" i="14"/>
  <c r="NV15" i="14"/>
  <c r="NW15" i="14"/>
  <c r="OL15" i="14" s="1"/>
  <c r="NX15" i="14"/>
  <c r="NY15" i="14"/>
  <c r="NZ15" i="14"/>
  <c r="OA15" i="14"/>
  <c r="OB15" i="14"/>
  <c r="OC15" i="14"/>
  <c r="OD15" i="14"/>
  <c r="OE15" i="14"/>
  <c r="OF15" i="14"/>
  <c r="OG15" i="14"/>
  <c r="OQ15" i="14" s="1"/>
  <c r="OH15" i="14"/>
  <c r="OI15" i="14"/>
  <c r="ON15" i="14"/>
  <c r="CY7" i="14"/>
  <c r="CZ7" i="14"/>
  <c r="DA7" i="14"/>
  <c r="DB7" i="14"/>
  <c r="DC7" i="14"/>
  <c r="DE7" i="14"/>
  <c r="DF7" i="14"/>
  <c r="NI7" i="14"/>
  <c r="NJ7" i="14"/>
  <c r="NK7" i="14"/>
  <c r="NM7" i="14"/>
  <c r="NN7" i="14"/>
  <c r="NP7" i="14"/>
  <c r="NQ7" i="14"/>
  <c r="NR7" i="14"/>
  <c r="NS7" i="14"/>
  <c r="NT7" i="14"/>
  <c r="NU7" i="14"/>
  <c r="NV7" i="14"/>
  <c r="NW7" i="14"/>
  <c r="OL7" i="14" s="1"/>
  <c r="NX7" i="14"/>
  <c r="NY7" i="14"/>
  <c r="NZ7" i="14"/>
  <c r="OA7" i="14"/>
  <c r="OB7" i="14"/>
  <c r="ON7" i="14" s="1"/>
  <c r="OC7" i="14"/>
  <c r="OD7" i="14"/>
  <c r="OE7" i="14"/>
  <c r="OF7" i="14"/>
  <c r="OG7" i="14"/>
  <c r="OQ7" i="14" s="1"/>
  <c r="OH7" i="14"/>
  <c r="OI7" i="14"/>
  <c r="CY10" i="14"/>
  <c r="CZ10" i="14"/>
  <c r="DA10" i="14"/>
  <c r="DB10" i="14"/>
  <c r="DC10" i="14"/>
  <c r="DE10" i="14"/>
  <c r="DF10" i="14"/>
  <c r="NI10" i="14"/>
  <c r="NJ10" i="14"/>
  <c r="NK10" i="14"/>
  <c r="NM10" i="14"/>
  <c r="NN10" i="14"/>
  <c r="NP10" i="14"/>
  <c r="NQ10" i="14"/>
  <c r="NR10" i="14"/>
  <c r="NS10" i="14"/>
  <c r="NT10" i="14"/>
  <c r="NU10" i="14"/>
  <c r="NV10" i="14"/>
  <c r="NW10" i="14"/>
  <c r="OL10" i="14" s="1"/>
  <c r="NX10" i="14"/>
  <c r="NY10" i="14"/>
  <c r="NZ10" i="14"/>
  <c r="OA10" i="14"/>
  <c r="OB10" i="14"/>
  <c r="ON10" i="14" s="1"/>
  <c r="OC10" i="14"/>
  <c r="OD10" i="14"/>
  <c r="OE10" i="14"/>
  <c r="OF10" i="14"/>
  <c r="OG10" i="14"/>
  <c r="OQ10" i="14" s="1"/>
  <c r="OH10" i="14"/>
  <c r="OI10" i="14"/>
  <c r="CY13" i="14"/>
  <c r="CZ13" i="14"/>
  <c r="DA13" i="14"/>
  <c r="DB13" i="14"/>
  <c r="DC13" i="14"/>
  <c r="DE13" i="14"/>
  <c r="DF13" i="14"/>
  <c r="NI13" i="14"/>
  <c r="NJ13" i="14"/>
  <c r="NK13" i="14"/>
  <c r="NM13" i="14"/>
  <c r="NN13" i="14"/>
  <c r="NP13" i="14"/>
  <c r="NQ13" i="14"/>
  <c r="NR13" i="14"/>
  <c r="NS13" i="14"/>
  <c r="NT13" i="14"/>
  <c r="NU13" i="14"/>
  <c r="NV13" i="14"/>
  <c r="NW13" i="14"/>
  <c r="OL13" i="14" s="1"/>
  <c r="NX13" i="14"/>
  <c r="NY13" i="14"/>
  <c r="NZ13" i="14"/>
  <c r="OA13" i="14"/>
  <c r="OB13" i="14"/>
  <c r="ON13" i="14" s="1"/>
  <c r="OC13" i="14"/>
  <c r="OD13" i="14"/>
  <c r="OE13" i="14"/>
  <c r="OF13" i="14"/>
  <c r="OG13" i="14"/>
  <c r="OQ13" i="14" s="1"/>
  <c r="OH13" i="14"/>
  <c r="OI13" i="14"/>
  <c r="CY11" i="14"/>
  <c r="CZ11" i="14"/>
  <c r="DA11" i="14"/>
  <c r="DB11" i="14"/>
  <c r="DC11" i="14"/>
  <c r="DE11" i="14"/>
  <c r="DF11" i="14"/>
  <c r="NI11" i="14"/>
  <c r="NJ11" i="14"/>
  <c r="NK11" i="14"/>
  <c r="NM11" i="14"/>
  <c r="NN11" i="14"/>
  <c r="NP11" i="14"/>
  <c r="NQ11" i="14"/>
  <c r="NR11" i="14"/>
  <c r="NS11" i="14"/>
  <c r="NT11" i="14"/>
  <c r="NU11" i="14"/>
  <c r="NV11" i="14"/>
  <c r="NW11" i="14"/>
  <c r="OL11" i="14" s="1"/>
  <c r="NX11" i="14"/>
  <c r="NY11" i="14"/>
  <c r="NZ11" i="14"/>
  <c r="OA11" i="14"/>
  <c r="OB11" i="14"/>
  <c r="ON11" i="14" s="1"/>
  <c r="OC11" i="14"/>
  <c r="OD11" i="14"/>
  <c r="OE11" i="14"/>
  <c r="OF11" i="14"/>
  <c r="OG11" i="14"/>
  <c r="OQ11" i="14" s="1"/>
  <c r="OH11" i="14"/>
  <c r="OI11" i="14"/>
  <c r="CY19" i="14"/>
  <c r="CZ19" i="14"/>
  <c r="DA19" i="14"/>
  <c r="DB19" i="14"/>
  <c r="DC19" i="14"/>
  <c r="DE19" i="14"/>
  <c r="DF19" i="14"/>
  <c r="NI19" i="14"/>
  <c r="NJ19" i="14"/>
  <c r="NK19" i="14"/>
  <c r="NM19" i="14"/>
  <c r="NN19" i="14"/>
  <c r="NP19" i="14"/>
  <c r="NQ19" i="14"/>
  <c r="NR19" i="14"/>
  <c r="NS19" i="14"/>
  <c r="NT19" i="14"/>
  <c r="NU19" i="14"/>
  <c r="NV19" i="14"/>
  <c r="NW19" i="14"/>
  <c r="OL19" i="14" s="1"/>
  <c r="NX19" i="14"/>
  <c r="NY19" i="14"/>
  <c r="NZ19" i="14"/>
  <c r="OA19" i="14"/>
  <c r="OB19" i="14"/>
  <c r="ON19" i="14" s="1"/>
  <c r="OC19" i="14"/>
  <c r="OD19" i="14"/>
  <c r="OE19" i="14"/>
  <c r="OF19" i="14"/>
  <c r="OG19" i="14"/>
  <c r="OQ19" i="14" s="1"/>
  <c r="OH19" i="14"/>
  <c r="OI19" i="14"/>
  <c r="CY4" i="14"/>
  <c r="CZ4" i="14"/>
  <c r="DA4" i="14"/>
  <c r="DB4" i="14"/>
  <c r="DC4" i="14"/>
  <c r="DE4" i="14"/>
  <c r="DF4" i="14"/>
  <c r="NI4" i="14"/>
  <c r="NJ4" i="14"/>
  <c r="NK4" i="14"/>
  <c r="NM4" i="14"/>
  <c r="NN4" i="14"/>
  <c r="NP4" i="14"/>
  <c r="NQ4" i="14"/>
  <c r="NR4" i="14"/>
  <c r="NS4" i="14"/>
  <c r="NT4" i="14"/>
  <c r="NU4" i="14"/>
  <c r="NV4" i="14"/>
  <c r="NW4" i="14"/>
  <c r="OL4" i="14" s="1"/>
  <c r="NX4" i="14"/>
  <c r="NY4" i="14"/>
  <c r="NZ4" i="14"/>
  <c r="OA4" i="14"/>
  <c r="OB4" i="14"/>
  <c r="OC4" i="14"/>
  <c r="OD4" i="14"/>
  <c r="OE4" i="14"/>
  <c r="OF4" i="14"/>
  <c r="OG4" i="14"/>
  <c r="OQ4" i="14" s="1"/>
  <c r="OH4" i="14"/>
  <c r="OI4" i="14"/>
  <c r="ON4" i="14"/>
  <c r="CY21" i="14"/>
  <c r="CZ21" i="14"/>
  <c r="DA21" i="14"/>
  <c r="DB21" i="14"/>
  <c r="DC21" i="14"/>
  <c r="DE21" i="14"/>
  <c r="DF21" i="14"/>
  <c r="NI21" i="14"/>
  <c r="NJ21" i="14"/>
  <c r="NK21" i="14"/>
  <c r="NM21" i="14"/>
  <c r="NN21" i="14"/>
  <c r="NP21" i="14"/>
  <c r="NQ21" i="14"/>
  <c r="NR21" i="14"/>
  <c r="NS21" i="14"/>
  <c r="NT21" i="14"/>
  <c r="NU21" i="14"/>
  <c r="NV21" i="14"/>
  <c r="NW21" i="14"/>
  <c r="OL21" i="14" s="1"/>
  <c r="NX21" i="14"/>
  <c r="NY21" i="14"/>
  <c r="NZ21" i="14"/>
  <c r="OA21" i="14"/>
  <c r="OB21" i="14"/>
  <c r="ON21" i="14" s="1"/>
  <c r="OC21" i="14"/>
  <c r="OD21" i="14"/>
  <c r="OE21" i="14"/>
  <c r="OF21" i="14"/>
  <c r="OG21" i="14"/>
  <c r="OQ21" i="14" s="1"/>
  <c r="OH21" i="14"/>
  <c r="OI21" i="14"/>
  <c r="CY18" i="4"/>
  <c r="CZ18" i="4"/>
  <c r="DA18" i="4"/>
  <c r="DB18" i="4"/>
  <c r="DC18" i="4"/>
  <c r="DE18" i="4"/>
  <c r="DF18" i="4"/>
  <c r="NI18" i="4"/>
  <c r="NJ18" i="4"/>
  <c r="NK18" i="4"/>
  <c r="NM18" i="4"/>
  <c r="NN18" i="4"/>
  <c r="NP18" i="4"/>
  <c r="NQ18" i="4"/>
  <c r="NR18" i="4"/>
  <c r="NS18" i="4"/>
  <c r="NT18" i="4"/>
  <c r="NU18" i="4"/>
  <c r="NV18" i="4"/>
  <c r="NW18" i="4"/>
  <c r="OL18" i="4" s="1"/>
  <c r="NX18" i="4"/>
  <c r="NY18" i="4"/>
  <c r="NZ18" i="4"/>
  <c r="OA18" i="4"/>
  <c r="OB18" i="4"/>
  <c r="ON18" i="4" s="1"/>
  <c r="OC18" i="4"/>
  <c r="OD18" i="4"/>
  <c r="OE18" i="4"/>
  <c r="OF18" i="4"/>
  <c r="OG18" i="4"/>
  <c r="OQ18" i="4" s="1"/>
  <c r="OH18" i="4"/>
  <c r="OI18" i="4"/>
  <c r="CY11" i="4"/>
  <c r="CZ11" i="4"/>
  <c r="DA11" i="4"/>
  <c r="DB11" i="4"/>
  <c r="DC11" i="4"/>
  <c r="DE11" i="4"/>
  <c r="DF11" i="4"/>
  <c r="NI11" i="4"/>
  <c r="NJ11" i="4"/>
  <c r="NK11" i="4"/>
  <c r="NM11" i="4"/>
  <c r="NN11" i="4"/>
  <c r="NP11" i="4"/>
  <c r="NQ11" i="4"/>
  <c r="NR11" i="4"/>
  <c r="NS11" i="4"/>
  <c r="NT11" i="4"/>
  <c r="NU11" i="4"/>
  <c r="NV11" i="4"/>
  <c r="NW11" i="4"/>
  <c r="OL11" i="4" s="1"/>
  <c r="NX11" i="4"/>
  <c r="NY11" i="4"/>
  <c r="NZ11" i="4"/>
  <c r="OA11" i="4"/>
  <c r="OB11" i="4"/>
  <c r="ON11" i="4" s="1"/>
  <c r="OC11" i="4"/>
  <c r="OD11" i="4"/>
  <c r="OE11" i="4"/>
  <c r="OF11" i="4"/>
  <c r="OG11" i="4"/>
  <c r="OQ11" i="4" s="1"/>
  <c r="OH11" i="4"/>
  <c r="OI11" i="4"/>
  <c r="CY14" i="4"/>
  <c r="CZ14" i="4"/>
  <c r="DA14" i="4"/>
  <c r="DB14" i="4"/>
  <c r="DC14" i="4"/>
  <c r="DE14" i="4"/>
  <c r="DF14" i="4"/>
  <c r="NI14" i="4"/>
  <c r="NJ14" i="4"/>
  <c r="NK14" i="4"/>
  <c r="NM14" i="4"/>
  <c r="NN14" i="4"/>
  <c r="NP14" i="4"/>
  <c r="NQ14" i="4"/>
  <c r="NR14" i="4"/>
  <c r="NS14" i="4"/>
  <c r="NT14" i="4"/>
  <c r="NU14" i="4"/>
  <c r="NV14" i="4"/>
  <c r="NW14" i="4"/>
  <c r="OL14" i="4" s="1"/>
  <c r="NX14" i="4"/>
  <c r="NY14" i="4"/>
  <c r="NZ14" i="4"/>
  <c r="OA14" i="4"/>
  <c r="OB14" i="4"/>
  <c r="ON14" i="4" s="1"/>
  <c r="OC14" i="4"/>
  <c r="OD14" i="4"/>
  <c r="OE14" i="4"/>
  <c r="OF14" i="4"/>
  <c r="OG14" i="4"/>
  <c r="OQ14" i="4" s="1"/>
  <c r="OH14" i="4"/>
  <c r="OI14" i="4"/>
  <c r="OI8" i="14"/>
  <c r="OH8" i="14"/>
  <c r="OG8" i="14"/>
  <c r="OQ8" i="14" s="1"/>
  <c r="OF8" i="14"/>
  <c r="OE8" i="14"/>
  <c r="OD8" i="14"/>
  <c r="OC8" i="14"/>
  <c r="OB8" i="14"/>
  <c r="ON8" i="14" s="1"/>
  <c r="OA8" i="14"/>
  <c r="NZ8" i="14"/>
  <c r="NY8" i="14"/>
  <c r="NX8" i="14"/>
  <c r="NW8" i="14"/>
  <c r="OL8" i="14" s="1"/>
  <c r="NV8" i="14"/>
  <c r="NU8" i="14"/>
  <c r="NT8" i="14"/>
  <c r="NS8" i="14"/>
  <c r="NR8" i="14"/>
  <c r="NQ8" i="14"/>
  <c r="NP8" i="14"/>
  <c r="NN8" i="14"/>
  <c r="NM8" i="14"/>
  <c r="NK8" i="14"/>
  <c r="NJ8" i="14"/>
  <c r="NI8" i="14"/>
  <c r="DF8" i="14"/>
  <c r="DE8" i="14"/>
  <c r="DC8" i="14"/>
  <c r="DB8" i="14"/>
  <c r="DA8" i="14"/>
  <c r="CZ8" i="14"/>
  <c r="CY8" i="14"/>
  <c r="OI20" i="14"/>
  <c r="OH20" i="14"/>
  <c r="OG20" i="14"/>
  <c r="OQ20" i="14" s="1"/>
  <c r="OF20" i="14"/>
  <c r="OE20" i="14"/>
  <c r="OD20" i="14"/>
  <c r="OC20" i="14"/>
  <c r="OB20" i="14"/>
  <c r="ON20" i="14" s="1"/>
  <c r="OA20" i="14"/>
  <c r="NZ20" i="14"/>
  <c r="NY20" i="14"/>
  <c r="NX20" i="14"/>
  <c r="NW20" i="14"/>
  <c r="OL20" i="14" s="1"/>
  <c r="NV20" i="14"/>
  <c r="NU20" i="14"/>
  <c r="NT20" i="14"/>
  <c r="NS20" i="14"/>
  <c r="NR20" i="14"/>
  <c r="NQ20" i="14"/>
  <c r="NP20" i="14"/>
  <c r="NN20" i="14"/>
  <c r="NM20" i="14"/>
  <c r="NK20" i="14"/>
  <c r="NJ20" i="14"/>
  <c r="NI20" i="14"/>
  <c r="DF20" i="14"/>
  <c r="DE20" i="14"/>
  <c r="DC20" i="14"/>
  <c r="DB20" i="14"/>
  <c r="DA20" i="14"/>
  <c r="CZ20" i="14"/>
  <c r="CY20" i="14"/>
  <c r="OI18" i="14"/>
  <c r="OH18" i="14"/>
  <c r="OG18" i="14"/>
  <c r="OQ18" i="14" s="1"/>
  <c r="OF18" i="14"/>
  <c r="OE18" i="14"/>
  <c r="OD18" i="14"/>
  <c r="OC18" i="14"/>
  <c r="OB18" i="14"/>
  <c r="ON18" i="14" s="1"/>
  <c r="OA18" i="14"/>
  <c r="NZ18" i="14"/>
  <c r="NY18" i="14"/>
  <c r="NX18" i="14"/>
  <c r="NW18" i="14"/>
  <c r="OL18" i="14" s="1"/>
  <c r="NV18" i="14"/>
  <c r="NU18" i="14"/>
  <c r="NT18" i="14"/>
  <c r="NS18" i="14"/>
  <c r="NR18" i="14"/>
  <c r="NQ18" i="14"/>
  <c r="NP18" i="14"/>
  <c r="NN18" i="14"/>
  <c r="NM18" i="14"/>
  <c r="NK18" i="14"/>
  <c r="NJ18" i="14"/>
  <c r="NI18" i="14"/>
  <c r="DF18" i="14"/>
  <c r="DE18" i="14"/>
  <c r="DC18" i="14"/>
  <c r="DB18" i="14"/>
  <c r="DA18" i="14"/>
  <c r="CZ18" i="14"/>
  <c r="CY18" i="14"/>
  <c r="OI6" i="14"/>
  <c r="OH6" i="14"/>
  <c r="OG6" i="14"/>
  <c r="OQ6" i="14" s="1"/>
  <c r="OF6" i="14"/>
  <c r="OE6" i="14"/>
  <c r="OD6" i="14"/>
  <c r="OC6" i="14"/>
  <c r="OB6" i="14"/>
  <c r="ON6" i="14" s="1"/>
  <c r="OA6" i="14"/>
  <c r="NZ6" i="14"/>
  <c r="NY6" i="14"/>
  <c r="NX6" i="14"/>
  <c r="NW6" i="14"/>
  <c r="OL6" i="14" s="1"/>
  <c r="NV6" i="14"/>
  <c r="NU6" i="14"/>
  <c r="NT6" i="14"/>
  <c r="NS6" i="14"/>
  <c r="NR6" i="14"/>
  <c r="NQ6" i="14"/>
  <c r="NP6" i="14"/>
  <c r="NN6" i="14"/>
  <c r="NM6" i="14"/>
  <c r="NK6" i="14"/>
  <c r="NJ6" i="14"/>
  <c r="NI6" i="14"/>
  <c r="DF6" i="14"/>
  <c r="DE6" i="14"/>
  <c r="DC6" i="14"/>
  <c r="DB6" i="14"/>
  <c r="DA6" i="14"/>
  <c r="CZ6" i="14"/>
  <c r="CY6" i="14"/>
  <c r="OI14" i="14"/>
  <c r="OH14" i="14"/>
  <c r="OG14" i="14"/>
  <c r="OQ14" i="14" s="1"/>
  <c r="OF14" i="14"/>
  <c r="OE14" i="14"/>
  <c r="OD14" i="14"/>
  <c r="OC14" i="14"/>
  <c r="OB14" i="14"/>
  <c r="ON14" i="14" s="1"/>
  <c r="OA14" i="14"/>
  <c r="NZ14" i="14"/>
  <c r="NY14" i="14"/>
  <c r="NX14" i="14"/>
  <c r="NW14" i="14"/>
  <c r="OL14" i="14" s="1"/>
  <c r="NV14" i="14"/>
  <c r="NU14" i="14"/>
  <c r="NT14" i="14"/>
  <c r="NS14" i="14"/>
  <c r="NR14" i="14"/>
  <c r="NQ14" i="14"/>
  <c r="NP14" i="14"/>
  <c r="NN14" i="14"/>
  <c r="NM14" i="14"/>
  <c r="NK14" i="14"/>
  <c r="NJ14" i="14"/>
  <c r="NI14" i="14"/>
  <c r="DF14" i="14"/>
  <c r="DE14" i="14"/>
  <c r="DC14" i="14"/>
  <c r="DB14" i="14"/>
  <c r="DA14" i="14"/>
  <c r="CZ14" i="14"/>
  <c r="CY14" i="14"/>
  <c r="NZ9" i="4"/>
  <c r="NT12" i="4"/>
  <c r="NU12" i="4"/>
  <c r="NV12" i="4"/>
  <c r="NW12" i="4"/>
  <c r="OL12" i="4" s="1"/>
  <c r="NX12" i="4"/>
  <c r="NY12" i="4"/>
  <c r="NZ12" i="4"/>
  <c r="OA12" i="4"/>
  <c r="OB12" i="4"/>
  <c r="ON12" i="4" s="1"/>
  <c r="OC12" i="4"/>
  <c r="OD12" i="4"/>
  <c r="OE12" i="4"/>
  <c r="OF12" i="4"/>
  <c r="OG12" i="4"/>
  <c r="OQ12" i="4" s="1"/>
  <c r="OH12" i="4"/>
  <c r="OI12" i="4"/>
  <c r="NT7" i="4"/>
  <c r="NU7" i="4"/>
  <c r="NV7" i="4"/>
  <c r="NW7" i="4"/>
  <c r="OL7" i="4" s="1"/>
  <c r="NX7" i="4"/>
  <c r="NY7" i="4"/>
  <c r="NZ7" i="4"/>
  <c r="OA7" i="4"/>
  <c r="OB7" i="4"/>
  <c r="ON7" i="4" s="1"/>
  <c r="OC7" i="4"/>
  <c r="OD7" i="4"/>
  <c r="OE7" i="4"/>
  <c r="OF7" i="4"/>
  <c r="OG7" i="4"/>
  <c r="OQ7" i="4" s="1"/>
  <c r="OH7" i="4"/>
  <c r="OI7" i="4"/>
  <c r="NT13" i="4"/>
  <c r="NU13" i="4"/>
  <c r="NV13" i="4"/>
  <c r="NW13" i="4"/>
  <c r="OL13" i="4" s="1"/>
  <c r="NX13" i="4"/>
  <c r="NY13" i="4"/>
  <c r="NZ13" i="4"/>
  <c r="OA13" i="4"/>
  <c r="OB13" i="4"/>
  <c r="ON13" i="4" s="1"/>
  <c r="OC13" i="4"/>
  <c r="OD13" i="4"/>
  <c r="OE13" i="4"/>
  <c r="OF13" i="4"/>
  <c r="OG13" i="4"/>
  <c r="OQ13" i="4" s="1"/>
  <c r="OH13" i="4"/>
  <c r="OI13" i="4"/>
  <c r="NT19" i="4"/>
  <c r="NU19" i="4"/>
  <c r="NV19" i="4"/>
  <c r="NW19" i="4"/>
  <c r="OL19" i="4" s="1"/>
  <c r="NX19" i="4"/>
  <c r="NY19" i="4"/>
  <c r="NZ19" i="4"/>
  <c r="OA19" i="4"/>
  <c r="OB19" i="4"/>
  <c r="ON19" i="4" s="1"/>
  <c r="OC19" i="4"/>
  <c r="OD19" i="4"/>
  <c r="OE19" i="4"/>
  <c r="OF19" i="4"/>
  <c r="OG19" i="4"/>
  <c r="OQ19" i="4" s="1"/>
  <c r="OH19" i="4"/>
  <c r="OI19" i="4"/>
  <c r="NT23" i="4"/>
  <c r="NU23" i="4"/>
  <c r="NV23" i="4"/>
  <c r="NW23" i="4"/>
  <c r="OL23" i="4" s="1"/>
  <c r="NX23" i="4"/>
  <c r="NY23" i="4"/>
  <c r="NZ23" i="4"/>
  <c r="OA23" i="4"/>
  <c r="OB23" i="4"/>
  <c r="ON23" i="4" s="1"/>
  <c r="OC23" i="4"/>
  <c r="OD23" i="4"/>
  <c r="OE23" i="4"/>
  <c r="OR22" i="4" s="1"/>
  <c r="OF23" i="4"/>
  <c r="OG23" i="4"/>
  <c r="OQ23" i="4" s="1"/>
  <c r="OH23" i="4"/>
  <c r="OI23" i="4"/>
  <c r="NT15" i="4"/>
  <c r="NU15" i="4"/>
  <c r="NV15" i="4"/>
  <c r="NW15" i="4"/>
  <c r="OL15" i="4" s="1"/>
  <c r="NX15" i="4"/>
  <c r="NY15" i="4"/>
  <c r="NZ15" i="4"/>
  <c r="OA15" i="4"/>
  <c r="OB15" i="4"/>
  <c r="ON15" i="4" s="1"/>
  <c r="OC15" i="4"/>
  <c r="OD15" i="4"/>
  <c r="OE15" i="4"/>
  <c r="OF15" i="4"/>
  <c r="OG15" i="4"/>
  <c r="OQ15" i="4" s="1"/>
  <c r="OH15" i="4"/>
  <c r="OI15" i="4"/>
  <c r="NU9" i="4"/>
  <c r="NV9" i="4"/>
  <c r="NW9" i="4"/>
  <c r="OL9" i="4" s="1"/>
  <c r="NX9" i="4"/>
  <c r="NY9" i="4"/>
  <c r="OA9" i="4"/>
  <c r="OB9" i="4"/>
  <c r="ON9" i="4" s="1"/>
  <c r="OC9" i="4"/>
  <c r="OD9" i="4"/>
  <c r="OE9" i="4"/>
  <c r="OF9" i="4"/>
  <c r="OG9" i="4"/>
  <c r="OQ9" i="4" s="1"/>
  <c r="OH9" i="4"/>
  <c r="OI9" i="4"/>
  <c r="CY12" i="4"/>
  <c r="CZ12" i="4"/>
  <c r="DA12" i="4"/>
  <c r="DB12" i="4"/>
  <c r="DC12" i="4"/>
  <c r="DE12" i="4"/>
  <c r="DF12" i="4"/>
  <c r="CY7" i="4"/>
  <c r="CZ7" i="4"/>
  <c r="DA7" i="4"/>
  <c r="DB7" i="4"/>
  <c r="DC7" i="4"/>
  <c r="DE7" i="4"/>
  <c r="DF7" i="4"/>
  <c r="CY13" i="4"/>
  <c r="CZ13" i="4"/>
  <c r="DA13" i="4"/>
  <c r="DB13" i="4"/>
  <c r="DC13" i="4"/>
  <c r="DE13" i="4"/>
  <c r="DF13" i="4"/>
  <c r="CY19" i="4"/>
  <c r="CZ19" i="4"/>
  <c r="DA19" i="4"/>
  <c r="DB19" i="4"/>
  <c r="DC19" i="4"/>
  <c r="DE19" i="4"/>
  <c r="DF19" i="4"/>
  <c r="CY23" i="4"/>
  <c r="CZ23" i="4"/>
  <c r="DA23" i="4"/>
  <c r="DB23" i="4"/>
  <c r="DC23" i="4"/>
  <c r="DE23" i="4"/>
  <c r="DF23" i="4"/>
  <c r="CY15" i="4"/>
  <c r="CZ15" i="4"/>
  <c r="DA15" i="4"/>
  <c r="DB15" i="4"/>
  <c r="DC15" i="4"/>
  <c r="DE15" i="4"/>
  <c r="DF15" i="4"/>
  <c r="DC9" i="4"/>
  <c r="DB9" i="4"/>
  <c r="CZ9" i="4"/>
  <c r="DA9" i="4"/>
  <c r="CY9" i="4"/>
  <c r="LT18" i="12"/>
  <c r="LU18" i="12"/>
  <c r="LV18" i="12"/>
  <c r="LW18" i="12"/>
  <c r="LV5" i="12"/>
  <c r="CB18" i="12"/>
  <c r="CB5" i="12"/>
  <c r="LV4" i="6"/>
  <c r="LV7" i="6"/>
  <c r="LV6" i="6"/>
  <c r="LV8" i="6"/>
  <c r="LV5" i="6"/>
  <c r="CB4" i="6"/>
  <c r="CB7" i="6"/>
  <c r="CB6" i="6"/>
  <c r="CB8" i="6"/>
  <c r="CB5" i="6"/>
  <c r="LV8" i="8"/>
  <c r="LV4" i="8"/>
  <c r="LV6" i="8"/>
  <c r="CB6" i="8"/>
  <c r="LV5" i="7"/>
  <c r="CB5" i="7"/>
  <c r="BZ5" i="7"/>
  <c r="OR21" i="14" l="1"/>
  <c r="OR23" i="4"/>
  <c r="OR18" i="4"/>
  <c r="K15" i="12"/>
  <c r="CE15" i="12"/>
  <c r="K6" i="12"/>
  <c r="CE6" i="12"/>
  <c r="K4" i="12"/>
  <c r="CE4" i="12"/>
  <c r="CE7" i="12"/>
  <c r="K7" i="12"/>
  <c r="CE16" i="12"/>
  <c r="K16" i="12"/>
  <c r="K12" i="12"/>
  <c r="CE12" i="12"/>
  <c r="MR19" i="6"/>
  <c r="K10" i="6"/>
  <c r="CE10" i="6"/>
  <c r="K11" i="6"/>
  <c r="CE11" i="6"/>
  <c r="K19" i="6"/>
  <c r="CE19" i="6"/>
  <c r="OR22" i="14"/>
  <c r="OR20" i="14"/>
  <c r="OR19" i="4"/>
  <c r="OR15" i="4"/>
  <c r="OR19" i="14"/>
  <c r="OR16" i="4"/>
  <c r="NL12" i="14"/>
  <c r="NO12" i="14" s="1"/>
  <c r="DD18" i="4"/>
  <c r="DG18" i="4" s="1"/>
  <c r="OR13" i="4"/>
  <c r="OR14" i="4"/>
  <c r="OR17" i="4"/>
  <c r="MR7" i="12"/>
  <c r="MS19" i="6"/>
  <c r="CD19" i="6"/>
  <c r="L19" i="6" s="1"/>
  <c r="NL14" i="4"/>
  <c r="NO14" i="4" s="1"/>
  <c r="NL18" i="4"/>
  <c r="NO18" i="4" s="1"/>
  <c r="DD15" i="14"/>
  <c r="DG15" i="14" s="1"/>
  <c r="DD12" i="14"/>
  <c r="DG12" i="14" s="1"/>
  <c r="DD11" i="4"/>
  <c r="DG11" i="4" s="1"/>
  <c r="NL11" i="4"/>
  <c r="NO11" i="4" s="1"/>
  <c r="OO11" i="4"/>
  <c r="DD14" i="4"/>
  <c r="DG14" i="4" s="1"/>
  <c r="MR12" i="12"/>
  <c r="LX12" i="12"/>
  <c r="CD12" i="12"/>
  <c r="L12" i="12" s="1"/>
  <c r="MS12" i="12"/>
  <c r="MQ12" i="12"/>
  <c r="MP12" i="12"/>
  <c r="F12" i="12"/>
  <c r="G12" i="12"/>
  <c r="MR16" i="12"/>
  <c r="MS7" i="12"/>
  <c r="LX16" i="12"/>
  <c r="CD16" i="12"/>
  <c r="L16" i="12" s="1"/>
  <c r="MS16" i="12"/>
  <c r="MQ16" i="12"/>
  <c r="MP16" i="12"/>
  <c r="F16" i="12"/>
  <c r="G16" i="12"/>
  <c r="LX7" i="12"/>
  <c r="CD7" i="12"/>
  <c r="L7" i="12" s="1"/>
  <c r="MQ7" i="12"/>
  <c r="MP7" i="12"/>
  <c r="F7" i="12"/>
  <c r="G7" i="12"/>
  <c r="MR4" i="12"/>
  <c r="LX4" i="12"/>
  <c r="MS4" i="12"/>
  <c r="CD4" i="12"/>
  <c r="L4" i="12" s="1"/>
  <c r="MQ4" i="12"/>
  <c r="MP4" i="12"/>
  <c r="F4" i="12"/>
  <c r="G4" i="12"/>
  <c r="CD6" i="12"/>
  <c r="L6" i="12" s="1"/>
  <c r="LX6" i="12"/>
  <c r="MR6" i="12"/>
  <c r="MS6" i="12"/>
  <c r="MQ6" i="12"/>
  <c r="MP6" i="12"/>
  <c r="F6" i="12"/>
  <c r="G6" i="12"/>
  <c r="MR15" i="12"/>
  <c r="MQ15" i="12"/>
  <c r="LX15" i="12"/>
  <c r="MS15" i="12"/>
  <c r="CD15" i="12"/>
  <c r="L15" i="12" s="1"/>
  <c r="MP15" i="12"/>
  <c r="F15" i="12"/>
  <c r="G15" i="12"/>
  <c r="LX19" i="6"/>
  <c r="MQ19" i="6"/>
  <c r="MP19" i="6"/>
  <c r="F19" i="6"/>
  <c r="G19" i="6"/>
  <c r="MR11" i="6"/>
  <c r="MP11" i="6"/>
  <c r="LX11" i="6"/>
  <c r="CD11" i="6"/>
  <c r="L11" i="6" s="1"/>
  <c r="MS11" i="6"/>
  <c r="MQ11" i="6"/>
  <c r="F11" i="6"/>
  <c r="G11" i="6"/>
  <c r="MR10" i="6"/>
  <c r="LX10" i="6"/>
  <c r="CD10" i="6"/>
  <c r="L10" i="6" s="1"/>
  <c r="MQ10" i="6"/>
  <c r="MP10" i="6"/>
  <c r="F10" i="6"/>
  <c r="MS10" i="6"/>
  <c r="G10" i="6"/>
  <c r="MR6" i="7"/>
  <c r="MP6" i="7"/>
  <c r="LX6" i="7"/>
  <c r="CD6" i="7"/>
  <c r="MS6" i="7"/>
  <c r="L6" i="7"/>
  <c r="MQ6" i="7"/>
  <c r="F6" i="7"/>
  <c r="J6" i="7"/>
  <c r="G6" i="7"/>
  <c r="OM12" i="14"/>
  <c r="OK12" i="14"/>
  <c r="OR18" i="14"/>
  <c r="OO12" i="14"/>
  <c r="O12" i="14"/>
  <c r="P12" i="14" s="1"/>
  <c r="G12" i="14"/>
  <c r="F12" i="14" s="1"/>
  <c r="Q12" i="14"/>
  <c r="H12" i="14"/>
  <c r="NL15" i="14"/>
  <c r="NO15" i="14" s="1"/>
  <c r="DD7" i="14"/>
  <c r="DG7" i="14" s="1"/>
  <c r="OO15" i="14"/>
  <c r="OM15" i="14"/>
  <c r="OK15" i="14"/>
  <c r="OR17" i="14"/>
  <c r="O15" i="14"/>
  <c r="P15" i="14" s="1"/>
  <c r="Q15" i="14"/>
  <c r="R15" i="14" s="1"/>
  <c r="G15" i="14"/>
  <c r="F15" i="14" s="1"/>
  <c r="H15" i="14"/>
  <c r="DD13" i="14"/>
  <c r="DG13" i="14" s="1"/>
  <c r="DD10" i="14"/>
  <c r="DG10" i="14" s="1"/>
  <c r="OO7" i="14"/>
  <c r="NL7" i="14"/>
  <c r="NO7" i="14" s="1"/>
  <c r="OM7" i="14"/>
  <c r="OK7" i="14"/>
  <c r="OR16" i="14"/>
  <c r="O7" i="14"/>
  <c r="DI7" i="14" s="1"/>
  <c r="G7" i="14"/>
  <c r="F7" i="14" s="1"/>
  <c r="Q7" i="14"/>
  <c r="H7" i="14"/>
  <c r="NL10" i="14"/>
  <c r="NO10" i="14" s="1"/>
  <c r="OM10" i="14"/>
  <c r="OK10" i="14"/>
  <c r="OR15" i="14"/>
  <c r="OO10" i="14"/>
  <c r="O10" i="14"/>
  <c r="DI10" i="14" s="1"/>
  <c r="G10" i="14"/>
  <c r="F10" i="14" s="1"/>
  <c r="Q10" i="14"/>
  <c r="H10" i="14"/>
  <c r="NL19" i="14"/>
  <c r="NO19" i="14" s="1"/>
  <c r="DD11" i="14"/>
  <c r="DG11" i="14" s="1"/>
  <c r="NL4" i="14"/>
  <c r="NO4" i="14" s="1"/>
  <c r="NL13" i="14"/>
  <c r="NO13" i="14" s="1"/>
  <c r="OM13" i="14"/>
  <c r="OK13" i="14"/>
  <c r="OO13" i="14"/>
  <c r="O13" i="14"/>
  <c r="P13" i="14" s="1"/>
  <c r="G13" i="14"/>
  <c r="F13" i="14" s="1"/>
  <c r="Q13" i="14"/>
  <c r="H13" i="14"/>
  <c r="OR14" i="14"/>
  <c r="NL11" i="14"/>
  <c r="NO11" i="14" s="1"/>
  <c r="DD19" i="14"/>
  <c r="DG19" i="14" s="1"/>
  <c r="OM11" i="14"/>
  <c r="G11" i="14"/>
  <c r="F11" i="14" s="1"/>
  <c r="OK11" i="14"/>
  <c r="OR13" i="14"/>
  <c r="OO11" i="14"/>
  <c r="O11" i="14"/>
  <c r="P11" i="14" s="1"/>
  <c r="Q11" i="14"/>
  <c r="H11" i="14"/>
  <c r="OO21" i="14"/>
  <c r="DD21" i="14"/>
  <c r="DG21" i="14" s="1"/>
  <c r="DD4" i="14"/>
  <c r="DG4" i="14" s="1"/>
  <c r="OM19" i="14"/>
  <c r="OK19" i="14"/>
  <c r="OR12" i="14"/>
  <c r="OO19" i="14"/>
  <c r="O19" i="14"/>
  <c r="P19" i="14" s="1"/>
  <c r="G19" i="14"/>
  <c r="Q19" i="14"/>
  <c r="H19" i="14"/>
  <c r="OM4" i="14"/>
  <c r="OK4" i="14"/>
  <c r="OR11" i="14"/>
  <c r="OO4" i="14"/>
  <c r="O4" i="14"/>
  <c r="P4" i="14" s="1"/>
  <c r="Q4" i="14"/>
  <c r="DK4" i="14" s="1"/>
  <c r="H4" i="14"/>
  <c r="G4" i="14"/>
  <c r="OR10" i="14"/>
  <c r="NL21" i="14"/>
  <c r="NO21" i="14" s="1"/>
  <c r="OM21" i="14"/>
  <c r="OK21" i="14"/>
  <c r="O21" i="14"/>
  <c r="P21" i="14" s="1"/>
  <c r="G21" i="14"/>
  <c r="Q21" i="14"/>
  <c r="H21" i="14"/>
  <c r="Q8" i="14"/>
  <c r="R8" i="14" s="1"/>
  <c r="Q18" i="14"/>
  <c r="OK18" i="4"/>
  <c r="OM18" i="4"/>
  <c r="Q18" i="4"/>
  <c r="R18" i="4" s="1"/>
  <c r="OR12" i="4"/>
  <c r="O18" i="4"/>
  <c r="P18" i="4" s="1"/>
  <c r="G18" i="4"/>
  <c r="OO18" i="4"/>
  <c r="H18" i="4"/>
  <c r="OM11" i="4"/>
  <c r="OK11" i="4"/>
  <c r="Q11" i="4"/>
  <c r="R11" i="4" s="1"/>
  <c r="O11" i="4"/>
  <c r="P11" i="4" s="1"/>
  <c r="G11" i="4"/>
  <c r="H11" i="4"/>
  <c r="OK14" i="4"/>
  <c r="OO14" i="4"/>
  <c r="OR11" i="4"/>
  <c r="OM14" i="4"/>
  <c r="Q14" i="4"/>
  <c r="R14" i="4" s="1"/>
  <c r="O14" i="4"/>
  <c r="P14" i="4" s="1"/>
  <c r="G14" i="4"/>
  <c r="F14" i="4" s="1"/>
  <c r="H14" i="4"/>
  <c r="Q14" i="14"/>
  <c r="DK14" i="14" s="1"/>
  <c r="Q20" i="14"/>
  <c r="R20" i="14" s="1"/>
  <c r="Q6" i="14"/>
  <c r="DK6" i="14" s="1"/>
  <c r="DD6" i="14"/>
  <c r="DG6" i="14" s="1"/>
  <c r="OM14" i="14"/>
  <c r="NL20" i="14"/>
  <c r="NO20" i="14" s="1"/>
  <c r="DD18" i="14"/>
  <c r="DG18" i="14" s="1"/>
  <c r="NL14" i="14"/>
  <c r="NO14" i="14" s="1"/>
  <c r="NL6" i="14"/>
  <c r="NO6" i="14" s="1"/>
  <c r="DD20" i="14"/>
  <c r="DG20" i="14" s="1"/>
  <c r="OR4" i="14"/>
  <c r="OK20" i="14"/>
  <c r="OK6" i="14"/>
  <c r="OM20" i="14"/>
  <c r="OM6" i="14"/>
  <c r="OO6" i="14"/>
  <c r="O8" i="14"/>
  <c r="DI8" i="14" s="1"/>
  <c r="O6" i="14"/>
  <c r="DI6" i="14" s="1"/>
  <c r="OR7" i="14"/>
  <c r="OM8" i="14"/>
  <c r="OO8" i="14"/>
  <c r="G14" i="14"/>
  <c r="OK14" i="14"/>
  <c r="G20" i="14"/>
  <c r="F20" i="14" s="1"/>
  <c r="OR8" i="14"/>
  <c r="O18" i="14"/>
  <c r="DI18" i="14" s="1"/>
  <c r="OM18" i="14"/>
  <c r="OO20" i="14"/>
  <c r="DD8" i="14"/>
  <c r="DG8" i="14" s="1"/>
  <c r="H14" i="14"/>
  <c r="OO14" i="14"/>
  <c r="G18" i="14"/>
  <c r="F18" i="14" s="1"/>
  <c r="OO18" i="14"/>
  <c r="OR6" i="14"/>
  <c r="OR9" i="14"/>
  <c r="DD14" i="14"/>
  <c r="DG14" i="14" s="1"/>
  <c r="G6" i="14"/>
  <c r="OR5" i="14"/>
  <c r="NL18" i="14"/>
  <c r="NO18" i="14" s="1"/>
  <c r="OK18" i="14"/>
  <c r="G8" i="14"/>
  <c r="NL8" i="14"/>
  <c r="NO8" i="14" s="1"/>
  <c r="OK8" i="14"/>
  <c r="O14" i="14"/>
  <c r="H8" i="14"/>
  <c r="O20" i="14"/>
  <c r="H20" i="14"/>
  <c r="H6" i="14"/>
  <c r="H18" i="14"/>
  <c r="OO19" i="4"/>
  <c r="OO13" i="4"/>
  <c r="OO7" i="4"/>
  <c r="OO12" i="4"/>
  <c r="OR10" i="4"/>
  <c r="OR9" i="4"/>
  <c r="OR8" i="4"/>
  <c r="OR7" i="4"/>
  <c r="OR6" i="4"/>
  <c r="OR5" i="4"/>
  <c r="OR4" i="4"/>
  <c r="OO15" i="4"/>
  <c r="OM23" i="4"/>
  <c r="OM19" i="4"/>
  <c r="OM13" i="4"/>
  <c r="OM7" i="4"/>
  <c r="OM12" i="4"/>
  <c r="OM9" i="4"/>
  <c r="DD9" i="4"/>
  <c r="OO23" i="4"/>
  <c r="OM15" i="4"/>
  <c r="OO9" i="4"/>
  <c r="DD12" i="4"/>
  <c r="DG12" i="4" s="1"/>
  <c r="DD13" i="4"/>
  <c r="DG13" i="4" s="1"/>
  <c r="DD19" i="4"/>
  <c r="DG19" i="4" s="1"/>
  <c r="DD23" i="4"/>
  <c r="DG23" i="4" s="1"/>
  <c r="DD7" i="4"/>
  <c r="DG7" i="4" s="1"/>
  <c r="DD15" i="4"/>
  <c r="DG15" i="4" s="1"/>
  <c r="LX18" i="12"/>
  <c r="LZ5" i="12"/>
  <c r="MA5" i="12"/>
  <c r="MB5" i="12"/>
  <c r="MC5" i="12"/>
  <c r="MD5" i="12"/>
  <c r="ME5" i="12"/>
  <c r="MF5" i="12"/>
  <c r="MG5" i="12"/>
  <c r="MH5" i="12"/>
  <c r="MI5" i="12"/>
  <c r="MJ5" i="12"/>
  <c r="MK5" i="12"/>
  <c r="ML5" i="12"/>
  <c r="MM5" i="12"/>
  <c r="MN5" i="12"/>
  <c r="LZ18" i="12"/>
  <c r="MA18" i="12"/>
  <c r="MB18" i="12"/>
  <c r="MC18" i="12"/>
  <c r="MD18" i="12"/>
  <c r="ME18" i="12"/>
  <c r="MF18" i="12"/>
  <c r="MG18" i="12"/>
  <c r="MH18" i="12"/>
  <c r="MI18" i="12"/>
  <c r="MJ18" i="12"/>
  <c r="MK18" i="12"/>
  <c r="ML18" i="12"/>
  <c r="MM18" i="12"/>
  <c r="MN18" i="12"/>
  <c r="LY18" i="12"/>
  <c r="LY5" i="12"/>
  <c r="LY5" i="6"/>
  <c r="LY4" i="6"/>
  <c r="LZ4" i="6"/>
  <c r="MA4" i="6"/>
  <c r="MB4" i="6"/>
  <c r="MC4" i="6"/>
  <c r="MD4" i="6"/>
  <c r="ME4" i="6"/>
  <c r="MF4" i="6"/>
  <c r="MG4" i="6"/>
  <c r="MH4" i="6"/>
  <c r="MI4" i="6"/>
  <c r="MJ4" i="6"/>
  <c r="MK4" i="6"/>
  <c r="ML4" i="6"/>
  <c r="MM4" i="6"/>
  <c r="MN4" i="6"/>
  <c r="LY7" i="6"/>
  <c r="LZ7" i="6"/>
  <c r="MA7" i="6"/>
  <c r="MB7" i="6"/>
  <c r="MC7" i="6"/>
  <c r="MD7" i="6"/>
  <c r="ME7" i="6"/>
  <c r="MF7" i="6"/>
  <c r="MG7" i="6"/>
  <c r="MH7" i="6"/>
  <c r="MI7" i="6"/>
  <c r="MJ7" i="6"/>
  <c r="MK7" i="6"/>
  <c r="ML7" i="6"/>
  <c r="MM7" i="6"/>
  <c r="MN7" i="6"/>
  <c r="LY6" i="6"/>
  <c r="LZ6" i="6"/>
  <c r="MA6" i="6"/>
  <c r="MB6" i="6"/>
  <c r="MC6" i="6"/>
  <c r="MD6" i="6"/>
  <c r="ME6" i="6"/>
  <c r="MF6" i="6"/>
  <c r="MG6" i="6"/>
  <c r="MH6" i="6"/>
  <c r="MI6" i="6"/>
  <c r="MJ6" i="6"/>
  <c r="MK6" i="6"/>
  <c r="ML6" i="6"/>
  <c r="MM6" i="6"/>
  <c r="MN6" i="6"/>
  <c r="LY8" i="6"/>
  <c r="LZ8" i="6"/>
  <c r="MA8" i="6"/>
  <c r="MB8" i="6"/>
  <c r="MC8" i="6"/>
  <c r="MD8" i="6"/>
  <c r="ME8" i="6"/>
  <c r="MF8" i="6"/>
  <c r="MG8" i="6"/>
  <c r="MH8" i="6"/>
  <c r="MI8" i="6"/>
  <c r="MJ8" i="6"/>
  <c r="MK8" i="6"/>
  <c r="ML8" i="6"/>
  <c r="MM8" i="6"/>
  <c r="MN8" i="6"/>
  <c r="LZ5" i="6"/>
  <c r="MA5" i="6"/>
  <c r="MB5" i="6"/>
  <c r="MC5" i="6"/>
  <c r="MD5" i="6"/>
  <c r="ME5" i="6"/>
  <c r="MF5" i="6"/>
  <c r="MG5" i="6"/>
  <c r="MH5" i="6"/>
  <c r="MI5" i="6"/>
  <c r="MJ5" i="6"/>
  <c r="MK5" i="6"/>
  <c r="ML5" i="6"/>
  <c r="MM5" i="6"/>
  <c r="MN5" i="6"/>
  <c r="LY8" i="8"/>
  <c r="LZ8" i="8"/>
  <c r="MA8" i="8"/>
  <c r="MB8" i="8"/>
  <c r="MC8" i="8"/>
  <c r="MD8" i="8"/>
  <c r="ME8" i="8"/>
  <c r="MF8" i="8"/>
  <c r="MG8" i="8"/>
  <c r="MH8" i="8"/>
  <c r="MI8" i="8"/>
  <c r="MJ8" i="8"/>
  <c r="MK8" i="8"/>
  <c r="ML8" i="8"/>
  <c r="MM8" i="8"/>
  <c r="MN8" i="8"/>
  <c r="LY4" i="8"/>
  <c r="LZ4" i="8"/>
  <c r="MA4" i="8"/>
  <c r="MB4" i="8"/>
  <c r="MC4" i="8"/>
  <c r="MD4" i="8"/>
  <c r="ME4" i="8"/>
  <c r="MF4" i="8"/>
  <c r="MG4" i="8"/>
  <c r="MH4" i="8"/>
  <c r="MI4" i="8"/>
  <c r="MJ4" i="8"/>
  <c r="MK4" i="8"/>
  <c r="ML4" i="8"/>
  <c r="MM4" i="8"/>
  <c r="MN4" i="8"/>
  <c r="LZ6" i="8"/>
  <c r="MA6" i="8"/>
  <c r="MB6" i="8"/>
  <c r="MC6" i="8"/>
  <c r="MD6" i="8"/>
  <c r="ME6" i="8"/>
  <c r="MF6" i="8"/>
  <c r="MG6" i="8"/>
  <c r="MH6" i="8"/>
  <c r="MI6" i="8"/>
  <c r="MJ6" i="8"/>
  <c r="MK6" i="8"/>
  <c r="ML6" i="8"/>
  <c r="MM6" i="8"/>
  <c r="MN6" i="8"/>
  <c r="LY6" i="8"/>
  <c r="LY5" i="7"/>
  <c r="LZ5" i="7"/>
  <c r="MA5" i="7"/>
  <c r="MB5" i="7"/>
  <c r="MC5" i="7"/>
  <c r="MD5" i="7"/>
  <c r="ME5" i="7"/>
  <c r="MF5" i="7"/>
  <c r="MG5" i="7"/>
  <c r="MH5" i="7"/>
  <c r="MI5" i="7"/>
  <c r="MJ5" i="7"/>
  <c r="MK5" i="7"/>
  <c r="ML5" i="7"/>
  <c r="MM5" i="7"/>
  <c r="MN5" i="7"/>
  <c r="NP9" i="4"/>
  <c r="CC18" i="12"/>
  <c r="CA18" i="12"/>
  <c r="J18" i="12" s="1"/>
  <c r="BZ18" i="12"/>
  <c r="CC5" i="12"/>
  <c r="CA5" i="12"/>
  <c r="J5" i="12" s="1"/>
  <c r="BZ5" i="12"/>
  <c r="CC8" i="6"/>
  <c r="CA8" i="6"/>
  <c r="J8" i="6" s="1"/>
  <c r="BZ8" i="6"/>
  <c r="CC6" i="6"/>
  <c r="CA6" i="6"/>
  <c r="J6" i="6" s="1"/>
  <c r="BZ6" i="6"/>
  <c r="CC7" i="6"/>
  <c r="CA7" i="6"/>
  <c r="J7" i="6" s="1"/>
  <c r="BZ7" i="6"/>
  <c r="CC4" i="6"/>
  <c r="CA4" i="6"/>
  <c r="J4" i="6" s="1"/>
  <c r="BZ4" i="6"/>
  <c r="CC5" i="6"/>
  <c r="CA5" i="6"/>
  <c r="J5" i="6" s="1"/>
  <c r="BZ5" i="6"/>
  <c r="CC4" i="8"/>
  <c r="CA4" i="8"/>
  <c r="BZ4" i="8"/>
  <c r="CC8" i="8"/>
  <c r="CA8" i="8"/>
  <c r="BZ8" i="8"/>
  <c r="CC6" i="8"/>
  <c r="CA6" i="8"/>
  <c r="BZ6" i="8"/>
  <c r="CC5" i="7"/>
  <c r="CA5" i="7"/>
  <c r="NQ9" i="4"/>
  <c r="NR9" i="4"/>
  <c r="NS9" i="4"/>
  <c r="NT9" i="4"/>
  <c r="NQ12" i="4"/>
  <c r="NR12" i="4"/>
  <c r="NS12" i="4"/>
  <c r="NQ7" i="4"/>
  <c r="NR7" i="4"/>
  <c r="NS7" i="4"/>
  <c r="NQ13" i="4"/>
  <c r="NR13" i="4"/>
  <c r="NS13" i="4"/>
  <c r="NQ19" i="4"/>
  <c r="NR19" i="4"/>
  <c r="NS19" i="4"/>
  <c r="NQ23" i="4"/>
  <c r="NR23" i="4"/>
  <c r="NS23" i="4"/>
  <c r="NQ15" i="4"/>
  <c r="NR15" i="4"/>
  <c r="NS15" i="4"/>
  <c r="NP12" i="4"/>
  <c r="NP7" i="4"/>
  <c r="NP13" i="4"/>
  <c r="NP19" i="4"/>
  <c r="NP23" i="4"/>
  <c r="NP15" i="4"/>
  <c r="F11" i="4" l="1"/>
  <c r="M16" i="12"/>
  <c r="CF16" i="12"/>
  <c r="N16" i="12" s="1"/>
  <c r="M7" i="12"/>
  <c r="CF7" i="12"/>
  <c r="N7" i="12" s="1"/>
  <c r="M4" i="12"/>
  <c r="CF4" i="12"/>
  <c r="N4" i="12" s="1"/>
  <c r="K18" i="12"/>
  <c r="CE18" i="12"/>
  <c r="M6" i="12"/>
  <c r="CF6" i="12"/>
  <c r="N6" i="12" s="1"/>
  <c r="M12" i="12"/>
  <c r="CF12" i="12"/>
  <c r="N12" i="12" s="1"/>
  <c r="M15" i="12"/>
  <c r="CF15" i="12"/>
  <c r="N15" i="12" s="1"/>
  <c r="K5" i="12"/>
  <c r="M19" i="6"/>
  <c r="CF19" i="6"/>
  <c r="K4" i="6"/>
  <c r="M11" i="6"/>
  <c r="CF11" i="6"/>
  <c r="K7" i="6"/>
  <c r="M10" i="6"/>
  <c r="CF10" i="6"/>
  <c r="K6" i="6"/>
  <c r="K5" i="6"/>
  <c r="K8" i="6"/>
  <c r="K15" i="14"/>
  <c r="L15" i="14" s="1"/>
  <c r="M6" i="7"/>
  <c r="K14" i="4"/>
  <c r="M14" i="4" s="1"/>
  <c r="K18" i="4"/>
  <c r="M18" i="4" s="1"/>
  <c r="MT6" i="7"/>
  <c r="MT7" i="12"/>
  <c r="MT12" i="12"/>
  <c r="MT16" i="12"/>
  <c r="MT11" i="6"/>
  <c r="MT19" i="6"/>
  <c r="CF6" i="7"/>
  <c r="K11" i="4"/>
  <c r="DJ11" i="4" s="1"/>
  <c r="K12" i="14"/>
  <c r="M12" i="14" s="1"/>
  <c r="K21" i="14"/>
  <c r="DJ21" i="14" s="1"/>
  <c r="K7" i="14"/>
  <c r="L7" i="14" s="1"/>
  <c r="OP13" i="14"/>
  <c r="OP18" i="4"/>
  <c r="J18" i="4"/>
  <c r="DK11" i="4"/>
  <c r="DK18" i="4"/>
  <c r="A12" i="12"/>
  <c r="H12" i="12"/>
  <c r="I12" i="12" s="1"/>
  <c r="H16" i="12"/>
  <c r="I16" i="12" s="1"/>
  <c r="A16" i="12"/>
  <c r="MT4" i="12"/>
  <c r="H7" i="12"/>
  <c r="I7" i="12" s="1"/>
  <c r="MT6" i="12"/>
  <c r="H4" i="12"/>
  <c r="I4" i="12" s="1"/>
  <c r="H6" i="12"/>
  <c r="I6" i="12" s="1"/>
  <c r="MT15" i="12"/>
  <c r="H15" i="12"/>
  <c r="I15" i="12" s="1"/>
  <c r="A15" i="12"/>
  <c r="H19" i="6"/>
  <c r="I19" i="6" s="1"/>
  <c r="A19" i="6"/>
  <c r="H11" i="6"/>
  <c r="I11" i="6" s="1"/>
  <c r="A11" i="6"/>
  <c r="MT10" i="6"/>
  <c r="H10" i="6"/>
  <c r="I10" i="6" s="1"/>
  <c r="A10" i="6"/>
  <c r="H6" i="7"/>
  <c r="I6" i="7" s="1"/>
  <c r="A6" i="7"/>
  <c r="CE6" i="7"/>
  <c r="K6" i="7"/>
  <c r="OP12" i="14"/>
  <c r="J12" i="14"/>
  <c r="DI12" i="14"/>
  <c r="A12" i="14" a="1"/>
  <c r="A12" i="14" s="1"/>
  <c r="I12" i="14"/>
  <c r="DK12" i="14"/>
  <c r="R12" i="14"/>
  <c r="OP15" i="14"/>
  <c r="DI15" i="14"/>
  <c r="DK15" i="14"/>
  <c r="I15" i="14"/>
  <c r="J15" i="14"/>
  <c r="A15" i="14" a="1"/>
  <c r="A15" i="14" s="1"/>
  <c r="K10" i="14"/>
  <c r="DJ10" i="14" s="1"/>
  <c r="OP14" i="14"/>
  <c r="P18" i="14"/>
  <c r="OP10" i="14"/>
  <c r="OP7" i="14"/>
  <c r="P7" i="14"/>
  <c r="J7" i="14"/>
  <c r="I7" i="14"/>
  <c r="DK7" i="14"/>
  <c r="S7" i="14" s="1"/>
  <c r="R7" i="14"/>
  <c r="OP21" i="14"/>
  <c r="K19" i="14"/>
  <c r="L19" i="14" s="1"/>
  <c r="DI13" i="14"/>
  <c r="P10" i="14"/>
  <c r="A10" i="14" a="1"/>
  <c r="A10" i="14" s="1"/>
  <c r="J10" i="14"/>
  <c r="I10" i="14"/>
  <c r="DK10" i="14"/>
  <c r="S10" i="14" s="1"/>
  <c r="R10" i="14"/>
  <c r="K4" i="14"/>
  <c r="DJ4" i="14" s="1"/>
  <c r="K13" i="14"/>
  <c r="DJ13" i="14" s="1"/>
  <c r="A13" i="14" a="1"/>
  <c r="A13" i="14" s="1"/>
  <c r="J13" i="14"/>
  <c r="I13" i="14"/>
  <c r="DK13" i="14"/>
  <c r="R13" i="14"/>
  <c r="J8" i="14"/>
  <c r="K11" i="14"/>
  <c r="DJ11" i="14" s="1"/>
  <c r="J19" i="14"/>
  <c r="J11" i="14"/>
  <c r="A11" i="14" a="1"/>
  <c r="A11" i="14" s="1"/>
  <c r="DI11" i="14"/>
  <c r="OP11" i="14"/>
  <c r="I11" i="14"/>
  <c r="DK11" i="14"/>
  <c r="R11" i="14"/>
  <c r="OP6" i="14"/>
  <c r="P6" i="14"/>
  <c r="P8" i="14"/>
  <c r="DI19" i="14"/>
  <c r="OP19" i="14"/>
  <c r="F19" i="14"/>
  <c r="A19" i="14" a="1"/>
  <c r="A19" i="14" s="1"/>
  <c r="I19" i="14"/>
  <c r="DK19" i="14"/>
  <c r="R19" i="14"/>
  <c r="J21" i="14"/>
  <c r="OP4" i="14"/>
  <c r="R4" i="14"/>
  <c r="DI4" i="14"/>
  <c r="S4" i="14" s="1"/>
  <c r="J4" i="14"/>
  <c r="I4" i="14"/>
  <c r="F4" i="14"/>
  <c r="DK20" i="14"/>
  <c r="DI21" i="14"/>
  <c r="F21" i="14"/>
  <c r="I21" i="14"/>
  <c r="DK21" i="14"/>
  <c r="R21" i="14"/>
  <c r="OP18" i="14"/>
  <c r="DI18" i="4"/>
  <c r="F18" i="4"/>
  <c r="A18" i="4" a="1"/>
  <c r="A18" i="4" s="1"/>
  <c r="I18" i="4"/>
  <c r="OP14" i="4"/>
  <c r="DI11" i="4"/>
  <c r="OP11" i="4"/>
  <c r="J11" i="4"/>
  <c r="A11" i="4" a="1"/>
  <c r="A11" i="4" s="1"/>
  <c r="I11" i="4"/>
  <c r="DK14" i="4"/>
  <c r="DI14" i="4"/>
  <c r="A14" i="4" a="1"/>
  <c r="A14" i="4" s="1"/>
  <c r="J14" i="4"/>
  <c r="I14" i="4"/>
  <c r="K14" i="14"/>
  <c r="DJ14" i="14" s="1"/>
  <c r="K20" i="14"/>
  <c r="M20" i="14" s="1"/>
  <c r="OP20" i="14"/>
  <c r="OS22" i="14" s="1"/>
  <c r="I6" i="14"/>
  <c r="DK8" i="14"/>
  <c r="S8" i="14" s="1"/>
  <c r="U8" i="14" s="1"/>
  <c r="S6" i="14"/>
  <c r="K8" i="14"/>
  <c r="M8" i="14" s="1"/>
  <c r="F14" i="14"/>
  <c r="F8" i="14"/>
  <c r="I14" i="14"/>
  <c r="J14" i="14"/>
  <c r="OP8" i="14"/>
  <c r="J20" i="14"/>
  <c r="F6" i="14"/>
  <c r="R14" i="14"/>
  <c r="R6" i="14"/>
  <c r="J6" i="14"/>
  <c r="K6" i="14"/>
  <c r="M6" i="14" s="1"/>
  <c r="K18" i="14"/>
  <c r="J18" i="14"/>
  <c r="DK18" i="14"/>
  <c r="S18" i="14" s="1"/>
  <c r="R18" i="14"/>
  <c r="I20" i="14"/>
  <c r="DI14" i="14"/>
  <c r="S14" i="14" s="1"/>
  <c r="P14" i="14"/>
  <c r="DI20" i="14"/>
  <c r="P20" i="14"/>
  <c r="I18" i="14"/>
  <c r="I8" i="14"/>
  <c r="OK15" i="4"/>
  <c r="OP15" i="4" s="1"/>
  <c r="MR5" i="12"/>
  <c r="OK23" i="4"/>
  <c r="OP23" i="4" s="1"/>
  <c r="OS22" i="4" s="1"/>
  <c r="OK13" i="4"/>
  <c r="OP13" i="4" s="1"/>
  <c r="OK9" i="4"/>
  <c r="OP9" i="4" s="1"/>
  <c r="OK7" i="4"/>
  <c r="OP7" i="4" s="1"/>
  <c r="OK19" i="4"/>
  <c r="OP19" i="4" s="1"/>
  <c r="OS19" i="4" s="1"/>
  <c r="OK12" i="4"/>
  <c r="OP12" i="4" s="1"/>
  <c r="MR4" i="8"/>
  <c r="MR8" i="8"/>
  <c r="MR6" i="8"/>
  <c r="MR5" i="7"/>
  <c r="MP5" i="7"/>
  <c r="MR8" i="6"/>
  <c r="MR6" i="6"/>
  <c r="MR7" i="6"/>
  <c r="MR4" i="6"/>
  <c r="MR5" i="6"/>
  <c r="MQ18" i="12"/>
  <c r="MR18" i="12"/>
  <c r="MP18" i="12"/>
  <c r="MS18" i="12"/>
  <c r="CD18" i="12"/>
  <c r="L18" i="12" s="1"/>
  <c r="CD4" i="6"/>
  <c r="L4" i="6" s="1"/>
  <c r="CD8" i="6"/>
  <c r="L8" i="6" s="1"/>
  <c r="CD7" i="6"/>
  <c r="L7" i="6" s="1"/>
  <c r="CD5" i="6"/>
  <c r="L5" i="6" s="1"/>
  <c r="M5" i="6" s="1"/>
  <c r="CD4" i="8"/>
  <c r="CD6" i="8"/>
  <c r="CD8" i="8"/>
  <c r="CD5" i="12"/>
  <c r="L5" i="12" s="1"/>
  <c r="CD6" i="6"/>
  <c r="L6" i="6" s="1"/>
  <c r="CD5" i="7"/>
  <c r="DF9" i="4"/>
  <c r="DE9" i="4"/>
  <c r="LT8" i="8"/>
  <c r="LU8" i="8"/>
  <c r="LW8" i="8"/>
  <c r="LT4" i="8"/>
  <c r="LU4" i="8"/>
  <c r="LW4" i="8"/>
  <c r="OS20" i="14" l="1"/>
  <c r="OS21" i="14"/>
  <c r="OS23" i="4"/>
  <c r="OS18" i="4"/>
  <c r="DJ14" i="4"/>
  <c r="L14" i="4"/>
  <c r="N14" i="4" s="1"/>
  <c r="DJ15" i="14"/>
  <c r="M18" i="12"/>
  <c r="CF18" i="12"/>
  <c r="N18" i="12" s="1"/>
  <c r="O15" i="12"/>
  <c r="P15" i="12"/>
  <c r="O12" i="12"/>
  <c r="P12" i="12"/>
  <c r="O4" i="12"/>
  <c r="P4" i="12"/>
  <c r="O7" i="12"/>
  <c r="P7" i="12"/>
  <c r="P16" i="12"/>
  <c r="O16" i="12"/>
  <c r="O6" i="12"/>
  <c r="P6" i="12"/>
  <c r="M5" i="12"/>
  <c r="M8" i="6"/>
  <c r="M4" i="6"/>
  <c r="M6" i="6"/>
  <c r="M7" i="6"/>
  <c r="OS10" i="14"/>
  <c r="OS14" i="14"/>
  <c r="OS14" i="4"/>
  <c r="OS11" i="14"/>
  <c r="M15" i="14"/>
  <c r="DH15" i="14" s="1"/>
  <c r="OS15" i="14"/>
  <c r="OS4" i="14"/>
  <c r="OS15" i="4"/>
  <c r="OS16" i="4"/>
  <c r="L18" i="4"/>
  <c r="N18" i="4" s="1"/>
  <c r="M21" i="14"/>
  <c r="DH21" i="14" s="1"/>
  <c r="L21" i="14"/>
  <c r="DJ7" i="14"/>
  <c r="DJ18" i="4"/>
  <c r="M11" i="4"/>
  <c r="L11" i="4"/>
  <c r="L12" i="14"/>
  <c r="N12" i="14" s="1"/>
  <c r="OS12" i="14"/>
  <c r="OS13" i="14"/>
  <c r="DJ12" i="14"/>
  <c r="S11" i="4"/>
  <c r="U11" i="4" s="1"/>
  <c r="N6" i="7"/>
  <c r="P6" i="7" s="1"/>
  <c r="S13" i="14"/>
  <c r="T13" i="14" s="1"/>
  <c r="OS7" i="14"/>
  <c r="OS17" i="14"/>
  <c r="OS16" i="14"/>
  <c r="OS18" i="14"/>
  <c r="OS19" i="14"/>
  <c r="M7" i="14"/>
  <c r="N7" i="14" s="1"/>
  <c r="OS9" i="14"/>
  <c r="OS13" i="4"/>
  <c r="OS11" i="4"/>
  <c r="OS17" i="4"/>
  <c r="OS12" i="4"/>
  <c r="N10" i="6"/>
  <c r="M10" i="14"/>
  <c r="L10" i="14"/>
  <c r="M11" i="14"/>
  <c r="L11" i="14"/>
  <c r="S19" i="14"/>
  <c r="E19" i="14" s="1"/>
  <c r="M19" i="14"/>
  <c r="DH19" i="14" s="1"/>
  <c r="DJ19" i="14"/>
  <c r="S18" i="4"/>
  <c r="E18" i="4" s="1"/>
  <c r="S14" i="4"/>
  <c r="E14" i="4" s="1"/>
  <c r="S12" i="14"/>
  <c r="T12" i="14" s="1"/>
  <c r="DH12" i="14"/>
  <c r="S20" i="14"/>
  <c r="T20" i="14" s="1"/>
  <c r="S15" i="14"/>
  <c r="E15" i="14" s="1"/>
  <c r="M4" i="14"/>
  <c r="DH4" i="14" s="1"/>
  <c r="L4" i="14"/>
  <c r="DJ6" i="14"/>
  <c r="T7" i="14"/>
  <c r="U7" i="14"/>
  <c r="E7" i="14"/>
  <c r="M13" i="14"/>
  <c r="L13" i="14"/>
  <c r="E10" i="14"/>
  <c r="T10" i="14"/>
  <c r="U10" i="14"/>
  <c r="S11" i="14"/>
  <c r="T11" i="14" s="1"/>
  <c r="L14" i="14"/>
  <c r="M14" i="14"/>
  <c r="DH14" i="14" s="1"/>
  <c r="OS6" i="14"/>
  <c r="OS8" i="14"/>
  <c r="T4" i="14"/>
  <c r="U4" i="14"/>
  <c r="E4" i="14"/>
  <c r="S21" i="14"/>
  <c r="E21" i="14" s="1"/>
  <c r="L20" i="14"/>
  <c r="N20" i="14" s="1"/>
  <c r="L6" i="14"/>
  <c r="N6" i="14" s="1"/>
  <c r="DJ20" i="14"/>
  <c r="DH18" i="4"/>
  <c r="DH14" i="4"/>
  <c r="E6" i="14"/>
  <c r="OS5" i="14"/>
  <c r="OS5" i="4"/>
  <c r="OS4" i="4"/>
  <c r="E18" i="14"/>
  <c r="E14" i="14"/>
  <c r="L8" i="14"/>
  <c r="DJ8" i="14"/>
  <c r="E8" i="14"/>
  <c r="T8" i="14"/>
  <c r="A18" i="14" a="1"/>
  <c r="A18" i="14" s="1"/>
  <c r="DH6" i="14"/>
  <c r="U18" i="14"/>
  <c r="T18" i="14"/>
  <c r="M18" i="14"/>
  <c r="L18" i="14"/>
  <c r="DJ18" i="14"/>
  <c r="DH20" i="14"/>
  <c r="U14" i="14"/>
  <c r="T14" i="14"/>
  <c r="N8" i="14"/>
  <c r="DH8" i="14"/>
  <c r="OS6" i="4"/>
  <c r="OS7" i="4"/>
  <c r="OS8" i="4"/>
  <c r="OS9" i="4"/>
  <c r="OS10" i="4"/>
  <c r="DG9" i="4"/>
  <c r="MT18" i="12"/>
  <c r="F8" i="8"/>
  <c r="G4" i="8"/>
  <c r="J4" i="8"/>
  <c r="K4" i="8" s="1"/>
  <c r="L4" i="8"/>
  <c r="F4" i="8"/>
  <c r="L8" i="8"/>
  <c r="G8" i="8"/>
  <c r="J8" i="8"/>
  <c r="K8" i="8" s="1"/>
  <c r="LX4" i="8"/>
  <c r="MP4" i="8"/>
  <c r="MP8" i="8"/>
  <c r="LX8" i="8"/>
  <c r="MQ4" i="8"/>
  <c r="MS4" i="8"/>
  <c r="MQ8" i="8"/>
  <c r="MS8" i="8"/>
  <c r="A21" i="14" l="1" a="1"/>
  <c r="A21" i="14" s="1"/>
  <c r="N15" i="14"/>
  <c r="O18" i="12"/>
  <c r="P18" i="12"/>
  <c r="O10" i="6"/>
  <c r="P10" i="6"/>
  <c r="N19" i="6"/>
  <c r="N11" i="4"/>
  <c r="DH11" i="4"/>
  <c r="N21" i="14"/>
  <c r="N13" i="14"/>
  <c r="N11" i="14"/>
  <c r="DH11" i="14"/>
  <c r="E13" i="14"/>
  <c r="E11" i="4"/>
  <c r="T11" i="4"/>
  <c r="O6" i="7"/>
  <c r="E6" i="7"/>
  <c r="N10" i="14"/>
  <c r="U13" i="14"/>
  <c r="DH10" i="14"/>
  <c r="E20" i="14"/>
  <c r="U20" i="14"/>
  <c r="U19" i="14"/>
  <c r="DH7" i="14"/>
  <c r="N19" i="14"/>
  <c r="T19" i="14"/>
  <c r="N4" i="14"/>
  <c r="DH13" i="14"/>
  <c r="T18" i="4"/>
  <c r="U18" i="4"/>
  <c r="T14" i="4"/>
  <c r="U14" i="4"/>
  <c r="E12" i="14"/>
  <c r="U12" i="14"/>
  <c r="T15" i="14"/>
  <c r="U15" i="14"/>
  <c r="N14" i="14"/>
  <c r="E11" i="14"/>
  <c r="A9" i="14" s="1" a="1"/>
  <c r="A9" i="14" s="1"/>
  <c r="U11" i="14"/>
  <c r="U21" i="14"/>
  <c r="T21" i="14"/>
  <c r="U6" i="14"/>
  <c r="T6" i="14"/>
  <c r="N18" i="14"/>
  <c r="DH18" i="14"/>
  <c r="H8" i="8"/>
  <c r="I8" i="8" s="1"/>
  <c r="H4" i="8"/>
  <c r="I4" i="8" s="1"/>
  <c r="M8" i="8"/>
  <c r="M4" i="8"/>
  <c r="CF8" i="8"/>
  <c r="MT4" i="8"/>
  <c r="CE8" i="8"/>
  <c r="CF4" i="8"/>
  <c r="MT8" i="8"/>
  <c r="CE4" i="8"/>
  <c r="A8" i="14" l="1" a="1"/>
  <c r="A8" i="14" s="1"/>
  <c r="O19" i="6"/>
  <c r="P19" i="6"/>
  <c r="N11" i="6"/>
  <c r="E19" i="6"/>
  <c r="A7" i="14" a="1"/>
  <c r="A7" i="14" s="1"/>
  <c r="E16" i="12"/>
  <c r="A6" i="14" a="1"/>
  <c r="A6" i="14" s="1"/>
  <c r="E10" i="6"/>
  <c r="A5" i="14" a="1"/>
  <c r="A5" i="14" s="1"/>
  <c r="E12" i="12"/>
  <c r="E7" i="12"/>
  <c r="E4" i="12"/>
  <c r="E15" i="12"/>
  <c r="A4" i="14" a="1"/>
  <c r="A4" i="14" s="1"/>
  <c r="E6" i="12"/>
  <c r="A14" i="14" a="1"/>
  <c r="A14" i="14" s="1"/>
  <c r="A20" i="14" a="1"/>
  <c r="A20" i="14" s="1"/>
  <c r="N8" i="8"/>
  <c r="E8" i="8" s="1"/>
  <c r="N4" i="8"/>
  <c r="E4" i="8" s="1"/>
  <c r="O11" i="6" l="1"/>
  <c r="P11" i="6"/>
  <c r="E11" i="6"/>
  <c r="C11" i="11"/>
  <c r="D15" i="11"/>
  <c r="C12" i="11"/>
  <c r="D16" i="11"/>
  <c r="D14" i="11"/>
  <c r="C16" i="11"/>
  <c r="C10" i="11"/>
  <c r="C13" i="11"/>
  <c r="D10" i="11"/>
  <c r="C17" i="11"/>
  <c r="D13" i="11"/>
  <c r="C14" i="11"/>
  <c r="D17" i="11"/>
  <c r="D12" i="11"/>
  <c r="D11" i="11"/>
  <c r="C15" i="11"/>
  <c r="P8" i="8"/>
  <c r="O8" i="8"/>
  <c r="O4" i="8"/>
  <c r="P4" i="8"/>
  <c r="LT4" i="6" l="1"/>
  <c r="LU4" i="6"/>
  <c r="CE4" i="6" s="1"/>
  <c r="LW4" i="6"/>
  <c r="G4" i="6" l="1"/>
  <c r="F4" i="6"/>
  <c r="LX4" i="6"/>
  <c r="CF4" i="6" s="1"/>
  <c r="H4" i="6" l="1"/>
  <c r="I4" i="6" s="1"/>
  <c r="N4" i="6" l="1"/>
  <c r="O4" i="6" l="1"/>
  <c r="P4" i="6"/>
  <c r="E4" i="6"/>
  <c r="LT5" i="7" l="1"/>
  <c r="LU5" i="7"/>
  <c r="LW5" i="7"/>
  <c r="G5" i="7" l="1"/>
  <c r="F5" i="7"/>
  <c r="L5" i="7"/>
  <c r="CF5" i="7" s="1"/>
  <c r="J5" i="7"/>
  <c r="K5" i="7" s="1"/>
  <c r="LX5" i="7"/>
  <c r="H5" i="7" l="1"/>
  <c r="I5" i="7" s="1"/>
  <c r="CE5" i="7"/>
  <c r="N5" i="7" s="1"/>
  <c r="P5" i="7" s="1"/>
  <c r="M5" i="7"/>
  <c r="E5" i="7" l="1"/>
  <c r="O5" i="7"/>
  <c r="K9" i="4" l="1"/>
  <c r="K19" i="4"/>
  <c r="K15" i="4" l="1"/>
  <c r="K13" i="4"/>
  <c r="K7" i="4"/>
  <c r="K23" i="4"/>
  <c r="K12" i="4"/>
  <c r="M9" i="4"/>
  <c r="NM15" i="4" l="1"/>
  <c r="NM23" i="4"/>
  <c r="NM13" i="4"/>
  <c r="NM19" i="4"/>
  <c r="NM7" i="4"/>
  <c r="NM12" i="4"/>
  <c r="NM9" i="4"/>
  <c r="MP7" i="6" l="1"/>
  <c r="MP4" i="6"/>
  <c r="MP6" i="8"/>
  <c r="MQ5" i="12"/>
  <c r="MS5" i="12"/>
  <c r="MS7" i="6"/>
  <c r="MS4" i="6"/>
  <c r="MP5" i="6"/>
  <c r="MP8" i="6"/>
  <c r="MP6" i="6"/>
  <c r="MS6" i="6"/>
  <c r="MQ6" i="6"/>
  <c r="MQ7" i="6"/>
  <c r="MQ5" i="6"/>
  <c r="MQ4" i="6"/>
  <c r="MS5" i="6"/>
  <c r="MS8" i="6"/>
  <c r="MQ6" i="8"/>
  <c r="MS6" i="8"/>
  <c r="MQ5" i="7"/>
  <c r="MS5" i="7"/>
  <c r="MP5" i="12"/>
  <c r="MQ8" i="6"/>
  <c r="MT4" i="6" l="1"/>
  <c r="MT5" i="12"/>
  <c r="MT7" i="6"/>
  <c r="MT6" i="6"/>
  <c r="MT5" i="7"/>
  <c r="MT6" i="8"/>
  <c r="MT5" i="6"/>
  <c r="MT8" i="6"/>
  <c r="LT7" i="6"/>
  <c r="LT6" i="6"/>
  <c r="LT5" i="6"/>
  <c r="LT8" i="6"/>
  <c r="LT5" i="12" l="1"/>
  <c r="LU6" i="8" l="1"/>
  <c r="G18" i="12"/>
  <c r="LW5" i="12"/>
  <c r="LU5" i="12"/>
  <c r="CE5" i="12" s="1"/>
  <c r="G6" i="8" l="1"/>
  <c r="G5" i="12"/>
  <c r="F5" i="12"/>
  <c r="F18" i="12"/>
  <c r="J6" i="8"/>
  <c r="K6" i="8" s="1"/>
  <c r="LX5" i="12"/>
  <c r="CF5" i="12" s="1"/>
  <c r="N5" i="12" s="1"/>
  <c r="O5" i="12" l="1"/>
  <c r="P5" i="12"/>
  <c r="H5" i="12"/>
  <c r="I5" i="12" s="1"/>
  <c r="H18" i="12"/>
  <c r="I18" i="12" s="1"/>
  <c r="E18" i="12" l="1"/>
  <c r="E5" i="12"/>
  <c r="A7" i="12" l="1"/>
  <c r="A4" i="12"/>
  <c r="A6" i="12"/>
  <c r="A9" i="12"/>
  <c r="A10" i="12"/>
  <c r="A8" i="12"/>
  <c r="A5" i="12"/>
  <c r="A18" i="12"/>
  <c r="LW6" i="6"/>
  <c r="LU6" i="6"/>
  <c r="CE6" i="6" s="1"/>
  <c r="LW7" i="6"/>
  <c r="LU7" i="6"/>
  <c r="CE7" i="6" s="1"/>
  <c r="LW8" i="6"/>
  <c r="LU8" i="6"/>
  <c r="CE8" i="6" s="1"/>
  <c r="LW5" i="6"/>
  <c r="LU5" i="6"/>
  <c r="CE5" i="6" s="1"/>
  <c r="C42" i="11" l="1"/>
  <c r="C49" i="11"/>
  <c r="C43" i="11"/>
  <c r="C44" i="11"/>
  <c r="C45" i="11"/>
  <c r="C46" i="11"/>
  <c r="C47" i="11"/>
  <c r="C48" i="11"/>
  <c r="G8" i="6"/>
  <c r="F8" i="6"/>
  <c r="G7" i="6"/>
  <c r="F7" i="6"/>
  <c r="G5" i="6"/>
  <c r="F5" i="6"/>
  <c r="G6" i="6"/>
  <c r="F6" i="6"/>
  <c r="D43" i="11"/>
  <c r="D48" i="11"/>
  <c r="D49" i="11"/>
  <c r="D42" i="11"/>
  <c r="D44" i="11"/>
  <c r="D45" i="11"/>
  <c r="D46" i="11"/>
  <c r="D47" i="11"/>
  <c r="LX5" i="6"/>
  <c r="CF5" i="6" s="1"/>
  <c r="LX6" i="6"/>
  <c r="CF6" i="6" s="1"/>
  <c r="LX8" i="6"/>
  <c r="CF8" i="6" s="1"/>
  <c r="LX7" i="6"/>
  <c r="CF7" i="6" s="1"/>
  <c r="H8" i="6" l="1"/>
  <c r="I8" i="6" s="1"/>
  <c r="H7" i="6"/>
  <c r="I7" i="6" s="1"/>
  <c r="H6" i="6"/>
  <c r="I6" i="6" s="1"/>
  <c r="H5" i="6"/>
  <c r="I5" i="6" s="1"/>
  <c r="NI9" i="4"/>
  <c r="G9" i="4" s="1"/>
  <c r="F9" i="4" s="1"/>
  <c r="NI12" i="4"/>
  <c r="G12" i="4" s="1"/>
  <c r="F12" i="4" s="1"/>
  <c r="NI7" i="4"/>
  <c r="G7" i="4" s="1"/>
  <c r="F7" i="4" s="1"/>
  <c r="NI23" i="4"/>
  <c r="G23" i="4" s="1"/>
  <c r="F23" i="4" s="1"/>
  <c r="NI19" i="4"/>
  <c r="G19" i="4" s="1"/>
  <c r="NI15" i="4"/>
  <c r="G15" i="4" s="1"/>
  <c r="F15" i="4" s="1"/>
  <c r="NI13" i="4"/>
  <c r="G13" i="4" s="1"/>
  <c r="F13" i="4" s="1"/>
  <c r="F19" i="4" l="1"/>
  <c r="L6" i="8"/>
  <c r="M6" i="8" s="1"/>
  <c r="Q19" i="4" l="1"/>
  <c r="R19" i="4" s="1"/>
  <c r="O19" i="4"/>
  <c r="O15" i="4"/>
  <c r="Q15" i="4"/>
  <c r="R15" i="4" s="1"/>
  <c r="Q13" i="4"/>
  <c r="R13" i="4" s="1"/>
  <c r="O13" i="4"/>
  <c r="Q9" i="4"/>
  <c r="O9" i="4"/>
  <c r="Q12" i="4"/>
  <c r="R12" i="4" s="1"/>
  <c r="O12" i="4"/>
  <c r="Q7" i="4"/>
  <c r="R7" i="4" s="1"/>
  <c r="O7" i="4"/>
  <c r="O23" i="4"/>
  <c r="Q23" i="4"/>
  <c r="R23" i="4" s="1"/>
  <c r="R9" i="4" l="1"/>
  <c r="P13" i="4"/>
  <c r="P7" i="4"/>
  <c r="P12" i="4"/>
  <c r="P15" i="4"/>
  <c r="P9" i="4"/>
  <c r="P19" i="4"/>
  <c r="P23" i="4"/>
  <c r="CE6" i="8"/>
  <c r="M13" i="4" l="1"/>
  <c r="L13" i="4"/>
  <c r="L19" i="4"/>
  <c r="M19" i="4"/>
  <c r="M23" i="4"/>
  <c r="L23" i="4"/>
  <c r="L9" i="4"/>
  <c r="M7" i="4"/>
  <c r="L7" i="4"/>
  <c r="M15" i="4"/>
  <c r="L15" i="4"/>
  <c r="L12" i="4"/>
  <c r="M12" i="4"/>
  <c r="N19" i="4" l="1"/>
  <c r="N12" i="4"/>
  <c r="N7" i="4"/>
  <c r="N9" i="4"/>
  <c r="N23" i="4"/>
  <c r="N15" i="4"/>
  <c r="N13" i="4"/>
  <c r="N6" i="6" l="1"/>
  <c r="O6" i="6" l="1"/>
  <c r="P6" i="6"/>
  <c r="E6" i="6"/>
  <c r="NJ9" i="4"/>
  <c r="NK9" i="4"/>
  <c r="NN9" i="4"/>
  <c r="DK9" i="4" s="1"/>
  <c r="H9" i="4" l="1"/>
  <c r="DI9" i="4"/>
  <c r="S9" i="4" s="1"/>
  <c r="DH9" i="4"/>
  <c r="NL9" i="4"/>
  <c r="J9" i="4" s="1"/>
  <c r="I9" i="4" l="1"/>
  <c r="NO9" i="4"/>
  <c r="DJ9" i="4"/>
  <c r="U9" i="4" l="1"/>
  <c r="E9" i="4"/>
  <c r="T9" i="4"/>
  <c r="LW6" i="8" l="1"/>
  <c r="LT6" i="8"/>
  <c r="F6" i="8" l="1"/>
  <c r="H6" i="8" s="1"/>
  <c r="CF6" i="8"/>
  <c r="LX6" i="8"/>
  <c r="NN19" i="4"/>
  <c r="NK19" i="4"/>
  <c r="NJ19" i="4"/>
  <c r="NN15" i="4"/>
  <c r="NK15" i="4"/>
  <c r="NJ15" i="4"/>
  <c r="H19" i="4" l="1"/>
  <c r="DI19" i="4"/>
  <c r="H15" i="4"/>
  <c r="DI15" i="4"/>
  <c r="I6" i="8"/>
  <c r="DH15" i="4"/>
  <c r="DK15" i="4"/>
  <c r="DH19" i="4"/>
  <c r="DK19" i="4"/>
  <c r="NL19" i="4"/>
  <c r="NL15" i="4"/>
  <c r="J15" i="4" s="1"/>
  <c r="S19" i="4" l="1"/>
  <c r="S15" i="4"/>
  <c r="I19" i="4"/>
  <c r="J19" i="4"/>
  <c r="I15" i="4"/>
  <c r="NO19" i="4"/>
  <c r="NO15" i="4"/>
  <c r="A4" i="7"/>
  <c r="DJ19" i="4"/>
  <c r="DJ15" i="4"/>
  <c r="N6" i="8" l="1"/>
  <c r="P6" i="8" s="1"/>
  <c r="NJ12" i="4"/>
  <c r="NK12" i="4"/>
  <c r="NN12" i="4"/>
  <c r="NJ23" i="4"/>
  <c r="NK23" i="4"/>
  <c r="NN23" i="4"/>
  <c r="NJ7" i="4"/>
  <c r="NK7" i="4"/>
  <c r="NN7" i="4"/>
  <c r="NJ13" i="4"/>
  <c r="NK13" i="4"/>
  <c r="NN13" i="4"/>
  <c r="H7" i="4" l="1"/>
  <c r="DI7" i="4"/>
  <c r="H23" i="4"/>
  <c r="DI23" i="4"/>
  <c r="H13" i="4"/>
  <c r="DI13" i="4"/>
  <c r="H12" i="4"/>
  <c r="DI12" i="4"/>
  <c r="U15" i="4"/>
  <c r="E15" i="4"/>
  <c r="O6" i="8"/>
  <c r="DK7" i="4"/>
  <c r="DH7" i="4"/>
  <c r="DK12" i="4"/>
  <c r="DH12" i="4"/>
  <c r="DH23" i="4"/>
  <c r="DK13" i="4"/>
  <c r="DH13" i="4"/>
  <c r="DK23" i="4"/>
  <c r="T15" i="4"/>
  <c r="E6" i="8"/>
  <c r="NL7" i="4"/>
  <c r="NL13" i="4"/>
  <c r="NL23" i="4"/>
  <c r="NL12" i="4"/>
  <c r="S12" i="4" l="1"/>
  <c r="S7" i="4"/>
  <c r="S23" i="4"/>
  <c r="S13" i="4"/>
  <c r="U19" i="4"/>
  <c r="E19" i="4"/>
  <c r="I13" i="4"/>
  <c r="J13" i="4"/>
  <c r="I7" i="4"/>
  <c r="J7" i="4"/>
  <c r="I12" i="4"/>
  <c r="J12" i="4"/>
  <c r="I23" i="4"/>
  <c r="J23" i="4"/>
  <c r="NO13" i="4"/>
  <c r="NO23" i="4"/>
  <c r="NO7" i="4"/>
  <c r="NO12" i="4"/>
  <c r="N7" i="6"/>
  <c r="N8" i="6"/>
  <c r="DJ7" i="4"/>
  <c r="DJ23" i="4"/>
  <c r="DJ12" i="4"/>
  <c r="DJ13" i="4"/>
  <c r="T19" i="4"/>
  <c r="O7" i="6" l="1"/>
  <c r="P7" i="6"/>
  <c r="O8" i="6"/>
  <c r="P8" i="6"/>
  <c r="N5" i="6"/>
  <c r="P5" i="6" l="1"/>
  <c r="O5" i="6"/>
  <c r="E5" i="6"/>
  <c r="E8" i="6"/>
  <c r="E7" i="6"/>
  <c r="A17" i="6" l="1"/>
  <c r="U13" i="4"/>
  <c r="E13" i="4"/>
  <c r="U7" i="4"/>
  <c r="E7" i="4"/>
  <c r="T7" i="4"/>
  <c r="T13" i="4"/>
  <c r="A4" i="6"/>
  <c r="A10" i="4" l="1" a="1"/>
  <c r="A10" i="4" s="1"/>
  <c r="A18" i="6"/>
  <c r="U23" i="4"/>
  <c r="E23" i="4"/>
  <c r="U12" i="4"/>
  <c r="E12" i="4"/>
  <c r="A4" i="8"/>
  <c r="A8" i="8"/>
  <c r="A7" i="6"/>
  <c r="A5" i="6"/>
  <c r="A8" i="6"/>
  <c r="A6" i="6"/>
  <c r="A5" i="7"/>
  <c r="T23" i="4"/>
  <c r="T12" i="4"/>
  <c r="A7" i="4" a="1"/>
  <c r="A7" i="4" s="1"/>
  <c r="A4" i="4" l="1" a="1"/>
  <c r="A4" i="4" s="1"/>
  <c r="A6" i="4" a="1"/>
  <c r="A6" i="4" s="1"/>
  <c r="A8" i="4" a="1"/>
  <c r="A8" i="4" s="1"/>
  <c r="A5" i="4" a="1"/>
  <c r="A5" i="4" s="1"/>
  <c r="A23" i="4" a="1"/>
  <c r="A23" i="4" s="1"/>
  <c r="A9" i="4" a="1"/>
  <c r="A9" i="4" s="1"/>
  <c r="A13" i="4" a="1"/>
  <c r="A13" i="4" s="1"/>
  <c r="C34" i="11"/>
  <c r="C35" i="11"/>
  <c r="C36" i="11"/>
  <c r="C37" i="11"/>
  <c r="C38" i="11"/>
  <c r="C39" i="11"/>
  <c r="C40" i="11"/>
  <c r="C41" i="11"/>
  <c r="A15" i="4" a="1"/>
  <c r="A15" i="4" s="1"/>
  <c r="A12" i="4" a="1"/>
  <c r="A12" i="4" s="1"/>
  <c r="A19" i="4" a="1"/>
  <c r="A19" i="4" s="1"/>
  <c r="D35" i="11"/>
  <c r="D36" i="11"/>
  <c r="D37" i="11"/>
  <c r="D41" i="11"/>
  <c r="D34" i="11"/>
  <c r="D38" i="11"/>
  <c r="D39" i="11"/>
  <c r="D40" i="11"/>
  <c r="A6" i="8"/>
  <c r="C18" i="11"/>
  <c r="C2" i="11" l="1"/>
  <c r="C26" i="11"/>
  <c r="C27" i="11"/>
  <c r="C28" i="11"/>
  <c r="C29" i="11"/>
  <c r="C30" i="11"/>
  <c r="C31" i="11"/>
  <c r="C32" i="11"/>
  <c r="C33" i="11"/>
  <c r="C20" i="11"/>
  <c r="C22" i="11"/>
  <c r="C24" i="11"/>
  <c r="C21" i="11"/>
  <c r="C25" i="11"/>
  <c r="C23" i="11"/>
  <c r="C19" i="11"/>
  <c r="D27" i="11"/>
  <c r="D26" i="11"/>
  <c r="D29" i="11"/>
  <c r="D28" i="11"/>
  <c r="D31" i="11"/>
  <c r="D33" i="11"/>
  <c r="D32" i="11"/>
  <c r="D30" i="11"/>
  <c r="D19" i="11"/>
  <c r="D20" i="11"/>
  <c r="D21" i="11"/>
  <c r="D18" i="11"/>
  <c r="D22" i="11"/>
  <c r="D23" i="11"/>
  <c r="D24" i="11"/>
  <c r="D25" i="11"/>
  <c r="D3" i="11"/>
  <c r="D4" i="11"/>
  <c r="C4" i="11"/>
  <c r="D5" i="11"/>
  <c r="C5" i="11"/>
  <c r="C7" i="11"/>
  <c r="C8" i="11"/>
  <c r="C9" i="11"/>
  <c r="D6" i="11"/>
  <c r="C6" i="11"/>
  <c r="C3" i="11"/>
  <c r="D7" i="11"/>
  <c r="D8" i="11"/>
  <c r="D9" i="11"/>
  <c r="D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<sst xmlns="http://schemas.openxmlformats.org/spreadsheetml/2006/main" count="3005" uniqueCount="156">
  <si>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</si>
  <si>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</si>
  <si>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</si>
  <si>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</si>
  <si>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</si>
  <si>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</si>
  <si>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</si>
  <si>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</si>
  <si>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</si>
  <si>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</si>
  <si>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</si>
  <si>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</si>
  <si>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</si>
  <si>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</si>
  <si>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</si>
  <si>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</si>
  <si>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</si>
  <si>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</si>
  <si>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</si>
  <si>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</si>
  <si>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</si>
  <si>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</si>
  <si>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</si>
  <si>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</si>
  <si>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</si>
  <si>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Athlete</t>
  </si>
  <si>
    <t>Pass 1</t>
  </si>
  <si>
    <t>Penalty</t>
  </si>
  <si>
    <t>Bonus</t>
  </si>
  <si>
    <t>Pass 2</t>
  </si>
  <si>
    <t>Pass 3</t>
  </si>
  <si>
    <t>Pass 4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</si>
  <si>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</si>
  <si>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</si>
  <si>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</si>
  <si>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</si>
  <si>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</si>
  <si>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</si>
  <si>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</si>
  <si>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</si>
  <si>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</si>
  <si>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</si>
  <si>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</si>
  <si>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</si>
  <si>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</si>
  <si>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</si>
  <si>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</si>
  <si>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</si>
  <si>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</si>
  <si>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</si>
  <si>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</si>
  <si>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</si>
  <si>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</si>
  <si>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</si>
  <si>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</si>
  <si>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</si>
  <si>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</si>
  <si>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</si>
  <si>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</si>
  <si>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National Team DD and Score</t>
  </si>
  <si>
    <t>Excellence Score</t>
  </si>
  <si>
    <t>4 Pass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</si>
  <si>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</si>
  <si>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</si>
  <si>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</si>
  <si>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</si>
  <si>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</si>
  <si>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</si>
  <si>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</si>
  <si>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2021 1st Virtual Technical Trial</t>
  </si>
  <si>
    <t>Merit DD</t>
  </si>
  <si>
    <t>Voluntary 3</t>
  </si>
  <si>
    <t>Vol 3</t>
  </si>
  <si>
    <t>Vol 2 DD</t>
  </si>
  <si>
    <t>Vol 3 DD</t>
  </si>
  <si>
    <t>DD Standard</t>
  </si>
  <si>
    <t>Score Standard</t>
  </si>
  <si>
    <t>DD Met</t>
  </si>
  <si>
    <t>LOVE, Ethan</t>
  </si>
  <si>
    <t>DODD, Gavin</t>
  </si>
  <si>
    <t>DON, Alex</t>
  </si>
  <si>
    <t>LEVASSEUR, Nathan</t>
  </si>
  <si>
    <t>NAGANO, Mariko</t>
  </si>
  <si>
    <t>BONHAM, Maja</t>
  </si>
  <si>
    <t>PEDERSEN, Mitchel</t>
  </si>
  <si>
    <t>SPENCE, Abby</t>
  </si>
  <si>
    <t>ZUREK, Nolan</t>
  </si>
  <si>
    <t>UVAKOV, Chris</t>
  </si>
  <si>
    <t>DYKMAN, Matthew</t>
  </si>
  <si>
    <t>PHANEUF, Zoe</t>
  </si>
  <si>
    <t>Best Optional</t>
  </si>
  <si>
    <t>2nd Best Optional</t>
  </si>
  <si>
    <t>KOOMAN, Spencer</t>
  </si>
  <si>
    <t>KARWACKI, Jordan</t>
  </si>
  <si>
    <t>BECKETT, Lindsey</t>
  </si>
  <si>
    <t>BERTHIAUME, Sara-Jade</t>
  </si>
  <si>
    <t>SK</t>
  </si>
  <si>
    <t>THACKERAY, Nyla</t>
  </si>
  <si>
    <t>METHERAL, Hannah</t>
  </si>
  <si>
    <t>NOSSAK, Sophie</t>
  </si>
  <si>
    <t>HARDJOWASITO, Clare</t>
  </si>
  <si>
    <t>ANDERSON, Julie</t>
  </si>
  <si>
    <t>PAPAKYRIAKOPOULOS, Eleni</t>
  </si>
  <si>
    <t>MCINTOSH, Cyena</t>
  </si>
  <si>
    <t>RABIE, Zayden</t>
  </si>
  <si>
    <t>MASSON, Félix</t>
  </si>
  <si>
    <t>MEYER, Jeremy</t>
  </si>
  <si>
    <t>PARHAR, Jasmine</t>
  </si>
  <si>
    <t>HOWELL, Kayla</t>
  </si>
  <si>
    <t>THOMPSON, Abby</t>
  </si>
  <si>
    <t>RUNDELL, Cc</t>
  </si>
  <si>
    <t>FLYNN, Gabby</t>
  </si>
  <si>
    <t>SEROUART, Guillaume</t>
  </si>
  <si>
    <t>AUBIN, Rémi</t>
  </si>
  <si>
    <t>FRIGON, Charles</t>
  </si>
  <si>
    <t>NB</t>
  </si>
  <si>
    <t>RICHARD, Dexter</t>
  </si>
  <si>
    <t>DODD, Kristina</t>
  </si>
  <si>
    <t>KYFIUK, MacKenzie</t>
  </si>
  <si>
    <t>Worlds Eligible</t>
  </si>
  <si>
    <t>2021 2nd Virtual Technical Trial</t>
  </si>
  <si>
    <t>POLEGATO, Andrew</t>
  </si>
  <si>
    <t>BRENNER, Adin</t>
  </si>
  <si>
    <t>BODNAR, Cassidy</t>
  </si>
  <si>
    <t>MCLEAN, Declan</t>
  </si>
  <si>
    <t>NEUFELD, Simon</t>
  </si>
  <si>
    <t>DALGETTY, McKayla</t>
  </si>
  <si>
    <t>LOVELL-SCHMIDT, Sydney</t>
  </si>
  <si>
    <t>BRUNO, Genna</t>
  </si>
  <si>
    <t>ZIRK, Karys</t>
  </si>
  <si>
    <t>LEBEL, Meggy</t>
  </si>
  <si>
    <t>THOMPSON, Justin</t>
  </si>
  <si>
    <t>MALEK, Philo</t>
  </si>
  <si>
    <t>MOORE, Sara</t>
  </si>
  <si>
    <t>Best 4 Pass</t>
  </si>
  <si>
    <t>2021 Elite Canada</t>
  </si>
  <si>
    <t>EVSTIGNEEV, Gleb</t>
  </si>
  <si>
    <t>NL</t>
  </si>
  <si>
    <t>ROJAS, Alex</t>
  </si>
  <si>
    <t>WALLMAN, Matthew</t>
  </si>
  <si>
    <t>NEUMANN, Alexander</t>
  </si>
  <si>
    <t>GIESBRECHT, Caleb</t>
  </si>
  <si>
    <t>LEBLANC, CEDRYK</t>
  </si>
  <si>
    <t>ANAKA, Ashley</t>
  </si>
  <si>
    <t>SAUVEUR, Laetiah</t>
  </si>
  <si>
    <t>DOHAN, Shelynn</t>
  </si>
  <si>
    <t>CHRISTIE, Emily</t>
  </si>
  <si>
    <t>DION, Amélie</t>
  </si>
  <si>
    <t>MOORE, Riley</t>
  </si>
  <si>
    <t>SININIUC, Alexandra</t>
  </si>
  <si>
    <t>DONG, Helen</t>
  </si>
  <si>
    <t>SCHOLES, Hannah</t>
  </si>
  <si>
    <t>MANCINI, Michael</t>
  </si>
  <si>
    <t>PROULX, Kegan</t>
  </si>
  <si>
    <t>PEPPER, Kate</t>
  </si>
  <si>
    <t>Elite Canada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</si>
</sst>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6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38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9" borderId="0" xfId="0" applyFont="1" applyFill="1"/>
    <xf numFmtId="0" fontId="12" fillId="10" borderId="0" xfId="0" applyFont="1" applyFill="1"/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1" borderId="0" xfId="0" applyFill="1" applyAlignment="1"/>
    <xf numFmtId="0" fontId="0" fillId="11" borderId="0" xfId="0" applyFill="1"/>
    <xf numFmtId="164" fontId="0" fillId="11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9" borderId="1" xfId="0" applyNumberFormat="1" applyFont="1" applyFill="1" applyBorder="1" applyProtection="1">
      <protection locked="0"/>
    </xf>
    <xf numFmtId="164" fontId="12" fillId="10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164" fontId="18" fillId="6" borderId="0" xfId="0" applyNumberFormat="1" applyFont="1" applyFill="1" applyProtection="1">
      <protection locked="0"/>
    </xf>
    <xf numFmtId="164" fontId="19" fillId="13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9" fillId="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6" borderId="0" xfId="0" applyFont="1" applyFill="1" applyAlignment="1"/>
    <xf numFmtId="0" fontId="19" fillId="13" borderId="0" xfId="0" applyFont="1" applyFill="1" applyAlignment="1"/>
    <xf numFmtId="0" fontId="10" fillId="7" borderId="0" xfId="0" applyFont="1" applyFill="1" applyAlignment="1"/>
    <xf numFmtId="0" fontId="9" fillId="5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4" borderId="0" xfId="0" applyFont="1" applyFill="1" applyAlignment="1"/>
    <xf numFmtId="0" fontId="2" fillId="15" borderId="0" xfId="0" applyFont="1" applyFill="1" applyAlignment="1"/>
    <xf numFmtId="164" fontId="21" fillId="14" borderId="0" xfId="0" applyNumberFormat="1" applyFont="1" applyFill="1" applyProtection="1">
      <protection locked="0"/>
    </xf>
    <xf numFmtId="164" fontId="2" fillId="15" borderId="0" xfId="0" applyNumberFormat="1" applyFont="1" applyFill="1" applyProtection="1">
      <protection locked="0"/>
    </xf>
    <xf numFmtId="164" fontId="3" fillId="0" borderId="0" xfId="0" applyNumberFormat="1" applyFont="1" applyFill="1"/>
    <xf numFmtId="0" fontId="5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6" fillId="0" borderId="0" xfId="0" applyNumberFormat="1" applyFont="1" applyFill="1" applyBorder="1" applyProtection="1">
      <protection locked="0"/>
    </xf>
    <xf numFmtId="164" fontId="20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Protection="1">
      <protection locked="0"/>
    </xf>
    <xf numFmtId="164" fontId="12" fillId="0" borderId="0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164" fontId="21" fillId="14" borderId="0" xfId="0" applyNumberFormat="1" applyFont="1" applyFill="1" applyAlignment="1" applyProtection="1">
      <protection locked="0"/>
    </xf>
    <xf numFmtId="164" fontId="2" fillId="15" borderId="0" xfId="0" applyNumberFormat="1" applyFont="1" applyFill="1" applyAlignment="1" applyProtection="1">
      <protection locked="0"/>
    </xf>
    <xf numFmtId="164" fontId="21" fillId="16" borderId="0" xfId="0" applyNumberFormat="1" applyFont="1" applyFill="1" applyProtection="1">
      <protection locked="0"/>
    </xf>
    <xf numFmtId="0" fontId="0" fillId="0" borderId="0" xfId="0" applyFill="1" applyBorder="1" applyAlignment="1"/>
    <xf numFmtId="164" fontId="22" fillId="3" borderId="1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3" fillId="17" borderId="0" xfId="0" applyFont="1" applyFill="1" applyAlignment="1"/>
    <xf numFmtId="164" fontId="23" fillId="17" borderId="0" xfId="0" applyNumberFormat="1" applyFont="1" applyFill="1" applyProtection="1">
      <protection locked="0"/>
    </xf>
    <xf numFmtId="0" fontId="25" fillId="5" borderId="0" xfId="0" applyFont="1" applyFill="1" applyAlignment="1"/>
    <xf numFmtId="164" fontId="25" fillId="5" borderId="0" xfId="0" applyNumberFormat="1" applyFont="1" applyFill="1" applyProtection="1">
      <protection locked="0"/>
    </xf>
    <xf numFmtId="0" fontId="24" fillId="18" borderId="0" xfId="0" applyFont="1" applyFill="1" applyAlignment="1"/>
    <xf numFmtId="164" fontId="24" fillId="18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6" fillId="0" borderId="0" xfId="0" applyNumberFormat="1" applyFont="1" applyFill="1" applyProtection="1">
      <protection locked="0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3" borderId="0" xfId="0" applyFont="1" applyFill="1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3" fillId="11" borderId="0" xfId="0" applyFont="1" applyFill="1" applyAlignment="1" applyProtection="1">
      <alignment horizontal="center"/>
      <protection locked="0"/>
    </xf>
    <xf numFmtId="0" fontId="12" fillId="10" borderId="0" xfId="0" applyFont="1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3" fillId="10" borderId="0" xfId="0" applyFont="1" applyFill="1" applyAlignment="1" applyProtection="1">
      <alignment horizontal="center"/>
      <protection locked="0"/>
    </xf>
    <xf numFmtId="0" fontId="13" fillId="9" borderId="0" xfId="0" applyFont="1" applyFill="1" applyAlignment="1" applyProtection="1">
      <alignment horizontal="center"/>
      <protection locked="0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47">
    <dxf>
      <font>
        <color rgb="FF07B459"/>
      </font>
      <fill>
        <patternFill>
          <bgColor rgb="FFE3EFD9"/>
        </patternFill>
      </fill>
    </dxf>
    <dxf>
      <font>
        <color rgb="FF14B3F0"/>
      </font>
      <fill>
        <patternFill>
          <bgColor rgb="FFDDEBF8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strike val="0"/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50</xdr:row>
          <xdr:rowOff>25400</xdr:rowOff>
        </xdr:from>
        <xdr:to>
          <xdr:col>0</xdr:col>
          <xdr:colOff>965200</xdr:colOff>
          <xdr:row>50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51</xdr:row>
          <xdr:rowOff>25400</xdr:rowOff>
        </xdr:from>
        <xdr:to>
          <xdr:col>0</xdr:col>
          <xdr:colOff>965200</xdr:colOff>
          <xdr:row>51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52</xdr:row>
          <xdr:rowOff>38100</xdr:rowOff>
        </xdr:from>
        <xdr:to>
          <xdr:col>0</xdr:col>
          <xdr:colOff>965200</xdr:colOff>
          <xdr:row>52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53</xdr:row>
          <xdr:rowOff>25400</xdr:rowOff>
        </xdr:from>
        <xdr:to>
          <xdr:col>0</xdr:col>
          <xdr:colOff>977900</xdr:colOff>
          <xdr:row>53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55</xdr:row>
          <xdr:rowOff>25400</xdr:rowOff>
        </xdr:from>
        <xdr:to>
          <xdr:col>0</xdr:col>
          <xdr:colOff>977900</xdr:colOff>
          <xdr:row>55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56</xdr:row>
          <xdr:rowOff>25400</xdr:rowOff>
        </xdr:from>
        <xdr:to>
          <xdr:col>0</xdr:col>
          <xdr:colOff>965200</xdr:colOff>
          <xdr:row>56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54</xdr:row>
          <xdr:rowOff>25400</xdr:rowOff>
        </xdr:from>
        <xdr:to>
          <xdr:col>0</xdr:col>
          <xdr:colOff>977900</xdr:colOff>
          <xdr:row>54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63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38</v>
      </c>
      <c r="B1" t="s">
        <v>1</v>
      </c>
      <c r="C1" t="s">
        <v>40</v>
      </c>
      <c r="D1" s="116" t="s">
        <v>9</v>
      </c>
      <c r="E1" s="45"/>
      <c r="F1" s="45"/>
      <c r="J1" s="45"/>
      <c r="K1" s="45"/>
      <c r="L1" s="45"/>
    </row>
    <row r="2" spans="1:12" x14ac:dyDescent="0.2">
      <c r="A2" s="10" t="s">
        <v>39</v>
      </c>
      <c r="B2" s="10">
        <v>1</v>
      </c>
      <c r="C2" s="10" t="str">
        <f>IF(B2&gt;MAX('TRA-M'!A:A),"",INDEX('TRA-M'!B:B,MATCH(B2,'TRA-M'!A:A,0)))</f>
        <v>AUBIN, Rémi</v>
      </c>
      <c r="D2" s="112" t="str">
        <f>IF(B2&gt;MAX('TRA-M'!A:A),"",INDEX('TRA-M'!I:I,MATCH(B2,'TRA-M'!A:A,0)))</f>
        <v>National Team</v>
      </c>
      <c r="E2" s="25"/>
      <c r="F2" s="25"/>
    </row>
    <row r="3" spans="1:12" x14ac:dyDescent="0.2">
      <c r="A3" s="10"/>
      <c r="B3" s="10">
        <v>2</v>
      </c>
      <c r="C3" s="10" t="str">
        <f>IF(B3&gt;MAX('TRA-M'!A:A),"",INDEX('TRA-M'!B:B,MATCH(B3,'TRA-M'!A:A,0)))</f>
        <v>SEROUART, Guillaume</v>
      </c>
      <c r="D3" s="112" t="str">
        <f>IF(B3&gt;MAX('TRA-M'!A:A),"",INDEX('TRA-M'!I:I,MATCH(B3,'TRA-M'!A:A,0)))</f>
        <v>National Team</v>
      </c>
      <c r="E3" s="25"/>
      <c r="F3" s="25"/>
    </row>
    <row r="4" spans="1:12" x14ac:dyDescent="0.2">
      <c r="A4" s="10"/>
      <c r="B4" s="10">
        <v>3</v>
      </c>
      <c r="C4" s="10" t="str">
        <f>IF(B4&gt;MAX('TRA-M'!A:A),"",INDEX('TRA-M'!B:B,MATCH(B4,'TRA-M'!A:A,0)))</f>
        <v>RICHARD, Dexter</v>
      </c>
      <c r="D4" s="112" t="str">
        <f>IF(B4&gt;MAX('TRA-M'!A:A),"",INDEX('TRA-M'!I:I,MATCH(B4,'TRA-M'!A:A,0)))</f>
        <v>National Team</v>
      </c>
      <c r="E4" s="25"/>
      <c r="F4" s="25"/>
    </row>
    <row r="5" spans="1:12" x14ac:dyDescent="0.2">
      <c r="A5" s="10"/>
      <c r="B5" s="10">
        <v>4</v>
      </c>
      <c r="C5" s="10" t="str">
        <f>IF(B5&gt;MAX('TRA-M'!A:A),"",INDEX('TRA-M'!B:B,MATCH(B5,'TRA-M'!A:A,0)))</f>
        <v>DODD, Gavin</v>
      </c>
      <c r="D5" s="112" t="str">
        <f>IF(B5&gt;MAX('TRA-M'!A:A),"",INDEX('TRA-M'!I:I,MATCH(B5,'TRA-M'!A:A,0)))</f>
        <v>National Team</v>
      </c>
    </row>
    <row r="6" spans="1:12" x14ac:dyDescent="0.2">
      <c r="A6" s="10"/>
      <c r="B6" s="10">
        <v>5</v>
      </c>
      <c r="C6" s="10" t="str">
        <f>IF(B6&gt;MAX('TRA-M'!A:A),"",INDEX('TRA-M'!B:B,MATCH(B6,'TRA-M'!A:A,0)))</f>
        <v>FRIGON, Charles</v>
      </c>
      <c r="D6" s="112" t="str">
        <f>IF(B6&gt;MAX('TRA-M'!A:A),"",INDEX('TRA-M'!I:I,MATCH(B6,'TRA-M'!A:A,0)))</f>
        <v>National Team</v>
      </c>
    </row>
    <row r="7" spans="1:12" x14ac:dyDescent="0.2">
      <c r="A7" s="10"/>
      <c r="B7" s="10">
        <v>6</v>
      </c>
      <c r="C7" s="10" t="str">
        <f>IF(B7&gt;MAX('TRA-M'!A:A),"",INDEX('TRA-M'!B:B,MATCH(B7,'TRA-M'!A:A,0)))</f>
        <v>LOVE, Ethan</v>
      </c>
      <c r="D7" s="112" t="str">
        <f>IF(B7&gt;MAX('TRA-M'!A:A),"",INDEX('TRA-M'!I:I,MATCH(B7,'TRA-M'!A:A,0)))</f>
        <v>National Team</v>
      </c>
      <c r="G7" s="46"/>
    </row>
    <row r="8" spans="1:12" x14ac:dyDescent="0.2">
      <c r="A8" s="10"/>
      <c r="B8" s="10">
        <v>7</v>
      </c>
      <c r="C8" s="10" t="str">
        <f>IF(B8&gt;MAX('TRA-M'!A:A),"",INDEX('TRA-M'!B:B,MATCH(B8,'TRA-M'!A:A,0)))</f>
        <v>MCLEAN, Declan</v>
      </c>
      <c r="D8" s="112" t="str">
        <f>IF(B8&gt;MAX('TRA-M'!A:A),"",INDEX('TRA-M'!I:I,MATCH(B8,'TRA-M'!A:A,0)))</f>
        <v>National Team</v>
      </c>
      <c r="G8" s="46"/>
    </row>
    <row r="9" spans="1:12" x14ac:dyDescent="0.2">
      <c r="A9" s="10"/>
      <c r="B9" s="10">
        <v>8</v>
      </c>
      <c r="C9" s="10" t="str">
        <f>IF(B9&gt;MAX('TRA-M'!A:A),"",INDEX('TRA-M'!B:B,MATCH(B9,'TRA-M'!A:A,0)))</f>
        <v>EVSTIGNEEV, Gleb</v>
      </c>
      <c r="D9" s="112" t="str">
        <f>IF(B9&gt;MAX('TRA-M'!A:A),"",INDEX('TRA-M'!I:I,MATCH(B9,'TRA-M'!A:A,0)))</f>
        <v>No DD</v>
      </c>
    </row>
    <row r="10" spans="1:12" x14ac:dyDescent="0.2">
      <c r="A10" s="13" t="s">
        <v>42</v>
      </c>
      <c r="B10" s="13">
        <v>1</v>
      </c>
      <c r="C10" s="13" t="str">
        <f>IF(B2&gt;MAX('TRA-W'!A:A),"",INDEX('TRA-W'!B:B,MATCH(B2,'TRA-W'!A:A,0)))</f>
        <v>BERTHIAUME, Sara-Jade</v>
      </c>
      <c r="D10" s="113" t="str">
        <f>IF(B2&gt;MAX('TRA-W'!A:A),"",INDEX('TRA-W'!I:I,MATCH(B2,'TRA-W'!A:A,0)))</f>
        <v>National Team</v>
      </c>
    </row>
    <row r="11" spans="1:12" x14ac:dyDescent="0.2">
      <c r="A11" s="13"/>
      <c r="B11" s="13">
        <v>2</v>
      </c>
      <c r="C11" s="13" t="str">
        <f>IF(B3&gt;MAX('TRA-W'!A:A),"",INDEX('TRA-W'!B:B,MATCH(B3,'TRA-W'!A:A,0)))</f>
        <v>FLYNN, Gabby</v>
      </c>
      <c r="D11" s="119" t="str">
        <f>IF(B3&gt;MAX('TRA-W'!A:A),"",INDEX('TRA-W'!I:I,MATCH(B3,'TRA-W'!A:A,0)))</f>
        <v>National Team</v>
      </c>
    </row>
    <row r="12" spans="1:12" x14ac:dyDescent="0.2">
      <c r="A12" s="13"/>
      <c r="B12" s="13">
        <v>3</v>
      </c>
      <c r="C12" s="13" t="str">
        <f>IF(B4&gt;MAX('TRA-W'!A:A),"",INDEX('TRA-W'!B:B,MATCH(B4,'TRA-W'!A:A,0)))</f>
        <v>BONHAM, Maja</v>
      </c>
      <c r="D12" s="119" t="str">
        <f>IF(B4&gt;MAX('TRA-W'!A:A),"",INDEX('TRA-W'!I:I,MATCH(B4,'TRA-W'!A:A,0)))</f>
        <v>National Team</v>
      </c>
    </row>
    <row r="13" spans="1:12" x14ac:dyDescent="0.2">
      <c r="A13" s="13"/>
      <c r="B13" s="13">
        <v>4</v>
      </c>
      <c r="C13" s="13" t="str">
        <f>IF(B5&gt;MAX('TRA-W'!A:A),"",INDEX('TRA-W'!B:B,MATCH(B5,'TRA-W'!A:A,0)))</f>
        <v>ANDERSON, Julie</v>
      </c>
      <c r="D13" s="119" t="str">
        <f>IF(B5&gt;MAX('TRA-W'!A:A),"",INDEX('TRA-W'!I:I,MATCH(B5,'TRA-W'!A:A,0)))</f>
        <v>No DD</v>
      </c>
    </row>
    <row r="14" spans="1:12" x14ac:dyDescent="0.2">
      <c r="A14" s="13"/>
      <c r="B14" s="13">
        <v>5</v>
      </c>
      <c r="C14" s="13" t="str">
        <f>IF(B6&gt;MAX('TRA-W'!A:A),"",INDEX('TRA-W'!B:B,MATCH(B6,'TRA-W'!A:A,0)))</f>
        <v>ANAKA, Ashley</v>
      </c>
      <c r="D14" s="119" t="str">
        <f>IF(B6&gt;MAX('TRA-W'!A:A),"",INDEX('TRA-W'!I:I,MATCH(B6,'TRA-W'!A:A,0)))</f>
        <v>No DD</v>
      </c>
    </row>
    <row r="15" spans="1:12" x14ac:dyDescent="0.2">
      <c r="A15" s="13"/>
      <c r="B15" s="13">
        <v>6</v>
      </c>
      <c r="C15" s="13" t="str">
        <f>IF(B7&gt;MAX('TRA-W'!A:A),"",INDEX('TRA-W'!B:B,MATCH(B7,'TRA-W'!A:A,0)))</f>
        <v>LEBEL, Meggy</v>
      </c>
      <c r="D15" s="119" t="str">
        <f>IF(B7&gt;MAX('TRA-W'!A:A),"",INDEX('TRA-W'!I:I,MATCH(B7,'TRA-W'!A:A,0)))</f>
        <v>No DD</v>
      </c>
    </row>
    <row r="16" spans="1:12" hidden="1" x14ac:dyDescent="0.2">
      <c r="A16" s="13"/>
      <c r="B16" s="13">
        <v>7</v>
      </c>
      <c r="C16" s="13" t="str">
        <f>IF(B8&gt;MAX('TRA-W'!A:A),"",INDEX('TRA-W'!B:B,MATCH(B8,'TRA-W'!A:A,0)))</f>
        <v/>
      </c>
      <c r="D16" s="119" t="str">
        <f>IF(B8&gt;MAX('TRA-W'!A:A),"",INDEX('TRA-W'!I:I,MATCH(B8,'TRA-W'!A:A,0)))</f>
        <v/>
      </c>
      <c r="J16" s="45"/>
    </row>
    <row r="17" spans="1:10" hidden="1" x14ac:dyDescent="0.2">
      <c r="A17" s="13"/>
      <c r="B17" s="13">
        <v>8</v>
      </c>
      <c r="C17" s="13" t="str">
        <f>IF(B9&gt;MAX('TRA-W'!A:A),"",INDEX('TRA-W'!B:B,MATCH(B9,'TRA-W'!A:A,0)))</f>
        <v/>
      </c>
      <c r="D17" s="119" t="str">
        <f>IF(B9&gt;MAX('TRA-W'!A:A),"",INDEX('TRA-W'!I:I,MATCH(B9,'TRA-W'!A:A,0)))</f>
        <v/>
      </c>
      <c r="J17" s="45"/>
    </row>
    <row r="18" spans="1:10" x14ac:dyDescent="0.2">
      <c r="A18" s="10" t="s">
        <v>43</v>
      </c>
      <c r="B18" s="10">
        <v>1</v>
      </c>
      <c r="C18" s="10" t="str">
        <f>IF(B2&gt;MAX('TUM-M'!A:A),"",INDEX('TUM-M'!B:B,MATCH(B2,'TUM-M'!A:A,0)))</f>
        <v>THOMPSON, Justin</v>
      </c>
      <c r="D18" s="112" t="str">
        <f>IF(B2&gt;MAX('TUM-M'!A:A),"",INDEX('TUM-M'!H:H,MATCH(B2,'TUM-M'!A:A,0)))</f>
        <v>National Team</v>
      </c>
    </row>
    <row r="19" spans="1:10" x14ac:dyDescent="0.2">
      <c r="A19" s="10"/>
      <c r="B19" s="10">
        <v>2</v>
      </c>
      <c r="C19" s="10" t="str">
        <f>IF(B3&gt;MAX('TUM-M'!A:A),"",INDEX('TUM-M'!B:B,MATCH(B3,'TUM-M'!A:A,0)))</f>
        <v>PEDERSEN, Mitchel</v>
      </c>
      <c r="D19" s="112" t="str">
        <f>IF(B3&gt;MAX('TUM-M'!A:A),"",INDEX('TUM-M'!H:H,MATCH(B3,'TUM-M'!A:A,0)))</f>
        <v>National Team</v>
      </c>
    </row>
    <row r="20" spans="1:10" hidden="1" x14ac:dyDescent="0.2">
      <c r="A20" s="10"/>
      <c r="B20" s="10">
        <v>3</v>
      </c>
      <c r="C20" s="10" t="str">
        <f>IF(B4&gt;MAX('TUM-M'!A:A),"",INDEX('TUM-M'!B:B,MATCH(B4,'TUM-M'!A:A,0)))</f>
        <v/>
      </c>
      <c r="D20" s="112" t="str">
        <f>IF(B4&gt;MAX('TUM-M'!A:A),"",INDEX('TUM-M'!H:H,MATCH(B4,'TUM-M'!A:A,0)))</f>
        <v/>
      </c>
    </row>
    <row r="21" spans="1:10" hidden="1" x14ac:dyDescent="0.2">
      <c r="A21" s="10"/>
      <c r="B21" s="10">
        <v>4</v>
      </c>
      <c r="C21" s="10" t="str">
        <f>IF(B5&gt;MAX('TUM-M'!A:A),"",INDEX('TUM-M'!B:B,MATCH(B5,'TUM-M'!A:A,0)))</f>
        <v/>
      </c>
      <c r="D21" s="112" t="str">
        <f>IF(B5&gt;MAX('TUM-M'!A:A),"",INDEX('TUM-M'!H:H,MATCH(B5,'TUM-M'!A:A,0)))</f>
        <v/>
      </c>
    </row>
    <row r="22" spans="1:10" hidden="1" x14ac:dyDescent="0.2">
      <c r="A22" s="10"/>
      <c r="B22" s="10">
        <v>5</v>
      </c>
      <c r="C22" s="10" t="str">
        <f>IF(B6&gt;MAX('TUM-M'!A:A),"",INDEX('TUM-M'!B:B,MATCH(B6,'TUM-M'!A:A,0)))</f>
        <v/>
      </c>
      <c r="D22" s="112" t="str">
        <f>IF(B6&gt;MAX('TUM-M'!A:A),"",INDEX('TUM-M'!H:H,MATCH(B6,'TUM-M'!A:A,0)))</f>
        <v/>
      </c>
    </row>
    <row r="23" spans="1:10" hidden="1" x14ac:dyDescent="0.2">
      <c r="A23" s="10"/>
      <c r="B23" s="10">
        <v>6</v>
      </c>
      <c r="C23" s="10" t="str">
        <f>IF(B7&gt;MAX('TUM-M'!A:A),"",INDEX('TUM-M'!B:B,MATCH(B7,'TUM-M'!A:A,0)))</f>
        <v/>
      </c>
      <c r="D23" s="112" t="str">
        <f>IF(B7&gt;MAX('TUM-M'!A:A),"",INDEX('TUM-M'!H:H,MATCH(B7,'TUM-M'!A:A,0)))</f>
        <v/>
      </c>
    </row>
    <row r="24" spans="1:10" hidden="1" x14ac:dyDescent="0.2">
      <c r="A24" s="10"/>
      <c r="B24" s="10">
        <v>7</v>
      </c>
      <c r="C24" s="10" t="str">
        <f>IF(B8&gt;MAX('TUM-M'!A:A),"",INDEX('TUM-M'!B:B,MATCH(B8,'TUM-M'!A:A,0)))</f>
        <v/>
      </c>
      <c r="D24" s="112" t="str">
        <f>IF(B8&gt;MAX('TUM-M'!A:A),"",INDEX('TUM-M'!H:H,MATCH(B8,'TUM-M'!A:A,0)))</f>
        <v/>
      </c>
    </row>
    <row r="25" spans="1:10" hidden="1" x14ac:dyDescent="0.2">
      <c r="A25" s="10"/>
      <c r="B25" s="10">
        <v>8</v>
      </c>
      <c r="C25" s="10" t="str">
        <f>IF(B9&gt;MAX('TUM-M'!A:A),"",INDEX('TUM-M'!B:B,MATCH(B9,'TUM-M'!A:A,0)))</f>
        <v/>
      </c>
      <c r="D25" s="112" t="str">
        <f>IF(B9&gt;MAX('TUM-M'!A:A),"",INDEX('TUM-M'!H:H,MATCH(B9,'TUM-M'!A:A,0)))</f>
        <v/>
      </c>
    </row>
    <row r="26" spans="1:10" hidden="1" x14ac:dyDescent="0.2">
      <c r="A26" s="13" t="s">
        <v>44</v>
      </c>
      <c r="B26" s="13">
        <v>1</v>
      </c>
      <c r="C26" s="13" t="str">
        <f>IF(B2&gt;MAX('TUM-W'!A:A),"",INDEX('TUM-W'!B:B,MATCH(B2,'TUM-W'!A:A,0)))</f>
        <v/>
      </c>
      <c r="D26" s="113" t="str">
        <f>IF(B2&gt;MAX('TUM-W'!A:A),"",INDEX('TUM-W'!H:H,MATCH(B2,'TUM-W'!A:A,0)))</f>
        <v/>
      </c>
    </row>
    <row r="27" spans="1:10" hidden="1" x14ac:dyDescent="0.2">
      <c r="A27" s="13"/>
      <c r="B27" s="13">
        <v>2</v>
      </c>
      <c r="C27" s="13" t="str">
        <f>IF(B3&gt;MAX('TUM-W'!A:A),"",INDEX('TUM-W'!B:B,MATCH(B3,'TUM-W'!A:A,0)))</f>
        <v/>
      </c>
      <c r="D27" s="113" t="str">
        <f>IF(B3&gt;MAX('TUM-W'!A:A),"",INDEX('TUM-W'!H:H,MATCH(B3,'TUM-W'!A:A,0)))</f>
        <v/>
      </c>
    </row>
    <row r="28" spans="1:10" hidden="1" x14ac:dyDescent="0.2">
      <c r="A28" s="13"/>
      <c r="B28" s="13">
        <v>3</v>
      </c>
      <c r="C28" s="13" t="str">
        <f>IF(B4&gt;MAX('TUM-W'!A:A),"",INDEX('TUM-W'!B:B,MATCH(B4,'TUM-W'!A:A,0)))</f>
        <v/>
      </c>
      <c r="D28" s="113" t="str">
        <f>IF(B4&gt;MAX('TUM-W'!A:A),"",INDEX('TUM-W'!H:H,MATCH(B4,'TUM-W'!A:A,0)))</f>
        <v/>
      </c>
    </row>
    <row r="29" spans="1:10" hidden="1" x14ac:dyDescent="0.2">
      <c r="A29" s="13"/>
      <c r="B29" s="13">
        <v>4</v>
      </c>
      <c r="C29" s="13" t="str">
        <f>IF(B5&gt;MAX('TUM-W'!A:A),"",INDEX('TUM-W'!B:B,MATCH(B5,'TUM-W'!A:A,0)))</f>
        <v/>
      </c>
      <c r="D29" s="113" t="str">
        <f>IF(B5&gt;MAX('TUM-W'!A:A),"",INDEX('TUM-W'!H:H,MATCH(B5,'TUM-W'!A:A,0)))</f>
        <v/>
      </c>
    </row>
    <row r="30" spans="1:10" hidden="1" x14ac:dyDescent="0.2">
      <c r="A30" s="13"/>
      <c r="B30" s="13">
        <v>5</v>
      </c>
      <c r="C30" s="13" t="str">
        <f>IF(B6&gt;MAX('TUM-W'!A:A),"",INDEX('TUM-W'!B:B,MATCH(B6,'TUM-W'!A:A,0)))</f>
        <v/>
      </c>
      <c r="D30" s="113" t="str">
        <f>IF(B6&gt;MAX('TUM-W'!A:A),"",INDEX('TUM-W'!H:H,MATCH(B6,'TUM-W'!A:A,0)))</f>
        <v/>
      </c>
    </row>
    <row r="31" spans="1:10" hidden="1" x14ac:dyDescent="0.2">
      <c r="A31" s="13"/>
      <c r="B31" s="13">
        <v>6</v>
      </c>
      <c r="C31" s="13" t="str">
        <f>IF(B7&gt;MAX('TUM-W'!A:A),"",INDEX('TUM-W'!B:B,MATCH(B7,'TUM-W'!A:A,0)))</f>
        <v/>
      </c>
      <c r="D31" s="113" t="str">
        <f>IF(B7&gt;MAX('TUM-W'!A:A),"",INDEX('TUM-W'!H:H,MATCH(B7,'TUM-W'!A:A,0)))</f>
        <v/>
      </c>
    </row>
    <row r="32" spans="1:10" hidden="1" x14ac:dyDescent="0.2">
      <c r="A32" s="13"/>
      <c r="B32" s="13">
        <v>7</v>
      </c>
      <c r="C32" s="13" t="str">
        <f>IF(B8&gt;MAX('TUM-W'!A:A),"",INDEX('TUM-W'!B:B,MATCH(B8,'TUM-W'!A:A,0)))</f>
        <v/>
      </c>
      <c r="D32" s="113" t="str">
        <f>IF(B8&gt;MAX('TUM-W'!A:A),"",INDEX('TUM-W'!H:H,MATCH(B8,'TUM-W'!A:A,0)))</f>
        <v/>
      </c>
    </row>
    <row r="33" spans="1:4" hidden="1" x14ac:dyDescent="0.2">
      <c r="A33" s="13"/>
      <c r="B33" s="13">
        <v>8</v>
      </c>
      <c r="C33" s="13" t="str">
        <f>IF(B9&gt;MAX('TUM-W'!A:A),"",INDEX('TUM-W'!B:B,MATCH(B9,'TUM-W'!A:A,0)))</f>
        <v/>
      </c>
      <c r="D33" s="113" t="str">
        <f>IF(B9&gt;MAX('TUM-W'!A:A),"",INDEX('TUM-W'!H:H,MATCH(B9,'TUM-W'!A:A,0)))</f>
        <v/>
      </c>
    </row>
    <row r="34" spans="1:4" x14ac:dyDescent="0.2">
      <c r="A34" s="10" t="s">
        <v>45</v>
      </c>
      <c r="B34" s="10">
        <v>1</v>
      </c>
      <c r="C34" s="10" t="str">
        <f>IF(B2&gt;MAX('DMT-M'!A:A),"",INDEX('DMT-M'!B:B,MATCH(B2,'DMT-M'!A:A,0)))</f>
        <v>DODD, Gavin</v>
      </c>
      <c r="D34" s="112" t="str">
        <f>IF(B2&gt;MAX('DMT-M'!A:A),"",INDEX('DMT-M'!H:H,MATCH(B2,'DMT-M'!A:A,0)))</f>
        <v>National Team</v>
      </c>
    </row>
    <row r="35" spans="1:4" x14ac:dyDescent="0.2">
      <c r="A35" s="10"/>
      <c r="B35" s="10">
        <v>2</v>
      </c>
      <c r="C35" s="10" t="str">
        <f>IF(B3&gt;MAX('DMT-M'!A:A),"",INDEX('DMT-M'!B:B,MATCH(B3,'DMT-M'!A:A,0)))</f>
        <v>LUPISH, Kieran</v>
      </c>
      <c r="D35" s="112" t="str">
        <f>IF(B3&gt;MAX('DMT-M'!A:A),"",INDEX('DMT-M'!H:H,MATCH(B3,'DMT-M'!A:A,0)))</f>
        <v>National Team</v>
      </c>
    </row>
    <row r="36" spans="1:4" x14ac:dyDescent="0.2">
      <c r="A36" s="10"/>
      <c r="B36" s="10">
        <v>3</v>
      </c>
      <c r="C36" s="10" t="str">
        <f>IF(B4&gt;MAX('DMT-M'!A:A),"",INDEX('DMT-M'!B:B,MATCH(B4,'DMT-M'!A:A,0)))</f>
        <v>PEDERSEN, Mitchel</v>
      </c>
      <c r="D36" s="112" t="str">
        <f>IF(B4&gt;MAX('DMT-M'!A:A),"",INDEX('DMT-M'!H:H,MATCH(B4,'DMT-M'!A:A,0)))</f>
        <v>National Team</v>
      </c>
    </row>
    <row r="37" spans="1:4" x14ac:dyDescent="0.2">
      <c r="A37" s="10"/>
      <c r="B37" s="10">
        <v>4</v>
      </c>
      <c r="C37" s="10" t="str">
        <f>IF(B5&gt;MAX('DMT-M'!A:A),"",INDEX('DMT-M'!B:B,MATCH(B5,'DMT-M'!A:A,0)))</f>
        <v>ZUREK, Nolan</v>
      </c>
      <c r="D37" s="112" t="str">
        <f>IF(B5&gt;MAX('DMT-M'!A:A),"",INDEX('DMT-M'!H:H,MATCH(B5,'DMT-M'!A:A,0)))</f>
        <v>National Team</v>
      </c>
    </row>
    <row r="38" spans="1:4" x14ac:dyDescent="0.2">
      <c r="A38" s="10"/>
      <c r="B38" s="10">
        <v>5</v>
      </c>
      <c r="C38" s="10" t="str">
        <f>IF(B6&gt;MAX('DMT-M'!A:A),"",INDEX('DMT-M'!B:B,MATCH(B6,'DMT-M'!A:A,0)))</f>
        <v>DYKMAN, Matthew</v>
      </c>
      <c r="D38" s="112" t="str">
        <f>IF(B6&gt;MAX('DMT-M'!A:A),"",INDEX('DMT-M'!H:H,MATCH(B6,'DMT-M'!A:A,0)))</f>
        <v>National Team</v>
      </c>
    </row>
    <row r="39" spans="1:4" hidden="1" x14ac:dyDescent="0.2">
      <c r="A39" s="10"/>
      <c r="B39" s="10">
        <v>6</v>
      </c>
      <c r="C39" s="10" t="str">
        <f>IF(B7&gt;MAX('DMT-M'!A:A),"",INDEX('DMT-M'!B:B,MATCH(B7,'DMT-M'!A:A,0)))</f>
        <v/>
      </c>
      <c r="D39" s="112" t="str">
        <f>IF(B7&gt;MAX('DMT-M'!A:A),"",INDEX('DMT-M'!H:H,MATCH(B7,'DMT-M'!A:A,0)))</f>
        <v/>
      </c>
    </row>
    <row r="40" spans="1:4" hidden="1" x14ac:dyDescent="0.2">
      <c r="A40" s="10"/>
      <c r="B40" s="10">
        <v>7</v>
      </c>
      <c r="C40" s="10" t="str">
        <f>IF(B8&gt;MAX('DMT-M'!A:A),"",INDEX('DMT-M'!B:B,MATCH(B8,'DMT-M'!A:A,0)))</f>
        <v/>
      </c>
      <c r="D40" s="112" t="str">
        <f>IF(B8&gt;MAX('DMT-M'!A:A),"",INDEX('DMT-M'!H:H,MATCH(B8,'DMT-M'!A:A,0)))</f>
        <v/>
      </c>
    </row>
    <row r="41" spans="1:4" hidden="1" x14ac:dyDescent="0.2">
      <c r="A41" s="10"/>
      <c r="B41" s="10">
        <v>8</v>
      </c>
      <c r="C41" s="10" t="str">
        <f>IF(B9&gt;MAX('DMT-M'!A:A),"",INDEX('DMT-M'!B:B,MATCH(B9,'DMT-M'!A:A,0)))</f>
        <v/>
      </c>
      <c r="D41" s="112" t="str">
        <f>IF(B9&gt;MAX('DMT-M'!A:A),"",INDEX('DMT-M'!H:H,MATCH(B9,'DMT-M'!A:A,0)))</f>
        <v/>
      </c>
    </row>
    <row r="42" spans="1:4" x14ac:dyDescent="0.2">
      <c r="A42" s="13" t="s">
        <v>46</v>
      </c>
      <c r="B42" s="13">
        <v>1</v>
      </c>
      <c r="C42" s="13" t="str">
        <f>IF(B2&gt;MAX('DMT-W'!A:A),"",INDEX('DMT-W'!B:B,MATCH(B2,'DMT-W'!A:A,0)))</f>
        <v>METHERAL, Hannah</v>
      </c>
      <c r="D42" s="113" t="str">
        <f>IF(B2&gt;MAX('DMT-W'!A:A),"",INDEX('DMT-W'!H:H,MATCH(B2,'DMT-W'!A:A,0)))</f>
        <v>National Team</v>
      </c>
    </row>
    <row r="43" spans="1:4" x14ac:dyDescent="0.2">
      <c r="A43" s="13"/>
      <c r="B43" s="13">
        <v>2</v>
      </c>
      <c r="C43" s="13" t="str">
        <f>IF(B3&gt;MAX('DMT-W'!A:A),"",INDEX('DMT-W'!B:B,MATCH(B3,'DMT-W'!A:A,0)))</f>
        <v>PHANEUF, Zoe</v>
      </c>
      <c r="D43" s="113" t="str">
        <f>IF(B3&gt;MAX('DMT-W'!A:A),"",INDEX('DMT-W'!H:H,MATCH(B3,'DMT-W'!A:A,0)))</f>
        <v>National Team</v>
      </c>
    </row>
    <row r="44" spans="1:4" x14ac:dyDescent="0.2">
      <c r="A44" s="13"/>
      <c r="B44" s="13">
        <v>3</v>
      </c>
      <c r="C44" s="13" t="str">
        <f>IF(B4&gt;MAX('DMT-W'!A:A),"",INDEX('DMT-W'!B:B,MATCH(B4,'DMT-W'!A:A,0)))</f>
        <v>HOWELL, Kayla</v>
      </c>
      <c r="D44" s="113" t="str">
        <f>IF(B4&gt;MAX('DMT-W'!A:A),"",INDEX('DMT-W'!H:H,MATCH(B4,'DMT-W'!A:A,0)))</f>
        <v>National Team</v>
      </c>
    </row>
    <row r="45" spans="1:4" x14ac:dyDescent="0.2">
      <c r="A45" s="13"/>
      <c r="B45" s="13">
        <v>4</v>
      </c>
      <c r="C45" s="13" t="str">
        <f>IF(B5&gt;MAX('DMT-W'!A:A),"",INDEX('DMT-W'!B:B,MATCH(B5,'DMT-W'!A:A,0)))</f>
        <v>THOMPSON, Abby</v>
      </c>
      <c r="D45" s="113" t="str">
        <f>IF(B5&gt;MAX('DMT-W'!A:A),"",INDEX('DMT-W'!H:H,MATCH(B5,'DMT-W'!A:A,0)))</f>
        <v>National Team</v>
      </c>
    </row>
    <row r="46" spans="1:4" x14ac:dyDescent="0.2">
      <c r="A46" s="13"/>
      <c r="B46" s="13">
        <v>5</v>
      </c>
      <c r="C46" s="13" t="str">
        <f>IF(B6&gt;MAX('DMT-W'!A:A),"",INDEX('DMT-W'!B:B,MATCH(B6,'DMT-W'!A:A,0)))</f>
        <v>FLYNN, Gabby</v>
      </c>
      <c r="D46" s="113" t="str">
        <f>IF(B6&gt;MAX('DMT-W'!A:A),"",INDEX('DMT-W'!H:H,MATCH(B6,'DMT-W'!A:A,0)))</f>
        <v>National Team</v>
      </c>
    </row>
    <row r="47" spans="1:4" x14ac:dyDescent="0.2">
      <c r="A47" s="13"/>
      <c r="B47" s="13">
        <v>6</v>
      </c>
      <c r="C47" s="13" t="str">
        <f>IF(B7&gt;MAX('DMT-W'!A:A),"",INDEX('DMT-W'!B:B,MATCH(B7,'DMT-W'!A:A,0)))</f>
        <v>KYFIUK, MacKenzie</v>
      </c>
      <c r="D47" s="113" t="str">
        <f>IF(B7&gt;MAX('DMT-W'!A:A),"",INDEX('DMT-W'!H:H,MATCH(B7,'DMT-W'!A:A,0)))</f>
        <v>National Team</v>
      </c>
    </row>
    <row r="48" spans="1:4" hidden="1" x14ac:dyDescent="0.2">
      <c r="A48" s="13"/>
      <c r="B48" s="13">
        <v>7</v>
      </c>
      <c r="C48" s="13" t="str">
        <f>IF(B8&gt;MAX('DMT-W'!A:A),"",INDEX('DMT-W'!B:B,MATCH(B8,'DMT-W'!A:A,0)))</f>
        <v/>
      </c>
      <c r="D48" s="113" t="str">
        <f>IF(B8&gt;MAX('DMT-W'!A:A),"",INDEX('DMT-W'!H:H,MATCH(B8,'DMT-W'!A:A,0)))</f>
        <v/>
      </c>
    </row>
    <row r="49" spans="1:5" hidden="1" x14ac:dyDescent="0.2">
      <c r="A49" s="13"/>
      <c r="B49" s="13">
        <v>8</v>
      </c>
      <c r="C49" s="13" t="str">
        <f>IF(B9&gt;MAX('DMT-W'!A:A),"",INDEX('DMT-W'!B:B,MATCH(B9,'DMT-W'!A:A,0)))</f>
        <v/>
      </c>
      <c r="D49" s="113" t="str">
        <f>IF(B9&gt;MAX('DMT-W'!A:A),"",INDEX('DMT-W'!H:H,MATCH(B9,'DMT-W'!A:A,0)))</f>
        <v/>
      </c>
    </row>
    <row r="50" spans="1:5" x14ac:dyDescent="0.2">
      <c r="D50" s="116"/>
    </row>
    <row r="51" spans="1:5" x14ac:dyDescent="0.2">
      <c r="B51" s="45" t="s">
        <v>37</v>
      </c>
    </row>
    <row r="52" spans="1:5" x14ac:dyDescent="0.2">
      <c r="B52" s="45" t="s">
        <v>35</v>
      </c>
    </row>
    <row r="53" spans="1:5" x14ac:dyDescent="0.2">
      <c r="B53" s="45" t="s">
        <v>36</v>
      </c>
    </row>
    <row r="54" spans="1:5" x14ac:dyDescent="0.2">
      <c r="B54" s="25" t="s">
        <v>57</v>
      </c>
      <c r="D54" s="45" t="s">
        <v>55</v>
      </c>
    </row>
    <row r="55" spans="1:5" x14ac:dyDescent="0.2">
      <c r="B55" s="25" t="s">
        <v>65</v>
      </c>
      <c r="D55" s="45" t="s">
        <v>55</v>
      </c>
      <c r="E55" t="s">
        <v>55</v>
      </c>
    </row>
    <row r="56" spans="1:5" x14ac:dyDescent="0.2">
      <c r="B56" s="45" t="s">
        <v>56</v>
      </c>
      <c r="D56" s="45"/>
    </row>
    <row r="57" spans="1:5" x14ac:dyDescent="0.2">
      <c r="B57" s="45" t="s">
        <v>66</v>
      </c>
      <c r="D57" s="45"/>
    </row>
    <row r="58" spans="1:5" x14ac:dyDescent="0.2">
      <c r="A58" t="s">
        <v>41</v>
      </c>
      <c r="B58" s="121">
        <v>44451</v>
      </c>
      <c r="C58" s="121"/>
    </row>
    <row r="59" spans="1:5" x14ac:dyDescent="0.2">
      <c r="B59" s="99" t="s">
        <v>155</v>
      </c>
    </row>
    <row r="60" spans="1:5" x14ac:dyDescent="0.2">
      <c r="B60" s="99"/>
    </row>
    <row r="61" spans="1:5" x14ac:dyDescent="0.2">
      <c r="B61" s="45"/>
    </row>
    <row r="62" spans="1:5" x14ac:dyDescent="0.2">
      <c r="B62" s="45"/>
    </row>
    <row r="63" spans="1:5" x14ac:dyDescent="0.2">
      <c r="B63" s="45"/>
    </row>
  </sheetData>
  <sheetProtection formatCells="0" formatColumns="0" formatRows="0"/>
  <mergeCells count="1">
    <mergeCell ref="B58:C58"/>
  </mergeCells>
  <conditionalFormatting sqref="D2:D49">
    <cfRule type="containsText" dxfId="146" priority="1" operator="containsText" text="No DD">
      <formula>NOT(ISERROR(SEARCH("No DD",D2)))</formula>
    </cfRule>
    <cfRule type="containsText" dxfId="145" priority="4" operator="containsText" text="Merit">
      <formula>NOT(ISERROR(SEARCH("Merit",D2)))</formula>
    </cfRule>
    <cfRule type="containsText" dxfId="144" priority="5" operator="containsText" text="Excellence">
      <formula>NOT(ISERROR(SEARCH("Excellence",D2)))</formula>
    </cfRule>
    <cfRule type="containsText" dxfId="143" priority="6" operator="containsText" text="Worlds Team">
      <formula>NOT(ISERROR(SEARCH("Worlds Team",D2)))</formula>
    </cfRule>
    <cfRule type="containsText" dxfId="142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54:D55" xr:uid="{D08F591B-E1ED-7A40-99FD-CEC4A428C792}">
      <formula1>"Select,TRA-M,TRA-W,TUM-M,TUM-W,DMT-M,DMT-W"</formula1>
    </dataValidation>
    <dataValidation type="list" allowBlank="1" showInputMessage="1" showErrorMessage="1" sqref="E55" xr:uid="{34EE6C87-AAA8-A345-8399-C87931D9699B}">
      <formula1>IF($D$55="Select",D55,INDIRECT("'"&amp;$D$55&amp;"'!"&amp;"B4:B"&amp;MATCH(TRUE,INDEX(INDIRECT("'"&amp;$D$55&amp;"'!"&amp;"B4:B100")="",0),0)+2))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50</xdr:row>
                    <xdr:rowOff>25400</xdr:rowOff>
                  </from>
                  <to>
                    <xdr:col>0</xdr:col>
                    <xdr:colOff>965200</xdr:colOff>
                    <xdr:row>50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51</xdr:row>
                    <xdr:rowOff>25400</xdr:rowOff>
                  </from>
                  <to>
                    <xdr:col>0</xdr:col>
                    <xdr:colOff>965200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52</xdr:row>
                    <xdr:rowOff>38100</xdr:rowOff>
                  </from>
                  <to>
                    <xdr:col>0</xdr:col>
                    <xdr:colOff>965200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53</xdr:row>
                    <xdr:rowOff>25400</xdr:rowOff>
                  </from>
                  <to>
                    <xdr:col>0</xdr:col>
                    <xdr:colOff>977900</xdr:colOff>
                    <xdr:row>53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55</xdr:row>
                    <xdr:rowOff>25400</xdr:rowOff>
                  </from>
                  <to>
                    <xdr:col>0</xdr:col>
                    <xdr:colOff>977900</xdr:colOff>
                    <xdr:row>55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56</xdr:row>
                    <xdr:rowOff>25400</xdr:rowOff>
                  </from>
                  <to>
                    <xdr:col>0</xdr:col>
                    <xdr:colOff>965200</xdr:colOff>
                    <xdr:row>56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54</xdr:row>
                    <xdr:rowOff>25400</xdr:rowOff>
                  </from>
                  <to>
                    <xdr:col>0</xdr:col>
                    <xdr:colOff>977900</xdr:colOff>
                    <xdr:row>54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S5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hidden="1" customWidth="1"/>
    <col min="11" max="11" width="10.83203125" hidden="1" customWidth="1"/>
    <col min="12" max="12" width="20.5" hidden="1" customWidth="1"/>
    <col min="13" max="13" width="10.83203125" hidden="1" customWidth="1"/>
    <col min="14" max="14" width="20.5" hidden="1" customWidth="1"/>
    <col min="15" max="15" width="10.1640625" customWidth="1"/>
    <col min="16" max="16" width="20.5" bestFit="1" customWidth="1"/>
    <col min="17" max="17" width="10.83203125" customWidth="1"/>
    <col min="18" max="18" width="20.5" bestFit="1" customWidth="1"/>
    <col min="19" max="19" width="24.6640625" bestFit="1" customWidth="1"/>
    <col min="20" max="20" width="13" bestFit="1" customWidth="1"/>
    <col min="21" max="21" width="43.5" bestFit="1" customWidth="1"/>
    <col min="22" max="42" width="10.83203125" hidden="1" customWidth="1"/>
    <col min="43" max="51" width="10.83203125" customWidth="1"/>
    <col min="52" max="72" width="10.83203125" hidden="1" customWidth="1"/>
    <col min="73" max="81" width="10.83203125" customWidth="1"/>
    <col min="82" max="102" width="10.83203125" hidden="1" customWidth="1"/>
    <col min="103" max="111" width="10.83203125" customWidth="1"/>
    <col min="112" max="112" width="10.83203125" hidden="1" customWidth="1"/>
    <col min="113" max="113" width="14.33203125" customWidth="1"/>
    <col min="114" max="114" width="10.83203125" hidden="1" customWidth="1"/>
    <col min="115" max="115" width="14.33203125" customWidth="1"/>
    <col min="116" max="409" width="10.83203125" hidden="1" customWidth="1"/>
  </cols>
  <sheetData>
    <row r="1" spans="1:409" x14ac:dyDescent="0.2">
      <c r="A1" s="123" t="s">
        <v>1</v>
      </c>
      <c r="B1" s="123" t="s">
        <v>25</v>
      </c>
      <c r="C1" s="123" t="s">
        <v>0</v>
      </c>
      <c r="D1" s="123" t="s">
        <v>54</v>
      </c>
      <c r="E1" s="123" t="s">
        <v>2</v>
      </c>
      <c r="F1" s="123" t="s">
        <v>77</v>
      </c>
      <c r="G1" s="123" t="s">
        <v>75</v>
      </c>
      <c r="H1" s="123" t="s">
        <v>76</v>
      </c>
      <c r="I1" s="123" t="s">
        <v>9</v>
      </c>
      <c r="J1" s="123" t="s">
        <v>119</v>
      </c>
      <c r="K1" s="128" t="s">
        <v>10</v>
      </c>
      <c r="L1" s="128" t="s">
        <v>32</v>
      </c>
      <c r="M1" s="128" t="s">
        <v>11</v>
      </c>
      <c r="N1" s="128" t="s">
        <v>32</v>
      </c>
      <c r="O1" s="129" t="s">
        <v>90</v>
      </c>
      <c r="P1" s="128" t="s">
        <v>32</v>
      </c>
      <c r="Q1" s="129" t="s">
        <v>91</v>
      </c>
      <c r="R1" s="128" t="s">
        <v>32</v>
      </c>
      <c r="S1" s="127" t="s">
        <v>13</v>
      </c>
      <c r="T1" s="128" t="s">
        <v>33</v>
      </c>
      <c r="U1" s="128" t="s">
        <v>32</v>
      </c>
      <c r="V1" s="124" t="s">
        <v>69</v>
      </c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6" t="s">
        <v>120</v>
      </c>
      <c r="BA1" s="126"/>
      <c r="BB1" s="126"/>
      <c r="BC1" s="126"/>
      <c r="BD1" s="126"/>
      <c r="BE1" s="126"/>
      <c r="BF1" s="126"/>
      <c r="BG1" s="126"/>
      <c r="BH1" s="126"/>
      <c r="BI1" s="126"/>
      <c r="BJ1" s="126"/>
      <c r="BK1" s="126"/>
      <c r="BL1" s="126"/>
      <c r="BM1" s="126"/>
      <c r="BN1" s="126"/>
      <c r="BO1" s="126"/>
      <c r="BP1" s="126"/>
      <c r="BQ1" s="126"/>
      <c r="BR1" s="126"/>
      <c r="BS1" s="126"/>
      <c r="BT1" s="126"/>
      <c r="BU1" s="126"/>
      <c r="BV1" s="126"/>
      <c r="BW1" s="126"/>
      <c r="BX1" s="126"/>
      <c r="BY1" s="126"/>
      <c r="BZ1" s="126"/>
      <c r="CA1" s="126"/>
      <c r="CB1" s="126"/>
      <c r="CC1" s="126"/>
      <c r="CD1" s="124" t="s">
        <v>135</v>
      </c>
      <c r="CE1" s="124"/>
      <c r="CF1" s="124"/>
      <c r="CG1" s="124"/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4"/>
      <c r="DB1" s="124"/>
      <c r="DC1" s="124"/>
      <c r="DD1" s="124"/>
      <c r="DE1" s="124"/>
      <c r="DF1" s="124"/>
      <c r="DG1" s="124"/>
      <c r="DH1" s="130" t="s">
        <v>13</v>
      </c>
      <c r="DI1" s="130"/>
      <c r="DJ1" s="130"/>
      <c r="DK1" s="130"/>
      <c r="DL1" s="124"/>
      <c r="DM1" s="124"/>
      <c r="DN1" s="124"/>
      <c r="DO1" s="124"/>
      <c r="DP1" s="124"/>
      <c r="DQ1" s="124"/>
      <c r="DR1" s="124"/>
      <c r="DS1" s="124"/>
      <c r="DT1" s="124"/>
      <c r="DU1" s="124"/>
      <c r="DV1" s="124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6"/>
      <c r="EI1" s="126"/>
      <c r="EJ1" s="126"/>
      <c r="EK1" s="126"/>
      <c r="EL1" s="126"/>
      <c r="EM1" s="126"/>
      <c r="EN1" s="126"/>
      <c r="EO1" s="126"/>
      <c r="EP1" s="126"/>
      <c r="EQ1" s="126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4"/>
      <c r="FE1" s="124"/>
      <c r="FF1" s="124"/>
      <c r="FG1" s="124"/>
      <c r="FH1" s="124"/>
      <c r="FI1" s="124"/>
      <c r="FJ1" s="124"/>
      <c r="FK1" s="124"/>
      <c r="FL1" s="124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6"/>
      <c r="GA1" s="126"/>
      <c r="GB1" s="126"/>
      <c r="GC1" s="126"/>
      <c r="GD1" s="126"/>
      <c r="GE1" s="126"/>
      <c r="GF1" s="126"/>
      <c r="GG1" s="126"/>
      <c r="GH1" s="126"/>
      <c r="GI1" s="126"/>
      <c r="GJ1" s="126"/>
      <c r="GK1" s="126"/>
      <c r="GL1" s="126"/>
      <c r="GM1" s="126"/>
      <c r="GN1" s="126"/>
      <c r="GO1" s="126"/>
      <c r="GP1" s="126"/>
      <c r="GQ1" s="126"/>
      <c r="GR1" s="126"/>
      <c r="GS1" s="126"/>
      <c r="GT1" s="126"/>
      <c r="GU1" s="126"/>
      <c r="GV1" s="124"/>
      <c r="GW1" s="124"/>
      <c r="GX1" s="124"/>
      <c r="GY1" s="124"/>
      <c r="GZ1" s="124"/>
      <c r="HA1" s="124"/>
      <c r="HB1" s="124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6"/>
      <c r="HS1" s="126"/>
      <c r="HT1" s="126"/>
      <c r="HU1" s="126"/>
      <c r="HV1" s="126"/>
      <c r="HW1" s="126"/>
      <c r="HX1" s="126"/>
      <c r="HY1" s="126"/>
      <c r="HZ1" s="126"/>
      <c r="IA1" s="126"/>
      <c r="IB1" s="126"/>
      <c r="IC1" s="126"/>
      <c r="ID1" s="126"/>
      <c r="IE1" s="126"/>
      <c r="IF1" s="126"/>
      <c r="IG1" s="126"/>
      <c r="IH1" s="126"/>
      <c r="II1" s="126"/>
      <c r="IJ1" s="126"/>
      <c r="IK1" s="126"/>
      <c r="IL1" s="126"/>
      <c r="IM1" s="126"/>
      <c r="IN1" s="124"/>
      <c r="IO1" s="124"/>
      <c r="IP1" s="124"/>
      <c r="IQ1" s="124"/>
      <c r="IR1" s="124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6"/>
      <c r="JK1" s="126"/>
      <c r="JL1" s="126"/>
      <c r="JM1" s="126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4"/>
      <c r="KG1" s="124"/>
      <c r="KH1" s="124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6"/>
      <c r="LC1" s="126"/>
      <c r="LD1" s="126"/>
      <c r="LE1" s="126"/>
      <c r="LF1" s="126"/>
      <c r="LG1" s="126"/>
      <c r="LH1" s="126"/>
      <c r="LI1" s="126"/>
      <c r="LJ1" s="126"/>
      <c r="LK1" s="126"/>
      <c r="LL1" s="126"/>
      <c r="LM1" s="126"/>
      <c r="LN1" s="126"/>
      <c r="LO1" s="126"/>
      <c r="LP1" s="126"/>
      <c r="LQ1" s="126"/>
      <c r="LR1" s="126"/>
      <c r="LS1" s="126"/>
      <c r="LT1" s="126"/>
      <c r="LU1" s="126"/>
      <c r="LV1" s="126"/>
      <c r="LW1" s="126"/>
      <c r="LX1" s="124"/>
      <c r="LY1" s="124"/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6"/>
      <c r="MU1" s="126"/>
      <c r="MV1" s="126"/>
      <c r="MW1" s="126"/>
      <c r="MX1" s="126"/>
      <c r="MY1" s="126"/>
      <c r="MZ1" s="126"/>
      <c r="NA1" s="126"/>
      <c r="NB1" s="126"/>
      <c r="NC1" s="126"/>
      <c r="ND1" s="126"/>
      <c r="NE1" s="126"/>
      <c r="NF1" s="126"/>
      <c r="NG1" s="126"/>
      <c r="NH1" s="126"/>
      <c r="NI1" s="126"/>
      <c r="NJ1" s="126"/>
      <c r="NK1" s="126"/>
      <c r="NL1" s="126"/>
      <c r="NM1" s="126"/>
      <c r="NN1" s="126"/>
      <c r="NO1" s="126"/>
      <c r="NP1" s="124" t="s">
        <v>63</v>
      </c>
      <c r="NQ1" s="124"/>
      <c r="NR1" s="124"/>
      <c r="NS1" s="124"/>
      <c r="NT1" s="124"/>
      <c r="NU1" s="124"/>
      <c r="NV1" s="124"/>
      <c r="NW1" s="124"/>
      <c r="NX1" s="124"/>
      <c r="NY1" s="124"/>
      <c r="NZ1" s="124"/>
      <c r="OA1" s="124"/>
      <c r="OB1" s="124"/>
      <c r="OC1" s="124"/>
      <c r="OD1" s="124"/>
      <c r="OE1" s="124"/>
      <c r="OF1" s="124"/>
      <c r="OG1" s="124"/>
      <c r="OH1" s="124"/>
      <c r="OI1" s="124"/>
      <c r="OJ1" s="124"/>
      <c r="OK1" s="124"/>
      <c r="OL1" s="124"/>
      <c r="OM1" s="124"/>
      <c r="ON1" s="124"/>
      <c r="OO1" s="124"/>
      <c r="OP1" s="124"/>
      <c r="OQ1" s="124"/>
    </row>
    <row r="2" spans="1:409" x14ac:dyDescent="0.2">
      <c r="A2" s="123"/>
      <c r="B2" s="123"/>
      <c r="C2" s="123"/>
      <c r="D2" s="123"/>
      <c r="E2" s="123"/>
      <c r="F2" s="123"/>
      <c r="G2" s="123"/>
      <c r="H2" s="123"/>
      <c r="I2" s="123"/>
      <c r="J2" s="123"/>
      <c r="K2" s="128"/>
      <c r="L2" s="128"/>
      <c r="M2" s="128"/>
      <c r="N2" s="128"/>
      <c r="O2" s="129"/>
      <c r="P2" s="128"/>
      <c r="Q2" s="129"/>
      <c r="R2" s="128"/>
      <c r="S2" s="127"/>
      <c r="T2" s="128"/>
      <c r="U2" s="128"/>
      <c r="V2" s="122" t="s">
        <v>18</v>
      </c>
      <c r="W2" s="122"/>
      <c r="X2" s="122"/>
      <c r="Y2" s="122"/>
      <c r="Z2" s="122"/>
      <c r="AA2" s="122" t="s">
        <v>19</v>
      </c>
      <c r="AB2" s="122"/>
      <c r="AC2" s="122"/>
      <c r="AD2" s="122"/>
      <c r="AE2" s="122"/>
      <c r="AF2" s="122" t="s">
        <v>71</v>
      </c>
      <c r="AG2" s="122"/>
      <c r="AH2" s="122"/>
      <c r="AI2" s="122"/>
      <c r="AJ2" s="122"/>
      <c r="AK2" s="122" t="s">
        <v>22</v>
      </c>
      <c r="AL2" s="122"/>
      <c r="AM2" s="122"/>
      <c r="AN2" s="122"/>
      <c r="AO2" s="122"/>
      <c r="AP2" s="69"/>
      <c r="AQ2" s="9" t="s">
        <v>20</v>
      </c>
      <c r="AR2" s="9" t="s">
        <v>73</v>
      </c>
      <c r="AS2" s="9" t="s">
        <v>21</v>
      </c>
      <c r="AT2" s="9" t="s">
        <v>74</v>
      </c>
      <c r="AU2" s="9" t="s">
        <v>72</v>
      </c>
      <c r="AV2" s="9" t="s">
        <v>23</v>
      </c>
      <c r="AW2" s="9" t="s">
        <v>64</v>
      </c>
      <c r="AX2" s="9" t="s">
        <v>22</v>
      </c>
      <c r="AY2" s="9" t="s">
        <v>17</v>
      </c>
      <c r="AZ2" s="125" t="s">
        <v>18</v>
      </c>
      <c r="BA2" s="125"/>
      <c r="BB2" s="125"/>
      <c r="BC2" s="125"/>
      <c r="BD2" s="125"/>
      <c r="BE2" s="125" t="s">
        <v>19</v>
      </c>
      <c r="BF2" s="125"/>
      <c r="BG2" s="125"/>
      <c r="BH2" s="125"/>
      <c r="BI2" s="125"/>
      <c r="BJ2" s="125" t="s">
        <v>71</v>
      </c>
      <c r="BK2" s="125"/>
      <c r="BL2" s="125"/>
      <c r="BM2" s="125"/>
      <c r="BN2" s="125"/>
      <c r="BO2" s="125" t="s">
        <v>22</v>
      </c>
      <c r="BP2" s="125"/>
      <c r="BQ2" s="125"/>
      <c r="BR2" s="125"/>
      <c r="BS2" s="125"/>
      <c r="BT2" s="68"/>
      <c r="BU2" s="12" t="s">
        <v>20</v>
      </c>
      <c r="BV2" s="12" t="s">
        <v>73</v>
      </c>
      <c r="BW2" s="12" t="s">
        <v>21</v>
      </c>
      <c r="BX2" s="12" t="s">
        <v>74</v>
      </c>
      <c r="BY2" s="12" t="s">
        <v>72</v>
      </c>
      <c r="BZ2" s="12" t="s">
        <v>23</v>
      </c>
      <c r="CA2" s="12" t="s">
        <v>64</v>
      </c>
      <c r="CB2" s="12" t="s">
        <v>22</v>
      </c>
      <c r="CC2" s="12" t="s">
        <v>17</v>
      </c>
      <c r="CD2" s="122" t="s">
        <v>18</v>
      </c>
      <c r="CE2" s="122"/>
      <c r="CF2" s="122"/>
      <c r="CG2" s="122"/>
      <c r="CH2" s="122"/>
      <c r="CI2" s="122" t="s">
        <v>19</v>
      </c>
      <c r="CJ2" s="122"/>
      <c r="CK2" s="122"/>
      <c r="CL2" s="122"/>
      <c r="CM2" s="122"/>
      <c r="CN2" s="122" t="s">
        <v>71</v>
      </c>
      <c r="CO2" s="122"/>
      <c r="CP2" s="122"/>
      <c r="CQ2" s="122"/>
      <c r="CR2" s="122"/>
      <c r="CS2" s="122" t="s">
        <v>22</v>
      </c>
      <c r="CT2" s="122"/>
      <c r="CU2" s="122"/>
      <c r="CV2" s="122"/>
      <c r="CW2" s="122"/>
      <c r="CX2" s="101"/>
      <c r="CY2" s="9" t="s">
        <v>20</v>
      </c>
      <c r="CZ2" s="9" t="s">
        <v>73</v>
      </c>
      <c r="DA2" s="9" t="s">
        <v>21</v>
      </c>
      <c r="DB2" s="9" t="s">
        <v>74</v>
      </c>
      <c r="DC2" s="9" t="s">
        <v>72</v>
      </c>
      <c r="DD2" s="9" t="s">
        <v>23</v>
      </c>
      <c r="DE2" s="9" t="s">
        <v>64</v>
      </c>
      <c r="DF2" s="9" t="s">
        <v>22</v>
      </c>
      <c r="DG2" s="9" t="s">
        <v>17</v>
      </c>
      <c r="DH2" s="21" t="s">
        <v>20</v>
      </c>
      <c r="DI2" s="21" t="s">
        <v>21</v>
      </c>
      <c r="DJ2" s="21" t="s">
        <v>23</v>
      </c>
      <c r="DK2" s="21" t="s">
        <v>22</v>
      </c>
      <c r="DL2" s="122" t="s">
        <v>18</v>
      </c>
      <c r="DM2" s="122"/>
      <c r="DN2" s="122"/>
      <c r="DO2" s="122"/>
      <c r="DP2" s="122"/>
      <c r="DQ2" s="122" t="s">
        <v>19</v>
      </c>
      <c r="DR2" s="122"/>
      <c r="DS2" s="122"/>
      <c r="DT2" s="122"/>
      <c r="DU2" s="122"/>
      <c r="DV2" s="122" t="s">
        <v>22</v>
      </c>
      <c r="DW2" s="122"/>
      <c r="DX2" s="122"/>
      <c r="DY2" s="122"/>
      <c r="DZ2" s="122"/>
      <c r="EA2" s="33" t="s">
        <v>58</v>
      </c>
      <c r="EB2" s="9" t="s">
        <v>20</v>
      </c>
      <c r="EC2" s="9" t="s">
        <v>21</v>
      </c>
      <c r="ED2" s="9" t="s">
        <v>23</v>
      </c>
      <c r="EE2" s="9" t="s">
        <v>64</v>
      </c>
      <c r="EF2" s="9" t="s">
        <v>22</v>
      </c>
      <c r="EG2" s="9" t="s">
        <v>17</v>
      </c>
      <c r="EH2" s="125" t="s">
        <v>18</v>
      </c>
      <c r="EI2" s="125"/>
      <c r="EJ2" s="125"/>
      <c r="EK2" s="125"/>
      <c r="EL2" s="125"/>
      <c r="EM2" s="125" t="s">
        <v>19</v>
      </c>
      <c r="EN2" s="125"/>
      <c r="EO2" s="125"/>
      <c r="EP2" s="125"/>
      <c r="EQ2" s="125"/>
      <c r="ER2" s="125" t="s">
        <v>22</v>
      </c>
      <c r="ES2" s="125"/>
      <c r="ET2" s="125"/>
      <c r="EU2" s="125"/>
      <c r="EV2" s="125"/>
      <c r="EW2" s="34" t="s">
        <v>58</v>
      </c>
      <c r="EX2" s="12" t="s">
        <v>20</v>
      </c>
      <c r="EY2" s="12" t="s">
        <v>21</v>
      </c>
      <c r="EZ2" s="12" t="s">
        <v>23</v>
      </c>
      <c r="FA2" s="12" t="s">
        <v>64</v>
      </c>
      <c r="FB2" s="12" t="s">
        <v>22</v>
      </c>
      <c r="FC2" s="12" t="s">
        <v>17</v>
      </c>
      <c r="FD2" s="122" t="s">
        <v>18</v>
      </c>
      <c r="FE2" s="122"/>
      <c r="FF2" s="122"/>
      <c r="FG2" s="122"/>
      <c r="FH2" s="122"/>
      <c r="FI2" s="122" t="s">
        <v>19</v>
      </c>
      <c r="FJ2" s="122"/>
      <c r="FK2" s="122"/>
      <c r="FL2" s="122"/>
      <c r="FM2" s="122"/>
      <c r="FN2" s="122" t="s">
        <v>22</v>
      </c>
      <c r="FO2" s="122"/>
      <c r="FP2" s="122"/>
      <c r="FQ2" s="122"/>
      <c r="FR2" s="122"/>
      <c r="FS2" s="33" t="s">
        <v>58</v>
      </c>
      <c r="FT2" s="9" t="s">
        <v>20</v>
      </c>
      <c r="FU2" s="9" t="s">
        <v>21</v>
      </c>
      <c r="FV2" s="9" t="s">
        <v>23</v>
      </c>
      <c r="FW2" s="9" t="s">
        <v>64</v>
      </c>
      <c r="FX2" s="9" t="s">
        <v>22</v>
      </c>
      <c r="FY2" s="9" t="s">
        <v>17</v>
      </c>
      <c r="FZ2" s="125" t="s">
        <v>18</v>
      </c>
      <c r="GA2" s="125"/>
      <c r="GB2" s="125"/>
      <c r="GC2" s="125"/>
      <c r="GD2" s="125"/>
      <c r="GE2" s="125" t="s">
        <v>19</v>
      </c>
      <c r="GF2" s="125"/>
      <c r="GG2" s="125"/>
      <c r="GH2" s="125"/>
      <c r="GI2" s="125"/>
      <c r="GJ2" s="125" t="s">
        <v>22</v>
      </c>
      <c r="GK2" s="125"/>
      <c r="GL2" s="125"/>
      <c r="GM2" s="125"/>
      <c r="GN2" s="125"/>
      <c r="GO2" s="34" t="s">
        <v>58</v>
      </c>
      <c r="GP2" s="12" t="s">
        <v>20</v>
      </c>
      <c r="GQ2" s="12" t="s">
        <v>21</v>
      </c>
      <c r="GR2" s="12" t="s">
        <v>23</v>
      </c>
      <c r="GS2" s="12" t="s">
        <v>64</v>
      </c>
      <c r="GT2" s="12" t="s">
        <v>22</v>
      </c>
      <c r="GU2" s="12" t="s">
        <v>17</v>
      </c>
      <c r="GV2" s="122" t="s">
        <v>18</v>
      </c>
      <c r="GW2" s="122"/>
      <c r="GX2" s="122"/>
      <c r="GY2" s="122"/>
      <c r="GZ2" s="122"/>
      <c r="HA2" s="122" t="s">
        <v>19</v>
      </c>
      <c r="HB2" s="122"/>
      <c r="HC2" s="122"/>
      <c r="HD2" s="122"/>
      <c r="HE2" s="122"/>
      <c r="HF2" s="122" t="s">
        <v>22</v>
      </c>
      <c r="HG2" s="122"/>
      <c r="HH2" s="122"/>
      <c r="HI2" s="122"/>
      <c r="HJ2" s="122"/>
      <c r="HK2" s="33" t="s">
        <v>58</v>
      </c>
      <c r="HL2" s="9" t="s">
        <v>20</v>
      </c>
      <c r="HM2" s="9" t="s">
        <v>21</v>
      </c>
      <c r="HN2" s="9" t="s">
        <v>23</v>
      </c>
      <c r="HO2" s="9" t="s">
        <v>64</v>
      </c>
      <c r="HP2" s="9" t="s">
        <v>22</v>
      </c>
      <c r="HQ2" s="9" t="s">
        <v>17</v>
      </c>
      <c r="HR2" s="125" t="s">
        <v>18</v>
      </c>
      <c r="HS2" s="125"/>
      <c r="HT2" s="125"/>
      <c r="HU2" s="125"/>
      <c r="HV2" s="125"/>
      <c r="HW2" s="125" t="s">
        <v>19</v>
      </c>
      <c r="HX2" s="125"/>
      <c r="HY2" s="125"/>
      <c r="HZ2" s="125"/>
      <c r="IA2" s="125"/>
      <c r="IB2" s="125" t="s">
        <v>22</v>
      </c>
      <c r="IC2" s="125"/>
      <c r="ID2" s="125"/>
      <c r="IE2" s="125"/>
      <c r="IF2" s="125"/>
      <c r="IG2" s="34" t="s">
        <v>58</v>
      </c>
      <c r="IH2" s="12" t="s">
        <v>20</v>
      </c>
      <c r="II2" s="12" t="s">
        <v>21</v>
      </c>
      <c r="IJ2" s="12" t="s">
        <v>23</v>
      </c>
      <c r="IK2" s="12" t="s">
        <v>64</v>
      </c>
      <c r="IL2" s="12" t="s">
        <v>22</v>
      </c>
      <c r="IM2" s="12" t="s">
        <v>17</v>
      </c>
      <c r="IN2" s="122" t="s">
        <v>18</v>
      </c>
      <c r="IO2" s="122"/>
      <c r="IP2" s="122"/>
      <c r="IQ2" s="122"/>
      <c r="IR2" s="122"/>
      <c r="IS2" s="122" t="s">
        <v>19</v>
      </c>
      <c r="IT2" s="122"/>
      <c r="IU2" s="122"/>
      <c r="IV2" s="122"/>
      <c r="IW2" s="122"/>
      <c r="IX2" s="122" t="s">
        <v>22</v>
      </c>
      <c r="IY2" s="122"/>
      <c r="IZ2" s="122"/>
      <c r="JA2" s="122"/>
      <c r="JB2" s="122"/>
      <c r="JC2" s="33" t="s">
        <v>58</v>
      </c>
      <c r="JD2" s="9" t="s">
        <v>20</v>
      </c>
      <c r="JE2" s="9" t="s">
        <v>21</v>
      </c>
      <c r="JF2" s="9" t="s">
        <v>23</v>
      </c>
      <c r="JG2" s="9" t="s">
        <v>64</v>
      </c>
      <c r="JH2" s="9" t="s">
        <v>22</v>
      </c>
      <c r="JI2" s="9" t="s">
        <v>17</v>
      </c>
      <c r="JJ2" s="125" t="s">
        <v>18</v>
      </c>
      <c r="JK2" s="125"/>
      <c r="JL2" s="125"/>
      <c r="JM2" s="125"/>
      <c r="JN2" s="125"/>
      <c r="JO2" s="125" t="s">
        <v>19</v>
      </c>
      <c r="JP2" s="125"/>
      <c r="JQ2" s="125"/>
      <c r="JR2" s="125"/>
      <c r="JS2" s="125"/>
      <c r="JT2" s="125" t="s">
        <v>22</v>
      </c>
      <c r="JU2" s="125"/>
      <c r="JV2" s="125"/>
      <c r="JW2" s="125"/>
      <c r="JX2" s="125"/>
      <c r="JY2" s="34" t="s">
        <v>58</v>
      </c>
      <c r="JZ2" s="12" t="s">
        <v>20</v>
      </c>
      <c r="KA2" s="12" t="s">
        <v>21</v>
      </c>
      <c r="KB2" s="12" t="s">
        <v>23</v>
      </c>
      <c r="KC2" s="12" t="s">
        <v>64</v>
      </c>
      <c r="KD2" s="12" t="s">
        <v>22</v>
      </c>
      <c r="KE2" s="12" t="s">
        <v>17</v>
      </c>
      <c r="KF2" s="122" t="s">
        <v>18</v>
      </c>
      <c r="KG2" s="122"/>
      <c r="KH2" s="122"/>
      <c r="KI2" s="122"/>
      <c r="KJ2" s="122"/>
      <c r="KK2" s="122" t="s">
        <v>19</v>
      </c>
      <c r="KL2" s="122"/>
      <c r="KM2" s="122"/>
      <c r="KN2" s="122"/>
      <c r="KO2" s="122"/>
      <c r="KP2" s="122" t="s">
        <v>22</v>
      </c>
      <c r="KQ2" s="122"/>
      <c r="KR2" s="122"/>
      <c r="KS2" s="122"/>
      <c r="KT2" s="122"/>
      <c r="KU2" s="33" t="s">
        <v>58</v>
      </c>
      <c r="KV2" s="9" t="s">
        <v>20</v>
      </c>
      <c r="KW2" s="9" t="s">
        <v>21</v>
      </c>
      <c r="KX2" s="9" t="s">
        <v>23</v>
      </c>
      <c r="KY2" s="9" t="s">
        <v>64</v>
      </c>
      <c r="KZ2" s="9" t="s">
        <v>22</v>
      </c>
      <c r="LA2" s="9" t="s">
        <v>17</v>
      </c>
      <c r="LB2" s="125" t="s">
        <v>18</v>
      </c>
      <c r="LC2" s="125"/>
      <c r="LD2" s="125"/>
      <c r="LE2" s="125"/>
      <c r="LF2" s="125"/>
      <c r="LG2" s="125" t="s">
        <v>19</v>
      </c>
      <c r="LH2" s="125"/>
      <c r="LI2" s="125"/>
      <c r="LJ2" s="125"/>
      <c r="LK2" s="125"/>
      <c r="LL2" s="125" t="s">
        <v>22</v>
      </c>
      <c r="LM2" s="125"/>
      <c r="LN2" s="125"/>
      <c r="LO2" s="125"/>
      <c r="LP2" s="125"/>
      <c r="LQ2" s="34" t="s">
        <v>58</v>
      </c>
      <c r="LR2" s="12" t="s">
        <v>20</v>
      </c>
      <c r="LS2" s="12" t="s">
        <v>21</v>
      </c>
      <c r="LT2" s="12" t="s">
        <v>23</v>
      </c>
      <c r="LU2" s="12" t="s">
        <v>64</v>
      </c>
      <c r="LV2" s="12" t="s">
        <v>22</v>
      </c>
      <c r="LW2" s="12" t="s">
        <v>17</v>
      </c>
      <c r="LX2" s="122" t="s">
        <v>18</v>
      </c>
      <c r="LY2" s="122"/>
      <c r="LZ2" s="122"/>
      <c r="MA2" s="122"/>
      <c r="MB2" s="122"/>
      <c r="MC2" s="122" t="s">
        <v>19</v>
      </c>
      <c r="MD2" s="122"/>
      <c r="ME2" s="122"/>
      <c r="MF2" s="122"/>
      <c r="MG2" s="122"/>
      <c r="MH2" s="122" t="s">
        <v>22</v>
      </c>
      <c r="MI2" s="122"/>
      <c r="MJ2" s="122"/>
      <c r="MK2" s="122"/>
      <c r="ML2" s="122"/>
      <c r="MM2" s="33" t="s">
        <v>58</v>
      </c>
      <c r="MN2" s="9" t="s">
        <v>20</v>
      </c>
      <c r="MO2" s="9" t="s">
        <v>21</v>
      </c>
      <c r="MP2" s="9" t="s">
        <v>23</v>
      </c>
      <c r="MQ2" s="9" t="s">
        <v>64</v>
      </c>
      <c r="MR2" s="9" t="s">
        <v>22</v>
      </c>
      <c r="MS2" s="9" t="s">
        <v>17</v>
      </c>
      <c r="MT2" s="125" t="s">
        <v>18</v>
      </c>
      <c r="MU2" s="125"/>
      <c r="MV2" s="125"/>
      <c r="MW2" s="125"/>
      <c r="MX2" s="125"/>
      <c r="MY2" s="125" t="s">
        <v>19</v>
      </c>
      <c r="MZ2" s="125"/>
      <c r="NA2" s="125"/>
      <c r="NB2" s="125"/>
      <c r="NC2" s="125"/>
      <c r="ND2" s="125" t="s">
        <v>22</v>
      </c>
      <c r="NE2" s="125"/>
      <c r="NF2" s="125"/>
      <c r="NG2" s="125"/>
      <c r="NH2" s="125"/>
      <c r="NI2" s="34" t="s">
        <v>58</v>
      </c>
      <c r="NJ2" s="12" t="s">
        <v>20</v>
      </c>
      <c r="NK2" s="12" t="s">
        <v>21</v>
      </c>
      <c r="NL2" s="12" t="s">
        <v>23</v>
      </c>
      <c r="NM2" s="12" t="s">
        <v>64</v>
      </c>
      <c r="NN2" s="12" t="s">
        <v>22</v>
      </c>
      <c r="NO2" s="12" t="s">
        <v>17</v>
      </c>
      <c r="NP2" s="122" t="s">
        <v>18</v>
      </c>
      <c r="NQ2" s="122"/>
      <c r="NR2" s="122"/>
      <c r="NS2" s="122"/>
      <c r="NT2" s="122"/>
      <c r="NU2" s="122" t="s">
        <v>19</v>
      </c>
      <c r="NV2" s="122"/>
      <c r="NW2" s="122"/>
      <c r="NX2" s="122"/>
      <c r="NY2" s="122"/>
      <c r="NZ2" s="122" t="s">
        <v>71</v>
      </c>
      <c r="OA2" s="122"/>
      <c r="OB2" s="122"/>
      <c r="OC2" s="122"/>
      <c r="OD2" s="122"/>
      <c r="OE2" s="122" t="s">
        <v>22</v>
      </c>
      <c r="OF2" s="122"/>
      <c r="OG2" s="122"/>
      <c r="OH2" s="122"/>
      <c r="OI2" s="122"/>
      <c r="OJ2" s="94"/>
      <c r="OK2" s="9" t="s">
        <v>20</v>
      </c>
      <c r="OL2" s="9" t="s">
        <v>73</v>
      </c>
      <c r="OM2" s="9" t="s">
        <v>21</v>
      </c>
      <c r="ON2" s="9" t="s">
        <v>74</v>
      </c>
      <c r="OO2" s="9" t="s">
        <v>72</v>
      </c>
      <c r="OP2" s="9" t="s">
        <v>23</v>
      </c>
      <c r="OQ2" s="9" t="s">
        <v>64</v>
      </c>
      <c r="OR2" s="9" t="s">
        <v>22</v>
      </c>
      <c r="OS2" s="9" t="s">
        <v>17</v>
      </c>
    </row>
    <row r="3" spans="1:409" x14ac:dyDescent="0.2">
      <c r="A3" s="123"/>
      <c r="B3" s="123"/>
      <c r="C3" s="123"/>
      <c r="D3" s="123"/>
      <c r="E3" s="123"/>
      <c r="F3" s="123"/>
      <c r="G3" s="123"/>
      <c r="H3" s="123"/>
      <c r="I3" s="123"/>
      <c r="J3" s="123"/>
      <c r="K3" s="128"/>
      <c r="L3" s="128"/>
      <c r="M3" s="128"/>
      <c r="N3" s="128"/>
      <c r="O3" s="129"/>
      <c r="P3" s="128"/>
      <c r="Q3" s="129"/>
      <c r="R3" s="128"/>
      <c r="S3" s="127"/>
      <c r="T3" s="128"/>
      <c r="U3" s="128"/>
      <c r="V3" s="33" t="s">
        <v>14</v>
      </c>
      <c r="W3" s="33" t="s">
        <v>15</v>
      </c>
      <c r="X3" s="33" t="s">
        <v>7</v>
      </c>
      <c r="Y3" s="33" t="s">
        <v>16</v>
      </c>
      <c r="Z3" s="42" t="s">
        <v>27</v>
      </c>
      <c r="AA3" s="104" t="s">
        <v>14</v>
      </c>
      <c r="AB3" s="104" t="s">
        <v>15</v>
      </c>
      <c r="AC3" s="104" t="s">
        <v>7</v>
      </c>
      <c r="AD3" s="104" t="s">
        <v>16</v>
      </c>
      <c r="AE3" s="104" t="s">
        <v>27</v>
      </c>
      <c r="AF3" s="33" t="s">
        <v>14</v>
      </c>
      <c r="AG3" s="33" t="s">
        <v>15</v>
      </c>
      <c r="AH3" s="33" t="s">
        <v>7</v>
      </c>
      <c r="AI3" s="33" t="s">
        <v>16</v>
      </c>
      <c r="AJ3" s="42" t="s">
        <v>27</v>
      </c>
      <c r="AK3" s="33" t="s">
        <v>14</v>
      </c>
      <c r="AL3" s="33" t="s">
        <v>15</v>
      </c>
      <c r="AM3" s="33" t="s">
        <v>7</v>
      </c>
      <c r="AN3" s="33" t="s">
        <v>16</v>
      </c>
      <c r="AO3" s="42" t="s">
        <v>27</v>
      </c>
      <c r="AP3" s="69" t="s">
        <v>51</v>
      </c>
      <c r="AQ3" s="9"/>
      <c r="AR3" s="9"/>
      <c r="AS3" s="9"/>
      <c r="AT3" s="9"/>
      <c r="AU3" s="9"/>
      <c r="AV3" s="9"/>
      <c r="AW3" s="9"/>
      <c r="AX3" s="10"/>
      <c r="AY3" s="10"/>
      <c r="AZ3" s="34" t="s">
        <v>14</v>
      </c>
      <c r="BA3" s="34" t="s">
        <v>15</v>
      </c>
      <c r="BB3" s="34" t="s">
        <v>7</v>
      </c>
      <c r="BC3" s="34" t="s">
        <v>16</v>
      </c>
      <c r="BD3" s="43" t="s">
        <v>27</v>
      </c>
      <c r="BE3" s="105" t="s">
        <v>14</v>
      </c>
      <c r="BF3" s="105" t="s">
        <v>15</v>
      </c>
      <c r="BG3" s="105" t="s">
        <v>7</v>
      </c>
      <c r="BH3" s="105" t="s">
        <v>16</v>
      </c>
      <c r="BI3" s="105" t="s">
        <v>27</v>
      </c>
      <c r="BJ3" s="34" t="s">
        <v>14</v>
      </c>
      <c r="BK3" s="34" t="s">
        <v>15</v>
      </c>
      <c r="BL3" s="34" t="s">
        <v>7</v>
      </c>
      <c r="BM3" s="34" t="s">
        <v>16</v>
      </c>
      <c r="BN3" s="43" t="s">
        <v>27</v>
      </c>
      <c r="BO3" s="34" t="s">
        <v>14</v>
      </c>
      <c r="BP3" s="34" t="s">
        <v>15</v>
      </c>
      <c r="BQ3" s="34" t="s">
        <v>7</v>
      </c>
      <c r="BR3" s="43" t="s">
        <v>16</v>
      </c>
      <c r="BS3" s="34" t="s">
        <v>27</v>
      </c>
      <c r="BT3" s="68" t="s">
        <v>51</v>
      </c>
      <c r="BU3" s="12"/>
      <c r="BV3" s="12"/>
      <c r="BW3" s="12"/>
      <c r="BX3" s="12"/>
      <c r="BY3" s="12"/>
      <c r="BZ3" s="12"/>
      <c r="CA3" s="12"/>
      <c r="CB3" s="13"/>
      <c r="CC3" s="13"/>
      <c r="CD3" s="101" t="s">
        <v>14</v>
      </c>
      <c r="CE3" s="101" t="s">
        <v>15</v>
      </c>
      <c r="CF3" s="101" t="s">
        <v>7</v>
      </c>
      <c r="CG3" s="101" t="s">
        <v>16</v>
      </c>
      <c r="CH3" s="101" t="s">
        <v>27</v>
      </c>
      <c r="CI3" s="104" t="s">
        <v>14</v>
      </c>
      <c r="CJ3" s="104" t="s">
        <v>15</v>
      </c>
      <c r="CK3" s="104" t="s">
        <v>7</v>
      </c>
      <c r="CL3" s="104" t="s">
        <v>16</v>
      </c>
      <c r="CM3" s="104" t="s">
        <v>27</v>
      </c>
      <c r="CN3" s="101" t="s">
        <v>14</v>
      </c>
      <c r="CO3" s="101" t="s">
        <v>15</v>
      </c>
      <c r="CP3" s="101" t="s">
        <v>7</v>
      </c>
      <c r="CQ3" s="101" t="s">
        <v>16</v>
      </c>
      <c r="CR3" s="101" t="s">
        <v>27</v>
      </c>
      <c r="CS3" s="101" t="s">
        <v>14</v>
      </c>
      <c r="CT3" s="101" t="s">
        <v>15</v>
      </c>
      <c r="CU3" s="101" t="s">
        <v>7</v>
      </c>
      <c r="CV3" s="101" t="s">
        <v>16</v>
      </c>
      <c r="CW3" s="101" t="s">
        <v>27</v>
      </c>
      <c r="CX3" s="101" t="s">
        <v>51</v>
      </c>
      <c r="CY3" s="9"/>
      <c r="CZ3" s="9"/>
      <c r="DA3" s="9"/>
      <c r="DB3" s="9"/>
      <c r="DC3" s="9"/>
      <c r="DD3" s="9"/>
      <c r="DE3" s="9"/>
      <c r="DF3" s="10"/>
      <c r="DG3" s="10"/>
      <c r="DH3" s="22"/>
      <c r="DI3" s="22"/>
      <c r="DJ3" s="22"/>
      <c r="DK3" s="22"/>
      <c r="DL3" s="33" t="s">
        <v>14</v>
      </c>
      <c r="DM3" s="33" t="s">
        <v>15</v>
      </c>
      <c r="DN3" s="33" t="s">
        <v>7</v>
      </c>
      <c r="DO3" s="33" t="s">
        <v>16</v>
      </c>
      <c r="DP3" s="42" t="s">
        <v>27</v>
      </c>
      <c r="DQ3" s="33" t="s">
        <v>14</v>
      </c>
      <c r="DR3" s="33" t="s">
        <v>15</v>
      </c>
      <c r="DS3" s="33" t="s">
        <v>7</v>
      </c>
      <c r="DT3" s="33" t="s">
        <v>16</v>
      </c>
      <c r="DU3" s="42" t="s">
        <v>27</v>
      </c>
      <c r="DV3" s="33" t="s">
        <v>14</v>
      </c>
      <c r="DW3" s="33" t="s">
        <v>15</v>
      </c>
      <c r="DX3" s="33" t="s">
        <v>7</v>
      </c>
      <c r="DY3" s="33" t="s">
        <v>16</v>
      </c>
      <c r="DZ3" s="42" t="s">
        <v>27</v>
      </c>
      <c r="EA3" s="10"/>
      <c r="EB3" s="9"/>
      <c r="EC3" s="9"/>
      <c r="ED3" s="9"/>
      <c r="EE3" s="9"/>
      <c r="EF3" s="10"/>
      <c r="EG3" s="10"/>
      <c r="EH3" s="34" t="s">
        <v>14</v>
      </c>
      <c r="EI3" s="34" t="s">
        <v>15</v>
      </c>
      <c r="EJ3" s="34" t="s">
        <v>7</v>
      </c>
      <c r="EK3" s="34" t="s">
        <v>16</v>
      </c>
      <c r="EL3" s="43" t="s">
        <v>27</v>
      </c>
      <c r="EM3" s="34" t="s">
        <v>14</v>
      </c>
      <c r="EN3" s="34" t="s">
        <v>15</v>
      </c>
      <c r="EO3" s="34" t="s">
        <v>7</v>
      </c>
      <c r="EP3" s="34" t="s">
        <v>16</v>
      </c>
      <c r="EQ3" s="43" t="s">
        <v>27</v>
      </c>
      <c r="ER3" s="34" t="s">
        <v>14</v>
      </c>
      <c r="ES3" s="34" t="s">
        <v>15</v>
      </c>
      <c r="ET3" s="34" t="s">
        <v>7</v>
      </c>
      <c r="EU3" s="34" t="s">
        <v>16</v>
      </c>
      <c r="EV3" s="44" t="s">
        <v>27</v>
      </c>
      <c r="EW3" s="13"/>
      <c r="EX3" s="12"/>
      <c r="EY3" s="12"/>
      <c r="EZ3" s="12"/>
      <c r="FA3" s="12"/>
      <c r="FB3" s="13"/>
      <c r="FC3" s="13"/>
      <c r="FD3" s="33" t="s">
        <v>14</v>
      </c>
      <c r="FE3" s="33" t="s">
        <v>15</v>
      </c>
      <c r="FF3" s="33" t="s">
        <v>7</v>
      </c>
      <c r="FG3" s="33" t="s">
        <v>16</v>
      </c>
      <c r="FH3" s="42" t="s">
        <v>27</v>
      </c>
      <c r="FI3" s="33" t="s">
        <v>14</v>
      </c>
      <c r="FJ3" s="33" t="s">
        <v>15</v>
      </c>
      <c r="FK3" s="33" t="s">
        <v>7</v>
      </c>
      <c r="FL3" s="33" t="s">
        <v>16</v>
      </c>
      <c r="FM3" s="42" t="s">
        <v>27</v>
      </c>
      <c r="FN3" s="33" t="s">
        <v>14</v>
      </c>
      <c r="FO3" s="33" t="s">
        <v>15</v>
      </c>
      <c r="FP3" s="33" t="s">
        <v>7</v>
      </c>
      <c r="FQ3" s="33" t="s">
        <v>16</v>
      </c>
      <c r="FR3" s="42" t="s">
        <v>27</v>
      </c>
      <c r="FS3" s="10"/>
      <c r="FT3" s="9"/>
      <c r="FU3" s="9"/>
      <c r="FV3" s="9"/>
      <c r="FW3" s="9"/>
      <c r="FX3" s="10"/>
      <c r="FY3" s="10"/>
      <c r="FZ3" s="34" t="s">
        <v>14</v>
      </c>
      <c r="GA3" s="34" t="s">
        <v>15</v>
      </c>
      <c r="GB3" s="34" t="s">
        <v>7</v>
      </c>
      <c r="GC3" s="34" t="s">
        <v>16</v>
      </c>
      <c r="GD3" s="43" t="s">
        <v>27</v>
      </c>
      <c r="GE3" s="34" t="s">
        <v>14</v>
      </c>
      <c r="GF3" s="34" t="s">
        <v>15</v>
      </c>
      <c r="GG3" s="34" t="s">
        <v>7</v>
      </c>
      <c r="GH3" s="34" t="s">
        <v>16</v>
      </c>
      <c r="GI3" s="43" t="s">
        <v>27</v>
      </c>
      <c r="GJ3" s="34" t="s">
        <v>14</v>
      </c>
      <c r="GK3" s="34" t="s">
        <v>15</v>
      </c>
      <c r="GL3" s="34" t="s">
        <v>7</v>
      </c>
      <c r="GM3" s="34" t="s">
        <v>16</v>
      </c>
      <c r="GN3" s="43" t="s">
        <v>27</v>
      </c>
      <c r="GO3" s="13"/>
      <c r="GP3" s="12"/>
      <c r="GQ3" s="12"/>
      <c r="GR3" s="12"/>
      <c r="GS3" s="12"/>
      <c r="GT3" s="13"/>
      <c r="GU3" s="13"/>
      <c r="GV3" s="33" t="s">
        <v>14</v>
      </c>
      <c r="GW3" s="33" t="s">
        <v>15</v>
      </c>
      <c r="GX3" s="33" t="s">
        <v>7</v>
      </c>
      <c r="GY3" s="33" t="s">
        <v>16</v>
      </c>
      <c r="GZ3" s="42" t="s">
        <v>27</v>
      </c>
      <c r="HA3" s="33" t="s">
        <v>14</v>
      </c>
      <c r="HB3" s="33" t="s">
        <v>15</v>
      </c>
      <c r="HC3" s="33" t="s">
        <v>7</v>
      </c>
      <c r="HD3" s="33" t="s">
        <v>16</v>
      </c>
      <c r="HE3" s="42" t="s">
        <v>27</v>
      </c>
      <c r="HF3" s="33" t="s">
        <v>14</v>
      </c>
      <c r="HG3" s="33" t="s">
        <v>15</v>
      </c>
      <c r="HH3" s="33" t="s">
        <v>7</v>
      </c>
      <c r="HI3" s="33" t="s">
        <v>16</v>
      </c>
      <c r="HJ3" s="42" t="s">
        <v>27</v>
      </c>
      <c r="HK3" s="10"/>
      <c r="HL3" s="9"/>
      <c r="HM3" s="9"/>
      <c r="HN3" s="9"/>
      <c r="HO3" s="9"/>
      <c r="HP3" s="10"/>
      <c r="HQ3" s="10"/>
      <c r="HR3" s="34" t="s">
        <v>14</v>
      </c>
      <c r="HS3" s="34" t="s">
        <v>15</v>
      </c>
      <c r="HT3" s="34" t="s">
        <v>7</v>
      </c>
      <c r="HU3" s="34" t="s">
        <v>16</v>
      </c>
      <c r="HV3" s="43" t="s">
        <v>27</v>
      </c>
      <c r="HW3" s="34" t="s">
        <v>14</v>
      </c>
      <c r="HX3" s="34" t="s">
        <v>15</v>
      </c>
      <c r="HY3" s="34" t="s">
        <v>7</v>
      </c>
      <c r="HZ3" s="34" t="s">
        <v>16</v>
      </c>
      <c r="IA3" s="43" t="s">
        <v>27</v>
      </c>
      <c r="IB3" s="34" t="s">
        <v>14</v>
      </c>
      <c r="IC3" s="34" t="s">
        <v>15</v>
      </c>
      <c r="ID3" s="34" t="s">
        <v>7</v>
      </c>
      <c r="IE3" s="34" t="s">
        <v>16</v>
      </c>
      <c r="IF3" s="43" t="s">
        <v>27</v>
      </c>
      <c r="IG3" s="13"/>
      <c r="IH3" s="12"/>
      <c r="II3" s="12"/>
      <c r="IJ3" s="12"/>
      <c r="IK3" s="12"/>
      <c r="IL3" s="13"/>
      <c r="IM3" s="13"/>
      <c r="IN3" s="33" t="s">
        <v>14</v>
      </c>
      <c r="IO3" s="33" t="s">
        <v>15</v>
      </c>
      <c r="IP3" s="33" t="s">
        <v>7</v>
      </c>
      <c r="IQ3" s="33" t="s">
        <v>16</v>
      </c>
      <c r="IR3" s="42" t="s">
        <v>27</v>
      </c>
      <c r="IS3" s="33" t="s">
        <v>14</v>
      </c>
      <c r="IT3" s="33" t="s">
        <v>15</v>
      </c>
      <c r="IU3" s="33" t="s">
        <v>7</v>
      </c>
      <c r="IV3" s="33" t="s">
        <v>16</v>
      </c>
      <c r="IW3" s="42" t="s">
        <v>27</v>
      </c>
      <c r="IX3" s="33" t="s">
        <v>14</v>
      </c>
      <c r="IY3" s="33" t="s">
        <v>15</v>
      </c>
      <c r="IZ3" s="33" t="s">
        <v>7</v>
      </c>
      <c r="JA3" s="33" t="s">
        <v>16</v>
      </c>
      <c r="JB3" s="42" t="s">
        <v>27</v>
      </c>
      <c r="JC3" s="10"/>
      <c r="JD3" s="9"/>
      <c r="JE3" s="9"/>
      <c r="JF3" s="9"/>
      <c r="JG3" s="9"/>
      <c r="JH3" s="10"/>
      <c r="JI3" s="10"/>
      <c r="JJ3" s="34" t="s">
        <v>14</v>
      </c>
      <c r="JK3" s="34" t="s">
        <v>15</v>
      </c>
      <c r="JL3" s="34" t="s">
        <v>7</v>
      </c>
      <c r="JM3" s="34" t="s">
        <v>16</v>
      </c>
      <c r="JN3" s="43" t="s">
        <v>27</v>
      </c>
      <c r="JO3" s="34" t="s">
        <v>14</v>
      </c>
      <c r="JP3" s="34" t="s">
        <v>15</v>
      </c>
      <c r="JQ3" s="34" t="s">
        <v>7</v>
      </c>
      <c r="JR3" s="34" t="s">
        <v>16</v>
      </c>
      <c r="JS3" s="43" t="s">
        <v>27</v>
      </c>
      <c r="JT3" s="34" t="s">
        <v>14</v>
      </c>
      <c r="JU3" s="34" t="s">
        <v>15</v>
      </c>
      <c r="JV3" s="34" t="s">
        <v>7</v>
      </c>
      <c r="JW3" s="34" t="s">
        <v>16</v>
      </c>
      <c r="JX3" s="43" t="s">
        <v>27</v>
      </c>
      <c r="JY3" s="13"/>
      <c r="JZ3" s="12"/>
      <c r="KA3" s="12"/>
      <c r="KB3" s="12"/>
      <c r="KC3" s="12"/>
      <c r="KD3" s="13"/>
      <c r="KE3" s="13"/>
      <c r="KF3" s="33" t="s">
        <v>14</v>
      </c>
      <c r="KG3" s="33" t="s">
        <v>15</v>
      </c>
      <c r="KH3" s="33" t="s">
        <v>7</v>
      </c>
      <c r="KI3" s="33" t="s">
        <v>16</v>
      </c>
      <c r="KJ3" s="42" t="s">
        <v>27</v>
      </c>
      <c r="KK3" s="33" t="s">
        <v>14</v>
      </c>
      <c r="KL3" s="33" t="s">
        <v>15</v>
      </c>
      <c r="KM3" s="33" t="s">
        <v>7</v>
      </c>
      <c r="KN3" s="33" t="s">
        <v>16</v>
      </c>
      <c r="KO3" s="42" t="s">
        <v>27</v>
      </c>
      <c r="KP3" s="33" t="s">
        <v>14</v>
      </c>
      <c r="KQ3" s="33" t="s">
        <v>15</v>
      </c>
      <c r="KR3" s="33" t="s">
        <v>7</v>
      </c>
      <c r="KS3" s="33" t="s">
        <v>16</v>
      </c>
      <c r="KT3" s="42" t="s">
        <v>27</v>
      </c>
      <c r="KU3" s="10"/>
      <c r="KV3" s="9"/>
      <c r="KW3" s="9"/>
      <c r="KX3" s="9"/>
      <c r="KY3" s="9"/>
      <c r="KZ3" s="10"/>
      <c r="LA3" s="10"/>
      <c r="LB3" s="34" t="s">
        <v>14</v>
      </c>
      <c r="LC3" s="34" t="s">
        <v>15</v>
      </c>
      <c r="LD3" s="34" t="s">
        <v>7</v>
      </c>
      <c r="LE3" s="34" t="s">
        <v>16</v>
      </c>
      <c r="LF3" s="43" t="s">
        <v>27</v>
      </c>
      <c r="LG3" s="34" t="s">
        <v>14</v>
      </c>
      <c r="LH3" s="34" t="s">
        <v>15</v>
      </c>
      <c r="LI3" s="34" t="s">
        <v>7</v>
      </c>
      <c r="LJ3" s="34" t="s">
        <v>16</v>
      </c>
      <c r="LK3" s="43" t="s">
        <v>27</v>
      </c>
      <c r="LL3" s="34" t="s">
        <v>14</v>
      </c>
      <c r="LM3" s="34" t="s">
        <v>15</v>
      </c>
      <c r="LN3" s="34" t="s">
        <v>7</v>
      </c>
      <c r="LO3" s="34" t="s">
        <v>16</v>
      </c>
      <c r="LP3" s="43" t="s">
        <v>27</v>
      </c>
      <c r="LQ3" s="13"/>
      <c r="LR3" s="12"/>
      <c r="LS3" s="12"/>
      <c r="LT3" s="12"/>
      <c r="LU3" s="12"/>
      <c r="LV3" s="13"/>
      <c r="LW3" s="13"/>
      <c r="LX3" s="33" t="s">
        <v>14</v>
      </c>
      <c r="LY3" s="33" t="s">
        <v>15</v>
      </c>
      <c r="LZ3" s="33" t="s">
        <v>7</v>
      </c>
      <c r="MA3" s="33" t="s">
        <v>16</v>
      </c>
      <c r="MB3" s="42" t="s">
        <v>27</v>
      </c>
      <c r="MC3" s="33" t="s">
        <v>14</v>
      </c>
      <c r="MD3" s="33" t="s">
        <v>15</v>
      </c>
      <c r="ME3" s="33" t="s">
        <v>7</v>
      </c>
      <c r="MF3" s="33" t="s">
        <v>16</v>
      </c>
      <c r="MG3" s="42" t="s">
        <v>27</v>
      </c>
      <c r="MH3" s="33" t="s">
        <v>14</v>
      </c>
      <c r="MI3" s="33" t="s">
        <v>15</v>
      </c>
      <c r="MJ3" s="33" t="s">
        <v>7</v>
      </c>
      <c r="MK3" s="33" t="s">
        <v>16</v>
      </c>
      <c r="ML3" s="42" t="s">
        <v>27</v>
      </c>
      <c r="MM3" s="10"/>
      <c r="MN3" s="9"/>
      <c r="MO3" s="9"/>
      <c r="MP3" s="9"/>
      <c r="MQ3" s="9"/>
      <c r="MR3" s="10"/>
      <c r="MS3" s="10"/>
      <c r="MT3" s="34" t="s">
        <v>14</v>
      </c>
      <c r="MU3" s="34" t="s">
        <v>15</v>
      </c>
      <c r="MV3" s="34" t="s">
        <v>7</v>
      </c>
      <c r="MW3" s="34" t="s">
        <v>16</v>
      </c>
      <c r="MX3" s="43" t="s">
        <v>27</v>
      </c>
      <c r="MY3" s="34" t="s">
        <v>14</v>
      </c>
      <c r="MZ3" s="34" t="s">
        <v>15</v>
      </c>
      <c r="NA3" s="34" t="s">
        <v>7</v>
      </c>
      <c r="NB3" s="34" t="s">
        <v>16</v>
      </c>
      <c r="NC3" s="43" t="s">
        <v>27</v>
      </c>
      <c r="ND3" s="34" t="s">
        <v>14</v>
      </c>
      <c r="NE3" s="34" t="s">
        <v>15</v>
      </c>
      <c r="NF3" s="34" t="s">
        <v>7</v>
      </c>
      <c r="NG3" s="34" t="s">
        <v>16</v>
      </c>
      <c r="NH3" s="43" t="s">
        <v>27</v>
      </c>
      <c r="NI3" s="13"/>
      <c r="NJ3" s="12"/>
      <c r="NK3" s="12"/>
      <c r="NL3" s="12"/>
      <c r="NM3" s="12"/>
      <c r="NN3" s="13"/>
      <c r="NO3" s="13"/>
      <c r="NP3" s="94" t="s">
        <v>14</v>
      </c>
      <c r="NQ3" s="94" t="s">
        <v>15</v>
      </c>
      <c r="NR3" s="94" t="s">
        <v>7</v>
      </c>
      <c r="NS3" s="94" t="s">
        <v>16</v>
      </c>
      <c r="NT3" s="94" t="s">
        <v>27</v>
      </c>
      <c r="NU3" s="104" t="s">
        <v>14</v>
      </c>
      <c r="NV3" s="104" t="s">
        <v>15</v>
      </c>
      <c r="NW3" s="104" t="s">
        <v>7</v>
      </c>
      <c r="NX3" s="104" t="s">
        <v>16</v>
      </c>
      <c r="NY3" s="104" t="s">
        <v>27</v>
      </c>
      <c r="NZ3" s="94" t="s">
        <v>14</v>
      </c>
      <c r="OA3" s="94" t="s">
        <v>15</v>
      </c>
      <c r="OB3" s="94" t="s">
        <v>7</v>
      </c>
      <c r="OC3" s="94" t="s">
        <v>16</v>
      </c>
      <c r="OD3" s="94" t="s">
        <v>27</v>
      </c>
      <c r="OE3" s="94" t="s">
        <v>14</v>
      </c>
      <c r="OF3" s="94" t="s">
        <v>15</v>
      </c>
      <c r="OG3" s="94" t="s">
        <v>7</v>
      </c>
      <c r="OH3" s="94" t="s">
        <v>16</v>
      </c>
      <c r="OI3" s="94" t="s">
        <v>27</v>
      </c>
      <c r="OJ3" s="94" t="s">
        <v>51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IF(AND(G4&lt;&gt;"",H4&lt;&gt;""),SUMPRODUCT((G$4:G$24&lt;&gt;"")*(H$4:H$24&lt;&gt;"")*(E$4:E$24&gt;E4))+1,IF(H4&lt;&gt;"",SUMPRODUCT((I$4:I$24="No DD")*(E$4:E$24&gt;E4))+1+SUMPRODUCT((G$4:G$24&lt;&gt;"")*(H$4:H$24&lt;&gt;"")),""))</f>
        <v>1</v>
      </c>
      <c r="B4" s="6" t="s">
        <v>113</v>
      </c>
      <c r="C4" s="7" t="s">
        <v>6</v>
      </c>
      <c r="D4" s="26">
        <v>2001</v>
      </c>
      <c r="E4" s="15">
        <f t="shared" ref="E4:E23" si="0">SUM(O4:S4)</f>
        <v>116.75</v>
      </c>
      <c r="F4" s="3" t="str">
        <f t="shared" ref="F4:F23" si="1">IF(G4&lt;&gt;"","P","")</f>
        <v>P</v>
      </c>
      <c r="G4" s="115" t="str">
        <f t="shared" ref="G4:G23" si="2">IF(OR(AND(AR4&gt;=AY$29,AR4&lt;&gt;"",AP4=""),AND(AT4&gt;=AY$29,AT4&lt;&gt;"",AP4=""),AND(AW4&gt;=AY$29,AW4&lt;&gt;"",AP4=""),AND(BV4&gt;=CC$29,BV4&lt;&gt;"",BT4=""),AND(BX4&gt;=CC$29,BX4&lt;&gt;"",BT4=""),AND(CA4&gt;=CC$29,CA4&lt;&gt;"",BT4=""),AND(CZ4&gt;=DG$29,CZ4&lt;&gt;"",CX4=""),AND(DB4&gt;=DG$29,DB4&lt;&gt;"",CX4=""),AND(DE4&gt;=DG$29,DE4&lt;&gt;"",CX4=""),AND(EA4&gt;=EG$29,EA4&lt;&gt;""),AND(EE4&gt;=EG$29,EE4&lt;&gt;""),AND(EW4&gt;=FC$29,EW4&lt;&gt;""),AND(FA4&gt;=FC$29,FA4&lt;&gt;""),AND(FS4&gt;=FY$29,FS4&lt;&gt;""),AND(FW4&gt;=FY$29,FW4&lt;&gt;""),AND(GO4&gt;=GU$29,GO4&lt;&gt;""),AND(GS4&gt;=GU$29,GS4&lt;&gt;""),AND(HK4&gt;=HQ$29,HK4&lt;&gt;""),AND(HO4&gt;=HQ$29,HO4&lt;&gt;""),AND(IG4&gt;=IM$29,IG4&lt;&gt;""),AND(IK4&gt;=IM$29,IK4&lt;&gt;""),AND(JC4&gt;=JI$29,JC4&lt;&gt;""),AND(JG4&gt;=JI$29,JG4&lt;&gt;""),AND(JY4&gt;=KE$29,JY4&lt;&gt;""),AND(KC4&gt;=KE$29,KC4&lt;&gt;""),AND(KU4&gt;=LA$29,KU4&lt;&gt;""),AND(KY4&gt;=LA$29,KY4&lt;&gt;""),AND(LQ4&gt;=LW$29,LQ4&lt;&gt;""),AND(LU4&gt;=LW$29,LU4&lt;&gt;""),AND(MM4&gt;=MS$29,MM4&lt;&gt;""),AND(MQ4&gt;=MS$29,MQ4&lt;&gt;""),AND(NI4&gt;=NO$29,NI4&lt;&gt;""),AND(NM4&gt;=NO$29,NM4&lt;&gt;"")),"Merit",IF(OR(AND(AR4&gt;=AY$28,AR4&lt;&gt;"",AP4=""),AND(AT4&gt;=AY$28,AT4&lt;&gt;"",AP4=""),AND(AW4&gt;=AY$28,AW4&lt;&gt;"",AP4=""),AND(BV4&gt;=CC$28,BV4&lt;&gt;"",BT4=""),AND(BX4&gt;=CC$28,BX4&lt;&gt;"",BT4=""),AND(CA4&gt;=CC$28,CA4&lt;&gt;"",BT4=""),AND(CZ4&gt;=DG$28,CZ4&lt;&gt;"",CX4=""),AND(DB4&gt;=DG$28,DB4&lt;&gt;"",CX4=""),AND(DE4&gt;=DG$28,DE4&lt;&gt;"",CX4=""),AND(EA4&gt;=EG$28,EA4&lt;&gt;""),AND(EE4&gt;=EG$28,EE4&lt;&gt;""),AND(EW4&gt;=FC$28,EW4&lt;&gt;""),AND(FA4&gt;=FC$28,FA4&lt;&gt;""),AND(FS4&gt;=FY$28,FS4&lt;&gt;""),AND(FW4&gt;=FY$28,FW4&lt;&gt;""),AND(GO4&gt;=GU$28,GO4&lt;&gt;""),AND(GS4&gt;=GU$28,GS4&lt;&gt;""),AND(HK4&gt;=HQ$28,HK4&lt;&gt;""),AND(HO4&gt;=HQ$28,HO4&lt;&gt;""),AND(IG4&gt;=IM$28,IG4&lt;&gt;""),AND(IK4&gt;=IM$28,IK4&lt;&gt;""),AND(JC4&gt;=JI$28,JC4&lt;&gt;""),AND(JG4&gt;=JI$28,JG4&lt;&gt;""),AND(JY4&gt;=KE$28,JY4&lt;&gt;""),AND(KC4&gt;=KE$28,KC4&lt;&gt;""),AND(KU4&gt;=LA$28,KU4&lt;&gt;""),AND(KY4&gt;=LA$28,KY4&lt;&gt;""),AND(LQ4&gt;=LW$28,LQ4&lt;&gt;""),AND(LU4&gt;=LW$28,LU4&lt;&gt;""),AND(MM4&gt;=MS$28,MM4&lt;&gt;""),AND(MQ4&gt;=MS$28,MQ4&lt;&gt;""),AND(NI4&gt;=NO$28,NI4&lt;&gt;""),AND(NM4&gt;=NO$28,NM4&lt;&gt;"")),"Excellence",IF(OR(AND(AR4&gt;=AY$27,AR4&lt;&gt;"",AP4=""),AND(AT4&gt;=AY$27,AT4&lt;&gt;"",AP4=""),AND(AW4&gt;=AY$27,AW4&lt;&gt;"",AP4=""),AND(BV4&gt;=CC$27,BV4&lt;&gt;"",BT4=""),AND(BX4&gt;=CC$27,BX4&lt;&gt;"",BT4=""),AND(CA4&gt;=CC$27,CA4&lt;&gt;"",BT4=""),AND(CZ4&gt;=DG$27,CZ4&lt;&gt;"",CX4=""),AND(DB4&gt;=DG$27,DB4&lt;&gt;"",CX4=""),AND(DE4&gt;=DG$27,DE4&lt;&gt;"",CX4=""),AND(EA4&gt;=EG$27,EA4&lt;&gt;""),AND(EE4&gt;=EG$27,EE4&lt;&gt;""),AND(EW4&gt;=FC$27,EW4&lt;&gt;""),AND(FA4&gt;=FC$27,FA4&lt;&gt;""),AND(FS4&gt;=FY$27,FS4&lt;&gt;""),AND(FW4&gt;=FY$27,FW4&lt;&gt;""),AND(GO4&gt;=GU$27,GO4&lt;&gt;""),AND(GS4&gt;=GU$27,GS4&lt;&gt;""),AND(HK4&gt;=HQ$27,HK4&lt;&gt;""),AND(HO4&gt;=HQ$27,HO4&lt;&gt;""),AND(IG4&gt;=IM$27,IG4&lt;&gt;""),AND(IK4&gt;=IM$27,IK4&lt;&gt;""),AND(JC4&gt;=JI$27,JC4&lt;&gt;""),AND(JG4&gt;=JI$27,JG4&lt;&gt;""),AND(JY4&gt;=KE$27,JY4&lt;&gt;""),AND(KC4&gt;=KE$27,KC4&lt;&gt;""),AND(KU4&gt;=LA$27,KU4&lt;&gt;""),AND(KY4&gt;=LA$27,KY4&lt;&gt;""),AND(LQ4&gt;=LW$27,LQ4&lt;&gt;""),AND(LU4&gt;=LW$27,LU4&lt;&gt;""),AND(MM4&gt;=MS$27,MM4&lt;&gt;""),AND(MQ4&gt;=MS$27,MQ4&lt;&gt;""),AND(NI4&gt;=NO$27,NI4&lt;&gt;""),AND(NM4&gt;=NO$27,NM4&lt;&gt;"")),"Worlds Team",IF(OR(AND(AR4&gt;=AY$26,AR4&lt;&gt;"",AP4=""),AND(AT4&gt;=AY$26,AT4&lt;&gt;"",AP4=""),AND(AW4&gt;=AY$26,AW4&lt;&gt;"",AP4=""),AND(BV4&gt;=CC$26,BV4&lt;&gt;"",BT4=""),AND(BX4&gt;=CC$26,BX4&lt;&gt;"",BT4=""),AND(CA4&gt;=CC$26,CA4&lt;&gt;"",BT4=""),AND(CZ4&gt;=DG$26,CZ4&lt;&gt;"",CX4=""),AND(DB4&gt;=DG$26,DB4&lt;&gt;"",CX4=""),AND(DE4&gt;=DG$26,DE4&lt;&gt;"",CX4=""),AND(EA4&gt;=EG$26,EA4&lt;&gt;""),AND(EE4&gt;=EG$26,EE4&lt;&gt;""),AND(EW4&gt;=FC$26,EW4&lt;&gt;""),AND(FA4&gt;=FC$26,FA4&lt;&gt;""),AND(FS4&gt;=FY$26,FS4&lt;&gt;""),AND(FW4&gt;=FY$26,FW4&lt;&gt;""),AND(GO4&gt;=GU$26,GO4&lt;&gt;""),AND(GS4&gt;=GU$26,GS4&lt;&gt;""),AND(HK4&gt;=HQ$26,HK4&lt;&gt;""),AND(HO4&gt;=HQ$26,HO4&lt;&gt;""),AND(IG4&gt;=IM$26,IG4&lt;&gt;""),AND(IK4&gt;=IM$26,IK4&lt;&gt;""),AND(JC4&gt;=JI$26,JC4&lt;&gt;""),AND(JG4&gt;=JI$26,JG4&lt;&gt;""),AND(JY4&gt;=KE$26,JY4&lt;&gt;""),AND(KC4&gt;=KE$26,KC4&lt;&gt;""),AND(KU4&gt;=LA$26,KU4&lt;&gt;""),AND(KY4&gt;=LA$26,KY4&lt;&gt;""),AND(LQ4&gt;=LW$26,LQ4&lt;&gt;""),AND(LU4&gt;=LW$26,LU4&lt;&gt;""),AND(MM4&gt;=MS$26,MM4&lt;&gt;""),AND(MQ4&gt;=MS$26,MQ4&lt;&gt;""),AND(NI4&gt;=NO$26,NI4&lt;&gt;""),AND(NM4&gt;=NO$26,NM4&lt;&gt;"")),"National Team",""))))</f>
        <v>National Team</v>
      </c>
      <c r="H4" s="115" t="str">
        <f t="shared" ref="H4:H23" si="3">IF(OR(AND(AS4&gt;=AY$30,AS4&lt;&gt;"",AP4=""),AND(AU4&gt;=AY$30,AU4&lt;&gt;"",AP4=""),AND(AX4&gt;=AY$30,AX4&lt;&gt;"",AP4=""),AND(BW4&gt;=CC$30,BW4&lt;&gt;"",BT4=""),AND(BY4&gt;=CC$30,BY4&lt;&gt;"",BT4=""),AND(CB4&gt;=CC$30,CB4&lt;&gt;"",BT4=""),AND(DA4&gt;=DG$30,DA4&lt;&gt;"",CX4=""),AND(DC4&gt;=DG$30,DC4&lt;&gt;"",CX4=""),AND(DF4&gt;=DG$30,DF4&lt;&gt;"",CX4=""),AND(EC4&gt;=EG$30,EC4&lt;&gt;""),AND(EF4&gt;=EG$30,EF4&lt;&gt;""),AND(EY4&gt;=FC$30,EY4&lt;&gt;""),AND(FB4&gt;=FC$30,FB4&lt;&gt;""),AND(FU4&gt;=FY$30,FU4&lt;&gt;""),AND(FX4&gt;=FY$30,FX4&lt;&gt;""),AND(GQ4&gt;=GU$30,GQ4&lt;&gt;""),AND(GT4&gt;=GU$30,GT4&lt;&gt;""),AND(HM4&gt;=HQ$30,HM4&lt;&gt;""),AND(HP4&gt;=HQ$30,HP4&lt;&gt;""),AND(II4&gt;=IM$30,II4&lt;&gt;""),AND(IL4&gt;=IM$30,IL4&lt;&gt;""),AND(JE4&gt;=JI$30,JE4&lt;&gt;""),AND(JH4&gt;=JI$30,JH4&lt;&gt;""),AND(KA4&gt;=KE$30,KA4&lt;&gt;""),AND(KD4&gt;=KE$30,KD4&lt;&gt;""),AND(KW4&gt;=LA$30,KW4&lt;&gt;""),AND(KZ4&gt;=LA$30,KZ4&lt;&gt;""),AND(LS4&gt;=LW$30,LS4&lt;&gt;""),AND(LV4&gt;=LW$30,LV4&lt;&gt;""),AND(MO4&gt;=MS$30,MO4&lt;&gt;""),AND(MR4&gt;=MS$30,MR4&lt;&gt;""),AND(NK4&gt;=NO$30,NK4&lt;&gt;""),AND(NN4&gt;=NO$30,NN4&lt;&gt;"")),"National Team","")</f>
        <v>National Team</v>
      </c>
      <c r="I4" s="116" t="str">
        <f t="shared" ref="I4:I23" si="4"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National Team</v>
      </c>
      <c r="J4" s="3" t="str">
        <f t="shared" ref="J4:J23" si="5">IF(AND(OR(AND(AV4&gt;=AY$31,AV4&lt;&gt;"",AP4=""),AND(BZ4&gt;=CC$31,BZ4&lt;&gt;"",BT4=""),AND(DD4&gt;=DG$31,DD4&lt;&gt;"",CX4=""),AND(ED4&gt;=EG$31,ED4&lt;&gt;""),AND(EZ4&gt;=FC$31,EZ4&lt;&gt;""),AND(FV4&gt;=FY$31,FV4&lt;&gt;""),AND(GR4&gt;=GU$31,GR4&lt;&gt;""),AND(HN4&gt;=HQ$31,HN4&lt;&gt;""),AND(IJ4&gt;=IM$31,IJ4&lt;&gt;""),AND(JF4&gt;=JI$31,JF4&lt;&gt;""),AND(KB4&gt;=KE$31,KB4&lt;&gt;""),AND(KX4&gt;=LA$31,KX4&lt;&gt;""),AND(LT4&gt;=LW$31,LT4&lt;&gt;""),AND(MP4&gt;=MS$31,MP4&lt;&gt;""),AND(NL4&gt;=NO$31,NL4&lt;&gt;"")),OR(G4="Worlds Team",G4="Excellence",G4="Merit")),"P","")</f>
        <v/>
      </c>
      <c r="K4" s="14">
        <f t="shared" ref="K4:K23" si="6">IF(MAX(AV4,BZ4,DD4)&gt;0,MAX(AV4,BZ4,DD4),0)</f>
        <v>107.22499999999999</v>
      </c>
      <c r="L4" s="14" t="str">
        <f t="shared" ref="L4:L23" si="7">IF(K4=0,"",IF(K4=DD4,$CD$1,IF(K4=BZ4,$AZ$1,IF(K4=AV4,$V$1,""))))</f>
        <v>2021 1st Virtual Technical Trial</v>
      </c>
      <c r="M4" s="14">
        <f t="shared" ref="M4:M23" si="8">IF($K4=$AV4,MAX(BU4,CY4),IF($K4=$BZ4,MAX(AQ4,CY4),IF($K4=$DD4,MAX(AQ4,BU4),MAX(AQ4,BU4,CY4))))</f>
        <v>48.36</v>
      </c>
      <c r="N4" s="14" t="str">
        <f t="shared" ref="N4:N23" si="9">IF(M4=0,"",IF(AND(M4=CY4,$L4&lt;&gt;$CD$1),$CD$1,IF(AND(M4=BU4,$L4&lt;&gt;$AZ$1),$AZ$1,IF(AND(M4=AQ4,$L4&lt;&gt;$V$1),$V$1,""))))</f>
        <v>2021 2nd Virtual Technical Trial</v>
      </c>
      <c r="O4" s="14">
        <f t="shared" ref="O4:O23" si="10">MAX(AS4,AU4,AX4,BW4,BY4,CB4,DA4,DC4,DF4)</f>
        <v>58.6</v>
      </c>
      <c r="P4" s="14" t="str">
        <f t="shared" ref="P4:P23" si="11">IF(O4=0,"",IF(OR(O4=DC4,O4=DA4,O4=DF4),$CD$1,IF(OR(O4=BY4,O4=BW4,O4=CB4),$AZ$1,IF(OR(O4=AU4,O4=AS4,O4=AX4),$V$1,""))))</f>
        <v>2021 Elite Canada</v>
      </c>
      <c r="Q4" s="14">
        <f>IF(COUNT(AS4,AU4,AX4,BW4,BY4,CB4,DA4,DC4,DF4)&gt;1,LARGE((AS4,AU4,AX4,BW4,BY4,CB4,DA4,DC4,DF4),2),0)</f>
        <v>58.15</v>
      </c>
      <c r="R4" s="14" t="str">
        <f t="shared" ref="R4:R23" si="12">IF(Q4=0,"",IF(OR(Q4=DC4,Q4=DA4,Q4=DF4),$CD$1,IF(OR(Q4=BY4,Q4=BW4,Q4=CB4),$AZ$1,IF(OR(Q4=AU4,Q4=AS4,Q4=AX4),$V$1,""))))</f>
        <v>2021 Elite Canada</v>
      </c>
      <c r="S4" s="14" t="str">
        <f t="shared" ref="S4:S23" si="13">IF(MAX(DI4,DK4)&gt;0,MAX(DI4,DK4),"")</f>
        <v/>
      </c>
      <c r="T4" s="24" t="str">
        <f t="shared" ref="T4:T23" si="14">IF(S4="","",IF(S4=DH4,"(Vol 1)",IF(S4=DI4,"(Vol 2)",IF(S4=DJ4,"(Prelim)",IF(S4=DK4,"(Final)")))))</f>
        <v/>
      </c>
      <c r="U4" s="14" t="str">
        <f t="shared" ref="U4:U23" si="15"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/>
      </c>
      <c r="V4" s="61">
        <v>18</v>
      </c>
      <c r="W4" s="61">
        <v>9.75</v>
      </c>
      <c r="X4" s="61">
        <v>4.8</v>
      </c>
      <c r="Y4" s="61">
        <v>17.895</v>
      </c>
      <c r="Z4" s="61">
        <v>0</v>
      </c>
      <c r="AA4" s="61">
        <v>14.8</v>
      </c>
      <c r="AB4" s="61">
        <v>8.75</v>
      </c>
      <c r="AC4" s="61">
        <v>13.5</v>
      </c>
      <c r="AD4" s="61">
        <v>16.91</v>
      </c>
      <c r="AE4" s="61">
        <v>0</v>
      </c>
      <c r="AF4" s="61">
        <v>16.7</v>
      </c>
      <c r="AG4" s="61">
        <v>8.9</v>
      </c>
      <c r="AH4" s="61">
        <v>13.9</v>
      </c>
      <c r="AI4" s="61">
        <v>17.28</v>
      </c>
      <c r="AJ4" s="61">
        <v>0</v>
      </c>
      <c r="AK4" s="61">
        <v>1.7</v>
      </c>
      <c r="AL4" s="61">
        <v>0.9</v>
      </c>
      <c r="AM4" s="61">
        <v>1.7</v>
      </c>
      <c r="AN4" s="61">
        <v>1.8149999999999999</v>
      </c>
      <c r="AO4" s="61">
        <v>0</v>
      </c>
      <c r="AP4" s="72"/>
      <c r="AQ4" s="11">
        <f t="shared" ref="AQ4:AQ23" si="16">IF(SUM(V4:Y4)-Z4&gt;0,SUM(V4:Y4)-Z4,"")</f>
        <v>50.444999999999993</v>
      </c>
      <c r="AR4" s="11">
        <f t="shared" ref="AR4:AR23" si="17">IF(AC4&gt;0,AC4,"")</f>
        <v>13.5</v>
      </c>
      <c r="AS4" s="11">
        <f t="shared" ref="AS4:AS23" si="18">IF(SUM(AA4:AD4)-AE4&gt;0,SUM(AA4:AD4)-AE4,"")</f>
        <v>53.959999999999994</v>
      </c>
      <c r="AT4" s="11">
        <f t="shared" ref="AT4:AT23" si="19">IF(AH4&gt;0,AH4,"")</f>
        <v>13.9</v>
      </c>
      <c r="AU4" s="11">
        <f t="shared" ref="AU4:AU23" si="20">IF(SUM(AF4:AI4)-AJ4&gt;0,SUM(AF4:AI4)-AJ4,"")</f>
        <v>56.78</v>
      </c>
      <c r="AV4" s="11">
        <f t="shared" ref="AV4:AV23" si="21">IF(AQ4="",IF(MAX(AS4,AU4)&gt;0,MAX(AS4,AU4),""),MAX(AS4,AU4)+AQ4)</f>
        <v>107.22499999999999</v>
      </c>
      <c r="AW4" s="11">
        <f t="shared" ref="AW4:AW23" si="22">IF(AM4&gt;0,AM4,"")</f>
        <v>1.7</v>
      </c>
      <c r="AX4" s="11">
        <f t="shared" ref="AX4:AX23" si="23">IF(SUM(AK4:AN4)-AO4&gt;0,SUM(AK4:AN4)-AO4,"")</f>
        <v>6.1150000000000002</v>
      </c>
      <c r="AY4" s="11">
        <f t="shared" ref="AY4:AY23" si="24">IF(SUM(AV4,AX4)&gt;0,SUM(AV4,AX4),"")</f>
        <v>113.33999999999999</v>
      </c>
      <c r="AZ4" s="67">
        <v>17.7</v>
      </c>
      <c r="BA4" s="67">
        <v>8.9</v>
      </c>
      <c r="BB4" s="67">
        <v>4.4000000000000004</v>
      </c>
      <c r="BC4" s="67">
        <v>17.36</v>
      </c>
      <c r="BD4" s="67">
        <v>0</v>
      </c>
      <c r="BE4" s="67">
        <v>15.5</v>
      </c>
      <c r="BF4" s="67">
        <v>8.5</v>
      </c>
      <c r="BG4" s="67">
        <v>14.8</v>
      </c>
      <c r="BH4" s="67">
        <v>17.079999999999998</v>
      </c>
      <c r="BI4" s="67">
        <v>0</v>
      </c>
      <c r="BJ4" s="67">
        <v>15.7</v>
      </c>
      <c r="BK4" s="67">
        <v>9.4</v>
      </c>
      <c r="BL4" s="67">
        <v>15</v>
      </c>
      <c r="BM4" s="67">
        <v>17.11</v>
      </c>
      <c r="BN4" s="67">
        <v>0</v>
      </c>
      <c r="BO4" s="67">
        <v>16.2</v>
      </c>
      <c r="BP4" s="67">
        <v>9.4</v>
      </c>
      <c r="BQ4" s="67">
        <v>14.6</v>
      </c>
      <c r="BR4" s="67">
        <v>17.38</v>
      </c>
      <c r="BS4" s="67">
        <v>0</v>
      </c>
      <c r="BT4" s="73"/>
      <c r="BU4" s="14">
        <f t="shared" ref="BU4:BU23" si="25">IF(SUM(AZ4:BC4)-BD4&gt;0,SUM(AZ4:BC4)-BD4,"")</f>
        <v>48.36</v>
      </c>
      <c r="BV4" s="14">
        <f t="shared" ref="BV4:BV23" si="26">IF(BG4&gt;0,BG4,"")</f>
        <v>14.8</v>
      </c>
      <c r="BW4" s="14">
        <f t="shared" ref="BW4:BW23" si="27">IF(SUM(BE4:BH4)-BI4&gt;0,SUM(BE4:BH4)-BI4,"")</f>
        <v>55.879999999999995</v>
      </c>
      <c r="BX4" s="14">
        <f t="shared" ref="BX4:BX23" si="28">IF(BL4&gt;0,BL4,"")</f>
        <v>15</v>
      </c>
      <c r="BY4" s="14">
        <f t="shared" ref="BY4:BY23" si="29">IF(SUM(BJ4:BM4)-BN4&gt;0,SUM(BJ4:BM4)-BN4,"")</f>
        <v>57.21</v>
      </c>
      <c r="BZ4" s="14">
        <f t="shared" ref="BZ4:BZ23" si="30">IF(BU4="",IF(MAX(BW4,BY4)&gt;0,MAX(BW4,BY4),""),MAX(BW4,BY4)+BU4)</f>
        <v>105.57</v>
      </c>
      <c r="CA4" s="14">
        <f t="shared" ref="CA4:CA23" si="31">IF(BQ4&gt;0,BQ4,"")</f>
        <v>14.6</v>
      </c>
      <c r="CB4" s="14">
        <f t="shared" ref="CB4:CB23" si="32">IF(SUM(BO4:BR4)-BS4&gt;0,SUM(BO4:BR4)-BS4,"")</f>
        <v>57.58</v>
      </c>
      <c r="CC4" s="14">
        <f t="shared" ref="CC4:CC23" si="33">IF(SUM(BZ4,CB4)&gt;0,SUM(BZ4,CB4),"")</f>
        <v>163.14999999999998</v>
      </c>
      <c r="CD4" s="61">
        <v>6</v>
      </c>
      <c r="CE4" s="61">
        <v>2.8</v>
      </c>
      <c r="CF4" s="61">
        <v>0</v>
      </c>
      <c r="CG4" s="61">
        <v>5.83</v>
      </c>
      <c r="CH4" s="61">
        <v>0.2</v>
      </c>
      <c r="CI4" s="61">
        <v>16.2</v>
      </c>
      <c r="CJ4" s="61">
        <v>9.1</v>
      </c>
      <c r="CK4" s="61">
        <v>15.6</v>
      </c>
      <c r="CL4" s="61">
        <v>17.25</v>
      </c>
      <c r="CM4" s="61">
        <v>0</v>
      </c>
      <c r="CN4" s="61">
        <v>16.5</v>
      </c>
      <c r="CO4" s="61">
        <v>9.1</v>
      </c>
      <c r="CP4" s="61">
        <v>15.6</v>
      </c>
      <c r="CQ4" s="61">
        <v>17.399999999999999</v>
      </c>
      <c r="CR4" s="61">
        <v>0</v>
      </c>
      <c r="CS4" s="61"/>
      <c r="CT4" s="61"/>
      <c r="CU4" s="61"/>
      <c r="CV4" s="61"/>
      <c r="CW4" s="61"/>
      <c r="CX4" s="72"/>
      <c r="CY4" s="11">
        <f t="shared" ref="CY4:CY23" si="34">IF(SUM(CD4:CG4)-CH4&gt;0,SUM(CD4:CG4)-CH4,"")</f>
        <v>14.430000000000001</v>
      </c>
      <c r="CZ4" s="11">
        <f t="shared" ref="CZ4:CZ23" si="35">IF(CK4&gt;0,CK4,"")</f>
        <v>15.6</v>
      </c>
      <c r="DA4" s="11">
        <f t="shared" ref="DA4:DA23" si="36">IF(SUM(CI4:CL4)-CM4&gt;0,SUM(CI4:CL4)-CM4,"")</f>
        <v>58.15</v>
      </c>
      <c r="DB4" s="11">
        <f t="shared" ref="DB4:DB23" si="37">IF(CP4&gt;0,CP4,"")</f>
        <v>15.6</v>
      </c>
      <c r="DC4" s="11">
        <f t="shared" ref="DC4:DC23" si="38">IF(SUM(CN4:CQ4)-CR4&gt;0,SUM(CN4:CQ4)-CR4,"")</f>
        <v>58.6</v>
      </c>
      <c r="DD4" s="11">
        <f t="shared" ref="DD4:DD23" si="39">IF(CY4="",IF(MAX(DA4,DC4)&gt;0,MAX(DA4,DC4),""),MAX(DA4,DC4)+CY4)</f>
        <v>73.03</v>
      </c>
      <c r="DE4" s="11" t="str">
        <f t="shared" ref="DE4:DE23" si="40">IF(CU4&gt;0,CU4,"")</f>
        <v/>
      </c>
      <c r="DF4" s="11" t="str">
        <f t="shared" ref="DF4:DF23" si="41">IF(SUM(CS4:CV4)-CW4&gt;0,SUM(CS4:CV4)-CW4,"")</f>
        <v/>
      </c>
      <c r="DG4" s="11">
        <f t="shared" ref="DG4:DG23" si="42">IF(SUM(DD4,DF4)&gt;0,SUM(DD4,DF4),"")</f>
        <v>73.03</v>
      </c>
      <c r="DH4" s="23" t="str">
        <f t="shared" ref="DH4:DH23" si="43">IF(MAX(EB4,EX4,FT4,GP4,HL4,IH4,JD4,JZ4,KV4,LR4,MN4,NJ4)-IF(M4="",0,M4)&gt;0.001,MAX(EB4,EX4,FT4,GP4,HL4,IH4,JD4,JZ4,KV4,LR4,MN4,NJ4)-IF(M4="",0,M4),"")</f>
        <v/>
      </c>
      <c r="DI4" s="23" t="str">
        <f t="shared" ref="DI4:DI23" si="44">IF(MAX(EC4,EY4,FU4,GQ4,HM4,II4,JE4,KA4,KW4,LS4,MO4,NK4)-IF(O4="",0,O4)&gt;0.001,MAX(EC4,EY4,FU4,GQ4,HM4,II4,JE4,KA4,KW4,LS4,MO4,NK4)-IF(O4="",0,O4),"")</f>
        <v/>
      </c>
      <c r="DJ4" s="23" t="str">
        <f t="shared" ref="DJ4:DJ23" si="45">IF(MAX(ED4,EZ4,FV4,GR4,HN4,IJ4,JF4,KB4,KX4,LT4,MP4,NL4)-IF(K4="",0,K4)&gt;0.001,MAX(ED4,EZ4,FV4,GR4,HN4,IJ4,JF4,KB4,KX4,LT4,MP4,NL4)-IF(K4="",0,K4),"")</f>
        <v/>
      </c>
      <c r="DK4" s="23" t="str">
        <f t="shared" ref="DK4:DK23" si="46">IF(MAX(EF4,FB4,FX4,GT4,HP4,IL4,JH4,KD4,KZ4,LV4,MR4,NN4)-IF(Q4="",0,Q4)&gt;0.001,MAX(EF4,FB4,FX4,GT4,HP4,IL4,JH4,KD4,KZ4,LV4,MR4,NN4)-IF(Q4="",0,Q4),"")</f>
        <v/>
      </c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11" t="str">
        <f t="shared" ref="EA4:EA23" si="47">IF(DS4&gt;0,DS4,"")</f>
        <v/>
      </c>
      <c r="EB4" s="11" t="str">
        <f t="shared" ref="EB4:EB23" si="48">IF(SUM(DL4:DO4)-DP4&gt;0,SUM(DL4:DO4)-DP4,"")</f>
        <v/>
      </c>
      <c r="EC4" s="11" t="str">
        <f t="shared" ref="EC4:EC23" si="49">IF(SUM(DQ4:DT4)-DU4&gt;0,SUM(DQ4:DT4)-DU4,"")</f>
        <v/>
      </c>
      <c r="ED4" s="11" t="str">
        <f t="shared" ref="ED4:ED23" si="50">IF(SUM(EB4:EC4)&gt;0,SUM(EB4:EC4),"")</f>
        <v/>
      </c>
      <c r="EE4" s="11" t="str">
        <f t="shared" ref="EE4:EE23" si="51">IF(DX4&gt;0,DX4,"")</f>
        <v/>
      </c>
      <c r="EF4" s="11" t="str">
        <f t="shared" ref="EF4:EF23" si="52">IF(SUM(DV4:DY4)-DZ4&gt;0,SUM(DV4:DY4)-DZ4,"")</f>
        <v/>
      </c>
      <c r="EG4" s="11" t="str">
        <f t="shared" ref="EG4:EG23" si="53">IF(SUM(ED4,EF4)&gt;0,SUM(ED4,EF4),"")</f>
        <v/>
      </c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14" t="str">
        <f t="shared" ref="EW4:EW23" si="54">IF(EO4&gt;0,EO4,"")</f>
        <v/>
      </c>
      <c r="EX4" s="14" t="str">
        <f t="shared" ref="EX4:EX23" si="55">IF(SUM(EH4:EK4)-EL4&gt;0,SUM(EH4:EK4)-EL4,"")</f>
        <v/>
      </c>
      <c r="EY4" s="14" t="str">
        <f t="shared" ref="EY4:EY23" si="56">IF(SUM(EM4:EP4)-EQ4&gt;0,SUM(EM4:EP4)-EQ4,"")</f>
        <v/>
      </c>
      <c r="EZ4" s="14" t="str">
        <f t="shared" ref="EZ4:EZ23" si="57">IF(SUM(EX4:EY4)&gt;0,SUM(EX4:EY4),"")</f>
        <v/>
      </c>
      <c r="FA4" s="14" t="str">
        <f t="shared" ref="FA4:FA23" si="58">IF(ET4&gt;0,ET4,"")</f>
        <v/>
      </c>
      <c r="FB4" s="14" t="str">
        <f t="shared" ref="FB4:FB23" si="59">IF(SUM(ER4:EU4)-EV4&gt;0,SUM(ER4:EU4)-EV4,"")</f>
        <v/>
      </c>
      <c r="FC4" s="14" t="str">
        <f t="shared" ref="FC4:FC23" si="60">IF(SUM(EZ4,FB4)&gt;0,SUM(EZ4,FB4),"")</f>
        <v/>
      </c>
      <c r="FD4" s="35"/>
      <c r="FE4" s="35"/>
      <c r="FF4" s="35"/>
      <c r="FG4" s="35"/>
      <c r="FH4" s="35"/>
      <c r="FI4" s="35"/>
      <c r="FJ4" s="35"/>
      <c r="FK4" s="35"/>
      <c r="FL4" s="35"/>
      <c r="FM4" s="35"/>
      <c r="FN4" s="35"/>
      <c r="FO4" s="35"/>
      <c r="FP4" s="35"/>
      <c r="FQ4" s="35"/>
      <c r="FR4" s="35"/>
      <c r="FS4" s="11" t="str">
        <f t="shared" ref="FS4:FS23" si="61">IF(FK4&gt;0,FK4,"")</f>
        <v/>
      </c>
      <c r="FT4" s="11" t="str">
        <f t="shared" ref="FT4:FT23" si="62">IF(SUM(FD4:FG4)-FH4&gt;0,SUM(FD4:FG4)-FH4,"")</f>
        <v/>
      </c>
      <c r="FU4" s="11" t="str">
        <f t="shared" ref="FU4:FU23" si="63">IF(SUM(FI4:FL4)-FM4&gt;0,SUM(FI4:FL4)-FM4,"")</f>
        <v/>
      </c>
      <c r="FV4" s="11" t="str">
        <f t="shared" ref="FV4:FV23" si="64">IF(SUM(FT4:FU4)&gt;0,SUM(FT4:FU4),"")</f>
        <v/>
      </c>
      <c r="FW4" s="11" t="str">
        <f t="shared" ref="FW4:FW23" si="65">IF(FP4&gt;0,FP4,"")</f>
        <v/>
      </c>
      <c r="FX4" s="11" t="str">
        <f t="shared" ref="FX4:FX23" si="66">IF(SUM(FN4:FQ4)-FR4&gt;0,SUM(FN4:FQ4)-FR4,"")</f>
        <v/>
      </c>
      <c r="FY4" s="11" t="str">
        <f t="shared" ref="FY4:FY23" si="67">IF(SUM(FV4,FX4)&gt;0,SUM(FV4,FX4),"")</f>
        <v/>
      </c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4" t="str">
        <f t="shared" ref="GO4:GO23" si="68">IF(GG4&gt;0,GG4,"")</f>
        <v/>
      </c>
      <c r="GP4" s="14" t="str">
        <f t="shared" ref="GP4:GP23" si="69">IF(SUM(FZ4:GC4)-GD4&gt;0,SUM(FZ4:GC4)-GD4,"")</f>
        <v/>
      </c>
      <c r="GQ4" s="14" t="str">
        <f t="shared" ref="GQ4:GQ23" si="70">IF(SUM(GE4:GH4)-GI4&gt;0,SUM(GE4:GH4)-GI4,"")</f>
        <v/>
      </c>
      <c r="GR4" s="14" t="str">
        <f t="shared" ref="GR4:GR23" si="71">IF(SUM(GP4:GQ4)&gt;0,SUM(GP4:GQ4),"")</f>
        <v/>
      </c>
      <c r="GS4" s="14" t="str">
        <f t="shared" ref="GS4:GS23" si="72">IF(GL4&gt;0,GL4,"")</f>
        <v/>
      </c>
      <c r="GT4" s="14" t="str">
        <f t="shared" ref="GT4:GT23" si="73">IF(SUM(GJ4:GM4)-GN4&gt;0,SUM(GJ4:GM4)-GN4,"")</f>
        <v/>
      </c>
      <c r="GU4" s="14" t="str">
        <f t="shared" ref="GU4:GU23" si="74">IF(SUM(GR4,GT4)&gt;0,SUM(GR4,GT4),"")</f>
        <v/>
      </c>
      <c r="GV4" s="35"/>
      <c r="GW4" s="35"/>
      <c r="GX4" s="35"/>
      <c r="GY4" s="35"/>
      <c r="GZ4" s="35"/>
      <c r="HA4" s="35"/>
      <c r="HB4" s="35"/>
      <c r="HC4" s="35"/>
      <c r="HD4" s="35"/>
      <c r="HE4" s="35"/>
      <c r="HF4" s="35"/>
      <c r="HG4" s="35"/>
      <c r="HH4" s="35"/>
      <c r="HI4" s="35"/>
      <c r="HJ4" s="35"/>
      <c r="HK4" s="11" t="str">
        <f t="shared" ref="HK4:HK23" si="75">IF(HC4&gt;0,HC4,"")</f>
        <v/>
      </c>
      <c r="HL4" s="11" t="str">
        <f t="shared" ref="HL4:HL23" si="76">IF(SUM(GV4:GY4)-GZ4&gt;0,SUM(GV4:GY4)-GZ4,"")</f>
        <v/>
      </c>
      <c r="HM4" s="11" t="str">
        <f t="shared" ref="HM4:HM23" si="77">IF(SUM(HA4:HD4)-HE4&gt;0,SUM(HA4:HD4)-HE4,"")</f>
        <v/>
      </c>
      <c r="HN4" s="11" t="str">
        <f t="shared" ref="HN4:HN23" si="78">IF(SUM(HL4:HM4)&gt;0,SUM(HL4:HM4),"")</f>
        <v/>
      </c>
      <c r="HO4" s="11" t="str">
        <f t="shared" ref="HO4:HO23" si="79">IF(HH4&gt;0,HH4,"")</f>
        <v/>
      </c>
      <c r="HP4" s="11" t="str">
        <f t="shared" ref="HP4:HP23" si="80">IF(SUM(HF4:HI4)-HJ4&gt;0,SUM(HF4:HI4)-HJ4,"")</f>
        <v/>
      </c>
      <c r="HQ4" s="11" t="str">
        <f t="shared" ref="HQ4:HQ23" si="81">IF(SUM(HN4,HP4)&gt;0,SUM(HN4,HP4),"")</f>
        <v/>
      </c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14" t="str">
        <f t="shared" ref="IG4:IG23" si="82">IF(HY4&gt;0,HY4,"")</f>
        <v/>
      </c>
      <c r="IH4" s="14" t="str">
        <f t="shared" ref="IH4:IH23" si="83">IF(SUM(HR4:HU4)-HV4&gt;0,SUM(HR4:HU4)-HV4,"")</f>
        <v/>
      </c>
      <c r="II4" s="14" t="str">
        <f t="shared" ref="II4:II23" si="84">IF(SUM(HW4:HZ4)-IA4&gt;0,SUM(HW4:HZ4)-IA4,"")</f>
        <v/>
      </c>
      <c r="IJ4" s="14" t="str">
        <f t="shared" ref="IJ4:IJ23" si="85">IF(SUM(IH4:II4)&gt;0,SUM(IH4:II4),"")</f>
        <v/>
      </c>
      <c r="IK4" s="14" t="str">
        <f t="shared" ref="IK4:IK23" si="86">IF(ID4&gt;0,ID4,"")</f>
        <v/>
      </c>
      <c r="IL4" s="14" t="str">
        <f t="shared" ref="IL4:IL23" si="87">IF(SUM(IB4:IE4)-IF4&gt;0,SUM(IB4:IE4)-IF4,"")</f>
        <v/>
      </c>
      <c r="IM4" s="14" t="str">
        <f t="shared" ref="IM4:IM23" si="88">IF(SUM(IJ4,IL4)&gt;0,SUM(IJ4,IL4),"")</f>
        <v/>
      </c>
      <c r="IN4" s="35"/>
      <c r="IO4" s="35"/>
      <c r="IP4" s="35"/>
      <c r="IQ4" s="35"/>
      <c r="IR4" s="35"/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11" t="str">
        <f t="shared" ref="JC4:JC23" si="89">IF(IU4&gt;0,IU4,"")</f>
        <v/>
      </c>
      <c r="JD4" s="11" t="str">
        <f t="shared" ref="JD4:JD23" si="90">IF(SUM(IN4:IQ4)-IR4&gt;0,SUM(IN4:IQ4)-IR4,"")</f>
        <v/>
      </c>
      <c r="JE4" s="11" t="str">
        <f t="shared" ref="JE4:JE23" si="91">IF(SUM(IS4:IV4)-IW4&gt;0,SUM(IS4:IV4)-IW4,"")</f>
        <v/>
      </c>
      <c r="JF4" s="11" t="str">
        <f t="shared" ref="JF4:JF23" si="92">IF(SUM(JD4:JE4)&gt;0,SUM(JD4:JE4),"")</f>
        <v/>
      </c>
      <c r="JG4" s="11" t="str">
        <f t="shared" ref="JG4:JG23" si="93">IF(IZ4&gt;0,IZ4,"")</f>
        <v/>
      </c>
      <c r="JH4" s="11" t="str">
        <f t="shared" ref="JH4:JH23" si="94">IF(SUM(IX4:JA4)-JB4&gt;0,SUM(IX4:JA4)-JB4,"")</f>
        <v/>
      </c>
      <c r="JI4" s="11" t="str">
        <f t="shared" ref="JI4:JI23" si="95">IF(SUM(JF4,JH4)&gt;0,SUM(JF4,JH4),"")</f>
        <v/>
      </c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14" t="str">
        <f t="shared" ref="JY4:JY23" si="96">IF(JQ4&gt;0,JQ4,"")</f>
        <v/>
      </c>
      <c r="JZ4" s="14" t="str">
        <f t="shared" ref="JZ4:JZ23" si="97">IF(SUM(JJ4:JM4)-JN4&gt;0,SUM(JJ4:JM4)-JN4,"")</f>
        <v/>
      </c>
      <c r="KA4" s="14" t="str">
        <f t="shared" ref="KA4:KA23" si="98">IF(SUM(JO4:JR4)-JS4&gt;0,SUM(JO4:JR4)-JS4,"")</f>
        <v/>
      </c>
      <c r="KB4" s="14" t="str">
        <f t="shared" ref="KB4:KB23" si="99">IF(SUM(JZ4:KA4)&gt;0,SUM(JZ4:KA4),"")</f>
        <v/>
      </c>
      <c r="KC4" s="14" t="str">
        <f t="shared" ref="KC4:KC23" si="100">IF(JV4&gt;0,JV4,"")</f>
        <v/>
      </c>
      <c r="KD4" s="14" t="str">
        <f t="shared" ref="KD4:KD23" si="101">IF(SUM(JT4:JW4)-JX4&gt;0,SUM(JT4:JW4)-JX4,"")</f>
        <v/>
      </c>
      <c r="KE4" s="14" t="str">
        <f t="shared" ref="KE4:KE23" si="102">IF(SUM(KB4,KD4)&gt;0,SUM(KB4,KD4),"")</f>
        <v/>
      </c>
      <c r="KF4" s="35"/>
      <c r="KG4" s="35"/>
      <c r="KH4" s="35"/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11" t="str">
        <f t="shared" ref="KU4:KU23" si="103">IF(KM4&gt;0,KM4,"")</f>
        <v/>
      </c>
      <c r="KV4" s="11" t="str">
        <f t="shared" ref="KV4:KV23" si="104">IF(SUM(KF4:KI4)-KJ4&gt;0,SUM(KF4:KI4)-KJ4,"")</f>
        <v/>
      </c>
      <c r="KW4" s="11" t="str">
        <f t="shared" ref="KW4:KW23" si="105">IF(SUM(KK4:KN4)-KO4&gt;0,SUM(KK4:KN4)-KO4,"")</f>
        <v/>
      </c>
      <c r="KX4" s="11" t="str">
        <f t="shared" ref="KX4:KX23" si="106">IF(SUM(KV4:KW4)&gt;0,SUM(KV4:KW4),"")</f>
        <v/>
      </c>
      <c r="KY4" s="11" t="str">
        <f t="shared" ref="KY4:KY23" si="107">IF(KR4&gt;0,KR4,"")</f>
        <v/>
      </c>
      <c r="KZ4" s="11" t="str">
        <f t="shared" ref="KZ4:KZ23" si="108">IF(SUM(KP4:KS4)-KT4&gt;0,SUM(KP4:KS4)-KT4,"")</f>
        <v/>
      </c>
      <c r="LA4" s="11" t="str">
        <f t="shared" ref="LA4:LA23" si="109">IF(SUM(KX4,KZ4)&gt;0,SUM(KX4,KZ4),"")</f>
        <v/>
      </c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14" t="str">
        <f t="shared" ref="LQ4:LQ23" si="110">IF(LI4&gt;0,LI4,"")</f>
        <v/>
      </c>
      <c r="LR4" s="14" t="str">
        <f t="shared" ref="LR4:LR23" si="111">IF(SUM(LB4:LE4)-LF4&gt;0,SUM(LB4:LE4)-LF4,"")</f>
        <v/>
      </c>
      <c r="LS4" s="14" t="str">
        <f t="shared" ref="LS4:LS23" si="112">IF(SUM(LG4:LJ4)-LK4&gt;0,SUM(LG4:LJ4)-LK4,"")</f>
        <v/>
      </c>
      <c r="LT4" s="14" t="str">
        <f t="shared" ref="LT4:LT23" si="113">IF(SUM(LR4:LS4)&gt;0,SUM(LR4:LS4),"")</f>
        <v/>
      </c>
      <c r="LU4" s="14" t="str">
        <f t="shared" ref="LU4:LU23" si="114">IF(LN4&gt;0,LN4,"")</f>
        <v/>
      </c>
      <c r="LV4" s="14" t="str">
        <f t="shared" ref="LV4:LV23" si="115">IF(SUM(LL4:LO4)-LP4&gt;0,SUM(LL4:LO4)-LP4,"")</f>
        <v/>
      </c>
      <c r="LW4" s="14" t="str">
        <f t="shared" ref="LW4:LW23" si="116">IF(SUM(LT4,LV4)&gt;0,SUM(LT4,LV4),"")</f>
        <v/>
      </c>
      <c r="LX4" s="35"/>
      <c r="LY4" s="35"/>
      <c r="LZ4" s="35"/>
      <c r="MA4" s="35"/>
      <c r="MB4" s="35"/>
      <c r="MC4" s="35"/>
      <c r="MD4" s="35"/>
      <c r="ME4" s="35"/>
      <c r="MF4" s="35"/>
      <c r="MG4" s="35"/>
      <c r="MH4" s="35"/>
      <c r="MI4" s="35"/>
      <c r="MJ4" s="35"/>
      <c r="MK4" s="35"/>
      <c r="ML4" s="35"/>
      <c r="MM4" s="11" t="str">
        <f t="shared" ref="MM4:MM23" si="117">IF(ME4&gt;0,ME4,"")</f>
        <v/>
      </c>
      <c r="MN4" s="11" t="str">
        <f t="shared" ref="MN4:MN23" si="118">IF(SUM(LX4:MA4)-MB4&gt;0,SUM(LX4:MA4)-MB4,"")</f>
        <v/>
      </c>
      <c r="MO4" s="11" t="str">
        <f t="shared" ref="MO4:MO23" si="119">IF(SUM(MC4:MF4)-MG4&gt;0,SUM(MC4:MF4)-MG4,"")</f>
        <v/>
      </c>
      <c r="MP4" s="11" t="str">
        <f t="shared" ref="MP4:MP23" si="120">IF(SUM(MN4:MO4)&gt;0,SUM(MN4:MO4),"")</f>
        <v/>
      </c>
      <c r="MQ4" s="11" t="str">
        <f t="shared" ref="MQ4:MQ23" si="121">IF(MJ4&gt;0,MJ4,"")</f>
        <v/>
      </c>
      <c r="MR4" s="11" t="str">
        <f t="shared" ref="MR4:MR23" si="122">IF(SUM(MH4:MK4)-ML4&gt;0,SUM(MH4:MK4)-ML4,"")</f>
        <v/>
      </c>
      <c r="MS4" s="11" t="str">
        <f t="shared" ref="MS4:MS23" si="123">IF(SUM(MP4,MR4)&gt;0,SUM(MP4,MR4),"")</f>
        <v/>
      </c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14" t="str">
        <f t="shared" ref="NI4:NI23" si="124">IF(NA4&gt;0,NA4,"")</f>
        <v/>
      </c>
      <c r="NJ4" s="14" t="str">
        <f t="shared" ref="NJ4:NJ23" si="125">IF(SUM(MT4:MW4)-MX4&gt;0,SUM(MT4:MW4)-MX4,"")</f>
        <v/>
      </c>
      <c r="NK4" s="14" t="str">
        <f t="shared" ref="NK4:NK23" si="126">IF(SUM(MY4:NB4)-NC4&gt;0,SUM(MY4:NB4)-NC4,"")</f>
        <v/>
      </c>
      <c r="NL4" s="14" t="str">
        <f t="shared" ref="NL4:NL23" si="127">IF(SUM(NJ4:NK4)&gt;0,SUM(NJ4:NK4),"")</f>
        <v/>
      </c>
      <c r="NM4" s="14" t="str">
        <f t="shared" ref="NM4:NM23" si="128">IF(NF4&gt;0,NF4,"")</f>
        <v/>
      </c>
      <c r="NN4" s="14" t="str">
        <f t="shared" ref="NN4:NN23" si="129">IF(SUM(ND4:NG4)-NH4&gt;0,SUM(ND4:NG4)-NH4,"")</f>
        <v/>
      </c>
      <c r="NO4" s="14" t="str">
        <f t="shared" ref="NO4:NO23" si="130">IF(SUM(NL4,NN4)&gt;0,SUM(NL4,NN4),"")</f>
        <v/>
      </c>
      <c r="NP4" s="61">
        <f t="shared" ref="NP4:NP23" si="131">IF($CX4="P",CD4,(CD4+AZ4)/2)</f>
        <v>11.85</v>
      </c>
      <c r="NQ4" s="61">
        <f t="shared" ref="NQ4:NQ23" si="132">IF($CX4="P",CE4,(CE4+BA4)/2)</f>
        <v>5.85</v>
      </c>
      <c r="NR4" s="61">
        <f t="shared" ref="NR4:NR23" si="133">IF($CX4="P",CF4,(CF4+BB4)/2)</f>
        <v>2.2000000000000002</v>
      </c>
      <c r="NS4" s="61">
        <f t="shared" ref="NS4:NS23" si="134">IF($CX4="P",CG4,(CG4+BC4)/2)</f>
        <v>11.594999999999999</v>
      </c>
      <c r="NT4" s="61">
        <f t="shared" ref="NT4:NT23" si="135">IF($CX4="P",CH4,(CH4+BD4)/2)</f>
        <v>0.1</v>
      </c>
      <c r="NU4" s="61">
        <f t="shared" ref="NU4:NU23" si="136">IF($CX4="P",CI4,(CI4+BE4)/2)</f>
        <v>15.85</v>
      </c>
      <c r="NV4" s="61">
        <f t="shared" ref="NV4:NV23" si="137">IF($CX4="P",CJ4,(CJ4+BF4)/2)</f>
        <v>8.8000000000000007</v>
      </c>
      <c r="NW4" s="61">
        <f t="shared" ref="NW4:NW23" si="138">IF($CX4="P",CK4,(CK4+BG4)/2)</f>
        <v>15.2</v>
      </c>
      <c r="NX4" s="61">
        <f t="shared" ref="NX4:NX23" si="139">IF($CX4="P",CL4,(CL4+BH4)/2)</f>
        <v>17.164999999999999</v>
      </c>
      <c r="NY4" s="61">
        <f t="shared" ref="NY4:NY23" si="140">IF($CX4="P",CM4,(CM4+BI4)/2)</f>
        <v>0</v>
      </c>
      <c r="NZ4" s="61">
        <f t="shared" ref="NZ4:NZ23" si="141">IF($CX4="P",CN4,(CN4+BJ4)/2)</f>
        <v>16.100000000000001</v>
      </c>
      <c r="OA4" s="61">
        <f t="shared" ref="OA4:OA23" si="142">IF($CX4="P",CO4,(CO4+BK4)/2)</f>
        <v>9.25</v>
      </c>
      <c r="OB4" s="61">
        <f t="shared" ref="OB4:OB23" si="143">IF($CX4="P",CP4,(CP4+BL4)/2)</f>
        <v>15.3</v>
      </c>
      <c r="OC4" s="61">
        <f t="shared" ref="OC4:OC23" si="144">IF($CX4="P",CQ4,(CQ4+BM4)/2)</f>
        <v>17.254999999999999</v>
      </c>
      <c r="OD4" s="61">
        <f t="shared" ref="OD4:OD23" si="145">IF($CX4="P",CR4,(CR4+BN4)/2)</f>
        <v>0</v>
      </c>
      <c r="OE4" s="61">
        <f t="shared" ref="OE4:OE23" si="146">IF($CX4="P",CS4,(CS4+BO4)/2)</f>
        <v>8.1</v>
      </c>
      <c r="OF4" s="61">
        <f t="shared" ref="OF4:OF23" si="147">IF($CX4="P",CT4,(CT4+BP4)/2)</f>
        <v>4.7</v>
      </c>
      <c r="OG4" s="61">
        <f t="shared" ref="OG4:OG23" si="148">IF($CX4="P",CU4,(CU4+BQ4)/2)</f>
        <v>7.3</v>
      </c>
      <c r="OH4" s="61">
        <f t="shared" ref="OH4:OH23" si="149">IF($CX4="P",CV4,(CV4+BR4)/2)</f>
        <v>8.69</v>
      </c>
      <c r="OI4" s="61">
        <f t="shared" ref="OI4:OI23" si="150">IF($CX4="P",CW4,(CW4+BS4)/2)</f>
        <v>0</v>
      </c>
      <c r="OJ4" s="72" t="s">
        <v>52</v>
      </c>
      <c r="OK4" s="11">
        <f t="shared" ref="OK4:OK23" si="151">IF(SUM(NP4:NS4)-NT4&gt;0,SUM(NP4:NS4)-NT4,"")</f>
        <v>31.394999999999996</v>
      </c>
      <c r="OL4" s="11">
        <f t="shared" ref="OL4:OL23" si="152">IF(NW4&gt;0,NW4,"")</f>
        <v>15.2</v>
      </c>
      <c r="OM4" s="11">
        <f t="shared" ref="OM4:OM23" si="153">IF(SUM(NU4:NX4)-NY4&gt;0,SUM(NU4:NX4)-NY4,"")</f>
        <v>57.014999999999993</v>
      </c>
      <c r="ON4" s="11">
        <f t="shared" ref="ON4:ON23" si="154">IF(OB4&gt;0,OB4,"")</f>
        <v>15.3</v>
      </c>
      <c r="OO4" s="11">
        <f t="shared" ref="OO4:OO23" si="155">IF(SUM(NZ4:OC4)-OD4&gt;0,SUM(NZ4:OC4)-OD4,"")</f>
        <v>57.905000000000001</v>
      </c>
      <c r="OP4" s="11">
        <f t="shared" ref="OP4:OP23" si="156">IF(OR(OK4&lt;&gt;"",OM4&lt;&gt;"",OO4&lt;&gt;""),OK4+MAX(OM4,OO4),"")</f>
        <v>89.3</v>
      </c>
      <c r="OQ4" s="11">
        <f t="shared" ref="OQ4:OQ23" si="157">IF(OG4&gt;0,OG4,"")</f>
        <v>7.3</v>
      </c>
      <c r="OR4" s="11">
        <f t="shared" ref="OR4:OR10" si="158">IF(SUM(OE4:OH4)-OI4&gt;0,SUM(OE4:OH4)-OI4,"")</f>
        <v>28.79</v>
      </c>
      <c r="OS4" s="11">
        <f>IF(SUM(OP4,OR4)&gt;0,SUM(OP4,OR4),"")</f>
        <v>118.09</v>
      </c>
    </row>
    <row r="5" spans="1:409" x14ac:dyDescent="0.2">
      <c r="A5" s="5" cm="1">
        <f t="array" ref="A5">IF(AND(G5&lt;&gt;"",H5&lt;&gt;""),SUMPRODUCT((G$4:G$24&lt;&gt;"")*(H$4:H$24&lt;&gt;"")*(E$4:E$24&gt;E5))+1,IF(H5&lt;&gt;"",SUMPRODUCT((I$4:I$24="No DD")*(E$4:E$24&gt;E5))+1+SUMPRODUCT((G$4:G$24&lt;&gt;"")*(H$4:H$24&lt;&gt;"")),""))</f>
        <v>2</v>
      </c>
      <c r="B5" s="6" t="s">
        <v>112</v>
      </c>
      <c r="C5" s="7" t="s">
        <v>6</v>
      </c>
      <c r="D5" s="26">
        <v>2000</v>
      </c>
      <c r="E5" s="15">
        <f t="shared" si="0"/>
        <v>110.07</v>
      </c>
      <c r="F5" s="3" t="str">
        <f t="shared" si="1"/>
        <v>P</v>
      </c>
      <c r="G5" s="115" t="str">
        <f t="shared" si="2"/>
        <v>National Team</v>
      </c>
      <c r="H5" s="115" t="str">
        <f t="shared" si="3"/>
        <v>National Team</v>
      </c>
      <c r="I5" s="116" t="str">
        <f t="shared" si="4"/>
        <v>National Team</v>
      </c>
      <c r="J5" s="3" t="str">
        <f t="shared" si="5"/>
        <v/>
      </c>
      <c r="K5" s="14">
        <f t="shared" si="6"/>
        <v>105.15</v>
      </c>
      <c r="L5" s="14" t="str">
        <f t="shared" si="7"/>
        <v>2021 1st Virtual Technical Trial</v>
      </c>
      <c r="M5" s="14">
        <f t="shared" si="8"/>
        <v>48.545000000000002</v>
      </c>
      <c r="N5" s="14" t="str">
        <f t="shared" si="9"/>
        <v>2021 2nd Virtual Technical Trial</v>
      </c>
      <c r="O5" s="14">
        <f t="shared" si="10"/>
        <v>55.209999999999994</v>
      </c>
      <c r="P5" s="14" t="str">
        <f t="shared" si="11"/>
        <v>2021 2nd Virtual Technical Trial</v>
      </c>
      <c r="Q5" s="14">
        <f>IF(COUNT(AS5,AU5,AX5,BW5,BY5,CB5,DA5,DC5,DF5)&gt;1,LARGE((AS5,AU5,AX5,BW5,BY5,CB5,DA5,DC5,DF5),2),0)</f>
        <v>54.86</v>
      </c>
      <c r="R5" s="14" t="str">
        <f t="shared" si="12"/>
        <v>2021 1st Virtual Technical Trial</v>
      </c>
      <c r="S5" s="14" t="str">
        <f t="shared" si="13"/>
        <v/>
      </c>
      <c r="T5" s="24" t="str">
        <f t="shared" si="14"/>
        <v/>
      </c>
      <c r="U5" s="14" t="str">
        <f t="shared" si="15"/>
        <v/>
      </c>
      <c r="V5" s="61">
        <v>17.8</v>
      </c>
      <c r="W5" s="61">
        <v>9.4499999999999993</v>
      </c>
      <c r="X5" s="61">
        <v>5</v>
      </c>
      <c r="Y5" s="61">
        <v>18.04</v>
      </c>
      <c r="Z5" s="61">
        <v>0</v>
      </c>
      <c r="AA5" s="61">
        <v>8.4</v>
      </c>
      <c r="AB5" s="61">
        <v>4.3499999999999996</v>
      </c>
      <c r="AC5" s="61">
        <v>7.3</v>
      </c>
      <c r="AD5" s="61">
        <v>8.8000000000000007</v>
      </c>
      <c r="AE5" s="61">
        <v>0</v>
      </c>
      <c r="AF5" s="61">
        <v>16.66</v>
      </c>
      <c r="AG5" s="61">
        <v>9.3000000000000007</v>
      </c>
      <c r="AH5" s="61">
        <v>12.8</v>
      </c>
      <c r="AI5" s="61">
        <v>16.8</v>
      </c>
      <c r="AJ5" s="61">
        <v>0.7</v>
      </c>
      <c r="AK5" s="61">
        <v>14.8</v>
      </c>
      <c r="AL5" s="61">
        <v>9.15</v>
      </c>
      <c r="AM5" s="61">
        <v>13.7</v>
      </c>
      <c r="AN5" s="61">
        <v>16.920000000000002</v>
      </c>
      <c r="AO5" s="61">
        <v>0</v>
      </c>
      <c r="AP5" s="72"/>
      <c r="AQ5" s="11">
        <f t="shared" si="16"/>
        <v>50.29</v>
      </c>
      <c r="AR5" s="11">
        <f t="shared" si="17"/>
        <v>7.3</v>
      </c>
      <c r="AS5" s="11">
        <f t="shared" si="18"/>
        <v>28.85</v>
      </c>
      <c r="AT5" s="11">
        <f t="shared" si="19"/>
        <v>12.8</v>
      </c>
      <c r="AU5" s="11">
        <f t="shared" si="20"/>
        <v>54.86</v>
      </c>
      <c r="AV5" s="11">
        <f t="shared" si="21"/>
        <v>105.15</v>
      </c>
      <c r="AW5" s="11">
        <f t="shared" si="22"/>
        <v>13.7</v>
      </c>
      <c r="AX5" s="11">
        <f t="shared" si="23"/>
        <v>54.570000000000007</v>
      </c>
      <c r="AY5" s="11">
        <f t="shared" si="24"/>
        <v>159.72000000000003</v>
      </c>
      <c r="AZ5" s="67">
        <v>17.7</v>
      </c>
      <c r="BA5" s="67">
        <v>9</v>
      </c>
      <c r="BB5" s="67">
        <v>4.0999999999999996</v>
      </c>
      <c r="BC5" s="67">
        <v>17.745000000000001</v>
      </c>
      <c r="BD5" s="67">
        <v>0</v>
      </c>
      <c r="BE5" s="67">
        <v>16.2</v>
      </c>
      <c r="BF5" s="67">
        <v>8.6</v>
      </c>
      <c r="BG5" s="67">
        <v>12.2</v>
      </c>
      <c r="BH5" s="67">
        <v>16.559999999999999</v>
      </c>
      <c r="BI5" s="67">
        <v>1.3</v>
      </c>
      <c r="BJ5" s="67">
        <v>4.9000000000000004</v>
      </c>
      <c r="BK5" s="67">
        <v>2.2000000000000002</v>
      </c>
      <c r="BL5" s="67">
        <v>3.5</v>
      </c>
      <c r="BM5" s="67">
        <v>5.1950000000000003</v>
      </c>
      <c r="BN5" s="67">
        <v>0</v>
      </c>
      <c r="BO5" s="67">
        <v>16.2</v>
      </c>
      <c r="BP5" s="67">
        <v>8.6999999999999993</v>
      </c>
      <c r="BQ5" s="67">
        <v>13.7</v>
      </c>
      <c r="BR5" s="67">
        <v>16.61</v>
      </c>
      <c r="BS5" s="67">
        <v>0</v>
      </c>
      <c r="BT5" s="73"/>
      <c r="BU5" s="14">
        <f t="shared" si="25"/>
        <v>48.545000000000002</v>
      </c>
      <c r="BV5" s="14">
        <f t="shared" si="26"/>
        <v>12.2</v>
      </c>
      <c r="BW5" s="14">
        <f t="shared" si="27"/>
        <v>52.260000000000005</v>
      </c>
      <c r="BX5" s="14">
        <f t="shared" si="28"/>
        <v>3.5</v>
      </c>
      <c r="BY5" s="14">
        <f t="shared" si="29"/>
        <v>15.795000000000002</v>
      </c>
      <c r="BZ5" s="14">
        <f t="shared" si="30"/>
        <v>100.80500000000001</v>
      </c>
      <c r="CA5" s="14">
        <f t="shared" si="31"/>
        <v>13.7</v>
      </c>
      <c r="CB5" s="14">
        <f t="shared" si="32"/>
        <v>55.209999999999994</v>
      </c>
      <c r="CC5" s="14">
        <f t="shared" si="33"/>
        <v>156.01499999999999</v>
      </c>
      <c r="CD5" s="61">
        <v>13.5</v>
      </c>
      <c r="CE5" s="61">
        <v>7.3</v>
      </c>
      <c r="CF5" s="61">
        <v>2.2999999999999998</v>
      </c>
      <c r="CG5" s="61">
        <v>14.085000000000001</v>
      </c>
      <c r="CH5" s="61">
        <v>0</v>
      </c>
      <c r="CI5" s="61">
        <v>0</v>
      </c>
      <c r="CJ5" s="61">
        <v>0</v>
      </c>
      <c r="CK5" s="61">
        <v>0</v>
      </c>
      <c r="CL5" s="61">
        <v>0</v>
      </c>
      <c r="CM5" s="61">
        <v>0</v>
      </c>
      <c r="CN5" s="61">
        <v>3.3</v>
      </c>
      <c r="CO5" s="61">
        <v>1.9</v>
      </c>
      <c r="CP5" s="61">
        <v>3.4</v>
      </c>
      <c r="CQ5" s="61">
        <v>3.5649999999999999</v>
      </c>
      <c r="CR5" s="61">
        <v>0</v>
      </c>
      <c r="CS5" s="61"/>
      <c r="CT5" s="61"/>
      <c r="CU5" s="61"/>
      <c r="CV5" s="61"/>
      <c r="CW5" s="61"/>
      <c r="CX5" s="72"/>
      <c r="CY5" s="11">
        <f t="shared" si="34"/>
        <v>37.185000000000002</v>
      </c>
      <c r="CZ5" s="11" t="str">
        <f t="shared" si="35"/>
        <v/>
      </c>
      <c r="DA5" s="11" t="str">
        <f t="shared" si="36"/>
        <v/>
      </c>
      <c r="DB5" s="11">
        <f t="shared" si="37"/>
        <v>3.4</v>
      </c>
      <c r="DC5" s="11">
        <f t="shared" si="38"/>
        <v>12.164999999999999</v>
      </c>
      <c r="DD5" s="11">
        <f t="shared" si="39"/>
        <v>49.35</v>
      </c>
      <c r="DE5" s="11" t="str">
        <f t="shared" si="40"/>
        <v/>
      </c>
      <c r="DF5" s="11" t="str">
        <f t="shared" si="41"/>
        <v/>
      </c>
      <c r="DG5" s="11">
        <f t="shared" si="42"/>
        <v>49.35</v>
      </c>
      <c r="DH5" s="23" t="str">
        <f t="shared" si="43"/>
        <v/>
      </c>
      <c r="DI5" s="23" t="str">
        <f t="shared" si="44"/>
        <v/>
      </c>
      <c r="DJ5" s="23" t="str">
        <f t="shared" si="45"/>
        <v/>
      </c>
      <c r="DK5" s="23" t="str">
        <f t="shared" si="46"/>
        <v/>
      </c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11" t="str">
        <f t="shared" si="47"/>
        <v/>
      </c>
      <c r="EB5" s="11" t="str">
        <f t="shared" si="48"/>
        <v/>
      </c>
      <c r="EC5" s="11" t="str">
        <f t="shared" si="49"/>
        <v/>
      </c>
      <c r="ED5" s="11" t="str">
        <f t="shared" si="50"/>
        <v/>
      </c>
      <c r="EE5" s="11" t="str">
        <f t="shared" si="51"/>
        <v/>
      </c>
      <c r="EF5" s="11" t="str">
        <f t="shared" si="52"/>
        <v/>
      </c>
      <c r="EG5" s="11" t="str">
        <f t="shared" si="53"/>
        <v/>
      </c>
      <c r="EH5" s="36"/>
      <c r="EI5" s="36"/>
      <c r="EJ5" s="36"/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14" t="str">
        <f t="shared" si="54"/>
        <v/>
      </c>
      <c r="EX5" s="14" t="str">
        <f t="shared" si="55"/>
        <v/>
      </c>
      <c r="EY5" s="14" t="str">
        <f t="shared" si="56"/>
        <v/>
      </c>
      <c r="EZ5" s="14" t="str">
        <f t="shared" si="57"/>
        <v/>
      </c>
      <c r="FA5" s="14" t="str">
        <f t="shared" si="58"/>
        <v/>
      </c>
      <c r="FB5" s="14" t="str">
        <f t="shared" si="59"/>
        <v/>
      </c>
      <c r="FC5" s="14" t="str">
        <f t="shared" si="60"/>
        <v/>
      </c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11" t="str">
        <f t="shared" si="61"/>
        <v/>
      </c>
      <c r="FT5" s="11" t="str">
        <f t="shared" si="62"/>
        <v/>
      </c>
      <c r="FU5" s="11" t="str">
        <f t="shared" si="63"/>
        <v/>
      </c>
      <c r="FV5" s="11" t="str">
        <f t="shared" si="64"/>
        <v/>
      </c>
      <c r="FW5" s="11" t="str">
        <f t="shared" si="65"/>
        <v/>
      </c>
      <c r="FX5" s="11" t="str">
        <f t="shared" si="66"/>
        <v/>
      </c>
      <c r="FY5" s="11" t="str">
        <f t="shared" si="67"/>
        <v/>
      </c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14" t="str">
        <f t="shared" si="68"/>
        <v/>
      </c>
      <c r="GP5" s="14" t="str">
        <f t="shared" si="69"/>
        <v/>
      </c>
      <c r="GQ5" s="14" t="str">
        <f t="shared" si="70"/>
        <v/>
      </c>
      <c r="GR5" s="14" t="str">
        <f t="shared" si="71"/>
        <v/>
      </c>
      <c r="GS5" s="14" t="str">
        <f t="shared" si="72"/>
        <v/>
      </c>
      <c r="GT5" s="14" t="str">
        <f t="shared" si="73"/>
        <v/>
      </c>
      <c r="GU5" s="14" t="str">
        <f t="shared" si="74"/>
        <v/>
      </c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11" t="str">
        <f t="shared" si="75"/>
        <v/>
      </c>
      <c r="HL5" s="11" t="str">
        <f t="shared" si="76"/>
        <v/>
      </c>
      <c r="HM5" s="11" t="str">
        <f t="shared" si="77"/>
        <v/>
      </c>
      <c r="HN5" s="11" t="str">
        <f t="shared" si="78"/>
        <v/>
      </c>
      <c r="HO5" s="11" t="str">
        <f t="shared" si="79"/>
        <v/>
      </c>
      <c r="HP5" s="11" t="str">
        <f t="shared" si="80"/>
        <v/>
      </c>
      <c r="HQ5" s="11" t="str">
        <f t="shared" si="81"/>
        <v/>
      </c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36"/>
      <c r="ID5" s="36"/>
      <c r="IE5" s="36"/>
      <c r="IF5" s="36"/>
      <c r="IG5" s="14" t="str">
        <f t="shared" si="82"/>
        <v/>
      </c>
      <c r="IH5" s="14" t="str">
        <f t="shared" si="83"/>
        <v/>
      </c>
      <c r="II5" s="14" t="str">
        <f t="shared" si="84"/>
        <v/>
      </c>
      <c r="IJ5" s="14" t="str">
        <f t="shared" si="85"/>
        <v/>
      </c>
      <c r="IK5" s="14" t="str">
        <f t="shared" si="86"/>
        <v/>
      </c>
      <c r="IL5" s="14" t="str">
        <f t="shared" si="87"/>
        <v/>
      </c>
      <c r="IM5" s="14" t="str">
        <f t="shared" si="88"/>
        <v/>
      </c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11" t="str">
        <f t="shared" si="89"/>
        <v/>
      </c>
      <c r="JD5" s="11" t="str">
        <f t="shared" si="90"/>
        <v/>
      </c>
      <c r="JE5" s="11" t="str">
        <f t="shared" si="91"/>
        <v/>
      </c>
      <c r="JF5" s="11" t="str">
        <f t="shared" si="92"/>
        <v/>
      </c>
      <c r="JG5" s="11" t="str">
        <f t="shared" si="93"/>
        <v/>
      </c>
      <c r="JH5" s="11" t="str">
        <f t="shared" si="94"/>
        <v/>
      </c>
      <c r="JI5" s="11" t="str">
        <f t="shared" si="95"/>
        <v/>
      </c>
      <c r="JJ5" s="36"/>
      <c r="JK5" s="36"/>
      <c r="JL5" s="36"/>
      <c r="JM5" s="36"/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14" t="str">
        <f t="shared" si="96"/>
        <v/>
      </c>
      <c r="JZ5" s="14" t="str">
        <f t="shared" si="97"/>
        <v/>
      </c>
      <c r="KA5" s="14" t="str">
        <f t="shared" si="98"/>
        <v/>
      </c>
      <c r="KB5" s="14" t="str">
        <f t="shared" si="99"/>
        <v/>
      </c>
      <c r="KC5" s="14" t="str">
        <f t="shared" si="100"/>
        <v/>
      </c>
      <c r="KD5" s="14" t="str">
        <f t="shared" si="101"/>
        <v/>
      </c>
      <c r="KE5" s="14" t="str">
        <f t="shared" si="102"/>
        <v/>
      </c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11" t="str">
        <f t="shared" si="103"/>
        <v/>
      </c>
      <c r="KV5" s="11" t="str">
        <f t="shared" si="104"/>
        <v/>
      </c>
      <c r="KW5" s="11" t="str">
        <f t="shared" si="105"/>
        <v/>
      </c>
      <c r="KX5" s="11" t="str">
        <f t="shared" si="106"/>
        <v/>
      </c>
      <c r="KY5" s="11" t="str">
        <f t="shared" si="107"/>
        <v/>
      </c>
      <c r="KZ5" s="11" t="str">
        <f t="shared" si="108"/>
        <v/>
      </c>
      <c r="LA5" s="11" t="str">
        <f t="shared" si="109"/>
        <v/>
      </c>
      <c r="LB5" s="36"/>
      <c r="LC5" s="36"/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14" t="str">
        <f t="shared" si="110"/>
        <v/>
      </c>
      <c r="LR5" s="14" t="str">
        <f t="shared" si="111"/>
        <v/>
      </c>
      <c r="LS5" s="14" t="str">
        <f t="shared" si="112"/>
        <v/>
      </c>
      <c r="LT5" s="14" t="str">
        <f t="shared" si="113"/>
        <v/>
      </c>
      <c r="LU5" s="14" t="str">
        <f t="shared" si="114"/>
        <v/>
      </c>
      <c r="LV5" s="14" t="str">
        <f t="shared" si="115"/>
        <v/>
      </c>
      <c r="LW5" s="14" t="str">
        <f t="shared" si="116"/>
        <v/>
      </c>
      <c r="LX5" s="35"/>
      <c r="LY5" s="35"/>
      <c r="LZ5" s="35"/>
      <c r="MA5" s="35"/>
      <c r="MB5" s="35"/>
      <c r="MC5" s="35"/>
      <c r="MD5" s="35"/>
      <c r="ME5" s="35"/>
      <c r="MF5" s="35"/>
      <c r="MG5" s="35"/>
      <c r="MH5" s="35"/>
      <c r="MI5" s="35"/>
      <c r="MJ5" s="35"/>
      <c r="MK5" s="35"/>
      <c r="ML5" s="35"/>
      <c r="MM5" s="11" t="str">
        <f t="shared" si="117"/>
        <v/>
      </c>
      <c r="MN5" s="11" t="str">
        <f t="shared" si="118"/>
        <v/>
      </c>
      <c r="MO5" s="11" t="str">
        <f t="shared" si="119"/>
        <v/>
      </c>
      <c r="MP5" s="11" t="str">
        <f t="shared" si="120"/>
        <v/>
      </c>
      <c r="MQ5" s="11" t="str">
        <f t="shared" si="121"/>
        <v/>
      </c>
      <c r="MR5" s="11" t="str">
        <f t="shared" si="122"/>
        <v/>
      </c>
      <c r="MS5" s="11" t="str">
        <f t="shared" si="123"/>
        <v/>
      </c>
      <c r="MT5" s="36"/>
      <c r="MU5" s="36"/>
      <c r="MV5" s="36"/>
      <c r="MW5" s="36"/>
      <c r="MX5" s="36"/>
      <c r="MY5" s="36"/>
      <c r="MZ5" s="36"/>
      <c r="NA5" s="36"/>
      <c r="NB5" s="36"/>
      <c r="NC5" s="36"/>
      <c r="ND5" s="36"/>
      <c r="NE5" s="36"/>
      <c r="NF5" s="36"/>
      <c r="NG5" s="36"/>
      <c r="NH5" s="36"/>
      <c r="NI5" s="14" t="str">
        <f t="shared" si="124"/>
        <v/>
      </c>
      <c r="NJ5" s="14" t="str">
        <f t="shared" si="125"/>
        <v/>
      </c>
      <c r="NK5" s="14" t="str">
        <f t="shared" si="126"/>
        <v/>
      </c>
      <c r="NL5" s="14" t="str">
        <f t="shared" si="127"/>
        <v/>
      </c>
      <c r="NM5" s="14" t="str">
        <f t="shared" si="128"/>
        <v/>
      </c>
      <c r="NN5" s="14" t="str">
        <f t="shared" si="129"/>
        <v/>
      </c>
      <c r="NO5" s="14" t="str">
        <f t="shared" si="130"/>
        <v/>
      </c>
      <c r="NP5" s="61">
        <f t="shared" si="131"/>
        <v>15.6</v>
      </c>
      <c r="NQ5" s="61">
        <f t="shared" si="132"/>
        <v>8.15</v>
      </c>
      <c r="NR5" s="61">
        <f t="shared" si="133"/>
        <v>3.1999999999999997</v>
      </c>
      <c r="NS5" s="61">
        <f t="shared" si="134"/>
        <v>15.915000000000001</v>
      </c>
      <c r="NT5" s="61">
        <f t="shared" si="135"/>
        <v>0</v>
      </c>
      <c r="NU5" s="61">
        <f t="shared" si="136"/>
        <v>8.1</v>
      </c>
      <c r="NV5" s="61">
        <f t="shared" si="137"/>
        <v>4.3</v>
      </c>
      <c r="NW5" s="61">
        <f t="shared" si="138"/>
        <v>6.1</v>
      </c>
      <c r="NX5" s="61">
        <f t="shared" si="139"/>
        <v>8.2799999999999994</v>
      </c>
      <c r="NY5" s="61">
        <f t="shared" si="140"/>
        <v>0.65</v>
      </c>
      <c r="NZ5" s="61">
        <f t="shared" si="141"/>
        <v>4.0999999999999996</v>
      </c>
      <c r="OA5" s="61">
        <f t="shared" si="142"/>
        <v>2.0499999999999998</v>
      </c>
      <c r="OB5" s="61">
        <f t="shared" si="143"/>
        <v>3.45</v>
      </c>
      <c r="OC5" s="61">
        <f t="shared" si="144"/>
        <v>4.38</v>
      </c>
      <c r="OD5" s="61">
        <f t="shared" si="145"/>
        <v>0</v>
      </c>
      <c r="OE5" s="61">
        <f t="shared" si="146"/>
        <v>8.1</v>
      </c>
      <c r="OF5" s="61">
        <f t="shared" si="147"/>
        <v>4.3499999999999996</v>
      </c>
      <c r="OG5" s="61">
        <f t="shared" si="148"/>
        <v>6.85</v>
      </c>
      <c r="OH5" s="61">
        <f t="shared" si="149"/>
        <v>8.3049999999999997</v>
      </c>
      <c r="OI5" s="61">
        <f t="shared" si="150"/>
        <v>0</v>
      </c>
      <c r="OJ5" s="72" t="s">
        <v>52</v>
      </c>
      <c r="OK5" s="11">
        <f t="shared" si="151"/>
        <v>42.865000000000002</v>
      </c>
      <c r="OL5" s="11">
        <f t="shared" si="152"/>
        <v>6.1</v>
      </c>
      <c r="OM5" s="11">
        <f t="shared" si="153"/>
        <v>26.130000000000003</v>
      </c>
      <c r="ON5" s="11">
        <f t="shared" si="154"/>
        <v>3.45</v>
      </c>
      <c r="OO5" s="11">
        <f t="shared" si="155"/>
        <v>13.98</v>
      </c>
      <c r="OP5" s="11">
        <f t="shared" si="156"/>
        <v>68.995000000000005</v>
      </c>
      <c r="OQ5" s="11">
        <f t="shared" si="157"/>
        <v>6.85</v>
      </c>
      <c r="OR5" s="11">
        <f t="shared" si="158"/>
        <v>27.604999999999997</v>
      </c>
      <c r="OS5" s="11">
        <f t="shared" ref="OS5:OS10" si="159">IF(SUM(OP5,OR5)&gt;0,SUM(OP5,OR5),"")</f>
        <v>96.6</v>
      </c>
    </row>
    <row r="6" spans="1:409" x14ac:dyDescent="0.2">
      <c r="A6" s="5" cm="1">
        <f t="array" ref="A6">IF(AND(G6&lt;&gt;"",H6&lt;&gt;""),SUMPRODUCT((G$4:G$24&lt;&gt;"")*(H$4:H$24&lt;&gt;"")*(E$4:E$24&gt;E6))+1,IF(H6&lt;&gt;"",SUMPRODUCT((I$4:I$24="No DD")*(E$4:E$24&gt;E6))+1+SUMPRODUCT((G$4:G$24&lt;&gt;"")*(H$4:H$24&lt;&gt;"")),""))</f>
        <v>3</v>
      </c>
      <c r="B6" s="6" t="s">
        <v>116</v>
      </c>
      <c r="C6" s="7" t="s">
        <v>115</v>
      </c>
      <c r="D6" s="26">
        <v>2001</v>
      </c>
      <c r="E6" s="15">
        <f t="shared" si="0"/>
        <v>107.53</v>
      </c>
      <c r="F6" s="3" t="str">
        <f t="shared" si="1"/>
        <v>P</v>
      </c>
      <c r="G6" s="115" t="str">
        <f t="shared" si="2"/>
        <v>National Team</v>
      </c>
      <c r="H6" s="115" t="str">
        <f t="shared" si="3"/>
        <v>National Team</v>
      </c>
      <c r="I6" s="116" t="str">
        <f t="shared" si="4"/>
        <v>National Team</v>
      </c>
      <c r="J6" s="3" t="str">
        <f t="shared" si="5"/>
        <v/>
      </c>
      <c r="K6" s="14">
        <f t="shared" si="6"/>
        <v>100.07</v>
      </c>
      <c r="L6" s="14" t="str">
        <f t="shared" si="7"/>
        <v>2021 1st Virtual Technical Trial</v>
      </c>
      <c r="M6" s="14">
        <f t="shared" si="8"/>
        <v>47.025000000000006</v>
      </c>
      <c r="N6" s="14" t="str">
        <f t="shared" si="9"/>
        <v>2021 Elite Canada</v>
      </c>
      <c r="O6" s="14">
        <f t="shared" si="10"/>
        <v>54.325000000000003</v>
      </c>
      <c r="P6" s="14" t="str">
        <f t="shared" si="11"/>
        <v>2021 2nd Virtual Technical Trial</v>
      </c>
      <c r="Q6" s="14">
        <f>IF(COUNT(AS6,AU6,AX6,BW6,BY6,CB6,DA6,DC6,DF6)&gt;1,LARGE((AS6,AU6,AX6,BW6,BY6,CB6,DA6,DC6,DF6),2),0)</f>
        <v>53.204999999999998</v>
      </c>
      <c r="R6" s="14" t="str">
        <f t="shared" si="12"/>
        <v>2021 2nd Virtual Technical Trial</v>
      </c>
      <c r="S6" s="14" t="str">
        <f t="shared" si="13"/>
        <v/>
      </c>
      <c r="T6" s="24" t="str">
        <f t="shared" si="14"/>
        <v/>
      </c>
      <c r="U6" s="14" t="str">
        <f t="shared" si="15"/>
        <v/>
      </c>
      <c r="V6" s="61">
        <v>17.5</v>
      </c>
      <c r="W6" s="61">
        <v>9.65</v>
      </c>
      <c r="X6" s="61">
        <v>4.4000000000000004</v>
      </c>
      <c r="Y6" s="61">
        <v>16.059999999999999</v>
      </c>
      <c r="Z6" s="61">
        <v>0</v>
      </c>
      <c r="AA6" s="61">
        <v>14.3</v>
      </c>
      <c r="AB6" s="61">
        <v>9.1999999999999993</v>
      </c>
      <c r="AC6" s="61">
        <v>13.9</v>
      </c>
      <c r="AD6" s="61">
        <v>15.06</v>
      </c>
      <c r="AE6" s="61">
        <v>0</v>
      </c>
      <c r="AF6" s="61">
        <v>12.9</v>
      </c>
      <c r="AG6" s="61">
        <v>8.6999999999999993</v>
      </c>
      <c r="AH6" s="61">
        <v>13.3</v>
      </c>
      <c r="AI6" s="61">
        <v>14.61</v>
      </c>
      <c r="AJ6" s="61">
        <v>0.2</v>
      </c>
      <c r="AK6" s="61">
        <v>14.7</v>
      </c>
      <c r="AL6" s="61">
        <v>9.35</v>
      </c>
      <c r="AM6" s="61">
        <v>13.9</v>
      </c>
      <c r="AN6" s="61">
        <v>15.21</v>
      </c>
      <c r="AO6" s="61">
        <v>0</v>
      </c>
      <c r="AP6" s="72"/>
      <c r="AQ6" s="11">
        <f t="shared" si="16"/>
        <v>47.61</v>
      </c>
      <c r="AR6" s="11">
        <f t="shared" si="17"/>
        <v>13.9</v>
      </c>
      <c r="AS6" s="11">
        <f t="shared" si="18"/>
        <v>52.46</v>
      </c>
      <c r="AT6" s="11">
        <f t="shared" si="19"/>
        <v>13.3</v>
      </c>
      <c r="AU6" s="11">
        <f t="shared" si="20"/>
        <v>49.31</v>
      </c>
      <c r="AV6" s="11">
        <f t="shared" si="21"/>
        <v>100.07</v>
      </c>
      <c r="AW6" s="11">
        <f t="shared" si="22"/>
        <v>13.9</v>
      </c>
      <c r="AX6" s="11">
        <f t="shared" si="23"/>
        <v>53.16</v>
      </c>
      <c r="AY6" s="11">
        <f t="shared" si="24"/>
        <v>153.22999999999999</v>
      </c>
      <c r="AZ6" s="67">
        <v>13</v>
      </c>
      <c r="BA6" s="67">
        <v>6.8</v>
      </c>
      <c r="BB6" s="67">
        <v>2.1</v>
      </c>
      <c r="BC6" s="67">
        <v>13.39</v>
      </c>
      <c r="BD6" s="67">
        <v>0</v>
      </c>
      <c r="BE6" s="67">
        <v>14</v>
      </c>
      <c r="BF6" s="67">
        <v>8.9</v>
      </c>
      <c r="BG6" s="67">
        <v>15</v>
      </c>
      <c r="BH6" s="67">
        <v>15.305</v>
      </c>
      <c r="BI6" s="67">
        <v>0</v>
      </c>
      <c r="BJ6" s="67">
        <v>12.2</v>
      </c>
      <c r="BK6" s="67">
        <v>9.1999999999999993</v>
      </c>
      <c r="BL6" s="67">
        <v>15</v>
      </c>
      <c r="BM6" s="67">
        <v>15.455</v>
      </c>
      <c r="BN6" s="67">
        <v>0</v>
      </c>
      <c r="BO6" s="67">
        <v>15.2</v>
      </c>
      <c r="BP6" s="67">
        <v>9.3000000000000007</v>
      </c>
      <c r="BQ6" s="67">
        <v>14.4</v>
      </c>
      <c r="BR6" s="67">
        <v>15.425000000000001</v>
      </c>
      <c r="BS6" s="67">
        <v>0</v>
      </c>
      <c r="BT6" s="73"/>
      <c r="BU6" s="14">
        <f t="shared" si="25"/>
        <v>35.290000000000006</v>
      </c>
      <c r="BV6" s="14">
        <f t="shared" si="26"/>
        <v>15</v>
      </c>
      <c r="BW6" s="14">
        <f t="shared" si="27"/>
        <v>53.204999999999998</v>
      </c>
      <c r="BX6" s="14">
        <f t="shared" si="28"/>
        <v>15</v>
      </c>
      <c r="BY6" s="14">
        <f t="shared" si="29"/>
        <v>51.854999999999997</v>
      </c>
      <c r="BZ6" s="14">
        <f t="shared" si="30"/>
        <v>88.495000000000005</v>
      </c>
      <c r="CA6" s="14">
        <f t="shared" si="31"/>
        <v>14.4</v>
      </c>
      <c r="CB6" s="14">
        <f t="shared" si="32"/>
        <v>54.325000000000003</v>
      </c>
      <c r="CC6" s="14">
        <f t="shared" si="33"/>
        <v>142.82</v>
      </c>
      <c r="CD6" s="61">
        <v>16.600000000000001</v>
      </c>
      <c r="CE6" s="61">
        <v>9.1999999999999993</v>
      </c>
      <c r="CF6" s="61">
        <v>5</v>
      </c>
      <c r="CG6" s="61">
        <v>16.225000000000001</v>
      </c>
      <c r="CH6" s="61">
        <v>0</v>
      </c>
      <c r="CI6" s="61">
        <v>5.3</v>
      </c>
      <c r="CJ6" s="61">
        <v>3.4</v>
      </c>
      <c r="CK6" s="61">
        <v>6.3</v>
      </c>
      <c r="CL6" s="61">
        <v>6.37</v>
      </c>
      <c r="CM6" s="61">
        <v>0</v>
      </c>
      <c r="CN6" s="61">
        <v>3.9</v>
      </c>
      <c r="CO6" s="61">
        <v>2.6</v>
      </c>
      <c r="CP6" s="61">
        <v>4.9000000000000004</v>
      </c>
      <c r="CQ6" s="61">
        <v>4.835</v>
      </c>
      <c r="CR6" s="61">
        <v>0</v>
      </c>
      <c r="CS6" s="61"/>
      <c r="CT6" s="61"/>
      <c r="CU6" s="61"/>
      <c r="CV6" s="61"/>
      <c r="CW6" s="61"/>
      <c r="CX6" s="72"/>
      <c r="CY6" s="11">
        <f t="shared" si="34"/>
        <v>47.025000000000006</v>
      </c>
      <c r="CZ6" s="11">
        <f t="shared" si="35"/>
        <v>6.3</v>
      </c>
      <c r="DA6" s="11">
        <f t="shared" si="36"/>
        <v>21.37</v>
      </c>
      <c r="DB6" s="11">
        <f t="shared" si="37"/>
        <v>4.9000000000000004</v>
      </c>
      <c r="DC6" s="11">
        <f t="shared" si="38"/>
        <v>16.234999999999999</v>
      </c>
      <c r="DD6" s="11">
        <f t="shared" si="39"/>
        <v>68.39500000000001</v>
      </c>
      <c r="DE6" s="11" t="str">
        <f t="shared" si="40"/>
        <v/>
      </c>
      <c r="DF6" s="11" t="str">
        <f t="shared" si="41"/>
        <v/>
      </c>
      <c r="DG6" s="11">
        <f t="shared" si="42"/>
        <v>68.39500000000001</v>
      </c>
      <c r="DH6" s="23" t="str">
        <f t="shared" si="43"/>
        <v/>
      </c>
      <c r="DI6" s="23" t="str">
        <f t="shared" si="44"/>
        <v/>
      </c>
      <c r="DJ6" s="23" t="str">
        <f t="shared" si="45"/>
        <v/>
      </c>
      <c r="DK6" s="23" t="str">
        <f t="shared" si="46"/>
        <v/>
      </c>
      <c r="DL6" s="35"/>
      <c r="DM6" s="35"/>
      <c r="DN6" s="35"/>
      <c r="DO6" s="35"/>
      <c r="DP6" s="35"/>
      <c r="DQ6" s="35"/>
      <c r="DR6" s="35"/>
      <c r="DS6" s="35"/>
      <c r="DT6" s="35"/>
      <c r="DU6" s="35"/>
      <c r="DV6" s="35"/>
      <c r="DW6" s="35"/>
      <c r="DX6" s="35"/>
      <c r="DY6" s="35"/>
      <c r="DZ6" s="35"/>
      <c r="EA6" s="11" t="str">
        <f t="shared" si="47"/>
        <v/>
      </c>
      <c r="EB6" s="11" t="str">
        <f t="shared" si="48"/>
        <v/>
      </c>
      <c r="EC6" s="11" t="str">
        <f t="shared" si="49"/>
        <v/>
      </c>
      <c r="ED6" s="11" t="str">
        <f t="shared" si="50"/>
        <v/>
      </c>
      <c r="EE6" s="11" t="str">
        <f t="shared" si="51"/>
        <v/>
      </c>
      <c r="EF6" s="11" t="str">
        <f t="shared" si="52"/>
        <v/>
      </c>
      <c r="EG6" s="11" t="str">
        <f t="shared" si="53"/>
        <v/>
      </c>
      <c r="EH6" s="36"/>
      <c r="EI6" s="36"/>
      <c r="EJ6" s="36"/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14" t="str">
        <f t="shared" si="54"/>
        <v/>
      </c>
      <c r="EX6" s="14" t="str">
        <f t="shared" si="55"/>
        <v/>
      </c>
      <c r="EY6" s="14" t="str">
        <f t="shared" si="56"/>
        <v/>
      </c>
      <c r="EZ6" s="14" t="str">
        <f t="shared" si="57"/>
        <v/>
      </c>
      <c r="FA6" s="14" t="str">
        <f t="shared" si="58"/>
        <v/>
      </c>
      <c r="FB6" s="14" t="str">
        <f t="shared" si="59"/>
        <v/>
      </c>
      <c r="FC6" s="14" t="str">
        <f t="shared" si="60"/>
        <v/>
      </c>
      <c r="FD6" s="35"/>
      <c r="FE6" s="35"/>
      <c r="FF6" s="35"/>
      <c r="FG6" s="35"/>
      <c r="FH6" s="35"/>
      <c r="FI6" s="35"/>
      <c r="FJ6" s="35"/>
      <c r="FK6" s="35"/>
      <c r="FL6" s="35"/>
      <c r="FM6" s="35"/>
      <c r="FN6" s="35"/>
      <c r="FO6" s="35"/>
      <c r="FP6" s="35"/>
      <c r="FQ6" s="35"/>
      <c r="FR6" s="35"/>
      <c r="FS6" s="11" t="str">
        <f t="shared" si="61"/>
        <v/>
      </c>
      <c r="FT6" s="11" t="str">
        <f t="shared" si="62"/>
        <v/>
      </c>
      <c r="FU6" s="11" t="str">
        <f t="shared" si="63"/>
        <v/>
      </c>
      <c r="FV6" s="11" t="str">
        <f t="shared" si="64"/>
        <v/>
      </c>
      <c r="FW6" s="11" t="str">
        <f t="shared" si="65"/>
        <v/>
      </c>
      <c r="FX6" s="11" t="str">
        <f t="shared" si="66"/>
        <v/>
      </c>
      <c r="FY6" s="11" t="str">
        <f t="shared" si="67"/>
        <v/>
      </c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14" t="str">
        <f t="shared" si="68"/>
        <v/>
      </c>
      <c r="GP6" s="14" t="str">
        <f t="shared" si="69"/>
        <v/>
      </c>
      <c r="GQ6" s="14" t="str">
        <f t="shared" si="70"/>
        <v/>
      </c>
      <c r="GR6" s="14" t="str">
        <f t="shared" si="71"/>
        <v/>
      </c>
      <c r="GS6" s="14" t="str">
        <f t="shared" si="72"/>
        <v/>
      </c>
      <c r="GT6" s="14" t="str">
        <f t="shared" si="73"/>
        <v/>
      </c>
      <c r="GU6" s="14" t="str">
        <f t="shared" si="74"/>
        <v/>
      </c>
      <c r="GV6" s="35"/>
      <c r="GW6" s="35"/>
      <c r="GX6" s="35"/>
      <c r="GY6" s="35"/>
      <c r="GZ6" s="35"/>
      <c r="HA6" s="35"/>
      <c r="HB6" s="35"/>
      <c r="HC6" s="35"/>
      <c r="HD6" s="35"/>
      <c r="HE6" s="35"/>
      <c r="HF6" s="35"/>
      <c r="HG6" s="35"/>
      <c r="HH6" s="35"/>
      <c r="HI6" s="35"/>
      <c r="HJ6" s="35"/>
      <c r="HK6" s="11" t="str">
        <f t="shared" si="75"/>
        <v/>
      </c>
      <c r="HL6" s="11" t="str">
        <f t="shared" si="76"/>
        <v/>
      </c>
      <c r="HM6" s="11" t="str">
        <f t="shared" si="77"/>
        <v/>
      </c>
      <c r="HN6" s="11" t="str">
        <f t="shared" si="78"/>
        <v/>
      </c>
      <c r="HO6" s="11" t="str">
        <f t="shared" si="79"/>
        <v/>
      </c>
      <c r="HP6" s="11" t="str">
        <f t="shared" si="80"/>
        <v/>
      </c>
      <c r="HQ6" s="11" t="str">
        <f t="shared" si="81"/>
        <v/>
      </c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  <c r="IF6" s="36"/>
      <c r="IG6" s="14" t="str">
        <f t="shared" si="82"/>
        <v/>
      </c>
      <c r="IH6" s="14" t="str">
        <f t="shared" si="83"/>
        <v/>
      </c>
      <c r="II6" s="14" t="str">
        <f t="shared" si="84"/>
        <v/>
      </c>
      <c r="IJ6" s="14" t="str">
        <f t="shared" si="85"/>
        <v/>
      </c>
      <c r="IK6" s="14" t="str">
        <f t="shared" si="86"/>
        <v/>
      </c>
      <c r="IL6" s="14" t="str">
        <f t="shared" si="87"/>
        <v/>
      </c>
      <c r="IM6" s="14" t="str">
        <f t="shared" si="88"/>
        <v/>
      </c>
      <c r="IN6" s="35"/>
      <c r="IO6" s="35"/>
      <c r="IP6" s="35"/>
      <c r="IQ6" s="35"/>
      <c r="IR6" s="35"/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11" t="str">
        <f t="shared" si="89"/>
        <v/>
      </c>
      <c r="JD6" s="11" t="str">
        <f t="shared" si="90"/>
        <v/>
      </c>
      <c r="JE6" s="11" t="str">
        <f t="shared" si="91"/>
        <v/>
      </c>
      <c r="JF6" s="11" t="str">
        <f t="shared" si="92"/>
        <v/>
      </c>
      <c r="JG6" s="11" t="str">
        <f t="shared" si="93"/>
        <v/>
      </c>
      <c r="JH6" s="11" t="str">
        <f t="shared" si="94"/>
        <v/>
      </c>
      <c r="JI6" s="11" t="str">
        <f t="shared" si="95"/>
        <v/>
      </c>
      <c r="JJ6" s="36"/>
      <c r="JK6" s="36"/>
      <c r="JL6" s="36"/>
      <c r="JM6" s="36"/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14" t="str">
        <f t="shared" si="96"/>
        <v/>
      </c>
      <c r="JZ6" s="14" t="str">
        <f t="shared" si="97"/>
        <v/>
      </c>
      <c r="KA6" s="14" t="str">
        <f t="shared" si="98"/>
        <v/>
      </c>
      <c r="KB6" s="14" t="str">
        <f t="shared" si="99"/>
        <v/>
      </c>
      <c r="KC6" s="14" t="str">
        <f t="shared" si="100"/>
        <v/>
      </c>
      <c r="KD6" s="14" t="str">
        <f t="shared" si="101"/>
        <v/>
      </c>
      <c r="KE6" s="14" t="str">
        <f t="shared" si="102"/>
        <v/>
      </c>
      <c r="KF6" s="35"/>
      <c r="KG6" s="35"/>
      <c r="KH6" s="35"/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11" t="str">
        <f t="shared" si="103"/>
        <v/>
      </c>
      <c r="KV6" s="11" t="str">
        <f t="shared" si="104"/>
        <v/>
      </c>
      <c r="KW6" s="11" t="str">
        <f t="shared" si="105"/>
        <v/>
      </c>
      <c r="KX6" s="11" t="str">
        <f t="shared" si="106"/>
        <v/>
      </c>
      <c r="KY6" s="11" t="str">
        <f t="shared" si="107"/>
        <v/>
      </c>
      <c r="KZ6" s="11" t="str">
        <f t="shared" si="108"/>
        <v/>
      </c>
      <c r="LA6" s="11" t="str">
        <f t="shared" si="109"/>
        <v/>
      </c>
      <c r="LB6" s="36"/>
      <c r="LC6" s="36"/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14" t="str">
        <f t="shared" si="110"/>
        <v/>
      </c>
      <c r="LR6" s="14" t="str">
        <f t="shared" si="111"/>
        <v/>
      </c>
      <c r="LS6" s="14" t="str">
        <f t="shared" si="112"/>
        <v/>
      </c>
      <c r="LT6" s="14" t="str">
        <f t="shared" si="113"/>
        <v/>
      </c>
      <c r="LU6" s="14" t="str">
        <f t="shared" si="114"/>
        <v/>
      </c>
      <c r="LV6" s="14" t="str">
        <f t="shared" si="115"/>
        <v/>
      </c>
      <c r="LW6" s="14" t="str">
        <f t="shared" si="116"/>
        <v/>
      </c>
      <c r="LX6" s="35"/>
      <c r="LY6" s="35"/>
      <c r="LZ6" s="35"/>
      <c r="MA6" s="35"/>
      <c r="MB6" s="35"/>
      <c r="MC6" s="35"/>
      <c r="MD6" s="35"/>
      <c r="ME6" s="35"/>
      <c r="MF6" s="35"/>
      <c r="MG6" s="35"/>
      <c r="MH6" s="35"/>
      <c r="MI6" s="35"/>
      <c r="MJ6" s="35"/>
      <c r="MK6" s="35"/>
      <c r="ML6" s="35"/>
      <c r="MM6" s="11" t="str">
        <f t="shared" si="117"/>
        <v/>
      </c>
      <c r="MN6" s="11" t="str">
        <f t="shared" si="118"/>
        <v/>
      </c>
      <c r="MO6" s="11" t="str">
        <f t="shared" si="119"/>
        <v/>
      </c>
      <c r="MP6" s="11" t="str">
        <f t="shared" si="120"/>
        <v/>
      </c>
      <c r="MQ6" s="11" t="str">
        <f t="shared" si="121"/>
        <v/>
      </c>
      <c r="MR6" s="11" t="str">
        <f t="shared" si="122"/>
        <v/>
      </c>
      <c r="MS6" s="11" t="str">
        <f t="shared" si="123"/>
        <v/>
      </c>
      <c r="MT6" s="36"/>
      <c r="MU6" s="36"/>
      <c r="MV6" s="36"/>
      <c r="MW6" s="36"/>
      <c r="MX6" s="36"/>
      <c r="MY6" s="36"/>
      <c r="MZ6" s="36"/>
      <c r="NA6" s="36"/>
      <c r="NB6" s="36"/>
      <c r="NC6" s="36"/>
      <c r="ND6" s="36"/>
      <c r="NE6" s="36"/>
      <c r="NF6" s="36"/>
      <c r="NG6" s="36"/>
      <c r="NH6" s="36"/>
      <c r="NI6" s="14" t="str">
        <f t="shared" si="124"/>
        <v/>
      </c>
      <c r="NJ6" s="14" t="str">
        <f t="shared" si="125"/>
        <v/>
      </c>
      <c r="NK6" s="14" t="str">
        <f t="shared" si="126"/>
        <v/>
      </c>
      <c r="NL6" s="14" t="str">
        <f t="shared" si="127"/>
        <v/>
      </c>
      <c r="NM6" s="14" t="str">
        <f t="shared" si="128"/>
        <v/>
      </c>
      <c r="NN6" s="14" t="str">
        <f t="shared" si="129"/>
        <v/>
      </c>
      <c r="NO6" s="14" t="str">
        <f t="shared" si="130"/>
        <v/>
      </c>
      <c r="NP6" s="61">
        <f t="shared" si="131"/>
        <v>14.8</v>
      </c>
      <c r="NQ6" s="61">
        <f t="shared" si="132"/>
        <v>8</v>
      </c>
      <c r="NR6" s="61">
        <f t="shared" si="133"/>
        <v>3.55</v>
      </c>
      <c r="NS6" s="61">
        <f t="shared" si="134"/>
        <v>14.807500000000001</v>
      </c>
      <c r="NT6" s="61">
        <f t="shared" si="135"/>
        <v>0</v>
      </c>
      <c r="NU6" s="61">
        <f t="shared" si="136"/>
        <v>9.65</v>
      </c>
      <c r="NV6" s="61">
        <f t="shared" si="137"/>
        <v>6.15</v>
      </c>
      <c r="NW6" s="61">
        <f t="shared" si="138"/>
        <v>10.65</v>
      </c>
      <c r="NX6" s="61">
        <f t="shared" si="139"/>
        <v>10.8375</v>
      </c>
      <c r="NY6" s="61">
        <f t="shared" si="140"/>
        <v>0</v>
      </c>
      <c r="NZ6" s="61">
        <f t="shared" si="141"/>
        <v>8.0499999999999989</v>
      </c>
      <c r="OA6" s="61">
        <f t="shared" si="142"/>
        <v>5.8999999999999995</v>
      </c>
      <c r="OB6" s="61">
        <f t="shared" si="143"/>
        <v>9.9499999999999993</v>
      </c>
      <c r="OC6" s="61">
        <f t="shared" si="144"/>
        <v>10.145</v>
      </c>
      <c r="OD6" s="61">
        <f t="shared" si="145"/>
        <v>0</v>
      </c>
      <c r="OE6" s="61">
        <f t="shared" si="146"/>
        <v>7.6</v>
      </c>
      <c r="OF6" s="61">
        <f t="shared" si="147"/>
        <v>4.6500000000000004</v>
      </c>
      <c r="OG6" s="61">
        <f t="shared" si="148"/>
        <v>7.2</v>
      </c>
      <c r="OH6" s="61">
        <f t="shared" si="149"/>
        <v>7.7125000000000004</v>
      </c>
      <c r="OI6" s="61">
        <f t="shared" si="150"/>
        <v>0</v>
      </c>
      <c r="OJ6" s="72" t="s">
        <v>52</v>
      </c>
      <c r="OK6" s="11">
        <f t="shared" si="151"/>
        <v>41.157499999999999</v>
      </c>
      <c r="OL6" s="11">
        <f t="shared" si="152"/>
        <v>10.65</v>
      </c>
      <c r="OM6" s="11">
        <f t="shared" si="153"/>
        <v>37.287500000000001</v>
      </c>
      <c r="ON6" s="11">
        <f t="shared" si="154"/>
        <v>9.9499999999999993</v>
      </c>
      <c r="OO6" s="11">
        <f t="shared" si="155"/>
        <v>34.045000000000002</v>
      </c>
      <c r="OP6" s="11">
        <f t="shared" si="156"/>
        <v>78.444999999999993</v>
      </c>
      <c r="OQ6" s="11">
        <f t="shared" si="157"/>
        <v>7.2</v>
      </c>
      <c r="OR6" s="11">
        <f t="shared" si="158"/>
        <v>27.162500000000001</v>
      </c>
      <c r="OS6" s="11">
        <f t="shared" si="159"/>
        <v>105.60749999999999</v>
      </c>
    </row>
    <row r="7" spans="1:409" x14ac:dyDescent="0.2">
      <c r="A7" s="5" cm="1">
        <f t="array" ref="A7">IF(AND(G7&lt;&gt;"",H7&lt;&gt;""),SUMPRODUCT((G$4:G$24&lt;&gt;"")*(H$4:H$24&lt;&gt;"")*(E$4:E$24&gt;E7))+1,IF(H7&lt;&gt;"",SUMPRODUCT((I$4:I$24="No DD")*(E$4:E$24&gt;E7))+1+SUMPRODUCT((G$4:G$24&lt;&gt;"")*(H$4:H$24&lt;&gt;"")),""))</f>
        <v>4</v>
      </c>
      <c r="B7" s="6" t="s">
        <v>79</v>
      </c>
      <c r="C7" s="7" t="s">
        <v>5</v>
      </c>
      <c r="D7" s="5">
        <v>2003</v>
      </c>
      <c r="E7" s="15">
        <f t="shared" si="0"/>
        <v>106.75</v>
      </c>
      <c r="F7" s="3" t="str">
        <f t="shared" si="1"/>
        <v>P</v>
      </c>
      <c r="G7" s="115" t="str">
        <f t="shared" si="2"/>
        <v>National Team</v>
      </c>
      <c r="H7" s="115" t="str">
        <f t="shared" si="3"/>
        <v>National Team</v>
      </c>
      <c r="I7" s="116" t="str">
        <f t="shared" si="4"/>
        <v>National Team</v>
      </c>
      <c r="J7" s="3" t="str">
        <f t="shared" si="5"/>
        <v/>
      </c>
      <c r="K7" s="14">
        <f t="shared" si="6"/>
        <v>98.55</v>
      </c>
      <c r="L7" s="14" t="str">
        <f t="shared" si="7"/>
        <v>2021 2nd Virtual Technical Trial</v>
      </c>
      <c r="M7" s="14">
        <f t="shared" si="8"/>
        <v>0</v>
      </c>
      <c r="N7" s="14" t="str">
        <f t="shared" si="9"/>
        <v/>
      </c>
      <c r="O7" s="14">
        <f t="shared" si="10"/>
        <v>54.64</v>
      </c>
      <c r="P7" s="14" t="str">
        <f t="shared" si="11"/>
        <v>2021 2nd Virtual Technical Trial</v>
      </c>
      <c r="Q7" s="14">
        <f>IF(COUNT(AS7,AU7,AX7,BW7,BY7,CB7,DA7,DC7,DF7)&gt;1,LARGE((AS7,AU7,AX7,BW7,BY7,CB7,DA7,DC7,DF7),2),0)</f>
        <v>52.11</v>
      </c>
      <c r="R7" s="14" t="str">
        <f t="shared" si="12"/>
        <v>2021 2nd Virtual Technical Trial</v>
      </c>
      <c r="S7" s="14" t="str">
        <f t="shared" si="13"/>
        <v/>
      </c>
      <c r="T7" s="24" t="str">
        <f t="shared" si="14"/>
        <v/>
      </c>
      <c r="U7" s="14" t="str">
        <f t="shared" si="15"/>
        <v/>
      </c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1"/>
      <c r="AK7" s="61"/>
      <c r="AL7" s="61"/>
      <c r="AM7" s="61"/>
      <c r="AN7" s="61"/>
      <c r="AO7" s="61"/>
      <c r="AP7" s="72"/>
      <c r="AQ7" s="11" t="str">
        <f t="shared" si="16"/>
        <v/>
      </c>
      <c r="AR7" s="11" t="str">
        <f t="shared" si="17"/>
        <v/>
      </c>
      <c r="AS7" s="11" t="str">
        <f t="shared" si="18"/>
        <v/>
      </c>
      <c r="AT7" s="11" t="str">
        <f t="shared" si="19"/>
        <v/>
      </c>
      <c r="AU7" s="11" t="str">
        <f t="shared" si="20"/>
        <v/>
      </c>
      <c r="AV7" s="11" t="str">
        <f t="shared" si="21"/>
        <v/>
      </c>
      <c r="AW7" s="11" t="str">
        <f t="shared" si="22"/>
        <v/>
      </c>
      <c r="AX7" s="11" t="str">
        <f t="shared" si="23"/>
        <v/>
      </c>
      <c r="AY7" s="11" t="str">
        <f t="shared" si="24"/>
        <v/>
      </c>
      <c r="AZ7" s="67">
        <v>17.5</v>
      </c>
      <c r="BA7" s="67">
        <v>9.6</v>
      </c>
      <c r="BB7" s="67">
        <v>2.9</v>
      </c>
      <c r="BC7" s="67">
        <v>16.440000000000001</v>
      </c>
      <c r="BD7" s="67">
        <v>0</v>
      </c>
      <c r="BE7" s="67">
        <v>15</v>
      </c>
      <c r="BF7" s="67">
        <v>8.4</v>
      </c>
      <c r="BG7" s="67">
        <v>13</v>
      </c>
      <c r="BH7" s="67">
        <v>15.71</v>
      </c>
      <c r="BI7" s="67">
        <v>0</v>
      </c>
      <c r="BJ7" s="67"/>
      <c r="BK7" s="67"/>
      <c r="BL7" s="67"/>
      <c r="BM7" s="67"/>
      <c r="BN7" s="67"/>
      <c r="BO7" s="67">
        <v>15.8</v>
      </c>
      <c r="BP7" s="67">
        <v>9.5</v>
      </c>
      <c r="BQ7" s="67">
        <v>13.5</v>
      </c>
      <c r="BR7" s="67">
        <v>15.84</v>
      </c>
      <c r="BS7" s="67">
        <v>0</v>
      </c>
      <c r="BT7" s="73"/>
      <c r="BU7" s="14">
        <f t="shared" si="25"/>
        <v>46.44</v>
      </c>
      <c r="BV7" s="14">
        <f t="shared" si="26"/>
        <v>13</v>
      </c>
      <c r="BW7" s="14">
        <f t="shared" si="27"/>
        <v>52.11</v>
      </c>
      <c r="BX7" s="14" t="str">
        <f t="shared" si="28"/>
        <v/>
      </c>
      <c r="BY7" s="14" t="str">
        <f t="shared" si="29"/>
        <v/>
      </c>
      <c r="BZ7" s="14">
        <f t="shared" si="30"/>
        <v>98.55</v>
      </c>
      <c r="CA7" s="14">
        <f t="shared" si="31"/>
        <v>13.5</v>
      </c>
      <c r="CB7" s="14">
        <f t="shared" si="32"/>
        <v>54.64</v>
      </c>
      <c r="CC7" s="14">
        <f t="shared" si="33"/>
        <v>153.19</v>
      </c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72"/>
      <c r="CY7" s="11" t="str">
        <f t="shared" si="34"/>
        <v/>
      </c>
      <c r="CZ7" s="11" t="str">
        <f t="shared" si="35"/>
        <v/>
      </c>
      <c r="DA7" s="11" t="str">
        <f t="shared" si="36"/>
        <v/>
      </c>
      <c r="DB7" s="11" t="str">
        <f t="shared" si="37"/>
        <v/>
      </c>
      <c r="DC7" s="11" t="str">
        <f t="shared" si="38"/>
        <v/>
      </c>
      <c r="DD7" s="11" t="str">
        <f t="shared" si="39"/>
        <v/>
      </c>
      <c r="DE7" s="11" t="str">
        <f t="shared" si="40"/>
        <v/>
      </c>
      <c r="DF7" s="11" t="str">
        <f t="shared" si="41"/>
        <v/>
      </c>
      <c r="DG7" s="11" t="str">
        <f t="shared" si="42"/>
        <v/>
      </c>
      <c r="DH7" s="23" t="str">
        <f t="shared" si="43"/>
        <v/>
      </c>
      <c r="DI7" s="23" t="str">
        <f t="shared" si="44"/>
        <v/>
      </c>
      <c r="DJ7" s="23" t="str">
        <f t="shared" si="45"/>
        <v/>
      </c>
      <c r="DK7" s="23" t="str">
        <f t="shared" si="46"/>
        <v/>
      </c>
      <c r="DL7" s="35"/>
      <c r="DM7" s="35"/>
      <c r="DN7" s="35"/>
      <c r="DO7" s="35"/>
      <c r="DP7" s="35"/>
      <c r="DQ7" s="35"/>
      <c r="DR7" s="35"/>
      <c r="DS7" s="35"/>
      <c r="DT7" s="35"/>
      <c r="DU7" s="35"/>
      <c r="DV7" s="35"/>
      <c r="DW7" s="35"/>
      <c r="DX7" s="35"/>
      <c r="DY7" s="35"/>
      <c r="DZ7" s="35"/>
      <c r="EA7" s="11" t="str">
        <f t="shared" si="47"/>
        <v/>
      </c>
      <c r="EB7" s="11" t="str">
        <f t="shared" si="48"/>
        <v/>
      </c>
      <c r="EC7" s="11" t="str">
        <f t="shared" si="49"/>
        <v/>
      </c>
      <c r="ED7" s="11" t="str">
        <f t="shared" si="50"/>
        <v/>
      </c>
      <c r="EE7" s="11" t="str">
        <f t="shared" si="51"/>
        <v/>
      </c>
      <c r="EF7" s="11" t="str">
        <f t="shared" si="52"/>
        <v/>
      </c>
      <c r="EG7" s="11" t="str">
        <f t="shared" si="53"/>
        <v/>
      </c>
      <c r="EH7" s="36"/>
      <c r="EI7" s="36"/>
      <c r="EJ7" s="36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14" t="str">
        <f t="shared" si="54"/>
        <v/>
      </c>
      <c r="EX7" s="14" t="str">
        <f t="shared" si="55"/>
        <v/>
      </c>
      <c r="EY7" s="14" t="str">
        <f t="shared" si="56"/>
        <v/>
      </c>
      <c r="EZ7" s="14" t="str">
        <f t="shared" si="57"/>
        <v/>
      </c>
      <c r="FA7" s="14" t="str">
        <f t="shared" si="58"/>
        <v/>
      </c>
      <c r="FB7" s="14" t="str">
        <f t="shared" si="59"/>
        <v/>
      </c>
      <c r="FC7" s="14" t="str">
        <f t="shared" si="60"/>
        <v/>
      </c>
      <c r="FD7" s="35"/>
      <c r="FE7" s="35"/>
      <c r="FF7" s="35"/>
      <c r="FG7" s="35"/>
      <c r="FH7" s="35"/>
      <c r="FI7" s="35"/>
      <c r="FJ7" s="35"/>
      <c r="FK7" s="35"/>
      <c r="FL7" s="35"/>
      <c r="FM7" s="35"/>
      <c r="FN7" s="35"/>
      <c r="FO7" s="35"/>
      <c r="FP7" s="35"/>
      <c r="FQ7" s="35"/>
      <c r="FR7" s="35"/>
      <c r="FS7" s="11" t="str">
        <f t="shared" si="61"/>
        <v/>
      </c>
      <c r="FT7" s="11" t="str">
        <f t="shared" si="62"/>
        <v/>
      </c>
      <c r="FU7" s="11" t="str">
        <f t="shared" si="63"/>
        <v/>
      </c>
      <c r="FV7" s="11" t="str">
        <f t="shared" si="64"/>
        <v/>
      </c>
      <c r="FW7" s="11" t="str">
        <f t="shared" si="65"/>
        <v/>
      </c>
      <c r="FX7" s="11" t="str">
        <f t="shared" si="66"/>
        <v/>
      </c>
      <c r="FY7" s="11" t="str">
        <f t="shared" si="67"/>
        <v/>
      </c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14" t="str">
        <f t="shared" si="68"/>
        <v/>
      </c>
      <c r="GP7" s="14" t="str">
        <f t="shared" si="69"/>
        <v/>
      </c>
      <c r="GQ7" s="14" t="str">
        <f t="shared" si="70"/>
        <v/>
      </c>
      <c r="GR7" s="14" t="str">
        <f t="shared" si="71"/>
        <v/>
      </c>
      <c r="GS7" s="14" t="str">
        <f t="shared" si="72"/>
        <v/>
      </c>
      <c r="GT7" s="14" t="str">
        <f t="shared" si="73"/>
        <v/>
      </c>
      <c r="GU7" s="14" t="str">
        <f t="shared" si="74"/>
        <v/>
      </c>
      <c r="GV7" s="35"/>
      <c r="GW7" s="35"/>
      <c r="GX7" s="35"/>
      <c r="GY7" s="35"/>
      <c r="GZ7" s="35"/>
      <c r="HA7" s="35"/>
      <c r="HB7" s="35"/>
      <c r="HC7" s="35"/>
      <c r="HD7" s="35"/>
      <c r="HE7" s="35"/>
      <c r="HF7" s="35"/>
      <c r="HG7" s="35"/>
      <c r="HH7" s="35"/>
      <c r="HI7" s="35"/>
      <c r="HJ7" s="35"/>
      <c r="HK7" s="11" t="str">
        <f t="shared" si="75"/>
        <v/>
      </c>
      <c r="HL7" s="11" t="str">
        <f t="shared" si="76"/>
        <v/>
      </c>
      <c r="HM7" s="11" t="str">
        <f t="shared" si="77"/>
        <v/>
      </c>
      <c r="HN7" s="11" t="str">
        <f t="shared" si="78"/>
        <v/>
      </c>
      <c r="HO7" s="11" t="str">
        <f t="shared" si="79"/>
        <v/>
      </c>
      <c r="HP7" s="11" t="str">
        <f t="shared" si="80"/>
        <v/>
      </c>
      <c r="HQ7" s="11" t="str">
        <f t="shared" si="81"/>
        <v/>
      </c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36"/>
      <c r="ID7" s="36"/>
      <c r="IE7" s="36"/>
      <c r="IF7" s="36"/>
      <c r="IG7" s="14" t="str">
        <f t="shared" si="82"/>
        <v/>
      </c>
      <c r="IH7" s="14" t="str">
        <f t="shared" si="83"/>
        <v/>
      </c>
      <c r="II7" s="14" t="str">
        <f t="shared" si="84"/>
        <v/>
      </c>
      <c r="IJ7" s="14" t="str">
        <f t="shared" si="85"/>
        <v/>
      </c>
      <c r="IK7" s="14" t="str">
        <f t="shared" si="86"/>
        <v/>
      </c>
      <c r="IL7" s="14" t="str">
        <f t="shared" si="87"/>
        <v/>
      </c>
      <c r="IM7" s="14" t="str">
        <f t="shared" si="88"/>
        <v/>
      </c>
      <c r="IN7" s="35"/>
      <c r="IO7" s="35"/>
      <c r="IP7" s="35"/>
      <c r="IQ7" s="35"/>
      <c r="IR7" s="35"/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11" t="str">
        <f t="shared" si="89"/>
        <v/>
      </c>
      <c r="JD7" s="11" t="str">
        <f t="shared" si="90"/>
        <v/>
      </c>
      <c r="JE7" s="11" t="str">
        <f t="shared" si="91"/>
        <v/>
      </c>
      <c r="JF7" s="11" t="str">
        <f t="shared" si="92"/>
        <v/>
      </c>
      <c r="JG7" s="11" t="str">
        <f t="shared" si="93"/>
        <v/>
      </c>
      <c r="JH7" s="11" t="str">
        <f t="shared" si="94"/>
        <v/>
      </c>
      <c r="JI7" s="11" t="str">
        <f t="shared" si="95"/>
        <v/>
      </c>
      <c r="JJ7" s="36"/>
      <c r="JK7" s="36"/>
      <c r="JL7" s="36"/>
      <c r="JM7" s="36"/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14" t="str">
        <f t="shared" si="96"/>
        <v/>
      </c>
      <c r="JZ7" s="14" t="str">
        <f t="shared" si="97"/>
        <v/>
      </c>
      <c r="KA7" s="14" t="str">
        <f t="shared" si="98"/>
        <v/>
      </c>
      <c r="KB7" s="14" t="str">
        <f t="shared" si="99"/>
        <v/>
      </c>
      <c r="KC7" s="14" t="str">
        <f t="shared" si="100"/>
        <v/>
      </c>
      <c r="KD7" s="14" t="str">
        <f t="shared" si="101"/>
        <v/>
      </c>
      <c r="KE7" s="14" t="str">
        <f t="shared" si="102"/>
        <v/>
      </c>
      <c r="KF7" s="35"/>
      <c r="KG7" s="35"/>
      <c r="KH7" s="35"/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11" t="str">
        <f t="shared" si="103"/>
        <v/>
      </c>
      <c r="KV7" s="11" t="str">
        <f t="shared" si="104"/>
        <v/>
      </c>
      <c r="KW7" s="11" t="str">
        <f t="shared" si="105"/>
        <v/>
      </c>
      <c r="KX7" s="11" t="str">
        <f t="shared" si="106"/>
        <v/>
      </c>
      <c r="KY7" s="11" t="str">
        <f t="shared" si="107"/>
        <v/>
      </c>
      <c r="KZ7" s="11" t="str">
        <f t="shared" si="108"/>
        <v/>
      </c>
      <c r="LA7" s="11" t="str">
        <f t="shared" si="109"/>
        <v/>
      </c>
      <c r="LB7" s="36"/>
      <c r="LC7" s="36"/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14" t="str">
        <f t="shared" si="110"/>
        <v/>
      </c>
      <c r="LR7" s="14" t="str">
        <f t="shared" si="111"/>
        <v/>
      </c>
      <c r="LS7" s="14" t="str">
        <f t="shared" si="112"/>
        <v/>
      </c>
      <c r="LT7" s="14" t="str">
        <f t="shared" si="113"/>
        <v/>
      </c>
      <c r="LU7" s="14" t="str">
        <f t="shared" si="114"/>
        <v/>
      </c>
      <c r="LV7" s="14" t="str">
        <f t="shared" si="115"/>
        <v/>
      </c>
      <c r="LW7" s="14" t="str">
        <f t="shared" si="116"/>
        <v/>
      </c>
      <c r="LX7" s="35"/>
      <c r="LY7" s="35"/>
      <c r="LZ7" s="35"/>
      <c r="MA7" s="35"/>
      <c r="MB7" s="35"/>
      <c r="MC7" s="35"/>
      <c r="MD7" s="35"/>
      <c r="ME7" s="35"/>
      <c r="MF7" s="35"/>
      <c r="MG7" s="35"/>
      <c r="MH7" s="35"/>
      <c r="MI7" s="35"/>
      <c r="MJ7" s="35"/>
      <c r="MK7" s="35"/>
      <c r="ML7" s="35"/>
      <c r="MM7" s="11" t="str">
        <f t="shared" si="117"/>
        <v/>
      </c>
      <c r="MN7" s="11" t="str">
        <f t="shared" si="118"/>
        <v/>
      </c>
      <c r="MO7" s="11" t="str">
        <f t="shared" si="119"/>
        <v/>
      </c>
      <c r="MP7" s="11" t="str">
        <f t="shared" si="120"/>
        <v/>
      </c>
      <c r="MQ7" s="11" t="str">
        <f t="shared" si="121"/>
        <v/>
      </c>
      <c r="MR7" s="11" t="str">
        <f t="shared" si="122"/>
        <v/>
      </c>
      <c r="MS7" s="11" t="str">
        <f t="shared" si="123"/>
        <v/>
      </c>
      <c r="MT7" s="36"/>
      <c r="MU7" s="36"/>
      <c r="MV7" s="36"/>
      <c r="MW7" s="36"/>
      <c r="MX7" s="36"/>
      <c r="MY7" s="36"/>
      <c r="MZ7" s="36"/>
      <c r="NA7" s="36"/>
      <c r="NB7" s="36"/>
      <c r="NC7" s="36"/>
      <c r="ND7" s="36"/>
      <c r="NE7" s="36"/>
      <c r="NF7" s="36"/>
      <c r="NG7" s="36"/>
      <c r="NH7" s="36"/>
      <c r="NI7" s="14" t="str">
        <f t="shared" si="124"/>
        <v/>
      </c>
      <c r="NJ7" s="14" t="str">
        <f t="shared" si="125"/>
        <v/>
      </c>
      <c r="NK7" s="14" t="str">
        <f t="shared" si="126"/>
        <v/>
      </c>
      <c r="NL7" s="14" t="str">
        <f t="shared" si="127"/>
        <v/>
      </c>
      <c r="NM7" s="14" t="str">
        <f t="shared" si="128"/>
        <v/>
      </c>
      <c r="NN7" s="14" t="str">
        <f t="shared" si="129"/>
        <v/>
      </c>
      <c r="NO7" s="14" t="str">
        <f t="shared" si="130"/>
        <v/>
      </c>
      <c r="NP7" s="61">
        <f t="shared" si="131"/>
        <v>8.75</v>
      </c>
      <c r="NQ7" s="61">
        <f t="shared" si="132"/>
        <v>4.8</v>
      </c>
      <c r="NR7" s="61">
        <f t="shared" si="133"/>
        <v>1.45</v>
      </c>
      <c r="NS7" s="61">
        <f t="shared" si="134"/>
        <v>8.2200000000000006</v>
      </c>
      <c r="NT7" s="61">
        <f t="shared" si="135"/>
        <v>0</v>
      </c>
      <c r="NU7" s="61">
        <f t="shared" si="136"/>
        <v>7.5</v>
      </c>
      <c r="NV7" s="61">
        <f t="shared" si="137"/>
        <v>4.2</v>
      </c>
      <c r="NW7" s="61">
        <f t="shared" si="138"/>
        <v>6.5</v>
      </c>
      <c r="NX7" s="61">
        <f t="shared" si="139"/>
        <v>7.8550000000000004</v>
      </c>
      <c r="NY7" s="61">
        <f t="shared" si="140"/>
        <v>0</v>
      </c>
      <c r="NZ7" s="61">
        <f t="shared" si="141"/>
        <v>0</v>
      </c>
      <c r="OA7" s="61">
        <f t="shared" si="142"/>
        <v>0</v>
      </c>
      <c r="OB7" s="61">
        <f t="shared" si="143"/>
        <v>0</v>
      </c>
      <c r="OC7" s="61">
        <f t="shared" si="144"/>
        <v>0</v>
      </c>
      <c r="OD7" s="61">
        <f t="shared" si="145"/>
        <v>0</v>
      </c>
      <c r="OE7" s="61">
        <f t="shared" si="146"/>
        <v>7.9</v>
      </c>
      <c r="OF7" s="61">
        <f t="shared" si="147"/>
        <v>4.75</v>
      </c>
      <c r="OG7" s="61">
        <f t="shared" si="148"/>
        <v>6.75</v>
      </c>
      <c r="OH7" s="61">
        <f t="shared" si="149"/>
        <v>7.92</v>
      </c>
      <c r="OI7" s="61">
        <f t="shared" si="150"/>
        <v>0</v>
      </c>
      <c r="OJ7" s="72" t="s">
        <v>52</v>
      </c>
      <c r="OK7" s="11">
        <f t="shared" si="151"/>
        <v>23.22</v>
      </c>
      <c r="OL7" s="11">
        <f t="shared" si="152"/>
        <v>6.5</v>
      </c>
      <c r="OM7" s="11">
        <f t="shared" si="153"/>
        <v>26.055</v>
      </c>
      <c r="ON7" s="11" t="str">
        <f t="shared" si="154"/>
        <v/>
      </c>
      <c r="OO7" s="11" t="str">
        <f t="shared" si="155"/>
        <v/>
      </c>
      <c r="OP7" s="11">
        <f t="shared" si="156"/>
        <v>49.274999999999999</v>
      </c>
      <c r="OQ7" s="11">
        <f t="shared" si="157"/>
        <v>6.75</v>
      </c>
      <c r="OR7" s="11">
        <f t="shared" si="158"/>
        <v>27.32</v>
      </c>
      <c r="OS7" s="11">
        <f t="shared" si="159"/>
        <v>76.594999999999999</v>
      </c>
    </row>
    <row r="8" spans="1:409" x14ac:dyDescent="0.2">
      <c r="A8" s="5" cm="1">
        <f t="array" ref="A8">IF(AND(G8&lt;&gt;"",H8&lt;&gt;""),SUMPRODUCT((G$4:G$24&lt;&gt;"")*(H$4:H$24&lt;&gt;"")*(E$4:E$24&gt;E8))+1,IF(H8&lt;&gt;"",SUMPRODUCT((I$4:I$24="No DD")*(E$4:E$24&gt;E8))+1+SUMPRODUCT((G$4:G$24&lt;&gt;"")*(H$4:H$24&lt;&gt;"")),""))</f>
        <v>5</v>
      </c>
      <c r="B8" s="6" t="s">
        <v>114</v>
      </c>
      <c r="C8" s="7" t="s">
        <v>6</v>
      </c>
      <c r="D8" s="26">
        <v>2000</v>
      </c>
      <c r="E8" s="15">
        <f t="shared" si="0"/>
        <v>106.51000000000002</v>
      </c>
      <c r="F8" s="3" t="str">
        <f t="shared" si="1"/>
        <v>P</v>
      </c>
      <c r="G8" s="115" t="str">
        <f t="shared" si="2"/>
        <v>National Team</v>
      </c>
      <c r="H8" s="115" t="str">
        <f t="shared" si="3"/>
        <v>National Team</v>
      </c>
      <c r="I8" s="116" t="str">
        <f t="shared" si="4"/>
        <v>National Team</v>
      </c>
      <c r="J8" s="3" t="str">
        <f t="shared" si="5"/>
        <v/>
      </c>
      <c r="K8" s="14">
        <f t="shared" si="6"/>
        <v>100.81</v>
      </c>
      <c r="L8" s="14" t="str">
        <f t="shared" si="7"/>
        <v>2021 1st Virtual Technical Trial</v>
      </c>
      <c r="M8" s="14">
        <f t="shared" si="8"/>
        <v>0</v>
      </c>
      <c r="N8" s="14" t="str">
        <f t="shared" si="9"/>
        <v/>
      </c>
      <c r="O8" s="14">
        <f t="shared" si="10"/>
        <v>54.430000000000007</v>
      </c>
      <c r="P8" s="14" t="str">
        <f t="shared" si="11"/>
        <v>2021 1st Virtual Technical Trial</v>
      </c>
      <c r="Q8" s="14">
        <f>IF(COUNT(AS8,AU8,AX8,BW8,BY8,CB8,DA8,DC8,DF8)&gt;1,LARGE((AS8,AU8,AX8,BW8,BY8,CB8,DA8,DC8,DF8),2),0)</f>
        <v>52.080000000000005</v>
      </c>
      <c r="R8" s="14" t="str">
        <f t="shared" si="12"/>
        <v>2021 1st Virtual Technical Trial</v>
      </c>
      <c r="S8" s="14" t="str">
        <f t="shared" si="13"/>
        <v/>
      </c>
      <c r="T8" s="24" t="str">
        <f t="shared" si="14"/>
        <v/>
      </c>
      <c r="U8" s="14" t="str">
        <f t="shared" si="15"/>
        <v/>
      </c>
      <c r="V8" s="61">
        <v>17.899999999999999</v>
      </c>
      <c r="W8" s="61">
        <v>9.3000000000000007</v>
      </c>
      <c r="X8" s="61">
        <v>3.4</v>
      </c>
      <c r="Y8" s="61">
        <v>15.78</v>
      </c>
      <c r="Z8" s="61">
        <v>0</v>
      </c>
      <c r="AA8" s="61">
        <v>14.4</v>
      </c>
      <c r="AB8" s="61">
        <v>9.3000000000000007</v>
      </c>
      <c r="AC8" s="61">
        <v>13.5</v>
      </c>
      <c r="AD8" s="61">
        <v>14.88</v>
      </c>
      <c r="AE8" s="61">
        <v>0</v>
      </c>
      <c r="AF8" s="61">
        <v>16.2</v>
      </c>
      <c r="AG8" s="61">
        <v>9.5</v>
      </c>
      <c r="AH8" s="61">
        <v>13.5</v>
      </c>
      <c r="AI8" s="61">
        <v>15.23</v>
      </c>
      <c r="AJ8" s="61">
        <v>0</v>
      </c>
      <c r="AK8" s="61">
        <v>14.3</v>
      </c>
      <c r="AL8" s="61">
        <v>8.8000000000000007</v>
      </c>
      <c r="AM8" s="61">
        <v>13.3</v>
      </c>
      <c r="AN8" s="61">
        <v>14.555</v>
      </c>
      <c r="AO8" s="61">
        <v>0.4</v>
      </c>
      <c r="AP8" s="72"/>
      <c r="AQ8" s="11">
        <f t="shared" si="16"/>
        <v>46.379999999999995</v>
      </c>
      <c r="AR8" s="11">
        <f t="shared" si="17"/>
        <v>13.5</v>
      </c>
      <c r="AS8" s="11">
        <f t="shared" si="18"/>
        <v>52.080000000000005</v>
      </c>
      <c r="AT8" s="11">
        <f t="shared" si="19"/>
        <v>13.5</v>
      </c>
      <c r="AU8" s="11">
        <f t="shared" si="20"/>
        <v>54.430000000000007</v>
      </c>
      <c r="AV8" s="11">
        <f t="shared" si="21"/>
        <v>100.81</v>
      </c>
      <c r="AW8" s="11">
        <f t="shared" si="22"/>
        <v>13.3</v>
      </c>
      <c r="AX8" s="11">
        <f t="shared" si="23"/>
        <v>50.555000000000007</v>
      </c>
      <c r="AY8" s="11">
        <f t="shared" si="24"/>
        <v>151.36500000000001</v>
      </c>
      <c r="AZ8" s="67"/>
      <c r="BA8" s="67"/>
      <c r="BB8" s="67"/>
      <c r="BC8" s="67"/>
      <c r="BD8" s="67"/>
      <c r="BE8" s="67"/>
      <c r="BF8" s="67"/>
      <c r="BG8" s="67"/>
      <c r="BH8" s="67"/>
      <c r="BI8" s="67"/>
      <c r="BJ8" s="67"/>
      <c r="BK8" s="67"/>
      <c r="BL8" s="67"/>
      <c r="BM8" s="67"/>
      <c r="BN8" s="67"/>
      <c r="BO8" s="67"/>
      <c r="BP8" s="67"/>
      <c r="BQ8" s="67"/>
      <c r="BR8" s="67"/>
      <c r="BS8" s="67"/>
      <c r="BT8" s="73"/>
      <c r="BU8" s="14" t="str">
        <f t="shared" si="25"/>
        <v/>
      </c>
      <c r="BV8" s="14" t="str">
        <f t="shared" si="26"/>
        <v/>
      </c>
      <c r="BW8" s="14" t="str">
        <f t="shared" si="27"/>
        <v/>
      </c>
      <c r="BX8" s="14" t="str">
        <f t="shared" si="28"/>
        <v/>
      </c>
      <c r="BY8" s="14" t="str">
        <f t="shared" si="29"/>
        <v/>
      </c>
      <c r="BZ8" s="14" t="str">
        <f t="shared" si="30"/>
        <v/>
      </c>
      <c r="CA8" s="14" t="str">
        <f t="shared" si="31"/>
        <v/>
      </c>
      <c r="CB8" s="14" t="str">
        <f t="shared" si="32"/>
        <v/>
      </c>
      <c r="CC8" s="14" t="str">
        <f t="shared" si="33"/>
        <v/>
      </c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72"/>
      <c r="CY8" s="11" t="str">
        <f t="shared" si="34"/>
        <v/>
      </c>
      <c r="CZ8" s="11" t="str">
        <f t="shared" si="35"/>
        <v/>
      </c>
      <c r="DA8" s="11" t="str">
        <f t="shared" si="36"/>
        <v/>
      </c>
      <c r="DB8" s="11" t="str">
        <f t="shared" si="37"/>
        <v/>
      </c>
      <c r="DC8" s="11" t="str">
        <f t="shared" si="38"/>
        <v/>
      </c>
      <c r="DD8" s="11" t="str">
        <f t="shared" si="39"/>
        <v/>
      </c>
      <c r="DE8" s="11" t="str">
        <f t="shared" si="40"/>
        <v/>
      </c>
      <c r="DF8" s="11" t="str">
        <f t="shared" si="41"/>
        <v/>
      </c>
      <c r="DG8" s="11" t="str">
        <f t="shared" si="42"/>
        <v/>
      </c>
      <c r="DH8" s="23" t="str">
        <f t="shared" si="43"/>
        <v/>
      </c>
      <c r="DI8" s="23" t="str">
        <f t="shared" si="44"/>
        <v/>
      </c>
      <c r="DJ8" s="23" t="str">
        <f t="shared" si="45"/>
        <v/>
      </c>
      <c r="DK8" s="23" t="str">
        <f t="shared" si="46"/>
        <v/>
      </c>
      <c r="DL8" s="35"/>
      <c r="DM8" s="35"/>
      <c r="DN8" s="35"/>
      <c r="DO8" s="35"/>
      <c r="DP8" s="35"/>
      <c r="DQ8" s="35"/>
      <c r="DR8" s="35"/>
      <c r="DS8" s="35"/>
      <c r="DT8" s="35"/>
      <c r="DU8" s="35"/>
      <c r="DV8" s="35"/>
      <c r="DW8" s="35"/>
      <c r="DX8" s="35"/>
      <c r="DY8" s="35"/>
      <c r="DZ8" s="35"/>
      <c r="EA8" s="11" t="str">
        <f t="shared" si="47"/>
        <v/>
      </c>
      <c r="EB8" s="11" t="str">
        <f t="shared" si="48"/>
        <v/>
      </c>
      <c r="EC8" s="11" t="str">
        <f t="shared" si="49"/>
        <v/>
      </c>
      <c r="ED8" s="11" t="str">
        <f t="shared" si="50"/>
        <v/>
      </c>
      <c r="EE8" s="11" t="str">
        <f t="shared" si="51"/>
        <v/>
      </c>
      <c r="EF8" s="11" t="str">
        <f t="shared" si="52"/>
        <v/>
      </c>
      <c r="EG8" s="11" t="str">
        <f t="shared" si="53"/>
        <v/>
      </c>
      <c r="EH8" s="36"/>
      <c r="EI8" s="36"/>
      <c r="EJ8" s="36"/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14" t="str">
        <f t="shared" si="54"/>
        <v/>
      </c>
      <c r="EX8" s="14" t="str">
        <f t="shared" si="55"/>
        <v/>
      </c>
      <c r="EY8" s="14" t="str">
        <f t="shared" si="56"/>
        <v/>
      </c>
      <c r="EZ8" s="14" t="str">
        <f t="shared" si="57"/>
        <v/>
      </c>
      <c r="FA8" s="14" t="str">
        <f t="shared" si="58"/>
        <v/>
      </c>
      <c r="FB8" s="14" t="str">
        <f t="shared" si="59"/>
        <v/>
      </c>
      <c r="FC8" s="14" t="str">
        <f t="shared" si="60"/>
        <v/>
      </c>
      <c r="FD8" s="35"/>
      <c r="FE8" s="35"/>
      <c r="FF8" s="35"/>
      <c r="FG8" s="35"/>
      <c r="FH8" s="35"/>
      <c r="FI8" s="35"/>
      <c r="FJ8" s="35"/>
      <c r="FK8" s="35"/>
      <c r="FL8" s="35"/>
      <c r="FM8" s="35"/>
      <c r="FN8" s="35"/>
      <c r="FO8" s="35"/>
      <c r="FP8" s="35"/>
      <c r="FQ8" s="35"/>
      <c r="FR8" s="35"/>
      <c r="FS8" s="11" t="str">
        <f t="shared" si="61"/>
        <v/>
      </c>
      <c r="FT8" s="11" t="str">
        <f t="shared" si="62"/>
        <v/>
      </c>
      <c r="FU8" s="11" t="str">
        <f t="shared" si="63"/>
        <v/>
      </c>
      <c r="FV8" s="11" t="str">
        <f t="shared" si="64"/>
        <v/>
      </c>
      <c r="FW8" s="11" t="str">
        <f t="shared" si="65"/>
        <v/>
      </c>
      <c r="FX8" s="11" t="str">
        <f t="shared" si="66"/>
        <v/>
      </c>
      <c r="FY8" s="11" t="str">
        <f t="shared" si="67"/>
        <v/>
      </c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14" t="str">
        <f t="shared" si="68"/>
        <v/>
      </c>
      <c r="GP8" s="14" t="str">
        <f t="shared" si="69"/>
        <v/>
      </c>
      <c r="GQ8" s="14" t="str">
        <f t="shared" si="70"/>
        <v/>
      </c>
      <c r="GR8" s="14" t="str">
        <f t="shared" si="71"/>
        <v/>
      </c>
      <c r="GS8" s="14" t="str">
        <f t="shared" si="72"/>
        <v/>
      </c>
      <c r="GT8" s="14" t="str">
        <f t="shared" si="73"/>
        <v/>
      </c>
      <c r="GU8" s="14" t="str">
        <f t="shared" si="74"/>
        <v/>
      </c>
      <c r="GV8" s="35"/>
      <c r="GW8" s="35"/>
      <c r="GX8" s="35"/>
      <c r="GY8" s="35"/>
      <c r="GZ8" s="35"/>
      <c r="HA8" s="35"/>
      <c r="HB8" s="35"/>
      <c r="HC8" s="35"/>
      <c r="HD8" s="35"/>
      <c r="HE8" s="35"/>
      <c r="HF8" s="35"/>
      <c r="HG8" s="35"/>
      <c r="HH8" s="35"/>
      <c r="HI8" s="35"/>
      <c r="HJ8" s="35"/>
      <c r="HK8" s="11" t="str">
        <f t="shared" si="75"/>
        <v/>
      </c>
      <c r="HL8" s="11" t="str">
        <f t="shared" si="76"/>
        <v/>
      </c>
      <c r="HM8" s="11" t="str">
        <f t="shared" si="77"/>
        <v/>
      </c>
      <c r="HN8" s="11" t="str">
        <f t="shared" si="78"/>
        <v/>
      </c>
      <c r="HO8" s="11" t="str">
        <f t="shared" si="79"/>
        <v/>
      </c>
      <c r="HP8" s="11" t="str">
        <f t="shared" si="80"/>
        <v/>
      </c>
      <c r="HQ8" s="11" t="str">
        <f t="shared" si="81"/>
        <v/>
      </c>
      <c r="HR8" s="36"/>
      <c r="HS8" s="36"/>
      <c r="HT8" s="36"/>
      <c r="HU8" s="36"/>
      <c r="HV8" s="36"/>
      <c r="HW8" s="36"/>
      <c r="HX8" s="36"/>
      <c r="HY8" s="36"/>
      <c r="HZ8" s="36"/>
      <c r="IA8" s="36"/>
      <c r="IB8" s="36"/>
      <c r="IC8" s="36"/>
      <c r="ID8" s="36"/>
      <c r="IE8" s="36"/>
      <c r="IF8" s="36"/>
      <c r="IG8" s="14" t="str">
        <f t="shared" si="82"/>
        <v/>
      </c>
      <c r="IH8" s="14" t="str">
        <f t="shared" si="83"/>
        <v/>
      </c>
      <c r="II8" s="14" t="str">
        <f t="shared" si="84"/>
        <v/>
      </c>
      <c r="IJ8" s="14" t="str">
        <f t="shared" si="85"/>
        <v/>
      </c>
      <c r="IK8" s="14" t="str">
        <f t="shared" si="86"/>
        <v/>
      </c>
      <c r="IL8" s="14" t="str">
        <f t="shared" si="87"/>
        <v/>
      </c>
      <c r="IM8" s="14" t="str">
        <f t="shared" si="88"/>
        <v/>
      </c>
      <c r="IN8" s="35"/>
      <c r="IO8" s="35"/>
      <c r="IP8" s="35"/>
      <c r="IQ8" s="35"/>
      <c r="IR8" s="35"/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11" t="str">
        <f t="shared" si="89"/>
        <v/>
      </c>
      <c r="JD8" s="11" t="str">
        <f t="shared" si="90"/>
        <v/>
      </c>
      <c r="JE8" s="11" t="str">
        <f t="shared" si="91"/>
        <v/>
      </c>
      <c r="JF8" s="11" t="str">
        <f t="shared" si="92"/>
        <v/>
      </c>
      <c r="JG8" s="11" t="str">
        <f t="shared" si="93"/>
        <v/>
      </c>
      <c r="JH8" s="11" t="str">
        <f t="shared" si="94"/>
        <v/>
      </c>
      <c r="JI8" s="11" t="str">
        <f t="shared" si="95"/>
        <v/>
      </c>
      <c r="JJ8" s="36"/>
      <c r="JK8" s="36"/>
      <c r="JL8" s="36"/>
      <c r="JM8" s="36"/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14" t="str">
        <f t="shared" si="96"/>
        <v/>
      </c>
      <c r="JZ8" s="14" t="str">
        <f t="shared" si="97"/>
        <v/>
      </c>
      <c r="KA8" s="14" t="str">
        <f t="shared" si="98"/>
        <v/>
      </c>
      <c r="KB8" s="14" t="str">
        <f t="shared" si="99"/>
        <v/>
      </c>
      <c r="KC8" s="14" t="str">
        <f t="shared" si="100"/>
        <v/>
      </c>
      <c r="KD8" s="14" t="str">
        <f t="shared" si="101"/>
        <v/>
      </c>
      <c r="KE8" s="14" t="str">
        <f t="shared" si="102"/>
        <v/>
      </c>
      <c r="KF8" s="35"/>
      <c r="KG8" s="35"/>
      <c r="KH8" s="35"/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11" t="str">
        <f t="shared" si="103"/>
        <v/>
      </c>
      <c r="KV8" s="11" t="str">
        <f t="shared" si="104"/>
        <v/>
      </c>
      <c r="KW8" s="11" t="str">
        <f t="shared" si="105"/>
        <v/>
      </c>
      <c r="KX8" s="11" t="str">
        <f t="shared" si="106"/>
        <v/>
      </c>
      <c r="KY8" s="11" t="str">
        <f t="shared" si="107"/>
        <v/>
      </c>
      <c r="KZ8" s="11" t="str">
        <f t="shared" si="108"/>
        <v/>
      </c>
      <c r="LA8" s="11" t="str">
        <f t="shared" si="109"/>
        <v/>
      </c>
      <c r="LB8" s="36"/>
      <c r="LC8" s="36"/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14" t="str">
        <f t="shared" si="110"/>
        <v/>
      </c>
      <c r="LR8" s="14" t="str">
        <f t="shared" si="111"/>
        <v/>
      </c>
      <c r="LS8" s="14" t="str">
        <f t="shared" si="112"/>
        <v/>
      </c>
      <c r="LT8" s="14" t="str">
        <f t="shared" si="113"/>
        <v/>
      </c>
      <c r="LU8" s="14" t="str">
        <f t="shared" si="114"/>
        <v/>
      </c>
      <c r="LV8" s="14" t="str">
        <f t="shared" si="115"/>
        <v/>
      </c>
      <c r="LW8" s="14" t="str">
        <f t="shared" si="116"/>
        <v/>
      </c>
      <c r="LX8" s="35"/>
      <c r="LY8" s="35"/>
      <c r="LZ8" s="35"/>
      <c r="MA8" s="35"/>
      <c r="MB8" s="35"/>
      <c r="MC8" s="35"/>
      <c r="MD8" s="35"/>
      <c r="ME8" s="35"/>
      <c r="MF8" s="35"/>
      <c r="MG8" s="35"/>
      <c r="MH8" s="35"/>
      <c r="MI8" s="35"/>
      <c r="MJ8" s="35"/>
      <c r="MK8" s="35"/>
      <c r="ML8" s="35"/>
      <c r="MM8" s="11" t="str">
        <f t="shared" si="117"/>
        <v/>
      </c>
      <c r="MN8" s="11" t="str">
        <f t="shared" si="118"/>
        <v/>
      </c>
      <c r="MO8" s="11" t="str">
        <f t="shared" si="119"/>
        <v/>
      </c>
      <c r="MP8" s="11" t="str">
        <f t="shared" si="120"/>
        <v/>
      </c>
      <c r="MQ8" s="11" t="str">
        <f t="shared" si="121"/>
        <v/>
      </c>
      <c r="MR8" s="11" t="str">
        <f t="shared" si="122"/>
        <v/>
      </c>
      <c r="MS8" s="11" t="str">
        <f t="shared" si="123"/>
        <v/>
      </c>
      <c r="MT8" s="36"/>
      <c r="MU8" s="36"/>
      <c r="MV8" s="36"/>
      <c r="MW8" s="36"/>
      <c r="MX8" s="36"/>
      <c r="MY8" s="36"/>
      <c r="MZ8" s="36"/>
      <c r="NA8" s="36"/>
      <c r="NB8" s="36"/>
      <c r="NC8" s="36"/>
      <c r="ND8" s="36"/>
      <c r="NE8" s="36"/>
      <c r="NF8" s="36"/>
      <c r="NG8" s="36"/>
      <c r="NH8" s="36"/>
      <c r="NI8" s="14" t="str">
        <f t="shared" si="124"/>
        <v/>
      </c>
      <c r="NJ8" s="14" t="str">
        <f t="shared" si="125"/>
        <v/>
      </c>
      <c r="NK8" s="14" t="str">
        <f t="shared" si="126"/>
        <v/>
      </c>
      <c r="NL8" s="14" t="str">
        <f t="shared" si="127"/>
        <v/>
      </c>
      <c r="NM8" s="14" t="str">
        <f t="shared" si="128"/>
        <v/>
      </c>
      <c r="NN8" s="14" t="str">
        <f t="shared" si="129"/>
        <v/>
      </c>
      <c r="NO8" s="14" t="str">
        <f t="shared" si="130"/>
        <v/>
      </c>
      <c r="NP8" s="61">
        <f t="shared" si="131"/>
        <v>0</v>
      </c>
      <c r="NQ8" s="61">
        <f t="shared" si="132"/>
        <v>0</v>
      </c>
      <c r="NR8" s="61">
        <f t="shared" si="133"/>
        <v>0</v>
      </c>
      <c r="NS8" s="61">
        <f t="shared" si="134"/>
        <v>0</v>
      </c>
      <c r="NT8" s="61">
        <f t="shared" si="135"/>
        <v>0</v>
      </c>
      <c r="NU8" s="61">
        <f t="shared" si="136"/>
        <v>0</v>
      </c>
      <c r="NV8" s="61">
        <f t="shared" si="137"/>
        <v>0</v>
      </c>
      <c r="NW8" s="61">
        <f t="shared" si="138"/>
        <v>0</v>
      </c>
      <c r="NX8" s="61">
        <f t="shared" si="139"/>
        <v>0</v>
      </c>
      <c r="NY8" s="61">
        <f t="shared" si="140"/>
        <v>0</v>
      </c>
      <c r="NZ8" s="61">
        <f t="shared" si="141"/>
        <v>0</v>
      </c>
      <c r="OA8" s="61">
        <f t="shared" si="142"/>
        <v>0</v>
      </c>
      <c r="OB8" s="61">
        <f t="shared" si="143"/>
        <v>0</v>
      </c>
      <c r="OC8" s="61">
        <f t="shared" si="144"/>
        <v>0</v>
      </c>
      <c r="OD8" s="61">
        <f t="shared" si="145"/>
        <v>0</v>
      </c>
      <c r="OE8" s="61">
        <f t="shared" si="146"/>
        <v>0</v>
      </c>
      <c r="OF8" s="61">
        <f t="shared" si="147"/>
        <v>0</v>
      </c>
      <c r="OG8" s="61">
        <f t="shared" si="148"/>
        <v>0</v>
      </c>
      <c r="OH8" s="61">
        <f t="shared" si="149"/>
        <v>0</v>
      </c>
      <c r="OI8" s="61">
        <f t="shared" si="150"/>
        <v>0</v>
      </c>
      <c r="OJ8" s="72" t="s">
        <v>52</v>
      </c>
      <c r="OK8" s="11" t="str">
        <f t="shared" si="151"/>
        <v/>
      </c>
      <c r="OL8" s="11" t="str">
        <f t="shared" si="152"/>
        <v/>
      </c>
      <c r="OM8" s="11" t="str">
        <f t="shared" si="153"/>
        <v/>
      </c>
      <c r="ON8" s="11" t="str">
        <f t="shared" si="154"/>
        <v/>
      </c>
      <c r="OO8" s="11" t="str">
        <f t="shared" si="155"/>
        <v/>
      </c>
      <c r="OP8" s="11" t="str">
        <f t="shared" si="156"/>
        <v/>
      </c>
      <c r="OQ8" s="11" t="str">
        <f t="shared" si="157"/>
        <v/>
      </c>
      <c r="OR8" s="11" t="str">
        <f t="shared" si="158"/>
        <v/>
      </c>
      <c r="OS8" s="11" t="str">
        <f t="shared" si="159"/>
        <v/>
      </c>
    </row>
    <row r="9" spans="1:409" x14ac:dyDescent="0.2">
      <c r="A9" s="5" cm="1">
        <f t="array" ref="A9">IF(AND(G9&lt;&gt;"",H9&lt;&gt;""),SUMPRODUCT((G$4:G$24&lt;&gt;"")*(H$4:H$24&lt;&gt;"")*(E$4:E$24&gt;E9))+1,IF(H9&lt;&gt;"",SUMPRODUCT((I$4:I$24="No DD")*(E$4:E$24&gt;E9))+1+SUMPRODUCT((G$4:G$24&lt;&gt;"")*(H$4:H$24&lt;&gt;"")),""))</f>
        <v>6</v>
      </c>
      <c r="B9" s="6" t="s">
        <v>78</v>
      </c>
      <c r="C9" s="7" t="s">
        <v>3</v>
      </c>
      <c r="D9" s="7">
        <v>2003</v>
      </c>
      <c r="E9" s="15">
        <f t="shared" si="0"/>
        <v>106.22</v>
      </c>
      <c r="F9" s="3" t="str">
        <f t="shared" si="1"/>
        <v>P</v>
      </c>
      <c r="G9" s="115" t="str">
        <f t="shared" si="2"/>
        <v>National Team</v>
      </c>
      <c r="H9" s="115" t="str">
        <f t="shared" si="3"/>
        <v>National Team</v>
      </c>
      <c r="I9" s="116" t="str">
        <f t="shared" si="4"/>
        <v>National Team</v>
      </c>
      <c r="J9" s="3" t="str">
        <f t="shared" si="5"/>
        <v/>
      </c>
      <c r="K9" s="14">
        <f t="shared" si="6"/>
        <v>100.485</v>
      </c>
      <c r="L9" s="14" t="str">
        <f t="shared" si="7"/>
        <v>2021 2nd Virtual Technical Trial</v>
      </c>
      <c r="M9" s="14">
        <f t="shared" si="8"/>
        <v>47.539999999999992</v>
      </c>
      <c r="N9" s="14" t="str">
        <f t="shared" si="9"/>
        <v>2021 1st Virtual Technical Trial</v>
      </c>
      <c r="O9" s="14">
        <f t="shared" si="10"/>
        <v>53.145000000000003</v>
      </c>
      <c r="P9" s="14" t="str">
        <f t="shared" si="11"/>
        <v>2021 Elite Canada</v>
      </c>
      <c r="Q9" s="14">
        <f>IF(COUNT(AS9,AU9,AX9,BW9,BY9,CB9,DA9,DC9,DF9)&gt;1,LARGE((AS9,AU9,AX9,BW9,BY9,CB9,DA9,DC9,DF9),2),0)</f>
        <v>53.075000000000003</v>
      </c>
      <c r="R9" s="14" t="str">
        <f t="shared" si="12"/>
        <v>2021 2nd Virtual Technical Trial</v>
      </c>
      <c r="S9" s="14" t="str">
        <f t="shared" si="13"/>
        <v/>
      </c>
      <c r="T9" s="24" t="str">
        <f t="shared" si="14"/>
        <v/>
      </c>
      <c r="U9" s="14" t="str">
        <f t="shared" si="15"/>
        <v/>
      </c>
      <c r="V9" s="61">
        <v>17.7</v>
      </c>
      <c r="W9" s="61">
        <v>9.6</v>
      </c>
      <c r="X9" s="61">
        <v>3.9</v>
      </c>
      <c r="Y9" s="61">
        <v>16.34</v>
      </c>
      <c r="Z9" s="61">
        <v>0</v>
      </c>
      <c r="AA9" s="61">
        <v>14.3</v>
      </c>
      <c r="AB9" s="61">
        <v>8.9</v>
      </c>
      <c r="AC9" s="61">
        <v>13.6</v>
      </c>
      <c r="AD9" s="61">
        <v>14.59</v>
      </c>
      <c r="AE9" s="61">
        <v>0</v>
      </c>
      <c r="AF9" s="61">
        <v>14.6</v>
      </c>
      <c r="AG9" s="61">
        <v>9.1</v>
      </c>
      <c r="AH9" s="61">
        <v>13.8</v>
      </c>
      <c r="AI9" s="61">
        <v>15.14</v>
      </c>
      <c r="AJ9" s="61">
        <v>0</v>
      </c>
      <c r="AK9" s="61">
        <v>13</v>
      </c>
      <c r="AL9" s="61">
        <v>8.9</v>
      </c>
      <c r="AM9" s="61">
        <v>13.8</v>
      </c>
      <c r="AN9" s="61">
        <v>14.96</v>
      </c>
      <c r="AO9" s="61">
        <v>0</v>
      </c>
      <c r="AP9" s="72"/>
      <c r="AQ9" s="11">
        <f t="shared" si="16"/>
        <v>47.539999999999992</v>
      </c>
      <c r="AR9" s="11">
        <f t="shared" si="17"/>
        <v>13.6</v>
      </c>
      <c r="AS9" s="11">
        <f t="shared" si="18"/>
        <v>51.39</v>
      </c>
      <c r="AT9" s="11">
        <f t="shared" si="19"/>
        <v>13.8</v>
      </c>
      <c r="AU9" s="11">
        <f t="shared" si="20"/>
        <v>52.64</v>
      </c>
      <c r="AV9" s="11">
        <f t="shared" si="21"/>
        <v>100.17999999999999</v>
      </c>
      <c r="AW9" s="11">
        <f t="shared" si="22"/>
        <v>13.8</v>
      </c>
      <c r="AX9" s="11">
        <f t="shared" si="23"/>
        <v>50.660000000000004</v>
      </c>
      <c r="AY9" s="11">
        <f t="shared" si="24"/>
        <v>150.84</v>
      </c>
      <c r="AZ9" s="67">
        <v>16.899999999999999</v>
      </c>
      <c r="BA9" s="67">
        <v>9.1999999999999993</v>
      </c>
      <c r="BB9" s="67">
        <v>5.2</v>
      </c>
      <c r="BC9" s="67">
        <v>16.11</v>
      </c>
      <c r="BD9" s="67">
        <v>0</v>
      </c>
      <c r="BE9" s="67">
        <v>13.8</v>
      </c>
      <c r="BF9" s="67">
        <v>9.1999999999999993</v>
      </c>
      <c r="BG9" s="67">
        <v>14.4</v>
      </c>
      <c r="BH9" s="67">
        <v>15.675000000000001</v>
      </c>
      <c r="BI9" s="67">
        <v>0</v>
      </c>
      <c r="BJ9" s="67">
        <v>4</v>
      </c>
      <c r="BK9" s="67">
        <v>2.4</v>
      </c>
      <c r="BL9" s="67">
        <v>5.0999999999999996</v>
      </c>
      <c r="BM9" s="67">
        <v>5</v>
      </c>
      <c r="BN9" s="67">
        <v>0</v>
      </c>
      <c r="BO9" s="67">
        <v>4</v>
      </c>
      <c r="BP9" s="67">
        <v>2.5</v>
      </c>
      <c r="BQ9" s="67">
        <v>5.0999999999999996</v>
      </c>
      <c r="BR9" s="67">
        <v>4.8849999999999998</v>
      </c>
      <c r="BS9" s="67">
        <v>0</v>
      </c>
      <c r="BT9" s="73"/>
      <c r="BU9" s="14">
        <f t="shared" si="25"/>
        <v>47.41</v>
      </c>
      <c r="BV9" s="14">
        <f t="shared" si="26"/>
        <v>14.4</v>
      </c>
      <c r="BW9" s="14">
        <f t="shared" si="27"/>
        <v>53.075000000000003</v>
      </c>
      <c r="BX9" s="14">
        <f t="shared" si="28"/>
        <v>5.0999999999999996</v>
      </c>
      <c r="BY9" s="14">
        <f t="shared" si="29"/>
        <v>16.5</v>
      </c>
      <c r="BZ9" s="14">
        <f t="shared" si="30"/>
        <v>100.485</v>
      </c>
      <c r="CA9" s="14">
        <f t="shared" si="31"/>
        <v>5.0999999999999996</v>
      </c>
      <c r="CB9" s="14">
        <f t="shared" si="32"/>
        <v>16.484999999999999</v>
      </c>
      <c r="CC9" s="14">
        <f t="shared" si="33"/>
        <v>116.97</v>
      </c>
      <c r="CD9" s="61">
        <v>15.4</v>
      </c>
      <c r="CE9" s="61">
        <v>8.9</v>
      </c>
      <c r="CF9" s="61">
        <v>5.2</v>
      </c>
      <c r="CG9" s="61">
        <v>16.46</v>
      </c>
      <c r="CH9" s="61">
        <v>0</v>
      </c>
      <c r="CI9" s="61">
        <v>14</v>
      </c>
      <c r="CJ9" s="61">
        <v>8.8000000000000007</v>
      </c>
      <c r="CK9" s="61">
        <v>14.4</v>
      </c>
      <c r="CL9" s="61">
        <v>15.945</v>
      </c>
      <c r="CM9" s="61">
        <v>0</v>
      </c>
      <c r="CN9" s="61">
        <v>13.2</v>
      </c>
      <c r="CO9" s="61">
        <v>8.6999999999999993</v>
      </c>
      <c r="CP9" s="61">
        <v>14.4</v>
      </c>
      <c r="CQ9" s="61">
        <v>15.88</v>
      </c>
      <c r="CR9" s="61">
        <v>0</v>
      </c>
      <c r="CS9" s="61">
        <v>10.8</v>
      </c>
      <c r="CT9" s="61">
        <v>8.3000000000000007</v>
      </c>
      <c r="CU9" s="61">
        <v>14.4</v>
      </c>
      <c r="CV9" s="61">
        <v>16.024999999999999</v>
      </c>
      <c r="CW9" s="61">
        <v>0</v>
      </c>
      <c r="CX9" s="72"/>
      <c r="CY9" s="11">
        <f t="shared" si="34"/>
        <v>45.96</v>
      </c>
      <c r="CZ9" s="11">
        <f t="shared" si="35"/>
        <v>14.4</v>
      </c>
      <c r="DA9" s="11">
        <f t="shared" si="36"/>
        <v>53.145000000000003</v>
      </c>
      <c r="DB9" s="11">
        <f t="shared" si="37"/>
        <v>14.4</v>
      </c>
      <c r="DC9" s="11">
        <f t="shared" si="38"/>
        <v>52.18</v>
      </c>
      <c r="DD9" s="11">
        <f t="shared" si="39"/>
        <v>99.105000000000004</v>
      </c>
      <c r="DE9" s="11">
        <f t="shared" si="40"/>
        <v>14.4</v>
      </c>
      <c r="DF9" s="11">
        <f t="shared" si="41"/>
        <v>49.524999999999999</v>
      </c>
      <c r="DG9" s="11">
        <f t="shared" si="42"/>
        <v>148.63</v>
      </c>
      <c r="DH9" s="23" t="str">
        <f t="shared" si="43"/>
        <v/>
      </c>
      <c r="DI9" s="23" t="str">
        <f t="shared" si="44"/>
        <v/>
      </c>
      <c r="DJ9" s="23" t="str">
        <f t="shared" si="45"/>
        <v/>
      </c>
      <c r="DK9" s="23" t="str">
        <f t="shared" si="46"/>
        <v/>
      </c>
      <c r="DL9" s="35"/>
      <c r="DM9" s="35"/>
      <c r="DN9" s="35"/>
      <c r="DO9" s="35"/>
      <c r="DP9" s="35"/>
      <c r="DQ9" s="35"/>
      <c r="DR9" s="35"/>
      <c r="DS9" s="35"/>
      <c r="DT9" s="35"/>
      <c r="DU9" s="35"/>
      <c r="DV9" s="35"/>
      <c r="DW9" s="35"/>
      <c r="DX9" s="35"/>
      <c r="DY9" s="35"/>
      <c r="DZ9" s="35"/>
      <c r="EA9" s="11" t="str">
        <f t="shared" si="47"/>
        <v/>
      </c>
      <c r="EB9" s="11" t="str">
        <f t="shared" si="48"/>
        <v/>
      </c>
      <c r="EC9" s="11" t="str">
        <f t="shared" si="49"/>
        <v/>
      </c>
      <c r="ED9" s="11" t="str">
        <f t="shared" si="50"/>
        <v/>
      </c>
      <c r="EE9" s="11" t="str">
        <f t="shared" si="51"/>
        <v/>
      </c>
      <c r="EF9" s="11" t="str">
        <f t="shared" si="52"/>
        <v/>
      </c>
      <c r="EG9" s="11" t="str">
        <f t="shared" si="53"/>
        <v/>
      </c>
      <c r="EH9" s="36"/>
      <c r="EI9" s="36"/>
      <c r="EJ9" s="36"/>
      <c r="EK9" s="36"/>
      <c r="EL9" s="36"/>
      <c r="EM9" s="36"/>
      <c r="EN9" s="36"/>
      <c r="EO9" s="36"/>
      <c r="EP9" s="36"/>
      <c r="EQ9" s="36"/>
      <c r="ER9" s="36"/>
      <c r="ES9" s="36"/>
      <c r="ET9" s="36"/>
      <c r="EU9" s="36"/>
      <c r="EV9" s="36"/>
      <c r="EW9" s="14" t="str">
        <f t="shared" si="54"/>
        <v/>
      </c>
      <c r="EX9" s="14" t="str">
        <f t="shared" si="55"/>
        <v/>
      </c>
      <c r="EY9" s="14" t="str">
        <f t="shared" si="56"/>
        <v/>
      </c>
      <c r="EZ9" s="14" t="str">
        <f t="shared" si="57"/>
        <v/>
      </c>
      <c r="FA9" s="14" t="str">
        <f t="shared" si="58"/>
        <v/>
      </c>
      <c r="FB9" s="14" t="str">
        <f t="shared" si="59"/>
        <v/>
      </c>
      <c r="FC9" s="14" t="str">
        <f t="shared" si="60"/>
        <v/>
      </c>
      <c r="FD9" s="35"/>
      <c r="FE9" s="35"/>
      <c r="FF9" s="35"/>
      <c r="FG9" s="35"/>
      <c r="FH9" s="35"/>
      <c r="FI9" s="35"/>
      <c r="FJ9" s="35"/>
      <c r="FK9" s="35"/>
      <c r="FL9" s="35"/>
      <c r="FM9" s="35"/>
      <c r="FN9" s="35"/>
      <c r="FO9" s="35"/>
      <c r="FP9" s="35"/>
      <c r="FQ9" s="35"/>
      <c r="FR9" s="35"/>
      <c r="FS9" s="11" t="str">
        <f t="shared" si="61"/>
        <v/>
      </c>
      <c r="FT9" s="11" t="str">
        <f t="shared" si="62"/>
        <v/>
      </c>
      <c r="FU9" s="11" t="str">
        <f t="shared" si="63"/>
        <v/>
      </c>
      <c r="FV9" s="11" t="str">
        <f t="shared" si="64"/>
        <v/>
      </c>
      <c r="FW9" s="11" t="str">
        <f t="shared" si="65"/>
        <v/>
      </c>
      <c r="FX9" s="11" t="str">
        <f t="shared" si="66"/>
        <v/>
      </c>
      <c r="FY9" s="11" t="str">
        <f t="shared" si="67"/>
        <v/>
      </c>
      <c r="FZ9" s="36"/>
      <c r="GA9" s="36"/>
      <c r="GB9" s="36"/>
      <c r="GC9" s="36"/>
      <c r="GD9" s="36"/>
      <c r="GE9" s="36"/>
      <c r="GF9" s="36"/>
      <c r="GG9" s="36"/>
      <c r="GH9" s="36"/>
      <c r="GI9" s="36"/>
      <c r="GJ9" s="36"/>
      <c r="GK9" s="36"/>
      <c r="GL9" s="36"/>
      <c r="GM9" s="36"/>
      <c r="GN9" s="36"/>
      <c r="GO9" s="14" t="str">
        <f t="shared" si="68"/>
        <v/>
      </c>
      <c r="GP9" s="14" t="str">
        <f t="shared" si="69"/>
        <v/>
      </c>
      <c r="GQ9" s="14" t="str">
        <f t="shared" si="70"/>
        <v/>
      </c>
      <c r="GR9" s="14" t="str">
        <f t="shared" si="71"/>
        <v/>
      </c>
      <c r="GS9" s="14" t="str">
        <f t="shared" si="72"/>
        <v/>
      </c>
      <c r="GT9" s="14" t="str">
        <f t="shared" si="73"/>
        <v/>
      </c>
      <c r="GU9" s="14" t="str">
        <f t="shared" si="74"/>
        <v/>
      </c>
      <c r="GV9" s="35"/>
      <c r="GW9" s="35"/>
      <c r="GX9" s="35"/>
      <c r="GY9" s="35"/>
      <c r="GZ9" s="35"/>
      <c r="HA9" s="35"/>
      <c r="HB9" s="35"/>
      <c r="HC9" s="35"/>
      <c r="HD9" s="35"/>
      <c r="HE9" s="35"/>
      <c r="HF9" s="35"/>
      <c r="HG9" s="35"/>
      <c r="HH9" s="35"/>
      <c r="HI9" s="35"/>
      <c r="HJ9" s="35"/>
      <c r="HK9" s="11" t="str">
        <f t="shared" si="75"/>
        <v/>
      </c>
      <c r="HL9" s="11" t="str">
        <f t="shared" si="76"/>
        <v/>
      </c>
      <c r="HM9" s="11" t="str">
        <f t="shared" si="77"/>
        <v/>
      </c>
      <c r="HN9" s="11" t="str">
        <f t="shared" si="78"/>
        <v/>
      </c>
      <c r="HO9" s="11" t="str">
        <f t="shared" si="79"/>
        <v/>
      </c>
      <c r="HP9" s="11" t="str">
        <f t="shared" si="80"/>
        <v/>
      </c>
      <c r="HQ9" s="11" t="str">
        <f t="shared" si="81"/>
        <v/>
      </c>
      <c r="HR9" s="36"/>
      <c r="HS9" s="36"/>
      <c r="HT9" s="36"/>
      <c r="HU9" s="36"/>
      <c r="HV9" s="36"/>
      <c r="HW9" s="36"/>
      <c r="HX9" s="36"/>
      <c r="HY9" s="36"/>
      <c r="HZ9" s="36"/>
      <c r="IA9" s="36"/>
      <c r="IB9" s="36"/>
      <c r="IC9" s="36"/>
      <c r="ID9" s="36"/>
      <c r="IE9" s="36"/>
      <c r="IF9" s="36"/>
      <c r="IG9" s="14" t="str">
        <f t="shared" si="82"/>
        <v/>
      </c>
      <c r="IH9" s="14" t="str">
        <f t="shared" si="83"/>
        <v/>
      </c>
      <c r="II9" s="14" t="str">
        <f t="shared" si="84"/>
        <v/>
      </c>
      <c r="IJ9" s="14" t="str">
        <f t="shared" si="85"/>
        <v/>
      </c>
      <c r="IK9" s="14" t="str">
        <f t="shared" si="86"/>
        <v/>
      </c>
      <c r="IL9" s="14" t="str">
        <f t="shared" si="87"/>
        <v/>
      </c>
      <c r="IM9" s="14" t="str">
        <f t="shared" si="88"/>
        <v/>
      </c>
      <c r="IN9" s="35"/>
      <c r="IO9" s="35"/>
      <c r="IP9" s="35"/>
      <c r="IQ9" s="35"/>
      <c r="IR9" s="35"/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11" t="str">
        <f t="shared" si="89"/>
        <v/>
      </c>
      <c r="JD9" s="11" t="str">
        <f t="shared" si="90"/>
        <v/>
      </c>
      <c r="JE9" s="11" t="str">
        <f t="shared" si="91"/>
        <v/>
      </c>
      <c r="JF9" s="11" t="str">
        <f t="shared" si="92"/>
        <v/>
      </c>
      <c r="JG9" s="11" t="str">
        <f t="shared" si="93"/>
        <v/>
      </c>
      <c r="JH9" s="11" t="str">
        <f t="shared" si="94"/>
        <v/>
      </c>
      <c r="JI9" s="11" t="str">
        <f t="shared" si="95"/>
        <v/>
      </c>
      <c r="JJ9" s="36"/>
      <c r="JK9" s="36"/>
      <c r="JL9" s="36"/>
      <c r="JM9" s="36"/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14" t="str">
        <f t="shared" si="96"/>
        <v/>
      </c>
      <c r="JZ9" s="14" t="str">
        <f t="shared" si="97"/>
        <v/>
      </c>
      <c r="KA9" s="14" t="str">
        <f t="shared" si="98"/>
        <v/>
      </c>
      <c r="KB9" s="14" t="str">
        <f t="shared" si="99"/>
        <v/>
      </c>
      <c r="KC9" s="14" t="str">
        <f t="shared" si="100"/>
        <v/>
      </c>
      <c r="KD9" s="14" t="str">
        <f t="shared" si="101"/>
        <v/>
      </c>
      <c r="KE9" s="14" t="str">
        <f t="shared" si="102"/>
        <v/>
      </c>
      <c r="KF9" s="35"/>
      <c r="KG9" s="35"/>
      <c r="KH9" s="35"/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11" t="str">
        <f t="shared" si="103"/>
        <v/>
      </c>
      <c r="KV9" s="11" t="str">
        <f t="shared" si="104"/>
        <v/>
      </c>
      <c r="KW9" s="11" t="str">
        <f t="shared" si="105"/>
        <v/>
      </c>
      <c r="KX9" s="11" t="str">
        <f t="shared" si="106"/>
        <v/>
      </c>
      <c r="KY9" s="11" t="str">
        <f t="shared" si="107"/>
        <v/>
      </c>
      <c r="KZ9" s="11" t="str">
        <f t="shared" si="108"/>
        <v/>
      </c>
      <c r="LA9" s="11" t="str">
        <f t="shared" si="109"/>
        <v/>
      </c>
      <c r="LB9" s="36"/>
      <c r="LC9" s="36"/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14" t="str">
        <f t="shared" si="110"/>
        <v/>
      </c>
      <c r="LR9" s="14" t="str">
        <f t="shared" si="111"/>
        <v/>
      </c>
      <c r="LS9" s="14" t="str">
        <f t="shared" si="112"/>
        <v/>
      </c>
      <c r="LT9" s="14" t="str">
        <f t="shared" si="113"/>
        <v/>
      </c>
      <c r="LU9" s="14" t="str">
        <f t="shared" si="114"/>
        <v/>
      </c>
      <c r="LV9" s="14" t="str">
        <f t="shared" si="115"/>
        <v/>
      </c>
      <c r="LW9" s="14" t="str">
        <f t="shared" si="116"/>
        <v/>
      </c>
      <c r="LX9" s="35"/>
      <c r="LY9" s="35"/>
      <c r="LZ9" s="35"/>
      <c r="MA9" s="35"/>
      <c r="MB9" s="35"/>
      <c r="MC9" s="35"/>
      <c r="MD9" s="35"/>
      <c r="ME9" s="35"/>
      <c r="MF9" s="35"/>
      <c r="MG9" s="35"/>
      <c r="MH9" s="35"/>
      <c r="MI9" s="35"/>
      <c r="MJ9" s="35"/>
      <c r="MK9" s="35"/>
      <c r="ML9" s="35"/>
      <c r="MM9" s="11" t="str">
        <f t="shared" si="117"/>
        <v/>
      </c>
      <c r="MN9" s="11" t="str">
        <f t="shared" si="118"/>
        <v/>
      </c>
      <c r="MO9" s="11" t="str">
        <f t="shared" si="119"/>
        <v/>
      </c>
      <c r="MP9" s="11" t="str">
        <f t="shared" si="120"/>
        <v/>
      </c>
      <c r="MQ9" s="11" t="str">
        <f t="shared" si="121"/>
        <v/>
      </c>
      <c r="MR9" s="11" t="str">
        <f t="shared" si="122"/>
        <v/>
      </c>
      <c r="MS9" s="11" t="str">
        <f t="shared" si="123"/>
        <v/>
      </c>
      <c r="MT9" s="36"/>
      <c r="MU9" s="36"/>
      <c r="MV9" s="36"/>
      <c r="MW9" s="36"/>
      <c r="MX9" s="36"/>
      <c r="MY9" s="36"/>
      <c r="MZ9" s="36"/>
      <c r="NA9" s="36"/>
      <c r="NB9" s="36"/>
      <c r="NC9" s="36"/>
      <c r="ND9" s="36"/>
      <c r="NE9" s="36"/>
      <c r="NF9" s="36"/>
      <c r="NG9" s="36"/>
      <c r="NH9" s="36"/>
      <c r="NI9" s="14" t="str">
        <f t="shared" si="124"/>
        <v/>
      </c>
      <c r="NJ9" s="14" t="str">
        <f t="shared" si="125"/>
        <v/>
      </c>
      <c r="NK9" s="14" t="str">
        <f t="shared" si="126"/>
        <v/>
      </c>
      <c r="NL9" s="14" t="str">
        <f t="shared" si="127"/>
        <v/>
      </c>
      <c r="NM9" s="14" t="str">
        <f t="shared" si="128"/>
        <v/>
      </c>
      <c r="NN9" s="14" t="str">
        <f t="shared" si="129"/>
        <v/>
      </c>
      <c r="NO9" s="14" t="str">
        <f t="shared" si="130"/>
        <v/>
      </c>
      <c r="NP9" s="61">
        <f t="shared" si="131"/>
        <v>16.149999999999999</v>
      </c>
      <c r="NQ9" s="61">
        <f t="shared" si="132"/>
        <v>9.0500000000000007</v>
      </c>
      <c r="NR9" s="61">
        <f t="shared" si="133"/>
        <v>5.2</v>
      </c>
      <c r="NS9" s="61">
        <f t="shared" si="134"/>
        <v>16.285</v>
      </c>
      <c r="NT9" s="61">
        <f t="shared" si="135"/>
        <v>0</v>
      </c>
      <c r="NU9" s="61">
        <f t="shared" si="136"/>
        <v>13.9</v>
      </c>
      <c r="NV9" s="61">
        <f t="shared" si="137"/>
        <v>9</v>
      </c>
      <c r="NW9" s="61">
        <f t="shared" si="138"/>
        <v>14.4</v>
      </c>
      <c r="NX9" s="61">
        <f t="shared" si="139"/>
        <v>15.81</v>
      </c>
      <c r="NY9" s="61">
        <f t="shared" si="140"/>
        <v>0</v>
      </c>
      <c r="NZ9" s="61">
        <f t="shared" si="141"/>
        <v>8.6</v>
      </c>
      <c r="OA9" s="61">
        <f t="shared" si="142"/>
        <v>5.55</v>
      </c>
      <c r="OB9" s="61">
        <f t="shared" si="143"/>
        <v>9.75</v>
      </c>
      <c r="OC9" s="61">
        <f t="shared" si="144"/>
        <v>10.440000000000001</v>
      </c>
      <c r="OD9" s="61">
        <f t="shared" si="145"/>
        <v>0</v>
      </c>
      <c r="OE9" s="61">
        <f t="shared" si="146"/>
        <v>7.4</v>
      </c>
      <c r="OF9" s="61">
        <f t="shared" si="147"/>
        <v>5.4</v>
      </c>
      <c r="OG9" s="61">
        <f t="shared" si="148"/>
        <v>9.75</v>
      </c>
      <c r="OH9" s="61">
        <f t="shared" si="149"/>
        <v>10.454999999999998</v>
      </c>
      <c r="OI9" s="61">
        <f t="shared" si="150"/>
        <v>0</v>
      </c>
      <c r="OJ9" s="72" t="s">
        <v>52</v>
      </c>
      <c r="OK9" s="11">
        <f t="shared" si="151"/>
        <v>46.685000000000002</v>
      </c>
      <c r="OL9" s="11">
        <f t="shared" si="152"/>
        <v>14.4</v>
      </c>
      <c r="OM9" s="11">
        <f t="shared" si="153"/>
        <v>53.11</v>
      </c>
      <c r="ON9" s="11">
        <f t="shared" si="154"/>
        <v>9.75</v>
      </c>
      <c r="OO9" s="11">
        <f t="shared" si="155"/>
        <v>34.340000000000003</v>
      </c>
      <c r="OP9" s="11">
        <f t="shared" si="156"/>
        <v>99.795000000000002</v>
      </c>
      <c r="OQ9" s="11">
        <f t="shared" si="157"/>
        <v>9.75</v>
      </c>
      <c r="OR9" s="11">
        <f t="shared" si="158"/>
        <v>33.004999999999995</v>
      </c>
      <c r="OS9" s="11">
        <f t="shared" si="159"/>
        <v>132.80000000000001</v>
      </c>
    </row>
    <row r="10" spans="1:409" x14ac:dyDescent="0.2">
      <c r="A10" s="5" cm="1">
        <f t="array" ref="A10">IF(AND(G10&lt;&gt;"",H10&lt;&gt;""),SUMPRODUCT((G$4:G$24&lt;&gt;"")*(H$4:H$24&lt;&gt;"")*(E$4:E$24&gt;E10))+1,IF(H10&lt;&gt;"",SUMPRODUCT((I$4:I$24="No DD")*(E$4:E$24&gt;E10))+1+SUMPRODUCT((G$4:G$24&lt;&gt;"")*(H$4:H$24&lt;&gt;"")),""))</f>
        <v>7</v>
      </c>
      <c r="B10" s="6" t="s">
        <v>124</v>
      </c>
      <c r="C10" s="7" t="s">
        <v>5</v>
      </c>
      <c r="D10" s="26">
        <v>2001</v>
      </c>
      <c r="E10" s="15">
        <f t="shared" si="0"/>
        <v>106.185</v>
      </c>
      <c r="F10" s="3" t="str">
        <f t="shared" si="1"/>
        <v>P</v>
      </c>
      <c r="G10" s="115" t="str">
        <f t="shared" si="2"/>
        <v>National Team</v>
      </c>
      <c r="H10" s="115" t="str">
        <f t="shared" si="3"/>
        <v>National Team</v>
      </c>
      <c r="I10" s="116" t="str">
        <f t="shared" si="4"/>
        <v>National Team</v>
      </c>
      <c r="J10" s="3" t="str">
        <f t="shared" si="5"/>
        <v/>
      </c>
      <c r="K10" s="14">
        <f t="shared" si="6"/>
        <v>98.89</v>
      </c>
      <c r="L10" s="14" t="str">
        <f t="shared" si="7"/>
        <v>2021 Elite Canada</v>
      </c>
      <c r="M10" s="14">
        <f t="shared" si="8"/>
        <v>37.769999999999996</v>
      </c>
      <c r="N10" s="14" t="str">
        <f t="shared" si="9"/>
        <v>2021 2nd Virtual Technical Trial</v>
      </c>
      <c r="O10" s="14">
        <f t="shared" si="10"/>
        <v>53.894999999999996</v>
      </c>
      <c r="P10" s="14" t="str">
        <f t="shared" si="11"/>
        <v>2021 Elite Canada</v>
      </c>
      <c r="Q10" s="14">
        <f>IF(COUNT(AS10,AU10,AX10,BW10,BY10,CB10,DA10,DC10,DF10)&gt;1,LARGE((AS10,AU10,AX10,BW10,BY10,CB10,DA10,DC10,DF10),2),0)</f>
        <v>52.29</v>
      </c>
      <c r="R10" s="14" t="str">
        <f t="shared" si="12"/>
        <v>2021 2nd Virtual Technical Trial</v>
      </c>
      <c r="S10" s="14" t="str">
        <f t="shared" si="13"/>
        <v/>
      </c>
      <c r="T10" s="24" t="str">
        <f t="shared" si="14"/>
        <v/>
      </c>
      <c r="U10" s="14" t="str">
        <f t="shared" si="15"/>
        <v/>
      </c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61"/>
      <c r="AM10" s="61"/>
      <c r="AN10" s="61"/>
      <c r="AO10" s="61"/>
      <c r="AP10" s="72"/>
      <c r="AQ10" s="11" t="str">
        <f t="shared" si="16"/>
        <v/>
      </c>
      <c r="AR10" s="11" t="str">
        <f t="shared" si="17"/>
        <v/>
      </c>
      <c r="AS10" s="11" t="str">
        <f t="shared" si="18"/>
        <v/>
      </c>
      <c r="AT10" s="11" t="str">
        <f t="shared" si="19"/>
        <v/>
      </c>
      <c r="AU10" s="11" t="str">
        <f t="shared" si="20"/>
        <v/>
      </c>
      <c r="AV10" s="11" t="str">
        <f t="shared" si="21"/>
        <v/>
      </c>
      <c r="AW10" s="11" t="str">
        <f t="shared" si="22"/>
        <v/>
      </c>
      <c r="AX10" s="11" t="str">
        <f t="shared" si="23"/>
        <v/>
      </c>
      <c r="AY10" s="11" t="str">
        <f t="shared" si="24"/>
        <v/>
      </c>
      <c r="AZ10" s="67">
        <v>14.6</v>
      </c>
      <c r="BA10" s="67">
        <v>8.3000000000000007</v>
      </c>
      <c r="BB10" s="67">
        <v>1.7</v>
      </c>
      <c r="BC10" s="67">
        <v>15.17</v>
      </c>
      <c r="BD10" s="67">
        <v>2</v>
      </c>
      <c r="BE10" s="67">
        <v>12.9</v>
      </c>
      <c r="BF10" s="67">
        <v>9.4</v>
      </c>
      <c r="BG10" s="67">
        <v>13.8</v>
      </c>
      <c r="BH10" s="67">
        <v>16.07</v>
      </c>
      <c r="BI10" s="67">
        <v>0</v>
      </c>
      <c r="BJ10" s="67">
        <v>2.2999999999999998</v>
      </c>
      <c r="BK10" s="67">
        <v>1.6</v>
      </c>
      <c r="BL10" s="67">
        <v>3.2</v>
      </c>
      <c r="BM10" s="67">
        <v>3.5649999999999999</v>
      </c>
      <c r="BN10" s="67">
        <v>0</v>
      </c>
      <c r="BO10" s="67">
        <v>13.5</v>
      </c>
      <c r="BP10" s="67">
        <v>9.1999999999999993</v>
      </c>
      <c r="BQ10" s="67">
        <v>13.8</v>
      </c>
      <c r="BR10" s="67">
        <v>15.79</v>
      </c>
      <c r="BS10" s="67">
        <v>0</v>
      </c>
      <c r="BT10" s="73"/>
      <c r="BU10" s="14">
        <f t="shared" si="25"/>
        <v>37.769999999999996</v>
      </c>
      <c r="BV10" s="14">
        <f t="shared" si="26"/>
        <v>13.8</v>
      </c>
      <c r="BW10" s="14">
        <f t="shared" si="27"/>
        <v>52.17</v>
      </c>
      <c r="BX10" s="14">
        <f t="shared" si="28"/>
        <v>3.2</v>
      </c>
      <c r="BY10" s="14">
        <f t="shared" si="29"/>
        <v>10.664999999999999</v>
      </c>
      <c r="BZ10" s="14">
        <f t="shared" si="30"/>
        <v>89.94</v>
      </c>
      <c r="CA10" s="14">
        <f t="shared" si="31"/>
        <v>13.8</v>
      </c>
      <c r="CB10" s="14">
        <f t="shared" si="32"/>
        <v>52.29</v>
      </c>
      <c r="CC10" s="14">
        <f t="shared" si="33"/>
        <v>142.22999999999999</v>
      </c>
      <c r="CD10" s="61">
        <v>14.8</v>
      </c>
      <c r="CE10" s="61">
        <v>9</v>
      </c>
      <c r="CF10" s="61">
        <v>4.5</v>
      </c>
      <c r="CG10" s="61">
        <v>16.695</v>
      </c>
      <c r="CH10" s="61">
        <v>0</v>
      </c>
      <c r="CI10" s="61">
        <v>14</v>
      </c>
      <c r="CJ10" s="61">
        <v>9.1</v>
      </c>
      <c r="CK10" s="61">
        <v>14.4</v>
      </c>
      <c r="CL10" s="61">
        <v>16.395</v>
      </c>
      <c r="CM10" s="61">
        <v>0</v>
      </c>
      <c r="CN10" s="61">
        <v>2.8</v>
      </c>
      <c r="CO10" s="61">
        <v>1.7</v>
      </c>
      <c r="CP10" s="61">
        <v>3.2</v>
      </c>
      <c r="CQ10" s="61">
        <v>3.4550000000000001</v>
      </c>
      <c r="CR10" s="61">
        <v>0</v>
      </c>
      <c r="CS10" s="61">
        <v>4.3</v>
      </c>
      <c r="CT10" s="61">
        <v>3</v>
      </c>
      <c r="CU10" s="61">
        <v>3.8</v>
      </c>
      <c r="CV10" s="61">
        <v>4.95</v>
      </c>
      <c r="CW10" s="61">
        <v>0</v>
      </c>
      <c r="CX10" s="72"/>
      <c r="CY10" s="11">
        <f t="shared" si="34"/>
        <v>44.995000000000005</v>
      </c>
      <c r="CZ10" s="11">
        <f t="shared" si="35"/>
        <v>14.4</v>
      </c>
      <c r="DA10" s="11">
        <f t="shared" si="36"/>
        <v>53.894999999999996</v>
      </c>
      <c r="DB10" s="11">
        <f t="shared" si="37"/>
        <v>3.2</v>
      </c>
      <c r="DC10" s="11">
        <f t="shared" si="38"/>
        <v>11.155000000000001</v>
      </c>
      <c r="DD10" s="11">
        <f t="shared" si="39"/>
        <v>98.89</v>
      </c>
      <c r="DE10" s="11">
        <f t="shared" si="40"/>
        <v>3.8</v>
      </c>
      <c r="DF10" s="11">
        <f t="shared" si="41"/>
        <v>16.05</v>
      </c>
      <c r="DG10" s="11">
        <f t="shared" si="42"/>
        <v>114.94</v>
      </c>
      <c r="DH10" s="23" t="str">
        <f t="shared" si="43"/>
        <v/>
      </c>
      <c r="DI10" s="23" t="str">
        <f t="shared" si="44"/>
        <v/>
      </c>
      <c r="DJ10" s="23" t="str">
        <f t="shared" si="45"/>
        <v/>
      </c>
      <c r="DK10" s="23" t="str">
        <f t="shared" si="46"/>
        <v/>
      </c>
      <c r="DL10" s="35"/>
      <c r="DM10" s="35"/>
      <c r="DN10" s="35"/>
      <c r="DO10" s="35"/>
      <c r="DP10" s="35"/>
      <c r="DQ10" s="35"/>
      <c r="DR10" s="35"/>
      <c r="DS10" s="35"/>
      <c r="DT10" s="35"/>
      <c r="DU10" s="35"/>
      <c r="DV10" s="35"/>
      <c r="DW10" s="35"/>
      <c r="DX10" s="35"/>
      <c r="DY10" s="35"/>
      <c r="DZ10" s="35"/>
      <c r="EA10" s="11" t="str">
        <f t="shared" si="47"/>
        <v/>
      </c>
      <c r="EB10" s="11" t="str">
        <f t="shared" si="48"/>
        <v/>
      </c>
      <c r="EC10" s="11" t="str">
        <f t="shared" si="49"/>
        <v/>
      </c>
      <c r="ED10" s="11" t="str">
        <f t="shared" si="50"/>
        <v/>
      </c>
      <c r="EE10" s="11" t="str">
        <f t="shared" si="51"/>
        <v/>
      </c>
      <c r="EF10" s="11" t="str">
        <f t="shared" si="52"/>
        <v/>
      </c>
      <c r="EG10" s="11" t="str">
        <f t="shared" si="53"/>
        <v/>
      </c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14" t="str">
        <f t="shared" si="54"/>
        <v/>
      </c>
      <c r="EX10" s="14" t="str">
        <f t="shared" si="55"/>
        <v/>
      </c>
      <c r="EY10" s="14" t="str">
        <f t="shared" si="56"/>
        <v/>
      </c>
      <c r="EZ10" s="14" t="str">
        <f t="shared" si="57"/>
        <v/>
      </c>
      <c r="FA10" s="14" t="str">
        <f t="shared" si="58"/>
        <v/>
      </c>
      <c r="FB10" s="14" t="str">
        <f t="shared" si="59"/>
        <v/>
      </c>
      <c r="FC10" s="14" t="str">
        <f t="shared" si="60"/>
        <v/>
      </c>
      <c r="FD10" s="35"/>
      <c r="FE10" s="35"/>
      <c r="FF10" s="35"/>
      <c r="FG10" s="35"/>
      <c r="FH10" s="35"/>
      <c r="FI10" s="35"/>
      <c r="FJ10" s="35"/>
      <c r="FK10" s="35"/>
      <c r="FL10" s="35"/>
      <c r="FM10" s="35"/>
      <c r="FN10" s="35"/>
      <c r="FO10" s="35"/>
      <c r="FP10" s="35"/>
      <c r="FQ10" s="35"/>
      <c r="FR10" s="35"/>
      <c r="FS10" s="11" t="str">
        <f t="shared" si="61"/>
        <v/>
      </c>
      <c r="FT10" s="11" t="str">
        <f t="shared" si="62"/>
        <v/>
      </c>
      <c r="FU10" s="11" t="str">
        <f t="shared" si="63"/>
        <v/>
      </c>
      <c r="FV10" s="11" t="str">
        <f t="shared" si="64"/>
        <v/>
      </c>
      <c r="FW10" s="11" t="str">
        <f t="shared" si="65"/>
        <v/>
      </c>
      <c r="FX10" s="11" t="str">
        <f t="shared" si="66"/>
        <v/>
      </c>
      <c r="FY10" s="11" t="str">
        <f t="shared" si="67"/>
        <v/>
      </c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14" t="str">
        <f t="shared" si="68"/>
        <v/>
      </c>
      <c r="GP10" s="14" t="str">
        <f t="shared" si="69"/>
        <v/>
      </c>
      <c r="GQ10" s="14" t="str">
        <f t="shared" si="70"/>
        <v/>
      </c>
      <c r="GR10" s="14" t="str">
        <f t="shared" si="71"/>
        <v/>
      </c>
      <c r="GS10" s="14" t="str">
        <f t="shared" si="72"/>
        <v/>
      </c>
      <c r="GT10" s="14" t="str">
        <f t="shared" si="73"/>
        <v/>
      </c>
      <c r="GU10" s="14" t="str">
        <f t="shared" si="74"/>
        <v/>
      </c>
      <c r="GV10" s="35"/>
      <c r="GW10" s="35"/>
      <c r="GX10" s="35"/>
      <c r="GY10" s="35"/>
      <c r="GZ10" s="35"/>
      <c r="HA10" s="35"/>
      <c r="HB10" s="35"/>
      <c r="HC10" s="35"/>
      <c r="HD10" s="35"/>
      <c r="HE10" s="35"/>
      <c r="HF10" s="35"/>
      <c r="HG10" s="35"/>
      <c r="HH10" s="35"/>
      <c r="HI10" s="35"/>
      <c r="HJ10" s="35"/>
      <c r="HK10" s="11" t="str">
        <f t="shared" si="75"/>
        <v/>
      </c>
      <c r="HL10" s="11" t="str">
        <f t="shared" si="76"/>
        <v/>
      </c>
      <c r="HM10" s="11" t="str">
        <f t="shared" si="77"/>
        <v/>
      </c>
      <c r="HN10" s="11" t="str">
        <f t="shared" si="78"/>
        <v/>
      </c>
      <c r="HO10" s="11" t="str">
        <f t="shared" si="79"/>
        <v/>
      </c>
      <c r="HP10" s="11" t="str">
        <f t="shared" si="80"/>
        <v/>
      </c>
      <c r="HQ10" s="11" t="str">
        <f t="shared" si="81"/>
        <v/>
      </c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14" t="str">
        <f t="shared" si="82"/>
        <v/>
      </c>
      <c r="IH10" s="14" t="str">
        <f t="shared" si="83"/>
        <v/>
      </c>
      <c r="II10" s="14" t="str">
        <f t="shared" si="84"/>
        <v/>
      </c>
      <c r="IJ10" s="14" t="str">
        <f t="shared" si="85"/>
        <v/>
      </c>
      <c r="IK10" s="14" t="str">
        <f t="shared" si="86"/>
        <v/>
      </c>
      <c r="IL10" s="14" t="str">
        <f t="shared" si="87"/>
        <v/>
      </c>
      <c r="IM10" s="14" t="str">
        <f t="shared" si="88"/>
        <v/>
      </c>
      <c r="IN10" s="35"/>
      <c r="IO10" s="35"/>
      <c r="IP10" s="35"/>
      <c r="IQ10" s="35"/>
      <c r="IR10" s="35"/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11" t="str">
        <f t="shared" si="89"/>
        <v/>
      </c>
      <c r="JD10" s="11" t="str">
        <f t="shared" si="90"/>
        <v/>
      </c>
      <c r="JE10" s="11" t="str">
        <f t="shared" si="91"/>
        <v/>
      </c>
      <c r="JF10" s="11" t="str">
        <f t="shared" si="92"/>
        <v/>
      </c>
      <c r="JG10" s="11" t="str">
        <f t="shared" si="93"/>
        <v/>
      </c>
      <c r="JH10" s="11" t="str">
        <f t="shared" si="94"/>
        <v/>
      </c>
      <c r="JI10" s="11" t="str">
        <f t="shared" si="95"/>
        <v/>
      </c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14" t="str">
        <f t="shared" si="96"/>
        <v/>
      </c>
      <c r="JZ10" s="14" t="str">
        <f t="shared" si="97"/>
        <v/>
      </c>
      <c r="KA10" s="14" t="str">
        <f t="shared" si="98"/>
        <v/>
      </c>
      <c r="KB10" s="14" t="str">
        <f t="shared" si="99"/>
        <v/>
      </c>
      <c r="KC10" s="14" t="str">
        <f t="shared" si="100"/>
        <v/>
      </c>
      <c r="KD10" s="14" t="str">
        <f t="shared" si="101"/>
        <v/>
      </c>
      <c r="KE10" s="14" t="str">
        <f t="shared" si="102"/>
        <v/>
      </c>
      <c r="KF10" s="35"/>
      <c r="KG10" s="35"/>
      <c r="KH10" s="35"/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11" t="str">
        <f t="shared" si="103"/>
        <v/>
      </c>
      <c r="KV10" s="11" t="str">
        <f t="shared" si="104"/>
        <v/>
      </c>
      <c r="KW10" s="11" t="str">
        <f t="shared" si="105"/>
        <v/>
      </c>
      <c r="KX10" s="11" t="str">
        <f t="shared" si="106"/>
        <v/>
      </c>
      <c r="KY10" s="11" t="str">
        <f t="shared" si="107"/>
        <v/>
      </c>
      <c r="KZ10" s="11" t="str">
        <f t="shared" si="108"/>
        <v/>
      </c>
      <c r="LA10" s="11" t="str">
        <f t="shared" si="109"/>
        <v/>
      </c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14" t="str">
        <f t="shared" si="110"/>
        <v/>
      </c>
      <c r="LR10" s="14" t="str">
        <f t="shared" si="111"/>
        <v/>
      </c>
      <c r="LS10" s="14" t="str">
        <f t="shared" si="112"/>
        <v/>
      </c>
      <c r="LT10" s="14" t="str">
        <f t="shared" si="113"/>
        <v/>
      </c>
      <c r="LU10" s="14" t="str">
        <f t="shared" si="114"/>
        <v/>
      </c>
      <c r="LV10" s="14" t="str">
        <f t="shared" si="115"/>
        <v/>
      </c>
      <c r="LW10" s="14" t="str">
        <f t="shared" si="116"/>
        <v/>
      </c>
      <c r="LX10" s="35"/>
      <c r="LY10" s="35"/>
      <c r="LZ10" s="35"/>
      <c r="MA10" s="35"/>
      <c r="MB10" s="35"/>
      <c r="MC10" s="35"/>
      <c r="MD10" s="35"/>
      <c r="ME10" s="35"/>
      <c r="MF10" s="35"/>
      <c r="MG10" s="35"/>
      <c r="MH10" s="35"/>
      <c r="MI10" s="35"/>
      <c r="MJ10" s="35"/>
      <c r="MK10" s="35"/>
      <c r="ML10" s="35"/>
      <c r="MM10" s="11" t="str">
        <f t="shared" si="117"/>
        <v/>
      </c>
      <c r="MN10" s="11" t="str">
        <f t="shared" si="118"/>
        <v/>
      </c>
      <c r="MO10" s="11" t="str">
        <f t="shared" si="119"/>
        <v/>
      </c>
      <c r="MP10" s="11" t="str">
        <f t="shared" si="120"/>
        <v/>
      </c>
      <c r="MQ10" s="11" t="str">
        <f t="shared" si="121"/>
        <v/>
      </c>
      <c r="MR10" s="11" t="str">
        <f t="shared" si="122"/>
        <v/>
      </c>
      <c r="MS10" s="11" t="str">
        <f t="shared" si="123"/>
        <v/>
      </c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14" t="str">
        <f t="shared" si="124"/>
        <v/>
      </c>
      <c r="NJ10" s="14" t="str">
        <f t="shared" si="125"/>
        <v/>
      </c>
      <c r="NK10" s="14" t="str">
        <f t="shared" si="126"/>
        <v/>
      </c>
      <c r="NL10" s="14" t="str">
        <f t="shared" si="127"/>
        <v/>
      </c>
      <c r="NM10" s="14" t="str">
        <f t="shared" si="128"/>
        <v/>
      </c>
      <c r="NN10" s="14" t="str">
        <f t="shared" si="129"/>
        <v/>
      </c>
      <c r="NO10" s="14" t="str">
        <f t="shared" si="130"/>
        <v/>
      </c>
      <c r="NP10" s="61">
        <f t="shared" si="131"/>
        <v>14.7</v>
      </c>
      <c r="NQ10" s="61">
        <f t="shared" si="132"/>
        <v>8.65</v>
      </c>
      <c r="NR10" s="61">
        <f t="shared" si="133"/>
        <v>3.1</v>
      </c>
      <c r="NS10" s="61">
        <f t="shared" si="134"/>
        <v>15.932500000000001</v>
      </c>
      <c r="NT10" s="61">
        <f t="shared" si="135"/>
        <v>1</v>
      </c>
      <c r="NU10" s="61">
        <f t="shared" si="136"/>
        <v>13.45</v>
      </c>
      <c r="NV10" s="61">
        <f t="shared" si="137"/>
        <v>9.25</v>
      </c>
      <c r="NW10" s="61">
        <f t="shared" si="138"/>
        <v>14.100000000000001</v>
      </c>
      <c r="NX10" s="61">
        <f t="shared" si="139"/>
        <v>16.232500000000002</v>
      </c>
      <c r="NY10" s="61">
        <f t="shared" si="140"/>
        <v>0</v>
      </c>
      <c r="NZ10" s="61">
        <f t="shared" si="141"/>
        <v>2.5499999999999998</v>
      </c>
      <c r="OA10" s="61">
        <f t="shared" si="142"/>
        <v>1.65</v>
      </c>
      <c r="OB10" s="61">
        <f t="shared" si="143"/>
        <v>3.2</v>
      </c>
      <c r="OC10" s="61">
        <f t="shared" si="144"/>
        <v>3.51</v>
      </c>
      <c r="OD10" s="61">
        <f t="shared" si="145"/>
        <v>0</v>
      </c>
      <c r="OE10" s="61">
        <f t="shared" si="146"/>
        <v>8.9</v>
      </c>
      <c r="OF10" s="61">
        <f t="shared" si="147"/>
        <v>6.1</v>
      </c>
      <c r="OG10" s="61">
        <f t="shared" si="148"/>
        <v>8.8000000000000007</v>
      </c>
      <c r="OH10" s="61">
        <f t="shared" si="149"/>
        <v>10.37</v>
      </c>
      <c r="OI10" s="61">
        <f t="shared" si="150"/>
        <v>0</v>
      </c>
      <c r="OJ10" s="72" t="s">
        <v>52</v>
      </c>
      <c r="OK10" s="11">
        <f t="shared" si="151"/>
        <v>41.382500000000007</v>
      </c>
      <c r="OL10" s="11">
        <f t="shared" si="152"/>
        <v>14.100000000000001</v>
      </c>
      <c r="OM10" s="11">
        <f t="shared" si="153"/>
        <v>53.032499999999999</v>
      </c>
      <c r="ON10" s="11">
        <f t="shared" si="154"/>
        <v>3.2</v>
      </c>
      <c r="OO10" s="11">
        <f t="shared" si="155"/>
        <v>10.91</v>
      </c>
      <c r="OP10" s="11">
        <f t="shared" si="156"/>
        <v>94.415000000000006</v>
      </c>
      <c r="OQ10" s="11">
        <f t="shared" si="157"/>
        <v>8.8000000000000007</v>
      </c>
      <c r="OR10" s="11">
        <f t="shared" si="158"/>
        <v>34.17</v>
      </c>
      <c r="OS10" s="11">
        <f t="shared" si="159"/>
        <v>128.58500000000001</v>
      </c>
    </row>
    <row r="11" spans="1:409" x14ac:dyDescent="0.2">
      <c r="A11" s="5" t="str" cm="1">
        <f t="array" ref="A11">IF(AND(G11&lt;&gt;"",H11&lt;&gt;""),SUMPRODUCT((G$4:G$24&lt;&gt;"")*(H$4:H$24&lt;&gt;"")*(E$4:E$24&gt;E11))+1,IF(H11&lt;&gt;"",SUMPRODUCT((I$4:I$24="No DD")*(E$4:E$24&gt;E11))+1+SUMPRODUCT((G$4:G$24&lt;&gt;"")*(H$4:H$24&lt;&gt;"")),""))</f>
        <v/>
      </c>
      <c r="B11" s="6" t="s">
        <v>86</v>
      </c>
      <c r="C11" s="7" t="s">
        <v>4</v>
      </c>
      <c r="D11" s="26">
        <v>2003</v>
      </c>
      <c r="E11" s="15">
        <f t="shared" si="0"/>
        <v>102</v>
      </c>
      <c r="F11" s="3" t="str">
        <f t="shared" si="1"/>
        <v>P</v>
      </c>
      <c r="G11" s="115" t="str">
        <f t="shared" si="2"/>
        <v>National Team</v>
      </c>
      <c r="H11" s="115" t="str">
        <f t="shared" si="3"/>
        <v/>
      </c>
      <c r="I11" s="116" t="str">
        <f t="shared" si="4"/>
        <v/>
      </c>
      <c r="J11" s="3" t="str">
        <f t="shared" si="5"/>
        <v/>
      </c>
      <c r="K11" s="14">
        <f t="shared" si="6"/>
        <v>96.715000000000003</v>
      </c>
      <c r="L11" s="14" t="str">
        <f t="shared" si="7"/>
        <v>2021 Elite Canada</v>
      </c>
      <c r="M11" s="14">
        <f t="shared" si="8"/>
        <v>44.86</v>
      </c>
      <c r="N11" s="14" t="str">
        <f t="shared" si="9"/>
        <v>2021 2nd Virtual Technical Trial</v>
      </c>
      <c r="O11" s="14">
        <f t="shared" si="10"/>
        <v>51.35</v>
      </c>
      <c r="P11" s="14" t="str">
        <f t="shared" si="11"/>
        <v>2021 Elite Canada</v>
      </c>
      <c r="Q11" s="14">
        <f>IF(COUNT(AS11,AU11,AX11,BW11,BY11,CB11,DA11,DC11,DF11)&gt;1,LARGE((AS11,AU11,AX11,BW11,BY11,CB11,DA11,DC11,DF11),2),0)</f>
        <v>50.65</v>
      </c>
      <c r="R11" s="14" t="str">
        <f t="shared" si="12"/>
        <v>2021 Elite Canada</v>
      </c>
      <c r="S11" s="14" t="str">
        <f t="shared" si="13"/>
        <v/>
      </c>
      <c r="T11" s="24" t="str">
        <f t="shared" si="14"/>
        <v/>
      </c>
      <c r="U11" s="14" t="str">
        <f t="shared" si="15"/>
        <v/>
      </c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72"/>
      <c r="AQ11" s="11" t="str">
        <f t="shared" si="16"/>
        <v/>
      </c>
      <c r="AR11" s="11" t="str">
        <f t="shared" si="17"/>
        <v/>
      </c>
      <c r="AS11" s="11" t="str">
        <f t="shared" si="18"/>
        <v/>
      </c>
      <c r="AT11" s="11" t="str">
        <f t="shared" si="19"/>
        <v/>
      </c>
      <c r="AU11" s="11" t="str">
        <f t="shared" si="20"/>
        <v/>
      </c>
      <c r="AV11" s="11" t="str">
        <f t="shared" si="21"/>
        <v/>
      </c>
      <c r="AW11" s="11" t="str">
        <f t="shared" si="22"/>
        <v/>
      </c>
      <c r="AX11" s="11" t="str">
        <f t="shared" si="23"/>
        <v/>
      </c>
      <c r="AY11" s="11" t="str">
        <f t="shared" si="24"/>
        <v/>
      </c>
      <c r="AZ11" s="67">
        <v>17.3</v>
      </c>
      <c r="BA11" s="67">
        <v>9.6999999999999993</v>
      </c>
      <c r="BB11" s="67">
        <v>2.9</v>
      </c>
      <c r="BC11" s="67">
        <v>14.96</v>
      </c>
      <c r="BD11" s="67">
        <v>0</v>
      </c>
      <c r="BE11" s="67">
        <v>8.3000000000000007</v>
      </c>
      <c r="BF11" s="67">
        <v>5.5</v>
      </c>
      <c r="BG11" s="67">
        <v>8.3000000000000007</v>
      </c>
      <c r="BH11" s="67">
        <v>8.68</v>
      </c>
      <c r="BI11" s="67">
        <v>0</v>
      </c>
      <c r="BJ11" s="67"/>
      <c r="BK11" s="67"/>
      <c r="BL11" s="67"/>
      <c r="BM11" s="67"/>
      <c r="BN11" s="67"/>
      <c r="BO11" s="67">
        <v>8.6</v>
      </c>
      <c r="BP11" s="67">
        <v>5.7</v>
      </c>
      <c r="BQ11" s="67">
        <v>8.3000000000000007</v>
      </c>
      <c r="BR11" s="67">
        <v>8.76</v>
      </c>
      <c r="BS11" s="67">
        <v>0</v>
      </c>
      <c r="BT11" s="73"/>
      <c r="BU11" s="14">
        <f t="shared" si="25"/>
        <v>44.86</v>
      </c>
      <c r="BV11" s="14">
        <f t="shared" si="26"/>
        <v>8.3000000000000007</v>
      </c>
      <c r="BW11" s="14">
        <f t="shared" si="27"/>
        <v>30.78</v>
      </c>
      <c r="BX11" s="14" t="str">
        <f t="shared" si="28"/>
        <v/>
      </c>
      <c r="BY11" s="14" t="str">
        <f t="shared" si="29"/>
        <v/>
      </c>
      <c r="BZ11" s="14">
        <f t="shared" si="30"/>
        <v>75.64</v>
      </c>
      <c r="CA11" s="14">
        <f t="shared" si="31"/>
        <v>8.3000000000000007</v>
      </c>
      <c r="CB11" s="14">
        <f t="shared" si="32"/>
        <v>31.36</v>
      </c>
      <c r="CC11" s="14">
        <f t="shared" si="33"/>
        <v>107</v>
      </c>
      <c r="CD11" s="61">
        <v>16</v>
      </c>
      <c r="CE11" s="61">
        <v>9.1999999999999993</v>
      </c>
      <c r="CF11" s="61">
        <v>5.2</v>
      </c>
      <c r="CG11" s="61">
        <v>14.965</v>
      </c>
      <c r="CH11" s="61">
        <v>0</v>
      </c>
      <c r="CI11" s="61">
        <v>13.4</v>
      </c>
      <c r="CJ11" s="61">
        <v>9</v>
      </c>
      <c r="CK11" s="61">
        <v>13.5</v>
      </c>
      <c r="CL11" s="61">
        <v>14.75</v>
      </c>
      <c r="CM11" s="61">
        <v>0</v>
      </c>
      <c r="CN11" s="61">
        <v>14.2</v>
      </c>
      <c r="CO11" s="61">
        <v>9</v>
      </c>
      <c r="CP11" s="61">
        <v>13.5</v>
      </c>
      <c r="CQ11" s="61">
        <v>14.65</v>
      </c>
      <c r="CR11" s="61">
        <v>0</v>
      </c>
      <c r="CS11" s="61">
        <v>13.7</v>
      </c>
      <c r="CT11" s="61">
        <v>8.9</v>
      </c>
      <c r="CU11" s="61">
        <v>12.1</v>
      </c>
      <c r="CV11" s="61">
        <v>14.43</v>
      </c>
      <c r="CW11" s="61">
        <v>0</v>
      </c>
      <c r="CX11" s="72"/>
      <c r="CY11" s="11">
        <f t="shared" si="34"/>
        <v>45.364999999999995</v>
      </c>
      <c r="CZ11" s="11">
        <f t="shared" si="35"/>
        <v>13.5</v>
      </c>
      <c r="DA11" s="11">
        <f t="shared" si="36"/>
        <v>50.65</v>
      </c>
      <c r="DB11" s="11">
        <f t="shared" si="37"/>
        <v>13.5</v>
      </c>
      <c r="DC11" s="11">
        <f t="shared" si="38"/>
        <v>51.35</v>
      </c>
      <c r="DD11" s="11">
        <f t="shared" si="39"/>
        <v>96.715000000000003</v>
      </c>
      <c r="DE11" s="11">
        <f t="shared" si="40"/>
        <v>12.1</v>
      </c>
      <c r="DF11" s="11">
        <f t="shared" si="41"/>
        <v>49.13</v>
      </c>
      <c r="DG11" s="11">
        <f t="shared" si="42"/>
        <v>145.845</v>
      </c>
      <c r="DH11" s="23" t="str">
        <f t="shared" si="43"/>
        <v/>
      </c>
      <c r="DI11" s="23" t="str">
        <f t="shared" si="44"/>
        <v/>
      </c>
      <c r="DJ11" s="23" t="str">
        <f t="shared" si="45"/>
        <v/>
      </c>
      <c r="DK11" s="23" t="str">
        <f t="shared" si="46"/>
        <v/>
      </c>
      <c r="DL11" s="35"/>
      <c r="DM11" s="35"/>
      <c r="DN11" s="35"/>
      <c r="DO11" s="35"/>
      <c r="DP11" s="35"/>
      <c r="DQ11" s="35"/>
      <c r="DR11" s="35"/>
      <c r="DS11" s="35"/>
      <c r="DT11" s="35"/>
      <c r="DU11" s="35"/>
      <c r="DV11" s="35"/>
      <c r="DW11" s="35"/>
      <c r="DX11" s="35"/>
      <c r="DY11" s="35"/>
      <c r="DZ11" s="35"/>
      <c r="EA11" s="11" t="str">
        <f t="shared" si="47"/>
        <v/>
      </c>
      <c r="EB11" s="11" t="str">
        <f t="shared" si="48"/>
        <v/>
      </c>
      <c r="EC11" s="11" t="str">
        <f t="shared" si="49"/>
        <v/>
      </c>
      <c r="ED11" s="11" t="str">
        <f t="shared" si="50"/>
        <v/>
      </c>
      <c r="EE11" s="11" t="str">
        <f t="shared" si="51"/>
        <v/>
      </c>
      <c r="EF11" s="11" t="str">
        <f t="shared" si="52"/>
        <v/>
      </c>
      <c r="EG11" s="11" t="str">
        <f t="shared" si="53"/>
        <v/>
      </c>
      <c r="EH11" s="36"/>
      <c r="EI11" s="36"/>
      <c r="EJ11" s="36"/>
      <c r="EK11" s="36"/>
      <c r="EL11" s="36"/>
      <c r="EM11" s="36"/>
      <c r="EN11" s="36"/>
      <c r="EO11" s="36"/>
      <c r="EP11" s="36"/>
      <c r="EQ11" s="36"/>
      <c r="ER11" s="36"/>
      <c r="ES11" s="36"/>
      <c r="ET11" s="36"/>
      <c r="EU11" s="36"/>
      <c r="EV11" s="36"/>
      <c r="EW11" s="14" t="str">
        <f t="shared" si="54"/>
        <v/>
      </c>
      <c r="EX11" s="14" t="str">
        <f t="shared" si="55"/>
        <v/>
      </c>
      <c r="EY11" s="14" t="str">
        <f t="shared" si="56"/>
        <v/>
      </c>
      <c r="EZ11" s="14" t="str">
        <f t="shared" si="57"/>
        <v/>
      </c>
      <c r="FA11" s="14" t="str">
        <f t="shared" si="58"/>
        <v/>
      </c>
      <c r="FB11" s="14" t="str">
        <f t="shared" si="59"/>
        <v/>
      </c>
      <c r="FC11" s="14" t="str">
        <f t="shared" si="60"/>
        <v/>
      </c>
      <c r="FD11" s="35"/>
      <c r="FE11" s="35"/>
      <c r="FF11" s="35"/>
      <c r="FG11" s="35"/>
      <c r="FH11" s="35"/>
      <c r="FI11" s="35"/>
      <c r="FJ11" s="35"/>
      <c r="FK11" s="35"/>
      <c r="FL11" s="35"/>
      <c r="FM11" s="35"/>
      <c r="FN11" s="35"/>
      <c r="FO11" s="35"/>
      <c r="FP11" s="35"/>
      <c r="FQ11" s="35"/>
      <c r="FR11" s="35"/>
      <c r="FS11" s="11" t="str">
        <f t="shared" si="61"/>
        <v/>
      </c>
      <c r="FT11" s="11" t="str">
        <f t="shared" si="62"/>
        <v/>
      </c>
      <c r="FU11" s="11" t="str">
        <f t="shared" si="63"/>
        <v/>
      </c>
      <c r="FV11" s="11" t="str">
        <f t="shared" si="64"/>
        <v/>
      </c>
      <c r="FW11" s="11" t="str">
        <f t="shared" si="65"/>
        <v/>
      </c>
      <c r="FX11" s="11" t="str">
        <f t="shared" si="66"/>
        <v/>
      </c>
      <c r="FY11" s="11" t="str">
        <f t="shared" si="67"/>
        <v/>
      </c>
      <c r="FZ11" s="36"/>
      <c r="GA11" s="36"/>
      <c r="GB11" s="36"/>
      <c r="GC11" s="36"/>
      <c r="GD11" s="36"/>
      <c r="GE11" s="36"/>
      <c r="GF11" s="36"/>
      <c r="GG11" s="36"/>
      <c r="GH11" s="36"/>
      <c r="GI11" s="36"/>
      <c r="GJ11" s="36"/>
      <c r="GK11" s="36"/>
      <c r="GL11" s="36"/>
      <c r="GM11" s="36"/>
      <c r="GN11" s="36"/>
      <c r="GO11" s="14" t="str">
        <f t="shared" si="68"/>
        <v/>
      </c>
      <c r="GP11" s="14" t="str">
        <f t="shared" si="69"/>
        <v/>
      </c>
      <c r="GQ11" s="14" t="str">
        <f t="shared" si="70"/>
        <v/>
      </c>
      <c r="GR11" s="14" t="str">
        <f t="shared" si="71"/>
        <v/>
      </c>
      <c r="GS11" s="14" t="str">
        <f t="shared" si="72"/>
        <v/>
      </c>
      <c r="GT11" s="14" t="str">
        <f t="shared" si="73"/>
        <v/>
      </c>
      <c r="GU11" s="14" t="str">
        <f t="shared" si="74"/>
        <v/>
      </c>
      <c r="GV11" s="35"/>
      <c r="GW11" s="35"/>
      <c r="GX11" s="35"/>
      <c r="GY11" s="35"/>
      <c r="GZ11" s="35"/>
      <c r="HA11" s="35"/>
      <c r="HB11" s="35"/>
      <c r="HC11" s="35"/>
      <c r="HD11" s="35"/>
      <c r="HE11" s="35"/>
      <c r="HF11" s="35"/>
      <c r="HG11" s="35"/>
      <c r="HH11" s="35"/>
      <c r="HI11" s="35"/>
      <c r="HJ11" s="35"/>
      <c r="HK11" s="11" t="str">
        <f t="shared" si="75"/>
        <v/>
      </c>
      <c r="HL11" s="11" t="str">
        <f t="shared" si="76"/>
        <v/>
      </c>
      <c r="HM11" s="11" t="str">
        <f t="shared" si="77"/>
        <v/>
      </c>
      <c r="HN11" s="11" t="str">
        <f t="shared" si="78"/>
        <v/>
      </c>
      <c r="HO11" s="11" t="str">
        <f t="shared" si="79"/>
        <v/>
      </c>
      <c r="HP11" s="11" t="str">
        <f t="shared" si="80"/>
        <v/>
      </c>
      <c r="HQ11" s="11" t="str">
        <f t="shared" si="81"/>
        <v/>
      </c>
      <c r="HR11" s="36"/>
      <c r="HS11" s="36"/>
      <c r="HT11" s="36"/>
      <c r="HU11" s="36"/>
      <c r="HV11" s="36"/>
      <c r="HW11" s="36"/>
      <c r="HX11" s="36"/>
      <c r="HY11" s="36"/>
      <c r="HZ11" s="36"/>
      <c r="IA11" s="36"/>
      <c r="IB11" s="36"/>
      <c r="IC11" s="36"/>
      <c r="ID11" s="36"/>
      <c r="IE11" s="36"/>
      <c r="IF11" s="36"/>
      <c r="IG11" s="14" t="str">
        <f t="shared" si="82"/>
        <v/>
      </c>
      <c r="IH11" s="14" t="str">
        <f t="shared" si="83"/>
        <v/>
      </c>
      <c r="II11" s="14" t="str">
        <f t="shared" si="84"/>
        <v/>
      </c>
      <c r="IJ11" s="14" t="str">
        <f t="shared" si="85"/>
        <v/>
      </c>
      <c r="IK11" s="14" t="str">
        <f t="shared" si="86"/>
        <v/>
      </c>
      <c r="IL11" s="14" t="str">
        <f t="shared" si="87"/>
        <v/>
      </c>
      <c r="IM11" s="14" t="str">
        <f t="shared" si="88"/>
        <v/>
      </c>
      <c r="IN11" s="35"/>
      <c r="IO11" s="35"/>
      <c r="IP11" s="35"/>
      <c r="IQ11" s="35"/>
      <c r="IR11" s="35"/>
      <c r="IS11" s="35"/>
      <c r="IT11" s="35"/>
      <c r="IU11" s="35"/>
      <c r="IV11" s="35"/>
      <c r="IW11" s="35"/>
      <c r="IX11" s="35"/>
      <c r="IY11" s="35"/>
      <c r="IZ11" s="35"/>
      <c r="JA11" s="35"/>
      <c r="JB11" s="35"/>
      <c r="JC11" s="11" t="str">
        <f t="shared" si="89"/>
        <v/>
      </c>
      <c r="JD11" s="11" t="str">
        <f t="shared" si="90"/>
        <v/>
      </c>
      <c r="JE11" s="11" t="str">
        <f t="shared" si="91"/>
        <v/>
      </c>
      <c r="JF11" s="11" t="str">
        <f t="shared" si="92"/>
        <v/>
      </c>
      <c r="JG11" s="11" t="str">
        <f t="shared" si="93"/>
        <v/>
      </c>
      <c r="JH11" s="11" t="str">
        <f t="shared" si="94"/>
        <v/>
      </c>
      <c r="JI11" s="11" t="str">
        <f t="shared" si="95"/>
        <v/>
      </c>
      <c r="JJ11" s="36"/>
      <c r="JK11" s="36"/>
      <c r="JL11" s="36"/>
      <c r="JM11" s="36"/>
      <c r="JN11" s="36"/>
      <c r="JO11" s="36"/>
      <c r="JP11" s="36"/>
      <c r="JQ11" s="36"/>
      <c r="JR11" s="36"/>
      <c r="JS11" s="36"/>
      <c r="JT11" s="36"/>
      <c r="JU11" s="36"/>
      <c r="JV11" s="36"/>
      <c r="JW11" s="36"/>
      <c r="JX11" s="36"/>
      <c r="JY11" s="14" t="str">
        <f t="shared" si="96"/>
        <v/>
      </c>
      <c r="JZ11" s="14" t="str">
        <f t="shared" si="97"/>
        <v/>
      </c>
      <c r="KA11" s="14" t="str">
        <f t="shared" si="98"/>
        <v/>
      </c>
      <c r="KB11" s="14" t="str">
        <f t="shared" si="99"/>
        <v/>
      </c>
      <c r="KC11" s="14" t="str">
        <f t="shared" si="100"/>
        <v/>
      </c>
      <c r="KD11" s="14" t="str">
        <f t="shared" si="101"/>
        <v/>
      </c>
      <c r="KE11" s="14" t="str">
        <f t="shared" si="102"/>
        <v/>
      </c>
      <c r="KF11" s="35"/>
      <c r="KG11" s="35"/>
      <c r="KH11" s="35"/>
      <c r="KI11" s="35"/>
      <c r="KJ11" s="35"/>
      <c r="KK11" s="35"/>
      <c r="KL11" s="35"/>
      <c r="KM11" s="35"/>
      <c r="KN11" s="35"/>
      <c r="KO11" s="35"/>
      <c r="KP11" s="35"/>
      <c r="KQ11" s="35"/>
      <c r="KR11" s="35"/>
      <c r="KS11" s="35"/>
      <c r="KT11" s="35"/>
      <c r="KU11" s="11" t="str">
        <f t="shared" si="103"/>
        <v/>
      </c>
      <c r="KV11" s="11" t="str">
        <f t="shared" si="104"/>
        <v/>
      </c>
      <c r="KW11" s="11" t="str">
        <f t="shared" si="105"/>
        <v/>
      </c>
      <c r="KX11" s="11" t="str">
        <f t="shared" si="106"/>
        <v/>
      </c>
      <c r="KY11" s="11" t="str">
        <f t="shared" si="107"/>
        <v/>
      </c>
      <c r="KZ11" s="11" t="str">
        <f t="shared" si="108"/>
        <v/>
      </c>
      <c r="LA11" s="11" t="str">
        <f t="shared" si="109"/>
        <v/>
      </c>
      <c r="LB11" s="36"/>
      <c r="LC11" s="36"/>
      <c r="LD11" s="36"/>
      <c r="LE11" s="36"/>
      <c r="LF11" s="36"/>
      <c r="LG11" s="36"/>
      <c r="LH11" s="36"/>
      <c r="LI11" s="36"/>
      <c r="LJ11" s="36"/>
      <c r="LK11" s="36"/>
      <c r="LL11" s="36"/>
      <c r="LM11" s="36"/>
      <c r="LN11" s="36"/>
      <c r="LO11" s="36"/>
      <c r="LP11" s="36"/>
      <c r="LQ11" s="14" t="str">
        <f t="shared" si="110"/>
        <v/>
      </c>
      <c r="LR11" s="14" t="str">
        <f t="shared" si="111"/>
        <v/>
      </c>
      <c r="LS11" s="14" t="str">
        <f t="shared" si="112"/>
        <v/>
      </c>
      <c r="LT11" s="14" t="str">
        <f t="shared" si="113"/>
        <v/>
      </c>
      <c r="LU11" s="14" t="str">
        <f t="shared" si="114"/>
        <v/>
      </c>
      <c r="LV11" s="14" t="str">
        <f t="shared" si="115"/>
        <v/>
      </c>
      <c r="LW11" s="14" t="str">
        <f t="shared" si="116"/>
        <v/>
      </c>
      <c r="LX11" s="35"/>
      <c r="LY11" s="35"/>
      <c r="LZ11" s="35"/>
      <c r="MA11" s="35"/>
      <c r="MB11" s="35"/>
      <c r="MC11" s="35"/>
      <c r="MD11" s="35"/>
      <c r="ME11" s="35"/>
      <c r="MF11" s="35"/>
      <c r="MG11" s="35"/>
      <c r="MH11" s="35"/>
      <c r="MI11" s="35"/>
      <c r="MJ11" s="35"/>
      <c r="MK11" s="35"/>
      <c r="ML11" s="35"/>
      <c r="MM11" s="11" t="str">
        <f t="shared" si="117"/>
        <v/>
      </c>
      <c r="MN11" s="11" t="str">
        <f t="shared" si="118"/>
        <v/>
      </c>
      <c r="MO11" s="11" t="str">
        <f t="shared" si="119"/>
        <v/>
      </c>
      <c r="MP11" s="11" t="str">
        <f t="shared" si="120"/>
        <v/>
      </c>
      <c r="MQ11" s="11" t="str">
        <f t="shared" si="121"/>
        <v/>
      </c>
      <c r="MR11" s="11" t="str">
        <f t="shared" si="122"/>
        <v/>
      </c>
      <c r="MS11" s="11" t="str">
        <f t="shared" si="123"/>
        <v/>
      </c>
      <c r="MT11" s="36"/>
      <c r="MU11" s="36"/>
      <c r="MV11" s="36"/>
      <c r="MW11" s="36"/>
      <c r="MX11" s="36"/>
      <c r="MY11" s="36"/>
      <c r="MZ11" s="36"/>
      <c r="NA11" s="36"/>
      <c r="NB11" s="36"/>
      <c r="NC11" s="36"/>
      <c r="ND11" s="36"/>
      <c r="NE11" s="36"/>
      <c r="NF11" s="36"/>
      <c r="NG11" s="36"/>
      <c r="NH11" s="36"/>
      <c r="NI11" s="14" t="str">
        <f t="shared" si="124"/>
        <v/>
      </c>
      <c r="NJ11" s="14" t="str">
        <f t="shared" si="125"/>
        <v/>
      </c>
      <c r="NK11" s="14" t="str">
        <f t="shared" si="126"/>
        <v/>
      </c>
      <c r="NL11" s="14" t="str">
        <f t="shared" si="127"/>
        <v/>
      </c>
      <c r="NM11" s="14" t="str">
        <f t="shared" si="128"/>
        <v/>
      </c>
      <c r="NN11" s="14" t="str">
        <f t="shared" si="129"/>
        <v/>
      </c>
      <c r="NO11" s="14" t="str">
        <f t="shared" si="130"/>
        <v/>
      </c>
      <c r="NP11" s="61">
        <f t="shared" si="131"/>
        <v>16.649999999999999</v>
      </c>
      <c r="NQ11" s="61">
        <f t="shared" si="132"/>
        <v>9.4499999999999993</v>
      </c>
      <c r="NR11" s="61">
        <f t="shared" si="133"/>
        <v>4.05</v>
      </c>
      <c r="NS11" s="61">
        <f t="shared" si="134"/>
        <v>14.9625</v>
      </c>
      <c r="NT11" s="61">
        <f t="shared" si="135"/>
        <v>0</v>
      </c>
      <c r="NU11" s="61">
        <f t="shared" si="136"/>
        <v>10.850000000000001</v>
      </c>
      <c r="NV11" s="61">
        <f t="shared" si="137"/>
        <v>7.25</v>
      </c>
      <c r="NW11" s="61">
        <f t="shared" si="138"/>
        <v>10.9</v>
      </c>
      <c r="NX11" s="61">
        <f t="shared" si="139"/>
        <v>11.715</v>
      </c>
      <c r="NY11" s="61">
        <f t="shared" si="140"/>
        <v>0</v>
      </c>
      <c r="NZ11" s="61">
        <f t="shared" si="141"/>
        <v>7.1</v>
      </c>
      <c r="OA11" s="61">
        <f t="shared" si="142"/>
        <v>4.5</v>
      </c>
      <c r="OB11" s="61">
        <f t="shared" si="143"/>
        <v>6.75</v>
      </c>
      <c r="OC11" s="61">
        <f t="shared" si="144"/>
        <v>7.3250000000000002</v>
      </c>
      <c r="OD11" s="61">
        <f t="shared" si="145"/>
        <v>0</v>
      </c>
      <c r="OE11" s="61">
        <f t="shared" si="146"/>
        <v>11.149999999999999</v>
      </c>
      <c r="OF11" s="61">
        <f t="shared" si="147"/>
        <v>7.3000000000000007</v>
      </c>
      <c r="OG11" s="61">
        <f t="shared" si="148"/>
        <v>10.199999999999999</v>
      </c>
      <c r="OH11" s="61">
        <f t="shared" si="149"/>
        <v>11.594999999999999</v>
      </c>
      <c r="OI11" s="61">
        <f t="shared" si="150"/>
        <v>0</v>
      </c>
      <c r="OJ11" s="72" t="s">
        <v>52</v>
      </c>
      <c r="OK11" s="11">
        <f t="shared" si="151"/>
        <v>45.112499999999997</v>
      </c>
      <c r="OL11" s="11">
        <f t="shared" si="152"/>
        <v>10.9</v>
      </c>
      <c r="OM11" s="11">
        <f t="shared" si="153"/>
        <v>40.715000000000003</v>
      </c>
      <c r="ON11" s="11">
        <f t="shared" si="154"/>
        <v>6.75</v>
      </c>
      <c r="OO11" s="11">
        <f t="shared" si="155"/>
        <v>25.675000000000001</v>
      </c>
      <c r="OP11" s="11">
        <f t="shared" si="156"/>
        <v>85.827500000000001</v>
      </c>
      <c r="OQ11" s="11">
        <f t="shared" si="157"/>
        <v>10.199999999999999</v>
      </c>
      <c r="OR11" s="11">
        <f t="shared" ref="OR11" si="160">IF(SUM(OE11:OH11)-OI11&gt;0,SUM(OE11:OH11)-OI11,"")</f>
        <v>40.244999999999997</v>
      </c>
      <c r="OS11" s="11">
        <f t="shared" ref="OS11" si="161">IF(SUM(OP11,OR11)&gt;0,SUM(OP11,OR11),"")</f>
        <v>126.07249999999999</v>
      </c>
    </row>
    <row r="12" spans="1:409" x14ac:dyDescent="0.2">
      <c r="A12" s="5" t="str" cm="1">
        <f t="array" ref="A12">IF(AND(G12&lt;&gt;"",H12&lt;&gt;""),SUMPRODUCT((G$4:G$24&lt;&gt;"")*(H$4:H$24&lt;&gt;"")*(E$4:E$24&gt;E12))+1,IF(H12&lt;&gt;"",SUMPRODUCT((I$4:I$24="No DD")*(E$4:E$24&gt;E12))+1+SUMPRODUCT((G$4:G$24&lt;&gt;"")*(H$4:H$24&lt;&gt;"")),""))</f>
        <v/>
      </c>
      <c r="B12" s="8" t="s">
        <v>68</v>
      </c>
      <c r="C12" s="4" t="s">
        <v>3</v>
      </c>
      <c r="D12" s="5">
        <v>2003</v>
      </c>
      <c r="E12" s="15">
        <f t="shared" si="0"/>
        <v>52.610000000000007</v>
      </c>
      <c r="F12" s="3" t="str">
        <f t="shared" si="1"/>
        <v>P</v>
      </c>
      <c r="G12" s="115" t="str">
        <f t="shared" si="2"/>
        <v>National Team</v>
      </c>
      <c r="H12" s="115" t="str">
        <f t="shared" si="3"/>
        <v/>
      </c>
      <c r="I12" s="116" t="str">
        <f t="shared" si="4"/>
        <v/>
      </c>
      <c r="J12" s="3" t="str">
        <f t="shared" si="5"/>
        <v/>
      </c>
      <c r="K12" s="14">
        <f t="shared" si="6"/>
        <v>99.490000000000009</v>
      </c>
      <c r="L12" s="14" t="str">
        <f t="shared" si="7"/>
        <v>2021 1st Virtual Technical Trial</v>
      </c>
      <c r="M12" s="14">
        <f t="shared" si="8"/>
        <v>0</v>
      </c>
      <c r="N12" s="14" t="str">
        <f t="shared" si="9"/>
        <v/>
      </c>
      <c r="O12" s="14">
        <f t="shared" si="10"/>
        <v>52.610000000000007</v>
      </c>
      <c r="P12" s="14" t="str">
        <f t="shared" si="11"/>
        <v>2021 1st Virtual Technical Trial</v>
      </c>
      <c r="Q12" s="14">
        <f>IF(COUNT(AS12,AU12,AX12,BW12,BY12,CB12,DA12,DC12,DF12)&gt;1,LARGE((AS12,AU12,AX12,BW12,BY12,CB12,DA12,DC12,DF12),2),0)</f>
        <v>0</v>
      </c>
      <c r="R12" s="14" t="str">
        <f t="shared" si="12"/>
        <v/>
      </c>
      <c r="S12" s="14" t="str">
        <f t="shared" si="13"/>
        <v/>
      </c>
      <c r="T12" s="24" t="str">
        <f t="shared" si="14"/>
        <v/>
      </c>
      <c r="U12" s="14" t="str">
        <f t="shared" si="15"/>
        <v/>
      </c>
      <c r="V12" s="61">
        <v>16.600000000000001</v>
      </c>
      <c r="W12" s="61">
        <v>9.1999999999999993</v>
      </c>
      <c r="X12" s="61">
        <v>5.6</v>
      </c>
      <c r="Y12" s="61">
        <v>15.48</v>
      </c>
      <c r="Z12" s="61">
        <v>0</v>
      </c>
      <c r="AA12" s="61">
        <v>14.8</v>
      </c>
      <c r="AB12" s="61">
        <v>9.15</v>
      </c>
      <c r="AC12" s="61">
        <v>13.7</v>
      </c>
      <c r="AD12" s="61">
        <v>14.96</v>
      </c>
      <c r="AE12" s="61">
        <v>0</v>
      </c>
      <c r="AF12" s="61">
        <v>0</v>
      </c>
      <c r="AG12" s="61">
        <v>0</v>
      </c>
      <c r="AH12" s="61">
        <v>0</v>
      </c>
      <c r="AI12" s="61">
        <v>0</v>
      </c>
      <c r="AJ12" s="61">
        <v>0</v>
      </c>
      <c r="AK12" s="61">
        <v>0</v>
      </c>
      <c r="AL12" s="61">
        <v>0</v>
      </c>
      <c r="AM12" s="61">
        <v>0</v>
      </c>
      <c r="AN12" s="61">
        <v>0</v>
      </c>
      <c r="AO12" s="61">
        <v>0</v>
      </c>
      <c r="AP12" s="72"/>
      <c r="AQ12" s="11">
        <f t="shared" si="16"/>
        <v>46.879999999999995</v>
      </c>
      <c r="AR12" s="11">
        <f t="shared" si="17"/>
        <v>13.7</v>
      </c>
      <c r="AS12" s="11">
        <f t="shared" si="18"/>
        <v>52.610000000000007</v>
      </c>
      <c r="AT12" s="11" t="str">
        <f t="shared" si="19"/>
        <v/>
      </c>
      <c r="AU12" s="11" t="str">
        <f t="shared" si="20"/>
        <v/>
      </c>
      <c r="AV12" s="11">
        <f t="shared" si="21"/>
        <v>99.490000000000009</v>
      </c>
      <c r="AW12" s="11" t="str">
        <f t="shared" si="22"/>
        <v/>
      </c>
      <c r="AX12" s="11" t="str">
        <f t="shared" si="23"/>
        <v/>
      </c>
      <c r="AY12" s="11">
        <f t="shared" si="24"/>
        <v>99.490000000000009</v>
      </c>
      <c r="AZ12" s="67"/>
      <c r="BA12" s="67"/>
      <c r="BB12" s="67"/>
      <c r="BC12" s="67"/>
      <c r="BD12" s="67"/>
      <c r="BE12" s="67"/>
      <c r="BF12" s="67"/>
      <c r="BG12" s="67"/>
      <c r="BH12" s="67"/>
      <c r="BI12" s="67"/>
      <c r="BJ12" s="67"/>
      <c r="BK12" s="67"/>
      <c r="BL12" s="67"/>
      <c r="BM12" s="67"/>
      <c r="BN12" s="67"/>
      <c r="BO12" s="67"/>
      <c r="BP12" s="67"/>
      <c r="BQ12" s="67"/>
      <c r="BR12" s="67"/>
      <c r="BS12" s="67"/>
      <c r="BT12" s="73"/>
      <c r="BU12" s="14" t="str">
        <f t="shared" si="25"/>
        <v/>
      </c>
      <c r="BV12" s="14" t="str">
        <f t="shared" si="26"/>
        <v/>
      </c>
      <c r="BW12" s="14" t="str">
        <f t="shared" si="27"/>
        <v/>
      </c>
      <c r="BX12" s="14" t="str">
        <f t="shared" si="28"/>
        <v/>
      </c>
      <c r="BY12" s="14" t="str">
        <f t="shared" si="29"/>
        <v/>
      </c>
      <c r="BZ12" s="14" t="str">
        <f t="shared" si="30"/>
        <v/>
      </c>
      <c r="CA12" s="14" t="str">
        <f t="shared" si="31"/>
        <v/>
      </c>
      <c r="CB12" s="14" t="str">
        <f t="shared" si="32"/>
        <v/>
      </c>
      <c r="CC12" s="14" t="str">
        <f t="shared" si="33"/>
        <v/>
      </c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72"/>
      <c r="CY12" s="11" t="str">
        <f t="shared" si="34"/>
        <v/>
      </c>
      <c r="CZ12" s="11" t="str">
        <f t="shared" si="35"/>
        <v/>
      </c>
      <c r="DA12" s="11" t="str">
        <f t="shared" si="36"/>
        <v/>
      </c>
      <c r="DB12" s="11" t="str">
        <f t="shared" si="37"/>
        <v/>
      </c>
      <c r="DC12" s="11" t="str">
        <f t="shared" si="38"/>
        <v/>
      </c>
      <c r="DD12" s="11" t="str">
        <f t="shared" si="39"/>
        <v/>
      </c>
      <c r="DE12" s="11" t="str">
        <f t="shared" si="40"/>
        <v/>
      </c>
      <c r="DF12" s="11" t="str">
        <f t="shared" si="41"/>
        <v/>
      </c>
      <c r="DG12" s="11" t="str">
        <f t="shared" si="42"/>
        <v/>
      </c>
      <c r="DH12" s="23" t="str">
        <f t="shared" si="43"/>
        <v/>
      </c>
      <c r="DI12" s="23" t="str">
        <f t="shared" si="44"/>
        <v/>
      </c>
      <c r="DJ12" s="23" t="str">
        <f t="shared" si="45"/>
        <v/>
      </c>
      <c r="DK12" s="23" t="str">
        <f t="shared" si="46"/>
        <v/>
      </c>
      <c r="DL12" s="35"/>
      <c r="DM12" s="35"/>
      <c r="DN12" s="35"/>
      <c r="DO12" s="35"/>
      <c r="DP12" s="35"/>
      <c r="DQ12" s="35"/>
      <c r="DR12" s="35"/>
      <c r="DS12" s="35"/>
      <c r="DT12" s="35"/>
      <c r="DU12" s="35"/>
      <c r="DV12" s="35"/>
      <c r="DW12" s="35"/>
      <c r="DX12" s="35"/>
      <c r="DY12" s="35"/>
      <c r="DZ12" s="35"/>
      <c r="EA12" s="11" t="str">
        <f t="shared" si="47"/>
        <v/>
      </c>
      <c r="EB12" s="11" t="str">
        <f t="shared" si="48"/>
        <v/>
      </c>
      <c r="EC12" s="11" t="str">
        <f t="shared" si="49"/>
        <v/>
      </c>
      <c r="ED12" s="11" t="str">
        <f t="shared" si="50"/>
        <v/>
      </c>
      <c r="EE12" s="11" t="str">
        <f t="shared" si="51"/>
        <v/>
      </c>
      <c r="EF12" s="11" t="str">
        <f t="shared" si="52"/>
        <v/>
      </c>
      <c r="EG12" s="11" t="str">
        <f t="shared" si="53"/>
        <v/>
      </c>
      <c r="EH12" s="36"/>
      <c r="EI12" s="36"/>
      <c r="EJ12" s="36"/>
      <c r="EK12" s="36"/>
      <c r="EL12" s="36"/>
      <c r="EM12" s="36"/>
      <c r="EN12" s="36"/>
      <c r="EO12" s="36"/>
      <c r="EP12" s="36"/>
      <c r="EQ12" s="36"/>
      <c r="ER12" s="36"/>
      <c r="ES12" s="36"/>
      <c r="ET12" s="36"/>
      <c r="EU12" s="36"/>
      <c r="EV12" s="36"/>
      <c r="EW12" s="14" t="str">
        <f t="shared" si="54"/>
        <v/>
      </c>
      <c r="EX12" s="14" t="str">
        <f t="shared" si="55"/>
        <v/>
      </c>
      <c r="EY12" s="14" t="str">
        <f t="shared" si="56"/>
        <v/>
      </c>
      <c r="EZ12" s="14" t="str">
        <f t="shared" si="57"/>
        <v/>
      </c>
      <c r="FA12" s="14" t="str">
        <f t="shared" si="58"/>
        <v/>
      </c>
      <c r="FB12" s="14" t="str">
        <f t="shared" si="59"/>
        <v/>
      </c>
      <c r="FC12" s="14" t="str">
        <f t="shared" si="60"/>
        <v/>
      </c>
      <c r="FD12" s="35"/>
      <c r="FE12" s="35"/>
      <c r="FF12" s="35"/>
      <c r="FG12" s="35"/>
      <c r="FH12" s="35"/>
      <c r="FI12" s="35"/>
      <c r="FJ12" s="35"/>
      <c r="FK12" s="35"/>
      <c r="FL12" s="35"/>
      <c r="FM12" s="35"/>
      <c r="FN12" s="35"/>
      <c r="FO12" s="35"/>
      <c r="FP12" s="35"/>
      <c r="FQ12" s="35"/>
      <c r="FR12" s="35"/>
      <c r="FS12" s="11" t="str">
        <f t="shared" si="61"/>
        <v/>
      </c>
      <c r="FT12" s="11" t="str">
        <f t="shared" si="62"/>
        <v/>
      </c>
      <c r="FU12" s="11" t="str">
        <f t="shared" si="63"/>
        <v/>
      </c>
      <c r="FV12" s="11" t="str">
        <f t="shared" si="64"/>
        <v/>
      </c>
      <c r="FW12" s="11" t="str">
        <f t="shared" si="65"/>
        <v/>
      </c>
      <c r="FX12" s="11" t="str">
        <f t="shared" si="66"/>
        <v/>
      </c>
      <c r="FY12" s="11" t="str">
        <f t="shared" si="67"/>
        <v/>
      </c>
      <c r="FZ12" s="36"/>
      <c r="GA12" s="36"/>
      <c r="GB12" s="36"/>
      <c r="GC12" s="36"/>
      <c r="GD12" s="36"/>
      <c r="GE12" s="36"/>
      <c r="GF12" s="36"/>
      <c r="GG12" s="36"/>
      <c r="GH12" s="36"/>
      <c r="GI12" s="36"/>
      <c r="GJ12" s="36"/>
      <c r="GK12" s="36"/>
      <c r="GL12" s="36"/>
      <c r="GM12" s="36"/>
      <c r="GN12" s="36"/>
      <c r="GO12" s="14" t="str">
        <f t="shared" si="68"/>
        <v/>
      </c>
      <c r="GP12" s="14" t="str">
        <f t="shared" si="69"/>
        <v/>
      </c>
      <c r="GQ12" s="14" t="str">
        <f t="shared" si="70"/>
        <v/>
      </c>
      <c r="GR12" s="14" t="str">
        <f t="shared" si="71"/>
        <v/>
      </c>
      <c r="GS12" s="14" t="str">
        <f t="shared" si="72"/>
        <v/>
      </c>
      <c r="GT12" s="14" t="str">
        <f t="shared" si="73"/>
        <v/>
      </c>
      <c r="GU12" s="14" t="str">
        <f t="shared" si="74"/>
        <v/>
      </c>
      <c r="GV12" s="35"/>
      <c r="GW12" s="35"/>
      <c r="GX12" s="35"/>
      <c r="GY12" s="35"/>
      <c r="GZ12" s="35"/>
      <c r="HA12" s="35"/>
      <c r="HB12" s="35"/>
      <c r="HC12" s="35"/>
      <c r="HD12" s="35"/>
      <c r="HE12" s="35"/>
      <c r="HF12" s="35"/>
      <c r="HG12" s="35"/>
      <c r="HH12" s="35"/>
      <c r="HI12" s="35"/>
      <c r="HJ12" s="35"/>
      <c r="HK12" s="11" t="str">
        <f t="shared" si="75"/>
        <v/>
      </c>
      <c r="HL12" s="11" t="str">
        <f t="shared" si="76"/>
        <v/>
      </c>
      <c r="HM12" s="11" t="str">
        <f t="shared" si="77"/>
        <v/>
      </c>
      <c r="HN12" s="11" t="str">
        <f t="shared" si="78"/>
        <v/>
      </c>
      <c r="HO12" s="11" t="str">
        <f t="shared" si="79"/>
        <v/>
      </c>
      <c r="HP12" s="11" t="str">
        <f t="shared" si="80"/>
        <v/>
      </c>
      <c r="HQ12" s="11" t="str">
        <f t="shared" si="81"/>
        <v/>
      </c>
      <c r="HR12" s="36"/>
      <c r="HS12" s="36"/>
      <c r="HT12" s="36"/>
      <c r="HU12" s="36"/>
      <c r="HV12" s="36"/>
      <c r="HW12" s="36"/>
      <c r="HX12" s="36"/>
      <c r="HY12" s="36"/>
      <c r="HZ12" s="36"/>
      <c r="IA12" s="36"/>
      <c r="IB12" s="36"/>
      <c r="IC12" s="36"/>
      <c r="ID12" s="36"/>
      <c r="IE12" s="36"/>
      <c r="IF12" s="36"/>
      <c r="IG12" s="14" t="str">
        <f t="shared" si="82"/>
        <v/>
      </c>
      <c r="IH12" s="14" t="str">
        <f t="shared" si="83"/>
        <v/>
      </c>
      <c r="II12" s="14" t="str">
        <f t="shared" si="84"/>
        <v/>
      </c>
      <c r="IJ12" s="14" t="str">
        <f t="shared" si="85"/>
        <v/>
      </c>
      <c r="IK12" s="14" t="str">
        <f t="shared" si="86"/>
        <v/>
      </c>
      <c r="IL12" s="14" t="str">
        <f t="shared" si="87"/>
        <v/>
      </c>
      <c r="IM12" s="14" t="str">
        <f t="shared" si="88"/>
        <v/>
      </c>
      <c r="IN12" s="35"/>
      <c r="IO12" s="35"/>
      <c r="IP12" s="35"/>
      <c r="IQ12" s="35"/>
      <c r="IR12" s="35"/>
      <c r="IS12" s="35"/>
      <c r="IT12" s="35"/>
      <c r="IU12" s="35"/>
      <c r="IV12" s="35"/>
      <c r="IW12" s="35"/>
      <c r="IX12" s="35"/>
      <c r="IY12" s="35"/>
      <c r="IZ12" s="35"/>
      <c r="JA12" s="35"/>
      <c r="JB12" s="35"/>
      <c r="JC12" s="11" t="str">
        <f t="shared" si="89"/>
        <v/>
      </c>
      <c r="JD12" s="11" t="str">
        <f t="shared" si="90"/>
        <v/>
      </c>
      <c r="JE12" s="11" t="str">
        <f t="shared" si="91"/>
        <v/>
      </c>
      <c r="JF12" s="11" t="str">
        <f t="shared" si="92"/>
        <v/>
      </c>
      <c r="JG12" s="11" t="str">
        <f t="shared" si="93"/>
        <v/>
      </c>
      <c r="JH12" s="11" t="str">
        <f t="shared" si="94"/>
        <v/>
      </c>
      <c r="JI12" s="11" t="str">
        <f t="shared" si="95"/>
        <v/>
      </c>
      <c r="JJ12" s="36"/>
      <c r="JK12" s="36"/>
      <c r="JL12" s="36"/>
      <c r="JM12" s="36"/>
      <c r="JN12" s="36"/>
      <c r="JO12" s="36"/>
      <c r="JP12" s="36"/>
      <c r="JQ12" s="36"/>
      <c r="JR12" s="36"/>
      <c r="JS12" s="36"/>
      <c r="JT12" s="36"/>
      <c r="JU12" s="36"/>
      <c r="JV12" s="36"/>
      <c r="JW12" s="36"/>
      <c r="JX12" s="36"/>
      <c r="JY12" s="14" t="str">
        <f t="shared" si="96"/>
        <v/>
      </c>
      <c r="JZ12" s="14" t="str">
        <f t="shared" si="97"/>
        <v/>
      </c>
      <c r="KA12" s="14" t="str">
        <f t="shared" si="98"/>
        <v/>
      </c>
      <c r="KB12" s="14" t="str">
        <f t="shared" si="99"/>
        <v/>
      </c>
      <c r="KC12" s="14" t="str">
        <f t="shared" si="100"/>
        <v/>
      </c>
      <c r="KD12" s="14" t="str">
        <f t="shared" si="101"/>
        <v/>
      </c>
      <c r="KE12" s="14" t="str">
        <f t="shared" si="102"/>
        <v/>
      </c>
      <c r="KF12" s="35"/>
      <c r="KG12" s="35"/>
      <c r="KH12" s="35"/>
      <c r="KI12" s="35"/>
      <c r="KJ12" s="35"/>
      <c r="KK12" s="35"/>
      <c r="KL12" s="35"/>
      <c r="KM12" s="35"/>
      <c r="KN12" s="35"/>
      <c r="KO12" s="35"/>
      <c r="KP12" s="35"/>
      <c r="KQ12" s="35"/>
      <c r="KR12" s="35"/>
      <c r="KS12" s="35"/>
      <c r="KT12" s="35"/>
      <c r="KU12" s="11" t="str">
        <f t="shared" si="103"/>
        <v/>
      </c>
      <c r="KV12" s="11" t="str">
        <f t="shared" si="104"/>
        <v/>
      </c>
      <c r="KW12" s="11" t="str">
        <f t="shared" si="105"/>
        <v/>
      </c>
      <c r="KX12" s="11" t="str">
        <f t="shared" si="106"/>
        <v/>
      </c>
      <c r="KY12" s="11" t="str">
        <f t="shared" si="107"/>
        <v/>
      </c>
      <c r="KZ12" s="11" t="str">
        <f t="shared" si="108"/>
        <v/>
      </c>
      <c r="LA12" s="11" t="str">
        <f t="shared" si="109"/>
        <v/>
      </c>
      <c r="LB12" s="36"/>
      <c r="LC12" s="36"/>
      <c r="LD12" s="36"/>
      <c r="LE12" s="36"/>
      <c r="LF12" s="36"/>
      <c r="LG12" s="36"/>
      <c r="LH12" s="36"/>
      <c r="LI12" s="36"/>
      <c r="LJ12" s="36"/>
      <c r="LK12" s="36"/>
      <c r="LL12" s="36"/>
      <c r="LM12" s="36"/>
      <c r="LN12" s="36"/>
      <c r="LO12" s="36"/>
      <c r="LP12" s="36"/>
      <c r="LQ12" s="14" t="str">
        <f t="shared" si="110"/>
        <v/>
      </c>
      <c r="LR12" s="14" t="str">
        <f t="shared" si="111"/>
        <v/>
      </c>
      <c r="LS12" s="14" t="str">
        <f t="shared" si="112"/>
        <v/>
      </c>
      <c r="LT12" s="14" t="str">
        <f t="shared" si="113"/>
        <v/>
      </c>
      <c r="LU12" s="14" t="str">
        <f t="shared" si="114"/>
        <v/>
      </c>
      <c r="LV12" s="14" t="str">
        <f t="shared" si="115"/>
        <v/>
      </c>
      <c r="LW12" s="14" t="str">
        <f t="shared" si="116"/>
        <v/>
      </c>
      <c r="LX12" s="35"/>
      <c r="LY12" s="35"/>
      <c r="LZ12" s="35"/>
      <c r="MA12" s="35"/>
      <c r="MB12" s="35"/>
      <c r="MC12" s="35"/>
      <c r="MD12" s="35"/>
      <c r="ME12" s="35"/>
      <c r="MF12" s="35"/>
      <c r="MG12" s="35"/>
      <c r="MH12" s="100"/>
      <c r="MI12" s="35"/>
      <c r="MJ12" s="35"/>
      <c r="MK12" s="35"/>
      <c r="ML12" s="35"/>
      <c r="MM12" s="11" t="str">
        <f t="shared" si="117"/>
        <v/>
      </c>
      <c r="MN12" s="11" t="str">
        <f t="shared" si="118"/>
        <v/>
      </c>
      <c r="MO12" s="11" t="str">
        <f t="shared" si="119"/>
        <v/>
      </c>
      <c r="MP12" s="11" t="str">
        <f t="shared" si="120"/>
        <v/>
      </c>
      <c r="MQ12" s="11" t="str">
        <f t="shared" si="121"/>
        <v/>
      </c>
      <c r="MR12" s="11" t="str">
        <f t="shared" si="122"/>
        <v/>
      </c>
      <c r="MS12" s="11" t="str">
        <f t="shared" si="123"/>
        <v/>
      </c>
      <c r="MT12" s="36"/>
      <c r="MU12" s="36"/>
      <c r="MV12" s="36"/>
      <c r="MW12" s="36"/>
      <c r="MX12" s="36"/>
      <c r="MY12" s="36"/>
      <c r="MZ12" s="36"/>
      <c r="NA12" s="36"/>
      <c r="NB12" s="36"/>
      <c r="NC12" s="36"/>
      <c r="ND12" s="36"/>
      <c r="NE12" s="36"/>
      <c r="NF12" s="36"/>
      <c r="NG12" s="36"/>
      <c r="NH12" s="36"/>
      <c r="NI12" s="14" t="str">
        <f t="shared" si="124"/>
        <v/>
      </c>
      <c r="NJ12" s="14" t="str">
        <f t="shared" si="125"/>
        <v/>
      </c>
      <c r="NK12" s="14" t="str">
        <f t="shared" si="126"/>
        <v/>
      </c>
      <c r="NL12" s="14" t="str">
        <f t="shared" si="127"/>
        <v/>
      </c>
      <c r="NM12" s="14" t="str">
        <f t="shared" si="128"/>
        <v/>
      </c>
      <c r="NN12" s="14" t="str">
        <f t="shared" si="129"/>
        <v/>
      </c>
      <c r="NO12" s="14" t="str">
        <f t="shared" si="130"/>
        <v/>
      </c>
      <c r="NP12" s="61">
        <f t="shared" si="131"/>
        <v>0</v>
      </c>
      <c r="NQ12" s="61">
        <f t="shared" si="132"/>
        <v>0</v>
      </c>
      <c r="NR12" s="61">
        <f t="shared" si="133"/>
        <v>0</v>
      </c>
      <c r="NS12" s="61">
        <f t="shared" si="134"/>
        <v>0</v>
      </c>
      <c r="NT12" s="61">
        <f t="shared" si="135"/>
        <v>0</v>
      </c>
      <c r="NU12" s="61">
        <f t="shared" si="136"/>
        <v>0</v>
      </c>
      <c r="NV12" s="61">
        <f t="shared" si="137"/>
        <v>0</v>
      </c>
      <c r="NW12" s="61">
        <f t="shared" si="138"/>
        <v>0</v>
      </c>
      <c r="NX12" s="61">
        <f t="shared" si="139"/>
        <v>0</v>
      </c>
      <c r="NY12" s="61">
        <f t="shared" si="140"/>
        <v>0</v>
      </c>
      <c r="NZ12" s="61">
        <f t="shared" si="141"/>
        <v>0</v>
      </c>
      <c r="OA12" s="61">
        <f t="shared" si="142"/>
        <v>0</v>
      </c>
      <c r="OB12" s="61">
        <f t="shared" si="143"/>
        <v>0</v>
      </c>
      <c r="OC12" s="61">
        <f t="shared" si="144"/>
        <v>0</v>
      </c>
      <c r="OD12" s="61">
        <f t="shared" si="145"/>
        <v>0</v>
      </c>
      <c r="OE12" s="61">
        <f t="shared" si="146"/>
        <v>0</v>
      </c>
      <c r="OF12" s="61">
        <f t="shared" si="147"/>
        <v>0</v>
      </c>
      <c r="OG12" s="61">
        <f t="shared" si="148"/>
        <v>0</v>
      </c>
      <c r="OH12" s="61">
        <f t="shared" si="149"/>
        <v>0</v>
      </c>
      <c r="OI12" s="61">
        <f t="shared" si="150"/>
        <v>0</v>
      </c>
      <c r="OJ12" s="72" t="s">
        <v>52</v>
      </c>
      <c r="OK12" s="11" t="str">
        <f t="shared" si="151"/>
        <v/>
      </c>
      <c r="OL12" s="11" t="str">
        <f t="shared" si="152"/>
        <v/>
      </c>
      <c r="OM12" s="11" t="str">
        <f t="shared" si="153"/>
        <v/>
      </c>
      <c r="ON12" s="11" t="str">
        <f t="shared" si="154"/>
        <v/>
      </c>
      <c r="OO12" s="11" t="str">
        <f t="shared" si="155"/>
        <v/>
      </c>
      <c r="OP12" s="11" t="str">
        <f t="shared" si="156"/>
        <v/>
      </c>
      <c r="OQ12" s="11" t="str">
        <f t="shared" si="157"/>
        <v/>
      </c>
      <c r="OR12" s="11" t="str">
        <f t="shared" ref="OR12" si="162">IF(SUM(OE12:OH12)-OI12&gt;0,SUM(OE12:OH12)-OI12,"")</f>
        <v/>
      </c>
      <c r="OS12" s="11" t="str">
        <f t="shared" ref="OS12" si="163">IF(SUM(OP12,OR12)&gt;0,SUM(OP12,OR12),"")</f>
        <v/>
      </c>
    </row>
    <row r="13" spans="1:409" x14ac:dyDescent="0.2">
      <c r="A13" s="5" cm="1">
        <f t="array" ref="A13">IF(AND(G13&lt;&gt;"",H13&lt;&gt;""),SUMPRODUCT((G$4:G$24&lt;&gt;"")*(H$4:H$24&lt;&gt;"")*(E$4:E$24&gt;E13))+1,IF(H13&lt;&gt;"",SUMPRODUCT((I$4:I$24="No DD")*(E$4:E$24&gt;E13))+1+SUMPRODUCT((G$4:G$24&lt;&gt;"")*(H$4:H$24&lt;&gt;"")),""))</f>
        <v>8</v>
      </c>
      <c r="B13" s="6" t="s">
        <v>136</v>
      </c>
      <c r="C13" s="7" t="s">
        <v>137</v>
      </c>
      <c r="D13" s="26">
        <v>2004</v>
      </c>
      <c r="E13" s="15">
        <f t="shared" si="0"/>
        <v>104.985</v>
      </c>
      <c r="F13" s="3" t="str">
        <f t="shared" si="1"/>
        <v/>
      </c>
      <c r="G13" s="115" t="str">
        <f t="shared" si="2"/>
        <v/>
      </c>
      <c r="H13" s="115" t="str">
        <f t="shared" si="3"/>
        <v>National Team</v>
      </c>
      <c r="I13" s="116" t="str">
        <f t="shared" si="4"/>
        <v>No DD</v>
      </c>
      <c r="J13" s="3" t="str">
        <f t="shared" si="5"/>
        <v/>
      </c>
      <c r="K13" s="14">
        <f t="shared" si="6"/>
        <v>95.685000000000002</v>
      </c>
      <c r="L13" s="14" t="str">
        <f t="shared" si="7"/>
        <v>2021 Elite Canada</v>
      </c>
      <c r="M13" s="14">
        <f t="shared" si="8"/>
        <v>0</v>
      </c>
      <c r="N13" s="14" t="str">
        <f t="shared" si="9"/>
        <v/>
      </c>
      <c r="O13" s="14">
        <f t="shared" si="10"/>
        <v>53.11</v>
      </c>
      <c r="P13" s="14" t="str">
        <f t="shared" si="11"/>
        <v>2021 Elite Canada</v>
      </c>
      <c r="Q13" s="14">
        <f>IF(COUNT(AS13,AU13,AX13,BW13,BY13,CB13,DA13,DC13,DF13)&gt;1,LARGE((AS13,AU13,AX13,BW13,BY13,CB13,DA13,DC13,DF13),2),0)</f>
        <v>51.875</v>
      </c>
      <c r="R13" s="14" t="str">
        <f t="shared" si="12"/>
        <v>2021 Elite Canada</v>
      </c>
      <c r="S13" s="14" t="str">
        <f t="shared" si="13"/>
        <v/>
      </c>
      <c r="T13" s="24" t="str">
        <f t="shared" si="14"/>
        <v/>
      </c>
      <c r="U13" s="14" t="str">
        <f t="shared" si="15"/>
        <v/>
      </c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72"/>
      <c r="AQ13" s="11" t="str">
        <f t="shared" si="16"/>
        <v/>
      </c>
      <c r="AR13" s="11" t="str">
        <f t="shared" si="17"/>
        <v/>
      </c>
      <c r="AS13" s="11" t="str">
        <f t="shared" si="18"/>
        <v/>
      </c>
      <c r="AT13" s="11" t="str">
        <f t="shared" si="19"/>
        <v/>
      </c>
      <c r="AU13" s="11" t="str">
        <f t="shared" si="20"/>
        <v/>
      </c>
      <c r="AV13" s="11" t="str">
        <f t="shared" si="21"/>
        <v/>
      </c>
      <c r="AW13" s="11" t="str">
        <f t="shared" si="22"/>
        <v/>
      </c>
      <c r="AX13" s="11" t="str">
        <f t="shared" si="23"/>
        <v/>
      </c>
      <c r="AY13" s="11" t="str">
        <f t="shared" si="24"/>
        <v/>
      </c>
      <c r="AZ13" s="67"/>
      <c r="BA13" s="67"/>
      <c r="BB13" s="67"/>
      <c r="BC13" s="67"/>
      <c r="BD13" s="67"/>
      <c r="BE13" s="67"/>
      <c r="BF13" s="67"/>
      <c r="BG13" s="67"/>
      <c r="BH13" s="67"/>
      <c r="BI13" s="67"/>
      <c r="BJ13" s="67"/>
      <c r="BK13" s="67"/>
      <c r="BL13" s="67"/>
      <c r="BM13" s="67"/>
      <c r="BN13" s="67"/>
      <c r="BO13" s="67"/>
      <c r="BP13" s="67"/>
      <c r="BQ13" s="67"/>
      <c r="BR13" s="67"/>
      <c r="BS13" s="67"/>
      <c r="BT13" s="73"/>
      <c r="BU13" s="14" t="str">
        <f t="shared" si="25"/>
        <v/>
      </c>
      <c r="BV13" s="14" t="str">
        <f t="shared" si="26"/>
        <v/>
      </c>
      <c r="BW13" s="14" t="str">
        <f t="shared" si="27"/>
        <v/>
      </c>
      <c r="BX13" s="14" t="str">
        <f t="shared" si="28"/>
        <v/>
      </c>
      <c r="BY13" s="14" t="str">
        <f t="shared" si="29"/>
        <v/>
      </c>
      <c r="BZ13" s="14" t="str">
        <f t="shared" si="30"/>
        <v/>
      </c>
      <c r="CA13" s="14" t="str">
        <f t="shared" si="31"/>
        <v/>
      </c>
      <c r="CB13" s="14" t="str">
        <f t="shared" si="32"/>
        <v/>
      </c>
      <c r="CC13" s="14" t="str">
        <f t="shared" si="33"/>
        <v/>
      </c>
      <c r="CD13" s="61">
        <v>14.9</v>
      </c>
      <c r="CE13" s="61">
        <v>8.4</v>
      </c>
      <c r="CF13" s="61">
        <v>3.8</v>
      </c>
      <c r="CG13" s="61">
        <v>16.71</v>
      </c>
      <c r="CH13" s="61">
        <v>0</v>
      </c>
      <c r="CI13" s="61">
        <v>15</v>
      </c>
      <c r="CJ13" s="61">
        <v>8.3000000000000007</v>
      </c>
      <c r="CK13" s="61">
        <v>12.5</v>
      </c>
      <c r="CL13" s="61">
        <v>16.074999999999999</v>
      </c>
      <c r="CM13" s="61">
        <v>0</v>
      </c>
      <c r="CN13" s="61"/>
      <c r="CO13" s="61"/>
      <c r="CP13" s="61"/>
      <c r="CQ13" s="61"/>
      <c r="CR13" s="61"/>
      <c r="CS13" s="61">
        <v>15.8</v>
      </c>
      <c r="CT13" s="61">
        <v>8.6</v>
      </c>
      <c r="CU13" s="61">
        <v>12.5</v>
      </c>
      <c r="CV13" s="61">
        <v>16.21</v>
      </c>
      <c r="CW13" s="61">
        <v>0</v>
      </c>
      <c r="CX13" s="72"/>
      <c r="CY13" s="11">
        <f t="shared" si="34"/>
        <v>43.81</v>
      </c>
      <c r="CZ13" s="11">
        <f t="shared" si="35"/>
        <v>12.5</v>
      </c>
      <c r="DA13" s="11">
        <f t="shared" si="36"/>
        <v>51.875</v>
      </c>
      <c r="DB13" s="11" t="str">
        <f t="shared" si="37"/>
        <v/>
      </c>
      <c r="DC13" s="11" t="str">
        <f t="shared" si="38"/>
        <v/>
      </c>
      <c r="DD13" s="11">
        <f t="shared" si="39"/>
        <v>95.685000000000002</v>
      </c>
      <c r="DE13" s="11">
        <f t="shared" si="40"/>
        <v>12.5</v>
      </c>
      <c r="DF13" s="11">
        <f t="shared" si="41"/>
        <v>53.11</v>
      </c>
      <c r="DG13" s="11">
        <f t="shared" si="42"/>
        <v>148.79500000000002</v>
      </c>
      <c r="DH13" s="23" t="str">
        <f t="shared" si="43"/>
        <v/>
      </c>
      <c r="DI13" s="23" t="str">
        <f t="shared" si="44"/>
        <v/>
      </c>
      <c r="DJ13" s="23" t="str">
        <f t="shared" si="45"/>
        <v/>
      </c>
      <c r="DK13" s="23" t="str">
        <f t="shared" si="46"/>
        <v/>
      </c>
      <c r="DL13" s="35"/>
      <c r="DM13" s="35"/>
      <c r="DN13" s="35"/>
      <c r="DO13" s="35"/>
      <c r="DP13" s="35"/>
      <c r="DQ13" s="35"/>
      <c r="DR13" s="35"/>
      <c r="DS13" s="35"/>
      <c r="DT13" s="35"/>
      <c r="DU13" s="35"/>
      <c r="DV13" s="35"/>
      <c r="DW13" s="35"/>
      <c r="DX13" s="35"/>
      <c r="DY13" s="35"/>
      <c r="DZ13" s="35"/>
      <c r="EA13" s="11" t="str">
        <f t="shared" si="47"/>
        <v/>
      </c>
      <c r="EB13" s="11" t="str">
        <f t="shared" si="48"/>
        <v/>
      </c>
      <c r="EC13" s="11" t="str">
        <f t="shared" si="49"/>
        <v/>
      </c>
      <c r="ED13" s="11" t="str">
        <f t="shared" si="50"/>
        <v/>
      </c>
      <c r="EE13" s="11" t="str">
        <f t="shared" si="51"/>
        <v/>
      </c>
      <c r="EF13" s="11" t="str">
        <f t="shared" si="52"/>
        <v/>
      </c>
      <c r="EG13" s="11" t="str">
        <f t="shared" si="53"/>
        <v/>
      </c>
      <c r="EH13" s="36"/>
      <c r="EI13" s="36"/>
      <c r="EJ13" s="36"/>
      <c r="EK13" s="36"/>
      <c r="EL13" s="36"/>
      <c r="EM13" s="36"/>
      <c r="EN13" s="36"/>
      <c r="EO13" s="36"/>
      <c r="EP13" s="36"/>
      <c r="EQ13" s="36"/>
      <c r="ER13" s="36"/>
      <c r="ES13" s="36"/>
      <c r="ET13" s="36"/>
      <c r="EU13" s="36"/>
      <c r="EV13" s="36"/>
      <c r="EW13" s="14" t="str">
        <f t="shared" si="54"/>
        <v/>
      </c>
      <c r="EX13" s="14" t="str">
        <f t="shared" si="55"/>
        <v/>
      </c>
      <c r="EY13" s="14" t="str">
        <f t="shared" si="56"/>
        <v/>
      </c>
      <c r="EZ13" s="14" t="str">
        <f t="shared" si="57"/>
        <v/>
      </c>
      <c r="FA13" s="14" t="str">
        <f t="shared" si="58"/>
        <v/>
      </c>
      <c r="FB13" s="14" t="str">
        <f t="shared" si="59"/>
        <v/>
      </c>
      <c r="FC13" s="14" t="str">
        <f t="shared" si="60"/>
        <v/>
      </c>
      <c r="FD13" s="35"/>
      <c r="FE13" s="35"/>
      <c r="FF13" s="35"/>
      <c r="FG13" s="35"/>
      <c r="FH13" s="35"/>
      <c r="FI13" s="35"/>
      <c r="FJ13" s="35"/>
      <c r="FK13" s="35"/>
      <c r="FL13" s="35"/>
      <c r="FM13" s="35"/>
      <c r="FN13" s="35"/>
      <c r="FO13" s="35"/>
      <c r="FP13" s="35"/>
      <c r="FQ13" s="35"/>
      <c r="FR13" s="35"/>
      <c r="FS13" s="11" t="str">
        <f t="shared" si="61"/>
        <v/>
      </c>
      <c r="FT13" s="11" t="str">
        <f t="shared" si="62"/>
        <v/>
      </c>
      <c r="FU13" s="11" t="str">
        <f t="shared" si="63"/>
        <v/>
      </c>
      <c r="FV13" s="11" t="str">
        <f t="shared" si="64"/>
        <v/>
      </c>
      <c r="FW13" s="11" t="str">
        <f t="shared" si="65"/>
        <v/>
      </c>
      <c r="FX13" s="11" t="str">
        <f t="shared" si="66"/>
        <v/>
      </c>
      <c r="FY13" s="11" t="str">
        <f t="shared" si="67"/>
        <v/>
      </c>
      <c r="FZ13" s="36"/>
      <c r="GA13" s="36"/>
      <c r="GB13" s="36"/>
      <c r="GC13" s="36"/>
      <c r="GD13" s="36"/>
      <c r="GE13" s="36"/>
      <c r="GF13" s="36"/>
      <c r="GG13" s="36"/>
      <c r="GH13" s="36"/>
      <c r="GI13" s="36"/>
      <c r="GJ13" s="36"/>
      <c r="GK13" s="36"/>
      <c r="GL13" s="36"/>
      <c r="GM13" s="36"/>
      <c r="GN13" s="36"/>
      <c r="GO13" s="14" t="str">
        <f t="shared" si="68"/>
        <v/>
      </c>
      <c r="GP13" s="14" t="str">
        <f t="shared" si="69"/>
        <v/>
      </c>
      <c r="GQ13" s="14" t="str">
        <f t="shared" si="70"/>
        <v/>
      </c>
      <c r="GR13" s="14" t="str">
        <f t="shared" si="71"/>
        <v/>
      </c>
      <c r="GS13" s="14" t="str">
        <f t="shared" si="72"/>
        <v/>
      </c>
      <c r="GT13" s="14" t="str">
        <f t="shared" si="73"/>
        <v/>
      </c>
      <c r="GU13" s="14" t="str">
        <f t="shared" si="74"/>
        <v/>
      </c>
      <c r="GV13" s="35"/>
      <c r="GW13" s="35"/>
      <c r="GX13" s="35"/>
      <c r="GY13" s="35"/>
      <c r="GZ13" s="35"/>
      <c r="HA13" s="35"/>
      <c r="HB13" s="35"/>
      <c r="HC13" s="35"/>
      <c r="HD13" s="35"/>
      <c r="HE13" s="35"/>
      <c r="HF13" s="35"/>
      <c r="HG13" s="35"/>
      <c r="HH13" s="35"/>
      <c r="HI13" s="35"/>
      <c r="HJ13" s="35"/>
      <c r="HK13" s="11" t="str">
        <f t="shared" si="75"/>
        <v/>
      </c>
      <c r="HL13" s="11" t="str">
        <f t="shared" si="76"/>
        <v/>
      </c>
      <c r="HM13" s="11" t="str">
        <f t="shared" si="77"/>
        <v/>
      </c>
      <c r="HN13" s="11" t="str">
        <f t="shared" si="78"/>
        <v/>
      </c>
      <c r="HO13" s="11" t="str">
        <f t="shared" si="79"/>
        <v/>
      </c>
      <c r="HP13" s="11" t="str">
        <f t="shared" si="80"/>
        <v/>
      </c>
      <c r="HQ13" s="11" t="str">
        <f t="shared" si="81"/>
        <v/>
      </c>
      <c r="HR13" s="36"/>
      <c r="HS13" s="36"/>
      <c r="HT13" s="36"/>
      <c r="HU13" s="36"/>
      <c r="HV13" s="36"/>
      <c r="HW13" s="36"/>
      <c r="HX13" s="36"/>
      <c r="HY13" s="36"/>
      <c r="HZ13" s="36"/>
      <c r="IA13" s="36"/>
      <c r="IB13" s="36"/>
      <c r="IC13" s="36"/>
      <c r="ID13" s="36"/>
      <c r="IE13" s="36"/>
      <c r="IF13" s="36"/>
      <c r="IG13" s="14" t="str">
        <f t="shared" si="82"/>
        <v/>
      </c>
      <c r="IH13" s="14" t="str">
        <f t="shared" si="83"/>
        <v/>
      </c>
      <c r="II13" s="14" t="str">
        <f t="shared" si="84"/>
        <v/>
      </c>
      <c r="IJ13" s="14" t="str">
        <f t="shared" si="85"/>
        <v/>
      </c>
      <c r="IK13" s="14" t="str">
        <f t="shared" si="86"/>
        <v/>
      </c>
      <c r="IL13" s="14" t="str">
        <f t="shared" si="87"/>
        <v/>
      </c>
      <c r="IM13" s="14" t="str">
        <f t="shared" si="88"/>
        <v/>
      </c>
      <c r="IN13" s="35"/>
      <c r="IO13" s="35"/>
      <c r="IP13" s="35"/>
      <c r="IQ13" s="35"/>
      <c r="IR13" s="35"/>
      <c r="IS13" s="35"/>
      <c r="IT13" s="35"/>
      <c r="IU13" s="35"/>
      <c r="IV13" s="35"/>
      <c r="IW13" s="35"/>
      <c r="IX13" s="35"/>
      <c r="IY13" s="35"/>
      <c r="IZ13" s="35"/>
      <c r="JA13" s="35"/>
      <c r="JB13" s="35"/>
      <c r="JC13" s="11" t="str">
        <f t="shared" si="89"/>
        <v/>
      </c>
      <c r="JD13" s="11" t="str">
        <f t="shared" si="90"/>
        <v/>
      </c>
      <c r="JE13" s="11" t="str">
        <f t="shared" si="91"/>
        <v/>
      </c>
      <c r="JF13" s="11" t="str">
        <f t="shared" si="92"/>
        <v/>
      </c>
      <c r="JG13" s="11" t="str">
        <f t="shared" si="93"/>
        <v/>
      </c>
      <c r="JH13" s="11" t="str">
        <f t="shared" si="94"/>
        <v/>
      </c>
      <c r="JI13" s="11" t="str">
        <f t="shared" si="95"/>
        <v/>
      </c>
      <c r="JJ13" s="36"/>
      <c r="JK13" s="36"/>
      <c r="JL13" s="36"/>
      <c r="JM13" s="36"/>
      <c r="JN13" s="36"/>
      <c r="JO13" s="36"/>
      <c r="JP13" s="36"/>
      <c r="JQ13" s="36"/>
      <c r="JR13" s="36"/>
      <c r="JS13" s="36"/>
      <c r="JT13" s="36"/>
      <c r="JU13" s="36"/>
      <c r="JV13" s="36"/>
      <c r="JW13" s="36"/>
      <c r="JX13" s="36"/>
      <c r="JY13" s="14" t="str">
        <f t="shared" si="96"/>
        <v/>
      </c>
      <c r="JZ13" s="14" t="str">
        <f t="shared" si="97"/>
        <v/>
      </c>
      <c r="KA13" s="14" t="str">
        <f t="shared" si="98"/>
        <v/>
      </c>
      <c r="KB13" s="14" t="str">
        <f t="shared" si="99"/>
        <v/>
      </c>
      <c r="KC13" s="14" t="str">
        <f t="shared" si="100"/>
        <v/>
      </c>
      <c r="KD13" s="14" t="str">
        <f t="shared" si="101"/>
        <v/>
      </c>
      <c r="KE13" s="14" t="str">
        <f t="shared" si="102"/>
        <v/>
      </c>
      <c r="KF13" s="35"/>
      <c r="KG13" s="35"/>
      <c r="KH13" s="35"/>
      <c r="KI13" s="35"/>
      <c r="KJ13" s="35"/>
      <c r="KK13" s="35"/>
      <c r="KL13" s="35"/>
      <c r="KM13" s="35"/>
      <c r="KN13" s="35"/>
      <c r="KO13" s="35"/>
      <c r="KP13" s="35"/>
      <c r="KQ13" s="35"/>
      <c r="KR13" s="35"/>
      <c r="KS13" s="35"/>
      <c r="KT13" s="35"/>
      <c r="KU13" s="11" t="str">
        <f t="shared" si="103"/>
        <v/>
      </c>
      <c r="KV13" s="11" t="str">
        <f t="shared" si="104"/>
        <v/>
      </c>
      <c r="KW13" s="11" t="str">
        <f t="shared" si="105"/>
        <v/>
      </c>
      <c r="KX13" s="11" t="str">
        <f t="shared" si="106"/>
        <v/>
      </c>
      <c r="KY13" s="11" t="str">
        <f t="shared" si="107"/>
        <v/>
      </c>
      <c r="KZ13" s="11" t="str">
        <f t="shared" si="108"/>
        <v/>
      </c>
      <c r="LA13" s="11" t="str">
        <f t="shared" si="109"/>
        <v/>
      </c>
      <c r="LB13" s="36"/>
      <c r="LC13" s="36"/>
      <c r="LD13" s="36"/>
      <c r="LE13" s="36"/>
      <c r="LF13" s="36"/>
      <c r="LG13" s="36"/>
      <c r="LH13" s="36"/>
      <c r="LI13" s="36"/>
      <c r="LJ13" s="36"/>
      <c r="LK13" s="36"/>
      <c r="LL13" s="36"/>
      <c r="LM13" s="36"/>
      <c r="LN13" s="36"/>
      <c r="LO13" s="36"/>
      <c r="LP13" s="36"/>
      <c r="LQ13" s="14" t="str">
        <f t="shared" si="110"/>
        <v/>
      </c>
      <c r="LR13" s="14" t="str">
        <f t="shared" si="111"/>
        <v/>
      </c>
      <c r="LS13" s="14" t="str">
        <f t="shared" si="112"/>
        <v/>
      </c>
      <c r="LT13" s="14" t="str">
        <f t="shared" si="113"/>
        <v/>
      </c>
      <c r="LU13" s="14" t="str">
        <f t="shared" si="114"/>
        <v/>
      </c>
      <c r="LV13" s="14" t="str">
        <f t="shared" si="115"/>
        <v/>
      </c>
      <c r="LW13" s="14" t="str">
        <f t="shared" si="116"/>
        <v/>
      </c>
      <c r="LX13" s="35"/>
      <c r="LY13" s="35"/>
      <c r="LZ13" s="35"/>
      <c r="MA13" s="35"/>
      <c r="MB13" s="35"/>
      <c r="MC13" s="35"/>
      <c r="MD13" s="35"/>
      <c r="ME13" s="35"/>
      <c r="MF13" s="35"/>
      <c r="MG13" s="35"/>
      <c r="MH13" s="35"/>
      <c r="MI13" s="35"/>
      <c r="MJ13" s="35"/>
      <c r="MK13" s="35"/>
      <c r="ML13" s="35"/>
      <c r="MM13" s="11" t="str">
        <f t="shared" si="117"/>
        <v/>
      </c>
      <c r="MN13" s="11" t="str">
        <f t="shared" si="118"/>
        <v/>
      </c>
      <c r="MO13" s="11" t="str">
        <f t="shared" si="119"/>
        <v/>
      </c>
      <c r="MP13" s="11" t="str">
        <f t="shared" si="120"/>
        <v/>
      </c>
      <c r="MQ13" s="11" t="str">
        <f t="shared" si="121"/>
        <v/>
      </c>
      <c r="MR13" s="11" t="str">
        <f t="shared" si="122"/>
        <v/>
      </c>
      <c r="MS13" s="11" t="str">
        <f t="shared" si="123"/>
        <v/>
      </c>
      <c r="MT13" s="36"/>
      <c r="MU13" s="36"/>
      <c r="MV13" s="36"/>
      <c r="MW13" s="36"/>
      <c r="MX13" s="36"/>
      <c r="MY13" s="36"/>
      <c r="MZ13" s="36"/>
      <c r="NA13" s="36"/>
      <c r="NB13" s="36"/>
      <c r="NC13" s="36"/>
      <c r="ND13" s="36"/>
      <c r="NE13" s="36"/>
      <c r="NF13" s="36"/>
      <c r="NG13" s="36"/>
      <c r="NH13" s="36"/>
      <c r="NI13" s="14" t="str">
        <f t="shared" si="124"/>
        <v/>
      </c>
      <c r="NJ13" s="14" t="str">
        <f t="shared" si="125"/>
        <v/>
      </c>
      <c r="NK13" s="14" t="str">
        <f t="shared" si="126"/>
        <v/>
      </c>
      <c r="NL13" s="14" t="str">
        <f t="shared" si="127"/>
        <v/>
      </c>
      <c r="NM13" s="14" t="str">
        <f t="shared" si="128"/>
        <v/>
      </c>
      <c r="NN13" s="14" t="str">
        <f t="shared" si="129"/>
        <v/>
      </c>
      <c r="NO13" s="14" t="str">
        <f t="shared" si="130"/>
        <v/>
      </c>
      <c r="NP13" s="61">
        <f t="shared" si="131"/>
        <v>7.45</v>
      </c>
      <c r="NQ13" s="61">
        <f t="shared" si="132"/>
        <v>4.2</v>
      </c>
      <c r="NR13" s="61">
        <f t="shared" si="133"/>
        <v>1.9</v>
      </c>
      <c r="NS13" s="61">
        <f t="shared" si="134"/>
        <v>8.3550000000000004</v>
      </c>
      <c r="NT13" s="61">
        <f t="shared" si="135"/>
        <v>0</v>
      </c>
      <c r="NU13" s="61">
        <f t="shared" si="136"/>
        <v>7.5</v>
      </c>
      <c r="NV13" s="61">
        <f t="shared" si="137"/>
        <v>4.1500000000000004</v>
      </c>
      <c r="NW13" s="61">
        <f t="shared" si="138"/>
        <v>6.25</v>
      </c>
      <c r="NX13" s="61">
        <f t="shared" si="139"/>
        <v>8.0374999999999996</v>
      </c>
      <c r="NY13" s="61">
        <f t="shared" si="140"/>
        <v>0</v>
      </c>
      <c r="NZ13" s="61">
        <f t="shared" si="141"/>
        <v>0</v>
      </c>
      <c r="OA13" s="61">
        <f t="shared" si="142"/>
        <v>0</v>
      </c>
      <c r="OB13" s="61">
        <f t="shared" si="143"/>
        <v>0</v>
      </c>
      <c r="OC13" s="61">
        <f t="shared" si="144"/>
        <v>0</v>
      </c>
      <c r="OD13" s="61">
        <f t="shared" si="145"/>
        <v>0</v>
      </c>
      <c r="OE13" s="61">
        <f t="shared" si="146"/>
        <v>7.9</v>
      </c>
      <c r="OF13" s="61">
        <f t="shared" si="147"/>
        <v>4.3</v>
      </c>
      <c r="OG13" s="61">
        <f t="shared" si="148"/>
        <v>6.25</v>
      </c>
      <c r="OH13" s="61">
        <f t="shared" si="149"/>
        <v>8.1050000000000004</v>
      </c>
      <c r="OI13" s="61">
        <f t="shared" si="150"/>
        <v>0</v>
      </c>
      <c r="OJ13" s="72" t="s">
        <v>52</v>
      </c>
      <c r="OK13" s="11">
        <f t="shared" si="151"/>
        <v>21.905000000000001</v>
      </c>
      <c r="OL13" s="11">
        <f t="shared" si="152"/>
        <v>6.25</v>
      </c>
      <c r="OM13" s="11">
        <f t="shared" si="153"/>
        <v>25.9375</v>
      </c>
      <c r="ON13" s="11" t="str">
        <f t="shared" si="154"/>
        <v/>
      </c>
      <c r="OO13" s="11" t="str">
        <f t="shared" si="155"/>
        <v/>
      </c>
      <c r="OP13" s="11">
        <f t="shared" si="156"/>
        <v>47.842500000000001</v>
      </c>
      <c r="OQ13" s="11">
        <f t="shared" si="157"/>
        <v>6.25</v>
      </c>
      <c r="OR13" s="11">
        <f t="shared" ref="OR13" si="164">IF(SUM(OE13:OH13)-OI13&gt;0,SUM(OE13:OH13)-OI13,"")</f>
        <v>26.555</v>
      </c>
      <c r="OS13" s="11">
        <f t="shared" ref="OS13" si="165">IF(SUM(OP13,OR13)&gt;0,SUM(OP13,OR13),"")</f>
        <v>74.397500000000008</v>
      </c>
    </row>
    <row r="14" spans="1:409" x14ac:dyDescent="0.2">
      <c r="A14" s="5" t="str" cm="1">
        <f t="array" ref="A14">IF(AND(G14&lt;&gt;"",H14&lt;&gt;""),SUMPRODUCT((G$4:G$24&lt;&gt;"")*(H$4:H$24&lt;&gt;"")*(E$4:E$24&gt;E14))+1,IF(H14&lt;&gt;"",SUMPRODUCT((I$4:I$24="No DD")*(E$4:E$24&gt;E14))+1+SUMPRODUCT((G$4:G$24&lt;&gt;"")*(H$4:H$24&lt;&gt;"")),""))</f>
        <v/>
      </c>
      <c r="B14" s="6" t="s">
        <v>92</v>
      </c>
      <c r="C14" s="7" t="s">
        <v>4</v>
      </c>
      <c r="D14" s="26">
        <v>2002</v>
      </c>
      <c r="E14" s="15">
        <f t="shared" si="0"/>
        <v>100.25</v>
      </c>
      <c r="F14" s="3" t="str">
        <f t="shared" si="1"/>
        <v/>
      </c>
      <c r="G14" s="115" t="str">
        <f t="shared" si="2"/>
        <v/>
      </c>
      <c r="H14" s="115" t="str">
        <f t="shared" si="3"/>
        <v/>
      </c>
      <c r="I14" s="116" t="str">
        <f t="shared" si="4"/>
        <v/>
      </c>
      <c r="J14" s="3" t="str">
        <f t="shared" si="5"/>
        <v/>
      </c>
      <c r="K14" s="14">
        <f t="shared" si="6"/>
        <v>93.5</v>
      </c>
      <c r="L14" s="14" t="str">
        <f t="shared" si="7"/>
        <v>2021 Elite Canada</v>
      </c>
      <c r="M14" s="14">
        <f t="shared" si="8"/>
        <v>41.86</v>
      </c>
      <c r="N14" s="14" t="str">
        <f t="shared" si="9"/>
        <v>2021 2nd Virtual Technical Trial</v>
      </c>
      <c r="O14" s="14">
        <f t="shared" si="10"/>
        <v>50.36</v>
      </c>
      <c r="P14" s="14" t="str">
        <f t="shared" si="11"/>
        <v>2021 2nd Virtual Technical Trial</v>
      </c>
      <c r="Q14" s="14">
        <f>IF(COUNT(AS14,AU14,AX14,BW14,BY14,CB14,DA14,DC14,DF14)&gt;1,LARGE((AS14,AU14,AX14,BW14,BY14,CB14,DA14,DC14,DF14),2),0)</f>
        <v>49.89</v>
      </c>
      <c r="R14" s="14" t="str">
        <f t="shared" si="12"/>
        <v>2021 1st Virtual Technical Trial</v>
      </c>
      <c r="S14" s="14" t="str">
        <f t="shared" si="13"/>
        <v/>
      </c>
      <c r="T14" s="24" t="str">
        <f t="shared" si="14"/>
        <v/>
      </c>
      <c r="U14" s="14" t="str">
        <f t="shared" si="15"/>
        <v/>
      </c>
      <c r="V14" s="61">
        <v>2.5</v>
      </c>
      <c r="W14" s="61">
        <v>1.8</v>
      </c>
      <c r="X14" s="61">
        <v>1.3</v>
      </c>
      <c r="Y14" s="61">
        <v>3.16</v>
      </c>
      <c r="Z14" s="61">
        <v>0</v>
      </c>
      <c r="AA14" s="61">
        <v>15.2</v>
      </c>
      <c r="AB14" s="61">
        <v>9.75</v>
      </c>
      <c r="AC14" s="61">
        <v>10.3</v>
      </c>
      <c r="AD14" s="61">
        <v>14.64</v>
      </c>
      <c r="AE14" s="61">
        <v>0</v>
      </c>
      <c r="AF14" s="61"/>
      <c r="AG14" s="61"/>
      <c r="AH14" s="61"/>
      <c r="AI14" s="61"/>
      <c r="AJ14" s="61"/>
      <c r="AK14" s="61">
        <v>14.6</v>
      </c>
      <c r="AL14" s="61">
        <v>9.5</v>
      </c>
      <c r="AM14" s="61">
        <v>10.3</v>
      </c>
      <c r="AN14" s="61">
        <v>14.4</v>
      </c>
      <c r="AO14" s="61">
        <v>0</v>
      </c>
      <c r="AP14" s="72"/>
      <c r="AQ14" s="11">
        <f t="shared" si="16"/>
        <v>8.76</v>
      </c>
      <c r="AR14" s="11">
        <f t="shared" si="17"/>
        <v>10.3</v>
      </c>
      <c r="AS14" s="11">
        <f t="shared" si="18"/>
        <v>49.89</v>
      </c>
      <c r="AT14" s="11" t="str">
        <f t="shared" si="19"/>
        <v/>
      </c>
      <c r="AU14" s="11" t="str">
        <f t="shared" si="20"/>
        <v/>
      </c>
      <c r="AV14" s="11">
        <f t="shared" si="21"/>
        <v>58.65</v>
      </c>
      <c r="AW14" s="11">
        <f t="shared" si="22"/>
        <v>10.3</v>
      </c>
      <c r="AX14" s="11">
        <f t="shared" si="23"/>
        <v>48.800000000000004</v>
      </c>
      <c r="AY14" s="11">
        <f t="shared" si="24"/>
        <v>107.45</v>
      </c>
      <c r="AZ14" s="67">
        <v>15</v>
      </c>
      <c r="BA14" s="67">
        <v>8.5</v>
      </c>
      <c r="BB14" s="67">
        <v>2.9</v>
      </c>
      <c r="BC14" s="67">
        <v>15.46</v>
      </c>
      <c r="BD14" s="67">
        <v>0</v>
      </c>
      <c r="BE14" s="67">
        <v>15.4</v>
      </c>
      <c r="BF14" s="67">
        <v>9.1</v>
      </c>
      <c r="BG14" s="67">
        <v>10.5</v>
      </c>
      <c r="BH14" s="67">
        <v>15.36</v>
      </c>
      <c r="BI14" s="67">
        <v>0</v>
      </c>
      <c r="BJ14" s="67"/>
      <c r="BK14" s="67"/>
      <c r="BL14" s="67"/>
      <c r="BM14" s="67"/>
      <c r="BN14" s="67"/>
      <c r="BO14" s="67">
        <v>14.5</v>
      </c>
      <c r="BP14" s="67">
        <v>9</v>
      </c>
      <c r="BQ14" s="67">
        <v>10.3</v>
      </c>
      <c r="BR14" s="67">
        <v>14.725</v>
      </c>
      <c r="BS14" s="67">
        <v>0</v>
      </c>
      <c r="BT14" s="73"/>
      <c r="BU14" s="14">
        <f t="shared" si="25"/>
        <v>41.86</v>
      </c>
      <c r="BV14" s="14">
        <f t="shared" si="26"/>
        <v>10.5</v>
      </c>
      <c r="BW14" s="14">
        <f t="shared" si="27"/>
        <v>50.36</v>
      </c>
      <c r="BX14" s="14" t="str">
        <f t="shared" si="28"/>
        <v/>
      </c>
      <c r="BY14" s="14" t="str">
        <f t="shared" si="29"/>
        <v/>
      </c>
      <c r="BZ14" s="14">
        <f t="shared" si="30"/>
        <v>92.22</v>
      </c>
      <c r="CA14" s="14">
        <f t="shared" si="31"/>
        <v>10.3</v>
      </c>
      <c r="CB14" s="14">
        <f t="shared" si="32"/>
        <v>48.524999999999999</v>
      </c>
      <c r="CC14" s="14">
        <f t="shared" si="33"/>
        <v>140.745</v>
      </c>
      <c r="CD14" s="61">
        <v>16.3</v>
      </c>
      <c r="CE14" s="61">
        <v>9.3000000000000007</v>
      </c>
      <c r="CF14" s="61">
        <v>2.7</v>
      </c>
      <c r="CG14" s="61">
        <v>15.36</v>
      </c>
      <c r="CH14" s="61">
        <v>0</v>
      </c>
      <c r="CI14" s="61">
        <v>14.7</v>
      </c>
      <c r="CJ14" s="61">
        <v>9.1999999999999993</v>
      </c>
      <c r="CK14" s="61">
        <v>11.2</v>
      </c>
      <c r="CL14" s="61">
        <v>14.74</v>
      </c>
      <c r="CM14" s="61">
        <v>0</v>
      </c>
      <c r="CN14" s="61"/>
      <c r="CO14" s="61"/>
      <c r="CP14" s="61"/>
      <c r="CQ14" s="61"/>
      <c r="CR14" s="61"/>
      <c r="CS14" s="61">
        <v>15.2</v>
      </c>
      <c r="CT14" s="61">
        <v>8.9</v>
      </c>
      <c r="CU14" s="61">
        <v>10.5</v>
      </c>
      <c r="CV14" s="61">
        <v>15.025</v>
      </c>
      <c r="CW14" s="61">
        <v>0</v>
      </c>
      <c r="CX14" s="72"/>
      <c r="CY14" s="11">
        <f t="shared" si="34"/>
        <v>43.66</v>
      </c>
      <c r="CZ14" s="11">
        <f t="shared" si="35"/>
        <v>11.2</v>
      </c>
      <c r="DA14" s="11">
        <f t="shared" si="36"/>
        <v>49.839999999999996</v>
      </c>
      <c r="DB14" s="11" t="str">
        <f t="shared" si="37"/>
        <v/>
      </c>
      <c r="DC14" s="11" t="str">
        <f t="shared" si="38"/>
        <v/>
      </c>
      <c r="DD14" s="11">
        <f t="shared" si="39"/>
        <v>93.5</v>
      </c>
      <c r="DE14" s="11">
        <f t="shared" si="40"/>
        <v>10.5</v>
      </c>
      <c r="DF14" s="11">
        <f t="shared" si="41"/>
        <v>49.625</v>
      </c>
      <c r="DG14" s="11">
        <f t="shared" si="42"/>
        <v>143.125</v>
      </c>
      <c r="DH14" s="23" t="str">
        <f t="shared" si="43"/>
        <v/>
      </c>
      <c r="DI14" s="23" t="str">
        <f t="shared" si="44"/>
        <v/>
      </c>
      <c r="DJ14" s="23" t="str">
        <f t="shared" si="45"/>
        <v/>
      </c>
      <c r="DK14" s="23" t="str">
        <f t="shared" si="46"/>
        <v/>
      </c>
      <c r="DL14" s="35"/>
      <c r="DM14" s="35"/>
      <c r="DN14" s="35"/>
      <c r="DO14" s="35"/>
      <c r="DP14" s="35"/>
      <c r="DQ14" s="35"/>
      <c r="DR14" s="35"/>
      <c r="DS14" s="35"/>
      <c r="DT14" s="35"/>
      <c r="DU14" s="35"/>
      <c r="DV14" s="35"/>
      <c r="DW14" s="35"/>
      <c r="DX14" s="35"/>
      <c r="DY14" s="35"/>
      <c r="DZ14" s="35"/>
      <c r="EA14" s="11" t="str">
        <f t="shared" si="47"/>
        <v/>
      </c>
      <c r="EB14" s="11" t="str">
        <f t="shared" si="48"/>
        <v/>
      </c>
      <c r="EC14" s="11" t="str">
        <f t="shared" si="49"/>
        <v/>
      </c>
      <c r="ED14" s="11" t="str">
        <f t="shared" si="50"/>
        <v/>
      </c>
      <c r="EE14" s="11" t="str">
        <f t="shared" si="51"/>
        <v/>
      </c>
      <c r="EF14" s="11" t="str">
        <f t="shared" si="52"/>
        <v/>
      </c>
      <c r="EG14" s="11" t="str">
        <f t="shared" si="53"/>
        <v/>
      </c>
      <c r="EH14" s="36"/>
      <c r="EI14" s="36"/>
      <c r="EJ14" s="36"/>
      <c r="EK14" s="36"/>
      <c r="EL14" s="36"/>
      <c r="EM14" s="36"/>
      <c r="EN14" s="36"/>
      <c r="EO14" s="36"/>
      <c r="EP14" s="36"/>
      <c r="EQ14" s="36"/>
      <c r="ER14" s="36"/>
      <c r="ES14" s="36"/>
      <c r="ET14" s="36"/>
      <c r="EU14" s="36"/>
      <c r="EV14" s="36"/>
      <c r="EW14" s="14" t="str">
        <f t="shared" si="54"/>
        <v/>
      </c>
      <c r="EX14" s="14" t="str">
        <f t="shared" si="55"/>
        <v/>
      </c>
      <c r="EY14" s="14" t="str">
        <f t="shared" si="56"/>
        <v/>
      </c>
      <c r="EZ14" s="14" t="str">
        <f t="shared" si="57"/>
        <v/>
      </c>
      <c r="FA14" s="14" t="str">
        <f t="shared" si="58"/>
        <v/>
      </c>
      <c r="FB14" s="14" t="str">
        <f t="shared" si="59"/>
        <v/>
      </c>
      <c r="FC14" s="14" t="str">
        <f t="shared" si="60"/>
        <v/>
      </c>
      <c r="FD14" s="35"/>
      <c r="FE14" s="35"/>
      <c r="FF14" s="35"/>
      <c r="FG14" s="35"/>
      <c r="FH14" s="35"/>
      <c r="FI14" s="35"/>
      <c r="FJ14" s="35"/>
      <c r="FK14" s="35"/>
      <c r="FL14" s="35"/>
      <c r="FM14" s="35"/>
      <c r="FN14" s="35"/>
      <c r="FO14" s="35"/>
      <c r="FP14" s="35"/>
      <c r="FQ14" s="35"/>
      <c r="FR14" s="35"/>
      <c r="FS14" s="11" t="str">
        <f t="shared" si="61"/>
        <v/>
      </c>
      <c r="FT14" s="11" t="str">
        <f t="shared" si="62"/>
        <v/>
      </c>
      <c r="FU14" s="11" t="str">
        <f t="shared" si="63"/>
        <v/>
      </c>
      <c r="FV14" s="11" t="str">
        <f t="shared" si="64"/>
        <v/>
      </c>
      <c r="FW14" s="11" t="str">
        <f t="shared" si="65"/>
        <v/>
      </c>
      <c r="FX14" s="11" t="str">
        <f t="shared" si="66"/>
        <v/>
      </c>
      <c r="FY14" s="11" t="str">
        <f t="shared" si="67"/>
        <v/>
      </c>
      <c r="FZ14" s="36"/>
      <c r="GA14" s="36"/>
      <c r="GB14" s="36"/>
      <c r="GC14" s="36"/>
      <c r="GD14" s="36"/>
      <c r="GE14" s="36"/>
      <c r="GF14" s="36"/>
      <c r="GG14" s="36"/>
      <c r="GH14" s="36"/>
      <c r="GI14" s="36"/>
      <c r="GJ14" s="36"/>
      <c r="GK14" s="36"/>
      <c r="GL14" s="36"/>
      <c r="GM14" s="36"/>
      <c r="GN14" s="36"/>
      <c r="GO14" s="14" t="str">
        <f t="shared" si="68"/>
        <v/>
      </c>
      <c r="GP14" s="14" t="str">
        <f t="shared" si="69"/>
        <v/>
      </c>
      <c r="GQ14" s="14" t="str">
        <f t="shared" si="70"/>
        <v/>
      </c>
      <c r="GR14" s="14" t="str">
        <f t="shared" si="71"/>
        <v/>
      </c>
      <c r="GS14" s="14" t="str">
        <f t="shared" si="72"/>
        <v/>
      </c>
      <c r="GT14" s="14" t="str">
        <f t="shared" si="73"/>
        <v/>
      </c>
      <c r="GU14" s="14" t="str">
        <f t="shared" si="74"/>
        <v/>
      </c>
      <c r="GV14" s="35"/>
      <c r="GW14" s="35"/>
      <c r="GX14" s="35"/>
      <c r="GY14" s="35"/>
      <c r="GZ14" s="35"/>
      <c r="HA14" s="35"/>
      <c r="HB14" s="35"/>
      <c r="HC14" s="35"/>
      <c r="HD14" s="35"/>
      <c r="HE14" s="35"/>
      <c r="HF14" s="35"/>
      <c r="HG14" s="35"/>
      <c r="HH14" s="35"/>
      <c r="HI14" s="35"/>
      <c r="HJ14" s="35"/>
      <c r="HK14" s="11" t="str">
        <f t="shared" si="75"/>
        <v/>
      </c>
      <c r="HL14" s="11" t="str">
        <f t="shared" si="76"/>
        <v/>
      </c>
      <c r="HM14" s="11" t="str">
        <f t="shared" si="77"/>
        <v/>
      </c>
      <c r="HN14" s="11" t="str">
        <f t="shared" si="78"/>
        <v/>
      </c>
      <c r="HO14" s="11" t="str">
        <f t="shared" si="79"/>
        <v/>
      </c>
      <c r="HP14" s="11" t="str">
        <f t="shared" si="80"/>
        <v/>
      </c>
      <c r="HQ14" s="11" t="str">
        <f t="shared" si="81"/>
        <v/>
      </c>
      <c r="HR14" s="36"/>
      <c r="HS14" s="36"/>
      <c r="HT14" s="36"/>
      <c r="HU14" s="36"/>
      <c r="HV14" s="36"/>
      <c r="HW14" s="36"/>
      <c r="HX14" s="36"/>
      <c r="HY14" s="36"/>
      <c r="HZ14" s="36"/>
      <c r="IA14" s="36"/>
      <c r="IB14" s="36"/>
      <c r="IC14" s="36"/>
      <c r="ID14" s="36"/>
      <c r="IE14" s="36"/>
      <c r="IF14" s="36"/>
      <c r="IG14" s="14" t="str">
        <f t="shared" si="82"/>
        <v/>
      </c>
      <c r="IH14" s="14" t="str">
        <f t="shared" si="83"/>
        <v/>
      </c>
      <c r="II14" s="14" t="str">
        <f t="shared" si="84"/>
        <v/>
      </c>
      <c r="IJ14" s="14" t="str">
        <f t="shared" si="85"/>
        <v/>
      </c>
      <c r="IK14" s="14" t="str">
        <f t="shared" si="86"/>
        <v/>
      </c>
      <c r="IL14" s="14" t="str">
        <f t="shared" si="87"/>
        <v/>
      </c>
      <c r="IM14" s="14" t="str">
        <f t="shared" si="88"/>
        <v/>
      </c>
      <c r="IN14" s="35"/>
      <c r="IO14" s="35"/>
      <c r="IP14" s="35"/>
      <c r="IQ14" s="35"/>
      <c r="IR14" s="35"/>
      <c r="IS14" s="35"/>
      <c r="IT14" s="35"/>
      <c r="IU14" s="35"/>
      <c r="IV14" s="35"/>
      <c r="IW14" s="35"/>
      <c r="IX14" s="35"/>
      <c r="IY14" s="35"/>
      <c r="IZ14" s="35"/>
      <c r="JA14" s="35"/>
      <c r="JB14" s="35"/>
      <c r="JC14" s="11" t="str">
        <f t="shared" si="89"/>
        <v/>
      </c>
      <c r="JD14" s="11" t="str">
        <f t="shared" si="90"/>
        <v/>
      </c>
      <c r="JE14" s="11" t="str">
        <f t="shared" si="91"/>
        <v/>
      </c>
      <c r="JF14" s="11" t="str">
        <f t="shared" si="92"/>
        <v/>
      </c>
      <c r="JG14" s="11" t="str">
        <f t="shared" si="93"/>
        <v/>
      </c>
      <c r="JH14" s="11" t="str">
        <f t="shared" si="94"/>
        <v/>
      </c>
      <c r="JI14" s="11" t="str">
        <f t="shared" si="95"/>
        <v/>
      </c>
      <c r="JJ14" s="36"/>
      <c r="JK14" s="36"/>
      <c r="JL14" s="36"/>
      <c r="JM14" s="36"/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14" t="str">
        <f t="shared" si="96"/>
        <v/>
      </c>
      <c r="JZ14" s="14" t="str">
        <f t="shared" si="97"/>
        <v/>
      </c>
      <c r="KA14" s="14" t="str">
        <f t="shared" si="98"/>
        <v/>
      </c>
      <c r="KB14" s="14" t="str">
        <f t="shared" si="99"/>
        <v/>
      </c>
      <c r="KC14" s="14" t="str">
        <f t="shared" si="100"/>
        <v/>
      </c>
      <c r="KD14" s="14" t="str">
        <f t="shared" si="101"/>
        <v/>
      </c>
      <c r="KE14" s="14" t="str">
        <f t="shared" si="102"/>
        <v/>
      </c>
      <c r="KF14" s="35"/>
      <c r="KG14" s="35"/>
      <c r="KH14" s="35"/>
      <c r="KI14" s="35"/>
      <c r="KJ14" s="35"/>
      <c r="KK14" s="35"/>
      <c r="KL14" s="35"/>
      <c r="KM14" s="35"/>
      <c r="KN14" s="35"/>
      <c r="KO14" s="35"/>
      <c r="KP14" s="35"/>
      <c r="KQ14" s="35"/>
      <c r="KR14" s="35"/>
      <c r="KS14" s="35"/>
      <c r="KT14" s="35"/>
      <c r="KU14" s="11" t="str">
        <f t="shared" si="103"/>
        <v/>
      </c>
      <c r="KV14" s="11" t="str">
        <f t="shared" si="104"/>
        <v/>
      </c>
      <c r="KW14" s="11" t="str">
        <f t="shared" si="105"/>
        <v/>
      </c>
      <c r="KX14" s="11" t="str">
        <f t="shared" si="106"/>
        <v/>
      </c>
      <c r="KY14" s="11" t="str">
        <f t="shared" si="107"/>
        <v/>
      </c>
      <c r="KZ14" s="11" t="str">
        <f t="shared" si="108"/>
        <v/>
      </c>
      <c r="LA14" s="11" t="str">
        <f t="shared" si="109"/>
        <v/>
      </c>
      <c r="LB14" s="36"/>
      <c r="LC14" s="36"/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14" t="str">
        <f t="shared" si="110"/>
        <v/>
      </c>
      <c r="LR14" s="14" t="str">
        <f t="shared" si="111"/>
        <v/>
      </c>
      <c r="LS14" s="14" t="str">
        <f t="shared" si="112"/>
        <v/>
      </c>
      <c r="LT14" s="14" t="str">
        <f t="shared" si="113"/>
        <v/>
      </c>
      <c r="LU14" s="14" t="str">
        <f t="shared" si="114"/>
        <v/>
      </c>
      <c r="LV14" s="14" t="str">
        <f t="shared" si="115"/>
        <v/>
      </c>
      <c r="LW14" s="14" t="str">
        <f t="shared" si="116"/>
        <v/>
      </c>
      <c r="LX14" s="35"/>
      <c r="LY14" s="35"/>
      <c r="LZ14" s="35"/>
      <c r="MA14" s="35"/>
      <c r="MB14" s="35"/>
      <c r="MC14" s="35"/>
      <c r="MD14" s="35"/>
      <c r="ME14" s="35"/>
      <c r="MF14" s="35"/>
      <c r="MG14" s="35"/>
      <c r="MH14" s="35"/>
      <c r="MI14" s="35"/>
      <c r="MJ14" s="35"/>
      <c r="MK14" s="35"/>
      <c r="ML14" s="35"/>
      <c r="MM14" s="11" t="str">
        <f t="shared" si="117"/>
        <v/>
      </c>
      <c r="MN14" s="11" t="str">
        <f t="shared" si="118"/>
        <v/>
      </c>
      <c r="MO14" s="11" t="str">
        <f t="shared" si="119"/>
        <v/>
      </c>
      <c r="MP14" s="11" t="str">
        <f t="shared" si="120"/>
        <v/>
      </c>
      <c r="MQ14" s="11" t="str">
        <f t="shared" si="121"/>
        <v/>
      </c>
      <c r="MR14" s="11" t="str">
        <f t="shared" si="122"/>
        <v/>
      </c>
      <c r="MS14" s="11" t="str">
        <f t="shared" si="123"/>
        <v/>
      </c>
      <c r="MT14" s="36"/>
      <c r="MU14" s="36"/>
      <c r="MV14" s="36"/>
      <c r="MW14" s="36"/>
      <c r="MX14" s="36"/>
      <c r="MY14" s="36"/>
      <c r="MZ14" s="36"/>
      <c r="NA14" s="36"/>
      <c r="NB14" s="36"/>
      <c r="NC14" s="36"/>
      <c r="ND14" s="36"/>
      <c r="NE14" s="36"/>
      <c r="NF14" s="36"/>
      <c r="NG14" s="36"/>
      <c r="NH14" s="36"/>
      <c r="NI14" s="14" t="str">
        <f t="shared" si="124"/>
        <v/>
      </c>
      <c r="NJ14" s="14" t="str">
        <f t="shared" si="125"/>
        <v/>
      </c>
      <c r="NK14" s="14" t="str">
        <f t="shared" si="126"/>
        <v/>
      </c>
      <c r="NL14" s="14" t="str">
        <f t="shared" si="127"/>
        <v/>
      </c>
      <c r="NM14" s="14" t="str">
        <f t="shared" si="128"/>
        <v/>
      </c>
      <c r="NN14" s="14" t="str">
        <f t="shared" si="129"/>
        <v/>
      </c>
      <c r="NO14" s="14" t="str">
        <f t="shared" si="130"/>
        <v/>
      </c>
      <c r="NP14" s="61">
        <f t="shared" si="131"/>
        <v>15.65</v>
      </c>
      <c r="NQ14" s="61">
        <f t="shared" si="132"/>
        <v>8.9</v>
      </c>
      <c r="NR14" s="61">
        <f t="shared" si="133"/>
        <v>2.8</v>
      </c>
      <c r="NS14" s="61">
        <f t="shared" si="134"/>
        <v>15.41</v>
      </c>
      <c r="NT14" s="61">
        <f t="shared" si="135"/>
        <v>0</v>
      </c>
      <c r="NU14" s="61">
        <f t="shared" si="136"/>
        <v>15.05</v>
      </c>
      <c r="NV14" s="61">
        <f t="shared" si="137"/>
        <v>9.1499999999999986</v>
      </c>
      <c r="NW14" s="61">
        <f t="shared" si="138"/>
        <v>10.85</v>
      </c>
      <c r="NX14" s="61">
        <f t="shared" si="139"/>
        <v>15.05</v>
      </c>
      <c r="NY14" s="61">
        <f t="shared" si="140"/>
        <v>0</v>
      </c>
      <c r="NZ14" s="61">
        <f t="shared" si="141"/>
        <v>0</v>
      </c>
      <c r="OA14" s="61">
        <f t="shared" si="142"/>
        <v>0</v>
      </c>
      <c r="OB14" s="61">
        <f t="shared" si="143"/>
        <v>0</v>
      </c>
      <c r="OC14" s="61">
        <f t="shared" si="144"/>
        <v>0</v>
      </c>
      <c r="OD14" s="61">
        <f t="shared" si="145"/>
        <v>0</v>
      </c>
      <c r="OE14" s="61">
        <f t="shared" si="146"/>
        <v>14.85</v>
      </c>
      <c r="OF14" s="61">
        <f t="shared" si="147"/>
        <v>8.9499999999999993</v>
      </c>
      <c r="OG14" s="61">
        <f t="shared" si="148"/>
        <v>10.4</v>
      </c>
      <c r="OH14" s="61">
        <f t="shared" si="149"/>
        <v>14.875</v>
      </c>
      <c r="OI14" s="61">
        <f t="shared" si="150"/>
        <v>0</v>
      </c>
      <c r="OJ14" s="72" t="s">
        <v>52</v>
      </c>
      <c r="OK14" s="11">
        <f t="shared" si="151"/>
        <v>42.760000000000005</v>
      </c>
      <c r="OL14" s="11">
        <f t="shared" si="152"/>
        <v>10.85</v>
      </c>
      <c r="OM14" s="11">
        <f t="shared" si="153"/>
        <v>50.099999999999994</v>
      </c>
      <c r="ON14" s="11" t="str">
        <f t="shared" si="154"/>
        <v/>
      </c>
      <c r="OO14" s="11" t="str">
        <f t="shared" si="155"/>
        <v/>
      </c>
      <c r="OP14" s="11">
        <f t="shared" si="156"/>
        <v>92.86</v>
      </c>
      <c r="OQ14" s="11">
        <f t="shared" si="157"/>
        <v>10.4</v>
      </c>
      <c r="OR14" s="11">
        <f t="shared" ref="OR14" si="166">IF(SUM(OE14:OH14)-OI14&gt;0,SUM(OE14:OH14)-OI14,"")</f>
        <v>49.074999999999996</v>
      </c>
      <c r="OS14" s="11">
        <f t="shared" ref="OS14" si="167">IF(SUM(OP14,OR14)&gt;0,SUM(OP14,OR14),"")</f>
        <v>141.935</v>
      </c>
    </row>
    <row r="15" spans="1:409" x14ac:dyDescent="0.2">
      <c r="A15" s="5" t="str" cm="1">
        <f t="array" ref="A15">IF(AND(G15&lt;&gt;"",H15&lt;&gt;""),SUMPRODUCT((G$4:G$24&lt;&gt;"")*(H$4:H$24&lt;&gt;"")*(E$4:E$24&gt;E15))+1,IF(H15&lt;&gt;"",SUMPRODUCT((I$4:I$24="No DD")*(E$4:E$24&gt;E15))+1+SUMPRODUCT((G$4:G$24&lt;&gt;"")*(H$4:H$24&lt;&gt;"")),""))</f>
        <v/>
      </c>
      <c r="B15" s="6" t="s">
        <v>138</v>
      </c>
      <c r="C15" s="7" t="s">
        <v>3</v>
      </c>
      <c r="D15" s="26">
        <v>2001</v>
      </c>
      <c r="E15" s="15">
        <f t="shared" si="0"/>
        <v>99.564999999999998</v>
      </c>
      <c r="F15" s="3" t="str">
        <f t="shared" si="1"/>
        <v/>
      </c>
      <c r="G15" s="115" t="str">
        <f t="shared" si="2"/>
        <v/>
      </c>
      <c r="H15" s="115" t="str">
        <f t="shared" si="3"/>
        <v/>
      </c>
      <c r="I15" s="116" t="str">
        <f t="shared" si="4"/>
        <v/>
      </c>
      <c r="J15" s="3" t="str">
        <f t="shared" si="5"/>
        <v/>
      </c>
      <c r="K15" s="14">
        <f t="shared" si="6"/>
        <v>92.875</v>
      </c>
      <c r="L15" s="14" t="str">
        <f t="shared" si="7"/>
        <v>2021 Elite Canada</v>
      </c>
      <c r="M15" s="14">
        <f t="shared" si="8"/>
        <v>0</v>
      </c>
      <c r="N15" s="14" t="str">
        <f t="shared" si="9"/>
        <v/>
      </c>
      <c r="O15" s="14">
        <f t="shared" si="10"/>
        <v>49.97</v>
      </c>
      <c r="P15" s="14" t="str">
        <f t="shared" si="11"/>
        <v>2021 Elite Canada</v>
      </c>
      <c r="Q15" s="14">
        <f>IF(COUNT(AS15,AU15,AX15,BW15,BY15,CB15,DA15,DC15,DF15)&gt;1,LARGE((AS15,AU15,AX15,BW15,BY15,CB15,DA15,DC15,DF15),2),0)</f>
        <v>49.594999999999999</v>
      </c>
      <c r="R15" s="14" t="str">
        <f t="shared" si="12"/>
        <v>2021 Elite Canada</v>
      </c>
      <c r="S15" s="14" t="str">
        <f t="shared" si="13"/>
        <v/>
      </c>
      <c r="T15" s="24" t="str">
        <f t="shared" si="14"/>
        <v/>
      </c>
      <c r="U15" s="14" t="str">
        <f t="shared" si="15"/>
        <v/>
      </c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72"/>
      <c r="AQ15" s="11" t="str">
        <f t="shared" si="16"/>
        <v/>
      </c>
      <c r="AR15" s="11" t="str">
        <f t="shared" si="17"/>
        <v/>
      </c>
      <c r="AS15" s="11" t="str">
        <f t="shared" si="18"/>
        <v/>
      </c>
      <c r="AT15" s="11" t="str">
        <f t="shared" si="19"/>
        <v/>
      </c>
      <c r="AU15" s="11" t="str">
        <f t="shared" si="20"/>
        <v/>
      </c>
      <c r="AV15" s="11" t="str">
        <f t="shared" si="21"/>
        <v/>
      </c>
      <c r="AW15" s="11" t="str">
        <f t="shared" si="22"/>
        <v/>
      </c>
      <c r="AX15" s="11" t="str">
        <f t="shared" si="23"/>
        <v/>
      </c>
      <c r="AY15" s="11" t="str">
        <f t="shared" si="24"/>
        <v/>
      </c>
      <c r="AZ15" s="67"/>
      <c r="BA15" s="67"/>
      <c r="BB15" s="67"/>
      <c r="BC15" s="67"/>
      <c r="BD15" s="67"/>
      <c r="BE15" s="67"/>
      <c r="BF15" s="67"/>
      <c r="BG15" s="67"/>
      <c r="BH15" s="67"/>
      <c r="BI15" s="67"/>
      <c r="BJ15" s="67"/>
      <c r="BK15" s="67"/>
      <c r="BL15" s="67"/>
      <c r="BM15" s="67"/>
      <c r="BN15" s="67"/>
      <c r="BO15" s="67"/>
      <c r="BP15" s="67"/>
      <c r="BQ15" s="67"/>
      <c r="BR15" s="67"/>
      <c r="BS15" s="67"/>
      <c r="BT15" s="73"/>
      <c r="BU15" s="14" t="str">
        <f t="shared" si="25"/>
        <v/>
      </c>
      <c r="BV15" s="14" t="str">
        <f t="shared" si="26"/>
        <v/>
      </c>
      <c r="BW15" s="14" t="str">
        <f t="shared" si="27"/>
        <v/>
      </c>
      <c r="BX15" s="14" t="str">
        <f t="shared" si="28"/>
        <v/>
      </c>
      <c r="BY15" s="14" t="str">
        <f t="shared" si="29"/>
        <v/>
      </c>
      <c r="BZ15" s="14" t="str">
        <f t="shared" si="30"/>
        <v/>
      </c>
      <c r="CA15" s="14" t="str">
        <f t="shared" si="31"/>
        <v/>
      </c>
      <c r="CB15" s="14" t="str">
        <f t="shared" si="32"/>
        <v/>
      </c>
      <c r="CC15" s="14" t="str">
        <f t="shared" si="33"/>
        <v/>
      </c>
      <c r="CD15" s="61">
        <v>16.100000000000001</v>
      </c>
      <c r="CE15" s="61">
        <v>10</v>
      </c>
      <c r="CF15" s="61">
        <v>2.2000000000000002</v>
      </c>
      <c r="CG15" s="61">
        <v>14.805</v>
      </c>
      <c r="CH15" s="61">
        <v>0.2</v>
      </c>
      <c r="CI15" s="61">
        <v>14.4</v>
      </c>
      <c r="CJ15" s="61">
        <v>9.8000000000000007</v>
      </c>
      <c r="CK15" s="61">
        <v>11.2</v>
      </c>
      <c r="CL15" s="61">
        <v>14.77</v>
      </c>
      <c r="CM15" s="61">
        <v>0.2</v>
      </c>
      <c r="CN15" s="61"/>
      <c r="CO15" s="61"/>
      <c r="CP15" s="61"/>
      <c r="CQ15" s="61"/>
      <c r="CR15" s="61"/>
      <c r="CS15" s="61">
        <v>14.6</v>
      </c>
      <c r="CT15" s="61">
        <v>9.1999999999999993</v>
      </c>
      <c r="CU15" s="61">
        <v>11.2</v>
      </c>
      <c r="CV15" s="61">
        <v>14.795</v>
      </c>
      <c r="CW15" s="61">
        <v>0.2</v>
      </c>
      <c r="CX15" s="72"/>
      <c r="CY15" s="11">
        <f t="shared" si="34"/>
        <v>42.905000000000001</v>
      </c>
      <c r="CZ15" s="11">
        <f t="shared" si="35"/>
        <v>11.2</v>
      </c>
      <c r="DA15" s="11">
        <f t="shared" si="36"/>
        <v>49.97</v>
      </c>
      <c r="DB15" s="11" t="str">
        <f t="shared" si="37"/>
        <v/>
      </c>
      <c r="DC15" s="11" t="str">
        <f t="shared" si="38"/>
        <v/>
      </c>
      <c r="DD15" s="11">
        <f t="shared" si="39"/>
        <v>92.875</v>
      </c>
      <c r="DE15" s="11">
        <f t="shared" si="40"/>
        <v>11.2</v>
      </c>
      <c r="DF15" s="11">
        <f t="shared" si="41"/>
        <v>49.594999999999999</v>
      </c>
      <c r="DG15" s="11">
        <f t="shared" si="42"/>
        <v>142.47</v>
      </c>
      <c r="DH15" s="23" t="str">
        <f t="shared" si="43"/>
        <v/>
      </c>
      <c r="DI15" s="23" t="str">
        <f t="shared" si="44"/>
        <v/>
      </c>
      <c r="DJ15" s="23" t="str">
        <f t="shared" si="45"/>
        <v/>
      </c>
      <c r="DK15" s="23" t="str">
        <f t="shared" si="46"/>
        <v/>
      </c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11" t="str">
        <f t="shared" si="47"/>
        <v/>
      </c>
      <c r="EB15" s="11" t="str">
        <f t="shared" si="48"/>
        <v/>
      </c>
      <c r="EC15" s="11" t="str">
        <f t="shared" si="49"/>
        <v/>
      </c>
      <c r="ED15" s="11" t="str">
        <f t="shared" si="50"/>
        <v/>
      </c>
      <c r="EE15" s="11" t="str">
        <f t="shared" si="51"/>
        <v/>
      </c>
      <c r="EF15" s="11" t="str">
        <f t="shared" si="52"/>
        <v/>
      </c>
      <c r="EG15" s="11" t="str">
        <f t="shared" si="53"/>
        <v/>
      </c>
      <c r="EH15" s="36"/>
      <c r="EI15" s="36"/>
      <c r="EJ15" s="36"/>
      <c r="EK15" s="36"/>
      <c r="EL15" s="36"/>
      <c r="EM15" s="36"/>
      <c r="EN15" s="36"/>
      <c r="EO15" s="36"/>
      <c r="EP15" s="36"/>
      <c r="EQ15" s="36"/>
      <c r="ER15" s="36"/>
      <c r="ES15" s="36"/>
      <c r="ET15" s="36"/>
      <c r="EU15" s="36"/>
      <c r="EV15" s="36"/>
      <c r="EW15" s="14" t="str">
        <f t="shared" si="54"/>
        <v/>
      </c>
      <c r="EX15" s="14" t="str">
        <f t="shared" si="55"/>
        <v/>
      </c>
      <c r="EY15" s="14" t="str">
        <f t="shared" si="56"/>
        <v/>
      </c>
      <c r="EZ15" s="14" t="str">
        <f t="shared" si="57"/>
        <v/>
      </c>
      <c r="FA15" s="14" t="str">
        <f t="shared" si="58"/>
        <v/>
      </c>
      <c r="FB15" s="14" t="str">
        <f t="shared" si="59"/>
        <v/>
      </c>
      <c r="FC15" s="14" t="str">
        <f t="shared" si="60"/>
        <v/>
      </c>
      <c r="FD15" s="35"/>
      <c r="FE15" s="35"/>
      <c r="FF15" s="35"/>
      <c r="FG15" s="35"/>
      <c r="FH15" s="35"/>
      <c r="FI15" s="35"/>
      <c r="FJ15" s="35"/>
      <c r="FK15" s="35"/>
      <c r="FL15" s="35"/>
      <c r="FM15" s="35"/>
      <c r="FN15" s="35"/>
      <c r="FO15" s="35"/>
      <c r="FP15" s="35"/>
      <c r="FQ15" s="35"/>
      <c r="FR15" s="35"/>
      <c r="FS15" s="11" t="str">
        <f t="shared" si="61"/>
        <v/>
      </c>
      <c r="FT15" s="11" t="str">
        <f t="shared" si="62"/>
        <v/>
      </c>
      <c r="FU15" s="11" t="str">
        <f t="shared" si="63"/>
        <v/>
      </c>
      <c r="FV15" s="11" t="str">
        <f t="shared" si="64"/>
        <v/>
      </c>
      <c r="FW15" s="11" t="str">
        <f t="shared" si="65"/>
        <v/>
      </c>
      <c r="FX15" s="11" t="str">
        <f t="shared" si="66"/>
        <v/>
      </c>
      <c r="FY15" s="11" t="str">
        <f t="shared" si="67"/>
        <v/>
      </c>
      <c r="FZ15" s="36"/>
      <c r="GA15" s="36"/>
      <c r="GB15" s="36"/>
      <c r="GC15" s="36"/>
      <c r="GD15" s="36"/>
      <c r="GE15" s="36"/>
      <c r="GF15" s="36"/>
      <c r="GG15" s="36"/>
      <c r="GH15" s="36"/>
      <c r="GI15" s="36"/>
      <c r="GJ15" s="36"/>
      <c r="GK15" s="36"/>
      <c r="GL15" s="36"/>
      <c r="GM15" s="36"/>
      <c r="GN15" s="36"/>
      <c r="GO15" s="14" t="str">
        <f t="shared" si="68"/>
        <v/>
      </c>
      <c r="GP15" s="14" t="str">
        <f t="shared" si="69"/>
        <v/>
      </c>
      <c r="GQ15" s="14" t="str">
        <f t="shared" si="70"/>
        <v/>
      </c>
      <c r="GR15" s="14" t="str">
        <f t="shared" si="71"/>
        <v/>
      </c>
      <c r="GS15" s="14" t="str">
        <f t="shared" si="72"/>
        <v/>
      </c>
      <c r="GT15" s="14" t="str">
        <f t="shared" si="73"/>
        <v/>
      </c>
      <c r="GU15" s="14" t="str">
        <f t="shared" si="74"/>
        <v/>
      </c>
      <c r="GV15" s="35"/>
      <c r="GW15" s="35"/>
      <c r="GX15" s="35"/>
      <c r="GY15" s="35"/>
      <c r="GZ15" s="35"/>
      <c r="HA15" s="35"/>
      <c r="HB15" s="35"/>
      <c r="HC15" s="35"/>
      <c r="HD15" s="35"/>
      <c r="HE15" s="35"/>
      <c r="HF15" s="35"/>
      <c r="HG15" s="35"/>
      <c r="HH15" s="35"/>
      <c r="HI15" s="35"/>
      <c r="HJ15" s="35"/>
      <c r="HK15" s="11" t="str">
        <f t="shared" si="75"/>
        <v/>
      </c>
      <c r="HL15" s="11" t="str">
        <f t="shared" si="76"/>
        <v/>
      </c>
      <c r="HM15" s="11" t="str">
        <f t="shared" si="77"/>
        <v/>
      </c>
      <c r="HN15" s="11" t="str">
        <f t="shared" si="78"/>
        <v/>
      </c>
      <c r="HO15" s="11" t="str">
        <f t="shared" si="79"/>
        <v/>
      </c>
      <c r="HP15" s="11" t="str">
        <f t="shared" si="80"/>
        <v/>
      </c>
      <c r="HQ15" s="11" t="str">
        <f t="shared" si="81"/>
        <v/>
      </c>
      <c r="HR15" s="36"/>
      <c r="HS15" s="36"/>
      <c r="HT15" s="36"/>
      <c r="HU15" s="36"/>
      <c r="HV15" s="36"/>
      <c r="HW15" s="36"/>
      <c r="HX15" s="36"/>
      <c r="HY15" s="36"/>
      <c r="HZ15" s="36"/>
      <c r="IA15" s="36"/>
      <c r="IB15" s="36"/>
      <c r="IC15" s="36"/>
      <c r="ID15" s="36"/>
      <c r="IE15" s="36"/>
      <c r="IF15" s="36"/>
      <c r="IG15" s="14" t="str">
        <f t="shared" si="82"/>
        <v/>
      </c>
      <c r="IH15" s="14" t="str">
        <f t="shared" si="83"/>
        <v/>
      </c>
      <c r="II15" s="14" t="str">
        <f t="shared" si="84"/>
        <v/>
      </c>
      <c r="IJ15" s="14" t="str">
        <f t="shared" si="85"/>
        <v/>
      </c>
      <c r="IK15" s="14" t="str">
        <f t="shared" si="86"/>
        <v/>
      </c>
      <c r="IL15" s="14" t="str">
        <f t="shared" si="87"/>
        <v/>
      </c>
      <c r="IM15" s="14" t="str">
        <f t="shared" si="88"/>
        <v/>
      </c>
      <c r="IN15" s="35"/>
      <c r="IO15" s="35"/>
      <c r="IP15" s="35"/>
      <c r="IQ15" s="35"/>
      <c r="IR15" s="35"/>
      <c r="IS15" s="35"/>
      <c r="IT15" s="35"/>
      <c r="IU15" s="35"/>
      <c r="IV15" s="35"/>
      <c r="IW15" s="35"/>
      <c r="IX15" s="35"/>
      <c r="IY15" s="35"/>
      <c r="IZ15" s="35"/>
      <c r="JA15" s="35"/>
      <c r="JB15" s="35"/>
      <c r="JC15" s="11" t="str">
        <f t="shared" si="89"/>
        <v/>
      </c>
      <c r="JD15" s="11" t="str">
        <f t="shared" si="90"/>
        <v/>
      </c>
      <c r="JE15" s="11" t="str">
        <f t="shared" si="91"/>
        <v/>
      </c>
      <c r="JF15" s="11" t="str">
        <f t="shared" si="92"/>
        <v/>
      </c>
      <c r="JG15" s="11" t="str">
        <f t="shared" si="93"/>
        <v/>
      </c>
      <c r="JH15" s="11" t="str">
        <f t="shared" si="94"/>
        <v/>
      </c>
      <c r="JI15" s="11" t="str">
        <f t="shared" si="95"/>
        <v/>
      </c>
      <c r="JJ15" s="36"/>
      <c r="JK15" s="36"/>
      <c r="JL15" s="36"/>
      <c r="JM15" s="36"/>
      <c r="JN15" s="36"/>
      <c r="JO15" s="36"/>
      <c r="JP15" s="36"/>
      <c r="JQ15" s="36"/>
      <c r="JR15" s="36"/>
      <c r="JS15" s="36"/>
      <c r="JT15" s="36"/>
      <c r="JU15" s="36"/>
      <c r="JV15" s="36"/>
      <c r="JW15" s="36"/>
      <c r="JX15" s="36"/>
      <c r="JY15" s="14" t="str">
        <f t="shared" si="96"/>
        <v/>
      </c>
      <c r="JZ15" s="14" t="str">
        <f t="shared" si="97"/>
        <v/>
      </c>
      <c r="KA15" s="14" t="str">
        <f t="shared" si="98"/>
        <v/>
      </c>
      <c r="KB15" s="14" t="str">
        <f t="shared" si="99"/>
        <v/>
      </c>
      <c r="KC15" s="14" t="str">
        <f t="shared" si="100"/>
        <v/>
      </c>
      <c r="KD15" s="14" t="str">
        <f t="shared" si="101"/>
        <v/>
      </c>
      <c r="KE15" s="14" t="str">
        <f t="shared" si="102"/>
        <v/>
      </c>
      <c r="KF15" s="35"/>
      <c r="KG15" s="35"/>
      <c r="KH15" s="35"/>
      <c r="KI15" s="35"/>
      <c r="KJ15" s="35"/>
      <c r="KK15" s="35"/>
      <c r="KL15" s="35"/>
      <c r="KM15" s="35"/>
      <c r="KN15" s="35"/>
      <c r="KO15" s="35"/>
      <c r="KP15" s="35"/>
      <c r="KQ15" s="35"/>
      <c r="KR15" s="35"/>
      <c r="KS15" s="35"/>
      <c r="KT15" s="35"/>
      <c r="KU15" s="11" t="str">
        <f t="shared" si="103"/>
        <v/>
      </c>
      <c r="KV15" s="11" t="str">
        <f t="shared" si="104"/>
        <v/>
      </c>
      <c r="KW15" s="11" t="str">
        <f t="shared" si="105"/>
        <v/>
      </c>
      <c r="KX15" s="11" t="str">
        <f t="shared" si="106"/>
        <v/>
      </c>
      <c r="KY15" s="11" t="str">
        <f t="shared" si="107"/>
        <v/>
      </c>
      <c r="KZ15" s="11" t="str">
        <f t="shared" si="108"/>
        <v/>
      </c>
      <c r="LA15" s="11" t="str">
        <f t="shared" si="109"/>
        <v/>
      </c>
      <c r="LB15" s="36"/>
      <c r="LC15" s="36"/>
      <c r="LD15" s="36"/>
      <c r="LE15" s="36"/>
      <c r="LF15" s="36"/>
      <c r="LG15" s="36"/>
      <c r="LH15" s="36"/>
      <c r="LI15" s="36"/>
      <c r="LJ15" s="36"/>
      <c r="LK15" s="36"/>
      <c r="LL15" s="36"/>
      <c r="LM15" s="36"/>
      <c r="LN15" s="36"/>
      <c r="LO15" s="36"/>
      <c r="LP15" s="36"/>
      <c r="LQ15" s="14" t="str">
        <f t="shared" si="110"/>
        <v/>
      </c>
      <c r="LR15" s="14" t="str">
        <f t="shared" si="111"/>
        <v/>
      </c>
      <c r="LS15" s="14" t="str">
        <f t="shared" si="112"/>
        <v/>
      </c>
      <c r="LT15" s="14" t="str">
        <f t="shared" si="113"/>
        <v/>
      </c>
      <c r="LU15" s="14" t="str">
        <f t="shared" si="114"/>
        <v/>
      </c>
      <c r="LV15" s="14" t="str">
        <f t="shared" si="115"/>
        <v/>
      </c>
      <c r="LW15" s="14" t="str">
        <f t="shared" si="116"/>
        <v/>
      </c>
      <c r="LX15" s="35"/>
      <c r="LY15" s="35"/>
      <c r="LZ15" s="35"/>
      <c r="MA15" s="35"/>
      <c r="MB15" s="35"/>
      <c r="MC15" s="35"/>
      <c r="MD15" s="35"/>
      <c r="ME15" s="35"/>
      <c r="MF15" s="35"/>
      <c r="MG15" s="35"/>
      <c r="MH15" s="35"/>
      <c r="MI15" s="35"/>
      <c r="MJ15" s="35"/>
      <c r="MK15" s="35"/>
      <c r="ML15" s="35"/>
      <c r="MM15" s="11" t="str">
        <f t="shared" si="117"/>
        <v/>
      </c>
      <c r="MN15" s="11" t="str">
        <f t="shared" si="118"/>
        <v/>
      </c>
      <c r="MO15" s="11" t="str">
        <f t="shared" si="119"/>
        <v/>
      </c>
      <c r="MP15" s="11" t="str">
        <f t="shared" si="120"/>
        <v/>
      </c>
      <c r="MQ15" s="11" t="str">
        <f t="shared" si="121"/>
        <v/>
      </c>
      <c r="MR15" s="11" t="str">
        <f t="shared" si="122"/>
        <v/>
      </c>
      <c r="MS15" s="11" t="str">
        <f t="shared" si="123"/>
        <v/>
      </c>
      <c r="MT15" s="36"/>
      <c r="MU15" s="36"/>
      <c r="MV15" s="36"/>
      <c r="MW15" s="36"/>
      <c r="MX15" s="36"/>
      <c r="MY15" s="36"/>
      <c r="MZ15" s="36"/>
      <c r="NA15" s="36"/>
      <c r="NB15" s="36"/>
      <c r="NC15" s="36"/>
      <c r="ND15" s="36"/>
      <c r="NE15" s="36"/>
      <c r="NF15" s="36"/>
      <c r="NG15" s="36"/>
      <c r="NH15" s="36"/>
      <c r="NI15" s="14" t="str">
        <f t="shared" si="124"/>
        <v/>
      </c>
      <c r="NJ15" s="14" t="str">
        <f t="shared" si="125"/>
        <v/>
      </c>
      <c r="NK15" s="14" t="str">
        <f t="shared" si="126"/>
        <v/>
      </c>
      <c r="NL15" s="14" t="str">
        <f t="shared" si="127"/>
        <v/>
      </c>
      <c r="NM15" s="14" t="str">
        <f t="shared" si="128"/>
        <v/>
      </c>
      <c r="NN15" s="14" t="str">
        <f t="shared" si="129"/>
        <v/>
      </c>
      <c r="NO15" s="14" t="str">
        <f t="shared" si="130"/>
        <v/>
      </c>
      <c r="NP15" s="61">
        <f t="shared" si="131"/>
        <v>8.0500000000000007</v>
      </c>
      <c r="NQ15" s="61">
        <f t="shared" si="132"/>
        <v>5</v>
      </c>
      <c r="NR15" s="61">
        <f t="shared" si="133"/>
        <v>1.1000000000000001</v>
      </c>
      <c r="NS15" s="61">
        <f t="shared" si="134"/>
        <v>7.4024999999999999</v>
      </c>
      <c r="NT15" s="61">
        <f t="shared" si="135"/>
        <v>0.1</v>
      </c>
      <c r="NU15" s="61">
        <f t="shared" si="136"/>
        <v>7.2</v>
      </c>
      <c r="NV15" s="61">
        <f t="shared" si="137"/>
        <v>4.9000000000000004</v>
      </c>
      <c r="NW15" s="61">
        <f t="shared" si="138"/>
        <v>5.6</v>
      </c>
      <c r="NX15" s="61">
        <f t="shared" si="139"/>
        <v>7.3849999999999998</v>
      </c>
      <c r="NY15" s="61">
        <f t="shared" si="140"/>
        <v>0.1</v>
      </c>
      <c r="NZ15" s="61">
        <f t="shared" si="141"/>
        <v>0</v>
      </c>
      <c r="OA15" s="61">
        <f t="shared" si="142"/>
        <v>0</v>
      </c>
      <c r="OB15" s="61">
        <f t="shared" si="143"/>
        <v>0</v>
      </c>
      <c r="OC15" s="61">
        <f t="shared" si="144"/>
        <v>0</v>
      </c>
      <c r="OD15" s="61">
        <f t="shared" si="145"/>
        <v>0</v>
      </c>
      <c r="OE15" s="61">
        <f t="shared" si="146"/>
        <v>7.3</v>
      </c>
      <c r="OF15" s="61">
        <f t="shared" si="147"/>
        <v>4.5999999999999996</v>
      </c>
      <c r="OG15" s="61">
        <f t="shared" si="148"/>
        <v>5.6</v>
      </c>
      <c r="OH15" s="61">
        <f t="shared" si="149"/>
        <v>7.3975</v>
      </c>
      <c r="OI15" s="61">
        <f t="shared" si="150"/>
        <v>0.1</v>
      </c>
      <c r="OJ15" s="72" t="s">
        <v>52</v>
      </c>
      <c r="OK15" s="11">
        <f t="shared" si="151"/>
        <v>21.452500000000001</v>
      </c>
      <c r="OL15" s="11">
        <f t="shared" si="152"/>
        <v>5.6</v>
      </c>
      <c r="OM15" s="11">
        <f t="shared" si="153"/>
        <v>24.984999999999999</v>
      </c>
      <c r="ON15" s="11" t="str">
        <f t="shared" si="154"/>
        <v/>
      </c>
      <c r="OO15" s="11" t="str">
        <f t="shared" si="155"/>
        <v/>
      </c>
      <c r="OP15" s="11">
        <f t="shared" si="156"/>
        <v>46.4375</v>
      </c>
      <c r="OQ15" s="11">
        <f t="shared" si="157"/>
        <v>5.6</v>
      </c>
      <c r="OR15" s="11">
        <f t="shared" ref="OR15" si="168">IF(SUM(OE15:OH15)-OI15&gt;0,SUM(OE15:OH15)-OI15,"")</f>
        <v>24.797499999999999</v>
      </c>
      <c r="OS15" s="11">
        <f t="shared" ref="OS15" si="169">IF(SUM(OP15,OR15)&gt;0,SUM(OP15,OR15),"")</f>
        <v>71.234999999999999</v>
      </c>
    </row>
    <row r="16" spans="1:409" x14ac:dyDescent="0.2">
      <c r="A16" s="5" t="str" cm="1">
        <f t="array" ref="A16">IF(AND(G16&lt;&gt;"",H16&lt;&gt;""),SUMPRODUCT((G$4:G$24&lt;&gt;"")*(H$4:H$24&lt;&gt;"")*(E$4:E$24&gt;E16))+1,IF(H16&lt;&gt;"",SUMPRODUCT((I$4:I$24="No DD")*(E$4:E$24&gt;E16))+1+SUMPRODUCT((G$4:G$24&lt;&gt;"")*(H$4:H$24&lt;&gt;"")),""))</f>
        <v/>
      </c>
      <c r="B16" s="6" t="s">
        <v>106</v>
      </c>
      <c r="C16" s="7" t="s">
        <v>4</v>
      </c>
      <c r="D16" s="26">
        <v>2004</v>
      </c>
      <c r="E16" s="15">
        <f t="shared" si="0"/>
        <v>98.02</v>
      </c>
      <c r="F16" s="3" t="str">
        <f t="shared" si="1"/>
        <v/>
      </c>
      <c r="G16" s="115" t="str">
        <f t="shared" si="2"/>
        <v/>
      </c>
      <c r="H16" s="115" t="str">
        <f t="shared" si="3"/>
        <v/>
      </c>
      <c r="I16" s="116" t="str">
        <f t="shared" si="4"/>
        <v/>
      </c>
      <c r="J16" s="3" t="str">
        <f t="shared" si="5"/>
        <v/>
      </c>
      <c r="K16" s="14">
        <f t="shared" si="6"/>
        <v>92.614999999999995</v>
      </c>
      <c r="L16" s="14" t="str">
        <f t="shared" si="7"/>
        <v>2021 Elite Canada</v>
      </c>
      <c r="M16" s="14">
        <f t="shared" si="8"/>
        <v>40.204999999999998</v>
      </c>
      <c r="N16" s="14" t="str">
        <f t="shared" si="9"/>
        <v>2021 2nd Virtual Technical Trial</v>
      </c>
      <c r="O16" s="14">
        <f t="shared" si="10"/>
        <v>49.489999999999995</v>
      </c>
      <c r="P16" s="14" t="str">
        <f t="shared" si="11"/>
        <v>2021 Elite Canada</v>
      </c>
      <c r="Q16" s="14">
        <f>IF(COUNT(AS16,AU16,AX16,BW16,BY16,CB16,DA16,DC16,DF16)&gt;1,LARGE((AS16,AU16,AX16,BW16,BY16,CB16,DA16,DC16,DF16),2),0)</f>
        <v>48.53</v>
      </c>
      <c r="R16" s="14" t="str">
        <f t="shared" si="12"/>
        <v>2021 Elite Canada</v>
      </c>
      <c r="S16" s="14" t="str">
        <f t="shared" si="13"/>
        <v/>
      </c>
      <c r="T16" s="24" t="str">
        <f t="shared" si="14"/>
        <v/>
      </c>
      <c r="U16" s="14" t="str">
        <f t="shared" si="15"/>
        <v/>
      </c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72"/>
      <c r="AQ16" s="11" t="str">
        <f t="shared" si="16"/>
        <v/>
      </c>
      <c r="AR16" s="11" t="str">
        <f t="shared" si="17"/>
        <v/>
      </c>
      <c r="AS16" s="11" t="str">
        <f t="shared" si="18"/>
        <v/>
      </c>
      <c r="AT16" s="11" t="str">
        <f t="shared" si="19"/>
        <v/>
      </c>
      <c r="AU16" s="11" t="str">
        <f t="shared" si="20"/>
        <v/>
      </c>
      <c r="AV16" s="11" t="str">
        <f t="shared" si="21"/>
        <v/>
      </c>
      <c r="AW16" s="11" t="str">
        <f t="shared" si="22"/>
        <v/>
      </c>
      <c r="AX16" s="11" t="str">
        <f t="shared" si="23"/>
        <v/>
      </c>
      <c r="AY16" s="11" t="str">
        <f t="shared" si="24"/>
        <v/>
      </c>
      <c r="AZ16" s="67">
        <v>14</v>
      </c>
      <c r="BA16" s="67">
        <v>8.9</v>
      </c>
      <c r="BB16" s="67">
        <v>2.5</v>
      </c>
      <c r="BC16" s="67">
        <v>14.805</v>
      </c>
      <c r="BD16" s="67">
        <v>0</v>
      </c>
      <c r="BE16" s="67">
        <v>12.8</v>
      </c>
      <c r="BF16" s="67">
        <v>8.1999999999999993</v>
      </c>
      <c r="BG16" s="67">
        <v>6.5</v>
      </c>
      <c r="BH16" s="67">
        <v>13.654999999999999</v>
      </c>
      <c r="BI16" s="67">
        <v>3.1</v>
      </c>
      <c r="BJ16" s="67"/>
      <c r="BK16" s="67"/>
      <c r="BL16" s="67"/>
      <c r="BM16" s="67"/>
      <c r="BN16" s="67"/>
      <c r="BO16" s="67">
        <v>3.4</v>
      </c>
      <c r="BP16" s="67">
        <v>2.4</v>
      </c>
      <c r="BQ16" s="67">
        <v>3.2</v>
      </c>
      <c r="BR16" s="67">
        <v>4.7850000000000001</v>
      </c>
      <c r="BS16" s="67">
        <v>0</v>
      </c>
      <c r="BT16" s="73"/>
      <c r="BU16" s="14">
        <f t="shared" si="25"/>
        <v>40.204999999999998</v>
      </c>
      <c r="BV16" s="14">
        <f t="shared" si="26"/>
        <v>6.5</v>
      </c>
      <c r="BW16" s="14">
        <f t="shared" si="27"/>
        <v>38.055</v>
      </c>
      <c r="BX16" s="14" t="str">
        <f t="shared" si="28"/>
        <v/>
      </c>
      <c r="BY16" s="14" t="str">
        <f t="shared" si="29"/>
        <v/>
      </c>
      <c r="BZ16" s="14">
        <f t="shared" si="30"/>
        <v>78.259999999999991</v>
      </c>
      <c r="CA16" s="14">
        <f t="shared" si="31"/>
        <v>3.2</v>
      </c>
      <c r="CB16" s="14">
        <f t="shared" si="32"/>
        <v>13.785</v>
      </c>
      <c r="CC16" s="14">
        <f t="shared" si="33"/>
        <v>92.044999999999987</v>
      </c>
      <c r="CD16" s="61">
        <v>15.5</v>
      </c>
      <c r="CE16" s="61">
        <v>9.3000000000000007</v>
      </c>
      <c r="CF16" s="61">
        <v>2.5</v>
      </c>
      <c r="CG16" s="61">
        <v>15.824999999999999</v>
      </c>
      <c r="CH16" s="61">
        <v>0</v>
      </c>
      <c r="CI16" s="61">
        <v>13.2</v>
      </c>
      <c r="CJ16" s="61">
        <v>9.6</v>
      </c>
      <c r="CK16" s="61">
        <v>11.3</v>
      </c>
      <c r="CL16" s="61">
        <v>15.39</v>
      </c>
      <c r="CM16" s="61">
        <v>0</v>
      </c>
      <c r="CN16" s="61"/>
      <c r="CO16" s="61"/>
      <c r="CP16" s="61"/>
      <c r="CQ16" s="61"/>
      <c r="CR16" s="61"/>
      <c r="CS16" s="61">
        <v>13.5</v>
      </c>
      <c r="CT16" s="61">
        <v>9.4</v>
      </c>
      <c r="CU16" s="61">
        <v>10.4</v>
      </c>
      <c r="CV16" s="61">
        <v>15.23</v>
      </c>
      <c r="CW16" s="61">
        <v>0</v>
      </c>
      <c r="CX16" s="72"/>
      <c r="CY16" s="11">
        <f t="shared" si="34"/>
        <v>43.125</v>
      </c>
      <c r="CZ16" s="11">
        <f t="shared" si="35"/>
        <v>11.3</v>
      </c>
      <c r="DA16" s="11">
        <f t="shared" si="36"/>
        <v>49.489999999999995</v>
      </c>
      <c r="DB16" s="11" t="str">
        <f t="shared" si="37"/>
        <v/>
      </c>
      <c r="DC16" s="11" t="str">
        <f t="shared" si="38"/>
        <v/>
      </c>
      <c r="DD16" s="11">
        <f t="shared" si="39"/>
        <v>92.614999999999995</v>
      </c>
      <c r="DE16" s="11">
        <f t="shared" si="40"/>
        <v>10.4</v>
      </c>
      <c r="DF16" s="11">
        <f t="shared" si="41"/>
        <v>48.53</v>
      </c>
      <c r="DG16" s="11">
        <f t="shared" si="42"/>
        <v>141.14499999999998</v>
      </c>
      <c r="DH16" s="23" t="str">
        <f t="shared" si="43"/>
        <v/>
      </c>
      <c r="DI16" s="23" t="str">
        <f t="shared" si="44"/>
        <v/>
      </c>
      <c r="DJ16" s="23" t="str">
        <f t="shared" si="45"/>
        <v/>
      </c>
      <c r="DK16" s="23" t="str">
        <f t="shared" si="46"/>
        <v/>
      </c>
      <c r="DL16" s="35"/>
      <c r="DM16" s="35"/>
      <c r="DN16" s="35"/>
      <c r="DO16" s="35"/>
      <c r="DP16" s="35"/>
      <c r="DQ16" s="35"/>
      <c r="DR16" s="35"/>
      <c r="DS16" s="35"/>
      <c r="DT16" s="35"/>
      <c r="DU16" s="35"/>
      <c r="DV16" s="35"/>
      <c r="DW16" s="35"/>
      <c r="DX16" s="35"/>
      <c r="DY16" s="35"/>
      <c r="DZ16" s="35"/>
      <c r="EA16" s="11" t="str">
        <f t="shared" si="47"/>
        <v/>
      </c>
      <c r="EB16" s="11" t="str">
        <f t="shared" si="48"/>
        <v/>
      </c>
      <c r="EC16" s="11" t="str">
        <f t="shared" si="49"/>
        <v/>
      </c>
      <c r="ED16" s="11" t="str">
        <f t="shared" si="50"/>
        <v/>
      </c>
      <c r="EE16" s="11" t="str">
        <f t="shared" si="51"/>
        <v/>
      </c>
      <c r="EF16" s="11" t="str">
        <f t="shared" si="52"/>
        <v/>
      </c>
      <c r="EG16" s="11" t="str">
        <f t="shared" si="53"/>
        <v/>
      </c>
      <c r="EH16" s="36"/>
      <c r="EI16" s="36"/>
      <c r="EJ16" s="36"/>
      <c r="EK16" s="36"/>
      <c r="EL16" s="36"/>
      <c r="EM16" s="36"/>
      <c r="EN16" s="36"/>
      <c r="EO16" s="36"/>
      <c r="EP16" s="36"/>
      <c r="EQ16" s="36"/>
      <c r="ER16" s="36"/>
      <c r="ES16" s="36"/>
      <c r="ET16" s="36"/>
      <c r="EU16" s="36"/>
      <c r="EV16" s="36"/>
      <c r="EW16" s="14" t="str">
        <f t="shared" si="54"/>
        <v/>
      </c>
      <c r="EX16" s="14" t="str">
        <f t="shared" si="55"/>
        <v/>
      </c>
      <c r="EY16" s="14" t="str">
        <f t="shared" si="56"/>
        <v/>
      </c>
      <c r="EZ16" s="14" t="str">
        <f t="shared" si="57"/>
        <v/>
      </c>
      <c r="FA16" s="14" t="str">
        <f t="shared" si="58"/>
        <v/>
      </c>
      <c r="FB16" s="14" t="str">
        <f t="shared" si="59"/>
        <v/>
      </c>
      <c r="FC16" s="14" t="str">
        <f t="shared" si="60"/>
        <v/>
      </c>
      <c r="FD16" s="35"/>
      <c r="FE16" s="35"/>
      <c r="FF16" s="35"/>
      <c r="FG16" s="35"/>
      <c r="FH16" s="35"/>
      <c r="FI16" s="35"/>
      <c r="FJ16" s="35"/>
      <c r="FK16" s="35"/>
      <c r="FL16" s="35"/>
      <c r="FM16" s="35"/>
      <c r="FN16" s="35"/>
      <c r="FO16" s="35"/>
      <c r="FP16" s="35"/>
      <c r="FQ16" s="35"/>
      <c r="FR16" s="35"/>
      <c r="FS16" s="11" t="str">
        <f t="shared" si="61"/>
        <v/>
      </c>
      <c r="FT16" s="11" t="str">
        <f t="shared" si="62"/>
        <v/>
      </c>
      <c r="FU16" s="11" t="str">
        <f t="shared" si="63"/>
        <v/>
      </c>
      <c r="FV16" s="11" t="str">
        <f t="shared" si="64"/>
        <v/>
      </c>
      <c r="FW16" s="11" t="str">
        <f t="shared" si="65"/>
        <v/>
      </c>
      <c r="FX16" s="11" t="str">
        <f t="shared" si="66"/>
        <v/>
      </c>
      <c r="FY16" s="11" t="str">
        <f t="shared" si="67"/>
        <v/>
      </c>
      <c r="FZ16" s="36"/>
      <c r="GA16" s="36"/>
      <c r="GB16" s="36"/>
      <c r="GC16" s="36"/>
      <c r="GD16" s="36"/>
      <c r="GE16" s="36"/>
      <c r="GF16" s="36"/>
      <c r="GG16" s="36"/>
      <c r="GH16" s="36"/>
      <c r="GI16" s="36"/>
      <c r="GJ16" s="36"/>
      <c r="GK16" s="36"/>
      <c r="GL16" s="36"/>
      <c r="GM16" s="36"/>
      <c r="GN16" s="36"/>
      <c r="GO16" s="14" t="str">
        <f t="shared" si="68"/>
        <v/>
      </c>
      <c r="GP16" s="14" t="str">
        <f t="shared" si="69"/>
        <v/>
      </c>
      <c r="GQ16" s="14" t="str">
        <f t="shared" si="70"/>
        <v/>
      </c>
      <c r="GR16" s="14" t="str">
        <f t="shared" si="71"/>
        <v/>
      </c>
      <c r="GS16" s="14" t="str">
        <f t="shared" si="72"/>
        <v/>
      </c>
      <c r="GT16" s="14" t="str">
        <f t="shared" si="73"/>
        <v/>
      </c>
      <c r="GU16" s="14" t="str">
        <f t="shared" si="74"/>
        <v/>
      </c>
      <c r="GV16" s="35"/>
      <c r="GW16" s="35"/>
      <c r="GX16" s="35"/>
      <c r="GY16" s="35"/>
      <c r="GZ16" s="35"/>
      <c r="HA16" s="35"/>
      <c r="HB16" s="35"/>
      <c r="HC16" s="35"/>
      <c r="HD16" s="35"/>
      <c r="HE16" s="35"/>
      <c r="HF16" s="35"/>
      <c r="HG16" s="35"/>
      <c r="HH16" s="35"/>
      <c r="HI16" s="35"/>
      <c r="HJ16" s="35"/>
      <c r="HK16" s="11" t="str">
        <f t="shared" si="75"/>
        <v/>
      </c>
      <c r="HL16" s="11" t="str">
        <f t="shared" si="76"/>
        <v/>
      </c>
      <c r="HM16" s="11" t="str">
        <f t="shared" si="77"/>
        <v/>
      </c>
      <c r="HN16" s="11" t="str">
        <f t="shared" si="78"/>
        <v/>
      </c>
      <c r="HO16" s="11" t="str">
        <f t="shared" si="79"/>
        <v/>
      </c>
      <c r="HP16" s="11" t="str">
        <f t="shared" si="80"/>
        <v/>
      </c>
      <c r="HQ16" s="11" t="str">
        <f t="shared" si="81"/>
        <v/>
      </c>
      <c r="HR16" s="36"/>
      <c r="HS16" s="36"/>
      <c r="HT16" s="36"/>
      <c r="HU16" s="36"/>
      <c r="HV16" s="36"/>
      <c r="HW16" s="36"/>
      <c r="HX16" s="36"/>
      <c r="HY16" s="36"/>
      <c r="HZ16" s="36"/>
      <c r="IA16" s="36"/>
      <c r="IB16" s="36"/>
      <c r="IC16" s="36"/>
      <c r="ID16" s="36"/>
      <c r="IE16" s="36"/>
      <c r="IF16" s="36"/>
      <c r="IG16" s="14" t="str">
        <f t="shared" si="82"/>
        <v/>
      </c>
      <c r="IH16" s="14" t="str">
        <f t="shared" si="83"/>
        <v/>
      </c>
      <c r="II16" s="14" t="str">
        <f t="shared" si="84"/>
        <v/>
      </c>
      <c r="IJ16" s="14" t="str">
        <f t="shared" si="85"/>
        <v/>
      </c>
      <c r="IK16" s="14" t="str">
        <f t="shared" si="86"/>
        <v/>
      </c>
      <c r="IL16" s="14" t="str">
        <f t="shared" si="87"/>
        <v/>
      </c>
      <c r="IM16" s="14" t="str">
        <f t="shared" si="88"/>
        <v/>
      </c>
      <c r="IN16" s="35"/>
      <c r="IO16" s="35"/>
      <c r="IP16" s="35"/>
      <c r="IQ16" s="35"/>
      <c r="IR16" s="35"/>
      <c r="IS16" s="35"/>
      <c r="IT16" s="35"/>
      <c r="IU16" s="35"/>
      <c r="IV16" s="35"/>
      <c r="IW16" s="35"/>
      <c r="IX16" s="35"/>
      <c r="IY16" s="35"/>
      <c r="IZ16" s="35"/>
      <c r="JA16" s="35"/>
      <c r="JB16" s="35"/>
      <c r="JC16" s="11" t="str">
        <f t="shared" si="89"/>
        <v/>
      </c>
      <c r="JD16" s="11" t="str">
        <f t="shared" si="90"/>
        <v/>
      </c>
      <c r="JE16" s="11" t="str">
        <f t="shared" si="91"/>
        <v/>
      </c>
      <c r="JF16" s="11" t="str">
        <f t="shared" si="92"/>
        <v/>
      </c>
      <c r="JG16" s="11" t="str">
        <f t="shared" si="93"/>
        <v/>
      </c>
      <c r="JH16" s="11" t="str">
        <f t="shared" si="94"/>
        <v/>
      </c>
      <c r="JI16" s="11" t="str">
        <f t="shared" si="95"/>
        <v/>
      </c>
      <c r="JJ16" s="36"/>
      <c r="JK16" s="36"/>
      <c r="JL16" s="36"/>
      <c r="JM16" s="36"/>
      <c r="JN16" s="36"/>
      <c r="JO16" s="36"/>
      <c r="JP16" s="36"/>
      <c r="JQ16" s="36"/>
      <c r="JR16" s="36"/>
      <c r="JS16" s="36"/>
      <c r="JT16" s="36"/>
      <c r="JU16" s="36"/>
      <c r="JV16" s="36"/>
      <c r="JW16" s="36"/>
      <c r="JX16" s="36"/>
      <c r="JY16" s="14" t="str">
        <f t="shared" si="96"/>
        <v/>
      </c>
      <c r="JZ16" s="14" t="str">
        <f t="shared" si="97"/>
        <v/>
      </c>
      <c r="KA16" s="14" t="str">
        <f t="shared" si="98"/>
        <v/>
      </c>
      <c r="KB16" s="14" t="str">
        <f t="shared" si="99"/>
        <v/>
      </c>
      <c r="KC16" s="14" t="str">
        <f t="shared" si="100"/>
        <v/>
      </c>
      <c r="KD16" s="14" t="str">
        <f t="shared" si="101"/>
        <v/>
      </c>
      <c r="KE16" s="14" t="str">
        <f t="shared" si="102"/>
        <v/>
      </c>
      <c r="KF16" s="35"/>
      <c r="KG16" s="35"/>
      <c r="KH16" s="35"/>
      <c r="KI16" s="35"/>
      <c r="KJ16" s="35"/>
      <c r="KK16" s="35"/>
      <c r="KL16" s="35"/>
      <c r="KM16" s="35"/>
      <c r="KN16" s="35"/>
      <c r="KO16" s="35"/>
      <c r="KP16" s="35"/>
      <c r="KQ16" s="35"/>
      <c r="KR16" s="35"/>
      <c r="KS16" s="35"/>
      <c r="KT16" s="35"/>
      <c r="KU16" s="11" t="str">
        <f t="shared" si="103"/>
        <v/>
      </c>
      <c r="KV16" s="11" t="str">
        <f t="shared" si="104"/>
        <v/>
      </c>
      <c r="KW16" s="11" t="str">
        <f t="shared" si="105"/>
        <v/>
      </c>
      <c r="KX16" s="11" t="str">
        <f t="shared" si="106"/>
        <v/>
      </c>
      <c r="KY16" s="11" t="str">
        <f t="shared" si="107"/>
        <v/>
      </c>
      <c r="KZ16" s="11" t="str">
        <f t="shared" si="108"/>
        <v/>
      </c>
      <c r="LA16" s="11" t="str">
        <f t="shared" si="109"/>
        <v/>
      </c>
      <c r="LB16" s="36"/>
      <c r="LC16" s="36"/>
      <c r="LD16" s="36"/>
      <c r="LE16" s="36"/>
      <c r="LF16" s="36"/>
      <c r="LG16" s="36"/>
      <c r="LH16" s="36"/>
      <c r="LI16" s="36"/>
      <c r="LJ16" s="36"/>
      <c r="LK16" s="36"/>
      <c r="LL16" s="36"/>
      <c r="LM16" s="36"/>
      <c r="LN16" s="36"/>
      <c r="LO16" s="36"/>
      <c r="LP16" s="36"/>
      <c r="LQ16" s="14" t="str">
        <f t="shared" si="110"/>
        <v/>
      </c>
      <c r="LR16" s="14" t="str">
        <f t="shared" si="111"/>
        <v/>
      </c>
      <c r="LS16" s="14" t="str">
        <f t="shared" si="112"/>
        <v/>
      </c>
      <c r="LT16" s="14" t="str">
        <f t="shared" si="113"/>
        <v/>
      </c>
      <c r="LU16" s="14" t="str">
        <f t="shared" si="114"/>
        <v/>
      </c>
      <c r="LV16" s="14" t="str">
        <f t="shared" si="115"/>
        <v/>
      </c>
      <c r="LW16" s="14" t="str">
        <f t="shared" si="116"/>
        <v/>
      </c>
      <c r="LX16" s="35"/>
      <c r="LY16" s="35"/>
      <c r="LZ16" s="35"/>
      <c r="MA16" s="35"/>
      <c r="MB16" s="35"/>
      <c r="MC16" s="35"/>
      <c r="MD16" s="35"/>
      <c r="ME16" s="35"/>
      <c r="MF16" s="35"/>
      <c r="MG16" s="35"/>
      <c r="MH16" s="35"/>
      <c r="MI16" s="35"/>
      <c r="MJ16" s="35"/>
      <c r="MK16" s="35"/>
      <c r="ML16" s="35"/>
      <c r="MM16" s="11" t="str">
        <f t="shared" si="117"/>
        <v/>
      </c>
      <c r="MN16" s="11" t="str">
        <f t="shared" si="118"/>
        <v/>
      </c>
      <c r="MO16" s="11" t="str">
        <f t="shared" si="119"/>
        <v/>
      </c>
      <c r="MP16" s="11" t="str">
        <f t="shared" si="120"/>
        <v/>
      </c>
      <c r="MQ16" s="11" t="str">
        <f t="shared" si="121"/>
        <v/>
      </c>
      <c r="MR16" s="11" t="str">
        <f t="shared" si="122"/>
        <v/>
      </c>
      <c r="MS16" s="11" t="str">
        <f t="shared" si="123"/>
        <v/>
      </c>
      <c r="MT16" s="36"/>
      <c r="MU16" s="36"/>
      <c r="MV16" s="36"/>
      <c r="MW16" s="36"/>
      <c r="MX16" s="36"/>
      <c r="MY16" s="36"/>
      <c r="MZ16" s="36"/>
      <c r="NA16" s="36"/>
      <c r="NB16" s="36"/>
      <c r="NC16" s="36"/>
      <c r="ND16" s="36"/>
      <c r="NE16" s="36"/>
      <c r="NF16" s="36"/>
      <c r="NG16" s="36"/>
      <c r="NH16" s="36"/>
      <c r="NI16" s="14" t="str">
        <f t="shared" si="124"/>
        <v/>
      </c>
      <c r="NJ16" s="14" t="str">
        <f t="shared" si="125"/>
        <v/>
      </c>
      <c r="NK16" s="14" t="str">
        <f t="shared" si="126"/>
        <v/>
      </c>
      <c r="NL16" s="14" t="str">
        <f t="shared" si="127"/>
        <v/>
      </c>
      <c r="NM16" s="14" t="str">
        <f t="shared" si="128"/>
        <v/>
      </c>
      <c r="NN16" s="14" t="str">
        <f t="shared" si="129"/>
        <v/>
      </c>
      <c r="NO16" s="14" t="str">
        <f t="shared" si="130"/>
        <v/>
      </c>
      <c r="NP16" s="61">
        <f t="shared" si="131"/>
        <v>14.75</v>
      </c>
      <c r="NQ16" s="61">
        <f t="shared" si="132"/>
        <v>9.1000000000000014</v>
      </c>
      <c r="NR16" s="61">
        <f t="shared" si="133"/>
        <v>2.5</v>
      </c>
      <c r="NS16" s="61">
        <f t="shared" si="134"/>
        <v>15.315</v>
      </c>
      <c r="NT16" s="61">
        <f t="shared" si="135"/>
        <v>0</v>
      </c>
      <c r="NU16" s="61">
        <f t="shared" si="136"/>
        <v>13</v>
      </c>
      <c r="NV16" s="61">
        <f t="shared" si="137"/>
        <v>8.8999999999999986</v>
      </c>
      <c r="NW16" s="61">
        <f t="shared" si="138"/>
        <v>8.9</v>
      </c>
      <c r="NX16" s="61">
        <f t="shared" si="139"/>
        <v>14.522500000000001</v>
      </c>
      <c r="NY16" s="61">
        <f t="shared" si="140"/>
        <v>1.55</v>
      </c>
      <c r="NZ16" s="61">
        <f t="shared" si="141"/>
        <v>0</v>
      </c>
      <c r="OA16" s="61">
        <f t="shared" si="142"/>
        <v>0</v>
      </c>
      <c r="OB16" s="61">
        <f t="shared" si="143"/>
        <v>0</v>
      </c>
      <c r="OC16" s="61">
        <f t="shared" si="144"/>
        <v>0</v>
      </c>
      <c r="OD16" s="61">
        <f t="shared" si="145"/>
        <v>0</v>
      </c>
      <c r="OE16" s="61">
        <f t="shared" si="146"/>
        <v>8.4499999999999993</v>
      </c>
      <c r="OF16" s="61">
        <f t="shared" si="147"/>
        <v>5.9</v>
      </c>
      <c r="OG16" s="61">
        <f t="shared" si="148"/>
        <v>6.8000000000000007</v>
      </c>
      <c r="OH16" s="61">
        <f t="shared" si="149"/>
        <v>10.0075</v>
      </c>
      <c r="OI16" s="61">
        <f t="shared" si="150"/>
        <v>0</v>
      </c>
      <c r="OJ16" s="72" t="s">
        <v>52</v>
      </c>
      <c r="OK16" s="11">
        <f t="shared" si="151"/>
        <v>41.664999999999999</v>
      </c>
      <c r="OL16" s="11">
        <f t="shared" si="152"/>
        <v>8.9</v>
      </c>
      <c r="OM16" s="11">
        <f t="shared" si="153"/>
        <v>43.772500000000001</v>
      </c>
      <c r="ON16" s="11" t="str">
        <f t="shared" si="154"/>
        <v/>
      </c>
      <c r="OO16" s="11" t="str">
        <f t="shared" si="155"/>
        <v/>
      </c>
      <c r="OP16" s="11">
        <f t="shared" si="156"/>
        <v>85.4375</v>
      </c>
      <c r="OQ16" s="11">
        <f t="shared" si="157"/>
        <v>6.8000000000000007</v>
      </c>
      <c r="OR16" s="11">
        <f t="shared" ref="OR16" si="170">IF(SUM(OE16:OH16)-OI16&gt;0,SUM(OE16:OH16)-OI16,"")</f>
        <v>31.157499999999999</v>
      </c>
      <c r="OS16" s="11">
        <f t="shared" ref="OS16" si="171">IF(SUM(OP16,OR16)&gt;0,SUM(OP16,OR16),"")</f>
        <v>116.595</v>
      </c>
    </row>
    <row r="17" spans="1:409" x14ac:dyDescent="0.2">
      <c r="A17" s="5" t="str" cm="1">
        <f t="array" ref="A17">IF(AND(G17&lt;&gt;"",H17&lt;&gt;""),SUMPRODUCT((G$4:G$24&lt;&gt;"")*(H$4:H$24&lt;&gt;"")*(E$4:E$24&gt;E17))+1,IF(H17&lt;&gt;"",SUMPRODUCT((I$4:I$24="No DD")*(E$4:E$24&gt;E17))+1+SUMPRODUCT((G$4:G$24&lt;&gt;"")*(H$4:H$24&lt;&gt;"")),""))</f>
        <v/>
      </c>
      <c r="B17" s="6" t="s">
        <v>139</v>
      </c>
      <c r="C17" s="7" t="s">
        <v>5</v>
      </c>
      <c r="D17" s="26">
        <v>2004</v>
      </c>
      <c r="E17" s="15">
        <f t="shared" si="0"/>
        <v>91.155000000000001</v>
      </c>
      <c r="F17" s="3" t="str">
        <f t="shared" si="1"/>
        <v/>
      </c>
      <c r="G17" s="115" t="str">
        <f t="shared" si="2"/>
        <v/>
      </c>
      <c r="H17" s="115" t="str">
        <f t="shared" si="3"/>
        <v/>
      </c>
      <c r="I17" s="116" t="str">
        <f t="shared" si="4"/>
        <v/>
      </c>
      <c r="J17" s="3" t="str">
        <f t="shared" si="5"/>
        <v/>
      </c>
      <c r="K17" s="14">
        <f t="shared" si="6"/>
        <v>86.605000000000004</v>
      </c>
      <c r="L17" s="14" t="str">
        <f t="shared" si="7"/>
        <v>2021 Elite Canada</v>
      </c>
      <c r="M17" s="14">
        <f t="shared" si="8"/>
        <v>0</v>
      </c>
      <c r="N17" s="14" t="str">
        <f t="shared" si="9"/>
        <v/>
      </c>
      <c r="O17" s="14">
        <f t="shared" si="10"/>
        <v>47.010000000000005</v>
      </c>
      <c r="P17" s="14" t="str">
        <f t="shared" si="11"/>
        <v>2021 Elite Canada</v>
      </c>
      <c r="Q17" s="14">
        <f>IF(COUNT(AS17,AU17,AX17,BW17,BY17,CB17,DA17,DC17,DF17)&gt;1,LARGE((AS17,AU17,AX17,BW17,BY17,CB17,DA17,DC17,DF17),2),0)</f>
        <v>44.145000000000003</v>
      </c>
      <c r="R17" s="14" t="str">
        <f t="shared" si="12"/>
        <v>2021 Elite Canada</v>
      </c>
      <c r="S17" s="14" t="str">
        <f t="shared" si="13"/>
        <v/>
      </c>
      <c r="T17" s="24" t="str">
        <f t="shared" si="14"/>
        <v/>
      </c>
      <c r="U17" s="14" t="str">
        <f t="shared" si="15"/>
        <v/>
      </c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72"/>
      <c r="AQ17" s="11" t="str">
        <f t="shared" si="16"/>
        <v/>
      </c>
      <c r="AR17" s="11" t="str">
        <f t="shared" si="17"/>
        <v/>
      </c>
      <c r="AS17" s="11" t="str">
        <f t="shared" si="18"/>
        <v/>
      </c>
      <c r="AT17" s="11" t="str">
        <f t="shared" si="19"/>
        <v/>
      </c>
      <c r="AU17" s="11" t="str">
        <f t="shared" si="20"/>
        <v/>
      </c>
      <c r="AV17" s="11" t="str">
        <f t="shared" si="21"/>
        <v/>
      </c>
      <c r="AW17" s="11" t="str">
        <f t="shared" si="22"/>
        <v/>
      </c>
      <c r="AX17" s="11" t="str">
        <f t="shared" si="23"/>
        <v/>
      </c>
      <c r="AY17" s="11" t="str">
        <f t="shared" si="24"/>
        <v/>
      </c>
      <c r="AZ17" s="67"/>
      <c r="BA17" s="67"/>
      <c r="BB17" s="67"/>
      <c r="BC17" s="67"/>
      <c r="BD17" s="67"/>
      <c r="BE17" s="67"/>
      <c r="BF17" s="67"/>
      <c r="BG17" s="67"/>
      <c r="BH17" s="67"/>
      <c r="BI17" s="67"/>
      <c r="BJ17" s="67"/>
      <c r="BK17" s="67"/>
      <c r="BL17" s="67"/>
      <c r="BM17" s="67"/>
      <c r="BN17" s="67"/>
      <c r="BO17" s="67"/>
      <c r="BP17" s="67"/>
      <c r="BQ17" s="67"/>
      <c r="BR17" s="67"/>
      <c r="BS17" s="67"/>
      <c r="BT17" s="73"/>
      <c r="BU17" s="14" t="str">
        <f t="shared" si="25"/>
        <v/>
      </c>
      <c r="BV17" s="14" t="str">
        <f t="shared" si="26"/>
        <v/>
      </c>
      <c r="BW17" s="14" t="str">
        <f t="shared" si="27"/>
        <v/>
      </c>
      <c r="BX17" s="14" t="str">
        <f t="shared" si="28"/>
        <v/>
      </c>
      <c r="BY17" s="14" t="str">
        <f t="shared" si="29"/>
        <v/>
      </c>
      <c r="BZ17" s="14" t="str">
        <f t="shared" si="30"/>
        <v/>
      </c>
      <c r="CA17" s="14" t="str">
        <f t="shared" si="31"/>
        <v/>
      </c>
      <c r="CB17" s="14" t="str">
        <f t="shared" si="32"/>
        <v/>
      </c>
      <c r="CC17" s="14" t="str">
        <f t="shared" si="33"/>
        <v/>
      </c>
      <c r="CD17" s="61">
        <v>16.2</v>
      </c>
      <c r="CE17" s="61">
        <v>9.6999999999999993</v>
      </c>
      <c r="CF17" s="61">
        <v>2</v>
      </c>
      <c r="CG17" s="61">
        <v>14.56</v>
      </c>
      <c r="CH17" s="61">
        <v>0</v>
      </c>
      <c r="CI17" s="61">
        <v>11.3</v>
      </c>
      <c r="CJ17" s="61">
        <v>9.1</v>
      </c>
      <c r="CK17" s="61">
        <v>9.3000000000000007</v>
      </c>
      <c r="CL17" s="61">
        <v>14.744999999999999</v>
      </c>
      <c r="CM17" s="61">
        <v>0.3</v>
      </c>
      <c r="CN17" s="61"/>
      <c r="CO17" s="61"/>
      <c r="CP17" s="61"/>
      <c r="CQ17" s="61"/>
      <c r="CR17" s="61"/>
      <c r="CS17" s="61">
        <v>14.2</v>
      </c>
      <c r="CT17" s="61">
        <v>9.4</v>
      </c>
      <c r="CU17" s="61">
        <v>9.3000000000000007</v>
      </c>
      <c r="CV17" s="61">
        <v>14.41</v>
      </c>
      <c r="CW17" s="61">
        <v>0.3</v>
      </c>
      <c r="CX17" s="72"/>
      <c r="CY17" s="11">
        <f t="shared" si="34"/>
        <v>42.46</v>
      </c>
      <c r="CZ17" s="11">
        <f t="shared" si="35"/>
        <v>9.3000000000000007</v>
      </c>
      <c r="DA17" s="11">
        <f t="shared" si="36"/>
        <v>44.145000000000003</v>
      </c>
      <c r="DB17" s="11" t="str">
        <f t="shared" si="37"/>
        <v/>
      </c>
      <c r="DC17" s="11" t="str">
        <f t="shared" si="38"/>
        <v/>
      </c>
      <c r="DD17" s="11">
        <f t="shared" si="39"/>
        <v>86.605000000000004</v>
      </c>
      <c r="DE17" s="11">
        <f t="shared" si="40"/>
        <v>9.3000000000000007</v>
      </c>
      <c r="DF17" s="11">
        <f t="shared" si="41"/>
        <v>47.010000000000005</v>
      </c>
      <c r="DG17" s="11">
        <f t="shared" si="42"/>
        <v>133.61500000000001</v>
      </c>
      <c r="DH17" s="23" t="str">
        <f t="shared" si="43"/>
        <v/>
      </c>
      <c r="DI17" s="23" t="str">
        <f t="shared" si="44"/>
        <v/>
      </c>
      <c r="DJ17" s="23" t="str">
        <f t="shared" si="45"/>
        <v/>
      </c>
      <c r="DK17" s="23" t="str">
        <f t="shared" si="46"/>
        <v/>
      </c>
      <c r="DL17" s="35"/>
      <c r="DM17" s="35"/>
      <c r="DN17" s="35"/>
      <c r="DO17" s="35"/>
      <c r="DP17" s="35"/>
      <c r="DQ17" s="35"/>
      <c r="DR17" s="35"/>
      <c r="DS17" s="35"/>
      <c r="DT17" s="35"/>
      <c r="DU17" s="35"/>
      <c r="DV17" s="35"/>
      <c r="DW17" s="35"/>
      <c r="DX17" s="35"/>
      <c r="DY17" s="35"/>
      <c r="DZ17" s="35"/>
      <c r="EA17" s="11" t="str">
        <f t="shared" si="47"/>
        <v/>
      </c>
      <c r="EB17" s="11" t="str">
        <f t="shared" si="48"/>
        <v/>
      </c>
      <c r="EC17" s="11" t="str">
        <f t="shared" si="49"/>
        <v/>
      </c>
      <c r="ED17" s="11" t="str">
        <f t="shared" si="50"/>
        <v/>
      </c>
      <c r="EE17" s="11" t="str">
        <f t="shared" si="51"/>
        <v/>
      </c>
      <c r="EF17" s="11" t="str">
        <f t="shared" si="52"/>
        <v/>
      </c>
      <c r="EG17" s="11" t="str">
        <f t="shared" si="53"/>
        <v/>
      </c>
      <c r="EH17" s="36"/>
      <c r="EI17" s="36"/>
      <c r="EJ17" s="36"/>
      <c r="EK17" s="36"/>
      <c r="EL17" s="36"/>
      <c r="EM17" s="36"/>
      <c r="EN17" s="36"/>
      <c r="EO17" s="36"/>
      <c r="EP17" s="36"/>
      <c r="EQ17" s="36"/>
      <c r="ER17" s="36"/>
      <c r="ES17" s="36"/>
      <c r="ET17" s="36"/>
      <c r="EU17" s="36"/>
      <c r="EV17" s="36"/>
      <c r="EW17" s="14" t="str">
        <f t="shared" si="54"/>
        <v/>
      </c>
      <c r="EX17" s="14" t="str">
        <f t="shared" si="55"/>
        <v/>
      </c>
      <c r="EY17" s="14" t="str">
        <f t="shared" si="56"/>
        <v/>
      </c>
      <c r="EZ17" s="14" t="str">
        <f t="shared" si="57"/>
        <v/>
      </c>
      <c r="FA17" s="14" t="str">
        <f t="shared" si="58"/>
        <v/>
      </c>
      <c r="FB17" s="14" t="str">
        <f t="shared" si="59"/>
        <v/>
      </c>
      <c r="FC17" s="14" t="str">
        <f t="shared" si="60"/>
        <v/>
      </c>
      <c r="FD17" s="35"/>
      <c r="FE17" s="35"/>
      <c r="FF17" s="35"/>
      <c r="FG17" s="35"/>
      <c r="FH17" s="35"/>
      <c r="FI17" s="35"/>
      <c r="FJ17" s="35"/>
      <c r="FK17" s="35"/>
      <c r="FL17" s="35"/>
      <c r="FM17" s="35"/>
      <c r="FN17" s="35"/>
      <c r="FO17" s="35"/>
      <c r="FP17" s="35"/>
      <c r="FQ17" s="35"/>
      <c r="FR17" s="35"/>
      <c r="FS17" s="11" t="str">
        <f t="shared" si="61"/>
        <v/>
      </c>
      <c r="FT17" s="11" t="str">
        <f t="shared" si="62"/>
        <v/>
      </c>
      <c r="FU17" s="11" t="str">
        <f t="shared" si="63"/>
        <v/>
      </c>
      <c r="FV17" s="11" t="str">
        <f t="shared" si="64"/>
        <v/>
      </c>
      <c r="FW17" s="11" t="str">
        <f t="shared" si="65"/>
        <v/>
      </c>
      <c r="FX17" s="11" t="str">
        <f t="shared" si="66"/>
        <v/>
      </c>
      <c r="FY17" s="11" t="str">
        <f t="shared" si="67"/>
        <v/>
      </c>
      <c r="FZ17" s="36"/>
      <c r="GA17" s="36"/>
      <c r="GB17" s="36"/>
      <c r="GC17" s="36"/>
      <c r="GD17" s="36"/>
      <c r="GE17" s="36"/>
      <c r="GF17" s="36"/>
      <c r="GG17" s="36"/>
      <c r="GH17" s="36"/>
      <c r="GI17" s="36"/>
      <c r="GJ17" s="36"/>
      <c r="GK17" s="36"/>
      <c r="GL17" s="36"/>
      <c r="GM17" s="36"/>
      <c r="GN17" s="36"/>
      <c r="GO17" s="14" t="str">
        <f t="shared" si="68"/>
        <v/>
      </c>
      <c r="GP17" s="14" t="str">
        <f t="shared" si="69"/>
        <v/>
      </c>
      <c r="GQ17" s="14" t="str">
        <f t="shared" si="70"/>
        <v/>
      </c>
      <c r="GR17" s="14" t="str">
        <f t="shared" si="71"/>
        <v/>
      </c>
      <c r="GS17" s="14" t="str">
        <f t="shared" si="72"/>
        <v/>
      </c>
      <c r="GT17" s="14" t="str">
        <f t="shared" si="73"/>
        <v/>
      </c>
      <c r="GU17" s="14" t="str">
        <f t="shared" si="74"/>
        <v/>
      </c>
      <c r="GV17" s="35"/>
      <c r="GW17" s="35"/>
      <c r="GX17" s="35"/>
      <c r="GY17" s="35"/>
      <c r="GZ17" s="35"/>
      <c r="HA17" s="35"/>
      <c r="HB17" s="35"/>
      <c r="HC17" s="35"/>
      <c r="HD17" s="35"/>
      <c r="HE17" s="35"/>
      <c r="HF17" s="35"/>
      <c r="HG17" s="35"/>
      <c r="HH17" s="35"/>
      <c r="HI17" s="35"/>
      <c r="HJ17" s="35"/>
      <c r="HK17" s="11" t="str">
        <f t="shared" si="75"/>
        <v/>
      </c>
      <c r="HL17" s="11" t="str">
        <f t="shared" si="76"/>
        <v/>
      </c>
      <c r="HM17" s="11" t="str">
        <f t="shared" si="77"/>
        <v/>
      </c>
      <c r="HN17" s="11" t="str">
        <f t="shared" si="78"/>
        <v/>
      </c>
      <c r="HO17" s="11" t="str">
        <f t="shared" si="79"/>
        <v/>
      </c>
      <c r="HP17" s="11" t="str">
        <f t="shared" si="80"/>
        <v/>
      </c>
      <c r="HQ17" s="11" t="str">
        <f t="shared" si="81"/>
        <v/>
      </c>
      <c r="HR17" s="36"/>
      <c r="HS17" s="36"/>
      <c r="HT17" s="36"/>
      <c r="HU17" s="36"/>
      <c r="HV17" s="36"/>
      <c r="HW17" s="36"/>
      <c r="HX17" s="36"/>
      <c r="HY17" s="36"/>
      <c r="HZ17" s="36"/>
      <c r="IA17" s="36"/>
      <c r="IB17" s="36"/>
      <c r="IC17" s="36"/>
      <c r="ID17" s="36"/>
      <c r="IE17" s="36"/>
      <c r="IF17" s="36"/>
      <c r="IG17" s="14" t="str">
        <f t="shared" si="82"/>
        <v/>
      </c>
      <c r="IH17" s="14" t="str">
        <f t="shared" si="83"/>
        <v/>
      </c>
      <c r="II17" s="14" t="str">
        <f t="shared" si="84"/>
        <v/>
      </c>
      <c r="IJ17" s="14" t="str">
        <f t="shared" si="85"/>
        <v/>
      </c>
      <c r="IK17" s="14" t="str">
        <f t="shared" si="86"/>
        <v/>
      </c>
      <c r="IL17" s="14" t="str">
        <f t="shared" si="87"/>
        <v/>
      </c>
      <c r="IM17" s="14" t="str">
        <f t="shared" si="88"/>
        <v/>
      </c>
      <c r="IN17" s="35"/>
      <c r="IO17" s="35"/>
      <c r="IP17" s="35"/>
      <c r="IQ17" s="35"/>
      <c r="IR17" s="35"/>
      <c r="IS17" s="35"/>
      <c r="IT17" s="35"/>
      <c r="IU17" s="35"/>
      <c r="IV17" s="35"/>
      <c r="IW17" s="35"/>
      <c r="IX17" s="35"/>
      <c r="IY17" s="35"/>
      <c r="IZ17" s="35"/>
      <c r="JA17" s="35"/>
      <c r="JB17" s="35"/>
      <c r="JC17" s="11" t="str">
        <f t="shared" si="89"/>
        <v/>
      </c>
      <c r="JD17" s="11" t="str">
        <f t="shared" si="90"/>
        <v/>
      </c>
      <c r="JE17" s="11" t="str">
        <f t="shared" si="91"/>
        <v/>
      </c>
      <c r="JF17" s="11" t="str">
        <f t="shared" si="92"/>
        <v/>
      </c>
      <c r="JG17" s="11" t="str">
        <f t="shared" si="93"/>
        <v/>
      </c>
      <c r="JH17" s="11" t="str">
        <f t="shared" si="94"/>
        <v/>
      </c>
      <c r="JI17" s="11" t="str">
        <f t="shared" si="95"/>
        <v/>
      </c>
      <c r="JJ17" s="36"/>
      <c r="JK17" s="36"/>
      <c r="JL17" s="36"/>
      <c r="JM17" s="36"/>
      <c r="JN17" s="36"/>
      <c r="JO17" s="36"/>
      <c r="JP17" s="36"/>
      <c r="JQ17" s="36"/>
      <c r="JR17" s="36"/>
      <c r="JS17" s="36"/>
      <c r="JT17" s="36"/>
      <c r="JU17" s="36"/>
      <c r="JV17" s="36"/>
      <c r="JW17" s="36"/>
      <c r="JX17" s="36"/>
      <c r="JY17" s="14" t="str">
        <f t="shared" si="96"/>
        <v/>
      </c>
      <c r="JZ17" s="14" t="str">
        <f t="shared" si="97"/>
        <v/>
      </c>
      <c r="KA17" s="14" t="str">
        <f t="shared" si="98"/>
        <v/>
      </c>
      <c r="KB17" s="14" t="str">
        <f t="shared" si="99"/>
        <v/>
      </c>
      <c r="KC17" s="14" t="str">
        <f t="shared" si="100"/>
        <v/>
      </c>
      <c r="KD17" s="14" t="str">
        <f t="shared" si="101"/>
        <v/>
      </c>
      <c r="KE17" s="14" t="str">
        <f t="shared" si="102"/>
        <v/>
      </c>
      <c r="KF17" s="35"/>
      <c r="KG17" s="35"/>
      <c r="KH17" s="35"/>
      <c r="KI17" s="35"/>
      <c r="KJ17" s="35"/>
      <c r="KK17" s="35"/>
      <c r="KL17" s="35"/>
      <c r="KM17" s="35"/>
      <c r="KN17" s="35"/>
      <c r="KO17" s="35"/>
      <c r="KP17" s="35"/>
      <c r="KQ17" s="35"/>
      <c r="KR17" s="35"/>
      <c r="KS17" s="35"/>
      <c r="KT17" s="35"/>
      <c r="KU17" s="11" t="str">
        <f t="shared" si="103"/>
        <v/>
      </c>
      <c r="KV17" s="11" t="str">
        <f t="shared" si="104"/>
        <v/>
      </c>
      <c r="KW17" s="11" t="str">
        <f t="shared" si="105"/>
        <v/>
      </c>
      <c r="KX17" s="11" t="str">
        <f t="shared" si="106"/>
        <v/>
      </c>
      <c r="KY17" s="11" t="str">
        <f t="shared" si="107"/>
        <v/>
      </c>
      <c r="KZ17" s="11" t="str">
        <f t="shared" si="108"/>
        <v/>
      </c>
      <c r="LA17" s="11" t="str">
        <f t="shared" si="109"/>
        <v/>
      </c>
      <c r="LB17" s="36"/>
      <c r="LC17" s="36"/>
      <c r="LD17" s="36"/>
      <c r="LE17" s="36"/>
      <c r="LF17" s="36"/>
      <c r="LG17" s="36"/>
      <c r="LH17" s="36"/>
      <c r="LI17" s="36"/>
      <c r="LJ17" s="36"/>
      <c r="LK17" s="36"/>
      <c r="LL17" s="36"/>
      <c r="LM17" s="36"/>
      <c r="LN17" s="36"/>
      <c r="LO17" s="36"/>
      <c r="LP17" s="36"/>
      <c r="LQ17" s="14" t="str">
        <f t="shared" si="110"/>
        <v/>
      </c>
      <c r="LR17" s="14" t="str">
        <f t="shared" si="111"/>
        <v/>
      </c>
      <c r="LS17" s="14" t="str">
        <f t="shared" si="112"/>
        <v/>
      </c>
      <c r="LT17" s="14" t="str">
        <f t="shared" si="113"/>
        <v/>
      </c>
      <c r="LU17" s="14" t="str">
        <f t="shared" si="114"/>
        <v/>
      </c>
      <c r="LV17" s="14" t="str">
        <f t="shared" si="115"/>
        <v/>
      </c>
      <c r="LW17" s="14" t="str">
        <f t="shared" si="116"/>
        <v/>
      </c>
      <c r="LX17" s="35"/>
      <c r="LY17" s="35"/>
      <c r="LZ17" s="35"/>
      <c r="MA17" s="35"/>
      <c r="MB17" s="35"/>
      <c r="MC17" s="35"/>
      <c r="MD17" s="35"/>
      <c r="ME17" s="35"/>
      <c r="MF17" s="35"/>
      <c r="MG17" s="35"/>
      <c r="MH17" s="35"/>
      <c r="MI17" s="35"/>
      <c r="MJ17" s="35"/>
      <c r="MK17" s="35"/>
      <c r="ML17" s="35"/>
      <c r="MM17" s="11" t="str">
        <f t="shared" si="117"/>
        <v/>
      </c>
      <c r="MN17" s="11" t="str">
        <f t="shared" si="118"/>
        <v/>
      </c>
      <c r="MO17" s="11" t="str">
        <f t="shared" si="119"/>
        <v/>
      </c>
      <c r="MP17" s="11" t="str">
        <f t="shared" si="120"/>
        <v/>
      </c>
      <c r="MQ17" s="11" t="str">
        <f t="shared" si="121"/>
        <v/>
      </c>
      <c r="MR17" s="11" t="str">
        <f t="shared" si="122"/>
        <v/>
      </c>
      <c r="MS17" s="11" t="str">
        <f t="shared" si="123"/>
        <v/>
      </c>
      <c r="MT17" s="36"/>
      <c r="MU17" s="36"/>
      <c r="MV17" s="36"/>
      <c r="MW17" s="36"/>
      <c r="MX17" s="36"/>
      <c r="MY17" s="36"/>
      <c r="MZ17" s="36"/>
      <c r="NA17" s="36"/>
      <c r="NB17" s="36"/>
      <c r="NC17" s="36"/>
      <c r="ND17" s="36"/>
      <c r="NE17" s="36"/>
      <c r="NF17" s="36"/>
      <c r="NG17" s="36"/>
      <c r="NH17" s="36"/>
      <c r="NI17" s="14" t="str">
        <f t="shared" si="124"/>
        <v/>
      </c>
      <c r="NJ17" s="14" t="str">
        <f t="shared" si="125"/>
        <v/>
      </c>
      <c r="NK17" s="14" t="str">
        <f t="shared" si="126"/>
        <v/>
      </c>
      <c r="NL17" s="14" t="str">
        <f t="shared" si="127"/>
        <v/>
      </c>
      <c r="NM17" s="14" t="str">
        <f t="shared" si="128"/>
        <v/>
      </c>
      <c r="NN17" s="14" t="str">
        <f t="shared" si="129"/>
        <v/>
      </c>
      <c r="NO17" s="14" t="str">
        <f t="shared" si="130"/>
        <v/>
      </c>
      <c r="NP17" s="61">
        <f t="shared" si="131"/>
        <v>8.1</v>
      </c>
      <c r="NQ17" s="61">
        <f t="shared" si="132"/>
        <v>4.8499999999999996</v>
      </c>
      <c r="NR17" s="61">
        <f t="shared" si="133"/>
        <v>1</v>
      </c>
      <c r="NS17" s="61">
        <f t="shared" si="134"/>
        <v>7.28</v>
      </c>
      <c r="NT17" s="61">
        <f t="shared" si="135"/>
        <v>0</v>
      </c>
      <c r="NU17" s="61">
        <f t="shared" si="136"/>
        <v>5.65</v>
      </c>
      <c r="NV17" s="61">
        <f t="shared" si="137"/>
        <v>4.55</v>
      </c>
      <c r="NW17" s="61">
        <f t="shared" si="138"/>
        <v>4.6500000000000004</v>
      </c>
      <c r="NX17" s="61">
        <f t="shared" si="139"/>
        <v>7.3724999999999996</v>
      </c>
      <c r="NY17" s="61">
        <f t="shared" si="140"/>
        <v>0.15</v>
      </c>
      <c r="NZ17" s="61">
        <f t="shared" si="141"/>
        <v>0</v>
      </c>
      <c r="OA17" s="61">
        <f t="shared" si="142"/>
        <v>0</v>
      </c>
      <c r="OB17" s="61">
        <f t="shared" si="143"/>
        <v>0</v>
      </c>
      <c r="OC17" s="61">
        <f t="shared" si="144"/>
        <v>0</v>
      </c>
      <c r="OD17" s="61">
        <f t="shared" si="145"/>
        <v>0</v>
      </c>
      <c r="OE17" s="61">
        <f t="shared" si="146"/>
        <v>7.1</v>
      </c>
      <c r="OF17" s="61">
        <f t="shared" si="147"/>
        <v>4.7</v>
      </c>
      <c r="OG17" s="61">
        <f t="shared" si="148"/>
        <v>4.6500000000000004</v>
      </c>
      <c r="OH17" s="61">
        <f t="shared" si="149"/>
        <v>7.2050000000000001</v>
      </c>
      <c r="OI17" s="61">
        <f t="shared" si="150"/>
        <v>0.15</v>
      </c>
      <c r="OJ17" s="72" t="s">
        <v>52</v>
      </c>
      <c r="OK17" s="11">
        <f t="shared" si="151"/>
        <v>21.23</v>
      </c>
      <c r="OL17" s="11">
        <f t="shared" si="152"/>
        <v>4.6500000000000004</v>
      </c>
      <c r="OM17" s="11">
        <f t="shared" si="153"/>
        <v>22.072500000000002</v>
      </c>
      <c r="ON17" s="11" t="str">
        <f t="shared" si="154"/>
        <v/>
      </c>
      <c r="OO17" s="11" t="str">
        <f t="shared" si="155"/>
        <v/>
      </c>
      <c r="OP17" s="11">
        <f t="shared" si="156"/>
        <v>43.302500000000002</v>
      </c>
      <c r="OQ17" s="11">
        <f t="shared" si="157"/>
        <v>4.6500000000000004</v>
      </c>
      <c r="OR17" s="11">
        <f t="shared" ref="OR17" si="172">IF(SUM(OE17:OH17)-OI17&gt;0,SUM(OE17:OH17)-OI17,"")</f>
        <v>23.505000000000003</v>
      </c>
      <c r="OS17" s="11">
        <f t="shared" ref="OS17" si="173">IF(SUM(OP17,OR17)&gt;0,SUM(OP17,OR17),"")</f>
        <v>66.807500000000005</v>
      </c>
    </row>
    <row r="18" spans="1:409" x14ac:dyDescent="0.2">
      <c r="A18" s="5" t="str" cm="1">
        <f t="array" ref="A18">IF(AND(G18&lt;&gt;"",H18&lt;&gt;""),SUMPRODUCT((G$4:G$24&lt;&gt;"")*(H$4:H$24&lt;&gt;"")*(E$4:E$24&gt;E18))+1,IF(H18&lt;&gt;"",SUMPRODUCT((I$4:I$24="No DD")*(E$4:E$24&gt;E18))+1+SUMPRODUCT((G$4:G$24&lt;&gt;"")*(H$4:H$24&lt;&gt;"")),""))</f>
        <v/>
      </c>
      <c r="B18" s="6" t="s">
        <v>93</v>
      </c>
      <c r="C18" s="7" t="s">
        <v>5</v>
      </c>
      <c r="D18" s="26">
        <v>2002</v>
      </c>
      <c r="E18" s="15">
        <f t="shared" si="0"/>
        <v>87.94</v>
      </c>
      <c r="F18" s="3" t="str">
        <f t="shared" si="1"/>
        <v/>
      </c>
      <c r="G18" s="115" t="str">
        <f t="shared" si="2"/>
        <v/>
      </c>
      <c r="H18" s="115" t="str">
        <f t="shared" si="3"/>
        <v/>
      </c>
      <c r="I18" s="116" t="str">
        <f t="shared" si="4"/>
        <v/>
      </c>
      <c r="J18" s="3" t="str">
        <f t="shared" si="5"/>
        <v/>
      </c>
      <c r="K18" s="14">
        <f t="shared" si="6"/>
        <v>90.995000000000005</v>
      </c>
      <c r="L18" s="14" t="str">
        <f t="shared" si="7"/>
        <v>2021 1st Virtual Technical Trial</v>
      </c>
      <c r="M18" s="14">
        <f t="shared" si="8"/>
        <v>42.760000000000005</v>
      </c>
      <c r="N18" s="14" t="str">
        <f t="shared" si="9"/>
        <v>2021 Elite Canada</v>
      </c>
      <c r="O18" s="14">
        <f t="shared" si="10"/>
        <v>48.604999999999997</v>
      </c>
      <c r="P18" s="14" t="str">
        <f t="shared" si="11"/>
        <v>2021 1st Virtual Technical Trial</v>
      </c>
      <c r="Q18" s="14">
        <f>IF(COUNT(AS18,AU18,AX18,BW18,BY18,CB18,DA18,DC18,DF18)&gt;1,LARGE((AS18,AU18,AX18,BW18,BY18,CB18,DA18,DC18,DF18),2),0)</f>
        <v>39.334999999999994</v>
      </c>
      <c r="R18" s="14" t="str">
        <f t="shared" si="12"/>
        <v>2021 Elite Canada</v>
      </c>
      <c r="S18" s="14" t="str">
        <f t="shared" si="13"/>
        <v/>
      </c>
      <c r="T18" s="24" t="str">
        <f t="shared" si="14"/>
        <v/>
      </c>
      <c r="U18" s="14" t="str">
        <f t="shared" si="15"/>
        <v/>
      </c>
      <c r="V18" s="61">
        <v>15.4</v>
      </c>
      <c r="W18" s="61">
        <v>9.3000000000000007</v>
      </c>
      <c r="X18" s="61">
        <v>2</v>
      </c>
      <c r="Y18" s="61">
        <v>15.69</v>
      </c>
      <c r="Z18" s="61">
        <v>0</v>
      </c>
      <c r="AA18" s="61">
        <v>14</v>
      </c>
      <c r="AB18" s="61">
        <v>8.4</v>
      </c>
      <c r="AC18" s="61">
        <v>10</v>
      </c>
      <c r="AD18" s="61">
        <v>16.204999999999998</v>
      </c>
      <c r="AE18" s="61">
        <v>0</v>
      </c>
      <c r="AF18" s="61"/>
      <c r="AG18" s="61"/>
      <c r="AH18" s="61"/>
      <c r="AI18" s="61"/>
      <c r="AJ18" s="61"/>
      <c r="AK18" s="61">
        <v>11</v>
      </c>
      <c r="AL18" s="61">
        <v>6.85</v>
      </c>
      <c r="AM18" s="61">
        <v>8.5</v>
      </c>
      <c r="AN18" s="61">
        <v>12.625</v>
      </c>
      <c r="AO18" s="61">
        <v>0</v>
      </c>
      <c r="AP18" s="72"/>
      <c r="AQ18" s="11">
        <f t="shared" si="16"/>
        <v>42.39</v>
      </c>
      <c r="AR18" s="11">
        <f t="shared" si="17"/>
        <v>10</v>
      </c>
      <c r="AS18" s="11">
        <f t="shared" si="18"/>
        <v>48.604999999999997</v>
      </c>
      <c r="AT18" s="11" t="str">
        <f t="shared" si="19"/>
        <v/>
      </c>
      <c r="AU18" s="11" t="str">
        <f t="shared" si="20"/>
        <v/>
      </c>
      <c r="AV18" s="11">
        <f t="shared" si="21"/>
        <v>90.995000000000005</v>
      </c>
      <c r="AW18" s="11">
        <f t="shared" si="22"/>
        <v>8.5</v>
      </c>
      <c r="AX18" s="11">
        <f t="shared" si="23"/>
        <v>38.975000000000001</v>
      </c>
      <c r="AY18" s="11">
        <f t="shared" si="24"/>
        <v>129.97</v>
      </c>
      <c r="AZ18" s="67"/>
      <c r="BA18" s="67"/>
      <c r="BB18" s="67"/>
      <c r="BC18" s="67"/>
      <c r="BD18" s="67"/>
      <c r="BE18" s="67"/>
      <c r="BF18" s="67"/>
      <c r="BG18" s="67"/>
      <c r="BH18" s="67"/>
      <c r="BI18" s="67"/>
      <c r="BJ18" s="67"/>
      <c r="BK18" s="67"/>
      <c r="BL18" s="67"/>
      <c r="BM18" s="67"/>
      <c r="BN18" s="67"/>
      <c r="BO18" s="67"/>
      <c r="BP18" s="67"/>
      <c r="BQ18" s="67"/>
      <c r="BR18" s="67"/>
      <c r="BS18" s="67"/>
      <c r="BT18" s="73"/>
      <c r="BU18" s="14" t="str">
        <f t="shared" si="25"/>
        <v/>
      </c>
      <c r="BV18" s="14" t="str">
        <f t="shared" si="26"/>
        <v/>
      </c>
      <c r="BW18" s="14" t="str">
        <f t="shared" si="27"/>
        <v/>
      </c>
      <c r="BX18" s="14" t="str">
        <f t="shared" si="28"/>
        <v/>
      </c>
      <c r="BY18" s="14" t="str">
        <f t="shared" si="29"/>
        <v/>
      </c>
      <c r="BZ18" s="14" t="str">
        <f t="shared" si="30"/>
        <v/>
      </c>
      <c r="CA18" s="14" t="str">
        <f t="shared" si="31"/>
        <v/>
      </c>
      <c r="CB18" s="14" t="str">
        <f t="shared" si="32"/>
        <v/>
      </c>
      <c r="CC18" s="14" t="str">
        <f t="shared" si="33"/>
        <v/>
      </c>
      <c r="CD18" s="61">
        <v>16</v>
      </c>
      <c r="CE18" s="61">
        <v>9.1</v>
      </c>
      <c r="CF18" s="61">
        <v>2</v>
      </c>
      <c r="CG18" s="61">
        <v>15.66</v>
      </c>
      <c r="CH18" s="61">
        <v>0</v>
      </c>
      <c r="CI18" s="61">
        <v>11.4</v>
      </c>
      <c r="CJ18" s="61">
        <v>6.7</v>
      </c>
      <c r="CK18" s="61">
        <v>8.4</v>
      </c>
      <c r="CL18" s="61">
        <v>13.035</v>
      </c>
      <c r="CM18" s="61">
        <v>0.2</v>
      </c>
      <c r="CN18" s="61"/>
      <c r="CO18" s="61"/>
      <c r="CP18" s="61"/>
      <c r="CQ18" s="61"/>
      <c r="CR18" s="61"/>
      <c r="CS18" s="61">
        <v>3.1</v>
      </c>
      <c r="CT18" s="61">
        <v>1.7</v>
      </c>
      <c r="CU18" s="61">
        <v>2</v>
      </c>
      <c r="CV18" s="61">
        <v>4.1550000000000002</v>
      </c>
      <c r="CW18" s="61">
        <v>0</v>
      </c>
      <c r="CX18" s="72"/>
      <c r="CY18" s="11">
        <f t="shared" si="34"/>
        <v>42.760000000000005</v>
      </c>
      <c r="CZ18" s="11">
        <f t="shared" si="35"/>
        <v>8.4</v>
      </c>
      <c r="DA18" s="11">
        <f t="shared" si="36"/>
        <v>39.334999999999994</v>
      </c>
      <c r="DB18" s="11" t="str">
        <f t="shared" si="37"/>
        <v/>
      </c>
      <c r="DC18" s="11" t="str">
        <f t="shared" si="38"/>
        <v/>
      </c>
      <c r="DD18" s="11">
        <f t="shared" si="39"/>
        <v>82.094999999999999</v>
      </c>
      <c r="DE18" s="11">
        <f t="shared" si="40"/>
        <v>2</v>
      </c>
      <c r="DF18" s="11">
        <f t="shared" si="41"/>
        <v>10.955</v>
      </c>
      <c r="DG18" s="11">
        <f t="shared" si="42"/>
        <v>93.05</v>
      </c>
      <c r="DH18" s="23" t="str">
        <f t="shared" si="43"/>
        <v/>
      </c>
      <c r="DI18" s="23" t="str">
        <f t="shared" si="44"/>
        <v/>
      </c>
      <c r="DJ18" s="23" t="str">
        <f t="shared" si="45"/>
        <v/>
      </c>
      <c r="DK18" s="23" t="str">
        <f t="shared" si="46"/>
        <v/>
      </c>
      <c r="DL18" s="35"/>
      <c r="DM18" s="35"/>
      <c r="DN18" s="35"/>
      <c r="DO18" s="35"/>
      <c r="DP18" s="35"/>
      <c r="DQ18" s="35"/>
      <c r="DR18" s="35"/>
      <c r="DS18" s="35"/>
      <c r="DT18" s="35"/>
      <c r="DU18" s="35"/>
      <c r="DV18" s="35"/>
      <c r="DW18" s="35"/>
      <c r="DX18" s="35"/>
      <c r="DY18" s="35"/>
      <c r="DZ18" s="35"/>
      <c r="EA18" s="11" t="str">
        <f t="shared" si="47"/>
        <v/>
      </c>
      <c r="EB18" s="11" t="str">
        <f t="shared" si="48"/>
        <v/>
      </c>
      <c r="EC18" s="11" t="str">
        <f t="shared" si="49"/>
        <v/>
      </c>
      <c r="ED18" s="11" t="str">
        <f t="shared" si="50"/>
        <v/>
      </c>
      <c r="EE18" s="11" t="str">
        <f t="shared" si="51"/>
        <v/>
      </c>
      <c r="EF18" s="11" t="str">
        <f t="shared" si="52"/>
        <v/>
      </c>
      <c r="EG18" s="11" t="str">
        <f t="shared" si="53"/>
        <v/>
      </c>
      <c r="EH18" s="36"/>
      <c r="EI18" s="36"/>
      <c r="EJ18" s="36"/>
      <c r="EK18" s="36"/>
      <c r="EL18" s="36"/>
      <c r="EM18" s="36"/>
      <c r="EN18" s="36"/>
      <c r="EO18" s="36"/>
      <c r="EP18" s="36"/>
      <c r="EQ18" s="36"/>
      <c r="ER18" s="36"/>
      <c r="ES18" s="36"/>
      <c r="ET18" s="36"/>
      <c r="EU18" s="36"/>
      <c r="EV18" s="36"/>
      <c r="EW18" s="14" t="str">
        <f t="shared" si="54"/>
        <v/>
      </c>
      <c r="EX18" s="14" t="str">
        <f t="shared" si="55"/>
        <v/>
      </c>
      <c r="EY18" s="14" t="str">
        <f t="shared" si="56"/>
        <v/>
      </c>
      <c r="EZ18" s="14" t="str">
        <f t="shared" si="57"/>
        <v/>
      </c>
      <c r="FA18" s="14" t="str">
        <f t="shared" si="58"/>
        <v/>
      </c>
      <c r="FB18" s="14" t="str">
        <f t="shared" si="59"/>
        <v/>
      </c>
      <c r="FC18" s="14" t="str">
        <f t="shared" si="60"/>
        <v/>
      </c>
      <c r="FD18" s="35"/>
      <c r="FE18" s="35"/>
      <c r="FF18" s="35"/>
      <c r="FG18" s="35"/>
      <c r="FH18" s="35"/>
      <c r="FI18" s="35"/>
      <c r="FJ18" s="35"/>
      <c r="FK18" s="35"/>
      <c r="FL18" s="35"/>
      <c r="FM18" s="35"/>
      <c r="FN18" s="35"/>
      <c r="FO18" s="35"/>
      <c r="FP18" s="35"/>
      <c r="FQ18" s="35"/>
      <c r="FR18" s="35"/>
      <c r="FS18" s="11" t="str">
        <f t="shared" si="61"/>
        <v/>
      </c>
      <c r="FT18" s="11" t="str">
        <f t="shared" si="62"/>
        <v/>
      </c>
      <c r="FU18" s="11" t="str">
        <f t="shared" si="63"/>
        <v/>
      </c>
      <c r="FV18" s="11" t="str">
        <f t="shared" si="64"/>
        <v/>
      </c>
      <c r="FW18" s="11" t="str">
        <f t="shared" si="65"/>
        <v/>
      </c>
      <c r="FX18" s="11" t="str">
        <f t="shared" si="66"/>
        <v/>
      </c>
      <c r="FY18" s="11" t="str">
        <f t="shared" si="67"/>
        <v/>
      </c>
      <c r="FZ18" s="36"/>
      <c r="GA18" s="36"/>
      <c r="GB18" s="36"/>
      <c r="GC18" s="36"/>
      <c r="GD18" s="36"/>
      <c r="GE18" s="36"/>
      <c r="GF18" s="36"/>
      <c r="GG18" s="36"/>
      <c r="GH18" s="36"/>
      <c r="GI18" s="36"/>
      <c r="GJ18" s="36"/>
      <c r="GK18" s="36"/>
      <c r="GL18" s="36"/>
      <c r="GM18" s="36"/>
      <c r="GN18" s="36"/>
      <c r="GO18" s="14" t="str">
        <f t="shared" si="68"/>
        <v/>
      </c>
      <c r="GP18" s="14" t="str">
        <f t="shared" si="69"/>
        <v/>
      </c>
      <c r="GQ18" s="14" t="str">
        <f t="shared" si="70"/>
        <v/>
      </c>
      <c r="GR18" s="14" t="str">
        <f t="shared" si="71"/>
        <v/>
      </c>
      <c r="GS18" s="14" t="str">
        <f t="shared" si="72"/>
        <v/>
      </c>
      <c r="GT18" s="14" t="str">
        <f t="shared" si="73"/>
        <v/>
      </c>
      <c r="GU18" s="14" t="str">
        <f t="shared" si="74"/>
        <v/>
      </c>
      <c r="GV18" s="35"/>
      <c r="GW18" s="35"/>
      <c r="GX18" s="35"/>
      <c r="GY18" s="35"/>
      <c r="GZ18" s="35"/>
      <c r="HA18" s="35"/>
      <c r="HB18" s="35"/>
      <c r="HC18" s="35"/>
      <c r="HD18" s="35"/>
      <c r="HE18" s="35"/>
      <c r="HF18" s="35"/>
      <c r="HG18" s="35"/>
      <c r="HH18" s="35"/>
      <c r="HI18" s="35"/>
      <c r="HJ18" s="35"/>
      <c r="HK18" s="11" t="str">
        <f t="shared" si="75"/>
        <v/>
      </c>
      <c r="HL18" s="11" t="str">
        <f t="shared" si="76"/>
        <v/>
      </c>
      <c r="HM18" s="11" t="str">
        <f t="shared" si="77"/>
        <v/>
      </c>
      <c r="HN18" s="11" t="str">
        <f t="shared" si="78"/>
        <v/>
      </c>
      <c r="HO18" s="11" t="str">
        <f t="shared" si="79"/>
        <v/>
      </c>
      <c r="HP18" s="11" t="str">
        <f t="shared" si="80"/>
        <v/>
      </c>
      <c r="HQ18" s="11" t="str">
        <f t="shared" si="81"/>
        <v/>
      </c>
      <c r="HR18" s="36"/>
      <c r="HS18" s="36"/>
      <c r="HT18" s="36"/>
      <c r="HU18" s="36"/>
      <c r="HV18" s="36"/>
      <c r="HW18" s="36"/>
      <c r="HX18" s="36"/>
      <c r="HY18" s="36"/>
      <c r="HZ18" s="36"/>
      <c r="IA18" s="36"/>
      <c r="IB18" s="36"/>
      <c r="IC18" s="36"/>
      <c r="ID18" s="36"/>
      <c r="IE18" s="36"/>
      <c r="IF18" s="36"/>
      <c r="IG18" s="14" t="str">
        <f t="shared" si="82"/>
        <v/>
      </c>
      <c r="IH18" s="14" t="str">
        <f t="shared" si="83"/>
        <v/>
      </c>
      <c r="II18" s="14" t="str">
        <f t="shared" si="84"/>
        <v/>
      </c>
      <c r="IJ18" s="14" t="str">
        <f t="shared" si="85"/>
        <v/>
      </c>
      <c r="IK18" s="14" t="str">
        <f t="shared" si="86"/>
        <v/>
      </c>
      <c r="IL18" s="14" t="str">
        <f t="shared" si="87"/>
        <v/>
      </c>
      <c r="IM18" s="14" t="str">
        <f t="shared" si="88"/>
        <v/>
      </c>
      <c r="IN18" s="35"/>
      <c r="IO18" s="35"/>
      <c r="IP18" s="35"/>
      <c r="IQ18" s="35"/>
      <c r="IR18" s="35"/>
      <c r="IS18" s="35"/>
      <c r="IT18" s="35"/>
      <c r="IU18" s="35"/>
      <c r="IV18" s="35"/>
      <c r="IW18" s="35"/>
      <c r="IX18" s="35"/>
      <c r="IY18" s="35"/>
      <c r="IZ18" s="35"/>
      <c r="JA18" s="35"/>
      <c r="JB18" s="35"/>
      <c r="JC18" s="11" t="str">
        <f t="shared" si="89"/>
        <v/>
      </c>
      <c r="JD18" s="11" t="str">
        <f t="shared" si="90"/>
        <v/>
      </c>
      <c r="JE18" s="11" t="str">
        <f t="shared" si="91"/>
        <v/>
      </c>
      <c r="JF18" s="11" t="str">
        <f t="shared" si="92"/>
        <v/>
      </c>
      <c r="JG18" s="11" t="str">
        <f t="shared" si="93"/>
        <v/>
      </c>
      <c r="JH18" s="11" t="str">
        <f t="shared" si="94"/>
        <v/>
      </c>
      <c r="JI18" s="11" t="str">
        <f t="shared" si="95"/>
        <v/>
      </c>
      <c r="JJ18" s="36"/>
      <c r="JK18" s="36"/>
      <c r="JL18" s="36"/>
      <c r="JM18" s="36"/>
      <c r="JN18" s="36"/>
      <c r="JO18" s="36"/>
      <c r="JP18" s="36"/>
      <c r="JQ18" s="36"/>
      <c r="JR18" s="36"/>
      <c r="JS18" s="36"/>
      <c r="JT18" s="36"/>
      <c r="JU18" s="36"/>
      <c r="JV18" s="36"/>
      <c r="JW18" s="36"/>
      <c r="JX18" s="36"/>
      <c r="JY18" s="14" t="str">
        <f t="shared" si="96"/>
        <v/>
      </c>
      <c r="JZ18" s="14" t="str">
        <f t="shared" si="97"/>
        <v/>
      </c>
      <c r="KA18" s="14" t="str">
        <f t="shared" si="98"/>
        <v/>
      </c>
      <c r="KB18" s="14" t="str">
        <f t="shared" si="99"/>
        <v/>
      </c>
      <c r="KC18" s="14" t="str">
        <f t="shared" si="100"/>
        <v/>
      </c>
      <c r="KD18" s="14" t="str">
        <f t="shared" si="101"/>
        <v/>
      </c>
      <c r="KE18" s="14" t="str">
        <f t="shared" si="102"/>
        <v/>
      </c>
      <c r="KF18" s="35"/>
      <c r="KG18" s="35"/>
      <c r="KH18" s="35"/>
      <c r="KI18" s="35"/>
      <c r="KJ18" s="35"/>
      <c r="KK18" s="35"/>
      <c r="KL18" s="35"/>
      <c r="KM18" s="35"/>
      <c r="KN18" s="35"/>
      <c r="KO18" s="35"/>
      <c r="KP18" s="35"/>
      <c r="KQ18" s="35"/>
      <c r="KR18" s="35"/>
      <c r="KS18" s="35"/>
      <c r="KT18" s="35"/>
      <c r="KU18" s="11" t="str">
        <f t="shared" si="103"/>
        <v/>
      </c>
      <c r="KV18" s="11" t="str">
        <f t="shared" si="104"/>
        <v/>
      </c>
      <c r="KW18" s="11" t="str">
        <f t="shared" si="105"/>
        <v/>
      </c>
      <c r="KX18" s="11" t="str">
        <f t="shared" si="106"/>
        <v/>
      </c>
      <c r="KY18" s="11" t="str">
        <f t="shared" si="107"/>
        <v/>
      </c>
      <c r="KZ18" s="11" t="str">
        <f t="shared" si="108"/>
        <v/>
      </c>
      <c r="LA18" s="11" t="str">
        <f t="shared" si="109"/>
        <v/>
      </c>
      <c r="LB18" s="36"/>
      <c r="LC18" s="36"/>
      <c r="LD18" s="36"/>
      <c r="LE18" s="36"/>
      <c r="LF18" s="36"/>
      <c r="LG18" s="36"/>
      <c r="LH18" s="36"/>
      <c r="LI18" s="36"/>
      <c r="LJ18" s="36"/>
      <c r="LK18" s="36"/>
      <c r="LL18" s="36"/>
      <c r="LM18" s="36"/>
      <c r="LN18" s="36"/>
      <c r="LO18" s="36"/>
      <c r="LP18" s="36"/>
      <c r="LQ18" s="14" t="str">
        <f t="shared" si="110"/>
        <v/>
      </c>
      <c r="LR18" s="14" t="str">
        <f t="shared" si="111"/>
        <v/>
      </c>
      <c r="LS18" s="14" t="str">
        <f t="shared" si="112"/>
        <v/>
      </c>
      <c r="LT18" s="14" t="str">
        <f t="shared" si="113"/>
        <v/>
      </c>
      <c r="LU18" s="14" t="str">
        <f t="shared" si="114"/>
        <v/>
      </c>
      <c r="LV18" s="14" t="str">
        <f t="shared" si="115"/>
        <v/>
      </c>
      <c r="LW18" s="14" t="str">
        <f t="shared" si="116"/>
        <v/>
      </c>
      <c r="LX18" s="35"/>
      <c r="LY18" s="35"/>
      <c r="LZ18" s="35"/>
      <c r="MA18" s="35"/>
      <c r="MB18" s="35"/>
      <c r="MC18" s="35"/>
      <c r="MD18" s="35"/>
      <c r="ME18" s="35"/>
      <c r="MF18" s="35"/>
      <c r="MG18" s="35"/>
      <c r="MH18" s="35"/>
      <c r="MI18" s="35"/>
      <c r="MJ18" s="35"/>
      <c r="MK18" s="35"/>
      <c r="ML18" s="35"/>
      <c r="MM18" s="11" t="str">
        <f t="shared" si="117"/>
        <v/>
      </c>
      <c r="MN18" s="11" t="str">
        <f t="shared" si="118"/>
        <v/>
      </c>
      <c r="MO18" s="11" t="str">
        <f t="shared" si="119"/>
        <v/>
      </c>
      <c r="MP18" s="11" t="str">
        <f t="shared" si="120"/>
        <v/>
      </c>
      <c r="MQ18" s="11" t="str">
        <f t="shared" si="121"/>
        <v/>
      </c>
      <c r="MR18" s="11" t="str">
        <f t="shared" si="122"/>
        <v/>
      </c>
      <c r="MS18" s="11" t="str">
        <f t="shared" si="123"/>
        <v/>
      </c>
      <c r="MT18" s="36"/>
      <c r="MU18" s="36"/>
      <c r="MV18" s="36"/>
      <c r="MW18" s="36"/>
      <c r="MX18" s="36"/>
      <c r="MY18" s="36"/>
      <c r="MZ18" s="36"/>
      <c r="NA18" s="36"/>
      <c r="NB18" s="36"/>
      <c r="NC18" s="36"/>
      <c r="ND18" s="36"/>
      <c r="NE18" s="36"/>
      <c r="NF18" s="36"/>
      <c r="NG18" s="36"/>
      <c r="NH18" s="36"/>
      <c r="NI18" s="14" t="str">
        <f t="shared" si="124"/>
        <v/>
      </c>
      <c r="NJ18" s="14" t="str">
        <f t="shared" si="125"/>
        <v/>
      </c>
      <c r="NK18" s="14" t="str">
        <f t="shared" si="126"/>
        <v/>
      </c>
      <c r="NL18" s="14" t="str">
        <f t="shared" si="127"/>
        <v/>
      </c>
      <c r="NM18" s="14" t="str">
        <f t="shared" si="128"/>
        <v/>
      </c>
      <c r="NN18" s="14" t="str">
        <f t="shared" si="129"/>
        <v/>
      </c>
      <c r="NO18" s="14" t="str">
        <f t="shared" si="130"/>
        <v/>
      </c>
      <c r="NP18" s="61">
        <f t="shared" si="131"/>
        <v>8</v>
      </c>
      <c r="NQ18" s="61">
        <f t="shared" si="132"/>
        <v>4.55</v>
      </c>
      <c r="NR18" s="61">
        <f t="shared" si="133"/>
        <v>1</v>
      </c>
      <c r="NS18" s="61">
        <f t="shared" si="134"/>
        <v>7.83</v>
      </c>
      <c r="NT18" s="61">
        <f t="shared" si="135"/>
        <v>0</v>
      </c>
      <c r="NU18" s="61">
        <f t="shared" si="136"/>
        <v>5.7</v>
      </c>
      <c r="NV18" s="61">
        <f t="shared" si="137"/>
        <v>3.35</v>
      </c>
      <c r="NW18" s="61">
        <f t="shared" si="138"/>
        <v>4.2</v>
      </c>
      <c r="NX18" s="61">
        <f t="shared" si="139"/>
        <v>6.5175000000000001</v>
      </c>
      <c r="NY18" s="61">
        <f t="shared" si="140"/>
        <v>0.1</v>
      </c>
      <c r="NZ18" s="61">
        <f t="shared" si="141"/>
        <v>0</v>
      </c>
      <c r="OA18" s="61">
        <f t="shared" si="142"/>
        <v>0</v>
      </c>
      <c r="OB18" s="61">
        <f t="shared" si="143"/>
        <v>0</v>
      </c>
      <c r="OC18" s="61">
        <f t="shared" si="144"/>
        <v>0</v>
      </c>
      <c r="OD18" s="61">
        <f t="shared" si="145"/>
        <v>0</v>
      </c>
      <c r="OE18" s="61">
        <f t="shared" si="146"/>
        <v>1.55</v>
      </c>
      <c r="OF18" s="61">
        <f t="shared" si="147"/>
        <v>0.85</v>
      </c>
      <c r="OG18" s="61">
        <f t="shared" si="148"/>
        <v>1</v>
      </c>
      <c r="OH18" s="61">
        <f t="shared" si="149"/>
        <v>2.0775000000000001</v>
      </c>
      <c r="OI18" s="61">
        <f t="shared" si="150"/>
        <v>0</v>
      </c>
      <c r="OJ18" s="72" t="s">
        <v>52</v>
      </c>
      <c r="OK18" s="11">
        <f t="shared" si="151"/>
        <v>21.380000000000003</v>
      </c>
      <c r="OL18" s="11">
        <f t="shared" si="152"/>
        <v>4.2</v>
      </c>
      <c r="OM18" s="11">
        <f t="shared" si="153"/>
        <v>19.667499999999997</v>
      </c>
      <c r="ON18" s="11" t="str">
        <f t="shared" si="154"/>
        <v/>
      </c>
      <c r="OO18" s="11" t="str">
        <f t="shared" si="155"/>
        <v/>
      </c>
      <c r="OP18" s="11">
        <f t="shared" si="156"/>
        <v>41.047499999999999</v>
      </c>
      <c r="OQ18" s="11">
        <f t="shared" si="157"/>
        <v>1</v>
      </c>
      <c r="OR18" s="11">
        <f t="shared" ref="OR18" si="174">IF(SUM(OE18:OH18)-OI18&gt;0,SUM(OE18:OH18)-OI18,"")</f>
        <v>5.4775</v>
      </c>
      <c r="OS18" s="11">
        <f t="shared" ref="OS18" si="175">IF(SUM(OP18,OR18)&gt;0,SUM(OP18,OR18),"")</f>
        <v>46.524999999999999</v>
      </c>
    </row>
    <row r="19" spans="1:409" x14ac:dyDescent="0.2">
      <c r="A19" s="5" t="str" cm="1">
        <f t="array" ref="A19">IF(AND(G19&lt;&gt;"",H19&lt;&gt;""),SUMPRODUCT((G$4:G$24&lt;&gt;"")*(H$4:H$24&lt;&gt;"")*(E$4:E$24&gt;E19))+1,IF(H19&lt;&gt;"",SUMPRODUCT((I$4:I$24="No DD")*(E$4:E$24&gt;E19))+1+SUMPRODUCT((G$4:G$24&lt;&gt;"")*(H$4:H$24&lt;&gt;"")),""))</f>
        <v/>
      </c>
      <c r="B19" s="6" t="s">
        <v>80</v>
      </c>
      <c r="C19" s="7" t="s">
        <v>3</v>
      </c>
      <c r="D19" s="26">
        <v>2002</v>
      </c>
      <c r="E19" s="15">
        <f t="shared" si="0"/>
        <v>84.07</v>
      </c>
      <c r="F19" s="3" t="str">
        <f t="shared" si="1"/>
        <v/>
      </c>
      <c r="G19" s="115" t="str">
        <f t="shared" si="2"/>
        <v/>
      </c>
      <c r="H19" s="115" t="str">
        <f t="shared" si="3"/>
        <v/>
      </c>
      <c r="I19" s="116" t="str">
        <f t="shared" si="4"/>
        <v/>
      </c>
      <c r="J19" s="3" t="str">
        <f t="shared" si="5"/>
        <v/>
      </c>
      <c r="K19" s="14">
        <f t="shared" si="6"/>
        <v>96.63</v>
      </c>
      <c r="L19" s="14" t="str">
        <f t="shared" si="7"/>
        <v>2021 Elite Canada</v>
      </c>
      <c r="M19" s="14">
        <f t="shared" si="8"/>
        <v>0</v>
      </c>
      <c r="N19" s="14" t="str">
        <f t="shared" si="9"/>
        <v/>
      </c>
      <c r="O19" s="14">
        <f t="shared" si="10"/>
        <v>51.33</v>
      </c>
      <c r="P19" s="14" t="str">
        <f t="shared" si="11"/>
        <v>2021 Elite Canada</v>
      </c>
      <c r="Q19" s="14">
        <f>IF(COUNT(AS19,AU19,AX19,BW19,BY19,CB19,DA19,DC19,DF19)&gt;1,LARGE((AS19,AU19,AX19,BW19,BY19,CB19,DA19,DC19,DF19),2),0)</f>
        <v>32.74</v>
      </c>
      <c r="R19" s="14" t="str">
        <f t="shared" si="12"/>
        <v>2021 Elite Canada</v>
      </c>
      <c r="S19" s="14" t="str">
        <f t="shared" si="13"/>
        <v/>
      </c>
      <c r="T19" s="24" t="str">
        <f t="shared" si="14"/>
        <v/>
      </c>
      <c r="U19" s="14" t="str">
        <f t="shared" si="15"/>
        <v/>
      </c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72"/>
      <c r="AQ19" s="11" t="str">
        <f t="shared" si="16"/>
        <v/>
      </c>
      <c r="AR19" s="11" t="str">
        <f t="shared" si="17"/>
        <v/>
      </c>
      <c r="AS19" s="11" t="str">
        <f t="shared" si="18"/>
        <v/>
      </c>
      <c r="AT19" s="11" t="str">
        <f t="shared" si="19"/>
        <v/>
      </c>
      <c r="AU19" s="11" t="str">
        <f t="shared" si="20"/>
        <v/>
      </c>
      <c r="AV19" s="11" t="str">
        <f t="shared" si="21"/>
        <v/>
      </c>
      <c r="AW19" s="11" t="str">
        <f t="shared" si="22"/>
        <v/>
      </c>
      <c r="AX19" s="11" t="str">
        <f t="shared" si="23"/>
        <v/>
      </c>
      <c r="AY19" s="11" t="str">
        <f t="shared" si="24"/>
        <v/>
      </c>
      <c r="AZ19" s="67"/>
      <c r="BA19" s="67"/>
      <c r="BB19" s="67"/>
      <c r="BC19" s="67"/>
      <c r="BD19" s="67"/>
      <c r="BE19" s="67"/>
      <c r="BF19" s="67"/>
      <c r="BG19" s="67"/>
      <c r="BH19" s="67"/>
      <c r="BI19" s="67"/>
      <c r="BJ19" s="67"/>
      <c r="BK19" s="67"/>
      <c r="BL19" s="67"/>
      <c r="BM19" s="67"/>
      <c r="BN19" s="67"/>
      <c r="BO19" s="67"/>
      <c r="BP19" s="67"/>
      <c r="BQ19" s="67"/>
      <c r="BR19" s="67"/>
      <c r="BS19" s="67"/>
      <c r="BT19" s="73"/>
      <c r="BU19" s="14" t="str">
        <f t="shared" si="25"/>
        <v/>
      </c>
      <c r="BV19" s="14" t="str">
        <f t="shared" si="26"/>
        <v/>
      </c>
      <c r="BW19" s="14" t="str">
        <f t="shared" si="27"/>
        <v/>
      </c>
      <c r="BX19" s="14" t="str">
        <f t="shared" si="28"/>
        <v/>
      </c>
      <c r="BY19" s="14" t="str">
        <f t="shared" si="29"/>
        <v/>
      </c>
      <c r="BZ19" s="14" t="str">
        <f t="shared" si="30"/>
        <v/>
      </c>
      <c r="CA19" s="14" t="str">
        <f t="shared" si="31"/>
        <v/>
      </c>
      <c r="CB19" s="14" t="str">
        <f t="shared" si="32"/>
        <v/>
      </c>
      <c r="CC19" s="14" t="str">
        <f t="shared" si="33"/>
        <v/>
      </c>
      <c r="CD19" s="61">
        <v>16.600000000000001</v>
      </c>
      <c r="CE19" s="61">
        <v>9.1999999999999993</v>
      </c>
      <c r="CF19" s="61">
        <v>2.7</v>
      </c>
      <c r="CG19" s="61">
        <v>16.8</v>
      </c>
      <c r="CH19" s="61">
        <v>0</v>
      </c>
      <c r="CI19" s="61">
        <v>14.1</v>
      </c>
      <c r="CJ19" s="61">
        <v>8.9</v>
      </c>
      <c r="CK19" s="61">
        <v>12.6</v>
      </c>
      <c r="CL19" s="61">
        <v>15.73</v>
      </c>
      <c r="CM19" s="61">
        <v>0</v>
      </c>
      <c r="CN19" s="61">
        <v>1.4</v>
      </c>
      <c r="CO19" s="61">
        <v>0.8</v>
      </c>
      <c r="CP19" s="61">
        <v>2</v>
      </c>
      <c r="CQ19" s="61">
        <v>1.7350000000000001</v>
      </c>
      <c r="CR19" s="61">
        <v>0</v>
      </c>
      <c r="CS19" s="61">
        <v>9</v>
      </c>
      <c r="CT19" s="61">
        <v>5.4</v>
      </c>
      <c r="CU19" s="61">
        <v>8.6</v>
      </c>
      <c r="CV19" s="61">
        <v>9.74</v>
      </c>
      <c r="CW19" s="61">
        <v>0</v>
      </c>
      <c r="CX19" s="72"/>
      <c r="CY19" s="11">
        <f t="shared" si="34"/>
        <v>45.3</v>
      </c>
      <c r="CZ19" s="11">
        <f t="shared" si="35"/>
        <v>12.6</v>
      </c>
      <c r="DA19" s="11">
        <f t="shared" si="36"/>
        <v>51.33</v>
      </c>
      <c r="DB19" s="11">
        <f t="shared" si="37"/>
        <v>2</v>
      </c>
      <c r="DC19" s="11">
        <f t="shared" si="38"/>
        <v>5.9350000000000005</v>
      </c>
      <c r="DD19" s="11">
        <f t="shared" si="39"/>
        <v>96.63</v>
      </c>
      <c r="DE19" s="11">
        <f t="shared" si="40"/>
        <v>8.6</v>
      </c>
      <c r="DF19" s="11">
        <f t="shared" si="41"/>
        <v>32.74</v>
      </c>
      <c r="DG19" s="11">
        <f t="shared" si="42"/>
        <v>129.37</v>
      </c>
      <c r="DH19" s="23" t="str">
        <f t="shared" si="43"/>
        <v/>
      </c>
      <c r="DI19" s="23" t="str">
        <f t="shared" si="44"/>
        <v/>
      </c>
      <c r="DJ19" s="23" t="str">
        <f t="shared" si="45"/>
        <v/>
      </c>
      <c r="DK19" s="23" t="str">
        <f t="shared" si="46"/>
        <v/>
      </c>
      <c r="DL19" s="35"/>
      <c r="DM19" s="35"/>
      <c r="DN19" s="35"/>
      <c r="DO19" s="35"/>
      <c r="DP19" s="35"/>
      <c r="DQ19" s="35"/>
      <c r="DR19" s="35"/>
      <c r="DS19" s="35"/>
      <c r="DT19" s="35"/>
      <c r="DU19" s="35"/>
      <c r="DV19" s="35"/>
      <c r="DW19" s="35"/>
      <c r="DX19" s="35"/>
      <c r="DY19" s="35"/>
      <c r="DZ19" s="35"/>
      <c r="EA19" s="11" t="str">
        <f t="shared" si="47"/>
        <v/>
      </c>
      <c r="EB19" s="11" t="str">
        <f t="shared" si="48"/>
        <v/>
      </c>
      <c r="EC19" s="11" t="str">
        <f t="shared" si="49"/>
        <v/>
      </c>
      <c r="ED19" s="11" t="str">
        <f t="shared" si="50"/>
        <v/>
      </c>
      <c r="EE19" s="11" t="str">
        <f t="shared" si="51"/>
        <v/>
      </c>
      <c r="EF19" s="11" t="str">
        <f t="shared" si="52"/>
        <v/>
      </c>
      <c r="EG19" s="11" t="str">
        <f t="shared" si="53"/>
        <v/>
      </c>
      <c r="EH19" s="36"/>
      <c r="EI19" s="36"/>
      <c r="EJ19" s="36"/>
      <c r="EK19" s="36"/>
      <c r="EL19" s="36"/>
      <c r="EM19" s="36"/>
      <c r="EN19" s="36"/>
      <c r="EO19" s="36"/>
      <c r="EP19" s="36"/>
      <c r="EQ19" s="36"/>
      <c r="ER19" s="36"/>
      <c r="ES19" s="36"/>
      <c r="ET19" s="36"/>
      <c r="EU19" s="36"/>
      <c r="EV19" s="36"/>
      <c r="EW19" s="14" t="str">
        <f t="shared" si="54"/>
        <v/>
      </c>
      <c r="EX19" s="14" t="str">
        <f t="shared" si="55"/>
        <v/>
      </c>
      <c r="EY19" s="14" t="str">
        <f t="shared" si="56"/>
        <v/>
      </c>
      <c r="EZ19" s="14" t="str">
        <f t="shared" si="57"/>
        <v/>
      </c>
      <c r="FA19" s="14" t="str">
        <f t="shared" si="58"/>
        <v/>
      </c>
      <c r="FB19" s="14" t="str">
        <f t="shared" si="59"/>
        <v/>
      </c>
      <c r="FC19" s="14" t="str">
        <f t="shared" si="60"/>
        <v/>
      </c>
      <c r="FD19" s="35"/>
      <c r="FE19" s="35"/>
      <c r="FF19" s="35"/>
      <c r="FG19" s="35"/>
      <c r="FH19" s="35"/>
      <c r="FI19" s="35"/>
      <c r="FJ19" s="35"/>
      <c r="FK19" s="35"/>
      <c r="FL19" s="35"/>
      <c r="FM19" s="35"/>
      <c r="FN19" s="35"/>
      <c r="FO19" s="35"/>
      <c r="FP19" s="35"/>
      <c r="FQ19" s="35"/>
      <c r="FR19" s="35"/>
      <c r="FS19" s="11" t="str">
        <f t="shared" si="61"/>
        <v/>
      </c>
      <c r="FT19" s="11" t="str">
        <f t="shared" si="62"/>
        <v/>
      </c>
      <c r="FU19" s="11" t="str">
        <f t="shared" si="63"/>
        <v/>
      </c>
      <c r="FV19" s="11" t="str">
        <f t="shared" si="64"/>
        <v/>
      </c>
      <c r="FW19" s="11" t="str">
        <f t="shared" si="65"/>
        <v/>
      </c>
      <c r="FX19" s="11" t="str">
        <f t="shared" si="66"/>
        <v/>
      </c>
      <c r="FY19" s="11" t="str">
        <f t="shared" si="67"/>
        <v/>
      </c>
      <c r="FZ19" s="36"/>
      <c r="GA19" s="36"/>
      <c r="GB19" s="36"/>
      <c r="GC19" s="36"/>
      <c r="GD19" s="36"/>
      <c r="GE19" s="36"/>
      <c r="GF19" s="36"/>
      <c r="GG19" s="36"/>
      <c r="GH19" s="36"/>
      <c r="GI19" s="36"/>
      <c r="GJ19" s="36"/>
      <c r="GK19" s="36"/>
      <c r="GL19" s="36"/>
      <c r="GM19" s="36"/>
      <c r="GN19" s="36"/>
      <c r="GO19" s="14" t="str">
        <f t="shared" si="68"/>
        <v/>
      </c>
      <c r="GP19" s="14" t="str">
        <f t="shared" si="69"/>
        <v/>
      </c>
      <c r="GQ19" s="14" t="str">
        <f t="shared" si="70"/>
        <v/>
      </c>
      <c r="GR19" s="14" t="str">
        <f t="shared" si="71"/>
        <v/>
      </c>
      <c r="GS19" s="14" t="str">
        <f t="shared" si="72"/>
        <v/>
      </c>
      <c r="GT19" s="14" t="str">
        <f t="shared" si="73"/>
        <v/>
      </c>
      <c r="GU19" s="14" t="str">
        <f t="shared" si="74"/>
        <v/>
      </c>
      <c r="GV19" s="35"/>
      <c r="GW19" s="35"/>
      <c r="GX19" s="35"/>
      <c r="GY19" s="35"/>
      <c r="GZ19" s="35"/>
      <c r="HA19" s="35"/>
      <c r="HB19" s="35"/>
      <c r="HC19" s="35"/>
      <c r="HD19" s="35"/>
      <c r="HE19" s="35"/>
      <c r="HF19" s="35"/>
      <c r="HG19" s="35"/>
      <c r="HH19" s="35"/>
      <c r="HI19" s="35"/>
      <c r="HJ19" s="35"/>
      <c r="HK19" s="11" t="str">
        <f t="shared" si="75"/>
        <v/>
      </c>
      <c r="HL19" s="11" t="str">
        <f t="shared" si="76"/>
        <v/>
      </c>
      <c r="HM19" s="11" t="str">
        <f t="shared" si="77"/>
        <v/>
      </c>
      <c r="HN19" s="11" t="str">
        <f t="shared" si="78"/>
        <v/>
      </c>
      <c r="HO19" s="11" t="str">
        <f t="shared" si="79"/>
        <v/>
      </c>
      <c r="HP19" s="11" t="str">
        <f t="shared" si="80"/>
        <v/>
      </c>
      <c r="HQ19" s="11" t="str">
        <f t="shared" si="81"/>
        <v/>
      </c>
      <c r="HR19" s="36"/>
      <c r="HS19" s="36"/>
      <c r="HT19" s="36"/>
      <c r="HU19" s="36"/>
      <c r="HV19" s="36"/>
      <c r="HW19" s="36"/>
      <c r="HX19" s="36"/>
      <c r="HY19" s="36"/>
      <c r="HZ19" s="36"/>
      <c r="IA19" s="36"/>
      <c r="IB19" s="36"/>
      <c r="IC19" s="36"/>
      <c r="ID19" s="36"/>
      <c r="IE19" s="36"/>
      <c r="IF19" s="36"/>
      <c r="IG19" s="14" t="str">
        <f t="shared" si="82"/>
        <v/>
      </c>
      <c r="IH19" s="14" t="str">
        <f t="shared" si="83"/>
        <v/>
      </c>
      <c r="II19" s="14" t="str">
        <f t="shared" si="84"/>
        <v/>
      </c>
      <c r="IJ19" s="14" t="str">
        <f t="shared" si="85"/>
        <v/>
      </c>
      <c r="IK19" s="14" t="str">
        <f t="shared" si="86"/>
        <v/>
      </c>
      <c r="IL19" s="14" t="str">
        <f t="shared" si="87"/>
        <v/>
      </c>
      <c r="IM19" s="14" t="str">
        <f t="shared" si="88"/>
        <v/>
      </c>
      <c r="IN19" s="35"/>
      <c r="IO19" s="35"/>
      <c r="IP19" s="35"/>
      <c r="IQ19" s="35"/>
      <c r="IR19" s="35"/>
      <c r="IS19" s="35"/>
      <c r="IT19" s="35"/>
      <c r="IU19" s="35"/>
      <c r="IV19" s="35"/>
      <c r="IW19" s="35"/>
      <c r="IX19" s="35"/>
      <c r="IY19" s="35"/>
      <c r="IZ19" s="35"/>
      <c r="JA19" s="35"/>
      <c r="JB19" s="35"/>
      <c r="JC19" s="11" t="str">
        <f t="shared" si="89"/>
        <v/>
      </c>
      <c r="JD19" s="11" t="str">
        <f t="shared" si="90"/>
        <v/>
      </c>
      <c r="JE19" s="11" t="str">
        <f t="shared" si="91"/>
        <v/>
      </c>
      <c r="JF19" s="11" t="str">
        <f t="shared" si="92"/>
        <v/>
      </c>
      <c r="JG19" s="11" t="str">
        <f t="shared" si="93"/>
        <v/>
      </c>
      <c r="JH19" s="11" t="str">
        <f t="shared" si="94"/>
        <v/>
      </c>
      <c r="JI19" s="11" t="str">
        <f t="shared" si="95"/>
        <v/>
      </c>
      <c r="JJ19" s="36"/>
      <c r="JK19" s="36"/>
      <c r="JL19" s="36"/>
      <c r="JM19" s="36"/>
      <c r="JN19" s="36"/>
      <c r="JO19" s="36"/>
      <c r="JP19" s="36"/>
      <c r="JQ19" s="36"/>
      <c r="JR19" s="36"/>
      <c r="JS19" s="36"/>
      <c r="JT19" s="36"/>
      <c r="JU19" s="36"/>
      <c r="JV19" s="36"/>
      <c r="JW19" s="36"/>
      <c r="JX19" s="36"/>
      <c r="JY19" s="14" t="str">
        <f t="shared" si="96"/>
        <v/>
      </c>
      <c r="JZ19" s="14" t="str">
        <f t="shared" si="97"/>
        <v/>
      </c>
      <c r="KA19" s="14" t="str">
        <f t="shared" si="98"/>
        <v/>
      </c>
      <c r="KB19" s="14" t="str">
        <f t="shared" si="99"/>
        <v/>
      </c>
      <c r="KC19" s="14" t="str">
        <f t="shared" si="100"/>
        <v/>
      </c>
      <c r="KD19" s="14" t="str">
        <f t="shared" si="101"/>
        <v/>
      </c>
      <c r="KE19" s="14" t="str">
        <f t="shared" si="102"/>
        <v/>
      </c>
      <c r="KF19" s="35"/>
      <c r="KG19" s="35"/>
      <c r="KH19" s="35"/>
      <c r="KI19" s="35"/>
      <c r="KJ19" s="35"/>
      <c r="KK19" s="35"/>
      <c r="KL19" s="35"/>
      <c r="KM19" s="35"/>
      <c r="KN19" s="35"/>
      <c r="KO19" s="35"/>
      <c r="KP19" s="35"/>
      <c r="KQ19" s="35"/>
      <c r="KR19" s="35"/>
      <c r="KS19" s="35"/>
      <c r="KT19" s="35"/>
      <c r="KU19" s="11" t="str">
        <f t="shared" si="103"/>
        <v/>
      </c>
      <c r="KV19" s="11" t="str">
        <f t="shared" si="104"/>
        <v/>
      </c>
      <c r="KW19" s="11" t="str">
        <f t="shared" si="105"/>
        <v/>
      </c>
      <c r="KX19" s="11" t="str">
        <f t="shared" si="106"/>
        <v/>
      </c>
      <c r="KY19" s="11" t="str">
        <f t="shared" si="107"/>
        <v/>
      </c>
      <c r="KZ19" s="11" t="str">
        <f t="shared" si="108"/>
        <v/>
      </c>
      <c r="LA19" s="11" t="str">
        <f t="shared" si="109"/>
        <v/>
      </c>
      <c r="LB19" s="36"/>
      <c r="LC19" s="36"/>
      <c r="LD19" s="36"/>
      <c r="LE19" s="36"/>
      <c r="LF19" s="36"/>
      <c r="LG19" s="36"/>
      <c r="LH19" s="36"/>
      <c r="LI19" s="36"/>
      <c r="LJ19" s="36"/>
      <c r="LK19" s="36"/>
      <c r="LL19" s="36"/>
      <c r="LM19" s="36"/>
      <c r="LN19" s="36"/>
      <c r="LO19" s="36"/>
      <c r="LP19" s="36"/>
      <c r="LQ19" s="14" t="str">
        <f t="shared" si="110"/>
        <v/>
      </c>
      <c r="LR19" s="14" t="str">
        <f t="shared" si="111"/>
        <v/>
      </c>
      <c r="LS19" s="14" t="str">
        <f t="shared" si="112"/>
        <v/>
      </c>
      <c r="LT19" s="14" t="str">
        <f t="shared" si="113"/>
        <v/>
      </c>
      <c r="LU19" s="14" t="str">
        <f t="shared" si="114"/>
        <v/>
      </c>
      <c r="LV19" s="14" t="str">
        <f t="shared" si="115"/>
        <v/>
      </c>
      <c r="LW19" s="14" t="str">
        <f t="shared" si="116"/>
        <v/>
      </c>
      <c r="LX19" s="35"/>
      <c r="LY19" s="35"/>
      <c r="LZ19" s="35"/>
      <c r="MA19" s="35"/>
      <c r="MB19" s="35"/>
      <c r="MC19" s="35"/>
      <c r="MD19" s="35"/>
      <c r="ME19" s="35"/>
      <c r="MF19" s="35"/>
      <c r="MG19" s="35"/>
      <c r="MH19" s="35"/>
      <c r="MI19" s="35"/>
      <c r="MJ19" s="35"/>
      <c r="MK19" s="35"/>
      <c r="ML19" s="35"/>
      <c r="MM19" s="11" t="str">
        <f t="shared" si="117"/>
        <v/>
      </c>
      <c r="MN19" s="11" t="str">
        <f t="shared" si="118"/>
        <v/>
      </c>
      <c r="MO19" s="11" t="str">
        <f t="shared" si="119"/>
        <v/>
      </c>
      <c r="MP19" s="11" t="str">
        <f t="shared" si="120"/>
        <v/>
      </c>
      <c r="MQ19" s="11" t="str">
        <f t="shared" si="121"/>
        <v/>
      </c>
      <c r="MR19" s="11" t="str">
        <f t="shared" si="122"/>
        <v/>
      </c>
      <c r="MS19" s="11" t="str">
        <f t="shared" si="123"/>
        <v/>
      </c>
      <c r="MT19" s="36"/>
      <c r="MU19" s="36"/>
      <c r="MV19" s="36"/>
      <c r="MW19" s="36"/>
      <c r="MX19" s="36"/>
      <c r="MY19" s="36"/>
      <c r="MZ19" s="36"/>
      <c r="NA19" s="36"/>
      <c r="NB19" s="36"/>
      <c r="NC19" s="36"/>
      <c r="ND19" s="36"/>
      <c r="NE19" s="36"/>
      <c r="NF19" s="36"/>
      <c r="NG19" s="36"/>
      <c r="NH19" s="36"/>
      <c r="NI19" s="14" t="str">
        <f t="shared" si="124"/>
        <v/>
      </c>
      <c r="NJ19" s="14" t="str">
        <f t="shared" si="125"/>
        <v/>
      </c>
      <c r="NK19" s="14" t="str">
        <f t="shared" si="126"/>
        <v/>
      </c>
      <c r="NL19" s="14" t="str">
        <f t="shared" si="127"/>
        <v/>
      </c>
      <c r="NM19" s="14" t="str">
        <f t="shared" si="128"/>
        <v/>
      </c>
      <c r="NN19" s="14" t="str">
        <f t="shared" si="129"/>
        <v/>
      </c>
      <c r="NO19" s="14" t="str">
        <f t="shared" si="130"/>
        <v/>
      </c>
      <c r="NP19" s="61">
        <f t="shared" si="131"/>
        <v>8.3000000000000007</v>
      </c>
      <c r="NQ19" s="61">
        <f t="shared" si="132"/>
        <v>4.5999999999999996</v>
      </c>
      <c r="NR19" s="61">
        <f t="shared" si="133"/>
        <v>1.35</v>
      </c>
      <c r="NS19" s="61">
        <f t="shared" si="134"/>
        <v>8.4</v>
      </c>
      <c r="NT19" s="61">
        <f t="shared" si="135"/>
        <v>0</v>
      </c>
      <c r="NU19" s="61">
        <f t="shared" si="136"/>
        <v>7.05</v>
      </c>
      <c r="NV19" s="61">
        <f t="shared" si="137"/>
        <v>4.45</v>
      </c>
      <c r="NW19" s="61">
        <f t="shared" si="138"/>
        <v>6.3</v>
      </c>
      <c r="NX19" s="61">
        <f t="shared" si="139"/>
        <v>7.8650000000000002</v>
      </c>
      <c r="NY19" s="61">
        <f t="shared" si="140"/>
        <v>0</v>
      </c>
      <c r="NZ19" s="61">
        <f t="shared" si="141"/>
        <v>0.7</v>
      </c>
      <c r="OA19" s="61">
        <f t="shared" si="142"/>
        <v>0.4</v>
      </c>
      <c r="OB19" s="61">
        <f t="shared" si="143"/>
        <v>1</v>
      </c>
      <c r="OC19" s="61">
        <f t="shared" si="144"/>
        <v>0.86750000000000005</v>
      </c>
      <c r="OD19" s="61">
        <f t="shared" si="145"/>
        <v>0</v>
      </c>
      <c r="OE19" s="61">
        <f t="shared" si="146"/>
        <v>4.5</v>
      </c>
      <c r="OF19" s="61">
        <f t="shared" si="147"/>
        <v>2.7</v>
      </c>
      <c r="OG19" s="61">
        <f t="shared" si="148"/>
        <v>4.3</v>
      </c>
      <c r="OH19" s="61">
        <f t="shared" si="149"/>
        <v>4.87</v>
      </c>
      <c r="OI19" s="61">
        <f t="shared" si="150"/>
        <v>0</v>
      </c>
      <c r="OJ19" s="72" t="s">
        <v>52</v>
      </c>
      <c r="OK19" s="11">
        <f t="shared" si="151"/>
        <v>22.65</v>
      </c>
      <c r="OL19" s="11">
        <f t="shared" si="152"/>
        <v>6.3</v>
      </c>
      <c r="OM19" s="11">
        <f t="shared" si="153"/>
        <v>25.664999999999999</v>
      </c>
      <c r="ON19" s="11">
        <f t="shared" si="154"/>
        <v>1</v>
      </c>
      <c r="OO19" s="11">
        <f t="shared" si="155"/>
        <v>2.9675000000000002</v>
      </c>
      <c r="OP19" s="11">
        <f t="shared" si="156"/>
        <v>48.314999999999998</v>
      </c>
      <c r="OQ19" s="11">
        <f t="shared" si="157"/>
        <v>4.3</v>
      </c>
      <c r="OR19" s="11">
        <f t="shared" ref="OR19" si="176">IF(SUM(OE19:OH19)-OI19&gt;0,SUM(OE19:OH19)-OI19,"")</f>
        <v>16.37</v>
      </c>
      <c r="OS19" s="11">
        <f t="shared" ref="OS19" si="177">IF(SUM(OP19,OR19)&gt;0,SUM(OP19,OR19),"")</f>
        <v>64.685000000000002</v>
      </c>
    </row>
    <row r="20" spans="1:409" x14ac:dyDescent="0.2">
      <c r="A20" s="5" t="str" cm="1">
        <f t="array" ref="A20">IF(AND(G20&lt;&gt;"",H20&lt;&gt;""),SUMPRODUCT((G$4:G$24&lt;&gt;"")*(H$4:H$24&lt;&gt;"")*(E$4:E$24&gt;E20))+1,IF(H20&lt;&gt;"",SUMPRODUCT((I$4:I$24="No DD")*(E$4:E$24&gt;E20))+1+SUMPRODUCT((G$4:G$24&lt;&gt;"")*(H$4:H$24&lt;&gt;"")),""))</f>
        <v/>
      </c>
      <c r="B20" s="6" t="s">
        <v>140</v>
      </c>
      <c r="C20" s="7" t="s">
        <v>4</v>
      </c>
      <c r="D20" s="26">
        <v>2001</v>
      </c>
      <c r="E20" s="15">
        <f t="shared" si="0"/>
        <v>75.790000000000006</v>
      </c>
      <c r="F20" s="3" t="str">
        <f t="shared" si="1"/>
        <v/>
      </c>
      <c r="G20" s="115" t="str">
        <f t="shared" si="2"/>
        <v/>
      </c>
      <c r="H20" s="115" t="str">
        <f t="shared" si="3"/>
        <v/>
      </c>
      <c r="I20" s="116" t="str">
        <f t="shared" si="4"/>
        <v/>
      </c>
      <c r="J20" s="3" t="str">
        <f t="shared" si="5"/>
        <v/>
      </c>
      <c r="K20" s="14">
        <f t="shared" si="6"/>
        <v>64.760000000000005</v>
      </c>
      <c r="L20" s="14" t="str">
        <f t="shared" si="7"/>
        <v>2021 Elite Canada</v>
      </c>
      <c r="M20" s="14">
        <f t="shared" si="8"/>
        <v>0</v>
      </c>
      <c r="N20" s="14" t="str">
        <f t="shared" si="9"/>
        <v/>
      </c>
      <c r="O20" s="14">
        <f t="shared" si="10"/>
        <v>46.995000000000005</v>
      </c>
      <c r="P20" s="14" t="str">
        <f t="shared" si="11"/>
        <v>2021 Elite Canada</v>
      </c>
      <c r="Q20" s="14">
        <f>IF(COUNT(AS20,AU20,AX20,BW20,BY20,CB20,DA20,DC20,DF20)&gt;1,LARGE((AS20,AU20,AX20,BW20,BY20,CB20,DA20,DC20,DF20),2),0)</f>
        <v>28.794999999999998</v>
      </c>
      <c r="R20" s="14" t="str">
        <f t="shared" si="12"/>
        <v>2021 Elite Canada</v>
      </c>
      <c r="S20" s="14" t="str">
        <f t="shared" si="13"/>
        <v/>
      </c>
      <c r="T20" s="24" t="str">
        <f t="shared" si="14"/>
        <v/>
      </c>
      <c r="U20" s="14" t="str">
        <f t="shared" si="15"/>
        <v/>
      </c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72"/>
      <c r="AQ20" s="11" t="str">
        <f t="shared" si="16"/>
        <v/>
      </c>
      <c r="AR20" s="11" t="str">
        <f t="shared" si="17"/>
        <v/>
      </c>
      <c r="AS20" s="11" t="str">
        <f t="shared" si="18"/>
        <v/>
      </c>
      <c r="AT20" s="11" t="str">
        <f t="shared" si="19"/>
        <v/>
      </c>
      <c r="AU20" s="11" t="str">
        <f t="shared" si="20"/>
        <v/>
      </c>
      <c r="AV20" s="11" t="str">
        <f t="shared" si="21"/>
        <v/>
      </c>
      <c r="AW20" s="11" t="str">
        <f t="shared" si="22"/>
        <v/>
      </c>
      <c r="AX20" s="11" t="str">
        <f t="shared" si="23"/>
        <v/>
      </c>
      <c r="AY20" s="11" t="str">
        <f t="shared" si="24"/>
        <v/>
      </c>
      <c r="AZ20" s="67"/>
      <c r="BA20" s="67"/>
      <c r="BB20" s="67"/>
      <c r="BC20" s="67"/>
      <c r="BD20" s="67"/>
      <c r="BE20" s="67"/>
      <c r="BF20" s="67"/>
      <c r="BG20" s="67"/>
      <c r="BH20" s="67"/>
      <c r="BI20" s="67"/>
      <c r="BJ20" s="67"/>
      <c r="BK20" s="67"/>
      <c r="BL20" s="67"/>
      <c r="BM20" s="67"/>
      <c r="BN20" s="67"/>
      <c r="BO20" s="67"/>
      <c r="BP20" s="67"/>
      <c r="BQ20" s="67"/>
      <c r="BR20" s="67"/>
      <c r="BS20" s="67"/>
      <c r="BT20" s="73"/>
      <c r="BU20" s="14" t="str">
        <f t="shared" si="25"/>
        <v/>
      </c>
      <c r="BV20" s="14" t="str">
        <f t="shared" si="26"/>
        <v/>
      </c>
      <c r="BW20" s="14" t="str">
        <f t="shared" si="27"/>
        <v/>
      </c>
      <c r="BX20" s="14" t="str">
        <f t="shared" si="28"/>
        <v/>
      </c>
      <c r="BY20" s="14" t="str">
        <f t="shared" si="29"/>
        <v/>
      </c>
      <c r="BZ20" s="14" t="str">
        <f t="shared" si="30"/>
        <v/>
      </c>
      <c r="CA20" s="14" t="str">
        <f t="shared" si="31"/>
        <v/>
      </c>
      <c r="CB20" s="14" t="str">
        <f t="shared" si="32"/>
        <v/>
      </c>
      <c r="CC20" s="14" t="str">
        <f t="shared" si="33"/>
        <v/>
      </c>
      <c r="CD20" s="61">
        <v>12.9</v>
      </c>
      <c r="CE20" s="61">
        <v>8.4</v>
      </c>
      <c r="CF20" s="61">
        <v>1.3</v>
      </c>
      <c r="CG20" s="61">
        <v>13.365</v>
      </c>
      <c r="CH20" s="61">
        <v>0</v>
      </c>
      <c r="CI20" s="61">
        <v>8</v>
      </c>
      <c r="CJ20" s="61">
        <v>5.4</v>
      </c>
      <c r="CK20" s="61">
        <v>6.5</v>
      </c>
      <c r="CL20" s="61">
        <v>8.8949999999999996</v>
      </c>
      <c r="CM20" s="61">
        <v>0</v>
      </c>
      <c r="CN20" s="61"/>
      <c r="CO20" s="61"/>
      <c r="CP20" s="61"/>
      <c r="CQ20" s="61"/>
      <c r="CR20" s="61"/>
      <c r="CS20" s="61">
        <v>13</v>
      </c>
      <c r="CT20" s="61">
        <v>9.1</v>
      </c>
      <c r="CU20" s="61">
        <v>9.8000000000000007</v>
      </c>
      <c r="CV20" s="61">
        <v>15.095000000000001</v>
      </c>
      <c r="CW20" s="61">
        <v>0</v>
      </c>
      <c r="CX20" s="72"/>
      <c r="CY20" s="11">
        <f t="shared" si="34"/>
        <v>35.965000000000003</v>
      </c>
      <c r="CZ20" s="11">
        <f t="shared" si="35"/>
        <v>6.5</v>
      </c>
      <c r="DA20" s="11">
        <f t="shared" si="36"/>
        <v>28.794999999999998</v>
      </c>
      <c r="DB20" s="11" t="str">
        <f t="shared" si="37"/>
        <v/>
      </c>
      <c r="DC20" s="11" t="str">
        <f t="shared" si="38"/>
        <v/>
      </c>
      <c r="DD20" s="11">
        <f t="shared" si="39"/>
        <v>64.760000000000005</v>
      </c>
      <c r="DE20" s="11">
        <f t="shared" si="40"/>
        <v>9.8000000000000007</v>
      </c>
      <c r="DF20" s="11">
        <f t="shared" si="41"/>
        <v>46.995000000000005</v>
      </c>
      <c r="DG20" s="11">
        <f t="shared" si="42"/>
        <v>111.75500000000001</v>
      </c>
      <c r="DH20" s="23" t="str">
        <f t="shared" si="43"/>
        <v/>
      </c>
      <c r="DI20" s="23" t="str">
        <f t="shared" si="44"/>
        <v/>
      </c>
      <c r="DJ20" s="23" t="str">
        <f t="shared" si="45"/>
        <v/>
      </c>
      <c r="DK20" s="23" t="str">
        <f t="shared" si="46"/>
        <v/>
      </c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11" t="str">
        <f t="shared" si="47"/>
        <v/>
      </c>
      <c r="EB20" s="11" t="str">
        <f t="shared" si="48"/>
        <v/>
      </c>
      <c r="EC20" s="11" t="str">
        <f t="shared" si="49"/>
        <v/>
      </c>
      <c r="ED20" s="11" t="str">
        <f t="shared" si="50"/>
        <v/>
      </c>
      <c r="EE20" s="11" t="str">
        <f t="shared" si="51"/>
        <v/>
      </c>
      <c r="EF20" s="11" t="str">
        <f t="shared" si="52"/>
        <v/>
      </c>
      <c r="EG20" s="11" t="str">
        <f t="shared" si="53"/>
        <v/>
      </c>
      <c r="EH20" s="36"/>
      <c r="EI20" s="36"/>
      <c r="EJ20" s="36"/>
      <c r="EK20" s="36"/>
      <c r="EL20" s="36"/>
      <c r="EM20" s="36"/>
      <c r="EN20" s="36"/>
      <c r="EO20" s="36"/>
      <c r="EP20" s="36"/>
      <c r="EQ20" s="36"/>
      <c r="ER20" s="36"/>
      <c r="ES20" s="36"/>
      <c r="ET20" s="36"/>
      <c r="EU20" s="36"/>
      <c r="EV20" s="36"/>
      <c r="EW20" s="14" t="str">
        <f t="shared" si="54"/>
        <v/>
      </c>
      <c r="EX20" s="14" t="str">
        <f t="shared" si="55"/>
        <v/>
      </c>
      <c r="EY20" s="14" t="str">
        <f t="shared" si="56"/>
        <v/>
      </c>
      <c r="EZ20" s="14" t="str">
        <f t="shared" si="57"/>
        <v/>
      </c>
      <c r="FA20" s="14" t="str">
        <f t="shared" si="58"/>
        <v/>
      </c>
      <c r="FB20" s="14" t="str">
        <f t="shared" si="59"/>
        <v/>
      </c>
      <c r="FC20" s="14" t="str">
        <f t="shared" si="60"/>
        <v/>
      </c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11" t="str">
        <f t="shared" si="61"/>
        <v/>
      </c>
      <c r="FT20" s="11" t="str">
        <f t="shared" si="62"/>
        <v/>
      </c>
      <c r="FU20" s="11" t="str">
        <f t="shared" si="63"/>
        <v/>
      </c>
      <c r="FV20" s="11" t="str">
        <f t="shared" si="64"/>
        <v/>
      </c>
      <c r="FW20" s="11" t="str">
        <f t="shared" si="65"/>
        <v/>
      </c>
      <c r="FX20" s="11" t="str">
        <f t="shared" si="66"/>
        <v/>
      </c>
      <c r="FY20" s="11" t="str">
        <f t="shared" si="67"/>
        <v/>
      </c>
      <c r="FZ20" s="36"/>
      <c r="GA20" s="36"/>
      <c r="GB20" s="36"/>
      <c r="GC20" s="36"/>
      <c r="GD20" s="36"/>
      <c r="GE20" s="36"/>
      <c r="GF20" s="36"/>
      <c r="GG20" s="36"/>
      <c r="GH20" s="36"/>
      <c r="GI20" s="36"/>
      <c r="GJ20" s="36"/>
      <c r="GK20" s="36"/>
      <c r="GL20" s="36"/>
      <c r="GM20" s="36"/>
      <c r="GN20" s="36"/>
      <c r="GO20" s="14" t="str">
        <f t="shared" si="68"/>
        <v/>
      </c>
      <c r="GP20" s="14" t="str">
        <f t="shared" si="69"/>
        <v/>
      </c>
      <c r="GQ20" s="14" t="str">
        <f t="shared" si="70"/>
        <v/>
      </c>
      <c r="GR20" s="14" t="str">
        <f t="shared" si="71"/>
        <v/>
      </c>
      <c r="GS20" s="14" t="str">
        <f t="shared" si="72"/>
        <v/>
      </c>
      <c r="GT20" s="14" t="str">
        <f t="shared" si="73"/>
        <v/>
      </c>
      <c r="GU20" s="14" t="str">
        <f t="shared" si="74"/>
        <v/>
      </c>
      <c r="GV20" s="35"/>
      <c r="GW20" s="35"/>
      <c r="GX20" s="35"/>
      <c r="GY20" s="35"/>
      <c r="GZ20" s="35"/>
      <c r="HA20" s="35"/>
      <c r="HB20" s="35"/>
      <c r="HC20" s="35"/>
      <c r="HD20" s="35"/>
      <c r="HE20" s="35"/>
      <c r="HF20" s="35"/>
      <c r="HG20" s="35"/>
      <c r="HH20" s="35"/>
      <c r="HI20" s="35"/>
      <c r="HJ20" s="35"/>
      <c r="HK20" s="11" t="str">
        <f t="shared" si="75"/>
        <v/>
      </c>
      <c r="HL20" s="11" t="str">
        <f t="shared" si="76"/>
        <v/>
      </c>
      <c r="HM20" s="11" t="str">
        <f t="shared" si="77"/>
        <v/>
      </c>
      <c r="HN20" s="11" t="str">
        <f t="shared" si="78"/>
        <v/>
      </c>
      <c r="HO20" s="11" t="str">
        <f t="shared" si="79"/>
        <v/>
      </c>
      <c r="HP20" s="11" t="str">
        <f t="shared" si="80"/>
        <v/>
      </c>
      <c r="HQ20" s="11" t="str">
        <f t="shared" si="81"/>
        <v/>
      </c>
      <c r="HR20" s="36"/>
      <c r="HS20" s="36"/>
      <c r="HT20" s="36"/>
      <c r="HU20" s="36"/>
      <c r="HV20" s="36"/>
      <c r="HW20" s="36"/>
      <c r="HX20" s="36"/>
      <c r="HY20" s="36"/>
      <c r="HZ20" s="36"/>
      <c r="IA20" s="36"/>
      <c r="IB20" s="36"/>
      <c r="IC20" s="36"/>
      <c r="ID20" s="36"/>
      <c r="IE20" s="36"/>
      <c r="IF20" s="36"/>
      <c r="IG20" s="14" t="str">
        <f t="shared" si="82"/>
        <v/>
      </c>
      <c r="IH20" s="14" t="str">
        <f t="shared" si="83"/>
        <v/>
      </c>
      <c r="II20" s="14" t="str">
        <f t="shared" si="84"/>
        <v/>
      </c>
      <c r="IJ20" s="14" t="str">
        <f t="shared" si="85"/>
        <v/>
      </c>
      <c r="IK20" s="14" t="str">
        <f t="shared" si="86"/>
        <v/>
      </c>
      <c r="IL20" s="14" t="str">
        <f t="shared" si="87"/>
        <v/>
      </c>
      <c r="IM20" s="14" t="str">
        <f t="shared" si="88"/>
        <v/>
      </c>
      <c r="IN20" s="35"/>
      <c r="IO20" s="35"/>
      <c r="IP20" s="35"/>
      <c r="IQ20" s="35"/>
      <c r="IR20" s="35"/>
      <c r="IS20" s="35"/>
      <c r="IT20" s="35"/>
      <c r="IU20" s="35"/>
      <c r="IV20" s="35"/>
      <c r="IW20" s="35"/>
      <c r="IX20" s="35"/>
      <c r="IY20" s="35"/>
      <c r="IZ20" s="35"/>
      <c r="JA20" s="35"/>
      <c r="JB20" s="35"/>
      <c r="JC20" s="11" t="str">
        <f t="shared" si="89"/>
        <v/>
      </c>
      <c r="JD20" s="11" t="str">
        <f t="shared" si="90"/>
        <v/>
      </c>
      <c r="JE20" s="11" t="str">
        <f t="shared" si="91"/>
        <v/>
      </c>
      <c r="JF20" s="11" t="str">
        <f t="shared" si="92"/>
        <v/>
      </c>
      <c r="JG20" s="11" t="str">
        <f t="shared" si="93"/>
        <v/>
      </c>
      <c r="JH20" s="11" t="str">
        <f t="shared" si="94"/>
        <v/>
      </c>
      <c r="JI20" s="11" t="str">
        <f t="shared" si="95"/>
        <v/>
      </c>
      <c r="JJ20" s="36"/>
      <c r="JK20" s="36"/>
      <c r="JL20" s="36"/>
      <c r="JM20" s="36"/>
      <c r="JN20" s="36"/>
      <c r="JO20" s="36"/>
      <c r="JP20" s="36"/>
      <c r="JQ20" s="36"/>
      <c r="JR20" s="36"/>
      <c r="JS20" s="36"/>
      <c r="JT20" s="36"/>
      <c r="JU20" s="36"/>
      <c r="JV20" s="36"/>
      <c r="JW20" s="36"/>
      <c r="JX20" s="36"/>
      <c r="JY20" s="14" t="str">
        <f t="shared" si="96"/>
        <v/>
      </c>
      <c r="JZ20" s="14" t="str">
        <f t="shared" si="97"/>
        <v/>
      </c>
      <c r="KA20" s="14" t="str">
        <f t="shared" si="98"/>
        <v/>
      </c>
      <c r="KB20" s="14" t="str">
        <f t="shared" si="99"/>
        <v/>
      </c>
      <c r="KC20" s="14" t="str">
        <f t="shared" si="100"/>
        <v/>
      </c>
      <c r="KD20" s="14" t="str">
        <f t="shared" si="101"/>
        <v/>
      </c>
      <c r="KE20" s="14" t="str">
        <f t="shared" si="102"/>
        <v/>
      </c>
      <c r="KF20" s="35"/>
      <c r="KG20" s="35"/>
      <c r="KH20" s="35"/>
      <c r="KI20" s="35"/>
      <c r="KJ20" s="35"/>
      <c r="KK20" s="35"/>
      <c r="KL20" s="35"/>
      <c r="KM20" s="35"/>
      <c r="KN20" s="35"/>
      <c r="KO20" s="35"/>
      <c r="KP20" s="35"/>
      <c r="KQ20" s="35"/>
      <c r="KR20" s="35"/>
      <c r="KS20" s="35"/>
      <c r="KT20" s="35"/>
      <c r="KU20" s="11" t="str">
        <f t="shared" si="103"/>
        <v/>
      </c>
      <c r="KV20" s="11" t="str">
        <f t="shared" si="104"/>
        <v/>
      </c>
      <c r="KW20" s="11" t="str">
        <f t="shared" si="105"/>
        <v/>
      </c>
      <c r="KX20" s="11" t="str">
        <f t="shared" si="106"/>
        <v/>
      </c>
      <c r="KY20" s="11" t="str">
        <f t="shared" si="107"/>
        <v/>
      </c>
      <c r="KZ20" s="11" t="str">
        <f t="shared" si="108"/>
        <v/>
      </c>
      <c r="LA20" s="11" t="str">
        <f t="shared" si="109"/>
        <v/>
      </c>
      <c r="LB20" s="36"/>
      <c r="LC20" s="36"/>
      <c r="LD20" s="36"/>
      <c r="LE20" s="36"/>
      <c r="LF20" s="36"/>
      <c r="LG20" s="36"/>
      <c r="LH20" s="36"/>
      <c r="LI20" s="36"/>
      <c r="LJ20" s="36"/>
      <c r="LK20" s="36"/>
      <c r="LL20" s="36"/>
      <c r="LM20" s="36"/>
      <c r="LN20" s="36"/>
      <c r="LO20" s="36"/>
      <c r="LP20" s="36"/>
      <c r="LQ20" s="14" t="str">
        <f t="shared" si="110"/>
        <v/>
      </c>
      <c r="LR20" s="14" t="str">
        <f t="shared" si="111"/>
        <v/>
      </c>
      <c r="LS20" s="14" t="str">
        <f t="shared" si="112"/>
        <v/>
      </c>
      <c r="LT20" s="14" t="str">
        <f t="shared" si="113"/>
        <v/>
      </c>
      <c r="LU20" s="14" t="str">
        <f t="shared" si="114"/>
        <v/>
      </c>
      <c r="LV20" s="14" t="str">
        <f t="shared" si="115"/>
        <v/>
      </c>
      <c r="LW20" s="14" t="str">
        <f t="shared" si="116"/>
        <v/>
      </c>
      <c r="LX20" s="35"/>
      <c r="LY20" s="35"/>
      <c r="LZ20" s="35"/>
      <c r="MA20" s="35"/>
      <c r="MB20" s="35"/>
      <c r="MC20" s="35"/>
      <c r="MD20" s="35"/>
      <c r="ME20" s="35"/>
      <c r="MF20" s="35"/>
      <c r="MG20" s="35"/>
      <c r="MH20" s="35"/>
      <c r="MI20" s="35"/>
      <c r="MJ20" s="35"/>
      <c r="MK20" s="35"/>
      <c r="ML20" s="35"/>
      <c r="MM20" s="11" t="str">
        <f t="shared" si="117"/>
        <v/>
      </c>
      <c r="MN20" s="11" t="str">
        <f t="shared" si="118"/>
        <v/>
      </c>
      <c r="MO20" s="11" t="str">
        <f t="shared" si="119"/>
        <v/>
      </c>
      <c r="MP20" s="11" t="str">
        <f t="shared" si="120"/>
        <v/>
      </c>
      <c r="MQ20" s="11" t="str">
        <f t="shared" si="121"/>
        <v/>
      </c>
      <c r="MR20" s="11" t="str">
        <f t="shared" si="122"/>
        <v/>
      </c>
      <c r="MS20" s="11" t="str">
        <f t="shared" si="123"/>
        <v/>
      </c>
      <c r="MT20" s="36"/>
      <c r="MU20" s="36"/>
      <c r="MV20" s="36"/>
      <c r="MW20" s="36"/>
      <c r="MX20" s="36"/>
      <c r="MY20" s="36"/>
      <c r="MZ20" s="36"/>
      <c r="NA20" s="36"/>
      <c r="NB20" s="36"/>
      <c r="NC20" s="36"/>
      <c r="ND20" s="36"/>
      <c r="NE20" s="36"/>
      <c r="NF20" s="36"/>
      <c r="NG20" s="36"/>
      <c r="NH20" s="36"/>
      <c r="NI20" s="14" t="str">
        <f t="shared" si="124"/>
        <v/>
      </c>
      <c r="NJ20" s="14" t="str">
        <f t="shared" si="125"/>
        <v/>
      </c>
      <c r="NK20" s="14" t="str">
        <f t="shared" si="126"/>
        <v/>
      </c>
      <c r="NL20" s="14" t="str">
        <f t="shared" si="127"/>
        <v/>
      </c>
      <c r="NM20" s="14" t="str">
        <f t="shared" si="128"/>
        <v/>
      </c>
      <c r="NN20" s="14" t="str">
        <f t="shared" si="129"/>
        <v/>
      </c>
      <c r="NO20" s="14" t="str">
        <f t="shared" si="130"/>
        <v/>
      </c>
      <c r="NP20" s="61">
        <f t="shared" si="131"/>
        <v>6.45</v>
      </c>
      <c r="NQ20" s="61">
        <f t="shared" si="132"/>
        <v>4.2</v>
      </c>
      <c r="NR20" s="61">
        <f t="shared" si="133"/>
        <v>0.65</v>
      </c>
      <c r="NS20" s="61">
        <f t="shared" si="134"/>
        <v>6.6825000000000001</v>
      </c>
      <c r="NT20" s="61">
        <f t="shared" si="135"/>
        <v>0</v>
      </c>
      <c r="NU20" s="61">
        <f t="shared" si="136"/>
        <v>4</v>
      </c>
      <c r="NV20" s="61">
        <f t="shared" si="137"/>
        <v>2.7</v>
      </c>
      <c r="NW20" s="61">
        <f t="shared" si="138"/>
        <v>3.25</v>
      </c>
      <c r="NX20" s="61">
        <f t="shared" si="139"/>
        <v>4.4474999999999998</v>
      </c>
      <c r="NY20" s="61">
        <f t="shared" si="140"/>
        <v>0</v>
      </c>
      <c r="NZ20" s="61">
        <f t="shared" si="141"/>
        <v>0</v>
      </c>
      <c r="OA20" s="61">
        <f t="shared" si="142"/>
        <v>0</v>
      </c>
      <c r="OB20" s="61">
        <f t="shared" si="143"/>
        <v>0</v>
      </c>
      <c r="OC20" s="61">
        <f t="shared" si="144"/>
        <v>0</v>
      </c>
      <c r="OD20" s="61">
        <f t="shared" si="145"/>
        <v>0</v>
      </c>
      <c r="OE20" s="61">
        <f t="shared" si="146"/>
        <v>6.5</v>
      </c>
      <c r="OF20" s="61">
        <f t="shared" si="147"/>
        <v>4.55</v>
      </c>
      <c r="OG20" s="61">
        <f t="shared" si="148"/>
        <v>4.9000000000000004</v>
      </c>
      <c r="OH20" s="61">
        <f t="shared" si="149"/>
        <v>7.5475000000000003</v>
      </c>
      <c r="OI20" s="61">
        <f t="shared" si="150"/>
        <v>0</v>
      </c>
      <c r="OJ20" s="72" t="s">
        <v>52</v>
      </c>
      <c r="OK20" s="11">
        <f t="shared" si="151"/>
        <v>17.982500000000002</v>
      </c>
      <c r="OL20" s="11">
        <f t="shared" si="152"/>
        <v>3.25</v>
      </c>
      <c r="OM20" s="11">
        <f t="shared" si="153"/>
        <v>14.397499999999999</v>
      </c>
      <c r="ON20" s="11" t="str">
        <f t="shared" si="154"/>
        <v/>
      </c>
      <c r="OO20" s="11" t="str">
        <f t="shared" si="155"/>
        <v/>
      </c>
      <c r="OP20" s="11">
        <f t="shared" si="156"/>
        <v>32.380000000000003</v>
      </c>
      <c r="OQ20" s="11">
        <f t="shared" si="157"/>
        <v>4.9000000000000004</v>
      </c>
      <c r="OR20" s="11">
        <f t="shared" ref="OR20" si="178">IF(SUM(OE20:OH20)-OI20&gt;0,SUM(OE20:OH20)-OI20,"")</f>
        <v>23.497500000000002</v>
      </c>
      <c r="OS20" s="11">
        <f t="shared" ref="OS20" si="179">IF(SUM(OP20,OR20)&gt;0,SUM(OP20,OR20),"")</f>
        <v>55.877500000000005</v>
      </c>
    </row>
    <row r="21" spans="1:409" x14ac:dyDescent="0.2">
      <c r="A21" s="5" t="str" cm="1">
        <f t="array" ref="A21">IF(AND(G21&lt;&gt;"",H21&lt;&gt;""),SUMPRODUCT((G$4:G$24&lt;&gt;"")*(H$4:H$24&lt;&gt;"")*(E$4:E$24&gt;E21))+1,IF(H21&lt;&gt;"",SUMPRODUCT((I$4:I$24="No DD")*(E$4:E$24&gt;E21))+1+SUMPRODUCT((G$4:G$24&lt;&gt;"")*(H$4:H$24&lt;&gt;"")),""))</f>
        <v/>
      </c>
      <c r="B21" s="6" t="s">
        <v>142</v>
      </c>
      <c r="C21" s="7" t="s">
        <v>6</v>
      </c>
      <c r="D21" s="26">
        <v>2004</v>
      </c>
      <c r="E21" s="15">
        <f t="shared" si="0"/>
        <v>63.675000000000004</v>
      </c>
      <c r="F21" s="3" t="str">
        <f t="shared" si="1"/>
        <v/>
      </c>
      <c r="G21" s="115" t="str">
        <f t="shared" si="2"/>
        <v/>
      </c>
      <c r="H21" s="115" t="str">
        <f t="shared" si="3"/>
        <v/>
      </c>
      <c r="I21" s="116" t="str">
        <f t="shared" si="4"/>
        <v/>
      </c>
      <c r="J21" s="3" t="str">
        <f t="shared" si="5"/>
        <v/>
      </c>
      <c r="K21" s="14">
        <f t="shared" si="6"/>
        <v>91.564999999999998</v>
      </c>
      <c r="L21" s="14" t="str">
        <f t="shared" si="7"/>
        <v>2021 Elite Canada</v>
      </c>
      <c r="M21" s="14">
        <f t="shared" si="8"/>
        <v>0</v>
      </c>
      <c r="N21" s="14" t="str">
        <f t="shared" si="9"/>
        <v/>
      </c>
      <c r="O21" s="14">
        <f t="shared" si="10"/>
        <v>47.825000000000003</v>
      </c>
      <c r="P21" s="14" t="str">
        <f t="shared" si="11"/>
        <v>2021 Elite Canada</v>
      </c>
      <c r="Q21" s="14">
        <f>IF(COUNT(AS21,AU21,AX21,BW21,BY21,CB21,DA21,DC21,DF21)&gt;1,LARGE((AS21,AU21,AX21,BW21,BY21,CB21,DA21,DC21,DF21),2),0)</f>
        <v>15.850000000000001</v>
      </c>
      <c r="R21" s="14" t="str">
        <f t="shared" si="12"/>
        <v>2021 Elite Canada</v>
      </c>
      <c r="S21" s="14" t="str">
        <f t="shared" si="13"/>
        <v/>
      </c>
      <c r="T21" s="24" t="str">
        <f t="shared" si="14"/>
        <v/>
      </c>
      <c r="U21" s="14" t="str">
        <f t="shared" si="15"/>
        <v/>
      </c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72"/>
      <c r="AQ21" s="11" t="str">
        <f t="shared" si="16"/>
        <v/>
      </c>
      <c r="AR21" s="11" t="str">
        <f t="shared" si="17"/>
        <v/>
      </c>
      <c r="AS21" s="11" t="str">
        <f t="shared" si="18"/>
        <v/>
      </c>
      <c r="AT21" s="11" t="str">
        <f t="shared" si="19"/>
        <v/>
      </c>
      <c r="AU21" s="11" t="str">
        <f t="shared" si="20"/>
        <v/>
      </c>
      <c r="AV21" s="11" t="str">
        <f t="shared" si="21"/>
        <v/>
      </c>
      <c r="AW21" s="11" t="str">
        <f t="shared" si="22"/>
        <v/>
      </c>
      <c r="AX21" s="11" t="str">
        <f t="shared" si="23"/>
        <v/>
      </c>
      <c r="AY21" s="11" t="str">
        <f t="shared" si="24"/>
        <v/>
      </c>
      <c r="AZ21" s="67"/>
      <c r="BA21" s="67"/>
      <c r="BB21" s="67"/>
      <c r="BC21" s="67"/>
      <c r="BD21" s="67"/>
      <c r="BE21" s="67"/>
      <c r="BF21" s="67"/>
      <c r="BG21" s="67"/>
      <c r="BH21" s="67"/>
      <c r="BI21" s="67"/>
      <c r="BJ21" s="67"/>
      <c r="BK21" s="67"/>
      <c r="BL21" s="67"/>
      <c r="BM21" s="67"/>
      <c r="BN21" s="67"/>
      <c r="BO21" s="67"/>
      <c r="BP21" s="67"/>
      <c r="BQ21" s="67"/>
      <c r="BR21" s="67"/>
      <c r="BS21" s="67"/>
      <c r="BT21" s="73"/>
      <c r="BU21" s="14" t="str">
        <f t="shared" si="25"/>
        <v/>
      </c>
      <c r="BV21" s="14" t="str">
        <f t="shared" si="26"/>
        <v/>
      </c>
      <c r="BW21" s="14" t="str">
        <f t="shared" si="27"/>
        <v/>
      </c>
      <c r="BX21" s="14" t="str">
        <f t="shared" si="28"/>
        <v/>
      </c>
      <c r="BY21" s="14" t="str">
        <f t="shared" si="29"/>
        <v/>
      </c>
      <c r="BZ21" s="14" t="str">
        <f t="shared" si="30"/>
        <v/>
      </c>
      <c r="CA21" s="14" t="str">
        <f t="shared" si="31"/>
        <v/>
      </c>
      <c r="CB21" s="14" t="str">
        <f t="shared" si="32"/>
        <v/>
      </c>
      <c r="CC21" s="14" t="str">
        <f t="shared" si="33"/>
        <v/>
      </c>
      <c r="CD21" s="61">
        <v>16.399999999999999</v>
      </c>
      <c r="CE21" s="61">
        <v>9.1999999999999993</v>
      </c>
      <c r="CF21" s="61">
        <v>2</v>
      </c>
      <c r="CG21" s="61">
        <v>16.14</v>
      </c>
      <c r="CH21" s="61">
        <v>0</v>
      </c>
      <c r="CI21" s="61">
        <v>14.3</v>
      </c>
      <c r="CJ21" s="61">
        <v>8.9</v>
      </c>
      <c r="CK21" s="61">
        <v>9.6</v>
      </c>
      <c r="CL21" s="61">
        <v>15.025</v>
      </c>
      <c r="CM21" s="61">
        <v>0</v>
      </c>
      <c r="CN21" s="61"/>
      <c r="CO21" s="61"/>
      <c r="CP21" s="61"/>
      <c r="CQ21" s="61"/>
      <c r="CR21" s="61"/>
      <c r="CS21" s="61">
        <v>4.4000000000000004</v>
      </c>
      <c r="CT21" s="61">
        <v>2.7</v>
      </c>
      <c r="CU21" s="61">
        <v>4</v>
      </c>
      <c r="CV21" s="61">
        <v>4.75</v>
      </c>
      <c r="CW21" s="61">
        <v>0</v>
      </c>
      <c r="CX21" s="72"/>
      <c r="CY21" s="11">
        <f t="shared" si="34"/>
        <v>43.739999999999995</v>
      </c>
      <c r="CZ21" s="11">
        <f t="shared" si="35"/>
        <v>9.6</v>
      </c>
      <c r="DA21" s="11">
        <f t="shared" si="36"/>
        <v>47.825000000000003</v>
      </c>
      <c r="DB21" s="11" t="str">
        <f t="shared" si="37"/>
        <v/>
      </c>
      <c r="DC21" s="11" t="str">
        <f t="shared" si="38"/>
        <v/>
      </c>
      <c r="DD21" s="11">
        <f t="shared" si="39"/>
        <v>91.564999999999998</v>
      </c>
      <c r="DE21" s="11">
        <f t="shared" si="40"/>
        <v>4</v>
      </c>
      <c r="DF21" s="11">
        <f t="shared" si="41"/>
        <v>15.850000000000001</v>
      </c>
      <c r="DG21" s="11">
        <f t="shared" si="42"/>
        <v>107.41499999999999</v>
      </c>
      <c r="DH21" s="23" t="str">
        <f t="shared" si="43"/>
        <v/>
      </c>
      <c r="DI21" s="23" t="str">
        <f t="shared" si="44"/>
        <v/>
      </c>
      <c r="DJ21" s="23" t="str">
        <f t="shared" si="45"/>
        <v/>
      </c>
      <c r="DK21" s="23" t="str">
        <f t="shared" si="46"/>
        <v/>
      </c>
      <c r="DL21" s="35"/>
      <c r="DM21" s="35"/>
      <c r="DN21" s="35"/>
      <c r="DO21" s="35"/>
      <c r="DP21" s="35"/>
      <c r="DQ21" s="35"/>
      <c r="DR21" s="35"/>
      <c r="DS21" s="35"/>
      <c r="DT21" s="35"/>
      <c r="DU21" s="35"/>
      <c r="DV21" s="35"/>
      <c r="DW21" s="35"/>
      <c r="DX21" s="35"/>
      <c r="DY21" s="35"/>
      <c r="DZ21" s="35"/>
      <c r="EA21" s="11" t="str">
        <f t="shared" si="47"/>
        <v/>
      </c>
      <c r="EB21" s="11" t="str">
        <f t="shared" si="48"/>
        <v/>
      </c>
      <c r="EC21" s="11" t="str">
        <f t="shared" si="49"/>
        <v/>
      </c>
      <c r="ED21" s="11" t="str">
        <f t="shared" si="50"/>
        <v/>
      </c>
      <c r="EE21" s="11" t="str">
        <f t="shared" si="51"/>
        <v/>
      </c>
      <c r="EF21" s="11" t="str">
        <f t="shared" si="52"/>
        <v/>
      </c>
      <c r="EG21" s="11" t="str">
        <f t="shared" si="53"/>
        <v/>
      </c>
      <c r="EH21" s="36"/>
      <c r="EI21" s="36"/>
      <c r="EJ21" s="36"/>
      <c r="EK21" s="36"/>
      <c r="EL21" s="36"/>
      <c r="EM21" s="36"/>
      <c r="EN21" s="36"/>
      <c r="EO21" s="36"/>
      <c r="EP21" s="36"/>
      <c r="EQ21" s="36"/>
      <c r="ER21" s="36"/>
      <c r="ES21" s="36"/>
      <c r="ET21" s="36"/>
      <c r="EU21" s="36"/>
      <c r="EV21" s="36"/>
      <c r="EW21" s="14" t="str">
        <f t="shared" si="54"/>
        <v/>
      </c>
      <c r="EX21" s="14" t="str">
        <f t="shared" si="55"/>
        <v/>
      </c>
      <c r="EY21" s="14" t="str">
        <f t="shared" si="56"/>
        <v/>
      </c>
      <c r="EZ21" s="14" t="str">
        <f t="shared" si="57"/>
        <v/>
      </c>
      <c r="FA21" s="14" t="str">
        <f t="shared" si="58"/>
        <v/>
      </c>
      <c r="FB21" s="14" t="str">
        <f t="shared" si="59"/>
        <v/>
      </c>
      <c r="FC21" s="14" t="str">
        <f t="shared" si="60"/>
        <v/>
      </c>
      <c r="FD21" s="35"/>
      <c r="FE21" s="35"/>
      <c r="FF21" s="35"/>
      <c r="FG21" s="35"/>
      <c r="FH21" s="35"/>
      <c r="FI21" s="35"/>
      <c r="FJ21" s="35"/>
      <c r="FK21" s="35"/>
      <c r="FL21" s="35"/>
      <c r="FM21" s="35"/>
      <c r="FN21" s="35"/>
      <c r="FO21" s="35"/>
      <c r="FP21" s="35"/>
      <c r="FQ21" s="35"/>
      <c r="FR21" s="35"/>
      <c r="FS21" s="11" t="str">
        <f t="shared" si="61"/>
        <v/>
      </c>
      <c r="FT21" s="11" t="str">
        <f t="shared" si="62"/>
        <v/>
      </c>
      <c r="FU21" s="11" t="str">
        <f t="shared" si="63"/>
        <v/>
      </c>
      <c r="FV21" s="11" t="str">
        <f t="shared" si="64"/>
        <v/>
      </c>
      <c r="FW21" s="11" t="str">
        <f t="shared" si="65"/>
        <v/>
      </c>
      <c r="FX21" s="11" t="str">
        <f t="shared" si="66"/>
        <v/>
      </c>
      <c r="FY21" s="11" t="str">
        <f t="shared" si="67"/>
        <v/>
      </c>
      <c r="FZ21" s="36"/>
      <c r="GA21" s="36"/>
      <c r="GB21" s="36"/>
      <c r="GC21" s="36"/>
      <c r="GD21" s="36"/>
      <c r="GE21" s="36"/>
      <c r="GF21" s="36"/>
      <c r="GG21" s="36"/>
      <c r="GH21" s="36"/>
      <c r="GI21" s="36"/>
      <c r="GJ21" s="36"/>
      <c r="GK21" s="36"/>
      <c r="GL21" s="36"/>
      <c r="GM21" s="36"/>
      <c r="GN21" s="36"/>
      <c r="GO21" s="14" t="str">
        <f t="shared" si="68"/>
        <v/>
      </c>
      <c r="GP21" s="14" t="str">
        <f t="shared" si="69"/>
        <v/>
      </c>
      <c r="GQ21" s="14" t="str">
        <f t="shared" si="70"/>
        <v/>
      </c>
      <c r="GR21" s="14" t="str">
        <f t="shared" si="71"/>
        <v/>
      </c>
      <c r="GS21" s="14" t="str">
        <f t="shared" si="72"/>
        <v/>
      </c>
      <c r="GT21" s="14" t="str">
        <f t="shared" si="73"/>
        <v/>
      </c>
      <c r="GU21" s="14" t="str">
        <f t="shared" si="74"/>
        <v/>
      </c>
      <c r="GV21" s="35"/>
      <c r="GW21" s="35"/>
      <c r="GX21" s="35"/>
      <c r="GY21" s="35"/>
      <c r="GZ21" s="35"/>
      <c r="HA21" s="35"/>
      <c r="HB21" s="35"/>
      <c r="HC21" s="35"/>
      <c r="HD21" s="35"/>
      <c r="HE21" s="35"/>
      <c r="HF21" s="35"/>
      <c r="HG21" s="35"/>
      <c r="HH21" s="35"/>
      <c r="HI21" s="35"/>
      <c r="HJ21" s="35"/>
      <c r="HK21" s="11" t="str">
        <f t="shared" si="75"/>
        <v/>
      </c>
      <c r="HL21" s="11" t="str">
        <f t="shared" si="76"/>
        <v/>
      </c>
      <c r="HM21" s="11" t="str">
        <f t="shared" si="77"/>
        <v/>
      </c>
      <c r="HN21" s="11" t="str">
        <f t="shared" si="78"/>
        <v/>
      </c>
      <c r="HO21" s="11" t="str">
        <f t="shared" si="79"/>
        <v/>
      </c>
      <c r="HP21" s="11" t="str">
        <f t="shared" si="80"/>
        <v/>
      </c>
      <c r="HQ21" s="11" t="str">
        <f t="shared" si="81"/>
        <v/>
      </c>
      <c r="HR21" s="36"/>
      <c r="HS21" s="36"/>
      <c r="HT21" s="36"/>
      <c r="HU21" s="36"/>
      <c r="HV21" s="36"/>
      <c r="HW21" s="36"/>
      <c r="HX21" s="36"/>
      <c r="HY21" s="36"/>
      <c r="HZ21" s="36"/>
      <c r="IA21" s="36"/>
      <c r="IB21" s="36"/>
      <c r="IC21" s="36"/>
      <c r="ID21" s="36"/>
      <c r="IE21" s="36"/>
      <c r="IF21" s="36"/>
      <c r="IG21" s="14" t="str">
        <f t="shared" si="82"/>
        <v/>
      </c>
      <c r="IH21" s="14" t="str">
        <f t="shared" si="83"/>
        <v/>
      </c>
      <c r="II21" s="14" t="str">
        <f t="shared" si="84"/>
        <v/>
      </c>
      <c r="IJ21" s="14" t="str">
        <f t="shared" si="85"/>
        <v/>
      </c>
      <c r="IK21" s="14" t="str">
        <f t="shared" si="86"/>
        <v/>
      </c>
      <c r="IL21" s="14" t="str">
        <f t="shared" si="87"/>
        <v/>
      </c>
      <c r="IM21" s="14" t="str">
        <f t="shared" si="88"/>
        <v/>
      </c>
      <c r="IN21" s="35"/>
      <c r="IO21" s="35"/>
      <c r="IP21" s="35"/>
      <c r="IQ21" s="35"/>
      <c r="IR21" s="35"/>
      <c r="IS21" s="35"/>
      <c r="IT21" s="35"/>
      <c r="IU21" s="35"/>
      <c r="IV21" s="35"/>
      <c r="IW21" s="35"/>
      <c r="IX21" s="35"/>
      <c r="IY21" s="35"/>
      <c r="IZ21" s="35"/>
      <c r="JA21" s="35"/>
      <c r="JB21" s="35"/>
      <c r="JC21" s="11" t="str">
        <f t="shared" si="89"/>
        <v/>
      </c>
      <c r="JD21" s="11" t="str">
        <f t="shared" si="90"/>
        <v/>
      </c>
      <c r="JE21" s="11" t="str">
        <f t="shared" si="91"/>
        <v/>
      </c>
      <c r="JF21" s="11" t="str">
        <f t="shared" si="92"/>
        <v/>
      </c>
      <c r="JG21" s="11" t="str">
        <f t="shared" si="93"/>
        <v/>
      </c>
      <c r="JH21" s="11" t="str">
        <f t="shared" si="94"/>
        <v/>
      </c>
      <c r="JI21" s="11" t="str">
        <f t="shared" si="95"/>
        <v/>
      </c>
      <c r="JJ21" s="36"/>
      <c r="JK21" s="36"/>
      <c r="JL21" s="36"/>
      <c r="JM21" s="36"/>
      <c r="JN21" s="36"/>
      <c r="JO21" s="36"/>
      <c r="JP21" s="36"/>
      <c r="JQ21" s="36"/>
      <c r="JR21" s="36"/>
      <c r="JS21" s="36"/>
      <c r="JT21" s="36"/>
      <c r="JU21" s="36"/>
      <c r="JV21" s="36"/>
      <c r="JW21" s="36"/>
      <c r="JX21" s="36"/>
      <c r="JY21" s="14" t="str">
        <f t="shared" si="96"/>
        <v/>
      </c>
      <c r="JZ21" s="14" t="str">
        <f t="shared" si="97"/>
        <v/>
      </c>
      <c r="KA21" s="14" t="str">
        <f t="shared" si="98"/>
        <v/>
      </c>
      <c r="KB21" s="14" t="str">
        <f t="shared" si="99"/>
        <v/>
      </c>
      <c r="KC21" s="14" t="str">
        <f t="shared" si="100"/>
        <v/>
      </c>
      <c r="KD21" s="14" t="str">
        <f t="shared" si="101"/>
        <v/>
      </c>
      <c r="KE21" s="14" t="str">
        <f t="shared" si="102"/>
        <v/>
      </c>
      <c r="KF21" s="35"/>
      <c r="KG21" s="35"/>
      <c r="KH21" s="35"/>
      <c r="KI21" s="35"/>
      <c r="KJ21" s="35"/>
      <c r="KK21" s="35"/>
      <c r="KL21" s="35"/>
      <c r="KM21" s="35"/>
      <c r="KN21" s="35"/>
      <c r="KO21" s="35"/>
      <c r="KP21" s="35"/>
      <c r="KQ21" s="35"/>
      <c r="KR21" s="35"/>
      <c r="KS21" s="35"/>
      <c r="KT21" s="35"/>
      <c r="KU21" s="11" t="str">
        <f t="shared" si="103"/>
        <v/>
      </c>
      <c r="KV21" s="11" t="str">
        <f t="shared" si="104"/>
        <v/>
      </c>
      <c r="KW21" s="11" t="str">
        <f t="shared" si="105"/>
        <v/>
      </c>
      <c r="KX21" s="11" t="str">
        <f t="shared" si="106"/>
        <v/>
      </c>
      <c r="KY21" s="11" t="str">
        <f t="shared" si="107"/>
        <v/>
      </c>
      <c r="KZ21" s="11" t="str">
        <f t="shared" si="108"/>
        <v/>
      </c>
      <c r="LA21" s="11" t="str">
        <f t="shared" si="109"/>
        <v/>
      </c>
      <c r="LB21" s="36"/>
      <c r="LC21" s="36"/>
      <c r="LD21" s="36"/>
      <c r="LE21" s="36"/>
      <c r="LF21" s="36"/>
      <c r="LG21" s="36"/>
      <c r="LH21" s="36"/>
      <c r="LI21" s="36"/>
      <c r="LJ21" s="36"/>
      <c r="LK21" s="36"/>
      <c r="LL21" s="36"/>
      <c r="LM21" s="36"/>
      <c r="LN21" s="36"/>
      <c r="LO21" s="36"/>
      <c r="LP21" s="36"/>
      <c r="LQ21" s="14" t="str">
        <f t="shared" si="110"/>
        <v/>
      </c>
      <c r="LR21" s="14" t="str">
        <f t="shared" si="111"/>
        <v/>
      </c>
      <c r="LS21" s="14" t="str">
        <f t="shared" si="112"/>
        <v/>
      </c>
      <c r="LT21" s="14" t="str">
        <f t="shared" si="113"/>
        <v/>
      </c>
      <c r="LU21" s="14" t="str">
        <f t="shared" si="114"/>
        <v/>
      </c>
      <c r="LV21" s="14" t="str">
        <f t="shared" si="115"/>
        <v/>
      </c>
      <c r="LW21" s="14" t="str">
        <f t="shared" si="116"/>
        <v/>
      </c>
      <c r="LX21" s="35"/>
      <c r="LY21" s="35"/>
      <c r="LZ21" s="35"/>
      <c r="MA21" s="35"/>
      <c r="MB21" s="35"/>
      <c r="MC21" s="35"/>
      <c r="MD21" s="35"/>
      <c r="ME21" s="35"/>
      <c r="MF21" s="35"/>
      <c r="MG21" s="35"/>
      <c r="MH21" s="35"/>
      <c r="MI21" s="35"/>
      <c r="MJ21" s="35"/>
      <c r="MK21" s="35"/>
      <c r="ML21" s="35"/>
      <c r="MM21" s="11" t="str">
        <f t="shared" si="117"/>
        <v/>
      </c>
      <c r="MN21" s="11" t="str">
        <f t="shared" si="118"/>
        <v/>
      </c>
      <c r="MO21" s="11" t="str">
        <f t="shared" si="119"/>
        <v/>
      </c>
      <c r="MP21" s="11" t="str">
        <f t="shared" si="120"/>
        <v/>
      </c>
      <c r="MQ21" s="11" t="str">
        <f t="shared" si="121"/>
        <v/>
      </c>
      <c r="MR21" s="11" t="str">
        <f t="shared" si="122"/>
        <v/>
      </c>
      <c r="MS21" s="11" t="str">
        <f t="shared" si="123"/>
        <v/>
      </c>
      <c r="MT21" s="36"/>
      <c r="MU21" s="36"/>
      <c r="MV21" s="36"/>
      <c r="MW21" s="36"/>
      <c r="MX21" s="36"/>
      <c r="MY21" s="36"/>
      <c r="MZ21" s="36"/>
      <c r="NA21" s="36"/>
      <c r="NB21" s="36"/>
      <c r="NC21" s="36"/>
      <c r="ND21" s="36"/>
      <c r="NE21" s="36"/>
      <c r="NF21" s="36"/>
      <c r="NG21" s="36"/>
      <c r="NH21" s="36"/>
      <c r="NI21" s="14" t="str">
        <f t="shared" si="124"/>
        <v/>
      </c>
      <c r="NJ21" s="14" t="str">
        <f t="shared" si="125"/>
        <v/>
      </c>
      <c r="NK21" s="14" t="str">
        <f t="shared" si="126"/>
        <v/>
      </c>
      <c r="NL21" s="14" t="str">
        <f t="shared" si="127"/>
        <v/>
      </c>
      <c r="NM21" s="14" t="str">
        <f t="shared" si="128"/>
        <v/>
      </c>
      <c r="NN21" s="14" t="str">
        <f t="shared" si="129"/>
        <v/>
      </c>
      <c r="NO21" s="14" t="str">
        <f t="shared" si="130"/>
        <v/>
      </c>
      <c r="NP21" s="61">
        <f t="shared" si="131"/>
        <v>8.1999999999999993</v>
      </c>
      <c r="NQ21" s="61">
        <f t="shared" si="132"/>
        <v>4.5999999999999996</v>
      </c>
      <c r="NR21" s="61">
        <f t="shared" si="133"/>
        <v>1</v>
      </c>
      <c r="NS21" s="61">
        <f t="shared" si="134"/>
        <v>8.07</v>
      </c>
      <c r="NT21" s="61">
        <f t="shared" si="135"/>
        <v>0</v>
      </c>
      <c r="NU21" s="61">
        <f t="shared" si="136"/>
        <v>7.15</v>
      </c>
      <c r="NV21" s="61">
        <f t="shared" si="137"/>
        <v>4.45</v>
      </c>
      <c r="NW21" s="61">
        <f t="shared" si="138"/>
        <v>4.8</v>
      </c>
      <c r="NX21" s="61">
        <f t="shared" si="139"/>
        <v>7.5125000000000002</v>
      </c>
      <c r="NY21" s="61">
        <f t="shared" si="140"/>
        <v>0</v>
      </c>
      <c r="NZ21" s="61">
        <f t="shared" si="141"/>
        <v>0</v>
      </c>
      <c r="OA21" s="61">
        <f t="shared" si="142"/>
        <v>0</v>
      </c>
      <c r="OB21" s="61">
        <f t="shared" si="143"/>
        <v>0</v>
      </c>
      <c r="OC21" s="61">
        <f t="shared" si="144"/>
        <v>0</v>
      </c>
      <c r="OD21" s="61">
        <f t="shared" si="145"/>
        <v>0</v>
      </c>
      <c r="OE21" s="61">
        <f t="shared" si="146"/>
        <v>2.2000000000000002</v>
      </c>
      <c r="OF21" s="61">
        <f t="shared" si="147"/>
        <v>1.35</v>
      </c>
      <c r="OG21" s="61">
        <f t="shared" si="148"/>
        <v>2</v>
      </c>
      <c r="OH21" s="61">
        <f t="shared" si="149"/>
        <v>2.375</v>
      </c>
      <c r="OI21" s="61">
        <f t="shared" si="150"/>
        <v>0</v>
      </c>
      <c r="OJ21" s="72" t="s">
        <v>52</v>
      </c>
      <c r="OK21" s="11">
        <f t="shared" si="151"/>
        <v>21.869999999999997</v>
      </c>
      <c r="OL21" s="11">
        <f t="shared" si="152"/>
        <v>4.8</v>
      </c>
      <c r="OM21" s="11">
        <f t="shared" si="153"/>
        <v>23.912500000000001</v>
      </c>
      <c r="ON21" s="11" t="str">
        <f t="shared" si="154"/>
        <v/>
      </c>
      <c r="OO21" s="11" t="str">
        <f t="shared" si="155"/>
        <v/>
      </c>
      <c r="OP21" s="11">
        <f t="shared" si="156"/>
        <v>45.782499999999999</v>
      </c>
      <c r="OQ21" s="11">
        <f t="shared" si="157"/>
        <v>2</v>
      </c>
      <c r="OR21" s="11">
        <f t="shared" ref="OR21" si="180">IF(SUM(OE21:OH21)-OI21&gt;0,SUM(OE21:OH21)-OI21,"")</f>
        <v>7.9250000000000007</v>
      </c>
      <c r="OS21" s="11">
        <f t="shared" ref="OS21" si="181">IF(SUM(OP21,OR21)&gt;0,SUM(OP21,OR21),"")</f>
        <v>53.707499999999996</v>
      </c>
    </row>
    <row r="22" spans="1:409" x14ac:dyDescent="0.2">
      <c r="A22" s="5" t="str" cm="1">
        <f t="array" ref="A22">IF(AND(G22&lt;&gt;"",H22&lt;&gt;""),SUMPRODUCT((G$4:G$24&lt;&gt;"")*(H$4:H$24&lt;&gt;"")*(E$4:E$24&gt;E22))+1,IF(H22&lt;&gt;"",SUMPRODUCT((I$4:I$24="No DD")*(E$4:E$24&gt;E22))+1+SUMPRODUCT((G$4:G$24&lt;&gt;"")*(H$4:H$24&lt;&gt;"")),""))</f>
        <v/>
      </c>
      <c r="B22" s="6" t="s">
        <v>141</v>
      </c>
      <c r="C22" s="7" t="s">
        <v>5</v>
      </c>
      <c r="D22" s="26">
        <v>2003</v>
      </c>
      <c r="E22" s="15">
        <f t="shared" si="0"/>
        <v>63.04</v>
      </c>
      <c r="F22" s="3" t="str">
        <f t="shared" si="1"/>
        <v/>
      </c>
      <c r="G22" s="115" t="str">
        <f t="shared" si="2"/>
        <v/>
      </c>
      <c r="H22" s="115" t="str">
        <f t="shared" si="3"/>
        <v/>
      </c>
      <c r="I22" s="116" t="str">
        <f t="shared" si="4"/>
        <v/>
      </c>
      <c r="J22" s="3" t="str">
        <f t="shared" si="5"/>
        <v/>
      </c>
      <c r="K22" s="14">
        <f t="shared" si="6"/>
        <v>63.875</v>
      </c>
      <c r="L22" s="14" t="str">
        <f t="shared" si="7"/>
        <v>2021 Elite Canada</v>
      </c>
      <c r="M22" s="14">
        <f t="shared" si="8"/>
        <v>0</v>
      </c>
      <c r="N22" s="14" t="str">
        <f t="shared" si="9"/>
        <v/>
      </c>
      <c r="O22" s="14">
        <f t="shared" si="10"/>
        <v>40.47</v>
      </c>
      <c r="P22" s="14" t="str">
        <f t="shared" si="11"/>
        <v>2021 Elite Canada</v>
      </c>
      <c r="Q22" s="14">
        <f>IF(COUNT(AS22,AU22,AX22,BW22,BY22,CB22,DA22,DC22,DF22)&gt;1,LARGE((AS22,AU22,AX22,BW22,BY22,CB22,DA22,DC22,DF22),2),0)</f>
        <v>22.57</v>
      </c>
      <c r="R22" s="14" t="str">
        <f t="shared" si="12"/>
        <v>2021 Elite Canada</v>
      </c>
      <c r="S22" s="14" t="str">
        <f t="shared" si="13"/>
        <v/>
      </c>
      <c r="T22" s="24" t="str">
        <f t="shared" si="14"/>
        <v/>
      </c>
      <c r="U22" s="14" t="str">
        <f t="shared" si="15"/>
        <v/>
      </c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61"/>
      <c r="AL22" s="61"/>
      <c r="AM22" s="61"/>
      <c r="AN22" s="61"/>
      <c r="AO22" s="61"/>
      <c r="AP22" s="72"/>
      <c r="AQ22" s="11" t="str">
        <f t="shared" si="16"/>
        <v/>
      </c>
      <c r="AR22" s="11" t="str">
        <f t="shared" si="17"/>
        <v/>
      </c>
      <c r="AS22" s="11" t="str">
        <f t="shared" si="18"/>
        <v/>
      </c>
      <c r="AT22" s="11" t="str">
        <f t="shared" si="19"/>
        <v/>
      </c>
      <c r="AU22" s="11" t="str">
        <f t="shared" si="20"/>
        <v/>
      </c>
      <c r="AV22" s="11" t="str">
        <f t="shared" si="21"/>
        <v/>
      </c>
      <c r="AW22" s="11" t="str">
        <f t="shared" si="22"/>
        <v/>
      </c>
      <c r="AX22" s="11" t="str">
        <f t="shared" si="23"/>
        <v/>
      </c>
      <c r="AY22" s="11" t="str">
        <f t="shared" si="24"/>
        <v/>
      </c>
      <c r="AZ22" s="67"/>
      <c r="BA22" s="67"/>
      <c r="BB22" s="67"/>
      <c r="BC22" s="67"/>
      <c r="BD22" s="67"/>
      <c r="BE22" s="67"/>
      <c r="BF22" s="67"/>
      <c r="BG22" s="67"/>
      <c r="BH22" s="67"/>
      <c r="BI22" s="67"/>
      <c r="BJ22" s="67"/>
      <c r="BK22" s="67"/>
      <c r="BL22" s="67"/>
      <c r="BM22" s="67"/>
      <c r="BN22" s="67"/>
      <c r="BO22" s="67"/>
      <c r="BP22" s="67"/>
      <c r="BQ22" s="67"/>
      <c r="BR22" s="67"/>
      <c r="BS22" s="67"/>
      <c r="BT22" s="73"/>
      <c r="BU22" s="14" t="str">
        <f t="shared" si="25"/>
        <v/>
      </c>
      <c r="BV22" s="14" t="str">
        <f t="shared" si="26"/>
        <v/>
      </c>
      <c r="BW22" s="14" t="str">
        <f t="shared" si="27"/>
        <v/>
      </c>
      <c r="BX22" s="14" t="str">
        <f t="shared" si="28"/>
        <v/>
      </c>
      <c r="BY22" s="14" t="str">
        <f t="shared" si="29"/>
        <v/>
      </c>
      <c r="BZ22" s="14" t="str">
        <f t="shared" si="30"/>
        <v/>
      </c>
      <c r="CA22" s="14" t="str">
        <f t="shared" si="31"/>
        <v/>
      </c>
      <c r="CB22" s="14" t="str">
        <f t="shared" si="32"/>
        <v/>
      </c>
      <c r="CC22" s="14" t="str">
        <f t="shared" si="33"/>
        <v/>
      </c>
      <c r="CD22" s="61">
        <v>14.2</v>
      </c>
      <c r="CE22" s="61">
        <v>9.5</v>
      </c>
      <c r="CF22" s="61">
        <v>2.7</v>
      </c>
      <c r="CG22" s="61">
        <v>14.904999999999999</v>
      </c>
      <c r="CH22" s="61">
        <v>0</v>
      </c>
      <c r="CI22" s="61">
        <v>5.8</v>
      </c>
      <c r="CJ22" s="61">
        <v>4.5</v>
      </c>
      <c r="CK22" s="61">
        <v>4.8</v>
      </c>
      <c r="CL22" s="61">
        <v>7.47</v>
      </c>
      <c r="CM22" s="61">
        <v>0</v>
      </c>
      <c r="CN22" s="61"/>
      <c r="CO22" s="61"/>
      <c r="CP22" s="61"/>
      <c r="CQ22" s="61"/>
      <c r="CR22" s="61"/>
      <c r="CS22" s="61">
        <v>10.1</v>
      </c>
      <c r="CT22" s="61">
        <v>8.8000000000000007</v>
      </c>
      <c r="CU22" s="61">
        <v>8.5</v>
      </c>
      <c r="CV22" s="61">
        <v>14.17</v>
      </c>
      <c r="CW22" s="61">
        <v>1.1000000000000001</v>
      </c>
      <c r="CX22" s="72"/>
      <c r="CY22" s="11">
        <f t="shared" si="34"/>
        <v>41.305</v>
      </c>
      <c r="CZ22" s="11">
        <f t="shared" si="35"/>
        <v>4.8</v>
      </c>
      <c r="DA22" s="11">
        <f t="shared" si="36"/>
        <v>22.57</v>
      </c>
      <c r="DB22" s="11" t="str">
        <f t="shared" si="37"/>
        <v/>
      </c>
      <c r="DC22" s="11" t="str">
        <f t="shared" si="38"/>
        <v/>
      </c>
      <c r="DD22" s="11">
        <f t="shared" si="39"/>
        <v>63.875</v>
      </c>
      <c r="DE22" s="11">
        <f t="shared" si="40"/>
        <v>8.5</v>
      </c>
      <c r="DF22" s="11">
        <f t="shared" si="41"/>
        <v>40.47</v>
      </c>
      <c r="DG22" s="11">
        <f t="shared" si="42"/>
        <v>104.345</v>
      </c>
      <c r="DH22" s="23" t="str">
        <f t="shared" si="43"/>
        <v/>
      </c>
      <c r="DI22" s="23" t="str">
        <f t="shared" si="44"/>
        <v/>
      </c>
      <c r="DJ22" s="23" t="str">
        <f t="shared" si="45"/>
        <v/>
      </c>
      <c r="DK22" s="23" t="str">
        <f t="shared" si="46"/>
        <v/>
      </c>
      <c r="DL22" s="35"/>
      <c r="DM22" s="35"/>
      <c r="DN22" s="35"/>
      <c r="DO22" s="35"/>
      <c r="DP22" s="35"/>
      <c r="DQ22" s="35"/>
      <c r="DR22" s="35"/>
      <c r="DS22" s="35"/>
      <c r="DT22" s="35"/>
      <c r="DU22" s="35"/>
      <c r="DV22" s="35"/>
      <c r="DW22" s="35"/>
      <c r="DX22" s="35"/>
      <c r="DY22" s="35"/>
      <c r="DZ22" s="35"/>
      <c r="EA22" s="11" t="str">
        <f t="shared" si="47"/>
        <v/>
      </c>
      <c r="EB22" s="11" t="str">
        <f t="shared" si="48"/>
        <v/>
      </c>
      <c r="EC22" s="11" t="str">
        <f t="shared" si="49"/>
        <v/>
      </c>
      <c r="ED22" s="11" t="str">
        <f t="shared" si="50"/>
        <v/>
      </c>
      <c r="EE22" s="11" t="str">
        <f t="shared" si="51"/>
        <v/>
      </c>
      <c r="EF22" s="11" t="str">
        <f t="shared" si="52"/>
        <v/>
      </c>
      <c r="EG22" s="11" t="str">
        <f t="shared" si="53"/>
        <v/>
      </c>
      <c r="EH22" s="36"/>
      <c r="EI22" s="36"/>
      <c r="EJ22" s="36"/>
      <c r="EK22" s="36"/>
      <c r="EL22" s="36"/>
      <c r="EM22" s="36"/>
      <c r="EN22" s="36"/>
      <c r="EO22" s="36"/>
      <c r="EP22" s="36"/>
      <c r="EQ22" s="36"/>
      <c r="ER22" s="36"/>
      <c r="ES22" s="36"/>
      <c r="ET22" s="36"/>
      <c r="EU22" s="36"/>
      <c r="EV22" s="36"/>
      <c r="EW22" s="14" t="str">
        <f t="shared" si="54"/>
        <v/>
      </c>
      <c r="EX22" s="14" t="str">
        <f t="shared" si="55"/>
        <v/>
      </c>
      <c r="EY22" s="14" t="str">
        <f t="shared" si="56"/>
        <v/>
      </c>
      <c r="EZ22" s="14" t="str">
        <f t="shared" si="57"/>
        <v/>
      </c>
      <c r="FA22" s="14" t="str">
        <f t="shared" si="58"/>
        <v/>
      </c>
      <c r="FB22" s="14" t="str">
        <f t="shared" si="59"/>
        <v/>
      </c>
      <c r="FC22" s="14" t="str">
        <f t="shared" si="60"/>
        <v/>
      </c>
      <c r="FD22" s="35"/>
      <c r="FE22" s="35"/>
      <c r="FF22" s="35"/>
      <c r="FG22" s="35"/>
      <c r="FH22" s="35"/>
      <c r="FI22" s="35"/>
      <c r="FJ22" s="35"/>
      <c r="FK22" s="35"/>
      <c r="FL22" s="35"/>
      <c r="FM22" s="35"/>
      <c r="FN22" s="35"/>
      <c r="FO22" s="35"/>
      <c r="FP22" s="35"/>
      <c r="FQ22" s="35"/>
      <c r="FR22" s="35"/>
      <c r="FS22" s="11" t="str">
        <f t="shared" si="61"/>
        <v/>
      </c>
      <c r="FT22" s="11" t="str">
        <f t="shared" si="62"/>
        <v/>
      </c>
      <c r="FU22" s="11" t="str">
        <f t="shared" si="63"/>
        <v/>
      </c>
      <c r="FV22" s="11" t="str">
        <f t="shared" si="64"/>
        <v/>
      </c>
      <c r="FW22" s="11" t="str">
        <f t="shared" si="65"/>
        <v/>
      </c>
      <c r="FX22" s="11" t="str">
        <f t="shared" si="66"/>
        <v/>
      </c>
      <c r="FY22" s="11" t="str">
        <f t="shared" si="67"/>
        <v/>
      </c>
      <c r="FZ22" s="36"/>
      <c r="GA22" s="36"/>
      <c r="GB22" s="36"/>
      <c r="GC22" s="36"/>
      <c r="GD22" s="36"/>
      <c r="GE22" s="36"/>
      <c r="GF22" s="36"/>
      <c r="GG22" s="36"/>
      <c r="GH22" s="36"/>
      <c r="GI22" s="36"/>
      <c r="GJ22" s="36"/>
      <c r="GK22" s="36"/>
      <c r="GL22" s="36"/>
      <c r="GM22" s="36"/>
      <c r="GN22" s="36"/>
      <c r="GO22" s="14" t="str">
        <f t="shared" si="68"/>
        <v/>
      </c>
      <c r="GP22" s="14" t="str">
        <f t="shared" si="69"/>
        <v/>
      </c>
      <c r="GQ22" s="14" t="str">
        <f t="shared" si="70"/>
        <v/>
      </c>
      <c r="GR22" s="14" t="str">
        <f t="shared" si="71"/>
        <v/>
      </c>
      <c r="GS22" s="14" t="str">
        <f t="shared" si="72"/>
        <v/>
      </c>
      <c r="GT22" s="14" t="str">
        <f t="shared" si="73"/>
        <v/>
      </c>
      <c r="GU22" s="14" t="str">
        <f t="shared" si="74"/>
        <v/>
      </c>
      <c r="GV22" s="35"/>
      <c r="GW22" s="35"/>
      <c r="GX22" s="35"/>
      <c r="GY22" s="35"/>
      <c r="GZ22" s="35"/>
      <c r="HA22" s="35"/>
      <c r="HB22" s="35"/>
      <c r="HC22" s="35"/>
      <c r="HD22" s="35"/>
      <c r="HE22" s="35"/>
      <c r="HF22" s="35"/>
      <c r="HG22" s="35"/>
      <c r="HH22" s="35"/>
      <c r="HI22" s="35"/>
      <c r="HJ22" s="35"/>
      <c r="HK22" s="11" t="str">
        <f t="shared" si="75"/>
        <v/>
      </c>
      <c r="HL22" s="11" t="str">
        <f t="shared" si="76"/>
        <v/>
      </c>
      <c r="HM22" s="11" t="str">
        <f t="shared" si="77"/>
        <v/>
      </c>
      <c r="HN22" s="11" t="str">
        <f t="shared" si="78"/>
        <v/>
      </c>
      <c r="HO22" s="11" t="str">
        <f t="shared" si="79"/>
        <v/>
      </c>
      <c r="HP22" s="11" t="str">
        <f t="shared" si="80"/>
        <v/>
      </c>
      <c r="HQ22" s="11" t="str">
        <f t="shared" si="81"/>
        <v/>
      </c>
      <c r="HR22" s="36"/>
      <c r="HS22" s="36"/>
      <c r="HT22" s="36"/>
      <c r="HU22" s="36"/>
      <c r="HV22" s="36"/>
      <c r="HW22" s="36"/>
      <c r="HX22" s="36"/>
      <c r="HY22" s="36"/>
      <c r="HZ22" s="36"/>
      <c r="IA22" s="36"/>
      <c r="IB22" s="36"/>
      <c r="IC22" s="36"/>
      <c r="ID22" s="36"/>
      <c r="IE22" s="36"/>
      <c r="IF22" s="36"/>
      <c r="IG22" s="14" t="str">
        <f t="shared" si="82"/>
        <v/>
      </c>
      <c r="IH22" s="14" t="str">
        <f t="shared" si="83"/>
        <v/>
      </c>
      <c r="II22" s="14" t="str">
        <f t="shared" si="84"/>
        <v/>
      </c>
      <c r="IJ22" s="14" t="str">
        <f t="shared" si="85"/>
        <v/>
      </c>
      <c r="IK22" s="14" t="str">
        <f t="shared" si="86"/>
        <v/>
      </c>
      <c r="IL22" s="14" t="str">
        <f t="shared" si="87"/>
        <v/>
      </c>
      <c r="IM22" s="14" t="str">
        <f t="shared" si="88"/>
        <v/>
      </c>
      <c r="IN22" s="35"/>
      <c r="IO22" s="35"/>
      <c r="IP22" s="35"/>
      <c r="IQ22" s="35"/>
      <c r="IR22" s="35"/>
      <c r="IS22" s="35"/>
      <c r="IT22" s="35"/>
      <c r="IU22" s="35"/>
      <c r="IV22" s="35"/>
      <c r="IW22" s="35"/>
      <c r="IX22" s="35"/>
      <c r="IY22" s="35"/>
      <c r="IZ22" s="35"/>
      <c r="JA22" s="35"/>
      <c r="JB22" s="35"/>
      <c r="JC22" s="11" t="str">
        <f t="shared" si="89"/>
        <v/>
      </c>
      <c r="JD22" s="11" t="str">
        <f t="shared" si="90"/>
        <v/>
      </c>
      <c r="JE22" s="11" t="str">
        <f t="shared" si="91"/>
        <v/>
      </c>
      <c r="JF22" s="11" t="str">
        <f t="shared" si="92"/>
        <v/>
      </c>
      <c r="JG22" s="11" t="str">
        <f t="shared" si="93"/>
        <v/>
      </c>
      <c r="JH22" s="11" t="str">
        <f t="shared" si="94"/>
        <v/>
      </c>
      <c r="JI22" s="11" t="str">
        <f t="shared" si="95"/>
        <v/>
      </c>
      <c r="JJ22" s="36"/>
      <c r="JK22" s="36"/>
      <c r="JL22" s="36"/>
      <c r="JM22" s="36"/>
      <c r="JN22" s="36"/>
      <c r="JO22" s="36"/>
      <c r="JP22" s="36"/>
      <c r="JQ22" s="36"/>
      <c r="JR22" s="36"/>
      <c r="JS22" s="36"/>
      <c r="JT22" s="36"/>
      <c r="JU22" s="36"/>
      <c r="JV22" s="36"/>
      <c r="JW22" s="36"/>
      <c r="JX22" s="36"/>
      <c r="JY22" s="14" t="str">
        <f t="shared" si="96"/>
        <v/>
      </c>
      <c r="JZ22" s="14" t="str">
        <f t="shared" si="97"/>
        <v/>
      </c>
      <c r="KA22" s="14" t="str">
        <f t="shared" si="98"/>
        <v/>
      </c>
      <c r="KB22" s="14" t="str">
        <f t="shared" si="99"/>
        <v/>
      </c>
      <c r="KC22" s="14" t="str">
        <f t="shared" si="100"/>
        <v/>
      </c>
      <c r="KD22" s="14" t="str">
        <f t="shared" si="101"/>
        <v/>
      </c>
      <c r="KE22" s="14" t="str">
        <f t="shared" si="102"/>
        <v/>
      </c>
      <c r="KF22" s="35"/>
      <c r="KG22" s="35"/>
      <c r="KH22" s="35"/>
      <c r="KI22" s="35"/>
      <c r="KJ22" s="35"/>
      <c r="KK22" s="35"/>
      <c r="KL22" s="35"/>
      <c r="KM22" s="35"/>
      <c r="KN22" s="35"/>
      <c r="KO22" s="35"/>
      <c r="KP22" s="35"/>
      <c r="KQ22" s="35"/>
      <c r="KR22" s="35"/>
      <c r="KS22" s="35"/>
      <c r="KT22" s="35"/>
      <c r="KU22" s="11" t="str">
        <f t="shared" si="103"/>
        <v/>
      </c>
      <c r="KV22" s="11" t="str">
        <f t="shared" si="104"/>
        <v/>
      </c>
      <c r="KW22" s="11" t="str">
        <f t="shared" si="105"/>
        <v/>
      </c>
      <c r="KX22" s="11" t="str">
        <f t="shared" si="106"/>
        <v/>
      </c>
      <c r="KY22" s="11" t="str">
        <f t="shared" si="107"/>
        <v/>
      </c>
      <c r="KZ22" s="11" t="str">
        <f t="shared" si="108"/>
        <v/>
      </c>
      <c r="LA22" s="11" t="str">
        <f t="shared" si="109"/>
        <v/>
      </c>
      <c r="LB22" s="36"/>
      <c r="LC22" s="36"/>
      <c r="LD22" s="36"/>
      <c r="LE22" s="36"/>
      <c r="LF22" s="36"/>
      <c r="LG22" s="36"/>
      <c r="LH22" s="36"/>
      <c r="LI22" s="36"/>
      <c r="LJ22" s="36"/>
      <c r="LK22" s="36"/>
      <c r="LL22" s="36"/>
      <c r="LM22" s="36"/>
      <c r="LN22" s="36"/>
      <c r="LO22" s="36"/>
      <c r="LP22" s="36"/>
      <c r="LQ22" s="14" t="str">
        <f t="shared" si="110"/>
        <v/>
      </c>
      <c r="LR22" s="14" t="str">
        <f t="shared" si="111"/>
        <v/>
      </c>
      <c r="LS22" s="14" t="str">
        <f t="shared" si="112"/>
        <v/>
      </c>
      <c r="LT22" s="14" t="str">
        <f t="shared" si="113"/>
        <v/>
      </c>
      <c r="LU22" s="14" t="str">
        <f t="shared" si="114"/>
        <v/>
      </c>
      <c r="LV22" s="14" t="str">
        <f t="shared" si="115"/>
        <v/>
      </c>
      <c r="LW22" s="14" t="str">
        <f t="shared" si="116"/>
        <v/>
      </c>
      <c r="LX22" s="35"/>
      <c r="LY22" s="35"/>
      <c r="LZ22" s="35"/>
      <c r="MA22" s="35"/>
      <c r="MB22" s="35"/>
      <c r="MC22" s="35"/>
      <c r="MD22" s="35"/>
      <c r="ME22" s="35"/>
      <c r="MF22" s="35"/>
      <c r="MG22" s="35"/>
      <c r="MH22" s="35"/>
      <c r="MI22" s="35"/>
      <c r="MJ22" s="35"/>
      <c r="MK22" s="35"/>
      <c r="ML22" s="35"/>
      <c r="MM22" s="11" t="str">
        <f t="shared" si="117"/>
        <v/>
      </c>
      <c r="MN22" s="11" t="str">
        <f t="shared" si="118"/>
        <v/>
      </c>
      <c r="MO22" s="11" t="str">
        <f t="shared" si="119"/>
        <v/>
      </c>
      <c r="MP22" s="11" t="str">
        <f t="shared" si="120"/>
        <v/>
      </c>
      <c r="MQ22" s="11" t="str">
        <f t="shared" si="121"/>
        <v/>
      </c>
      <c r="MR22" s="11" t="str">
        <f t="shared" si="122"/>
        <v/>
      </c>
      <c r="MS22" s="11" t="str">
        <f t="shared" si="123"/>
        <v/>
      </c>
      <c r="MT22" s="36"/>
      <c r="MU22" s="36"/>
      <c r="MV22" s="36"/>
      <c r="MW22" s="36"/>
      <c r="MX22" s="36"/>
      <c r="MY22" s="36"/>
      <c r="MZ22" s="36"/>
      <c r="NA22" s="36"/>
      <c r="NB22" s="36"/>
      <c r="NC22" s="36"/>
      <c r="ND22" s="36"/>
      <c r="NE22" s="36"/>
      <c r="NF22" s="36"/>
      <c r="NG22" s="36"/>
      <c r="NH22" s="36"/>
      <c r="NI22" s="14" t="str">
        <f t="shared" si="124"/>
        <v/>
      </c>
      <c r="NJ22" s="14" t="str">
        <f t="shared" si="125"/>
        <v/>
      </c>
      <c r="NK22" s="14" t="str">
        <f t="shared" si="126"/>
        <v/>
      </c>
      <c r="NL22" s="14" t="str">
        <f t="shared" si="127"/>
        <v/>
      </c>
      <c r="NM22" s="14" t="str">
        <f t="shared" si="128"/>
        <v/>
      </c>
      <c r="NN22" s="14" t="str">
        <f t="shared" si="129"/>
        <v/>
      </c>
      <c r="NO22" s="14" t="str">
        <f t="shared" si="130"/>
        <v/>
      </c>
      <c r="NP22" s="61">
        <f t="shared" si="131"/>
        <v>7.1</v>
      </c>
      <c r="NQ22" s="61">
        <f t="shared" si="132"/>
        <v>4.75</v>
      </c>
      <c r="NR22" s="61">
        <f t="shared" si="133"/>
        <v>1.35</v>
      </c>
      <c r="NS22" s="61">
        <f t="shared" si="134"/>
        <v>7.4524999999999997</v>
      </c>
      <c r="NT22" s="61">
        <f t="shared" si="135"/>
        <v>0</v>
      </c>
      <c r="NU22" s="61">
        <f t="shared" si="136"/>
        <v>2.9</v>
      </c>
      <c r="NV22" s="61">
        <f t="shared" si="137"/>
        <v>2.25</v>
      </c>
      <c r="NW22" s="61">
        <f t="shared" si="138"/>
        <v>2.4</v>
      </c>
      <c r="NX22" s="61">
        <f t="shared" si="139"/>
        <v>3.7349999999999999</v>
      </c>
      <c r="NY22" s="61">
        <f t="shared" si="140"/>
        <v>0</v>
      </c>
      <c r="NZ22" s="61">
        <f t="shared" si="141"/>
        <v>0</v>
      </c>
      <c r="OA22" s="61">
        <f t="shared" si="142"/>
        <v>0</v>
      </c>
      <c r="OB22" s="61">
        <f t="shared" si="143"/>
        <v>0</v>
      </c>
      <c r="OC22" s="61">
        <f t="shared" si="144"/>
        <v>0</v>
      </c>
      <c r="OD22" s="61">
        <f t="shared" si="145"/>
        <v>0</v>
      </c>
      <c r="OE22" s="61">
        <f t="shared" si="146"/>
        <v>5.05</v>
      </c>
      <c r="OF22" s="61">
        <f t="shared" si="147"/>
        <v>4.4000000000000004</v>
      </c>
      <c r="OG22" s="61">
        <f t="shared" si="148"/>
        <v>4.25</v>
      </c>
      <c r="OH22" s="61">
        <f t="shared" si="149"/>
        <v>7.085</v>
      </c>
      <c r="OI22" s="61">
        <f t="shared" si="150"/>
        <v>0.55000000000000004</v>
      </c>
      <c r="OJ22" s="72" t="s">
        <v>52</v>
      </c>
      <c r="OK22" s="11">
        <f t="shared" si="151"/>
        <v>20.6525</v>
      </c>
      <c r="OL22" s="11">
        <f t="shared" si="152"/>
        <v>2.4</v>
      </c>
      <c r="OM22" s="11">
        <f t="shared" si="153"/>
        <v>11.285</v>
      </c>
      <c r="ON22" s="11" t="str">
        <f t="shared" si="154"/>
        <v/>
      </c>
      <c r="OO22" s="11" t="str">
        <f t="shared" si="155"/>
        <v/>
      </c>
      <c r="OP22" s="11">
        <f t="shared" si="156"/>
        <v>31.9375</v>
      </c>
      <c r="OQ22" s="11">
        <f t="shared" si="157"/>
        <v>4.25</v>
      </c>
      <c r="OR22" s="11">
        <f t="shared" ref="OR22" si="182">IF(SUM(OE22:OH22)-OI22&gt;0,SUM(OE22:OH22)-OI22,"")</f>
        <v>20.234999999999999</v>
      </c>
      <c r="OS22" s="11">
        <f t="shared" ref="OS22" si="183">IF(SUM(OP22,OR22)&gt;0,SUM(OP22,OR22),"")</f>
        <v>52.172499999999999</v>
      </c>
    </row>
    <row r="23" spans="1:409" x14ac:dyDescent="0.2">
      <c r="A23" s="5" t="str" cm="1">
        <f t="array" ref="A23">IF(AND(G23&lt;&gt;"",H23&lt;&gt;""),SUMPRODUCT((G$4:G$24&lt;&gt;"")*(H$4:H$24&lt;&gt;"")*(E$4:E$24&gt;E23))+1,IF(H23&lt;&gt;"",SUMPRODUCT((I$4:I$24="No DD")*(E$4:E$24&gt;E23))+1+SUMPRODUCT((G$4:G$24&lt;&gt;"")*(H$4:H$24&lt;&gt;"")),""))</f>
        <v/>
      </c>
      <c r="B23" s="8" t="s">
        <v>81</v>
      </c>
      <c r="C23" s="4" t="s">
        <v>6</v>
      </c>
      <c r="D23" s="26">
        <v>2004</v>
      </c>
      <c r="E23" s="15">
        <f t="shared" si="0"/>
        <v>58.11999999999999</v>
      </c>
      <c r="F23" s="3" t="str">
        <f t="shared" si="1"/>
        <v/>
      </c>
      <c r="G23" s="115" t="str">
        <f t="shared" si="2"/>
        <v/>
      </c>
      <c r="H23" s="115" t="str">
        <f t="shared" si="3"/>
        <v/>
      </c>
      <c r="I23" s="116" t="str">
        <f t="shared" si="4"/>
        <v/>
      </c>
      <c r="J23" s="3" t="str">
        <f t="shared" si="5"/>
        <v/>
      </c>
      <c r="K23" s="14">
        <f t="shared" si="6"/>
        <v>66.36999999999999</v>
      </c>
      <c r="L23" s="14" t="str">
        <f t="shared" si="7"/>
        <v>2021 2nd Virtual Technical Trial</v>
      </c>
      <c r="M23" s="14">
        <f t="shared" si="8"/>
        <v>0</v>
      </c>
      <c r="N23" s="14" t="str">
        <f t="shared" si="9"/>
        <v/>
      </c>
      <c r="O23" s="14">
        <f t="shared" si="10"/>
        <v>37.489999999999995</v>
      </c>
      <c r="P23" s="14" t="str">
        <f t="shared" si="11"/>
        <v>2021 2nd Virtual Technical Trial</v>
      </c>
      <c r="Q23" s="14">
        <f>IF(COUNT(AS23,AU23,AX23,BW23,BY23,CB23,DA23,DC23,DF23)&gt;1,LARGE((AS23,AU23,AX23,BW23,BY23,CB23,DA23,DC23,DF23),2),0)</f>
        <v>20.63</v>
      </c>
      <c r="R23" s="14" t="str">
        <f t="shared" si="12"/>
        <v>2021 2nd Virtual Technical Trial</v>
      </c>
      <c r="S23" s="14" t="str">
        <f t="shared" si="13"/>
        <v/>
      </c>
      <c r="T23" s="24" t="str">
        <f t="shared" si="14"/>
        <v/>
      </c>
      <c r="U23" s="14" t="str">
        <f t="shared" si="15"/>
        <v/>
      </c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72"/>
      <c r="AQ23" s="11" t="str">
        <f t="shared" si="16"/>
        <v/>
      </c>
      <c r="AR23" s="11" t="str">
        <f t="shared" si="17"/>
        <v/>
      </c>
      <c r="AS23" s="11" t="str">
        <f t="shared" si="18"/>
        <v/>
      </c>
      <c r="AT23" s="11" t="str">
        <f t="shared" si="19"/>
        <v/>
      </c>
      <c r="AU23" s="11" t="str">
        <f t="shared" si="20"/>
        <v/>
      </c>
      <c r="AV23" s="11" t="str">
        <f t="shared" si="21"/>
        <v/>
      </c>
      <c r="AW23" s="11" t="str">
        <f t="shared" si="22"/>
        <v/>
      </c>
      <c r="AX23" s="11" t="str">
        <f t="shared" si="23"/>
        <v/>
      </c>
      <c r="AY23" s="11" t="str">
        <f t="shared" si="24"/>
        <v/>
      </c>
      <c r="AZ23" s="67">
        <v>16.899999999999999</v>
      </c>
      <c r="BA23" s="67">
        <v>9.4</v>
      </c>
      <c r="BB23" s="67">
        <v>3.5</v>
      </c>
      <c r="BC23" s="67">
        <v>15.94</v>
      </c>
      <c r="BD23" s="67">
        <v>0</v>
      </c>
      <c r="BE23" s="67">
        <v>1.6</v>
      </c>
      <c r="BF23" s="67">
        <v>0.9</v>
      </c>
      <c r="BG23" s="67">
        <v>1.7</v>
      </c>
      <c r="BH23" s="67">
        <v>1.615</v>
      </c>
      <c r="BI23" s="67">
        <v>0</v>
      </c>
      <c r="BJ23" s="67">
        <v>5.8</v>
      </c>
      <c r="BK23" s="67">
        <v>3.4</v>
      </c>
      <c r="BL23" s="67">
        <v>5.4</v>
      </c>
      <c r="BM23" s="67">
        <v>6.03</v>
      </c>
      <c r="BN23" s="67">
        <v>0</v>
      </c>
      <c r="BO23" s="67">
        <v>10.9</v>
      </c>
      <c r="BP23" s="67">
        <v>6.5</v>
      </c>
      <c r="BQ23" s="67">
        <v>9.4</v>
      </c>
      <c r="BR23" s="67">
        <v>10.69</v>
      </c>
      <c r="BS23" s="67">
        <v>0</v>
      </c>
      <c r="BT23" s="73"/>
      <c r="BU23" s="14">
        <f t="shared" si="25"/>
        <v>45.739999999999995</v>
      </c>
      <c r="BV23" s="14">
        <f t="shared" si="26"/>
        <v>1.7</v>
      </c>
      <c r="BW23" s="14">
        <f t="shared" si="27"/>
        <v>5.8150000000000004</v>
      </c>
      <c r="BX23" s="14">
        <f t="shared" si="28"/>
        <v>5.4</v>
      </c>
      <c r="BY23" s="14">
        <f t="shared" si="29"/>
        <v>20.63</v>
      </c>
      <c r="BZ23" s="14">
        <f t="shared" si="30"/>
        <v>66.36999999999999</v>
      </c>
      <c r="CA23" s="14">
        <f t="shared" si="31"/>
        <v>9.4</v>
      </c>
      <c r="CB23" s="14">
        <f t="shared" si="32"/>
        <v>37.489999999999995</v>
      </c>
      <c r="CC23" s="14">
        <f t="shared" si="33"/>
        <v>103.85999999999999</v>
      </c>
      <c r="CD23" s="61"/>
      <c r="CE23" s="61"/>
      <c r="CF23" s="61"/>
      <c r="CG23" s="61"/>
      <c r="CH23" s="61"/>
      <c r="CI23" s="61"/>
      <c r="CJ23" s="61"/>
      <c r="CK23" s="61"/>
      <c r="CL23" s="61"/>
      <c r="CM23" s="61"/>
      <c r="CN23" s="61"/>
      <c r="CO23" s="61"/>
      <c r="CP23" s="61"/>
      <c r="CQ23" s="61"/>
      <c r="CR23" s="61"/>
      <c r="CS23" s="61"/>
      <c r="CT23" s="61"/>
      <c r="CU23" s="61"/>
      <c r="CV23" s="61"/>
      <c r="CW23" s="61"/>
      <c r="CX23" s="72"/>
      <c r="CY23" s="11" t="str">
        <f t="shared" si="34"/>
        <v/>
      </c>
      <c r="CZ23" s="11" t="str">
        <f t="shared" si="35"/>
        <v/>
      </c>
      <c r="DA23" s="11" t="str">
        <f t="shared" si="36"/>
        <v/>
      </c>
      <c r="DB23" s="11" t="str">
        <f t="shared" si="37"/>
        <v/>
      </c>
      <c r="DC23" s="11" t="str">
        <f t="shared" si="38"/>
        <v/>
      </c>
      <c r="DD23" s="11" t="str">
        <f t="shared" si="39"/>
        <v/>
      </c>
      <c r="DE23" s="11" t="str">
        <f t="shared" si="40"/>
        <v/>
      </c>
      <c r="DF23" s="11" t="str">
        <f t="shared" si="41"/>
        <v/>
      </c>
      <c r="DG23" s="11" t="str">
        <f t="shared" si="42"/>
        <v/>
      </c>
      <c r="DH23" s="23" t="str">
        <f t="shared" si="43"/>
        <v/>
      </c>
      <c r="DI23" s="23" t="str">
        <f t="shared" si="44"/>
        <v/>
      </c>
      <c r="DJ23" s="23" t="str">
        <f t="shared" si="45"/>
        <v/>
      </c>
      <c r="DK23" s="23" t="str">
        <f t="shared" si="46"/>
        <v/>
      </c>
      <c r="DL23" s="35"/>
      <c r="DM23" s="35"/>
      <c r="DN23" s="35"/>
      <c r="DO23" s="35"/>
      <c r="DP23" s="35"/>
      <c r="DQ23" s="35"/>
      <c r="DR23" s="35"/>
      <c r="DS23" s="35"/>
      <c r="DT23" s="35"/>
      <c r="DU23" s="35"/>
      <c r="DV23" s="35"/>
      <c r="DW23" s="35"/>
      <c r="DX23" s="35"/>
      <c r="DY23" s="35"/>
      <c r="DZ23" s="35"/>
      <c r="EA23" s="11" t="str">
        <f t="shared" si="47"/>
        <v/>
      </c>
      <c r="EB23" s="11" t="str">
        <f t="shared" si="48"/>
        <v/>
      </c>
      <c r="EC23" s="11" t="str">
        <f t="shared" si="49"/>
        <v/>
      </c>
      <c r="ED23" s="11" t="str">
        <f t="shared" si="50"/>
        <v/>
      </c>
      <c r="EE23" s="11" t="str">
        <f t="shared" si="51"/>
        <v/>
      </c>
      <c r="EF23" s="11" t="str">
        <f t="shared" si="52"/>
        <v/>
      </c>
      <c r="EG23" s="11" t="str">
        <f t="shared" si="53"/>
        <v/>
      </c>
      <c r="EH23" s="36"/>
      <c r="EI23" s="36"/>
      <c r="EJ23" s="36"/>
      <c r="EK23" s="36"/>
      <c r="EL23" s="36"/>
      <c r="EM23" s="36"/>
      <c r="EN23" s="36"/>
      <c r="EO23" s="36"/>
      <c r="EP23" s="36"/>
      <c r="EQ23" s="36"/>
      <c r="ER23" s="36"/>
      <c r="ES23" s="36"/>
      <c r="ET23" s="36"/>
      <c r="EU23" s="36"/>
      <c r="EV23" s="36"/>
      <c r="EW23" s="14" t="str">
        <f t="shared" si="54"/>
        <v/>
      </c>
      <c r="EX23" s="14" t="str">
        <f t="shared" si="55"/>
        <v/>
      </c>
      <c r="EY23" s="14" t="str">
        <f t="shared" si="56"/>
        <v/>
      </c>
      <c r="EZ23" s="14" t="str">
        <f t="shared" si="57"/>
        <v/>
      </c>
      <c r="FA23" s="14" t="str">
        <f t="shared" si="58"/>
        <v/>
      </c>
      <c r="FB23" s="14" t="str">
        <f t="shared" si="59"/>
        <v/>
      </c>
      <c r="FC23" s="14" t="str">
        <f t="shared" si="60"/>
        <v/>
      </c>
      <c r="FD23" s="35"/>
      <c r="FE23" s="35"/>
      <c r="FF23" s="35"/>
      <c r="FG23" s="35"/>
      <c r="FH23" s="35"/>
      <c r="FI23" s="35"/>
      <c r="FJ23" s="35"/>
      <c r="FK23" s="35"/>
      <c r="FL23" s="35"/>
      <c r="FM23" s="35"/>
      <c r="FN23" s="35"/>
      <c r="FO23" s="35"/>
      <c r="FP23" s="35"/>
      <c r="FQ23" s="35"/>
      <c r="FR23" s="35"/>
      <c r="FS23" s="11" t="str">
        <f t="shared" si="61"/>
        <v/>
      </c>
      <c r="FT23" s="11" t="str">
        <f t="shared" si="62"/>
        <v/>
      </c>
      <c r="FU23" s="11" t="str">
        <f t="shared" si="63"/>
        <v/>
      </c>
      <c r="FV23" s="11" t="str">
        <f t="shared" si="64"/>
        <v/>
      </c>
      <c r="FW23" s="11" t="str">
        <f t="shared" si="65"/>
        <v/>
      </c>
      <c r="FX23" s="11" t="str">
        <f t="shared" si="66"/>
        <v/>
      </c>
      <c r="FY23" s="11" t="str">
        <f t="shared" si="67"/>
        <v/>
      </c>
      <c r="FZ23" s="36"/>
      <c r="GA23" s="36"/>
      <c r="GB23" s="36"/>
      <c r="GC23" s="36"/>
      <c r="GD23" s="36"/>
      <c r="GE23" s="36"/>
      <c r="GF23" s="36"/>
      <c r="GG23" s="36"/>
      <c r="GH23" s="36"/>
      <c r="GI23" s="36"/>
      <c r="GJ23" s="36"/>
      <c r="GK23" s="36"/>
      <c r="GL23" s="36"/>
      <c r="GM23" s="36"/>
      <c r="GN23" s="36"/>
      <c r="GO23" s="14" t="str">
        <f t="shared" si="68"/>
        <v/>
      </c>
      <c r="GP23" s="14" t="str">
        <f t="shared" si="69"/>
        <v/>
      </c>
      <c r="GQ23" s="14" t="str">
        <f t="shared" si="70"/>
        <v/>
      </c>
      <c r="GR23" s="14" t="str">
        <f t="shared" si="71"/>
        <v/>
      </c>
      <c r="GS23" s="14" t="str">
        <f t="shared" si="72"/>
        <v/>
      </c>
      <c r="GT23" s="14" t="str">
        <f t="shared" si="73"/>
        <v/>
      </c>
      <c r="GU23" s="14" t="str">
        <f t="shared" si="74"/>
        <v/>
      </c>
      <c r="GV23" s="35"/>
      <c r="GW23" s="35"/>
      <c r="GX23" s="35"/>
      <c r="GY23" s="35"/>
      <c r="GZ23" s="35"/>
      <c r="HA23" s="35"/>
      <c r="HB23" s="35"/>
      <c r="HC23" s="35"/>
      <c r="HD23" s="35"/>
      <c r="HE23" s="35"/>
      <c r="HF23" s="35"/>
      <c r="HG23" s="35"/>
      <c r="HH23" s="35"/>
      <c r="HI23" s="35"/>
      <c r="HJ23" s="35"/>
      <c r="HK23" s="11" t="str">
        <f t="shared" si="75"/>
        <v/>
      </c>
      <c r="HL23" s="11" t="str">
        <f t="shared" si="76"/>
        <v/>
      </c>
      <c r="HM23" s="11" t="str">
        <f t="shared" si="77"/>
        <v/>
      </c>
      <c r="HN23" s="11" t="str">
        <f t="shared" si="78"/>
        <v/>
      </c>
      <c r="HO23" s="11" t="str">
        <f t="shared" si="79"/>
        <v/>
      </c>
      <c r="HP23" s="11" t="str">
        <f t="shared" si="80"/>
        <v/>
      </c>
      <c r="HQ23" s="11" t="str">
        <f t="shared" si="81"/>
        <v/>
      </c>
      <c r="HR23" s="36"/>
      <c r="HS23" s="36"/>
      <c r="HT23" s="36"/>
      <c r="HU23" s="36"/>
      <c r="HV23" s="36"/>
      <c r="HW23" s="36"/>
      <c r="HX23" s="36"/>
      <c r="HY23" s="36"/>
      <c r="HZ23" s="36"/>
      <c r="IA23" s="36"/>
      <c r="IB23" s="36"/>
      <c r="IC23" s="36"/>
      <c r="ID23" s="36"/>
      <c r="IE23" s="36"/>
      <c r="IF23" s="36"/>
      <c r="IG23" s="14" t="str">
        <f t="shared" si="82"/>
        <v/>
      </c>
      <c r="IH23" s="14" t="str">
        <f t="shared" si="83"/>
        <v/>
      </c>
      <c r="II23" s="14" t="str">
        <f t="shared" si="84"/>
        <v/>
      </c>
      <c r="IJ23" s="14" t="str">
        <f t="shared" si="85"/>
        <v/>
      </c>
      <c r="IK23" s="14" t="str">
        <f t="shared" si="86"/>
        <v/>
      </c>
      <c r="IL23" s="14" t="str">
        <f t="shared" si="87"/>
        <v/>
      </c>
      <c r="IM23" s="14" t="str">
        <f t="shared" si="88"/>
        <v/>
      </c>
      <c r="IN23" s="35"/>
      <c r="IO23" s="35"/>
      <c r="IP23" s="35"/>
      <c r="IQ23" s="35"/>
      <c r="IR23" s="35"/>
      <c r="IS23" s="35"/>
      <c r="IT23" s="35"/>
      <c r="IU23" s="35"/>
      <c r="IV23" s="35"/>
      <c r="IW23" s="35"/>
      <c r="IX23" s="35"/>
      <c r="IY23" s="35"/>
      <c r="IZ23" s="35"/>
      <c r="JA23" s="35"/>
      <c r="JB23" s="35"/>
      <c r="JC23" s="11" t="str">
        <f t="shared" si="89"/>
        <v/>
      </c>
      <c r="JD23" s="11" t="str">
        <f t="shared" si="90"/>
        <v/>
      </c>
      <c r="JE23" s="11" t="str">
        <f t="shared" si="91"/>
        <v/>
      </c>
      <c r="JF23" s="11" t="str">
        <f t="shared" si="92"/>
        <v/>
      </c>
      <c r="JG23" s="11" t="str">
        <f t="shared" si="93"/>
        <v/>
      </c>
      <c r="JH23" s="11" t="str">
        <f t="shared" si="94"/>
        <v/>
      </c>
      <c r="JI23" s="11" t="str">
        <f t="shared" si="95"/>
        <v/>
      </c>
      <c r="JJ23" s="36"/>
      <c r="JK23" s="36"/>
      <c r="JL23" s="36"/>
      <c r="JM23" s="36"/>
      <c r="JN23" s="36"/>
      <c r="JO23" s="36"/>
      <c r="JP23" s="36"/>
      <c r="JQ23" s="36"/>
      <c r="JR23" s="36"/>
      <c r="JS23" s="36"/>
      <c r="JT23" s="36"/>
      <c r="JU23" s="36"/>
      <c r="JV23" s="36"/>
      <c r="JW23" s="36"/>
      <c r="JX23" s="36"/>
      <c r="JY23" s="14" t="str">
        <f t="shared" si="96"/>
        <v/>
      </c>
      <c r="JZ23" s="14" t="str">
        <f t="shared" si="97"/>
        <v/>
      </c>
      <c r="KA23" s="14" t="str">
        <f t="shared" si="98"/>
        <v/>
      </c>
      <c r="KB23" s="14" t="str">
        <f t="shared" si="99"/>
        <v/>
      </c>
      <c r="KC23" s="14" t="str">
        <f t="shared" si="100"/>
        <v/>
      </c>
      <c r="KD23" s="14" t="str">
        <f t="shared" si="101"/>
        <v/>
      </c>
      <c r="KE23" s="14" t="str">
        <f t="shared" si="102"/>
        <v/>
      </c>
      <c r="KF23" s="35"/>
      <c r="KG23" s="35"/>
      <c r="KH23" s="35"/>
      <c r="KI23" s="35"/>
      <c r="KJ23" s="35"/>
      <c r="KK23" s="35"/>
      <c r="KL23" s="35"/>
      <c r="KM23" s="35"/>
      <c r="KN23" s="35"/>
      <c r="KO23" s="35"/>
      <c r="KP23" s="35"/>
      <c r="KQ23" s="35"/>
      <c r="KR23" s="35"/>
      <c r="KS23" s="35"/>
      <c r="KT23" s="35"/>
      <c r="KU23" s="11" t="str">
        <f t="shared" si="103"/>
        <v/>
      </c>
      <c r="KV23" s="11" t="str">
        <f t="shared" si="104"/>
        <v/>
      </c>
      <c r="KW23" s="11" t="str">
        <f t="shared" si="105"/>
        <v/>
      </c>
      <c r="KX23" s="11" t="str">
        <f t="shared" si="106"/>
        <v/>
      </c>
      <c r="KY23" s="11" t="str">
        <f t="shared" si="107"/>
        <v/>
      </c>
      <c r="KZ23" s="11" t="str">
        <f t="shared" si="108"/>
        <v/>
      </c>
      <c r="LA23" s="11" t="str">
        <f t="shared" si="109"/>
        <v/>
      </c>
      <c r="LB23" s="36"/>
      <c r="LC23" s="36"/>
      <c r="LD23" s="36"/>
      <c r="LE23" s="36"/>
      <c r="LF23" s="36"/>
      <c r="LG23" s="36"/>
      <c r="LH23" s="36"/>
      <c r="LI23" s="36"/>
      <c r="LJ23" s="36"/>
      <c r="LK23" s="36"/>
      <c r="LL23" s="36"/>
      <c r="LM23" s="36"/>
      <c r="LN23" s="36"/>
      <c r="LO23" s="36"/>
      <c r="LP23" s="36"/>
      <c r="LQ23" s="14" t="str">
        <f t="shared" si="110"/>
        <v/>
      </c>
      <c r="LR23" s="14" t="str">
        <f t="shared" si="111"/>
        <v/>
      </c>
      <c r="LS23" s="14" t="str">
        <f t="shared" si="112"/>
        <v/>
      </c>
      <c r="LT23" s="14" t="str">
        <f t="shared" si="113"/>
        <v/>
      </c>
      <c r="LU23" s="14" t="str">
        <f t="shared" si="114"/>
        <v/>
      </c>
      <c r="LV23" s="14" t="str">
        <f t="shared" si="115"/>
        <v/>
      </c>
      <c r="LW23" s="14" t="str">
        <f t="shared" si="116"/>
        <v/>
      </c>
      <c r="LX23" s="35"/>
      <c r="LY23" s="35"/>
      <c r="LZ23" s="35"/>
      <c r="MA23" s="35"/>
      <c r="MB23" s="35"/>
      <c r="MC23" s="35"/>
      <c r="MD23" s="35"/>
      <c r="ME23" s="35"/>
      <c r="MF23" s="35"/>
      <c r="MG23" s="35"/>
      <c r="MH23" s="35"/>
      <c r="MI23" s="35"/>
      <c r="MJ23" s="35"/>
      <c r="MK23" s="35"/>
      <c r="ML23" s="35"/>
      <c r="MM23" s="11" t="str">
        <f t="shared" si="117"/>
        <v/>
      </c>
      <c r="MN23" s="11" t="str">
        <f t="shared" si="118"/>
        <v/>
      </c>
      <c r="MO23" s="11" t="str">
        <f t="shared" si="119"/>
        <v/>
      </c>
      <c r="MP23" s="11" t="str">
        <f t="shared" si="120"/>
        <v/>
      </c>
      <c r="MQ23" s="11" t="str">
        <f t="shared" si="121"/>
        <v/>
      </c>
      <c r="MR23" s="11" t="str">
        <f t="shared" si="122"/>
        <v/>
      </c>
      <c r="MS23" s="11" t="str">
        <f t="shared" si="123"/>
        <v/>
      </c>
      <c r="MT23" s="36"/>
      <c r="MU23" s="36"/>
      <c r="MV23" s="36"/>
      <c r="MW23" s="36"/>
      <c r="MX23" s="36"/>
      <c r="MY23" s="36"/>
      <c r="MZ23" s="36"/>
      <c r="NA23" s="36"/>
      <c r="NB23" s="36"/>
      <c r="NC23" s="36"/>
      <c r="ND23" s="36"/>
      <c r="NE23" s="36"/>
      <c r="NF23" s="36"/>
      <c r="NG23" s="36"/>
      <c r="NH23" s="36"/>
      <c r="NI23" s="14" t="str">
        <f t="shared" si="124"/>
        <v/>
      </c>
      <c r="NJ23" s="14" t="str">
        <f t="shared" si="125"/>
        <v/>
      </c>
      <c r="NK23" s="14" t="str">
        <f t="shared" si="126"/>
        <v/>
      </c>
      <c r="NL23" s="14" t="str">
        <f t="shared" si="127"/>
        <v/>
      </c>
      <c r="NM23" s="14" t="str">
        <f t="shared" si="128"/>
        <v/>
      </c>
      <c r="NN23" s="14" t="str">
        <f t="shared" si="129"/>
        <v/>
      </c>
      <c r="NO23" s="14" t="str">
        <f t="shared" si="130"/>
        <v/>
      </c>
      <c r="NP23" s="61">
        <f t="shared" si="131"/>
        <v>8.4499999999999993</v>
      </c>
      <c r="NQ23" s="61">
        <f t="shared" si="132"/>
        <v>4.7</v>
      </c>
      <c r="NR23" s="61">
        <f t="shared" si="133"/>
        <v>1.75</v>
      </c>
      <c r="NS23" s="61">
        <f t="shared" si="134"/>
        <v>7.97</v>
      </c>
      <c r="NT23" s="61">
        <f t="shared" si="135"/>
        <v>0</v>
      </c>
      <c r="NU23" s="61">
        <f t="shared" si="136"/>
        <v>0.8</v>
      </c>
      <c r="NV23" s="61">
        <f t="shared" si="137"/>
        <v>0.45</v>
      </c>
      <c r="NW23" s="61">
        <f t="shared" si="138"/>
        <v>0.85</v>
      </c>
      <c r="NX23" s="61">
        <f t="shared" si="139"/>
        <v>0.8075</v>
      </c>
      <c r="NY23" s="61">
        <f t="shared" si="140"/>
        <v>0</v>
      </c>
      <c r="NZ23" s="61">
        <f t="shared" si="141"/>
        <v>2.9</v>
      </c>
      <c r="OA23" s="61">
        <f t="shared" si="142"/>
        <v>1.7</v>
      </c>
      <c r="OB23" s="61">
        <f t="shared" si="143"/>
        <v>2.7</v>
      </c>
      <c r="OC23" s="61">
        <f t="shared" si="144"/>
        <v>3.0150000000000001</v>
      </c>
      <c r="OD23" s="61">
        <f t="shared" si="145"/>
        <v>0</v>
      </c>
      <c r="OE23" s="61">
        <f t="shared" si="146"/>
        <v>5.45</v>
      </c>
      <c r="OF23" s="61">
        <f t="shared" si="147"/>
        <v>3.25</v>
      </c>
      <c r="OG23" s="61">
        <f t="shared" si="148"/>
        <v>4.7</v>
      </c>
      <c r="OH23" s="61">
        <f t="shared" si="149"/>
        <v>5.3449999999999998</v>
      </c>
      <c r="OI23" s="61">
        <f t="shared" si="150"/>
        <v>0</v>
      </c>
      <c r="OJ23" s="72" t="s">
        <v>52</v>
      </c>
      <c r="OK23" s="11">
        <f t="shared" si="151"/>
        <v>22.869999999999997</v>
      </c>
      <c r="OL23" s="11">
        <f t="shared" si="152"/>
        <v>0.85</v>
      </c>
      <c r="OM23" s="11">
        <f t="shared" si="153"/>
        <v>2.9075000000000002</v>
      </c>
      <c r="ON23" s="11">
        <f t="shared" si="154"/>
        <v>2.7</v>
      </c>
      <c r="OO23" s="11">
        <f t="shared" si="155"/>
        <v>10.315</v>
      </c>
      <c r="OP23" s="11">
        <f t="shared" si="156"/>
        <v>33.184999999999995</v>
      </c>
      <c r="OQ23" s="11">
        <f t="shared" si="157"/>
        <v>4.7</v>
      </c>
      <c r="OR23" s="11">
        <f t="shared" ref="OR23" si="184">IF(SUM(OE23:OH23)-OI23&gt;0,SUM(OE23:OH23)-OI23,"")</f>
        <v>18.744999999999997</v>
      </c>
      <c r="OS23" s="11">
        <f t="shared" ref="OS23" si="185">IF(SUM(OP23,OR23)&gt;0,SUM(OP23,OR23),"")</f>
        <v>51.929999999999993</v>
      </c>
    </row>
    <row r="24" spans="1:409" x14ac:dyDescent="0.2">
      <c r="B24" s="6"/>
      <c r="D24" s="1"/>
    </row>
    <row r="25" spans="1:409" x14ac:dyDescent="0.2">
      <c r="H25" s="115"/>
      <c r="J25" s="115"/>
    </row>
    <row r="26" spans="1:409" x14ac:dyDescent="0.2">
      <c r="B26" s="62" t="s">
        <v>50</v>
      </c>
      <c r="C26" s="49"/>
      <c r="H26" s="3"/>
      <c r="AR26" s="114"/>
      <c r="AS26" s="114"/>
      <c r="AT26" s="114"/>
      <c r="AW26" s="47"/>
      <c r="AY26" s="56">
        <v>13.5</v>
      </c>
      <c r="BV26" s="114"/>
      <c r="BW26" s="114"/>
      <c r="BX26" s="114"/>
      <c r="CA26" s="47"/>
      <c r="CC26" s="56">
        <v>13.5</v>
      </c>
      <c r="CZ26" s="114"/>
      <c r="DA26" s="114"/>
      <c r="DB26" s="114"/>
      <c r="DE26" s="47"/>
      <c r="DG26" s="56">
        <v>13.5</v>
      </c>
      <c r="EA26" s="49"/>
      <c r="EE26" s="47"/>
      <c r="EG26" s="56">
        <v>13.5</v>
      </c>
      <c r="EW26" s="49"/>
      <c r="FA26" s="47"/>
      <c r="FC26" s="56">
        <v>13.5</v>
      </c>
      <c r="FS26" s="49"/>
      <c r="FW26" s="47"/>
      <c r="FY26" s="56">
        <v>13.5</v>
      </c>
      <c r="GO26" s="49"/>
      <c r="GS26" s="47"/>
      <c r="GU26" s="56">
        <v>13.5</v>
      </c>
      <c r="HK26" s="49"/>
      <c r="HO26" s="47"/>
      <c r="HQ26" s="56">
        <v>13.5</v>
      </c>
      <c r="IG26" s="49"/>
      <c r="IK26" s="47"/>
      <c r="IM26" s="56">
        <v>13.5</v>
      </c>
      <c r="JC26" s="49"/>
      <c r="JG26" s="47"/>
      <c r="JI26" s="56">
        <v>13.5</v>
      </c>
      <c r="JY26" s="49"/>
      <c r="KC26" s="47"/>
      <c r="KE26" s="56">
        <v>13.5</v>
      </c>
      <c r="KU26" s="49"/>
      <c r="KY26" s="47"/>
      <c r="LA26" s="56">
        <v>13.5</v>
      </c>
      <c r="LQ26" s="49"/>
      <c r="LU26" s="47"/>
      <c r="LW26" s="56">
        <v>13.5</v>
      </c>
      <c r="MM26" s="49"/>
      <c r="MQ26" s="47"/>
      <c r="MS26" s="56">
        <v>13.5</v>
      </c>
      <c r="NI26" s="49"/>
      <c r="NM26" s="47"/>
      <c r="NO26" s="56">
        <v>13.5</v>
      </c>
    </row>
    <row r="27" spans="1:409" hidden="1" x14ac:dyDescent="0.2">
      <c r="B27" s="83" t="s">
        <v>49</v>
      </c>
      <c r="C27" s="49"/>
      <c r="AR27" s="114"/>
      <c r="AS27" s="114"/>
      <c r="AT27" s="114"/>
      <c r="AW27" s="47"/>
      <c r="AY27" s="98">
        <v>1000</v>
      </c>
      <c r="BV27" s="114"/>
      <c r="BW27" s="114"/>
      <c r="BX27" s="114"/>
      <c r="CA27" s="47"/>
      <c r="CC27" s="98">
        <v>1000</v>
      </c>
      <c r="CZ27" s="114"/>
      <c r="DA27" s="114"/>
      <c r="DB27" s="114"/>
      <c r="DE27" s="47"/>
      <c r="DG27" s="98">
        <v>1000</v>
      </c>
      <c r="EA27" s="49"/>
      <c r="EE27" s="47"/>
      <c r="EG27" s="98">
        <v>1000</v>
      </c>
      <c r="EW27" s="49"/>
      <c r="FA27" s="47"/>
      <c r="FC27" s="98">
        <v>1000</v>
      </c>
      <c r="FS27" s="49"/>
      <c r="FW27" s="47"/>
      <c r="FY27" s="98">
        <v>1000</v>
      </c>
      <c r="GO27" s="49"/>
      <c r="GS27" s="47"/>
      <c r="GU27" s="98">
        <v>1000</v>
      </c>
      <c r="HK27" s="49"/>
      <c r="HO27" s="47"/>
      <c r="HQ27" s="98">
        <v>1000</v>
      </c>
      <c r="IG27" s="49"/>
      <c r="IK27" s="47"/>
      <c r="IM27" s="98">
        <v>1000</v>
      </c>
      <c r="JC27" s="49"/>
      <c r="JG27" s="47"/>
      <c r="JI27" s="98">
        <v>1000</v>
      </c>
      <c r="JY27" s="49"/>
      <c r="KC27" s="47"/>
      <c r="KE27" s="98">
        <v>1000</v>
      </c>
      <c r="KU27" s="49"/>
      <c r="KY27" s="47"/>
      <c r="LA27" s="98">
        <v>1000</v>
      </c>
      <c r="LQ27" s="49"/>
      <c r="LU27" s="47"/>
      <c r="LW27" s="98">
        <v>1000</v>
      </c>
      <c r="MM27" s="49"/>
      <c r="MQ27" s="47"/>
      <c r="MS27" s="98">
        <v>1000</v>
      </c>
      <c r="NI27" s="49"/>
      <c r="NM27" s="47"/>
      <c r="NO27" s="98">
        <v>1000</v>
      </c>
    </row>
    <row r="28" spans="1:409" hidden="1" x14ac:dyDescent="0.2">
      <c r="A28" s="49"/>
      <c r="B28" s="84" t="s">
        <v>62</v>
      </c>
      <c r="C28" s="49"/>
      <c r="AR28" s="114"/>
      <c r="AS28" s="114"/>
      <c r="AT28" s="114"/>
      <c r="AV28" s="47"/>
      <c r="AW28" s="47"/>
      <c r="AX28" s="47"/>
      <c r="AY28" s="86">
        <v>1000</v>
      </c>
      <c r="BV28" s="114"/>
      <c r="BW28" s="114"/>
      <c r="BX28" s="114"/>
      <c r="CA28" s="47"/>
      <c r="CC28" s="86">
        <v>1000</v>
      </c>
      <c r="CZ28" s="114"/>
      <c r="DA28" s="114"/>
      <c r="DB28" s="114"/>
      <c r="DD28" s="47"/>
      <c r="DE28" s="47"/>
      <c r="DF28" s="47"/>
      <c r="DG28" s="86">
        <v>1000</v>
      </c>
      <c r="EA28" s="49"/>
      <c r="EE28" s="47"/>
      <c r="EG28" s="86">
        <v>1000</v>
      </c>
      <c r="EW28" s="49"/>
      <c r="FA28" s="47"/>
      <c r="FC28" s="86">
        <v>1000</v>
      </c>
      <c r="FS28" s="49"/>
      <c r="FW28" s="47"/>
      <c r="FY28" s="86">
        <v>1000</v>
      </c>
      <c r="GO28" s="49"/>
      <c r="GS28" s="47"/>
      <c r="GU28" s="86">
        <v>1000</v>
      </c>
      <c r="HK28" s="49"/>
      <c r="HO28" s="47"/>
      <c r="HQ28" s="86">
        <v>1000</v>
      </c>
      <c r="IG28" s="49"/>
      <c r="IK28" s="47"/>
      <c r="IM28" s="86">
        <v>1000</v>
      </c>
      <c r="JC28" s="49"/>
      <c r="JG28" s="47"/>
      <c r="JI28" s="86">
        <v>1000</v>
      </c>
      <c r="JY28" s="49"/>
      <c r="KC28" s="47"/>
      <c r="KE28" s="86">
        <v>1000</v>
      </c>
      <c r="KU28" s="49"/>
      <c r="KY28" s="47"/>
      <c r="LA28" s="86">
        <v>1000</v>
      </c>
      <c r="LQ28" s="49"/>
      <c r="LU28" s="47"/>
      <c r="LW28" s="86">
        <v>1000</v>
      </c>
      <c r="MM28" s="49"/>
      <c r="MQ28" s="47"/>
      <c r="MS28" s="86">
        <v>1000</v>
      </c>
      <c r="NI28" s="49"/>
      <c r="NM28" s="47"/>
      <c r="NO28" s="86">
        <v>1000</v>
      </c>
    </row>
    <row r="29" spans="1:409" hidden="1" x14ac:dyDescent="0.2">
      <c r="A29" s="49"/>
      <c r="B29" s="110" t="s">
        <v>70</v>
      </c>
      <c r="C29" s="49"/>
      <c r="AR29" s="114"/>
      <c r="AS29" s="114"/>
      <c r="AT29" s="114"/>
      <c r="AV29" s="47"/>
      <c r="AW29" s="47"/>
      <c r="AX29" s="47"/>
      <c r="AY29" s="111">
        <v>1000</v>
      </c>
      <c r="BV29" s="114"/>
      <c r="BW29" s="114"/>
      <c r="BX29" s="114"/>
      <c r="CA29" s="47"/>
      <c r="CC29" s="111">
        <v>1000</v>
      </c>
      <c r="CZ29" s="114"/>
      <c r="DA29" s="114"/>
      <c r="DB29" s="114"/>
      <c r="DD29" s="47"/>
      <c r="DE29" s="47"/>
      <c r="DF29" s="47"/>
      <c r="DG29" s="111">
        <v>1000</v>
      </c>
      <c r="EA29" s="49"/>
      <c r="EE29" s="47"/>
      <c r="EG29" s="111">
        <v>1000</v>
      </c>
      <c r="EW29" s="49"/>
      <c r="FA29" s="47"/>
      <c r="FC29" s="111">
        <v>1000</v>
      </c>
      <c r="FS29" s="49"/>
      <c r="FW29" s="47"/>
      <c r="FY29" s="111">
        <v>1000</v>
      </c>
      <c r="GO29" s="49"/>
      <c r="GS29" s="47"/>
      <c r="GU29" s="111">
        <v>1000</v>
      </c>
      <c r="HK29" s="49"/>
      <c r="HO29" s="47"/>
      <c r="HQ29" s="111">
        <v>1000</v>
      </c>
      <c r="IG29" s="49"/>
      <c r="IK29" s="47"/>
      <c r="IM29" s="111">
        <v>1000</v>
      </c>
      <c r="JC29" s="49"/>
      <c r="JG29" s="47"/>
      <c r="JI29" s="111">
        <v>1000</v>
      </c>
      <c r="JY29" s="49"/>
      <c r="KC29" s="47"/>
      <c r="KE29" s="111">
        <v>1000</v>
      </c>
      <c r="KU29" s="49"/>
      <c r="KY29" s="47"/>
      <c r="LA29" s="111">
        <v>1000</v>
      </c>
      <c r="LQ29" s="49"/>
      <c r="LU29" s="47"/>
      <c r="LW29" s="111">
        <v>1000</v>
      </c>
      <c r="MM29" s="49"/>
      <c r="MQ29" s="47"/>
      <c r="MS29" s="111">
        <v>1000</v>
      </c>
      <c r="NI29" s="49"/>
      <c r="NM29" s="47"/>
      <c r="NO29" s="111">
        <v>1000</v>
      </c>
    </row>
    <row r="30" spans="1:409" x14ac:dyDescent="0.2">
      <c r="A30" s="49"/>
      <c r="B30" s="108" t="s">
        <v>47</v>
      </c>
      <c r="C30" s="49"/>
      <c r="O30" s="2"/>
      <c r="AR30" s="114"/>
      <c r="AS30" s="114"/>
      <c r="AT30" s="114"/>
      <c r="AV30" s="47"/>
      <c r="AW30" s="47"/>
      <c r="AX30" s="47"/>
      <c r="AY30" s="109">
        <v>52.8</v>
      </c>
      <c r="BV30" s="114"/>
      <c r="BW30" s="114"/>
      <c r="BX30" s="114"/>
      <c r="CA30" s="47"/>
      <c r="CC30" s="109">
        <v>52.8</v>
      </c>
      <c r="CZ30" s="114"/>
      <c r="DA30" s="114"/>
      <c r="DB30" s="114"/>
      <c r="DD30" s="47"/>
      <c r="DE30" s="47"/>
      <c r="DF30" s="47"/>
      <c r="DG30" s="109">
        <v>52.8</v>
      </c>
      <c r="EA30" s="49"/>
      <c r="EE30" s="47"/>
      <c r="EG30" s="109">
        <v>52.8</v>
      </c>
      <c r="EW30" s="49"/>
      <c r="FA30" s="47"/>
      <c r="FC30" s="109">
        <v>52.8</v>
      </c>
      <c r="FS30" s="49"/>
      <c r="FW30" s="47"/>
      <c r="FY30" s="109">
        <v>52.8</v>
      </c>
      <c r="GO30" s="49"/>
      <c r="GS30" s="47"/>
      <c r="GU30" s="109">
        <v>52.8</v>
      </c>
      <c r="HK30" s="49"/>
      <c r="HO30" s="47"/>
      <c r="HQ30" s="109">
        <v>52.8</v>
      </c>
      <c r="IG30" s="49"/>
      <c r="IK30" s="47"/>
      <c r="IM30" s="109">
        <v>52.8</v>
      </c>
      <c r="JC30" s="49"/>
      <c r="JG30" s="47"/>
      <c r="JI30" s="109">
        <v>52.8</v>
      </c>
      <c r="JY30" s="49"/>
      <c r="KC30" s="47"/>
      <c r="KE30" s="109">
        <v>52.8</v>
      </c>
      <c r="KU30" s="49"/>
      <c r="KY30" s="47"/>
      <c r="LA30" s="109">
        <v>52.8</v>
      </c>
      <c r="LQ30" s="49"/>
      <c r="LU30" s="47"/>
      <c r="LW30" s="109">
        <v>52.8</v>
      </c>
      <c r="MM30" s="49"/>
      <c r="MQ30" s="47"/>
      <c r="MS30" s="109">
        <v>52.8</v>
      </c>
      <c r="NI30" s="49"/>
      <c r="NM30" s="47"/>
      <c r="NO30" s="109">
        <v>52.8</v>
      </c>
    </row>
    <row r="31" spans="1:409" hidden="1" x14ac:dyDescent="0.2">
      <c r="A31" s="49"/>
      <c r="B31" s="64" t="s">
        <v>48</v>
      </c>
      <c r="C31" s="49"/>
      <c r="O31" s="2"/>
      <c r="AR31" s="114"/>
      <c r="AS31" s="114"/>
      <c r="AT31" s="114"/>
      <c r="AV31" s="47"/>
      <c r="AW31" s="47"/>
      <c r="AX31" s="47"/>
      <c r="AY31" s="58">
        <v>1000</v>
      </c>
      <c r="BV31" s="114"/>
      <c r="BW31" s="114"/>
      <c r="BX31" s="114"/>
      <c r="CA31" s="47"/>
      <c r="CC31" s="58">
        <v>1000</v>
      </c>
      <c r="CZ31" s="114"/>
      <c r="DA31" s="114"/>
      <c r="DB31" s="114"/>
      <c r="DD31" s="47"/>
      <c r="DE31" s="47"/>
      <c r="DF31" s="47"/>
      <c r="DG31" s="58">
        <v>1000</v>
      </c>
      <c r="EA31" s="49"/>
      <c r="EE31" s="47"/>
      <c r="EG31" s="58">
        <v>1000</v>
      </c>
      <c r="EW31" s="49"/>
      <c r="FA31" s="47"/>
      <c r="FC31" s="58">
        <v>1000</v>
      </c>
      <c r="FS31" s="49"/>
      <c r="FW31" s="47"/>
      <c r="FY31" s="58">
        <v>1000</v>
      </c>
      <c r="GO31" s="49"/>
      <c r="GS31" s="47"/>
      <c r="GU31" s="58">
        <v>1000</v>
      </c>
      <c r="HK31" s="49"/>
      <c r="HO31" s="47"/>
      <c r="HQ31" s="58">
        <v>1000</v>
      </c>
      <c r="IG31" s="49"/>
      <c r="IK31" s="47"/>
      <c r="IM31" s="58">
        <v>1000</v>
      </c>
      <c r="JC31" s="49"/>
      <c r="JG31" s="47"/>
      <c r="JI31" s="58">
        <v>1000</v>
      </c>
      <c r="JY31" s="49"/>
      <c r="KC31" s="47"/>
      <c r="KE31" s="58">
        <v>1000</v>
      </c>
      <c r="KU31" s="49"/>
      <c r="KY31" s="47"/>
      <c r="LA31" s="58">
        <v>1000</v>
      </c>
      <c r="LQ31" s="49"/>
      <c r="LU31" s="47"/>
      <c r="LW31" s="58">
        <v>1000</v>
      </c>
      <c r="MM31" s="49"/>
      <c r="MQ31" s="47"/>
      <c r="MS31" s="58">
        <v>1000</v>
      </c>
      <c r="NI31" s="49"/>
      <c r="NM31" s="47"/>
      <c r="NO31" s="58">
        <v>1000</v>
      </c>
    </row>
    <row r="32" spans="1:409" hidden="1" x14ac:dyDescent="0.2">
      <c r="A32" s="49"/>
      <c r="B32" s="106" t="s">
        <v>60</v>
      </c>
      <c r="C32" s="49"/>
      <c r="AR32" s="114"/>
      <c r="AS32" s="114"/>
      <c r="AT32" s="114"/>
      <c r="AV32" s="47"/>
      <c r="AW32" s="47"/>
      <c r="AX32" s="47"/>
      <c r="AY32" s="107">
        <v>1000</v>
      </c>
      <c r="BV32" s="114"/>
      <c r="BW32" s="114"/>
      <c r="BX32" s="114"/>
      <c r="CA32" s="47"/>
      <c r="CB32" s="117"/>
      <c r="CC32" s="107">
        <v>1000</v>
      </c>
      <c r="CZ32" s="114"/>
      <c r="DA32" s="114"/>
      <c r="DB32" s="114"/>
      <c r="DD32" s="47"/>
      <c r="DE32" s="47"/>
      <c r="DF32" s="47"/>
      <c r="DG32" s="107">
        <v>1000</v>
      </c>
      <c r="EA32" s="49"/>
      <c r="EE32" s="47"/>
      <c r="EF32" s="117"/>
      <c r="EG32" s="107">
        <v>1000</v>
      </c>
      <c r="EW32" s="49"/>
      <c r="FA32" s="47"/>
      <c r="FC32" s="107">
        <v>1000</v>
      </c>
      <c r="FS32" s="49"/>
      <c r="FW32" s="47"/>
      <c r="FY32" s="107">
        <v>1000</v>
      </c>
      <c r="GO32" s="49"/>
      <c r="GS32" s="47"/>
      <c r="GT32" s="117"/>
      <c r="GU32" s="107">
        <v>1000</v>
      </c>
      <c r="HK32" s="49"/>
      <c r="HO32" s="47"/>
      <c r="HP32" s="117"/>
      <c r="HQ32" s="107">
        <v>1000</v>
      </c>
      <c r="IG32" s="49"/>
      <c r="IK32" s="47"/>
      <c r="IL32" s="117"/>
      <c r="IM32" s="107">
        <v>1000</v>
      </c>
      <c r="JC32" s="49"/>
      <c r="JG32" s="47"/>
      <c r="JI32" s="107">
        <v>1000</v>
      </c>
      <c r="JY32" s="49"/>
      <c r="KC32" s="47"/>
      <c r="KE32" s="107">
        <v>1000</v>
      </c>
      <c r="KU32" s="49"/>
      <c r="KY32" s="47"/>
      <c r="LA32" s="107">
        <v>1000</v>
      </c>
      <c r="LQ32" s="49"/>
      <c r="LU32" s="47"/>
      <c r="LW32" s="107">
        <v>1000</v>
      </c>
      <c r="MM32" s="49"/>
      <c r="MQ32" s="47"/>
      <c r="MS32" s="107">
        <v>1000</v>
      </c>
      <c r="NI32" s="49"/>
      <c r="NM32" s="47"/>
      <c r="NO32" s="107">
        <v>1000</v>
      </c>
    </row>
    <row r="33" spans="1:379" hidden="1" x14ac:dyDescent="0.2">
      <c r="A33" s="49"/>
      <c r="B33" s="66" t="s">
        <v>34</v>
      </c>
      <c r="C33" s="49"/>
      <c r="O33" s="2"/>
      <c r="AR33" s="114"/>
      <c r="AS33" s="114"/>
      <c r="AT33" s="114"/>
      <c r="AV33" s="47"/>
      <c r="AW33" s="47"/>
      <c r="AX33" s="47"/>
      <c r="AY33" s="60">
        <v>1000</v>
      </c>
      <c r="BV33" s="114"/>
      <c r="BW33" s="114"/>
      <c r="BX33" s="114"/>
      <c r="CA33" s="47"/>
      <c r="CC33" s="60">
        <v>1000</v>
      </c>
      <c r="CZ33" s="114"/>
      <c r="DA33" s="114"/>
      <c r="DB33" s="114"/>
      <c r="DD33" s="47"/>
      <c r="DE33" s="47"/>
      <c r="DF33" s="47"/>
      <c r="DG33" s="60">
        <v>1000</v>
      </c>
      <c r="EA33" s="49"/>
      <c r="EE33" s="47"/>
      <c r="EG33" s="60">
        <v>1000</v>
      </c>
      <c r="EW33" s="49"/>
      <c r="FA33" s="47"/>
      <c r="FC33" s="60">
        <v>1000</v>
      </c>
      <c r="FS33" s="49"/>
      <c r="FW33" s="47"/>
      <c r="FY33" s="60">
        <v>1000</v>
      </c>
      <c r="GO33" s="49"/>
      <c r="GS33" s="47"/>
      <c r="GU33" s="60">
        <v>1000</v>
      </c>
      <c r="HK33" s="49"/>
      <c r="HO33" s="47"/>
      <c r="HQ33" s="60">
        <v>1000</v>
      </c>
      <c r="IG33" s="49"/>
      <c r="IK33" s="47"/>
      <c r="IL33" s="117"/>
      <c r="IM33" s="60">
        <v>1000</v>
      </c>
      <c r="JC33" s="49"/>
      <c r="JG33" s="47"/>
      <c r="JI33" s="60">
        <v>1000</v>
      </c>
      <c r="JY33" s="49"/>
      <c r="KC33" s="47"/>
      <c r="KE33" s="60">
        <v>1000</v>
      </c>
      <c r="KU33" s="49"/>
      <c r="KY33" s="47"/>
      <c r="LA33" s="60">
        <v>1000</v>
      </c>
      <c r="LQ33" s="49"/>
      <c r="LU33" s="47"/>
      <c r="LW33" s="60">
        <v>1000</v>
      </c>
      <c r="MM33" s="49"/>
      <c r="MQ33" s="47"/>
      <c r="MS33" s="60">
        <v>1000</v>
      </c>
      <c r="NI33" s="49"/>
      <c r="NM33" s="47"/>
      <c r="NO33" s="60">
        <v>1000</v>
      </c>
    </row>
    <row r="34" spans="1:379" x14ac:dyDescent="0.2">
      <c r="B34" s="74" t="s">
        <v>53</v>
      </c>
      <c r="C34" s="2"/>
      <c r="AU34" s="47"/>
      <c r="AV34" s="47"/>
      <c r="AX34" s="47"/>
      <c r="DC34" s="47"/>
      <c r="DD34" s="47"/>
      <c r="DF34" s="47"/>
      <c r="EX34" s="47"/>
    </row>
    <row r="35" spans="1:379" x14ac:dyDescent="0.2">
      <c r="A35" s="49"/>
      <c r="B35" s="49"/>
      <c r="C35" s="48"/>
      <c r="AQ35" s="47"/>
      <c r="AR35" s="47"/>
      <c r="AS35" s="47"/>
      <c r="AT35" s="47"/>
      <c r="AU35" s="47"/>
      <c r="AV35" s="47"/>
      <c r="AX35" s="47"/>
      <c r="CY35" s="47"/>
      <c r="CZ35" s="47"/>
      <c r="DA35" s="47"/>
      <c r="DB35" s="47"/>
      <c r="DC35" s="47"/>
      <c r="DD35" s="47"/>
      <c r="DF35" s="47"/>
    </row>
    <row r="36" spans="1:379" ht="17" x14ac:dyDescent="0.2">
      <c r="A36" s="49"/>
      <c r="B36" s="49"/>
      <c r="C36" s="48"/>
      <c r="S36" s="18"/>
      <c r="T36" s="18"/>
      <c r="AQ36" s="47"/>
      <c r="AR36" s="47"/>
      <c r="AS36" s="47"/>
      <c r="AT36" s="47"/>
      <c r="AU36" s="47"/>
      <c r="AV36" s="47"/>
      <c r="AX36" s="47"/>
      <c r="CY36" s="47"/>
      <c r="CZ36" s="47"/>
      <c r="DA36" s="47"/>
      <c r="DB36" s="47"/>
      <c r="DC36" s="47"/>
      <c r="DD36" s="47"/>
      <c r="DF36" s="47"/>
    </row>
    <row r="37" spans="1:379" ht="17" x14ac:dyDescent="0.2">
      <c r="A37" s="49"/>
      <c r="B37" s="49"/>
      <c r="C37" s="48"/>
      <c r="S37" s="18"/>
      <c r="AQ37" s="47"/>
      <c r="AR37" s="47"/>
      <c r="AS37" s="47"/>
      <c r="AT37" s="47"/>
      <c r="AU37" s="47"/>
      <c r="AV37" s="47"/>
      <c r="AX37" s="47"/>
      <c r="CY37" s="47"/>
      <c r="CZ37" s="47"/>
      <c r="DA37" s="47"/>
      <c r="DB37" s="47"/>
      <c r="DC37" s="47"/>
      <c r="DD37" s="47"/>
      <c r="DF37" s="47"/>
    </row>
    <row r="38" spans="1:379" ht="17" x14ac:dyDescent="0.2">
      <c r="S38" s="18"/>
      <c r="T38" s="18"/>
      <c r="AQ38" s="47"/>
      <c r="AR38" s="47"/>
      <c r="AS38" s="47"/>
      <c r="AT38" s="47"/>
      <c r="AU38" s="47"/>
      <c r="AV38" s="47"/>
      <c r="AX38" s="47"/>
      <c r="CY38" s="47"/>
      <c r="CZ38" s="47"/>
      <c r="DA38" s="47"/>
      <c r="DB38" s="47"/>
      <c r="DC38" s="47"/>
      <c r="DD38" s="47"/>
      <c r="DF38" s="47"/>
    </row>
    <row r="39" spans="1:379" ht="17" x14ac:dyDescent="0.2">
      <c r="S39" s="18"/>
      <c r="T39" s="18"/>
      <c r="AQ39" s="47"/>
      <c r="AR39" s="47"/>
      <c r="AS39" s="47"/>
      <c r="AT39" s="47"/>
      <c r="AU39" s="47"/>
      <c r="AV39" s="47"/>
      <c r="AX39" s="47"/>
      <c r="CY39" s="47"/>
      <c r="CZ39" s="47"/>
      <c r="DA39" s="47"/>
      <c r="DB39" s="47"/>
      <c r="DC39" s="47"/>
      <c r="DD39" s="47"/>
      <c r="DF39" s="47"/>
    </row>
    <row r="40" spans="1:379" ht="17" x14ac:dyDescent="0.2">
      <c r="S40" s="18"/>
      <c r="T40" s="18"/>
      <c r="AQ40" s="47"/>
      <c r="AR40" s="47"/>
      <c r="AS40" s="47"/>
      <c r="AT40" s="47"/>
      <c r="AU40" s="47"/>
      <c r="AV40" s="47"/>
      <c r="AX40" s="47"/>
      <c r="CY40" s="47"/>
      <c r="CZ40" s="47"/>
      <c r="DA40" s="47"/>
      <c r="DB40" s="47"/>
      <c r="DC40" s="47"/>
      <c r="DD40" s="47"/>
      <c r="DF40" s="47"/>
    </row>
    <row r="41" spans="1:379" ht="17" x14ac:dyDescent="0.2">
      <c r="S41" s="18"/>
      <c r="T41" s="18"/>
      <c r="U41" s="18"/>
    </row>
    <row r="42" spans="1:379" ht="17" x14ac:dyDescent="0.2">
      <c r="S42" s="18"/>
      <c r="T42" s="18"/>
      <c r="U42" s="18"/>
    </row>
    <row r="43" spans="1:379" ht="17" x14ac:dyDescent="0.2">
      <c r="S43" s="18"/>
      <c r="T43" s="18"/>
      <c r="U43" s="18"/>
    </row>
    <row r="44" spans="1:379" ht="17" x14ac:dyDescent="0.2">
      <c r="S44" s="18"/>
      <c r="T44" s="18"/>
      <c r="U44" s="18"/>
    </row>
    <row r="45" spans="1:379" ht="17" x14ac:dyDescent="0.2">
      <c r="S45" s="18"/>
      <c r="T45" s="18"/>
      <c r="U45" s="18"/>
    </row>
    <row r="46" spans="1:379" ht="17" x14ac:dyDescent="0.2">
      <c r="S46" s="18"/>
      <c r="T46" s="18"/>
      <c r="U46" s="18"/>
    </row>
    <row r="47" spans="1:379" ht="17" x14ac:dyDescent="0.2">
      <c r="S47" s="18"/>
      <c r="T47" s="18"/>
      <c r="U47" s="18"/>
    </row>
    <row r="48" spans="1:379" ht="17" x14ac:dyDescent="0.2">
      <c r="S48" s="18"/>
      <c r="T48" s="18"/>
      <c r="U48" s="18"/>
    </row>
    <row r="49" spans="19:21" ht="17" x14ac:dyDescent="0.2">
      <c r="S49" s="18"/>
      <c r="T49" s="18"/>
      <c r="U49" s="18"/>
    </row>
    <row r="50" spans="19:21" ht="17" x14ac:dyDescent="0.2">
      <c r="S50" s="18"/>
      <c r="T50" s="18"/>
      <c r="U50" s="18"/>
    </row>
    <row r="51" spans="19:21" ht="17" x14ac:dyDescent="0.2">
      <c r="S51" s="18"/>
      <c r="T51" s="18"/>
      <c r="U51" s="18"/>
    </row>
    <row r="52" spans="19:21" ht="17" x14ac:dyDescent="0.2">
      <c r="S52" s="18"/>
      <c r="T52" s="18"/>
      <c r="U52" s="18"/>
    </row>
    <row r="53" spans="19:21" ht="17" x14ac:dyDescent="0.2">
      <c r="S53" s="18"/>
      <c r="T53" s="18"/>
      <c r="U53" s="18"/>
    </row>
    <row r="54" spans="19:21" ht="17" x14ac:dyDescent="0.2">
      <c r="S54" s="18"/>
      <c r="T54" s="18"/>
      <c r="U54" s="18"/>
    </row>
    <row r="55" spans="19:21" ht="17" x14ac:dyDescent="0.2">
      <c r="S55" s="18"/>
      <c r="T55" s="18"/>
      <c r="U55" s="18"/>
    </row>
  </sheetData>
  <sheetProtection sheet="1" formatCells="0" formatColumns="0" formatRows="0"/>
  <autoFilter ref="A1:OQ10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6:OQ23">
      <sortCondition descending="1" ref="F1:F24"/>
    </sortState>
  </autoFilter>
  <sortState xmlns:xlrd2="http://schemas.microsoft.com/office/spreadsheetml/2017/richdata2" ref="A1:P3">
    <sortCondition ref="A1"/>
  </sortState>
  <mergeCells count="90">
    <mergeCell ref="FZ2:GD2"/>
    <mergeCell ref="FN2:FR2"/>
    <mergeCell ref="FI2:FM2"/>
    <mergeCell ref="EM2:EQ2"/>
    <mergeCell ref="FD1:FY1"/>
    <mergeCell ref="EH2:EL2"/>
    <mergeCell ref="EH1:FC1"/>
    <mergeCell ref="ER2:EV2"/>
    <mergeCell ref="FD2:FH2"/>
    <mergeCell ref="AZ1:CC1"/>
    <mergeCell ref="AZ2:BD2"/>
    <mergeCell ref="BJ2:BN2"/>
    <mergeCell ref="DV2:DZ2"/>
    <mergeCell ref="DQ2:DU2"/>
    <mergeCell ref="DL1:EG1"/>
    <mergeCell ref="BO2:BS2"/>
    <mergeCell ref="DL2:DP2"/>
    <mergeCell ref="DH1:DK1"/>
    <mergeCell ref="CD1:DG1"/>
    <mergeCell ref="CD2:CH2"/>
    <mergeCell ref="BE2:BI2"/>
    <mergeCell ref="CI2:CM2"/>
    <mergeCell ref="CN2:CR2"/>
    <mergeCell ref="CS2:CW2"/>
    <mergeCell ref="H1:H3"/>
    <mergeCell ref="I1:I3"/>
    <mergeCell ref="K1:K3"/>
    <mergeCell ref="M1:M3"/>
    <mergeCell ref="O1:O3"/>
    <mergeCell ref="L1:L3"/>
    <mergeCell ref="N1:N3"/>
    <mergeCell ref="P1:P3"/>
    <mergeCell ref="R1:R3"/>
    <mergeCell ref="V1:AY1"/>
    <mergeCell ref="AF2:AJ2"/>
    <mergeCell ref="AK2:AO2"/>
    <mergeCell ref="Q1:Q3"/>
    <mergeCell ref="S1:S3"/>
    <mergeCell ref="U1:U3"/>
    <mergeCell ref="T1:T3"/>
    <mergeCell ref="V2:Z2"/>
    <mergeCell ref="AA2:AE2"/>
    <mergeCell ref="A1:A3"/>
    <mergeCell ref="B1:B3"/>
    <mergeCell ref="C1:C3"/>
    <mergeCell ref="E1:E3"/>
    <mergeCell ref="G1:G3"/>
    <mergeCell ref="D1:D3"/>
    <mergeCell ref="F1:F3"/>
    <mergeCell ref="JJ2:JN2"/>
    <mergeCell ref="GJ2:GN2"/>
    <mergeCell ref="IX2:JB2"/>
    <mergeCell ref="IS2:IW2"/>
    <mergeCell ref="IN2:IR2"/>
    <mergeCell ref="HW2:IA2"/>
    <mergeCell ref="HR2:HV2"/>
    <mergeCell ref="HF2:HJ2"/>
    <mergeCell ref="HA2:HE2"/>
    <mergeCell ref="LL2:LP2"/>
    <mergeCell ref="MT1:NO1"/>
    <mergeCell ref="KF2:KJ2"/>
    <mergeCell ref="JT2:JX2"/>
    <mergeCell ref="JO2:JS2"/>
    <mergeCell ref="LX1:MS1"/>
    <mergeCell ref="ND2:NH2"/>
    <mergeCell ref="MY2:NC2"/>
    <mergeCell ref="MT2:MX2"/>
    <mergeCell ref="MH2:ML2"/>
    <mergeCell ref="MC2:MG2"/>
    <mergeCell ref="KP2:KT2"/>
    <mergeCell ref="KK2:KO2"/>
    <mergeCell ref="LB1:LW1"/>
    <mergeCell ref="LG2:LK2"/>
    <mergeCell ref="LB2:LF2"/>
    <mergeCell ref="NU2:NY2"/>
    <mergeCell ref="J1:J3"/>
    <mergeCell ref="NP1:OQ1"/>
    <mergeCell ref="NP2:NT2"/>
    <mergeCell ref="NZ2:OD2"/>
    <mergeCell ref="OE2:OI2"/>
    <mergeCell ref="GE2:GI2"/>
    <mergeCell ref="FZ1:GU1"/>
    <mergeCell ref="IN1:JI1"/>
    <mergeCell ref="GV1:HQ1"/>
    <mergeCell ref="HR1:IM1"/>
    <mergeCell ref="GV2:GZ2"/>
    <mergeCell ref="IB2:IF2"/>
    <mergeCell ref="JJ1:KE1"/>
    <mergeCell ref="KF1:LA1"/>
    <mergeCell ref="LX2:MB2"/>
  </mergeCells>
  <conditionalFormatting sqref="I1:I1048576">
    <cfRule type="containsText" dxfId="141" priority="5" operator="containsText" text="No DD">
      <formula>NOT(ISERROR(SEARCH("No DD",I1)))</formula>
    </cfRule>
    <cfRule type="containsText" dxfId="140" priority="6" operator="containsText" text="Merit">
      <formula>NOT(ISERROR(SEARCH("Merit",I1)))</formula>
    </cfRule>
    <cfRule type="containsText" dxfId="139" priority="7" operator="containsText" text="Excellence">
      <formula>NOT(ISERROR(SEARCH("Excellence",I1)))</formula>
    </cfRule>
    <cfRule type="containsText" dxfId="138" priority="8" operator="containsText" text="Worlds Team">
      <formula>NOT(ISERROR(SEARCH("Worlds Team",I1)))</formula>
    </cfRule>
    <cfRule type="containsText" dxfId="137" priority="9" operator="containsText" text="National Team">
      <formula>NOT(ISERROR(SEARCH("National Team",I1)))</formula>
    </cfRule>
  </conditionalFormatting>
  <conditionalFormatting sqref="V4:AY23">
    <cfRule type="expression" dxfId="136" priority="1" stopIfTrue="1">
      <formula>IF($AP4&lt;&gt;"",1,0)</formula>
    </cfRule>
  </conditionalFormatting>
  <conditionalFormatting sqref="AZ4:CC23">
    <cfRule type="expression" dxfId="135" priority="3" stopIfTrue="1">
      <formula>IF($BT4&lt;&gt;"",1,0)</formula>
    </cfRule>
  </conditionalFormatting>
  <conditionalFormatting sqref="N1:N1048576 L1:L1048576 P1:P1048576 R1:R1048576">
    <cfRule type="expression" dxfId="134" priority="10">
      <formula>IF(L1=$CD$1,1,0)</formula>
    </cfRule>
    <cfRule type="expression" dxfId="133" priority="11">
      <formula>IF(L1=$AZ$1,1,0)</formula>
    </cfRule>
    <cfRule type="expression" dxfId="132" priority="12">
      <formula>IF(L1=$V$1,1,0)</formula>
    </cfRule>
  </conditionalFormatting>
  <conditionalFormatting sqref="A1:A1048576">
    <cfRule type="expression" dxfId="131" priority="37339">
      <formula>AND(H1&lt;&gt;"",G1="")</formula>
    </cfRule>
  </conditionalFormatting>
  <conditionalFormatting sqref="CD4:DG23">
    <cfRule type="expression" dxfId="130" priority="4" stopIfTrue="1">
      <formula>IF($CX4&lt;&gt;"",1,0)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129" priority="45027" operator="between">
      <formula>AY$30</formula>
      <formula>1000</formula>
    </cfRule>
  </conditionalFormatting>
  <conditionalFormatting sqref="AX1:AX1048576 CB1:CB1048576 DF1:DF1048576 EF1:EF1048576 FB1:FB1048576 FX1:FX1048576 GT1:GT1048576 HP1:HP1048576 IL1:IL1048576 JH1:JH1048576 KD1:KD1048576 KZ1:KZ1048576 LV1:LV1048576 MR1:MR1048576 NN1:NN1048576">
    <cfRule type="cellIs" dxfId="128" priority="45072" operator="between">
      <formula>AY$30</formula>
      <formula>1000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127" priority="45117" operator="between">
      <formula>EG$29</formula>
      <formula>1000</formula>
    </cfRule>
    <cfRule type="cellIs" dxfId="126" priority="45118" operator="between">
      <formula>EG$28</formula>
      <formula>EG$29</formula>
    </cfRule>
    <cfRule type="cellIs" dxfId="125" priority="45119" operator="between">
      <formula>EG$27</formula>
      <formula>EG$28</formula>
    </cfRule>
    <cfRule type="cellIs" dxfId="124" priority="45120" operator="between">
      <formula>EG$26</formula>
      <formula>EG$27</formula>
    </cfRule>
  </conditionalFormatting>
  <conditionalFormatting sqref="AR1:AR1048576 BV1:BV1048576 CZ1:CZ1048576">
    <cfRule type="cellIs" dxfId="123" priority="45261" operator="between">
      <formula>AY$29</formula>
      <formula>1000</formula>
    </cfRule>
    <cfRule type="cellIs" dxfId="122" priority="45262" operator="between">
      <formula>AY$28</formula>
      <formula>AY$29</formula>
    </cfRule>
    <cfRule type="cellIs" dxfId="121" priority="45263" operator="between">
      <formula>AY$27</formula>
      <formula>AY$28</formula>
    </cfRule>
    <cfRule type="cellIs" dxfId="120" priority="45264" operator="between">
      <formula>AY$26</formula>
      <formula>AY$27</formula>
    </cfRule>
  </conditionalFormatting>
  <conditionalFormatting sqref="AS1:AS1048576 BW1:BW1048576 DA1:DA1048576">
    <cfRule type="cellIs" dxfId="119" priority="45297" operator="between">
      <formula>AY$30</formula>
      <formula>1000</formula>
    </cfRule>
  </conditionalFormatting>
  <conditionalFormatting sqref="AT1:AT1048576 BX1:BX1048576 DB1:DB1048576">
    <cfRule type="cellIs" dxfId="118" priority="45306" operator="between">
      <formula>AY$29</formula>
      <formula>1000</formula>
    </cfRule>
    <cfRule type="cellIs" dxfId="117" priority="45307" operator="between">
      <formula>AY$28</formula>
      <formula>AY$29</formula>
    </cfRule>
    <cfRule type="cellIs" dxfId="116" priority="45308" operator="between">
      <formula>AY$27</formula>
      <formula>AY$28</formula>
    </cfRule>
    <cfRule type="cellIs" dxfId="115" priority="45309" operator="between">
      <formula>AY$26</formula>
      <formula>AY$27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114" priority="45342" operator="between">
      <formula>AY$29</formula>
      <formula>1000</formula>
    </cfRule>
    <cfRule type="cellIs" dxfId="113" priority="45343" operator="between">
      <formula>AY$28</formula>
      <formula>AY$29</formula>
    </cfRule>
    <cfRule type="cellIs" dxfId="112" priority="45344" operator="between">
      <formula>AY$27</formula>
      <formula>AY$28</formula>
    </cfRule>
    <cfRule type="cellIs" dxfId="111" priority="45345" operator="between">
      <formula>AY$26</formula>
      <formula>AY$27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6EC19-4921-7641-9FF9-ED412E74ABF5}">
  <sheetPr codeName="Sheet2"/>
  <dimension ref="A1:OS5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hidden="1" customWidth="1"/>
    <col min="11" max="11" width="10.83203125" hidden="1" customWidth="1"/>
    <col min="12" max="12" width="20.5" hidden="1" customWidth="1"/>
    <col min="13" max="13" width="10.83203125" hidden="1" customWidth="1"/>
    <col min="14" max="14" width="20.5" hidden="1" customWidth="1"/>
    <col min="15" max="15" width="10.1640625" customWidth="1"/>
    <col min="16" max="16" width="20.5" bestFit="1" customWidth="1"/>
    <col min="17" max="17" width="10.83203125" customWidth="1"/>
    <col min="18" max="18" width="20.5" bestFit="1" customWidth="1"/>
    <col min="19" max="19" width="24.6640625" bestFit="1" customWidth="1"/>
    <col min="20" max="20" width="13" bestFit="1" customWidth="1"/>
    <col min="21" max="21" width="43.5" bestFit="1" customWidth="1"/>
    <col min="22" max="42" width="10.83203125" hidden="1" customWidth="1"/>
    <col min="43" max="51" width="10.83203125" customWidth="1"/>
    <col min="52" max="72" width="10.83203125" hidden="1" customWidth="1"/>
    <col min="73" max="81" width="10.83203125" customWidth="1"/>
    <col min="82" max="102" width="10.83203125" hidden="1" customWidth="1"/>
    <col min="103" max="111" width="10.83203125" customWidth="1"/>
    <col min="112" max="112" width="10.83203125" hidden="1" customWidth="1"/>
    <col min="113" max="113" width="14.33203125" customWidth="1"/>
    <col min="114" max="114" width="10.83203125" hidden="1" customWidth="1"/>
    <col min="115" max="115" width="14.33203125" customWidth="1"/>
    <col min="116" max="409" width="10.83203125" hidden="1" customWidth="1"/>
  </cols>
  <sheetData>
    <row r="1" spans="1:409" x14ac:dyDescent="0.2">
      <c r="A1" s="123" t="s">
        <v>1</v>
      </c>
      <c r="B1" s="123" t="s">
        <v>25</v>
      </c>
      <c r="C1" s="123" t="s">
        <v>0</v>
      </c>
      <c r="D1" s="123" t="s">
        <v>54</v>
      </c>
      <c r="E1" s="123" t="s">
        <v>2</v>
      </c>
      <c r="F1" s="123" t="s">
        <v>77</v>
      </c>
      <c r="G1" s="123" t="s">
        <v>75</v>
      </c>
      <c r="H1" s="123" t="s">
        <v>76</v>
      </c>
      <c r="I1" s="123" t="s">
        <v>9</v>
      </c>
      <c r="J1" s="123" t="s">
        <v>119</v>
      </c>
      <c r="K1" s="128" t="s">
        <v>10</v>
      </c>
      <c r="L1" s="128" t="s">
        <v>32</v>
      </c>
      <c r="M1" s="128" t="s">
        <v>11</v>
      </c>
      <c r="N1" s="128" t="s">
        <v>32</v>
      </c>
      <c r="O1" s="129" t="s">
        <v>90</v>
      </c>
      <c r="P1" s="128" t="s">
        <v>32</v>
      </c>
      <c r="Q1" s="129" t="s">
        <v>91</v>
      </c>
      <c r="R1" s="128" t="s">
        <v>32</v>
      </c>
      <c r="S1" s="127" t="s">
        <v>13</v>
      </c>
      <c r="T1" s="128" t="s">
        <v>33</v>
      </c>
      <c r="U1" s="128" t="s">
        <v>32</v>
      </c>
      <c r="V1" s="124" t="s">
        <v>69</v>
      </c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6" t="s">
        <v>120</v>
      </c>
      <c r="BA1" s="126"/>
      <c r="BB1" s="126"/>
      <c r="BC1" s="126"/>
      <c r="BD1" s="126"/>
      <c r="BE1" s="126"/>
      <c r="BF1" s="126"/>
      <c r="BG1" s="126"/>
      <c r="BH1" s="126"/>
      <c r="BI1" s="126"/>
      <c r="BJ1" s="126"/>
      <c r="BK1" s="126"/>
      <c r="BL1" s="126"/>
      <c r="BM1" s="126"/>
      <c r="BN1" s="126"/>
      <c r="BO1" s="126"/>
      <c r="BP1" s="126"/>
      <c r="BQ1" s="126"/>
      <c r="BR1" s="126"/>
      <c r="BS1" s="126"/>
      <c r="BT1" s="126"/>
      <c r="BU1" s="126"/>
      <c r="BV1" s="126"/>
      <c r="BW1" s="126"/>
      <c r="BX1" s="126"/>
      <c r="BY1" s="126"/>
      <c r="BZ1" s="126"/>
      <c r="CA1" s="126"/>
      <c r="CB1" s="126"/>
      <c r="CC1" s="126"/>
      <c r="CD1" s="124" t="s">
        <v>135</v>
      </c>
      <c r="CE1" s="124"/>
      <c r="CF1" s="124"/>
      <c r="CG1" s="124"/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4"/>
      <c r="DB1" s="124"/>
      <c r="DC1" s="124"/>
      <c r="DD1" s="124"/>
      <c r="DE1" s="124"/>
      <c r="DF1" s="124"/>
      <c r="DG1" s="124"/>
      <c r="DH1" s="130" t="s">
        <v>13</v>
      </c>
      <c r="DI1" s="130"/>
      <c r="DJ1" s="130"/>
      <c r="DK1" s="130"/>
      <c r="DL1" s="124"/>
      <c r="DM1" s="124"/>
      <c r="DN1" s="124"/>
      <c r="DO1" s="124"/>
      <c r="DP1" s="124"/>
      <c r="DQ1" s="124"/>
      <c r="DR1" s="124"/>
      <c r="DS1" s="124"/>
      <c r="DT1" s="124"/>
      <c r="DU1" s="124"/>
      <c r="DV1" s="124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6"/>
      <c r="EI1" s="126"/>
      <c r="EJ1" s="126"/>
      <c r="EK1" s="126"/>
      <c r="EL1" s="126"/>
      <c r="EM1" s="126"/>
      <c r="EN1" s="126"/>
      <c r="EO1" s="126"/>
      <c r="EP1" s="126"/>
      <c r="EQ1" s="126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4"/>
      <c r="FE1" s="124"/>
      <c r="FF1" s="124"/>
      <c r="FG1" s="124"/>
      <c r="FH1" s="124"/>
      <c r="FI1" s="124"/>
      <c r="FJ1" s="124"/>
      <c r="FK1" s="124"/>
      <c r="FL1" s="124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6"/>
      <c r="GA1" s="126"/>
      <c r="GB1" s="126"/>
      <c r="GC1" s="126"/>
      <c r="GD1" s="126"/>
      <c r="GE1" s="126"/>
      <c r="GF1" s="126"/>
      <c r="GG1" s="126"/>
      <c r="GH1" s="126"/>
      <c r="GI1" s="126"/>
      <c r="GJ1" s="126"/>
      <c r="GK1" s="126"/>
      <c r="GL1" s="126"/>
      <c r="GM1" s="126"/>
      <c r="GN1" s="126"/>
      <c r="GO1" s="126"/>
      <c r="GP1" s="126"/>
      <c r="GQ1" s="126"/>
      <c r="GR1" s="126"/>
      <c r="GS1" s="126"/>
      <c r="GT1" s="126"/>
      <c r="GU1" s="126"/>
      <c r="GV1" s="124"/>
      <c r="GW1" s="124"/>
      <c r="GX1" s="124"/>
      <c r="GY1" s="124"/>
      <c r="GZ1" s="124"/>
      <c r="HA1" s="124"/>
      <c r="HB1" s="124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6"/>
      <c r="HS1" s="126"/>
      <c r="HT1" s="126"/>
      <c r="HU1" s="126"/>
      <c r="HV1" s="126"/>
      <c r="HW1" s="126"/>
      <c r="HX1" s="126"/>
      <c r="HY1" s="126"/>
      <c r="HZ1" s="126"/>
      <c r="IA1" s="126"/>
      <c r="IB1" s="126"/>
      <c r="IC1" s="126"/>
      <c r="ID1" s="126"/>
      <c r="IE1" s="126"/>
      <c r="IF1" s="126"/>
      <c r="IG1" s="126"/>
      <c r="IH1" s="126"/>
      <c r="II1" s="126"/>
      <c r="IJ1" s="126"/>
      <c r="IK1" s="126"/>
      <c r="IL1" s="126"/>
      <c r="IM1" s="126"/>
      <c r="IN1" s="124"/>
      <c r="IO1" s="124"/>
      <c r="IP1" s="124"/>
      <c r="IQ1" s="124"/>
      <c r="IR1" s="124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6"/>
      <c r="JK1" s="126"/>
      <c r="JL1" s="126"/>
      <c r="JM1" s="126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4"/>
      <c r="KG1" s="124"/>
      <c r="KH1" s="124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6"/>
      <c r="LC1" s="126"/>
      <c r="LD1" s="126"/>
      <c r="LE1" s="126"/>
      <c r="LF1" s="126"/>
      <c r="LG1" s="126"/>
      <c r="LH1" s="126"/>
      <c r="LI1" s="126"/>
      <c r="LJ1" s="126"/>
      <c r="LK1" s="126"/>
      <c r="LL1" s="126"/>
      <c r="LM1" s="126"/>
      <c r="LN1" s="126"/>
      <c r="LO1" s="126"/>
      <c r="LP1" s="126"/>
      <c r="LQ1" s="126"/>
      <c r="LR1" s="126"/>
      <c r="LS1" s="126"/>
      <c r="LT1" s="126"/>
      <c r="LU1" s="126"/>
      <c r="LV1" s="126"/>
      <c r="LW1" s="126"/>
      <c r="LX1" s="124"/>
      <c r="LY1" s="124"/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6"/>
      <c r="MU1" s="126"/>
      <c r="MV1" s="126"/>
      <c r="MW1" s="126"/>
      <c r="MX1" s="126"/>
      <c r="MY1" s="126"/>
      <c r="MZ1" s="126"/>
      <c r="NA1" s="126"/>
      <c r="NB1" s="126"/>
      <c r="NC1" s="126"/>
      <c r="ND1" s="126"/>
      <c r="NE1" s="126"/>
      <c r="NF1" s="126"/>
      <c r="NG1" s="126"/>
      <c r="NH1" s="126"/>
      <c r="NI1" s="126"/>
      <c r="NJ1" s="126"/>
      <c r="NK1" s="126"/>
      <c r="NL1" s="126"/>
      <c r="NM1" s="126"/>
      <c r="NN1" s="126"/>
      <c r="NO1" s="126"/>
      <c r="NP1" s="124" t="s">
        <v>63</v>
      </c>
      <c r="NQ1" s="124"/>
      <c r="NR1" s="124"/>
      <c r="NS1" s="124"/>
      <c r="NT1" s="124"/>
      <c r="NU1" s="124"/>
      <c r="NV1" s="124"/>
      <c r="NW1" s="124"/>
      <c r="NX1" s="124"/>
      <c r="NY1" s="124"/>
      <c r="NZ1" s="124"/>
      <c r="OA1" s="124"/>
      <c r="OB1" s="124"/>
      <c r="OC1" s="124"/>
      <c r="OD1" s="124"/>
      <c r="OE1" s="124"/>
      <c r="OF1" s="124"/>
      <c r="OG1" s="124"/>
      <c r="OH1" s="124"/>
      <c r="OI1" s="124"/>
      <c r="OJ1" s="124"/>
      <c r="OK1" s="124"/>
      <c r="OL1" s="124"/>
      <c r="OM1" s="124"/>
      <c r="ON1" s="124"/>
      <c r="OO1" s="124"/>
      <c r="OP1" s="124"/>
      <c r="OQ1" s="124"/>
    </row>
    <row r="2" spans="1:409" x14ac:dyDescent="0.2">
      <c r="A2" s="123"/>
      <c r="B2" s="123"/>
      <c r="C2" s="123"/>
      <c r="D2" s="123"/>
      <c r="E2" s="123"/>
      <c r="F2" s="123"/>
      <c r="G2" s="123"/>
      <c r="H2" s="123"/>
      <c r="I2" s="123"/>
      <c r="J2" s="123"/>
      <c r="K2" s="128"/>
      <c r="L2" s="128"/>
      <c r="M2" s="128"/>
      <c r="N2" s="128"/>
      <c r="O2" s="129"/>
      <c r="P2" s="128"/>
      <c r="Q2" s="129"/>
      <c r="R2" s="128"/>
      <c r="S2" s="127"/>
      <c r="T2" s="128"/>
      <c r="U2" s="128"/>
      <c r="V2" s="122" t="s">
        <v>18</v>
      </c>
      <c r="W2" s="122"/>
      <c r="X2" s="122"/>
      <c r="Y2" s="122"/>
      <c r="Z2" s="122"/>
      <c r="AA2" s="122" t="s">
        <v>19</v>
      </c>
      <c r="AB2" s="122"/>
      <c r="AC2" s="122"/>
      <c r="AD2" s="122"/>
      <c r="AE2" s="122"/>
      <c r="AF2" s="122" t="s">
        <v>71</v>
      </c>
      <c r="AG2" s="122"/>
      <c r="AH2" s="122"/>
      <c r="AI2" s="122"/>
      <c r="AJ2" s="122"/>
      <c r="AK2" s="122" t="s">
        <v>22</v>
      </c>
      <c r="AL2" s="122"/>
      <c r="AM2" s="122"/>
      <c r="AN2" s="122"/>
      <c r="AO2" s="122"/>
      <c r="AP2" s="120"/>
      <c r="AQ2" s="9" t="s">
        <v>20</v>
      </c>
      <c r="AR2" s="9" t="s">
        <v>73</v>
      </c>
      <c r="AS2" s="9" t="s">
        <v>21</v>
      </c>
      <c r="AT2" s="9" t="s">
        <v>74</v>
      </c>
      <c r="AU2" s="9" t="s">
        <v>72</v>
      </c>
      <c r="AV2" s="9" t="s">
        <v>23</v>
      </c>
      <c r="AW2" s="9" t="s">
        <v>64</v>
      </c>
      <c r="AX2" s="9" t="s">
        <v>22</v>
      </c>
      <c r="AY2" s="9" t="s">
        <v>17</v>
      </c>
      <c r="AZ2" s="125" t="s">
        <v>18</v>
      </c>
      <c r="BA2" s="125"/>
      <c r="BB2" s="125"/>
      <c r="BC2" s="125"/>
      <c r="BD2" s="125"/>
      <c r="BE2" s="125" t="s">
        <v>19</v>
      </c>
      <c r="BF2" s="125"/>
      <c r="BG2" s="125"/>
      <c r="BH2" s="125"/>
      <c r="BI2" s="125"/>
      <c r="BJ2" s="125" t="s">
        <v>71</v>
      </c>
      <c r="BK2" s="125"/>
      <c r="BL2" s="125"/>
      <c r="BM2" s="125"/>
      <c r="BN2" s="125"/>
      <c r="BO2" s="125" t="s">
        <v>22</v>
      </c>
      <c r="BP2" s="125"/>
      <c r="BQ2" s="125"/>
      <c r="BR2" s="125"/>
      <c r="BS2" s="125"/>
      <c r="BT2" s="119"/>
      <c r="BU2" s="12" t="s">
        <v>20</v>
      </c>
      <c r="BV2" s="12" t="s">
        <v>73</v>
      </c>
      <c r="BW2" s="12" t="s">
        <v>21</v>
      </c>
      <c r="BX2" s="12" t="s">
        <v>74</v>
      </c>
      <c r="BY2" s="12" t="s">
        <v>72</v>
      </c>
      <c r="BZ2" s="12" t="s">
        <v>23</v>
      </c>
      <c r="CA2" s="12" t="s">
        <v>64</v>
      </c>
      <c r="CB2" s="12" t="s">
        <v>22</v>
      </c>
      <c r="CC2" s="12" t="s">
        <v>17</v>
      </c>
      <c r="CD2" s="122" t="s">
        <v>18</v>
      </c>
      <c r="CE2" s="122"/>
      <c r="CF2" s="122"/>
      <c r="CG2" s="122"/>
      <c r="CH2" s="122"/>
      <c r="CI2" s="122" t="s">
        <v>19</v>
      </c>
      <c r="CJ2" s="122"/>
      <c r="CK2" s="122"/>
      <c r="CL2" s="122"/>
      <c r="CM2" s="122"/>
      <c r="CN2" s="122" t="s">
        <v>71</v>
      </c>
      <c r="CO2" s="122"/>
      <c r="CP2" s="122"/>
      <c r="CQ2" s="122"/>
      <c r="CR2" s="122"/>
      <c r="CS2" s="122" t="s">
        <v>22</v>
      </c>
      <c r="CT2" s="122"/>
      <c r="CU2" s="122"/>
      <c r="CV2" s="122"/>
      <c r="CW2" s="122"/>
      <c r="CX2" s="120"/>
      <c r="CY2" s="9" t="s">
        <v>20</v>
      </c>
      <c r="CZ2" s="9" t="s">
        <v>73</v>
      </c>
      <c r="DA2" s="9" t="s">
        <v>21</v>
      </c>
      <c r="DB2" s="9" t="s">
        <v>74</v>
      </c>
      <c r="DC2" s="9" t="s">
        <v>72</v>
      </c>
      <c r="DD2" s="9" t="s">
        <v>23</v>
      </c>
      <c r="DE2" s="9" t="s">
        <v>64</v>
      </c>
      <c r="DF2" s="9" t="s">
        <v>22</v>
      </c>
      <c r="DG2" s="9" t="s">
        <v>17</v>
      </c>
      <c r="DH2" s="21" t="s">
        <v>20</v>
      </c>
      <c r="DI2" s="21" t="s">
        <v>21</v>
      </c>
      <c r="DJ2" s="21" t="s">
        <v>23</v>
      </c>
      <c r="DK2" s="21" t="s">
        <v>22</v>
      </c>
      <c r="DL2" s="122" t="s">
        <v>18</v>
      </c>
      <c r="DM2" s="122"/>
      <c r="DN2" s="122"/>
      <c r="DO2" s="122"/>
      <c r="DP2" s="122"/>
      <c r="DQ2" s="122" t="s">
        <v>19</v>
      </c>
      <c r="DR2" s="122"/>
      <c r="DS2" s="122"/>
      <c r="DT2" s="122"/>
      <c r="DU2" s="122"/>
      <c r="DV2" s="122" t="s">
        <v>22</v>
      </c>
      <c r="DW2" s="122"/>
      <c r="DX2" s="122"/>
      <c r="DY2" s="122"/>
      <c r="DZ2" s="122"/>
      <c r="EA2" s="120" t="s">
        <v>58</v>
      </c>
      <c r="EB2" s="9" t="s">
        <v>20</v>
      </c>
      <c r="EC2" s="9" t="s">
        <v>21</v>
      </c>
      <c r="ED2" s="9" t="s">
        <v>23</v>
      </c>
      <c r="EE2" s="9" t="s">
        <v>64</v>
      </c>
      <c r="EF2" s="9" t="s">
        <v>22</v>
      </c>
      <c r="EG2" s="9" t="s">
        <v>17</v>
      </c>
      <c r="EH2" s="125" t="s">
        <v>18</v>
      </c>
      <c r="EI2" s="125"/>
      <c r="EJ2" s="125"/>
      <c r="EK2" s="125"/>
      <c r="EL2" s="125"/>
      <c r="EM2" s="125" t="s">
        <v>19</v>
      </c>
      <c r="EN2" s="125"/>
      <c r="EO2" s="125"/>
      <c r="EP2" s="125"/>
      <c r="EQ2" s="125"/>
      <c r="ER2" s="125" t="s">
        <v>22</v>
      </c>
      <c r="ES2" s="125"/>
      <c r="ET2" s="125"/>
      <c r="EU2" s="125"/>
      <c r="EV2" s="125"/>
      <c r="EW2" s="119" t="s">
        <v>58</v>
      </c>
      <c r="EX2" s="12" t="s">
        <v>20</v>
      </c>
      <c r="EY2" s="12" t="s">
        <v>21</v>
      </c>
      <c r="EZ2" s="12" t="s">
        <v>23</v>
      </c>
      <c r="FA2" s="12" t="s">
        <v>64</v>
      </c>
      <c r="FB2" s="12" t="s">
        <v>22</v>
      </c>
      <c r="FC2" s="12" t="s">
        <v>17</v>
      </c>
      <c r="FD2" s="122" t="s">
        <v>18</v>
      </c>
      <c r="FE2" s="122"/>
      <c r="FF2" s="122"/>
      <c r="FG2" s="122"/>
      <c r="FH2" s="122"/>
      <c r="FI2" s="122" t="s">
        <v>19</v>
      </c>
      <c r="FJ2" s="122"/>
      <c r="FK2" s="122"/>
      <c r="FL2" s="122"/>
      <c r="FM2" s="122"/>
      <c r="FN2" s="122" t="s">
        <v>22</v>
      </c>
      <c r="FO2" s="122"/>
      <c r="FP2" s="122"/>
      <c r="FQ2" s="122"/>
      <c r="FR2" s="122"/>
      <c r="FS2" s="120" t="s">
        <v>58</v>
      </c>
      <c r="FT2" s="9" t="s">
        <v>20</v>
      </c>
      <c r="FU2" s="9" t="s">
        <v>21</v>
      </c>
      <c r="FV2" s="9" t="s">
        <v>23</v>
      </c>
      <c r="FW2" s="9" t="s">
        <v>64</v>
      </c>
      <c r="FX2" s="9" t="s">
        <v>22</v>
      </c>
      <c r="FY2" s="9" t="s">
        <v>17</v>
      </c>
      <c r="FZ2" s="125" t="s">
        <v>18</v>
      </c>
      <c r="GA2" s="125"/>
      <c r="GB2" s="125"/>
      <c r="GC2" s="125"/>
      <c r="GD2" s="125"/>
      <c r="GE2" s="125" t="s">
        <v>19</v>
      </c>
      <c r="GF2" s="125"/>
      <c r="GG2" s="125"/>
      <c r="GH2" s="125"/>
      <c r="GI2" s="125"/>
      <c r="GJ2" s="125" t="s">
        <v>22</v>
      </c>
      <c r="GK2" s="125"/>
      <c r="GL2" s="125"/>
      <c r="GM2" s="125"/>
      <c r="GN2" s="125"/>
      <c r="GO2" s="119" t="s">
        <v>58</v>
      </c>
      <c r="GP2" s="12" t="s">
        <v>20</v>
      </c>
      <c r="GQ2" s="12" t="s">
        <v>21</v>
      </c>
      <c r="GR2" s="12" t="s">
        <v>23</v>
      </c>
      <c r="GS2" s="12" t="s">
        <v>64</v>
      </c>
      <c r="GT2" s="12" t="s">
        <v>22</v>
      </c>
      <c r="GU2" s="12" t="s">
        <v>17</v>
      </c>
      <c r="GV2" s="122" t="s">
        <v>18</v>
      </c>
      <c r="GW2" s="122"/>
      <c r="GX2" s="122"/>
      <c r="GY2" s="122"/>
      <c r="GZ2" s="122"/>
      <c r="HA2" s="122" t="s">
        <v>19</v>
      </c>
      <c r="HB2" s="122"/>
      <c r="HC2" s="122"/>
      <c r="HD2" s="122"/>
      <c r="HE2" s="122"/>
      <c r="HF2" s="122" t="s">
        <v>22</v>
      </c>
      <c r="HG2" s="122"/>
      <c r="HH2" s="122"/>
      <c r="HI2" s="122"/>
      <c r="HJ2" s="122"/>
      <c r="HK2" s="120" t="s">
        <v>58</v>
      </c>
      <c r="HL2" s="9" t="s">
        <v>20</v>
      </c>
      <c r="HM2" s="9" t="s">
        <v>21</v>
      </c>
      <c r="HN2" s="9" t="s">
        <v>23</v>
      </c>
      <c r="HO2" s="9" t="s">
        <v>64</v>
      </c>
      <c r="HP2" s="9" t="s">
        <v>22</v>
      </c>
      <c r="HQ2" s="9" t="s">
        <v>17</v>
      </c>
      <c r="HR2" s="125" t="s">
        <v>18</v>
      </c>
      <c r="HS2" s="125"/>
      <c r="HT2" s="125"/>
      <c r="HU2" s="125"/>
      <c r="HV2" s="125"/>
      <c r="HW2" s="125" t="s">
        <v>19</v>
      </c>
      <c r="HX2" s="125"/>
      <c r="HY2" s="125"/>
      <c r="HZ2" s="125"/>
      <c r="IA2" s="125"/>
      <c r="IB2" s="125" t="s">
        <v>22</v>
      </c>
      <c r="IC2" s="125"/>
      <c r="ID2" s="125"/>
      <c r="IE2" s="125"/>
      <c r="IF2" s="125"/>
      <c r="IG2" s="119" t="s">
        <v>58</v>
      </c>
      <c r="IH2" s="12" t="s">
        <v>20</v>
      </c>
      <c r="II2" s="12" t="s">
        <v>21</v>
      </c>
      <c r="IJ2" s="12" t="s">
        <v>23</v>
      </c>
      <c r="IK2" s="12" t="s">
        <v>64</v>
      </c>
      <c r="IL2" s="12" t="s">
        <v>22</v>
      </c>
      <c r="IM2" s="12" t="s">
        <v>17</v>
      </c>
      <c r="IN2" s="122" t="s">
        <v>18</v>
      </c>
      <c r="IO2" s="122"/>
      <c r="IP2" s="122"/>
      <c r="IQ2" s="122"/>
      <c r="IR2" s="122"/>
      <c r="IS2" s="122" t="s">
        <v>19</v>
      </c>
      <c r="IT2" s="122"/>
      <c r="IU2" s="122"/>
      <c r="IV2" s="122"/>
      <c r="IW2" s="122"/>
      <c r="IX2" s="122" t="s">
        <v>22</v>
      </c>
      <c r="IY2" s="122"/>
      <c r="IZ2" s="122"/>
      <c r="JA2" s="122"/>
      <c r="JB2" s="122"/>
      <c r="JC2" s="120" t="s">
        <v>58</v>
      </c>
      <c r="JD2" s="9" t="s">
        <v>20</v>
      </c>
      <c r="JE2" s="9" t="s">
        <v>21</v>
      </c>
      <c r="JF2" s="9" t="s">
        <v>23</v>
      </c>
      <c r="JG2" s="9" t="s">
        <v>64</v>
      </c>
      <c r="JH2" s="9" t="s">
        <v>22</v>
      </c>
      <c r="JI2" s="9" t="s">
        <v>17</v>
      </c>
      <c r="JJ2" s="125" t="s">
        <v>18</v>
      </c>
      <c r="JK2" s="125"/>
      <c r="JL2" s="125"/>
      <c r="JM2" s="125"/>
      <c r="JN2" s="125"/>
      <c r="JO2" s="125" t="s">
        <v>19</v>
      </c>
      <c r="JP2" s="125"/>
      <c r="JQ2" s="125"/>
      <c r="JR2" s="125"/>
      <c r="JS2" s="125"/>
      <c r="JT2" s="125" t="s">
        <v>22</v>
      </c>
      <c r="JU2" s="125"/>
      <c r="JV2" s="125"/>
      <c r="JW2" s="125"/>
      <c r="JX2" s="125"/>
      <c r="JY2" s="119" t="s">
        <v>58</v>
      </c>
      <c r="JZ2" s="12" t="s">
        <v>20</v>
      </c>
      <c r="KA2" s="12" t="s">
        <v>21</v>
      </c>
      <c r="KB2" s="12" t="s">
        <v>23</v>
      </c>
      <c r="KC2" s="12" t="s">
        <v>64</v>
      </c>
      <c r="KD2" s="12" t="s">
        <v>22</v>
      </c>
      <c r="KE2" s="12" t="s">
        <v>17</v>
      </c>
      <c r="KF2" s="122" t="s">
        <v>18</v>
      </c>
      <c r="KG2" s="122"/>
      <c r="KH2" s="122"/>
      <c r="KI2" s="122"/>
      <c r="KJ2" s="122"/>
      <c r="KK2" s="122" t="s">
        <v>19</v>
      </c>
      <c r="KL2" s="122"/>
      <c r="KM2" s="122"/>
      <c r="KN2" s="122"/>
      <c r="KO2" s="122"/>
      <c r="KP2" s="122" t="s">
        <v>22</v>
      </c>
      <c r="KQ2" s="122"/>
      <c r="KR2" s="122"/>
      <c r="KS2" s="122"/>
      <c r="KT2" s="122"/>
      <c r="KU2" s="120" t="s">
        <v>58</v>
      </c>
      <c r="KV2" s="9" t="s">
        <v>20</v>
      </c>
      <c r="KW2" s="9" t="s">
        <v>21</v>
      </c>
      <c r="KX2" s="9" t="s">
        <v>23</v>
      </c>
      <c r="KY2" s="9" t="s">
        <v>64</v>
      </c>
      <c r="KZ2" s="9" t="s">
        <v>22</v>
      </c>
      <c r="LA2" s="9" t="s">
        <v>17</v>
      </c>
      <c r="LB2" s="125" t="s">
        <v>18</v>
      </c>
      <c r="LC2" s="125"/>
      <c r="LD2" s="125"/>
      <c r="LE2" s="125"/>
      <c r="LF2" s="125"/>
      <c r="LG2" s="125" t="s">
        <v>19</v>
      </c>
      <c r="LH2" s="125"/>
      <c r="LI2" s="125"/>
      <c r="LJ2" s="125"/>
      <c r="LK2" s="125"/>
      <c r="LL2" s="125" t="s">
        <v>22</v>
      </c>
      <c r="LM2" s="125"/>
      <c r="LN2" s="125"/>
      <c r="LO2" s="125"/>
      <c r="LP2" s="125"/>
      <c r="LQ2" s="119" t="s">
        <v>58</v>
      </c>
      <c r="LR2" s="12" t="s">
        <v>20</v>
      </c>
      <c r="LS2" s="12" t="s">
        <v>21</v>
      </c>
      <c r="LT2" s="12" t="s">
        <v>23</v>
      </c>
      <c r="LU2" s="12" t="s">
        <v>64</v>
      </c>
      <c r="LV2" s="12" t="s">
        <v>22</v>
      </c>
      <c r="LW2" s="12" t="s">
        <v>17</v>
      </c>
      <c r="LX2" s="122" t="s">
        <v>18</v>
      </c>
      <c r="LY2" s="122"/>
      <c r="LZ2" s="122"/>
      <c r="MA2" s="122"/>
      <c r="MB2" s="122"/>
      <c r="MC2" s="122" t="s">
        <v>19</v>
      </c>
      <c r="MD2" s="122"/>
      <c r="ME2" s="122"/>
      <c r="MF2" s="122"/>
      <c r="MG2" s="122"/>
      <c r="MH2" s="122" t="s">
        <v>22</v>
      </c>
      <c r="MI2" s="122"/>
      <c r="MJ2" s="122"/>
      <c r="MK2" s="122"/>
      <c r="ML2" s="122"/>
      <c r="MM2" s="120" t="s">
        <v>58</v>
      </c>
      <c r="MN2" s="9" t="s">
        <v>20</v>
      </c>
      <c r="MO2" s="9" t="s">
        <v>21</v>
      </c>
      <c r="MP2" s="9" t="s">
        <v>23</v>
      </c>
      <c r="MQ2" s="9" t="s">
        <v>64</v>
      </c>
      <c r="MR2" s="9" t="s">
        <v>22</v>
      </c>
      <c r="MS2" s="9" t="s">
        <v>17</v>
      </c>
      <c r="MT2" s="125" t="s">
        <v>18</v>
      </c>
      <c r="MU2" s="125"/>
      <c r="MV2" s="125"/>
      <c r="MW2" s="125"/>
      <c r="MX2" s="125"/>
      <c r="MY2" s="125" t="s">
        <v>19</v>
      </c>
      <c r="MZ2" s="125"/>
      <c r="NA2" s="125"/>
      <c r="NB2" s="125"/>
      <c r="NC2" s="125"/>
      <c r="ND2" s="125" t="s">
        <v>22</v>
      </c>
      <c r="NE2" s="125"/>
      <c r="NF2" s="125"/>
      <c r="NG2" s="125"/>
      <c r="NH2" s="125"/>
      <c r="NI2" s="119" t="s">
        <v>58</v>
      </c>
      <c r="NJ2" s="12" t="s">
        <v>20</v>
      </c>
      <c r="NK2" s="12" t="s">
        <v>21</v>
      </c>
      <c r="NL2" s="12" t="s">
        <v>23</v>
      </c>
      <c r="NM2" s="12" t="s">
        <v>64</v>
      </c>
      <c r="NN2" s="12" t="s">
        <v>22</v>
      </c>
      <c r="NO2" s="12" t="s">
        <v>17</v>
      </c>
      <c r="NP2" s="122" t="s">
        <v>18</v>
      </c>
      <c r="NQ2" s="122"/>
      <c r="NR2" s="122"/>
      <c r="NS2" s="122"/>
      <c r="NT2" s="122"/>
      <c r="NU2" s="122" t="s">
        <v>19</v>
      </c>
      <c r="NV2" s="122"/>
      <c r="NW2" s="122"/>
      <c r="NX2" s="122"/>
      <c r="NY2" s="122"/>
      <c r="NZ2" s="122" t="s">
        <v>71</v>
      </c>
      <c r="OA2" s="122"/>
      <c r="OB2" s="122"/>
      <c r="OC2" s="122"/>
      <c r="OD2" s="122"/>
      <c r="OE2" s="122" t="s">
        <v>22</v>
      </c>
      <c r="OF2" s="122"/>
      <c r="OG2" s="122"/>
      <c r="OH2" s="122"/>
      <c r="OI2" s="122"/>
      <c r="OJ2" s="120"/>
      <c r="OK2" s="9" t="s">
        <v>20</v>
      </c>
      <c r="OL2" s="9" t="s">
        <v>73</v>
      </c>
      <c r="OM2" s="9" t="s">
        <v>21</v>
      </c>
      <c r="ON2" s="9" t="s">
        <v>74</v>
      </c>
      <c r="OO2" s="9" t="s">
        <v>72</v>
      </c>
      <c r="OP2" s="9" t="s">
        <v>23</v>
      </c>
      <c r="OQ2" s="9" t="s">
        <v>64</v>
      </c>
      <c r="OR2" s="9" t="s">
        <v>22</v>
      </c>
      <c r="OS2" s="9" t="s">
        <v>17</v>
      </c>
    </row>
    <row r="3" spans="1:409" x14ac:dyDescent="0.2">
      <c r="A3" s="123"/>
      <c r="B3" s="123"/>
      <c r="C3" s="123"/>
      <c r="D3" s="123"/>
      <c r="E3" s="123"/>
      <c r="F3" s="123"/>
      <c r="G3" s="123"/>
      <c r="H3" s="123"/>
      <c r="I3" s="123"/>
      <c r="J3" s="123"/>
      <c r="K3" s="128"/>
      <c r="L3" s="128"/>
      <c r="M3" s="128"/>
      <c r="N3" s="128"/>
      <c r="O3" s="129"/>
      <c r="P3" s="128"/>
      <c r="Q3" s="129"/>
      <c r="R3" s="128"/>
      <c r="S3" s="127"/>
      <c r="T3" s="128"/>
      <c r="U3" s="128"/>
      <c r="V3" s="120" t="s">
        <v>14</v>
      </c>
      <c r="W3" s="120" t="s">
        <v>15</v>
      </c>
      <c r="X3" s="120" t="s">
        <v>7</v>
      </c>
      <c r="Y3" s="120" t="s">
        <v>16</v>
      </c>
      <c r="Z3" s="120" t="s">
        <v>27</v>
      </c>
      <c r="AA3" s="120" t="s">
        <v>14</v>
      </c>
      <c r="AB3" s="120" t="s">
        <v>15</v>
      </c>
      <c r="AC3" s="120" t="s">
        <v>7</v>
      </c>
      <c r="AD3" s="120" t="s">
        <v>16</v>
      </c>
      <c r="AE3" s="120" t="s">
        <v>27</v>
      </c>
      <c r="AF3" s="120" t="s">
        <v>14</v>
      </c>
      <c r="AG3" s="120" t="s">
        <v>15</v>
      </c>
      <c r="AH3" s="120" t="s">
        <v>7</v>
      </c>
      <c r="AI3" s="120" t="s">
        <v>16</v>
      </c>
      <c r="AJ3" s="120" t="s">
        <v>27</v>
      </c>
      <c r="AK3" s="120" t="s">
        <v>14</v>
      </c>
      <c r="AL3" s="120" t="s">
        <v>15</v>
      </c>
      <c r="AM3" s="120" t="s">
        <v>7</v>
      </c>
      <c r="AN3" s="120" t="s">
        <v>16</v>
      </c>
      <c r="AO3" s="120" t="s">
        <v>27</v>
      </c>
      <c r="AP3" s="120" t="s">
        <v>51</v>
      </c>
      <c r="AQ3" s="9"/>
      <c r="AR3" s="9"/>
      <c r="AS3" s="9"/>
      <c r="AT3" s="9"/>
      <c r="AU3" s="9"/>
      <c r="AV3" s="9"/>
      <c r="AW3" s="9"/>
      <c r="AX3" s="10"/>
      <c r="AY3" s="10"/>
      <c r="AZ3" s="119" t="s">
        <v>14</v>
      </c>
      <c r="BA3" s="119" t="s">
        <v>15</v>
      </c>
      <c r="BB3" s="119" t="s">
        <v>7</v>
      </c>
      <c r="BC3" s="119" t="s">
        <v>16</v>
      </c>
      <c r="BD3" s="119" t="s">
        <v>27</v>
      </c>
      <c r="BE3" s="119" t="s">
        <v>14</v>
      </c>
      <c r="BF3" s="119" t="s">
        <v>15</v>
      </c>
      <c r="BG3" s="119" t="s">
        <v>7</v>
      </c>
      <c r="BH3" s="119" t="s">
        <v>16</v>
      </c>
      <c r="BI3" s="119" t="s">
        <v>27</v>
      </c>
      <c r="BJ3" s="119" t="s">
        <v>14</v>
      </c>
      <c r="BK3" s="119" t="s">
        <v>15</v>
      </c>
      <c r="BL3" s="119" t="s">
        <v>7</v>
      </c>
      <c r="BM3" s="119" t="s">
        <v>16</v>
      </c>
      <c r="BN3" s="119" t="s">
        <v>27</v>
      </c>
      <c r="BO3" s="119" t="s">
        <v>14</v>
      </c>
      <c r="BP3" s="119" t="s">
        <v>15</v>
      </c>
      <c r="BQ3" s="119" t="s">
        <v>7</v>
      </c>
      <c r="BR3" s="119" t="s">
        <v>16</v>
      </c>
      <c r="BS3" s="119" t="s">
        <v>27</v>
      </c>
      <c r="BT3" s="119" t="s">
        <v>51</v>
      </c>
      <c r="BU3" s="12"/>
      <c r="BV3" s="12"/>
      <c r="BW3" s="12"/>
      <c r="BX3" s="12"/>
      <c r="BY3" s="12"/>
      <c r="BZ3" s="12"/>
      <c r="CA3" s="12"/>
      <c r="CB3" s="13"/>
      <c r="CC3" s="13"/>
      <c r="CD3" s="120" t="s">
        <v>14</v>
      </c>
      <c r="CE3" s="120" t="s">
        <v>15</v>
      </c>
      <c r="CF3" s="120" t="s">
        <v>7</v>
      </c>
      <c r="CG3" s="120" t="s">
        <v>16</v>
      </c>
      <c r="CH3" s="120" t="s">
        <v>27</v>
      </c>
      <c r="CI3" s="120" t="s">
        <v>14</v>
      </c>
      <c r="CJ3" s="120" t="s">
        <v>15</v>
      </c>
      <c r="CK3" s="120" t="s">
        <v>7</v>
      </c>
      <c r="CL3" s="120" t="s">
        <v>16</v>
      </c>
      <c r="CM3" s="120" t="s">
        <v>27</v>
      </c>
      <c r="CN3" s="120" t="s">
        <v>14</v>
      </c>
      <c r="CO3" s="120" t="s">
        <v>15</v>
      </c>
      <c r="CP3" s="120" t="s">
        <v>7</v>
      </c>
      <c r="CQ3" s="120" t="s">
        <v>16</v>
      </c>
      <c r="CR3" s="120" t="s">
        <v>27</v>
      </c>
      <c r="CS3" s="120" t="s">
        <v>14</v>
      </c>
      <c r="CT3" s="120" t="s">
        <v>15</v>
      </c>
      <c r="CU3" s="120" t="s">
        <v>7</v>
      </c>
      <c r="CV3" s="120" t="s">
        <v>16</v>
      </c>
      <c r="CW3" s="120" t="s">
        <v>27</v>
      </c>
      <c r="CX3" s="120" t="s">
        <v>51</v>
      </c>
      <c r="CY3" s="9"/>
      <c r="CZ3" s="9"/>
      <c r="DA3" s="9"/>
      <c r="DB3" s="9"/>
      <c r="DC3" s="9"/>
      <c r="DD3" s="9"/>
      <c r="DE3" s="9"/>
      <c r="DF3" s="10"/>
      <c r="DG3" s="10"/>
      <c r="DH3" s="22"/>
      <c r="DI3" s="22"/>
      <c r="DJ3" s="22"/>
      <c r="DK3" s="22"/>
      <c r="DL3" s="120" t="s">
        <v>14</v>
      </c>
      <c r="DM3" s="120" t="s">
        <v>15</v>
      </c>
      <c r="DN3" s="120" t="s">
        <v>7</v>
      </c>
      <c r="DO3" s="120" t="s">
        <v>16</v>
      </c>
      <c r="DP3" s="120" t="s">
        <v>27</v>
      </c>
      <c r="DQ3" s="120" t="s">
        <v>14</v>
      </c>
      <c r="DR3" s="120" t="s">
        <v>15</v>
      </c>
      <c r="DS3" s="120" t="s">
        <v>7</v>
      </c>
      <c r="DT3" s="120" t="s">
        <v>16</v>
      </c>
      <c r="DU3" s="120" t="s">
        <v>27</v>
      </c>
      <c r="DV3" s="120" t="s">
        <v>14</v>
      </c>
      <c r="DW3" s="120" t="s">
        <v>15</v>
      </c>
      <c r="DX3" s="120" t="s">
        <v>7</v>
      </c>
      <c r="DY3" s="120" t="s">
        <v>16</v>
      </c>
      <c r="DZ3" s="120" t="s">
        <v>27</v>
      </c>
      <c r="EA3" s="10"/>
      <c r="EB3" s="9"/>
      <c r="EC3" s="9"/>
      <c r="ED3" s="9"/>
      <c r="EE3" s="9"/>
      <c r="EF3" s="10"/>
      <c r="EG3" s="10"/>
      <c r="EH3" s="119" t="s">
        <v>14</v>
      </c>
      <c r="EI3" s="119" t="s">
        <v>15</v>
      </c>
      <c r="EJ3" s="119" t="s">
        <v>7</v>
      </c>
      <c r="EK3" s="119" t="s">
        <v>16</v>
      </c>
      <c r="EL3" s="119" t="s">
        <v>27</v>
      </c>
      <c r="EM3" s="119" t="s">
        <v>14</v>
      </c>
      <c r="EN3" s="119" t="s">
        <v>15</v>
      </c>
      <c r="EO3" s="119" t="s">
        <v>7</v>
      </c>
      <c r="EP3" s="119" t="s">
        <v>16</v>
      </c>
      <c r="EQ3" s="119" t="s">
        <v>27</v>
      </c>
      <c r="ER3" s="119" t="s">
        <v>14</v>
      </c>
      <c r="ES3" s="119" t="s">
        <v>15</v>
      </c>
      <c r="ET3" s="119" t="s">
        <v>7</v>
      </c>
      <c r="EU3" s="119" t="s">
        <v>16</v>
      </c>
      <c r="EV3" s="44" t="s">
        <v>27</v>
      </c>
      <c r="EW3" s="13"/>
      <c r="EX3" s="12"/>
      <c r="EY3" s="12"/>
      <c r="EZ3" s="12"/>
      <c r="FA3" s="12"/>
      <c r="FB3" s="13"/>
      <c r="FC3" s="13"/>
      <c r="FD3" s="120" t="s">
        <v>14</v>
      </c>
      <c r="FE3" s="120" t="s">
        <v>15</v>
      </c>
      <c r="FF3" s="120" t="s">
        <v>7</v>
      </c>
      <c r="FG3" s="120" t="s">
        <v>16</v>
      </c>
      <c r="FH3" s="120" t="s">
        <v>27</v>
      </c>
      <c r="FI3" s="120" t="s">
        <v>14</v>
      </c>
      <c r="FJ3" s="120" t="s">
        <v>15</v>
      </c>
      <c r="FK3" s="120" t="s">
        <v>7</v>
      </c>
      <c r="FL3" s="120" t="s">
        <v>16</v>
      </c>
      <c r="FM3" s="120" t="s">
        <v>27</v>
      </c>
      <c r="FN3" s="120" t="s">
        <v>14</v>
      </c>
      <c r="FO3" s="120" t="s">
        <v>15</v>
      </c>
      <c r="FP3" s="120" t="s">
        <v>7</v>
      </c>
      <c r="FQ3" s="120" t="s">
        <v>16</v>
      </c>
      <c r="FR3" s="120" t="s">
        <v>27</v>
      </c>
      <c r="FS3" s="10"/>
      <c r="FT3" s="9"/>
      <c r="FU3" s="9"/>
      <c r="FV3" s="9"/>
      <c r="FW3" s="9"/>
      <c r="FX3" s="10"/>
      <c r="FY3" s="10"/>
      <c r="FZ3" s="119" t="s">
        <v>14</v>
      </c>
      <c r="GA3" s="119" t="s">
        <v>15</v>
      </c>
      <c r="GB3" s="119" t="s">
        <v>7</v>
      </c>
      <c r="GC3" s="119" t="s">
        <v>16</v>
      </c>
      <c r="GD3" s="119" t="s">
        <v>27</v>
      </c>
      <c r="GE3" s="119" t="s">
        <v>14</v>
      </c>
      <c r="GF3" s="119" t="s">
        <v>15</v>
      </c>
      <c r="GG3" s="119" t="s">
        <v>7</v>
      </c>
      <c r="GH3" s="119" t="s">
        <v>16</v>
      </c>
      <c r="GI3" s="119" t="s">
        <v>27</v>
      </c>
      <c r="GJ3" s="119" t="s">
        <v>14</v>
      </c>
      <c r="GK3" s="119" t="s">
        <v>15</v>
      </c>
      <c r="GL3" s="119" t="s">
        <v>7</v>
      </c>
      <c r="GM3" s="119" t="s">
        <v>16</v>
      </c>
      <c r="GN3" s="119" t="s">
        <v>27</v>
      </c>
      <c r="GO3" s="13"/>
      <c r="GP3" s="12"/>
      <c r="GQ3" s="12"/>
      <c r="GR3" s="12"/>
      <c r="GS3" s="12"/>
      <c r="GT3" s="13"/>
      <c r="GU3" s="13"/>
      <c r="GV3" s="120" t="s">
        <v>14</v>
      </c>
      <c r="GW3" s="120" t="s">
        <v>15</v>
      </c>
      <c r="GX3" s="120" t="s">
        <v>7</v>
      </c>
      <c r="GY3" s="120" t="s">
        <v>16</v>
      </c>
      <c r="GZ3" s="120" t="s">
        <v>27</v>
      </c>
      <c r="HA3" s="120" t="s">
        <v>14</v>
      </c>
      <c r="HB3" s="120" t="s">
        <v>15</v>
      </c>
      <c r="HC3" s="120" t="s">
        <v>7</v>
      </c>
      <c r="HD3" s="120" t="s">
        <v>16</v>
      </c>
      <c r="HE3" s="120" t="s">
        <v>27</v>
      </c>
      <c r="HF3" s="120" t="s">
        <v>14</v>
      </c>
      <c r="HG3" s="120" t="s">
        <v>15</v>
      </c>
      <c r="HH3" s="120" t="s">
        <v>7</v>
      </c>
      <c r="HI3" s="120" t="s">
        <v>16</v>
      </c>
      <c r="HJ3" s="120" t="s">
        <v>27</v>
      </c>
      <c r="HK3" s="10"/>
      <c r="HL3" s="9"/>
      <c r="HM3" s="9"/>
      <c r="HN3" s="9"/>
      <c r="HO3" s="9"/>
      <c r="HP3" s="10"/>
      <c r="HQ3" s="10"/>
      <c r="HR3" s="119" t="s">
        <v>14</v>
      </c>
      <c r="HS3" s="119" t="s">
        <v>15</v>
      </c>
      <c r="HT3" s="119" t="s">
        <v>7</v>
      </c>
      <c r="HU3" s="119" t="s">
        <v>16</v>
      </c>
      <c r="HV3" s="119" t="s">
        <v>27</v>
      </c>
      <c r="HW3" s="119" t="s">
        <v>14</v>
      </c>
      <c r="HX3" s="119" t="s">
        <v>15</v>
      </c>
      <c r="HY3" s="119" t="s">
        <v>7</v>
      </c>
      <c r="HZ3" s="119" t="s">
        <v>16</v>
      </c>
      <c r="IA3" s="119" t="s">
        <v>27</v>
      </c>
      <c r="IB3" s="119" t="s">
        <v>14</v>
      </c>
      <c r="IC3" s="119" t="s">
        <v>15</v>
      </c>
      <c r="ID3" s="119" t="s">
        <v>7</v>
      </c>
      <c r="IE3" s="119" t="s">
        <v>16</v>
      </c>
      <c r="IF3" s="119" t="s">
        <v>27</v>
      </c>
      <c r="IG3" s="13"/>
      <c r="IH3" s="12"/>
      <c r="II3" s="12"/>
      <c r="IJ3" s="12"/>
      <c r="IK3" s="12"/>
      <c r="IL3" s="13"/>
      <c r="IM3" s="13"/>
      <c r="IN3" s="120" t="s">
        <v>14</v>
      </c>
      <c r="IO3" s="120" t="s">
        <v>15</v>
      </c>
      <c r="IP3" s="120" t="s">
        <v>7</v>
      </c>
      <c r="IQ3" s="120" t="s">
        <v>16</v>
      </c>
      <c r="IR3" s="120" t="s">
        <v>27</v>
      </c>
      <c r="IS3" s="120" t="s">
        <v>14</v>
      </c>
      <c r="IT3" s="120" t="s">
        <v>15</v>
      </c>
      <c r="IU3" s="120" t="s">
        <v>7</v>
      </c>
      <c r="IV3" s="120" t="s">
        <v>16</v>
      </c>
      <c r="IW3" s="120" t="s">
        <v>27</v>
      </c>
      <c r="IX3" s="120" t="s">
        <v>14</v>
      </c>
      <c r="IY3" s="120" t="s">
        <v>15</v>
      </c>
      <c r="IZ3" s="120" t="s">
        <v>7</v>
      </c>
      <c r="JA3" s="120" t="s">
        <v>16</v>
      </c>
      <c r="JB3" s="120" t="s">
        <v>27</v>
      </c>
      <c r="JC3" s="10"/>
      <c r="JD3" s="9"/>
      <c r="JE3" s="9"/>
      <c r="JF3" s="9"/>
      <c r="JG3" s="9"/>
      <c r="JH3" s="10"/>
      <c r="JI3" s="10"/>
      <c r="JJ3" s="119" t="s">
        <v>14</v>
      </c>
      <c r="JK3" s="119" t="s">
        <v>15</v>
      </c>
      <c r="JL3" s="119" t="s">
        <v>7</v>
      </c>
      <c r="JM3" s="119" t="s">
        <v>16</v>
      </c>
      <c r="JN3" s="119" t="s">
        <v>27</v>
      </c>
      <c r="JO3" s="119" t="s">
        <v>14</v>
      </c>
      <c r="JP3" s="119" t="s">
        <v>15</v>
      </c>
      <c r="JQ3" s="119" t="s">
        <v>7</v>
      </c>
      <c r="JR3" s="119" t="s">
        <v>16</v>
      </c>
      <c r="JS3" s="119" t="s">
        <v>27</v>
      </c>
      <c r="JT3" s="119" t="s">
        <v>14</v>
      </c>
      <c r="JU3" s="119" t="s">
        <v>15</v>
      </c>
      <c r="JV3" s="119" t="s">
        <v>7</v>
      </c>
      <c r="JW3" s="119" t="s">
        <v>16</v>
      </c>
      <c r="JX3" s="119" t="s">
        <v>27</v>
      </c>
      <c r="JY3" s="13"/>
      <c r="JZ3" s="12"/>
      <c r="KA3" s="12"/>
      <c r="KB3" s="12"/>
      <c r="KC3" s="12"/>
      <c r="KD3" s="13"/>
      <c r="KE3" s="13"/>
      <c r="KF3" s="120" t="s">
        <v>14</v>
      </c>
      <c r="KG3" s="120" t="s">
        <v>15</v>
      </c>
      <c r="KH3" s="120" t="s">
        <v>7</v>
      </c>
      <c r="KI3" s="120" t="s">
        <v>16</v>
      </c>
      <c r="KJ3" s="120" t="s">
        <v>27</v>
      </c>
      <c r="KK3" s="120" t="s">
        <v>14</v>
      </c>
      <c r="KL3" s="120" t="s">
        <v>15</v>
      </c>
      <c r="KM3" s="120" t="s">
        <v>7</v>
      </c>
      <c r="KN3" s="120" t="s">
        <v>16</v>
      </c>
      <c r="KO3" s="120" t="s">
        <v>27</v>
      </c>
      <c r="KP3" s="120" t="s">
        <v>14</v>
      </c>
      <c r="KQ3" s="120" t="s">
        <v>15</v>
      </c>
      <c r="KR3" s="120" t="s">
        <v>7</v>
      </c>
      <c r="KS3" s="120" t="s">
        <v>16</v>
      </c>
      <c r="KT3" s="120" t="s">
        <v>27</v>
      </c>
      <c r="KU3" s="10"/>
      <c r="KV3" s="9"/>
      <c r="KW3" s="9"/>
      <c r="KX3" s="9"/>
      <c r="KY3" s="9"/>
      <c r="KZ3" s="10"/>
      <c r="LA3" s="10"/>
      <c r="LB3" s="119" t="s">
        <v>14</v>
      </c>
      <c r="LC3" s="119" t="s">
        <v>15</v>
      </c>
      <c r="LD3" s="119" t="s">
        <v>7</v>
      </c>
      <c r="LE3" s="119" t="s">
        <v>16</v>
      </c>
      <c r="LF3" s="119" t="s">
        <v>27</v>
      </c>
      <c r="LG3" s="119" t="s">
        <v>14</v>
      </c>
      <c r="LH3" s="119" t="s">
        <v>15</v>
      </c>
      <c r="LI3" s="119" t="s">
        <v>7</v>
      </c>
      <c r="LJ3" s="119" t="s">
        <v>16</v>
      </c>
      <c r="LK3" s="119" t="s">
        <v>27</v>
      </c>
      <c r="LL3" s="119" t="s">
        <v>14</v>
      </c>
      <c r="LM3" s="119" t="s">
        <v>15</v>
      </c>
      <c r="LN3" s="119" t="s">
        <v>7</v>
      </c>
      <c r="LO3" s="119" t="s">
        <v>16</v>
      </c>
      <c r="LP3" s="119" t="s">
        <v>27</v>
      </c>
      <c r="LQ3" s="13"/>
      <c r="LR3" s="12"/>
      <c r="LS3" s="12"/>
      <c r="LT3" s="12"/>
      <c r="LU3" s="12"/>
      <c r="LV3" s="13"/>
      <c r="LW3" s="13"/>
      <c r="LX3" s="120" t="s">
        <v>14</v>
      </c>
      <c r="LY3" s="120" t="s">
        <v>15</v>
      </c>
      <c r="LZ3" s="120" t="s">
        <v>7</v>
      </c>
      <c r="MA3" s="120" t="s">
        <v>16</v>
      </c>
      <c r="MB3" s="120" t="s">
        <v>27</v>
      </c>
      <c r="MC3" s="120" t="s">
        <v>14</v>
      </c>
      <c r="MD3" s="120" t="s">
        <v>15</v>
      </c>
      <c r="ME3" s="120" t="s">
        <v>7</v>
      </c>
      <c r="MF3" s="120" t="s">
        <v>16</v>
      </c>
      <c r="MG3" s="120" t="s">
        <v>27</v>
      </c>
      <c r="MH3" s="120" t="s">
        <v>14</v>
      </c>
      <c r="MI3" s="120" t="s">
        <v>15</v>
      </c>
      <c r="MJ3" s="120" t="s">
        <v>7</v>
      </c>
      <c r="MK3" s="120" t="s">
        <v>16</v>
      </c>
      <c r="ML3" s="120" t="s">
        <v>27</v>
      </c>
      <c r="MM3" s="10"/>
      <c r="MN3" s="9"/>
      <c r="MO3" s="9"/>
      <c r="MP3" s="9"/>
      <c r="MQ3" s="9"/>
      <c r="MR3" s="10"/>
      <c r="MS3" s="10"/>
      <c r="MT3" s="119" t="s">
        <v>14</v>
      </c>
      <c r="MU3" s="119" t="s">
        <v>15</v>
      </c>
      <c r="MV3" s="119" t="s">
        <v>7</v>
      </c>
      <c r="MW3" s="119" t="s">
        <v>16</v>
      </c>
      <c r="MX3" s="119" t="s">
        <v>27</v>
      </c>
      <c r="MY3" s="119" t="s">
        <v>14</v>
      </c>
      <c r="MZ3" s="119" t="s">
        <v>15</v>
      </c>
      <c r="NA3" s="119" t="s">
        <v>7</v>
      </c>
      <c r="NB3" s="119" t="s">
        <v>16</v>
      </c>
      <c r="NC3" s="119" t="s">
        <v>27</v>
      </c>
      <c r="ND3" s="119" t="s">
        <v>14</v>
      </c>
      <c r="NE3" s="119" t="s">
        <v>15</v>
      </c>
      <c r="NF3" s="119" t="s">
        <v>7</v>
      </c>
      <c r="NG3" s="119" t="s">
        <v>16</v>
      </c>
      <c r="NH3" s="119" t="s">
        <v>27</v>
      </c>
      <c r="NI3" s="13"/>
      <c r="NJ3" s="12"/>
      <c r="NK3" s="12"/>
      <c r="NL3" s="12"/>
      <c r="NM3" s="12"/>
      <c r="NN3" s="13"/>
      <c r="NO3" s="13"/>
      <c r="NP3" s="120" t="s">
        <v>14</v>
      </c>
      <c r="NQ3" s="120" t="s">
        <v>15</v>
      </c>
      <c r="NR3" s="120" t="s">
        <v>7</v>
      </c>
      <c r="NS3" s="120" t="s">
        <v>16</v>
      </c>
      <c r="NT3" s="120" t="s">
        <v>27</v>
      </c>
      <c r="NU3" s="120" t="s">
        <v>14</v>
      </c>
      <c r="NV3" s="120" t="s">
        <v>15</v>
      </c>
      <c r="NW3" s="120" t="s">
        <v>7</v>
      </c>
      <c r="NX3" s="120" t="s">
        <v>16</v>
      </c>
      <c r="NY3" s="120" t="s">
        <v>27</v>
      </c>
      <c r="NZ3" s="120" t="s">
        <v>14</v>
      </c>
      <c r="OA3" s="120" t="s">
        <v>15</v>
      </c>
      <c r="OB3" s="120" t="s">
        <v>7</v>
      </c>
      <c r="OC3" s="120" t="s">
        <v>16</v>
      </c>
      <c r="OD3" s="120" t="s">
        <v>27</v>
      </c>
      <c r="OE3" s="120" t="s">
        <v>14</v>
      </c>
      <c r="OF3" s="120" t="s">
        <v>15</v>
      </c>
      <c r="OG3" s="120" t="s">
        <v>7</v>
      </c>
      <c r="OH3" s="120" t="s">
        <v>16</v>
      </c>
      <c r="OI3" s="120" t="s">
        <v>27</v>
      </c>
      <c r="OJ3" s="120" t="s">
        <v>51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IF(AND(G4&lt;&gt;"",H4&lt;&gt;""),SUMPRODUCT((G$4:G$27&lt;&gt;"")*(H$4:H$27&lt;&gt;"")*(E$4:E$27&gt;E4))+1,IF(H4&lt;&gt;"",SUMPRODUCT((I$4:I$27="No DD")*(E$4:E$27&gt;E4))+1+SUMPRODUCT((G$4:G$27&lt;&gt;"")*(H$4:H$27&lt;&gt;"")),""))</f>
        <v>1</v>
      </c>
      <c r="B4" s="8" t="s">
        <v>95</v>
      </c>
      <c r="C4" s="4" t="s">
        <v>6</v>
      </c>
      <c r="D4" s="26">
        <v>2000</v>
      </c>
      <c r="E4" s="15">
        <f t="shared" ref="E4:E26" si="0">SUM(O4:S4)</f>
        <v>104.735</v>
      </c>
      <c r="F4" s="3" t="str">
        <f t="shared" ref="F4:F26" si="1">IF(G4&lt;&gt;"","P","")</f>
        <v>P</v>
      </c>
      <c r="G4" s="115" t="str">
        <f t="shared" ref="G4:G26" si="2">IF(OR(AND(AR4&gt;=AY$32,AR4&lt;&gt;"",AP4=""),AND(AT4&gt;=AY$32,AT4&lt;&gt;"",AP4=""),AND(AW4&gt;=AY$32,AW4&lt;&gt;"",AP4=""),AND(BV4&gt;=CC$32,BV4&lt;&gt;"",BT4=""),AND(BX4&gt;=CC$32,BX4&lt;&gt;"",BT4=""),AND(CA4&gt;=CC$32,CA4&lt;&gt;"",BT4=""),AND(CZ4&gt;=DG$32,CZ4&lt;&gt;"",CX4=""),AND(DB4&gt;=DG$32,DB4&lt;&gt;"",CX4=""),AND(DE4&gt;=DG$32,DE4&lt;&gt;"",CX4=""),AND(EA4&gt;=EG$32,EA4&lt;&gt;""),AND(EE4&gt;=EG$32,EE4&lt;&gt;""),AND(EW4&gt;=FC$32,EW4&lt;&gt;""),AND(FA4&gt;=FC$32,FA4&lt;&gt;""),AND(FS4&gt;=FY$32,FS4&lt;&gt;""),AND(FW4&gt;=FY$32,FW4&lt;&gt;""),AND(GO4&gt;=GU$32,GO4&lt;&gt;""),AND(GS4&gt;=GU$32,GS4&lt;&gt;""),AND(HK4&gt;=HQ$32,HK4&lt;&gt;""),AND(HO4&gt;=HQ$32,HO4&lt;&gt;""),AND(IG4&gt;=IM$32,IG4&lt;&gt;""),AND(IK4&gt;=IM$32,IK4&lt;&gt;""),AND(JC4&gt;=JI$32,JC4&lt;&gt;""),AND(JG4&gt;=JI$32,JG4&lt;&gt;""),AND(JY4&gt;=KE$32,JY4&lt;&gt;""),AND(KC4&gt;=KE$32,KC4&lt;&gt;""),AND(KU4&gt;=LA$32,KU4&lt;&gt;""),AND(KY4&gt;=LA$32,KY4&lt;&gt;""),AND(LQ4&gt;=LW$32,LQ4&lt;&gt;""),AND(LU4&gt;=LW$32,LU4&lt;&gt;""),AND(MM4&gt;=MS$32,MM4&lt;&gt;""),AND(MQ4&gt;=MS$32,MQ4&lt;&gt;""),AND(NI4&gt;=NO$32,NI4&lt;&gt;""),AND(NM4&gt;=NO$32,NM4&lt;&gt;"")),"Merit",IF(OR(AND(AR4&gt;=AY$31,AR4&lt;&gt;"",AP4=""),AND(AT4&gt;=AY$31,AT4&lt;&gt;"",AP4=""),AND(AW4&gt;=AY$31,AW4&lt;&gt;"",AP4=""),AND(BV4&gt;=CC$31,BV4&lt;&gt;"",BT4=""),AND(BX4&gt;=CC$31,BX4&lt;&gt;"",BT4=""),AND(CA4&gt;=CC$31,CA4&lt;&gt;"",BT4=""),AND(CZ4&gt;=DG$31,CZ4&lt;&gt;"",CX4=""),AND(DB4&gt;=DG$31,DB4&lt;&gt;"",CX4=""),AND(DE4&gt;=DG$31,DE4&lt;&gt;"",CX4=""),AND(EA4&gt;=EG$31,EA4&lt;&gt;""),AND(EE4&gt;=EG$31,EE4&lt;&gt;""),AND(EW4&gt;=FC$31,EW4&lt;&gt;""),AND(FA4&gt;=FC$31,FA4&lt;&gt;""),AND(FS4&gt;=FY$31,FS4&lt;&gt;""),AND(FW4&gt;=FY$31,FW4&lt;&gt;""),AND(GO4&gt;=GU$31,GO4&lt;&gt;""),AND(GS4&gt;=GU$31,GS4&lt;&gt;""),AND(HK4&gt;=HQ$31,HK4&lt;&gt;""),AND(HO4&gt;=HQ$31,HO4&lt;&gt;""),AND(IG4&gt;=IM$31,IG4&lt;&gt;""),AND(IK4&gt;=IM$31,IK4&lt;&gt;""),AND(JC4&gt;=JI$31,JC4&lt;&gt;""),AND(JG4&gt;=JI$31,JG4&lt;&gt;""),AND(JY4&gt;=KE$31,JY4&lt;&gt;""),AND(KC4&gt;=KE$31,KC4&lt;&gt;""),AND(KU4&gt;=LA$31,KU4&lt;&gt;""),AND(KY4&gt;=LA$31,KY4&lt;&gt;""),AND(LQ4&gt;=LW$31,LQ4&lt;&gt;""),AND(LU4&gt;=LW$31,LU4&lt;&gt;""),AND(MM4&gt;=MS$31,MM4&lt;&gt;""),AND(MQ4&gt;=MS$31,MQ4&lt;&gt;""),AND(NI4&gt;=NO$31,NI4&lt;&gt;""),AND(NM4&gt;=NO$31,NM4&lt;&gt;"")),"Excellence",IF(OR(AND(AR4&gt;=AY$30,AR4&lt;&gt;"",AP4=""),AND(AT4&gt;=AY$30,AT4&lt;&gt;"",AP4=""),AND(AW4&gt;=AY$30,AW4&lt;&gt;"",AP4=""),AND(BV4&gt;=CC$30,BV4&lt;&gt;"",BT4=""),AND(BX4&gt;=CC$30,BX4&lt;&gt;"",BT4=""),AND(CA4&gt;=CC$30,CA4&lt;&gt;"",BT4=""),AND(CZ4&gt;=DG$30,CZ4&lt;&gt;"",CX4=""),AND(DB4&gt;=DG$30,DB4&lt;&gt;"",CX4=""),AND(DE4&gt;=DG$30,DE4&lt;&gt;"",CX4=""),AND(EA4&gt;=EG$30,EA4&lt;&gt;""),AND(EE4&gt;=EG$30,EE4&lt;&gt;""),AND(EW4&gt;=FC$30,EW4&lt;&gt;""),AND(FA4&gt;=FC$30,FA4&lt;&gt;""),AND(FS4&gt;=FY$30,FS4&lt;&gt;""),AND(FW4&gt;=FY$30,FW4&lt;&gt;""),AND(GO4&gt;=GU$30,GO4&lt;&gt;""),AND(GS4&gt;=GU$30,GS4&lt;&gt;""),AND(HK4&gt;=HQ$30,HK4&lt;&gt;""),AND(HO4&gt;=HQ$30,HO4&lt;&gt;""),AND(IG4&gt;=IM$30,IG4&lt;&gt;""),AND(IK4&gt;=IM$30,IK4&lt;&gt;""),AND(JC4&gt;=JI$30,JC4&lt;&gt;""),AND(JG4&gt;=JI$30,JG4&lt;&gt;""),AND(JY4&gt;=KE$30,JY4&lt;&gt;""),AND(KC4&gt;=KE$30,KC4&lt;&gt;""),AND(KU4&gt;=LA$30,KU4&lt;&gt;""),AND(KY4&gt;=LA$30,KY4&lt;&gt;""),AND(LQ4&gt;=LW$30,LQ4&lt;&gt;""),AND(LU4&gt;=LW$30,LU4&lt;&gt;""),AND(MM4&gt;=MS$30,MM4&lt;&gt;""),AND(MQ4&gt;=MS$30,MQ4&lt;&gt;""),AND(NI4&gt;=NO$30,NI4&lt;&gt;""),AND(NM4&gt;=NO$30,NM4&lt;&gt;"")),"Worlds Team",IF(OR(AND(AR4&gt;=AY$29,AR4&lt;&gt;"",AP4=""),AND(AT4&gt;=AY$29,AT4&lt;&gt;"",AP4=""),AND(AW4&gt;=AY$29,AW4&lt;&gt;"",AP4=""),AND(BV4&gt;=CC$29,BV4&lt;&gt;"",BT4=""),AND(BX4&gt;=CC$29,BX4&lt;&gt;"",BT4=""),AND(CA4&gt;=CC$29,CA4&lt;&gt;"",BT4=""),AND(CZ4&gt;=DG$29,CZ4&lt;&gt;"",CX4=""),AND(DB4&gt;=DG$29,DB4&lt;&gt;"",CX4=""),AND(DE4&gt;=DG$29,DE4&lt;&gt;"",CX4=""),AND(EA4&gt;=EG$29,EA4&lt;&gt;""),AND(EE4&gt;=EG$29,EE4&lt;&gt;""),AND(EW4&gt;=FC$29,EW4&lt;&gt;""),AND(FA4&gt;=FC$29,FA4&lt;&gt;""),AND(FS4&gt;=FY$29,FS4&lt;&gt;""),AND(FW4&gt;=FY$29,FW4&lt;&gt;""),AND(GO4&gt;=GU$29,GO4&lt;&gt;""),AND(GS4&gt;=GU$29,GS4&lt;&gt;""),AND(HK4&gt;=HQ$29,HK4&lt;&gt;""),AND(HO4&gt;=HQ$29,HO4&lt;&gt;""),AND(IG4&gt;=IM$29,IG4&lt;&gt;""),AND(IK4&gt;=IM$29,IK4&lt;&gt;""),AND(JC4&gt;=JI$29,JC4&lt;&gt;""),AND(JG4&gt;=JI$29,JG4&lt;&gt;""),AND(JY4&gt;=KE$29,JY4&lt;&gt;""),AND(KC4&gt;=KE$29,KC4&lt;&gt;""),AND(KU4&gt;=LA$29,KU4&lt;&gt;""),AND(KY4&gt;=LA$29,KY4&lt;&gt;""),AND(LQ4&gt;=LW$29,LQ4&lt;&gt;""),AND(LU4&gt;=LW$29,LU4&lt;&gt;""),AND(MM4&gt;=MS$29,MM4&lt;&gt;""),AND(MQ4&gt;=MS$29,MQ4&lt;&gt;""),AND(NI4&gt;=NO$29,NI4&lt;&gt;""),AND(NM4&gt;=NO$29,NM4&lt;&gt;"")),"National Team",""))))</f>
        <v>National Team</v>
      </c>
      <c r="H4" s="115" t="str">
        <f t="shared" ref="H4:H26" si="3">IF(OR(AND(AS4&gt;=AY$33,AS4&lt;&gt;"",AP4=""),AND(AU4&gt;=AY$33,AU4&lt;&gt;"",AP4=""),AND(AX4&gt;=AY$33,AX4&lt;&gt;"",AP4=""),AND(BW4&gt;=CC$33,BW4&lt;&gt;"",BT4=""),AND(BY4&gt;=CC$33,BY4&lt;&gt;"",BT4=""),AND(CB4&gt;=CC$33,CB4&lt;&gt;"",BT4=""),AND(DA4&gt;=DG$33,DA4&lt;&gt;"",CX4=""),AND(DC4&gt;=DG$33,DC4&lt;&gt;"",CX4=""),AND(DF4&gt;=DG$33,DF4&lt;&gt;"",CX4=""),AND(EC4&gt;=EG$33,EC4&lt;&gt;""),AND(EF4&gt;=EG$33,EF4&lt;&gt;""),AND(EY4&gt;=FC$33,EY4&lt;&gt;""),AND(FB4&gt;=FC$33,FB4&lt;&gt;""),AND(FU4&gt;=FY$33,FU4&lt;&gt;""),AND(FX4&gt;=FY$33,FX4&lt;&gt;""),AND(GQ4&gt;=GU$33,GQ4&lt;&gt;""),AND(GT4&gt;=GU$33,GT4&lt;&gt;""),AND(HM4&gt;=HQ$33,HM4&lt;&gt;""),AND(HP4&gt;=HQ$33,HP4&lt;&gt;""),AND(II4&gt;=IM$33,II4&lt;&gt;""),AND(IL4&gt;=IM$33,IL4&lt;&gt;""),AND(JE4&gt;=JI$33,JE4&lt;&gt;""),AND(JH4&gt;=JI$33,JH4&lt;&gt;""),AND(KA4&gt;=KE$33,KA4&lt;&gt;""),AND(KD4&gt;=KE$33,KD4&lt;&gt;""),AND(KW4&gt;=LA$33,KW4&lt;&gt;""),AND(KZ4&gt;=LA$33,KZ4&lt;&gt;""),AND(LS4&gt;=LW$33,LS4&lt;&gt;""),AND(LV4&gt;=LW$33,LV4&lt;&gt;""),AND(MO4&gt;=MS$33,MO4&lt;&gt;""),AND(MR4&gt;=MS$33,MR4&lt;&gt;""),AND(NK4&gt;=NO$33,NK4&lt;&gt;""),AND(NN4&gt;=NO$33,NN4&lt;&gt;"")),"National Team","")</f>
        <v>National Team</v>
      </c>
      <c r="I4" s="116" t="str">
        <f t="shared" ref="I4:I26" si="4"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National Team</v>
      </c>
      <c r="J4" s="3" t="str">
        <f t="shared" ref="J4:J26" si="5">IF(AND(OR(AND(AV4&gt;=AY$34,AV4&lt;&gt;"",AP4=""),AND(BZ4&gt;=CC$34,BZ4&lt;&gt;"",BT4=""),AND(DD4&gt;=DG$34,DD4&lt;&gt;"",CX4=""),AND(ED4&gt;=EG$34,ED4&lt;&gt;""),AND(EZ4&gt;=FC$34,EZ4&lt;&gt;""),AND(FV4&gt;=FY$34,FV4&lt;&gt;""),AND(GR4&gt;=GU$34,GR4&lt;&gt;""),AND(HN4&gt;=HQ$34,HN4&lt;&gt;""),AND(IJ4&gt;=IM$34,IJ4&lt;&gt;""),AND(JF4&gt;=JI$34,JF4&lt;&gt;""),AND(KB4&gt;=KE$34,KB4&lt;&gt;""),AND(KX4&gt;=LA$34,KX4&lt;&gt;""),AND(LT4&gt;=LW$34,LT4&lt;&gt;""),AND(MP4&gt;=MS$34,MP4&lt;&gt;""),AND(NL4&gt;=NO$34,NL4&lt;&gt;"")),OR(G4="Worlds Team",G4="Excellence",G4="Merit")),"P","")</f>
        <v/>
      </c>
      <c r="K4" s="14">
        <f t="shared" ref="K4:K26" si="6">IF(MAX(AV4,BZ4,DD4)&gt;0,MAX(AV4,BZ4,DD4),0)</f>
        <v>99.12</v>
      </c>
      <c r="L4" s="14" t="str">
        <f t="shared" ref="L4:L26" si="7">IF(K4=0,"",IF(K4=DD4,$CD$1,IF(K4=BZ4,$AZ$1,IF(K4=AV4,$V$1,""))))</f>
        <v>2021 Elite Canada</v>
      </c>
      <c r="M4" s="14">
        <f t="shared" ref="M4:M26" si="8">IF($K4=$AV4,MAX(BU4,CY4),IF($K4=$BZ4,MAX(AQ4,CY4),IF($K4=$DD4,MAX(AQ4,BU4),MAX(AQ4,BU4,CY4))))</f>
        <v>46.48</v>
      </c>
      <c r="N4" s="14" t="str">
        <f t="shared" ref="N4:N26" si="9">IF(M4=0,"",IF(AND(M4=CY4,$L4&lt;&gt;$CD$1),$CD$1,IF(AND(M4=BU4,$L4&lt;&gt;$AZ$1),$AZ$1,IF(AND(M4=AQ4,$L4&lt;&gt;$V$1),$V$1,""))))</f>
        <v>2021 1st Virtual Technical Trial</v>
      </c>
      <c r="O4" s="14">
        <f t="shared" ref="O4:O26" si="10">MAX(AS4,AU4,AX4,BW4,BY4,CB4,DA4,DC4,DF4)</f>
        <v>52.75</v>
      </c>
      <c r="P4" s="14" t="str">
        <f t="shared" ref="P4:P26" si="11">IF(O4=0,"",IF(OR(O4=DC4,O4=DA4,O4=DF4),$CD$1,IF(OR(O4=BY4,O4=BW4,O4=CB4),$AZ$1,IF(OR(O4=AU4,O4=AS4,O4=AX4),$V$1,""))))</f>
        <v>2021 Elite Canada</v>
      </c>
      <c r="Q4" s="14">
        <f>IF(COUNT(AS4,AU4,AX4,BW4,BY4,CB4,DA4,DC4,DF4)&gt;1,LARGE((AS4,AU4,AX4,BW4,BY4,CB4,DA4,DC4,DF4),2),0)</f>
        <v>51.984999999999999</v>
      </c>
      <c r="R4" s="14" t="str">
        <f t="shared" ref="R4:R26" si="12">IF(Q4=0,"",IF(OR(Q4=DC4,Q4=DA4,Q4=DF4),$CD$1,IF(OR(Q4=BY4,Q4=BW4,Q4=CB4),$AZ$1,IF(OR(Q4=AU4,Q4=AS4,Q4=AX4),$V$1,""))))</f>
        <v>2021 Elite Canada</v>
      </c>
      <c r="S4" s="14" t="str">
        <f t="shared" ref="S4:S26" si="13">IF(MAX(DI4,DK4)&gt;0,MAX(DI4,DK4),"")</f>
        <v/>
      </c>
      <c r="T4" s="24" t="str">
        <f t="shared" ref="T4:T26" si="14">IF(S4="","",IF(S4=DH4,"(Vol 1)",IF(S4=DI4,"(Vol 2)",IF(S4=DJ4,"(Prelim)",IF(S4=DK4,"(Final)")))))</f>
        <v/>
      </c>
      <c r="U4" s="14" t="str">
        <f t="shared" ref="U4:U26" si="15"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/>
      </c>
      <c r="V4" s="61">
        <v>17.5</v>
      </c>
      <c r="W4" s="61">
        <v>9.5</v>
      </c>
      <c r="X4" s="61">
        <v>3.4</v>
      </c>
      <c r="Y4" s="61">
        <v>16.079999999999998</v>
      </c>
      <c r="Z4" s="61">
        <v>0</v>
      </c>
      <c r="AA4" s="61">
        <v>14.1</v>
      </c>
      <c r="AB4" s="61">
        <v>9.65</v>
      </c>
      <c r="AC4" s="61">
        <v>11.5</v>
      </c>
      <c r="AD4" s="61">
        <v>15.24</v>
      </c>
      <c r="AE4" s="61">
        <v>0</v>
      </c>
      <c r="AF4" s="61">
        <v>15.8</v>
      </c>
      <c r="AG4" s="61">
        <v>9.35</v>
      </c>
      <c r="AH4" s="61">
        <v>11.5</v>
      </c>
      <c r="AI4" s="61">
        <v>15.16</v>
      </c>
      <c r="AJ4" s="61">
        <v>0</v>
      </c>
      <c r="AK4" s="61">
        <v>15.3</v>
      </c>
      <c r="AL4" s="61">
        <v>9</v>
      </c>
      <c r="AM4" s="61">
        <v>12.2</v>
      </c>
      <c r="AN4" s="61">
        <v>15.04</v>
      </c>
      <c r="AO4" s="61">
        <v>0</v>
      </c>
      <c r="AP4" s="72"/>
      <c r="AQ4" s="11">
        <f t="shared" ref="AQ4:AQ26" si="16">IF(SUM(V4:Y4)-Z4&gt;0,SUM(V4:Y4)-Z4,"")</f>
        <v>46.48</v>
      </c>
      <c r="AR4" s="11">
        <f t="shared" ref="AR4:AR26" si="17">IF(AC4&gt;0,AC4,"")</f>
        <v>11.5</v>
      </c>
      <c r="AS4" s="11">
        <f t="shared" ref="AS4:AS26" si="18">IF(SUM(AA4:AD4)-AE4&gt;0,SUM(AA4:AD4)-AE4,"")</f>
        <v>50.49</v>
      </c>
      <c r="AT4" s="11">
        <f t="shared" ref="AT4:AT26" si="19">IF(AH4&gt;0,AH4,"")</f>
        <v>11.5</v>
      </c>
      <c r="AU4" s="11">
        <f t="shared" ref="AU4:AU26" si="20">IF(SUM(AF4:AI4)-AJ4&gt;0,SUM(AF4:AI4)-AJ4,"")</f>
        <v>51.81</v>
      </c>
      <c r="AV4" s="11">
        <f t="shared" ref="AV4:AV26" si="21">IF(AQ4="",IF(MAX(AS4,AU4)&gt;0,MAX(AS4,AU4),""),MAX(AS4,AU4)+AQ4)</f>
        <v>98.289999999999992</v>
      </c>
      <c r="AW4" s="11">
        <f t="shared" ref="AW4:AW26" si="22">IF(AM4&gt;0,AM4,"")</f>
        <v>12.2</v>
      </c>
      <c r="AX4" s="11">
        <f t="shared" ref="AX4:AX26" si="23">IF(SUM(AK4:AN4)-AO4&gt;0,SUM(AK4:AN4)-AO4,"")</f>
        <v>51.54</v>
      </c>
      <c r="AY4" s="11">
        <f t="shared" ref="AY4:AY26" si="24">IF(SUM(AV4,AX4)&gt;0,SUM(AV4,AX4),"")</f>
        <v>149.82999999999998</v>
      </c>
      <c r="AZ4" s="67">
        <v>17.3</v>
      </c>
      <c r="BA4" s="67">
        <v>9.1999999999999993</v>
      </c>
      <c r="BB4" s="67">
        <v>3.2</v>
      </c>
      <c r="BC4" s="67">
        <v>15.725</v>
      </c>
      <c r="BD4" s="67">
        <v>0</v>
      </c>
      <c r="BE4" s="67">
        <v>15.2</v>
      </c>
      <c r="BF4" s="67">
        <v>9.1</v>
      </c>
      <c r="BG4" s="67">
        <v>11.5</v>
      </c>
      <c r="BH4" s="67">
        <v>14.595000000000001</v>
      </c>
      <c r="BI4" s="67">
        <v>0</v>
      </c>
      <c r="BJ4" s="67">
        <v>14.9</v>
      </c>
      <c r="BK4" s="67">
        <v>9</v>
      </c>
      <c r="BL4" s="67">
        <v>11.3</v>
      </c>
      <c r="BM4" s="67">
        <v>14.61</v>
      </c>
      <c r="BN4" s="67">
        <v>0.6</v>
      </c>
      <c r="BO4" s="67">
        <v>9.4</v>
      </c>
      <c r="BP4" s="67">
        <v>4.8</v>
      </c>
      <c r="BQ4" s="67">
        <v>7.9</v>
      </c>
      <c r="BR4" s="67">
        <v>9.0150000000000006</v>
      </c>
      <c r="BS4" s="67">
        <v>0</v>
      </c>
      <c r="BT4" s="73"/>
      <c r="BU4" s="14">
        <f t="shared" ref="BU4:BU26" si="25">IF(SUM(AZ4:BC4)-BD4&gt;0,SUM(AZ4:BC4)-BD4,"")</f>
        <v>45.424999999999997</v>
      </c>
      <c r="BV4" s="14">
        <f t="shared" ref="BV4:BV26" si="26">IF(BG4&gt;0,BG4,"")</f>
        <v>11.5</v>
      </c>
      <c r="BW4" s="14">
        <f t="shared" ref="BW4:BW26" si="27">IF(SUM(BE4:BH4)-BI4&gt;0,SUM(BE4:BH4)-BI4,"")</f>
        <v>50.394999999999996</v>
      </c>
      <c r="BX4" s="14">
        <f t="shared" ref="BX4:BX26" si="28">IF(BL4&gt;0,BL4,"")</f>
        <v>11.3</v>
      </c>
      <c r="BY4" s="14">
        <f t="shared" ref="BY4:BY26" si="29">IF(SUM(BJ4:BM4)-BN4&gt;0,SUM(BJ4:BM4)-BN4,"")</f>
        <v>49.21</v>
      </c>
      <c r="BZ4" s="14">
        <f t="shared" ref="BZ4:BZ26" si="30">IF(BU4="",IF(MAX(BW4,BY4)&gt;0,MAX(BW4,BY4),""),MAX(BW4,BY4)+BU4)</f>
        <v>95.82</v>
      </c>
      <c r="CA4" s="14">
        <f t="shared" ref="CA4:CA26" si="31">IF(BQ4&gt;0,BQ4,"")</f>
        <v>7.9</v>
      </c>
      <c r="CB4" s="14">
        <f t="shared" ref="CB4:CB26" si="32">IF(SUM(BO4:BR4)-BS4&gt;0,SUM(BO4:BR4)-BS4,"")</f>
        <v>31.115000000000002</v>
      </c>
      <c r="CC4" s="14">
        <f t="shared" ref="CC4:CC26" si="33">IF(SUM(BZ4,CB4)&gt;0,SUM(BZ4,CB4),"")</f>
        <v>126.935</v>
      </c>
      <c r="CD4" s="61">
        <v>18</v>
      </c>
      <c r="CE4" s="61">
        <v>9.3000000000000007</v>
      </c>
      <c r="CF4" s="61">
        <v>3.4</v>
      </c>
      <c r="CG4" s="61">
        <v>15.67</v>
      </c>
      <c r="CH4" s="61">
        <v>0</v>
      </c>
      <c r="CI4" s="61">
        <v>16.8</v>
      </c>
      <c r="CJ4" s="61">
        <v>9.6</v>
      </c>
      <c r="CK4" s="61">
        <v>11.5</v>
      </c>
      <c r="CL4" s="61">
        <v>14.85</v>
      </c>
      <c r="CM4" s="61">
        <v>0</v>
      </c>
      <c r="CN4" s="61">
        <v>15.1</v>
      </c>
      <c r="CO4" s="61">
        <v>8.8000000000000007</v>
      </c>
      <c r="CP4" s="61">
        <v>12.2</v>
      </c>
      <c r="CQ4" s="61">
        <v>14.585000000000001</v>
      </c>
      <c r="CR4" s="61">
        <v>0</v>
      </c>
      <c r="CS4" s="61">
        <v>15.6</v>
      </c>
      <c r="CT4" s="61">
        <v>9.6</v>
      </c>
      <c r="CU4" s="61">
        <v>12.2</v>
      </c>
      <c r="CV4" s="61">
        <v>14.585000000000001</v>
      </c>
      <c r="CW4" s="61">
        <v>0</v>
      </c>
      <c r="CX4" s="72"/>
      <c r="CY4" s="11">
        <f t="shared" ref="CY4:CY26" si="34">IF(SUM(CD4:CG4)-CH4&gt;0,SUM(CD4:CG4)-CH4,"")</f>
        <v>46.37</v>
      </c>
      <c r="CZ4" s="11">
        <f t="shared" ref="CZ4:CZ26" si="35">IF(CK4&gt;0,CK4,"")</f>
        <v>11.5</v>
      </c>
      <c r="DA4" s="11">
        <f t="shared" ref="DA4:DA26" si="36">IF(SUM(CI4:CL4)-CM4&gt;0,SUM(CI4:CL4)-CM4,"")</f>
        <v>52.75</v>
      </c>
      <c r="DB4" s="11">
        <f t="shared" ref="DB4:DB26" si="37">IF(CP4&gt;0,CP4,"")</f>
        <v>12.2</v>
      </c>
      <c r="DC4" s="11">
        <f t="shared" ref="DC4:DC26" si="38">IF(SUM(CN4:CQ4)-CR4&gt;0,SUM(CN4:CQ4)-CR4,"")</f>
        <v>50.684999999999995</v>
      </c>
      <c r="DD4" s="11">
        <f t="shared" ref="DD4:DD26" si="39">IF(CY4="",IF(MAX(DA4,DC4)&gt;0,MAX(DA4,DC4),""),MAX(DA4,DC4)+CY4)</f>
        <v>99.12</v>
      </c>
      <c r="DE4" s="11">
        <f t="shared" ref="DE4:DE26" si="40">IF(CU4&gt;0,CU4,"")</f>
        <v>12.2</v>
      </c>
      <c r="DF4" s="11">
        <f t="shared" ref="DF4:DF26" si="41">IF(SUM(CS4:CV4)-CW4&gt;0,SUM(CS4:CV4)-CW4,"")</f>
        <v>51.984999999999999</v>
      </c>
      <c r="DG4" s="11">
        <f t="shared" ref="DG4:DG26" si="42">IF(SUM(DD4,DF4)&gt;0,SUM(DD4,DF4),"")</f>
        <v>151.10500000000002</v>
      </c>
      <c r="DH4" s="23" t="str">
        <f t="shared" ref="DH4:DH26" si="43">IF(MAX(EB4,EX4,FT4,GP4,HL4,IH4,JD4,JZ4,KV4,LR4,MN4,NJ4)-IF(M4="",0,M4)&gt;0.001,MAX(EB4,EX4,FT4,GP4,HL4,IH4,JD4,JZ4,KV4,LR4,MN4,NJ4)-IF(M4="",0,M4),"")</f>
        <v/>
      </c>
      <c r="DI4" s="23" t="str">
        <f t="shared" ref="DI4:DI26" si="44">IF(MAX(EC4,EY4,FU4,GQ4,HM4,II4,JE4,KA4,KW4,LS4,MO4,NK4)-IF(O4="",0,O4)&gt;0.001,MAX(EC4,EY4,FU4,GQ4,HM4,II4,JE4,KA4,KW4,LS4,MO4,NK4)-IF(O4="",0,O4),"")</f>
        <v/>
      </c>
      <c r="DJ4" s="23" t="str">
        <f t="shared" ref="DJ4:DJ26" si="45">IF(MAX(ED4,EZ4,FV4,GR4,HN4,IJ4,JF4,KB4,KX4,LT4,MP4,NL4)-IF(K4="",0,K4)&gt;0.001,MAX(ED4,EZ4,FV4,GR4,HN4,IJ4,JF4,KB4,KX4,LT4,MP4,NL4)-IF(K4="",0,K4),"")</f>
        <v/>
      </c>
      <c r="DK4" s="23" t="str">
        <f t="shared" ref="DK4:DK26" si="46">IF(MAX(EF4,FB4,FX4,GT4,HP4,IL4,JH4,KD4,KZ4,LV4,MR4,NN4)-IF(Q4="",0,Q4)&gt;0.001,MAX(EF4,FB4,FX4,GT4,HP4,IL4,JH4,KD4,KZ4,LV4,MR4,NN4)-IF(Q4="",0,Q4),"")</f>
        <v/>
      </c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11" t="str">
        <f t="shared" ref="EA4:EA26" si="47">IF(DS4&gt;0,DS4,"")</f>
        <v/>
      </c>
      <c r="EB4" s="11" t="str">
        <f t="shared" ref="EB4:EB26" si="48">IF(SUM(DL4:DO4)-DP4&gt;0,SUM(DL4:DO4)-DP4,"")</f>
        <v/>
      </c>
      <c r="EC4" s="11" t="str">
        <f t="shared" ref="EC4:EC26" si="49">IF(SUM(DQ4:DT4)-DU4&gt;0,SUM(DQ4:DT4)-DU4,"")</f>
        <v/>
      </c>
      <c r="ED4" s="11" t="str">
        <f t="shared" ref="ED4:ED26" si="50">IF(SUM(EB4:EC4)&gt;0,SUM(EB4:EC4),"")</f>
        <v/>
      </c>
      <c r="EE4" s="11" t="str">
        <f t="shared" ref="EE4:EE26" si="51">IF(DX4&gt;0,DX4,"")</f>
        <v/>
      </c>
      <c r="EF4" s="11" t="str">
        <f t="shared" ref="EF4:EF26" si="52">IF(SUM(DV4:DY4)-DZ4&gt;0,SUM(DV4:DY4)-DZ4,"")</f>
        <v/>
      </c>
      <c r="EG4" s="11" t="str">
        <f t="shared" ref="EG4:EG26" si="53">IF(SUM(ED4,EF4)&gt;0,SUM(ED4,EF4),"")</f>
        <v/>
      </c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14" t="str">
        <f t="shared" ref="EW4:EW26" si="54">IF(EO4&gt;0,EO4,"")</f>
        <v/>
      </c>
      <c r="EX4" s="14" t="str">
        <f t="shared" ref="EX4:EX26" si="55">IF(SUM(EH4:EK4)-EL4&gt;0,SUM(EH4:EK4)-EL4,"")</f>
        <v/>
      </c>
      <c r="EY4" s="14" t="str">
        <f t="shared" ref="EY4:EY26" si="56">IF(SUM(EM4:EP4)-EQ4&gt;0,SUM(EM4:EP4)-EQ4,"")</f>
        <v/>
      </c>
      <c r="EZ4" s="14" t="str">
        <f t="shared" ref="EZ4:EZ26" si="57">IF(SUM(EX4:EY4)&gt;0,SUM(EX4:EY4),"")</f>
        <v/>
      </c>
      <c r="FA4" s="14" t="str">
        <f t="shared" ref="FA4:FA26" si="58">IF(ET4&gt;0,ET4,"")</f>
        <v/>
      </c>
      <c r="FB4" s="14" t="str">
        <f t="shared" ref="FB4:FB26" si="59">IF(SUM(ER4:EU4)-EV4&gt;0,SUM(ER4:EU4)-EV4,"")</f>
        <v/>
      </c>
      <c r="FC4" s="14" t="str">
        <f t="shared" ref="FC4:FC26" si="60">IF(SUM(EZ4,FB4)&gt;0,SUM(EZ4,FB4),"")</f>
        <v/>
      </c>
      <c r="FD4" s="35"/>
      <c r="FE4" s="35"/>
      <c r="FF4" s="35"/>
      <c r="FG4" s="35"/>
      <c r="FH4" s="35"/>
      <c r="FI4" s="35"/>
      <c r="FJ4" s="35"/>
      <c r="FK4" s="35"/>
      <c r="FL4" s="35"/>
      <c r="FM4" s="35"/>
      <c r="FN4" s="35"/>
      <c r="FO4" s="35"/>
      <c r="FP4" s="35"/>
      <c r="FQ4" s="35"/>
      <c r="FR4" s="35"/>
      <c r="FS4" s="11" t="str">
        <f t="shared" ref="FS4:FS26" si="61">IF(FK4&gt;0,FK4,"")</f>
        <v/>
      </c>
      <c r="FT4" s="11" t="str">
        <f t="shared" ref="FT4:FT26" si="62">IF(SUM(FD4:FG4)-FH4&gt;0,SUM(FD4:FG4)-FH4,"")</f>
        <v/>
      </c>
      <c r="FU4" s="11" t="str">
        <f t="shared" ref="FU4:FU26" si="63">IF(SUM(FI4:FL4)-FM4&gt;0,SUM(FI4:FL4)-FM4,"")</f>
        <v/>
      </c>
      <c r="FV4" s="11" t="str">
        <f t="shared" ref="FV4:FV26" si="64">IF(SUM(FT4:FU4)&gt;0,SUM(FT4:FU4),"")</f>
        <v/>
      </c>
      <c r="FW4" s="11" t="str">
        <f t="shared" ref="FW4:FW26" si="65">IF(FP4&gt;0,FP4,"")</f>
        <v/>
      </c>
      <c r="FX4" s="11" t="str">
        <f t="shared" ref="FX4:FX26" si="66">IF(SUM(FN4:FQ4)-FR4&gt;0,SUM(FN4:FQ4)-FR4,"")</f>
        <v/>
      </c>
      <c r="FY4" s="11" t="str">
        <f t="shared" ref="FY4:FY26" si="67">IF(SUM(FV4,FX4)&gt;0,SUM(FV4,FX4),"")</f>
        <v/>
      </c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4" t="str">
        <f t="shared" ref="GO4:GO26" si="68">IF(GG4&gt;0,GG4,"")</f>
        <v/>
      </c>
      <c r="GP4" s="14" t="str">
        <f t="shared" ref="GP4:GP26" si="69">IF(SUM(FZ4:GC4)-GD4&gt;0,SUM(FZ4:GC4)-GD4,"")</f>
        <v/>
      </c>
      <c r="GQ4" s="14" t="str">
        <f t="shared" ref="GQ4:GQ26" si="70">IF(SUM(GE4:GH4)-GI4&gt;0,SUM(GE4:GH4)-GI4,"")</f>
        <v/>
      </c>
      <c r="GR4" s="14" t="str">
        <f t="shared" ref="GR4:GR26" si="71">IF(SUM(GP4:GQ4)&gt;0,SUM(GP4:GQ4),"")</f>
        <v/>
      </c>
      <c r="GS4" s="14" t="str">
        <f t="shared" ref="GS4:GS26" si="72">IF(GL4&gt;0,GL4,"")</f>
        <v/>
      </c>
      <c r="GT4" s="14" t="str">
        <f t="shared" ref="GT4:GT26" si="73">IF(SUM(GJ4:GM4)-GN4&gt;0,SUM(GJ4:GM4)-GN4,"")</f>
        <v/>
      </c>
      <c r="GU4" s="14" t="str">
        <f t="shared" ref="GU4:GU26" si="74">IF(SUM(GR4,GT4)&gt;0,SUM(GR4,GT4),"")</f>
        <v/>
      </c>
      <c r="GV4" s="35"/>
      <c r="GW4" s="35"/>
      <c r="GX4" s="35"/>
      <c r="GY4" s="35"/>
      <c r="GZ4" s="35"/>
      <c r="HA4" s="35"/>
      <c r="HB4" s="35"/>
      <c r="HC4" s="35"/>
      <c r="HD4" s="35"/>
      <c r="HE4" s="35"/>
      <c r="HF4" s="35"/>
      <c r="HG4" s="35"/>
      <c r="HH4" s="35"/>
      <c r="HI4" s="35"/>
      <c r="HJ4" s="35"/>
      <c r="HK4" s="11" t="str">
        <f t="shared" ref="HK4:HK26" si="75">IF(HC4&gt;0,HC4,"")</f>
        <v/>
      </c>
      <c r="HL4" s="11" t="str">
        <f t="shared" ref="HL4:HL26" si="76">IF(SUM(GV4:GY4)-GZ4&gt;0,SUM(GV4:GY4)-GZ4,"")</f>
        <v/>
      </c>
      <c r="HM4" s="11" t="str">
        <f t="shared" ref="HM4:HM26" si="77">IF(SUM(HA4:HD4)-HE4&gt;0,SUM(HA4:HD4)-HE4,"")</f>
        <v/>
      </c>
      <c r="HN4" s="11" t="str">
        <f t="shared" ref="HN4:HN26" si="78">IF(SUM(HL4:HM4)&gt;0,SUM(HL4:HM4),"")</f>
        <v/>
      </c>
      <c r="HO4" s="11" t="str">
        <f t="shared" ref="HO4:HO26" si="79">IF(HH4&gt;0,HH4,"")</f>
        <v/>
      </c>
      <c r="HP4" s="11" t="str">
        <f t="shared" ref="HP4:HP26" si="80">IF(SUM(HF4:HI4)-HJ4&gt;0,SUM(HF4:HI4)-HJ4,"")</f>
        <v/>
      </c>
      <c r="HQ4" s="11" t="str">
        <f t="shared" ref="HQ4:HQ26" si="81">IF(SUM(HN4,HP4)&gt;0,SUM(HN4,HP4),"")</f>
        <v/>
      </c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14" t="str">
        <f t="shared" ref="IG4:IG26" si="82">IF(HY4&gt;0,HY4,"")</f>
        <v/>
      </c>
      <c r="IH4" s="14" t="str">
        <f t="shared" ref="IH4:IH26" si="83">IF(SUM(HR4:HU4)-HV4&gt;0,SUM(HR4:HU4)-HV4,"")</f>
        <v/>
      </c>
      <c r="II4" s="14" t="str">
        <f t="shared" ref="II4:II26" si="84">IF(SUM(HW4:HZ4)-IA4&gt;0,SUM(HW4:HZ4)-IA4,"")</f>
        <v/>
      </c>
      <c r="IJ4" s="14" t="str">
        <f t="shared" ref="IJ4:IJ26" si="85">IF(SUM(IH4:II4)&gt;0,SUM(IH4:II4),"")</f>
        <v/>
      </c>
      <c r="IK4" s="14" t="str">
        <f t="shared" ref="IK4:IK26" si="86">IF(ID4&gt;0,ID4,"")</f>
        <v/>
      </c>
      <c r="IL4" s="14" t="str">
        <f t="shared" ref="IL4:IL26" si="87">IF(SUM(IB4:IE4)-IF4&gt;0,SUM(IB4:IE4)-IF4,"")</f>
        <v/>
      </c>
      <c r="IM4" s="14" t="str">
        <f t="shared" ref="IM4:IM26" si="88">IF(SUM(IJ4,IL4)&gt;0,SUM(IJ4,IL4),"")</f>
        <v/>
      </c>
      <c r="IN4" s="35"/>
      <c r="IO4" s="35"/>
      <c r="IP4" s="35"/>
      <c r="IQ4" s="35"/>
      <c r="IR4" s="35"/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11" t="str">
        <f t="shared" ref="JC4:JC26" si="89">IF(IU4&gt;0,IU4,"")</f>
        <v/>
      </c>
      <c r="JD4" s="11" t="str">
        <f t="shared" ref="JD4:JD26" si="90">IF(SUM(IN4:IQ4)-IR4&gt;0,SUM(IN4:IQ4)-IR4,"")</f>
        <v/>
      </c>
      <c r="JE4" s="11" t="str">
        <f t="shared" ref="JE4:JE26" si="91">IF(SUM(IS4:IV4)-IW4&gt;0,SUM(IS4:IV4)-IW4,"")</f>
        <v/>
      </c>
      <c r="JF4" s="11" t="str">
        <f t="shared" ref="JF4:JF26" si="92">IF(SUM(JD4:JE4)&gt;0,SUM(JD4:JE4),"")</f>
        <v/>
      </c>
      <c r="JG4" s="11" t="str">
        <f t="shared" ref="JG4:JG26" si="93">IF(IZ4&gt;0,IZ4,"")</f>
        <v/>
      </c>
      <c r="JH4" s="11" t="str">
        <f t="shared" ref="JH4:JH26" si="94">IF(SUM(IX4:JA4)-JB4&gt;0,SUM(IX4:JA4)-JB4,"")</f>
        <v/>
      </c>
      <c r="JI4" s="11" t="str">
        <f t="shared" ref="JI4:JI26" si="95">IF(SUM(JF4,JH4)&gt;0,SUM(JF4,JH4),"")</f>
        <v/>
      </c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14" t="str">
        <f t="shared" ref="JY4:JY26" si="96">IF(JQ4&gt;0,JQ4,"")</f>
        <v/>
      </c>
      <c r="JZ4" s="14" t="str">
        <f t="shared" ref="JZ4:JZ26" si="97">IF(SUM(JJ4:JM4)-JN4&gt;0,SUM(JJ4:JM4)-JN4,"")</f>
        <v/>
      </c>
      <c r="KA4" s="14" t="str">
        <f t="shared" ref="KA4:KA26" si="98">IF(SUM(JO4:JR4)-JS4&gt;0,SUM(JO4:JR4)-JS4,"")</f>
        <v/>
      </c>
      <c r="KB4" s="14" t="str">
        <f t="shared" ref="KB4:KB26" si="99">IF(SUM(JZ4:KA4)&gt;0,SUM(JZ4:KA4),"")</f>
        <v/>
      </c>
      <c r="KC4" s="14" t="str">
        <f t="shared" ref="KC4:KC26" si="100">IF(JV4&gt;0,JV4,"")</f>
        <v/>
      </c>
      <c r="KD4" s="14" t="str">
        <f t="shared" ref="KD4:KD26" si="101">IF(SUM(JT4:JW4)-JX4&gt;0,SUM(JT4:JW4)-JX4,"")</f>
        <v/>
      </c>
      <c r="KE4" s="14" t="str">
        <f t="shared" ref="KE4:KE26" si="102">IF(SUM(KB4,KD4)&gt;0,SUM(KB4,KD4),"")</f>
        <v/>
      </c>
      <c r="KF4" s="35"/>
      <c r="KG4" s="35"/>
      <c r="KH4" s="35"/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11" t="str">
        <f t="shared" ref="KU4:KU26" si="103">IF(KM4&gt;0,KM4,"")</f>
        <v/>
      </c>
      <c r="KV4" s="11" t="str">
        <f t="shared" ref="KV4:KV26" si="104">IF(SUM(KF4:KI4)-KJ4&gt;0,SUM(KF4:KI4)-KJ4,"")</f>
        <v/>
      </c>
      <c r="KW4" s="11" t="str">
        <f t="shared" ref="KW4:KW26" si="105">IF(SUM(KK4:KN4)-KO4&gt;0,SUM(KK4:KN4)-KO4,"")</f>
        <v/>
      </c>
      <c r="KX4" s="11" t="str">
        <f t="shared" ref="KX4:KX26" si="106">IF(SUM(KV4:KW4)&gt;0,SUM(KV4:KW4),"")</f>
        <v/>
      </c>
      <c r="KY4" s="11" t="str">
        <f t="shared" ref="KY4:KY26" si="107">IF(KR4&gt;0,KR4,"")</f>
        <v/>
      </c>
      <c r="KZ4" s="11" t="str">
        <f t="shared" ref="KZ4:KZ26" si="108">IF(SUM(KP4:KS4)-KT4&gt;0,SUM(KP4:KS4)-KT4,"")</f>
        <v/>
      </c>
      <c r="LA4" s="11" t="str">
        <f t="shared" ref="LA4:LA26" si="109">IF(SUM(KX4,KZ4)&gt;0,SUM(KX4,KZ4),"")</f>
        <v/>
      </c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14" t="str">
        <f t="shared" ref="LQ4:LQ26" si="110">IF(LI4&gt;0,LI4,"")</f>
        <v/>
      </c>
      <c r="LR4" s="14" t="str">
        <f t="shared" ref="LR4:LR26" si="111">IF(SUM(LB4:LE4)-LF4&gt;0,SUM(LB4:LE4)-LF4,"")</f>
        <v/>
      </c>
      <c r="LS4" s="14" t="str">
        <f t="shared" ref="LS4:LS26" si="112">IF(SUM(LG4:LJ4)-LK4&gt;0,SUM(LG4:LJ4)-LK4,"")</f>
        <v/>
      </c>
      <c r="LT4" s="14" t="str">
        <f t="shared" ref="LT4:LT26" si="113">IF(SUM(LR4:LS4)&gt;0,SUM(LR4:LS4),"")</f>
        <v/>
      </c>
      <c r="LU4" s="14" t="str">
        <f t="shared" ref="LU4:LU26" si="114">IF(LN4&gt;0,LN4,"")</f>
        <v/>
      </c>
      <c r="LV4" s="14" t="str">
        <f t="shared" ref="LV4:LV26" si="115">IF(SUM(LL4:LO4)-LP4&gt;0,SUM(LL4:LO4)-LP4,"")</f>
        <v/>
      </c>
      <c r="LW4" s="14" t="str">
        <f t="shared" ref="LW4:LW26" si="116">IF(SUM(LT4,LV4)&gt;0,SUM(LT4,LV4),"")</f>
        <v/>
      </c>
      <c r="LX4" s="35"/>
      <c r="LY4" s="35"/>
      <c r="LZ4" s="35"/>
      <c r="MA4" s="35"/>
      <c r="MB4" s="35"/>
      <c r="MC4" s="35"/>
      <c r="MD4" s="35"/>
      <c r="ME4" s="35"/>
      <c r="MF4" s="35"/>
      <c r="MG4" s="35"/>
      <c r="MH4" s="35"/>
      <c r="MI4" s="35"/>
      <c r="MJ4" s="35"/>
      <c r="MK4" s="35"/>
      <c r="ML4" s="35"/>
      <c r="MM4" s="11" t="str">
        <f t="shared" ref="MM4:MM26" si="117">IF(ME4&gt;0,ME4,"")</f>
        <v/>
      </c>
      <c r="MN4" s="11" t="str">
        <f t="shared" ref="MN4:MN26" si="118">IF(SUM(LX4:MA4)-MB4&gt;0,SUM(LX4:MA4)-MB4,"")</f>
        <v/>
      </c>
      <c r="MO4" s="11" t="str">
        <f t="shared" ref="MO4:MO26" si="119">IF(SUM(MC4:MF4)-MG4&gt;0,SUM(MC4:MF4)-MG4,"")</f>
        <v/>
      </c>
      <c r="MP4" s="11" t="str">
        <f t="shared" ref="MP4:MP26" si="120">IF(SUM(MN4:MO4)&gt;0,SUM(MN4:MO4),"")</f>
        <v/>
      </c>
      <c r="MQ4" s="11" t="str">
        <f t="shared" ref="MQ4:MQ26" si="121">IF(MJ4&gt;0,MJ4,"")</f>
        <v/>
      </c>
      <c r="MR4" s="11" t="str">
        <f t="shared" ref="MR4:MR26" si="122">IF(SUM(MH4:MK4)-ML4&gt;0,SUM(MH4:MK4)-ML4,"")</f>
        <v/>
      </c>
      <c r="MS4" s="11" t="str">
        <f t="shared" ref="MS4:MS26" si="123">IF(SUM(MP4,MR4)&gt;0,SUM(MP4,MR4),"")</f>
        <v/>
      </c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14" t="str">
        <f t="shared" ref="NI4:NI26" si="124">IF(NA4&gt;0,NA4,"")</f>
        <v/>
      </c>
      <c r="NJ4" s="14" t="str">
        <f t="shared" ref="NJ4:NJ26" si="125">IF(SUM(MT4:MW4)-MX4&gt;0,SUM(MT4:MW4)-MX4,"")</f>
        <v/>
      </c>
      <c r="NK4" s="14" t="str">
        <f t="shared" ref="NK4:NK26" si="126">IF(SUM(MY4:NB4)-NC4&gt;0,SUM(MY4:NB4)-NC4,"")</f>
        <v/>
      </c>
      <c r="NL4" s="14" t="str">
        <f t="shared" ref="NL4:NL26" si="127">IF(SUM(NJ4:NK4)&gt;0,SUM(NJ4:NK4),"")</f>
        <v/>
      </c>
      <c r="NM4" s="14" t="str">
        <f t="shared" ref="NM4:NM26" si="128">IF(NF4&gt;0,NF4,"")</f>
        <v/>
      </c>
      <c r="NN4" s="14" t="str">
        <f t="shared" ref="NN4:NN26" si="129">IF(SUM(ND4:NG4)-NH4&gt;0,SUM(ND4:NG4)-NH4,"")</f>
        <v/>
      </c>
      <c r="NO4" s="14" t="str">
        <f t="shared" ref="NO4:NO26" si="130">IF(SUM(NL4,NN4)&gt;0,SUM(NL4,NN4),"")</f>
        <v/>
      </c>
      <c r="NP4" s="61">
        <f t="shared" ref="NP4:NP26" si="131">IF($CX4="P",CD4,(CD4+AZ4)/2)</f>
        <v>17.649999999999999</v>
      </c>
      <c r="NQ4" s="61">
        <f t="shared" ref="NQ4:NQ26" si="132">IF($CX4="P",CE4,(CE4+BA4)/2)</f>
        <v>9.25</v>
      </c>
      <c r="NR4" s="61">
        <f t="shared" ref="NR4:NR26" si="133">IF($CX4="P",CF4,(CF4+BB4)/2)</f>
        <v>3.3</v>
      </c>
      <c r="NS4" s="61">
        <f t="shared" ref="NS4:NS26" si="134">IF($CX4="P",CG4,(CG4+BC4)/2)</f>
        <v>15.6975</v>
      </c>
      <c r="NT4" s="61">
        <f t="shared" ref="NT4:NT26" si="135">IF($CX4="P",CH4,(CH4+BD4)/2)</f>
        <v>0</v>
      </c>
      <c r="NU4" s="61">
        <f t="shared" ref="NU4:NU26" si="136">IF($CX4="P",CI4,(CI4+BE4)/2)</f>
        <v>16</v>
      </c>
      <c r="NV4" s="61">
        <f t="shared" ref="NV4:NV26" si="137">IF($CX4="P",CJ4,(CJ4+BF4)/2)</f>
        <v>9.35</v>
      </c>
      <c r="NW4" s="61">
        <f t="shared" ref="NW4:NW26" si="138">IF($CX4="P",CK4,(CK4+BG4)/2)</f>
        <v>11.5</v>
      </c>
      <c r="NX4" s="61">
        <f t="shared" ref="NX4:NX26" si="139">IF($CX4="P",CL4,(CL4+BH4)/2)</f>
        <v>14.7225</v>
      </c>
      <c r="NY4" s="61">
        <f t="shared" ref="NY4:NY26" si="140">IF($CX4="P",CM4,(CM4+BI4)/2)</f>
        <v>0</v>
      </c>
      <c r="NZ4" s="61">
        <f t="shared" ref="NZ4:NZ26" si="141">IF($CX4="P",CN4,(CN4+BJ4)/2)</f>
        <v>15</v>
      </c>
      <c r="OA4" s="61">
        <f t="shared" ref="OA4:OA26" si="142">IF($CX4="P",CO4,(CO4+BK4)/2)</f>
        <v>8.9</v>
      </c>
      <c r="OB4" s="61">
        <f t="shared" ref="OB4:OB26" si="143">IF($CX4="P",CP4,(CP4+BL4)/2)</f>
        <v>11.75</v>
      </c>
      <c r="OC4" s="61">
        <f t="shared" ref="OC4:OC26" si="144">IF($CX4="P",CQ4,(CQ4+BM4)/2)</f>
        <v>14.5975</v>
      </c>
      <c r="OD4" s="61">
        <f t="shared" ref="OD4:OD26" si="145">IF($CX4="P",CR4,(CR4+BN4)/2)</f>
        <v>0.3</v>
      </c>
      <c r="OE4" s="61">
        <f t="shared" ref="OE4:OE26" si="146">IF($CX4="P",CS4,(CS4+BO4)/2)</f>
        <v>12.5</v>
      </c>
      <c r="OF4" s="61">
        <f t="shared" ref="OF4:OF26" si="147">IF($CX4="P",CT4,(CT4+BP4)/2)</f>
        <v>7.1999999999999993</v>
      </c>
      <c r="OG4" s="61">
        <f t="shared" ref="OG4:OG26" si="148">IF($CX4="P",CU4,(CU4+BQ4)/2)</f>
        <v>10.050000000000001</v>
      </c>
      <c r="OH4" s="61">
        <f t="shared" ref="OH4:OH26" si="149">IF($CX4="P",CV4,(CV4+BR4)/2)</f>
        <v>11.8</v>
      </c>
      <c r="OI4" s="61">
        <f t="shared" ref="OI4:OI26" si="150">IF($CX4="P",CW4,(CW4+BS4)/2)</f>
        <v>0</v>
      </c>
      <c r="OJ4" s="72" t="s">
        <v>52</v>
      </c>
      <c r="OK4" s="11">
        <f t="shared" ref="OK4:OK26" si="151">IF(SUM(NP4:NS4)-NT4&gt;0,SUM(NP4:NS4)-NT4,"")</f>
        <v>45.897500000000001</v>
      </c>
      <c r="OL4" s="11">
        <f t="shared" ref="OL4:OL26" si="152">IF(NW4&gt;0,NW4,"")</f>
        <v>11.5</v>
      </c>
      <c r="OM4" s="11">
        <f t="shared" ref="OM4:OM26" si="153">IF(SUM(NU4:NX4)-NY4&gt;0,SUM(NU4:NX4)-NY4,"")</f>
        <v>51.572500000000005</v>
      </c>
      <c r="ON4" s="11">
        <f t="shared" ref="ON4:ON26" si="154">IF(OB4&gt;0,OB4,"")</f>
        <v>11.75</v>
      </c>
      <c r="OO4" s="11">
        <f t="shared" ref="OO4:OO26" si="155">IF(SUM(NZ4:OC4)-OD4&gt;0,SUM(NZ4:OC4)-OD4,"")</f>
        <v>49.947500000000005</v>
      </c>
      <c r="OP4" s="11">
        <f t="shared" ref="OP4:OP26" si="156">IF(OR(OK4&lt;&gt;"",OM4&lt;&gt;"",OO4&lt;&gt;""),OK4+MAX(OM4,OO4),"")</f>
        <v>97.47</v>
      </c>
      <c r="OQ4" s="11">
        <f t="shared" ref="OQ4:OQ26" si="157">IF(OG4&gt;0,OG4,"")</f>
        <v>10.050000000000001</v>
      </c>
      <c r="OR4" s="11">
        <f t="shared" ref="OR4:OR9" si="158">IF(SUM(OE4:OH4)-OI4&gt;0,SUM(OE4:OH4)-OI4,"")</f>
        <v>41.55</v>
      </c>
      <c r="OS4" s="11">
        <f>IF(SUM(OP4,OR4)&gt;0,SUM(OP4,OR4),"")</f>
        <v>139.01999999999998</v>
      </c>
    </row>
    <row r="5" spans="1:409" x14ac:dyDescent="0.2">
      <c r="A5" s="5" cm="1">
        <f t="array" ref="A5">IF(AND(G5&lt;&gt;"",H5&lt;&gt;""),SUMPRODUCT((G$4:G$27&lt;&gt;"")*(H$4:H$27&lt;&gt;"")*(E$4:E$27&gt;E5))+1,IF(H5&lt;&gt;"",SUMPRODUCT((I$4:I$27="No DD")*(E$4:E$27&gt;E5))+1+SUMPRODUCT((G$4:G$27&lt;&gt;"")*(H$4:H$27&lt;&gt;"")),""))</f>
        <v>2</v>
      </c>
      <c r="B5" s="8" t="s">
        <v>111</v>
      </c>
      <c r="C5" s="4" t="s">
        <v>5</v>
      </c>
      <c r="D5" s="26">
        <v>2001</v>
      </c>
      <c r="E5" s="15">
        <f t="shared" si="0"/>
        <v>102.29</v>
      </c>
      <c r="F5" s="3" t="str">
        <f t="shared" si="1"/>
        <v>P</v>
      </c>
      <c r="G5" s="115" t="str">
        <f t="shared" si="2"/>
        <v>National Team</v>
      </c>
      <c r="H5" s="115" t="str">
        <f t="shared" si="3"/>
        <v>National Team</v>
      </c>
      <c r="I5" s="116" t="str">
        <f t="shared" si="4"/>
        <v>National Team</v>
      </c>
      <c r="J5" s="3" t="str">
        <f t="shared" si="5"/>
        <v/>
      </c>
      <c r="K5" s="14">
        <f t="shared" si="6"/>
        <v>94.210000000000008</v>
      </c>
      <c r="L5" s="14" t="str">
        <f t="shared" si="7"/>
        <v>2021 Elite Canada</v>
      </c>
      <c r="M5" s="14">
        <f t="shared" si="8"/>
        <v>45.625</v>
      </c>
      <c r="N5" s="14" t="str">
        <f t="shared" si="9"/>
        <v>2021 2nd Virtual Technical Trial</v>
      </c>
      <c r="O5" s="14">
        <f t="shared" si="10"/>
        <v>51.56</v>
      </c>
      <c r="P5" s="14" t="str">
        <f t="shared" si="11"/>
        <v>2021 Elite Canada</v>
      </c>
      <c r="Q5" s="14">
        <f>IF(COUNT(AS5,AU5,AX5,BW5,BY5,CB5,DA5,DC5,DF5)&gt;1,LARGE((AS5,AU5,AX5,BW5,BY5,CB5,DA5,DC5,DF5),2),0)</f>
        <v>50.730000000000004</v>
      </c>
      <c r="R5" s="14" t="str">
        <f t="shared" si="12"/>
        <v>2021 Elite Canada</v>
      </c>
      <c r="S5" s="14" t="str">
        <f t="shared" si="13"/>
        <v/>
      </c>
      <c r="T5" s="24" t="str">
        <f t="shared" si="14"/>
        <v/>
      </c>
      <c r="U5" s="14" t="str">
        <f t="shared" si="15"/>
        <v/>
      </c>
      <c r="V5" s="61">
        <v>16.100000000000001</v>
      </c>
      <c r="W5" s="61">
        <v>9.4</v>
      </c>
      <c r="X5" s="61">
        <v>3.4</v>
      </c>
      <c r="Y5" s="61">
        <v>15.005000000000001</v>
      </c>
      <c r="Z5" s="61">
        <v>0</v>
      </c>
      <c r="AA5" s="61">
        <v>13.9</v>
      </c>
      <c r="AB5" s="61">
        <v>8.9499999999999993</v>
      </c>
      <c r="AC5" s="61">
        <v>11.2</v>
      </c>
      <c r="AD5" s="61">
        <v>14.51</v>
      </c>
      <c r="AE5" s="61">
        <v>0</v>
      </c>
      <c r="AF5" s="61">
        <v>12.8</v>
      </c>
      <c r="AG5" s="61">
        <v>8.6999999999999993</v>
      </c>
      <c r="AH5" s="61">
        <v>12</v>
      </c>
      <c r="AI5" s="61">
        <v>14.39</v>
      </c>
      <c r="AJ5" s="61">
        <v>0</v>
      </c>
      <c r="AK5" s="61">
        <v>10.6</v>
      </c>
      <c r="AL5" s="61">
        <v>8.5500000000000007</v>
      </c>
      <c r="AM5" s="61">
        <v>11</v>
      </c>
      <c r="AN5" s="61">
        <v>12.725</v>
      </c>
      <c r="AO5" s="61">
        <v>0.2</v>
      </c>
      <c r="AP5" s="72"/>
      <c r="AQ5" s="11">
        <f t="shared" si="16"/>
        <v>43.905000000000001</v>
      </c>
      <c r="AR5" s="11">
        <f t="shared" si="17"/>
        <v>11.2</v>
      </c>
      <c r="AS5" s="11">
        <f t="shared" si="18"/>
        <v>48.559999999999995</v>
      </c>
      <c r="AT5" s="11">
        <f t="shared" si="19"/>
        <v>12</v>
      </c>
      <c r="AU5" s="11">
        <f t="shared" si="20"/>
        <v>47.89</v>
      </c>
      <c r="AV5" s="11">
        <f t="shared" si="21"/>
        <v>92.465000000000003</v>
      </c>
      <c r="AW5" s="11">
        <f t="shared" si="22"/>
        <v>11</v>
      </c>
      <c r="AX5" s="11">
        <f t="shared" si="23"/>
        <v>42.674999999999997</v>
      </c>
      <c r="AY5" s="11">
        <f t="shared" si="24"/>
        <v>135.13999999999999</v>
      </c>
      <c r="AZ5" s="67">
        <v>17.2</v>
      </c>
      <c r="BA5" s="67">
        <v>9.1999999999999993</v>
      </c>
      <c r="BB5" s="67">
        <v>3.9</v>
      </c>
      <c r="BC5" s="67">
        <v>15.324999999999999</v>
      </c>
      <c r="BD5" s="67">
        <v>0</v>
      </c>
      <c r="BE5" s="67">
        <v>2.5</v>
      </c>
      <c r="BF5" s="67">
        <v>1.9</v>
      </c>
      <c r="BG5" s="67">
        <v>3.1</v>
      </c>
      <c r="BH5" s="67">
        <v>3.18</v>
      </c>
      <c r="BI5" s="67">
        <v>0</v>
      </c>
      <c r="BJ5" s="67">
        <v>9</v>
      </c>
      <c r="BK5" s="67">
        <v>6.4</v>
      </c>
      <c r="BL5" s="67">
        <v>8.3000000000000007</v>
      </c>
      <c r="BM5" s="67">
        <v>10.46</v>
      </c>
      <c r="BN5" s="67">
        <v>0</v>
      </c>
      <c r="BO5" s="67">
        <v>5.8</v>
      </c>
      <c r="BP5" s="67">
        <v>4.4000000000000004</v>
      </c>
      <c r="BQ5" s="67">
        <v>6.7</v>
      </c>
      <c r="BR5" s="67">
        <v>7.2249999999999996</v>
      </c>
      <c r="BS5" s="67">
        <v>0</v>
      </c>
      <c r="BT5" s="73"/>
      <c r="BU5" s="14">
        <f t="shared" si="25"/>
        <v>45.625</v>
      </c>
      <c r="BV5" s="14">
        <f t="shared" si="26"/>
        <v>3.1</v>
      </c>
      <c r="BW5" s="14">
        <f t="shared" si="27"/>
        <v>10.68</v>
      </c>
      <c r="BX5" s="14">
        <f t="shared" si="28"/>
        <v>8.3000000000000007</v>
      </c>
      <c r="BY5" s="14">
        <f t="shared" si="29"/>
        <v>34.160000000000004</v>
      </c>
      <c r="BZ5" s="14">
        <f t="shared" si="30"/>
        <v>79.784999999999997</v>
      </c>
      <c r="CA5" s="14">
        <f t="shared" si="31"/>
        <v>6.7</v>
      </c>
      <c r="CB5" s="14">
        <f t="shared" si="32"/>
        <v>24.125</v>
      </c>
      <c r="CC5" s="14">
        <f t="shared" si="33"/>
        <v>103.91</v>
      </c>
      <c r="CD5" s="61">
        <v>15.6</v>
      </c>
      <c r="CE5" s="61">
        <v>9.1</v>
      </c>
      <c r="CF5" s="61">
        <v>3.7</v>
      </c>
      <c r="CG5" s="61">
        <v>15.08</v>
      </c>
      <c r="CH5" s="61">
        <v>0</v>
      </c>
      <c r="CI5" s="61">
        <v>13</v>
      </c>
      <c r="CJ5" s="61">
        <v>9.1999999999999993</v>
      </c>
      <c r="CK5" s="61">
        <v>13.3</v>
      </c>
      <c r="CL5" s="61">
        <v>14.365</v>
      </c>
      <c r="CM5" s="61">
        <v>0</v>
      </c>
      <c r="CN5" s="61">
        <v>13.5</v>
      </c>
      <c r="CO5" s="61">
        <v>9.3000000000000007</v>
      </c>
      <c r="CP5" s="61">
        <v>13.3</v>
      </c>
      <c r="CQ5" s="61">
        <v>14.63</v>
      </c>
      <c r="CR5" s="61">
        <v>0</v>
      </c>
      <c r="CS5" s="61">
        <v>14</v>
      </c>
      <c r="CT5" s="61">
        <v>9.6</v>
      </c>
      <c r="CU5" s="61">
        <v>13.3</v>
      </c>
      <c r="CV5" s="61">
        <v>14.66</v>
      </c>
      <c r="CW5" s="61">
        <v>0</v>
      </c>
      <c r="CX5" s="72"/>
      <c r="CY5" s="11">
        <f t="shared" si="34"/>
        <v>43.48</v>
      </c>
      <c r="CZ5" s="11">
        <f t="shared" si="35"/>
        <v>13.3</v>
      </c>
      <c r="DA5" s="11">
        <f t="shared" si="36"/>
        <v>49.865000000000002</v>
      </c>
      <c r="DB5" s="11">
        <f t="shared" si="37"/>
        <v>13.3</v>
      </c>
      <c r="DC5" s="11">
        <f t="shared" si="38"/>
        <v>50.730000000000004</v>
      </c>
      <c r="DD5" s="11">
        <f t="shared" si="39"/>
        <v>94.210000000000008</v>
      </c>
      <c r="DE5" s="11">
        <f t="shared" si="40"/>
        <v>13.3</v>
      </c>
      <c r="DF5" s="11">
        <f t="shared" si="41"/>
        <v>51.56</v>
      </c>
      <c r="DG5" s="11">
        <f t="shared" si="42"/>
        <v>145.77000000000001</v>
      </c>
      <c r="DH5" s="23" t="str">
        <f t="shared" si="43"/>
        <v/>
      </c>
      <c r="DI5" s="23" t="str">
        <f t="shared" si="44"/>
        <v/>
      </c>
      <c r="DJ5" s="23" t="str">
        <f t="shared" si="45"/>
        <v/>
      </c>
      <c r="DK5" s="23" t="str">
        <f t="shared" si="46"/>
        <v/>
      </c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11" t="str">
        <f t="shared" si="47"/>
        <v/>
      </c>
      <c r="EB5" s="11" t="str">
        <f t="shared" si="48"/>
        <v/>
      </c>
      <c r="EC5" s="11" t="str">
        <f t="shared" si="49"/>
        <v/>
      </c>
      <c r="ED5" s="11" t="str">
        <f t="shared" si="50"/>
        <v/>
      </c>
      <c r="EE5" s="11" t="str">
        <f t="shared" si="51"/>
        <v/>
      </c>
      <c r="EF5" s="11" t="str">
        <f t="shared" si="52"/>
        <v/>
      </c>
      <c r="EG5" s="11" t="str">
        <f t="shared" si="53"/>
        <v/>
      </c>
      <c r="EH5" s="36"/>
      <c r="EI5" s="36"/>
      <c r="EJ5" s="36"/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14" t="str">
        <f t="shared" si="54"/>
        <v/>
      </c>
      <c r="EX5" s="14" t="str">
        <f t="shared" si="55"/>
        <v/>
      </c>
      <c r="EY5" s="14" t="str">
        <f t="shared" si="56"/>
        <v/>
      </c>
      <c r="EZ5" s="14" t="str">
        <f t="shared" si="57"/>
        <v/>
      </c>
      <c r="FA5" s="14" t="str">
        <f t="shared" si="58"/>
        <v/>
      </c>
      <c r="FB5" s="14" t="str">
        <f t="shared" si="59"/>
        <v/>
      </c>
      <c r="FC5" s="14" t="str">
        <f t="shared" si="60"/>
        <v/>
      </c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11" t="str">
        <f t="shared" si="61"/>
        <v/>
      </c>
      <c r="FT5" s="11" t="str">
        <f t="shared" si="62"/>
        <v/>
      </c>
      <c r="FU5" s="11" t="str">
        <f t="shared" si="63"/>
        <v/>
      </c>
      <c r="FV5" s="11" t="str">
        <f t="shared" si="64"/>
        <v/>
      </c>
      <c r="FW5" s="11" t="str">
        <f t="shared" si="65"/>
        <v/>
      </c>
      <c r="FX5" s="11" t="str">
        <f t="shared" si="66"/>
        <v/>
      </c>
      <c r="FY5" s="11" t="str">
        <f t="shared" si="67"/>
        <v/>
      </c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14" t="str">
        <f t="shared" si="68"/>
        <v/>
      </c>
      <c r="GP5" s="14" t="str">
        <f t="shared" si="69"/>
        <v/>
      </c>
      <c r="GQ5" s="14" t="str">
        <f t="shared" si="70"/>
        <v/>
      </c>
      <c r="GR5" s="14" t="str">
        <f t="shared" si="71"/>
        <v/>
      </c>
      <c r="GS5" s="14" t="str">
        <f t="shared" si="72"/>
        <v/>
      </c>
      <c r="GT5" s="14" t="str">
        <f t="shared" si="73"/>
        <v/>
      </c>
      <c r="GU5" s="14" t="str">
        <f t="shared" si="74"/>
        <v/>
      </c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11" t="str">
        <f t="shared" si="75"/>
        <v/>
      </c>
      <c r="HL5" s="11" t="str">
        <f t="shared" si="76"/>
        <v/>
      </c>
      <c r="HM5" s="11" t="str">
        <f t="shared" si="77"/>
        <v/>
      </c>
      <c r="HN5" s="11" t="str">
        <f t="shared" si="78"/>
        <v/>
      </c>
      <c r="HO5" s="11" t="str">
        <f t="shared" si="79"/>
        <v/>
      </c>
      <c r="HP5" s="11" t="str">
        <f t="shared" si="80"/>
        <v/>
      </c>
      <c r="HQ5" s="11" t="str">
        <f t="shared" si="81"/>
        <v/>
      </c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36"/>
      <c r="ID5" s="36"/>
      <c r="IE5" s="36"/>
      <c r="IF5" s="36"/>
      <c r="IG5" s="14" t="str">
        <f t="shared" si="82"/>
        <v/>
      </c>
      <c r="IH5" s="14" t="str">
        <f t="shared" si="83"/>
        <v/>
      </c>
      <c r="II5" s="14" t="str">
        <f t="shared" si="84"/>
        <v/>
      </c>
      <c r="IJ5" s="14" t="str">
        <f t="shared" si="85"/>
        <v/>
      </c>
      <c r="IK5" s="14" t="str">
        <f t="shared" si="86"/>
        <v/>
      </c>
      <c r="IL5" s="14" t="str">
        <f t="shared" si="87"/>
        <v/>
      </c>
      <c r="IM5" s="14" t="str">
        <f t="shared" si="88"/>
        <v/>
      </c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11" t="str">
        <f t="shared" si="89"/>
        <v/>
      </c>
      <c r="JD5" s="11" t="str">
        <f t="shared" si="90"/>
        <v/>
      </c>
      <c r="JE5" s="11" t="str">
        <f t="shared" si="91"/>
        <v/>
      </c>
      <c r="JF5" s="11" t="str">
        <f t="shared" si="92"/>
        <v/>
      </c>
      <c r="JG5" s="11" t="str">
        <f t="shared" si="93"/>
        <v/>
      </c>
      <c r="JH5" s="11" t="str">
        <f t="shared" si="94"/>
        <v/>
      </c>
      <c r="JI5" s="11" t="str">
        <f t="shared" si="95"/>
        <v/>
      </c>
      <c r="JJ5" s="36"/>
      <c r="JK5" s="36"/>
      <c r="JL5" s="36"/>
      <c r="JM5" s="36"/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14" t="str">
        <f t="shared" si="96"/>
        <v/>
      </c>
      <c r="JZ5" s="14" t="str">
        <f t="shared" si="97"/>
        <v/>
      </c>
      <c r="KA5" s="14" t="str">
        <f t="shared" si="98"/>
        <v/>
      </c>
      <c r="KB5" s="14" t="str">
        <f t="shared" si="99"/>
        <v/>
      </c>
      <c r="KC5" s="14" t="str">
        <f t="shared" si="100"/>
        <v/>
      </c>
      <c r="KD5" s="14" t="str">
        <f t="shared" si="101"/>
        <v/>
      </c>
      <c r="KE5" s="14" t="str">
        <f t="shared" si="102"/>
        <v/>
      </c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11" t="str">
        <f t="shared" si="103"/>
        <v/>
      </c>
      <c r="KV5" s="11" t="str">
        <f t="shared" si="104"/>
        <v/>
      </c>
      <c r="KW5" s="11" t="str">
        <f t="shared" si="105"/>
        <v/>
      </c>
      <c r="KX5" s="11" t="str">
        <f t="shared" si="106"/>
        <v/>
      </c>
      <c r="KY5" s="11" t="str">
        <f t="shared" si="107"/>
        <v/>
      </c>
      <c r="KZ5" s="11" t="str">
        <f t="shared" si="108"/>
        <v/>
      </c>
      <c r="LA5" s="11" t="str">
        <f t="shared" si="109"/>
        <v/>
      </c>
      <c r="LB5" s="36"/>
      <c r="LC5" s="36"/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14" t="str">
        <f t="shared" si="110"/>
        <v/>
      </c>
      <c r="LR5" s="14" t="str">
        <f t="shared" si="111"/>
        <v/>
      </c>
      <c r="LS5" s="14" t="str">
        <f t="shared" si="112"/>
        <v/>
      </c>
      <c r="LT5" s="14" t="str">
        <f t="shared" si="113"/>
        <v/>
      </c>
      <c r="LU5" s="14" t="str">
        <f t="shared" si="114"/>
        <v/>
      </c>
      <c r="LV5" s="14" t="str">
        <f t="shared" si="115"/>
        <v/>
      </c>
      <c r="LW5" s="14" t="str">
        <f t="shared" si="116"/>
        <v/>
      </c>
      <c r="LX5" s="35"/>
      <c r="LY5" s="35"/>
      <c r="LZ5" s="35"/>
      <c r="MA5" s="35"/>
      <c r="MB5" s="35"/>
      <c r="MC5" s="35"/>
      <c r="MD5" s="35"/>
      <c r="ME5" s="35"/>
      <c r="MF5" s="35"/>
      <c r="MG5" s="35"/>
      <c r="MH5" s="35"/>
      <c r="MI5" s="35"/>
      <c r="MJ5" s="35"/>
      <c r="MK5" s="35"/>
      <c r="ML5" s="35"/>
      <c r="MM5" s="11" t="str">
        <f t="shared" si="117"/>
        <v/>
      </c>
      <c r="MN5" s="11" t="str">
        <f t="shared" si="118"/>
        <v/>
      </c>
      <c r="MO5" s="11" t="str">
        <f t="shared" si="119"/>
        <v/>
      </c>
      <c r="MP5" s="11" t="str">
        <f t="shared" si="120"/>
        <v/>
      </c>
      <c r="MQ5" s="11" t="str">
        <f t="shared" si="121"/>
        <v/>
      </c>
      <c r="MR5" s="11" t="str">
        <f t="shared" si="122"/>
        <v/>
      </c>
      <c r="MS5" s="11" t="str">
        <f t="shared" si="123"/>
        <v/>
      </c>
      <c r="MT5" s="36"/>
      <c r="MU5" s="36"/>
      <c r="MV5" s="36"/>
      <c r="MW5" s="36"/>
      <c r="MX5" s="36"/>
      <c r="MY5" s="36"/>
      <c r="MZ5" s="36"/>
      <c r="NA5" s="36"/>
      <c r="NB5" s="36"/>
      <c r="NC5" s="36"/>
      <c r="ND5" s="36"/>
      <c r="NE5" s="36"/>
      <c r="NF5" s="36"/>
      <c r="NG5" s="36"/>
      <c r="NH5" s="36"/>
      <c r="NI5" s="14" t="str">
        <f t="shared" si="124"/>
        <v/>
      </c>
      <c r="NJ5" s="14" t="str">
        <f t="shared" si="125"/>
        <v/>
      </c>
      <c r="NK5" s="14" t="str">
        <f t="shared" si="126"/>
        <v/>
      </c>
      <c r="NL5" s="14" t="str">
        <f t="shared" si="127"/>
        <v/>
      </c>
      <c r="NM5" s="14" t="str">
        <f t="shared" si="128"/>
        <v/>
      </c>
      <c r="NN5" s="14" t="str">
        <f t="shared" si="129"/>
        <v/>
      </c>
      <c r="NO5" s="14" t="str">
        <f t="shared" si="130"/>
        <v/>
      </c>
      <c r="NP5" s="61">
        <f t="shared" si="131"/>
        <v>16.399999999999999</v>
      </c>
      <c r="NQ5" s="61">
        <f t="shared" si="132"/>
        <v>9.1499999999999986</v>
      </c>
      <c r="NR5" s="61">
        <f t="shared" si="133"/>
        <v>3.8</v>
      </c>
      <c r="NS5" s="61">
        <f t="shared" si="134"/>
        <v>15.202500000000001</v>
      </c>
      <c r="NT5" s="61">
        <f t="shared" si="135"/>
        <v>0</v>
      </c>
      <c r="NU5" s="61">
        <f t="shared" si="136"/>
        <v>7.75</v>
      </c>
      <c r="NV5" s="61">
        <f t="shared" si="137"/>
        <v>5.55</v>
      </c>
      <c r="NW5" s="61">
        <f t="shared" si="138"/>
        <v>8.2000000000000011</v>
      </c>
      <c r="NX5" s="61">
        <f t="shared" si="139"/>
        <v>8.7725000000000009</v>
      </c>
      <c r="NY5" s="61">
        <f t="shared" si="140"/>
        <v>0</v>
      </c>
      <c r="NZ5" s="61">
        <f t="shared" si="141"/>
        <v>11.25</v>
      </c>
      <c r="OA5" s="61">
        <f t="shared" si="142"/>
        <v>7.8500000000000005</v>
      </c>
      <c r="OB5" s="61">
        <f t="shared" si="143"/>
        <v>10.8</v>
      </c>
      <c r="OC5" s="61">
        <f t="shared" si="144"/>
        <v>12.545000000000002</v>
      </c>
      <c r="OD5" s="61">
        <f t="shared" si="145"/>
        <v>0</v>
      </c>
      <c r="OE5" s="61">
        <f t="shared" si="146"/>
        <v>9.9</v>
      </c>
      <c r="OF5" s="61">
        <f t="shared" si="147"/>
        <v>7</v>
      </c>
      <c r="OG5" s="61">
        <f t="shared" si="148"/>
        <v>10</v>
      </c>
      <c r="OH5" s="61">
        <f t="shared" si="149"/>
        <v>10.942499999999999</v>
      </c>
      <c r="OI5" s="61">
        <f t="shared" si="150"/>
        <v>0</v>
      </c>
      <c r="OJ5" s="72" t="s">
        <v>52</v>
      </c>
      <c r="OK5" s="11">
        <f t="shared" si="151"/>
        <v>44.552499999999995</v>
      </c>
      <c r="OL5" s="11">
        <f t="shared" si="152"/>
        <v>8.2000000000000011</v>
      </c>
      <c r="OM5" s="11">
        <f t="shared" si="153"/>
        <v>30.272500000000001</v>
      </c>
      <c r="ON5" s="11">
        <f t="shared" si="154"/>
        <v>10.8</v>
      </c>
      <c r="OO5" s="11">
        <f t="shared" si="155"/>
        <v>42.445000000000007</v>
      </c>
      <c r="OP5" s="11">
        <f t="shared" si="156"/>
        <v>86.997500000000002</v>
      </c>
      <c r="OQ5" s="11">
        <f t="shared" si="157"/>
        <v>10</v>
      </c>
      <c r="OR5" s="11">
        <f t="shared" si="158"/>
        <v>37.842500000000001</v>
      </c>
      <c r="OS5" s="11">
        <f t="shared" ref="OS5:OS9" si="159">IF(SUM(OP5,OR5)&gt;0,SUM(OP5,OR5),"")</f>
        <v>124.84</v>
      </c>
    </row>
    <row r="6" spans="1:409" x14ac:dyDescent="0.2">
      <c r="A6" s="5" cm="1">
        <f t="array" ref="A6">IF(AND(G6&lt;&gt;"",H6&lt;&gt;""),SUMPRODUCT((G$4:G$27&lt;&gt;"")*(H$4:H$27&lt;&gt;"")*(E$4:E$27&gt;E6))+1,IF(H6&lt;&gt;"",SUMPRODUCT((I$4:I$27="No DD")*(E$4:E$27&gt;E6))+1+SUMPRODUCT((G$4:G$27&lt;&gt;"")*(H$4:H$27&lt;&gt;"")),""))</f>
        <v>3</v>
      </c>
      <c r="B6" s="8" t="s">
        <v>83</v>
      </c>
      <c r="C6" s="4" t="s">
        <v>5</v>
      </c>
      <c r="D6" s="5">
        <v>2002</v>
      </c>
      <c r="E6" s="15">
        <f t="shared" si="0"/>
        <v>101.36</v>
      </c>
      <c r="F6" s="3" t="str">
        <f t="shared" si="1"/>
        <v>P</v>
      </c>
      <c r="G6" s="115" t="str">
        <f t="shared" si="2"/>
        <v>National Team</v>
      </c>
      <c r="H6" s="115" t="str">
        <f t="shared" si="3"/>
        <v>National Team</v>
      </c>
      <c r="I6" s="116" t="str">
        <f t="shared" si="4"/>
        <v>National Team</v>
      </c>
      <c r="J6" s="3" t="str">
        <f t="shared" si="5"/>
        <v/>
      </c>
      <c r="K6" s="14">
        <f t="shared" si="6"/>
        <v>97.289999999999992</v>
      </c>
      <c r="L6" s="14" t="str">
        <f t="shared" si="7"/>
        <v>2021 Elite Canada</v>
      </c>
      <c r="M6" s="14">
        <f t="shared" si="8"/>
        <v>45.29</v>
      </c>
      <c r="N6" s="14" t="str">
        <f t="shared" si="9"/>
        <v>2021 2nd Virtual Technical Trial</v>
      </c>
      <c r="O6" s="14">
        <f t="shared" si="10"/>
        <v>50.795000000000002</v>
      </c>
      <c r="P6" s="14" t="str">
        <f t="shared" si="11"/>
        <v>2021 Elite Canada</v>
      </c>
      <c r="Q6" s="14">
        <f>IF(COUNT(AS6,AU6,AX6,BW6,BY6,CB6,DA6,DC6,DF6)&gt;1,LARGE((AS6,AU6,AX6,BW6,BY6,CB6,DA6,DC6,DF6),2),0)</f>
        <v>50.564999999999998</v>
      </c>
      <c r="R6" s="14" t="str">
        <f t="shared" si="12"/>
        <v>2021 Elite Canada</v>
      </c>
      <c r="S6" s="14" t="str">
        <f t="shared" si="13"/>
        <v/>
      </c>
      <c r="T6" s="24" t="str">
        <f t="shared" si="14"/>
        <v/>
      </c>
      <c r="U6" s="14" t="str">
        <f t="shared" si="15"/>
        <v/>
      </c>
      <c r="V6" s="61">
        <v>16.7</v>
      </c>
      <c r="W6" s="61">
        <v>9.1999999999999993</v>
      </c>
      <c r="X6" s="61">
        <v>3.7</v>
      </c>
      <c r="Y6" s="61">
        <v>14.74</v>
      </c>
      <c r="Z6" s="61">
        <v>0</v>
      </c>
      <c r="AA6" s="61">
        <v>13.8</v>
      </c>
      <c r="AB6" s="61">
        <v>9.0500000000000007</v>
      </c>
      <c r="AC6" s="61">
        <v>12</v>
      </c>
      <c r="AD6" s="61">
        <v>14.105</v>
      </c>
      <c r="AE6" s="61">
        <v>0</v>
      </c>
      <c r="AF6" s="61">
        <v>0</v>
      </c>
      <c r="AG6" s="61">
        <v>0</v>
      </c>
      <c r="AH6" s="61">
        <v>0</v>
      </c>
      <c r="AI6" s="61">
        <v>0</v>
      </c>
      <c r="AJ6" s="61">
        <v>0</v>
      </c>
      <c r="AK6" s="61">
        <v>14.3</v>
      </c>
      <c r="AL6" s="61">
        <v>9</v>
      </c>
      <c r="AM6" s="61">
        <v>11.3</v>
      </c>
      <c r="AN6" s="61">
        <v>14.21</v>
      </c>
      <c r="AO6" s="61">
        <v>0</v>
      </c>
      <c r="AP6" s="72"/>
      <c r="AQ6" s="11">
        <f t="shared" si="16"/>
        <v>44.339999999999996</v>
      </c>
      <c r="AR6" s="11">
        <f t="shared" si="17"/>
        <v>12</v>
      </c>
      <c r="AS6" s="11">
        <f t="shared" si="18"/>
        <v>48.954999999999998</v>
      </c>
      <c r="AT6" s="11" t="str">
        <f t="shared" si="19"/>
        <v/>
      </c>
      <c r="AU6" s="11" t="str">
        <f t="shared" si="20"/>
        <v/>
      </c>
      <c r="AV6" s="11">
        <f t="shared" si="21"/>
        <v>93.294999999999987</v>
      </c>
      <c r="AW6" s="11">
        <f t="shared" si="22"/>
        <v>11.3</v>
      </c>
      <c r="AX6" s="11">
        <f t="shared" si="23"/>
        <v>48.81</v>
      </c>
      <c r="AY6" s="11">
        <f t="shared" si="24"/>
        <v>142.10499999999999</v>
      </c>
      <c r="AZ6" s="67">
        <v>16.3</v>
      </c>
      <c r="BA6" s="67">
        <v>9.6</v>
      </c>
      <c r="BB6" s="67">
        <v>4.7</v>
      </c>
      <c r="BC6" s="67">
        <v>14.69</v>
      </c>
      <c r="BD6" s="67">
        <v>0</v>
      </c>
      <c r="BE6" s="67">
        <v>13</v>
      </c>
      <c r="BF6" s="67">
        <v>9.1</v>
      </c>
      <c r="BG6" s="67">
        <v>12</v>
      </c>
      <c r="BH6" s="67">
        <v>13.96</v>
      </c>
      <c r="BI6" s="67">
        <v>0</v>
      </c>
      <c r="BJ6" s="67">
        <v>14.1</v>
      </c>
      <c r="BK6" s="67">
        <v>9</v>
      </c>
      <c r="BL6" s="67">
        <v>12</v>
      </c>
      <c r="BM6" s="67">
        <v>14.19</v>
      </c>
      <c r="BN6" s="67">
        <v>0</v>
      </c>
      <c r="BO6" s="67">
        <v>13.1</v>
      </c>
      <c r="BP6" s="67">
        <v>9</v>
      </c>
      <c r="BQ6" s="67">
        <v>12.7</v>
      </c>
      <c r="BR6" s="67">
        <v>13.89</v>
      </c>
      <c r="BS6" s="67">
        <v>0</v>
      </c>
      <c r="BT6" s="73"/>
      <c r="BU6" s="14">
        <f t="shared" si="25"/>
        <v>45.29</v>
      </c>
      <c r="BV6" s="14">
        <f t="shared" si="26"/>
        <v>12</v>
      </c>
      <c r="BW6" s="14">
        <f t="shared" si="27"/>
        <v>48.06</v>
      </c>
      <c r="BX6" s="14">
        <f t="shared" si="28"/>
        <v>12</v>
      </c>
      <c r="BY6" s="14">
        <f t="shared" si="29"/>
        <v>49.29</v>
      </c>
      <c r="BZ6" s="14">
        <f t="shared" si="30"/>
        <v>94.58</v>
      </c>
      <c r="CA6" s="14">
        <f t="shared" si="31"/>
        <v>12.7</v>
      </c>
      <c r="CB6" s="14">
        <f t="shared" si="32"/>
        <v>48.69</v>
      </c>
      <c r="CC6" s="14">
        <f t="shared" si="33"/>
        <v>143.26999999999998</v>
      </c>
      <c r="CD6" s="61">
        <v>17.7</v>
      </c>
      <c r="CE6" s="61">
        <v>9.5</v>
      </c>
      <c r="CF6" s="61">
        <v>3.9</v>
      </c>
      <c r="CG6" s="61">
        <v>15.395</v>
      </c>
      <c r="CH6" s="61">
        <v>0</v>
      </c>
      <c r="CI6" s="61">
        <v>14.7</v>
      </c>
      <c r="CJ6" s="61">
        <v>9</v>
      </c>
      <c r="CK6" s="61">
        <v>12.7</v>
      </c>
      <c r="CL6" s="61">
        <v>14.395</v>
      </c>
      <c r="CM6" s="61">
        <v>0</v>
      </c>
      <c r="CN6" s="61">
        <v>14.5</v>
      </c>
      <c r="CO6" s="61">
        <v>9.1</v>
      </c>
      <c r="CP6" s="61">
        <v>12.7</v>
      </c>
      <c r="CQ6" s="61">
        <v>14.265000000000001</v>
      </c>
      <c r="CR6" s="61">
        <v>0</v>
      </c>
      <c r="CS6" s="61">
        <v>14.4</v>
      </c>
      <c r="CT6" s="61">
        <v>8.5</v>
      </c>
      <c r="CU6" s="61">
        <v>11.4</v>
      </c>
      <c r="CV6" s="61">
        <v>13.994999999999999</v>
      </c>
      <c r="CW6" s="61">
        <v>0</v>
      </c>
      <c r="CX6" s="72"/>
      <c r="CY6" s="11">
        <f t="shared" si="34"/>
        <v>46.494999999999997</v>
      </c>
      <c r="CZ6" s="11">
        <f t="shared" si="35"/>
        <v>12.7</v>
      </c>
      <c r="DA6" s="11">
        <f t="shared" si="36"/>
        <v>50.795000000000002</v>
      </c>
      <c r="DB6" s="11">
        <f t="shared" si="37"/>
        <v>12.7</v>
      </c>
      <c r="DC6" s="11">
        <f t="shared" si="38"/>
        <v>50.564999999999998</v>
      </c>
      <c r="DD6" s="11">
        <f t="shared" si="39"/>
        <v>97.289999999999992</v>
      </c>
      <c r="DE6" s="11">
        <f t="shared" si="40"/>
        <v>11.4</v>
      </c>
      <c r="DF6" s="11">
        <f t="shared" si="41"/>
        <v>48.294999999999995</v>
      </c>
      <c r="DG6" s="11">
        <f t="shared" si="42"/>
        <v>145.58499999999998</v>
      </c>
      <c r="DH6" s="23" t="str">
        <f t="shared" si="43"/>
        <v/>
      </c>
      <c r="DI6" s="23" t="str">
        <f t="shared" si="44"/>
        <v/>
      </c>
      <c r="DJ6" s="23" t="str">
        <f t="shared" si="45"/>
        <v/>
      </c>
      <c r="DK6" s="23" t="str">
        <f t="shared" si="46"/>
        <v/>
      </c>
      <c r="DL6" s="35"/>
      <c r="DM6" s="35"/>
      <c r="DN6" s="35"/>
      <c r="DO6" s="35"/>
      <c r="DP6" s="35"/>
      <c r="DQ6" s="35"/>
      <c r="DR6" s="35"/>
      <c r="DS6" s="35"/>
      <c r="DT6" s="35"/>
      <c r="DU6" s="35"/>
      <c r="DV6" s="35"/>
      <c r="DW6" s="35"/>
      <c r="DX6" s="35"/>
      <c r="DY6" s="35"/>
      <c r="DZ6" s="35"/>
      <c r="EA6" s="11" t="str">
        <f t="shared" si="47"/>
        <v/>
      </c>
      <c r="EB6" s="11" t="str">
        <f t="shared" si="48"/>
        <v/>
      </c>
      <c r="EC6" s="11" t="str">
        <f t="shared" si="49"/>
        <v/>
      </c>
      <c r="ED6" s="11" t="str">
        <f t="shared" si="50"/>
        <v/>
      </c>
      <c r="EE6" s="11" t="str">
        <f t="shared" si="51"/>
        <v/>
      </c>
      <c r="EF6" s="11" t="str">
        <f t="shared" si="52"/>
        <v/>
      </c>
      <c r="EG6" s="11" t="str">
        <f t="shared" si="53"/>
        <v/>
      </c>
      <c r="EH6" s="36"/>
      <c r="EI6" s="36"/>
      <c r="EJ6" s="36"/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14" t="str">
        <f t="shared" si="54"/>
        <v/>
      </c>
      <c r="EX6" s="14" t="str">
        <f t="shared" si="55"/>
        <v/>
      </c>
      <c r="EY6" s="14" t="str">
        <f t="shared" si="56"/>
        <v/>
      </c>
      <c r="EZ6" s="14" t="str">
        <f t="shared" si="57"/>
        <v/>
      </c>
      <c r="FA6" s="14" t="str">
        <f t="shared" si="58"/>
        <v/>
      </c>
      <c r="FB6" s="14" t="str">
        <f t="shared" si="59"/>
        <v/>
      </c>
      <c r="FC6" s="14" t="str">
        <f t="shared" si="60"/>
        <v/>
      </c>
      <c r="FD6" s="35"/>
      <c r="FE6" s="35"/>
      <c r="FF6" s="35"/>
      <c r="FG6" s="35"/>
      <c r="FH6" s="35"/>
      <c r="FI6" s="35"/>
      <c r="FJ6" s="35"/>
      <c r="FK6" s="35"/>
      <c r="FL6" s="35"/>
      <c r="FM6" s="35"/>
      <c r="FN6" s="35"/>
      <c r="FO6" s="35"/>
      <c r="FP6" s="35"/>
      <c r="FQ6" s="35"/>
      <c r="FR6" s="35"/>
      <c r="FS6" s="11" t="str">
        <f t="shared" si="61"/>
        <v/>
      </c>
      <c r="FT6" s="11" t="str">
        <f t="shared" si="62"/>
        <v/>
      </c>
      <c r="FU6" s="11" t="str">
        <f t="shared" si="63"/>
        <v/>
      </c>
      <c r="FV6" s="11" t="str">
        <f t="shared" si="64"/>
        <v/>
      </c>
      <c r="FW6" s="11" t="str">
        <f t="shared" si="65"/>
        <v/>
      </c>
      <c r="FX6" s="11" t="str">
        <f t="shared" si="66"/>
        <v/>
      </c>
      <c r="FY6" s="11" t="str">
        <f t="shared" si="67"/>
        <v/>
      </c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14" t="str">
        <f t="shared" si="68"/>
        <v/>
      </c>
      <c r="GP6" s="14" t="str">
        <f t="shared" si="69"/>
        <v/>
      </c>
      <c r="GQ6" s="14" t="str">
        <f t="shared" si="70"/>
        <v/>
      </c>
      <c r="GR6" s="14" t="str">
        <f t="shared" si="71"/>
        <v/>
      </c>
      <c r="GS6" s="14" t="str">
        <f t="shared" si="72"/>
        <v/>
      </c>
      <c r="GT6" s="14" t="str">
        <f t="shared" si="73"/>
        <v/>
      </c>
      <c r="GU6" s="14" t="str">
        <f t="shared" si="74"/>
        <v/>
      </c>
      <c r="GV6" s="35"/>
      <c r="GW6" s="35"/>
      <c r="GX6" s="35"/>
      <c r="GY6" s="35"/>
      <c r="GZ6" s="35"/>
      <c r="HA6" s="35"/>
      <c r="HB6" s="35"/>
      <c r="HC6" s="35"/>
      <c r="HD6" s="35"/>
      <c r="HE6" s="35"/>
      <c r="HF6" s="35"/>
      <c r="HG6" s="35"/>
      <c r="HH6" s="35"/>
      <c r="HI6" s="35"/>
      <c r="HJ6" s="35"/>
      <c r="HK6" s="11" t="str">
        <f t="shared" si="75"/>
        <v/>
      </c>
      <c r="HL6" s="11" t="str">
        <f t="shared" si="76"/>
        <v/>
      </c>
      <c r="HM6" s="11" t="str">
        <f t="shared" si="77"/>
        <v/>
      </c>
      <c r="HN6" s="11" t="str">
        <f t="shared" si="78"/>
        <v/>
      </c>
      <c r="HO6" s="11" t="str">
        <f t="shared" si="79"/>
        <v/>
      </c>
      <c r="HP6" s="11" t="str">
        <f t="shared" si="80"/>
        <v/>
      </c>
      <c r="HQ6" s="11" t="str">
        <f t="shared" si="81"/>
        <v/>
      </c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  <c r="IF6" s="36"/>
      <c r="IG6" s="14" t="str">
        <f t="shared" si="82"/>
        <v/>
      </c>
      <c r="IH6" s="14" t="str">
        <f t="shared" si="83"/>
        <v/>
      </c>
      <c r="II6" s="14" t="str">
        <f t="shared" si="84"/>
        <v/>
      </c>
      <c r="IJ6" s="14" t="str">
        <f t="shared" si="85"/>
        <v/>
      </c>
      <c r="IK6" s="14" t="str">
        <f t="shared" si="86"/>
        <v/>
      </c>
      <c r="IL6" s="14" t="str">
        <f t="shared" si="87"/>
        <v/>
      </c>
      <c r="IM6" s="14" t="str">
        <f t="shared" si="88"/>
        <v/>
      </c>
      <c r="IN6" s="35"/>
      <c r="IO6" s="35"/>
      <c r="IP6" s="35"/>
      <c r="IQ6" s="35"/>
      <c r="IR6" s="35"/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11" t="str">
        <f t="shared" si="89"/>
        <v/>
      </c>
      <c r="JD6" s="11" t="str">
        <f t="shared" si="90"/>
        <v/>
      </c>
      <c r="JE6" s="11" t="str">
        <f t="shared" si="91"/>
        <v/>
      </c>
      <c r="JF6" s="11" t="str">
        <f t="shared" si="92"/>
        <v/>
      </c>
      <c r="JG6" s="11" t="str">
        <f t="shared" si="93"/>
        <v/>
      </c>
      <c r="JH6" s="11" t="str">
        <f t="shared" si="94"/>
        <v/>
      </c>
      <c r="JI6" s="11" t="str">
        <f t="shared" si="95"/>
        <v/>
      </c>
      <c r="JJ6" s="36"/>
      <c r="JK6" s="36"/>
      <c r="JL6" s="36"/>
      <c r="JM6" s="36"/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14" t="str">
        <f t="shared" si="96"/>
        <v/>
      </c>
      <c r="JZ6" s="14" t="str">
        <f t="shared" si="97"/>
        <v/>
      </c>
      <c r="KA6" s="14" t="str">
        <f t="shared" si="98"/>
        <v/>
      </c>
      <c r="KB6" s="14" t="str">
        <f t="shared" si="99"/>
        <v/>
      </c>
      <c r="KC6" s="14" t="str">
        <f t="shared" si="100"/>
        <v/>
      </c>
      <c r="KD6" s="14" t="str">
        <f t="shared" si="101"/>
        <v/>
      </c>
      <c r="KE6" s="14" t="str">
        <f t="shared" si="102"/>
        <v/>
      </c>
      <c r="KF6" s="35"/>
      <c r="KG6" s="35"/>
      <c r="KH6" s="35"/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11" t="str">
        <f t="shared" si="103"/>
        <v/>
      </c>
      <c r="KV6" s="11" t="str">
        <f t="shared" si="104"/>
        <v/>
      </c>
      <c r="KW6" s="11" t="str">
        <f t="shared" si="105"/>
        <v/>
      </c>
      <c r="KX6" s="11" t="str">
        <f t="shared" si="106"/>
        <v/>
      </c>
      <c r="KY6" s="11" t="str">
        <f t="shared" si="107"/>
        <v/>
      </c>
      <c r="KZ6" s="11" t="str">
        <f t="shared" si="108"/>
        <v/>
      </c>
      <c r="LA6" s="11" t="str">
        <f t="shared" si="109"/>
        <v/>
      </c>
      <c r="LB6" s="36"/>
      <c r="LC6" s="36"/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14" t="str">
        <f t="shared" si="110"/>
        <v/>
      </c>
      <c r="LR6" s="14" t="str">
        <f t="shared" si="111"/>
        <v/>
      </c>
      <c r="LS6" s="14" t="str">
        <f t="shared" si="112"/>
        <v/>
      </c>
      <c r="LT6" s="14" t="str">
        <f t="shared" si="113"/>
        <v/>
      </c>
      <c r="LU6" s="14" t="str">
        <f t="shared" si="114"/>
        <v/>
      </c>
      <c r="LV6" s="14" t="str">
        <f t="shared" si="115"/>
        <v/>
      </c>
      <c r="LW6" s="14" t="str">
        <f t="shared" si="116"/>
        <v/>
      </c>
      <c r="LX6" s="35"/>
      <c r="LY6" s="35"/>
      <c r="LZ6" s="35"/>
      <c r="MA6" s="35"/>
      <c r="MB6" s="35"/>
      <c r="MC6" s="35"/>
      <c r="MD6" s="35"/>
      <c r="ME6" s="35"/>
      <c r="MF6" s="35"/>
      <c r="MG6" s="35"/>
      <c r="MH6" s="100"/>
      <c r="MI6" s="35"/>
      <c r="MJ6" s="35"/>
      <c r="MK6" s="35"/>
      <c r="ML6" s="35"/>
      <c r="MM6" s="11" t="str">
        <f t="shared" si="117"/>
        <v/>
      </c>
      <c r="MN6" s="11" t="str">
        <f t="shared" si="118"/>
        <v/>
      </c>
      <c r="MO6" s="11" t="str">
        <f t="shared" si="119"/>
        <v/>
      </c>
      <c r="MP6" s="11" t="str">
        <f t="shared" si="120"/>
        <v/>
      </c>
      <c r="MQ6" s="11" t="str">
        <f t="shared" si="121"/>
        <v/>
      </c>
      <c r="MR6" s="11" t="str">
        <f t="shared" si="122"/>
        <v/>
      </c>
      <c r="MS6" s="11" t="str">
        <f t="shared" si="123"/>
        <v/>
      </c>
      <c r="MT6" s="36"/>
      <c r="MU6" s="36"/>
      <c r="MV6" s="36"/>
      <c r="MW6" s="36"/>
      <c r="MX6" s="36"/>
      <c r="MY6" s="36"/>
      <c r="MZ6" s="36"/>
      <c r="NA6" s="36"/>
      <c r="NB6" s="36"/>
      <c r="NC6" s="36"/>
      <c r="ND6" s="36"/>
      <c r="NE6" s="36"/>
      <c r="NF6" s="36"/>
      <c r="NG6" s="36"/>
      <c r="NH6" s="36"/>
      <c r="NI6" s="14" t="str">
        <f t="shared" si="124"/>
        <v/>
      </c>
      <c r="NJ6" s="14" t="str">
        <f t="shared" si="125"/>
        <v/>
      </c>
      <c r="NK6" s="14" t="str">
        <f t="shared" si="126"/>
        <v/>
      </c>
      <c r="NL6" s="14" t="str">
        <f t="shared" si="127"/>
        <v/>
      </c>
      <c r="NM6" s="14" t="str">
        <f t="shared" si="128"/>
        <v/>
      </c>
      <c r="NN6" s="14" t="str">
        <f t="shared" si="129"/>
        <v/>
      </c>
      <c r="NO6" s="14" t="str">
        <f t="shared" si="130"/>
        <v/>
      </c>
      <c r="NP6" s="61">
        <f t="shared" si="131"/>
        <v>17</v>
      </c>
      <c r="NQ6" s="61">
        <f t="shared" si="132"/>
        <v>9.5500000000000007</v>
      </c>
      <c r="NR6" s="61">
        <f t="shared" si="133"/>
        <v>4.3</v>
      </c>
      <c r="NS6" s="61">
        <f t="shared" si="134"/>
        <v>15.0425</v>
      </c>
      <c r="NT6" s="61">
        <f t="shared" si="135"/>
        <v>0</v>
      </c>
      <c r="NU6" s="61">
        <f t="shared" si="136"/>
        <v>13.85</v>
      </c>
      <c r="NV6" s="61">
        <f t="shared" si="137"/>
        <v>9.0500000000000007</v>
      </c>
      <c r="NW6" s="61">
        <f t="shared" si="138"/>
        <v>12.35</v>
      </c>
      <c r="NX6" s="61">
        <f t="shared" si="139"/>
        <v>14.1775</v>
      </c>
      <c r="NY6" s="61">
        <f t="shared" si="140"/>
        <v>0</v>
      </c>
      <c r="NZ6" s="61">
        <f t="shared" si="141"/>
        <v>14.3</v>
      </c>
      <c r="OA6" s="61">
        <f t="shared" si="142"/>
        <v>9.0500000000000007</v>
      </c>
      <c r="OB6" s="61">
        <f t="shared" si="143"/>
        <v>12.35</v>
      </c>
      <c r="OC6" s="61">
        <f t="shared" si="144"/>
        <v>14.227499999999999</v>
      </c>
      <c r="OD6" s="61">
        <f t="shared" si="145"/>
        <v>0</v>
      </c>
      <c r="OE6" s="61">
        <f t="shared" si="146"/>
        <v>13.75</v>
      </c>
      <c r="OF6" s="61">
        <f t="shared" si="147"/>
        <v>8.75</v>
      </c>
      <c r="OG6" s="61">
        <f t="shared" si="148"/>
        <v>12.05</v>
      </c>
      <c r="OH6" s="61">
        <f t="shared" si="149"/>
        <v>13.942499999999999</v>
      </c>
      <c r="OI6" s="61">
        <f t="shared" si="150"/>
        <v>0</v>
      </c>
      <c r="OJ6" s="72" t="s">
        <v>52</v>
      </c>
      <c r="OK6" s="11">
        <f t="shared" si="151"/>
        <v>45.892499999999998</v>
      </c>
      <c r="OL6" s="11">
        <f t="shared" si="152"/>
        <v>12.35</v>
      </c>
      <c r="OM6" s="11">
        <f t="shared" si="153"/>
        <v>49.427500000000002</v>
      </c>
      <c r="ON6" s="11">
        <f t="shared" si="154"/>
        <v>12.35</v>
      </c>
      <c r="OO6" s="11">
        <f t="shared" si="155"/>
        <v>49.927500000000002</v>
      </c>
      <c r="OP6" s="11">
        <f t="shared" si="156"/>
        <v>95.82</v>
      </c>
      <c r="OQ6" s="11">
        <f t="shared" si="157"/>
        <v>12.05</v>
      </c>
      <c r="OR6" s="11">
        <f t="shared" si="158"/>
        <v>48.492499999999993</v>
      </c>
      <c r="OS6" s="11">
        <f t="shared" si="159"/>
        <v>144.3125</v>
      </c>
    </row>
    <row r="7" spans="1:409" x14ac:dyDescent="0.2">
      <c r="A7" s="5" cm="1">
        <f t="array" ref="A7">IF(AND(G7&lt;&gt;"",H7&lt;&gt;""),SUMPRODUCT((G$4:G$27&lt;&gt;"")*(H$4:H$27&lt;&gt;"")*(E$4:E$27&gt;E7))+1,IF(H7&lt;&gt;"",SUMPRODUCT((I$4:I$27="No DD")*(E$4:E$27&gt;E7))+1+SUMPRODUCT((G$4:G$27&lt;&gt;"")*(H$4:H$27&lt;&gt;"")),""))</f>
        <v>4</v>
      </c>
      <c r="B7" s="8" t="s">
        <v>101</v>
      </c>
      <c r="C7" s="4" t="s">
        <v>5</v>
      </c>
      <c r="D7" s="26">
        <v>2003</v>
      </c>
      <c r="E7" s="15">
        <f t="shared" si="0"/>
        <v>98.72999999999999</v>
      </c>
      <c r="F7" s="3" t="str">
        <f t="shared" si="1"/>
        <v/>
      </c>
      <c r="G7" s="115" t="str">
        <f t="shared" si="2"/>
        <v/>
      </c>
      <c r="H7" s="115" t="str">
        <f t="shared" si="3"/>
        <v>National Team</v>
      </c>
      <c r="I7" s="116" t="str">
        <f t="shared" si="4"/>
        <v>No DD</v>
      </c>
      <c r="J7" s="3" t="str">
        <f t="shared" si="5"/>
        <v/>
      </c>
      <c r="K7" s="14">
        <f t="shared" si="6"/>
        <v>90.56</v>
      </c>
      <c r="L7" s="14" t="str">
        <f t="shared" si="7"/>
        <v>2021 Elite Canada</v>
      </c>
      <c r="M7" s="14">
        <f t="shared" si="8"/>
        <v>42.024999999999999</v>
      </c>
      <c r="N7" s="14" t="str">
        <f t="shared" si="9"/>
        <v>2021 2nd Virtual Technical Trial</v>
      </c>
      <c r="O7" s="14">
        <f t="shared" si="10"/>
        <v>49.964999999999996</v>
      </c>
      <c r="P7" s="14" t="str">
        <f t="shared" si="11"/>
        <v>2021 Elite Canada</v>
      </c>
      <c r="Q7" s="14">
        <f>IF(COUNT(AS7,AU7,AX7,BW7,BY7,CB7,DA7,DC7,DF7)&gt;1,LARGE((AS7,AU7,AX7,BW7,BY7,CB7,DA7,DC7,DF7),2),0)</f>
        <v>48.765000000000001</v>
      </c>
      <c r="R7" s="14" t="str">
        <f t="shared" si="12"/>
        <v>2021 Elite Canada</v>
      </c>
      <c r="S7" s="14" t="str">
        <f t="shared" si="13"/>
        <v/>
      </c>
      <c r="T7" s="24" t="str">
        <f t="shared" si="14"/>
        <v/>
      </c>
      <c r="U7" s="14" t="str">
        <f t="shared" si="15"/>
        <v/>
      </c>
      <c r="V7" s="61">
        <v>16.100000000000001</v>
      </c>
      <c r="W7" s="61">
        <v>9.5</v>
      </c>
      <c r="X7" s="61">
        <v>1.5</v>
      </c>
      <c r="Y7" s="61">
        <v>14.14</v>
      </c>
      <c r="Z7" s="61">
        <v>0</v>
      </c>
      <c r="AA7" s="61">
        <v>2.6</v>
      </c>
      <c r="AB7" s="61">
        <v>1.75</v>
      </c>
      <c r="AC7" s="61">
        <v>2.5</v>
      </c>
      <c r="AD7" s="61">
        <v>2.88</v>
      </c>
      <c r="AE7" s="61">
        <v>0</v>
      </c>
      <c r="AF7" s="61"/>
      <c r="AG7" s="61"/>
      <c r="AH7" s="61"/>
      <c r="AI7" s="61"/>
      <c r="AJ7" s="61"/>
      <c r="AK7" s="61">
        <v>15</v>
      </c>
      <c r="AL7" s="61">
        <v>9.65</v>
      </c>
      <c r="AM7" s="61">
        <v>10</v>
      </c>
      <c r="AN7" s="61">
        <v>13.91</v>
      </c>
      <c r="AO7" s="61">
        <v>0</v>
      </c>
      <c r="AP7" s="72"/>
      <c r="AQ7" s="11">
        <f t="shared" si="16"/>
        <v>41.24</v>
      </c>
      <c r="AR7" s="11">
        <f t="shared" si="17"/>
        <v>2.5</v>
      </c>
      <c r="AS7" s="11">
        <f t="shared" si="18"/>
        <v>9.73</v>
      </c>
      <c r="AT7" s="11" t="str">
        <f t="shared" si="19"/>
        <v/>
      </c>
      <c r="AU7" s="11" t="str">
        <f t="shared" si="20"/>
        <v/>
      </c>
      <c r="AV7" s="11">
        <f t="shared" si="21"/>
        <v>50.97</v>
      </c>
      <c r="AW7" s="11">
        <f t="shared" si="22"/>
        <v>10</v>
      </c>
      <c r="AX7" s="11">
        <f t="shared" si="23"/>
        <v>48.56</v>
      </c>
      <c r="AY7" s="11">
        <f t="shared" si="24"/>
        <v>99.53</v>
      </c>
      <c r="AZ7" s="67">
        <v>16.2</v>
      </c>
      <c r="BA7" s="67">
        <v>9</v>
      </c>
      <c r="BB7" s="67">
        <v>2.1</v>
      </c>
      <c r="BC7" s="67">
        <v>14.725</v>
      </c>
      <c r="BD7" s="67">
        <v>0</v>
      </c>
      <c r="BE7" s="67">
        <v>7.3</v>
      </c>
      <c r="BF7" s="67">
        <v>4.2</v>
      </c>
      <c r="BG7" s="67">
        <v>4.3</v>
      </c>
      <c r="BH7" s="67">
        <v>7.1449999999999996</v>
      </c>
      <c r="BI7" s="67">
        <v>0</v>
      </c>
      <c r="BJ7" s="67"/>
      <c r="BK7" s="67"/>
      <c r="BL7" s="67"/>
      <c r="BM7" s="67"/>
      <c r="BN7" s="67"/>
      <c r="BO7" s="67">
        <v>3.2</v>
      </c>
      <c r="BP7" s="67">
        <v>1.8</v>
      </c>
      <c r="BQ7" s="67">
        <v>2.5</v>
      </c>
      <c r="BR7" s="67">
        <v>2.88</v>
      </c>
      <c r="BS7" s="67">
        <v>0</v>
      </c>
      <c r="BT7" s="73"/>
      <c r="BU7" s="14">
        <f t="shared" si="25"/>
        <v>42.024999999999999</v>
      </c>
      <c r="BV7" s="14">
        <f t="shared" si="26"/>
        <v>4.3</v>
      </c>
      <c r="BW7" s="14">
        <f t="shared" si="27"/>
        <v>22.945</v>
      </c>
      <c r="BX7" s="14" t="str">
        <f t="shared" si="28"/>
        <v/>
      </c>
      <c r="BY7" s="14" t="str">
        <f t="shared" si="29"/>
        <v/>
      </c>
      <c r="BZ7" s="14">
        <f t="shared" si="30"/>
        <v>64.97</v>
      </c>
      <c r="CA7" s="14">
        <f t="shared" si="31"/>
        <v>2.5</v>
      </c>
      <c r="CB7" s="14">
        <f t="shared" si="32"/>
        <v>10.379999999999999</v>
      </c>
      <c r="CC7" s="14">
        <f t="shared" si="33"/>
        <v>75.349999999999994</v>
      </c>
      <c r="CD7" s="61">
        <v>16.3</v>
      </c>
      <c r="CE7" s="61">
        <v>8.9</v>
      </c>
      <c r="CF7" s="61">
        <v>2.1</v>
      </c>
      <c r="CG7" s="61">
        <v>14.494999999999999</v>
      </c>
      <c r="CH7" s="61">
        <v>0</v>
      </c>
      <c r="CI7" s="61">
        <v>15.4</v>
      </c>
      <c r="CJ7" s="61">
        <v>8.9</v>
      </c>
      <c r="CK7" s="61">
        <v>10.6</v>
      </c>
      <c r="CL7" s="61">
        <v>13.865</v>
      </c>
      <c r="CM7" s="61">
        <v>0</v>
      </c>
      <c r="CN7" s="61"/>
      <c r="CO7" s="61"/>
      <c r="CP7" s="61"/>
      <c r="CQ7" s="61"/>
      <c r="CR7" s="61"/>
      <c r="CS7" s="61">
        <v>15.8</v>
      </c>
      <c r="CT7" s="61">
        <v>9.5</v>
      </c>
      <c r="CU7" s="61">
        <v>10.6</v>
      </c>
      <c r="CV7" s="61">
        <v>14.065</v>
      </c>
      <c r="CW7" s="61">
        <v>0</v>
      </c>
      <c r="CX7" s="72"/>
      <c r="CY7" s="11">
        <f t="shared" si="34"/>
        <v>41.795000000000002</v>
      </c>
      <c r="CZ7" s="11">
        <f t="shared" si="35"/>
        <v>10.6</v>
      </c>
      <c r="DA7" s="11">
        <f t="shared" si="36"/>
        <v>48.765000000000001</v>
      </c>
      <c r="DB7" s="11" t="str">
        <f t="shared" si="37"/>
        <v/>
      </c>
      <c r="DC7" s="11" t="str">
        <f t="shared" si="38"/>
        <v/>
      </c>
      <c r="DD7" s="11">
        <f t="shared" si="39"/>
        <v>90.56</v>
      </c>
      <c r="DE7" s="11">
        <f t="shared" si="40"/>
        <v>10.6</v>
      </c>
      <c r="DF7" s="11">
        <f t="shared" si="41"/>
        <v>49.964999999999996</v>
      </c>
      <c r="DG7" s="11">
        <f t="shared" si="42"/>
        <v>140.52500000000001</v>
      </c>
      <c r="DH7" s="23" t="str">
        <f t="shared" si="43"/>
        <v/>
      </c>
      <c r="DI7" s="23" t="str">
        <f t="shared" si="44"/>
        <v/>
      </c>
      <c r="DJ7" s="23" t="str">
        <f t="shared" si="45"/>
        <v/>
      </c>
      <c r="DK7" s="23" t="str">
        <f t="shared" si="46"/>
        <v/>
      </c>
      <c r="DL7" s="35"/>
      <c r="DM7" s="35"/>
      <c r="DN7" s="35"/>
      <c r="DO7" s="35"/>
      <c r="DP7" s="35"/>
      <c r="DQ7" s="35"/>
      <c r="DR7" s="35"/>
      <c r="DS7" s="35"/>
      <c r="DT7" s="35"/>
      <c r="DU7" s="35"/>
      <c r="DV7" s="35"/>
      <c r="DW7" s="35"/>
      <c r="DX7" s="35"/>
      <c r="DY7" s="35"/>
      <c r="DZ7" s="35"/>
      <c r="EA7" s="11" t="str">
        <f t="shared" si="47"/>
        <v/>
      </c>
      <c r="EB7" s="11" t="str">
        <f t="shared" si="48"/>
        <v/>
      </c>
      <c r="EC7" s="11" t="str">
        <f t="shared" si="49"/>
        <v/>
      </c>
      <c r="ED7" s="11" t="str">
        <f t="shared" si="50"/>
        <v/>
      </c>
      <c r="EE7" s="11" t="str">
        <f t="shared" si="51"/>
        <v/>
      </c>
      <c r="EF7" s="11" t="str">
        <f t="shared" si="52"/>
        <v/>
      </c>
      <c r="EG7" s="11" t="str">
        <f t="shared" si="53"/>
        <v/>
      </c>
      <c r="EH7" s="36"/>
      <c r="EI7" s="36"/>
      <c r="EJ7" s="36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14" t="str">
        <f t="shared" si="54"/>
        <v/>
      </c>
      <c r="EX7" s="14" t="str">
        <f t="shared" si="55"/>
        <v/>
      </c>
      <c r="EY7" s="14" t="str">
        <f t="shared" si="56"/>
        <v/>
      </c>
      <c r="EZ7" s="14" t="str">
        <f t="shared" si="57"/>
        <v/>
      </c>
      <c r="FA7" s="14" t="str">
        <f t="shared" si="58"/>
        <v/>
      </c>
      <c r="FB7" s="14" t="str">
        <f t="shared" si="59"/>
        <v/>
      </c>
      <c r="FC7" s="14" t="str">
        <f t="shared" si="60"/>
        <v/>
      </c>
      <c r="FD7" s="35"/>
      <c r="FE7" s="35"/>
      <c r="FF7" s="35"/>
      <c r="FG7" s="35"/>
      <c r="FH7" s="35"/>
      <c r="FI7" s="35"/>
      <c r="FJ7" s="35"/>
      <c r="FK7" s="35"/>
      <c r="FL7" s="35"/>
      <c r="FM7" s="35"/>
      <c r="FN7" s="35"/>
      <c r="FO7" s="35"/>
      <c r="FP7" s="35"/>
      <c r="FQ7" s="35"/>
      <c r="FR7" s="35"/>
      <c r="FS7" s="11" t="str">
        <f t="shared" si="61"/>
        <v/>
      </c>
      <c r="FT7" s="11" t="str">
        <f t="shared" si="62"/>
        <v/>
      </c>
      <c r="FU7" s="11" t="str">
        <f t="shared" si="63"/>
        <v/>
      </c>
      <c r="FV7" s="11" t="str">
        <f t="shared" si="64"/>
        <v/>
      </c>
      <c r="FW7" s="11" t="str">
        <f t="shared" si="65"/>
        <v/>
      </c>
      <c r="FX7" s="11" t="str">
        <f t="shared" si="66"/>
        <v/>
      </c>
      <c r="FY7" s="11" t="str">
        <f t="shared" si="67"/>
        <v/>
      </c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14" t="str">
        <f t="shared" si="68"/>
        <v/>
      </c>
      <c r="GP7" s="14" t="str">
        <f t="shared" si="69"/>
        <v/>
      </c>
      <c r="GQ7" s="14" t="str">
        <f t="shared" si="70"/>
        <v/>
      </c>
      <c r="GR7" s="14" t="str">
        <f t="shared" si="71"/>
        <v/>
      </c>
      <c r="GS7" s="14" t="str">
        <f t="shared" si="72"/>
        <v/>
      </c>
      <c r="GT7" s="14" t="str">
        <f t="shared" si="73"/>
        <v/>
      </c>
      <c r="GU7" s="14" t="str">
        <f t="shared" si="74"/>
        <v/>
      </c>
      <c r="GV7" s="35"/>
      <c r="GW7" s="35"/>
      <c r="GX7" s="35"/>
      <c r="GY7" s="35"/>
      <c r="GZ7" s="35"/>
      <c r="HA7" s="35"/>
      <c r="HB7" s="35"/>
      <c r="HC7" s="35"/>
      <c r="HD7" s="35"/>
      <c r="HE7" s="35"/>
      <c r="HF7" s="35"/>
      <c r="HG7" s="35"/>
      <c r="HH7" s="35"/>
      <c r="HI7" s="35"/>
      <c r="HJ7" s="35"/>
      <c r="HK7" s="11" t="str">
        <f t="shared" si="75"/>
        <v/>
      </c>
      <c r="HL7" s="11" t="str">
        <f t="shared" si="76"/>
        <v/>
      </c>
      <c r="HM7" s="11" t="str">
        <f t="shared" si="77"/>
        <v/>
      </c>
      <c r="HN7" s="11" t="str">
        <f t="shared" si="78"/>
        <v/>
      </c>
      <c r="HO7" s="11" t="str">
        <f t="shared" si="79"/>
        <v/>
      </c>
      <c r="HP7" s="11" t="str">
        <f t="shared" si="80"/>
        <v/>
      </c>
      <c r="HQ7" s="11" t="str">
        <f t="shared" si="81"/>
        <v/>
      </c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36"/>
      <c r="ID7" s="36"/>
      <c r="IE7" s="36"/>
      <c r="IF7" s="36"/>
      <c r="IG7" s="14" t="str">
        <f t="shared" si="82"/>
        <v/>
      </c>
      <c r="IH7" s="14" t="str">
        <f t="shared" si="83"/>
        <v/>
      </c>
      <c r="II7" s="14" t="str">
        <f t="shared" si="84"/>
        <v/>
      </c>
      <c r="IJ7" s="14" t="str">
        <f t="shared" si="85"/>
        <v/>
      </c>
      <c r="IK7" s="14" t="str">
        <f t="shared" si="86"/>
        <v/>
      </c>
      <c r="IL7" s="14" t="str">
        <f t="shared" si="87"/>
        <v/>
      </c>
      <c r="IM7" s="14" t="str">
        <f t="shared" si="88"/>
        <v/>
      </c>
      <c r="IN7" s="35"/>
      <c r="IO7" s="35"/>
      <c r="IP7" s="35"/>
      <c r="IQ7" s="35"/>
      <c r="IR7" s="35"/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11" t="str">
        <f t="shared" si="89"/>
        <v/>
      </c>
      <c r="JD7" s="11" t="str">
        <f t="shared" si="90"/>
        <v/>
      </c>
      <c r="JE7" s="11" t="str">
        <f t="shared" si="91"/>
        <v/>
      </c>
      <c r="JF7" s="11" t="str">
        <f t="shared" si="92"/>
        <v/>
      </c>
      <c r="JG7" s="11" t="str">
        <f t="shared" si="93"/>
        <v/>
      </c>
      <c r="JH7" s="11" t="str">
        <f t="shared" si="94"/>
        <v/>
      </c>
      <c r="JI7" s="11" t="str">
        <f t="shared" si="95"/>
        <v/>
      </c>
      <c r="JJ7" s="36"/>
      <c r="JK7" s="36"/>
      <c r="JL7" s="36"/>
      <c r="JM7" s="36"/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14" t="str">
        <f t="shared" si="96"/>
        <v/>
      </c>
      <c r="JZ7" s="14" t="str">
        <f t="shared" si="97"/>
        <v/>
      </c>
      <c r="KA7" s="14" t="str">
        <f t="shared" si="98"/>
        <v/>
      </c>
      <c r="KB7" s="14" t="str">
        <f t="shared" si="99"/>
        <v/>
      </c>
      <c r="KC7" s="14" t="str">
        <f t="shared" si="100"/>
        <v/>
      </c>
      <c r="KD7" s="14" t="str">
        <f t="shared" si="101"/>
        <v/>
      </c>
      <c r="KE7" s="14" t="str">
        <f t="shared" si="102"/>
        <v/>
      </c>
      <c r="KF7" s="35"/>
      <c r="KG7" s="35"/>
      <c r="KH7" s="35"/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11" t="str">
        <f t="shared" si="103"/>
        <v/>
      </c>
      <c r="KV7" s="11" t="str">
        <f t="shared" si="104"/>
        <v/>
      </c>
      <c r="KW7" s="11" t="str">
        <f t="shared" si="105"/>
        <v/>
      </c>
      <c r="KX7" s="11" t="str">
        <f t="shared" si="106"/>
        <v/>
      </c>
      <c r="KY7" s="11" t="str">
        <f t="shared" si="107"/>
        <v/>
      </c>
      <c r="KZ7" s="11" t="str">
        <f t="shared" si="108"/>
        <v/>
      </c>
      <c r="LA7" s="11" t="str">
        <f t="shared" si="109"/>
        <v/>
      </c>
      <c r="LB7" s="36"/>
      <c r="LC7" s="36"/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14" t="str">
        <f t="shared" si="110"/>
        <v/>
      </c>
      <c r="LR7" s="14" t="str">
        <f t="shared" si="111"/>
        <v/>
      </c>
      <c r="LS7" s="14" t="str">
        <f t="shared" si="112"/>
        <v/>
      </c>
      <c r="LT7" s="14" t="str">
        <f t="shared" si="113"/>
        <v/>
      </c>
      <c r="LU7" s="14" t="str">
        <f t="shared" si="114"/>
        <v/>
      </c>
      <c r="LV7" s="14" t="str">
        <f t="shared" si="115"/>
        <v/>
      </c>
      <c r="LW7" s="14" t="str">
        <f t="shared" si="116"/>
        <v/>
      </c>
      <c r="LX7" s="35"/>
      <c r="LY7" s="35"/>
      <c r="LZ7" s="35"/>
      <c r="MA7" s="35"/>
      <c r="MB7" s="35"/>
      <c r="MC7" s="35"/>
      <c r="MD7" s="35"/>
      <c r="ME7" s="35"/>
      <c r="MF7" s="35"/>
      <c r="MG7" s="35"/>
      <c r="MH7" s="35"/>
      <c r="MI7" s="35"/>
      <c r="MJ7" s="35"/>
      <c r="MK7" s="35"/>
      <c r="ML7" s="35"/>
      <c r="MM7" s="11" t="str">
        <f t="shared" si="117"/>
        <v/>
      </c>
      <c r="MN7" s="11" t="str">
        <f t="shared" si="118"/>
        <v/>
      </c>
      <c r="MO7" s="11" t="str">
        <f t="shared" si="119"/>
        <v/>
      </c>
      <c r="MP7" s="11" t="str">
        <f t="shared" si="120"/>
        <v/>
      </c>
      <c r="MQ7" s="11" t="str">
        <f t="shared" si="121"/>
        <v/>
      </c>
      <c r="MR7" s="11" t="str">
        <f t="shared" si="122"/>
        <v/>
      </c>
      <c r="MS7" s="11" t="str">
        <f t="shared" si="123"/>
        <v/>
      </c>
      <c r="MT7" s="36"/>
      <c r="MU7" s="36"/>
      <c r="MV7" s="36"/>
      <c r="MW7" s="36"/>
      <c r="MX7" s="36"/>
      <c r="MY7" s="36"/>
      <c r="MZ7" s="36"/>
      <c r="NA7" s="36"/>
      <c r="NB7" s="36"/>
      <c r="NC7" s="36"/>
      <c r="ND7" s="36"/>
      <c r="NE7" s="36"/>
      <c r="NF7" s="36"/>
      <c r="NG7" s="36"/>
      <c r="NH7" s="36"/>
      <c r="NI7" s="14" t="str">
        <f t="shared" si="124"/>
        <v/>
      </c>
      <c r="NJ7" s="14" t="str">
        <f t="shared" si="125"/>
        <v/>
      </c>
      <c r="NK7" s="14" t="str">
        <f t="shared" si="126"/>
        <v/>
      </c>
      <c r="NL7" s="14" t="str">
        <f t="shared" si="127"/>
        <v/>
      </c>
      <c r="NM7" s="14" t="str">
        <f t="shared" si="128"/>
        <v/>
      </c>
      <c r="NN7" s="14" t="str">
        <f t="shared" si="129"/>
        <v/>
      </c>
      <c r="NO7" s="14" t="str">
        <f t="shared" si="130"/>
        <v/>
      </c>
      <c r="NP7" s="61">
        <f t="shared" si="131"/>
        <v>16.25</v>
      </c>
      <c r="NQ7" s="61">
        <f t="shared" si="132"/>
        <v>8.9499999999999993</v>
      </c>
      <c r="NR7" s="61">
        <f t="shared" si="133"/>
        <v>2.1</v>
      </c>
      <c r="NS7" s="61">
        <f t="shared" si="134"/>
        <v>14.61</v>
      </c>
      <c r="NT7" s="61">
        <f t="shared" si="135"/>
        <v>0</v>
      </c>
      <c r="NU7" s="61">
        <f t="shared" si="136"/>
        <v>11.35</v>
      </c>
      <c r="NV7" s="61">
        <f t="shared" si="137"/>
        <v>6.5500000000000007</v>
      </c>
      <c r="NW7" s="61">
        <f t="shared" si="138"/>
        <v>7.4499999999999993</v>
      </c>
      <c r="NX7" s="61">
        <f t="shared" si="139"/>
        <v>10.504999999999999</v>
      </c>
      <c r="NY7" s="61">
        <f t="shared" si="140"/>
        <v>0</v>
      </c>
      <c r="NZ7" s="61">
        <f t="shared" si="141"/>
        <v>0</v>
      </c>
      <c r="OA7" s="61">
        <f t="shared" si="142"/>
        <v>0</v>
      </c>
      <c r="OB7" s="61">
        <f t="shared" si="143"/>
        <v>0</v>
      </c>
      <c r="OC7" s="61">
        <f t="shared" si="144"/>
        <v>0</v>
      </c>
      <c r="OD7" s="61">
        <f t="shared" si="145"/>
        <v>0</v>
      </c>
      <c r="OE7" s="61">
        <f t="shared" si="146"/>
        <v>9.5</v>
      </c>
      <c r="OF7" s="61">
        <f t="shared" si="147"/>
        <v>5.65</v>
      </c>
      <c r="OG7" s="61">
        <f t="shared" si="148"/>
        <v>6.55</v>
      </c>
      <c r="OH7" s="61">
        <f t="shared" si="149"/>
        <v>8.4725000000000001</v>
      </c>
      <c r="OI7" s="61">
        <f t="shared" si="150"/>
        <v>0</v>
      </c>
      <c r="OJ7" s="72" t="s">
        <v>52</v>
      </c>
      <c r="OK7" s="11">
        <f t="shared" si="151"/>
        <v>41.91</v>
      </c>
      <c r="OL7" s="11">
        <f t="shared" si="152"/>
        <v>7.4499999999999993</v>
      </c>
      <c r="OM7" s="11">
        <f t="shared" si="153"/>
        <v>35.854999999999997</v>
      </c>
      <c r="ON7" s="11" t="str">
        <f t="shared" si="154"/>
        <v/>
      </c>
      <c r="OO7" s="11" t="str">
        <f t="shared" si="155"/>
        <v/>
      </c>
      <c r="OP7" s="11">
        <f t="shared" si="156"/>
        <v>77.764999999999986</v>
      </c>
      <c r="OQ7" s="11">
        <f t="shared" si="157"/>
        <v>6.55</v>
      </c>
      <c r="OR7" s="11">
        <f t="shared" si="158"/>
        <v>30.172499999999999</v>
      </c>
      <c r="OS7" s="11">
        <f t="shared" si="159"/>
        <v>107.93749999999999</v>
      </c>
    </row>
    <row r="8" spans="1:409" x14ac:dyDescent="0.2">
      <c r="A8" s="5" cm="1">
        <f t="array" ref="A8">IF(AND(G8&lt;&gt;"",H8&lt;&gt;""),SUMPRODUCT((G$4:G$27&lt;&gt;"")*(H$4:H$27&lt;&gt;"")*(E$4:E$27&gt;E8))+1,IF(H8&lt;&gt;"",SUMPRODUCT((I$4:I$27="No DD")*(E$4:E$27&gt;E8))+1+SUMPRODUCT((G$4:G$27&lt;&gt;"")*(H$4:H$27&lt;&gt;"")),""))</f>
        <v>5</v>
      </c>
      <c r="B8" s="8" t="s">
        <v>143</v>
      </c>
      <c r="C8" s="4" t="s">
        <v>96</v>
      </c>
      <c r="D8" s="26">
        <v>2000</v>
      </c>
      <c r="E8" s="15">
        <f t="shared" si="0"/>
        <v>96.789999999999992</v>
      </c>
      <c r="F8" s="3" t="str">
        <f t="shared" si="1"/>
        <v/>
      </c>
      <c r="G8" s="115" t="str">
        <f t="shared" si="2"/>
        <v/>
      </c>
      <c r="H8" s="115" t="str">
        <f t="shared" si="3"/>
        <v>National Team</v>
      </c>
      <c r="I8" s="116" t="str">
        <f t="shared" si="4"/>
        <v>No DD</v>
      </c>
      <c r="J8" s="3" t="str">
        <f t="shared" si="5"/>
        <v/>
      </c>
      <c r="K8" s="14">
        <f t="shared" si="6"/>
        <v>90.62</v>
      </c>
      <c r="L8" s="14" t="str">
        <f t="shared" si="7"/>
        <v>2021 Elite Canada</v>
      </c>
      <c r="M8" s="14">
        <f t="shared" si="8"/>
        <v>0</v>
      </c>
      <c r="N8" s="14" t="str">
        <f t="shared" si="9"/>
        <v/>
      </c>
      <c r="O8" s="14">
        <f t="shared" si="10"/>
        <v>49.05</v>
      </c>
      <c r="P8" s="14" t="str">
        <f t="shared" si="11"/>
        <v>2021 Elite Canada</v>
      </c>
      <c r="Q8" s="14">
        <f>IF(COUNT(AS8,AU8,AX8,BW8,BY8,CB8,DA8,DC8,DF8)&gt;1,LARGE((AS8,AU8,AX8,BW8,BY8,CB8,DA8,DC8,DF8),2),0)</f>
        <v>47.74</v>
      </c>
      <c r="R8" s="14" t="str">
        <f t="shared" si="12"/>
        <v>2021 Elite Canada</v>
      </c>
      <c r="S8" s="14" t="str">
        <f t="shared" si="13"/>
        <v/>
      </c>
      <c r="T8" s="24" t="str">
        <f t="shared" si="14"/>
        <v/>
      </c>
      <c r="U8" s="14" t="str">
        <f t="shared" si="15"/>
        <v/>
      </c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  <c r="AK8" s="61"/>
      <c r="AL8" s="61"/>
      <c r="AM8" s="61"/>
      <c r="AN8" s="61"/>
      <c r="AO8" s="61"/>
      <c r="AP8" s="72"/>
      <c r="AQ8" s="11" t="str">
        <f t="shared" si="16"/>
        <v/>
      </c>
      <c r="AR8" s="11" t="str">
        <f t="shared" si="17"/>
        <v/>
      </c>
      <c r="AS8" s="11" t="str">
        <f t="shared" si="18"/>
        <v/>
      </c>
      <c r="AT8" s="11" t="str">
        <f t="shared" si="19"/>
        <v/>
      </c>
      <c r="AU8" s="11" t="str">
        <f t="shared" si="20"/>
        <v/>
      </c>
      <c r="AV8" s="11" t="str">
        <f t="shared" si="21"/>
        <v/>
      </c>
      <c r="AW8" s="11" t="str">
        <f t="shared" si="22"/>
        <v/>
      </c>
      <c r="AX8" s="11" t="str">
        <f t="shared" si="23"/>
        <v/>
      </c>
      <c r="AY8" s="11" t="str">
        <f t="shared" si="24"/>
        <v/>
      </c>
      <c r="AZ8" s="67"/>
      <c r="BA8" s="67"/>
      <c r="BB8" s="67"/>
      <c r="BC8" s="67"/>
      <c r="BD8" s="67"/>
      <c r="BE8" s="67"/>
      <c r="BF8" s="67"/>
      <c r="BG8" s="67"/>
      <c r="BH8" s="67"/>
      <c r="BI8" s="67"/>
      <c r="BJ8" s="67"/>
      <c r="BK8" s="67"/>
      <c r="BL8" s="67"/>
      <c r="BM8" s="67"/>
      <c r="BN8" s="67"/>
      <c r="BO8" s="67"/>
      <c r="BP8" s="67"/>
      <c r="BQ8" s="67"/>
      <c r="BR8" s="67"/>
      <c r="BS8" s="67"/>
      <c r="BT8" s="73"/>
      <c r="BU8" s="14" t="str">
        <f t="shared" si="25"/>
        <v/>
      </c>
      <c r="BV8" s="14" t="str">
        <f t="shared" si="26"/>
        <v/>
      </c>
      <c r="BW8" s="14" t="str">
        <f t="shared" si="27"/>
        <v/>
      </c>
      <c r="BX8" s="14" t="str">
        <f t="shared" si="28"/>
        <v/>
      </c>
      <c r="BY8" s="14" t="str">
        <f t="shared" si="29"/>
        <v/>
      </c>
      <c r="BZ8" s="14" t="str">
        <f t="shared" si="30"/>
        <v/>
      </c>
      <c r="CA8" s="14" t="str">
        <f t="shared" si="31"/>
        <v/>
      </c>
      <c r="CB8" s="14" t="str">
        <f t="shared" si="32"/>
        <v/>
      </c>
      <c r="CC8" s="14" t="str">
        <f t="shared" si="33"/>
        <v/>
      </c>
      <c r="CD8" s="61">
        <v>16</v>
      </c>
      <c r="CE8" s="61">
        <v>8.9</v>
      </c>
      <c r="CF8" s="61">
        <v>2.1</v>
      </c>
      <c r="CG8" s="61">
        <v>14.57</v>
      </c>
      <c r="CH8" s="61">
        <v>0</v>
      </c>
      <c r="CI8" s="61">
        <v>15.2</v>
      </c>
      <c r="CJ8" s="61">
        <v>9.3000000000000007</v>
      </c>
      <c r="CK8" s="61">
        <v>9.9</v>
      </c>
      <c r="CL8" s="61">
        <v>14.65</v>
      </c>
      <c r="CM8" s="61">
        <v>0</v>
      </c>
      <c r="CN8" s="61"/>
      <c r="CO8" s="61"/>
      <c r="CP8" s="61"/>
      <c r="CQ8" s="61"/>
      <c r="CR8" s="61"/>
      <c r="CS8" s="61">
        <v>15</v>
      </c>
      <c r="CT8" s="61">
        <v>8.8000000000000007</v>
      </c>
      <c r="CU8" s="61">
        <v>9.1999999999999993</v>
      </c>
      <c r="CV8" s="61">
        <v>14.74</v>
      </c>
      <c r="CW8" s="61">
        <v>0</v>
      </c>
      <c r="CX8" s="72"/>
      <c r="CY8" s="11">
        <f t="shared" si="34"/>
        <v>41.57</v>
      </c>
      <c r="CZ8" s="11">
        <f t="shared" si="35"/>
        <v>9.9</v>
      </c>
      <c r="DA8" s="11">
        <f t="shared" si="36"/>
        <v>49.05</v>
      </c>
      <c r="DB8" s="11" t="str">
        <f t="shared" si="37"/>
        <v/>
      </c>
      <c r="DC8" s="11" t="str">
        <f t="shared" si="38"/>
        <v/>
      </c>
      <c r="DD8" s="11">
        <f t="shared" si="39"/>
        <v>90.62</v>
      </c>
      <c r="DE8" s="11">
        <f t="shared" si="40"/>
        <v>9.1999999999999993</v>
      </c>
      <c r="DF8" s="11">
        <f t="shared" si="41"/>
        <v>47.74</v>
      </c>
      <c r="DG8" s="11">
        <f t="shared" si="42"/>
        <v>138.36000000000001</v>
      </c>
      <c r="DH8" s="23" t="str">
        <f t="shared" si="43"/>
        <v/>
      </c>
      <c r="DI8" s="23" t="str">
        <f t="shared" si="44"/>
        <v/>
      </c>
      <c r="DJ8" s="23" t="str">
        <f t="shared" si="45"/>
        <v/>
      </c>
      <c r="DK8" s="23" t="str">
        <f t="shared" si="46"/>
        <v/>
      </c>
      <c r="DL8" s="35"/>
      <c r="DM8" s="35"/>
      <c r="DN8" s="35"/>
      <c r="DO8" s="35"/>
      <c r="DP8" s="35"/>
      <c r="DQ8" s="35"/>
      <c r="DR8" s="35"/>
      <c r="DS8" s="35"/>
      <c r="DT8" s="35"/>
      <c r="DU8" s="35"/>
      <c r="DV8" s="35"/>
      <c r="DW8" s="35"/>
      <c r="DX8" s="35"/>
      <c r="DY8" s="35"/>
      <c r="DZ8" s="35"/>
      <c r="EA8" s="11" t="str">
        <f t="shared" si="47"/>
        <v/>
      </c>
      <c r="EB8" s="11" t="str">
        <f t="shared" si="48"/>
        <v/>
      </c>
      <c r="EC8" s="11" t="str">
        <f t="shared" si="49"/>
        <v/>
      </c>
      <c r="ED8" s="11" t="str">
        <f t="shared" si="50"/>
        <v/>
      </c>
      <c r="EE8" s="11" t="str">
        <f t="shared" si="51"/>
        <v/>
      </c>
      <c r="EF8" s="11" t="str">
        <f t="shared" si="52"/>
        <v/>
      </c>
      <c r="EG8" s="11" t="str">
        <f t="shared" si="53"/>
        <v/>
      </c>
      <c r="EH8" s="36"/>
      <c r="EI8" s="36"/>
      <c r="EJ8" s="36"/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14" t="str">
        <f t="shared" si="54"/>
        <v/>
      </c>
      <c r="EX8" s="14" t="str">
        <f t="shared" si="55"/>
        <v/>
      </c>
      <c r="EY8" s="14" t="str">
        <f t="shared" si="56"/>
        <v/>
      </c>
      <c r="EZ8" s="14" t="str">
        <f t="shared" si="57"/>
        <v/>
      </c>
      <c r="FA8" s="14" t="str">
        <f t="shared" si="58"/>
        <v/>
      </c>
      <c r="FB8" s="14" t="str">
        <f t="shared" si="59"/>
        <v/>
      </c>
      <c r="FC8" s="14" t="str">
        <f t="shared" si="60"/>
        <v/>
      </c>
      <c r="FD8" s="35"/>
      <c r="FE8" s="35"/>
      <c r="FF8" s="35"/>
      <c r="FG8" s="35"/>
      <c r="FH8" s="35"/>
      <c r="FI8" s="35"/>
      <c r="FJ8" s="35"/>
      <c r="FK8" s="35"/>
      <c r="FL8" s="35"/>
      <c r="FM8" s="35"/>
      <c r="FN8" s="35"/>
      <c r="FO8" s="35"/>
      <c r="FP8" s="35"/>
      <c r="FQ8" s="35"/>
      <c r="FR8" s="35"/>
      <c r="FS8" s="11" t="str">
        <f t="shared" si="61"/>
        <v/>
      </c>
      <c r="FT8" s="11" t="str">
        <f t="shared" si="62"/>
        <v/>
      </c>
      <c r="FU8" s="11" t="str">
        <f t="shared" si="63"/>
        <v/>
      </c>
      <c r="FV8" s="11" t="str">
        <f t="shared" si="64"/>
        <v/>
      </c>
      <c r="FW8" s="11" t="str">
        <f t="shared" si="65"/>
        <v/>
      </c>
      <c r="FX8" s="11" t="str">
        <f t="shared" si="66"/>
        <v/>
      </c>
      <c r="FY8" s="11" t="str">
        <f t="shared" si="67"/>
        <v/>
      </c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14" t="str">
        <f t="shared" si="68"/>
        <v/>
      </c>
      <c r="GP8" s="14" t="str">
        <f t="shared" si="69"/>
        <v/>
      </c>
      <c r="GQ8" s="14" t="str">
        <f t="shared" si="70"/>
        <v/>
      </c>
      <c r="GR8" s="14" t="str">
        <f t="shared" si="71"/>
        <v/>
      </c>
      <c r="GS8" s="14" t="str">
        <f t="shared" si="72"/>
        <v/>
      </c>
      <c r="GT8" s="14" t="str">
        <f t="shared" si="73"/>
        <v/>
      </c>
      <c r="GU8" s="14" t="str">
        <f t="shared" si="74"/>
        <v/>
      </c>
      <c r="GV8" s="35"/>
      <c r="GW8" s="35"/>
      <c r="GX8" s="35"/>
      <c r="GY8" s="35"/>
      <c r="GZ8" s="35"/>
      <c r="HA8" s="35"/>
      <c r="HB8" s="35"/>
      <c r="HC8" s="35"/>
      <c r="HD8" s="35"/>
      <c r="HE8" s="35"/>
      <c r="HF8" s="35"/>
      <c r="HG8" s="35"/>
      <c r="HH8" s="35"/>
      <c r="HI8" s="35"/>
      <c r="HJ8" s="35"/>
      <c r="HK8" s="11" t="str">
        <f t="shared" si="75"/>
        <v/>
      </c>
      <c r="HL8" s="11" t="str">
        <f t="shared" si="76"/>
        <v/>
      </c>
      <c r="HM8" s="11" t="str">
        <f t="shared" si="77"/>
        <v/>
      </c>
      <c r="HN8" s="11" t="str">
        <f t="shared" si="78"/>
        <v/>
      </c>
      <c r="HO8" s="11" t="str">
        <f t="shared" si="79"/>
        <v/>
      </c>
      <c r="HP8" s="11" t="str">
        <f t="shared" si="80"/>
        <v/>
      </c>
      <c r="HQ8" s="11" t="str">
        <f t="shared" si="81"/>
        <v/>
      </c>
      <c r="HR8" s="36"/>
      <c r="HS8" s="36"/>
      <c r="HT8" s="36"/>
      <c r="HU8" s="36"/>
      <c r="HV8" s="36"/>
      <c r="HW8" s="36"/>
      <c r="HX8" s="36"/>
      <c r="HY8" s="36"/>
      <c r="HZ8" s="36"/>
      <c r="IA8" s="36"/>
      <c r="IB8" s="36"/>
      <c r="IC8" s="36"/>
      <c r="ID8" s="36"/>
      <c r="IE8" s="36"/>
      <c r="IF8" s="36"/>
      <c r="IG8" s="14" t="str">
        <f t="shared" si="82"/>
        <v/>
      </c>
      <c r="IH8" s="14" t="str">
        <f t="shared" si="83"/>
        <v/>
      </c>
      <c r="II8" s="14" t="str">
        <f t="shared" si="84"/>
        <v/>
      </c>
      <c r="IJ8" s="14" t="str">
        <f t="shared" si="85"/>
        <v/>
      </c>
      <c r="IK8" s="14" t="str">
        <f t="shared" si="86"/>
        <v/>
      </c>
      <c r="IL8" s="14" t="str">
        <f t="shared" si="87"/>
        <v/>
      </c>
      <c r="IM8" s="14" t="str">
        <f t="shared" si="88"/>
        <v/>
      </c>
      <c r="IN8" s="35"/>
      <c r="IO8" s="35"/>
      <c r="IP8" s="35"/>
      <c r="IQ8" s="35"/>
      <c r="IR8" s="35"/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11" t="str">
        <f t="shared" si="89"/>
        <v/>
      </c>
      <c r="JD8" s="11" t="str">
        <f t="shared" si="90"/>
        <v/>
      </c>
      <c r="JE8" s="11" t="str">
        <f t="shared" si="91"/>
        <v/>
      </c>
      <c r="JF8" s="11" t="str">
        <f t="shared" si="92"/>
        <v/>
      </c>
      <c r="JG8" s="11" t="str">
        <f t="shared" si="93"/>
        <v/>
      </c>
      <c r="JH8" s="11" t="str">
        <f t="shared" si="94"/>
        <v/>
      </c>
      <c r="JI8" s="11" t="str">
        <f t="shared" si="95"/>
        <v/>
      </c>
      <c r="JJ8" s="36"/>
      <c r="JK8" s="36"/>
      <c r="JL8" s="36"/>
      <c r="JM8" s="36"/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14" t="str">
        <f t="shared" si="96"/>
        <v/>
      </c>
      <c r="JZ8" s="14" t="str">
        <f t="shared" si="97"/>
        <v/>
      </c>
      <c r="KA8" s="14" t="str">
        <f t="shared" si="98"/>
        <v/>
      </c>
      <c r="KB8" s="14" t="str">
        <f t="shared" si="99"/>
        <v/>
      </c>
      <c r="KC8" s="14" t="str">
        <f t="shared" si="100"/>
        <v/>
      </c>
      <c r="KD8" s="14" t="str">
        <f t="shared" si="101"/>
        <v/>
      </c>
      <c r="KE8" s="14" t="str">
        <f t="shared" si="102"/>
        <v/>
      </c>
      <c r="KF8" s="35"/>
      <c r="KG8" s="35"/>
      <c r="KH8" s="35"/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11" t="str">
        <f t="shared" si="103"/>
        <v/>
      </c>
      <c r="KV8" s="11" t="str">
        <f t="shared" si="104"/>
        <v/>
      </c>
      <c r="KW8" s="11" t="str">
        <f t="shared" si="105"/>
        <v/>
      </c>
      <c r="KX8" s="11" t="str">
        <f t="shared" si="106"/>
        <v/>
      </c>
      <c r="KY8" s="11" t="str">
        <f t="shared" si="107"/>
        <v/>
      </c>
      <c r="KZ8" s="11" t="str">
        <f t="shared" si="108"/>
        <v/>
      </c>
      <c r="LA8" s="11" t="str">
        <f t="shared" si="109"/>
        <v/>
      </c>
      <c r="LB8" s="36"/>
      <c r="LC8" s="36"/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14" t="str">
        <f t="shared" si="110"/>
        <v/>
      </c>
      <c r="LR8" s="14" t="str">
        <f t="shared" si="111"/>
        <v/>
      </c>
      <c r="LS8" s="14" t="str">
        <f t="shared" si="112"/>
        <v/>
      </c>
      <c r="LT8" s="14" t="str">
        <f t="shared" si="113"/>
        <v/>
      </c>
      <c r="LU8" s="14" t="str">
        <f t="shared" si="114"/>
        <v/>
      </c>
      <c r="LV8" s="14" t="str">
        <f t="shared" si="115"/>
        <v/>
      </c>
      <c r="LW8" s="14" t="str">
        <f t="shared" si="116"/>
        <v/>
      </c>
      <c r="LX8" s="35"/>
      <c r="LY8" s="35"/>
      <c r="LZ8" s="35"/>
      <c r="MA8" s="35"/>
      <c r="MB8" s="35"/>
      <c r="MC8" s="35"/>
      <c r="MD8" s="35"/>
      <c r="ME8" s="35"/>
      <c r="MF8" s="35"/>
      <c r="MG8" s="35"/>
      <c r="MH8" s="35"/>
      <c r="MI8" s="35"/>
      <c r="MJ8" s="35"/>
      <c r="MK8" s="35"/>
      <c r="ML8" s="35"/>
      <c r="MM8" s="11" t="str">
        <f t="shared" si="117"/>
        <v/>
      </c>
      <c r="MN8" s="11" t="str">
        <f t="shared" si="118"/>
        <v/>
      </c>
      <c r="MO8" s="11" t="str">
        <f t="shared" si="119"/>
        <v/>
      </c>
      <c r="MP8" s="11" t="str">
        <f t="shared" si="120"/>
        <v/>
      </c>
      <c r="MQ8" s="11" t="str">
        <f t="shared" si="121"/>
        <v/>
      </c>
      <c r="MR8" s="11" t="str">
        <f t="shared" si="122"/>
        <v/>
      </c>
      <c r="MS8" s="11" t="str">
        <f t="shared" si="123"/>
        <v/>
      </c>
      <c r="MT8" s="36"/>
      <c r="MU8" s="36"/>
      <c r="MV8" s="36"/>
      <c r="MW8" s="36"/>
      <c r="MX8" s="36"/>
      <c r="MY8" s="36"/>
      <c r="MZ8" s="36"/>
      <c r="NA8" s="36"/>
      <c r="NB8" s="36"/>
      <c r="NC8" s="36"/>
      <c r="ND8" s="36"/>
      <c r="NE8" s="36"/>
      <c r="NF8" s="36"/>
      <c r="NG8" s="36"/>
      <c r="NH8" s="36"/>
      <c r="NI8" s="14" t="str">
        <f t="shared" si="124"/>
        <v/>
      </c>
      <c r="NJ8" s="14" t="str">
        <f t="shared" si="125"/>
        <v/>
      </c>
      <c r="NK8" s="14" t="str">
        <f t="shared" si="126"/>
        <v/>
      </c>
      <c r="NL8" s="14" t="str">
        <f t="shared" si="127"/>
        <v/>
      </c>
      <c r="NM8" s="14" t="str">
        <f t="shared" si="128"/>
        <v/>
      </c>
      <c r="NN8" s="14" t="str">
        <f t="shared" si="129"/>
        <v/>
      </c>
      <c r="NO8" s="14" t="str">
        <f t="shared" si="130"/>
        <v/>
      </c>
      <c r="NP8" s="61">
        <f t="shared" si="131"/>
        <v>8</v>
      </c>
      <c r="NQ8" s="61">
        <f t="shared" si="132"/>
        <v>4.45</v>
      </c>
      <c r="NR8" s="61">
        <f t="shared" si="133"/>
        <v>1.05</v>
      </c>
      <c r="NS8" s="61">
        <f t="shared" si="134"/>
        <v>7.2850000000000001</v>
      </c>
      <c r="NT8" s="61">
        <f t="shared" si="135"/>
        <v>0</v>
      </c>
      <c r="NU8" s="61">
        <f t="shared" si="136"/>
        <v>7.6</v>
      </c>
      <c r="NV8" s="61">
        <f t="shared" si="137"/>
        <v>4.6500000000000004</v>
      </c>
      <c r="NW8" s="61">
        <f t="shared" si="138"/>
        <v>4.95</v>
      </c>
      <c r="NX8" s="61">
        <f t="shared" si="139"/>
        <v>7.3250000000000002</v>
      </c>
      <c r="NY8" s="61">
        <f t="shared" si="140"/>
        <v>0</v>
      </c>
      <c r="NZ8" s="61">
        <f t="shared" si="141"/>
        <v>0</v>
      </c>
      <c r="OA8" s="61">
        <f t="shared" si="142"/>
        <v>0</v>
      </c>
      <c r="OB8" s="61">
        <f t="shared" si="143"/>
        <v>0</v>
      </c>
      <c r="OC8" s="61">
        <f t="shared" si="144"/>
        <v>0</v>
      </c>
      <c r="OD8" s="61">
        <f t="shared" si="145"/>
        <v>0</v>
      </c>
      <c r="OE8" s="61">
        <f t="shared" si="146"/>
        <v>7.5</v>
      </c>
      <c r="OF8" s="61">
        <f t="shared" si="147"/>
        <v>4.4000000000000004</v>
      </c>
      <c r="OG8" s="61">
        <f t="shared" si="148"/>
        <v>4.5999999999999996</v>
      </c>
      <c r="OH8" s="61">
        <f t="shared" si="149"/>
        <v>7.37</v>
      </c>
      <c r="OI8" s="61">
        <f t="shared" si="150"/>
        <v>0</v>
      </c>
      <c r="OJ8" s="72" t="s">
        <v>52</v>
      </c>
      <c r="OK8" s="11">
        <f t="shared" si="151"/>
        <v>20.785</v>
      </c>
      <c r="OL8" s="11">
        <f t="shared" si="152"/>
        <v>4.95</v>
      </c>
      <c r="OM8" s="11">
        <f t="shared" si="153"/>
        <v>24.524999999999999</v>
      </c>
      <c r="ON8" s="11" t="str">
        <f t="shared" si="154"/>
        <v/>
      </c>
      <c r="OO8" s="11" t="str">
        <f t="shared" si="155"/>
        <v/>
      </c>
      <c r="OP8" s="11">
        <f t="shared" si="156"/>
        <v>45.31</v>
      </c>
      <c r="OQ8" s="11">
        <f t="shared" si="157"/>
        <v>4.5999999999999996</v>
      </c>
      <c r="OR8" s="11">
        <f t="shared" si="158"/>
        <v>23.87</v>
      </c>
      <c r="OS8" s="11">
        <f t="shared" si="159"/>
        <v>69.180000000000007</v>
      </c>
    </row>
    <row r="9" spans="1:409" x14ac:dyDescent="0.2">
      <c r="A9" s="5" cm="1">
        <f t="array" ref="A9">IF(AND(G9&lt;&gt;"",H9&lt;&gt;""),SUMPRODUCT((G$4:G$27&lt;&gt;"")*(H$4:H$27&lt;&gt;"")*(E$4:E$27&gt;E9))+1,IF(H9&lt;&gt;"",SUMPRODUCT((I$4:I$27="No DD")*(E$4:E$27&gt;E9))+1+SUMPRODUCT((G$4:G$27&lt;&gt;"")*(H$4:H$27&lt;&gt;"")),""))</f>
        <v>6</v>
      </c>
      <c r="B9" s="8" t="s">
        <v>130</v>
      </c>
      <c r="C9" s="4" t="s">
        <v>6</v>
      </c>
      <c r="D9" s="26">
        <v>2004</v>
      </c>
      <c r="E9" s="15">
        <f t="shared" si="0"/>
        <v>95.305000000000007</v>
      </c>
      <c r="F9" s="3" t="str">
        <f t="shared" si="1"/>
        <v/>
      </c>
      <c r="G9" s="115" t="str">
        <f t="shared" si="2"/>
        <v/>
      </c>
      <c r="H9" s="115" t="str">
        <f t="shared" si="3"/>
        <v>National Team</v>
      </c>
      <c r="I9" s="116" t="str">
        <f t="shared" si="4"/>
        <v>No DD</v>
      </c>
      <c r="J9" s="3" t="str">
        <f t="shared" si="5"/>
        <v/>
      </c>
      <c r="K9" s="14">
        <f t="shared" si="6"/>
        <v>88.289999999999992</v>
      </c>
      <c r="L9" s="14" t="str">
        <f t="shared" si="7"/>
        <v>2021 2nd Virtual Technical Trial</v>
      </c>
      <c r="M9" s="14">
        <f t="shared" si="8"/>
        <v>42.775000000000006</v>
      </c>
      <c r="N9" s="14" t="str">
        <f t="shared" si="9"/>
        <v>2021 Elite Canada</v>
      </c>
      <c r="O9" s="14">
        <f t="shared" si="10"/>
        <v>48.725000000000001</v>
      </c>
      <c r="P9" s="14" t="str">
        <f t="shared" si="11"/>
        <v>2021 Elite Canada</v>
      </c>
      <c r="Q9" s="14">
        <f>IF(COUNT(AS9,AU9,AX9,BW9,BY9,CB9,DA9,DC9,DF9)&gt;1,LARGE((AS9,AU9,AX9,BW9,BY9,CB9,DA9,DC9,DF9),2),0)</f>
        <v>46.58</v>
      </c>
      <c r="R9" s="14" t="str">
        <f t="shared" si="12"/>
        <v>2021 2nd Virtual Technical Trial</v>
      </c>
      <c r="S9" s="14" t="str">
        <f t="shared" si="13"/>
        <v/>
      </c>
      <c r="T9" s="24" t="str">
        <f t="shared" si="14"/>
        <v/>
      </c>
      <c r="U9" s="14" t="str">
        <f t="shared" si="15"/>
        <v/>
      </c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  <c r="AL9" s="61"/>
      <c r="AM9" s="61"/>
      <c r="AN9" s="61"/>
      <c r="AO9" s="61"/>
      <c r="AP9" s="72"/>
      <c r="AQ9" s="11" t="str">
        <f t="shared" si="16"/>
        <v/>
      </c>
      <c r="AR9" s="11" t="str">
        <f t="shared" si="17"/>
        <v/>
      </c>
      <c r="AS9" s="11" t="str">
        <f t="shared" si="18"/>
        <v/>
      </c>
      <c r="AT9" s="11" t="str">
        <f t="shared" si="19"/>
        <v/>
      </c>
      <c r="AU9" s="11" t="str">
        <f t="shared" si="20"/>
        <v/>
      </c>
      <c r="AV9" s="11" t="str">
        <f t="shared" si="21"/>
        <v/>
      </c>
      <c r="AW9" s="11" t="str">
        <f t="shared" si="22"/>
        <v/>
      </c>
      <c r="AX9" s="11" t="str">
        <f t="shared" si="23"/>
        <v/>
      </c>
      <c r="AY9" s="11" t="str">
        <f t="shared" si="24"/>
        <v/>
      </c>
      <c r="AZ9" s="67">
        <v>16.5</v>
      </c>
      <c r="BA9" s="67">
        <v>9.1</v>
      </c>
      <c r="BB9" s="67">
        <v>2</v>
      </c>
      <c r="BC9" s="67">
        <v>14.11</v>
      </c>
      <c r="BD9" s="67">
        <v>0</v>
      </c>
      <c r="BE9" s="67">
        <v>13.7</v>
      </c>
      <c r="BF9" s="67">
        <v>9.5</v>
      </c>
      <c r="BG9" s="67">
        <v>9.6999999999999993</v>
      </c>
      <c r="BH9" s="67">
        <v>13.68</v>
      </c>
      <c r="BI9" s="67">
        <v>0</v>
      </c>
      <c r="BJ9" s="67"/>
      <c r="BK9" s="67"/>
      <c r="BL9" s="67"/>
      <c r="BM9" s="67"/>
      <c r="BN9" s="67"/>
      <c r="BO9" s="67">
        <v>4.4000000000000004</v>
      </c>
      <c r="BP9" s="67">
        <v>2.2999999999999998</v>
      </c>
      <c r="BQ9" s="67">
        <v>4</v>
      </c>
      <c r="BR9" s="67">
        <v>4.24</v>
      </c>
      <c r="BS9" s="67">
        <v>0</v>
      </c>
      <c r="BT9" s="73"/>
      <c r="BU9" s="14">
        <f t="shared" si="25"/>
        <v>41.71</v>
      </c>
      <c r="BV9" s="14">
        <f t="shared" si="26"/>
        <v>9.6999999999999993</v>
      </c>
      <c r="BW9" s="14">
        <f t="shared" si="27"/>
        <v>46.58</v>
      </c>
      <c r="BX9" s="14" t="str">
        <f t="shared" si="28"/>
        <v/>
      </c>
      <c r="BY9" s="14" t="str">
        <f t="shared" si="29"/>
        <v/>
      </c>
      <c r="BZ9" s="14">
        <f t="shared" si="30"/>
        <v>88.289999999999992</v>
      </c>
      <c r="CA9" s="14">
        <f t="shared" si="31"/>
        <v>4</v>
      </c>
      <c r="CB9" s="14">
        <f t="shared" si="32"/>
        <v>14.94</v>
      </c>
      <c r="CC9" s="14">
        <f t="shared" si="33"/>
        <v>103.22999999999999</v>
      </c>
      <c r="CD9" s="61">
        <v>17.3</v>
      </c>
      <c r="CE9" s="61">
        <v>9.4</v>
      </c>
      <c r="CF9" s="61">
        <v>2</v>
      </c>
      <c r="CG9" s="61">
        <v>14.074999999999999</v>
      </c>
      <c r="CH9" s="61">
        <v>0</v>
      </c>
      <c r="CI9" s="61">
        <v>7.2</v>
      </c>
      <c r="CJ9" s="61">
        <v>4.4000000000000004</v>
      </c>
      <c r="CK9" s="61">
        <v>6.1</v>
      </c>
      <c r="CL9" s="61">
        <v>6.92</v>
      </c>
      <c r="CM9" s="61">
        <v>0</v>
      </c>
      <c r="CN9" s="61"/>
      <c r="CO9" s="61"/>
      <c r="CP9" s="61"/>
      <c r="CQ9" s="61"/>
      <c r="CR9" s="61"/>
      <c r="CS9" s="61">
        <v>15.7</v>
      </c>
      <c r="CT9" s="61">
        <v>9.4</v>
      </c>
      <c r="CU9" s="61">
        <v>10</v>
      </c>
      <c r="CV9" s="61">
        <v>13.625</v>
      </c>
      <c r="CW9" s="61">
        <v>0</v>
      </c>
      <c r="CX9" s="72"/>
      <c r="CY9" s="11">
        <f t="shared" si="34"/>
        <v>42.775000000000006</v>
      </c>
      <c r="CZ9" s="11">
        <f t="shared" si="35"/>
        <v>6.1</v>
      </c>
      <c r="DA9" s="11">
        <f t="shared" si="36"/>
        <v>24.620000000000005</v>
      </c>
      <c r="DB9" s="11" t="str">
        <f t="shared" si="37"/>
        <v/>
      </c>
      <c r="DC9" s="11" t="str">
        <f t="shared" si="38"/>
        <v/>
      </c>
      <c r="DD9" s="11">
        <f t="shared" si="39"/>
        <v>67.39500000000001</v>
      </c>
      <c r="DE9" s="11">
        <f t="shared" si="40"/>
        <v>10</v>
      </c>
      <c r="DF9" s="11">
        <f t="shared" si="41"/>
        <v>48.725000000000001</v>
      </c>
      <c r="DG9" s="11">
        <f t="shared" si="42"/>
        <v>116.12</v>
      </c>
      <c r="DH9" s="23" t="str">
        <f t="shared" si="43"/>
        <v/>
      </c>
      <c r="DI9" s="23" t="str">
        <f t="shared" si="44"/>
        <v/>
      </c>
      <c r="DJ9" s="23" t="str">
        <f t="shared" si="45"/>
        <v/>
      </c>
      <c r="DK9" s="23" t="str">
        <f t="shared" si="46"/>
        <v/>
      </c>
      <c r="DL9" s="35"/>
      <c r="DM9" s="35"/>
      <c r="DN9" s="35"/>
      <c r="DO9" s="35"/>
      <c r="DP9" s="35"/>
      <c r="DQ9" s="35"/>
      <c r="DR9" s="35"/>
      <c r="DS9" s="35"/>
      <c r="DT9" s="35"/>
      <c r="DU9" s="35"/>
      <c r="DV9" s="35"/>
      <c r="DW9" s="35"/>
      <c r="DX9" s="35"/>
      <c r="DY9" s="35"/>
      <c r="DZ9" s="35"/>
      <c r="EA9" s="11" t="str">
        <f t="shared" si="47"/>
        <v/>
      </c>
      <c r="EB9" s="11" t="str">
        <f t="shared" si="48"/>
        <v/>
      </c>
      <c r="EC9" s="11" t="str">
        <f t="shared" si="49"/>
        <v/>
      </c>
      <c r="ED9" s="11" t="str">
        <f t="shared" si="50"/>
        <v/>
      </c>
      <c r="EE9" s="11" t="str">
        <f t="shared" si="51"/>
        <v/>
      </c>
      <c r="EF9" s="11" t="str">
        <f t="shared" si="52"/>
        <v/>
      </c>
      <c r="EG9" s="11" t="str">
        <f t="shared" si="53"/>
        <v/>
      </c>
      <c r="EH9" s="36"/>
      <c r="EI9" s="36"/>
      <c r="EJ9" s="36"/>
      <c r="EK9" s="36"/>
      <c r="EL9" s="36"/>
      <c r="EM9" s="36"/>
      <c r="EN9" s="36"/>
      <c r="EO9" s="36"/>
      <c r="EP9" s="36"/>
      <c r="EQ9" s="36"/>
      <c r="ER9" s="36"/>
      <c r="ES9" s="36"/>
      <c r="ET9" s="36"/>
      <c r="EU9" s="36"/>
      <c r="EV9" s="36"/>
      <c r="EW9" s="14" t="str">
        <f t="shared" si="54"/>
        <v/>
      </c>
      <c r="EX9" s="14" t="str">
        <f t="shared" si="55"/>
        <v/>
      </c>
      <c r="EY9" s="14" t="str">
        <f t="shared" si="56"/>
        <v/>
      </c>
      <c r="EZ9" s="14" t="str">
        <f t="shared" si="57"/>
        <v/>
      </c>
      <c r="FA9" s="14" t="str">
        <f t="shared" si="58"/>
        <v/>
      </c>
      <c r="FB9" s="14" t="str">
        <f t="shared" si="59"/>
        <v/>
      </c>
      <c r="FC9" s="14" t="str">
        <f t="shared" si="60"/>
        <v/>
      </c>
      <c r="FD9" s="35"/>
      <c r="FE9" s="35"/>
      <c r="FF9" s="35"/>
      <c r="FG9" s="35"/>
      <c r="FH9" s="35"/>
      <c r="FI9" s="35"/>
      <c r="FJ9" s="35"/>
      <c r="FK9" s="35"/>
      <c r="FL9" s="35"/>
      <c r="FM9" s="35"/>
      <c r="FN9" s="35"/>
      <c r="FO9" s="35"/>
      <c r="FP9" s="35"/>
      <c r="FQ9" s="35"/>
      <c r="FR9" s="35"/>
      <c r="FS9" s="11" t="str">
        <f t="shared" si="61"/>
        <v/>
      </c>
      <c r="FT9" s="11" t="str">
        <f t="shared" si="62"/>
        <v/>
      </c>
      <c r="FU9" s="11" t="str">
        <f t="shared" si="63"/>
        <v/>
      </c>
      <c r="FV9" s="11" t="str">
        <f t="shared" si="64"/>
        <v/>
      </c>
      <c r="FW9" s="11" t="str">
        <f t="shared" si="65"/>
        <v/>
      </c>
      <c r="FX9" s="11" t="str">
        <f t="shared" si="66"/>
        <v/>
      </c>
      <c r="FY9" s="11" t="str">
        <f t="shared" si="67"/>
        <v/>
      </c>
      <c r="FZ9" s="36"/>
      <c r="GA9" s="36"/>
      <c r="GB9" s="36"/>
      <c r="GC9" s="36"/>
      <c r="GD9" s="36"/>
      <c r="GE9" s="36"/>
      <c r="GF9" s="36"/>
      <c r="GG9" s="36"/>
      <c r="GH9" s="36"/>
      <c r="GI9" s="36"/>
      <c r="GJ9" s="36"/>
      <c r="GK9" s="36"/>
      <c r="GL9" s="36"/>
      <c r="GM9" s="36"/>
      <c r="GN9" s="36"/>
      <c r="GO9" s="14" t="str">
        <f t="shared" si="68"/>
        <v/>
      </c>
      <c r="GP9" s="14" t="str">
        <f t="shared" si="69"/>
        <v/>
      </c>
      <c r="GQ9" s="14" t="str">
        <f t="shared" si="70"/>
        <v/>
      </c>
      <c r="GR9" s="14" t="str">
        <f t="shared" si="71"/>
        <v/>
      </c>
      <c r="GS9" s="14" t="str">
        <f t="shared" si="72"/>
        <v/>
      </c>
      <c r="GT9" s="14" t="str">
        <f t="shared" si="73"/>
        <v/>
      </c>
      <c r="GU9" s="14" t="str">
        <f t="shared" si="74"/>
        <v/>
      </c>
      <c r="GV9" s="35"/>
      <c r="GW9" s="35"/>
      <c r="GX9" s="35"/>
      <c r="GY9" s="35"/>
      <c r="GZ9" s="35"/>
      <c r="HA9" s="35"/>
      <c r="HB9" s="35"/>
      <c r="HC9" s="35"/>
      <c r="HD9" s="35"/>
      <c r="HE9" s="35"/>
      <c r="HF9" s="35"/>
      <c r="HG9" s="35"/>
      <c r="HH9" s="35"/>
      <c r="HI9" s="35"/>
      <c r="HJ9" s="35"/>
      <c r="HK9" s="11" t="str">
        <f t="shared" si="75"/>
        <v/>
      </c>
      <c r="HL9" s="11" t="str">
        <f t="shared" si="76"/>
        <v/>
      </c>
      <c r="HM9" s="11" t="str">
        <f t="shared" si="77"/>
        <v/>
      </c>
      <c r="HN9" s="11" t="str">
        <f t="shared" si="78"/>
        <v/>
      </c>
      <c r="HO9" s="11" t="str">
        <f t="shared" si="79"/>
        <v/>
      </c>
      <c r="HP9" s="11" t="str">
        <f t="shared" si="80"/>
        <v/>
      </c>
      <c r="HQ9" s="11" t="str">
        <f t="shared" si="81"/>
        <v/>
      </c>
      <c r="HR9" s="36"/>
      <c r="HS9" s="36"/>
      <c r="HT9" s="36"/>
      <c r="HU9" s="36"/>
      <c r="HV9" s="36"/>
      <c r="HW9" s="36"/>
      <c r="HX9" s="36"/>
      <c r="HY9" s="36"/>
      <c r="HZ9" s="36"/>
      <c r="IA9" s="36"/>
      <c r="IB9" s="36"/>
      <c r="IC9" s="36"/>
      <c r="ID9" s="36"/>
      <c r="IE9" s="36"/>
      <c r="IF9" s="36"/>
      <c r="IG9" s="14" t="str">
        <f t="shared" si="82"/>
        <v/>
      </c>
      <c r="IH9" s="14" t="str">
        <f t="shared" si="83"/>
        <v/>
      </c>
      <c r="II9" s="14" t="str">
        <f t="shared" si="84"/>
        <v/>
      </c>
      <c r="IJ9" s="14" t="str">
        <f t="shared" si="85"/>
        <v/>
      </c>
      <c r="IK9" s="14" t="str">
        <f t="shared" si="86"/>
        <v/>
      </c>
      <c r="IL9" s="14" t="str">
        <f t="shared" si="87"/>
        <v/>
      </c>
      <c r="IM9" s="14" t="str">
        <f t="shared" si="88"/>
        <v/>
      </c>
      <c r="IN9" s="35"/>
      <c r="IO9" s="35"/>
      <c r="IP9" s="35"/>
      <c r="IQ9" s="35"/>
      <c r="IR9" s="35"/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11" t="str">
        <f t="shared" si="89"/>
        <v/>
      </c>
      <c r="JD9" s="11" t="str">
        <f t="shared" si="90"/>
        <v/>
      </c>
      <c r="JE9" s="11" t="str">
        <f t="shared" si="91"/>
        <v/>
      </c>
      <c r="JF9" s="11" t="str">
        <f t="shared" si="92"/>
        <v/>
      </c>
      <c r="JG9" s="11" t="str">
        <f t="shared" si="93"/>
        <v/>
      </c>
      <c r="JH9" s="11" t="str">
        <f t="shared" si="94"/>
        <v/>
      </c>
      <c r="JI9" s="11" t="str">
        <f t="shared" si="95"/>
        <v/>
      </c>
      <c r="JJ9" s="36"/>
      <c r="JK9" s="36"/>
      <c r="JL9" s="36"/>
      <c r="JM9" s="36"/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14" t="str">
        <f t="shared" si="96"/>
        <v/>
      </c>
      <c r="JZ9" s="14" t="str">
        <f t="shared" si="97"/>
        <v/>
      </c>
      <c r="KA9" s="14" t="str">
        <f t="shared" si="98"/>
        <v/>
      </c>
      <c r="KB9" s="14" t="str">
        <f t="shared" si="99"/>
        <v/>
      </c>
      <c r="KC9" s="14" t="str">
        <f t="shared" si="100"/>
        <v/>
      </c>
      <c r="KD9" s="14" t="str">
        <f t="shared" si="101"/>
        <v/>
      </c>
      <c r="KE9" s="14" t="str">
        <f t="shared" si="102"/>
        <v/>
      </c>
      <c r="KF9" s="35"/>
      <c r="KG9" s="35"/>
      <c r="KH9" s="35"/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11" t="str">
        <f t="shared" si="103"/>
        <v/>
      </c>
      <c r="KV9" s="11" t="str">
        <f t="shared" si="104"/>
        <v/>
      </c>
      <c r="KW9" s="11" t="str">
        <f t="shared" si="105"/>
        <v/>
      </c>
      <c r="KX9" s="11" t="str">
        <f t="shared" si="106"/>
        <v/>
      </c>
      <c r="KY9" s="11" t="str">
        <f t="shared" si="107"/>
        <v/>
      </c>
      <c r="KZ9" s="11" t="str">
        <f t="shared" si="108"/>
        <v/>
      </c>
      <c r="LA9" s="11" t="str">
        <f t="shared" si="109"/>
        <v/>
      </c>
      <c r="LB9" s="36"/>
      <c r="LC9" s="36"/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14" t="str">
        <f t="shared" si="110"/>
        <v/>
      </c>
      <c r="LR9" s="14" t="str">
        <f t="shared" si="111"/>
        <v/>
      </c>
      <c r="LS9" s="14" t="str">
        <f t="shared" si="112"/>
        <v/>
      </c>
      <c r="LT9" s="14" t="str">
        <f t="shared" si="113"/>
        <v/>
      </c>
      <c r="LU9" s="14" t="str">
        <f t="shared" si="114"/>
        <v/>
      </c>
      <c r="LV9" s="14" t="str">
        <f t="shared" si="115"/>
        <v/>
      </c>
      <c r="LW9" s="14" t="str">
        <f t="shared" si="116"/>
        <v/>
      </c>
      <c r="LX9" s="35"/>
      <c r="LY9" s="35"/>
      <c r="LZ9" s="35"/>
      <c r="MA9" s="35"/>
      <c r="MB9" s="35"/>
      <c r="MC9" s="35"/>
      <c r="MD9" s="35"/>
      <c r="ME9" s="35"/>
      <c r="MF9" s="35"/>
      <c r="MG9" s="35"/>
      <c r="MH9" s="35"/>
      <c r="MI9" s="35"/>
      <c r="MJ9" s="35"/>
      <c r="MK9" s="35"/>
      <c r="ML9" s="35"/>
      <c r="MM9" s="11" t="str">
        <f t="shared" si="117"/>
        <v/>
      </c>
      <c r="MN9" s="11" t="str">
        <f t="shared" si="118"/>
        <v/>
      </c>
      <c r="MO9" s="11" t="str">
        <f t="shared" si="119"/>
        <v/>
      </c>
      <c r="MP9" s="11" t="str">
        <f t="shared" si="120"/>
        <v/>
      </c>
      <c r="MQ9" s="11" t="str">
        <f t="shared" si="121"/>
        <v/>
      </c>
      <c r="MR9" s="11" t="str">
        <f t="shared" si="122"/>
        <v/>
      </c>
      <c r="MS9" s="11" t="str">
        <f t="shared" si="123"/>
        <v/>
      </c>
      <c r="MT9" s="36"/>
      <c r="MU9" s="36"/>
      <c r="MV9" s="36"/>
      <c r="MW9" s="36"/>
      <c r="MX9" s="36"/>
      <c r="MY9" s="36"/>
      <c r="MZ9" s="36"/>
      <c r="NA9" s="36"/>
      <c r="NB9" s="36"/>
      <c r="NC9" s="36"/>
      <c r="ND9" s="36"/>
      <c r="NE9" s="36"/>
      <c r="NF9" s="36"/>
      <c r="NG9" s="36"/>
      <c r="NH9" s="36"/>
      <c r="NI9" s="14" t="str">
        <f t="shared" si="124"/>
        <v/>
      </c>
      <c r="NJ9" s="14" t="str">
        <f t="shared" si="125"/>
        <v/>
      </c>
      <c r="NK9" s="14" t="str">
        <f t="shared" si="126"/>
        <v/>
      </c>
      <c r="NL9" s="14" t="str">
        <f t="shared" si="127"/>
        <v/>
      </c>
      <c r="NM9" s="14" t="str">
        <f t="shared" si="128"/>
        <v/>
      </c>
      <c r="NN9" s="14" t="str">
        <f t="shared" si="129"/>
        <v/>
      </c>
      <c r="NO9" s="14" t="str">
        <f t="shared" si="130"/>
        <v/>
      </c>
      <c r="NP9" s="61">
        <f t="shared" si="131"/>
        <v>16.899999999999999</v>
      </c>
      <c r="NQ9" s="61">
        <f t="shared" si="132"/>
        <v>9.25</v>
      </c>
      <c r="NR9" s="61">
        <f t="shared" si="133"/>
        <v>2</v>
      </c>
      <c r="NS9" s="61">
        <f t="shared" si="134"/>
        <v>14.092499999999999</v>
      </c>
      <c r="NT9" s="61">
        <f t="shared" si="135"/>
        <v>0</v>
      </c>
      <c r="NU9" s="61">
        <f t="shared" si="136"/>
        <v>10.45</v>
      </c>
      <c r="NV9" s="61">
        <f t="shared" si="137"/>
        <v>6.95</v>
      </c>
      <c r="NW9" s="61">
        <f t="shared" si="138"/>
        <v>7.8999999999999995</v>
      </c>
      <c r="NX9" s="61">
        <f t="shared" si="139"/>
        <v>10.3</v>
      </c>
      <c r="NY9" s="61">
        <f t="shared" si="140"/>
        <v>0</v>
      </c>
      <c r="NZ9" s="61">
        <f t="shared" si="141"/>
        <v>0</v>
      </c>
      <c r="OA9" s="61">
        <f t="shared" si="142"/>
        <v>0</v>
      </c>
      <c r="OB9" s="61">
        <f t="shared" si="143"/>
        <v>0</v>
      </c>
      <c r="OC9" s="61">
        <f t="shared" si="144"/>
        <v>0</v>
      </c>
      <c r="OD9" s="61">
        <f t="shared" si="145"/>
        <v>0</v>
      </c>
      <c r="OE9" s="61">
        <f t="shared" si="146"/>
        <v>10.050000000000001</v>
      </c>
      <c r="OF9" s="61">
        <f t="shared" si="147"/>
        <v>5.85</v>
      </c>
      <c r="OG9" s="61">
        <f t="shared" si="148"/>
        <v>7</v>
      </c>
      <c r="OH9" s="61">
        <f t="shared" si="149"/>
        <v>8.932500000000001</v>
      </c>
      <c r="OI9" s="61">
        <f t="shared" si="150"/>
        <v>0</v>
      </c>
      <c r="OJ9" s="72" t="s">
        <v>52</v>
      </c>
      <c r="OK9" s="11">
        <f t="shared" si="151"/>
        <v>42.2425</v>
      </c>
      <c r="OL9" s="11">
        <f t="shared" si="152"/>
        <v>7.8999999999999995</v>
      </c>
      <c r="OM9" s="11">
        <f t="shared" si="153"/>
        <v>35.599999999999994</v>
      </c>
      <c r="ON9" s="11" t="str">
        <f t="shared" si="154"/>
        <v/>
      </c>
      <c r="OO9" s="11" t="str">
        <f t="shared" si="155"/>
        <v/>
      </c>
      <c r="OP9" s="11">
        <f t="shared" si="156"/>
        <v>77.842500000000001</v>
      </c>
      <c r="OQ9" s="11">
        <f t="shared" si="157"/>
        <v>7</v>
      </c>
      <c r="OR9" s="11">
        <f t="shared" si="158"/>
        <v>31.8325</v>
      </c>
      <c r="OS9" s="11">
        <f t="shared" si="159"/>
        <v>109.675</v>
      </c>
    </row>
    <row r="10" spans="1:409" x14ac:dyDescent="0.2">
      <c r="A10" s="5" t="str" cm="1">
        <f t="array" ref="A10">IF(AND(G10&lt;&gt;"",H10&lt;&gt;""),SUMPRODUCT((G$4:G$27&lt;&gt;"")*(H$4:H$27&lt;&gt;"")*(E$4:E$27&gt;E10))+1,IF(H10&lt;&gt;"",SUMPRODUCT((I$4:I$27="No DD")*(E$4:E$27&gt;E10))+1+SUMPRODUCT((G$4:G$27&lt;&gt;"")*(H$4:H$27&lt;&gt;"")),""))</f>
        <v/>
      </c>
      <c r="B10" s="8" t="s">
        <v>100</v>
      </c>
      <c r="C10" s="4" t="s">
        <v>5</v>
      </c>
      <c r="D10" s="26">
        <v>2000</v>
      </c>
      <c r="E10" s="15">
        <f t="shared" si="0"/>
        <v>93.25</v>
      </c>
      <c r="F10" s="3" t="str">
        <f t="shared" si="1"/>
        <v/>
      </c>
      <c r="G10" s="115" t="str">
        <f t="shared" si="2"/>
        <v/>
      </c>
      <c r="H10" s="115" t="str">
        <f t="shared" si="3"/>
        <v/>
      </c>
      <c r="I10" s="116" t="str">
        <f t="shared" si="4"/>
        <v/>
      </c>
      <c r="J10" s="3" t="str">
        <f t="shared" si="5"/>
        <v/>
      </c>
      <c r="K10" s="14">
        <f t="shared" si="6"/>
        <v>87.965000000000003</v>
      </c>
      <c r="L10" s="14" t="str">
        <f t="shared" si="7"/>
        <v>2021 2nd Virtual Technical Trial</v>
      </c>
      <c r="M10" s="14">
        <f t="shared" si="8"/>
        <v>37.864999999999995</v>
      </c>
      <c r="N10" s="14" t="str">
        <f t="shared" si="9"/>
        <v>2021 Elite Canada</v>
      </c>
      <c r="O10" s="14">
        <f t="shared" si="10"/>
        <v>46.775000000000006</v>
      </c>
      <c r="P10" s="14" t="str">
        <f t="shared" si="11"/>
        <v>2021 1st Virtual Technical Trial</v>
      </c>
      <c r="Q10" s="14">
        <f>IF(COUNT(AS10,AU10,AX10,BW10,BY10,CB10,DA10,DC10,DF10)&gt;1,LARGE((AS10,AU10,AX10,BW10,BY10,CB10,DA10,DC10,DF10),2),0)</f>
        <v>46.474999999999994</v>
      </c>
      <c r="R10" s="14" t="str">
        <f t="shared" si="12"/>
        <v>2021 2nd Virtual Technical Trial</v>
      </c>
      <c r="S10" s="14" t="str">
        <f t="shared" si="13"/>
        <v/>
      </c>
      <c r="T10" s="24" t="str">
        <f t="shared" si="14"/>
        <v/>
      </c>
      <c r="U10" s="14" t="str">
        <f t="shared" si="15"/>
        <v/>
      </c>
      <c r="V10" s="61">
        <v>13.3</v>
      </c>
      <c r="W10" s="61">
        <v>8.3000000000000007</v>
      </c>
      <c r="X10" s="61">
        <v>0.8</v>
      </c>
      <c r="Y10" s="61">
        <v>12.445</v>
      </c>
      <c r="Z10" s="61">
        <v>0</v>
      </c>
      <c r="AA10" s="61">
        <v>14.8</v>
      </c>
      <c r="AB10" s="61">
        <v>9.1999999999999993</v>
      </c>
      <c r="AC10" s="61">
        <v>9.1</v>
      </c>
      <c r="AD10" s="61">
        <v>13.275</v>
      </c>
      <c r="AE10" s="61">
        <v>0</v>
      </c>
      <c r="AF10" s="61"/>
      <c r="AG10" s="61"/>
      <c r="AH10" s="61"/>
      <c r="AI10" s="61"/>
      <c r="AJ10" s="61"/>
      <c r="AK10" s="61">
        <v>15.3</v>
      </c>
      <c r="AL10" s="61">
        <v>9.0500000000000007</v>
      </c>
      <c r="AM10" s="61">
        <v>9.1</v>
      </c>
      <c r="AN10" s="61">
        <v>13.324999999999999</v>
      </c>
      <c r="AO10" s="61">
        <v>0</v>
      </c>
      <c r="AP10" s="72"/>
      <c r="AQ10" s="11">
        <f t="shared" si="16"/>
        <v>34.844999999999999</v>
      </c>
      <c r="AR10" s="11">
        <f t="shared" si="17"/>
        <v>9.1</v>
      </c>
      <c r="AS10" s="11">
        <f t="shared" si="18"/>
        <v>46.375</v>
      </c>
      <c r="AT10" s="11" t="str">
        <f t="shared" si="19"/>
        <v/>
      </c>
      <c r="AU10" s="11" t="str">
        <f t="shared" si="20"/>
        <v/>
      </c>
      <c r="AV10" s="11">
        <f t="shared" si="21"/>
        <v>81.22</v>
      </c>
      <c r="AW10" s="11">
        <f t="shared" si="22"/>
        <v>9.1</v>
      </c>
      <c r="AX10" s="11">
        <f t="shared" si="23"/>
        <v>46.775000000000006</v>
      </c>
      <c r="AY10" s="11">
        <f t="shared" si="24"/>
        <v>127.995</v>
      </c>
      <c r="AZ10" s="67">
        <v>15.9</v>
      </c>
      <c r="BA10" s="67">
        <v>9.6</v>
      </c>
      <c r="BB10" s="67">
        <v>2</v>
      </c>
      <c r="BC10" s="67">
        <v>13.99</v>
      </c>
      <c r="BD10" s="67">
        <v>0</v>
      </c>
      <c r="BE10" s="67">
        <v>14.1</v>
      </c>
      <c r="BF10" s="67">
        <v>8.9</v>
      </c>
      <c r="BG10" s="67">
        <v>9.8000000000000007</v>
      </c>
      <c r="BH10" s="67">
        <v>13.675000000000001</v>
      </c>
      <c r="BI10" s="67">
        <v>0</v>
      </c>
      <c r="BJ10" s="67"/>
      <c r="BK10" s="67"/>
      <c r="BL10" s="67"/>
      <c r="BM10" s="67"/>
      <c r="BN10" s="67"/>
      <c r="BO10" s="67">
        <v>6.8</v>
      </c>
      <c r="BP10" s="67">
        <v>4.4000000000000004</v>
      </c>
      <c r="BQ10" s="67">
        <v>5.2</v>
      </c>
      <c r="BR10" s="67">
        <v>6.6950000000000003</v>
      </c>
      <c r="BS10" s="67">
        <v>0</v>
      </c>
      <c r="BT10" s="73"/>
      <c r="BU10" s="14">
        <f t="shared" si="25"/>
        <v>41.49</v>
      </c>
      <c r="BV10" s="14">
        <f t="shared" si="26"/>
        <v>9.8000000000000007</v>
      </c>
      <c r="BW10" s="14">
        <f t="shared" si="27"/>
        <v>46.474999999999994</v>
      </c>
      <c r="BX10" s="14" t="str">
        <f t="shared" si="28"/>
        <v/>
      </c>
      <c r="BY10" s="14" t="str">
        <f t="shared" si="29"/>
        <v/>
      </c>
      <c r="BZ10" s="14">
        <f t="shared" si="30"/>
        <v>87.965000000000003</v>
      </c>
      <c r="CA10" s="14">
        <f t="shared" si="31"/>
        <v>5.2</v>
      </c>
      <c r="CB10" s="14">
        <f t="shared" si="32"/>
        <v>23.094999999999999</v>
      </c>
      <c r="CC10" s="14">
        <f t="shared" si="33"/>
        <v>111.06</v>
      </c>
      <c r="CD10" s="61">
        <v>14.5</v>
      </c>
      <c r="CE10" s="61">
        <v>8.4</v>
      </c>
      <c r="CF10" s="61">
        <v>0.8</v>
      </c>
      <c r="CG10" s="61">
        <v>14.164999999999999</v>
      </c>
      <c r="CH10" s="61">
        <v>0</v>
      </c>
      <c r="CI10" s="61">
        <v>13.5</v>
      </c>
      <c r="CJ10" s="61">
        <v>9.1</v>
      </c>
      <c r="CK10" s="61">
        <v>9.8000000000000007</v>
      </c>
      <c r="CL10" s="61">
        <v>13.265000000000001</v>
      </c>
      <c r="CM10" s="61">
        <v>0</v>
      </c>
      <c r="CN10" s="61"/>
      <c r="CO10" s="61"/>
      <c r="CP10" s="61"/>
      <c r="CQ10" s="61"/>
      <c r="CR10" s="61"/>
      <c r="CS10" s="61">
        <v>14.1</v>
      </c>
      <c r="CT10" s="61">
        <v>9</v>
      </c>
      <c r="CU10" s="61">
        <v>8.5</v>
      </c>
      <c r="CV10" s="61">
        <v>13</v>
      </c>
      <c r="CW10" s="61">
        <v>0.3</v>
      </c>
      <c r="CX10" s="72"/>
      <c r="CY10" s="11">
        <f t="shared" si="34"/>
        <v>37.864999999999995</v>
      </c>
      <c r="CZ10" s="11">
        <f t="shared" si="35"/>
        <v>9.8000000000000007</v>
      </c>
      <c r="DA10" s="11">
        <f t="shared" si="36"/>
        <v>45.665000000000006</v>
      </c>
      <c r="DB10" s="11" t="str">
        <f t="shared" si="37"/>
        <v/>
      </c>
      <c r="DC10" s="11" t="str">
        <f t="shared" si="38"/>
        <v/>
      </c>
      <c r="DD10" s="11">
        <f t="shared" si="39"/>
        <v>83.53</v>
      </c>
      <c r="DE10" s="11">
        <f t="shared" si="40"/>
        <v>8.5</v>
      </c>
      <c r="DF10" s="11">
        <f t="shared" si="41"/>
        <v>44.300000000000004</v>
      </c>
      <c r="DG10" s="11">
        <f t="shared" si="42"/>
        <v>127.83000000000001</v>
      </c>
      <c r="DH10" s="23" t="str">
        <f t="shared" si="43"/>
        <v/>
      </c>
      <c r="DI10" s="23" t="str">
        <f t="shared" si="44"/>
        <v/>
      </c>
      <c r="DJ10" s="23" t="str">
        <f t="shared" si="45"/>
        <v/>
      </c>
      <c r="DK10" s="23" t="str">
        <f t="shared" si="46"/>
        <v/>
      </c>
      <c r="DL10" s="35"/>
      <c r="DM10" s="35"/>
      <c r="DN10" s="35"/>
      <c r="DO10" s="35"/>
      <c r="DP10" s="35"/>
      <c r="DQ10" s="35"/>
      <c r="DR10" s="35"/>
      <c r="DS10" s="35"/>
      <c r="DT10" s="35"/>
      <c r="DU10" s="35"/>
      <c r="DV10" s="35"/>
      <c r="DW10" s="35"/>
      <c r="DX10" s="35"/>
      <c r="DY10" s="35"/>
      <c r="DZ10" s="35"/>
      <c r="EA10" s="11" t="str">
        <f t="shared" si="47"/>
        <v/>
      </c>
      <c r="EB10" s="11" t="str">
        <f t="shared" si="48"/>
        <v/>
      </c>
      <c r="EC10" s="11" t="str">
        <f t="shared" si="49"/>
        <v/>
      </c>
      <c r="ED10" s="11" t="str">
        <f t="shared" si="50"/>
        <v/>
      </c>
      <c r="EE10" s="11" t="str">
        <f t="shared" si="51"/>
        <v/>
      </c>
      <c r="EF10" s="11" t="str">
        <f t="shared" si="52"/>
        <v/>
      </c>
      <c r="EG10" s="11" t="str">
        <f t="shared" si="53"/>
        <v/>
      </c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14" t="str">
        <f t="shared" si="54"/>
        <v/>
      </c>
      <c r="EX10" s="14" t="str">
        <f t="shared" si="55"/>
        <v/>
      </c>
      <c r="EY10" s="14" t="str">
        <f t="shared" si="56"/>
        <v/>
      </c>
      <c r="EZ10" s="14" t="str">
        <f t="shared" si="57"/>
        <v/>
      </c>
      <c r="FA10" s="14" t="str">
        <f t="shared" si="58"/>
        <v/>
      </c>
      <c r="FB10" s="14" t="str">
        <f t="shared" si="59"/>
        <v/>
      </c>
      <c r="FC10" s="14" t="str">
        <f t="shared" si="60"/>
        <v/>
      </c>
      <c r="FD10" s="35"/>
      <c r="FE10" s="35"/>
      <c r="FF10" s="35"/>
      <c r="FG10" s="35"/>
      <c r="FH10" s="35"/>
      <c r="FI10" s="35"/>
      <c r="FJ10" s="35"/>
      <c r="FK10" s="35"/>
      <c r="FL10" s="35"/>
      <c r="FM10" s="35"/>
      <c r="FN10" s="35"/>
      <c r="FO10" s="35"/>
      <c r="FP10" s="35"/>
      <c r="FQ10" s="35"/>
      <c r="FR10" s="35"/>
      <c r="FS10" s="11" t="str">
        <f t="shared" si="61"/>
        <v/>
      </c>
      <c r="FT10" s="11" t="str">
        <f t="shared" si="62"/>
        <v/>
      </c>
      <c r="FU10" s="11" t="str">
        <f t="shared" si="63"/>
        <v/>
      </c>
      <c r="FV10" s="11" t="str">
        <f t="shared" si="64"/>
        <v/>
      </c>
      <c r="FW10" s="11" t="str">
        <f t="shared" si="65"/>
        <v/>
      </c>
      <c r="FX10" s="11" t="str">
        <f t="shared" si="66"/>
        <v/>
      </c>
      <c r="FY10" s="11" t="str">
        <f t="shared" si="67"/>
        <v/>
      </c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14" t="str">
        <f t="shared" si="68"/>
        <v/>
      </c>
      <c r="GP10" s="14" t="str">
        <f t="shared" si="69"/>
        <v/>
      </c>
      <c r="GQ10" s="14" t="str">
        <f t="shared" si="70"/>
        <v/>
      </c>
      <c r="GR10" s="14" t="str">
        <f t="shared" si="71"/>
        <v/>
      </c>
      <c r="GS10" s="14" t="str">
        <f t="shared" si="72"/>
        <v/>
      </c>
      <c r="GT10" s="14" t="str">
        <f t="shared" si="73"/>
        <v/>
      </c>
      <c r="GU10" s="14" t="str">
        <f t="shared" si="74"/>
        <v/>
      </c>
      <c r="GV10" s="35"/>
      <c r="GW10" s="35"/>
      <c r="GX10" s="35"/>
      <c r="GY10" s="35"/>
      <c r="GZ10" s="35"/>
      <c r="HA10" s="35"/>
      <c r="HB10" s="35"/>
      <c r="HC10" s="35"/>
      <c r="HD10" s="35"/>
      <c r="HE10" s="35"/>
      <c r="HF10" s="35"/>
      <c r="HG10" s="35"/>
      <c r="HH10" s="35"/>
      <c r="HI10" s="35"/>
      <c r="HJ10" s="35"/>
      <c r="HK10" s="11" t="str">
        <f t="shared" si="75"/>
        <v/>
      </c>
      <c r="HL10" s="11" t="str">
        <f t="shared" si="76"/>
        <v/>
      </c>
      <c r="HM10" s="11" t="str">
        <f t="shared" si="77"/>
        <v/>
      </c>
      <c r="HN10" s="11" t="str">
        <f t="shared" si="78"/>
        <v/>
      </c>
      <c r="HO10" s="11" t="str">
        <f t="shared" si="79"/>
        <v/>
      </c>
      <c r="HP10" s="11" t="str">
        <f t="shared" si="80"/>
        <v/>
      </c>
      <c r="HQ10" s="11" t="str">
        <f t="shared" si="81"/>
        <v/>
      </c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14" t="str">
        <f t="shared" si="82"/>
        <v/>
      </c>
      <c r="IH10" s="14" t="str">
        <f t="shared" si="83"/>
        <v/>
      </c>
      <c r="II10" s="14" t="str">
        <f t="shared" si="84"/>
        <v/>
      </c>
      <c r="IJ10" s="14" t="str">
        <f t="shared" si="85"/>
        <v/>
      </c>
      <c r="IK10" s="14" t="str">
        <f t="shared" si="86"/>
        <v/>
      </c>
      <c r="IL10" s="14" t="str">
        <f t="shared" si="87"/>
        <v/>
      </c>
      <c r="IM10" s="14" t="str">
        <f t="shared" si="88"/>
        <v/>
      </c>
      <c r="IN10" s="35"/>
      <c r="IO10" s="35"/>
      <c r="IP10" s="35"/>
      <c r="IQ10" s="35"/>
      <c r="IR10" s="35"/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11" t="str">
        <f t="shared" si="89"/>
        <v/>
      </c>
      <c r="JD10" s="11" t="str">
        <f t="shared" si="90"/>
        <v/>
      </c>
      <c r="JE10" s="11" t="str">
        <f t="shared" si="91"/>
        <v/>
      </c>
      <c r="JF10" s="11" t="str">
        <f t="shared" si="92"/>
        <v/>
      </c>
      <c r="JG10" s="11" t="str">
        <f t="shared" si="93"/>
        <v/>
      </c>
      <c r="JH10" s="11" t="str">
        <f t="shared" si="94"/>
        <v/>
      </c>
      <c r="JI10" s="11" t="str">
        <f t="shared" si="95"/>
        <v/>
      </c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14" t="str">
        <f t="shared" si="96"/>
        <v/>
      </c>
      <c r="JZ10" s="14" t="str">
        <f t="shared" si="97"/>
        <v/>
      </c>
      <c r="KA10" s="14" t="str">
        <f t="shared" si="98"/>
        <v/>
      </c>
      <c r="KB10" s="14" t="str">
        <f t="shared" si="99"/>
        <v/>
      </c>
      <c r="KC10" s="14" t="str">
        <f t="shared" si="100"/>
        <v/>
      </c>
      <c r="KD10" s="14" t="str">
        <f t="shared" si="101"/>
        <v/>
      </c>
      <c r="KE10" s="14" t="str">
        <f t="shared" si="102"/>
        <v/>
      </c>
      <c r="KF10" s="35"/>
      <c r="KG10" s="35"/>
      <c r="KH10" s="35"/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11" t="str">
        <f t="shared" si="103"/>
        <v/>
      </c>
      <c r="KV10" s="11" t="str">
        <f t="shared" si="104"/>
        <v/>
      </c>
      <c r="KW10" s="11" t="str">
        <f t="shared" si="105"/>
        <v/>
      </c>
      <c r="KX10" s="11" t="str">
        <f t="shared" si="106"/>
        <v/>
      </c>
      <c r="KY10" s="11" t="str">
        <f t="shared" si="107"/>
        <v/>
      </c>
      <c r="KZ10" s="11" t="str">
        <f t="shared" si="108"/>
        <v/>
      </c>
      <c r="LA10" s="11" t="str">
        <f t="shared" si="109"/>
        <v/>
      </c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14" t="str">
        <f t="shared" si="110"/>
        <v/>
      </c>
      <c r="LR10" s="14" t="str">
        <f t="shared" si="111"/>
        <v/>
      </c>
      <c r="LS10" s="14" t="str">
        <f t="shared" si="112"/>
        <v/>
      </c>
      <c r="LT10" s="14" t="str">
        <f t="shared" si="113"/>
        <v/>
      </c>
      <c r="LU10" s="14" t="str">
        <f t="shared" si="114"/>
        <v/>
      </c>
      <c r="LV10" s="14" t="str">
        <f t="shared" si="115"/>
        <v/>
      </c>
      <c r="LW10" s="14" t="str">
        <f t="shared" si="116"/>
        <v/>
      </c>
      <c r="LX10" s="35"/>
      <c r="LY10" s="35"/>
      <c r="LZ10" s="35"/>
      <c r="MA10" s="35"/>
      <c r="MB10" s="35"/>
      <c r="MC10" s="35"/>
      <c r="MD10" s="35"/>
      <c r="ME10" s="35"/>
      <c r="MF10" s="35"/>
      <c r="MG10" s="35"/>
      <c r="MH10" s="35"/>
      <c r="MI10" s="35"/>
      <c r="MJ10" s="35"/>
      <c r="MK10" s="35"/>
      <c r="ML10" s="35"/>
      <c r="MM10" s="11" t="str">
        <f t="shared" si="117"/>
        <v/>
      </c>
      <c r="MN10" s="11" t="str">
        <f t="shared" si="118"/>
        <v/>
      </c>
      <c r="MO10" s="11" t="str">
        <f t="shared" si="119"/>
        <v/>
      </c>
      <c r="MP10" s="11" t="str">
        <f t="shared" si="120"/>
        <v/>
      </c>
      <c r="MQ10" s="11" t="str">
        <f t="shared" si="121"/>
        <v/>
      </c>
      <c r="MR10" s="11" t="str">
        <f t="shared" si="122"/>
        <v/>
      </c>
      <c r="MS10" s="11" t="str">
        <f t="shared" si="123"/>
        <v/>
      </c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14" t="str">
        <f t="shared" si="124"/>
        <v/>
      </c>
      <c r="NJ10" s="14" t="str">
        <f t="shared" si="125"/>
        <v/>
      </c>
      <c r="NK10" s="14" t="str">
        <f t="shared" si="126"/>
        <v/>
      </c>
      <c r="NL10" s="14" t="str">
        <f t="shared" si="127"/>
        <v/>
      </c>
      <c r="NM10" s="14" t="str">
        <f t="shared" si="128"/>
        <v/>
      </c>
      <c r="NN10" s="14" t="str">
        <f t="shared" si="129"/>
        <v/>
      </c>
      <c r="NO10" s="14" t="str">
        <f t="shared" si="130"/>
        <v/>
      </c>
      <c r="NP10" s="61">
        <f t="shared" si="131"/>
        <v>15.2</v>
      </c>
      <c r="NQ10" s="61">
        <f t="shared" si="132"/>
        <v>9</v>
      </c>
      <c r="NR10" s="61">
        <f t="shared" si="133"/>
        <v>1.4</v>
      </c>
      <c r="NS10" s="61">
        <f t="shared" si="134"/>
        <v>14.077500000000001</v>
      </c>
      <c r="NT10" s="61">
        <f t="shared" si="135"/>
        <v>0</v>
      </c>
      <c r="NU10" s="61">
        <f t="shared" si="136"/>
        <v>13.8</v>
      </c>
      <c r="NV10" s="61">
        <f t="shared" si="137"/>
        <v>9</v>
      </c>
      <c r="NW10" s="61">
        <f t="shared" si="138"/>
        <v>9.8000000000000007</v>
      </c>
      <c r="NX10" s="61">
        <f t="shared" si="139"/>
        <v>13.47</v>
      </c>
      <c r="NY10" s="61">
        <f t="shared" si="140"/>
        <v>0</v>
      </c>
      <c r="NZ10" s="61">
        <f t="shared" si="141"/>
        <v>0</v>
      </c>
      <c r="OA10" s="61">
        <f t="shared" si="142"/>
        <v>0</v>
      </c>
      <c r="OB10" s="61">
        <f t="shared" si="143"/>
        <v>0</v>
      </c>
      <c r="OC10" s="61">
        <f t="shared" si="144"/>
        <v>0</v>
      </c>
      <c r="OD10" s="61">
        <f t="shared" si="145"/>
        <v>0</v>
      </c>
      <c r="OE10" s="61">
        <f t="shared" si="146"/>
        <v>10.45</v>
      </c>
      <c r="OF10" s="61">
        <f t="shared" si="147"/>
        <v>6.7</v>
      </c>
      <c r="OG10" s="61">
        <f t="shared" si="148"/>
        <v>6.85</v>
      </c>
      <c r="OH10" s="61">
        <f t="shared" si="149"/>
        <v>9.8475000000000001</v>
      </c>
      <c r="OI10" s="61">
        <f t="shared" si="150"/>
        <v>0.15</v>
      </c>
      <c r="OJ10" s="72" t="s">
        <v>52</v>
      </c>
      <c r="OK10" s="11">
        <f t="shared" si="151"/>
        <v>39.677499999999995</v>
      </c>
      <c r="OL10" s="11">
        <f t="shared" si="152"/>
        <v>9.8000000000000007</v>
      </c>
      <c r="OM10" s="11">
        <f t="shared" si="153"/>
        <v>46.07</v>
      </c>
      <c r="ON10" s="11" t="str">
        <f t="shared" si="154"/>
        <v/>
      </c>
      <c r="OO10" s="11" t="str">
        <f t="shared" si="155"/>
        <v/>
      </c>
      <c r="OP10" s="11">
        <f t="shared" si="156"/>
        <v>85.747500000000002</v>
      </c>
      <c r="OQ10" s="11">
        <f t="shared" si="157"/>
        <v>6.85</v>
      </c>
      <c r="OR10" s="11">
        <f t="shared" ref="OR10" si="160">IF(SUM(OE10:OH10)-OI10&gt;0,SUM(OE10:OH10)-OI10,"")</f>
        <v>33.697499999999998</v>
      </c>
      <c r="OS10" s="11">
        <f t="shared" ref="OS10" si="161">IF(SUM(OP10,OR10)&gt;0,SUM(OP10,OR10),"")</f>
        <v>119.44499999999999</v>
      </c>
    </row>
    <row r="11" spans="1:409" x14ac:dyDescent="0.2">
      <c r="A11" s="5" t="str" cm="1">
        <f t="array" ref="A11">IF(AND(G11&lt;&gt;"",H11&lt;&gt;""),SUMPRODUCT((G$4:G$27&lt;&gt;"")*(H$4:H$27&lt;&gt;"")*(E$4:E$27&gt;E11))+1,IF(H11&lt;&gt;"",SUMPRODUCT((I$4:I$27="No DD")*(E$4:E$27&gt;E11))+1+SUMPRODUCT((G$4:G$27&lt;&gt;"")*(H$4:H$27&lt;&gt;"")),""))</f>
        <v/>
      </c>
      <c r="B11" s="8" t="s">
        <v>98</v>
      </c>
      <c r="C11" s="4" t="s">
        <v>96</v>
      </c>
      <c r="D11" s="26">
        <v>2002</v>
      </c>
      <c r="E11" s="15">
        <f t="shared" si="0"/>
        <v>92.75</v>
      </c>
      <c r="F11" s="3" t="str">
        <f t="shared" si="1"/>
        <v/>
      </c>
      <c r="G11" s="115" t="str">
        <f t="shared" si="2"/>
        <v/>
      </c>
      <c r="H11" s="115" t="str">
        <f t="shared" si="3"/>
        <v/>
      </c>
      <c r="I11" s="116" t="str">
        <f t="shared" si="4"/>
        <v/>
      </c>
      <c r="J11" s="3" t="str">
        <f t="shared" si="5"/>
        <v/>
      </c>
      <c r="K11" s="14">
        <f t="shared" si="6"/>
        <v>87.12</v>
      </c>
      <c r="L11" s="14" t="str">
        <f t="shared" si="7"/>
        <v>2021 Elite Canada</v>
      </c>
      <c r="M11" s="14">
        <f t="shared" si="8"/>
        <v>40.824999999999996</v>
      </c>
      <c r="N11" s="14" t="str">
        <f t="shared" si="9"/>
        <v>2021 1st Virtual Technical Trial</v>
      </c>
      <c r="O11" s="14">
        <f t="shared" si="10"/>
        <v>46.410000000000004</v>
      </c>
      <c r="P11" s="14" t="str">
        <f t="shared" si="11"/>
        <v>2021 Elite Canada</v>
      </c>
      <c r="Q11" s="14">
        <f>IF(COUNT(AS11,AU11,AX11,BW11,BY11,CB11,DA11,DC11,DF11)&gt;1,LARGE((AS11,AU11,AX11,BW11,BY11,CB11,DA11,DC11,DF11),2),0)</f>
        <v>46.339999999999996</v>
      </c>
      <c r="R11" s="14" t="str">
        <f t="shared" si="12"/>
        <v>2021 Elite Canada</v>
      </c>
      <c r="S11" s="14" t="str">
        <f t="shared" si="13"/>
        <v/>
      </c>
      <c r="T11" s="24" t="str">
        <f t="shared" si="14"/>
        <v/>
      </c>
      <c r="U11" s="14" t="str">
        <f t="shared" si="15"/>
        <v/>
      </c>
      <c r="V11" s="61">
        <v>15.7</v>
      </c>
      <c r="W11" s="61">
        <v>9.6</v>
      </c>
      <c r="X11" s="61">
        <v>2</v>
      </c>
      <c r="Y11" s="61">
        <v>13.525</v>
      </c>
      <c r="Z11" s="61">
        <v>0</v>
      </c>
      <c r="AA11" s="61">
        <v>14</v>
      </c>
      <c r="AB11" s="61">
        <v>9.1</v>
      </c>
      <c r="AC11" s="61">
        <v>9.6999999999999993</v>
      </c>
      <c r="AD11" s="61">
        <v>13.06</v>
      </c>
      <c r="AE11" s="61">
        <v>0</v>
      </c>
      <c r="AF11" s="61"/>
      <c r="AG11" s="61"/>
      <c r="AH11" s="61"/>
      <c r="AI11" s="61"/>
      <c r="AJ11" s="61"/>
      <c r="AK11" s="61">
        <v>14</v>
      </c>
      <c r="AL11" s="61">
        <v>9.3000000000000007</v>
      </c>
      <c r="AM11" s="61">
        <v>9.1</v>
      </c>
      <c r="AN11" s="61">
        <v>13.33</v>
      </c>
      <c r="AO11" s="61">
        <v>0</v>
      </c>
      <c r="AP11" s="72"/>
      <c r="AQ11" s="11">
        <f t="shared" si="16"/>
        <v>40.824999999999996</v>
      </c>
      <c r="AR11" s="11">
        <f t="shared" si="17"/>
        <v>9.6999999999999993</v>
      </c>
      <c r="AS11" s="11">
        <f t="shared" si="18"/>
        <v>45.86</v>
      </c>
      <c r="AT11" s="11" t="str">
        <f t="shared" si="19"/>
        <v/>
      </c>
      <c r="AU11" s="11" t="str">
        <f t="shared" si="20"/>
        <v/>
      </c>
      <c r="AV11" s="11">
        <f t="shared" si="21"/>
        <v>86.685000000000002</v>
      </c>
      <c r="AW11" s="11">
        <f t="shared" si="22"/>
        <v>9.1</v>
      </c>
      <c r="AX11" s="11">
        <f t="shared" si="23"/>
        <v>45.73</v>
      </c>
      <c r="AY11" s="11">
        <f t="shared" si="24"/>
        <v>132.41499999999999</v>
      </c>
      <c r="AZ11" s="67">
        <v>15.2</v>
      </c>
      <c r="BA11" s="67">
        <v>8.9</v>
      </c>
      <c r="BB11" s="67">
        <v>2.2000000000000002</v>
      </c>
      <c r="BC11" s="67">
        <v>13.195</v>
      </c>
      <c r="BD11" s="67">
        <v>0</v>
      </c>
      <c r="BE11" s="67">
        <v>2.4</v>
      </c>
      <c r="BF11" s="67">
        <v>1.7</v>
      </c>
      <c r="BG11" s="67">
        <v>2.2999999999999998</v>
      </c>
      <c r="BH11" s="67">
        <v>2.6949999999999998</v>
      </c>
      <c r="BI11" s="67">
        <v>0</v>
      </c>
      <c r="BJ11" s="67"/>
      <c r="BK11" s="67"/>
      <c r="BL11" s="67"/>
      <c r="BM11" s="67"/>
      <c r="BN11" s="67"/>
      <c r="BO11" s="67">
        <v>13.9</v>
      </c>
      <c r="BP11" s="67">
        <v>9.3000000000000007</v>
      </c>
      <c r="BQ11" s="67">
        <v>10.3</v>
      </c>
      <c r="BR11" s="67">
        <v>12.76</v>
      </c>
      <c r="BS11" s="67">
        <v>0</v>
      </c>
      <c r="BT11" s="73"/>
      <c r="BU11" s="14">
        <f t="shared" si="25"/>
        <v>39.495000000000005</v>
      </c>
      <c r="BV11" s="14">
        <f t="shared" si="26"/>
        <v>2.2999999999999998</v>
      </c>
      <c r="BW11" s="14">
        <f t="shared" si="27"/>
        <v>9.0949999999999989</v>
      </c>
      <c r="BX11" s="14" t="str">
        <f t="shared" si="28"/>
        <v/>
      </c>
      <c r="BY11" s="14" t="str">
        <f t="shared" si="29"/>
        <v/>
      </c>
      <c r="BZ11" s="14">
        <f t="shared" si="30"/>
        <v>48.59</v>
      </c>
      <c r="CA11" s="14">
        <f t="shared" si="31"/>
        <v>10.3</v>
      </c>
      <c r="CB11" s="14">
        <f t="shared" si="32"/>
        <v>46.26</v>
      </c>
      <c r="CC11" s="14">
        <f t="shared" si="33"/>
        <v>94.85</v>
      </c>
      <c r="CD11" s="61">
        <v>15.7</v>
      </c>
      <c r="CE11" s="61">
        <v>9.5</v>
      </c>
      <c r="CF11" s="61">
        <v>2.2000000000000002</v>
      </c>
      <c r="CG11" s="61">
        <v>13.38</v>
      </c>
      <c r="CH11" s="61">
        <v>0</v>
      </c>
      <c r="CI11" s="61">
        <v>14.8</v>
      </c>
      <c r="CJ11" s="61">
        <v>9.1</v>
      </c>
      <c r="CK11" s="61">
        <v>9.6999999999999993</v>
      </c>
      <c r="CL11" s="61">
        <v>12.74</v>
      </c>
      <c r="CM11" s="61">
        <v>0</v>
      </c>
      <c r="CN11" s="61"/>
      <c r="CO11" s="61"/>
      <c r="CP11" s="61"/>
      <c r="CQ11" s="61"/>
      <c r="CR11" s="61"/>
      <c r="CS11" s="61">
        <v>14.8</v>
      </c>
      <c r="CT11" s="61">
        <v>8.9</v>
      </c>
      <c r="CU11" s="61">
        <v>9.6999999999999993</v>
      </c>
      <c r="CV11" s="61">
        <v>13.01</v>
      </c>
      <c r="CW11" s="61">
        <v>0</v>
      </c>
      <c r="CX11" s="72"/>
      <c r="CY11" s="11">
        <f t="shared" si="34"/>
        <v>40.78</v>
      </c>
      <c r="CZ11" s="11">
        <f t="shared" si="35"/>
        <v>9.6999999999999993</v>
      </c>
      <c r="DA11" s="11">
        <f t="shared" si="36"/>
        <v>46.339999999999996</v>
      </c>
      <c r="DB11" s="11" t="str">
        <f t="shared" si="37"/>
        <v/>
      </c>
      <c r="DC11" s="11" t="str">
        <f t="shared" si="38"/>
        <v/>
      </c>
      <c r="DD11" s="11">
        <f t="shared" si="39"/>
        <v>87.12</v>
      </c>
      <c r="DE11" s="11">
        <f t="shared" si="40"/>
        <v>9.6999999999999993</v>
      </c>
      <c r="DF11" s="11">
        <f t="shared" si="41"/>
        <v>46.410000000000004</v>
      </c>
      <c r="DG11" s="11">
        <f t="shared" si="42"/>
        <v>133.53</v>
      </c>
      <c r="DH11" s="23" t="str">
        <f t="shared" si="43"/>
        <v/>
      </c>
      <c r="DI11" s="23" t="str">
        <f t="shared" si="44"/>
        <v/>
      </c>
      <c r="DJ11" s="23" t="str">
        <f t="shared" si="45"/>
        <v/>
      </c>
      <c r="DK11" s="23" t="str">
        <f t="shared" si="46"/>
        <v/>
      </c>
      <c r="DL11" s="35"/>
      <c r="DM11" s="35"/>
      <c r="DN11" s="35"/>
      <c r="DO11" s="35"/>
      <c r="DP11" s="35"/>
      <c r="DQ11" s="35"/>
      <c r="DR11" s="35"/>
      <c r="DS11" s="35"/>
      <c r="DT11" s="35"/>
      <c r="DU11" s="35"/>
      <c r="DV11" s="35"/>
      <c r="DW11" s="35"/>
      <c r="DX11" s="35"/>
      <c r="DY11" s="35"/>
      <c r="DZ11" s="35"/>
      <c r="EA11" s="11" t="str">
        <f t="shared" si="47"/>
        <v/>
      </c>
      <c r="EB11" s="11" t="str">
        <f t="shared" si="48"/>
        <v/>
      </c>
      <c r="EC11" s="11" t="str">
        <f t="shared" si="49"/>
        <v/>
      </c>
      <c r="ED11" s="11" t="str">
        <f t="shared" si="50"/>
        <v/>
      </c>
      <c r="EE11" s="11" t="str">
        <f t="shared" si="51"/>
        <v/>
      </c>
      <c r="EF11" s="11" t="str">
        <f t="shared" si="52"/>
        <v/>
      </c>
      <c r="EG11" s="11" t="str">
        <f t="shared" si="53"/>
        <v/>
      </c>
      <c r="EH11" s="36"/>
      <c r="EI11" s="36"/>
      <c r="EJ11" s="36"/>
      <c r="EK11" s="36"/>
      <c r="EL11" s="36"/>
      <c r="EM11" s="36"/>
      <c r="EN11" s="36"/>
      <c r="EO11" s="36"/>
      <c r="EP11" s="36"/>
      <c r="EQ11" s="36"/>
      <c r="ER11" s="36"/>
      <c r="ES11" s="36"/>
      <c r="ET11" s="36"/>
      <c r="EU11" s="36"/>
      <c r="EV11" s="36"/>
      <c r="EW11" s="14" t="str">
        <f t="shared" si="54"/>
        <v/>
      </c>
      <c r="EX11" s="14" t="str">
        <f t="shared" si="55"/>
        <v/>
      </c>
      <c r="EY11" s="14" t="str">
        <f t="shared" si="56"/>
        <v/>
      </c>
      <c r="EZ11" s="14" t="str">
        <f t="shared" si="57"/>
        <v/>
      </c>
      <c r="FA11" s="14" t="str">
        <f t="shared" si="58"/>
        <v/>
      </c>
      <c r="FB11" s="14" t="str">
        <f t="shared" si="59"/>
        <v/>
      </c>
      <c r="FC11" s="14" t="str">
        <f t="shared" si="60"/>
        <v/>
      </c>
      <c r="FD11" s="35"/>
      <c r="FE11" s="35"/>
      <c r="FF11" s="35"/>
      <c r="FG11" s="35"/>
      <c r="FH11" s="35"/>
      <c r="FI11" s="35"/>
      <c r="FJ11" s="35"/>
      <c r="FK11" s="35"/>
      <c r="FL11" s="35"/>
      <c r="FM11" s="35"/>
      <c r="FN11" s="35"/>
      <c r="FO11" s="35"/>
      <c r="FP11" s="35"/>
      <c r="FQ11" s="35"/>
      <c r="FR11" s="35"/>
      <c r="FS11" s="11" t="str">
        <f t="shared" si="61"/>
        <v/>
      </c>
      <c r="FT11" s="11" t="str">
        <f t="shared" si="62"/>
        <v/>
      </c>
      <c r="FU11" s="11" t="str">
        <f t="shared" si="63"/>
        <v/>
      </c>
      <c r="FV11" s="11" t="str">
        <f t="shared" si="64"/>
        <v/>
      </c>
      <c r="FW11" s="11" t="str">
        <f t="shared" si="65"/>
        <v/>
      </c>
      <c r="FX11" s="11" t="str">
        <f t="shared" si="66"/>
        <v/>
      </c>
      <c r="FY11" s="11" t="str">
        <f t="shared" si="67"/>
        <v/>
      </c>
      <c r="FZ11" s="36"/>
      <c r="GA11" s="36"/>
      <c r="GB11" s="36"/>
      <c r="GC11" s="36"/>
      <c r="GD11" s="36"/>
      <c r="GE11" s="36"/>
      <c r="GF11" s="36"/>
      <c r="GG11" s="36"/>
      <c r="GH11" s="36"/>
      <c r="GI11" s="36"/>
      <c r="GJ11" s="36"/>
      <c r="GK11" s="36"/>
      <c r="GL11" s="36"/>
      <c r="GM11" s="36"/>
      <c r="GN11" s="36"/>
      <c r="GO11" s="14" t="str">
        <f t="shared" si="68"/>
        <v/>
      </c>
      <c r="GP11" s="14" t="str">
        <f t="shared" si="69"/>
        <v/>
      </c>
      <c r="GQ11" s="14" t="str">
        <f t="shared" si="70"/>
        <v/>
      </c>
      <c r="GR11" s="14" t="str">
        <f t="shared" si="71"/>
        <v/>
      </c>
      <c r="GS11" s="14" t="str">
        <f t="shared" si="72"/>
        <v/>
      </c>
      <c r="GT11" s="14" t="str">
        <f t="shared" si="73"/>
        <v/>
      </c>
      <c r="GU11" s="14" t="str">
        <f t="shared" si="74"/>
        <v/>
      </c>
      <c r="GV11" s="35"/>
      <c r="GW11" s="35"/>
      <c r="GX11" s="35"/>
      <c r="GY11" s="35"/>
      <c r="GZ11" s="35"/>
      <c r="HA11" s="35"/>
      <c r="HB11" s="35"/>
      <c r="HC11" s="35"/>
      <c r="HD11" s="35"/>
      <c r="HE11" s="35"/>
      <c r="HF11" s="35"/>
      <c r="HG11" s="35"/>
      <c r="HH11" s="35"/>
      <c r="HI11" s="35"/>
      <c r="HJ11" s="35"/>
      <c r="HK11" s="11" t="str">
        <f t="shared" si="75"/>
        <v/>
      </c>
      <c r="HL11" s="11" t="str">
        <f t="shared" si="76"/>
        <v/>
      </c>
      <c r="HM11" s="11" t="str">
        <f t="shared" si="77"/>
        <v/>
      </c>
      <c r="HN11" s="11" t="str">
        <f t="shared" si="78"/>
        <v/>
      </c>
      <c r="HO11" s="11" t="str">
        <f t="shared" si="79"/>
        <v/>
      </c>
      <c r="HP11" s="11" t="str">
        <f t="shared" si="80"/>
        <v/>
      </c>
      <c r="HQ11" s="11" t="str">
        <f t="shared" si="81"/>
        <v/>
      </c>
      <c r="HR11" s="36"/>
      <c r="HS11" s="36"/>
      <c r="HT11" s="36"/>
      <c r="HU11" s="36"/>
      <c r="HV11" s="36"/>
      <c r="HW11" s="36"/>
      <c r="HX11" s="36"/>
      <c r="HY11" s="36"/>
      <c r="HZ11" s="36"/>
      <c r="IA11" s="36"/>
      <c r="IB11" s="36"/>
      <c r="IC11" s="36"/>
      <c r="ID11" s="36"/>
      <c r="IE11" s="36"/>
      <c r="IF11" s="36"/>
      <c r="IG11" s="14" t="str">
        <f t="shared" si="82"/>
        <v/>
      </c>
      <c r="IH11" s="14" t="str">
        <f t="shared" si="83"/>
        <v/>
      </c>
      <c r="II11" s="14" t="str">
        <f t="shared" si="84"/>
        <v/>
      </c>
      <c r="IJ11" s="14" t="str">
        <f t="shared" si="85"/>
        <v/>
      </c>
      <c r="IK11" s="14" t="str">
        <f t="shared" si="86"/>
        <v/>
      </c>
      <c r="IL11" s="14" t="str">
        <f t="shared" si="87"/>
        <v/>
      </c>
      <c r="IM11" s="14" t="str">
        <f t="shared" si="88"/>
        <v/>
      </c>
      <c r="IN11" s="35"/>
      <c r="IO11" s="35"/>
      <c r="IP11" s="35"/>
      <c r="IQ11" s="35"/>
      <c r="IR11" s="35"/>
      <c r="IS11" s="35"/>
      <c r="IT11" s="35"/>
      <c r="IU11" s="35"/>
      <c r="IV11" s="35"/>
      <c r="IW11" s="35"/>
      <c r="IX11" s="35"/>
      <c r="IY11" s="35"/>
      <c r="IZ11" s="35"/>
      <c r="JA11" s="35"/>
      <c r="JB11" s="35"/>
      <c r="JC11" s="11" t="str">
        <f t="shared" si="89"/>
        <v/>
      </c>
      <c r="JD11" s="11" t="str">
        <f t="shared" si="90"/>
        <v/>
      </c>
      <c r="JE11" s="11" t="str">
        <f t="shared" si="91"/>
        <v/>
      </c>
      <c r="JF11" s="11" t="str">
        <f t="shared" si="92"/>
        <v/>
      </c>
      <c r="JG11" s="11" t="str">
        <f t="shared" si="93"/>
        <v/>
      </c>
      <c r="JH11" s="11" t="str">
        <f t="shared" si="94"/>
        <v/>
      </c>
      <c r="JI11" s="11" t="str">
        <f t="shared" si="95"/>
        <v/>
      </c>
      <c r="JJ11" s="36"/>
      <c r="JK11" s="36"/>
      <c r="JL11" s="36"/>
      <c r="JM11" s="36"/>
      <c r="JN11" s="36"/>
      <c r="JO11" s="36"/>
      <c r="JP11" s="36"/>
      <c r="JQ11" s="36"/>
      <c r="JR11" s="36"/>
      <c r="JS11" s="36"/>
      <c r="JT11" s="36"/>
      <c r="JU11" s="36"/>
      <c r="JV11" s="36"/>
      <c r="JW11" s="36"/>
      <c r="JX11" s="36"/>
      <c r="JY11" s="14" t="str">
        <f t="shared" si="96"/>
        <v/>
      </c>
      <c r="JZ11" s="14" t="str">
        <f t="shared" si="97"/>
        <v/>
      </c>
      <c r="KA11" s="14" t="str">
        <f t="shared" si="98"/>
        <v/>
      </c>
      <c r="KB11" s="14" t="str">
        <f t="shared" si="99"/>
        <v/>
      </c>
      <c r="KC11" s="14" t="str">
        <f t="shared" si="100"/>
        <v/>
      </c>
      <c r="KD11" s="14" t="str">
        <f t="shared" si="101"/>
        <v/>
      </c>
      <c r="KE11" s="14" t="str">
        <f t="shared" si="102"/>
        <v/>
      </c>
      <c r="KF11" s="35"/>
      <c r="KG11" s="35"/>
      <c r="KH11" s="35"/>
      <c r="KI11" s="35"/>
      <c r="KJ11" s="35"/>
      <c r="KK11" s="35"/>
      <c r="KL11" s="35"/>
      <c r="KM11" s="35"/>
      <c r="KN11" s="35"/>
      <c r="KO11" s="35"/>
      <c r="KP11" s="35"/>
      <c r="KQ11" s="35"/>
      <c r="KR11" s="35"/>
      <c r="KS11" s="35"/>
      <c r="KT11" s="35"/>
      <c r="KU11" s="11" t="str">
        <f t="shared" si="103"/>
        <v/>
      </c>
      <c r="KV11" s="11" t="str">
        <f t="shared" si="104"/>
        <v/>
      </c>
      <c r="KW11" s="11" t="str">
        <f t="shared" si="105"/>
        <v/>
      </c>
      <c r="KX11" s="11" t="str">
        <f t="shared" si="106"/>
        <v/>
      </c>
      <c r="KY11" s="11" t="str">
        <f t="shared" si="107"/>
        <v/>
      </c>
      <c r="KZ11" s="11" t="str">
        <f t="shared" si="108"/>
        <v/>
      </c>
      <c r="LA11" s="11" t="str">
        <f t="shared" si="109"/>
        <v/>
      </c>
      <c r="LB11" s="36"/>
      <c r="LC11" s="36"/>
      <c r="LD11" s="36"/>
      <c r="LE11" s="36"/>
      <c r="LF11" s="36"/>
      <c r="LG11" s="36"/>
      <c r="LH11" s="36"/>
      <c r="LI11" s="36"/>
      <c r="LJ11" s="36"/>
      <c r="LK11" s="36"/>
      <c r="LL11" s="36"/>
      <c r="LM11" s="36"/>
      <c r="LN11" s="36"/>
      <c r="LO11" s="36"/>
      <c r="LP11" s="36"/>
      <c r="LQ11" s="14" t="str">
        <f t="shared" si="110"/>
        <v/>
      </c>
      <c r="LR11" s="14" t="str">
        <f t="shared" si="111"/>
        <v/>
      </c>
      <c r="LS11" s="14" t="str">
        <f t="shared" si="112"/>
        <v/>
      </c>
      <c r="LT11" s="14" t="str">
        <f t="shared" si="113"/>
        <v/>
      </c>
      <c r="LU11" s="14" t="str">
        <f t="shared" si="114"/>
        <v/>
      </c>
      <c r="LV11" s="14" t="str">
        <f t="shared" si="115"/>
        <v/>
      </c>
      <c r="LW11" s="14" t="str">
        <f t="shared" si="116"/>
        <v/>
      </c>
      <c r="LX11" s="35"/>
      <c r="LY11" s="35"/>
      <c r="LZ11" s="35"/>
      <c r="MA11" s="35"/>
      <c r="MB11" s="35"/>
      <c r="MC11" s="35"/>
      <c r="MD11" s="35"/>
      <c r="ME11" s="35"/>
      <c r="MF11" s="35"/>
      <c r="MG11" s="35"/>
      <c r="MH11" s="35"/>
      <c r="MI11" s="35"/>
      <c r="MJ11" s="35"/>
      <c r="MK11" s="35"/>
      <c r="ML11" s="35"/>
      <c r="MM11" s="11" t="str">
        <f t="shared" si="117"/>
        <v/>
      </c>
      <c r="MN11" s="11" t="str">
        <f t="shared" si="118"/>
        <v/>
      </c>
      <c r="MO11" s="11" t="str">
        <f t="shared" si="119"/>
        <v/>
      </c>
      <c r="MP11" s="11" t="str">
        <f t="shared" si="120"/>
        <v/>
      </c>
      <c r="MQ11" s="11" t="str">
        <f t="shared" si="121"/>
        <v/>
      </c>
      <c r="MR11" s="11" t="str">
        <f t="shared" si="122"/>
        <v/>
      </c>
      <c r="MS11" s="11" t="str">
        <f t="shared" si="123"/>
        <v/>
      </c>
      <c r="MT11" s="36"/>
      <c r="MU11" s="36"/>
      <c r="MV11" s="36"/>
      <c r="MW11" s="36"/>
      <c r="MX11" s="36"/>
      <c r="MY11" s="36"/>
      <c r="MZ11" s="36"/>
      <c r="NA11" s="36"/>
      <c r="NB11" s="36"/>
      <c r="NC11" s="36"/>
      <c r="ND11" s="36"/>
      <c r="NE11" s="36"/>
      <c r="NF11" s="36"/>
      <c r="NG11" s="36"/>
      <c r="NH11" s="36"/>
      <c r="NI11" s="14" t="str">
        <f t="shared" si="124"/>
        <v/>
      </c>
      <c r="NJ11" s="14" t="str">
        <f t="shared" si="125"/>
        <v/>
      </c>
      <c r="NK11" s="14" t="str">
        <f t="shared" si="126"/>
        <v/>
      </c>
      <c r="NL11" s="14" t="str">
        <f t="shared" si="127"/>
        <v/>
      </c>
      <c r="NM11" s="14" t="str">
        <f t="shared" si="128"/>
        <v/>
      </c>
      <c r="NN11" s="14" t="str">
        <f t="shared" si="129"/>
        <v/>
      </c>
      <c r="NO11" s="14" t="str">
        <f t="shared" si="130"/>
        <v/>
      </c>
      <c r="NP11" s="61">
        <f t="shared" si="131"/>
        <v>15.45</v>
      </c>
      <c r="NQ11" s="61">
        <f t="shared" si="132"/>
        <v>9.1999999999999993</v>
      </c>
      <c r="NR11" s="61">
        <f t="shared" si="133"/>
        <v>2.2000000000000002</v>
      </c>
      <c r="NS11" s="61">
        <f t="shared" si="134"/>
        <v>13.287500000000001</v>
      </c>
      <c r="NT11" s="61">
        <f t="shared" si="135"/>
        <v>0</v>
      </c>
      <c r="NU11" s="61">
        <f t="shared" si="136"/>
        <v>8.6</v>
      </c>
      <c r="NV11" s="61">
        <f t="shared" si="137"/>
        <v>5.3999999999999995</v>
      </c>
      <c r="NW11" s="61">
        <f t="shared" si="138"/>
        <v>6</v>
      </c>
      <c r="NX11" s="61">
        <f t="shared" si="139"/>
        <v>7.7175000000000002</v>
      </c>
      <c r="NY11" s="61">
        <f t="shared" si="140"/>
        <v>0</v>
      </c>
      <c r="NZ11" s="61">
        <f t="shared" si="141"/>
        <v>0</v>
      </c>
      <c r="OA11" s="61">
        <f t="shared" si="142"/>
        <v>0</v>
      </c>
      <c r="OB11" s="61">
        <f t="shared" si="143"/>
        <v>0</v>
      </c>
      <c r="OC11" s="61">
        <f t="shared" si="144"/>
        <v>0</v>
      </c>
      <c r="OD11" s="61">
        <f t="shared" si="145"/>
        <v>0</v>
      </c>
      <c r="OE11" s="61">
        <f t="shared" si="146"/>
        <v>14.350000000000001</v>
      </c>
      <c r="OF11" s="61">
        <f t="shared" si="147"/>
        <v>9.1000000000000014</v>
      </c>
      <c r="OG11" s="61">
        <f t="shared" si="148"/>
        <v>10</v>
      </c>
      <c r="OH11" s="61">
        <f t="shared" si="149"/>
        <v>12.885</v>
      </c>
      <c r="OI11" s="61">
        <f t="shared" si="150"/>
        <v>0</v>
      </c>
      <c r="OJ11" s="72" t="s">
        <v>52</v>
      </c>
      <c r="OK11" s="11">
        <f t="shared" si="151"/>
        <v>40.137500000000003</v>
      </c>
      <c r="OL11" s="11">
        <f t="shared" si="152"/>
        <v>6</v>
      </c>
      <c r="OM11" s="11">
        <f t="shared" si="153"/>
        <v>27.717500000000001</v>
      </c>
      <c r="ON11" s="11" t="str">
        <f t="shared" si="154"/>
        <v/>
      </c>
      <c r="OO11" s="11" t="str">
        <f t="shared" si="155"/>
        <v/>
      </c>
      <c r="OP11" s="11">
        <f t="shared" si="156"/>
        <v>67.855000000000004</v>
      </c>
      <c r="OQ11" s="11">
        <f t="shared" si="157"/>
        <v>10</v>
      </c>
      <c r="OR11" s="11">
        <f t="shared" ref="OR11" si="162">IF(SUM(OE11:OH11)-OI11&gt;0,SUM(OE11:OH11)-OI11,"")</f>
        <v>46.335000000000001</v>
      </c>
      <c r="OS11" s="11">
        <f t="shared" ref="OS11" si="163">IF(SUM(OP11,OR11)&gt;0,SUM(OP11,OR11),"")</f>
        <v>114.19</v>
      </c>
    </row>
    <row r="12" spans="1:409" x14ac:dyDescent="0.2">
      <c r="A12" s="5" t="str" cm="1">
        <f t="array" ref="A12">IF(AND(G12&lt;&gt;"",H12&lt;&gt;""),SUMPRODUCT((G$4:G$27&lt;&gt;"")*(H$4:H$27&lt;&gt;"")*(E$4:E$27&gt;E12))+1,IF(H12&lt;&gt;"",SUMPRODUCT((I$4:I$27="No DD")*(E$4:E$27&gt;E12))+1+SUMPRODUCT((G$4:G$27&lt;&gt;"")*(H$4:H$27&lt;&gt;"")),""))</f>
        <v/>
      </c>
      <c r="B12" s="8" t="s">
        <v>103</v>
      </c>
      <c r="C12" s="4" t="s">
        <v>5</v>
      </c>
      <c r="D12" s="26">
        <v>2003</v>
      </c>
      <c r="E12" s="15">
        <f t="shared" si="0"/>
        <v>91.92</v>
      </c>
      <c r="F12" s="3" t="str">
        <f t="shared" si="1"/>
        <v/>
      </c>
      <c r="G12" s="115" t="str">
        <f t="shared" si="2"/>
        <v/>
      </c>
      <c r="H12" s="115" t="str">
        <f t="shared" si="3"/>
        <v/>
      </c>
      <c r="I12" s="116" t="str">
        <f t="shared" si="4"/>
        <v/>
      </c>
      <c r="J12" s="3" t="str">
        <f t="shared" si="5"/>
        <v/>
      </c>
      <c r="K12" s="14">
        <f t="shared" si="6"/>
        <v>85.134999999999991</v>
      </c>
      <c r="L12" s="14" t="str">
        <f t="shared" si="7"/>
        <v>2021 2nd Virtual Technical Trial</v>
      </c>
      <c r="M12" s="14">
        <f t="shared" si="8"/>
        <v>39.54</v>
      </c>
      <c r="N12" s="14" t="str">
        <f t="shared" si="9"/>
        <v>2021 1st Virtual Technical Trial</v>
      </c>
      <c r="O12" s="14">
        <f t="shared" si="10"/>
        <v>45.96</v>
      </c>
      <c r="P12" s="14" t="str">
        <f t="shared" si="11"/>
        <v>2021 2nd Virtual Technical Trial</v>
      </c>
      <c r="Q12" s="14">
        <f>IF(COUNT(AS12,AU12,AX12,BW12,BY12,CB12,DA12,DC12,DF12)&gt;1,LARGE((AS12,AU12,AX12,BW12,BY12,CB12,DA12,DC12,DF12),2),0)</f>
        <v>45.96</v>
      </c>
      <c r="R12" s="14" t="str">
        <f t="shared" si="12"/>
        <v>2021 2nd Virtual Technical Trial</v>
      </c>
      <c r="S12" s="14" t="str">
        <f t="shared" si="13"/>
        <v/>
      </c>
      <c r="T12" s="24" t="str">
        <f t="shared" si="14"/>
        <v/>
      </c>
      <c r="U12" s="14" t="str">
        <f t="shared" si="15"/>
        <v/>
      </c>
      <c r="V12" s="61">
        <v>15.4</v>
      </c>
      <c r="W12" s="61">
        <v>9.4</v>
      </c>
      <c r="X12" s="61">
        <v>1.4</v>
      </c>
      <c r="Y12" s="61">
        <v>13.34</v>
      </c>
      <c r="Z12" s="61">
        <v>0</v>
      </c>
      <c r="AA12" s="61">
        <v>14.3</v>
      </c>
      <c r="AB12" s="61">
        <v>9.4</v>
      </c>
      <c r="AC12" s="61">
        <v>8.8000000000000007</v>
      </c>
      <c r="AD12" s="61">
        <v>12.96</v>
      </c>
      <c r="AE12" s="61">
        <v>0</v>
      </c>
      <c r="AF12" s="61"/>
      <c r="AG12" s="61"/>
      <c r="AH12" s="61"/>
      <c r="AI12" s="61"/>
      <c r="AJ12" s="61"/>
      <c r="AK12" s="61">
        <v>13.8</v>
      </c>
      <c r="AL12" s="61">
        <v>9.25</v>
      </c>
      <c r="AM12" s="61">
        <v>9.6999999999999993</v>
      </c>
      <c r="AN12" s="61">
        <v>13.21</v>
      </c>
      <c r="AO12" s="61">
        <v>0</v>
      </c>
      <c r="AP12" s="72"/>
      <c r="AQ12" s="11">
        <f t="shared" si="16"/>
        <v>39.54</v>
      </c>
      <c r="AR12" s="11">
        <f t="shared" si="17"/>
        <v>8.8000000000000007</v>
      </c>
      <c r="AS12" s="11">
        <f t="shared" si="18"/>
        <v>45.46</v>
      </c>
      <c r="AT12" s="11" t="str">
        <f t="shared" si="19"/>
        <v/>
      </c>
      <c r="AU12" s="11" t="str">
        <f t="shared" si="20"/>
        <v/>
      </c>
      <c r="AV12" s="11">
        <f t="shared" si="21"/>
        <v>85</v>
      </c>
      <c r="AW12" s="11">
        <f t="shared" si="22"/>
        <v>9.6999999999999993</v>
      </c>
      <c r="AX12" s="11">
        <f t="shared" si="23"/>
        <v>45.96</v>
      </c>
      <c r="AY12" s="11">
        <f t="shared" si="24"/>
        <v>130.96</v>
      </c>
      <c r="AZ12" s="67">
        <v>14.7</v>
      </c>
      <c r="BA12" s="67">
        <v>9.6</v>
      </c>
      <c r="BB12" s="67">
        <v>1.4</v>
      </c>
      <c r="BC12" s="67">
        <v>13.475</v>
      </c>
      <c r="BD12" s="67">
        <v>0</v>
      </c>
      <c r="BE12" s="67">
        <v>14</v>
      </c>
      <c r="BF12" s="67">
        <v>9.1999999999999993</v>
      </c>
      <c r="BG12" s="67">
        <v>9.6999999999999993</v>
      </c>
      <c r="BH12" s="67">
        <v>13.06</v>
      </c>
      <c r="BI12" s="67">
        <v>0</v>
      </c>
      <c r="BJ12" s="67"/>
      <c r="BK12" s="67"/>
      <c r="BL12" s="67"/>
      <c r="BM12" s="67"/>
      <c r="BN12" s="67"/>
      <c r="BO12" s="67">
        <v>12.3</v>
      </c>
      <c r="BP12" s="67">
        <v>8.3000000000000007</v>
      </c>
      <c r="BQ12" s="67">
        <v>8.5</v>
      </c>
      <c r="BR12" s="67">
        <v>11.445</v>
      </c>
      <c r="BS12" s="67">
        <v>0</v>
      </c>
      <c r="BT12" s="73"/>
      <c r="BU12" s="14">
        <f t="shared" si="25"/>
        <v>39.174999999999997</v>
      </c>
      <c r="BV12" s="14">
        <f t="shared" si="26"/>
        <v>9.6999999999999993</v>
      </c>
      <c r="BW12" s="14">
        <f t="shared" si="27"/>
        <v>45.96</v>
      </c>
      <c r="BX12" s="14" t="str">
        <f t="shared" si="28"/>
        <v/>
      </c>
      <c r="BY12" s="14" t="str">
        <f t="shared" si="29"/>
        <v/>
      </c>
      <c r="BZ12" s="14">
        <f t="shared" si="30"/>
        <v>85.134999999999991</v>
      </c>
      <c r="CA12" s="14">
        <f t="shared" si="31"/>
        <v>8.5</v>
      </c>
      <c r="CB12" s="14">
        <f t="shared" si="32"/>
        <v>40.545000000000002</v>
      </c>
      <c r="CC12" s="14">
        <f t="shared" si="33"/>
        <v>125.67999999999999</v>
      </c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72"/>
      <c r="CY12" s="11" t="str">
        <f t="shared" si="34"/>
        <v/>
      </c>
      <c r="CZ12" s="11" t="str">
        <f t="shared" si="35"/>
        <v/>
      </c>
      <c r="DA12" s="11" t="str">
        <f t="shared" si="36"/>
        <v/>
      </c>
      <c r="DB12" s="11" t="str">
        <f t="shared" si="37"/>
        <v/>
      </c>
      <c r="DC12" s="11" t="str">
        <f t="shared" si="38"/>
        <v/>
      </c>
      <c r="DD12" s="11" t="str">
        <f t="shared" si="39"/>
        <v/>
      </c>
      <c r="DE12" s="11" t="str">
        <f t="shared" si="40"/>
        <v/>
      </c>
      <c r="DF12" s="11" t="str">
        <f t="shared" si="41"/>
        <v/>
      </c>
      <c r="DG12" s="11" t="str">
        <f t="shared" si="42"/>
        <v/>
      </c>
      <c r="DH12" s="23" t="str">
        <f t="shared" si="43"/>
        <v/>
      </c>
      <c r="DI12" s="23" t="str">
        <f t="shared" si="44"/>
        <v/>
      </c>
      <c r="DJ12" s="23" t="str">
        <f t="shared" si="45"/>
        <v/>
      </c>
      <c r="DK12" s="23" t="str">
        <f t="shared" si="46"/>
        <v/>
      </c>
      <c r="DL12" s="35"/>
      <c r="DM12" s="35"/>
      <c r="DN12" s="35"/>
      <c r="DO12" s="35"/>
      <c r="DP12" s="35"/>
      <c r="DQ12" s="35"/>
      <c r="DR12" s="35"/>
      <c r="DS12" s="35"/>
      <c r="DT12" s="35"/>
      <c r="DU12" s="35"/>
      <c r="DV12" s="35"/>
      <c r="DW12" s="35"/>
      <c r="DX12" s="35"/>
      <c r="DY12" s="35"/>
      <c r="DZ12" s="35"/>
      <c r="EA12" s="11" t="str">
        <f t="shared" si="47"/>
        <v/>
      </c>
      <c r="EB12" s="11" t="str">
        <f t="shared" si="48"/>
        <v/>
      </c>
      <c r="EC12" s="11" t="str">
        <f t="shared" si="49"/>
        <v/>
      </c>
      <c r="ED12" s="11" t="str">
        <f t="shared" si="50"/>
        <v/>
      </c>
      <c r="EE12" s="11" t="str">
        <f t="shared" si="51"/>
        <v/>
      </c>
      <c r="EF12" s="11" t="str">
        <f t="shared" si="52"/>
        <v/>
      </c>
      <c r="EG12" s="11" t="str">
        <f t="shared" si="53"/>
        <v/>
      </c>
      <c r="EH12" s="36"/>
      <c r="EI12" s="36"/>
      <c r="EJ12" s="36"/>
      <c r="EK12" s="36"/>
      <c r="EL12" s="36"/>
      <c r="EM12" s="36"/>
      <c r="EN12" s="36"/>
      <c r="EO12" s="36"/>
      <c r="EP12" s="36"/>
      <c r="EQ12" s="36"/>
      <c r="ER12" s="36"/>
      <c r="ES12" s="36"/>
      <c r="ET12" s="36"/>
      <c r="EU12" s="36"/>
      <c r="EV12" s="36"/>
      <c r="EW12" s="14" t="str">
        <f t="shared" si="54"/>
        <v/>
      </c>
      <c r="EX12" s="14" t="str">
        <f t="shared" si="55"/>
        <v/>
      </c>
      <c r="EY12" s="14" t="str">
        <f t="shared" si="56"/>
        <v/>
      </c>
      <c r="EZ12" s="14" t="str">
        <f t="shared" si="57"/>
        <v/>
      </c>
      <c r="FA12" s="14" t="str">
        <f t="shared" si="58"/>
        <v/>
      </c>
      <c r="FB12" s="14" t="str">
        <f t="shared" si="59"/>
        <v/>
      </c>
      <c r="FC12" s="14" t="str">
        <f t="shared" si="60"/>
        <v/>
      </c>
      <c r="FD12" s="35"/>
      <c r="FE12" s="35"/>
      <c r="FF12" s="35"/>
      <c r="FG12" s="35"/>
      <c r="FH12" s="35"/>
      <c r="FI12" s="35"/>
      <c r="FJ12" s="35"/>
      <c r="FK12" s="35"/>
      <c r="FL12" s="35"/>
      <c r="FM12" s="35"/>
      <c r="FN12" s="35"/>
      <c r="FO12" s="35"/>
      <c r="FP12" s="35"/>
      <c r="FQ12" s="35"/>
      <c r="FR12" s="35"/>
      <c r="FS12" s="11" t="str">
        <f t="shared" si="61"/>
        <v/>
      </c>
      <c r="FT12" s="11" t="str">
        <f t="shared" si="62"/>
        <v/>
      </c>
      <c r="FU12" s="11" t="str">
        <f t="shared" si="63"/>
        <v/>
      </c>
      <c r="FV12" s="11" t="str">
        <f t="shared" si="64"/>
        <v/>
      </c>
      <c r="FW12" s="11" t="str">
        <f t="shared" si="65"/>
        <v/>
      </c>
      <c r="FX12" s="11" t="str">
        <f t="shared" si="66"/>
        <v/>
      </c>
      <c r="FY12" s="11" t="str">
        <f t="shared" si="67"/>
        <v/>
      </c>
      <c r="FZ12" s="36"/>
      <c r="GA12" s="36"/>
      <c r="GB12" s="36"/>
      <c r="GC12" s="36"/>
      <c r="GD12" s="36"/>
      <c r="GE12" s="36"/>
      <c r="GF12" s="36"/>
      <c r="GG12" s="36"/>
      <c r="GH12" s="36"/>
      <c r="GI12" s="36"/>
      <c r="GJ12" s="36"/>
      <c r="GK12" s="36"/>
      <c r="GL12" s="36"/>
      <c r="GM12" s="36"/>
      <c r="GN12" s="36"/>
      <c r="GO12" s="14" t="str">
        <f t="shared" si="68"/>
        <v/>
      </c>
      <c r="GP12" s="14" t="str">
        <f t="shared" si="69"/>
        <v/>
      </c>
      <c r="GQ12" s="14" t="str">
        <f t="shared" si="70"/>
        <v/>
      </c>
      <c r="GR12" s="14" t="str">
        <f t="shared" si="71"/>
        <v/>
      </c>
      <c r="GS12" s="14" t="str">
        <f t="shared" si="72"/>
        <v/>
      </c>
      <c r="GT12" s="14" t="str">
        <f t="shared" si="73"/>
        <v/>
      </c>
      <c r="GU12" s="14" t="str">
        <f t="shared" si="74"/>
        <v/>
      </c>
      <c r="GV12" s="35"/>
      <c r="GW12" s="35"/>
      <c r="GX12" s="35"/>
      <c r="GY12" s="35"/>
      <c r="GZ12" s="35"/>
      <c r="HA12" s="35"/>
      <c r="HB12" s="35"/>
      <c r="HC12" s="35"/>
      <c r="HD12" s="35"/>
      <c r="HE12" s="35"/>
      <c r="HF12" s="35"/>
      <c r="HG12" s="35"/>
      <c r="HH12" s="35"/>
      <c r="HI12" s="35"/>
      <c r="HJ12" s="35"/>
      <c r="HK12" s="11" t="str">
        <f t="shared" si="75"/>
        <v/>
      </c>
      <c r="HL12" s="11" t="str">
        <f t="shared" si="76"/>
        <v/>
      </c>
      <c r="HM12" s="11" t="str">
        <f t="shared" si="77"/>
        <v/>
      </c>
      <c r="HN12" s="11" t="str">
        <f t="shared" si="78"/>
        <v/>
      </c>
      <c r="HO12" s="11" t="str">
        <f t="shared" si="79"/>
        <v/>
      </c>
      <c r="HP12" s="11" t="str">
        <f t="shared" si="80"/>
        <v/>
      </c>
      <c r="HQ12" s="11" t="str">
        <f t="shared" si="81"/>
        <v/>
      </c>
      <c r="HR12" s="36"/>
      <c r="HS12" s="36"/>
      <c r="HT12" s="36"/>
      <c r="HU12" s="36"/>
      <c r="HV12" s="36"/>
      <c r="HW12" s="36"/>
      <c r="HX12" s="36"/>
      <c r="HY12" s="36"/>
      <c r="HZ12" s="36"/>
      <c r="IA12" s="36"/>
      <c r="IB12" s="36"/>
      <c r="IC12" s="36"/>
      <c r="ID12" s="36"/>
      <c r="IE12" s="36"/>
      <c r="IF12" s="36"/>
      <c r="IG12" s="14" t="str">
        <f t="shared" si="82"/>
        <v/>
      </c>
      <c r="IH12" s="14" t="str">
        <f t="shared" si="83"/>
        <v/>
      </c>
      <c r="II12" s="14" t="str">
        <f t="shared" si="84"/>
        <v/>
      </c>
      <c r="IJ12" s="14" t="str">
        <f t="shared" si="85"/>
        <v/>
      </c>
      <c r="IK12" s="14" t="str">
        <f t="shared" si="86"/>
        <v/>
      </c>
      <c r="IL12" s="14" t="str">
        <f t="shared" si="87"/>
        <v/>
      </c>
      <c r="IM12" s="14" t="str">
        <f t="shared" si="88"/>
        <v/>
      </c>
      <c r="IN12" s="35"/>
      <c r="IO12" s="35"/>
      <c r="IP12" s="35"/>
      <c r="IQ12" s="35"/>
      <c r="IR12" s="35"/>
      <c r="IS12" s="35"/>
      <c r="IT12" s="35"/>
      <c r="IU12" s="35"/>
      <c r="IV12" s="35"/>
      <c r="IW12" s="35"/>
      <c r="IX12" s="35"/>
      <c r="IY12" s="35"/>
      <c r="IZ12" s="35"/>
      <c r="JA12" s="35"/>
      <c r="JB12" s="35"/>
      <c r="JC12" s="11" t="str">
        <f t="shared" si="89"/>
        <v/>
      </c>
      <c r="JD12" s="11" t="str">
        <f t="shared" si="90"/>
        <v/>
      </c>
      <c r="JE12" s="11" t="str">
        <f t="shared" si="91"/>
        <v/>
      </c>
      <c r="JF12" s="11" t="str">
        <f t="shared" si="92"/>
        <v/>
      </c>
      <c r="JG12" s="11" t="str">
        <f t="shared" si="93"/>
        <v/>
      </c>
      <c r="JH12" s="11" t="str">
        <f t="shared" si="94"/>
        <v/>
      </c>
      <c r="JI12" s="11" t="str">
        <f t="shared" si="95"/>
        <v/>
      </c>
      <c r="JJ12" s="36"/>
      <c r="JK12" s="36"/>
      <c r="JL12" s="36"/>
      <c r="JM12" s="36"/>
      <c r="JN12" s="36"/>
      <c r="JO12" s="36"/>
      <c r="JP12" s="36"/>
      <c r="JQ12" s="36"/>
      <c r="JR12" s="36"/>
      <c r="JS12" s="36"/>
      <c r="JT12" s="36"/>
      <c r="JU12" s="36"/>
      <c r="JV12" s="36"/>
      <c r="JW12" s="36"/>
      <c r="JX12" s="36"/>
      <c r="JY12" s="14" t="str">
        <f t="shared" si="96"/>
        <v/>
      </c>
      <c r="JZ12" s="14" t="str">
        <f t="shared" si="97"/>
        <v/>
      </c>
      <c r="KA12" s="14" t="str">
        <f t="shared" si="98"/>
        <v/>
      </c>
      <c r="KB12" s="14" t="str">
        <f t="shared" si="99"/>
        <v/>
      </c>
      <c r="KC12" s="14" t="str">
        <f t="shared" si="100"/>
        <v/>
      </c>
      <c r="KD12" s="14" t="str">
        <f t="shared" si="101"/>
        <v/>
      </c>
      <c r="KE12" s="14" t="str">
        <f t="shared" si="102"/>
        <v/>
      </c>
      <c r="KF12" s="35"/>
      <c r="KG12" s="35"/>
      <c r="KH12" s="35"/>
      <c r="KI12" s="35"/>
      <c r="KJ12" s="35"/>
      <c r="KK12" s="35"/>
      <c r="KL12" s="35"/>
      <c r="KM12" s="35"/>
      <c r="KN12" s="35"/>
      <c r="KO12" s="35"/>
      <c r="KP12" s="35"/>
      <c r="KQ12" s="35"/>
      <c r="KR12" s="35"/>
      <c r="KS12" s="35"/>
      <c r="KT12" s="35"/>
      <c r="KU12" s="11" t="str">
        <f t="shared" si="103"/>
        <v/>
      </c>
      <c r="KV12" s="11" t="str">
        <f t="shared" si="104"/>
        <v/>
      </c>
      <c r="KW12" s="11" t="str">
        <f t="shared" si="105"/>
        <v/>
      </c>
      <c r="KX12" s="11" t="str">
        <f t="shared" si="106"/>
        <v/>
      </c>
      <c r="KY12" s="11" t="str">
        <f t="shared" si="107"/>
        <v/>
      </c>
      <c r="KZ12" s="11" t="str">
        <f t="shared" si="108"/>
        <v/>
      </c>
      <c r="LA12" s="11" t="str">
        <f t="shared" si="109"/>
        <v/>
      </c>
      <c r="LB12" s="36"/>
      <c r="LC12" s="36"/>
      <c r="LD12" s="36"/>
      <c r="LE12" s="36"/>
      <c r="LF12" s="36"/>
      <c r="LG12" s="36"/>
      <c r="LH12" s="36"/>
      <c r="LI12" s="36"/>
      <c r="LJ12" s="36"/>
      <c r="LK12" s="36"/>
      <c r="LL12" s="36"/>
      <c r="LM12" s="36"/>
      <c r="LN12" s="36"/>
      <c r="LO12" s="36"/>
      <c r="LP12" s="36"/>
      <c r="LQ12" s="14" t="str">
        <f t="shared" si="110"/>
        <v/>
      </c>
      <c r="LR12" s="14" t="str">
        <f t="shared" si="111"/>
        <v/>
      </c>
      <c r="LS12" s="14" t="str">
        <f t="shared" si="112"/>
        <v/>
      </c>
      <c r="LT12" s="14" t="str">
        <f t="shared" si="113"/>
        <v/>
      </c>
      <c r="LU12" s="14" t="str">
        <f t="shared" si="114"/>
        <v/>
      </c>
      <c r="LV12" s="14" t="str">
        <f t="shared" si="115"/>
        <v/>
      </c>
      <c r="LW12" s="14" t="str">
        <f t="shared" si="116"/>
        <v/>
      </c>
      <c r="LX12" s="35"/>
      <c r="LY12" s="35"/>
      <c r="LZ12" s="35"/>
      <c r="MA12" s="35"/>
      <c r="MB12" s="35"/>
      <c r="MC12" s="35"/>
      <c r="MD12" s="35"/>
      <c r="ME12" s="35"/>
      <c r="MF12" s="35"/>
      <c r="MG12" s="35"/>
      <c r="MH12" s="35"/>
      <c r="MI12" s="35"/>
      <c r="MJ12" s="35"/>
      <c r="MK12" s="35"/>
      <c r="ML12" s="35"/>
      <c r="MM12" s="11" t="str">
        <f t="shared" si="117"/>
        <v/>
      </c>
      <c r="MN12" s="11" t="str">
        <f t="shared" si="118"/>
        <v/>
      </c>
      <c r="MO12" s="11" t="str">
        <f t="shared" si="119"/>
        <v/>
      </c>
      <c r="MP12" s="11" t="str">
        <f t="shared" si="120"/>
        <v/>
      </c>
      <c r="MQ12" s="11" t="str">
        <f t="shared" si="121"/>
        <v/>
      </c>
      <c r="MR12" s="11" t="str">
        <f t="shared" si="122"/>
        <v/>
      </c>
      <c r="MS12" s="11" t="str">
        <f t="shared" si="123"/>
        <v/>
      </c>
      <c r="MT12" s="36"/>
      <c r="MU12" s="36"/>
      <c r="MV12" s="36"/>
      <c r="MW12" s="36"/>
      <c r="MX12" s="36"/>
      <c r="MY12" s="36"/>
      <c r="MZ12" s="36"/>
      <c r="NA12" s="36"/>
      <c r="NB12" s="36"/>
      <c r="NC12" s="36"/>
      <c r="ND12" s="36"/>
      <c r="NE12" s="36"/>
      <c r="NF12" s="36"/>
      <c r="NG12" s="36"/>
      <c r="NH12" s="36"/>
      <c r="NI12" s="14" t="str">
        <f t="shared" si="124"/>
        <v/>
      </c>
      <c r="NJ12" s="14" t="str">
        <f t="shared" si="125"/>
        <v/>
      </c>
      <c r="NK12" s="14" t="str">
        <f t="shared" si="126"/>
        <v/>
      </c>
      <c r="NL12" s="14" t="str">
        <f t="shared" si="127"/>
        <v/>
      </c>
      <c r="NM12" s="14" t="str">
        <f t="shared" si="128"/>
        <v/>
      </c>
      <c r="NN12" s="14" t="str">
        <f t="shared" si="129"/>
        <v/>
      </c>
      <c r="NO12" s="14" t="str">
        <f t="shared" si="130"/>
        <v/>
      </c>
      <c r="NP12" s="61">
        <f t="shared" si="131"/>
        <v>7.35</v>
      </c>
      <c r="NQ12" s="61">
        <f t="shared" si="132"/>
        <v>4.8</v>
      </c>
      <c r="NR12" s="61">
        <f t="shared" si="133"/>
        <v>0.7</v>
      </c>
      <c r="NS12" s="61">
        <f t="shared" si="134"/>
        <v>6.7374999999999998</v>
      </c>
      <c r="NT12" s="61">
        <f t="shared" si="135"/>
        <v>0</v>
      </c>
      <c r="NU12" s="61">
        <f t="shared" si="136"/>
        <v>7</v>
      </c>
      <c r="NV12" s="61">
        <f t="shared" si="137"/>
        <v>4.5999999999999996</v>
      </c>
      <c r="NW12" s="61">
        <f t="shared" si="138"/>
        <v>4.8499999999999996</v>
      </c>
      <c r="NX12" s="61">
        <f t="shared" si="139"/>
        <v>6.53</v>
      </c>
      <c r="NY12" s="61">
        <f t="shared" si="140"/>
        <v>0</v>
      </c>
      <c r="NZ12" s="61">
        <f t="shared" si="141"/>
        <v>0</v>
      </c>
      <c r="OA12" s="61">
        <f t="shared" si="142"/>
        <v>0</v>
      </c>
      <c r="OB12" s="61">
        <f t="shared" si="143"/>
        <v>0</v>
      </c>
      <c r="OC12" s="61">
        <f t="shared" si="144"/>
        <v>0</v>
      </c>
      <c r="OD12" s="61">
        <f t="shared" si="145"/>
        <v>0</v>
      </c>
      <c r="OE12" s="61">
        <f t="shared" si="146"/>
        <v>6.15</v>
      </c>
      <c r="OF12" s="61">
        <f t="shared" si="147"/>
        <v>4.1500000000000004</v>
      </c>
      <c r="OG12" s="61">
        <f t="shared" si="148"/>
        <v>4.25</v>
      </c>
      <c r="OH12" s="61">
        <f t="shared" si="149"/>
        <v>5.7225000000000001</v>
      </c>
      <c r="OI12" s="61">
        <f t="shared" si="150"/>
        <v>0</v>
      </c>
      <c r="OJ12" s="72" t="s">
        <v>52</v>
      </c>
      <c r="OK12" s="11">
        <f t="shared" si="151"/>
        <v>19.587499999999999</v>
      </c>
      <c r="OL12" s="11">
        <f t="shared" si="152"/>
        <v>4.8499999999999996</v>
      </c>
      <c r="OM12" s="11">
        <f t="shared" si="153"/>
        <v>22.98</v>
      </c>
      <c r="ON12" s="11" t="str">
        <f t="shared" si="154"/>
        <v/>
      </c>
      <c r="OO12" s="11" t="str">
        <f t="shared" si="155"/>
        <v/>
      </c>
      <c r="OP12" s="11">
        <f t="shared" si="156"/>
        <v>42.567499999999995</v>
      </c>
      <c r="OQ12" s="11">
        <f t="shared" si="157"/>
        <v>4.25</v>
      </c>
      <c r="OR12" s="11">
        <f t="shared" ref="OR12" si="164">IF(SUM(OE12:OH12)-OI12&gt;0,SUM(OE12:OH12)-OI12,"")</f>
        <v>20.272500000000001</v>
      </c>
      <c r="OS12" s="11">
        <f t="shared" ref="OS12" si="165">IF(SUM(OP12,OR12)&gt;0,SUM(OP12,OR12),"")</f>
        <v>62.839999999999996</v>
      </c>
    </row>
    <row r="13" spans="1:409" x14ac:dyDescent="0.2">
      <c r="A13" s="5" t="str" cm="1">
        <f t="array" ref="A13">IF(AND(G13&lt;&gt;"",H13&lt;&gt;""),SUMPRODUCT((G$4:G$27&lt;&gt;"")*(H$4:H$27&lt;&gt;"")*(E$4:E$27&gt;E13))+1,IF(H13&lt;&gt;"",SUMPRODUCT((I$4:I$27="No DD")*(E$4:E$27&gt;E13))+1+SUMPRODUCT((G$4:G$27&lt;&gt;"")*(H$4:H$27&lt;&gt;"")),""))</f>
        <v/>
      </c>
      <c r="B13" s="8" t="s">
        <v>99</v>
      </c>
      <c r="C13" s="4" t="s">
        <v>4</v>
      </c>
      <c r="D13" s="26">
        <v>2004</v>
      </c>
      <c r="E13" s="15">
        <f t="shared" si="0"/>
        <v>91.88</v>
      </c>
      <c r="F13" s="3" t="str">
        <f t="shared" si="1"/>
        <v/>
      </c>
      <c r="G13" s="115" t="str">
        <f t="shared" si="2"/>
        <v/>
      </c>
      <c r="H13" s="115" t="str">
        <f t="shared" si="3"/>
        <v/>
      </c>
      <c r="I13" s="116" t="str">
        <f t="shared" si="4"/>
        <v/>
      </c>
      <c r="J13" s="3" t="str">
        <f t="shared" si="5"/>
        <v/>
      </c>
      <c r="K13" s="14">
        <f t="shared" si="6"/>
        <v>87.259999999999991</v>
      </c>
      <c r="L13" s="14" t="str">
        <f t="shared" si="7"/>
        <v>2021 2nd Virtual Technical Trial</v>
      </c>
      <c r="M13" s="14">
        <f t="shared" si="8"/>
        <v>41.774999999999999</v>
      </c>
      <c r="N13" s="14" t="str">
        <f t="shared" si="9"/>
        <v>2021 Elite Canada</v>
      </c>
      <c r="O13" s="14">
        <f t="shared" si="10"/>
        <v>46.98</v>
      </c>
      <c r="P13" s="14" t="str">
        <f t="shared" si="11"/>
        <v>2021 2nd Virtual Technical Trial</v>
      </c>
      <c r="Q13" s="14">
        <f>IF(COUNT(AS13,AU13,AX13,BW13,BY13,CB13,DA13,DC13,DF13)&gt;1,LARGE((AS13,AU13,AX13,BW13,BY13,CB13,DA13,DC13,DF13),2),0)</f>
        <v>44.9</v>
      </c>
      <c r="R13" s="14" t="str">
        <f t="shared" si="12"/>
        <v>2021 2nd Virtual Technical Trial</v>
      </c>
      <c r="S13" s="14" t="str">
        <f t="shared" si="13"/>
        <v/>
      </c>
      <c r="T13" s="24" t="str">
        <f t="shared" si="14"/>
        <v/>
      </c>
      <c r="U13" s="14" t="str">
        <f t="shared" si="15"/>
        <v/>
      </c>
      <c r="V13" s="61">
        <v>15.3</v>
      </c>
      <c r="W13" s="61">
        <v>9.75</v>
      </c>
      <c r="X13" s="61">
        <v>2</v>
      </c>
      <c r="Y13" s="61">
        <v>14.6</v>
      </c>
      <c r="Z13" s="61">
        <v>0</v>
      </c>
      <c r="AA13" s="61">
        <v>12.7</v>
      </c>
      <c r="AB13" s="61">
        <v>8.6</v>
      </c>
      <c r="AC13" s="61">
        <v>8.4</v>
      </c>
      <c r="AD13" s="61">
        <v>13.2</v>
      </c>
      <c r="AE13" s="61">
        <v>0</v>
      </c>
      <c r="AF13" s="61"/>
      <c r="AG13" s="61"/>
      <c r="AH13" s="61"/>
      <c r="AI13" s="61"/>
      <c r="AJ13" s="61"/>
      <c r="AK13" s="61">
        <v>11.1</v>
      </c>
      <c r="AL13" s="61">
        <v>7.6</v>
      </c>
      <c r="AM13" s="61">
        <v>7.8</v>
      </c>
      <c r="AN13" s="61">
        <v>11.6</v>
      </c>
      <c r="AO13" s="61">
        <v>0</v>
      </c>
      <c r="AP13" s="72"/>
      <c r="AQ13" s="11">
        <f t="shared" si="16"/>
        <v>41.65</v>
      </c>
      <c r="AR13" s="11">
        <f t="shared" si="17"/>
        <v>8.4</v>
      </c>
      <c r="AS13" s="11">
        <f t="shared" si="18"/>
        <v>42.899999999999991</v>
      </c>
      <c r="AT13" s="11" t="str">
        <f t="shared" si="19"/>
        <v/>
      </c>
      <c r="AU13" s="11" t="str">
        <f t="shared" si="20"/>
        <v/>
      </c>
      <c r="AV13" s="11">
        <f t="shared" si="21"/>
        <v>84.549999999999983</v>
      </c>
      <c r="AW13" s="11">
        <f t="shared" si="22"/>
        <v>7.8</v>
      </c>
      <c r="AX13" s="11">
        <f t="shared" si="23"/>
        <v>38.1</v>
      </c>
      <c r="AY13" s="11">
        <f t="shared" si="24"/>
        <v>122.64999999999998</v>
      </c>
      <c r="AZ13" s="67">
        <v>15.7</v>
      </c>
      <c r="BA13" s="67">
        <v>9.3000000000000007</v>
      </c>
      <c r="BB13" s="67">
        <v>2</v>
      </c>
      <c r="BC13" s="67">
        <v>15.36</v>
      </c>
      <c r="BD13" s="67">
        <v>0</v>
      </c>
      <c r="BE13" s="67">
        <v>12.6</v>
      </c>
      <c r="BF13" s="67">
        <v>8.9</v>
      </c>
      <c r="BG13" s="67">
        <v>8.6999999999999993</v>
      </c>
      <c r="BH13" s="67">
        <v>14.8</v>
      </c>
      <c r="BI13" s="67">
        <v>0.1</v>
      </c>
      <c r="BJ13" s="67"/>
      <c r="BK13" s="67"/>
      <c r="BL13" s="67"/>
      <c r="BM13" s="67"/>
      <c r="BN13" s="67"/>
      <c r="BO13" s="67">
        <v>14</v>
      </c>
      <c r="BP13" s="67">
        <v>8.6999999999999993</v>
      </c>
      <c r="BQ13" s="67">
        <v>9.6</v>
      </c>
      <c r="BR13" s="67">
        <v>14.68</v>
      </c>
      <c r="BS13" s="67">
        <v>0</v>
      </c>
      <c r="BT13" s="73"/>
      <c r="BU13" s="14">
        <f t="shared" si="25"/>
        <v>42.36</v>
      </c>
      <c r="BV13" s="14">
        <f t="shared" si="26"/>
        <v>8.6999999999999993</v>
      </c>
      <c r="BW13" s="14">
        <f t="shared" si="27"/>
        <v>44.9</v>
      </c>
      <c r="BX13" s="14" t="str">
        <f t="shared" si="28"/>
        <v/>
      </c>
      <c r="BY13" s="14" t="str">
        <f t="shared" si="29"/>
        <v/>
      </c>
      <c r="BZ13" s="14">
        <f t="shared" si="30"/>
        <v>87.259999999999991</v>
      </c>
      <c r="CA13" s="14">
        <f t="shared" si="31"/>
        <v>9.6</v>
      </c>
      <c r="CB13" s="14">
        <f t="shared" si="32"/>
        <v>46.98</v>
      </c>
      <c r="CC13" s="14">
        <f t="shared" si="33"/>
        <v>134.23999999999998</v>
      </c>
      <c r="CD13" s="61">
        <v>14.5</v>
      </c>
      <c r="CE13" s="61">
        <v>9.1999999999999993</v>
      </c>
      <c r="CF13" s="61">
        <v>2.9</v>
      </c>
      <c r="CG13" s="61">
        <v>15.175000000000001</v>
      </c>
      <c r="CH13" s="61">
        <v>0</v>
      </c>
      <c r="CI13" s="61">
        <v>7.4</v>
      </c>
      <c r="CJ13" s="61">
        <v>4.3</v>
      </c>
      <c r="CK13" s="61">
        <v>5.3</v>
      </c>
      <c r="CL13" s="61">
        <v>7.35</v>
      </c>
      <c r="CM13" s="61">
        <v>0</v>
      </c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72"/>
      <c r="CY13" s="11">
        <f t="shared" si="34"/>
        <v>41.774999999999999</v>
      </c>
      <c r="CZ13" s="11">
        <f t="shared" si="35"/>
        <v>5.3</v>
      </c>
      <c r="DA13" s="11">
        <f t="shared" si="36"/>
        <v>24.35</v>
      </c>
      <c r="DB13" s="11" t="str">
        <f t="shared" si="37"/>
        <v/>
      </c>
      <c r="DC13" s="11" t="str">
        <f t="shared" si="38"/>
        <v/>
      </c>
      <c r="DD13" s="11">
        <f t="shared" si="39"/>
        <v>66.125</v>
      </c>
      <c r="DE13" s="11" t="str">
        <f t="shared" si="40"/>
        <v/>
      </c>
      <c r="DF13" s="11" t="str">
        <f t="shared" si="41"/>
        <v/>
      </c>
      <c r="DG13" s="11">
        <f t="shared" si="42"/>
        <v>66.125</v>
      </c>
      <c r="DH13" s="23" t="str">
        <f t="shared" si="43"/>
        <v/>
      </c>
      <c r="DI13" s="23" t="str">
        <f t="shared" si="44"/>
        <v/>
      </c>
      <c r="DJ13" s="23" t="str">
        <f t="shared" si="45"/>
        <v/>
      </c>
      <c r="DK13" s="23" t="str">
        <f t="shared" si="46"/>
        <v/>
      </c>
      <c r="DL13" s="35"/>
      <c r="DM13" s="35"/>
      <c r="DN13" s="35"/>
      <c r="DO13" s="35"/>
      <c r="DP13" s="35"/>
      <c r="DQ13" s="35"/>
      <c r="DR13" s="35"/>
      <c r="DS13" s="35"/>
      <c r="DT13" s="35"/>
      <c r="DU13" s="35"/>
      <c r="DV13" s="35"/>
      <c r="DW13" s="35"/>
      <c r="DX13" s="35"/>
      <c r="DY13" s="35"/>
      <c r="DZ13" s="35"/>
      <c r="EA13" s="11" t="str">
        <f t="shared" si="47"/>
        <v/>
      </c>
      <c r="EB13" s="11" t="str">
        <f t="shared" si="48"/>
        <v/>
      </c>
      <c r="EC13" s="11" t="str">
        <f t="shared" si="49"/>
        <v/>
      </c>
      <c r="ED13" s="11" t="str">
        <f t="shared" si="50"/>
        <v/>
      </c>
      <c r="EE13" s="11" t="str">
        <f t="shared" si="51"/>
        <v/>
      </c>
      <c r="EF13" s="11" t="str">
        <f t="shared" si="52"/>
        <v/>
      </c>
      <c r="EG13" s="11" t="str">
        <f t="shared" si="53"/>
        <v/>
      </c>
      <c r="EH13" s="36"/>
      <c r="EI13" s="36"/>
      <c r="EJ13" s="36"/>
      <c r="EK13" s="36"/>
      <c r="EL13" s="36"/>
      <c r="EM13" s="36"/>
      <c r="EN13" s="36"/>
      <c r="EO13" s="36"/>
      <c r="EP13" s="36"/>
      <c r="EQ13" s="36"/>
      <c r="ER13" s="36"/>
      <c r="ES13" s="36"/>
      <c r="ET13" s="36"/>
      <c r="EU13" s="36"/>
      <c r="EV13" s="36"/>
      <c r="EW13" s="14" t="str">
        <f t="shared" si="54"/>
        <v/>
      </c>
      <c r="EX13" s="14" t="str">
        <f t="shared" si="55"/>
        <v/>
      </c>
      <c r="EY13" s="14" t="str">
        <f t="shared" si="56"/>
        <v/>
      </c>
      <c r="EZ13" s="14" t="str">
        <f t="shared" si="57"/>
        <v/>
      </c>
      <c r="FA13" s="14" t="str">
        <f t="shared" si="58"/>
        <v/>
      </c>
      <c r="FB13" s="14" t="str">
        <f t="shared" si="59"/>
        <v/>
      </c>
      <c r="FC13" s="14" t="str">
        <f t="shared" si="60"/>
        <v/>
      </c>
      <c r="FD13" s="35"/>
      <c r="FE13" s="35"/>
      <c r="FF13" s="35"/>
      <c r="FG13" s="35"/>
      <c r="FH13" s="35"/>
      <c r="FI13" s="35"/>
      <c r="FJ13" s="35"/>
      <c r="FK13" s="35"/>
      <c r="FL13" s="35"/>
      <c r="FM13" s="35"/>
      <c r="FN13" s="35"/>
      <c r="FO13" s="35"/>
      <c r="FP13" s="35"/>
      <c r="FQ13" s="35"/>
      <c r="FR13" s="35"/>
      <c r="FS13" s="11" t="str">
        <f t="shared" si="61"/>
        <v/>
      </c>
      <c r="FT13" s="11" t="str">
        <f t="shared" si="62"/>
        <v/>
      </c>
      <c r="FU13" s="11" t="str">
        <f t="shared" si="63"/>
        <v/>
      </c>
      <c r="FV13" s="11" t="str">
        <f t="shared" si="64"/>
        <v/>
      </c>
      <c r="FW13" s="11" t="str">
        <f t="shared" si="65"/>
        <v/>
      </c>
      <c r="FX13" s="11" t="str">
        <f t="shared" si="66"/>
        <v/>
      </c>
      <c r="FY13" s="11" t="str">
        <f t="shared" si="67"/>
        <v/>
      </c>
      <c r="FZ13" s="36"/>
      <c r="GA13" s="36"/>
      <c r="GB13" s="36"/>
      <c r="GC13" s="36"/>
      <c r="GD13" s="36"/>
      <c r="GE13" s="36"/>
      <c r="GF13" s="36"/>
      <c r="GG13" s="36"/>
      <c r="GH13" s="36"/>
      <c r="GI13" s="36"/>
      <c r="GJ13" s="36"/>
      <c r="GK13" s="36"/>
      <c r="GL13" s="36"/>
      <c r="GM13" s="36"/>
      <c r="GN13" s="36"/>
      <c r="GO13" s="14" t="str">
        <f t="shared" si="68"/>
        <v/>
      </c>
      <c r="GP13" s="14" t="str">
        <f t="shared" si="69"/>
        <v/>
      </c>
      <c r="GQ13" s="14" t="str">
        <f t="shared" si="70"/>
        <v/>
      </c>
      <c r="GR13" s="14" t="str">
        <f t="shared" si="71"/>
        <v/>
      </c>
      <c r="GS13" s="14" t="str">
        <f t="shared" si="72"/>
        <v/>
      </c>
      <c r="GT13" s="14" t="str">
        <f t="shared" si="73"/>
        <v/>
      </c>
      <c r="GU13" s="14" t="str">
        <f t="shared" si="74"/>
        <v/>
      </c>
      <c r="GV13" s="35"/>
      <c r="GW13" s="35"/>
      <c r="GX13" s="35"/>
      <c r="GY13" s="35"/>
      <c r="GZ13" s="35"/>
      <c r="HA13" s="35"/>
      <c r="HB13" s="35"/>
      <c r="HC13" s="35"/>
      <c r="HD13" s="35"/>
      <c r="HE13" s="35"/>
      <c r="HF13" s="35"/>
      <c r="HG13" s="35"/>
      <c r="HH13" s="35"/>
      <c r="HI13" s="35"/>
      <c r="HJ13" s="35"/>
      <c r="HK13" s="11" t="str">
        <f t="shared" si="75"/>
        <v/>
      </c>
      <c r="HL13" s="11" t="str">
        <f t="shared" si="76"/>
        <v/>
      </c>
      <c r="HM13" s="11" t="str">
        <f t="shared" si="77"/>
        <v/>
      </c>
      <c r="HN13" s="11" t="str">
        <f t="shared" si="78"/>
        <v/>
      </c>
      <c r="HO13" s="11" t="str">
        <f t="shared" si="79"/>
        <v/>
      </c>
      <c r="HP13" s="11" t="str">
        <f t="shared" si="80"/>
        <v/>
      </c>
      <c r="HQ13" s="11" t="str">
        <f t="shared" si="81"/>
        <v/>
      </c>
      <c r="HR13" s="36"/>
      <c r="HS13" s="36"/>
      <c r="HT13" s="36"/>
      <c r="HU13" s="36"/>
      <c r="HV13" s="36"/>
      <c r="HW13" s="36"/>
      <c r="HX13" s="36"/>
      <c r="HY13" s="36"/>
      <c r="HZ13" s="36"/>
      <c r="IA13" s="36"/>
      <c r="IB13" s="36"/>
      <c r="IC13" s="36"/>
      <c r="ID13" s="36"/>
      <c r="IE13" s="36"/>
      <c r="IF13" s="36"/>
      <c r="IG13" s="14" t="str">
        <f t="shared" si="82"/>
        <v/>
      </c>
      <c r="IH13" s="14" t="str">
        <f t="shared" si="83"/>
        <v/>
      </c>
      <c r="II13" s="14" t="str">
        <f t="shared" si="84"/>
        <v/>
      </c>
      <c r="IJ13" s="14" t="str">
        <f t="shared" si="85"/>
        <v/>
      </c>
      <c r="IK13" s="14" t="str">
        <f t="shared" si="86"/>
        <v/>
      </c>
      <c r="IL13" s="14" t="str">
        <f t="shared" si="87"/>
        <v/>
      </c>
      <c r="IM13" s="14" t="str">
        <f t="shared" si="88"/>
        <v/>
      </c>
      <c r="IN13" s="35"/>
      <c r="IO13" s="35"/>
      <c r="IP13" s="35"/>
      <c r="IQ13" s="35"/>
      <c r="IR13" s="35"/>
      <c r="IS13" s="35"/>
      <c r="IT13" s="35"/>
      <c r="IU13" s="35"/>
      <c r="IV13" s="35"/>
      <c r="IW13" s="35"/>
      <c r="IX13" s="35"/>
      <c r="IY13" s="35"/>
      <c r="IZ13" s="35"/>
      <c r="JA13" s="35"/>
      <c r="JB13" s="35"/>
      <c r="JC13" s="11" t="str">
        <f t="shared" si="89"/>
        <v/>
      </c>
      <c r="JD13" s="11" t="str">
        <f t="shared" si="90"/>
        <v/>
      </c>
      <c r="JE13" s="11" t="str">
        <f t="shared" si="91"/>
        <v/>
      </c>
      <c r="JF13" s="11" t="str">
        <f t="shared" si="92"/>
        <v/>
      </c>
      <c r="JG13" s="11" t="str">
        <f t="shared" si="93"/>
        <v/>
      </c>
      <c r="JH13" s="11" t="str">
        <f t="shared" si="94"/>
        <v/>
      </c>
      <c r="JI13" s="11" t="str">
        <f t="shared" si="95"/>
        <v/>
      </c>
      <c r="JJ13" s="36"/>
      <c r="JK13" s="36"/>
      <c r="JL13" s="36"/>
      <c r="JM13" s="36"/>
      <c r="JN13" s="36"/>
      <c r="JO13" s="36"/>
      <c r="JP13" s="36"/>
      <c r="JQ13" s="36"/>
      <c r="JR13" s="36"/>
      <c r="JS13" s="36"/>
      <c r="JT13" s="36"/>
      <c r="JU13" s="36"/>
      <c r="JV13" s="36"/>
      <c r="JW13" s="36"/>
      <c r="JX13" s="36"/>
      <c r="JY13" s="14" t="str">
        <f t="shared" si="96"/>
        <v/>
      </c>
      <c r="JZ13" s="14" t="str">
        <f t="shared" si="97"/>
        <v/>
      </c>
      <c r="KA13" s="14" t="str">
        <f t="shared" si="98"/>
        <v/>
      </c>
      <c r="KB13" s="14" t="str">
        <f t="shared" si="99"/>
        <v/>
      </c>
      <c r="KC13" s="14" t="str">
        <f t="shared" si="100"/>
        <v/>
      </c>
      <c r="KD13" s="14" t="str">
        <f t="shared" si="101"/>
        <v/>
      </c>
      <c r="KE13" s="14" t="str">
        <f t="shared" si="102"/>
        <v/>
      </c>
      <c r="KF13" s="35"/>
      <c r="KG13" s="35"/>
      <c r="KH13" s="35"/>
      <c r="KI13" s="35"/>
      <c r="KJ13" s="35"/>
      <c r="KK13" s="35"/>
      <c r="KL13" s="35"/>
      <c r="KM13" s="35"/>
      <c r="KN13" s="35"/>
      <c r="KO13" s="35"/>
      <c r="KP13" s="35"/>
      <c r="KQ13" s="35"/>
      <c r="KR13" s="35"/>
      <c r="KS13" s="35"/>
      <c r="KT13" s="35"/>
      <c r="KU13" s="11" t="str">
        <f t="shared" si="103"/>
        <v/>
      </c>
      <c r="KV13" s="11" t="str">
        <f t="shared" si="104"/>
        <v/>
      </c>
      <c r="KW13" s="11" t="str">
        <f t="shared" si="105"/>
        <v/>
      </c>
      <c r="KX13" s="11" t="str">
        <f t="shared" si="106"/>
        <v/>
      </c>
      <c r="KY13" s="11" t="str">
        <f t="shared" si="107"/>
        <v/>
      </c>
      <c r="KZ13" s="11" t="str">
        <f t="shared" si="108"/>
        <v/>
      </c>
      <c r="LA13" s="11" t="str">
        <f t="shared" si="109"/>
        <v/>
      </c>
      <c r="LB13" s="36"/>
      <c r="LC13" s="36"/>
      <c r="LD13" s="36"/>
      <c r="LE13" s="36"/>
      <c r="LF13" s="36"/>
      <c r="LG13" s="36"/>
      <c r="LH13" s="36"/>
      <c r="LI13" s="36"/>
      <c r="LJ13" s="36"/>
      <c r="LK13" s="36"/>
      <c r="LL13" s="36"/>
      <c r="LM13" s="36"/>
      <c r="LN13" s="36"/>
      <c r="LO13" s="36"/>
      <c r="LP13" s="36"/>
      <c r="LQ13" s="14" t="str">
        <f t="shared" si="110"/>
        <v/>
      </c>
      <c r="LR13" s="14" t="str">
        <f t="shared" si="111"/>
        <v/>
      </c>
      <c r="LS13" s="14" t="str">
        <f t="shared" si="112"/>
        <v/>
      </c>
      <c r="LT13" s="14" t="str">
        <f t="shared" si="113"/>
        <v/>
      </c>
      <c r="LU13" s="14" t="str">
        <f t="shared" si="114"/>
        <v/>
      </c>
      <c r="LV13" s="14" t="str">
        <f t="shared" si="115"/>
        <v/>
      </c>
      <c r="LW13" s="14" t="str">
        <f t="shared" si="116"/>
        <v/>
      </c>
      <c r="LX13" s="35"/>
      <c r="LY13" s="35"/>
      <c r="LZ13" s="35"/>
      <c r="MA13" s="35"/>
      <c r="MB13" s="35"/>
      <c r="MC13" s="35"/>
      <c r="MD13" s="35"/>
      <c r="ME13" s="35"/>
      <c r="MF13" s="35"/>
      <c r="MG13" s="35"/>
      <c r="MH13" s="35"/>
      <c r="MI13" s="35"/>
      <c r="MJ13" s="35"/>
      <c r="MK13" s="35"/>
      <c r="ML13" s="35"/>
      <c r="MM13" s="11" t="str">
        <f t="shared" si="117"/>
        <v/>
      </c>
      <c r="MN13" s="11" t="str">
        <f t="shared" si="118"/>
        <v/>
      </c>
      <c r="MO13" s="11" t="str">
        <f t="shared" si="119"/>
        <v/>
      </c>
      <c r="MP13" s="11" t="str">
        <f t="shared" si="120"/>
        <v/>
      </c>
      <c r="MQ13" s="11" t="str">
        <f t="shared" si="121"/>
        <v/>
      </c>
      <c r="MR13" s="11" t="str">
        <f t="shared" si="122"/>
        <v/>
      </c>
      <c r="MS13" s="11" t="str">
        <f t="shared" si="123"/>
        <v/>
      </c>
      <c r="MT13" s="36"/>
      <c r="MU13" s="36"/>
      <c r="MV13" s="36"/>
      <c r="MW13" s="36"/>
      <c r="MX13" s="36"/>
      <c r="MY13" s="36"/>
      <c r="MZ13" s="36"/>
      <c r="NA13" s="36"/>
      <c r="NB13" s="36"/>
      <c r="NC13" s="36"/>
      <c r="ND13" s="36"/>
      <c r="NE13" s="36"/>
      <c r="NF13" s="36"/>
      <c r="NG13" s="36"/>
      <c r="NH13" s="36"/>
      <c r="NI13" s="14" t="str">
        <f t="shared" si="124"/>
        <v/>
      </c>
      <c r="NJ13" s="14" t="str">
        <f t="shared" si="125"/>
        <v/>
      </c>
      <c r="NK13" s="14" t="str">
        <f t="shared" si="126"/>
        <v/>
      </c>
      <c r="NL13" s="14" t="str">
        <f t="shared" si="127"/>
        <v/>
      </c>
      <c r="NM13" s="14" t="str">
        <f t="shared" si="128"/>
        <v/>
      </c>
      <c r="NN13" s="14" t="str">
        <f t="shared" si="129"/>
        <v/>
      </c>
      <c r="NO13" s="14" t="str">
        <f t="shared" si="130"/>
        <v/>
      </c>
      <c r="NP13" s="61">
        <f t="shared" si="131"/>
        <v>15.1</v>
      </c>
      <c r="NQ13" s="61">
        <f t="shared" si="132"/>
        <v>9.25</v>
      </c>
      <c r="NR13" s="61">
        <f t="shared" si="133"/>
        <v>2.4500000000000002</v>
      </c>
      <c r="NS13" s="61">
        <f t="shared" si="134"/>
        <v>15.2675</v>
      </c>
      <c r="NT13" s="61">
        <f t="shared" si="135"/>
        <v>0</v>
      </c>
      <c r="NU13" s="61">
        <f t="shared" si="136"/>
        <v>10</v>
      </c>
      <c r="NV13" s="61">
        <f t="shared" si="137"/>
        <v>6.6</v>
      </c>
      <c r="NW13" s="61">
        <f t="shared" si="138"/>
        <v>7</v>
      </c>
      <c r="NX13" s="61">
        <f t="shared" si="139"/>
        <v>11.074999999999999</v>
      </c>
      <c r="NY13" s="61">
        <f t="shared" si="140"/>
        <v>0.05</v>
      </c>
      <c r="NZ13" s="61">
        <f t="shared" si="141"/>
        <v>0</v>
      </c>
      <c r="OA13" s="61">
        <f t="shared" si="142"/>
        <v>0</v>
      </c>
      <c r="OB13" s="61">
        <f t="shared" si="143"/>
        <v>0</v>
      </c>
      <c r="OC13" s="61">
        <f t="shared" si="144"/>
        <v>0</v>
      </c>
      <c r="OD13" s="61">
        <f t="shared" si="145"/>
        <v>0</v>
      </c>
      <c r="OE13" s="61">
        <f t="shared" si="146"/>
        <v>7</v>
      </c>
      <c r="OF13" s="61">
        <f t="shared" si="147"/>
        <v>4.3499999999999996</v>
      </c>
      <c r="OG13" s="61">
        <f t="shared" si="148"/>
        <v>4.8</v>
      </c>
      <c r="OH13" s="61">
        <f t="shared" si="149"/>
        <v>7.34</v>
      </c>
      <c r="OI13" s="61">
        <f t="shared" si="150"/>
        <v>0</v>
      </c>
      <c r="OJ13" s="72" t="s">
        <v>52</v>
      </c>
      <c r="OK13" s="11">
        <f t="shared" si="151"/>
        <v>42.067500000000003</v>
      </c>
      <c r="OL13" s="11">
        <f t="shared" si="152"/>
        <v>7</v>
      </c>
      <c r="OM13" s="11">
        <f t="shared" si="153"/>
        <v>34.625</v>
      </c>
      <c r="ON13" s="11" t="str">
        <f t="shared" si="154"/>
        <v/>
      </c>
      <c r="OO13" s="11" t="str">
        <f t="shared" si="155"/>
        <v/>
      </c>
      <c r="OP13" s="11">
        <f t="shared" si="156"/>
        <v>76.692499999999995</v>
      </c>
      <c r="OQ13" s="11">
        <f t="shared" si="157"/>
        <v>4.8</v>
      </c>
      <c r="OR13" s="11">
        <f t="shared" ref="OR13" si="166">IF(SUM(OE13:OH13)-OI13&gt;0,SUM(OE13:OH13)-OI13,"")</f>
        <v>23.49</v>
      </c>
      <c r="OS13" s="11">
        <f t="shared" ref="OS13" si="167">IF(SUM(OP13,OR13)&gt;0,SUM(OP13,OR13),"")</f>
        <v>100.18249999999999</v>
      </c>
    </row>
    <row r="14" spans="1:409" x14ac:dyDescent="0.2">
      <c r="A14" s="5" t="str" cm="1">
        <f t="array" ref="A14">IF(AND(G14&lt;&gt;"",H14&lt;&gt;""),SUMPRODUCT((G$4:G$27&lt;&gt;"")*(H$4:H$27&lt;&gt;"")*(E$4:E$27&gt;E14))+1,IF(H14&lt;&gt;"",SUMPRODUCT((I$4:I$27="No DD")*(E$4:E$27&gt;E14))+1+SUMPRODUCT((G$4:G$27&lt;&gt;"")*(H$4:H$27&lt;&gt;"")),""))</f>
        <v/>
      </c>
      <c r="B14" s="6" t="s">
        <v>82</v>
      </c>
      <c r="C14" s="7" t="s">
        <v>3</v>
      </c>
      <c r="D14" s="7">
        <v>2002</v>
      </c>
      <c r="E14" s="15">
        <f t="shared" si="0"/>
        <v>91.464999999999975</v>
      </c>
      <c r="F14" s="3" t="str">
        <f t="shared" si="1"/>
        <v/>
      </c>
      <c r="G14" s="115" t="str">
        <f t="shared" si="2"/>
        <v/>
      </c>
      <c r="H14" s="115" t="str">
        <f t="shared" si="3"/>
        <v/>
      </c>
      <c r="I14" s="116" t="str">
        <f t="shared" si="4"/>
        <v/>
      </c>
      <c r="J14" s="3" t="str">
        <f t="shared" si="5"/>
        <v/>
      </c>
      <c r="K14" s="14">
        <f t="shared" si="6"/>
        <v>88.94</v>
      </c>
      <c r="L14" s="14" t="str">
        <f t="shared" si="7"/>
        <v>2021 Elite Canada</v>
      </c>
      <c r="M14" s="14">
        <f t="shared" si="8"/>
        <v>41.974999999999994</v>
      </c>
      <c r="N14" s="14" t="str">
        <f t="shared" si="9"/>
        <v>2021 1st Virtual Technical Trial</v>
      </c>
      <c r="O14" s="14">
        <f t="shared" si="10"/>
        <v>46.389999999999993</v>
      </c>
      <c r="P14" s="14" t="str">
        <f t="shared" si="11"/>
        <v>2021 2nd Virtual Technical Trial</v>
      </c>
      <c r="Q14" s="14">
        <f>IF(COUNT(AS14,AU14,AX14,BW14,BY14,CB14,DA14,DC14,DF14)&gt;1,LARGE((AS14,AU14,AX14,BW14,BY14,CB14,DA14,DC14,DF14),2),0)</f>
        <v>45.074999999999989</v>
      </c>
      <c r="R14" s="14" t="str">
        <f t="shared" si="12"/>
        <v>2021 Elite Canada</v>
      </c>
      <c r="S14" s="14" t="str">
        <f t="shared" si="13"/>
        <v/>
      </c>
      <c r="T14" s="24" t="str">
        <f t="shared" si="14"/>
        <v/>
      </c>
      <c r="U14" s="14" t="str">
        <f t="shared" si="15"/>
        <v/>
      </c>
      <c r="V14" s="61">
        <v>15</v>
      </c>
      <c r="W14" s="61">
        <v>8.9499999999999993</v>
      </c>
      <c r="X14" s="61">
        <v>3.9</v>
      </c>
      <c r="Y14" s="61">
        <v>14.125</v>
      </c>
      <c r="Z14" s="61">
        <v>0</v>
      </c>
      <c r="AA14" s="61">
        <v>8.1</v>
      </c>
      <c r="AB14" s="61">
        <v>5.4</v>
      </c>
      <c r="AC14" s="61">
        <v>5.9</v>
      </c>
      <c r="AD14" s="61">
        <v>8.6349999999999998</v>
      </c>
      <c r="AE14" s="61">
        <v>0</v>
      </c>
      <c r="AF14" s="61">
        <v>9.8000000000000007</v>
      </c>
      <c r="AG14" s="61">
        <v>6.8</v>
      </c>
      <c r="AH14" s="61">
        <v>7.2</v>
      </c>
      <c r="AI14" s="61">
        <v>10.19</v>
      </c>
      <c r="AJ14" s="61">
        <v>0</v>
      </c>
      <c r="AK14" s="61">
        <v>3.3</v>
      </c>
      <c r="AL14" s="61">
        <v>2.5</v>
      </c>
      <c r="AM14" s="61">
        <v>2.6</v>
      </c>
      <c r="AN14" s="61">
        <v>4.335</v>
      </c>
      <c r="AO14" s="61">
        <v>0</v>
      </c>
      <c r="AP14" s="72"/>
      <c r="AQ14" s="11">
        <f t="shared" si="16"/>
        <v>41.974999999999994</v>
      </c>
      <c r="AR14" s="11">
        <f t="shared" si="17"/>
        <v>5.9</v>
      </c>
      <c r="AS14" s="11">
        <f t="shared" si="18"/>
        <v>28.034999999999997</v>
      </c>
      <c r="AT14" s="11">
        <f t="shared" si="19"/>
        <v>7.2</v>
      </c>
      <c r="AU14" s="11">
        <f t="shared" si="20"/>
        <v>33.99</v>
      </c>
      <c r="AV14" s="11">
        <f t="shared" si="21"/>
        <v>75.965000000000003</v>
      </c>
      <c r="AW14" s="11">
        <f t="shared" si="22"/>
        <v>2.6</v>
      </c>
      <c r="AX14" s="11">
        <f t="shared" si="23"/>
        <v>12.734999999999999</v>
      </c>
      <c r="AY14" s="11">
        <f t="shared" si="24"/>
        <v>88.7</v>
      </c>
      <c r="AZ14" s="67">
        <v>2.9</v>
      </c>
      <c r="BA14" s="67">
        <v>1.6</v>
      </c>
      <c r="BB14" s="67">
        <v>1.5</v>
      </c>
      <c r="BC14" s="67">
        <v>2.85</v>
      </c>
      <c r="BD14" s="67">
        <v>0</v>
      </c>
      <c r="BE14" s="67">
        <v>11.8</v>
      </c>
      <c r="BF14" s="67">
        <v>7.9</v>
      </c>
      <c r="BG14" s="67">
        <v>9.1</v>
      </c>
      <c r="BH14" s="67">
        <v>12.605</v>
      </c>
      <c r="BI14" s="67">
        <v>0</v>
      </c>
      <c r="BJ14" s="67">
        <v>13.7</v>
      </c>
      <c r="BK14" s="67">
        <v>9.1</v>
      </c>
      <c r="BL14" s="67">
        <v>10.5</v>
      </c>
      <c r="BM14" s="67">
        <v>13.79</v>
      </c>
      <c r="BN14" s="67">
        <v>0.7</v>
      </c>
      <c r="BO14" s="67">
        <v>13.4</v>
      </c>
      <c r="BP14" s="67">
        <v>8.8000000000000007</v>
      </c>
      <c r="BQ14" s="67">
        <v>9.8000000000000007</v>
      </c>
      <c r="BR14" s="67">
        <v>13.975</v>
      </c>
      <c r="BS14" s="67">
        <v>1.4</v>
      </c>
      <c r="BT14" s="73"/>
      <c r="BU14" s="14">
        <f t="shared" si="25"/>
        <v>8.85</v>
      </c>
      <c r="BV14" s="14">
        <f t="shared" si="26"/>
        <v>9.1</v>
      </c>
      <c r="BW14" s="14">
        <f t="shared" si="27"/>
        <v>41.405000000000001</v>
      </c>
      <c r="BX14" s="14">
        <f t="shared" si="28"/>
        <v>10.5</v>
      </c>
      <c r="BY14" s="14">
        <f t="shared" si="29"/>
        <v>46.389999999999993</v>
      </c>
      <c r="BZ14" s="14">
        <f t="shared" si="30"/>
        <v>55.239999999999995</v>
      </c>
      <c r="CA14" s="14">
        <f t="shared" si="31"/>
        <v>9.8000000000000007</v>
      </c>
      <c r="CB14" s="14">
        <f t="shared" si="32"/>
        <v>44.575000000000003</v>
      </c>
      <c r="CC14" s="14">
        <f t="shared" si="33"/>
        <v>99.814999999999998</v>
      </c>
      <c r="CD14" s="61">
        <v>16</v>
      </c>
      <c r="CE14" s="61">
        <v>9.4</v>
      </c>
      <c r="CF14" s="61">
        <v>4</v>
      </c>
      <c r="CG14" s="61">
        <v>14.795</v>
      </c>
      <c r="CH14" s="61">
        <v>0.2</v>
      </c>
      <c r="CI14" s="61">
        <v>15.2</v>
      </c>
      <c r="CJ14" s="61">
        <v>9.3000000000000007</v>
      </c>
      <c r="CK14" s="61">
        <v>8.6</v>
      </c>
      <c r="CL14" s="61">
        <v>14.645</v>
      </c>
      <c r="CM14" s="61">
        <v>2.8</v>
      </c>
      <c r="CN14" s="61">
        <v>0</v>
      </c>
      <c r="CO14" s="61">
        <v>0</v>
      </c>
      <c r="CP14" s="61">
        <v>0</v>
      </c>
      <c r="CQ14" s="61">
        <v>0</v>
      </c>
      <c r="CR14" s="61">
        <v>0</v>
      </c>
      <c r="CS14" s="61">
        <v>14.8</v>
      </c>
      <c r="CT14" s="61">
        <v>9.1</v>
      </c>
      <c r="CU14" s="61">
        <v>9.1999999999999993</v>
      </c>
      <c r="CV14" s="61">
        <v>14.175000000000001</v>
      </c>
      <c r="CW14" s="61">
        <v>2.2000000000000002</v>
      </c>
      <c r="CX14" s="72"/>
      <c r="CY14" s="11">
        <f t="shared" si="34"/>
        <v>43.994999999999997</v>
      </c>
      <c r="CZ14" s="11">
        <f t="shared" si="35"/>
        <v>8.6</v>
      </c>
      <c r="DA14" s="11">
        <f t="shared" si="36"/>
        <v>44.945000000000007</v>
      </c>
      <c r="DB14" s="11" t="str">
        <f t="shared" si="37"/>
        <v/>
      </c>
      <c r="DC14" s="11" t="str">
        <f t="shared" si="38"/>
        <v/>
      </c>
      <c r="DD14" s="11">
        <f t="shared" si="39"/>
        <v>88.94</v>
      </c>
      <c r="DE14" s="11">
        <f t="shared" si="40"/>
        <v>9.1999999999999993</v>
      </c>
      <c r="DF14" s="11">
        <f t="shared" si="41"/>
        <v>45.074999999999989</v>
      </c>
      <c r="DG14" s="11">
        <f t="shared" si="42"/>
        <v>134.01499999999999</v>
      </c>
      <c r="DH14" s="23" t="str">
        <f t="shared" si="43"/>
        <v/>
      </c>
      <c r="DI14" s="23" t="str">
        <f t="shared" si="44"/>
        <v/>
      </c>
      <c r="DJ14" s="23" t="str">
        <f t="shared" si="45"/>
        <v/>
      </c>
      <c r="DK14" s="23" t="str">
        <f t="shared" si="46"/>
        <v/>
      </c>
      <c r="DL14" s="35"/>
      <c r="DM14" s="35"/>
      <c r="DN14" s="35"/>
      <c r="DO14" s="35"/>
      <c r="DP14" s="35"/>
      <c r="DQ14" s="35"/>
      <c r="DR14" s="35"/>
      <c r="DS14" s="35"/>
      <c r="DT14" s="35"/>
      <c r="DU14" s="35"/>
      <c r="DV14" s="35"/>
      <c r="DW14" s="35"/>
      <c r="DX14" s="35"/>
      <c r="DY14" s="35"/>
      <c r="DZ14" s="35"/>
      <c r="EA14" s="11" t="str">
        <f t="shared" si="47"/>
        <v/>
      </c>
      <c r="EB14" s="11" t="str">
        <f t="shared" si="48"/>
        <v/>
      </c>
      <c r="EC14" s="11" t="str">
        <f t="shared" si="49"/>
        <v/>
      </c>
      <c r="ED14" s="11" t="str">
        <f t="shared" si="50"/>
        <v/>
      </c>
      <c r="EE14" s="11" t="str">
        <f t="shared" si="51"/>
        <v/>
      </c>
      <c r="EF14" s="11" t="str">
        <f t="shared" si="52"/>
        <v/>
      </c>
      <c r="EG14" s="11" t="str">
        <f t="shared" si="53"/>
        <v/>
      </c>
      <c r="EH14" s="36"/>
      <c r="EI14" s="36"/>
      <c r="EJ14" s="36"/>
      <c r="EK14" s="36"/>
      <c r="EL14" s="36"/>
      <c r="EM14" s="36"/>
      <c r="EN14" s="36"/>
      <c r="EO14" s="36"/>
      <c r="EP14" s="36"/>
      <c r="EQ14" s="36"/>
      <c r="ER14" s="36"/>
      <c r="ES14" s="36"/>
      <c r="ET14" s="36"/>
      <c r="EU14" s="36"/>
      <c r="EV14" s="36"/>
      <c r="EW14" s="14" t="str">
        <f t="shared" si="54"/>
        <v/>
      </c>
      <c r="EX14" s="14" t="str">
        <f t="shared" si="55"/>
        <v/>
      </c>
      <c r="EY14" s="14" t="str">
        <f t="shared" si="56"/>
        <v/>
      </c>
      <c r="EZ14" s="14" t="str">
        <f t="shared" si="57"/>
        <v/>
      </c>
      <c r="FA14" s="14" t="str">
        <f t="shared" si="58"/>
        <v/>
      </c>
      <c r="FB14" s="14" t="str">
        <f t="shared" si="59"/>
        <v/>
      </c>
      <c r="FC14" s="14" t="str">
        <f t="shared" si="60"/>
        <v/>
      </c>
      <c r="FD14" s="35"/>
      <c r="FE14" s="35"/>
      <c r="FF14" s="35"/>
      <c r="FG14" s="35"/>
      <c r="FH14" s="35"/>
      <c r="FI14" s="35"/>
      <c r="FJ14" s="35"/>
      <c r="FK14" s="35"/>
      <c r="FL14" s="35"/>
      <c r="FM14" s="35"/>
      <c r="FN14" s="35"/>
      <c r="FO14" s="35"/>
      <c r="FP14" s="35"/>
      <c r="FQ14" s="35"/>
      <c r="FR14" s="35"/>
      <c r="FS14" s="11" t="str">
        <f t="shared" si="61"/>
        <v/>
      </c>
      <c r="FT14" s="11" t="str">
        <f t="shared" si="62"/>
        <v/>
      </c>
      <c r="FU14" s="11" t="str">
        <f t="shared" si="63"/>
        <v/>
      </c>
      <c r="FV14" s="11" t="str">
        <f t="shared" si="64"/>
        <v/>
      </c>
      <c r="FW14" s="11" t="str">
        <f t="shared" si="65"/>
        <v/>
      </c>
      <c r="FX14" s="11" t="str">
        <f t="shared" si="66"/>
        <v/>
      </c>
      <c r="FY14" s="11" t="str">
        <f t="shared" si="67"/>
        <v/>
      </c>
      <c r="FZ14" s="36"/>
      <c r="GA14" s="36"/>
      <c r="GB14" s="36"/>
      <c r="GC14" s="36"/>
      <c r="GD14" s="36"/>
      <c r="GE14" s="36"/>
      <c r="GF14" s="36"/>
      <c r="GG14" s="36"/>
      <c r="GH14" s="36"/>
      <c r="GI14" s="36"/>
      <c r="GJ14" s="36"/>
      <c r="GK14" s="36"/>
      <c r="GL14" s="36"/>
      <c r="GM14" s="36"/>
      <c r="GN14" s="36"/>
      <c r="GO14" s="14" t="str">
        <f t="shared" si="68"/>
        <v/>
      </c>
      <c r="GP14" s="14" t="str">
        <f t="shared" si="69"/>
        <v/>
      </c>
      <c r="GQ14" s="14" t="str">
        <f t="shared" si="70"/>
        <v/>
      </c>
      <c r="GR14" s="14" t="str">
        <f t="shared" si="71"/>
        <v/>
      </c>
      <c r="GS14" s="14" t="str">
        <f t="shared" si="72"/>
        <v/>
      </c>
      <c r="GT14" s="14" t="str">
        <f t="shared" si="73"/>
        <v/>
      </c>
      <c r="GU14" s="14" t="str">
        <f t="shared" si="74"/>
        <v/>
      </c>
      <c r="GV14" s="35"/>
      <c r="GW14" s="35"/>
      <c r="GX14" s="35"/>
      <c r="GY14" s="35"/>
      <c r="GZ14" s="35"/>
      <c r="HA14" s="35"/>
      <c r="HB14" s="35"/>
      <c r="HC14" s="35"/>
      <c r="HD14" s="35"/>
      <c r="HE14" s="35"/>
      <c r="HF14" s="35"/>
      <c r="HG14" s="35"/>
      <c r="HH14" s="35"/>
      <c r="HI14" s="35"/>
      <c r="HJ14" s="35"/>
      <c r="HK14" s="11" t="str">
        <f t="shared" si="75"/>
        <v/>
      </c>
      <c r="HL14" s="11" t="str">
        <f t="shared" si="76"/>
        <v/>
      </c>
      <c r="HM14" s="11" t="str">
        <f t="shared" si="77"/>
        <v/>
      </c>
      <c r="HN14" s="11" t="str">
        <f t="shared" si="78"/>
        <v/>
      </c>
      <c r="HO14" s="11" t="str">
        <f t="shared" si="79"/>
        <v/>
      </c>
      <c r="HP14" s="11" t="str">
        <f t="shared" si="80"/>
        <v/>
      </c>
      <c r="HQ14" s="11" t="str">
        <f t="shared" si="81"/>
        <v/>
      </c>
      <c r="HR14" s="36"/>
      <c r="HS14" s="36"/>
      <c r="HT14" s="36"/>
      <c r="HU14" s="36"/>
      <c r="HV14" s="36"/>
      <c r="HW14" s="36"/>
      <c r="HX14" s="36"/>
      <c r="HY14" s="36"/>
      <c r="HZ14" s="36"/>
      <c r="IA14" s="36"/>
      <c r="IB14" s="36"/>
      <c r="IC14" s="36"/>
      <c r="ID14" s="36"/>
      <c r="IE14" s="36"/>
      <c r="IF14" s="36"/>
      <c r="IG14" s="14" t="str">
        <f t="shared" si="82"/>
        <v/>
      </c>
      <c r="IH14" s="14" t="str">
        <f t="shared" si="83"/>
        <v/>
      </c>
      <c r="II14" s="14" t="str">
        <f t="shared" si="84"/>
        <v/>
      </c>
      <c r="IJ14" s="14" t="str">
        <f t="shared" si="85"/>
        <v/>
      </c>
      <c r="IK14" s="14" t="str">
        <f t="shared" si="86"/>
        <v/>
      </c>
      <c r="IL14" s="14" t="str">
        <f t="shared" si="87"/>
        <v/>
      </c>
      <c r="IM14" s="14" t="str">
        <f t="shared" si="88"/>
        <v/>
      </c>
      <c r="IN14" s="35"/>
      <c r="IO14" s="35"/>
      <c r="IP14" s="35"/>
      <c r="IQ14" s="35"/>
      <c r="IR14" s="35"/>
      <c r="IS14" s="35"/>
      <c r="IT14" s="35"/>
      <c r="IU14" s="35"/>
      <c r="IV14" s="35"/>
      <c r="IW14" s="35"/>
      <c r="IX14" s="35"/>
      <c r="IY14" s="35"/>
      <c r="IZ14" s="35"/>
      <c r="JA14" s="35"/>
      <c r="JB14" s="35"/>
      <c r="JC14" s="11" t="str">
        <f t="shared" si="89"/>
        <v/>
      </c>
      <c r="JD14" s="11" t="str">
        <f t="shared" si="90"/>
        <v/>
      </c>
      <c r="JE14" s="11" t="str">
        <f t="shared" si="91"/>
        <v/>
      </c>
      <c r="JF14" s="11" t="str">
        <f t="shared" si="92"/>
        <v/>
      </c>
      <c r="JG14" s="11" t="str">
        <f t="shared" si="93"/>
        <v/>
      </c>
      <c r="JH14" s="11" t="str">
        <f t="shared" si="94"/>
        <v/>
      </c>
      <c r="JI14" s="11" t="str">
        <f t="shared" si="95"/>
        <v/>
      </c>
      <c r="JJ14" s="36"/>
      <c r="JK14" s="36"/>
      <c r="JL14" s="36"/>
      <c r="JM14" s="36"/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14" t="str">
        <f t="shared" si="96"/>
        <v/>
      </c>
      <c r="JZ14" s="14" t="str">
        <f t="shared" si="97"/>
        <v/>
      </c>
      <c r="KA14" s="14" t="str">
        <f t="shared" si="98"/>
        <v/>
      </c>
      <c r="KB14" s="14" t="str">
        <f t="shared" si="99"/>
        <v/>
      </c>
      <c r="KC14" s="14" t="str">
        <f t="shared" si="100"/>
        <v/>
      </c>
      <c r="KD14" s="14" t="str">
        <f t="shared" si="101"/>
        <v/>
      </c>
      <c r="KE14" s="14" t="str">
        <f t="shared" si="102"/>
        <v/>
      </c>
      <c r="KF14" s="35"/>
      <c r="KG14" s="35"/>
      <c r="KH14" s="35"/>
      <c r="KI14" s="35"/>
      <c r="KJ14" s="35"/>
      <c r="KK14" s="35"/>
      <c r="KL14" s="35"/>
      <c r="KM14" s="35"/>
      <c r="KN14" s="35"/>
      <c r="KO14" s="35"/>
      <c r="KP14" s="35"/>
      <c r="KQ14" s="35"/>
      <c r="KR14" s="35"/>
      <c r="KS14" s="35"/>
      <c r="KT14" s="35"/>
      <c r="KU14" s="11" t="str">
        <f t="shared" si="103"/>
        <v/>
      </c>
      <c r="KV14" s="11" t="str">
        <f t="shared" si="104"/>
        <v/>
      </c>
      <c r="KW14" s="11" t="str">
        <f t="shared" si="105"/>
        <v/>
      </c>
      <c r="KX14" s="11" t="str">
        <f t="shared" si="106"/>
        <v/>
      </c>
      <c r="KY14" s="11" t="str">
        <f t="shared" si="107"/>
        <v/>
      </c>
      <c r="KZ14" s="11" t="str">
        <f t="shared" si="108"/>
        <v/>
      </c>
      <c r="LA14" s="11" t="str">
        <f t="shared" si="109"/>
        <v/>
      </c>
      <c r="LB14" s="36"/>
      <c r="LC14" s="36"/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14" t="str">
        <f t="shared" si="110"/>
        <v/>
      </c>
      <c r="LR14" s="14" t="str">
        <f t="shared" si="111"/>
        <v/>
      </c>
      <c r="LS14" s="14" t="str">
        <f t="shared" si="112"/>
        <v/>
      </c>
      <c r="LT14" s="14" t="str">
        <f t="shared" si="113"/>
        <v/>
      </c>
      <c r="LU14" s="14" t="str">
        <f t="shared" si="114"/>
        <v/>
      </c>
      <c r="LV14" s="14" t="str">
        <f t="shared" si="115"/>
        <v/>
      </c>
      <c r="LW14" s="14" t="str">
        <f t="shared" si="116"/>
        <v/>
      </c>
      <c r="LX14" s="35"/>
      <c r="LY14" s="35"/>
      <c r="LZ14" s="35"/>
      <c r="MA14" s="35"/>
      <c r="MB14" s="35"/>
      <c r="MC14" s="35"/>
      <c r="MD14" s="35"/>
      <c r="ME14" s="35"/>
      <c r="MF14" s="35"/>
      <c r="MG14" s="35"/>
      <c r="MH14" s="35"/>
      <c r="MI14" s="35"/>
      <c r="MJ14" s="35"/>
      <c r="MK14" s="35"/>
      <c r="ML14" s="35"/>
      <c r="MM14" s="11" t="str">
        <f t="shared" si="117"/>
        <v/>
      </c>
      <c r="MN14" s="11" t="str">
        <f t="shared" si="118"/>
        <v/>
      </c>
      <c r="MO14" s="11" t="str">
        <f t="shared" si="119"/>
        <v/>
      </c>
      <c r="MP14" s="11" t="str">
        <f t="shared" si="120"/>
        <v/>
      </c>
      <c r="MQ14" s="11" t="str">
        <f t="shared" si="121"/>
        <v/>
      </c>
      <c r="MR14" s="11" t="str">
        <f t="shared" si="122"/>
        <v/>
      </c>
      <c r="MS14" s="11" t="str">
        <f t="shared" si="123"/>
        <v/>
      </c>
      <c r="MT14" s="36"/>
      <c r="MU14" s="36"/>
      <c r="MV14" s="36"/>
      <c r="MW14" s="36"/>
      <c r="MX14" s="36"/>
      <c r="MY14" s="36"/>
      <c r="MZ14" s="36"/>
      <c r="NA14" s="36"/>
      <c r="NB14" s="36"/>
      <c r="NC14" s="36"/>
      <c r="ND14" s="36"/>
      <c r="NE14" s="36"/>
      <c r="NF14" s="36"/>
      <c r="NG14" s="36"/>
      <c r="NH14" s="36"/>
      <c r="NI14" s="14" t="str">
        <f t="shared" si="124"/>
        <v/>
      </c>
      <c r="NJ14" s="14" t="str">
        <f t="shared" si="125"/>
        <v/>
      </c>
      <c r="NK14" s="14" t="str">
        <f t="shared" si="126"/>
        <v/>
      </c>
      <c r="NL14" s="14" t="str">
        <f t="shared" si="127"/>
        <v/>
      </c>
      <c r="NM14" s="14" t="str">
        <f t="shared" si="128"/>
        <v/>
      </c>
      <c r="NN14" s="14" t="str">
        <f t="shared" si="129"/>
        <v/>
      </c>
      <c r="NO14" s="14" t="str">
        <f t="shared" si="130"/>
        <v/>
      </c>
      <c r="NP14" s="61">
        <f t="shared" si="131"/>
        <v>9.4499999999999993</v>
      </c>
      <c r="NQ14" s="61">
        <f t="shared" si="132"/>
        <v>5.5</v>
      </c>
      <c r="NR14" s="61">
        <f t="shared" si="133"/>
        <v>2.75</v>
      </c>
      <c r="NS14" s="61">
        <f t="shared" si="134"/>
        <v>8.8224999999999998</v>
      </c>
      <c r="NT14" s="61">
        <f t="shared" si="135"/>
        <v>0.1</v>
      </c>
      <c r="NU14" s="61">
        <f t="shared" si="136"/>
        <v>13.5</v>
      </c>
      <c r="NV14" s="61">
        <f t="shared" si="137"/>
        <v>8.6000000000000014</v>
      </c>
      <c r="NW14" s="61">
        <f t="shared" si="138"/>
        <v>8.85</v>
      </c>
      <c r="NX14" s="61">
        <f t="shared" si="139"/>
        <v>13.625</v>
      </c>
      <c r="NY14" s="61">
        <f t="shared" si="140"/>
        <v>1.4</v>
      </c>
      <c r="NZ14" s="61">
        <f t="shared" si="141"/>
        <v>6.85</v>
      </c>
      <c r="OA14" s="61">
        <f t="shared" si="142"/>
        <v>4.55</v>
      </c>
      <c r="OB14" s="61">
        <f t="shared" si="143"/>
        <v>5.25</v>
      </c>
      <c r="OC14" s="61">
        <f t="shared" si="144"/>
        <v>6.8949999999999996</v>
      </c>
      <c r="OD14" s="61">
        <f t="shared" si="145"/>
        <v>0.35</v>
      </c>
      <c r="OE14" s="61">
        <f t="shared" si="146"/>
        <v>14.100000000000001</v>
      </c>
      <c r="OF14" s="61">
        <f t="shared" si="147"/>
        <v>8.9499999999999993</v>
      </c>
      <c r="OG14" s="61">
        <f t="shared" si="148"/>
        <v>9.5</v>
      </c>
      <c r="OH14" s="61">
        <f t="shared" si="149"/>
        <v>14.074999999999999</v>
      </c>
      <c r="OI14" s="61">
        <f t="shared" si="150"/>
        <v>1.8</v>
      </c>
      <c r="OJ14" s="72" t="s">
        <v>52</v>
      </c>
      <c r="OK14" s="11">
        <f t="shared" si="151"/>
        <v>26.422499999999999</v>
      </c>
      <c r="OL14" s="11">
        <f t="shared" si="152"/>
        <v>8.85</v>
      </c>
      <c r="OM14" s="11">
        <f t="shared" si="153"/>
        <v>43.175000000000004</v>
      </c>
      <c r="ON14" s="11">
        <f t="shared" si="154"/>
        <v>5.25</v>
      </c>
      <c r="OO14" s="11">
        <f t="shared" si="155"/>
        <v>23.194999999999997</v>
      </c>
      <c r="OP14" s="11">
        <f t="shared" si="156"/>
        <v>69.597499999999997</v>
      </c>
      <c r="OQ14" s="11">
        <f t="shared" si="157"/>
        <v>9.5</v>
      </c>
      <c r="OR14" s="11">
        <f t="shared" ref="OR14" si="168">IF(SUM(OE14:OH14)-OI14&gt;0,SUM(OE14:OH14)-OI14,"")</f>
        <v>44.825000000000003</v>
      </c>
      <c r="OS14" s="11">
        <f t="shared" ref="OS14" si="169">IF(SUM(OP14,OR14)&gt;0,SUM(OP14,OR14),"")</f>
        <v>114.4225</v>
      </c>
    </row>
    <row r="15" spans="1:409" x14ac:dyDescent="0.2">
      <c r="A15" s="5" t="str" cm="1">
        <f t="array" ref="A15">IF(AND(G15&lt;&gt;"",H15&lt;&gt;""),SUMPRODUCT((G$4:G$27&lt;&gt;"")*(H$4:H$27&lt;&gt;"")*(E$4:E$27&gt;E15))+1,IF(H15&lt;&gt;"",SUMPRODUCT((I$4:I$27="No DD")*(E$4:E$27&gt;E15))+1+SUMPRODUCT((G$4:G$27&lt;&gt;"")*(H$4:H$27&lt;&gt;"")),""))</f>
        <v/>
      </c>
      <c r="B15" s="8" t="s">
        <v>102</v>
      </c>
      <c r="C15" s="4" t="s">
        <v>5</v>
      </c>
      <c r="D15" s="26">
        <v>2004</v>
      </c>
      <c r="E15" s="15">
        <f t="shared" si="0"/>
        <v>91.449999999999989</v>
      </c>
      <c r="F15" s="3" t="str">
        <f t="shared" si="1"/>
        <v/>
      </c>
      <c r="G15" s="115" t="str">
        <f t="shared" si="2"/>
        <v/>
      </c>
      <c r="H15" s="115" t="str">
        <f t="shared" si="3"/>
        <v/>
      </c>
      <c r="I15" s="116" t="str">
        <f t="shared" si="4"/>
        <v/>
      </c>
      <c r="J15" s="3" t="str">
        <f t="shared" si="5"/>
        <v/>
      </c>
      <c r="K15" s="14">
        <f t="shared" si="6"/>
        <v>84.449999999999989</v>
      </c>
      <c r="L15" s="14" t="str">
        <f t="shared" si="7"/>
        <v>2021 1st Virtual Technical Trial</v>
      </c>
      <c r="M15" s="14">
        <f t="shared" si="8"/>
        <v>0</v>
      </c>
      <c r="N15" s="14" t="str">
        <f t="shared" si="9"/>
        <v/>
      </c>
      <c r="O15" s="14">
        <f t="shared" si="10"/>
        <v>47.01</v>
      </c>
      <c r="P15" s="14" t="str">
        <f t="shared" si="11"/>
        <v>2021 1st Virtual Technical Trial</v>
      </c>
      <c r="Q15" s="14">
        <f>IF(COUNT(AS15,AU15,AX15,BW15,BY15,CB15,DA15,DC15,DF15)&gt;1,LARGE((AS15,AU15,AX15,BW15,BY15,CB15,DA15,DC15,DF15),2),0)</f>
        <v>44.44</v>
      </c>
      <c r="R15" s="14" t="str">
        <f t="shared" si="12"/>
        <v>2021 1st Virtual Technical Trial</v>
      </c>
      <c r="S15" s="14" t="str">
        <f t="shared" si="13"/>
        <v/>
      </c>
      <c r="T15" s="24" t="str">
        <f t="shared" si="14"/>
        <v/>
      </c>
      <c r="U15" s="14" t="str">
        <f t="shared" si="15"/>
        <v/>
      </c>
      <c r="V15" s="61">
        <v>15.2</v>
      </c>
      <c r="W15" s="61">
        <v>9.5500000000000007</v>
      </c>
      <c r="X15" s="61">
        <v>1.4</v>
      </c>
      <c r="Y15" s="61">
        <v>13.86</v>
      </c>
      <c r="Z15" s="61">
        <v>0</v>
      </c>
      <c r="AA15" s="61">
        <v>15</v>
      </c>
      <c r="AB15" s="61">
        <v>9.3000000000000007</v>
      </c>
      <c r="AC15" s="61">
        <v>7.6</v>
      </c>
      <c r="AD15" s="61">
        <v>13.74</v>
      </c>
      <c r="AE15" s="61">
        <v>1.2</v>
      </c>
      <c r="AF15" s="61"/>
      <c r="AG15" s="61"/>
      <c r="AH15" s="61"/>
      <c r="AI15" s="61"/>
      <c r="AJ15" s="61"/>
      <c r="AK15" s="61">
        <v>16</v>
      </c>
      <c r="AL15" s="61">
        <v>9.5500000000000007</v>
      </c>
      <c r="AM15" s="61">
        <v>8.1999999999999993</v>
      </c>
      <c r="AN15" s="61">
        <v>13.86</v>
      </c>
      <c r="AO15" s="61">
        <v>0.6</v>
      </c>
      <c r="AP15" s="72"/>
      <c r="AQ15" s="11">
        <f t="shared" si="16"/>
        <v>40.01</v>
      </c>
      <c r="AR15" s="11">
        <f t="shared" si="17"/>
        <v>7.6</v>
      </c>
      <c r="AS15" s="11">
        <f t="shared" si="18"/>
        <v>44.44</v>
      </c>
      <c r="AT15" s="11" t="str">
        <f t="shared" si="19"/>
        <v/>
      </c>
      <c r="AU15" s="11" t="str">
        <f t="shared" si="20"/>
        <v/>
      </c>
      <c r="AV15" s="11">
        <f t="shared" si="21"/>
        <v>84.449999999999989</v>
      </c>
      <c r="AW15" s="11">
        <f t="shared" si="22"/>
        <v>8.1999999999999993</v>
      </c>
      <c r="AX15" s="11">
        <f t="shared" si="23"/>
        <v>47.01</v>
      </c>
      <c r="AY15" s="11">
        <f t="shared" si="24"/>
        <v>131.45999999999998</v>
      </c>
      <c r="AZ15" s="67"/>
      <c r="BA15" s="67"/>
      <c r="BB15" s="67"/>
      <c r="BC15" s="67"/>
      <c r="BD15" s="67"/>
      <c r="BE15" s="67"/>
      <c r="BF15" s="67"/>
      <c r="BG15" s="67"/>
      <c r="BH15" s="67"/>
      <c r="BI15" s="67"/>
      <c r="BJ15" s="67"/>
      <c r="BK15" s="67"/>
      <c r="BL15" s="67"/>
      <c r="BM15" s="67"/>
      <c r="BN15" s="67"/>
      <c r="BO15" s="67"/>
      <c r="BP15" s="67"/>
      <c r="BQ15" s="67"/>
      <c r="BR15" s="67"/>
      <c r="BS15" s="67"/>
      <c r="BT15" s="73"/>
      <c r="BU15" s="14" t="str">
        <f t="shared" si="25"/>
        <v/>
      </c>
      <c r="BV15" s="14" t="str">
        <f t="shared" si="26"/>
        <v/>
      </c>
      <c r="BW15" s="14" t="str">
        <f t="shared" si="27"/>
        <v/>
      </c>
      <c r="BX15" s="14" t="str">
        <f t="shared" si="28"/>
        <v/>
      </c>
      <c r="BY15" s="14" t="str">
        <f t="shared" si="29"/>
        <v/>
      </c>
      <c r="BZ15" s="14" t="str">
        <f t="shared" si="30"/>
        <v/>
      </c>
      <c r="CA15" s="14" t="str">
        <f t="shared" si="31"/>
        <v/>
      </c>
      <c r="CB15" s="14" t="str">
        <f t="shared" si="32"/>
        <v/>
      </c>
      <c r="CC15" s="14" t="str">
        <f t="shared" si="33"/>
        <v/>
      </c>
      <c r="CD15" s="61"/>
      <c r="CE15" s="61"/>
      <c r="CF15" s="61"/>
      <c r="CG15" s="61"/>
      <c r="CH15" s="61"/>
      <c r="CI15" s="61"/>
      <c r="CJ15" s="61"/>
      <c r="CK15" s="61"/>
      <c r="CL15" s="61"/>
      <c r="CM15" s="61"/>
      <c r="CN15" s="61"/>
      <c r="CO15" s="61"/>
      <c r="CP15" s="61"/>
      <c r="CQ15" s="61"/>
      <c r="CR15" s="61"/>
      <c r="CS15" s="61"/>
      <c r="CT15" s="61"/>
      <c r="CU15" s="61"/>
      <c r="CV15" s="61"/>
      <c r="CW15" s="61"/>
      <c r="CX15" s="72"/>
      <c r="CY15" s="11" t="str">
        <f t="shared" si="34"/>
        <v/>
      </c>
      <c r="CZ15" s="11" t="str">
        <f t="shared" si="35"/>
        <v/>
      </c>
      <c r="DA15" s="11" t="str">
        <f t="shared" si="36"/>
        <v/>
      </c>
      <c r="DB15" s="11" t="str">
        <f t="shared" si="37"/>
        <v/>
      </c>
      <c r="DC15" s="11" t="str">
        <f t="shared" si="38"/>
        <v/>
      </c>
      <c r="DD15" s="11" t="str">
        <f t="shared" si="39"/>
        <v/>
      </c>
      <c r="DE15" s="11" t="str">
        <f t="shared" si="40"/>
        <v/>
      </c>
      <c r="DF15" s="11" t="str">
        <f t="shared" si="41"/>
        <v/>
      </c>
      <c r="DG15" s="11" t="str">
        <f t="shared" si="42"/>
        <v/>
      </c>
      <c r="DH15" s="23" t="str">
        <f t="shared" si="43"/>
        <v/>
      </c>
      <c r="DI15" s="23" t="str">
        <f t="shared" si="44"/>
        <v/>
      </c>
      <c r="DJ15" s="23" t="str">
        <f t="shared" si="45"/>
        <v/>
      </c>
      <c r="DK15" s="23" t="str">
        <f t="shared" si="46"/>
        <v/>
      </c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11" t="str">
        <f t="shared" si="47"/>
        <v/>
      </c>
      <c r="EB15" s="11" t="str">
        <f t="shared" si="48"/>
        <v/>
      </c>
      <c r="EC15" s="11" t="str">
        <f t="shared" si="49"/>
        <v/>
      </c>
      <c r="ED15" s="11" t="str">
        <f t="shared" si="50"/>
        <v/>
      </c>
      <c r="EE15" s="11" t="str">
        <f t="shared" si="51"/>
        <v/>
      </c>
      <c r="EF15" s="11" t="str">
        <f t="shared" si="52"/>
        <v/>
      </c>
      <c r="EG15" s="11" t="str">
        <f t="shared" si="53"/>
        <v/>
      </c>
      <c r="EH15" s="36"/>
      <c r="EI15" s="36"/>
      <c r="EJ15" s="36"/>
      <c r="EK15" s="36"/>
      <c r="EL15" s="36"/>
      <c r="EM15" s="36"/>
      <c r="EN15" s="36"/>
      <c r="EO15" s="36"/>
      <c r="EP15" s="36"/>
      <c r="EQ15" s="36"/>
      <c r="ER15" s="36"/>
      <c r="ES15" s="36"/>
      <c r="ET15" s="36"/>
      <c r="EU15" s="36"/>
      <c r="EV15" s="36"/>
      <c r="EW15" s="14" t="str">
        <f t="shared" si="54"/>
        <v/>
      </c>
      <c r="EX15" s="14" t="str">
        <f t="shared" si="55"/>
        <v/>
      </c>
      <c r="EY15" s="14" t="str">
        <f t="shared" si="56"/>
        <v/>
      </c>
      <c r="EZ15" s="14" t="str">
        <f t="shared" si="57"/>
        <v/>
      </c>
      <c r="FA15" s="14" t="str">
        <f t="shared" si="58"/>
        <v/>
      </c>
      <c r="FB15" s="14" t="str">
        <f t="shared" si="59"/>
        <v/>
      </c>
      <c r="FC15" s="14" t="str">
        <f t="shared" si="60"/>
        <v/>
      </c>
      <c r="FD15" s="35"/>
      <c r="FE15" s="35"/>
      <c r="FF15" s="35"/>
      <c r="FG15" s="35"/>
      <c r="FH15" s="35"/>
      <c r="FI15" s="35"/>
      <c r="FJ15" s="35"/>
      <c r="FK15" s="35"/>
      <c r="FL15" s="35"/>
      <c r="FM15" s="35"/>
      <c r="FN15" s="35"/>
      <c r="FO15" s="35"/>
      <c r="FP15" s="35"/>
      <c r="FQ15" s="35"/>
      <c r="FR15" s="35"/>
      <c r="FS15" s="11" t="str">
        <f t="shared" si="61"/>
        <v/>
      </c>
      <c r="FT15" s="11" t="str">
        <f t="shared" si="62"/>
        <v/>
      </c>
      <c r="FU15" s="11" t="str">
        <f t="shared" si="63"/>
        <v/>
      </c>
      <c r="FV15" s="11" t="str">
        <f t="shared" si="64"/>
        <v/>
      </c>
      <c r="FW15" s="11" t="str">
        <f t="shared" si="65"/>
        <v/>
      </c>
      <c r="FX15" s="11" t="str">
        <f t="shared" si="66"/>
        <v/>
      </c>
      <c r="FY15" s="11" t="str">
        <f t="shared" si="67"/>
        <v/>
      </c>
      <c r="FZ15" s="36"/>
      <c r="GA15" s="36"/>
      <c r="GB15" s="36"/>
      <c r="GC15" s="36"/>
      <c r="GD15" s="36"/>
      <c r="GE15" s="36"/>
      <c r="GF15" s="36"/>
      <c r="GG15" s="36"/>
      <c r="GH15" s="36"/>
      <c r="GI15" s="36"/>
      <c r="GJ15" s="36"/>
      <c r="GK15" s="36"/>
      <c r="GL15" s="36"/>
      <c r="GM15" s="36"/>
      <c r="GN15" s="36"/>
      <c r="GO15" s="14" t="str">
        <f t="shared" si="68"/>
        <v/>
      </c>
      <c r="GP15" s="14" t="str">
        <f t="shared" si="69"/>
        <v/>
      </c>
      <c r="GQ15" s="14" t="str">
        <f t="shared" si="70"/>
        <v/>
      </c>
      <c r="GR15" s="14" t="str">
        <f t="shared" si="71"/>
        <v/>
      </c>
      <c r="GS15" s="14" t="str">
        <f t="shared" si="72"/>
        <v/>
      </c>
      <c r="GT15" s="14" t="str">
        <f t="shared" si="73"/>
        <v/>
      </c>
      <c r="GU15" s="14" t="str">
        <f t="shared" si="74"/>
        <v/>
      </c>
      <c r="GV15" s="35"/>
      <c r="GW15" s="35"/>
      <c r="GX15" s="35"/>
      <c r="GY15" s="35"/>
      <c r="GZ15" s="35"/>
      <c r="HA15" s="35"/>
      <c r="HB15" s="35"/>
      <c r="HC15" s="35"/>
      <c r="HD15" s="35"/>
      <c r="HE15" s="35"/>
      <c r="HF15" s="35"/>
      <c r="HG15" s="35"/>
      <c r="HH15" s="35"/>
      <c r="HI15" s="35"/>
      <c r="HJ15" s="35"/>
      <c r="HK15" s="11" t="str">
        <f t="shared" si="75"/>
        <v/>
      </c>
      <c r="HL15" s="11" t="str">
        <f t="shared" si="76"/>
        <v/>
      </c>
      <c r="HM15" s="11" t="str">
        <f t="shared" si="77"/>
        <v/>
      </c>
      <c r="HN15" s="11" t="str">
        <f t="shared" si="78"/>
        <v/>
      </c>
      <c r="HO15" s="11" t="str">
        <f t="shared" si="79"/>
        <v/>
      </c>
      <c r="HP15" s="11" t="str">
        <f t="shared" si="80"/>
        <v/>
      </c>
      <c r="HQ15" s="11" t="str">
        <f t="shared" si="81"/>
        <v/>
      </c>
      <c r="HR15" s="36"/>
      <c r="HS15" s="36"/>
      <c r="HT15" s="36"/>
      <c r="HU15" s="36"/>
      <c r="HV15" s="36"/>
      <c r="HW15" s="36"/>
      <c r="HX15" s="36"/>
      <c r="HY15" s="36"/>
      <c r="HZ15" s="36"/>
      <c r="IA15" s="36"/>
      <c r="IB15" s="36"/>
      <c r="IC15" s="36"/>
      <c r="ID15" s="36"/>
      <c r="IE15" s="36"/>
      <c r="IF15" s="36"/>
      <c r="IG15" s="14" t="str">
        <f t="shared" si="82"/>
        <v/>
      </c>
      <c r="IH15" s="14" t="str">
        <f t="shared" si="83"/>
        <v/>
      </c>
      <c r="II15" s="14" t="str">
        <f t="shared" si="84"/>
        <v/>
      </c>
      <c r="IJ15" s="14" t="str">
        <f t="shared" si="85"/>
        <v/>
      </c>
      <c r="IK15" s="14" t="str">
        <f t="shared" si="86"/>
        <v/>
      </c>
      <c r="IL15" s="14" t="str">
        <f t="shared" si="87"/>
        <v/>
      </c>
      <c r="IM15" s="14" t="str">
        <f t="shared" si="88"/>
        <v/>
      </c>
      <c r="IN15" s="35"/>
      <c r="IO15" s="35"/>
      <c r="IP15" s="35"/>
      <c r="IQ15" s="35"/>
      <c r="IR15" s="35"/>
      <c r="IS15" s="35"/>
      <c r="IT15" s="35"/>
      <c r="IU15" s="35"/>
      <c r="IV15" s="35"/>
      <c r="IW15" s="35"/>
      <c r="IX15" s="35"/>
      <c r="IY15" s="35"/>
      <c r="IZ15" s="35"/>
      <c r="JA15" s="35"/>
      <c r="JB15" s="35"/>
      <c r="JC15" s="11" t="str">
        <f t="shared" si="89"/>
        <v/>
      </c>
      <c r="JD15" s="11" t="str">
        <f t="shared" si="90"/>
        <v/>
      </c>
      <c r="JE15" s="11" t="str">
        <f t="shared" si="91"/>
        <v/>
      </c>
      <c r="JF15" s="11" t="str">
        <f t="shared" si="92"/>
        <v/>
      </c>
      <c r="JG15" s="11" t="str">
        <f t="shared" si="93"/>
        <v/>
      </c>
      <c r="JH15" s="11" t="str">
        <f t="shared" si="94"/>
        <v/>
      </c>
      <c r="JI15" s="11" t="str">
        <f t="shared" si="95"/>
        <v/>
      </c>
      <c r="JJ15" s="36"/>
      <c r="JK15" s="36"/>
      <c r="JL15" s="36"/>
      <c r="JM15" s="36"/>
      <c r="JN15" s="36"/>
      <c r="JO15" s="36"/>
      <c r="JP15" s="36"/>
      <c r="JQ15" s="36"/>
      <c r="JR15" s="36"/>
      <c r="JS15" s="36"/>
      <c r="JT15" s="36"/>
      <c r="JU15" s="36"/>
      <c r="JV15" s="36"/>
      <c r="JW15" s="36"/>
      <c r="JX15" s="36"/>
      <c r="JY15" s="14" t="str">
        <f t="shared" si="96"/>
        <v/>
      </c>
      <c r="JZ15" s="14" t="str">
        <f t="shared" si="97"/>
        <v/>
      </c>
      <c r="KA15" s="14" t="str">
        <f t="shared" si="98"/>
        <v/>
      </c>
      <c r="KB15" s="14" t="str">
        <f t="shared" si="99"/>
        <v/>
      </c>
      <c r="KC15" s="14" t="str">
        <f t="shared" si="100"/>
        <v/>
      </c>
      <c r="KD15" s="14" t="str">
        <f t="shared" si="101"/>
        <v/>
      </c>
      <c r="KE15" s="14" t="str">
        <f t="shared" si="102"/>
        <v/>
      </c>
      <c r="KF15" s="35"/>
      <c r="KG15" s="35"/>
      <c r="KH15" s="35"/>
      <c r="KI15" s="35"/>
      <c r="KJ15" s="35"/>
      <c r="KK15" s="35"/>
      <c r="KL15" s="35"/>
      <c r="KM15" s="35"/>
      <c r="KN15" s="35"/>
      <c r="KO15" s="35"/>
      <c r="KP15" s="35"/>
      <c r="KQ15" s="35"/>
      <c r="KR15" s="35"/>
      <c r="KS15" s="35"/>
      <c r="KT15" s="35"/>
      <c r="KU15" s="11" t="str">
        <f t="shared" si="103"/>
        <v/>
      </c>
      <c r="KV15" s="11" t="str">
        <f t="shared" si="104"/>
        <v/>
      </c>
      <c r="KW15" s="11" t="str">
        <f t="shared" si="105"/>
        <v/>
      </c>
      <c r="KX15" s="11" t="str">
        <f t="shared" si="106"/>
        <v/>
      </c>
      <c r="KY15" s="11" t="str">
        <f t="shared" si="107"/>
        <v/>
      </c>
      <c r="KZ15" s="11" t="str">
        <f t="shared" si="108"/>
        <v/>
      </c>
      <c r="LA15" s="11" t="str">
        <f t="shared" si="109"/>
        <v/>
      </c>
      <c r="LB15" s="36"/>
      <c r="LC15" s="36"/>
      <c r="LD15" s="36"/>
      <c r="LE15" s="36"/>
      <c r="LF15" s="36"/>
      <c r="LG15" s="36"/>
      <c r="LH15" s="36"/>
      <c r="LI15" s="36"/>
      <c r="LJ15" s="36"/>
      <c r="LK15" s="36"/>
      <c r="LL15" s="36"/>
      <c r="LM15" s="36"/>
      <c r="LN15" s="36"/>
      <c r="LO15" s="36"/>
      <c r="LP15" s="36"/>
      <c r="LQ15" s="14" t="str">
        <f t="shared" si="110"/>
        <v/>
      </c>
      <c r="LR15" s="14" t="str">
        <f t="shared" si="111"/>
        <v/>
      </c>
      <c r="LS15" s="14" t="str">
        <f t="shared" si="112"/>
        <v/>
      </c>
      <c r="LT15" s="14" t="str">
        <f t="shared" si="113"/>
        <v/>
      </c>
      <c r="LU15" s="14" t="str">
        <f t="shared" si="114"/>
        <v/>
      </c>
      <c r="LV15" s="14" t="str">
        <f t="shared" si="115"/>
        <v/>
      </c>
      <c r="LW15" s="14" t="str">
        <f t="shared" si="116"/>
        <v/>
      </c>
      <c r="LX15" s="35"/>
      <c r="LY15" s="35"/>
      <c r="LZ15" s="35"/>
      <c r="MA15" s="35"/>
      <c r="MB15" s="35"/>
      <c r="MC15" s="35"/>
      <c r="MD15" s="35"/>
      <c r="ME15" s="35"/>
      <c r="MF15" s="35"/>
      <c r="MG15" s="35"/>
      <c r="MH15" s="35"/>
      <c r="MI15" s="35"/>
      <c r="MJ15" s="35"/>
      <c r="MK15" s="35"/>
      <c r="ML15" s="35"/>
      <c r="MM15" s="11" t="str">
        <f t="shared" si="117"/>
        <v/>
      </c>
      <c r="MN15" s="11" t="str">
        <f t="shared" si="118"/>
        <v/>
      </c>
      <c r="MO15" s="11" t="str">
        <f t="shared" si="119"/>
        <v/>
      </c>
      <c r="MP15" s="11" t="str">
        <f t="shared" si="120"/>
        <v/>
      </c>
      <c r="MQ15" s="11" t="str">
        <f t="shared" si="121"/>
        <v/>
      </c>
      <c r="MR15" s="11" t="str">
        <f t="shared" si="122"/>
        <v/>
      </c>
      <c r="MS15" s="11" t="str">
        <f t="shared" si="123"/>
        <v/>
      </c>
      <c r="MT15" s="36"/>
      <c r="MU15" s="36"/>
      <c r="MV15" s="36"/>
      <c r="MW15" s="36"/>
      <c r="MX15" s="36"/>
      <c r="MY15" s="36"/>
      <c r="MZ15" s="36"/>
      <c r="NA15" s="36"/>
      <c r="NB15" s="36"/>
      <c r="NC15" s="36"/>
      <c r="ND15" s="36"/>
      <c r="NE15" s="36"/>
      <c r="NF15" s="36"/>
      <c r="NG15" s="36"/>
      <c r="NH15" s="36"/>
      <c r="NI15" s="14" t="str">
        <f t="shared" si="124"/>
        <v/>
      </c>
      <c r="NJ15" s="14" t="str">
        <f t="shared" si="125"/>
        <v/>
      </c>
      <c r="NK15" s="14" t="str">
        <f t="shared" si="126"/>
        <v/>
      </c>
      <c r="NL15" s="14" t="str">
        <f t="shared" si="127"/>
        <v/>
      </c>
      <c r="NM15" s="14" t="str">
        <f t="shared" si="128"/>
        <v/>
      </c>
      <c r="NN15" s="14" t="str">
        <f t="shared" si="129"/>
        <v/>
      </c>
      <c r="NO15" s="14" t="str">
        <f t="shared" si="130"/>
        <v/>
      </c>
      <c r="NP15" s="61">
        <f t="shared" si="131"/>
        <v>0</v>
      </c>
      <c r="NQ15" s="61">
        <f t="shared" si="132"/>
        <v>0</v>
      </c>
      <c r="NR15" s="61">
        <f t="shared" si="133"/>
        <v>0</v>
      </c>
      <c r="NS15" s="61">
        <f t="shared" si="134"/>
        <v>0</v>
      </c>
      <c r="NT15" s="61">
        <f t="shared" si="135"/>
        <v>0</v>
      </c>
      <c r="NU15" s="61">
        <f t="shared" si="136"/>
        <v>0</v>
      </c>
      <c r="NV15" s="61">
        <f t="shared" si="137"/>
        <v>0</v>
      </c>
      <c r="NW15" s="61">
        <f t="shared" si="138"/>
        <v>0</v>
      </c>
      <c r="NX15" s="61">
        <f t="shared" si="139"/>
        <v>0</v>
      </c>
      <c r="NY15" s="61">
        <f t="shared" si="140"/>
        <v>0</v>
      </c>
      <c r="NZ15" s="61">
        <f t="shared" si="141"/>
        <v>0</v>
      </c>
      <c r="OA15" s="61">
        <f t="shared" si="142"/>
        <v>0</v>
      </c>
      <c r="OB15" s="61">
        <f t="shared" si="143"/>
        <v>0</v>
      </c>
      <c r="OC15" s="61">
        <f t="shared" si="144"/>
        <v>0</v>
      </c>
      <c r="OD15" s="61">
        <f t="shared" si="145"/>
        <v>0</v>
      </c>
      <c r="OE15" s="61">
        <f t="shared" si="146"/>
        <v>0</v>
      </c>
      <c r="OF15" s="61">
        <f t="shared" si="147"/>
        <v>0</v>
      </c>
      <c r="OG15" s="61">
        <f t="shared" si="148"/>
        <v>0</v>
      </c>
      <c r="OH15" s="61">
        <f t="shared" si="149"/>
        <v>0</v>
      </c>
      <c r="OI15" s="61">
        <f t="shared" si="150"/>
        <v>0</v>
      </c>
      <c r="OJ15" s="72" t="s">
        <v>52</v>
      </c>
      <c r="OK15" s="11" t="str">
        <f t="shared" si="151"/>
        <v/>
      </c>
      <c r="OL15" s="11" t="str">
        <f t="shared" si="152"/>
        <v/>
      </c>
      <c r="OM15" s="11" t="str">
        <f t="shared" si="153"/>
        <v/>
      </c>
      <c r="ON15" s="11" t="str">
        <f t="shared" si="154"/>
        <v/>
      </c>
      <c r="OO15" s="11" t="str">
        <f t="shared" si="155"/>
        <v/>
      </c>
      <c r="OP15" s="11" t="str">
        <f t="shared" si="156"/>
        <v/>
      </c>
      <c r="OQ15" s="11" t="str">
        <f t="shared" si="157"/>
        <v/>
      </c>
      <c r="OR15" s="11" t="str">
        <f t="shared" ref="OR15" si="170">IF(SUM(OE15:OH15)-OI15&gt;0,SUM(OE15:OH15)-OI15,"")</f>
        <v/>
      </c>
      <c r="OS15" s="11" t="str">
        <f t="shared" ref="OS15" si="171">IF(SUM(OP15,OR15)&gt;0,SUM(OP15,OR15),"")</f>
        <v/>
      </c>
    </row>
    <row r="16" spans="1:409" x14ac:dyDescent="0.2">
      <c r="A16" s="5" t="str" cm="1">
        <f t="array" ref="A16">IF(AND(G16&lt;&gt;"",H16&lt;&gt;""),SUMPRODUCT((G$4:G$27&lt;&gt;"")*(H$4:H$27&lt;&gt;"")*(E$4:E$27&gt;E16))+1,IF(H16&lt;&gt;"",SUMPRODUCT((I$4:I$27="No DD")*(E$4:E$27&gt;E16))+1+SUMPRODUCT((G$4:G$27&lt;&gt;"")*(H$4:H$27&lt;&gt;"")),""))</f>
        <v/>
      </c>
      <c r="B16" s="8" t="s">
        <v>129</v>
      </c>
      <c r="C16" s="4" t="s">
        <v>4</v>
      </c>
      <c r="D16" s="26">
        <v>2004</v>
      </c>
      <c r="E16" s="15">
        <f t="shared" si="0"/>
        <v>88.03</v>
      </c>
      <c r="F16" s="3" t="str">
        <f t="shared" si="1"/>
        <v/>
      </c>
      <c r="G16" s="115" t="str">
        <f t="shared" si="2"/>
        <v/>
      </c>
      <c r="H16" s="115" t="str">
        <f t="shared" si="3"/>
        <v/>
      </c>
      <c r="I16" s="116" t="str">
        <f t="shared" si="4"/>
        <v/>
      </c>
      <c r="J16" s="3" t="str">
        <f t="shared" si="5"/>
        <v/>
      </c>
      <c r="K16" s="14">
        <f t="shared" si="6"/>
        <v>82.6</v>
      </c>
      <c r="L16" s="14" t="str">
        <f t="shared" si="7"/>
        <v>2021 2nd Virtual Technical Trial</v>
      </c>
      <c r="M16" s="14">
        <f t="shared" si="8"/>
        <v>0</v>
      </c>
      <c r="N16" s="14" t="str">
        <f t="shared" si="9"/>
        <v/>
      </c>
      <c r="O16" s="14">
        <f t="shared" si="10"/>
        <v>46.1</v>
      </c>
      <c r="P16" s="14" t="str">
        <f t="shared" si="11"/>
        <v>2021 2nd Virtual Technical Trial</v>
      </c>
      <c r="Q16" s="14">
        <f>IF(COUNT(AS16,AU16,AX16,BW16,BY16,CB16,DA16,DC16,DF16)&gt;1,LARGE((AS16,AU16,AX16,BW16,BY16,CB16,DA16,DC16,DF16),2),0)</f>
        <v>41.93</v>
      </c>
      <c r="R16" s="14" t="str">
        <f t="shared" si="12"/>
        <v>2021 2nd Virtual Technical Trial</v>
      </c>
      <c r="S16" s="14" t="str">
        <f t="shared" si="13"/>
        <v/>
      </c>
      <c r="T16" s="24" t="str">
        <f t="shared" si="14"/>
        <v/>
      </c>
      <c r="U16" s="14" t="str">
        <f t="shared" si="15"/>
        <v/>
      </c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72"/>
      <c r="AQ16" s="11" t="str">
        <f t="shared" si="16"/>
        <v/>
      </c>
      <c r="AR16" s="11" t="str">
        <f t="shared" si="17"/>
        <v/>
      </c>
      <c r="AS16" s="11" t="str">
        <f t="shared" si="18"/>
        <v/>
      </c>
      <c r="AT16" s="11" t="str">
        <f t="shared" si="19"/>
        <v/>
      </c>
      <c r="AU16" s="11" t="str">
        <f t="shared" si="20"/>
        <v/>
      </c>
      <c r="AV16" s="11" t="str">
        <f t="shared" si="21"/>
        <v/>
      </c>
      <c r="AW16" s="11" t="str">
        <f t="shared" si="22"/>
        <v/>
      </c>
      <c r="AX16" s="11" t="str">
        <f t="shared" si="23"/>
        <v/>
      </c>
      <c r="AY16" s="11" t="str">
        <f t="shared" si="24"/>
        <v/>
      </c>
      <c r="AZ16" s="67">
        <v>15.1</v>
      </c>
      <c r="BA16" s="67">
        <v>9.6</v>
      </c>
      <c r="BB16" s="67">
        <v>2</v>
      </c>
      <c r="BC16" s="67">
        <v>13.97</v>
      </c>
      <c r="BD16" s="67">
        <v>0</v>
      </c>
      <c r="BE16" s="67">
        <v>10.199999999999999</v>
      </c>
      <c r="BF16" s="67">
        <v>8.4</v>
      </c>
      <c r="BG16" s="67">
        <v>9.6999999999999993</v>
      </c>
      <c r="BH16" s="67">
        <v>13.63</v>
      </c>
      <c r="BI16" s="67">
        <v>0</v>
      </c>
      <c r="BJ16" s="67"/>
      <c r="BK16" s="67"/>
      <c r="BL16" s="67"/>
      <c r="BM16" s="67"/>
      <c r="BN16" s="67"/>
      <c r="BO16" s="67">
        <v>13.9</v>
      </c>
      <c r="BP16" s="67">
        <v>9.3000000000000007</v>
      </c>
      <c r="BQ16" s="67">
        <v>9</v>
      </c>
      <c r="BR16" s="67">
        <v>13.9</v>
      </c>
      <c r="BS16" s="67">
        <v>0</v>
      </c>
      <c r="BT16" s="73"/>
      <c r="BU16" s="14">
        <f t="shared" si="25"/>
        <v>40.67</v>
      </c>
      <c r="BV16" s="14">
        <f t="shared" si="26"/>
        <v>9.6999999999999993</v>
      </c>
      <c r="BW16" s="14">
        <f t="shared" si="27"/>
        <v>41.93</v>
      </c>
      <c r="BX16" s="14" t="str">
        <f t="shared" si="28"/>
        <v/>
      </c>
      <c r="BY16" s="14" t="str">
        <f t="shared" si="29"/>
        <v/>
      </c>
      <c r="BZ16" s="14">
        <f t="shared" si="30"/>
        <v>82.6</v>
      </c>
      <c r="CA16" s="14">
        <f t="shared" si="31"/>
        <v>9</v>
      </c>
      <c r="CB16" s="14">
        <f t="shared" si="32"/>
        <v>46.1</v>
      </c>
      <c r="CC16" s="14">
        <f t="shared" si="33"/>
        <v>128.69999999999999</v>
      </c>
      <c r="CD16" s="61"/>
      <c r="CE16" s="61"/>
      <c r="CF16" s="61"/>
      <c r="CG16" s="61"/>
      <c r="CH16" s="61"/>
      <c r="CI16" s="61"/>
      <c r="CJ16" s="61"/>
      <c r="CK16" s="61"/>
      <c r="CL16" s="61"/>
      <c r="CM16" s="61"/>
      <c r="CN16" s="61"/>
      <c r="CO16" s="61"/>
      <c r="CP16" s="61"/>
      <c r="CQ16" s="61"/>
      <c r="CR16" s="61"/>
      <c r="CS16" s="61"/>
      <c r="CT16" s="61"/>
      <c r="CU16" s="61"/>
      <c r="CV16" s="61"/>
      <c r="CW16" s="61"/>
      <c r="CX16" s="72"/>
      <c r="CY16" s="11" t="str">
        <f t="shared" si="34"/>
        <v/>
      </c>
      <c r="CZ16" s="11" t="str">
        <f t="shared" si="35"/>
        <v/>
      </c>
      <c r="DA16" s="11" t="str">
        <f t="shared" si="36"/>
        <v/>
      </c>
      <c r="DB16" s="11" t="str">
        <f t="shared" si="37"/>
        <v/>
      </c>
      <c r="DC16" s="11" t="str">
        <f t="shared" si="38"/>
        <v/>
      </c>
      <c r="DD16" s="11" t="str">
        <f t="shared" si="39"/>
        <v/>
      </c>
      <c r="DE16" s="11" t="str">
        <f t="shared" si="40"/>
        <v/>
      </c>
      <c r="DF16" s="11" t="str">
        <f t="shared" si="41"/>
        <v/>
      </c>
      <c r="DG16" s="11" t="str">
        <f t="shared" si="42"/>
        <v/>
      </c>
      <c r="DH16" s="23" t="str">
        <f t="shared" si="43"/>
        <v/>
      </c>
      <c r="DI16" s="23" t="str">
        <f t="shared" si="44"/>
        <v/>
      </c>
      <c r="DJ16" s="23" t="str">
        <f t="shared" si="45"/>
        <v/>
      </c>
      <c r="DK16" s="23" t="str">
        <f t="shared" si="46"/>
        <v/>
      </c>
      <c r="DL16" s="35"/>
      <c r="DM16" s="35"/>
      <c r="DN16" s="35"/>
      <c r="DO16" s="35"/>
      <c r="DP16" s="35"/>
      <c r="DQ16" s="35"/>
      <c r="DR16" s="35"/>
      <c r="DS16" s="35"/>
      <c r="DT16" s="35"/>
      <c r="DU16" s="35"/>
      <c r="DV16" s="35"/>
      <c r="DW16" s="35"/>
      <c r="DX16" s="35"/>
      <c r="DY16" s="35"/>
      <c r="DZ16" s="35"/>
      <c r="EA16" s="11" t="str">
        <f t="shared" si="47"/>
        <v/>
      </c>
      <c r="EB16" s="11" t="str">
        <f t="shared" si="48"/>
        <v/>
      </c>
      <c r="EC16" s="11" t="str">
        <f t="shared" si="49"/>
        <v/>
      </c>
      <c r="ED16" s="11" t="str">
        <f t="shared" si="50"/>
        <v/>
      </c>
      <c r="EE16" s="11" t="str">
        <f t="shared" si="51"/>
        <v/>
      </c>
      <c r="EF16" s="11" t="str">
        <f t="shared" si="52"/>
        <v/>
      </c>
      <c r="EG16" s="11" t="str">
        <f t="shared" si="53"/>
        <v/>
      </c>
      <c r="EH16" s="36"/>
      <c r="EI16" s="36"/>
      <c r="EJ16" s="36"/>
      <c r="EK16" s="36"/>
      <c r="EL16" s="36"/>
      <c r="EM16" s="36"/>
      <c r="EN16" s="36"/>
      <c r="EO16" s="36"/>
      <c r="EP16" s="36"/>
      <c r="EQ16" s="36"/>
      <c r="ER16" s="36"/>
      <c r="ES16" s="36"/>
      <c r="ET16" s="36"/>
      <c r="EU16" s="36"/>
      <c r="EV16" s="36"/>
      <c r="EW16" s="14" t="str">
        <f t="shared" si="54"/>
        <v/>
      </c>
      <c r="EX16" s="14" t="str">
        <f t="shared" si="55"/>
        <v/>
      </c>
      <c r="EY16" s="14" t="str">
        <f t="shared" si="56"/>
        <v/>
      </c>
      <c r="EZ16" s="14" t="str">
        <f t="shared" si="57"/>
        <v/>
      </c>
      <c r="FA16" s="14" t="str">
        <f t="shared" si="58"/>
        <v/>
      </c>
      <c r="FB16" s="14" t="str">
        <f t="shared" si="59"/>
        <v/>
      </c>
      <c r="FC16" s="14" t="str">
        <f t="shared" si="60"/>
        <v/>
      </c>
      <c r="FD16" s="35"/>
      <c r="FE16" s="35"/>
      <c r="FF16" s="35"/>
      <c r="FG16" s="35"/>
      <c r="FH16" s="35"/>
      <c r="FI16" s="35"/>
      <c r="FJ16" s="35"/>
      <c r="FK16" s="35"/>
      <c r="FL16" s="35"/>
      <c r="FM16" s="35"/>
      <c r="FN16" s="35"/>
      <c r="FO16" s="35"/>
      <c r="FP16" s="35"/>
      <c r="FQ16" s="35"/>
      <c r="FR16" s="35"/>
      <c r="FS16" s="11" t="str">
        <f t="shared" si="61"/>
        <v/>
      </c>
      <c r="FT16" s="11" t="str">
        <f t="shared" si="62"/>
        <v/>
      </c>
      <c r="FU16" s="11" t="str">
        <f t="shared" si="63"/>
        <v/>
      </c>
      <c r="FV16" s="11" t="str">
        <f t="shared" si="64"/>
        <v/>
      </c>
      <c r="FW16" s="11" t="str">
        <f t="shared" si="65"/>
        <v/>
      </c>
      <c r="FX16" s="11" t="str">
        <f t="shared" si="66"/>
        <v/>
      </c>
      <c r="FY16" s="11" t="str">
        <f t="shared" si="67"/>
        <v/>
      </c>
      <c r="FZ16" s="36"/>
      <c r="GA16" s="36"/>
      <c r="GB16" s="36"/>
      <c r="GC16" s="36"/>
      <c r="GD16" s="36"/>
      <c r="GE16" s="36"/>
      <c r="GF16" s="36"/>
      <c r="GG16" s="36"/>
      <c r="GH16" s="36"/>
      <c r="GI16" s="36"/>
      <c r="GJ16" s="36"/>
      <c r="GK16" s="36"/>
      <c r="GL16" s="36"/>
      <c r="GM16" s="36"/>
      <c r="GN16" s="36"/>
      <c r="GO16" s="14" t="str">
        <f t="shared" si="68"/>
        <v/>
      </c>
      <c r="GP16" s="14" t="str">
        <f t="shared" si="69"/>
        <v/>
      </c>
      <c r="GQ16" s="14" t="str">
        <f t="shared" si="70"/>
        <v/>
      </c>
      <c r="GR16" s="14" t="str">
        <f t="shared" si="71"/>
        <v/>
      </c>
      <c r="GS16" s="14" t="str">
        <f t="shared" si="72"/>
        <v/>
      </c>
      <c r="GT16" s="14" t="str">
        <f t="shared" si="73"/>
        <v/>
      </c>
      <c r="GU16" s="14" t="str">
        <f t="shared" si="74"/>
        <v/>
      </c>
      <c r="GV16" s="35"/>
      <c r="GW16" s="35"/>
      <c r="GX16" s="35"/>
      <c r="GY16" s="35"/>
      <c r="GZ16" s="35"/>
      <c r="HA16" s="35"/>
      <c r="HB16" s="35"/>
      <c r="HC16" s="35"/>
      <c r="HD16" s="35"/>
      <c r="HE16" s="35"/>
      <c r="HF16" s="35"/>
      <c r="HG16" s="35"/>
      <c r="HH16" s="35"/>
      <c r="HI16" s="35"/>
      <c r="HJ16" s="35"/>
      <c r="HK16" s="11" t="str">
        <f t="shared" si="75"/>
        <v/>
      </c>
      <c r="HL16" s="11" t="str">
        <f t="shared" si="76"/>
        <v/>
      </c>
      <c r="HM16" s="11" t="str">
        <f t="shared" si="77"/>
        <v/>
      </c>
      <c r="HN16" s="11" t="str">
        <f t="shared" si="78"/>
        <v/>
      </c>
      <c r="HO16" s="11" t="str">
        <f t="shared" si="79"/>
        <v/>
      </c>
      <c r="HP16" s="11" t="str">
        <f t="shared" si="80"/>
        <v/>
      </c>
      <c r="HQ16" s="11" t="str">
        <f t="shared" si="81"/>
        <v/>
      </c>
      <c r="HR16" s="36"/>
      <c r="HS16" s="36"/>
      <c r="HT16" s="36"/>
      <c r="HU16" s="36"/>
      <c r="HV16" s="36"/>
      <c r="HW16" s="36"/>
      <c r="HX16" s="36"/>
      <c r="HY16" s="36"/>
      <c r="HZ16" s="36"/>
      <c r="IA16" s="36"/>
      <c r="IB16" s="36"/>
      <c r="IC16" s="36"/>
      <c r="ID16" s="36"/>
      <c r="IE16" s="36"/>
      <c r="IF16" s="36"/>
      <c r="IG16" s="14" t="str">
        <f t="shared" si="82"/>
        <v/>
      </c>
      <c r="IH16" s="14" t="str">
        <f t="shared" si="83"/>
        <v/>
      </c>
      <c r="II16" s="14" t="str">
        <f t="shared" si="84"/>
        <v/>
      </c>
      <c r="IJ16" s="14" t="str">
        <f t="shared" si="85"/>
        <v/>
      </c>
      <c r="IK16" s="14" t="str">
        <f t="shared" si="86"/>
        <v/>
      </c>
      <c r="IL16" s="14" t="str">
        <f t="shared" si="87"/>
        <v/>
      </c>
      <c r="IM16" s="14" t="str">
        <f t="shared" si="88"/>
        <v/>
      </c>
      <c r="IN16" s="35"/>
      <c r="IO16" s="35"/>
      <c r="IP16" s="35"/>
      <c r="IQ16" s="35"/>
      <c r="IR16" s="35"/>
      <c r="IS16" s="35"/>
      <c r="IT16" s="35"/>
      <c r="IU16" s="35"/>
      <c r="IV16" s="35"/>
      <c r="IW16" s="35"/>
      <c r="IX16" s="35"/>
      <c r="IY16" s="35"/>
      <c r="IZ16" s="35"/>
      <c r="JA16" s="35"/>
      <c r="JB16" s="35"/>
      <c r="JC16" s="11" t="str">
        <f t="shared" si="89"/>
        <v/>
      </c>
      <c r="JD16" s="11" t="str">
        <f t="shared" si="90"/>
        <v/>
      </c>
      <c r="JE16" s="11" t="str">
        <f t="shared" si="91"/>
        <v/>
      </c>
      <c r="JF16" s="11" t="str">
        <f t="shared" si="92"/>
        <v/>
      </c>
      <c r="JG16" s="11" t="str">
        <f t="shared" si="93"/>
        <v/>
      </c>
      <c r="JH16" s="11" t="str">
        <f t="shared" si="94"/>
        <v/>
      </c>
      <c r="JI16" s="11" t="str">
        <f t="shared" si="95"/>
        <v/>
      </c>
      <c r="JJ16" s="36"/>
      <c r="JK16" s="36"/>
      <c r="JL16" s="36"/>
      <c r="JM16" s="36"/>
      <c r="JN16" s="36"/>
      <c r="JO16" s="36"/>
      <c r="JP16" s="36"/>
      <c r="JQ16" s="36"/>
      <c r="JR16" s="36"/>
      <c r="JS16" s="36"/>
      <c r="JT16" s="36"/>
      <c r="JU16" s="36"/>
      <c r="JV16" s="36"/>
      <c r="JW16" s="36"/>
      <c r="JX16" s="36"/>
      <c r="JY16" s="14" t="str">
        <f t="shared" si="96"/>
        <v/>
      </c>
      <c r="JZ16" s="14" t="str">
        <f t="shared" si="97"/>
        <v/>
      </c>
      <c r="KA16" s="14" t="str">
        <f t="shared" si="98"/>
        <v/>
      </c>
      <c r="KB16" s="14" t="str">
        <f t="shared" si="99"/>
        <v/>
      </c>
      <c r="KC16" s="14" t="str">
        <f t="shared" si="100"/>
        <v/>
      </c>
      <c r="KD16" s="14" t="str">
        <f t="shared" si="101"/>
        <v/>
      </c>
      <c r="KE16" s="14" t="str">
        <f t="shared" si="102"/>
        <v/>
      </c>
      <c r="KF16" s="35"/>
      <c r="KG16" s="35"/>
      <c r="KH16" s="35"/>
      <c r="KI16" s="35"/>
      <c r="KJ16" s="35"/>
      <c r="KK16" s="35"/>
      <c r="KL16" s="35"/>
      <c r="KM16" s="35"/>
      <c r="KN16" s="35"/>
      <c r="KO16" s="35"/>
      <c r="KP16" s="35"/>
      <c r="KQ16" s="35"/>
      <c r="KR16" s="35"/>
      <c r="KS16" s="35"/>
      <c r="KT16" s="35"/>
      <c r="KU16" s="11" t="str">
        <f t="shared" si="103"/>
        <v/>
      </c>
      <c r="KV16" s="11" t="str">
        <f t="shared" si="104"/>
        <v/>
      </c>
      <c r="KW16" s="11" t="str">
        <f t="shared" si="105"/>
        <v/>
      </c>
      <c r="KX16" s="11" t="str">
        <f t="shared" si="106"/>
        <v/>
      </c>
      <c r="KY16" s="11" t="str">
        <f t="shared" si="107"/>
        <v/>
      </c>
      <c r="KZ16" s="11" t="str">
        <f t="shared" si="108"/>
        <v/>
      </c>
      <c r="LA16" s="11" t="str">
        <f t="shared" si="109"/>
        <v/>
      </c>
      <c r="LB16" s="36"/>
      <c r="LC16" s="36"/>
      <c r="LD16" s="36"/>
      <c r="LE16" s="36"/>
      <c r="LF16" s="36"/>
      <c r="LG16" s="36"/>
      <c r="LH16" s="36"/>
      <c r="LI16" s="36"/>
      <c r="LJ16" s="36"/>
      <c r="LK16" s="36"/>
      <c r="LL16" s="36"/>
      <c r="LM16" s="36"/>
      <c r="LN16" s="36"/>
      <c r="LO16" s="36"/>
      <c r="LP16" s="36"/>
      <c r="LQ16" s="14" t="str">
        <f t="shared" si="110"/>
        <v/>
      </c>
      <c r="LR16" s="14" t="str">
        <f t="shared" si="111"/>
        <v/>
      </c>
      <c r="LS16" s="14" t="str">
        <f t="shared" si="112"/>
        <v/>
      </c>
      <c r="LT16" s="14" t="str">
        <f t="shared" si="113"/>
        <v/>
      </c>
      <c r="LU16" s="14" t="str">
        <f t="shared" si="114"/>
        <v/>
      </c>
      <c r="LV16" s="14" t="str">
        <f t="shared" si="115"/>
        <v/>
      </c>
      <c r="LW16" s="14" t="str">
        <f t="shared" si="116"/>
        <v/>
      </c>
      <c r="LX16" s="35"/>
      <c r="LY16" s="35"/>
      <c r="LZ16" s="35"/>
      <c r="MA16" s="35"/>
      <c r="MB16" s="35"/>
      <c r="MC16" s="35"/>
      <c r="MD16" s="35"/>
      <c r="ME16" s="35"/>
      <c r="MF16" s="35"/>
      <c r="MG16" s="35"/>
      <c r="MH16" s="35"/>
      <c r="MI16" s="35"/>
      <c r="MJ16" s="35"/>
      <c r="MK16" s="35"/>
      <c r="ML16" s="35"/>
      <c r="MM16" s="11" t="str">
        <f t="shared" si="117"/>
        <v/>
      </c>
      <c r="MN16" s="11" t="str">
        <f t="shared" si="118"/>
        <v/>
      </c>
      <c r="MO16" s="11" t="str">
        <f t="shared" si="119"/>
        <v/>
      </c>
      <c r="MP16" s="11" t="str">
        <f t="shared" si="120"/>
        <v/>
      </c>
      <c r="MQ16" s="11" t="str">
        <f t="shared" si="121"/>
        <v/>
      </c>
      <c r="MR16" s="11" t="str">
        <f t="shared" si="122"/>
        <v/>
      </c>
      <c r="MS16" s="11" t="str">
        <f t="shared" si="123"/>
        <v/>
      </c>
      <c r="MT16" s="36"/>
      <c r="MU16" s="36"/>
      <c r="MV16" s="36"/>
      <c r="MW16" s="36"/>
      <c r="MX16" s="36"/>
      <c r="MY16" s="36"/>
      <c r="MZ16" s="36"/>
      <c r="NA16" s="36"/>
      <c r="NB16" s="36"/>
      <c r="NC16" s="36"/>
      <c r="ND16" s="36"/>
      <c r="NE16" s="36"/>
      <c r="NF16" s="36"/>
      <c r="NG16" s="36"/>
      <c r="NH16" s="36"/>
      <c r="NI16" s="14" t="str">
        <f t="shared" si="124"/>
        <v/>
      </c>
      <c r="NJ16" s="14" t="str">
        <f t="shared" si="125"/>
        <v/>
      </c>
      <c r="NK16" s="14" t="str">
        <f t="shared" si="126"/>
        <v/>
      </c>
      <c r="NL16" s="14" t="str">
        <f t="shared" si="127"/>
        <v/>
      </c>
      <c r="NM16" s="14" t="str">
        <f t="shared" si="128"/>
        <v/>
      </c>
      <c r="NN16" s="14" t="str">
        <f t="shared" si="129"/>
        <v/>
      </c>
      <c r="NO16" s="14" t="str">
        <f t="shared" si="130"/>
        <v/>
      </c>
      <c r="NP16" s="61">
        <f t="shared" si="131"/>
        <v>7.55</v>
      </c>
      <c r="NQ16" s="61">
        <f t="shared" si="132"/>
        <v>4.8</v>
      </c>
      <c r="NR16" s="61">
        <f t="shared" si="133"/>
        <v>1</v>
      </c>
      <c r="NS16" s="61">
        <f t="shared" si="134"/>
        <v>6.9850000000000003</v>
      </c>
      <c r="NT16" s="61">
        <f t="shared" si="135"/>
        <v>0</v>
      </c>
      <c r="NU16" s="61">
        <f t="shared" si="136"/>
        <v>5.0999999999999996</v>
      </c>
      <c r="NV16" s="61">
        <f t="shared" si="137"/>
        <v>4.2</v>
      </c>
      <c r="NW16" s="61">
        <f t="shared" si="138"/>
        <v>4.8499999999999996</v>
      </c>
      <c r="NX16" s="61">
        <f t="shared" si="139"/>
        <v>6.8150000000000004</v>
      </c>
      <c r="NY16" s="61">
        <f t="shared" si="140"/>
        <v>0</v>
      </c>
      <c r="NZ16" s="61">
        <f t="shared" si="141"/>
        <v>0</v>
      </c>
      <c r="OA16" s="61">
        <f t="shared" si="142"/>
        <v>0</v>
      </c>
      <c r="OB16" s="61">
        <f t="shared" si="143"/>
        <v>0</v>
      </c>
      <c r="OC16" s="61">
        <f t="shared" si="144"/>
        <v>0</v>
      </c>
      <c r="OD16" s="61">
        <f t="shared" si="145"/>
        <v>0</v>
      </c>
      <c r="OE16" s="61">
        <f t="shared" si="146"/>
        <v>6.95</v>
      </c>
      <c r="OF16" s="61">
        <f t="shared" si="147"/>
        <v>4.6500000000000004</v>
      </c>
      <c r="OG16" s="61">
        <f t="shared" si="148"/>
        <v>4.5</v>
      </c>
      <c r="OH16" s="61">
        <f t="shared" si="149"/>
        <v>6.95</v>
      </c>
      <c r="OI16" s="61">
        <f t="shared" si="150"/>
        <v>0</v>
      </c>
      <c r="OJ16" s="72" t="s">
        <v>52</v>
      </c>
      <c r="OK16" s="11">
        <f t="shared" si="151"/>
        <v>20.335000000000001</v>
      </c>
      <c r="OL16" s="11">
        <f t="shared" si="152"/>
        <v>4.8499999999999996</v>
      </c>
      <c r="OM16" s="11">
        <f t="shared" si="153"/>
        <v>20.965</v>
      </c>
      <c r="ON16" s="11" t="str">
        <f t="shared" si="154"/>
        <v/>
      </c>
      <c r="OO16" s="11" t="str">
        <f t="shared" si="155"/>
        <v/>
      </c>
      <c r="OP16" s="11">
        <f t="shared" si="156"/>
        <v>41.3</v>
      </c>
      <c r="OQ16" s="11">
        <f t="shared" si="157"/>
        <v>4.5</v>
      </c>
      <c r="OR16" s="11">
        <f t="shared" ref="OR16" si="172">IF(SUM(OE16:OH16)-OI16&gt;0,SUM(OE16:OH16)-OI16,"")</f>
        <v>23.05</v>
      </c>
      <c r="OS16" s="11">
        <f t="shared" ref="OS16" si="173">IF(SUM(OP16,OR16)&gt;0,SUM(OP16,OR16),"")</f>
        <v>64.349999999999994</v>
      </c>
    </row>
    <row r="17" spans="1:409" x14ac:dyDescent="0.2">
      <c r="A17" s="5" t="str" cm="1">
        <f t="array" ref="A17">IF(AND(G17&lt;&gt;"",H17&lt;&gt;""),SUMPRODUCT((G$4:G$27&lt;&gt;"")*(H$4:H$27&lt;&gt;"")*(E$4:E$27&gt;E17))+1,IF(H17&lt;&gt;"",SUMPRODUCT((I$4:I$27="No DD")*(E$4:E$27&gt;E17))+1+SUMPRODUCT((G$4:G$27&lt;&gt;"")*(H$4:H$27&lt;&gt;"")),""))</f>
        <v/>
      </c>
      <c r="B17" s="8" t="s">
        <v>94</v>
      </c>
      <c r="C17" s="4" t="s">
        <v>4</v>
      </c>
      <c r="D17" s="26">
        <v>2004</v>
      </c>
      <c r="E17" s="15">
        <f t="shared" si="0"/>
        <v>83.91</v>
      </c>
      <c r="F17" s="3" t="str">
        <f t="shared" si="1"/>
        <v/>
      </c>
      <c r="G17" s="115" t="str">
        <f t="shared" si="2"/>
        <v/>
      </c>
      <c r="H17" s="115" t="str">
        <f t="shared" si="3"/>
        <v/>
      </c>
      <c r="I17" s="116" t="str">
        <f t="shared" si="4"/>
        <v/>
      </c>
      <c r="J17" s="3" t="str">
        <f t="shared" si="5"/>
        <v/>
      </c>
      <c r="K17" s="14">
        <f t="shared" si="6"/>
        <v>79.615000000000009</v>
      </c>
      <c r="L17" s="14" t="str">
        <f t="shared" si="7"/>
        <v>2021 2nd Virtual Technical Trial</v>
      </c>
      <c r="M17" s="14">
        <f t="shared" si="8"/>
        <v>40.69</v>
      </c>
      <c r="N17" s="14" t="str">
        <f t="shared" si="9"/>
        <v>2021 Elite Canada</v>
      </c>
      <c r="O17" s="14">
        <f t="shared" si="10"/>
        <v>43.605000000000004</v>
      </c>
      <c r="P17" s="14" t="str">
        <f t="shared" si="11"/>
        <v>2021 2nd Virtual Technical Trial</v>
      </c>
      <c r="Q17" s="14">
        <f>IF(COUNT(AS17,AU17,AX17,BW17,BY17,CB17,DA17,DC17,DF17)&gt;1,LARGE((AS17,AU17,AX17,BW17,BY17,CB17,DA17,DC17,DF17),2),0)</f>
        <v>40.305</v>
      </c>
      <c r="R17" s="14" t="str">
        <f t="shared" si="12"/>
        <v>2021 2nd Virtual Technical Trial</v>
      </c>
      <c r="S17" s="14" t="str">
        <f t="shared" si="13"/>
        <v/>
      </c>
      <c r="T17" s="24" t="str">
        <f t="shared" si="14"/>
        <v/>
      </c>
      <c r="U17" s="14" t="str">
        <f t="shared" si="15"/>
        <v/>
      </c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72"/>
      <c r="AQ17" s="11" t="str">
        <f t="shared" si="16"/>
        <v/>
      </c>
      <c r="AR17" s="11" t="str">
        <f t="shared" si="17"/>
        <v/>
      </c>
      <c r="AS17" s="11" t="str">
        <f t="shared" si="18"/>
        <v/>
      </c>
      <c r="AT17" s="11" t="str">
        <f t="shared" si="19"/>
        <v/>
      </c>
      <c r="AU17" s="11" t="str">
        <f t="shared" si="20"/>
        <v/>
      </c>
      <c r="AV17" s="11" t="str">
        <f t="shared" si="21"/>
        <v/>
      </c>
      <c r="AW17" s="11" t="str">
        <f t="shared" si="22"/>
        <v/>
      </c>
      <c r="AX17" s="11" t="str">
        <f t="shared" si="23"/>
        <v/>
      </c>
      <c r="AY17" s="11" t="str">
        <f t="shared" si="24"/>
        <v/>
      </c>
      <c r="AZ17" s="67">
        <v>14.3</v>
      </c>
      <c r="BA17" s="67">
        <v>9.3000000000000007</v>
      </c>
      <c r="BB17" s="67">
        <v>2.2000000000000002</v>
      </c>
      <c r="BC17" s="67">
        <v>13.51</v>
      </c>
      <c r="BD17" s="67">
        <v>0</v>
      </c>
      <c r="BE17" s="67">
        <v>12.2</v>
      </c>
      <c r="BF17" s="67">
        <v>8.6</v>
      </c>
      <c r="BG17" s="67">
        <v>7.8</v>
      </c>
      <c r="BH17" s="67">
        <v>11.705</v>
      </c>
      <c r="BI17" s="67">
        <v>0</v>
      </c>
      <c r="BJ17" s="67"/>
      <c r="BK17" s="67"/>
      <c r="BL17" s="67"/>
      <c r="BM17" s="67"/>
      <c r="BN17" s="67"/>
      <c r="BO17" s="67">
        <v>12.4</v>
      </c>
      <c r="BP17" s="67">
        <v>9.1999999999999993</v>
      </c>
      <c r="BQ17" s="67">
        <v>9</v>
      </c>
      <c r="BR17" s="67">
        <v>13.005000000000001</v>
      </c>
      <c r="BS17" s="67">
        <v>0</v>
      </c>
      <c r="BT17" s="73"/>
      <c r="BU17" s="14">
        <f t="shared" si="25"/>
        <v>39.31</v>
      </c>
      <c r="BV17" s="14">
        <f t="shared" si="26"/>
        <v>7.8</v>
      </c>
      <c r="BW17" s="14">
        <f t="shared" si="27"/>
        <v>40.305</v>
      </c>
      <c r="BX17" s="14" t="str">
        <f t="shared" si="28"/>
        <v/>
      </c>
      <c r="BY17" s="14" t="str">
        <f t="shared" si="29"/>
        <v/>
      </c>
      <c r="BZ17" s="14">
        <f t="shared" si="30"/>
        <v>79.615000000000009</v>
      </c>
      <c r="CA17" s="14">
        <f t="shared" si="31"/>
        <v>9</v>
      </c>
      <c r="CB17" s="14">
        <f t="shared" si="32"/>
        <v>43.605000000000004</v>
      </c>
      <c r="CC17" s="14">
        <f t="shared" si="33"/>
        <v>123.22000000000001</v>
      </c>
      <c r="CD17" s="61">
        <v>15.9</v>
      </c>
      <c r="CE17" s="61">
        <v>9.5</v>
      </c>
      <c r="CF17" s="61">
        <v>1.5</v>
      </c>
      <c r="CG17" s="61">
        <v>13.79</v>
      </c>
      <c r="CH17" s="61">
        <v>0</v>
      </c>
      <c r="CI17" s="61">
        <v>7.1</v>
      </c>
      <c r="CJ17" s="61">
        <v>4.4000000000000004</v>
      </c>
      <c r="CK17" s="61">
        <v>5.7</v>
      </c>
      <c r="CL17" s="61">
        <v>6.585</v>
      </c>
      <c r="CM17" s="61">
        <v>0</v>
      </c>
      <c r="CN17" s="61"/>
      <c r="CO17" s="61"/>
      <c r="CP17" s="61"/>
      <c r="CQ17" s="61"/>
      <c r="CR17" s="61"/>
      <c r="CS17" s="61"/>
      <c r="CT17" s="61"/>
      <c r="CU17" s="61"/>
      <c r="CV17" s="61"/>
      <c r="CW17" s="61"/>
      <c r="CX17" s="72"/>
      <c r="CY17" s="11">
        <f t="shared" si="34"/>
        <v>40.69</v>
      </c>
      <c r="CZ17" s="11">
        <f t="shared" si="35"/>
        <v>5.7</v>
      </c>
      <c r="DA17" s="11">
        <f t="shared" si="36"/>
        <v>23.785</v>
      </c>
      <c r="DB17" s="11" t="str">
        <f t="shared" si="37"/>
        <v/>
      </c>
      <c r="DC17" s="11" t="str">
        <f t="shared" si="38"/>
        <v/>
      </c>
      <c r="DD17" s="11">
        <f t="shared" si="39"/>
        <v>64.474999999999994</v>
      </c>
      <c r="DE17" s="11" t="str">
        <f t="shared" si="40"/>
        <v/>
      </c>
      <c r="DF17" s="11" t="str">
        <f t="shared" si="41"/>
        <v/>
      </c>
      <c r="DG17" s="11">
        <f t="shared" si="42"/>
        <v>64.474999999999994</v>
      </c>
      <c r="DH17" s="23" t="str">
        <f t="shared" si="43"/>
        <v/>
      </c>
      <c r="DI17" s="23" t="str">
        <f t="shared" si="44"/>
        <v/>
      </c>
      <c r="DJ17" s="23" t="str">
        <f t="shared" si="45"/>
        <v/>
      </c>
      <c r="DK17" s="23" t="str">
        <f t="shared" si="46"/>
        <v/>
      </c>
      <c r="DL17" s="35"/>
      <c r="DM17" s="35"/>
      <c r="DN17" s="35"/>
      <c r="DO17" s="35"/>
      <c r="DP17" s="35"/>
      <c r="DQ17" s="35"/>
      <c r="DR17" s="35"/>
      <c r="DS17" s="35"/>
      <c r="DT17" s="35"/>
      <c r="DU17" s="35"/>
      <c r="DV17" s="35"/>
      <c r="DW17" s="35"/>
      <c r="DX17" s="35"/>
      <c r="DY17" s="35"/>
      <c r="DZ17" s="35"/>
      <c r="EA17" s="11" t="str">
        <f t="shared" si="47"/>
        <v/>
      </c>
      <c r="EB17" s="11" t="str">
        <f t="shared" si="48"/>
        <v/>
      </c>
      <c r="EC17" s="11" t="str">
        <f t="shared" si="49"/>
        <v/>
      </c>
      <c r="ED17" s="11" t="str">
        <f t="shared" si="50"/>
        <v/>
      </c>
      <c r="EE17" s="11" t="str">
        <f t="shared" si="51"/>
        <v/>
      </c>
      <c r="EF17" s="11" t="str">
        <f t="shared" si="52"/>
        <v/>
      </c>
      <c r="EG17" s="11" t="str">
        <f t="shared" si="53"/>
        <v/>
      </c>
      <c r="EH17" s="36"/>
      <c r="EI17" s="36"/>
      <c r="EJ17" s="36"/>
      <c r="EK17" s="36"/>
      <c r="EL17" s="36"/>
      <c r="EM17" s="36"/>
      <c r="EN17" s="36"/>
      <c r="EO17" s="36"/>
      <c r="EP17" s="36"/>
      <c r="EQ17" s="36"/>
      <c r="ER17" s="36"/>
      <c r="ES17" s="36"/>
      <c r="ET17" s="36"/>
      <c r="EU17" s="36"/>
      <c r="EV17" s="36"/>
      <c r="EW17" s="14" t="str">
        <f t="shared" si="54"/>
        <v/>
      </c>
      <c r="EX17" s="14" t="str">
        <f t="shared" si="55"/>
        <v/>
      </c>
      <c r="EY17" s="14" t="str">
        <f t="shared" si="56"/>
        <v/>
      </c>
      <c r="EZ17" s="14" t="str">
        <f t="shared" si="57"/>
        <v/>
      </c>
      <c r="FA17" s="14" t="str">
        <f t="shared" si="58"/>
        <v/>
      </c>
      <c r="FB17" s="14" t="str">
        <f t="shared" si="59"/>
        <v/>
      </c>
      <c r="FC17" s="14" t="str">
        <f t="shared" si="60"/>
        <v/>
      </c>
      <c r="FD17" s="35"/>
      <c r="FE17" s="35"/>
      <c r="FF17" s="35"/>
      <c r="FG17" s="35"/>
      <c r="FH17" s="35"/>
      <c r="FI17" s="35"/>
      <c r="FJ17" s="35"/>
      <c r="FK17" s="35"/>
      <c r="FL17" s="35"/>
      <c r="FM17" s="35"/>
      <c r="FN17" s="35"/>
      <c r="FO17" s="35"/>
      <c r="FP17" s="35"/>
      <c r="FQ17" s="35"/>
      <c r="FR17" s="35"/>
      <c r="FS17" s="11" t="str">
        <f t="shared" si="61"/>
        <v/>
      </c>
      <c r="FT17" s="11" t="str">
        <f t="shared" si="62"/>
        <v/>
      </c>
      <c r="FU17" s="11" t="str">
        <f t="shared" si="63"/>
        <v/>
      </c>
      <c r="FV17" s="11" t="str">
        <f t="shared" si="64"/>
        <v/>
      </c>
      <c r="FW17" s="11" t="str">
        <f t="shared" si="65"/>
        <v/>
      </c>
      <c r="FX17" s="11" t="str">
        <f t="shared" si="66"/>
        <v/>
      </c>
      <c r="FY17" s="11" t="str">
        <f t="shared" si="67"/>
        <v/>
      </c>
      <c r="FZ17" s="36"/>
      <c r="GA17" s="36"/>
      <c r="GB17" s="36"/>
      <c r="GC17" s="36"/>
      <c r="GD17" s="36"/>
      <c r="GE17" s="36"/>
      <c r="GF17" s="36"/>
      <c r="GG17" s="36"/>
      <c r="GH17" s="36"/>
      <c r="GI17" s="36"/>
      <c r="GJ17" s="36"/>
      <c r="GK17" s="36"/>
      <c r="GL17" s="36"/>
      <c r="GM17" s="36"/>
      <c r="GN17" s="36"/>
      <c r="GO17" s="14" t="str">
        <f t="shared" si="68"/>
        <v/>
      </c>
      <c r="GP17" s="14" t="str">
        <f t="shared" si="69"/>
        <v/>
      </c>
      <c r="GQ17" s="14" t="str">
        <f t="shared" si="70"/>
        <v/>
      </c>
      <c r="GR17" s="14" t="str">
        <f t="shared" si="71"/>
        <v/>
      </c>
      <c r="GS17" s="14" t="str">
        <f t="shared" si="72"/>
        <v/>
      </c>
      <c r="GT17" s="14" t="str">
        <f t="shared" si="73"/>
        <v/>
      </c>
      <c r="GU17" s="14" t="str">
        <f t="shared" si="74"/>
        <v/>
      </c>
      <c r="GV17" s="35"/>
      <c r="GW17" s="35"/>
      <c r="GX17" s="35"/>
      <c r="GY17" s="35"/>
      <c r="GZ17" s="35"/>
      <c r="HA17" s="35"/>
      <c r="HB17" s="35"/>
      <c r="HC17" s="35"/>
      <c r="HD17" s="35"/>
      <c r="HE17" s="35"/>
      <c r="HF17" s="35"/>
      <c r="HG17" s="35"/>
      <c r="HH17" s="35"/>
      <c r="HI17" s="35"/>
      <c r="HJ17" s="35"/>
      <c r="HK17" s="11" t="str">
        <f t="shared" si="75"/>
        <v/>
      </c>
      <c r="HL17" s="11" t="str">
        <f t="shared" si="76"/>
        <v/>
      </c>
      <c r="HM17" s="11" t="str">
        <f t="shared" si="77"/>
        <v/>
      </c>
      <c r="HN17" s="11" t="str">
        <f t="shared" si="78"/>
        <v/>
      </c>
      <c r="HO17" s="11" t="str">
        <f t="shared" si="79"/>
        <v/>
      </c>
      <c r="HP17" s="11" t="str">
        <f t="shared" si="80"/>
        <v/>
      </c>
      <c r="HQ17" s="11" t="str">
        <f t="shared" si="81"/>
        <v/>
      </c>
      <c r="HR17" s="36"/>
      <c r="HS17" s="36"/>
      <c r="HT17" s="36"/>
      <c r="HU17" s="36"/>
      <c r="HV17" s="36"/>
      <c r="HW17" s="36"/>
      <c r="HX17" s="36"/>
      <c r="HY17" s="36"/>
      <c r="HZ17" s="36"/>
      <c r="IA17" s="36"/>
      <c r="IB17" s="36"/>
      <c r="IC17" s="36"/>
      <c r="ID17" s="36"/>
      <c r="IE17" s="36"/>
      <c r="IF17" s="36"/>
      <c r="IG17" s="14" t="str">
        <f t="shared" si="82"/>
        <v/>
      </c>
      <c r="IH17" s="14" t="str">
        <f t="shared" si="83"/>
        <v/>
      </c>
      <c r="II17" s="14" t="str">
        <f t="shared" si="84"/>
        <v/>
      </c>
      <c r="IJ17" s="14" t="str">
        <f t="shared" si="85"/>
        <v/>
      </c>
      <c r="IK17" s="14" t="str">
        <f t="shared" si="86"/>
        <v/>
      </c>
      <c r="IL17" s="14" t="str">
        <f t="shared" si="87"/>
        <v/>
      </c>
      <c r="IM17" s="14" t="str">
        <f t="shared" si="88"/>
        <v/>
      </c>
      <c r="IN17" s="35"/>
      <c r="IO17" s="35"/>
      <c r="IP17" s="35"/>
      <c r="IQ17" s="35"/>
      <c r="IR17" s="35"/>
      <c r="IS17" s="35"/>
      <c r="IT17" s="35"/>
      <c r="IU17" s="35"/>
      <c r="IV17" s="35"/>
      <c r="IW17" s="35"/>
      <c r="IX17" s="35"/>
      <c r="IY17" s="35"/>
      <c r="IZ17" s="35"/>
      <c r="JA17" s="35"/>
      <c r="JB17" s="35"/>
      <c r="JC17" s="11" t="str">
        <f t="shared" si="89"/>
        <v/>
      </c>
      <c r="JD17" s="11" t="str">
        <f t="shared" si="90"/>
        <v/>
      </c>
      <c r="JE17" s="11" t="str">
        <f t="shared" si="91"/>
        <v/>
      </c>
      <c r="JF17" s="11" t="str">
        <f t="shared" si="92"/>
        <v/>
      </c>
      <c r="JG17" s="11" t="str">
        <f t="shared" si="93"/>
        <v/>
      </c>
      <c r="JH17" s="11" t="str">
        <f t="shared" si="94"/>
        <v/>
      </c>
      <c r="JI17" s="11" t="str">
        <f t="shared" si="95"/>
        <v/>
      </c>
      <c r="JJ17" s="36"/>
      <c r="JK17" s="36"/>
      <c r="JL17" s="36"/>
      <c r="JM17" s="36"/>
      <c r="JN17" s="36"/>
      <c r="JO17" s="36"/>
      <c r="JP17" s="36"/>
      <c r="JQ17" s="36"/>
      <c r="JR17" s="36"/>
      <c r="JS17" s="36"/>
      <c r="JT17" s="36"/>
      <c r="JU17" s="36"/>
      <c r="JV17" s="36"/>
      <c r="JW17" s="36"/>
      <c r="JX17" s="36"/>
      <c r="JY17" s="14" t="str">
        <f t="shared" si="96"/>
        <v/>
      </c>
      <c r="JZ17" s="14" t="str">
        <f t="shared" si="97"/>
        <v/>
      </c>
      <c r="KA17" s="14" t="str">
        <f t="shared" si="98"/>
        <v/>
      </c>
      <c r="KB17" s="14" t="str">
        <f t="shared" si="99"/>
        <v/>
      </c>
      <c r="KC17" s="14" t="str">
        <f t="shared" si="100"/>
        <v/>
      </c>
      <c r="KD17" s="14" t="str">
        <f t="shared" si="101"/>
        <v/>
      </c>
      <c r="KE17" s="14" t="str">
        <f t="shared" si="102"/>
        <v/>
      </c>
      <c r="KF17" s="35"/>
      <c r="KG17" s="35"/>
      <c r="KH17" s="35"/>
      <c r="KI17" s="35"/>
      <c r="KJ17" s="35"/>
      <c r="KK17" s="35"/>
      <c r="KL17" s="35"/>
      <c r="KM17" s="35"/>
      <c r="KN17" s="35"/>
      <c r="KO17" s="35"/>
      <c r="KP17" s="35"/>
      <c r="KQ17" s="35"/>
      <c r="KR17" s="35"/>
      <c r="KS17" s="35"/>
      <c r="KT17" s="35"/>
      <c r="KU17" s="11" t="str">
        <f t="shared" si="103"/>
        <v/>
      </c>
      <c r="KV17" s="11" t="str">
        <f t="shared" si="104"/>
        <v/>
      </c>
      <c r="KW17" s="11" t="str">
        <f t="shared" si="105"/>
        <v/>
      </c>
      <c r="KX17" s="11" t="str">
        <f t="shared" si="106"/>
        <v/>
      </c>
      <c r="KY17" s="11" t="str">
        <f t="shared" si="107"/>
        <v/>
      </c>
      <c r="KZ17" s="11" t="str">
        <f t="shared" si="108"/>
        <v/>
      </c>
      <c r="LA17" s="11" t="str">
        <f t="shared" si="109"/>
        <v/>
      </c>
      <c r="LB17" s="36"/>
      <c r="LC17" s="36"/>
      <c r="LD17" s="36"/>
      <c r="LE17" s="36"/>
      <c r="LF17" s="36"/>
      <c r="LG17" s="36"/>
      <c r="LH17" s="36"/>
      <c r="LI17" s="36"/>
      <c r="LJ17" s="36"/>
      <c r="LK17" s="36"/>
      <c r="LL17" s="36"/>
      <c r="LM17" s="36"/>
      <c r="LN17" s="36"/>
      <c r="LO17" s="36"/>
      <c r="LP17" s="36"/>
      <c r="LQ17" s="14" t="str">
        <f t="shared" si="110"/>
        <v/>
      </c>
      <c r="LR17" s="14" t="str">
        <f t="shared" si="111"/>
        <v/>
      </c>
      <c r="LS17" s="14" t="str">
        <f t="shared" si="112"/>
        <v/>
      </c>
      <c r="LT17" s="14" t="str">
        <f t="shared" si="113"/>
        <v/>
      </c>
      <c r="LU17" s="14" t="str">
        <f t="shared" si="114"/>
        <v/>
      </c>
      <c r="LV17" s="14" t="str">
        <f t="shared" si="115"/>
        <v/>
      </c>
      <c r="LW17" s="14" t="str">
        <f t="shared" si="116"/>
        <v/>
      </c>
      <c r="LX17" s="35"/>
      <c r="LY17" s="35"/>
      <c r="LZ17" s="35"/>
      <c r="MA17" s="35"/>
      <c r="MB17" s="35"/>
      <c r="MC17" s="35"/>
      <c r="MD17" s="35"/>
      <c r="ME17" s="35"/>
      <c r="MF17" s="35"/>
      <c r="MG17" s="35"/>
      <c r="MH17" s="35"/>
      <c r="MI17" s="35"/>
      <c r="MJ17" s="35"/>
      <c r="MK17" s="35"/>
      <c r="ML17" s="35"/>
      <c r="MM17" s="11" t="str">
        <f t="shared" si="117"/>
        <v/>
      </c>
      <c r="MN17" s="11" t="str">
        <f t="shared" si="118"/>
        <v/>
      </c>
      <c r="MO17" s="11" t="str">
        <f t="shared" si="119"/>
        <v/>
      </c>
      <c r="MP17" s="11" t="str">
        <f t="shared" si="120"/>
        <v/>
      </c>
      <c r="MQ17" s="11" t="str">
        <f t="shared" si="121"/>
        <v/>
      </c>
      <c r="MR17" s="11" t="str">
        <f t="shared" si="122"/>
        <v/>
      </c>
      <c r="MS17" s="11" t="str">
        <f t="shared" si="123"/>
        <v/>
      </c>
      <c r="MT17" s="36"/>
      <c r="MU17" s="36"/>
      <c r="MV17" s="36"/>
      <c r="MW17" s="36"/>
      <c r="MX17" s="36"/>
      <c r="MY17" s="36"/>
      <c r="MZ17" s="36"/>
      <c r="NA17" s="36"/>
      <c r="NB17" s="36"/>
      <c r="NC17" s="36"/>
      <c r="ND17" s="36"/>
      <c r="NE17" s="36"/>
      <c r="NF17" s="36"/>
      <c r="NG17" s="36"/>
      <c r="NH17" s="36"/>
      <c r="NI17" s="14" t="str">
        <f t="shared" si="124"/>
        <v/>
      </c>
      <c r="NJ17" s="14" t="str">
        <f t="shared" si="125"/>
        <v/>
      </c>
      <c r="NK17" s="14" t="str">
        <f t="shared" si="126"/>
        <v/>
      </c>
      <c r="NL17" s="14" t="str">
        <f t="shared" si="127"/>
        <v/>
      </c>
      <c r="NM17" s="14" t="str">
        <f t="shared" si="128"/>
        <v/>
      </c>
      <c r="NN17" s="14" t="str">
        <f t="shared" si="129"/>
        <v/>
      </c>
      <c r="NO17" s="14" t="str">
        <f t="shared" si="130"/>
        <v/>
      </c>
      <c r="NP17" s="61">
        <f t="shared" si="131"/>
        <v>15.100000000000001</v>
      </c>
      <c r="NQ17" s="61">
        <f t="shared" si="132"/>
        <v>9.4</v>
      </c>
      <c r="NR17" s="61">
        <f t="shared" si="133"/>
        <v>1.85</v>
      </c>
      <c r="NS17" s="61">
        <f t="shared" si="134"/>
        <v>13.649999999999999</v>
      </c>
      <c r="NT17" s="61">
        <f t="shared" si="135"/>
        <v>0</v>
      </c>
      <c r="NU17" s="61">
        <f t="shared" si="136"/>
        <v>9.6499999999999986</v>
      </c>
      <c r="NV17" s="61">
        <f t="shared" si="137"/>
        <v>6.5</v>
      </c>
      <c r="NW17" s="61">
        <f t="shared" si="138"/>
        <v>6.75</v>
      </c>
      <c r="NX17" s="61">
        <f t="shared" si="139"/>
        <v>9.1449999999999996</v>
      </c>
      <c r="NY17" s="61">
        <f t="shared" si="140"/>
        <v>0</v>
      </c>
      <c r="NZ17" s="61">
        <f t="shared" si="141"/>
        <v>0</v>
      </c>
      <c r="OA17" s="61">
        <f t="shared" si="142"/>
        <v>0</v>
      </c>
      <c r="OB17" s="61">
        <f t="shared" si="143"/>
        <v>0</v>
      </c>
      <c r="OC17" s="61">
        <f t="shared" si="144"/>
        <v>0</v>
      </c>
      <c r="OD17" s="61">
        <f t="shared" si="145"/>
        <v>0</v>
      </c>
      <c r="OE17" s="61">
        <f t="shared" si="146"/>
        <v>6.2</v>
      </c>
      <c r="OF17" s="61">
        <f t="shared" si="147"/>
        <v>4.5999999999999996</v>
      </c>
      <c r="OG17" s="61">
        <f t="shared" si="148"/>
        <v>4.5</v>
      </c>
      <c r="OH17" s="61">
        <f t="shared" si="149"/>
        <v>6.5025000000000004</v>
      </c>
      <c r="OI17" s="61">
        <f t="shared" si="150"/>
        <v>0</v>
      </c>
      <c r="OJ17" s="72" t="s">
        <v>52</v>
      </c>
      <c r="OK17" s="11">
        <f t="shared" si="151"/>
        <v>40</v>
      </c>
      <c r="OL17" s="11">
        <f t="shared" si="152"/>
        <v>6.75</v>
      </c>
      <c r="OM17" s="11">
        <f t="shared" si="153"/>
        <v>32.045000000000002</v>
      </c>
      <c r="ON17" s="11" t="str">
        <f t="shared" si="154"/>
        <v/>
      </c>
      <c r="OO17" s="11" t="str">
        <f t="shared" si="155"/>
        <v/>
      </c>
      <c r="OP17" s="11">
        <f t="shared" si="156"/>
        <v>72.045000000000002</v>
      </c>
      <c r="OQ17" s="11">
        <f t="shared" si="157"/>
        <v>4.5</v>
      </c>
      <c r="OR17" s="11">
        <f t="shared" ref="OR17" si="174">IF(SUM(OE17:OH17)-OI17&gt;0,SUM(OE17:OH17)-OI17,"")</f>
        <v>21.802500000000002</v>
      </c>
      <c r="OS17" s="11">
        <f t="shared" ref="OS17" si="175">IF(SUM(OP17,OR17)&gt;0,SUM(OP17,OR17),"")</f>
        <v>93.847499999999997</v>
      </c>
    </row>
    <row r="18" spans="1:409" x14ac:dyDescent="0.2">
      <c r="A18" s="5" t="str" cm="1">
        <f t="array" ref="A18">IF(AND(G18&lt;&gt;"",H18&lt;&gt;""),SUMPRODUCT((G$4:G$27&lt;&gt;"")*(H$4:H$27&lt;&gt;"")*(E$4:E$27&gt;E18))+1,IF(H18&lt;&gt;"",SUMPRODUCT((I$4:I$27="No DD")*(E$4:E$27&gt;E18))+1+SUMPRODUCT((G$4:G$27&lt;&gt;"")*(H$4:H$27&lt;&gt;"")),""))</f>
        <v/>
      </c>
      <c r="B18" s="6" t="s">
        <v>108</v>
      </c>
      <c r="C18" s="7" t="s">
        <v>5</v>
      </c>
      <c r="D18" s="5">
        <v>2004</v>
      </c>
      <c r="E18" s="15">
        <f t="shared" si="0"/>
        <v>77.33</v>
      </c>
      <c r="F18" s="3" t="str">
        <f t="shared" si="1"/>
        <v/>
      </c>
      <c r="G18" s="115" t="str">
        <f t="shared" si="2"/>
        <v/>
      </c>
      <c r="H18" s="115" t="str">
        <f t="shared" si="3"/>
        <v/>
      </c>
      <c r="I18" s="116" t="str">
        <f t="shared" si="4"/>
        <v/>
      </c>
      <c r="J18" s="3" t="str">
        <f t="shared" si="5"/>
        <v/>
      </c>
      <c r="K18" s="14">
        <f t="shared" si="6"/>
        <v>82.325000000000003</v>
      </c>
      <c r="L18" s="14" t="str">
        <f t="shared" si="7"/>
        <v>2021 Elite Canada</v>
      </c>
      <c r="M18" s="14">
        <f t="shared" si="8"/>
        <v>0</v>
      </c>
      <c r="N18" s="14" t="str">
        <f t="shared" si="9"/>
        <v/>
      </c>
      <c r="O18" s="14">
        <f t="shared" si="10"/>
        <v>42.155000000000001</v>
      </c>
      <c r="P18" s="14" t="str">
        <f t="shared" si="11"/>
        <v>2021 Elite Canada</v>
      </c>
      <c r="Q18" s="14">
        <f>IF(COUNT(AS18,AU18,AX18,BW18,BY18,CB18,DA18,DC18,DF18)&gt;1,LARGE((AS18,AU18,AX18,BW18,BY18,CB18,DA18,DC18,DF18),2),0)</f>
        <v>35.174999999999997</v>
      </c>
      <c r="R18" s="14" t="str">
        <f t="shared" si="12"/>
        <v>2021 Elite Canada</v>
      </c>
      <c r="S18" s="14" t="str">
        <f t="shared" si="13"/>
        <v/>
      </c>
      <c r="T18" s="24" t="str">
        <f t="shared" si="14"/>
        <v/>
      </c>
      <c r="U18" s="14" t="str">
        <f t="shared" si="15"/>
        <v/>
      </c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72"/>
      <c r="AQ18" s="11" t="str">
        <f t="shared" si="16"/>
        <v/>
      </c>
      <c r="AR18" s="11" t="str">
        <f t="shared" si="17"/>
        <v/>
      </c>
      <c r="AS18" s="11" t="str">
        <f t="shared" si="18"/>
        <v/>
      </c>
      <c r="AT18" s="11" t="str">
        <f t="shared" si="19"/>
        <v/>
      </c>
      <c r="AU18" s="11" t="str">
        <f t="shared" si="20"/>
        <v/>
      </c>
      <c r="AV18" s="11" t="str">
        <f t="shared" si="21"/>
        <v/>
      </c>
      <c r="AW18" s="11" t="str">
        <f t="shared" si="22"/>
        <v/>
      </c>
      <c r="AX18" s="11" t="str">
        <f t="shared" si="23"/>
        <v/>
      </c>
      <c r="AY18" s="11" t="str">
        <f t="shared" si="24"/>
        <v/>
      </c>
      <c r="AZ18" s="67"/>
      <c r="BA18" s="67"/>
      <c r="BB18" s="67"/>
      <c r="BC18" s="67"/>
      <c r="BD18" s="67"/>
      <c r="BE18" s="67"/>
      <c r="BF18" s="67"/>
      <c r="BG18" s="67"/>
      <c r="BH18" s="67"/>
      <c r="BI18" s="67"/>
      <c r="BJ18" s="67"/>
      <c r="BK18" s="67"/>
      <c r="BL18" s="67"/>
      <c r="BM18" s="67"/>
      <c r="BN18" s="67"/>
      <c r="BO18" s="67"/>
      <c r="BP18" s="67"/>
      <c r="BQ18" s="67"/>
      <c r="BR18" s="67"/>
      <c r="BS18" s="67"/>
      <c r="BT18" s="73"/>
      <c r="BU18" s="14" t="str">
        <f t="shared" si="25"/>
        <v/>
      </c>
      <c r="BV18" s="14" t="str">
        <f t="shared" si="26"/>
        <v/>
      </c>
      <c r="BW18" s="14" t="str">
        <f t="shared" si="27"/>
        <v/>
      </c>
      <c r="BX18" s="14" t="str">
        <f t="shared" si="28"/>
        <v/>
      </c>
      <c r="BY18" s="14" t="str">
        <f t="shared" si="29"/>
        <v/>
      </c>
      <c r="BZ18" s="14" t="str">
        <f t="shared" si="30"/>
        <v/>
      </c>
      <c r="CA18" s="14" t="str">
        <f t="shared" si="31"/>
        <v/>
      </c>
      <c r="CB18" s="14" t="str">
        <f t="shared" si="32"/>
        <v/>
      </c>
      <c r="CC18" s="14" t="str">
        <f t="shared" si="33"/>
        <v/>
      </c>
      <c r="CD18" s="61">
        <v>15.3</v>
      </c>
      <c r="CE18" s="61">
        <v>9.4</v>
      </c>
      <c r="CF18" s="61">
        <v>2</v>
      </c>
      <c r="CG18" s="61">
        <v>13.47</v>
      </c>
      <c r="CH18" s="61">
        <v>0</v>
      </c>
      <c r="CI18" s="61">
        <v>11.9</v>
      </c>
      <c r="CJ18" s="61">
        <v>9</v>
      </c>
      <c r="CK18" s="61">
        <v>8.4</v>
      </c>
      <c r="CL18" s="61">
        <v>13.255000000000001</v>
      </c>
      <c r="CM18" s="61">
        <v>0.4</v>
      </c>
      <c r="CN18" s="61"/>
      <c r="CO18" s="61"/>
      <c r="CP18" s="61"/>
      <c r="CQ18" s="61"/>
      <c r="CR18" s="61"/>
      <c r="CS18" s="61">
        <v>10.6</v>
      </c>
      <c r="CT18" s="61">
        <v>7.2</v>
      </c>
      <c r="CU18" s="61">
        <v>6.8</v>
      </c>
      <c r="CV18" s="61">
        <v>10.574999999999999</v>
      </c>
      <c r="CW18" s="61">
        <v>0</v>
      </c>
      <c r="CX18" s="72"/>
      <c r="CY18" s="11">
        <f t="shared" si="34"/>
        <v>40.17</v>
      </c>
      <c r="CZ18" s="11">
        <f t="shared" si="35"/>
        <v>8.4</v>
      </c>
      <c r="DA18" s="11">
        <f t="shared" si="36"/>
        <v>42.155000000000001</v>
      </c>
      <c r="DB18" s="11" t="str">
        <f t="shared" si="37"/>
        <v/>
      </c>
      <c r="DC18" s="11" t="str">
        <f t="shared" si="38"/>
        <v/>
      </c>
      <c r="DD18" s="11">
        <f t="shared" si="39"/>
        <v>82.325000000000003</v>
      </c>
      <c r="DE18" s="11">
        <f t="shared" si="40"/>
        <v>6.8</v>
      </c>
      <c r="DF18" s="11">
        <f t="shared" si="41"/>
        <v>35.174999999999997</v>
      </c>
      <c r="DG18" s="11">
        <f t="shared" si="42"/>
        <v>117.5</v>
      </c>
      <c r="DH18" s="23" t="str">
        <f t="shared" si="43"/>
        <v/>
      </c>
      <c r="DI18" s="23" t="str">
        <f t="shared" si="44"/>
        <v/>
      </c>
      <c r="DJ18" s="23" t="str">
        <f t="shared" si="45"/>
        <v/>
      </c>
      <c r="DK18" s="23" t="str">
        <f t="shared" si="46"/>
        <v/>
      </c>
      <c r="DL18" s="35"/>
      <c r="DM18" s="35"/>
      <c r="DN18" s="35"/>
      <c r="DO18" s="35"/>
      <c r="DP18" s="35"/>
      <c r="DQ18" s="35"/>
      <c r="DR18" s="35"/>
      <c r="DS18" s="35"/>
      <c r="DT18" s="35"/>
      <c r="DU18" s="35"/>
      <c r="DV18" s="35"/>
      <c r="DW18" s="35"/>
      <c r="DX18" s="35"/>
      <c r="DY18" s="35"/>
      <c r="DZ18" s="35"/>
      <c r="EA18" s="11" t="str">
        <f t="shared" si="47"/>
        <v/>
      </c>
      <c r="EB18" s="11" t="str">
        <f t="shared" si="48"/>
        <v/>
      </c>
      <c r="EC18" s="11" t="str">
        <f t="shared" si="49"/>
        <v/>
      </c>
      <c r="ED18" s="11" t="str">
        <f t="shared" si="50"/>
        <v/>
      </c>
      <c r="EE18" s="11" t="str">
        <f t="shared" si="51"/>
        <v/>
      </c>
      <c r="EF18" s="11" t="str">
        <f t="shared" si="52"/>
        <v/>
      </c>
      <c r="EG18" s="11" t="str">
        <f t="shared" si="53"/>
        <v/>
      </c>
      <c r="EH18" s="36"/>
      <c r="EI18" s="36"/>
      <c r="EJ18" s="36"/>
      <c r="EK18" s="36"/>
      <c r="EL18" s="36"/>
      <c r="EM18" s="36"/>
      <c r="EN18" s="36"/>
      <c r="EO18" s="36"/>
      <c r="EP18" s="36"/>
      <c r="EQ18" s="36"/>
      <c r="ER18" s="36"/>
      <c r="ES18" s="36"/>
      <c r="ET18" s="36"/>
      <c r="EU18" s="36"/>
      <c r="EV18" s="36"/>
      <c r="EW18" s="14" t="str">
        <f t="shared" si="54"/>
        <v/>
      </c>
      <c r="EX18" s="14" t="str">
        <f t="shared" si="55"/>
        <v/>
      </c>
      <c r="EY18" s="14" t="str">
        <f t="shared" si="56"/>
        <v/>
      </c>
      <c r="EZ18" s="14" t="str">
        <f t="shared" si="57"/>
        <v/>
      </c>
      <c r="FA18" s="14" t="str">
        <f t="shared" si="58"/>
        <v/>
      </c>
      <c r="FB18" s="14" t="str">
        <f t="shared" si="59"/>
        <v/>
      </c>
      <c r="FC18" s="14" t="str">
        <f t="shared" si="60"/>
        <v/>
      </c>
      <c r="FD18" s="35"/>
      <c r="FE18" s="35"/>
      <c r="FF18" s="35"/>
      <c r="FG18" s="35"/>
      <c r="FH18" s="35"/>
      <c r="FI18" s="35"/>
      <c r="FJ18" s="35"/>
      <c r="FK18" s="35"/>
      <c r="FL18" s="35"/>
      <c r="FM18" s="35"/>
      <c r="FN18" s="35"/>
      <c r="FO18" s="35"/>
      <c r="FP18" s="35"/>
      <c r="FQ18" s="35"/>
      <c r="FR18" s="35"/>
      <c r="FS18" s="11" t="str">
        <f t="shared" si="61"/>
        <v/>
      </c>
      <c r="FT18" s="11" t="str">
        <f t="shared" si="62"/>
        <v/>
      </c>
      <c r="FU18" s="11" t="str">
        <f t="shared" si="63"/>
        <v/>
      </c>
      <c r="FV18" s="11" t="str">
        <f t="shared" si="64"/>
        <v/>
      </c>
      <c r="FW18" s="11" t="str">
        <f t="shared" si="65"/>
        <v/>
      </c>
      <c r="FX18" s="11" t="str">
        <f t="shared" si="66"/>
        <v/>
      </c>
      <c r="FY18" s="11" t="str">
        <f t="shared" si="67"/>
        <v/>
      </c>
      <c r="FZ18" s="36"/>
      <c r="GA18" s="36"/>
      <c r="GB18" s="36"/>
      <c r="GC18" s="36"/>
      <c r="GD18" s="36"/>
      <c r="GE18" s="36"/>
      <c r="GF18" s="36"/>
      <c r="GG18" s="36"/>
      <c r="GH18" s="36"/>
      <c r="GI18" s="36"/>
      <c r="GJ18" s="36"/>
      <c r="GK18" s="36"/>
      <c r="GL18" s="36"/>
      <c r="GM18" s="36"/>
      <c r="GN18" s="36"/>
      <c r="GO18" s="14" t="str">
        <f t="shared" si="68"/>
        <v/>
      </c>
      <c r="GP18" s="14" t="str">
        <f t="shared" si="69"/>
        <v/>
      </c>
      <c r="GQ18" s="14" t="str">
        <f t="shared" si="70"/>
        <v/>
      </c>
      <c r="GR18" s="14" t="str">
        <f t="shared" si="71"/>
        <v/>
      </c>
      <c r="GS18" s="14" t="str">
        <f t="shared" si="72"/>
        <v/>
      </c>
      <c r="GT18" s="14" t="str">
        <f t="shared" si="73"/>
        <v/>
      </c>
      <c r="GU18" s="14" t="str">
        <f t="shared" si="74"/>
        <v/>
      </c>
      <c r="GV18" s="35"/>
      <c r="GW18" s="35"/>
      <c r="GX18" s="35"/>
      <c r="GY18" s="35"/>
      <c r="GZ18" s="35"/>
      <c r="HA18" s="35"/>
      <c r="HB18" s="35"/>
      <c r="HC18" s="35"/>
      <c r="HD18" s="35"/>
      <c r="HE18" s="35"/>
      <c r="HF18" s="35"/>
      <c r="HG18" s="35"/>
      <c r="HH18" s="35"/>
      <c r="HI18" s="35"/>
      <c r="HJ18" s="35"/>
      <c r="HK18" s="11" t="str">
        <f t="shared" si="75"/>
        <v/>
      </c>
      <c r="HL18" s="11" t="str">
        <f t="shared" si="76"/>
        <v/>
      </c>
      <c r="HM18" s="11" t="str">
        <f t="shared" si="77"/>
        <v/>
      </c>
      <c r="HN18" s="11" t="str">
        <f t="shared" si="78"/>
        <v/>
      </c>
      <c r="HO18" s="11" t="str">
        <f t="shared" si="79"/>
        <v/>
      </c>
      <c r="HP18" s="11" t="str">
        <f t="shared" si="80"/>
        <v/>
      </c>
      <c r="HQ18" s="11" t="str">
        <f t="shared" si="81"/>
        <v/>
      </c>
      <c r="HR18" s="36"/>
      <c r="HS18" s="36"/>
      <c r="HT18" s="36"/>
      <c r="HU18" s="36"/>
      <c r="HV18" s="36"/>
      <c r="HW18" s="36"/>
      <c r="HX18" s="36"/>
      <c r="HY18" s="36"/>
      <c r="HZ18" s="36"/>
      <c r="IA18" s="36"/>
      <c r="IB18" s="36"/>
      <c r="IC18" s="36"/>
      <c r="ID18" s="36"/>
      <c r="IE18" s="36"/>
      <c r="IF18" s="36"/>
      <c r="IG18" s="14" t="str">
        <f t="shared" si="82"/>
        <v/>
      </c>
      <c r="IH18" s="14" t="str">
        <f t="shared" si="83"/>
        <v/>
      </c>
      <c r="II18" s="14" t="str">
        <f t="shared" si="84"/>
        <v/>
      </c>
      <c r="IJ18" s="14" t="str">
        <f t="shared" si="85"/>
        <v/>
      </c>
      <c r="IK18" s="14" t="str">
        <f t="shared" si="86"/>
        <v/>
      </c>
      <c r="IL18" s="14" t="str">
        <f t="shared" si="87"/>
        <v/>
      </c>
      <c r="IM18" s="14" t="str">
        <f t="shared" si="88"/>
        <v/>
      </c>
      <c r="IN18" s="35"/>
      <c r="IO18" s="35"/>
      <c r="IP18" s="35"/>
      <c r="IQ18" s="35"/>
      <c r="IR18" s="35"/>
      <c r="IS18" s="35"/>
      <c r="IT18" s="35"/>
      <c r="IU18" s="35"/>
      <c r="IV18" s="35"/>
      <c r="IW18" s="35"/>
      <c r="IX18" s="35"/>
      <c r="IY18" s="35"/>
      <c r="IZ18" s="35"/>
      <c r="JA18" s="35"/>
      <c r="JB18" s="35"/>
      <c r="JC18" s="11" t="str">
        <f t="shared" si="89"/>
        <v/>
      </c>
      <c r="JD18" s="11" t="str">
        <f t="shared" si="90"/>
        <v/>
      </c>
      <c r="JE18" s="11" t="str">
        <f t="shared" si="91"/>
        <v/>
      </c>
      <c r="JF18" s="11" t="str">
        <f t="shared" si="92"/>
        <v/>
      </c>
      <c r="JG18" s="11" t="str">
        <f t="shared" si="93"/>
        <v/>
      </c>
      <c r="JH18" s="11" t="str">
        <f t="shared" si="94"/>
        <v/>
      </c>
      <c r="JI18" s="11" t="str">
        <f t="shared" si="95"/>
        <v/>
      </c>
      <c r="JJ18" s="36"/>
      <c r="JK18" s="36"/>
      <c r="JL18" s="36"/>
      <c r="JM18" s="36"/>
      <c r="JN18" s="36"/>
      <c r="JO18" s="36"/>
      <c r="JP18" s="36"/>
      <c r="JQ18" s="36"/>
      <c r="JR18" s="36"/>
      <c r="JS18" s="36"/>
      <c r="JT18" s="36"/>
      <c r="JU18" s="36"/>
      <c r="JV18" s="36"/>
      <c r="JW18" s="36"/>
      <c r="JX18" s="36"/>
      <c r="JY18" s="14" t="str">
        <f t="shared" si="96"/>
        <v/>
      </c>
      <c r="JZ18" s="14" t="str">
        <f t="shared" si="97"/>
        <v/>
      </c>
      <c r="KA18" s="14" t="str">
        <f t="shared" si="98"/>
        <v/>
      </c>
      <c r="KB18" s="14" t="str">
        <f t="shared" si="99"/>
        <v/>
      </c>
      <c r="KC18" s="14" t="str">
        <f t="shared" si="100"/>
        <v/>
      </c>
      <c r="KD18" s="14" t="str">
        <f t="shared" si="101"/>
        <v/>
      </c>
      <c r="KE18" s="14" t="str">
        <f t="shared" si="102"/>
        <v/>
      </c>
      <c r="KF18" s="35"/>
      <c r="KG18" s="35"/>
      <c r="KH18" s="35"/>
      <c r="KI18" s="35"/>
      <c r="KJ18" s="35"/>
      <c r="KK18" s="35"/>
      <c r="KL18" s="35"/>
      <c r="KM18" s="35"/>
      <c r="KN18" s="35"/>
      <c r="KO18" s="35"/>
      <c r="KP18" s="35"/>
      <c r="KQ18" s="35"/>
      <c r="KR18" s="35"/>
      <c r="KS18" s="35"/>
      <c r="KT18" s="35"/>
      <c r="KU18" s="11" t="str">
        <f t="shared" si="103"/>
        <v/>
      </c>
      <c r="KV18" s="11" t="str">
        <f t="shared" si="104"/>
        <v/>
      </c>
      <c r="KW18" s="11" t="str">
        <f t="shared" si="105"/>
        <v/>
      </c>
      <c r="KX18" s="11" t="str">
        <f t="shared" si="106"/>
        <v/>
      </c>
      <c r="KY18" s="11" t="str">
        <f t="shared" si="107"/>
        <v/>
      </c>
      <c r="KZ18" s="11" t="str">
        <f t="shared" si="108"/>
        <v/>
      </c>
      <c r="LA18" s="11" t="str">
        <f t="shared" si="109"/>
        <v/>
      </c>
      <c r="LB18" s="36"/>
      <c r="LC18" s="36"/>
      <c r="LD18" s="36"/>
      <c r="LE18" s="36"/>
      <c r="LF18" s="36"/>
      <c r="LG18" s="36"/>
      <c r="LH18" s="36"/>
      <c r="LI18" s="36"/>
      <c r="LJ18" s="36"/>
      <c r="LK18" s="36"/>
      <c r="LL18" s="36"/>
      <c r="LM18" s="36"/>
      <c r="LN18" s="36"/>
      <c r="LO18" s="36"/>
      <c r="LP18" s="36"/>
      <c r="LQ18" s="14" t="str">
        <f t="shared" si="110"/>
        <v/>
      </c>
      <c r="LR18" s="14" t="str">
        <f t="shared" si="111"/>
        <v/>
      </c>
      <c r="LS18" s="14" t="str">
        <f t="shared" si="112"/>
        <v/>
      </c>
      <c r="LT18" s="14" t="str">
        <f t="shared" si="113"/>
        <v/>
      </c>
      <c r="LU18" s="14" t="str">
        <f t="shared" si="114"/>
        <v/>
      </c>
      <c r="LV18" s="14" t="str">
        <f t="shared" si="115"/>
        <v/>
      </c>
      <c r="LW18" s="14" t="str">
        <f t="shared" si="116"/>
        <v/>
      </c>
      <c r="LX18" s="35"/>
      <c r="LY18" s="35"/>
      <c r="LZ18" s="35"/>
      <c r="MA18" s="35"/>
      <c r="MB18" s="35"/>
      <c r="MC18" s="35"/>
      <c r="MD18" s="35"/>
      <c r="ME18" s="35"/>
      <c r="MF18" s="35"/>
      <c r="MG18" s="35"/>
      <c r="MH18" s="35"/>
      <c r="MI18" s="35"/>
      <c r="MJ18" s="35"/>
      <c r="MK18" s="35"/>
      <c r="ML18" s="35"/>
      <c r="MM18" s="11" t="str">
        <f t="shared" si="117"/>
        <v/>
      </c>
      <c r="MN18" s="11" t="str">
        <f t="shared" si="118"/>
        <v/>
      </c>
      <c r="MO18" s="11" t="str">
        <f t="shared" si="119"/>
        <v/>
      </c>
      <c r="MP18" s="11" t="str">
        <f t="shared" si="120"/>
        <v/>
      </c>
      <c r="MQ18" s="11" t="str">
        <f t="shared" si="121"/>
        <v/>
      </c>
      <c r="MR18" s="11" t="str">
        <f t="shared" si="122"/>
        <v/>
      </c>
      <c r="MS18" s="11" t="str">
        <f t="shared" si="123"/>
        <v/>
      </c>
      <c r="MT18" s="36"/>
      <c r="MU18" s="36"/>
      <c r="MV18" s="36"/>
      <c r="MW18" s="36"/>
      <c r="MX18" s="36"/>
      <c r="MY18" s="36"/>
      <c r="MZ18" s="36"/>
      <c r="NA18" s="36"/>
      <c r="NB18" s="36"/>
      <c r="NC18" s="36"/>
      <c r="ND18" s="36"/>
      <c r="NE18" s="36"/>
      <c r="NF18" s="36"/>
      <c r="NG18" s="36"/>
      <c r="NH18" s="36"/>
      <c r="NI18" s="14" t="str">
        <f t="shared" si="124"/>
        <v/>
      </c>
      <c r="NJ18" s="14" t="str">
        <f t="shared" si="125"/>
        <v/>
      </c>
      <c r="NK18" s="14" t="str">
        <f t="shared" si="126"/>
        <v/>
      </c>
      <c r="NL18" s="14" t="str">
        <f t="shared" si="127"/>
        <v/>
      </c>
      <c r="NM18" s="14" t="str">
        <f t="shared" si="128"/>
        <v/>
      </c>
      <c r="NN18" s="14" t="str">
        <f t="shared" si="129"/>
        <v/>
      </c>
      <c r="NO18" s="14" t="str">
        <f t="shared" si="130"/>
        <v/>
      </c>
      <c r="NP18" s="61">
        <f t="shared" si="131"/>
        <v>7.65</v>
      </c>
      <c r="NQ18" s="61">
        <f t="shared" si="132"/>
        <v>4.7</v>
      </c>
      <c r="NR18" s="61">
        <f t="shared" si="133"/>
        <v>1</v>
      </c>
      <c r="NS18" s="61">
        <f t="shared" si="134"/>
        <v>6.7350000000000003</v>
      </c>
      <c r="NT18" s="61">
        <f t="shared" si="135"/>
        <v>0</v>
      </c>
      <c r="NU18" s="61">
        <f t="shared" si="136"/>
        <v>5.95</v>
      </c>
      <c r="NV18" s="61">
        <f t="shared" si="137"/>
        <v>4.5</v>
      </c>
      <c r="NW18" s="61">
        <f t="shared" si="138"/>
        <v>4.2</v>
      </c>
      <c r="NX18" s="61">
        <f t="shared" si="139"/>
        <v>6.6275000000000004</v>
      </c>
      <c r="NY18" s="61">
        <f t="shared" si="140"/>
        <v>0.2</v>
      </c>
      <c r="NZ18" s="61">
        <f t="shared" si="141"/>
        <v>0</v>
      </c>
      <c r="OA18" s="61">
        <f t="shared" si="142"/>
        <v>0</v>
      </c>
      <c r="OB18" s="61">
        <f t="shared" si="143"/>
        <v>0</v>
      </c>
      <c r="OC18" s="61">
        <f t="shared" si="144"/>
        <v>0</v>
      </c>
      <c r="OD18" s="61">
        <f t="shared" si="145"/>
        <v>0</v>
      </c>
      <c r="OE18" s="61">
        <f t="shared" si="146"/>
        <v>5.3</v>
      </c>
      <c r="OF18" s="61">
        <f t="shared" si="147"/>
        <v>3.6</v>
      </c>
      <c r="OG18" s="61">
        <f t="shared" si="148"/>
        <v>3.4</v>
      </c>
      <c r="OH18" s="61">
        <f t="shared" si="149"/>
        <v>5.2874999999999996</v>
      </c>
      <c r="OI18" s="61">
        <f t="shared" si="150"/>
        <v>0</v>
      </c>
      <c r="OJ18" s="72" t="s">
        <v>52</v>
      </c>
      <c r="OK18" s="11">
        <f t="shared" si="151"/>
        <v>20.085000000000001</v>
      </c>
      <c r="OL18" s="11">
        <f t="shared" si="152"/>
        <v>4.2</v>
      </c>
      <c r="OM18" s="11">
        <f t="shared" si="153"/>
        <v>21.077500000000001</v>
      </c>
      <c r="ON18" s="11" t="str">
        <f t="shared" si="154"/>
        <v/>
      </c>
      <c r="OO18" s="11" t="str">
        <f t="shared" si="155"/>
        <v/>
      </c>
      <c r="OP18" s="11">
        <f t="shared" si="156"/>
        <v>41.162500000000001</v>
      </c>
      <c r="OQ18" s="11">
        <f t="shared" si="157"/>
        <v>3.4</v>
      </c>
      <c r="OR18" s="11">
        <f t="shared" ref="OR18" si="176">IF(SUM(OE18:OH18)-OI18&gt;0,SUM(OE18:OH18)-OI18,"")</f>
        <v>17.587499999999999</v>
      </c>
      <c r="OS18" s="11">
        <f t="shared" ref="OS18" si="177">IF(SUM(OP18,OR18)&gt;0,SUM(OP18,OR18),"")</f>
        <v>58.75</v>
      </c>
    </row>
    <row r="19" spans="1:409" x14ac:dyDescent="0.2">
      <c r="A19" s="5" t="str" cm="1">
        <f t="array" ref="A19">IF(AND(G19&lt;&gt;"",H19&lt;&gt;""),SUMPRODUCT((G$4:G$27&lt;&gt;"")*(H$4:H$27&lt;&gt;"")*(E$4:E$27&gt;E19))+1,IF(H19&lt;&gt;"",SUMPRODUCT((I$4:I$27="No DD")*(E$4:E$27&gt;E19))+1+SUMPRODUCT((G$4:G$27&lt;&gt;"")*(H$4:H$27&lt;&gt;"")),""))</f>
        <v/>
      </c>
      <c r="B19" s="8" t="s">
        <v>97</v>
      </c>
      <c r="C19" s="4" t="s">
        <v>96</v>
      </c>
      <c r="D19" s="26">
        <v>2003</v>
      </c>
      <c r="E19" s="15">
        <f t="shared" si="0"/>
        <v>74.754999999999995</v>
      </c>
      <c r="F19" s="3" t="str">
        <f t="shared" si="1"/>
        <v/>
      </c>
      <c r="G19" s="115" t="str">
        <f t="shared" si="2"/>
        <v/>
      </c>
      <c r="H19" s="115" t="str">
        <f t="shared" si="3"/>
        <v/>
      </c>
      <c r="I19" s="116" t="str">
        <f t="shared" si="4"/>
        <v/>
      </c>
      <c r="J19" s="3" t="str">
        <f t="shared" si="5"/>
        <v/>
      </c>
      <c r="K19" s="14">
        <f t="shared" si="6"/>
        <v>62.49</v>
      </c>
      <c r="L19" s="14" t="str">
        <f t="shared" si="7"/>
        <v>2021 2nd Virtual Technical Trial</v>
      </c>
      <c r="M19" s="14">
        <f t="shared" si="8"/>
        <v>40.06</v>
      </c>
      <c r="N19" s="14" t="str">
        <f t="shared" si="9"/>
        <v>2021 1st Virtual Technical Trial</v>
      </c>
      <c r="O19" s="14">
        <f t="shared" si="10"/>
        <v>47.294999999999995</v>
      </c>
      <c r="P19" s="14" t="str">
        <f t="shared" si="11"/>
        <v>2021 1st Virtual Technical Trial</v>
      </c>
      <c r="Q19" s="14">
        <f>IF(COUNT(AS19,AU19,AX19,BW19,BY19,CB19,DA19,DC19,DF19)&gt;1,LARGE((AS19,AU19,AX19,BW19,BY19,CB19,DA19,DC19,DF19),2),0)</f>
        <v>27.46</v>
      </c>
      <c r="R19" s="14" t="str">
        <f t="shared" si="12"/>
        <v>2021 2nd Virtual Technical Trial</v>
      </c>
      <c r="S19" s="14" t="str">
        <f t="shared" si="13"/>
        <v/>
      </c>
      <c r="T19" s="24" t="str">
        <f t="shared" si="14"/>
        <v/>
      </c>
      <c r="U19" s="14" t="str">
        <f t="shared" si="15"/>
        <v/>
      </c>
      <c r="V19" s="61">
        <v>15.3</v>
      </c>
      <c r="W19" s="61">
        <v>9.5</v>
      </c>
      <c r="X19" s="61">
        <v>1.5</v>
      </c>
      <c r="Y19" s="61">
        <v>13.76</v>
      </c>
      <c r="Z19" s="61">
        <v>0</v>
      </c>
      <c r="AA19" s="61">
        <v>4.8</v>
      </c>
      <c r="AB19" s="61">
        <v>2.95</v>
      </c>
      <c r="AC19" s="61">
        <v>2.5</v>
      </c>
      <c r="AD19" s="61">
        <v>4.3600000000000003</v>
      </c>
      <c r="AE19" s="61">
        <v>0</v>
      </c>
      <c r="AF19" s="61"/>
      <c r="AG19" s="61"/>
      <c r="AH19" s="61"/>
      <c r="AI19" s="61"/>
      <c r="AJ19" s="61"/>
      <c r="AK19" s="61">
        <v>14.5</v>
      </c>
      <c r="AL19" s="61">
        <v>9.4</v>
      </c>
      <c r="AM19" s="61">
        <v>9.4</v>
      </c>
      <c r="AN19" s="61">
        <v>13.994999999999999</v>
      </c>
      <c r="AO19" s="61">
        <v>0</v>
      </c>
      <c r="AP19" s="72"/>
      <c r="AQ19" s="11">
        <f t="shared" si="16"/>
        <v>40.06</v>
      </c>
      <c r="AR19" s="11">
        <f t="shared" si="17"/>
        <v>2.5</v>
      </c>
      <c r="AS19" s="11">
        <f t="shared" si="18"/>
        <v>14.61</v>
      </c>
      <c r="AT19" s="11" t="str">
        <f t="shared" si="19"/>
        <v/>
      </c>
      <c r="AU19" s="11" t="str">
        <f t="shared" si="20"/>
        <v/>
      </c>
      <c r="AV19" s="11">
        <f t="shared" si="21"/>
        <v>54.67</v>
      </c>
      <c r="AW19" s="11">
        <f t="shared" si="22"/>
        <v>9.4</v>
      </c>
      <c r="AX19" s="11">
        <f t="shared" si="23"/>
        <v>47.294999999999995</v>
      </c>
      <c r="AY19" s="11">
        <f t="shared" si="24"/>
        <v>101.965</v>
      </c>
      <c r="AZ19" s="67">
        <v>15.4</v>
      </c>
      <c r="BA19" s="67">
        <v>9.6999999999999993</v>
      </c>
      <c r="BB19" s="67">
        <v>1.5</v>
      </c>
      <c r="BC19" s="67">
        <v>13.795</v>
      </c>
      <c r="BD19" s="67">
        <v>0</v>
      </c>
      <c r="BE19" s="67">
        <v>7.1</v>
      </c>
      <c r="BF19" s="67">
        <v>4.5</v>
      </c>
      <c r="BG19" s="67">
        <v>3.6</v>
      </c>
      <c r="BH19" s="67">
        <v>6.8949999999999996</v>
      </c>
      <c r="BI19" s="67">
        <v>0</v>
      </c>
      <c r="BJ19" s="67"/>
      <c r="BK19" s="67"/>
      <c r="BL19" s="67"/>
      <c r="BM19" s="67"/>
      <c r="BN19" s="67"/>
      <c r="BO19" s="67">
        <v>8.3000000000000007</v>
      </c>
      <c r="BP19" s="67">
        <v>5.6</v>
      </c>
      <c r="BQ19" s="67">
        <v>5.3</v>
      </c>
      <c r="BR19" s="67">
        <v>8.26</v>
      </c>
      <c r="BS19" s="67">
        <v>0</v>
      </c>
      <c r="BT19" s="73"/>
      <c r="BU19" s="14">
        <f t="shared" si="25"/>
        <v>40.395000000000003</v>
      </c>
      <c r="BV19" s="14">
        <f t="shared" si="26"/>
        <v>3.6</v>
      </c>
      <c r="BW19" s="14">
        <f t="shared" si="27"/>
        <v>22.094999999999999</v>
      </c>
      <c r="BX19" s="14" t="str">
        <f t="shared" si="28"/>
        <v/>
      </c>
      <c r="BY19" s="14" t="str">
        <f t="shared" si="29"/>
        <v/>
      </c>
      <c r="BZ19" s="14">
        <f t="shared" si="30"/>
        <v>62.49</v>
      </c>
      <c r="CA19" s="14">
        <f t="shared" si="31"/>
        <v>5.3</v>
      </c>
      <c r="CB19" s="14">
        <f t="shared" si="32"/>
        <v>27.46</v>
      </c>
      <c r="CC19" s="14">
        <f t="shared" si="33"/>
        <v>89.95</v>
      </c>
      <c r="CD19" s="61"/>
      <c r="CE19" s="61"/>
      <c r="CF19" s="61"/>
      <c r="CG19" s="61"/>
      <c r="CH19" s="61"/>
      <c r="CI19" s="61"/>
      <c r="CJ19" s="61"/>
      <c r="CK19" s="61"/>
      <c r="CL19" s="61"/>
      <c r="CM19" s="61"/>
      <c r="CN19" s="61"/>
      <c r="CO19" s="61"/>
      <c r="CP19" s="61"/>
      <c r="CQ19" s="61"/>
      <c r="CR19" s="61"/>
      <c r="CS19" s="61"/>
      <c r="CT19" s="61"/>
      <c r="CU19" s="61"/>
      <c r="CV19" s="61"/>
      <c r="CW19" s="61"/>
      <c r="CX19" s="72"/>
      <c r="CY19" s="11" t="str">
        <f t="shared" si="34"/>
        <v/>
      </c>
      <c r="CZ19" s="11" t="str">
        <f t="shared" si="35"/>
        <v/>
      </c>
      <c r="DA19" s="11" t="str">
        <f t="shared" si="36"/>
        <v/>
      </c>
      <c r="DB19" s="11" t="str">
        <f t="shared" si="37"/>
        <v/>
      </c>
      <c r="DC19" s="11" t="str">
        <f t="shared" si="38"/>
        <v/>
      </c>
      <c r="DD19" s="11" t="str">
        <f t="shared" si="39"/>
        <v/>
      </c>
      <c r="DE19" s="11" t="str">
        <f t="shared" si="40"/>
        <v/>
      </c>
      <c r="DF19" s="11" t="str">
        <f t="shared" si="41"/>
        <v/>
      </c>
      <c r="DG19" s="11" t="str">
        <f t="shared" si="42"/>
        <v/>
      </c>
      <c r="DH19" s="23" t="str">
        <f t="shared" si="43"/>
        <v/>
      </c>
      <c r="DI19" s="23" t="str">
        <f t="shared" si="44"/>
        <v/>
      </c>
      <c r="DJ19" s="23" t="str">
        <f t="shared" si="45"/>
        <v/>
      </c>
      <c r="DK19" s="23" t="str">
        <f t="shared" si="46"/>
        <v/>
      </c>
      <c r="DL19" s="35"/>
      <c r="DM19" s="35"/>
      <c r="DN19" s="35"/>
      <c r="DO19" s="35"/>
      <c r="DP19" s="35"/>
      <c r="DQ19" s="35"/>
      <c r="DR19" s="35"/>
      <c r="DS19" s="35"/>
      <c r="DT19" s="35"/>
      <c r="DU19" s="35"/>
      <c r="DV19" s="35"/>
      <c r="DW19" s="35"/>
      <c r="DX19" s="35"/>
      <c r="DY19" s="35"/>
      <c r="DZ19" s="35"/>
      <c r="EA19" s="11" t="str">
        <f t="shared" si="47"/>
        <v/>
      </c>
      <c r="EB19" s="11" t="str">
        <f t="shared" si="48"/>
        <v/>
      </c>
      <c r="EC19" s="11" t="str">
        <f t="shared" si="49"/>
        <v/>
      </c>
      <c r="ED19" s="11" t="str">
        <f t="shared" si="50"/>
        <v/>
      </c>
      <c r="EE19" s="11" t="str">
        <f t="shared" si="51"/>
        <v/>
      </c>
      <c r="EF19" s="11" t="str">
        <f t="shared" si="52"/>
        <v/>
      </c>
      <c r="EG19" s="11" t="str">
        <f t="shared" si="53"/>
        <v/>
      </c>
      <c r="EH19" s="36"/>
      <c r="EI19" s="36"/>
      <c r="EJ19" s="36"/>
      <c r="EK19" s="36"/>
      <c r="EL19" s="36"/>
      <c r="EM19" s="36"/>
      <c r="EN19" s="36"/>
      <c r="EO19" s="36"/>
      <c r="EP19" s="36"/>
      <c r="EQ19" s="36"/>
      <c r="ER19" s="36"/>
      <c r="ES19" s="36"/>
      <c r="ET19" s="36"/>
      <c r="EU19" s="36"/>
      <c r="EV19" s="36"/>
      <c r="EW19" s="14" t="str">
        <f t="shared" si="54"/>
        <v/>
      </c>
      <c r="EX19" s="14" t="str">
        <f t="shared" si="55"/>
        <v/>
      </c>
      <c r="EY19" s="14" t="str">
        <f t="shared" si="56"/>
        <v/>
      </c>
      <c r="EZ19" s="14" t="str">
        <f t="shared" si="57"/>
        <v/>
      </c>
      <c r="FA19" s="14" t="str">
        <f t="shared" si="58"/>
        <v/>
      </c>
      <c r="FB19" s="14" t="str">
        <f t="shared" si="59"/>
        <v/>
      </c>
      <c r="FC19" s="14" t="str">
        <f t="shared" si="60"/>
        <v/>
      </c>
      <c r="FD19" s="35"/>
      <c r="FE19" s="35"/>
      <c r="FF19" s="35"/>
      <c r="FG19" s="35"/>
      <c r="FH19" s="35"/>
      <c r="FI19" s="35"/>
      <c r="FJ19" s="35"/>
      <c r="FK19" s="35"/>
      <c r="FL19" s="35"/>
      <c r="FM19" s="35"/>
      <c r="FN19" s="35"/>
      <c r="FO19" s="35"/>
      <c r="FP19" s="35"/>
      <c r="FQ19" s="35"/>
      <c r="FR19" s="35"/>
      <c r="FS19" s="11" t="str">
        <f t="shared" si="61"/>
        <v/>
      </c>
      <c r="FT19" s="11" t="str">
        <f t="shared" si="62"/>
        <v/>
      </c>
      <c r="FU19" s="11" t="str">
        <f t="shared" si="63"/>
        <v/>
      </c>
      <c r="FV19" s="11" t="str">
        <f t="shared" si="64"/>
        <v/>
      </c>
      <c r="FW19" s="11" t="str">
        <f t="shared" si="65"/>
        <v/>
      </c>
      <c r="FX19" s="11" t="str">
        <f t="shared" si="66"/>
        <v/>
      </c>
      <c r="FY19" s="11" t="str">
        <f t="shared" si="67"/>
        <v/>
      </c>
      <c r="FZ19" s="36"/>
      <c r="GA19" s="36"/>
      <c r="GB19" s="36"/>
      <c r="GC19" s="36"/>
      <c r="GD19" s="36"/>
      <c r="GE19" s="36"/>
      <c r="GF19" s="36"/>
      <c r="GG19" s="36"/>
      <c r="GH19" s="36"/>
      <c r="GI19" s="36"/>
      <c r="GJ19" s="36"/>
      <c r="GK19" s="36"/>
      <c r="GL19" s="36"/>
      <c r="GM19" s="36"/>
      <c r="GN19" s="36"/>
      <c r="GO19" s="14" t="str">
        <f t="shared" si="68"/>
        <v/>
      </c>
      <c r="GP19" s="14" t="str">
        <f t="shared" si="69"/>
        <v/>
      </c>
      <c r="GQ19" s="14" t="str">
        <f t="shared" si="70"/>
        <v/>
      </c>
      <c r="GR19" s="14" t="str">
        <f t="shared" si="71"/>
        <v/>
      </c>
      <c r="GS19" s="14" t="str">
        <f t="shared" si="72"/>
        <v/>
      </c>
      <c r="GT19" s="14" t="str">
        <f t="shared" si="73"/>
        <v/>
      </c>
      <c r="GU19" s="14" t="str">
        <f t="shared" si="74"/>
        <v/>
      </c>
      <c r="GV19" s="35"/>
      <c r="GW19" s="35"/>
      <c r="GX19" s="35"/>
      <c r="GY19" s="35"/>
      <c r="GZ19" s="35"/>
      <c r="HA19" s="35"/>
      <c r="HB19" s="35"/>
      <c r="HC19" s="35"/>
      <c r="HD19" s="35"/>
      <c r="HE19" s="35"/>
      <c r="HF19" s="35"/>
      <c r="HG19" s="35"/>
      <c r="HH19" s="35"/>
      <c r="HI19" s="35"/>
      <c r="HJ19" s="35"/>
      <c r="HK19" s="11" t="str">
        <f t="shared" si="75"/>
        <v/>
      </c>
      <c r="HL19" s="11" t="str">
        <f t="shared" si="76"/>
        <v/>
      </c>
      <c r="HM19" s="11" t="str">
        <f t="shared" si="77"/>
        <v/>
      </c>
      <c r="HN19" s="11" t="str">
        <f t="shared" si="78"/>
        <v/>
      </c>
      <c r="HO19" s="11" t="str">
        <f t="shared" si="79"/>
        <v/>
      </c>
      <c r="HP19" s="11" t="str">
        <f t="shared" si="80"/>
        <v/>
      </c>
      <c r="HQ19" s="11" t="str">
        <f t="shared" si="81"/>
        <v/>
      </c>
      <c r="HR19" s="36"/>
      <c r="HS19" s="36"/>
      <c r="HT19" s="36"/>
      <c r="HU19" s="36"/>
      <c r="HV19" s="36"/>
      <c r="HW19" s="36"/>
      <c r="HX19" s="36"/>
      <c r="HY19" s="36"/>
      <c r="HZ19" s="36"/>
      <c r="IA19" s="36"/>
      <c r="IB19" s="36"/>
      <c r="IC19" s="36"/>
      <c r="ID19" s="36"/>
      <c r="IE19" s="36"/>
      <c r="IF19" s="36"/>
      <c r="IG19" s="14" t="str">
        <f t="shared" si="82"/>
        <v/>
      </c>
      <c r="IH19" s="14" t="str">
        <f t="shared" si="83"/>
        <v/>
      </c>
      <c r="II19" s="14" t="str">
        <f t="shared" si="84"/>
        <v/>
      </c>
      <c r="IJ19" s="14" t="str">
        <f t="shared" si="85"/>
        <v/>
      </c>
      <c r="IK19" s="14" t="str">
        <f t="shared" si="86"/>
        <v/>
      </c>
      <c r="IL19" s="14" t="str">
        <f t="shared" si="87"/>
        <v/>
      </c>
      <c r="IM19" s="14" t="str">
        <f t="shared" si="88"/>
        <v/>
      </c>
      <c r="IN19" s="35"/>
      <c r="IO19" s="35"/>
      <c r="IP19" s="35"/>
      <c r="IQ19" s="35"/>
      <c r="IR19" s="35"/>
      <c r="IS19" s="35"/>
      <c r="IT19" s="35"/>
      <c r="IU19" s="35"/>
      <c r="IV19" s="35"/>
      <c r="IW19" s="35"/>
      <c r="IX19" s="35"/>
      <c r="IY19" s="35"/>
      <c r="IZ19" s="35"/>
      <c r="JA19" s="35"/>
      <c r="JB19" s="35"/>
      <c r="JC19" s="11" t="str">
        <f t="shared" si="89"/>
        <v/>
      </c>
      <c r="JD19" s="11" t="str">
        <f t="shared" si="90"/>
        <v/>
      </c>
      <c r="JE19" s="11" t="str">
        <f t="shared" si="91"/>
        <v/>
      </c>
      <c r="JF19" s="11" t="str">
        <f t="shared" si="92"/>
        <v/>
      </c>
      <c r="JG19" s="11" t="str">
        <f t="shared" si="93"/>
        <v/>
      </c>
      <c r="JH19" s="11" t="str">
        <f t="shared" si="94"/>
        <v/>
      </c>
      <c r="JI19" s="11" t="str">
        <f t="shared" si="95"/>
        <v/>
      </c>
      <c r="JJ19" s="36"/>
      <c r="JK19" s="36"/>
      <c r="JL19" s="36"/>
      <c r="JM19" s="36"/>
      <c r="JN19" s="36"/>
      <c r="JO19" s="36"/>
      <c r="JP19" s="36"/>
      <c r="JQ19" s="36"/>
      <c r="JR19" s="36"/>
      <c r="JS19" s="36"/>
      <c r="JT19" s="36"/>
      <c r="JU19" s="36"/>
      <c r="JV19" s="36"/>
      <c r="JW19" s="36"/>
      <c r="JX19" s="36"/>
      <c r="JY19" s="14" t="str">
        <f t="shared" si="96"/>
        <v/>
      </c>
      <c r="JZ19" s="14" t="str">
        <f t="shared" si="97"/>
        <v/>
      </c>
      <c r="KA19" s="14" t="str">
        <f t="shared" si="98"/>
        <v/>
      </c>
      <c r="KB19" s="14" t="str">
        <f t="shared" si="99"/>
        <v/>
      </c>
      <c r="KC19" s="14" t="str">
        <f t="shared" si="100"/>
        <v/>
      </c>
      <c r="KD19" s="14" t="str">
        <f t="shared" si="101"/>
        <v/>
      </c>
      <c r="KE19" s="14" t="str">
        <f t="shared" si="102"/>
        <v/>
      </c>
      <c r="KF19" s="35"/>
      <c r="KG19" s="35"/>
      <c r="KH19" s="35"/>
      <c r="KI19" s="35"/>
      <c r="KJ19" s="35"/>
      <c r="KK19" s="35"/>
      <c r="KL19" s="35"/>
      <c r="KM19" s="35"/>
      <c r="KN19" s="35"/>
      <c r="KO19" s="35"/>
      <c r="KP19" s="35"/>
      <c r="KQ19" s="35"/>
      <c r="KR19" s="35"/>
      <c r="KS19" s="35"/>
      <c r="KT19" s="35"/>
      <c r="KU19" s="11" t="str">
        <f t="shared" si="103"/>
        <v/>
      </c>
      <c r="KV19" s="11" t="str">
        <f t="shared" si="104"/>
        <v/>
      </c>
      <c r="KW19" s="11" t="str">
        <f t="shared" si="105"/>
        <v/>
      </c>
      <c r="KX19" s="11" t="str">
        <f t="shared" si="106"/>
        <v/>
      </c>
      <c r="KY19" s="11" t="str">
        <f t="shared" si="107"/>
        <v/>
      </c>
      <c r="KZ19" s="11" t="str">
        <f t="shared" si="108"/>
        <v/>
      </c>
      <c r="LA19" s="11" t="str">
        <f t="shared" si="109"/>
        <v/>
      </c>
      <c r="LB19" s="36"/>
      <c r="LC19" s="36"/>
      <c r="LD19" s="36"/>
      <c r="LE19" s="36"/>
      <c r="LF19" s="36"/>
      <c r="LG19" s="36"/>
      <c r="LH19" s="36"/>
      <c r="LI19" s="36"/>
      <c r="LJ19" s="36"/>
      <c r="LK19" s="36"/>
      <c r="LL19" s="36"/>
      <c r="LM19" s="36"/>
      <c r="LN19" s="36"/>
      <c r="LO19" s="36"/>
      <c r="LP19" s="36"/>
      <c r="LQ19" s="14" t="str">
        <f t="shared" si="110"/>
        <v/>
      </c>
      <c r="LR19" s="14" t="str">
        <f t="shared" si="111"/>
        <v/>
      </c>
      <c r="LS19" s="14" t="str">
        <f t="shared" si="112"/>
        <v/>
      </c>
      <c r="LT19" s="14" t="str">
        <f t="shared" si="113"/>
        <v/>
      </c>
      <c r="LU19" s="14" t="str">
        <f t="shared" si="114"/>
        <v/>
      </c>
      <c r="LV19" s="14" t="str">
        <f t="shared" si="115"/>
        <v/>
      </c>
      <c r="LW19" s="14" t="str">
        <f t="shared" si="116"/>
        <v/>
      </c>
      <c r="LX19" s="35"/>
      <c r="LY19" s="35"/>
      <c r="LZ19" s="35"/>
      <c r="MA19" s="35"/>
      <c r="MB19" s="35"/>
      <c r="MC19" s="35"/>
      <c r="MD19" s="35"/>
      <c r="ME19" s="35"/>
      <c r="MF19" s="35"/>
      <c r="MG19" s="35"/>
      <c r="MH19" s="35"/>
      <c r="MI19" s="35"/>
      <c r="MJ19" s="35"/>
      <c r="MK19" s="35"/>
      <c r="ML19" s="35"/>
      <c r="MM19" s="11" t="str">
        <f t="shared" si="117"/>
        <v/>
      </c>
      <c r="MN19" s="11" t="str">
        <f t="shared" si="118"/>
        <v/>
      </c>
      <c r="MO19" s="11" t="str">
        <f t="shared" si="119"/>
        <v/>
      </c>
      <c r="MP19" s="11" t="str">
        <f t="shared" si="120"/>
        <v/>
      </c>
      <c r="MQ19" s="11" t="str">
        <f t="shared" si="121"/>
        <v/>
      </c>
      <c r="MR19" s="11" t="str">
        <f t="shared" si="122"/>
        <v/>
      </c>
      <c r="MS19" s="11" t="str">
        <f t="shared" si="123"/>
        <v/>
      </c>
      <c r="MT19" s="36"/>
      <c r="MU19" s="36"/>
      <c r="MV19" s="36"/>
      <c r="MW19" s="36"/>
      <c r="MX19" s="36"/>
      <c r="MY19" s="36"/>
      <c r="MZ19" s="36"/>
      <c r="NA19" s="36"/>
      <c r="NB19" s="36"/>
      <c r="NC19" s="36"/>
      <c r="ND19" s="36"/>
      <c r="NE19" s="36"/>
      <c r="NF19" s="36"/>
      <c r="NG19" s="36"/>
      <c r="NH19" s="36"/>
      <c r="NI19" s="14" t="str">
        <f t="shared" si="124"/>
        <v/>
      </c>
      <c r="NJ19" s="14" t="str">
        <f t="shared" si="125"/>
        <v/>
      </c>
      <c r="NK19" s="14" t="str">
        <f t="shared" si="126"/>
        <v/>
      </c>
      <c r="NL19" s="14" t="str">
        <f t="shared" si="127"/>
        <v/>
      </c>
      <c r="NM19" s="14" t="str">
        <f t="shared" si="128"/>
        <v/>
      </c>
      <c r="NN19" s="14" t="str">
        <f t="shared" si="129"/>
        <v/>
      </c>
      <c r="NO19" s="14" t="str">
        <f t="shared" si="130"/>
        <v/>
      </c>
      <c r="NP19" s="61">
        <f t="shared" si="131"/>
        <v>7.7</v>
      </c>
      <c r="NQ19" s="61">
        <f t="shared" si="132"/>
        <v>4.8499999999999996</v>
      </c>
      <c r="NR19" s="61">
        <f t="shared" si="133"/>
        <v>0.75</v>
      </c>
      <c r="NS19" s="61">
        <f t="shared" si="134"/>
        <v>6.8975</v>
      </c>
      <c r="NT19" s="61">
        <f t="shared" si="135"/>
        <v>0</v>
      </c>
      <c r="NU19" s="61">
        <f t="shared" si="136"/>
        <v>3.55</v>
      </c>
      <c r="NV19" s="61">
        <f t="shared" si="137"/>
        <v>2.25</v>
      </c>
      <c r="NW19" s="61">
        <f t="shared" si="138"/>
        <v>1.8</v>
      </c>
      <c r="NX19" s="61">
        <f t="shared" si="139"/>
        <v>3.4474999999999998</v>
      </c>
      <c r="NY19" s="61">
        <f t="shared" si="140"/>
        <v>0</v>
      </c>
      <c r="NZ19" s="61">
        <f t="shared" si="141"/>
        <v>0</v>
      </c>
      <c r="OA19" s="61">
        <f t="shared" si="142"/>
        <v>0</v>
      </c>
      <c r="OB19" s="61">
        <f t="shared" si="143"/>
        <v>0</v>
      </c>
      <c r="OC19" s="61">
        <f t="shared" si="144"/>
        <v>0</v>
      </c>
      <c r="OD19" s="61">
        <f t="shared" si="145"/>
        <v>0</v>
      </c>
      <c r="OE19" s="61">
        <f t="shared" si="146"/>
        <v>4.1500000000000004</v>
      </c>
      <c r="OF19" s="61">
        <f t="shared" si="147"/>
        <v>2.8</v>
      </c>
      <c r="OG19" s="61">
        <f t="shared" si="148"/>
        <v>2.65</v>
      </c>
      <c r="OH19" s="61">
        <f t="shared" si="149"/>
        <v>4.13</v>
      </c>
      <c r="OI19" s="61">
        <f t="shared" si="150"/>
        <v>0</v>
      </c>
      <c r="OJ19" s="72" t="s">
        <v>52</v>
      </c>
      <c r="OK19" s="11">
        <f t="shared" si="151"/>
        <v>20.197500000000002</v>
      </c>
      <c r="OL19" s="11">
        <f t="shared" si="152"/>
        <v>1.8</v>
      </c>
      <c r="OM19" s="11">
        <f t="shared" si="153"/>
        <v>11.047499999999999</v>
      </c>
      <c r="ON19" s="11" t="str">
        <f t="shared" si="154"/>
        <v/>
      </c>
      <c r="OO19" s="11" t="str">
        <f t="shared" si="155"/>
        <v/>
      </c>
      <c r="OP19" s="11">
        <f t="shared" si="156"/>
        <v>31.245000000000001</v>
      </c>
      <c r="OQ19" s="11">
        <f t="shared" si="157"/>
        <v>2.65</v>
      </c>
      <c r="OR19" s="11">
        <f t="shared" ref="OR19" si="178">IF(SUM(OE19:OH19)-OI19&gt;0,SUM(OE19:OH19)-OI19,"")</f>
        <v>13.73</v>
      </c>
      <c r="OS19" s="11">
        <f t="shared" ref="OS19" si="179">IF(SUM(OP19,OR19)&gt;0,SUM(OP19,OR19),"")</f>
        <v>44.975000000000001</v>
      </c>
    </row>
    <row r="20" spans="1:409" x14ac:dyDescent="0.2">
      <c r="A20" s="5" t="str" cm="1">
        <f t="array" ref="A20">IF(AND(G20&lt;&gt;"",H20&lt;&gt;""),SUMPRODUCT((G$4:G$27&lt;&gt;"")*(H$4:H$27&lt;&gt;"")*(E$4:E$27&gt;E20))+1,IF(H20&lt;&gt;"",SUMPRODUCT((I$4:I$27="No DD")*(E$4:E$27&gt;E20))+1+SUMPRODUCT((G$4:G$27&lt;&gt;"")*(H$4:H$27&lt;&gt;"")),""))</f>
        <v/>
      </c>
      <c r="B20" s="6" t="s">
        <v>127</v>
      </c>
      <c r="C20" s="7" t="s">
        <v>5</v>
      </c>
      <c r="D20" s="26">
        <v>2001</v>
      </c>
      <c r="E20" s="15">
        <f t="shared" si="0"/>
        <v>64.8</v>
      </c>
      <c r="F20" s="3" t="str">
        <f t="shared" si="1"/>
        <v/>
      </c>
      <c r="G20" s="115" t="str">
        <f t="shared" si="2"/>
        <v/>
      </c>
      <c r="H20" s="115" t="str">
        <f t="shared" si="3"/>
        <v/>
      </c>
      <c r="I20" s="116" t="str">
        <f t="shared" si="4"/>
        <v/>
      </c>
      <c r="J20" s="3" t="str">
        <f t="shared" si="5"/>
        <v/>
      </c>
      <c r="K20" s="14">
        <f t="shared" si="6"/>
        <v>89.034999999999997</v>
      </c>
      <c r="L20" s="14" t="str">
        <f t="shared" si="7"/>
        <v>2021 Elite Canada</v>
      </c>
      <c r="M20" s="14">
        <f t="shared" si="8"/>
        <v>0</v>
      </c>
      <c r="N20" s="14" t="str">
        <f t="shared" si="9"/>
        <v/>
      </c>
      <c r="O20" s="14">
        <f t="shared" si="10"/>
        <v>46.41</v>
      </c>
      <c r="P20" s="14" t="str">
        <f t="shared" si="11"/>
        <v>2021 Elite Canada</v>
      </c>
      <c r="Q20" s="14">
        <f>IF(COUNT(AS20,AU20,AX20,BW20,BY20,CB20,DA20,DC20,DF20)&gt;1,LARGE((AS20,AU20,AX20,BW20,BY20,CB20,DA20,DC20,DF20),2),0)</f>
        <v>18.39</v>
      </c>
      <c r="R20" s="14" t="str">
        <f t="shared" si="12"/>
        <v>2021 Elite Canada</v>
      </c>
      <c r="S20" s="14" t="str">
        <f t="shared" si="13"/>
        <v/>
      </c>
      <c r="T20" s="24" t="str">
        <f t="shared" si="14"/>
        <v/>
      </c>
      <c r="U20" s="14" t="str">
        <f t="shared" si="15"/>
        <v/>
      </c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72"/>
      <c r="AQ20" s="11" t="str">
        <f t="shared" si="16"/>
        <v/>
      </c>
      <c r="AR20" s="11" t="str">
        <f t="shared" si="17"/>
        <v/>
      </c>
      <c r="AS20" s="11" t="str">
        <f t="shared" si="18"/>
        <v/>
      </c>
      <c r="AT20" s="11" t="str">
        <f t="shared" si="19"/>
        <v/>
      </c>
      <c r="AU20" s="11" t="str">
        <f t="shared" si="20"/>
        <v/>
      </c>
      <c r="AV20" s="11" t="str">
        <f t="shared" si="21"/>
        <v/>
      </c>
      <c r="AW20" s="11" t="str">
        <f t="shared" si="22"/>
        <v/>
      </c>
      <c r="AX20" s="11" t="str">
        <f t="shared" si="23"/>
        <v/>
      </c>
      <c r="AY20" s="11" t="str">
        <f t="shared" si="24"/>
        <v/>
      </c>
      <c r="AZ20" s="67"/>
      <c r="BA20" s="67"/>
      <c r="BB20" s="67"/>
      <c r="BC20" s="67"/>
      <c r="BD20" s="67"/>
      <c r="BE20" s="67"/>
      <c r="BF20" s="67"/>
      <c r="BG20" s="67"/>
      <c r="BH20" s="67"/>
      <c r="BI20" s="67"/>
      <c r="BJ20" s="67"/>
      <c r="BK20" s="67"/>
      <c r="BL20" s="67"/>
      <c r="BM20" s="67"/>
      <c r="BN20" s="67"/>
      <c r="BO20" s="67"/>
      <c r="BP20" s="67"/>
      <c r="BQ20" s="67"/>
      <c r="BR20" s="67"/>
      <c r="BS20" s="67"/>
      <c r="BT20" s="73"/>
      <c r="BU20" s="14" t="str">
        <f t="shared" si="25"/>
        <v/>
      </c>
      <c r="BV20" s="14" t="str">
        <f t="shared" si="26"/>
        <v/>
      </c>
      <c r="BW20" s="14" t="str">
        <f t="shared" si="27"/>
        <v/>
      </c>
      <c r="BX20" s="14" t="str">
        <f t="shared" si="28"/>
        <v/>
      </c>
      <c r="BY20" s="14" t="str">
        <f t="shared" si="29"/>
        <v/>
      </c>
      <c r="BZ20" s="14" t="str">
        <f t="shared" si="30"/>
        <v/>
      </c>
      <c r="CA20" s="14" t="str">
        <f t="shared" si="31"/>
        <v/>
      </c>
      <c r="CB20" s="14" t="str">
        <f t="shared" si="32"/>
        <v/>
      </c>
      <c r="CC20" s="14" t="str">
        <f t="shared" si="33"/>
        <v/>
      </c>
      <c r="CD20" s="61">
        <v>16.100000000000001</v>
      </c>
      <c r="CE20" s="61">
        <v>9.6</v>
      </c>
      <c r="CF20" s="61">
        <v>2.2000000000000002</v>
      </c>
      <c r="CG20" s="61">
        <v>14.725</v>
      </c>
      <c r="CH20" s="61">
        <v>0</v>
      </c>
      <c r="CI20" s="61">
        <v>13.8</v>
      </c>
      <c r="CJ20" s="61">
        <v>9.5</v>
      </c>
      <c r="CK20" s="61">
        <v>9.6999999999999993</v>
      </c>
      <c r="CL20" s="61">
        <v>13.41</v>
      </c>
      <c r="CM20" s="61">
        <v>0</v>
      </c>
      <c r="CN20" s="61"/>
      <c r="CO20" s="61"/>
      <c r="CP20" s="61"/>
      <c r="CQ20" s="61"/>
      <c r="CR20" s="61"/>
      <c r="CS20" s="61">
        <v>5.2</v>
      </c>
      <c r="CT20" s="61">
        <v>3.4</v>
      </c>
      <c r="CU20" s="61">
        <v>4.3</v>
      </c>
      <c r="CV20" s="61">
        <v>5.49</v>
      </c>
      <c r="CW20" s="61">
        <v>0</v>
      </c>
      <c r="CX20" s="72"/>
      <c r="CY20" s="11">
        <f t="shared" si="34"/>
        <v>42.625</v>
      </c>
      <c r="CZ20" s="11">
        <f t="shared" si="35"/>
        <v>9.6999999999999993</v>
      </c>
      <c r="DA20" s="11">
        <f t="shared" si="36"/>
        <v>46.41</v>
      </c>
      <c r="DB20" s="11" t="str">
        <f t="shared" si="37"/>
        <v/>
      </c>
      <c r="DC20" s="11" t="str">
        <f t="shared" si="38"/>
        <v/>
      </c>
      <c r="DD20" s="11">
        <f t="shared" si="39"/>
        <v>89.034999999999997</v>
      </c>
      <c r="DE20" s="11">
        <f t="shared" si="40"/>
        <v>4.3</v>
      </c>
      <c r="DF20" s="11">
        <f t="shared" si="41"/>
        <v>18.39</v>
      </c>
      <c r="DG20" s="11">
        <f t="shared" si="42"/>
        <v>107.425</v>
      </c>
      <c r="DH20" s="23" t="str">
        <f t="shared" si="43"/>
        <v/>
      </c>
      <c r="DI20" s="23" t="str">
        <f t="shared" si="44"/>
        <v/>
      </c>
      <c r="DJ20" s="23" t="str">
        <f t="shared" si="45"/>
        <v/>
      </c>
      <c r="DK20" s="23" t="str">
        <f t="shared" si="46"/>
        <v/>
      </c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11" t="str">
        <f t="shared" si="47"/>
        <v/>
      </c>
      <c r="EB20" s="11" t="str">
        <f t="shared" si="48"/>
        <v/>
      </c>
      <c r="EC20" s="11" t="str">
        <f t="shared" si="49"/>
        <v/>
      </c>
      <c r="ED20" s="11" t="str">
        <f t="shared" si="50"/>
        <v/>
      </c>
      <c r="EE20" s="11" t="str">
        <f t="shared" si="51"/>
        <v/>
      </c>
      <c r="EF20" s="11" t="str">
        <f t="shared" si="52"/>
        <v/>
      </c>
      <c r="EG20" s="11" t="str">
        <f t="shared" si="53"/>
        <v/>
      </c>
      <c r="EH20" s="36"/>
      <c r="EI20" s="36"/>
      <c r="EJ20" s="36"/>
      <c r="EK20" s="36"/>
      <c r="EL20" s="36"/>
      <c r="EM20" s="36"/>
      <c r="EN20" s="36"/>
      <c r="EO20" s="36"/>
      <c r="EP20" s="36"/>
      <c r="EQ20" s="36"/>
      <c r="ER20" s="36"/>
      <c r="ES20" s="36"/>
      <c r="ET20" s="36"/>
      <c r="EU20" s="36"/>
      <c r="EV20" s="36"/>
      <c r="EW20" s="14" t="str">
        <f t="shared" si="54"/>
        <v/>
      </c>
      <c r="EX20" s="14" t="str">
        <f t="shared" si="55"/>
        <v/>
      </c>
      <c r="EY20" s="14" t="str">
        <f t="shared" si="56"/>
        <v/>
      </c>
      <c r="EZ20" s="14" t="str">
        <f t="shared" si="57"/>
        <v/>
      </c>
      <c r="FA20" s="14" t="str">
        <f t="shared" si="58"/>
        <v/>
      </c>
      <c r="FB20" s="14" t="str">
        <f t="shared" si="59"/>
        <v/>
      </c>
      <c r="FC20" s="14" t="str">
        <f t="shared" si="60"/>
        <v/>
      </c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11" t="str">
        <f t="shared" si="61"/>
        <v/>
      </c>
      <c r="FT20" s="11" t="str">
        <f t="shared" si="62"/>
        <v/>
      </c>
      <c r="FU20" s="11" t="str">
        <f t="shared" si="63"/>
        <v/>
      </c>
      <c r="FV20" s="11" t="str">
        <f t="shared" si="64"/>
        <v/>
      </c>
      <c r="FW20" s="11" t="str">
        <f t="shared" si="65"/>
        <v/>
      </c>
      <c r="FX20" s="11" t="str">
        <f t="shared" si="66"/>
        <v/>
      </c>
      <c r="FY20" s="11" t="str">
        <f t="shared" si="67"/>
        <v/>
      </c>
      <c r="FZ20" s="36"/>
      <c r="GA20" s="36"/>
      <c r="GB20" s="36"/>
      <c r="GC20" s="36"/>
      <c r="GD20" s="36"/>
      <c r="GE20" s="36"/>
      <c r="GF20" s="36"/>
      <c r="GG20" s="36"/>
      <c r="GH20" s="36"/>
      <c r="GI20" s="36"/>
      <c r="GJ20" s="36"/>
      <c r="GK20" s="36"/>
      <c r="GL20" s="36"/>
      <c r="GM20" s="36"/>
      <c r="GN20" s="36"/>
      <c r="GO20" s="14" t="str">
        <f t="shared" si="68"/>
        <v/>
      </c>
      <c r="GP20" s="14" t="str">
        <f t="shared" si="69"/>
        <v/>
      </c>
      <c r="GQ20" s="14" t="str">
        <f t="shared" si="70"/>
        <v/>
      </c>
      <c r="GR20" s="14" t="str">
        <f t="shared" si="71"/>
        <v/>
      </c>
      <c r="GS20" s="14" t="str">
        <f t="shared" si="72"/>
        <v/>
      </c>
      <c r="GT20" s="14" t="str">
        <f t="shared" si="73"/>
        <v/>
      </c>
      <c r="GU20" s="14" t="str">
        <f t="shared" si="74"/>
        <v/>
      </c>
      <c r="GV20" s="35"/>
      <c r="GW20" s="35"/>
      <c r="GX20" s="35"/>
      <c r="GY20" s="35"/>
      <c r="GZ20" s="35"/>
      <c r="HA20" s="35"/>
      <c r="HB20" s="35"/>
      <c r="HC20" s="35"/>
      <c r="HD20" s="35"/>
      <c r="HE20" s="35"/>
      <c r="HF20" s="35"/>
      <c r="HG20" s="35"/>
      <c r="HH20" s="35"/>
      <c r="HI20" s="35"/>
      <c r="HJ20" s="35"/>
      <c r="HK20" s="11" t="str">
        <f t="shared" si="75"/>
        <v/>
      </c>
      <c r="HL20" s="11" t="str">
        <f t="shared" si="76"/>
        <v/>
      </c>
      <c r="HM20" s="11" t="str">
        <f t="shared" si="77"/>
        <v/>
      </c>
      <c r="HN20" s="11" t="str">
        <f t="shared" si="78"/>
        <v/>
      </c>
      <c r="HO20" s="11" t="str">
        <f t="shared" si="79"/>
        <v/>
      </c>
      <c r="HP20" s="11" t="str">
        <f t="shared" si="80"/>
        <v/>
      </c>
      <c r="HQ20" s="11" t="str">
        <f t="shared" si="81"/>
        <v/>
      </c>
      <c r="HR20" s="36"/>
      <c r="HS20" s="36"/>
      <c r="HT20" s="36"/>
      <c r="HU20" s="36"/>
      <c r="HV20" s="36"/>
      <c r="HW20" s="36"/>
      <c r="HX20" s="36"/>
      <c r="HY20" s="36"/>
      <c r="HZ20" s="36"/>
      <c r="IA20" s="36"/>
      <c r="IB20" s="36"/>
      <c r="IC20" s="36"/>
      <c r="ID20" s="36"/>
      <c r="IE20" s="36"/>
      <c r="IF20" s="36"/>
      <c r="IG20" s="14" t="str">
        <f t="shared" si="82"/>
        <v/>
      </c>
      <c r="IH20" s="14" t="str">
        <f t="shared" si="83"/>
        <v/>
      </c>
      <c r="II20" s="14" t="str">
        <f t="shared" si="84"/>
        <v/>
      </c>
      <c r="IJ20" s="14" t="str">
        <f t="shared" si="85"/>
        <v/>
      </c>
      <c r="IK20" s="14" t="str">
        <f t="shared" si="86"/>
        <v/>
      </c>
      <c r="IL20" s="14" t="str">
        <f t="shared" si="87"/>
        <v/>
      </c>
      <c r="IM20" s="14" t="str">
        <f t="shared" si="88"/>
        <v/>
      </c>
      <c r="IN20" s="35"/>
      <c r="IO20" s="35"/>
      <c r="IP20" s="35"/>
      <c r="IQ20" s="35"/>
      <c r="IR20" s="35"/>
      <c r="IS20" s="35"/>
      <c r="IT20" s="35"/>
      <c r="IU20" s="35"/>
      <c r="IV20" s="35"/>
      <c r="IW20" s="35"/>
      <c r="IX20" s="35"/>
      <c r="IY20" s="35"/>
      <c r="IZ20" s="35"/>
      <c r="JA20" s="35"/>
      <c r="JB20" s="35"/>
      <c r="JC20" s="11" t="str">
        <f t="shared" si="89"/>
        <v/>
      </c>
      <c r="JD20" s="11" t="str">
        <f t="shared" si="90"/>
        <v/>
      </c>
      <c r="JE20" s="11" t="str">
        <f t="shared" si="91"/>
        <v/>
      </c>
      <c r="JF20" s="11" t="str">
        <f t="shared" si="92"/>
        <v/>
      </c>
      <c r="JG20" s="11" t="str">
        <f t="shared" si="93"/>
        <v/>
      </c>
      <c r="JH20" s="11" t="str">
        <f t="shared" si="94"/>
        <v/>
      </c>
      <c r="JI20" s="11" t="str">
        <f t="shared" si="95"/>
        <v/>
      </c>
      <c r="JJ20" s="36"/>
      <c r="JK20" s="36"/>
      <c r="JL20" s="36"/>
      <c r="JM20" s="36"/>
      <c r="JN20" s="36"/>
      <c r="JO20" s="36"/>
      <c r="JP20" s="36"/>
      <c r="JQ20" s="36"/>
      <c r="JR20" s="36"/>
      <c r="JS20" s="36"/>
      <c r="JT20" s="36"/>
      <c r="JU20" s="36"/>
      <c r="JV20" s="36"/>
      <c r="JW20" s="36"/>
      <c r="JX20" s="36"/>
      <c r="JY20" s="14" t="str">
        <f t="shared" si="96"/>
        <v/>
      </c>
      <c r="JZ20" s="14" t="str">
        <f t="shared" si="97"/>
        <v/>
      </c>
      <c r="KA20" s="14" t="str">
        <f t="shared" si="98"/>
        <v/>
      </c>
      <c r="KB20" s="14" t="str">
        <f t="shared" si="99"/>
        <v/>
      </c>
      <c r="KC20" s="14" t="str">
        <f t="shared" si="100"/>
        <v/>
      </c>
      <c r="KD20" s="14" t="str">
        <f t="shared" si="101"/>
        <v/>
      </c>
      <c r="KE20" s="14" t="str">
        <f t="shared" si="102"/>
        <v/>
      </c>
      <c r="KF20" s="35"/>
      <c r="KG20" s="35"/>
      <c r="KH20" s="35"/>
      <c r="KI20" s="35"/>
      <c r="KJ20" s="35"/>
      <c r="KK20" s="35"/>
      <c r="KL20" s="35"/>
      <c r="KM20" s="35"/>
      <c r="KN20" s="35"/>
      <c r="KO20" s="35"/>
      <c r="KP20" s="35"/>
      <c r="KQ20" s="35"/>
      <c r="KR20" s="35"/>
      <c r="KS20" s="35"/>
      <c r="KT20" s="35"/>
      <c r="KU20" s="11" t="str">
        <f t="shared" si="103"/>
        <v/>
      </c>
      <c r="KV20" s="11" t="str">
        <f t="shared" si="104"/>
        <v/>
      </c>
      <c r="KW20" s="11" t="str">
        <f t="shared" si="105"/>
        <v/>
      </c>
      <c r="KX20" s="11" t="str">
        <f t="shared" si="106"/>
        <v/>
      </c>
      <c r="KY20" s="11" t="str">
        <f t="shared" si="107"/>
        <v/>
      </c>
      <c r="KZ20" s="11" t="str">
        <f t="shared" si="108"/>
        <v/>
      </c>
      <c r="LA20" s="11" t="str">
        <f t="shared" si="109"/>
        <v/>
      </c>
      <c r="LB20" s="36"/>
      <c r="LC20" s="36"/>
      <c r="LD20" s="36"/>
      <c r="LE20" s="36"/>
      <c r="LF20" s="36"/>
      <c r="LG20" s="36"/>
      <c r="LH20" s="36"/>
      <c r="LI20" s="36"/>
      <c r="LJ20" s="36"/>
      <c r="LK20" s="36"/>
      <c r="LL20" s="36"/>
      <c r="LM20" s="36"/>
      <c r="LN20" s="36"/>
      <c r="LO20" s="36"/>
      <c r="LP20" s="36"/>
      <c r="LQ20" s="14" t="str">
        <f t="shared" si="110"/>
        <v/>
      </c>
      <c r="LR20" s="14" t="str">
        <f t="shared" si="111"/>
        <v/>
      </c>
      <c r="LS20" s="14" t="str">
        <f t="shared" si="112"/>
        <v/>
      </c>
      <c r="LT20" s="14" t="str">
        <f t="shared" si="113"/>
        <v/>
      </c>
      <c r="LU20" s="14" t="str">
        <f t="shared" si="114"/>
        <v/>
      </c>
      <c r="LV20" s="14" t="str">
        <f t="shared" si="115"/>
        <v/>
      </c>
      <c r="LW20" s="14" t="str">
        <f t="shared" si="116"/>
        <v/>
      </c>
      <c r="LX20" s="35"/>
      <c r="LY20" s="35"/>
      <c r="LZ20" s="35"/>
      <c r="MA20" s="35"/>
      <c r="MB20" s="35"/>
      <c r="MC20" s="35"/>
      <c r="MD20" s="35"/>
      <c r="ME20" s="35"/>
      <c r="MF20" s="35"/>
      <c r="MG20" s="35"/>
      <c r="MH20" s="35"/>
      <c r="MI20" s="35"/>
      <c r="MJ20" s="35"/>
      <c r="MK20" s="35"/>
      <c r="ML20" s="35"/>
      <c r="MM20" s="11" t="str">
        <f t="shared" si="117"/>
        <v/>
      </c>
      <c r="MN20" s="11" t="str">
        <f t="shared" si="118"/>
        <v/>
      </c>
      <c r="MO20" s="11" t="str">
        <f t="shared" si="119"/>
        <v/>
      </c>
      <c r="MP20" s="11" t="str">
        <f t="shared" si="120"/>
        <v/>
      </c>
      <c r="MQ20" s="11" t="str">
        <f t="shared" si="121"/>
        <v/>
      </c>
      <c r="MR20" s="11" t="str">
        <f t="shared" si="122"/>
        <v/>
      </c>
      <c r="MS20" s="11" t="str">
        <f t="shared" si="123"/>
        <v/>
      </c>
      <c r="MT20" s="36"/>
      <c r="MU20" s="36"/>
      <c r="MV20" s="36"/>
      <c r="MW20" s="36"/>
      <c r="MX20" s="36"/>
      <c r="MY20" s="36"/>
      <c r="MZ20" s="36"/>
      <c r="NA20" s="36"/>
      <c r="NB20" s="36"/>
      <c r="NC20" s="36"/>
      <c r="ND20" s="36"/>
      <c r="NE20" s="36"/>
      <c r="NF20" s="36"/>
      <c r="NG20" s="36"/>
      <c r="NH20" s="36"/>
      <c r="NI20" s="14" t="str">
        <f t="shared" si="124"/>
        <v/>
      </c>
      <c r="NJ20" s="14" t="str">
        <f t="shared" si="125"/>
        <v/>
      </c>
      <c r="NK20" s="14" t="str">
        <f t="shared" si="126"/>
        <v/>
      </c>
      <c r="NL20" s="14" t="str">
        <f t="shared" si="127"/>
        <v/>
      </c>
      <c r="NM20" s="14" t="str">
        <f t="shared" si="128"/>
        <v/>
      </c>
      <c r="NN20" s="14" t="str">
        <f t="shared" si="129"/>
        <v/>
      </c>
      <c r="NO20" s="14" t="str">
        <f t="shared" si="130"/>
        <v/>
      </c>
      <c r="NP20" s="61">
        <f t="shared" si="131"/>
        <v>8.0500000000000007</v>
      </c>
      <c r="NQ20" s="61">
        <f t="shared" si="132"/>
        <v>4.8</v>
      </c>
      <c r="NR20" s="61">
        <f t="shared" si="133"/>
        <v>1.1000000000000001</v>
      </c>
      <c r="NS20" s="61">
        <f t="shared" si="134"/>
        <v>7.3624999999999998</v>
      </c>
      <c r="NT20" s="61">
        <f t="shared" si="135"/>
        <v>0</v>
      </c>
      <c r="NU20" s="61">
        <f t="shared" si="136"/>
        <v>6.9</v>
      </c>
      <c r="NV20" s="61">
        <f t="shared" si="137"/>
        <v>4.75</v>
      </c>
      <c r="NW20" s="61">
        <f t="shared" si="138"/>
        <v>4.8499999999999996</v>
      </c>
      <c r="NX20" s="61">
        <f t="shared" si="139"/>
        <v>6.7050000000000001</v>
      </c>
      <c r="NY20" s="61">
        <f t="shared" si="140"/>
        <v>0</v>
      </c>
      <c r="NZ20" s="61">
        <f t="shared" si="141"/>
        <v>0</v>
      </c>
      <c r="OA20" s="61">
        <f t="shared" si="142"/>
        <v>0</v>
      </c>
      <c r="OB20" s="61">
        <f t="shared" si="143"/>
        <v>0</v>
      </c>
      <c r="OC20" s="61">
        <f t="shared" si="144"/>
        <v>0</v>
      </c>
      <c r="OD20" s="61">
        <f t="shared" si="145"/>
        <v>0</v>
      </c>
      <c r="OE20" s="61">
        <f t="shared" si="146"/>
        <v>2.6</v>
      </c>
      <c r="OF20" s="61">
        <f t="shared" si="147"/>
        <v>1.7</v>
      </c>
      <c r="OG20" s="61">
        <f t="shared" si="148"/>
        <v>2.15</v>
      </c>
      <c r="OH20" s="61">
        <f t="shared" si="149"/>
        <v>2.7450000000000001</v>
      </c>
      <c r="OI20" s="61">
        <f t="shared" si="150"/>
        <v>0</v>
      </c>
      <c r="OJ20" s="72" t="s">
        <v>52</v>
      </c>
      <c r="OK20" s="11">
        <f t="shared" si="151"/>
        <v>21.3125</v>
      </c>
      <c r="OL20" s="11">
        <f t="shared" si="152"/>
        <v>4.8499999999999996</v>
      </c>
      <c r="OM20" s="11">
        <f t="shared" si="153"/>
        <v>23.204999999999998</v>
      </c>
      <c r="ON20" s="11" t="str">
        <f t="shared" si="154"/>
        <v/>
      </c>
      <c r="OO20" s="11" t="str">
        <f t="shared" si="155"/>
        <v/>
      </c>
      <c r="OP20" s="11">
        <f t="shared" si="156"/>
        <v>44.517499999999998</v>
      </c>
      <c r="OQ20" s="11">
        <f t="shared" si="157"/>
        <v>2.15</v>
      </c>
      <c r="OR20" s="11">
        <f t="shared" ref="OR20" si="180">IF(SUM(OE20:OH20)-OI20&gt;0,SUM(OE20:OH20)-OI20,"")</f>
        <v>9.1950000000000003</v>
      </c>
      <c r="OS20" s="11">
        <f t="shared" ref="OS20" si="181">IF(SUM(OP20,OR20)&gt;0,SUM(OP20,OR20),"")</f>
        <v>53.712499999999999</v>
      </c>
    </row>
    <row r="21" spans="1:409" x14ac:dyDescent="0.2">
      <c r="A21" s="5" t="str" cm="1">
        <f t="array" ref="A21">IF(AND(G21&lt;&gt;"",H21&lt;&gt;""),SUMPRODUCT((G$4:G$27&lt;&gt;"")*(H$4:H$27&lt;&gt;"")*(E$4:E$27&gt;E21))+1,IF(H21&lt;&gt;"",SUMPRODUCT((I$4:I$27="No DD")*(E$4:E$27&gt;E21))+1+SUMPRODUCT((G$4:G$27&lt;&gt;"")*(H$4:H$27&lt;&gt;"")),""))</f>
        <v/>
      </c>
      <c r="B21" s="8" t="s">
        <v>94</v>
      </c>
      <c r="C21" s="4" t="s">
        <v>4</v>
      </c>
      <c r="D21" s="26">
        <v>2004</v>
      </c>
      <c r="E21" s="15">
        <f t="shared" si="0"/>
        <v>60.54</v>
      </c>
      <c r="F21" s="3" t="str">
        <f t="shared" si="1"/>
        <v/>
      </c>
      <c r="G21" s="115" t="str">
        <f t="shared" si="2"/>
        <v/>
      </c>
      <c r="H21" s="115" t="str">
        <f t="shared" si="3"/>
        <v/>
      </c>
      <c r="I21" s="116" t="str">
        <f t="shared" si="4"/>
        <v/>
      </c>
      <c r="J21" s="3" t="str">
        <f t="shared" si="5"/>
        <v/>
      </c>
      <c r="K21" s="14">
        <f t="shared" si="6"/>
        <v>83.14500000000001</v>
      </c>
      <c r="L21" s="14" t="str">
        <f t="shared" si="7"/>
        <v>2021 1st Virtual Technical Trial</v>
      </c>
      <c r="M21" s="14">
        <f t="shared" si="8"/>
        <v>0</v>
      </c>
      <c r="N21" s="14" t="str">
        <f t="shared" si="9"/>
        <v/>
      </c>
      <c r="O21" s="14">
        <f t="shared" si="10"/>
        <v>42.99</v>
      </c>
      <c r="P21" s="14" t="str">
        <f t="shared" si="11"/>
        <v>2021 1st Virtual Technical Trial</v>
      </c>
      <c r="Q21" s="14">
        <f>IF(COUNT(AS21,AU21,AX21,BW21,BY21,CB21,DA21,DC21,DF21)&gt;1,LARGE((AS21,AU21,AX21,BW21,BY21,CB21,DA21,DC21,DF21),2),0)</f>
        <v>17.549999999999997</v>
      </c>
      <c r="R21" s="14" t="str">
        <f t="shared" si="12"/>
        <v>2021 1st Virtual Technical Trial</v>
      </c>
      <c r="S21" s="14" t="str">
        <f t="shared" si="13"/>
        <v/>
      </c>
      <c r="T21" s="24" t="str">
        <f t="shared" si="14"/>
        <v/>
      </c>
      <c r="U21" s="14" t="str">
        <f t="shared" si="15"/>
        <v/>
      </c>
      <c r="V21" s="61">
        <v>15.9</v>
      </c>
      <c r="W21" s="61">
        <v>9.4499999999999993</v>
      </c>
      <c r="X21" s="61">
        <v>1.5</v>
      </c>
      <c r="Y21" s="61">
        <v>13.305</v>
      </c>
      <c r="Z21" s="61">
        <v>0</v>
      </c>
      <c r="AA21" s="61">
        <v>13.3</v>
      </c>
      <c r="AB21" s="61">
        <v>8.6999999999999993</v>
      </c>
      <c r="AC21" s="61">
        <v>8.6999999999999993</v>
      </c>
      <c r="AD21" s="61">
        <v>12.39</v>
      </c>
      <c r="AE21" s="61">
        <v>0.1</v>
      </c>
      <c r="AF21" s="61"/>
      <c r="AG21" s="61"/>
      <c r="AH21" s="61"/>
      <c r="AI21" s="61"/>
      <c r="AJ21" s="61"/>
      <c r="AK21" s="61">
        <v>4.8</v>
      </c>
      <c r="AL21" s="61">
        <v>3.3</v>
      </c>
      <c r="AM21" s="61">
        <v>4.3</v>
      </c>
      <c r="AN21" s="61">
        <v>5.15</v>
      </c>
      <c r="AO21" s="61">
        <v>0</v>
      </c>
      <c r="AP21" s="72"/>
      <c r="AQ21" s="11">
        <f t="shared" si="16"/>
        <v>40.155000000000001</v>
      </c>
      <c r="AR21" s="11">
        <f t="shared" si="17"/>
        <v>8.6999999999999993</v>
      </c>
      <c r="AS21" s="11">
        <f t="shared" si="18"/>
        <v>42.99</v>
      </c>
      <c r="AT21" s="11" t="str">
        <f t="shared" si="19"/>
        <v/>
      </c>
      <c r="AU21" s="11" t="str">
        <f t="shared" si="20"/>
        <v/>
      </c>
      <c r="AV21" s="11">
        <f t="shared" si="21"/>
        <v>83.14500000000001</v>
      </c>
      <c r="AW21" s="11">
        <f t="shared" si="22"/>
        <v>4.3</v>
      </c>
      <c r="AX21" s="11">
        <f t="shared" si="23"/>
        <v>17.549999999999997</v>
      </c>
      <c r="AY21" s="11">
        <f t="shared" si="24"/>
        <v>100.69500000000001</v>
      </c>
      <c r="AZ21" s="67"/>
      <c r="BA21" s="67"/>
      <c r="BB21" s="67"/>
      <c r="BC21" s="67"/>
      <c r="BD21" s="67"/>
      <c r="BE21" s="67"/>
      <c r="BF21" s="67"/>
      <c r="BG21" s="67"/>
      <c r="BH21" s="67"/>
      <c r="BI21" s="67"/>
      <c r="BJ21" s="67"/>
      <c r="BK21" s="67"/>
      <c r="BL21" s="67"/>
      <c r="BM21" s="67"/>
      <c r="BN21" s="67"/>
      <c r="BO21" s="67"/>
      <c r="BP21" s="67"/>
      <c r="BQ21" s="67"/>
      <c r="BR21" s="67"/>
      <c r="BS21" s="67"/>
      <c r="BT21" s="73"/>
      <c r="BU21" s="14" t="str">
        <f t="shared" si="25"/>
        <v/>
      </c>
      <c r="BV21" s="14" t="str">
        <f t="shared" si="26"/>
        <v/>
      </c>
      <c r="BW21" s="14" t="str">
        <f t="shared" si="27"/>
        <v/>
      </c>
      <c r="BX21" s="14" t="str">
        <f t="shared" si="28"/>
        <v/>
      </c>
      <c r="BY21" s="14" t="str">
        <f t="shared" si="29"/>
        <v/>
      </c>
      <c r="BZ21" s="14" t="str">
        <f t="shared" si="30"/>
        <v/>
      </c>
      <c r="CA21" s="14" t="str">
        <f t="shared" si="31"/>
        <v/>
      </c>
      <c r="CB21" s="14" t="str">
        <f t="shared" si="32"/>
        <v/>
      </c>
      <c r="CC21" s="14" t="str">
        <f t="shared" si="33"/>
        <v/>
      </c>
      <c r="CD21" s="61"/>
      <c r="CE21" s="61"/>
      <c r="CF21" s="61"/>
      <c r="CG21" s="61"/>
      <c r="CH21" s="61"/>
      <c r="CI21" s="61"/>
      <c r="CJ21" s="61"/>
      <c r="CK21" s="61"/>
      <c r="CL21" s="61"/>
      <c r="CM21" s="61"/>
      <c r="CN21" s="61"/>
      <c r="CO21" s="61"/>
      <c r="CP21" s="61"/>
      <c r="CQ21" s="61"/>
      <c r="CR21" s="61"/>
      <c r="CS21" s="61"/>
      <c r="CT21" s="61"/>
      <c r="CU21" s="61"/>
      <c r="CV21" s="61"/>
      <c r="CW21" s="61"/>
      <c r="CX21" s="72"/>
      <c r="CY21" s="11" t="str">
        <f t="shared" si="34"/>
        <v/>
      </c>
      <c r="CZ21" s="11" t="str">
        <f t="shared" si="35"/>
        <v/>
      </c>
      <c r="DA21" s="11" t="str">
        <f t="shared" si="36"/>
        <v/>
      </c>
      <c r="DB21" s="11" t="str">
        <f t="shared" si="37"/>
        <v/>
      </c>
      <c r="DC21" s="11" t="str">
        <f t="shared" si="38"/>
        <v/>
      </c>
      <c r="DD21" s="11" t="str">
        <f t="shared" si="39"/>
        <v/>
      </c>
      <c r="DE21" s="11" t="str">
        <f t="shared" si="40"/>
        <v/>
      </c>
      <c r="DF21" s="11" t="str">
        <f t="shared" si="41"/>
        <v/>
      </c>
      <c r="DG21" s="11" t="str">
        <f t="shared" si="42"/>
        <v/>
      </c>
      <c r="DH21" s="23" t="str">
        <f t="shared" si="43"/>
        <v/>
      </c>
      <c r="DI21" s="23" t="str">
        <f t="shared" si="44"/>
        <v/>
      </c>
      <c r="DJ21" s="23" t="str">
        <f t="shared" si="45"/>
        <v/>
      </c>
      <c r="DK21" s="23" t="str">
        <f t="shared" si="46"/>
        <v/>
      </c>
      <c r="DL21" s="35"/>
      <c r="DM21" s="35"/>
      <c r="DN21" s="35"/>
      <c r="DO21" s="35"/>
      <c r="DP21" s="35"/>
      <c r="DQ21" s="35"/>
      <c r="DR21" s="35"/>
      <c r="DS21" s="35"/>
      <c r="DT21" s="35"/>
      <c r="DU21" s="35"/>
      <c r="DV21" s="35"/>
      <c r="DW21" s="35"/>
      <c r="DX21" s="35"/>
      <c r="DY21" s="35"/>
      <c r="DZ21" s="35"/>
      <c r="EA21" s="11" t="str">
        <f t="shared" si="47"/>
        <v/>
      </c>
      <c r="EB21" s="11" t="str">
        <f t="shared" si="48"/>
        <v/>
      </c>
      <c r="EC21" s="11" t="str">
        <f t="shared" si="49"/>
        <v/>
      </c>
      <c r="ED21" s="11" t="str">
        <f t="shared" si="50"/>
        <v/>
      </c>
      <c r="EE21" s="11" t="str">
        <f t="shared" si="51"/>
        <v/>
      </c>
      <c r="EF21" s="11" t="str">
        <f t="shared" si="52"/>
        <v/>
      </c>
      <c r="EG21" s="11" t="str">
        <f t="shared" si="53"/>
        <v/>
      </c>
      <c r="EH21" s="36"/>
      <c r="EI21" s="36"/>
      <c r="EJ21" s="36"/>
      <c r="EK21" s="36"/>
      <c r="EL21" s="36"/>
      <c r="EM21" s="36"/>
      <c r="EN21" s="36"/>
      <c r="EO21" s="36"/>
      <c r="EP21" s="36"/>
      <c r="EQ21" s="36"/>
      <c r="ER21" s="36"/>
      <c r="ES21" s="36"/>
      <c r="ET21" s="36"/>
      <c r="EU21" s="36"/>
      <c r="EV21" s="36"/>
      <c r="EW21" s="14" t="str">
        <f t="shared" si="54"/>
        <v/>
      </c>
      <c r="EX21" s="14" t="str">
        <f t="shared" si="55"/>
        <v/>
      </c>
      <c r="EY21" s="14" t="str">
        <f t="shared" si="56"/>
        <v/>
      </c>
      <c r="EZ21" s="14" t="str">
        <f t="shared" si="57"/>
        <v/>
      </c>
      <c r="FA21" s="14" t="str">
        <f t="shared" si="58"/>
        <v/>
      </c>
      <c r="FB21" s="14" t="str">
        <f t="shared" si="59"/>
        <v/>
      </c>
      <c r="FC21" s="14" t="str">
        <f t="shared" si="60"/>
        <v/>
      </c>
      <c r="FD21" s="35"/>
      <c r="FE21" s="35"/>
      <c r="FF21" s="35"/>
      <c r="FG21" s="35"/>
      <c r="FH21" s="35"/>
      <c r="FI21" s="35"/>
      <c r="FJ21" s="35"/>
      <c r="FK21" s="35"/>
      <c r="FL21" s="35"/>
      <c r="FM21" s="35"/>
      <c r="FN21" s="35"/>
      <c r="FO21" s="35"/>
      <c r="FP21" s="35"/>
      <c r="FQ21" s="35"/>
      <c r="FR21" s="35"/>
      <c r="FS21" s="11" t="str">
        <f t="shared" si="61"/>
        <v/>
      </c>
      <c r="FT21" s="11" t="str">
        <f t="shared" si="62"/>
        <v/>
      </c>
      <c r="FU21" s="11" t="str">
        <f t="shared" si="63"/>
        <v/>
      </c>
      <c r="FV21" s="11" t="str">
        <f t="shared" si="64"/>
        <v/>
      </c>
      <c r="FW21" s="11" t="str">
        <f t="shared" si="65"/>
        <v/>
      </c>
      <c r="FX21" s="11" t="str">
        <f t="shared" si="66"/>
        <v/>
      </c>
      <c r="FY21" s="11" t="str">
        <f t="shared" si="67"/>
        <v/>
      </c>
      <c r="FZ21" s="36"/>
      <c r="GA21" s="36"/>
      <c r="GB21" s="36"/>
      <c r="GC21" s="36"/>
      <c r="GD21" s="36"/>
      <c r="GE21" s="36"/>
      <c r="GF21" s="36"/>
      <c r="GG21" s="36"/>
      <c r="GH21" s="36"/>
      <c r="GI21" s="36"/>
      <c r="GJ21" s="36"/>
      <c r="GK21" s="36"/>
      <c r="GL21" s="36"/>
      <c r="GM21" s="36"/>
      <c r="GN21" s="36"/>
      <c r="GO21" s="14" t="str">
        <f t="shared" si="68"/>
        <v/>
      </c>
      <c r="GP21" s="14" t="str">
        <f t="shared" si="69"/>
        <v/>
      </c>
      <c r="GQ21" s="14" t="str">
        <f t="shared" si="70"/>
        <v/>
      </c>
      <c r="GR21" s="14" t="str">
        <f t="shared" si="71"/>
        <v/>
      </c>
      <c r="GS21" s="14" t="str">
        <f t="shared" si="72"/>
        <v/>
      </c>
      <c r="GT21" s="14" t="str">
        <f t="shared" si="73"/>
        <v/>
      </c>
      <c r="GU21" s="14" t="str">
        <f t="shared" si="74"/>
        <v/>
      </c>
      <c r="GV21" s="35"/>
      <c r="GW21" s="35"/>
      <c r="GX21" s="35"/>
      <c r="GY21" s="35"/>
      <c r="GZ21" s="35"/>
      <c r="HA21" s="35"/>
      <c r="HB21" s="35"/>
      <c r="HC21" s="35"/>
      <c r="HD21" s="35"/>
      <c r="HE21" s="35"/>
      <c r="HF21" s="35"/>
      <c r="HG21" s="35"/>
      <c r="HH21" s="35"/>
      <c r="HI21" s="35"/>
      <c r="HJ21" s="35"/>
      <c r="HK21" s="11" t="str">
        <f t="shared" si="75"/>
        <v/>
      </c>
      <c r="HL21" s="11" t="str">
        <f t="shared" si="76"/>
        <v/>
      </c>
      <c r="HM21" s="11" t="str">
        <f t="shared" si="77"/>
        <v/>
      </c>
      <c r="HN21" s="11" t="str">
        <f t="shared" si="78"/>
        <v/>
      </c>
      <c r="HO21" s="11" t="str">
        <f t="shared" si="79"/>
        <v/>
      </c>
      <c r="HP21" s="11" t="str">
        <f t="shared" si="80"/>
        <v/>
      </c>
      <c r="HQ21" s="11" t="str">
        <f t="shared" si="81"/>
        <v/>
      </c>
      <c r="HR21" s="36"/>
      <c r="HS21" s="36"/>
      <c r="HT21" s="36"/>
      <c r="HU21" s="36"/>
      <c r="HV21" s="36"/>
      <c r="HW21" s="36"/>
      <c r="HX21" s="36"/>
      <c r="HY21" s="36"/>
      <c r="HZ21" s="36"/>
      <c r="IA21" s="36"/>
      <c r="IB21" s="36"/>
      <c r="IC21" s="36"/>
      <c r="ID21" s="36"/>
      <c r="IE21" s="36"/>
      <c r="IF21" s="36"/>
      <c r="IG21" s="14" t="str">
        <f t="shared" si="82"/>
        <v/>
      </c>
      <c r="IH21" s="14" t="str">
        <f t="shared" si="83"/>
        <v/>
      </c>
      <c r="II21" s="14" t="str">
        <f t="shared" si="84"/>
        <v/>
      </c>
      <c r="IJ21" s="14" t="str">
        <f t="shared" si="85"/>
        <v/>
      </c>
      <c r="IK21" s="14" t="str">
        <f t="shared" si="86"/>
        <v/>
      </c>
      <c r="IL21" s="14" t="str">
        <f t="shared" si="87"/>
        <v/>
      </c>
      <c r="IM21" s="14" t="str">
        <f t="shared" si="88"/>
        <v/>
      </c>
      <c r="IN21" s="35"/>
      <c r="IO21" s="35"/>
      <c r="IP21" s="35"/>
      <c r="IQ21" s="35"/>
      <c r="IR21" s="35"/>
      <c r="IS21" s="35"/>
      <c r="IT21" s="35"/>
      <c r="IU21" s="35"/>
      <c r="IV21" s="35"/>
      <c r="IW21" s="35"/>
      <c r="IX21" s="35"/>
      <c r="IY21" s="35"/>
      <c r="IZ21" s="35"/>
      <c r="JA21" s="35"/>
      <c r="JB21" s="35"/>
      <c r="JC21" s="11" t="str">
        <f t="shared" si="89"/>
        <v/>
      </c>
      <c r="JD21" s="11" t="str">
        <f t="shared" si="90"/>
        <v/>
      </c>
      <c r="JE21" s="11" t="str">
        <f t="shared" si="91"/>
        <v/>
      </c>
      <c r="JF21" s="11" t="str">
        <f t="shared" si="92"/>
        <v/>
      </c>
      <c r="JG21" s="11" t="str">
        <f t="shared" si="93"/>
        <v/>
      </c>
      <c r="JH21" s="11" t="str">
        <f t="shared" si="94"/>
        <v/>
      </c>
      <c r="JI21" s="11" t="str">
        <f t="shared" si="95"/>
        <v/>
      </c>
      <c r="JJ21" s="36"/>
      <c r="JK21" s="36"/>
      <c r="JL21" s="36"/>
      <c r="JM21" s="36"/>
      <c r="JN21" s="36"/>
      <c r="JO21" s="36"/>
      <c r="JP21" s="36"/>
      <c r="JQ21" s="36"/>
      <c r="JR21" s="36"/>
      <c r="JS21" s="36"/>
      <c r="JT21" s="36"/>
      <c r="JU21" s="36"/>
      <c r="JV21" s="36"/>
      <c r="JW21" s="36"/>
      <c r="JX21" s="36"/>
      <c r="JY21" s="14" t="str">
        <f t="shared" si="96"/>
        <v/>
      </c>
      <c r="JZ21" s="14" t="str">
        <f t="shared" si="97"/>
        <v/>
      </c>
      <c r="KA21" s="14" t="str">
        <f t="shared" si="98"/>
        <v/>
      </c>
      <c r="KB21" s="14" t="str">
        <f t="shared" si="99"/>
        <v/>
      </c>
      <c r="KC21" s="14" t="str">
        <f t="shared" si="100"/>
        <v/>
      </c>
      <c r="KD21" s="14" t="str">
        <f t="shared" si="101"/>
        <v/>
      </c>
      <c r="KE21" s="14" t="str">
        <f t="shared" si="102"/>
        <v/>
      </c>
      <c r="KF21" s="35"/>
      <c r="KG21" s="35"/>
      <c r="KH21" s="35"/>
      <c r="KI21" s="35"/>
      <c r="KJ21" s="35"/>
      <c r="KK21" s="35"/>
      <c r="KL21" s="35"/>
      <c r="KM21" s="35"/>
      <c r="KN21" s="35"/>
      <c r="KO21" s="35"/>
      <c r="KP21" s="35"/>
      <c r="KQ21" s="35"/>
      <c r="KR21" s="35"/>
      <c r="KS21" s="35"/>
      <c r="KT21" s="35"/>
      <c r="KU21" s="11" t="str">
        <f t="shared" si="103"/>
        <v/>
      </c>
      <c r="KV21" s="11" t="str">
        <f t="shared" si="104"/>
        <v/>
      </c>
      <c r="KW21" s="11" t="str">
        <f t="shared" si="105"/>
        <v/>
      </c>
      <c r="KX21" s="11" t="str">
        <f t="shared" si="106"/>
        <v/>
      </c>
      <c r="KY21" s="11" t="str">
        <f t="shared" si="107"/>
        <v/>
      </c>
      <c r="KZ21" s="11" t="str">
        <f t="shared" si="108"/>
        <v/>
      </c>
      <c r="LA21" s="11" t="str">
        <f t="shared" si="109"/>
        <v/>
      </c>
      <c r="LB21" s="36"/>
      <c r="LC21" s="36"/>
      <c r="LD21" s="36"/>
      <c r="LE21" s="36"/>
      <c r="LF21" s="36"/>
      <c r="LG21" s="36"/>
      <c r="LH21" s="36"/>
      <c r="LI21" s="36"/>
      <c r="LJ21" s="36"/>
      <c r="LK21" s="36"/>
      <c r="LL21" s="36"/>
      <c r="LM21" s="36"/>
      <c r="LN21" s="36"/>
      <c r="LO21" s="36"/>
      <c r="LP21" s="36"/>
      <c r="LQ21" s="14" t="str">
        <f t="shared" si="110"/>
        <v/>
      </c>
      <c r="LR21" s="14" t="str">
        <f t="shared" si="111"/>
        <v/>
      </c>
      <c r="LS21" s="14" t="str">
        <f t="shared" si="112"/>
        <v/>
      </c>
      <c r="LT21" s="14" t="str">
        <f t="shared" si="113"/>
        <v/>
      </c>
      <c r="LU21" s="14" t="str">
        <f t="shared" si="114"/>
        <v/>
      </c>
      <c r="LV21" s="14" t="str">
        <f t="shared" si="115"/>
        <v/>
      </c>
      <c r="LW21" s="14" t="str">
        <f t="shared" si="116"/>
        <v/>
      </c>
      <c r="LX21" s="35"/>
      <c r="LY21" s="35"/>
      <c r="LZ21" s="35"/>
      <c r="MA21" s="35"/>
      <c r="MB21" s="35"/>
      <c r="MC21" s="35"/>
      <c r="MD21" s="35"/>
      <c r="ME21" s="35"/>
      <c r="MF21" s="35"/>
      <c r="MG21" s="35"/>
      <c r="MH21" s="35"/>
      <c r="MI21" s="35"/>
      <c r="MJ21" s="35"/>
      <c r="MK21" s="35"/>
      <c r="ML21" s="35"/>
      <c r="MM21" s="11" t="str">
        <f t="shared" si="117"/>
        <v/>
      </c>
      <c r="MN21" s="11" t="str">
        <f t="shared" si="118"/>
        <v/>
      </c>
      <c r="MO21" s="11" t="str">
        <f t="shared" si="119"/>
        <v/>
      </c>
      <c r="MP21" s="11" t="str">
        <f t="shared" si="120"/>
        <v/>
      </c>
      <c r="MQ21" s="11" t="str">
        <f t="shared" si="121"/>
        <v/>
      </c>
      <c r="MR21" s="11" t="str">
        <f t="shared" si="122"/>
        <v/>
      </c>
      <c r="MS21" s="11" t="str">
        <f t="shared" si="123"/>
        <v/>
      </c>
      <c r="MT21" s="36"/>
      <c r="MU21" s="36"/>
      <c r="MV21" s="36"/>
      <c r="MW21" s="36"/>
      <c r="MX21" s="36"/>
      <c r="MY21" s="36"/>
      <c r="MZ21" s="36"/>
      <c r="NA21" s="36"/>
      <c r="NB21" s="36"/>
      <c r="NC21" s="36"/>
      <c r="ND21" s="36"/>
      <c r="NE21" s="36"/>
      <c r="NF21" s="36"/>
      <c r="NG21" s="36"/>
      <c r="NH21" s="36"/>
      <c r="NI21" s="14" t="str">
        <f t="shared" si="124"/>
        <v/>
      </c>
      <c r="NJ21" s="14" t="str">
        <f t="shared" si="125"/>
        <v/>
      </c>
      <c r="NK21" s="14" t="str">
        <f t="shared" si="126"/>
        <v/>
      </c>
      <c r="NL21" s="14" t="str">
        <f t="shared" si="127"/>
        <v/>
      </c>
      <c r="NM21" s="14" t="str">
        <f t="shared" si="128"/>
        <v/>
      </c>
      <c r="NN21" s="14" t="str">
        <f t="shared" si="129"/>
        <v/>
      </c>
      <c r="NO21" s="14" t="str">
        <f t="shared" si="130"/>
        <v/>
      </c>
      <c r="NP21" s="61">
        <f t="shared" si="131"/>
        <v>0</v>
      </c>
      <c r="NQ21" s="61">
        <f t="shared" si="132"/>
        <v>0</v>
      </c>
      <c r="NR21" s="61">
        <f t="shared" si="133"/>
        <v>0</v>
      </c>
      <c r="NS21" s="61">
        <f t="shared" si="134"/>
        <v>0</v>
      </c>
      <c r="NT21" s="61">
        <f t="shared" si="135"/>
        <v>0</v>
      </c>
      <c r="NU21" s="61">
        <f t="shared" si="136"/>
        <v>0</v>
      </c>
      <c r="NV21" s="61">
        <f t="shared" si="137"/>
        <v>0</v>
      </c>
      <c r="NW21" s="61">
        <f t="shared" si="138"/>
        <v>0</v>
      </c>
      <c r="NX21" s="61">
        <f t="shared" si="139"/>
        <v>0</v>
      </c>
      <c r="NY21" s="61">
        <f t="shared" si="140"/>
        <v>0</v>
      </c>
      <c r="NZ21" s="61">
        <f t="shared" si="141"/>
        <v>0</v>
      </c>
      <c r="OA21" s="61">
        <f t="shared" si="142"/>
        <v>0</v>
      </c>
      <c r="OB21" s="61">
        <f t="shared" si="143"/>
        <v>0</v>
      </c>
      <c r="OC21" s="61">
        <f t="shared" si="144"/>
        <v>0</v>
      </c>
      <c r="OD21" s="61">
        <f t="shared" si="145"/>
        <v>0</v>
      </c>
      <c r="OE21" s="61">
        <f t="shared" si="146"/>
        <v>0</v>
      </c>
      <c r="OF21" s="61">
        <f t="shared" si="147"/>
        <v>0</v>
      </c>
      <c r="OG21" s="61">
        <f t="shared" si="148"/>
        <v>0</v>
      </c>
      <c r="OH21" s="61">
        <f t="shared" si="149"/>
        <v>0</v>
      </c>
      <c r="OI21" s="61">
        <f t="shared" si="150"/>
        <v>0</v>
      </c>
      <c r="OJ21" s="72" t="s">
        <v>52</v>
      </c>
      <c r="OK21" s="11" t="str">
        <f t="shared" si="151"/>
        <v/>
      </c>
      <c r="OL21" s="11" t="str">
        <f t="shared" si="152"/>
        <v/>
      </c>
      <c r="OM21" s="11" t="str">
        <f t="shared" si="153"/>
        <v/>
      </c>
      <c r="ON21" s="11" t="str">
        <f t="shared" si="154"/>
        <v/>
      </c>
      <c r="OO21" s="11" t="str">
        <f t="shared" si="155"/>
        <v/>
      </c>
      <c r="OP21" s="11" t="str">
        <f t="shared" si="156"/>
        <v/>
      </c>
      <c r="OQ21" s="11" t="str">
        <f t="shared" si="157"/>
        <v/>
      </c>
      <c r="OR21" s="11" t="str">
        <f t="shared" ref="OR21" si="182">IF(SUM(OE21:OH21)-OI21&gt;0,SUM(OE21:OH21)-OI21,"")</f>
        <v/>
      </c>
      <c r="OS21" s="11" t="str">
        <f t="shared" ref="OS21" si="183">IF(SUM(OP21,OR21)&gt;0,SUM(OP21,OR21),"")</f>
        <v/>
      </c>
    </row>
    <row r="22" spans="1:409" x14ac:dyDescent="0.2">
      <c r="A22" s="5" t="str" cm="1">
        <f t="array" ref="A22">IF(AND(G22&lt;&gt;"",H22&lt;&gt;""),SUMPRODUCT((G$4:G$27&lt;&gt;"")*(H$4:H$27&lt;&gt;"")*(E$4:E$27&gt;E22))+1,IF(H22&lt;&gt;"",SUMPRODUCT((I$4:I$27="No DD")*(E$4:E$27&gt;E22))+1+SUMPRODUCT((G$4:G$27&lt;&gt;"")*(H$4:H$27&lt;&gt;"")),""))</f>
        <v/>
      </c>
      <c r="B22" s="8" t="s">
        <v>89</v>
      </c>
      <c r="C22" s="4" t="s">
        <v>4</v>
      </c>
      <c r="D22" s="26">
        <v>2003</v>
      </c>
      <c r="E22" s="15">
        <f t="shared" si="0"/>
        <v>52.305</v>
      </c>
      <c r="F22" s="3" t="str">
        <f t="shared" si="1"/>
        <v/>
      </c>
      <c r="G22" s="115" t="str">
        <f t="shared" si="2"/>
        <v/>
      </c>
      <c r="H22" s="115" t="str">
        <f t="shared" si="3"/>
        <v/>
      </c>
      <c r="I22" s="116" t="str">
        <f t="shared" si="4"/>
        <v/>
      </c>
      <c r="J22" s="3" t="str">
        <f t="shared" si="5"/>
        <v/>
      </c>
      <c r="K22" s="14">
        <f t="shared" si="6"/>
        <v>63.125</v>
      </c>
      <c r="L22" s="14" t="str">
        <f t="shared" si="7"/>
        <v>2021 2nd Virtual Technical Trial</v>
      </c>
      <c r="M22" s="14">
        <f t="shared" si="8"/>
        <v>0</v>
      </c>
      <c r="N22" s="14" t="str">
        <f t="shared" si="9"/>
        <v/>
      </c>
      <c r="O22" s="14">
        <f t="shared" si="10"/>
        <v>28.935000000000002</v>
      </c>
      <c r="P22" s="14" t="str">
        <f t="shared" si="11"/>
        <v>2021 2nd Virtual Technical Trial</v>
      </c>
      <c r="Q22" s="14">
        <f>IF(COUNT(AS22,AU22,AX22,BW22,BY22,CB22,DA22,DC22,DF22)&gt;1,LARGE((AS22,AU22,AX22,BW22,BY22,CB22,DA22,DC22,DF22),2),0)</f>
        <v>23.369999999999997</v>
      </c>
      <c r="R22" s="14" t="str">
        <f t="shared" si="12"/>
        <v>2021 2nd Virtual Technical Trial</v>
      </c>
      <c r="S22" s="14" t="str">
        <f t="shared" si="13"/>
        <v/>
      </c>
      <c r="T22" s="24" t="str">
        <f t="shared" si="14"/>
        <v/>
      </c>
      <c r="U22" s="14" t="str">
        <f t="shared" si="15"/>
        <v/>
      </c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61"/>
      <c r="AL22" s="61"/>
      <c r="AM22" s="61"/>
      <c r="AN22" s="61"/>
      <c r="AO22" s="61"/>
      <c r="AP22" s="72"/>
      <c r="AQ22" s="11" t="str">
        <f t="shared" si="16"/>
        <v/>
      </c>
      <c r="AR22" s="11" t="str">
        <f t="shared" si="17"/>
        <v/>
      </c>
      <c r="AS22" s="11" t="str">
        <f t="shared" si="18"/>
        <v/>
      </c>
      <c r="AT22" s="11" t="str">
        <f t="shared" si="19"/>
        <v/>
      </c>
      <c r="AU22" s="11" t="str">
        <f t="shared" si="20"/>
        <v/>
      </c>
      <c r="AV22" s="11" t="str">
        <f t="shared" si="21"/>
        <v/>
      </c>
      <c r="AW22" s="11" t="str">
        <f t="shared" si="22"/>
        <v/>
      </c>
      <c r="AX22" s="11" t="str">
        <f t="shared" si="23"/>
        <v/>
      </c>
      <c r="AY22" s="11" t="str">
        <f t="shared" si="24"/>
        <v/>
      </c>
      <c r="AZ22" s="67">
        <v>14.3</v>
      </c>
      <c r="BA22" s="67">
        <v>9.3000000000000007</v>
      </c>
      <c r="BB22" s="67">
        <v>2.5</v>
      </c>
      <c r="BC22" s="67">
        <v>13.654999999999999</v>
      </c>
      <c r="BD22" s="67">
        <v>0</v>
      </c>
      <c r="BE22" s="67">
        <v>6.8</v>
      </c>
      <c r="BF22" s="67">
        <v>4.5</v>
      </c>
      <c r="BG22" s="67">
        <v>5.0999999999999996</v>
      </c>
      <c r="BH22" s="67">
        <v>6.97</v>
      </c>
      <c r="BI22" s="67">
        <v>0</v>
      </c>
      <c r="BJ22" s="67"/>
      <c r="BK22" s="67"/>
      <c r="BL22" s="67"/>
      <c r="BM22" s="67"/>
      <c r="BN22" s="67"/>
      <c r="BO22" s="67">
        <v>8.3000000000000007</v>
      </c>
      <c r="BP22" s="67">
        <v>6.1</v>
      </c>
      <c r="BQ22" s="67">
        <v>5.4</v>
      </c>
      <c r="BR22" s="67">
        <v>9.1349999999999998</v>
      </c>
      <c r="BS22" s="67">
        <v>0</v>
      </c>
      <c r="BT22" s="73"/>
      <c r="BU22" s="14">
        <f t="shared" si="25"/>
        <v>39.755000000000003</v>
      </c>
      <c r="BV22" s="14">
        <f t="shared" si="26"/>
        <v>5.0999999999999996</v>
      </c>
      <c r="BW22" s="14">
        <f t="shared" si="27"/>
        <v>23.369999999999997</v>
      </c>
      <c r="BX22" s="14" t="str">
        <f t="shared" si="28"/>
        <v/>
      </c>
      <c r="BY22" s="14" t="str">
        <f t="shared" si="29"/>
        <v/>
      </c>
      <c r="BZ22" s="14">
        <f t="shared" si="30"/>
        <v>63.125</v>
      </c>
      <c r="CA22" s="14">
        <f t="shared" si="31"/>
        <v>5.4</v>
      </c>
      <c r="CB22" s="14">
        <f t="shared" si="32"/>
        <v>28.935000000000002</v>
      </c>
      <c r="CC22" s="14">
        <f t="shared" si="33"/>
        <v>92.06</v>
      </c>
      <c r="CD22" s="61"/>
      <c r="CE22" s="61"/>
      <c r="CF22" s="61"/>
      <c r="CG22" s="61"/>
      <c r="CH22" s="61"/>
      <c r="CI22" s="61"/>
      <c r="CJ22" s="61"/>
      <c r="CK22" s="61"/>
      <c r="CL22" s="61"/>
      <c r="CM22" s="61"/>
      <c r="CN22" s="61"/>
      <c r="CO22" s="61"/>
      <c r="CP22" s="61"/>
      <c r="CQ22" s="61"/>
      <c r="CR22" s="61"/>
      <c r="CS22" s="61"/>
      <c r="CT22" s="61"/>
      <c r="CU22" s="61"/>
      <c r="CV22" s="61"/>
      <c r="CW22" s="61"/>
      <c r="CX22" s="72"/>
      <c r="CY22" s="11" t="str">
        <f t="shared" si="34"/>
        <v/>
      </c>
      <c r="CZ22" s="11" t="str">
        <f t="shared" si="35"/>
        <v/>
      </c>
      <c r="DA22" s="11" t="str">
        <f t="shared" si="36"/>
        <v/>
      </c>
      <c r="DB22" s="11" t="str">
        <f t="shared" si="37"/>
        <v/>
      </c>
      <c r="DC22" s="11" t="str">
        <f t="shared" si="38"/>
        <v/>
      </c>
      <c r="DD22" s="11" t="str">
        <f t="shared" si="39"/>
        <v/>
      </c>
      <c r="DE22" s="11" t="str">
        <f t="shared" si="40"/>
        <v/>
      </c>
      <c r="DF22" s="11" t="str">
        <f t="shared" si="41"/>
        <v/>
      </c>
      <c r="DG22" s="11" t="str">
        <f t="shared" si="42"/>
        <v/>
      </c>
      <c r="DH22" s="23" t="str">
        <f t="shared" si="43"/>
        <v/>
      </c>
      <c r="DI22" s="23" t="str">
        <f t="shared" si="44"/>
        <v/>
      </c>
      <c r="DJ22" s="23" t="str">
        <f t="shared" si="45"/>
        <v/>
      </c>
      <c r="DK22" s="23" t="str">
        <f t="shared" si="46"/>
        <v/>
      </c>
      <c r="DL22" s="35"/>
      <c r="DM22" s="35"/>
      <c r="DN22" s="35"/>
      <c r="DO22" s="35"/>
      <c r="DP22" s="35"/>
      <c r="DQ22" s="35"/>
      <c r="DR22" s="35"/>
      <c r="DS22" s="35"/>
      <c r="DT22" s="35"/>
      <c r="DU22" s="35"/>
      <c r="DV22" s="35"/>
      <c r="DW22" s="35"/>
      <c r="DX22" s="35"/>
      <c r="DY22" s="35"/>
      <c r="DZ22" s="35"/>
      <c r="EA22" s="11" t="str">
        <f t="shared" si="47"/>
        <v/>
      </c>
      <c r="EB22" s="11" t="str">
        <f t="shared" si="48"/>
        <v/>
      </c>
      <c r="EC22" s="11" t="str">
        <f t="shared" si="49"/>
        <v/>
      </c>
      <c r="ED22" s="11" t="str">
        <f t="shared" si="50"/>
        <v/>
      </c>
      <c r="EE22" s="11" t="str">
        <f t="shared" si="51"/>
        <v/>
      </c>
      <c r="EF22" s="11" t="str">
        <f t="shared" si="52"/>
        <v/>
      </c>
      <c r="EG22" s="11" t="str">
        <f t="shared" si="53"/>
        <v/>
      </c>
      <c r="EH22" s="36"/>
      <c r="EI22" s="36"/>
      <c r="EJ22" s="36"/>
      <c r="EK22" s="36"/>
      <c r="EL22" s="36"/>
      <c r="EM22" s="36"/>
      <c r="EN22" s="36"/>
      <c r="EO22" s="36"/>
      <c r="EP22" s="36"/>
      <c r="EQ22" s="36"/>
      <c r="ER22" s="36"/>
      <c r="ES22" s="36"/>
      <c r="ET22" s="36"/>
      <c r="EU22" s="36"/>
      <c r="EV22" s="36"/>
      <c r="EW22" s="14" t="str">
        <f t="shared" si="54"/>
        <v/>
      </c>
      <c r="EX22" s="14" t="str">
        <f t="shared" si="55"/>
        <v/>
      </c>
      <c r="EY22" s="14" t="str">
        <f t="shared" si="56"/>
        <v/>
      </c>
      <c r="EZ22" s="14" t="str">
        <f t="shared" si="57"/>
        <v/>
      </c>
      <c r="FA22" s="14" t="str">
        <f t="shared" si="58"/>
        <v/>
      </c>
      <c r="FB22" s="14" t="str">
        <f t="shared" si="59"/>
        <v/>
      </c>
      <c r="FC22" s="14" t="str">
        <f t="shared" si="60"/>
        <v/>
      </c>
      <c r="FD22" s="35"/>
      <c r="FE22" s="35"/>
      <c r="FF22" s="35"/>
      <c r="FG22" s="35"/>
      <c r="FH22" s="35"/>
      <c r="FI22" s="35"/>
      <c r="FJ22" s="35"/>
      <c r="FK22" s="35"/>
      <c r="FL22" s="35"/>
      <c r="FM22" s="35"/>
      <c r="FN22" s="35"/>
      <c r="FO22" s="35"/>
      <c r="FP22" s="35"/>
      <c r="FQ22" s="35"/>
      <c r="FR22" s="35"/>
      <c r="FS22" s="11" t="str">
        <f t="shared" si="61"/>
        <v/>
      </c>
      <c r="FT22" s="11" t="str">
        <f t="shared" si="62"/>
        <v/>
      </c>
      <c r="FU22" s="11" t="str">
        <f t="shared" si="63"/>
        <v/>
      </c>
      <c r="FV22" s="11" t="str">
        <f t="shared" si="64"/>
        <v/>
      </c>
      <c r="FW22" s="11" t="str">
        <f t="shared" si="65"/>
        <v/>
      </c>
      <c r="FX22" s="11" t="str">
        <f t="shared" si="66"/>
        <v/>
      </c>
      <c r="FY22" s="11" t="str">
        <f t="shared" si="67"/>
        <v/>
      </c>
      <c r="FZ22" s="36"/>
      <c r="GA22" s="36"/>
      <c r="GB22" s="36"/>
      <c r="GC22" s="36"/>
      <c r="GD22" s="36"/>
      <c r="GE22" s="36"/>
      <c r="GF22" s="36"/>
      <c r="GG22" s="36"/>
      <c r="GH22" s="36"/>
      <c r="GI22" s="36"/>
      <c r="GJ22" s="36"/>
      <c r="GK22" s="36"/>
      <c r="GL22" s="36"/>
      <c r="GM22" s="36"/>
      <c r="GN22" s="36"/>
      <c r="GO22" s="14" t="str">
        <f t="shared" si="68"/>
        <v/>
      </c>
      <c r="GP22" s="14" t="str">
        <f t="shared" si="69"/>
        <v/>
      </c>
      <c r="GQ22" s="14" t="str">
        <f t="shared" si="70"/>
        <v/>
      </c>
      <c r="GR22" s="14" t="str">
        <f t="shared" si="71"/>
        <v/>
      </c>
      <c r="GS22" s="14" t="str">
        <f t="shared" si="72"/>
        <v/>
      </c>
      <c r="GT22" s="14" t="str">
        <f t="shared" si="73"/>
        <v/>
      </c>
      <c r="GU22" s="14" t="str">
        <f t="shared" si="74"/>
        <v/>
      </c>
      <c r="GV22" s="35"/>
      <c r="GW22" s="35"/>
      <c r="GX22" s="35"/>
      <c r="GY22" s="35"/>
      <c r="GZ22" s="35"/>
      <c r="HA22" s="35"/>
      <c r="HB22" s="35"/>
      <c r="HC22" s="35"/>
      <c r="HD22" s="35"/>
      <c r="HE22" s="35"/>
      <c r="HF22" s="35"/>
      <c r="HG22" s="35"/>
      <c r="HH22" s="35"/>
      <c r="HI22" s="35"/>
      <c r="HJ22" s="35"/>
      <c r="HK22" s="11" t="str">
        <f t="shared" si="75"/>
        <v/>
      </c>
      <c r="HL22" s="11" t="str">
        <f t="shared" si="76"/>
        <v/>
      </c>
      <c r="HM22" s="11" t="str">
        <f t="shared" si="77"/>
        <v/>
      </c>
      <c r="HN22" s="11" t="str">
        <f t="shared" si="78"/>
        <v/>
      </c>
      <c r="HO22" s="11" t="str">
        <f t="shared" si="79"/>
        <v/>
      </c>
      <c r="HP22" s="11" t="str">
        <f t="shared" si="80"/>
        <v/>
      </c>
      <c r="HQ22" s="11" t="str">
        <f t="shared" si="81"/>
        <v/>
      </c>
      <c r="HR22" s="36"/>
      <c r="HS22" s="36"/>
      <c r="HT22" s="36"/>
      <c r="HU22" s="36"/>
      <c r="HV22" s="36"/>
      <c r="HW22" s="36"/>
      <c r="HX22" s="36"/>
      <c r="HY22" s="36"/>
      <c r="HZ22" s="36"/>
      <c r="IA22" s="36"/>
      <c r="IB22" s="36"/>
      <c r="IC22" s="36"/>
      <c r="ID22" s="36"/>
      <c r="IE22" s="36"/>
      <c r="IF22" s="36"/>
      <c r="IG22" s="14" t="str">
        <f t="shared" si="82"/>
        <v/>
      </c>
      <c r="IH22" s="14" t="str">
        <f t="shared" si="83"/>
        <v/>
      </c>
      <c r="II22" s="14" t="str">
        <f t="shared" si="84"/>
        <v/>
      </c>
      <c r="IJ22" s="14" t="str">
        <f t="shared" si="85"/>
        <v/>
      </c>
      <c r="IK22" s="14" t="str">
        <f t="shared" si="86"/>
        <v/>
      </c>
      <c r="IL22" s="14" t="str">
        <f t="shared" si="87"/>
        <v/>
      </c>
      <c r="IM22" s="14" t="str">
        <f t="shared" si="88"/>
        <v/>
      </c>
      <c r="IN22" s="35"/>
      <c r="IO22" s="35"/>
      <c r="IP22" s="35"/>
      <c r="IQ22" s="35"/>
      <c r="IR22" s="35"/>
      <c r="IS22" s="35"/>
      <c r="IT22" s="35"/>
      <c r="IU22" s="35"/>
      <c r="IV22" s="35"/>
      <c r="IW22" s="35"/>
      <c r="IX22" s="35"/>
      <c r="IY22" s="35"/>
      <c r="IZ22" s="35"/>
      <c r="JA22" s="35"/>
      <c r="JB22" s="35"/>
      <c r="JC22" s="11" t="str">
        <f t="shared" si="89"/>
        <v/>
      </c>
      <c r="JD22" s="11" t="str">
        <f t="shared" si="90"/>
        <v/>
      </c>
      <c r="JE22" s="11" t="str">
        <f t="shared" si="91"/>
        <v/>
      </c>
      <c r="JF22" s="11" t="str">
        <f t="shared" si="92"/>
        <v/>
      </c>
      <c r="JG22" s="11" t="str">
        <f t="shared" si="93"/>
        <v/>
      </c>
      <c r="JH22" s="11" t="str">
        <f t="shared" si="94"/>
        <v/>
      </c>
      <c r="JI22" s="11" t="str">
        <f t="shared" si="95"/>
        <v/>
      </c>
      <c r="JJ22" s="36"/>
      <c r="JK22" s="36"/>
      <c r="JL22" s="36"/>
      <c r="JM22" s="36"/>
      <c r="JN22" s="36"/>
      <c r="JO22" s="36"/>
      <c r="JP22" s="36"/>
      <c r="JQ22" s="36"/>
      <c r="JR22" s="36"/>
      <c r="JS22" s="36"/>
      <c r="JT22" s="36"/>
      <c r="JU22" s="36"/>
      <c r="JV22" s="36"/>
      <c r="JW22" s="36"/>
      <c r="JX22" s="36"/>
      <c r="JY22" s="14" t="str">
        <f t="shared" si="96"/>
        <v/>
      </c>
      <c r="JZ22" s="14" t="str">
        <f t="shared" si="97"/>
        <v/>
      </c>
      <c r="KA22" s="14" t="str">
        <f t="shared" si="98"/>
        <v/>
      </c>
      <c r="KB22" s="14" t="str">
        <f t="shared" si="99"/>
        <v/>
      </c>
      <c r="KC22" s="14" t="str">
        <f t="shared" si="100"/>
        <v/>
      </c>
      <c r="KD22" s="14" t="str">
        <f t="shared" si="101"/>
        <v/>
      </c>
      <c r="KE22" s="14" t="str">
        <f t="shared" si="102"/>
        <v/>
      </c>
      <c r="KF22" s="35"/>
      <c r="KG22" s="35"/>
      <c r="KH22" s="35"/>
      <c r="KI22" s="35"/>
      <c r="KJ22" s="35"/>
      <c r="KK22" s="35"/>
      <c r="KL22" s="35"/>
      <c r="KM22" s="35"/>
      <c r="KN22" s="35"/>
      <c r="KO22" s="35"/>
      <c r="KP22" s="35"/>
      <c r="KQ22" s="35"/>
      <c r="KR22" s="35"/>
      <c r="KS22" s="35"/>
      <c r="KT22" s="35"/>
      <c r="KU22" s="11" t="str">
        <f t="shared" si="103"/>
        <v/>
      </c>
      <c r="KV22" s="11" t="str">
        <f t="shared" si="104"/>
        <v/>
      </c>
      <c r="KW22" s="11" t="str">
        <f t="shared" si="105"/>
        <v/>
      </c>
      <c r="KX22" s="11" t="str">
        <f t="shared" si="106"/>
        <v/>
      </c>
      <c r="KY22" s="11" t="str">
        <f t="shared" si="107"/>
        <v/>
      </c>
      <c r="KZ22" s="11" t="str">
        <f t="shared" si="108"/>
        <v/>
      </c>
      <c r="LA22" s="11" t="str">
        <f t="shared" si="109"/>
        <v/>
      </c>
      <c r="LB22" s="36"/>
      <c r="LC22" s="36"/>
      <c r="LD22" s="36"/>
      <c r="LE22" s="36"/>
      <c r="LF22" s="36"/>
      <c r="LG22" s="36"/>
      <c r="LH22" s="36"/>
      <c r="LI22" s="36"/>
      <c r="LJ22" s="36"/>
      <c r="LK22" s="36"/>
      <c r="LL22" s="36"/>
      <c r="LM22" s="36"/>
      <c r="LN22" s="36"/>
      <c r="LO22" s="36"/>
      <c r="LP22" s="36"/>
      <c r="LQ22" s="14" t="str">
        <f t="shared" si="110"/>
        <v/>
      </c>
      <c r="LR22" s="14" t="str">
        <f t="shared" si="111"/>
        <v/>
      </c>
      <c r="LS22" s="14" t="str">
        <f t="shared" si="112"/>
        <v/>
      </c>
      <c r="LT22" s="14" t="str">
        <f t="shared" si="113"/>
        <v/>
      </c>
      <c r="LU22" s="14" t="str">
        <f t="shared" si="114"/>
        <v/>
      </c>
      <c r="LV22" s="14" t="str">
        <f t="shared" si="115"/>
        <v/>
      </c>
      <c r="LW22" s="14" t="str">
        <f t="shared" si="116"/>
        <v/>
      </c>
      <c r="LX22" s="35"/>
      <c r="LY22" s="35"/>
      <c r="LZ22" s="35"/>
      <c r="MA22" s="35"/>
      <c r="MB22" s="35"/>
      <c r="MC22" s="35"/>
      <c r="MD22" s="35"/>
      <c r="ME22" s="35"/>
      <c r="MF22" s="35"/>
      <c r="MG22" s="35"/>
      <c r="MH22" s="35"/>
      <c r="MI22" s="35"/>
      <c r="MJ22" s="35"/>
      <c r="MK22" s="35"/>
      <c r="ML22" s="35"/>
      <c r="MM22" s="11" t="str">
        <f t="shared" si="117"/>
        <v/>
      </c>
      <c r="MN22" s="11" t="str">
        <f t="shared" si="118"/>
        <v/>
      </c>
      <c r="MO22" s="11" t="str">
        <f t="shared" si="119"/>
        <v/>
      </c>
      <c r="MP22" s="11" t="str">
        <f t="shared" si="120"/>
        <v/>
      </c>
      <c r="MQ22" s="11" t="str">
        <f t="shared" si="121"/>
        <v/>
      </c>
      <c r="MR22" s="11" t="str">
        <f t="shared" si="122"/>
        <v/>
      </c>
      <c r="MS22" s="11" t="str">
        <f t="shared" si="123"/>
        <v/>
      </c>
      <c r="MT22" s="36"/>
      <c r="MU22" s="36"/>
      <c r="MV22" s="36"/>
      <c r="MW22" s="36"/>
      <c r="MX22" s="36"/>
      <c r="MY22" s="36"/>
      <c r="MZ22" s="36"/>
      <c r="NA22" s="36"/>
      <c r="NB22" s="36"/>
      <c r="NC22" s="36"/>
      <c r="ND22" s="36"/>
      <c r="NE22" s="36"/>
      <c r="NF22" s="36"/>
      <c r="NG22" s="36"/>
      <c r="NH22" s="36"/>
      <c r="NI22" s="14" t="str">
        <f t="shared" si="124"/>
        <v/>
      </c>
      <c r="NJ22" s="14" t="str">
        <f t="shared" si="125"/>
        <v/>
      </c>
      <c r="NK22" s="14" t="str">
        <f t="shared" si="126"/>
        <v/>
      </c>
      <c r="NL22" s="14" t="str">
        <f t="shared" si="127"/>
        <v/>
      </c>
      <c r="NM22" s="14" t="str">
        <f t="shared" si="128"/>
        <v/>
      </c>
      <c r="NN22" s="14" t="str">
        <f t="shared" si="129"/>
        <v/>
      </c>
      <c r="NO22" s="14" t="str">
        <f t="shared" si="130"/>
        <v/>
      </c>
      <c r="NP22" s="61">
        <f t="shared" si="131"/>
        <v>7.15</v>
      </c>
      <c r="NQ22" s="61">
        <f t="shared" si="132"/>
        <v>4.6500000000000004</v>
      </c>
      <c r="NR22" s="61">
        <f t="shared" si="133"/>
        <v>1.25</v>
      </c>
      <c r="NS22" s="61">
        <f t="shared" si="134"/>
        <v>6.8274999999999997</v>
      </c>
      <c r="NT22" s="61">
        <f t="shared" si="135"/>
        <v>0</v>
      </c>
      <c r="NU22" s="61">
        <f t="shared" si="136"/>
        <v>3.4</v>
      </c>
      <c r="NV22" s="61">
        <f t="shared" si="137"/>
        <v>2.25</v>
      </c>
      <c r="NW22" s="61">
        <f t="shared" si="138"/>
        <v>2.5499999999999998</v>
      </c>
      <c r="NX22" s="61">
        <f t="shared" si="139"/>
        <v>3.4849999999999999</v>
      </c>
      <c r="NY22" s="61">
        <f t="shared" si="140"/>
        <v>0</v>
      </c>
      <c r="NZ22" s="61">
        <f t="shared" si="141"/>
        <v>0</v>
      </c>
      <c r="OA22" s="61">
        <f t="shared" si="142"/>
        <v>0</v>
      </c>
      <c r="OB22" s="61">
        <f t="shared" si="143"/>
        <v>0</v>
      </c>
      <c r="OC22" s="61">
        <f t="shared" si="144"/>
        <v>0</v>
      </c>
      <c r="OD22" s="61">
        <f t="shared" si="145"/>
        <v>0</v>
      </c>
      <c r="OE22" s="61">
        <f t="shared" si="146"/>
        <v>4.1500000000000004</v>
      </c>
      <c r="OF22" s="61">
        <f t="shared" si="147"/>
        <v>3.05</v>
      </c>
      <c r="OG22" s="61">
        <f t="shared" si="148"/>
        <v>2.7</v>
      </c>
      <c r="OH22" s="61">
        <f t="shared" si="149"/>
        <v>4.5674999999999999</v>
      </c>
      <c r="OI22" s="61">
        <f t="shared" si="150"/>
        <v>0</v>
      </c>
      <c r="OJ22" s="72" t="s">
        <v>52</v>
      </c>
      <c r="OK22" s="11">
        <f t="shared" si="151"/>
        <v>19.877500000000001</v>
      </c>
      <c r="OL22" s="11">
        <f t="shared" si="152"/>
        <v>2.5499999999999998</v>
      </c>
      <c r="OM22" s="11">
        <f t="shared" si="153"/>
        <v>11.684999999999999</v>
      </c>
      <c r="ON22" s="11" t="str">
        <f t="shared" si="154"/>
        <v/>
      </c>
      <c r="OO22" s="11" t="str">
        <f t="shared" si="155"/>
        <v/>
      </c>
      <c r="OP22" s="11">
        <f t="shared" si="156"/>
        <v>31.5625</v>
      </c>
      <c r="OQ22" s="11">
        <f t="shared" si="157"/>
        <v>2.7</v>
      </c>
      <c r="OR22" s="11">
        <f t="shared" ref="OR22" si="184">IF(SUM(OE22:OH22)-OI22&gt;0,SUM(OE22:OH22)-OI22,"")</f>
        <v>14.467500000000001</v>
      </c>
      <c r="OS22" s="11">
        <f t="shared" ref="OS22" si="185">IF(SUM(OP22,OR22)&gt;0,SUM(OP22,OR22),"")</f>
        <v>46.03</v>
      </c>
    </row>
    <row r="23" spans="1:409" x14ac:dyDescent="0.2">
      <c r="A23" s="5" t="str" cm="1">
        <f t="array" ref="A23">IF(AND(G23&lt;&gt;"",H23&lt;&gt;""),SUMPRODUCT((G$4:G$27&lt;&gt;"")*(H$4:H$27&lt;&gt;"")*(E$4:E$27&gt;E23))+1,IF(H23&lt;&gt;"",SUMPRODUCT((I$4:I$27="No DD")*(E$4:E$27&gt;E23))+1+SUMPRODUCT((G$4:G$27&lt;&gt;"")*(H$4:H$27&lt;&gt;"")),""))</f>
        <v/>
      </c>
      <c r="B23" s="6" t="s">
        <v>144</v>
      </c>
      <c r="C23" s="7" t="s">
        <v>6</v>
      </c>
      <c r="D23" s="26">
        <v>2003</v>
      </c>
      <c r="E23" s="15">
        <f t="shared" si="0"/>
        <v>50.024999999999999</v>
      </c>
      <c r="F23" s="3" t="str">
        <f t="shared" si="1"/>
        <v/>
      </c>
      <c r="G23" s="115" t="str">
        <f t="shared" si="2"/>
        <v/>
      </c>
      <c r="H23" s="115" t="str">
        <f t="shared" si="3"/>
        <v/>
      </c>
      <c r="I23" s="116" t="str">
        <f t="shared" si="4"/>
        <v/>
      </c>
      <c r="J23" s="3" t="str">
        <f t="shared" si="5"/>
        <v/>
      </c>
      <c r="K23" s="14">
        <f t="shared" si="6"/>
        <v>84.95</v>
      </c>
      <c r="L23" s="14" t="str">
        <f t="shared" si="7"/>
        <v>2021 Elite Canada</v>
      </c>
      <c r="M23" s="14">
        <f t="shared" si="8"/>
        <v>0</v>
      </c>
      <c r="N23" s="14" t="str">
        <f t="shared" si="9"/>
        <v/>
      </c>
      <c r="O23" s="14">
        <f t="shared" si="10"/>
        <v>44.69</v>
      </c>
      <c r="P23" s="14" t="str">
        <f t="shared" si="11"/>
        <v>2021 Elite Canada</v>
      </c>
      <c r="Q23" s="14">
        <f>IF(COUNT(AS23,AU23,AX23,BW23,BY23,CB23,DA23,DC23,DF23)&gt;1,LARGE((AS23,AU23,AX23,BW23,BY23,CB23,DA23,DC23,DF23),2),0)</f>
        <v>5.3350000000000009</v>
      </c>
      <c r="R23" s="14" t="str">
        <f t="shared" si="12"/>
        <v>2021 Elite Canada</v>
      </c>
      <c r="S23" s="14" t="str">
        <f t="shared" si="13"/>
        <v/>
      </c>
      <c r="T23" s="24" t="str">
        <f t="shared" si="14"/>
        <v/>
      </c>
      <c r="U23" s="14" t="str">
        <f t="shared" si="15"/>
        <v/>
      </c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72"/>
      <c r="AQ23" s="11" t="str">
        <f t="shared" si="16"/>
        <v/>
      </c>
      <c r="AR23" s="11" t="str">
        <f t="shared" si="17"/>
        <v/>
      </c>
      <c r="AS23" s="11" t="str">
        <f t="shared" si="18"/>
        <v/>
      </c>
      <c r="AT23" s="11" t="str">
        <f t="shared" si="19"/>
        <v/>
      </c>
      <c r="AU23" s="11" t="str">
        <f t="shared" si="20"/>
        <v/>
      </c>
      <c r="AV23" s="11" t="str">
        <f t="shared" si="21"/>
        <v/>
      </c>
      <c r="AW23" s="11" t="str">
        <f t="shared" si="22"/>
        <v/>
      </c>
      <c r="AX23" s="11" t="str">
        <f t="shared" si="23"/>
        <v/>
      </c>
      <c r="AY23" s="11" t="str">
        <f t="shared" si="24"/>
        <v/>
      </c>
      <c r="AZ23" s="67"/>
      <c r="BA23" s="67"/>
      <c r="BB23" s="67"/>
      <c r="BC23" s="67"/>
      <c r="BD23" s="67"/>
      <c r="BE23" s="67"/>
      <c r="BF23" s="67"/>
      <c r="BG23" s="67"/>
      <c r="BH23" s="67"/>
      <c r="BI23" s="67"/>
      <c r="BJ23" s="67"/>
      <c r="BK23" s="67"/>
      <c r="BL23" s="67"/>
      <c r="BM23" s="67"/>
      <c r="BN23" s="67"/>
      <c r="BO23" s="67"/>
      <c r="BP23" s="67"/>
      <c r="BQ23" s="67"/>
      <c r="BR23" s="67"/>
      <c r="BS23" s="67"/>
      <c r="BT23" s="73"/>
      <c r="BU23" s="14" t="str">
        <f t="shared" si="25"/>
        <v/>
      </c>
      <c r="BV23" s="14" t="str">
        <f t="shared" si="26"/>
        <v/>
      </c>
      <c r="BW23" s="14" t="str">
        <f t="shared" si="27"/>
        <v/>
      </c>
      <c r="BX23" s="14" t="str">
        <f t="shared" si="28"/>
        <v/>
      </c>
      <c r="BY23" s="14" t="str">
        <f t="shared" si="29"/>
        <v/>
      </c>
      <c r="BZ23" s="14" t="str">
        <f t="shared" si="30"/>
        <v/>
      </c>
      <c r="CA23" s="14" t="str">
        <f t="shared" si="31"/>
        <v/>
      </c>
      <c r="CB23" s="14" t="str">
        <f t="shared" si="32"/>
        <v/>
      </c>
      <c r="CC23" s="14" t="str">
        <f t="shared" si="33"/>
        <v/>
      </c>
      <c r="CD23" s="61">
        <v>16</v>
      </c>
      <c r="CE23" s="61">
        <v>9</v>
      </c>
      <c r="CF23" s="61">
        <v>1.8</v>
      </c>
      <c r="CG23" s="61">
        <v>13.46</v>
      </c>
      <c r="CH23" s="61">
        <v>0</v>
      </c>
      <c r="CI23" s="61">
        <v>15.4</v>
      </c>
      <c r="CJ23" s="61">
        <v>9.4</v>
      </c>
      <c r="CK23" s="61">
        <v>7.8</v>
      </c>
      <c r="CL23" s="61">
        <v>13.09</v>
      </c>
      <c r="CM23" s="61">
        <v>1</v>
      </c>
      <c r="CN23" s="61"/>
      <c r="CO23" s="61"/>
      <c r="CP23" s="61"/>
      <c r="CQ23" s="61"/>
      <c r="CR23" s="61"/>
      <c r="CS23" s="61">
        <v>1.6</v>
      </c>
      <c r="CT23" s="61">
        <v>1</v>
      </c>
      <c r="CU23" s="61">
        <v>1.3</v>
      </c>
      <c r="CV23" s="61">
        <v>1.4350000000000001</v>
      </c>
      <c r="CW23" s="61">
        <v>0</v>
      </c>
      <c r="CX23" s="72"/>
      <c r="CY23" s="11">
        <f t="shared" si="34"/>
        <v>40.260000000000005</v>
      </c>
      <c r="CZ23" s="11">
        <f t="shared" si="35"/>
        <v>7.8</v>
      </c>
      <c r="DA23" s="11">
        <f t="shared" si="36"/>
        <v>44.69</v>
      </c>
      <c r="DB23" s="11" t="str">
        <f t="shared" si="37"/>
        <v/>
      </c>
      <c r="DC23" s="11" t="str">
        <f t="shared" si="38"/>
        <v/>
      </c>
      <c r="DD23" s="11">
        <f t="shared" si="39"/>
        <v>84.95</v>
      </c>
      <c r="DE23" s="11">
        <f t="shared" si="40"/>
        <v>1.3</v>
      </c>
      <c r="DF23" s="11">
        <f t="shared" si="41"/>
        <v>5.3350000000000009</v>
      </c>
      <c r="DG23" s="11">
        <f t="shared" si="42"/>
        <v>90.284999999999997</v>
      </c>
      <c r="DH23" s="23" t="str">
        <f t="shared" si="43"/>
        <v/>
      </c>
      <c r="DI23" s="23" t="str">
        <f t="shared" si="44"/>
        <v/>
      </c>
      <c r="DJ23" s="23" t="str">
        <f t="shared" si="45"/>
        <v/>
      </c>
      <c r="DK23" s="23" t="str">
        <f t="shared" si="46"/>
        <v/>
      </c>
      <c r="DL23" s="35"/>
      <c r="DM23" s="35"/>
      <c r="DN23" s="35"/>
      <c r="DO23" s="35"/>
      <c r="DP23" s="35"/>
      <c r="DQ23" s="35"/>
      <c r="DR23" s="35"/>
      <c r="DS23" s="35"/>
      <c r="DT23" s="35"/>
      <c r="DU23" s="35"/>
      <c r="DV23" s="35"/>
      <c r="DW23" s="35"/>
      <c r="DX23" s="35"/>
      <c r="DY23" s="35"/>
      <c r="DZ23" s="35"/>
      <c r="EA23" s="11" t="str">
        <f t="shared" si="47"/>
        <v/>
      </c>
      <c r="EB23" s="11" t="str">
        <f t="shared" si="48"/>
        <v/>
      </c>
      <c r="EC23" s="11" t="str">
        <f t="shared" si="49"/>
        <v/>
      </c>
      <c r="ED23" s="11" t="str">
        <f t="shared" si="50"/>
        <v/>
      </c>
      <c r="EE23" s="11" t="str">
        <f t="shared" si="51"/>
        <v/>
      </c>
      <c r="EF23" s="11" t="str">
        <f t="shared" si="52"/>
        <v/>
      </c>
      <c r="EG23" s="11" t="str">
        <f t="shared" si="53"/>
        <v/>
      </c>
      <c r="EH23" s="36"/>
      <c r="EI23" s="36"/>
      <c r="EJ23" s="36"/>
      <c r="EK23" s="36"/>
      <c r="EL23" s="36"/>
      <c r="EM23" s="36"/>
      <c r="EN23" s="36"/>
      <c r="EO23" s="36"/>
      <c r="EP23" s="36"/>
      <c r="EQ23" s="36"/>
      <c r="ER23" s="36"/>
      <c r="ES23" s="36"/>
      <c r="ET23" s="36"/>
      <c r="EU23" s="36"/>
      <c r="EV23" s="36"/>
      <c r="EW23" s="14" t="str">
        <f t="shared" si="54"/>
        <v/>
      </c>
      <c r="EX23" s="14" t="str">
        <f t="shared" si="55"/>
        <v/>
      </c>
      <c r="EY23" s="14" t="str">
        <f t="shared" si="56"/>
        <v/>
      </c>
      <c r="EZ23" s="14" t="str">
        <f t="shared" si="57"/>
        <v/>
      </c>
      <c r="FA23" s="14" t="str">
        <f t="shared" si="58"/>
        <v/>
      </c>
      <c r="FB23" s="14" t="str">
        <f t="shared" si="59"/>
        <v/>
      </c>
      <c r="FC23" s="14" t="str">
        <f t="shared" si="60"/>
        <v/>
      </c>
      <c r="FD23" s="35"/>
      <c r="FE23" s="35"/>
      <c r="FF23" s="35"/>
      <c r="FG23" s="35"/>
      <c r="FH23" s="35"/>
      <c r="FI23" s="35"/>
      <c r="FJ23" s="35"/>
      <c r="FK23" s="35"/>
      <c r="FL23" s="35"/>
      <c r="FM23" s="35"/>
      <c r="FN23" s="35"/>
      <c r="FO23" s="35"/>
      <c r="FP23" s="35"/>
      <c r="FQ23" s="35"/>
      <c r="FR23" s="35"/>
      <c r="FS23" s="11" t="str">
        <f t="shared" si="61"/>
        <v/>
      </c>
      <c r="FT23" s="11" t="str">
        <f t="shared" si="62"/>
        <v/>
      </c>
      <c r="FU23" s="11" t="str">
        <f t="shared" si="63"/>
        <v/>
      </c>
      <c r="FV23" s="11" t="str">
        <f t="shared" si="64"/>
        <v/>
      </c>
      <c r="FW23" s="11" t="str">
        <f t="shared" si="65"/>
        <v/>
      </c>
      <c r="FX23" s="11" t="str">
        <f t="shared" si="66"/>
        <v/>
      </c>
      <c r="FY23" s="11" t="str">
        <f t="shared" si="67"/>
        <v/>
      </c>
      <c r="FZ23" s="36"/>
      <c r="GA23" s="36"/>
      <c r="GB23" s="36"/>
      <c r="GC23" s="36"/>
      <c r="GD23" s="36"/>
      <c r="GE23" s="36"/>
      <c r="GF23" s="36"/>
      <c r="GG23" s="36"/>
      <c r="GH23" s="36"/>
      <c r="GI23" s="36"/>
      <c r="GJ23" s="36"/>
      <c r="GK23" s="36"/>
      <c r="GL23" s="36"/>
      <c r="GM23" s="36"/>
      <c r="GN23" s="36"/>
      <c r="GO23" s="14" t="str">
        <f t="shared" si="68"/>
        <v/>
      </c>
      <c r="GP23" s="14" t="str">
        <f t="shared" si="69"/>
        <v/>
      </c>
      <c r="GQ23" s="14" t="str">
        <f t="shared" si="70"/>
        <v/>
      </c>
      <c r="GR23" s="14" t="str">
        <f t="shared" si="71"/>
        <v/>
      </c>
      <c r="GS23" s="14" t="str">
        <f t="shared" si="72"/>
        <v/>
      </c>
      <c r="GT23" s="14" t="str">
        <f t="shared" si="73"/>
        <v/>
      </c>
      <c r="GU23" s="14" t="str">
        <f t="shared" si="74"/>
        <v/>
      </c>
      <c r="GV23" s="35"/>
      <c r="GW23" s="35"/>
      <c r="GX23" s="35"/>
      <c r="GY23" s="35"/>
      <c r="GZ23" s="35"/>
      <c r="HA23" s="35"/>
      <c r="HB23" s="35"/>
      <c r="HC23" s="35"/>
      <c r="HD23" s="35"/>
      <c r="HE23" s="35"/>
      <c r="HF23" s="35"/>
      <c r="HG23" s="35"/>
      <c r="HH23" s="35"/>
      <c r="HI23" s="35"/>
      <c r="HJ23" s="35"/>
      <c r="HK23" s="11" t="str">
        <f t="shared" si="75"/>
        <v/>
      </c>
      <c r="HL23" s="11" t="str">
        <f t="shared" si="76"/>
        <v/>
      </c>
      <c r="HM23" s="11" t="str">
        <f t="shared" si="77"/>
        <v/>
      </c>
      <c r="HN23" s="11" t="str">
        <f t="shared" si="78"/>
        <v/>
      </c>
      <c r="HO23" s="11" t="str">
        <f t="shared" si="79"/>
        <v/>
      </c>
      <c r="HP23" s="11" t="str">
        <f t="shared" si="80"/>
        <v/>
      </c>
      <c r="HQ23" s="11" t="str">
        <f t="shared" si="81"/>
        <v/>
      </c>
      <c r="HR23" s="36"/>
      <c r="HS23" s="36"/>
      <c r="HT23" s="36"/>
      <c r="HU23" s="36"/>
      <c r="HV23" s="36"/>
      <c r="HW23" s="36"/>
      <c r="HX23" s="36"/>
      <c r="HY23" s="36"/>
      <c r="HZ23" s="36"/>
      <c r="IA23" s="36"/>
      <c r="IB23" s="36"/>
      <c r="IC23" s="36"/>
      <c r="ID23" s="36"/>
      <c r="IE23" s="36"/>
      <c r="IF23" s="36"/>
      <c r="IG23" s="14" t="str">
        <f t="shared" si="82"/>
        <v/>
      </c>
      <c r="IH23" s="14" t="str">
        <f t="shared" si="83"/>
        <v/>
      </c>
      <c r="II23" s="14" t="str">
        <f t="shared" si="84"/>
        <v/>
      </c>
      <c r="IJ23" s="14" t="str">
        <f t="shared" si="85"/>
        <v/>
      </c>
      <c r="IK23" s="14" t="str">
        <f t="shared" si="86"/>
        <v/>
      </c>
      <c r="IL23" s="14" t="str">
        <f t="shared" si="87"/>
        <v/>
      </c>
      <c r="IM23" s="14" t="str">
        <f t="shared" si="88"/>
        <v/>
      </c>
      <c r="IN23" s="35"/>
      <c r="IO23" s="35"/>
      <c r="IP23" s="35"/>
      <c r="IQ23" s="35"/>
      <c r="IR23" s="35"/>
      <c r="IS23" s="35"/>
      <c r="IT23" s="35"/>
      <c r="IU23" s="35"/>
      <c r="IV23" s="35"/>
      <c r="IW23" s="35"/>
      <c r="IX23" s="35"/>
      <c r="IY23" s="35"/>
      <c r="IZ23" s="35"/>
      <c r="JA23" s="35"/>
      <c r="JB23" s="35"/>
      <c r="JC23" s="11" t="str">
        <f t="shared" si="89"/>
        <v/>
      </c>
      <c r="JD23" s="11" t="str">
        <f t="shared" si="90"/>
        <v/>
      </c>
      <c r="JE23" s="11" t="str">
        <f t="shared" si="91"/>
        <v/>
      </c>
      <c r="JF23" s="11" t="str">
        <f t="shared" si="92"/>
        <v/>
      </c>
      <c r="JG23" s="11" t="str">
        <f t="shared" si="93"/>
        <v/>
      </c>
      <c r="JH23" s="11" t="str">
        <f t="shared" si="94"/>
        <v/>
      </c>
      <c r="JI23" s="11" t="str">
        <f t="shared" si="95"/>
        <v/>
      </c>
      <c r="JJ23" s="36"/>
      <c r="JK23" s="36"/>
      <c r="JL23" s="36"/>
      <c r="JM23" s="36"/>
      <c r="JN23" s="36"/>
      <c r="JO23" s="36"/>
      <c r="JP23" s="36"/>
      <c r="JQ23" s="36"/>
      <c r="JR23" s="36"/>
      <c r="JS23" s="36"/>
      <c r="JT23" s="36"/>
      <c r="JU23" s="36"/>
      <c r="JV23" s="36"/>
      <c r="JW23" s="36"/>
      <c r="JX23" s="36"/>
      <c r="JY23" s="14" t="str">
        <f t="shared" si="96"/>
        <v/>
      </c>
      <c r="JZ23" s="14" t="str">
        <f t="shared" si="97"/>
        <v/>
      </c>
      <c r="KA23" s="14" t="str">
        <f t="shared" si="98"/>
        <v/>
      </c>
      <c r="KB23" s="14" t="str">
        <f t="shared" si="99"/>
        <v/>
      </c>
      <c r="KC23" s="14" t="str">
        <f t="shared" si="100"/>
        <v/>
      </c>
      <c r="KD23" s="14" t="str">
        <f t="shared" si="101"/>
        <v/>
      </c>
      <c r="KE23" s="14" t="str">
        <f t="shared" si="102"/>
        <v/>
      </c>
      <c r="KF23" s="35"/>
      <c r="KG23" s="35"/>
      <c r="KH23" s="35"/>
      <c r="KI23" s="35"/>
      <c r="KJ23" s="35"/>
      <c r="KK23" s="35"/>
      <c r="KL23" s="35"/>
      <c r="KM23" s="35"/>
      <c r="KN23" s="35"/>
      <c r="KO23" s="35"/>
      <c r="KP23" s="35"/>
      <c r="KQ23" s="35"/>
      <c r="KR23" s="35"/>
      <c r="KS23" s="35"/>
      <c r="KT23" s="35"/>
      <c r="KU23" s="11" t="str">
        <f t="shared" si="103"/>
        <v/>
      </c>
      <c r="KV23" s="11" t="str">
        <f t="shared" si="104"/>
        <v/>
      </c>
      <c r="KW23" s="11" t="str">
        <f t="shared" si="105"/>
        <v/>
      </c>
      <c r="KX23" s="11" t="str">
        <f t="shared" si="106"/>
        <v/>
      </c>
      <c r="KY23" s="11" t="str">
        <f t="shared" si="107"/>
        <v/>
      </c>
      <c r="KZ23" s="11" t="str">
        <f t="shared" si="108"/>
        <v/>
      </c>
      <c r="LA23" s="11" t="str">
        <f t="shared" si="109"/>
        <v/>
      </c>
      <c r="LB23" s="36"/>
      <c r="LC23" s="36"/>
      <c r="LD23" s="36"/>
      <c r="LE23" s="36"/>
      <c r="LF23" s="36"/>
      <c r="LG23" s="36"/>
      <c r="LH23" s="36"/>
      <c r="LI23" s="36"/>
      <c r="LJ23" s="36"/>
      <c r="LK23" s="36"/>
      <c r="LL23" s="36"/>
      <c r="LM23" s="36"/>
      <c r="LN23" s="36"/>
      <c r="LO23" s="36"/>
      <c r="LP23" s="36"/>
      <c r="LQ23" s="14" t="str">
        <f t="shared" si="110"/>
        <v/>
      </c>
      <c r="LR23" s="14" t="str">
        <f t="shared" si="111"/>
        <v/>
      </c>
      <c r="LS23" s="14" t="str">
        <f t="shared" si="112"/>
        <v/>
      </c>
      <c r="LT23" s="14" t="str">
        <f t="shared" si="113"/>
        <v/>
      </c>
      <c r="LU23" s="14" t="str">
        <f t="shared" si="114"/>
        <v/>
      </c>
      <c r="LV23" s="14" t="str">
        <f t="shared" si="115"/>
        <v/>
      </c>
      <c r="LW23" s="14" t="str">
        <f t="shared" si="116"/>
        <v/>
      </c>
      <c r="LX23" s="35"/>
      <c r="LY23" s="35"/>
      <c r="LZ23" s="35"/>
      <c r="MA23" s="35"/>
      <c r="MB23" s="35"/>
      <c r="MC23" s="35"/>
      <c r="MD23" s="35"/>
      <c r="ME23" s="35"/>
      <c r="MF23" s="35"/>
      <c r="MG23" s="35"/>
      <c r="MH23" s="35"/>
      <c r="MI23" s="35"/>
      <c r="MJ23" s="35"/>
      <c r="MK23" s="35"/>
      <c r="ML23" s="35"/>
      <c r="MM23" s="11" t="str">
        <f t="shared" si="117"/>
        <v/>
      </c>
      <c r="MN23" s="11" t="str">
        <f t="shared" si="118"/>
        <v/>
      </c>
      <c r="MO23" s="11" t="str">
        <f t="shared" si="119"/>
        <v/>
      </c>
      <c r="MP23" s="11" t="str">
        <f t="shared" si="120"/>
        <v/>
      </c>
      <c r="MQ23" s="11" t="str">
        <f t="shared" si="121"/>
        <v/>
      </c>
      <c r="MR23" s="11" t="str">
        <f t="shared" si="122"/>
        <v/>
      </c>
      <c r="MS23" s="11" t="str">
        <f t="shared" si="123"/>
        <v/>
      </c>
      <c r="MT23" s="36"/>
      <c r="MU23" s="36"/>
      <c r="MV23" s="36"/>
      <c r="MW23" s="36"/>
      <c r="MX23" s="36"/>
      <c r="MY23" s="36"/>
      <c r="MZ23" s="36"/>
      <c r="NA23" s="36"/>
      <c r="NB23" s="36"/>
      <c r="NC23" s="36"/>
      <c r="ND23" s="36"/>
      <c r="NE23" s="36"/>
      <c r="NF23" s="36"/>
      <c r="NG23" s="36"/>
      <c r="NH23" s="36"/>
      <c r="NI23" s="14" t="str">
        <f t="shared" si="124"/>
        <v/>
      </c>
      <c r="NJ23" s="14" t="str">
        <f t="shared" si="125"/>
        <v/>
      </c>
      <c r="NK23" s="14" t="str">
        <f t="shared" si="126"/>
        <v/>
      </c>
      <c r="NL23" s="14" t="str">
        <f t="shared" si="127"/>
        <v/>
      </c>
      <c r="NM23" s="14" t="str">
        <f t="shared" si="128"/>
        <v/>
      </c>
      <c r="NN23" s="14" t="str">
        <f t="shared" si="129"/>
        <v/>
      </c>
      <c r="NO23" s="14" t="str">
        <f t="shared" si="130"/>
        <v/>
      </c>
      <c r="NP23" s="61">
        <f t="shared" si="131"/>
        <v>8</v>
      </c>
      <c r="NQ23" s="61">
        <f t="shared" si="132"/>
        <v>4.5</v>
      </c>
      <c r="NR23" s="61">
        <f t="shared" si="133"/>
        <v>0.9</v>
      </c>
      <c r="NS23" s="61">
        <f t="shared" si="134"/>
        <v>6.73</v>
      </c>
      <c r="NT23" s="61">
        <f t="shared" si="135"/>
        <v>0</v>
      </c>
      <c r="NU23" s="61">
        <f t="shared" si="136"/>
        <v>7.7</v>
      </c>
      <c r="NV23" s="61">
        <f t="shared" si="137"/>
        <v>4.7</v>
      </c>
      <c r="NW23" s="61">
        <f t="shared" si="138"/>
        <v>3.9</v>
      </c>
      <c r="NX23" s="61">
        <f t="shared" si="139"/>
        <v>6.5449999999999999</v>
      </c>
      <c r="NY23" s="61">
        <f t="shared" si="140"/>
        <v>0.5</v>
      </c>
      <c r="NZ23" s="61">
        <f t="shared" si="141"/>
        <v>0</v>
      </c>
      <c r="OA23" s="61">
        <f t="shared" si="142"/>
        <v>0</v>
      </c>
      <c r="OB23" s="61">
        <f t="shared" si="143"/>
        <v>0</v>
      </c>
      <c r="OC23" s="61">
        <f t="shared" si="144"/>
        <v>0</v>
      </c>
      <c r="OD23" s="61">
        <f t="shared" si="145"/>
        <v>0</v>
      </c>
      <c r="OE23" s="61">
        <f t="shared" si="146"/>
        <v>0.8</v>
      </c>
      <c r="OF23" s="61">
        <f t="shared" si="147"/>
        <v>0.5</v>
      </c>
      <c r="OG23" s="61">
        <f t="shared" si="148"/>
        <v>0.65</v>
      </c>
      <c r="OH23" s="61">
        <f t="shared" si="149"/>
        <v>0.71750000000000003</v>
      </c>
      <c r="OI23" s="61">
        <f t="shared" si="150"/>
        <v>0</v>
      </c>
      <c r="OJ23" s="72" t="s">
        <v>52</v>
      </c>
      <c r="OK23" s="11">
        <f t="shared" si="151"/>
        <v>20.130000000000003</v>
      </c>
      <c r="OL23" s="11">
        <f t="shared" si="152"/>
        <v>3.9</v>
      </c>
      <c r="OM23" s="11">
        <f t="shared" si="153"/>
        <v>22.344999999999999</v>
      </c>
      <c r="ON23" s="11" t="str">
        <f t="shared" si="154"/>
        <v/>
      </c>
      <c r="OO23" s="11" t="str">
        <f t="shared" si="155"/>
        <v/>
      </c>
      <c r="OP23" s="11">
        <f t="shared" si="156"/>
        <v>42.475000000000001</v>
      </c>
      <c r="OQ23" s="11">
        <f t="shared" si="157"/>
        <v>0.65</v>
      </c>
      <c r="OR23" s="11">
        <f t="shared" ref="OR23" si="186">IF(SUM(OE23:OH23)-OI23&gt;0,SUM(OE23:OH23)-OI23,"")</f>
        <v>2.6675000000000004</v>
      </c>
      <c r="OS23" s="11">
        <f t="shared" ref="OS23" si="187">IF(SUM(OP23,OR23)&gt;0,SUM(OP23,OR23),"")</f>
        <v>45.142499999999998</v>
      </c>
    </row>
    <row r="24" spans="1:409" x14ac:dyDescent="0.2">
      <c r="A24" s="5" t="str" cm="1">
        <f t="array" ref="A24">IF(AND(G24&lt;&gt;"",H24&lt;&gt;""),SUMPRODUCT((G$4:G$27&lt;&gt;"")*(H$4:H$27&lt;&gt;"")*(E$4:E$27&gt;E24))+1,IF(H24&lt;&gt;"",SUMPRODUCT((I$4:I$27="No DD")*(E$4:E$27&gt;E24))+1+SUMPRODUCT((G$4:G$27&lt;&gt;"")*(H$4:H$27&lt;&gt;"")),""))</f>
        <v/>
      </c>
      <c r="B24" s="6" t="s">
        <v>145</v>
      </c>
      <c r="C24" s="7" t="s">
        <v>4</v>
      </c>
      <c r="D24" s="26">
        <v>2002</v>
      </c>
      <c r="E24" s="15">
        <f t="shared" si="0"/>
        <v>42.42</v>
      </c>
      <c r="F24" s="3" t="str">
        <f t="shared" si="1"/>
        <v/>
      </c>
      <c r="G24" s="115" t="str">
        <f t="shared" si="2"/>
        <v/>
      </c>
      <c r="H24" s="115" t="str">
        <f t="shared" si="3"/>
        <v/>
      </c>
      <c r="I24" s="116" t="str">
        <f t="shared" si="4"/>
        <v/>
      </c>
      <c r="J24" s="3" t="str">
        <f t="shared" si="5"/>
        <v/>
      </c>
      <c r="K24" s="14">
        <f t="shared" si="6"/>
        <v>66.504999999999995</v>
      </c>
      <c r="L24" s="14" t="str">
        <f t="shared" si="7"/>
        <v>2021 Elite Canada</v>
      </c>
      <c r="M24" s="14">
        <f t="shared" si="8"/>
        <v>0</v>
      </c>
      <c r="N24" s="14" t="str">
        <f t="shared" si="9"/>
        <v/>
      </c>
      <c r="O24" s="14">
        <f t="shared" si="10"/>
        <v>42.42</v>
      </c>
      <c r="P24" s="14" t="str">
        <f t="shared" si="11"/>
        <v>2021 Elite Canada</v>
      </c>
      <c r="Q24" s="14">
        <f>IF(COUNT(AS24,AU24,AX24,BW24,BY24,CB24,DA24,DC24,DF24)&gt;1,LARGE((AS24,AU24,AX24,BW24,BY24,CB24,DA24,DC24,DF24),2),0)</f>
        <v>0</v>
      </c>
      <c r="R24" s="14" t="str">
        <f t="shared" si="12"/>
        <v/>
      </c>
      <c r="S24" s="14" t="str">
        <f t="shared" si="13"/>
        <v/>
      </c>
      <c r="T24" s="24" t="str">
        <f t="shared" si="14"/>
        <v/>
      </c>
      <c r="U24" s="14" t="str">
        <f t="shared" si="15"/>
        <v/>
      </c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  <c r="AK24" s="61"/>
      <c r="AL24" s="61"/>
      <c r="AM24" s="61"/>
      <c r="AN24" s="61"/>
      <c r="AO24" s="61"/>
      <c r="AP24" s="72"/>
      <c r="AQ24" s="11" t="str">
        <f t="shared" si="16"/>
        <v/>
      </c>
      <c r="AR24" s="11" t="str">
        <f t="shared" si="17"/>
        <v/>
      </c>
      <c r="AS24" s="11" t="str">
        <f t="shared" si="18"/>
        <v/>
      </c>
      <c r="AT24" s="11" t="str">
        <f t="shared" si="19"/>
        <v/>
      </c>
      <c r="AU24" s="11" t="str">
        <f t="shared" si="20"/>
        <v/>
      </c>
      <c r="AV24" s="11" t="str">
        <f t="shared" si="21"/>
        <v/>
      </c>
      <c r="AW24" s="11" t="str">
        <f t="shared" si="22"/>
        <v/>
      </c>
      <c r="AX24" s="11" t="str">
        <f t="shared" si="23"/>
        <v/>
      </c>
      <c r="AY24" s="11" t="str">
        <f t="shared" si="24"/>
        <v/>
      </c>
      <c r="AZ24" s="67"/>
      <c r="BA24" s="67"/>
      <c r="BB24" s="67"/>
      <c r="BC24" s="67"/>
      <c r="BD24" s="67"/>
      <c r="BE24" s="67"/>
      <c r="BF24" s="67"/>
      <c r="BG24" s="67"/>
      <c r="BH24" s="67"/>
      <c r="BI24" s="67"/>
      <c r="BJ24" s="67"/>
      <c r="BK24" s="67"/>
      <c r="BL24" s="67"/>
      <c r="BM24" s="67"/>
      <c r="BN24" s="67"/>
      <c r="BO24" s="67"/>
      <c r="BP24" s="67"/>
      <c r="BQ24" s="67"/>
      <c r="BR24" s="67"/>
      <c r="BS24" s="67"/>
      <c r="BT24" s="73"/>
      <c r="BU24" s="14" t="str">
        <f t="shared" si="25"/>
        <v/>
      </c>
      <c r="BV24" s="14" t="str">
        <f t="shared" si="26"/>
        <v/>
      </c>
      <c r="BW24" s="14" t="str">
        <f t="shared" si="27"/>
        <v/>
      </c>
      <c r="BX24" s="14" t="str">
        <f t="shared" si="28"/>
        <v/>
      </c>
      <c r="BY24" s="14" t="str">
        <f t="shared" si="29"/>
        <v/>
      </c>
      <c r="BZ24" s="14" t="str">
        <f t="shared" si="30"/>
        <v/>
      </c>
      <c r="CA24" s="14" t="str">
        <f t="shared" si="31"/>
        <v/>
      </c>
      <c r="CB24" s="14" t="str">
        <f t="shared" si="32"/>
        <v/>
      </c>
      <c r="CC24" s="14" t="str">
        <f t="shared" si="33"/>
        <v/>
      </c>
      <c r="CD24" s="61">
        <v>9.8000000000000007</v>
      </c>
      <c r="CE24" s="61">
        <v>5.0999999999999996</v>
      </c>
      <c r="CF24" s="61">
        <v>0.9</v>
      </c>
      <c r="CG24" s="61">
        <v>8.2850000000000001</v>
      </c>
      <c r="CH24" s="61">
        <v>0</v>
      </c>
      <c r="CI24" s="61">
        <v>15.2</v>
      </c>
      <c r="CJ24" s="61">
        <v>9.1999999999999993</v>
      </c>
      <c r="CK24" s="61">
        <v>6.8</v>
      </c>
      <c r="CL24" s="61">
        <v>13.22</v>
      </c>
      <c r="CM24" s="61">
        <v>2</v>
      </c>
      <c r="CN24" s="61"/>
      <c r="CO24" s="61"/>
      <c r="CP24" s="61"/>
      <c r="CQ24" s="61"/>
      <c r="CR24" s="61"/>
      <c r="CS24" s="61"/>
      <c r="CT24" s="61"/>
      <c r="CU24" s="61"/>
      <c r="CV24" s="61"/>
      <c r="CW24" s="61"/>
      <c r="CX24" s="72"/>
      <c r="CY24" s="11">
        <f t="shared" si="34"/>
        <v>24.085000000000001</v>
      </c>
      <c r="CZ24" s="11">
        <f t="shared" si="35"/>
        <v>6.8</v>
      </c>
      <c r="DA24" s="11">
        <f t="shared" si="36"/>
        <v>42.42</v>
      </c>
      <c r="DB24" s="11" t="str">
        <f t="shared" si="37"/>
        <v/>
      </c>
      <c r="DC24" s="11" t="str">
        <f t="shared" si="38"/>
        <v/>
      </c>
      <c r="DD24" s="11">
        <f t="shared" si="39"/>
        <v>66.504999999999995</v>
      </c>
      <c r="DE24" s="11" t="str">
        <f t="shared" si="40"/>
        <v/>
      </c>
      <c r="DF24" s="11" t="str">
        <f t="shared" si="41"/>
        <v/>
      </c>
      <c r="DG24" s="11">
        <f t="shared" si="42"/>
        <v>66.504999999999995</v>
      </c>
      <c r="DH24" s="23" t="str">
        <f t="shared" si="43"/>
        <v/>
      </c>
      <c r="DI24" s="23" t="str">
        <f t="shared" si="44"/>
        <v/>
      </c>
      <c r="DJ24" s="23" t="str">
        <f t="shared" si="45"/>
        <v/>
      </c>
      <c r="DK24" s="23" t="str">
        <f t="shared" si="46"/>
        <v/>
      </c>
      <c r="DL24" s="35"/>
      <c r="DM24" s="35"/>
      <c r="DN24" s="35"/>
      <c r="DO24" s="35"/>
      <c r="DP24" s="35"/>
      <c r="DQ24" s="35"/>
      <c r="DR24" s="35"/>
      <c r="DS24" s="35"/>
      <c r="DT24" s="35"/>
      <c r="DU24" s="35"/>
      <c r="DV24" s="35"/>
      <c r="DW24" s="35"/>
      <c r="DX24" s="35"/>
      <c r="DY24" s="35"/>
      <c r="DZ24" s="35"/>
      <c r="EA24" s="11" t="str">
        <f t="shared" si="47"/>
        <v/>
      </c>
      <c r="EB24" s="11" t="str">
        <f t="shared" si="48"/>
        <v/>
      </c>
      <c r="EC24" s="11" t="str">
        <f t="shared" si="49"/>
        <v/>
      </c>
      <c r="ED24" s="11" t="str">
        <f t="shared" si="50"/>
        <v/>
      </c>
      <c r="EE24" s="11" t="str">
        <f t="shared" si="51"/>
        <v/>
      </c>
      <c r="EF24" s="11" t="str">
        <f t="shared" si="52"/>
        <v/>
      </c>
      <c r="EG24" s="11" t="str">
        <f t="shared" si="53"/>
        <v/>
      </c>
      <c r="EH24" s="36"/>
      <c r="EI24" s="36"/>
      <c r="EJ24" s="36"/>
      <c r="EK24" s="36"/>
      <c r="EL24" s="36"/>
      <c r="EM24" s="36"/>
      <c r="EN24" s="36"/>
      <c r="EO24" s="36"/>
      <c r="EP24" s="36"/>
      <c r="EQ24" s="36"/>
      <c r="ER24" s="36"/>
      <c r="ES24" s="36"/>
      <c r="ET24" s="36"/>
      <c r="EU24" s="36"/>
      <c r="EV24" s="36"/>
      <c r="EW24" s="14" t="str">
        <f t="shared" si="54"/>
        <v/>
      </c>
      <c r="EX24" s="14" t="str">
        <f t="shared" si="55"/>
        <v/>
      </c>
      <c r="EY24" s="14" t="str">
        <f t="shared" si="56"/>
        <v/>
      </c>
      <c r="EZ24" s="14" t="str">
        <f t="shared" si="57"/>
        <v/>
      </c>
      <c r="FA24" s="14" t="str">
        <f t="shared" si="58"/>
        <v/>
      </c>
      <c r="FB24" s="14" t="str">
        <f t="shared" si="59"/>
        <v/>
      </c>
      <c r="FC24" s="14" t="str">
        <f t="shared" si="60"/>
        <v/>
      </c>
      <c r="FD24" s="35"/>
      <c r="FE24" s="35"/>
      <c r="FF24" s="35"/>
      <c r="FG24" s="35"/>
      <c r="FH24" s="35"/>
      <c r="FI24" s="35"/>
      <c r="FJ24" s="35"/>
      <c r="FK24" s="35"/>
      <c r="FL24" s="35"/>
      <c r="FM24" s="35"/>
      <c r="FN24" s="35"/>
      <c r="FO24" s="35"/>
      <c r="FP24" s="35"/>
      <c r="FQ24" s="35"/>
      <c r="FR24" s="35"/>
      <c r="FS24" s="11" t="str">
        <f t="shared" si="61"/>
        <v/>
      </c>
      <c r="FT24" s="11" t="str">
        <f t="shared" si="62"/>
        <v/>
      </c>
      <c r="FU24" s="11" t="str">
        <f t="shared" si="63"/>
        <v/>
      </c>
      <c r="FV24" s="11" t="str">
        <f t="shared" si="64"/>
        <v/>
      </c>
      <c r="FW24" s="11" t="str">
        <f t="shared" si="65"/>
        <v/>
      </c>
      <c r="FX24" s="11" t="str">
        <f t="shared" si="66"/>
        <v/>
      </c>
      <c r="FY24" s="11" t="str">
        <f t="shared" si="67"/>
        <v/>
      </c>
      <c r="FZ24" s="36"/>
      <c r="GA24" s="36"/>
      <c r="GB24" s="36"/>
      <c r="GC24" s="36"/>
      <c r="GD24" s="36"/>
      <c r="GE24" s="36"/>
      <c r="GF24" s="36"/>
      <c r="GG24" s="36"/>
      <c r="GH24" s="36"/>
      <c r="GI24" s="36"/>
      <c r="GJ24" s="36"/>
      <c r="GK24" s="36"/>
      <c r="GL24" s="36"/>
      <c r="GM24" s="36"/>
      <c r="GN24" s="36"/>
      <c r="GO24" s="14" t="str">
        <f t="shared" si="68"/>
        <v/>
      </c>
      <c r="GP24" s="14" t="str">
        <f t="shared" si="69"/>
        <v/>
      </c>
      <c r="GQ24" s="14" t="str">
        <f t="shared" si="70"/>
        <v/>
      </c>
      <c r="GR24" s="14" t="str">
        <f t="shared" si="71"/>
        <v/>
      </c>
      <c r="GS24" s="14" t="str">
        <f t="shared" si="72"/>
        <v/>
      </c>
      <c r="GT24" s="14" t="str">
        <f t="shared" si="73"/>
        <v/>
      </c>
      <c r="GU24" s="14" t="str">
        <f t="shared" si="74"/>
        <v/>
      </c>
      <c r="GV24" s="35"/>
      <c r="GW24" s="35"/>
      <c r="GX24" s="35"/>
      <c r="GY24" s="35"/>
      <c r="GZ24" s="35"/>
      <c r="HA24" s="35"/>
      <c r="HB24" s="35"/>
      <c r="HC24" s="35"/>
      <c r="HD24" s="35"/>
      <c r="HE24" s="35"/>
      <c r="HF24" s="35"/>
      <c r="HG24" s="35"/>
      <c r="HH24" s="35"/>
      <c r="HI24" s="35"/>
      <c r="HJ24" s="35"/>
      <c r="HK24" s="11" t="str">
        <f t="shared" si="75"/>
        <v/>
      </c>
      <c r="HL24" s="11" t="str">
        <f t="shared" si="76"/>
        <v/>
      </c>
      <c r="HM24" s="11" t="str">
        <f t="shared" si="77"/>
        <v/>
      </c>
      <c r="HN24" s="11" t="str">
        <f t="shared" si="78"/>
        <v/>
      </c>
      <c r="HO24" s="11" t="str">
        <f t="shared" si="79"/>
        <v/>
      </c>
      <c r="HP24" s="11" t="str">
        <f t="shared" si="80"/>
        <v/>
      </c>
      <c r="HQ24" s="11" t="str">
        <f t="shared" si="81"/>
        <v/>
      </c>
      <c r="HR24" s="36"/>
      <c r="HS24" s="36"/>
      <c r="HT24" s="36"/>
      <c r="HU24" s="36"/>
      <c r="HV24" s="36"/>
      <c r="HW24" s="36"/>
      <c r="HX24" s="36"/>
      <c r="HY24" s="36"/>
      <c r="HZ24" s="36"/>
      <c r="IA24" s="36"/>
      <c r="IB24" s="36"/>
      <c r="IC24" s="36"/>
      <c r="ID24" s="36"/>
      <c r="IE24" s="36"/>
      <c r="IF24" s="36"/>
      <c r="IG24" s="14" t="str">
        <f t="shared" si="82"/>
        <v/>
      </c>
      <c r="IH24" s="14" t="str">
        <f t="shared" si="83"/>
        <v/>
      </c>
      <c r="II24" s="14" t="str">
        <f t="shared" si="84"/>
        <v/>
      </c>
      <c r="IJ24" s="14" t="str">
        <f t="shared" si="85"/>
        <v/>
      </c>
      <c r="IK24" s="14" t="str">
        <f t="shared" si="86"/>
        <v/>
      </c>
      <c r="IL24" s="14" t="str">
        <f t="shared" si="87"/>
        <v/>
      </c>
      <c r="IM24" s="14" t="str">
        <f t="shared" si="88"/>
        <v/>
      </c>
      <c r="IN24" s="35"/>
      <c r="IO24" s="35"/>
      <c r="IP24" s="35"/>
      <c r="IQ24" s="35"/>
      <c r="IR24" s="35"/>
      <c r="IS24" s="35"/>
      <c r="IT24" s="35"/>
      <c r="IU24" s="35"/>
      <c r="IV24" s="35"/>
      <c r="IW24" s="35"/>
      <c r="IX24" s="35"/>
      <c r="IY24" s="35"/>
      <c r="IZ24" s="35"/>
      <c r="JA24" s="35"/>
      <c r="JB24" s="35"/>
      <c r="JC24" s="11" t="str">
        <f t="shared" si="89"/>
        <v/>
      </c>
      <c r="JD24" s="11" t="str">
        <f t="shared" si="90"/>
        <v/>
      </c>
      <c r="JE24" s="11" t="str">
        <f t="shared" si="91"/>
        <v/>
      </c>
      <c r="JF24" s="11" t="str">
        <f t="shared" si="92"/>
        <v/>
      </c>
      <c r="JG24" s="11" t="str">
        <f t="shared" si="93"/>
        <v/>
      </c>
      <c r="JH24" s="11" t="str">
        <f t="shared" si="94"/>
        <v/>
      </c>
      <c r="JI24" s="11" t="str">
        <f t="shared" si="95"/>
        <v/>
      </c>
      <c r="JJ24" s="36"/>
      <c r="JK24" s="36"/>
      <c r="JL24" s="36"/>
      <c r="JM24" s="36"/>
      <c r="JN24" s="36"/>
      <c r="JO24" s="36"/>
      <c r="JP24" s="36"/>
      <c r="JQ24" s="36"/>
      <c r="JR24" s="36"/>
      <c r="JS24" s="36"/>
      <c r="JT24" s="36"/>
      <c r="JU24" s="36"/>
      <c r="JV24" s="36"/>
      <c r="JW24" s="36"/>
      <c r="JX24" s="36"/>
      <c r="JY24" s="14" t="str">
        <f t="shared" si="96"/>
        <v/>
      </c>
      <c r="JZ24" s="14" t="str">
        <f t="shared" si="97"/>
        <v/>
      </c>
      <c r="KA24" s="14" t="str">
        <f t="shared" si="98"/>
        <v/>
      </c>
      <c r="KB24" s="14" t="str">
        <f t="shared" si="99"/>
        <v/>
      </c>
      <c r="KC24" s="14" t="str">
        <f t="shared" si="100"/>
        <v/>
      </c>
      <c r="KD24" s="14" t="str">
        <f t="shared" si="101"/>
        <v/>
      </c>
      <c r="KE24" s="14" t="str">
        <f t="shared" si="102"/>
        <v/>
      </c>
      <c r="KF24" s="35"/>
      <c r="KG24" s="35"/>
      <c r="KH24" s="35"/>
      <c r="KI24" s="35"/>
      <c r="KJ24" s="35"/>
      <c r="KK24" s="35"/>
      <c r="KL24" s="35"/>
      <c r="KM24" s="35"/>
      <c r="KN24" s="35"/>
      <c r="KO24" s="35"/>
      <c r="KP24" s="35"/>
      <c r="KQ24" s="35"/>
      <c r="KR24" s="35"/>
      <c r="KS24" s="35"/>
      <c r="KT24" s="35"/>
      <c r="KU24" s="11" t="str">
        <f t="shared" si="103"/>
        <v/>
      </c>
      <c r="KV24" s="11" t="str">
        <f t="shared" si="104"/>
        <v/>
      </c>
      <c r="KW24" s="11" t="str">
        <f t="shared" si="105"/>
        <v/>
      </c>
      <c r="KX24" s="11" t="str">
        <f t="shared" si="106"/>
        <v/>
      </c>
      <c r="KY24" s="11" t="str">
        <f t="shared" si="107"/>
        <v/>
      </c>
      <c r="KZ24" s="11" t="str">
        <f t="shared" si="108"/>
        <v/>
      </c>
      <c r="LA24" s="11" t="str">
        <f t="shared" si="109"/>
        <v/>
      </c>
      <c r="LB24" s="36"/>
      <c r="LC24" s="36"/>
      <c r="LD24" s="36"/>
      <c r="LE24" s="36"/>
      <c r="LF24" s="36"/>
      <c r="LG24" s="36"/>
      <c r="LH24" s="36"/>
      <c r="LI24" s="36"/>
      <c r="LJ24" s="36"/>
      <c r="LK24" s="36"/>
      <c r="LL24" s="36"/>
      <c r="LM24" s="36"/>
      <c r="LN24" s="36"/>
      <c r="LO24" s="36"/>
      <c r="LP24" s="36"/>
      <c r="LQ24" s="14" t="str">
        <f t="shared" si="110"/>
        <v/>
      </c>
      <c r="LR24" s="14" t="str">
        <f t="shared" si="111"/>
        <v/>
      </c>
      <c r="LS24" s="14" t="str">
        <f t="shared" si="112"/>
        <v/>
      </c>
      <c r="LT24" s="14" t="str">
        <f t="shared" si="113"/>
        <v/>
      </c>
      <c r="LU24" s="14" t="str">
        <f t="shared" si="114"/>
        <v/>
      </c>
      <c r="LV24" s="14" t="str">
        <f t="shared" si="115"/>
        <v/>
      </c>
      <c r="LW24" s="14" t="str">
        <f t="shared" si="116"/>
        <v/>
      </c>
      <c r="LX24" s="35"/>
      <c r="LY24" s="35"/>
      <c r="LZ24" s="35"/>
      <c r="MA24" s="35"/>
      <c r="MB24" s="35"/>
      <c r="MC24" s="35"/>
      <c r="MD24" s="35"/>
      <c r="ME24" s="35"/>
      <c r="MF24" s="35"/>
      <c r="MG24" s="35"/>
      <c r="MH24" s="35"/>
      <c r="MI24" s="35"/>
      <c r="MJ24" s="35"/>
      <c r="MK24" s="35"/>
      <c r="ML24" s="35"/>
      <c r="MM24" s="11" t="str">
        <f t="shared" si="117"/>
        <v/>
      </c>
      <c r="MN24" s="11" t="str">
        <f t="shared" si="118"/>
        <v/>
      </c>
      <c r="MO24" s="11" t="str">
        <f t="shared" si="119"/>
        <v/>
      </c>
      <c r="MP24" s="11" t="str">
        <f t="shared" si="120"/>
        <v/>
      </c>
      <c r="MQ24" s="11" t="str">
        <f t="shared" si="121"/>
        <v/>
      </c>
      <c r="MR24" s="11" t="str">
        <f t="shared" si="122"/>
        <v/>
      </c>
      <c r="MS24" s="11" t="str">
        <f t="shared" si="123"/>
        <v/>
      </c>
      <c r="MT24" s="36"/>
      <c r="MU24" s="36"/>
      <c r="MV24" s="36"/>
      <c r="MW24" s="36"/>
      <c r="MX24" s="36"/>
      <c r="MY24" s="36"/>
      <c r="MZ24" s="36"/>
      <c r="NA24" s="36"/>
      <c r="NB24" s="36"/>
      <c r="NC24" s="36"/>
      <c r="ND24" s="36"/>
      <c r="NE24" s="36"/>
      <c r="NF24" s="36"/>
      <c r="NG24" s="36"/>
      <c r="NH24" s="36"/>
      <c r="NI24" s="14" t="str">
        <f t="shared" si="124"/>
        <v/>
      </c>
      <c r="NJ24" s="14" t="str">
        <f t="shared" si="125"/>
        <v/>
      </c>
      <c r="NK24" s="14" t="str">
        <f t="shared" si="126"/>
        <v/>
      </c>
      <c r="NL24" s="14" t="str">
        <f t="shared" si="127"/>
        <v/>
      </c>
      <c r="NM24" s="14" t="str">
        <f t="shared" si="128"/>
        <v/>
      </c>
      <c r="NN24" s="14" t="str">
        <f t="shared" si="129"/>
        <v/>
      </c>
      <c r="NO24" s="14" t="str">
        <f t="shared" si="130"/>
        <v/>
      </c>
      <c r="NP24" s="61">
        <f t="shared" si="131"/>
        <v>4.9000000000000004</v>
      </c>
      <c r="NQ24" s="61">
        <f t="shared" si="132"/>
        <v>2.5499999999999998</v>
      </c>
      <c r="NR24" s="61">
        <f t="shared" si="133"/>
        <v>0.45</v>
      </c>
      <c r="NS24" s="61">
        <f t="shared" si="134"/>
        <v>4.1425000000000001</v>
      </c>
      <c r="NT24" s="61">
        <f t="shared" si="135"/>
        <v>0</v>
      </c>
      <c r="NU24" s="61">
        <f t="shared" si="136"/>
        <v>7.6</v>
      </c>
      <c r="NV24" s="61">
        <f t="shared" si="137"/>
        <v>4.5999999999999996</v>
      </c>
      <c r="NW24" s="61">
        <f t="shared" si="138"/>
        <v>3.4</v>
      </c>
      <c r="NX24" s="61">
        <f t="shared" si="139"/>
        <v>6.61</v>
      </c>
      <c r="NY24" s="61">
        <f t="shared" si="140"/>
        <v>1</v>
      </c>
      <c r="NZ24" s="61">
        <f t="shared" si="141"/>
        <v>0</v>
      </c>
      <c r="OA24" s="61">
        <f t="shared" si="142"/>
        <v>0</v>
      </c>
      <c r="OB24" s="61">
        <f t="shared" si="143"/>
        <v>0</v>
      </c>
      <c r="OC24" s="61">
        <f t="shared" si="144"/>
        <v>0</v>
      </c>
      <c r="OD24" s="61">
        <f t="shared" si="145"/>
        <v>0</v>
      </c>
      <c r="OE24" s="61">
        <f t="shared" si="146"/>
        <v>0</v>
      </c>
      <c r="OF24" s="61">
        <f t="shared" si="147"/>
        <v>0</v>
      </c>
      <c r="OG24" s="61">
        <f t="shared" si="148"/>
        <v>0</v>
      </c>
      <c r="OH24" s="61">
        <f t="shared" si="149"/>
        <v>0</v>
      </c>
      <c r="OI24" s="61">
        <f t="shared" si="150"/>
        <v>0</v>
      </c>
      <c r="OJ24" s="72" t="s">
        <v>52</v>
      </c>
      <c r="OK24" s="11">
        <f t="shared" si="151"/>
        <v>12.0425</v>
      </c>
      <c r="OL24" s="11">
        <f t="shared" si="152"/>
        <v>3.4</v>
      </c>
      <c r="OM24" s="11">
        <f t="shared" si="153"/>
        <v>21.21</v>
      </c>
      <c r="ON24" s="11" t="str">
        <f t="shared" si="154"/>
        <v/>
      </c>
      <c r="OO24" s="11" t="str">
        <f t="shared" si="155"/>
        <v/>
      </c>
      <c r="OP24" s="11">
        <f t="shared" si="156"/>
        <v>33.252499999999998</v>
      </c>
      <c r="OQ24" s="11" t="str">
        <f t="shared" si="157"/>
        <v/>
      </c>
      <c r="OR24" s="11" t="str">
        <f t="shared" ref="OR24" si="188">IF(SUM(OE24:OH24)-OI24&gt;0,SUM(OE24:OH24)-OI24,"")</f>
        <v/>
      </c>
      <c r="OS24" s="11">
        <f t="shared" ref="OS24" si="189">IF(SUM(OP24,OR24)&gt;0,SUM(OP24,OR24),"")</f>
        <v>33.252499999999998</v>
      </c>
    </row>
    <row r="25" spans="1:409" x14ac:dyDescent="0.2">
      <c r="A25" s="5" t="str" cm="1">
        <f t="array" ref="A25">IF(AND(G25&lt;&gt;"",H25&lt;&gt;""),SUMPRODUCT((G$4:G$27&lt;&gt;"")*(H$4:H$27&lt;&gt;"")*(E$4:E$27&gt;E25))+1,IF(H25&lt;&gt;"",SUMPRODUCT((I$4:I$27="No DD")*(E$4:E$27&gt;E25))+1+SUMPRODUCT((G$4:G$27&lt;&gt;"")*(H$4:H$27&lt;&gt;"")),""))</f>
        <v/>
      </c>
      <c r="B25" s="6" t="s">
        <v>147</v>
      </c>
      <c r="C25" s="7" t="s">
        <v>6</v>
      </c>
      <c r="D25" s="26">
        <v>2003</v>
      </c>
      <c r="E25" s="15">
        <f t="shared" si="0"/>
        <v>9.879999999999999</v>
      </c>
      <c r="F25" s="3" t="str">
        <f t="shared" si="1"/>
        <v/>
      </c>
      <c r="G25" s="115" t="str">
        <f t="shared" si="2"/>
        <v/>
      </c>
      <c r="H25" s="115" t="str">
        <f t="shared" si="3"/>
        <v/>
      </c>
      <c r="I25" s="116" t="str">
        <f t="shared" si="4"/>
        <v/>
      </c>
      <c r="J25" s="3" t="str">
        <f t="shared" si="5"/>
        <v/>
      </c>
      <c r="K25" s="14">
        <f t="shared" si="6"/>
        <v>30.295000000000002</v>
      </c>
      <c r="L25" s="14" t="str">
        <f t="shared" si="7"/>
        <v>2021 Elite Canada</v>
      </c>
      <c r="M25" s="14">
        <f t="shared" si="8"/>
        <v>0</v>
      </c>
      <c r="N25" s="14" t="str">
        <f t="shared" si="9"/>
        <v/>
      </c>
      <c r="O25" s="14">
        <f t="shared" si="10"/>
        <v>9.879999999999999</v>
      </c>
      <c r="P25" s="14" t="str">
        <f t="shared" si="11"/>
        <v>2021 Elite Canada</v>
      </c>
      <c r="Q25" s="14">
        <f>IF(COUNT(AS25,AU25,AX25,BW25,BY25,CB25,DA25,DC25,DF25)&gt;1,LARGE((AS25,AU25,AX25,BW25,BY25,CB25,DA25,DC25,DF25),2),0)</f>
        <v>0</v>
      </c>
      <c r="R25" s="14" t="str">
        <f t="shared" si="12"/>
        <v/>
      </c>
      <c r="S25" s="14" t="str">
        <f t="shared" si="13"/>
        <v/>
      </c>
      <c r="T25" s="24" t="str">
        <f t="shared" si="14"/>
        <v/>
      </c>
      <c r="U25" s="14" t="str">
        <f t="shared" si="15"/>
        <v/>
      </c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61"/>
      <c r="AO25" s="61"/>
      <c r="AP25" s="72"/>
      <c r="AQ25" s="11" t="str">
        <f t="shared" si="16"/>
        <v/>
      </c>
      <c r="AR25" s="11" t="str">
        <f t="shared" si="17"/>
        <v/>
      </c>
      <c r="AS25" s="11" t="str">
        <f t="shared" si="18"/>
        <v/>
      </c>
      <c r="AT25" s="11" t="str">
        <f t="shared" si="19"/>
        <v/>
      </c>
      <c r="AU25" s="11" t="str">
        <f t="shared" si="20"/>
        <v/>
      </c>
      <c r="AV25" s="11" t="str">
        <f t="shared" si="21"/>
        <v/>
      </c>
      <c r="AW25" s="11" t="str">
        <f t="shared" si="22"/>
        <v/>
      </c>
      <c r="AX25" s="11" t="str">
        <f t="shared" si="23"/>
        <v/>
      </c>
      <c r="AY25" s="11" t="str">
        <f t="shared" si="24"/>
        <v/>
      </c>
      <c r="AZ25" s="67"/>
      <c r="BA25" s="67"/>
      <c r="BB25" s="67"/>
      <c r="BC25" s="67"/>
      <c r="BD25" s="67"/>
      <c r="BE25" s="67"/>
      <c r="BF25" s="67"/>
      <c r="BG25" s="67"/>
      <c r="BH25" s="67"/>
      <c r="BI25" s="67"/>
      <c r="BJ25" s="67"/>
      <c r="BK25" s="67"/>
      <c r="BL25" s="67"/>
      <c r="BM25" s="67"/>
      <c r="BN25" s="67"/>
      <c r="BO25" s="67"/>
      <c r="BP25" s="67"/>
      <c r="BQ25" s="67"/>
      <c r="BR25" s="67"/>
      <c r="BS25" s="67"/>
      <c r="BT25" s="73"/>
      <c r="BU25" s="14" t="str">
        <f t="shared" si="25"/>
        <v/>
      </c>
      <c r="BV25" s="14" t="str">
        <f t="shared" si="26"/>
        <v/>
      </c>
      <c r="BW25" s="14" t="str">
        <f t="shared" si="27"/>
        <v/>
      </c>
      <c r="BX25" s="14" t="str">
        <f t="shared" si="28"/>
        <v/>
      </c>
      <c r="BY25" s="14" t="str">
        <f t="shared" si="29"/>
        <v/>
      </c>
      <c r="BZ25" s="14" t="str">
        <f t="shared" si="30"/>
        <v/>
      </c>
      <c r="CA25" s="14" t="str">
        <f t="shared" si="31"/>
        <v/>
      </c>
      <c r="CB25" s="14" t="str">
        <f t="shared" si="32"/>
        <v/>
      </c>
      <c r="CC25" s="14" t="str">
        <f t="shared" si="33"/>
        <v/>
      </c>
      <c r="CD25" s="61">
        <v>7.2</v>
      </c>
      <c r="CE25" s="61">
        <v>4.5999999999999996</v>
      </c>
      <c r="CF25" s="61">
        <v>1.3</v>
      </c>
      <c r="CG25" s="61">
        <v>7.3150000000000004</v>
      </c>
      <c r="CH25" s="61">
        <v>0</v>
      </c>
      <c r="CI25" s="61">
        <v>2.8</v>
      </c>
      <c r="CJ25" s="61">
        <v>1.8</v>
      </c>
      <c r="CK25" s="61">
        <v>2.2999999999999998</v>
      </c>
      <c r="CL25" s="61">
        <v>2.98</v>
      </c>
      <c r="CM25" s="61">
        <v>0</v>
      </c>
      <c r="CN25" s="61"/>
      <c r="CO25" s="61"/>
      <c r="CP25" s="61"/>
      <c r="CQ25" s="61"/>
      <c r="CR25" s="61"/>
      <c r="CS25" s="61"/>
      <c r="CT25" s="61"/>
      <c r="CU25" s="61"/>
      <c r="CV25" s="61"/>
      <c r="CW25" s="61"/>
      <c r="CX25" s="72"/>
      <c r="CY25" s="11">
        <f t="shared" si="34"/>
        <v>20.415000000000003</v>
      </c>
      <c r="CZ25" s="11">
        <f t="shared" si="35"/>
        <v>2.2999999999999998</v>
      </c>
      <c r="DA25" s="11">
        <f t="shared" si="36"/>
        <v>9.879999999999999</v>
      </c>
      <c r="DB25" s="11" t="str">
        <f t="shared" si="37"/>
        <v/>
      </c>
      <c r="DC25" s="11" t="str">
        <f t="shared" si="38"/>
        <v/>
      </c>
      <c r="DD25" s="11">
        <f t="shared" si="39"/>
        <v>30.295000000000002</v>
      </c>
      <c r="DE25" s="11" t="str">
        <f t="shared" si="40"/>
        <v/>
      </c>
      <c r="DF25" s="11" t="str">
        <f t="shared" si="41"/>
        <v/>
      </c>
      <c r="DG25" s="11">
        <f t="shared" si="42"/>
        <v>30.295000000000002</v>
      </c>
      <c r="DH25" s="23" t="str">
        <f t="shared" si="43"/>
        <v/>
      </c>
      <c r="DI25" s="23" t="str">
        <f t="shared" si="44"/>
        <v/>
      </c>
      <c r="DJ25" s="23" t="str">
        <f t="shared" si="45"/>
        <v/>
      </c>
      <c r="DK25" s="23" t="str">
        <f t="shared" si="46"/>
        <v/>
      </c>
      <c r="DL25" s="35"/>
      <c r="DM25" s="35"/>
      <c r="DN25" s="35"/>
      <c r="DO25" s="35"/>
      <c r="DP25" s="35"/>
      <c r="DQ25" s="35"/>
      <c r="DR25" s="35"/>
      <c r="DS25" s="35"/>
      <c r="DT25" s="35"/>
      <c r="DU25" s="35"/>
      <c r="DV25" s="35"/>
      <c r="DW25" s="35"/>
      <c r="DX25" s="35"/>
      <c r="DY25" s="35"/>
      <c r="DZ25" s="35"/>
      <c r="EA25" s="11" t="str">
        <f t="shared" si="47"/>
        <v/>
      </c>
      <c r="EB25" s="11" t="str">
        <f t="shared" si="48"/>
        <v/>
      </c>
      <c r="EC25" s="11" t="str">
        <f t="shared" si="49"/>
        <v/>
      </c>
      <c r="ED25" s="11" t="str">
        <f t="shared" si="50"/>
        <v/>
      </c>
      <c r="EE25" s="11" t="str">
        <f t="shared" si="51"/>
        <v/>
      </c>
      <c r="EF25" s="11" t="str">
        <f t="shared" si="52"/>
        <v/>
      </c>
      <c r="EG25" s="11" t="str">
        <f t="shared" si="53"/>
        <v/>
      </c>
      <c r="EH25" s="36"/>
      <c r="EI25" s="36"/>
      <c r="EJ25" s="36"/>
      <c r="EK25" s="36"/>
      <c r="EL25" s="36"/>
      <c r="EM25" s="36"/>
      <c r="EN25" s="36"/>
      <c r="EO25" s="36"/>
      <c r="EP25" s="36"/>
      <c r="EQ25" s="36"/>
      <c r="ER25" s="36"/>
      <c r="ES25" s="36"/>
      <c r="ET25" s="36"/>
      <c r="EU25" s="36"/>
      <c r="EV25" s="36"/>
      <c r="EW25" s="14" t="str">
        <f t="shared" si="54"/>
        <v/>
      </c>
      <c r="EX25" s="14" t="str">
        <f t="shared" si="55"/>
        <v/>
      </c>
      <c r="EY25" s="14" t="str">
        <f t="shared" si="56"/>
        <v/>
      </c>
      <c r="EZ25" s="14" t="str">
        <f t="shared" si="57"/>
        <v/>
      </c>
      <c r="FA25" s="14" t="str">
        <f t="shared" si="58"/>
        <v/>
      </c>
      <c r="FB25" s="14" t="str">
        <f t="shared" si="59"/>
        <v/>
      </c>
      <c r="FC25" s="14" t="str">
        <f t="shared" si="60"/>
        <v/>
      </c>
      <c r="FD25" s="35"/>
      <c r="FE25" s="35"/>
      <c r="FF25" s="35"/>
      <c r="FG25" s="35"/>
      <c r="FH25" s="35"/>
      <c r="FI25" s="35"/>
      <c r="FJ25" s="35"/>
      <c r="FK25" s="35"/>
      <c r="FL25" s="35"/>
      <c r="FM25" s="35"/>
      <c r="FN25" s="35"/>
      <c r="FO25" s="35"/>
      <c r="FP25" s="35"/>
      <c r="FQ25" s="35"/>
      <c r="FR25" s="35"/>
      <c r="FS25" s="11" t="str">
        <f t="shared" si="61"/>
        <v/>
      </c>
      <c r="FT25" s="11" t="str">
        <f t="shared" si="62"/>
        <v/>
      </c>
      <c r="FU25" s="11" t="str">
        <f t="shared" si="63"/>
        <v/>
      </c>
      <c r="FV25" s="11" t="str">
        <f t="shared" si="64"/>
        <v/>
      </c>
      <c r="FW25" s="11" t="str">
        <f t="shared" si="65"/>
        <v/>
      </c>
      <c r="FX25" s="11" t="str">
        <f t="shared" si="66"/>
        <v/>
      </c>
      <c r="FY25" s="11" t="str">
        <f t="shared" si="67"/>
        <v/>
      </c>
      <c r="FZ25" s="36"/>
      <c r="GA25" s="36"/>
      <c r="GB25" s="36"/>
      <c r="GC25" s="36"/>
      <c r="GD25" s="36"/>
      <c r="GE25" s="36"/>
      <c r="GF25" s="36"/>
      <c r="GG25" s="36"/>
      <c r="GH25" s="36"/>
      <c r="GI25" s="36"/>
      <c r="GJ25" s="36"/>
      <c r="GK25" s="36"/>
      <c r="GL25" s="36"/>
      <c r="GM25" s="36"/>
      <c r="GN25" s="36"/>
      <c r="GO25" s="14" t="str">
        <f t="shared" si="68"/>
        <v/>
      </c>
      <c r="GP25" s="14" t="str">
        <f t="shared" si="69"/>
        <v/>
      </c>
      <c r="GQ25" s="14" t="str">
        <f t="shared" si="70"/>
        <v/>
      </c>
      <c r="GR25" s="14" t="str">
        <f t="shared" si="71"/>
        <v/>
      </c>
      <c r="GS25" s="14" t="str">
        <f t="shared" si="72"/>
        <v/>
      </c>
      <c r="GT25" s="14" t="str">
        <f t="shared" si="73"/>
        <v/>
      </c>
      <c r="GU25" s="14" t="str">
        <f t="shared" si="74"/>
        <v/>
      </c>
      <c r="GV25" s="35"/>
      <c r="GW25" s="35"/>
      <c r="GX25" s="35"/>
      <c r="GY25" s="35"/>
      <c r="GZ25" s="35"/>
      <c r="HA25" s="35"/>
      <c r="HB25" s="35"/>
      <c r="HC25" s="35"/>
      <c r="HD25" s="35"/>
      <c r="HE25" s="35"/>
      <c r="HF25" s="35"/>
      <c r="HG25" s="35"/>
      <c r="HH25" s="35"/>
      <c r="HI25" s="35"/>
      <c r="HJ25" s="35"/>
      <c r="HK25" s="11" t="str">
        <f t="shared" si="75"/>
        <v/>
      </c>
      <c r="HL25" s="11" t="str">
        <f t="shared" si="76"/>
        <v/>
      </c>
      <c r="HM25" s="11" t="str">
        <f t="shared" si="77"/>
        <v/>
      </c>
      <c r="HN25" s="11" t="str">
        <f t="shared" si="78"/>
        <v/>
      </c>
      <c r="HO25" s="11" t="str">
        <f t="shared" si="79"/>
        <v/>
      </c>
      <c r="HP25" s="11" t="str">
        <f t="shared" si="80"/>
        <v/>
      </c>
      <c r="HQ25" s="11" t="str">
        <f t="shared" si="81"/>
        <v/>
      </c>
      <c r="HR25" s="36"/>
      <c r="HS25" s="36"/>
      <c r="HT25" s="36"/>
      <c r="HU25" s="36"/>
      <c r="HV25" s="36"/>
      <c r="HW25" s="36"/>
      <c r="HX25" s="36"/>
      <c r="HY25" s="36"/>
      <c r="HZ25" s="36"/>
      <c r="IA25" s="36"/>
      <c r="IB25" s="36"/>
      <c r="IC25" s="36"/>
      <c r="ID25" s="36"/>
      <c r="IE25" s="36"/>
      <c r="IF25" s="36"/>
      <c r="IG25" s="14" t="str">
        <f t="shared" si="82"/>
        <v/>
      </c>
      <c r="IH25" s="14" t="str">
        <f t="shared" si="83"/>
        <v/>
      </c>
      <c r="II25" s="14" t="str">
        <f t="shared" si="84"/>
        <v/>
      </c>
      <c r="IJ25" s="14" t="str">
        <f t="shared" si="85"/>
        <v/>
      </c>
      <c r="IK25" s="14" t="str">
        <f t="shared" si="86"/>
        <v/>
      </c>
      <c r="IL25" s="14" t="str">
        <f t="shared" si="87"/>
        <v/>
      </c>
      <c r="IM25" s="14" t="str">
        <f t="shared" si="88"/>
        <v/>
      </c>
      <c r="IN25" s="35"/>
      <c r="IO25" s="35"/>
      <c r="IP25" s="35"/>
      <c r="IQ25" s="35"/>
      <c r="IR25" s="35"/>
      <c r="IS25" s="35"/>
      <c r="IT25" s="35"/>
      <c r="IU25" s="35"/>
      <c r="IV25" s="35"/>
      <c r="IW25" s="35"/>
      <c r="IX25" s="35"/>
      <c r="IY25" s="35"/>
      <c r="IZ25" s="35"/>
      <c r="JA25" s="35"/>
      <c r="JB25" s="35"/>
      <c r="JC25" s="11" t="str">
        <f t="shared" si="89"/>
        <v/>
      </c>
      <c r="JD25" s="11" t="str">
        <f t="shared" si="90"/>
        <v/>
      </c>
      <c r="JE25" s="11" t="str">
        <f t="shared" si="91"/>
        <v/>
      </c>
      <c r="JF25" s="11" t="str">
        <f t="shared" si="92"/>
        <v/>
      </c>
      <c r="JG25" s="11" t="str">
        <f t="shared" si="93"/>
        <v/>
      </c>
      <c r="JH25" s="11" t="str">
        <f t="shared" si="94"/>
        <v/>
      </c>
      <c r="JI25" s="11" t="str">
        <f t="shared" si="95"/>
        <v/>
      </c>
      <c r="JJ25" s="36"/>
      <c r="JK25" s="36"/>
      <c r="JL25" s="36"/>
      <c r="JM25" s="36"/>
      <c r="JN25" s="36"/>
      <c r="JO25" s="36"/>
      <c r="JP25" s="36"/>
      <c r="JQ25" s="36"/>
      <c r="JR25" s="36"/>
      <c r="JS25" s="36"/>
      <c r="JT25" s="36"/>
      <c r="JU25" s="36"/>
      <c r="JV25" s="36"/>
      <c r="JW25" s="36"/>
      <c r="JX25" s="36"/>
      <c r="JY25" s="14" t="str">
        <f t="shared" si="96"/>
        <v/>
      </c>
      <c r="JZ25" s="14" t="str">
        <f t="shared" si="97"/>
        <v/>
      </c>
      <c r="KA25" s="14" t="str">
        <f t="shared" si="98"/>
        <v/>
      </c>
      <c r="KB25" s="14" t="str">
        <f t="shared" si="99"/>
        <v/>
      </c>
      <c r="KC25" s="14" t="str">
        <f t="shared" si="100"/>
        <v/>
      </c>
      <c r="KD25" s="14" t="str">
        <f t="shared" si="101"/>
        <v/>
      </c>
      <c r="KE25" s="14" t="str">
        <f t="shared" si="102"/>
        <v/>
      </c>
      <c r="KF25" s="35"/>
      <c r="KG25" s="35"/>
      <c r="KH25" s="35"/>
      <c r="KI25" s="35"/>
      <c r="KJ25" s="35"/>
      <c r="KK25" s="35"/>
      <c r="KL25" s="35"/>
      <c r="KM25" s="35"/>
      <c r="KN25" s="35"/>
      <c r="KO25" s="35"/>
      <c r="KP25" s="35"/>
      <c r="KQ25" s="35"/>
      <c r="KR25" s="35"/>
      <c r="KS25" s="35"/>
      <c r="KT25" s="35"/>
      <c r="KU25" s="11" t="str">
        <f t="shared" si="103"/>
        <v/>
      </c>
      <c r="KV25" s="11" t="str">
        <f t="shared" si="104"/>
        <v/>
      </c>
      <c r="KW25" s="11" t="str">
        <f t="shared" si="105"/>
        <v/>
      </c>
      <c r="KX25" s="11" t="str">
        <f t="shared" si="106"/>
        <v/>
      </c>
      <c r="KY25" s="11" t="str">
        <f t="shared" si="107"/>
        <v/>
      </c>
      <c r="KZ25" s="11" t="str">
        <f t="shared" si="108"/>
        <v/>
      </c>
      <c r="LA25" s="11" t="str">
        <f t="shared" si="109"/>
        <v/>
      </c>
      <c r="LB25" s="36"/>
      <c r="LC25" s="36"/>
      <c r="LD25" s="36"/>
      <c r="LE25" s="36"/>
      <c r="LF25" s="36"/>
      <c r="LG25" s="36"/>
      <c r="LH25" s="36"/>
      <c r="LI25" s="36"/>
      <c r="LJ25" s="36"/>
      <c r="LK25" s="36"/>
      <c r="LL25" s="36"/>
      <c r="LM25" s="36"/>
      <c r="LN25" s="36"/>
      <c r="LO25" s="36"/>
      <c r="LP25" s="36"/>
      <c r="LQ25" s="14" t="str">
        <f t="shared" si="110"/>
        <v/>
      </c>
      <c r="LR25" s="14" t="str">
        <f t="shared" si="111"/>
        <v/>
      </c>
      <c r="LS25" s="14" t="str">
        <f t="shared" si="112"/>
        <v/>
      </c>
      <c r="LT25" s="14" t="str">
        <f t="shared" si="113"/>
        <v/>
      </c>
      <c r="LU25" s="14" t="str">
        <f t="shared" si="114"/>
        <v/>
      </c>
      <c r="LV25" s="14" t="str">
        <f t="shared" si="115"/>
        <v/>
      </c>
      <c r="LW25" s="14" t="str">
        <f t="shared" si="116"/>
        <v/>
      </c>
      <c r="LX25" s="35"/>
      <c r="LY25" s="35"/>
      <c r="LZ25" s="35"/>
      <c r="MA25" s="35"/>
      <c r="MB25" s="35"/>
      <c r="MC25" s="35"/>
      <c r="MD25" s="35"/>
      <c r="ME25" s="35"/>
      <c r="MF25" s="35"/>
      <c r="MG25" s="35"/>
      <c r="MH25" s="35"/>
      <c r="MI25" s="35"/>
      <c r="MJ25" s="35"/>
      <c r="MK25" s="35"/>
      <c r="ML25" s="35"/>
      <c r="MM25" s="11" t="str">
        <f t="shared" si="117"/>
        <v/>
      </c>
      <c r="MN25" s="11" t="str">
        <f t="shared" si="118"/>
        <v/>
      </c>
      <c r="MO25" s="11" t="str">
        <f t="shared" si="119"/>
        <v/>
      </c>
      <c r="MP25" s="11" t="str">
        <f t="shared" si="120"/>
        <v/>
      </c>
      <c r="MQ25" s="11" t="str">
        <f t="shared" si="121"/>
        <v/>
      </c>
      <c r="MR25" s="11" t="str">
        <f t="shared" si="122"/>
        <v/>
      </c>
      <c r="MS25" s="11" t="str">
        <f t="shared" si="123"/>
        <v/>
      </c>
      <c r="MT25" s="36"/>
      <c r="MU25" s="36"/>
      <c r="MV25" s="36"/>
      <c r="MW25" s="36"/>
      <c r="MX25" s="36"/>
      <c r="MY25" s="36"/>
      <c r="MZ25" s="36"/>
      <c r="NA25" s="36"/>
      <c r="NB25" s="36"/>
      <c r="NC25" s="36"/>
      <c r="ND25" s="36"/>
      <c r="NE25" s="36"/>
      <c r="NF25" s="36"/>
      <c r="NG25" s="36"/>
      <c r="NH25" s="36"/>
      <c r="NI25" s="14" t="str">
        <f t="shared" si="124"/>
        <v/>
      </c>
      <c r="NJ25" s="14" t="str">
        <f t="shared" si="125"/>
        <v/>
      </c>
      <c r="NK25" s="14" t="str">
        <f t="shared" si="126"/>
        <v/>
      </c>
      <c r="NL25" s="14" t="str">
        <f t="shared" si="127"/>
        <v/>
      </c>
      <c r="NM25" s="14" t="str">
        <f t="shared" si="128"/>
        <v/>
      </c>
      <c r="NN25" s="14" t="str">
        <f t="shared" si="129"/>
        <v/>
      </c>
      <c r="NO25" s="14" t="str">
        <f t="shared" si="130"/>
        <v/>
      </c>
      <c r="NP25" s="61">
        <f t="shared" si="131"/>
        <v>3.6</v>
      </c>
      <c r="NQ25" s="61">
        <f t="shared" si="132"/>
        <v>2.2999999999999998</v>
      </c>
      <c r="NR25" s="61">
        <f t="shared" si="133"/>
        <v>0.65</v>
      </c>
      <c r="NS25" s="61">
        <f t="shared" si="134"/>
        <v>3.6575000000000002</v>
      </c>
      <c r="NT25" s="61">
        <f t="shared" si="135"/>
        <v>0</v>
      </c>
      <c r="NU25" s="61">
        <f t="shared" si="136"/>
        <v>1.4</v>
      </c>
      <c r="NV25" s="61">
        <f t="shared" si="137"/>
        <v>0.9</v>
      </c>
      <c r="NW25" s="61">
        <f t="shared" si="138"/>
        <v>1.1499999999999999</v>
      </c>
      <c r="NX25" s="61">
        <f t="shared" si="139"/>
        <v>1.49</v>
      </c>
      <c r="NY25" s="61">
        <f t="shared" si="140"/>
        <v>0</v>
      </c>
      <c r="NZ25" s="61">
        <f t="shared" si="141"/>
        <v>0</v>
      </c>
      <c r="OA25" s="61">
        <f t="shared" si="142"/>
        <v>0</v>
      </c>
      <c r="OB25" s="61">
        <f t="shared" si="143"/>
        <v>0</v>
      </c>
      <c r="OC25" s="61">
        <f t="shared" si="144"/>
        <v>0</v>
      </c>
      <c r="OD25" s="61">
        <f t="shared" si="145"/>
        <v>0</v>
      </c>
      <c r="OE25" s="61">
        <f t="shared" si="146"/>
        <v>0</v>
      </c>
      <c r="OF25" s="61">
        <f t="shared" si="147"/>
        <v>0</v>
      </c>
      <c r="OG25" s="61">
        <f t="shared" si="148"/>
        <v>0</v>
      </c>
      <c r="OH25" s="61">
        <f t="shared" si="149"/>
        <v>0</v>
      </c>
      <c r="OI25" s="61">
        <f t="shared" si="150"/>
        <v>0</v>
      </c>
      <c r="OJ25" s="72" t="s">
        <v>52</v>
      </c>
      <c r="OK25" s="11">
        <f t="shared" si="151"/>
        <v>10.207500000000001</v>
      </c>
      <c r="OL25" s="11">
        <f t="shared" si="152"/>
        <v>1.1499999999999999</v>
      </c>
      <c r="OM25" s="11">
        <f t="shared" si="153"/>
        <v>4.9399999999999995</v>
      </c>
      <c r="ON25" s="11" t="str">
        <f t="shared" si="154"/>
        <v/>
      </c>
      <c r="OO25" s="11" t="str">
        <f t="shared" si="155"/>
        <v/>
      </c>
      <c r="OP25" s="11">
        <f t="shared" si="156"/>
        <v>15.147500000000001</v>
      </c>
      <c r="OQ25" s="11" t="str">
        <f t="shared" si="157"/>
        <v/>
      </c>
      <c r="OR25" s="11" t="str">
        <f t="shared" ref="OR25" si="190">IF(SUM(OE25:OH25)-OI25&gt;0,SUM(OE25:OH25)-OI25,"")</f>
        <v/>
      </c>
      <c r="OS25" s="11">
        <f t="shared" ref="OS25" si="191">IF(SUM(OP25,OR25)&gt;0,SUM(OP25,OR25),"")</f>
        <v>15.147500000000001</v>
      </c>
    </row>
    <row r="26" spans="1:409" x14ac:dyDescent="0.2">
      <c r="A26" s="5" t="str" cm="1">
        <f t="array" ref="A26">IF(AND(G26&lt;&gt;"",H26&lt;&gt;""),SUMPRODUCT((G$4:G$27&lt;&gt;"")*(H$4:H$27&lt;&gt;"")*(E$4:E$27&gt;E26))+1,IF(H26&lt;&gt;"",SUMPRODUCT((I$4:I$27="No DD")*(E$4:E$27&gt;E26))+1+SUMPRODUCT((G$4:G$27&lt;&gt;"")*(H$4:H$27&lt;&gt;"")),""))</f>
        <v/>
      </c>
      <c r="B26" s="6" t="s">
        <v>146</v>
      </c>
      <c r="C26" s="7" t="s">
        <v>5</v>
      </c>
      <c r="D26" s="26">
        <v>2001</v>
      </c>
      <c r="E26" s="15">
        <f t="shared" si="0"/>
        <v>5.0549999999999997</v>
      </c>
      <c r="F26" s="3" t="str">
        <f t="shared" si="1"/>
        <v/>
      </c>
      <c r="G26" s="115" t="str">
        <f t="shared" si="2"/>
        <v/>
      </c>
      <c r="H26" s="115" t="str">
        <f t="shared" si="3"/>
        <v/>
      </c>
      <c r="I26" s="116" t="str">
        <f t="shared" si="4"/>
        <v/>
      </c>
      <c r="J26" s="3" t="str">
        <f t="shared" si="5"/>
        <v/>
      </c>
      <c r="K26" s="14">
        <f t="shared" si="6"/>
        <v>41.565000000000005</v>
      </c>
      <c r="L26" s="14" t="str">
        <f t="shared" si="7"/>
        <v>2021 Elite Canada</v>
      </c>
      <c r="M26" s="14">
        <f t="shared" si="8"/>
        <v>0</v>
      </c>
      <c r="N26" s="14" t="str">
        <f t="shared" si="9"/>
        <v/>
      </c>
      <c r="O26" s="14">
        <f t="shared" si="10"/>
        <v>5.0549999999999997</v>
      </c>
      <c r="P26" s="14" t="str">
        <f t="shared" si="11"/>
        <v>2021 Elite Canada</v>
      </c>
      <c r="Q26" s="14">
        <f>IF(COUNT(AS26,AU26,AX26,BW26,BY26,CB26,DA26,DC26,DF26)&gt;1,LARGE((AS26,AU26,AX26,BW26,BY26,CB26,DA26,DC26,DF26),2),0)</f>
        <v>0</v>
      </c>
      <c r="R26" s="14" t="str">
        <f t="shared" si="12"/>
        <v/>
      </c>
      <c r="S26" s="14" t="str">
        <f t="shared" si="13"/>
        <v/>
      </c>
      <c r="T26" s="24" t="str">
        <f t="shared" si="14"/>
        <v/>
      </c>
      <c r="U26" s="14" t="str">
        <f t="shared" si="15"/>
        <v/>
      </c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72"/>
      <c r="AQ26" s="11" t="str">
        <f t="shared" si="16"/>
        <v/>
      </c>
      <c r="AR26" s="11" t="str">
        <f t="shared" si="17"/>
        <v/>
      </c>
      <c r="AS26" s="11" t="str">
        <f t="shared" si="18"/>
        <v/>
      </c>
      <c r="AT26" s="11" t="str">
        <f t="shared" si="19"/>
        <v/>
      </c>
      <c r="AU26" s="11" t="str">
        <f t="shared" si="20"/>
        <v/>
      </c>
      <c r="AV26" s="11" t="str">
        <f t="shared" si="21"/>
        <v/>
      </c>
      <c r="AW26" s="11" t="str">
        <f t="shared" si="22"/>
        <v/>
      </c>
      <c r="AX26" s="11" t="str">
        <f t="shared" si="23"/>
        <v/>
      </c>
      <c r="AY26" s="11" t="str">
        <f t="shared" si="24"/>
        <v/>
      </c>
      <c r="AZ26" s="67"/>
      <c r="BA26" s="67"/>
      <c r="BB26" s="67"/>
      <c r="BC26" s="67"/>
      <c r="BD26" s="67"/>
      <c r="BE26" s="67"/>
      <c r="BF26" s="67"/>
      <c r="BG26" s="67"/>
      <c r="BH26" s="67"/>
      <c r="BI26" s="67"/>
      <c r="BJ26" s="67"/>
      <c r="BK26" s="67"/>
      <c r="BL26" s="67"/>
      <c r="BM26" s="67"/>
      <c r="BN26" s="67"/>
      <c r="BO26" s="67"/>
      <c r="BP26" s="67"/>
      <c r="BQ26" s="67"/>
      <c r="BR26" s="67"/>
      <c r="BS26" s="67"/>
      <c r="BT26" s="73"/>
      <c r="BU26" s="14" t="str">
        <f t="shared" si="25"/>
        <v/>
      </c>
      <c r="BV26" s="14" t="str">
        <f t="shared" si="26"/>
        <v/>
      </c>
      <c r="BW26" s="14" t="str">
        <f t="shared" si="27"/>
        <v/>
      </c>
      <c r="BX26" s="14" t="str">
        <f t="shared" si="28"/>
        <v/>
      </c>
      <c r="BY26" s="14" t="str">
        <f t="shared" si="29"/>
        <v/>
      </c>
      <c r="BZ26" s="14" t="str">
        <f t="shared" si="30"/>
        <v/>
      </c>
      <c r="CA26" s="14" t="str">
        <f t="shared" si="31"/>
        <v/>
      </c>
      <c r="CB26" s="14" t="str">
        <f t="shared" si="32"/>
        <v/>
      </c>
      <c r="CC26" s="14" t="str">
        <f t="shared" si="33"/>
        <v/>
      </c>
      <c r="CD26" s="61">
        <v>14.9</v>
      </c>
      <c r="CE26" s="61">
        <v>8.4</v>
      </c>
      <c r="CF26" s="61">
        <v>0.8</v>
      </c>
      <c r="CG26" s="61">
        <v>12.41</v>
      </c>
      <c r="CH26" s="61">
        <v>0</v>
      </c>
      <c r="CI26" s="61">
        <v>1.4</v>
      </c>
      <c r="CJ26" s="61">
        <v>0.9</v>
      </c>
      <c r="CK26" s="61">
        <v>1.5</v>
      </c>
      <c r="CL26" s="61">
        <v>1.4550000000000001</v>
      </c>
      <c r="CM26" s="61">
        <v>0.2</v>
      </c>
      <c r="CN26" s="61"/>
      <c r="CO26" s="61"/>
      <c r="CP26" s="61"/>
      <c r="CQ26" s="61"/>
      <c r="CR26" s="61"/>
      <c r="CS26" s="61"/>
      <c r="CT26" s="61"/>
      <c r="CU26" s="61"/>
      <c r="CV26" s="61"/>
      <c r="CW26" s="61"/>
      <c r="CX26" s="72"/>
      <c r="CY26" s="11">
        <f t="shared" si="34"/>
        <v>36.510000000000005</v>
      </c>
      <c r="CZ26" s="11">
        <f t="shared" si="35"/>
        <v>1.5</v>
      </c>
      <c r="DA26" s="11">
        <f t="shared" si="36"/>
        <v>5.0549999999999997</v>
      </c>
      <c r="DB26" s="11" t="str">
        <f t="shared" si="37"/>
        <v/>
      </c>
      <c r="DC26" s="11" t="str">
        <f t="shared" si="38"/>
        <v/>
      </c>
      <c r="DD26" s="11">
        <f t="shared" si="39"/>
        <v>41.565000000000005</v>
      </c>
      <c r="DE26" s="11" t="str">
        <f t="shared" si="40"/>
        <v/>
      </c>
      <c r="DF26" s="11" t="str">
        <f t="shared" si="41"/>
        <v/>
      </c>
      <c r="DG26" s="11">
        <f t="shared" si="42"/>
        <v>41.565000000000005</v>
      </c>
      <c r="DH26" s="23" t="str">
        <f t="shared" si="43"/>
        <v/>
      </c>
      <c r="DI26" s="23" t="str">
        <f t="shared" si="44"/>
        <v/>
      </c>
      <c r="DJ26" s="23" t="str">
        <f t="shared" si="45"/>
        <v/>
      </c>
      <c r="DK26" s="23" t="str">
        <f t="shared" si="46"/>
        <v/>
      </c>
      <c r="DL26" s="35"/>
      <c r="DM26" s="35"/>
      <c r="DN26" s="35"/>
      <c r="DO26" s="35"/>
      <c r="DP26" s="35"/>
      <c r="DQ26" s="35"/>
      <c r="DR26" s="35"/>
      <c r="DS26" s="35"/>
      <c r="DT26" s="35"/>
      <c r="DU26" s="35"/>
      <c r="DV26" s="35"/>
      <c r="DW26" s="35"/>
      <c r="DX26" s="35"/>
      <c r="DY26" s="35"/>
      <c r="DZ26" s="35"/>
      <c r="EA26" s="11" t="str">
        <f t="shared" si="47"/>
        <v/>
      </c>
      <c r="EB26" s="11" t="str">
        <f t="shared" si="48"/>
        <v/>
      </c>
      <c r="EC26" s="11" t="str">
        <f t="shared" si="49"/>
        <v/>
      </c>
      <c r="ED26" s="11" t="str">
        <f t="shared" si="50"/>
        <v/>
      </c>
      <c r="EE26" s="11" t="str">
        <f t="shared" si="51"/>
        <v/>
      </c>
      <c r="EF26" s="11" t="str">
        <f t="shared" si="52"/>
        <v/>
      </c>
      <c r="EG26" s="11" t="str">
        <f t="shared" si="53"/>
        <v/>
      </c>
      <c r="EH26" s="36"/>
      <c r="EI26" s="36"/>
      <c r="EJ26" s="36"/>
      <c r="EK26" s="36"/>
      <c r="EL26" s="36"/>
      <c r="EM26" s="36"/>
      <c r="EN26" s="36"/>
      <c r="EO26" s="36"/>
      <c r="EP26" s="36"/>
      <c r="EQ26" s="36"/>
      <c r="ER26" s="36"/>
      <c r="ES26" s="36"/>
      <c r="ET26" s="36"/>
      <c r="EU26" s="36"/>
      <c r="EV26" s="36"/>
      <c r="EW26" s="14" t="str">
        <f t="shared" si="54"/>
        <v/>
      </c>
      <c r="EX26" s="14" t="str">
        <f t="shared" si="55"/>
        <v/>
      </c>
      <c r="EY26" s="14" t="str">
        <f t="shared" si="56"/>
        <v/>
      </c>
      <c r="EZ26" s="14" t="str">
        <f t="shared" si="57"/>
        <v/>
      </c>
      <c r="FA26" s="14" t="str">
        <f t="shared" si="58"/>
        <v/>
      </c>
      <c r="FB26" s="14" t="str">
        <f t="shared" si="59"/>
        <v/>
      </c>
      <c r="FC26" s="14" t="str">
        <f t="shared" si="60"/>
        <v/>
      </c>
      <c r="FD26" s="35"/>
      <c r="FE26" s="35"/>
      <c r="FF26" s="35"/>
      <c r="FG26" s="35"/>
      <c r="FH26" s="35"/>
      <c r="FI26" s="35"/>
      <c r="FJ26" s="35"/>
      <c r="FK26" s="35"/>
      <c r="FL26" s="35"/>
      <c r="FM26" s="35"/>
      <c r="FN26" s="35"/>
      <c r="FO26" s="35"/>
      <c r="FP26" s="35"/>
      <c r="FQ26" s="35"/>
      <c r="FR26" s="35"/>
      <c r="FS26" s="11" t="str">
        <f t="shared" si="61"/>
        <v/>
      </c>
      <c r="FT26" s="11" t="str">
        <f t="shared" si="62"/>
        <v/>
      </c>
      <c r="FU26" s="11" t="str">
        <f t="shared" si="63"/>
        <v/>
      </c>
      <c r="FV26" s="11" t="str">
        <f t="shared" si="64"/>
        <v/>
      </c>
      <c r="FW26" s="11" t="str">
        <f t="shared" si="65"/>
        <v/>
      </c>
      <c r="FX26" s="11" t="str">
        <f t="shared" si="66"/>
        <v/>
      </c>
      <c r="FY26" s="11" t="str">
        <f t="shared" si="67"/>
        <v/>
      </c>
      <c r="FZ26" s="36"/>
      <c r="GA26" s="36"/>
      <c r="GB26" s="36"/>
      <c r="GC26" s="36"/>
      <c r="GD26" s="36"/>
      <c r="GE26" s="36"/>
      <c r="GF26" s="36"/>
      <c r="GG26" s="36"/>
      <c r="GH26" s="36"/>
      <c r="GI26" s="36"/>
      <c r="GJ26" s="36"/>
      <c r="GK26" s="36"/>
      <c r="GL26" s="36"/>
      <c r="GM26" s="36"/>
      <c r="GN26" s="36"/>
      <c r="GO26" s="14" t="str">
        <f t="shared" si="68"/>
        <v/>
      </c>
      <c r="GP26" s="14" t="str">
        <f t="shared" si="69"/>
        <v/>
      </c>
      <c r="GQ26" s="14" t="str">
        <f t="shared" si="70"/>
        <v/>
      </c>
      <c r="GR26" s="14" t="str">
        <f t="shared" si="71"/>
        <v/>
      </c>
      <c r="GS26" s="14" t="str">
        <f t="shared" si="72"/>
        <v/>
      </c>
      <c r="GT26" s="14" t="str">
        <f t="shared" si="73"/>
        <v/>
      </c>
      <c r="GU26" s="14" t="str">
        <f t="shared" si="74"/>
        <v/>
      </c>
      <c r="GV26" s="35"/>
      <c r="GW26" s="35"/>
      <c r="GX26" s="35"/>
      <c r="GY26" s="35"/>
      <c r="GZ26" s="35"/>
      <c r="HA26" s="35"/>
      <c r="HB26" s="35"/>
      <c r="HC26" s="35"/>
      <c r="HD26" s="35"/>
      <c r="HE26" s="35"/>
      <c r="HF26" s="35"/>
      <c r="HG26" s="35"/>
      <c r="HH26" s="35"/>
      <c r="HI26" s="35"/>
      <c r="HJ26" s="35"/>
      <c r="HK26" s="11" t="str">
        <f t="shared" si="75"/>
        <v/>
      </c>
      <c r="HL26" s="11" t="str">
        <f t="shared" si="76"/>
        <v/>
      </c>
      <c r="HM26" s="11" t="str">
        <f t="shared" si="77"/>
        <v/>
      </c>
      <c r="HN26" s="11" t="str">
        <f t="shared" si="78"/>
        <v/>
      </c>
      <c r="HO26" s="11" t="str">
        <f t="shared" si="79"/>
        <v/>
      </c>
      <c r="HP26" s="11" t="str">
        <f t="shared" si="80"/>
        <v/>
      </c>
      <c r="HQ26" s="11" t="str">
        <f t="shared" si="81"/>
        <v/>
      </c>
      <c r="HR26" s="36"/>
      <c r="HS26" s="36"/>
      <c r="HT26" s="36"/>
      <c r="HU26" s="36"/>
      <c r="HV26" s="36"/>
      <c r="HW26" s="36"/>
      <c r="HX26" s="36"/>
      <c r="HY26" s="36"/>
      <c r="HZ26" s="36"/>
      <c r="IA26" s="36"/>
      <c r="IB26" s="36"/>
      <c r="IC26" s="36"/>
      <c r="ID26" s="36"/>
      <c r="IE26" s="36"/>
      <c r="IF26" s="36"/>
      <c r="IG26" s="14" t="str">
        <f t="shared" si="82"/>
        <v/>
      </c>
      <c r="IH26" s="14" t="str">
        <f t="shared" si="83"/>
        <v/>
      </c>
      <c r="II26" s="14" t="str">
        <f t="shared" si="84"/>
        <v/>
      </c>
      <c r="IJ26" s="14" t="str">
        <f t="shared" si="85"/>
        <v/>
      </c>
      <c r="IK26" s="14" t="str">
        <f t="shared" si="86"/>
        <v/>
      </c>
      <c r="IL26" s="14" t="str">
        <f t="shared" si="87"/>
        <v/>
      </c>
      <c r="IM26" s="14" t="str">
        <f t="shared" si="88"/>
        <v/>
      </c>
      <c r="IN26" s="35"/>
      <c r="IO26" s="35"/>
      <c r="IP26" s="35"/>
      <c r="IQ26" s="35"/>
      <c r="IR26" s="35"/>
      <c r="IS26" s="35"/>
      <c r="IT26" s="35"/>
      <c r="IU26" s="35"/>
      <c r="IV26" s="35"/>
      <c r="IW26" s="35"/>
      <c r="IX26" s="35"/>
      <c r="IY26" s="35"/>
      <c r="IZ26" s="35"/>
      <c r="JA26" s="35"/>
      <c r="JB26" s="35"/>
      <c r="JC26" s="11" t="str">
        <f t="shared" si="89"/>
        <v/>
      </c>
      <c r="JD26" s="11" t="str">
        <f t="shared" si="90"/>
        <v/>
      </c>
      <c r="JE26" s="11" t="str">
        <f t="shared" si="91"/>
        <v/>
      </c>
      <c r="JF26" s="11" t="str">
        <f t="shared" si="92"/>
        <v/>
      </c>
      <c r="JG26" s="11" t="str">
        <f t="shared" si="93"/>
        <v/>
      </c>
      <c r="JH26" s="11" t="str">
        <f t="shared" si="94"/>
        <v/>
      </c>
      <c r="JI26" s="11" t="str">
        <f t="shared" si="95"/>
        <v/>
      </c>
      <c r="JJ26" s="36"/>
      <c r="JK26" s="36"/>
      <c r="JL26" s="36"/>
      <c r="JM26" s="36"/>
      <c r="JN26" s="36"/>
      <c r="JO26" s="36"/>
      <c r="JP26" s="36"/>
      <c r="JQ26" s="36"/>
      <c r="JR26" s="36"/>
      <c r="JS26" s="36"/>
      <c r="JT26" s="36"/>
      <c r="JU26" s="36"/>
      <c r="JV26" s="36"/>
      <c r="JW26" s="36"/>
      <c r="JX26" s="36"/>
      <c r="JY26" s="14" t="str">
        <f t="shared" si="96"/>
        <v/>
      </c>
      <c r="JZ26" s="14" t="str">
        <f t="shared" si="97"/>
        <v/>
      </c>
      <c r="KA26" s="14" t="str">
        <f t="shared" si="98"/>
        <v/>
      </c>
      <c r="KB26" s="14" t="str">
        <f t="shared" si="99"/>
        <v/>
      </c>
      <c r="KC26" s="14" t="str">
        <f t="shared" si="100"/>
        <v/>
      </c>
      <c r="KD26" s="14" t="str">
        <f t="shared" si="101"/>
        <v/>
      </c>
      <c r="KE26" s="14" t="str">
        <f t="shared" si="102"/>
        <v/>
      </c>
      <c r="KF26" s="35"/>
      <c r="KG26" s="35"/>
      <c r="KH26" s="35"/>
      <c r="KI26" s="35"/>
      <c r="KJ26" s="35"/>
      <c r="KK26" s="35"/>
      <c r="KL26" s="35"/>
      <c r="KM26" s="35"/>
      <c r="KN26" s="35"/>
      <c r="KO26" s="35"/>
      <c r="KP26" s="35"/>
      <c r="KQ26" s="35"/>
      <c r="KR26" s="35"/>
      <c r="KS26" s="35"/>
      <c r="KT26" s="35"/>
      <c r="KU26" s="11" t="str">
        <f t="shared" si="103"/>
        <v/>
      </c>
      <c r="KV26" s="11" t="str">
        <f t="shared" si="104"/>
        <v/>
      </c>
      <c r="KW26" s="11" t="str">
        <f t="shared" si="105"/>
        <v/>
      </c>
      <c r="KX26" s="11" t="str">
        <f t="shared" si="106"/>
        <v/>
      </c>
      <c r="KY26" s="11" t="str">
        <f t="shared" si="107"/>
        <v/>
      </c>
      <c r="KZ26" s="11" t="str">
        <f t="shared" si="108"/>
        <v/>
      </c>
      <c r="LA26" s="11" t="str">
        <f t="shared" si="109"/>
        <v/>
      </c>
      <c r="LB26" s="36"/>
      <c r="LC26" s="36"/>
      <c r="LD26" s="36"/>
      <c r="LE26" s="36"/>
      <c r="LF26" s="36"/>
      <c r="LG26" s="36"/>
      <c r="LH26" s="36"/>
      <c r="LI26" s="36"/>
      <c r="LJ26" s="36"/>
      <c r="LK26" s="36"/>
      <c r="LL26" s="36"/>
      <c r="LM26" s="36"/>
      <c r="LN26" s="36"/>
      <c r="LO26" s="36"/>
      <c r="LP26" s="36"/>
      <c r="LQ26" s="14" t="str">
        <f t="shared" si="110"/>
        <v/>
      </c>
      <c r="LR26" s="14" t="str">
        <f t="shared" si="111"/>
        <v/>
      </c>
      <c r="LS26" s="14" t="str">
        <f t="shared" si="112"/>
        <v/>
      </c>
      <c r="LT26" s="14" t="str">
        <f t="shared" si="113"/>
        <v/>
      </c>
      <c r="LU26" s="14" t="str">
        <f t="shared" si="114"/>
        <v/>
      </c>
      <c r="LV26" s="14" t="str">
        <f t="shared" si="115"/>
        <v/>
      </c>
      <c r="LW26" s="14" t="str">
        <f t="shared" si="116"/>
        <v/>
      </c>
      <c r="LX26" s="35"/>
      <c r="LY26" s="35"/>
      <c r="LZ26" s="35"/>
      <c r="MA26" s="35"/>
      <c r="MB26" s="35"/>
      <c r="MC26" s="35"/>
      <c r="MD26" s="35"/>
      <c r="ME26" s="35"/>
      <c r="MF26" s="35"/>
      <c r="MG26" s="35"/>
      <c r="MH26" s="35"/>
      <c r="MI26" s="35"/>
      <c r="MJ26" s="35"/>
      <c r="MK26" s="35"/>
      <c r="ML26" s="35"/>
      <c r="MM26" s="11" t="str">
        <f t="shared" si="117"/>
        <v/>
      </c>
      <c r="MN26" s="11" t="str">
        <f t="shared" si="118"/>
        <v/>
      </c>
      <c r="MO26" s="11" t="str">
        <f t="shared" si="119"/>
        <v/>
      </c>
      <c r="MP26" s="11" t="str">
        <f t="shared" si="120"/>
        <v/>
      </c>
      <c r="MQ26" s="11" t="str">
        <f t="shared" si="121"/>
        <v/>
      </c>
      <c r="MR26" s="11" t="str">
        <f t="shared" si="122"/>
        <v/>
      </c>
      <c r="MS26" s="11" t="str">
        <f t="shared" si="123"/>
        <v/>
      </c>
      <c r="MT26" s="36"/>
      <c r="MU26" s="36"/>
      <c r="MV26" s="36"/>
      <c r="MW26" s="36"/>
      <c r="MX26" s="36"/>
      <c r="MY26" s="36"/>
      <c r="MZ26" s="36"/>
      <c r="NA26" s="36"/>
      <c r="NB26" s="36"/>
      <c r="NC26" s="36"/>
      <c r="ND26" s="36"/>
      <c r="NE26" s="36"/>
      <c r="NF26" s="36"/>
      <c r="NG26" s="36"/>
      <c r="NH26" s="36"/>
      <c r="NI26" s="14" t="str">
        <f t="shared" si="124"/>
        <v/>
      </c>
      <c r="NJ26" s="14" t="str">
        <f t="shared" si="125"/>
        <v/>
      </c>
      <c r="NK26" s="14" t="str">
        <f t="shared" si="126"/>
        <v/>
      </c>
      <c r="NL26" s="14" t="str">
        <f t="shared" si="127"/>
        <v/>
      </c>
      <c r="NM26" s="14" t="str">
        <f t="shared" si="128"/>
        <v/>
      </c>
      <c r="NN26" s="14" t="str">
        <f t="shared" si="129"/>
        <v/>
      </c>
      <c r="NO26" s="14" t="str">
        <f t="shared" si="130"/>
        <v/>
      </c>
      <c r="NP26" s="61">
        <f t="shared" si="131"/>
        <v>7.45</v>
      </c>
      <c r="NQ26" s="61">
        <f t="shared" si="132"/>
        <v>4.2</v>
      </c>
      <c r="NR26" s="61">
        <f t="shared" si="133"/>
        <v>0.4</v>
      </c>
      <c r="NS26" s="61">
        <f t="shared" si="134"/>
        <v>6.2050000000000001</v>
      </c>
      <c r="NT26" s="61">
        <f t="shared" si="135"/>
        <v>0</v>
      </c>
      <c r="NU26" s="61">
        <f t="shared" si="136"/>
        <v>0.7</v>
      </c>
      <c r="NV26" s="61">
        <f t="shared" si="137"/>
        <v>0.45</v>
      </c>
      <c r="NW26" s="61">
        <f t="shared" si="138"/>
        <v>0.75</v>
      </c>
      <c r="NX26" s="61">
        <f t="shared" si="139"/>
        <v>0.72750000000000004</v>
      </c>
      <c r="NY26" s="61">
        <f t="shared" si="140"/>
        <v>0.1</v>
      </c>
      <c r="NZ26" s="61">
        <f t="shared" si="141"/>
        <v>0</v>
      </c>
      <c r="OA26" s="61">
        <f t="shared" si="142"/>
        <v>0</v>
      </c>
      <c r="OB26" s="61">
        <f t="shared" si="143"/>
        <v>0</v>
      </c>
      <c r="OC26" s="61">
        <f t="shared" si="144"/>
        <v>0</v>
      </c>
      <c r="OD26" s="61">
        <f t="shared" si="145"/>
        <v>0</v>
      </c>
      <c r="OE26" s="61">
        <f t="shared" si="146"/>
        <v>0</v>
      </c>
      <c r="OF26" s="61">
        <f t="shared" si="147"/>
        <v>0</v>
      </c>
      <c r="OG26" s="61">
        <f t="shared" si="148"/>
        <v>0</v>
      </c>
      <c r="OH26" s="61">
        <f t="shared" si="149"/>
        <v>0</v>
      </c>
      <c r="OI26" s="61">
        <f t="shared" si="150"/>
        <v>0</v>
      </c>
      <c r="OJ26" s="72" t="s">
        <v>52</v>
      </c>
      <c r="OK26" s="11">
        <f t="shared" si="151"/>
        <v>18.255000000000003</v>
      </c>
      <c r="OL26" s="11">
        <f t="shared" si="152"/>
        <v>0.75</v>
      </c>
      <c r="OM26" s="11">
        <f t="shared" si="153"/>
        <v>2.5274999999999999</v>
      </c>
      <c r="ON26" s="11" t="str">
        <f t="shared" si="154"/>
        <v/>
      </c>
      <c r="OO26" s="11" t="str">
        <f t="shared" si="155"/>
        <v/>
      </c>
      <c r="OP26" s="11">
        <f t="shared" si="156"/>
        <v>20.782500000000002</v>
      </c>
      <c r="OQ26" s="11" t="str">
        <f t="shared" si="157"/>
        <v/>
      </c>
      <c r="OR26" s="11" t="str">
        <f t="shared" ref="OR26" si="192">IF(SUM(OE26:OH26)-OI26&gt;0,SUM(OE26:OH26)-OI26,"")</f>
        <v/>
      </c>
      <c r="OS26" s="11">
        <f t="shared" ref="OS26" si="193">IF(SUM(OP26,OR26)&gt;0,SUM(OP26,OR26),"")</f>
        <v>20.782500000000002</v>
      </c>
    </row>
    <row r="27" spans="1:409" x14ac:dyDescent="0.2">
      <c r="B27" s="6"/>
      <c r="D27" s="1"/>
    </row>
    <row r="28" spans="1:409" x14ac:dyDescent="0.2">
      <c r="H28" s="115"/>
      <c r="J28" s="115"/>
    </row>
    <row r="29" spans="1:409" x14ac:dyDescent="0.2">
      <c r="B29" s="62" t="s">
        <v>50</v>
      </c>
      <c r="C29" s="49"/>
      <c r="H29" s="3"/>
      <c r="AR29" s="114"/>
      <c r="AS29" s="114"/>
      <c r="AT29" s="114"/>
      <c r="AW29" s="47"/>
      <c r="AY29" s="56">
        <v>11.2</v>
      </c>
      <c r="BV29" s="114"/>
      <c r="BW29" s="114"/>
      <c r="BX29" s="114"/>
      <c r="CA29" s="47"/>
      <c r="CC29" s="56">
        <v>11.2</v>
      </c>
      <c r="CZ29" s="114"/>
      <c r="DA29" s="114"/>
      <c r="DB29" s="114"/>
      <c r="DE29" s="47"/>
      <c r="DG29" s="56">
        <v>11.2</v>
      </c>
      <c r="EA29" s="49"/>
      <c r="EE29" s="47"/>
      <c r="EG29" s="56">
        <v>11.2</v>
      </c>
      <c r="EW29" s="49"/>
      <c r="FA29" s="47"/>
      <c r="FC29" s="56">
        <v>11.2</v>
      </c>
      <c r="FS29" s="49"/>
      <c r="FW29" s="47"/>
      <c r="FY29" s="56">
        <v>11.2</v>
      </c>
      <c r="GO29" s="49"/>
      <c r="GS29" s="47"/>
      <c r="GU29" s="56">
        <v>11.2</v>
      </c>
      <c r="HK29" s="49"/>
      <c r="HO29" s="47"/>
      <c r="HQ29" s="56">
        <v>11.2</v>
      </c>
      <c r="IG29" s="49"/>
      <c r="IK29" s="47"/>
      <c r="IM29" s="56">
        <v>11.2</v>
      </c>
      <c r="JC29" s="49"/>
      <c r="JG29" s="47"/>
      <c r="JI29" s="56">
        <v>11.2</v>
      </c>
      <c r="JY29" s="49"/>
      <c r="KC29" s="47"/>
      <c r="KE29" s="56">
        <v>11.2</v>
      </c>
      <c r="KU29" s="49"/>
      <c r="KY29" s="47"/>
      <c r="LA29" s="56">
        <v>11.2</v>
      </c>
      <c r="LQ29" s="49"/>
      <c r="LU29" s="47"/>
      <c r="LW29" s="56">
        <v>11.2</v>
      </c>
      <c r="MM29" s="49"/>
      <c r="MQ29" s="47"/>
      <c r="MS29" s="56">
        <v>11.2</v>
      </c>
      <c r="NI29" s="49"/>
      <c r="NM29" s="47"/>
      <c r="NO29" s="56">
        <v>11.2</v>
      </c>
    </row>
    <row r="30" spans="1:409" hidden="1" x14ac:dyDescent="0.2">
      <c r="B30" s="83" t="s">
        <v>49</v>
      </c>
      <c r="C30" s="49"/>
      <c r="AR30" s="114"/>
      <c r="AS30" s="114"/>
      <c r="AT30" s="114"/>
      <c r="AW30" s="47"/>
      <c r="AY30" s="98">
        <v>1000</v>
      </c>
      <c r="BV30" s="114"/>
      <c r="BW30" s="114"/>
      <c r="BX30" s="114"/>
      <c r="CA30" s="47"/>
      <c r="CC30" s="98">
        <v>1000</v>
      </c>
      <c r="CZ30" s="114"/>
      <c r="DA30" s="114"/>
      <c r="DB30" s="114"/>
      <c r="DE30" s="47"/>
      <c r="DG30" s="98">
        <v>1000</v>
      </c>
      <c r="EA30" s="49"/>
      <c r="EE30" s="47"/>
      <c r="EG30" s="98">
        <v>1000</v>
      </c>
      <c r="EW30" s="49"/>
      <c r="FA30" s="47"/>
      <c r="FC30" s="98">
        <v>1000</v>
      </c>
      <c r="FS30" s="49"/>
      <c r="FW30" s="47"/>
      <c r="FY30" s="98">
        <v>1000</v>
      </c>
      <c r="GO30" s="49"/>
      <c r="GS30" s="47"/>
      <c r="GU30" s="98">
        <v>1000</v>
      </c>
      <c r="HK30" s="49"/>
      <c r="HO30" s="47"/>
      <c r="HQ30" s="98">
        <v>1000</v>
      </c>
      <c r="IG30" s="49"/>
      <c r="IK30" s="47"/>
      <c r="IM30" s="98">
        <v>1000</v>
      </c>
      <c r="JC30" s="49"/>
      <c r="JG30" s="47"/>
      <c r="JI30" s="98">
        <v>1000</v>
      </c>
      <c r="JY30" s="49"/>
      <c r="KC30" s="47"/>
      <c r="KE30" s="98">
        <v>1000</v>
      </c>
      <c r="KU30" s="49"/>
      <c r="KY30" s="47"/>
      <c r="LA30" s="98">
        <v>1000</v>
      </c>
      <c r="LQ30" s="49"/>
      <c r="LU30" s="47"/>
      <c r="LW30" s="98">
        <v>1000</v>
      </c>
      <c r="MM30" s="49"/>
      <c r="MQ30" s="47"/>
      <c r="MS30" s="98">
        <v>1000</v>
      </c>
      <c r="NI30" s="49"/>
      <c r="NM30" s="47"/>
      <c r="NO30" s="98">
        <v>1000</v>
      </c>
    </row>
    <row r="31" spans="1:409" hidden="1" x14ac:dyDescent="0.2">
      <c r="A31" s="49"/>
      <c r="B31" s="84" t="s">
        <v>62</v>
      </c>
      <c r="C31" s="49"/>
      <c r="AR31" s="114"/>
      <c r="AS31" s="114"/>
      <c r="AT31" s="114"/>
      <c r="AV31" s="47"/>
      <c r="AW31" s="47"/>
      <c r="AX31" s="47"/>
      <c r="AY31" s="86">
        <v>1000</v>
      </c>
      <c r="BV31" s="114"/>
      <c r="BW31" s="114"/>
      <c r="BX31" s="114"/>
      <c r="CA31" s="47"/>
      <c r="CC31" s="86">
        <v>1000</v>
      </c>
      <c r="CZ31" s="114"/>
      <c r="DA31" s="114"/>
      <c r="DB31" s="114"/>
      <c r="DD31" s="47"/>
      <c r="DE31" s="47"/>
      <c r="DF31" s="47"/>
      <c r="DG31" s="86">
        <v>1000</v>
      </c>
      <c r="EA31" s="49"/>
      <c r="EE31" s="47"/>
      <c r="EG31" s="86">
        <v>1000</v>
      </c>
      <c r="EW31" s="49"/>
      <c r="FA31" s="47"/>
      <c r="FC31" s="86">
        <v>1000</v>
      </c>
      <c r="FS31" s="49"/>
      <c r="FW31" s="47"/>
      <c r="FY31" s="86">
        <v>1000</v>
      </c>
      <c r="GO31" s="49"/>
      <c r="GS31" s="47"/>
      <c r="GU31" s="86">
        <v>1000</v>
      </c>
      <c r="HK31" s="49"/>
      <c r="HO31" s="47"/>
      <c r="HQ31" s="86">
        <v>1000</v>
      </c>
      <c r="IG31" s="49"/>
      <c r="IK31" s="47"/>
      <c r="IM31" s="86">
        <v>1000</v>
      </c>
      <c r="JC31" s="49"/>
      <c r="JG31" s="47"/>
      <c r="JI31" s="86">
        <v>1000</v>
      </c>
      <c r="JY31" s="49"/>
      <c r="KC31" s="47"/>
      <c r="KE31" s="86">
        <v>1000</v>
      </c>
      <c r="KU31" s="49"/>
      <c r="KY31" s="47"/>
      <c r="LA31" s="86">
        <v>1000</v>
      </c>
      <c r="LQ31" s="49"/>
      <c r="LU31" s="47"/>
      <c r="LW31" s="86">
        <v>1000</v>
      </c>
      <c r="MM31" s="49"/>
      <c r="MQ31" s="47"/>
      <c r="MS31" s="86">
        <v>1000</v>
      </c>
      <c r="NI31" s="49"/>
      <c r="NM31" s="47"/>
      <c r="NO31" s="86">
        <v>1000</v>
      </c>
    </row>
    <row r="32" spans="1:409" hidden="1" x14ac:dyDescent="0.2">
      <c r="A32" s="49"/>
      <c r="B32" s="110" t="s">
        <v>70</v>
      </c>
      <c r="C32" s="49"/>
      <c r="AR32" s="114"/>
      <c r="AS32" s="114"/>
      <c r="AT32" s="114"/>
      <c r="AV32" s="47"/>
      <c r="AW32" s="47"/>
      <c r="AX32" s="47"/>
      <c r="AY32" s="111">
        <v>1000</v>
      </c>
      <c r="BV32" s="114"/>
      <c r="BW32" s="114"/>
      <c r="BX32" s="114"/>
      <c r="CA32" s="47"/>
      <c r="CC32" s="111">
        <v>1000</v>
      </c>
      <c r="CZ32" s="114"/>
      <c r="DA32" s="114"/>
      <c r="DB32" s="114"/>
      <c r="DD32" s="47"/>
      <c r="DE32" s="47"/>
      <c r="DF32" s="47"/>
      <c r="DG32" s="111">
        <v>1000</v>
      </c>
      <c r="EA32" s="49"/>
      <c r="EE32" s="47"/>
      <c r="EG32" s="111">
        <v>1000</v>
      </c>
      <c r="EW32" s="49"/>
      <c r="FA32" s="47"/>
      <c r="FC32" s="111">
        <v>1000</v>
      </c>
      <c r="FS32" s="49"/>
      <c r="FW32" s="47"/>
      <c r="FY32" s="111">
        <v>1000</v>
      </c>
      <c r="GO32" s="49"/>
      <c r="GS32" s="47"/>
      <c r="GU32" s="111">
        <v>1000</v>
      </c>
      <c r="HK32" s="49"/>
      <c r="HO32" s="47"/>
      <c r="HQ32" s="111">
        <v>1000</v>
      </c>
      <c r="IG32" s="49"/>
      <c r="IK32" s="47"/>
      <c r="IM32" s="111">
        <v>1000</v>
      </c>
      <c r="JC32" s="49"/>
      <c r="JG32" s="47"/>
      <c r="JI32" s="111">
        <v>1000</v>
      </c>
      <c r="JY32" s="49"/>
      <c r="KC32" s="47"/>
      <c r="KE32" s="111">
        <v>1000</v>
      </c>
      <c r="KU32" s="49"/>
      <c r="KY32" s="47"/>
      <c r="LA32" s="111">
        <v>1000</v>
      </c>
      <c r="LQ32" s="49"/>
      <c r="LU32" s="47"/>
      <c r="LW32" s="111">
        <v>1000</v>
      </c>
      <c r="MM32" s="49"/>
      <c r="MQ32" s="47"/>
      <c r="MS32" s="111">
        <v>1000</v>
      </c>
      <c r="NI32" s="49"/>
      <c r="NM32" s="47"/>
      <c r="NO32" s="111">
        <v>1000</v>
      </c>
    </row>
    <row r="33" spans="1:379" x14ac:dyDescent="0.2">
      <c r="A33" s="49"/>
      <c r="B33" s="108" t="s">
        <v>47</v>
      </c>
      <c r="C33" s="49"/>
      <c r="O33" s="2"/>
      <c r="AR33" s="114"/>
      <c r="AS33" s="114"/>
      <c r="AT33" s="114"/>
      <c r="AV33" s="47"/>
      <c r="AW33" s="47"/>
      <c r="AX33" s="47"/>
      <c r="AY33" s="109">
        <v>48.3</v>
      </c>
      <c r="BV33" s="114"/>
      <c r="BW33" s="114"/>
      <c r="BX33" s="114"/>
      <c r="CA33" s="47"/>
      <c r="CC33" s="109">
        <v>48.3</v>
      </c>
      <c r="CZ33" s="114"/>
      <c r="DA33" s="114"/>
      <c r="DB33" s="114"/>
      <c r="DD33" s="47"/>
      <c r="DE33" s="47"/>
      <c r="DF33" s="47"/>
      <c r="DG33" s="109">
        <v>48.3</v>
      </c>
      <c r="EA33" s="49"/>
      <c r="EE33" s="47"/>
      <c r="EG33" s="109">
        <v>48.3</v>
      </c>
      <c r="EW33" s="49"/>
      <c r="FA33" s="47"/>
      <c r="FC33" s="109">
        <v>48.3</v>
      </c>
      <c r="FS33" s="49"/>
      <c r="FW33" s="47"/>
      <c r="FY33" s="109">
        <v>48.3</v>
      </c>
      <c r="GO33" s="49"/>
      <c r="GS33" s="47"/>
      <c r="GU33" s="109">
        <v>48.3</v>
      </c>
      <c r="HK33" s="49"/>
      <c r="HO33" s="47"/>
      <c r="HQ33" s="109">
        <v>48.3</v>
      </c>
      <c r="IG33" s="49"/>
      <c r="IK33" s="47"/>
      <c r="IM33" s="109">
        <v>48.3</v>
      </c>
      <c r="JC33" s="49"/>
      <c r="JG33" s="47"/>
      <c r="JI33" s="109">
        <v>48.3</v>
      </c>
      <c r="JY33" s="49"/>
      <c r="KC33" s="47"/>
      <c r="KE33" s="109">
        <v>48.3</v>
      </c>
      <c r="KU33" s="49"/>
      <c r="KY33" s="47"/>
      <c r="LA33" s="109">
        <v>48.3</v>
      </c>
      <c r="LQ33" s="49"/>
      <c r="LU33" s="47"/>
      <c r="LW33" s="109">
        <v>48.3</v>
      </c>
      <c r="MM33" s="49"/>
      <c r="MQ33" s="47"/>
      <c r="MS33" s="109">
        <v>48.3</v>
      </c>
      <c r="NI33" s="49"/>
      <c r="NM33" s="47"/>
      <c r="NO33" s="109">
        <v>48.3</v>
      </c>
    </row>
    <row r="34" spans="1:379" hidden="1" x14ac:dyDescent="0.2">
      <c r="A34" s="49"/>
      <c r="B34" s="64" t="s">
        <v>48</v>
      </c>
      <c r="C34" s="49"/>
      <c r="O34" s="2"/>
      <c r="AR34" s="114"/>
      <c r="AS34" s="114"/>
      <c r="AT34" s="114"/>
      <c r="AV34" s="47"/>
      <c r="AW34" s="47"/>
      <c r="AX34" s="47"/>
      <c r="AY34" s="58">
        <v>1000</v>
      </c>
      <c r="BV34" s="114"/>
      <c r="BW34" s="114"/>
      <c r="BX34" s="114"/>
      <c r="CA34" s="47"/>
      <c r="CC34" s="58">
        <v>1000</v>
      </c>
      <c r="CZ34" s="114"/>
      <c r="DA34" s="114"/>
      <c r="DB34" s="114"/>
      <c r="DD34" s="47"/>
      <c r="DE34" s="47"/>
      <c r="DF34" s="47"/>
      <c r="DG34" s="58">
        <v>1000</v>
      </c>
      <c r="EA34" s="49"/>
      <c r="EE34" s="47"/>
      <c r="EG34" s="58">
        <v>1000</v>
      </c>
      <c r="EW34" s="49"/>
      <c r="FA34" s="47"/>
      <c r="FC34" s="58">
        <v>1000</v>
      </c>
      <c r="FS34" s="49"/>
      <c r="FW34" s="47"/>
      <c r="FY34" s="58">
        <v>1000</v>
      </c>
      <c r="GO34" s="49"/>
      <c r="GS34" s="47"/>
      <c r="GU34" s="58">
        <v>1000</v>
      </c>
      <c r="HK34" s="49"/>
      <c r="HO34" s="47"/>
      <c r="HQ34" s="58">
        <v>1000</v>
      </c>
      <c r="IG34" s="49"/>
      <c r="IK34" s="47"/>
      <c r="IM34" s="58">
        <v>1000</v>
      </c>
      <c r="JC34" s="49"/>
      <c r="JG34" s="47"/>
      <c r="JI34" s="58">
        <v>1000</v>
      </c>
      <c r="JY34" s="49"/>
      <c r="KC34" s="47"/>
      <c r="KE34" s="58">
        <v>1000</v>
      </c>
      <c r="KU34" s="49"/>
      <c r="KY34" s="47"/>
      <c r="LA34" s="58">
        <v>1000</v>
      </c>
      <c r="LQ34" s="49"/>
      <c r="LU34" s="47"/>
      <c r="LW34" s="58">
        <v>1000</v>
      </c>
      <c r="MM34" s="49"/>
      <c r="MQ34" s="47"/>
      <c r="MS34" s="58">
        <v>1000</v>
      </c>
      <c r="NI34" s="49"/>
      <c r="NM34" s="47"/>
      <c r="NO34" s="58">
        <v>1000</v>
      </c>
    </row>
    <row r="35" spans="1:379" hidden="1" x14ac:dyDescent="0.2">
      <c r="A35" s="49"/>
      <c r="B35" s="106" t="s">
        <v>60</v>
      </c>
      <c r="C35" s="49"/>
      <c r="AR35" s="114"/>
      <c r="AS35" s="114"/>
      <c r="AT35" s="114"/>
      <c r="AV35" s="47"/>
      <c r="AW35" s="47"/>
      <c r="AX35" s="47"/>
      <c r="AY35" s="107">
        <v>1000</v>
      </c>
      <c r="BV35" s="114"/>
      <c r="BW35" s="114"/>
      <c r="BX35" s="114"/>
      <c r="CA35" s="47"/>
      <c r="CB35" s="117"/>
      <c r="CC35" s="107">
        <v>1000</v>
      </c>
      <c r="CZ35" s="114"/>
      <c r="DA35" s="114"/>
      <c r="DB35" s="114"/>
      <c r="DD35" s="47"/>
      <c r="DE35" s="47"/>
      <c r="DF35" s="47"/>
      <c r="DG35" s="107">
        <v>1000</v>
      </c>
      <c r="EA35" s="49"/>
      <c r="EE35" s="47"/>
      <c r="EF35" s="117"/>
      <c r="EG35" s="107">
        <v>1000</v>
      </c>
      <c r="EW35" s="49"/>
      <c r="FA35" s="47"/>
      <c r="FC35" s="107">
        <v>1000</v>
      </c>
      <c r="FS35" s="49"/>
      <c r="FW35" s="47"/>
      <c r="FY35" s="107">
        <v>1000</v>
      </c>
      <c r="GO35" s="49"/>
      <c r="GS35" s="47"/>
      <c r="GT35" s="117"/>
      <c r="GU35" s="107">
        <v>1000</v>
      </c>
      <c r="HK35" s="49"/>
      <c r="HO35" s="47"/>
      <c r="HP35" s="117"/>
      <c r="HQ35" s="107">
        <v>1000</v>
      </c>
      <c r="IG35" s="49"/>
      <c r="IK35" s="47"/>
      <c r="IL35" s="117"/>
      <c r="IM35" s="107">
        <v>1000</v>
      </c>
      <c r="JC35" s="49"/>
      <c r="JG35" s="47"/>
      <c r="JI35" s="107">
        <v>1000</v>
      </c>
      <c r="JY35" s="49"/>
      <c r="KC35" s="47"/>
      <c r="KE35" s="107">
        <v>1000</v>
      </c>
      <c r="KU35" s="49"/>
      <c r="KY35" s="47"/>
      <c r="LA35" s="107">
        <v>1000</v>
      </c>
      <c r="LQ35" s="49"/>
      <c r="LU35" s="47"/>
      <c r="LW35" s="107">
        <v>1000</v>
      </c>
      <c r="MM35" s="49"/>
      <c r="MQ35" s="47"/>
      <c r="MS35" s="107">
        <v>1000</v>
      </c>
      <c r="NI35" s="49"/>
      <c r="NM35" s="47"/>
      <c r="NO35" s="107">
        <v>1000</v>
      </c>
    </row>
    <row r="36" spans="1:379" hidden="1" x14ac:dyDescent="0.2">
      <c r="A36" s="49"/>
      <c r="B36" s="66" t="s">
        <v>34</v>
      </c>
      <c r="C36" s="49"/>
      <c r="O36" s="2"/>
      <c r="AR36" s="114"/>
      <c r="AS36" s="114"/>
      <c r="AT36" s="114"/>
      <c r="AV36" s="47"/>
      <c r="AW36" s="47"/>
      <c r="AX36" s="47"/>
      <c r="AY36" s="60">
        <v>1000</v>
      </c>
      <c r="BV36" s="114"/>
      <c r="BW36" s="114"/>
      <c r="BX36" s="114"/>
      <c r="CA36" s="47"/>
      <c r="CC36" s="60">
        <v>1000</v>
      </c>
      <c r="CZ36" s="114"/>
      <c r="DA36" s="114"/>
      <c r="DB36" s="114"/>
      <c r="DD36" s="47"/>
      <c r="DE36" s="47"/>
      <c r="DF36" s="47"/>
      <c r="DG36" s="60">
        <v>1000</v>
      </c>
      <c r="EA36" s="49"/>
      <c r="EE36" s="47"/>
      <c r="EG36" s="60">
        <v>1000</v>
      </c>
      <c r="EW36" s="49"/>
      <c r="FA36" s="47"/>
      <c r="FC36" s="60">
        <v>1000</v>
      </c>
      <c r="FS36" s="49"/>
      <c r="FW36" s="47"/>
      <c r="FY36" s="60">
        <v>1000</v>
      </c>
      <c r="GO36" s="49"/>
      <c r="GS36" s="47"/>
      <c r="GU36" s="60">
        <v>1000</v>
      </c>
      <c r="HK36" s="49"/>
      <c r="HO36" s="47"/>
      <c r="HQ36" s="60">
        <v>1000</v>
      </c>
      <c r="IG36" s="49"/>
      <c r="IK36" s="47"/>
      <c r="IL36" s="117"/>
      <c r="IM36" s="60">
        <v>1000</v>
      </c>
      <c r="JC36" s="49"/>
      <c r="JG36" s="47"/>
      <c r="JI36" s="60">
        <v>1000</v>
      </c>
      <c r="JY36" s="49"/>
      <c r="KC36" s="47"/>
      <c r="KE36" s="60">
        <v>1000</v>
      </c>
      <c r="KU36" s="49"/>
      <c r="KY36" s="47"/>
      <c r="LA36" s="60">
        <v>1000</v>
      </c>
      <c r="LQ36" s="49"/>
      <c r="LU36" s="47"/>
      <c r="LW36" s="60">
        <v>1000</v>
      </c>
      <c r="MM36" s="49"/>
      <c r="MQ36" s="47"/>
      <c r="MS36" s="60">
        <v>1000</v>
      </c>
      <c r="NI36" s="49"/>
      <c r="NM36" s="47"/>
      <c r="NO36" s="60">
        <v>1000</v>
      </c>
    </row>
    <row r="37" spans="1:379" x14ac:dyDescent="0.2">
      <c r="B37" s="74" t="s">
        <v>53</v>
      </c>
      <c r="C37" s="2"/>
      <c r="AU37" s="47"/>
      <c r="AV37" s="47"/>
      <c r="AX37" s="47"/>
      <c r="DC37" s="47"/>
      <c r="DD37" s="47"/>
      <c r="DF37" s="47"/>
      <c r="EX37" s="47"/>
    </row>
    <row r="38" spans="1:379" x14ac:dyDescent="0.2">
      <c r="A38" s="49"/>
      <c r="B38" s="49"/>
      <c r="C38" s="48"/>
      <c r="AQ38" s="47"/>
      <c r="AR38" s="47"/>
      <c r="AS38" s="47"/>
      <c r="AT38" s="47"/>
      <c r="AU38" s="47"/>
      <c r="AV38" s="47"/>
      <c r="AX38" s="47"/>
      <c r="CY38" s="47"/>
      <c r="CZ38" s="47"/>
      <c r="DA38" s="47"/>
      <c r="DB38" s="47"/>
      <c r="DC38" s="47"/>
      <c r="DD38" s="47"/>
      <c r="DF38" s="47"/>
    </row>
    <row r="39" spans="1:379" ht="17" x14ac:dyDescent="0.2">
      <c r="A39" s="49"/>
      <c r="B39" s="49"/>
      <c r="C39" s="48"/>
      <c r="S39" s="18"/>
      <c r="T39" s="18"/>
      <c r="AQ39" s="47"/>
      <c r="AR39" s="47"/>
      <c r="AS39" s="47"/>
      <c r="AT39" s="47"/>
      <c r="AU39" s="47"/>
      <c r="AV39" s="47"/>
      <c r="AX39" s="47"/>
      <c r="CY39" s="47"/>
      <c r="CZ39" s="47"/>
      <c r="DA39" s="47"/>
      <c r="DB39" s="47"/>
      <c r="DC39" s="47"/>
      <c r="DD39" s="47"/>
      <c r="DF39" s="47"/>
    </row>
    <row r="40" spans="1:379" ht="17" x14ac:dyDescent="0.2">
      <c r="A40" s="49"/>
      <c r="B40" s="49"/>
      <c r="C40" s="48"/>
      <c r="S40" s="18"/>
      <c r="AQ40" s="47"/>
      <c r="AR40" s="47"/>
      <c r="AS40" s="47"/>
      <c r="AT40" s="47"/>
      <c r="AU40" s="47"/>
      <c r="AV40" s="47"/>
      <c r="AX40" s="47"/>
      <c r="CY40" s="47"/>
      <c r="CZ40" s="47"/>
      <c r="DA40" s="47"/>
      <c r="DB40" s="47"/>
      <c r="DC40" s="47"/>
      <c r="DD40" s="47"/>
      <c r="DF40" s="47"/>
    </row>
    <row r="41" spans="1:379" ht="17" x14ac:dyDescent="0.2">
      <c r="S41" s="18"/>
      <c r="T41" s="18"/>
      <c r="AQ41" s="47"/>
      <c r="AR41" s="47"/>
      <c r="AS41" s="47"/>
      <c r="AT41" s="47"/>
      <c r="AU41" s="47"/>
      <c r="AV41" s="47"/>
      <c r="AX41" s="47"/>
      <c r="CY41" s="47"/>
      <c r="CZ41" s="47"/>
      <c r="DA41" s="47"/>
      <c r="DB41" s="47"/>
      <c r="DC41" s="47"/>
      <c r="DD41" s="47"/>
      <c r="DF41" s="47"/>
    </row>
    <row r="42" spans="1:379" ht="17" x14ac:dyDescent="0.2">
      <c r="S42" s="18"/>
      <c r="T42" s="18"/>
      <c r="AQ42" s="47"/>
      <c r="AR42" s="47"/>
      <c r="AS42" s="47"/>
      <c r="AT42" s="47"/>
      <c r="AU42" s="47"/>
      <c r="AV42" s="47"/>
      <c r="AX42" s="47"/>
      <c r="CY42" s="47"/>
      <c r="CZ42" s="47"/>
      <c r="DA42" s="47"/>
      <c r="DB42" s="47"/>
      <c r="DC42" s="47"/>
      <c r="DD42" s="47"/>
      <c r="DF42" s="47"/>
    </row>
    <row r="43" spans="1:379" ht="17" x14ac:dyDescent="0.2">
      <c r="S43" s="18"/>
      <c r="T43" s="18"/>
      <c r="AQ43" s="47"/>
      <c r="AR43" s="47"/>
      <c r="AS43" s="47"/>
      <c r="AT43" s="47"/>
      <c r="AU43" s="47"/>
      <c r="AV43" s="47"/>
      <c r="AX43" s="47"/>
      <c r="CY43" s="47"/>
      <c r="CZ43" s="47"/>
      <c r="DA43" s="47"/>
      <c r="DB43" s="47"/>
      <c r="DC43" s="47"/>
      <c r="DD43" s="47"/>
      <c r="DF43" s="47"/>
    </row>
    <row r="44" spans="1:379" ht="17" x14ac:dyDescent="0.2">
      <c r="S44" s="18"/>
      <c r="T44" s="18"/>
      <c r="U44" s="18"/>
    </row>
    <row r="45" spans="1:379" ht="17" x14ac:dyDescent="0.2">
      <c r="S45" s="18"/>
      <c r="T45" s="18"/>
      <c r="U45" s="18"/>
    </row>
    <row r="46" spans="1:379" ht="17" x14ac:dyDescent="0.2">
      <c r="S46" s="18"/>
      <c r="T46" s="18"/>
      <c r="U46" s="18"/>
    </row>
    <row r="47" spans="1:379" ht="17" x14ac:dyDescent="0.2">
      <c r="S47" s="18"/>
      <c r="T47" s="18"/>
      <c r="U47" s="18"/>
    </row>
    <row r="48" spans="1:379" ht="17" x14ac:dyDescent="0.2">
      <c r="S48" s="18"/>
      <c r="T48" s="18"/>
      <c r="U48" s="18"/>
    </row>
    <row r="49" spans="19:21" ht="17" x14ac:dyDescent="0.2">
      <c r="S49" s="18"/>
      <c r="T49" s="18"/>
      <c r="U49" s="18"/>
    </row>
    <row r="50" spans="19:21" ht="17" x14ac:dyDescent="0.2">
      <c r="S50" s="18"/>
      <c r="T50" s="18"/>
      <c r="U50" s="18"/>
    </row>
    <row r="51" spans="19:21" ht="17" x14ac:dyDescent="0.2">
      <c r="S51" s="18"/>
      <c r="T51" s="18"/>
      <c r="U51" s="18"/>
    </row>
    <row r="52" spans="19:21" ht="17" x14ac:dyDescent="0.2">
      <c r="S52" s="18"/>
      <c r="T52" s="18"/>
      <c r="U52" s="18"/>
    </row>
    <row r="53" spans="19:21" ht="17" x14ac:dyDescent="0.2">
      <c r="S53" s="18"/>
      <c r="T53" s="18"/>
      <c r="U53" s="18"/>
    </row>
    <row r="54" spans="19:21" ht="17" x14ac:dyDescent="0.2">
      <c r="S54" s="18"/>
      <c r="T54" s="18"/>
      <c r="U54" s="18"/>
    </row>
    <row r="55" spans="19:21" ht="17" x14ac:dyDescent="0.2">
      <c r="S55" s="18"/>
      <c r="T55" s="18"/>
      <c r="U55" s="18"/>
    </row>
    <row r="56" spans="19:21" ht="17" x14ac:dyDescent="0.2">
      <c r="S56" s="18"/>
      <c r="T56" s="18"/>
      <c r="U56" s="18"/>
    </row>
    <row r="57" spans="19:21" ht="17" x14ac:dyDescent="0.2">
      <c r="S57" s="18"/>
      <c r="T57" s="18"/>
      <c r="U57" s="18"/>
    </row>
    <row r="58" spans="19:21" ht="17" x14ac:dyDescent="0.2">
      <c r="S58" s="18"/>
      <c r="T58" s="18"/>
      <c r="U58" s="18"/>
    </row>
  </sheetData>
  <sheetProtection sheet="1" formatCells="0" formatColumns="0" formatRows="0"/>
  <autoFilter ref="A1:OQ9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6:OQ26">
      <sortCondition descending="1" ref="F1:F27"/>
    </sortState>
  </autoFilter>
  <mergeCells count="90">
    <mergeCell ref="NP2:NT2"/>
    <mergeCell ref="NU2:NY2"/>
    <mergeCell ref="NZ2:OD2"/>
    <mergeCell ref="OE2:OI2"/>
    <mergeCell ref="LX2:MB2"/>
    <mergeCell ref="MC2:MG2"/>
    <mergeCell ref="MH2:ML2"/>
    <mergeCell ref="MT2:MX2"/>
    <mergeCell ref="MY2:NC2"/>
    <mergeCell ref="ND2:NH2"/>
    <mergeCell ref="LL2:LP2"/>
    <mergeCell ref="IN2:IR2"/>
    <mergeCell ref="IS2:IW2"/>
    <mergeCell ref="IX2:JB2"/>
    <mergeCell ref="JJ2:JN2"/>
    <mergeCell ref="JO2:JS2"/>
    <mergeCell ref="JT2:JX2"/>
    <mergeCell ref="KF2:KJ2"/>
    <mergeCell ref="KK2:KO2"/>
    <mergeCell ref="KP2:KT2"/>
    <mergeCell ref="LB2:LF2"/>
    <mergeCell ref="LG2:LK2"/>
    <mergeCell ref="IB2:IF2"/>
    <mergeCell ref="FD2:FH2"/>
    <mergeCell ref="FI2:FM2"/>
    <mergeCell ref="FN2:FR2"/>
    <mergeCell ref="FZ2:GD2"/>
    <mergeCell ref="GE2:GI2"/>
    <mergeCell ref="GJ2:GN2"/>
    <mergeCell ref="GV2:GZ2"/>
    <mergeCell ref="HA2:HE2"/>
    <mergeCell ref="HF2:HJ2"/>
    <mergeCell ref="HR2:HV2"/>
    <mergeCell ref="HW2:IA2"/>
    <mergeCell ref="DL2:DP2"/>
    <mergeCell ref="DQ2:DU2"/>
    <mergeCell ref="DV2:DZ2"/>
    <mergeCell ref="EH2:EL2"/>
    <mergeCell ref="EM2:EQ2"/>
    <mergeCell ref="ER2:EV2"/>
    <mergeCell ref="MT1:NO1"/>
    <mergeCell ref="NP1:OQ1"/>
    <mergeCell ref="V2:Z2"/>
    <mergeCell ref="AA2:AE2"/>
    <mergeCell ref="AF2:AJ2"/>
    <mergeCell ref="AK2:AO2"/>
    <mergeCell ref="AZ2:BD2"/>
    <mergeCell ref="BE2:BI2"/>
    <mergeCell ref="BJ2:BN2"/>
    <mergeCell ref="BO2:BS2"/>
    <mergeCell ref="HR1:IM1"/>
    <mergeCell ref="IN1:JI1"/>
    <mergeCell ref="JJ1:KE1"/>
    <mergeCell ref="KF1:LA1"/>
    <mergeCell ref="LB1:LW1"/>
    <mergeCell ref="LX1:MS1"/>
    <mergeCell ref="DH1:DK1"/>
    <mergeCell ref="DL1:EG1"/>
    <mergeCell ref="EH1:FC1"/>
    <mergeCell ref="FD1:FY1"/>
    <mergeCell ref="FZ1:GU1"/>
    <mergeCell ref="GV1:HQ1"/>
    <mergeCell ref="S1:S3"/>
    <mergeCell ref="T1:T3"/>
    <mergeCell ref="U1:U3"/>
    <mergeCell ref="V1:AY1"/>
    <mergeCell ref="AZ1:CC1"/>
    <mergeCell ref="CD1:DG1"/>
    <mergeCell ref="CD2:CH2"/>
    <mergeCell ref="CI2:CM2"/>
    <mergeCell ref="CN2:CR2"/>
    <mergeCell ref="CS2:CW2"/>
    <mergeCell ref="R1:R3"/>
    <mergeCell ref="G1:G3"/>
    <mergeCell ref="H1:H3"/>
    <mergeCell ref="I1:I3"/>
    <mergeCell ref="J1:J3"/>
    <mergeCell ref="K1:K3"/>
    <mergeCell ref="L1:L3"/>
    <mergeCell ref="M1:M3"/>
    <mergeCell ref="N1:N3"/>
    <mergeCell ref="O1:O3"/>
    <mergeCell ref="P1:P3"/>
    <mergeCell ref="Q1:Q3"/>
    <mergeCell ref="F1:F3"/>
    <mergeCell ref="A1:A3"/>
    <mergeCell ref="B1:B3"/>
    <mergeCell ref="C1:C3"/>
    <mergeCell ref="D1:D3"/>
    <mergeCell ref="E1:E3"/>
  </mergeCells>
  <conditionalFormatting sqref="I1:I1048576">
    <cfRule type="containsText" dxfId="110" priority="4" operator="containsText" text="No DD">
      <formula>NOT(ISERROR(SEARCH("No DD",I1)))</formula>
    </cfRule>
    <cfRule type="containsText" dxfId="109" priority="5" operator="containsText" text="Merit">
      <formula>NOT(ISERROR(SEARCH("Merit",I1)))</formula>
    </cfRule>
    <cfRule type="containsText" dxfId="108" priority="6" operator="containsText" text="Excellence">
      <formula>NOT(ISERROR(SEARCH("Excellence",I1)))</formula>
    </cfRule>
    <cfRule type="containsText" dxfId="107" priority="7" operator="containsText" text="Worlds Team">
      <formula>NOT(ISERROR(SEARCH("Worlds Team",I1)))</formula>
    </cfRule>
    <cfRule type="containsText" dxfId="106" priority="8" operator="containsText" text="National Team">
      <formula>NOT(ISERROR(SEARCH("National Team",I1)))</formula>
    </cfRule>
  </conditionalFormatting>
  <conditionalFormatting sqref="V4:AY26">
    <cfRule type="expression" dxfId="105" priority="1" stopIfTrue="1">
      <formula>IF($AP4&lt;&gt;"",1,0)</formula>
    </cfRule>
  </conditionalFormatting>
  <conditionalFormatting sqref="AZ4:CC26">
    <cfRule type="expression" dxfId="104" priority="2" stopIfTrue="1">
      <formula>IF($BT4&lt;&gt;"",1,0)</formula>
    </cfRule>
  </conditionalFormatting>
  <conditionalFormatting sqref="N1:N1048576 L1:L1048576 P1:P1048576 R1:R1048576">
    <cfRule type="expression" dxfId="103" priority="9">
      <formula>IF(L1=$CD$1,1,0)</formula>
    </cfRule>
    <cfRule type="expression" dxfId="102" priority="10">
      <formula>IF(L1=$AZ$1,1,0)</formula>
    </cfRule>
    <cfRule type="expression" dxfId="101" priority="11">
      <formula>IF(L1=$V$1,1,0)</formula>
    </cfRule>
  </conditionalFormatting>
  <conditionalFormatting sqref="A1:A1048576">
    <cfRule type="expression" dxfId="100" priority="12">
      <formula>AND(H1&lt;&gt;"",G1="")</formula>
    </cfRule>
  </conditionalFormatting>
  <conditionalFormatting sqref="CD4:DG26">
    <cfRule type="expression" dxfId="99" priority="3" stopIfTrue="1">
      <formula>IF($CX4&lt;&gt;"",1,0)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98" priority="44269" operator="between">
      <formula>AY$33</formula>
      <formula>1000</formula>
    </cfRule>
  </conditionalFormatting>
  <conditionalFormatting sqref="AX1:AX1048576 CB1:CB1048576 DF1:DF1048576 EF1:EF1048576 FB1:FB1048576 FX1:FX1048576 GT1:GT1048576 HP1:HP1048576 IL1:IL1048576 JH1:JH1048576 KD1:KD1048576 KZ1:KZ1048576 LV1:LV1048576 MR1:MR1048576 NN1:NN1048576">
    <cfRule type="cellIs" dxfId="97" priority="44314" operator="between">
      <formula>AY$33</formula>
      <formula>1000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96" priority="44359" operator="between">
      <formula>EG$32</formula>
      <formula>1000</formula>
    </cfRule>
    <cfRule type="cellIs" dxfId="95" priority="44360" operator="between">
      <formula>EG$31</formula>
      <formula>EG$32</formula>
    </cfRule>
    <cfRule type="cellIs" dxfId="94" priority="44361" operator="between">
      <formula>EG$30</formula>
      <formula>EG$31</formula>
    </cfRule>
    <cfRule type="cellIs" dxfId="93" priority="44362" operator="between">
      <formula>EG$29</formula>
      <formula>EG$30</formula>
    </cfRule>
  </conditionalFormatting>
  <conditionalFormatting sqref="AR1:AR1048576 BV1:BV1048576 CZ1:CZ1048576">
    <cfRule type="cellIs" dxfId="92" priority="44503" operator="between">
      <formula>AY$32</formula>
      <formula>1000</formula>
    </cfRule>
    <cfRule type="cellIs" dxfId="91" priority="44504" operator="between">
      <formula>AY$31</formula>
      <formula>AY$32</formula>
    </cfRule>
    <cfRule type="cellIs" dxfId="90" priority="44505" operator="between">
      <formula>AY$30</formula>
      <formula>AY$31</formula>
    </cfRule>
    <cfRule type="cellIs" dxfId="89" priority="44506" operator="between">
      <formula>AY$29</formula>
      <formula>AY$30</formula>
    </cfRule>
  </conditionalFormatting>
  <conditionalFormatting sqref="AS1:AS1048576 BW1:BW1048576 DA1:DA1048576">
    <cfRule type="cellIs" dxfId="88" priority="44539" operator="between">
      <formula>AY$33</formula>
      <formula>1000</formula>
    </cfRule>
  </conditionalFormatting>
  <conditionalFormatting sqref="AT1:AT1048576 BX1:BX1048576 DB1:DB1048576">
    <cfRule type="cellIs" dxfId="87" priority="44548" operator="between">
      <formula>AY$32</formula>
      <formula>1000</formula>
    </cfRule>
    <cfRule type="cellIs" dxfId="86" priority="44549" operator="between">
      <formula>AY$31</formula>
      <formula>AY$32</formula>
    </cfRule>
    <cfRule type="cellIs" dxfId="85" priority="44550" operator="between">
      <formula>AY$30</formula>
      <formula>AY$31</formula>
    </cfRule>
    <cfRule type="cellIs" dxfId="84" priority="44551" operator="between">
      <formula>AY$29</formula>
      <formula>AY$30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83" priority="44584" operator="between">
      <formula>AY$32</formula>
      <formula>1000</formula>
    </cfRule>
    <cfRule type="cellIs" dxfId="82" priority="44585" operator="between">
      <formula>AY$31</formula>
      <formula>AY$32</formula>
    </cfRule>
    <cfRule type="cellIs" dxfId="81" priority="44586" operator="between">
      <formula>AY$30</formula>
      <formula>AY$31</formula>
    </cfRule>
    <cfRule type="cellIs" dxfId="80" priority="44587" operator="between">
      <formula>AY$29</formula>
      <formula>AY$30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MT4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8" max="8" width="13.33203125" style="116" bestFit="1" customWidth="1"/>
    <col min="9" max="9" width="15.1640625" hidden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2" width="10.83203125" customWidth="1"/>
    <col min="83" max="84" width="14.33203125" customWidth="1"/>
    <col min="85" max="358" width="10.83203125" hidden="1" customWidth="1"/>
    <col min="359" max="381" width="10.83203125" customWidth="1"/>
  </cols>
  <sheetData>
    <row r="1" spans="1:358" ht="16" customHeight="1" x14ac:dyDescent="0.2">
      <c r="A1" s="123" t="s">
        <v>1</v>
      </c>
      <c r="B1" s="123" t="s">
        <v>25</v>
      </c>
      <c r="C1" s="123" t="s">
        <v>0</v>
      </c>
      <c r="D1" s="123" t="s">
        <v>54</v>
      </c>
      <c r="E1" s="123" t="s">
        <v>2</v>
      </c>
      <c r="F1" s="132" t="s">
        <v>59</v>
      </c>
      <c r="G1" s="132" t="s">
        <v>8</v>
      </c>
      <c r="H1" s="123" t="s">
        <v>9</v>
      </c>
      <c r="I1" s="132" t="s">
        <v>119</v>
      </c>
      <c r="J1" s="128" t="s">
        <v>10</v>
      </c>
      <c r="K1" s="128" t="s">
        <v>32</v>
      </c>
      <c r="L1" s="128" t="s">
        <v>12</v>
      </c>
      <c r="M1" s="128" t="s">
        <v>32</v>
      </c>
      <c r="N1" s="127" t="s">
        <v>13</v>
      </c>
      <c r="O1" s="128" t="s">
        <v>33</v>
      </c>
      <c r="P1" s="128" t="s">
        <v>32</v>
      </c>
      <c r="Q1" s="124" t="s">
        <v>69</v>
      </c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6" t="s">
        <v>120</v>
      </c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4" t="s">
        <v>135</v>
      </c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30" t="s">
        <v>13</v>
      </c>
      <c r="CF1" s="130"/>
      <c r="CG1" s="124"/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4"/>
      <c r="DB1" s="126"/>
      <c r="DC1" s="126"/>
      <c r="DD1" s="126"/>
      <c r="DE1" s="126"/>
      <c r="DF1" s="126"/>
      <c r="DG1" s="126"/>
      <c r="DH1" s="126"/>
      <c r="DI1" s="126"/>
      <c r="DJ1" s="126"/>
      <c r="DK1" s="126"/>
      <c r="DL1" s="126"/>
      <c r="DM1" s="126"/>
      <c r="DN1" s="126"/>
      <c r="DO1" s="126"/>
      <c r="DP1" s="126"/>
      <c r="DQ1" s="126"/>
      <c r="DR1" s="126"/>
      <c r="DS1" s="126"/>
      <c r="DT1" s="126"/>
      <c r="DU1" s="126"/>
      <c r="DV1" s="126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4"/>
      <c r="EI1" s="124"/>
      <c r="EJ1" s="124"/>
      <c r="EK1" s="124"/>
      <c r="EL1" s="124"/>
      <c r="EM1" s="124"/>
      <c r="EN1" s="124"/>
      <c r="EO1" s="124"/>
      <c r="EP1" s="124"/>
      <c r="EQ1" s="124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6"/>
      <c r="FE1" s="126"/>
      <c r="FF1" s="126"/>
      <c r="FG1" s="126"/>
      <c r="FH1" s="126"/>
      <c r="FI1" s="126"/>
      <c r="FJ1" s="126"/>
      <c r="FK1" s="126"/>
      <c r="FL1" s="126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4"/>
      <c r="GA1" s="124"/>
      <c r="GB1" s="124"/>
      <c r="GC1" s="124"/>
      <c r="GD1" s="124"/>
      <c r="GE1" s="124"/>
      <c r="GF1" s="124"/>
      <c r="GG1" s="124"/>
      <c r="GH1" s="126"/>
      <c r="GI1" s="126"/>
      <c r="GJ1" s="126"/>
      <c r="GK1" s="126"/>
      <c r="GL1" s="126"/>
      <c r="GM1" s="126"/>
      <c r="GN1" s="126"/>
      <c r="GO1" s="126"/>
      <c r="GP1" s="126"/>
      <c r="GQ1" s="126"/>
      <c r="GR1" s="126"/>
      <c r="GS1" s="126"/>
      <c r="GT1" s="126"/>
      <c r="GU1" s="126"/>
      <c r="GV1" s="126"/>
      <c r="GW1" s="126"/>
      <c r="GX1" s="126"/>
      <c r="GY1" s="126"/>
      <c r="GZ1" s="126"/>
      <c r="HA1" s="126"/>
      <c r="HB1" s="126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4"/>
      <c r="HS1" s="124"/>
      <c r="HT1" s="124"/>
      <c r="HU1" s="124"/>
      <c r="HV1" s="124"/>
      <c r="HW1" s="124"/>
      <c r="HX1" s="126"/>
      <c r="HY1" s="126"/>
      <c r="HZ1" s="126"/>
      <c r="IA1" s="126"/>
      <c r="IB1" s="126"/>
      <c r="IC1" s="126"/>
      <c r="ID1" s="126"/>
      <c r="IE1" s="126"/>
      <c r="IF1" s="126"/>
      <c r="IG1" s="126"/>
      <c r="IH1" s="126"/>
      <c r="II1" s="126"/>
      <c r="IJ1" s="126"/>
      <c r="IK1" s="126"/>
      <c r="IL1" s="126"/>
      <c r="IM1" s="126"/>
      <c r="IN1" s="126"/>
      <c r="IO1" s="126"/>
      <c r="IP1" s="126"/>
      <c r="IQ1" s="126"/>
      <c r="IR1" s="126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4"/>
      <c r="JK1" s="124"/>
      <c r="JL1" s="124"/>
      <c r="JM1" s="124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6"/>
      <c r="KG1" s="126"/>
      <c r="KH1" s="126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4"/>
      <c r="LC1" s="124"/>
      <c r="LD1" s="126"/>
      <c r="LE1" s="126"/>
      <c r="LF1" s="126"/>
      <c r="LG1" s="126"/>
      <c r="LH1" s="126"/>
      <c r="LI1" s="126"/>
      <c r="LJ1" s="126"/>
      <c r="LK1" s="126"/>
      <c r="LL1" s="126"/>
      <c r="LM1" s="126"/>
      <c r="LN1" s="126"/>
      <c r="LO1" s="126"/>
      <c r="LP1" s="126"/>
      <c r="LQ1" s="126"/>
      <c r="LR1" s="126"/>
      <c r="LS1" s="126"/>
      <c r="LT1" s="126"/>
      <c r="LU1" s="126"/>
      <c r="LV1" s="126"/>
      <c r="LW1" s="126"/>
      <c r="LX1" s="126"/>
      <c r="LY1" s="124" t="s">
        <v>63</v>
      </c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4"/>
    </row>
    <row r="2" spans="1:358" x14ac:dyDescent="0.2">
      <c r="A2" s="123"/>
      <c r="B2" s="123"/>
      <c r="C2" s="123"/>
      <c r="D2" s="123"/>
      <c r="E2" s="123"/>
      <c r="F2" s="132"/>
      <c r="G2" s="132"/>
      <c r="H2" s="123"/>
      <c r="I2" s="132"/>
      <c r="J2" s="128"/>
      <c r="K2" s="128"/>
      <c r="L2" s="128"/>
      <c r="M2" s="128"/>
      <c r="N2" s="127"/>
      <c r="O2" s="128"/>
      <c r="P2" s="128"/>
      <c r="Q2" s="122" t="s">
        <v>26</v>
      </c>
      <c r="R2" s="122"/>
      <c r="S2" s="122"/>
      <c r="T2" s="122"/>
      <c r="U2" s="122" t="s">
        <v>29</v>
      </c>
      <c r="V2" s="122"/>
      <c r="W2" s="122"/>
      <c r="X2" s="122"/>
      <c r="Y2" s="122" t="s">
        <v>30</v>
      </c>
      <c r="Z2" s="122"/>
      <c r="AA2" s="122"/>
      <c r="AB2" s="122"/>
      <c r="AC2" s="131" t="s">
        <v>31</v>
      </c>
      <c r="AD2" s="131"/>
      <c r="AE2" s="131"/>
      <c r="AF2" s="131"/>
      <c r="AG2" s="70"/>
      <c r="AH2" s="51" t="s">
        <v>24</v>
      </c>
      <c r="AI2" s="9" t="s">
        <v>23</v>
      </c>
      <c r="AJ2" s="9" t="s">
        <v>64</v>
      </c>
      <c r="AK2" s="9" t="s">
        <v>22</v>
      </c>
      <c r="AL2" s="9" t="s">
        <v>17</v>
      </c>
      <c r="AM2" s="125" t="s">
        <v>26</v>
      </c>
      <c r="AN2" s="125"/>
      <c r="AO2" s="125"/>
      <c r="AP2" s="125"/>
      <c r="AQ2" s="125" t="s">
        <v>29</v>
      </c>
      <c r="AR2" s="125"/>
      <c r="AS2" s="125"/>
      <c r="AT2" s="125"/>
      <c r="AU2" s="125" t="s">
        <v>30</v>
      </c>
      <c r="AV2" s="125"/>
      <c r="AW2" s="125"/>
      <c r="AX2" s="125"/>
      <c r="AY2" s="133" t="s">
        <v>31</v>
      </c>
      <c r="AZ2" s="133"/>
      <c r="BA2" s="133"/>
      <c r="BB2" s="133"/>
      <c r="BC2" s="71"/>
      <c r="BD2" s="50" t="s">
        <v>24</v>
      </c>
      <c r="BE2" s="12" t="s">
        <v>23</v>
      </c>
      <c r="BF2" s="12" t="s">
        <v>64</v>
      </c>
      <c r="BG2" s="12" t="s">
        <v>22</v>
      </c>
      <c r="BH2" s="12" t="s">
        <v>17</v>
      </c>
      <c r="BI2" s="122" t="s">
        <v>26</v>
      </c>
      <c r="BJ2" s="122"/>
      <c r="BK2" s="122"/>
      <c r="BL2" s="122"/>
      <c r="BM2" s="122" t="s">
        <v>29</v>
      </c>
      <c r="BN2" s="122"/>
      <c r="BO2" s="122"/>
      <c r="BP2" s="122"/>
      <c r="BQ2" s="122" t="s">
        <v>30</v>
      </c>
      <c r="BR2" s="122"/>
      <c r="BS2" s="122"/>
      <c r="BT2" s="122"/>
      <c r="BU2" s="131" t="s">
        <v>31</v>
      </c>
      <c r="BV2" s="131"/>
      <c r="BW2" s="131"/>
      <c r="BX2" s="131"/>
      <c r="BY2" s="101"/>
      <c r="BZ2" s="101" t="s">
        <v>24</v>
      </c>
      <c r="CA2" s="9" t="s">
        <v>23</v>
      </c>
      <c r="CB2" s="9" t="s">
        <v>64</v>
      </c>
      <c r="CC2" s="9" t="s">
        <v>22</v>
      </c>
      <c r="CD2" s="9" t="s">
        <v>17</v>
      </c>
      <c r="CE2" s="21" t="s">
        <v>23</v>
      </c>
      <c r="CF2" s="21" t="s">
        <v>22</v>
      </c>
      <c r="CG2" s="122" t="s">
        <v>26</v>
      </c>
      <c r="CH2" s="122"/>
      <c r="CI2" s="122"/>
      <c r="CJ2" s="122"/>
      <c r="CK2" s="122" t="s">
        <v>29</v>
      </c>
      <c r="CL2" s="122"/>
      <c r="CM2" s="122"/>
      <c r="CN2" s="122"/>
      <c r="CO2" s="122" t="s">
        <v>30</v>
      </c>
      <c r="CP2" s="122"/>
      <c r="CQ2" s="122"/>
      <c r="CR2" s="122"/>
      <c r="CS2" s="134" t="s">
        <v>31</v>
      </c>
      <c r="CT2" s="134"/>
      <c r="CU2" s="134"/>
      <c r="CV2" s="134"/>
      <c r="CW2" s="51" t="s">
        <v>24</v>
      </c>
      <c r="CX2" s="9" t="s">
        <v>23</v>
      </c>
      <c r="CY2" s="9" t="s">
        <v>64</v>
      </c>
      <c r="CZ2" s="9" t="s">
        <v>22</v>
      </c>
      <c r="DA2" s="9" t="s">
        <v>17</v>
      </c>
      <c r="DB2" s="125" t="s">
        <v>26</v>
      </c>
      <c r="DC2" s="125"/>
      <c r="DD2" s="125"/>
      <c r="DE2" s="125"/>
      <c r="DF2" s="125" t="s">
        <v>29</v>
      </c>
      <c r="DG2" s="125"/>
      <c r="DH2" s="125"/>
      <c r="DI2" s="125"/>
      <c r="DJ2" s="125" t="s">
        <v>30</v>
      </c>
      <c r="DK2" s="125"/>
      <c r="DL2" s="125"/>
      <c r="DM2" s="125"/>
      <c r="DN2" s="133" t="s">
        <v>31</v>
      </c>
      <c r="DO2" s="133"/>
      <c r="DP2" s="133"/>
      <c r="DQ2" s="133"/>
      <c r="DR2" s="50" t="s">
        <v>24</v>
      </c>
      <c r="DS2" s="12" t="s">
        <v>23</v>
      </c>
      <c r="DT2" s="12" t="s">
        <v>64</v>
      </c>
      <c r="DU2" s="12" t="s">
        <v>22</v>
      </c>
      <c r="DV2" s="12" t="s">
        <v>17</v>
      </c>
      <c r="DW2" s="122" t="s">
        <v>26</v>
      </c>
      <c r="DX2" s="122"/>
      <c r="DY2" s="122"/>
      <c r="DZ2" s="122"/>
      <c r="EA2" s="122" t="s">
        <v>29</v>
      </c>
      <c r="EB2" s="122"/>
      <c r="EC2" s="122"/>
      <c r="ED2" s="122"/>
      <c r="EE2" s="122" t="s">
        <v>30</v>
      </c>
      <c r="EF2" s="122"/>
      <c r="EG2" s="122"/>
      <c r="EH2" s="122"/>
      <c r="EI2" s="134" t="s">
        <v>31</v>
      </c>
      <c r="EJ2" s="134"/>
      <c r="EK2" s="134"/>
      <c r="EL2" s="134"/>
      <c r="EM2" s="51" t="s">
        <v>24</v>
      </c>
      <c r="EN2" s="9" t="s">
        <v>23</v>
      </c>
      <c r="EO2" s="9" t="s">
        <v>64</v>
      </c>
      <c r="EP2" s="9" t="s">
        <v>22</v>
      </c>
      <c r="EQ2" s="9" t="s">
        <v>17</v>
      </c>
      <c r="ER2" s="125" t="s">
        <v>26</v>
      </c>
      <c r="ES2" s="125"/>
      <c r="ET2" s="125"/>
      <c r="EU2" s="125"/>
      <c r="EV2" s="125" t="s">
        <v>29</v>
      </c>
      <c r="EW2" s="125"/>
      <c r="EX2" s="125"/>
      <c r="EY2" s="125"/>
      <c r="EZ2" s="125" t="s">
        <v>30</v>
      </c>
      <c r="FA2" s="125"/>
      <c r="FB2" s="125"/>
      <c r="FC2" s="125"/>
      <c r="FD2" s="133" t="s">
        <v>31</v>
      </c>
      <c r="FE2" s="133"/>
      <c r="FF2" s="133"/>
      <c r="FG2" s="133"/>
      <c r="FH2" s="19" t="s">
        <v>24</v>
      </c>
      <c r="FI2" s="12" t="s">
        <v>23</v>
      </c>
      <c r="FJ2" s="12" t="s">
        <v>64</v>
      </c>
      <c r="FK2" s="12" t="s">
        <v>22</v>
      </c>
      <c r="FL2" s="12" t="s">
        <v>17</v>
      </c>
      <c r="FM2" s="122" t="s">
        <v>26</v>
      </c>
      <c r="FN2" s="122"/>
      <c r="FO2" s="122"/>
      <c r="FP2" s="122"/>
      <c r="FQ2" s="122" t="s">
        <v>29</v>
      </c>
      <c r="FR2" s="122"/>
      <c r="FS2" s="122"/>
      <c r="FT2" s="122"/>
      <c r="FU2" s="122" t="s">
        <v>30</v>
      </c>
      <c r="FV2" s="122"/>
      <c r="FW2" s="122"/>
      <c r="FX2" s="122"/>
      <c r="FY2" s="134" t="s">
        <v>31</v>
      </c>
      <c r="FZ2" s="134"/>
      <c r="GA2" s="134"/>
      <c r="GB2" s="134"/>
      <c r="GC2" s="20" t="s">
        <v>24</v>
      </c>
      <c r="GD2" s="9" t="s">
        <v>23</v>
      </c>
      <c r="GE2" s="9" t="s">
        <v>64</v>
      </c>
      <c r="GF2" s="9" t="s">
        <v>22</v>
      </c>
      <c r="GG2" s="9" t="s">
        <v>17</v>
      </c>
      <c r="GH2" s="125" t="s">
        <v>26</v>
      </c>
      <c r="GI2" s="125"/>
      <c r="GJ2" s="125"/>
      <c r="GK2" s="125"/>
      <c r="GL2" s="125" t="s">
        <v>29</v>
      </c>
      <c r="GM2" s="125"/>
      <c r="GN2" s="125"/>
      <c r="GO2" s="125"/>
      <c r="GP2" s="125" t="s">
        <v>30</v>
      </c>
      <c r="GQ2" s="125"/>
      <c r="GR2" s="125"/>
      <c r="GS2" s="125"/>
      <c r="GT2" s="133" t="s">
        <v>31</v>
      </c>
      <c r="GU2" s="133"/>
      <c r="GV2" s="133"/>
      <c r="GW2" s="133"/>
      <c r="GX2" s="19" t="s">
        <v>24</v>
      </c>
      <c r="GY2" s="12" t="s">
        <v>23</v>
      </c>
      <c r="GZ2" s="12" t="s">
        <v>64</v>
      </c>
      <c r="HA2" s="12" t="s">
        <v>22</v>
      </c>
      <c r="HB2" s="12" t="s">
        <v>17</v>
      </c>
      <c r="HC2" s="122" t="s">
        <v>26</v>
      </c>
      <c r="HD2" s="122"/>
      <c r="HE2" s="122"/>
      <c r="HF2" s="122"/>
      <c r="HG2" s="122" t="s">
        <v>29</v>
      </c>
      <c r="HH2" s="122"/>
      <c r="HI2" s="122"/>
      <c r="HJ2" s="122"/>
      <c r="HK2" s="122" t="s">
        <v>30</v>
      </c>
      <c r="HL2" s="122"/>
      <c r="HM2" s="122"/>
      <c r="HN2" s="122"/>
      <c r="HO2" s="134" t="s">
        <v>31</v>
      </c>
      <c r="HP2" s="134"/>
      <c r="HQ2" s="134"/>
      <c r="HR2" s="134"/>
      <c r="HS2" s="20" t="s">
        <v>24</v>
      </c>
      <c r="HT2" s="9" t="s">
        <v>23</v>
      </c>
      <c r="HU2" s="9" t="s">
        <v>64</v>
      </c>
      <c r="HV2" s="9" t="s">
        <v>22</v>
      </c>
      <c r="HW2" s="9" t="s">
        <v>17</v>
      </c>
      <c r="HX2" s="125" t="s">
        <v>26</v>
      </c>
      <c r="HY2" s="125"/>
      <c r="HZ2" s="125"/>
      <c r="IA2" s="125"/>
      <c r="IB2" s="125" t="s">
        <v>29</v>
      </c>
      <c r="IC2" s="125"/>
      <c r="ID2" s="125"/>
      <c r="IE2" s="125"/>
      <c r="IF2" s="125" t="s">
        <v>30</v>
      </c>
      <c r="IG2" s="125"/>
      <c r="IH2" s="125"/>
      <c r="II2" s="125"/>
      <c r="IJ2" s="133" t="s">
        <v>31</v>
      </c>
      <c r="IK2" s="133"/>
      <c r="IL2" s="133"/>
      <c r="IM2" s="133"/>
      <c r="IN2" s="19" t="s">
        <v>24</v>
      </c>
      <c r="IO2" s="12" t="s">
        <v>23</v>
      </c>
      <c r="IP2" s="12" t="s">
        <v>64</v>
      </c>
      <c r="IQ2" s="12" t="s">
        <v>22</v>
      </c>
      <c r="IR2" s="12" t="s">
        <v>17</v>
      </c>
      <c r="IS2" s="122" t="s">
        <v>26</v>
      </c>
      <c r="IT2" s="122"/>
      <c r="IU2" s="122"/>
      <c r="IV2" s="122"/>
      <c r="IW2" s="122" t="s">
        <v>29</v>
      </c>
      <c r="IX2" s="122"/>
      <c r="IY2" s="122"/>
      <c r="IZ2" s="122"/>
      <c r="JA2" s="122" t="s">
        <v>30</v>
      </c>
      <c r="JB2" s="122"/>
      <c r="JC2" s="122"/>
      <c r="JD2" s="122"/>
      <c r="JE2" s="134" t="s">
        <v>31</v>
      </c>
      <c r="JF2" s="134"/>
      <c r="JG2" s="134"/>
      <c r="JH2" s="134"/>
      <c r="JI2" s="20" t="s">
        <v>24</v>
      </c>
      <c r="JJ2" s="9" t="s">
        <v>23</v>
      </c>
      <c r="JK2" s="9" t="s">
        <v>64</v>
      </c>
      <c r="JL2" s="9" t="s">
        <v>22</v>
      </c>
      <c r="JM2" s="9" t="s">
        <v>17</v>
      </c>
      <c r="JN2" s="125" t="s">
        <v>26</v>
      </c>
      <c r="JO2" s="125"/>
      <c r="JP2" s="125"/>
      <c r="JQ2" s="125"/>
      <c r="JR2" s="125" t="s">
        <v>29</v>
      </c>
      <c r="JS2" s="125"/>
      <c r="JT2" s="125"/>
      <c r="JU2" s="125"/>
      <c r="JV2" s="125" t="s">
        <v>30</v>
      </c>
      <c r="JW2" s="125"/>
      <c r="JX2" s="125"/>
      <c r="JY2" s="125"/>
      <c r="JZ2" s="133" t="s">
        <v>31</v>
      </c>
      <c r="KA2" s="133"/>
      <c r="KB2" s="133"/>
      <c r="KC2" s="133"/>
      <c r="KD2" s="19" t="s">
        <v>24</v>
      </c>
      <c r="KE2" s="12" t="s">
        <v>23</v>
      </c>
      <c r="KF2" s="12" t="s">
        <v>64</v>
      </c>
      <c r="KG2" s="12" t="s">
        <v>22</v>
      </c>
      <c r="KH2" s="12" t="s">
        <v>17</v>
      </c>
      <c r="KI2" s="122" t="s">
        <v>26</v>
      </c>
      <c r="KJ2" s="122"/>
      <c r="KK2" s="122"/>
      <c r="KL2" s="122"/>
      <c r="KM2" s="122" t="s">
        <v>29</v>
      </c>
      <c r="KN2" s="122"/>
      <c r="KO2" s="122"/>
      <c r="KP2" s="122"/>
      <c r="KQ2" s="122" t="s">
        <v>30</v>
      </c>
      <c r="KR2" s="122"/>
      <c r="KS2" s="122"/>
      <c r="KT2" s="122"/>
      <c r="KU2" s="134" t="s">
        <v>31</v>
      </c>
      <c r="KV2" s="134"/>
      <c r="KW2" s="134"/>
      <c r="KX2" s="134"/>
      <c r="KY2" s="20" t="s">
        <v>24</v>
      </c>
      <c r="KZ2" s="9" t="s">
        <v>23</v>
      </c>
      <c r="LA2" s="9" t="s">
        <v>64</v>
      </c>
      <c r="LB2" s="9" t="s">
        <v>22</v>
      </c>
      <c r="LC2" s="9" t="s">
        <v>17</v>
      </c>
      <c r="LD2" s="125" t="s">
        <v>26</v>
      </c>
      <c r="LE2" s="125"/>
      <c r="LF2" s="125"/>
      <c r="LG2" s="125"/>
      <c r="LH2" s="125" t="s">
        <v>29</v>
      </c>
      <c r="LI2" s="125"/>
      <c r="LJ2" s="125"/>
      <c r="LK2" s="125"/>
      <c r="LL2" s="125" t="s">
        <v>30</v>
      </c>
      <c r="LM2" s="125"/>
      <c r="LN2" s="125"/>
      <c r="LO2" s="125"/>
      <c r="LP2" s="133" t="s">
        <v>31</v>
      </c>
      <c r="LQ2" s="133"/>
      <c r="LR2" s="133"/>
      <c r="LS2" s="133"/>
      <c r="LT2" s="19" t="s">
        <v>24</v>
      </c>
      <c r="LU2" s="12" t="s">
        <v>23</v>
      </c>
      <c r="LV2" s="12" t="s">
        <v>64</v>
      </c>
      <c r="LW2" s="12" t="s">
        <v>22</v>
      </c>
      <c r="LX2" s="12" t="s">
        <v>17</v>
      </c>
      <c r="LY2" s="122" t="s">
        <v>26</v>
      </c>
      <c r="LZ2" s="122"/>
      <c r="MA2" s="122"/>
      <c r="MB2" s="122"/>
      <c r="MC2" s="122" t="s">
        <v>29</v>
      </c>
      <c r="MD2" s="122"/>
      <c r="ME2" s="122"/>
      <c r="MF2" s="122"/>
      <c r="MG2" s="122" t="s">
        <v>30</v>
      </c>
      <c r="MH2" s="122"/>
      <c r="MI2" s="122"/>
      <c r="MJ2" s="122"/>
      <c r="MK2" s="131" t="s">
        <v>31</v>
      </c>
      <c r="ML2" s="131"/>
      <c r="MM2" s="131"/>
      <c r="MN2" s="131"/>
      <c r="MO2" s="94"/>
      <c r="MP2" s="94" t="s">
        <v>24</v>
      </c>
      <c r="MQ2" s="9" t="s">
        <v>23</v>
      </c>
      <c r="MR2" s="9" t="s">
        <v>64</v>
      </c>
      <c r="MS2" s="9" t="s">
        <v>22</v>
      </c>
      <c r="MT2" s="9" t="s">
        <v>17</v>
      </c>
    </row>
    <row r="3" spans="1:358" x14ac:dyDescent="0.2">
      <c r="A3" s="123"/>
      <c r="B3" s="123"/>
      <c r="C3" s="123"/>
      <c r="D3" s="123"/>
      <c r="E3" s="123"/>
      <c r="F3" s="132"/>
      <c r="G3" s="132"/>
      <c r="H3" s="123"/>
      <c r="I3" s="132"/>
      <c r="J3" s="128"/>
      <c r="K3" s="128"/>
      <c r="L3" s="128"/>
      <c r="M3" s="128"/>
      <c r="N3" s="127"/>
      <c r="O3" s="128"/>
      <c r="P3" s="128"/>
      <c r="Q3" s="51" t="s">
        <v>14</v>
      </c>
      <c r="R3" s="51" t="s">
        <v>7</v>
      </c>
      <c r="S3" s="51" t="s">
        <v>27</v>
      </c>
      <c r="T3" s="51" t="s">
        <v>28</v>
      </c>
      <c r="U3" s="51" t="s">
        <v>14</v>
      </c>
      <c r="V3" s="51" t="s">
        <v>7</v>
      </c>
      <c r="W3" s="51" t="s">
        <v>27</v>
      </c>
      <c r="X3" s="51" t="s">
        <v>28</v>
      </c>
      <c r="Y3" s="51" t="s">
        <v>14</v>
      </c>
      <c r="Z3" s="51" t="s">
        <v>7</v>
      </c>
      <c r="AA3" s="51" t="s">
        <v>27</v>
      </c>
      <c r="AB3" s="51" t="s">
        <v>28</v>
      </c>
      <c r="AC3" s="54" t="s">
        <v>14</v>
      </c>
      <c r="AD3" s="54" t="s">
        <v>7</v>
      </c>
      <c r="AE3" s="54" t="s">
        <v>27</v>
      </c>
      <c r="AF3" s="54" t="s">
        <v>28</v>
      </c>
      <c r="AG3" s="70" t="s">
        <v>51</v>
      </c>
      <c r="AH3" s="10"/>
      <c r="AI3" s="9"/>
      <c r="AJ3" s="9"/>
      <c r="AK3" s="10"/>
      <c r="AL3" s="10"/>
      <c r="AM3" s="50" t="s">
        <v>14</v>
      </c>
      <c r="AN3" s="50" t="s">
        <v>7</v>
      </c>
      <c r="AO3" s="50" t="s">
        <v>27</v>
      </c>
      <c r="AP3" s="50" t="s">
        <v>28</v>
      </c>
      <c r="AQ3" s="50" t="s">
        <v>14</v>
      </c>
      <c r="AR3" s="50" t="s">
        <v>7</v>
      </c>
      <c r="AS3" s="50" t="s">
        <v>27</v>
      </c>
      <c r="AT3" s="50" t="s">
        <v>28</v>
      </c>
      <c r="AU3" s="50" t="s">
        <v>14</v>
      </c>
      <c r="AV3" s="50" t="s">
        <v>7</v>
      </c>
      <c r="AW3" s="50" t="s">
        <v>27</v>
      </c>
      <c r="AX3" s="50" t="s">
        <v>28</v>
      </c>
      <c r="AY3" s="52" t="s">
        <v>14</v>
      </c>
      <c r="AZ3" s="52" t="s">
        <v>7</v>
      </c>
      <c r="BA3" s="52" t="s">
        <v>27</v>
      </c>
      <c r="BB3" s="52" t="s">
        <v>28</v>
      </c>
      <c r="BC3" s="71" t="s">
        <v>51</v>
      </c>
      <c r="BD3" s="13"/>
      <c r="BE3" s="12"/>
      <c r="BF3" s="12"/>
      <c r="BG3" s="13"/>
      <c r="BH3" s="13"/>
      <c r="BI3" s="101" t="s">
        <v>14</v>
      </c>
      <c r="BJ3" s="101" t="s">
        <v>7</v>
      </c>
      <c r="BK3" s="101" t="s">
        <v>27</v>
      </c>
      <c r="BL3" s="101" t="s">
        <v>28</v>
      </c>
      <c r="BM3" s="101" t="s">
        <v>14</v>
      </c>
      <c r="BN3" s="101" t="s">
        <v>7</v>
      </c>
      <c r="BO3" s="101" t="s">
        <v>27</v>
      </c>
      <c r="BP3" s="101" t="s">
        <v>28</v>
      </c>
      <c r="BQ3" s="101" t="s">
        <v>14</v>
      </c>
      <c r="BR3" s="101" t="s">
        <v>7</v>
      </c>
      <c r="BS3" s="101" t="s">
        <v>27</v>
      </c>
      <c r="BT3" s="101" t="s">
        <v>28</v>
      </c>
      <c r="BU3" s="103" t="s">
        <v>14</v>
      </c>
      <c r="BV3" s="103" t="s">
        <v>7</v>
      </c>
      <c r="BW3" s="103" t="s">
        <v>27</v>
      </c>
      <c r="BX3" s="103" t="s">
        <v>28</v>
      </c>
      <c r="BY3" s="101" t="s">
        <v>51</v>
      </c>
      <c r="BZ3" s="10"/>
      <c r="CA3" s="9"/>
      <c r="CB3" s="9"/>
      <c r="CC3" s="10"/>
      <c r="CD3" s="10"/>
      <c r="CE3" s="22"/>
      <c r="CF3" s="22"/>
      <c r="CG3" s="51" t="s">
        <v>14</v>
      </c>
      <c r="CH3" s="51" t="s">
        <v>7</v>
      </c>
      <c r="CI3" s="51" t="s">
        <v>27</v>
      </c>
      <c r="CJ3" s="51" t="s">
        <v>28</v>
      </c>
      <c r="CK3" s="51" t="s">
        <v>14</v>
      </c>
      <c r="CL3" s="51" t="s">
        <v>7</v>
      </c>
      <c r="CM3" s="51" t="s">
        <v>27</v>
      </c>
      <c r="CN3" s="51" t="s">
        <v>28</v>
      </c>
      <c r="CO3" s="51" t="s">
        <v>14</v>
      </c>
      <c r="CP3" s="51" t="s">
        <v>7</v>
      </c>
      <c r="CQ3" s="51" t="s">
        <v>27</v>
      </c>
      <c r="CR3" s="51" t="s">
        <v>28</v>
      </c>
      <c r="CS3" s="53" t="s">
        <v>14</v>
      </c>
      <c r="CT3" s="53" t="s">
        <v>7</v>
      </c>
      <c r="CU3" s="53" t="s">
        <v>27</v>
      </c>
      <c r="CV3" s="53" t="s">
        <v>28</v>
      </c>
      <c r="CW3" s="10"/>
      <c r="CX3" s="9"/>
      <c r="CY3" s="9"/>
      <c r="CZ3" s="10"/>
      <c r="DA3" s="10"/>
      <c r="DB3" s="50" t="s">
        <v>14</v>
      </c>
      <c r="DC3" s="50" t="s">
        <v>7</v>
      </c>
      <c r="DD3" s="50" t="s">
        <v>27</v>
      </c>
      <c r="DE3" s="50" t="s">
        <v>28</v>
      </c>
      <c r="DF3" s="50" t="s">
        <v>14</v>
      </c>
      <c r="DG3" s="50" t="s">
        <v>7</v>
      </c>
      <c r="DH3" s="50" t="s">
        <v>27</v>
      </c>
      <c r="DI3" s="50" t="s">
        <v>28</v>
      </c>
      <c r="DJ3" s="50" t="s">
        <v>14</v>
      </c>
      <c r="DK3" s="50" t="s">
        <v>7</v>
      </c>
      <c r="DL3" s="50" t="s">
        <v>27</v>
      </c>
      <c r="DM3" s="50" t="s">
        <v>28</v>
      </c>
      <c r="DN3" s="52" t="s">
        <v>14</v>
      </c>
      <c r="DO3" s="52" t="s">
        <v>7</v>
      </c>
      <c r="DP3" s="52" t="s">
        <v>27</v>
      </c>
      <c r="DQ3" s="52" t="s">
        <v>28</v>
      </c>
      <c r="DR3" s="13"/>
      <c r="DS3" s="12"/>
      <c r="DT3" s="12"/>
      <c r="DU3" s="13"/>
      <c r="DV3" s="13"/>
      <c r="DW3" s="51" t="s">
        <v>14</v>
      </c>
      <c r="DX3" s="51" t="s">
        <v>7</v>
      </c>
      <c r="DY3" s="51" t="s">
        <v>27</v>
      </c>
      <c r="DZ3" s="51" t="s">
        <v>28</v>
      </c>
      <c r="EA3" s="51" t="s">
        <v>14</v>
      </c>
      <c r="EB3" s="51" t="s">
        <v>7</v>
      </c>
      <c r="EC3" s="51" t="s">
        <v>27</v>
      </c>
      <c r="ED3" s="51" t="s">
        <v>28</v>
      </c>
      <c r="EE3" s="51" t="s">
        <v>14</v>
      </c>
      <c r="EF3" s="51" t="s">
        <v>7</v>
      </c>
      <c r="EG3" s="51" t="s">
        <v>27</v>
      </c>
      <c r="EH3" s="51" t="s">
        <v>28</v>
      </c>
      <c r="EI3" s="53" t="s">
        <v>14</v>
      </c>
      <c r="EJ3" s="53" t="s">
        <v>7</v>
      </c>
      <c r="EK3" s="53" t="s">
        <v>27</v>
      </c>
      <c r="EL3" s="53" t="s">
        <v>28</v>
      </c>
      <c r="EM3" s="10"/>
      <c r="EN3" s="9"/>
      <c r="EO3" s="9"/>
      <c r="EP3" s="10"/>
      <c r="EQ3" s="10"/>
      <c r="ER3" s="27" t="s">
        <v>14</v>
      </c>
      <c r="ES3" s="27" t="s">
        <v>7</v>
      </c>
      <c r="ET3" s="27" t="s">
        <v>27</v>
      </c>
      <c r="EU3" s="27" t="s">
        <v>28</v>
      </c>
      <c r="EV3" s="27" t="s">
        <v>14</v>
      </c>
      <c r="EW3" s="27" t="s">
        <v>7</v>
      </c>
      <c r="EX3" s="27" t="s">
        <v>27</v>
      </c>
      <c r="EY3" s="27" t="s">
        <v>28</v>
      </c>
      <c r="EZ3" s="27" t="s">
        <v>14</v>
      </c>
      <c r="FA3" s="27" t="s">
        <v>7</v>
      </c>
      <c r="FB3" s="27" t="s">
        <v>27</v>
      </c>
      <c r="FC3" s="27" t="s">
        <v>28</v>
      </c>
      <c r="FD3" s="30" t="s">
        <v>14</v>
      </c>
      <c r="FE3" s="30" t="s">
        <v>7</v>
      </c>
      <c r="FF3" s="30" t="s">
        <v>27</v>
      </c>
      <c r="FG3" s="30" t="s">
        <v>28</v>
      </c>
      <c r="FH3" s="13"/>
      <c r="FI3" s="12"/>
      <c r="FJ3" s="12"/>
      <c r="FK3" s="13"/>
      <c r="FL3" s="13"/>
      <c r="FM3" s="28" t="s">
        <v>14</v>
      </c>
      <c r="FN3" s="28" t="s">
        <v>7</v>
      </c>
      <c r="FO3" s="28" t="s">
        <v>27</v>
      </c>
      <c r="FP3" s="28" t="s">
        <v>28</v>
      </c>
      <c r="FQ3" s="28" t="s">
        <v>14</v>
      </c>
      <c r="FR3" s="28" t="s">
        <v>7</v>
      </c>
      <c r="FS3" s="28" t="s">
        <v>27</v>
      </c>
      <c r="FT3" s="28" t="s">
        <v>28</v>
      </c>
      <c r="FU3" s="28" t="s">
        <v>14</v>
      </c>
      <c r="FV3" s="28" t="s">
        <v>7</v>
      </c>
      <c r="FW3" s="28" t="s">
        <v>27</v>
      </c>
      <c r="FX3" s="28" t="s">
        <v>28</v>
      </c>
      <c r="FY3" s="29" t="s">
        <v>14</v>
      </c>
      <c r="FZ3" s="29" t="s">
        <v>7</v>
      </c>
      <c r="GA3" s="29" t="s">
        <v>27</v>
      </c>
      <c r="GB3" s="29" t="s">
        <v>28</v>
      </c>
      <c r="GC3" s="10"/>
      <c r="GD3" s="9"/>
      <c r="GE3" s="9"/>
      <c r="GF3" s="10"/>
      <c r="GG3" s="10"/>
      <c r="GH3" s="27" t="s">
        <v>14</v>
      </c>
      <c r="GI3" s="27" t="s">
        <v>7</v>
      </c>
      <c r="GJ3" s="27" t="s">
        <v>27</v>
      </c>
      <c r="GK3" s="27" t="s">
        <v>28</v>
      </c>
      <c r="GL3" s="27" t="s">
        <v>14</v>
      </c>
      <c r="GM3" s="27" t="s">
        <v>7</v>
      </c>
      <c r="GN3" s="27" t="s">
        <v>27</v>
      </c>
      <c r="GO3" s="27" t="s">
        <v>28</v>
      </c>
      <c r="GP3" s="27" t="s">
        <v>14</v>
      </c>
      <c r="GQ3" s="27" t="s">
        <v>7</v>
      </c>
      <c r="GR3" s="27" t="s">
        <v>27</v>
      </c>
      <c r="GS3" s="27" t="s">
        <v>28</v>
      </c>
      <c r="GT3" s="30" t="s">
        <v>14</v>
      </c>
      <c r="GU3" s="30" t="s">
        <v>7</v>
      </c>
      <c r="GV3" s="30" t="s">
        <v>27</v>
      </c>
      <c r="GW3" s="30" t="s">
        <v>28</v>
      </c>
      <c r="GX3" s="13"/>
      <c r="GY3" s="12"/>
      <c r="GZ3" s="12"/>
      <c r="HA3" s="13"/>
      <c r="HB3" s="13"/>
      <c r="HC3" s="28" t="s">
        <v>14</v>
      </c>
      <c r="HD3" s="28" t="s">
        <v>7</v>
      </c>
      <c r="HE3" s="28" t="s">
        <v>27</v>
      </c>
      <c r="HF3" s="28" t="s">
        <v>28</v>
      </c>
      <c r="HG3" s="28" t="s">
        <v>14</v>
      </c>
      <c r="HH3" s="28" t="s">
        <v>7</v>
      </c>
      <c r="HI3" s="28" t="s">
        <v>27</v>
      </c>
      <c r="HJ3" s="28" t="s">
        <v>28</v>
      </c>
      <c r="HK3" s="28" t="s">
        <v>14</v>
      </c>
      <c r="HL3" s="28" t="s">
        <v>7</v>
      </c>
      <c r="HM3" s="28" t="s">
        <v>27</v>
      </c>
      <c r="HN3" s="28" t="s">
        <v>28</v>
      </c>
      <c r="HO3" s="29" t="s">
        <v>14</v>
      </c>
      <c r="HP3" s="29" t="s">
        <v>7</v>
      </c>
      <c r="HQ3" s="29" t="s">
        <v>27</v>
      </c>
      <c r="HR3" s="29" t="s">
        <v>28</v>
      </c>
      <c r="HS3" s="10"/>
      <c r="HT3" s="9"/>
      <c r="HU3" s="9"/>
      <c r="HV3" s="10"/>
      <c r="HW3" s="10"/>
      <c r="HX3" s="27" t="s">
        <v>14</v>
      </c>
      <c r="HY3" s="27" t="s">
        <v>7</v>
      </c>
      <c r="HZ3" s="27" t="s">
        <v>27</v>
      </c>
      <c r="IA3" s="27" t="s">
        <v>28</v>
      </c>
      <c r="IB3" s="27" t="s">
        <v>14</v>
      </c>
      <c r="IC3" s="27" t="s">
        <v>7</v>
      </c>
      <c r="ID3" s="27" t="s">
        <v>27</v>
      </c>
      <c r="IE3" s="27" t="s">
        <v>28</v>
      </c>
      <c r="IF3" s="27" t="s">
        <v>14</v>
      </c>
      <c r="IG3" s="27" t="s">
        <v>7</v>
      </c>
      <c r="IH3" s="27" t="s">
        <v>27</v>
      </c>
      <c r="II3" s="27" t="s">
        <v>28</v>
      </c>
      <c r="IJ3" s="30" t="s">
        <v>14</v>
      </c>
      <c r="IK3" s="30" t="s">
        <v>7</v>
      </c>
      <c r="IL3" s="30" t="s">
        <v>27</v>
      </c>
      <c r="IM3" s="30" t="s">
        <v>28</v>
      </c>
      <c r="IN3" s="13"/>
      <c r="IO3" s="12"/>
      <c r="IP3" s="12"/>
      <c r="IQ3" s="13"/>
      <c r="IR3" s="13"/>
      <c r="IS3" s="28" t="s">
        <v>14</v>
      </c>
      <c r="IT3" s="28" t="s">
        <v>7</v>
      </c>
      <c r="IU3" s="28" t="s">
        <v>27</v>
      </c>
      <c r="IV3" s="28" t="s">
        <v>28</v>
      </c>
      <c r="IW3" s="28" t="s">
        <v>14</v>
      </c>
      <c r="IX3" s="28" t="s">
        <v>7</v>
      </c>
      <c r="IY3" s="28" t="s">
        <v>27</v>
      </c>
      <c r="IZ3" s="28" t="s">
        <v>28</v>
      </c>
      <c r="JA3" s="28" t="s">
        <v>14</v>
      </c>
      <c r="JB3" s="28" t="s">
        <v>7</v>
      </c>
      <c r="JC3" s="28" t="s">
        <v>27</v>
      </c>
      <c r="JD3" s="28" t="s">
        <v>28</v>
      </c>
      <c r="JE3" s="29" t="s">
        <v>14</v>
      </c>
      <c r="JF3" s="29" t="s">
        <v>7</v>
      </c>
      <c r="JG3" s="29" t="s">
        <v>27</v>
      </c>
      <c r="JH3" s="29" t="s">
        <v>28</v>
      </c>
      <c r="JI3" s="10"/>
      <c r="JJ3" s="9"/>
      <c r="JK3" s="9"/>
      <c r="JL3" s="10"/>
      <c r="JM3" s="10"/>
      <c r="JN3" s="27" t="s">
        <v>14</v>
      </c>
      <c r="JO3" s="27" t="s">
        <v>7</v>
      </c>
      <c r="JP3" s="27" t="s">
        <v>27</v>
      </c>
      <c r="JQ3" s="27" t="s">
        <v>28</v>
      </c>
      <c r="JR3" s="27" t="s">
        <v>14</v>
      </c>
      <c r="JS3" s="27" t="s">
        <v>7</v>
      </c>
      <c r="JT3" s="27" t="s">
        <v>27</v>
      </c>
      <c r="JU3" s="27" t="s">
        <v>28</v>
      </c>
      <c r="JV3" s="27" t="s">
        <v>14</v>
      </c>
      <c r="JW3" s="27" t="s">
        <v>7</v>
      </c>
      <c r="JX3" s="27" t="s">
        <v>27</v>
      </c>
      <c r="JY3" s="27" t="s">
        <v>28</v>
      </c>
      <c r="JZ3" s="30" t="s">
        <v>14</v>
      </c>
      <c r="KA3" s="30" t="s">
        <v>7</v>
      </c>
      <c r="KB3" s="30" t="s">
        <v>27</v>
      </c>
      <c r="KC3" s="30" t="s">
        <v>28</v>
      </c>
      <c r="KD3" s="13"/>
      <c r="KE3" s="12"/>
      <c r="KF3" s="12"/>
      <c r="KG3" s="13"/>
      <c r="KH3" s="13"/>
      <c r="KI3" s="28" t="s">
        <v>14</v>
      </c>
      <c r="KJ3" s="28" t="s">
        <v>7</v>
      </c>
      <c r="KK3" s="28" t="s">
        <v>27</v>
      </c>
      <c r="KL3" s="28" t="s">
        <v>28</v>
      </c>
      <c r="KM3" s="28" t="s">
        <v>14</v>
      </c>
      <c r="KN3" s="28" t="s">
        <v>7</v>
      </c>
      <c r="KO3" s="28" t="s">
        <v>27</v>
      </c>
      <c r="KP3" s="28" t="s">
        <v>28</v>
      </c>
      <c r="KQ3" s="28" t="s">
        <v>14</v>
      </c>
      <c r="KR3" s="28" t="s">
        <v>7</v>
      </c>
      <c r="KS3" s="28" t="s">
        <v>27</v>
      </c>
      <c r="KT3" s="28" t="s">
        <v>28</v>
      </c>
      <c r="KU3" s="29" t="s">
        <v>14</v>
      </c>
      <c r="KV3" s="29" t="s">
        <v>7</v>
      </c>
      <c r="KW3" s="29" t="s">
        <v>27</v>
      </c>
      <c r="KX3" s="29" t="s">
        <v>28</v>
      </c>
      <c r="KY3" s="10"/>
      <c r="KZ3" s="9"/>
      <c r="LA3" s="9"/>
      <c r="LB3" s="10"/>
      <c r="LC3" s="10"/>
      <c r="LD3" s="27" t="s">
        <v>14</v>
      </c>
      <c r="LE3" s="27" t="s">
        <v>7</v>
      </c>
      <c r="LF3" s="27" t="s">
        <v>27</v>
      </c>
      <c r="LG3" s="27" t="s">
        <v>28</v>
      </c>
      <c r="LH3" s="27" t="s">
        <v>14</v>
      </c>
      <c r="LI3" s="27" t="s">
        <v>7</v>
      </c>
      <c r="LJ3" s="27" t="s">
        <v>27</v>
      </c>
      <c r="LK3" s="27" t="s">
        <v>28</v>
      </c>
      <c r="LL3" s="27" t="s">
        <v>14</v>
      </c>
      <c r="LM3" s="27" t="s">
        <v>7</v>
      </c>
      <c r="LN3" s="27" t="s">
        <v>27</v>
      </c>
      <c r="LO3" s="27" t="s">
        <v>28</v>
      </c>
      <c r="LP3" s="30" t="s">
        <v>14</v>
      </c>
      <c r="LQ3" s="30" t="s">
        <v>7</v>
      </c>
      <c r="LR3" s="30" t="s">
        <v>27</v>
      </c>
      <c r="LS3" s="30" t="s">
        <v>28</v>
      </c>
      <c r="LT3" s="13"/>
      <c r="LU3" s="12"/>
      <c r="LV3" s="12"/>
      <c r="LW3" s="13"/>
      <c r="LX3" s="13"/>
      <c r="LY3" s="94" t="s">
        <v>14</v>
      </c>
      <c r="LZ3" s="94" t="s">
        <v>7</v>
      </c>
      <c r="MA3" s="94" t="s">
        <v>27</v>
      </c>
      <c r="MB3" s="94" t="s">
        <v>28</v>
      </c>
      <c r="MC3" s="94" t="s">
        <v>14</v>
      </c>
      <c r="MD3" s="94" t="s">
        <v>7</v>
      </c>
      <c r="ME3" s="94" t="s">
        <v>27</v>
      </c>
      <c r="MF3" s="94" t="s">
        <v>28</v>
      </c>
      <c r="MG3" s="94" t="s">
        <v>14</v>
      </c>
      <c r="MH3" s="94" t="s">
        <v>7</v>
      </c>
      <c r="MI3" s="94" t="s">
        <v>27</v>
      </c>
      <c r="MJ3" s="94" t="s">
        <v>28</v>
      </c>
      <c r="MK3" s="95" t="s">
        <v>14</v>
      </c>
      <c r="ML3" s="95" t="s">
        <v>7</v>
      </c>
      <c r="MM3" s="95" t="s">
        <v>27</v>
      </c>
      <c r="MN3" s="95" t="s">
        <v>28</v>
      </c>
      <c r="MO3" s="94" t="s">
        <v>51</v>
      </c>
      <c r="MP3" s="10"/>
      <c r="MQ3" s="9"/>
      <c r="MR3" s="9"/>
      <c r="MS3" s="10"/>
      <c r="MT3" s="10"/>
    </row>
    <row r="4" spans="1:358" x14ac:dyDescent="0.2">
      <c r="A4" s="5">
        <f t="shared" ref="A4:A10" si="0">IF(AND(F4="P",G4="P"),SUMPRODUCT((F$4:F$11="P")*(G$4:G$11="P")*(E$4:E$11&gt;E4))+1,IF(G4="P",SUMPRODUCT((F$4:F$11="")*(G$4:G$11="P")*(E$4:E$11&gt;E4))+1+SUMPRODUCT((F$4:F$11="P")*(G$4:G$11="P")),""))</f>
        <v>1</v>
      </c>
      <c r="B4" s="8" t="s">
        <v>131</v>
      </c>
      <c r="C4" s="4" t="s">
        <v>3</v>
      </c>
      <c r="D4" s="26">
        <v>2003</v>
      </c>
      <c r="E4" s="15">
        <f t="shared" ref="E4:E10" si="1">SUM(J4:N4)</f>
        <v>129.19999999999999</v>
      </c>
      <c r="F4" s="3" t="str">
        <f t="shared" ref="F4:F10" si="2">IF(OR(AND(AH4&gt;=AL$13,AI4&gt;=AL$17,AI4&lt;&gt;"",AG4=""),AND(BD4&gt;=BH$13,BE4&gt;=BH$17,BE4&lt;&gt;"",BC4=""),AND(BZ4&gt;=CD$13,CA4&gt;=CD$17,CA4&lt;&gt;"",BY4=""),AND(CW4&gt;=DA$13,CX4&gt;=DA$17,CX4&lt;&gt;""),AND(DR4&gt;=DV$13,DS4&gt;=DV$17,DS4&lt;&gt;""),AND(EM4&gt;=EQ$13,EN4&gt;=EQ$17,EN4&lt;&gt;""),AND(FH4&gt;=FL$13,FI4&gt;=FL$17,FI4&lt;&gt;""),AND(GC4&gt;=GG$13,GD4&gt;=GG$17,GD4&lt;&gt;""),AND(GX4&gt;=HB$13,GY4&gt;=HB$17,GY4&lt;&gt;""),AND(HS4&gt;=HW$13,HT4&gt;=HW$17,HT4&lt;&gt;""),AND(IN4&gt;=IR$13,IO4&gt;=IR$17,IO4&lt;&gt;""),AND(JI4&gt;=JM$13,JJ4&gt;=JM$17,JJ4&lt;&gt;""),AND(KD4&gt;=KH$13,KE4&gt;=KH$17,KE4&lt;&gt;""),AND(KY4&gt;=LC$13,KZ4&gt;=LC$17,KZ4&lt;&gt;""),AND(LT4&gt;=LX$13,LU4&gt;=LX$17,LU4&lt;&gt;"")),"P","")</f>
        <v>P</v>
      </c>
      <c r="G4" s="3" t="str">
        <f t="shared" ref="G4:G10" si="3">IF(OR(AND(AI4&gt;=AL$17,AI4&lt;&gt;"",AG4=""),AND(BE4&gt;=BH$17,BE4&lt;&gt;"",BC4=""),AND(CA4&gt;=CD$17,CA4&lt;&gt;"",BY4=""),AND(CX4&gt;=DA$17,CX4&lt;&gt;""),AND(DS4&gt;=DV$17,DS4&lt;&gt;""),AND(EN4&gt;=EQ$17,EN4&lt;&gt;""),AND(FI4&gt;=FL$17,FI4&lt;&gt;""),AND(GD4&gt;=GG$17,GD4&lt;&gt;""),AND(GY4&gt;=HB$17,GY4&lt;&gt;""),AND(HT4&gt;=HW$17,HT4&lt;&gt;""),AND(IO4&gt;=IR$17,IO4&lt;&gt;""),AND(JJ4&gt;=JM$17,JJ4&lt;&gt;""),AND(KE4&gt;=KH$17,KE4&lt;&gt;""),AND(KZ4&gt;=LC$17,KZ4&lt;&gt;""),AND(LU4&gt;=LX$17,LU4&lt;&gt;"")),"P","")</f>
        <v>P</v>
      </c>
      <c r="H4" s="116" t="str">
        <f t="shared" ref="H4:H10" si="4">IF(AND(G4="P",F4=""),"No DD",IF(OR(AND(AI4&gt;=AL$20,AI4&lt;&gt;"",AH4&gt;=AL$16,AH4&lt;&gt;"",AG4=""),AND(BE4&gt;=BH$20,BE4&lt;&gt;"",BD4&gt;=BH$16,BD4&lt;&gt;"",BC4=""),AND(CA4&gt;=CD$20,CA4&lt;&gt;"",BZ4&gt;=CD$16,BZ4&lt;&gt;"",BY4=""),AND(CX4&gt;=DA$20,CX4&lt;&gt;"",CW4&gt;=DA$16,CW4&lt;&gt;""),AND(DS4&gt;=DV$20,DS4&lt;&gt;"",DR4&gt;=DV$16,DR4&lt;&gt;""),AND(EN4&gt;=EQ$20,EN4&lt;&gt;"",EM4&gt;=EQ$16,EM4&lt;&gt;""),AND(FI4&gt;=FL$20,FI4&lt;&gt;"",FH4&gt;=FL$16,FH4&lt;&gt;""),AND(GD4&gt;=GG$20,GD4&lt;&gt;"",GC4&gt;=GG$16,GC4&lt;&gt;""),AND(GY4&gt;=HB$20,GY4&lt;&gt;"",GX4&gt;=HB$16,GX4&lt;&gt;""),AND(HT4&gt;=HW$20,HT4&lt;&gt;"",HS4&gt;=HW$16,HS4&lt;&gt;""),AND(IO4&gt;=IR$20,IO4&lt;&gt;"",IN4&gt;=IR$16,IN4&lt;&gt;""),AND(JJ4&gt;=JM$20,JJ4&lt;&gt;"",JI4&gt;=JM$16,JI4&lt;&gt;""),AND(KE4&gt;=KH$20,KE4&lt;&gt;"",KD4&gt;=KH$16,KD4&lt;&gt;""),AND(KZ4&gt;=LC$20,KZ4&lt;&gt;"",KY4&gt;=LC$16,KY4&lt;&gt;""),AND(LU4&gt;=LX$20,LU4&lt;&gt;"",LT4&gt;=LX$16,LT4&lt;&gt;"")),"Merit",IF(OR(AND(AI4&gt;=AL$19,AI4&lt;&gt;"",AH4&gt;=AL$15,AH4&lt;&gt;"",AG4=""),AND(BE4&gt;=BH$19,BE4&lt;&gt;"",BD4&gt;=BH$15,BD4&lt;&gt;"",BC4=""),AND(CA4&gt;=CD$19,CA4&lt;&gt;"",BZ4&gt;=CD$15,BZ4&lt;&gt;"",BY4=""),AND(CX4&gt;=DA$19,CX4&lt;&gt;"",CW4&gt;=DA$15,CW4&lt;&gt;""),AND(DS4&gt;=DV$19,DS4&lt;&gt;"",DR4&gt;=DV$15,DR4&lt;&gt;""),AND(EN4&gt;=EQ$19,EN4&lt;&gt;"",EM4&gt;=EQ$15,EM4&lt;&gt;""),AND(FI4&gt;=FL$19,FI4&lt;&gt;"",FH4&gt;=FL$15,FH4&lt;&gt;""),AND(GD4&gt;=GG$19,GD4&lt;&gt;"",GC4&gt;=GG$15,GC4&lt;&gt;""),AND(GY4&gt;=HB$19,GY4&lt;&gt;"",GX4&gt;=HB$15,GX4&lt;&gt;""),AND(HT4&gt;=HW$19,HT4&lt;&gt;"",HS4&gt;=HW$15,HS4&lt;&gt;""),AND(IO4&gt;=IR$19,IO4&lt;&gt;"",IN4&gt;=IR$15,IN4&lt;&gt;""),AND(JJ4&gt;=JM$19,JJ4&lt;&gt;"",JI4&gt;=JM$15,JI4&lt;&gt;""),AND(KE4&gt;=KH$19,KE4&lt;&gt;"",KD4&gt;=KH$15,KD4&lt;&gt;""),AND(KZ4&gt;=LC$19,KZ4&lt;&gt;"",KY4&gt;=LC$15,KY4&lt;&gt;""),AND(LU4&gt;=LX$19,LU4&lt;&gt;"",LT4&gt;=LX$15,LT4&lt;&gt;"")),"Excellence",IF(OR(AND(AI4&gt;=AL$18,AI4&lt;&gt;"",AH4&gt;=AL$14,AH4&lt;&gt;"",AG4=""),AND(BE4&gt;=BH$18,BE4&lt;&gt;"",BD4&gt;=BH$14,BD4&lt;&gt;"",BC4=""),AND(CA4&gt;=CD$18,CA4&lt;&gt;"",BZ4&gt;=CD$14,BZ4&lt;&gt;"",BY4=""),AND(CX4&gt;=DA$18,CX4&lt;&gt;"",CW4&gt;=DA$14,CW4&lt;&gt;""),AND(DS4&gt;=DV$18,DS4&lt;&gt;"",DR4&gt;=DV$14,DR4&lt;&gt;""),AND(EN4&gt;=EQ$18,EN4&lt;&gt;"",EM4&gt;=EQ$14,EM4&lt;&gt;""),AND(FI4&gt;=FL$18,FI4&lt;&gt;"",FH4&gt;=FL$14,FH4&lt;&gt;""),AND(GD4&gt;=GG$18,GD4&lt;&gt;"",GC4&gt;=GG$14,GC4&lt;&gt;""),AND(GY4&gt;=HB$18,GY4&lt;&gt;"",GX4&gt;=HB$14,GX4&lt;&gt;""),AND(HT4&gt;=HW$18,HT4&lt;&gt;"",HS4&gt;=HW$14,HS4&lt;&gt;""),AND(IO4&gt;=IR$18,IO4&lt;&gt;"",IN4&gt;=IR$14,IN4&lt;&gt;""),AND(JJ4&gt;=JM$18,JJ4&lt;&gt;"",JI4&gt;=JM$14,JI4&lt;&gt;""),AND(KE4&gt;=KH$18,KE4&lt;&gt;"",KD4&gt;=KH$14,KD4&lt;&gt;""),AND(KZ4&gt;=LC$18,KZ4&lt;&gt;"",KY4&gt;=LC$14,KY4&lt;&gt;""),AND(LU4&gt;=LX$18,LU4&lt;&gt;"",LT4&gt;=LX$14,LT4&lt;&gt;"")),"Worlds Team",IF(OR(AND(AI4&gt;=AL$17,AI4&lt;&gt;"",AH4&gt;=AL$13,AH4&lt;&gt;"",AG4=""),AND(BE4&gt;=BH$17,BE4&lt;&gt;"",BD4&gt;=BH$13,BD4&lt;&gt;"",BC4=""),AND(CA4&gt;=CD$17,CA4&lt;&gt;"",BZ4&gt;=CD$13,BZ4&lt;&gt;"",BY4=""),AND(CX4&gt;=DA$17,CX4&lt;&gt;"",CW4&gt;=DA$13,CW4&lt;&gt;""),AND(DS4&gt;=DV$17,DS4&lt;&gt;"",DR4&gt;=DV$13,DR4&lt;&gt;""),AND(EN4&gt;=EQ$17,EN4&lt;&gt;"",EM4&gt;=EQ$13,EM4&lt;&gt;""),AND(FI4&gt;=FL$17,FI4&lt;&gt;"",FH4&gt;=FL$13,FH4&lt;&gt;""),AND(GD4&gt;=GG$17,GD4&lt;&gt;"",GC4&gt;=GG$13,GC4&lt;&gt;""),AND(GY4&gt;=HB$17,GY4&lt;&gt;"",GX4&gt;=HB$13,GX4&lt;&gt;""),AND(HT4&gt;=HW$17,HT4&lt;&gt;"",HS4&gt;=HW$13,HS4&lt;&gt;""),AND(IO4&gt;=IR$17,IO4&lt;&gt;"",IN4&gt;=IR$13,IN4&lt;&gt;""),AND(JJ4&gt;=JM$17,JJ4&lt;&gt;"",JI4&gt;=JM$13,JI4&lt;&gt;""),AND(KE4&gt;=KH$17,KE4&lt;&gt;"",KD4&gt;=KH$13,KD4&lt;&gt;""),AND(KZ4&gt;=LC$17,KZ4&lt;&gt;"",KY4&gt;=LC$13,KY4&lt;&gt;""),AND(LU4&gt;=LX$17,LU4&lt;&gt;"",LT4&gt;=LX$13,LT4&lt;&gt;"")),"National Team","")))))</f>
        <v>National Team</v>
      </c>
      <c r="I4" s="3" t="str">
        <f t="shared" ref="I4:I10" si="5">IF(OR(H4="Worlds Team",H4="Excellence",H4="Merit"),"P","")</f>
        <v/>
      </c>
      <c r="J4" s="14">
        <f t="shared" ref="J4:J10" si="6">MAX(AI4,BE4,CA4)</f>
        <v>64.099999999999994</v>
      </c>
      <c r="K4" s="14" t="str">
        <f t="shared" ref="K4:K10" si="7">IF(J4=0,"",IF(J4=CA4,$BI$1,IF(J4=BE4,$AM$1,IF(J4=AI4,$Q$1,""))))</f>
        <v>2021 2nd Virtual Technical Trial</v>
      </c>
      <c r="L4" s="14">
        <f t="shared" ref="L4:L10" si="8">MAX(AK4,BG4,CC4)</f>
        <v>65.099999999999994</v>
      </c>
      <c r="M4" s="14" t="str">
        <f t="shared" ref="M4:M10" si="9">IF(L4=0,"",IF(J4=CC4,$BI$1,IF(L4=BG4,$AM$1,IF(L4=AK4,$Q$1,""))))</f>
        <v>2021 2nd Virtual Technical Trial</v>
      </c>
      <c r="N4" s="14" t="str">
        <f t="shared" ref="N4:N10" si="10">IF(MAX(CE4:CF4)&gt;0,MAX(CE4:CF4),"")</f>
        <v/>
      </c>
      <c r="O4" s="24" t="str">
        <f t="shared" ref="O4:O10" si="11">IF(N4="","",IF(N4=CE4,"(Prelim)",IF(N4=CF4,"(Final)")))</f>
        <v/>
      </c>
      <c r="P4" s="14" t="str">
        <f t="shared" ref="P4:P10" si="12"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72"/>
      <c r="AH4" s="11" t="str">
        <f t="shared" ref="AH4:AH10" si="13">IF(SUM(R4,V4)&gt;0,SUM(R4,V4),"")</f>
        <v/>
      </c>
      <c r="AI4" s="11" t="str">
        <f t="shared" ref="AI4:AI10" si="14">IF(SUM(Q4:R4,T4:V4,X4)-S4-W4&gt;0,SUM(Q4:R4,T4:V4,X4)-S4-W4,"")</f>
        <v/>
      </c>
      <c r="AJ4" s="11" t="str">
        <f t="shared" ref="AJ4:AJ10" si="15">IF(SUM(Z4,AD4)&gt;0,SUM(Z4,AD4),"")</f>
        <v/>
      </c>
      <c r="AK4" s="11" t="str">
        <f t="shared" ref="AK4:AK10" si="16">IF(SUM(Y4:Z4,AB4:AD4,AF4)-SUM(AA4,AE4)&gt;0,SUM(Y4:Z4,AB4:AD4,AF4)-SUM(AA4,AE4),"")</f>
        <v/>
      </c>
      <c r="AL4" s="11" t="str">
        <f t="shared" ref="AL4:AL10" si="17">IF(SUM(AI4,AK4)&gt;0,SUM(AI4,AK4),"")</f>
        <v/>
      </c>
      <c r="AM4" s="36">
        <v>26.1</v>
      </c>
      <c r="AN4" s="36">
        <v>5.9</v>
      </c>
      <c r="AO4" s="36">
        <v>0</v>
      </c>
      <c r="AP4" s="36">
        <v>0.3</v>
      </c>
      <c r="AQ4" s="36">
        <v>26</v>
      </c>
      <c r="AR4" s="36">
        <v>5.5</v>
      </c>
      <c r="AS4" s="36">
        <v>0</v>
      </c>
      <c r="AT4" s="36">
        <v>0.3</v>
      </c>
      <c r="AU4" s="36">
        <v>26.7</v>
      </c>
      <c r="AV4" s="36">
        <v>6.1</v>
      </c>
      <c r="AW4" s="36">
        <v>0</v>
      </c>
      <c r="AX4" s="36">
        <v>0.3</v>
      </c>
      <c r="AY4" s="36">
        <v>26.5</v>
      </c>
      <c r="AZ4" s="36">
        <v>5.5</v>
      </c>
      <c r="BA4" s="36">
        <v>0.3</v>
      </c>
      <c r="BB4" s="36">
        <v>0.3</v>
      </c>
      <c r="BC4" s="73"/>
      <c r="BD4" s="14">
        <f t="shared" ref="BD4:BD10" si="18">IF(SUM(AN4,AR4)&gt;0,SUM(AN4,AR4),"")</f>
        <v>11.4</v>
      </c>
      <c r="BE4" s="14">
        <f t="shared" ref="BE4:BE10" si="19">IF(SUM(AM4:AN4,AP4:AR4,AT4)-AO4-AS4&gt;0,SUM(AM4:AN4,AP4:AR4,AT4)-AO4-AS4,"")</f>
        <v>64.099999999999994</v>
      </c>
      <c r="BF4" s="14">
        <f t="shared" ref="BF4:BF10" si="20">IF(SUM(AV4,AZ4)&gt;0,SUM(AV4,AZ4),"")</f>
        <v>11.6</v>
      </c>
      <c r="BG4" s="14">
        <f t="shared" ref="BG4:BG10" si="21">IF(SUM(AU4:AV4,AX4:AZ4,BB4)-SUM(AW4,BA4)&gt;0,SUM(AU4:AV4,AX4:AZ4,BB4)-SUM(AW4,BA4),"")</f>
        <v>65.099999999999994</v>
      </c>
      <c r="BH4" s="14">
        <f t="shared" ref="BH4:BH10" si="22">IF(SUM(BE4,BG4)&gt;0,SUM(BE4,BG4),"")</f>
        <v>129.19999999999999</v>
      </c>
      <c r="BI4" s="61"/>
      <c r="BJ4" s="61"/>
      <c r="BK4" s="61"/>
      <c r="BL4" s="61"/>
      <c r="BM4" s="61"/>
      <c r="BN4" s="61"/>
      <c r="BO4" s="61"/>
      <c r="BP4" s="61"/>
      <c r="BQ4" s="61"/>
      <c r="BR4" s="61"/>
      <c r="BS4" s="61"/>
      <c r="BT4" s="61"/>
      <c r="BU4" s="61"/>
      <c r="BV4" s="61"/>
      <c r="BW4" s="61"/>
      <c r="BX4" s="61"/>
      <c r="BY4" s="72"/>
      <c r="BZ4" s="11" t="str">
        <f t="shared" ref="BZ4:BZ10" si="23">IF(SUM(BJ4,BN4)&gt;0,SUM(BJ4,BN4),"")</f>
        <v/>
      </c>
      <c r="CA4" s="11" t="str">
        <f t="shared" ref="CA4:CA10" si="24">IF(SUM(BI4:BJ4,BL4:BN4,BP4)-BK4-BO4&gt;0,SUM(BI4:BJ4,BL4:BN4,BP4)-BK4-BO4,"")</f>
        <v/>
      </c>
      <c r="CB4" s="11" t="str">
        <f t="shared" ref="CB4:CB10" si="25">IF(SUM(BR4,BV4)&gt;0,SUM(BR4,BV4),"")</f>
        <v/>
      </c>
      <c r="CC4" s="11" t="str">
        <f t="shared" ref="CC4:CC10" si="26">IF(SUM(BQ4:BR4,BT4:BV4,BX4)-SUM(BS4,BW4)&gt;0,SUM(BQ4:BR4,BT4:BV4,BX4)-SUM(BS4,BW4),"")</f>
        <v/>
      </c>
      <c r="CD4" s="11" t="str">
        <f t="shared" ref="CD4:CD10" si="27">IF(SUM(CA4,CC4)&gt;0,SUM(CA4,CC4),"")</f>
        <v/>
      </c>
      <c r="CE4" s="23" t="str">
        <f t="shared" ref="CE4:CE10" si="28">IF(MAX(CX4,DS4,EN4,FI4,GD4,GY4,HT4,IO4,JJ4,KE4,KZ4,LU4)-IF(J4="",0,J4)&gt;0.001,MAX(CX4,DS4,EN4,FI4,GD4,GY4,HT4,IO4,JJ4,KE4,KZ4,LU4)-IF(J4="",0,J4),"")</f>
        <v/>
      </c>
      <c r="CF4" s="23" t="str">
        <f t="shared" ref="CF4:CF10" si="29">IF(MAX(CZ4,DU4,EP4,FK4,GF4,HA4,HV4,IQ4,JL4,KG4,LB4,LW4)-IF(L4="",0,L4)&gt;0.001,MAX(CZ4,DU4,EP4,FK4,GF4,HA4,HV4,IQ4,JL4,KG4,LB4,LW4)-IF(L4="",0,L4),"")</f>
        <v/>
      </c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11" t="str">
        <f t="shared" ref="CW4:CW10" si="30">IF(SUM(CH4,CL4)&gt;0,SUM(CH4,CL4),"")</f>
        <v/>
      </c>
      <c r="CX4" s="11" t="str">
        <f t="shared" ref="CX4:CX10" si="31">IF(SUM(CG4:CH4,CJ4:CL4,CN4)-CI4-CM4&gt;0,SUM(CG4:CH4,CJ4:CL4,CN4)-CI4-CM4,"")</f>
        <v/>
      </c>
      <c r="CY4" s="11" t="str">
        <f t="shared" ref="CY4:CY10" si="32">IF(SUM(CP4,CT4)&gt;0,SUM(CP4,CT4),"")</f>
        <v/>
      </c>
      <c r="CZ4" s="11" t="str">
        <f t="shared" ref="CZ4:CZ10" si="33">IF(SUM(CO4:CP4,CR4:CT4,CV4)-SUM(CQ4,CU4)&gt;0,SUM(CO4:CP4,CR4:CT4,CV4)-SUM(CQ4,CU4),"")</f>
        <v/>
      </c>
      <c r="DA4" s="11" t="str">
        <f t="shared" ref="DA4:DA10" si="34">IF(SUM(CX4,CZ4)&gt;0,SUM(CX4,CZ4),"")</f>
        <v/>
      </c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14" t="str">
        <f t="shared" ref="DR4:DR10" si="35">IF(SUM(DC4,DG4)&gt;0,SUM(DC4,DG4),"")</f>
        <v/>
      </c>
      <c r="DS4" s="14" t="str">
        <f t="shared" ref="DS4:DS10" si="36">IF(SUM(DB4:DC4,DE4:DG4,DI4)-DD4-DH4&gt;0,SUM(DB4:DC4,DE4:DG4,DI4)-DD4-DH4,"")</f>
        <v/>
      </c>
      <c r="DT4" s="14" t="str">
        <f t="shared" ref="DT4:DT10" si="37">IF(SUM(DK4,DO4)&gt;0,SUM(DK4,DO4),"")</f>
        <v/>
      </c>
      <c r="DU4" s="14" t="str">
        <f t="shared" ref="DU4:DU10" si="38">IF(SUM(DJ4:DK4,DM4:DO4,DQ4)-SUM(DL4,DP4)&gt;0,SUM(DJ4:DK4,DM4:DO4,DQ4)-SUM(DL4,DP4),"")</f>
        <v/>
      </c>
      <c r="DV4" s="14" t="str">
        <f t="shared" ref="DV4:DV10" si="39">IF(SUM(DS4,DU4)&gt;0,SUM(DS4,DU4),"")</f>
        <v/>
      </c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11" t="str">
        <f t="shared" ref="EM4:EM10" si="40">IF(SUM(DX4,EB4)&gt;0,SUM(DX4,EB4),"")</f>
        <v/>
      </c>
      <c r="EN4" s="11" t="str">
        <f t="shared" ref="EN4:EN10" si="41">IF(SUM(DW4:DX4,DZ4:EB4,ED4)-DY4-EC4&gt;0,SUM(DW4:DX4,DZ4:EB4,ED4)-DY4-EC4,"")</f>
        <v/>
      </c>
      <c r="EO4" s="11" t="str">
        <f t="shared" ref="EO4:EO10" si="42">IF(SUM(EF4,EJ4)&gt;0,SUM(EF4,EJ4),"")</f>
        <v/>
      </c>
      <c r="EP4" s="11" t="str">
        <f t="shared" ref="EP4:EP10" si="43">IF(SUM(EE4:EF4,EH4:EJ4,EL4)-SUM(EG4,EK4)&gt;0,SUM(EE4:EF4,EH4:EJ4,EL4)-SUM(EG4,EK4),"")</f>
        <v/>
      </c>
      <c r="EQ4" s="11" t="str">
        <f t="shared" ref="EQ4:EQ10" si="44">IF(SUM(EN4,EP4)&gt;0,SUM(EN4,EP4),"")</f>
        <v/>
      </c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14" t="str">
        <f t="shared" ref="FH4:FH10" si="45">IF(SUM(ES4,EW4)&gt;0,SUM(ES4,EW4),"")</f>
        <v/>
      </c>
      <c r="FI4" s="14" t="str">
        <f t="shared" ref="FI4:FI10" si="46">IF(SUM(ER4:ES4,EU4:EW4,EY4)-ET4-EX4&gt;0,SUM(ER4:ES4,EU4:EW4,EY4)-ET4-EX4,"")</f>
        <v/>
      </c>
      <c r="FJ4" s="14" t="str">
        <f t="shared" ref="FJ4:FJ10" si="47">IF(SUM(FA4,FE4)&gt;0,SUM(FA4,FE4),"")</f>
        <v/>
      </c>
      <c r="FK4" s="14" t="str">
        <f t="shared" ref="FK4:FK10" si="48">IF(SUM(EZ4:FA4,FC4:FE4,FG4)-SUM(FB4,FF4)&gt;0,SUM(EZ4:FA4,FC4:FE4,FG4)-SUM(FB4,FF4),"")</f>
        <v/>
      </c>
      <c r="FL4" s="14" t="str">
        <f t="shared" ref="FL4:FL10" si="49">IF(SUM(FI4,FK4)&gt;0,SUM(FI4,FK4),"")</f>
        <v/>
      </c>
      <c r="FM4" s="35"/>
      <c r="FN4" s="35"/>
      <c r="FO4" s="35"/>
      <c r="FP4" s="35"/>
      <c r="FQ4" s="35"/>
      <c r="FR4" s="35"/>
      <c r="FS4" s="35"/>
      <c r="FT4" s="35"/>
      <c r="FU4" s="35"/>
      <c r="FV4" s="35"/>
      <c r="FW4" s="35"/>
      <c r="FX4" s="35"/>
      <c r="FY4" s="35"/>
      <c r="FZ4" s="35"/>
      <c r="GA4" s="35"/>
      <c r="GB4" s="35"/>
      <c r="GC4" s="11" t="str">
        <f t="shared" ref="GC4:GC10" si="50">IF(SUM(FN4,FR4)&gt;0,SUM(FN4,FR4),"")</f>
        <v/>
      </c>
      <c r="GD4" s="11" t="str">
        <f t="shared" ref="GD4:GD10" si="51">IF(SUM(FM4:FN4,FP4:FR4,FT4)-FO4-FS4&gt;0,SUM(FM4:FN4,FP4:FR4,FT4)-FO4-FS4,"")</f>
        <v/>
      </c>
      <c r="GE4" s="11" t="str">
        <f t="shared" ref="GE4:GE10" si="52">IF(SUM(FV4,FZ4)&gt;0,SUM(FV4,FZ4),"")</f>
        <v/>
      </c>
      <c r="GF4" s="11" t="str">
        <f t="shared" ref="GF4:GF10" si="53">IF(SUM(FU4:FV4,FX4:FZ4,GB4)-SUM(FW4,GA4)&gt;0,SUM(FU4:FV4,FX4:FZ4,GB4)-SUM(FW4,GA4),"")</f>
        <v/>
      </c>
      <c r="GG4" s="11" t="str">
        <f t="shared" ref="GG4:GG10" si="54">IF(SUM(GD4,GF4)&gt;0,SUM(GD4,GF4),"")</f>
        <v/>
      </c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14" t="str">
        <f t="shared" ref="GX4:GX10" si="55">IF(SUM(GI4,GM4)&gt;0,SUM(GI4,GM4),"")</f>
        <v/>
      </c>
      <c r="GY4" s="14" t="str">
        <f t="shared" ref="GY4:GY10" si="56">IF(SUM(GH4:GI4,GK4:GM4,GO4)-GJ4-GN4&gt;0,SUM(GH4:GI4,GK4:GM4,GO4)-GJ4-GN4,"")</f>
        <v/>
      </c>
      <c r="GZ4" s="14" t="str">
        <f t="shared" ref="GZ4:GZ10" si="57">IF(SUM(GQ4,GU4)&gt;0,SUM(GQ4,GU4),"")</f>
        <v/>
      </c>
      <c r="HA4" s="14" t="str">
        <f t="shared" ref="HA4:HA10" si="58">IF(SUM(GP4:GQ4,GS4:GU4,GW4)-SUM(GR4,GV4)&gt;0,SUM(GP4:GQ4,GS4:GU4,GW4)-SUM(GR4,GV4),"")</f>
        <v/>
      </c>
      <c r="HB4" s="14" t="str">
        <f t="shared" ref="HB4:HB10" si="59">IF(SUM(GY4,HA4)&gt;0,SUM(GY4,HA4),"")</f>
        <v/>
      </c>
      <c r="HC4" s="35"/>
      <c r="HD4" s="35"/>
      <c r="HE4" s="35"/>
      <c r="HF4" s="35"/>
      <c r="HG4" s="35"/>
      <c r="HH4" s="35"/>
      <c r="HI4" s="35"/>
      <c r="HJ4" s="35"/>
      <c r="HK4" s="35"/>
      <c r="HL4" s="35"/>
      <c r="HM4" s="35"/>
      <c r="HN4" s="35"/>
      <c r="HO4" s="35"/>
      <c r="HP4" s="35"/>
      <c r="HQ4" s="35"/>
      <c r="HR4" s="35"/>
      <c r="HS4" s="11" t="str">
        <f t="shared" ref="HS4:HS10" si="60">IF(SUM(HD4,HH4)&gt;0,SUM(HD4,HH4),"")</f>
        <v/>
      </c>
      <c r="HT4" s="11" t="str">
        <f t="shared" ref="HT4:HT10" si="61">IF(SUM(HC4:HD4,HF4:HH4,HJ4)-HE4-HI4&gt;0,SUM(HC4:HD4,HF4:HH4,HJ4)-HE4-HI4,"")</f>
        <v/>
      </c>
      <c r="HU4" s="11" t="str">
        <f t="shared" ref="HU4:HU10" si="62">IF(SUM(HL4,HP4)&gt;0,SUM(HL4,HP4),"")</f>
        <v/>
      </c>
      <c r="HV4" s="11" t="str">
        <f t="shared" ref="HV4:HV10" si="63">IF(SUM(HK4:HL4,HN4:HP4,HR4)-SUM(HM4,HQ4)&gt;0,SUM(HK4:HL4,HN4:HP4,HR4)-SUM(HM4,HQ4),"")</f>
        <v/>
      </c>
      <c r="HW4" s="11" t="str">
        <f t="shared" ref="HW4:HW10" si="64">IF(SUM(HT4,HV4)&gt;0,SUM(HT4,HV4),"")</f>
        <v/>
      </c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14" t="str">
        <f t="shared" ref="IN4:IN10" si="65">IF(SUM(HY4,IC4)&gt;0,SUM(HY4,IC4),"")</f>
        <v/>
      </c>
      <c r="IO4" s="14" t="str">
        <f t="shared" ref="IO4:IO10" si="66">IF(SUM(HX4:HY4,IA4:IC4,IE4)-HZ4-ID4&gt;0,SUM(HX4:HY4,IA4:IC4,IE4)-HZ4-ID4,"")</f>
        <v/>
      </c>
      <c r="IP4" s="14"/>
      <c r="IQ4" s="14" t="str">
        <f t="shared" ref="IQ4:IQ10" si="67">IF(SUM(IF4:IG4,II4:IK4,IM4)-SUM(IH4,IL4)&gt;0,SUM(IF4:IG4,II4:IK4,IM4)-SUM(IH4,IL4),"")</f>
        <v/>
      </c>
      <c r="IR4" s="14" t="str">
        <f t="shared" ref="IR4:IR10" si="68">IF(SUM(IO4,IQ4)&gt;0,SUM(IO4,IQ4),"")</f>
        <v/>
      </c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35"/>
      <c r="JD4" s="35"/>
      <c r="JE4" s="35"/>
      <c r="JF4" s="35"/>
      <c r="JG4" s="35"/>
      <c r="JH4" s="35"/>
      <c r="JI4" s="11" t="str">
        <f t="shared" ref="JI4:JI10" si="69">IF(SUM(IT4,IX4)&gt;0,SUM(IT4,IX4),"")</f>
        <v/>
      </c>
      <c r="JJ4" s="11" t="str">
        <f t="shared" ref="JJ4:JJ10" si="70">IF(SUM(IS4:IT4,IV4:IX4,IZ4)-IU4-IY4&gt;0,SUM(IS4:IT4,IV4:IX4,IZ4)-IU4-IY4,"")</f>
        <v/>
      </c>
      <c r="JK4" s="11" t="str">
        <f t="shared" ref="JK4:JK10" si="71">IF(SUM(JB4,JF4)&gt;0,SUM(JB4,JF4),"")</f>
        <v/>
      </c>
      <c r="JL4" s="11" t="str">
        <f t="shared" ref="JL4:JL10" si="72">IF(SUM(JA4:JB4,JD4:JF4,JH4)-SUM(JC4,JG4)&gt;0,SUM(JA4:JB4,JD4:JF4,JH4)-SUM(JC4,JG4),"")</f>
        <v/>
      </c>
      <c r="JM4" s="11" t="str">
        <f t="shared" ref="JM4:JM10" si="73">IF(SUM(JJ4,JL4)&gt;0,SUM(JJ4,JL4),"")</f>
        <v/>
      </c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14" t="str">
        <f t="shared" ref="KD4:KD10" si="74">IF(SUM(JO4,JS4)&gt;0,SUM(JO4,JS4),"")</f>
        <v/>
      </c>
      <c r="KE4" s="14" t="str">
        <f t="shared" ref="KE4:KE10" si="75">IF(SUM(JN4:JO4,JQ4:JS4,JU4)-JP4-JT4&gt;0,SUM(JN4:JO4,JQ4:JS4,JU4)-JP4-JT4,"")</f>
        <v/>
      </c>
      <c r="KF4" s="14" t="str">
        <f t="shared" ref="KF4:KF10" si="76">IF(SUM(JW4,KA4)&gt;0,SUM(JW4,KA4),"")</f>
        <v/>
      </c>
      <c r="KG4" s="14" t="str">
        <f t="shared" ref="KG4:KG10" si="77">IF(SUM(JV4:JW4,JY4:KA4,KC4)-SUM(JX4,KB4)&gt;0,SUM(JV4:JW4,JY4:KA4,KC4)-SUM(JX4,KB4),"")</f>
        <v/>
      </c>
      <c r="KH4" s="14" t="str">
        <f t="shared" ref="KH4:KH10" si="78">IF(SUM(KE4,KG4)&gt;0,SUM(KE4,KG4),"")</f>
        <v/>
      </c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35"/>
      <c r="KV4" s="35"/>
      <c r="KW4" s="35"/>
      <c r="KX4" s="35"/>
      <c r="KY4" s="11" t="str">
        <f t="shared" ref="KY4:KY10" si="79">IF(SUM(KJ4,KN4)&gt;0,SUM(KJ4,KN4),"")</f>
        <v/>
      </c>
      <c r="KZ4" s="11" t="str">
        <f t="shared" ref="KZ4:KZ10" si="80">IF(SUM(KI4:KJ4,KL4:KN4,KP4)-KK4-KO4&gt;0,SUM(KI4:KJ4,KL4:KN4,KP4)-KK4-KO4,"")</f>
        <v/>
      </c>
      <c r="LA4" s="11" t="str">
        <f t="shared" ref="LA4:LA10" si="81">IF(SUM(KR4,KV4)&gt;0,SUM(KR4,KV4),"")</f>
        <v/>
      </c>
      <c r="LB4" s="11" t="str">
        <f t="shared" ref="LB4:LB10" si="82">IF(SUM(KQ4:KR4,KT4:KV4,KX4)-SUM(KS4,KW4)&gt;0,SUM(KQ4:KR4,KT4:KV4,KX4)-SUM(KS4,KW4),"")</f>
        <v/>
      </c>
      <c r="LC4" s="11" t="str">
        <f t="shared" ref="LC4:LC10" si="83">IF(SUM(KZ4,LB4)&gt;0,SUM(KZ4,LB4),"")</f>
        <v/>
      </c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14" t="str">
        <f t="shared" ref="LT4:LT10" si="84">IF(SUM(LE4,LI4)&gt;0,SUM(LE4,LI4),"")</f>
        <v/>
      </c>
      <c r="LU4" s="14" t="str">
        <f t="shared" ref="LU4:LU10" si="85">IF(SUM(LD4:LE4,LG4:LI4,LK4)-LF4-LJ4&gt;0,SUM(LD4:LE4,LG4:LI4,LK4)-LF4-LJ4,"")</f>
        <v/>
      </c>
      <c r="LV4" s="14" t="str">
        <f t="shared" ref="LV4:LV10" si="86">IF(SUM(LM4,LQ4)&gt;0,SUM(LM4,LQ4),"")</f>
        <v/>
      </c>
      <c r="LW4" s="14" t="str">
        <f t="shared" ref="LW4:LW10" si="87">IF(SUM(LL4:LM4,LO4:LQ4,LS4)-SUM(LN4,LR4)&gt;0,SUM(LL4:LM4,LO4:LQ4,LS4)-SUM(LN4,LR4),"")</f>
        <v/>
      </c>
      <c r="LX4" s="14" t="str">
        <f t="shared" ref="LX4:LX10" si="88">IF(SUM(LU4,LW4)&gt;0,SUM(LU4,LW4),"")</f>
        <v/>
      </c>
      <c r="LY4" s="61">
        <f t="shared" ref="LY4:MN10" si="89">IF($BY4="P",BI4,(BI4+AM4)/2)</f>
        <v>13.05</v>
      </c>
      <c r="LZ4" s="61">
        <f t="shared" si="89"/>
        <v>2.95</v>
      </c>
      <c r="MA4" s="61">
        <f t="shared" si="89"/>
        <v>0</v>
      </c>
      <c r="MB4" s="61">
        <f t="shared" si="89"/>
        <v>0.15</v>
      </c>
      <c r="MC4" s="61">
        <f t="shared" si="89"/>
        <v>13</v>
      </c>
      <c r="MD4" s="61">
        <f t="shared" si="89"/>
        <v>2.75</v>
      </c>
      <c r="ME4" s="61">
        <f t="shared" si="89"/>
        <v>0</v>
      </c>
      <c r="MF4" s="61">
        <f t="shared" si="89"/>
        <v>0.15</v>
      </c>
      <c r="MG4" s="61">
        <f t="shared" si="89"/>
        <v>13.35</v>
      </c>
      <c r="MH4" s="61">
        <f t="shared" si="89"/>
        <v>3.05</v>
      </c>
      <c r="MI4" s="61">
        <f t="shared" si="89"/>
        <v>0</v>
      </c>
      <c r="MJ4" s="61">
        <f t="shared" si="89"/>
        <v>0.15</v>
      </c>
      <c r="MK4" s="61">
        <f t="shared" si="89"/>
        <v>13.25</v>
      </c>
      <c r="ML4" s="61">
        <f t="shared" si="89"/>
        <v>2.75</v>
      </c>
      <c r="MM4" s="61">
        <f t="shared" si="89"/>
        <v>0.15</v>
      </c>
      <c r="MN4" s="61">
        <f t="shared" si="89"/>
        <v>0.15</v>
      </c>
      <c r="MO4" s="72" t="s">
        <v>52</v>
      </c>
      <c r="MP4" s="11">
        <f t="shared" ref="MP4:MP10" si="90">IF(SUM(LZ4,MD4)&gt;0,SUM(LZ4,MD4),"")</f>
        <v>5.7</v>
      </c>
      <c r="MQ4" s="11">
        <f t="shared" ref="MQ4:MQ10" si="91">IF(SUM(LY4:LZ4,MB4:MD4,MF4)-MA4-ME4&gt;0,SUM(LY4:LZ4,MB4:MD4,MF4)-MA4-ME4,"")</f>
        <v>32.049999999999997</v>
      </c>
      <c r="MR4" s="11">
        <f t="shared" ref="MR4:MR10" si="92">IF(SUM(MH4,ML4)&gt;0,SUM(MH4,ML4),"")</f>
        <v>5.8</v>
      </c>
      <c r="MS4" s="11">
        <f t="shared" ref="MS4:MS10" si="93">IF(SUM(MG4:MH4,MJ4:ML4,MN4)-SUM(MI4,MM4)&gt;0,SUM(MG4:MH4,MJ4:ML4,MN4)-SUM(MI4,MM4),"")</f>
        <v>32.549999999999997</v>
      </c>
      <c r="MT4" s="11">
        <f t="shared" ref="MT4:MT10" si="94">IF(SUM(MQ4,MS4)&gt;0,SUM(MQ4,MS4),"")</f>
        <v>64.599999999999994</v>
      </c>
    </row>
    <row r="5" spans="1:358" x14ac:dyDescent="0.2">
      <c r="A5" s="5">
        <f t="shared" si="0"/>
        <v>2</v>
      </c>
      <c r="B5" s="6" t="s">
        <v>84</v>
      </c>
      <c r="C5" s="7" t="s">
        <v>4</v>
      </c>
      <c r="D5" s="26">
        <v>2002</v>
      </c>
      <c r="E5" s="15">
        <f t="shared" si="1"/>
        <v>128</v>
      </c>
      <c r="F5" s="3" t="str">
        <f t="shared" si="2"/>
        <v>P</v>
      </c>
      <c r="G5" s="3" t="str">
        <f t="shared" si="3"/>
        <v>P</v>
      </c>
      <c r="H5" s="116" t="str">
        <f t="shared" si="4"/>
        <v>National Team</v>
      </c>
      <c r="I5" s="3" t="str">
        <f t="shared" si="5"/>
        <v/>
      </c>
      <c r="J5" s="14">
        <f t="shared" si="6"/>
        <v>63.9</v>
      </c>
      <c r="K5" s="14" t="str">
        <f t="shared" si="7"/>
        <v>2021 Elite Canada</v>
      </c>
      <c r="L5" s="14">
        <f t="shared" si="8"/>
        <v>64.099999999999994</v>
      </c>
      <c r="M5" s="14" t="str">
        <f t="shared" si="9"/>
        <v/>
      </c>
      <c r="N5" s="14" t="str">
        <f t="shared" si="10"/>
        <v/>
      </c>
      <c r="O5" s="24" t="str">
        <f t="shared" si="11"/>
        <v/>
      </c>
      <c r="P5" s="14" t="str">
        <f t="shared" si="12"/>
        <v/>
      </c>
      <c r="Q5" s="41">
        <v>23.1</v>
      </c>
      <c r="R5" s="41">
        <v>4.4000000000000004</v>
      </c>
      <c r="S5" s="41">
        <v>0.6</v>
      </c>
      <c r="T5" s="41">
        <v>0</v>
      </c>
      <c r="U5" s="41">
        <v>26.2</v>
      </c>
      <c r="V5" s="41">
        <v>6.1</v>
      </c>
      <c r="W5" s="41">
        <v>0</v>
      </c>
      <c r="X5" s="41">
        <v>0</v>
      </c>
      <c r="Y5" s="41">
        <v>22.6</v>
      </c>
      <c r="Z5" s="41">
        <v>5.6</v>
      </c>
      <c r="AA5" s="41">
        <v>0.3</v>
      </c>
      <c r="AB5" s="41">
        <v>0</v>
      </c>
      <c r="AC5" s="41">
        <v>24.8</v>
      </c>
      <c r="AD5" s="41">
        <v>5.9</v>
      </c>
      <c r="AE5" s="41">
        <v>0</v>
      </c>
      <c r="AF5" s="41">
        <v>0</v>
      </c>
      <c r="AG5" s="72"/>
      <c r="AH5" s="11">
        <f t="shared" si="13"/>
        <v>10.5</v>
      </c>
      <c r="AI5" s="11">
        <f t="shared" si="14"/>
        <v>59.2</v>
      </c>
      <c r="AJ5" s="11">
        <f t="shared" si="15"/>
        <v>11.5</v>
      </c>
      <c r="AK5" s="11">
        <f t="shared" si="16"/>
        <v>58.6</v>
      </c>
      <c r="AL5" s="11">
        <f t="shared" si="17"/>
        <v>117.80000000000001</v>
      </c>
      <c r="AM5" s="36">
        <v>27.2</v>
      </c>
      <c r="AN5" s="36">
        <v>5.8</v>
      </c>
      <c r="AO5" s="36">
        <v>0</v>
      </c>
      <c r="AP5" s="36">
        <v>0</v>
      </c>
      <c r="AQ5" s="36">
        <v>24.7</v>
      </c>
      <c r="AR5" s="36">
        <v>6.1</v>
      </c>
      <c r="AS5" s="36">
        <v>0.3</v>
      </c>
      <c r="AT5" s="36">
        <v>0</v>
      </c>
      <c r="AU5" s="36">
        <v>25.8</v>
      </c>
      <c r="AV5" s="36">
        <v>5.4</v>
      </c>
      <c r="AW5" s="36">
        <v>0.1</v>
      </c>
      <c r="AX5" s="36">
        <v>0</v>
      </c>
      <c r="AY5" s="36">
        <v>26.4</v>
      </c>
      <c r="AZ5" s="36">
        <v>6.1</v>
      </c>
      <c r="BA5" s="36">
        <v>0</v>
      </c>
      <c r="BB5" s="36">
        <v>0</v>
      </c>
      <c r="BC5" s="73"/>
      <c r="BD5" s="14">
        <f t="shared" si="18"/>
        <v>11.899999999999999</v>
      </c>
      <c r="BE5" s="14">
        <f t="shared" si="19"/>
        <v>63.500000000000007</v>
      </c>
      <c r="BF5" s="14">
        <f t="shared" si="20"/>
        <v>11.5</v>
      </c>
      <c r="BG5" s="14">
        <f t="shared" si="21"/>
        <v>63.6</v>
      </c>
      <c r="BH5" s="14">
        <f t="shared" si="22"/>
        <v>127.10000000000001</v>
      </c>
      <c r="BI5" s="41">
        <v>26.3</v>
      </c>
      <c r="BJ5" s="41">
        <v>5.8</v>
      </c>
      <c r="BK5" s="41">
        <v>0</v>
      </c>
      <c r="BL5" s="41">
        <v>0</v>
      </c>
      <c r="BM5" s="41">
        <v>25.7</v>
      </c>
      <c r="BN5" s="41">
        <v>6.1</v>
      </c>
      <c r="BO5" s="41">
        <v>0</v>
      </c>
      <c r="BP5" s="41">
        <v>0</v>
      </c>
      <c r="BQ5" s="41">
        <v>26.4</v>
      </c>
      <c r="BR5" s="41">
        <v>6.9</v>
      </c>
      <c r="BS5" s="41">
        <v>0</v>
      </c>
      <c r="BT5" s="41">
        <v>0</v>
      </c>
      <c r="BU5" s="41">
        <v>25.1</v>
      </c>
      <c r="BV5" s="41">
        <v>5.7</v>
      </c>
      <c r="BW5" s="41">
        <v>0</v>
      </c>
      <c r="BX5" s="41">
        <v>0</v>
      </c>
      <c r="BY5" s="72"/>
      <c r="BZ5" s="11">
        <f t="shared" si="23"/>
        <v>11.899999999999999</v>
      </c>
      <c r="CA5" s="11">
        <f t="shared" si="24"/>
        <v>63.9</v>
      </c>
      <c r="CB5" s="11">
        <f t="shared" si="25"/>
        <v>12.600000000000001</v>
      </c>
      <c r="CC5" s="11">
        <f t="shared" si="26"/>
        <v>64.099999999999994</v>
      </c>
      <c r="CD5" s="11">
        <f t="shared" si="27"/>
        <v>128</v>
      </c>
      <c r="CE5" s="23" t="str">
        <f t="shared" si="28"/>
        <v/>
      </c>
      <c r="CF5" s="23" t="str">
        <f t="shared" si="29"/>
        <v/>
      </c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  <c r="CW5" s="11" t="str">
        <f t="shared" si="30"/>
        <v/>
      </c>
      <c r="CX5" s="11" t="str">
        <f t="shared" si="31"/>
        <v/>
      </c>
      <c r="CY5" s="11" t="str">
        <f t="shared" si="32"/>
        <v/>
      </c>
      <c r="CZ5" s="11" t="str">
        <f t="shared" si="33"/>
        <v/>
      </c>
      <c r="DA5" s="11" t="str">
        <f t="shared" si="34"/>
        <v/>
      </c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36"/>
      <c r="DN5" s="36"/>
      <c r="DO5" s="36"/>
      <c r="DP5" s="36"/>
      <c r="DQ5" s="36"/>
      <c r="DR5" s="14" t="str">
        <f t="shared" si="35"/>
        <v/>
      </c>
      <c r="DS5" s="14" t="str">
        <f t="shared" si="36"/>
        <v/>
      </c>
      <c r="DT5" s="14" t="str">
        <f t="shared" si="37"/>
        <v/>
      </c>
      <c r="DU5" s="14" t="str">
        <f t="shared" si="38"/>
        <v/>
      </c>
      <c r="DV5" s="14" t="str">
        <f t="shared" si="39"/>
        <v/>
      </c>
      <c r="DW5" s="35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11" t="str">
        <f t="shared" si="40"/>
        <v/>
      </c>
      <c r="EN5" s="11" t="str">
        <f t="shared" si="41"/>
        <v/>
      </c>
      <c r="EO5" s="11" t="str">
        <f t="shared" si="42"/>
        <v/>
      </c>
      <c r="EP5" s="11" t="str">
        <f t="shared" si="43"/>
        <v/>
      </c>
      <c r="EQ5" s="11" t="str">
        <f t="shared" si="44"/>
        <v/>
      </c>
      <c r="ER5" s="36"/>
      <c r="ES5" s="36"/>
      <c r="ET5" s="36"/>
      <c r="EU5" s="36"/>
      <c r="EV5" s="36"/>
      <c r="EW5" s="36"/>
      <c r="EX5" s="36"/>
      <c r="EY5" s="36"/>
      <c r="EZ5" s="36"/>
      <c r="FA5" s="36"/>
      <c r="FB5" s="36"/>
      <c r="FC5" s="36"/>
      <c r="FD5" s="36"/>
      <c r="FE5" s="36"/>
      <c r="FF5" s="36"/>
      <c r="FG5" s="36"/>
      <c r="FH5" s="14" t="str">
        <f t="shared" si="45"/>
        <v/>
      </c>
      <c r="FI5" s="14" t="str">
        <f t="shared" si="46"/>
        <v/>
      </c>
      <c r="FJ5" s="14" t="str">
        <f t="shared" si="47"/>
        <v/>
      </c>
      <c r="FK5" s="14" t="str">
        <f t="shared" si="48"/>
        <v/>
      </c>
      <c r="FL5" s="14" t="str">
        <f t="shared" si="49"/>
        <v/>
      </c>
      <c r="FM5" s="35"/>
      <c r="FN5" s="35"/>
      <c r="FO5" s="35"/>
      <c r="FP5" s="35"/>
      <c r="FQ5" s="35"/>
      <c r="FR5" s="35"/>
      <c r="FS5" s="35"/>
      <c r="FT5" s="35"/>
      <c r="FU5" s="35"/>
      <c r="FV5" s="35"/>
      <c r="FW5" s="35"/>
      <c r="FX5" s="35"/>
      <c r="FY5" s="35"/>
      <c r="FZ5" s="35"/>
      <c r="GA5" s="35"/>
      <c r="GB5" s="35"/>
      <c r="GC5" s="11" t="str">
        <f t="shared" si="50"/>
        <v/>
      </c>
      <c r="GD5" s="11" t="str">
        <f t="shared" si="51"/>
        <v/>
      </c>
      <c r="GE5" s="11" t="str">
        <f t="shared" si="52"/>
        <v/>
      </c>
      <c r="GF5" s="11" t="str">
        <f t="shared" si="53"/>
        <v/>
      </c>
      <c r="GG5" s="11" t="str">
        <f t="shared" si="54"/>
        <v/>
      </c>
      <c r="GH5" s="36"/>
      <c r="GI5" s="36"/>
      <c r="GJ5" s="36"/>
      <c r="GK5" s="36"/>
      <c r="GL5" s="36"/>
      <c r="GM5" s="36"/>
      <c r="GN5" s="36"/>
      <c r="GO5" s="36"/>
      <c r="GP5" s="36"/>
      <c r="GQ5" s="36"/>
      <c r="GR5" s="36"/>
      <c r="GS5" s="36"/>
      <c r="GT5" s="36"/>
      <c r="GU5" s="36"/>
      <c r="GV5" s="36"/>
      <c r="GW5" s="36"/>
      <c r="GX5" s="14" t="str">
        <f t="shared" si="55"/>
        <v/>
      </c>
      <c r="GY5" s="14" t="str">
        <f t="shared" si="56"/>
        <v/>
      </c>
      <c r="GZ5" s="14" t="str">
        <f t="shared" si="57"/>
        <v/>
      </c>
      <c r="HA5" s="14" t="str">
        <f t="shared" si="58"/>
        <v/>
      </c>
      <c r="HB5" s="14" t="str">
        <f t="shared" si="59"/>
        <v/>
      </c>
      <c r="HC5" s="35"/>
      <c r="HD5" s="35"/>
      <c r="HE5" s="35"/>
      <c r="HF5" s="35"/>
      <c r="HG5" s="35"/>
      <c r="HH5" s="35"/>
      <c r="HI5" s="35"/>
      <c r="HJ5" s="35"/>
      <c r="HK5" s="35"/>
      <c r="HL5" s="35"/>
      <c r="HM5" s="35"/>
      <c r="HN5" s="35"/>
      <c r="HO5" s="35"/>
      <c r="HP5" s="35"/>
      <c r="HQ5" s="35"/>
      <c r="HR5" s="35"/>
      <c r="HS5" s="11" t="str">
        <f t="shared" si="60"/>
        <v/>
      </c>
      <c r="HT5" s="11" t="str">
        <f t="shared" si="61"/>
        <v/>
      </c>
      <c r="HU5" s="11" t="str">
        <f t="shared" si="62"/>
        <v/>
      </c>
      <c r="HV5" s="11" t="str">
        <f t="shared" si="63"/>
        <v/>
      </c>
      <c r="HW5" s="11" t="str">
        <f t="shared" si="64"/>
        <v/>
      </c>
      <c r="HX5" s="36"/>
      <c r="HY5" s="36"/>
      <c r="HZ5" s="36"/>
      <c r="IA5" s="36"/>
      <c r="IB5" s="36"/>
      <c r="IC5" s="36"/>
      <c r="ID5" s="36"/>
      <c r="IE5" s="36"/>
      <c r="IF5" s="36"/>
      <c r="IG5" s="36"/>
      <c r="IH5" s="36"/>
      <c r="II5" s="36"/>
      <c r="IJ5" s="36"/>
      <c r="IK5" s="36"/>
      <c r="IL5" s="36"/>
      <c r="IM5" s="36"/>
      <c r="IN5" s="14" t="str">
        <f t="shared" si="65"/>
        <v/>
      </c>
      <c r="IO5" s="14" t="str">
        <f t="shared" si="66"/>
        <v/>
      </c>
      <c r="IP5" s="14" t="str">
        <f>IF(SUM(IG5,IK5)&gt;0,SUM(IG5,IK5),"")</f>
        <v/>
      </c>
      <c r="IQ5" s="14" t="str">
        <f t="shared" si="67"/>
        <v/>
      </c>
      <c r="IR5" s="14" t="str">
        <f t="shared" si="68"/>
        <v/>
      </c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35"/>
      <c r="JD5" s="35"/>
      <c r="JE5" s="35"/>
      <c r="JF5" s="35"/>
      <c r="JG5" s="35"/>
      <c r="JH5" s="35"/>
      <c r="JI5" s="11" t="str">
        <f t="shared" si="69"/>
        <v/>
      </c>
      <c r="JJ5" s="11" t="str">
        <f t="shared" si="70"/>
        <v/>
      </c>
      <c r="JK5" s="11" t="str">
        <f t="shared" si="71"/>
        <v/>
      </c>
      <c r="JL5" s="11" t="str">
        <f t="shared" si="72"/>
        <v/>
      </c>
      <c r="JM5" s="11" t="str">
        <f t="shared" si="73"/>
        <v/>
      </c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36"/>
      <c r="JZ5" s="36"/>
      <c r="KA5" s="36"/>
      <c r="KB5" s="36"/>
      <c r="KC5" s="36"/>
      <c r="KD5" s="14" t="str">
        <f t="shared" si="74"/>
        <v/>
      </c>
      <c r="KE5" s="14" t="str">
        <f t="shared" si="75"/>
        <v/>
      </c>
      <c r="KF5" s="14" t="str">
        <f t="shared" si="76"/>
        <v/>
      </c>
      <c r="KG5" s="14" t="str">
        <f t="shared" si="77"/>
        <v/>
      </c>
      <c r="KH5" s="14" t="str">
        <f t="shared" si="78"/>
        <v/>
      </c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35"/>
      <c r="KV5" s="35"/>
      <c r="KW5" s="35"/>
      <c r="KX5" s="35"/>
      <c r="KY5" s="11" t="str">
        <f t="shared" si="79"/>
        <v/>
      </c>
      <c r="KZ5" s="11" t="str">
        <f t="shared" si="80"/>
        <v/>
      </c>
      <c r="LA5" s="11" t="str">
        <f t="shared" si="81"/>
        <v/>
      </c>
      <c r="LB5" s="11" t="str">
        <f t="shared" si="82"/>
        <v/>
      </c>
      <c r="LC5" s="11" t="str">
        <f t="shared" si="83"/>
        <v/>
      </c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36"/>
      <c r="LR5" s="36"/>
      <c r="LS5" s="36"/>
      <c r="LT5" s="14" t="str">
        <f t="shared" si="84"/>
        <v/>
      </c>
      <c r="LU5" s="14" t="str">
        <f t="shared" si="85"/>
        <v/>
      </c>
      <c r="LV5" s="14" t="str">
        <f t="shared" si="86"/>
        <v/>
      </c>
      <c r="LW5" s="14" t="str">
        <f t="shared" si="87"/>
        <v/>
      </c>
      <c r="LX5" s="14" t="str">
        <f t="shared" si="88"/>
        <v/>
      </c>
      <c r="LY5" s="61">
        <f t="shared" si="89"/>
        <v>26.75</v>
      </c>
      <c r="LZ5" s="61">
        <f t="shared" si="89"/>
        <v>5.8</v>
      </c>
      <c r="MA5" s="61">
        <f t="shared" si="89"/>
        <v>0</v>
      </c>
      <c r="MB5" s="61">
        <f t="shared" si="89"/>
        <v>0</v>
      </c>
      <c r="MC5" s="61">
        <f t="shared" si="89"/>
        <v>25.2</v>
      </c>
      <c r="MD5" s="61">
        <f t="shared" si="89"/>
        <v>6.1</v>
      </c>
      <c r="ME5" s="61">
        <f t="shared" si="89"/>
        <v>0.15</v>
      </c>
      <c r="MF5" s="61">
        <f t="shared" si="89"/>
        <v>0</v>
      </c>
      <c r="MG5" s="61">
        <f t="shared" si="89"/>
        <v>26.1</v>
      </c>
      <c r="MH5" s="61">
        <f t="shared" si="89"/>
        <v>6.15</v>
      </c>
      <c r="MI5" s="61">
        <f t="shared" si="89"/>
        <v>0.05</v>
      </c>
      <c r="MJ5" s="61">
        <f t="shared" si="89"/>
        <v>0</v>
      </c>
      <c r="MK5" s="61">
        <f t="shared" si="89"/>
        <v>25.75</v>
      </c>
      <c r="ML5" s="61">
        <f t="shared" si="89"/>
        <v>5.9</v>
      </c>
      <c r="MM5" s="61">
        <f t="shared" si="89"/>
        <v>0</v>
      </c>
      <c r="MN5" s="61">
        <f t="shared" si="89"/>
        <v>0</v>
      </c>
      <c r="MO5" s="72" t="s">
        <v>52</v>
      </c>
      <c r="MP5" s="11">
        <f t="shared" si="90"/>
        <v>11.899999999999999</v>
      </c>
      <c r="MQ5" s="11">
        <f t="shared" si="91"/>
        <v>63.7</v>
      </c>
      <c r="MR5" s="11">
        <f t="shared" si="92"/>
        <v>12.05</v>
      </c>
      <c r="MS5" s="11">
        <f t="shared" si="93"/>
        <v>63.85</v>
      </c>
      <c r="MT5" s="11">
        <f t="shared" si="94"/>
        <v>127.55000000000001</v>
      </c>
    </row>
    <row r="6" spans="1:358" x14ac:dyDescent="0.2">
      <c r="A6" s="5" t="str">
        <f t="shared" si="0"/>
        <v/>
      </c>
      <c r="B6" s="8" t="s">
        <v>104</v>
      </c>
      <c r="C6" s="4" t="s">
        <v>4</v>
      </c>
      <c r="D6" s="26">
        <v>2004</v>
      </c>
      <c r="E6" s="15">
        <f t="shared" si="1"/>
        <v>117.9</v>
      </c>
      <c r="F6" s="3" t="str">
        <f t="shared" si="2"/>
        <v/>
      </c>
      <c r="G6" s="3" t="str">
        <f t="shared" si="3"/>
        <v/>
      </c>
      <c r="H6" s="116" t="str">
        <f t="shared" si="4"/>
        <v/>
      </c>
      <c r="I6" s="3" t="str">
        <f t="shared" si="5"/>
        <v/>
      </c>
      <c r="J6" s="14">
        <f t="shared" si="6"/>
        <v>58.1</v>
      </c>
      <c r="K6" s="14" t="str">
        <f t="shared" si="7"/>
        <v>2021 Elite Canada</v>
      </c>
      <c r="L6" s="14">
        <f t="shared" si="8"/>
        <v>59.800000000000004</v>
      </c>
      <c r="M6" s="14" t="str">
        <f t="shared" si="9"/>
        <v/>
      </c>
      <c r="N6" s="14" t="str">
        <f t="shared" si="10"/>
        <v/>
      </c>
      <c r="O6" s="24" t="str">
        <f t="shared" si="11"/>
        <v/>
      </c>
      <c r="P6" s="14" t="str">
        <f t="shared" si="12"/>
        <v/>
      </c>
      <c r="Q6" s="61">
        <v>24</v>
      </c>
      <c r="R6" s="61">
        <v>4.5999999999999996</v>
      </c>
      <c r="S6" s="61">
        <v>0</v>
      </c>
      <c r="T6" s="61">
        <v>0.6</v>
      </c>
      <c r="U6" s="61">
        <v>25.3</v>
      </c>
      <c r="V6" s="61">
        <v>3.4</v>
      </c>
      <c r="W6" s="61">
        <v>0</v>
      </c>
      <c r="X6" s="61">
        <v>0</v>
      </c>
      <c r="Y6" s="61">
        <v>25</v>
      </c>
      <c r="Z6" s="61">
        <v>3.9</v>
      </c>
      <c r="AA6" s="61">
        <v>0</v>
      </c>
      <c r="AB6" s="61">
        <v>0</v>
      </c>
      <c r="AC6" s="61">
        <v>22.8</v>
      </c>
      <c r="AD6" s="61">
        <v>3.4</v>
      </c>
      <c r="AE6" s="61">
        <v>0</v>
      </c>
      <c r="AF6" s="61">
        <v>0</v>
      </c>
      <c r="AG6" s="72"/>
      <c r="AH6" s="11">
        <f t="shared" si="13"/>
        <v>8</v>
      </c>
      <c r="AI6" s="11">
        <f t="shared" si="14"/>
        <v>57.9</v>
      </c>
      <c r="AJ6" s="11">
        <f t="shared" si="15"/>
        <v>7.3</v>
      </c>
      <c r="AK6" s="11">
        <f t="shared" si="16"/>
        <v>55.1</v>
      </c>
      <c r="AL6" s="11">
        <f t="shared" si="17"/>
        <v>113</v>
      </c>
      <c r="AM6" s="36">
        <v>24.6</v>
      </c>
      <c r="AN6" s="36">
        <v>4.5999999999999996</v>
      </c>
      <c r="AO6" s="36">
        <v>0</v>
      </c>
      <c r="AP6" s="36">
        <v>0.6</v>
      </c>
      <c r="AQ6" s="36">
        <v>23.6</v>
      </c>
      <c r="AR6" s="36">
        <v>1.2</v>
      </c>
      <c r="AS6" s="36">
        <v>0</v>
      </c>
      <c r="AT6" s="36">
        <v>0</v>
      </c>
      <c r="AU6" s="36">
        <v>23.8</v>
      </c>
      <c r="AV6" s="36">
        <v>4.5999999999999996</v>
      </c>
      <c r="AW6" s="36">
        <v>0</v>
      </c>
      <c r="AX6" s="36">
        <v>0.6</v>
      </c>
      <c r="AY6" s="36">
        <v>22.4</v>
      </c>
      <c r="AZ6" s="36">
        <v>3.4</v>
      </c>
      <c r="BA6" s="36">
        <v>0.3</v>
      </c>
      <c r="BB6" s="36">
        <v>0</v>
      </c>
      <c r="BC6" s="73"/>
      <c r="BD6" s="14">
        <f t="shared" si="18"/>
        <v>5.8</v>
      </c>
      <c r="BE6" s="14">
        <f t="shared" si="19"/>
        <v>54.600000000000009</v>
      </c>
      <c r="BF6" s="14">
        <f t="shared" si="20"/>
        <v>8</v>
      </c>
      <c r="BG6" s="14">
        <f t="shared" si="21"/>
        <v>54.5</v>
      </c>
      <c r="BH6" s="14">
        <f t="shared" si="22"/>
        <v>109.10000000000001</v>
      </c>
      <c r="BI6" s="61">
        <v>25.2</v>
      </c>
      <c r="BJ6" s="61">
        <v>3.9</v>
      </c>
      <c r="BK6" s="61">
        <v>0</v>
      </c>
      <c r="BL6" s="61">
        <v>0.3</v>
      </c>
      <c r="BM6" s="61">
        <v>25.6</v>
      </c>
      <c r="BN6" s="61">
        <v>3.4</v>
      </c>
      <c r="BO6" s="61">
        <v>0.3</v>
      </c>
      <c r="BP6" s="61">
        <v>0</v>
      </c>
      <c r="BQ6" s="61">
        <v>25.6</v>
      </c>
      <c r="BR6" s="61">
        <v>4.5999999999999996</v>
      </c>
      <c r="BS6" s="61">
        <v>0</v>
      </c>
      <c r="BT6" s="61">
        <v>0.6</v>
      </c>
      <c r="BU6" s="61">
        <v>25.9</v>
      </c>
      <c r="BV6" s="61">
        <v>3.4</v>
      </c>
      <c r="BW6" s="61">
        <v>0.3</v>
      </c>
      <c r="BX6" s="61">
        <v>0</v>
      </c>
      <c r="BY6" s="72"/>
      <c r="BZ6" s="11">
        <f t="shared" si="23"/>
        <v>7.3</v>
      </c>
      <c r="CA6" s="11">
        <f t="shared" si="24"/>
        <v>58.1</v>
      </c>
      <c r="CB6" s="11">
        <f t="shared" si="25"/>
        <v>8</v>
      </c>
      <c r="CC6" s="11">
        <f t="shared" si="26"/>
        <v>59.800000000000004</v>
      </c>
      <c r="CD6" s="11">
        <f t="shared" si="27"/>
        <v>117.9</v>
      </c>
      <c r="CE6" s="23" t="str">
        <f t="shared" si="28"/>
        <v/>
      </c>
      <c r="CF6" s="23" t="str">
        <f t="shared" si="29"/>
        <v/>
      </c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  <c r="CW6" s="11" t="str">
        <f t="shared" si="30"/>
        <v/>
      </c>
      <c r="CX6" s="11" t="str">
        <f t="shared" si="31"/>
        <v/>
      </c>
      <c r="CY6" s="11" t="str">
        <f t="shared" si="32"/>
        <v/>
      </c>
      <c r="CZ6" s="11" t="str">
        <f t="shared" si="33"/>
        <v/>
      </c>
      <c r="DA6" s="11" t="str">
        <f t="shared" si="34"/>
        <v/>
      </c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14" t="str">
        <f t="shared" si="35"/>
        <v/>
      </c>
      <c r="DS6" s="14" t="str">
        <f t="shared" si="36"/>
        <v/>
      </c>
      <c r="DT6" s="14" t="str">
        <f t="shared" si="37"/>
        <v/>
      </c>
      <c r="DU6" s="14" t="str">
        <f t="shared" si="38"/>
        <v/>
      </c>
      <c r="DV6" s="14" t="str">
        <f t="shared" si="39"/>
        <v/>
      </c>
      <c r="DW6" s="35"/>
      <c r="DX6" s="35"/>
      <c r="DY6" s="35"/>
      <c r="DZ6" s="35"/>
      <c r="EA6" s="35"/>
      <c r="EB6" s="35"/>
      <c r="EC6" s="35"/>
      <c r="ED6" s="35"/>
      <c r="EE6" s="35"/>
      <c r="EF6" s="35"/>
      <c r="EG6" s="35"/>
      <c r="EH6" s="35"/>
      <c r="EI6" s="35"/>
      <c r="EJ6" s="35"/>
      <c r="EK6" s="35"/>
      <c r="EL6" s="35"/>
      <c r="EM6" s="11" t="str">
        <f t="shared" si="40"/>
        <v/>
      </c>
      <c r="EN6" s="11" t="str">
        <f t="shared" si="41"/>
        <v/>
      </c>
      <c r="EO6" s="11" t="str">
        <f t="shared" si="42"/>
        <v/>
      </c>
      <c r="EP6" s="11" t="str">
        <f t="shared" si="43"/>
        <v/>
      </c>
      <c r="EQ6" s="11" t="str">
        <f t="shared" si="44"/>
        <v/>
      </c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14" t="str">
        <f t="shared" si="45"/>
        <v/>
      </c>
      <c r="FI6" s="14" t="str">
        <f t="shared" si="46"/>
        <v/>
      </c>
      <c r="FJ6" s="14" t="str">
        <f t="shared" si="47"/>
        <v/>
      </c>
      <c r="FK6" s="14" t="str">
        <f t="shared" si="48"/>
        <v/>
      </c>
      <c r="FL6" s="14" t="str">
        <f t="shared" si="49"/>
        <v/>
      </c>
      <c r="FM6" s="35"/>
      <c r="FN6" s="35"/>
      <c r="FO6" s="35"/>
      <c r="FP6" s="35"/>
      <c r="FQ6" s="35"/>
      <c r="FR6" s="35"/>
      <c r="FS6" s="35"/>
      <c r="FT6" s="35"/>
      <c r="FU6" s="35"/>
      <c r="FV6" s="35"/>
      <c r="FW6" s="35"/>
      <c r="FX6" s="35"/>
      <c r="FY6" s="35"/>
      <c r="FZ6" s="35"/>
      <c r="GA6" s="35"/>
      <c r="GB6" s="35"/>
      <c r="GC6" s="11" t="str">
        <f t="shared" si="50"/>
        <v/>
      </c>
      <c r="GD6" s="11" t="str">
        <f t="shared" si="51"/>
        <v/>
      </c>
      <c r="GE6" s="11" t="str">
        <f t="shared" si="52"/>
        <v/>
      </c>
      <c r="GF6" s="11" t="str">
        <f t="shared" si="53"/>
        <v/>
      </c>
      <c r="GG6" s="11" t="str">
        <f t="shared" si="54"/>
        <v/>
      </c>
      <c r="GH6" s="36"/>
      <c r="GI6" s="36"/>
      <c r="GJ6" s="36"/>
      <c r="GK6" s="36"/>
      <c r="GL6" s="36"/>
      <c r="GM6" s="36"/>
      <c r="GN6" s="36"/>
      <c r="GO6" s="36"/>
      <c r="GP6" s="36"/>
      <c r="GQ6" s="36"/>
      <c r="GR6" s="36"/>
      <c r="GS6" s="36"/>
      <c r="GT6" s="36"/>
      <c r="GU6" s="36"/>
      <c r="GV6" s="36"/>
      <c r="GW6" s="36"/>
      <c r="GX6" s="14" t="str">
        <f t="shared" si="55"/>
        <v/>
      </c>
      <c r="GY6" s="14" t="str">
        <f t="shared" si="56"/>
        <v/>
      </c>
      <c r="GZ6" s="14" t="str">
        <f t="shared" si="57"/>
        <v/>
      </c>
      <c r="HA6" s="14" t="str">
        <f t="shared" si="58"/>
        <v/>
      </c>
      <c r="HB6" s="14" t="str">
        <f t="shared" si="59"/>
        <v/>
      </c>
      <c r="HC6" s="35"/>
      <c r="HD6" s="35"/>
      <c r="HE6" s="35"/>
      <c r="HF6" s="35"/>
      <c r="HG6" s="35"/>
      <c r="HH6" s="35"/>
      <c r="HI6" s="35"/>
      <c r="HJ6" s="35"/>
      <c r="HK6" s="35"/>
      <c r="HL6" s="35"/>
      <c r="HM6" s="35"/>
      <c r="HN6" s="35"/>
      <c r="HO6" s="35"/>
      <c r="HP6" s="35"/>
      <c r="HQ6" s="35"/>
      <c r="HR6" s="35"/>
      <c r="HS6" s="11" t="str">
        <f t="shared" si="60"/>
        <v/>
      </c>
      <c r="HT6" s="11" t="str">
        <f t="shared" si="61"/>
        <v/>
      </c>
      <c r="HU6" s="11" t="str">
        <f t="shared" si="62"/>
        <v/>
      </c>
      <c r="HV6" s="11" t="str">
        <f t="shared" si="63"/>
        <v/>
      </c>
      <c r="HW6" s="11" t="str">
        <f t="shared" si="64"/>
        <v/>
      </c>
      <c r="HX6" s="36"/>
      <c r="HY6" s="36"/>
      <c r="HZ6" s="36"/>
      <c r="IA6" s="36"/>
      <c r="IB6" s="36"/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14" t="str">
        <f t="shared" si="65"/>
        <v/>
      </c>
      <c r="IO6" s="14" t="str">
        <f t="shared" si="66"/>
        <v/>
      </c>
      <c r="IP6" s="14"/>
      <c r="IQ6" s="14" t="str">
        <f t="shared" si="67"/>
        <v/>
      </c>
      <c r="IR6" s="14" t="str">
        <f t="shared" si="68"/>
        <v/>
      </c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35"/>
      <c r="JD6" s="35"/>
      <c r="JE6" s="35"/>
      <c r="JF6" s="35"/>
      <c r="JG6" s="35"/>
      <c r="JH6" s="35"/>
      <c r="JI6" s="11" t="str">
        <f t="shared" si="69"/>
        <v/>
      </c>
      <c r="JJ6" s="11" t="str">
        <f t="shared" si="70"/>
        <v/>
      </c>
      <c r="JK6" s="11" t="str">
        <f t="shared" si="71"/>
        <v/>
      </c>
      <c r="JL6" s="11" t="str">
        <f t="shared" si="72"/>
        <v/>
      </c>
      <c r="JM6" s="11" t="str">
        <f t="shared" si="73"/>
        <v/>
      </c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14" t="str">
        <f t="shared" si="74"/>
        <v/>
      </c>
      <c r="KE6" s="14" t="str">
        <f t="shared" si="75"/>
        <v/>
      </c>
      <c r="KF6" s="14" t="str">
        <f t="shared" si="76"/>
        <v/>
      </c>
      <c r="KG6" s="14" t="str">
        <f t="shared" si="77"/>
        <v/>
      </c>
      <c r="KH6" s="14" t="str">
        <f t="shared" si="78"/>
        <v/>
      </c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35"/>
      <c r="KV6" s="35"/>
      <c r="KW6" s="35"/>
      <c r="KX6" s="35"/>
      <c r="KY6" s="11" t="str">
        <f t="shared" si="79"/>
        <v/>
      </c>
      <c r="KZ6" s="11" t="str">
        <f t="shared" si="80"/>
        <v/>
      </c>
      <c r="LA6" s="11" t="str">
        <f t="shared" si="81"/>
        <v/>
      </c>
      <c r="LB6" s="11" t="str">
        <f t="shared" si="82"/>
        <v/>
      </c>
      <c r="LC6" s="11" t="str">
        <f t="shared" si="83"/>
        <v/>
      </c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36"/>
      <c r="LR6" s="36"/>
      <c r="LS6" s="36"/>
      <c r="LT6" s="14" t="str">
        <f t="shared" si="84"/>
        <v/>
      </c>
      <c r="LU6" s="14" t="str">
        <f t="shared" si="85"/>
        <v/>
      </c>
      <c r="LV6" s="14" t="str">
        <f t="shared" si="86"/>
        <v/>
      </c>
      <c r="LW6" s="14" t="str">
        <f t="shared" si="87"/>
        <v/>
      </c>
      <c r="LX6" s="14" t="str">
        <f t="shared" si="88"/>
        <v/>
      </c>
      <c r="LY6" s="61">
        <f t="shared" si="89"/>
        <v>24.9</v>
      </c>
      <c r="LZ6" s="61">
        <f t="shared" si="89"/>
        <v>4.25</v>
      </c>
      <c r="MA6" s="61">
        <f t="shared" si="89"/>
        <v>0</v>
      </c>
      <c r="MB6" s="61">
        <f t="shared" si="89"/>
        <v>0.44999999999999996</v>
      </c>
      <c r="MC6" s="61">
        <f t="shared" si="89"/>
        <v>24.6</v>
      </c>
      <c r="MD6" s="61">
        <f t="shared" si="89"/>
        <v>2.2999999999999998</v>
      </c>
      <c r="ME6" s="61">
        <f t="shared" si="89"/>
        <v>0.15</v>
      </c>
      <c r="MF6" s="61">
        <f t="shared" si="89"/>
        <v>0</v>
      </c>
      <c r="MG6" s="61">
        <f t="shared" si="89"/>
        <v>24.700000000000003</v>
      </c>
      <c r="MH6" s="61">
        <f t="shared" si="89"/>
        <v>4.5999999999999996</v>
      </c>
      <c r="MI6" s="61">
        <f t="shared" si="89"/>
        <v>0</v>
      </c>
      <c r="MJ6" s="61">
        <f t="shared" si="89"/>
        <v>0.6</v>
      </c>
      <c r="MK6" s="61">
        <f t="shared" si="89"/>
        <v>24.15</v>
      </c>
      <c r="ML6" s="61">
        <f t="shared" si="89"/>
        <v>3.4</v>
      </c>
      <c r="MM6" s="61">
        <f t="shared" si="89"/>
        <v>0.3</v>
      </c>
      <c r="MN6" s="61">
        <f t="shared" si="89"/>
        <v>0</v>
      </c>
      <c r="MO6" s="72" t="s">
        <v>52</v>
      </c>
      <c r="MP6" s="11">
        <f t="shared" si="90"/>
        <v>6.55</v>
      </c>
      <c r="MQ6" s="11">
        <f t="shared" si="91"/>
        <v>56.35</v>
      </c>
      <c r="MR6" s="11">
        <f t="shared" si="92"/>
        <v>8</v>
      </c>
      <c r="MS6" s="11">
        <f t="shared" si="93"/>
        <v>57.150000000000006</v>
      </c>
      <c r="MT6" s="11">
        <f t="shared" si="94"/>
        <v>113.5</v>
      </c>
    </row>
    <row r="7" spans="1:358" x14ac:dyDescent="0.2">
      <c r="A7" s="5" t="str">
        <f t="shared" si="0"/>
        <v/>
      </c>
      <c r="B7" s="8" t="s">
        <v>132</v>
      </c>
      <c r="C7" s="4" t="s">
        <v>3</v>
      </c>
      <c r="D7" s="26">
        <v>2003</v>
      </c>
      <c r="E7" s="15">
        <f t="shared" si="1"/>
        <v>114.60000000000001</v>
      </c>
      <c r="F7" s="3" t="str">
        <f t="shared" si="2"/>
        <v/>
      </c>
      <c r="G7" s="3" t="str">
        <f t="shared" si="3"/>
        <v/>
      </c>
      <c r="H7" s="116" t="str">
        <f t="shared" si="4"/>
        <v/>
      </c>
      <c r="I7" s="3" t="str">
        <f t="shared" si="5"/>
        <v/>
      </c>
      <c r="J7" s="14">
        <f t="shared" si="6"/>
        <v>57.2</v>
      </c>
      <c r="K7" s="14" t="str">
        <f t="shared" si="7"/>
        <v>2021 Elite Canada</v>
      </c>
      <c r="L7" s="14">
        <f t="shared" si="8"/>
        <v>57.400000000000006</v>
      </c>
      <c r="M7" s="14" t="str">
        <f t="shared" si="9"/>
        <v>2021 2nd Virtual Technical Trial</v>
      </c>
      <c r="N7" s="14" t="str">
        <f t="shared" si="10"/>
        <v/>
      </c>
      <c r="O7" s="24" t="str">
        <f t="shared" si="11"/>
        <v/>
      </c>
      <c r="P7" s="14" t="str">
        <f t="shared" si="12"/>
        <v/>
      </c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72"/>
      <c r="AH7" s="11" t="str">
        <f t="shared" si="13"/>
        <v/>
      </c>
      <c r="AI7" s="11" t="str">
        <f t="shared" si="14"/>
        <v/>
      </c>
      <c r="AJ7" s="11" t="str">
        <f t="shared" si="15"/>
        <v/>
      </c>
      <c r="AK7" s="11" t="str">
        <f t="shared" si="16"/>
        <v/>
      </c>
      <c r="AL7" s="11" t="str">
        <f t="shared" si="17"/>
        <v/>
      </c>
      <c r="AM7" s="36">
        <v>19.899999999999999</v>
      </c>
      <c r="AN7" s="36">
        <v>2.8</v>
      </c>
      <c r="AO7" s="36">
        <v>0</v>
      </c>
      <c r="AP7" s="36">
        <v>0.3</v>
      </c>
      <c r="AQ7" s="36">
        <v>23.3</v>
      </c>
      <c r="AR7" s="36">
        <v>3.6</v>
      </c>
      <c r="AS7" s="36">
        <v>0.3</v>
      </c>
      <c r="AT7" s="36">
        <v>0</v>
      </c>
      <c r="AU7" s="36">
        <v>24.6</v>
      </c>
      <c r="AV7" s="36">
        <v>5.0999999999999996</v>
      </c>
      <c r="AW7" s="36">
        <v>0.3</v>
      </c>
      <c r="AX7" s="36">
        <v>0.3</v>
      </c>
      <c r="AY7" s="36">
        <v>23.6</v>
      </c>
      <c r="AZ7" s="36">
        <v>4.4000000000000004</v>
      </c>
      <c r="BA7" s="36">
        <v>0.3</v>
      </c>
      <c r="BB7" s="36">
        <v>0</v>
      </c>
      <c r="BC7" s="73"/>
      <c r="BD7" s="14">
        <f t="shared" si="18"/>
        <v>6.4</v>
      </c>
      <c r="BE7" s="14">
        <f t="shared" si="19"/>
        <v>49.6</v>
      </c>
      <c r="BF7" s="14">
        <f t="shared" si="20"/>
        <v>9.5</v>
      </c>
      <c r="BG7" s="14">
        <f t="shared" si="21"/>
        <v>57.400000000000006</v>
      </c>
      <c r="BH7" s="14">
        <f t="shared" si="22"/>
        <v>107</v>
      </c>
      <c r="BI7" s="61">
        <v>21.5</v>
      </c>
      <c r="BJ7" s="61">
        <v>4.5999999999999996</v>
      </c>
      <c r="BK7" s="61">
        <v>0.3</v>
      </c>
      <c r="BL7" s="61">
        <v>0.3</v>
      </c>
      <c r="BM7" s="61">
        <v>26.5</v>
      </c>
      <c r="BN7" s="61">
        <v>4.3</v>
      </c>
      <c r="BO7" s="61">
        <v>0</v>
      </c>
      <c r="BP7" s="61">
        <v>0.3</v>
      </c>
      <c r="BQ7" s="61">
        <v>25.6</v>
      </c>
      <c r="BR7" s="61">
        <v>4.3</v>
      </c>
      <c r="BS7" s="61">
        <v>0</v>
      </c>
      <c r="BT7" s="61">
        <v>0.3</v>
      </c>
      <c r="BU7" s="61">
        <v>22.4</v>
      </c>
      <c r="BV7" s="61">
        <v>3.5</v>
      </c>
      <c r="BW7" s="61">
        <v>0</v>
      </c>
      <c r="BX7" s="61">
        <v>0.3</v>
      </c>
      <c r="BY7" s="72"/>
      <c r="BZ7" s="11">
        <f t="shared" si="23"/>
        <v>8.8999999999999986</v>
      </c>
      <c r="CA7" s="11">
        <f t="shared" si="24"/>
        <v>57.2</v>
      </c>
      <c r="CB7" s="11">
        <f t="shared" si="25"/>
        <v>7.8</v>
      </c>
      <c r="CC7" s="11">
        <f t="shared" si="26"/>
        <v>56.4</v>
      </c>
      <c r="CD7" s="11">
        <f t="shared" si="27"/>
        <v>113.6</v>
      </c>
      <c r="CE7" s="23" t="str">
        <f t="shared" si="28"/>
        <v/>
      </c>
      <c r="CF7" s="23" t="str">
        <f t="shared" si="29"/>
        <v/>
      </c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11" t="str">
        <f t="shared" si="30"/>
        <v/>
      </c>
      <c r="CX7" s="11" t="str">
        <f t="shared" si="31"/>
        <v/>
      </c>
      <c r="CY7" s="11" t="str">
        <f t="shared" si="32"/>
        <v/>
      </c>
      <c r="CZ7" s="11" t="str">
        <f t="shared" si="33"/>
        <v/>
      </c>
      <c r="DA7" s="11" t="str">
        <f t="shared" si="34"/>
        <v/>
      </c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14" t="str">
        <f t="shared" si="35"/>
        <v/>
      </c>
      <c r="DS7" s="14" t="str">
        <f t="shared" si="36"/>
        <v/>
      </c>
      <c r="DT7" s="14" t="str">
        <f t="shared" si="37"/>
        <v/>
      </c>
      <c r="DU7" s="14" t="str">
        <f t="shared" si="38"/>
        <v/>
      </c>
      <c r="DV7" s="14" t="str">
        <f t="shared" si="39"/>
        <v/>
      </c>
      <c r="DW7" s="35"/>
      <c r="DX7" s="35"/>
      <c r="DY7" s="35"/>
      <c r="DZ7" s="35"/>
      <c r="EA7" s="35"/>
      <c r="EB7" s="35"/>
      <c r="EC7" s="35"/>
      <c r="ED7" s="35"/>
      <c r="EE7" s="35"/>
      <c r="EF7" s="35"/>
      <c r="EG7" s="35"/>
      <c r="EH7" s="35"/>
      <c r="EI7" s="35"/>
      <c r="EJ7" s="35"/>
      <c r="EK7" s="35"/>
      <c r="EL7" s="35"/>
      <c r="EM7" s="11" t="str">
        <f t="shared" si="40"/>
        <v/>
      </c>
      <c r="EN7" s="11" t="str">
        <f t="shared" si="41"/>
        <v/>
      </c>
      <c r="EO7" s="11" t="str">
        <f t="shared" si="42"/>
        <v/>
      </c>
      <c r="EP7" s="11" t="str">
        <f t="shared" si="43"/>
        <v/>
      </c>
      <c r="EQ7" s="11" t="str">
        <f t="shared" si="44"/>
        <v/>
      </c>
      <c r="ER7" s="36"/>
      <c r="ES7" s="36"/>
      <c r="ET7" s="36"/>
      <c r="EU7" s="36"/>
      <c r="EV7" s="36"/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14" t="str">
        <f t="shared" si="45"/>
        <v/>
      </c>
      <c r="FI7" s="14" t="str">
        <f t="shared" si="46"/>
        <v/>
      </c>
      <c r="FJ7" s="14" t="str">
        <f t="shared" si="47"/>
        <v/>
      </c>
      <c r="FK7" s="14" t="str">
        <f t="shared" si="48"/>
        <v/>
      </c>
      <c r="FL7" s="14" t="str">
        <f t="shared" si="49"/>
        <v/>
      </c>
      <c r="FM7" s="35"/>
      <c r="FN7" s="35"/>
      <c r="FO7" s="35"/>
      <c r="FP7" s="35"/>
      <c r="FQ7" s="35"/>
      <c r="FR7" s="35"/>
      <c r="FS7" s="35"/>
      <c r="FT7" s="35"/>
      <c r="FU7" s="35"/>
      <c r="FV7" s="35"/>
      <c r="FW7" s="35"/>
      <c r="FX7" s="35"/>
      <c r="FY7" s="35"/>
      <c r="FZ7" s="35"/>
      <c r="GA7" s="35"/>
      <c r="GB7" s="35"/>
      <c r="GC7" s="11" t="str">
        <f t="shared" si="50"/>
        <v/>
      </c>
      <c r="GD7" s="11" t="str">
        <f t="shared" si="51"/>
        <v/>
      </c>
      <c r="GE7" s="11" t="str">
        <f t="shared" si="52"/>
        <v/>
      </c>
      <c r="GF7" s="11" t="str">
        <f t="shared" si="53"/>
        <v/>
      </c>
      <c r="GG7" s="11" t="str">
        <f t="shared" si="54"/>
        <v/>
      </c>
      <c r="GH7" s="36"/>
      <c r="GI7" s="36"/>
      <c r="GJ7" s="36"/>
      <c r="GK7" s="36"/>
      <c r="GL7" s="36"/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14" t="str">
        <f t="shared" si="55"/>
        <v/>
      </c>
      <c r="GY7" s="14" t="str">
        <f t="shared" si="56"/>
        <v/>
      </c>
      <c r="GZ7" s="14" t="str">
        <f t="shared" si="57"/>
        <v/>
      </c>
      <c r="HA7" s="14" t="str">
        <f t="shared" si="58"/>
        <v/>
      </c>
      <c r="HB7" s="14" t="str">
        <f t="shared" si="59"/>
        <v/>
      </c>
      <c r="HC7" s="35"/>
      <c r="HD7" s="35"/>
      <c r="HE7" s="35"/>
      <c r="HF7" s="35"/>
      <c r="HG7" s="35"/>
      <c r="HH7" s="35"/>
      <c r="HI7" s="35"/>
      <c r="HJ7" s="35"/>
      <c r="HK7" s="35"/>
      <c r="HL7" s="35"/>
      <c r="HM7" s="35"/>
      <c r="HN7" s="35"/>
      <c r="HO7" s="35"/>
      <c r="HP7" s="35"/>
      <c r="HQ7" s="35"/>
      <c r="HR7" s="35"/>
      <c r="HS7" s="11" t="str">
        <f t="shared" si="60"/>
        <v/>
      </c>
      <c r="HT7" s="11" t="str">
        <f t="shared" si="61"/>
        <v/>
      </c>
      <c r="HU7" s="11" t="str">
        <f t="shared" si="62"/>
        <v/>
      </c>
      <c r="HV7" s="11" t="str">
        <f t="shared" si="63"/>
        <v/>
      </c>
      <c r="HW7" s="11" t="str">
        <f t="shared" si="64"/>
        <v/>
      </c>
      <c r="HX7" s="36"/>
      <c r="HY7" s="36"/>
      <c r="HZ7" s="36"/>
      <c r="IA7" s="36"/>
      <c r="IB7" s="36"/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14" t="str">
        <f t="shared" si="65"/>
        <v/>
      </c>
      <c r="IO7" s="14" t="str">
        <f t="shared" si="66"/>
        <v/>
      </c>
      <c r="IP7" s="14"/>
      <c r="IQ7" s="14" t="str">
        <f t="shared" si="67"/>
        <v/>
      </c>
      <c r="IR7" s="14" t="str">
        <f t="shared" si="68"/>
        <v/>
      </c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35"/>
      <c r="JD7" s="35"/>
      <c r="JE7" s="35"/>
      <c r="JF7" s="35"/>
      <c r="JG7" s="35"/>
      <c r="JH7" s="35"/>
      <c r="JI7" s="11" t="str">
        <f t="shared" si="69"/>
        <v/>
      </c>
      <c r="JJ7" s="11" t="str">
        <f t="shared" si="70"/>
        <v/>
      </c>
      <c r="JK7" s="11" t="str">
        <f t="shared" si="71"/>
        <v/>
      </c>
      <c r="JL7" s="11" t="str">
        <f t="shared" si="72"/>
        <v/>
      </c>
      <c r="JM7" s="11" t="str">
        <f t="shared" si="73"/>
        <v/>
      </c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14" t="str">
        <f t="shared" si="74"/>
        <v/>
      </c>
      <c r="KE7" s="14" t="str">
        <f t="shared" si="75"/>
        <v/>
      </c>
      <c r="KF7" s="14" t="str">
        <f t="shared" si="76"/>
        <v/>
      </c>
      <c r="KG7" s="14" t="str">
        <f t="shared" si="77"/>
        <v/>
      </c>
      <c r="KH7" s="14" t="str">
        <f t="shared" si="78"/>
        <v/>
      </c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35"/>
      <c r="KV7" s="35"/>
      <c r="KW7" s="35"/>
      <c r="KX7" s="35"/>
      <c r="KY7" s="11" t="str">
        <f t="shared" si="79"/>
        <v/>
      </c>
      <c r="KZ7" s="11" t="str">
        <f t="shared" si="80"/>
        <v/>
      </c>
      <c r="LA7" s="11" t="str">
        <f t="shared" si="81"/>
        <v/>
      </c>
      <c r="LB7" s="11" t="str">
        <f t="shared" si="82"/>
        <v/>
      </c>
      <c r="LC7" s="11" t="str">
        <f t="shared" si="83"/>
        <v/>
      </c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36"/>
      <c r="LR7" s="36"/>
      <c r="LS7" s="36"/>
      <c r="LT7" s="14" t="str">
        <f t="shared" si="84"/>
        <v/>
      </c>
      <c r="LU7" s="14" t="str">
        <f t="shared" si="85"/>
        <v/>
      </c>
      <c r="LV7" s="14" t="str">
        <f t="shared" si="86"/>
        <v/>
      </c>
      <c r="LW7" s="14" t="str">
        <f t="shared" si="87"/>
        <v/>
      </c>
      <c r="LX7" s="14" t="str">
        <f t="shared" si="88"/>
        <v/>
      </c>
      <c r="LY7" s="61">
        <f t="shared" si="89"/>
        <v>20.7</v>
      </c>
      <c r="LZ7" s="61">
        <f t="shared" si="89"/>
        <v>3.6999999999999997</v>
      </c>
      <c r="MA7" s="61">
        <f t="shared" si="89"/>
        <v>0.15</v>
      </c>
      <c r="MB7" s="61">
        <f t="shared" si="89"/>
        <v>0.3</v>
      </c>
      <c r="MC7" s="61">
        <f t="shared" si="89"/>
        <v>24.9</v>
      </c>
      <c r="MD7" s="61">
        <f t="shared" si="89"/>
        <v>3.95</v>
      </c>
      <c r="ME7" s="61">
        <f t="shared" si="89"/>
        <v>0.15</v>
      </c>
      <c r="MF7" s="61">
        <f t="shared" si="89"/>
        <v>0.15</v>
      </c>
      <c r="MG7" s="61">
        <f t="shared" si="89"/>
        <v>25.1</v>
      </c>
      <c r="MH7" s="61">
        <f t="shared" si="89"/>
        <v>4.6999999999999993</v>
      </c>
      <c r="MI7" s="61">
        <f t="shared" si="89"/>
        <v>0.15</v>
      </c>
      <c r="MJ7" s="61">
        <f t="shared" si="89"/>
        <v>0.3</v>
      </c>
      <c r="MK7" s="61">
        <f t="shared" si="89"/>
        <v>23</v>
      </c>
      <c r="ML7" s="61">
        <f t="shared" si="89"/>
        <v>3.95</v>
      </c>
      <c r="MM7" s="61">
        <f t="shared" si="89"/>
        <v>0.15</v>
      </c>
      <c r="MN7" s="61">
        <f t="shared" si="89"/>
        <v>0.15</v>
      </c>
      <c r="MO7" s="72" t="s">
        <v>52</v>
      </c>
      <c r="MP7" s="11">
        <f t="shared" si="90"/>
        <v>7.65</v>
      </c>
      <c r="MQ7" s="11">
        <f t="shared" si="91"/>
        <v>53.4</v>
      </c>
      <c r="MR7" s="11">
        <f t="shared" si="92"/>
        <v>8.6499999999999986</v>
      </c>
      <c r="MS7" s="11">
        <f t="shared" si="93"/>
        <v>56.900000000000006</v>
      </c>
      <c r="MT7" s="11">
        <f t="shared" si="94"/>
        <v>110.30000000000001</v>
      </c>
    </row>
    <row r="8" spans="1:358" x14ac:dyDescent="0.2">
      <c r="A8" s="5" t="str">
        <f t="shared" si="0"/>
        <v/>
      </c>
      <c r="B8" s="8" t="s">
        <v>148</v>
      </c>
      <c r="C8" s="4" t="s">
        <v>4</v>
      </c>
      <c r="D8" s="26">
        <v>2004</v>
      </c>
      <c r="E8" s="15">
        <f t="shared" si="1"/>
        <v>106.6</v>
      </c>
      <c r="F8" s="3" t="str">
        <f t="shared" si="2"/>
        <v/>
      </c>
      <c r="G8" s="3" t="str">
        <f t="shared" si="3"/>
        <v/>
      </c>
      <c r="H8" s="116" t="str">
        <f t="shared" si="4"/>
        <v/>
      </c>
      <c r="I8" s="3" t="str">
        <f t="shared" si="5"/>
        <v/>
      </c>
      <c r="J8" s="14">
        <f t="shared" si="6"/>
        <v>56.1</v>
      </c>
      <c r="K8" s="14" t="str">
        <f t="shared" si="7"/>
        <v>2021 Elite Canada</v>
      </c>
      <c r="L8" s="14">
        <f t="shared" si="8"/>
        <v>50.499999999999993</v>
      </c>
      <c r="M8" s="14" t="str">
        <f t="shared" si="9"/>
        <v/>
      </c>
      <c r="N8" s="14" t="str">
        <f t="shared" si="10"/>
        <v/>
      </c>
      <c r="O8" s="24" t="str">
        <f t="shared" si="11"/>
        <v/>
      </c>
      <c r="P8" s="14" t="str">
        <f t="shared" si="12"/>
        <v/>
      </c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72"/>
      <c r="AH8" s="11" t="str">
        <f t="shared" si="13"/>
        <v/>
      </c>
      <c r="AI8" s="11" t="str">
        <f t="shared" si="14"/>
        <v/>
      </c>
      <c r="AJ8" s="11" t="str">
        <f t="shared" si="15"/>
        <v/>
      </c>
      <c r="AK8" s="11" t="str">
        <f t="shared" si="16"/>
        <v/>
      </c>
      <c r="AL8" s="11" t="str">
        <f t="shared" si="17"/>
        <v/>
      </c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73"/>
      <c r="BD8" s="14" t="str">
        <f t="shared" si="18"/>
        <v/>
      </c>
      <c r="BE8" s="14" t="str">
        <f t="shared" si="19"/>
        <v/>
      </c>
      <c r="BF8" s="14" t="str">
        <f t="shared" si="20"/>
        <v/>
      </c>
      <c r="BG8" s="14" t="str">
        <f t="shared" si="21"/>
        <v/>
      </c>
      <c r="BH8" s="14" t="str">
        <f t="shared" si="22"/>
        <v/>
      </c>
      <c r="BI8" s="61">
        <v>23.1</v>
      </c>
      <c r="BJ8" s="61">
        <v>4.0999999999999996</v>
      </c>
      <c r="BK8" s="61">
        <v>0.3</v>
      </c>
      <c r="BL8" s="61">
        <v>0.3</v>
      </c>
      <c r="BM8" s="61">
        <v>24.7</v>
      </c>
      <c r="BN8" s="61">
        <v>3.9</v>
      </c>
      <c r="BO8" s="61">
        <v>0</v>
      </c>
      <c r="BP8" s="61">
        <v>0.3</v>
      </c>
      <c r="BQ8" s="61">
        <v>23.2</v>
      </c>
      <c r="BR8" s="61">
        <v>1.9</v>
      </c>
      <c r="BS8" s="61">
        <v>0</v>
      </c>
      <c r="BT8" s="61">
        <v>0.3</v>
      </c>
      <c r="BU8" s="61">
        <v>22.9</v>
      </c>
      <c r="BV8" s="61">
        <v>1.9</v>
      </c>
      <c r="BW8" s="61">
        <v>0</v>
      </c>
      <c r="BX8" s="61">
        <v>0.3</v>
      </c>
      <c r="BY8" s="72"/>
      <c r="BZ8" s="11">
        <f t="shared" si="23"/>
        <v>8</v>
      </c>
      <c r="CA8" s="11">
        <f t="shared" si="24"/>
        <v>56.1</v>
      </c>
      <c r="CB8" s="11">
        <f t="shared" si="25"/>
        <v>3.8</v>
      </c>
      <c r="CC8" s="11">
        <f t="shared" si="26"/>
        <v>50.499999999999993</v>
      </c>
      <c r="CD8" s="11">
        <f t="shared" si="27"/>
        <v>106.6</v>
      </c>
      <c r="CE8" s="23" t="str">
        <f t="shared" si="28"/>
        <v/>
      </c>
      <c r="CF8" s="23" t="str">
        <f t="shared" si="29"/>
        <v/>
      </c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11" t="str">
        <f t="shared" si="30"/>
        <v/>
      </c>
      <c r="CX8" s="11" t="str">
        <f t="shared" si="31"/>
        <v/>
      </c>
      <c r="CY8" s="11" t="str">
        <f t="shared" si="32"/>
        <v/>
      </c>
      <c r="CZ8" s="11" t="str">
        <f t="shared" si="33"/>
        <v/>
      </c>
      <c r="DA8" s="11" t="str">
        <f t="shared" si="34"/>
        <v/>
      </c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  <c r="DM8" s="36"/>
      <c r="DN8" s="36"/>
      <c r="DO8" s="36"/>
      <c r="DP8" s="36"/>
      <c r="DQ8" s="36"/>
      <c r="DR8" s="14" t="str">
        <f t="shared" si="35"/>
        <v/>
      </c>
      <c r="DS8" s="14" t="str">
        <f t="shared" si="36"/>
        <v/>
      </c>
      <c r="DT8" s="14" t="str">
        <f t="shared" si="37"/>
        <v/>
      </c>
      <c r="DU8" s="14" t="str">
        <f t="shared" si="38"/>
        <v/>
      </c>
      <c r="DV8" s="14" t="str">
        <f t="shared" si="39"/>
        <v/>
      </c>
      <c r="DW8" s="35"/>
      <c r="DX8" s="35"/>
      <c r="DY8" s="35"/>
      <c r="DZ8" s="35"/>
      <c r="EA8" s="35"/>
      <c r="EB8" s="35"/>
      <c r="EC8" s="35"/>
      <c r="ED8" s="35"/>
      <c r="EE8" s="35"/>
      <c r="EF8" s="35"/>
      <c r="EG8" s="35"/>
      <c r="EH8" s="35"/>
      <c r="EI8" s="35"/>
      <c r="EJ8" s="35"/>
      <c r="EK8" s="35"/>
      <c r="EL8" s="35"/>
      <c r="EM8" s="11" t="str">
        <f t="shared" si="40"/>
        <v/>
      </c>
      <c r="EN8" s="11" t="str">
        <f t="shared" si="41"/>
        <v/>
      </c>
      <c r="EO8" s="11" t="str">
        <f t="shared" si="42"/>
        <v/>
      </c>
      <c r="EP8" s="11" t="str">
        <f t="shared" si="43"/>
        <v/>
      </c>
      <c r="EQ8" s="11" t="str">
        <f t="shared" si="44"/>
        <v/>
      </c>
      <c r="ER8" s="36"/>
      <c r="ES8" s="36"/>
      <c r="ET8" s="36"/>
      <c r="EU8" s="36"/>
      <c r="EV8" s="36"/>
      <c r="EW8" s="36"/>
      <c r="EX8" s="36"/>
      <c r="EY8" s="36"/>
      <c r="EZ8" s="36"/>
      <c r="FA8" s="36"/>
      <c r="FB8" s="36"/>
      <c r="FC8" s="36"/>
      <c r="FD8" s="36"/>
      <c r="FE8" s="36"/>
      <c r="FF8" s="36"/>
      <c r="FG8" s="36"/>
      <c r="FH8" s="14" t="str">
        <f t="shared" si="45"/>
        <v/>
      </c>
      <c r="FI8" s="14" t="str">
        <f t="shared" si="46"/>
        <v/>
      </c>
      <c r="FJ8" s="14" t="str">
        <f t="shared" si="47"/>
        <v/>
      </c>
      <c r="FK8" s="14" t="str">
        <f t="shared" si="48"/>
        <v/>
      </c>
      <c r="FL8" s="14" t="str">
        <f t="shared" si="49"/>
        <v/>
      </c>
      <c r="FM8" s="35"/>
      <c r="FN8" s="35"/>
      <c r="FO8" s="35"/>
      <c r="FP8" s="35"/>
      <c r="FQ8" s="35"/>
      <c r="FR8" s="35"/>
      <c r="FS8" s="35"/>
      <c r="FT8" s="35"/>
      <c r="FU8" s="35"/>
      <c r="FV8" s="35"/>
      <c r="FW8" s="35"/>
      <c r="FX8" s="35"/>
      <c r="FY8" s="35"/>
      <c r="FZ8" s="35"/>
      <c r="GA8" s="35"/>
      <c r="GB8" s="35"/>
      <c r="GC8" s="11" t="str">
        <f t="shared" si="50"/>
        <v/>
      </c>
      <c r="GD8" s="11" t="str">
        <f t="shared" si="51"/>
        <v/>
      </c>
      <c r="GE8" s="11" t="str">
        <f t="shared" si="52"/>
        <v/>
      </c>
      <c r="GF8" s="11" t="str">
        <f t="shared" si="53"/>
        <v/>
      </c>
      <c r="GG8" s="11" t="str">
        <f t="shared" si="54"/>
        <v/>
      </c>
      <c r="GH8" s="36"/>
      <c r="GI8" s="36"/>
      <c r="GJ8" s="36"/>
      <c r="GK8" s="36"/>
      <c r="GL8" s="36"/>
      <c r="GM8" s="36"/>
      <c r="GN8" s="36"/>
      <c r="GO8" s="36"/>
      <c r="GP8" s="36"/>
      <c r="GQ8" s="36"/>
      <c r="GR8" s="36"/>
      <c r="GS8" s="36"/>
      <c r="GT8" s="36"/>
      <c r="GU8" s="36"/>
      <c r="GV8" s="36"/>
      <c r="GW8" s="36"/>
      <c r="GX8" s="14" t="str">
        <f t="shared" si="55"/>
        <v/>
      </c>
      <c r="GY8" s="14" t="str">
        <f t="shared" si="56"/>
        <v/>
      </c>
      <c r="GZ8" s="14" t="str">
        <f t="shared" si="57"/>
        <v/>
      </c>
      <c r="HA8" s="14" t="str">
        <f t="shared" si="58"/>
        <v/>
      </c>
      <c r="HB8" s="14" t="str">
        <f t="shared" si="59"/>
        <v/>
      </c>
      <c r="HC8" s="35"/>
      <c r="HD8" s="35"/>
      <c r="HE8" s="35"/>
      <c r="HF8" s="35"/>
      <c r="HG8" s="35"/>
      <c r="HH8" s="35"/>
      <c r="HI8" s="35"/>
      <c r="HJ8" s="35"/>
      <c r="HK8" s="35"/>
      <c r="HL8" s="35"/>
      <c r="HM8" s="35"/>
      <c r="HN8" s="35"/>
      <c r="HO8" s="35"/>
      <c r="HP8" s="35"/>
      <c r="HQ8" s="35"/>
      <c r="HR8" s="35"/>
      <c r="HS8" s="11" t="str">
        <f t="shared" si="60"/>
        <v/>
      </c>
      <c r="HT8" s="11" t="str">
        <f t="shared" si="61"/>
        <v/>
      </c>
      <c r="HU8" s="11" t="str">
        <f t="shared" si="62"/>
        <v/>
      </c>
      <c r="HV8" s="11" t="str">
        <f t="shared" si="63"/>
        <v/>
      </c>
      <c r="HW8" s="11" t="str">
        <f t="shared" si="64"/>
        <v/>
      </c>
      <c r="HX8" s="36"/>
      <c r="HY8" s="36"/>
      <c r="HZ8" s="36"/>
      <c r="IA8" s="36"/>
      <c r="IB8" s="36"/>
      <c r="IC8" s="36"/>
      <c r="ID8" s="36"/>
      <c r="IE8" s="36"/>
      <c r="IF8" s="36"/>
      <c r="IG8" s="36"/>
      <c r="IH8" s="36"/>
      <c r="II8" s="36"/>
      <c r="IJ8" s="36"/>
      <c r="IK8" s="36"/>
      <c r="IL8" s="36"/>
      <c r="IM8" s="36"/>
      <c r="IN8" s="14" t="str">
        <f t="shared" si="65"/>
        <v/>
      </c>
      <c r="IO8" s="14" t="str">
        <f t="shared" si="66"/>
        <v/>
      </c>
      <c r="IP8" s="14"/>
      <c r="IQ8" s="14" t="str">
        <f t="shared" si="67"/>
        <v/>
      </c>
      <c r="IR8" s="14" t="str">
        <f t="shared" si="68"/>
        <v/>
      </c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35"/>
      <c r="JD8" s="35"/>
      <c r="JE8" s="35"/>
      <c r="JF8" s="35"/>
      <c r="JG8" s="35"/>
      <c r="JH8" s="35"/>
      <c r="JI8" s="11" t="str">
        <f t="shared" si="69"/>
        <v/>
      </c>
      <c r="JJ8" s="11" t="str">
        <f t="shared" si="70"/>
        <v/>
      </c>
      <c r="JK8" s="11" t="str">
        <f t="shared" si="71"/>
        <v/>
      </c>
      <c r="JL8" s="11" t="str">
        <f t="shared" si="72"/>
        <v/>
      </c>
      <c r="JM8" s="11" t="str">
        <f t="shared" si="73"/>
        <v/>
      </c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36"/>
      <c r="JZ8" s="36"/>
      <c r="KA8" s="36"/>
      <c r="KB8" s="36"/>
      <c r="KC8" s="36"/>
      <c r="KD8" s="14" t="str">
        <f t="shared" si="74"/>
        <v/>
      </c>
      <c r="KE8" s="14" t="str">
        <f t="shared" si="75"/>
        <v/>
      </c>
      <c r="KF8" s="14" t="str">
        <f t="shared" si="76"/>
        <v/>
      </c>
      <c r="KG8" s="14" t="str">
        <f t="shared" si="77"/>
        <v/>
      </c>
      <c r="KH8" s="14" t="str">
        <f t="shared" si="78"/>
        <v/>
      </c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35"/>
      <c r="KV8" s="35"/>
      <c r="KW8" s="35"/>
      <c r="KX8" s="35"/>
      <c r="KY8" s="11" t="str">
        <f t="shared" si="79"/>
        <v/>
      </c>
      <c r="KZ8" s="11" t="str">
        <f t="shared" si="80"/>
        <v/>
      </c>
      <c r="LA8" s="11" t="str">
        <f t="shared" si="81"/>
        <v/>
      </c>
      <c r="LB8" s="11" t="str">
        <f t="shared" si="82"/>
        <v/>
      </c>
      <c r="LC8" s="11" t="str">
        <f t="shared" si="83"/>
        <v/>
      </c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36"/>
      <c r="LR8" s="36"/>
      <c r="LS8" s="36"/>
      <c r="LT8" s="14" t="str">
        <f t="shared" si="84"/>
        <v/>
      </c>
      <c r="LU8" s="14" t="str">
        <f t="shared" si="85"/>
        <v/>
      </c>
      <c r="LV8" s="14" t="str">
        <f t="shared" si="86"/>
        <v/>
      </c>
      <c r="LW8" s="14" t="str">
        <f t="shared" si="87"/>
        <v/>
      </c>
      <c r="LX8" s="14" t="str">
        <f t="shared" si="88"/>
        <v/>
      </c>
      <c r="LY8" s="61">
        <f t="shared" si="89"/>
        <v>11.55</v>
      </c>
      <c r="LZ8" s="61">
        <f t="shared" si="89"/>
        <v>2.0499999999999998</v>
      </c>
      <c r="MA8" s="61">
        <f t="shared" si="89"/>
        <v>0.15</v>
      </c>
      <c r="MB8" s="61">
        <f t="shared" si="89"/>
        <v>0.15</v>
      </c>
      <c r="MC8" s="61">
        <f t="shared" si="89"/>
        <v>12.35</v>
      </c>
      <c r="MD8" s="61">
        <f t="shared" si="89"/>
        <v>1.95</v>
      </c>
      <c r="ME8" s="61">
        <f t="shared" si="89"/>
        <v>0</v>
      </c>
      <c r="MF8" s="61">
        <f t="shared" si="89"/>
        <v>0.15</v>
      </c>
      <c r="MG8" s="61">
        <f t="shared" si="89"/>
        <v>11.6</v>
      </c>
      <c r="MH8" s="61">
        <f t="shared" si="89"/>
        <v>0.95</v>
      </c>
      <c r="MI8" s="61">
        <f t="shared" si="89"/>
        <v>0</v>
      </c>
      <c r="MJ8" s="61">
        <f t="shared" si="89"/>
        <v>0.15</v>
      </c>
      <c r="MK8" s="61">
        <f t="shared" si="89"/>
        <v>11.45</v>
      </c>
      <c r="ML8" s="61">
        <f t="shared" si="89"/>
        <v>0.95</v>
      </c>
      <c r="MM8" s="61">
        <f t="shared" si="89"/>
        <v>0</v>
      </c>
      <c r="MN8" s="61">
        <f t="shared" si="89"/>
        <v>0.15</v>
      </c>
      <c r="MO8" s="72" t="s">
        <v>52</v>
      </c>
      <c r="MP8" s="11">
        <f t="shared" si="90"/>
        <v>4</v>
      </c>
      <c r="MQ8" s="11">
        <f t="shared" si="91"/>
        <v>28.05</v>
      </c>
      <c r="MR8" s="11">
        <f t="shared" si="92"/>
        <v>1.9</v>
      </c>
      <c r="MS8" s="11">
        <f t="shared" si="93"/>
        <v>25.249999999999996</v>
      </c>
      <c r="MT8" s="11">
        <f t="shared" si="94"/>
        <v>53.3</v>
      </c>
    </row>
    <row r="9" spans="1:358" x14ac:dyDescent="0.2">
      <c r="A9" s="5" t="str">
        <f t="shared" si="0"/>
        <v/>
      </c>
      <c r="B9" s="8" t="s">
        <v>125</v>
      </c>
      <c r="C9" s="4" t="s">
        <v>4</v>
      </c>
      <c r="D9" s="26">
        <v>2004</v>
      </c>
      <c r="E9" s="15">
        <f t="shared" si="1"/>
        <v>105.5</v>
      </c>
      <c r="F9" s="3" t="str">
        <f t="shared" si="2"/>
        <v/>
      </c>
      <c r="G9" s="3" t="str">
        <f t="shared" si="3"/>
        <v/>
      </c>
      <c r="H9" s="116" t="str">
        <f t="shared" si="4"/>
        <v/>
      </c>
      <c r="I9" s="3" t="str">
        <f t="shared" si="5"/>
        <v/>
      </c>
      <c r="J9" s="14">
        <f t="shared" si="6"/>
        <v>50</v>
      </c>
      <c r="K9" s="14" t="str">
        <f t="shared" si="7"/>
        <v>2021 2nd Virtual Technical Trial</v>
      </c>
      <c r="L9" s="14">
        <f t="shared" si="8"/>
        <v>55.500000000000007</v>
      </c>
      <c r="M9" s="14" t="str">
        <f t="shared" si="9"/>
        <v>2021 2nd Virtual Technical Trial</v>
      </c>
      <c r="N9" s="14" t="str">
        <f t="shared" si="10"/>
        <v/>
      </c>
      <c r="O9" s="24" t="str">
        <f t="shared" si="11"/>
        <v/>
      </c>
      <c r="P9" s="14" t="str">
        <f t="shared" si="12"/>
        <v/>
      </c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72"/>
      <c r="AH9" s="11" t="str">
        <f t="shared" si="13"/>
        <v/>
      </c>
      <c r="AI9" s="11" t="str">
        <f t="shared" si="14"/>
        <v/>
      </c>
      <c r="AJ9" s="11" t="str">
        <f t="shared" si="15"/>
        <v/>
      </c>
      <c r="AK9" s="11" t="str">
        <f t="shared" si="16"/>
        <v/>
      </c>
      <c r="AL9" s="11" t="str">
        <f t="shared" si="17"/>
        <v/>
      </c>
      <c r="AM9" s="36">
        <v>21.8</v>
      </c>
      <c r="AN9" s="36">
        <v>4.4000000000000004</v>
      </c>
      <c r="AO9" s="36">
        <v>0.6</v>
      </c>
      <c r="AP9" s="36">
        <v>0.3</v>
      </c>
      <c r="AQ9" s="36">
        <v>22.8</v>
      </c>
      <c r="AR9" s="36">
        <v>1.3</v>
      </c>
      <c r="AS9" s="36">
        <v>0</v>
      </c>
      <c r="AT9" s="36">
        <v>0</v>
      </c>
      <c r="AU9" s="36">
        <v>23</v>
      </c>
      <c r="AV9" s="36">
        <v>4</v>
      </c>
      <c r="AW9" s="36">
        <v>0</v>
      </c>
      <c r="AX9" s="36">
        <v>0.3</v>
      </c>
      <c r="AY9" s="36">
        <v>24.9</v>
      </c>
      <c r="AZ9" s="36">
        <v>3.6</v>
      </c>
      <c r="BA9" s="36">
        <v>0.3</v>
      </c>
      <c r="BB9" s="36">
        <v>0</v>
      </c>
      <c r="BC9" s="73"/>
      <c r="BD9" s="14">
        <f t="shared" si="18"/>
        <v>5.7</v>
      </c>
      <c r="BE9" s="14">
        <f t="shared" si="19"/>
        <v>50</v>
      </c>
      <c r="BF9" s="14">
        <f t="shared" si="20"/>
        <v>7.6</v>
      </c>
      <c r="BG9" s="14">
        <f t="shared" si="21"/>
        <v>55.500000000000007</v>
      </c>
      <c r="BH9" s="14">
        <f t="shared" si="22"/>
        <v>105.5</v>
      </c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61"/>
      <c r="BV9" s="61"/>
      <c r="BW9" s="61"/>
      <c r="BX9" s="61"/>
      <c r="BY9" s="72"/>
      <c r="BZ9" s="11" t="str">
        <f t="shared" si="23"/>
        <v/>
      </c>
      <c r="CA9" s="11" t="str">
        <f t="shared" si="24"/>
        <v/>
      </c>
      <c r="CB9" s="11" t="str">
        <f t="shared" si="25"/>
        <v/>
      </c>
      <c r="CC9" s="11" t="str">
        <f t="shared" si="26"/>
        <v/>
      </c>
      <c r="CD9" s="11" t="str">
        <f t="shared" si="27"/>
        <v/>
      </c>
      <c r="CE9" s="23" t="str">
        <f t="shared" si="28"/>
        <v/>
      </c>
      <c r="CF9" s="23" t="str">
        <f t="shared" si="29"/>
        <v/>
      </c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11" t="str">
        <f t="shared" si="30"/>
        <v/>
      </c>
      <c r="CX9" s="11" t="str">
        <f t="shared" si="31"/>
        <v/>
      </c>
      <c r="CY9" s="11" t="str">
        <f t="shared" si="32"/>
        <v/>
      </c>
      <c r="CZ9" s="11" t="str">
        <f t="shared" si="33"/>
        <v/>
      </c>
      <c r="DA9" s="11" t="str">
        <f t="shared" si="34"/>
        <v/>
      </c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36"/>
      <c r="DN9" s="36"/>
      <c r="DO9" s="36"/>
      <c r="DP9" s="36"/>
      <c r="DQ9" s="36"/>
      <c r="DR9" s="14" t="str">
        <f t="shared" si="35"/>
        <v/>
      </c>
      <c r="DS9" s="14" t="str">
        <f t="shared" si="36"/>
        <v/>
      </c>
      <c r="DT9" s="14" t="str">
        <f t="shared" si="37"/>
        <v/>
      </c>
      <c r="DU9" s="14" t="str">
        <f t="shared" si="38"/>
        <v/>
      </c>
      <c r="DV9" s="14" t="str">
        <f t="shared" si="39"/>
        <v/>
      </c>
      <c r="DW9" s="35"/>
      <c r="DX9" s="35"/>
      <c r="DY9" s="35"/>
      <c r="DZ9" s="35"/>
      <c r="EA9" s="35"/>
      <c r="EB9" s="35"/>
      <c r="EC9" s="35"/>
      <c r="ED9" s="35"/>
      <c r="EE9" s="35"/>
      <c r="EF9" s="35"/>
      <c r="EG9" s="35"/>
      <c r="EH9" s="35"/>
      <c r="EI9" s="35"/>
      <c r="EJ9" s="35"/>
      <c r="EK9" s="35"/>
      <c r="EL9" s="35"/>
      <c r="EM9" s="11" t="str">
        <f t="shared" si="40"/>
        <v/>
      </c>
      <c r="EN9" s="11" t="str">
        <f t="shared" si="41"/>
        <v/>
      </c>
      <c r="EO9" s="11" t="str">
        <f t="shared" si="42"/>
        <v/>
      </c>
      <c r="EP9" s="11" t="str">
        <f t="shared" si="43"/>
        <v/>
      </c>
      <c r="EQ9" s="11" t="str">
        <f t="shared" si="44"/>
        <v/>
      </c>
      <c r="ER9" s="36"/>
      <c r="ES9" s="36"/>
      <c r="ET9" s="36"/>
      <c r="EU9" s="36"/>
      <c r="EV9" s="36"/>
      <c r="EW9" s="36"/>
      <c r="EX9" s="36"/>
      <c r="EY9" s="36"/>
      <c r="EZ9" s="36"/>
      <c r="FA9" s="36"/>
      <c r="FB9" s="36"/>
      <c r="FC9" s="36"/>
      <c r="FD9" s="36"/>
      <c r="FE9" s="36"/>
      <c r="FF9" s="36"/>
      <c r="FG9" s="36"/>
      <c r="FH9" s="14" t="str">
        <f t="shared" si="45"/>
        <v/>
      </c>
      <c r="FI9" s="14" t="str">
        <f t="shared" si="46"/>
        <v/>
      </c>
      <c r="FJ9" s="14" t="str">
        <f t="shared" si="47"/>
        <v/>
      </c>
      <c r="FK9" s="14" t="str">
        <f t="shared" si="48"/>
        <v/>
      </c>
      <c r="FL9" s="14" t="str">
        <f t="shared" si="49"/>
        <v/>
      </c>
      <c r="FM9" s="35"/>
      <c r="FN9" s="35"/>
      <c r="FO9" s="35"/>
      <c r="FP9" s="35"/>
      <c r="FQ9" s="35"/>
      <c r="FR9" s="35"/>
      <c r="FS9" s="35"/>
      <c r="FT9" s="35"/>
      <c r="FU9" s="35"/>
      <c r="FV9" s="35"/>
      <c r="FW9" s="35"/>
      <c r="FX9" s="35"/>
      <c r="FY9" s="35"/>
      <c r="FZ9" s="35"/>
      <c r="GA9" s="35"/>
      <c r="GB9" s="35"/>
      <c r="GC9" s="11" t="str">
        <f t="shared" si="50"/>
        <v/>
      </c>
      <c r="GD9" s="11" t="str">
        <f t="shared" si="51"/>
        <v/>
      </c>
      <c r="GE9" s="11" t="str">
        <f t="shared" si="52"/>
        <v/>
      </c>
      <c r="GF9" s="11" t="str">
        <f t="shared" si="53"/>
        <v/>
      </c>
      <c r="GG9" s="11" t="str">
        <f t="shared" si="54"/>
        <v/>
      </c>
      <c r="GH9" s="36"/>
      <c r="GI9" s="36"/>
      <c r="GJ9" s="36"/>
      <c r="GK9" s="36"/>
      <c r="GL9" s="36"/>
      <c r="GM9" s="36"/>
      <c r="GN9" s="36"/>
      <c r="GO9" s="36"/>
      <c r="GP9" s="36"/>
      <c r="GQ9" s="36"/>
      <c r="GR9" s="36"/>
      <c r="GS9" s="36"/>
      <c r="GT9" s="36"/>
      <c r="GU9" s="36"/>
      <c r="GV9" s="36"/>
      <c r="GW9" s="36"/>
      <c r="GX9" s="14" t="str">
        <f t="shared" si="55"/>
        <v/>
      </c>
      <c r="GY9" s="14" t="str">
        <f t="shared" si="56"/>
        <v/>
      </c>
      <c r="GZ9" s="14" t="str">
        <f t="shared" si="57"/>
        <v/>
      </c>
      <c r="HA9" s="14" t="str">
        <f t="shared" si="58"/>
        <v/>
      </c>
      <c r="HB9" s="14" t="str">
        <f t="shared" si="59"/>
        <v/>
      </c>
      <c r="HC9" s="35"/>
      <c r="HD9" s="35"/>
      <c r="HE9" s="35"/>
      <c r="HF9" s="35"/>
      <c r="HG9" s="35"/>
      <c r="HH9" s="35"/>
      <c r="HI9" s="35"/>
      <c r="HJ9" s="35"/>
      <c r="HK9" s="35"/>
      <c r="HL9" s="35"/>
      <c r="HM9" s="35"/>
      <c r="HN9" s="35"/>
      <c r="HO9" s="35"/>
      <c r="HP9" s="35"/>
      <c r="HQ9" s="35"/>
      <c r="HR9" s="35"/>
      <c r="HS9" s="11" t="str">
        <f t="shared" si="60"/>
        <v/>
      </c>
      <c r="HT9" s="11" t="str">
        <f t="shared" si="61"/>
        <v/>
      </c>
      <c r="HU9" s="11" t="str">
        <f t="shared" si="62"/>
        <v/>
      </c>
      <c r="HV9" s="11" t="str">
        <f t="shared" si="63"/>
        <v/>
      </c>
      <c r="HW9" s="11" t="str">
        <f t="shared" si="64"/>
        <v/>
      </c>
      <c r="HX9" s="36"/>
      <c r="HY9" s="36"/>
      <c r="HZ9" s="36"/>
      <c r="IA9" s="36"/>
      <c r="IB9" s="36"/>
      <c r="IC9" s="36"/>
      <c r="ID9" s="36"/>
      <c r="IE9" s="36"/>
      <c r="IF9" s="36"/>
      <c r="IG9" s="36"/>
      <c r="IH9" s="36"/>
      <c r="II9" s="36"/>
      <c r="IJ9" s="36"/>
      <c r="IK9" s="36"/>
      <c r="IL9" s="36"/>
      <c r="IM9" s="36"/>
      <c r="IN9" s="14" t="str">
        <f t="shared" si="65"/>
        <v/>
      </c>
      <c r="IO9" s="14" t="str">
        <f t="shared" si="66"/>
        <v/>
      </c>
      <c r="IP9" s="14"/>
      <c r="IQ9" s="14" t="str">
        <f t="shared" si="67"/>
        <v/>
      </c>
      <c r="IR9" s="14" t="str">
        <f t="shared" si="68"/>
        <v/>
      </c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35"/>
      <c r="JD9" s="35"/>
      <c r="JE9" s="35"/>
      <c r="JF9" s="35"/>
      <c r="JG9" s="35"/>
      <c r="JH9" s="35"/>
      <c r="JI9" s="11" t="str">
        <f t="shared" si="69"/>
        <v/>
      </c>
      <c r="JJ9" s="11" t="str">
        <f t="shared" si="70"/>
        <v/>
      </c>
      <c r="JK9" s="11" t="str">
        <f t="shared" si="71"/>
        <v/>
      </c>
      <c r="JL9" s="11" t="str">
        <f t="shared" si="72"/>
        <v/>
      </c>
      <c r="JM9" s="11" t="str">
        <f t="shared" si="73"/>
        <v/>
      </c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36"/>
      <c r="JZ9" s="36"/>
      <c r="KA9" s="36"/>
      <c r="KB9" s="36"/>
      <c r="KC9" s="36"/>
      <c r="KD9" s="14" t="str">
        <f t="shared" si="74"/>
        <v/>
      </c>
      <c r="KE9" s="14" t="str">
        <f t="shared" si="75"/>
        <v/>
      </c>
      <c r="KF9" s="14" t="str">
        <f t="shared" si="76"/>
        <v/>
      </c>
      <c r="KG9" s="14" t="str">
        <f t="shared" si="77"/>
        <v/>
      </c>
      <c r="KH9" s="14" t="str">
        <f t="shared" si="78"/>
        <v/>
      </c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35"/>
      <c r="KV9" s="35"/>
      <c r="KW9" s="35"/>
      <c r="KX9" s="35"/>
      <c r="KY9" s="11" t="str">
        <f t="shared" si="79"/>
        <v/>
      </c>
      <c r="KZ9" s="11" t="str">
        <f t="shared" si="80"/>
        <v/>
      </c>
      <c r="LA9" s="11" t="str">
        <f t="shared" si="81"/>
        <v/>
      </c>
      <c r="LB9" s="11" t="str">
        <f t="shared" si="82"/>
        <v/>
      </c>
      <c r="LC9" s="11" t="str">
        <f t="shared" si="83"/>
        <v/>
      </c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36"/>
      <c r="LR9" s="36"/>
      <c r="LS9" s="36"/>
      <c r="LT9" s="14" t="str">
        <f t="shared" si="84"/>
        <v/>
      </c>
      <c r="LU9" s="14" t="str">
        <f t="shared" si="85"/>
        <v/>
      </c>
      <c r="LV9" s="14" t="str">
        <f t="shared" si="86"/>
        <v/>
      </c>
      <c r="LW9" s="14" t="str">
        <f t="shared" si="87"/>
        <v/>
      </c>
      <c r="LX9" s="14" t="str">
        <f t="shared" si="88"/>
        <v/>
      </c>
      <c r="LY9" s="61">
        <f t="shared" si="89"/>
        <v>10.9</v>
      </c>
      <c r="LZ9" s="61">
        <f t="shared" si="89"/>
        <v>2.2000000000000002</v>
      </c>
      <c r="MA9" s="61">
        <f t="shared" si="89"/>
        <v>0.3</v>
      </c>
      <c r="MB9" s="61">
        <f t="shared" si="89"/>
        <v>0.15</v>
      </c>
      <c r="MC9" s="61">
        <f t="shared" si="89"/>
        <v>11.4</v>
      </c>
      <c r="MD9" s="61">
        <f t="shared" si="89"/>
        <v>0.65</v>
      </c>
      <c r="ME9" s="61">
        <f t="shared" si="89"/>
        <v>0</v>
      </c>
      <c r="MF9" s="61">
        <f t="shared" si="89"/>
        <v>0</v>
      </c>
      <c r="MG9" s="61">
        <f t="shared" si="89"/>
        <v>11.5</v>
      </c>
      <c r="MH9" s="61">
        <f t="shared" si="89"/>
        <v>2</v>
      </c>
      <c r="MI9" s="61">
        <f t="shared" si="89"/>
        <v>0</v>
      </c>
      <c r="MJ9" s="61">
        <f t="shared" si="89"/>
        <v>0.15</v>
      </c>
      <c r="MK9" s="61">
        <f t="shared" si="89"/>
        <v>12.45</v>
      </c>
      <c r="ML9" s="61">
        <f t="shared" si="89"/>
        <v>1.8</v>
      </c>
      <c r="MM9" s="61">
        <f t="shared" si="89"/>
        <v>0.15</v>
      </c>
      <c r="MN9" s="61">
        <f t="shared" si="89"/>
        <v>0</v>
      </c>
      <c r="MO9" s="72" t="s">
        <v>52</v>
      </c>
      <c r="MP9" s="11">
        <f t="shared" si="90"/>
        <v>2.85</v>
      </c>
      <c r="MQ9" s="11">
        <f t="shared" si="91"/>
        <v>25</v>
      </c>
      <c r="MR9" s="11">
        <f t="shared" si="92"/>
        <v>3.8</v>
      </c>
      <c r="MS9" s="11">
        <f t="shared" si="93"/>
        <v>27.750000000000004</v>
      </c>
      <c r="MT9" s="11">
        <f t="shared" si="94"/>
        <v>52.75</v>
      </c>
    </row>
    <row r="10" spans="1:358" x14ac:dyDescent="0.2">
      <c r="A10" s="5" t="str">
        <f t="shared" si="0"/>
        <v/>
      </c>
      <c r="B10" s="8" t="s">
        <v>87</v>
      </c>
      <c r="C10" s="4" t="s">
        <v>3</v>
      </c>
      <c r="D10" s="26">
        <v>2004</v>
      </c>
      <c r="E10" s="15">
        <f t="shared" si="1"/>
        <v>53.9</v>
      </c>
      <c r="F10" s="3" t="str">
        <f t="shared" si="2"/>
        <v/>
      </c>
      <c r="G10" s="3" t="str">
        <f t="shared" si="3"/>
        <v/>
      </c>
      <c r="H10" s="116" t="str">
        <f t="shared" si="4"/>
        <v/>
      </c>
      <c r="I10" s="3" t="str">
        <f t="shared" si="5"/>
        <v/>
      </c>
      <c r="J10" s="14">
        <f t="shared" si="6"/>
        <v>53.9</v>
      </c>
      <c r="K10" s="14" t="str">
        <f t="shared" si="7"/>
        <v>2021 Elite Canada</v>
      </c>
      <c r="L10" s="14">
        <f t="shared" si="8"/>
        <v>0</v>
      </c>
      <c r="M10" s="14" t="str">
        <f t="shared" si="9"/>
        <v/>
      </c>
      <c r="N10" s="14" t="str">
        <f t="shared" si="10"/>
        <v/>
      </c>
      <c r="O10" s="24" t="str">
        <f t="shared" si="11"/>
        <v/>
      </c>
      <c r="P10" s="14" t="str">
        <f t="shared" si="12"/>
        <v/>
      </c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72"/>
      <c r="AH10" s="11" t="str">
        <f t="shared" si="13"/>
        <v/>
      </c>
      <c r="AI10" s="11" t="str">
        <f t="shared" si="14"/>
        <v/>
      </c>
      <c r="AJ10" s="11" t="str">
        <f t="shared" si="15"/>
        <v/>
      </c>
      <c r="AK10" s="11" t="str">
        <f t="shared" si="16"/>
        <v/>
      </c>
      <c r="AL10" s="11" t="str">
        <f t="shared" si="17"/>
        <v/>
      </c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73"/>
      <c r="BD10" s="14" t="str">
        <f t="shared" si="18"/>
        <v/>
      </c>
      <c r="BE10" s="14" t="str">
        <f t="shared" si="19"/>
        <v/>
      </c>
      <c r="BF10" s="14" t="str">
        <f t="shared" si="20"/>
        <v/>
      </c>
      <c r="BG10" s="14" t="str">
        <f t="shared" si="21"/>
        <v/>
      </c>
      <c r="BH10" s="14" t="str">
        <f t="shared" si="22"/>
        <v/>
      </c>
      <c r="BI10" s="61">
        <v>25.2</v>
      </c>
      <c r="BJ10" s="61">
        <v>3.2</v>
      </c>
      <c r="BK10" s="61">
        <v>0.2</v>
      </c>
      <c r="BL10" s="61">
        <v>0</v>
      </c>
      <c r="BM10" s="61">
        <v>25.6</v>
      </c>
      <c r="BN10" s="61">
        <v>3.4</v>
      </c>
      <c r="BO10" s="61">
        <v>3.3</v>
      </c>
      <c r="BP10" s="61">
        <v>0</v>
      </c>
      <c r="BQ10" s="61"/>
      <c r="BR10" s="61"/>
      <c r="BS10" s="61"/>
      <c r="BT10" s="61"/>
      <c r="BU10" s="61"/>
      <c r="BV10" s="61"/>
      <c r="BW10" s="61"/>
      <c r="BX10" s="61"/>
      <c r="BY10" s="72"/>
      <c r="BZ10" s="11">
        <f t="shared" si="23"/>
        <v>6.6</v>
      </c>
      <c r="CA10" s="11">
        <f t="shared" si="24"/>
        <v>53.9</v>
      </c>
      <c r="CB10" s="11" t="str">
        <f t="shared" si="25"/>
        <v/>
      </c>
      <c r="CC10" s="11" t="str">
        <f t="shared" si="26"/>
        <v/>
      </c>
      <c r="CD10" s="11">
        <f t="shared" si="27"/>
        <v>53.9</v>
      </c>
      <c r="CE10" s="23" t="str">
        <f t="shared" si="28"/>
        <v/>
      </c>
      <c r="CF10" s="23" t="str">
        <f t="shared" si="29"/>
        <v/>
      </c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  <c r="CW10" s="11" t="str">
        <f t="shared" si="30"/>
        <v/>
      </c>
      <c r="CX10" s="11" t="str">
        <f t="shared" si="31"/>
        <v/>
      </c>
      <c r="CY10" s="11" t="str">
        <f t="shared" si="32"/>
        <v/>
      </c>
      <c r="CZ10" s="11" t="str">
        <f t="shared" si="33"/>
        <v/>
      </c>
      <c r="DA10" s="11" t="str">
        <f t="shared" si="34"/>
        <v/>
      </c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14" t="str">
        <f t="shared" si="35"/>
        <v/>
      </c>
      <c r="DS10" s="14" t="str">
        <f t="shared" si="36"/>
        <v/>
      </c>
      <c r="DT10" s="14" t="str">
        <f t="shared" si="37"/>
        <v/>
      </c>
      <c r="DU10" s="14" t="str">
        <f t="shared" si="38"/>
        <v/>
      </c>
      <c r="DV10" s="14" t="str">
        <f t="shared" si="39"/>
        <v/>
      </c>
      <c r="DW10" s="35"/>
      <c r="DX10" s="35"/>
      <c r="DY10" s="35"/>
      <c r="DZ10" s="35"/>
      <c r="EA10" s="35"/>
      <c r="EB10" s="35"/>
      <c r="EC10" s="35"/>
      <c r="ED10" s="35"/>
      <c r="EE10" s="35"/>
      <c r="EF10" s="35"/>
      <c r="EG10" s="35"/>
      <c r="EH10" s="35"/>
      <c r="EI10" s="35"/>
      <c r="EJ10" s="35"/>
      <c r="EK10" s="35"/>
      <c r="EL10" s="35"/>
      <c r="EM10" s="11" t="str">
        <f t="shared" si="40"/>
        <v/>
      </c>
      <c r="EN10" s="11" t="str">
        <f t="shared" si="41"/>
        <v/>
      </c>
      <c r="EO10" s="11" t="str">
        <f t="shared" si="42"/>
        <v/>
      </c>
      <c r="EP10" s="11" t="str">
        <f t="shared" si="43"/>
        <v/>
      </c>
      <c r="EQ10" s="11" t="str">
        <f t="shared" si="44"/>
        <v/>
      </c>
      <c r="ER10" s="36"/>
      <c r="ES10" s="36"/>
      <c r="ET10" s="36"/>
      <c r="EU10" s="36"/>
      <c r="EV10" s="36"/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14" t="str">
        <f t="shared" si="45"/>
        <v/>
      </c>
      <c r="FI10" s="14" t="str">
        <f t="shared" si="46"/>
        <v/>
      </c>
      <c r="FJ10" s="14" t="str">
        <f t="shared" si="47"/>
        <v/>
      </c>
      <c r="FK10" s="14" t="str">
        <f t="shared" si="48"/>
        <v/>
      </c>
      <c r="FL10" s="14" t="str">
        <f t="shared" si="49"/>
        <v/>
      </c>
      <c r="FM10" s="35"/>
      <c r="FN10" s="35"/>
      <c r="FO10" s="35"/>
      <c r="FP10" s="35"/>
      <c r="FQ10" s="35"/>
      <c r="FR10" s="35"/>
      <c r="FS10" s="35"/>
      <c r="FT10" s="35"/>
      <c r="FU10" s="35"/>
      <c r="FV10" s="35"/>
      <c r="FW10" s="35"/>
      <c r="FX10" s="35"/>
      <c r="FY10" s="35"/>
      <c r="FZ10" s="35"/>
      <c r="GA10" s="35"/>
      <c r="GB10" s="35"/>
      <c r="GC10" s="11" t="str">
        <f t="shared" si="50"/>
        <v/>
      </c>
      <c r="GD10" s="11" t="str">
        <f t="shared" si="51"/>
        <v/>
      </c>
      <c r="GE10" s="11" t="str">
        <f t="shared" si="52"/>
        <v/>
      </c>
      <c r="GF10" s="11" t="str">
        <f t="shared" si="53"/>
        <v/>
      </c>
      <c r="GG10" s="11" t="str">
        <f t="shared" si="54"/>
        <v/>
      </c>
      <c r="GH10" s="36"/>
      <c r="GI10" s="36"/>
      <c r="GJ10" s="36"/>
      <c r="GK10" s="36"/>
      <c r="GL10" s="36"/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14" t="str">
        <f t="shared" si="55"/>
        <v/>
      </c>
      <c r="GY10" s="14" t="str">
        <f t="shared" si="56"/>
        <v/>
      </c>
      <c r="GZ10" s="14" t="str">
        <f t="shared" si="57"/>
        <v/>
      </c>
      <c r="HA10" s="14" t="str">
        <f t="shared" si="58"/>
        <v/>
      </c>
      <c r="HB10" s="14" t="str">
        <f t="shared" si="59"/>
        <v/>
      </c>
      <c r="HC10" s="35"/>
      <c r="HD10" s="35"/>
      <c r="HE10" s="35"/>
      <c r="HF10" s="35"/>
      <c r="HG10" s="35"/>
      <c r="HH10" s="35"/>
      <c r="HI10" s="35"/>
      <c r="HJ10" s="35"/>
      <c r="HK10" s="35"/>
      <c r="HL10" s="35"/>
      <c r="HM10" s="35"/>
      <c r="HN10" s="35"/>
      <c r="HO10" s="35"/>
      <c r="HP10" s="35"/>
      <c r="HQ10" s="35"/>
      <c r="HR10" s="35"/>
      <c r="HS10" s="11" t="str">
        <f t="shared" si="60"/>
        <v/>
      </c>
      <c r="HT10" s="11" t="str">
        <f t="shared" si="61"/>
        <v/>
      </c>
      <c r="HU10" s="11" t="str">
        <f t="shared" si="62"/>
        <v/>
      </c>
      <c r="HV10" s="11" t="str">
        <f t="shared" si="63"/>
        <v/>
      </c>
      <c r="HW10" s="11" t="str">
        <f t="shared" si="64"/>
        <v/>
      </c>
      <c r="HX10" s="36"/>
      <c r="HY10" s="36"/>
      <c r="HZ10" s="36"/>
      <c r="IA10" s="36"/>
      <c r="IB10" s="36"/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14" t="str">
        <f t="shared" si="65"/>
        <v/>
      </c>
      <c r="IO10" s="14" t="str">
        <f t="shared" si="66"/>
        <v/>
      </c>
      <c r="IP10" s="14"/>
      <c r="IQ10" s="14" t="str">
        <f t="shared" si="67"/>
        <v/>
      </c>
      <c r="IR10" s="14" t="str">
        <f t="shared" si="68"/>
        <v/>
      </c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35"/>
      <c r="JD10" s="35"/>
      <c r="JE10" s="35"/>
      <c r="JF10" s="35"/>
      <c r="JG10" s="35"/>
      <c r="JH10" s="35"/>
      <c r="JI10" s="11" t="str">
        <f t="shared" si="69"/>
        <v/>
      </c>
      <c r="JJ10" s="11" t="str">
        <f t="shared" si="70"/>
        <v/>
      </c>
      <c r="JK10" s="11" t="str">
        <f t="shared" si="71"/>
        <v/>
      </c>
      <c r="JL10" s="11" t="str">
        <f t="shared" si="72"/>
        <v/>
      </c>
      <c r="JM10" s="11" t="str">
        <f t="shared" si="73"/>
        <v/>
      </c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14" t="str">
        <f t="shared" si="74"/>
        <v/>
      </c>
      <c r="KE10" s="14" t="str">
        <f t="shared" si="75"/>
        <v/>
      </c>
      <c r="KF10" s="14" t="str">
        <f t="shared" si="76"/>
        <v/>
      </c>
      <c r="KG10" s="14" t="str">
        <f t="shared" si="77"/>
        <v/>
      </c>
      <c r="KH10" s="14" t="str">
        <f t="shared" si="78"/>
        <v/>
      </c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35"/>
      <c r="KV10" s="35"/>
      <c r="KW10" s="35"/>
      <c r="KX10" s="35"/>
      <c r="KY10" s="11" t="str">
        <f t="shared" si="79"/>
        <v/>
      </c>
      <c r="KZ10" s="11" t="str">
        <f t="shared" si="80"/>
        <v/>
      </c>
      <c r="LA10" s="11" t="str">
        <f t="shared" si="81"/>
        <v/>
      </c>
      <c r="LB10" s="11" t="str">
        <f t="shared" si="82"/>
        <v/>
      </c>
      <c r="LC10" s="11" t="str">
        <f t="shared" si="83"/>
        <v/>
      </c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36"/>
      <c r="LR10" s="36"/>
      <c r="LS10" s="36"/>
      <c r="LT10" s="14" t="str">
        <f t="shared" si="84"/>
        <v/>
      </c>
      <c r="LU10" s="14" t="str">
        <f t="shared" si="85"/>
        <v/>
      </c>
      <c r="LV10" s="14" t="str">
        <f t="shared" si="86"/>
        <v/>
      </c>
      <c r="LW10" s="14" t="str">
        <f t="shared" si="87"/>
        <v/>
      </c>
      <c r="LX10" s="14" t="str">
        <f t="shared" si="88"/>
        <v/>
      </c>
      <c r="LY10" s="61">
        <f t="shared" si="89"/>
        <v>12.6</v>
      </c>
      <c r="LZ10" s="61">
        <f t="shared" si="89"/>
        <v>1.6</v>
      </c>
      <c r="MA10" s="61">
        <f t="shared" si="89"/>
        <v>0.1</v>
      </c>
      <c r="MB10" s="61">
        <f t="shared" si="89"/>
        <v>0</v>
      </c>
      <c r="MC10" s="61">
        <f t="shared" si="89"/>
        <v>12.8</v>
      </c>
      <c r="MD10" s="61">
        <f t="shared" si="89"/>
        <v>1.7</v>
      </c>
      <c r="ME10" s="61">
        <f t="shared" si="89"/>
        <v>1.65</v>
      </c>
      <c r="MF10" s="61">
        <f t="shared" si="89"/>
        <v>0</v>
      </c>
      <c r="MG10" s="61">
        <f t="shared" si="89"/>
        <v>0</v>
      </c>
      <c r="MH10" s="61">
        <f t="shared" si="89"/>
        <v>0</v>
      </c>
      <c r="MI10" s="61">
        <f t="shared" si="89"/>
        <v>0</v>
      </c>
      <c r="MJ10" s="61">
        <f t="shared" si="89"/>
        <v>0</v>
      </c>
      <c r="MK10" s="61">
        <f t="shared" si="89"/>
        <v>0</v>
      </c>
      <c r="ML10" s="61">
        <f t="shared" si="89"/>
        <v>0</v>
      </c>
      <c r="MM10" s="61">
        <f t="shared" si="89"/>
        <v>0</v>
      </c>
      <c r="MN10" s="61">
        <f t="shared" si="89"/>
        <v>0</v>
      </c>
      <c r="MO10" s="72" t="s">
        <v>52</v>
      </c>
      <c r="MP10" s="11">
        <f t="shared" si="90"/>
        <v>3.3</v>
      </c>
      <c r="MQ10" s="11">
        <f t="shared" si="91"/>
        <v>26.95</v>
      </c>
      <c r="MR10" s="11" t="str">
        <f t="shared" si="92"/>
        <v/>
      </c>
      <c r="MS10" s="11" t="str">
        <f t="shared" si="93"/>
        <v/>
      </c>
      <c r="MT10" s="11">
        <f t="shared" si="94"/>
        <v>26.95</v>
      </c>
    </row>
    <row r="11" spans="1:358" x14ac:dyDescent="0.2">
      <c r="D11" s="1"/>
    </row>
    <row r="13" spans="1:358" x14ac:dyDescent="0.2">
      <c r="B13" s="62" t="s">
        <v>50</v>
      </c>
      <c r="AH13" s="49"/>
      <c r="AL13" s="56">
        <v>7.6</v>
      </c>
      <c r="BD13" s="49"/>
      <c r="BH13" s="56">
        <v>7.6</v>
      </c>
      <c r="BZ13" s="49"/>
      <c r="CD13" s="56">
        <v>7.6</v>
      </c>
      <c r="CW13" s="49"/>
      <c r="DA13" s="56">
        <v>7.6</v>
      </c>
      <c r="DR13" s="49"/>
      <c r="DV13" s="56">
        <v>7.6</v>
      </c>
      <c r="EM13" s="49"/>
      <c r="EQ13" s="56">
        <v>7.6</v>
      </c>
      <c r="FH13" s="49"/>
      <c r="FL13" s="56">
        <v>7.6</v>
      </c>
      <c r="GC13" s="49"/>
      <c r="GG13" s="56">
        <v>7.6</v>
      </c>
      <c r="GX13" s="49"/>
      <c r="HB13" s="56">
        <v>7.6</v>
      </c>
      <c r="HS13" s="49"/>
      <c r="HW13" s="56">
        <v>7.6</v>
      </c>
      <c r="IN13" s="49"/>
      <c r="IR13" s="56">
        <v>7.6</v>
      </c>
      <c r="JI13" s="49"/>
      <c r="JM13" s="56">
        <v>7.6</v>
      </c>
      <c r="KD13" s="49"/>
      <c r="KH13" s="56">
        <v>7.6</v>
      </c>
      <c r="KY13" s="49"/>
      <c r="LC13" s="56">
        <v>7.6</v>
      </c>
      <c r="LT13" s="49"/>
      <c r="LX13" s="56">
        <v>7.6</v>
      </c>
    </row>
    <row r="14" spans="1:358" hidden="1" x14ac:dyDescent="0.2">
      <c r="B14" s="83" t="s">
        <v>49</v>
      </c>
      <c r="AH14" s="49"/>
      <c r="AL14" s="85">
        <v>1000</v>
      </c>
      <c r="BD14" s="49"/>
      <c r="BH14" s="85">
        <v>1000</v>
      </c>
      <c r="BZ14" s="49"/>
      <c r="CD14" s="85">
        <v>1000</v>
      </c>
      <c r="CW14" s="49"/>
      <c r="DA14" s="85">
        <v>1000</v>
      </c>
      <c r="DR14" s="49"/>
      <c r="DV14" s="85">
        <v>1000</v>
      </c>
      <c r="EM14" s="49"/>
      <c r="EQ14" s="85">
        <v>1000</v>
      </c>
      <c r="FH14" s="49"/>
      <c r="FL14" s="85">
        <v>1000</v>
      </c>
      <c r="GC14" s="49"/>
      <c r="GG14" s="85">
        <v>1000</v>
      </c>
      <c r="GX14" s="49"/>
      <c r="HB14" s="85">
        <v>1000</v>
      </c>
      <c r="HS14" s="49"/>
      <c r="HW14" s="85">
        <v>1000</v>
      </c>
      <c r="IN14" s="49"/>
      <c r="IR14" s="85">
        <v>1000</v>
      </c>
      <c r="JI14" s="49"/>
      <c r="JM14" s="85">
        <v>1000</v>
      </c>
      <c r="KD14" s="49"/>
      <c r="KH14" s="85">
        <v>1000</v>
      </c>
      <c r="KY14" s="49"/>
      <c r="LC14" s="85">
        <v>1000</v>
      </c>
      <c r="LT14" s="49"/>
      <c r="LX14" s="85">
        <v>1000</v>
      </c>
    </row>
    <row r="15" spans="1:358" hidden="1" x14ac:dyDescent="0.2">
      <c r="A15" s="49"/>
      <c r="B15" s="84" t="s">
        <v>62</v>
      </c>
      <c r="C15" s="48"/>
      <c r="AH15" s="49"/>
      <c r="AL15" s="86">
        <v>1000</v>
      </c>
      <c r="BD15" s="49"/>
      <c r="BH15" s="86">
        <v>1000</v>
      </c>
      <c r="BZ15" s="49"/>
      <c r="CD15" s="86">
        <v>1000</v>
      </c>
      <c r="CW15" s="49"/>
      <c r="DA15" s="86">
        <v>1000</v>
      </c>
      <c r="DR15" s="49"/>
      <c r="DV15" s="86">
        <v>1000</v>
      </c>
      <c r="EM15" s="49"/>
      <c r="EQ15" s="86">
        <v>1000</v>
      </c>
      <c r="FH15" s="49"/>
      <c r="FL15" s="86">
        <v>1000</v>
      </c>
      <c r="GC15" s="49"/>
      <c r="GG15" s="86">
        <v>1000</v>
      </c>
      <c r="GX15" s="49"/>
      <c r="HB15" s="86">
        <v>1000</v>
      </c>
      <c r="HS15" s="49"/>
      <c r="HW15" s="86">
        <v>1000</v>
      </c>
      <c r="IN15" s="49"/>
      <c r="IR15" s="86">
        <v>1000</v>
      </c>
      <c r="JI15" s="49"/>
      <c r="JM15" s="86">
        <v>1000</v>
      </c>
      <c r="KD15" s="49"/>
      <c r="KH15" s="86">
        <v>1000</v>
      </c>
      <c r="KY15" s="49"/>
      <c r="LC15" s="86">
        <v>1000</v>
      </c>
      <c r="LT15" s="49"/>
      <c r="LX15" s="86">
        <v>1000</v>
      </c>
    </row>
    <row r="16" spans="1:358" hidden="1" x14ac:dyDescent="0.2">
      <c r="A16" s="49"/>
      <c r="B16" s="110" t="s">
        <v>70</v>
      </c>
      <c r="C16" s="48"/>
      <c r="AH16" s="49"/>
      <c r="AL16" s="111">
        <v>1000</v>
      </c>
      <c r="BD16" s="49"/>
      <c r="BH16" s="111">
        <v>1000</v>
      </c>
      <c r="BZ16" s="49"/>
      <c r="CD16" s="111">
        <v>1000</v>
      </c>
      <c r="CW16" s="49"/>
      <c r="DA16" s="111">
        <v>1000</v>
      </c>
      <c r="DR16" s="49"/>
      <c r="DV16" s="111">
        <v>1000</v>
      </c>
      <c r="EM16" s="49"/>
      <c r="EQ16" s="111">
        <v>1000</v>
      </c>
      <c r="FH16" s="49"/>
      <c r="FL16" s="111">
        <v>1000</v>
      </c>
      <c r="GC16" s="49"/>
      <c r="GG16" s="111">
        <v>1000</v>
      </c>
      <c r="GX16" s="49"/>
      <c r="HB16" s="111">
        <v>1000</v>
      </c>
      <c r="HS16" s="49"/>
      <c r="HW16" s="111">
        <v>1000</v>
      </c>
      <c r="IN16" s="49"/>
      <c r="IR16" s="111">
        <v>1000</v>
      </c>
      <c r="JI16" s="49"/>
      <c r="JM16" s="111">
        <v>1000</v>
      </c>
      <c r="KD16" s="49"/>
      <c r="KH16" s="111">
        <v>1000</v>
      </c>
      <c r="KY16" s="49"/>
      <c r="LC16" s="111">
        <v>1000</v>
      </c>
      <c r="LT16" s="49"/>
      <c r="LX16" s="111">
        <v>1000</v>
      </c>
    </row>
    <row r="17" spans="1:336" x14ac:dyDescent="0.2">
      <c r="A17" s="49"/>
      <c r="B17" s="108" t="s">
        <v>47</v>
      </c>
      <c r="C17" s="48"/>
      <c r="AH17" s="49"/>
      <c r="AL17" s="109">
        <v>61.6</v>
      </c>
      <c r="BD17" s="49"/>
      <c r="BH17" s="109">
        <v>61.6</v>
      </c>
      <c r="BZ17" s="49"/>
      <c r="CD17" s="109">
        <v>61.6</v>
      </c>
      <c r="CW17" s="49"/>
      <c r="DA17" s="109">
        <v>61.6</v>
      </c>
      <c r="DR17" s="49"/>
      <c r="DV17" s="109">
        <v>61.6</v>
      </c>
      <c r="EM17" s="49"/>
      <c r="EQ17" s="109">
        <v>61.6</v>
      </c>
      <c r="FH17" s="49"/>
      <c r="FL17" s="109">
        <v>61.6</v>
      </c>
      <c r="GC17" s="49"/>
      <c r="GG17" s="109">
        <v>61.6</v>
      </c>
      <c r="GX17" s="49"/>
      <c r="HB17" s="109">
        <v>61.6</v>
      </c>
      <c r="HS17" s="49"/>
      <c r="HW17" s="109">
        <v>61.6</v>
      </c>
      <c r="IN17" s="49"/>
      <c r="IR17" s="109">
        <v>61.6</v>
      </c>
      <c r="JI17" s="49"/>
      <c r="JM17" s="109">
        <v>61.6</v>
      </c>
      <c r="KD17" s="49"/>
      <c r="KH17" s="109">
        <v>61.6</v>
      </c>
      <c r="KY17" s="49"/>
      <c r="LC17" s="109">
        <v>61.6</v>
      </c>
      <c r="LT17" s="49"/>
      <c r="LX17" s="109">
        <v>61.6</v>
      </c>
    </row>
    <row r="18" spans="1:336" hidden="1" x14ac:dyDescent="0.2">
      <c r="A18" s="49"/>
      <c r="B18" s="64" t="s">
        <v>48</v>
      </c>
      <c r="C18" s="48"/>
      <c r="AH18" s="49"/>
      <c r="AL18" s="58">
        <v>1000</v>
      </c>
      <c r="BD18" s="49"/>
      <c r="BH18" s="58">
        <v>1000</v>
      </c>
      <c r="BZ18" s="49"/>
      <c r="CD18" s="58">
        <v>1000</v>
      </c>
      <c r="CW18" s="49"/>
      <c r="DA18" s="58">
        <v>1000</v>
      </c>
      <c r="DR18" s="49"/>
      <c r="DV18" s="58">
        <v>1000</v>
      </c>
      <c r="EM18" s="49"/>
      <c r="EQ18" s="58">
        <v>1000</v>
      </c>
      <c r="FH18" s="49"/>
      <c r="FL18" s="58">
        <v>1000</v>
      </c>
      <c r="GC18" s="49"/>
      <c r="GG18" s="58">
        <v>1000</v>
      </c>
      <c r="GX18" s="49"/>
      <c r="HB18" s="58">
        <v>1000</v>
      </c>
      <c r="HS18" s="49"/>
      <c r="HW18" s="58">
        <v>1000</v>
      </c>
      <c r="IN18" s="49"/>
      <c r="IR18" s="58">
        <v>1000</v>
      </c>
      <c r="JI18" s="49"/>
      <c r="JM18" s="58">
        <v>1000</v>
      </c>
      <c r="KD18" s="49"/>
      <c r="KH18" s="58">
        <v>1000</v>
      </c>
      <c r="KY18" s="49"/>
      <c r="LC18" s="58">
        <v>1000</v>
      </c>
      <c r="LT18" s="49"/>
      <c r="LX18" s="58">
        <v>1000</v>
      </c>
    </row>
    <row r="19" spans="1:336" hidden="1" x14ac:dyDescent="0.2">
      <c r="A19" s="49"/>
      <c r="B19" s="106" t="s">
        <v>60</v>
      </c>
      <c r="C19" s="48"/>
      <c r="AH19" s="49"/>
      <c r="AL19" s="107">
        <v>1000</v>
      </c>
      <c r="BD19" s="49"/>
      <c r="BH19" s="107">
        <v>1000</v>
      </c>
      <c r="BZ19" s="49"/>
      <c r="CD19" s="107">
        <v>1000</v>
      </c>
      <c r="CW19" s="49"/>
      <c r="DA19" s="107">
        <v>1000</v>
      </c>
      <c r="DR19" s="49"/>
      <c r="DV19" s="107">
        <v>1000</v>
      </c>
      <c r="EM19" s="49"/>
      <c r="EQ19" s="107">
        <v>1000</v>
      </c>
      <c r="FH19" s="49"/>
      <c r="FL19" s="107">
        <v>1000</v>
      </c>
      <c r="GC19" s="49"/>
      <c r="GG19" s="107">
        <v>1000</v>
      </c>
      <c r="GX19" s="49"/>
      <c r="HB19" s="107">
        <v>1000</v>
      </c>
      <c r="HS19" s="49"/>
      <c r="HW19" s="107">
        <v>1000</v>
      </c>
      <c r="IN19" s="49"/>
      <c r="IR19" s="107">
        <v>1000</v>
      </c>
      <c r="JI19" s="49"/>
      <c r="JM19" s="107">
        <v>1000</v>
      </c>
      <c r="KD19" s="49"/>
      <c r="KH19" s="107">
        <v>1000</v>
      </c>
      <c r="KY19" s="49"/>
      <c r="LC19" s="107">
        <v>1000</v>
      </c>
      <c r="LT19" s="49"/>
      <c r="LX19" s="107">
        <v>1000</v>
      </c>
    </row>
    <row r="20" spans="1:336" hidden="1" x14ac:dyDescent="0.2">
      <c r="A20" s="49"/>
      <c r="B20" s="66" t="s">
        <v>34</v>
      </c>
      <c r="C20" s="48"/>
      <c r="AH20" s="49"/>
      <c r="AL20" s="60">
        <v>1000</v>
      </c>
      <c r="BD20" s="49"/>
      <c r="BH20" s="60">
        <v>1000</v>
      </c>
      <c r="BZ20" s="49"/>
      <c r="CD20" s="60">
        <v>1000</v>
      </c>
      <c r="CW20" s="49"/>
      <c r="DA20" s="60">
        <v>1000</v>
      </c>
      <c r="DR20" s="49"/>
      <c r="DV20" s="60">
        <v>1000</v>
      </c>
      <c r="EM20" s="49"/>
      <c r="EQ20" s="60">
        <v>1000</v>
      </c>
      <c r="FH20" s="49"/>
      <c r="FL20" s="60">
        <v>1000</v>
      </c>
      <c r="GC20" s="49"/>
      <c r="GG20" s="60">
        <v>1000</v>
      </c>
      <c r="GX20" s="49"/>
      <c r="HB20" s="60">
        <v>1000</v>
      </c>
      <c r="HS20" s="49"/>
      <c r="HW20" s="60">
        <v>1000</v>
      </c>
      <c r="IN20" s="49"/>
      <c r="IR20" s="60">
        <v>1000</v>
      </c>
      <c r="JI20" s="49"/>
      <c r="JM20" s="60">
        <v>1000</v>
      </c>
      <c r="KD20" s="49"/>
      <c r="KH20" s="60">
        <v>1000</v>
      </c>
      <c r="KY20" s="49"/>
      <c r="LC20" s="60">
        <v>1000</v>
      </c>
      <c r="LT20" s="49"/>
      <c r="LX20" s="60">
        <v>1000</v>
      </c>
    </row>
    <row r="21" spans="1:336" x14ac:dyDescent="0.2">
      <c r="B21" s="74" t="s">
        <v>53</v>
      </c>
      <c r="C21" s="2"/>
    </row>
    <row r="22" spans="1:336" x14ac:dyDescent="0.2">
      <c r="A22" s="49"/>
      <c r="B22" s="49"/>
      <c r="C22" s="48"/>
    </row>
    <row r="23" spans="1:336" ht="17" x14ac:dyDescent="0.2">
      <c r="A23" s="49"/>
      <c r="B23" s="49"/>
      <c r="C23" s="48"/>
      <c r="N23" s="18"/>
      <c r="O23" s="18"/>
      <c r="P23" s="18"/>
    </row>
    <row r="24" spans="1:336" ht="17" x14ac:dyDescent="0.2">
      <c r="A24" s="49"/>
      <c r="B24" s="49"/>
      <c r="C24" s="48"/>
      <c r="N24" s="18"/>
      <c r="O24" s="18"/>
      <c r="P24" s="18"/>
    </row>
    <row r="25" spans="1:336" ht="17" x14ac:dyDescent="0.2">
      <c r="N25" s="18"/>
      <c r="O25" s="18"/>
      <c r="P25" s="18"/>
    </row>
    <row r="26" spans="1:336" ht="17" x14ac:dyDescent="0.2">
      <c r="N26" s="18"/>
      <c r="O26" s="18"/>
      <c r="P26" s="18"/>
    </row>
    <row r="27" spans="1:336" ht="17" x14ac:dyDescent="0.2">
      <c r="N27" s="18"/>
      <c r="O27" s="18"/>
      <c r="P27" s="18"/>
    </row>
    <row r="28" spans="1:336" ht="17" x14ac:dyDescent="0.2">
      <c r="N28" s="18"/>
      <c r="O28" s="18"/>
      <c r="P28" s="18"/>
    </row>
    <row r="29" spans="1:336" ht="17" x14ac:dyDescent="0.2">
      <c r="N29" s="18"/>
      <c r="O29" s="18"/>
      <c r="P29" s="18"/>
    </row>
    <row r="30" spans="1:336" ht="17" x14ac:dyDescent="0.2">
      <c r="N30" s="18"/>
      <c r="O30" s="18"/>
      <c r="P30" s="18"/>
    </row>
    <row r="31" spans="1:336" ht="17" x14ac:dyDescent="0.2">
      <c r="N31" s="18"/>
      <c r="O31" s="18"/>
      <c r="P31" s="18"/>
    </row>
    <row r="32" spans="1:336" ht="17" x14ac:dyDescent="0.2">
      <c r="N32" s="18"/>
      <c r="O32" s="18"/>
      <c r="P32" s="18"/>
    </row>
    <row r="33" spans="14:16" ht="17" x14ac:dyDescent="0.2">
      <c r="N33" s="18"/>
      <c r="O33" s="18"/>
      <c r="P33" s="18"/>
    </row>
    <row r="34" spans="14:16" ht="17" x14ac:dyDescent="0.2">
      <c r="N34" s="18"/>
      <c r="O34" s="18"/>
      <c r="P34" s="18"/>
    </row>
    <row r="35" spans="14:16" ht="17" x14ac:dyDescent="0.2">
      <c r="N35" s="18"/>
      <c r="O35" s="18"/>
      <c r="P35" s="18"/>
    </row>
    <row r="36" spans="14:16" ht="17" x14ac:dyDescent="0.2">
      <c r="N36" s="18"/>
      <c r="O36" s="18"/>
      <c r="P36" s="18"/>
    </row>
    <row r="37" spans="14:16" ht="17" x14ac:dyDescent="0.2">
      <c r="N37" s="18"/>
      <c r="O37" s="18"/>
      <c r="P37" s="18"/>
    </row>
    <row r="38" spans="14:16" ht="17" x14ac:dyDescent="0.2">
      <c r="N38" s="18"/>
      <c r="O38" s="18"/>
      <c r="P38" s="18"/>
    </row>
    <row r="39" spans="14:16" ht="17" x14ac:dyDescent="0.2">
      <c r="N39" s="18"/>
      <c r="O39" s="18"/>
      <c r="P39" s="18"/>
    </row>
    <row r="40" spans="14:16" ht="17" x14ac:dyDescent="0.2">
      <c r="N40" s="18"/>
      <c r="O40" s="18"/>
      <c r="P40" s="18"/>
    </row>
    <row r="41" spans="14:16" ht="17" x14ac:dyDescent="0.2">
      <c r="N41" s="18"/>
      <c r="O41" s="18"/>
      <c r="P41" s="18"/>
    </row>
    <row r="42" spans="14:16" ht="17" x14ac:dyDescent="0.2">
      <c r="N42" s="18"/>
      <c r="O42" s="18"/>
      <c r="P42" s="18"/>
    </row>
  </sheetData>
  <sheetProtection sheet="1" formatCells="0" formatColumns="0" formatRows="0"/>
  <autoFilter ref="A1:MT5" xr:uid="{03F0432C-F54E-7F45-9ECC-C2A425818962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10">
      <sortCondition descending="1" ref="F1:F11"/>
    </sortState>
  </autoFilter>
  <mergeCells count="97">
    <mergeCell ref="BI2:BL2"/>
    <mergeCell ref="BM2:BP2"/>
    <mergeCell ref="BQ2:BT2"/>
    <mergeCell ref="BU2:BX2"/>
    <mergeCell ref="KI1:LC1"/>
    <mergeCell ref="IS1:JM1"/>
    <mergeCell ref="JN1:KH1"/>
    <mergeCell ref="IS2:IV2"/>
    <mergeCell ref="IW2:IZ2"/>
    <mergeCell ref="JA2:JD2"/>
    <mergeCell ref="JE2:JH2"/>
    <mergeCell ref="JN2:JQ2"/>
    <mergeCell ref="JR2:JU2"/>
    <mergeCell ref="JV2:JY2"/>
    <mergeCell ref="JZ2:KC2"/>
    <mergeCell ref="HC1:HW1"/>
    <mergeCell ref="LD1:LX1"/>
    <mergeCell ref="KI2:KL2"/>
    <mergeCell ref="KM2:KP2"/>
    <mergeCell ref="KQ2:KT2"/>
    <mergeCell ref="KU2:KX2"/>
    <mergeCell ref="LD2:LG2"/>
    <mergeCell ref="LH2:LK2"/>
    <mergeCell ref="LL2:LO2"/>
    <mergeCell ref="LP2:LS2"/>
    <mergeCell ref="HX1:IR1"/>
    <mergeCell ref="HC2:HF2"/>
    <mergeCell ref="HG2:HJ2"/>
    <mergeCell ref="HK2:HN2"/>
    <mergeCell ref="HO2:HR2"/>
    <mergeCell ref="HX2:IA2"/>
    <mergeCell ref="IB2:IE2"/>
    <mergeCell ref="IF2:II2"/>
    <mergeCell ref="IJ2:IM2"/>
    <mergeCell ref="FM1:GG1"/>
    <mergeCell ref="GH1:HB1"/>
    <mergeCell ref="FM2:FP2"/>
    <mergeCell ref="FQ2:FT2"/>
    <mergeCell ref="FU2:FX2"/>
    <mergeCell ref="FY2:GB2"/>
    <mergeCell ref="GH2:GK2"/>
    <mergeCell ref="GL2:GO2"/>
    <mergeCell ref="GP2:GS2"/>
    <mergeCell ref="GT2:GW2"/>
    <mergeCell ref="ER2:EU2"/>
    <mergeCell ref="EV2:EY2"/>
    <mergeCell ref="EZ2:FC2"/>
    <mergeCell ref="FD2:FG2"/>
    <mergeCell ref="Q1:AL1"/>
    <mergeCell ref="AM1:BH1"/>
    <mergeCell ref="ER1:FL1"/>
    <mergeCell ref="DW2:DZ2"/>
    <mergeCell ref="EA2:ED2"/>
    <mergeCell ref="EE2:EH2"/>
    <mergeCell ref="DF2:DI2"/>
    <mergeCell ref="DJ2:DM2"/>
    <mergeCell ref="DN2:DQ2"/>
    <mergeCell ref="CG1:DA1"/>
    <mergeCell ref="EI2:EL2"/>
    <mergeCell ref="CG2:CJ2"/>
    <mergeCell ref="DW1:EQ1"/>
    <mergeCell ref="AY2:BB2"/>
    <mergeCell ref="Q2:T2"/>
    <mergeCell ref="U2:X2"/>
    <mergeCell ref="AC2:AF2"/>
    <mergeCell ref="AM2:AP2"/>
    <mergeCell ref="AQ2:AT2"/>
    <mergeCell ref="Y2:AB2"/>
    <mergeCell ref="AU2:AX2"/>
    <mergeCell ref="CE1:CF1"/>
    <mergeCell ref="DB1:DV1"/>
    <mergeCell ref="DB2:DE2"/>
    <mergeCell ref="CK2:CN2"/>
    <mergeCell ref="CO2:CR2"/>
    <mergeCell ref="CS2:CV2"/>
    <mergeCell ref="BI1:CD1"/>
    <mergeCell ref="I1:I3"/>
    <mergeCell ref="G1:G3"/>
    <mergeCell ref="H1:H3"/>
    <mergeCell ref="J1:J3"/>
    <mergeCell ref="F1:F3"/>
    <mergeCell ref="A1:A3"/>
    <mergeCell ref="B1:B3"/>
    <mergeCell ref="C1:C3"/>
    <mergeCell ref="D1:D3"/>
    <mergeCell ref="E1:E3"/>
    <mergeCell ref="P1:P3"/>
    <mergeCell ref="K1:K3"/>
    <mergeCell ref="L1:L3"/>
    <mergeCell ref="M1:M3"/>
    <mergeCell ref="O1:O3"/>
    <mergeCell ref="N1:N3"/>
    <mergeCell ref="LY1:MT1"/>
    <mergeCell ref="LY2:MB2"/>
    <mergeCell ref="MC2:MF2"/>
    <mergeCell ref="MG2:MJ2"/>
    <mergeCell ref="MK2:MN2"/>
  </mergeCells>
  <conditionalFormatting sqref="Q4:AL10">
    <cfRule type="expression" dxfId="79" priority="1" stopIfTrue="1">
      <formula>IF($AG4&lt;&gt;"",1,0)</formula>
    </cfRule>
  </conditionalFormatting>
  <conditionalFormatting sqref="AM4:BH10">
    <cfRule type="expression" dxfId="78" priority="2" stopIfTrue="1">
      <formula>IF($BC4&lt;&gt;"",1,0)</formula>
    </cfRule>
  </conditionalFormatting>
  <conditionalFormatting sqref="K1:K1048576 M1:M1048576">
    <cfRule type="expression" dxfId="77" priority="36231">
      <formula>IF(K1=$BI$1,1,0)</formula>
    </cfRule>
    <cfRule type="expression" dxfId="76" priority="36232">
      <formula>IF(K1=$AM$1,1,0)</formula>
    </cfRule>
    <cfRule type="expression" dxfId="75" priority="36233">
      <formula>IF(K1=$Q$1,1,0)</formula>
    </cfRule>
  </conditionalFormatting>
  <conditionalFormatting sqref="BI4:CD10">
    <cfRule type="expression" dxfId="74" priority="3" stopIfTrue="1">
      <formula>IF($AG4&lt;&gt;"",1,0)</formula>
    </cfRule>
  </conditionalFormatting>
  <conditionalFormatting sqref="A1:A1048576">
    <cfRule type="expression" dxfId="73" priority="38430">
      <formula>AND(G1="P",F1="")</formula>
    </cfRule>
  </conditionalFormatting>
  <conditionalFormatting sqref="H1:H1048576">
    <cfRule type="containsText" dxfId="72" priority="5" operator="containsText" text="No DD">
      <formula>NOT(ISERROR(SEARCH("No DD",H1)))</formula>
    </cfRule>
    <cfRule type="containsText" dxfId="71" priority="6" operator="containsText" text="Merit">
      <formula>NOT(ISERROR(SEARCH("Merit",H1)))</formula>
    </cfRule>
    <cfRule type="containsText" dxfId="70" priority="20" operator="containsText" text="Excellence">
      <formula>NOT(ISERROR(SEARCH("Excellence",H1)))</formula>
    </cfRule>
    <cfRule type="containsText" dxfId="69" priority="29" operator="containsText" text="Worlds Team">
      <formula>NOT(ISERROR(SEARCH("Worlds Team",H1)))</formula>
    </cfRule>
    <cfRule type="containsText" dxfId="68" priority="32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67" priority="46063" operator="between">
      <formula>AL$16</formula>
      <formula>1000</formula>
    </cfRule>
    <cfRule type="cellIs" dxfId="66" priority="46064" operator="between">
      <formula>AL$15</formula>
      <formula>AL$16</formula>
    </cfRule>
    <cfRule type="cellIs" dxfId="65" priority="46065" operator="between">
      <formula>AL$14</formula>
      <formula>AL$15</formula>
    </cfRule>
    <cfRule type="cellIs" dxfId="64" priority="46066" operator="between">
      <formula>AL$13</formula>
      <formula>AL$14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63" priority="46243" operator="between">
      <formula>AL$20</formula>
      <formula>1000</formula>
    </cfRule>
    <cfRule type="cellIs" dxfId="62" priority="46244" operator="between">
      <formula>AL$19</formula>
      <formula>AL$20</formula>
    </cfRule>
    <cfRule type="cellIs" dxfId="61" priority="46245" operator="between">
      <formula>AL$18</formula>
      <formula>AL$19</formula>
    </cfRule>
    <cfRule type="cellIs" dxfId="60" priority="46246" operator="between">
      <formula>AL$17</formula>
      <formula>AL$18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MT2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116" bestFit="1" customWidth="1"/>
    <col min="9" max="9" width="15.33203125" hidden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2" width="10.83203125" customWidth="1"/>
    <col min="83" max="84" width="14.33203125" customWidth="1"/>
    <col min="85" max="358" width="10.83203125" hidden="1" customWidth="1"/>
    <col min="359" max="381" width="10.83203125" customWidth="1"/>
  </cols>
  <sheetData>
    <row r="1" spans="1:358" ht="16" customHeight="1" x14ac:dyDescent="0.2">
      <c r="A1" s="123" t="s">
        <v>1</v>
      </c>
      <c r="B1" s="123" t="s">
        <v>25</v>
      </c>
      <c r="C1" s="123" t="s">
        <v>0</v>
      </c>
      <c r="D1" s="123" t="s">
        <v>54</v>
      </c>
      <c r="E1" s="123" t="s">
        <v>2</v>
      </c>
      <c r="F1" s="132" t="s">
        <v>59</v>
      </c>
      <c r="G1" s="132" t="s">
        <v>8</v>
      </c>
      <c r="H1" s="123" t="s">
        <v>9</v>
      </c>
      <c r="I1" s="132" t="s">
        <v>119</v>
      </c>
      <c r="J1" s="128" t="s">
        <v>10</v>
      </c>
      <c r="K1" s="128" t="s">
        <v>32</v>
      </c>
      <c r="L1" s="128" t="s">
        <v>12</v>
      </c>
      <c r="M1" s="128" t="s">
        <v>32</v>
      </c>
      <c r="N1" s="127" t="s">
        <v>13</v>
      </c>
      <c r="O1" s="128" t="s">
        <v>33</v>
      </c>
      <c r="P1" s="128" t="s">
        <v>32</v>
      </c>
      <c r="Q1" s="124" t="s">
        <v>69</v>
      </c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6" t="s">
        <v>120</v>
      </c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4" t="s">
        <v>135</v>
      </c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30" t="s">
        <v>13</v>
      </c>
      <c r="CF1" s="130"/>
      <c r="CG1" s="124"/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4"/>
      <c r="DB1" s="126"/>
      <c r="DC1" s="126"/>
      <c r="DD1" s="126"/>
      <c r="DE1" s="126"/>
      <c r="DF1" s="126"/>
      <c r="DG1" s="126"/>
      <c r="DH1" s="126"/>
      <c r="DI1" s="126"/>
      <c r="DJ1" s="126"/>
      <c r="DK1" s="126"/>
      <c r="DL1" s="126"/>
      <c r="DM1" s="126"/>
      <c r="DN1" s="126"/>
      <c r="DO1" s="126"/>
      <c r="DP1" s="126"/>
      <c r="DQ1" s="126"/>
      <c r="DR1" s="126"/>
      <c r="DS1" s="126"/>
      <c r="DT1" s="126"/>
      <c r="DU1" s="126"/>
      <c r="DV1" s="126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4"/>
      <c r="EI1" s="124"/>
      <c r="EJ1" s="124"/>
      <c r="EK1" s="124"/>
      <c r="EL1" s="124"/>
      <c r="EM1" s="124"/>
      <c r="EN1" s="124"/>
      <c r="EO1" s="124"/>
      <c r="EP1" s="124"/>
      <c r="EQ1" s="124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6"/>
      <c r="FE1" s="126"/>
      <c r="FF1" s="126"/>
      <c r="FG1" s="126"/>
      <c r="FH1" s="126"/>
      <c r="FI1" s="126"/>
      <c r="FJ1" s="126"/>
      <c r="FK1" s="126"/>
      <c r="FL1" s="126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4"/>
      <c r="GA1" s="124"/>
      <c r="GB1" s="124"/>
      <c r="GC1" s="124"/>
      <c r="GD1" s="124"/>
      <c r="GE1" s="124"/>
      <c r="GF1" s="124"/>
      <c r="GG1" s="124"/>
      <c r="GH1" s="126"/>
      <c r="GI1" s="126"/>
      <c r="GJ1" s="126"/>
      <c r="GK1" s="126"/>
      <c r="GL1" s="126"/>
      <c r="GM1" s="126"/>
      <c r="GN1" s="126"/>
      <c r="GO1" s="126"/>
      <c r="GP1" s="126"/>
      <c r="GQ1" s="126"/>
      <c r="GR1" s="126"/>
      <c r="GS1" s="126"/>
      <c r="GT1" s="126"/>
      <c r="GU1" s="126"/>
      <c r="GV1" s="126"/>
      <c r="GW1" s="126"/>
      <c r="GX1" s="126"/>
      <c r="GY1" s="126"/>
      <c r="GZ1" s="126"/>
      <c r="HA1" s="126"/>
      <c r="HB1" s="126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4"/>
      <c r="HS1" s="124"/>
      <c r="HT1" s="124"/>
      <c r="HU1" s="124"/>
      <c r="HV1" s="124"/>
      <c r="HW1" s="124"/>
      <c r="HX1" s="126"/>
      <c r="HY1" s="126"/>
      <c r="HZ1" s="126"/>
      <c r="IA1" s="126"/>
      <c r="IB1" s="126"/>
      <c r="IC1" s="126"/>
      <c r="ID1" s="126"/>
      <c r="IE1" s="126"/>
      <c r="IF1" s="126"/>
      <c r="IG1" s="126"/>
      <c r="IH1" s="126"/>
      <c r="II1" s="126"/>
      <c r="IJ1" s="126"/>
      <c r="IK1" s="126"/>
      <c r="IL1" s="126"/>
      <c r="IM1" s="126"/>
      <c r="IN1" s="126"/>
      <c r="IO1" s="126"/>
      <c r="IP1" s="126"/>
      <c r="IQ1" s="126"/>
      <c r="IR1" s="126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4"/>
      <c r="JK1" s="124"/>
      <c r="JL1" s="124"/>
      <c r="JM1" s="124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6"/>
      <c r="KG1" s="126"/>
      <c r="KH1" s="126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4"/>
      <c r="LC1" s="124"/>
      <c r="LD1" s="126"/>
      <c r="LE1" s="126"/>
      <c r="LF1" s="126"/>
      <c r="LG1" s="126"/>
      <c r="LH1" s="126"/>
      <c r="LI1" s="126"/>
      <c r="LJ1" s="126"/>
      <c r="LK1" s="126"/>
      <c r="LL1" s="126"/>
      <c r="LM1" s="126"/>
      <c r="LN1" s="126"/>
      <c r="LO1" s="126"/>
      <c r="LP1" s="126"/>
      <c r="LQ1" s="126"/>
      <c r="LR1" s="126"/>
      <c r="LS1" s="126"/>
      <c r="LT1" s="126"/>
      <c r="LU1" s="126"/>
      <c r="LV1" s="126"/>
      <c r="LW1" s="126"/>
      <c r="LX1" s="126"/>
      <c r="LY1" s="124" t="s">
        <v>63</v>
      </c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4"/>
    </row>
    <row r="2" spans="1:358" x14ac:dyDescent="0.2">
      <c r="A2" s="123"/>
      <c r="B2" s="123"/>
      <c r="C2" s="123"/>
      <c r="D2" s="123"/>
      <c r="E2" s="123"/>
      <c r="F2" s="132"/>
      <c r="G2" s="132"/>
      <c r="H2" s="123"/>
      <c r="I2" s="132"/>
      <c r="J2" s="128"/>
      <c r="K2" s="128"/>
      <c r="L2" s="128"/>
      <c r="M2" s="128"/>
      <c r="N2" s="127"/>
      <c r="O2" s="128"/>
      <c r="P2" s="128"/>
      <c r="Q2" s="122" t="s">
        <v>26</v>
      </c>
      <c r="R2" s="122"/>
      <c r="S2" s="122"/>
      <c r="T2" s="122"/>
      <c r="U2" s="122" t="s">
        <v>29</v>
      </c>
      <c r="V2" s="122"/>
      <c r="W2" s="122"/>
      <c r="X2" s="122"/>
      <c r="Y2" s="122" t="s">
        <v>30</v>
      </c>
      <c r="Z2" s="122"/>
      <c r="AA2" s="122"/>
      <c r="AB2" s="122"/>
      <c r="AC2" s="131" t="s">
        <v>31</v>
      </c>
      <c r="AD2" s="131"/>
      <c r="AE2" s="131"/>
      <c r="AF2" s="131"/>
      <c r="AG2" s="70"/>
      <c r="AH2" s="51" t="s">
        <v>24</v>
      </c>
      <c r="AI2" s="9" t="s">
        <v>23</v>
      </c>
      <c r="AJ2" s="9" t="s">
        <v>64</v>
      </c>
      <c r="AK2" s="9" t="s">
        <v>22</v>
      </c>
      <c r="AL2" s="9" t="s">
        <v>17</v>
      </c>
      <c r="AM2" s="125" t="s">
        <v>26</v>
      </c>
      <c r="AN2" s="125"/>
      <c r="AO2" s="125"/>
      <c r="AP2" s="125"/>
      <c r="AQ2" s="125" t="s">
        <v>29</v>
      </c>
      <c r="AR2" s="125"/>
      <c r="AS2" s="125"/>
      <c r="AT2" s="125"/>
      <c r="AU2" s="125" t="s">
        <v>30</v>
      </c>
      <c r="AV2" s="125"/>
      <c r="AW2" s="125"/>
      <c r="AX2" s="125"/>
      <c r="AY2" s="133" t="s">
        <v>31</v>
      </c>
      <c r="AZ2" s="133"/>
      <c r="BA2" s="133"/>
      <c r="BB2" s="133"/>
      <c r="BC2" s="71"/>
      <c r="BD2" s="50" t="s">
        <v>24</v>
      </c>
      <c r="BE2" s="12" t="s">
        <v>23</v>
      </c>
      <c r="BF2" s="12" t="s">
        <v>64</v>
      </c>
      <c r="BG2" s="12" t="s">
        <v>22</v>
      </c>
      <c r="BH2" s="12" t="s">
        <v>17</v>
      </c>
      <c r="BI2" s="122" t="s">
        <v>26</v>
      </c>
      <c r="BJ2" s="122"/>
      <c r="BK2" s="122"/>
      <c r="BL2" s="122"/>
      <c r="BM2" s="122" t="s">
        <v>29</v>
      </c>
      <c r="BN2" s="122"/>
      <c r="BO2" s="122"/>
      <c r="BP2" s="122"/>
      <c r="BQ2" s="122" t="s">
        <v>30</v>
      </c>
      <c r="BR2" s="122"/>
      <c r="BS2" s="122"/>
      <c r="BT2" s="122"/>
      <c r="BU2" s="131" t="s">
        <v>31</v>
      </c>
      <c r="BV2" s="131"/>
      <c r="BW2" s="131"/>
      <c r="BX2" s="131"/>
      <c r="BY2" s="101"/>
      <c r="BZ2" s="101" t="s">
        <v>24</v>
      </c>
      <c r="CA2" s="9" t="s">
        <v>23</v>
      </c>
      <c r="CB2" s="9" t="s">
        <v>64</v>
      </c>
      <c r="CC2" s="9" t="s">
        <v>22</v>
      </c>
      <c r="CD2" s="9" t="s">
        <v>17</v>
      </c>
      <c r="CE2" s="21" t="s">
        <v>23</v>
      </c>
      <c r="CF2" s="21" t="s">
        <v>22</v>
      </c>
      <c r="CG2" s="122" t="s">
        <v>26</v>
      </c>
      <c r="CH2" s="122"/>
      <c r="CI2" s="122"/>
      <c r="CJ2" s="122"/>
      <c r="CK2" s="122" t="s">
        <v>29</v>
      </c>
      <c r="CL2" s="122"/>
      <c r="CM2" s="122"/>
      <c r="CN2" s="122"/>
      <c r="CO2" s="122" t="s">
        <v>30</v>
      </c>
      <c r="CP2" s="122"/>
      <c r="CQ2" s="122"/>
      <c r="CR2" s="122"/>
      <c r="CS2" s="134" t="s">
        <v>31</v>
      </c>
      <c r="CT2" s="134"/>
      <c r="CU2" s="134"/>
      <c r="CV2" s="134"/>
      <c r="CW2" s="51" t="s">
        <v>24</v>
      </c>
      <c r="CX2" s="9" t="s">
        <v>23</v>
      </c>
      <c r="CY2" s="9" t="s">
        <v>64</v>
      </c>
      <c r="CZ2" s="9" t="s">
        <v>22</v>
      </c>
      <c r="DA2" s="9" t="s">
        <v>17</v>
      </c>
      <c r="DB2" s="125" t="s">
        <v>26</v>
      </c>
      <c r="DC2" s="125"/>
      <c r="DD2" s="125"/>
      <c r="DE2" s="125"/>
      <c r="DF2" s="125" t="s">
        <v>29</v>
      </c>
      <c r="DG2" s="125"/>
      <c r="DH2" s="125"/>
      <c r="DI2" s="125"/>
      <c r="DJ2" s="125" t="s">
        <v>30</v>
      </c>
      <c r="DK2" s="125"/>
      <c r="DL2" s="125"/>
      <c r="DM2" s="125"/>
      <c r="DN2" s="133" t="s">
        <v>31</v>
      </c>
      <c r="DO2" s="133"/>
      <c r="DP2" s="133"/>
      <c r="DQ2" s="133"/>
      <c r="DR2" s="50" t="s">
        <v>24</v>
      </c>
      <c r="DS2" s="12" t="s">
        <v>23</v>
      </c>
      <c r="DT2" s="12" t="s">
        <v>64</v>
      </c>
      <c r="DU2" s="12" t="s">
        <v>22</v>
      </c>
      <c r="DV2" s="12" t="s">
        <v>17</v>
      </c>
      <c r="DW2" s="122" t="s">
        <v>26</v>
      </c>
      <c r="DX2" s="122"/>
      <c r="DY2" s="122"/>
      <c r="DZ2" s="122"/>
      <c r="EA2" s="122" t="s">
        <v>29</v>
      </c>
      <c r="EB2" s="122"/>
      <c r="EC2" s="122"/>
      <c r="ED2" s="122"/>
      <c r="EE2" s="122" t="s">
        <v>30</v>
      </c>
      <c r="EF2" s="122"/>
      <c r="EG2" s="122"/>
      <c r="EH2" s="122"/>
      <c r="EI2" s="134" t="s">
        <v>31</v>
      </c>
      <c r="EJ2" s="134"/>
      <c r="EK2" s="134"/>
      <c r="EL2" s="134"/>
      <c r="EM2" s="51" t="s">
        <v>24</v>
      </c>
      <c r="EN2" s="9" t="s">
        <v>23</v>
      </c>
      <c r="EO2" s="9" t="s">
        <v>64</v>
      </c>
      <c r="EP2" s="9" t="s">
        <v>22</v>
      </c>
      <c r="EQ2" s="9" t="s">
        <v>17</v>
      </c>
      <c r="ER2" s="125" t="s">
        <v>26</v>
      </c>
      <c r="ES2" s="125"/>
      <c r="ET2" s="125"/>
      <c r="EU2" s="125"/>
      <c r="EV2" s="125" t="s">
        <v>29</v>
      </c>
      <c r="EW2" s="125"/>
      <c r="EX2" s="125"/>
      <c r="EY2" s="125"/>
      <c r="EZ2" s="125" t="s">
        <v>30</v>
      </c>
      <c r="FA2" s="125"/>
      <c r="FB2" s="125"/>
      <c r="FC2" s="125"/>
      <c r="FD2" s="133" t="s">
        <v>31</v>
      </c>
      <c r="FE2" s="133"/>
      <c r="FF2" s="133"/>
      <c r="FG2" s="133"/>
      <c r="FH2" s="19" t="s">
        <v>24</v>
      </c>
      <c r="FI2" s="12" t="s">
        <v>23</v>
      </c>
      <c r="FJ2" s="12" t="s">
        <v>64</v>
      </c>
      <c r="FK2" s="12" t="s">
        <v>22</v>
      </c>
      <c r="FL2" s="12" t="s">
        <v>17</v>
      </c>
      <c r="FM2" s="122" t="s">
        <v>26</v>
      </c>
      <c r="FN2" s="122"/>
      <c r="FO2" s="122"/>
      <c r="FP2" s="122"/>
      <c r="FQ2" s="122" t="s">
        <v>29</v>
      </c>
      <c r="FR2" s="122"/>
      <c r="FS2" s="122"/>
      <c r="FT2" s="122"/>
      <c r="FU2" s="122" t="s">
        <v>30</v>
      </c>
      <c r="FV2" s="122"/>
      <c r="FW2" s="122"/>
      <c r="FX2" s="122"/>
      <c r="FY2" s="134" t="s">
        <v>31</v>
      </c>
      <c r="FZ2" s="134"/>
      <c r="GA2" s="134"/>
      <c r="GB2" s="134"/>
      <c r="GC2" s="20" t="s">
        <v>24</v>
      </c>
      <c r="GD2" s="9" t="s">
        <v>23</v>
      </c>
      <c r="GE2" s="9" t="s">
        <v>64</v>
      </c>
      <c r="GF2" s="9" t="s">
        <v>22</v>
      </c>
      <c r="GG2" s="9" t="s">
        <v>17</v>
      </c>
      <c r="GH2" s="125" t="s">
        <v>26</v>
      </c>
      <c r="GI2" s="125"/>
      <c r="GJ2" s="125"/>
      <c r="GK2" s="125"/>
      <c r="GL2" s="125" t="s">
        <v>29</v>
      </c>
      <c r="GM2" s="125"/>
      <c r="GN2" s="125"/>
      <c r="GO2" s="125"/>
      <c r="GP2" s="125" t="s">
        <v>30</v>
      </c>
      <c r="GQ2" s="125"/>
      <c r="GR2" s="125"/>
      <c r="GS2" s="125"/>
      <c r="GT2" s="133" t="s">
        <v>31</v>
      </c>
      <c r="GU2" s="133"/>
      <c r="GV2" s="133"/>
      <c r="GW2" s="133"/>
      <c r="GX2" s="19" t="s">
        <v>24</v>
      </c>
      <c r="GY2" s="12" t="s">
        <v>23</v>
      </c>
      <c r="GZ2" s="12" t="s">
        <v>64</v>
      </c>
      <c r="HA2" s="12" t="s">
        <v>22</v>
      </c>
      <c r="HB2" s="12" t="s">
        <v>17</v>
      </c>
      <c r="HC2" s="122" t="s">
        <v>26</v>
      </c>
      <c r="HD2" s="122"/>
      <c r="HE2" s="122"/>
      <c r="HF2" s="122"/>
      <c r="HG2" s="122" t="s">
        <v>29</v>
      </c>
      <c r="HH2" s="122"/>
      <c r="HI2" s="122"/>
      <c r="HJ2" s="122"/>
      <c r="HK2" s="122" t="s">
        <v>30</v>
      </c>
      <c r="HL2" s="122"/>
      <c r="HM2" s="122"/>
      <c r="HN2" s="122"/>
      <c r="HO2" s="134" t="s">
        <v>31</v>
      </c>
      <c r="HP2" s="134"/>
      <c r="HQ2" s="134"/>
      <c r="HR2" s="134"/>
      <c r="HS2" s="20" t="s">
        <v>24</v>
      </c>
      <c r="HT2" s="9" t="s">
        <v>23</v>
      </c>
      <c r="HU2" s="9" t="s">
        <v>64</v>
      </c>
      <c r="HV2" s="9" t="s">
        <v>22</v>
      </c>
      <c r="HW2" s="9" t="s">
        <v>17</v>
      </c>
      <c r="HX2" s="125" t="s">
        <v>26</v>
      </c>
      <c r="HY2" s="125"/>
      <c r="HZ2" s="125"/>
      <c r="IA2" s="125"/>
      <c r="IB2" s="125" t="s">
        <v>29</v>
      </c>
      <c r="IC2" s="125"/>
      <c r="ID2" s="125"/>
      <c r="IE2" s="125"/>
      <c r="IF2" s="125" t="s">
        <v>30</v>
      </c>
      <c r="IG2" s="125"/>
      <c r="IH2" s="125"/>
      <c r="II2" s="125"/>
      <c r="IJ2" s="133" t="s">
        <v>31</v>
      </c>
      <c r="IK2" s="133"/>
      <c r="IL2" s="133"/>
      <c r="IM2" s="133"/>
      <c r="IN2" s="19" t="s">
        <v>24</v>
      </c>
      <c r="IO2" s="12" t="s">
        <v>23</v>
      </c>
      <c r="IP2" s="12" t="s">
        <v>64</v>
      </c>
      <c r="IQ2" s="12" t="s">
        <v>22</v>
      </c>
      <c r="IR2" s="12" t="s">
        <v>17</v>
      </c>
      <c r="IS2" s="122" t="s">
        <v>26</v>
      </c>
      <c r="IT2" s="122"/>
      <c r="IU2" s="122"/>
      <c r="IV2" s="122"/>
      <c r="IW2" s="122" t="s">
        <v>29</v>
      </c>
      <c r="IX2" s="122"/>
      <c r="IY2" s="122"/>
      <c r="IZ2" s="122"/>
      <c r="JA2" s="122" t="s">
        <v>30</v>
      </c>
      <c r="JB2" s="122"/>
      <c r="JC2" s="122"/>
      <c r="JD2" s="122"/>
      <c r="JE2" s="134" t="s">
        <v>31</v>
      </c>
      <c r="JF2" s="134"/>
      <c r="JG2" s="134"/>
      <c r="JH2" s="134"/>
      <c r="JI2" s="20" t="s">
        <v>24</v>
      </c>
      <c r="JJ2" s="9" t="s">
        <v>23</v>
      </c>
      <c r="JK2" s="9" t="s">
        <v>64</v>
      </c>
      <c r="JL2" s="9" t="s">
        <v>22</v>
      </c>
      <c r="JM2" s="9" t="s">
        <v>17</v>
      </c>
      <c r="JN2" s="125" t="s">
        <v>26</v>
      </c>
      <c r="JO2" s="125"/>
      <c r="JP2" s="125"/>
      <c r="JQ2" s="125"/>
      <c r="JR2" s="125" t="s">
        <v>29</v>
      </c>
      <c r="JS2" s="125"/>
      <c r="JT2" s="125"/>
      <c r="JU2" s="125"/>
      <c r="JV2" s="125" t="s">
        <v>30</v>
      </c>
      <c r="JW2" s="125"/>
      <c r="JX2" s="125"/>
      <c r="JY2" s="125"/>
      <c r="JZ2" s="133" t="s">
        <v>31</v>
      </c>
      <c r="KA2" s="133"/>
      <c r="KB2" s="133"/>
      <c r="KC2" s="133"/>
      <c r="KD2" s="19" t="s">
        <v>24</v>
      </c>
      <c r="KE2" s="12" t="s">
        <v>23</v>
      </c>
      <c r="KF2" s="12" t="s">
        <v>64</v>
      </c>
      <c r="KG2" s="12" t="s">
        <v>22</v>
      </c>
      <c r="KH2" s="12" t="s">
        <v>17</v>
      </c>
      <c r="KI2" s="122" t="s">
        <v>26</v>
      </c>
      <c r="KJ2" s="122"/>
      <c r="KK2" s="122"/>
      <c r="KL2" s="122"/>
      <c r="KM2" s="122" t="s">
        <v>29</v>
      </c>
      <c r="KN2" s="122"/>
      <c r="KO2" s="122"/>
      <c r="KP2" s="122"/>
      <c r="KQ2" s="122" t="s">
        <v>30</v>
      </c>
      <c r="KR2" s="122"/>
      <c r="KS2" s="122"/>
      <c r="KT2" s="122"/>
      <c r="KU2" s="134" t="s">
        <v>31</v>
      </c>
      <c r="KV2" s="134"/>
      <c r="KW2" s="134"/>
      <c r="KX2" s="134"/>
      <c r="KY2" s="20" t="s">
        <v>24</v>
      </c>
      <c r="KZ2" s="9" t="s">
        <v>23</v>
      </c>
      <c r="LA2" s="9" t="s">
        <v>64</v>
      </c>
      <c r="LB2" s="9" t="s">
        <v>22</v>
      </c>
      <c r="LC2" s="9" t="s">
        <v>17</v>
      </c>
      <c r="LD2" s="125" t="s">
        <v>26</v>
      </c>
      <c r="LE2" s="125"/>
      <c r="LF2" s="125"/>
      <c r="LG2" s="125"/>
      <c r="LH2" s="125" t="s">
        <v>29</v>
      </c>
      <c r="LI2" s="125"/>
      <c r="LJ2" s="125"/>
      <c r="LK2" s="125"/>
      <c r="LL2" s="125" t="s">
        <v>30</v>
      </c>
      <c r="LM2" s="125"/>
      <c r="LN2" s="125"/>
      <c r="LO2" s="125"/>
      <c r="LP2" s="133" t="s">
        <v>31</v>
      </c>
      <c r="LQ2" s="133"/>
      <c r="LR2" s="133"/>
      <c r="LS2" s="133"/>
      <c r="LT2" s="19" t="s">
        <v>24</v>
      </c>
      <c r="LU2" s="12" t="s">
        <v>23</v>
      </c>
      <c r="LV2" s="12" t="s">
        <v>64</v>
      </c>
      <c r="LW2" s="12" t="s">
        <v>22</v>
      </c>
      <c r="LX2" s="12" t="s">
        <v>17</v>
      </c>
      <c r="LY2" s="122" t="s">
        <v>26</v>
      </c>
      <c r="LZ2" s="122"/>
      <c r="MA2" s="122"/>
      <c r="MB2" s="122"/>
      <c r="MC2" s="122" t="s">
        <v>29</v>
      </c>
      <c r="MD2" s="122"/>
      <c r="ME2" s="122"/>
      <c r="MF2" s="122"/>
      <c r="MG2" s="122" t="s">
        <v>30</v>
      </c>
      <c r="MH2" s="122"/>
      <c r="MI2" s="122"/>
      <c r="MJ2" s="122"/>
      <c r="MK2" s="131" t="s">
        <v>31</v>
      </c>
      <c r="ML2" s="131"/>
      <c r="MM2" s="131"/>
      <c r="MN2" s="131"/>
      <c r="MO2" s="94"/>
      <c r="MP2" s="94" t="s">
        <v>24</v>
      </c>
      <c r="MQ2" s="9" t="s">
        <v>23</v>
      </c>
      <c r="MR2" s="9" t="s">
        <v>64</v>
      </c>
      <c r="MS2" s="9" t="s">
        <v>22</v>
      </c>
      <c r="MT2" s="9" t="s">
        <v>17</v>
      </c>
    </row>
    <row r="3" spans="1:358" x14ac:dyDescent="0.2">
      <c r="A3" s="123"/>
      <c r="B3" s="123"/>
      <c r="C3" s="123"/>
      <c r="D3" s="123"/>
      <c r="E3" s="123"/>
      <c r="F3" s="132"/>
      <c r="G3" s="132"/>
      <c r="H3" s="123"/>
      <c r="I3" s="132"/>
      <c r="J3" s="128"/>
      <c r="K3" s="128"/>
      <c r="L3" s="128"/>
      <c r="M3" s="128"/>
      <c r="N3" s="127"/>
      <c r="O3" s="128"/>
      <c r="P3" s="128"/>
      <c r="Q3" s="51" t="s">
        <v>14</v>
      </c>
      <c r="R3" s="51" t="s">
        <v>7</v>
      </c>
      <c r="S3" s="51" t="s">
        <v>27</v>
      </c>
      <c r="T3" s="51" t="s">
        <v>28</v>
      </c>
      <c r="U3" s="51" t="s">
        <v>14</v>
      </c>
      <c r="V3" s="51" t="s">
        <v>7</v>
      </c>
      <c r="W3" s="51" t="s">
        <v>27</v>
      </c>
      <c r="X3" s="51" t="s">
        <v>28</v>
      </c>
      <c r="Y3" s="51" t="s">
        <v>14</v>
      </c>
      <c r="Z3" s="51" t="s">
        <v>7</v>
      </c>
      <c r="AA3" s="51" t="s">
        <v>27</v>
      </c>
      <c r="AB3" s="51" t="s">
        <v>28</v>
      </c>
      <c r="AC3" s="54" t="s">
        <v>14</v>
      </c>
      <c r="AD3" s="54" t="s">
        <v>7</v>
      </c>
      <c r="AE3" s="54" t="s">
        <v>27</v>
      </c>
      <c r="AF3" s="54" t="s">
        <v>28</v>
      </c>
      <c r="AG3" s="70" t="s">
        <v>51</v>
      </c>
      <c r="AH3" s="10"/>
      <c r="AI3" s="9"/>
      <c r="AJ3" s="9"/>
      <c r="AK3" s="10"/>
      <c r="AL3" s="10"/>
      <c r="AM3" s="50" t="s">
        <v>14</v>
      </c>
      <c r="AN3" s="50" t="s">
        <v>7</v>
      </c>
      <c r="AO3" s="50" t="s">
        <v>27</v>
      </c>
      <c r="AP3" s="50" t="s">
        <v>28</v>
      </c>
      <c r="AQ3" s="50" t="s">
        <v>14</v>
      </c>
      <c r="AR3" s="50" t="s">
        <v>7</v>
      </c>
      <c r="AS3" s="50" t="s">
        <v>27</v>
      </c>
      <c r="AT3" s="50" t="s">
        <v>28</v>
      </c>
      <c r="AU3" s="50" t="s">
        <v>14</v>
      </c>
      <c r="AV3" s="50" t="s">
        <v>7</v>
      </c>
      <c r="AW3" s="50" t="s">
        <v>27</v>
      </c>
      <c r="AX3" s="50" t="s">
        <v>28</v>
      </c>
      <c r="AY3" s="52" t="s">
        <v>14</v>
      </c>
      <c r="AZ3" s="52" t="s">
        <v>7</v>
      </c>
      <c r="BA3" s="52" t="s">
        <v>27</v>
      </c>
      <c r="BB3" s="52" t="s">
        <v>28</v>
      </c>
      <c r="BC3" s="71" t="s">
        <v>51</v>
      </c>
      <c r="BD3" s="13"/>
      <c r="BE3" s="12"/>
      <c r="BF3" s="12"/>
      <c r="BG3" s="13"/>
      <c r="BH3" s="13"/>
      <c r="BI3" s="101" t="s">
        <v>14</v>
      </c>
      <c r="BJ3" s="101" t="s">
        <v>7</v>
      </c>
      <c r="BK3" s="101" t="s">
        <v>27</v>
      </c>
      <c r="BL3" s="101" t="s">
        <v>28</v>
      </c>
      <c r="BM3" s="101" t="s">
        <v>14</v>
      </c>
      <c r="BN3" s="101" t="s">
        <v>7</v>
      </c>
      <c r="BO3" s="101" t="s">
        <v>27</v>
      </c>
      <c r="BP3" s="101" t="s">
        <v>28</v>
      </c>
      <c r="BQ3" s="101" t="s">
        <v>14</v>
      </c>
      <c r="BR3" s="101" t="s">
        <v>7</v>
      </c>
      <c r="BS3" s="101" t="s">
        <v>27</v>
      </c>
      <c r="BT3" s="101" t="s">
        <v>28</v>
      </c>
      <c r="BU3" s="103" t="s">
        <v>14</v>
      </c>
      <c r="BV3" s="103" t="s">
        <v>7</v>
      </c>
      <c r="BW3" s="103" t="s">
        <v>27</v>
      </c>
      <c r="BX3" s="103" t="s">
        <v>28</v>
      </c>
      <c r="BY3" s="101" t="s">
        <v>51</v>
      </c>
      <c r="BZ3" s="10"/>
      <c r="CA3" s="9"/>
      <c r="CB3" s="9"/>
      <c r="CC3" s="10"/>
      <c r="CD3" s="10"/>
      <c r="CE3" s="22"/>
      <c r="CF3" s="22"/>
      <c r="CG3" s="51" t="s">
        <v>14</v>
      </c>
      <c r="CH3" s="51" t="s">
        <v>7</v>
      </c>
      <c r="CI3" s="51" t="s">
        <v>27</v>
      </c>
      <c r="CJ3" s="51" t="s">
        <v>28</v>
      </c>
      <c r="CK3" s="51" t="s">
        <v>14</v>
      </c>
      <c r="CL3" s="51" t="s">
        <v>7</v>
      </c>
      <c r="CM3" s="51" t="s">
        <v>27</v>
      </c>
      <c r="CN3" s="51" t="s">
        <v>28</v>
      </c>
      <c r="CO3" s="51" t="s">
        <v>14</v>
      </c>
      <c r="CP3" s="51" t="s">
        <v>7</v>
      </c>
      <c r="CQ3" s="51" t="s">
        <v>27</v>
      </c>
      <c r="CR3" s="51" t="s">
        <v>28</v>
      </c>
      <c r="CS3" s="53" t="s">
        <v>14</v>
      </c>
      <c r="CT3" s="53" t="s">
        <v>7</v>
      </c>
      <c r="CU3" s="53" t="s">
        <v>27</v>
      </c>
      <c r="CV3" s="53" t="s">
        <v>28</v>
      </c>
      <c r="CW3" s="10"/>
      <c r="CX3" s="9"/>
      <c r="CY3" s="9"/>
      <c r="CZ3" s="10"/>
      <c r="DA3" s="10"/>
      <c r="DB3" s="50" t="s">
        <v>14</v>
      </c>
      <c r="DC3" s="50" t="s">
        <v>7</v>
      </c>
      <c r="DD3" s="50" t="s">
        <v>27</v>
      </c>
      <c r="DE3" s="50" t="s">
        <v>28</v>
      </c>
      <c r="DF3" s="50" t="s">
        <v>14</v>
      </c>
      <c r="DG3" s="50" t="s">
        <v>7</v>
      </c>
      <c r="DH3" s="50" t="s">
        <v>27</v>
      </c>
      <c r="DI3" s="50" t="s">
        <v>28</v>
      </c>
      <c r="DJ3" s="50" t="s">
        <v>14</v>
      </c>
      <c r="DK3" s="50" t="s">
        <v>7</v>
      </c>
      <c r="DL3" s="50" t="s">
        <v>27</v>
      </c>
      <c r="DM3" s="50" t="s">
        <v>28</v>
      </c>
      <c r="DN3" s="52" t="s">
        <v>14</v>
      </c>
      <c r="DO3" s="52" t="s">
        <v>7</v>
      </c>
      <c r="DP3" s="52" t="s">
        <v>27</v>
      </c>
      <c r="DQ3" s="52" t="s">
        <v>28</v>
      </c>
      <c r="DR3" s="13"/>
      <c r="DS3" s="12"/>
      <c r="DT3" s="12"/>
      <c r="DU3" s="13"/>
      <c r="DV3" s="13"/>
      <c r="DW3" s="51" t="s">
        <v>14</v>
      </c>
      <c r="DX3" s="51" t="s">
        <v>7</v>
      </c>
      <c r="DY3" s="51" t="s">
        <v>27</v>
      </c>
      <c r="DZ3" s="51" t="s">
        <v>28</v>
      </c>
      <c r="EA3" s="51" t="s">
        <v>14</v>
      </c>
      <c r="EB3" s="51" t="s">
        <v>7</v>
      </c>
      <c r="EC3" s="51" t="s">
        <v>27</v>
      </c>
      <c r="ED3" s="51" t="s">
        <v>28</v>
      </c>
      <c r="EE3" s="51" t="s">
        <v>14</v>
      </c>
      <c r="EF3" s="51" t="s">
        <v>7</v>
      </c>
      <c r="EG3" s="51" t="s">
        <v>27</v>
      </c>
      <c r="EH3" s="51" t="s">
        <v>28</v>
      </c>
      <c r="EI3" s="53" t="s">
        <v>14</v>
      </c>
      <c r="EJ3" s="53" t="s">
        <v>7</v>
      </c>
      <c r="EK3" s="53" t="s">
        <v>27</v>
      </c>
      <c r="EL3" s="53" t="s">
        <v>28</v>
      </c>
      <c r="EM3" s="10"/>
      <c r="EN3" s="9"/>
      <c r="EO3" s="9"/>
      <c r="EP3" s="10"/>
      <c r="EQ3" s="10"/>
      <c r="ER3" s="27" t="s">
        <v>14</v>
      </c>
      <c r="ES3" s="27" t="s">
        <v>7</v>
      </c>
      <c r="ET3" s="27" t="s">
        <v>27</v>
      </c>
      <c r="EU3" s="27" t="s">
        <v>28</v>
      </c>
      <c r="EV3" s="27" t="s">
        <v>14</v>
      </c>
      <c r="EW3" s="27" t="s">
        <v>7</v>
      </c>
      <c r="EX3" s="27" t="s">
        <v>27</v>
      </c>
      <c r="EY3" s="27" t="s">
        <v>28</v>
      </c>
      <c r="EZ3" s="27" t="s">
        <v>14</v>
      </c>
      <c r="FA3" s="27" t="s">
        <v>7</v>
      </c>
      <c r="FB3" s="27" t="s">
        <v>27</v>
      </c>
      <c r="FC3" s="27" t="s">
        <v>28</v>
      </c>
      <c r="FD3" s="30" t="s">
        <v>14</v>
      </c>
      <c r="FE3" s="30" t="s">
        <v>7</v>
      </c>
      <c r="FF3" s="30" t="s">
        <v>27</v>
      </c>
      <c r="FG3" s="30" t="s">
        <v>28</v>
      </c>
      <c r="FH3" s="13"/>
      <c r="FI3" s="12"/>
      <c r="FJ3" s="12"/>
      <c r="FK3" s="13"/>
      <c r="FL3" s="13"/>
      <c r="FM3" s="28" t="s">
        <v>14</v>
      </c>
      <c r="FN3" s="28" t="s">
        <v>7</v>
      </c>
      <c r="FO3" s="28" t="s">
        <v>27</v>
      </c>
      <c r="FP3" s="28" t="s">
        <v>28</v>
      </c>
      <c r="FQ3" s="28" t="s">
        <v>14</v>
      </c>
      <c r="FR3" s="28" t="s">
        <v>7</v>
      </c>
      <c r="FS3" s="28" t="s">
        <v>27</v>
      </c>
      <c r="FT3" s="28" t="s">
        <v>28</v>
      </c>
      <c r="FU3" s="28" t="s">
        <v>14</v>
      </c>
      <c r="FV3" s="28" t="s">
        <v>7</v>
      </c>
      <c r="FW3" s="28" t="s">
        <v>27</v>
      </c>
      <c r="FX3" s="28" t="s">
        <v>28</v>
      </c>
      <c r="FY3" s="29" t="s">
        <v>14</v>
      </c>
      <c r="FZ3" s="29" t="s">
        <v>7</v>
      </c>
      <c r="GA3" s="29" t="s">
        <v>27</v>
      </c>
      <c r="GB3" s="29" t="s">
        <v>28</v>
      </c>
      <c r="GC3" s="10"/>
      <c r="GD3" s="9"/>
      <c r="GE3" s="9"/>
      <c r="GF3" s="10"/>
      <c r="GG3" s="10"/>
      <c r="GH3" s="27" t="s">
        <v>14</v>
      </c>
      <c r="GI3" s="27" t="s">
        <v>7</v>
      </c>
      <c r="GJ3" s="27" t="s">
        <v>27</v>
      </c>
      <c r="GK3" s="27" t="s">
        <v>28</v>
      </c>
      <c r="GL3" s="27" t="s">
        <v>14</v>
      </c>
      <c r="GM3" s="27" t="s">
        <v>7</v>
      </c>
      <c r="GN3" s="27" t="s">
        <v>27</v>
      </c>
      <c r="GO3" s="27" t="s">
        <v>28</v>
      </c>
      <c r="GP3" s="27" t="s">
        <v>14</v>
      </c>
      <c r="GQ3" s="27" t="s">
        <v>7</v>
      </c>
      <c r="GR3" s="27" t="s">
        <v>27</v>
      </c>
      <c r="GS3" s="27" t="s">
        <v>28</v>
      </c>
      <c r="GT3" s="30" t="s">
        <v>14</v>
      </c>
      <c r="GU3" s="30" t="s">
        <v>7</v>
      </c>
      <c r="GV3" s="30" t="s">
        <v>27</v>
      </c>
      <c r="GW3" s="30" t="s">
        <v>28</v>
      </c>
      <c r="GX3" s="13"/>
      <c r="GY3" s="12"/>
      <c r="GZ3" s="12"/>
      <c r="HA3" s="13"/>
      <c r="HB3" s="13"/>
      <c r="HC3" s="28" t="s">
        <v>14</v>
      </c>
      <c r="HD3" s="28" t="s">
        <v>7</v>
      </c>
      <c r="HE3" s="28" t="s">
        <v>27</v>
      </c>
      <c r="HF3" s="28" t="s">
        <v>28</v>
      </c>
      <c r="HG3" s="28" t="s">
        <v>14</v>
      </c>
      <c r="HH3" s="28" t="s">
        <v>7</v>
      </c>
      <c r="HI3" s="28" t="s">
        <v>27</v>
      </c>
      <c r="HJ3" s="28" t="s">
        <v>28</v>
      </c>
      <c r="HK3" s="28" t="s">
        <v>14</v>
      </c>
      <c r="HL3" s="28" t="s">
        <v>7</v>
      </c>
      <c r="HM3" s="28" t="s">
        <v>27</v>
      </c>
      <c r="HN3" s="28" t="s">
        <v>28</v>
      </c>
      <c r="HO3" s="29" t="s">
        <v>14</v>
      </c>
      <c r="HP3" s="29" t="s">
        <v>7</v>
      </c>
      <c r="HQ3" s="29" t="s">
        <v>27</v>
      </c>
      <c r="HR3" s="29" t="s">
        <v>28</v>
      </c>
      <c r="HS3" s="10"/>
      <c r="HT3" s="9"/>
      <c r="HU3" s="9"/>
      <c r="HV3" s="10"/>
      <c r="HW3" s="10"/>
      <c r="HX3" s="27" t="s">
        <v>14</v>
      </c>
      <c r="HY3" s="27" t="s">
        <v>7</v>
      </c>
      <c r="HZ3" s="27" t="s">
        <v>27</v>
      </c>
      <c r="IA3" s="27" t="s">
        <v>28</v>
      </c>
      <c r="IB3" s="27" t="s">
        <v>14</v>
      </c>
      <c r="IC3" s="27" t="s">
        <v>7</v>
      </c>
      <c r="ID3" s="27" t="s">
        <v>27</v>
      </c>
      <c r="IE3" s="27" t="s">
        <v>28</v>
      </c>
      <c r="IF3" s="27" t="s">
        <v>14</v>
      </c>
      <c r="IG3" s="27" t="s">
        <v>7</v>
      </c>
      <c r="IH3" s="27" t="s">
        <v>27</v>
      </c>
      <c r="II3" s="27" t="s">
        <v>28</v>
      </c>
      <c r="IJ3" s="30" t="s">
        <v>14</v>
      </c>
      <c r="IK3" s="30" t="s">
        <v>7</v>
      </c>
      <c r="IL3" s="30" t="s">
        <v>27</v>
      </c>
      <c r="IM3" s="30" t="s">
        <v>28</v>
      </c>
      <c r="IN3" s="13"/>
      <c r="IO3" s="12"/>
      <c r="IP3" s="12"/>
      <c r="IQ3" s="13"/>
      <c r="IR3" s="13"/>
      <c r="IS3" s="28" t="s">
        <v>14</v>
      </c>
      <c r="IT3" s="28" t="s">
        <v>7</v>
      </c>
      <c r="IU3" s="28" t="s">
        <v>27</v>
      </c>
      <c r="IV3" s="28" t="s">
        <v>28</v>
      </c>
      <c r="IW3" s="28" t="s">
        <v>14</v>
      </c>
      <c r="IX3" s="28" t="s">
        <v>7</v>
      </c>
      <c r="IY3" s="28" t="s">
        <v>27</v>
      </c>
      <c r="IZ3" s="28" t="s">
        <v>28</v>
      </c>
      <c r="JA3" s="28" t="s">
        <v>14</v>
      </c>
      <c r="JB3" s="28" t="s">
        <v>7</v>
      </c>
      <c r="JC3" s="28" t="s">
        <v>27</v>
      </c>
      <c r="JD3" s="28" t="s">
        <v>28</v>
      </c>
      <c r="JE3" s="29" t="s">
        <v>14</v>
      </c>
      <c r="JF3" s="29" t="s">
        <v>7</v>
      </c>
      <c r="JG3" s="29" t="s">
        <v>27</v>
      </c>
      <c r="JH3" s="29" t="s">
        <v>28</v>
      </c>
      <c r="JI3" s="10"/>
      <c r="JJ3" s="9"/>
      <c r="JK3" s="9"/>
      <c r="JL3" s="10"/>
      <c r="JM3" s="10"/>
      <c r="JN3" s="27" t="s">
        <v>14</v>
      </c>
      <c r="JO3" s="27" t="s">
        <v>7</v>
      </c>
      <c r="JP3" s="27" t="s">
        <v>27</v>
      </c>
      <c r="JQ3" s="27" t="s">
        <v>28</v>
      </c>
      <c r="JR3" s="27" t="s">
        <v>14</v>
      </c>
      <c r="JS3" s="27" t="s">
        <v>7</v>
      </c>
      <c r="JT3" s="27" t="s">
        <v>27</v>
      </c>
      <c r="JU3" s="27" t="s">
        <v>28</v>
      </c>
      <c r="JV3" s="27" t="s">
        <v>14</v>
      </c>
      <c r="JW3" s="27" t="s">
        <v>7</v>
      </c>
      <c r="JX3" s="27" t="s">
        <v>27</v>
      </c>
      <c r="JY3" s="27" t="s">
        <v>28</v>
      </c>
      <c r="JZ3" s="30" t="s">
        <v>14</v>
      </c>
      <c r="KA3" s="30" t="s">
        <v>7</v>
      </c>
      <c r="KB3" s="30" t="s">
        <v>27</v>
      </c>
      <c r="KC3" s="30" t="s">
        <v>28</v>
      </c>
      <c r="KD3" s="13"/>
      <c r="KE3" s="12"/>
      <c r="KF3" s="12"/>
      <c r="KG3" s="13"/>
      <c r="KH3" s="13"/>
      <c r="KI3" s="28" t="s">
        <v>14</v>
      </c>
      <c r="KJ3" s="28" t="s">
        <v>7</v>
      </c>
      <c r="KK3" s="28" t="s">
        <v>27</v>
      </c>
      <c r="KL3" s="28" t="s">
        <v>28</v>
      </c>
      <c r="KM3" s="28" t="s">
        <v>14</v>
      </c>
      <c r="KN3" s="28" t="s">
        <v>7</v>
      </c>
      <c r="KO3" s="28" t="s">
        <v>27</v>
      </c>
      <c r="KP3" s="28" t="s">
        <v>28</v>
      </c>
      <c r="KQ3" s="28" t="s">
        <v>14</v>
      </c>
      <c r="KR3" s="28" t="s">
        <v>7</v>
      </c>
      <c r="KS3" s="28" t="s">
        <v>27</v>
      </c>
      <c r="KT3" s="28" t="s">
        <v>28</v>
      </c>
      <c r="KU3" s="29" t="s">
        <v>14</v>
      </c>
      <c r="KV3" s="29" t="s">
        <v>7</v>
      </c>
      <c r="KW3" s="29" t="s">
        <v>27</v>
      </c>
      <c r="KX3" s="29" t="s">
        <v>28</v>
      </c>
      <c r="KY3" s="10"/>
      <c r="KZ3" s="9"/>
      <c r="LA3" s="9"/>
      <c r="LB3" s="10"/>
      <c r="LC3" s="10"/>
      <c r="LD3" s="27" t="s">
        <v>14</v>
      </c>
      <c r="LE3" s="27" t="s">
        <v>7</v>
      </c>
      <c r="LF3" s="27" t="s">
        <v>27</v>
      </c>
      <c r="LG3" s="27" t="s">
        <v>28</v>
      </c>
      <c r="LH3" s="27" t="s">
        <v>14</v>
      </c>
      <c r="LI3" s="27" t="s">
        <v>7</v>
      </c>
      <c r="LJ3" s="27" t="s">
        <v>27</v>
      </c>
      <c r="LK3" s="27" t="s">
        <v>28</v>
      </c>
      <c r="LL3" s="27" t="s">
        <v>14</v>
      </c>
      <c r="LM3" s="27" t="s">
        <v>7</v>
      </c>
      <c r="LN3" s="27" t="s">
        <v>27</v>
      </c>
      <c r="LO3" s="27" t="s">
        <v>28</v>
      </c>
      <c r="LP3" s="30" t="s">
        <v>14</v>
      </c>
      <c r="LQ3" s="30" t="s">
        <v>7</v>
      </c>
      <c r="LR3" s="30" t="s">
        <v>27</v>
      </c>
      <c r="LS3" s="30" t="s">
        <v>28</v>
      </c>
      <c r="LT3" s="13"/>
      <c r="LU3" s="12"/>
      <c r="LV3" s="12"/>
      <c r="LW3" s="13"/>
      <c r="LX3" s="13"/>
      <c r="LY3" s="94" t="s">
        <v>14</v>
      </c>
      <c r="LZ3" s="94" t="s">
        <v>7</v>
      </c>
      <c r="MA3" s="94" t="s">
        <v>27</v>
      </c>
      <c r="MB3" s="94" t="s">
        <v>28</v>
      </c>
      <c r="MC3" s="94" t="s">
        <v>14</v>
      </c>
      <c r="MD3" s="94" t="s">
        <v>7</v>
      </c>
      <c r="ME3" s="94" t="s">
        <v>27</v>
      </c>
      <c r="MF3" s="94" t="s">
        <v>28</v>
      </c>
      <c r="MG3" s="94" t="s">
        <v>14</v>
      </c>
      <c r="MH3" s="94" t="s">
        <v>7</v>
      </c>
      <c r="MI3" s="94" t="s">
        <v>27</v>
      </c>
      <c r="MJ3" s="94" t="s">
        <v>28</v>
      </c>
      <c r="MK3" s="95" t="s">
        <v>14</v>
      </c>
      <c r="ML3" s="95" t="s">
        <v>7</v>
      </c>
      <c r="MM3" s="95" t="s">
        <v>27</v>
      </c>
      <c r="MN3" s="95" t="s">
        <v>28</v>
      </c>
      <c r="MO3" s="94" t="s">
        <v>51</v>
      </c>
      <c r="MP3" s="10"/>
      <c r="MQ3" s="9"/>
      <c r="MR3" s="9"/>
      <c r="MS3" s="10"/>
      <c r="MT3" s="10"/>
    </row>
    <row r="4" spans="1:358" x14ac:dyDescent="0.2">
      <c r="A4" s="5" t="str">
        <f t="shared" ref="A4:A12" si="0">IF(AND(F4="P",G4="P"),SUMPRODUCT((F$4:F$13="P")*(G$4:G$13="P")*(E$4:E$13&gt;E4))+1,IF(G4="P",SUMPRODUCT((F$4:F$13="")*(G$4:G$13="P")*(E$4:E$13&gt;E4))+1+SUMPRODUCT((F$4:F$13="P")*(G$4:G$13="P")),""))</f>
        <v/>
      </c>
      <c r="B4" s="6" t="s">
        <v>149</v>
      </c>
      <c r="C4" s="7" t="s">
        <v>3</v>
      </c>
      <c r="D4" s="26">
        <v>2004</v>
      </c>
      <c r="E4" s="15">
        <f t="shared" ref="E4:E12" si="1">SUM(J4:N4)</f>
        <v>118.6</v>
      </c>
      <c r="F4" s="3" t="str">
        <f t="shared" ref="F4:F12" si="2">IF(OR(AND(AH4&gt;=AL$15,AI4&gt;=AL$19,AI4&lt;&gt;"",AG4=""),AND(BD4&gt;=BH$15,BE4&gt;=BH$19,BE4&lt;&gt;"",BC4=""),AND(BZ4&gt;=CD$15,CA4&gt;=CD$19,CA4&lt;&gt;"",BY4=""),AND(CW4&gt;=DA$15,CX4&gt;=DA$19,CX4&lt;&gt;""),AND(DR4&gt;=DV$15,DS4&gt;=DV$19,DS4&lt;&gt;""),AND(EM4&gt;=EQ$15,EN4&gt;=EQ$19,EN4&lt;&gt;""),AND(FH4&gt;=FL$15,FI4&gt;=FL$19,FI4&lt;&gt;""),AND(GC4&gt;=GG$15,GD4&gt;=GG$19,GD4&lt;&gt;""),AND(GX4&gt;=HB$15,GY4&gt;=HB$19,GY4&lt;&gt;""),AND(HS4&gt;=HW$15,HT4&gt;=HW$19,HT4&lt;&gt;""),AND(IN4&gt;=IR$15,IO4&gt;=IR$19,IO4&lt;&gt;""),AND(JI4&gt;=JM$15,JJ4&gt;=JM$19,JJ4&lt;&gt;""),AND(KD4&gt;=KH$15,KE4&gt;=KH$19,KE4&lt;&gt;""),AND(KY4&gt;=LC$15,KZ4&gt;=LC$19,KZ4&lt;&gt;""),AND(LT4&gt;=LX$15,LU4&gt;=LX$19,LU4&lt;&gt;"")),"P","")</f>
        <v/>
      </c>
      <c r="G4" s="3" t="str">
        <f t="shared" ref="G4:G12" si="3">IF(OR(AND(AI4&gt;=AL$19,AI4&lt;&gt;"",AG4=""),AND(BE4&gt;=BH$19,BE4&lt;&gt;"",BC4=""),AND(CA4&gt;=CD$19,CA4&lt;&gt;"",BY4=""),AND(CX4&gt;=DA$19,CX4&lt;&gt;""),AND(DS4&gt;=DV$19,DS4&lt;&gt;""),AND(EN4&gt;=EQ$19,EN4&lt;&gt;""),AND(FI4&gt;=FL$19,FI4&lt;&gt;""),AND(GD4&gt;=GG$19,GD4&lt;&gt;""),AND(GY4&gt;=HB$19,GY4&lt;&gt;""),AND(HT4&gt;=HW$19,HT4&lt;&gt;""),AND(IO4&gt;=IR$19,IO4&lt;&gt;""),AND(JJ4&gt;=JM$19,JJ4&lt;&gt;""),AND(KE4&gt;=KH$19,KE4&lt;&gt;""),AND(KZ4&gt;=LC$19,KZ4&lt;&gt;""),AND(LU4&gt;=LX$19,LU4&lt;&gt;"")),"P","")</f>
        <v/>
      </c>
      <c r="H4" s="116" t="str">
        <f t="shared" ref="H4:H12" si="4">IF(AND(G4="P",F4=""),"No DD",IF(OR(AND(AI4&gt;=AL$22,AI4&lt;&gt;"",AH4&gt;=AL$18,AH4&lt;&gt;"",AG4=""),AND(BE4&gt;=BH$22,BE4&lt;&gt;"",BD4&gt;=BH$18,BD4&lt;&gt;"",BC4=""),AND(CA4&gt;=CD$22,CA4&lt;&gt;"",BZ4&gt;=CD$18,BZ4&lt;&gt;"",BY4=""),AND(CX4&gt;=DA$22,CX4&lt;&gt;"",CW4&gt;=DA$18,CW4&lt;&gt;""),AND(DS4&gt;=DV$22,DS4&lt;&gt;"",DR4&gt;=DV$18,DR4&lt;&gt;""),AND(EN4&gt;=EQ$22,EN4&lt;&gt;"",EM4&gt;=EQ$18,EM4&lt;&gt;""),AND(FI4&gt;=FL$22,FI4&lt;&gt;"",FH4&gt;=FL$18,FH4&lt;&gt;""),AND(GD4&gt;=GG$22,GD4&lt;&gt;"",GC4&gt;=GG$18,GC4&lt;&gt;""),AND(GY4&gt;=HB$22,GY4&lt;&gt;"",GX4&gt;=HB$18,GX4&lt;&gt;""),AND(HT4&gt;=HW$22,HT4&lt;&gt;"",HS4&gt;=HW$18,HS4&lt;&gt;""),AND(IO4&gt;=IR$22,IO4&lt;&gt;"",IN4&gt;=IR$18,IN4&lt;&gt;""),AND(JJ4&gt;=JM$22,JJ4&lt;&gt;"",JI4&gt;=JM$18,JI4&lt;&gt;""),AND(KE4&gt;=KH$22,KE4&lt;&gt;"",KD4&gt;=KH$18,KD4&lt;&gt;""),AND(KZ4&gt;=LC$22,KZ4&lt;&gt;"",KY4&gt;=LC$18,KY4&lt;&gt;""),AND(LU4&gt;=LX$22,LU4&lt;&gt;"",LT4&gt;=LX$18,LT4&lt;&gt;"")),"Merit",IF(OR(AND(AI4&gt;=AL$21,AI4&lt;&gt;"",AH4&gt;=AL$17,AH4&lt;&gt;"",AG4=""),AND(BE4&gt;=BH$21,BE4&lt;&gt;"",BD4&gt;=BH$17,BD4&lt;&gt;"",BC4=""),AND(CA4&gt;=CD$21,CA4&lt;&gt;"",BZ4&gt;=CD$17,BZ4&lt;&gt;"",BY4=""),AND(CX4&gt;=DA$21,CX4&lt;&gt;"",CW4&gt;=DA$17,CW4&lt;&gt;""),AND(DS4&gt;=DV$21,DS4&lt;&gt;"",DR4&gt;=DV$17,DR4&lt;&gt;""),AND(EN4&gt;=EQ$21,EN4&lt;&gt;"",EM4&gt;=EQ$17,EM4&lt;&gt;""),AND(FI4&gt;=FL$21,FI4&lt;&gt;"",FH4&gt;=FL$17,FH4&lt;&gt;""),AND(GD4&gt;=GG$21,GD4&lt;&gt;"",GC4&gt;=GG$17,GC4&lt;&gt;""),AND(GY4&gt;=HB$21,GY4&lt;&gt;"",GX4&gt;=HB$17,GX4&lt;&gt;""),AND(HT4&gt;=HW$21,HT4&lt;&gt;"",HS4&gt;=HW$17,HS4&lt;&gt;""),AND(IO4&gt;=IR$21,IO4&lt;&gt;"",IN4&gt;=IR$17,IN4&lt;&gt;""),AND(JJ4&gt;=JM$21,JJ4&lt;&gt;"",JI4&gt;=JM$17,JI4&lt;&gt;""),AND(KE4&gt;=KH$21,KE4&lt;&gt;"",KD4&gt;=KH$17,KD4&lt;&gt;""),AND(KZ4&gt;=LC$21,KZ4&lt;&gt;"",KY4&gt;=LC$17,KY4&lt;&gt;""),AND(LU4&gt;=LX$21,LU4&lt;&gt;"",LT4&gt;=LX$17,LT4&lt;&gt;"")),"Excellence",IF(OR(AND(AI4&gt;=AL$20,AI4&lt;&gt;"",AH4&gt;=AL$16,AH4&lt;&gt;"",AG4=""),AND(BE4&gt;=BH$20,BE4&lt;&gt;"",BD4&gt;=BH$16,BD4&lt;&gt;"",BC4=""),AND(CA4&gt;=CD$20,CA4&lt;&gt;"",BZ4&gt;=CD$16,BZ4&lt;&gt;"",BY4=""),AND(CX4&gt;=DA$20,CX4&lt;&gt;"",CW4&gt;=DA$16,CW4&lt;&gt;""),AND(DS4&gt;=DV$20,DS4&lt;&gt;"",DR4&gt;=DV$16,DR4&lt;&gt;""),AND(EN4&gt;=EQ$20,EN4&lt;&gt;"",EM4&gt;=EQ$16,EM4&lt;&gt;""),AND(FI4&gt;=FL$20,FI4&lt;&gt;"",FH4&gt;=FL$16,FH4&lt;&gt;""),AND(GD4&gt;=GG$20,GD4&lt;&gt;"",GC4&gt;=GG$16,GC4&lt;&gt;""),AND(GY4&gt;=HB$20,GY4&lt;&gt;"",GX4&gt;=HB$16,GX4&lt;&gt;""),AND(HT4&gt;=HW$20,HT4&lt;&gt;"",HS4&gt;=HW$16,HS4&lt;&gt;""),AND(IO4&gt;=IR$20,IO4&lt;&gt;"",IN4&gt;=IR$16,IN4&lt;&gt;""),AND(JJ4&gt;=JM$20,JJ4&lt;&gt;"",JI4&gt;=JM$16,JI4&lt;&gt;""),AND(KE4&gt;=KH$20,KE4&lt;&gt;"",KD4&gt;=KH$16,KD4&lt;&gt;""),AND(KZ4&gt;=LC$20,KZ4&lt;&gt;"",KY4&gt;=LC$16,KY4&lt;&gt;""),AND(LU4&gt;=LX$20,LU4&lt;&gt;"",LT4&gt;=LX$16,LT4&lt;&gt;"")),"Worlds Team",IF(OR(AND(AI4&gt;=AL$19,AI4&lt;&gt;"",AH4&gt;=AL$15,AH4&lt;&gt;"",AG4=""),AND(BE4&gt;=BH$19,BE4&lt;&gt;"",BD4&gt;=BH$15,BD4&lt;&gt;"",BC4=""),AND(CA4&gt;=CD$19,CA4&lt;&gt;"",BZ4&gt;=CD$15,BZ4&lt;&gt;"",BY4=""),AND(CX4&gt;=DA$19,CX4&lt;&gt;"",CW4&gt;=DA$15,CW4&lt;&gt;""),AND(DS4&gt;=DV$19,DS4&lt;&gt;"",DR4&gt;=DV$15,DR4&lt;&gt;""),AND(EN4&gt;=EQ$19,EN4&lt;&gt;"",EM4&gt;=EQ$15,EM4&lt;&gt;""),AND(FI4&gt;=FL$19,FI4&lt;&gt;"",FH4&gt;=FL$15,FH4&lt;&gt;""),AND(GD4&gt;=GG$19,GD4&lt;&gt;"",GC4&gt;=GG$15,GC4&lt;&gt;""),AND(GY4&gt;=HB$19,GY4&lt;&gt;"",GX4&gt;=HB$15,GX4&lt;&gt;""),AND(HT4&gt;=HW$19,HT4&lt;&gt;"",HS4&gt;=HW$15,HS4&lt;&gt;""),AND(IO4&gt;=IR$19,IO4&lt;&gt;"",IN4&gt;=IR$15,IN4&lt;&gt;""),AND(JJ4&gt;=JM$19,JJ4&lt;&gt;"",JI4&gt;=JM$15,JI4&lt;&gt;""),AND(KE4&gt;=KH$19,KE4&lt;&gt;"",KD4&gt;=KH$15,KD4&lt;&gt;""),AND(KZ4&gt;=LC$19,KZ4&lt;&gt;"",KY4&gt;=LC$15,KY4&lt;&gt;""),AND(LU4&gt;=LX$19,LU4&lt;&gt;"",LT4&gt;=LX$15,LT4&lt;&gt;"")),"National Team","")))))</f>
        <v/>
      </c>
      <c r="I4" s="3" t="str">
        <f t="shared" ref="I4:I12" si="5">IF(OR(H4="Worlds Team",H4="Excellence",H4="Merit"),"P","")</f>
        <v/>
      </c>
      <c r="J4" s="14">
        <f t="shared" ref="J4:J12" si="6">MAX(AI4,BE4,CA4)</f>
        <v>58.400000000000006</v>
      </c>
      <c r="K4" s="14" t="str">
        <f t="shared" ref="K4:K12" si="7">IF(J4=0,"",IF(J4=CA4,$BI$1,IF(J4=BE4,$AM$1,IF(J4=AI4,$Q$1,""))))</f>
        <v>2021 Elite Canada</v>
      </c>
      <c r="L4" s="14">
        <f t="shared" ref="L4:L12" si="8">MAX(AK4,BG4,CC4)</f>
        <v>60.199999999999996</v>
      </c>
      <c r="M4" s="14" t="str">
        <f t="shared" ref="M4:M12" si="9">IF(L4=0,"",IF(J4=CC4,$BI$1,IF(L4=BG4,$AM$1,IF(L4=AK4,$Q$1,""))))</f>
        <v/>
      </c>
      <c r="N4" s="14" t="str">
        <f t="shared" ref="N4:N12" si="10">IF(MAX(CE4:CF4)&gt;0,MAX(CE4:CF4),"")</f>
        <v/>
      </c>
      <c r="O4" s="24" t="str">
        <f t="shared" ref="O4:O12" si="11">IF(N4="","",IF(N4=CE4,"(Prelim)",IF(N4=CF4,"(Final)")))</f>
        <v/>
      </c>
      <c r="P4" s="14" t="str">
        <f t="shared" ref="P4:P12" si="12"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72"/>
      <c r="AH4" s="11" t="str">
        <f t="shared" ref="AH4:AH12" si="13">IF(SUM(R4,V4)&gt;0,SUM(R4,V4),"")</f>
        <v/>
      </c>
      <c r="AI4" s="11" t="str">
        <f t="shared" ref="AI4:AI12" si="14">IF(SUM(Q4:R4,T4:V4,X4)-S4-W4&gt;0,SUM(Q4:R4,T4:V4,X4)-S4-W4,"")</f>
        <v/>
      </c>
      <c r="AJ4" s="11" t="str">
        <f t="shared" ref="AJ4:AJ12" si="15">IF(SUM(Z4,AD4)&gt;0,SUM(Z4,AD4),"")</f>
        <v/>
      </c>
      <c r="AK4" s="11" t="str">
        <f t="shared" ref="AK4:AK12" si="16">IF(SUM(Y4:Z4,AB4:AD4,AF4)-SUM(AA4,AE4)&gt;0,SUM(Y4:Z4,AB4:AD4,AF4)-SUM(AA4,AE4),"")</f>
        <v/>
      </c>
      <c r="AL4" s="11" t="str">
        <f t="shared" ref="AL4:AL12" si="17">IF(SUM(AI4,AK4)&gt;0,SUM(AI4,AK4),"")</f>
        <v/>
      </c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73"/>
      <c r="BD4" s="14" t="str">
        <f t="shared" ref="BD4:BD12" si="18">IF(SUM(AN4,AR4)&gt;0,SUM(AN4,AR4),"")</f>
        <v/>
      </c>
      <c r="BE4" s="14" t="str">
        <f t="shared" ref="BE4:BE12" si="19">IF(SUM(AM4:AN4,AP4:AR4,AT4)-AO4-AS4&gt;0,SUM(AM4:AN4,AP4:AR4,AT4)-AO4-AS4,"")</f>
        <v/>
      </c>
      <c r="BF4" s="14" t="str">
        <f t="shared" ref="BF4:BF12" si="20">IF(SUM(AV4,AZ4)&gt;0,SUM(AV4,AZ4),"")</f>
        <v/>
      </c>
      <c r="BG4" s="14" t="str">
        <f t="shared" ref="BG4:BG12" si="21">IF(SUM(AU4:AV4,AX4:AZ4,BB4)-SUM(AW4,BA4)&gt;0,SUM(AU4:AV4,AX4:AZ4,BB4)-SUM(AW4,BA4),"")</f>
        <v/>
      </c>
      <c r="BH4" s="14" t="str">
        <f t="shared" ref="BH4:BH12" si="22">IF(SUM(BE4,BG4)&gt;0,SUM(BE4,BG4),"")</f>
        <v/>
      </c>
      <c r="BI4" s="37">
        <v>25.1</v>
      </c>
      <c r="BJ4" s="37">
        <v>3.9</v>
      </c>
      <c r="BK4" s="37">
        <v>0</v>
      </c>
      <c r="BL4" s="37">
        <v>0.3</v>
      </c>
      <c r="BM4" s="37">
        <v>25.9</v>
      </c>
      <c r="BN4" s="37">
        <v>3.2</v>
      </c>
      <c r="BO4" s="37">
        <v>0</v>
      </c>
      <c r="BP4" s="37">
        <v>0</v>
      </c>
      <c r="BQ4" s="37">
        <v>26.9</v>
      </c>
      <c r="BR4" s="37">
        <v>3.6</v>
      </c>
      <c r="BS4" s="37">
        <v>0</v>
      </c>
      <c r="BT4" s="37">
        <v>0</v>
      </c>
      <c r="BU4" s="37">
        <v>25.3</v>
      </c>
      <c r="BV4" s="37">
        <v>4.0999999999999996</v>
      </c>
      <c r="BW4" s="37">
        <v>0</v>
      </c>
      <c r="BX4" s="37">
        <v>0.3</v>
      </c>
      <c r="BY4" s="72"/>
      <c r="BZ4" s="11">
        <f t="shared" ref="BZ4:BZ12" si="23">IF(SUM(BJ4,BN4)&gt;0,SUM(BJ4,BN4),"")</f>
        <v>7.1</v>
      </c>
      <c r="CA4" s="11">
        <f t="shared" ref="CA4:CA12" si="24">IF(SUM(BI4:BJ4,BL4:BN4,BP4)-BK4-BO4&gt;0,SUM(BI4:BJ4,BL4:BN4,BP4)-BK4-BO4,"")</f>
        <v>58.400000000000006</v>
      </c>
      <c r="CB4" s="11">
        <f t="shared" ref="CB4:CB12" si="25">IF(SUM(BR4,BV4)&gt;0,SUM(BR4,BV4),"")</f>
        <v>7.6999999999999993</v>
      </c>
      <c r="CC4" s="11">
        <f t="shared" ref="CC4:CC12" si="26">IF(SUM(BQ4:BR4,BT4:BV4,BX4)-SUM(BS4,BW4)&gt;0,SUM(BQ4:BR4,BT4:BV4,BX4)-SUM(BS4,BW4),"")</f>
        <v>60.199999999999996</v>
      </c>
      <c r="CD4" s="11">
        <f t="shared" ref="CD4:CD12" si="27">IF(SUM(CA4,CC4)&gt;0,SUM(CA4,CC4),"")</f>
        <v>118.6</v>
      </c>
      <c r="CE4" s="23" t="str">
        <f t="shared" ref="CE4:CE12" si="28">IF(MAX(CX4,DS4,EN4,FI4,GD4,GY4,HT4,IO4,JJ4,KE4,KZ4,LU4)-IF(J4="",0,J4)&gt;0.001,MAX(CX4,DS4,EN4,FI4,GD4,GY4,HT4,IO4,JJ4,KE4,KZ4,LU4)-IF(J4="",0,J4),"")</f>
        <v/>
      </c>
      <c r="CF4" s="23" t="str">
        <f t="shared" ref="CF4:CF12" si="29">IF(MAX(CZ4,DU4,EP4,FK4,GF4,HA4,HV4,IQ4,JL4,KG4,LB4,LW4)-IF(L4="",0,L4)&gt;0.001,MAX(CZ4,DU4,EP4,FK4,GF4,HA4,HV4,IQ4,JL4,KG4,LB4,LW4)-IF(L4="",0,L4),"")</f>
        <v/>
      </c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11" t="str">
        <f t="shared" ref="CW4:CW12" si="30">IF(SUM(CH4,CL4)&gt;0,SUM(CH4,CL4),"")</f>
        <v/>
      </c>
      <c r="CX4" s="11" t="str">
        <f t="shared" ref="CX4:CX12" si="31">IF(SUM(CG4:CH4,CJ4:CL4,CN4)-CI4-CM4&gt;0,SUM(CG4:CH4,CJ4:CL4,CN4)-CI4-CM4,"")</f>
        <v/>
      </c>
      <c r="CY4" s="11" t="str">
        <f t="shared" ref="CY4:CY12" si="32">IF(SUM(CP4,CT4)&gt;0,SUM(CP4,CT4),"")</f>
        <v/>
      </c>
      <c r="CZ4" s="11" t="str">
        <f t="shared" ref="CZ4:CZ12" si="33">IF(SUM(CO4:CP4,CR4:CT4,CV4)-SUM(CQ4,CU4)&gt;0,SUM(CO4:CP4,CR4:CT4,CV4)-SUM(CQ4,CU4),"")</f>
        <v/>
      </c>
      <c r="DA4" s="11" t="str">
        <f t="shared" ref="DA4:DA12" si="34">IF(SUM(CX4,CZ4)&gt;0,SUM(CX4,CZ4),"")</f>
        <v/>
      </c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14" t="str">
        <f t="shared" ref="DR4:DR12" si="35">IF(SUM(DC4,DG4)&gt;0,SUM(DC4,DG4),"")</f>
        <v/>
      </c>
      <c r="DS4" s="14" t="str">
        <f t="shared" ref="DS4:DS12" si="36">IF(SUM(DB4:DC4,DE4:DG4,DI4)-DD4-DH4&gt;0,SUM(DB4:DC4,DE4:DG4,DI4)-DD4-DH4,"")</f>
        <v/>
      </c>
      <c r="DT4" s="14" t="str">
        <f t="shared" ref="DT4:DT12" si="37">IF(SUM(DK4,DO4)&gt;0,SUM(DK4,DO4),"")</f>
        <v/>
      </c>
      <c r="DU4" s="14" t="str">
        <f t="shared" ref="DU4:DU12" si="38">IF(SUM(DJ4:DK4,DM4:DO4,DQ4)-SUM(DL4,DP4)&gt;0,SUM(DJ4:DK4,DM4:DO4,DQ4)-SUM(DL4,DP4),"")</f>
        <v/>
      </c>
      <c r="DV4" s="14" t="str">
        <f t="shared" ref="DV4:DV12" si="39">IF(SUM(DS4,DU4)&gt;0,SUM(DS4,DU4),"")</f>
        <v/>
      </c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11" t="str">
        <f t="shared" ref="EM4:EM12" si="40">IF(SUM(DX4,EB4)&gt;0,SUM(DX4,EB4),"")</f>
        <v/>
      </c>
      <c r="EN4" s="11" t="str">
        <f t="shared" ref="EN4:EN12" si="41">IF(SUM(DW4:DX4,DZ4:EB4,ED4)-DY4-EC4&gt;0,SUM(DW4:DX4,DZ4:EB4,ED4)-DY4-EC4,"")</f>
        <v/>
      </c>
      <c r="EO4" s="11" t="str">
        <f t="shared" ref="EO4:EO12" si="42">IF(SUM(EF4,EJ4)&gt;0,SUM(EF4,EJ4),"")</f>
        <v/>
      </c>
      <c r="EP4" s="11" t="str">
        <f t="shared" ref="EP4:EP12" si="43">IF(SUM(EE4:EF4,EH4:EJ4,EL4)-SUM(EG4,EK4)&gt;0,SUM(EE4:EF4,EH4:EJ4,EL4)-SUM(EG4,EK4),"")</f>
        <v/>
      </c>
      <c r="EQ4" s="11" t="str">
        <f t="shared" ref="EQ4:EQ12" si="44">IF(SUM(EN4,EP4)&gt;0,SUM(EN4,EP4),"")</f>
        <v/>
      </c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14" t="str">
        <f t="shared" ref="FH4:FH12" si="45">IF(SUM(ES4,EW4)&gt;0,SUM(ES4,EW4),"")</f>
        <v/>
      </c>
      <c r="FI4" s="14" t="str">
        <f t="shared" ref="FI4:FI12" si="46">IF(SUM(ER4:ES4,EU4:EW4,EY4)-ET4-EX4&gt;0,SUM(ER4:ES4,EU4:EW4,EY4)-ET4-EX4,"")</f>
        <v/>
      </c>
      <c r="FJ4" s="14" t="str">
        <f t="shared" ref="FJ4:FJ12" si="47">IF(SUM(FA4,FE4)&gt;0,SUM(FA4,FE4),"")</f>
        <v/>
      </c>
      <c r="FK4" s="14" t="str">
        <f t="shared" ref="FK4:FK12" si="48">IF(SUM(EZ4:FA4,FC4:FE4,FG4)-SUM(FB4,FF4)&gt;0,SUM(EZ4:FA4,FC4:FE4,FG4)-SUM(FB4,FF4),"")</f>
        <v/>
      </c>
      <c r="FL4" s="14" t="str">
        <f t="shared" ref="FL4:FL12" si="49">IF(SUM(FI4,FK4)&gt;0,SUM(FI4,FK4),"")</f>
        <v/>
      </c>
      <c r="FM4" s="35"/>
      <c r="FN4" s="35"/>
      <c r="FO4" s="35"/>
      <c r="FP4" s="35"/>
      <c r="FQ4" s="35"/>
      <c r="FR4" s="35"/>
      <c r="FS4" s="35"/>
      <c r="FT4" s="35"/>
      <c r="FU4" s="35"/>
      <c r="FV4" s="35"/>
      <c r="FW4" s="35"/>
      <c r="FX4" s="35"/>
      <c r="FY4" s="35"/>
      <c r="FZ4" s="35"/>
      <c r="GA4" s="35"/>
      <c r="GB4" s="35"/>
      <c r="GC4" s="11" t="str">
        <f t="shared" ref="GC4:GC12" si="50">IF(SUM(FN4,FR4)&gt;0,SUM(FN4,FR4),"")</f>
        <v/>
      </c>
      <c r="GD4" s="11" t="str">
        <f t="shared" ref="GD4:GD12" si="51">IF(SUM(FM4:FN4,FP4:FR4,FT4)-FO4-FS4&gt;0,SUM(FM4:FN4,FP4:FR4,FT4)-FO4-FS4,"")</f>
        <v/>
      </c>
      <c r="GE4" s="11" t="str">
        <f t="shared" ref="GE4:GE12" si="52">IF(SUM(FV4,FZ4)&gt;0,SUM(FV4,FZ4),"")</f>
        <v/>
      </c>
      <c r="GF4" s="11" t="str">
        <f t="shared" ref="GF4:GF12" si="53">IF(SUM(FU4:FV4,FX4:FZ4,GB4)-SUM(FW4,GA4)&gt;0,SUM(FU4:FV4,FX4:FZ4,GB4)-SUM(FW4,GA4),"")</f>
        <v/>
      </c>
      <c r="GG4" s="11" t="str">
        <f t="shared" ref="GG4:GG12" si="54">IF(SUM(GD4,GF4)&gt;0,SUM(GD4,GF4),"")</f>
        <v/>
      </c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14" t="str">
        <f t="shared" ref="GX4:GX12" si="55">IF(SUM(GI4,GM4)&gt;0,SUM(GI4,GM4),"")</f>
        <v/>
      </c>
      <c r="GY4" s="14" t="str">
        <f t="shared" ref="GY4:GY12" si="56">IF(SUM(GH4:GI4,GK4:GM4,GO4)-GJ4-GN4&gt;0,SUM(GH4:GI4,GK4:GM4,GO4)-GJ4-GN4,"")</f>
        <v/>
      </c>
      <c r="GZ4" s="14" t="str">
        <f t="shared" ref="GZ4:GZ12" si="57">IF(SUM(GQ4,GU4)&gt;0,SUM(GQ4,GU4),"")</f>
        <v/>
      </c>
      <c r="HA4" s="14" t="str">
        <f t="shared" ref="HA4:HA12" si="58">IF(SUM(GP4:GQ4,GS4:GU4,GW4)-SUM(GR4,GV4)&gt;0,SUM(GP4:GQ4,GS4:GU4,GW4)-SUM(GR4,GV4),"")</f>
        <v/>
      </c>
      <c r="HB4" s="14" t="str">
        <f t="shared" ref="HB4:HB12" si="59">IF(SUM(GY4,HA4)&gt;0,SUM(GY4,HA4),"")</f>
        <v/>
      </c>
      <c r="HC4" s="35"/>
      <c r="HD4" s="35"/>
      <c r="HE4" s="35"/>
      <c r="HF4" s="35"/>
      <c r="HG4" s="35"/>
      <c r="HH4" s="35"/>
      <c r="HI4" s="35"/>
      <c r="HJ4" s="35"/>
      <c r="HK4" s="35"/>
      <c r="HL4" s="35"/>
      <c r="HM4" s="35"/>
      <c r="HN4" s="35"/>
      <c r="HO4" s="35"/>
      <c r="HP4" s="35"/>
      <c r="HQ4" s="35"/>
      <c r="HR4" s="35"/>
      <c r="HS4" s="11" t="str">
        <f t="shared" ref="HS4:HS12" si="60">IF(SUM(HD4,HH4)&gt;0,SUM(HD4,HH4),"")</f>
        <v/>
      </c>
      <c r="HT4" s="11" t="str">
        <f t="shared" ref="HT4:HT12" si="61">IF(SUM(HC4:HD4,HF4:HH4,HJ4)-HE4-HI4&gt;0,SUM(HC4:HD4,HF4:HH4,HJ4)-HE4-HI4,"")</f>
        <v/>
      </c>
      <c r="HU4" s="11" t="str">
        <f t="shared" ref="HU4:HU12" si="62">IF(SUM(HL4,HP4)&gt;0,SUM(HL4,HP4),"")</f>
        <v/>
      </c>
      <c r="HV4" s="11" t="str">
        <f t="shared" ref="HV4:HV12" si="63">IF(SUM(HK4:HL4,HN4:HP4,HR4)-SUM(HM4,HQ4)&gt;0,SUM(HK4:HL4,HN4:HP4,HR4)-SUM(HM4,HQ4),"")</f>
        <v/>
      </c>
      <c r="HW4" s="11" t="str">
        <f t="shared" ref="HW4:HW12" si="64">IF(SUM(HT4,HV4)&gt;0,SUM(HT4,HV4),"")</f>
        <v/>
      </c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14" t="str">
        <f t="shared" ref="IN4:IN12" si="65">IF(SUM(HY4,IC4)&gt;0,SUM(HY4,IC4),"")</f>
        <v/>
      </c>
      <c r="IO4" s="14" t="str">
        <f t="shared" ref="IO4:IO12" si="66">IF(SUM(HX4:HY4,IA4:IC4,IE4)-HZ4-ID4&gt;0,SUM(HX4:HY4,IA4:IC4,IE4)-HZ4-ID4,"")</f>
        <v/>
      </c>
      <c r="IP4" s="14" t="str">
        <f t="shared" ref="IP4:IP12" si="67">IF(SUM(IG4,IK4)&gt;0,SUM(IG4,IK4),"")</f>
        <v/>
      </c>
      <c r="IQ4" s="14" t="str">
        <f t="shared" ref="IQ4:IQ12" si="68">IF(SUM(IF4:IG4,II4:IK4,IM4)-SUM(IH4,IL4)&gt;0,SUM(IF4:IG4,II4:IK4,IM4)-SUM(IH4,IL4),"")</f>
        <v/>
      </c>
      <c r="IR4" s="14" t="str">
        <f t="shared" ref="IR4:IR12" si="69">IF(SUM(IO4,IQ4)&gt;0,SUM(IO4,IQ4),"")</f>
        <v/>
      </c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35"/>
      <c r="JD4" s="35"/>
      <c r="JE4" s="35"/>
      <c r="JF4" s="35"/>
      <c r="JG4" s="35"/>
      <c r="JH4" s="35"/>
      <c r="JI4" s="11" t="str">
        <f t="shared" ref="JI4:JI12" si="70">IF(SUM(IT4,IX4)&gt;0,SUM(IT4,IX4),"")</f>
        <v/>
      </c>
      <c r="JJ4" s="11" t="str">
        <f t="shared" ref="JJ4:JJ12" si="71">IF(SUM(IS4:IT4,IV4:IX4,IZ4)-IU4-IY4&gt;0,SUM(IS4:IT4,IV4:IX4,IZ4)-IU4-IY4,"")</f>
        <v/>
      </c>
      <c r="JK4" s="11" t="str">
        <f t="shared" ref="JK4:JK12" si="72">IF(SUM(JB4,JF4)&gt;0,SUM(JB4,JF4),"")</f>
        <v/>
      </c>
      <c r="JL4" s="11" t="str">
        <f t="shared" ref="JL4:JL12" si="73">IF(SUM(JA4:JB4,JD4:JF4,JH4)-SUM(JC4,JG4)&gt;0,SUM(JA4:JB4,JD4:JF4,JH4)-SUM(JC4,JG4),"")</f>
        <v/>
      </c>
      <c r="JM4" s="11" t="str">
        <f t="shared" ref="JM4:JM12" si="74">IF(SUM(JJ4,JL4)&gt;0,SUM(JJ4,JL4),"")</f>
        <v/>
      </c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14" t="str">
        <f t="shared" ref="KD4:KD12" si="75">IF(SUM(JO4,JS4)&gt;0,SUM(JO4,JS4),"")</f>
        <v/>
      </c>
      <c r="KE4" s="14" t="str">
        <f t="shared" ref="KE4:KE12" si="76">IF(SUM(JN4:JO4,JQ4:JS4,JU4)-JP4-JT4&gt;0,SUM(JN4:JO4,JQ4:JS4,JU4)-JP4-JT4,"")</f>
        <v/>
      </c>
      <c r="KF4" s="14" t="str">
        <f t="shared" ref="KF4:KF12" si="77">IF(SUM(JW4,KA4)&gt;0,SUM(JW4,KA4),"")</f>
        <v/>
      </c>
      <c r="KG4" s="14" t="str">
        <f t="shared" ref="KG4:KG12" si="78">IF(SUM(JV4:JW4,JY4:KA4,KC4)-SUM(JX4,KB4)&gt;0,SUM(JV4:JW4,JY4:KA4,KC4)-SUM(JX4,KB4),"")</f>
        <v/>
      </c>
      <c r="KH4" s="14" t="str">
        <f t="shared" ref="KH4:KH12" si="79">IF(SUM(KE4,KG4)&gt;0,SUM(KE4,KG4),"")</f>
        <v/>
      </c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35"/>
      <c r="KV4" s="35"/>
      <c r="KW4" s="35"/>
      <c r="KX4" s="35"/>
      <c r="KY4" s="11" t="str">
        <f t="shared" ref="KY4:KY12" si="80">IF(SUM(KJ4,KN4)&gt;0,SUM(KJ4,KN4),"")</f>
        <v/>
      </c>
      <c r="KZ4" s="11" t="str">
        <f t="shared" ref="KZ4:KZ12" si="81">IF(SUM(KI4:KJ4,KL4:KN4,KP4)-KK4-KO4&gt;0,SUM(KI4:KJ4,KL4:KN4,KP4)-KK4-KO4,"")</f>
        <v/>
      </c>
      <c r="LA4" s="11" t="str">
        <f t="shared" ref="LA4:LA12" si="82">IF(SUM(KR4,KV4)&gt;0,SUM(KR4,KV4),"")</f>
        <v/>
      </c>
      <c r="LB4" s="11" t="str">
        <f t="shared" ref="LB4:LB12" si="83">IF(SUM(KQ4:KR4,KT4:KV4,KX4)-SUM(KS4,KW4)&gt;0,SUM(KQ4:KR4,KT4:KV4,KX4)-SUM(KS4,KW4),"")</f>
        <v/>
      </c>
      <c r="LC4" s="11" t="str">
        <f t="shared" ref="LC4:LC12" si="84">IF(SUM(KZ4,LB4)&gt;0,SUM(KZ4,LB4),"")</f>
        <v/>
      </c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14" t="str">
        <f t="shared" ref="LT4:LT12" si="85">IF(SUM(LE4,LI4)&gt;0,SUM(LE4,LI4),"")</f>
        <v/>
      </c>
      <c r="LU4" s="14" t="str">
        <f t="shared" ref="LU4:LU12" si="86">IF(SUM(LD4:LE4,LG4:LI4,LK4)-LF4-LJ4&gt;0,SUM(LD4:LE4,LG4:LI4,LK4)-LF4-LJ4,"")</f>
        <v/>
      </c>
      <c r="LV4" s="14" t="str">
        <f t="shared" ref="LV4:LV12" si="87">IF(SUM(LM4,LQ4)&gt;0,SUM(LM4,LQ4),"")</f>
        <v/>
      </c>
      <c r="LW4" s="14" t="str">
        <f t="shared" ref="LW4:LW12" si="88">IF(SUM(LL4:LM4,LO4:LQ4,LS4)-SUM(LN4,LR4)&gt;0,SUM(LL4:LM4,LO4:LQ4,LS4)-SUM(LN4,LR4),"")</f>
        <v/>
      </c>
      <c r="LX4" s="14" t="str">
        <f t="shared" ref="LX4:LX12" si="89">IF(SUM(LU4,LW4)&gt;0,SUM(LU4,LW4),"")</f>
        <v/>
      </c>
      <c r="LY4" s="61">
        <f t="shared" ref="LY4:LY12" si="90">IF($BY4="P",BI4,(BI4+AM4)/2)</f>
        <v>12.55</v>
      </c>
      <c r="LZ4" s="61">
        <f t="shared" ref="LZ4:LZ12" si="91">IF($BY4="P",BJ4,(BJ4+AN4)/2)</f>
        <v>1.95</v>
      </c>
      <c r="MA4" s="61">
        <f t="shared" ref="MA4:MA12" si="92">IF($BY4="P",BK4,(BK4+AO4)/2)</f>
        <v>0</v>
      </c>
      <c r="MB4" s="61">
        <f t="shared" ref="MB4:MB12" si="93">IF($BY4="P",BL4,(BL4+AP4)/2)</f>
        <v>0.15</v>
      </c>
      <c r="MC4" s="61">
        <f t="shared" ref="MC4:MC12" si="94">IF($BY4="P",BM4,(BM4+AQ4)/2)</f>
        <v>12.95</v>
      </c>
      <c r="MD4" s="61">
        <f t="shared" ref="MD4:MD12" si="95">IF($BY4="P",BN4,(BN4+AR4)/2)</f>
        <v>1.6</v>
      </c>
      <c r="ME4" s="61">
        <f t="shared" ref="ME4:ME12" si="96">IF($BY4="P",BO4,(BO4+AS4)/2)</f>
        <v>0</v>
      </c>
      <c r="MF4" s="61">
        <f t="shared" ref="MF4:MF12" si="97">IF($BY4="P",BP4,(BP4+AT4)/2)</f>
        <v>0</v>
      </c>
      <c r="MG4" s="61">
        <f t="shared" ref="MG4:MG12" si="98">IF($BY4="P",BQ4,(BQ4+AU4)/2)</f>
        <v>13.45</v>
      </c>
      <c r="MH4" s="61">
        <f t="shared" ref="MH4:MH12" si="99">IF($BY4="P",BR4,(BR4+AV4)/2)</f>
        <v>1.8</v>
      </c>
      <c r="MI4" s="61">
        <f t="shared" ref="MI4:MI12" si="100">IF($BY4="P",BS4,(BS4+AW4)/2)</f>
        <v>0</v>
      </c>
      <c r="MJ4" s="61">
        <f t="shared" ref="MJ4:MJ12" si="101">IF($BY4="P",BT4,(BT4+AX4)/2)</f>
        <v>0</v>
      </c>
      <c r="MK4" s="61">
        <f t="shared" ref="MK4:MK12" si="102">IF($BY4="P",BU4,(BU4+AY4)/2)</f>
        <v>12.65</v>
      </c>
      <c r="ML4" s="61">
        <f t="shared" ref="ML4:ML12" si="103">IF($BY4="P",BV4,(BV4+AZ4)/2)</f>
        <v>2.0499999999999998</v>
      </c>
      <c r="MM4" s="61">
        <f t="shared" ref="MM4:MM12" si="104">IF($BY4="P",BW4,(BW4+BA4)/2)</f>
        <v>0</v>
      </c>
      <c r="MN4" s="61">
        <f t="shared" ref="MN4:MN12" si="105">IF($BY4="P",BX4,(BX4+BB4)/2)</f>
        <v>0.15</v>
      </c>
      <c r="MO4" s="72" t="s">
        <v>52</v>
      </c>
      <c r="MP4" s="11">
        <f t="shared" ref="MP4:MP12" si="106">IF(SUM(LZ4,MD4)&gt;0,SUM(LZ4,MD4),"")</f>
        <v>3.55</v>
      </c>
      <c r="MQ4" s="11">
        <f t="shared" ref="MQ4:MQ12" si="107">IF(SUM(LY4:LZ4,MB4:MD4,MF4)-MA4-ME4&gt;0,SUM(LY4:LZ4,MB4:MD4,MF4)-MA4-ME4,"")</f>
        <v>29.200000000000003</v>
      </c>
      <c r="MR4" s="11">
        <f t="shared" ref="MR4:MR12" si="108">IF(SUM(MH4,ML4)&gt;0,SUM(MH4,ML4),"")</f>
        <v>3.8499999999999996</v>
      </c>
      <c r="MS4" s="11">
        <f t="shared" ref="MS4:MS12" si="109">IF(SUM(MG4:MH4,MJ4:ML4,MN4)-SUM(MI4,MM4)&gt;0,SUM(MG4:MH4,MJ4:ML4,MN4)-SUM(MI4,MM4),"")</f>
        <v>30.099999999999998</v>
      </c>
      <c r="MT4" s="11">
        <f t="shared" ref="MT4:MT12" si="110">IF(SUM(MQ4,MS4)&gt;0,SUM(MQ4,MS4),"")</f>
        <v>59.3</v>
      </c>
    </row>
    <row r="5" spans="1:358" x14ac:dyDescent="0.2">
      <c r="A5" s="5" t="str">
        <f t="shared" si="0"/>
        <v/>
      </c>
      <c r="B5" s="6" t="s">
        <v>150</v>
      </c>
      <c r="C5" s="7" t="s">
        <v>3</v>
      </c>
      <c r="D5" s="26">
        <v>2003</v>
      </c>
      <c r="E5" s="15">
        <f t="shared" si="1"/>
        <v>117.8</v>
      </c>
      <c r="F5" s="3" t="str">
        <f t="shared" si="2"/>
        <v/>
      </c>
      <c r="G5" s="3" t="str">
        <f t="shared" si="3"/>
        <v/>
      </c>
      <c r="H5" s="116" t="str">
        <f t="shared" si="4"/>
        <v/>
      </c>
      <c r="I5" s="3" t="str">
        <f t="shared" si="5"/>
        <v/>
      </c>
      <c r="J5" s="14">
        <f t="shared" si="6"/>
        <v>59</v>
      </c>
      <c r="K5" s="14" t="str">
        <f t="shared" si="7"/>
        <v>2021 Elite Canada</v>
      </c>
      <c r="L5" s="14">
        <f t="shared" si="8"/>
        <v>58.8</v>
      </c>
      <c r="M5" s="14" t="str">
        <f t="shared" si="9"/>
        <v/>
      </c>
      <c r="N5" s="14" t="str">
        <f t="shared" si="10"/>
        <v/>
      </c>
      <c r="O5" s="24" t="str">
        <f t="shared" si="11"/>
        <v/>
      </c>
      <c r="P5" s="14" t="str">
        <f t="shared" si="12"/>
        <v/>
      </c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72"/>
      <c r="AH5" s="11" t="str">
        <f t="shared" si="13"/>
        <v/>
      </c>
      <c r="AI5" s="11" t="str">
        <f t="shared" si="14"/>
        <v/>
      </c>
      <c r="AJ5" s="11" t="str">
        <f t="shared" si="15"/>
        <v/>
      </c>
      <c r="AK5" s="11" t="str">
        <f t="shared" si="16"/>
        <v/>
      </c>
      <c r="AL5" s="11" t="str">
        <f t="shared" si="17"/>
        <v/>
      </c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73"/>
      <c r="BD5" s="14" t="str">
        <f t="shared" si="18"/>
        <v/>
      </c>
      <c r="BE5" s="14" t="str">
        <f t="shared" si="19"/>
        <v/>
      </c>
      <c r="BF5" s="14" t="str">
        <f t="shared" si="20"/>
        <v/>
      </c>
      <c r="BG5" s="14" t="str">
        <f t="shared" si="21"/>
        <v/>
      </c>
      <c r="BH5" s="14" t="str">
        <f t="shared" si="22"/>
        <v/>
      </c>
      <c r="BI5" s="37">
        <v>25.4</v>
      </c>
      <c r="BJ5" s="37">
        <v>4.0999999999999996</v>
      </c>
      <c r="BK5" s="37">
        <v>0.3</v>
      </c>
      <c r="BL5" s="37">
        <v>0.3</v>
      </c>
      <c r="BM5" s="37">
        <v>25.3</v>
      </c>
      <c r="BN5" s="37">
        <v>3.9</v>
      </c>
      <c r="BO5" s="37">
        <v>0</v>
      </c>
      <c r="BP5" s="37">
        <v>0.3</v>
      </c>
      <c r="BQ5" s="37">
        <v>25.7</v>
      </c>
      <c r="BR5" s="37">
        <v>4.0999999999999996</v>
      </c>
      <c r="BS5" s="37">
        <v>0.3</v>
      </c>
      <c r="BT5" s="37">
        <v>0.3</v>
      </c>
      <c r="BU5" s="37">
        <v>25.1</v>
      </c>
      <c r="BV5" s="37">
        <v>3.9</v>
      </c>
      <c r="BW5" s="37">
        <v>0.3</v>
      </c>
      <c r="BX5" s="37">
        <v>0.3</v>
      </c>
      <c r="BY5" s="72"/>
      <c r="BZ5" s="11">
        <f t="shared" si="23"/>
        <v>8</v>
      </c>
      <c r="CA5" s="11">
        <f t="shared" si="24"/>
        <v>59</v>
      </c>
      <c r="CB5" s="11">
        <f t="shared" si="25"/>
        <v>8</v>
      </c>
      <c r="CC5" s="11">
        <f t="shared" si="26"/>
        <v>58.8</v>
      </c>
      <c r="CD5" s="11">
        <f t="shared" si="27"/>
        <v>117.8</v>
      </c>
      <c r="CE5" s="23" t="str">
        <f t="shared" si="28"/>
        <v/>
      </c>
      <c r="CF5" s="23" t="str">
        <f t="shared" si="29"/>
        <v/>
      </c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  <c r="CW5" s="11" t="str">
        <f t="shared" si="30"/>
        <v/>
      </c>
      <c r="CX5" s="11" t="str">
        <f t="shared" si="31"/>
        <v/>
      </c>
      <c r="CY5" s="11" t="str">
        <f t="shared" si="32"/>
        <v/>
      </c>
      <c r="CZ5" s="11" t="str">
        <f t="shared" si="33"/>
        <v/>
      </c>
      <c r="DA5" s="11" t="str">
        <f t="shared" si="34"/>
        <v/>
      </c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36"/>
      <c r="DN5" s="36"/>
      <c r="DO5" s="36"/>
      <c r="DP5" s="36"/>
      <c r="DQ5" s="36"/>
      <c r="DR5" s="14" t="str">
        <f t="shared" si="35"/>
        <v/>
      </c>
      <c r="DS5" s="14" t="str">
        <f t="shared" si="36"/>
        <v/>
      </c>
      <c r="DT5" s="14" t="str">
        <f t="shared" si="37"/>
        <v/>
      </c>
      <c r="DU5" s="14" t="str">
        <f t="shared" si="38"/>
        <v/>
      </c>
      <c r="DV5" s="14" t="str">
        <f t="shared" si="39"/>
        <v/>
      </c>
      <c r="DW5" s="35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11" t="str">
        <f t="shared" si="40"/>
        <v/>
      </c>
      <c r="EN5" s="11" t="str">
        <f t="shared" si="41"/>
        <v/>
      </c>
      <c r="EO5" s="11" t="str">
        <f t="shared" si="42"/>
        <v/>
      </c>
      <c r="EP5" s="11" t="str">
        <f t="shared" si="43"/>
        <v/>
      </c>
      <c r="EQ5" s="11" t="str">
        <f t="shared" si="44"/>
        <v/>
      </c>
      <c r="ER5" s="36"/>
      <c r="ES5" s="36"/>
      <c r="ET5" s="36"/>
      <c r="EU5" s="36"/>
      <c r="EV5" s="36"/>
      <c r="EW5" s="36"/>
      <c r="EX5" s="36"/>
      <c r="EY5" s="36"/>
      <c r="EZ5" s="36"/>
      <c r="FA5" s="36"/>
      <c r="FB5" s="36"/>
      <c r="FC5" s="36"/>
      <c r="FD5" s="36"/>
      <c r="FE5" s="36"/>
      <c r="FF5" s="36"/>
      <c r="FG5" s="36"/>
      <c r="FH5" s="14" t="str">
        <f t="shared" si="45"/>
        <v/>
      </c>
      <c r="FI5" s="14" t="str">
        <f t="shared" si="46"/>
        <v/>
      </c>
      <c r="FJ5" s="14" t="str">
        <f t="shared" si="47"/>
        <v/>
      </c>
      <c r="FK5" s="14" t="str">
        <f t="shared" si="48"/>
        <v/>
      </c>
      <c r="FL5" s="14" t="str">
        <f t="shared" si="49"/>
        <v/>
      </c>
      <c r="FM5" s="35"/>
      <c r="FN5" s="35"/>
      <c r="FO5" s="35"/>
      <c r="FP5" s="35"/>
      <c r="FQ5" s="35"/>
      <c r="FR5" s="35"/>
      <c r="FS5" s="35"/>
      <c r="FT5" s="35"/>
      <c r="FU5" s="35"/>
      <c r="FV5" s="35"/>
      <c r="FW5" s="35"/>
      <c r="FX5" s="35"/>
      <c r="FY5" s="35"/>
      <c r="FZ5" s="35"/>
      <c r="GA5" s="35"/>
      <c r="GB5" s="35"/>
      <c r="GC5" s="11" t="str">
        <f t="shared" si="50"/>
        <v/>
      </c>
      <c r="GD5" s="11" t="str">
        <f t="shared" si="51"/>
        <v/>
      </c>
      <c r="GE5" s="11" t="str">
        <f t="shared" si="52"/>
        <v/>
      </c>
      <c r="GF5" s="11" t="str">
        <f t="shared" si="53"/>
        <v/>
      </c>
      <c r="GG5" s="11" t="str">
        <f t="shared" si="54"/>
        <v/>
      </c>
      <c r="GH5" s="36"/>
      <c r="GI5" s="36"/>
      <c r="GJ5" s="36"/>
      <c r="GK5" s="36"/>
      <c r="GL5" s="36"/>
      <c r="GM5" s="36"/>
      <c r="GN5" s="36"/>
      <c r="GO5" s="36"/>
      <c r="GP5" s="36"/>
      <c r="GQ5" s="36"/>
      <c r="GR5" s="36"/>
      <c r="GS5" s="36"/>
      <c r="GT5" s="36"/>
      <c r="GU5" s="36"/>
      <c r="GV5" s="36"/>
      <c r="GW5" s="36"/>
      <c r="GX5" s="14" t="str">
        <f t="shared" si="55"/>
        <v/>
      </c>
      <c r="GY5" s="14" t="str">
        <f t="shared" si="56"/>
        <v/>
      </c>
      <c r="GZ5" s="14" t="str">
        <f t="shared" si="57"/>
        <v/>
      </c>
      <c r="HA5" s="14" t="str">
        <f t="shared" si="58"/>
        <v/>
      </c>
      <c r="HB5" s="14" t="str">
        <f t="shared" si="59"/>
        <v/>
      </c>
      <c r="HC5" s="35"/>
      <c r="HD5" s="35"/>
      <c r="HE5" s="35"/>
      <c r="HF5" s="35"/>
      <c r="HG5" s="35"/>
      <c r="HH5" s="35"/>
      <c r="HI5" s="35"/>
      <c r="HJ5" s="35"/>
      <c r="HK5" s="35"/>
      <c r="HL5" s="35"/>
      <c r="HM5" s="35"/>
      <c r="HN5" s="35"/>
      <c r="HO5" s="35"/>
      <c r="HP5" s="35"/>
      <c r="HQ5" s="35"/>
      <c r="HR5" s="35"/>
      <c r="HS5" s="11" t="str">
        <f t="shared" si="60"/>
        <v/>
      </c>
      <c r="HT5" s="11" t="str">
        <f t="shared" si="61"/>
        <v/>
      </c>
      <c r="HU5" s="11" t="str">
        <f t="shared" si="62"/>
        <v/>
      </c>
      <c r="HV5" s="11" t="str">
        <f t="shared" si="63"/>
        <v/>
      </c>
      <c r="HW5" s="11" t="str">
        <f t="shared" si="64"/>
        <v/>
      </c>
      <c r="HX5" s="36"/>
      <c r="HY5" s="36"/>
      <c r="HZ5" s="36"/>
      <c r="IA5" s="36"/>
      <c r="IB5" s="36"/>
      <c r="IC5" s="36"/>
      <c r="ID5" s="36"/>
      <c r="IE5" s="36"/>
      <c r="IF5" s="36"/>
      <c r="IG5" s="36"/>
      <c r="IH5" s="36"/>
      <c r="II5" s="36"/>
      <c r="IJ5" s="36"/>
      <c r="IK5" s="36"/>
      <c r="IL5" s="36"/>
      <c r="IM5" s="36"/>
      <c r="IN5" s="14" t="str">
        <f t="shared" si="65"/>
        <v/>
      </c>
      <c r="IO5" s="14" t="str">
        <f t="shared" si="66"/>
        <v/>
      </c>
      <c r="IP5" s="14" t="str">
        <f t="shared" si="67"/>
        <v/>
      </c>
      <c r="IQ5" s="14" t="str">
        <f t="shared" si="68"/>
        <v/>
      </c>
      <c r="IR5" s="14" t="str">
        <f t="shared" si="69"/>
        <v/>
      </c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35"/>
      <c r="JD5" s="35"/>
      <c r="JE5" s="35"/>
      <c r="JF5" s="35"/>
      <c r="JG5" s="35"/>
      <c r="JH5" s="35"/>
      <c r="JI5" s="11" t="str">
        <f t="shared" si="70"/>
        <v/>
      </c>
      <c r="JJ5" s="11" t="str">
        <f t="shared" si="71"/>
        <v/>
      </c>
      <c r="JK5" s="11" t="str">
        <f t="shared" si="72"/>
        <v/>
      </c>
      <c r="JL5" s="11" t="str">
        <f t="shared" si="73"/>
        <v/>
      </c>
      <c r="JM5" s="11" t="str">
        <f t="shared" si="74"/>
        <v/>
      </c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36"/>
      <c r="JZ5" s="36"/>
      <c r="KA5" s="36"/>
      <c r="KB5" s="36"/>
      <c r="KC5" s="36"/>
      <c r="KD5" s="14" t="str">
        <f t="shared" si="75"/>
        <v/>
      </c>
      <c r="KE5" s="14" t="str">
        <f t="shared" si="76"/>
        <v/>
      </c>
      <c r="KF5" s="14" t="str">
        <f t="shared" si="77"/>
        <v/>
      </c>
      <c r="KG5" s="14" t="str">
        <f t="shared" si="78"/>
        <v/>
      </c>
      <c r="KH5" s="14" t="str">
        <f t="shared" si="79"/>
        <v/>
      </c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35"/>
      <c r="KV5" s="35"/>
      <c r="KW5" s="35"/>
      <c r="KX5" s="35"/>
      <c r="KY5" s="11" t="str">
        <f t="shared" si="80"/>
        <v/>
      </c>
      <c r="KZ5" s="11" t="str">
        <f t="shared" si="81"/>
        <v/>
      </c>
      <c r="LA5" s="11" t="str">
        <f t="shared" si="82"/>
        <v/>
      </c>
      <c r="LB5" s="11" t="str">
        <f t="shared" si="83"/>
        <v/>
      </c>
      <c r="LC5" s="11" t="str">
        <f t="shared" si="84"/>
        <v/>
      </c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36"/>
      <c r="LR5" s="36"/>
      <c r="LS5" s="36"/>
      <c r="LT5" s="14" t="str">
        <f t="shared" si="85"/>
        <v/>
      </c>
      <c r="LU5" s="14" t="str">
        <f t="shared" si="86"/>
        <v/>
      </c>
      <c r="LV5" s="14" t="str">
        <f t="shared" si="87"/>
        <v/>
      </c>
      <c r="LW5" s="14" t="str">
        <f t="shared" si="88"/>
        <v/>
      </c>
      <c r="LX5" s="14" t="str">
        <f t="shared" si="89"/>
        <v/>
      </c>
      <c r="LY5" s="61">
        <f t="shared" si="90"/>
        <v>12.7</v>
      </c>
      <c r="LZ5" s="61">
        <f t="shared" si="91"/>
        <v>2.0499999999999998</v>
      </c>
      <c r="MA5" s="61">
        <f t="shared" si="92"/>
        <v>0.15</v>
      </c>
      <c r="MB5" s="61">
        <f t="shared" si="93"/>
        <v>0.15</v>
      </c>
      <c r="MC5" s="61">
        <f t="shared" si="94"/>
        <v>12.65</v>
      </c>
      <c r="MD5" s="61">
        <f t="shared" si="95"/>
        <v>1.95</v>
      </c>
      <c r="ME5" s="61">
        <f t="shared" si="96"/>
        <v>0</v>
      </c>
      <c r="MF5" s="61">
        <f t="shared" si="97"/>
        <v>0.15</v>
      </c>
      <c r="MG5" s="61">
        <f t="shared" si="98"/>
        <v>12.85</v>
      </c>
      <c r="MH5" s="61">
        <f t="shared" si="99"/>
        <v>2.0499999999999998</v>
      </c>
      <c r="MI5" s="61">
        <f t="shared" si="100"/>
        <v>0.15</v>
      </c>
      <c r="MJ5" s="61">
        <f t="shared" si="101"/>
        <v>0.15</v>
      </c>
      <c r="MK5" s="61">
        <f t="shared" si="102"/>
        <v>12.55</v>
      </c>
      <c r="ML5" s="61">
        <f t="shared" si="103"/>
        <v>1.95</v>
      </c>
      <c r="MM5" s="61">
        <f t="shared" si="104"/>
        <v>0.15</v>
      </c>
      <c r="MN5" s="61">
        <f t="shared" si="105"/>
        <v>0.15</v>
      </c>
      <c r="MO5" s="72" t="s">
        <v>52</v>
      </c>
      <c r="MP5" s="11">
        <f t="shared" si="106"/>
        <v>4</v>
      </c>
      <c r="MQ5" s="11">
        <f t="shared" si="107"/>
        <v>29.5</v>
      </c>
      <c r="MR5" s="11">
        <f t="shared" si="108"/>
        <v>4</v>
      </c>
      <c r="MS5" s="11">
        <f t="shared" si="109"/>
        <v>29.4</v>
      </c>
      <c r="MT5" s="11">
        <f t="shared" si="110"/>
        <v>58.9</v>
      </c>
    </row>
    <row r="6" spans="1:358" x14ac:dyDescent="0.2">
      <c r="A6" s="5" t="str">
        <f t="shared" si="0"/>
        <v/>
      </c>
      <c r="B6" s="6" t="s">
        <v>67</v>
      </c>
      <c r="C6" s="7" t="s">
        <v>3</v>
      </c>
      <c r="D6" s="26">
        <v>2003</v>
      </c>
      <c r="E6" s="15">
        <f t="shared" si="1"/>
        <v>116.79999999999998</v>
      </c>
      <c r="F6" s="3" t="str">
        <f t="shared" si="2"/>
        <v/>
      </c>
      <c r="G6" s="3" t="str">
        <f t="shared" si="3"/>
        <v/>
      </c>
      <c r="H6" s="116" t="str">
        <f t="shared" si="4"/>
        <v/>
      </c>
      <c r="I6" s="3" t="str">
        <f t="shared" si="5"/>
        <v/>
      </c>
      <c r="J6" s="14">
        <f t="shared" si="6"/>
        <v>58.599999999999994</v>
      </c>
      <c r="K6" s="14" t="str">
        <f t="shared" si="7"/>
        <v>2021 2nd Virtual Technical Trial</v>
      </c>
      <c r="L6" s="14">
        <f t="shared" si="8"/>
        <v>58.199999999999996</v>
      </c>
      <c r="M6" s="14" t="str">
        <f t="shared" si="9"/>
        <v>2021 2nd Virtual Technical Trial</v>
      </c>
      <c r="N6" s="14" t="str">
        <f t="shared" si="10"/>
        <v/>
      </c>
      <c r="O6" s="24" t="str">
        <f t="shared" si="11"/>
        <v/>
      </c>
      <c r="P6" s="14" t="str">
        <f t="shared" si="12"/>
        <v/>
      </c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72"/>
      <c r="AH6" s="11" t="str">
        <f t="shared" si="13"/>
        <v/>
      </c>
      <c r="AI6" s="11" t="str">
        <f t="shared" si="14"/>
        <v/>
      </c>
      <c r="AJ6" s="11" t="str">
        <f t="shared" si="15"/>
        <v/>
      </c>
      <c r="AK6" s="11" t="str">
        <f t="shared" si="16"/>
        <v/>
      </c>
      <c r="AL6" s="11" t="str">
        <f t="shared" si="17"/>
        <v/>
      </c>
      <c r="AM6" s="36">
        <v>26</v>
      </c>
      <c r="AN6" s="36">
        <v>3.6</v>
      </c>
      <c r="AO6" s="36">
        <v>0</v>
      </c>
      <c r="AP6" s="36">
        <v>0</v>
      </c>
      <c r="AQ6" s="36">
        <v>24.2</v>
      </c>
      <c r="AR6" s="36">
        <v>4.5</v>
      </c>
      <c r="AS6" s="36">
        <v>0</v>
      </c>
      <c r="AT6" s="36">
        <v>0.3</v>
      </c>
      <c r="AU6" s="36">
        <v>25.6</v>
      </c>
      <c r="AV6" s="36">
        <v>3.6</v>
      </c>
      <c r="AW6" s="36">
        <v>0</v>
      </c>
      <c r="AX6" s="36">
        <v>0</v>
      </c>
      <c r="AY6" s="36">
        <v>24.4</v>
      </c>
      <c r="AZ6" s="36">
        <v>4.3</v>
      </c>
      <c r="BA6" s="36">
        <v>0</v>
      </c>
      <c r="BB6" s="36">
        <v>0.3</v>
      </c>
      <c r="BC6" s="73"/>
      <c r="BD6" s="14">
        <f t="shared" si="18"/>
        <v>8.1</v>
      </c>
      <c r="BE6" s="14">
        <f t="shared" si="19"/>
        <v>58.599999999999994</v>
      </c>
      <c r="BF6" s="14">
        <f t="shared" si="20"/>
        <v>7.9</v>
      </c>
      <c r="BG6" s="14">
        <f t="shared" si="21"/>
        <v>58.199999999999996</v>
      </c>
      <c r="BH6" s="14">
        <f t="shared" si="22"/>
        <v>116.79999999999998</v>
      </c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37"/>
      <c r="BX6" s="37"/>
      <c r="BY6" s="72"/>
      <c r="BZ6" s="11" t="str">
        <f t="shared" si="23"/>
        <v/>
      </c>
      <c r="CA6" s="11" t="str">
        <f t="shared" si="24"/>
        <v/>
      </c>
      <c r="CB6" s="11" t="str">
        <f t="shared" si="25"/>
        <v/>
      </c>
      <c r="CC6" s="11" t="str">
        <f t="shared" si="26"/>
        <v/>
      </c>
      <c r="CD6" s="11" t="str">
        <f t="shared" si="27"/>
        <v/>
      </c>
      <c r="CE6" s="23" t="str">
        <f t="shared" si="28"/>
        <v/>
      </c>
      <c r="CF6" s="23" t="str">
        <f t="shared" si="29"/>
        <v/>
      </c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  <c r="CW6" s="11" t="str">
        <f t="shared" si="30"/>
        <v/>
      </c>
      <c r="CX6" s="11" t="str">
        <f t="shared" si="31"/>
        <v/>
      </c>
      <c r="CY6" s="11" t="str">
        <f t="shared" si="32"/>
        <v/>
      </c>
      <c r="CZ6" s="11" t="str">
        <f t="shared" si="33"/>
        <v/>
      </c>
      <c r="DA6" s="11" t="str">
        <f t="shared" si="34"/>
        <v/>
      </c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14" t="str">
        <f t="shared" si="35"/>
        <v/>
      </c>
      <c r="DS6" s="14" t="str">
        <f t="shared" si="36"/>
        <v/>
      </c>
      <c r="DT6" s="14" t="str">
        <f t="shared" si="37"/>
        <v/>
      </c>
      <c r="DU6" s="14" t="str">
        <f t="shared" si="38"/>
        <v/>
      </c>
      <c r="DV6" s="14" t="str">
        <f t="shared" si="39"/>
        <v/>
      </c>
      <c r="DW6" s="35"/>
      <c r="DX6" s="35"/>
      <c r="DY6" s="35"/>
      <c r="DZ6" s="35"/>
      <c r="EA6" s="35"/>
      <c r="EB6" s="35"/>
      <c r="EC6" s="35"/>
      <c r="ED6" s="35"/>
      <c r="EE6" s="35"/>
      <c r="EF6" s="35"/>
      <c r="EG6" s="35"/>
      <c r="EH6" s="35"/>
      <c r="EI6" s="35"/>
      <c r="EJ6" s="35"/>
      <c r="EK6" s="35"/>
      <c r="EL6" s="35"/>
      <c r="EM6" s="11" t="str">
        <f t="shared" si="40"/>
        <v/>
      </c>
      <c r="EN6" s="11" t="str">
        <f t="shared" si="41"/>
        <v/>
      </c>
      <c r="EO6" s="11" t="str">
        <f t="shared" si="42"/>
        <v/>
      </c>
      <c r="EP6" s="11" t="str">
        <f t="shared" si="43"/>
        <v/>
      </c>
      <c r="EQ6" s="11" t="str">
        <f t="shared" si="44"/>
        <v/>
      </c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14" t="str">
        <f t="shared" si="45"/>
        <v/>
      </c>
      <c r="FI6" s="14" t="str">
        <f t="shared" si="46"/>
        <v/>
      </c>
      <c r="FJ6" s="14" t="str">
        <f t="shared" si="47"/>
        <v/>
      </c>
      <c r="FK6" s="14" t="str">
        <f t="shared" si="48"/>
        <v/>
      </c>
      <c r="FL6" s="14" t="str">
        <f t="shared" si="49"/>
        <v/>
      </c>
      <c r="FM6" s="35"/>
      <c r="FN6" s="35"/>
      <c r="FO6" s="35"/>
      <c r="FP6" s="35"/>
      <c r="FQ6" s="35"/>
      <c r="FR6" s="35"/>
      <c r="FS6" s="35"/>
      <c r="FT6" s="35"/>
      <c r="FU6" s="35"/>
      <c r="FV6" s="35"/>
      <c r="FW6" s="35"/>
      <c r="FX6" s="35"/>
      <c r="FY6" s="35"/>
      <c r="FZ6" s="35"/>
      <c r="GA6" s="35"/>
      <c r="GB6" s="35"/>
      <c r="GC6" s="11" t="str">
        <f t="shared" si="50"/>
        <v/>
      </c>
      <c r="GD6" s="11" t="str">
        <f t="shared" si="51"/>
        <v/>
      </c>
      <c r="GE6" s="11" t="str">
        <f t="shared" si="52"/>
        <v/>
      </c>
      <c r="GF6" s="11" t="str">
        <f t="shared" si="53"/>
        <v/>
      </c>
      <c r="GG6" s="11" t="str">
        <f t="shared" si="54"/>
        <v/>
      </c>
      <c r="GH6" s="36"/>
      <c r="GI6" s="36"/>
      <c r="GJ6" s="36"/>
      <c r="GK6" s="36"/>
      <c r="GL6" s="36"/>
      <c r="GM6" s="36"/>
      <c r="GN6" s="36"/>
      <c r="GO6" s="36"/>
      <c r="GP6" s="36"/>
      <c r="GQ6" s="36"/>
      <c r="GR6" s="36"/>
      <c r="GS6" s="36"/>
      <c r="GT6" s="36"/>
      <c r="GU6" s="36"/>
      <c r="GV6" s="36"/>
      <c r="GW6" s="36"/>
      <c r="GX6" s="14" t="str">
        <f t="shared" si="55"/>
        <v/>
      </c>
      <c r="GY6" s="14" t="str">
        <f t="shared" si="56"/>
        <v/>
      </c>
      <c r="GZ6" s="14" t="str">
        <f t="shared" si="57"/>
        <v/>
      </c>
      <c r="HA6" s="14" t="str">
        <f t="shared" si="58"/>
        <v/>
      </c>
      <c r="HB6" s="14" t="str">
        <f t="shared" si="59"/>
        <v/>
      </c>
      <c r="HC6" s="35"/>
      <c r="HD6" s="35"/>
      <c r="HE6" s="35"/>
      <c r="HF6" s="35"/>
      <c r="HG6" s="35"/>
      <c r="HH6" s="35"/>
      <c r="HI6" s="35"/>
      <c r="HJ6" s="35"/>
      <c r="HK6" s="35"/>
      <c r="HL6" s="35"/>
      <c r="HM6" s="35"/>
      <c r="HN6" s="35"/>
      <c r="HO6" s="35"/>
      <c r="HP6" s="35"/>
      <c r="HQ6" s="35"/>
      <c r="HR6" s="35"/>
      <c r="HS6" s="11" t="str">
        <f t="shared" si="60"/>
        <v/>
      </c>
      <c r="HT6" s="11" t="str">
        <f t="shared" si="61"/>
        <v/>
      </c>
      <c r="HU6" s="11" t="str">
        <f t="shared" si="62"/>
        <v/>
      </c>
      <c r="HV6" s="11" t="str">
        <f t="shared" si="63"/>
        <v/>
      </c>
      <c r="HW6" s="11" t="str">
        <f t="shared" si="64"/>
        <v/>
      </c>
      <c r="HX6" s="36"/>
      <c r="HY6" s="36"/>
      <c r="HZ6" s="36"/>
      <c r="IA6" s="36"/>
      <c r="IB6" s="36"/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14" t="str">
        <f t="shared" si="65"/>
        <v/>
      </c>
      <c r="IO6" s="14" t="str">
        <f t="shared" si="66"/>
        <v/>
      </c>
      <c r="IP6" s="14" t="str">
        <f t="shared" si="67"/>
        <v/>
      </c>
      <c r="IQ6" s="14" t="str">
        <f t="shared" si="68"/>
        <v/>
      </c>
      <c r="IR6" s="14" t="str">
        <f t="shared" si="69"/>
        <v/>
      </c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35"/>
      <c r="JD6" s="35"/>
      <c r="JE6" s="35"/>
      <c r="JF6" s="35"/>
      <c r="JG6" s="35"/>
      <c r="JH6" s="35"/>
      <c r="JI6" s="11" t="str">
        <f t="shared" si="70"/>
        <v/>
      </c>
      <c r="JJ6" s="11" t="str">
        <f t="shared" si="71"/>
        <v/>
      </c>
      <c r="JK6" s="11" t="str">
        <f t="shared" si="72"/>
        <v/>
      </c>
      <c r="JL6" s="11" t="str">
        <f t="shared" si="73"/>
        <v/>
      </c>
      <c r="JM6" s="11" t="str">
        <f t="shared" si="74"/>
        <v/>
      </c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14" t="str">
        <f t="shared" si="75"/>
        <v/>
      </c>
      <c r="KE6" s="14" t="str">
        <f t="shared" si="76"/>
        <v/>
      </c>
      <c r="KF6" s="14" t="str">
        <f t="shared" si="77"/>
        <v/>
      </c>
      <c r="KG6" s="14" t="str">
        <f t="shared" si="78"/>
        <v/>
      </c>
      <c r="KH6" s="14" t="str">
        <f t="shared" si="79"/>
        <v/>
      </c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35"/>
      <c r="KV6" s="35"/>
      <c r="KW6" s="35"/>
      <c r="KX6" s="35"/>
      <c r="KY6" s="11" t="str">
        <f t="shared" si="80"/>
        <v/>
      </c>
      <c r="KZ6" s="11" t="str">
        <f t="shared" si="81"/>
        <v/>
      </c>
      <c r="LA6" s="11" t="str">
        <f t="shared" si="82"/>
        <v/>
      </c>
      <c r="LB6" s="11" t="str">
        <f t="shared" si="83"/>
        <v/>
      </c>
      <c r="LC6" s="11" t="str">
        <f t="shared" si="84"/>
        <v/>
      </c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36"/>
      <c r="LR6" s="36"/>
      <c r="LS6" s="36"/>
      <c r="LT6" s="14" t="str">
        <f t="shared" si="85"/>
        <v/>
      </c>
      <c r="LU6" s="14" t="str">
        <f t="shared" si="86"/>
        <v/>
      </c>
      <c r="LV6" s="14" t="str">
        <f t="shared" si="87"/>
        <v/>
      </c>
      <c r="LW6" s="14" t="str">
        <f t="shared" si="88"/>
        <v/>
      </c>
      <c r="LX6" s="14" t="str">
        <f t="shared" si="89"/>
        <v/>
      </c>
      <c r="LY6" s="61">
        <f t="shared" si="90"/>
        <v>13</v>
      </c>
      <c r="LZ6" s="61">
        <f t="shared" si="91"/>
        <v>1.8</v>
      </c>
      <c r="MA6" s="61">
        <f t="shared" si="92"/>
        <v>0</v>
      </c>
      <c r="MB6" s="61">
        <f t="shared" si="93"/>
        <v>0</v>
      </c>
      <c r="MC6" s="61">
        <f t="shared" si="94"/>
        <v>12.1</v>
      </c>
      <c r="MD6" s="61">
        <f t="shared" si="95"/>
        <v>2.25</v>
      </c>
      <c r="ME6" s="61">
        <f t="shared" si="96"/>
        <v>0</v>
      </c>
      <c r="MF6" s="61">
        <f t="shared" si="97"/>
        <v>0.15</v>
      </c>
      <c r="MG6" s="61">
        <f t="shared" si="98"/>
        <v>12.8</v>
      </c>
      <c r="MH6" s="61">
        <f t="shared" si="99"/>
        <v>1.8</v>
      </c>
      <c r="MI6" s="61">
        <f t="shared" si="100"/>
        <v>0</v>
      </c>
      <c r="MJ6" s="61">
        <f t="shared" si="101"/>
        <v>0</v>
      </c>
      <c r="MK6" s="61">
        <f t="shared" si="102"/>
        <v>12.2</v>
      </c>
      <c r="ML6" s="61">
        <f t="shared" si="103"/>
        <v>2.15</v>
      </c>
      <c r="MM6" s="61">
        <f t="shared" si="104"/>
        <v>0</v>
      </c>
      <c r="MN6" s="61">
        <f t="shared" si="105"/>
        <v>0.15</v>
      </c>
      <c r="MO6" s="72" t="s">
        <v>52</v>
      </c>
      <c r="MP6" s="11">
        <f t="shared" si="106"/>
        <v>4.05</v>
      </c>
      <c r="MQ6" s="11">
        <f t="shared" si="107"/>
        <v>29.299999999999997</v>
      </c>
      <c r="MR6" s="11">
        <f t="shared" si="108"/>
        <v>3.95</v>
      </c>
      <c r="MS6" s="11">
        <f t="shared" si="109"/>
        <v>29.099999999999998</v>
      </c>
      <c r="MT6" s="11">
        <f t="shared" si="110"/>
        <v>58.399999999999991</v>
      </c>
    </row>
    <row r="7" spans="1:358" x14ac:dyDescent="0.2">
      <c r="A7" s="5" t="str">
        <f t="shared" si="0"/>
        <v/>
      </c>
      <c r="B7" s="6" t="s">
        <v>133</v>
      </c>
      <c r="C7" s="7" t="s">
        <v>4</v>
      </c>
      <c r="D7" s="26">
        <v>2002</v>
      </c>
      <c r="E7" s="15">
        <f t="shared" si="1"/>
        <v>115.69999999999999</v>
      </c>
      <c r="F7" s="3" t="str">
        <f t="shared" si="2"/>
        <v/>
      </c>
      <c r="G7" s="3" t="str">
        <f t="shared" si="3"/>
        <v/>
      </c>
      <c r="H7" s="116" t="str">
        <f t="shared" si="4"/>
        <v/>
      </c>
      <c r="I7" s="3" t="str">
        <f t="shared" si="5"/>
        <v/>
      </c>
      <c r="J7" s="14">
        <f t="shared" si="6"/>
        <v>59.4</v>
      </c>
      <c r="K7" s="14" t="str">
        <f t="shared" si="7"/>
        <v>2021 2nd Virtual Technical Trial</v>
      </c>
      <c r="L7" s="14">
        <f t="shared" si="8"/>
        <v>56.3</v>
      </c>
      <c r="M7" s="14" t="str">
        <f t="shared" si="9"/>
        <v/>
      </c>
      <c r="N7" s="14" t="str">
        <f t="shared" si="10"/>
        <v/>
      </c>
      <c r="O7" s="24" t="str">
        <f t="shared" si="11"/>
        <v/>
      </c>
      <c r="P7" s="14" t="str">
        <f t="shared" si="12"/>
        <v/>
      </c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72"/>
      <c r="AH7" s="11" t="str">
        <f t="shared" si="13"/>
        <v/>
      </c>
      <c r="AI7" s="11" t="str">
        <f t="shared" si="14"/>
        <v/>
      </c>
      <c r="AJ7" s="11" t="str">
        <f t="shared" si="15"/>
        <v/>
      </c>
      <c r="AK7" s="11" t="str">
        <f t="shared" si="16"/>
        <v/>
      </c>
      <c r="AL7" s="11" t="str">
        <f t="shared" si="17"/>
        <v/>
      </c>
      <c r="AM7" s="36">
        <v>25</v>
      </c>
      <c r="AN7" s="36">
        <v>3.9</v>
      </c>
      <c r="AO7" s="36">
        <v>0</v>
      </c>
      <c r="AP7" s="36">
        <v>0.3</v>
      </c>
      <c r="AQ7" s="36">
        <v>25.8</v>
      </c>
      <c r="AR7" s="36">
        <v>4.0999999999999996</v>
      </c>
      <c r="AS7" s="36">
        <v>0</v>
      </c>
      <c r="AT7" s="36">
        <v>0.3</v>
      </c>
      <c r="AU7" s="36">
        <v>26.4</v>
      </c>
      <c r="AV7" s="36">
        <v>1.7</v>
      </c>
      <c r="AW7" s="36">
        <v>1.3</v>
      </c>
      <c r="AX7" s="36">
        <v>0</v>
      </c>
      <c r="AY7" s="36">
        <v>25.4</v>
      </c>
      <c r="AZ7" s="36">
        <v>3.2</v>
      </c>
      <c r="BA7" s="36">
        <v>0.3</v>
      </c>
      <c r="BB7" s="36">
        <v>0</v>
      </c>
      <c r="BC7" s="73"/>
      <c r="BD7" s="14">
        <f t="shared" si="18"/>
        <v>8</v>
      </c>
      <c r="BE7" s="14">
        <f t="shared" si="19"/>
        <v>59.4</v>
      </c>
      <c r="BF7" s="14">
        <f t="shared" si="20"/>
        <v>4.9000000000000004</v>
      </c>
      <c r="BG7" s="14">
        <f t="shared" si="21"/>
        <v>55.1</v>
      </c>
      <c r="BH7" s="14">
        <f t="shared" si="22"/>
        <v>114.5</v>
      </c>
      <c r="BI7" s="37">
        <v>23.7</v>
      </c>
      <c r="BJ7" s="37">
        <v>3.9</v>
      </c>
      <c r="BK7" s="37">
        <v>0</v>
      </c>
      <c r="BL7" s="37">
        <v>0.3</v>
      </c>
      <c r="BM7" s="37">
        <v>24.7</v>
      </c>
      <c r="BN7" s="37">
        <v>4.0999999999999996</v>
      </c>
      <c r="BO7" s="37">
        <v>0</v>
      </c>
      <c r="BP7" s="37">
        <v>0.3</v>
      </c>
      <c r="BQ7" s="37">
        <v>24.6</v>
      </c>
      <c r="BR7" s="37">
        <v>3.9</v>
      </c>
      <c r="BS7" s="37">
        <v>0</v>
      </c>
      <c r="BT7" s="37">
        <v>0.3</v>
      </c>
      <c r="BU7" s="37">
        <v>23.7</v>
      </c>
      <c r="BV7" s="37">
        <v>4.0999999999999996</v>
      </c>
      <c r="BW7" s="37">
        <v>0.6</v>
      </c>
      <c r="BX7" s="37">
        <v>0.3</v>
      </c>
      <c r="BY7" s="72"/>
      <c r="BZ7" s="11">
        <f t="shared" si="23"/>
        <v>8</v>
      </c>
      <c r="CA7" s="11">
        <f t="shared" si="24"/>
        <v>56.999999999999993</v>
      </c>
      <c r="CB7" s="11">
        <f t="shared" si="25"/>
        <v>8</v>
      </c>
      <c r="CC7" s="11">
        <f t="shared" si="26"/>
        <v>56.3</v>
      </c>
      <c r="CD7" s="11">
        <f t="shared" si="27"/>
        <v>113.29999999999998</v>
      </c>
      <c r="CE7" s="23" t="str">
        <f t="shared" si="28"/>
        <v/>
      </c>
      <c r="CF7" s="23" t="str">
        <f t="shared" si="29"/>
        <v/>
      </c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11" t="str">
        <f t="shared" si="30"/>
        <v/>
      </c>
      <c r="CX7" s="11" t="str">
        <f t="shared" si="31"/>
        <v/>
      </c>
      <c r="CY7" s="11" t="str">
        <f t="shared" si="32"/>
        <v/>
      </c>
      <c r="CZ7" s="11" t="str">
        <f t="shared" si="33"/>
        <v/>
      </c>
      <c r="DA7" s="11" t="str">
        <f t="shared" si="34"/>
        <v/>
      </c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14" t="str">
        <f t="shared" si="35"/>
        <v/>
      </c>
      <c r="DS7" s="14" t="str">
        <f t="shared" si="36"/>
        <v/>
      </c>
      <c r="DT7" s="14" t="str">
        <f t="shared" si="37"/>
        <v/>
      </c>
      <c r="DU7" s="14" t="str">
        <f t="shared" si="38"/>
        <v/>
      </c>
      <c r="DV7" s="14" t="str">
        <f t="shared" si="39"/>
        <v/>
      </c>
      <c r="DW7" s="35"/>
      <c r="DX7" s="35"/>
      <c r="DY7" s="35"/>
      <c r="DZ7" s="35"/>
      <c r="EA7" s="35"/>
      <c r="EB7" s="35"/>
      <c r="EC7" s="35"/>
      <c r="ED7" s="35"/>
      <c r="EE7" s="35"/>
      <c r="EF7" s="35"/>
      <c r="EG7" s="35"/>
      <c r="EH7" s="35"/>
      <c r="EI7" s="35"/>
      <c r="EJ7" s="35"/>
      <c r="EK7" s="35"/>
      <c r="EL7" s="35"/>
      <c r="EM7" s="11" t="str">
        <f t="shared" si="40"/>
        <v/>
      </c>
      <c r="EN7" s="11" t="str">
        <f t="shared" si="41"/>
        <v/>
      </c>
      <c r="EO7" s="11" t="str">
        <f t="shared" si="42"/>
        <v/>
      </c>
      <c r="EP7" s="11" t="str">
        <f t="shared" si="43"/>
        <v/>
      </c>
      <c r="EQ7" s="11" t="str">
        <f t="shared" si="44"/>
        <v/>
      </c>
      <c r="ER7" s="36"/>
      <c r="ES7" s="36"/>
      <c r="ET7" s="36"/>
      <c r="EU7" s="36"/>
      <c r="EV7" s="36"/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14" t="str">
        <f t="shared" si="45"/>
        <v/>
      </c>
      <c r="FI7" s="14" t="str">
        <f t="shared" si="46"/>
        <v/>
      </c>
      <c r="FJ7" s="14" t="str">
        <f t="shared" si="47"/>
        <v/>
      </c>
      <c r="FK7" s="14" t="str">
        <f t="shared" si="48"/>
        <v/>
      </c>
      <c r="FL7" s="14" t="str">
        <f t="shared" si="49"/>
        <v/>
      </c>
      <c r="FM7" s="35"/>
      <c r="FN7" s="35"/>
      <c r="FO7" s="35"/>
      <c r="FP7" s="35"/>
      <c r="FQ7" s="35"/>
      <c r="FR7" s="35"/>
      <c r="FS7" s="35"/>
      <c r="FT7" s="35"/>
      <c r="FU7" s="35"/>
      <c r="FV7" s="35"/>
      <c r="FW7" s="35"/>
      <c r="FX7" s="35"/>
      <c r="FY7" s="35"/>
      <c r="FZ7" s="35"/>
      <c r="GA7" s="35"/>
      <c r="GB7" s="35"/>
      <c r="GC7" s="11" t="str">
        <f t="shared" si="50"/>
        <v/>
      </c>
      <c r="GD7" s="11" t="str">
        <f t="shared" si="51"/>
        <v/>
      </c>
      <c r="GE7" s="11" t="str">
        <f t="shared" si="52"/>
        <v/>
      </c>
      <c r="GF7" s="11" t="str">
        <f t="shared" si="53"/>
        <v/>
      </c>
      <c r="GG7" s="11" t="str">
        <f t="shared" si="54"/>
        <v/>
      </c>
      <c r="GH7" s="36"/>
      <c r="GI7" s="36"/>
      <c r="GJ7" s="36"/>
      <c r="GK7" s="36"/>
      <c r="GL7" s="36"/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14" t="str">
        <f t="shared" si="55"/>
        <v/>
      </c>
      <c r="GY7" s="14" t="str">
        <f t="shared" si="56"/>
        <v/>
      </c>
      <c r="GZ7" s="14" t="str">
        <f t="shared" si="57"/>
        <v/>
      </c>
      <c r="HA7" s="14" t="str">
        <f t="shared" si="58"/>
        <v/>
      </c>
      <c r="HB7" s="14" t="str">
        <f t="shared" si="59"/>
        <v/>
      </c>
      <c r="HC7" s="35"/>
      <c r="HD7" s="35"/>
      <c r="HE7" s="35"/>
      <c r="HF7" s="35"/>
      <c r="HG7" s="35"/>
      <c r="HH7" s="35"/>
      <c r="HI7" s="35"/>
      <c r="HJ7" s="35"/>
      <c r="HK7" s="35"/>
      <c r="HL7" s="35"/>
      <c r="HM7" s="35"/>
      <c r="HN7" s="35"/>
      <c r="HO7" s="35"/>
      <c r="HP7" s="35"/>
      <c r="HQ7" s="35"/>
      <c r="HR7" s="35"/>
      <c r="HS7" s="11" t="str">
        <f t="shared" si="60"/>
        <v/>
      </c>
      <c r="HT7" s="11" t="str">
        <f t="shared" si="61"/>
        <v/>
      </c>
      <c r="HU7" s="11" t="str">
        <f t="shared" si="62"/>
        <v/>
      </c>
      <c r="HV7" s="11" t="str">
        <f t="shared" si="63"/>
        <v/>
      </c>
      <c r="HW7" s="11" t="str">
        <f t="shared" si="64"/>
        <v/>
      </c>
      <c r="HX7" s="36"/>
      <c r="HY7" s="36"/>
      <c r="HZ7" s="36"/>
      <c r="IA7" s="36"/>
      <c r="IB7" s="36"/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14" t="str">
        <f t="shared" si="65"/>
        <v/>
      </c>
      <c r="IO7" s="14" t="str">
        <f t="shared" si="66"/>
        <v/>
      </c>
      <c r="IP7" s="14" t="str">
        <f t="shared" si="67"/>
        <v/>
      </c>
      <c r="IQ7" s="14" t="str">
        <f t="shared" si="68"/>
        <v/>
      </c>
      <c r="IR7" s="14" t="str">
        <f t="shared" si="69"/>
        <v/>
      </c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35"/>
      <c r="JD7" s="35"/>
      <c r="JE7" s="35"/>
      <c r="JF7" s="35"/>
      <c r="JG7" s="35"/>
      <c r="JH7" s="35"/>
      <c r="JI7" s="11" t="str">
        <f t="shared" si="70"/>
        <v/>
      </c>
      <c r="JJ7" s="11" t="str">
        <f t="shared" si="71"/>
        <v/>
      </c>
      <c r="JK7" s="11" t="str">
        <f t="shared" si="72"/>
        <v/>
      </c>
      <c r="JL7" s="11" t="str">
        <f t="shared" si="73"/>
        <v/>
      </c>
      <c r="JM7" s="11" t="str">
        <f t="shared" si="74"/>
        <v/>
      </c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14" t="str">
        <f t="shared" si="75"/>
        <v/>
      </c>
      <c r="KE7" s="14" t="str">
        <f t="shared" si="76"/>
        <v/>
      </c>
      <c r="KF7" s="14" t="str">
        <f t="shared" si="77"/>
        <v/>
      </c>
      <c r="KG7" s="14" t="str">
        <f t="shared" si="78"/>
        <v/>
      </c>
      <c r="KH7" s="14" t="str">
        <f t="shared" si="79"/>
        <v/>
      </c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35"/>
      <c r="KV7" s="35"/>
      <c r="KW7" s="35"/>
      <c r="KX7" s="35"/>
      <c r="KY7" s="11" t="str">
        <f t="shared" si="80"/>
        <v/>
      </c>
      <c r="KZ7" s="11" t="str">
        <f t="shared" si="81"/>
        <v/>
      </c>
      <c r="LA7" s="11" t="str">
        <f t="shared" si="82"/>
        <v/>
      </c>
      <c r="LB7" s="11" t="str">
        <f t="shared" si="83"/>
        <v/>
      </c>
      <c r="LC7" s="11" t="str">
        <f t="shared" si="84"/>
        <v/>
      </c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36"/>
      <c r="LR7" s="36"/>
      <c r="LS7" s="36"/>
      <c r="LT7" s="14" t="str">
        <f t="shared" si="85"/>
        <v/>
      </c>
      <c r="LU7" s="14" t="str">
        <f t="shared" si="86"/>
        <v/>
      </c>
      <c r="LV7" s="14" t="str">
        <f t="shared" si="87"/>
        <v/>
      </c>
      <c r="LW7" s="14" t="str">
        <f t="shared" si="88"/>
        <v/>
      </c>
      <c r="LX7" s="14" t="str">
        <f t="shared" si="89"/>
        <v/>
      </c>
      <c r="LY7" s="61">
        <f t="shared" si="90"/>
        <v>24.35</v>
      </c>
      <c r="LZ7" s="61">
        <f t="shared" si="91"/>
        <v>3.9</v>
      </c>
      <c r="MA7" s="61">
        <f t="shared" si="92"/>
        <v>0</v>
      </c>
      <c r="MB7" s="61">
        <f t="shared" si="93"/>
        <v>0.3</v>
      </c>
      <c r="MC7" s="61">
        <f t="shared" si="94"/>
        <v>25.25</v>
      </c>
      <c r="MD7" s="61">
        <f t="shared" si="95"/>
        <v>4.0999999999999996</v>
      </c>
      <c r="ME7" s="61">
        <f t="shared" si="96"/>
        <v>0</v>
      </c>
      <c r="MF7" s="61">
        <f t="shared" si="97"/>
        <v>0.3</v>
      </c>
      <c r="MG7" s="61">
        <f t="shared" si="98"/>
        <v>25.5</v>
      </c>
      <c r="MH7" s="61">
        <f t="shared" si="99"/>
        <v>2.8</v>
      </c>
      <c r="MI7" s="61">
        <f t="shared" si="100"/>
        <v>0.65</v>
      </c>
      <c r="MJ7" s="61">
        <f t="shared" si="101"/>
        <v>0.15</v>
      </c>
      <c r="MK7" s="61">
        <f t="shared" si="102"/>
        <v>24.549999999999997</v>
      </c>
      <c r="ML7" s="61">
        <f t="shared" si="103"/>
        <v>3.65</v>
      </c>
      <c r="MM7" s="61">
        <f t="shared" si="104"/>
        <v>0.44999999999999996</v>
      </c>
      <c r="MN7" s="61">
        <f t="shared" si="105"/>
        <v>0.15</v>
      </c>
      <c r="MO7" s="72" t="s">
        <v>52</v>
      </c>
      <c r="MP7" s="11">
        <f t="shared" si="106"/>
        <v>8</v>
      </c>
      <c r="MQ7" s="11">
        <f t="shared" si="107"/>
        <v>58.199999999999996</v>
      </c>
      <c r="MR7" s="11">
        <f t="shared" si="108"/>
        <v>6.4499999999999993</v>
      </c>
      <c r="MS7" s="11">
        <f t="shared" si="109"/>
        <v>55.699999999999996</v>
      </c>
      <c r="MT7" s="11">
        <f t="shared" si="110"/>
        <v>113.89999999999999</v>
      </c>
    </row>
    <row r="8" spans="1:358" x14ac:dyDescent="0.2">
      <c r="A8" s="5" t="str">
        <f t="shared" si="0"/>
        <v/>
      </c>
      <c r="B8" s="6" t="s">
        <v>85</v>
      </c>
      <c r="C8" s="7" t="s">
        <v>3</v>
      </c>
      <c r="D8" s="26">
        <v>2004</v>
      </c>
      <c r="E8" s="15">
        <f t="shared" si="1"/>
        <v>115.6</v>
      </c>
      <c r="F8" s="3" t="str">
        <f t="shared" si="2"/>
        <v/>
      </c>
      <c r="G8" s="3" t="str">
        <f t="shared" si="3"/>
        <v/>
      </c>
      <c r="H8" s="116" t="str">
        <f t="shared" si="4"/>
        <v/>
      </c>
      <c r="I8" s="3" t="str">
        <f t="shared" si="5"/>
        <v/>
      </c>
      <c r="J8" s="14">
        <f t="shared" si="6"/>
        <v>57.699999999999996</v>
      </c>
      <c r="K8" s="14" t="str">
        <f t="shared" si="7"/>
        <v>2021 2nd Virtual Technical Trial</v>
      </c>
      <c r="L8" s="14">
        <f t="shared" si="8"/>
        <v>57.9</v>
      </c>
      <c r="M8" s="14" t="str">
        <f t="shared" si="9"/>
        <v>2021 2nd Virtual Technical Trial</v>
      </c>
      <c r="N8" s="14" t="str">
        <f t="shared" si="10"/>
        <v/>
      </c>
      <c r="O8" s="24" t="str">
        <f t="shared" si="11"/>
        <v/>
      </c>
      <c r="P8" s="14" t="str">
        <f t="shared" si="12"/>
        <v/>
      </c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72"/>
      <c r="AH8" s="11" t="str">
        <f t="shared" si="13"/>
        <v/>
      </c>
      <c r="AI8" s="11" t="str">
        <f t="shared" si="14"/>
        <v/>
      </c>
      <c r="AJ8" s="11" t="str">
        <f t="shared" si="15"/>
        <v/>
      </c>
      <c r="AK8" s="11" t="str">
        <f t="shared" si="16"/>
        <v/>
      </c>
      <c r="AL8" s="11" t="str">
        <f t="shared" si="17"/>
        <v/>
      </c>
      <c r="AM8" s="36">
        <v>25.6</v>
      </c>
      <c r="AN8" s="36">
        <v>3.6</v>
      </c>
      <c r="AO8" s="36">
        <v>0</v>
      </c>
      <c r="AP8" s="36">
        <v>0</v>
      </c>
      <c r="AQ8" s="36">
        <v>23.9</v>
      </c>
      <c r="AR8" s="36">
        <v>4.3</v>
      </c>
      <c r="AS8" s="36">
        <v>0</v>
      </c>
      <c r="AT8" s="36">
        <v>0.3</v>
      </c>
      <c r="AU8" s="36">
        <v>25.6</v>
      </c>
      <c r="AV8" s="36">
        <v>3.2</v>
      </c>
      <c r="AW8" s="36">
        <v>0.4</v>
      </c>
      <c r="AX8" s="36">
        <v>0</v>
      </c>
      <c r="AY8" s="36">
        <v>24.9</v>
      </c>
      <c r="AZ8" s="36">
        <v>4.3</v>
      </c>
      <c r="BA8" s="36">
        <v>0</v>
      </c>
      <c r="BB8" s="36">
        <v>0.3</v>
      </c>
      <c r="BC8" s="73"/>
      <c r="BD8" s="14">
        <f t="shared" si="18"/>
        <v>7.9</v>
      </c>
      <c r="BE8" s="14">
        <f t="shared" si="19"/>
        <v>57.699999999999996</v>
      </c>
      <c r="BF8" s="14">
        <f t="shared" si="20"/>
        <v>7.5</v>
      </c>
      <c r="BG8" s="14">
        <f t="shared" si="21"/>
        <v>57.9</v>
      </c>
      <c r="BH8" s="14">
        <f t="shared" si="22"/>
        <v>115.6</v>
      </c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7"/>
      <c r="BU8" s="37"/>
      <c r="BV8" s="37"/>
      <c r="BW8" s="37"/>
      <c r="BX8" s="37"/>
      <c r="BY8" s="72"/>
      <c r="BZ8" s="11" t="str">
        <f t="shared" si="23"/>
        <v/>
      </c>
      <c r="CA8" s="11" t="str">
        <f t="shared" si="24"/>
        <v/>
      </c>
      <c r="CB8" s="11" t="str">
        <f t="shared" si="25"/>
        <v/>
      </c>
      <c r="CC8" s="11" t="str">
        <f t="shared" si="26"/>
        <v/>
      </c>
      <c r="CD8" s="11" t="str">
        <f t="shared" si="27"/>
        <v/>
      </c>
      <c r="CE8" s="23" t="str">
        <f t="shared" si="28"/>
        <v/>
      </c>
      <c r="CF8" s="23" t="str">
        <f t="shared" si="29"/>
        <v/>
      </c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11" t="str">
        <f t="shared" si="30"/>
        <v/>
      </c>
      <c r="CX8" s="11" t="str">
        <f t="shared" si="31"/>
        <v/>
      </c>
      <c r="CY8" s="11" t="str">
        <f t="shared" si="32"/>
        <v/>
      </c>
      <c r="CZ8" s="11" t="str">
        <f t="shared" si="33"/>
        <v/>
      </c>
      <c r="DA8" s="11" t="str">
        <f t="shared" si="34"/>
        <v/>
      </c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  <c r="DM8" s="36"/>
      <c r="DN8" s="36"/>
      <c r="DO8" s="36"/>
      <c r="DP8" s="36"/>
      <c r="DQ8" s="36"/>
      <c r="DR8" s="14" t="str">
        <f t="shared" si="35"/>
        <v/>
      </c>
      <c r="DS8" s="14" t="str">
        <f t="shared" si="36"/>
        <v/>
      </c>
      <c r="DT8" s="14" t="str">
        <f t="shared" si="37"/>
        <v/>
      </c>
      <c r="DU8" s="14" t="str">
        <f t="shared" si="38"/>
        <v/>
      </c>
      <c r="DV8" s="14" t="str">
        <f t="shared" si="39"/>
        <v/>
      </c>
      <c r="DW8" s="35"/>
      <c r="DX8" s="35"/>
      <c r="DY8" s="35"/>
      <c r="DZ8" s="35"/>
      <c r="EA8" s="35"/>
      <c r="EB8" s="35"/>
      <c r="EC8" s="35"/>
      <c r="ED8" s="35"/>
      <c r="EE8" s="35"/>
      <c r="EF8" s="35"/>
      <c r="EG8" s="35"/>
      <c r="EH8" s="35"/>
      <c r="EI8" s="35"/>
      <c r="EJ8" s="35"/>
      <c r="EK8" s="35"/>
      <c r="EL8" s="35"/>
      <c r="EM8" s="11" t="str">
        <f t="shared" si="40"/>
        <v/>
      </c>
      <c r="EN8" s="11" t="str">
        <f t="shared" si="41"/>
        <v/>
      </c>
      <c r="EO8" s="11" t="str">
        <f t="shared" si="42"/>
        <v/>
      </c>
      <c r="EP8" s="11" t="str">
        <f t="shared" si="43"/>
        <v/>
      </c>
      <c r="EQ8" s="11" t="str">
        <f t="shared" si="44"/>
        <v/>
      </c>
      <c r="ER8" s="36"/>
      <c r="ES8" s="36"/>
      <c r="ET8" s="36"/>
      <c r="EU8" s="36"/>
      <c r="EV8" s="36"/>
      <c r="EW8" s="36"/>
      <c r="EX8" s="36"/>
      <c r="EY8" s="36"/>
      <c r="EZ8" s="36"/>
      <c r="FA8" s="36"/>
      <c r="FB8" s="36"/>
      <c r="FC8" s="36"/>
      <c r="FD8" s="36"/>
      <c r="FE8" s="36"/>
      <c r="FF8" s="36"/>
      <c r="FG8" s="36"/>
      <c r="FH8" s="14" t="str">
        <f t="shared" si="45"/>
        <v/>
      </c>
      <c r="FI8" s="14" t="str">
        <f t="shared" si="46"/>
        <v/>
      </c>
      <c r="FJ8" s="14" t="str">
        <f t="shared" si="47"/>
        <v/>
      </c>
      <c r="FK8" s="14" t="str">
        <f t="shared" si="48"/>
        <v/>
      </c>
      <c r="FL8" s="14" t="str">
        <f t="shared" si="49"/>
        <v/>
      </c>
      <c r="FM8" s="35"/>
      <c r="FN8" s="35"/>
      <c r="FO8" s="35"/>
      <c r="FP8" s="35"/>
      <c r="FQ8" s="35"/>
      <c r="FR8" s="35"/>
      <c r="FS8" s="35"/>
      <c r="FT8" s="35"/>
      <c r="FU8" s="35"/>
      <c r="FV8" s="35"/>
      <c r="FW8" s="35"/>
      <c r="FX8" s="35"/>
      <c r="FY8" s="35"/>
      <c r="FZ8" s="35"/>
      <c r="GA8" s="35"/>
      <c r="GB8" s="35"/>
      <c r="GC8" s="11" t="str">
        <f t="shared" si="50"/>
        <v/>
      </c>
      <c r="GD8" s="11" t="str">
        <f t="shared" si="51"/>
        <v/>
      </c>
      <c r="GE8" s="11" t="str">
        <f t="shared" si="52"/>
        <v/>
      </c>
      <c r="GF8" s="11" t="str">
        <f t="shared" si="53"/>
        <v/>
      </c>
      <c r="GG8" s="11" t="str">
        <f t="shared" si="54"/>
        <v/>
      </c>
      <c r="GH8" s="36"/>
      <c r="GI8" s="36"/>
      <c r="GJ8" s="36"/>
      <c r="GK8" s="36"/>
      <c r="GL8" s="36"/>
      <c r="GM8" s="36"/>
      <c r="GN8" s="36"/>
      <c r="GO8" s="36"/>
      <c r="GP8" s="36"/>
      <c r="GQ8" s="36"/>
      <c r="GR8" s="36"/>
      <c r="GS8" s="36"/>
      <c r="GT8" s="36"/>
      <c r="GU8" s="36"/>
      <c r="GV8" s="36"/>
      <c r="GW8" s="36"/>
      <c r="GX8" s="14" t="str">
        <f t="shared" si="55"/>
        <v/>
      </c>
      <c r="GY8" s="14" t="str">
        <f t="shared" si="56"/>
        <v/>
      </c>
      <c r="GZ8" s="14" t="str">
        <f t="shared" si="57"/>
        <v/>
      </c>
      <c r="HA8" s="14" t="str">
        <f t="shared" si="58"/>
        <v/>
      </c>
      <c r="HB8" s="14" t="str">
        <f t="shared" si="59"/>
        <v/>
      </c>
      <c r="HC8" s="35"/>
      <c r="HD8" s="35"/>
      <c r="HE8" s="35"/>
      <c r="HF8" s="35"/>
      <c r="HG8" s="35"/>
      <c r="HH8" s="35"/>
      <c r="HI8" s="35"/>
      <c r="HJ8" s="35"/>
      <c r="HK8" s="35"/>
      <c r="HL8" s="35"/>
      <c r="HM8" s="35"/>
      <c r="HN8" s="35"/>
      <c r="HO8" s="35"/>
      <c r="HP8" s="35"/>
      <c r="HQ8" s="35"/>
      <c r="HR8" s="35"/>
      <c r="HS8" s="11" t="str">
        <f t="shared" si="60"/>
        <v/>
      </c>
      <c r="HT8" s="11" t="str">
        <f t="shared" si="61"/>
        <v/>
      </c>
      <c r="HU8" s="11" t="str">
        <f t="shared" si="62"/>
        <v/>
      </c>
      <c r="HV8" s="11" t="str">
        <f t="shared" si="63"/>
        <v/>
      </c>
      <c r="HW8" s="11" t="str">
        <f t="shared" si="64"/>
        <v/>
      </c>
      <c r="HX8" s="36"/>
      <c r="HY8" s="36"/>
      <c r="HZ8" s="36"/>
      <c r="IA8" s="36"/>
      <c r="IB8" s="36"/>
      <c r="IC8" s="36"/>
      <c r="ID8" s="36"/>
      <c r="IE8" s="36"/>
      <c r="IF8" s="36"/>
      <c r="IG8" s="36"/>
      <c r="IH8" s="36"/>
      <c r="II8" s="36"/>
      <c r="IJ8" s="36"/>
      <c r="IK8" s="36"/>
      <c r="IL8" s="36"/>
      <c r="IM8" s="36"/>
      <c r="IN8" s="14" t="str">
        <f t="shared" si="65"/>
        <v/>
      </c>
      <c r="IO8" s="14" t="str">
        <f t="shared" si="66"/>
        <v/>
      </c>
      <c r="IP8" s="14" t="str">
        <f t="shared" si="67"/>
        <v/>
      </c>
      <c r="IQ8" s="14" t="str">
        <f t="shared" si="68"/>
        <v/>
      </c>
      <c r="IR8" s="14" t="str">
        <f t="shared" si="69"/>
        <v/>
      </c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35"/>
      <c r="JD8" s="35"/>
      <c r="JE8" s="35"/>
      <c r="JF8" s="35"/>
      <c r="JG8" s="35"/>
      <c r="JH8" s="35"/>
      <c r="JI8" s="11" t="str">
        <f t="shared" si="70"/>
        <v/>
      </c>
      <c r="JJ8" s="11" t="str">
        <f t="shared" si="71"/>
        <v/>
      </c>
      <c r="JK8" s="11" t="str">
        <f t="shared" si="72"/>
        <v/>
      </c>
      <c r="JL8" s="11" t="str">
        <f t="shared" si="73"/>
        <v/>
      </c>
      <c r="JM8" s="11" t="str">
        <f t="shared" si="74"/>
        <v/>
      </c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36"/>
      <c r="JZ8" s="36"/>
      <c r="KA8" s="36"/>
      <c r="KB8" s="36"/>
      <c r="KC8" s="36"/>
      <c r="KD8" s="14" t="str">
        <f t="shared" si="75"/>
        <v/>
      </c>
      <c r="KE8" s="14" t="str">
        <f t="shared" si="76"/>
        <v/>
      </c>
      <c r="KF8" s="14" t="str">
        <f t="shared" si="77"/>
        <v/>
      </c>
      <c r="KG8" s="14" t="str">
        <f t="shared" si="78"/>
        <v/>
      </c>
      <c r="KH8" s="14" t="str">
        <f t="shared" si="79"/>
        <v/>
      </c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35"/>
      <c r="KV8" s="35"/>
      <c r="KW8" s="35"/>
      <c r="KX8" s="35"/>
      <c r="KY8" s="11" t="str">
        <f t="shared" si="80"/>
        <v/>
      </c>
      <c r="KZ8" s="11" t="str">
        <f t="shared" si="81"/>
        <v/>
      </c>
      <c r="LA8" s="11" t="str">
        <f t="shared" si="82"/>
        <v/>
      </c>
      <c r="LB8" s="11" t="str">
        <f t="shared" si="83"/>
        <v/>
      </c>
      <c r="LC8" s="11" t="str">
        <f t="shared" si="84"/>
        <v/>
      </c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36"/>
      <c r="LR8" s="36"/>
      <c r="LS8" s="36"/>
      <c r="LT8" s="14" t="str">
        <f t="shared" si="85"/>
        <v/>
      </c>
      <c r="LU8" s="14" t="str">
        <f t="shared" si="86"/>
        <v/>
      </c>
      <c r="LV8" s="14" t="str">
        <f t="shared" si="87"/>
        <v/>
      </c>
      <c r="LW8" s="14" t="str">
        <f t="shared" si="88"/>
        <v/>
      </c>
      <c r="LX8" s="14" t="str">
        <f t="shared" si="89"/>
        <v/>
      </c>
      <c r="LY8" s="61">
        <f t="shared" si="90"/>
        <v>12.8</v>
      </c>
      <c r="LZ8" s="61">
        <f t="shared" si="91"/>
        <v>1.8</v>
      </c>
      <c r="MA8" s="61">
        <f t="shared" si="92"/>
        <v>0</v>
      </c>
      <c r="MB8" s="61">
        <f t="shared" si="93"/>
        <v>0</v>
      </c>
      <c r="MC8" s="61">
        <f t="shared" si="94"/>
        <v>11.95</v>
      </c>
      <c r="MD8" s="61">
        <f t="shared" si="95"/>
        <v>2.15</v>
      </c>
      <c r="ME8" s="61">
        <f t="shared" si="96"/>
        <v>0</v>
      </c>
      <c r="MF8" s="61">
        <f t="shared" si="97"/>
        <v>0.15</v>
      </c>
      <c r="MG8" s="61">
        <f t="shared" si="98"/>
        <v>12.8</v>
      </c>
      <c r="MH8" s="61">
        <f t="shared" si="99"/>
        <v>1.6</v>
      </c>
      <c r="MI8" s="61">
        <f t="shared" si="100"/>
        <v>0.2</v>
      </c>
      <c r="MJ8" s="61">
        <f t="shared" si="101"/>
        <v>0</v>
      </c>
      <c r="MK8" s="61">
        <f t="shared" si="102"/>
        <v>12.45</v>
      </c>
      <c r="ML8" s="61">
        <f t="shared" si="103"/>
        <v>2.15</v>
      </c>
      <c r="MM8" s="61">
        <f t="shared" si="104"/>
        <v>0</v>
      </c>
      <c r="MN8" s="61">
        <f t="shared" si="105"/>
        <v>0.15</v>
      </c>
      <c r="MO8" s="72" t="s">
        <v>52</v>
      </c>
      <c r="MP8" s="11">
        <f t="shared" si="106"/>
        <v>3.95</v>
      </c>
      <c r="MQ8" s="11">
        <f t="shared" si="107"/>
        <v>28.849999999999998</v>
      </c>
      <c r="MR8" s="11">
        <f t="shared" si="108"/>
        <v>3.75</v>
      </c>
      <c r="MS8" s="11">
        <f t="shared" si="109"/>
        <v>28.95</v>
      </c>
      <c r="MT8" s="11">
        <f t="shared" si="110"/>
        <v>57.8</v>
      </c>
    </row>
    <row r="9" spans="1:358" x14ac:dyDescent="0.2">
      <c r="A9" s="5" t="str">
        <f t="shared" si="0"/>
        <v/>
      </c>
      <c r="B9" s="6" t="s">
        <v>126</v>
      </c>
      <c r="C9" s="7" t="s">
        <v>4</v>
      </c>
      <c r="D9" s="26">
        <v>2001</v>
      </c>
      <c r="E9" s="15">
        <f t="shared" si="1"/>
        <v>111.99999999999999</v>
      </c>
      <c r="F9" s="3" t="str">
        <f t="shared" si="2"/>
        <v/>
      </c>
      <c r="G9" s="3" t="str">
        <f t="shared" si="3"/>
        <v/>
      </c>
      <c r="H9" s="116" t="str">
        <f t="shared" si="4"/>
        <v/>
      </c>
      <c r="I9" s="3" t="str">
        <f t="shared" si="5"/>
        <v/>
      </c>
      <c r="J9" s="14">
        <f t="shared" si="6"/>
        <v>56.099999999999994</v>
      </c>
      <c r="K9" s="14" t="str">
        <f t="shared" si="7"/>
        <v>2021 2nd Virtual Technical Trial</v>
      </c>
      <c r="L9" s="14">
        <f t="shared" si="8"/>
        <v>55.899999999999991</v>
      </c>
      <c r="M9" s="14" t="str">
        <f t="shared" si="9"/>
        <v>2021 2nd Virtual Technical Trial</v>
      </c>
      <c r="N9" s="14" t="str">
        <f t="shared" si="10"/>
        <v/>
      </c>
      <c r="O9" s="24" t="str">
        <f t="shared" si="11"/>
        <v/>
      </c>
      <c r="P9" s="14" t="str">
        <f t="shared" si="12"/>
        <v/>
      </c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72"/>
      <c r="AH9" s="11" t="str">
        <f t="shared" si="13"/>
        <v/>
      </c>
      <c r="AI9" s="11" t="str">
        <f t="shared" si="14"/>
        <v/>
      </c>
      <c r="AJ9" s="11" t="str">
        <f t="shared" si="15"/>
        <v/>
      </c>
      <c r="AK9" s="11" t="str">
        <f t="shared" si="16"/>
        <v/>
      </c>
      <c r="AL9" s="11" t="str">
        <f t="shared" si="17"/>
        <v/>
      </c>
      <c r="AM9" s="36">
        <v>24.8</v>
      </c>
      <c r="AN9" s="36">
        <v>3.4</v>
      </c>
      <c r="AO9" s="36">
        <v>0</v>
      </c>
      <c r="AP9" s="36">
        <v>0</v>
      </c>
      <c r="AQ9" s="36">
        <v>23.7</v>
      </c>
      <c r="AR9" s="36">
        <v>3.9</v>
      </c>
      <c r="AS9" s="36">
        <v>0</v>
      </c>
      <c r="AT9" s="36">
        <v>0.3</v>
      </c>
      <c r="AU9" s="36">
        <v>24.8</v>
      </c>
      <c r="AV9" s="36">
        <v>3.4</v>
      </c>
      <c r="AW9" s="36">
        <v>0</v>
      </c>
      <c r="AX9" s="36">
        <v>0</v>
      </c>
      <c r="AY9" s="36">
        <v>24.8</v>
      </c>
      <c r="AZ9" s="36">
        <v>2.8</v>
      </c>
      <c r="BA9" s="36">
        <v>0.2</v>
      </c>
      <c r="BB9" s="36">
        <v>0.3</v>
      </c>
      <c r="BC9" s="73"/>
      <c r="BD9" s="14">
        <f t="shared" si="18"/>
        <v>7.3</v>
      </c>
      <c r="BE9" s="14">
        <f t="shared" si="19"/>
        <v>56.099999999999994</v>
      </c>
      <c r="BF9" s="14">
        <f t="shared" si="20"/>
        <v>6.1999999999999993</v>
      </c>
      <c r="BG9" s="14">
        <f t="shared" si="21"/>
        <v>55.899999999999991</v>
      </c>
      <c r="BH9" s="14">
        <f t="shared" si="22"/>
        <v>111.99999999999999</v>
      </c>
      <c r="BI9" s="37">
        <v>22.5</v>
      </c>
      <c r="BJ9" s="37">
        <v>3.4</v>
      </c>
      <c r="BK9" s="37">
        <v>0</v>
      </c>
      <c r="BL9" s="37">
        <v>0</v>
      </c>
      <c r="BM9" s="37">
        <v>22.6</v>
      </c>
      <c r="BN9" s="37">
        <v>1.9</v>
      </c>
      <c r="BO9" s="37">
        <v>0</v>
      </c>
      <c r="BP9" s="37">
        <v>0.3</v>
      </c>
      <c r="BQ9" s="37"/>
      <c r="BR9" s="37"/>
      <c r="BS9" s="37"/>
      <c r="BT9" s="37"/>
      <c r="BU9" s="37"/>
      <c r="BV9" s="37"/>
      <c r="BW9" s="37"/>
      <c r="BX9" s="37"/>
      <c r="BY9" s="72"/>
      <c r="BZ9" s="11">
        <f t="shared" si="23"/>
        <v>5.3</v>
      </c>
      <c r="CA9" s="11">
        <f t="shared" si="24"/>
        <v>50.699999999999996</v>
      </c>
      <c r="CB9" s="11" t="str">
        <f t="shared" si="25"/>
        <v/>
      </c>
      <c r="CC9" s="11" t="str">
        <f t="shared" si="26"/>
        <v/>
      </c>
      <c r="CD9" s="11">
        <f t="shared" si="27"/>
        <v>50.699999999999996</v>
      </c>
      <c r="CE9" s="23" t="str">
        <f t="shared" si="28"/>
        <v/>
      </c>
      <c r="CF9" s="23" t="str">
        <f t="shared" si="29"/>
        <v/>
      </c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11" t="str">
        <f t="shared" si="30"/>
        <v/>
      </c>
      <c r="CX9" s="11" t="str">
        <f t="shared" si="31"/>
        <v/>
      </c>
      <c r="CY9" s="11" t="str">
        <f t="shared" si="32"/>
        <v/>
      </c>
      <c r="CZ9" s="11" t="str">
        <f t="shared" si="33"/>
        <v/>
      </c>
      <c r="DA9" s="11" t="str">
        <f t="shared" si="34"/>
        <v/>
      </c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36"/>
      <c r="DN9" s="36"/>
      <c r="DO9" s="36"/>
      <c r="DP9" s="36"/>
      <c r="DQ9" s="36"/>
      <c r="DR9" s="14" t="str">
        <f t="shared" si="35"/>
        <v/>
      </c>
      <c r="DS9" s="14" t="str">
        <f t="shared" si="36"/>
        <v/>
      </c>
      <c r="DT9" s="14" t="str">
        <f t="shared" si="37"/>
        <v/>
      </c>
      <c r="DU9" s="14" t="str">
        <f t="shared" si="38"/>
        <v/>
      </c>
      <c r="DV9" s="14" t="str">
        <f t="shared" si="39"/>
        <v/>
      </c>
      <c r="DW9" s="35"/>
      <c r="DX9" s="35"/>
      <c r="DY9" s="35"/>
      <c r="DZ9" s="35"/>
      <c r="EA9" s="35"/>
      <c r="EB9" s="35"/>
      <c r="EC9" s="35"/>
      <c r="ED9" s="35"/>
      <c r="EE9" s="35"/>
      <c r="EF9" s="35"/>
      <c r="EG9" s="35"/>
      <c r="EH9" s="35"/>
      <c r="EI9" s="35"/>
      <c r="EJ9" s="35"/>
      <c r="EK9" s="35"/>
      <c r="EL9" s="35"/>
      <c r="EM9" s="11" t="str">
        <f t="shared" si="40"/>
        <v/>
      </c>
      <c r="EN9" s="11" t="str">
        <f t="shared" si="41"/>
        <v/>
      </c>
      <c r="EO9" s="11" t="str">
        <f t="shared" si="42"/>
        <v/>
      </c>
      <c r="EP9" s="11" t="str">
        <f t="shared" si="43"/>
        <v/>
      </c>
      <c r="EQ9" s="11" t="str">
        <f t="shared" si="44"/>
        <v/>
      </c>
      <c r="ER9" s="36"/>
      <c r="ES9" s="36"/>
      <c r="ET9" s="36"/>
      <c r="EU9" s="36"/>
      <c r="EV9" s="36"/>
      <c r="EW9" s="36"/>
      <c r="EX9" s="36"/>
      <c r="EY9" s="36"/>
      <c r="EZ9" s="36"/>
      <c r="FA9" s="36"/>
      <c r="FB9" s="36"/>
      <c r="FC9" s="36"/>
      <c r="FD9" s="36"/>
      <c r="FE9" s="36"/>
      <c r="FF9" s="36"/>
      <c r="FG9" s="36"/>
      <c r="FH9" s="14" t="str">
        <f t="shared" si="45"/>
        <v/>
      </c>
      <c r="FI9" s="14" t="str">
        <f t="shared" si="46"/>
        <v/>
      </c>
      <c r="FJ9" s="14" t="str">
        <f t="shared" si="47"/>
        <v/>
      </c>
      <c r="FK9" s="14" t="str">
        <f t="shared" si="48"/>
        <v/>
      </c>
      <c r="FL9" s="14" t="str">
        <f t="shared" si="49"/>
        <v/>
      </c>
      <c r="FM9" s="35"/>
      <c r="FN9" s="35"/>
      <c r="FO9" s="35"/>
      <c r="FP9" s="35"/>
      <c r="FQ9" s="35"/>
      <c r="FR9" s="35"/>
      <c r="FS9" s="35"/>
      <c r="FT9" s="35"/>
      <c r="FU9" s="35"/>
      <c r="FV9" s="35"/>
      <c r="FW9" s="35"/>
      <c r="FX9" s="35"/>
      <c r="FY9" s="35"/>
      <c r="FZ9" s="35"/>
      <c r="GA9" s="35"/>
      <c r="GB9" s="35"/>
      <c r="GC9" s="11" t="str">
        <f t="shared" si="50"/>
        <v/>
      </c>
      <c r="GD9" s="11" t="str">
        <f t="shared" si="51"/>
        <v/>
      </c>
      <c r="GE9" s="11" t="str">
        <f t="shared" si="52"/>
        <v/>
      </c>
      <c r="GF9" s="11" t="str">
        <f t="shared" si="53"/>
        <v/>
      </c>
      <c r="GG9" s="11" t="str">
        <f t="shared" si="54"/>
        <v/>
      </c>
      <c r="GH9" s="36"/>
      <c r="GI9" s="36"/>
      <c r="GJ9" s="36"/>
      <c r="GK9" s="36"/>
      <c r="GL9" s="36"/>
      <c r="GM9" s="36"/>
      <c r="GN9" s="36"/>
      <c r="GO9" s="36"/>
      <c r="GP9" s="36"/>
      <c r="GQ9" s="36"/>
      <c r="GR9" s="36"/>
      <c r="GS9" s="36"/>
      <c r="GT9" s="36"/>
      <c r="GU9" s="36"/>
      <c r="GV9" s="36"/>
      <c r="GW9" s="36"/>
      <c r="GX9" s="14" t="str">
        <f t="shared" si="55"/>
        <v/>
      </c>
      <c r="GY9" s="14" t="str">
        <f t="shared" si="56"/>
        <v/>
      </c>
      <c r="GZ9" s="14" t="str">
        <f t="shared" si="57"/>
        <v/>
      </c>
      <c r="HA9" s="14" t="str">
        <f t="shared" si="58"/>
        <v/>
      </c>
      <c r="HB9" s="14" t="str">
        <f t="shared" si="59"/>
        <v/>
      </c>
      <c r="HC9" s="35"/>
      <c r="HD9" s="35"/>
      <c r="HE9" s="35"/>
      <c r="HF9" s="35"/>
      <c r="HG9" s="35"/>
      <c r="HH9" s="35"/>
      <c r="HI9" s="35"/>
      <c r="HJ9" s="35"/>
      <c r="HK9" s="35"/>
      <c r="HL9" s="35"/>
      <c r="HM9" s="35"/>
      <c r="HN9" s="35"/>
      <c r="HO9" s="35"/>
      <c r="HP9" s="35"/>
      <c r="HQ9" s="35"/>
      <c r="HR9" s="35"/>
      <c r="HS9" s="11" t="str">
        <f t="shared" si="60"/>
        <v/>
      </c>
      <c r="HT9" s="11" t="str">
        <f t="shared" si="61"/>
        <v/>
      </c>
      <c r="HU9" s="11" t="str">
        <f t="shared" si="62"/>
        <v/>
      </c>
      <c r="HV9" s="11" t="str">
        <f t="shared" si="63"/>
        <v/>
      </c>
      <c r="HW9" s="11" t="str">
        <f t="shared" si="64"/>
        <v/>
      </c>
      <c r="HX9" s="36"/>
      <c r="HY9" s="36"/>
      <c r="HZ9" s="36"/>
      <c r="IA9" s="36"/>
      <c r="IB9" s="36"/>
      <c r="IC9" s="36"/>
      <c r="ID9" s="36"/>
      <c r="IE9" s="36"/>
      <c r="IF9" s="36"/>
      <c r="IG9" s="36"/>
      <c r="IH9" s="36"/>
      <c r="II9" s="36"/>
      <c r="IJ9" s="36"/>
      <c r="IK9" s="36"/>
      <c r="IL9" s="36"/>
      <c r="IM9" s="36"/>
      <c r="IN9" s="14" t="str">
        <f t="shared" si="65"/>
        <v/>
      </c>
      <c r="IO9" s="14" t="str">
        <f t="shared" si="66"/>
        <v/>
      </c>
      <c r="IP9" s="14" t="str">
        <f t="shared" si="67"/>
        <v/>
      </c>
      <c r="IQ9" s="14" t="str">
        <f t="shared" si="68"/>
        <v/>
      </c>
      <c r="IR9" s="14" t="str">
        <f t="shared" si="69"/>
        <v/>
      </c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35"/>
      <c r="JD9" s="35"/>
      <c r="JE9" s="35"/>
      <c r="JF9" s="35"/>
      <c r="JG9" s="35"/>
      <c r="JH9" s="35"/>
      <c r="JI9" s="11" t="str">
        <f t="shared" si="70"/>
        <v/>
      </c>
      <c r="JJ9" s="11" t="str">
        <f t="shared" si="71"/>
        <v/>
      </c>
      <c r="JK9" s="11" t="str">
        <f t="shared" si="72"/>
        <v/>
      </c>
      <c r="JL9" s="11" t="str">
        <f t="shared" si="73"/>
        <v/>
      </c>
      <c r="JM9" s="11" t="str">
        <f t="shared" si="74"/>
        <v/>
      </c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36"/>
      <c r="JZ9" s="36"/>
      <c r="KA9" s="36"/>
      <c r="KB9" s="36"/>
      <c r="KC9" s="36"/>
      <c r="KD9" s="14" t="str">
        <f t="shared" si="75"/>
        <v/>
      </c>
      <c r="KE9" s="14" t="str">
        <f t="shared" si="76"/>
        <v/>
      </c>
      <c r="KF9" s="14" t="str">
        <f t="shared" si="77"/>
        <v/>
      </c>
      <c r="KG9" s="14" t="str">
        <f t="shared" si="78"/>
        <v/>
      </c>
      <c r="KH9" s="14" t="str">
        <f t="shared" si="79"/>
        <v/>
      </c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35"/>
      <c r="KV9" s="35"/>
      <c r="KW9" s="35"/>
      <c r="KX9" s="35"/>
      <c r="KY9" s="11" t="str">
        <f t="shared" si="80"/>
        <v/>
      </c>
      <c r="KZ9" s="11" t="str">
        <f t="shared" si="81"/>
        <v/>
      </c>
      <c r="LA9" s="11" t="str">
        <f t="shared" si="82"/>
        <v/>
      </c>
      <c r="LB9" s="11" t="str">
        <f t="shared" si="83"/>
        <v/>
      </c>
      <c r="LC9" s="11" t="str">
        <f t="shared" si="84"/>
        <v/>
      </c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36"/>
      <c r="LR9" s="36"/>
      <c r="LS9" s="36"/>
      <c r="LT9" s="14" t="str">
        <f t="shared" si="85"/>
        <v/>
      </c>
      <c r="LU9" s="14" t="str">
        <f t="shared" si="86"/>
        <v/>
      </c>
      <c r="LV9" s="14" t="str">
        <f t="shared" si="87"/>
        <v/>
      </c>
      <c r="LW9" s="14" t="str">
        <f t="shared" si="88"/>
        <v/>
      </c>
      <c r="LX9" s="14" t="str">
        <f t="shared" si="89"/>
        <v/>
      </c>
      <c r="LY9" s="61">
        <f t="shared" si="90"/>
        <v>23.65</v>
      </c>
      <c r="LZ9" s="61">
        <f t="shared" si="91"/>
        <v>3.4</v>
      </c>
      <c r="MA9" s="61">
        <f t="shared" si="92"/>
        <v>0</v>
      </c>
      <c r="MB9" s="61">
        <f t="shared" si="93"/>
        <v>0</v>
      </c>
      <c r="MC9" s="61">
        <f t="shared" si="94"/>
        <v>23.15</v>
      </c>
      <c r="MD9" s="61">
        <f t="shared" si="95"/>
        <v>2.9</v>
      </c>
      <c r="ME9" s="61">
        <f t="shared" si="96"/>
        <v>0</v>
      </c>
      <c r="MF9" s="61">
        <f t="shared" si="97"/>
        <v>0.3</v>
      </c>
      <c r="MG9" s="61">
        <f t="shared" si="98"/>
        <v>12.4</v>
      </c>
      <c r="MH9" s="61">
        <f t="shared" si="99"/>
        <v>1.7</v>
      </c>
      <c r="MI9" s="61">
        <f t="shared" si="100"/>
        <v>0</v>
      </c>
      <c r="MJ9" s="61">
        <f t="shared" si="101"/>
        <v>0</v>
      </c>
      <c r="MK9" s="61">
        <f t="shared" si="102"/>
        <v>12.4</v>
      </c>
      <c r="ML9" s="61">
        <f t="shared" si="103"/>
        <v>1.4</v>
      </c>
      <c r="MM9" s="61">
        <f t="shared" si="104"/>
        <v>0.1</v>
      </c>
      <c r="MN9" s="61">
        <f t="shared" si="105"/>
        <v>0.15</v>
      </c>
      <c r="MO9" s="72" t="s">
        <v>52</v>
      </c>
      <c r="MP9" s="11">
        <f t="shared" si="106"/>
        <v>6.3</v>
      </c>
      <c r="MQ9" s="11">
        <f t="shared" si="107"/>
        <v>53.399999999999991</v>
      </c>
      <c r="MR9" s="11">
        <f t="shared" si="108"/>
        <v>3.0999999999999996</v>
      </c>
      <c r="MS9" s="11">
        <f t="shared" si="109"/>
        <v>27.949999999999996</v>
      </c>
      <c r="MT9" s="11">
        <f t="shared" si="110"/>
        <v>81.349999999999994</v>
      </c>
    </row>
    <row r="10" spans="1:358" x14ac:dyDescent="0.2">
      <c r="A10" s="5" t="str">
        <f t="shared" si="0"/>
        <v/>
      </c>
      <c r="B10" s="6" t="s">
        <v>108</v>
      </c>
      <c r="C10" s="7" t="s">
        <v>5</v>
      </c>
      <c r="D10" s="26">
        <v>2004</v>
      </c>
      <c r="E10" s="15">
        <f t="shared" si="1"/>
        <v>109.39999999999999</v>
      </c>
      <c r="F10" s="3" t="str">
        <f t="shared" si="2"/>
        <v/>
      </c>
      <c r="G10" s="3" t="str">
        <f t="shared" si="3"/>
        <v/>
      </c>
      <c r="H10" s="116" t="str">
        <f t="shared" si="4"/>
        <v/>
      </c>
      <c r="I10" s="3" t="str">
        <f t="shared" si="5"/>
        <v/>
      </c>
      <c r="J10" s="14">
        <f t="shared" si="6"/>
        <v>53.8</v>
      </c>
      <c r="K10" s="14" t="str">
        <f t="shared" si="7"/>
        <v>2021 Elite Canada</v>
      </c>
      <c r="L10" s="14">
        <f t="shared" si="8"/>
        <v>55.599999999999994</v>
      </c>
      <c r="M10" s="14" t="str">
        <f t="shared" si="9"/>
        <v/>
      </c>
      <c r="N10" s="14" t="str">
        <f t="shared" si="10"/>
        <v/>
      </c>
      <c r="O10" s="24" t="str">
        <f t="shared" si="11"/>
        <v/>
      </c>
      <c r="P10" s="14" t="str">
        <f t="shared" si="12"/>
        <v/>
      </c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72"/>
      <c r="AH10" s="11" t="str">
        <f t="shared" si="13"/>
        <v/>
      </c>
      <c r="AI10" s="11" t="str">
        <f t="shared" si="14"/>
        <v/>
      </c>
      <c r="AJ10" s="11" t="str">
        <f t="shared" si="15"/>
        <v/>
      </c>
      <c r="AK10" s="11" t="str">
        <f t="shared" si="16"/>
        <v/>
      </c>
      <c r="AL10" s="11" t="str">
        <f t="shared" si="17"/>
        <v/>
      </c>
      <c r="AM10" s="36">
        <v>23.8</v>
      </c>
      <c r="AN10" s="36">
        <v>1.2</v>
      </c>
      <c r="AO10" s="36">
        <v>0</v>
      </c>
      <c r="AP10" s="36">
        <v>0</v>
      </c>
      <c r="AQ10" s="36">
        <v>17.2</v>
      </c>
      <c r="AR10" s="36">
        <v>1.6</v>
      </c>
      <c r="AS10" s="36">
        <v>0</v>
      </c>
      <c r="AT10" s="36">
        <v>0.3</v>
      </c>
      <c r="AU10" s="36">
        <v>24</v>
      </c>
      <c r="AV10" s="36">
        <v>3.2</v>
      </c>
      <c r="AW10" s="36">
        <v>0</v>
      </c>
      <c r="AX10" s="36">
        <v>0</v>
      </c>
      <c r="AY10" s="36">
        <v>21.2</v>
      </c>
      <c r="AZ10" s="36">
        <v>1.9</v>
      </c>
      <c r="BA10" s="36">
        <v>0</v>
      </c>
      <c r="BB10" s="36">
        <v>0.3</v>
      </c>
      <c r="BC10" s="73"/>
      <c r="BD10" s="14">
        <f t="shared" si="18"/>
        <v>2.8</v>
      </c>
      <c r="BE10" s="14">
        <f t="shared" si="19"/>
        <v>44.1</v>
      </c>
      <c r="BF10" s="14">
        <f t="shared" si="20"/>
        <v>5.0999999999999996</v>
      </c>
      <c r="BG10" s="14">
        <f t="shared" si="21"/>
        <v>50.599999999999994</v>
      </c>
      <c r="BH10" s="14">
        <f t="shared" si="22"/>
        <v>94.699999999999989</v>
      </c>
      <c r="BI10" s="37">
        <v>23.8</v>
      </c>
      <c r="BJ10" s="37">
        <v>3.2</v>
      </c>
      <c r="BK10" s="37">
        <v>0</v>
      </c>
      <c r="BL10" s="37">
        <v>0</v>
      </c>
      <c r="BM10" s="37">
        <v>24.7</v>
      </c>
      <c r="BN10" s="37">
        <v>2.4</v>
      </c>
      <c r="BO10" s="37">
        <v>0.6</v>
      </c>
      <c r="BP10" s="37">
        <v>0.3</v>
      </c>
      <c r="BQ10" s="37">
        <v>25</v>
      </c>
      <c r="BR10" s="37">
        <v>3.4</v>
      </c>
      <c r="BS10" s="37">
        <v>0</v>
      </c>
      <c r="BT10" s="37">
        <v>0</v>
      </c>
      <c r="BU10" s="37">
        <v>23</v>
      </c>
      <c r="BV10" s="37">
        <v>3.9</v>
      </c>
      <c r="BW10" s="37">
        <v>0</v>
      </c>
      <c r="BX10" s="37">
        <v>0.3</v>
      </c>
      <c r="BY10" s="72"/>
      <c r="BZ10" s="11">
        <f t="shared" si="23"/>
        <v>5.6</v>
      </c>
      <c r="CA10" s="11">
        <f t="shared" si="24"/>
        <v>53.8</v>
      </c>
      <c r="CB10" s="11">
        <f t="shared" si="25"/>
        <v>7.3</v>
      </c>
      <c r="CC10" s="11">
        <f t="shared" si="26"/>
        <v>55.599999999999994</v>
      </c>
      <c r="CD10" s="11">
        <f t="shared" si="27"/>
        <v>109.39999999999999</v>
      </c>
      <c r="CE10" s="23" t="str">
        <f t="shared" si="28"/>
        <v/>
      </c>
      <c r="CF10" s="23" t="str">
        <f t="shared" si="29"/>
        <v/>
      </c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  <c r="CW10" s="11" t="str">
        <f t="shared" si="30"/>
        <v/>
      </c>
      <c r="CX10" s="11" t="str">
        <f t="shared" si="31"/>
        <v/>
      </c>
      <c r="CY10" s="11" t="str">
        <f t="shared" si="32"/>
        <v/>
      </c>
      <c r="CZ10" s="11" t="str">
        <f t="shared" si="33"/>
        <v/>
      </c>
      <c r="DA10" s="11" t="str">
        <f t="shared" si="34"/>
        <v/>
      </c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14" t="str">
        <f t="shared" si="35"/>
        <v/>
      </c>
      <c r="DS10" s="14" t="str">
        <f t="shared" si="36"/>
        <v/>
      </c>
      <c r="DT10" s="14" t="str">
        <f t="shared" si="37"/>
        <v/>
      </c>
      <c r="DU10" s="14" t="str">
        <f t="shared" si="38"/>
        <v/>
      </c>
      <c r="DV10" s="14" t="str">
        <f t="shared" si="39"/>
        <v/>
      </c>
      <c r="DW10" s="35"/>
      <c r="DX10" s="35"/>
      <c r="DY10" s="35"/>
      <c r="DZ10" s="35"/>
      <c r="EA10" s="35"/>
      <c r="EB10" s="35"/>
      <c r="EC10" s="35"/>
      <c r="ED10" s="35"/>
      <c r="EE10" s="35"/>
      <c r="EF10" s="35"/>
      <c r="EG10" s="35"/>
      <c r="EH10" s="35"/>
      <c r="EI10" s="35"/>
      <c r="EJ10" s="35"/>
      <c r="EK10" s="35"/>
      <c r="EL10" s="35"/>
      <c r="EM10" s="11" t="str">
        <f t="shared" si="40"/>
        <v/>
      </c>
      <c r="EN10" s="11" t="str">
        <f t="shared" si="41"/>
        <v/>
      </c>
      <c r="EO10" s="11" t="str">
        <f t="shared" si="42"/>
        <v/>
      </c>
      <c r="EP10" s="11" t="str">
        <f t="shared" si="43"/>
        <v/>
      </c>
      <c r="EQ10" s="11" t="str">
        <f t="shared" si="44"/>
        <v/>
      </c>
      <c r="ER10" s="36"/>
      <c r="ES10" s="36"/>
      <c r="ET10" s="36"/>
      <c r="EU10" s="36"/>
      <c r="EV10" s="36"/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14" t="str">
        <f t="shared" si="45"/>
        <v/>
      </c>
      <c r="FI10" s="14" t="str">
        <f t="shared" si="46"/>
        <v/>
      </c>
      <c r="FJ10" s="14" t="str">
        <f t="shared" si="47"/>
        <v/>
      </c>
      <c r="FK10" s="14" t="str">
        <f t="shared" si="48"/>
        <v/>
      </c>
      <c r="FL10" s="14" t="str">
        <f t="shared" si="49"/>
        <v/>
      </c>
      <c r="FM10" s="35"/>
      <c r="FN10" s="35"/>
      <c r="FO10" s="35"/>
      <c r="FP10" s="35"/>
      <c r="FQ10" s="35"/>
      <c r="FR10" s="35"/>
      <c r="FS10" s="35"/>
      <c r="FT10" s="35"/>
      <c r="FU10" s="35"/>
      <c r="FV10" s="35"/>
      <c r="FW10" s="35"/>
      <c r="FX10" s="35"/>
      <c r="FY10" s="35"/>
      <c r="FZ10" s="35"/>
      <c r="GA10" s="35"/>
      <c r="GB10" s="35"/>
      <c r="GC10" s="11" t="str">
        <f t="shared" si="50"/>
        <v/>
      </c>
      <c r="GD10" s="11" t="str">
        <f t="shared" si="51"/>
        <v/>
      </c>
      <c r="GE10" s="11" t="str">
        <f t="shared" si="52"/>
        <v/>
      </c>
      <c r="GF10" s="11" t="str">
        <f t="shared" si="53"/>
        <v/>
      </c>
      <c r="GG10" s="11" t="str">
        <f t="shared" si="54"/>
        <v/>
      </c>
      <c r="GH10" s="36"/>
      <c r="GI10" s="36"/>
      <c r="GJ10" s="36"/>
      <c r="GK10" s="36"/>
      <c r="GL10" s="36"/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14" t="str">
        <f t="shared" si="55"/>
        <v/>
      </c>
      <c r="GY10" s="14" t="str">
        <f t="shared" si="56"/>
        <v/>
      </c>
      <c r="GZ10" s="14" t="str">
        <f t="shared" si="57"/>
        <v/>
      </c>
      <c r="HA10" s="14" t="str">
        <f t="shared" si="58"/>
        <v/>
      </c>
      <c r="HB10" s="14" t="str">
        <f t="shared" si="59"/>
        <v/>
      </c>
      <c r="HC10" s="35"/>
      <c r="HD10" s="35"/>
      <c r="HE10" s="35"/>
      <c r="HF10" s="35"/>
      <c r="HG10" s="35"/>
      <c r="HH10" s="35"/>
      <c r="HI10" s="35"/>
      <c r="HJ10" s="35"/>
      <c r="HK10" s="35"/>
      <c r="HL10" s="35"/>
      <c r="HM10" s="35"/>
      <c r="HN10" s="35"/>
      <c r="HO10" s="35"/>
      <c r="HP10" s="35"/>
      <c r="HQ10" s="35"/>
      <c r="HR10" s="35"/>
      <c r="HS10" s="11" t="str">
        <f t="shared" si="60"/>
        <v/>
      </c>
      <c r="HT10" s="11" t="str">
        <f t="shared" si="61"/>
        <v/>
      </c>
      <c r="HU10" s="11" t="str">
        <f t="shared" si="62"/>
        <v/>
      </c>
      <c r="HV10" s="11" t="str">
        <f t="shared" si="63"/>
        <v/>
      </c>
      <c r="HW10" s="11" t="str">
        <f t="shared" si="64"/>
        <v/>
      </c>
      <c r="HX10" s="36"/>
      <c r="HY10" s="36"/>
      <c r="HZ10" s="36"/>
      <c r="IA10" s="36"/>
      <c r="IB10" s="36"/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14" t="str">
        <f t="shared" si="65"/>
        <v/>
      </c>
      <c r="IO10" s="14" t="str">
        <f t="shared" si="66"/>
        <v/>
      </c>
      <c r="IP10" s="14" t="str">
        <f t="shared" si="67"/>
        <v/>
      </c>
      <c r="IQ10" s="14" t="str">
        <f t="shared" si="68"/>
        <v/>
      </c>
      <c r="IR10" s="14" t="str">
        <f t="shared" si="69"/>
        <v/>
      </c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35"/>
      <c r="JD10" s="35"/>
      <c r="JE10" s="35"/>
      <c r="JF10" s="35"/>
      <c r="JG10" s="35"/>
      <c r="JH10" s="35"/>
      <c r="JI10" s="11" t="str">
        <f t="shared" si="70"/>
        <v/>
      </c>
      <c r="JJ10" s="11" t="str">
        <f t="shared" si="71"/>
        <v/>
      </c>
      <c r="JK10" s="11" t="str">
        <f t="shared" si="72"/>
        <v/>
      </c>
      <c r="JL10" s="11" t="str">
        <f t="shared" si="73"/>
        <v/>
      </c>
      <c r="JM10" s="11" t="str">
        <f t="shared" si="74"/>
        <v/>
      </c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14" t="str">
        <f t="shared" si="75"/>
        <v/>
      </c>
      <c r="KE10" s="14" t="str">
        <f t="shared" si="76"/>
        <v/>
      </c>
      <c r="KF10" s="14" t="str">
        <f t="shared" si="77"/>
        <v/>
      </c>
      <c r="KG10" s="14" t="str">
        <f t="shared" si="78"/>
        <v/>
      </c>
      <c r="KH10" s="14" t="str">
        <f t="shared" si="79"/>
        <v/>
      </c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35"/>
      <c r="KV10" s="35"/>
      <c r="KW10" s="35"/>
      <c r="KX10" s="35"/>
      <c r="KY10" s="11" t="str">
        <f t="shared" si="80"/>
        <v/>
      </c>
      <c r="KZ10" s="11" t="str">
        <f t="shared" si="81"/>
        <v/>
      </c>
      <c r="LA10" s="11" t="str">
        <f t="shared" si="82"/>
        <v/>
      </c>
      <c r="LB10" s="11" t="str">
        <f t="shared" si="83"/>
        <v/>
      </c>
      <c r="LC10" s="11" t="str">
        <f t="shared" si="84"/>
        <v/>
      </c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36"/>
      <c r="LR10" s="36"/>
      <c r="LS10" s="36"/>
      <c r="LT10" s="14" t="str">
        <f t="shared" si="85"/>
        <v/>
      </c>
      <c r="LU10" s="14" t="str">
        <f t="shared" si="86"/>
        <v/>
      </c>
      <c r="LV10" s="14" t="str">
        <f t="shared" si="87"/>
        <v/>
      </c>
      <c r="LW10" s="14" t="str">
        <f t="shared" si="88"/>
        <v/>
      </c>
      <c r="LX10" s="14" t="str">
        <f t="shared" si="89"/>
        <v/>
      </c>
      <c r="LY10" s="61">
        <f t="shared" si="90"/>
        <v>23.8</v>
      </c>
      <c r="LZ10" s="61">
        <f t="shared" si="91"/>
        <v>2.2000000000000002</v>
      </c>
      <c r="MA10" s="61">
        <f t="shared" si="92"/>
        <v>0</v>
      </c>
      <c r="MB10" s="61">
        <f t="shared" si="93"/>
        <v>0</v>
      </c>
      <c r="MC10" s="61">
        <f t="shared" si="94"/>
        <v>20.95</v>
      </c>
      <c r="MD10" s="61">
        <f t="shared" si="95"/>
        <v>2</v>
      </c>
      <c r="ME10" s="61">
        <f t="shared" si="96"/>
        <v>0.3</v>
      </c>
      <c r="MF10" s="61">
        <f t="shared" si="97"/>
        <v>0.3</v>
      </c>
      <c r="MG10" s="61">
        <f t="shared" si="98"/>
        <v>24.5</v>
      </c>
      <c r="MH10" s="61">
        <f t="shared" si="99"/>
        <v>3.3</v>
      </c>
      <c r="MI10" s="61">
        <f t="shared" si="100"/>
        <v>0</v>
      </c>
      <c r="MJ10" s="61">
        <f t="shared" si="101"/>
        <v>0</v>
      </c>
      <c r="MK10" s="61">
        <f t="shared" si="102"/>
        <v>22.1</v>
      </c>
      <c r="ML10" s="61">
        <f t="shared" si="103"/>
        <v>2.9</v>
      </c>
      <c r="MM10" s="61">
        <f t="shared" si="104"/>
        <v>0</v>
      </c>
      <c r="MN10" s="61">
        <f t="shared" si="105"/>
        <v>0.3</v>
      </c>
      <c r="MO10" s="72" t="s">
        <v>52</v>
      </c>
      <c r="MP10" s="11">
        <f t="shared" si="106"/>
        <v>4.2</v>
      </c>
      <c r="MQ10" s="11">
        <f t="shared" si="107"/>
        <v>48.95</v>
      </c>
      <c r="MR10" s="11">
        <f t="shared" si="108"/>
        <v>6.1999999999999993</v>
      </c>
      <c r="MS10" s="11">
        <f t="shared" si="109"/>
        <v>53.1</v>
      </c>
      <c r="MT10" s="11">
        <f t="shared" si="110"/>
        <v>102.05000000000001</v>
      </c>
    </row>
    <row r="11" spans="1:358" x14ac:dyDescent="0.2">
      <c r="A11" s="5" t="str">
        <f t="shared" si="0"/>
        <v/>
      </c>
      <c r="B11" s="6" t="s">
        <v>117</v>
      </c>
      <c r="C11" s="7" t="s">
        <v>5</v>
      </c>
      <c r="D11" s="26">
        <v>2001</v>
      </c>
      <c r="E11" s="15">
        <f t="shared" si="1"/>
        <v>102.9</v>
      </c>
      <c r="F11" s="3" t="str">
        <f t="shared" si="2"/>
        <v/>
      </c>
      <c r="G11" s="3" t="str">
        <f t="shared" si="3"/>
        <v/>
      </c>
      <c r="H11" s="116" t="str">
        <f t="shared" si="4"/>
        <v/>
      </c>
      <c r="I11" s="3" t="str">
        <f t="shared" si="5"/>
        <v/>
      </c>
      <c r="J11" s="14">
        <f t="shared" si="6"/>
        <v>51</v>
      </c>
      <c r="K11" s="14" t="str">
        <f t="shared" si="7"/>
        <v>2021 2nd Virtual Technical Trial</v>
      </c>
      <c r="L11" s="14">
        <f t="shared" si="8"/>
        <v>51.9</v>
      </c>
      <c r="M11" s="14" t="str">
        <f t="shared" si="9"/>
        <v>2021 2nd Virtual Technical Trial</v>
      </c>
      <c r="N11" s="14" t="str">
        <f t="shared" si="10"/>
        <v/>
      </c>
      <c r="O11" s="24" t="str">
        <f t="shared" si="11"/>
        <v/>
      </c>
      <c r="P11" s="14" t="str">
        <f t="shared" si="12"/>
        <v/>
      </c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72"/>
      <c r="AH11" s="11" t="str">
        <f t="shared" si="13"/>
        <v/>
      </c>
      <c r="AI11" s="11" t="str">
        <f t="shared" si="14"/>
        <v/>
      </c>
      <c r="AJ11" s="11" t="str">
        <f t="shared" si="15"/>
        <v/>
      </c>
      <c r="AK11" s="11" t="str">
        <f t="shared" si="16"/>
        <v/>
      </c>
      <c r="AL11" s="11" t="str">
        <f t="shared" si="17"/>
        <v/>
      </c>
      <c r="AM11" s="36">
        <v>23.3</v>
      </c>
      <c r="AN11" s="36">
        <v>1.2</v>
      </c>
      <c r="AO11" s="36">
        <v>0</v>
      </c>
      <c r="AP11" s="36">
        <v>0</v>
      </c>
      <c r="AQ11" s="36">
        <v>24.2</v>
      </c>
      <c r="AR11" s="36">
        <v>2.5</v>
      </c>
      <c r="AS11" s="36">
        <v>0.5</v>
      </c>
      <c r="AT11" s="36">
        <v>0.3</v>
      </c>
      <c r="AU11" s="36">
        <v>24.7</v>
      </c>
      <c r="AV11" s="36">
        <v>1.8</v>
      </c>
      <c r="AW11" s="36">
        <v>1.2</v>
      </c>
      <c r="AX11" s="36">
        <v>0</v>
      </c>
      <c r="AY11" s="36">
        <v>24.5</v>
      </c>
      <c r="AZ11" s="36">
        <v>2.4</v>
      </c>
      <c r="BA11" s="36">
        <v>0.6</v>
      </c>
      <c r="BB11" s="36">
        <v>0.3</v>
      </c>
      <c r="BC11" s="73"/>
      <c r="BD11" s="14">
        <f t="shared" si="18"/>
        <v>3.7</v>
      </c>
      <c r="BE11" s="14">
        <f t="shared" si="19"/>
        <v>51</v>
      </c>
      <c r="BF11" s="14">
        <f t="shared" si="20"/>
        <v>4.2</v>
      </c>
      <c r="BG11" s="14">
        <f t="shared" si="21"/>
        <v>51.9</v>
      </c>
      <c r="BH11" s="14">
        <f t="shared" si="22"/>
        <v>102.9</v>
      </c>
      <c r="BI11" s="37">
        <v>22.8</v>
      </c>
      <c r="BJ11" s="37">
        <v>1.2</v>
      </c>
      <c r="BK11" s="37">
        <v>0</v>
      </c>
      <c r="BL11" s="37">
        <v>0</v>
      </c>
      <c r="BM11" s="37">
        <v>24.3</v>
      </c>
      <c r="BN11" s="37">
        <v>2.4</v>
      </c>
      <c r="BO11" s="37">
        <v>0.6</v>
      </c>
      <c r="BP11" s="37">
        <v>0.3</v>
      </c>
      <c r="BQ11" s="37"/>
      <c r="BR11" s="37"/>
      <c r="BS11" s="37"/>
      <c r="BT11" s="37"/>
      <c r="BU11" s="37"/>
      <c r="BV11" s="37"/>
      <c r="BW11" s="37"/>
      <c r="BX11" s="37"/>
      <c r="BY11" s="72"/>
      <c r="BZ11" s="11">
        <f t="shared" si="23"/>
        <v>3.5999999999999996</v>
      </c>
      <c r="CA11" s="11">
        <f t="shared" si="24"/>
        <v>50.399999999999991</v>
      </c>
      <c r="CB11" s="11" t="str">
        <f t="shared" si="25"/>
        <v/>
      </c>
      <c r="CC11" s="11" t="str">
        <f t="shared" si="26"/>
        <v/>
      </c>
      <c r="CD11" s="11">
        <f t="shared" si="27"/>
        <v>50.399999999999991</v>
      </c>
      <c r="CE11" s="23" t="str">
        <f t="shared" si="28"/>
        <v/>
      </c>
      <c r="CF11" s="23" t="str">
        <f t="shared" si="29"/>
        <v/>
      </c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  <c r="CW11" s="11" t="str">
        <f t="shared" si="30"/>
        <v/>
      </c>
      <c r="CX11" s="11" t="str">
        <f t="shared" si="31"/>
        <v/>
      </c>
      <c r="CY11" s="11" t="str">
        <f t="shared" si="32"/>
        <v/>
      </c>
      <c r="CZ11" s="11" t="str">
        <f t="shared" si="33"/>
        <v/>
      </c>
      <c r="DA11" s="11" t="str">
        <f t="shared" si="34"/>
        <v/>
      </c>
      <c r="DB11" s="36"/>
      <c r="DC11" s="36"/>
      <c r="DD11" s="36"/>
      <c r="DE11" s="36"/>
      <c r="DF11" s="36"/>
      <c r="DG11" s="36"/>
      <c r="DH11" s="36"/>
      <c r="DI11" s="36"/>
      <c r="DJ11" s="36"/>
      <c r="DK11" s="36"/>
      <c r="DL11" s="36"/>
      <c r="DM11" s="36"/>
      <c r="DN11" s="36"/>
      <c r="DO11" s="36"/>
      <c r="DP11" s="36"/>
      <c r="DQ11" s="36"/>
      <c r="DR11" s="14" t="str">
        <f t="shared" si="35"/>
        <v/>
      </c>
      <c r="DS11" s="14" t="str">
        <f t="shared" si="36"/>
        <v/>
      </c>
      <c r="DT11" s="14" t="str">
        <f t="shared" si="37"/>
        <v/>
      </c>
      <c r="DU11" s="14" t="str">
        <f t="shared" si="38"/>
        <v/>
      </c>
      <c r="DV11" s="14" t="str">
        <f t="shared" si="39"/>
        <v/>
      </c>
      <c r="DW11" s="35"/>
      <c r="DX11" s="35"/>
      <c r="DY11" s="35"/>
      <c r="DZ11" s="35"/>
      <c r="EA11" s="35"/>
      <c r="EB11" s="35"/>
      <c r="EC11" s="35"/>
      <c r="ED11" s="35"/>
      <c r="EE11" s="35"/>
      <c r="EF11" s="35"/>
      <c r="EG11" s="35"/>
      <c r="EH11" s="35"/>
      <c r="EI11" s="35"/>
      <c r="EJ11" s="35"/>
      <c r="EK11" s="35"/>
      <c r="EL11" s="35"/>
      <c r="EM11" s="11" t="str">
        <f t="shared" si="40"/>
        <v/>
      </c>
      <c r="EN11" s="11" t="str">
        <f t="shared" si="41"/>
        <v/>
      </c>
      <c r="EO11" s="11" t="str">
        <f t="shared" si="42"/>
        <v/>
      </c>
      <c r="EP11" s="11" t="str">
        <f t="shared" si="43"/>
        <v/>
      </c>
      <c r="EQ11" s="11" t="str">
        <f t="shared" si="44"/>
        <v/>
      </c>
      <c r="ER11" s="36"/>
      <c r="ES11" s="36"/>
      <c r="ET11" s="36"/>
      <c r="EU11" s="36"/>
      <c r="EV11" s="36"/>
      <c r="EW11" s="36"/>
      <c r="EX11" s="36"/>
      <c r="EY11" s="36"/>
      <c r="EZ11" s="36"/>
      <c r="FA11" s="36"/>
      <c r="FB11" s="36"/>
      <c r="FC11" s="36"/>
      <c r="FD11" s="36"/>
      <c r="FE11" s="36"/>
      <c r="FF11" s="36"/>
      <c r="FG11" s="36"/>
      <c r="FH11" s="14" t="str">
        <f t="shared" si="45"/>
        <v/>
      </c>
      <c r="FI11" s="14" t="str">
        <f t="shared" si="46"/>
        <v/>
      </c>
      <c r="FJ11" s="14" t="str">
        <f t="shared" si="47"/>
        <v/>
      </c>
      <c r="FK11" s="14" t="str">
        <f t="shared" si="48"/>
        <v/>
      </c>
      <c r="FL11" s="14" t="str">
        <f t="shared" si="49"/>
        <v/>
      </c>
      <c r="FM11" s="35"/>
      <c r="FN11" s="35"/>
      <c r="FO11" s="35"/>
      <c r="FP11" s="35"/>
      <c r="FQ11" s="35"/>
      <c r="FR11" s="35"/>
      <c r="FS11" s="35"/>
      <c r="FT11" s="35"/>
      <c r="FU11" s="35"/>
      <c r="FV11" s="35"/>
      <c r="FW11" s="35"/>
      <c r="FX11" s="35"/>
      <c r="FY11" s="35"/>
      <c r="FZ11" s="35"/>
      <c r="GA11" s="35"/>
      <c r="GB11" s="35"/>
      <c r="GC11" s="11" t="str">
        <f t="shared" si="50"/>
        <v/>
      </c>
      <c r="GD11" s="11" t="str">
        <f t="shared" si="51"/>
        <v/>
      </c>
      <c r="GE11" s="11" t="str">
        <f t="shared" si="52"/>
        <v/>
      </c>
      <c r="GF11" s="11" t="str">
        <f t="shared" si="53"/>
        <v/>
      </c>
      <c r="GG11" s="11" t="str">
        <f t="shared" si="54"/>
        <v/>
      </c>
      <c r="GH11" s="36"/>
      <c r="GI11" s="36"/>
      <c r="GJ11" s="36"/>
      <c r="GK11" s="36"/>
      <c r="GL11" s="36"/>
      <c r="GM11" s="36"/>
      <c r="GN11" s="36"/>
      <c r="GO11" s="36"/>
      <c r="GP11" s="36"/>
      <c r="GQ11" s="36"/>
      <c r="GR11" s="36"/>
      <c r="GS11" s="36"/>
      <c r="GT11" s="36"/>
      <c r="GU11" s="36"/>
      <c r="GV11" s="36"/>
      <c r="GW11" s="36"/>
      <c r="GX11" s="14" t="str">
        <f t="shared" si="55"/>
        <v/>
      </c>
      <c r="GY11" s="14" t="str">
        <f t="shared" si="56"/>
        <v/>
      </c>
      <c r="GZ11" s="14" t="str">
        <f t="shared" si="57"/>
        <v/>
      </c>
      <c r="HA11" s="14" t="str">
        <f t="shared" si="58"/>
        <v/>
      </c>
      <c r="HB11" s="14" t="str">
        <f t="shared" si="59"/>
        <v/>
      </c>
      <c r="HC11" s="35"/>
      <c r="HD11" s="35"/>
      <c r="HE11" s="35"/>
      <c r="HF11" s="35"/>
      <c r="HG11" s="35"/>
      <c r="HH11" s="35"/>
      <c r="HI11" s="35"/>
      <c r="HJ11" s="35"/>
      <c r="HK11" s="35"/>
      <c r="HL11" s="35"/>
      <c r="HM11" s="35"/>
      <c r="HN11" s="35"/>
      <c r="HO11" s="35"/>
      <c r="HP11" s="35"/>
      <c r="HQ11" s="35"/>
      <c r="HR11" s="35"/>
      <c r="HS11" s="11" t="str">
        <f t="shared" si="60"/>
        <v/>
      </c>
      <c r="HT11" s="11" t="str">
        <f t="shared" si="61"/>
        <v/>
      </c>
      <c r="HU11" s="11" t="str">
        <f t="shared" si="62"/>
        <v/>
      </c>
      <c r="HV11" s="11" t="str">
        <f t="shared" si="63"/>
        <v/>
      </c>
      <c r="HW11" s="11" t="str">
        <f t="shared" si="64"/>
        <v/>
      </c>
      <c r="HX11" s="36"/>
      <c r="HY11" s="36"/>
      <c r="HZ11" s="36"/>
      <c r="IA11" s="36"/>
      <c r="IB11" s="36"/>
      <c r="IC11" s="36"/>
      <c r="ID11" s="36"/>
      <c r="IE11" s="36"/>
      <c r="IF11" s="36"/>
      <c r="IG11" s="36"/>
      <c r="IH11" s="36"/>
      <c r="II11" s="36"/>
      <c r="IJ11" s="36"/>
      <c r="IK11" s="36"/>
      <c r="IL11" s="36"/>
      <c r="IM11" s="36"/>
      <c r="IN11" s="14" t="str">
        <f t="shared" si="65"/>
        <v/>
      </c>
      <c r="IO11" s="14" t="str">
        <f t="shared" si="66"/>
        <v/>
      </c>
      <c r="IP11" s="14" t="str">
        <f t="shared" si="67"/>
        <v/>
      </c>
      <c r="IQ11" s="14" t="str">
        <f t="shared" si="68"/>
        <v/>
      </c>
      <c r="IR11" s="14" t="str">
        <f t="shared" si="69"/>
        <v/>
      </c>
      <c r="IS11" s="35"/>
      <c r="IT11" s="35"/>
      <c r="IU11" s="35"/>
      <c r="IV11" s="35"/>
      <c r="IW11" s="35"/>
      <c r="IX11" s="35"/>
      <c r="IY11" s="35"/>
      <c r="IZ11" s="35"/>
      <c r="JA11" s="35"/>
      <c r="JB11" s="35"/>
      <c r="JC11" s="35"/>
      <c r="JD11" s="35"/>
      <c r="JE11" s="35"/>
      <c r="JF11" s="35"/>
      <c r="JG11" s="35"/>
      <c r="JH11" s="35"/>
      <c r="JI11" s="11" t="str">
        <f t="shared" si="70"/>
        <v/>
      </c>
      <c r="JJ11" s="11" t="str">
        <f t="shared" si="71"/>
        <v/>
      </c>
      <c r="JK11" s="11" t="str">
        <f t="shared" si="72"/>
        <v/>
      </c>
      <c r="JL11" s="11" t="str">
        <f t="shared" si="73"/>
        <v/>
      </c>
      <c r="JM11" s="11" t="str">
        <f t="shared" si="74"/>
        <v/>
      </c>
      <c r="JN11" s="36"/>
      <c r="JO11" s="36"/>
      <c r="JP11" s="36"/>
      <c r="JQ11" s="36"/>
      <c r="JR11" s="36"/>
      <c r="JS11" s="36"/>
      <c r="JT11" s="36"/>
      <c r="JU11" s="36"/>
      <c r="JV11" s="36"/>
      <c r="JW11" s="36"/>
      <c r="JX11" s="36"/>
      <c r="JY11" s="36"/>
      <c r="JZ11" s="36"/>
      <c r="KA11" s="36"/>
      <c r="KB11" s="36"/>
      <c r="KC11" s="36"/>
      <c r="KD11" s="14" t="str">
        <f t="shared" si="75"/>
        <v/>
      </c>
      <c r="KE11" s="14" t="str">
        <f t="shared" si="76"/>
        <v/>
      </c>
      <c r="KF11" s="14" t="str">
        <f t="shared" si="77"/>
        <v/>
      </c>
      <c r="KG11" s="14" t="str">
        <f t="shared" si="78"/>
        <v/>
      </c>
      <c r="KH11" s="14" t="str">
        <f t="shared" si="79"/>
        <v/>
      </c>
      <c r="KI11" s="35"/>
      <c r="KJ11" s="35"/>
      <c r="KK11" s="35"/>
      <c r="KL11" s="35"/>
      <c r="KM11" s="35"/>
      <c r="KN11" s="35"/>
      <c r="KO11" s="35"/>
      <c r="KP11" s="35"/>
      <c r="KQ11" s="35"/>
      <c r="KR11" s="35"/>
      <c r="KS11" s="35"/>
      <c r="KT11" s="35"/>
      <c r="KU11" s="35"/>
      <c r="KV11" s="35"/>
      <c r="KW11" s="35"/>
      <c r="KX11" s="35"/>
      <c r="KY11" s="11" t="str">
        <f t="shared" si="80"/>
        <v/>
      </c>
      <c r="KZ11" s="11" t="str">
        <f t="shared" si="81"/>
        <v/>
      </c>
      <c r="LA11" s="11" t="str">
        <f t="shared" si="82"/>
        <v/>
      </c>
      <c r="LB11" s="11" t="str">
        <f t="shared" si="83"/>
        <v/>
      </c>
      <c r="LC11" s="11" t="str">
        <f t="shared" si="84"/>
        <v/>
      </c>
      <c r="LD11" s="36"/>
      <c r="LE11" s="36"/>
      <c r="LF11" s="36"/>
      <c r="LG11" s="36"/>
      <c r="LH11" s="36"/>
      <c r="LI11" s="36"/>
      <c r="LJ11" s="36"/>
      <c r="LK11" s="36"/>
      <c r="LL11" s="36"/>
      <c r="LM11" s="36"/>
      <c r="LN11" s="36"/>
      <c r="LO11" s="36"/>
      <c r="LP11" s="36"/>
      <c r="LQ11" s="36"/>
      <c r="LR11" s="36"/>
      <c r="LS11" s="36"/>
      <c r="LT11" s="14" t="str">
        <f t="shared" si="85"/>
        <v/>
      </c>
      <c r="LU11" s="14" t="str">
        <f t="shared" si="86"/>
        <v/>
      </c>
      <c r="LV11" s="14" t="str">
        <f t="shared" si="87"/>
        <v/>
      </c>
      <c r="LW11" s="14" t="str">
        <f t="shared" si="88"/>
        <v/>
      </c>
      <c r="LX11" s="14" t="str">
        <f t="shared" si="89"/>
        <v/>
      </c>
      <c r="LY11" s="61">
        <f t="shared" si="90"/>
        <v>23.05</v>
      </c>
      <c r="LZ11" s="61">
        <f t="shared" si="91"/>
        <v>1.2</v>
      </c>
      <c r="MA11" s="61">
        <f t="shared" si="92"/>
        <v>0</v>
      </c>
      <c r="MB11" s="61">
        <f t="shared" si="93"/>
        <v>0</v>
      </c>
      <c r="MC11" s="61">
        <f t="shared" si="94"/>
        <v>24.25</v>
      </c>
      <c r="MD11" s="61">
        <f t="shared" si="95"/>
        <v>2.4500000000000002</v>
      </c>
      <c r="ME11" s="61">
        <f t="shared" si="96"/>
        <v>0.55000000000000004</v>
      </c>
      <c r="MF11" s="61">
        <f t="shared" si="97"/>
        <v>0.3</v>
      </c>
      <c r="MG11" s="61">
        <f t="shared" si="98"/>
        <v>12.35</v>
      </c>
      <c r="MH11" s="61">
        <f t="shared" si="99"/>
        <v>0.9</v>
      </c>
      <c r="MI11" s="61">
        <f t="shared" si="100"/>
        <v>0.6</v>
      </c>
      <c r="MJ11" s="61">
        <f t="shared" si="101"/>
        <v>0</v>
      </c>
      <c r="MK11" s="61">
        <f t="shared" si="102"/>
        <v>12.25</v>
      </c>
      <c r="ML11" s="61">
        <f t="shared" si="103"/>
        <v>1.2</v>
      </c>
      <c r="MM11" s="61">
        <f t="shared" si="104"/>
        <v>0.3</v>
      </c>
      <c r="MN11" s="61">
        <f t="shared" si="105"/>
        <v>0.15</v>
      </c>
      <c r="MO11" s="72" t="s">
        <v>52</v>
      </c>
      <c r="MP11" s="11">
        <f t="shared" si="106"/>
        <v>3.6500000000000004</v>
      </c>
      <c r="MQ11" s="11">
        <f t="shared" si="107"/>
        <v>50.7</v>
      </c>
      <c r="MR11" s="11">
        <f t="shared" si="108"/>
        <v>2.1</v>
      </c>
      <c r="MS11" s="11">
        <f t="shared" si="109"/>
        <v>25.95</v>
      </c>
      <c r="MT11" s="11">
        <f t="shared" si="110"/>
        <v>76.650000000000006</v>
      </c>
    </row>
    <row r="12" spans="1:358" x14ac:dyDescent="0.2">
      <c r="A12" s="5" t="str">
        <f t="shared" si="0"/>
        <v/>
      </c>
      <c r="B12" s="6" t="s">
        <v>151</v>
      </c>
      <c r="C12" s="7" t="s">
        <v>3</v>
      </c>
      <c r="D12" s="26">
        <v>2004</v>
      </c>
      <c r="E12" s="15">
        <f t="shared" si="1"/>
        <v>55.500000000000007</v>
      </c>
      <c r="F12" s="3" t="str">
        <f t="shared" si="2"/>
        <v/>
      </c>
      <c r="G12" s="3" t="str">
        <f t="shared" si="3"/>
        <v/>
      </c>
      <c r="H12" s="116" t="str">
        <f t="shared" si="4"/>
        <v/>
      </c>
      <c r="I12" s="3" t="str">
        <f t="shared" si="5"/>
        <v/>
      </c>
      <c r="J12" s="14">
        <f t="shared" si="6"/>
        <v>55.500000000000007</v>
      </c>
      <c r="K12" s="14" t="str">
        <f t="shared" si="7"/>
        <v>2021 Elite Canada</v>
      </c>
      <c r="L12" s="14">
        <f t="shared" si="8"/>
        <v>0</v>
      </c>
      <c r="M12" s="14" t="str">
        <f t="shared" si="9"/>
        <v/>
      </c>
      <c r="N12" s="14" t="str">
        <f t="shared" si="10"/>
        <v/>
      </c>
      <c r="O12" s="24" t="str">
        <f t="shared" si="11"/>
        <v/>
      </c>
      <c r="P12" s="14" t="str">
        <f t="shared" si="12"/>
        <v/>
      </c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72"/>
      <c r="AH12" s="11" t="str">
        <f t="shared" si="13"/>
        <v/>
      </c>
      <c r="AI12" s="11" t="str">
        <f t="shared" si="14"/>
        <v/>
      </c>
      <c r="AJ12" s="11" t="str">
        <f t="shared" si="15"/>
        <v/>
      </c>
      <c r="AK12" s="11" t="str">
        <f t="shared" si="16"/>
        <v/>
      </c>
      <c r="AL12" s="11" t="str">
        <f t="shared" si="17"/>
        <v/>
      </c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73"/>
      <c r="BD12" s="14" t="str">
        <f t="shared" si="18"/>
        <v/>
      </c>
      <c r="BE12" s="14" t="str">
        <f t="shared" si="19"/>
        <v/>
      </c>
      <c r="BF12" s="14" t="str">
        <f t="shared" si="20"/>
        <v/>
      </c>
      <c r="BG12" s="14" t="str">
        <f t="shared" si="21"/>
        <v/>
      </c>
      <c r="BH12" s="14" t="str">
        <f t="shared" si="22"/>
        <v/>
      </c>
      <c r="BI12" s="37">
        <v>24.1</v>
      </c>
      <c r="BJ12" s="37">
        <v>4.0999999999999996</v>
      </c>
      <c r="BK12" s="37">
        <v>0.6</v>
      </c>
      <c r="BL12" s="37">
        <v>0.3</v>
      </c>
      <c r="BM12" s="37">
        <v>24.6</v>
      </c>
      <c r="BN12" s="37">
        <v>3</v>
      </c>
      <c r="BO12" s="37">
        <v>0</v>
      </c>
      <c r="BP12" s="37">
        <v>0</v>
      </c>
      <c r="BQ12" s="37"/>
      <c r="BR12" s="37"/>
      <c r="BS12" s="37"/>
      <c r="BT12" s="37"/>
      <c r="BU12" s="37"/>
      <c r="BV12" s="37"/>
      <c r="BW12" s="37"/>
      <c r="BX12" s="37"/>
      <c r="BY12" s="72"/>
      <c r="BZ12" s="11">
        <f t="shared" si="23"/>
        <v>7.1</v>
      </c>
      <c r="CA12" s="11">
        <f t="shared" si="24"/>
        <v>55.500000000000007</v>
      </c>
      <c r="CB12" s="11" t="str">
        <f t="shared" si="25"/>
        <v/>
      </c>
      <c r="CC12" s="11" t="str">
        <f t="shared" si="26"/>
        <v/>
      </c>
      <c r="CD12" s="11">
        <f t="shared" si="27"/>
        <v>55.500000000000007</v>
      </c>
      <c r="CE12" s="23" t="str">
        <f t="shared" si="28"/>
        <v/>
      </c>
      <c r="CF12" s="23" t="str">
        <f t="shared" si="29"/>
        <v/>
      </c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  <c r="CW12" s="11" t="str">
        <f t="shared" si="30"/>
        <v/>
      </c>
      <c r="CX12" s="11" t="str">
        <f t="shared" si="31"/>
        <v/>
      </c>
      <c r="CY12" s="11" t="str">
        <f t="shared" si="32"/>
        <v/>
      </c>
      <c r="CZ12" s="11" t="str">
        <f t="shared" si="33"/>
        <v/>
      </c>
      <c r="DA12" s="11" t="str">
        <f t="shared" si="34"/>
        <v/>
      </c>
      <c r="DB12" s="36"/>
      <c r="DC12" s="36"/>
      <c r="DD12" s="36"/>
      <c r="DE12" s="36"/>
      <c r="DF12" s="36"/>
      <c r="DG12" s="36"/>
      <c r="DH12" s="36"/>
      <c r="DI12" s="36"/>
      <c r="DJ12" s="36"/>
      <c r="DK12" s="36"/>
      <c r="DL12" s="36"/>
      <c r="DM12" s="36"/>
      <c r="DN12" s="36"/>
      <c r="DO12" s="36"/>
      <c r="DP12" s="36"/>
      <c r="DQ12" s="36"/>
      <c r="DR12" s="14" t="str">
        <f t="shared" si="35"/>
        <v/>
      </c>
      <c r="DS12" s="14" t="str">
        <f t="shared" si="36"/>
        <v/>
      </c>
      <c r="DT12" s="14" t="str">
        <f t="shared" si="37"/>
        <v/>
      </c>
      <c r="DU12" s="14" t="str">
        <f t="shared" si="38"/>
        <v/>
      </c>
      <c r="DV12" s="14" t="str">
        <f t="shared" si="39"/>
        <v/>
      </c>
      <c r="DW12" s="35"/>
      <c r="DX12" s="35"/>
      <c r="DY12" s="35"/>
      <c r="DZ12" s="35"/>
      <c r="EA12" s="35"/>
      <c r="EB12" s="35"/>
      <c r="EC12" s="35"/>
      <c r="ED12" s="35"/>
      <c r="EE12" s="35"/>
      <c r="EF12" s="35"/>
      <c r="EG12" s="35"/>
      <c r="EH12" s="35"/>
      <c r="EI12" s="35"/>
      <c r="EJ12" s="35"/>
      <c r="EK12" s="35"/>
      <c r="EL12" s="35"/>
      <c r="EM12" s="11" t="str">
        <f t="shared" si="40"/>
        <v/>
      </c>
      <c r="EN12" s="11" t="str">
        <f t="shared" si="41"/>
        <v/>
      </c>
      <c r="EO12" s="11" t="str">
        <f t="shared" si="42"/>
        <v/>
      </c>
      <c r="EP12" s="11" t="str">
        <f t="shared" si="43"/>
        <v/>
      </c>
      <c r="EQ12" s="11" t="str">
        <f t="shared" si="44"/>
        <v/>
      </c>
      <c r="ER12" s="36"/>
      <c r="ES12" s="36"/>
      <c r="ET12" s="36"/>
      <c r="EU12" s="36"/>
      <c r="EV12" s="36"/>
      <c r="EW12" s="36"/>
      <c r="EX12" s="36"/>
      <c r="EY12" s="36"/>
      <c r="EZ12" s="36"/>
      <c r="FA12" s="36"/>
      <c r="FB12" s="36"/>
      <c r="FC12" s="36"/>
      <c r="FD12" s="36"/>
      <c r="FE12" s="36"/>
      <c r="FF12" s="36"/>
      <c r="FG12" s="36"/>
      <c r="FH12" s="14" t="str">
        <f t="shared" si="45"/>
        <v/>
      </c>
      <c r="FI12" s="14" t="str">
        <f t="shared" si="46"/>
        <v/>
      </c>
      <c r="FJ12" s="14" t="str">
        <f t="shared" si="47"/>
        <v/>
      </c>
      <c r="FK12" s="14" t="str">
        <f t="shared" si="48"/>
        <v/>
      </c>
      <c r="FL12" s="14" t="str">
        <f t="shared" si="49"/>
        <v/>
      </c>
      <c r="FM12" s="35"/>
      <c r="FN12" s="35"/>
      <c r="FO12" s="35"/>
      <c r="FP12" s="35"/>
      <c r="FQ12" s="35"/>
      <c r="FR12" s="35"/>
      <c r="FS12" s="35"/>
      <c r="FT12" s="35"/>
      <c r="FU12" s="35"/>
      <c r="FV12" s="35"/>
      <c r="FW12" s="35"/>
      <c r="FX12" s="35"/>
      <c r="FY12" s="35"/>
      <c r="FZ12" s="35"/>
      <c r="GA12" s="35"/>
      <c r="GB12" s="35"/>
      <c r="GC12" s="11" t="str">
        <f t="shared" si="50"/>
        <v/>
      </c>
      <c r="GD12" s="11" t="str">
        <f t="shared" si="51"/>
        <v/>
      </c>
      <c r="GE12" s="11" t="str">
        <f t="shared" si="52"/>
        <v/>
      </c>
      <c r="GF12" s="11" t="str">
        <f t="shared" si="53"/>
        <v/>
      </c>
      <c r="GG12" s="11" t="str">
        <f t="shared" si="54"/>
        <v/>
      </c>
      <c r="GH12" s="36"/>
      <c r="GI12" s="36"/>
      <c r="GJ12" s="36"/>
      <c r="GK12" s="36"/>
      <c r="GL12" s="36"/>
      <c r="GM12" s="36"/>
      <c r="GN12" s="36"/>
      <c r="GO12" s="36"/>
      <c r="GP12" s="36"/>
      <c r="GQ12" s="36"/>
      <c r="GR12" s="36"/>
      <c r="GS12" s="36"/>
      <c r="GT12" s="36"/>
      <c r="GU12" s="36"/>
      <c r="GV12" s="36"/>
      <c r="GW12" s="36"/>
      <c r="GX12" s="14" t="str">
        <f t="shared" si="55"/>
        <v/>
      </c>
      <c r="GY12" s="14" t="str">
        <f t="shared" si="56"/>
        <v/>
      </c>
      <c r="GZ12" s="14" t="str">
        <f t="shared" si="57"/>
        <v/>
      </c>
      <c r="HA12" s="14" t="str">
        <f t="shared" si="58"/>
        <v/>
      </c>
      <c r="HB12" s="14" t="str">
        <f t="shared" si="59"/>
        <v/>
      </c>
      <c r="HC12" s="35"/>
      <c r="HD12" s="35"/>
      <c r="HE12" s="35"/>
      <c r="HF12" s="35"/>
      <c r="HG12" s="35"/>
      <c r="HH12" s="35"/>
      <c r="HI12" s="35"/>
      <c r="HJ12" s="35"/>
      <c r="HK12" s="35"/>
      <c r="HL12" s="35"/>
      <c r="HM12" s="35"/>
      <c r="HN12" s="35"/>
      <c r="HO12" s="35"/>
      <c r="HP12" s="35"/>
      <c r="HQ12" s="35"/>
      <c r="HR12" s="35"/>
      <c r="HS12" s="11" t="str">
        <f t="shared" si="60"/>
        <v/>
      </c>
      <c r="HT12" s="11" t="str">
        <f t="shared" si="61"/>
        <v/>
      </c>
      <c r="HU12" s="11" t="str">
        <f t="shared" si="62"/>
        <v/>
      </c>
      <c r="HV12" s="11" t="str">
        <f t="shared" si="63"/>
        <v/>
      </c>
      <c r="HW12" s="11" t="str">
        <f t="shared" si="64"/>
        <v/>
      </c>
      <c r="HX12" s="36"/>
      <c r="HY12" s="36"/>
      <c r="HZ12" s="36"/>
      <c r="IA12" s="36"/>
      <c r="IB12" s="36"/>
      <c r="IC12" s="36"/>
      <c r="ID12" s="36"/>
      <c r="IE12" s="36"/>
      <c r="IF12" s="36"/>
      <c r="IG12" s="36"/>
      <c r="IH12" s="36"/>
      <c r="II12" s="36"/>
      <c r="IJ12" s="36"/>
      <c r="IK12" s="36"/>
      <c r="IL12" s="36"/>
      <c r="IM12" s="36"/>
      <c r="IN12" s="14" t="str">
        <f t="shared" si="65"/>
        <v/>
      </c>
      <c r="IO12" s="14" t="str">
        <f t="shared" si="66"/>
        <v/>
      </c>
      <c r="IP12" s="14" t="str">
        <f t="shared" si="67"/>
        <v/>
      </c>
      <c r="IQ12" s="14" t="str">
        <f t="shared" si="68"/>
        <v/>
      </c>
      <c r="IR12" s="14" t="str">
        <f t="shared" si="69"/>
        <v/>
      </c>
      <c r="IS12" s="35"/>
      <c r="IT12" s="35"/>
      <c r="IU12" s="35"/>
      <c r="IV12" s="35"/>
      <c r="IW12" s="35"/>
      <c r="IX12" s="35"/>
      <c r="IY12" s="35"/>
      <c r="IZ12" s="35"/>
      <c r="JA12" s="35"/>
      <c r="JB12" s="35"/>
      <c r="JC12" s="35"/>
      <c r="JD12" s="35"/>
      <c r="JE12" s="35"/>
      <c r="JF12" s="35"/>
      <c r="JG12" s="35"/>
      <c r="JH12" s="35"/>
      <c r="JI12" s="11" t="str">
        <f t="shared" si="70"/>
        <v/>
      </c>
      <c r="JJ12" s="11" t="str">
        <f t="shared" si="71"/>
        <v/>
      </c>
      <c r="JK12" s="11" t="str">
        <f t="shared" si="72"/>
        <v/>
      </c>
      <c r="JL12" s="11" t="str">
        <f t="shared" si="73"/>
        <v/>
      </c>
      <c r="JM12" s="11" t="str">
        <f t="shared" si="74"/>
        <v/>
      </c>
      <c r="JN12" s="36"/>
      <c r="JO12" s="36"/>
      <c r="JP12" s="36"/>
      <c r="JQ12" s="36"/>
      <c r="JR12" s="36"/>
      <c r="JS12" s="36"/>
      <c r="JT12" s="36"/>
      <c r="JU12" s="36"/>
      <c r="JV12" s="36"/>
      <c r="JW12" s="36"/>
      <c r="JX12" s="36"/>
      <c r="JY12" s="36"/>
      <c r="JZ12" s="36"/>
      <c r="KA12" s="36"/>
      <c r="KB12" s="36"/>
      <c r="KC12" s="36"/>
      <c r="KD12" s="14" t="str">
        <f t="shared" si="75"/>
        <v/>
      </c>
      <c r="KE12" s="14" t="str">
        <f t="shared" si="76"/>
        <v/>
      </c>
      <c r="KF12" s="14" t="str">
        <f t="shared" si="77"/>
        <v/>
      </c>
      <c r="KG12" s="14" t="str">
        <f t="shared" si="78"/>
        <v/>
      </c>
      <c r="KH12" s="14" t="str">
        <f t="shared" si="79"/>
        <v/>
      </c>
      <c r="KI12" s="35"/>
      <c r="KJ12" s="35"/>
      <c r="KK12" s="35"/>
      <c r="KL12" s="35"/>
      <c r="KM12" s="35"/>
      <c r="KN12" s="35"/>
      <c r="KO12" s="35"/>
      <c r="KP12" s="35"/>
      <c r="KQ12" s="35"/>
      <c r="KR12" s="35"/>
      <c r="KS12" s="35"/>
      <c r="KT12" s="35"/>
      <c r="KU12" s="35"/>
      <c r="KV12" s="35"/>
      <c r="KW12" s="35"/>
      <c r="KX12" s="35"/>
      <c r="KY12" s="11" t="str">
        <f t="shared" si="80"/>
        <v/>
      </c>
      <c r="KZ12" s="11" t="str">
        <f t="shared" si="81"/>
        <v/>
      </c>
      <c r="LA12" s="11" t="str">
        <f t="shared" si="82"/>
        <v/>
      </c>
      <c r="LB12" s="11" t="str">
        <f t="shared" si="83"/>
        <v/>
      </c>
      <c r="LC12" s="11" t="str">
        <f t="shared" si="84"/>
        <v/>
      </c>
      <c r="LD12" s="36"/>
      <c r="LE12" s="36"/>
      <c r="LF12" s="36"/>
      <c r="LG12" s="36"/>
      <c r="LH12" s="36"/>
      <c r="LI12" s="36"/>
      <c r="LJ12" s="36"/>
      <c r="LK12" s="36"/>
      <c r="LL12" s="36"/>
      <c r="LM12" s="36"/>
      <c r="LN12" s="36"/>
      <c r="LO12" s="36"/>
      <c r="LP12" s="36"/>
      <c r="LQ12" s="36"/>
      <c r="LR12" s="36"/>
      <c r="LS12" s="36"/>
      <c r="LT12" s="14" t="str">
        <f t="shared" si="85"/>
        <v/>
      </c>
      <c r="LU12" s="14" t="str">
        <f t="shared" si="86"/>
        <v/>
      </c>
      <c r="LV12" s="14" t="str">
        <f t="shared" si="87"/>
        <v/>
      </c>
      <c r="LW12" s="14" t="str">
        <f t="shared" si="88"/>
        <v/>
      </c>
      <c r="LX12" s="14" t="str">
        <f t="shared" si="89"/>
        <v/>
      </c>
      <c r="LY12" s="61">
        <f t="shared" si="90"/>
        <v>12.05</v>
      </c>
      <c r="LZ12" s="61">
        <f t="shared" si="91"/>
        <v>2.0499999999999998</v>
      </c>
      <c r="MA12" s="61">
        <f t="shared" si="92"/>
        <v>0.3</v>
      </c>
      <c r="MB12" s="61">
        <f t="shared" si="93"/>
        <v>0.15</v>
      </c>
      <c r="MC12" s="61">
        <f t="shared" si="94"/>
        <v>12.3</v>
      </c>
      <c r="MD12" s="61">
        <f t="shared" si="95"/>
        <v>1.5</v>
      </c>
      <c r="ME12" s="61">
        <f t="shared" si="96"/>
        <v>0</v>
      </c>
      <c r="MF12" s="61">
        <f t="shared" si="97"/>
        <v>0</v>
      </c>
      <c r="MG12" s="61">
        <f t="shared" si="98"/>
        <v>0</v>
      </c>
      <c r="MH12" s="61">
        <f t="shared" si="99"/>
        <v>0</v>
      </c>
      <c r="MI12" s="61">
        <f t="shared" si="100"/>
        <v>0</v>
      </c>
      <c r="MJ12" s="61">
        <f t="shared" si="101"/>
        <v>0</v>
      </c>
      <c r="MK12" s="61">
        <f t="shared" si="102"/>
        <v>0</v>
      </c>
      <c r="ML12" s="61">
        <f t="shared" si="103"/>
        <v>0</v>
      </c>
      <c r="MM12" s="61">
        <f t="shared" si="104"/>
        <v>0</v>
      </c>
      <c r="MN12" s="61">
        <f t="shared" si="105"/>
        <v>0</v>
      </c>
      <c r="MO12" s="72" t="s">
        <v>52</v>
      </c>
      <c r="MP12" s="11">
        <f t="shared" si="106"/>
        <v>3.55</v>
      </c>
      <c r="MQ12" s="11">
        <f t="shared" si="107"/>
        <v>27.750000000000004</v>
      </c>
      <c r="MR12" s="11" t="str">
        <f t="shared" si="108"/>
        <v/>
      </c>
      <c r="MS12" s="11" t="str">
        <f t="shared" si="109"/>
        <v/>
      </c>
      <c r="MT12" s="11">
        <f t="shared" si="110"/>
        <v>27.750000000000004</v>
      </c>
    </row>
    <row r="13" spans="1:358" ht="17" x14ac:dyDescent="0.2">
      <c r="N13" s="18"/>
      <c r="O13" s="18"/>
      <c r="P13" s="18"/>
      <c r="JN13" s="38"/>
      <c r="JO13" s="38"/>
      <c r="JP13" s="38"/>
      <c r="JQ13" s="38"/>
      <c r="JR13" s="38"/>
      <c r="JS13" s="38"/>
      <c r="JT13" s="38"/>
      <c r="JU13" s="38"/>
      <c r="JV13" s="38"/>
      <c r="JW13" s="38"/>
      <c r="JX13" s="38"/>
      <c r="JY13" s="38"/>
      <c r="JZ13" s="38"/>
      <c r="KA13" s="38"/>
      <c r="KB13" s="38"/>
      <c r="KC13" s="38"/>
    </row>
    <row r="14" spans="1:358" ht="17" x14ac:dyDescent="0.2">
      <c r="N14" s="18"/>
      <c r="O14" s="18"/>
      <c r="P14" s="18"/>
    </row>
    <row r="15" spans="1:358" ht="17" x14ac:dyDescent="0.2">
      <c r="B15" s="62" t="s">
        <v>50</v>
      </c>
      <c r="N15" s="18"/>
      <c r="O15" s="18"/>
      <c r="P15" s="18"/>
      <c r="AH15" s="49"/>
      <c r="AL15" s="56">
        <v>7.2</v>
      </c>
      <c r="BD15" s="49"/>
      <c r="BH15" s="56">
        <v>7.2</v>
      </c>
      <c r="BZ15" s="49"/>
      <c r="CD15" s="56">
        <v>7.2</v>
      </c>
      <c r="CW15" s="49"/>
      <c r="DA15" s="56">
        <v>7.2</v>
      </c>
      <c r="DR15" s="49"/>
      <c r="DV15" s="56">
        <v>7.2</v>
      </c>
      <c r="EM15" s="49"/>
      <c r="EQ15" s="56">
        <v>7.2</v>
      </c>
      <c r="FH15" s="49"/>
      <c r="FL15" s="56">
        <v>7.2</v>
      </c>
      <c r="GC15" s="49"/>
      <c r="GG15" s="56">
        <v>7.2</v>
      </c>
      <c r="GX15" s="49"/>
      <c r="HB15" s="56">
        <v>7.2</v>
      </c>
      <c r="HS15" s="49"/>
      <c r="HW15" s="56">
        <v>7.2</v>
      </c>
      <c r="IN15" s="49"/>
      <c r="IR15" s="56">
        <v>7.2</v>
      </c>
      <c r="JI15" s="49"/>
      <c r="JM15" s="56">
        <v>7.2</v>
      </c>
      <c r="KD15" s="49"/>
      <c r="KH15" s="56">
        <v>7.2</v>
      </c>
      <c r="KY15" s="49"/>
      <c r="LC15" s="56">
        <v>7.2</v>
      </c>
      <c r="LT15" s="49"/>
      <c r="LX15" s="56">
        <v>7.2</v>
      </c>
    </row>
    <row r="16" spans="1:358" ht="17" hidden="1" x14ac:dyDescent="0.2">
      <c r="B16" s="83" t="s">
        <v>49</v>
      </c>
      <c r="N16" s="18"/>
      <c r="O16" s="18"/>
      <c r="P16" s="18"/>
      <c r="AH16" s="49"/>
      <c r="AL16" s="85">
        <v>1000</v>
      </c>
      <c r="BD16" s="49"/>
      <c r="BH16" s="85">
        <v>1000</v>
      </c>
      <c r="BZ16" s="49"/>
      <c r="CD16" s="85">
        <v>1000</v>
      </c>
      <c r="CW16" s="49"/>
      <c r="DA16" s="85">
        <v>1000</v>
      </c>
      <c r="DR16" s="49"/>
      <c r="DV16" s="85">
        <v>1000</v>
      </c>
      <c r="EM16" s="49"/>
      <c r="EQ16" s="85">
        <v>1000</v>
      </c>
      <c r="FH16" s="49"/>
      <c r="FL16" s="85">
        <v>1000</v>
      </c>
      <c r="GC16" s="49"/>
      <c r="GG16" s="85">
        <v>1000</v>
      </c>
      <c r="GX16" s="49"/>
      <c r="HB16" s="85">
        <v>1000</v>
      </c>
      <c r="HS16" s="49"/>
      <c r="HW16" s="85">
        <v>1000</v>
      </c>
      <c r="IN16" s="49"/>
      <c r="IR16" s="85">
        <v>1000</v>
      </c>
      <c r="JI16" s="49"/>
      <c r="JM16" s="85">
        <v>1000</v>
      </c>
      <c r="KD16" s="49"/>
      <c r="KH16" s="85">
        <v>1000</v>
      </c>
      <c r="KY16" s="49"/>
      <c r="LC16" s="85">
        <v>1000</v>
      </c>
      <c r="LT16" s="49"/>
      <c r="LX16" s="85">
        <v>1000</v>
      </c>
    </row>
    <row r="17" spans="1:336" ht="17" hidden="1" x14ac:dyDescent="0.2">
      <c r="A17" s="49"/>
      <c r="B17" s="84" t="s">
        <v>62</v>
      </c>
      <c r="C17" s="48"/>
      <c r="N17" s="18"/>
      <c r="O17" s="18"/>
      <c r="P17" s="18"/>
      <c r="AH17" s="49"/>
      <c r="AL17" s="86">
        <v>1000</v>
      </c>
      <c r="BD17" s="49"/>
      <c r="BH17" s="86">
        <v>1000</v>
      </c>
      <c r="BZ17" s="49"/>
      <c r="CD17" s="86">
        <v>1000</v>
      </c>
      <c r="CW17" s="49"/>
      <c r="DA17" s="86">
        <v>1000</v>
      </c>
      <c r="DR17" s="49"/>
      <c r="DV17" s="86">
        <v>1000</v>
      </c>
      <c r="EM17" s="49"/>
      <c r="EQ17" s="86">
        <v>1000</v>
      </c>
      <c r="FH17" s="49"/>
      <c r="FL17" s="86">
        <v>1000</v>
      </c>
      <c r="GC17" s="49"/>
      <c r="GG17" s="86">
        <v>1000</v>
      </c>
      <c r="GX17" s="49"/>
      <c r="HB17" s="86">
        <v>1000</v>
      </c>
      <c r="HS17" s="49"/>
      <c r="HW17" s="86">
        <v>1000</v>
      </c>
      <c r="IN17" s="49"/>
      <c r="IR17" s="86">
        <v>1000</v>
      </c>
      <c r="JI17" s="49"/>
      <c r="JM17" s="86">
        <v>1000</v>
      </c>
      <c r="KD17" s="49"/>
      <c r="KH17" s="86">
        <v>1000</v>
      </c>
      <c r="KY17" s="49"/>
      <c r="LC17" s="86">
        <v>1000</v>
      </c>
      <c r="LT17" s="49"/>
      <c r="LX17" s="86">
        <v>1000</v>
      </c>
    </row>
    <row r="18" spans="1:336" ht="17" hidden="1" x14ac:dyDescent="0.2">
      <c r="A18" s="49"/>
      <c r="B18" s="110" t="s">
        <v>70</v>
      </c>
      <c r="C18" s="48"/>
      <c r="N18" s="18"/>
      <c r="O18" s="18"/>
      <c r="P18" s="18"/>
      <c r="AH18" s="49"/>
      <c r="AL18" s="111">
        <v>1000</v>
      </c>
      <c r="BD18" s="49"/>
      <c r="BH18" s="111">
        <v>1000</v>
      </c>
      <c r="BZ18" s="49"/>
      <c r="CD18" s="111">
        <v>1000</v>
      </c>
      <c r="CW18" s="49"/>
      <c r="DA18" s="111">
        <v>1000</v>
      </c>
      <c r="DR18" s="49"/>
      <c r="DV18" s="111">
        <v>1000</v>
      </c>
      <c r="EM18" s="49"/>
      <c r="EQ18" s="111">
        <v>1000</v>
      </c>
      <c r="FH18" s="49"/>
      <c r="FL18" s="111">
        <v>1000</v>
      </c>
      <c r="GC18" s="49"/>
      <c r="GG18" s="111">
        <v>1000</v>
      </c>
      <c r="GX18" s="49"/>
      <c r="HB18" s="111">
        <v>1000</v>
      </c>
      <c r="HS18" s="49"/>
      <c r="HW18" s="111">
        <v>1000</v>
      </c>
      <c r="IN18" s="49"/>
      <c r="IR18" s="111">
        <v>1000</v>
      </c>
      <c r="JI18" s="49"/>
      <c r="JM18" s="111">
        <v>1000</v>
      </c>
      <c r="KD18" s="49"/>
      <c r="KH18" s="111">
        <v>1000</v>
      </c>
      <c r="KY18" s="49"/>
      <c r="LC18" s="111">
        <v>1000</v>
      </c>
      <c r="LT18" s="49"/>
      <c r="LX18" s="111">
        <v>1000</v>
      </c>
    </row>
    <row r="19" spans="1:336" ht="17" x14ac:dyDescent="0.2">
      <c r="A19" s="49"/>
      <c r="B19" s="108" t="s">
        <v>47</v>
      </c>
      <c r="C19" s="48"/>
      <c r="N19" s="18"/>
      <c r="O19" s="18"/>
      <c r="P19" s="18"/>
      <c r="AH19" s="49"/>
      <c r="AL19" s="109">
        <v>60</v>
      </c>
      <c r="BD19" s="49"/>
      <c r="BH19" s="109">
        <v>60</v>
      </c>
      <c r="BZ19" s="49"/>
      <c r="CD19" s="109">
        <v>60</v>
      </c>
      <c r="CW19" s="49"/>
      <c r="DA19" s="109">
        <v>60</v>
      </c>
      <c r="DR19" s="49"/>
      <c r="DV19" s="109">
        <v>60</v>
      </c>
      <c r="EM19" s="49"/>
      <c r="EQ19" s="109">
        <v>60</v>
      </c>
      <c r="FH19" s="49"/>
      <c r="FL19" s="109">
        <v>60</v>
      </c>
      <c r="GC19" s="49"/>
      <c r="GG19" s="109">
        <v>60</v>
      </c>
      <c r="GX19" s="49"/>
      <c r="HB19" s="109">
        <v>60</v>
      </c>
      <c r="HS19" s="49"/>
      <c r="HW19" s="109">
        <v>60</v>
      </c>
      <c r="IN19" s="49"/>
      <c r="IR19" s="109">
        <v>60</v>
      </c>
      <c r="JI19" s="49"/>
      <c r="JM19" s="109">
        <v>60</v>
      </c>
      <c r="KD19" s="49"/>
      <c r="KH19" s="109">
        <v>60</v>
      </c>
      <c r="KY19" s="49"/>
      <c r="LC19" s="109">
        <v>60</v>
      </c>
      <c r="LT19" s="49"/>
      <c r="LX19" s="109">
        <v>60</v>
      </c>
    </row>
    <row r="20" spans="1:336" ht="17" hidden="1" x14ac:dyDescent="0.2">
      <c r="A20" s="49"/>
      <c r="B20" s="64" t="s">
        <v>48</v>
      </c>
      <c r="C20" s="48"/>
      <c r="N20" s="18"/>
      <c r="O20" s="18"/>
      <c r="P20" s="18"/>
      <c r="AH20" s="49"/>
      <c r="AL20" s="58">
        <v>1000</v>
      </c>
      <c r="BD20" s="49"/>
      <c r="BH20" s="58">
        <v>1000</v>
      </c>
      <c r="BZ20" s="49"/>
      <c r="CD20" s="58">
        <v>1000</v>
      </c>
      <c r="CW20" s="49"/>
      <c r="DA20" s="58">
        <v>1000</v>
      </c>
      <c r="DR20" s="49"/>
      <c r="DV20" s="58">
        <v>1000</v>
      </c>
      <c r="EM20" s="49"/>
      <c r="EQ20" s="58">
        <v>1000</v>
      </c>
      <c r="FH20" s="49"/>
      <c r="FL20" s="58">
        <v>1000</v>
      </c>
      <c r="GC20" s="49"/>
      <c r="GG20" s="58">
        <v>1000</v>
      </c>
      <c r="GX20" s="49"/>
      <c r="HB20" s="58">
        <v>1000</v>
      </c>
      <c r="HS20" s="49"/>
      <c r="HW20" s="58">
        <v>1000</v>
      </c>
      <c r="IN20" s="49"/>
      <c r="IR20" s="58">
        <v>1000</v>
      </c>
      <c r="JI20" s="49"/>
      <c r="JM20" s="58">
        <v>1000</v>
      </c>
      <c r="KD20" s="49"/>
      <c r="KH20" s="58">
        <v>1000</v>
      </c>
      <c r="KY20" s="49"/>
      <c r="LC20" s="58">
        <v>1000</v>
      </c>
      <c r="LT20" s="49"/>
      <c r="LX20" s="58">
        <v>1000</v>
      </c>
    </row>
    <row r="21" spans="1:336" ht="17" hidden="1" x14ac:dyDescent="0.2">
      <c r="A21" s="49"/>
      <c r="B21" s="106" t="s">
        <v>60</v>
      </c>
      <c r="C21" s="48"/>
      <c r="N21" s="18"/>
      <c r="O21" s="18"/>
      <c r="P21" s="18"/>
      <c r="AH21" s="49"/>
      <c r="AL21" s="107">
        <v>1000</v>
      </c>
      <c r="BD21" s="49"/>
      <c r="BH21" s="107">
        <v>1000</v>
      </c>
      <c r="BZ21" s="49"/>
      <c r="CD21" s="107">
        <v>1000</v>
      </c>
      <c r="CW21" s="49"/>
      <c r="DA21" s="107">
        <v>1000</v>
      </c>
      <c r="DR21" s="49"/>
      <c r="DV21" s="107">
        <v>1000</v>
      </c>
      <c r="EM21" s="49"/>
      <c r="EQ21" s="107">
        <v>1000</v>
      </c>
      <c r="FH21" s="49"/>
      <c r="FL21" s="107">
        <v>1000</v>
      </c>
      <c r="GC21" s="49"/>
      <c r="GG21" s="107">
        <v>1000</v>
      </c>
      <c r="GX21" s="49"/>
      <c r="HB21" s="107">
        <v>1000</v>
      </c>
      <c r="HS21" s="49"/>
      <c r="HW21" s="107">
        <v>1000</v>
      </c>
      <c r="IN21" s="49"/>
      <c r="IR21" s="107">
        <v>1000</v>
      </c>
      <c r="JI21" s="49"/>
      <c r="JM21" s="107">
        <v>1000</v>
      </c>
      <c r="KD21" s="49"/>
      <c r="KH21" s="107">
        <v>1000</v>
      </c>
      <c r="KY21" s="49"/>
      <c r="LC21" s="107">
        <v>1000</v>
      </c>
      <c r="LT21" s="49"/>
      <c r="LX21" s="107">
        <v>1000</v>
      </c>
    </row>
    <row r="22" spans="1:336" ht="17" hidden="1" x14ac:dyDescent="0.2">
      <c r="A22" s="49"/>
      <c r="B22" s="66" t="s">
        <v>34</v>
      </c>
      <c r="C22" s="48"/>
      <c r="N22" s="18"/>
      <c r="O22" s="18"/>
      <c r="P22" s="18"/>
      <c r="AH22" s="49"/>
      <c r="AL22" s="60">
        <v>1000</v>
      </c>
      <c r="BD22" s="49"/>
      <c r="BH22" s="60">
        <v>1000</v>
      </c>
      <c r="BZ22" s="49"/>
      <c r="CD22" s="60">
        <v>1000</v>
      </c>
      <c r="CW22" s="49"/>
      <c r="DA22" s="60">
        <v>1000</v>
      </c>
      <c r="DR22" s="49"/>
      <c r="DV22" s="60">
        <v>1000</v>
      </c>
      <c r="EM22" s="49"/>
      <c r="EQ22" s="60">
        <v>1000</v>
      </c>
      <c r="FH22" s="49"/>
      <c r="FL22" s="60">
        <v>1000</v>
      </c>
      <c r="GC22" s="49"/>
      <c r="GG22" s="60">
        <v>1000</v>
      </c>
      <c r="GX22" s="49"/>
      <c r="HB22" s="60">
        <v>1000</v>
      </c>
      <c r="HS22" s="49"/>
      <c r="HW22" s="60">
        <v>1000</v>
      </c>
      <c r="IN22" s="49"/>
      <c r="IR22" s="60">
        <v>1000</v>
      </c>
      <c r="JI22" s="49"/>
      <c r="JM22" s="60">
        <v>1000</v>
      </c>
      <c r="KD22" s="49"/>
      <c r="KH22" s="60">
        <v>1000</v>
      </c>
      <c r="KY22" s="49"/>
      <c r="LC22" s="60">
        <v>1000</v>
      </c>
      <c r="LT22" s="49"/>
      <c r="LX22" s="60">
        <v>1000</v>
      </c>
    </row>
    <row r="23" spans="1:336" x14ac:dyDescent="0.2">
      <c r="B23" s="74" t="s">
        <v>53</v>
      </c>
      <c r="C23" s="2"/>
    </row>
    <row r="24" spans="1:336" x14ac:dyDescent="0.2">
      <c r="A24" s="49"/>
      <c r="B24" s="49"/>
      <c r="C24" s="48"/>
    </row>
    <row r="25" spans="1:336" x14ac:dyDescent="0.2">
      <c r="A25" s="49"/>
      <c r="B25" s="49"/>
      <c r="C25" s="48"/>
    </row>
    <row r="26" spans="1:336" x14ac:dyDescent="0.2">
      <c r="A26" s="49"/>
      <c r="B26" s="49"/>
      <c r="C26" s="48"/>
    </row>
    <row r="27" spans="1:336" x14ac:dyDescent="0.2">
      <c r="A27" s="6"/>
      <c r="B27" s="6"/>
      <c r="C27" s="6"/>
    </row>
  </sheetData>
  <sheetProtection sheet="1" formatCells="0" formatColumns="0" formatRows="0"/>
  <autoFilter ref="A1:MT6" xr:uid="{BB9C3AB3-2D15-174E-B900-3E2F789706E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12">
      <sortCondition descending="1" ref="F1:F13"/>
    </sortState>
  </autoFilter>
  <mergeCells count="97">
    <mergeCell ref="BI1:CD1"/>
    <mergeCell ref="BI2:BL2"/>
    <mergeCell ref="BM2:BP2"/>
    <mergeCell ref="BQ2:BT2"/>
    <mergeCell ref="BU2:BX2"/>
    <mergeCell ref="F1:F3"/>
    <mergeCell ref="HK2:HN2"/>
    <mergeCell ref="HO2:HR2"/>
    <mergeCell ref="HX2:IA2"/>
    <mergeCell ref="IB2:IE2"/>
    <mergeCell ref="FQ2:FT2"/>
    <mergeCell ref="FU2:FX2"/>
    <mergeCell ref="FY2:GB2"/>
    <mergeCell ref="ER1:FL1"/>
    <mergeCell ref="FM1:GG1"/>
    <mergeCell ref="GH1:HB1"/>
    <mergeCell ref="HC1:HW1"/>
    <mergeCell ref="DW2:DZ2"/>
    <mergeCell ref="EA2:ED2"/>
    <mergeCell ref="EE2:EH2"/>
    <mergeCell ref="CG2:CJ2"/>
    <mergeCell ref="LL2:LO2"/>
    <mergeCell ref="LP2:LS2"/>
    <mergeCell ref="KI2:KL2"/>
    <mergeCell ref="KM2:KP2"/>
    <mergeCell ref="KQ2:KT2"/>
    <mergeCell ref="KU2:KX2"/>
    <mergeCell ref="LD2:LG2"/>
    <mergeCell ref="IS1:JM1"/>
    <mergeCell ref="JN1:KH1"/>
    <mergeCell ref="KI1:LC1"/>
    <mergeCell ref="LD1:LX1"/>
    <mergeCell ref="IF2:II2"/>
    <mergeCell ref="IJ2:IM2"/>
    <mergeCell ref="IS2:IV2"/>
    <mergeCell ref="IW2:IZ2"/>
    <mergeCell ref="JA2:JD2"/>
    <mergeCell ref="HX1:IR1"/>
    <mergeCell ref="JE2:JH2"/>
    <mergeCell ref="JN2:JQ2"/>
    <mergeCell ref="JR2:JU2"/>
    <mergeCell ref="JV2:JY2"/>
    <mergeCell ref="JZ2:KC2"/>
    <mergeCell ref="LH2:LK2"/>
    <mergeCell ref="CE1:CF1"/>
    <mergeCell ref="CG1:DA1"/>
    <mergeCell ref="FM2:FP2"/>
    <mergeCell ref="GH2:GK2"/>
    <mergeCell ref="EI2:EL2"/>
    <mergeCell ref="ER2:EU2"/>
    <mergeCell ref="EV2:EY2"/>
    <mergeCell ref="EZ2:FC2"/>
    <mergeCell ref="FD2:FG2"/>
    <mergeCell ref="HC2:HF2"/>
    <mergeCell ref="HG2:HJ2"/>
    <mergeCell ref="DW1:EQ1"/>
    <mergeCell ref="CK2:CN2"/>
    <mergeCell ref="CO2:CR2"/>
    <mergeCell ref="CS2:CV2"/>
    <mergeCell ref="GL2:GO2"/>
    <mergeCell ref="GP2:GS2"/>
    <mergeCell ref="GT2:GW2"/>
    <mergeCell ref="DB1:DV1"/>
    <mergeCell ref="DB2:DE2"/>
    <mergeCell ref="DF2:DI2"/>
    <mergeCell ref="DJ2:DM2"/>
    <mergeCell ref="DN2:DQ2"/>
    <mergeCell ref="J1:J3"/>
    <mergeCell ref="AY2:BB2"/>
    <mergeCell ref="Q1:AL1"/>
    <mergeCell ref="AM1:BH1"/>
    <mergeCell ref="U2:X2"/>
    <mergeCell ref="Y2:AB2"/>
    <mergeCell ref="AC2:AF2"/>
    <mergeCell ref="AM2:AP2"/>
    <mergeCell ref="AQ2:AT2"/>
    <mergeCell ref="A1:A3"/>
    <mergeCell ref="AU2:AX2"/>
    <mergeCell ref="B1:B3"/>
    <mergeCell ref="C1:C3"/>
    <mergeCell ref="D1:D3"/>
    <mergeCell ref="E1:E3"/>
    <mergeCell ref="Q2:T2"/>
    <mergeCell ref="K1:K3"/>
    <mergeCell ref="M1:M3"/>
    <mergeCell ref="O1:O3"/>
    <mergeCell ref="P1:P3"/>
    <mergeCell ref="L1:L3"/>
    <mergeCell ref="N1:N3"/>
    <mergeCell ref="I1:I3"/>
    <mergeCell ref="G1:G3"/>
    <mergeCell ref="H1:H3"/>
    <mergeCell ref="LY1:MT1"/>
    <mergeCell ref="LY2:MB2"/>
    <mergeCell ref="MC2:MF2"/>
    <mergeCell ref="MG2:MJ2"/>
    <mergeCell ref="MK2:MN2"/>
  </mergeCells>
  <conditionalFormatting sqref="Q4:AL12">
    <cfRule type="expression" dxfId="59" priority="1" stopIfTrue="1">
      <formula>IF($AG4&lt;&gt;"",1,0)</formula>
    </cfRule>
  </conditionalFormatting>
  <conditionalFormatting sqref="AM4:BH12">
    <cfRule type="expression" dxfId="58" priority="2" stopIfTrue="1">
      <formula>IF($BC4&lt;&gt;"",1,0)</formula>
    </cfRule>
  </conditionalFormatting>
  <conditionalFormatting sqref="M1:M1048576 K1:K1048576">
    <cfRule type="expression" dxfId="57" priority="36244">
      <formula>IF(K1=$BI$1,1,0)</formula>
    </cfRule>
    <cfRule type="expression" dxfId="56" priority="36245">
      <formula>IF(K1=$AM$1,1,0)</formula>
    </cfRule>
    <cfRule type="expression" dxfId="55" priority="36246">
      <formula>IF(K1=$Q$1,1,0)</formula>
    </cfRule>
  </conditionalFormatting>
  <conditionalFormatting sqref="BI4:CD12">
    <cfRule type="expression" dxfId="54" priority="3" stopIfTrue="1">
      <formula>IF($BY4&lt;&gt;"",1,0)</formula>
    </cfRule>
  </conditionalFormatting>
  <conditionalFormatting sqref="A1:A1048576">
    <cfRule type="expression" dxfId="53" priority="38431">
      <formula>AND(G1="P",F1="")</formula>
    </cfRule>
  </conditionalFormatting>
  <conditionalFormatting sqref="H1:H1048576">
    <cfRule type="containsText" dxfId="52" priority="5" operator="containsText" text="No DD">
      <formula>NOT(ISERROR(SEARCH("No DD",H1)))</formula>
    </cfRule>
    <cfRule type="containsText" dxfId="51" priority="6" operator="containsText" text="Merit">
      <formula>NOT(ISERROR(SEARCH("Merit",H1)))</formula>
    </cfRule>
    <cfRule type="containsText" dxfId="50" priority="14" operator="containsText" text="Excellence">
      <formula>NOT(ISERROR(SEARCH("Excellence",H1)))</formula>
    </cfRule>
    <cfRule type="containsText" dxfId="49" priority="15" operator="containsText" text="Worlds Team">
      <formula>NOT(ISERROR(SEARCH("Worlds Team",H1)))</formula>
    </cfRule>
    <cfRule type="containsText" dxfId="48" priority="16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47" priority="40652" operator="between">
      <formula>AL$18</formula>
      <formula>1000</formula>
    </cfRule>
    <cfRule type="cellIs" dxfId="46" priority="40653" operator="between">
      <formula>AL$17</formula>
      <formula>AL$18</formula>
    </cfRule>
    <cfRule type="cellIs" dxfId="45" priority="40654" operator="between">
      <formula>AL$16</formula>
      <formula>AL$17</formula>
    </cfRule>
    <cfRule type="cellIs" dxfId="44" priority="40655" operator="between">
      <formula>AL$15</formula>
      <formula>AL$16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43" priority="40834" operator="between">
      <formula>AL$22</formula>
      <formula>1000</formula>
    </cfRule>
    <cfRule type="cellIs" dxfId="42" priority="40835" operator="between">
      <formula>AL$21</formula>
      <formula>AL$22</formula>
    </cfRule>
    <cfRule type="cellIs" dxfId="41" priority="40836" operator="between">
      <formula>AL$20</formula>
      <formula>AL$21</formula>
    </cfRule>
    <cfRule type="cellIs" dxfId="40" priority="40837" operator="between">
      <formula>AL$19</formula>
      <formula>AL$20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MT3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16" bestFit="1" customWidth="1"/>
    <col min="9" max="9" width="17.1640625" hidden="1" customWidth="1"/>
    <col min="11" max="11" width="27.5" bestFit="1" customWidth="1"/>
    <col min="13" max="13" width="27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57" width="10.83203125" customWidth="1"/>
    <col min="59" max="60" width="10.83203125" customWidth="1"/>
    <col min="61" max="77" width="10.83203125" hidden="1" customWidth="1"/>
    <col min="78" max="78" width="10.83203125" customWidth="1"/>
    <col min="81" max="82" width="10.83203125" customWidth="1"/>
    <col min="83" max="84" width="14.33203125" customWidth="1"/>
    <col min="85" max="358" width="10.83203125" hidden="1" customWidth="1"/>
  </cols>
  <sheetData>
    <row r="1" spans="1:358" ht="16" customHeight="1" x14ac:dyDescent="0.2">
      <c r="A1" s="123" t="s">
        <v>1</v>
      </c>
      <c r="B1" s="123" t="s">
        <v>25</v>
      </c>
      <c r="C1" s="123" t="s">
        <v>0</v>
      </c>
      <c r="D1" s="123" t="s">
        <v>54</v>
      </c>
      <c r="E1" s="123" t="s">
        <v>2</v>
      </c>
      <c r="F1" s="132" t="s">
        <v>59</v>
      </c>
      <c r="G1" s="132" t="s">
        <v>8</v>
      </c>
      <c r="H1" s="123" t="s">
        <v>9</v>
      </c>
      <c r="I1" s="132" t="s">
        <v>119</v>
      </c>
      <c r="J1" s="129" t="s">
        <v>10</v>
      </c>
      <c r="K1" s="128" t="s">
        <v>32</v>
      </c>
      <c r="L1" s="129" t="s">
        <v>134</v>
      </c>
      <c r="M1" s="128" t="s">
        <v>32</v>
      </c>
      <c r="N1" s="127" t="s">
        <v>13</v>
      </c>
      <c r="O1" s="128" t="s">
        <v>33</v>
      </c>
      <c r="P1" s="128" t="s">
        <v>32</v>
      </c>
      <c r="Q1" s="124" t="s">
        <v>69</v>
      </c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6" t="s">
        <v>120</v>
      </c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4" t="s">
        <v>135</v>
      </c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30" t="s">
        <v>13</v>
      </c>
      <c r="CF1" s="130"/>
      <c r="CG1" s="136"/>
      <c r="CH1" s="136"/>
      <c r="CI1" s="136"/>
      <c r="CJ1" s="136"/>
      <c r="CK1" s="136"/>
      <c r="CL1" s="136"/>
      <c r="CM1" s="136"/>
      <c r="CN1" s="136"/>
      <c r="CO1" s="136"/>
      <c r="CP1" s="136"/>
      <c r="CQ1" s="136"/>
      <c r="CR1" s="136"/>
      <c r="CS1" s="136"/>
      <c r="CT1" s="136"/>
      <c r="CU1" s="136"/>
      <c r="CV1" s="136"/>
      <c r="CW1" s="136"/>
      <c r="CX1" s="136"/>
      <c r="CY1" s="136"/>
      <c r="CZ1" s="136"/>
      <c r="DA1" s="136"/>
      <c r="DB1" s="137"/>
      <c r="DC1" s="137"/>
      <c r="DD1" s="137"/>
      <c r="DE1" s="137"/>
      <c r="DF1" s="137"/>
      <c r="DG1" s="137"/>
      <c r="DH1" s="137"/>
      <c r="DI1" s="137"/>
      <c r="DJ1" s="137"/>
      <c r="DK1" s="137"/>
      <c r="DL1" s="137"/>
      <c r="DM1" s="137"/>
      <c r="DN1" s="137"/>
      <c r="DO1" s="137"/>
      <c r="DP1" s="137"/>
      <c r="DQ1" s="137"/>
      <c r="DR1" s="137"/>
      <c r="DS1" s="137"/>
      <c r="DT1" s="137"/>
      <c r="DU1" s="137"/>
      <c r="DV1" s="137"/>
      <c r="DW1" s="136"/>
      <c r="DX1" s="136"/>
      <c r="DY1" s="136"/>
      <c r="DZ1" s="136"/>
      <c r="EA1" s="136"/>
      <c r="EB1" s="136"/>
      <c r="EC1" s="136"/>
      <c r="ED1" s="136"/>
      <c r="EE1" s="136"/>
      <c r="EF1" s="136"/>
      <c r="EG1" s="136"/>
      <c r="EH1" s="136"/>
      <c r="EI1" s="136"/>
      <c r="EJ1" s="136"/>
      <c r="EK1" s="136"/>
      <c r="EL1" s="136"/>
      <c r="EM1" s="136"/>
      <c r="EN1" s="136"/>
      <c r="EO1" s="136"/>
      <c r="EP1" s="136"/>
      <c r="EQ1" s="136"/>
      <c r="ER1" s="137"/>
      <c r="ES1" s="137"/>
      <c r="ET1" s="137"/>
      <c r="EU1" s="137"/>
      <c r="EV1" s="137"/>
      <c r="EW1" s="137"/>
      <c r="EX1" s="137"/>
      <c r="EY1" s="137"/>
      <c r="EZ1" s="137"/>
      <c r="FA1" s="137"/>
      <c r="FB1" s="137"/>
      <c r="FC1" s="137"/>
      <c r="FD1" s="137"/>
      <c r="FE1" s="137"/>
      <c r="FF1" s="137"/>
      <c r="FG1" s="137"/>
      <c r="FH1" s="137"/>
      <c r="FI1" s="137"/>
      <c r="FJ1" s="137"/>
      <c r="FK1" s="137"/>
      <c r="FL1" s="137"/>
      <c r="FM1" s="136"/>
      <c r="FN1" s="136"/>
      <c r="FO1" s="136"/>
      <c r="FP1" s="136"/>
      <c r="FQ1" s="136"/>
      <c r="FR1" s="136"/>
      <c r="FS1" s="136"/>
      <c r="FT1" s="136"/>
      <c r="FU1" s="136"/>
      <c r="FV1" s="136"/>
      <c r="FW1" s="136"/>
      <c r="FX1" s="136"/>
      <c r="FY1" s="136"/>
      <c r="FZ1" s="136"/>
      <c r="GA1" s="136"/>
      <c r="GB1" s="136"/>
      <c r="GC1" s="136"/>
      <c r="GD1" s="136"/>
      <c r="GE1" s="136"/>
      <c r="GF1" s="136"/>
      <c r="GG1" s="136"/>
      <c r="GH1" s="137"/>
      <c r="GI1" s="137"/>
      <c r="GJ1" s="137"/>
      <c r="GK1" s="137"/>
      <c r="GL1" s="137"/>
      <c r="GM1" s="137"/>
      <c r="GN1" s="137"/>
      <c r="GO1" s="137"/>
      <c r="GP1" s="137"/>
      <c r="GQ1" s="137"/>
      <c r="GR1" s="137"/>
      <c r="GS1" s="137"/>
      <c r="GT1" s="137"/>
      <c r="GU1" s="137"/>
      <c r="GV1" s="137"/>
      <c r="GW1" s="137"/>
      <c r="GX1" s="137"/>
      <c r="GY1" s="137"/>
      <c r="GZ1" s="137"/>
      <c r="HA1" s="137"/>
      <c r="HB1" s="137"/>
      <c r="HC1" s="136"/>
      <c r="HD1" s="136"/>
      <c r="HE1" s="136"/>
      <c r="HF1" s="136"/>
      <c r="HG1" s="136"/>
      <c r="HH1" s="136"/>
      <c r="HI1" s="136"/>
      <c r="HJ1" s="136"/>
      <c r="HK1" s="136"/>
      <c r="HL1" s="136"/>
      <c r="HM1" s="136"/>
      <c r="HN1" s="136"/>
      <c r="HO1" s="136"/>
      <c r="HP1" s="136"/>
      <c r="HQ1" s="136"/>
      <c r="HR1" s="136"/>
      <c r="HS1" s="136"/>
      <c r="HT1" s="136"/>
      <c r="HU1" s="136"/>
      <c r="HV1" s="136"/>
      <c r="HW1" s="136"/>
      <c r="HX1" s="137"/>
      <c r="HY1" s="137"/>
      <c r="HZ1" s="137"/>
      <c r="IA1" s="137"/>
      <c r="IB1" s="137"/>
      <c r="IC1" s="137"/>
      <c r="ID1" s="137"/>
      <c r="IE1" s="137"/>
      <c r="IF1" s="137"/>
      <c r="IG1" s="137"/>
      <c r="IH1" s="137"/>
      <c r="II1" s="137"/>
      <c r="IJ1" s="137"/>
      <c r="IK1" s="137"/>
      <c r="IL1" s="137"/>
      <c r="IM1" s="137"/>
      <c r="IN1" s="137"/>
      <c r="IO1" s="137"/>
      <c r="IP1" s="137"/>
      <c r="IQ1" s="137"/>
      <c r="IR1" s="137"/>
      <c r="IS1" s="136"/>
      <c r="IT1" s="136"/>
      <c r="IU1" s="136"/>
      <c r="IV1" s="136"/>
      <c r="IW1" s="136"/>
      <c r="IX1" s="136"/>
      <c r="IY1" s="136"/>
      <c r="IZ1" s="136"/>
      <c r="JA1" s="136"/>
      <c r="JB1" s="136"/>
      <c r="JC1" s="136"/>
      <c r="JD1" s="136"/>
      <c r="JE1" s="136"/>
      <c r="JF1" s="136"/>
      <c r="JG1" s="136"/>
      <c r="JH1" s="136"/>
      <c r="JI1" s="136"/>
      <c r="JJ1" s="136"/>
      <c r="JK1" s="136"/>
      <c r="JL1" s="136"/>
      <c r="JM1" s="136"/>
      <c r="JN1" s="137"/>
      <c r="JO1" s="137"/>
      <c r="JP1" s="137"/>
      <c r="JQ1" s="137"/>
      <c r="JR1" s="137"/>
      <c r="JS1" s="137"/>
      <c r="JT1" s="137"/>
      <c r="JU1" s="137"/>
      <c r="JV1" s="137"/>
      <c r="JW1" s="137"/>
      <c r="JX1" s="137"/>
      <c r="JY1" s="137"/>
      <c r="JZ1" s="137"/>
      <c r="KA1" s="137"/>
      <c r="KB1" s="137"/>
      <c r="KC1" s="137"/>
      <c r="KD1" s="137"/>
      <c r="KE1" s="137"/>
      <c r="KF1" s="137"/>
      <c r="KG1" s="137"/>
      <c r="KH1" s="137"/>
      <c r="KI1" s="136"/>
      <c r="KJ1" s="136"/>
      <c r="KK1" s="136"/>
      <c r="KL1" s="136"/>
      <c r="KM1" s="136"/>
      <c r="KN1" s="136"/>
      <c r="KO1" s="136"/>
      <c r="KP1" s="136"/>
      <c r="KQ1" s="136"/>
      <c r="KR1" s="136"/>
      <c r="KS1" s="136"/>
      <c r="KT1" s="136"/>
      <c r="KU1" s="136"/>
      <c r="KV1" s="136"/>
      <c r="KW1" s="136"/>
      <c r="KX1" s="136"/>
      <c r="KY1" s="136"/>
      <c r="KZ1" s="136"/>
      <c r="LA1" s="136"/>
      <c r="LB1" s="136"/>
      <c r="LC1" s="136"/>
      <c r="LD1" s="137"/>
      <c r="LE1" s="137"/>
      <c r="LF1" s="137"/>
      <c r="LG1" s="137"/>
      <c r="LH1" s="137"/>
      <c r="LI1" s="137"/>
      <c r="LJ1" s="137"/>
      <c r="LK1" s="137"/>
      <c r="LL1" s="137"/>
      <c r="LM1" s="137"/>
      <c r="LN1" s="137"/>
      <c r="LO1" s="137"/>
      <c r="LP1" s="137"/>
      <c r="LQ1" s="137"/>
      <c r="LR1" s="137"/>
      <c r="LS1" s="137"/>
      <c r="LT1" s="137"/>
      <c r="LU1" s="137"/>
      <c r="LV1" s="137"/>
      <c r="LW1" s="137"/>
      <c r="LX1" s="137"/>
      <c r="LY1" s="124" t="s">
        <v>63</v>
      </c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4"/>
    </row>
    <row r="2" spans="1:358" x14ac:dyDescent="0.2">
      <c r="A2" s="123"/>
      <c r="B2" s="123"/>
      <c r="C2" s="123"/>
      <c r="D2" s="123"/>
      <c r="E2" s="123"/>
      <c r="F2" s="132"/>
      <c r="G2" s="132"/>
      <c r="H2" s="123"/>
      <c r="I2" s="132"/>
      <c r="J2" s="129"/>
      <c r="K2" s="128"/>
      <c r="L2" s="129"/>
      <c r="M2" s="128"/>
      <c r="N2" s="127"/>
      <c r="O2" s="128"/>
      <c r="P2" s="128"/>
      <c r="Q2" s="122" t="s">
        <v>26</v>
      </c>
      <c r="R2" s="122"/>
      <c r="S2" s="122"/>
      <c r="T2" s="122"/>
      <c r="U2" s="122" t="s">
        <v>29</v>
      </c>
      <c r="V2" s="122"/>
      <c r="W2" s="122"/>
      <c r="X2" s="122"/>
      <c r="Y2" s="122" t="s">
        <v>30</v>
      </c>
      <c r="Z2" s="122"/>
      <c r="AA2" s="122"/>
      <c r="AB2" s="122"/>
      <c r="AC2" s="131" t="s">
        <v>31</v>
      </c>
      <c r="AD2" s="131"/>
      <c r="AE2" s="131"/>
      <c r="AF2" s="131"/>
      <c r="AG2" s="70"/>
      <c r="AH2" s="79" t="s">
        <v>24</v>
      </c>
      <c r="AI2" s="9" t="s">
        <v>23</v>
      </c>
      <c r="AJ2" s="51" t="s">
        <v>64</v>
      </c>
      <c r="AK2" s="9" t="s">
        <v>22</v>
      </c>
      <c r="AL2" s="9" t="s">
        <v>17</v>
      </c>
      <c r="AM2" s="125" t="s">
        <v>26</v>
      </c>
      <c r="AN2" s="125"/>
      <c r="AO2" s="125"/>
      <c r="AP2" s="125"/>
      <c r="AQ2" s="125" t="s">
        <v>29</v>
      </c>
      <c r="AR2" s="125"/>
      <c r="AS2" s="125"/>
      <c r="AT2" s="125"/>
      <c r="AU2" s="125" t="s">
        <v>30</v>
      </c>
      <c r="AV2" s="125"/>
      <c r="AW2" s="125"/>
      <c r="AX2" s="125"/>
      <c r="AY2" s="135" t="s">
        <v>31</v>
      </c>
      <c r="AZ2" s="135"/>
      <c r="BA2" s="135"/>
      <c r="BB2" s="135"/>
      <c r="BC2" s="71"/>
      <c r="BD2" s="80" t="s">
        <v>24</v>
      </c>
      <c r="BE2" s="12" t="s">
        <v>23</v>
      </c>
      <c r="BF2" s="80" t="s">
        <v>64</v>
      </c>
      <c r="BG2" s="12" t="s">
        <v>22</v>
      </c>
      <c r="BH2" s="12" t="s">
        <v>17</v>
      </c>
      <c r="BI2" s="122" t="s">
        <v>26</v>
      </c>
      <c r="BJ2" s="122"/>
      <c r="BK2" s="122"/>
      <c r="BL2" s="122"/>
      <c r="BM2" s="122" t="s">
        <v>29</v>
      </c>
      <c r="BN2" s="122"/>
      <c r="BO2" s="122"/>
      <c r="BP2" s="122"/>
      <c r="BQ2" s="122" t="s">
        <v>30</v>
      </c>
      <c r="BR2" s="122"/>
      <c r="BS2" s="122"/>
      <c r="BT2" s="122"/>
      <c r="BU2" s="131" t="s">
        <v>31</v>
      </c>
      <c r="BV2" s="131"/>
      <c r="BW2" s="131"/>
      <c r="BX2" s="131"/>
      <c r="BY2" s="101"/>
      <c r="BZ2" s="101" t="s">
        <v>24</v>
      </c>
      <c r="CA2" s="9" t="s">
        <v>23</v>
      </c>
      <c r="CB2" s="101" t="s">
        <v>64</v>
      </c>
      <c r="CC2" s="9" t="s">
        <v>22</v>
      </c>
      <c r="CD2" s="9" t="s">
        <v>17</v>
      </c>
      <c r="CE2" s="21" t="s">
        <v>23</v>
      </c>
      <c r="CF2" s="21" t="s">
        <v>61</v>
      </c>
      <c r="CG2" s="122" t="s">
        <v>26</v>
      </c>
      <c r="CH2" s="122"/>
      <c r="CI2" s="122"/>
      <c r="CJ2" s="122"/>
      <c r="CK2" s="122" t="s">
        <v>29</v>
      </c>
      <c r="CL2" s="122"/>
      <c r="CM2" s="122"/>
      <c r="CN2" s="122"/>
      <c r="CO2" s="122" t="s">
        <v>30</v>
      </c>
      <c r="CP2" s="122"/>
      <c r="CQ2" s="122"/>
      <c r="CR2" s="122"/>
      <c r="CS2" s="131" t="s">
        <v>31</v>
      </c>
      <c r="CT2" s="131"/>
      <c r="CU2" s="131"/>
      <c r="CV2" s="131"/>
      <c r="CW2" s="79" t="s">
        <v>24</v>
      </c>
      <c r="CX2" s="9" t="s">
        <v>23</v>
      </c>
      <c r="CY2" s="79" t="s">
        <v>64</v>
      </c>
      <c r="CZ2" s="9" t="s">
        <v>22</v>
      </c>
      <c r="DA2" s="9" t="s">
        <v>17</v>
      </c>
      <c r="DB2" s="135" t="s">
        <v>26</v>
      </c>
      <c r="DC2" s="135"/>
      <c r="DD2" s="135"/>
      <c r="DE2" s="135"/>
      <c r="DF2" s="135" t="s">
        <v>29</v>
      </c>
      <c r="DG2" s="135"/>
      <c r="DH2" s="135"/>
      <c r="DI2" s="135"/>
      <c r="DJ2" s="135" t="s">
        <v>30</v>
      </c>
      <c r="DK2" s="135"/>
      <c r="DL2" s="135"/>
      <c r="DM2" s="135"/>
      <c r="DN2" s="135" t="s">
        <v>31</v>
      </c>
      <c r="DO2" s="135"/>
      <c r="DP2" s="135"/>
      <c r="DQ2" s="135"/>
      <c r="DR2" s="80" t="s">
        <v>24</v>
      </c>
      <c r="DS2" s="16" t="s">
        <v>23</v>
      </c>
      <c r="DT2" s="80" t="s">
        <v>64</v>
      </c>
      <c r="DU2" s="16" t="s">
        <v>22</v>
      </c>
      <c r="DV2" s="16" t="s">
        <v>17</v>
      </c>
      <c r="DW2" s="131" t="s">
        <v>26</v>
      </c>
      <c r="DX2" s="131"/>
      <c r="DY2" s="131"/>
      <c r="DZ2" s="131"/>
      <c r="EA2" s="131" t="s">
        <v>29</v>
      </c>
      <c r="EB2" s="131"/>
      <c r="EC2" s="131"/>
      <c r="ED2" s="131"/>
      <c r="EE2" s="131" t="s">
        <v>30</v>
      </c>
      <c r="EF2" s="131"/>
      <c r="EG2" s="131"/>
      <c r="EH2" s="131"/>
      <c r="EI2" s="131" t="s">
        <v>31</v>
      </c>
      <c r="EJ2" s="131"/>
      <c r="EK2" s="131"/>
      <c r="EL2" s="131"/>
      <c r="EM2" s="79" t="s">
        <v>24</v>
      </c>
      <c r="EN2" s="17" t="s">
        <v>23</v>
      </c>
      <c r="EO2" s="79" t="s">
        <v>64</v>
      </c>
      <c r="EP2" s="17" t="s">
        <v>22</v>
      </c>
      <c r="EQ2" s="17" t="s">
        <v>17</v>
      </c>
      <c r="ER2" s="135" t="s">
        <v>26</v>
      </c>
      <c r="ES2" s="135"/>
      <c r="ET2" s="135"/>
      <c r="EU2" s="135"/>
      <c r="EV2" s="135" t="s">
        <v>29</v>
      </c>
      <c r="EW2" s="135"/>
      <c r="EX2" s="135"/>
      <c r="EY2" s="135"/>
      <c r="EZ2" s="135" t="s">
        <v>30</v>
      </c>
      <c r="FA2" s="135"/>
      <c r="FB2" s="135"/>
      <c r="FC2" s="135"/>
      <c r="FD2" s="135" t="s">
        <v>31</v>
      </c>
      <c r="FE2" s="135"/>
      <c r="FF2" s="135"/>
      <c r="FG2" s="135"/>
      <c r="FH2" s="80" t="s">
        <v>24</v>
      </c>
      <c r="FI2" s="16" t="s">
        <v>23</v>
      </c>
      <c r="FJ2" s="80" t="s">
        <v>64</v>
      </c>
      <c r="FK2" s="16" t="s">
        <v>22</v>
      </c>
      <c r="FL2" s="16" t="s">
        <v>17</v>
      </c>
      <c r="FM2" s="131" t="s">
        <v>26</v>
      </c>
      <c r="FN2" s="131"/>
      <c r="FO2" s="131"/>
      <c r="FP2" s="131"/>
      <c r="FQ2" s="131" t="s">
        <v>29</v>
      </c>
      <c r="FR2" s="131"/>
      <c r="FS2" s="131"/>
      <c r="FT2" s="131"/>
      <c r="FU2" s="131" t="s">
        <v>30</v>
      </c>
      <c r="FV2" s="131"/>
      <c r="FW2" s="131"/>
      <c r="FX2" s="131"/>
      <c r="FY2" s="131" t="s">
        <v>31</v>
      </c>
      <c r="FZ2" s="131"/>
      <c r="GA2" s="131"/>
      <c r="GB2" s="131"/>
      <c r="GC2" s="79" t="s">
        <v>24</v>
      </c>
      <c r="GD2" s="17" t="s">
        <v>23</v>
      </c>
      <c r="GE2" s="79" t="s">
        <v>64</v>
      </c>
      <c r="GF2" s="17" t="s">
        <v>22</v>
      </c>
      <c r="GG2" s="17" t="s">
        <v>17</v>
      </c>
      <c r="GH2" s="135" t="s">
        <v>26</v>
      </c>
      <c r="GI2" s="135"/>
      <c r="GJ2" s="135"/>
      <c r="GK2" s="135"/>
      <c r="GL2" s="135" t="s">
        <v>29</v>
      </c>
      <c r="GM2" s="135"/>
      <c r="GN2" s="135"/>
      <c r="GO2" s="135"/>
      <c r="GP2" s="135" t="s">
        <v>30</v>
      </c>
      <c r="GQ2" s="135"/>
      <c r="GR2" s="135"/>
      <c r="GS2" s="135"/>
      <c r="GT2" s="135" t="s">
        <v>31</v>
      </c>
      <c r="GU2" s="135"/>
      <c r="GV2" s="135"/>
      <c r="GW2" s="135"/>
      <c r="GX2" s="81" t="s">
        <v>24</v>
      </c>
      <c r="GY2" s="16" t="s">
        <v>23</v>
      </c>
      <c r="GZ2" s="81" t="s">
        <v>64</v>
      </c>
      <c r="HA2" s="16" t="s">
        <v>22</v>
      </c>
      <c r="HB2" s="16" t="s">
        <v>17</v>
      </c>
      <c r="HC2" s="131" t="s">
        <v>26</v>
      </c>
      <c r="HD2" s="131"/>
      <c r="HE2" s="131"/>
      <c r="HF2" s="131"/>
      <c r="HG2" s="131" t="s">
        <v>29</v>
      </c>
      <c r="HH2" s="131"/>
      <c r="HI2" s="131"/>
      <c r="HJ2" s="131"/>
      <c r="HK2" s="131" t="s">
        <v>30</v>
      </c>
      <c r="HL2" s="131"/>
      <c r="HM2" s="131"/>
      <c r="HN2" s="131"/>
      <c r="HO2" s="131" t="s">
        <v>31</v>
      </c>
      <c r="HP2" s="131"/>
      <c r="HQ2" s="131"/>
      <c r="HR2" s="131"/>
      <c r="HS2" s="82" t="s">
        <v>24</v>
      </c>
      <c r="HT2" s="17" t="s">
        <v>23</v>
      </c>
      <c r="HU2" s="82" t="s">
        <v>64</v>
      </c>
      <c r="HV2" s="17" t="s">
        <v>22</v>
      </c>
      <c r="HW2" s="17" t="s">
        <v>17</v>
      </c>
      <c r="HX2" s="135" t="s">
        <v>26</v>
      </c>
      <c r="HY2" s="135"/>
      <c r="HZ2" s="135"/>
      <c r="IA2" s="135"/>
      <c r="IB2" s="135" t="s">
        <v>29</v>
      </c>
      <c r="IC2" s="135"/>
      <c r="ID2" s="135"/>
      <c r="IE2" s="135"/>
      <c r="IF2" s="135" t="s">
        <v>30</v>
      </c>
      <c r="IG2" s="135"/>
      <c r="IH2" s="135"/>
      <c r="II2" s="135"/>
      <c r="IJ2" s="135" t="s">
        <v>31</v>
      </c>
      <c r="IK2" s="135"/>
      <c r="IL2" s="135"/>
      <c r="IM2" s="135"/>
      <c r="IN2" s="81" t="s">
        <v>24</v>
      </c>
      <c r="IO2" s="16" t="s">
        <v>23</v>
      </c>
      <c r="IP2" s="81" t="s">
        <v>64</v>
      </c>
      <c r="IQ2" s="16" t="s">
        <v>22</v>
      </c>
      <c r="IR2" s="16" t="s">
        <v>17</v>
      </c>
      <c r="IS2" s="131" t="s">
        <v>26</v>
      </c>
      <c r="IT2" s="131"/>
      <c r="IU2" s="131"/>
      <c r="IV2" s="131"/>
      <c r="IW2" s="131" t="s">
        <v>29</v>
      </c>
      <c r="IX2" s="131"/>
      <c r="IY2" s="131"/>
      <c r="IZ2" s="131"/>
      <c r="JA2" s="131" t="s">
        <v>30</v>
      </c>
      <c r="JB2" s="131"/>
      <c r="JC2" s="131"/>
      <c r="JD2" s="131"/>
      <c r="JE2" s="131" t="s">
        <v>31</v>
      </c>
      <c r="JF2" s="131"/>
      <c r="JG2" s="131"/>
      <c r="JH2" s="131"/>
      <c r="JI2" s="82" t="s">
        <v>24</v>
      </c>
      <c r="JJ2" s="17" t="s">
        <v>23</v>
      </c>
      <c r="JK2" s="82" t="s">
        <v>64</v>
      </c>
      <c r="JL2" s="17" t="s">
        <v>22</v>
      </c>
      <c r="JM2" s="17" t="s">
        <v>17</v>
      </c>
      <c r="JN2" s="135" t="s">
        <v>26</v>
      </c>
      <c r="JO2" s="135"/>
      <c r="JP2" s="135"/>
      <c r="JQ2" s="135"/>
      <c r="JR2" s="135" t="s">
        <v>29</v>
      </c>
      <c r="JS2" s="135"/>
      <c r="JT2" s="135"/>
      <c r="JU2" s="135"/>
      <c r="JV2" s="135" t="s">
        <v>30</v>
      </c>
      <c r="JW2" s="135"/>
      <c r="JX2" s="135"/>
      <c r="JY2" s="135"/>
      <c r="JZ2" s="135" t="s">
        <v>31</v>
      </c>
      <c r="KA2" s="135"/>
      <c r="KB2" s="135"/>
      <c r="KC2" s="135"/>
      <c r="KD2" s="81" t="s">
        <v>24</v>
      </c>
      <c r="KE2" s="16" t="s">
        <v>23</v>
      </c>
      <c r="KF2" s="81" t="s">
        <v>64</v>
      </c>
      <c r="KG2" s="16" t="s">
        <v>22</v>
      </c>
      <c r="KH2" s="16" t="s">
        <v>17</v>
      </c>
      <c r="KI2" s="131" t="s">
        <v>26</v>
      </c>
      <c r="KJ2" s="131"/>
      <c r="KK2" s="131"/>
      <c r="KL2" s="131"/>
      <c r="KM2" s="131" t="s">
        <v>29</v>
      </c>
      <c r="KN2" s="131"/>
      <c r="KO2" s="131"/>
      <c r="KP2" s="131"/>
      <c r="KQ2" s="131" t="s">
        <v>30</v>
      </c>
      <c r="KR2" s="131"/>
      <c r="KS2" s="131"/>
      <c r="KT2" s="131"/>
      <c r="KU2" s="131" t="s">
        <v>31</v>
      </c>
      <c r="KV2" s="131"/>
      <c r="KW2" s="131"/>
      <c r="KX2" s="131"/>
      <c r="KY2" s="82" t="s">
        <v>24</v>
      </c>
      <c r="KZ2" s="17" t="s">
        <v>23</v>
      </c>
      <c r="LA2" s="82" t="s">
        <v>64</v>
      </c>
      <c r="LB2" s="17" t="s">
        <v>22</v>
      </c>
      <c r="LC2" s="17" t="s">
        <v>17</v>
      </c>
      <c r="LD2" s="135" t="s">
        <v>26</v>
      </c>
      <c r="LE2" s="135"/>
      <c r="LF2" s="135"/>
      <c r="LG2" s="135"/>
      <c r="LH2" s="135" t="s">
        <v>29</v>
      </c>
      <c r="LI2" s="135"/>
      <c r="LJ2" s="135"/>
      <c r="LK2" s="135"/>
      <c r="LL2" s="135" t="s">
        <v>30</v>
      </c>
      <c r="LM2" s="135"/>
      <c r="LN2" s="135"/>
      <c r="LO2" s="135"/>
      <c r="LP2" s="135" t="s">
        <v>31</v>
      </c>
      <c r="LQ2" s="135"/>
      <c r="LR2" s="135"/>
      <c r="LS2" s="135"/>
      <c r="LT2" s="81" t="s">
        <v>24</v>
      </c>
      <c r="LU2" s="16" t="s">
        <v>23</v>
      </c>
      <c r="LV2" s="81" t="s">
        <v>64</v>
      </c>
      <c r="LW2" s="16" t="s">
        <v>22</v>
      </c>
      <c r="LX2" s="16" t="s">
        <v>17</v>
      </c>
      <c r="LY2" s="122" t="s">
        <v>26</v>
      </c>
      <c r="LZ2" s="122"/>
      <c r="MA2" s="122"/>
      <c r="MB2" s="122"/>
      <c r="MC2" s="122" t="s">
        <v>29</v>
      </c>
      <c r="MD2" s="122"/>
      <c r="ME2" s="122"/>
      <c r="MF2" s="122"/>
      <c r="MG2" s="122" t="s">
        <v>30</v>
      </c>
      <c r="MH2" s="122"/>
      <c r="MI2" s="122"/>
      <c r="MJ2" s="122"/>
      <c r="MK2" s="131" t="s">
        <v>31</v>
      </c>
      <c r="ML2" s="131"/>
      <c r="MM2" s="131"/>
      <c r="MN2" s="131"/>
      <c r="MO2" s="94"/>
      <c r="MP2" s="94" t="s">
        <v>24</v>
      </c>
      <c r="MQ2" s="9" t="s">
        <v>23</v>
      </c>
      <c r="MR2" s="94" t="s">
        <v>64</v>
      </c>
      <c r="MS2" s="9" t="s">
        <v>22</v>
      </c>
      <c r="MT2" s="9" t="s">
        <v>17</v>
      </c>
    </row>
    <row r="3" spans="1:358" x14ac:dyDescent="0.2">
      <c r="A3" s="123"/>
      <c r="B3" s="123"/>
      <c r="C3" s="123"/>
      <c r="D3" s="123"/>
      <c r="E3" s="123"/>
      <c r="F3" s="132"/>
      <c r="G3" s="132"/>
      <c r="H3" s="123"/>
      <c r="I3" s="132"/>
      <c r="J3" s="129"/>
      <c r="K3" s="128"/>
      <c r="L3" s="129"/>
      <c r="M3" s="128"/>
      <c r="N3" s="127"/>
      <c r="O3" s="128"/>
      <c r="P3" s="128"/>
      <c r="Q3" s="51" t="s">
        <v>14</v>
      </c>
      <c r="R3" s="51" t="s">
        <v>7</v>
      </c>
      <c r="S3" s="51" t="s">
        <v>27</v>
      </c>
      <c r="T3" s="51" t="s">
        <v>28</v>
      </c>
      <c r="U3" s="51" t="s">
        <v>14</v>
      </c>
      <c r="V3" s="51" t="s">
        <v>7</v>
      </c>
      <c r="W3" s="51" t="s">
        <v>27</v>
      </c>
      <c r="X3" s="51" t="s">
        <v>28</v>
      </c>
      <c r="Y3" s="51" t="s">
        <v>14</v>
      </c>
      <c r="Z3" s="51" t="s">
        <v>7</v>
      </c>
      <c r="AA3" s="51" t="s">
        <v>27</v>
      </c>
      <c r="AB3" s="51" t="s">
        <v>28</v>
      </c>
      <c r="AC3" s="54" t="s">
        <v>14</v>
      </c>
      <c r="AD3" s="54" t="s">
        <v>7</v>
      </c>
      <c r="AE3" s="54" t="s">
        <v>27</v>
      </c>
      <c r="AF3" s="54" t="s">
        <v>28</v>
      </c>
      <c r="AG3" s="70" t="s">
        <v>51</v>
      </c>
      <c r="AH3" s="10"/>
      <c r="AI3" s="9"/>
      <c r="AJ3" s="10"/>
      <c r="AK3" s="10"/>
      <c r="AL3" s="10"/>
      <c r="AM3" s="50" t="s">
        <v>14</v>
      </c>
      <c r="AN3" s="50" t="s">
        <v>7</v>
      </c>
      <c r="AO3" s="50" t="s">
        <v>27</v>
      </c>
      <c r="AP3" s="50" t="s">
        <v>28</v>
      </c>
      <c r="AQ3" s="50" t="s">
        <v>14</v>
      </c>
      <c r="AR3" s="50" t="s">
        <v>7</v>
      </c>
      <c r="AS3" s="50" t="s">
        <v>27</v>
      </c>
      <c r="AT3" s="50" t="s">
        <v>28</v>
      </c>
      <c r="AU3" s="50" t="s">
        <v>14</v>
      </c>
      <c r="AV3" s="50" t="s">
        <v>7</v>
      </c>
      <c r="AW3" s="50" t="s">
        <v>27</v>
      </c>
      <c r="AX3" s="50" t="s">
        <v>28</v>
      </c>
      <c r="AY3" s="55" t="s">
        <v>14</v>
      </c>
      <c r="AZ3" s="55" t="s">
        <v>7</v>
      </c>
      <c r="BA3" s="55" t="s">
        <v>27</v>
      </c>
      <c r="BB3" s="55" t="s">
        <v>28</v>
      </c>
      <c r="BC3" s="71" t="s">
        <v>51</v>
      </c>
      <c r="BD3" s="13"/>
      <c r="BE3" s="12"/>
      <c r="BF3" s="13"/>
      <c r="BG3" s="13"/>
      <c r="BH3" s="13"/>
      <c r="BI3" s="101" t="s">
        <v>14</v>
      </c>
      <c r="BJ3" s="101" t="s">
        <v>7</v>
      </c>
      <c r="BK3" s="101" t="s">
        <v>27</v>
      </c>
      <c r="BL3" s="101" t="s">
        <v>28</v>
      </c>
      <c r="BM3" s="101" t="s">
        <v>14</v>
      </c>
      <c r="BN3" s="101" t="s">
        <v>7</v>
      </c>
      <c r="BO3" s="101" t="s">
        <v>27</v>
      </c>
      <c r="BP3" s="101" t="s">
        <v>28</v>
      </c>
      <c r="BQ3" s="101" t="s">
        <v>14</v>
      </c>
      <c r="BR3" s="101" t="s">
        <v>7</v>
      </c>
      <c r="BS3" s="101" t="s">
        <v>27</v>
      </c>
      <c r="BT3" s="101" t="s">
        <v>28</v>
      </c>
      <c r="BU3" s="103" t="s">
        <v>14</v>
      </c>
      <c r="BV3" s="103" t="s">
        <v>7</v>
      </c>
      <c r="BW3" s="103" t="s">
        <v>27</v>
      </c>
      <c r="BX3" s="103" t="s">
        <v>28</v>
      </c>
      <c r="BY3" s="101" t="s">
        <v>51</v>
      </c>
      <c r="BZ3" s="10"/>
      <c r="CA3" s="9"/>
      <c r="CB3" s="10"/>
      <c r="CC3" s="10"/>
      <c r="CD3" s="10"/>
      <c r="CE3" s="22"/>
      <c r="CF3" s="22"/>
      <c r="CG3" s="51" t="s">
        <v>14</v>
      </c>
      <c r="CH3" s="51" t="s">
        <v>7</v>
      </c>
      <c r="CI3" s="51" t="s">
        <v>27</v>
      </c>
      <c r="CJ3" s="51" t="s">
        <v>28</v>
      </c>
      <c r="CK3" s="51" t="s">
        <v>14</v>
      </c>
      <c r="CL3" s="51" t="s">
        <v>7</v>
      </c>
      <c r="CM3" s="51" t="s">
        <v>27</v>
      </c>
      <c r="CN3" s="51" t="s">
        <v>28</v>
      </c>
      <c r="CO3" s="51" t="s">
        <v>14</v>
      </c>
      <c r="CP3" s="51" t="s">
        <v>7</v>
      </c>
      <c r="CQ3" s="51" t="s">
        <v>27</v>
      </c>
      <c r="CR3" s="51" t="s">
        <v>28</v>
      </c>
      <c r="CS3" s="54" t="s">
        <v>14</v>
      </c>
      <c r="CT3" s="54" t="s">
        <v>7</v>
      </c>
      <c r="CU3" s="54" t="s">
        <v>27</v>
      </c>
      <c r="CV3" s="54" t="s">
        <v>28</v>
      </c>
      <c r="CW3" s="10"/>
      <c r="CX3" s="9"/>
      <c r="CY3" s="10"/>
      <c r="CZ3" s="10"/>
      <c r="DA3" s="10"/>
      <c r="DB3" s="55" t="s">
        <v>14</v>
      </c>
      <c r="DC3" s="55" t="s">
        <v>7</v>
      </c>
      <c r="DD3" s="55" t="s">
        <v>27</v>
      </c>
      <c r="DE3" s="55" t="s">
        <v>28</v>
      </c>
      <c r="DF3" s="55" t="s">
        <v>14</v>
      </c>
      <c r="DG3" s="55" t="s">
        <v>7</v>
      </c>
      <c r="DH3" s="55" t="s">
        <v>27</v>
      </c>
      <c r="DI3" s="55" t="s">
        <v>28</v>
      </c>
      <c r="DJ3" s="55" t="s">
        <v>14</v>
      </c>
      <c r="DK3" s="55" t="s">
        <v>7</v>
      </c>
      <c r="DL3" s="55" t="s">
        <v>27</v>
      </c>
      <c r="DM3" s="55" t="s">
        <v>28</v>
      </c>
      <c r="DN3" s="55" t="s">
        <v>14</v>
      </c>
      <c r="DO3" s="55" t="s">
        <v>7</v>
      </c>
      <c r="DP3" s="55" t="s">
        <v>27</v>
      </c>
      <c r="DQ3" s="55" t="s">
        <v>28</v>
      </c>
      <c r="DR3" s="13"/>
      <c r="DS3" s="16"/>
      <c r="DT3" s="13"/>
      <c r="DU3" s="16"/>
      <c r="DV3" s="16"/>
      <c r="DW3" s="54" t="s">
        <v>14</v>
      </c>
      <c r="DX3" s="54" t="s">
        <v>7</v>
      </c>
      <c r="DY3" s="54" t="s">
        <v>27</v>
      </c>
      <c r="DZ3" s="54" t="s">
        <v>28</v>
      </c>
      <c r="EA3" s="54" t="s">
        <v>14</v>
      </c>
      <c r="EB3" s="54" t="s">
        <v>7</v>
      </c>
      <c r="EC3" s="54" t="s">
        <v>27</v>
      </c>
      <c r="ED3" s="54" t="s">
        <v>28</v>
      </c>
      <c r="EE3" s="54" t="s">
        <v>14</v>
      </c>
      <c r="EF3" s="54" t="s">
        <v>7</v>
      </c>
      <c r="EG3" s="54" t="s">
        <v>27</v>
      </c>
      <c r="EH3" s="54" t="s">
        <v>28</v>
      </c>
      <c r="EI3" s="54" t="s">
        <v>14</v>
      </c>
      <c r="EJ3" s="54" t="s">
        <v>7</v>
      </c>
      <c r="EK3" s="54" t="s">
        <v>27</v>
      </c>
      <c r="EL3" s="54" t="s">
        <v>28</v>
      </c>
      <c r="EM3" s="10"/>
      <c r="EN3" s="17"/>
      <c r="EO3" s="10"/>
      <c r="EP3" s="17"/>
      <c r="EQ3" s="17"/>
      <c r="ER3" s="55" t="s">
        <v>14</v>
      </c>
      <c r="ES3" s="55" t="s">
        <v>7</v>
      </c>
      <c r="ET3" s="55" t="s">
        <v>27</v>
      </c>
      <c r="EU3" s="55" t="s">
        <v>28</v>
      </c>
      <c r="EV3" s="55" t="s">
        <v>14</v>
      </c>
      <c r="EW3" s="55" t="s">
        <v>7</v>
      </c>
      <c r="EX3" s="55" t="s">
        <v>27</v>
      </c>
      <c r="EY3" s="55" t="s">
        <v>28</v>
      </c>
      <c r="EZ3" s="55" t="s">
        <v>14</v>
      </c>
      <c r="FA3" s="55" t="s">
        <v>7</v>
      </c>
      <c r="FB3" s="55" t="s">
        <v>27</v>
      </c>
      <c r="FC3" s="55" t="s">
        <v>28</v>
      </c>
      <c r="FD3" s="55" t="s">
        <v>14</v>
      </c>
      <c r="FE3" s="55" t="s">
        <v>7</v>
      </c>
      <c r="FF3" s="55" t="s">
        <v>27</v>
      </c>
      <c r="FG3" s="55" t="s">
        <v>28</v>
      </c>
      <c r="FH3" s="13"/>
      <c r="FI3" s="16"/>
      <c r="FJ3" s="13"/>
      <c r="FK3" s="16"/>
      <c r="FL3" s="16"/>
      <c r="FM3" s="32" t="s">
        <v>14</v>
      </c>
      <c r="FN3" s="32" t="s">
        <v>7</v>
      </c>
      <c r="FO3" s="32" t="s">
        <v>27</v>
      </c>
      <c r="FP3" s="32" t="s">
        <v>28</v>
      </c>
      <c r="FQ3" s="32" t="s">
        <v>14</v>
      </c>
      <c r="FR3" s="32" t="s">
        <v>7</v>
      </c>
      <c r="FS3" s="32" t="s">
        <v>27</v>
      </c>
      <c r="FT3" s="32" t="s">
        <v>28</v>
      </c>
      <c r="FU3" s="32" t="s">
        <v>14</v>
      </c>
      <c r="FV3" s="32" t="s">
        <v>7</v>
      </c>
      <c r="FW3" s="32" t="s">
        <v>27</v>
      </c>
      <c r="FX3" s="32" t="s">
        <v>28</v>
      </c>
      <c r="FY3" s="32" t="s">
        <v>14</v>
      </c>
      <c r="FZ3" s="32" t="s">
        <v>7</v>
      </c>
      <c r="GA3" s="32" t="s">
        <v>27</v>
      </c>
      <c r="GB3" s="32" t="s">
        <v>28</v>
      </c>
      <c r="GC3" s="10"/>
      <c r="GD3" s="17"/>
      <c r="GE3" s="10"/>
      <c r="GF3" s="17"/>
      <c r="GG3" s="17"/>
      <c r="GH3" s="31" t="s">
        <v>14</v>
      </c>
      <c r="GI3" s="31" t="s">
        <v>7</v>
      </c>
      <c r="GJ3" s="31" t="s">
        <v>27</v>
      </c>
      <c r="GK3" s="31" t="s">
        <v>28</v>
      </c>
      <c r="GL3" s="31" t="s">
        <v>14</v>
      </c>
      <c r="GM3" s="31" t="s">
        <v>7</v>
      </c>
      <c r="GN3" s="31" t="s">
        <v>27</v>
      </c>
      <c r="GO3" s="31" t="s">
        <v>28</v>
      </c>
      <c r="GP3" s="31" t="s">
        <v>14</v>
      </c>
      <c r="GQ3" s="31" t="s">
        <v>7</v>
      </c>
      <c r="GR3" s="31" t="s">
        <v>27</v>
      </c>
      <c r="GS3" s="31" t="s">
        <v>28</v>
      </c>
      <c r="GT3" s="31" t="s">
        <v>14</v>
      </c>
      <c r="GU3" s="31" t="s">
        <v>7</v>
      </c>
      <c r="GV3" s="31" t="s">
        <v>27</v>
      </c>
      <c r="GW3" s="31" t="s">
        <v>28</v>
      </c>
      <c r="GX3" s="13"/>
      <c r="GY3" s="16"/>
      <c r="GZ3" s="13"/>
      <c r="HA3" s="16"/>
      <c r="HB3" s="16"/>
      <c r="HC3" s="32" t="s">
        <v>14</v>
      </c>
      <c r="HD3" s="32" t="s">
        <v>7</v>
      </c>
      <c r="HE3" s="32" t="s">
        <v>27</v>
      </c>
      <c r="HF3" s="32" t="s">
        <v>28</v>
      </c>
      <c r="HG3" s="32" t="s">
        <v>14</v>
      </c>
      <c r="HH3" s="32" t="s">
        <v>7</v>
      </c>
      <c r="HI3" s="32" t="s">
        <v>27</v>
      </c>
      <c r="HJ3" s="32" t="s">
        <v>28</v>
      </c>
      <c r="HK3" s="32" t="s">
        <v>14</v>
      </c>
      <c r="HL3" s="32" t="s">
        <v>7</v>
      </c>
      <c r="HM3" s="32" t="s">
        <v>27</v>
      </c>
      <c r="HN3" s="32" t="s">
        <v>28</v>
      </c>
      <c r="HO3" s="32" t="s">
        <v>14</v>
      </c>
      <c r="HP3" s="32" t="s">
        <v>7</v>
      </c>
      <c r="HQ3" s="32" t="s">
        <v>27</v>
      </c>
      <c r="HR3" s="32" t="s">
        <v>28</v>
      </c>
      <c r="HS3" s="10"/>
      <c r="HT3" s="17"/>
      <c r="HU3" s="10"/>
      <c r="HV3" s="17"/>
      <c r="HW3" s="17"/>
      <c r="HX3" s="31" t="s">
        <v>14</v>
      </c>
      <c r="HY3" s="31" t="s">
        <v>7</v>
      </c>
      <c r="HZ3" s="31" t="s">
        <v>27</v>
      </c>
      <c r="IA3" s="31" t="s">
        <v>28</v>
      </c>
      <c r="IB3" s="31" t="s">
        <v>14</v>
      </c>
      <c r="IC3" s="31" t="s">
        <v>7</v>
      </c>
      <c r="ID3" s="31" t="s">
        <v>27</v>
      </c>
      <c r="IE3" s="31" t="s">
        <v>28</v>
      </c>
      <c r="IF3" s="31" t="s">
        <v>14</v>
      </c>
      <c r="IG3" s="31" t="s">
        <v>7</v>
      </c>
      <c r="IH3" s="31" t="s">
        <v>27</v>
      </c>
      <c r="II3" s="31" t="s">
        <v>28</v>
      </c>
      <c r="IJ3" s="31" t="s">
        <v>14</v>
      </c>
      <c r="IK3" s="31" t="s">
        <v>7</v>
      </c>
      <c r="IL3" s="31" t="s">
        <v>27</v>
      </c>
      <c r="IM3" s="31" t="s">
        <v>28</v>
      </c>
      <c r="IN3" s="13"/>
      <c r="IO3" s="16"/>
      <c r="IP3" s="13"/>
      <c r="IQ3" s="16"/>
      <c r="IR3" s="16"/>
      <c r="IS3" s="32" t="s">
        <v>14</v>
      </c>
      <c r="IT3" s="32" t="s">
        <v>7</v>
      </c>
      <c r="IU3" s="32" t="s">
        <v>27</v>
      </c>
      <c r="IV3" s="32" t="s">
        <v>28</v>
      </c>
      <c r="IW3" s="32" t="s">
        <v>14</v>
      </c>
      <c r="IX3" s="32" t="s">
        <v>7</v>
      </c>
      <c r="IY3" s="32" t="s">
        <v>27</v>
      </c>
      <c r="IZ3" s="32" t="s">
        <v>28</v>
      </c>
      <c r="JA3" s="32" t="s">
        <v>14</v>
      </c>
      <c r="JB3" s="32" t="s">
        <v>7</v>
      </c>
      <c r="JC3" s="32" t="s">
        <v>27</v>
      </c>
      <c r="JD3" s="32" t="s">
        <v>28</v>
      </c>
      <c r="JE3" s="32" t="s">
        <v>14</v>
      </c>
      <c r="JF3" s="32" t="s">
        <v>7</v>
      </c>
      <c r="JG3" s="32" t="s">
        <v>27</v>
      </c>
      <c r="JH3" s="32" t="s">
        <v>28</v>
      </c>
      <c r="JI3" s="10"/>
      <c r="JJ3" s="17"/>
      <c r="JK3" s="10"/>
      <c r="JL3" s="17"/>
      <c r="JM3" s="17"/>
      <c r="JN3" s="31" t="s">
        <v>14</v>
      </c>
      <c r="JO3" s="31" t="s">
        <v>7</v>
      </c>
      <c r="JP3" s="31" t="s">
        <v>27</v>
      </c>
      <c r="JQ3" s="31" t="s">
        <v>28</v>
      </c>
      <c r="JR3" s="31" t="s">
        <v>14</v>
      </c>
      <c r="JS3" s="31" t="s">
        <v>7</v>
      </c>
      <c r="JT3" s="31" t="s">
        <v>27</v>
      </c>
      <c r="JU3" s="31" t="s">
        <v>28</v>
      </c>
      <c r="JV3" s="31" t="s">
        <v>14</v>
      </c>
      <c r="JW3" s="31" t="s">
        <v>7</v>
      </c>
      <c r="JX3" s="31" t="s">
        <v>27</v>
      </c>
      <c r="JY3" s="31" t="s">
        <v>28</v>
      </c>
      <c r="JZ3" s="31" t="s">
        <v>14</v>
      </c>
      <c r="KA3" s="31" t="s">
        <v>7</v>
      </c>
      <c r="KB3" s="31" t="s">
        <v>27</v>
      </c>
      <c r="KC3" s="31" t="s">
        <v>28</v>
      </c>
      <c r="KD3" s="13"/>
      <c r="KE3" s="16"/>
      <c r="KF3" s="13"/>
      <c r="KG3" s="16"/>
      <c r="KH3" s="16"/>
      <c r="KI3" s="32" t="s">
        <v>14</v>
      </c>
      <c r="KJ3" s="32" t="s">
        <v>7</v>
      </c>
      <c r="KK3" s="32" t="s">
        <v>27</v>
      </c>
      <c r="KL3" s="32" t="s">
        <v>28</v>
      </c>
      <c r="KM3" s="32" t="s">
        <v>14</v>
      </c>
      <c r="KN3" s="32" t="s">
        <v>7</v>
      </c>
      <c r="KO3" s="32" t="s">
        <v>27</v>
      </c>
      <c r="KP3" s="32" t="s">
        <v>28</v>
      </c>
      <c r="KQ3" s="32" t="s">
        <v>14</v>
      </c>
      <c r="KR3" s="32" t="s">
        <v>7</v>
      </c>
      <c r="KS3" s="32" t="s">
        <v>27</v>
      </c>
      <c r="KT3" s="32" t="s">
        <v>28</v>
      </c>
      <c r="KU3" s="32" t="s">
        <v>14</v>
      </c>
      <c r="KV3" s="32" t="s">
        <v>7</v>
      </c>
      <c r="KW3" s="32" t="s">
        <v>27</v>
      </c>
      <c r="KX3" s="32" t="s">
        <v>28</v>
      </c>
      <c r="KY3" s="10"/>
      <c r="KZ3" s="17"/>
      <c r="LA3" s="10"/>
      <c r="LB3" s="17"/>
      <c r="LC3" s="17"/>
      <c r="LD3" s="31" t="s">
        <v>14</v>
      </c>
      <c r="LE3" s="31" t="s">
        <v>7</v>
      </c>
      <c r="LF3" s="31" t="s">
        <v>27</v>
      </c>
      <c r="LG3" s="31" t="s">
        <v>28</v>
      </c>
      <c r="LH3" s="31" t="s">
        <v>14</v>
      </c>
      <c r="LI3" s="31" t="s">
        <v>7</v>
      </c>
      <c r="LJ3" s="31" t="s">
        <v>27</v>
      </c>
      <c r="LK3" s="31" t="s">
        <v>28</v>
      </c>
      <c r="LL3" s="31" t="s">
        <v>14</v>
      </c>
      <c r="LM3" s="31" t="s">
        <v>7</v>
      </c>
      <c r="LN3" s="31" t="s">
        <v>27</v>
      </c>
      <c r="LO3" s="31" t="s">
        <v>28</v>
      </c>
      <c r="LP3" s="31" t="s">
        <v>14</v>
      </c>
      <c r="LQ3" s="31" t="s">
        <v>7</v>
      </c>
      <c r="LR3" s="31" t="s">
        <v>27</v>
      </c>
      <c r="LS3" s="31" t="s">
        <v>28</v>
      </c>
      <c r="LT3" s="13"/>
      <c r="LU3" s="16"/>
      <c r="LV3" s="13"/>
      <c r="LW3" s="16"/>
      <c r="LX3" s="16"/>
      <c r="LY3" s="94" t="s">
        <v>14</v>
      </c>
      <c r="LZ3" s="94" t="s">
        <v>7</v>
      </c>
      <c r="MA3" s="94" t="s">
        <v>27</v>
      </c>
      <c r="MB3" s="94" t="s">
        <v>28</v>
      </c>
      <c r="MC3" s="94" t="s">
        <v>14</v>
      </c>
      <c r="MD3" s="94" t="s">
        <v>7</v>
      </c>
      <c r="ME3" s="94" t="s">
        <v>27</v>
      </c>
      <c r="MF3" s="94" t="s">
        <v>28</v>
      </c>
      <c r="MG3" s="94" t="s">
        <v>14</v>
      </c>
      <c r="MH3" s="94" t="s">
        <v>7</v>
      </c>
      <c r="MI3" s="94" t="s">
        <v>27</v>
      </c>
      <c r="MJ3" s="94" t="s">
        <v>28</v>
      </c>
      <c r="MK3" s="95" t="s">
        <v>14</v>
      </c>
      <c r="ML3" s="95" t="s">
        <v>7</v>
      </c>
      <c r="MM3" s="95" t="s">
        <v>27</v>
      </c>
      <c r="MN3" s="95" t="s">
        <v>28</v>
      </c>
      <c r="MO3" s="94" t="s">
        <v>51</v>
      </c>
      <c r="MP3" s="10"/>
      <c r="MQ3" s="9"/>
      <c r="MR3" s="10"/>
      <c r="MS3" s="10"/>
      <c r="MT3" s="10"/>
    </row>
    <row r="4" spans="1:358" x14ac:dyDescent="0.2">
      <c r="A4" s="5">
        <f t="shared" ref="A4:A21" si="0">IF(AND(F4="P",G4="P"),SUMPRODUCT((F$4:F$22="P")*(G$4:G$22="P")*(E$4:E$22&gt;E4))+1,IF(G4="P",SUMPRODUCT((F$4:F$22="")*(G$4:G$22="P")*(E$4:E$22&gt;E4))+1+SUMPRODUCT((F$4:F$22="P")*(G$4:G$22="P")),""))</f>
        <v>1</v>
      </c>
      <c r="B4" s="8" t="s">
        <v>79</v>
      </c>
      <c r="C4" s="4" t="s">
        <v>5</v>
      </c>
      <c r="D4" s="5">
        <v>2003</v>
      </c>
      <c r="E4" s="15">
        <f t="shared" ref="E4:E21" si="1">SUM(J4:N4)</f>
        <v>220.1</v>
      </c>
      <c r="F4" s="3" t="str">
        <f t="shared" ref="F4:F21" si="2">IF(OR(AND(AH4&gt;=AL$24,AI4&gt;=AL$28,AI4&lt;&gt;"",AG4=""),AND(BD4&gt;=BH$24,BE4&gt;=BH$28,BE4&lt;&gt;"",BC4=""),AND(BZ4&gt;=CD$24,CA4&gt;=CD$28,CA4&lt;&gt;"",BY4=""),AND(CW4&gt;=DA$24,CX4&gt;=DA$28,CX4&lt;&gt;""),AND(DR4&gt;=DV$24,DS4&gt;=DV$28,DS4&lt;&gt;""),AND(EM4&gt;=EQ$24,EN4&gt;=EQ$28,EN4&lt;&gt;""),AND(FH4&gt;=FL$24,FI4&gt;=FL$28,FI4&lt;&gt;""),AND(GC4&gt;=GG$24,GD4&gt;=GG$28,GD4&lt;&gt;""),AND(GX4&gt;=HB$24,GY4&gt;=HB$28,GY4&lt;&gt;""),AND(HS4&gt;=HW$24,HT4&gt;=HW$28,HT4&lt;&gt;""),AND(IN4&gt;=IR$24,IO4&gt;=IR$28,IO4&lt;&gt;""),AND(JI4&gt;=JM$24,JJ4&gt;=JM$28,JJ4&lt;&gt;""),AND(KD4&gt;=KH$24,KE4&gt;=KH$28,KE4&lt;&gt;""),AND(KY4&gt;=LC$24,KZ4&gt;=LC$28,KZ4&lt;&gt;""),AND(LT4&gt;=LX$24,LU4&gt;=LX$28,LU4&lt;&gt;"")),"P","")</f>
        <v>P</v>
      </c>
      <c r="G4" s="3" t="str">
        <f t="shared" ref="G4:G21" si="3">IF(OR(AND(AI4&gt;=AL$28,AI4&lt;&gt;"",AG4=""),AND(BE4&gt;=BH$28,BE4&lt;&gt;"",BC4=""),AND(CA4&gt;=CD$28,CA4&lt;&gt;"",BY4=""),AND(CX4&gt;=DA$28,CX4&lt;&gt;""),AND(DS4&gt;=DV$28,DS4&lt;&gt;""),AND(EN4&gt;=EQ$28,EN4&lt;&gt;""),AND(FI4&gt;=FL$28,FI4&lt;&gt;""),AND(GD4&gt;=GG$28,GD4&lt;&gt;""),AND(GY4&gt;=HB$28,GY4&lt;&gt;""),AND(HT4&gt;=HW$28,HT4&lt;&gt;""),AND(IO4&gt;=IR$28,IO4&lt;&gt;""),AND(JJ4&gt;=JM$28,JJ4&lt;&gt;""),AND(KE4&gt;=KH$28,KE4&lt;&gt;""),AND(KZ4&gt;=LC$28,KZ4&lt;&gt;""),AND(LU4&gt;=LX$28,LU4&lt;&gt;"")),"P","")</f>
        <v>P</v>
      </c>
      <c r="H4" s="116" t="str">
        <f t="shared" ref="H4:H21" si="4">IF(AND(G4="P",F4=""),"No DD",IF(OR(AND(AH4&gt;=AL$27,AH4&lt;&gt;"",AI4&gt;=AL$31,AI4&lt;&gt;"",AG4=""),AND(BD4&gt;=BH$27,BD4&lt;&gt;"",BE4&gt;=BH$31,BE4&lt;&gt;"",BC4=""),AND(BZ4&gt;=CD$27,BZ4&lt;&gt;"",CA4&gt;=CD$31,CA4&lt;&gt;"",BY4=""),AND(CW4&gt;=DA$27,CW4&lt;&gt;"",CX4&gt;=DA$31,CX4&lt;&gt;""),AND(DR4&gt;=DV$27,DR4&lt;&gt;"",DS4&gt;=DV$31,DS4&lt;&gt;""),AND(EM4&gt;=EQ$27,EM4&lt;&gt;"",EN4&gt;=EQ$31,EN4&lt;&gt;""),AND(FH4&gt;=FL$27,FH4&lt;&gt;"",FI4&gt;=FL$31,FI4&lt;&gt;""),AND(GC4&gt;=GG$27,GC4&lt;&gt;"",GD4&gt;=GG$31,GD4&lt;&gt;""),AND(GX4&gt;=HB$27,GX4&lt;&gt;"",GY4&gt;=HB$31,GY4&lt;&gt;""),AND(HS4&gt;=HW$27,HS4&lt;&gt;"",HT4&gt;=HW$31,HT4&lt;&gt;""),AND(IN4&gt;=IR$27,IN4&lt;&gt;"",IO4&gt;=IR$31,IO4&lt;&gt;""),AND(JI4&gt;=JM$27,JI4&lt;&gt;"",JJ4&gt;=JM$31,JJ4&lt;&gt;""),AND(KD4&gt;=KH$27,KD4&lt;&gt;"",KE4&gt;=KH$31,KE4&lt;&gt;""),AND(KY4&gt;=LC$27,KY4&lt;&gt;"",KZ4&gt;=LC$31,KZ4&lt;&gt;""),AND(LT4&gt;=LX$27,LT4&lt;&gt;"",LU4&gt;=LX$31,LU4&lt;&gt;"")),"Merit",IF(OR(AND(AH4&gt;=AL$26,AH4&lt;&gt;"",AI4&gt;=AL$30,AI4&lt;&gt;"",AG4=""),AND(BD4&gt;=BH$26,BD4&lt;&gt;"",BE4&gt;=BH$30,BE4&lt;&gt;"",BC4=""),AND(BZ4&gt;=CD$26,BZ4&lt;&gt;"",CA4&gt;=CD$30,CA4&lt;&gt;"",BY4=""),AND(CW4&gt;=DA$26,CW4&lt;&gt;"",CX4&gt;=DA$30,CX4&lt;&gt;""),AND(DR4&gt;=DV$26,DR4&lt;&gt;"",DS4&gt;=DV$30,DS4&lt;&gt;""),AND(EM4&gt;=EQ$26,EM4&lt;&gt;"",EN4&gt;=EQ$30,EN4&lt;&gt;""),AND(FH4&gt;=FL$26,FH4&lt;&gt;"",FI4&gt;=FL$30,FI4&lt;&gt;""),AND(GC4&gt;=GG$26,GC4&lt;&gt;"",GD4&gt;=GG$30,GD4&lt;&gt;""),AND(GX4&gt;=HB$26,GX4&lt;&gt;"",GY4&gt;=HB$30,GY4&lt;&gt;""),AND(HS4&gt;=HW$26,HS4&lt;&gt;"",HT4&gt;=HW$30,HT4&lt;&gt;""),AND(IN4&gt;=IR$26,IN4&lt;&gt;"",IO4&gt;=IR$30,IO4&lt;&gt;""),AND(JI4&gt;=JM$26,JI4&lt;&gt;"",JJ4&gt;=JM$30,JJ4&lt;&gt;""),AND(KD4&gt;=KH$26,KD4&lt;&gt;"",KE4&gt;=KH$30,KE4&lt;&gt;""),AND(KY4&gt;=LC$26,KY4&lt;&gt;"",KZ4&gt;=LC$30,KZ4&lt;&gt;""),AND(LT4&gt;=LX$26,LT4&lt;&gt;"",LU4&gt;=LX$30,LU4&lt;&gt;"")),"Excellence",IF(OR(AND(AH4&gt;=AL$25,AH4&lt;&gt;"",AI4&gt;=AL$29,AI4&lt;&gt;"",AG4=""),AND(BD4&gt;=BH$25,BD4&lt;&gt;"",BE4&gt;=BH$29,BE4&lt;&gt;"",BC4=""),AND(BZ4&gt;=CD$25,BZ4&lt;&gt;"",CA4&gt;=CD$29,CA4&lt;&gt;"",BY4=""),AND(CW4&gt;=DA$25,CW4&lt;&gt;"",CX4&gt;=DA$29,CX4&lt;&gt;""),AND(DR4&gt;=DV$25,DR4&lt;&gt;"",DS4&gt;=DV$29,DS4&lt;&gt;""),AND(EM4&gt;=EQ$25,EM4&lt;&gt;"",EN4&gt;=EQ$29,EN4&lt;&gt;""),AND(FH4&gt;=FL$25,FH4&lt;&gt;"",FI4&gt;=FL$29,FI4&lt;&gt;""),AND(GC4&gt;=GG$25,GC4&lt;&gt;"",GD4&gt;=GG$29,GD4&lt;&gt;""),AND(GX4&gt;=HB$25,GX4&lt;&gt;"",GY4&gt;=HB$29,GY4&lt;&gt;""),AND(HS4&gt;=HW$25,HS4&lt;&gt;"",HT4&gt;=HW$29,HT4&lt;&gt;""),AND(IN4&gt;=IR$25,IN4&lt;&gt;"",IO4&gt;=IR$29,IO4&lt;&gt;""),AND(JI4&gt;=JM$25,JI4&lt;&gt;"",JJ4&gt;=JM$29,JJ4&lt;&gt;""),AND(KD4&gt;=KH$25,KD4&lt;&gt;"",KE4&gt;=KH$29,KE4&lt;&gt;""),AND(KY4&gt;=LC$25,KY4&lt;&gt;"",KZ4&gt;=LC$29,KZ4&lt;&gt;""),AND(LT4&gt;=LX$25,LT4&lt;&gt;"",LU4&gt;=LX$29,LU4&lt;&gt;"")),"Worlds Team",IF(OR(AND(AH4&gt;=AL$24,AH4&lt;&gt;"",AI4&gt;=AL$28,AI4&lt;&gt;"",AG4=""),AND(BD4&gt;=BH$24,BD4&lt;&gt;"",BE4&gt;=BH$28,BE4&lt;&gt;"",BC4=""),AND(BZ4&gt;=CD$24,BZ4&lt;&gt;"",CA4&gt;=CD$28,CA4&lt;&gt;"",BY4=""),AND(CW4&gt;=DA$24,CW4&lt;&gt;"",CX4&gt;=DA$28,CX4&lt;&gt;""),AND(DR4&gt;=DV$24,DR4&lt;&gt;"",DS4&gt;=DV$28,DS4&lt;&gt;""),AND(EM4&gt;=EQ$24,EM4&lt;&gt;"",EN4&gt;=EQ$28,EN4&lt;&gt;""),AND(FH4&gt;=FL$24,FH4&lt;&gt;"",FI4&gt;=FL$28,FI4&lt;&gt;""),AND(GC4&gt;=GG$24,GC4&lt;&gt;"",GD4&gt;=GG$28,GD4&lt;&gt;""),AND(GX4&gt;=HB$24,GX4&lt;&gt;"",GY4&gt;=HB$28,GY4&lt;&gt;""),AND(HS4&gt;=HW$24,HS4&lt;&gt;"",HT4&gt;=HW$28,HT4&lt;&gt;""),AND(IN4&gt;=IR$24,IN4&lt;&gt;"",IO4&gt;=IR$28,IO4&lt;&gt;""),AND(JI4&gt;=JM$24,JI4&lt;&gt;"",JJ4&gt;=JM$28,JJ4&lt;&gt;""),AND(KD4&gt;=KH$24,KD4&lt;&gt;"",KE4&gt;=KH$28,KE4&lt;&gt;""),AND(KY4&gt;=LC$24,KY4&lt;&gt;"",KZ4&gt;=LC$28,KZ4&lt;&gt;""),AND(LT4&gt;=LX$24,LT4&lt;&gt;"",LU4&gt;=LX$28,LU4&lt;&gt;"")),"National Team","")))))</f>
        <v>National Team</v>
      </c>
      <c r="I4" s="3" t="str">
        <f t="shared" ref="I4:I21" si="5">IF(OR(H4="Worlds Team",H4="Excellence",H4="Merit"),"P","")</f>
        <v/>
      </c>
      <c r="J4" s="14">
        <f t="shared" ref="J4:J21" si="6">MAX(AI4,BE4,CA4)</f>
        <v>74.599999999999994</v>
      </c>
      <c r="K4" s="14" t="str">
        <f t="shared" ref="K4:K21" si="7">IF(J4=0,"",IF(J4=CA4,$BI$1,IF(J4=BE4,$AM$1,IF(J4=AI4,$Q$1,""))))</f>
        <v>2021 Elite Canada</v>
      </c>
      <c r="L4" s="14">
        <f t="shared" ref="L4:L21" si="8">IF(J4=AI4,MAX(BH4,CD4),IF(J4=BE4,MAX(AL4,CD4),MAX(AL4,BH4)))</f>
        <v>145.5</v>
      </c>
      <c r="M4" s="14" t="str">
        <f t="shared" ref="M4:M21" si="9">IF(L4=0,"",IF(AND(J4&lt;&gt;CA4,L4=CD4),$BI$1,IF(AND(J4&lt;&gt;BE4,L4=BH4),$AM$1,IF(L4=AL4,$Q$1,""))))</f>
        <v>2021 2nd Virtual Technical Trial</v>
      </c>
      <c r="N4" s="14" t="str">
        <f t="shared" ref="N4:N21" si="10">IF(MAX(CE4:CF4)&gt;0,MAX(CE4:CF4),"")</f>
        <v/>
      </c>
      <c r="O4" s="24" t="str">
        <f t="shared" ref="O4:O21" si="11">IF(N4="","",IF(N4=CE4,"(Prelim)",IF(N4=CF4,"(4 Pass)")))</f>
        <v/>
      </c>
      <c r="P4" s="14" t="str">
        <f t="shared" ref="P4:P21" si="12">IF(N4="","",IF(N4=CE4,IF(N4+IF(J4="",0,J4)=CX4,$CG$1,IF(N4+IF(J4="",0,J4)=DS4,$DB$1,IF(N4+IF(J4="",0,J4)=EN4,$DW$1,IF(N4+IF(J4="",0,J4)=FI4,$ER$1,IF(N4+IF(J4="",0,J4)=GD4,$FM$1,IF(N4+IF(J4="",0,J4)=GY4,$GH$1,IF(N4+IF(J4="",0,J4)=HT4,$HC$1,IF(N4+IF(J4="",0,J4)=IO4,$HX$1,IF(N4+IF(J4="",0,J4)=JJ4,$IS$1,IF(N4+IF(J4="",0,J4)=KE4,$JN$1,IF(N4+IF(J4="",0,J4)=KZ4,$KI$1,IF(N4+IF(J4="",0,J4)=LU4,$LD$1)))))))))))),IF(N4=CF4,IF(N4+IF(L4="",0,L4)=DA4,$CG$1,IF(N4+IF(L4="",0,L4)=DV4,$DB$1,IF(N4+IF(L4="",0,L4)=EQ4,$DW$1,IF(N4+IF(L4="",0,L4)=FL4,$ER$1,IF(N4+IF(L4="",0,L4)=GG4,$FM$1,IF(N4+IF(L4="",0,L4)=HB4,$GH$1,IF(N4+IF(L4="",0,L4)=HW4,$HC$1,IF(N4+IF(L4="",0,L4)=IR4,$HX$1,IF(N4+IF(L4="",0,L4)=JM4,$IS$1,IF(N4+IF(L4="",0,L4)=KH4,$JN$1,IF(N4+IF(L4="",0,L4)=LC4,$KI$1,IF(N4+IF(L4="",0,L4)=LX4,$LD$1)))))))))))))))</f>
        <v/>
      </c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72"/>
      <c r="AH4" s="11" t="str">
        <f t="shared" ref="AH4:AH21" si="13">IF(SUM(R4,V4)&gt;0,SUM(R4,V4),"")</f>
        <v/>
      </c>
      <c r="AI4" s="11" t="str">
        <f t="shared" ref="AI4:AI21" si="14">IF(SUM(Q4:R4,T4:V4,X4)-SUM(S4,W4)&gt;0,SUM(Q4:R4,T4:V4,X4)-SUM(S4,W4),"")</f>
        <v/>
      </c>
      <c r="AJ4" s="11" t="str">
        <f t="shared" ref="AJ4:AJ21" si="15">IF(SUM(Z4,AD4)&gt;0,SUM(Z4,AD4),"")</f>
        <v/>
      </c>
      <c r="AK4" s="11" t="str">
        <f t="shared" ref="AK4:AK21" si="16">IF(SUM(Y4:Z4,AB4:AD4,AF4)-SUM(AA4,AE4)&gt;0,SUM(Y4:Z4,AB4:AD4,AF4)-SUM(AA4,AE4),"")</f>
        <v/>
      </c>
      <c r="AL4" s="11" t="str">
        <f t="shared" ref="AL4:AL21" si="17">IF(SUM(AI4,AK4)&gt;0,SUM(AI4,AK4),"")</f>
        <v/>
      </c>
      <c r="AM4" s="36">
        <v>28.8</v>
      </c>
      <c r="AN4" s="36">
        <v>8</v>
      </c>
      <c r="AO4" s="36">
        <v>0</v>
      </c>
      <c r="AP4" s="36">
        <v>0.3</v>
      </c>
      <c r="AQ4" s="36">
        <v>28.6</v>
      </c>
      <c r="AR4" s="36">
        <v>8.4</v>
      </c>
      <c r="AS4" s="36">
        <v>0.9</v>
      </c>
      <c r="AT4" s="36">
        <v>0</v>
      </c>
      <c r="AU4" s="36">
        <v>27.8</v>
      </c>
      <c r="AV4" s="36">
        <v>8.1</v>
      </c>
      <c r="AW4" s="36">
        <v>0</v>
      </c>
      <c r="AX4" s="36">
        <v>0</v>
      </c>
      <c r="AY4" s="36">
        <v>28</v>
      </c>
      <c r="AZ4" s="36">
        <v>8.4</v>
      </c>
      <c r="BA4" s="36">
        <v>0.3</v>
      </c>
      <c r="BB4" s="36">
        <v>0.3</v>
      </c>
      <c r="BC4" s="73"/>
      <c r="BD4" s="14">
        <f t="shared" ref="BD4:BD21" si="18">IF(SUM(AN4,AR4)&gt;0,SUM(AN4,AR4),"")</f>
        <v>16.399999999999999</v>
      </c>
      <c r="BE4" s="14">
        <f t="shared" ref="BE4:BE21" si="19">IF(SUM(AM4:AN4,AP4:AR4,AT4)-SUM(AO4,AS4)&gt;0,SUM(AM4:AN4,AP4:AR4,AT4)-SUM(AO4,AS4),"")</f>
        <v>73.199999999999989</v>
      </c>
      <c r="BF4" s="14">
        <f t="shared" ref="BF4:BF21" si="20">IF(SUM(AV4,AZ4)&gt;0,SUM(AV4,AZ4),"")</f>
        <v>16.5</v>
      </c>
      <c r="BG4" s="14">
        <f t="shared" ref="BG4:BG21" si="21">IF(SUM(AU4:AV4,AX4:AZ4,BB4)-SUM(AW4,BA4)&gt;0,SUM(AU4:AV4,AX4:AZ4,BB4)-SUM(AW4,BA4),"")</f>
        <v>72.3</v>
      </c>
      <c r="BH4" s="14">
        <f t="shared" ref="BH4:BH21" si="22">IF(SUM(BE4,BG4)&gt;0,SUM(BE4,BG4),"")</f>
        <v>145.5</v>
      </c>
      <c r="BI4" s="61">
        <v>28.5</v>
      </c>
      <c r="BJ4" s="61">
        <v>8.8000000000000007</v>
      </c>
      <c r="BK4" s="61">
        <v>0</v>
      </c>
      <c r="BL4" s="61">
        <v>0.3</v>
      </c>
      <c r="BM4" s="61">
        <v>28.6</v>
      </c>
      <c r="BN4" s="61">
        <v>8.4</v>
      </c>
      <c r="BO4" s="61">
        <v>0</v>
      </c>
      <c r="BP4" s="61">
        <v>0</v>
      </c>
      <c r="BQ4" s="61">
        <v>20.100000000000001</v>
      </c>
      <c r="BR4" s="61">
        <v>4.8</v>
      </c>
      <c r="BS4" s="61">
        <v>0</v>
      </c>
      <c r="BT4" s="61">
        <v>0.3</v>
      </c>
      <c r="BU4" s="61">
        <v>27.5</v>
      </c>
      <c r="BV4" s="61">
        <v>8.9</v>
      </c>
      <c r="BW4" s="61">
        <v>0</v>
      </c>
      <c r="BX4" s="61">
        <v>0.3</v>
      </c>
      <c r="BY4" s="72"/>
      <c r="BZ4" s="11">
        <f t="shared" ref="BZ4:BZ21" si="23">IF(SUM(BJ4,BN4)&gt;0,SUM(BJ4,BN4),"")</f>
        <v>17.200000000000003</v>
      </c>
      <c r="CA4" s="11">
        <f t="shared" ref="CA4:CA21" si="24">IF(SUM(BI4:BJ4,BL4:BN4,BP4)-SUM(BK4,BO4)&gt;0,SUM(BI4:BJ4,BL4:BN4,BP4)-SUM(BK4,BO4),"")</f>
        <v>74.599999999999994</v>
      </c>
      <c r="CB4" s="11">
        <f t="shared" ref="CB4:CB21" si="25">IF(SUM(BR4,BV4)&gt;0,SUM(BR4,BV4),"")</f>
        <v>13.7</v>
      </c>
      <c r="CC4" s="11">
        <f t="shared" ref="CC4:CC21" si="26">IF(SUM(BQ4:BR4,BT4:BV4,BX4)-SUM(BS4,BW4)&gt;0,SUM(BQ4:BR4,BT4:BV4,BX4)-SUM(BS4,BW4),"")</f>
        <v>61.9</v>
      </c>
      <c r="CD4" s="11">
        <f t="shared" ref="CD4:CD21" si="27">IF(SUM(CA4,CC4)&gt;0,SUM(CA4,CC4),"")</f>
        <v>136.5</v>
      </c>
      <c r="CE4" s="23" t="str">
        <f t="shared" ref="CE4:CE21" si="28">IF(MAX(CX4,DS4,EN4,FI4,GD4,GY4,HT4,IO4,JJ4,KE4,KZ4,LU4)-IF(J4="",0,J4)&gt;0.001,MAX(CX4,DS4,EN4,FI4,GD4,GY4,HT4,IO4,JJ4,KE4,KZ4,LU4)-IF(J4="",0,J4),"")</f>
        <v/>
      </c>
      <c r="CF4" s="23" t="str">
        <f t="shared" ref="CF4:CF21" si="29">IF(MAX(DA4,DV4,EQ4,FL4,GG4,HB4,HW4,IR4,JM4,KH4,LC4,LX4)-IF(L4="",0,L4)&gt;0.001,MAX(DA4,DV4,EQ4,FL4,GG4,HB4,HW4,IR4,JM4,KH4,LC4,LX4)-IF(L4="",0,L4),"")</f>
        <v/>
      </c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11" t="str">
        <f t="shared" ref="CW4:CW21" si="30">IF(SUM(CH4,CL4)&gt;0,SUM(CH4,CL4),"")</f>
        <v/>
      </c>
      <c r="CX4" s="11" t="str">
        <f t="shared" ref="CX4:CX21" si="31">IF(SUM(CG4:CH4,CJ4:CL4,CN4)-SUM(CI4,CM4)&gt;0,SUM(CG4:CH4,CJ4:CL4,CN4)-SUM(CI4,CM4),"")</f>
        <v/>
      </c>
      <c r="CY4" s="11" t="str">
        <f t="shared" ref="CY4:CY21" si="32">IF(SUM(CP4,CT4)&gt;0,SUM(CP4,CT4),"")</f>
        <v/>
      </c>
      <c r="CZ4" s="11" t="str">
        <f t="shared" ref="CZ4:CZ21" si="33">IF(SUM(CO4:CP4,CR4:CT4,CV4)-SUM(CQ4,CU4)&gt;0,SUM(CO4:CP4,CR4:CT4,CV4)-SUM(CQ4,CU4),"")</f>
        <v/>
      </c>
      <c r="DA4" s="11" t="str">
        <f t="shared" ref="DA4:DA21" si="34">IF(SUM(CX4,CZ4)&gt;0,SUM(CX4,CZ4),"")</f>
        <v/>
      </c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14" t="str">
        <f t="shared" ref="DR4:DR21" si="35">IF(SUM(DC4,DG4)&gt;0,SUM(DC4,DG4),"")</f>
        <v/>
      </c>
      <c r="DS4" s="14" t="str">
        <f t="shared" ref="DS4:DS21" si="36">IF(SUM(DB4:DC4,DE4:DG4,DI4)-SUM(DD4,DH4)&gt;0,SUM(DB4:DC4,DE4:DG4,DI4)-SUM(DD4,DH4),"")</f>
        <v/>
      </c>
      <c r="DT4" s="14" t="str">
        <f t="shared" ref="DT4:DT21" si="37">IF(SUM(DK4,DO4)&gt;0,SUM(DK4,DO4),"")</f>
        <v/>
      </c>
      <c r="DU4" s="14" t="str">
        <f t="shared" ref="DU4:DU21" si="38">IF(SUM(DJ4:DK4,DM4:DO4,DQ4)-SUM(DL4,DP4)&gt;0,SUM(DJ4:DK4,DM4:DO4,DQ4)-SUM(DL4,DP4),"")</f>
        <v/>
      </c>
      <c r="DV4" s="14" t="str">
        <f t="shared" ref="DV4:DV21" si="39">IF(SUM(DS4,DU4)&gt;0,SUM(DS4,DU4),"")</f>
        <v/>
      </c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11" t="str">
        <f t="shared" ref="EM4:EM21" si="40">IF(SUM(DX4,EB4)&gt;0,SUM(DX4,EB4),"")</f>
        <v/>
      </c>
      <c r="EN4" s="11" t="str">
        <f t="shared" ref="EN4:EN21" si="41">IF(SUM(DW4:DX4,DZ4:EB4,ED4)-SUM(DY4,EC4)&gt;0,SUM(DW4:DX4,DZ4:EB4,ED4)-SUM(DY4,EC4),"")</f>
        <v/>
      </c>
      <c r="EO4" s="11" t="str">
        <f t="shared" ref="EO4:EO21" si="42">IF(SUM(EF4,EJ4)&gt;0,SUM(EF4,EJ4),"")</f>
        <v/>
      </c>
      <c r="EP4" s="11" t="str">
        <f t="shared" ref="EP4:EP21" si="43">IF(SUM(EE4:EF4,EH4:EJ4,EL4)-SUM(EG4,EK4)&gt;0,SUM(EE4:EF4,EH4:EJ4,EL4)-SUM(EG4,EK4),"")</f>
        <v/>
      </c>
      <c r="EQ4" s="11" t="str">
        <f t="shared" ref="EQ4:EQ21" si="44">IF(SUM(EN4,EP4)&gt;0,SUM(EN4,EP4),"")</f>
        <v/>
      </c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14" t="str">
        <f t="shared" ref="FH4:FH21" si="45">IF(SUM(ES4,EW4)&gt;0,SUM(ES4,EW4),"")</f>
        <v/>
      </c>
      <c r="FI4" s="14" t="str">
        <f t="shared" ref="FI4:FI21" si="46">IF(SUM(ER4:ES4,EU4:EW4,EY4)-SUM(ET4,EX4)&gt;0,SUM(ER4:ES4,EU4:EW4,EY4)-SUM(ET4,EX4),"")</f>
        <v/>
      </c>
      <c r="FJ4" s="14" t="str">
        <f t="shared" ref="FJ4:FJ21" si="47">IF(SUM(FA4,FE4)&gt;0,SUM(FA4,FE4),"")</f>
        <v/>
      </c>
      <c r="FK4" s="14" t="str">
        <f t="shared" ref="FK4:FK21" si="48">IF(SUM(EZ4:FA4,FC4:FE4,FG4)-SUM(FB4,FF4)&gt;0,SUM(EZ4:FA4,FC4:FE4,FG4)-SUM(FB4,FF4),"")</f>
        <v/>
      </c>
      <c r="FL4" s="14" t="str">
        <f t="shared" ref="FL4:FL21" si="49">IF(SUM(FI4,FK4)&gt;0,SUM(FI4,FK4),"")</f>
        <v/>
      </c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11" t="str">
        <f t="shared" ref="GC4:GC21" si="50">IF(SUM(FN4,FR4)&gt;0,SUM(FN4,FR4),"")</f>
        <v/>
      </c>
      <c r="GD4" s="11" t="str">
        <f t="shared" ref="GD4:GD21" si="51">IF(SUM(FM4:FN4,FP4:FR4,FT4)-SUM(FO4,FS4)&gt;0,SUM(FM4:FN4,FP4:FR4,FT4)-SUM(FO4,FS4),"")</f>
        <v/>
      </c>
      <c r="GE4" s="11" t="str">
        <f t="shared" ref="GE4:GE21" si="52">IF(SUM(FV4,FZ4)&gt;0,SUM(FV4,FZ4),"")</f>
        <v/>
      </c>
      <c r="GF4" s="11" t="str">
        <f t="shared" ref="GF4:GF21" si="53">IF(SUM(FU4:FV4,FX4:FZ4,GB4)-SUM(FW4,GA4)&gt;0,SUM(FU4:FV4,FX4:FZ4,GB4)-SUM(FW4,GA4),"")</f>
        <v/>
      </c>
      <c r="GG4" s="11" t="str">
        <f t="shared" ref="GG4:GG21" si="54">IF(SUM(GD4,GF4)&gt;0,SUM(GD4,GF4),"")</f>
        <v/>
      </c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14" t="str">
        <f t="shared" ref="GX4:GX21" si="55">IF(SUM(GI4,GM4)&gt;0,SUM(GI4,GM4),"")</f>
        <v/>
      </c>
      <c r="GY4" s="14" t="str">
        <f t="shared" ref="GY4:GY21" si="56">IF(SUM(GH4:GI4,GK4:GM4,GO4)-SUM(GJ4,GN4)&gt;0,SUM(GH4:GI4,GK4:GM4,GO4)-SUM(GJ4,GN4),"")</f>
        <v/>
      </c>
      <c r="GZ4" s="14" t="str">
        <f t="shared" ref="GZ4:GZ21" si="57">IF(SUM(GQ4,GU4)&gt;0,SUM(GQ4,GU4),"")</f>
        <v/>
      </c>
      <c r="HA4" s="14" t="str">
        <f t="shared" ref="HA4:HA21" si="58">IF(SUM(GP4:GQ4,GS4:GU4,GW4)-SUM(GR4,GV4)&gt;0,SUM(GP4:GQ4,GS4:GU4,GW4)-SUM(GR4,GV4),"")</f>
        <v/>
      </c>
      <c r="HB4" s="14" t="str">
        <f t="shared" ref="HB4:HB21" si="59">IF(SUM(GY4,HA4)&gt;0,SUM(GY4,HA4),"")</f>
        <v/>
      </c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11" t="str">
        <f t="shared" ref="HS4:HS21" si="60">IF(SUM(HD4,HH4)&gt;0,SUM(HD4,HH4),"")</f>
        <v/>
      </c>
      <c r="HT4" s="11" t="str">
        <f t="shared" ref="HT4:HT21" si="61">IF(SUM(HC4:HD4,HF4:HH4,HJ4)-SUM(HE4,HI4)&gt;0,SUM(HC4:HD4,HF4:HH4,HJ4)-SUM(HE4,HI4),"")</f>
        <v/>
      </c>
      <c r="HU4" s="11" t="str">
        <f t="shared" ref="HU4:HU21" si="62">IF(SUM(HL4,HP4)&gt;0,SUM(HL4,HP4),"")</f>
        <v/>
      </c>
      <c r="HV4" s="11" t="str">
        <f t="shared" ref="HV4:HV21" si="63">IF(SUM(HK4:HL4,HN4:HP4,HR4)-SUM(HM4,HQ4)&gt;0,SUM(HK4:HL4,HN4:HP4,HR4)-SUM(HM4,HQ4),"")</f>
        <v/>
      </c>
      <c r="HW4" s="11" t="str">
        <f t="shared" ref="HW4:HW21" si="64">IF(SUM(HT4,HV4)&gt;0,SUM(HT4,HV4),"")</f>
        <v/>
      </c>
      <c r="HX4" s="39"/>
      <c r="HY4" s="39"/>
      <c r="HZ4" s="39"/>
      <c r="IA4" s="39"/>
      <c r="IB4" s="39"/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14" t="str">
        <f t="shared" ref="IN4:IN21" si="65">IF(SUM(HY4,IC4)&gt;0,SUM(HY4,IC4),"")</f>
        <v/>
      </c>
      <c r="IO4" s="14" t="str">
        <f t="shared" ref="IO4:IO21" si="66">IF(SUM(HX4:HY4,IA4:IC4,IE4)-SUM(HZ4,ID4)&gt;0,SUM(HX4:HY4,IA4:IC4,IE4)-SUM(HZ4,ID4),"")</f>
        <v/>
      </c>
      <c r="IP4" s="14" t="str">
        <f t="shared" ref="IP4:IP21" si="67">IF(SUM(IG4,IK4)&gt;0,SUM(IG4,IK4),"")</f>
        <v/>
      </c>
      <c r="IQ4" s="14" t="str">
        <f t="shared" ref="IQ4:IQ21" si="68">IF(SUM(IF4:IG4,II4:IK4,IM4)-SUM(IH4,IL4)&gt;0,SUM(IF4:IG4,II4:IK4,IM4)-SUM(IH4,IL4),"")</f>
        <v/>
      </c>
      <c r="IR4" s="14" t="str">
        <f t="shared" ref="IR4:IR21" si="69">IF(SUM(IO4,IQ4)&gt;0,SUM(IO4,IQ4),"")</f>
        <v/>
      </c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11" t="str">
        <f t="shared" ref="JI4:JI21" si="70">IF(SUM(IT4,IX4)&gt;0,SUM(IT4,IX4),"")</f>
        <v/>
      </c>
      <c r="JJ4" s="11" t="str">
        <f t="shared" ref="JJ4:JJ21" si="71">IF(SUM(IS4:IT4,IV4:IX4,IZ4)-SUM(IU4,IY4)&gt;0,SUM(IS4:IT4,IV4:IX4,IZ4)-SUM(IU4,IY4),"")</f>
        <v/>
      </c>
      <c r="JK4" s="11" t="str">
        <f t="shared" ref="JK4:JK21" si="72">IF(SUM(JB4,JF4)&gt;0,SUM(JB4,JF4),"")</f>
        <v/>
      </c>
      <c r="JL4" s="11" t="str">
        <f t="shared" ref="JL4:JL21" si="73">IF(SUM(JA4:JB4,JD4:JF4,JH4)-SUM(JC4,JG4)&gt;0,SUM(JA4:JB4,JD4:JF4,JH4)-SUM(JC4,JG4),"")</f>
        <v/>
      </c>
      <c r="JM4" s="11" t="str">
        <f t="shared" ref="JM4:JM21" si="74">IF(SUM(JJ4,JL4)&gt;0,SUM(JJ4,JL4),"")</f>
        <v/>
      </c>
      <c r="JN4" s="39"/>
      <c r="JO4" s="39"/>
      <c r="JP4" s="39"/>
      <c r="JQ4" s="39"/>
      <c r="JR4" s="39"/>
      <c r="JS4" s="39"/>
      <c r="JT4" s="39"/>
      <c r="JU4" s="39"/>
      <c r="JV4" s="39"/>
      <c r="JW4" s="39"/>
      <c r="JX4" s="39"/>
      <c r="JY4" s="39"/>
      <c r="JZ4" s="39"/>
      <c r="KA4" s="39"/>
      <c r="KB4" s="39"/>
      <c r="KC4" s="39"/>
      <c r="KD4" s="14" t="str">
        <f t="shared" ref="KD4:KD21" si="75">IF(SUM(JO4,JS4)&gt;0,SUM(JO4,JS4),"")</f>
        <v/>
      </c>
      <c r="KE4" s="14" t="str">
        <f t="shared" ref="KE4:KE21" si="76">IF(SUM(JN4:JO4,JQ4:JS4,JU4)-SUM(JP4,JT4)&gt;0,SUM(JN4:JO4,JQ4:JS4,JU4)-SUM(JP4,JT4),"")</f>
        <v/>
      </c>
      <c r="KF4" s="14" t="str">
        <f t="shared" ref="KF4:KF21" si="77">IF(SUM(JW4,KA4)&gt;0,SUM(JW4,KA4),"")</f>
        <v/>
      </c>
      <c r="KG4" s="14" t="str">
        <f t="shared" ref="KG4:KG21" si="78">IF(SUM(JV4:JW4,JY4:KA4,KC4)-SUM(JX4,KB4)&gt;0,SUM(JV4:JW4,JY4:KA4,KC4)-SUM(JX4,KB4),"")</f>
        <v/>
      </c>
      <c r="KH4" s="14" t="str">
        <f t="shared" ref="KH4:KH21" si="79">IF(SUM(KE4,KG4)&gt;0,SUM(KE4,KG4),"")</f>
        <v/>
      </c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11" t="str">
        <f t="shared" ref="KY4:KY21" si="80">IF(SUM(KJ4,KN4)&gt;0,SUM(KJ4,KN4),"")</f>
        <v/>
      </c>
      <c r="KZ4" s="11" t="str">
        <f t="shared" ref="KZ4:KZ21" si="81">IF(SUM(KI4:KJ4,KL4:KN4,KP4)-SUM(KK4,KO4)&gt;0,SUM(KI4:KJ4,KL4:KN4,KP4)-SUM(KK4,KO4),"")</f>
        <v/>
      </c>
      <c r="LA4" s="11" t="str">
        <f t="shared" ref="LA4:LA21" si="82">IF(SUM(KR4,KV4)&gt;0,SUM(KR4,KV4),"")</f>
        <v/>
      </c>
      <c r="LB4" s="11" t="str">
        <f t="shared" ref="LB4:LB21" si="83">IF(SUM(KQ4:KR4,KT4:KV4,KX4)-SUM(KS4,KW4)&gt;0,SUM(KQ4:KR4,KT4:KV4,KX4)-SUM(KS4,KW4),"")</f>
        <v/>
      </c>
      <c r="LC4" s="11" t="str">
        <f t="shared" ref="LC4:LC21" si="84">IF(SUM(KZ4,LB4)&gt;0,SUM(KZ4,LB4),"")</f>
        <v/>
      </c>
      <c r="LD4" s="39"/>
      <c r="LE4" s="39"/>
      <c r="LF4" s="39"/>
      <c r="LG4" s="39"/>
      <c r="LH4" s="39"/>
      <c r="LI4" s="39"/>
      <c r="LJ4" s="39"/>
      <c r="LK4" s="39"/>
      <c r="LL4" s="39"/>
      <c r="LM4" s="39"/>
      <c r="LN4" s="39"/>
      <c r="LO4" s="39"/>
      <c r="LP4" s="39"/>
      <c r="LQ4" s="39"/>
      <c r="LR4" s="39"/>
      <c r="LS4" s="39"/>
      <c r="LT4" s="14" t="str">
        <f t="shared" ref="LT4:LT21" si="85">IF(SUM(LE4,LI4)&gt;0,SUM(LE4,LI4),"")</f>
        <v/>
      </c>
      <c r="LU4" s="14" t="str">
        <f t="shared" ref="LU4:LU21" si="86">IF(SUM(LD4:LE4,LG4:LI4,LK4)-SUM(LF4,LJ4)&gt;0,SUM(LD4:LE4,LG4:LI4,LK4)-SUM(LF4,LJ4),"")</f>
        <v/>
      </c>
      <c r="LV4" s="14" t="str">
        <f t="shared" ref="LV4:LV21" si="87">IF(SUM(LM4,LQ4)&gt;0,SUM(LM4,LQ4),"")</f>
        <v/>
      </c>
      <c r="LW4" s="14" t="str">
        <f t="shared" ref="LW4:LW21" si="88">IF(SUM(LL4:LM4,LO4:LQ4,LS4)-SUM(LN4,LR4)&gt;0,SUM(LL4:LM4,LO4:LQ4,LS4)-SUM(LN4,LR4),"")</f>
        <v/>
      </c>
      <c r="LX4" s="14" t="str">
        <f t="shared" ref="LX4:LX21" si="89">IF(SUM(LU4,LW4)&gt;0,SUM(LU4,LW4),"")</f>
        <v/>
      </c>
      <c r="LY4" s="61">
        <f t="shared" ref="LY4:LY21" si="90">IF($BY4="P",BI4,(BI4+AM4)/2)</f>
        <v>28.65</v>
      </c>
      <c r="LZ4" s="61">
        <f t="shared" ref="LZ4:LZ21" si="91">IF($BY4="P",BJ4,(BJ4+AN4)/2)</f>
        <v>8.4</v>
      </c>
      <c r="MA4" s="61">
        <f t="shared" ref="MA4:MA21" si="92">IF($BY4="P",BK4,(BK4+AO4)/2)</f>
        <v>0</v>
      </c>
      <c r="MB4" s="61">
        <f t="shared" ref="MB4:MB21" si="93">IF($BY4="P",BL4,(BL4+AP4)/2)</f>
        <v>0.3</v>
      </c>
      <c r="MC4" s="61">
        <f t="shared" ref="MC4:MC21" si="94">IF($BY4="P",BM4,(BM4+AQ4)/2)</f>
        <v>28.6</v>
      </c>
      <c r="MD4" s="61">
        <f t="shared" ref="MD4:MD21" si="95">IF($BY4="P",BN4,(BN4+AR4)/2)</f>
        <v>8.4</v>
      </c>
      <c r="ME4" s="61">
        <f t="shared" ref="ME4:ME21" si="96">IF($BY4="P",BO4,(BO4+AS4)/2)</f>
        <v>0.45</v>
      </c>
      <c r="MF4" s="61">
        <f t="shared" ref="MF4:MF21" si="97">IF($BY4="P",BP4,(BP4+AT4)/2)</f>
        <v>0</v>
      </c>
      <c r="MG4" s="61">
        <f t="shared" ref="MG4:MG21" si="98">IF($BY4="P",BQ4,(BQ4+AU4)/2)</f>
        <v>23.950000000000003</v>
      </c>
      <c r="MH4" s="61">
        <f t="shared" ref="MH4:MH21" si="99">IF($BY4="P",BR4,(BR4+AV4)/2)</f>
        <v>6.4499999999999993</v>
      </c>
      <c r="MI4" s="61">
        <f t="shared" ref="MI4:MI21" si="100">IF($BY4="P",BS4,(BS4+AW4)/2)</f>
        <v>0</v>
      </c>
      <c r="MJ4" s="61">
        <f t="shared" ref="MJ4:MJ21" si="101">IF($BY4="P",BT4,(BT4+AX4)/2)</f>
        <v>0.15</v>
      </c>
      <c r="MK4" s="61">
        <f t="shared" ref="MK4:MK21" si="102">IF($BY4="P",BU4,(BU4+AY4)/2)</f>
        <v>27.75</v>
      </c>
      <c r="ML4" s="61">
        <f t="shared" ref="ML4:ML21" si="103">IF($BY4="P",BV4,(BV4+AZ4)/2)</f>
        <v>8.65</v>
      </c>
      <c r="MM4" s="61">
        <f t="shared" ref="MM4:MM21" si="104">IF($BY4="P",BW4,(BW4+BA4)/2)</f>
        <v>0.15</v>
      </c>
      <c r="MN4" s="61">
        <f t="shared" ref="MN4:MN21" si="105">IF($BY4="P",BX4,(BX4+BB4)/2)</f>
        <v>0.3</v>
      </c>
      <c r="MO4" s="72" t="s">
        <v>52</v>
      </c>
      <c r="MP4" s="11">
        <f t="shared" ref="MP4:MP21" si="106">IF(SUM(LZ4,MD4)&gt;0,SUM(LZ4,MD4),"")</f>
        <v>16.8</v>
      </c>
      <c r="MQ4" s="11">
        <f t="shared" ref="MQ4:MQ21" si="107">IF(SUM(LY4:LZ4,MB4:MD4,MF4)-SUM(MA4,ME4)&gt;0,SUM(LY4:LZ4,MB4:MD4,MF4)-SUM(MA4,ME4),"")</f>
        <v>73.899999999999991</v>
      </c>
      <c r="MR4" s="11">
        <f t="shared" ref="MR4:MR21" si="108">IF(SUM(MH4,ML4)&gt;0,SUM(MH4,ML4),"")</f>
        <v>15.1</v>
      </c>
      <c r="MS4" s="11">
        <f t="shared" ref="MS4:MS21" si="109">IF(SUM(MG4:MH4,MJ4:ML4,MN4)-SUM(MI4,MM4)&gt;0,SUM(MG4:MH4,MJ4:ML4,MN4)-SUM(MI4,MM4),"")</f>
        <v>67.099999999999994</v>
      </c>
      <c r="MT4" s="11">
        <f t="shared" ref="MT4:MT21" si="110">IF(SUM(MQ4,MS4)&gt;0,SUM(MQ4,MS4),"")</f>
        <v>141</v>
      </c>
    </row>
    <row r="5" spans="1:358" x14ac:dyDescent="0.2">
      <c r="A5" s="5">
        <f t="shared" si="0"/>
        <v>2</v>
      </c>
      <c r="B5" s="8" t="s">
        <v>68</v>
      </c>
      <c r="C5" s="4" t="s">
        <v>3</v>
      </c>
      <c r="D5" s="5">
        <v>2003</v>
      </c>
      <c r="E5" s="15">
        <f t="shared" si="1"/>
        <v>216.625</v>
      </c>
      <c r="F5" s="3" t="str">
        <f t="shared" si="2"/>
        <v>P</v>
      </c>
      <c r="G5" s="3" t="str">
        <f t="shared" si="3"/>
        <v>P</v>
      </c>
      <c r="H5" s="116" t="str">
        <f t="shared" si="4"/>
        <v>National Team</v>
      </c>
      <c r="I5" s="3" t="str">
        <f t="shared" si="5"/>
        <v/>
      </c>
      <c r="J5" s="14">
        <f t="shared" si="6"/>
        <v>76</v>
      </c>
      <c r="K5" s="14" t="str">
        <f t="shared" si="7"/>
        <v>2021 Elite Canada</v>
      </c>
      <c r="L5" s="14">
        <f t="shared" si="8"/>
        <v>140.625</v>
      </c>
      <c r="M5" s="14" t="str">
        <f t="shared" si="9"/>
        <v>2021 1st Virtual Technical Trial</v>
      </c>
      <c r="N5" s="14" t="str">
        <f t="shared" si="10"/>
        <v/>
      </c>
      <c r="O5" s="24" t="str">
        <f t="shared" si="11"/>
        <v/>
      </c>
      <c r="P5" s="14" t="str">
        <f t="shared" si="12"/>
        <v/>
      </c>
      <c r="Q5" s="61">
        <v>28.8</v>
      </c>
      <c r="R5" s="61">
        <v>8</v>
      </c>
      <c r="S5" s="61">
        <v>0.3</v>
      </c>
      <c r="T5" s="61">
        <v>0.3</v>
      </c>
      <c r="U5" s="61">
        <v>28.824999999999999</v>
      </c>
      <c r="V5" s="61">
        <v>8.4</v>
      </c>
      <c r="W5" s="61">
        <v>0.3</v>
      </c>
      <c r="X5" s="61">
        <v>0</v>
      </c>
      <c r="Y5" s="61">
        <v>26.774999999999999</v>
      </c>
      <c r="Z5" s="61">
        <v>5.6</v>
      </c>
      <c r="AA5" s="61">
        <v>0.7</v>
      </c>
      <c r="AB5" s="61">
        <v>0</v>
      </c>
      <c r="AC5" s="61">
        <v>28.225000000000001</v>
      </c>
      <c r="AD5" s="61">
        <v>7.3</v>
      </c>
      <c r="AE5" s="61">
        <v>0.3</v>
      </c>
      <c r="AF5" s="61">
        <v>0</v>
      </c>
      <c r="AG5" s="72"/>
      <c r="AH5" s="11">
        <f t="shared" si="13"/>
        <v>16.399999999999999</v>
      </c>
      <c r="AI5" s="11">
        <f t="shared" si="14"/>
        <v>73.725000000000009</v>
      </c>
      <c r="AJ5" s="11">
        <f t="shared" si="15"/>
        <v>12.899999999999999</v>
      </c>
      <c r="AK5" s="11">
        <f t="shared" si="16"/>
        <v>66.900000000000006</v>
      </c>
      <c r="AL5" s="11">
        <f t="shared" si="17"/>
        <v>140.625</v>
      </c>
      <c r="AM5" s="36">
        <v>25.2</v>
      </c>
      <c r="AN5" s="36">
        <v>9.1999999999999993</v>
      </c>
      <c r="AO5" s="36">
        <v>1.2</v>
      </c>
      <c r="AP5" s="36">
        <v>0.3</v>
      </c>
      <c r="AQ5" s="36">
        <v>27.8</v>
      </c>
      <c r="AR5" s="36">
        <v>9.1999999999999993</v>
      </c>
      <c r="AS5" s="36">
        <v>1.2</v>
      </c>
      <c r="AT5" s="36">
        <v>0.3</v>
      </c>
      <c r="AU5" s="36">
        <v>25.6</v>
      </c>
      <c r="AV5" s="36">
        <v>8.1</v>
      </c>
      <c r="AW5" s="36">
        <v>0.3</v>
      </c>
      <c r="AX5" s="36">
        <v>0.3</v>
      </c>
      <c r="AY5" s="36">
        <v>27.7</v>
      </c>
      <c r="AZ5" s="36">
        <v>8.1</v>
      </c>
      <c r="BA5" s="36">
        <v>0</v>
      </c>
      <c r="BB5" s="36">
        <v>0</v>
      </c>
      <c r="BC5" s="73"/>
      <c r="BD5" s="14">
        <f t="shared" si="18"/>
        <v>18.399999999999999</v>
      </c>
      <c r="BE5" s="14">
        <f t="shared" si="19"/>
        <v>69.599999999999994</v>
      </c>
      <c r="BF5" s="14">
        <f t="shared" si="20"/>
        <v>16.2</v>
      </c>
      <c r="BG5" s="14">
        <f t="shared" si="21"/>
        <v>69.5</v>
      </c>
      <c r="BH5" s="14">
        <f t="shared" si="22"/>
        <v>139.1</v>
      </c>
      <c r="BI5" s="61">
        <v>28.4</v>
      </c>
      <c r="BJ5" s="61">
        <v>9.1999999999999993</v>
      </c>
      <c r="BK5" s="61">
        <v>0</v>
      </c>
      <c r="BL5" s="61">
        <v>0.3</v>
      </c>
      <c r="BM5" s="61">
        <v>28.6</v>
      </c>
      <c r="BN5" s="61">
        <v>9.1999999999999993</v>
      </c>
      <c r="BO5" s="61">
        <v>0</v>
      </c>
      <c r="BP5" s="61">
        <v>0.3</v>
      </c>
      <c r="BQ5" s="61">
        <v>28.3</v>
      </c>
      <c r="BR5" s="61">
        <v>8.1</v>
      </c>
      <c r="BS5" s="61">
        <v>0</v>
      </c>
      <c r="BT5" s="61">
        <v>0.3</v>
      </c>
      <c r="BU5" s="61">
        <v>27.3</v>
      </c>
      <c r="BV5" s="61">
        <v>6.4</v>
      </c>
      <c r="BW5" s="61">
        <v>0</v>
      </c>
      <c r="BX5" s="61">
        <v>0</v>
      </c>
      <c r="BY5" s="72"/>
      <c r="BZ5" s="11">
        <f t="shared" si="23"/>
        <v>18.399999999999999</v>
      </c>
      <c r="CA5" s="11">
        <f t="shared" si="24"/>
        <v>76</v>
      </c>
      <c r="CB5" s="11">
        <f t="shared" si="25"/>
        <v>14.5</v>
      </c>
      <c r="CC5" s="11">
        <f t="shared" si="26"/>
        <v>70.400000000000006</v>
      </c>
      <c r="CD5" s="11">
        <f t="shared" si="27"/>
        <v>146.4</v>
      </c>
      <c r="CE5" s="23" t="str">
        <f t="shared" si="28"/>
        <v/>
      </c>
      <c r="CF5" s="23" t="str">
        <f t="shared" si="29"/>
        <v/>
      </c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11" t="str">
        <f t="shared" si="30"/>
        <v/>
      </c>
      <c r="CX5" s="11" t="str">
        <f t="shared" si="31"/>
        <v/>
      </c>
      <c r="CY5" s="11" t="str">
        <f t="shared" si="32"/>
        <v/>
      </c>
      <c r="CZ5" s="11" t="str">
        <f t="shared" si="33"/>
        <v/>
      </c>
      <c r="DA5" s="11" t="str">
        <f t="shared" si="34"/>
        <v/>
      </c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39"/>
      <c r="DN5" s="39"/>
      <c r="DO5" s="39"/>
      <c r="DP5" s="39"/>
      <c r="DQ5" s="39"/>
      <c r="DR5" s="14" t="str">
        <f t="shared" si="35"/>
        <v/>
      </c>
      <c r="DS5" s="14" t="str">
        <f t="shared" si="36"/>
        <v/>
      </c>
      <c r="DT5" s="14" t="str">
        <f t="shared" si="37"/>
        <v/>
      </c>
      <c r="DU5" s="14" t="str">
        <f t="shared" si="38"/>
        <v/>
      </c>
      <c r="DV5" s="14" t="str">
        <f t="shared" si="39"/>
        <v/>
      </c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40"/>
      <c r="EM5" s="11" t="str">
        <f t="shared" si="40"/>
        <v/>
      </c>
      <c r="EN5" s="11" t="str">
        <f t="shared" si="41"/>
        <v/>
      </c>
      <c r="EO5" s="11" t="str">
        <f t="shared" si="42"/>
        <v/>
      </c>
      <c r="EP5" s="11" t="str">
        <f t="shared" si="43"/>
        <v/>
      </c>
      <c r="EQ5" s="11" t="str">
        <f t="shared" si="44"/>
        <v/>
      </c>
      <c r="ER5" s="39"/>
      <c r="ES5" s="39"/>
      <c r="ET5" s="39"/>
      <c r="EU5" s="39"/>
      <c r="EV5" s="39"/>
      <c r="EW5" s="39"/>
      <c r="EX5" s="39"/>
      <c r="EY5" s="39"/>
      <c r="EZ5" s="39"/>
      <c r="FA5" s="39"/>
      <c r="FB5" s="39"/>
      <c r="FC5" s="39"/>
      <c r="FD5" s="39"/>
      <c r="FE5" s="39"/>
      <c r="FF5" s="39"/>
      <c r="FG5" s="39"/>
      <c r="FH5" s="14" t="str">
        <f t="shared" si="45"/>
        <v/>
      </c>
      <c r="FI5" s="14" t="str">
        <f t="shared" si="46"/>
        <v/>
      </c>
      <c r="FJ5" s="14" t="str">
        <f t="shared" si="47"/>
        <v/>
      </c>
      <c r="FK5" s="14" t="str">
        <f t="shared" si="48"/>
        <v/>
      </c>
      <c r="FL5" s="14" t="str">
        <f t="shared" si="49"/>
        <v/>
      </c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40"/>
      <c r="GC5" s="11" t="str">
        <f t="shared" si="50"/>
        <v/>
      </c>
      <c r="GD5" s="11" t="str">
        <f t="shared" si="51"/>
        <v/>
      </c>
      <c r="GE5" s="11" t="str">
        <f t="shared" si="52"/>
        <v/>
      </c>
      <c r="GF5" s="11" t="str">
        <f t="shared" si="53"/>
        <v/>
      </c>
      <c r="GG5" s="11" t="str">
        <f t="shared" si="54"/>
        <v/>
      </c>
      <c r="GH5" s="39"/>
      <c r="GI5" s="39"/>
      <c r="GJ5" s="39"/>
      <c r="GK5" s="39"/>
      <c r="GL5" s="39"/>
      <c r="GM5" s="39"/>
      <c r="GN5" s="39"/>
      <c r="GO5" s="39"/>
      <c r="GP5" s="39"/>
      <c r="GQ5" s="39"/>
      <c r="GR5" s="39"/>
      <c r="GS5" s="39"/>
      <c r="GT5" s="39"/>
      <c r="GU5" s="39"/>
      <c r="GV5" s="39"/>
      <c r="GW5" s="39"/>
      <c r="GX5" s="14" t="str">
        <f t="shared" si="55"/>
        <v/>
      </c>
      <c r="GY5" s="14" t="str">
        <f t="shared" si="56"/>
        <v/>
      </c>
      <c r="GZ5" s="14" t="str">
        <f t="shared" si="57"/>
        <v/>
      </c>
      <c r="HA5" s="14" t="str">
        <f t="shared" si="58"/>
        <v/>
      </c>
      <c r="HB5" s="14" t="str">
        <f t="shared" si="59"/>
        <v/>
      </c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40"/>
      <c r="HS5" s="11" t="str">
        <f t="shared" si="60"/>
        <v/>
      </c>
      <c r="HT5" s="11" t="str">
        <f t="shared" si="61"/>
        <v/>
      </c>
      <c r="HU5" s="11" t="str">
        <f t="shared" si="62"/>
        <v/>
      </c>
      <c r="HV5" s="11" t="str">
        <f t="shared" si="63"/>
        <v/>
      </c>
      <c r="HW5" s="11" t="str">
        <f t="shared" si="64"/>
        <v/>
      </c>
      <c r="HX5" s="39"/>
      <c r="HY5" s="39"/>
      <c r="HZ5" s="39"/>
      <c r="IA5" s="39"/>
      <c r="IB5" s="39"/>
      <c r="IC5" s="39"/>
      <c r="ID5" s="39"/>
      <c r="IE5" s="39"/>
      <c r="IF5" s="39"/>
      <c r="IG5" s="39"/>
      <c r="IH5" s="39"/>
      <c r="II5" s="39"/>
      <c r="IJ5" s="39"/>
      <c r="IK5" s="39"/>
      <c r="IL5" s="39"/>
      <c r="IM5" s="39"/>
      <c r="IN5" s="14" t="str">
        <f t="shared" si="65"/>
        <v/>
      </c>
      <c r="IO5" s="14" t="str">
        <f t="shared" si="66"/>
        <v/>
      </c>
      <c r="IP5" s="14" t="str">
        <f t="shared" si="67"/>
        <v/>
      </c>
      <c r="IQ5" s="14" t="str">
        <f t="shared" si="68"/>
        <v/>
      </c>
      <c r="IR5" s="14" t="str">
        <f t="shared" si="69"/>
        <v/>
      </c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40"/>
      <c r="JI5" s="11" t="str">
        <f t="shared" si="70"/>
        <v/>
      </c>
      <c r="JJ5" s="11" t="str">
        <f t="shared" si="71"/>
        <v/>
      </c>
      <c r="JK5" s="11" t="str">
        <f t="shared" si="72"/>
        <v/>
      </c>
      <c r="JL5" s="11" t="str">
        <f t="shared" si="73"/>
        <v/>
      </c>
      <c r="JM5" s="11" t="str">
        <f t="shared" si="74"/>
        <v/>
      </c>
      <c r="JN5" s="39"/>
      <c r="JO5" s="39"/>
      <c r="JP5" s="39"/>
      <c r="JQ5" s="39"/>
      <c r="JR5" s="39"/>
      <c r="JS5" s="39"/>
      <c r="JT5" s="39"/>
      <c r="JU5" s="39"/>
      <c r="JV5" s="39"/>
      <c r="JW5" s="39"/>
      <c r="JX5" s="39"/>
      <c r="JY5" s="39"/>
      <c r="JZ5" s="39"/>
      <c r="KA5" s="39"/>
      <c r="KB5" s="39"/>
      <c r="KC5" s="39"/>
      <c r="KD5" s="14" t="str">
        <f t="shared" si="75"/>
        <v/>
      </c>
      <c r="KE5" s="14" t="str">
        <f t="shared" si="76"/>
        <v/>
      </c>
      <c r="KF5" s="14" t="str">
        <f t="shared" si="77"/>
        <v/>
      </c>
      <c r="KG5" s="14" t="str">
        <f t="shared" si="78"/>
        <v/>
      </c>
      <c r="KH5" s="14" t="str">
        <f t="shared" si="79"/>
        <v/>
      </c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40"/>
      <c r="KY5" s="11" t="str">
        <f t="shared" si="80"/>
        <v/>
      </c>
      <c r="KZ5" s="11" t="str">
        <f t="shared" si="81"/>
        <v/>
      </c>
      <c r="LA5" s="11" t="str">
        <f t="shared" si="82"/>
        <v/>
      </c>
      <c r="LB5" s="11" t="str">
        <f t="shared" si="83"/>
        <v/>
      </c>
      <c r="LC5" s="11" t="str">
        <f t="shared" si="84"/>
        <v/>
      </c>
      <c r="LD5" s="39"/>
      <c r="LE5" s="39"/>
      <c r="LF5" s="39"/>
      <c r="LG5" s="39"/>
      <c r="LH5" s="39"/>
      <c r="LI5" s="39"/>
      <c r="LJ5" s="39"/>
      <c r="LK5" s="39"/>
      <c r="LL5" s="39"/>
      <c r="LM5" s="39"/>
      <c r="LN5" s="39"/>
      <c r="LO5" s="39"/>
      <c r="LP5" s="39"/>
      <c r="LQ5" s="39"/>
      <c r="LR5" s="39"/>
      <c r="LS5" s="39"/>
      <c r="LT5" s="14" t="str">
        <f t="shared" si="85"/>
        <v/>
      </c>
      <c r="LU5" s="14" t="str">
        <f t="shared" si="86"/>
        <v/>
      </c>
      <c r="LV5" s="14" t="str">
        <f t="shared" si="87"/>
        <v/>
      </c>
      <c r="LW5" s="14" t="str">
        <f t="shared" si="88"/>
        <v/>
      </c>
      <c r="LX5" s="14" t="str">
        <f t="shared" si="89"/>
        <v/>
      </c>
      <c r="LY5" s="61">
        <f t="shared" si="90"/>
        <v>26.799999999999997</v>
      </c>
      <c r="LZ5" s="61">
        <f t="shared" si="91"/>
        <v>9.1999999999999993</v>
      </c>
      <c r="MA5" s="61">
        <f t="shared" si="92"/>
        <v>0.6</v>
      </c>
      <c r="MB5" s="61">
        <f t="shared" si="93"/>
        <v>0.3</v>
      </c>
      <c r="MC5" s="61">
        <f t="shared" si="94"/>
        <v>28.200000000000003</v>
      </c>
      <c r="MD5" s="61">
        <f t="shared" si="95"/>
        <v>9.1999999999999993</v>
      </c>
      <c r="ME5" s="61">
        <f t="shared" si="96"/>
        <v>0.6</v>
      </c>
      <c r="MF5" s="61">
        <f t="shared" si="97"/>
        <v>0.3</v>
      </c>
      <c r="MG5" s="61">
        <f t="shared" si="98"/>
        <v>26.950000000000003</v>
      </c>
      <c r="MH5" s="61">
        <f t="shared" si="99"/>
        <v>8.1</v>
      </c>
      <c r="MI5" s="61">
        <f t="shared" si="100"/>
        <v>0.15</v>
      </c>
      <c r="MJ5" s="61">
        <f t="shared" si="101"/>
        <v>0.3</v>
      </c>
      <c r="MK5" s="61">
        <f t="shared" si="102"/>
        <v>27.5</v>
      </c>
      <c r="ML5" s="61">
        <f t="shared" si="103"/>
        <v>7.25</v>
      </c>
      <c r="MM5" s="61">
        <f t="shared" si="104"/>
        <v>0</v>
      </c>
      <c r="MN5" s="61">
        <f t="shared" si="105"/>
        <v>0</v>
      </c>
      <c r="MO5" s="72" t="s">
        <v>52</v>
      </c>
      <c r="MP5" s="11">
        <f t="shared" si="106"/>
        <v>18.399999999999999</v>
      </c>
      <c r="MQ5" s="11">
        <f t="shared" si="107"/>
        <v>72.8</v>
      </c>
      <c r="MR5" s="11">
        <f t="shared" si="108"/>
        <v>15.35</v>
      </c>
      <c r="MS5" s="11">
        <f t="shared" si="109"/>
        <v>69.949999999999989</v>
      </c>
      <c r="MT5" s="11">
        <f t="shared" si="110"/>
        <v>142.75</v>
      </c>
    </row>
    <row r="6" spans="1:358" x14ac:dyDescent="0.2">
      <c r="A6" s="5">
        <f t="shared" si="0"/>
        <v>3</v>
      </c>
      <c r="B6" s="8" t="s">
        <v>84</v>
      </c>
      <c r="C6" s="4" t="s">
        <v>4</v>
      </c>
      <c r="D6" s="5">
        <v>2002</v>
      </c>
      <c r="E6" s="15">
        <f t="shared" si="1"/>
        <v>212.1</v>
      </c>
      <c r="F6" s="3" t="str">
        <f t="shared" si="2"/>
        <v>P</v>
      </c>
      <c r="G6" s="3" t="str">
        <f t="shared" si="3"/>
        <v>P</v>
      </c>
      <c r="H6" s="116" t="str">
        <f t="shared" si="4"/>
        <v>National Team</v>
      </c>
      <c r="I6" s="3" t="str">
        <f t="shared" si="5"/>
        <v/>
      </c>
      <c r="J6" s="14">
        <f t="shared" si="6"/>
        <v>71.400000000000006</v>
      </c>
      <c r="K6" s="14" t="str">
        <f t="shared" si="7"/>
        <v>2021 2nd Virtual Technical Trial</v>
      </c>
      <c r="L6" s="14">
        <f t="shared" si="8"/>
        <v>140.69999999999999</v>
      </c>
      <c r="M6" s="14" t="str">
        <f t="shared" si="9"/>
        <v>2021 Elite Canada</v>
      </c>
      <c r="N6" s="14" t="str">
        <f t="shared" si="10"/>
        <v/>
      </c>
      <c r="O6" s="24" t="str">
        <f t="shared" si="11"/>
        <v/>
      </c>
      <c r="P6" s="14" t="str">
        <f t="shared" si="12"/>
        <v/>
      </c>
      <c r="Q6" s="61">
        <v>28</v>
      </c>
      <c r="R6" s="61">
        <v>6.8</v>
      </c>
      <c r="S6" s="61">
        <v>0</v>
      </c>
      <c r="T6" s="61">
        <v>0</v>
      </c>
      <c r="U6" s="61">
        <v>24.6</v>
      </c>
      <c r="V6" s="61">
        <v>7.3</v>
      </c>
      <c r="W6" s="61">
        <v>0.3</v>
      </c>
      <c r="X6" s="61">
        <v>0</v>
      </c>
      <c r="Y6" s="61">
        <v>0</v>
      </c>
      <c r="Z6" s="61">
        <v>0</v>
      </c>
      <c r="AA6" s="61">
        <v>0</v>
      </c>
      <c r="AB6" s="61">
        <v>0</v>
      </c>
      <c r="AC6" s="61">
        <v>0</v>
      </c>
      <c r="AD6" s="61">
        <v>0</v>
      </c>
      <c r="AE6" s="61">
        <v>0</v>
      </c>
      <c r="AF6" s="61">
        <v>0</v>
      </c>
      <c r="AG6" s="72"/>
      <c r="AH6" s="11">
        <f t="shared" si="13"/>
        <v>14.1</v>
      </c>
      <c r="AI6" s="11">
        <f t="shared" si="14"/>
        <v>66.400000000000006</v>
      </c>
      <c r="AJ6" s="11" t="str">
        <f t="shared" si="15"/>
        <v/>
      </c>
      <c r="AK6" s="11" t="str">
        <f t="shared" si="16"/>
        <v/>
      </c>
      <c r="AL6" s="11">
        <f t="shared" si="17"/>
        <v>66.400000000000006</v>
      </c>
      <c r="AM6" s="36">
        <v>28.5</v>
      </c>
      <c r="AN6" s="36">
        <v>7.2</v>
      </c>
      <c r="AO6" s="36">
        <v>0</v>
      </c>
      <c r="AP6" s="36">
        <v>0</v>
      </c>
      <c r="AQ6" s="36">
        <v>28</v>
      </c>
      <c r="AR6" s="36">
        <v>7.7</v>
      </c>
      <c r="AS6" s="36">
        <v>0.3</v>
      </c>
      <c r="AT6" s="36">
        <v>0.3</v>
      </c>
      <c r="AU6" s="36">
        <v>0</v>
      </c>
      <c r="AV6" s="36">
        <v>0</v>
      </c>
      <c r="AW6" s="36">
        <v>0</v>
      </c>
      <c r="AX6" s="36">
        <v>0</v>
      </c>
      <c r="AY6" s="36">
        <v>27.9</v>
      </c>
      <c r="AZ6" s="36">
        <v>8.1</v>
      </c>
      <c r="BA6" s="36">
        <v>0.9</v>
      </c>
      <c r="BB6" s="36">
        <v>0</v>
      </c>
      <c r="BC6" s="73"/>
      <c r="BD6" s="14">
        <f t="shared" si="18"/>
        <v>14.9</v>
      </c>
      <c r="BE6" s="14">
        <f t="shared" si="19"/>
        <v>71.400000000000006</v>
      </c>
      <c r="BF6" s="14">
        <f t="shared" si="20"/>
        <v>8.1</v>
      </c>
      <c r="BG6" s="14">
        <f t="shared" si="21"/>
        <v>35.1</v>
      </c>
      <c r="BH6" s="14">
        <f t="shared" si="22"/>
        <v>106.5</v>
      </c>
      <c r="BI6" s="61">
        <v>27.9</v>
      </c>
      <c r="BJ6" s="61">
        <v>7.2</v>
      </c>
      <c r="BK6" s="61">
        <v>0.3</v>
      </c>
      <c r="BL6" s="61">
        <v>0</v>
      </c>
      <c r="BM6" s="61">
        <v>27.9</v>
      </c>
      <c r="BN6" s="61">
        <v>7.2</v>
      </c>
      <c r="BO6" s="61">
        <v>0</v>
      </c>
      <c r="BP6" s="61">
        <v>0</v>
      </c>
      <c r="BQ6" s="61">
        <v>26.8</v>
      </c>
      <c r="BR6" s="61">
        <v>8.1</v>
      </c>
      <c r="BS6" s="61">
        <v>0</v>
      </c>
      <c r="BT6" s="61">
        <v>0</v>
      </c>
      <c r="BU6" s="61">
        <v>27.9</v>
      </c>
      <c r="BV6" s="61">
        <v>7.7</v>
      </c>
      <c r="BW6" s="61">
        <v>0</v>
      </c>
      <c r="BX6" s="61">
        <v>0.3</v>
      </c>
      <c r="BY6" s="72"/>
      <c r="BZ6" s="11">
        <f t="shared" si="23"/>
        <v>14.4</v>
      </c>
      <c r="CA6" s="11">
        <f t="shared" si="24"/>
        <v>69.900000000000006</v>
      </c>
      <c r="CB6" s="11">
        <f t="shared" si="25"/>
        <v>15.8</v>
      </c>
      <c r="CC6" s="11">
        <f t="shared" si="26"/>
        <v>70.8</v>
      </c>
      <c r="CD6" s="11">
        <f t="shared" si="27"/>
        <v>140.69999999999999</v>
      </c>
      <c r="CE6" s="23" t="str">
        <f t="shared" si="28"/>
        <v/>
      </c>
      <c r="CF6" s="23" t="str">
        <f t="shared" si="29"/>
        <v/>
      </c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40"/>
      <c r="CW6" s="11" t="str">
        <f t="shared" si="30"/>
        <v/>
      </c>
      <c r="CX6" s="11" t="str">
        <f t="shared" si="31"/>
        <v/>
      </c>
      <c r="CY6" s="11" t="str">
        <f t="shared" si="32"/>
        <v/>
      </c>
      <c r="CZ6" s="11" t="str">
        <f t="shared" si="33"/>
        <v/>
      </c>
      <c r="DA6" s="11" t="str">
        <f t="shared" si="34"/>
        <v/>
      </c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14" t="str">
        <f t="shared" si="35"/>
        <v/>
      </c>
      <c r="DS6" s="14" t="str">
        <f t="shared" si="36"/>
        <v/>
      </c>
      <c r="DT6" s="14" t="str">
        <f t="shared" si="37"/>
        <v/>
      </c>
      <c r="DU6" s="14" t="str">
        <f t="shared" si="38"/>
        <v/>
      </c>
      <c r="DV6" s="14" t="str">
        <f t="shared" si="39"/>
        <v/>
      </c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40"/>
      <c r="EM6" s="11" t="str">
        <f t="shared" si="40"/>
        <v/>
      </c>
      <c r="EN6" s="11" t="str">
        <f t="shared" si="41"/>
        <v/>
      </c>
      <c r="EO6" s="11" t="str">
        <f t="shared" si="42"/>
        <v/>
      </c>
      <c r="EP6" s="11" t="str">
        <f t="shared" si="43"/>
        <v/>
      </c>
      <c r="EQ6" s="11" t="str">
        <f t="shared" si="44"/>
        <v/>
      </c>
      <c r="ER6" s="39"/>
      <c r="ES6" s="39"/>
      <c r="ET6" s="39"/>
      <c r="EU6" s="39"/>
      <c r="EV6" s="39"/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14" t="str">
        <f t="shared" si="45"/>
        <v/>
      </c>
      <c r="FI6" s="14" t="str">
        <f t="shared" si="46"/>
        <v/>
      </c>
      <c r="FJ6" s="14" t="str">
        <f t="shared" si="47"/>
        <v/>
      </c>
      <c r="FK6" s="14" t="str">
        <f t="shared" si="48"/>
        <v/>
      </c>
      <c r="FL6" s="14" t="str">
        <f t="shared" si="49"/>
        <v/>
      </c>
      <c r="FM6" s="40"/>
      <c r="FN6" s="40"/>
      <c r="FO6" s="40"/>
      <c r="FP6" s="40"/>
      <c r="FQ6" s="40"/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40"/>
      <c r="GC6" s="11" t="str">
        <f t="shared" si="50"/>
        <v/>
      </c>
      <c r="GD6" s="11" t="str">
        <f t="shared" si="51"/>
        <v/>
      </c>
      <c r="GE6" s="11" t="str">
        <f t="shared" si="52"/>
        <v/>
      </c>
      <c r="GF6" s="11" t="str">
        <f t="shared" si="53"/>
        <v/>
      </c>
      <c r="GG6" s="11" t="str">
        <f t="shared" si="54"/>
        <v/>
      </c>
      <c r="GH6" s="39"/>
      <c r="GI6" s="39"/>
      <c r="GJ6" s="39"/>
      <c r="GK6" s="39"/>
      <c r="GL6" s="39"/>
      <c r="GM6" s="39"/>
      <c r="GN6" s="39"/>
      <c r="GO6" s="39"/>
      <c r="GP6" s="39"/>
      <c r="GQ6" s="39"/>
      <c r="GR6" s="39"/>
      <c r="GS6" s="39"/>
      <c r="GT6" s="39"/>
      <c r="GU6" s="39"/>
      <c r="GV6" s="39"/>
      <c r="GW6" s="39"/>
      <c r="GX6" s="14" t="str">
        <f t="shared" si="55"/>
        <v/>
      </c>
      <c r="GY6" s="14" t="str">
        <f t="shared" si="56"/>
        <v/>
      </c>
      <c r="GZ6" s="14" t="str">
        <f t="shared" si="57"/>
        <v/>
      </c>
      <c r="HA6" s="14" t="str">
        <f t="shared" si="58"/>
        <v/>
      </c>
      <c r="HB6" s="14" t="str">
        <f t="shared" si="59"/>
        <v/>
      </c>
      <c r="HC6" s="40"/>
      <c r="HD6" s="40"/>
      <c r="HE6" s="40"/>
      <c r="HF6" s="40"/>
      <c r="HG6" s="40"/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40"/>
      <c r="HS6" s="11" t="str">
        <f t="shared" si="60"/>
        <v/>
      </c>
      <c r="HT6" s="11" t="str">
        <f t="shared" si="61"/>
        <v/>
      </c>
      <c r="HU6" s="11" t="str">
        <f t="shared" si="62"/>
        <v/>
      </c>
      <c r="HV6" s="11" t="str">
        <f t="shared" si="63"/>
        <v/>
      </c>
      <c r="HW6" s="11" t="str">
        <f t="shared" si="64"/>
        <v/>
      </c>
      <c r="HX6" s="39"/>
      <c r="HY6" s="39"/>
      <c r="HZ6" s="39"/>
      <c r="IA6" s="39"/>
      <c r="IB6" s="39"/>
      <c r="IC6" s="39"/>
      <c r="ID6" s="39"/>
      <c r="IE6" s="39"/>
      <c r="IF6" s="39"/>
      <c r="IG6" s="39"/>
      <c r="IH6" s="39"/>
      <c r="II6" s="39"/>
      <c r="IJ6" s="39"/>
      <c r="IK6" s="39"/>
      <c r="IL6" s="39"/>
      <c r="IM6" s="39"/>
      <c r="IN6" s="14" t="str">
        <f t="shared" si="65"/>
        <v/>
      </c>
      <c r="IO6" s="14" t="str">
        <f t="shared" si="66"/>
        <v/>
      </c>
      <c r="IP6" s="14" t="str">
        <f t="shared" si="67"/>
        <v/>
      </c>
      <c r="IQ6" s="14" t="str">
        <f t="shared" si="68"/>
        <v/>
      </c>
      <c r="IR6" s="14" t="str">
        <f t="shared" si="69"/>
        <v/>
      </c>
      <c r="IS6" s="40"/>
      <c r="IT6" s="40"/>
      <c r="IU6" s="40"/>
      <c r="IV6" s="40"/>
      <c r="IW6" s="40"/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40"/>
      <c r="JI6" s="11" t="str">
        <f t="shared" si="70"/>
        <v/>
      </c>
      <c r="JJ6" s="11" t="str">
        <f t="shared" si="71"/>
        <v/>
      </c>
      <c r="JK6" s="11" t="str">
        <f t="shared" si="72"/>
        <v/>
      </c>
      <c r="JL6" s="11" t="str">
        <f t="shared" si="73"/>
        <v/>
      </c>
      <c r="JM6" s="11" t="str">
        <f t="shared" si="74"/>
        <v/>
      </c>
      <c r="JN6" s="39"/>
      <c r="JO6" s="39"/>
      <c r="JP6" s="39"/>
      <c r="JQ6" s="39"/>
      <c r="JR6" s="39"/>
      <c r="JS6" s="39"/>
      <c r="JT6" s="39"/>
      <c r="JU6" s="39"/>
      <c r="JV6" s="39"/>
      <c r="JW6" s="39"/>
      <c r="JX6" s="39"/>
      <c r="JY6" s="39"/>
      <c r="JZ6" s="39"/>
      <c r="KA6" s="39"/>
      <c r="KB6" s="39"/>
      <c r="KC6" s="39"/>
      <c r="KD6" s="14" t="str">
        <f t="shared" si="75"/>
        <v/>
      </c>
      <c r="KE6" s="14" t="str">
        <f t="shared" si="76"/>
        <v/>
      </c>
      <c r="KF6" s="14" t="str">
        <f t="shared" si="77"/>
        <v/>
      </c>
      <c r="KG6" s="14" t="str">
        <f t="shared" si="78"/>
        <v/>
      </c>
      <c r="KH6" s="14" t="str">
        <f t="shared" si="79"/>
        <v/>
      </c>
      <c r="KI6" s="40"/>
      <c r="KJ6" s="40"/>
      <c r="KK6" s="40"/>
      <c r="KL6" s="40"/>
      <c r="KM6" s="40"/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40"/>
      <c r="KY6" s="11" t="str">
        <f t="shared" si="80"/>
        <v/>
      </c>
      <c r="KZ6" s="11" t="str">
        <f t="shared" si="81"/>
        <v/>
      </c>
      <c r="LA6" s="11" t="str">
        <f t="shared" si="82"/>
        <v/>
      </c>
      <c r="LB6" s="11" t="str">
        <f t="shared" si="83"/>
        <v/>
      </c>
      <c r="LC6" s="11" t="str">
        <f t="shared" si="84"/>
        <v/>
      </c>
      <c r="LD6" s="39"/>
      <c r="LE6" s="39"/>
      <c r="LF6" s="39"/>
      <c r="LG6" s="39"/>
      <c r="LH6" s="39"/>
      <c r="LI6" s="39"/>
      <c r="LJ6" s="39"/>
      <c r="LK6" s="39"/>
      <c r="LL6" s="39"/>
      <c r="LM6" s="39"/>
      <c r="LN6" s="39"/>
      <c r="LO6" s="39"/>
      <c r="LP6" s="39"/>
      <c r="LQ6" s="39"/>
      <c r="LR6" s="39"/>
      <c r="LS6" s="39"/>
      <c r="LT6" s="14" t="str">
        <f t="shared" si="85"/>
        <v/>
      </c>
      <c r="LU6" s="14" t="str">
        <f t="shared" si="86"/>
        <v/>
      </c>
      <c r="LV6" s="14" t="str">
        <f t="shared" si="87"/>
        <v/>
      </c>
      <c r="LW6" s="14" t="str">
        <f t="shared" si="88"/>
        <v/>
      </c>
      <c r="LX6" s="14" t="str">
        <f t="shared" si="89"/>
        <v/>
      </c>
      <c r="LY6" s="61">
        <f t="shared" si="90"/>
        <v>28.2</v>
      </c>
      <c r="LZ6" s="61">
        <f t="shared" si="91"/>
        <v>7.2</v>
      </c>
      <c r="MA6" s="61">
        <f t="shared" si="92"/>
        <v>0.15</v>
      </c>
      <c r="MB6" s="61">
        <f t="shared" si="93"/>
        <v>0</v>
      </c>
      <c r="MC6" s="61">
        <f t="shared" si="94"/>
        <v>27.95</v>
      </c>
      <c r="MD6" s="61">
        <f t="shared" si="95"/>
        <v>7.45</v>
      </c>
      <c r="ME6" s="61">
        <f t="shared" si="96"/>
        <v>0.15</v>
      </c>
      <c r="MF6" s="61">
        <f t="shared" si="97"/>
        <v>0.15</v>
      </c>
      <c r="MG6" s="61">
        <f t="shared" si="98"/>
        <v>13.4</v>
      </c>
      <c r="MH6" s="61">
        <f t="shared" si="99"/>
        <v>4.05</v>
      </c>
      <c r="MI6" s="61">
        <f t="shared" si="100"/>
        <v>0</v>
      </c>
      <c r="MJ6" s="61">
        <f t="shared" si="101"/>
        <v>0</v>
      </c>
      <c r="MK6" s="61">
        <f t="shared" si="102"/>
        <v>27.9</v>
      </c>
      <c r="ML6" s="61">
        <f t="shared" si="103"/>
        <v>7.9</v>
      </c>
      <c r="MM6" s="61">
        <f t="shared" si="104"/>
        <v>0.45</v>
      </c>
      <c r="MN6" s="61">
        <f t="shared" si="105"/>
        <v>0.15</v>
      </c>
      <c r="MO6" s="72" t="s">
        <v>52</v>
      </c>
      <c r="MP6" s="11">
        <f t="shared" si="106"/>
        <v>14.65</v>
      </c>
      <c r="MQ6" s="11">
        <f t="shared" si="107"/>
        <v>70.650000000000006</v>
      </c>
      <c r="MR6" s="11">
        <f t="shared" si="108"/>
        <v>11.95</v>
      </c>
      <c r="MS6" s="11">
        <f t="shared" si="109"/>
        <v>52.949999999999989</v>
      </c>
      <c r="MT6" s="11">
        <f t="shared" si="110"/>
        <v>123.6</v>
      </c>
    </row>
    <row r="7" spans="1:358" x14ac:dyDescent="0.2">
      <c r="A7" s="5">
        <f t="shared" si="0"/>
        <v>4</v>
      </c>
      <c r="B7" s="8" t="s">
        <v>86</v>
      </c>
      <c r="C7" s="4" t="s">
        <v>4</v>
      </c>
      <c r="D7" s="5">
        <v>2003</v>
      </c>
      <c r="E7" s="15">
        <f t="shared" si="1"/>
        <v>208.6</v>
      </c>
      <c r="F7" s="3" t="str">
        <f t="shared" si="2"/>
        <v>P</v>
      </c>
      <c r="G7" s="3" t="str">
        <f t="shared" si="3"/>
        <v>P</v>
      </c>
      <c r="H7" s="116" t="str">
        <f t="shared" si="4"/>
        <v>National Team</v>
      </c>
      <c r="I7" s="3" t="str">
        <f t="shared" si="5"/>
        <v/>
      </c>
      <c r="J7" s="14">
        <f t="shared" si="6"/>
        <v>70.5</v>
      </c>
      <c r="K7" s="14" t="str">
        <f t="shared" si="7"/>
        <v>2021 2nd Virtual Technical Trial</v>
      </c>
      <c r="L7" s="14">
        <f t="shared" si="8"/>
        <v>138.1</v>
      </c>
      <c r="M7" s="14" t="str">
        <f t="shared" si="9"/>
        <v>2021 Elite Canada</v>
      </c>
      <c r="N7" s="14" t="str">
        <f t="shared" si="10"/>
        <v/>
      </c>
      <c r="O7" s="24" t="str">
        <f t="shared" si="11"/>
        <v/>
      </c>
      <c r="P7" s="14" t="str">
        <f t="shared" si="12"/>
        <v/>
      </c>
      <c r="Q7" s="61">
        <v>28</v>
      </c>
      <c r="R7" s="61">
        <v>6.8</v>
      </c>
      <c r="S7" s="61">
        <v>1.2</v>
      </c>
      <c r="T7" s="61">
        <v>0</v>
      </c>
      <c r="U7" s="61">
        <v>28.1</v>
      </c>
      <c r="V7" s="61">
        <v>7.2</v>
      </c>
      <c r="W7" s="61">
        <v>1.2</v>
      </c>
      <c r="X7" s="61">
        <v>0</v>
      </c>
      <c r="Y7" s="61">
        <v>28.4</v>
      </c>
      <c r="Z7" s="61">
        <v>2.8</v>
      </c>
      <c r="AA7" s="61">
        <v>4.0999999999999996</v>
      </c>
      <c r="AB7" s="61">
        <v>0</v>
      </c>
      <c r="AC7" s="61">
        <v>27.8</v>
      </c>
      <c r="AD7" s="61">
        <v>6</v>
      </c>
      <c r="AE7" s="61">
        <v>1.5</v>
      </c>
      <c r="AF7" s="61">
        <v>0</v>
      </c>
      <c r="AG7" s="72"/>
      <c r="AH7" s="11">
        <f t="shared" si="13"/>
        <v>14</v>
      </c>
      <c r="AI7" s="11">
        <f t="shared" si="14"/>
        <v>67.699999999999989</v>
      </c>
      <c r="AJ7" s="11">
        <f t="shared" si="15"/>
        <v>8.8000000000000007</v>
      </c>
      <c r="AK7" s="11">
        <f t="shared" si="16"/>
        <v>59.4</v>
      </c>
      <c r="AL7" s="11">
        <f t="shared" si="17"/>
        <v>127.1</v>
      </c>
      <c r="AM7" s="36">
        <v>28.2</v>
      </c>
      <c r="AN7" s="36">
        <v>7.6</v>
      </c>
      <c r="AO7" s="36">
        <v>1.2</v>
      </c>
      <c r="AP7" s="36">
        <v>0</v>
      </c>
      <c r="AQ7" s="36">
        <v>28.7</v>
      </c>
      <c r="AR7" s="36">
        <v>7.2</v>
      </c>
      <c r="AS7" s="36">
        <v>0</v>
      </c>
      <c r="AT7" s="36">
        <v>0</v>
      </c>
      <c r="AU7" s="36">
        <v>28.4</v>
      </c>
      <c r="AV7" s="36">
        <v>6</v>
      </c>
      <c r="AW7" s="36">
        <v>1.2</v>
      </c>
      <c r="AX7" s="36">
        <v>0</v>
      </c>
      <c r="AY7" s="36">
        <v>27.7</v>
      </c>
      <c r="AZ7" s="36">
        <v>6.8</v>
      </c>
      <c r="BA7" s="36">
        <v>0.3</v>
      </c>
      <c r="BB7" s="36">
        <v>0</v>
      </c>
      <c r="BC7" s="73"/>
      <c r="BD7" s="14">
        <f t="shared" si="18"/>
        <v>14.8</v>
      </c>
      <c r="BE7" s="14">
        <f t="shared" si="19"/>
        <v>70.5</v>
      </c>
      <c r="BF7" s="14">
        <f t="shared" si="20"/>
        <v>12.8</v>
      </c>
      <c r="BG7" s="14">
        <f t="shared" si="21"/>
        <v>67.399999999999991</v>
      </c>
      <c r="BH7" s="14">
        <f t="shared" si="22"/>
        <v>137.89999999999998</v>
      </c>
      <c r="BI7" s="61">
        <v>28</v>
      </c>
      <c r="BJ7" s="61">
        <v>7.6</v>
      </c>
      <c r="BK7" s="61">
        <v>0.9</v>
      </c>
      <c r="BL7" s="61">
        <v>0</v>
      </c>
      <c r="BM7" s="61">
        <v>27.9</v>
      </c>
      <c r="BN7" s="61">
        <v>7.2</v>
      </c>
      <c r="BO7" s="61">
        <v>0.9</v>
      </c>
      <c r="BP7" s="61">
        <v>0</v>
      </c>
      <c r="BQ7" s="61">
        <v>28</v>
      </c>
      <c r="BR7" s="61">
        <v>6.8</v>
      </c>
      <c r="BS7" s="61">
        <v>0.3</v>
      </c>
      <c r="BT7" s="61">
        <v>0</v>
      </c>
      <c r="BU7" s="61">
        <v>28.1</v>
      </c>
      <c r="BV7" s="61">
        <v>7.2</v>
      </c>
      <c r="BW7" s="61">
        <v>0.9</v>
      </c>
      <c r="BX7" s="61">
        <v>0.3</v>
      </c>
      <c r="BY7" s="72"/>
      <c r="BZ7" s="11">
        <f t="shared" si="23"/>
        <v>14.8</v>
      </c>
      <c r="CA7" s="11">
        <f t="shared" si="24"/>
        <v>68.900000000000006</v>
      </c>
      <c r="CB7" s="11">
        <f t="shared" si="25"/>
        <v>14</v>
      </c>
      <c r="CC7" s="11">
        <f t="shared" si="26"/>
        <v>69.199999999999989</v>
      </c>
      <c r="CD7" s="11">
        <f t="shared" si="27"/>
        <v>138.1</v>
      </c>
      <c r="CE7" s="23" t="str">
        <f t="shared" si="28"/>
        <v/>
      </c>
      <c r="CF7" s="23" t="str">
        <f t="shared" si="29"/>
        <v/>
      </c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40"/>
      <c r="CW7" s="11" t="str">
        <f t="shared" si="30"/>
        <v/>
      </c>
      <c r="CX7" s="11" t="str">
        <f t="shared" si="31"/>
        <v/>
      </c>
      <c r="CY7" s="11" t="str">
        <f t="shared" si="32"/>
        <v/>
      </c>
      <c r="CZ7" s="11" t="str">
        <f t="shared" si="33"/>
        <v/>
      </c>
      <c r="DA7" s="11" t="str">
        <f t="shared" si="34"/>
        <v/>
      </c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  <c r="DP7" s="39"/>
      <c r="DQ7" s="39"/>
      <c r="DR7" s="14" t="str">
        <f t="shared" si="35"/>
        <v/>
      </c>
      <c r="DS7" s="14" t="str">
        <f t="shared" si="36"/>
        <v/>
      </c>
      <c r="DT7" s="14" t="str">
        <f t="shared" si="37"/>
        <v/>
      </c>
      <c r="DU7" s="14" t="str">
        <f t="shared" si="38"/>
        <v/>
      </c>
      <c r="DV7" s="14" t="str">
        <f t="shared" si="39"/>
        <v/>
      </c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40"/>
      <c r="EM7" s="11" t="str">
        <f t="shared" si="40"/>
        <v/>
      </c>
      <c r="EN7" s="11" t="str">
        <f t="shared" si="41"/>
        <v/>
      </c>
      <c r="EO7" s="11" t="str">
        <f t="shared" si="42"/>
        <v/>
      </c>
      <c r="EP7" s="11" t="str">
        <f t="shared" si="43"/>
        <v/>
      </c>
      <c r="EQ7" s="11" t="str">
        <f t="shared" si="44"/>
        <v/>
      </c>
      <c r="ER7" s="39"/>
      <c r="ES7" s="39"/>
      <c r="ET7" s="39"/>
      <c r="EU7" s="39"/>
      <c r="EV7" s="39"/>
      <c r="EW7" s="39"/>
      <c r="EX7" s="39"/>
      <c r="EY7" s="39"/>
      <c r="EZ7" s="39"/>
      <c r="FA7" s="39"/>
      <c r="FB7" s="39"/>
      <c r="FC7" s="39"/>
      <c r="FD7" s="39"/>
      <c r="FE7" s="39"/>
      <c r="FF7" s="39"/>
      <c r="FG7" s="39"/>
      <c r="FH7" s="14" t="str">
        <f t="shared" si="45"/>
        <v/>
      </c>
      <c r="FI7" s="14" t="str">
        <f t="shared" si="46"/>
        <v/>
      </c>
      <c r="FJ7" s="14" t="str">
        <f t="shared" si="47"/>
        <v/>
      </c>
      <c r="FK7" s="14" t="str">
        <f t="shared" si="48"/>
        <v/>
      </c>
      <c r="FL7" s="14" t="str">
        <f t="shared" si="49"/>
        <v/>
      </c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40"/>
      <c r="GC7" s="11" t="str">
        <f t="shared" si="50"/>
        <v/>
      </c>
      <c r="GD7" s="11" t="str">
        <f t="shared" si="51"/>
        <v/>
      </c>
      <c r="GE7" s="11" t="str">
        <f t="shared" si="52"/>
        <v/>
      </c>
      <c r="GF7" s="11" t="str">
        <f t="shared" si="53"/>
        <v/>
      </c>
      <c r="GG7" s="11" t="str">
        <f t="shared" si="54"/>
        <v/>
      </c>
      <c r="GH7" s="39"/>
      <c r="GI7" s="39"/>
      <c r="GJ7" s="39"/>
      <c r="GK7" s="39"/>
      <c r="GL7" s="39"/>
      <c r="GM7" s="39"/>
      <c r="GN7" s="39"/>
      <c r="GO7" s="39"/>
      <c r="GP7" s="39"/>
      <c r="GQ7" s="39"/>
      <c r="GR7" s="39"/>
      <c r="GS7" s="39"/>
      <c r="GT7" s="39"/>
      <c r="GU7" s="39"/>
      <c r="GV7" s="39"/>
      <c r="GW7" s="39"/>
      <c r="GX7" s="14" t="str">
        <f t="shared" si="55"/>
        <v/>
      </c>
      <c r="GY7" s="14" t="str">
        <f t="shared" si="56"/>
        <v/>
      </c>
      <c r="GZ7" s="14" t="str">
        <f t="shared" si="57"/>
        <v/>
      </c>
      <c r="HA7" s="14" t="str">
        <f t="shared" si="58"/>
        <v/>
      </c>
      <c r="HB7" s="14" t="str">
        <f t="shared" si="59"/>
        <v/>
      </c>
      <c r="HC7" s="40"/>
      <c r="HD7" s="40"/>
      <c r="HE7" s="40"/>
      <c r="HF7" s="40"/>
      <c r="HG7" s="40"/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40"/>
      <c r="HS7" s="11" t="str">
        <f t="shared" si="60"/>
        <v/>
      </c>
      <c r="HT7" s="11" t="str">
        <f t="shared" si="61"/>
        <v/>
      </c>
      <c r="HU7" s="11" t="str">
        <f t="shared" si="62"/>
        <v/>
      </c>
      <c r="HV7" s="11" t="str">
        <f t="shared" si="63"/>
        <v/>
      </c>
      <c r="HW7" s="11" t="str">
        <f t="shared" si="64"/>
        <v/>
      </c>
      <c r="HX7" s="39"/>
      <c r="HY7" s="39"/>
      <c r="HZ7" s="39"/>
      <c r="IA7" s="39"/>
      <c r="IB7" s="39"/>
      <c r="IC7" s="39"/>
      <c r="ID7" s="39"/>
      <c r="IE7" s="39"/>
      <c r="IF7" s="39"/>
      <c r="IG7" s="39"/>
      <c r="IH7" s="39"/>
      <c r="II7" s="39"/>
      <c r="IJ7" s="39"/>
      <c r="IK7" s="39"/>
      <c r="IL7" s="39"/>
      <c r="IM7" s="39"/>
      <c r="IN7" s="14" t="str">
        <f t="shared" si="65"/>
        <v/>
      </c>
      <c r="IO7" s="14" t="str">
        <f t="shared" si="66"/>
        <v/>
      </c>
      <c r="IP7" s="14" t="str">
        <f t="shared" si="67"/>
        <v/>
      </c>
      <c r="IQ7" s="14" t="str">
        <f t="shared" si="68"/>
        <v/>
      </c>
      <c r="IR7" s="14" t="str">
        <f t="shared" si="69"/>
        <v/>
      </c>
      <c r="IS7" s="40"/>
      <c r="IT7" s="40"/>
      <c r="IU7" s="40"/>
      <c r="IV7" s="40"/>
      <c r="IW7" s="40"/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40"/>
      <c r="JI7" s="11" t="str">
        <f t="shared" si="70"/>
        <v/>
      </c>
      <c r="JJ7" s="11" t="str">
        <f t="shared" si="71"/>
        <v/>
      </c>
      <c r="JK7" s="11" t="str">
        <f t="shared" si="72"/>
        <v/>
      </c>
      <c r="JL7" s="11" t="str">
        <f t="shared" si="73"/>
        <v/>
      </c>
      <c r="JM7" s="11" t="str">
        <f t="shared" si="74"/>
        <v/>
      </c>
      <c r="JN7" s="39"/>
      <c r="JO7" s="39"/>
      <c r="JP7" s="39"/>
      <c r="JQ7" s="39"/>
      <c r="JR7" s="39"/>
      <c r="JS7" s="39"/>
      <c r="JT7" s="39"/>
      <c r="JU7" s="39"/>
      <c r="JV7" s="39"/>
      <c r="JW7" s="39"/>
      <c r="JX7" s="39"/>
      <c r="JY7" s="39"/>
      <c r="JZ7" s="39"/>
      <c r="KA7" s="39"/>
      <c r="KB7" s="39"/>
      <c r="KC7" s="39"/>
      <c r="KD7" s="14" t="str">
        <f t="shared" si="75"/>
        <v/>
      </c>
      <c r="KE7" s="14" t="str">
        <f t="shared" si="76"/>
        <v/>
      </c>
      <c r="KF7" s="14" t="str">
        <f t="shared" si="77"/>
        <v/>
      </c>
      <c r="KG7" s="14" t="str">
        <f t="shared" si="78"/>
        <v/>
      </c>
      <c r="KH7" s="14" t="str">
        <f t="shared" si="79"/>
        <v/>
      </c>
      <c r="KI7" s="40"/>
      <c r="KJ7" s="40"/>
      <c r="KK7" s="40"/>
      <c r="KL7" s="40"/>
      <c r="KM7" s="40"/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40"/>
      <c r="KY7" s="11" t="str">
        <f t="shared" si="80"/>
        <v/>
      </c>
      <c r="KZ7" s="11" t="str">
        <f t="shared" si="81"/>
        <v/>
      </c>
      <c r="LA7" s="11" t="str">
        <f t="shared" si="82"/>
        <v/>
      </c>
      <c r="LB7" s="11" t="str">
        <f t="shared" si="83"/>
        <v/>
      </c>
      <c r="LC7" s="11" t="str">
        <f t="shared" si="84"/>
        <v/>
      </c>
      <c r="LD7" s="39"/>
      <c r="LE7" s="39"/>
      <c r="LF7" s="39"/>
      <c r="LG7" s="39"/>
      <c r="LH7" s="39"/>
      <c r="LI7" s="39"/>
      <c r="LJ7" s="39"/>
      <c r="LK7" s="39"/>
      <c r="LL7" s="39"/>
      <c r="LM7" s="39"/>
      <c r="LN7" s="39"/>
      <c r="LO7" s="39"/>
      <c r="LP7" s="39"/>
      <c r="LQ7" s="39"/>
      <c r="LR7" s="39"/>
      <c r="LS7" s="39"/>
      <c r="LT7" s="14" t="str">
        <f t="shared" si="85"/>
        <v/>
      </c>
      <c r="LU7" s="14" t="str">
        <f t="shared" si="86"/>
        <v/>
      </c>
      <c r="LV7" s="14" t="str">
        <f t="shared" si="87"/>
        <v/>
      </c>
      <c r="LW7" s="14" t="str">
        <f t="shared" si="88"/>
        <v/>
      </c>
      <c r="LX7" s="14" t="str">
        <f t="shared" si="89"/>
        <v/>
      </c>
      <c r="LY7" s="61">
        <f t="shared" si="90"/>
        <v>28.1</v>
      </c>
      <c r="LZ7" s="61">
        <f t="shared" si="91"/>
        <v>7.6</v>
      </c>
      <c r="MA7" s="61">
        <f t="shared" si="92"/>
        <v>1.05</v>
      </c>
      <c r="MB7" s="61">
        <f t="shared" si="93"/>
        <v>0</v>
      </c>
      <c r="MC7" s="61">
        <f t="shared" si="94"/>
        <v>28.299999999999997</v>
      </c>
      <c r="MD7" s="61">
        <f t="shared" si="95"/>
        <v>7.2</v>
      </c>
      <c r="ME7" s="61">
        <f t="shared" si="96"/>
        <v>0.45</v>
      </c>
      <c r="MF7" s="61">
        <f t="shared" si="97"/>
        <v>0</v>
      </c>
      <c r="MG7" s="61">
        <f t="shared" si="98"/>
        <v>28.2</v>
      </c>
      <c r="MH7" s="61">
        <f t="shared" si="99"/>
        <v>6.4</v>
      </c>
      <c r="MI7" s="61">
        <f t="shared" si="100"/>
        <v>0.75</v>
      </c>
      <c r="MJ7" s="61">
        <f t="shared" si="101"/>
        <v>0</v>
      </c>
      <c r="MK7" s="61">
        <f t="shared" si="102"/>
        <v>27.9</v>
      </c>
      <c r="ML7" s="61">
        <f t="shared" si="103"/>
        <v>7</v>
      </c>
      <c r="MM7" s="61">
        <f t="shared" si="104"/>
        <v>0.6</v>
      </c>
      <c r="MN7" s="61">
        <f t="shared" si="105"/>
        <v>0.15</v>
      </c>
      <c r="MO7" s="72" t="s">
        <v>52</v>
      </c>
      <c r="MP7" s="11">
        <f t="shared" si="106"/>
        <v>14.8</v>
      </c>
      <c r="MQ7" s="11">
        <f t="shared" si="107"/>
        <v>69.7</v>
      </c>
      <c r="MR7" s="11">
        <f t="shared" si="108"/>
        <v>13.4</v>
      </c>
      <c r="MS7" s="11">
        <f t="shared" si="109"/>
        <v>68.300000000000011</v>
      </c>
      <c r="MT7" s="11">
        <f t="shared" si="110"/>
        <v>138</v>
      </c>
    </row>
    <row r="8" spans="1:358" x14ac:dyDescent="0.2">
      <c r="A8" s="5">
        <f t="shared" si="0"/>
        <v>5</v>
      </c>
      <c r="B8" s="8" t="s">
        <v>88</v>
      </c>
      <c r="C8" s="4" t="s">
        <v>5</v>
      </c>
      <c r="D8" s="5">
        <v>2003</v>
      </c>
      <c r="E8" s="15">
        <f t="shared" si="1"/>
        <v>192.5</v>
      </c>
      <c r="F8" s="3" t="str">
        <f t="shared" si="2"/>
        <v>P</v>
      </c>
      <c r="G8" s="3" t="str">
        <f t="shared" si="3"/>
        <v>P</v>
      </c>
      <c r="H8" s="116" t="str">
        <f t="shared" si="4"/>
        <v>National Team</v>
      </c>
      <c r="I8" s="3" t="str">
        <f t="shared" si="5"/>
        <v/>
      </c>
      <c r="J8" s="14">
        <f t="shared" si="6"/>
        <v>68.600000000000009</v>
      </c>
      <c r="K8" s="14" t="str">
        <f t="shared" si="7"/>
        <v>2021 Elite Canada</v>
      </c>
      <c r="L8" s="14">
        <f t="shared" si="8"/>
        <v>123.9</v>
      </c>
      <c r="M8" s="14" t="str">
        <f t="shared" si="9"/>
        <v>2021 2nd Virtual Technical Trial</v>
      </c>
      <c r="N8" s="14" t="str">
        <f t="shared" si="10"/>
        <v/>
      </c>
      <c r="O8" s="24" t="str">
        <f t="shared" si="11"/>
        <v/>
      </c>
      <c r="P8" s="14" t="str">
        <f t="shared" si="12"/>
        <v/>
      </c>
      <c r="Q8" s="61">
        <v>25.4</v>
      </c>
      <c r="R8" s="61">
        <v>4.4000000000000004</v>
      </c>
      <c r="S8" s="61">
        <v>0.9</v>
      </c>
      <c r="T8" s="61">
        <v>0</v>
      </c>
      <c r="U8" s="61">
        <v>28.5</v>
      </c>
      <c r="V8" s="61">
        <v>3.1</v>
      </c>
      <c r="W8" s="61">
        <v>0.3</v>
      </c>
      <c r="X8" s="61">
        <v>0</v>
      </c>
      <c r="Y8" s="61">
        <v>0</v>
      </c>
      <c r="Z8" s="61">
        <v>0</v>
      </c>
      <c r="AA8" s="61">
        <v>0</v>
      </c>
      <c r="AB8" s="61">
        <v>0</v>
      </c>
      <c r="AC8" s="61">
        <v>0</v>
      </c>
      <c r="AD8" s="61">
        <v>0</v>
      </c>
      <c r="AE8" s="61">
        <v>0</v>
      </c>
      <c r="AF8" s="61">
        <v>0</v>
      </c>
      <c r="AG8" s="72"/>
      <c r="AH8" s="11">
        <f t="shared" si="13"/>
        <v>7.5</v>
      </c>
      <c r="AI8" s="11">
        <f t="shared" si="14"/>
        <v>60.199999999999996</v>
      </c>
      <c r="AJ8" s="11" t="str">
        <f t="shared" si="15"/>
        <v/>
      </c>
      <c r="AK8" s="11" t="str">
        <f t="shared" si="16"/>
        <v/>
      </c>
      <c r="AL8" s="11">
        <f t="shared" si="17"/>
        <v>60.199999999999996</v>
      </c>
      <c r="AM8" s="36">
        <v>28.2</v>
      </c>
      <c r="AN8" s="36">
        <v>7.2</v>
      </c>
      <c r="AO8" s="36">
        <v>0.9</v>
      </c>
      <c r="AP8" s="36">
        <v>0</v>
      </c>
      <c r="AQ8" s="36">
        <v>20.100000000000001</v>
      </c>
      <c r="AR8" s="36">
        <v>3.2</v>
      </c>
      <c r="AS8" s="36">
        <v>0</v>
      </c>
      <c r="AT8" s="36">
        <v>0</v>
      </c>
      <c r="AU8" s="36">
        <v>28</v>
      </c>
      <c r="AV8" s="36">
        <v>6.9</v>
      </c>
      <c r="AW8" s="36">
        <v>0</v>
      </c>
      <c r="AX8" s="36">
        <v>0</v>
      </c>
      <c r="AY8" s="36">
        <v>28.6</v>
      </c>
      <c r="AZ8" s="36">
        <v>4.3</v>
      </c>
      <c r="BA8" s="36">
        <v>1.7</v>
      </c>
      <c r="BB8" s="36">
        <v>0</v>
      </c>
      <c r="BC8" s="73"/>
      <c r="BD8" s="14">
        <f t="shared" si="18"/>
        <v>10.4</v>
      </c>
      <c r="BE8" s="14">
        <f t="shared" si="19"/>
        <v>57.800000000000004</v>
      </c>
      <c r="BF8" s="14">
        <f t="shared" si="20"/>
        <v>11.2</v>
      </c>
      <c r="BG8" s="14">
        <f t="shared" si="21"/>
        <v>66.099999999999994</v>
      </c>
      <c r="BH8" s="14">
        <f t="shared" si="22"/>
        <v>123.9</v>
      </c>
      <c r="BI8" s="61">
        <v>27.8</v>
      </c>
      <c r="BJ8" s="61">
        <v>7.3</v>
      </c>
      <c r="BK8" s="61">
        <v>0.3</v>
      </c>
      <c r="BL8" s="61">
        <v>0</v>
      </c>
      <c r="BM8" s="61">
        <v>28.1</v>
      </c>
      <c r="BN8" s="61">
        <v>6</v>
      </c>
      <c r="BO8" s="61">
        <v>0.3</v>
      </c>
      <c r="BP8" s="61">
        <v>0</v>
      </c>
      <c r="BQ8" s="61">
        <v>27.9</v>
      </c>
      <c r="BR8" s="61">
        <v>3.5</v>
      </c>
      <c r="BS8" s="61">
        <v>2.5</v>
      </c>
      <c r="BT8" s="61">
        <v>0</v>
      </c>
      <c r="BU8" s="61">
        <v>27.3</v>
      </c>
      <c r="BV8" s="61">
        <v>3.1</v>
      </c>
      <c r="BW8" s="61">
        <v>2.9</v>
      </c>
      <c r="BX8" s="61">
        <v>0</v>
      </c>
      <c r="BY8" s="72"/>
      <c r="BZ8" s="11">
        <f t="shared" si="23"/>
        <v>13.3</v>
      </c>
      <c r="CA8" s="11">
        <f t="shared" si="24"/>
        <v>68.600000000000009</v>
      </c>
      <c r="CB8" s="11">
        <f t="shared" si="25"/>
        <v>6.6</v>
      </c>
      <c r="CC8" s="11">
        <f t="shared" si="26"/>
        <v>56.400000000000006</v>
      </c>
      <c r="CD8" s="11">
        <f t="shared" si="27"/>
        <v>125.00000000000001</v>
      </c>
      <c r="CE8" s="23" t="str">
        <f t="shared" si="28"/>
        <v/>
      </c>
      <c r="CF8" s="23" t="str">
        <f t="shared" si="29"/>
        <v/>
      </c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40"/>
      <c r="CW8" s="11" t="str">
        <f t="shared" si="30"/>
        <v/>
      </c>
      <c r="CX8" s="11" t="str">
        <f t="shared" si="31"/>
        <v/>
      </c>
      <c r="CY8" s="11" t="str">
        <f t="shared" si="32"/>
        <v/>
      </c>
      <c r="CZ8" s="11" t="str">
        <f t="shared" si="33"/>
        <v/>
      </c>
      <c r="DA8" s="11" t="str">
        <f t="shared" si="34"/>
        <v/>
      </c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39"/>
      <c r="DN8" s="39"/>
      <c r="DO8" s="39"/>
      <c r="DP8" s="39"/>
      <c r="DQ8" s="39"/>
      <c r="DR8" s="14" t="str">
        <f t="shared" si="35"/>
        <v/>
      </c>
      <c r="DS8" s="14" t="str">
        <f t="shared" si="36"/>
        <v/>
      </c>
      <c r="DT8" s="14" t="str">
        <f t="shared" si="37"/>
        <v/>
      </c>
      <c r="DU8" s="14" t="str">
        <f t="shared" si="38"/>
        <v/>
      </c>
      <c r="DV8" s="14" t="str">
        <f t="shared" si="39"/>
        <v/>
      </c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40"/>
      <c r="EM8" s="11" t="str">
        <f t="shared" si="40"/>
        <v/>
      </c>
      <c r="EN8" s="11" t="str">
        <f t="shared" si="41"/>
        <v/>
      </c>
      <c r="EO8" s="11" t="str">
        <f t="shared" si="42"/>
        <v/>
      </c>
      <c r="EP8" s="11" t="str">
        <f t="shared" si="43"/>
        <v/>
      </c>
      <c r="EQ8" s="11" t="str">
        <f t="shared" si="44"/>
        <v/>
      </c>
      <c r="ER8" s="39"/>
      <c r="ES8" s="39"/>
      <c r="ET8" s="39"/>
      <c r="EU8" s="39"/>
      <c r="EV8" s="39"/>
      <c r="EW8" s="39"/>
      <c r="EX8" s="39"/>
      <c r="EY8" s="39"/>
      <c r="EZ8" s="39"/>
      <c r="FA8" s="39"/>
      <c r="FB8" s="39"/>
      <c r="FC8" s="39"/>
      <c r="FD8" s="39"/>
      <c r="FE8" s="39"/>
      <c r="FF8" s="39"/>
      <c r="FG8" s="39"/>
      <c r="FH8" s="14" t="str">
        <f t="shared" si="45"/>
        <v/>
      </c>
      <c r="FI8" s="14" t="str">
        <f t="shared" si="46"/>
        <v/>
      </c>
      <c r="FJ8" s="14" t="str">
        <f t="shared" si="47"/>
        <v/>
      </c>
      <c r="FK8" s="14" t="str">
        <f t="shared" si="48"/>
        <v/>
      </c>
      <c r="FL8" s="14" t="str">
        <f t="shared" si="49"/>
        <v/>
      </c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40"/>
      <c r="GC8" s="11" t="str">
        <f t="shared" si="50"/>
        <v/>
      </c>
      <c r="GD8" s="11" t="str">
        <f t="shared" si="51"/>
        <v/>
      </c>
      <c r="GE8" s="11" t="str">
        <f t="shared" si="52"/>
        <v/>
      </c>
      <c r="GF8" s="11" t="str">
        <f t="shared" si="53"/>
        <v/>
      </c>
      <c r="GG8" s="11" t="str">
        <f t="shared" si="54"/>
        <v/>
      </c>
      <c r="GH8" s="39"/>
      <c r="GI8" s="39"/>
      <c r="GJ8" s="39"/>
      <c r="GK8" s="39"/>
      <c r="GL8" s="39"/>
      <c r="GM8" s="39"/>
      <c r="GN8" s="39"/>
      <c r="GO8" s="39"/>
      <c r="GP8" s="39"/>
      <c r="GQ8" s="39"/>
      <c r="GR8" s="39"/>
      <c r="GS8" s="39"/>
      <c r="GT8" s="39"/>
      <c r="GU8" s="39"/>
      <c r="GV8" s="39"/>
      <c r="GW8" s="39"/>
      <c r="GX8" s="14" t="str">
        <f t="shared" si="55"/>
        <v/>
      </c>
      <c r="GY8" s="14" t="str">
        <f t="shared" si="56"/>
        <v/>
      </c>
      <c r="GZ8" s="14" t="str">
        <f t="shared" si="57"/>
        <v/>
      </c>
      <c r="HA8" s="14" t="str">
        <f t="shared" si="58"/>
        <v/>
      </c>
      <c r="HB8" s="14" t="str">
        <f t="shared" si="59"/>
        <v/>
      </c>
      <c r="HC8" s="40"/>
      <c r="HD8" s="40"/>
      <c r="HE8" s="40"/>
      <c r="HF8" s="40"/>
      <c r="HG8" s="40"/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40"/>
      <c r="HS8" s="11" t="str">
        <f t="shared" si="60"/>
        <v/>
      </c>
      <c r="HT8" s="11" t="str">
        <f t="shared" si="61"/>
        <v/>
      </c>
      <c r="HU8" s="11" t="str">
        <f t="shared" si="62"/>
        <v/>
      </c>
      <c r="HV8" s="11" t="str">
        <f t="shared" si="63"/>
        <v/>
      </c>
      <c r="HW8" s="11" t="str">
        <f t="shared" si="64"/>
        <v/>
      </c>
      <c r="HX8" s="39"/>
      <c r="HY8" s="39"/>
      <c r="HZ8" s="39"/>
      <c r="IA8" s="39"/>
      <c r="IB8" s="39"/>
      <c r="IC8" s="39"/>
      <c r="ID8" s="39"/>
      <c r="IE8" s="39"/>
      <c r="IF8" s="39"/>
      <c r="IG8" s="39"/>
      <c r="IH8" s="39"/>
      <c r="II8" s="39"/>
      <c r="IJ8" s="39"/>
      <c r="IK8" s="39"/>
      <c r="IL8" s="39"/>
      <c r="IM8" s="39"/>
      <c r="IN8" s="14" t="str">
        <f t="shared" si="65"/>
        <v/>
      </c>
      <c r="IO8" s="14" t="str">
        <f t="shared" si="66"/>
        <v/>
      </c>
      <c r="IP8" s="14" t="str">
        <f t="shared" si="67"/>
        <v/>
      </c>
      <c r="IQ8" s="14" t="str">
        <f t="shared" si="68"/>
        <v/>
      </c>
      <c r="IR8" s="14" t="str">
        <f t="shared" si="69"/>
        <v/>
      </c>
      <c r="IS8" s="40"/>
      <c r="IT8" s="40"/>
      <c r="IU8" s="40"/>
      <c r="IV8" s="40"/>
      <c r="IW8" s="40"/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40"/>
      <c r="JI8" s="11" t="str">
        <f t="shared" si="70"/>
        <v/>
      </c>
      <c r="JJ8" s="11" t="str">
        <f t="shared" si="71"/>
        <v/>
      </c>
      <c r="JK8" s="11" t="str">
        <f t="shared" si="72"/>
        <v/>
      </c>
      <c r="JL8" s="11" t="str">
        <f t="shared" si="73"/>
        <v/>
      </c>
      <c r="JM8" s="11" t="str">
        <f t="shared" si="74"/>
        <v/>
      </c>
      <c r="JN8" s="39"/>
      <c r="JO8" s="39"/>
      <c r="JP8" s="39"/>
      <c r="JQ8" s="39"/>
      <c r="JR8" s="39"/>
      <c r="JS8" s="39"/>
      <c r="JT8" s="39"/>
      <c r="JU8" s="39"/>
      <c r="JV8" s="39"/>
      <c r="JW8" s="39"/>
      <c r="JX8" s="39"/>
      <c r="JY8" s="39"/>
      <c r="JZ8" s="39"/>
      <c r="KA8" s="39"/>
      <c r="KB8" s="39"/>
      <c r="KC8" s="39"/>
      <c r="KD8" s="14" t="str">
        <f t="shared" si="75"/>
        <v/>
      </c>
      <c r="KE8" s="14" t="str">
        <f t="shared" si="76"/>
        <v/>
      </c>
      <c r="KF8" s="14" t="str">
        <f t="shared" si="77"/>
        <v/>
      </c>
      <c r="KG8" s="14" t="str">
        <f t="shared" si="78"/>
        <v/>
      </c>
      <c r="KH8" s="14" t="str">
        <f t="shared" si="79"/>
        <v/>
      </c>
      <c r="KI8" s="40"/>
      <c r="KJ8" s="40"/>
      <c r="KK8" s="40"/>
      <c r="KL8" s="40"/>
      <c r="KM8" s="40"/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40"/>
      <c r="KY8" s="11" t="str">
        <f t="shared" si="80"/>
        <v/>
      </c>
      <c r="KZ8" s="11" t="str">
        <f t="shared" si="81"/>
        <v/>
      </c>
      <c r="LA8" s="11" t="str">
        <f t="shared" si="82"/>
        <v/>
      </c>
      <c r="LB8" s="11" t="str">
        <f t="shared" si="83"/>
        <v/>
      </c>
      <c r="LC8" s="11" t="str">
        <f t="shared" si="84"/>
        <v/>
      </c>
      <c r="LD8" s="39"/>
      <c r="LE8" s="39"/>
      <c r="LF8" s="39"/>
      <c r="LG8" s="39"/>
      <c r="LH8" s="39"/>
      <c r="LI8" s="39"/>
      <c r="LJ8" s="39"/>
      <c r="LK8" s="39"/>
      <c r="LL8" s="39"/>
      <c r="LM8" s="39"/>
      <c r="LN8" s="39"/>
      <c r="LO8" s="39"/>
      <c r="LP8" s="39"/>
      <c r="LQ8" s="39"/>
      <c r="LR8" s="39"/>
      <c r="LS8" s="39"/>
      <c r="LT8" s="14" t="str">
        <f t="shared" si="85"/>
        <v/>
      </c>
      <c r="LU8" s="14" t="str">
        <f t="shared" si="86"/>
        <v/>
      </c>
      <c r="LV8" s="14" t="str">
        <f t="shared" si="87"/>
        <v/>
      </c>
      <c r="LW8" s="14" t="str">
        <f t="shared" si="88"/>
        <v/>
      </c>
      <c r="LX8" s="14" t="str">
        <f t="shared" si="89"/>
        <v/>
      </c>
      <c r="LY8" s="61">
        <f t="shared" si="90"/>
        <v>28</v>
      </c>
      <c r="LZ8" s="61">
        <f t="shared" si="91"/>
        <v>7.25</v>
      </c>
      <c r="MA8" s="61">
        <f t="shared" si="92"/>
        <v>0.6</v>
      </c>
      <c r="MB8" s="61">
        <f t="shared" si="93"/>
        <v>0</v>
      </c>
      <c r="MC8" s="61">
        <f t="shared" si="94"/>
        <v>24.1</v>
      </c>
      <c r="MD8" s="61">
        <f t="shared" si="95"/>
        <v>4.5999999999999996</v>
      </c>
      <c r="ME8" s="61">
        <f t="shared" si="96"/>
        <v>0.15</v>
      </c>
      <c r="MF8" s="61">
        <f t="shared" si="97"/>
        <v>0</v>
      </c>
      <c r="MG8" s="61">
        <f t="shared" si="98"/>
        <v>27.95</v>
      </c>
      <c r="MH8" s="61">
        <f t="shared" si="99"/>
        <v>5.2</v>
      </c>
      <c r="MI8" s="61">
        <f t="shared" si="100"/>
        <v>1.25</v>
      </c>
      <c r="MJ8" s="61">
        <f t="shared" si="101"/>
        <v>0</v>
      </c>
      <c r="MK8" s="61">
        <f t="shared" si="102"/>
        <v>27.950000000000003</v>
      </c>
      <c r="ML8" s="61">
        <f t="shared" si="103"/>
        <v>3.7</v>
      </c>
      <c r="MM8" s="61">
        <f t="shared" si="104"/>
        <v>2.2999999999999998</v>
      </c>
      <c r="MN8" s="61">
        <f t="shared" si="105"/>
        <v>0</v>
      </c>
      <c r="MO8" s="72" t="s">
        <v>52</v>
      </c>
      <c r="MP8" s="11">
        <f t="shared" si="106"/>
        <v>11.85</v>
      </c>
      <c r="MQ8" s="11">
        <f t="shared" si="107"/>
        <v>63.2</v>
      </c>
      <c r="MR8" s="11">
        <f t="shared" si="108"/>
        <v>8.9</v>
      </c>
      <c r="MS8" s="11">
        <f t="shared" si="109"/>
        <v>61.25</v>
      </c>
      <c r="MT8" s="11">
        <f t="shared" si="110"/>
        <v>124.45</v>
      </c>
    </row>
    <row r="9" spans="1:358" x14ac:dyDescent="0.2">
      <c r="A9" s="5" t="str">
        <f t="shared" si="0"/>
        <v/>
      </c>
      <c r="B9" s="8" t="s">
        <v>81</v>
      </c>
      <c r="C9" s="4" t="s">
        <v>6</v>
      </c>
      <c r="D9" s="5">
        <v>2004</v>
      </c>
      <c r="E9" s="15">
        <f t="shared" si="1"/>
        <v>196.89999999999998</v>
      </c>
      <c r="F9" s="3" t="str">
        <f t="shared" si="2"/>
        <v/>
      </c>
      <c r="G9" s="3" t="str">
        <f t="shared" si="3"/>
        <v/>
      </c>
      <c r="H9" s="116" t="str">
        <f t="shared" si="4"/>
        <v/>
      </c>
      <c r="I9" s="3" t="str">
        <f t="shared" si="5"/>
        <v/>
      </c>
      <c r="J9" s="14">
        <f t="shared" si="6"/>
        <v>66.2</v>
      </c>
      <c r="K9" s="14" t="str">
        <f t="shared" si="7"/>
        <v>2021 Elite Canada</v>
      </c>
      <c r="L9" s="14">
        <f t="shared" si="8"/>
        <v>130.69999999999999</v>
      </c>
      <c r="M9" s="14" t="str">
        <f t="shared" si="9"/>
        <v>2021 2nd Virtual Technical Trial</v>
      </c>
      <c r="N9" s="14" t="str">
        <f t="shared" si="10"/>
        <v/>
      </c>
      <c r="O9" s="24" t="str">
        <f t="shared" si="11"/>
        <v/>
      </c>
      <c r="P9" s="14" t="str">
        <f t="shared" si="12"/>
        <v/>
      </c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72"/>
      <c r="AH9" s="11" t="str">
        <f t="shared" si="13"/>
        <v/>
      </c>
      <c r="AI9" s="11" t="str">
        <f t="shared" si="14"/>
        <v/>
      </c>
      <c r="AJ9" s="11" t="str">
        <f t="shared" si="15"/>
        <v/>
      </c>
      <c r="AK9" s="11" t="str">
        <f t="shared" si="16"/>
        <v/>
      </c>
      <c r="AL9" s="11" t="str">
        <f t="shared" si="17"/>
        <v/>
      </c>
      <c r="AM9" s="36">
        <v>27.9</v>
      </c>
      <c r="AN9" s="36">
        <v>4.8</v>
      </c>
      <c r="AO9" s="36">
        <v>0</v>
      </c>
      <c r="AP9" s="36">
        <v>0</v>
      </c>
      <c r="AQ9" s="36">
        <v>28.3</v>
      </c>
      <c r="AR9" s="36">
        <v>4.8</v>
      </c>
      <c r="AS9" s="36">
        <v>0</v>
      </c>
      <c r="AT9" s="36">
        <v>0</v>
      </c>
      <c r="AU9" s="36">
        <v>28.6</v>
      </c>
      <c r="AV9" s="36">
        <v>4.3</v>
      </c>
      <c r="AW9" s="36">
        <v>0</v>
      </c>
      <c r="AX9" s="36">
        <v>0</v>
      </c>
      <c r="AY9" s="36">
        <v>28.5</v>
      </c>
      <c r="AZ9" s="36">
        <v>3.5</v>
      </c>
      <c r="BA9" s="36">
        <v>0</v>
      </c>
      <c r="BB9" s="36">
        <v>0</v>
      </c>
      <c r="BC9" s="73"/>
      <c r="BD9" s="14">
        <f t="shared" si="18"/>
        <v>9.6</v>
      </c>
      <c r="BE9" s="14">
        <f t="shared" si="19"/>
        <v>65.8</v>
      </c>
      <c r="BF9" s="14">
        <f t="shared" si="20"/>
        <v>7.8</v>
      </c>
      <c r="BG9" s="14">
        <f t="shared" si="21"/>
        <v>64.900000000000006</v>
      </c>
      <c r="BH9" s="14">
        <f t="shared" si="22"/>
        <v>130.69999999999999</v>
      </c>
      <c r="BI9" s="61">
        <v>28.2</v>
      </c>
      <c r="BJ9" s="61">
        <v>4.8</v>
      </c>
      <c r="BK9" s="61">
        <v>0</v>
      </c>
      <c r="BL9" s="61">
        <v>0</v>
      </c>
      <c r="BM9" s="61">
        <v>28.4</v>
      </c>
      <c r="BN9" s="61">
        <v>4.8</v>
      </c>
      <c r="BO9" s="61">
        <v>0</v>
      </c>
      <c r="BP9" s="61">
        <v>0</v>
      </c>
      <c r="BQ9" s="61">
        <v>28.9</v>
      </c>
      <c r="BR9" s="61">
        <v>3.5</v>
      </c>
      <c r="BS9" s="61">
        <v>0</v>
      </c>
      <c r="BT9" s="61">
        <v>0</v>
      </c>
      <c r="BU9" s="61">
        <v>28.7</v>
      </c>
      <c r="BV9" s="61">
        <v>4.3</v>
      </c>
      <c r="BW9" s="61">
        <v>0</v>
      </c>
      <c r="BX9" s="61">
        <v>0</v>
      </c>
      <c r="BY9" s="72"/>
      <c r="BZ9" s="11">
        <f t="shared" si="23"/>
        <v>9.6</v>
      </c>
      <c r="CA9" s="11">
        <f t="shared" si="24"/>
        <v>66.2</v>
      </c>
      <c r="CB9" s="11">
        <f t="shared" si="25"/>
        <v>7.8</v>
      </c>
      <c r="CC9" s="11">
        <f t="shared" si="26"/>
        <v>65.399999999999991</v>
      </c>
      <c r="CD9" s="11">
        <f t="shared" si="27"/>
        <v>131.6</v>
      </c>
      <c r="CE9" s="23" t="str">
        <f t="shared" si="28"/>
        <v/>
      </c>
      <c r="CF9" s="23" t="str">
        <f t="shared" si="29"/>
        <v/>
      </c>
      <c r="CG9" s="40"/>
      <c r="CH9" s="40"/>
      <c r="CI9" s="40"/>
      <c r="CJ9" s="40"/>
      <c r="CK9" s="40"/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40"/>
      <c r="CW9" s="11" t="str">
        <f t="shared" si="30"/>
        <v/>
      </c>
      <c r="CX9" s="11" t="str">
        <f t="shared" si="31"/>
        <v/>
      </c>
      <c r="CY9" s="11" t="str">
        <f t="shared" si="32"/>
        <v/>
      </c>
      <c r="CZ9" s="11" t="str">
        <f t="shared" si="33"/>
        <v/>
      </c>
      <c r="DA9" s="11" t="str">
        <f t="shared" si="34"/>
        <v/>
      </c>
      <c r="DB9" s="39"/>
      <c r="DC9" s="39"/>
      <c r="DD9" s="39"/>
      <c r="DE9" s="39"/>
      <c r="DF9" s="39"/>
      <c r="DG9" s="39"/>
      <c r="DH9" s="39"/>
      <c r="DI9" s="39"/>
      <c r="DJ9" s="39"/>
      <c r="DK9" s="39"/>
      <c r="DL9" s="39"/>
      <c r="DM9" s="39"/>
      <c r="DN9" s="39"/>
      <c r="DO9" s="39"/>
      <c r="DP9" s="39"/>
      <c r="DQ9" s="39"/>
      <c r="DR9" s="14" t="str">
        <f t="shared" si="35"/>
        <v/>
      </c>
      <c r="DS9" s="14" t="str">
        <f t="shared" si="36"/>
        <v/>
      </c>
      <c r="DT9" s="14" t="str">
        <f t="shared" si="37"/>
        <v/>
      </c>
      <c r="DU9" s="14" t="str">
        <f t="shared" si="38"/>
        <v/>
      </c>
      <c r="DV9" s="14" t="str">
        <f t="shared" si="39"/>
        <v/>
      </c>
      <c r="DW9" s="40"/>
      <c r="DX9" s="40"/>
      <c r="DY9" s="40"/>
      <c r="DZ9" s="40"/>
      <c r="EA9" s="40"/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40"/>
      <c r="EM9" s="11" t="str">
        <f t="shared" si="40"/>
        <v/>
      </c>
      <c r="EN9" s="11" t="str">
        <f t="shared" si="41"/>
        <v/>
      </c>
      <c r="EO9" s="11" t="str">
        <f t="shared" si="42"/>
        <v/>
      </c>
      <c r="EP9" s="11" t="str">
        <f t="shared" si="43"/>
        <v/>
      </c>
      <c r="EQ9" s="11" t="str">
        <f t="shared" si="44"/>
        <v/>
      </c>
      <c r="ER9" s="39"/>
      <c r="ES9" s="39"/>
      <c r="ET9" s="39"/>
      <c r="EU9" s="39"/>
      <c r="EV9" s="39"/>
      <c r="EW9" s="39"/>
      <c r="EX9" s="39"/>
      <c r="EY9" s="39"/>
      <c r="EZ9" s="39"/>
      <c r="FA9" s="39"/>
      <c r="FB9" s="39"/>
      <c r="FC9" s="39"/>
      <c r="FD9" s="39"/>
      <c r="FE9" s="39"/>
      <c r="FF9" s="39"/>
      <c r="FG9" s="39"/>
      <c r="FH9" s="14" t="str">
        <f t="shared" si="45"/>
        <v/>
      </c>
      <c r="FI9" s="14" t="str">
        <f t="shared" si="46"/>
        <v/>
      </c>
      <c r="FJ9" s="14" t="str">
        <f t="shared" si="47"/>
        <v/>
      </c>
      <c r="FK9" s="14" t="str">
        <f t="shared" si="48"/>
        <v/>
      </c>
      <c r="FL9" s="14" t="str">
        <f t="shared" si="49"/>
        <v/>
      </c>
      <c r="FM9" s="40"/>
      <c r="FN9" s="40"/>
      <c r="FO9" s="40"/>
      <c r="FP9" s="40"/>
      <c r="FQ9" s="40"/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40"/>
      <c r="GC9" s="11" t="str">
        <f t="shared" si="50"/>
        <v/>
      </c>
      <c r="GD9" s="11" t="str">
        <f t="shared" si="51"/>
        <v/>
      </c>
      <c r="GE9" s="11" t="str">
        <f t="shared" si="52"/>
        <v/>
      </c>
      <c r="GF9" s="11" t="str">
        <f t="shared" si="53"/>
        <v/>
      </c>
      <c r="GG9" s="11" t="str">
        <f t="shared" si="54"/>
        <v/>
      </c>
      <c r="GH9" s="39"/>
      <c r="GI9" s="39"/>
      <c r="GJ9" s="39"/>
      <c r="GK9" s="39"/>
      <c r="GL9" s="39"/>
      <c r="GM9" s="39"/>
      <c r="GN9" s="39"/>
      <c r="GO9" s="39"/>
      <c r="GP9" s="39"/>
      <c r="GQ9" s="39"/>
      <c r="GR9" s="39"/>
      <c r="GS9" s="39"/>
      <c r="GT9" s="39"/>
      <c r="GU9" s="39"/>
      <c r="GV9" s="39"/>
      <c r="GW9" s="39"/>
      <c r="GX9" s="14" t="str">
        <f t="shared" si="55"/>
        <v/>
      </c>
      <c r="GY9" s="14" t="str">
        <f t="shared" si="56"/>
        <v/>
      </c>
      <c r="GZ9" s="14" t="str">
        <f t="shared" si="57"/>
        <v/>
      </c>
      <c r="HA9" s="14" t="str">
        <f t="shared" si="58"/>
        <v/>
      </c>
      <c r="HB9" s="14" t="str">
        <f t="shared" si="59"/>
        <v/>
      </c>
      <c r="HC9" s="40"/>
      <c r="HD9" s="40"/>
      <c r="HE9" s="40"/>
      <c r="HF9" s="40"/>
      <c r="HG9" s="40"/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40"/>
      <c r="HS9" s="11" t="str">
        <f t="shared" si="60"/>
        <v/>
      </c>
      <c r="HT9" s="11" t="str">
        <f t="shared" si="61"/>
        <v/>
      </c>
      <c r="HU9" s="11" t="str">
        <f t="shared" si="62"/>
        <v/>
      </c>
      <c r="HV9" s="11" t="str">
        <f t="shared" si="63"/>
        <v/>
      </c>
      <c r="HW9" s="11" t="str">
        <f t="shared" si="64"/>
        <v/>
      </c>
      <c r="HX9" s="39"/>
      <c r="HY9" s="39"/>
      <c r="HZ9" s="39"/>
      <c r="IA9" s="39"/>
      <c r="IB9" s="39"/>
      <c r="IC9" s="39"/>
      <c r="ID9" s="39"/>
      <c r="IE9" s="39"/>
      <c r="IF9" s="39"/>
      <c r="IG9" s="39"/>
      <c r="IH9" s="39"/>
      <c r="II9" s="39"/>
      <c r="IJ9" s="39"/>
      <c r="IK9" s="39"/>
      <c r="IL9" s="39"/>
      <c r="IM9" s="39"/>
      <c r="IN9" s="14" t="str">
        <f t="shared" si="65"/>
        <v/>
      </c>
      <c r="IO9" s="14" t="str">
        <f t="shared" si="66"/>
        <v/>
      </c>
      <c r="IP9" s="14" t="str">
        <f t="shared" si="67"/>
        <v/>
      </c>
      <c r="IQ9" s="14" t="str">
        <f t="shared" si="68"/>
        <v/>
      </c>
      <c r="IR9" s="14" t="str">
        <f t="shared" si="69"/>
        <v/>
      </c>
      <c r="IS9" s="40"/>
      <c r="IT9" s="40"/>
      <c r="IU9" s="40"/>
      <c r="IV9" s="40"/>
      <c r="IW9" s="40"/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40"/>
      <c r="JI9" s="11" t="str">
        <f t="shared" si="70"/>
        <v/>
      </c>
      <c r="JJ9" s="11" t="str">
        <f t="shared" si="71"/>
        <v/>
      </c>
      <c r="JK9" s="11" t="str">
        <f t="shared" si="72"/>
        <v/>
      </c>
      <c r="JL9" s="11" t="str">
        <f t="shared" si="73"/>
        <v/>
      </c>
      <c r="JM9" s="11" t="str">
        <f t="shared" si="74"/>
        <v/>
      </c>
      <c r="JN9" s="39"/>
      <c r="JO9" s="39"/>
      <c r="JP9" s="39"/>
      <c r="JQ9" s="39"/>
      <c r="JR9" s="39"/>
      <c r="JS9" s="39"/>
      <c r="JT9" s="39"/>
      <c r="JU9" s="39"/>
      <c r="JV9" s="39"/>
      <c r="JW9" s="39"/>
      <c r="JX9" s="39"/>
      <c r="JY9" s="39"/>
      <c r="JZ9" s="39"/>
      <c r="KA9" s="39"/>
      <c r="KB9" s="39"/>
      <c r="KC9" s="39"/>
      <c r="KD9" s="14" t="str">
        <f t="shared" si="75"/>
        <v/>
      </c>
      <c r="KE9" s="14" t="str">
        <f t="shared" si="76"/>
        <v/>
      </c>
      <c r="KF9" s="14" t="str">
        <f t="shared" si="77"/>
        <v/>
      </c>
      <c r="KG9" s="14" t="str">
        <f t="shared" si="78"/>
        <v/>
      </c>
      <c r="KH9" s="14" t="str">
        <f t="shared" si="79"/>
        <v/>
      </c>
      <c r="KI9" s="40"/>
      <c r="KJ9" s="40"/>
      <c r="KK9" s="40"/>
      <c r="KL9" s="40"/>
      <c r="KM9" s="40"/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40"/>
      <c r="KY9" s="11" t="str">
        <f t="shared" si="80"/>
        <v/>
      </c>
      <c r="KZ9" s="11" t="str">
        <f t="shared" si="81"/>
        <v/>
      </c>
      <c r="LA9" s="11" t="str">
        <f t="shared" si="82"/>
        <v/>
      </c>
      <c r="LB9" s="11" t="str">
        <f t="shared" si="83"/>
        <v/>
      </c>
      <c r="LC9" s="11" t="str">
        <f t="shared" si="84"/>
        <v/>
      </c>
      <c r="LD9" s="39"/>
      <c r="LE9" s="39"/>
      <c r="LF9" s="39"/>
      <c r="LG9" s="39"/>
      <c r="LH9" s="39"/>
      <c r="LI9" s="39"/>
      <c r="LJ9" s="39"/>
      <c r="LK9" s="39"/>
      <c r="LL9" s="39"/>
      <c r="LM9" s="39"/>
      <c r="LN9" s="39"/>
      <c r="LO9" s="39"/>
      <c r="LP9" s="39"/>
      <c r="LQ9" s="39"/>
      <c r="LR9" s="39"/>
      <c r="LS9" s="39"/>
      <c r="LT9" s="14" t="str">
        <f t="shared" si="85"/>
        <v/>
      </c>
      <c r="LU9" s="14" t="str">
        <f t="shared" si="86"/>
        <v/>
      </c>
      <c r="LV9" s="14" t="str">
        <f t="shared" si="87"/>
        <v/>
      </c>
      <c r="LW9" s="14" t="str">
        <f t="shared" si="88"/>
        <v/>
      </c>
      <c r="LX9" s="14" t="str">
        <f t="shared" si="89"/>
        <v/>
      </c>
      <c r="LY9" s="61">
        <f t="shared" si="90"/>
        <v>28.049999999999997</v>
      </c>
      <c r="LZ9" s="61">
        <f t="shared" si="91"/>
        <v>4.8</v>
      </c>
      <c r="MA9" s="61">
        <f t="shared" si="92"/>
        <v>0</v>
      </c>
      <c r="MB9" s="61">
        <f t="shared" si="93"/>
        <v>0</v>
      </c>
      <c r="MC9" s="61">
        <f t="shared" si="94"/>
        <v>28.35</v>
      </c>
      <c r="MD9" s="61">
        <f t="shared" si="95"/>
        <v>4.8</v>
      </c>
      <c r="ME9" s="61">
        <f t="shared" si="96"/>
        <v>0</v>
      </c>
      <c r="MF9" s="61">
        <f t="shared" si="97"/>
        <v>0</v>
      </c>
      <c r="MG9" s="61">
        <f t="shared" si="98"/>
        <v>28.75</v>
      </c>
      <c r="MH9" s="61">
        <f t="shared" si="99"/>
        <v>3.9</v>
      </c>
      <c r="MI9" s="61">
        <f t="shared" si="100"/>
        <v>0</v>
      </c>
      <c r="MJ9" s="61">
        <f t="shared" si="101"/>
        <v>0</v>
      </c>
      <c r="MK9" s="61">
        <f t="shared" si="102"/>
        <v>28.6</v>
      </c>
      <c r="ML9" s="61">
        <f t="shared" si="103"/>
        <v>3.9</v>
      </c>
      <c r="MM9" s="61">
        <f t="shared" si="104"/>
        <v>0</v>
      </c>
      <c r="MN9" s="61">
        <f t="shared" si="105"/>
        <v>0</v>
      </c>
      <c r="MO9" s="72" t="s">
        <v>52</v>
      </c>
      <c r="MP9" s="11">
        <f t="shared" si="106"/>
        <v>9.6</v>
      </c>
      <c r="MQ9" s="11">
        <f t="shared" si="107"/>
        <v>66</v>
      </c>
      <c r="MR9" s="11">
        <f t="shared" si="108"/>
        <v>7.8</v>
      </c>
      <c r="MS9" s="11">
        <f t="shared" si="109"/>
        <v>65.150000000000006</v>
      </c>
      <c r="MT9" s="11">
        <f t="shared" si="110"/>
        <v>131.15</v>
      </c>
    </row>
    <row r="10" spans="1:358" x14ac:dyDescent="0.2">
      <c r="A10" s="5" t="str">
        <f t="shared" si="0"/>
        <v/>
      </c>
      <c r="B10" s="8" t="s">
        <v>105</v>
      </c>
      <c r="C10" s="4" t="s">
        <v>6</v>
      </c>
      <c r="D10" s="5">
        <v>2000</v>
      </c>
      <c r="E10" s="15">
        <f t="shared" si="1"/>
        <v>196.70000000000005</v>
      </c>
      <c r="F10" s="3" t="str">
        <f t="shared" si="2"/>
        <v/>
      </c>
      <c r="G10" s="3" t="str">
        <f t="shared" si="3"/>
        <v/>
      </c>
      <c r="H10" s="116" t="str">
        <f t="shared" si="4"/>
        <v/>
      </c>
      <c r="I10" s="3" t="str">
        <f t="shared" si="5"/>
        <v/>
      </c>
      <c r="J10" s="14">
        <f t="shared" si="6"/>
        <v>65.500000000000014</v>
      </c>
      <c r="K10" s="14" t="str">
        <f t="shared" si="7"/>
        <v>2021 2nd Virtual Technical Trial</v>
      </c>
      <c r="L10" s="14">
        <f t="shared" si="8"/>
        <v>131.20000000000002</v>
      </c>
      <c r="M10" s="14" t="str">
        <f t="shared" si="9"/>
        <v>2021 1st Virtual Technical Trial</v>
      </c>
      <c r="N10" s="14" t="str">
        <f t="shared" si="10"/>
        <v/>
      </c>
      <c r="O10" s="24" t="str">
        <f t="shared" si="11"/>
        <v/>
      </c>
      <c r="P10" s="14" t="str">
        <f t="shared" si="12"/>
        <v/>
      </c>
      <c r="Q10" s="61">
        <v>28</v>
      </c>
      <c r="R10" s="61">
        <v>3</v>
      </c>
      <c r="S10" s="61">
        <v>0.6</v>
      </c>
      <c r="T10" s="61">
        <v>0</v>
      </c>
      <c r="U10" s="61">
        <v>27.2</v>
      </c>
      <c r="V10" s="61">
        <v>6.4</v>
      </c>
      <c r="W10" s="61">
        <v>0.3</v>
      </c>
      <c r="X10" s="61">
        <v>0</v>
      </c>
      <c r="Y10" s="61">
        <v>28.1</v>
      </c>
      <c r="Z10" s="61">
        <v>6.4</v>
      </c>
      <c r="AA10" s="61">
        <v>0.3</v>
      </c>
      <c r="AB10" s="61">
        <v>0</v>
      </c>
      <c r="AC10" s="61">
        <v>28.1</v>
      </c>
      <c r="AD10" s="61">
        <v>6.4</v>
      </c>
      <c r="AE10" s="61">
        <v>1.2</v>
      </c>
      <c r="AF10" s="61">
        <v>0</v>
      </c>
      <c r="AG10" s="72"/>
      <c r="AH10" s="11">
        <f t="shared" si="13"/>
        <v>9.4</v>
      </c>
      <c r="AI10" s="11">
        <f t="shared" si="14"/>
        <v>63.70000000000001</v>
      </c>
      <c r="AJ10" s="11">
        <f t="shared" si="15"/>
        <v>12.8</v>
      </c>
      <c r="AK10" s="11">
        <f t="shared" si="16"/>
        <v>67.5</v>
      </c>
      <c r="AL10" s="11">
        <f t="shared" si="17"/>
        <v>131.20000000000002</v>
      </c>
      <c r="AM10" s="36">
        <v>25.6</v>
      </c>
      <c r="AN10" s="36">
        <v>7.6</v>
      </c>
      <c r="AO10" s="36">
        <v>1.5</v>
      </c>
      <c r="AP10" s="36">
        <v>0</v>
      </c>
      <c r="AQ10" s="36">
        <v>27.7</v>
      </c>
      <c r="AR10" s="36">
        <v>6.4</v>
      </c>
      <c r="AS10" s="36">
        <v>0.3</v>
      </c>
      <c r="AT10" s="36">
        <v>0</v>
      </c>
      <c r="AU10" s="36">
        <v>26.8</v>
      </c>
      <c r="AV10" s="36">
        <v>6.4</v>
      </c>
      <c r="AW10" s="36">
        <v>0.3</v>
      </c>
      <c r="AX10" s="36">
        <v>0</v>
      </c>
      <c r="AY10" s="36">
        <v>28</v>
      </c>
      <c r="AZ10" s="36">
        <v>2.4</v>
      </c>
      <c r="BA10" s="36">
        <v>3.9</v>
      </c>
      <c r="BB10" s="36">
        <v>0</v>
      </c>
      <c r="BC10" s="73"/>
      <c r="BD10" s="14">
        <f t="shared" si="18"/>
        <v>14</v>
      </c>
      <c r="BE10" s="14">
        <f t="shared" si="19"/>
        <v>65.500000000000014</v>
      </c>
      <c r="BF10" s="14">
        <f t="shared" si="20"/>
        <v>8.8000000000000007</v>
      </c>
      <c r="BG10" s="14">
        <f t="shared" si="21"/>
        <v>59.4</v>
      </c>
      <c r="BH10" s="14">
        <f t="shared" si="22"/>
        <v>124.9</v>
      </c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72"/>
      <c r="BZ10" s="11" t="str">
        <f t="shared" si="23"/>
        <v/>
      </c>
      <c r="CA10" s="11" t="str">
        <f t="shared" si="24"/>
        <v/>
      </c>
      <c r="CB10" s="11" t="str">
        <f t="shared" si="25"/>
        <v/>
      </c>
      <c r="CC10" s="11" t="str">
        <f t="shared" si="26"/>
        <v/>
      </c>
      <c r="CD10" s="11" t="str">
        <f t="shared" si="27"/>
        <v/>
      </c>
      <c r="CE10" s="23" t="str">
        <f t="shared" si="28"/>
        <v/>
      </c>
      <c r="CF10" s="23" t="str">
        <f t="shared" si="29"/>
        <v/>
      </c>
      <c r="CG10" s="40"/>
      <c r="CH10" s="40"/>
      <c r="CI10" s="40"/>
      <c r="CJ10" s="40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40"/>
      <c r="CW10" s="11" t="str">
        <f t="shared" si="30"/>
        <v/>
      </c>
      <c r="CX10" s="11" t="str">
        <f t="shared" si="31"/>
        <v/>
      </c>
      <c r="CY10" s="11" t="str">
        <f t="shared" si="32"/>
        <v/>
      </c>
      <c r="CZ10" s="11" t="str">
        <f t="shared" si="33"/>
        <v/>
      </c>
      <c r="DA10" s="11" t="str">
        <f t="shared" si="34"/>
        <v/>
      </c>
      <c r="DB10" s="39"/>
      <c r="DC10" s="39"/>
      <c r="DD10" s="39"/>
      <c r="DE10" s="39"/>
      <c r="DF10" s="39"/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14" t="str">
        <f t="shared" si="35"/>
        <v/>
      </c>
      <c r="DS10" s="14" t="str">
        <f t="shared" si="36"/>
        <v/>
      </c>
      <c r="DT10" s="14" t="str">
        <f t="shared" si="37"/>
        <v/>
      </c>
      <c r="DU10" s="14" t="str">
        <f t="shared" si="38"/>
        <v/>
      </c>
      <c r="DV10" s="14" t="str">
        <f t="shared" si="39"/>
        <v/>
      </c>
      <c r="DW10" s="40"/>
      <c r="DX10" s="40"/>
      <c r="DY10" s="40"/>
      <c r="DZ10" s="40"/>
      <c r="EA10" s="40"/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40"/>
      <c r="EM10" s="11" t="str">
        <f t="shared" si="40"/>
        <v/>
      </c>
      <c r="EN10" s="11" t="str">
        <f t="shared" si="41"/>
        <v/>
      </c>
      <c r="EO10" s="11" t="str">
        <f t="shared" si="42"/>
        <v/>
      </c>
      <c r="EP10" s="11" t="str">
        <f t="shared" si="43"/>
        <v/>
      </c>
      <c r="EQ10" s="11" t="str">
        <f t="shared" si="44"/>
        <v/>
      </c>
      <c r="ER10" s="39"/>
      <c r="ES10" s="39"/>
      <c r="ET10" s="39"/>
      <c r="EU10" s="39"/>
      <c r="EV10" s="39"/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14" t="str">
        <f t="shared" si="45"/>
        <v/>
      </c>
      <c r="FI10" s="14" t="str">
        <f t="shared" si="46"/>
        <v/>
      </c>
      <c r="FJ10" s="14" t="str">
        <f t="shared" si="47"/>
        <v/>
      </c>
      <c r="FK10" s="14" t="str">
        <f t="shared" si="48"/>
        <v/>
      </c>
      <c r="FL10" s="14" t="str">
        <f t="shared" si="49"/>
        <v/>
      </c>
      <c r="FM10" s="40"/>
      <c r="FN10" s="40"/>
      <c r="FO10" s="40"/>
      <c r="FP10" s="40"/>
      <c r="FQ10" s="40"/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40"/>
      <c r="GC10" s="11" t="str">
        <f t="shared" si="50"/>
        <v/>
      </c>
      <c r="GD10" s="11" t="str">
        <f t="shared" si="51"/>
        <v/>
      </c>
      <c r="GE10" s="11" t="str">
        <f t="shared" si="52"/>
        <v/>
      </c>
      <c r="GF10" s="11" t="str">
        <f t="shared" si="53"/>
        <v/>
      </c>
      <c r="GG10" s="11" t="str">
        <f t="shared" si="54"/>
        <v/>
      </c>
      <c r="GH10" s="39"/>
      <c r="GI10" s="39"/>
      <c r="GJ10" s="39"/>
      <c r="GK10" s="39"/>
      <c r="GL10" s="39"/>
      <c r="GM10" s="39"/>
      <c r="GN10" s="39"/>
      <c r="GO10" s="39"/>
      <c r="GP10" s="39"/>
      <c r="GQ10" s="39"/>
      <c r="GR10" s="39"/>
      <c r="GS10" s="39"/>
      <c r="GT10" s="39"/>
      <c r="GU10" s="39"/>
      <c r="GV10" s="39"/>
      <c r="GW10" s="39"/>
      <c r="GX10" s="14" t="str">
        <f t="shared" si="55"/>
        <v/>
      </c>
      <c r="GY10" s="14" t="str">
        <f t="shared" si="56"/>
        <v/>
      </c>
      <c r="GZ10" s="14" t="str">
        <f t="shared" si="57"/>
        <v/>
      </c>
      <c r="HA10" s="14" t="str">
        <f t="shared" si="58"/>
        <v/>
      </c>
      <c r="HB10" s="14" t="str">
        <f t="shared" si="59"/>
        <v/>
      </c>
      <c r="HC10" s="40"/>
      <c r="HD10" s="40"/>
      <c r="HE10" s="40"/>
      <c r="HF10" s="40"/>
      <c r="HG10" s="40"/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40"/>
      <c r="HS10" s="11" t="str">
        <f t="shared" si="60"/>
        <v/>
      </c>
      <c r="HT10" s="11" t="str">
        <f t="shared" si="61"/>
        <v/>
      </c>
      <c r="HU10" s="11" t="str">
        <f t="shared" si="62"/>
        <v/>
      </c>
      <c r="HV10" s="11" t="str">
        <f t="shared" si="63"/>
        <v/>
      </c>
      <c r="HW10" s="11" t="str">
        <f t="shared" si="64"/>
        <v/>
      </c>
      <c r="HX10" s="39"/>
      <c r="HY10" s="39"/>
      <c r="HZ10" s="39"/>
      <c r="IA10" s="39"/>
      <c r="IB10" s="39"/>
      <c r="IC10" s="39"/>
      <c r="ID10" s="39"/>
      <c r="IE10" s="39"/>
      <c r="IF10" s="39"/>
      <c r="IG10" s="39"/>
      <c r="IH10" s="39"/>
      <c r="II10" s="39"/>
      <c r="IJ10" s="39"/>
      <c r="IK10" s="39"/>
      <c r="IL10" s="39"/>
      <c r="IM10" s="39"/>
      <c r="IN10" s="14" t="str">
        <f t="shared" si="65"/>
        <v/>
      </c>
      <c r="IO10" s="14" t="str">
        <f t="shared" si="66"/>
        <v/>
      </c>
      <c r="IP10" s="14" t="str">
        <f t="shared" si="67"/>
        <v/>
      </c>
      <c r="IQ10" s="14" t="str">
        <f t="shared" si="68"/>
        <v/>
      </c>
      <c r="IR10" s="14" t="str">
        <f t="shared" si="69"/>
        <v/>
      </c>
      <c r="IS10" s="40"/>
      <c r="IT10" s="40"/>
      <c r="IU10" s="40"/>
      <c r="IV10" s="40"/>
      <c r="IW10" s="40"/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40"/>
      <c r="JI10" s="11" t="str">
        <f t="shared" si="70"/>
        <v/>
      </c>
      <c r="JJ10" s="11" t="str">
        <f t="shared" si="71"/>
        <v/>
      </c>
      <c r="JK10" s="11" t="str">
        <f t="shared" si="72"/>
        <v/>
      </c>
      <c r="JL10" s="11" t="str">
        <f t="shared" si="73"/>
        <v/>
      </c>
      <c r="JM10" s="11" t="str">
        <f t="shared" si="74"/>
        <v/>
      </c>
      <c r="JN10" s="39"/>
      <c r="JO10" s="39"/>
      <c r="JP10" s="39"/>
      <c r="JQ10" s="39"/>
      <c r="JR10" s="39"/>
      <c r="JS10" s="39"/>
      <c r="JT10" s="39"/>
      <c r="JU10" s="39"/>
      <c r="JV10" s="39"/>
      <c r="JW10" s="39"/>
      <c r="JX10" s="39"/>
      <c r="JY10" s="39"/>
      <c r="JZ10" s="39"/>
      <c r="KA10" s="39"/>
      <c r="KB10" s="39"/>
      <c r="KC10" s="39"/>
      <c r="KD10" s="14" t="str">
        <f t="shared" si="75"/>
        <v/>
      </c>
      <c r="KE10" s="14" t="str">
        <f t="shared" si="76"/>
        <v/>
      </c>
      <c r="KF10" s="14" t="str">
        <f t="shared" si="77"/>
        <v/>
      </c>
      <c r="KG10" s="14" t="str">
        <f t="shared" si="78"/>
        <v/>
      </c>
      <c r="KH10" s="14" t="str">
        <f t="shared" si="79"/>
        <v/>
      </c>
      <c r="KI10" s="40"/>
      <c r="KJ10" s="40"/>
      <c r="KK10" s="40"/>
      <c r="KL10" s="40"/>
      <c r="KM10" s="40"/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40"/>
      <c r="KY10" s="11" t="str">
        <f t="shared" si="80"/>
        <v/>
      </c>
      <c r="KZ10" s="11" t="str">
        <f t="shared" si="81"/>
        <v/>
      </c>
      <c r="LA10" s="11" t="str">
        <f t="shared" si="82"/>
        <v/>
      </c>
      <c r="LB10" s="11" t="str">
        <f t="shared" si="83"/>
        <v/>
      </c>
      <c r="LC10" s="11" t="str">
        <f t="shared" si="84"/>
        <v/>
      </c>
      <c r="LD10" s="39"/>
      <c r="LE10" s="39"/>
      <c r="LF10" s="39"/>
      <c r="LG10" s="39"/>
      <c r="LH10" s="39"/>
      <c r="LI10" s="39"/>
      <c r="LJ10" s="39"/>
      <c r="LK10" s="39"/>
      <c r="LL10" s="39"/>
      <c r="LM10" s="39"/>
      <c r="LN10" s="39"/>
      <c r="LO10" s="39"/>
      <c r="LP10" s="39"/>
      <c r="LQ10" s="39"/>
      <c r="LR10" s="39"/>
      <c r="LS10" s="39"/>
      <c r="LT10" s="14" t="str">
        <f t="shared" si="85"/>
        <v/>
      </c>
      <c r="LU10" s="14" t="str">
        <f t="shared" si="86"/>
        <v/>
      </c>
      <c r="LV10" s="14" t="str">
        <f t="shared" si="87"/>
        <v/>
      </c>
      <c r="LW10" s="14" t="str">
        <f t="shared" si="88"/>
        <v/>
      </c>
      <c r="LX10" s="14" t="str">
        <f t="shared" si="89"/>
        <v/>
      </c>
      <c r="LY10" s="61">
        <f t="shared" si="90"/>
        <v>12.8</v>
      </c>
      <c r="LZ10" s="61">
        <f t="shared" si="91"/>
        <v>3.8</v>
      </c>
      <c r="MA10" s="61">
        <f t="shared" si="92"/>
        <v>0.75</v>
      </c>
      <c r="MB10" s="61">
        <f t="shared" si="93"/>
        <v>0</v>
      </c>
      <c r="MC10" s="61">
        <f t="shared" si="94"/>
        <v>13.85</v>
      </c>
      <c r="MD10" s="61">
        <f t="shared" si="95"/>
        <v>3.2</v>
      </c>
      <c r="ME10" s="61">
        <f t="shared" si="96"/>
        <v>0.15</v>
      </c>
      <c r="MF10" s="61">
        <f t="shared" si="97"/>
        <v>0</v>
      </c>
      <c r="MG10" s="61">
        <f t="shared" si="98"/>
        <v>13.4</v>
      </c>
      <c r="MH10" s="61">
        <f t="shared" si="99"/>
        <v>3.2</v>
      </c>
      <c r="MI10" s="61">
        <f t="shared" si="100"/>
        <v>0.15</v>
      </c>
      <c r="MJ10" s="61">
        <f t="shared" si="101"/>
        <v>0</v>
      </c>
      <c r="MK10" s="61">
        <f t="shared" si="102"/>
        <v>14</v>
      </c>
      <c r="ML10" s="61">
        <f t="shared" si="103"/>
        <v>1.2</v>
      </c>
      <c r="MM10" s="61">
        <f t="shared" si="104"/>
        <v>1.95</v>
      </c>
      <c r="MN10" s="61">
        <f t="shared" si="105"/>
        <v>0</v>
      </c>
      <c r="MO10" s="72" t="s">
        <v>52</v>
      </c>
      <c r="MP10" s="11">
        <f t="shared" si="106"/>
        <v>7</v>
      </c>
      <c r="MQ10" s="11">
        <f t="shared" si="107"/>
        <v>32.750000000000007</v>
      </c>
      <c r="MR10" s="11">
        <f t="shared" si="108"/>
        <v>4.4000000000000004</v>
      </c>
      <c r="MS10" s="11">
        <f t="shared" si="109"/>
        <v>29.7</v>
      </c>
      <c r="MT10" s="11">
        <f t="shared" si="110"/>
        <v>62.45</v>
      </c>
    </row>
    <row r="11" spans="1:358" x14ac:dyDescent="0.2">
      <c r="A11" s="5" t="str">
        <f t="shared" si="0"/>
        <v/>
      </c>
      <c r="B11" s="8" t="s">
        <v>106</v>
      </c>
      <c r="C11" s="4" t="s">
        <v>4</v>
      </c>
      <c r="D11" s="5">
        <v>2004</v>
      </c>
      <c r="E11" s="15">
        <f t="shared" si="1"/>
        <v>191.3</v>
      </c>
      <c r="F11" s="3" t="str">
        <f t="shared" si="2"/>
        <v/>
      </c>
      <c r="G11" s="3" t="str">
        <f t="shared" si="3"/>
        <v/>
      </c>
      <c r="H11" s="116" t="str">
        <f t="shared" si="4"/>
        <v/>
      </c>
      <c r="I11" s="3" t="str">
        <f t="shared" si="5"/>
        <v/>
      </c>
      <c r="J11" s="14">
        <f t="shared" si="6"/>
        <v>67.3</v>
      </c>
      <c r="K11" s="14" t="str">
        <f t="shared" si="7"/>
        <v>2021 1st Virtual Technical Trial</v>
      </c>
      <c r="L11" s="14">
        <f t="shared" si="8"/>
        <v>124</v>
      </c>
      <c r="M11" s="14" t="str">
        <f t="shared" si="9"/>
        <v>2021 2nd Virtual Technical Trial</v>
      </c>
      <c r="N11" s="14" t="str">
        <f t="shared" si="10"/>
        <v/>
      </c>
      <c r="O11" s="24" t="str">
        <f t="shared" si="11"/>
        <v/>
      </c>
      <c r="P11" s="14" t="str">
        <f t="shared" si="12"/>
        <v/>
      </c>
      <c r="Q11" s="61">
        <v>28.2</v>
      </c>
      <c r="R11" s="61">
        <v>6</v>
      </c>
      <c r="S11" s="61">
        <v>0</v>
      </c>
      <c r="T11" s="61">
        <v>0</v>
      </c>
      <c r="U11" s="61">
        <v>27.5</v>
      </c>
      <c r="V11" s="61">
        <v>5.6</v>
      </c>
      <c r="W11" s="61">
        <v>0</v>
      </c>
      <c r="X11" s="61">
        <v>0</v>
      </c>
      <c r="Y11" s="61">
        <v>27.3</v>
      </c>
      <c r="Z11" s="61">
        <v>5.2</v>
      </c>
      <c r="AA11" s="61">
        <v>0</v>
      </c>
      <c r="AB11" s="61">
        <v>0</v>
      </c>
      <c r="AC11" s="61">
        <v>26.8</v>
      </c>
      <c r="AD11" s="61">
        <v>5.2</v>
      </c>
      <c r="AE11" s="61">
        <v>0.9</v>
      </c>
      <c r="AF11" s="61">
        <v>0</v>
      </c>
      <c r="AG11" s="72"/>
      <c r="AH11" s="11">
        <f t="shared" si="13"/>
        <v>11.6</v>
      </c>
      <c r="AI11" s="11">
        <f t="shared" si="14"/>
        <v>67.3</v>
      </c>
      <c r="AJ11" s="11">
        <f t="shared" si="15"/>
        <v>10.4</v>
      </c>
      <c r="AK11" s="11">
        <f t="shared" si="16"/>
        <v>63.6</v>
      </c>
      <c r="AL11" s="11">
        <f t="shared" si="17"/>
        <v>130.9</v>
      </c>
      <c r="AM11" s="36">
        <v>20.399999999999999</v>
      </c>
      <c r="AN11" s="36">
        <v>2.4</v>
      </c>
      <c r="AO11" s="36">
        <v>0</v>
      </c>
      <c r="AP11" s="36">
        <v>0</v>
      </c>
      <c r="AQ11" s="36">
        <v>28.4</v>
      </c>
      <c r="AR11" s="36">
        <v>6.4</v>
      </c>
      <c r="AS11" s="36">
        <v>0</v>
      </c>
      <c r="AT11" s="36">
        <v>0</v>
      </c>
      <c r="AU11" s="36">
        <v>28.2</v>
      </c>
      <c r="AV11" s="36">
        <v>5.2</v>
      </c>
      <c r="AW11" s="36">
        <v>0</v>
      </c>
      <c r="AX11" s="36">
        <v>0</v>
      </c>
      <c r="AY11" s="36">
        <v>27.8</v>
      </c>
      <c r="AZ11" s="36">
        <v>5.2</v>
      </c>
      <c r="BA11" s="36">
        <v>0</v>
      </c>
      <c r="BB11" s="36">
        <v>0</v>
      </c>
      <c r="BC11" s="73"/>
      <c r="BD11" s="14">
        <f t="shared" si="18"/>
        <v>8.8000000000000007</v>
      </c>
      <c r="BE11" s="14">
        <f t="shared" si="19"/>
        <v>57.599999999999994</v>
      </c>
      <c r="BF11" s="14">
        <f t="shared" si="20"/>
        <v>10.4</v>
      </c>
      <c r="BG11" s="14">
        <f t="shared" si="21"/>
        <v>66.400000000000006</v>
      </c>
      <c r="BH11" s="14">
        <f t="shared" si="22"/>
        <v>124</v>
      </c>
      <c r="BI11" s="61">
        <v>0</v>
      </c>
      <c r="BJ11" s="61">
        <v>0</v>
      </c>
      <c r="BK11" s="61">
        <v>0</v>
      </c>
      <c r="BL11" s="61">
        <v>0</v>
      </c>
      <c r="BM11" s="61">
        <v>28.3</v>
      </c>
      <c r="BN11" s="61">
        <v>6.4</v>
      </c>
      <c r="BO11" s="61">
        <v>0</v>
      </c>
      <c r="BP11" s="61">
        <v>0</v>
      </c>
      <c r="BQ11" s="61"/>
      <c r="BR11" s="61"/>
      <c r="BS11" s="61"/>
      <c r="BT11" s="61"/>
      <c r="BU11" s="61"/>
      <c r="BV11" s="61"/>
      <c r="BW11" s="61"/>
      <c r="BX11" s="61"/>
      <c r="BY11" s="72"/>
      <c r="BZ11" s="11">
        <f t="shared" si="23"/>
        <v>6.4</v>
      </c>
      <c r="CA11" s="11">
        <f t="shared" si="24"/>
        <v>34.700000000000003</v>
      </c>
      <c r="CB11" s="11" t="str">
        <f t="shared" si="25"/>
        <v/>
      </c>
      <c r="CC11" s="11" t="str">
        <f t="shared" si="26"/>
        <v/>
      </c>
      <c r="CD11" s="11">
        <f t="shared" si="27"/>
        <v>34.700000000000003</v>
      </c>
      <c r="CE11" s="23" t="str">
        <f t="shared" si="28"/>
        <v/>
      </c>
      <c r="CF11" s="23" t="str">
        <f t="shared" si="29"/>
        <v/>
      </c>
      <c r="CG11" s="40"/>
      <c r="CH11" s="40"/>
      <c r="CI11" s="40"/>
      <c r="CJ11" s="40"/>
      <c r="CK11" s="40"/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40"/>
      <c r="CW11" s="11" t="str">
        <f t="shared" si="30"/>
        <v/>
      </c>
      <c r="CX11" s="11" t="str">
        <f t="shared" si="31"/>
        <v/>
      </c>
      <c r="CY11" s="11" t="str">
        <f t="shared" si="32"/>
        <v/>
      </c>
      <c r="CZ11" s="11" t="str">
        <f t="shared" si="33"/>
        <v/>
      </c>
      <c r="DA11" s="11" t="str">
        <f t="shared" si="34"/>
        <v/>
      </c>
      <c r="DB11" s="39"/>
      <c r="DC11" s="39"/>
      <c r="DD11" s="39"/>
      <c r="DE11" s="39"/>
      <c r="DF11" s="39"/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14" t="str">
        <f t="shared" si="35"/>
        <v/>
      </c>
      <c r="DS11" s="14" t="str">
        <f t="shared" si="36"/>
        <v/>
      </c>
      <c r="DT11" s="14" t="str">
        <f t="shared" si="37"/>
        <v/>
      </c>
      <c r="DU11" s="14" t="str">
        <f t="shared" si="38"/>
        <v/>
      </c>
      <c r="DV11" s="14" t="str">
        <f t="shared" si="39"/>
        <v/>
      </c>
      <c r="DW11" s="40"/>
      <c r="DX11" s="40"/>
      <c r="DY11" s="40"/>
      <c r="DZ11" s="40"/>
      <c r="EA11" s="40"/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40"/>
      <c r="EM11" s="11" t="str">
        <f t="shared" si="40"/>
        <v/>
      </c>
      <c r="EN11" s="11" t="str">
        <f t="shared" si="41"/>
        <v/>
      </c>
      <c r="EO11" s="11" t="str">
        <f t="shared" si="42"/>
        <v/>
      </c>
      <c r="EP11" s="11" t="str">
        <f t="shared" si="43"/>
        <v/>
      </c>
      <c r="EQ11" s="11" t="str">
        <f t="shared" si="44"/>
        <v/>
      </c>
      <c r="ER11" s="39"/>
      <c r="ES11" s="39"/>
      <c r="ET11" s="39"/>
      <c r="EU11" s="39"/>
      <c r="EV11" s="39"/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14" t="str">
        <f t="shared" si="45"/>
        <v/>
      </c>
      <c r="FI11" s="14" t="str">
        <f t="shared" si="46"/>
        <v/>
      </c>
      <c r="FJ11" s="14" t="str">
        <f t="shared" si="47"/>
        <v/>
      </c>
      <c r="FK11" s="14" t="str">
        <f t="shared" si="48"/>
        <v/>
      </c>
      <c r="FL11" s="14" t="str">
        <f t="shared" si="49"/>
        <v/>
      </c>
      <c r="FM11" s="40"/>
      <c r="FN11" s="40"/>
      <c r="FO11" s="40"/>
      <c r="FP11" s="40"/>
      <c r="FQ11" s="40"/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40"/>
      <c r="GC11" s="11" t="str">
        <f t="shared" si="50"/>
        <v/>
      </c>
      <c r="GD11" s="11" t="str">
        <f t="shared" si="51"/>
        <v/>
      </c>
      <c r="GE11" s="11" t="str">
        <f t="shared" si="52"/>
        <v/>
      </c>
      <c r="GF11" s="11" t="str">
        <f t="shared" si="53"/>
        <v/>
      </c>
      <c r="GG11" s="11" t="str">
        <f t="shared" si="54"/>
        <v/>
      </c>
      <c r="GH11" s="39"/>
      <c r="GI11" s="39"/>
      <c r="GJ11" s="39"/>
      <c r="GK11" s="39"/>
      <c r="GL11" s="39"/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14" t="str">
        <f t="shared" si="55"/>
        <v/>
      </c>
      <c r="GY11" s="14" t="str">
        <f t="shared" si="56"/>
        <v/>
      </c>
      <c r="GZ11" s="14" t="str">
        <f t="shared" si="57"/>
        <v/>
      </c>
      <c r="HA11" s="14" t="str">
        <f t="shared" si="58"/>
        <v/>
      </c>
      <c r="HB11" s="14" t="str">
        <f t="shared" si="59"/>
        <v/>
      </c>
      <c r="HC11" s="40"/>
      <c r="HD11" s="40"/>
      <c r="HE11" s="40"/>
      <c r="HF11" s="40"/>
      <c r="HG11" s="40"/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40"/>
      <c r="HS11" s="11" t="str">
        <f t="shared" si="60"/>
        <v/>
      </c>
      <c r="HT11" s="11" t="str">
        <f t="shared" si="61"/>
        <v/>
      </c>
      <c r="HU11" s="11" t="str">
        <f t="shared" si="62"/>
        <v/>
      </c>
      <c r="HV11" s="11" t="str">
        <f t="shared" si="63"/>
        <v/>
      </c>
      <c r="HW11" s="11" t="str">
        <f t="shared" si="64"/>
        <v/>
      </c>
      <c r="HX11" s="39"/>
      <c r="HY11" s="39"/>
      <c r="HZ11" s="39"/>
      <c r="IA11" s="39"/>
      <c r="IB11" s="39"/>
      <c r="IC11" s="39"/>
      <c r="ID11" s="39"/>
      <c r="IE11" s="39"/>
      <c r="IF11" s="39"/>
      <c r="IG11" s="39"/>
      <c r="IH11" s="39"/>
      <c r="II11" s="39"/>
      <c r="IJ11" s="39"/>
      <c r="IK11" s="39"/>
      <c r="IL11" s="39"/>
      <c r="IM11" s="39"/>
      <c r="IN11" s="14" t="str">
        <f t="shared" si="65"/>
        <v/>
      </c>
      <c r="IO11" s="14" t="str">
        <f t="shared" si="66"/>
        <v/>
      </c>
      <c r="IP11" s="14" t="str">
        <f t="shared" si="67"/>
        <v/>
      </c>
      <c r="IQ11" s="14" t="str">
        <f t="shared" si="68"/>
        <v/>
      </c>
      <c r="IR11" s="14" t="str">
        <f t="shared" si="69"/>
        <v/>
      </c>
      <c r="IS11" s="40"/>
      <c r="IT11" s="40"/>
      <c r="IU11" s="40"/>
      <c r="IV11" s="40"/>
      <c r="IW11" s="40"/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40"/>
      <c r="JI11" s="11" t="str">
        <f t="shared" si="70"/>
        <v/>
      </c>
      <c r="JJ11" s="11" t="str">
        <f t="shared" si="71"/>
        <v/>
      </c>
      <c r="JK11" s="11" t="str">
        <f t="shared" si="72"/>
        <v/>
      </c>
      <c r="JL11" s="11" t="str">
        <f t="shared" si="73"/>
        <v/>
      </c>
      <c r="JM11" s="11" t="str">
        <f t="shared" si="74"/>
        <v/>
      </c>
      <c r="JN11" s="39"/>
      <c r="JO11" s="39"/>
      <c r="JP11" s="39"/>
      <c r="JQ11" s="39"/>
      <c r="JR11" s="39"/>
      <c r="JS11" s="39"/>
      <c r="JT11" s="39"/>
      <c r="JU11" s="39"/>
      <c r="JV11" s="39"/>
      <c r="JW11" s="39"/>
      <c r="JX11" s="39"/>
      <c r="JY11" s="39"/>
      <c r="JZ11" s="39"/>
      <c r="KA11" s="39"/>
      <c r="KB11" s="39"/>
      <c r="KC11" s="39"/>
      <c r="KD11" s="14" t="str">
        <f t="shared" si="75"/>
        <v/>
      </c>
      <c r="KE11" s="14" t="str">
        <f t="shared" si="76"/>
        <v/>
      </c>
      <c r="KF11" s="14" t="str">
        <f t="shared" si="77"/>
        <v/>
      </c>
      <c r="KG11" s="14" t="str">
        <f t="shared" si="78"/>
        <v/>
      </c>
      <c r="KH11" s="14" t="str">
        <f t="shared" si="79"/>
        <v/>
      </c>
      <c r="KI11" s="40"/>
      <c r="KJ11" s="40"/>
      <c r="KK11" s="40"/>
      <c r="KL11" s="40"/>
      <c r="KM11" s="40"/>
      <c r="KN11" s="40"/>
      <c r="KO11" s="40"/>
      <c r="KP11" s="40"/>
      <c r="KQ11" s="40"/>
      <c r="KR11" s="40"/>
      <c r="KS11" s="40"/>
      <c r="KT11" s="40"/>
      <c r="KU11" s="40"/>
      <c r="KV11" s="40"/>
      <c r="KW11" s="40"/>
      <c r="KX11" s="40"/>
      <c r="KY11" s="11" t="str">
        <f t="shared" si="80"/>
        <v/>
      </c>
      <c r="KZ11" s="11" t="str">
        <f t="shared" si="81"/>
        <v/>
      </c>
      <c r="LA11" s="11" t="str">
        <f t="shared" si="82"/>
        <v/>
      </c>
      <c r="LB11" s="11" t="str">
        <f t="shared" si="83"/>
        <v/>
      </c>
      <c r="LC11" s="11" t="str">
        <f t="shared" si="84"/>
        <v/>
      </c>
      <c r="LD11" s="39"/>
      <c r="LE11" s="39"/>
      <c r="LF11" s="39"/>
      <c r="LG11" s="39"/>
      <c r="LH11" s="39"/>
      <c r="LI11" s="39"/>
      <c r="LJ11" s="39"/>
      <c r="LK11" s="39"/>
      <c r="LL11" s="39"/>
      <c r="LM11" s="39"/>
      <c r="LN11" s="39"/>
      <c r="LO11" s="39"/>
      <c r="LP11" s="39"/>
      <c r="LQ11" s="39"/>
      <c r="LR11" s="39"/>
      <c r="LS11" s="39"/>
      <c r="LT11" s="14" t="str">
        <f t="shared" si="85"/>
        <v/>
      </c>
      <c r="LU11" s="14" t="str">
        <f t="shared" si="86"/>
        <v/>
      </c>
      <c r="LV11" s="14" t="str">
        <f t="shared" si="87"/>
        <v/>
      </c>
      <c r="LW11" s="14" t="str">
        <f t="shared" si="88"/>
        <v/>
      </c>
      <c r="LX11" s="14" t="str">
        <f t="shared" si="89"/>
        <v/>
      </c>
      <c r="LY11" s="61">
        <f t="shared" si="90"/>
        <v>10.199999999999999</v>
      </c>
      <c r="LZ11" s="61">
        <f t="shared" si="91"/>
        <v>1.2</v>
      </c>
      <c r="MA11" s="61">
        <f t="shared" si="92"/>
        <v>0</v>
      </c>
      <c r="MB11" s="61">
        <f t="shared" si="93"/>
        <v>0</v>
      </c>
      <c r="MC11" s="61">
        <f t="shared" si="94"/>
        <v>28.35</v>
      </c>
      <c r="MD11" s="61">
        <f t="shared" si="95"/>
        <v>6.4</v>
      </c>
      <c r="ME11" s="61">
        <f t="shared" si="96"/>
        <v>0</v>
      </c>
      <c r="MF11" s="61">
        <f t="shared" si="97"/>
        <v>0</v>
      </c>
      <c r="MG11" s="61">
        <f t="shared" si="98"/>
        <v>14.1</v>
      </c>
      <c r="MH11" s="61">
        <f t="shared" si="99"/>
        <v>2.6</v>
      </c>
      <c r="MI11" s="61">
        <f t="shared" si="100"/>
        <v>0</v>
      </c>
      <c r="MJ11" s="61">
        <f t="shared" si="101"/>
        <v>0</v>
      </c>
      <c r="MK11" s="61">
        <f t="shared" si="102"/>
        <v>13.9</v>
      </c>
      <c r="ML11" s="61">
        <f t="shared" si="103"/>
        <v>2.6</v>
      </c>
      <c r="MM11" s="61">
        <f t="shared" si="104"/>
        <v>0</v>
      </c>
      <c r="MN11" s="61">
        <f t="shared" si="105"/>
        <v>0</v>
      </c>
      <c r="MO11" s="72" t="s">
        <v>52</v>
      </c>
      <c r="MP11" s="11">
        <f t="shared" si="106"/>
        <v>7.6000000000000005</v>
      </c>
      <c r="MQ11" s="11">
        <f t="shared" si="107"/>
        <v>46.15</v>
      </c>
      <c r="MR11" s="11">
        <f t="shared" si="108"/>
        <v>5.2</v>
      </c>
      <c r="MS11" s="11">
        <f t="shared" si="109"/>
        <v>33.200000000000003</v>
      </c>
      <c r="MT11" s="11">
        <f t="shared" si="110"/>
        <v>79.349999999999994</v>
      </c>
    </row>
    <row r="12" spans="1:358" x14ac:dyDescent="0.2">
      <c r="A12" s="5" t="str">
        <f t="shared" si="0"/>
        <v/>
      </c>
      <c r="B12" s="8" t="s">
        <v>104</v>
      </c>
      <c r="C12" s="4" t="s">
        <v>4</v>
      </c>
      <c r="D12" s="5">
        <v>2004</v>
      </c>
      <c r="E12" s="15">
        <f t="shared" si="1"/>
        <v>190.2</v>
      </c>
      <c r="F12" s="3" t="str">
        <f t="shared" si="2"/>
        <v/>
      </c>
      <c r="G12" s="3" t="str">
        <f t="shared" si="3"/>
        <v/>
      </c>
      <c r="H12" s="116" t="str">
        <f t="shared" si="4"/>
        <v/>
      </c>
      <c r="I12" s="3" t="str">
        <f t="shared" si="5"/>
        <v/>
      </c>
      <c r="J12" s="14">
        <f t="shared" si="6"/>
        <v>63.5</v>
      </c>
      <c r="K12" s="14" t="str">
        <f t="shared" si="7"/>
        <v>2021 Elite Canada</v>
      </c>
      <c r="L12" s="14">
        <f t="shared" si="8"/>
        <v>126.69999999999999</v>
      </c>
      <c r="M12" s="14" t="str">
        <f t="shared" si="9"/>
        <v>2021 2nd Virtual Technical Trial</v>
      </c>
      <c r="N12" s="14" t="str">
        <f t="shared" si="10"/>
        <v/>
      </c>
      <c r="O12" s="24" t="str">
        <f t="shared" si="11"/>
        <v/>
      </c>
      <c r="P12" s="14" t="str">
        <f t="shared" si="12"/>
        <v/>
      </c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72"/>
      <c r="AH12" s="11" t="str">
        <f t="shared" si="13"/>
        <v/>
      </c>
      <c r="AI12" s="11" t="str">
        <f t="shared" si="14"/>
        <v/>
      </c>
      <c r="AJ12" s="11" t="str">
        <f t="shared" si="15"/>
        <v/>
      </c>
      <c r="AK12" s="11" t="str">
        <f t="shared" si="16"/>
        <v/>
      </c>
      <c r="AL12" s="11" t="str">
        <f t="shared" si="17"/>
        <v/>
      </c>
      <c r="AM12" s="36">
        <v>28</v>
      </c>
      <c r="AN12" s="36">
        <v>5.2</v>
      </c>
      <c r="AO12" s="36">
        <v>1.2</v>
      </c>
      <c r="AP12" s="36">
        <v>0</v>
      </c>
      <c r="AQ12" s="36">
        <v>28.2</v>
      </c>
      <c r="AR12" s="36">
        <v>3.5</v>
      </c>
      <c r="AS12" s="36">
        <v>0.9</v>
      </c>
      <c r="AT12" s="36">
        <v>0</v>
      </c>
      <c r="AU12" s="36">
        <v>27.6</v>
      </c>
      <c r="AV12" s="36">
        <v>4.8</v>
      </c>
      <c r="AW12" s="36">
        <v>1.2</v>
      </c>
      <c r="AX12" s="36">
        <v>0</v>
      </c>
      <c r="AY12" s="36">
        <v>29.1</v>
      </c>
      <c r="AZ12" s="36">
        <v>3.6</v>
      </c>
      <c r="BA12" s="36">
        <v>0</v>
      </c>
      <c r="BB12" s="36">
        <v>0</v>
      </c>
      <c r="BC12" s="73"/>
      <c r="BD12" s="14">
        <f t="shared" si="18"/>
        <v>8.6999999999999993</v>
      </c>
      <c r="BE12" s="14">
        <f t="shared" si="19"/>
        <v>62.800000000000004</v>
      </c>
      <c r="BF12" s="14">
        <f t="shared" si="20"/>
        <v>8.4</v>
      </c>
      <c r="BG12" s="14">
        <f t="shared" si="21"/>
        <v>63.899999999999991</v>
      </c>
      <c r="BH12" s="14">
        <f t="shared" si="22"/>
        <v>126.69999999999999</v>
      </c>
      <c r="BI12" s="61">
        <v>28.1</v>
      </c>
      <c r="BJ12" s="61">
        <v>5.2</v>
      </c>
      <c r="BK12" s="61">
        <v>0.9</v>
      </c>
      <c r="BL12" s="61">
        <v>0</v>
      </c>
      <c r="BM12" s="61">
        <v>28.4</v>
      </c>
      <c r="BN12" s="61">
        <v>3.6</v>
      </c>
      <c r="BO12" s="61">
        <v>0.9</v>
      </c>
      <c r="BP12" s="61">
        <v>0</v>
      </c>
      <c r="BQ12" s="61">
        <v>27.4</v>
      </c>
      <c r="BR12" s="61">
        <v>4.8</v>
      </c>
      <c r="BS12" s="61">
        <v>1.2</v>
      </c>
      <c r="BT12" s="61">
        <v>0</v>
      </c>
      <c r="BU12" s="61">
        <v>0</v>
      </c>
      <c r="BV12" s="61">
        <v>0</v>
      </c>
      <c r="BW12" s="61">
        <v>0</v>
      </c>
      <c r="BX12" s="61">
        <v>0</v>
      </c>
      <c r="BY12" s="72"/>
      <c r="BZ12" s="11">
        <f t="shared" si="23"/>
        <v>8.8000000000000007</v>
      </c>
      <c r="CA12" s="11">
        <f t="shared" si="24"/>
        <v>63.5</v>
      </c>
      <c r="CB12" s="11">
        <f t="shared" si="25"/>
        <v>4.8</v>
      </c>
      <c r="CC12" s="11">
        <f t="shared" si="26"/>
        <v>30.999999999999996</v>
      </c>
      <c r="CD12" s="11">
        <f t="shared" si="27"/>
        <v>94.5</v>
      </c>
      <c r="CE12" s="23" t="str">
        <f t="shared" si="28"/>
        <v/>
      </c>
      <c r="CF12" s="23" t="str">
        <f t="shared" si="29"/>
        <v/>
      </c>
      <c r="CG12" s="40"/>
      <c r="CH12" s="40"/>
      <c r="CI12" s="40"/>
      <c r="CJ12" s="40"/>
      <c r="CK12" s="40"/>
      <c r="CL12" s="40"/>
      <c r="CM12" s="40"/>
      <c r="CN12" s="40"/>
      <c r="CO12" s="40"/>
      <c r="CP12" s="40"/>
      <c r="CQ12" s="40"/>
      <c r="CR12" s="40"/>
      <c r="CS12" s="40"/>
      <c r="CT12" s="40"/>
      <c r="CU12" s="40"/>
      <c r="CV12" s="40"/>
      <c r="CW12" s="11" t="str">
        <f t="shared" si="30"/>
        <v/>
      </c>
      <c r="CX12" s="11" t="str">
        <f t="shared" si="31"/>
        <v/>
      </c>
      <c r="CY12" s="11" t="str">
        <f t="shared" si="32"/>
        <v/>
      </c>
      <c r="CZ12" s="11" t="str">
        <f t="shared" si="33"/>
        <v/>
      </c>
      <c r="DA12" s="11" t="str">
        <f t="shared" si="34"/>
        <v/>
      </c>
      <c r="DB12" s="39"/>
      <c r="DC12" s="39"/>
      <c r="DD12" s="39"/>
      <c r="DE12" s="39"/>
      <c r="DF12" s="39"/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14" t="str">
        <f t="shared" si="35"/>
        <v/>
      </c>
      <c r="DS12" s="14" t="str">
        <f t="shared" si="36"/>
        <v/>
      </c>
      <c r="DT12" s="14" t="str">
        <f t="shared" si="37"/>
        <v/>
      </c>
      <c r="DU12" s="14" t="str">
        <f t="shared" si="38"/>
        <v/>
      </c>
      <c r="DV12" s="14" t="str">
        <f t="shared" si="39"/>
        <v/>
      </c>
      <c r="DW12" s="40"/>
      <c r="DX12" s="40"/>
      <c r="DY12" s="40"/>
      <c r="DZ12" s="40"/>
      <c r="EA12" s="40"/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40"/>
      <c r="EM12" s="11" t="str">
        <f t="shared" si="40"/>
        <v/>
      </c>
      <c r="EN12" s="11" t="str">
        <f t="shared" si="41"/>
        <v/>
      </c>
      <c r="EO12" s="11" t="str">
        <f t="shared" si="42"/>
        <v/>
      </c>
      <c r="EP12" s="11" t="str">
        <f t="shared" si="43"/>
        <v/>
      </c>
      <c r="EQ12" s="11" t="str">
        <f t="shared" si="44"/>
        <v/>
      </c>
      <c r="ER12" s="39"/>
      <c r="ES12" s="39"/>
      <c r="ET12" s="39"/>
      <c r="EU12" s="39"/>
      <c r="EV12" s="39"/>
      <c r="EW12" s="39"/>
      <c r="EX12" s="39"/>
      <c r="EY12" s="39"/>
      <c r="EZ12" s="39"/>
      <c r="FA12" s="39"/>
      <c r="FB12" s="39"/>
      <c r="FC12" s="39"/>
      <c r="FD12" s="39"/>
      <c r="FE12" s="39"/>
      <c r="FF12" s="39"/>
      <c r="FG12" s="39"/>
      <c r="FH12" s="14" t="str">
        <f t="shared" si="45"/>
        <v/>
      </c>
      <c r="FI12" s="14" t="str">
        <f t="shared" si="46"/>
        <v/>
      </c>
      <c r="FJ12" s="14" t="str">
        <f t="shared" si="47"/>
        <v/>
      </c>
      <c r="FK12" s="14" t="str">
        <f t="shared" si="48"/>
        <v/>
      </c>
      <c r="FL12" s="14" t="str">
        <f t="shared" si="49"/>
        <v/>
      </c>
      <c r="FM12" s="40"/>
      <c r="FN12" s="40"/>
      <c r="FO12" s="40"/>
      <c r="FP12" s="40"/>
      <c r="FQ12" s="40"/>
      <c r="FR12" s="40"/>
      <c r="FS12" s="40"/>
      <c r="FT12" s="40"/>
      <c r="FU12" s="40"/>
      <c r="FV12" s="40"/>
      <c r="FW12" s="40"/>
      <c r="FX12" s="40"/>
      <c r="FY12" s="40"/>
      <c r="FZ12" s="40"/>
      <c r="GA12" s="40"/>
      <c r="GB12" s="40"/>
      <c r="GC12" s="11" t="str">
        <f t="shared" si="50"/>
        <v/>
      </c>
      <c r="GD12" s="11" t="str">
        <f t="shared" si="51"/>
        <v/>
      </c>
      <c r="GE12" s="11" t="str">
        <f t="shared" si="52"/>
        <v/>
      </c>
      <c r="GF12" s="11" t="str">
        <f t="shared" si="53"/>
        <v/>
      </c>
      <c r="GG12" s="11" t="str">
        <f t="shared" si="54"/>
        <v/>
      </c>
      <c r="GH12" s="39"/>
      <c r="GI12" s="39"/>
      <c r="GJ12" s="39"/>
      <c r="GK12" s="39"/>
      <c r="GL12" s="39"/>
      <c r="GM12" s="39"/>
      <c r="GN12" s="39"/>
      <c r="GO12" s="39"/>
      <c r="GP12" s="39"/>
      <c r="GQ12" s="39"/>
      <c r="GR12" s="39"/>
      <c r="GS12" s="39"/>
      <c r="GT12" s="39"/>
      <c r="GU12" s="39"/>
      <c r="GV12" s="39"/>
      <c r="GW12" s="39"/>
      <c r="GX12" s="14" t="str">
        <f t="shared" si="55"/>
        <v/>
      </c>
      <c r="GY12" s="14" t="str">
        <f t="shared" si="56"/>
        <v/>
      </c>
      <c r="GZ12" s="14" t="str">
        <f t="shared" si="57"/>
        <v/>
      </c>
      <c r="HA12" s="14" t="str">
        <f t="shared" si="58"/>
        <v/>
      </c>
      <c r="HB12" s="14" t="str">
        <f t="shared" si="59"/>
        <v/>
      </c>
      <c r="HC12" s="40"/>
      <c r="HD12" s="40"/>
      <c r="HE12" s="40"/>
      <c r="HF12" s="40"/>
      <c r="HG12" s="40"/>
      <c r="HH12" s="40"/>
      <c r="HI12" s="40"/>
      <c r="HJ12" s="40"/>
      <c r="HK12" s="40"/>
      <c r="HL12" s="40"/>
      <c r="HM12" s="40"/>
      <c r="HN12" s="40"/>
      <c r="HO12" s="40"/>
      <c r="HP12" s="40"/>
      <c r="HQ12" s="40"/>
      <c r="HR12" s="40"/>
      <c r="HS12" s="11" t="str">
        <f t="shared" si="60"/>
        <v/>
      </c>
      <c r="HT12" s="11" t="str">
        <f t="shared" si="61"/>
        <v/>
      </c>
      <c r="HU12" s="11" t="str">
        <f t="shared" si="62"/>
        <v/>
      </c>
      <c r="HV12" s="11" t="str">
        <f t="shared" si="63"/>
        <v/>
      </c>
      <c r="HW12" s="11" t="str">
        <f t="shared" si="64"/>
        <v/>
      </c>
      <c r="HX12" s="39"/>
      <c r="HY12" s="39"/>
      <c r="HZ12" s="39"/>
      <c r="IA12" s="39"/>
      <c r="IB12" s="39"/>
      <c r="IC12" s="39"/>
      <c r="ID12" s="39"/>
      <c r="IE12" s="39"/>
      <c r="IF12" s="39"/>
      <c r="IG12" s="39"/>
      <c r="IH12" s="39"/>
      <c r="II12" s="39"/>
      <c r="IJ12" s="39"/>
      <c r="IK12" s="39"/>
      <c r="IL12" s="39"/>
      <c r="IM12" s="39"/>
      <c r="IN12" s="14" t="str">
        <f t="shared" si="65"/>
        <v/>
      </c>
      <c r="IO12" s="14" t="str">
        <f t="shared" si="66"/>
        <v/>
      </c>
      <c r="IP12" s="14" t="str">
        <f t="shared" si="67"/>
        <v/>
      </c>
      <c r="IQ12" s="14" t="str">
        <f t="shared" si="68"/>
        <v/>
      </c>
      <c r="IR12" s="14" t="str">
        <f t="shared" si="69"/>
        <v/>
      </c>
      <c r="IS12" s="40"/>
      <c r="IT12" s="40"/>
      <c r="IU12" s="40"/>
      <c r="IV12" s="40"/>
      <c r="IW12" s="40"/>
      <c r="IX12" s="40"/>
      <c r="IY12" s="40"/>
      <c r="IZ12" s="40"/>
      <c r="JA12" s="40"/>
      <c r="JB12" s="40"/>
      <c r="JC12" s="40"/>
      <c r="JD12" s="40"/>
      <c r="JE12" s="40"/>
      <c r="JF12" s="40"/>
      <c r="JG12" s="40"/>
      <c r="JH12" s="40"/>
      <c r="JI12" s="11" t="str">
        <f t="shared" si="70"/>
        <v/>
      </c>
      <c r="JJ12" s="11" t="str">
        <f t="shared" si="71"/>
        <v/>
      </c>
      <c r="JK12" s="11" t="str">
        <f t="shared" si="72"/>
        <v/>
      </c>
      <c r="JL12" s="11" t="str">
        <f t="shared" si="73"/>
        <v/>
      </c>
      <c r="JM12" s="11" t="str">
        <f t="shared" si="74"/>
        <v/>
      </c>
      <c r="JN12" s="39"/>
      <c r="JO12" s="39"/>
      <c r="JP12" s="39"/>
      <c r="JQ12" s="39"/>
      <c r="JR12" s="39"/>
      <c r="JS12" s="39"/>
      <c r="JT12" s="39"/>
      <c r="JU12" s="39"/>
      <c r="JV12" s="39"/>
      <c r="JW12" s="39"/>
      <c r="JX12" s="39"/>
      <c r="JY12" s="39"/>
      <c r="JZ12" s="39"/>
      <c r="KA12" s="39"/>
      <c r="KB12" s="39"/>
      <c r="KC12" s="39"/>
      <c r="KD12" s="14" t="str">
        <f t="shared" si="75"/>
        <v/>
      </c>
      <c r="KE12" s="14" t="str">
        <f t="shared" si="76"/>
        <v/>
      </c>
      <c r="KF12" s="14" t="str">
        <f t="shared" si="77"/>
        <v/>
      </c>
      <c r="KG12" s="14" t="str">
        <f t="shared" si="78"/>
        <v/>
      </c>
      <c r="KH12" s="14" t="str">
        <f t="shared" si="79"/>
        <v/>
      </c>
      <c r="KI12" s="40"/>
      <c r="KJ12" s="40"/>
      <c r="KK12" s="40"/>
      <c r="KL12" s="40"/>
      <c r="KM12" s="40"/>
      <c r="KN12" s="40"/>
      <c r="KO12" s="40"/>
      <c r="KP12" s="40"/>
      <c r="KQ12" s="40"/>
      <c r="KR12" s="40"/>
      <c r="KS12" s="40"/>
      <c r="KT12" s="40"/>
      <c r="KU12" s="40"/>
      <c r="KV12" s="40"/>
      <c r="KW12" s="40"/>
      <c r="KX12" s="40"/>
      <c r="KY12" s="11" t="str">
        <f t="shared" si="80"/>
        <v/>
      </c>
      <c r="KZ12" s="11" t="str">
        <f t="shared" si="81"/>
        <v/>
      </c>
      <c r="LA12" s="11" t="str">
        <f t="shared" si="82"/>
        <v/>
      </c>
      <c r="LB12" s="11" t="str">
        <f t="shared" si="83"/>
        <v/>
      </c>
      <c r="LC12" s="11" t="str">
        <f t="shared" si="84"/>
        <v/>
      </c>
      <c r="LD12" s="39"/>
      <c r="LE12" s="39"/>
      <c r="LF12" s="39"/>
      <c r="LG12" s="39"/>
      <c r="LH12" s="39"/>
      <c r="LI12" s="39"/>
      <c r="LJ12" s="39"/>
      <c r="LK12" s="39"/>
      <c r="LL12" s="39"/>
      <c r="LM12" s="39"/>
      <c r="LN12" s="39"/>
      <c r="LO12" s="39"/>
      <c r="LP12" s="39"/>
      <c r="LQ12" s="39"/>
      <c r="LR12" s="39"/>
      <c r="LS12" s="39"/>
      <c r="LT12" s="14" t="str">
        <f t="shared" si="85"/>
        <v/>
      </c>
      <c r="LU12" s="14" t="str">
        <f t="shared" si="86"/>
        <v/>
      </c>
      <c r="LV12" s="14" t="str">
        <f t="shared" si="87"/>
        <v/>
      </c>
      <c r="LW12" s="14" t="str">
        <f t="shared" si="88"/>
        <v/>
      </c>
      <c r="LX12" s="14" t="str">
        <f t="shared" si="89"/>
        <v/>
      </c>
      <c r="LY12" s="61">
        <f t="shared" si="90"/>
        <v>28.05</v>
      </c>
      <c r="LZ12" s="61">
        <f t="shared" si="91"/>
        <v>5.2</v>
      </c>
      <c r="MA12" s="61">
        <f t="shared" si="92"/>
        <v>1.05</v>
      </c>
      <c r="MB12" s="61">
        <f t="shared" si="93"/>
        <v>0</v>
      </c>
      <c r="MC12" s="61">
        <f t="shared" si="94"/>
        <v>28.299999999999997</v>
      </c>
      <c r="MD12" s="61">
        <f t="shared" si="95"/>
        <v>3.55</v>
      </c>
      <c r="ME12" s="61">
        <f t="shared" si="96"/>
        <v>0.9</v>
      </c>
      <c r="MF12" s="61">
        <f t="shared" si="97"/>
        <v>0</v>
      </c>
      <c r="MG12" s="61">
        <f t="shared" si="98"/>
        <v>27.5</v>
      </c>
      <c r="MH12" s="61">
        <f t="shared" si="99"/>
        <v>4.8</v>
      </c>
      <c r="MI12" s="61">
        <f t="shared" si="100"/>
        <v>1.2</v>
      </c>
      <c r="MJ12" s="61">
        <f t="shared" si="101"/>
        <v>0</v>
      </c>
      <c r="MK12" s="61">
        <f t="shared" si="102"/>
        <v>14.55</v>
      </c>
      <c r="ML12" s="61">
        <f t="shared" si="103"/>
        <v>1.8</v>
      </c>
      <c r="MM12" s="61">
        <f t="shared" si="104"/>
        <v>0</v>
      </c>
      <c r="MN12" s="61">
        <f t="shared" si="105"/>
        <v>0</v>
      </c>
      <c r="MO12" s="72" t="s">
        <v>52</v>
      </c>
      <c r="MP12" s="11">
        <f t="shared" si="106"/>
        <v>8.75</v>
      </c>
      <c r="MQ12" s="11">
        <f t="shared" si="107"/>
        <v>63.149999999999991</v>
      </c>
      <c r="MR12" s="11">
        <f t="shared" si="108"/>
        <v>6.6</v>
      </c>
      <c r="MS12" s="11">
        <f t="shared" si="109"/>
        <v>47.449999999999989</v>
      </c>
      <c r="MT12" s="11">
        <f t="shared" si="110"/>
        <v>110.59999999999998</v>
      </c>
    </row>
    <row r="13" spans="1:358" x14ac:dyDescent="0.2">
      <c r="A13" s="5" t="str">
        <f t="shared" si="0"/>
        <v/>
      </c>
      <c r="B13" s="8" t="s">
        <v>140</v>
      </c>
      <c r="C13" s="4" t="s">
        <v>4</v>
      </c>
      <c r="D13" s="5">
        <v>2001</v>
      </c>
      <c r="E13" s="15">
        <f t="shared" si="1"/>
        <v>66.899999999999991</v>
      </c>
      <c r="F13" s="3" t="str">
        <f t="shared" si="2"/>
        <v/>
      </c>
      <c r="G13" s="3" t="str">
        <f t="shared" si="3"/>
        <v/>
      </c>
      <c r="H13" s="116" t="str">
        <f t="shared" si="4"/>
        <v/>
      </c>
      <c r="I13" s="3" t="str">
        <f t="shared" si="5"/>
        <v/>
      </c>
      <c r="J13" s="14">
        <f t="shared" si="6"/>
        <v>66.899999999999991</v>
      </c>
      <c r="K13" s="14" t="str">
        <f t="shared" si="7"/>
        <v>2021 Elite Canada</v>
      </c>
      <c r="L13" s="14">
        <f t="shared" si="8"/>
        <v>0</v>
      </c>
      <c r="M13" s="14" t="str">
        <f t="shared" si="9"/>
        <v/>
      </c>
      <c r="N13" s="14" t="str">
        <f t="shared" si="10"/>
        <v/>
      </c>
      <c r="O13" s="24" t="str">
        <f t="shared" si="11"/>
        <v/>
      </c>
      <c r="P13" s="14" t="str">
        <f t="shared" si="12"/>
        <v/>
      </c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72"/>
      <c r="AH13" s="11" t="str">
        <f t="shared" si="13"/>
        <v/>
      </c>
      <c r="AI13" s="11" t="str">
        <f t="shared" si="14"/>
        <v/>
      </c>
      <c r="AJ13" s="11" t="str">
        <f t="shared" si="15"/>
        <v/>
      </c>
      <c r="AK13" s="11" t="str">
        <f t="shared" si="16"/>
        <v/>
      </c>
      <c r="AL13" s="11" t="str">
        <f t="shared" si="17"/>
        <v/>
      </c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73"/>
      <c r="BD13" s="14" t="str">
        <f t="shared" si="18"/>
        <v/>
      </c>
      <c r="BE13" s="14" t="str">
        <f t="shared" si="19"/>
        <v/>
      </c>
      <c r="BF13" s="14" t="str">
        <f t="shared" si="20"/>
        <v/>
      </c>
      <c r="BG13" s="14" t="str">
        <f t="shared" si="21"/>
        <v/>
      </c>
      <c r="BH13" s="14" t="str">
        <f t="shared" si="22"/>
        <v/>
      </c>
      <c r="BI13" s="61">
        <v>27.9</v>
      </c>
      <c r="BJ13" s="61">
        <v>6</v>
      </c>
      <c r="BK13" s="61">
        <v>0</v>
      </c>
      <c r="BL13" s="61">
        <v>0</v>
      </c>
      <c r="BM13" s="61">
        <v>27.9</v>
      </c>
      <c r="BN13" s="61">
        <v>6</v>
      </c>
      <c r="BO13" s="61">
        <v>0.9</v>
      </c>
      <c r="BP13" s="61">
        <v>0</v>
      </c>
      <c r="BQ13" s="61">
        <v>24.6</v>
      </c>
      <c r="BR13" s="61">
        <v>5.6</v>
      </c>
      <c r="BS13" s="61">
        <v>1.8</v>
      </c>
      <c r="BT13" s="61">
        <v>0</v>
      </c>
      <c r="BU13" s="61">
        <v>28.1</v>
      </c>
      <c r="BV13" s="61">
        <v>5.2</v>
      </c>
      <c r="BW13" s="61">
        <v>0.9</v>
      </c>
      <c r="BX13" s="61">
        <v>0</v>
      </c>
      <c r="BY13" s="72"/>
      <c r="BZ13" s="11">
        <f t="shared" si="23"/>
        <v>12</v>
      </c>
      <c r="CA13" s="11">
        <f t="shared" si="24"/>
        <v>66.899999999999991</v>
      </c>
      <c r="CB13" s="11">
        <f t="shared" si="25"/>
        <v>10.8</v>
      </c>
      <c r="CC13" s="11">
        <f t="shared" si="26"/>
        <v>60.800000000000004</v>
      </c>
      <c r="CD13" s="11">
        <f t="shared" si="27"/>
        <v>127.69999999999999</v>
      </c>
      <c r="CE13" s="23" t="str">
        <f t="shared" si="28"/>
        <v/>
      </c>
      <c r="CF13" s="23" t="str">
        <f t="shared" si="29"/>
        <v/>
      </c>
      <c r="CG13" s="40"/>
      <c r="CH13" s="40"/>
      <c r="CI13" s="40"/>
      <c r="CJ13" s="40"/>
      <c r="CK13" s="40"/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40"/>
      <c r="CW13" s="11" t="str">
        <f t="shared" si="30"/>
        <v/>
      </c>
      <c r="CX13" s="11" t="str">
        <f t="shared" si="31"/>
        <v/>
      </c>
      <c r="CY13" s="11" t="str">
        <f t="shared" si="32"/>
        <v/>
      </c>
      <c r="CZ13" s="11" t="str">
        <f t="shared" si="33"/>
        <v/>
      </c>
      <c r="DA13" s="11" t="str">
        <f t="shared" si="34"/>
        <v/>
      </c>
      <c r="DB13" s="39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14" t="str">
        <f t="shared" si="35"/>
        <v/>
      </c>
      <c r="DS13" s="14" t="str">
        <f t="shared" si="36"/>
        <v/>
      </c>
      <c r="DT13" s="14" t="str">
        <f t="shared" si="37"/>
        <v/>
      </c>
      <c r="DU13" s="14" t="str">
        <f t="shared" si="38"/>
        <v/>
      </c>
      <c r="DV13" s="14" t="str">
        <f t="shared" si="39"/>
        <v/>
      </c>
      <c r="DW13" s="40"/>
      <c r="DX13" s="40"/>
      <c r="DY13" s="40"/>
      <c r="DZ13" s="40"/>
      <c r="EA13" s="40"/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40"/>
      <c r="EM13" s="11" t="str">
        <f t="shared" si="40"/>
        <v/>
      </c>
      <c r="EN13" s="11" t="str">
        <f t="shared" si="41"/>
        <v/>
      </c>
      <c r="EO13" s="11" t="str">
        <f t="shared" si="42"/>
        <v/>
      </c>
      <c r="EP13" s="11" t="str">
        <f t="shared" si="43"/>
        <v/>
      </c>
      <c r="EQ13" s="11" t="str">
        <f t="shared" si="44"/>
        <v/>
      </c>
      <c r="ER13" s="39"/>
      <c r="ES13" s="39"/>
      <c r="ET13" s="39"/>
      <c r="EU13" s="39"/>
      <c r="EV13" s="39"/>
      <c r="EW13" s="39"/>
      <c r="EX13" s="39"/>
      <c r="EY13" s="39"/>
      <c r="EZ13" s="39"/>
      <c r="FA13" s="39"/>
      <c r="FB13" s="39"/>
      <c r="FC13" s="39"/>
      <c r="FD13" s="39"/>
      <c r="FE13" s="39"/>
      <c r="FF13" s="39"/>
      <c r="FG13" s="39"/>
      <c r="FH13" s="14" t="str">
        <f t="shared" si="45"/>
        <v/>
      </c>
      <c r="FI13" s="14" t="str">
        <f t="shared" si="46"/>
        <v/>
      </c>
      <c r="FJ13" s="14" t="str">
        <f t="shared" si="47"/>
        <v/>
      </c>
      <c r="FK13" s="14" t="str">
        <f t="shared" si="48"/>
        <v/>
      </c>
      <c r="FL13" s="14" t="str">
        <f t="shared" si="49"/>
        <v/>
      </c>
      <c r="FM13" s="40"/>
      <c r="FN13" s="40"/>
      <c r="FO13" s="40"/>
      <c r="FP13" s="40"/>
      <c r="FQ13" s="40"/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40"/>
      <c r="GC13" s="11" t="str">
        <f t="shared" si="50"/>
        <v/>
      </c>
      <c r="GD13" s="11" t="str">
        <f t="shared" si="51"/>
        <v/>
      </c>
      <c r="GE13" s="11" t="str">
        <f t="shared" si="52"/>
        <v/>
      </c>
      <c r="GF13" s="11" t="str">
        <f t="shared" si="53"/>
        <v/>
      </c>
      <c r="GG13" s="11" t="str">
        <f t="shared" si="54"/>
        <v/>
      </c>
      <c r="GH13" s="39"/>
      <c r="GI13" s="39"/>
      <c r="GJ13" s="39"/>
      <c r="GK13" s="39"/>
      <c r="GL13" s="39"/>
      <c r="GM13" s="39"/>
      <c r="GN13" s="39"/>
      <c r="GO13" s="39"/>
      <c r="GP13" s="39"/>
      <c r="GQ13" s="39"/>
      <c r="GR13" s="39"/>
      <c r="GS13" s="39"/>
      <c r="GT13" s="39"/>
      <c r="GU13" s="39"/>
      <c r="GV13" s="39"/>
      <c r="GW13" s="39"/>
      <c r="GX13" s="14" t="str">
        <f t="shared" si="55"/>
        <v/>
      </c>
      <c r="GY13" s="14" t="str">
        <f t="shared" si="56"/>
        <v/>
      </c>
      <c r="GZ13" s="14" t="str">
        <f t="shared" si="57"/>
        <v/>
      </c>
      <c r="HA13" s="14" t="str">
        <f t="shared" si="58"/>
        <v/>
      </c>
      <c r="HB13" s="14" t="str">
        <f t="shared" si="59"/>
        <v/>
      </c>
      <c r="HC13" s="40"/>
      <c r="HD13" s="40"/>
      <c r="HE13" s="40"/>
      <c r="HF13" s="40"/>
      <c r="HG13" s="40"/>
      <c r="HH13" s="40"/>
      <c r="HI13" s="40"/>
      <c r="HJ13" s="40"/>
      <c r="HK13" s="40"/>
      <c r="HL13" s="40"/>
      <c r="HM13" s="40"/>
      <c r="HN13" s="40"/>
      <c r="HO13" s="40"/>
      <c r="HP13" s="40"/>
      <c r="HQ13" s="40"/>
      <c r="HR13" s="40"/>
      <c r="HS13" s="11" t="str">
        <f t="shared" si="60"/>
        <v/>
      </c>
      <c r="HT13" s="11" t="str">
        <f t="shared" si="61"/>
        <v/>
      </c>
      <c r="HU13" s="11" t="str">
        <f t="shared" si="62"/>
        <v/>
      </c>
      <c r="HV13" s="11" t="str">
        <f t="shared" si="63"/>
        <v/>
      </c>
      <c r="HW13" s="11" t="str">
        <f t="shared" si="64"/>
        <v/>
      </c>
      <c r="HX13" s="39"/>
      <c r="HY13" s="39"/>
      <c r="HZ13" s="39"/>
      <c r="IA13" s="39"/>
      <c r="IB13" s="39"/>
      <c r="IC13" s="39"/>
      <c r="ID13" s="39"/>
      <c r="IE13" s="39"/>
      <c r="IF13" s="39"/>
      <c r="IG13" s="39"/>
      <c r="IH13" s="39"/>
      <c r="II13" s="39"/>
      <c r="IJ13" s="39"/>
      <c r="IK13" s="39"/>
      <c r="IL13" s="39"/>
      <c r="IM13" s="39"/>
      <c r="IN13" s="14" t="str">
        <f t="shared" si="65"/>
        <v/>
      </c>
      <c r="IO13" s="14" t="str">
        <f t="shared" si="66"/>
        <v/>
      </c>
      <c r="IP13" s="14" t="str">
        <f t="shared" si="67"/>
        <v/>
      </c>
      <c r="IQ13" s="14" t="str">
        <f t="shared" si="68"/>
        <v/>
      </c>
      <c r="IR13" s="14" t="str">
        <f t="shared" si="69"/>
        <v/>
      </c>
      <c r="IS13" s="40"/>
      <c r="IT13" s="40"/>
      <c r="IU13" s="40"/>
      <c r="IV13" s="40"/>
      <c r="IW13" s="40"/>
      <c r="IX13" s="40"/>
      <c r="IY13" s="40"/>
      <c r="IZ13" s="40"/>
      <c r="JA13" s="40"/>
      <c r="JB13" s="40"/>
      <c r="JC13" s="40"/>
      <c r="JD13" s="40"/>
      <c r="JE13" s="40"/>
      <c r="JF13" s="40"/>
      <c r="JG13" s="40"/>
      <c r="JH13" s="40"/>
      <c r="JI13" s="11" t="str">
        <f t="shared" si="70"/>
        <v/>
      </c>
      <c r="JJ13" s="11" t="str">
        <f t="shared" si="71"/>
        <v/>
      </c>
      <c r="JK13" s="11" t="str">
        <f t="shared" si="72"/>
        <v/>
      </c>
      <c r="JL13" s="11" t="str">
        <f t="shared" si="73"/>
        <v/>
      </c>
      <c r="JM13" s="11" t="str">
        <f t="shared" si="74"/>
        <v/>
      </c>
      <c r="JN13" s="39"/>
      <c r="JO13" s="39"/>
      <c r="JP13" s="39"/>
      <c r="JQ13" s="39"/>
      <c r="JR13" s="39"/>
      <c r="JS13" s="39"/>
      <c r="JT13" s="39"/>
      <c r="JU13" s="39"/>
      <c r="JV13" s="39"/>
      <c r="JW13" s="39"/>
      <c r="JX13" s="39"/>
      <c r="JY13" s="39"/>
      <c r="JZ13" s="39"/>
      <c r="KA13" s="39"/>
      <c r="KB13" s="39"/>
      <c r="KC13" s="39"/>
      <c r="KD13" s="14" t="str">
        <f t="shared" si="75"/>
        <v/>
      </c>
      <c r="KE13" s="14" t="str">
        <f t="shared" si="76"/>
        <v/>
      </c>
      <c r="KF13" s="14" t="str">
        <f t="shared" si="77"/>
        <v/>
      </c>
      <c r="KG13" s="14" t="str">
        <f t="shared" si="78"/>
        <v/>
      </c>
      <c r="KH13" s="14" t="str">
        <f t="shared" si="79"/>
        <v/>
      </c>
      <c r="KI13" s="40"/>
      <c r="KJ13" s="40"/>
      <c r="KK13" s="40"/>
      <c r="KL13" s="40"/>
      <c r="KM13" s="40"/>
      <c r="KN13" s="40"/>
      <c r="KO13" s="40"/>
      <c r="KP13" s="40"/>
      <c r="KQ13" s="40"/>
      <c r="KR13" s="40"/>
      <c r="KS13" s="40"/>
      <c r="KT13" s="40"/>
      <c r="KU13" s="40"/>
      <c r="KV13" s="40"/>
      <c r="KW13" s="40"/>
      <c r="KX13" s="40"/>
      <c r="KY13" s="11" t="str">
        <f t="shared" si="80"/>
        <v/>
      </c>
      <c r="KZ13" s="11" t="str">
        <f t="shared" si="81"/>
        <v/>
      </c>
      <c r="LA13" s="11" t="str">
        <f t="shared" si="82"/>
        <v/>
      </c>
      <c r="LB13" s="11" t="str">
        <f t="shared" si="83"/>
        <v/>
      </c>
      <c r="LC13" s="11" t="str">
        <f t="shared" si="84"/>
        <v/>
      </c>
      <c r="LD13" s="39"/>
      <c r="LE13" s="39"/>
      <c r="LF13" s="39"/>
      <c r="LG13" s="39"/>
      <c r="LH13" s="39"/>
      <c r="LI13" s="39"/>
      <c r="LJ13" s="39"/>
      <c r="LK13" s="39"/>
      <c r="LL13" s="39"/>
      <c r="LM13" s="39"/>
      <c r="LN13" s="39"/>
      <c r="LO13" s="39"/>
      <c r="LP13" s="39"/>
      <c r="LQ13" s="39"/>
      <c r="LR13" s="39"/>
      <c r="LS13" s="39"/>
      <c r="LT13" s="14" t="str">
        <f t="shared" si="85"/>
        <v/>
      </c>
      <c r="LU13" s="14" t="str">
        <f t="shared" si="86"/>
        <v/>
      </c>
      <c r="LV13" s="14" t="str">
        <f t="shared" si="87"/>
        <v/>
      </c>
      <c r="LW13" s="14" t="str">
        <f t="shared" si="88"/>
        <v/>
      </c>
      <c r="LX13" s="14" t="str">
        <f t="shared" si="89"/>
        <v/>
      </c>
      <c r="LY13" s="61">
        <f t="shared" si="90"/>
        <v>13.95</v>
      </c>
      <c r="LZ13" s="61">
        <f t="shared" si="91"/>
        <v>3</v>
      </c>
      <c r="MA13" s="61">
        <f t="shared" si="92"/>
        <v>0</v>
      </c>
      <c r="MB13" s="61">
        <f t="shared" si="93"/>
        <v>0</v>
      </c>
      <c r="MC13" s="61">
        <f t="shared" si="94"/>
        <v>13.95</v>
      </c>
      <c r="MD13" s="61">
        <f t="shared" si="95"/>
        <v>3</v>
      </c>
      <c r="ME13" s="61">
        <f t="shared" si="96"/>
        <v>0.45</v>
      </c>
      <c r="MF13" s="61">
        <f t="shared" si="97"/>
        <v>0</v>
      </c>
      <c r="MG13" s="61">
        <f t="shared" si="98"/>
        <v>12.3</v>
      </c>
      <c r="MH13" s="61">
        <f t="shared" si="99"/>
        <v>2.8</v>
      </c>
      <c r="MI13" s="61">
        <f t="shared" si="100"/>
        <v>0.9</v>
      </c>
      <c r="MJ13" s="61">
        <f t="shared" si="101"/>
        <v>0</v>
      </c>
      <c r="MK13" s="61">
        <f t="shared" si="102"/>
        <v>14.05</v>
      </c>
      <c r="ML13" s="61">
        <f t="shared" si="103"/>
        <v>2.6</v>
      </c>
      <c r="MM13" s="61">
        <f t="shared" si="104"/>
        <v>0.45</v>
      </c>
      <c r="MN13" s="61">
        <f t="shared" si="105"/>
        <v>0</v>
      </c>
      <c r="MO13" s="72" t="s">
        <v>52</v>
      </c>
      <c r="MP13" s="11">
        <f t="shared" si="106"/>
        <v>6</v>
      </c>
      <c r="MQ13" s="11">
        <f t="shared" si="107"/>
        <v>33.449999999999996</v>
      </c>
      <c r="MR13" s="11">
        <f t="shared" si="108"/>
        <v>5.4</v>
      </c>
      <c r="MS13" s="11">
        <f t="shared" si="109"/>
        <v>30.400000000000002</v>
      </c>
      <c r="MT13" s="11">
        <f t="shared" si="110"/>
        <v>63.849999999999994</v>
      </c>
    </row>
    <row r="14" spans="1:358" x14ac:dyDescent="0.2">
      <c r="A14" s="5" t="str">
        <f t="shared" si="0"/>
        <v/>
      </c>
      <c r="B14" s="8" t="s">
        <v>125</v>
      </c>
      <c r="C14" s="4" t="s">
        <v>4</v>
      </c>
      <c r="D14" s="5">
        <v>2004</v>
      </c>
      <c r="E14" s="15">
        <f t="shared" si="1"/>
        <v>66.499999999999986</v>
      </c>
      <c r="F14" s="3" t="str">
        <f t="shared" si="2"/>
        <v/>
      </c>
      <c r="G14" s="3" t="str">
        <f t="shared" si="3"/>
        <v/>
      </c>
      <c r="H14" s="116" t="str">
        <f t="shared" si="4"/>
        <v/>
      </c>
      <c r="I14" s="3" t="str">
        <f t="shared" si="5"/>
        <v/>
      </c>
      <c r="J14" s="14">
        <f t="shared" si="6"/>
        <v>66.499999999999986</v>
      </c>
      <c r="K14" s="14" t="str">
        <f t="shared" si="7"/>
        <v>2021 2nd Virtual Technical Trial</v>
      </c>
      <c r="L14" s="14">
        <f t="shared" si="8"/>
        <v>0</v>
      </c>
      <c r="M14" s="14" t="str">
        <f t="shared" si="9"/>
        <v/>
      </c>
      <c r="N14" s="14" t="str">
        <f t="shared" si="10"/>
        <v/>
      </c>
      <c r="O14" s="24" t="str">
        <f t="shared" si="11"/>
        <v/>
      </c>
      <c r="P14" s="14" t="str">
        <f t="shared" si="12"/>
        <v/>
      </c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72"/>
      <c r="AH14" s="11" t="str">
        <f t="shared" si="13"/>
        <v/>
      </c>
      <c r="AI14" s="11" t="str">
        <f t="shared" si="14"/>
        <v/>
      </c>
      <c r="AJ14" s="11" t="str">
        <f t="shared" si="15"/>
        <v/>
      </c>
      <c r="AK14" s="11" t="str">
        <f t="shared" si="16"/>
        <v/>
      </c>
      <c r="AL14" s="11" t="str">
        <f t="shared" si="17"/>
        <v/>
      </c>
      <c r="AM14" s="36">
        <v>28.1</v>
      </c>
      <c r="AN14" s="36">
        <v>6</v>
      </c>
      <c r="AO14" s="36">
        <v>0.9</v>
      </c>
      <c r="AP14" s="36">
        <v>0</v>
      </c>
      <c r="AQ14" s="36">
        <v>27.7</v>
      </c>
      <c r="AR14" s="36">
        <v>5.6</v>
      </c>
      <c r="AS14" s="36">
        <v>0</v>
      </c>
      <c r="AT14" s="36">
        <v>0</v>
      </c>
      <c r="AU14" s="36">
        <v>28.2</v>
      </c>
      <c r="AV14" s="36">
        <v>6.4</v>
      </c>
      <c r="AW14" s="36">
        <v>0.9</v>
      </c>
      <c r="AX14" s="36">
        <v>0</v>
      </c>
      <c r="AY14" s="36">
        <v>27.8</v>
      </c>
      <c r="AZ14" s="36">
        <v>6</v>
      </c>
      <c r="BA14" s="36">
        <v>0</v>
      </c>
      <c r="BB14" s="36">
        <v>0</v>
      </c>
      <c r="BC14" s="73"/>
      <c r="BD14" s="14">
        <f t="shared" si="18"/>
        <v>11.6</v>
      </c>
      <c r="BE14" s="14">
        <f t="shared" si="19"/>
        <v>66.499999999999986</v>
      </c>
      <c r="BF14" s="14">
        <f t="shared" si="20"/>
        <v>12.4</v>
      </c>
      <c r="BG14" s="14">
        <f t="shared" si="21"/>
        <v>67.5</v>
      </c>
      <c r="BH14" s="14">
        <f t="shared" si="22"/>
        <v>134</v>
      </c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  <c r="BV14" s="61"/>
      <c r="BW14" s="61"/>
      <c r="BX14" s="61"/>
      <c r="BY14" s="72"/>
      <c r="BZ14" s="11" t="str">
        <f t="shared" si="23"/>
        <v/>
      </c>
      <c r="CA14" s="11" t="str">
        <f t="shared" si="24"/>
        <v/>
      </c>
      <c r="CB14" s="11" t="str">
        <f t="shared" si="25"/>
        <v/>
      </c>
      <c r="CC14" s="11" t="str">
        <f t="shared" si="26"/>
        <v/>
      </c>
      <c r="CD14" s="11" t="str">
        <f t="shared" si="27"/>
        <v/>
      </c>
      <c r="CE14" s="23" t="str">
        <f t="shared" si="28"/>
        <v/>
      </c>
      <c r="CF14" s="23" t="str">
        <f t="shared" si="29"/>
        <v/>
      </c>
      <c r="CG14" s="40"/>
      <c r="CH14" s="40"/>
      <c r="CI14" s="40"/>
      <c r="CJ14" s="40"/>
      <c r="CK14" s="40"/>
      <c r="CL14" s="40"/>
      <c r="CM14" s="40"/>
      <c r="CN14" s="40"/>
      <c r="CO14" s="40"/>
      <c r="CP14" s="40"/>
      <c r="CQ14" s="40"/>
      <c r="CR14" s="40"/>
      <c r="CS14" s="40"/>
      <c r="CT14" s="40"/>
      <c r="CU14" s="40"/>
      <c r="CV14" s="40"/>
      <c r="CW14" s="11" t="str">
        <f t="shared" si="30"/>
        <v/>
      </c>
      <c r="CX14" s="11" t="str">
        <f t="shared" si="31"/>
        <v/>
      </c>
      <c r="CY14" s="11" t="str">
        <f t="shared" si="32"/>
        <v/>
      </c>
      <c r="CZ14" s="11" t="str">
        <f t="shared" si="33"/>
        <v/>
      </c>
      <c r="DA14" s="11" t="str">
        <f t="shared" si="34"/>
        <v/>
      </c>
      <c r="DB14" s="39"/>
      <c r="DC14" s="39"/>
      <c r="DD14" s="39"/>
      <c r="DE14" s="39"/>
      <c r="DF14" s="39"/>
      <c r="DG14" s="39"/>
      <c r="DH14" s="39"/>
      <c r="DI14" s="39"/>
      <c r="DJ14" s="39"/>
      <c r="DK14" s="39"/>
      <c r="DL14" s="39"/>
      <c r="DM14" s="39"/>
      <c r="DN14" s="39"/>
      <c r="DO14" s="39"/>
      <c r="DP14" s="39"/>
      <c r="DQ14" s="39"/>
      <c r="DR14" s="14" t="str">
        <f t="shared" si="35"/>
        <v/>
      </c>
      <c r="DS14" s="14" t="str">
        <f t="shared" si="36"/>
        <v/>
      </c>
      <c r="DT14" s="14" t="str">
        <f t="shared" si="37"/>
        <v/>
      </c>
      <c r="DU14" s="14" t="str">
        <f t="shared" si="38"/>
        <v/>
      </c>
      <c r="DV14" s="14" t="str">
        <f t="shared" si="39"/>
        <v/>
      </c>
      <c r="DW14" s="40"/>
      <c r="DX14" s="40"/>
      <c r="DY14" s="40"/>
      <c r="DZ14" s="40"/>
      <c r="EA14" s="40"/>
      <c r="EB14" s="40"/>
      <c r="EC14" s="40"/>
      <c r="ED14" s="40"/>
      <c r="EE14" s="40"/>
      <c r="EF14" s="40"/>
      <c r="EG14" s="40"/>
      <c r="EH14" s="40"/>
      <c r="EI14" s="40"/>
      <c r="EJ14" s="40"/>
      <c r="EK14" s="40"/>
      <c r="EL14" s="40"/>
      <c r="EM14" s="11" t="str">
        <f t="shared" si="40"/>
        <v/>
      </c>
      <c r="EN14" s="11" t="str">
        <f t="shared" si="41"/>
        <v/>
      </c>
      <c r="EO14" s="11" t="str">
        <f t="shared" si="42"/>
        <v/>
      </c>
      <c r="EP14" s="11" t="str">
        <f t="shared" si="43"/>
        <v/>
      </c>
      <c r="EQ14" s="11" t="str">
        <f t="shared" si="44"/>
        <v/>
      </c>
      <c r="ER14" s="39"/>
      <c r="ES14" s="39"/>
      <c r="ET14" s="39"/>
      <c r="EU14" s="39"/>
      <c r="EV14" s="39"/>
      <c r="EW14" s="39"/>
      <c r="EX14" s="39"/>
      <c r="EY14" s="39"/>
      <c r="EZ14" s="39"/>
      <c r="FA14" s="39"/>
      <c r="FB14" s="39"/>
      <c r="FC14" s="39"/>
      <c r="FD14" s="39"/>
      <c r="FE14" s="39"/>
      <c r="FF14" s="39"/>
      <c r="FG14" s="39"/>
      <c r="FH14" s="14" t="str">
        <f t="shared" si="45"/>
        <v/>
      </c>
      <c r="FI14" s="14" t="str">
        <f t="shared" si="46"/>
        <v/>
      </c>
      <c r="FJ14" s="14" t="str">
        <f t="shared" si="47"/>
        <v/>
      </c>
      <c r="FK14" s="14" t="str">
        <f t="shared" si="48"/>
        <v/>
      </c>
      <c r="FL14" s="14" t="str">
        <f t="shared" si="49"/>
        <v/>
      </c>
      <c r="FM14" s="40"/>
      <c r="FN14" s="40"/>
      <c r="FO14" s="40"/>
      <c r="FP14" s="40"/>
      <c r="FQ14" s="40"/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40"/>
      <c r="GC14" s="11" t="str">
        <f t="shared" si="50"/>
        <v/>
      </c>
      <c r="GD14" s="11" t="str">
        <f t="shared" si="51"/>
        <v/>
      </c>
      <c r="GE14" s="11" t="str">
        <f t="shared" si="52"/>
        <v/>
      </c>
      <c r="GF14" s="11" t="str">
        <f t="shared" si="53"/>
        <v/>
      </c>
      <c r="GG14" s="11" t="str">
        <f t="shared" si="54"/>
        <v/>
      </c>
      <c r="GH14" s="39"/>
      <c r="GI14" s="39"/>
      <c r="GJ14" s="39"/>
      <c r="GK14" s="39"/>
      <c r="GL14" s="39"/>
      <c r="GM14" s="39"/>
      <c r="GN14" s="39"/>
      <c r="GO14" s="39"/>
      <c r="GP14" s="39"/>
      <c r="GQ14" s="39"/>
      <c r="GR14" s="39"/>
      <c r="GS14" s="39"/>
      <c r="GT14" s="39"/>
      <c r="GU14" s="39"/>
      <c r="GV14" s="39"/>
      <c r="GW14" s="39"/>
      <c r="GX14" s="14" t="str">
        <f t="shared" si="55"/>
        <v/>
      </c>
      <c r="GY14" s="14" t="str">
        <f t="shared" si="56"/>
        <v/>
      </c>
      <c r="GZ14" s="14" t="str">
        <f t="shared" si="57"/>
        <v/>
      </c>
      <c r="HA14" s="14" t="str">
        <f t="shared" si="58"/>
        <v/>
      </c>
      <c r="HB14" s="14" t="str">
        <f t="shared" si="59"/>
        <v/>
      </c>
      <c r="HC14" s="40"/>
      <c r="HD14" s="40"/>
      <c r="HE14" s="40"/>
      <c r="HF14" s="40"/>
      <c r="HG14" s="40"/>
      <c r="HH14" s="40"/>
      <c r="HI14" s="40"/>
      <c r="HJ14" s="40"/>
      <c r="HK14" s="40"/>
      <c r="HL14" s="40"/>
      <c r="HM14" s="40"/>
      <c r="HN14" s="40"/>
      <c r="HO14" s="40"/>
      <c r="HP14" s="40"/>
      <c r="HQ14" s="40"/>
      <c r="HR14" s="40"/>
      <c r="HS14" s="11" t="str">
        <f t="shared" si="60"/>
        <v/>
      </c>
      <c r="HT14" s="11" t="str">
        <f t="shared" si="61"/>
        <v/>
      </c>
      <c r="HU14" s="11" t="str">
        <f t="shared" si="62"/>
        <v/>
      </c>
      <c r="HV14" s="11" t="str">
        <f t="shared" si="63"/>
        <v/>
      </c>
      <c r="HW14" s="11" t="str">
        <f t="shared" si="64"/>
        <v/>
      </c>
      <c r="HX14" s="39"/>
      <c r="HY14" s="39"/>
      <c r="HZ14" s="39"/>
      <c r="IA14" s="39"/>
      <c r="IB14" s="39"/>
      <c r="IC14" s="39"/>
      <c r="ID14" s="39"/>
      <c r="IE14" s="39"/>
      <c r="IF14" s="39"/>
      <c r="IG14" s="39"/>
      <c r="IH14" s="39"/>
      <c r="II14" s="39"/>
      <c r="IJ14" s="39"/>
      <c r="IK14" s="39"/>
      <c r="IL14" s="39"/>
      <c r="IM14" s="39"/>
      <c r="IN14" s="14" t="str">
        <f t="shared" si="65"/>
        <v/>
      </c>
      <c r="IO14" s="14" t="str">
        <f t="shared" si="66"/>
        <v/>
      </c>
      <c r="IP14" s="14" t="str">
        <f t="shared" si="67"/>
        <v/>
      </c>
      <c r="IQ14" s="14" t="str">
        <f t="shared" si="68"/>
        <v/>
      </c>
      <c r="IR14" s="14" t="str">
        <f t="shared" si="69"/>
        <v/>
      </c>
      <c r="IS14" s="40"/>
      <c r="IT14" s="40"/>
      <c r="IU14" s="40"/>
      <c r="IV14" s="40"/>
      <c r="IW14" s="40"/>
      <c r="IX14" s="40"/>
      <c r="IY14" s="40"/>
      <c r="IZ14" s="40"/>
      <c r="JA14" s="40"/>
      <c r="JB14" s="40"/>
      <c r="JC14" s="40"/>
      <c r="JD14" s="40"/>
      <c r="JE14" s="40"/>
      <c r="JF14" s="40"/>
      <c r="JG14" s="40"/>
      <c r="JH14" s="40"/>
      <c r="JI14" s="11" t="str">
        <f t="shared" si="70"/>
        <v/>
      </c>
      <c r="JJ14" s="11" t="str">
        <f t="shared" si="71"/>
        <v/>
      </c>
      <c r="JK14" s="11" t="str">
        <f t="shared" si="72"/>
        <v/>
      </c>
      <c r="JL14" s="11" t="str">
        <f t="shared" si="73"/>
        <v/>
      </c>
      <c r="JM14" s="11" t="str">
        <f t="shared" si="74"/>
        <v/>
      </c>
      <c r="JN14" s="39"/>
      <c r="JO14" s="39"/>
      <c r="JP14" s="39"/>
      <c r="JQ14" s="39"/>
      <c r="JR14" s="39"/>
      <c r="JS14" s="39"/>
      <c r="JT14" s="39"/>
      <c r="JU14" s="39"/>
      <c r="JV14" s="39"/>
      <c r="JW14" s="39"/>
      <c r="JX14" s="39"/>
      <c r="JY14" s="39"/>
      <c r="JZ14" s="39"/>
      <c r="KA14" s="39"/>
      <c r="KB14" s="39"/>
      <c r="KC14" s="39"/>
      <c r="KD14" s="14" t="str">
        <f t="shared" si="75"/>
        <v/>
      </c>
      <c r="KE14" s="14" t="str">
        <f t="shared" si="76"/>
        <v/>
      </c>
      <c r="KF14" s="14" t="str">
        <f t="shared" si="77"/>
        <v/>
      </c>
      <c r="KG14" s="14" t="str">
        <f t="shared" si="78"/>
        <v/>
      </c>
      <c r="KH14" s="14" t="str">
        <f t="shared" si="79"/>
        <v/>
      </c>
      <c r="KI14" s="40"/>
      <c r="KJ14" s="40"/>
      <c r="KK14" s="40"/>
      <c r="KL14" s="40"/>
      <c r="KM14" s="40"/>
      <c r="KN14" s="40"/>
      <c r="KO14" s="40"/>
      <c r="KP14" s="40"/>
      <c r="KQ14" s="40"/>
      <c r="KR14" s="40"/>
      <c r="KS14" s="40"/>
      <c r="KT14" s="40"/>
      <c r="KU14" s="40"/>
      <c r="KV14" s="40"/>
      <c r="KW14" s="40"/>
      <c r="KX14" s="40"/>
      <c r="KY14" s="11" t="str">
        <f t="shared" si="80"/>
        <v/>
      </c>
      <c r="KZ14" s="11" t="str">
        <f t="shared" si="81"/>
        <v/>
      </c>
      <c r="LA14" s="11" t="str">
        <f t="shared" si="82"/>
        <v/>
      </c>
      <c r="LB14" s="11" t="str">
        <f t="shared" si="83"/>
        <v/>
      </c>
      <c r="LC14" s="11" t="str">
        <f t="shared" si="84"/>
        <v/>
      </c>
      <c r="LD14" s="39"/>
      <c r="LE14" s="39"/>
      <c r="LF14" s="39"/>
      <c r="LG14" s="39"/>
      <c r="LH14" s="39"/>
      <c r="LI14" s="39"/>
      <c r="LJ14" s="39"/>
      <c r="LK14" s="39"/>
      <c r="LL14" s="39"/>
      <c r="LM14" s="39"/>
      <c r="LN14" s="39"/>
      <c r="LO14" s="39"/>
      <c r="LP14" s="39"/>
      <c r="LQ14" s="39"/>
      <c r="LR14" s="39"/>
      <c r="LS14" s="39"/>
      <c r="LT14" s="14" t="str">
        <f t="shared" si="85"/>
        <v/>
      </c>
      <c r="LU14" s="14" t="str">
        <f t="shared" si="86"/>
        <v/>
      </c>
      <c r="LV14" s="14" t="str">
        <f t="shared" si="87"/>
        <v/>
      </c>
      <c r="LW14" s="14" t="str">
        <f t="shared" si="88"/>
        <v/>
      </c>
      <c r="LX14" s="14" t="str">
        <f t="shared" si="89"/>
        <v/>
      </c>
      <c r="LY14" s="61">
        <f t="shared" si="90"/>
        <v>14.05</v>
      </c>
      <c r="LZ14" s="61">
        <f t="shared" si="91"/>
        <v>3</v>
      </c>
      <c r="MA14" s="61">
        <f t="shared" si="92"/>
        <v>0.45</v>
      </c>
      <c r="MB14" s="61">
        <f t="shared" si="93"/>
        <v>0</v>
      </c>
      <c r="MC14" s="61">
        <f t="shared" si="94"/>
        <v>13.85</v>
      </c>
      <c r="MD14" s="61">
        <f t="shared" si="95"/>
        <v>2.8</v>
      </c>
      <c r="ME14" s="61">
        <f t="shared" si="96"/>
        <v>0</v>
      </c>
      <c r="MF14" s="61">
        <f t="shared" si="97"/>
        <v>0</v>
      </c>
      <c r="MG14" s="61">
        <f t="shared" si="98"/>
        <v>14.1</v>
      </c>
      <c r="MH14" s="61">
        <f t="shared" si="99"/>
        <v>3.2</v>
      </c>
      <c r="MI14" s="61">
        <f t="shared" si="100"/>
        <v>0.45</v>
      </c>
      <c r="MJ14" s="61">
        <f t="shared" si="101"/>
        <v>0</v>
      </c>
      <c r="MK14" s="61">
        <f t="shared" si="102"/>
        <v>13.9</v>
      </c>
      <c r="ML14" s="61">
        <f t="shared" si="103"/>
        <v>3</v>
      </c>
      <c r="MM14" s="61">
        <f t="shared" si="104"/>
        <v>0</v>
      </c>
      <c r="MN14" s="61">
        <f t="shared" si="105"/>
        <v>0</v>
      </c>
      <c r="MO14" s="72" t="s">
        <v>52</v>
      </c>
      <c r="MP14" s="11">
        <f t="shared" si="106"/>
        <v>5.8</v>
      </c>
      <c r="MQ14" s="11">
        <f t="shared" si="107"/>
        <v>33.249999999999993</v>
      </c>
      <c r="MR14" s="11">
        <f t="shared" si="108"/>
        <v>6.2</v>
      </c>
      <c r="MS14" s="11">
        <f t="shared" si="109"/>
        <v>33.75</v>
      </c>
      <c r="MT14" s="11">
        <f t="shared" si="110"/>
        <v>67</v>
      </c>
    </row>
    <row r="15" spans="1:358" x14ac:dyDescent="0.2">
      <c r="A15" s="5" t="str">
        <f t="shared" si="0"/>
        <v/>
      </c>
      <c r="B15" s="8" t="s">
        <v>152</v>
      </c>
      <c r="C15" s="4" t="s">
        <v>3</v>
      </c>
      <c r="D15" s="5">
        <v>2000</v>
      </c>
      <c r="E15" s="15">
        <f t="shared" si="1"/>
        <v>66.2</v>
      </c>
      <c r="F15" s="3" t="str">
        <f t="shared" si="2"/>
        <v/>
      </c>
      <c r="G15" s="3" t="str">
        <f t="shared" si="3"/>
        <v/>
      </c>
      <c r="H15" s="116" t="str">
        <f t="shared" si="4"/>
        <v/>
      </c>
      <c r="I15" s="3" t="str">
        <f t="shared" si="5"/>
        <v/>
      </c>
      <c r="J15" s="14">
        <f t="shared" si="6"/>
        <v>66.2</v>
      </c>
      <c r="K15" s="14" t="str">
        <f t="shared" si="7"/>
        <v>2021 Elite Canada</v>
      </c>
      <c r="L15" s="14">
        <f t="shared" si="8"/>
        <v>0</v>
      </c>
      <c r="M15" s="14" t="str">
        <f t="shared" si="9"/>
        <v/>
      </c>
      <c r="N15" s="14" t="str">
        <f t="shared" si="10"/>
        <v/>
      </c>
      <c r="O15" s="24" t="str">
        <f t="shared" si="11"/>
        <v/>
      </c>
      <c r="P15" s="14" t="str">
        <f t="shared" si="12"/>
        <v/>
      </c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72"/>
      <c r="AH15" s="11" t="str">
        <f t="shared" si="13"/>
        <v/>
      </c>
      <c r="AI15" s="11" t="str">
        <f t="shared" si="14"/>
        <v/>
      </c>
      <c r="AJ15" s="11" t="str">
        <f t="shared" si="15"/>
        <v/>
      </c>
      <c r="AK15" s="11" t="str">
        <f t="shared" si="16"/>
        <v/>
      </c>
      <c r="AL15" s="11" t="str">
        <f t="shared" si="17"/>
        <v/>
      </c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73"/>
      <c r="BD15" s="14" t="str">
        <f t="shared" si="18"/>
        <v/>
      </c>
      <c r="BE15" s="14" t="str">
        <f t="shared" si="19"/>
        <v/>
      </c>
      <c r="BF15" s="14" t="str">
        <f t="shared" si="20"/>
        <v/>
      </c>
      <c r="BG15" s="14" t="str">
        <f t="shared" si="21"/>
        <v/>
      </c>
      <c r="BH15" s="14" t="str">
        <f t="shared" si="22"/>
        <v/>
      </c>
      <c r="BI15" s="61">
        <v>27.9</v>
      </c>
      <c r="BJ15" s="61">
        <v>6</v>
      </c>
      <c r="BK15" s="61">
        <v>0.9</v>
      </c>
      <c r="BL15" s="61">
        <v>0</v>
      </c>
      <c r="BM15" s="61">
        <v>27.7</v>
      </c>
      <c r="BN15" s="61">
        <v>6.4</v>
      </c>
      <c r="BO15" s="61">
        <v>0.9</v>
      </c>
      <c r="BP15" s="61">
        <v>0</v>
      </c>
      <c r="BQ15" s="61">
        <v>28.2</v>
      </c>
      <c r="BR15" s="61">
        <v>5.2</v>
      </c>
      <c r="BS15" s="61">
        <v>0</v>
      </c>
      <c r="BT15" s="61">
        <v>0</v>
      </c>
      <c r="BU15" s="61">
        <v>28</v>
      </c>
      <c r="BV15" s="61">
        <v>5.2</v>
      </c>
      <c r="BW15" s="61">
        <v>0</v>
      </c>
      <c r="BX15" s="61">
        <v>0</v>
      </c>
      <c r="BY15" s="72"/>
      <c r="BZ15" s="11">
        <f t="shared" si="23"/>
        <v>12.4</v>
      </c>
      <c r="CA15" s="11">
        <f t="shared" si="24"/>
        <v>66.2</v>
      </c>
      <c r="CB15" s="11">
        <f t="shared" si="25"/>
        <v>10.4</v>
      </c>
      <c r="CC15" s="11">
        <f t="shared" si="26"/>
        <v>66.599999999999994</v>
      </c>
      <c r="CD15" s="11">
        <f t="shared" si="27"/>
        <v>132.80000000000001</v>
      </c>
      <c r="CE15" s="23" t="str">
        <f t="shared" si="28"/>
        <v/>
      </c>
      <c r="CF15" s="23" t="str">
        <f t="shared" si="29"/>
        <v/>
      </c>
      <c r="CG15" s="40"/>
      <c r="CH15" s="40"/>
      <c r="CI15" s="40"/>
      <c r="CJ15" s="40"/>
      <c r="CK15" s="40"/>
      <c r="CL15" s="40"/>
      <c r="CM15" s="40"/>
      <c r="CN15" s="40"/>
      <c r="CO15" s="40"/>
      <c r="CP15" s="40"/>
      <c r="CQ15" s="40"/>
      <c r="CR15" s="40"/>
      <c r="CS15" s="40"/>
      <c r="CT15" s="40"/>
      <c r="CU15" s="40"/>
      <c r="CV15" s="40"/>
      <c r="CW15" s="11" t="str">
        <f t="shared" si="30"/>
        <v/>
      </c>
      <c r="CX15" s="11" t="str">
        <f t="shared" si="31"/>
        <v/>
      </c>
      <c r="CY15" s="11" t="str">
        <f t="shared" si="32"/>
        <v/>
      </c>
      <c r="CZ15" s="11" t="str">
        <f t="shared" si="33"/>
        <v/>
      </c>
      <c r="DA15" s="11" t="str">
        <f t="shared" si="34"/>
        <v/>
      </c>
      <c r="DB15" s="39"/>
      <c r="DC15" s="39"/>
      <c r="DD15" s="39"/>
      <c r="DE15" s="39"/>
      <c r="DF15" s="39"/>
      <c r="DG15" s="39"/>
      <c r="DH15" s="39"/>
      <c r="DI15" s="39"/>
      <c r="DJ15" s="39"/>
      <c r="DK15" s="39"/>
      <c r="DL15" s="39"/>
      <c r="DM15" s="39"/>
      <c r="DN15" s="39"/>
      <c r="DO15" s="39"/>
      <c r="DP15" s="39"/>
      <c r="DQ15" s="39"/>
      <c r="DR15" s="14" t="str">
        <f t="shared" si="35"/>
        <v/>
      </c>
      <c r="DS15" s="14" t="str">
        <f t="shared" si="36"/>
        <v/>
      </c>
      <c r="DT15" s="14" t="str">
        <f t="shared" si="37"/>
        <v/>
      </c>
      <c r="DU15" s="14" t="str">
        <f t="shared" si="38"/>
        <v/>
      </c>
      <c r="DV15" s="14" t="str">
        <f t="shared" si="39"/>
        <v/>
      </c>
      <c r="DW15" s="40"/>
      <c r="DX15" s="40"/>
      <c r="DY15" s="40"/>
      <c r="DZ15" s="40"/>
      <c r="EA15" s="40"/>
      <c r="EB15" s="40"/>
      <c r="EC15" s="40"/>
      <c r="ED15" s="40"/>
      <c r="EE15" s="40"/>
      <c r="EF15" s="40"/>
      <c r="EG15" s="40"/>
      <c r="EH15" s="40"/>
      <c r="EI15" s="40"/>
      <c r="EJ15" s="40"/>
      <c r="EK15" s="40"/>
      <c r="EL15" s="40"/>
      <c r="EM15" s="11" t="str">
        <f t="shared" si="40"/>
        <v/>
      </c>
      <c r="EN15" s="11" t="str">
        <f t="shared" si="41"/>
        <v/>
      </c>
      <c r="EO15" s="11" t="str">
        <f t="shared" si="42"/>
        <v/>
      </c>
      <c r="EP15" s="11" t="str">
        <f t="shared" si="43"/>
        <v/>
      </c>
      <c r="EQ15" s="11" t="str">
        <f t="shared" si="44"/>
        <v/>
      </c>
      <c r="ER15" s="39"/>
      <c r="ES15" s="39"/>
      <c r="ET15" s="39"/>
      <c r="EU15" s="39"/>
      <c r="EV15" s="39"/>
      <c r="EW15" s="39"/>
      <c r="EX15" s="39"/>
      <c r="EY15" s="39"/>
      <c r="EZ15" s="39"/>
      <c r="FA15" s="39"/>
      <c r="FB15" s="39"/>
      <c r="FC15" s="39"/>
      <c r="FD15" s="39"/>
      <c r="FE15" s="39"/>
      <c r="FF15" s="39"/>
      <c r="FG15" s="39"/>
      <c r="FH15" s="14" t="str">
        <f t="shared" si="45"/>
        <v/>
      </c>
      <c r="FI15" s="14" t="str">
        <f t="shared" si="46"/>
        <v/>
      </c>
      <c r="FJ15" s="14" t="str">
        <f t="shared" si="47"/>
        <v/>
      </c>
      <c r="FK15" s="14" t="str">
        <f t="shared" si="48"/>
        <v/>
      </c>
      <c r="FL15" s="14" t="str">
        <f t="shared" si="49"/>
        <v/>
      </c>
      <c r="FM15" s="40"/>
      <c r="FN15" s="40"/>
      <c r="FO15" s="40"/>
      <c r="FP15" s="40"/>
      <c r="FQ15" s="40"/>
      <c r="FR15" s="40"/>
      <c r="FS15" s="40"/>
      <c r="FT15" s="40"/>
      <c r="FU15" s="40"/>
      <c r="FV15" s="40"/>
      <c r="FW15" s="40"/>
      <c r="FX15" s="40"/>
      <c r="FY15" s="40"/>
      <c r="FZ15" s="40"/>
      <c r="GA15" s="40"/>
      <c r="GB15" s="40"/>
      <c r="GC15" s="11" t="str">
        <f t="shared" si="50"/>
        <v/>
      </c>
      <c r="GD15" s="11" t="str">
        <f t="shared" si="51"/>
        <v/>
      </c>
      <c r="GE15" s="11" t="str">
        <f t="shared" si="52"/>
        <v/>
      </c>
      <c r="GF15" s="11" t="str">
        <f t="shared" si="53"/>
        <v/>
      </c>
      <c r="GG15" s="11" t="str">
        <f t="shared" si="54"/>
        <v/>
      </c>
      <c r="GH15" s="39"/>
      <c r="GI15" s="39"/>
      <c r="GJ15" s="39"/>
      <c r="GK15" s="39"/>
      <c r="GL15" s="39"/>
      <c r="GM15" s="39"/>
      <c r="GN15" s="39"/>
      <c r="GO15" s="39"/>
      <c r="GP15" s="39"/>
      <c r="GQ15" s="39"/>
      <c r="GR15" s="39"/>
      <c r="GS15" s="39"/>
      <c r="GT15" s="39"/>
      <c r="GU15" s="39"/>
      <c r="GV15" s="39"/>
      <c r="GW15" s="39"/>
      <c r="GX15" s="14" t="str">
        <f t="shared" si="55"/>
        <v/>
      </c>
      <c r="GY15" s="14" t="str">
        <f t="shared" si="56"/>
        <v/>
      </c>
      <c r="GZ15" s="14" t="str">
        <f t="shared" si="57"/>
        <v/>
      </c>
      <c r="HA15" s="14" t="str">
        <f t="shared" si="58"/>
        <v/>
      </c>
      <c r="HB15" s="14" t="str">
        <f t="shared" si="59"/>
        <v/>
      </c>
      <c r="HC15" s="40"/>
      <c r="HD15" s="40"/>
      <c r="HE15" s="40"/>
      <c r="HF15" s="40"/>
      <c r="HG15" s="40"/>
      <c r="HH15" s="40"/>
      <c r="HI15" s="40"/>
      <c r="HJ15" s="40"/>
      <c r="HK15" s="40"/>
      <c r="HL15" s="40"/>
      <c r="HM15" s="40"/>
      <c r="HN15" s="40"/>
      <c r="HO15" s="40"/>
      <c r="HP15" s="40"/>
      <c r="HQ15" s="40"/>
      <c r="HR15" s="40"/>
      <c r="HS15" s="11" t="str">
        <f t="shared" si="60"/>
        <v/>
      </c>
      <c r="HT15" s="11" t="str">
        <f t="shared" si="61"/>
        <v/>
      </c>
      <c r="HU15" s="11" t="str">
        <f t="shared" si="62"/>
        <v/>
      </c>
      <c r="HV15" s="11" t="str">
        <f t="shared" si="63"/>
        <v/>
      </c>
      <c r="HW15" s="11" t="str">
        <f t="shared" si="64"/>
        <v/>
      </c>
      <c r="HX15" s="39"/>
      <c r="HY15" s="39"/>
      <c r="HZ15" s="39"/>
      <c r="IA15" s="39"/>
      <c r="IB15" s="39"/>
      <c r="IC15" s="39"/>
      <c r="ID15" s="39"/>
      <c r="IE15" s="39"/>
      <c r="IF15" s="39"/>
      <c r="IG15" s="39"/>
      <c r="IH15" s="39"/>
      <c r="II15" s="39"/>
      <c r="IJ15" s="39"/>
      <c r="IK15" s="39"/>
      <c r="IL15" s="39"/>
      <c r="IM15" s="39"/>
      <c r="IN15" s="14" t="str">
        <f t="shared" si="65"/>
        <v/>
      </c>
      <c r="IO15" s="14" t="str">
        <f t="shared" si="66"/>
        <v/>
      </c>
      <c r="IP15" s="14" t="str">
        <f t="shared" si="67"/>
        <v/>
      </c>
      <c r="IQ15" s="14" t="str">
        <f t="shared" si="68"/>
        <v/>
      </c>
      <c r="IR15" s="14" t="str">
        <f t="shared" si="69"/>
        <v/>
      </c>
      <c r="IS15" s="40"/>
      <c r="IT15" s="40"/>
      <c r="IU15" s="40"/>
      <c r="IV15" s="40"/>
      <c r="IW15" s="40"/>
      <c r="IX15" s="40"/>
      <c r="IY15" s="40"/>
      <c r="IZ15" s="40"/>
      <c r="JA15" s="40"/>
      <c r="JB15" s="40"/>
      <c r="JC15" s="40"/>
      <c r="JD15" s="40"/>
      <c r="JE15" s="40"/>
      <c r="JF15" s="40"/>
      <c r="JG15" s="40"/>
      <c r="JH15" s="40"/>
      <c r="JI15" s="11" t="str">
        <f t="shared" si="70"/>
        <v/>
      </c>
      <c r="JJ15" s="11" t="str">
        <f t="shared" si="71"/>
        <v/>
      </c>
      <c r="JK15" s="11" t="str">
        <f t="shared" si="72"/>
        <v/>
      </c>
      <c r="JL15" s="11" t="str">
        <f t="shared" si="73"/>
        <v/>
      </c>
      <c r="JM15" s="11" t="str">
        <f t="shared" si="74"/>
        <v/>
      </c>
      <c r="JN15" s="39"/>
      <c r="JO15" s="39"/>
      <c r="JP15" s="39"/>
      <c r="JQ15" s="39"/>
      <c r="JR15" s="39"/>
      <c r="JS15" s="39"/>
      <c r="JT15" s="39"/>
      <c r="JU15" s="39"/>
      <c r="JV15" s="39"/>
      <c r="JW15" s="39"/>
      <c r="JX15" s="39"/>
      <c r="JY15" s="39"/>
      <c r="JZ15" s="39"/>
      <c r="KA15" s="39"/>
      <c r="KB15" s="39"/>
      <c r="KC15" s="39"/>
      <c r="KD15" s="14" t="str">
        <f t="shared" si="75"/>
        <v/>
      </c>
      <c r="KE15" s="14" t="str">
        <f t="shared" si="76"/>
        <v/>
      </c>
      <c r="KF15" s="14" t="str">
        <f t="shared" si="77"/>
        <v/>
      </c>
      <c r="KG15" s="14" t="str">
        <f t="shared" si="78"/>
        <v/>
      </c>
      <c r="KH15" s="14" t="str">
        <f t="shared" si="79"/>
        <v/>
      </c>
      <c r="KI15" s="40"/>
      <c r="KJ15" s="40"/>
      <c r="KK15" s="40"/>
      <c r="KL15" s="40"/>
      <c r="KM15" s="40"/>
      <c r="KN15" s="40"/>
      <c r="KO15" s="40"/>
      <c r="KP15" s="40"/>
      <c r="KQ15" s="40"/>
      <c r="KR15" s="40"/>
      <c r="KS15" s="40"/>
      <c r="KT15" s="40"/>
      <c r="KU15" s="40"/>
      <c r="KV15" s="40"/>
      <c r="KW15" s="40"/>
      <c r="KX15" s="40"/>
      <c r="KY15" s="11" t="str">
        <f t="shared" si="80"/>
        <v/>
      </c>
      <c r="KZ15" s="11" t="str">
        <f t="shared" si="81"/>
        <v/>
      </c>
      <c r="LA15" s="11" t="str">
        <f t="shared" si="82"/>
        <v/>
      </c>
      <c r="LB15" s="11" t="str">
        <f t="shared" si="83"/>
        <v/>
      </c>
      <c r="LC15" s="11" t="str">
        <f t="shared" si="84"/>
        <v/>
      </c>
      <c r="LD15" s="39"/>
      <c r="LE15" s="39"/>
      <c r="LF15" s="39"/>
      <c r="LG15" s="39"/>
      <c r="LH15" s="39"/>
      <c r="LI15" s="39"/>
      <c r="LJ15" s="39"/>
      <c r="LK15" s="39"/>
      <c r="LL15" s="39"/>
      <c r="LM15" s="39"/>
      <c r="LN15" s="39"/>
      <c r="LO15" s="39"/>
      <c r="LP15" s="39"/>
      <c r="LQ15" s="39"/>
      <c r="LR15" s="39"/>
      <c r="LS15" s="39"/>
      <c r="LT15" s="14" t="str">
        <f t="shared" si="85"/>
        <v/>
      </c>
      <c r="LU15" s="14" t="str">
        <f t="shared" si="86"/>
        <v/>
      </c>
      <c r="LV15" s="14" t="str">
        <f t="shared" si="87"/>
        <v/>
      </c>
      <c r="LW15" s="14" t="str">
        <f t="shared" si="88"/>
        <v/>
      </c>
      <c r="LX15" s="14" t="str">
        <f t="shared" si="89"/>
        <v/>
      </c>
      <c r="LY15" s="61">
        <f t="shared" si="90"/>
        <v>13.95</v>
      </c>
      <c r="LZ15" s="61">
        <f t="shared" si="91"/>
        <v>3</v>
      </c>
      <c r="MA15" s="61">
        <f t="shared" si="92"/>
        <v>0.45</v>
      </c>
      <c r="MB15" s="61">
        <f t="shared" si="93"/>
        <v>0</v>
      </c>
      <c r="MC15" s="61">
        <f t="shared" si="94"/>
        <v>13.85</v>
      </c>
      <c r="MD15" s="61">
        <f t="shared" si="95"/>
        <v>3.2</v>
      </c>
      <c r="ME15" s="61">
        <f t="shared" si="96"/>
        <v>0.45</v>
      </c>
      <c r="MF15" s="61">
        <f t="shared" si="97"/>
        <v>0</v>
      </c>
      <c r="MG15" s="61">
        <f t="shared" si="98"/>
        <v>14.1</v>
      </c>
      <c r="MH15" s="61">
        <f t="shared" si="99"/>
        <v>2.6</v>
      </c>
      <c r="MI15" s="61">
        <f t="shared" si="100"/>
        <v>0</v>
      </c>
      <c r="MJ15" s="61">
        <f t="shared" si="101"/>
        <v>0</v>
      </c>
      <c r="MK15" s="61">
        <f t="shared" si="102"/>
        <v>14</v>
      </c>
      <c r="ML15" s="61">
        <f t="shared" si="103"/>
        <v>2.6</v>
      </c>
      <c r="MM15" s="61">
        <f t="shared" si="104"/>
        <v>0</v>
      </c>
      <c r="MN15" s="61">
        <f t="shared" si="105"/>
        <v>0</v>
      </c>
      <c r="MO15" s="72" t="s">
        <v>52</v>
      </c>
      <c r="MP15" s="11">
        <f t="shared" si="106"/>
        <v>6.2</v>
      </c>
      <c r="MQ15" s="11">
        <f t="shared" si="107"/>
        <v>33.1</v>
      </c>
      <c r="MR15" s="11">
        <f t="shared" si="108"/>
        <v>5.2</v>
      </c>
      <c r="MS15" s="11">
        <f t="shared" si="109"/>
        <v>33.299999999999997</v>
      </c>
      <c r="MT15" s="11">
        <f t="shared" si="110"/>
        <v>66.400000000000006</v>
      </c>
    </row>
    <row r="16" spans="1:358" x14ac:dyDescent="0.2">
      <c r="A16" s="5" t="str">
        <f t="shared" si="0"/>
        <v/>
      </c>
      <c r="B16" s="8" t="s">
        <v>87</v>
      </c>
      <c r="C16" s="4" t="s">
        <v>3</v>
      </c>
      <c r="D16" s="5">
        <v>2004</v>
      </c>
      <c r="E16" s="15">
        <f t="shared" si="1"/>
        <v>65.8</v>
      </c>
      <c r="F16" s="3" t="str">
        <f t="shared" si="2"/>
        <v/>
      </c>
      <c r="G16" s="3" t="str">
        <f t="shared" si="3"/>
        <v/>
      </c>
      <c r="H16" s="116" t="str">
        <f t="shared" si="4"/>
        <v/>
      </c>
      <c r="I16" s="3" t="str">
        <f t="shared" si="5"/>
        <v/>
      </c>
      <c r="J16" s="14">
        <f t="shared" si="6"/>
        <v>65.8</v>
      </c>
      <c r="K16" s="14" t="str">
        <f t="shared" si="7"/>
        <v>2021 Elite Canada</v>
      </c>
      <c r="L16" s="14">
        <f t="shared" si="8"/>
        <v>0</v>
      </c>
      <c r="M16" s="14" t="str">
        <f t="shared" si="9"/>
        <v/>
      </c>
      <c r="N16" s="14" t="str">
        <f t="shared" si="10"/>
        <v/>
      </c>
      <c r="O16" s="24" t="str">
        <f t="shared" si="11"/>
        <v/>
      </c>
      <c r="P16" s="14" t="str">
        <f t="shared" si="12"/>
        <v/>
      </c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72"/>
      <c r="AH16" s="11" t="str">
        <f t="shared" si="13"/>
        <v/>
      </c>
      <c r="AI16" s="11" t="str">
        <f t="shared" si="14"/>
        <v/>
      </c>
      <c r="AJ16" s="11" t="str">
        <f t="shared" si="15"/>
        <v/>
      </c>
      <c r="AK16" s="11" t="str">
        <f t="shared" si="16"/>
        <v/>
      </c>
      <c r="AL16" s="11" t="str">
        <f t="shared" si="17"/>
        <v/>
      </c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73"/>
      <c r="BD16" s="14" t="str">
        <f t="shared" si="18"/>
        <v/>
      </c>
      <c r="BE16" s="14" t="str">
        <f t="shared" si="19"/>
        <v/>
      </c>
      <c r="BF16" s="14" t="str">
        <f t="shared" si="20"/>
        <v/>
      </c>
      <c r="BG16" s="14" t="str">
        <f t="shared" si="21"/>
        <v/>
      </c>
      <c r="BH16" s="14" t="str">
        <f t="shared" si="22"/>
        <v/>
      </c>
      <c r="BI16" s="61">
        <v>28.4</v>
      </c>
      <c r="BJ16" s="61">
        <v>4.8</v>
      </c>
      <c r="BK16" s="61">
        <v>0</v>
      </c>
      <c r="BL16" s="61">
        <v>0</v>
      </c>
      <c r="BM16" s="61">
        <v>27.8</v>
      </c>
      <c r="BN16" s="61">
        <v>4.8</v>
      </c>
      <c r="BO16" s="61">
        <v>0</v>
      </c>
      <c r="BP16" s="61">
        <v>0</v>
      </c>
      <c r="BQ16" s="61"/>
      <c r="BR16" s="61"/>
      <c r="BS16" s="61"/>
      <c r="BT16" s="61"/>
      <c r="BU16" s="61"/>
      <c r="BV16" s="61"/>
      <c r="BW16" s="61"/>
      <c r="BX16" s="61"/>
      <c r="BY16" s="72"/>
      <c r="BZ16" s="11">
        <f t="shared" si="23"/>
        <v>9.6</v>
      </c>
      <c r="CA16" s="11">
        <f t="shared" si="24"/>
        <v>65.8</v>
      </c>
      <c r="CB16" s="11" t="str">
        <f t="shared" si="25"/>
        <v/>
      </c>
      <c r="CC16" s="11" t="str">
        <f t="shared" si="26"/>
        <v/>
      </c>
      <c r="CD16" s="11">
        <f t="shared" si="27"/>
        <v>65.8</v>
      </c>
      <c r="CE16" s="23" t="str">
        <f t="shared" si="28"/>
        <v/>
      </c>
      <c r="CF16" s="23" t="str">
        <f t="shared" si="29"/>
        <v/>
      </c>
      <c r="CG16" s="40"/>
      <c r="CH16" s="40"/>
      <c r="CI16" s="40"/>
      <c r="CJ16" s="40"/>
      <c r="CK16" s="40"/>
      <c r="CL16" s="40"/>
      <c r="CM16" s="40"/>
      <c r="CN16" s="40"/>
      <c r="CO16" s="40"/>
      <c r="CP16" s="40"/>
      <c r="CQ16" s="40"/>
      <c r="CR16" s="40"/>
      <c r="CS16" s="40"/>
      <c r="CT16" s="40"/>
      <c r="CU16" s="40"/>
      <c r="CV16" s="40"/>
      <c r="CW16" s="11" t="str">
        <f t="shared" si="30"/>
        <v/>
      </c>
      <c r="CX16" s="11" t="str">
        <f t="shared" si="31"/>
        <v/>
      </c>
      <c r="CY16" s="11" t="str">
        <f t="shared" si="32"/>
        <v/>
      </c>
      <c r="CZ16" s="11" t="str">
        <f t="shared" si="33"/>
        <v/>
      </c>
      <c r="DA16" s="11" t="str">
        <f t="shared" si="34"/>
        <v/>
      </c>
      <c r="DB16" s="39"/>
      <c r="DC16" s="39"/>
      <c r="DD16" s="39"/>
      <c r="DE16" s="39"/>
      <c r="DF16" s="39"/>
      <c r="DG16" s="39"/>
      <c r="DH16" s="39"/>
      <c r="DI16" s="39"/>
      <c r="DJ16" s="39"/>
      <c r="DK16" s="39"/>
      <c r="DL16" s="39"/>
      <c r="DM16" s="39"/>
      <c r="DN16" s="39"/>
      <c r="DO16" s="39"/>
      <c r="DP16" s="39"/>
      <c r="DQ16" s="39"/>
      <c r="DR16" s="14" t="str">
        <f t="shared" si="35"/>
        <v/>
      </c>
      <c r="DS16" s="14" t="str">
        <f t="shared" si="36"/>
        <v/>
      </c>
      <c r="DT16" s="14" t="str">
        <f t="shared" si="37"/>
        <v/>
      </c>
      <c r="DU16" s="14" t="str">
        <f t="shared" si="38"/>
        <v/>
      </c>
      <c r="DV16" s="14" t="str">
        <f t="shared" si="39"/>
        <v/>
      </c>
      <c r="DW16" s="40"/>
      <c r="DX16" s="40"/>
      <c r="DY16" s="40"/>
      <c r="DZ16" s="40"/>
      <c r="EA16" s="40"/>
      <c r="EB16" s="40"/>
      <c r="EC16" s="40"/>
      <c r="ED16" s="40"/>
      <c r="EE16" s="40"/>
      <c r="EF16" s="40"/>
      <c r="EG16" s="40"/>
      <c r="EH16" s="40"/>
      <c r="EI16" s="40"/>
      <c r="EJ16" s="40"/>
      <c r="EK16" s="40"/>
      <c r="EL16" s="40"/>
      <c r="EM16" s="11" t="str">
        <f t="shared" si="40"/>
        <v/>
      </c>
      <c r="EN16" s="11" t="str">
        <f t="shared" si="41"/>
        <v/>
      </c>
      <c r="EO16" s="11" t="str">
        <f t="shared" si="42"/>
        <v/>
      </c>
      <c r="EP16" s="11" t="str">
        <f t="shared" si="43"/>
        <v/>
      </c>
      <c r="EQ16" s="11" t="str">
        <f t="shared" si="44"/>
        <v/>
      </c>
      <c r="ER16" s="39"/>
      <c r="ES16" s="39"/>
      <c r="ET16" s="39"/>
      <c r="EU16" s="39"/>
      <c r="EV16" s="39"/>
      <c r="EW16" s="39"/>
      <c r="EX16" s="39"/>
      <c r="EY16" s="39"/>
      <c r="EZ16" s="39"/>
      <c r="FA16" s="39"/>
      <c r="FB16" s="39"/>
      <c r="FC16" s="39"/>
      <c r="FD16" s="39"/>
      <c r="FE16" s="39"/>
      <c r="FF16" s="39"/>
      <c r="FG16" s="39"/>
      <c r="FH16" s="14" t="str">
        <f t="shared" si="45"/>
        <v/>
      </c>
      <c r="FI16" s="14" t="str">
        <f t="shared" si="46"/>
        <v/>
      </c>
      <c r="FJ16" s="14" t="str">
        <f t="shared" si="47"/>
        <v/>
      </c>
      <c r="FK16" s="14" t="str">
        <f t="shared" si="48"/>
        <v/>
      </c>
      <c r="FL16" s="14" t="str">
        <f t="shared" si="49"/>
        <v/>
      </c>
      <c r="FM16" s="40"/>
      <c r="FN16" s="40"/>
      <c r="FO16" s="40"/>
      <c r="FP16" s="40"/>
      <c r="FQ16" s="40"/>
      <c r="FR16" s="40"/>
      <c r="FS16" s="40"/>
      <c r="FT16" s="40"/>
      <c r="FU16" s="40"/>
      <c r="FV16" s="40"/>
      <c r="FW16" s="40"/>
      <c r="FX16" s="40"/>
      <c r="FY16" s="40"/>
      <c r="FZ16" s="40"/>
      <c r="GA16" s="40"/>
      <c r="GB16" s="40"/>
      <c r="GC16" s="11" t="str">
        <f t="shared" si="50"/>
        <v/>
      </c>
      <c r="GD16" s="11" t="str">
        <f t="shared" si="51"/>
        <v/>
      </c>
      <c r="GE16" s="11" t="str">
        <f t="shared" si="52"/>
        <v/>
      </c>
      <c r="GF16" s="11" t="str">
        <f t="shared" si="53"/>
        <v/>
      </c>
      <c r="GG16" s="11" t="str">
        <f t="shared" si="54"/>
        <v/>
      </c>
      <c r="GH16" s="39"/>
      <c r="GI16" s="39"/>
      <c r="GJ16" s="39"/>
      <c r="GK16" s="39"/>
      <c r="GL16" s="39"/>
      <c r="GM16" s="39"/>
      <c r="GN16" s="39"/>
      <c r="GO16" s="39"/>
      <c r="GP16" s="39"/>
      <c r="GQ16" s="39"/>
      <c r="GR16" s="39"/>
      <c r="GS16" s="39"/>
      <c r="GT16" s="39"/>
      <c r="GU16" s="39"/>
      <c r="GV16" s="39"/>
      <c r="GW16" s="39"/>
      <c r="GX16" s="14" t="str">
        <f t="shared" si="55"/>
        <v/>
      </c>
      <c r="GY16" s="14" t="str">
        <f t="shared" si="56"/>
        <v/>
      </c>
      <c r="GZ16" s="14" t="str">
        <f t="shared" si="57"/>
        <v/>
      </c>
      <c r="HA16" s="14" t="str">
        <f t="shared" si="58"/>
        <v/>
      </c>
      <c r="HB16" s="14" t="str">
        <f t="shared" si="59"/>
        <v/>
      </c>
      <c r="HC16" s="40"/>
      <c r="HD16" s="40"/>
      <c r="HE16" s="40"/>
      <c r="HF16" s="40"/>
      <c r="HG16" s="40"/>
      <c r="HH16" s="40"/>
      <c r="HI16" s="40"/>
      <c r="HJ16" s="40"/>
      <c r="HK16" s="40"/>
      <c r="HL16" s="40"/>
      <c r="HM16" s="40"/>
      <c r="HN16" s="40"/>
      <c r="HO16" s="40"/>
      <c r="HP16" s="40"/>
      <c r="HQ16" s="40"/>
      <c r="HR16" s="40"/>
      <c r="HS16" s="11" t="str">
        <f t="shared" si="60"/>
        <v/>
      </c>
      <c r="HT16" s="11" t="str">
        <f t="shared" si="61"/>
        <v/>
      </c>
      <c r="HU16" s="11" t="str">
        <f t="shared" si="62"/>
        <v/>
      </c>
      <c r="HV16" s="11" t="str">
        <f t="shared" si="63"/>
        <v/>
      </c>
      <c r="HW16" s="11" t="str">
        <f t="shared" si="64"/>
        <v/>
      </c>
      <c r="HX16" s="39"/>
      <c r="HY16" s="39"/>
      <c r="HZ16" s="39"/>
      <c r="IA16" s="39"/>
      <c r="IB16" s="39"/>
      <c r="IC16" s="39"/>
      <c r="ID16" s="39"/>
      <c r="IE16" s="39"/>
      <c r="IF16" s="39"/>
      <c r="IG16" s="39"/>
      <c r="IH16" s="39"/>
      <c r="II16" s="39"/>
      <c r="IJ16" s="39"/>
      <c r="IK16" s="39"/>
      <c r="IL16" s="39"/>
      <c r="IM16" s="39"/>
      <c r="IN16" s="14" t="str">
        <f t="shared" si="65"/>
        <v/>
      </c>
      <c r="IO16" s="14" t="str">
        <f t="shared" si="66"/>
        <v/>
      </c>
      <c r="IP16" s="14" t="str">
        <f t="shared" si="67"/>
        <v/>
      </c>
      <c r="IQ16" s="14" t="str">
        <f t="shared" si="68"/>
        <v/>
      </c>
      <c r="IR16" s="14" t="str">
        <f t="shared" si="69"/>
        <v/>
      </c>
      <c r="IS16" s="40"/>
      <c r="IT16" s="40"/>
      <c r="IU16" s="40"/>
      <c r="IV16" s="40"/>
      <c r="IW16" s="40"/>
      <c r="IX16" s="40"/>
      <c r="IY16" s="40"/>
      <c r="IZ16" s="40"/>
      <c r="JA16" s="40"/>
      <c r="JB16" s="40"/>
      <c r="JC16" s="40"/>
      <c r="JD16" s="40"/>
      <c r="JE16" s="40"/>
      <c r="JF16" s="40"/>
      <c r="JG16" s="40"/>
      <c r="JH16" s="40"/>
      <c r="JI16" s="11" t="str">
        <f t="shared" si="70"/>
        <v/>
      </c>
      <c r="JJ16" s="11" t="str">
        <f t="shared" si="71"/>
        <v/>
      </c>
      <c r="JK16" s="11" t="str">
        <f t="shared" si="72"/>
        <v/>
      </c>
      <c r="JL16" s="11" t="str">
        <f t="shared" si="73"/>
        <v/>
      </c>
      <c r="JM16" s="11" t="str">
        <f t="shared" si="74"/>
        <v/>
      </c>
      <c r="JN16" s="39"/>
      <c r="JO16" s="39"/>
      <c r="JP16" s="39"/>
      <c r="JQ16" s="39"/>
      <c r="JR16" s="39"/>
      <c r="JS16" s="39"/>
      <c r="JT16" s="39"/>
      <c r="JU16" s="39"/>
      <c r="JV16" s="39"/>
      <c r="JW16" s="39"/>
      <c r="JX16" s="39"/>
      <c r="JY16" s="39"/>
      <c r="JZ16" s="39"/>
      <c r="KA16" s="39"/>
      <c r="KB16" s="39"/>
      <c r="KC16" s="39"/>
      <c r="KD16" s="14" t="str">
        <f t="shared" si="75"/>
        <v/>
      </c>
      <c r="KE16" s="14" t="str">
        <f t="shared" si="76"/>
        <v/>
      </c>
      <c r="KF16" s="14" t="str">
        <f t="shared" si="77"/>
        <v/>
      </c>
      <c r="KG16" s="14" t="str">
        <f t="shared" si="78"/>
        <v/>
      </c>
      <c r="KH16" s="14" t="str">
        <f t="shared" si="79"/>
        <v/>
      </c>
      <c r="KI16" s="40"/>
      <c r="KJ16" s="40"/>
      <c r="KK16" s="40"/>
      <c r="KL16" s="40"/>
      <c r="KM16" s="40"/>
      <c r="KN16" s="40"/>
      <c r="KO16" s="40"/>
      <c r="KP16" s="40"/>
      <c r="KQ16" s="40"/>
      <c r="KR16" s="40"/>
      <c r="KS16" s="40"/>
      <c r="KT16" s="40"/>
      <c r="KU16" s="40"/>
      <c r="KV16" s="40"/>
      <c r="KW16" s="40"/>
      <c r="KX16" s="40"/>
      <c r="KY16" s="11" t="str">
        <f t="shared" si="80"/>
        <v/>
      </c>
      <c r="KZ16" s="11" t="str">
        <f t="shared" si="81"/>
        <v/>
      </c>
      <c r="LA16" s="11" t="str">
        <f t="shared" si="82"/>
        <v/>
      </c>
      <c r="LB16" s="11" t="str">
        <f t="shared" si="83"/>
        <v/>
      </c>
      <c r="LC16" s="11" t="str">
        <f t="shared" si="84"/>
        <v/>
      </c>
      <c r="LD16" s="39"/>
      <c r="LE16" s="39"/>
      <c r="LF16" s="39"/>
      <c r="LG16" s="39"/>
      <c r="LH16" s="39"/>
      <c r="LI16" s="39"/>
      <c r="LJ16" s="39"/>
      <c r="LK16" s="39"/>
      <c r="LL16" s="39"/>
      <c r="LM16" s="39"/>
      <c r="LN16" s="39"/>
      <c r="LO16" s="39"/>
      <c r="LP16" s="39"/>
      <c r="LQ16" s="39"/>
      <c r="LR16" s="39"/>
      <c r="LS16" s="39"/>
      <c r="LT16" s="14" t="str">
        <f t="shared" si="85"/>
        <v/>
      </c>
      <c r="LU16" s="14" t="str">
        <f t="shared" si="86"/>
        <v/>
      </c>
      <c r="LV16" s="14" t="str">
        <f t="shared" si="87"/>
        <v/>
      </c>
      <c r="LW16" s="14" t="str">
        <f t="shared" si="88"/>
        <v/>
      </c>
      <c r="LX16" s="14" t="str">
        <f t="shared" si="89"/>
        <v/>
      </c>
      <c r="LY16" s="61">
        <f t="shared" si="90"/>
        <v>14.2</v>
      </c>
      <c r="LZ16" s="61">
        <f t="shared" si="91"/>
        <v>2.4</v>
      </c>
      <c r="MA16" s="61">
        <f t="shared" si="92"/>
        <v>0</v>
      </c>
      <c r="MB16" s="61">
        <f t="shared" si="93"/>
        <v>0</v>
      </c>
      <c r="MC16" s="61">
        <f t="shared" si="94"/>
        <v>13.9</v>
      </c>
      <c r="MD16" s="61">
        <f t="shared" si="95"/>
        <v>2.4</v>
      </c>
      <c r="ME16" s="61">
        <f t="shared" si="96"/>
        <v>0</v>
      </c>
      <c r="MF16" s="61">
        <f t="shared" si="97"/>
        <v>0</v>
      </c>
      <c r="MG16" s="61">
        <f t="shared" si="98"/>
        <v>0</v>
      </c>
      <c r="MH16" s="61">
        <f t="shared" si="99"/>
        <v>0</v>
      </c>
      <c r="MI16" s="61">
        <f t="shared" si="100"/>
        <v>0</v>
      </c>
      <c r="MJ16" s="61">
        <f t="shared" si="101"/>
        <v>0</v>
      </c>
      <c r="MK16" s="61">
        <f t="shared" si="102"/>
        <v>0</v>
      </c>
      <c r="ML16" s="61">
        <f t="shared" si="103"/>
        <v>0</v>
      </c>
      <c r="MM16" s="61">
        <f t="shared" si="104"/>
        <v>0</v>
      </c>
      <c r="MN16" s="61">
        <f t="shared" si="105"/>
        <v>0</v>
      </c>
      <c r="MO16" s="72" t="s">
        <v>52</v>
      </c>
      <c r="MP16" s="11">
        <f t="shared" si="106"/>
        <v>4.8</v>
      </c>
      <c r="MQ16" s="11">
        <f t="shared" si="107"/>
        <v>32.9</v>
      </c>
      <c r="MR16" s="11" t="str">
        <f t="shared" si="108"/>
        <v/>
      </c>
      <c r="MS16" s="11" t="str">
        <f t="shared" si="109"/>
        <v/>
      </c>
      <c r="MT16" s="11">
        <f t="shared" si="110"/>
        <v>32.9</v>
      </c>
    </row>
    <row r="17" spans="1:358" x14ac:dyDescent="0.2">
      <c r="A17" s="5" t="str">
        <f t="shared" si="0"/>
        <v/>
      </c>
      <c r="B17" s="8" t="s">
        <v>121</v>
      </c>
      <c r="C17" s="4" t="s">
        <v>115</v>
      </c>
      <c r="D17" s="5">
        <v>2000</v>
      </c>
      <c r="E17" s="15">
        <f t="shared" si="1"/>
        <v>64.3</v>
      </c>
      <c r="F17" s="3" t="str">
        <f t="shared" si="2"/>
        <v/>
      </c>
      <c r="G17" s="3" t="str">
        <f t="shared" si="3"/>
        <v/>
      </c>
      <c r="H17" s="116" t="str">
        <f t="shared" si="4"/>
        <v/>
      </c>
      <c r="I17" s="3" t="str">
        <f t="shared" si="5"/>
        <v/>
      </c>
      <c r="J17" s="14">
        <f t="shared" si="6"/>
        <v>64.3</v>
      </c>
      <c r="K17" s="14" t="str">
        <f t="shared" si="7"/>
        <v>2021 2nd Virtual Technical Trial</v>
      </c>
      <c r="L17" s="14">
        <f t="shared" si="8"/>
        <v>0</v>
      </c>
      <c r="M17" s="14" t="str">
        <f t="shared" si="9"/>
        <v/>
      </c>
      <c r="N17" s="14" t="str">
        <f t="shared" si="10"/>
        <v/>
      </c>
      <c r="O17" s="24" t="str">
        <f t="shared" si="11"/>
        <v/>
      </c>
      <c r="P17" s="14" t="str">
        <f t="shared" si="12"/>
        <v/>
      </c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72"/>
      <c r="AH17" s="11" t="str">
        <f t="shared" si="13"/>
        <v/>
      </c>
      <c r="AI17" s="11" t="str">
        <f t="shared" si="14"/>
        <v/>
      </c>
      <c r="AJ17" s="11" t="str">
        <f t="shared" si="15"/>
        <v/>
      </c>
      <c r="AK17" s="11" t="str">
        <f t="shared" si="16"/>
        <v/>
      </c>
      <c r="AL17" s="11" t="str">
        <f t="shared" si="17"/>
        <v/>
      </c>
      <c r="AM17" s="36">
        <v>27</v>
      </c>
      <c r="AN17" s="36">
        <v>5.6</v>
      </c>
      <c r="AO17" s="36">
        <v>1.9</v>
      </c>
      <c r="AP17" s="36">
        <v>0</v>
      </c>
      <c r="AQ17" s="36">
        <v>27.9</v>
      </c>
      <c r="AR17" s="36">
        <v>6</v>
      </c>
      <c r="AS17" s="36">
        <v>0.3</v>
      </c>
      <c r="AT17" s="36">
        <v>0</v>
      </c>
      <c r="AU17" s="36">
        <v>28.4</v>
      </c>
      <c r="AV17" s="36">
        <v>7.2</v>
      </c>
      <c r="AW17" s="36">
        <v>0.3</v>
      </c>
      <c r="AX17" s="36">
        <v>0</v>
      </c>
      <c r="AY17" s="36">
        <v>24.5</v>
      </c>
      <c r="AZ17" s="36">
        <v>7.2</v>
      </c>
      <c r="BA17" s="36">
        <v>1.2</v>
      </c>
      <c r="BB17" s="36">
        <v>0</v>
      </c>
      <c r="BC17" s="73"/>
      <c r="BD17" s="14">
        <f t="shared" si="18"/>
        <v>11.6</v>
      </c>
      <c r="BE17" s="14">
        <f t="shared" si="19"/>
        <v>64.3</v>
      </c>
      <c r="BF17" s="14">
        <f t="shared" si="20"/>
        <v>14.4</v>
      </c>
      <c r="BG17" s="14">
        <f t="shared" si="21"/>
        <v>65.8</v>
      </c>
      <c r="BH17" s="14">
        <f t="shared" si="22"/>
        <v>130.1</v>
      </c>
      <c r="BI17" s="61"/>
      <c r="BJ17" s="61"/>
      <c r="BK17" s="61"/>
      <c r="BL17" s="61"/>
      <c r="BM17" s="61"/>
      <c r="BN17" s="61"/>
      <c r="BO17" s="61"/>
      <c r="BP17" s="61"/>
      <c r="BQ17" s="61"/>
      <c r="BR17" s="61"/>
      <c r="BS17" s="61"/>
      <c r="BT17" s="61"/>
      <c r="BU17" s="61"/>
      <c r="BV17" s="61"/>
      <c r="BW17" s="61"/>
      <c r="BX17" s="61"/>
      <c r="BY17" s="72"/>
      <c r="BZ17" s="11" t="str">
        <f t="shared" si="23"/>
        <v/>
      </c>
      <c r="CA17" s="11" t="str">
        <f t="shared" si="24"/>
        <v/>
      </c>
      <c r="CB17" s="11" t="str">
        <f t="shared" si="25"/>
        <v/>
      </c>
      <c r="CC17" s="11" t="str">
        <f t="shared" si="26"/>
        <v/>
      </c>
      <c r="CD17" s="11" t="str">
        <f t="shared" si="27"/>
        <v/>
      </c>
      <c r="CE17" s="23" t="str">
        <f t="shared" si="28"/>
        <v/>
      </c>
      <c r="CF17" s="23" t="str">
        <f t="shared" si="29"/>
        <v/>
      </c>
      <c r="CG17" s="40"/>
      <c r="CH17" s="40"/>
      <c r="CI17" s="40"/>
      <c r="CJ17" s="40"/>
      <c r="CK17" s="40"/>
      <c r="CL17" s="40"/>
      <c r="CM17" s="40"/>
      <c r="CN17" s="40"/>
      <c r="CO17" s="40"/>
      <c r="CP17" s="40"/>
      <c r="CQ17" s="40"/>
      <c r="CR17" s="40"/>
      <c r="CS17" s="40"/>
      <c r="CT17" s="40"/>
      <c r="CU17" s="40"/>
      <c r="CV17" s="40"/>
      <c r="CW17" s="11" t="str">
        <f t="shared" si="30"/>
        <v/>
      </c>
      <c r="CX17" s="11" t="str">
        <f t="shared" si="31"/>
        <v/>
      </c>
      <c r="CY17" s="11" t="str">
        <f t="shared" si="32"/>
        <v/>
      </c>
      <c r="CZ17" s="11" t="str">
        <f t="shared" si="33"/>
        <v/>
      </c>
      <c r="DA17" s="11" t="str">
        <f t="shared" si="34"/>
        <v/>
      </c>
      <c r="DB17" s="39"/>
      <c r="DC17" s="39"/>
      <c r="DD17" s="39"/>
      <c r="DE17" s="39"/>
      <c r="DF17" s="39"/>
      <c r="DG17" s="39"/>
      <c r="DH17" s="39"/>
      <c r="DI17" s="39"/>
      <c r="DJ17" s="39"/>
      <c r="DK17" s="39"/>
      <c r="DL17" s="39"/>
      <c r="DM17" s="39"/>
      <c r="DN17" s="39"/>
      <c r="DO17" s="39"/>
      <c r="DP17" s="39"/>
      <c r="DQ17" s="39"/>
      <c r="DR17" s="14" t="str">
        <f t="shared" si="35"/>
        <v/>
      </c>
      <c r="DS17" s="14" t="str">
        <f t="shared" si="36"/>
        <v/>
      </c>
      <c r="DT17" s="14" t="str">
        <f t="shared" si="37"/>
        <v/>
      </c>
      <c r="DU17" s="14" t="str">
        <f t="shared" si="38"/>
        <v/>
      </c>
      <c r="DV17" s="14" t="str">
        <f t="shared" si="39"/>
        <v/>
      </c>
      <c r="DW17" s="40"/>
      <c r="DX17" s="40"/>
      <c r="DY17" s="40"/>
      <c r="DZ17" s="40"/>
      <c r="EA17" s="40"/>
      <c r="EB17" s="40"/>
      <c r="EC17" s="40"/>
      <c r="ED17" s="40"/>
      <c r="EE17" s="40"/>
      <c r="EF17" s="40"/>
      <c r="EG17" s="40"/>
      <c r="EH17" s="40"/>
      <c r="EI17" s="40"/>
      <c r="EJ17" s="40"/>
      <c r="EK17" s="40"/>
      <c r="EL17" s="40"/>
      <c r="EM17" s="11" t="str">
        <f t="shared" si="40"/>
        <v/>
      </c>
      <c r="EN17" s="11" t="str">
        <f t="shared" si="41"/>
        <v/>
      </c>
      <c r="EO17" s="11" t="str">
        <f t="shared" si="42"/>
        <v/>
      </c>
      <c r="EP17" s="11" t="str">
        <f t="shared" si="43"/>
        <v/>
      </c>
      <c r="EQ17" s="11" t="str">
        <f t="shared" si="44"/>
        <v/>
      </c>
      <c r="ER17" s="39"/>
      <c r="ES17" s="39"/>
      <c r="ET17" s="39"/>
      <c r="EU17" s="39"/>
      <c r="EV17" s="39"/>
      <c r="EW17" s="39"/>
      <c r="EX17" s="39"/>
      <c r="EY17" s="39"/>
      <c r="EZ17" s="39"/>
      <c r="FA17" s="39"/>
      <c r="FB17" s="39"/>
      <c r="FC17" s="39"/>
      <c r="FD17" s="39"/>
      <c r="FE17" s="39"/>
      <c r="FF17" s="39"/>
      <c r="FG17" s="39"/>
      <c r="FH17" s="14" t="str">
        <f t="shared" si="45"/>
        <v/>
      </c>
      <c r="FI17" s="14" t="str">
        <f t="shared" si="46"/>
        <v/>
      </c>
      <c r="FJ17" s="14" t="str">
        <f t="shared" si="47"/>
        <v/>
      </c>
      <c r="FK17" s="14" t="str">
        <f t="shared" si="48"/>
        <v/>
      </c>
      <c r="FL17" s="14" t="str">
        <f t="shared" si="49"/>
        <v/>
      </c>
      <c r="FM17" s="40"/>
      <c r="FN17" s="40"/>
      <c r="FO17" s="40"/>
      <c r="FP17" s="40"/>
      <c r="FQ17" s="40"/>
      <c r="FR17" s="40"/>
      <c r="FS17" s="40"/>
      <c r="FT17" s="40"/>
      <c r="FU17" s="40"/>
      <c r="FV17" s="40"/>
      <c r="FW17" s="40"/>
      <c r="FX17" s="40"/>
      <c r="FY17" s="40"/>
      <c r="FZ17" s="40"/>
      <c r="GA17" s="40"/>
      <c r="GB17" s="40"/>
      <c r="GC17" s="11" t="str">
        <f t="shared" si="50"/>
        <v/>
      </c>
      <c r="GD17" s="11" t="str">
        <f t="shared" si="51"/>
        <v/>
      </c>
      <c r="GE17" s="11" t="str">
        <f t="shared" si="52"/>
        <v/>
      </c>
      <c r="GF17" s="11" t="str">
        <f t="shared" si="53"/>
        <v/>
      </c>
      <c r="GG17" s="11" t="str">
        <f t="shared" si="54"/>
        <v/>
      </c>
      <c r="GH17" s="39"/>
      <c r="GI17" s="39"/>
      <c r="GJ17" s="39"/>
      <c r="GK17" s="39"/>
      <c r="GL17" s="39"/>
      <c r="GM17" s="39"/>
      <c r="GN17" s="39"/>
      <c r="GO17" s="39"/>
      <c r="GP17" s="39"/>
      <c r="GQ17" s="39"/>
      <c r="GR17" s="39"/>
      <c r="GS17" s="39"/>
      <c r="GT17" s="39"/>
      <c r="GU17" s="39"/>
      <c r="GV17" s="39"/>
      <c r="GW17" s="39"/>
      <c r="GX17" s="14" t="str">
        <f t="shared" si="55"/>
        <v/>
      </c>
      <c r="GY17" s="14" t="str">
        <f t="shared" si="56"/>
        <v/>
      </c>
      <c r="GZ17" s="14" t="str">
        <f t="shared" si="57"/>
        <v/>
      </c>
      <c r="HA17" s="14" t="str">
        <f t="shared" si="58"/>
        <v/>
      </c>
      <c r="HB17" s="14" t="str">
        <f t="shared" si="59"/>
        <v/>
      </c>
      <c r="HC17" s="40"/>
      <c r="HD17" s="40"/>
      <c r="HE17" s="40"/>
      <c r="HF17" s="40"/>
      <c r="HG17" s="40"/>
      <c r="HH17" s="40"/>
      <c r="HI17" s="40"/>
      <c r="HJ17" s="40"/>
      <c r="HK17" s="40"/>
      <c r="HL17" s="40"/>
      <c r="HM17" s="40"/>
      <c r="HN17" s="40"/>
      <c r="HO17" s="40"/>
      <c r="HP17" s="40"/>
      <c r="HQ17" s="40"/>
      <c r="HR17" s="40"/>
      <c r="HS17" s="11" t="str">
        <f t="shared" si="60"/>
        <v/>
      </c>
      <c r="HT17" s="11" t="str">
        <f t="shared" si="61"/>
        <v/>
      </c>
      <c r="HU17" s="11" t="str">
        <f t="shared" si="62"/>
        <v/>
      </c>
      <c r="HV17" s="11" t="str">
        <f t="shared" si="63"/>
        <v/>
      </c>
      <c r="HW17" s="11" t="str">
        <f t="shared" si="64"/>
        <v/>
      </c>
      <c r="HX17" s="39"/>
      <c r="HY17" s="39"/>
      <c r="HZ17" s="39"/>
      <c r="IA17" s="39"/>
      <c r="IB17" s="39"/>
      <c r="IC17" s="39"/>
      <c r="ID17" s="39"/>
      <c r="IE17" s="39"/>
      <c r="IF17" s="39"/>
      <c r="IG17" s="39"/>
      <c r="IH17" s="39"/>
      <c r="II17" s="39"/>
      <c r="IJ17" s="39"/>
      <c r="IK17" s="39"/>
      <c r="IL17" s="39"/>
      <c r="IM17" s="39"/>
      <c r="IN17" s="14" t="str">
        <f t="shared" si="65"/>
        <v/>
      </c>
      <c r="IO17" s="14" t="str">
        <f t="shared" si="66"/>
        <v/>
      </c>
      <c r="IP17" s="14" t="str">
        <f t="shared" si="67"/>
        <v/>
      </c>
      <c r="IQ17" s="14" t="str">
        <f t="shared" si="68"/>
        <v/>
      </c>
      <c r="IR17" s="14" t="str">
        <f t="shared" si="69"/>
        <v/>
      </c>
      <c r="IS17" s="40"/>
      <c r="IT17" s="40"/>
      <c r="IU17" s="40"/>
      <c r="IV17" s="40"/>
      <c r="IW17" s="40"/>
      <c r="IX17" s="40"/>
      <c r="IY17" s="40"/>
      <c r="IZ17" s="40"/>
      <c r="JA17" s="40"/>
      <c r="JB17" s="40"/>
      <c r="JC17" s="40"/>
      <c r="JD17" s="40"/>
      <c r="JE17" s="40"/>
      <c r="JF17" s="40"/>
      <c r="JG17" s="40"/>
      <c r="JH17" s="40"/>
      <c r="JI17" s="11" t="str">
        <f t="shared" si="70"/>
        <v/>
      </c>
      <c r="JJ17" s="11" t="str">
        <f t="shared" si="71"/>
        <v/>
      </c>
      <c r="JK17" s="11" t="str">
        <f t="shared" si="72"/>
        <v/>
      </c>
      <c r="JL17" s="11" t="str">
        <f t="shared" si="73"/>
        <v/>
      </c>
      <c r="JM17" s="11" t="str">
        <f t="shared" si="74"/>
        <v/>
      </c>
      <c r="JN17" s="39"/>
      <c r="JO17" s="39"/>
      <c r="JP17" s="39"/>
      <c r="JQ17" s="39"/>
      <c r="JR17" s="39"/>
      <c r="JS17" s="39"/>
      <c r="JT17" s="39"/>
      <c r="JU17" s="39"/>
      <c r="JV17" s="39"/>
      <c r="JW17" s="39"/>
      <c r="JX17" s="39"/>
      <c r="JY17" s="39"/>
      <c r="JZ17" s="39"/>
      <c r="KA17" s="39"/>
      <c r="KB17" s="39"/>
      <c r="KC17" s="39"/>
      <c r="KD17" s="14" t="str">
        <f t="shared" si="75"/>
        <v/>
      </c>
      <c r="KE17" s="14" t="str">
        <f t="shared" si="76"/>
        <v/>
      </c>
      <c r="KF17" s="14" t="str">
        <f t="shared" si="77"/>
        <v/>
      </c>
      <c r="KG17" s="14" t="str">
        <f t="shared" si="78"/>
        <v/>
      </c>
      <c r="KH17" s="14" t="str">
        <f t="shared" si="79"/>
        <v/>
      </c>
      <c r="KI17" s="40"/>
      <c r="KJ17" s="40"/>
      <c r="KK17" s="40"/>
      <c r="KL17" s="40"/>
      <c r="KM17" s="40"/>
      <c r="KN17" s="40"/>
      <c r="KO17" s="40"/>
      <c r="KP17" s="40"/>
      <c r="KQ17" s="40"/>
      <c r="KR17" s="40"/>
      <c r="KS17" s="40"/>
      <c r="KT17" s="40"/>
      <c r="KU17" s="40"/>
      <c r="KV17" s="40"/>
      <c r="KW17" s="40"/>
      <c r="KX17" s="40"/>
      <c r="KY17" s="11" t="str">
        <f t="shared" si="80"/>
        <v/>
      </c>
      <c r="KZ17" s="11" t="str">
        <f t="shared" si="81"/>
        <v/>
      </c>
      <c r="LA17" s="11" t="str">
        <f t="shared" si="82"/>
        <v/>
      </c>
      <c r="LB17" s="11" t="str">
        <f t="shared" si="83"/>
        <v/>
      </c>
      <c r="LC17" s="11" t="str">
        <f t="shared" si="84"/>
        <v/>
      </c>
      <c r="LD17" s="39"/>
      <c r="LE17" s="39"/>
      <c r="LF17" s="39"/>
      <c r="LG17" s="39"/>
      <c r="LH17" s="39"/>
      <c r="LI17" s="39"/>
      <c r="LJ17" s="39"/>
      <c r="LK17" s="39"/>
      <c r="LL17" s="39"/>
      <c r="LM17" s="39"/>
      <c r="LN17" s="39"/>
      <c r="LO17" s="39"/>
      <c r="LP17" s="39"/>
      <c r="LQ17" s="39"/>
      <c r="LR17" s="39"/>
      <c r="LS17" s="39"/>
      <c r="LT17" s="14" t="str">
        <f t="shared" si="85"/>
        <v/>
      </c>
      <c r="LU17" s="14" t="str">
        <f t="shared" si="86"/>
        <v/>
      </c>
      <c r="LV17" s="14" t="str">
        <f t="shared" si="87"/>
        <v/>
      </c>
      <c r="LW17" s="14" t="str">
        <f t="shared" si="88"/>
        <v/>
      </c>
      <c r="LX17" s="14" t="str">
        <f t="shared" si="89"/>
        <v/>
      </c>
      <c r="LY17" s="61">
        <f t="shared" si="90"/>
        <v>13.5</v>
      </c>
      <c r="LZ17" s="61">
        <f t="shared" si="91"/>
        <v>2.8</v>
      </c>
      <c r="MA17" s="61">
        <f t="shared" si="92"/>
        <v>0.95</v>
      </c>
      <c r="MB17" s="61">
        <f t="shared" si="93"/>
        <v>0</v>
      </c>
      <c r="MC17" s="61">
        <f t="shared" si="94"/>
        <v>13.95</v>
      </c>
      <c r="MD17" s="61">
        <f t="shared" si="95"/>
        <v>3</v>
      </c>
      <c r="ME17" s="61">
        <f t="shared" si="96"/>
        <v>0.15</v>
      </c>
      <c r="MF17" s="61">
        <f t="shared" si="97"/>
        <v>0</v>
      </c>
      <c r="MG17" s="61">
        <f t="shared" si="98"/>
        <v>14.2</v>
      </c>
      <c r="MH17" s="61">
        <f t="shared" si="99"/>
        <v>3.6</v>
      </c>
      <c r="MI17" s="61">
        <f t="shared" si="100"/>
        <v>0.15</v>
      </c>
      <c r="MJ17" s="61">
        <f t="shared" si="101"/>
        <v>0</v>
      </c>
      <c r="MK17" s="61">
        <f t="shared" si="102"/>
        <v>12.25</v>
      </c>
      <c r="ML17" s="61">
        <f t="shared" si="103"/>
        <v>3.6</v>
      </c>
      <c r="MM17" s="61">
        <f t="shared" si="104"/>
        <v>0.6</v>
      </c>
      <c r="MN17" s="61">
        <f t="shared" si="105"/>
        <v>0</v>
      </c>
      <c r="MO17" s="72" t="s">
        <v>52</v>
      </c>
      <c r="MP17" s="11">
        <f t="shared" si="106"/>
        <v>5.8</v>
      </c>
      <c r="MQ17" s="11">
        <f t="shared" si="107"/>
        <v>32.15</v>
      </c>
      <c r="MR17" s="11">
        <f t="shared" si="108"/>
        <v>7.2</v>
      </c>
      <c r="MS17" s="11">
        <f t="shared" si="109"/>
        <v>32.9</v>
      </c>
      <c r="MT17" s="11">
        <f t="shared" si="110"/>
        <v>65.05</v>
      </c>
    </row>
    <row r="18" spans="1:358" x14ac:dyDescent="0.2">
      <c r="A18" s="5" t="str">
        <f t="shared" si="0"/>
        <v/>
      </c>
      <c r="B18" s="8" t="s">
        <v>153</v>
      </c>
      <c r="C18" s="4" t="s">
        <v>4</v>
      </c>
      <c r="D18" s="5">
        <v>2004</v>
      </c>
      <c r="E18" s="15">
        <f t="shared" si="1"/>
        <v>63.6</v>
      </c>
      <c r="F18" s="3" t="str">
        <f t="shared" si="2"/>
        <v/>
      </c>
      <c r="G18" s="3" t="str">
        <f t="shared" si="3"/>
        <v/>
      </c>
      <c r="H18" s="116" t="str">
        <f t="shared" si="4"/>
        <v/>
      </c>
      <c r="I18" s="3" t="str">
        <f t="shared" si="5"/>
        <v/>
      </c>
      <c r="J18" s="14">
        <f t="shared" si="6"/>
        <v>63.6</v>
      </c>
      <c r="K18" s="14" t="str">
        <f t="shared" si="7"/>
        <v>2021 Elite Canada</v>
      </c>
      <c r="L18" s="14">
        <f t="shared" si="8"/>
        <v>0</v>
      </c>
      <c r="M18" s="14" t="str">
        <f t="shared" si="9"/>
        <v/>
      </c>
      <c r="N18" s="14" t="str">
        <f t="shared" si="10"/>
        <v/>
      </c>
      <c r="O18" s="24" t="str">
        <f t="shared" si="11"/>
        <v/>
      </c>
      <c r="P18" s="14" t="str">
        <f t="shared" si="12"/>
        <v/>
      </c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72"/>
      <c r="AH18" s="11" t="str">
        <f t="shared" si="13"/>
        <v/>
      </c>
      <c r="AI18" s="11" t="str">
        <f t="shared" si="14"/>
        <v/>
      </c>
      <c r="AJ18" s="11" t="str">
        <f t="shared" si="15"/>
        <v/>
      </c>
      <c r="AK18" s="11" t="str">
        <f t="shared" si="16"/>
        <v/>
      </c>
      <c r="AL18" s="11" t="str">
        <f t="shared" si="17"/>
        <v/>
      </c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73"/>
      <c r="BD18" s="14" t="str">
        <f t="shared" si="18"/>
        <v/>
      </c>
      <c r="BE18" s="14" t="str">
        <f t="shared" si="19"/>
        <v/>
      </c>
      <c r="BF18" s="14" t="str">
        <f t="shared" si="20"/>
        <v/>
      </c>
      <c r="BG18" s="14" t="str">
        <f t="shared" si="21"/>
        <v/>
      </c>
      <c r="BH18" s="14" t="str">
        <f t="shared" si="22"/>
        <v/>
      </c>
      <c r="BI18" s="61">
        <v>28.2</v>
      </c>
      <c r="BJ18" s="61">
        <v>3.6</v>
      </c>
      <c r="BK18" s="61">
        <v>0</v>
      </c>
      <c r="BL18" s="61">
        <v>0</v>
      </c>
      <c r="BM18" s="61">
        <v>28.3</v>
      </c>
      <c r="BN18" s="61">
        <v>3.5</v>
      </c>
      <c r="BO18" s="61">
        <v>0</v>
      </c>
      <c r="BP18" s="61">
        <v>0</v>
      </c>
      <c r="BQ18" s="61">
        <v>28.7</v>
      </c>
      <c r="BR18" s="61">
        <v>4.8</v>
      </c>
      <c r="BS18" s="61">
        <v>0</v>
      </c>
      <c r="BT18" s="61">
        <v>0</v>
      </c>
      <c r="BU18" s="61">
        <v>27.9</v>
      </c>
      <c r="BV18" s="61">
        <v>6</v>
      </c>
      <c r="BW18" s="61">
        <v>0.9</v>
      </c>
      <c r="BX18" s="61">
        <v>0</v>
      </c>
      <c r="BY18" s="72"/>
      <c r="BZ18" s="11">
        <f t="shared" si="23"/>
        <v>7.1</v>
      </c>
      <c r="CA18" s="11">
        <f t="shared" si="24"/>
        <v>63.6</v>
      </c>
      <c r="CB18" s="11">
        <f t="shared" si="25"/>
        <v>10.8</v>
      </c>
      <c r="CC18" s="11">
        <f t="shared" si="26"/>
        <v>66.5</v>
      </c>
      <c r="CD18" s="11">
        <f t="shared" si="27"/>
        <v>130.1</v>
      </c>
      <c r="CE18" s="23" t="str">
        <f t="shared" si="28"/>
        <v/>
      </c>
      <c r="CF18" s="23" t="str">
        <f t="shared" si="29"/>
        <v/>
      </c>
      <c r="CG18" s="40"/>
      <c r="CH18" s="40"/>
      <c r="CI18" s="40"/>
      <c r="CJ18" s="40"/>
      <c r="CK18" s="40"/>
      <c r="CL18" s="40"/>
      <c r="CM18" s="40"/>
      <c r="CN18" s="40"/>
      <c r="CO18" s="40"/>
      <c r="CP18" s="40"/>
      <c r="CQ18" s="40"/>
      <c r="CR18" s="40"/>
      <c r="CS18" s="40"/>
      <c r="CT18" s="40"/>
      <c r="CU18" s="40"/>
      <c r="CV18" s="40"/>
      <c r="CW18" s="11" t="str">
        <f t="shared" si="30"/>
        <v/>
      </c>
      <c r="CX18" s="11" t="str">
        <f t="shared" si="31"/>
        <v/>
      </c>
      <c r="CY18" s="11" t="str">
        <f t="shared" si="32"/>
        <v/>
      </c>
      <c r="CZ18" s="11" t="str">
        <f t="shared" si="33"/>
        <v/>
      </c>
      <c r="DA18" s="11" t="str">
        <f t="shared" si="34"/>
        <v/>
      </c>
      <c r="DB18" s="39"/>
      <c r="DC18" s="39"/>
      <c r="DD18" s="39"/>
      <c r="DE18" s="39"/>
      <c r="DF18" s="39"/>
      <c r="DG18" s="39"/>
      <c r="DH18" s="39"/>
      <c r="DI18" s="39"/>
      <c r="DJ18" s="39"/>
      <c r="DK18" s="39"/>
      <c r="DL18" s="39"/>
      <c r="DM18" s="39"/>
      <c r="DN18" s="39"/>
      <c r="DO18" s="39"/>
      <c r="DP18" s="39"/>
      <c r="DQ18" s="39"/>
      <c r="DR18" s="14" t="str">
        <f t="shared" si="35"/>
        <v/>
      </c>
      <c r="DS18" s="14" t="str">
        <f t="shared" si="36"/>
        <v/>
      </c>
      <c r="DT18" s="14" t="str">
        <f t="shared" si="37"/>
        <v/>
      </c>
      <c r="DU18" s="14" t="str">
        <f t="shared" si="38"/>
        <v/>
      </c>
      <c r="DV18" s="14" t="str">
        <f t="shared" si="39"/>
        <v/>
      </c>
      <c r="DW18" s="40"/>
      <c r="DX18" s="40"/>
      <c r="DY18" s="40"/>
      <c r="DZ18" s="40"/>
      <c r="EA18" s="40"/>
      <c r="EB18" s="40"/>
      <c r="EC18" s="40"/>
      <c r="ED18" s="40"/>
      <c r="EE18" s="40"/>
      <c r="EF18" s="40"/>
      <c r="EG18" s="40"/>
      <c r="EH18" s="40"/>
      <c r="EI18" s="40"/>
      <c r="EJ18" s="40"/>
      <c r="EK18" s="40"/>
      <c r="EL18" s="40"/>
      <c r="EM18" s="11" t="str">
        <f t="shared" si="40"/>
        <v/>
      </c>
      <c r="EN18" s="11" t="str">
        <f t="shared" si="41"/>
        <v/>
      </c>
      <c r="EO18" s="11" t="str">
        <f t="shared" si="42"/>
        <v/>
      </c>
      <c r="EP18" s="11" t="str">
        <f t="shared" si="43"/>
        <v/>
      </c>
      <c r="EQ18" s="11" t="str">
        <f t="shared" si="44"/>
        <v/>
      </c>
      <c r="ER18" s="39"/>
      <c r="ES18" s="39"/>
      <c r="ET18" s="39"/>
      <c r="EU18" s="39"/>
      <c r="EV18" s="39"/>
      <c r="EW18" s="39"/>
      <c r="EX18" s="39"/>
      <c r="EY18" s="39"/>
      <c r="EZ18" s="39"/>
      <c r="FA18" s="39"/>
      <c r="FB18" s="39"/>
      <c r="FC18" s="39"/>
      <c r="FD18" s="39"/>
      <c r="FE18" s="39"/>
      <c r="FF18" s="39"/>
      <c r="FG18" s="39"/>
      <c r="FH18" s="14" t="str">
        <f t="shared" si="45"/>
        <v/>
      </c>
      <c r="FI18" s="14" t="str">
        <f t="shared" si="46"/>
        <v/>
      </c>
      <c r="FJ18" s="14" t="str">
        <f t="shared" si="47"/>
        <v/>
      </c>
      <c r="FK18" s="14" t="str">
        <f t="shared" si="48"/>
        <v/>
      </c>
      <c r="FL18" s="14" t="str">
        <f t="shared" si="49"/>
        <v/>
      </c>
      <c r="FM18" s="40"/>
      <c r="FN18" s="40"/>
      <c r="FO18" s="40"/>
      <c r="FP18" s="40"/>
      <c r="FQ18" s="40"/>
      <c r="FR18" s="40"/>
      <c r="FS18" s="40"/>
      <c r="FT18" s="40"/>
      <c r="FU18" s="40"/>
      <c r="FV18" s="40"/>
      <c r="FW18" s="40"/>
      <c r="FX18" s="40"/>
      <c r="FY18" s="40"/>
      <c r="FZ18" s="40"/>
      <c r="GA18" s="40"/>
      <c r="GB18" s="40"/>
      <c r="GC18" s="11" t="str">
        <f t="shared" si="50"/>
        <v/>
      </c>
      <c r="GD18" s="11" t="str">
        <f t="shared" si="51"/>
        <v/>
      </c>
      <c r="GE18" s="11" t="str">
        <f t="shared" si="52"/>
        <v/>
      </c>
      <c r="GF18" s="11" t="str">
        <f t="shared" si="53"/>
        <v/>
      </c>
      <c r="GG18" s="11" t="str">
        <f t="shared" si="54"/>
        <v/>
      </c>
      <c r="GH18" s="39"/>
      <c r="GI18" s="39"/>
      <c r="GJ18" s="39"/>
      <c r="GK18" s="39"/>
      <c r="GL18" s="39"/>
      <c r="GM18" s="39"/>
      <c r="GN18" s="39"/>
      <c r="GO18" s="39"/>
      <c r="GP18" s="39"/>
      <c r="GQ18" s="39"/>
      <c r="GR18" s="39"/>
      <c r="GS18" s="39"/>
      <c r="GT18" s="39"/>
      <c r="GU18" s="39"/>
      <c r="GV18" s="39"/>
      <c r="GW18" s="39"/>
      <c r="GX18" s="14" t="str">
        <f t="shared" si="55"/>
        <v/>
      </c>
      <c r="GY18" s="14" t="str">
        <f t="shared" si="56"/>
        <v/>
      </c>
      <c r="GZ18" s="14" t="str">
        <f t="shared" si="57"/>
        <v/>
      </c>
      <c r="HA18" s="14" t="str">
        <f t="shared" si="58"/>
        <v/>
      </c>
      <c r="HB18" s="14" t="str">
        <f t="shared" si="59"/>
        <v/>
      </c>
      <c r="HC18" s="40"/>
      <c r="HD18" s="40"/>
      <c r="HE18" s="40"/>
      <c r="HF18" s="40"/>
      <c r="HG18" s="40"/>
      <c r="HH18" s="40"/>
      <c r="HI18" s="40"/>
      <c r="HJ18" s="40"/>
      <c r="HK18" s="40"/>
      <c r="HL18" s="40"/>
      <c r="HM18" s="40"/>
      <c r="HN18" s="40"/>
      <c r="HO18" s="40"/>
      <c r="HP18" s="40"/>
      <c r="HQ18" s="40"/>
      <c r="HR18" s="40"/>
      <c r="HS18" s="11" t="str">
        <f t="shared" si="60"/>
        <v/>
      </c>
      <c r="HT18" s="11" t="str">
        <f t="shared" si="61"/>
        <v/>
      </c>
      <c r="HU18" s="11" t="str">
        <f t="shared" si="62"/>
        <v/>
      </c>
      <c r="HV18" s="11" t="str">
        <f t="shared" si="63"/>
        <v/>
      </c>
      <c r="HW18" s="11" t="str">
        <f t="shared" si="64"/>
        <v/>
      </c>
      <c r="HX18" s="39"/>
      <c r="HY18" s="39"/>
      <c r="HZ18" s="39"/>
      <c r="IA18" s="39"/>
      <c r="IB18" s="39"/>
      <c r="IC18" s="39"/>
      <c r="ID18" s="39"/>
      <c r="IE18" s="39"/>
      <c r="IF18" s="39"/>
      <c r="IG18" s="39"/>
      <c r="IH18" s="39"/>
      <c r="II18" s="39"/>
      <c r="IJ18" s="39"/>
      <c r="IK18" s="39"/>
      <c r="IL18" s="39"/>
      <c r="IM18" s="39"/>
      <c r="IN18" s="14" t="str">
        <f t="shared" si="65"/>
        <v/>
      </c>
      <c r="IO18" s="14" t="str">
        <f t="shared" si="66"/>
        <v/>
      </c>
      <c r="IP18" s="14" t="str">
        <f t="shared" si="67"/>
        <v/>
      </c>
      <c r="IQ18" s="14" t="str">
        <f t="shared" si="68"/>
        <v/>
      </c>
      <c r="IR18" s="14" t="str">
        <f t="shared" si="69"/>
        <v/>
      </c>
      <c r="IS18" s="40"/>
      <c r="IT18" s="40"/>
      <c r="IU18" s="40"/>
      <c r="IV18" s="40"/>
      <c r="IW18" s="40"/>
      <c r="IX18" s="40"/>
      <c r="IY18" s="40"/>
      <c r="IZ18" s="40"/>
      <c r="JA18" s="40"/>
      <c r="JB18" s="40"/>
      <c r="JC18" s="40"/>
      <c r="JD18" s="40"/>
      <c r="JE18" s="40"/>
      <c r="JF18" s="40"/>
      <c r="JG18" s="40"/>
      <c r="JH18" s="40"/>
      <c r="JI18" s="11" t="str">
        <f t="shared" si="70"/>
        <v/>
      </c>
      <c r="JJ18" s="11" t="str">
        <f t="shared" si="71"/>
        <v/>
      </c>
      <c r="JK18" s="11" t="str">
        <f t="shared" si="72"/>
        <v/>
      </c>
      <c r="JL18" s="11" t="str">
        <f t="shared" si="73"/>
        <v/>
      </c>
      <c r="JM18" s="11" t="str">
        <f t="shared" si="74"/>
        <v/>
      </c>
      <c r="JN18" s="39"/>
      <c r="JO18" s="39"/>
      <c r="JP18" s="39"/>
      <c r="JQ18" s="39"/>
      <c r="JR18" s="39"/>
      <c r="JS18" s="39"/>
      <c r="JT18" s="39"/>
      <c r="JU18" s="39"/>
      <c r="JV18" s="39"/>
      <c r="JW18" s="39"/>
      <c r="JX18" s="39"/>
      <c r="JY18" s="39"/>
      <c r="JZ18" s="39"/>
      <c r="KA18" s="39"/>
      <c r="KB18" s="39"/>
      <c r="KC18" s="39"/>
      <c r="KD18" s="14" t="str">
        <f t="shared" si="75"/>
        <v/>
      </c>
      <c r="KE18" s="14" t="str">
        <f t="shared" si="76"/>
        <v/>
      </c>
      <c r="KF18" s="14" t="str">
        <f t="shared" si="77"/>
        <v/>
      </c>
      <c r="KG18" s="14" t="str">
        <f t="shared" si="78"/>
        <v/>
      </c>
      <c r="KH18" s="14" t="str">
        <f t="shared" si="79"/>
        <v/>
      </c>
      <c r="KI18" s="40"/>
      <c r="KJ18" s="40"/>
      <c r="KK18" s="40"/>
      <c r="KL18" s="40"/>
      <c r="KM18" s="40"/>
      <c r="KN18" s="40"/>
      <c r="KO18" s="40"/>
      <c r="KP18" s="40"/>
      <c r="KQ18" s="40"/>
      <c r="KR18" s="40"/>
      <c r="KS18" s="40"/>
      <c r="KT18" s="40"/>
      <c r="KU18" s="40"/>
      <c r="KV18" s="40"/>
      <c r="KW18" s="40"/>
      <c r="KX18" s="40"/>
      <c r="KY18" s="11" t="str">
        <f t="shared" si="80"/>
        <v/>
      </c>
      <c r="KZ18" s="11" t="str">
        <f t="shared" si="81"/>
        <v/>
      </c>
      <c r="LA18" s="11" t="str">
        <f t="shared" si="82"/>
        <v/>
      </c>
      <c r="LB18" s="11" t="str">
        <f t="shared" si="83"/>
        <v/>
      </c>
      <c r="LC18" s="11" t="str">
        <f t="shared" si="84"/>
        <v/>
      </c>
      <c r="LD18" s="39"/>
      <c r="LE18" s="39"/>
      <c r="LF18" s="39"/>
      <c r="LG18" s="39"/>
      <c r="LH18" s="39"/>
      <c r="LI18" s="39"/>
      <c r="LJ18" s="39"/>
      <c r="LK18" s="39"/>
      <c r="LL18" s="39"/>
      <c r="LM18" s="39"/>
      <c r="LN18" s="39"/>
      <c r="LO18" s="39"/>
      <c r="LP18" s="39"/>
      <c r="LQ18" s="39"/>
      <c r="LR18" s="39"/>
      <c r="LS18" s="39"/>
      <c r="LT18" s="14" t="str">
        <f t="shared" si="85"/>
        <v/>
      </c>
      <c r="LU18" s="14" t="str">
        <f t="shared" si="86"/>
        <v/>
      </c>
      <c r="LV18" s="14" t="str">
        <f t="shared" si="87"/>
        <v/>
      </c>
      <c r="LW18" s="14" t="str">
        <f t="shared" si="88"/>
        <v/>
      </c>
      <c r="LX18" s="14" t="str">
        <f t="shared" si="89"/>
        <v/>
      </c>
      <c r="LY18" s="61">
        <f t="shared" si="90"/>
        <v>14.1</v>
      </c>
      <c r="LZ18" s="61">
        <f t="shared" si="91"/>
        <v>1.8</v>
      </c>
      <c r="MA18" s="61">
        <f t="shared" si="92"/>
        <v>0</v>
      </c>
      <c r="MB18" s="61">
        <f t="shared" si="93"/>
        <v>0</v>
      </c>
      <c r="MC18" s="61">
        <f t="shared" si="94"/>
        <v>14.15</v>
      </c>
      <c r="MD18" s="61">
        <f t="shared" si="95"/>
        <v>1.75</v>
      </c>
      <c r="ME18" s="61">
        <f t="shared" si="96"/>
        <v>0</v>
      </c>
      <c r="MF18" s="61">
        <f t="shared" si="97"/>
        <v>0</v>
      </c>
      <c r="MG18" s="61">
        <f t="shared" si="98"/>
        <v>14.35</v>
      </c>
      <c r="MH18" s="61">
        <f t="shared" si="99"/>
        <v>2.4</v>
      </c>
      <c r="MI18" s="61">
        <f t="shared" si="100"/>
        <v>0</v>
      </c>
      <c r="MJ18" s="61">
        <f t="shared" si="101"/>
        <v>0</v>
      </c>
      <c r="MK18" s="61">
        <f t="shared" si="102"/>
        <v>13.95</v>
      </c>
      <c r="ML18" s="61">
        <f t="shared" si="103"/>
        <v>3</v>
      </c>
      <c r="MM18" s="61">
        <f t="shared" si="104"/>
        <v>0.45</v>
      </c>
      <c r="MN18" s="61">
        <f t="shared" si="105"/>
        <v>0</v>
      </c>
      <c r="MO18" s="72" t="s">
        <v>52</v>
      </c>
      <c r="MP18" s="11">
        <f t="shared" si="106"/>
        <v>3.55</v>
      </c>
      <c r="MQ18" s="11">
        <f t="shared" si="107"/>
        <v>31.8</v>
      </c>
      <c r="MR18" s="11">
        <f t="shared" si="108"/>
        <v>5.4</v>
      </c>
      <c r="MS18" s="11">
        <f t="shared" si="109"/>
        <v>33.25</v>
      </c>
      <c r="MT18" s="11">
        <f t="shared" si="110"/>
        <v>65.05</v>
      </c>
    </row>
    <row r="19" spans="1:358" x14ac:dyDescent="0.2">
      <c r="A19" s="5" t="str">
        <f t="shared" si="0"/>
        <v/>
      </c>
      <c r="B19" s="8" t="s">
        <v>93</v>
      </c>
      <c r="C19" s="4" t="s">
        <v>5</v>
      </c>
      <c r="D19" s="5">
        <v>2002</v>
      </c>
      <c r="E19" s="15">
        <f t="shared" si="1"/>
        <v>61.400000000000006</v>
      </c>
      <c r="F19" s="3" t="str">
        <f t="shared" si="2"/>
        <v/>
      </c>
      <c r="G19" s="3" t="str">
        <f t="shared" si="3"/>
        <v/>
      </c>
      <c r="H19" s="116" t="str">
        <f t="shared" si="4"/>
        <v/>
      </c>
      <c r="I19" s="3" t="str">
        <f t="shared" si="5"/>
        <v/>
      </c>
      <c r="J19" s="14">
        <f t="shared" si="6"/>
        <v>61.400000000000006</v>
      </c>
      <c r="K19" s="14" t="str">
        <f t="shared" si="7"/>
        <v>2021 1st Virtual Technical Trial</v>
      </c>
      <c r="L19" s="14">
        <f t="shared" si="8"/>
        <v>0</v>
      </c>
      <c r="M19" s="14" t="str">
        <f t="shared" si="9"/>
        <v/>
      </c>
      <c r="N19" s="14" t="str">
        <f t="shared" si="10"/>
        <v/>
      </c>
      <c r="O19" s="24" t="str">
        <f t="shared" si="11"/>
        <v/>
      </c>
      <c r="P19" s="14" t="str">
        <f t="shared" si="12"/>
        <v/>
      </c>
      <c r="Q19" s="61">
        <v>27.5</v>
      </c>
      <c r="R19" s="61">
        <v>6</v>
      </c>
      <c r="S19" s="61">
        <v>0</v>
      </c>
      <c r="T19" s="61">
        <v>0</v>
      </c>
      <c r="U19" s="61">
        <v>28</v>
      </c>
      <c r="V19" s="61">
        <v>3.4</v>
      </c>
      <c r="W19" s="61">
        <v>3.5</v>
      </c>
      <c r="X19" s="61">
        <v>0</v>
      </c>
      <c r="Y19" s="61">
        <v>0</v>
      </c>
      <c r="Z19" s="61">
        <v>0</v>
      </c>
      <c r="AA19" s="61">
        <v>0</v>
      </c>
      <c r="AB19" s="61">
        <v>0</v>
      </c>
      <c r="AC19" s="61">
        <v>0</v>
      </c>
      <c r="AD19" s="61">
        <v>0</v>
      </c>
      <c r="AE19" s="61">
        <v>0</v>
      </c>
      <c r="AF19" s="61">
        <v>0</v>
      </c>
      <c r="AG19" s="72"/>
      <c r="AH19" s="11">
        <f t="shared" si="13"/>
        <v>9.4</v>
      </c>
      <c r="AI19" s="11">
        <f t="shared" si="14"/>
        <v>61.400000000000006</v>
      </c>
      <c r="AJ19" s="11" t="str">
        <f t="shared" si="15"/>
        <v/>
      </c>
      <c r="AK19" s="11" t="str">
        <f t="shared" si="16"/>
        <v/>
      </c>
      <c r="AL19" s="11">
        <f t="shared" si="17"/>
        <v>61.400000000000006</v>
      </c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73"/>
      <c r="BD19" s="14" t="str">
        <f t="shared" si="18"/>
        <v/>
      </c>
      <c r="BE19" s="14" t="str">
        <f t="shared" si="19"/>
        <v/>
      </c>
      <c r="BF19" s="14" t="str">
        <f t="shared" si="20"/>
        <v/>
      </c>
      <c r="BG19" s="14" t="str">
        <f t="shared" si="21"/>
        <v/>
      </c>
      <c r="BH19" s="14" t="str">
        <f t="shared" si="22"/>
        <v/>
      </c>
      <c r="BI19" s="61"/>
      <c r="BJ19" s="61"/>
      <c r="BK19" s="61"/>
      <c r="BL19" s="61"/>
      <c r="BM19" s="61"/>
      <c r="BN19" s="61"/>
      <c r="BO19" s="61"/>
      <c r="BP19" s="61"/>
      <c r="BQ19" s="61"/>
      <c r="BR19" s="61"/>
      <c r="BS19" s="61"/>
      <c r="BT19" s="61"/>
      <c r="BU19" s="61"/>
      <c r="BV19" s="61"/>
      <c r="BW19" s="61"/>
      <c r="BX19" s="61"/>
      <c r="BY19" s="72"/>
      <c r="BZ19" s="11" t="str">
        <f t="shared" si="23"/>
        <v/>
      </c>
      <c r="CA19" s="11" t="str">
        <f t="shared" si="24"/>
        <v/>
      </c>
      <c r="CB19" s="11" t="str">
        <f t="shared" si="25"/>
        <v/>
      </c>
      <c r="CC19" s="11" t="str">
        <f t="shared" si="26"/>
        <v/>
      </c>
      <c r="CD19" s="11" t="str">
        <f t="shared" si="27"/>
        <v/>
      </c>
      <c r="CE19" s="23" t="str">
        <f t="shared" si="28"/>
        <v/>
      </c>
      <c r="CF19" s="23" t="str">
        <f t="shared" si="29"/>
        <v/>
      </c>
      <c r="CG19" s="40"/>
      <c r="CH19" s="40"/>
      <c r="CI19" s="40"/>
      <c r="CJ19" s="40"/>
      <c r="CK19" s="40"/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40"/>
      <c r="CW19" s="11" t="str">
        <f t="shared" si="30"/>
        <v/>
      </c>
      <c r="CX19" s="11" t="str">
        <f t="shared" si="31"/>
        <v/>
      </c>
      <c r="CY19" s="11" t="str">
        <f t="shared" si="32"/>
        <v/>
      </c>
      <c r="CZ19" s="11" t="str">
        <f t="shared" si="33"/>
        <v/>
      </c>
      <c r="DA19" s="11" t="str">
        <f t="shared" si="34"/>
        <v/>
      </c>
      <c r="DB19" s="39"/>
      <c r="DC19" s="39"/>
      <c r="DD19" s="39"/>
      <c r="DE19" s="39"/>
      <c r="DF19" s="39"/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  <c r="DR19" s="14" t="str">
        <f t="shared" si="35"/>
        <v/>
      </c>
      <c r="DS19" s="14" t="str">
        <f t="shared" si="36"/>
        <v/>
      </c>
      <c r="DT19" s="14" t="str">
        <f t="shared" si="37"/>
        <v/>
      </c>
      <c r="DU19" s="14" t="str">
        <f t="shared" si="38"/>
        <v/>
      </c>
      <c r="DV19" s="14" t="str">
        <f t="shared" si="39"/>
        <v/>
      </c>
      <c r="DW19" s="40"/>
      <c r="DX19" s="40"/>
      <c r="DY19" s="40"/>
      <c r="DZ19" s="40"/>
      <c r="EA19" s="40"/>
      <c r="EB19" s="40"/>
      <c r="EC19" s="40"/>
      <c r="ED19" s="40"/>
      <c r="EE19" s="40"/>
      <c r="EF19" s="40"/>
      <c r="EG19" s="40"/>
      <c r="EH19" s="40"/>
      <c r="EI19" s="40"/>
      <c r="EJ19" s="40"/>
      <c r="EK19" s="40"/>
      <c r="EL19" s="40"/>
      <c r="EM19" s="11" t="str">
        <f t="shared" si="40"/>
        <v/>
      </c>
      <c r="EN19" s="11" t="str">
        <f t="shared" si="41"/>
        <v/>
      </c>
      <c r="EO19" s="11" t="str">
        <f t="shared" si="42"/>
        <v/>
      </c>
      <c r="EP19" s="11" t="str">
        <f t="shared" si="43"/>
        <v/>
      </c>
      <c r="EQ19" s="11" t="str">
        <f t="shared" si="44"/>
        <v/>
      </c>
      <c r="ER19" s="39"/>
      <c r="ES19" s="39"/>
      <c r="ET19" s="39"/>
      <c r="EU19" s="39"/>
      <c r="EV19" s="39"/>
      <c r="EW19" s="39"/>
      <c r="EX19" s="39"/>
      <c r="EY19" s="39"/>
      <c r="EZ19" s="39"/>
      <c r="FA19" s="39"/>
      <c r="FB19" s="39"/>
      <c r="FC19" s="39"/>
      <c r="FD19" s="39"/>
      <c r="FE19" s="39"/>
      <c r="FF19" s="39"/>
      <c r="FG19" s="39"/>
      <c r="FH19" s="14" t="str">
        <f t="shared" si="45"/>
        <v/>
      </c>
      <c r="FI19" s="14" t="str">
        <f t="shared" si="46"/>
        <v/>
      </c>
      <c r="FJ19" s="14" t="str">
        <f t="shared" si="47"/>
        <v/>
      </c>
      <c r="FK19" s="14" t="str">
        <f t="shared" si="48"/>
        <v/>
      </c>
      <c r="FL19" s="14" t="str">
        <f t="shared" si="49"/>
        <v/>
      </c>
      <c r="FM19" s="40"/>
      <c r="FN19" s="40"/>
      <c r="FO19" s="40"/>
      <c r="FP19" s="40"/>
      <c r="FQ19" s="40"/>
      <c r="FR19" s="40"/>
      <c r="FS19" s="40"/>
      <c r="FT19" s="40"/>
      <c r="FU19" s="40"/>
      <c r="FV19" s="40"/>
      <c r="FW19" s="40"/>
      <c r="FX19" s="40"/>
      <c r="FY19" s="40"/>
      <c r="FZ19" s="40"/>
      <c r="GA19" s="40"/>
      <c r="GB19" s="40"/>
      <c r="GC19" s="11" t="str">
        <f t="shared" si="50"/>
        <v/>
      </c>
      <c r="GD19" s="11" t="str">
        <f t="shared" si="51"/>
        <v/>
      </c>
      <c r="GE19" s="11" t="str">
        <f t="shared" si="52"/>
        <v/>
      </c>
      <c r="GF19" s="11" t="str">
        <f t="shared" si="53"/>
        <v/>
      </c>
      <c r="GG19" s="11" t="str">
        <f t="shared" si="54"/>
        <v/>
      </c>
      <c r="GH19" s="39"/>
      <c r="GI19" s="39"/>
      <c r="GJ19" s="39"/>
      <c r="GK19" s="39"/>
      <c r="GL19" s="39"/>
      <c r="GM19" s="39"/>
      <c r="GN19" s="39"/>
      <c r="GO19" s="39"/>
      <c r="GP19" s="39"/>
      <c r="GQ19" s="39"/>
      <c r="GR19" s="39"/>
      <c r="GS19" s="39"/>
      <c r="GT19" s="39"/>
      <c r="GU19" s="39"/>
      <c r="GV19" s="39"/>
      <c r="GW19" s="39"/>
      <c r="GX19" s="14" t="str">
        <f t="shared" si="55"/>
        <v/>
      </c>
      <c r="GY19" s="14" t="str">
        <f t="shared" si="56"/>
        <v/>
      </c>
      <c r="GZ19" s="14" t="str">
        <f t="shared" si="57"/>
        <v/>
      </c>
      <c r="HA19" s="14" t="str">
        <f t="shared" si="58"/>
        <v/>
      </c>
      <c r="HB19" s="14" t="str">
        <f t="shared" si="59"/>
        <v/>
      </c>
      <c r="HC19" s="40"/>
      <c r="HD19" s="40"/>
      <c r="HE19" s="40"/>
      <c r="HF19" s="40"/>
      <c r="HG19" s="40"/>
      <c r="HH19" s="40"/>
      <c r="HI19" s="40"/>
      <c r="HJ19" s="40"/>
      <c r="HK19" s="40"/>
      <c r="HL19" s="40"/>
      <c r="HM19" s="40"/>
      <c r="HN19" s="40"/>
      <c r="HO19" s="40"/>
      <c r="HP19" s="40"/>
      <c r="HQ19" s="40"/>
      <c r="HR19" s="40"/>
      <c r="HS19" s="11" t="str">
        <f t="shared" si="60"/>
        <v/>
      </c>
      <c r="HT19" s="11" t="str">
        <f t="shared" si="61"/>
        <v/>
      </c>
      <c r="HU19" s="11" t="str">
        <f t="shared" si="62"/>
        <v/>
      </c>
      <c r="HV19" s="11" t="str">
        <f t="shared" si="63"/>
        <v/>
      </c>
      <c r="HW19" s="11" t="str">
        <f t="shared" si="64"/>
        <v/>
      </c>
      <c r="HX19" s="39"/>
      <c r="HY19" s="39"/>
      <c r="HZ19" s="39"/>
      <c r="IA19" s="39"/>
      <c r="IB19" s="39"/>
      <c r="IC19" s="39"/>
      <c r="ID19" s="39"/>
      <c r="IE19" s="39"/>
      <c r="IF19" s="39"/>
      <c r="IG19" s="39"/>
      <c r="IH19" s="39"/>
      <c r="II19" s="39"/>
      <c r="IJ19" s="39"/>
      <c r="IK19" s="39"/>
      <c r="IL19" s="39"/>
      <c r="IM19" s="39"/>
      <c r="IN19" s="14" t="str">
        <f t="shared" si="65"/>
        <v/>
      </c>
      <c r="IO19" s="14" t="str">
        <f t="shared" si="66"/>
        <v/>
      </c>
      <c r="IP19" s="14" t="str">
        <f t="shared" si="67"/>
        <v/>
      </c>
      <c r="IQ19" s="14" t="str">
        <f t="shared" si="68"/>
        <v/>
      </c>
      <c r="IR19" s="14" t="str">
        <f t="shared" si="69"/>
        <v/>
      </c>
      <c r="IS19" s="40"/>
      <c r="IT19" s="40"/>
      <c r="IU19" s="40"/>
      <c r="IV19" s="40"/>
      <c r="IW19" s="40"/>
      <c r="IX19" s="40"/>
      <c r="IY19" s="40"/>
      <c r="IZ19" s="40"/>
      <c r="JA19" s="40"/>
      <c r="JB19" s="40"/>
      <c r="JC19" s="40"/>
      <c r="JD19" s="40"/>
      <c r="JE19" s="40"/>
      <c r="JF19" s="40"/>
      <c r="JG19" s="40"/>
      <c r="JH19" s="40"/>
      <c r="JI19" s="11" t="str">
        <f t="shared" si="70"/>
        <v/>
      </c>
      <c r="JJ19" s="11" t="str">
        <f t="shared" si="71"/>
        <v/>
      </c>
      <c r="JK19" s="11" t="str">
        <f t="shared" si="72"/>
        <v/>
      </c>
      <c r="JL19" s="11" t="str">
        <f t="shared" si="73"/>
        <v/>
      </c>
      <c r="JM19" s="11" t="str">
        <f t="shared" si="74"/>
        <v/>
      </c>
      <c r="JN19" s="39"/>
      <c r="JO19" s="39"/>
      <c r="JP19" s="39"/>
      <c r="JQ19" s="39"/>
      <c r="JR19" s="39"/>
      <c r="JS19" s="39"/>
      <c r="JT19" s="39"/>
      <c r="JU19" s="39"/>
      <c r="JV19" s="39"/>
      <c r="JW19" s="39"/>
      <c r="JX19" s="39"/>
      <c r="JY19" s="39"/>
      <c r="JZ19" s="39"/>
      <c r="KA19" s="39"/>
      <c r="KB19" s="39"/>
      <c r="KC19" s="39"/>
      <c r="KD19" s="14" t="str">
        <f t="shared" si="75"/>
        <v/>
      </c>
      <c r="KE19" s="14" t="str">
        <f t="shared" si="76"/>
        <v/>
      </c>
      <c r="KF19" s="14" t="str">
        <f t="shared" si="77"/>
        <v/>
      </c>
      <c r="KG19" s="14" t="str">
        <f t="shared" si="78"/>
        <v/>
      </c>
      <c r="KH19" s="14" t="str">
        <f t="shared" si="79"/>
        <v/>
      </c>
      <c r="KI19" s="40"/>
      <c r="KJ19" s="40"/>
      <c r="KK19" s="40"/>
      <c r="KL19" s="40"/>
      <c r="KM19" s="40"/>
      <c r="KN19" s="40"/>
      <c r="KO19" s="40"/>
      <c r="KP19" s="40"/>
      <c r="KQ19" s="40"/>
      <c r="KR19" s="40"/>
      <c r="KS19" s="40"/>
      <c r="KT19" s="40"/>
      <c r="KU19" s="40"/>
      <c r="KV19" s="40"/>
      <c r="KW19" s="40"/>
      <c r="KX19" s="40"/>
      <c r="KY19" s="11" t="str">
        <f t="shared" si="80"/>
        <v/>
      </c>
      <c r="KZ19" s="11" t="str">
        <f t="shared" si="81"/>
        <v/>
      </c>
      <c r="LA19" s="11" t="str">
        <f t="shared" si="82"/>
        <v/>
      </c>
      <c r="LB19" s="11" t="str">
        <f t="shared" si="83"/>
        <v/>
      </c>
      <c r="LC19" s="11" t="str">
        <f t="shared" si="84"/>
        <v/>
      </c>
      <c r="LD19" s="39"/>
      <c r="LE19" s="39"/>
      <c r="LF19" s="39"/>
      <c r="LG19" s="39"/>
      <c r="LH19" s="39"/>
      <c r="LI19" s="39"/>
      <c r="LJ19" s="39"/>
      <c r="LK19" s="39"/>
      <c r="LL19" s="39"/>
      <c r="LM19" s="39"/>
      <c r="LN19" s="39"/>
      <c r="LO19" s="39"/>
      <c r="LP19" s="39"/>
      <c r="LQ19" s="39"/>
      <c r="LR19" s="39"/>
      <c r="LS19" s="39"/>
      <c r="LT19" s="14" t="str">
        <f t="shared" si="85"/>
        <v/>
      </c>
      <c r="LU19" s="14" t="str">
        <f t="shared" si="86"/>
        <v/>
      </c>
      <c r="LV19" s="14" t="str">
        <f t="shared" si="87"/>
        <v/>
      </c>
      <c r="LW19" s="14" t="str">
        <f t="shared" si="88"/>
        <v/>
      </c>
      <c r="LX19" s="14" t="str">
        <f t="shared" si="89"/>
        <v/>
      </c>
      <c r="LY19" s="61">
        <f t="shared" si="90"/>
        <v>0</v>
      </c>
      <c r="LZ19" s="61">
        <f t="shared" si="91"/>
        <v>0</v>
      </c>
      <c r="MA19" s="61">
        <f t="shared" si="92"/>
        <v>0</v>
      </c>
      <c r="MB19" s="61">
        <f t="shared" si="93"/>
        <v>0</v>
      </c>
      <c r="MC19" s="61">
        <f t="shared" si="94"/>
        <v>0</v>
      </c>
      <c r="MD19" s="61">
        <f t="shared" si="95"/>
        <v>0</v>
      </c>
      <c r="ME19" s="61">
        <f t="shared" si="96"/>
        <v>0</v>
      </c>
      <c r="MF19" s="61">
        <f t="shared" si="97"/>
        <v>0</v>
      </c>
      <c r="MG19" s="61">
        <f t="shared" si="98"/>
        <v>0</v>
      </c>
      <c r="MH19" s="61">
        <f t="shared" si="99"/>
        <v>0</v>
      </c>
      <c r="MI19" s="61">
        <f t="shared" si="100"/>
        <v>0</v>
      </c>
      <c r="MJ19" s="61">
        <f t="shared" si="101"/>
        <v>0</v>
      </c>
      <c r="MK19" s="61">
        <f t="shared" si="102"/>
        <v>0</v>
      </c>
      <c r="ML19" s="61">
        <f t="shared" si="103"/>
        <v>0</v>
      </c>
      <c r="MM19" s="61">
        <f t="shared" si="104"/>
        <v>0</v>
      </c>
      <c r="MN19" s="61">
        <f t="shared" si="105"/>
        <v>0</v>
      </c>
      <c r="MO19" s="72" t="s">
        <v>52</v>
      </c>
      <c r="MP19" s="11" t="str">
        <f t="shared" si="106"/>
        <v/>
      </c>
      <c r="MQ19" s="11" t="str">
        <f t="shared" si="107"/>
        <v/>
      </c>
      <c r="MR19" s="11" t="str">
        <f t="shared" si="108"/>
        <v/>
      </c>
      <c r="MS19" s="11" t="str">
        <f t="shared" si="109"/>
        <v/>
      </c>
      <c r="MT19" s="11" t="str">
        <f t="shared" si="110"/>
        <v/>
      </c>
    </row>
    <row r="20" spans="1:358" x14ac:dyDescent="0.2">
      <c r="A20" s="5" t="str">
        <f t="shared" si="0"/>
        <v/>
      </c>
      <c r="B20" s="8" t="s">
        <v>122</v>
      </c>
      <c r="C20" s="4" t="s">
        <v>5</v>
      </c>
      <c r="D20" s="5">
        <v>2001</v>
      </c>
      <c r="E20" s="15">
        <f t="shared" si="1"/>
        <v>57.9</v>
      </c>
      <c r="F20" s="3" t="str">
        <f t="shared" si="2"/>
        <v/>
      </c>
      <c r="G20" s="3" t="str">
        <f t="shared" si="3"/>
        <v/>
      </c>
      <c r="H20" s="116" t="str">
        <f t="shared" si="4"/>
        <v/>
      </c>
      <c r="I20" s="3" t="str">
        <f t="shared" si="5"/>
        <v/>
      </c>
      <c r="J20" s="14">
        <f t="shared" si="6"/>
        <v>57.9</v>
      </c>
      <c r="K20" s="14" t="str">
        <f t="shared" si="7"/>
        <v>2021 2nd Virtual Technical Trial</v>
      </c>
      <c r="L20" s="14">
        <f t="shared" si="8"/>
        <v>0</v>
      </c>
      <c r="M20" s="14" t="str">
        <f t="shared" si="9"/>
        <v/>
      </c>
      <c r="N20" s="14" t="str">
        <f t="shared" si="10"/>
        <v/>
      </c>
      <c r="O20" s="24" t="str">
        <f t="shared" si="11"/>
        <v/>
      </c>
      <c r="P20" s="14" t="str">
        <f t="shared" si="12"/>
        <v/>
      </c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72"/>
      <c r="AH20" s="11" t="str">
        <f t="shared" si="13"/>
        <v/>
      </c>
      <c r="AI20" s="11" t="str">
        <f t="shared" si="14"/>
        <v/>
      </c>
      <c r="AJ20" s="11" t="str">
        <f t="shared" si="15"/>
        <v/>
      </c>
      <c r="AK20" s="11" t="str">
        <f t="shared" si="16"/>
        <v/>
      </c>
      <c r="AL20" s="11" t="str">
        <f t="shared" si="17"/>
        <v/>
      </c>
      <c r="AM20" s="36">
        <v>28.1</v>
      </c>
      <c r="AN20" s="36">
        <v>4.8</v>
      </c>
      <c r="AO20" s="36">
        <v>2.7</v>
      </c>
      <c r="AP20" s="36">
        <v>0</v>
      </c>
      <c r="AQ20" s="36">
        <v>27.6</v>
      </c>
      <c r="AR20" s="36">
        <v>3.8</v>
      </c>
      <c r="AS20" s="36">
        <v>3.7</v>
      </c>
      <c r="AT20" s="36">
        <v>0</v>
      </c>
      <c r="AU20" s="36">
        <v>20.399999999999999</v>
      </c>
      <c r="AV20" s="36">
        <v>2.4</v>
      </c>
      <c r="AW20" s="36">
        <v>0</v>
      </c>
      <c r="AX20" s="36">
        <v>0</v>
      </c>
      <c r="AY20" s="36">
        <v>20.2</v>
      </c>
      <c r="AZ20" s="36">
        <v>4</v>
      </c>
      <c r="BA20" s="36">
        <v>0</v>
      </c>
      <c r="BB20" s="36">
        <v>0</v>
      </c>
      <c r="BC20" s="73"/>
      <c r="BD20" s="14">
        <f t="shared" si="18"/>
        <v>8.6</v>
      </c>
      <c r="BE20" s="14">
        <f t="shared" si="19"/>
        <v>57.9</v>
      </c>
      <c r="BF20" s="14">
        <f t="shared" si="20"/>
        <v>6.4</v>
      </c>
      <c r="BG20" s="14">
        <f t="shared" si="21"/>
        <v>47</v>
      </c>
      <c r="BH20" s="14">
        <f t="shared" si="22"/>
        <v>104.9</v>
      </c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72"/>
      <c r="BZ20" s="11" t="str">
        <f t="shared" si="23"/>
        <v/>
      </c>
      <c r="CA20" s="11" t="str">
        <f t="shared" si="24"/>
        <v/>
      </c>
      <c r="CB20" s="11" t="str">
        <f t="shared" si="25"/>
        <v/>
      </c>
      <c r="CC20" s="11" t="str">
        <f t="shared" si="26"/>
        <v/>
      </c>
      <c r="CD20" s="11" t="str">
        <f t="shared" si="27"/>
        <v/>
      </c>
      <c r="CE20" s="23" t="str">
        <f t="shared" si="28"/>
        <v/>
      </c>
      <c r="CF20" s="23" t="str">
        <f t="shared" si="29"/>
        <v/>
      </c>
      <c r="CG20" s="40"/>
      <c r="CH20" s="40"/>
      <c r="CI20" s="40"/>
      <c r="CJ20" s="40"/>
      <c r="CK20" s="40"/>
      <c r="CL20" s="40"/>
      <c r="CM20" s="40"/>
      <c r="CN20" s="40"/>
      <c r="CO20" s="40"/>
      <c r="CP20" s="40"/>
      <c r="CQ20" s="40"/>
      <c r="CR20" s="40"/>
      <c r="CS20" s="40"/>
      <c r="CT20" s="40"/>
      <c r="CU20" s="40"/>
      <c r="CV20" s="40"/>
      <c r="CW20" s="11" t="str">
        <f t="shared" si="30"/>
        <v/>
      </c>
      <c r="CX20" s="11" t="str">
        <f t="shared" si="31"/>
        <v/>
      </c>
      <c r="CY20" s="11" t="str">
        <f t="shared" si="32"/>
        <v/>
      </c>
      <c r="CZ20" s="11" t="str">
        <f t="shared" si="33"/>
        <v/>
      </c>
      <c r="DA20" s="11" t="str">
        <f t="shared" si="34"/>
        <v/>
      </c>
      <c r="DB20" s="39"/>
      <c r="DC20" s="39"/>
      <c r="DD20" s="39"/>
      <c r="DE20" s="39"/>
      <c r="DF20" s="39"/>
      <c r="DG20" s="39"/>
      <c r="DH20" s="39"/>
      <c r="DI20" s="39"/>
      <c r="DJ20" s="39"/>
      <c r="DK20" s="39"/>
      <c r="DL20" s="39"/>
      <c r="DM20" s="39"/>
      <c r="DN20" s="39"/>
      <c r="DO20" s="39"/>
      <c r="DP20" s="39"/>
      <c r="DQ20" s="39"/>
      <c r="DR20" s="14" t="str">
        <f t="shared" si="35"/>
        <v/>
      </c>
      <c r="DS20" s="14" t="str">
        <f t="shared" si="36"/>
        <v/>
      </c>
      <c r="DT20" s="14" t="str">
        <f t="shared" si="37"/>
        <v/>
      </c>
      <c r="DU20" s="14" t="str">
        <f t="shared" si="38"/>
        <v/>
      </c>
      <c r="DV20" s="14" t="str">
        <f t="shared" si="39"/>
        <v/>
      </c>
      <c r="DW20" s="40"/>
      <c r="DX20" s="40"/>
      <c r="DY20" s="40"/>
      <c r="DZ20" s="40"/>
      <c r="EA20" s="40"/>
      <c r="EB20" s="40"/>
      <c r="EC20" s="40"/>
      <c r="ED20" s="40"/>
      <c r="EE20" s="40"/>
      <c r="EF20" s="40"/>
      <c r="EG20" s="40"/>
      <c r="EH20" s="40"/>
      <c r="EI20" s="40"/>
      <c r="EJ20" s="40"/>
      <c r="EK20" s="40"/>
      <c r="EL20" s="40"/>
      <c r="EM20" s="11" t="str">
        <f t="shared" si="40"/>
        <v/>
      </c>
      <c r="EN20" s="11" t="str">
        <f t="shared" si="41"/>
        <v/>
      </c>
      <c r="EO20" s="11" t="str">
        <f t="shared" si="42"/>
        <v/>
      </c>
      <c r="EP20" s="11" t="str">
        <f t="shared" si="43"/>
        <v/>
      </c>
      <c r="EQ20" s="11" t="str">
        <f t="shared" si="44"/>
        <v/>
      </c>
      <c r="ER20" s="39"/>
      <c r="ES20" s="39"/>
      <c r="ET20" s="39"/>
      <c r="EU20" s="39"/>
      <c r="EV20" s="39"/>
      <c r="EW20" s="39"/>
      <c r="EX20" s="39"/>
      <c r="EY20" s="39"/>
      <c r="EZ20" s="39"/>
      <c r="FA20" s="39"/>
      <c r="FB20" s="39"/>
      <c r="FC20" s="39"/>
      <c r="FD20" s="39"/>
      <c r="FE20" s="39"/>
      <c r="FF20" s="39"/>
      <c r="FG20" s="39"/>
      <c r="FH20" s="14" t="str">
        <f t="shared" si="45"/>
        <v/>
      </c>
      <c r="FI20" s="14" t="str">
        <f t="shared" si="46"/>
        <v/>
      </c>
      <c r="FJ20" s="14" t="str">
        <f t="shared" si="47"/>
        <v/>
      </c>
      <c r="FK20" s="14" t="str">
        <f t="shared" si="48"/>
        <v/>
      </c>
      <c r="FL20" s="14" t="str">
        <f t="shared" si="49"/>
        <v/>
      </c>
      <c r="FM20" s="40"/>
      <c r="FN20" s="40"/>
      <c r="FO20" s="40"/>
      <c r="FP20" s="40"/>
      <c r="FQ20" s="40"/>
      <c r="FR20" s="40"/>
      <c r="FS20" s="40"/>
      <c r="FT20" s="40"/>
      <c r="FU20" s="40"/>
      <c r="FV20" s="40"/>
      <c r="FW20" s="40"/>
      <c r="FX20" s="40"/>
      <c r="FY20" s="40"/>
      <c r="FZ20" s="40"/>
      <c r="GA20" s="40"/>
      <c r="GB20" s="40"/>
      <c r="GC20" s="11" t="str">
        <f t="shared" si="50"/>
        <v/>
      </c>
      <c r="GD20" s="11" t="str">
        <f t="shared" si="51"/>
        <v/>
      </c>
      <c r="GE20" s="11" t="str">
        <f t="shared" si="52"/>
        <v/>
      </c>
      <c r="GF20" s="11" t="str">
        <f t="shared" si="53"/>
        <v/>
      </c>
      <c r="GG20" s="11" t="str">
        <f t="shared" si="54"/>
        <v/>
      </c>
      <c r="GH20" s="39"/>
      <c r="GI20" s="39"/>
      <c r="GJ20" s="39"/>
      <c r="GK20" s="39"/>
      <c r="GL20" s="39"/>
      <c r="GM20" s="39"/>
      <c r="GN20" s="39"/>
      <c r="GO20" s="39"/>
      <c r="GP20" s="39"/>
      <c r="GQ20" s="39"/>
      <c r="GR20" s="39"/>
      <c r="GS20" s="39"/>
      <c r="GT20" s="39"/>
      <c r="GU20" s="39"/>
      <c r="GV20" s="39"/>
      <c r="GW20" s="39"/>
      <c r="GX20" s="14" t="str">
        <f t="shared" si="55"/>
        <v/>
      </c>
      <c r="GY20" s="14" t="str">
        <f t="shared" si="56"/>
        <v/>
      </c>
      <c r="GZ20" s="14" t="str">
        <f t="shared" si="57"/>
        <v/>
      </c>
      <c r="HA20" s="14" t="str">
        <f t="shared" si="58"/>
        <v/>
      </c>
      <c r="HB20" s="14" t="str">
        <f t="shared" si="59"/>
        <v/>
      </c>
      <c r="HC20" s="40"/>
      <c r="HD20" s="40"/>
      <c r="HE20" s="40"/>
      <c r="HF20" s="40"/>
      <c r="HG20" s="40"/>
      <c r="HH20" s="40"/>
      <c r="HI20" s="40"/>
      <c r="HJ20" s="40"/>
      <c r="HK20" s="40"/>
      <c r="HL20" s="40"/>
      <c r="HM20" s="40"/>
      <c r="HN20" s="40"/>
      <c r="HO20" s="40"/>
      <c r="HP20" s="40"/>
      <c r="HQ20" s="40"/>
      <c r="HR20" s="40"/>
      <c r="HS20" s="11" t="str">
        <f t="shared" si="60"/>
        <v/>
      </c>
      <c r="HT20" s="11" t="str">
        <f t="shared" si="61"/>
        <v/>
      </c>
      <c r="HU20" s="11" t="str">
        <f t="shared" si="62"/>
        <v/>
      </c>
      <c r="HV20" s="11" t="str">
        <f t="shared" si="63"/>
        <v/>
      </c>
      <c r="HW20" s="11" t="str">
        <f t="shared" si="64"/>
        <v/>
      </c>
      <c r="HX20" s="39"/>
      <c r="HY20" s="39"/>
      <c r="HZ20" s="39"/>
      <c r="IA20" s="39"/>
      <c r="IB20" s="39"/>
      <c r="IC20" s="39"/>
      <c r="ID20" s="39"/>
      <c r="IE20" s="39"/>
      <c r="IF20" s="39"/>
      <c r="IG20" s="39"/>
      <c r="IH20" s="39"/>
      <c r="II20" s="39"/>
      <c r="IJ20" s="39"/>
      <c r="IK20" s="39"/>
      <c r="IL20" s="39"/>
      <c r="IM20" s="39"/>
      <c r="IN20" s="14" t="str">
        <f t="shared" si="65"/>
        <v/>
      </c>
      <c r="IO20" s="14" t="str">
        <f t="shared" si="66"/>
        <v/>
      </c>
      <c r="IP20" s="14" t="str">
        <f t="shared" si="67"/>
        <v/>
      </c>
      <c r="IQ20" s="14" t="str">
        <f t="shared" si="68"/>
        <v/>
      </c>
      <c r="IR20" s="14" t="str">
        <f t="shared" si="69"/>
        <v/>
      </c>
      <c r="IS20" s="40"/>
      <c r="IT20" s="40"/>
      <c r="IU20" s="40"/>
      <c r="IV20" s="40"/>
      <c r="IW20" s="40"/>
      <c r="IX20" s="40"/>
      <c r="IY20" s="40"/>
      <c r="IZ20" s="40"/>
      <c r="JA20" s="40"/>
      <c r="JB20" s="40"/>
      <c r="JC20" s="40"/>
      <c r="JD20" s="40"/>
      <c r="JE20" s="40"/>
      <c r="JF20" s="40"/>
      <c r="JG20" s="40"/>
      <c r="JH20" s="40"/>
      <c r="JI20" s="11" t="str">
        <f t="shared" si="70"/>
        <v/>
      </c>
      <c r="JJ20" s="11" t="str">
        <f t="shared" si="71"/>
        <v/>
      </c>
      <c r="JK20" s="11" t="str">
        <f t="shared" si="72"/>
        <v/>
      </c>
      <c r="JL20" s="11" t="str">
        <f t="shared" si="73"/>
        <v/>
      </c>
      <c r="JM20" s="11" t="str">
        <f t="shared" si="74"/>
        <v/>
      </c>
      <c r="JN20" s="39"/>
      <c r="JO20" s="39"/>
      <c r="JP20" s="39"/>
      <c r="JQ20" s="39"/>
      <c r="JR20" s="39"/>
      <c r="JS20" s="39"/>
      <c r="JT20" s="39"/>
      <c r="JU20" s="39"/>
      <c r="JV20" s="39"/>
      <c r="JW20" s="39"/>
      <c r="JX20" s="39"/>
      <c r="JY20" s="39"/>
      <c r="JZ20" s="39"/>
      <c r="KA20" s="39"/>
      <c r="KB20" s="39"/>
      <c r="KC20" s="39"/>
      <c r="KD20" s="14" t="str">
        <f t="shared" si="75"/>
        <v/>
      </c>
      <c r="KE20" s="14" t="str">
        <f t="shared" si="76"/>
        <v/>
      </c>
      <c r="KF20" s="14" t="str">
        <f t="shared" si="77"/>
        <v/>
      </c>
      <c r="KG20" s="14" t="str">
        <f t="shared" si="78"/>
        <v/>
      </c>
      <c r="KH20" s="14" t="str">
        <f t="shared" si="79"/>
        <v/>
      </c>
      <c r="KI20" s="40"/>
      <c r="KJ20" s="40"/>
      <c r="KK20" s="40"/>
      <c r="KL20" s="40"/>
      <c r="KM20" s="40"/>
      <c r="KN20" s="40"/>
      <c r="KO20" s="40"/>
      <c r="KP20" s="40"/>
      <c r="KQ20" s="40"/>
      <c r="KR20" s="40"/>
      <c r="KS20" s="40"/>
      <c r="KT20" s="40"/>
      <c r="KU20" s="40"/>
      <c r="KV20" s="40"/>
      <c r="KW20" s="40"/>
      <c r="KX20" s="40"/>
      <c r="KY20" s="11" t="str">
        <f t="shared" si="80"/>
        <v/>
      </c>
      <c r="KZ20" s="11" t="str">
        <f t="shared" si="81"/>
        <v/>
      </c>
      <c r="LA20" s="11" t="str">
        <f t="shared" si="82"/>
        <v/>
      </c>
      <c r="LB20" s="11" t="str">
        <f t="shared" si="83"/>
        <v/>
      </c>
      <c r="LC20" s="11" t="str">
        <f t="shared" si="84"/>
        <v/>
      </c>
      <c r="LD20" s="39"/>
      <c r="LE20" s="39"/>
      <c r="LF20" s="39"/>
      <c r="LG20" s="39"/>
      <c r="LH20" s="39"/>
      <c r="LI20" s="39"/>
      <c r="LJ20" s="39"/>
      <c r="LK20" s="39"/>
      <c r="LL20" s="39"/>
      <c r="LM20" s="39"/>
      <c r="LN20" s="39"/>
      <c r="LO20" s="39"/>
      <c r="LP20" s="39"/>
      <c r="LQ20" s="39"/>
      <c r="LR20" s="39"/>
      <c r="LS20" s="39"/>
      <c r="LT20" s="14" t="str">
        <f t="shared" si="85"/>
        <v/>
      </c>
      <c r="LU20" s="14" t="str">
        <f t="shared" si="86"/>
        <v/>
      </c>
      <c r="LV20" s="14" t="str">
        <f t="shared" si="87"/>
        <v/>
      </c>
      <c r="LW20" s="14" t="str">
        <f t="shared" si="88"/>
        <v/>
      </c>
      <c r="LX20" s="14" t="str">
        <f t="shared" si="89"/>
        <v/>
      </c>
      <c r="LY20" s="61">
        <f t="shared" si="90"/>
        <v>14.05</v>
      </c>
      <c r="LZ20" s="61">
        <f t="shared" si="91"/>
        <v>2.4</v>
      </c>
      <c r="MA20" s="61">
        <f t="shared" si="92"/>
        <v>1.35</v>
      </c>
      <c r="MB20" s="61">
        <f t="shared" si="93"/>
        <v>0</v>
      </c>
      <c r="MC20" s="61">
        <f t="shared" si="94"/>
        <v>13.8</v>
      </c>
      <c r="MD20" s="61">
        <f t="shared" si="95"/>
        <v>1.9</v>
      </c>
      <c r="ME20" s="61">
        <f t="shared" si="96"/>
        <v>1.85</v>
      </c>
      <c r="MF20" s="61">
        <f t="shared" si="97"/>
        <v>0</v>
      </c>
      <c r="MG20" s="61">
        <f t="shared" si="98"/>
        <v>10.199999999999999</v>
      </c>
      <c r="MH20" s="61">
        <f t="shared" si="99"/>
        <v>1.2</v>
      </c>
      <c r="MI20" s="61">
        <f t="shared" si="100"/>
        <v>0</v>
      </c>
      <c r="MJ20" s="61">
        <f t="shared" si="101"/>
        <v>0</v>
      </c>
      <c r="MK20" s="61">
        <f t="shared" si="102"/>
        <v>10.1</v>
      </c>
      <c r="ML20" s="61">
        <f t="shared" si="103"/>
        <v>2</v>
      </c>
      <c r="MM20" s="61">
        <f t="shared" si="104"/>
        <v>0</v>
      </c>
      <c r="MN20" s="61">
        <f t="shared" si="105"/>
        <v>0</v>
      </c>
      <c r="MO20" s="72" t="s">
        <v>52</v>
      </c>
      <c r="MP20" s="11">
        <f t="shared" si="106"/>
        <v>4.3</v>
      </c>
      <c r="MQ20" s="11">
        <f t="shared" si="107"/>
        <v>28.95</v>
      </c>
      <c r="MR20" s="11">
        <f t="shared" si="108"/>
        <v>3.2</v>
      </c>
      <c r="MS20" s="11">
        <f t="shared" si="109"/>
        <v>23.5</v>
      </c>
      <c r="MT20" s="11">
        <f t="shared" si="110"/>
        <v>52.45</v>
      </c>
    </row>
    <row r="21" spans="1:358" x14ac:dyDescent="0.2">
      <c r="A21" s="5" t="str">
        <f t="shared" si="0"/>
        <v/>
      </c>
      <c r="B21" s="8" t="s">
        <v>139</v>
      </c>
      <c r="C21" s="4" t="s">
        <v>5</v>
      </c>
      <c r="D21" s="5">
        <v>2004</v>
      </c>
      <c r="E21" s="15">
        <f t="shared" si="1"/>
        <v>55.6</v>
      </c>
      <c r="F21" s="3" t="str">
        <f t="shared" si="2"/>
        <v/>
      </c>
      <c r="G21" s="3" t="str">
        <f t="shared" si="3"/>
        <v/>
      </c>
      <c r="H21" s="116" t="str">
        <f t="shared" si="4"/>
        <v/>
      </c>
      <c r="I21" s="3" t="str">
        <f t="shared" si="5"/>
        <v/>
      </c>
      <c r="J21" s="14">
        <f t="shared" si="6"/>
        <v>55.6</v>
      </c>
      <c r="K21" s="14" t="str">
        <f t="shared" si="7"/>
        <v>2021 Elite Canada</v>
      </c>
      <c r="L21" s="14">
        <f t="shared" si="8"/>
        <v>0</v>
      </c>
      <c r="M21" s="14" t="str">
        <f t="shared" si="9"/>
        <v/>
      </c>
      <c r="N21" s="14" t="str">
        <f t="shared" si="10"/>
        <v/>
      </c>
      <c r="O21" s="24" t="str">
        <f t="shared" si="11"/>
        <v/>
      </c>
      <c r="P21" s="14" t="str">
        <f t="shared" si="12"/>
        <v/>
      </c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72"/>
      <c r="AH21" s="11" t="str">
        <f t="shared" si="13"/>
        <v/>
      </c>
      <c r="AI21" s="11" t="str">
        <f t="shared" si="14"/>
        <v/>
      </c>
      <c r="AJ21" s="11" t="str">
        <f t="shared" si="15"/>
        <v/>
      </c>
      <c r="AK21" s="11" t="str">
        <f t="shared" si="16"/>
        <v/>
      </c>
      <c r="AL21" s="11" t="str">
        <f t="shared" si="17"/>
        <v/>
      </c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73"/>
      <c r="BD21" s="14" t="str">
        <f t="shared" si="18"/>
        <v/>
      </c>
      <c r="BE21" s="14" t="str">
        <f t="shared" si="19"/>
        <v/>
      </c>
      <c r="BF21" s="14" t="str">
        <f t="shared" si="20"/>
        <v/>
      </c>
      <c r="BG21" s="14" t="str">
        <f t="shared" si="21"/>
        <v/>
      </c>
      <c r="BH21" s="14" t="str">
        <f t="shared" si="22"/>
        <v/>
      </c>
      <c r="BI21" s="61">
        <v>19.899999999999999</v>
      </c>
      <c r="BJ21" s="61">
        <v>2.4</v>
      </c>
      <c r="BK21" s="61">
        <v>0</v>
      </c>
      <c r="BL21" s="61">
        <v>0</v>
      </c>
      <c r="BM21" s="61">
        <v>27.7</v>
      </c>
      <c r="BN21" s="61">
        <v>5.6</v>
      </c>
      <c r="BO21" s="61">
        <v>0</v>
      </c>
      <c r="BP21" s="61">
        <v>0</v>
      </c>
      <c r="BQ21" s="61">
        <v>19.600000000000001</v>
      </c>
      <c r="BR21" s="61">
        <v>2.4</v>
      </c>
      <c r="BS21" s="61">
        <v>0</v>
      </c>
      <c r="BT21" s="61">
        <v>0</v>
      </c>
      <c r="BU21" s="61">
        <v>27.3</v>
      </c>
      <c r="BV21" s="61">
        <v>4.8</v>
      </c>
      <c r="BW21" s="61">
        <v>0.3</v>
      </c>
      <c r="BX21" s="61">
        <v>0</v>
      </c>
      <c r="BY21" s="72"/>
      <c r="BZ21" s="11">
        <f t="shared" si="23"/>
        <v>8</v>
      </c>
      <c r="CA21" s="11">
        <f t="shared" si="24"/>
        <v>55.6</v>
      </c>
      <c r="CB21" s="11">
        <f t="shared" si="25"/>
        <v>7.1999999999999993</v>
      </c>
      <c r="CC21" s="11">
        <f t="shared" si="26"/>
        <v>53.8</v>
      </c>
      <c r="CD21" s="11">
        <f t="shared" si="27"/>
        <v>109.4</v>
      </c>
      <c r="CE21" s="23" t="str">
        <f t="shared" si="28"/>
        <v/>
      </c>
      <c r="CF21" s="23" t="str">
        <f t="shared" si="29"/>
        <v/>
      </c>
      <c r="CG21" s="40"/>
      <c r="CH21" s="40"/>
      <c r="CI21" s="40"/>
      <c r="CJ21" s="40"/>
      <c r="CK21" s="40"/>
      <c r="CL21" s="40"/>
      <c r="CM21" s="40"/>
      <c r="CN21" s="40"/>
      <c r="CO21" s="40"/>
      <c r="CP21" s="40"/>
      <c r="CQ21" s="40"/>
      <c r="CR21" s="40"/>
      <c r="CS21" s="40"/>
      <c r="CT21" s="40"/>
      <c r="CU21" s="40"/>
      <c r="CV21" s="40"/>
      <c r="CW21" s="11" t="str">
        <f t="shared" si="30"/>
        <v/>
      </c>
      <c r="CX21" s="11" t="str">
        <f t="shared" si="31"/>
        <v/>
      </c>
      <c r="CY21" s="11" t="str">
        <f t="shared" si="32"/>
        <v/>
      </c>
      <c r="CZ21" s="11" t="str">
        <f t="shared" si="33"/>
        <v/>
      </c>
      <c r="DA21" s="11" t="str">
        <f t="shared" si="34"/>
        <v/>
      </c>
      <c r="DB21" s="39"/>
      <c r="DC21" s="39"/>
      <c r="DD21" s="39"/>
      <c r="DE21" s="39"/>
      <c r="DF21" s="39"/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  <c r="DR21" s="14" t="str">
        <f t="shared" si="35"/>
        <v/>
      </c>
      <c r="DS21" s="14" t="str">
        <f t="shared" si="36"/>
        <v/>
      </c>
      <c r="DT21" s="14" t="str">
        <f t="shared" si="37"/>
        <v/>
      </c>
      <c r="DU21" s="14" t="str">
        <f t="shared" si="38"/>
        <v/>
      </c>
      <c r="DV21" s="14" t="str">
        <f t="shared" si="39"/>
        <v/>
      </c>
      <c r="DW21" s="40"/>
      <c r="DX21" s="40"/>
      <c r="DY21" s="40"/>
      <c r="DZ21" s="40"/>
      <c r="EA21" s="40"/>
      <c r="EB21" s="40"/>
      <c r="EC21" s="40"/>
      <c r="ED21" s="40"/>
      <c r="EE21" s="40"/>
      <c r="EF21" s="40"/>
      <c r="EG21" s="40"/>
      <c r="EH21" s="40"/>
      <c r="EI21" s="40"/>
      <c r="EJ21" s="40"/>
      <c r="EK21" s="40"/>
      <c r="EL21" s="40"/>
      <c r="EM21" s="11" t="str">
        <f t="shared" si="40"/>
        <v/>
      </c>
      <c r="EN21" s="11" t="str">
        <f t="shared" si="41"/>
        <v/>
      </c>
      <c r="EO21" s="11" t="str">
        <f t="shared" si="42"/>
        <v/>
      </c>
      <c r="EP21" s="11" t="str">
        <f t="shared" si="43"/>
        <v/>
      </c>
      <c r="EQ21" s="11" t="str">
        <f t="shared" si="44"/>
        <v/>
      </c>
      <c r="ER21" s="39"/>
      <c r="ES21" s="39"/>
      <c r="ET21" s="39"/>
      <c r="EU21" s="39"/>
      <c r="EV21" s="39"/>
      <c r="EW21" s="39"/>
      <c r="EX21" s="39"/>
      <c r="EY21" s="39"/>
      <c r="EZ21" s="39"/>
      <c r="FA21" s="39"/>
      <c r="FB21" s="39"/>
      <c r="FC21" s="39"/>
      <c r="FD21" s="39"/>
      <c r="FE21" s="39"/>
      <c r="FF21" s="39"/>
      <c r="FG21" s="39"/>
      <c r="FH21" s="14" t="str">
        <f t="shared" si="45"/>
        <v/>
      </c>
      <c r="FI21" s="14" t="str">
        <f t="shared" si="46"/>
        <v/>
      </c>
      <c r="FJ21" s="14" t="str">
        <f t="shared" si="47"/>
        <v/>
      </c>
      <c r="FK21" s="14" t="str">
        <f t="shared" si="48"/>
        <v/>
      </c>
      <c r="FL21" s="14" t="str">
        <f t="shared" si="49"/>
        <v/>
      </c>
      <c r="FM21" s="40"/>
      <c r="FN21" s="40"/>
      <c r="FO21" s="40"/>
      <c r="FP21" s="40"/>
      <c r="FQ21" s="40"/>
      <c r="FR21" s="40"/>
      <c r="FS21" s="40"/>
      <c r="FT21" s="40"/>
      <c r="FU21" s="40"/>
      <c r="FV21" s="40"/>
      <c r="FW21" s="40"/>
      <c r="FX21" s="40"/>
      <c r="FY21" s="40"/>
      <c r="FZ21" s="40"/>
      <c r="GA21" s="40"/>
      <c r="GB21" s="40"/>
      <c r="GC21" s="11" t="str">
        <f t="shared" si="50"/>
        <v/>
      </c>
      <c r="GD21" s="11" t="str">
        <f t="shared" si="51"/>
        <v/>
      </c>
      <c r="GE21" s="11" t="str">
        <f t="shared" si="52"/>
        <v/>
      </c>
      <c r="GF21" s="11" t="str">
        <f t="shared" si="53"/>
        <v/>
      </c>
      <c r="GG21" s="11" t="str">
        <f t="shared" si="54"/>
        <v/>
      </c>
      <c r="GH21" s="39"/>
      <c r="GI21" s="39"/>
      <c r="GJ21" s="39"/>
      <c r="GK21" s="39"/>
      <c r="GL21" s="39"/>
      <c r="GM21" s="39"/>
      <c r="GN21" s="39"/>
      <c r="GO21" s="39"/>
      <c r="GP21" s="39"/>
      <c r="GQ21" s="39"/>
      <c r="GR21" s="39"/>
      <c r="GS21" s="39"/>
      <c r="GT21" s="39"/>
      <c r="GU21" s="39"/>
      <c r="GV21" s="39"/>
      <c r="GW21" s="39"/>
      <c r="GX21" s="14" t="str">
        <f t="shared" si="55"/>
        <v/>
      </c>
      <c r="GY21" s="14" t="str">
        <f t="shared" si="56"/>
        <v/>
      </c>
      <c r="GZ21" s="14" t="str">
        <f t="shared" si="57"/>
        <v/>
      </c>
      <c r="HA21" s="14" t="str">
        <f t="shared" si="58"/>
        <v/>
      </c>
      <c r="HB21" s="14" t="str">
        <f t="shared" si="59"/>
        <v/>
      </c>
      <c r="HC21" s="40"/>
      <c r="HD21" s="40"/>
      <c r="HE21" s="40"/>
      <c r="HF21" s="40"/>
      <c r="HG21" s="40"/>
      <c r="HH21" s="40"/>
      <c r="HI21" s="40"/>
      <c r="HJ21" s="40"/>
      <c r="HK21" s="40"/>
      <c r="HL21" s="40"/>
      <c r="HM21" s="40"/>
      <c r="HN21" s="40"/>
      <c r="HO21" s="40"/>
      <c r="HP21" s="40"/>
      <c r="HQ21" s="40"/>
      <c r="HR21" s="40"/>
      <c r="HS21" s="11" t="str">
        <f t="shared" si="60"/>
        <v/>
      </c>
      <c r="HT21" s="11" t="str">
        <f t="shared" si="61"/>
        <v/>
      </c>
      <c r="HU21" s="11" t="str">
        <f t="shared" si="62"/>
        <v/>
      </c>
      <c r="HV21" s="11" t="str">
        <f t="shared" si="63"/>
        <v/>
      </c>
      <c r="HW21" s="11" t="str">
        <f t="shared" si="64"/>
        <v/>
      </c>
      <c r="HX21" s="39"/>
      <c r="HY21" s="39"/>
      <c r="HZ21" s="39"/>
      <c r="IA21" s="39"/>
      <c r="IB21" s="39"/>
      <c r="IC21" s="39"/>
      <c r="ID21" s="39"/>
      <c r="IE21" s="39"/>
      <c r="IF21" s="39"/>
      <c r="IG21" s="39"/>
      <c r="IH21" s="39"/>
      <c r="II21" s="39"/>
      <c r="IJ21" s="39"/>
      <c r="IK21" s="39"/>
      <c r="IL21" s="39"/>
      <c r="IM21" s="39"/>
      <c r="IN21" s="14" t="str">
        <f t="shared" si="65"/>
        <v/>
      </c>
      <c r="IO21" s="14" t="str">
        <f t="shared" si="66"/>
        <v/>
      </c>
      <c r="IP21" s="14" t="str">
        <f t="shared" si="67"/>
        <v/>
      </c>
      <c r="IQ21" s="14" t="str">
        <f t="shared" si="68"/>
        <v/>
      </c>
      <c r="IR21" s="14" t="str">
        <f t="shared" si="69"/>
        <v/>
      </c>
      <c r="IS21" s="40"/>
      <c r="IT21" s="40"/>
      <c r="IU21" s="40"/>
      <c r="IV21" s="40"/>
      <c r="IW21" s="40"/>
      <c r="IX21" s="40"/>
      <c r="IY21" s="40"/>
      <c r="IZ21" s="40"/>
      <c r="JA21" s="40"/>
      <c r="JB21" s="40"/>
      <c r="JC21" s="40"/>
      <c r="JD21" s="40"/>
      <c r="JE21" s="40"/>
      <c r="JF21" s="40"/>
      <c r="JG21" s="40"/>
      <c r="JH21" s="40"/>
      <c r="JI21" s="11" t="str">
        <f t="shared" si="70"/>
        <v/>
      </c>
      <c r="JJ21" s="11" t="str">
        <f t="shared" si="71"/>
        <v/>
      </c>
      <c r="JK21" s="11" t="str">
        <f t="shared" si="72"/>
        <v/>
      </c>
      <c r="JL21" s="11" t="str">
        <f t="shared" si="73"/>
        <v/>
      </c>
      <c r="JM21" s="11" t="str">
        <f t="shared" si="74"/>
        <v/>
      </c>
      <c r="JN21" s="39"/>
      <c r="JO21" s="39"/>
      <c r="JP21" s="39"/>
      <c r="JQ21" s="39"/>
      <c r="JR21" s="39"/>
      <c r="JS21" s="39"/>
      <c r="JT21" s="39"/>
      <c r="JU21" s="39"/>
      <c r="JV21" s="39"/>
      <c r="JW21" s="39"/>
      <c r="JX21" s="39"/>
      <c r="JY21" s="39"/>
      <c r="JZ21" s="39"/>
      <c r="KA21" s="39"/>
      <c r="KB21" s="39"/>
      <c r="KC21" s="39"/>
      <c r="KD21" s="14" t="str">
        <f t="shared" si="75"/>
        <v/>
      </c>
      <c r="KE21" s="14" t="str">
        <f t="shared" si="76"/>
        <v/>
      </c>
      <c r="KF21" s="14" t="str">
        <f t="shared" si="77"/>
        <v/>
      </c>
      <c r="KG21" s="14" t="str">
        <f t="shared" si="78"/>
        <v/>
      </c>
      <c r="KH21" s="14" t="str">
        <f t="shared" si="79"/>
        <v/>
      </c>
      <c r="KI21" s="40"/>
      <c r="KJ21" s="40"/>
      <c r="KK21" s="40"/>
      <c r="KL21" s="40"/>
      <c r="KM21" s="40"/>
      <c r="KN21" s="40"/>
      <c r="KO21" s="40"/>
      <c r="KP21" s="40"/>
      <c r="KQ21" s="40"/>
      <c r="KR21" s="40"/>
      <c r="KS21" s="40"/>
      <c r="KT21" s="40"/>
      <c r="KU21" s="40"/>
      <c r="KV21" s="40"/>
      <c r="KW21" s="40"/>
      <c r="KX21" s="40"/>
      <c r="KY21" s="11" t="str">
        <f t="shared" si="80"/>
        <v/>
      </c>
      <c r="KZ21" s="11" t="str">
        <f t="shared" si="81"/>
        <v/>
      </c>
      <c r="LA21" s="11" t="str">
        <f t="shared" si="82"/>
        <v/>
      </c>
      <c r="LB21" s="11" t="str">
        <f t="shared" si="83"/>
        <v/>
      </c>
      <c r="LC21" s="11" t="str">
        <f t="shared" si="84"/>
        <v/>
      </c>
      <c r="LD21" s="39"/>
      <c r="LE21" s="39"/>
      <c r="LF21" s="39"/>
      <c r="LG21" s="39"/>
      <c r="LH21" s="39"/>
      <c r="LI21" s="39"/>
      <c r="LJ21" s="39"/>
      <c r="LK21" s="39"/>
      <c r="LL21" s="39"/>
      <c r="LM21" s="39"/>
      <c r="LN21" s="39"/>
      <c r="LO21" s="39"/>
      <c r="LP21" s="39"/>
      <c r="LQ21" s="39"/>
      <c r="LR21" s="39"/>
      <c r="LS21" s="39"/>
      <c r="LT21" s="14" t="str">
        <f t="shared" si="85"/>
        <v/>
      </c>
      <c r="LU21" s="14" t="str">
        <f t="shared" si="86"/>
        <v/>
      </c>
      <c r="LV21" s="14" t="str">
        <f t="shared" si="87"/>
        <v/>
      </c>
      <c r="LW21" s="14" t="str">
        <f t="shared" si="88"/>
        <v/>
      </c>
      <c r="LX21" s="14" t="str">
        <f t="shared" si="89"/>
        <v/>
      </c>
      <c r="LY21" s="61">
        <f t="shared" si="90"/>
        <v>9.9499999999999993</v>
      </c>
      <c r="LZ21" s="61">
        <f t="shared" si="91"/>
        <v>1.2</v>
      </c>
      <c r="MA21" s="61">
        <f t="shared" si="92"/>
        <v>0</v>
      </c>
      <c r="MB21" s="61">
        <f t="shared" si="93"/>
        <v>0</v>
      </c>
      <c r="MC21" s="61">
        <f t="shared" si="94"/>
        <v>13.85</v>
      </c>
      <c r="MD21" s="61">
        <f t="shared" si="95"/>
        <v>2.8</v>
      </c>
      <c r="ME21" s="61">
        <f t="shared" si="96"/>
        <v>0</v>
      </c>
      <c r="MF21" s="61">
        <f t="shared" si="97"/>
        <v>0</v>
      </c>
      <c r="MG21" s="61">
        <f t="shared" si="98"/>
        <v>9.8000000000000007</v>
      </c>
      <c r="MH21" s="61">
        <f t="shared" si="99"/>
        <v>1.2</v>
      </c>
      <c r="MI21" s="61">
        <f t="shared" si="100"/>
        <v>0</v>
      </c>
      <c r="MJ21" s="61">
        <f t="shared" si="101"/>
        <v>0</v>
      </c>
      <c r="MK21" s="61">
        <f t="shared" si="102"/>
        <v>13.65</v>
      </c>
      <c r="ML21" s="61">
        <f t="shared" si="103"/>
        <v>2.4</v>
      </c>
      <c r="MM21" s="61">
        <f t="shared" si="104"/>
        <v>0.15</v>
      </c>
      <c r="MN21" s="61">
        <f t="shared" si="105"/>
        <v>0</v>
      </c>
      <c r="MO21" s="72" t="s">
        <v>52</v>
      </c>
      <c r="MP21" s="11">
        <f t="shared" si="106"/>
        <v>4</v>
      </c>
      <c r="MQ21" s="11">
        <f t="shared" si="107"/>
        <v>27.8</v>
      </c>
      <c r="MR21" s="11">
        <f t="shared" si="108"/>
        <v>3.5999999999999996</v>
      </c>
      <c r="MS21" s="11">
        <f t="shared" si="109"/>
        <v>26.9</v>
      </c>
      <c r="MT21" s="11">
        <f t="shared" si="110"/>
        <v>54.7</v>
      </c>
    </row>
    <row r="24" spans="1:358" x14ac:dyDescent="0.2">
      <c r="B24" s="62" t="s">
        <v>50</v>
      </c>
      <c r="AH24" s="49"/>
      <c r="AJ24" s="49"/>
      <c r="AL24" s="56">
        <v>12.8</v>
      </c>
      <c r="BD24" s="49"/>
      <c r="BF24" s="49"/>
      <c r="BH24" s="56">
        <v>12.8</v>
      </c>
      <c r="BZ24" s="49"/>
      <c r="CB24" s="49"/>
      <c r="CD24" s="56">
        <v>12.8</v>
      </c>
      <c r="CW24" s="49"/>
      <c r="CY24" s="49"/>
      <c r="DA24" s="56">
        <v>12.8</v>
      </c>
      <c r="DR24" s="49"/>
      <c r="DT24" s="49"/>
      <c r="DV24" s="56">
        <v>12.8</v>
      </c>
      <c r="EM24" s="49"/>
      <c r="EO24" s="49"/>
      <c r="EQ24" s="56">
        <v>12.8</v>
      </c>
      <c r="FH24" s="49"/>
      <c r="FJ24" s="49"/>
      <c r="FL24" s="56">
        <v>12.8</v>
      </c>
      <c r="GC24" s="49"/>
      <c r="GE24" s="49"/>
      <c r="GG24" s="56">
        <v>12.8</v>
      </c>
      <c r="GX24" s="49"/>
      <c r="GZ24" s="49"/>
      <c r="HB24" s="56">
        <v>12.8</v>
      </c>
      <c r="HS24" s="49"/>
      <c r="HU24" s="49"/>
      <c r="HW24" s="56">
        <v>12.8</v>
      </c>
      <c r="IN24" s="49"/>
      <c r="IP24" s="49"/>
      <c r="IR24" s="56">
        <v>12.8</v>
      </c>
      <c r="JI24" s="49"/>
      <c r="JK24" s="49"/>
      <c r="JM24" s="56">
        <v>12.8</v>
      </c>
      <c r="KD24" s="49"/>
      <c r="KF24" s="49"/>
      <c r="KH24" s="56">
        <v>12.8</v>
      </c>
      <c r="KY24" s="49"/>
      <c r="LA24" s="49"/>
      <c r="LC24" s="56">
        <v>12.8</v>
      </c>
      <c r="LT24" s="49"/>
      <c r="LV24" s="49"/>
      <c r="LX24" s="56">
        <v>12.8</v>
      </c>
    </row>
    <row r="25" spans="1:358" hidden="1" x14ac:dyDescent="0.2">
      <c r="B25" s="83" t="s">
        <v>49</v>
      </c>
      <c r="AH25" s="49"/>
      <c r="AJ25" s="49"/>
      <c r="AL25" s="96">
        <v>1000</v>
      </c>
      <c r="BD25" s="49"/>
      <c r="BF25" s="49"/>
      <c r="BH25" s="96">
        <v>1000</v>
      </c>
      <c r="BZ25" s="49"/>
      <c r="CB25" s="49"/>
      <c r="CD25" s="96">
        <v>1000</v>
      </c>
      <c r="CW25" s="49"/>
      <c r="CY25" s="49"/>
      <c r="DA25" s="96">
        <v>1000</v>
      </c>
      <c r="DR25" s="49"/>
      <c r="DT25" s="49"/>
      <c r="DV25" s="96">
        <v>1000</v>
      </c>
      <c r="EM25" s="49"/>
      <c r="EO25" s="49"/>
      <c r="EQ25" s="96">
        <v>1000</v>
      </c>
      <c r="FH25" s="49"/>
      <c r="FJ25" s="49"/>
      <c r="FL25" s="96">
        <v>1000</v>
      </c>
      <c r="GC25" s="49"/>
      <c r="GE25" s="49"/>
      <c r="GG25" s="96">
        <v>1000</v>
      </c>
      <c r="GX25" s="49"/>
      <c r="GZ25" s="49"/>
      <c r="HB25" s="96">
        <v>1000</v>
      </c>
      <c r="HS25" s="49"/>
      <c r="HU25" s="49"/>
      <c r="HW25" s="96">
        <v>1000</v>
      </c>
      <c r="IN25" s="49"/>
      <c r="IP25" s="49"/>
      <c r="IR25" s="96">
        <v>1000</v>
      </c>
      <c r="JI25" s="49"/>
      <c r="JK25" s="49"/>
      <c r="JM25" s="96">
        <v>1000</v>
      </c>
      <c r="KD25" s="49"/>
      <c r="KF25" s="49"/>
      <c r="KH25" s="96">
        <v>1000</v>
      </c>
      <c r="KY25" s="49"/>
      <c r="LA25" s="49"/>
      <c r="LC25" s="96">
        <v>1000</v>
      </c>
      <c r="LT25" s="49"/>
      <c r="LV25" s="49"/>
      <c r="LX25" s="96">
        <v>1000</v>
      </c>
    </row>
    <row r="26" spans="1:358" hidden="1" x14ac:dyDescent="0.2">
      <c r="A26" s="49"/>
      <c r="B26" s="84" t="s">
        <v>62</v>
      </c>
      <c r="C26" s="48"/>
      <c r="AH26" s="49"/>
      <c r="AJ26" s="49"/>
      <c r="AK26" s="117"/>
      <c r="AL26" s="97">
        <v>1000</v>
      </c>
      <c r="BD26" s="49"/>
      <c r="BF26" s="49"/>
      <c r="BG26" s="117"/>
      <c r="BH26" s="97">
        <v>1000</v>
      </c>
      <c r="BZ26" s="49"/>
      <c r="CB26" s="49"/>
      <c r="CD26" s="97">
        <v>1000</v>
      </c>
      <c r="CW26" s="49"/>
      <c r="CY26" s="49"/>
      <c r="CZ26" s="117"/>
      <c r="DA26" s="97">
        <v>1000</v>
      </c>
      <c r="DR26" s="49"/>
      <c r="DT26" s="49"/>
      <c r="DV26" s="97">
        <v>1000</v>
      </c>
      <c r="EM26" s="49"/>
      <c r="EO26" s="49"/>
      <c r="EQ26" s="97">
        <v>1000</v>
      </c>
      <c r="FH26" s="49"/>
      <c r="FJ26" s="49"/>
      <c r="FL26" s="97">
        <v>1000</v>
      </c>
      <c r="GC26" s="49"/>
      <c r="GE26" s="49"/>
      <c r="GG26" s="97">
        <v>1000</v>
      </c>
      <c r="GX26" s="49"/>
      <c r="GZ26" s="49"/>
      <c r="HB26" s="97">
        <v>1000</v>
      </c>
      <c r="HS26" s="49"/>
      <c r="HU26" s="49"/>
      <c r="HW26" s="97">
        <v>1000</v>
      </c>
      <c r="IN26" s="49"/>
      <c r="IP26" s="49"/>
      <c r="IR26" s="97">
        <v>1000</v>
      </c>
      <c r="JI26" s="49"/>
      <c r="JK26" s="49"/>
      <c r="JM26" s="97">
        <v>1000</v>
      </c>
      <c r="KD26" s="49"/>
      <c r="KF26" s="49"/>
      <c r="KH26" s="97">
        <v>1000</v>
      </c>
      <c r="KY26" s="49"/>
      <c r="LA26" s="49"/>
      <c r="LC26" s="97">
        <v>1000</v>
      </c>
      <c r="LT26" s="49"/>
      <c r="LV26" s="49"/>
      <c r="LX26" s="97">
        <v>1000</v>
      </c>
    </row>
    <row r="27" spans="1:358" hidden="1" x14ac:dyDescent="0.2">
      <c r="A27" s="49"/>
      <c r="B27" s="63" t="s">
        <v>70</v>
      </c>
      <c r="C27" s="48"/>
      <c r="AH27" s="49"/>
      <c r="AJ27" s="49"/>
      <c r="AL27" s="57">
        <v>1000</v>
      </c>
      <c r="BD27" s="49"/>
      <c r="BF27" s="49"/>
      <c r="BH27" s="57">
        <v>1000</v>
      </c>
      <c r="BZ27" s="49"/>
      <c r="CB27" s="49"/>
      <c r="CD27" s="57">
        <v>1000</v>
      </c>
      <c r="CW27" s="49"/>
      <c r="CY27" s="49"/>
      <c r="DA27" s="57">
        <v>1000</v>
      </c>
      <c r="DR27" s="49"/>
      <c r="DT27" s="49"/>
      <c r="DV27" s="57">
        <v>1000</v>
      </c>
      <c r="EM27" s="49"/>
      <c r="EO27" s="49"/>
      <c r="EP27" s="117"/>
      <c r="EQ27" s="57">
        <v>1000</v>
      </c>
      <c r="FH27" s="49"/>
      <c r="FJ27" s="49"/>
      <c r="FL27" s="57">
        <v>1000</v>
      </c>
      <c r="GC27" s="49"/>
      <c r="GE27" s="49"/>
      <c r="GG27" s="57">
        <v>1000</v>
      </c>
      <c r="GX27" s="49"/>
      <c r="GZ27" s="49"/>
      <c r="HB27" s="57">
        <v>1000</v>
      </c>
      <c r="HS27" s="49"/>
      <c r="HU27" s="49"/>
      <c r="HW27" s="57">
        <v>1000</v>
      </c>
      <c r="IN27" s="49"/>
      <c r="IP27" s="49"/>
      <c r="IR27" s="57">
        <v>1000</v>
      </c>
      <c r="JI27" s="49"/>
      <c r="JK27" s="49"/>
      <c r="JM27" s="57">
        <v>1000</v>
      </c>
      <c r="KD27" s="49"/>
      <c r="KF27" s="49"/>
      <c r="KH27" s="57">
        <v>1000</v>
      </c>
      <c r="KY27" s="49"/>
      <c r="LA27" s="49"/>
      <c r="LC27" s="57">
        <v>1000</v>
      </c>
      <c r="LT27" s="49"/>
      <c r="LV27" s="49"/>
      <c r="LX27" s="57">
        <v>1000</v>
      </c>
    </row>
    <row r="28" spans="1:358" x14ac:dyDescent="0.2">
      <c r="A28" s="49"/>
      <c r="B28" s="65" t="s">
        <v>47</v>
      </c>
      <c r="C28" s="48"/>
      <c r="AH28" s="49"/>
      <c r="AJ28" s="49"/>
      <c r="AL28" s="59">
        <v>68.599999999999994</v>
      </c>
      <c r="BD28" s="49"/>
      <c r="BF28" s="49"/>
      <c r="BH28" s="59">
        <v>68.599999999999994</v>
      </c>
      <c r="BZ28" s="49"/>
      <c r="CB28" s="49"/>
      <c r="CD28" s="59">
        <v>68.599999999999994</v>
      </c>
      <c r="CW28" s="49"/>
      <c r="CY28" s="49"/>
      <c r="DA28" s="59">
        <v>68.599999999999994</v>
      </c>
      <c r="DR28" s="49"/>
      <c r="DT28" s="49"/>
      <c r="DV28" s="59">
        <v>68.599999999999994</v>
      </c>
      <c r="EM28" s="49"/>
      <c r="EO28" s="49"/>
      <c r="EQ28" s="59">
        <v>68.599999999999994</v>
      </c>
      <c r="FH28" s="49"/>
      <c r="FJ28" s="49"/>
      <c r="FL28" s="59">
        <v>68.599999999999994</v>
      </c>
      <c r="GC28" s="49"/>
      <c r="GE28" s="49"/>
      <c r="GG28" s="59">
        <v>68.599999999999994</v>
      </c>
      <c r="GX28" s="49"/>
      <c r="GZ28" s="49"/>
      <c r="HB28" s="59">
        <v>68.599999999999994</v>
      </c>
      <c r="HS28" s="49"/>
      <c r="HU28" s="49"/>
      <c r="HW28" s="59">
        <v>68.599999999999994</v>
      </c>
      <c r="IN28" s="49"/>
      <c r="IP28" s="49"/>
      <c r="IR28" s="59">
        <v>68.599999999999994</v>
      </c>
      <c r="JI28" s="49"/>
      <c r="JK28" s="49"/>
      <c r="JM28" s="59">
        <v>68.599999999999994</v>
      </c>
      <c r="KD28" s="49"/>
      <c r="KF28" s="49"/>
      <c r="KH28" s="59">
        <v>68.599999999999994</v>
      </c>
      <c r="KY28" s="49"/>
      <c r="LA28" s="49"/>
      <c r="LC28" s="59">
        <v>68.599999999999994</v>
      </c>
      <c r="LT28" s="49"/>
      <c r="LV28" s="49"/>
      <c r="LX28" s="59">
        <v>68.599999999999994</v>
      </c>
    </row>
    <row r="29" spans="1:358" hidden="1" x14ac:dyDescent="0.2">
      <c r="A29" s="49"/>
      <c r="B29" s="64" t="s">
        <v>48</v>
      </c>
      <c r="C29" s="48"/>
      <c r="AH29" s="49"/>
      <c r="AJ29" s="49"/>
      <c r="AL29" s="58">
        <v>1000</v>
      </c>
      <c r="BD29" s="49"/>
      <c r="BF29" s="49"/>
      <c r="BH29" s="58">
        <v>1000</v>
      </c>
      <c r="BZ29" s="49"/>
      <c r="CB29" s="49"/>
      <c r="CD29" s="58">
        <v>1000</v>
      </c>
      <c r="CW29" s="49"/>
      <c r="CY29" s="49"/>
      <c r="DA29" s="58">
        <v>1000</v>
      </c>
      <c r="DR29" s="49"/>
      <c r="DT29" s="49"/>
      <c r="DV29" s="58">
        <v>1000</v>
      </c>
      <c r="EM29" s="49"/>
      <c r="EO29" s="49"/>
      <c r="EQ29" s="58">
        <v>1000</v>
      </c>
      <c r="FH29" s="49"/>
      <c r="FJ29" s="49"/>
      <c r="FL29" s="58">
        <v>1000</v>
      </c>
      <c r="GC29" s="49"/>
      <c r="GE29" s="49"/>
      <c r="GG29" s="58">
        <v>1000</v>
      </c>
      <c r="GX29" s="49"/>
      <c r="GZ29" s="49"/>
      <c r="HB29" s="58">
        <v>1000</v>
      </c>
      <c r="HS29" s="49"/>
      <c r="HU29" s="49"/>
      <c r="HW29" s="58">
        <v>1000</v>
      </c>
      <c r="IN29" s="49"/>
      <c r="IP29" s="49"/>
      <c r="IR29" s="58">
        <v>1000</v>
      </c>
      <c r="JI29" s="49"/>
      <c r="JK29" s="49"/>
      <c r="JM29" s="58">
        <v>1000</v>
      </c>
      <c r="KD29" s="49"/>
      <c r="KF29" s="49"/>
      <c r="KH29" s="58">
        <v>1000</v>
      </c>
      <c r="KY29" s="49"/>
      <c r="LA29" s="49"/>
      <c r="LC29" s="58">
        <v>1000</v>
      </c>
      <c r="LT29" s="49"/>
      <c r="LV29" s="49"/>
      <c r="LX29" s="58">
        <v>1000</v>
      </c>
    </row>
    <row r="30" spans="1:358" hidden="1" x14ac:dyDescent="0.2">
      <c r="A30" s="49"/>
      <c r="B30" s="106" t="s">
        <v>60</v>
      </c>
      <c r="C30" s="48"/>
      <c r="AH30" s="49"/>
      <c r="AJ30" s="49"/>
      <c r="AK30" s="117"/>
      <c r="AL30" s="107">
        <v>1000</v>
      </c>
      <c r="BD30" s="49"/>
      <c r="BF30" s="49"/>
      <c r="BG30" s="117"/>
      <c r="BH30" s="107">
        <v>1000</v>
      </c>
      <c r="BZ30" s="49"/>
      <c r="CB30" s="49"/>
      <c r="CD30" s="107">
        <v>1000</v>
      </c>
      <c r="CW30" s="49"/>
      <c r="CY30" s="49"/>
      <c r="CZ30" s="117"/>
      <c r="DA30" s="107">
        <v>1000</v>
      </c>
      <c r="DR30" s="49"/>
      <c r="DT30" s="49"/>
      <c r="DV30" s="107">
        <v>1000</v>
      </c>
      <c r="EM30" s="49"/>
      <c r="EO30" s="49"/>
      <c r="EQ30" s="107">
        <v>1000</v>
      </c>
      <c r="FH30" s="49"/>
      <c r="FJ30" s="49"/>
      <c r="FK30" s="117"/>
      <c r="FL30" s="107">
        <v>1000</v>
      </c>
      <c r="GC30" s="49"/>
      <c r="GE30" s="49"/>
      <c r="GG30" s="107">
        <v>1000</v>
      </c>
      <c r="GX30" s="49"/>
      <c r="GZ30" s="49"/>
      <c r="HB30" s="107">
        <v>1000</v>
      </c>
      <c r="HS30" s="49"/>
      <c r="HU30" s="49"/>
      <c r="HW30" s="107">
        <v>1000</v>
      </c>
      <c r="IN30" s="49"/>
      <c r="IP30" s="49"/>
      <c r="IR30" s="107">
        <v>1000</v>
      </c>
      <c r="JI30" s="49"/>
      <c r="JK30" s="49"/>
      <c r="JM30" s="107">
        <v>1000</v>
      </c>
      <c r="KD30" s="49"/>
      <c r="KF30" s="49"/>
      <c r="KH30" s="107">
        <v>1000</v>
      </c>
      <c r="KY30" s="49"/>
      <c r="LA30" s="49"/>
      <c r="LC30" s="107">
        <v>1000</v>
      </c>
      <c r="LT30" s="49"/>
      <c r="LV30" s="49"/>
      <c r="LX30" s="107">
        <v>1000</v>
      </c>
    </row>
    <row r="31" spans="1:358" hidden="1" x14ac:dyDescent="0.2">
      <c r="A31" s="49"/>
      <c r="B31" s="66" t="s">
        <v>34</v>
      </c>
      <c r="C31" s="48"/>
      <c r="AH31" s="49"/>
      <c r="AJ31" s="49"/>
      <c r="AL31" s="60">
        <v>1000</v>
      </c>
      <c r="BD31" s="49"/>
      <c r="BF31" s="49"/>
      <c r="BH31" s="60">
        <v>1000</v>
      </c>
      <c r="BZ31" s="49"/>
      <c r="CB31" s="49"/>
      <c r="CD31" s="60">
        <v>1000</v>
      </c>
      <c r="CW31" s="49"/>
      <c r="CY31" s="49"/>
      <c r="DA31" s="60">
        <v>1000</v>
      </c>
      <c r="DR31" s="49"/>
      <c r="DT31" s="49"/>
      <c r="DV31" s="60">
        <v>1000</v>
      </c>
      <c r="EM31" s="49"/>
      <c r="EO31" s="49"/>
      <c r="EP31" s="117"/>
      <c r="EQ31" s="60">
        <v>1000</v>
      </c>
      <c r="FH31" s="49"/>
      <c r="FJ31" s="49"/>
      <c r="FL31" s="60">
        <v>1000</v>
      </c>
      <c r="GC31" s="49"/>
      <c r="GE31" s="49"/>
      <c r="GG31" s="60">
        <v>1000</v>
      </c>
      <c r="GX31" s="49"/>
      <c r="GZ31" s="49"/>
      <c r="HB31" s="60">
        <v>1000</v>
      </c>
      <c r="HS31" s="49"/>
      <c r="HU31" s="49"/>
      <c r="HW31" s="60">
        <v>1000</v>
      </c>
      <c r="IN31" s="49"/>
      <c r="IP31" s="49"/>
      <c r="IR31" s="60">
        <v>1000</v>
      </c>
      <c r="JI31" s="49"/>
      <c r="JK31" s="49"/>
      <c r="JM31" s="60">
        <v>1000</v>
      </c>
      <c r="KD31" s="49"/>
      <c r="KF31" s="49"/>
      <c r="KH31" s="60">
        <v>1000</v>
      </c>
      <c r="KY31" s="49"/>
      <c r="LA31" s="49"/>
      <c r="LC31" s="60">
        <v>1000</v>
      </c>
      <c r="LT31" s="49"/>
      <c r="LV31" s="49"/>
      <c r="LX31" s="60">
        <v>1000</v>
      </c>
    </row>
    <row r="32" spans="1:358" x14ac:dyDescent="0.2">
      <c r="B32" s="74" t="s">
        <v>53</v>
      </c>
      <c r="C32" s="2"/>
      <c r="CX32" s="6"/>
      <c r="KE32" s="6"/>
    </row>
    <row r="33" spans="1:3" x14ac:dyDescent="0.2">
      <c r="A33" s="49"/>
      <c r="B33" s="49"/>
      <c r="C33" s="48"/>
    </row>
    <row r="34" spans="1:3" x14ac:dyDescent="0.2">
      <c r="A34" s="49"/>
      <c r="B34" s="49"/>
      <c r="C34" s="48"/>
    </row>
    <row r="35" spans="1:3" x14ac:dyDescent="0.2">
      <c r="A35" s="49"/>
      <c r="B35" s="49"/>
      <c r="C35" s="48"/>
    </row>
  </sheetData>
  <sheetProtection sheet="1" formatCells="0" formatColumns="0" formatRows="0"/>
  <autoFilter ref="A1:MT10" xr:uid="{D760B576-5B0F-AB48-9AF8-312B8BAFEA6D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21">
      <sortCondition descending="1" ref="F1:F22"/>
    </sortState>
  </autoFilter>
  <mergeCells count="97">
    <mergeCell ref="P1:P3"/>
    <mergeCell ref="Q1:AL1"/>
    <mergeCell ref="AM1:BH1"/>
    <mergeCell ref="O1:O3"/>
    <mergeCell ref="H1:H3"/>
    <mergeCell ref="J1:J3"/>
    <mergeCell ref="L1:L3"/>
    <mergeCell ref="N1:N3"/>
    <mergeCell ref="K1:K3"/>
    <mergeCell ref="M1:M3"/>
    <mergeCell ref="LD1:LX1"/>
    <mergeCell ref="LD2:LG2"/>
    <mergeCell ref="LH2:LK2"/>
    <mergeCell ref="LL2:LO2"/>
    <mergeCell ref="LP2:LS2"/>
    <mergeCell ref="JN1:KH1"/>
    <mergeCell ref="KI1:LC1"/>
    <mergeCell ref="JN2:JQ2"/>
    <mergeCell ref="JR2:JU2"/>
    <mergeCell ref="JV2:JY2"/>
    <mergeCell ref="JZ2:KC2"/>
    <mergeCell ref="KI2:KL2"/>
    <mergeCell ref="KM2:KP2"/>
    <mergeCell ref="KQ2:KT2"/>
    <mergeCell ref="KU2:KX2"/>
    <mergeCell ref="HX1:IR1"/>
    <mergeCell ref="IS1:JM1"/>
    <mergeCell ref="HX2:IA2"/>
    <mergeCell ref="IB2:IE2"/>
    <mergeCell ref="IF2:II2"/>
    <mergeCell ref="IJ2:IM2"/>
    <mergeCell ref="IS2:IV2"/>
    <mergeCell ref="IW2:IZ2"/>
    <mergeCell ref="JA2:JD2"/>
    <mergeCell ref="JE2:JH2"/>
    <mergeCell ref="GH1:HB1"/>
    <mergeCell ref="HC1:HW1"/>
    <mergeCell ref="GH2:GK2"/>
    <mergeCell ref="GL2:GO2"/>
    <mergeCell ref="GP2:GS2"/>
    <mergeCell ref="GT2:GW2"/>
    <mergeCell ref="HC2:HF2"/>
    <mergeCell ref="HG2:HJ2"/>
    <mergeCell ref="HK2:HN2"/>
    <mergeCell ref="HO2:HR2"/>
    <mergeCell ref="FM1:GG1"/>
    <mergeCell ref="ER2:EU2"/>
    <mergeCell ref="EV2:EY2"/>
    <mergeCell ref="EZ2:FC2"/>
    <mergeCell ref="FD2:FG2"/>
    <mergeCell ref="FM2:FP2"/>
    <mergeCell ref="FQ2:FT2"/>
    <mergeCell ref="FU2:FX2"/>
    <mergeCell ref="FY2:GB2"/>
    <mergeCell ref="ER1:FL1"/>
    <mergeCell ref="A1:A3"/>
    <mergeCell ref="B1:B3"/>
    <mergeCell ref="C1:C3"/>
    <mergeCell ref="E1:E3"/>
    <mergeCell ref="I1:I3"/>
    <mergeCell ref="F1:F3"/>
    <mergeCell ref="D1:D3"/>
    <mergeCell ref="G1:G3"/>
    <mergeCell ref="EA2:ED2"/>
    <mergeCell ref="EE2:EH2"/>
    <mergeCell ref="EI2:EL2"/>
    <mergeCell ref="CG1:DA1"/>
    <mergeCell ref="DB1:DV1"/>
    <mergeCell ref="DN2:DQ2"/>
    <mergeCell ref="CG2:CJ2"/>
    <mergeCell ref="CK2:CN2"/>
    <mergeCell ref="CO2:CR2"/>
    <mergeCell ref="CS2:CV2"/>
    <mergeCell ref="DB2:DE2"/>
    <mergeCell ref="DW1:EQ1"/>
    <mergeCell ref="DW2:DZ2"/>
    <mergeCell ref="CE1:CF1"/>
    <mergeCell ref="DF2:DI2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BI1:CD1"/>
    <mergeCell ref="BI2:BL2"/>
    <mergeCell ref="BM2:BP2"/>
    <mergeCell ref="BQ2:BT2"/>
    <mergeCell ref="BU2:BX2"/>
    <mergeCell ref="LY1:MT1"/>
    <mergeCell ref="LY2:MB2"/>
    <mergeCell ref="MC2:MF2"/>
    <mergeCell ref="MG2:MJ2"/>
    <mergeCell ref="MK2:MN2"/>
  </mergeCells>
  <conditionalFormatting sqref="AM4:BH21">
    <cfRule type="expression" dxfId="39" priority="3" stopIfTrue="1">
      <formula>IF($BC4&lt;&gt;"",1,0)</formula>
    </cfRule>
  </conditionalFormatting>
  <conditionalFormatting sqref="Q4:AL21">
    <cfRule type="expression" dxfId="38" priority="1" stopIfTrue="1">
      <formula>IF($AG4&lt;&gt;"",1,0)</formula>
    </cfRule>
  </conditionalFormatting>
  <conditionalFormatting sqref="K1:K1048576 M1:M1048576">
    <cfRule type="expression" dxfId="37" priority="36335">
      <formula>IF(K1=$BI$1,1,0)</formula>
    </cfRule>
    <cfRule type="expression" dxfId="36" priority="36601">
      <formula>IF(K1=$AM$1,1,0)</formula>
    </cfRule>
    <cfRule type="expression" dxfId="35" priority="36602">
      <formula>IF(K1=$Q$1,1,0)</formula>
    </cfRule>
  </conditionalFormatting>
  <conditionalFormatting sqref="BI4:CD21">
    <cfRule type="expression" dxfId="34" priority="2" stopIfTrue="1">
      <formula>IF($BY4&lt;&gt;"",1,0)</formula>
    </cfRule>
  </conditionalFormatting>
  <conditionalFormatting sqref="A1:A1048576">
    <cfRule type="expression" dxfId="33" priority="38432">
      <formula>AND(G1="P",F1="")</formula>
    </cfRule>
  </conditionalFormatting>
  <conditionalFormatting sqref="H1:H1048576">
    <cfRule type="containsText" dxfId="32" priority="5" operator="containsText" text="No DD">
      <formula>NOT(ISERROR(SEARCH("No DD",H1)))</formula>
    </cfRule>
    <cfRule type="containsText" dxfId="31" priority="6" operator="containsText" text="Merit">
      <formula>NOT(ISERROR(SEARCH("Merit",H1)))</formula>
    </cfRule>
    <cfRule type="containsText" dxfId="30" priority="26" operator="containsText" text="Excellence">
      <formula>NOT(ISERROR(SEARCH("Excellence",H1)))</formula>
    </cfRule>
    <cfRule type="containsText" dxfId="29" priority="27" operator="containsText" text="Worlds Team">
      <formula>NOT(ISERROR(SEARCH("Worlds Team",H1)))</formula>
    </cfRule>
    <cfRule type="containsText" dxfId="28" priority="28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27" priority="45837" operator="between">
      <formula>AL$27</formula>
      <formula>1000</formula>
    </cfRule>
    <cfRule type="cellIs" dxfId="26" priority="45838" operator="between">
      <formula>AL$26</formula>
      <formula>AL$27</formula>
    </cfRule>
    <cfRule type="cellIs" dxfId="25" priority="45839" operator="between">
      <formula>AL$25</formula>
      <formula>AL$26</formula>
    </cfRule>
    <cfRule type="cellIs" dxfId="24" priority="45840" operator="between">
      <formula>AL$24</formula>
      <formula>AL$25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23" priority="46017" operator="between">
      <formula>AL$31</formula>
      <formula>1000</formula>
    </cfRule>
    <cfRule type="cellIs" dxfId="22" priority="46018" operator="between">
      <formula>AL$30</formula>
      <formula>AL$31</formula>
    </cfRule>
    <cfRule type="cellIs" dxfId="21" priority="46019" operator="between">
      <formula>AL$29</formula>
      <formula>AL$30</formula>
    </cfRule>
    <cfRule type="cellIs" dxfId="20" priority="46020" operator="between">
      <formula>AL$28</formula>
      <formula>AL$29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F594-8680-D546-B3F5-C3E5E4A8E4B9}">
  <sheetPr codeName="Sheet10"/>
  <dimension ref="A1:MT3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16" bestFit="1" customWidth="1"/>
    <col min="9" max="9" width="17.33203125" hidden="1" customWidth="1"/>
    <col min="11" max="11" width="27.5" bestFit="1" customWidth="1"/>
    <col min="13" max="13" width="27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78" width="10.83203125" customWidth="1"/>
    <col min="81" max="82" width="10.83203125" customWidth="1"/>
    <col min="83" max="84" width="14.33203125" customWidth="1"/>
    <col min="85" max="358" width="10.83203125" hidden="1" customWidth="1"/>
  </cols>
  <sheetData>
    <row r="1" spans="1:358" ht="16" customHeight="1" x14ac:dyDescent="0.2">
      <c r="A1" s="123" t="s">
        <v>1</v>
      </c>
      <c r="B1" s="123" t="s">
        <v>25</v>
      </c>
      <c r="C1" s="123" t="s">
        <v>0</v>
      </c>
      <c r="D1" s="123" t="s">
        <v>54</v>
      </c>
      <c r="E1" s="123" t="s">
        <v>2</v>
      </c>
      <c r="F1" s="132" t="s">
        <v>59</v>
      </c>
      <c r="G1" s="132" t="s">
        <v>8</v>
      </c>
      <c r="H1" s="123" t="s">
        <v>9</v>
      </c>
      <c r="I1" s="132" t="s">
        <v>119</v>
      </c>
      <c r="J1" s="129" t="s">
        <v>10</v>
      </c>
      <c r="K1" s="128" t="s">
        <v>32</v>
      </c>
      <c r="L1" s="129" t="s">
        <v>134</v>
      </c>
      <c r="M1" s="128" t="s">
        <v>32</v>
      </c>
      <c r="N1" s="127" t="s">
        <v>13</v>
      </c>
      <c r="O1" s="128" t="s">
        <v>33</v>
      </c>
      <c r="P1" s="128" t="s">
        <v>32</v>
      </c>
      <c r="Q1" s="124" t="s">
        <v>69</v>
      </c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6" t="s">
        <v>120</v>
      </c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4" t="s">
        <v>135</v>
      </c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30" t="s">
        <v>13</v>
      </c>
      <c r="CF1" s="130"/>
      <c r="CG1" s="136"/>
      <c r="CH1" s="136"/>
      <c r="CI1" s="136"/>
      <c r="CJ1" s="136"/>
      <c r="CK1" s="136"/>
      <c r="CL1" s="136"/>
      <c r="CM1" s="136"/>
      <c r="CN1" s="136"/>
      <c r="CO1" s="136"/>
      <c r="CP1" s="136"/>
      <c r="CQ1" s="136"/>
      <c r="CR1" s="136"/>
      <c r="CS1" s="136"/>
      <c r="CT1" s="136"/>
      <c r="CU1" s="136"/>
      <c r="CV1" s="136"/>
      <c r="CW1" s="136"/>
      <c r="CX1" s="136"/>
      <c r="CY1" s="136"/>
      <c r="CZ1" s="136"/>
      <c r="DA1" s="136"/>
      <c r="DB1" s="137"/>
      <c r="DC1" s="137"/>
      <c r="DD1" s="137"/>
      <c r="DE1" s="137"/>
      <c r="DF1" s="137"/>
      <c r="DG1" s="137"/>
      <c r="DH1" s="137"/>
      <c r="DI1" s="137"/>
      <c r="DJ1" s="137"/>
      <c r="DK1" s="137"/>
      <c r="DL1" s="137"/>
      <c r="DM1" s="137"/>
      <c r="DN1" s="137"/>
      <c r="DO1" s="137"/>
      <c r="DP1" s="137"/>
      <c r="DQ1" s="137"/>
      <c r="DR1" s="137"/>
      <c r="DS1" s="137"/>
      <c r="DT1" s="137"/>
      <c r="DU1" s="137"/>
      <c r="DV1" s="137"/>
      <c r="DW1" s="136"/>
      <c r="DX1" s="136"/>
      <c r="DY1" s="136"/>
      <c r="DZ1" s="136"/>
      <c r="EA1" s="136"/>
      <c r="EB1" s="136"/>
      <c r="EC1" s="136"/>
      <c r="ED1" s="136"/>
      <c r="EE1" s="136"/>
      <c r="EF1" s="136"/>
      <c r="EG1" s="136"/>
      <c r="EH1" s="136"/>
      <c r="EI1" s="136"/>
      <c r="EJ1" s="136"/>
      <c r="EK1" s="136"/>
      <c r="EL1" s="136"/>
      <c r="EM1" s="136"/>
      <c r="EN1" s="136"/>
      <c r="EO1" s="136"/>
      <c r="EP1" s="136"/>
      <c r="EQ1" s="136"/>
      <c r="ER1" s="137"/>
      <c r="ES1" s="137"/>
      <c r="ET1" s="137"/>
      <c r="EU1" s="137"/>
      <c r="EV1" s="137"/>
      <c r="EW1" s="137"/>
      <c r="EX1" s="137"/>
      <c r="EY1" s="137"/>
      <c r="EZ1" s="137"/>
      <c r="FA1" s="137"/>
      <c r="FB1" s="137"/>
      <c r="FC1" s="137"/>
      <c r="FD1" s="137"/>
      <c r="FE1" s="137"/>
      <c r="FF1" s="137"/>
      <c r="FG1" s="137"/>
      <c r="FH1" s="137"/>
      <c r="FI1" s="137"/>
      <c r="FJ1" s="137"/>
      <c r="FK1" s="137"/>
      <c r="FL1" s="137"/>
      <c r="FM1" s="136"/>
      <c r="FN1" s="136"/>
      <c r="FO1" s="136"/>
      <c r="FP1" s="136"/>
      <c r="FQ1" s="136"/>
      <c r="FR1" s="136"/>
      <c r="FS1" s="136"/>
      <c r="FT1" s="136"/>
      <c r="FU1" s="136"/>
      <c r="FV1" s="136"/>
      <c r="FW1" s="136"/>
      <c r="FX1" s="136"/>
      <c r="FY1" s="136"/>
      <c r="FZ1" s="136"/>
      <c r="GA1" s="136"/>
      <c r="GB1" s="136"/>
      <c r="GC1" s="136"/>
      <c r="GD1" s="136"/>
      <c r="GE1" s="136"/>
      <c r="GF1" s="136"/>
      <c r="GG1" s="136"/>
      <c r="GH1" s="137"/>
      <c r="GI1" s="137"/>
      <c r="GJ1" s="137"/>
      <c r="GK1" s="137"/>
      <c r="GL1" s="137"/>
      <c r="GM1" s="137"/>
      <c r="GN1" s="137"/>
      <c r="GO1" s="137"/>
      <c r="GP1" s="137"/>
      <c r="GQ1" s="137"/>
      <c r="GR1" s="137"/>
      <c r="GS1" s="137"/>
      <c r="GT1" s="137"/>
      <c r="GU1" s="137"/>
      <c r="GV1" s="137"/>
      <c r="GW1" s="137"/>
      <c r="GX1" s="137"/>
      <c r="GY1" s="137"/>
      <c r="GZ1" s="137"/>
      <c r="HA1" s="137"/>
      <c r="HB1" s="137"/>
      <c r="HC1" s="136"/>
      <c r="HD1" s="136"/>
      <c r="HE1" s="136"/>
      <c r="HF1" s="136"/>
      <c r="HG1" s="136"/>
      <c r="HH1" s="136"/>
      <c r="HI1" s="136"/>
      <c r="HJ1" s="136"/>
      <c r="HK1" s="136"/>
      <c r="HL1" s="136"/>
      <c r="HM1" s="136"/>
      <c r="HN1" s="136"/>
      <c r="HO1" s="136"/>
      <c r="HP1" s="136"/>
      <c r="HQ1" s="136"/>
      <c r="HR1" s="136"/>
      <c r="HS1" s="136"/>
      <c r="HT1" s="136"/>
      <c r="HU1" s="136"/>
      <c r="HV1" s="136"/>
      <c r="HW1" s="136"/>
      <c r="HX1" s="137"/>
      <c r="HY1" s="137"/>
      <c r="HZ1" s="137"/>
      <c r="IA1" s="137"/>
      <c r="IB1" s="137"/>
      <c r="IC1" s="137"/>
      <c r="ID1" s="137"/>
      <c r="IE1" s="137"/>
      <c r="IF1" s="137"/>
      <c r="IG1" s="137"/>
      <c r="IH1" s="137"/>
      <c r="II1" s="137"/>
      <c r="IJ1" s="137"/>
      <c r="IK1" s="137"/>
      <c r="IL1" s="137"/>
      <c r="IM1" s="137"/>
      <c r="IN1" s="137"/>
      <c r="IO1" s="137"/>
      <c r="IP1" s="137"/>
      <c r="IQ1" s="137"/>
      <c r="IR1" s="137"/>
      <c r="IS1" s="136"/>
      <c r="IT1" s="136"/>
      <c r="IU1" s="136"/>
      <c r="IV1" s="136"/>
      <c r="IW1" s="136"/>
      <c r="IX1" s="136"/>
      <c r="IY1" s="136"/>
      <c r="IZ1" s="136"/>
      <c r="JA1" s="136"/>
      <c r="JB1" s="136"/>
      <c r="JC1" s="136"/>
      <c r="JD1" s="136"/>
      <c r="JE1" s="136"/>
      <c r="JF1" s="136"/>
      <c r="JG1" s="136"/>
      <c r="JH1" s="136"/>
      <c r="JI1" s="136"/>
      <c r="JJ1" s="136"/>
      <c r="JK1" s="136"/>
      <c r="JL1" s="136"/>
      <c r="JM1" s="136"/>
      <c r="JN1" s="137"/>
      <c r="JO1" s="137"/>
      <c r="JP1" s="137"/>
      <c r="JQ1" s="137"/>
      <c r="JR1" s="137"/>
      <c r="JS1" s="137"/>
      <c r="JT1" s="137"/>
      <c r="JU1" s="137"/>
      <c r="JV1" s="137"/>
      <c r="JW1" s="137"/>
      <c r="JX1" s="137"/>
      <c r="JY1" s="137"/>
      <c r="JZ1" s="137"/>
      <c r="KA1" s="137"/>
      <c r="KB1" s="137"/>
      <c r="KC1" s="137"/>
      <c r="KD1" s="137"/>
      <c r="KE1" s="137"/>
      <c r="KF1" s="137"/>
      <c r="KG1" s="137"/>
      <c r="KH1" s="137"/>
      <c r="KI1" s="136"/>
      <c r="KJ1" s="136"/>
      <c r="KK1" s="136"/>
      <c r="KL1" s="136"/>
      <c r="KM1" s="136"/>
      <c r="KN1" s="136"/>
      <c r="KO1" s="136"/>
      <c r="KP1" s="136"/>
      <c r="KQ1" s="136"/>
      <c r="KR1" s="136"/>
      <c r="KS1" s="136"/>
      <c r="KT1" s="136"/>
      <c r="KU1" s="136"/>
      <c r="KV1" s="136"/>
      <c r="KW1" s="136"/>
      <c r="KX1" s="136"/>
      <c r="KY1" s="136"/>
      <c r="KZ1" s="136"/>
      <c r="LA1" s="136"/>
      <c r="LB1" s="136"/>
      <c r="LC1" s="136"/>
      <c r="LD1" s="137"/>
      <c r="LE1" s="137"/>
      <c r="LF1" s="137"/>
      <c r="LG1" s="137"/>
      <c r="LH1" s="137"/>
      <c r="LI1" s="137"/>
      <c r="LJ1" s="137"/>
      <c r="LK1" s="137"/>
      <c r="LL1" s="137"/>
      <c r="LM1" s="137"/>
      <c r="LN1" s="137"/>
      <c r="LO1" s="137"/>
      <c r="LP1" s="137"/>
      <c r="LQ1" s="137"/>
      <c r="LR1" s="137"/>
      <c r="LS1" s="137"/>
      <c r="LT1" s="137"/>
      <c r="LU1" s="137"/>
      <c r="LV1" s="137"/>
      <c r="LW1" s="137"/>
      <c r="LX1" s="137"/>
      <c r="LY1" s="124" t="s">
        <v>63</v>
      </c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4"/>
    </row>
    <row r="2" spans="1:358" x14ac:dyDescent="0.2">
      <c r="A2" s="123"/>
      <c r="B2" s="123"/>
      <c r="C2" s="123"/>
      <c r="D2" s="123"/>
      <c r="E2" s="123"/>
      <c r="F2" s="132"/>
      <c r="G2" s="132"/>
      <c r="H2" s="123"/>
      <c r="I2" s="132"/>
      <c r="J2" s="129"/>
      <c r="K2" s="128"/>
      <c r="L2" s="129"/>
      <c r="M2" s="128"/>
      <c r="N2" s="127"/>
      <c r="O2" s="128"/>
      <c r="P2" s="128"/>
      <c r="Q2" s="122" t="s">
        <v>26</v>
      </c>
      <c r="R2" s="122"/>
      <c r="S2" s="122"/>
      <c r="T2" s="122"/>
      <c r="U2" s="122" t="s">
        <v>29</v>
      </c>
      <c r="V2" s="122"/>
      <c r="W2" s="122"/>
      <c r="X2" s="122"/>
      <c r="Y2" s="122" t="s">
        <v>30</v>
      </c>
      <c r="Z2" s="122"/>
      <c r="AA2" s="122"/>
      <c r="AB2" s="122"/>
      <c r="AC2" s="131" t="s">
        <v>31</v>
      </c>
      <c r="AD2" s="131"/>
      <c r="AE2" s="131"/>
      <c r="AF2" s="131"/>
      <c r="AG2" s="76"/>
      <c r="AH2" s="79" t="s">
        <v>24</v>
      </c>
      <c r="AI2" s="9" t="s">
        <v>23</v>
      </c>
      <c r="AJ2" s="101" t="s">
        <v>64</v>
      </c>
      <c r="AK2" s="9" t="s">
        <v>22</v>
      </c>
      <c r="AL2" s="9" t="s">
        <v>17</v>
      </c>
      <c r="AM2" s="125" t="s">
        <v>26</v>
      </c>
      <c r="AN2" s="125"/>
      <c r="AO2" s="125"/>
      <c r="AP2" s="125"/>
      <c r="AQ2" s="125" t="s">
        <v>29</v>
      </c>
      <c r="AR2" s="125"/>
      <c r="AS2" s="125"/>
      <c r="AT2" s="125"/>
      <c r="AU2" s="125" t="s">
        <v>30</v>
      </c>
      <c r="AV2" s="125"/>
      <c r="AW2" s="125"/>
      <c r="AX2" s="125"/>
      <c r="AY2" s="135" t="s">
        <v>31</v>
      </c>
      <c r="AZ2" s="135"/>
      <c r="BA2" s="135"/>
      <c r="BB2" s="135"/>
      <c r="BC2" s="75"/>
      <c r="BD2" s="80" t="s">
        <v>24</v>
      </c>
      <c r="BE2" s="12" t="s">
        <v>23</v>
      </c>
      <c r="BF2" s="102" t="s">
        <v>64</v>
      </c>
      <c r="BG2" s="12" t="s">
        <v>22</v>
      </c>
      <c r="BH2" s="12" t="s">
        <v>17</v>
      </c>
      <c r="BI2" s="122" t="s">
        <v>26</v>
      </c>
      <c r="BJ2" s="122"/>
      <c r="BK2" s="122"/>
      <c r="BL2" s="122"/>
      <c r="BM2" s="122" t="s">
        <v>29</v>
      </c>
      <c r="BN2" s="122"/>
      <c r="BO2" s="122"/>
      <c r="BP2" s="122"/>
      <c r="BQ2" s="122" t="s">
        <v>30</v>
      </c>
      <c r="BR2" s="122"/>
      <c r="BS2" s="122"/>
      <c r="BT2" s="122"/>
      <c r="BU2" s="131" t="s">
        <v>31</v>
      </c>
      <c r="BV2" s="131"/>
      <c r="BW2" s="131"/>
      <c r="BX2" s="131"/>
      <c r="BY2" s="101"/>
      <c r="BZ2" s="101" t="s">
        <v>24</v>
      </c>
      <c r="CA2" s="9" t="s">
        <v>23</v>
      </c>
      <c r="CB2" s="101" t="s">
        <v>64</v>
      </c>
      <c r="CC2" s="9" t="s">
        <v>22</v>
      </c>
      <c r="CD2" s="9" t="s">
        <v>17</v>
      </c>
      <c r="CE2" s="21" t="s">
        <v>23</v>
      </c>
      <c r="CF2" s="21" t="s">
        <v>61</v>
      </c>
      <c r="CG2" s="122" t="s">
        <v>26</v>
      </c>
      <c r="CH2" s="122"/>
      <c r="CI2" s="122"/>
      <c r="CJ2" s="122"/>
      <c r="CK2" s="122" t="s">
        <v>29</v>
      </c>
      <c r="CL2" s="122"/>
      <c r="CM2" s="122"/>
      <c r="CN2" s="122"/>
      <c r="CO2" s="122" t="s">
        <v>30</v>
      </c>
      <c r="CP2" s="122"/>
      <c r="CQ2" s="122"/>
      <c r="CR2" s="122"/>
      <c r="CS2" s="131" t="s">
        <v>31</v>
      </c>
      <c r="CT2" s="131"/>
      <c r="CU2" s="131"/>
      <c r="CV2" s="131"/>
      <c r="CW2" s="79" t="s">
        <v>24</v>
      </c>
      <c r="CX2" s="9" t="s">
        <v>23</v>
      </c>
      <c r="CY2" s="101" t="s">
        <v>64</v>
      </c>
      <c r="CZ2" s="9" t="s">
        <v>22</v>
      </c>
      <c r="DA2" s="9" t="s">
        <v>17</v>
      </c>
      <c r="DB2" s="135" t="s">
        <v>26</v>
      </c>
      <c r="DC2" s="135"/>
      <c r="DD2" s="135"/>
      <c r="DE2" s="135"/>
      <c r="DF2" s="135" t="s">
        <v>29</v>
      </c>
      <c r="DG2" s="135"/>
      <c r="DH2" s="135"/>
      <c r="DI2" s="135"/>
      <c r="DJ2" s="135" t="s">
        <v>30</v>
      </c>
      <c r="DK2" s="135"/>
      <c r="DL2" s="135"/>
      <c r="DM2" s="135"/>
      <c r="DN2" s="135" t="s">
        <v>31</v>
      </c>
      <c r="DO2" s="135"/>
      <c r="DP2" s="135"/>
      <c r="DQ2" s="135"/>
      <c r="DR2" s="80" t="s">
        <v>24</v>
      </c>
      <c r="DS2" s="16" t="s">
        <v>23</v>
      </c>
      <c r="DT2" s="102" t="s">
        <v>64</v>
      </c>
      <c r="DU2" s="16" t="s">
        <v>22</v>
      </c>
      <c r="DV2" s="16" t="s">
        <v>17</v>
      </c>
      <c r="DW2" s="131" t="s">
        <v>26</v>
      </c>
      <c r="DX2" s="131"/>
      <c r="DY2" s="131"/>
      <c r="DZ2" s="131"/>
      <c r="EA2" s="131" t="s">
        <v>29</v>
      </c>
      <c r="EB2" s="131"/>
      <c r="EC2" s="131"/>
      <c r="ED2" s="131"/>
      <c r="EE2" s="131" t="s">
        <v>30</v>
      </c>
      <c r="EF2" s="131"/>
      <c r="EG2" s="131"/>
      <c r="EH2" s="131"/>
      <c r="EI2" s="131" t="s">
        <v>31</v>
      </c>
      <c r="EJ2" s="131"/>
      <c r="EK2" s="131"/>
      <c r="EL2" s="131"/>
      <c r="EM2" s="79" t="s">
        <v>24</v>
      </c>
      <c r="EN2" s="17" t="s">
        <v>23</v>
      </c>
      <c r="EO2" s="101" t="s">
        <v>64</v>
      </c>
      <c r="EP2" s="17" t="s">
        <v>22</v>
      </c>
      <c r="EQ2" s="17" t="s">
        <v>17</v>
      </c>
      <c r="ER2" s="135" t="s">
        <v>26</v>
      </c>
      <c r="ES2" s="135"/>
      <c r="ET2" s="135"/>
      <c r="EU2" s="135"/>
      <c r="EV2" s="135" t="s">
        <v>29</v>
      </c>
      <c r="EW2" s="135"/>
      <c r="EX2" s="135"/>
      <c r="EY2" s="135"/>
      <c r="EZ2" s="135" t="s">
        <v>30</v>
      </c>
      <c r="FA2" s="135"/>
      <c r="FB2" s="135"/>
      <c r="FC2" s="135"/>
      <c r="FD2" s="135" t="s">
        <v>31</v>
      </c>
      <c r="FE2" s="135"/>
      <c r="FF2" s="135"/>
      <c r="FG2" s="135"/>
      <c r="FH2" s="80" t="s">
        <v>24</v>
      </c>
      <c r="FI2" s="16" t="s">
        <v>23</v>
      </c>
      <c r="FJ2" s="102" t="s">
        <v>64</v>
      </c>
      <c r="FK2" s="16" t="s">
        <v>22</v>
      </c>
      <c r="FL2" s="16" t="s">
        <v>17</v>
      </c>
      <c r="FM2" s="131" t="s">
        <v>26</v>
      </c>
      <c r="FN2" s="131"/>
      <c r="FO2" s="131"/>
      <c r="FP2" s="131"/>
      <c r="FQ2" s="131" t="s">
        <v>29</v>
      </c>
      <c r="FR2" s="131"/>
      <c r="FS2" s="131"/>
      <c r="FT2" s="131"/>
      <c r="FU2" s="131" t="s">
        <v>30</v>
      </c>
      <c r="FV2" s="131"/>
      <c r="FW2" s="131"/>
      <c r="FX2" s="131"/>
      <c r="FY2" s="131" t="s">
        <v>31</v>
      </c>
      <c r="FZ2" s="131"/>
      <c r="GA2" s="131"/>
      <c r="GB2" s="131"/>
      <c r="GC2" s="79" t="s">
        <v>24</v>
      </c>
      <c r="GD2" s="17" t="s">
        <v>23</v>
      </c>
      <c r="GE2" s="101" t="s">
        <v>64</v>
      </c>
      <c r="GF2" s="17" t="s">
        <v>22</v>
      </c>
      <c r="GG2" s="17" t="s">
        <v>17</v>
      </c>
      <c r="GH2" s="135" t="s">
        <v>26</v>
      </c>
      <c r="GI2" s="135"/>
      <c r="GJ2" s="135"/>
      <c r="GK2" s="135"/>
      <c r="GL2" s="135" t="s">
        <v>29</v>
      </c>
      <c r="GM2" s="135"/>
      <c r="GN2" s="135"/>
      <c r="GO2" s="135"/>
      <c r="GP2" s="135" t="s">
        <v>30</v>
      </c>
      <c r="GQ2" s="135"/>
      <c r="GR2" s="135"/>
      <c r="GS2" s="135"/>
      <c r="GT2" s="135" t="s">
        <v>31</v>
      </c>
      <c r="GU2" s="135"/>
      <c r="GV2" s="135"/>
      <c r="GW2" s="135"/>
      <c r="GX2" s="80" t="s">
        <v>24</v>
      </c>
      <c r="GY2" s="16" t="s">
        <v>23</v>
      </c>
      <c r="GZ2" s="102" t="s">
        <v>64</v>
      </c>
      <c r="HA2" s="16" t="s">
        <v>22</v>
      </c>
      <c r="HB2" s="16" t="s">
        <v>17</v>
      </c>
      <c r="HC2" s="131" t="s">
        <v>26</v>
      </c>
      <c r="HD2" s="131"/>
      <c r="HE2" s="131"/>
      <c r="HF2" s="131"/>
      <c r="HG2" s="131" t="s">
        <v>29</v>
      </c>
      <c r="HH2" s="131"/>
      <c r="HI2" s="131"/>
      <c r="HJ2" s="131"/>
      <c r="HK2" s="131" t="s">
        <v>30</v>
      </c>
      <c r="HL2" s="131"/>
      <c r="HM2" s="131"/>
      <c r="HN2" s="131"/>
      <c r="HO2" s="131" t="s">
        <v>31</v>
      </c>
      <c r="HP2" s="131"/>
      <c r="HQ2" s="131"/>
      <c r="HR2" s="131"/>
      <c r="HS2" s="79" t="s">
        <v>24</v>
      </c>
      <c r="HT2" s="17" t="s">
        <v>23</v>
      </c>
      <c r="HU2" s="101" t="s">
        <v>64</v>
      </c>
      <c r="HV2" s="17" t="s">
        <v>22</v>
      </c>
      <c r="HW2" s="17" t="s">
        <v>17</v>
      </c>
      <c r="HX2" s="135" t="s">
        <v>26</v>
      </c>
      <c r="HY2" s="135"/>
      <c r="HZ2" s="135"/>
      <c r="IA2" s="135"/>
      <c r="IB2" s="135" t="s">
        <v>29</v>
      </c>
      <c r="IC2" s="135"/>
      <c r="ID2" s="135"/>
      <c r="IE2" s="135"/>
      <c r="IF2" s="135" t="s">
        <v>30</v>
      </c>
      <c r="IG2" s="135"/>
      <c r="IH2" s="135"/>
      <c r="II2" s="135"/>
      <c r="IJ2" s="135" t="s">
        <v>31</v>
      </c>
      <c r="IK2" s="135"/>
      <c r="IL2" s="135"/>
      <c r="IM2" s="135"/>
      <c r="IN2" s="80" t="s">
        <v>24</v>
      </c>
      <c r="IO2" s="16" t="s">
        <v>23</v>
      </c>
      <c r="IP2" s="102" t="s">
        <v>64</v>
      </c>
      <c r="IQ2" s="16" t="s">
        <v>22</v>
      </c>
      <c r="IR2" s="16" t="s">
        <v>17</v>
      </c>
      <c r="IS2" s="131" t="s">
        <v>26</v>
      </c>
      <c r="IT2" s="131"/>
      <c r="IU2" s="131"/>
      <c r="IV2" s="131"/>
      <c r="IW2" s="131" t="s">
        <v>29</v>
      </c>
      <c r="IX2" s="131"/>
      <c r="IY2" s="131"/>
      <c r="IZ2" s="131"/>
      <c r="JA2" s="131" t="s">
        <v>30</v>
      </c>
      <c r="JB2" s="131"/>
      <c r="JC2" s="131"/>
      <c r="JD2" s="131"/>
      <c r="JE2" s="131" t="s">
        <v>31</v>
      </c>
      <c r="JF2" s="131"/>
      <c r="JG2" s="131"/>
      <c r="JH2" s="131"/>
      <c r="JI2" s="79" t="s">
        <v>24</v>
      </c>
      <c r="JJ2" s="17" t="s">
        <v>23</v>
      </c>
      <c r="JK2" s="101" t="s">
        <v>64</v>
      </c>
      <c r="JL2" s="17" t="s">
        <v>22</v>
      </c>
      <c r="JM2" s="17" t="s">
        <v>17</v>
      </c>
      <c r="JN2" s="135" t="s">
        <v>26</v>
      </c>
      <c r="JO2" s="135"/>
      <c r="JP2" s="135"/>
      <c r="JQ2" s="135"/>
      <c r="JR2" s="135" t="s">
        <v>29</v>
      </c>
      <c r="JS2" s="135"/>
      <c r="JT2" s="135"/>
      <c r="JU2" s="135"/>
      <c r="JV2" s="135" t="s">
        <v>30</v>
      </c>
      <c r="JW2" s="135"/>
      <c r="JX2" s="135"/>
      <c r="JY2" s="135"/>
      <c r="JZ2" s="135" t="s">
        <v>31</v>
      </c>
      <c r="KA2" s="135"/>
      <c r="KB2" s="135"/>
      <c r="KC2" s="135"/>
      <c r="KD2" s="80" t="s">
        <v>24</v>
      </c>
      <c r="KE2" s="16" t="s">
        <v>23</v>
      </c>
      <c r="KF2" s="102" t="s">
        <v>64</v>
      </c>
      <c r="KG2" s="16" t="s">
        <v>22</v>
      </c>
      <c r="KH2" s="16" t="s">
        <v>17</v>
      </c>
      <c r="KI2" s="131" t="s">
        <v>26</v>
      </c>
      <c r="KJ2" s="131"/>
      <c r="KK2" s="131"/>
      <c r="KL2" s="131"/>
      <c r="KM2" s="131" t="s">
        <v>29</v>
      </c>
      <c r="KN2" s="131"/>
      <c r="KO2" s="131"/>
      <c r="KP2" s="131"/>
      <c r="KQ2" s="131" t="s">
        <v>30</v>
      </c>
      <c r="KR2" s="131"/>
      <c r="KS2" s="131"/>
      <c r="KT2" s="131"/>
      <c r="KU2" s="131" t="s">
        <v>31</v>
      </c>
      <c r="KV2" s="131"/>
      <c r="KW2" s="131"/>
      <c r="KX2" s="131"/>
      <c r="KY2" s="79" t="s">
        <v>24</v>
      </c>
      <c r="KZ2" s="17" t="s">
        <v>23</v>
      </c>
      <c r="LA2" s="101" t="s">
        <v>64</v>
      </c>
      <c r="LB2" s="17" t="s">
        <v>22</v>
      </c>
      <c r="LC2" s="17" t="s">
        <v>17</v>
      </c>
      <c r="LD2" s="135" t="s">
        <v>26</v>
      </c>
      <c r="LE2" s="135"/>
      <c r="LF2" s="135"/>
      <c r="LG2" s="135"/>
      <c r="LH2" s="135" t="s">
        <v>29</v>
      </c>
      <c r="LI2" s="135"/>
      <c r="LJ2" s="135"/>
      <c r="LK2" s="135"/>
      <c r="LL2" s="135" t="s">
        <v>30</v>
      </c>
      <c r="LM2" s="135"/>
      <c r="LN2" s="135"/>
      <c r="LO2" s="135"/>
      <c r="LP2" s="135" t="s">
        <v>31</v>
      </c>
      <c r="LQ2" s="135"/>
      <c r="LR2" s="135"/>
      <c r="LS2" s="135"/>
      <c r="LT2" s="80" t="s">
        <v>24</v>
      </c>
      <c r="LU2" s="16" t="s">
        <v>23</v>
      </c>
      <c r="LV2" s="102" t="s">
        <v>64</v>
      </c>
      <c r="LW2" s="16" t="s">
        <v>22</v>
      </c>
      <c r="LX2" s="16" t="s">
        <v>17</v>
      </c>
      <c r="LY2" s="122" t="s">
        <v>26</v>
      </c>
      <c r="LZ2" s="122"/>
      <c r="MA2" s="122"/>
      <c r="MB2" s="122"/>
      <c r="MC2" s="122" t="s">
        <v>29</v>
      </c>
      <c r="MD2" s="122"/>
      <c r="ME2" s="122"/>
      <c r="MF2" s="122"/>
      <c r="MG2" s="122" t="s">
        <v>30</v>
      </c>
      <c r="MH2" s="122"/>
      <c r="MI2" s="122"/>
      <c r="MJ2" s="122"/>
      <c r="MK2" s="131" t="s">
        <v>31</v>
      </c>
      <c r="ML2" s="131"/>
      <c r="MM2" s="131"/>
      <c r="MN2" s="131"/>
      <c r="MO2" s="94"/>
      <c r="MP2" s="94" t="s">
        <v>24</v>
      </c>
      <c r="MQ2" s="9" t="s">
        <v>23</v>
      </c>
      <c r="MR2" s="94" t="s">
        <v>64</v>
      </c>
      <c r="MS2" s="9" t="s">
        <v>22</v>
      </c>
      <c r="MT2" s="9" t="s">
        <v>17</v>
      </c>
    </row>
    <row r="3" spans="1:358" x14ac:dyDescent="0.2">
      <c r="A3" s="123"/>
      <c r="B3" s="123"/>
      <c r="C3" s="123"/>
      <c r="D3" s="123"/>
      <c r="E3" s="123"/>
      <c r="F3" s="132"/>
      <c r="G3" s="132"/>
      <c r="H3" s="123"/>
      <c r="I3" s="132"/>
      <c r="J3" s="129"/>
      <c r="K3" s="128"/>
      <c r="L3" s="129"/>
      <c r="M3" s="128"/>
      <c r="N3" s="127"/>
      <c r="O3" s="128"/>
      <c r="P3" s="128"/>
      <c r="Q3" s="76" t="s">
        <v>14</v>
      </c>
      <c r="R3" s="76" t="s">
        <v>7</v>
      </c>
      <c r="S3" s="76" t="s">
        <v>27</v>
      </c>
      <c r="T3" s="76" t="s">
        <v>28</v>
      </c>
      <c r="U3" s="76" t="s">
        <v>14</v>
      </c>
      <c r="V3" s="76" t="s">
        <v>7</v>
      </c>
      <c r="W3" s="76" t="s">
        <v>27</v>
      </c>
      <c r="X3" s="76" t="s">
        <v>28</v>
      </c>
      <c r="Y3" s="76" t="s">
        <v>14</v>
      </c>
      <c r="Z3" s="76" t="s">
        <v>7</v>
      </c>
      <c r="AA3" s="76" t="s">
        <v>27</v>
      </c>
      <c r="AB3" s="76" t="s">
        <v>28</v>
      </c>
      <c r="AC3" s="77" t="s">
        <v>14</v>
      </c>
      <c r="AD3" s="77" t="s">
        <v>7</v>
      </c>
      <c r="AE3" s="77" t="s">
        <v>27</v>
      </c>
      <c r="AF3" s="77" t="s">
        <v>28</v>
      </c>
      <c r="AG3" s="76" t="s">
        <v>51</v>
      </c>
      <c r="AH3" s="10"/>
      <c r="AI3" s="9"/>
      <c r="AJ3" s="10"/>
      <c r="AK3" s="10"/>
      <c r="AL3" s="10"/>
      <c r="AM3" s="75" t="s">
        <v>14</v>
      </c>
      <c r="AN3" s="75" t="s">
        <v>7</v>
      </c>
      <c r="AO3" s="75" t="s">
        <v>27</v>
      </c>
      <c r="AP3" s="75" t="s">
        <v>28</v>
      </c>
      <c r="AQ3" s="75" t="s">
        <v>14</v>
      </c>
      <c r="AR3" s="75" t="s">
        <v>7</v>
      </c>
      <c r="AS3" s="75" t="s">
        <v>27</v>
      </c>
      <c r="AT3" s="75" t="s">
        <v>28</v>
      </c>
      <c r="AU3" s="75" t="s">
        <v>14</v>
      </c>
      <c r="AV3" s="75" t="s">
        <v>7</v>
      </c>
      <c r="AW3" s="75" t="s">
        <v>27</v>
      </c>
      <c r="AX3" s="75" t="s">
        <v>28</v>
      </c>
      <c r="AY3" s="78" t="s">
        <v>14</v>
      </c>
      <c r="AZ3" s="78" t="s">
        <v>7</v>
      </c>
      <c r="BA3" s="78" t="s">
        <v>27</v>
      </c>
      <c r="BB3" s="78" t="s">
        <v>28</v>
      </c>
      <c r="BC3" s="75" t="s">
        <v>51</v>
      </c>
      <c r="BD3" s="13"/>
      <c r="BE3" s="12"/>
      <c r="BF3" s="13"/>
      <c r="BG3" s="13"/>
      <c r="BH3" s="13"/>
      <c r="BI3" s="101" t="s">
        <v>14</v>
      </c>
      <c r="BJ3" s="101" t="s">
        <v>7</v>
      </c>
      <c r="BK3" s="101" t="s">
        <v>27</v>
      </c>
      <c r="BL3" s="101" t="s">
        <v>28</v>
      </c>
      <c r="BM3" s="101" t="s">
        <v>14</v>
      </c>
      <c r="BN3" s="101" t="s">
        <v>7</v>
      </c>
      <c r="BO3" s="101" t="s">
        <v>27</v>
      </c>
      <c r="BP3" s="101" t="s">
        <v>28</v>
      </c>
      <c r="BQ3" s="101" t="s">
        <v>14</v>
      </c>
      <c r="BR3" s="101" t="s">
        <v>7</v>
      </c>
      <c r="BS3" s="101" t="s">
        <v>27</v>
      </c>
      <c r="BT3" s="101" t="s">
        <v>28</v>
      </c>
      <c r="BU3" s="103" t="s">
        <v>14</v>
      </c>
      <c r="BV3" s="103" t="s">
        <v>7</v>
      </c>
      <c r="BW3" s="103" t="s">
        <v>27</v>
      </c>
      <c r="BX3" s="103" t="s">
        <v>28</v>
      </c>
      <c r="BY3" s="101" t="s">
        <v>51</v>
      </c>
      <c r="BZ3" s="10"/>
      <c r="CA3" s="9"/>
      <c r="CB3" s="10"/>
      <c r="CC3" s="10"/>
      <c r="CD3" s="10"/>
      <c r="CE3" s="22"/>
      <c r="CF3" s="22"/>
      <c r="CG3" s="76" t="s">
        <v>14</v>
      </c>
      <c r="CH3" s="76" t="s">
        <v>7</v>
      </c>
      <c r="CI3" s="76" t="s">
        <v>27</v>
      </c>
      <c r="CJ3" s="76" t="s">
        <v>28</v>
      </c>
      <c r="CK3" s="76" t="s">
        <v>14</v>
      </c>
      <c r="CL3" s="76" t="s">
        <v>7</v>
      </c>
      <c r="CM3" s="76" t="s">
        <v>27</v>
      </c>
      <c r="CN3" s="76" t="s">
        <v>28</v>
      </c>
      <c r="CO3" s="76" t="s">
        <v>14</v>
      </c>
      <c r="CP3" s="76" t="s">
        <v>7</v>
      </c>
      <c r="CQ3" s="76" t="s">
        <v>27</v>
      </c>
      <c r="CR3" s="76" t="s">
        <v>28</v>
      </c>
      <c r="CS3" s="77" t="s">
        <v>14</v>
      </c>
      <c r="CT3" s="77" t="s">
        <v>7</v>
      </c>
      <c r="CU3" s="77" t="s">
        <v>27</v>
      </c>
      <c r="CV3" s="77" t="s">
        <v>28</v>
      </c>
      <c r="CW3" s="10"/>
      <c r="CX3" s="9"/>
      <c r="CY3" s="10"/>
      <c r="CZ3" s="10"/>
      <c r="DA3" s="10"/>
      <c r="DB3" s="78" t="s">
        <v>14</v>
      </c>
      <c r="DC3" s="78" t="s">
        <v>7</v>
      </c>
      <c r="DD3" s="78" t="s">
        <v>27</v>
      </c>
      <c r="DE3" s="78" t="s">
        <v>28</v>
      </c>
      <c r="DF3" s="78" t="s">
        <v>14</v>
      </c>
      <c r="DG3" s="78" t="s">
        <v>7</v>
      </c>
      <c r="DH3" s="78" t="s">
        <v>27</v>
      </c>
      <c r="DI3" s="78" t="s">
        <v>28</v>
      </c>
      <c r="DJ3" s="78" t="s">
        <v>14</v>
      </c>
      <c r="DK3" s="78" t="s">
        <v>7</v>
      </c>
      <c r="DL3" s="78" t="s">
        <v>27</v>
      </c>
      <c r="DM3" s="78" t="s">
        <v>28</v>
      </c>
      <c r="DN3" s="78" t="s">
        <v>14</v>
      </c>
      <c r="DO3" s="78" t="s">
        <v>7</v>
      </c>
      <c r="DP3" s="78" t="s">
        <v>27</v>
      </c>
      <c r="DQ3" s="78" t="s">
        <v>28</v>
      </c>
      <c r="DR3" s="13"/>
      <c r="DS3" s="16"/>
      <c r="DT3" s="13"/>
      <c r="DU3" s="16"/>
      <c r="DV3" s="16"/>
      <c r="DW3" s="77" t="s">
        <v>14</v>
      </c>
      <c r="DX3" s="77" t="s">
        <v>7</v>
      </c>
      <c r="DY3" s="77" t="s">
        <v>27</v>
      </c>
      <c r="DZ3" s="77" t="s">
        <v>28</v>
      </c>
      <c r="EA3" s="77" t="s">
        <v>14</v>
      </c>
      <c r="EB3" s="77" t="s">
        <v>7</v>
      </c>
      <c r="EC3" s="77" t="s">
        <v>27</v>
      </c>
      <c r="ED3" s="77" t="s">
        <v>28</v>
      </c>
      <c r="EE3" s="77" t="s">
        <v>14</v>
      </c>
      <c r="EF3" s="77" t="s">
        <v>7</v>
      </c>
      <c r="EG3" s="77" t="s">
        <v>27</v>
      </c>
      <c r="EH3" s="77" t="s">
        <v>28</v>
      </c>
      <c r="EI3" s="77" t="s">
        <v>14</v>
      </c>
      <c r="EJ3" s="77" t="s">
        <v>7</v>
      </c>
      <c r="EK3" s="77" t="s">
        <v>27</v>
      </c>
      <c r="EL3" s="77" t="s">
        <v>28</v>
      </c>
      <c r="EM3" s="10"/>
      <c r="EN3" s="17"/>
      <c r="EO3" s="10"/>
      <c r="EP3" s="17"/>
      <c r="EQ3" s="17"/>
      <c r="ER3" s="78" t="s">
        <v>14</v>
      </c>
      <c r="ES3" s="78" t="s">
        <v>7</v>
      </c>
      <c r="ET3" s="78" t="s">
        <v>27</v>
      </c>
      <c r="EU3" s="78" t="s">
        <v>28</v>
      </c>
      <c r="EV3" s="78" t="s">
        <v>14</v>
      </c>
      <c r="EW3" s="78" t="s">
        <v>7</v>
      </c>
      <c r="EX3" s="78" t="s">
        <v>27</v>
      </c>
      <c r="EY3" s="78" t="s">
        <v>28</v>
      </c>
      <c r="EZ3" s="78" t="s">
        <v>14</v>
      </c>
      <c r="FA3" s="78" t="s">
        <v>7</v>
      </c>
      <c r="FB3" s="78" t="s">
        <v>27</v>
      </c>
      <c r="FC3" s="78" t="s">
        <v>28</v>
      </c>
      <c r="FD3" s="78" t="s">
        <v>14</v>
      </c>
      <c r="FE3" s="78" t="s">
        <v>7</v>
      </c>
      <c r="FF3" s="78" t="s">
        <v>27</v>
      </c>
      <c r="FG3" s="78" t="s">
        <v>28</v>
      </c>
      <c r="FH3" s="13"/>
      <c r="FI3" s="16"/>
      <c r="FJ3" s="13"/>
      <c r="FK3" s="16"/>
      <c r="FL3" s="16"/>
      <c r="FM3" s="77" t="s">
        <v>14</v>
      </c>
      <c r="FN3" s="77" t="s">
        <v>7</v>
      </c>
      <c r="FO3" s="77" t="s">
        <v>27</v>
      </c>
      <c r="FP3" s="77" t="s">
        <v>28</v>
      </c>
      <c r="FQ3" s="77" t="s">
        <v>14</v>
      </c>
      <c r="FR3" s="77" t="s">
        <v>7</v>
      </c>
      <c r="FS3" s="77" t="s">
        <v>27</v>
      </c>
      <c r="FT3" s="77" t="s">
        <v>28</v>
      </c>
      <c r="FU3" s="77" t="s">
        <v>14</v>
      </c>
      <c r="FV3" s="77" t="s">
        <v>7</v>
      </c>
      <c r="FW3" s="77" t="s">
        <v>27</v>
      </c>
      <c r="FX3" s="77" t="s">
        <v>28</v>
      </c>
      <c r="FY3" s="77" t="s">
        <v>14</v>
      </c>
      <c r="FZ3" s="77" t="s">
        <v>7</v>
      </c>
      <c r="GA3" s="77" t="s">
        <v>27</v>
      </c>
      <c r="GB3" s="77" t="s">
        <v>28</v>
      </c>
      <c r="GC3" s="10"/>
      <c r="GD3" s="17"/>
      <c r="GE3" s="10"/>
      <c r="GF3" s="17"/>
      <c r="GG3" s="17"/>
      <c r="GH3" s="78" t="s">
        <v>14</v>
      </c>
      <c r="GI3" s="78" t="s">
        <v>7</v>
      </c>
      <c r="GJ3" s="78" t="s">
        <v>27</v>
      </c>
      <c r="GK3" s="78" t="s">
        <v>28</v>
      </c>
      <c r="GL3" s="78" t="s">
        <v>14</v>
      </c>
      <c r="GM3" s="78" t="s">
        <v>7</v>
      </c>
      <c r="GN3" s="78" t="s">
        <v>27</v>
      </c>
      <c r="GO3" s="78" t="s">
        <v>28</v>
      </c>
      <c r="GP3" s="78" t="s">
        <v>14</v>
      </c>
      <c r="GQ3" s="78" t="s">
        <v>7</v>
      </c>
      <c r="GR3" s="78" t="s">
        <v>27</v>
      </c>
      <c r="GS3" s="78" t="s">
        <v>28</v>
      </c>
      <c r="GT3" s="78" t="s">
        <v>14</v>
      </c>
      <c r="GU3" s="78" t="s">
        <v>7</v>
      </c>
      <c r="GV3" s="78" t="s">
        <v>27</v>
      </c>
      <c r="GW3" s="78" t="s">
        <v>28</v>
      </c>
      <c r="GX3" s="13"/>
      <c r="GY3" s="16"/>
      <c r="GZ3" s="13"/>
      <c r="HA3" s="16"/>
      <c r="HB3" s="16"/>
      <c r="HC3" s="77" t="s">
        <v>14</v>
      </c>
      <c r="HD3" s="77" t="s">
        <v>7</v>
      </c>
      <c r="HE3" s="77" t="s">
        <v>27</v>
      </c>
      <c r="HF3" s="77" t="s">
        <v>28</v>
      </c>
      <c r="HG3" s="77" t="s">
        <v>14</v>
      </c>
      <c r="HH3" s="77" t="s">
        <v>7</v>
      </c>
      <c r="HI3" s="77" t="s">
        <v>27</v>
      </c>
      <c r="HJ3" s="77" t="s">
        <v>28</v>
      </c>
      <c r="HK3" s="77" t="s">
        <v>14</v>
      </c>
      <c r="HL3" s="77" t="s">
        <v>7</v>
      </c>
      <c r="HM3" s="77" t="s">
        <v>27</v>
      </c>
      <c r="HN3" s="77" t="s">
        <v>28</v>
      </c>
      <c r="HO3" s="77" t="s">
        <v>14</v>
      </c>
      <c r="HP3" s="77" t="s">
        <v>7</v>
      </c>
      <c r="HQ3" s="77" t="s">
        <v>27</v>
      </c>
      <c r="HR3" s="77" t="s">
        <v>28</v>
      </c>
      <c r="HS3" s="10"/>
      <c r="HT3" s="17"/>
      <c r="HU3" s="10"/>
      <c r="HV3" s="17"/>
      <c r="HW3" s="17"/>
      <c r="HX3" s="78" t="s">
        <v>14</v>
      </c>
      <c r="HY3" s="78" t="s">
        <v>7</v>
      </c>
      <c r="HZ3" s="78" t="s">
        <v>27</v>
      </c>
      <c r="IA3" s="78" t="s">
        <v>28</v>
      </c>
      <c r="IB3" s="78" t="s">
        <v>14</v>
      </c>
      <c r="IC3" s="78" t="s">
        <v>7</v>
      </c>
      <c r="ID3" s="78" t="s">
        <v>27</v>
      </c>
      <c r="IE3" s="78" t="s">
        <v>28</v>
      </c>
      <c r="IF3" s="78" t="s">
        <v>14</v>
      </c>
      <c r="IG3" s="78" t="s">
        <v>7</v>
      </c>
      <c r="IH3" s="78" t="s">
        <v>27</v>
      </c>
      <c r="II3" s="78" t="s">
        <v>28</v>
      </c>
      <c r="IJ3" s="78" t="s">
        <v>14</v>
      </c>
      <c r="IK3" s="78" t="s">
        <v>7</v>
      </c>
      <c r="IL3" s="78" t="s">
        <v>27</v>
      </c>
      <c r="IM3" s="78" t="s">
        <v>28</v>
      </c>
      <c r="IN3" s="13"/>
      <c r="IO3" s="16"/>
      <c r="IP3" s="13"/>
      <c r="IQ3" s="16"/>
      <c r="IR3" s="16"/>
      <c r="IS3" s="77" t="s">
        <v>14</v>
      </c>
      <c r="IT3" s="77" t="s">
        <v>7</v>
      </c>
      <c r="IU3" s="77" t="s">
        <v>27</v>
      </c>
      <c r="IV3" s="77" t="s">
        <v>28</v>
      </c>
      <c r="IW3" s="77" t="s">
        <v>14</v>
      </c>
      <c r="IX3" s="77" t="s">
        <v>7</v>
      </c>
      <c r="IY3" s="77" t="s">
        <v>27</v>
      </c>
      <c r="IZ3" s="77" t="s">
        <v>28</v>
      </c>
      <c r="JA3" s="77" t="s">
        <v>14</v>
      </c>
      <c r="JB3" s="77" t="s">
        <v>7</v>
      </c>
      <c r="JC3" s="77" t="s">
        <v>27</v>
      </c>
      <c r="JD3" s="77" t="s">
        <v>28</v>
      </c>
      <c r="JE3" s="77" t="s">
        <v>14</v>
      </c>
      <c r="JF3" s="77" t="s">
        <v>7</v>
      </c>
      <c r="JG3" s="77" t="s">
        <v>27</v>
      </c>
      <c r="JH3" s="77" t="s">
        <v>28</v>
      </c>
      <c r="JI3" s="10"/>
      <c r="JJ3" s="17"/>
      <c r="JK3" s="10"/>
      <c r="JL3" s="17"/>
      <c r="JM3" s="17"/>
      <c r="JN3" s="78" t="s">
        <v>14</v>
      </c>
      <c r="JO3" s="78" t="s">
        <v>7</v>
      </c>
      <c r="JP3" s="78" t="s">
        <v>27</v>
      </c>
      <c r="JQ3" s="78" t="s">
        <v>28</v>
      </c>
      <c r="JR3" s="78" t="s">
        <v>14</v>
      </c>
      <c r="JS3" s="78" t="s">
        <v>7</v>
      </c>
      <c r="JT3" s="78" t="s">
        <v>27</v>
      </c>
      <c r="JU3" s="78" t="s">
        <v>28</v>
      </c>
      <c r="JV3" s="78" t="s">
        <v>14</v>
      </c>
      <c r="JW3" s="78" t="s">
        <v>7</v>
      </c>
      <c r="JX3" s="78" t="s">
        <v>27</v>
      </c>
      <c r="JY3" s="78" t="s">
        <v>28</v>
      </c>
      <c r="JZ3" s="78" t="s">
        <v>14</v>
      </c>
      <c r="KA3" s="78" t="s">
        <v>7</v>
      </c>
      <c r="KB3" s="78" t="s">
        <v>27</v>
      </c>
      <c r="KC3" s="78" t="s">
        <v>28</v>
      </c>
      <c r="KD3" s="13"/>
      <c r="KE3" s="16"/>
      <c r="KF3" s="13"/>
      <c r="KG3" s="16"/>
      <c r="KH3" s="16"/>
      <c r="KI3" s="77" t="s">
        <v>14</v>
      </c>
      <c r="KJ3" s="77" t="s">
        <v>7</v>
      </c>
      <c r="KK3" s="77" t="s">
        <v>27</v>
      </c>
      <c r="KL3" s="77" t="s">
        <v>28</v>
      </c>
      <c r="KM3" s="77" t="s">
        <v>14</v>
      </c>
      <c r="KN3" s="77" t="s">
        <v>7</v>
      </c>
      <c r="KO3" s="77" t="s">
        <v>27</v>
      </c>
      <c r="KP3" s="77" t="s">
        <v>28</v>
      </c>
      <c r="KQ3" s="77" t="s">
        <v>14</v>
      </c>
      <c r="KR3" s="77" t="s">
        <v>7</v>
      </c>
      <c r="KS3" s="77" t="s">
        <v>27</v>
      </c>
      <c r="KT3" s="77" t="s">
        <v>28</v>
      </c>
      <c r="KU3" s="77" t="s">
        <v>14</v>
      </c>
      <c r="KV3" s="77" t="s">
        <v>7</v>
      </c>
      <c r="KW3" s="77" t="s">
        <v>27</v>
      </c>
      <c r="KX3" s="77" t="s">
        <v>28</v>
      </c>
      <c r="KY3" s="10"/>
      <c r="KZ3" s="17"/>
      <c r="LA3" s="10"/>
      <c r="LB3" s="17"/>
      <c r="LC3" s="17"/>
      <c r="LD3" s="78" t="s">
        <v>14</v>
      </c>
      <c r="LE3" s="78" t="s">
        <v>7</v>
      </c>
      <c r="LF3" s="78" t="s">
        <v>27</v>
      </c>
      <c r="LG3" s="78" t="s">
        <v>28</v>
      </c>
      <c r="LH3" s="78" t="s">
        <v>14</v>
      </c>
      <c r="LI3" s="78" t="s">
        <v>7</v>
      </c>
      <c r="LJ3" s="78" t="s">
        <v>27</v>
      </c>
      <c r="LK3" s="78" t="s">
        <v>28</v>
      </c>
      <c r="LL3" s="78" t="s">
        <v>14</v>
      </c>
      <c r="LM3" s="78" t="s">
        <v>7</v>
      </c>
      <c r="LN3" s="78" t="s">
        <v>27</v>
      </c>
      <c r="LO3" s="78" t="s">
        <v>28</v>
      </c>
      <c r="LP3" s="78" t="s">
        <v>14</v>
      </c>
      <c r="LQ3" s="78" t="s">
        <v>7</v>
      </c>
      <c r="LR3" s="78" t="s">
        <v>27</v>
      </c>
      <c r="LS3" s="78" t="s">
        <v>28</v>
      </c>
      <c r="LT3" s="13"/>
      <c r="LU3" s="16"/>
      <c r="LV3" s="13"/>
      <c r="LW3" s="16"/>
      <c r="LX3" s="16"/>
      <c r="LY3" s="94" t="s">
        <v>14</v>
      </c>
      <c r="LZ3" s="94" t="s">
        <v>7</v>
      </c>
      <c r="MA3" s="94" t="s">
        <v>27</v>
      </c>
      <c r="MB3" s="94" t="s">
        <v>28</v>
      </c>
      <c r="MC3" s="94" t="s">
        <v>14</v>
      </c>
      <c r="MD3" s="94" t="s">
        <v>7</v>
      </c>
      <c r="ME3" s="94" t="s">
        <v>27</v>
      </c>
      <c r="MF3" s="94" t="s">
        <v>28</v>
      </c>
      <c r="MG3" s="94" t="s">
        <v>14</v>
      </c>
      <c r="MH3" s="94" t="s">
        <v>7</v>
      </c>
      <c r="MI3" s="94" t="s">
        <v>27</v>
      </c>
      <c r="MJ3" s="94" t="s">
        <v>28</v>
      </c>
      <c r="MK3" s="95" t="s">
        <v>14</v>
      </c>
      <c r="ML3" s="95" t="s">
        <v>7</v>
      </c>
      <c r="MM3" s="95" t="s">
        <v>27</v>
      </c>
      <c r="MN3" s="95" t="s">
        <v>28</v>
      </c>
      <c r="MO3" s="94" t="s">
        <v>51</v>
      </c>
      <c r="MP3" s="10"/>
      <c r="MQ3" s="9"/>
      <c r="MR3" s="10"/>
      <c r="MS3" s="10"/>
      <c r="MT3" s="10"/>
    </row>
    <row r="4" spans="1:358" x14ac:dyDescent="0.2">
      <c r="A4" s="5">
        <f t="shared" ref="A4:A22" si="0">IF(AND(F4="P",G4="P"),SUMPRODUCT((F$4:F$23="P")*(G$4:G$23="P")*(E$4:E$23&gt;E4))+1,IF(G4="P",SUMPRODUCT((F$4:F$23="")*(G$4:G$23="P")*(E$4:E$23&gt;E4))+1+SUMPRODUCT((F$4:F$23="P")*(G$4:G$23="P")),""))</f>
        <v>1</v>
      </c>
      <c r="B4" s="8" t="s">
        <v>98</v>
      </c>
      <c r="C4" s="4" t="s">
        <v>96</v>
      </c>
      <c r="D4" s="5">
        <v>2002</v>
      </c>
      <c r="E4" s="15">
        <f t="shared" ref="E4:E22" si="1">SUM(J4:N4)</f>
        <v>199.22499999999997</v>
      </c>
      <c r="F4" s="3" t="str">
        <f t="shared" ref="F4:F22" si="2">IF(OR(AND(AH4&gt;=AL$25,AI4&gt;=AL$29,AI4&lt;&gt;"",AG4=""),AND(BD4&gt;=BH$25,BE4&gt;=BH$29,BE4&lt;&gt;"",BC4=""),AND(BZ4&gt;=CD$25,CA4&gt;=CD$29,CA4&lt;&gt;"",BY4=""),AND(CW4&gt;=DA$25,CX4&gt;=DA$29,CX4&lt;&gt;""),AND(DR4&gt;=DV$25,DS4&gt;=DV$29,DS4&lt;&gt;""),AND(EM4&gt;=EQ$25,EN4&gt;=EQ$29,EN4&lt;&gt;""),AND(FH4&gt;=FL$25,FI4&gt;=FL$29,FI4&lt;&gt;""),AND(GC4&gt;=GG$25,GD4&gt;=GG$29,GD4&lt;&gt;""),AND(GX4&gt;=HB$25,GY4&gt;=HB$29,GY4&lt;&gt;""),AND(HS4&gt;=HW$25,HT4&gt;=HW$29,HT4&lt;&gt;""),AND(IN4&gt;=IR$25,IO4&gt;=IR$29,IO4&lt;&gt;""),AND(JI4&gt;=JM$25,JJ4&gt;=JM$29,JJ4&lt;&gt;""),AND(KD4&gt;=KH$25,KE4&gt;=KH$29,KE4&lt;&gt;""),AND(KY4&gt;=LC$25,KZ4&gt;=LC$29,KZ4&lt;&gt;""),AND(LT4&gt;=LX$25,LU4&gt;=LX$29,LU4&lt;&gt;"")),"P","")</f>
        <v>P</v>
      </c>
      <c r="G4" s="3" t="str">
        <f t="shared" ref="G4:G22" si="3">IF(OR(AND(AI4&gt;=AL$29,AI4&lt;&gt;"",AG4=""),AND(BE4&gt;=BH$29,BE4&lt;&gt;"",BC4=""),AND(CA4&gt;=CD$29,CA4&lt;&gt;"",BY4=""),AND(CX4&gt;=DA$29,CX4&lt;&gt;""),AND(DS4&gt;=DV$29,DS4&lt;&gt;""),AND(EN4&gt;=EQ$29,EN4&lt;&gt;""),AND(FI4&gt;=FL$29,FI4&lt;&gt;""),AND(GD4&gt;=GG$29,GD4&lt;&gt;""),AND(GY4&gt;=HB$29,GY4&lt;&gt;""),AND(HT4&gt;=HW$29,HT4&lt;&gt;""),AND(IO4&gt;=IR$29,IO4&lt;&gt;""),AND(JJ4&gt;=JM$29,JJ4&lt;&gt;""),AND(KE4&gt;=KH$29,KE4&lt;&gt;""),AND(KZ4&gt;=LC$29,KZ4&lt;&gt;""),AND(LU4&gt;=LX$29,LU4&lt;&gt;"")),"P","")</f>
        <v>P</v>
      </c>
      <c r="H4" s="116" t="str">
        <f t="shared" ref="H4:H22" si="4">IF(AND(G4="P",F4=""),"No DD",IF(OR(AND(AH4&gt;=AL$28,AH4&lt;&gt;"",AI4&gt;=AL$32,AI4&lt;&gt;"",AG4=""),AND(BD4&gt;=BH$28,BD4&lt;&gt;"",BE4&gt;=BH$32,BE4&lt;&gt;"",BC4=""),AND(BZ4&gt;=CD$28,BZ4&lt;&gt;"",CA4&gt;=CD$32,CA4&lt;&gt;"",BY4=""),AND(CW4&gt;=DA$28,CW4&lt;&gt;"",CX4&gt;=DA$32,CX4&lt;&gt;""),AND(DR4&gt;=DV$28,DR4&lt;&gt;"",DS4&gt;=DV$32,DS4&lt;&gt;""),AND(EM4&gt;=EQ$28,EM4&lt;&gt;"",EN4&gt;=EQ$32,EN4&lt;&gt;""),AND(FH4&gt;=FL$28,FH4&lt;&gt;"",FI4&gt;=FL$32,FI4&lt;&gt;""),AND(GC4&gt;=GG$28,GC4&lt;&gt;"",GD4&gt;=GG$32,GD4&lt;&gt;""),AND(GX4&gt;=HB$28,GX4&lt;&gt;"",GY4&gt;=HB$32,GY4&lt;&gt;""),AND(HS4&gt;=HW$28,HS4&lt;&gt;"",HT4&gt;=HW$32,HT4&lt;&gt;""),AND(IN4&gt;=IR$28,IN4&lt;&gt;"",IO4&gt;=IR$32,IO4&lt;&gt;""),AND(JI4&gt;=JM$28,JI4&lt;&gt;"",JJ4&gt;=JM$32,JJ4&lt;&gt;""),AND(KD4&gt;=KH$28,KD4&lt;&gt;"",KE4&gt;=KH$32,KE4&lt;&gt;""),AND(KY4&gt;=LC$28,KY4&lt;&gt;"",KZ4&gt;=LC$32,KZ4&lt;&gt;""),AND(LT4&gt;=LX$28,LT4&lt;&gt;"",LU4&gt;=LX$32,LU4&lt;&gt;"")),"Merit",IF(OR(AND(AH4&gt;=AL$27,AH4&lt;&gt;"",AI4&gt;=AL$31,AI4&lt;&gt;"",AG4=""),AND(BD4&gt;=BH$27,BD4&lt;&gt;"",BE4&gt;=BH$31,BE4&lt;&gt;"",BC4=""),AND(BZ4&gt;=CD$27,BZ4&lt;&gt;"",CA4&gt;=CD$31,CA4&lt;&gt;"",BY4=""),AND(CW4&gt;=DA$27,CW4&lt;&gt;"",CX4&gt;=DA$31,CX4&lt;&gt;""),AND(DR4&gt;=DV$27,DR4&lt;&gt;"",DS4&gt;=DV$31,DS4&lt;&gt;""),AND(EM4&gt;=EQ$27,EM4&lt;&gt;"",EN4&gt;=EQ$31,EN4&lt;&gt;""),AND(FH4&gt;=FL$27,FH4&lt;&gt;"",FI4&gt;=FL$31,FI4&lt;&gt;""),AND(GC4&gt;=GG$27,GC4&lt;&gt;"",GD4&gt;=GG$31,GD4&lt;&gt;""),AND(GX4&gt;=HB$27,GX4&lt;&gt;"",GY4&gt;=HB$31,GY4&lt;&gt;""),AND(HS4&gt;=HW$27,HS4&lt;&gt;"",HT4&gt;=HW$31,HT4&lt;&gt;""),AND(IN4&gt;=IR$27,IN4&lt;&gt;"",IO4&gt;=IR$31,IO4&lt;&gt;""),AND(JI4&gt;=JM$27,JI4&lt;&gt;"",JJ4&gt;=JM$31,JJ4&lt;&gt;""),AND(KD4&gt;=KH$27,KD4&lt;&gt;"",KE4&gt;=KH$31,KE4&lt;&gt;""),AND(KY4&gt;=LC$27,KY4&lt;&gt;"",KZ4&gt;=LC$31,KZ4&lt;&gt;""),AND(LT4&gt;=LX$27,LT4&lt;&gt;"",LU4&gt;=LX$31,LU4&lt;&gt;"")),"Excellence",IF(OR(AND(AH4&gt;=AL$26,AH4&lt;&gt;"",AI4&gt;=AL$30,AI4&lt;&gt;"",AG4=""),AND(BD4&gt;=BH$26,BD4&lt;&gt;"",BE4&gt;=BH$30,BE4&lt;&gt;"",BC4=""),AND(BZ4&gt;=CD$26,BZ4&lt;&gt;"",CA4&gt;=CD$30,CA4&lt;&gt;"",BY4=""),AND(CW4&gt;=DA$26,CW4&lt;&gt;"",CX4&gt;=DA$30,CX4&lt;&gt;""),AND(DR4&gt;=DV$26,DR4&lt;&gt;"",DS4&gt;=DV$30,DS4&lt;&gt;""),AND(EM4&gt;=EQ$26,EM4&lt;&gt;"",EN4&gt;=EQ$30,EN4&lt;&gt;""),AND(FH4&gt;=FL$26,FH4&lt;&gt;"",FI4&gt;=FL$30,FI4&lt;&gt;""),AND(GC4&gt;=GG$26,GC4&lt;&gt;"",GD4&gt;=GG$30,GD4&lt;&gt;""),AND(GX4&gt;=HB$26,GX4&lt;&gt;"",GY4&gt;=HB$30,GY4&lt;&gt;""),AND(HS4&gt;=HW$26,HS4&lt;&gt;"",HT4&gt;=HW$30,HT4&lt;&gt;""),AND(IN4&gt;=IR$26,IN4&lt;&gt;"",IO4&gt;=IR$30,IO4&lt;&gt;""),AND(JI4&gt;=JM$26,JI4&lt;&gt;"",JJ4&gt;=JM$30,JJ4&lt;&gt;""),AND(KD4&gt;=KH$26,KD4&lt;&gt;"",KE4&gt;=KH$30,KE4&lt;&gt;""),AND(KY4&gt;=LC$26,KY4&lt;&gt;"",KZ4&gt;=LC$30,KZ4&lt;&gt;""),AND(LT4&gt;=LX$26,LT4&lt;&gt;"",LU4&gt;=LX$30,LU4&lt;&gt;"")),"Worlds Team",IF(OR(AND(AH4&gt;=AL$25,AH4&lt;&gt;"",AI4&gt;=AL$29,AI4&lt;&gt;"",AG4=""),AND(BD4&gt;=BH$25,BD4&lt;&gt;"",BE4&gt;=BH$29,BE4&lt;&gt;"",BC4=""),AND(BZ4&gt;=CD$25,BZ4&lt;&gt;"",CA4&gt;=CD$29,CA4&lt;&gt;"",BY4=""),AND(CW4&gt;=DA$25,CW4&lt;&gt;"",CX4&gt;=DA$29,CX4&lt;&gt;""),AND(DR4&gt;=DV$25,DR4&lt;&gt;"",DS4&gt;=DV$29,DS4&lt;&gt;""),AND(EM4&gt;=EQ$25,EM4&lt;&gt;"",EN4&gt;=EQ$29,EN4&lt;&gt;""),AND(FH4&gt;=FL$25,FH4&lt;&gt;"",FI4&gt;=FL$29,FI4&lt;&gt;""),AND(GC4&gt;=GG$25,GC4&lt;&gt;"",GD4&gt;=GG$29,GD4&lt;&gt;""),AND(GX4&gt;=HB$25,GX4&lt;&gt;"",GY4&gt;=HB$29,GY4&lt;&gt;""),AND(HS4&gt;=HW$25,HS4&lt;&gt;"",HT4&gt;=HW$29,HT4&lt;&gt;""),AND(IN4&gt;=IR$25,IN4&lt;&gt;"",IO4&gt;=IR$29,IO4&lt;&gt;""),AND(JI4&gt;=JM$25,JI4&lt;&gt;"",JJ4&gt;=JM$29,JJ4&lt;&gt;""),AND(KD4&gt;=KH$25,KD4&lt;&gt;"",KE4&gt;=KH$29,KE4&lt;&gt;""),AND(KY4&gt;=LC$25,KY4&lt;&gt;"",KZ4&gt;=LC$29,KZ4&lt;&gt;""),AND(LT4&gt;=LX$25,LT4&lt;&gt;"",LU4&gt;=LX$29,LU4&lt;&gt;"")),"National Team","")))))</f>
        <v>National Team</v>
      </c>
      <c r="I4" s="3" t="str">
        <f t="shared" ref="I4:I22" si="5">IF(OR(H4="Worlds Team",H4="Excellence",H4="Merit"),"P","")</f>
        <v/>
      </c>
      <c r="J4" s="14">
        <f t="shared" ref="J4:J22" si="6">MAX(AI4,BE4,CA4)</f>
        <v>67.524999999999991</v>
      </c>
      <c r="K4" s="14" t="str">
        <f t="shared" ref="K4:K22" si="7">IF(J4=0,"",IF(J4=CA4,$BI$1,IF(J4=BE4,$AM$1,IF(J4=AI4,$Q$1,""))))</f>
        <v>2021 1st Virtual Technical Trial</v>
      </c>
      <c r="L4" s="14">
        <f t="shared" ref="L4:L22" si="8">IF(J4=AI4,MAX(BH4,CD4),IF(J4=BE4,MAX(AL4,CD4),MAX(AL4,BH4)))</f>
        <v>131.69999999999999</v>
      </c>
      <c r="M4" s="14" t="str">
        <f t="shared" ref="M4:M22" si="9">IF(L4=0,"",IF(AND(J4&lt;&gt;CA4,L4=CD4),$BI$1,IF(AND(J4&lt;&gt;BE4,L4=BH4),$AM$1,IF(L4=AL4,$Q$1,""))))</f>
        <v>2021 Elite Canada</v>
      </c>
      <c r="N4" s="14" t="str">
        <f t="shared" ref="N4:N22" si="10">IF(MAX(CE4:CF4)&gt;0,MAX(CE4:CF4),"")</f>
        <v/>
      </c>
      <c r="O4" s="24" t="str">
        <f t="shared" ref="O4:O22" si="11">IF(N4="","",IF(N4=CE4,"(Prelim)",IF(N4=CF4,"(4 Pass)")))</f>
        <v/>
      </c>
      <c r="P4" s="14" t="str">
        <f t="shared" ref="P4:P22" si="12">IF(N4="","",IF(N4=CE4,IF(N4+IF(J4="",0,J4)=CX4,$CG$1,IF(N4+IF(J4="",0,J4)=DS4,$DB$1,IF(N4+IF(J4="",0,J4)=EN4,$DW$1,IF(N4+IF(J4="",0,J4)=FI4,$ER$1,IF(N4+IF(J4="",0,J4)=GD4,$FM$1,IF(N4+IF(J4="",0,J4)=GY4,$GH$1,IF(N4+IF(J4="",0,J4)=HT4,$HC$1,IF(N4+IF(J4="",0,J4)=IO4,$HX$1,IF(N4+IF(J4="",0,J4)=JJ4,$IS$1,IF(N4+IF(J4="",0,J4)=KE4,$JN$1,IF(N4+IF(J4="",0,J4)=KZ4,$KI$1,IF(N4+IF(J4="",0,J4)=LU4,$LD$1)))))))))))),IF(N4=CF4,IF(N4+IF(L4="",0,L4)=DA4,$CG$1,IF(N4+IF(L4="",0,L4)=DV4,$DB$1,IF(N4+IF(L4="",0,L4)=EQ4,$DW$1,IF(N4+IF(L4="",0,L4)=FL4,$ER$1,IF(N4+IF(L4="",0,L4)=GG4,$FM$1,IF(N4+IF(L4="",0,L4)=HB4,$GH$1,IF(N4+IF(L4="",0,L4)=HW4,$HC$1,IF(N4+IF(L4="",0,L4)=IR4,$HX$1,IF(N4+IF(L4="",0,L4)=JM4,$IS$1,IF(N4+IF(L4="",0,L4)=KH4,$JN$1,IF(N4+IF(L4="",0,L4)=LC4,$KI$1,IF(N4+IF(L4="",0,L4)=LX4,$LD$1)))))))))))))))</f>
        <v/>
      </c>
      <c r="Q4" s="61">
        <v>27.9</v>
      </c>
      <c r="R4" s="61">
        <v>5.6</v>
      </c>
      <c r="S4" s="61">
        <v>0</v>
      </c>
      <c r="T4" s="61">
        <v>0.3</v>
      </c>
      <c r="U4" s="61">
        <v>28.524999999999999</v>
      </c>
      <c r="V4" s="61">
        <v>5.2</v>
      </c>
      <c r="W4" s="61">
        <v>0</v>
      </c>
      <c r="X4" s="61">
        <v>0</v>
      </c>
      <c r="Y4" s="61">
        <v>28</v>
      </c>
      <c r="Z4" s="61">
        <v>4.4000000000000004</v>
      </c>
      <c r="AA4" s="61">
        <v>0</v>
      </c>
      <c r="AB4" s="61">
        <v>0</v>
      </c>
      <c r="AC4" s="61">
        <v>28.3</v>
      </c>
      <c r="AD4" s="61">
        <v>4.3</v>
      </c>
      <c r="AE4" s="61">
        <v>0</v>
      </c>
      <c r="AF4" s="61">
        <v>0</v>
      </c>
      <c r="AG4" s="72"/>
      <c r="AH4" s="11">
        <f t="shared" ref="AH4:AH22" si="13">IF(SUM(R4,V4)&gt;0,SUM(R4,V4),"")</f>
        <v>10.8</v>
      </c>
      <c r="AI4" s="11">
        <f t="shared" ref="AI4:AI22" si="14">IF(SUM(Q4:R4,T4:V4,X4)-SUM(S4,W4)&gt;0,SUM(Q4:R4,T4:V4,X4)-SUM(S4,W4),"")</f>
        <v>67.524999999999991</v>
      </c>
      <c r="AJ4" s="11">
        <f t="shared" ref="AJ4:AJ22" si="15">IF(SUM(Z4,AD4)&gt;0,SUM(Z4,AD4),"")</f>
        <v>8.6999999999999993</v>
      </c>
      <c r="AK4" s="11">
        <f t="shared" ref="AK4:AK22" si="16">IF(SUM(Y4:Z4,AB4:AD4,AF4)-SUM(AA4,AE4)&gt;0,SUM(Y4:Z4,AB4:AD4,AF4)-SUM(AA4,AE4),"")</f>
        <v>65</v>
      </c>
      <c r="AL4" s="11">
        <f t="shared" ref="AL4:AL22" si="17">IF(SUM(AI4,AK4)&gt;0,SUM(AI4,AK4),"")</f>
        <v>132.52499999999998</v>
      </c>
      <c r="AM4" s="36">
        <v>27.2</v>
      </c>
      <c r="AN4" s="36">
        <v>5.6</v>
      </c>
      <c r="AO4" s="36">
        <v>0.3</v>
      </c>
      <c r="AP4" s="36">
        <v>0</v>
      </c>
      <c r="AQ4" s="36">
        <v>27.9</v>
      </c>
      <c r="AR4" s="36">
        <v>5.2</v>
      </c>
      <c r="AS4" s="36">
        <v>0.3</v>
      </c>
      <c r="AT4" s="36">
        <v>0</v>
      </c>
      <c r="AU4" s="36">
        <v>0</v>
      </c>
      <c r="AV4" s="36">
        <v>0</v>
      </c>
      <c r="AW4" s="36">
        <v>0</v>
      </c>
      <c r="AX4" s="36">
        <v>0</v>
      </c>
      <c r="AY4" s="36">
        <v>28.5</v>
      </c>
      <c r="AZ4" s="36">
        <v>4.3</v>
      </c>
      <c r="BA4" s="36">
        <v>0</v>
      </c>
      <c r="BB4" s="36">
        <v>0</v>
      </c>
      <c r="BC4" s="73"/>
      <c r="BD4" s="14">
        <f t="shared" ref="BD4:BD22" si="18">IF(SUM(AN4,AR4)&gt;0,SUM(AN4,AR4),"")</f>
        <v>10.8</v>
      </c>
      <c r="BE4" s="14">
        <f t="shared" ref="BE4:BE22" si="19">IF(SUM(AM4:AN4,AP4:AR4,AT4)-SUM(AO4,AS4)&gt;0,SUM(AM4:AN4,AP4:AR4,AT4)-SUM(AO4,AS4),"")</f>
        <v>65.3</v>
      </c>
      <c r="BF4" s="14">
        <f t="shared" ref="BF4:BF22" si="20">IF(SUM(AV4,AZ4)&gt;0,SUM(AV4,AZ4),"")</f>
        <v>4.3</v>
      </c>
      <c r="BG4" s="14">
        <f t="shared" ref="BG4:BG22" si="21">IF(SUM(AU4:AV4,AX4:AZ4,BB4)-SUM(AW4,BA4)&gt;0,SUM(AU4:AV4,AX4:AZ4,BB4)-SUM(AW4,BA4),"")</f>
        <v>32.799999999999997</v>
      </c>
      <c r="BH4" s="14">
        <f t="shared" ref="BH4:BH22" si="22">IF(SUM(BE4,BG4)&gt;0,SUM(BE4,BG4),"")</f>
        <v>98.1</v>
      </c>
      <c r="BI4" s="61">
        <v>28</v>
      </c>
      <c r="BJ4" s="61">
        <v>5.6</v>
      </c>
      <c r="BK4" s="61">
        <v>0</v>
      </c>
      <c r="BL4" s="61">
        <v>0</v>
      </c>
      <c r="BM4" s="61">
        <v>27.3</v>
      </c>
      <c r="BN4" s="61">
        <v>5.6</v>
      </c>
      <c r="BO4" s="61">
        <v>0</v>
      </c>
      <c r="BP4" s="61">
        <v>0</v>
      </c>
      <c r="BQ4" s="61">
        <v>27.8</v>
      </c>
      <c r="BR4" s="61">
        <v>5.2</v>
      </c>
      <c r="BS4" s="61">
        <v>0.9</v>
      </c>
      <c r="BT4" s="61">
        <v>0</v>
      </c>
      <c r="BU4" s="61">
        <v>27.6</v>
      </c>
      <c r="BV4" s="61">
        <v>5.2</v>
      </c>
      <c r="BW4" s="61">
        <v>0</v>
      </c>
      <c r="BX4" s="61">
        <v>0.3</v>
      </c>
      <c r="BY4" s="72"/>
      <c r="BZ4" s="11">
        <f t="shared" ref="BZ4:BZ22" si="23">IF(SUM(BJ4,BN4)&gt;0,SUM(BJ4,BN4),"")</f>
        <v>11.2</v>
      </c>
      <c r="CA4" s="11">
        <f t="shared" ref="CA4:CA22" si="24">IF(SUM(BI4:BJ4,BL4:BN4,BP4)-SUM(BK4,BO4)&gt;0,SUM(BI4:BJ4,BL4:BN4,BP4)-SUM(BK4,BO4),"")</f>
        <v>66.5</v>
      </c>
      <c r="CB4" s="11">
        <f t="shared" ref="CB4:CB22" si="25">IF(SUM(BR4,BV4)&gt;0,SUM(BR4,BV4),"")</f>
        <v>10.4</v>
      </c>
      <c r="CC4" s="11">
        <f t="shared" ref="CC4:CC22" si="26">IF(SUM(BQ4:BR4,BT4:BV4,BX4)-SUM(BS4,BW4)&gt;0,SUM(BQ4:BR4,BT4:BV4,BX4)-SUM(BS4,BW4),"")</f>
        <v>65.199999999999989</v>
      </c>
      <c r="CD4" s="11">
        <f t="shared" ref="CD4:CD22" si="27">IF(SUM(CA4,CC4)&gt;0,SUM(CA4,CC4),"")</f>
        <v>131.69999999999999</v>
      </c>
      <c r="CE4" s="23" t="str">
        <f t="shared" ref="CE4:CE22" si="28">IF(MAX(CX4,DS4,EN4,FI4,GD4,GY4,HT4,IO4,JJ4,KE4,KZ4,LU4)-IF(J4="",0,J4)&gt;0.001,MAX(CX4,DS4,EN4,FI4,GD4,GY4,HT4,IO4,JJ4,KE4,KZ4,LU4)-IF(J4="",0,J4),"")</f>
        <v/>
      </c>
      <c r="CF4" s="23" t="str">
        <f t="shared" ref="CF4:CF22" si="29">IF(MAX(DA4,DV4,EQ4,FL4,GG4,HB4,HW4,IR4,JM4,KH4,LC4,LX4)-IF(L4="",0,L4)&gt;0.001,MAX(DA4,DV4,EQ4,FL4,GG4,HB4,HW4,IR4,JM4,KH4,LC4,LX4)-IF(L4="",0,L4),"")</f>
        <v/>
      </c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11" t="str">
        <f t="shared" ref="CW4:CW22" si="30">IF(SUM(CH4,CL4)&gt;0,SUM(CH4,CL4),"")</f>
        <v/>
      </c>
      <c r="CX4" s="11" t="str">
        <f t="shared" ref="CX4:CX22" si="31">IF(SUM(CG4:CH4,CJ4:CL4,CN4)-SUM(CI4,CM4)&gt;0,SUM(CG4:CH4,CJ4:CL4,CN4)-SUM(CI4,CM4),"")</f>
        <v/>
      </c>
      <c r="CY4" s="11" t="str">
        <f t="shared" ref="CY4:CY22" si="32">IF(SUM(CP4,CT4)&gt;0,SUM(CP4,CT4),"")</f>
        <v/>
      </c>
      <c r="CZ4" s="11" t="str">
        <f t="shared" ref="CZ4:CZ22" si="33">IF(SUM(CO4:CP4,CR4:CT4,CV4)-SUM(CQ4,CU4)&gt;0,SUM(CO4:CP4,CR4:CT4,CV4)-SUM(CQ4,CU4),"")</f>
        <v/>
      </c>
      <c r="DA4" s="11" t="str">
        <f t="shared" ref="DA4:DA22" si="34">IF(SUM(CX4,CZ4)&gt;0,SUM(CX4,CZ4),"")</f>
        <v/>
      </c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14" t="str">
        <f t="shared" ref="DR4:DR22" si="35">IF(SUM(DC4,DG4)&gt;0,SUM(DC4,DG4),"")</f>
        <v/>
      </c>
      <c r="DS4" s="14" t="str">
        <f t="shared" ref="DS4:DS22" si="36">IF(SUM(DB4:DC4,DE4:DG4,DI4)-SUM(DD4,DH4)&gt;0,SUM(DB4:DC4,DE4:DG4,DI4)-SUM(DD4,DH4),"")</f>
        <v/>
      </c>
      <c r="DT4" s="14" t="str">
        <f t="shared" ref="DT4:DT22" si="37">IF(SUM(DK4,DO4)&gt;0,SUM(DK4,DO4),"")</f>
        <v/>
      </c>
      <c r="DU4" s="14" t="str">
        <f t="shared" ref="DU4:DU22" si="38">IF(SUM(DJ4:DK4,DM4:DO4,DQ4)-SUM(DL4,DP4)&gt;0,SUM(DJ4:DK4,DM4:DO4,DQ4)-SUM(DL4,DP4),"")</f>
        <v/>
      </c>
      <c r="DV4" s="14" t="str">
        <f t="shared" ref="DV4:DV22" si="39">IF(SUM(DS4,DU4)&gt;0,SUM(DS4,DU4),"")</f>
        <v/>
      </c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11" t="str">
        <f t="shared" ref="EM4:EM22" si="40">IF(SUM(DX4,EB4)&gt;0,SUM(DX4,EB4),"")</f>
        <v/>
      </c>
      <c r="EN4" s="11" t="str">
        <f t="shared" ref="EN4:EN22" si="41">IF(SUM(DW4:DX4,DZ4:EB4,ED4)-SUM(DY4,EC4)&gt;0,SUM(DW4:DX4,DZ4:EB4,ED4)-SUM(DY4,EC4),"")</f>
        <v/>
      </c>
      <c r="EO4" s="11" t="str">
        <f t="shared" ref="EO4:EO22" si="42">IF(SUM(EF4,EJ4)&gt;0,SUM(EF4,EJ4),"")</f>
        <v/>
      </c>
      <c r="EP4" s="11" t="str">
        <f t="shared" ref="EP4:EP22" si="43">IF(SUM(EE4:EF4,EH4:EJ4,EL4)-SUM(EG4,EK4)&gt;0,SUM(EE4:EF4,EH4:EJ4,EL4)-SUM(EG4,EK4),"")</f>
        <v/>
      </c>
      <c r="EQ4" s="11" t="str">
        <f t="shared" ref="EQ4:EQ22" si="44">IF(SUM(EN4,EP4)&gt;0,SUM(EN4,EP4),"")</f>
        <v/>
      </c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14" t="str">
        <f t="shared" ref="FH4:FH22" si="45">IF(SUM(ES4,EW4)&gt;0,SUM(ES4,EW4),"")</f>
        <v/>
      </c>
      <c r="FI4" s="14" t="str">
        <f t="shared" ref="FI4:FI22" si="46">IF(SUM(ER4:ES4,EU4:EW4,EY4)-SUM(ET4,EX4)&gt;0,SUM(ER4:ES4,EU4:EW4,EY4)-SUM(ET4,EX4),"")</f>
        <v/>
      </c>
      <c r="FJ4" s="14" t="str">
        <f t="shared" ref="FJ4:FJ22" si="47">IF(SUM(FA4,FE4)&gt;0,SUM(FA4,FE4),"")</f>
        <v/>
      </c>
      <c r="FK4" s="14" t="str">
        <f t="shared" ref="FK4:FK22" si="48">IF(SUM(EZ4:FA4,FC4:FE4,FG4)-SUM(FB4,FF4)&gt;0,SUM(EZ4:FA4,FC4:FE4,FG4)-SUM(FB4,FF4),"")</f>
        <v/>
      </c>
      <c r="FL4" s="14" t="str">
        <f t="shared" ref="FL4:FL22" si="49">IF(SUM(FI4,FK4)&gt;0,SUM(FI4,FK4),"")</f>
        <v/>
      </c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11" t="str">
        <f t="shared" ref="GC4:GC22" si="50">IF(SUM(FN4,FR4)&gt;0,SUM(FN4,FR4),"")</f>
        <v/>
      </c>
      <c r="GD4" s="11" t="str">
        <f t="shared" ref="GD4:GD22" si="51">IF(SUM(FM4:FN4,FP4:FR4,FT4)-SUM(FO4,FS4)&gt;0,SUM(FM4:FN4,FP4:FR4,FT4)-SUM(FO4,FS4),"")</f>
        <v/>
      </c>
      <c r="GE4" s="11" t="str">
        <f t="shared" ref="GE4:GE22" si="52">IF(SUM(FV4,FZ4)&gt;0,SUM(FV4,FZ4),"")</f>
        <v/>
      </c>
      <c r="GF4" s="11" t="str">
        <f t="shared" ref="GF4:GF22" si="53">IF(SUM(FU4:FV4,FX4:FZ4,GB4)-SUM(FW4,GA4)&gt;0,SUM(FU4:FV4,FX4:FZ4,GB4)-SUM(FW4,GA4),"")</f>
        <v/>
      </c>
      <c r="GG4" s="11" t="str">
        <f t="shared" ref="GG4:GG22" si="54">IF(SUM(GD4,GF4)&gt;0,SUM(GD4,GF4),"")</f>
        <v/>
      </c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14" t="str">
        <f t="shared" ref="GX4:GX22" si="55">IF(SUM(GI4,GM4)&gt;0,SUM(GI4,GM4),"")</f>
        <v/>
      </c>
      <c r="GY4" s="14" t="str">
        <f t="shared" ref="GY4:GY22" si="56">IF(SUM(GH4:GI4,GK4:GM4,GO4)-SUM(GJ4,GN4)&gt;0,SUM(GH4:GI4,GK4:GM4,GO4)-SUM(GJ4,GN4),"")</f>
        <v/>
      </c>
      <c r="GZ4" s="14" t="str">
        <f t="shared" ref="GZ4:GZ22" si="57">IF(SUM(GQ4,GU4)&gt;0,SUM(GQ4,GU4),"")</f>
        <v/>
      </c>
      <c r="HA4" s="14" t="str">
        <f t="shared" ref="HA4:HA22" si="58">IF(SUM(GP4:GQ4,GS4:GU4,GW4)-SUM(GR4,GV4)&gt;0,SUM(GP4:GQ4,GS4:GU4,GW4)-SUM(GR4,GV4),"")</f>
        <v/>
      </c>
      <c r="HB4" s="14" t="str">
        <f t="shared" ref="HB4:HB22" si="59">IF(SUM(GY4,HA4)&gt;0,SUM(GY4,HA4),"")</f>
        <v/>
      </c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11" t="str">
        <f t="shared" ref="HS4:HS22" si="60">IF(SUM(HD4,HH4)&gt;0,SUM(HD4,HH4),"")</f>
        <v/>
      </c>
      <c r="HT4" s="11" t="str">
        <f t="shared" ref="HT4:HT22" si="61">IF(SUM(HC4:HD4,HF4:HH4,HJ4)-SUM(HE4,HI4)&gt;0,SUM(HC4:HD4,HF4:HH4,HJ4)-SUM(HE4,HI4),"")</f>
        <v/>
      </c>
      <c r="HU4" s="11" t="str">
        <f t="shared" ref="HU4:HU22" si="62">IF(SUM(HL4,HP4)&gt;0,SUM(HL4,HP4),"")</f>
        <v/>
      </c>
      <c r="HV4" s="11" t="str">
        <f t="shared" ref="HV4:HV22" si="63">IF(SUM(HK4:HL4,HN4:HP4,HR4)-SUM(HM4,HQ4)&gt;0,SUM(HK4:HL4,HN4:HP4,HR4)-SUM(HM4,HQ4),"")</f>
        <v/>
      </c>
      <c r="HW4" s="11" t="str">
        <f t="shared" ref="HW4:HW22" si="64">IF(SUM(HT4,HV4)&gt;0,SUM(HT4,HV4),"")</f>
        <v/>
      </c>
      <c r="HX4" s="39"/>
      <c r="HY4" s="39"/>
      <c r="HZ4" s="39"/>
      <c r="IA4" s="39"/>
      <c r="IB4" s="39"/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14" t="str">
        <f t="shared" ref="IN4:IN22" si="65">IF(SUM(HY4,IC4)&gt;0,SUM(HY4,IC4),"")</f>
        <v/>
      </c>
      <c r="IO4" s="14" t="str">
        <f t="shared" ref="IO4:IO22" si="66">IF(SUM(HX4:HY4,IA4:IC4,IE4)-SUM(HZ4,ID4)&gt;0,SUM(HX4:HY4,IA4:IC4,IE4)-SUM(HZ4,ID4),"")</f>
        <v/>
      </c>
      <c r="IP4" s="14" t="str">
        <f t="shared" ref="IP4:IP22" si="67">IF(SUM(IG4,IK4)&gt;0,SUM(IG4,IK4),"")</f>
        <v/>
      </c>
      <c r="IQ4" s="14" t="str">
        <f t="shared" ref="IQ4:IQ22" si="68">IF(SUM(IF4:IG4,II4:IK4,IM4)-SUM(IH4,IL4)&gt;0,SUM(IF4:IG4,II4:IK4,IM4)-SUM(IH4,IL4),"")</f>
        <v/>
      </c>
      <c r="IR4" s="14" t="str">
        <f t="shared" ref="IR4:IR22" si="69">IF(SUM(IO4,IQ4)&gt;0,SUM(IO4,IQ4),"")</f>
        <v/>
      </c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11" t="str">
        <f t="shared" ref="JI4:JI22" si="70">IF(SUM(IT4,IX4)&gt;0,SUM(IT4,IX4),"")</f>
        <v/>
      </c>
      <c r="JJ4" s="11" t="str">
        <f t="shared" ref="JJ4:JJ22" si="71">IF(SUM(IS4:IT4,IV4:IX4,IZ4)-SUM(IU4,IY4)&gt;0,SUM(IS4:IT4,IV4:IX4,IZ4)-SUM(IU4,IY4),"")</f>
        <v/>
      </c>
      <c r="JK4" s="11" t="str">
        <f t="shared" ref="JK4:JK22" si="72">IF(SUM(JB4,JF4)&gt;0,SUM(JB4,JF4),"")</f>
        <v/>
      </c>
      <c r="JL4" s="11" t="str">
        <f t="shared" ref="JL4:JL22" si="73">IF(SUM(JA4:JB4,JD4:JF4,JH4)-SUM(JC4,JG4)&gt;0,SUM(JA4:JB4,JD4:JF4,JH4)-SUM(JC4,JG4),"")</f>
        <v/>
      </c>
      <c r="JM4" s="11" t="str">
        <f t="shared" ref="JM4:JM22" si="74">IF(SUM(JJ4,JL4)&gt;0,SUM(JJ4,JL4),"")</f>
        <v/>
      </c>
      <c r="JN4" s="39"/>
      <c r="JO4" s="39"/>
      <c r="JP4" s="39"/>
      <c r="JQ4" s="39"/>
      <c r="JR4" s="39"/>
      <c r="JS4" s="39"/>
      <c r="JT4" s="39"/>
      <c r="JU4" s="39"/>
      <c r="JV4" s="39"/>
      <c r="JW4" s="39"/>
      <c r="JX4" s="39"/>
      <c r="JY4" s="39"/>
      <c r="JZ4" s="39"/>
      <c r="KA4" s="39"/>
      <c r="KB4" s="39"/>
      <c r="KC4" s="39"/>
      <c r="KD4" s="14" t="str">
        <f t="shared" ref="KD4:KD22" si="75">IF(SUM(JO4,JS4)&gt;0,SUM(JO4,JS4),"")</f>
        <v/>
      </c>
      <c r="KE4" s="14" t="str">
        <f t="shared" ref="KE4:KE22" si="76">IF(SUM(JN4:JO4,JQ4:JS4,JU4)-SUM(JP4,JT4)&gt;0,SUM(JN4:JO4,JQ4:JS4,JU4)-SUM(JP4,JT4),"")</f>
        <v/>
      </c>
      <c r="KF4" s="14" t="str">
        <f t="shared" ref="KF4:KF22" si="77">IF(SUM(JW4,KA4)&gt;0,SUM(JW4,KA4),"")</f>
        <v/>
      </c>
      <c r="KG4" s="14" t="str">
        <f t="shared" ref="KG4:KG22" si="78">IF(SUM(JV4:JW4,JY4:KA4,KC4)-SUM(JX4,KB4)&gt;0,SUM(JV4:JW4,JY4:KA4,KC4)-SUM(JX4,KB4),"")</f>
        <v/>
      </c>
      <c r="KH4" s="14" t="str">
        <f t="shared" ref="KH4:KH22" si="79">IF(SUM(KE4,KG4)&gt;0,SUM(KE4,KG4),"")</f>
        <v/>
      </c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11" t="str">
        <f t="shared" ref="KY4:KY22" si="80">IF(SUM(KJ4,KN4)&gt;0,SUM(KJ4,KN4),"")</f>
        <v/>
      </c>
      <c r="KZ4" s="11" t="str">
        <f t="shared" ref="KZ4:KZ22" si="81">IF(SUM(KI4:KJ4,KL4:KN4,KP4)-SUM(KK4,KO4)&gt;0,SUM(KI4:KJ4,KL4:KN4,KP4)-SUM(KK4,KO4),"")</f>
        <v/>
      </c>
      <c r="LA4" s="11" t="str">
        <f t="shared" ref="LA4:LA22" si="82">IF(SUM(KR4,KV4)&gt;0,SUM(KR4,KV4),"")</f>
        <v/>
      </c>
      <c r="LB4" s="11" t="str">
        <f t="shared" ref="LB4:LB22" si="83">IF(SUM(KQ4:KR4,KT4:KV4,KX4)-SUM(KS4,KW4)&gt;0,SUM(KQ4:KR4,KT4:KV4,KX4)-SUM(KS4,KW4),"")</f>
        <v/>
      </c>
      <c r="LC4" s="11" t="str">
        <f t="shared" ref="LC4:LC22" si="84">IF(SUM(KZ4,LB4)&gt;0,SUM(KZ4,LB4),"")</f>
        <v/>
      </c>
      <c r="LD4" s="39"/>
      <c r="LE4" s="39"/>
      <c r="LF4" s="39"/>
      <c r="LG4" s="39"/>
      <c r="LH4" s="39"/>
      <c r="LI4" s="39"/>
      <c r="LJ4" s="39"/>
      <c r="LK4" s="39"/>
      <c r="LL4" s="39"/>
      <c r="LM4" s="39"/>
      <c r="LN4" s="39"/>
      <c r="LO4" s="39"/>
      <c r="LP4" s="39"/>
      <c r="LQ4" s="39"/>
      <c r="LR4" s="39"/>
      <c r="LS4" s="39"/>
      <c r="LT4" s="14" t="str">
        <f t="shared" ref="LT4:LT22" si="85">IF(SUM(LE4,LI4)&gt;0,SUM(LE4,LI4),"")</f>
        <v/>
      </c>
      <c r="LU4" s="14" t="str">
        <f t="shared" ref="LU4:LU22" si="86">IF(SUM(LD4:LE4,LG4:LI4,LK4)-SUM(LF4,LJ4)&gt;0,SUM(LD4:LE4,LG4:LI4,LK4)-SUM(LF4,LJ4),"")</f>
        <v/>
      </c>
      <c r="LV4" s="14" t="str">
        <f t="shared" ref="LV4:LV22" si="87">IF(SUM(LM4,LQ4)&gt;0,SUM(LM4,LQ4),"")</f>
        <v/>
      </c>
      <c r="LW4" s="14" t="str">
        <f t="shared" ref="LW4:LW22" si="88">IF(SUM(LL4:LM4,LO4:LQ4,LS4)-SUM(LN4,LR4)&gt;0,SUM(LL4:LM4,LO4:LQ4,LS4)-SUM(LN4,LR4),"")</f>
        <v/>
      </c>
      <c r="LX4" s="14" t="str">
        <f t="shared" ref="LX4:LX22" si="89">IF(SUM(LU4,LW4)&gt;0,SUM(LU4,LW4),"")</f>
        <v/>
      </c>
      <c r="LY4" s="61">
        <f t="shared" ref="LY4:LY22" si="90">IF($BY4="P",BI4,(BI4+AM4)/2)</f>
        <v>27.6</v>
      </c>
      <c r="LZ4" s="61">
        <f t="shared" ref="LZ4:LZ22" si="91">IF($BY4="P",BJ4,(BJ4+AN4)/2)</f>
        <v>5.6</v>
      </c>
      <c r="MA4" s="61">
        <f t="shared" ref="MA4:MA22" si="92">IF($BY4="P",BK4,(BK4+AO4)/2)</f>
        <v>0.15</v>
      </c>
      <c r="MB4" s="61">
        <f t="shared" ref="MB4:MB22" si="93">IF($BY4="P",BL4,(BL4+AP4)/2)</f>
        <v>0</v>
      </c>
      <c r="MC4" s="61">
        <f t="shared" ref="MC4:MC22" si="94">IF($BY4="P",BM4,(BM4+AQ4)/2)</f>
        <v>27.6</v>
      </c>
      <c r="MD4" s="61">
        <f t="shared" ref="MD4:MD22" si="95">IF($BY4="P",BN4,(BN4+AR4)/2)</f>
        <v>5.4</v>
      </c>
      <c r="ME4" s="61">
        <f t="shared" ref="ME4:ME22" si="96">IF($BY4="P",BO4,(BO4+AS4)/2)</f>
        <v>0.15</v>
      </c>
      <c r="MF4" s="61">
        <f t="shared" ref="MF4:MF22" si="97">IF($BY4="P",BP4,(BP4+AT4)/2)</f>
        <v>0</v>
      </c>
      <c r="MG4" s="61">
        <f t="shared" ref="MG4:MG22" si="98">IF($BY4="P",BQ4,(BQ4+AU4)/2)</f>
        <v>13.9</v>
      </c>
      <c r="MH4" s="61">
        <f t="shared" ref="MH4:MH22" si="99">IF($BY4="P",BR4,(BR4+AV4)/2)</f>
        <v>2.6</v>
      </c>
      <c r="MI4" s="61">
        <f t="shared" ref="MI4:MI22" si="100">IF($BY4="P",BS4,(BS4+AW4)/2)</f>
        <v>0.45</v>
      </c>
      <c r="MJ4" s="61">
        <f t="shared" ref="MJ4:MJ22" si="101">IF($BY4="P",BT4,(BT4+AX4)/2)</f>
        <v>0</v>
      </c>
      <c r="MK4" s="61">
        <f t="shared" ref="MK4:MK22" si="102">IF($BY4="P",BU4,(BU4+AY4)/2)</f>
        <v>28.05</v>
      </c>
      <c r="ML4" s="61">
        <f t="shared" ref="ML4:ML22" si="103">IF($BY4="P",BV4,(BV4+AZ4)/2)</f>
        <v>4.75</v>
      </c>
      <c r="MM4" s="61">
        <f t="shared" ref="MM4:MM22" si="104">IF($BY4="P",BW4,(BW4+BA4)/2)</f>
        <v>0</v>
      </c>
      <c r="MN4" s="61">
        <f t="shared" ref="MN4:MN22" si="105">IF($BY4="P",BX4,(BX4+BB4)/2)</f>
        <v>0.15</v>
      </c>
      <c r="MO4" s="72" t="s">
        <v>52</v>
      </c>
      <c r="MP4" s="11">
        <f t="shared" ref="MP4:MP22" si="106">IF(SUM(LZ4,MD4)&gt;0,SUM(LZ4,MD4),"")</f>
        <v>11</v>
      </c>
      <c r="MQ4" s="11">
        <f t="shared" ref="MQ4:MQ22" si="107">IF(SUM(LY4:LZ4,MB4:MD4,MF4)-SUM(MA4,ME4)&gt;0,SUM(LY4:LZ4,MB4:MD4,MF4)-SUM(MA4,ME4),"")</f>
        <v>65.900000000000006</v>
      </c>
      <c r="MR4" s="11">
        <f t="shared" ref="MR4:MR22" si="108">IF(SUM(MH4,ML4)&gt;0,SUM(MH4,ML4),"")</f>
        <v>7.35</v>
      </c>
      <c r="MS4" s="11">
        <f t="shared" ref="MS4:MS22" si="109">IF(SUM(MG4:MH4,MJ4:ML4,MN4)-SUM(MI4,MM4)&gt;0,SUM(MG4:MH4,MJ4:ML4,MN4)-SUM(MI4,MM4),"")</f>
        <v>48.999999999999993</v>
      </c>
      <c r="MT4" s="11">
        <f t="shared" ref="MT4:MT22" si="110">IF(SUM(MQ4,MS4)&gt;0,SUM(MQ4,MS4),"")</f>
        <v>114.9</v>
      </c>
    </row>
    <row r="5" spans="1:358" x14ac:dyDescent="0.2">
      <c r="A5" s="5">
        <f t="shared" si="0"/>
        <v>2</v>
      </c>
      <c r="B5" s="8" t="s">
        <v>89</v>
      </c>
      <c r="C5" s="4" t="s">
        <v>4</v>
      </c>
      <c r="D5" s="5">
        <v>2003</v>
      </c>
      <c r="E5" s="15">
        <f t="shared" si="1"/>
        <v>197.70000000000002</v>
      </c>
      <c r="F5" s="3" t="str">
        <f t="shared" si="2"/>
        <v>P</v>
      </c>
      <c r="G5" s="3" t="str">
        <f t="shared" si="3"/>
        <v>P</v>
      </c>
      <c r="H5" s="116" t="str">
        <f t="shared" si="4"/>
        <v>National Team</v>
      </c>
      <c r="I5" s="3" t="str">
        <f t="shared" si="5"/>
        <v/>
      </c>
      <c r="J5" s="14">
        <f t="shared" si="6"/>
        <v>66.900000000000006</v>
      </c>
      <c r="K5" s="14" t="str">
        <f t="shared" si="7"/>
        <v>2021 2nd Virtual Technical Trial</v>
      </c>
      <c r="L5" s="14">
        <f t="shared" si="8"/>
        <v>130.80000000000001</v>
      </c>
      <c r="M5" s="14" t="str">
        <f t="shared" si="9"/>
        <v>2021 1st Virtual Technical Trial</v>
      </c>
      <c r="N5" s="14" t="str">
        <f t="shared" si="10"/>
        <v/>
      </c>
      <c r="O5" s="24" t="str">
        <f t="shared" si="11"/>
        <v/>
      </c>
      <c r="P5" s="14" t="str">
        <f t="shared" si="12"/>
        <v/>
      </c>
      <c r="Q5" s="61">
        <v>27.7</v>
      </c>
      <c r="R5" s="61">
        <v>5.6</v>
      </c>
      <c r="S5" s="61">
        <v>0</v>
      </c>
      <c r="T5" s="61">
        <v>0</v>
      </c>
      <c r="U5" s="61">
        <v>27.1</v>
      </c>
      <c r="V5" s="61">
        <v>6</v>
      </c>
      <c r="W5" s="61">
        <v>0.9</v>
      </c>
      <c r="X5" s="61">
        <v>0</v>
      </c>
      <c r="Y5" s="61">
        <v>27.3</v>
      </c>
      <c r="Z5" s="61">
        <v>5.6</v>
      </c>
      <c r="AA5" s="61">
        <v>0</v>
      </c>
      <c r="AB5" s="61">
        <v>0</v>
      </c>
      <c r="AC5" s="61">
        <v>27.6</v>
      </c>
      <c r="AD5" s="61">
        <v>4.8</v>
      </c>
      <c r="AE5" s="61">
        <v>0</v>
      </c>
      <c r="AF5" s="61">
        <v>0</v>
      </c>
      <c r="AG5" s="72"/>
      <c r="AH5" s="11">
        <f t="shared" si="13"/>
        <v>11.6</v>
      </c>
      <c r="AI5" s="11">
        <f t="shared" si="14"/>
        <v>65.5</v>
      </c>
      <c r="AJ5" s="11">
        <f t="shared" si="15"/>
        <v>10.399999999999999</v>
      </c>
      <c r="AK5" s="11">
        <f t="shared" si="16"/>
        <v>65.3</v>
      </c>
      <c r="AL5" s="11">
        <f t="shared" si="17"/>
        <v>130.80000000000001</v>
      </c>
      <c r="AM5" s="36">
        <v>28.1</v>
      </c>
      <c r="AN5" s="36">
        <v>5.6</v>
      </c>
      <c r="AO5" s="36">
        <v>0</v>
      </c>
      <c r="AP5" s="36">
        <v>0</v>
      </c>
      <c r="AQ5" s="36">
        <v>27.5</v>
      </c>
      <c r="AR5" s="36">
        <v>6</v>
      </c>
      <c r="AS5" s="36">
        <v>0.3</v>
      </c>
      <c r="AT5" s="36">
        <v>0</v>
      </c>
      <c r="AU5" s="36">
        <v>27</v>
      </c>
      <c r="AV5" s="36">
        <v>5.6</v>
      </c>
      <c r="AW5" s="36">
        <v>0.9</v>
      </c>
      <c r="AX5" s="36">
        <v>0</v>
      </c>
      <c r="AY5" s="36">
        <v>26.5</v>
      </c>
      <c r="AZ5" s="36">
        <v>4.4000000000000004</v>
      </c>
      <c r="BA5" s="36">
        <v>0</v>
      </c>
      <c r="BB5" s="36">
        <v>0</v>
      </c>
      <c r="BC5" s="73"/>
      <c r="BD5" s="14">
        <f t="shared" si="18"/>
        <v>11.6</v>
      </c>
      <c r="BE5" s="14">
        <f t="shared" si="19"/>
        <v>66.900000000000006</v>
      </c>
      <c r="BF5" s="14">
        <f t="shared" si="20"/>
        <v>10</v>
      </c>
      <c r="BG5" s="14">
        <f t="shared" si="21"/>
        <v>62.6</v>
      </c>
      <c r="BH5" s="14">
        <f t="shared" si="22"/>
        <v>129.5</v>
      </c>
      <c r="BI5" s="61">
        <v>27.3</v>
      </c>
      <c r="BJ5" s="61">
        <v>6</v>
      </c>
      <c r="BK5" s="61">
        <v>0.3</v>
      </c>
      <c r="BL5" s="61">
        <v>0</v>
      </c>
      <c r="BM5" s="61">
        <v>27.1</v>
      </c>
      <c r="BN5" s="61">
        <v>3.6</v>
      </c>
      <c r="BO5" s="61">
        <v>1.7</v>
      </c>
      <c r="BP5" s="61">
        <v>0.3</v>
      </c>
      <c r="BQ5" s="61">
        <v>27.7</v>
      </c>
      <c r="BR5" s="61">
        <v>4.4000000000000004</v>
      </c>
      <c r="BS5" s="61">
        <v>0.3</v>
      </c>
      <c r="BT5" s="61">
        <v>0</v>
      </c>
      <c r="BU5" s="61">
        <v>0</v>
      </c>
      <c r="BV5" s="61">
        <v>0</v>
      </c>
      <c r="BW5" s="61">
        <v>0</v>
      </c>
      <c r="BX5" s="61">
        <v>0</v>
      </c>
      <c r="BY5" s="72"/>
      <c r="BZ5" s="11">
        <f t="shared" si="23"/>
        <v>9.6</v>
      </c>
      <c r="CA5" s="11">
        <f t="shared" si="24"/>
        <v>62.3</v>
      </c>
      <c r="CB5" s="11">
        <f t="shared" si="25"/>
        <v>4.4000000000000004</v>
      </c>
      <c r="CC5" s="11">
        <f t="shared" si="26"/>
        <v>31.8</v>
      </c>
      <c r="CD5" s="11">
        <f t="shared" si="27"/>
        <v>94.1</v>
      </c>
      <c r="CE5" s="23" t="str">
        <f t="shared" si="28"/>
        <v/>
      </c>
      <c r="CF5" s="23" t="str">
        <f t="shared" si="29"/>
        <v/>
      </c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11" t="str">
        <f t="shared" si="30"/>
        <v/>
      </c>
      <c r="CX5" s="11" t="str">
        <f t="shared" si="31"/>
        <v/>
      </c>
      <c r="CY5" s="11" t="str">
        <f t="shared" si="32"/>
        <v/>
      </c>
      <c r="CZ5" s="11" t="str">
        <f t="shared" si="33"/>
        <v/>
      </c>
      <c r="DA5" s="11" t="str">
        <f t="shared" si="34"/>
        <v/>
      </c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39"/>
      <c r="DN5" s="39"/>
      <c r="DO5" s="39"/>
      <c r="DP5" s="39"/>
      <c r="DQ5" s="39"/>
      <c r="DR5" s="14" t="str">
        <f t="shared" si="35"/>
        <v/>
      </c>
      <c r="DS5" s="14" t="str">
        <f t="shared" si="36"/>
        <v/>
      </c>
      <c r="DT5" s="14" t="str">
        <f t="shared" si="37"/>
        <v/>
      </c>
      <c r="DU5" s="14" t="str">
        <f t="shared" si="38"/>
        <v/>
      </c>
      <c r="DV5" s="14" t="str">
        <f t="shared" si="39"/>
        <v/>
      </c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40"/>
      <c r="EM5" s="11" t="str">
        <f t="shared" si="40"/>
        <v/>
      </c>
      <c r="EN5" s="11" t="str">
        <f t="shared" si="41"/>
        <v/>
      </c>
      <c r="EO5" s="11" t="str">
        <f t="shared" si="42"/>
        <v/>
      </c>
      <c r="EP5" s="11" t="str">
        <f t="shared" si="43"/>
        <v/>
      </c>
      <c r="EQ5" s="11" t="str">
        <f t="shared" si="44"/>
        <v/>
      </c>
      <c r="ER5" s="39"/>
      <c r="ES5" s="39"/>
      <c r="ET5" s="39"/>
      <c r="EU5" s="39"/>
      <c r="EV5" s="39"/>
      <c r="EW5" s="39"/>
      <c r="EX5" s="39"/>
      <c r="EY5" s="39"/>
      <c r="EZ5" s="39"/>
      <c r="FA5" s="39"/>
      <c r="FB5" s="39"/>
      <c r="FC5" s="39"/>
      <c r="FD5" s="39"/>
      <c r="FE5" s="39"/>
      <c r="FF5" s="39"/>
      <c r="FG5" s="39"/>
      <c r="FH5" s="14" t="str">
        <f t="shared" si="45"/>
        <v/>
      </c>
      <c r="FI5" s="14" t="str">
        <f t="shared" si="46"/>
        <v/>
      </c>
      <c r="FJ5" s="14" t="str">
        <f t="shared" si="47"/>
        <v/>
      </c>
      <c r="FK5" s="14" t="str">
        <f t="shared" si="48"/>
        <v/>
      </c>
      <c r="FL5" s="14" t="str">
        <f t="shared" si="49"/>
        <v/>
      </c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40"/>
      <c r="GC5" s="11" t="str">
        <f t="shared" si="50"/>
        <v/>
      </c>
      <c r="GD5" s="11" t="str">
        <f t="shared" si="51"/>
        <v/>
      </c>
      <c r="GE5" s="11" t="str">
        <f t="shared" si="52"/>
        <v/>
      </c>
      <c r="GF5" s="11" t="str">
        <f t="shared" si="53"/>
        <v/>
      </c>
      <c r="GG5" s="11" t="str">
        <f t="shared" si="54"/>
        <v/>
      </c>
      <c r="GH5" s="39"/>
      <c r="GI5" s="39"/>
      <c r="GJ5" s="39"/>
      <c r="GK5" s="39"/>
      <c r="GL5" s="39"/>
      <c r="GM5" s="39"/>
      <c r="GN5" s="39"/>
      <c r="GO5" s="39"/>
      <c r="GP5" s="39"/>
      <c r="GQ5" s="39"/>
      <c r="GR5" s="39"/>
      <c r="GS5" s="39"/>
      <c r="GT5" s="39"/>
      <c r="GU5" s="39"/>
      <c r="GV5" s="39"/>
      <c r="GW5" s="39"/>
      <c r="GX5" s="14" t="str">
        <f t="shared" si="55"/>
        <v/>
      </c>
      <c r="GY5" s="14" t="str">
        <f t="shared" si="56"/>
        <v/>
      </c>
      <c r="GZ5" s="14" t="str">
        <f t="shared" si="57"/>
        <v/>
      </c>
      <c r="HA5" s="14" t="str">
        <f t="shared" si="58"/>
        <v/>
      </c>
      <c r="HB5" s="14" t="str">
        <f t="shared" si="59"/>
        <v/>
      </c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40"/>
      <c r="HS5" s="11" t="str">
        <f t="shared" si="60"/>
        <v/>
      </c>
      <c r="HT5" s="11" t="str">
        <f t="shared" si="61"/>
        <v/>
      </c>
      <c r="HU5" s="11" t="str">
        <f t="shared" si="62"/>
        <v/>
      </c>
      <c r="HV5" s="11" t="str">
        <f t="shared" si="63"/>
        <v/>
      </c>
      <c r="HW5" s="11" t="str">
        <f t="shared" si="64"/>
        <v/>
      </c>
      <c r="HX5" s="39"/>
      <c r="HY5" s="39"/>
      <c r="HZ5" s="39"/>
      <c r="IA5" s="39"/>
      <c r="IB5" s="39"/>
      <c r="IC5" s="39"/>
      <c r="ID5" s="39"/>
      <c r="IE5" s="39"/>
      <c r="IF5" s="39"/>
      <c r="IG5" s="39"/>
      <c r="IH5" s="39"/>
      <c r="II5" s="39"/>
      <c r="IJ5" s="39"/>
      <c r="IK5" s="39"/>
      <c r="IL5" s="39"/>
      <c r="IM5" s="39"/>
      <c r="IN5" s="14" t="str">
        <f t="shared" si="65"/>
        <v/>
      </c>
      <c r="IO5" s="14" t="str">
        <f t="shared" si="66"/>
        <v/>
      </c>
      <c r="IP5" s="14" t="str">
        <f t="shared" si="67"/>
        <v/>
      </c>
      <c r="IQ5" s="14" t="str">
        <f t="shared" si="68"/>
        <v/>
      </c>
      <c r="IR5" s="14" t="str">
        <f t="shared" si="69"/>
        <v/>
      </c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40"/>
      <c r="JI5" s="11" t="str">
        <f t="shared" si="70"/>
        <v/>
      </c>
      <c r="JJ5" s="11" t="str">
        <f t="shared" si="71"/>
        <v/>
      </c>
      <c r="JK5" s="11" t="str">
        <f t="shared" si="72"/>
        <v/>
      </c>
      <c r="JL5" s="11" t="str">
        <f t="shared" si="73"/>
        <v/>
      </c>
      <c r="JM5" s="11" t="str">
        <f t="shared" si="74"/>
        <v/>
      </c>
      <c r="JN5" s="39"/>
      <c r="JO5" s="39"/>
      <c r="JP5" s="39"/>
      <c r="JQ5" s="39"/>
      <c r="JR5" s="39"/>
      <c r="JS5" s="39"/>
      <c r="JT5" s="39"/>
      <c r="JU5" s="39"/>
      <c r="JV5" s="39"/>
      <c r="JW5" s="39"/>
      <c r="JX5" s="39"/>
      <c r="JY5" s="39"/>
      <c r="JZ5" s="39"/>
      <c r="KA5" s="39"/>
      <c r="KB5" s="39"/>
      <c r="KC5" s="39"/>
      <c r="KD5" s="14" t="str">
        <f t="shared" si="75"/>
        <v/>
      </c>
      <c r="KE5" s="14" t="str">
        <f t="shared" si="76"/>
        <v/>
      </c>
      <c r="KF5" s="14" t="str">
        <f t="shared" si="77"/>
        <v/>
      </c>
      <c r="KG5" s="14" t="str">
        <f t="shared" si="78"/>
        <v/>
      </c>
      <c r="KH5" s="14" t="str">
        <f t="shared" si="79"/>
        <v/>
      </c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40"/>
      <c r="KY5" s="11" t="str">
        <f t="shared" si="80"/>
        <v/>
      </c>
      <c r="KZ5" s="11" t="str">
        <f t="shared" si="81"/>
        <v/>
      </c>
      <c r="LA5" s="11" t="str">
        <f t="shared" si="82"/>
        <v/>
      </c>
      <c r="LB5" s="11" t="str">
        <f t="shared" si="83"/>
        <v/>
      </c>
      <c r="LC5" s="11" t="str">
        <f t="shared" si="84"/>
        <v/>
      </c>
      <c r="LD5" s="39"/>
      <c r="LE5" s="39"/>
      <c r="LF5" s="39"/>
      <c r="LG5" s="39"/>
      <c r="LH5" s="39"/>
      <c r="LI5" s="39"/>
      <c r="LJ5" s="39"/>
      <c r="LK5" s="39"/>
      <c r="LL5" s="39"/>
      <c r="LM5" s="39"/>
      <c r="LN5" s="39"/>
      <c r="LO5" s="39"/>
      <c r="LP5" s="39"/>
      <c r="LQ5" s="39"/>
      <c r="LR5" s="39"/>
      <c r="LS5" s="39"/>
      <c r="LT5" s="14" t="str">
        <f t="shared" si="85"/>
        <v/>
      </c>
      <c r="LU5" s="14" t="str">
        <f t="shared" si="86"/>
        <v/>
      </c>
      <c r="LV5" s="14" t="str">
        <f t="shared" si="87"/>
        <v/>
      </c>
      <c r="LW5" s="14" t="str">
        <f t="shared" si="88"/>
        <v/>
      </c>
      <c r="LX5" s="14" t="str">
        <f t="shared" si="89"/>
        <v/>
      </c>
      <c r="LY5" s="61">
        <f t="shared" si="90"/>
        <v>27.700000000000003</v>
      </c>
      <c r="LZ5" s="61">
        <f t="shared" si="91"/>
        <v>5.8</v>
      </c>
      <c r="MA5" s="61">
        <f t="shared" si="92"/>
        <v>0.15</v>
      </c>
      <c r="MB5" s="61">
        <f t="shared" si="93"/>
        <v>0</v>
      </c>
      <c r="MC5" s="61">
        <f t="shared" si="94"/>
        <v>27.3</v>
      </c>
      <c r="MD5" s="61">
        <f t="shared" si="95"/>
        <v>4.8</v>
      </c>
      <c r="ME5" s="61">
        <f t="shared" si="96"/>
        <v>1</v>
      </c>
      <c r="MF5" s="61">
        <f t="shared" si="97"/>
        <v>0.15</v>
      </c>
      <c r="MG5" s="61">
        <f t="shared" si="98"/>
        <v>27.35</v>
      </c>
      <c r="MH5" s="61">
        <f t="shared" si="99"/>
        <v>5</v>
      </c>
      <c r="MI5" s="61">
        <f t="shared" si="100"/>
        <v>0.6</v>
      </c>
      <c r="MJ5" s="61">
        <f t="shared" si="101"/>
        <v>0</v>
      </c>
      <c r="MK5" s="61">
        <f t="shared" si="102"/>
        <v>13.25</v>
      </c>
      <c r="ML5" s="61">
        <f t="shared" si="103"/>
        <v>2.2000000000000002</v>
      </c>
      <c r="MM5" s="61">
        <f t="shared" si="104"/>
        <v>0</v>
      </c>
      <c r="MN5" s="61">
        <f t="shared" si="105"/>
        <v>0</v>
      </c>
      <c r="MO5" s="72" t="s">
        <v>52</v>
      </c>
      <c r="MP5" s="11">
        <f t="shared" si="106"/>
        <v>10.6</v>
      </c>
      <c r="MQ5" s="11">
        <f t="shared" si="107"/>
        <v>64.599999999999994</v>
      </c>
      <c r="MR5" s="11">
        <f t="shared" si="108"/>
        <v>7.2</v>
      </c>
      <c r="MS5" s="11">
        <f t="shared" si="109"/>
        <v>47.2</v>
      </c>
      <c r="MT5" s="11">
        <f t="shared" si="110"/>
        <v>111.8</v>
      </c>
    </row>
    <row r="6" spans="1:358" x14ac:dyDescent="0.2">
      <c r="A6" s="5">
        <f t="shared" si="0"/>
        <v>3</v>
      </c>
      <c r="B6" s="8" t="s">
        <v>108</v>
      </c>
      <c r="C6" s="4" t="s">
        <v>5</v>
      </c>
      <c r="D6" s="5">
        <v>2004</v>
      </c>
      <c r="E6" s="15">
        <f t="shared" si="1"/>
        <v>197.42500000000001</v>
      </c>
      <c r="F6" s="3" t="str">
        <f t="shared" si="2"/>
        <v>P</v>
      </c>
      <c r="G6" s="3" t="str">
        <f t="shared" si="3"/>
        <v>P</v>
      </c>
      <c r="H6" s="116" t="str">
        <f t="shared" si="4"/>
        <v>National Team</v>
      </c>
      <c r="I6" s="3" t="str">
        <f t="shared" si="5"/>
        <v/>
      </c>
      <c r="J6" s="14">
        <f t="shared" si="6"/>
        <v>67.100000000000009</v>
      </c>
      <c r="K6" s="14" t="str">
        <f t="shared" si="7"/>
        <v>2021 2nd Virtual Technical Trial</v>
      </c>
      <c r="L6" s="14">
        <f t="shared" si="8"/>
        <v>130.32500000000002</v>
      </c>
      <c r="M6" s="14" t="str">
        <f t="shared" si="9"/>
        <v>2021 1st Virtual Technical Trial</v>
      </c>
      <c r="N6" s="14" t="str">
        <f t="shared" si="10"/>
        <v/>
      </c>
      <c r="O6" s="24" t="str">
        <f t="shared" si="11"/>
        <v/>
      </c>
      <c r="P6" s="14" t="str">
        <f t="shared" si="12"/>
        <v/>
      </c>
      <c r="Q6" s="61">
        <v>28.4</v>
      </c>
      <c r="R6" s="61">
        <v>5.2</v>
      </c>
      <c r="S6" s="61">
        <v>0</v>
      </c>
      <c r="T6" s="61">
        <v>0</v>
      </c>
      <c r="U6" s="61">
        <v>28.225000000000001</v>
      </c>
      <c r="V6" s="61">
        <v>5.2</v>
      </c>
      <c r="W6" s="61">
        <v>0.3</v>
      </c>
      <c r="X6" s="61">
        <v>0.3</v>
      </c>
      <c r="Y6" s="61">
        <v>27.3</v>
      </c>
      <c r="Z6" s="61">
        <v>4.4000000000000004</v>
      </c>
      <c r="AA6" s="61">
        <v>0</v>
      </c>
      <c r="AB6" s="61">
        <v>0</v>
      </c>
      <c r="AC6" s="61">
        <v>27.9</v>
      </c>
      <c r="AD6" s="61">
        <v>3.7</v>
      </c>
      <c r="AE6" s="61">
        <v>0</v>
      </c>
      <c r="AF6" s="61">
        <v>0</v>
      </c>
      <c r="AG6" s="72"/>
      <c r="AH6" s="11">
        <f t="shared" si="13"/>
        <v>10.4</v>
      </c>
      <c r="AI6" s="11">
        <f t="shared" si="14"/>
        <v>67.025000000000006</v>
      </c>
      <c r="AJ6" s="11">
        <f t="shared" si="15"/>
        <v>8.1000000000000014</v>
      </c>
      <c r="AK6" s="11">
        <f t="shared" si="16"/>
        <v>63.300000000000004</v>
      </c>
      <c r="AL6" s="11">
        <f t="shared" si="17"/>
        <v>130.32500000000002</v>
      </c>
      <c r="AM6" s="36">
        <v>28.5</v>
      </c>
      <c r="AN6" s="36">
        <v>5.2</v>
      </c>
      <c r="AO6" s="36">
        <v>0</v>
      </c>
      <c r="AP6" s="36">
        <v>0</v>
      </c>
      <c r="AQ6" s="36">
        <v>28.5</v>
      </c>
      <c r="AR6" s="36">
        <v>5.2</v>
      </c>
      <c r="AS6" s="36">
        <v>0.3</v>
      </c>
      <c r="AT6" s="36">
        <v>0</v>
      </c>
      <c r="AU6" s="36">
        <v>28</v>
      </c>
      <c r="AV6" s="36">
        <v>4.4000000000000004</v>
      </c>
      <c r="AW6" s="36">
        <v>0</v>
      </c>
      <c r="AX6" s="36">
        <v>0</v>
      </c>
      <c r="AY6" s="36">
        <v>28.8</v>
      </c>
      <c r="AZ6" s="36">
        <v>3.7</v>
      </c>
      <c r="BA6" s="36">
        <v>0.3</v>
      </c>
      <c r="BB6" s="36">
        <v>0</v>
      </c>
      <c r="BC6" s="73"/>
      <c r="BD6" s="14">
        <f t="shared" si="18"/>
        <v>10.4</v>
      </c>
      <c r="BE6" s="14">
        <f t="shared" si="19"/>
        <v>67.100000000000009</v>
      </c>
      <c r="BF6" s="14">
        <f t="shared" si="20"/>
        <v>8.1000000000000014</v>
      </c>
      <c r="BG6" s="14">
        <f t="shared" si="21"/>
        <v>64.600000000000009</v>
      </c>
      <c r="BH6" s="14">
        <f t="shared" si="22"/>
        <v>131.70000000000002</v>
      </c>
      <c r="BI6" s="61">
        <v>28.3</v>
      </c>
      <c r="BJ6" s="61">
        <v>5.2</v>
      </c>
      <c r="BK6" s="61">
        <v>1.2</v>
      </c>
      <c r="BL6" s="61">
        <v>0</v>
      </c>
      <c r="BM6" s="61">
        <v>28.2</v>
      </c>
      <c r="BN6" s="61">
        <v>5.6</v>
      </c>
      <c r="BO6" s="61">
        <v>0.9</v>
      </c>
      <c r="BP6" s="61">
        <v>0</v>
      </c>
      <c r="BQ6" s="61">
        <v>27.7</v>
      </c>
      <c r="BR6" s="61">
        <v>4.8</v>
      </c>
      <c r="BS6" s="61">
        <v>0.9</v>
      </c>
      <c r="BT6" s="61">
        <v>0</v>
      </c>
      <c r="BU6" s="61">
        <v>27.6</v>
      </c>
      <c r="BV6" s="61">
        <v>3.5</v>
      </c>
      <c r="BW6" s="61">
        <v>1.2</v>
      </c>
      <c r="BX6" s="61">
        <v>0</v>
      </c>
      <c r="BY6" s="72"/>
      <c r="BZ6" s="11">
        <f t="shared" si="23"/>
        <v>10.8</v>
      </c>
      <c r="CA6" s="11">
        <f t="shared" si="24"/>
        <v>65.2</v>
      </c>
      <c r="CB6" s="11">
        <f t="shared" si="25"/>
        <v>8.3000000000000007</v>
      </c>
      <c r="CC6" s="11">
        <f t="shared" si="26"/>
        <v>61.5</v>
      </c>
      <c r="CD6" s="11">
        <f t="shared" si="27"/>
        <v>126.7</v>
      </c>
      <c r="CE6" s="23" t="str">
        <f t="shared" si="28"/>
        <v/>
      </c>
      <c r="CF6" s="23" t="str">
        <f t="shared" si="29"/>
        <v/>
      </c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40"/>
      <c r="CW6" s="11" t="str">
        <f t="shared" si="30"/>
        <v/>
      </c>
      <c r="CX6" s="11" t="str">
        <f t="shared" si="31"/>
        <v/>
      </c>
      <c r="CY6" s="11" t="str">
        <f t="shared" si="32"/>
        <v/>
      </c>
      <c r="CZ6" s="11" t="str">
        <f t="shared" si="33"/>
        <v/>
      </c>
      <c r="DA6" s="11" t="str">
        <f t="shared" si="34"/>
        <v/>
      </c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14" t="str">
        <f t="shared" si="35"/>
        <v/>
      </c>
      <c r="DS6" s="14" t="str">
        <f t="shared" si="36"/>
        <v/>
      </c>
      <c r="DT6" s="14" t="str">
        <f t="shared" si="37"/>
        <v/>
      </c>
      <c r="DU6" s="14" t="str">
        <f t="shared" si="38"/>
        <v/>
      </c>
      <c r="DV6" s="14" t="str">
        <f t="shared" si="39"/>
        <v/>
      </c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40"/>
      <c r="EM6" s="11" t="str">
        <f t="shared" si="40"/>
        <v/>
      </c>
      <c r="EN6" s="11" t="str">
        <f t="shared" si="41"/>
        <v/>
      </c>
      <c r="EO6" s="11" t="str">
        <f t="shared" si="42"/>
        <v/>
      </c>
      <c r="EP6" s="11" t="str">
        <f t="shared" si="43"/>
        <v/>
      </c>
      <c r="EQ6" s="11" t="str">
        <f t="shared" si="44"/>
        <v/>
      </c>
      <c r="ER6" s="39"/>
      <c r="ES6" s="39"/>
      <c r="ET6" s="39"/>
      <c r="EU6" s="39"/>
      <c r="EV6" s="39"/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14" t="str">
        <f t="shared" si="45"/>
        <v/>
      </c>
      <c r="FI6" s="14" t="str">
        <f t="shared" si="46"/>
        <v/>
      </c>
      <c r="FJ6" s="14" t="str">
        <f t="shared" si="47"/>
        <v/>
      </c>
      <c r="FK6" s="14" t="str">
        <f t="shared" si="48"/>
        <v/>
      </c>
      <c r="FL6" s="14" t="str">
        <f t="shared" si="49"/>
        <v/>
      </c>
      <c r="FM6" s="40"/>
      <c r="FN6" s="40"/>
      <c r="FO6" s="40"/>
      <c r="FP6" s="40"/>
      <c r="FQ6" s="40"/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40"/>
      <c r="GC6" s="11" t="str">
        <f t="shared" si="50"/>
        <v/>
      </c>
      <c r="GD6" s="11" t="str">
        <f t="shared" si="51"/>
        <v/>
      </c>
      <c r="GE6" s="11" t="str">
        <f t="shared" si="52"/>
        <v/>
      </c>
      <c r="GF6" s="11" t="str">
        <f t="shared" si="53"/>
        <v/>
      </c>
      <c r="GG6" s="11" t="str">
        <f t="shared" si="54"/>
        <v/>
      </c>
      <c r="GH6" s="39"/>
      <c r="GI6" s="39"/>
      <c r="GJ6" s="39"/>
      <c r="GK6" s="39"/>
      <c r="GL6" s="39"/>
      <c r="GM6" s="39"/>
      <c r="GN6" s="39"/>
      <c r="GO6" s="39"/>
      <c r="GP6" s="39"/>
      <c r="GQ6" s="39"/>
      <c r="GR6" s="39"/>
      <c r="GS6" s="39"/>
      <c r="GT6" s="39"/>
      <c r="GU6" s="39"/>
      <c r="GV6" s="39"/>
      <c r="GW6" s="39"/>
      <c r="GX6" s="14" t="str">
        <f t="shared" si="55"/>
        <v/>
      </c>
      <c r="GY6" s="14" t="str">
        <f t="shared" si="56"/>
        <v/>
      </c>
      <c r="GZ6" s="14" t="str">
        <f t="shared" si="57"/>
        <v/>
      </c>
      <c r="HA6" s="14" t="str">
        <f t="shared" si="58"/>
        <v/>
      </c>
      <c r="HB6" s="14" t="str">
        <f t="shared" si="59"/>
        <v/>
      </c>
      <c r="HC6" s="40"/>
      <c r="HD6" s="40"/>
      <c r="HE6" s="40"/>
      <c r="HF6" s="40"/>
      <c r="HG6" s="40"/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40"/>
      <c r="HS6" s="11" t="str">
        <f t="shared" si="60"/>
        <v/>
      </c>
      <c r="HT6" s="11" t="str">
        <f t="shared" si="61"/>
        <v/>
      </c>
      <c r="HU6" s="11" t="str">
        <f t="shared" si="62"/>
        <v/>
      </c>
      <c r="HV6" s="11" t="str">
        <f t="shared" si="63"/>
        <v/>
      </c>
      <c r="HW6" s="11" t="str">
        <f t="shared" si="64"/>
        <v/>
      </c>
      <c r="HX6" s="39"/>
      <c r="HY6" s="39"/>
      <c r="HZ6" s="39"/>
      <c r="IA6" s="39"/>
      <c r="IB6" s="39"/>
      <c r="IC6" s="39"/>
      <c r="ID6" s="39"/>
      <c r="IE6" s="39"/>
      <c r="IF6" s="39"/>
      <c r="IG6" s="39"/>
      <c r="IH6" s="39"/>
      <c r="II6" s="39"/>
      <c r="IJ6" s="39"/>
      <c r="IK6" s="39"/>
      <c r="IL6" s="39"/>
      <c r="IM6" s="39"/>
      <c r="IN6" s="14" t="str">
        <f t="shared" si="65"/>
        <v/>
      </c>
      <c r="IO6" s="14" t="str">
        <f t="shared" si="66"/>
        <v/>
      </c>
      <c r="IP6" s="14" t="str">
        <f t="shared" si="67"/>
        <v/>
      </c>
      <c r="IQ6" s="14" t="str">
        <f t="shared" si="68"/>
        <v/>
      </c>
      <c r="IR6" s="14" t="str">
        <f t="shared" si="69"/>
        <v/>
      </c>
      <c r="IS6" s="40"/>
      <c r="IT6" s="40"/>
      <c r="IU6" s="40"/>
      <c r="IV6" s="40"/>
      <c r="IW6" s="40"/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40"/>
      <c r="JI6" s="11" t="str">
        <f t="shared" si="70"/>
        <v/>
      </c>
      <c r="JJ6" s="11" t="str">
        <f t="shared" si="71"/>
        <v/>
      </c>
      <c r="JK6" s="11" t="str">
        <f t="shared" si="72"/>
        <v/>
      </c>
      <c r="JL6" s="11" t="str">
        <f t="shared" si="73"/>
        <v/>
      </c>
      <c r="JM6" s="11" t="str">
        <f t="shared" si="74"/>
        <v/>
      </c>
      <c r="JN6" s="39"/>
      <c r="JO6" s="39"/>
      <c r="JP6" s="39"/>
      <c r="JQ6" s="39"/>
      <c r="JR6" s="39"/>
      <c r="JS6" s="39"/>
      <c r="JT6" s="39"/>
      <c r="JU6" s="39"/>
      <c r="JV6" s="39"/>
      <c r="JW6" s="39"/>
      <c r="JX6" s="39"/>
      <c r="JY6" s="39"/>
      <c r="JZ6" s="39"/>
      <c r="KA6" s="39"/>
      <c r="KB6" s="39"/>
      <c r="KC6" s="39"/>
      <c r="KD6" s="14" t="str">
        <f t="shared" si="75"/>
        <v/>
      </c>
      <c r="KE6" s="14" t="str">
        <f t="shared" si="76"/>
        <v/>
      </c>
      <c r="KF6" s="14" t="str">
        <f t="shared" si="77"/>
        <v/>
      </c>
      <c r="KG6" s="14" t="str">
        <f t="shared" si="78"/>
        <v/>
      </c>
      <c r="KH6" s="14" t="str">
        <f t="shared" si="79"/>
        <v/>
      </c>
      <c r="KI6" s="40"/>
      <c r="KJ6" s="40"/>
      <c r="KK6" s="40"/>
      <c r="KL6" s="40"/>
      <c r="KM6" s="40"/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40"/>
      <c r="KY6" s="11" t="str">
        <f t="shared" si="80"/>
        <v/>
      </c>
      <c r="KZ6" s="11" t="str">
        <f t="shared" si="81"/>
        <v/>
      </c>
      <c r="LA6" s="11" t="str">
        <f t="shared" si="82"/>
        <v/>
      </c>
      <c r="LB6" s="11" t="str">
        <f t="shared" si="83"/>
        <v/>
      </c>
      <c r="LC6" s="11" t="str">
        <f t="shared" si="84"/>
        <v/>
      </c>
      <c r="LD6" s="39"/>
      <c r="LE6" s="39"/>
      <c r="LF6" s="39"/>
      <c r="LG6" s="39"/>
      <c r="LH6" s="39"/>
      <c r="LI6" s="39"/>
      <c r="LJ6" s="39"/>
      <c r="LK6" s="39"/>
      <c r="LL6" s="39"/>
      <c r="LM6" s="39"/>
      <c r="LN6" s="39"/>
      <c r="LO6" s="39"/>
      <c r="LP6" s="39"/>
      <c r="LQ6" s="39"/>
      <c r="LR6" s="39"/>
      <c r="LS6" s="39"/>
      <c r="LT6" s="14" t="str">
        <f t="shared" si="85"/>
        <v/>
      </c>
      <c r="LU6" s="14" t="str">
        <f t="shared" si="86"/>
        <v/>
      </c>
      <c r="LV6" s="14" t="str">
        <f t="shared" si="87"/>
        <v/>
      </c>
      <c r="LW6" s="14" t="str">
        <f t="shared" si="88"/>
        <v/>
      </c>
      <c r="LX6" s="14" t="str">
        <f t="shared" si="89"/>
        <v/>
      </c>
      <c r="LY6" s="61">
        <f t="shared" si="90"/>
        <v>28.4</v>
      </c>
      <c r="LZ6" s="61">
        <f t="shared" si="91"/>
        <v>5.2</v>
      </c>
      <c r="MA6" s="61">
        <f t="shared" si="92"/>
        <v>0.6</v>
      </c>
      <c r="MB6" s="61">
        <f t="shared" si="93"/>
        <v>0</v>
      </c>
      <c r="MC6" s="61">
        <f t="shared" si="94"/>
        <v>28.35</v>
      </c>
      <c r="MD6" s="61">
        <f t="shared" si="95"/>
        <v>5.4</v>
      </c>
      <c r="ME6" s="61">
        <f t="shared" si="96"/>
        <v>0.6</v>
      </c>
      <c r="MF6" s="61">
        <f t="shared" si="97"/>
        <v>0</v>
      </c>
      <c r="MG6" s="61">
        <f t="shared" si="98"/>
        <v>27.85</v>
      </c>
      <c r="MH6" s="61">
        <f t="shared" si="99"/>
        <v>4.5999999999999996</v>
      </c>
      <c r="MI6" s="61">
        <f t="shared" si="100"/>
        <v>0.45</v>
      </c>
      <c r="MJ6" s="61">
        <f t="shared" si="101"/>
        <v>0</v>
      </c>
      <c r="MK6" s="61">
        <f t="shared" si="102"/>
        <v>28.200000000000003</v>
      </c>
      <c r="ML6" s="61">
        <f t="shared" si="103"/>
        <v>3.6</v>
      </c>
      <c r="MM6" s="61">
        <f t="shared" si="104"/>
        <v>0.75</v>
      </c>
      <c r="MN6" s="61">
        <f t="shared" si="105"/>
        <v>0</v>
      </c>
      <c r="MO6" s="72" t="s">
        <v>52</v>
      </c>
      <c r="MP6" s="11">
        <f t="shared" si="106"/>
        <v>10.600000000000001</v>
      </c>
      <c r="MQ6" s="11">
        <f t="shared" si="107"/>
        <v>66.150000000000006</v>
      </c>
      <c r="MR6" s="11">
        <f t="shared" si="108"/>
        <v>8.1999999999999993</v>
      </c>
      <c r="MS6" s="11">
        <f t="shared" si="109"/>
        <v>63.05</v>
      </c>
      <c r="MT6" s="11">
        <f t="shared" si="110"/>
        <v>129.19999999999999</v>
      </c>
    </row>
    <row r="7" spans="1:358" x14ac:dyDescent="0.2">
      <c r="A7" s="5">
        <f t="shared" si="0"/>
        <v>4</v>
      </c>
      <c r="B7" s="8" t="s">
        <v>109</v>
      </c>
      <c r="C7" s="4" t="s">
        <v>4</v>
      </c>
      <c r="D7" s="5">
        <v>2003</v>
      </c>
      <c r="E7" s="15">
        <f t="shared" si="1"/>
        <v>194.97499999999999</v>
      </c>
      <c r="F7" s="3" t="str">
        <f t="shared" si="2"/>
        <v>P</v>
      </c>
      <c r="G7" s="3" t="str">
        <f t="shared" si="3"/>
        <v>P</v>
      </c>
      <c r="H7" s="116" t="str">
        <f t="shared" si="4"/>
        <v>National Team</v>
      </c>
      <c r="I7" s="3" t="str">
        <f t="shared" si="5"/>
        <v/>
      </c>
      <c r="J7" s="14">
        <f t="shared" si="6"/>
        <v>66.349999999999994</v>
      </c>
      <c r="K7" s="14" t="str">
        <f t="shared" si="7"/>
        <v>2021 1st Virtual Technical Trial</v>
      </c>
      <c r="L7" s="14">
        <f t="shared" si="8"/>
        <v>128.625</v>
      </c>
      <c r="M7" s="14" t="str">
        <f t="shared" si="9"/>
        <v>2021 2nd Virtual Technical Trial</v>
      </c>
      <c r="N7" s="14" t="str">
        <f t="shared" si="10"/>
        <v/>
      </c>
      <c r="O7" s="24" t="str">
        <f t="shared" si="11"/>
        <v/>
      </c>
      <c r="P7" s="14" t="str">
        <f t="shared" si="12"/>
        <v/>
      </c>
      <c r="Q7" s="61">
        <v>27.15</v>
      </c>
      <c r="R7" s="61">
        <v>6</v>
      </c>
      <c r="S7" s="61">
        <v>0</v>
      </c>
      <c r="T7" s="61">
        <v>0</v>
      </c>
      <c r="U7" s="61">
        <v>27.6</v>
      </c>
      <c r="V7" s="61">
        <v>5.6</v>
      </c>
      <c r="W7" s="61">
        <v>0.3</v>
      </c>
      <c r="X7" s="61">
        <v>0.3</v>
      </c>
      <c r="Y7" s="61">
        <v>27.8</v>
      </c>
      <c r="Z7" s="61">
        <v>3</v>
      </c>
      <c r="AA7" s="61">
        <v>0</v>
      </c>
      <c r="AB7" s="61">
        <v>0</v>
      </c>
      <c r="AC7" s="61">
        <v>28.4</v>
      </c>
      <c r="AD7" s="61">
        <v>3.5</v>
      </c>
      <c r="AE7" s="61">
        <v>0.9</v>
      </c>
      <c r="AF7" s="61">
        <v>0</v>
      </c>
      <c r="AG7" s="72"/>
      <c r="AH7" s="11">
        <f t="shared" si="13"/>
        <v>11.6</v>
      </c>
      <c r="AI7" s="11">
        <f t="shared" si="14"/>
        <v>66.349999999999994</v>
      </c>
      <c r="AJ7" s="11">
        <f t="shared" si="15"/>
        <v>6.5</v>
      </c>
      <c r="AK7" s="11">
        <f t="shared" si="16"/>
        <v>61.800000000000004</v>
      </c>
      <c r="AL7" s="11">
        <f t="shared" si="17"/>
        <v>128.15</v>
      </c>
      <c r="AM7" s="36">
        <v>27.375</v>
      </c>
      <c r="AN7" s="36">
        <v>5.6</v>
      </c>
      <c r="AO7" s="36">
        <v>0</v>
      </c>
      <c r="AP7" s="36">
        <v>0</v>
      </c>
      <c r="AQ7" s="36">
        <v>27.5</v>
      </c>
      <c r="AR7" s="36">
        <v>5.1999999999999993</v>
      </c>
      <c r="AS7" s="36">
        <v>0.6</v>
      </c>
      <c r="AT7" s="36">
        <v>0.4</v>
      </c>
      <c r="AU7" s="36">
        <v>27.8</v>
      </c>
      <c r="AV7" s="36">
        <v>3.9</v>
      </c>
      <c r="AW7" s="36">
        <v>0</v>
      </c>
      <c r="AX7" s="36">
        <v>0</v>
      </c>
      <c r="AY7" s="36">
        <v>28.15</v>
      </c>
      <c r="AZ7" s="36">
        <v>3.75</v>
      </c>
      <c r="BA7" s="36">
        <v>0.45</v>
      </c>
      <c r="BB7" s="36">
        <v>0</v>
      </c>
      <c r="BC7" s="73" t="s">
        <v>52</v>
      </c>
      <c r="BD7" s="14">
        <f t="shared" si="18"/>
        <v>10.799999999999999</v>
      </c>
      <c r="BE7" s="14">
        <f t="shared" si="19"/>
        <v>65.475000000000009</v>
      </c>
      <c r="BF7" s="14">
        <f t="shared" si="20"/>
        <v>7.65</v>
      </c>
      <c r="BG7" s="14">
        <f t="shared" si="21"/>
        <v>63.149999999999991</v>
      </c>
      <c r="BH7" s="14">
        <f t="shared" si="22"/>
        <v>128.625</v>
      </c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61"/>
      <c r="BV7" s="61"/>
      <c r="BW7" s="61"/>
      <c r="BX7" s="61"/>
      <c r="BY7" s="72"/>
      <c r="BZ7" s="11" t="str">
        <f t="shared" si="23"/>
        <v/>
      </c>
      <c r="CA7" s="11" t="str">
        <f t="shared" si="24"/>
        <v/>
      </c>
      <c r="CB7" s="11" t="str">
        <f t="shared" si="25"/>
        <v/>
      </c>
      <c r="CC7" s="11" t="str">
        <f t="shared" si="26"/>
        <v/>
      </c>
      <c r="CD7" s="11" t="str">
        <f t="shared" si="27"/>
        <v/>
      </c>
      <c r="CE7" s="23" t="str">
        <f t="shared" si="28"/>
        <v/>
      </c>
      <c r="CF7" s="23" t="str">
        <f t="shared" si="29"/>
        <v/>
      </c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40"/>
      <c r="CW7" s="11" t="str">
        <f t="shared" si="30"/>
        <v/>
      </c>
      <c r="CX7" s="11" t="str">
        <f t="shared" si="31"/>
        <v/>
      </c>
      <c r="CY7" s="11" t="str">
        <f t="shared" si="32"/>
        <v/>
      </c>
      <c r="CZ7" s="11" t="str">
        <f t="shared" si="33"/>
        <v/>
      </c>
      <c r="DA7" s="11" t="str">
        <f t="shared" si="34"/>
        <v/>
      </c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  <c r="DP7" s="39"/>
      <c r="DQ7" s="39"/>
      <c r="DR7" s="14" t="str">
        <f t="shared" si="35"/>
        <v/>
      </c>
      <c r="DS7" s="14" t="str">
        <f t="shared" si="36"/>
        <v/>
      </c>
      <c r="DT7" s="14" t="str">
        <f t="shared" si="37"/>
        <v/>
      </c>
      <c r="DU7" s="14" t="str">
        <f t="shared" si="38"/>
        <v/>
      </c>
      <c r="DV7" s="14" t="str">
        <f t="shared" si="39"/>
        <v/>
      </c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40"/>
      <c r="EM7" s="11" t="str">
        <f t="shared" si="40"/>
        <v/>
      </c>
      <c r="EN7" s="11" t="str">
        <f t="shared" si="41"/>
        <v/>
      </c>
      <c r="EO7" s="11" t="str">
        <f t="shared" si="42"/>
        <v/>
      </c>
      <c r="EP7" s="11" t="str">
        <f t="shared" si="43"/>
        <v/>
      </c>
      <c r="EQ7" s="11" t="str">
        <f t="shared" si="44"/>
        <v/>
      </c>
      <c r="ER7" s="39"/>
      <c r="ES7" s="39"/>
      <c r="ET7" s="39"/>
      <c r="EU7" s="39"/>
      <c r="EV7" s="39"/>
      <c r="EW7" s="39"/>
      <c r="EX7" s="39"/>
      <c r="EY7" s="39"/>
      <c r="EZ7" s="39"/>
      <c r="FA7" s="39"/>
      <c r="FB7" s="39"/>
      <c r="FC7" s="39"/>
      <c r="FD7" s="39"/>
      <c r="FE7" s="39"/>
      <c r="FF7" s="39"/>
      <c r="FG7" s="39"/>
      <c r="FH7" s="14" t="str">
        <f t="shared" si="45"/>
        <v/>
      </c>
      <c r="FI7" s="14" t="str">
        <f t="shared" si="46"/>
        <v/>
      </c>
      <c r="FJ7" s="14" t="str">
        <f t="shared" si="47"/>
        <v/>
      </c>
      <c r="FK7" s="14" t="str">
        <f t="shared" si="48"/>
        <v/>
      </c>
      <c r="FL7" s="14" t="str">
        <f t="shared" si="49"/>
        <v/>
      </c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40"/>
      <c r="GC7" s="11" t="str">
        <f t="shared" si="50"/>
        <v/>
      </c>
      <c r="GD7" s="11" t="str">
        <f t="shared" si="51"/>
        <v/>
      </c>
      <c r="GE7" s="11" t="str">
        <f t="shared" si="52"/>
        <v/>
      </c>
      <c r="GF7" s="11" t="str">
        <f t="shared" si="53"/>
        <v/>
      </c>
      <c r="GG7" s="11" t="str">
        <f t="shared" si="54"/>
        <v/>
      </c>
      <c r="GH7" s="39"/>
      <c r="GI7" s="39"/>
      <c r="GJ7" s="39"/>
      <c r="GK7" s="39"/>
      <c r="GL7" s="39"/>
      <c r="GM7" s="39"/>
      <c r="GN7" s="39"/>
      <c r="GO7" s="39"/>
      <c r="GP7" s="39"/>
      <c r="GQ7" s="39"/>
      <c r="GR7" s="39"/>
      <c r="GS7" s="39"/>
      <c r="GT7" s="39"/>
      <c r="GU7" s="39"/>
      <c r="GV7" s="39"/>
      <c r="GW7" s="39"/>
      <c r="GX7" s="14" t="str">
        <f t="shared" si="55"/>
        <v/>
      </c>
      <c r="GY7" s="14" t="str">
        <f t="shared" si="56"/>
        <v/>
      </c>
      <c r="GZ7" s="14" t="str">
        <f t="shared" si="57"/>
        <v/>
      </c>
      <c r="HA7" s="14" t="str">
        <f t="shared" si="58"/>
        <v/>
      </c>
      <c r="HB7" s="14" t="str">
        <f t="shared" si="59"/>
        <v/>
      </c>
      <c r="HC7" s="40"/>
      <c r="HD7" s="40"/>
      <c r="HE7" s="40"/>
      <c r="HF7" s="40"/>
      <c r="HG7" s="40"/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40"/>
      <c r="HS7" s="11" t="str">
        <f t="shared" si="60"/>
        <v/>
      </c>
      <c r="HT7" s="11" t="str">
        <f t="shared" si="61"/>
        <v/>
      </c>
      <c r="HU7" s="11" t="str">
        <f t="shared" si="62"/>
        <v/>
      </c>
      <c r="HV7" s="11" t="str">
        <f t="shared" si="63"/>
        <v/>
      </c>
      <c r="HW7" s="11" t="str">
        <f t="shared" si="64"/>
        <v/>
      </c>
      <c r="HX7" s="39"/>
      <c r="HY7" s="39"/>
      <c r="HZ7" s="39"/>
      <c r="IA7" s="39"/>
      <c r="IB7" s="39"/>
      <c r="IC7" s="39"/>
      <c r="ID7" s="39"/>
      <c r="IE7" s="39"/>
      <c r="IF7" s="39"/>
      <c r="IG7" s="39"/>
      <c r="IH7" s="39"/>
      <c r="II7" s="39"/>
      <c r="IJ7" s="39"/>
      <c r="IK7" s="39"/>
      <c r="IL7" s="39"/>
      <c r="IM7" s="39"/>
      <c r="IN7" s="14" t="str">
        <f t="shared" si="65"/>
        <v/>
      </c>
      <c r="IO7" s="14" t="str">
        <f t="shared" si="66"/>
        <v/>
      </c>
      <c r="IP7" s="14" t="str">
        <f t="shared" si="67"/>
        <v/>
      </c>
      <c r="IQ7" s="14" t="str">
        <f t="shared" si="68"/>
        <v/>
      </c>
      <c r="IR7" s="14" t="str">
        <f t="shared" si="69"/>
        <v/>
      </c>
      <c r="IS7" s="40"/>
      <c r="IT7" s="40"/>
      <c r="IU7" s="40"/>
      <c r="IV7" s="40"/>
      <c r="IW7" s="40"/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40"/>
      <c r="JI7" s="11" t="str">
        <f t="shared" si="70"/>
        <v/>
      </c>
      <c r="JJ7" s="11" t="str">
        <f t="shared" si="71"/>
        <v/>
      </c>
      <c r="JK7" s="11" t="str">
        <f t="shared" si="72"/>
        <v/>
      </c>
      <c r="JL7" s="11" t="str">
        <f t="shared" si="73"/>
        <v/>
      </c>
      <c r="JM7" s="11" t="str">
        <f t="shared" si="74"/>
        <v/>
      </c>
      <c r="JN7" s="39"/>
      <c r="JO7" s="39"/>
      <c r="JP7" s="39"/>
      <c r="JQ7" s="39"/>
      <c r="JR7" s="39"/>
      <c r="JS7" s="39"/>
      <c r="JT7" s="39"/>
      <c r="JU7" s="39"/>
      <c r="JV7" s="39"/>
      <c r="JW7" s="39"/>
      <c r="JX7" s="39"/>
      <c r="JY7" s="39"/>
      <c r="JZ7" s="39"/>
      <c r="KA7" s="39"/>
      <c r="KB7" s="39"/>
      <c r="KC7" s="39"/>
      <c r="KD7" s="14" t="str">
        <f t="shared" si="75"/>
        <v/>
      </c>
      <c r="KE7" s="14" t="str">
        <f t="shared" si="76"/>
        <v/>
      </c>
      <c r="KF7" s="14" t="str">
        <f t="shared" si="77"/>
        <v/>
      </c>
      <c r="KG7" s="14" t="str">
        <f t="shared" si="78"/>
        <v/>
      </c>
      <c r="KH7" s="14" t="str">
        <f t="shared" si="79"/>
        <v/>
      </c>
      <c r="KI7" s="40"/>
      <c r="KJ7" s="40"/>
      <c r="KK7" s="40"/>
      <c r="KL7" s="40"/>
      <c r="KM7" s="40"/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40"/>
      <c r="KY7" s="11" t="str">
        <f t="shared" si="80"/>
        <v/>
      </c>
      <c r="KZ7" s="11" t="str">
        <f t="shared" si="81"/>
        <v/>
      </c>
      <c r="LA7" s="11" t="str">
        <f t="shared" si="82"/>
        <v/>
      </c>
      <c r="LB7" s="11" t="str">
        <f t="shared" si="83"/>
        <v/>
      </c>
      <c r="LC7" s="11" t="str">
        <f t="shared" si="84"/>
        <v/>
      </c>
      <c r="LD7" s="39"/>
      <c r="LE7" s="39"/>
      <c r="LF7" s="39"/>
      <c r="LG7" s="39"/>
      <c r="LH7" s="39"/>
      <c r="LI7" s="39"/>
      <c r="LJ7" s="39"/>
      <c r="LK7" s="39"/>
      <c r="LL7" s="39"/>
      <c r="LM7" s="39"/>
      <c r="LN7" s="39"/>
      <c r="LO7" s="39"/>
      <c r="LP7" s="39"/>
      <c r="LQ7" s="39"/>
      <c r="LR7" s="39"/>
      <c r="LS7" s="39"/>
      <c r="LT7" s="14" t="str">
        <f t="shared" si="85"/>
        <v/>
      </c>
      <c r="LU7" s="14" t="str">
        <f t="shared" si="86"/>
        <v/>
      </c>
      <c r="LV7" s="14" t="str">
        <f t="shared" si="87"/>
        <v/>
      </c>
      <c r="LW7" s="14" t="str">
        <f t="shared" si="88"/>
        <v/>
      </c>
      <c r="LX7" s="14" t="str">
        <f t="shared" si="89"/>
        <v/>
      </c>
      <c r="LY7" s="61">
        <f t="shared" si="90"/>
        <v>13.6875</v>
      </c>
      <c r="LZ7" s="61">
        <f t="shared" si="91"/>
        <v>2.8</v>
      </c>
      <c r="MA7" s="61">
        <f t="shared" si="92"/>
        <v>0</v>
      </c>
      <c r="MB7" s="61">
        <f t="shared" si="93"/>
        <v>0</v>
      </c>
      <c r="MC7" s="61">
        <f t="shared" si="94"/>
        <v>13.75</v>
      </c>
      <c r="MD7" s="61">
        <f t="shared" si="95"/>
        <v>2.5999999999999996</v>
      </c>
      <c r="ME7" s="61">
        <f t="shared" si="96"/>
        <v>0.3</v>
      </c>
      <c r="MF7" s="61">
        <f t="shared" si="97"/>
        <v>0.2</v>
      </c>
      <c r="MG7" s="61">
        <f t="shared" si="98"/>
        <v>13.9</v>
      </c>
      <c r="MH7" s="61">
        <f t="shared" si="99"/>
        <v>1.95</v>
      </c>
      <c r="MI7" s="61">
        <f t="shared" si="100"/>
        <v>0</v>
      </c>
      <c r="MJ7" s="61">
        <f t="shared" si="101"/>
        <v>0</v>
      </c>
      <c r="MK7" s="61">
        <f t="shared" si="102"/>
        <v>14.074999999999999</v>
      </c>
      <c r="ML7" s="61">
        <f t="shared" si="103"/>
        <v>1.875</v>
      </c>
      <c r="MM7" s="61">
        <f t="shared" si="104"/>
        <v>0.22500000000000001</v>
      </c>
      <c r="MN7" s="61">
        <f t="shared" si="105"/>
        <v>0</v>
      </c>
      <c r="MO7" s="72" t="s">
        <v>52</v>
      </c>
      <c r="MP7" s="11">
        <f t="shared" si="106"/>
        <v>5.3999999999999995</v>
      </c>
      <c r="MQ7" s="11">
        <f t="shared" si="107"/>
        <v>32.737500000000004</v>
      </c>
      <c r="MR7" s="11">
        <f t="shared" si="108"/>
        <v>3.8250000000000002</v>
      </c>
      <c r="MS7" s="11">
        <f t="shared" si="109"/>
        <v>31.574999999999996</v>
      </c>
      <c r="MT7" s="11">
        <f t="shared" si="110"/>
        <v>64.3125</v>
      </c>
    </row>
    <row r="8" spans="1:358" x14ac:dyDescent="0.2">
      <c r="A8" s="5">
        <f t="shared" si="0"/>
        <v>5</v>
      </c>
      <c r="B8" s="8" t="s">
        <v>111</v>
      </c>
      <c r="C8" s="4" t="s">
        <v>5</v>
      </c>
      <c r="D8" s="5">
        <v>2001</v>
      </c>
      <c r="E8" s="15">
        <f t="shared" si="1"/>
        <v>175.1</v>
      </c>
      <c r="F8" s="3" t="str">
        <f t="shared" si="2"/>
        <v>P</v>
      </c>
      <c r="G8" s="3" t="str">
        <f t="shared" si="3"/>
        <v>P</v>
      </c>
      <c r="H8" s="116" t="str">
        <f t="shared" si="4"/>
        <v>National Team</v>
      </c>
      <c r="I8" s="3" t="str">
        <f t="shared" si="5"/>
        <v/>
      </c>
      <c r="J8" s="14">
        <f t="shared" si="6"/>
        <v>66.7</v>
      </c>
      <c r="K8" s="14" t="str">
        <f t="shared" si="7"/>
        <v>2021 1st Virtual Technical Trial</v>
      </c>
      <c r="L8" s="14">
        <f t="shared" si="8"/>
        <v>108.39999999999999</v>
      </c>
      <c r="M8" s="14" t="str">
        <f t="shared" si="9"/>
        <v>2021 2nd Virtual Technical Trial</v>
      </c>
      <c r="N8" s="14" t="str">
        <f t="shared" si="10"/>
        <v/>
      </c>
      <c r="O8" s="24" t="str">
        <f t="shared" si="11"/>
        <v/>
      </c>
      <c r="P8" s="14" t="str">
        <f t="shared" si="12"/>
        <v/>
      </c>
      <c r="Q8" s="61">
        <v>27.8</v>
      </c>
      <c r="R8" s="61">
        <v>6.4</v>
      </c>
      <c r="S8" s="61">
        <v>0.3</v>
      </c>
      <c r="T8" s="61">
        <v>0</v>
      </c>
      <c r="U8" s="61">
        <v>27.9</v>
      </c>
      <c r="V8" s="61">
        <v>5.2</v>
      </c>
      <c r="W8" s="61">
        <v>0.3</v>
      </c>
      <c r="X8" s="61">
        <v>0</v>
      </c>
      <c r="Y8" s="61">
        <v>0</v>
      </c>
      <c r="Z8" s="61">
        <v>0</v>
      </c>
      <c r="AA8" s="61">
        <v>0</v>
      </c>
      <c r="AB8" s="61">
        <v>0</v>
      </c>
      <c r="AC8" s="61">
        <v>0</v>
      </c>
      <c r="AD8" s="61">
        <v>0</v>
      </c>
      <c r="AE8" s="61">
        <v>0</v>
      </c>
      <c r="AF8" s="61">
        <v>0</v>
      </c>
      <c r="AG8" s="72"/>
      <c r="AH8" s="11">
        <f t="shared" si="13"/>
        <v>11.600000000000001</v>
      </c>
      <c r="AI8" s="11">
        <f t="shared" si="14"/>
        <v>66.7</v>
      </c>
      <c r="AJ8" s="11" t="str">
        <f t="shared" si="15"/>
        <v/>
      </c>
      <c r="AK8" s="11" t="str">
        <f t="shared" si="16"/>
        <v/>
      </c>
      <c r="AL8" s="11">
        <f t="shared" si="17"/>
        <v>66.7</v>
      </c>
      <c r="AM8" s="36">
        <v>19.8</v>
      </c>
      <c r="AN8" s="36">
        <v>2.4</v>
      </c>
      <c r="AO8" s="36">
        <v>0</v>
      </c>
      <c r="AP8" s="36">
        <v>0</v>
      </c>
      <c r="AQ8" s="36">
        <v>19.600000000000001</v>
      </c>
      <c r="AR8" s="36">
        <v>2.8</v>
      </c>
      <c r="AS8" s="36">
        <v>0</v>
      </c>
      <c r="AT8" s="36">
        <v>0</v>
      </c>
      <c r="AU8" s="36">
        <v>27.9</v>
      </c>
      <c r="AV8" s="36">
        <v>4.3</v>
      </c>
      <c r="AW8" s="36">
        <v>0.4</v>
      </c>
      <c r="AX8" s="36">
        <v>0.3</v>
      </c>
      <c r="AY8" s="36">
        <v>27.1</v>
      </c>
      <c r="AZ8" s="36">
        <v>5.2</v>
      </c>
      <c r="BA8" s="36">
        <v>0.9</v>
      </c>
      <c r="BB8" s="36">
        <v>0.3</v>
      </c>
      <c r="BC8" s="73"/>
      <c r="BD8" s="14">
        <f t="shared" si="18"/>
        <v>5.1999999999999993</v>
      </c>
      <c r="BE8" s="14">
        <f t="shared" si="19"/>
        <v>44.599999999999994</v>
      </c>
      <c r="BF8" s="14">
        <f t="shared" si="20"/>
        <v>9.5</v>
      </c>
      <c r="BG8" s="14">
        <f t="shared" si="21"/>
        <v>63.8</v>
      </c>
      <c r="BH8" s="14">
        <f t="shared" si="22"/>
        <v>108.39999999999999</v>
      </c>
      <c r="BI8" s="61">
        <v>27.4</v>
      </c>
      <c r="BJ8" s="61">
        <v>6.4</v>
      </c>
      <c r="BK8" s="61">
        <v>0</v>
      </c>
      <c r="BL8" s="61">
        <v>0</v>
      </c>
      <c r="BM8" s="61">
        <v>19.7</v>
      </c>
      <c r="BN8" s="61">
        <v>2.4</v>
      </c>
      <c r="BO8" s="61">
        <v>0</v>
      </c>
      <c r="BP8" s="61">
        <v>0</v>
      </c>
      <c r="BQ8" s="61"/>
      <c r="BR8" s="61"/>
      <c r="BS8" s="61"/>
      <c r="BT8" s="61"/>
      <c r="BU8" s="61"/>
      <c r="BV8" s="61"/>
      <c r="BW8" s="61"/>
      <c r="BX8" s="61"/>
      <c r="BY8" s="72"/>
      <c r="BZ8" s="11">
        <f t="shared" si="23"/>
        <v>8.8000000000000007</v>
      </c>
      <c r="CA8" s="11">
        <f t="shared" si="24"/>
        <v>55.9</v>
      </c>
      <c r="CB8" s="11" t="str">
        <f t="shared" si="25"/>
        <v/>
      </c>
      <c r="CC8" s="11" t="str">
        <f t="shared" si="26"/>
        <v/>
      </c>
      <c r="CD8" s="11">
        <f t="shared" si="27"/>
        <v>55.9</v>
      </c>
      <c r="CE8" s="23" t="str">
        <f t="shared" si="28"/>
        <v/>
      </c>
      <c r="CF8" s="23" t="str">
        <f t="shared" si="29"/>
        <v/>
      </c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40"/>
      <c r="CW8" s="11" t="str">
        <f t="shared" si="30"/>
        <v/>
      </c>
      <c r="CX8" s="11" t="str">
        <f t="shared" si="31"/>
        <v/>
      </c>
      <c r="CY8" s="11" t="str">
        <f t="shared" si="32"/>
        <v/>
      </c>
      <c r="CZ8" s="11" t="str">
        <f t="shared" si="33"/>
        <v/>
      </c>
      <c r="DA8" s="11" t="str">
        <f t="shared" si="34"/>
        <v/>
      </c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39"/>
      <c r="DN8" s="39"/>
      <c r="DO8" s="39"/>
      <c r="DP8" s="39"/>
      <c r="DQ8" s="39"/>
      <c r="DR8" s="14" t="str">
        <f t="shared" si="35"/>
        <v/>
      </c>
      <c r="DS8" s="14" t="str">
        <f t="shared" si="36"/>
        <v/>
      </c>
      <c r="DT8" s="14" t="str">
        <f t="shared" si="37"/>
        <v/>
      </c>
      <c r="DU8" s="14" t="str">
        <f t="shared" si="38"/>
        <v/>
      </c>
      <c r="DV8" s="14" t="str">
        <f t="shared" si="39"/>
        <v/>
      </c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40"/>
      <c r="EM8" s="11" t="str">
        <f t="shared" si="40"/>
        <v/>
      </c>
      <c r="EN8" s="11" t="str">
        <f t="shared" si="41"/>
        <v/>
      </c>
      <c r="EO8" s="11" t="str">
        <f t="shared" si="42"/>
        <v/>
      </c>
      <c r="EP8" s="11" t="str">
        <f t="shared" si="43"/>
        <v/>
      </c>
      <c r="EQ8" s="11" t="str">
        <f t="shared" si="44"/>
        <v/>
      </c>
      <c r="ER8" s="39"/>
      <c r="ES8" s="39"/>
      <c r="ET8" s="39"/>
      <c r="EU8" s="39"/>
      <c r="EV8" s="39"/>
      <c r="EW8" s="39"/>
      <c r="EX8" s="39"/>
      <c r="EY8" s="39"/>
      <c r="EZ8" s="39"/>
      <c r="FA8" s="39"/>
      <c r="FB8" s="39"/>
      <c r="FC8" s="39"/>
      <c r="FD8" s="39"/>
      <c r="FE8" s="39"/>
      <c r="FF8" s="39"/>
      <c r="FG8" s="39"/>
      <c r="FH8" s="14" t="str">
        <f t="shared" si="45"/>
        <v/>
      </c>
      <c r="FI8" s="14" t="str">
        <f t="shared" si="46"/>
        <v/>
      </c>
      <c r="FJ8" s="14" t="str">
        <f t="shared" si="47"/>
        <v/>
      </c>
      <c r="FK8" s="14" t="str">
        <f t="shared" si="48"/>
        <v/>
      </c>
      <c r="FL8" s="14" t="str">
        <f t="shared" si="49"/>
        <v/>
      </c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40"/>
      <c r="GC8" s="11" t="str">
        <f t="shared" si="50"/>
        <v/>
      </c>
      <c r="GD8" s="11" t="str">
        <f t="shared" si="51"/>
        <v/>
      </c>
      <c r="GE8" s="11" t="str">
        <f t="shared" si="52"/>
        <v/>
      </c>
      <c r="GF8" s="11" t="str">
        <f t="shared" si="53"/>
        <v/>
      </c>
      <c r="GG8" s="11" t="str">
        <f t="shared" si="54"/>
        <v/>
      </c>
      <c r="GH8" s="39"/>
      <c r="GI8" s="39"/>
      <c r="GJ8" s="39"/>
      <c r="GK8" s="39"/>
      <c r="GL8" s="39"/>
      <c r="GM8" s="39"/>
      <c r="GN8" s="39"/>
      <c r="GO8" s="39"/>
      <c r="GP8" s="39"/>
      <c r="GQ8" s="39"/>
      <c r="GR8" s="39"/>
      <c r="GS8" s="39"/>
      <c r="GT8" s="39"/>
      <c r="GU8" s="39"/>
      <c r="GV8" s="39"/>
      <c r="GW8" s="39"/>
      <c r="GX8" s="14" t="str">
        <f t="shared" si="55"/>
        <v/>
      </c>
      <c r="GY8" s="14" t="str">
        <f t="shared" si="56"/>
        <v/>
      </c>
      <c r="GZ8" s="14" t="str">
        <f t="shared" si="57"/>
        <v/>
      </c>
      <c r="HA8" s="14" t="str">
        <f t="shared" si="58"/>
        <v/>
      </c>
      <c r="HB8" s="14" t="str">
        <f t="shared" si="59"/>
        <v/>
      </c>
      <c r="HC8" s="40"/>
      <c r="HD8" s="40"/>
      <c r="HE8" s="40"/>
      <c r="HF8" s="40"/>
      <c r="HG8" s="40"/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40"/>
      <c r="HS8" s="11" t="str">
        <f t="shared" si="60"/>
        <v/>
      </c>
      <c r="HT8" s="11" t="str">
        <f t="shared" si="61"/>
        <v/>
      </c>
      <c r="HU8" s="11" t="str">
        <f t="shared" si="62"/>
        <v/>
      </c>
      <c r="HV8" s="11" t="str">
        <f t="shared" si="63"/>
        <v/>
      </c>
      <c r="HW8" s="11" t="str">
        <f t="shared" si="64"/>
        <v/>
      </c>
      <c r="HX8" s="39"/>
      <c r="HY8" s="39"/>
      <c r="HZ8" s="39"/>
      <c r="IA8" s="39"/>
      <c r="IB8" s="39"/>
      <c r="IC8" s="39"/>
      <c r="ID8" s="39"/>
      <c r="IE8" s="39"/>
      <c r="IF8" s="39"/>
      <c r="IG8" s="39"/>
      <c r="IH8" s="39"/>
      <c r="II8" s="39"/>
      <c r="IJ8" s="39"/>
      <c r="IK8" s="39"/>
      <c r="IL8" s="39"/>
      <c r="IM8" s="39"/>
      <c r="IN8" s="14" t="str">
        <f t="shared" si="65"/>
        <v/>
      </c>
      <c r="IO8" s="14" t="str">
        <f t="shared" si="66"/>
        <v/>
      </c>
      <c r="IP8" s="14" t="str">
        <f t="shared" si="67"/>
        <v/>
      </c>
      <c r="IQ8" s="14" t="str">
        <f t="shared" si="68"/>
        <v/>
      </c>
      <c r="IR8" s="14" t="str">
        <f t="shared" si="69"/>
        <v/>
      </c>
      <c r="IS8" s="40"/>
      <c r="IT8" s="40"/>
      <c r="IU8" s="40"/>
      <c r="IV8" s="40"/>
      <c r="IW8" s="40"/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40"/>
      <c r="JI8" s="11" t="str">
        <f t="shared" si="70"/>
        <v/>
      </c>
      <c r="JJ8" s="11" t="str">
        <f t="shared" si="71"/>
        <v/>
      </c>
      <c r="JK8" s="11" t="str">
        <f t="shared" si="72"/>
        <v/>
      </c>
      <c r="JL8" s="11" t="str">
        <f t="shared" si="73"/>
        <v/>
      </c>
      <c r="JM8" s="11" t="str">
        <f t="shared" si="74"/>
        <v/>
      </c>
      <c r="JN8" s="39"/>
      <c r="JO8" s="39"/>
      <c r="JP8" s="39"/>
      <c r="JQ8" s="39"/>
      <c r="JR8" s="39"/>
      <c r="JS8" s="39"/>
      <c r="JT8" s="39"/>
      <c r="JU8" s="39"/>
      <c r="JV8" s="39"/>
      <c r="JW8" s="39"/>
      <c r="JX8" s="39"/>
      <c r="JY8" s="39"/>
      <c r="JZ8" s="39"/>
      <c r="KA8" s="39"/>
      <c r="KB8" s="39"/>
      <c r="KC8" s="39"/>
      <c r="KD8" s="14" t="str">
        <f t="shared" si="75"/>
        <v/>
      </c>
      <c r="KE8" s="14" t="str">
        <f t="shared" si="76"/>
        <v/>
      </c>
      <c r="KF8" s="14" t="str">
        <f t="shared" si="77"/>
        <v/>
      </c>
      <c r="KG8" s="14" t="str">
        <f t="shared" si="78"/>
        <v/>
      </c>
      <c r="KH8" s="14" t="str">
        <f t="shared" si="79"/>
        <v/>
      </c>
      <c r="KI8" s="40"/>
      <c r="KJ8" s="40"/>
      <c r="KK8" s="40"/>
      <c r="KL8" s="40"/>
      <c r="KM8" s="40"/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40"/>
      <c r="KY8" s="11" t="str">
        <f t="shared" si="80"/>
        <v/>
      </c>
      <c r="KZ8" s="11" t="str">
        <f t="shared" si="81"/>
        <v/>
      </c>
      <c r="LA8" s="11" t="str">
        <f t="shared" si="82"/>
        <v/>
      </c>
      <c r="LB8" s="11" t="str">
        <f t="shared" si="83"/>
        <v/>
      </c>
      <c r="LC8" s="11" t="str">
        <f t="shared" si="84"/>
        <v/>
      </c>
      <c r="LD8" s="39"/>
      <c r="LE8" s="39"/>
      <c r="LF8" s="39"/>
      <c r="LG8" s="39"/>
      <c r="LH8" s="39"/>
      <c r="LI8" s="39"/>
      <c r="LJ8" s="39"/>
      <c r="LK8" s="39"/>
      <c r="LL8" s="39"/>
      <c r="LM8" s="39"/>
      <c r="LN8" s="39"/>
      <c r="LO8" s="39"/>
      <c r="LP8" s="39"/>
      <c r="LQ8" s="39"/>
      <c r="LR8" s="39"/>
      <c r="LS8" s="39"/>
      <c r="LT8" s="14" t="str">
        <f t="shared" si="85"/>
        <v/>
      </c>
      <c r="LU8" s="14" t="str">
        <f t="shared" si="86"/>
        <v/>
      </c>
      <c r="LV8" s="14" t="str">
        <f t="shared" si="87"/>
        <v/>
      </c>
      <c r="LW8" s="14" t="str">
        <f t="shared" si="88"/>
        <v/>
      </c>
      <c r="LX8" s="14" t="str">
        <f t="shared" si="89"/>
        <v/>
      </c>
      <c r="LY8" s="61">
        <f t="shared" si="90"/>
        <v>23.6</v>
      </c>
      <c r="LZ8" s="61">
        <f t="shared" si="91"/>
        <v>4.4000000000000004</v>
      </c>
      <c r="MA8" s="61">
        <f t="shared" si="92"/>
        <v>0</v>
      </c>
      <c r="MB8" s="61">
        <f t="shared" si="93"/>
        <v>0</v>
      </c>
      <c r="MC8" s="61">
        <f t="shared" si="94"/>
        <v>19.649999999999999</v>
      </c>
      <c r="MD8" s="61">
        <f t="shared" si="95"/>
        <v>2.5999999999999996</v>
      </c>
      <c r="ME8" s="61">
        <f t="shared" si="96"/>
        <v>0</v>
      </c>
      <c r="MF8" s="61">
        <f t="shared" si="97"/>
        <v>0</v>
      </c>
      <c r="MG8" s="61">
        <f t="shared" si="98"/>
        <v>13.95</v>
      </c>
      <c r="MH8" s="61">
        <f t="shared" si="99"/>
        <v>2.15</v>
      </c>
      <c r="MI8" s="61">
        <f t="shared" si="100"/>
        <v>0.2</v>
      </c>
      <c r="MJ8" s="61">
        <f t="shared" si="101"/>
        <v>0.15</v>
      </c>
      <c r="MK8" s="61">
        <f t="shared" si="102"/>
        <v>13.55</v>
      </c>
      <c r="ML8" s="61">
        <f t="shared" si="103"/>
        <v>2.6</v>
      </c>
      <c r="MM8" s="61">
        <f t="shared" si="104"/>
        <v>0.45</v>
      </c>
      <c r="MN8" s="61">
        <f t="shared" si="105"/>
        <v>0.15</v>
      </c>
      <c r="MO8" s="72" t="s">
        <v>52</v>
      </c>
      <c r="MP8" s="11">
        <f t="shared" si="106"/>
        <v>7</v>
      </c>
      <c r="MQ8" s="11">
        <f t="shared" si="107"/>
        <v>50.25</v>
      </c>
      <c r="MR8" s="11">
        <f t="shared" si="108"/>
        <v>4.75</v>
      </c>
      <c r="MS8" s="11">
        <f t="shared" si="109"/>
        <v>31.9</v>
      </c>
      <c r="MT8" s="11">
        <f t="shared" si="110"/>
        <v>82.15</v>
      </c>
    </row>
    <row r="9" spans="1:358" x14ac:dyDescent="0.2">
      <c r="A9" s="5">
        <f t="shared" si="0"/>
        <v>6</v>
      </c>
      <c r="B9" s="8" t="s">
        <v>118</v>
      </c>
      <c r="C9" s="4" t="s">
        <v>4</v>
      </c>
      <c r="D9" s="5">
        <v>2000</v>
      </c>
      <c r="E9" s="15">
        <f t="shared" si="1"/>
        <v>66.399999999999991</v>
      </c>
      <c r="F9" s="3" t="str">
        <f t="shared" si="2"/>
        <v>P</v>
      </c>
      <c r="G9" s="3" t="str">
        <f t="shared" si="3"/>
        <v>P</v>
      </c>
      <c r="H9" s="116" t="str">
        <f t="shared" si="4"/>
        <v>National Team</v>
      </c>
      <c r="I9" s="3" t="str">
        <f t="shared" si="5"/>
        <v/>
      </c>
      <c r="J9" s="14">
        <f t="shared" si="6"/>
        <v>66.399999999999991</v>
      </c>
      <c r="K9" s="14" t="str">
        <f t="shared" si="7"/>
        <v>2021 2nd Virtual Technical Trial</v>
      </c>
      <c r="L9" s="14">
        <f t="shared" si="8"/>
        <v>0</v>
      </c>
      <c r="M9" s="14" t="str">
        <f t="shared" si="9"/>
        <v/>
      </c>
      <c r="N9" s="14" t="str">
        <f t="shared" si="10"/>
        <v/>
      </c>
      <c r="O9" s="24" t="str">
        <f t="shared" si="11"/>
        <v/>
      </c>
      <c r="P9" s="14" t="str">
        <f t="shared" si="12"/>
        <v/>
      </c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72"/>
      <c r="AH9" s="11" t="str">
        <f t="shared" si="13"/>
        <v/>
      </c>
      <c r="AI9" s="11" t="str">
        <f t="shared" si="14"/>
        <v/>
      </c>
      <c r="AJ9" s="11" t="str">
        <f t="shared" si="15"/>
        <v/>
      </c>
      <c r="AK9" s="11" t="str">
        <f t="shared" si="16"/>
        <v/>
      </c>
      <c r="AL9" s="11" t="str">
        <f t="shared" si="17"/>
        <v/>
      </c>
      <c r="AM9" s="36">
        <v>27.3</v>
      </c>
      <c r="AN9" s="36">
        <v>6</v>
      </c>
      <c r="AO9" s="36">
        <v>0.3</v>
      </c>
      <c r="AP9" s="36">
        <v>0</v>
      </c>
      <c r="AQ9" s="36">
        <v>27.8</v>
      </c>
      <c r="AR9" s="36">
        <v>5.6</v>
      </c>
      <c r="AS9" s="36">
        <v>0</v>
      </c>
      <c r="AT9" s="36">
        <v>0</v>
      </c>
      <c r="AU9" s="36">
        <v>28</v>
      </c>
      <c r="AV9" s="36">
        <v>5.2</v>
      </c>
      <c r="AW9" s="36">
        <v>0</v>
      </c>
      <c r="AX9" s="36">
        <v>0</v>
      </c>
      <c r="AY9" s="36">
        <v>27.5</v>
      </c>
      <c r="AZ9" s="36">
        <v>2</v>
      </c>
      <c r="BA9" s="36">
        <v>2.4</v>
      </c>
      <c r="BB9" s="36">
        <v>0</v>
      </c>
      <c r="BC9" s="73"/>
      <c r="BD9" s="14">
        <f t="shared" si="18"/>
        <v>11.6</v>
      </c>
      <c r="BE9" s="14">
        <f t="shared" si="19"/>
        <v>66.399999999999991</v>
      </c>
      <c r="BF9" s="14">
        <f t="shared" si="20"/>
        <v>7.2</v>
      </c>
      <c r="BG9" s="14">
        <f t="shared" si="21"/>
        <v>60.300000000000004</v>
      </c>
      <c r="BH9" s="14">
        <f t="shared" si="22"/>
        <v>126.69999999999999</v>
      </c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61"/>
      <c r="BV9" s="61"/>
      <c r="BW9" s="61"/>
      <c r="BX9" s="61"/>
      <c r="BY9" s="72"/>
      <c r="BZ9" s="11" t="str">
        <f t="shared" si="23"/>
        <v/>
      </c>
      <c r="CA9" s="11" t="str">
        <f t="shared" si="24"/>
        <v/>
      </c>
      <c r="CB9" s="11" t="str">
        <f t="shared" si="25"/>
        <v/>
      </c>
      <c r="CC9" s="11" t="str">
        <f t="shared" si="26"/>
        <v/>
      </c>
      <c r="CD9" s="11" t="str">
        <f t="shared" si="27"/>
        <v/>
      </c>
      <c r="CE9" s="23" t="str">
        <f t="shared" si="28"/>
        <v/>
      </c>
      <c r="CF9" s="23" t="str">
        <f t="shared" si="29"/>
        <v/>
      </c>
      <c r="CG9" s="40"/>
      <c r="CH9" s="40"/>
      <c r="CI9" s="40"/>
      <c r="CJ9" s="40"/>
      <c r="CK9" s="40"/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40"/>
      <c r="CW9" s="11" t="str">
        <f t="shared" si="30"/>
        <v/>
      </c>
      <c r="CX9" s="11" t="str">
        <f t="shared" si="31"/>
        <v/>
      </c>
      <c r="CY9" s="11" t="str">
        <f t="shared" si="32"/>
        <v/>
      </c>
      <c r="CZ9" s="11" t="str">
        <f t="shared" si="33"/>
        <v/>
      </c>
      <c r="DA9" s="11" t="str">
        <f t="shared" si="34"/>
        <v/>
      </c>
      <c r="DB9" s="39"/>
      <c r="DC9" s="39"/>
      <c r="DD9" s="39"/>
      <c r="DE9" s="39"/>
      <c r="DF9" s="39"/>
      <c r="DG9" s="39"/>
      <c r="DH9" s="39"/>
      <c r="DI9" s="39"/>
      <c r="DJ9" s="39"/>
      <c r="DK9" s="39"/>
      <c r="DL9" s="39"/>
      <c r="DM9" s="39"/>
      <c r="DN9" s="39"/>
      <c r="DO9" s="39"/>
      <c r="DP9" s="39"/>
      <c r="DQ9" s="39"/>
      <c r="DR9" s="14" t="str">
        <f t="shared" si="35"/>
        <v/>
      </c>
      <c r="DS9" s="14" t="str">
        <f t="shared" si="36"/>
        <v/>
      </c>
      <c r="DT9" s="14" t="str">
        <f t="shared" si="37"/>
        <v/>
      </c>
      <c r="DU9" s="14" t="str">
        <f t="shared" si="38"/>
        <v/>
      </c>
      <c r="DV9" s="14" t="str">
        <f t="shared" si="39"/>
        <v/>
      </c>
      <c r="DW9" s="40"/>
      <c r="DX9" s="40"/>
      <c r="DY9" s="40"/>
      <c r="DZ9" s="40"/>
      <c r="EA9" s="40"/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40"/>
      <c r="EM9" s="11" t="str">
        <f t="shared" si="40"/>
        <v/>
      </c>
      <c r="EN9" s="11" t="str">
        <f t="shared" si="41"/>
        <v/>
      </c>
      <c r="EO9" s="11" t="str">
        <f t="shared" si="42"/>
        <v/>
      </c>
      <c r="EP9" s="11" t="str">
        <f t="shared" si="43"/>
        <v/>
      </c>
      <c r="EQ9" s="11" t="str">
        <f t="shared" si="44"/>
        <v/>
      </c>
      <c r="ER9" s="39"/>
      <c r="ES9" s="39"/>
      <c r="ET9" s="39"/>
      <c r="EU9" s="39"/>
      <c r="EV9" s="39"/>
      <c r="EW9" s="39"/>
      <c r="EX9" s="39"/>
      <c r="EY9" s="39"/>
      <c r="EZ9" s="39"/>
      <c r="FA9" s="39"/>
      <c r="FB9" s="39"/>
      <c r="FC9" s="39"/>
      <c r="FD9" s="39"/>
      <c r="FE9" s="39"/>
      <c r="FF9" s="39"/>
      <c r="FG9" s="39"/>
      <c r="FH9" s="14" t="str">
        <f t="shared" si="45"/>
        <v/>
      </c>
      <c r="FI9" s="14" t="str">
        <f t="shared" si="46"/>
        <v/>
      </c>
      <c r="FJ9" s="14" t="str">
        <f t="shared" si="47"/>
        <v/>
      </c>
      <c r="FK9" s="14" t="str">
        <f t="shared" si="48"/>
        <v/>
      </c>
      <c r="FL9" s="14" t="str">
        <f t="shared" si="49"/>
        <v/>
      </c>
      <c r="FM9" s="40"/>
      <c r="FN9" s="40"/>
      <c r="FO9" s="40"/>
      <c r="FP9" s="40"/>
      <c r="FQ9" s="40"/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40"/>
      <c r="GC9" s="11" t="str">
        <f t="shared" si="50"/>
        <v/>
      </c>
      <c r="GD9" s="11" t="str">
        <f t="shared" si="51"/>
        <v/>
      </c>
      <c r="GE9" s="11" t="str">
        <f t="shared" si="52"/>
        <v/>
      </c>
      <c r="GF9" s="11" t="str">
        <f t="shared" si="53"/>
        <v/>
      </c>
      <c r="GG9" s="11" t="str">
        <f t="shared" si="54"/>
        <v/>
      </c>
      <c r="GH9" s="39"/>
      <c r="GI9" s="39"/>
      <c r="GJ9" s="39"/>
      <c r="GK9" s="39"/>
      <c r="GL9" s="39"/>
      <c r="GM9" s="39"/>
      <c r="GN9" s="39"/>
      <c r="GO9" s="39"/>
      <c r="GP9" s="39"/>
      <c r="GQ9" s="39"/>
      <c r="GR9" s="39"/>
      <c r="GS9" s="39"/>
      <c r="GT9" s="39"/>
      <c r="GU9" s="39"/>
      <c r="GV9" s="39"/>
      <c r="GW9" s="39"/>
      <c r="GX9" s="14" t="str">
        <f t="shared" si="55"/>
        <v/>
      </c>
      <c r="GY9" s="14" t="str">
        <f t="shared" si="56"/>
        <v/>
      </c>
      <c r="GZ9" s="14" t="str">
        <f t="shared" si="57"/>
        <v/>
      </c>
      <c r="HA9" s="14" t="str">
        <f t="shared" si="58"/>
        <v/>
      </c>
      <c r="HB9" s="14" t="str">
        <f t="shared" si="59"/>
        <v/>
      </c>
      <c r="HC9" s="40"/>
      <c r="HD9" s="40"/>
      <c r="HE9" s="40"/>
      <c r="HF9" s="40"/>
      <c r="HG9" s="40"/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40"/>
      <c r="HS9" s="11" t="str">
        <f t="shared" si="60"/>
        <v/>
      </c>
      <c r="HT9" s="11" t="str">
        <f t="shared" si="61"/>
        <v/>
      </c>
      <c r="HU9" s="11" t="str">
        <f t="shared" si="62"/>
        <v/>
      </c>
      <c r="HV9" s="11" t="str">
        <f t="shared" si="63"/>
        <v/>
      </c>
      <c r="HW9" s="11" t="str">
        <f t="shared" si="64"/>
        <v/>
      </c>
      <c r="HX9" s="39"/>
      <c r="HY9" s="39"/>
      <c r="HZ9" s="39"/>
      <c r="IA9" s="39"/>
      <c r="IB9" s="39"/>
      <c r="IC9" s="39"/>
      <c r="ID9" s="39"/>
      <c r="IE9" s="39"/>
      <c r="IF9" s="39"/>
      <c r="IG9" s="39"/>
      <c r="IH9" s="39"/>
      <c r="II9" s="39"/>
      <c r="IJ9" s="39"/>
      <c r="IK9" s="39"/>
      <c r="IL9" s="39"/>
      <c r="IM9" s="39"/>
      <c r="IN9" s="14" t="str">
        <f t="shared" si="65"/>
        <v/>
      </c>
      <c r="IO9" s="14" t="str">
        <f t="shared" si="66"/>
        <v/>
      </c>
      <c r="IP9" s="14" t="str">
        <f t="shared" si="67"/>
        <v/>
      </c>
      <c r="IQ9" s="14" t="str">
        <f t="shared" si="68"/>
        <v/>
      </c>
      <c r="IR9" s="14" t="str">
        <f t="shared" si="69"/>
        <v/>
      </c>
      <c r="IS9" s="40"/>
      <c r="IT9" s="40"/>
      <c r="IU9" s="40"/>
      <c r="IV9" s="40"/>
      <c r="IW9" s="40"/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40"/>
      <c r="JI9" s="11" t="str">
        <f t="shared" si="70"/>
        <v/>
      </c>
      <c r="JJ9" s="11" t="str">
        <f t="shared" si="71"/>
        <v/>
      </c>
      <c r="JK9" s="11" t="str">
        <f t="shared" si="72"/>
        <v/>
      </c>
      <c r="JL9" s="11" t="str">
        <f t="shared" si="73"/>
        <v/>
      </c>
      <c r="JM9" s="11" t="str">
        <f t="shared" si="74"/>
        <v/>
      </c>
      <c r="JN9" s="39"/>
      <c r="JO9" s="39"/>
      <c r="JP9" s="39"/>
      <c r="JQ9" s="39"/>
      <c r="JR9" s="39"/>
      <c r="JS9" s="39"/>
      <c r="JT9" s="39"/>
      <c r="JU9" s="39"/>
      <c r="JV9" s="39"/>
      <c r="JW9" s="39"/>
      <c r="JX9" s="39"/>
      <c r="JY9" s="39"/>
      <c r="JZ9" s="39"/>
      <c r="KA9" s="39"/>
      <c r="KB9" s="39"/>
      <c r="KC9" s="39"/>
      <c r="KD9" s="14" t="str">
        <f t="shared" si="75"/>
        <v/>
      </c>
      <c r="KE9" s="14" t="str">
        <f t="shared" si="76"/>
        <v/>
      </c>
      <c r="KF9" s="14" t="str">
        <f t="shared" si="77"/>
        <v/>
      </c>
      <c r="KG9" s="14" t="str">
        <f t="shared" si="78"/>
        <v/>
      </c>
      <c r="KH9" s="14" t="str">
        <f t="shared" si="79"/>
        <v/>
      </c>
      <c r="KI9" s="40"/>
      <c r="KJ9" s="40"/>
      <c r="KK9" s="40"/>
      <c r="KL9" s="40"/>
      <c r="KM9" s="40"/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40"/>
      <c r="KY9" s="11" t="str">
        <f t="shared" si="80"/>
        <v/>
      </c>
      <c r="KZ9" s="11" t="str">
        <f t="shared" si="81"/>
        <v/>
      </c>
      <c r="LA9" s="11" t="str">
        <f t="shared" si="82"/>
        <v/>
      </c>
      <c r="LB9" s="11" t="str">
        <f t="shared" si="83"/>
        <v/>
      </c>
      <c r="LC9" s="11" t="str">
        <f t="shared" si="84"/>
        <v/>
      </c>
      <c r="LD9" s="39"/>
      <c r="LE9" s="39"/>
      <c r="LF9" s="39"/>
      <c r="LG9" s="39"/>
      <c r="LH9" s="39"/>
      <c r="LI9" s="39"/>
      <c r="LJ9" s="39"/>
      <c r="LK9" s="39"/>
      <c r="LL9" s="39"/>
      <c r="LM9" s="39"/>
      <c r="LN9" s="39"/>
      <c r="LO9" s="39"/>
      <c r="LP9" s="39"/>
      <c r="LQ9" s="39"/>
      <c r="LR9" s="39"/>
      <c r="LS9" s="39"/>
      <c r="LT9" s="14" t="str">
        <f t="shared" si="85"/>
        <v/>
      </c>
      <c r="LU9" s="14" t="str">
        <f t="shared" si="86"/>
        <v/>
      </c>
      <c r="LV9" s="14" t="str">
        <f t="shared" si="87"/>
        <v/>
      </c>
      <c r="LW9" s="14" t="str">
        <f t="shared" si="88"/>
        <v/>
      </c>
      <c r="LX9" s="14" t="str">
        <f t="shared" si="89"/>
        <v/>
      </c>
      <c r="LY9" s="61">
        <f t="shared" si="90"/>
        <v>13.65</v>
      </c>
      <c r="LZ9" s="61">
        <f t="shared" si="91"/>
        <v>3</v>
      </c>
      <c r="MA9" s="61">
        <f t="shared" si="92"/>
        <v>0.15</v>
      </c>
      <c r="MB9" s="61">
        <f t="shared" si="93"/>
        <v>0</v>
      </c>
      <c r="MC9" s="61">
        <f t="shared" si="94"/>
        <v>13.9</v>
      </c>
      <c r="MD9" s="61">
        <f t="shared" si="95"/>
        <v>2.8</v>
      </c>
      <c r="ME9" s="61">
        <f t="shared" si="96"/>
        <v>0</v>
      </c>
      <c r="MF9" s="61">
        <f t="shared" si="97"/>
        <v>0</v>
      </c>
      <c r="MG9" s="61">
        <f t="shared" si="98"/>
        <v>14</v>
      </c>
      <c r="MH9" s="61">
        <f t="shared" si="99"/>
        <v>2.6</v>
      </c>
      <c r="MI9" s="61">
        <f t="shared" si="100"/>
        <v>0</v>
      </c>
      <c r="MJ9" s="61">
        <f t="shared" si="101"/>
        <v>0</v>
      </c>
      <c r="MK9" s="61">
        <f t="shared" si="102"/>
        <v>13.75</v>
      </c>
      <c r="ML9" s="61">
        <f t="shared" si="103"/>
        <v>1</v>
      </c>
      <c r="MM9" s="61">
        <f t="shared" si="104"/>
        <v>1.2</v>
      </c>
      <c r="MN9" s="61">
        <f t="shared" si="105"/>
        <v>0</v>
      </c>
      <c r="MO9" s="72" t="s">
        <v>52</v>
      </c>
      <c r="MP9" s="11">
        <f t="shared" si="106"/>
        <v>5.8</v>
      </c>
      <c r="MQ9" s="11">
        <f t="shared" si="107"/>
        <v>33.199999999999996</v>
      </c>
      <c r="MR9" s="11">
        <f t="shared" si="108"/>
        <v>3.6</v>
      </c>
      <c r="MS9" s="11">
        <f t="shared" si="109"/>
        <v>30.150000000000002</v>
      </c>
      <c r="MT9" s="11">
        <f t="shared" si="110"/>
        <v>63.349999999999994</v>
      </c>
    </row>
    <row r="10" spans="1:358" x14ac:dyDescent="0.2">
      <c r="A10" s="5" t="str">
        <f t="shared" si="0"/>
        <v/>
      </c>
      <c r="B10" s="8" t="s">
        <v>117</v>
      </c>
      <c r="C10" s="4" t="s">
        <v>5</v>
      </c>
      <c r="D10" s="5">
        <v>2001</v>
      </c>
      <c r="E10" s="15">
        <f t="shared" si="1"/>
        <v>192.89999999999998</v>
      </c>
      <c r="F10" s="3" t="str">
        <f t="shared" si="2"/>
        <v/>
      </c>
      <c r="G10" s="3" t="str">
        <f t="shared" si="3"/>
        <v/>
      </c>
      <c r="H10" s="116" t="str">
        <f t="shared" si="4"/>
        <v/>
      </c>
      <c r="I10" s="3" t="str">
        <f t="shared" si="5"/>
        <v/>
      </c>
      <c r="J10" s="14">
        <f t="shared" si="6"/>
        <v>64.3</v>
      </c>
      <c r="K10" s="14" t="str">
        <f t="shared" si="7"/>
        <v>2021 2nd Virtual Technical Trial</v>
      </c>
      <c r="L10" s="14">
        <f t="shared" si="8"/>
        <v>128.6</v>
      </c>
      <c r="M10" s="14" t="str">
        <f t="shared" si="9"/>
        <v>2021 Elite Canada</v>
      </c>
      <c r="N10" s="14" t="str">
        <f t="shared" si="10"/>
        <v/>
      </c>
      <c r="O10" s="24" t="str">
        <f t="shared" si="11"/>
        <v/>
      </c>
      <c r="P10" s="14" t="str">
        <f t="shared" si="12"/>
        <v/>
      </c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72"/>
      <c r="AH10" s="11" t="str">
        <f t="shared" si="13"/>
        <v/>
      </c>
      <c r="AI10" s="11" t="str">
        <f t="shared" si="14"/>
        <v/>
      </c>
      <c r="AJ10" s="11" t="str">
        <f t="shared" si="15"/>
        <v/>
      </c>
      <c r="AK10" s="11" t="str">
        <f t="shared" si="16"/>
        <v/>
      </c>
      <c r="AL10" s="11" t="str">
        <f t="shared" si="17"/>
        <v/>
      </c>
      <c r="AM10" s="36">
        <v>27.9</v>
      </c>
      <c r="AN10" s="36">
        <v>5.6</v>
      </c>
      <c r="AO10" s="36">
        <v>0.9</v>
      </c>
      <c r="AP10" s="36">
        <v>0</v>
      </c>
      <c r="AQ10" s="36">
        <v>27.4</v>
      </c>
      <c r="AR10" s="36">
        <v>5.2</v>
      </c>
      <c r="AS10" s="36">
        <v>0.9</v>
      </c>
      <c r="AT10" s="36">
        <v>0</v>
      </c>
      <c r="AU10" s="36">
        <v>27.8</v>
      </c>
      <c r="AV10" s="36">
        <v>4.8</v>
      </c>
      <c r="AW10" s="36">
        <v>0.9</v>
      </c>
      <c r="AX10" s="36">
        <v>0</v>
      </c>
      <c r="AY10" s="36">
        <v>27.9</v>
      </c>
      <c r="AZ10" s="36">
        <v>4.8</v>
      </c>
      <c r="BA10" s="36">
        <v>0</v>
      </c>
      <c r="BB10" s="36">
        <v>0</v>
      </c>
      <c r="BC10" s="73"/>
      <c r="BD10" s="14">
        <f t="shared" si="18"/>
        <v>10.8</v>
      </c>
      <c r="BE10" s="14">
        <f t="shared" si="19"/>
        <v>64.3</v>
      </c>
      <c r="BF10" s="14">
        <f t="shared" si="20"/>
        <v>9.6</v>
      </c>
      <c r="BG10" s="14">
        <f t="shared" si="21"/>
        <v>64.399999999999991</v>
      </c>
      <c r="BH10" s="14">
        <f t="shared" si="22"/>
        <v>128.69999999999999</v>
      </c>
      <c r="BI10" s="61">
        <v>27.2</v>
      </c>
      <c r="BJ10" s="61">
        <v>5.6</v>
      </c>
      <c r="BK10" s="61">
        <v>0.9</v>
      </c>
      <c r="BL10" s="61">
        <v>0</v>
      </c>
      <c r="BM10" s="61">
        <v>27.1</v>
      </c>
      <c r="BN10" s="61">
        <v>5.2</v>
      </c>
      <c r="BO10" s="61">
        <v>0</v>
      </c>
      <c r="BP10" s="61">
        <v>0</v>
      </c>
      <c r="BQ10" s="61">
        <v>27.3</v>
      </c>
      <c r="BR10" s="61">
        <v>5.6</v>
      </c>
      <c r="BS10" s="61">
        <v>0.3</v>
      </c>
      <c r="BT10" s="61">
        <v>0</v>
      </c>
      <c r="BU10" s="61">
        <v>26.6</v>
      </c>
      <c r="BV10" s="61">
        <v>5.2</v>
      </c>
      <c r="BW10" s="61">
        <v>0</v>
      </c>
      <c r="BX10" s="61">
        <v>0</v>
      </c>
      <c r="BY10" s="72"/>
      <c r="BZ10" s="11">
        <f t="shared" si="23"/>
        <v>10.8</v>
      </c>
      <c r="CA10" s="11">
        <f t="shared" si="24"/>
        <v>64.199999999999989</v>
      </c>
      <c r="CB10" s="11">
        <f t="shared" si="25"/>
        <v>10.8</v>
      </c>
      <c r="CC10" s="11">
        <f t="shared" si="26"/>
        <v>64.400000000000006</v>
      </c>
      <c r="CD10" s="11">
        <f t="shared" si="27"/>
        <v>128.6</v>
      </c>
      <c r="CE10" s="23" t="str">
        <f t="shared" si="28"/>
        <v/>
      </c>
      <c r="CF10" s="23" t="str">
        <f t="shared" si="29"/>
        <v/>
      </c>
      <c r="CG10" s="40"/>
      <c r="CH10" s="40"/>
      <c r="CI10" s="40"/>
      <c r="CJ10" s="40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40"/>
      <c r="CW10" s="11" t="str">
        <f t="shared" si="30"/>
        <v/>
      </c>
      <c r="CX10" s="11" t="str">
        <f t="shared" si="31"/>
        <v/>
      </c>
      <c r="CY10" s="11" t="str">
        <f t="shared" si="32"/>
        <v/>
      </c>
      <c r="CZ10" s="11" t="str">
        <f t="shared" si="33"/>
        <v/>
      </c>
      <c r="DA10" s="11" t="str">
        <f t="shared" si="34"/>
        <v/>
      </c>
      <c r="DB10" s="39"/>
      <c r="DC10" s="39"/>
      <c r="DD10" s="39"/>
      <c r="DE10" s="39"/>
      <c r="DF10" s="39"/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14" t="str">
        <f t="shared" si="35"/>
        <v/>
      </c>
      <c r="DS10" s="14" t="str">
        <f t="shared" si="36"/>
        <v/>
      </c>
      <c r="DT10" s="14" t="str">
        <f t="shared" si="37"/>
        <v/>
      </c>
      <c r="DU10" s="14" t="str">
        <f t="shared" si="38"/>
        <v/>
      </c>
      <c r="DV10" s="14" t="str">
        <f t="shared" si="39"/>
        <v/>
      </c>
      <c r="DW10" s="40"/>
      <c r="DX10" s="40"/>
      <c r="DY10" s="40"/>
      <c r="DZ10" s="40"/>
      <c r="EA10" s="40"/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40"/>
      <c r="EM10" s="11" t="str">
        <f t="shared" si="40"/>
        <v/>
      </c>
      <c r="EN10" s="11" t="str">
        <f t="shared" si="41"/>
        <v/>
      </c>
      <c r="EO10" s="11" t="str">
        <f t="shared" si="42"/>
        <v/>
      </c>
      <c r="EP10" s="11" t="str">
        <f t="shared" si="43"/>
        <v/>
      </c>
      <c r="EQ10" s="11" t="str">
        <f t="shared" si="44"/>
        <v/>
      </c>
      <c r="ER10" s="39"/>
      <c r="ES10" s="39"/>
      <c r="ET10" s="39"/>
      <c r="EU10" s="39"/>
      <c r="EV10" s="39"/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14" t="str">
        <f t="shared" si="45"/>
        <v/>
      </c>
      <c r="FI10" s="14" t="str">
        <f t="shared" si="46"/>
        <v/>
      </c>
      <c r="FJ10" s="14" t="str">
        <f t="shared" si="47"/>
        <v/>
      </c>
      <c r="FK10" s="14" t="str">
        <f t="shared" si="48"/>
        <v/>
      </c>
      <c r="FL10" s="14" t="str">
        <f t="shared" si="49"/>
        <v/>
      </c>
      <c r="FM10" s="40"/>
      <c r="FN10" s="40"/>
      <c r="FO10" s="40"/>
      <c r="FP10" s="40"/>
      <c r="FQ10" s="40"/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40"/>
      <c r="GC10" s="11" t="str">
        <f t="shared" si="50"/>
        <v/>
      </c>
      <c r="GD10" s="11" t="str">
        <f t="shared" si="51"/>
        <v/>
      </c>
      <c r="GE10" s="11" t="str">
        <f t="shared" si="52"/>
        <v/>
      </c>
      <c r="GF10" s="11" t="str">
        <f t="shared" si="53"/>
        <v/>
      </c>
      <c r="GG10" s="11" t="str">
        <f t="shared" si="54"/>
        <v/>
      </c>
      <c r="GH10" s="39"/>
      <c r="GI10" s="39"/>
      <c r="GJ10" s="39"/>
      <c r="GK10" s="39"/>
      <c r="GL10" s="39"/>
      <c r="GM10" s="39"/>
      <c r="GN10" s="39"/>
      <c r="GO10" s="39"/>
      <c r="GP10" s="39"/>
      <c r="GQ10" s="39"/>
      <c r="GR10" s="39"/>
      <c r="GS10" s="39"/>
      <c r="GT10" s="39"/>
      <c r="GU10" s="39"/>
      <c r="GV10" s="39"/>
      <c r="GW10" s="39"/>
      <c r="GX10" s="14" t="str">
        <f t="shared" si="55"/>
        <v/>
      </c>
      <c r="GY10" s="14" t="str">
        <f t="shared" si="56"/>
        <v/>
      </c>
      <c r="GZ10" s="14" t="str">
        <f t="shared" si="57"/>
        <v/>
      </c>
      <c r="HA10" s="14" t="str">
        <f t="shared" si="58"/>
        <v/>
      </c>
      <c r="HB10" s="14" t="str">
        <f t="shared" si="59"/>
        <v/>
      </c>
      <c r="HC10" s="40"/>
      <c r="HD10" s="40"/>
      <c r="HE10" s="40"/>
      <c r="HF10" s="40"/>
      <c r="HG10" s="40"/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40"/>
      <c r="HS10" s="11" t="str">
        <f t="shared" si="60"/>
        <v/>
      </c>
      <c r="HT10" s="11" t="str">
        <f t="shared" si="61"/>
        <v/>
      </c>
      <c r="HU10" s="11" t="str">
        <f t="shared" si="62"/>
        <v/>
      </c>
      <c r="HV10" s="11" t="str">
        <f t="shared" si="63"/>
        <v/>
      </c>
      <c r="HW10" s="11" t="str">
        <f t="shared" si="64"/>
        <v/>
      </c>
      <c r="HX10" s="39"/>
      <c r="HY10" s="39"/>
      <c r="HZ10" s="39"/>
      <c r="IA10" s="39"/>
      <c r="IB10" s="39"/>
      <c r="IC10" s="39"/>
      <c r="ID10" s="39"/>
      <c r="IE10" s="39"/>
      <c r="IF10" s="39"/>
      <c r="IG10" s="39"/>
      <c r="IH10" s="39"/>
      <c r="II10" s="39"/>
      <c r="IJ10" s="39"/>
      <c r="IK10" s="39"/>
      <c r="IL10" s="39"/>
      <c r="IM10" s="39"/>
      <c r="IN10" s="14" t="str">
        <f t="shared" si="65"/>
        <v/>
      </c>
      <c r="IO10" s="14" t="str">
        <f t="shared" si="66"/>
        <v/>
      </c>
      <c r="IP10" s="14" t="str">
        <f t="shared" si="67"/>
        <v/>
      </c>
      <c r="IQ10" s="14" t="str">
        <f t="shared" si="68"/>
        <v/>
      </c>
      <c r="IR10" s="14" t="str">
        <f t="shared" si="69"/>
        <v/>
      </c>
      <c r="IS10" s="40"/>
      <c r="IT10" s="40"/>
      <c r="IU10" s="40"/>
      <c r="IV10" s="40"/>
      <c r="IW10" s="40"/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40"/>
      <c r="JI10" s="11" t="str">
        <f t="shared" si="70"/>
        <v/>
      </c>
      <c r="JJ10" s="11" t="str">
        <f t="shared" si="71"/>
        <v/>
      </c>
      <c r="JK10" s="11" t="str">
        <f t="shared" si="72"/>
        <v/>
      </c>
      <c r="JL10" s="11" t="str">
        <f t="shared" si="73"/>
        <v/>
      </c>
      <c r="JM10" s="11" t="str">
        <f t="shared" si="74"/>
        <v/>
      </c>
      <c r="JN10" s="39"/>
      <c r="JO10" s="39"/>
      <c r="JP10" s="39"/>
      <c r="JQ10" s="39"/>
      <c r="JR10" s="39"/>
      <c r="JS10" s="39"/>
      <c r="JT10" s="39"/>
      <c r="JU10" s="39"/>
      <c r="JV10" s="39"/>
      <c r="JW10" s="39"/>
      <c r="JX10" s="39"/>
      <c r="JY10" s="39"/>
      <c r="JZ10" s="39"/>
      <c r="KA10" s="39"/>
      <c r="KB10" s="39"/>
      <c r="KC10" s="39"/>
      <c r="KD10" s="14" t="str">
        <f t="shared" si="75"/>
        <v/>
      </c>
      <c r="KE10" s="14" t="str">
        <f t="shared" si="76"/>
        <v/>
      </c>
      <c r="KF10" s="14" t="str">
        <f t="shared" si="77"/>
        <v/>
      </c>
      <c r="KG10" s="14" t="str">
        <f t="shared" si="78"/>
        <v/>
      </c>
      <c r="KH10" s="14" t="str">
        <f t="shared" si="79"/>
        <v/>
      </c>
      <c r="KI10" s="40"/>
      <c r="KJ10" s="40"/>
      <c r="KK10" s="40"/>
      <c r="KL10" s="40"/>
      <c r="KM10" s="40"/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40"/>
      <c r="KY10" s="11" t="str">
        <f t="shared" si="80"/>
        <v/>
      </c>
      <c r="KZ10" s="11" t="str">
        <f t="shared" si="81"/>
        <v/>
      </c>
      <c r="LA10" s="11" t="str">
        <f t="shared" si="82"/>
        <v/>
      </c>
      <c r="LB10" s="11" t="str">
        <f t="shared" si="83"/>
        <v/>
      </c>
      <c r="LC10" s="11" t="str">
        <f t="shared" si="84"/>
        <v/>
      </c>
      <c r="LD10" s="39"/>
      <c r="LE10" s="39"/>
      <c r="LF10" s="39"/>
      <c r="LG10" s="39"/>
      <c r="LH10" s="39"/>
      <c r="LI10" s="39"/>
      <c r="LJ10" s="39"/>
      <c r="LK10" s="39"/>
      <c r="LL10" s="39"/>
      <c r="LM10" s="39"/>
      <c r="LN10" s="39"/>
      <c r="LO10" s="39"/>
      <c r="LP10" s="39"/>
      <c r="LQ10" s="39"/>
      <c r="LR10" s="39"/>
      <c r="LS10" s="39"/>
      <c r="LT10" s="14" t="str">
        <f t="shared" si="85"/>
        <v/>
      </c>
      <c r="LU10" s="14" t="str">
        <f t="shared" si="86"/>
        <v/>
      </c>
      <c r="LV10" s="14" t="str">
        <f t="shared" si="87"/>
        <v/>
      </c>
      <c r="LW10" s="14" t="str">
        <f t="shared" si="88"/>
        <v/>
      </c>
      <c r="LX10" s="14" t="str">
        <f t="shared" si="89"/>
        <v/>
      </c>
      <c r="LY10" s="61">
        <f t="shared" si="90"/>
        <v>27.549999999999997</v>
      </c>
      <c r="LZ10" s="61">
        <f t="shared" si="91"/>
        <v>5.6</v>
      </c>
      <c r="MA10" s="61">
        <f t="shared" si="92"/>
        <v>0.9</v>
      </c>
      <c r="MB10" s="61">
        <f t="shared" si="93"/>
        <v>0</v>
      </c>
      <c r="MC10" s="61">
        <f t="shared" si="94"/>
        <v>27.25</v>
      </c>
      <c r="MD10" s="61">
        <f t="shared" si="95"/>
        <v>5.2</v>
      </c>
      <c r="ME10" s="61">
        <f t="shared" si="96"/>
        <v>0.45</v>
      </c>
      <c r="MF10" s="61">
        <f t="shared" si="97"/>
        <v>0</v>
      </c>
      <c r="MG10" s="61">
        <f t="shared" si="98"/>
        <v>27.55</v>
      </c>
      <c r="MH10" s="61">
        <f t="shared" si="99"/>
        <v>5.1999999999999993</v>
      </c>
      <c r="MI10" s="61">
        <f t="shared" si="100"/>
        <v>0.6</v>
      </c>
      <c r="MJ10" s="61">
        <f t="shared" si="101"/>
        <v>0</v>
      </c>
      <c r="MK10" s="61">
        <f t="shared" si="102"/>
        <v>27.25</v>
      </c>
      <c r="ML10" s="61">
        <f t="shared" si="103"/>
        <v>5</v>
      </c>
      <c r="MM10" s="61">
        <f t="shared" si="104"/>
        <v>0</v>
      </c>
      <c r="MN10" s="61">
        <f t="shared" si="105"/>
        <v>0</v>
      </c>
      <c r="MO10" s="72" t="s">
        <v>52</v>
      </c>
      <c r="MP10" s="11">
        <f t="shared" si="106"/>
        <v>10.8</v>
      </c>
      <c r="MQ10" s="11">
        <f t="shared" si="107"/>
        <v>64.25</v>
      </c>
      <c r="MR10" s="11">
        <f t="shared" si="108"/>
        <v>10.199999999999999</v>
      </c>
      <c r="MS10" s="11">
        <f t="shared" si="109"/>
        <v>64.400000000000006</v>
      </c>
      <c r="MT10" s="11">
        <f t="shared" si="110"/>
        <v>128.65</v>
      </c>
    </row>
    <row r="11" spans="1:358" x14ac:dyDescent="0.2">
      <c r="A11" s="5" t="str">
        <f t="shared" si="0"/>
        <v/>
      </c>
      <c r="B11" s="8" t="s">
        <v>126</v>
      </c>
      <c r="C11" s="4" t="s">
        <v>4</v>
      </c>
      <c r="D11" s="5">
        <v>2001</v>
      </c>
      <c r="E11" s="15">
        <f t="shared" si="1"/>
        <v>190.10000000000002</v>
      </c>
      <c r="F11" s="3" t="str">
        <f t="shared" si="2"/>
        <v/>
      </c>
      <c r="G11" s="3" t="str">
        <f t="shared" si="3"/>
        <v/>
      </c>
      <c r="H11" s="116" t="str">
        <f t="shared" si="4"/>
        <v/>
      </c>
      <c r="I11" s="3" t="str">
        <f t="shared" si="5"/>
        <v/>
      </c>
      <c r="J11" s="14">
        <f t="shared" si="6"/>
        <v>64.300000000000011</v>
      </c>
      <c r="K11" s="14" t="str">
        <f t="shared" si="7"/>
        <v>2021 Elite Canada</v>
      </c>
      <c r="L11" s="14">
        <f t="shared" si="8"/>
        <v>125.80000000000001</v>
      </c>
      <c r="M11" s="14" t="str">
        <f t="shared" si="9"/>
        <v>2021 2nd Virtual Technical Trial</v>
      </c>
      <c r="N11" s="14" t="str">
        <f t="shared" si="10"/>
        <v/>
      </c>
      <c r="O11" s="24" t="str">
        <f t="shared" si="11"/>
        <v/>
      </c>
      <c r="P11" s="14" t="str">
        <f t="shared" si="12"/>
        <v/>
      </c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72"/>
      <c r="AH11" s="11" t="str">
        <f t="shared" si="13"/>
        <v/>
      </c>
      <c r="AI11" s="11" t="str">
        <f t="shared" si="14"/>
        <v/>
      </c>
      <c r="AJ11" s="11" t="str">
        <f t="shared" si="15"/>
        <v/>
      </c>
      <c r="AK11" s="11" t="str">
        <f t="shared" si="16"/>
        <v/>
      </c>
      <c r="AL11" s="11" t="str">
        <f t="shared" si="17"/>
        <v/>
      </c>
      <c r="AM11" s="36">
        <v>26.9</v>
      </c>
      <c r="AN11" s="36">
        <v>5.2</v>
      </c>
      <c r="AO11" s="36">
        <v>0.3</v>
      </c>
      <c r="AP11" s="36">
        <v>0</v>
      </c>
      <c r="AQ11" s="36">
        <v>26.5</v>
      </c>
      <c r="AR11" s="36">
        <v>5.2</v>
      </c>
      <c r="AS11" s="36">
        <v>0.9</v>
      </c>
      <c r="AT11" s="36">
        <v>0</v>
      </c>
      <c r="AU11" s="36">
        <v>27.6</v>
      </c>
      <c r="AV11" s="36">
        <v>4.4000000000000004</v>
      </c>
      <c r="AW11" s="36">
        <v>0.3</v>
      </c>
      <c r="AX11" s="36">
        <v>0</v>
      </c>
      <c r="AY11" s="36">
        <v>27.6</v>
      </c>
      <c r="AZ11" s="36">
        <v>3.9</v>
      </c>
      <c r="BA11" s="36">
        <v>0</v>
      </c>
      <c r="BB11" s="36">
        <v>0</v>
      </c>
      <c r="BC11" s="73"/>
      <c r="BD11" s="14">
        <f t="shared" si="18"/>
        <v>10.4</v>
      </c>
      <c r="BE11" s="14">
        <f t="shared" si="19"/>
        <v>62.6</v>
      </c>
      <c r="BF11" s="14">
        <f t="shared" si="20"/>
        <v>8.3000000000000007</v>
      </c>
      <c r="BG11" s="14">
        <f t="shared" si="21"/>
        <v>63.2</v>
      </c>
      <c r="BH11" s="14">
        <f t="shared" si="22"/>
        <v>125.80000000000001</v>
      </c>
      <c r="BI11" s="61">
        <v>27.3</v>
      </c>
      <c r="BJ11" s="61">
        <v>5.2</v>
      </c>
      <c r="BK11" s="61">
        <v>0.3</v>
      </c>
      <c r="BL11" s="61">
        <v>0</v>
      </c>
      <c r="BM11" s="61">
        <v>28.2</v>
      </c>
      <c r="BN11" s="61">
        <v>3.9</v>
      </c>
      <c r="BO11" s="61">
        <v>0</v>
      </c>
      <c r="BP11" s="61">
        <v>0</v>
      </c>
      <c r="BQ11" s="61">
        <v>27.2</v>
      </c>
      <c r="BR11" s="61">
        <v>2</v>
      </c>
      <c r="BS11" s="61">
        <v>1</v>
      </c>
      <c r="BT11" s="61">
        <v>0</v>
      </c>
      <c r="BU11" s="61">
        <v>27.9</v>
      </c>
      <c r="BV11" s="61">
        <v>3.6</v>
      </c>
      <c r="BW11" s="61">
        <v>0</v>
      </c>
      <c r="BX11" s="61">
        <v>0</v>
      </c>
      <c r="BY11" s="72"/>
      <c r="BZ11" s="11">
        <f t="shared" si="23"/>
        <v>9.1</v>
      </c>
      <c r="CA11" s="11">
        <f t="shared" si="24"/>
        <v>64.300000000000011</v>
      </c>
      <c r="CB11" s="11">
        <f t="shared" si="25"/>
        <v>5.6</v>
      </c>
      <c r="CC11" s="11">
        <f t="shared" si="26"/>
        <v>59.699999999999996</v>
      </c>
      <c r="CD11" s="11">
        <f t="shared" si="27"/>
        <v>124</v>
      </c>
      <c r="CE11" s="23" t="str">
        <f t="shared" si="28"/>
        <v/>
      </c>
      <c r="CF11" s="23" t="str">
        <f t="shared" si="29"/>
        <v/>
      </c>
      <c r="CG11" s="40"/>
      <c r="CH11" s="40"/>
      <c r="CI11" s="40"/>
      <c r="CJ11" s="40"/>
      <c r="CK11" s="40"/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40"/>
      <c r="CW11" s="11" t="str">
        <f t="shared" si="30"/>
        <v/>
      </c>
      <c r="CX11" s="11" t="str">
        <f t="shared" si="31"/>
        <v/>
      </c>
      <c r="CY11" s="11" t="str">
        <f t="shared" si="32"/>
        <v/>
      </c>
      <c r="CZ11" s="11" t="str">
        <f t="shared" si="33"/>
        <v/>
      </c>
      <c r="DA11" s="11" t="str">
        <f t="shared" si="34"/>
        <v/>
      </c>
      <c r="DB11" s="39"/>
      <c r="DC11" s="39"/>
      <c r="DD11" s="39"/>
      <c r="DE11" s="39"/>
      <c r="DF11" s="39"/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14" t="str">
        <f t="shared" si="35"/>
        <v/>
      </c>
      <c r="DS11" s="14" t="str">
        <f t="shared" si="36"/>
        <v/>
      </c>
      <c r="DT11" s="14" t="str">
        <f t="shared" si="37"/>
        <v/>
      </c>
      <c r="DU11" s="14" t="str">
        <f t="shared" si="38"/>
        <v/>
      </c>
      <c r="DV11" s="14" t="str">
        <f t="shared" si="39"/>
        <v/>
      </c>
      <c r="DW11" s="40"/>
      <c r="DX11" s="40"/>
      <c r="DY11" s="40"/>
      <c r="DZ11" s="40"/>
      <c r="EA11" s="40"/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40"/>
      <c r="EM11" s="11" t="str">
        <f t="shared" si="40"/>
        <v/>
      </c>
      <c r="EN11" s="11" t="str">
        <f t="shared" si="41"/>
        <v/>
      </c>
      <c r="EO11" s="11" t="str">
        <f t="shared" si="42"/>
        <v/>
      </c>
      <c r="EP11" s="11" t="str">
        <f t="shared" si="43"/>
        <v/>
      </c>
      <c r="EQ11" s="11" t="str">
        <f t="shared" si="44"/>
        <v/>
      </c>
      <c r="ER11" s="39"/>
      <c r="ES11" s="39"/>
      <c r="ET11" s="39"/>
      <c r="EU11" s="39"/>
      <c r="EV11" s="39"/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14" t="str">
        <f t="shared" si="45"/>
        <v/>
      </c>
      <c r="FI11" s="14" t="str">
        <f t="shared" si="46"/>
        <v/>
      </c>
      <c r="FJ11" s="14" t="str">
        <f t="shared" si="47"/>
        <v/>
      </c>
      <c r="FK11" s="14" t="str">
        <f t="shared" si="48"/>
        <v/>
      </c>
      <c r="FL11" s="14" t="str">
        <f t="shared" si="49"/>
        <v/>
      </c>
      <c r="FM11" s="40"/>
      <c r="FN11" s="40"/>
      <c r="FO11" s="40"/>
      <c r="FP11" s="40"/>
      <c r="FQ11" s="40"/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40"/>
      <c r="GC11" s="11" t="str">
        <f t="shared" si="50"/>
        <v/>
      </c>
      <c r="GD11" s="11" t="str">
        <f t="shared" si="51"/>
        <v/>
      </c>
      <c r="GE11" s="11" t="str">
        <f t="shared" si="52"/>
        <v/>
      </c>
      <c r="GF11" s="11" t="str">
        <f t="shared" si="53"/>
        <v/>
      </c>
      <c r="GG11" s="11" t="str">
        <f t="shared" si="54"/>
        <v/>
      </c>
      <c r="GH11" s="39"/>
      <c r="GI11" s="39"/>
      <c r="GJ11" s="39"/>
      <c r="GK11" s="39"/>
      <c r="GL11" s="39"/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14" t="str">
        <f t="shared" si="55"/>
        <v/>
      </c>
      <c r="GY11" s="14" t="str">
        <f t="shared" si="56"/>
        <v/>
      </c>
      <c r="GZ11" s="14" t="str">
        <f t="shared" si="57"/>
        <v/>
      </c>
      <c r="HA11" s="14" t="str">
        <f t="shared" si="58"/>
        <v/>
      </c>
      <c r="HB11" s="14" t="str">
        <f t="shared" si="59"/>
        <v/>
      </c>
      <c r="HC11" s="40"/>
      <c r="HD11" s="40"/>
      <c r="HE11" s="40"/>
      <c r="HF11" s="40"/>
      <c r="HG11" s="40"/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40"/>
      <c r="HS11" s="11" t="str">
        <f t="shared" si="60"/>
        <v/>
      </c>
      <c r="HT11" s="11" t="str">
        <f t="shared" si="61"/>
        <v/>
      </c>
      <c r="HU11" s="11" t="str">
        <f t="shared" si="62"/>
        <v/>
      </c>
      <c r="HV11" s="11" t="str">
        <f t="shared" si="63"/>
        <v/>
      </c>
      <c r="HW11" s="11" t="str">
        <f t="shared" si="64"/>
        <v/>
      </c>
      <c r="HX11" s="39"/>
      <c r="HY11" s="39"/>
      <c r="HZ11" s="39"/>
      <c r="IA11" s="39"/>
      <c r="IB11" s="39"/>
      <c r="IC11" s="39"/>
      <c r="ID11" s="39"/>
      <c r="IE11" s="39"/>
      <c r="IF11" s="39"/>
      <c r="IG11" s="39"/>
      <c r="IH11" s="39"/>
      <c r="II11" s="39"/>
      <c r="IJ11" s="39"/>
      <c r="IK11" s="39"/>
      <c r="IL11" s="39"/>
      <c r="IM11" s="39"/>
      <c r="IN11" s="14" t="str">
        <f t="shared" si="65"/>
        <v/>
      </c>
      <c r="IO11" s="14" t="str">
        <f t="shared" si="66"/>
        <v/>
      </c>
      <c r="IP11" s="14" t="str">
        <f t="shared" si="67"/>
        <v/>
      </c>
      <c r="IQ11" s="14" t="str">
        <f t="shared" si="68"/>
        <v/>
      </c>
      <c r="IR11" s="14" t="str">
        <f t="shared" si="69"/>
        <v/>
      </c>
      <c r="IS11" s="40"/>
      <c r="IT11" s="40"/>
      <c r="IU11" s="40"/>
      <c r="IV11" s="40"/>
      <c r="IW11" s="40"/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40"/>
      <c r="JI11" s="11" t="str">
        <f t="shared" si="70"/>
        <v/>
      </c>
      <c r="JJ11" s="11" t="str">
        <f t="shared" si="71"/>
        <v/>
      </c>
      <c r="JK11" s="11" t="str">
        <f t="shared" si="72"/>
        <v/>
      </c>
      <c r="JL11" s="11" t="str">
        <f t="shared" si="73"/>
        <v/>
      </c>
      <c r="JM11" s="11" t="str">
        <f t="shared" si="74"/>
        <v/>
      </c>
      <c r="JN11" s="39"/>
      <c r="JO11" s="39"/>
      <c r="JP11" s="39"/>
      <c r="JQ11" s="39"/>
      <c r="JR11" s="39"/>
      <c r="JS11" s="39"/>
      <c r="JT11" s="39"/>
      <c r="JU11" s="39"/>
      <c r="JV11" s="39"/>
      <c r="JW11" s="39"/>
      <c r="JX11" s="39"/>
      <c r="JY11" s="39"/>
      <c r="JZ11" s="39"/>
      <c r="KA11" s="39"/>
      <c r="KB11" s="39"/>
      <c r="KC11" s="39"/>
      <c r="KD11" s="14" t="str">
        <f t="shared" si="75"/>
        <v/>
      </c>
      <c r="KE11" s="14" t="str">
        <f t="shared" si="76"/>
        <v/>
      </c>
      <c r="KF11" s="14" t="str">
        <f t="shared" si="77"/>
        <v/>
      </c>
      <c r="KG11" s="14" t="str">
        <f t="shared" si="78"/>
        <v/>
      </c>
      <c r="KH11" s="14" t="str">
        <f t="shared" si="79"/>
        <v/>
      </c>
      <c r="KI11" s="40"/>
      <c r="KJ11" s="40"/>
      <c r="KK11" s="40"/>
      <c r="KL11" s="40"/>
      <c r="KM11" s="40"/>
      <c r="KN11" s="40"/>
      <c r="KO11" s="40"/>
      <c r="KP11" s="40"/>
      <c r="KQ11" s="40"/>
      <c r="KR11" s="40"/>
      <c r="KS11" s="40"/>
      <c r="KT11" s="40"/>
      <c r="KU11" s="40"/>
      <c r="KV11" s="40"/>
      <c r="KW11" s="40"/>
      <c r="KX11" s="40"/>
      <c r="KY11" s="11" t="str">
        <f t="shared" si="80"/>
        <v/>
      </c>
      <c r="KZ11" s="11" t="str">
        <f t="shared" si="81"/>
        <v/>
      </c>
      <c r="LA11" s="11" t="str">
        <f t="shared" si="82"/>
        <v/>
      </c>
      <c r="LB11" s="11" t="str">
        <f t="shared" si="83"/>
        <v/>
      </c>
      <c r="LC11" s="11" t="str">
        <f t="shared" si="84"/>
        <v/>
      </c>
      <c r="LD11" s="39"/>
      <c r="LE11" s="39"/>
      <c r="LF11" s="39"/>
      <c r="LG11" s="39"/>
      <c r="LH11" s="39"/>
      <c r="LI11" s="39"/>
      <c r="LJ11" s="39"/>
      <c r="LK11" s="39"/>
      <c r="LL11" s="39"/>
      <c r="LM11" s="39"/>
      <c r="LN11" s="39"/>
      <c r="LO11" s="39"/>
      <c r="LP11" s="39"/>
      <c r="LQ11" s="39"/>
      <c r="LR11" s="39"/>
      <c r="LS11" s="39"/>
      <c r="LT11" s="14" t="str">
        <f t="shared" si="85"/>
        <v/>
      </c>
      <c r="LU11" s="14" t="str">
        <f t="shared" si="86"/>
        <v/>
      </c>
      <c r="LV11" s="14" t="str">
        <f t="shared" si="87"/>
        <v/>
      </c>
      <c r="LW11" s="14" t="str">
        <f t="shared" si="88"/>
        <v/>
      </c>
      <c r="LX11" s="14" t="str">
        <f t="shared" si="89"/>
        <v/>
      </c>
      <c r="LY11" s="61">
        <f t="shared" si="90"/>
        <v>27.1</v>
      </c>
      <c r="LZ11" s="61">
        <f t="shared" si="91"/>
        <v>5.2</v>
      </c>
      <c r="MA11" s="61">
        <f t="shared" si="92"/>
        <v>0.3</v>
      </c>
      <c r="MB11" s="61">
        <f t="shared" si="93"/>
        <v>0</v>
      </c>
      <c r="MC11" s="61">
        <f t="shared" si="94"/>
        <v>27.35</v>
      </c>
      <c r="MD11" s="61">
        <f t="shared" si="95"/>
        <v>4.55</v>
      </c>
      <c r="ME11" s="61">
        <f t="shared" si="96"/>
        <v>0.45</v>
      </c>
      <c r="MF11" s="61">
        <f t="shared" si="97"/>
        <v>0</v>
      </c>
      <c r="MG11" s="61">
        <f t="shared" si="98"/>
        <v>27.4</v>
      </c>
      <c r="MH11" s="61">
        <f t="shared" si="99"/>
        <v>3.2</v>
      </c>
      <c r="MI11" s="61">
        <f t="shared" si="100"/>
        <v>0.65</v>
      </c>
      <c r="MJ11" s="61">
        <f t="shared" si="101"/>
        <v>0</v>
      </c>
      <c r="MK11" s="61">
        <f t="shared" si="102"/>
        <v>27.75</v>
      </c>
      <c r="ML11" s="61">
        <f t="shared" si="103"/>
        <v>3.75</v>
      </c>
      <c r="MM11" s="61">
        <f t="shared" si="104"/>
        <v>0</v>
      </c>
      <c r="MN11" s="61">
        <f t="shared" si="105"/>
        <v>0</v>
      </c>
      <c r="MO11" s="72" t="s">
        <v>52</v>
      </c>
      <c r="MP11" s="11">
        <f t="shared" si="106"/>
        <v>9.75</v>
      </c>
      <c r="MQ11" s="11">
        <f t="shared" si="107"/>
        <v>63.45</v>
      </c>
      <c r="MR11" s="11">
        <f t="shared" si="108"/>
        <v>6.95</v>
      </c>
      <c r="MS11" s="11">
        <f t="shared" si="109"/>
        <v>61.449999999999996</v>
      </c>
      <c r="MT11" s="11">
        <f t="shared" si="110"/>
        <v>124.9</v>
      </c>
    </row>
    <row r="12" spans="1:358" x14ac:dyDescent="0.2">
      <c r="A12" s="5" t="str">
        <f t="shared" si="0"/>
        <v/>
      </c>
      <c r="B12" s="8" t="s">
        <v>110</v>
      </c>
      <c r="C12" s="4" t="s">
        <v>5</v>
      </c>
      <c r="D12" s="5">
        <v>2001</v>
      </c>
      <c r="E12" s="15">
        <f t="shared" si="1"/>
        <v>185.70000000000002</v>
      </c>
      <c r="F12" s="3" t="str">
        <f t="shared" si="2"/>
        <v/>
      </c>
      <c r="G12" s="3" t="str">
        <f t="shared" si="3"/>
        <v/>
      </c>
      <c r="H12" s="116" t="str">
        <f t="shared" si="4"/>
        <v/>
      </c>
      <c r="I12" s="3" t="str">
        <f t="shared" si="5"/>
        <v/>
      </c>
      <c r="J12" s="14">
        <f t="shared" si="6"/>
        <v>62.6</v>
      </c>
      <c r="K12" s="14" t="str">
        <f t="shared" si="7"/>
        <v>2021 Elite Canada</v>
      </c>
      <c r="L12" s="14">
        <f t="shared" si="8"/>
        <v>123.10000000000001</v>
      </c>
      <c r="M12" s="14" t="str">
        <f t="shared" si="9"/>
        <v>2021 1st Virtual Technical Trial</v>
      </c>
      <c r="N12" s="14" t="str">
        <f t="shared" si="10"/>
        <v/>
      </c>
      <c r="O12" s="24" t="str">
        <f t="shared" si="11"/>
        <v/>
      </c>
      <c r="P12" s="14" t="str">
        <f t="shared" si="12"/>
        <v/>
      </c>
      <c r="Q12" s="61">
        <v>26.6</v>
      </c>
      <c r="R12" s="61">
        <v>4.4000000000000004</v>
      </c>
      <c r="S12" s="61">
        <v>0.3</v>
      </c>
      <c r="T12" s="61">
        <v>0</v>
      </c>
      <c r="U12" s="61">
        <v>28.2</v>
      </c>
      <c r="V12" s="61">
        <v>3.1</v>
      </c>
      <c r="W12" s="61">
        <v>0.3</v>
      </c>
      <c r="X12" s="61">
        <v>0</v>
      </c>
      <c r="Y12" s="61">
        <v>26.6</v>
      </c>
      <c r="Z12" s="61">
        <v>4.8</v>
      </c>
      <c r="AA12" s="61">
        <v>0.3</v>
      </c>
      <c r="AB12" s="61">
        <v>0</v>
      </c>
      <c r="AC12" s="61">
        <v>27</v>
      </c>
      <c r="AD12" s="61">
        <v>3.6</v>
      </c>
      <c r="AE12" s="61">
        <v>0.3</v>
      </c>
      <c r="AF12" s="61">
        <v>0</v>
      </c>
      <c r="AG12" s="72"/>
      <c r="AH12" s="11">
        <f t="shared" si="13"/>
        <v>7.5</v>
      </c>
      <c r="AI12" s="11">
        <f t="shared" si="14"/>
        <v>61.7</v>
      </c>
      <c r="AJ12" s="11">
        <f t="shared" si="15"/>
        <v>8.4</v>
      </c>
      <c r="AK12" s="11">
        <f t="shared" si="16"/>
        <v>61.400000000000006</v>
      </c>
      <c r="AL12" s="11">
        <f t="shared" si="17"/>
        <v>123.10000000000001</v>
      </c>
      <c r="AM12" s="36">
        <v>27.3</v>
      </c>
      <c r="AN12" s="36">
        <v>4.4000000000000004</v>
      </c>
      <c r="AO12" s="36">
        <v>1.2</v>
      </c>
      <c r="AP12" s="36">
        <v>0</v>
      </c>
      <c r="AQ12" s="36">
        <v>28.2</v>
      </c>
      <c r="AR12" s="36">
        <v>3.5</v>
      </c>
      <c r="AS12" s="36">
        <v>0</v>
      </c>
      <c r="AT12" s="36">
        <v>0</v>
      </c>
      <c r="AU12" s="36">
        <v>27.3</v>
      </c>
      <c r="AV12" s="36">
        <v>4.8</v>
      </c>
      <c r="AW12" s="36">
        <v>0</v>
      </c>
      <c r="AX12" s="36">
        <v>0</v>
      </c>
      <c r="AY12" s="36">
        <v>28.2</v>
      </c>
      <c r="AZ12" s="36">
        <v>1.8</v>
      </c>
      <c r="BA12" s="36">
        <v>4.2</v>
      </c>
      <c r="BB12" s="36">
        <v>0</v>
      </c>
      <c r="BC12" s="73"/>
      <c r="BD12" s="14">
        <f t="shared" si="18"/>
        <v>7.9</v>
      </c>
      <c r="BE12" s="14">
        <f t="shared" si="19"/>
        <v>62.2</v>
      </c>
      <c r="BF12" s="14">
        <f t="shared" si="20"/>
        <v>6.6</v>
      </c>
      <c r="BG12" s="14">
        <f t="shared" si="21"/>
        <v>57.899999999999991</v>
      </c>
      <c r="BH12" s="14">
        <f t="shared" si="22"/>
        <v>120.1</v>
      </c>
      <c r="BI12" s="61">
        <v>27.1</v>
      </c>
      <c r="BJ12" s="61">
        <v>4.8</v>
      </c>
      <c r="BK12" s="61">
        <v>0.3</v>
      </c>
      <c r="BL12" s="61">
        <v>0</v>
      </c>
      <c r="BM12" s="61">
        <v>27.3</v>
      </c>
      <c r="BN12" s="61">
        <v>4</v>
      </c>
      <c r="BO12" s="61">
        <v>0.3</v>
      </c>
      <c r="BP12" s="61">
        <v>0</v>
      </c>
      <c r="BQ12" s="61">
        <v>19.7</v>
      </c>
      <c r="BR12" s="61">
        <v>2</v>
      </c>
      <c r="BS12" s="61">
        <v>0</v>
      </c>
      <c r="BT12" s="61">
        <v>0</v>
      </c>
      <c r="BU12" s="61">
        <v>19.600000000000001</v>
      </c>
      <c r="BV12" s="61">
        <v>2.4</v>
      </c>
      <c r="BW12" s="61">
        <v>0</v>
      </c>
      <c r="BX12" s="61">
        <v>0</v>
      </c>
      <c r="BY12" s="72"/>
      <c r="BZ12" s="11">
        <f t="shared" si="23"/>
        <v>8.8000000000000007</v>
      </c>
      <c r="CA12" s="11">
        <f t="shared" si="24"/>
        <v>62.6</v>
      </c>
      <c r="CB12" s="11">
        <f t="shared" si="25"/>
        <v>4.4000000000000004</v>
      </c>
      <c r="CC12" s="11">
        <f t="shared" si="26"/>
        <v>43.699999999999996</v>
      </c>
      <c r="CD12" s="11">
        <f t="shared" si="27"/>
        <v>106.3</v>
      </c>
      <c r="CE12" s="23" t="str">
        <f t="shared" si="28"/>
        <v/>
      </c>
      <c r="CF12" s="23" t="str">
        <f t="shared" si="29"/>
        <v/>
      </c>
      <c r="CG12" s="40"/>
      <c r="CH12" s="40"/>
      <c r="CI12" s="40"/>
      <c r="CJ12" s="40"/>
      <c r="CK12" s="40"/>
      <c r="CL12" s="40"/>
      <c r="CM12" s="40"/>
      <c r="CN12" s="40"/>
      <c r="CO12" s="40"/>
      <c r="CP12" s="40"/>
      <c r="CQ12" s="40"/>
      <c r="CR12" s="40"/>
      <c r="CS12" s="40"/>
      <c r="CT12" s="40"/>
      <c r="CU12" s="40"/>
      <c r="CV12" s="40"/>
      <c r="CW12" s="11" t="str">
        <f t="shared" si="30"/>
        <v/>
      </c>
      <c r="CX12" s="11" t="str">
        <f t="shared" si="31"/>
        <v/>
      </c>
      <c r="CY12" s="11" t="str">
        <f t="shared" si="32"/>
        <v/>
      </c>
      <c r="CZ12" s="11" t="str">
        <f t="shared" si="33"/>
        <v/>
      </c>
      <c r="DA12" s="11" t="str">
        <f t="shared" si="34"/>
        <v/>
      </c>
      <c r="DB12" s="39"/>
      <c r="DC12" s="39"/>
      <c r="DD12" s="39"/>
      <c r="DE12" s="39"/>
      <c r="DF12" s="39"/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14" t="str">
        <f t="shared" si="35"/>
        <v/>
      </c>
      <c r="DS12" s="14" t="str">
        <f t="shared" si="36"/>
        <v/>
      </c>
      <c r="DT12" s="14" t="str">
        <f t="shared" si="37"/>
        <v/>
      </c>
      <c r="DU12" s="14" t="str">
        <f t="shared" si="38"/>
        <v/>
      </c>
      <c r="DV12" s="14" t="str">
        <f t="shared" si="39"/>
        <v/>
      </c>
      <c r="DW12" s="40"/>
      <c r="DX12" s="40"/>
      <c r="DY12" s="40"/>
      <c r="DZ12" s="40"/>
      <c r="EA12" s="40"/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40"/>
      <c r="EM12" s="11" t="str">
        <f t="shared" si="40"/>
        <v/>
      </c>
      <c r="EN12" s="11" t="str">
        <f t="shared" si="41"/>
        <v/>
      </c>
      <c r="EO12" s="11" t="str">
        <f t="shared" si="42"/>
        <v/>
      </c>
      <c r="EP12" s="11" t="str">
        <f t="shared" si="43"/>
        <v/>
      </c>
      <c r="EQ12" s="11" t="str">
        <f t="shared" si="44"/>
        <v/>
      </c>
      <c r="ER12" s="39"/>
      <c r="ES12" s="39"/>
      <c r="ET12" s="39"/>
      <c r="EU12" s="39"/>
      <c r="EV12" s="39"/>
      <c r="EW12" s="39"/>
      <c r="EX12" s="39"/>
      <c r="EY12" s="39"/>
      <c r="EZ12" s="39"/>
      <c r="FA12" s="39"/>
      <c r="FB12" s="39"/>
      <c r="FC12" s="39"/>
      <c r="FD12" s="39"/>
      <c r="FE12" s="39"/>
      <c r="FF12" s="39"/>
      <c r="FG12" s="39"/>
      <c r="FH12" s="14" t="str">
        <f t="shared" si="45"/>
        <v/>
      </c>
      <c r="FI12" s="14" t="str">
        <f t="shared" si="46"/>
        <v/>
      </c>
      <c r="FJ12" s="14" t="str">
        <f t="shared" si="47"/>
        <v/>
      </c>
      <c r="FK12" s="14" t="str">
        <f t="shared" si="48"/>
        <v/>
      </c>
      <c r="FL12" s="14" t="str">
        <f t="shared" si="49"/>
        <v/>
      </c>
      <c r="FM12" s="40"/>
      <c r="FN12" s="40"/>
      <c r="FO12" s="40"/>
      <c r="FP12" s="40"/>
      <c r="FQ12" s="40"/>
      <c r="FR12" s="40"/>
      <c r="FS12" s="40"/>
      <c r="FT12" s="40"/>
      <c r="FU12" s="40"/>
      <c r="FV12" s="40"/>
      <c r="FW12" s="40"/>
      <c r="FX12" s="40"/>
      <c r="FY12" s="40"/>
      <c r="FZ12" s="40"/>
      <c r="GA12" s="40"/>
      <c r="GB12" s="40"/>
      <c r="GC12" s="11" t="str">
        <f t="shared" si="50"/>
        <v/>
      </c>
      <c r="GD12" s="11" t="str">
        <f t="shared" si="51"/>
        <v/>
      </c>
      <c r="GE12" s="11" t="str">
        <f t="shared" si="52"/>
        <v/>
      </c>
      <c r="GF12" s="11" t="str">
        <f t="shared" si="53"/>
        <v/>
      </c>
      <c r="GG12" s="11" t="str">
        <f t="shared" si="54"/>
        <v/>
      </c>
      <c r="GH12" s="39"/>
      <c r="GI12" s="39"/>
      <c r="GJ12" s="39"/>
      <c r="GK12" s="39"/>
      <c r="GL12" s="39"/>
      <c r="GM12" s="39"/>
      <c r="GN12" s="39"/>
      <c r="GO12" s="39"/>
      <c r="GP12" s="39"/>
      <c r="GQ12" s="39"/>
      <c r="GR12" s="39"/>
      <c r="GS12" s="39"/>
      <c r="GT12" s="39"/>
      <c r="GU12" s="39"/>
      <c r="GV12" s="39"/>
      <c r="GW12" s="39"/>
      <c r="GX12" s="14" t="str">
        <f t="shared" si="55"/>
        <v/>
      </c>
      <c r="GY12" s="14" t="str">
        <f t="shared" si="56"/>
        <v/>
      </c>
      <c r="GZ12" s="14" t="str">
        <f t="shared" si="57"/>
        <v/>
      </c>
      <c r="HA12" s="14" t="str">
        <f t="shared" si="58"/>
        <v/>
      </c>
      <c r="HB12" s="14" t="str">
        <f t="shared" si="59"/>
        <v/>
      </c>
      <c r="HC12" s="40"/>
      <c r="HD12" s="40"/>
      <c r="HE12" s="40"/>
      <c r="HF12" s="40"/>
      <c r="HG12" s="40"/>
      <c r="HH12" s="40"/>
      <c r="HI12" s="40"/>
      <c r="HJ12" s="40"/>
      <c r="HK12" s="40"/>
      <c r="HL12" s="40"/>
      <c r="HM12" s="40"/>
      <c r="HN12" s="40"/>
      <c r="HO12" s="40"/>
      <c r="HP12" s="40"/>
      <c r="HQ12" s="40"/>
      <c r="HR12" s="40"/>
      <c r="HS12" s="11" t="str">
        <f t="shared" si="60"/>
        <v/>
      </c>
      <c r="HT12" s="11" t="str">
        <f t="shared" si="61"/>
        <v/>
      </c>
      <c r="HU12" s="11" t="str">
        <f t="shared" si="62"/>
        <v/>
      </c>
      <c r="HV12" s="11" t="str">
        <f t="shared" si="63"/>
        <v/>
      </c>
      <c r="HW12" s="11" t="str">
        <f t="shared" si="64"/>
        <v/>
      </c>
      <c r="HX12" s="39"/>
      <c r="HY12" s="39"/>
      <c r="HZ12" s="39"/>
      <c r="IA12" s="39"/>
      <c r="IB12" s="39"/>
      <c r="IC12" s="39"/>
      <c r="ID12" s="39"/>
      <c r="IE12" s="39"/>
      <c r="IF12" s="39"/>
      <c r="IG12" s="39"/>
      <c r="IH12" s="39"/>
      <c r="II12" s="39"/>
      <c r="IJ12" s="39"/>
      <c r="IK12" s="39"/>
      <c r="IL12" s="39"/>
      <c r="IM12" s="39"/>
      <c r="IN12" s="14" t="str">
        <f t="shared" si="65"/>
        <v/>
      </c>
      <c r="IO12" s="14" t="str">
        <f t="shared" si="66"/>
        <v/>
      </c>
      <c r="IP12" s="14" t="str">
        <f t="shared" si="67"/>
        <v/>
      </c>
      <c r="IQ12" s="14" t="str">
        <f t="shared" si="68"/>
        <v/>
      </c>
      <c r="IR12" s="14" t="str">
        <f t="shared" si="69"/>
        <v/>
      </c>
      <c r="IS12" s="40"/>
      <c r="IT12" s="40"/>
      <c r="IU12" s="40"/>
      <c r="IV12" s="40"/>
      <c r="IW12" s="40"/>
      <c r="IX12" s="40"/>
      <c r="IY12" s="40"/>
      <c r="IZ12" s="40"/>
      <c r="JA12" s="40"/>
      <c r="JB12" s="40"/>
      <c r="JC12" s="40"/>
      <c r="JD12" s="40"/>
      <c r="JE12" s="40"/>
      <c r="JF12" s="40"/>
      <c r="JG12" s="40"/>
      <c r="JH12" s="40"/>
      <c r="JI12" s="11" t="str">
        <f t="shared" si="70"/>
        <v/>
      </c>
      <c r="JJ12" s="11" t="str">
        <f t="shared" si="71"/>
        <v/>
      </c>
      <c r="JK12" s="11" t="str">
        <f t="shared" si="72"/>
        <v/>
      </c>
      <c r="JL12" s="11" t="str">
        <f t="shared" si="73"/>
        <v/>
      </c>
      <c r="JM12" s="11" t="str">
        <f t="shared" si="74"/>
        <v/>
      </c>
      <c r="JN12" s="39"/>
      <c r="JO12" s="39"/>
      <c r="JP12" s="39"/>
      <c r="JQ12" s="39"/>
      <c r="JR12" s="39"/>
      <c r="JS12" s="39"/>
      <c r="JT12" s="39"/>
      <c r="JU12" s="39"/>
      <c r="JV12" s="39"/>
      <c r="JW12" s="39"/>
      <c r="JX12" s="39"/>
      <c r="JY12" s="39"/>
      <c r="JZ12" s="39"/>
      <c r="KA12" s="39"/>
      <c r="KB12" s="39"/>
      <c r="KC12" s="39"/>
      <c r="KD12" s="14" t="str">
        <f t="shared" si="75"/>
        <v/>
      </c>
      <c r="KE12" s="14" t="str">
        <f t="shared" si="76"/>
        <v/>
      </c>
      <c r="KF12" s="14" t="str">
        <f t="shared" si="77"/>
        <v/>
      </c>
      <c r="KG12" s="14" t="str">
        <f t="shared" si="78"/>
        <v/>
      </c>
      <c r="KH12" s="14" t="str">
        <f t="shared" si="79"/>
        <v/>
      </c>
      <c r="KI12" s="40"/>
      <c r="KJ12" s="40"/>
      <c r="KK12" s="40"/>
      <c r="KL12" s="40"/>
      <c r="KM12" s="40"/>
      <c r="KN12" s="40"/>
      <c r="KO12" s="40"/>
      <c r="KP12" s="40"/>
      <c r="KQ12" s="40"/>
      <c r="KR12" s="40"/>
      <c r="KS12" s="40"/>
      <c r="KT12" s="40"/>
      <c r="KU12" s="40"/>
      <c r="KV12" s="40"/>
      <c r="KW12" s="40"/>
      <c r="KX12" s="40"/>
      <c r="KY12" s="11" t="str">
        <f t="shared" si="80"/>
        <v/>
      </c>
      <c r="KZ12" s="11" t="str">
        <f t="shared" si="81"/>
        <v/>
      </c>
      <c r="LA12" s="11" t="str">
        <f t="shared" si="82"/>
        <v/>
      </c>
      <c r="LB12" s="11" t="str">
        <f t="shared" si="83"/>
        <v/>
      </c>
      <c r="LC12" s="11" t="str">
        <f t="shared" si="84"/>
        <v/>
      </c>
      <c r="LD12" s="39"/>
      <c r="LE12" s="39"/>
      <c r="LF12" s="39"/>
      <c r="LG12" s="39"/>
      <c r="LH12" s="39"/>
      <c r="LI12" s="39"/>
      <c r="LJ12" s="39"/>
      <c r="LK12" s="39"/>
      <c r="LL12" s="39"/>
      <c r="LM12" s="39"/>
      <c r="LN12" s="39"/>
      <c r="LO12" s="39"/>
      <c r="LP12" s="39"/>
      <c r="LQ12" s="39"/>
      <c r="LR12" s="39"/>
      <c r="LS12" s="39"/>
      <c r="LT12" s="14" t="str">
        <f t="shared" si="85"/>
        <v/>
      </c>
      <c r="LU12" s="14" t="str">
        <f t="shared" si="86"/>
        <v/>
      </c>
      <c r="LV12" s="14" t="str">
        <f t="shared" si="87"/>
        <v/>
      </c>
      <c r="LW12" s="14" t="str">
        <f t="shared" si="88"/>
        <v/>
      </c>
      <c r="LX12" s="14" t="str">
        <f t="shared" si="89"/>
        <v/>
      </c>
      <c r="LY12" s="61">
        <f t="shared" si="90"/>
        <v>27.200000000000003</v>
      </c>
      <c r="LZ12" s="61">
        <f t="shared" si="91"/>
        <v>4.5999999999999996</v>
      </c>
      <c r="MA12" s="61">
        <f t="shared" si="92"/>
        <v>0.75</v>
      </c>
      <c r="MB12" s="61">
        <f t="shared" si="93"/>
        <v>0</v>
      </c>
      <c r="MC12" s="61">
        <f t="shared" si="94"/>
        <v>27.75</v>
      </c>
      <c r="MD12" s="61">
        <f t="shared" si="95"/>
        <v>3.75</v>
      </c>
      <c r="ME12" s="61">
        <f t="shared" si="96"/>
        <v>0.15</v>
      </c>
      <c r="MF12" s="61">
        <f t="shared" si="97"/>
        <v>0</v>
      </c>
      <c r="MG12" s="61">
        <f t="shared" si="98"/>
        <v>23.5</v>
      </c>
      <c r="MH12" s="61">
        <f t="shared" si="99"/>
        <v>3.4</v>
      </c>
      <c r="MI12" s="61">
        <f t="shared" si="100"/>
        <v>0</v>
      </c>
      <c r="MJ12" s="61">
        <f t="shared" si="101"/>
        <v>0</v>
      </c>
      <c r="MK12" s="61">
        <f t="shared" si="102"/>
        <v>23.9</v>
      </c>
      <c r="ML12" s="61">
        <f t="shared" si="103"/>
        <v>2.1</v>
      </c>
      <c r="MM12" s="61">
        <f t="shared" si="104"/>
        <v>2.1</v>
      </c>
      <c r="MN12" s="61">
        <f t="shared" si="105"/>
        <v>0</v>
      </c>
      <c r="MO12" s="72" t="s">
        <v>52</v>
      </c>
      <c r="MP12" s="11">
        <f t="shared" si="106"/>
        <v>8.35</v>
      </c>
      <c r="MQ12" s="11">
        <f t="shared" si="107"/>
        <v>62.400000000000006</v>
      </c>
      <c r="MR12" s="11">
        <f t="shared" si="108"/>
        <v>5.5</v>
      </c>
      <c r="MS12" s="11">
        <f t="shared" si="109"/>
        <v>50.8</v>
      </c>
      <c r="MT12" s="11">
        <f t="shared" si="110"/>
        <v>113.2</v>
      </c>
    </row>
    <row r="13" spans="1:358" x14ac:dyDescent="0.2">
      <c r="A13" s="5" t="str">
        <f t="shared" si="0"/>
        <v/>
      </c>
      <c r="B13" s="8" t="s">
        <v>127</v>
      </c>
      <c r="C13" s="4" t="s">
        <v>5</v>
      </c>
      <c r="D13" s="5">
        <v>2001</v>
      </c>
      <c r="E13" s="15">
        <f t="shared" si="1"/>
        <v>156.60000000000002</v>
      </c>
      <c r="F13" s="3" t="str">
        <f t="shared" si="2"/>
        <v/>
      </c>
      <c r="G13" s="3" t="str">
        <f t="shared" si="3"/>
        <v/>
      </c>
      <c r="H13" s="116" t="str">
        <f t="shared" si="4"/>
        <v/>
      </c>
      <c r="I13" s="3" t="str">
        <f t="shared" si="5"/>
        <v/>
      </c>
      <c r="J13" s="14">
        <f t="shared" si="6"/>
        <v>65.2</v>
      </c>
      <c r="K13" s="14" t="str">
        <f t="shared" si="7"/>
        <v>2021 2nd Virtual Technical Trial</v>
      </c>
      <c r="L13" s="14">
        <f t="shared" si="8"/>
        <v>91.4</v>
      </c>
      <c r="M13" s="14" t="str">
        <f t="shared" si="9"/>
        <v>2021 Elite Canada</v>
      </c>
      <c r="N13" s="14" t="str">
        <f t="shared" si="10"/>
        <v/>
      </c>
      <c r="O13" s="24" t="str">
        <f t="shared" si="11"/>
        <v/>
      </c>
      <c r="P13" s="14" t="str">
        <f t="shared" si="12"/>
        <v/>
      </c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72"/>
      <c r="AH13" s="11" t="str">
        <f t="shared" si="13"/>
        <v/>
      </c>
      <c r="AI13" s="11" t="str">
        <f t="shared" si="14"/>
        <v/>
      </c>
      <c r="AJ13" s="11" t="str">
        <f t="shared" si="15"/>
        <v/>
      </c>
      <c r="AK13" s="11" t="str">
        <f t="shared" si="16"/>
        <v/>
      </c>
      <c r="AL13" s="11" t="str">
        <f t="shared" si="17"/>
        <v/>
      </c>
      <c r="AM13" s="36">
        <v>27.5</v>
      </c>
      <c r="AN13" s="36">
        <v>5.2</v>
      </c>
      <c r="AO13" s="36">
        <v>0.3</v>
      </c>
      <c r="AP13" s="36">
        <v>0</v>
      </c>
      <c r="AQ13" s="36">
        <v>27.6</v>
      </c>
      <c r="AR13" s="36">
        <v>5.2</v>
      </c>
      <c r="AS13" s="36">
        <v>0</v>
      </c>
      <c r="AT13" s="36">
        <v>0</v>
      </c>
      <c r="AU13" s="36">
        <v>28.8</v>
      </c>
      <c r="AV13" s="36">
        <v>3.4</v>
      </c>
      <c r="AW13" s="36">
        <v>0</v>
      </c>
      <c r="AX13" s="36">
        <v>0</v>
      </c>
      <c r="AY13" s="36">
        <v>27.5</v>
      </c>
      <c r="AZ13" s="36">
        <v>3.6</v>
      </c>
      <c r="BA13" s="36">
        <v>3</v>
      </c>
      <c r="BB13" s="36">
        <v>0</v>
      </c>
      <c r="BC13" s="73"/>
      <c r="BD13" s="14">
        <f t="shared" si="18"/>
        <v>10.4</v>
      </c>
      <c r="BE13" s="14">
        <f t="shared" si="19"/>
        <v>65.2</v>
      </c>
      <c r="BF13" s="14">
        <f t="shared" si="20"/>
        <v>7</v>
      </c>
      <c r="BG13" s="14">
        <f t="shared" si="21"/>
        <v>60.300000000000004</v>
      </c>
      <c r="BH13" s="14">
        <f t="shared" si="22"/>
        <v>125.5</v>
      </c>
      <c r="BI13" s="61">
        <v>25</v>
      </c>
      <c r="BJ13" s="61">
        <v>5.2</v>
      </c>
      <c r="BK13" s="61">
        <v>1.2</v>
      </c>
      <c r="BL13" s="61">
        <v>0</v>
      </c>
      <c r="BM13" s="61">
        <v>26.7</v>
      </c>
      <c r="BN13" s="61">
        <v>5.2</v>
      </c>
      <c r="BO13" s="61">
        <v>0.3</v>
      </c>
      <c r="BP13" s="61">
        <v>0</v>
      </c>
      <c r="BQ13" s="61">
        <v>27.8</v>
      </c>
      <c r="BR13" s="61">
        <v>3.9</v>
      </c>
      <c r="BS13" s="61">
        <v>0.9</v>
      </c>
      <c r="BT13" s="61">
        <v>0</v>
      </c>
      <c r="BU13" s="61">
        <v>0</v>
      </c>
      <c r="BV13" s="61">
        <v>0</v>
      </c>
      <c r="BW13" s="61">
        <v>0</v>
      </c>
      <c r="BX13" s="61">
        <v>0</v>
      </c>
      <c r="BY13" s="72"/>
      <c r="BZ13" s="11">
        <f t="shared" si="23"/>
        <v>10.4</v>
      </c>
      <c r="CA13" s="11">
        <f t="shared" si="24"/>
        <v>60.6</v>
      </c>
      <c r="CB13" s="11">
        <f t="shared" si="25"/>
        <v>3.9</v>
      </c>
      <c r="CC13" s="11">
        <f t="shared" si="26"/>
        <v>30.8</v>
      </c>
      <c r="CD13" s="11">
        <f t="shared" si="27"/>
        <v>91.4</v>
      </c>
      <c r="CE13" s="23" t="str">
        <f t="shared" si="28"/>
        <v/>
      </c>
      <c r="CF13" s="23" t="str">
        <f t="shared" si="29"/>
        <v/>
      </c>
      <c r="CG13" s="40"/>
      <c r="CH13" s="40"/>
      <c r="CI13" s="40"/>
      <c r="CJ13" s="40"/>
      <c r="CK13" s="40"/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40"/>
      <c r="CW13" s="11" t="str">
        <f t="shared" si="30"/>
        <v/>
      </c>
      <c r="CX13" s="11" t="str">
        <f t="shared" si="31"/>
        <v/>
      </c>
      <c r="CY13" s="11" t="str">
        <f t="shared" si="32"/>
        <v/>
      </c>
      <c r="CZ13" s="11" t="str">
        <f t="shared" si="33"/>
        <v/>
      </c>
      <c r="DA13" s="11" t="str">
        <f t="shared" si="34"/>
        <v/>
      </c>
      <c r="DB13" s="39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14" t="str">
        <f t="shared" si="35"/>
        <v/>
      </c>
      <c r="DS13" s="14" t="str">
        <f t="shared" si="36"/>
        <v/>
      </c>
      <c r="DT13" s="14" t="str">
        <f t="shared" si="37"/>
        <v/>
      </c>
      <c r="DU13" s="14" t="str">
        <f t="shared" si="38"/>
        <v/>
      </c>
      <c r="DV13" s="14" t="str">
        <f t="shared" si="39"/>
        <v/>
      </c>
      <c r="DW13" s="40"/>
      <c r="DX13" s="40"/>
      <c r="DY13" s="40"/>
      <c r="DZ13" s="40"/>
      <c r="EA13" s="40"/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40"/>
      <c r="EM13" s="11" t="str">
        <f t="shared" si="40"/>
        <v/>
      </c>
      <c r="EN13" s="11" t="str">
        <f t="shared" si="41"/>
        <v/>
      </c>
      <c r="EO13" s="11" t="str">
        <f t="shared" si="42"/>
        <v/>
      </c>
      <c r="EP13" s="11" t="str">
        <f t="shared" si="43"/>
        <v/>
      </c>
      <c r="EQ13" s="11" t="str">
        <f t="shared" si="44"/>
        <v/>
      </c>
      <c r="ER13" s="39"/>
      <c r="ES13" s="39"/>
      <c r="ET13" s="39"/>
      <c r="EU13" s="39"/>
      <c r="EV13" s="39"/>
      <c r="EW13" s="39"/>
      <c r="EX13" s="39"/>
      <c r="EY13" s="39"/>
      <c r="EZ13" s="39"/>
      <c r="FA13" s="39"/>
      <c r="FB13" s="39"/>
      <c r="FC13" s="39"/>
      <c r="FD13" s="39"/>
      <c r="FE13" s="39"/>
      <c r="FF13" s="39"/>
      <c r="FG13" s="39"/>
      <c r="FH13" s="14" t="str">
        <f t="shared" si="45"/>
        <v/>
      </c>
      <c r="FI13" s="14" t="str">
        <f t="shared" si="46"/>
        <v/>
      </c>
      <c r="FJ13" s="14" t="str">
        <f t="shared" si="47"/>
        <v/>
      </c>
      <c r="FK13" s="14" t="str">
        <f t="shared" si="48"/>
        <v/>
      </c>
      <c r="FL13" s="14" t="str">
        <f t="shared" si="49"/>
        <v/>
      </c>
      <c r="FM13" s="40"/>
      <c r="FN13" s="40"/>
      <c r="FO13" s="40"/>
      <c r="FP13" s="40"/>
      <c r="FQ13" s="40"/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40"/>
      <c r="GC13" s="11" t="str">
        <f t="shared" si="50"/>
        <v/>
      </c>
      <c r="GD13" s="11" t="str">
        <f t="shared" si="51"/>
        <v/>
      </c>
      <c r="GE13" s="11" t="str">
        <f t="shared" si="52"/>
        <v/>
      </c>
      <c r="GF13" s="11" t="str">
        <f t="shared" si="53"/>
        <v/>
      </c>
      <c r="GG13" s="11" t="str">
        <f t="shared" si="54"/>
        <v/>
      </c>
      <c r="GH13" s="39"/>
      <c r="GI13" s="39"/>
      <c r="GJ13" s="39"/>
      <c r="GK13" s="39"/>
      <c r="GL13" s="39"/>
      <c r="GM13" s="39"/>
      <c r="GN13" s="39"/>
      <c r="GO13" s="39"/>
      <c r="GP13" s="39"/>
      <c r="GQ13" s="39"/>
      <c r="GR13" s="39"/>
      <c r="GS13" s="39"/>
      <c r="GT13" s="39"/>
      <c r="GU13" s="39"/>
      <c r="GV13" s="39"/>
      <c r="GW13" s="39"/>
      <c r="GX13" s="14" t="str">
        <f t="shared" si="55"/>
        <v/>
      </c>
      <c r="GY13" s="14" t="str">
        <f t="shared" si="56"/>
        <v/>
      </c>
      <c r="GZ13" s="14" t="str">
        <f t="shared" si="57"/>
        <v/>
      </c>
      <c r="HA13" s="14" t="str">
        <f t="shared" si="58"/>
        <v/>
      </c>
      <c r="HB13" s="14" t="str">
        <f t="shared" si="59"/>
        <v/>
      </c>
      <c r="HC13" s="40"/>
      <c r="HD13" s="40"/>
      <c r="HE13" s="40"/>
      <c r="HF13" s="40"/>
      <c r="HG13" s="40"/>
      <c r="HH13" s="40"/>
      <c r="HI13" s="40"/>
      <c r="HJ13" s="40"/>
      <c r="HK13" s="40"/>
      <c r="HL13" s="40"/>
      <c r="HM13" s="40"/>
      <c r="HN13" s="40"/>
      <c r="HO13" s="40"/>
      <c r="HP13" s="40"/>
      <c r="HQ13" s="40"/>
      <c r="HR13" s="40"/>
      <c r="HS13" s="11" t="str">
        <f t="shared" si="60"/>
        <v/>
      </c>
      <c r="HT13" s="11" t="str">
        <f t="shared" si="61"/>
        <v/>
      </c>
      <c r="HU13" s="11" t="str">
        <f t="shared" si="62"/>
        <v/>
      </c>
      <c r="HV13" s="11" t="str">
        <f t="shared" si="63"/>
        <v/>
      </c>
      <c r="HW13" s="11" t="str">
        <f t="shared" si="64"/>
        <v/>
      </c>
      <c r="HX13" s="39"/>
      <c r="HY13" s="39"/>
      <c r="HZ13" s="39"/>
      <c r="IA13" s="39"/>
      <c r="IB13" s="39"/>
      <c r="IC13" s="39"/>
      <c r="ID13" s="39"/>
      <c r="IE13" s="39"/>
      <c r="IF13" s="39"/>
      <c r="IG13" s="39"/>
      <c r="IH13" s="39"/>
      <c r="II13" s="39"/>
      <c r="IJ13" s="39"/>
      <c r="IK13" s="39"/>
      <c r="IL13" s="39"/>
      <c r="IM13" s="39"/>
      <c r="IN13" s="14" t="str">
        <f t="shared" si="65"/>
        <v/>
      </c>
      <c r="IO13" s="14" t="str">
        <f t="shared" si="66"/>
        <v/>
      </c>
      <c r="IP13" s="14" t="str">
        <f t="shared" si="67"/>
        <v/>
      </c>
      <c r="IQ13" s="14" t="str">
        <f t="shared" si="68"/>
        <v/>
      </c>
      <c r="IR13" s="14" t="str">
        <f t="shared" si="69"/>
        <v/>
      </c>
      <c r="IS13" s="40"/>
      <c r="IT13" s="40"/>
      <c r="IU13" s="40"/>
      <c r="IV13" s="40"/>
      <c r="IW13" s="40"/>
      <c r="IX13" s="40"/>
      <c r="IY13" s="40"/>
      <c r="IZ13" s="40"/>
      <c r="JA13" s="40"/>
      <c r="JB13" s="40"/>
      <c r="JC13" s="40"/>
      <c r="JD13" s="40"/>
      <c r="JE13" s="40"/>
      <c r="JF13" s="40"/>
      <c r="JG13" s="40"/>
      <c r="JH13" s="40"/>
      <c r="JI13" s="11" t="str">
        <f t="shared" si="70"/>
        <v/>
      </c>
      <c r="JJ13" s="11" t="str">
        <f t="shared" si="71"/>
        <v/>
      </c>
      <c r="JK13" s="11" t="str">
        <f t="shared" si="72"/>
        <v/>
      </c>
      <c r="JL13" s="11" t="str">
        <f t="shared" si="73"/>
        <v/>
      </c>
      <c r="JM13" s="11" t="str">
        <f t="shared" si="74"/>
        <v/>
      </c>
      <c r="JN13" s="39"/>
      <c r="JO13" s="39"/>
      <c r="JP13" s="39"/>
      <c r="JQ13" s="39"/>
      <c r="JR13" s="39"/>
      <c r="JS13" s="39"/>
      <c r="JT13" s="39"/>
      <c r="JU13" s="39"/>
      <c r="JV13" s="39"/>
      <c r="JW13" s="39"/>
      <c r="JX13" s="39"/>
      <c r="JY13" s="39"/>
      <c r="JZ13" s="39"/>
      <c r="KA13" s="39"/>
      <c r="KB13" s="39"/>
      <c r="KC13" s="39"/>
      <c r="KD13" s="14" t="str">
        <f t="shared" si="75"/>
        <v/>
      </c>
      <c r="KE13" s="14" t="str">
        <f t="shared" si="76"/>
        <v/>
      </c>
      <c r="KF13" s="14" t="str">
        <f t="shared" si="77"/>
        <v/>
      </c>
      <c r="KG13" s="14" t="str">
        <f t="shared" si="78"/>
        <v/>
      </c>
      <c r="KH13" s="14" t="str">
        <f t="shared" si="79"/>
        <v/>
      </c>
      <c r="KI13" s="40"/>
      <c r="KJ13" s="40"/>
      <c r="KK13" s="40"/>
      <c r="KL13" s="40"/>
      <c r="KM13" s="40"/>
      <c r="KN13" s="40"/>
      <c r="KO13" s="40"/>
      <c r="KP13" s="40"/>
      <c r="KQ13" s="40"/>
      <c r="KR13" s="40"/>
      <c r="KS13" s="40"/>
      <c r="KT13" s="40"/>
      <c r="KU13" s="40"/>
      <c r="KV13" s="40"/>
      <c r="KW13" s="40"/>
      <c r="KX13" s="40"/>
      <c r="KY13" s="11" t="str">
        <f t="shared" si="80"/>
        <v/>
      </c>
      <c r="KZ13" s="11" t="str">
        <f t="shared" si="81"/>
        <v/>
      </c>
      <c r="LA13" s="11" t="str">
        <f t="shared" si="82"/>
        <v/>
      </c>
      <c r="LB13" s="11" t="str">
        <f t="shared" si="83"/>
        <v/>
      </c>
      <c r="LC13" s="11" t="str">
        <f t="shared" si="84"/>
        <v/>
      </c>
      <c r="LD13" s="39"/>
      <c r="LE13" s="39"/>
      <c r="LF13" s="39"/>
      <c r="LG13" s="39"/>
      <c r="LH13" s="39"/>
      <c r="LI13" s="39"/>
      <c r="LJ13" s="39"/>
      <c r="LK13" s="39"/>
      <c r="LL13" s="39"/>
      <c r="LM13" s="39"/>
      <c r="LN13" s="39"/>
      <c r="LO13" s="39"/>
      <c r="LP13" s="39"/>
      <c r="LQ13" s="39"/>
      <c r="LR13" s="39"/>
      <c r="LS13" s="39"/>
      <c r="LT13" s="14" t="str">
        <f t="shared" si="85"/>
        <v/>
      </c>
      <c r="LU13" s="14" t="str">
        <f t="shared" si="86"/>
        <v/>
      </c>
      <c r="LV13" s="14" t="str">
        <f t="shared" si="87"/>
        <v/>
      </c>
      <c r="LW13" s="14" t="str">
        <f t="shared" si="88"/>
        <v/>
      </c>
      <c r="LX13" s="14" t="str">
        <f t="shared" si="89"/>
        <v/>
      </c>
      <c r="LY13" s="61">
        <f t="shared" si="90"/>
        <v>26.25</v>
      </c>
      <c r="LZ13" s="61">
        <f t="shared" si="91"/>
        <v>5.2</v>
      </c>
      <c r="MA13" s="61">
        <f t="shared" si="92"/>
        <v>0.75</v>
      </c>
      <c r="MB13" s="61">
        <f t="shared" si="93"/>
        <v>0</v>
      </c>
      <c r="MC13" s="61">
        <f t="shared" si="94"/>
        <v>27.15</v>
      </c>
      <c r="MD13" s="61">
        <f t="shared" si="95"/>
        <v>5.2</v>
      </c>
      <c r="ME13" s="61">
        <f t="shared" si="96"/>
        <v>0.15</v>
      </c>
      <c r="MF13" s="61">
        <f t="shared" si="97"/>
        <v>0</v>
      </c>
      <c r="MG13" s="61">
        <f t="shared" si="98"/>
        <v>28.3</v>
      </c>
      <c r="MH13" s="61">
        <f t="shared" si="99"/>
        <v>3.65</v>
      </c>
      <c r="MI13" s="61">
        <f t="shared" si="100"/>
        <v>0.45</v>
      </c>
      <c r="MJ13" s="61">
        <f t="shared" si="101"/>
        <v>0</v>
      </c>
      <c r="MK13" s="61">
        <f t="shared" si="102"/>
        <v>13.75</v>
      </c>
      <c r="ML13" s="61">
        <f t="shared" si="103"/>
        <v>1.8</v>
      </c>
      <c r="MM13" s="61">
        <f t="shared" si="104"/>
        <v>1.5</v>
      </c>
      <c r="MN13" s="61">
        <f t="shared" si="105"/>
        <v>0</v>
      </c>
      <c r="MO13" s="72" t="s">
        <v>52</v>
      </c>
      <c r="MP13" s="11">
        <f t="shared" si="106"/>
        <v>10.4</v>
      </c>
      <c r="MQ13" s="11">
        <f t="shared" si="107"/>
        <v>62.9</v>
      </c>
      <c r="MR13" s="11">
        <f t="shared" si="108"/>
        <v>5.45</v>
      </c>
      <c r="MS13" s="11">
        <f t="shared" si="109"/>
        <v>45.55</v>
      </c>
      <c r="MT13" s="11">
        <f t="shared" si="110"/>
        <v>108.44999999999999</v>
      </c>
    </row>
    <row r="14" spans="1:358" x14ac:dyDescent="0.2">
      <c r="A14" s="5" t="str">
        <f t="shared" si="0"/>
        <v/>
      </c>
      <c r="B14" s="8" t="s">
        <v>128</v>
      </c>
      <c r="C14" s="4" t="s">
        <v>5</v>
      </c>
      <c r="D14" s="5">
        <v>2003</v>
      </c>
      <c r="E14" s="15">
        <f t="shared" si="1"/>
        <v>150.1</v>
      </c>
      <c r="F14" s="3" t="str">
        <f t="shared" si="2"/>
        <v/>
      </c>
      <c r="G14" s="3" t="str">
        <f t="shared" si="3"/>
        <v/>
      </c>
      <c r="H14" s="116" t="str">
        <f t="shared" si="4"/>
        <v/>
      </c>
      <c r="I14" s="3" t="str">
        <f t="shared" si="5"/>
        <v/>
      </c>
      <c r="J14" s="14">
        <f t="shared" si="6"/>
        <v>62.699999999999996</v>
      </c>
      <c r="K14" s="14" t="str">
        <f t="shared" si="7"/>
        <v>2021 2nd Virtual Technical Trial</v>
      </c>
      <c r="L14" s="14">
        <f t="shared" si="8"/>
        <v>87.4</v>
      </c>
      <c r="M14" s="14" t="str">
        <f t="shared" si="9"/>
        <v>2021 Elite Canada</v>
      </c>
      <c r="N14" s="14" t="str">
        <f t="shared" si="10"/>
        <v/>
      </c>
      <c r="O14" s="24" t="str">
        <f t="shared" si="11"/>
        <v/>
      </c>
      <c r="P14" s="14" t="str">
        <f t="shared" si="12"/>
        <v/>
      </c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72"/>
      <c r="AH14" s="11" t="str">
        <f t="shared" si="13"/>
        <v/>
      </c>
      <c r="AI14" s="11" t="str">
        <f t="shared" si="14"/>
        <v/>
      </c>
      <c r="AJ14" s="11" t="str">
        <f t="shared" si="15"/>
        <v/>
      </c>
      <c r="AK14" s="11" t="str">
        <f t="shared" si="16"/>
        <v/>
      </c>
      <c r="AL14" s="11" t="str">
        <f t="shared" si="17"/>
        <v/>
      </c>
      <c r="AM14" s="36">
        <v>27.5</v>
      </c>
      <c r="AN14" s="36">
        <v>4.4000000000000004</v>
      </c>
      <c r="AO14" s="36">
        <v>0</v>
      </c>
      <c r="AP14" s="36">
        <v>0</v>
      </c>
      <c r="AQ14" s="36">
        <v>27.7</v>
      </c>
      <c r="AR14" s="36">
        <v>3.1</v>
      </c>
      <c r="AS14" s="36">
        <v>0</v>
      </c>
      <c r="AT14" s="36">
        <v>0</v>
      </c>
      <c r="AU14" s="36">
        <v>27.9</v>
      </c>
      <c r="AV14" s="36">
        <v>2.7</v>
      </c>
      <c r="AW14" s="36">
        <v>0.3</v>
      </c>
      <c r="AX14" s="36">
        <v>0</v>
      </c>
      <c r="AY14" s="36">
        <v>27.8</v>
      </c>
      <c r="AZ14" s="36">
        <v>3.4</v>
      </c>
      <c r="BA14" s="36">
        <v>0</v>
      </c>
      <c r="BB14" s="36">
        <v>0</v>
      </c>
      <c r="BC14" s="73"/>
      <c r="BD14" s="14">
        <f t="shared" si="18"/>
        <v>7.5</v>
      </c>
      <c r="BE14" s="14">
        <f t="shared" si="19"/>
        <v>62.699999999999996</v>
      </c>
      <c r="BF14" s="14">
        <f t="shared" si="20"/>
        <v>6.1</v>
      </c>
      <c r="BG14" s="14">
        <f t="shared" si="21"/>
        <v>61.5</v>
      </c>
      <c r="BH14" s="14">
        <f t="shared" si="22"/>
        <v>124.19999999999999</v>
      </c>
      <c r="BI14" s="61">
        <v>27.4</v>
      </c>
      <c r="BJ14" s="61">
        <v>3.3</v>
      </c>
      <c r="BK14" s="61">
        <v>0</v>
      </c>
      <c r="BL14" s="61">
        <v>0</v>
      </c>
      <c r="BM14" s="61">
        <v>25</v>
      </c>
      <c r="BN14" s="61">
        <v>3.1</v>
      </c>
      <c r="BO14" s="61">
        <v>0.3</v>
      </c>
      <c r="BP14" s="61">
        <v>0</v>
      </c>
      <c r="BQ14" s="61">
        <v>26.5</v>
      </c>
      <c r="BR14" s="61">
        <v>2.7</v>
      </c>
      <c r="BS14" s="61">
        <v>0.3</v>
      </c>
      <c r="BT14" s="61">
        <v>0</v>
      </c>
      <c r="BU14" s="61">
        <v>0</v>
      </c>
      <c r="BV14" s="61">
        <v>0</v>
      </c>
      <c r="BW14" s="61">
        <v>0</v>
      </c>
      <c r="BX14" s="61">
        <v>0</v>
      </c>
      <c r="BY14" s="72"/>
      <c r="BZ14" s="11">
        <f t="shared" si="23"/>
        <v>6.4</v>
      </c>
      <c r="CA14" s="11">
        <f t="shared" si="24"/>
        <v>58.500000000000007</v>
      </c>
      <c r="CB14" s="11">
        <f t="shared" si="25"/>
        <v>2.7</v>
      </c>
      <c r="CC14" s="11">
        <f t="shared" si="26"/>
        <v>28.9</v>
      </c>
      <c r="CD14" s="11">
        <f t="shared" si="27"/>
        <v>87.4</v>
      </c>
      <c r="CE14" s="23" t="str">
        <f t="shared" si="28"/>
        <v/>
      </c>
      <c r="CF14" s="23" t="str">
        <f t="shared" si="29"/>
        <v/>
      </c>
      <c r="CG14" s="40"/>
      <c r="CH14" s="40"/>
      <c r="CI14" s="40"/>
      <c r="CJ14" s="40"/>
      <c r="CK14" s="40"/>
      <c r="CL14" s="40"/>
      <c r="CM14" s="40"/>
      <c r="CN14" s="40"/>
      <c r="CO14" s="40"/>
      <c r="CP14" s="40"/>
      <c r="CQ14" s="40"/>
      <c r="CR14" s="40"/>
      <c r="CS14" s="40"/>
      <c r="CT14" s="40"/>
      <c r="CU14" s="40"/>
      <c r="CV14" s="40"/>
      <c r="CW14" s="11" t="str">
        <f t="shared" si="30"/>
        <v/>
      </c>
      <c r="CX14" s="11" t="str">
        <f t="shared" si="31"/>
        <v/>
      </c>
      <c r="CY14" s="11" t="str">
        <f t="shared" si="32"/>
        <v/>
      </c>
      <c r="CZ14" s="11" t="str">
        <f t="shared" si="33"/>
        <v/>
      </c>
      <c r="DA14" s="11" t="str">
        <f t="shared" si="34"/>
        <v/>
      </c>
      <c r="DB14" s="39"/>
      <c r="DC14" s="39"/>
      <c r="DD14" s="39"/>
      <c r="DE14" s="39"/>
      <c r="DF14" s="39"/>
      <c r="DG14" s="39"/>
      <c r="DH14" s="39"/>
      <c r="DI14" s="39"/>
      <c r="DJ14" s="39"/>
      <c r="DK14" s="39"/>
      <c r="DL14" s="39"/>
      <c r="DM14" s="39"/>
      <c r="DN14" s="39"/>
      <c r="DO14" s="39"/>
      <c r="DP14" s="39"/>
      <c r="DQ14" s="39"/>
      <c r="DR14" s="14" t="str">
        <f t="shared" si="35"/>
        <v/>
      </c>
      <c r="DS14" s="14" t="str">
        <f t="shared" si="36"/>
        <v/>
      </c>
      <c r="DT14" s="14" t="str">
        <f t="shared" si="37"/>
        <v/>
      </c>
      <c r="DU14" s="14" t="str">
        <f t="shared" si="38"/>
        <v/>
      </c>
      <c r="DV14" s="14" t="str">
        <f t="shared" si="39"/>
        <v/>
      </c>
      <c r="DW14" s="40"/>
      <c r="DX14" s="40"/>
      <c r="DY14" s="40"/>
      <c r="DZ14" s="40"/>
      <c r="EA14" s="40"/>
      <c r="EB14" s="40"/>
      <c r="EC14" s="40"/>
      <c r="ED14" s="40"/>
      <c r="EE14" s="40"/>
      <c r="EF14" s="40"/>
      <c r="EG14" s="40"/>
      <c r="EH14" s="40"/>
      <c r="EI14" s="40"/>
      <c r="EJ14" s="40"/>
      <c r="EK14" s="40"/>
      <c r="EL14" s="40"/>
      <c r="EM14" s="11" t="str">
        <f t="shared" si="40"/>
        <v/>
      </c>
      <c r="EN14" s="11" t="str">
        <f t="shared" si="41"/>
        <v/>
      </c>
      <c r="EO14" s="11" t="str">
        <f t="shared" si="42"/>
        <v/>
      </c>
      <c r="EP14" s="11" t="str">
        <f t="shared" si="43"/>
        <v/>
      </c>
      <c r="EQ14" s="11" t="str">
        <f t="shared" si="44"/>
        <v/>
      </c>
      <c r="ER14" s="39"/>
      <c r="ES14" s="39"/>
      <c r="ET14" s="39"/>
      <c r="EU14" s="39"/>
      <c r="EV14" s="39"/>
      <c r="EW14" s="39"/>
      <c r="EX14" s="39"/>
      <c r="EY14" s="39"/>
      <c r="EZ14" s="39"/>
      <c r="FA14" s="39"/>
      <c r="FB14" s="39"/>
      <c r="FC14" s="39"/>
      <c r="FD14" s="39"/>
      <c r="FE14" s="39"/>
      <c r="FF14" s="39"/>
      <c r="FG14" s="39"/>
      <c r="FH14" s="14" t="str">
        <f t="shared" si="45"/>
        <v/>
      </c>
      <c r="FI14" s="14" t="str">
        <f t="shared" si="46"/>
        <v/>
      </c>
      <c r="FJ14" s="14" t="str">
        <f t="shared" si="47"/>
        <v/>
      </c>
      <c r="FK14" s="14" t="str">
        <f t="shared" si="48"/>
        <v/>
      </c>
      <c r="FL14" s="14" t="str">
        <f t="shared" si="49"/>
        <v/>
      </c>
      <c r="FM14" s="40"/>
      <c r="FN14" s="40"/>
      <c r="FO14" s="40"/>
      <c r="FP14" s="40"/>
      <c r="FQ14" s="40"/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40"/>
      <c r="GC14" s="11" t="str">
        <f t="shared" si="50"/>
        <v/>
      </c>
      <c r="GD14" s="11" t="str">
        <f t="shared" si="51"/>
        <v/>
      </c>
      <c r="GE14" s="11" t="str">
        <f t="shared" si="52"/>
        <v/>
      </c>
      <c r="GF14" s="11" t="str">
        <f t="shared" si="53"/>
        <v/>
      </c>
      <c r="GG14" s="11" t="str">
        <f t="shared" si="54"/>
        <v/>
      </c>
      <c r="GH14" s="39"/>
      <c r="GI14" s="39"/>
      <c r="GJ14" s="39"/>
      <c r="GK14" s="39"/>
      <c r="GL14" s="39"/>
      <c r="GM14" s="39"/>
      <c r="GN14" s="39"/>
      <c r="GO14" s="39"/>
      <c r="GP14" s="39"/>
      <c r="GQ14" s="39"/>
      <c r="GR14" s="39"/>
      <c r="GS14" s="39"/>
      <c r="GT14" s="39"/>
      <c r="GU14" s="39"/>
      <c r="GV14" s="39"/>
      <c r="GW14" s="39"/>
      <c r="GX14" s="14" t="str">
        <f t="shared" si="55"/>
        <v/>
      </c>
      <c r="GY14" s="14" t="str">
        <f t="shared" si="56"/>
        <v/>
      </c>
      <c r="GZ14" s="14" t="str">
        <f t="shared" si="57"/>
        <v/>
      </c>
      <c r="HA14" s="14" t="str">
        <f t="shared" si="58"/>
        <v/>
      </c>
      <c r="HB14" s="14" t="str">
        <f t="shared" si="59"/>
        <v/>
      </c>
      <c r="HC14" s="40"/>
      <c r="HD14" s="40"/>
      <c r="HE14" s="40"/>
      <c r="HF14" s="40"/>
      <c r="HG14" s="40"/>
      <c r="HH14" s="40"/>
      <c r="HI14" s="40"/>
      <c r="HJ14" s="40"/>
      <c r="HK14" s="40"/>
      <c r="HL14" s="40"/>
      <c r="HM14" s="40"/>
      <c r="HN14" s="40"/>
      <c r="HO14" s="40"/>
      <c r="HP14" s="40"/>
      <c r="HQ14" s="40"/>
      <c r="HR14" s="40"/>
      <c r="HS14" s="11" t="str">
        <f t="shared" si="60"/>
        <v/>
      </c>
      <c r="HT14" s="11" t="str">
        <f t="shared" si="61"/>
        <v/>
      </c>
      <c r="HU14" s="11" t="str">
        <f t="shared" si="62"/>
        <v/>
      </c>
      <c r="HV14" s="11" t="str">
        <f t="shared" si="63"/>
        <v/>
      </c>
      <c r="HW14" s="11" t="str">
        <f t="shared" si="64"/>
        <v/>
      </c>
      <c r="HX14" s="39"/>
      <c r="HY14" s="39"/>
      <c r="HZ14" s="39"/>
      <c r="IA14" s="39"/>
      <c r="IB14" s="39"/>
      <c r="IC14" s="39"/>
      <c r="ID14" s="39"/>
      <c r="IE14" s="39"/>
      <c r="IF14" s="39"/>
      <c r="IG14" s="39"/>
      <c r="IH14" s="39"/>
      <c r="II14" s="39"/>
      <c r="IJ14" s="39"/>
      <c r="IK14" s="39"/>
      <c r="IL14" s="39"/>
      <c r="IM14" s="39"/>
      <c r="IN14" s="14" t="str">
        <f t="shared" si="65"/>
        <v/>
      </c>
      <c r="IO14" s="14" t="str">
        <f t="shared" si="66"/>
        <v/>
      </c>
      <c r="IP14" s="14" t="str">
        <f t="shared" si="67"/>
        <v/>
      </c>
      <c r="IQ14" s="14" t="str">
        <f t="shared" si="68"/>
        <v/>
      </c>
      <c r="IR14" s="14" t="str">
        <f t="shared" si="69"/>
        <v/>
      </c>
      <c r="IS14" s="40"/>
      <c r="IT14" s="40"/>
      <c r="IU14" s="40"/>
      <c r="IV14" s="40"/>
      <c r="IW14" s="40"/>
      <c r="IX14" s="40"/>
      <c r="IY14" s="40"/>
      <c r="IZ14" s="40"/>
      <c r="JA14" s="40"/>
      <c r="JB14" s="40"/>
      <c r="JC14" s="40"/>
      <c r="JD14" s="40"/>
      <c r="JE14" s="40"/>
      <c r="JF14" s="40"/>
      <c r="JG14" s="40"/>
      <c r="JH14" s="40"/>
      <c r="JI14" s="11" t="str">
        <f t="shared" si="70"/>
        <v/>
      </c>
      <c r="JJ14" s="11" t="str">
        <f t="shared" si="71"/>
        <v/>
      </c>
      <c r="JK14" s="11" t="str">
        <f t="shared" si="72"/>
        <v/>
      </c>
      <c r="JL14" s="11" t="str">
        <f t="shared" si="73"/>
        <v/>
      </c>
      <c r="JM14" s="11" t="str">
        <f t="shared" si="74"/>
        <v/>
      </c>
      <c r="JN14" s="39"/>
      <c r="JO14" s="39"/>
      <c r="JP14" s="39"/>
      <c r="JQ14" s="39"/>
      <c r="JR14" s="39"/>
      <c r="JS14" s="39"/>
      <c r="JT14" s="39"/>
      <c r="JU14" s="39"/>
      <c r="JV14" s="39"/>
      <c r="JW14" s="39"/>
      <c r="JX14" s="39"/>
      <c r="JY14" s="39"/>
      <c r="JZ14" s="39"/>
      <c r="KA14" s="39"/>
      <c r="KB14" s="39"/>
      <c r="KC14" s="39"/>
      <c r="KD14" s="14" t="str">
        <f t="shared" si="75"/>
        <v/>
      </c>
      <c r="KE14" s="14" t="str">
        <f t="shared" si="76"/>
        <v/>
      </c>
      <c r="KF14" s="14" t="str">
        <f t="shared" si="77"/>
        <v/>
      </c>
      <c r="KG14" s="14" t="str">
        <f t="shared" si="78"/>
        <v/>
      </c>
      <c r="KH14" s="14" t="str">
        <f t="shared" si="79"/>
        <v/>
      </c>
      <c r="KI14" s="40"/>
      <c r="KJ14" s="40"/>
      <c r="KK14" s="40"/>
      <c r="KL14" s="40"/>
      <c r="KM14" s="40"/>
      <c r="KN14" s="40"/>
      <c r="KO14" s="40"/>
      <c r="KP14" s="40"/>
      <c r="KQ14" s="40"/>
      <c r="KR14" s="40"/>
      <c r="KS14" s="40"/>
      <c r="KT14" s="40"/>
      <c r="KU14" s="40"/>
      <c r="KV14" s="40"/>
      <c r="KW14" s="40"/>
      <c r="KX14" s="40"/>
      <c r="KY14" s="11" t="str">
        <f t="shared" si="80"/>
        <v/>
      </c>
      <c r="KZ14" s="11" t="str">
        <f t="shared" si="81"/>
        <v/>
      </c>
      <c r="LA14" s="11" t="str">
        <f t="shared" si="82"/>
        <v/>
      </c>
      <c r="LB14" s="11" t="str">
        <f t="shared" si="83"/>
        <v/>
      </c>
      <c r="LC14" s="11" t="str">
        <f t="shared" si="84"/>
        <v/>
      </c>
      <c r="LD14" s="39"/>
      <c r="LE14" s="39"/>
      <c r="LF14" s="39"/>
      <c r="LG14" s="39"/>
      <c r="LH14" s="39"/>
      <c r="LI14" s="39"/>
      <c r="LJ14" s="39"/>
      <c r="LK14" s="39"/>
      <c r="LL14" s="39"/>
      <c r="LM14" s="39"/>
      <c r="LN14" s="39"/>
      <c r="LO14" s="39"/>
      <c r="LP14" s="39"/>
      <c r="LQ14" s="39"/>
      <c r="LR14" s="39"/>
      <c r="LS14" s="39"/>
      <c r="LT14" s="14" t="str">
        <f t="shared" si="85"/>
        <v/>
      </c>
      <c r="LU14" s="14" t="str">
        <f t="shared" si="86"/>
        <v/>
      </c>
      <c r="LV14" s="14" t="str">
        <f t="shared" si="87"/>
        <v/>
      </c>
      <c r="LW14" s="14" t="str">
        <f t="shared" si="88"/>
        <v/>
      </c>
      <c r="LX14" s="14" t="str">
        <f t="shared" si="89"/>
        <v/>
      </c>
      <c r="LY14" s="61">
        <f t="shared" si="90"/>
        <v>27.45</v>
      </c>
      <c r="LZ14" s="61">
        <f t="shared" si="91"/>
        <v>3.85</v>
      </c>
      <c r="MA14" s="61">
        <f t="shared" si="92"/>
        <v>0</v>
      </c>
      <c r="MB14" s="61">
        <f t="shared" si="93"/>
        <v>0</v>
      </c>
      <c r="MC14" s="61">
        <f t="shared" si="94"/>
        <v>26.35</v>
      </c>
      <c r="MD14" s="61">
        <f t="shared" si="95"/>
        <v>3.1</v>
      </c>
      <c r="ME14" s="61">
        <f t="shared" si="96"/>
        <v>0.15</v>
      </c>
      <c r="MF14" s="61">
        <f t="shared" si="97"/>
        <v>0</v>
      </c>
      <c r="MG14" s="61">
        <f t="shared" si="98"/>
        <v>27.2</v>
      </c>
      <c r="MH14" s="61">
        <f t="shared" si="99"/>
        <v>2.7</v>
      </c>
      <c r="MI14" s="61">
        <f t="shared" si="100"/>
        <v>0.3</v>
      </c>
      <c r="MJ14" s="61">
        <f t="shared" si="101"/>
        <v>0</v>
      </c>
      <c r="MK14" s="61">
        <f t="shared" si="102"/>
        <v>13.9</v>
      </c>
      <c r="ML14" s="61">
        <f t="shared" si="103"/>
        <v>1.7</v>
      </c>
      <c r="MM14" s="61">
        <f t="shared" si="104"/>
        <v>0</v>
      </c>
      <c r="MN14" s="61">
        <f t="shared" si="105"/>
        <v>0</v>
      </c>
      <c r="MO14" s="72" t="s">
        <v>52</v>
      </c>
      <c r="MP14" s="11">
        <f t="shared" si="106"/>
        <v>6.95</v>
      </c>
      <c r="MQ14" s="11">
        <f t="shared" si="107"/>
        <v>60.600000000000009</v>
      </c>
      <c r="MR14" s="11">
        <f t="shared" si="108"/>
        <v>4.4000000000000004</v>
      </c>
      <c r="MS14" s="11">
        <f t="shared" si="109"/>
        <v>45.2</v>
      </c>
      <c r="MT14" s="11">
        <f t="shared" si="110"/>
        <v>105.80000000000001</v>
      </c>
    </row>
    <row r="15" spans="1:358" x14ac:dyDescent="0.2">
      <c r="A15" s="5" t="str">
        <f t="shared" si="0"/>
        <v/>
      </c>
      <c r="B15" s="8" t="s">
        <v>107</v>
      </c>
      <c r="C15" s="4" t="s">
        <v>5</v>
      </c>
      <c r="D15" s="5">
        <v>2003</v>
      </c>
      <c r="E15" s="15">
        <f t="shared" si="1"/>
        <v>119.1</v>
      </c>
      <c r="F15" s="3" t="str">
        <f t="shared" si="2"/>
        <v/>
      </c>
      <c r="G15" s="3" t="str">
        <f t="shared" si="3"/>
        <v/>
      </c>
      <c r="H15" s="116" t="str">
        <f t="shared" si="4"/>
        <v/>
      </c>
      <c r="I15" s="3" t="str">
        <f t="shared" si="5"/>
        <v/>
      </c>
      <c r="J15" s="14">
        <f t="shared" si="6"/>
        <v>62.899999999999991</v>
      </c>
      <c r="K15" s="14" t="str">
        <f t="shared" si="7"/>
        <v>2021 2nd Virtual Technical Trial</v>
      </c>
      <c r="L15" s="14">
        <f t="shared" si="8"/>
        <v>56.199999999999996</v>
      </c>
      <c r="M15" s="14" t="str">
        <f t="shared" si="9"/>
        <v>2021 Elite Canada</v>
      </c>
      <c r="N15" s="14" t="str">
        <f t="shared" si="10"/>
        <v/>
      </c>
      <c r="O15" s="24" t="str">
        <f t="shared" si="11"/>
        <v/>
      </c>
      <c r="P15" s="14" t="str">
        <f t="shared" si="12"/>
        <v/>
      </c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72"/>
      <c r="AH15" s="11" t="str">
        <f t="shared" si="13"/>
        <v/>
      </c>
      <c r="AI15" s="11" t="str">
        <f t="shared" si="14"/>
        <v/>
      </c>
      <c r="AJ15" s="11" t="str">
        <f t="shared" si="15"/>
        <v/>
      </c>
      <c r="AK15" s="11" t="str">
        <f t="shared" si="16"/>
        <v/>
      </c>
      <c r="AL15" s="11" t="str">
        <f t="shared" si="17"/>
        <v/>
      </c>
      <c r="AM15" s="36">
        <v>27.3</v>
      </c>
      <c r="AN15" s="36">
        <v>6</v>
      </c>
      <c r="AO15" s="36">
        <v>0.9</v>
      </c>
      <c r="AP15" s="36">
        <v>0</v>
      </c>
      <c r="AQ15" s="36">
        <v>25.2</v>
      </c>
      <c r="AR15" s="36">
        <v>5.6</v>
      </c>
      <c r="AS15" s="36">
        <v>0.3</v>
      </c>
      <c r="AT15" s="36">
        <v>0</v>
      </c>
      <c r="AU15" s="36">
        <v>27.1</v>
      </c>
      <c r="AV15" s="36">
        <v>4.8</v>
      </c>
      <c r="AW15" s="36">
        <v>0.3</v>
      </c>
      <c r="AX15" s="36">
        <v>0</v>
      </c>
      <c r="AY15" s="36">
        <v>27.4</v>
      </c>
      <c r="AZ15" s="36">
        <v>4.8</v>
      </c>
      <c r="BA15" s="36">
        <v>0</v>
      </c>
      <c r="BB15" s="36">
        <v>0</v>
      </c>
      <c r="BC15" s="73"/>
      <c r="BD15" s="14">
        <f t="shared" si="18"/>
        <v>11.6</v>
      </c>
      <c r="BE15" s="14">
        <f t="shared" si="19"/>
        <v>62.899999999999991</v>
      </c>
      <c r="BF15" s="14">
        <f t="shared" si="20"/>
        <v>9.6</v>
      </c>
      <c r="BG15" s="14">
        <f t="shared" si="21"/>
        <v>63.8</v>
      </c>
      <c r="BH15" s="14">
        <f t="shared" si="22"/>
        <v>126.69999999999999</v>
      </c>
      <c r="BI15" s="61">
        <v>24.8</v>
      </c>
      <c r="BJ15" s="61">
        <v>6</v>
      </c>
      <c r="BK15" s="61">
        <v>0.3</v>
      </c>
      <c r="BL15" s="61">
        <v>0</v>
      </c>
      <c r="BM15" s="61">
        <v>24.8</v>
      </c>
      <c r="BN15" s="61">
        <v>2.8</v>
      </c>
      <c r="BO15" s="61">
        <v>1.9</v>
      </c>
      <c r="BP15" s="61">
        <v>0</v>
      </c>
      <c r="BQ15" s="61"/>
      <c r="BR15" s="61"/>
      <c r="BS15" s="61"/>
      <c r="BT15" s="61"/>
      <c r="BU15" s="61"/>
      <c r="BV15" s="61"/>
      <c r="BW15" s="61"/>
      <c r="BX15" s="61"/>
      <c r="BY15" s="72"/>
      <c r="BZ15" s="11">
        <f t="shared" si="23"/>
        <v>8.8000000000000007</v>
      </c>
      <c r="CA15" s="11">
        <f t="shared" si="24"/>
        <v>56.199999999999996</v>
      </c>
      <c r="CB15" s="11" t="str">
        <f t="shared" si="25"/>
        <v/>
      </c>
      <c r="CC15" s="11" t="str">
        <f t="shared" si="26"/>
        <v/>
      </c>
      <c r="CD15" s="11">
        <f t="shared" si="27"/>
        <v>56.199999999999996</v>
      </c>
      <c r="CE15" s="23" t="str">
        <f t="shared" si="28"/>
        <v/>
      </c>
      <c r="CF15" s="23" t="str">
        <f t="shared" si="29"/>
        <v/>
      </c>
      <c r="CG15" s="40"/>
      <c r="CH15" s="40"/>
      <c r="CI15" s="40"/>
      <c r="CJ15" s="40"/>
      <c r="CK15" s="40"/>
      <c r="CL15" s="40"/>
      <c r="CM15" s="40"/>
      <c r="CN15" s="40"/>
      <c r="CO15" s="40"/>
      <c r="CP15" s="40"/>
      <c r="CQ15" s="40"/>
      <c r="CR15" s="40"/>
      <c r="CS15" s="40"/>
      <c r="CT15" s="40"/>
      <c r="CU15" s="40"/>
      <c r="CV15" s="40"/>
      <c r="CW15" s="11" t="str">
        <f t="shared" si="30"/>
        <v/>
      </c>
      <c r="CX15" s="11" t="str">
        <f t="shared" si="31"/>
        <v/>
      </c>
      <c r="CY15" s="11" t="str">
        <f t="shared" si="32"/>
        <v/>
      </c>
      <c r="CZ15" s="11" t="str">
        <f t="shared" si="33"/>
        <v/>
      </c>
      <c r="DA15" s="11" t="str">
        <f t="shared" si="34"/>
        <v/>
      </c>
      <c r="DB15" s="39"/>
      <c r="DC15" s="39"/>
      <c r="DD15" s="39"/>
      <c r="DE15" s="39"/>
      <c r="DF15" s="39"/>
      <c r="DG15" s="39"/>
      <c r="DH15" s="39"/>
      <c r="DI15" s="39"/>
      <c r="DJ15" s="39"/>
      <c r="DK15" s="39"/>
      <c r="DL15" s="39"/>
      <c r="DM15" s="39"/>
      <c r="DN15" s="39"/>
      <c r="DO15" s="39"/>
      <c r="DP15" s="39"/>
      <c r="DQ15" s="39"/>
      <c r="DR15" s="14" t="str">
        <f t="shared" si="35"/>
        <v/>
      </c>
      <c r="DS15" s="14" t="str">
        <f t="shared" si="36"/>
        <v/>
      </c>
      <c r="DT15" s="14" t="str">
        <f t="shared" si="37"/>
        <v/>
      </c>
      <c r="DU15" s="14" t="str">
        <f t="shared" si="38"/>
        <v/>
      </c>
      <c r="DV15" s="14" t="str">
        <f t="shared" si="39"/>
        <v/>
      </c>
      <c r="DW15" s="40"/>
      <c r="DX15" s="40"/>
      <c r="DY15" s="40"/>
      <c r="DZ15" s="40"/>
      <c r="EA15" s="40"/>
      <c r="EB15" s="40"/>
      <c r="EC15" s="40"/>
      <c r="ED15" s="40"/>
      <c r="EE15" s="40"/>
      <c r="EF15" s="40"/>
      <c r="EG15" s="40"/>
      <c r="EH15" s="40"/>
      <c r="EI15" s="40"/>
      <c r="EJ15" s="40"/>
      <c r="EK15" s="40"/>
      <c r="EL15" s="40"/>
      <c r="EM15" s="11" t="str">
        <f t="shared" si="40"/>
        <v/>
      </c>
      <c r="EN15" s="11" t="str">
        <f t="shared" si="41"/>
        <v/>
      </c>
      <c r="EO15" s="11" t="str">
        <f t="shared" si="42"/>
        <v/>
      </c>
      <c r="EP15" s="11" t="str">
        <f t="shared" si="43"/>
        <v/>
      </c>
      <c r="EQ15" s="11" t="str">
        <f t="shared" si="44"/>
        <v/>
      </c>
      <c r="ER15" s="39"/>
      <c r="ES15" s="39"/>
      <c r="ET15" s="39"/>
      <c r="EU15" s="39"/>
      <c r="EV15" s="39"/>
      <c r="EW15" s="39"/>
      <c r="EX15" s="39"/>
      <c r="EY15" s="39"/>
      <c r="EZ15" s="39"/>
      <c r="FA15" s="39"/>
      <c r="FB15" s="39"/>
      <c r="FC15" s="39"/>
      <c r="FD15" s="39"/>
      <c r="FE15" s="39"/>
      <c r="FF15" s="39"/>
      <c r="FG15" s="39"/>
      <c r="FH15" s="14" t="str">
        <f t="shared" si="45"/>
        <v/>
      </c>
      <c r="FI15" s="14" t="str">
        <f t="shared" si="46"/>
        <v/>
      </c>
      <c r="FJ15" s="14" t="str">
        <f t="shared" si="47"/>
        <v/>
      </c>
      <c r="FK15" s="14" t="str">
        <f t="shared" si="48"/>
        <v/>
      </c>
      <c r="FL15" s="14" t="str">
        <f t="shared" si="49"/>
        <v/>
      </c>
      <c r="FM15" s="40"/>
      <c r="FN15" s="40"/>
      <c r="FO15" s="40"/>
      <c r="FP15" s="40"/>
      <c r="FQ15" s="40"/>
      <c r="FR15" s="40"/>
      <c r="FS15" s="40"/>
      <c r="FT15" s="40"/>
      <c r="FU15" s="40"/>
      <c r="FV15" s="40"/>
      <c r="FW15" s="40"/>
      <c r="FX15" s="40"/>
      <c r="FY15" s="40"/>
      <c r="FZ15" s="40"/>
      <c r="GA15" s="40"/>
      <c r="GB15" s="40"/>
      <c r="GC15" s="11" t="str">
        <f t="shared" si="50"/>
        <v/>
      </c>
      <c r="GD15" s="11" t="str">
        <f t="shared" si="51"/>
        <v/>
      </c>
      <c r="GE15" s="11" t="str">
        <f t="shared" si="52"/>
        <v/>
      </c>
      <c r="GF15" s="11" t="str">
        <f t="shared" si="53"/>
        <v/>
      </c>
      <c r="GG15" s="11" t="str">
        <f t="shared" si="54"/>
        <v/>
      </c>
      <c r="GH15" s="39"/>
      <c r="GI15" s="39"/>
      <c r="GJ15" s="39"/>
      <c r="GK15" s="39"/>
      <c r="GL15" s="39"/>
      <c r="GM15" s="39"/>
      <c r="GN15" s="39"/>
      <c r="GO15" s="39"/>
      <c r="GP15" s="39"/>
      <c r="GQ15" s="39"/>
      <c r="GR15" s="39"/>
      <c r="GS15" s="39"/>
      <c r="GT15" s="39"/>
      <c r="GU15" s="39"/>
      <c r="GV15" s="39"/>
      <c r="GW15" s="39"/>
      <c r="GX15" s="14" t="str">
        <f t="shared" si="55"/>
        <v/>
      </c>
      <c r="GY15" s="14" t="str">
        <f t="shared" si="56"/>
        <v/>
      </c>
      <c r="GZ15" s="14" t="str">
        <f t="shared" si="57"/>
        <v/>
      </c>
      <c r="HA15" s="14" t="str">
        <f t="shared" si="58"/>
        <v/>
      </c>
      <c r="HB15" s="14" t="str">
        <f t="shared" si="59"/>
        <v/>
      </c>
      <c r="HC15" s="40"/>
      <c r="HD15" s="40"/>
      <c r="HE15" s="40"/>
      <c r="HF15" s="40"/>
      <c r="HG15" s="40"/>
      <c r="HH15" s="40"/>
      <c r="HI15" s="40"/>
      <c r="HJ15" s="40"/>
      <c r="HK15" s="40"/>
      <c r="HL15" s="40"/>
      <c r="HM15" s="40"/>
      <c r="HN15" s="40"/>
      <c r="HO15" s="40"/>
      <c r="HP15" s="40"/>
      <c r="HQ15" s="40"/>
      <c r="HR15" s="40"/>
      <c r="HS15" s="11" t="str">
        <f t="shared" si="60"/>
        <v/>
      </c>
      <c r="HT15" s="11" t="str">
        <f t="shared" si="61"/>
        <v/>
      </c>
      <c r="HU15" s="11" t="str">
        <f t="shared" si="62"/>
        <v/>
      </c>
      <c r="HV15" s="11" t="str">
        <f t="shared" si="63"/>
        <v/>
      </c>
      <c r="HW15" s="11" t="str">
        <f t="shared" si="64"/>
        <v/>
      </c>
      <c r="HX15" s="39"/>
      <c r="HY15" s="39"/>
      <c r="HZ15" s="39"/>
      <c r="IA15" s="39"/>
      <c r="IB15" s="39"/>
      <c r="IC15" s="39"/>
      <c r="ID15" s="39"/>
      <c r="IE15" s="39"/>
      <c r="IF15" s="39"/>
      <c r="IG15" s="39"/>
      <c r="IH15" s="39"/>
      <c r="II15" s="39"/>
      <c r="IJ15" s="39"/>
      <c r="IK15" s="39"/>
      <c r="IL15" s="39"/>
      <c r="IM15" s="39"/>
      <c r="IN15" s="14" t="str">
        <f t="shared" si="65"/>
        <v/>
      </c>
      <c r="IO15" s="14" t="str">
        <f t="shared" si="66"/>
        <v/>
      </c>
      <c r="IP15" s="14" t="str">
        <f t="shared" si="67"/>
        <v/>
      </c>
      <c r="IQ15" s="14" t="str">
        <f t="shared" si="68"/>
        <v/>
      </c>
      <c r="IR15" s="14" t="str">
        <f t="shared" si="69"/>
        <v/>
      </c>
      <c r="IS15" s="40"/>
      <c r="IT15" s="40"/>
      <c r="IU15" s="40"/>
      <c r="IV15" s="40"/>
      <c r="IW15" s="40"/>
      <c r="IX15" s="40"/>
      <c r="IY15" s="40"/>
      <c r="IZ15" s="40"/>
      <c r="JA15" s="40"/>
      <c r="JB15" s="40"/>
      <c r="JC15" s="40"/>
      <c r="JD15" s="40"/>
      <c r="JE15" s="40"/>
      <c r="JF15" s="40"/>
      <c r="JG15" s="40"/>
      <c r="JH15" s="40"/>
      <c r="JI15" s="11" t="str">
        <f t="shared" si="70"/>
        <v/>
      </c>
      <c r="JJ15" s="11" t="str">
        <f t="shared" si="71"/>
        <v/>
      </c>
      <c r="JK15" s="11" t="str">
        <f t="shared" si="72"/>
        <v/>
      </c>
      <c r="JL15" s="11" t="str">
        <f t="shared" si="73"/>
        <v/>
      </c>
      <c r="JM15" s="11" t="str">
        <f t="shared" si="74"/>
        <v/>
      </c>
      <c r="JN15" s="39"/>
      <c r="JO15" s="39"/>
      <c r="JP15" s="39"/>
      <c r="JQ15" s="39"/>
      <c r="JR15" s="39"/>
      <c r="JS15" s="39"/>
      <c r="JT15" s="39"/>
      <c r="JU15" s="39"/>
      <c r="JV15" s="39"/>
      <c r="JW15" s="39"/>
      <c r="JX15" s="39"/>
      <c r="JY15" s="39"/>
      <c r="JZ15" s="39"/>
      <c r="KA15" s="39"/>
      <c r="KB15" s="39"/>
      <c r="KC15" s="39"/>
      <c r="KD15" s="14" t="str">
        <f t="shared" si="75"/>
        <v/>
      </c>
      <c r="KE15" s="14" t="str">
        <f t="shared" si="76"/>
        <v/>
      </c>
      <c r="KF15" s="14" t="str">
        <f t="shared" si="77"/>
        <v/>
      </c>
      <c r="KG15" s="14" t="str">
        <f t="shared" si="78"/>
        <v/>
      </c>
      <c r="KH15" s="14" t="str">
        <f t="shared" si="79"/>
        <v/>
      </c>
      <c r="KI15" s="40"/>
      <c r="KJ15" s="40"/>
      <c r="KK15" s="40"/>
      <c r="KL15" s="40"/>
      <c r="KM15" s="40"/>
      <c r="KN15" s="40"/>
      <c r="KO15" s="40"/>
      <c r="KP15" s="40"/>
      <c r="KQ15" s="40"/>
      <c r="KR15" s="40"/>
      <c r="KS15" s="40"/>
      <c r="KT15" s="40"/>
      <c r="KU15" s="40"/>
      <c r="KV15" s="40"/>
      <c r="KW15" s="40"/>
      <c r="KX15" s="40"/>
      <c r="KY15" s="11" t="str">
        <f t="shared" si="80"/>
        <v/>
      </c>
      <c r="KZ15" s="11" t="str">
        <f t="shared" si="81"/>
        <v/>
      </c>
      <c r="LA15" s="11" t="str">
        <f t="shared" si="82"/>
        <v/>
      </c>
      <c r="LB15" s="11" t="str">
        <f t="shared" si="83"/>
        <v/>
      </c>
      <c r="LC15" s="11" t="str">
        <f t="shared" si="84"/>
        <v/>
      </c>
      <c r="LD15" s="39"/>
      <c r="LE15" s="39"/>
      <c r="LF15" s="39"/>
      <c r="LG15" s="39"/>
      <c r="LH15" s="39"/>
      <c r="LI15" s="39"/>
      <c r="LJ15" s="39"/>
      <c r="LK15" s="39"/>
      <c r="LL15" s="39"/>
      <c r="LM15" s="39"/>
      <c r="LN15" s="39"/>
      <c r="LO15" s="39"/>
      <c r="LP15" s="39"/>
      <c r="LQ15" s="39"/>
      <c r="LR15" s="39"/>
      <c r="LS15" s="39"/>
      <c r="LT15" s="14" t="str">
        <f t="shared" si="85"/>
        <v/>
      </c>
      <c r="LU15" s="14" t="str">
        <f t="shared" si="86"/>
        <v/>
      </c>
      <c r="LV15" s="14" t="str">
        <f t="shared" si="87"/>
        <v/>
      </c>
      <c r="LW15" s="14" t="str">
        <f t="shared" si="88"/>
        <v/>
      </c>
      <c r="LX15" s="14" t="str">
        <f t="shared" si="89"/>
        <v/>
      </c>
      <c r="LY15" s="61">
        <f t="shared" si="90"/>
        <v>26.05</v>
      </c>
      <c r="LZ15" s="61">
        <f t="shared" si="91"/>
        <v>6</v>
      </c>
      <c r="MA15" s="61">
        <f t="shared" si="92"/>
        <v>0.6</v>
      </c>
      <c r="MB15" s="61">
        <f t="shared" si="93"/>
        <v>0</v>
      </c>
      <c r="MC15" s="61">
        <f t="shared" si="94"/>
        <v>25</v>
      </c>
      <c r="MD15" s="61">
        <f t="shared" si="95"/>
        <v>4.1999999999999993</v>
      </c>
      <c r="ME15" s="61">
        <f t="shared" si="96"/>
        <v>1.0999999999999999</v>
      </c>
      <c r="MF15" s="61">
        <f t="shared" si="97"/>
        <v>0</v>
      </c>
      <c r="MG15" s="61">
        <f t="shared" si="98"/>
        <v>13.55</v>
      </c>
      <c r="MH15" s="61">
        <f t="shared" si="99"/>
        <v>2.4</v>
      </c>
      <c r="MI15" s="61">
        <f t="shared" si="100"/>
        <v>0.15</v>
      </c>
      <c r="MJ15" s="61">
        <f t="shared" si="101"/>
        <v>0</v>
      </c>
      <c r="MK15" s="61">
        <f t="shared" si="102"/>
        <v>13.7</v>
      </c>
      <c r="ML15" s="61">
        <f t="shared" si="103"/>
        <v>2.4</v>
      </c>
      <c r="MM15" s="61">
        <f t="shared" si="104"/>
        <v>0</v>
      </c>
      <c r="MN15" s="61">
        <f t="shared" si="105"/>
        <v>0</v>
      </c>
      <c r="MO15" s="72" t="s">
        <v>52</v>
      </c>
      <c r="MP15" s="11">
        <f t="shared" si="106"/>
        <v>10.199999999999999</v>
      </c>
      <c r="MQ15" s="11">
        <f t="shared" si="107"/>
        <v>59.55</v>
      </c>
      <c r="MR15" s="11">
        <f t="shared" si="108"/>
        <v>4.8</v>
      </c>
      <c r="MS15" s="11">
        <f t="shared" si="109"/>
        <v>31.9</v>
      </c>
      <c r="MT15" s="11">
        <f t="shared" si="110"/>
        <v>91.449999999999989</v>
      </c>
    </row>
    <row r="16" spans="1:358" x14ac:dyDescent="0.2">
      <c r="A16" s="5" t="str">
        <f t="shared" si="0"/>
        <v/>
      </c>
      <c r="B16" s="8" t="s">
        <v>102</v>
      </c>
      <c r="C16" s="4" t="s">
        <v>5</v>
      </c>
      <c r="D16" s="5">
        <v>2004</v>
      </c>
      <c r="E16" s="15">
        <f t="shared" si="1"/>
        <v>93.7</v>
      </c>
      <c r="F16" s="3" t="str">
        <f t="shared" si="2"/>
        <v/>
      </c>
      <c r="G16" s="3" t="str">
        <f t="shared" si="3"/>
        <v/>
      </c>
      <c r="H16" s="116" t="str">
        <f t="shared" si="4"/>
        <v/>
      </c>
      <c r="I16" s="3" t="str">
        <f t="shared" si="5"/>
        <v/>
      </c>
      <c r="J16" s="14">
        <f t="shared" si="6"/>
        <v>62.7</v>
      </c>
      <c r="K16" s="14" t="str">
        <f t="shared" si="7"/>
        <v>2021 1st Virtual Technical Trial</v>
      </c>
      <c r="L16" s="14">
        <f t="shared" si="8"/>
        <v>31</v>
      </c>
      <c r="M16" s="14" t="str">
        <f t="shared" si="9"/>
        <v>2021 Elite Canada</v>
      </c>
      <c r="N16" s="14" t="str">
        <f t="shared" si="10"/>
        <v/>
      </c>
      <c r="O16" s="24" t="str">
        <f t="shared" si="11"/>
        <v/>
      </c>
      <c r="P16" s="14" t="str">
        <f t="shared" si="12"/>
        <v/>
      </c>
      <c r="Q16" s="61">
        <v>27.7</v>
      </c>
      <c r="R16" s="61">
        <v>4.4000000000000004</v>
      </c>
      <c r="S16" s="61">
        <v>0.9</v>
      </c>
      <c r="T16" s="61">
        <v>0</v>
      </c>
      <c r="U16" s="61">
        <v>28.4</v>
      </c>
      <c r="V16" s="61">
        <v>3.1</v>
      </c>
      <c r="W16" s="61">
        <v>0</v>
      </c>
      <c r="X16" s="61">
        <v>0</v>
      </c>
      <c r="Y16" s="61">
        <v>0</v>
      </c>
      <c r="Z16" s="61">
        <v>0</v>
      </c>
      <c r="AA16" s="61">
        <v>0</v>
      </c>
      <c r="AB16" s="61">
        <v>0</v>
      </c>
      <c r="AC16" s="61">
        <v>0</v>
      </c>
      <c r="AD16" s="61">
        <v>0</v>
      </c>
      <c r="AE16" s="61">
        <v>0</v>
      </c>
      <c r="AF16" s="61">
        <v>0</v>
      </c>
      <c r="AG16" s="72"/>
      <c r="AH16" s="11">
        <f t="shared" si="13"/>
        <v>7.5</v>
      </c>
      <c r="AI16" s="11">
        <f t="shared" si="14"/>
        <v>62.7</v>
      </c>
      <c r="AJ16" s="11" t="str">
        <f t="shared" si="15"/>
        <v/>
      </c>
      <c r="AK16" s="11" t="str">
        <f t="shared" si="16"/>
        <v/>
      </c>
      <c r="AL16" s="11">
        <f t="shared" si="17"/>
        <v>62.7</v>
      </c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73"/>
      <c r="BD16" s="14" t="str">
        <f t="shared" si="18"/>
        <v/>
      </c>
      <c r="BE16" s="14" t="str">
        <f t="shared" si="19"/>
        <v/>
      </c>
      <c r="BF16" s="14" t="str">
        <f t="shared" si="20"/>
        <v/>
      </c>
      <c r="BG16" s="14" t="str">
        <f t="shared" si="21"/>
        <v/>
      </c>
      <c r="BH16" s="14" t="str">
        <f t="shared" si="22"/>
        <v/>
      </c>
      <c r="BI16" s="61">
        <v>28.2</v>
      </c>
      <c r="BJ16" s="61">
        <v>3.1</v>
      </c>
      <c r="BK16" s="61">
        <v>0.3</v>
      </c>
      <c r="BL16" s="61">
        <v>0</v>
      </c>
      <c r="BM16" s="61">
        <v>0</v>
      </c>
      <c r="BN16" s="61">
        <v>0</v>
      </c>
      <c r="BO16" s="61">
        <v>0</v>
      </c>
      <c r="BP16" s="61">
        <v>0</v>
      </c>
      <c r="BQ16" s="61"/>
      <c r="BR16" s="61"/>
      <c r="BS16" s="61"/>
      <c r="BT16" s="61"/>
      <c r="BU16" s="61"/>
      <c r="BV16" s="61"/>
      <c r="BW16" s="61"/>
      <c r="BX16" s="61"/>
      <c r="BY16" s="72"/>
      <c r="BZ16" s="11">
        <f t="shared" si="23"/>
        <v>3.1</v>
      </c>
      <c r="CA16" s="11">
        <f t="shared" si="24"/>
        <v>31</v>
      </c>
      <c r="CB16" s="11" t="str">
        <f t="shared" si="25"/>
        <v/>
      </c>
      <c r="CC16" s="11" t="str">
        <f t="shared" si="26"/>
        <v/>
      </c>
      <c r="CD16" s="11">
        <f t="shared" si="27"/>
        <v>31</v>
      </c>
      <c r="CE16" s="23" t="str">
        <f t="shared" si="28"/>
        <v/>
      </c>
      <c r="CF16" s="23" t="str">
        <f t="shared" si="29"/>
        <v/>
      </c>
      <c r="CG16" s="40"/>
      <c r="CH16" s="40"/>
      <c r="CI16" s="40"/>
      <c r="CJ16" s="40"/>
      <c r="CK16" s="40"/>
      <c r="CL16" s="40"/>
      <c r="CM16" s="40"/>
      <c r="CN16" s="40"/>
      <c r="CO16" s="40"/>
      <c r="CP16" s="40"/>
      <c r="CQ16" s="40"/>
      <c r="CR16" s="40"/>
      <c r="CS16" s="40"/>
      <c r="CT16" s="40"/>
      <c r="CU16" s="40"/>
      <c r="CV16" s="40"/>
      <c r="CW16" s="11" t="str">
        <f t="shared" si="30"/>
        <v/>
      </c>
      <c r="CX16" s="11" t="str">
        <f t="shared" si="31"/>
        <v/>
      </c>
      <c r="CY16" s="11" t="str">
        <f t="shared" si="32"/>
        <v/>
      </c>
      <c r="CZ16" s="11" t="str">
        <f t="shared" si="33"/>
        <v/>
      </c>
      <c r="DA16" s="11" t="str">
        <f t="shared" si="34"/>
        <v/>
      </c>
      <c r="DB16" s="39"/>
      <c r="DC16" s="39"/>
      <c r="DD16" s="39"/>
      <c r="DE16" s="39"/>
      <c r="DF16" s="39"/>
      <c r="DG16" s="39"/>
      <c r="DH16" s="39"/>
      <c r="DI16" s="39"/>
      <c r="DJ16" s="39"/>
      <c r="DK16" s="39"/>
      <c r="DL16" s="39"/>
      <c r="DM16" s="39"/>
      <c r="DN16" s="39"/>
      <c r="DO16" s="39"/>
      <c r="DP16" s="39"/>
      <c r="DQ16" s="39"/>
      <c r="DR16" s="14" t="str">
        <f t="shared" si="35"/>
        <v/>
      </c>
      <c r="DS16" s="14" t="str">
        <f t="shared" si="36"/>
        <v/>
      </c>
      <c r="DT16" s="14" t="str">
        <f t="shared" si="37"/>
        <v/>
      </c>
      <c r="DU16" s="14" t="str">
        <f t="shared" si="38"/>
        <v/>
      </c>
      <c r="DV16" s="14" t="str">
        <f t="shared" si="39"/>
        <v/>
      </c>
      <c r="DW16" s="40"/>
      <c r="DX16" s="40"/>
      <c r="DY16" s="40"/>
      <c r="DZ16" s="40"/>
      <c r="EA16" s="40"/>
      <c r="EB16" s="40"/>
      <c r="EC16" s="40"/>
      <c r="ED16" s="40"/>
      <c r="EE16" s="40"/>
      <c r="EF16" s="40"/>
      <c r="EG16" s="40"/>
      <c r="EH16" s="40"/>
      <c r="EI16" s="40"/>
      <c r="EJ16" s="40"/>
      <c r="EK16" s="40"/>
      <c r="EL16" s="40"/>
      <c r="EM16" s="11" t="str">
        <f t="shared" si="40"/>
        <v/>
      </c>
      <c r="EN16" s="11" t="str">
        <f t="shared" si="41"/>
        <v/>
      </c>
      <c r="EO16" s="11" t="str">
        <f t="shared" si="42"/>
        <v/>
      </c>
      <c r="EP16" s="11" t="str">
        <f t="shared" si="43"/>
        <v/>
      </c>
      <c r="EQ16" s="11" t="str">
        <f t="shared" si="44"/>
        <v/>
      </c>
      <c r="ER16" s="39"/>
      <c r="ES16" s="39"/>
      <c r="ET16" s="39"/>
      <c r="EU16" s="39"/>
      <c r="EV16" s="39"/>
      <c r="EW16" s="39"/>
      <c r="EX16" s="39"/>
      <c r="EY16" s="39"/>
      <c r="EZ16" s="39"/>
      <c r="FA16" s="39"/>
      <c r="FB16" s="39"/>
      <c r="FC16" s="39"/>
      <c r="FD16" s="39"/>
      <c r="FE16" s="39"/>
      <c r="FF16" s="39"/>
      <c r="FG16" s="39"/>
      <c r="FH16" s="14" t="str">
        <f t="shared" si="45"/>
        <v/>
      </c>
      <c r="FI16" s="14" t="str">
        <f t="shared" si="46"/>
        <v/>
      </c>
      <c r="FJ16" s="14" t="str">
        <f t="shared" si="47"/>
        <v/>
      </c>
      <c r="FK16" s="14" t="str">
        <f t="shared" si="48"/>
        <v/>
      </c>
      <c r="FL16" s="14" t="str">
        <f t="shared" si="49"/>
        <v/>
      </c>
      <c r="FM16" s="40"/>
      <c r="FN16" s="40"/>
      <c r="FO16" s="40"/>
      <c r="FP16" s="40"/>
      <c r="FQ16" s="40"/>
      <c r="FR16" s="40"/>
      <c r="FS16" s="40"/>
      <c r="FT16" s="40"/>
      <c r="FU16" s="40"/>
      <c r="FV16" s="40"/>
      <c r="FW16" s="40"/>
      <c r="FX16" s="40"/>
      <c r="FY16" s="40"/>
      <c r="FZ16" s="40"/>
      <c r="GA16" s="40"/>
      <c r="GB16" s="40"/>
      <c r="GC16" s="11" t="str">
        <f t="shared" si="50"/>
        <v/>
      </c>
      <c r="GD16" s="11" t="str">
        <f t="shared" si="51"/>
        <v/>
      </c>
      <c r="GE16" s="11" t="str">
        <f t="shared" si="52"/>
        <v/>
      </c>
      <c r="GF16" s="11" t="str">
        <f t="shared" si="53"/>
        <v/>
      </c>
      <c r="GG16" s="11" t="str">
        <f t="shared" si="54"/>
        <v/>
      </c>
      <c r="GH16" s="39"/>
      <c r="GI16" s="39"/>
      <c r="GJ16" s="39"/>
      <c r="GK16" s="39"/>
      <c r="GL16" s="39"/>
      <c r="GM16" s="39"/>
      <c r="GN16" s="39"/>
      <c r="GO16" s="39"/>
      <c r="GP16" s="39"/>
      <c r="GQ16" s="39"/>
      <c r="GR16" s="39"/>
      <c r="GS16" s="39"/>
      <c r="GT16" s="39"/>
      <c r="GU16" s="39"/>
      <c r="GV16" s="39"/>
      <c r="GW16" s="39"/>
      <c r="GX16" s="14" t="str">
        <f t="shared" si="55"/>
        <v/>
      </c>
      <c r="GY16" s="14" t="str">
        <f t="shared" si="56"/>
        <v/>
      </c>
      <c r="GZ16" s="14" t="str">
        <f t="shared" si="57"/>
        <v/>
      </c>
      <c r="HA16" s="14" t="str">
        <f t="shared" si="58"/>
        <v/>
      </c>
      <c r="HB16" s="14" t="str">
        <f t="shared" si="59"/>
        <v/>
      </c>
      <c r="HC16" s="40"/>
      <c r="HD16" s="40"/>
      <c r="HE16" s="40"/>
      <c r="HF16" s="40"/>
      <c r="HG16" s="40"/>
      <c r="HH16" s="40"/>
      <c r="HI16" s="40"/>
      <c r="HJ16" s="40"/>
      <c r="HK16" s="40"/>
      <c r="HL16" s="40"/>
      <c r="HM16" s="40"/>
      <c r="HN16" s="40"/>
      <c r="HO16" s="40"/>
      <c r="HP16" s="40"/>
      <c r="HQ16" s="40"/>
      <c r="HR16" s="40"/>
      <c r="HS16" s="11" t="str">
        <f t="shared" si="60"/>
        <v/>
      </c>
      <c r="HT16" s="11" t="str">
        <f t="shared" si="61"/>
        <v/>
      </c>
      <c r="HU16" s="11" t="str">
        <f t="shared" si="62"/>
        <v/>
      </c>
      <c r="HV16" s="11" t="str">
        <f t="shared" si="63"/>
        <v/>
      </c>
      <c r="HW16" s="11" t="str">
        <f t="shared" si="64"/>
        <v/>
      </c>
      <c r="HX16" s="39"/>
      <c r="HY16" s="39"/>
      <c r="HZ16" s="39"/>
      <c r="IA16" s="39"/>
      <c r="IB16" s="39"/>
      <c r="IC16" s="39"/>
      <c r="ID16" s="39"/>
      <c r="IE16" s="39"/>
      <c r="IF16" s="39"/>
      <c r="IG16" s="39"/>
      <c r="IH16" s="39"/>
      <c r="II16" s="39"/>
      <c r="IJ16" s="39"/>
      <c r="IK16" s="39"/>
      <c r="IL16" s="39"/>
      <c r="IM16" s="39"/>
      <c r="IN16" s="14" t="str">
        <f t="shared" si="65"/>
        <v/>
      </c>
      <c r="IO16" s="14" t="str">
        <f t="shared" si="66"/>
        <v/>
      </c>
      <c r="IP16" s="14" t="str">
        <f t="shared" si="67"/>
        <v/>
      </c>
      <c r="IQ16" s="14" t="str">
        <f t="shared" si="68"/>
        <v/>
      </c>
      <c r="IR16" s="14" t="str">
        <f t="shared" si="69"/>
        <v/>
      </c>
      <c r="IS16" s="40"/>
      <c r="IT16" s="40"/>
      <c r="IU16" s="40"/>
      <c r="IV16" s="40"/>
      <c r="IW16" s="40"/>
      <c r="IX16" s="40"/>
      <c r="IY16" s="40"/>
      <c r="IZ16" s="40"/>
      <c r="JA16" s="40"/>
      <c r="JB16" s="40"/>
      <c r="JC16" s="40"/>
      <c r="JD16" s="40"/>
      <c r="JE16" s="40"/>
      <c r="JF16" s="40"/>
      <c r="JG16" s="40"/>
      <c r="JH16" s="40"/>
      <c r="JI16" s="11" t="str">
        <f t="shared" si="70"/>
        <v/>
      </c>
      <c r="JJ16" s="11" t="str">
        <f t="shared" si="71"/>
        <v/>
      </c>
      <c r="JK16" s="11" t="str">
        <f t="shared" si="72"/>
        <v/>
      </c>
      <c r="JL16" s="11" t="str">
        <f t="shared" si="73"/>
        <v/>
      </c>
      <c r="JM16" s="11" t="str">
        <f t="shared" si="74"/>
        <v/>
      </c>
      <c r="JN16" s="39"/>
      <c r="JO16" s="39"/>
      <c r="JP16" s="39"/>
      <c r="JQ16" s="39"/>
      <c r="JR16" s="39"/>
      <c r="JS16" s="39"/>
      <c r="JT16" s="39"/>
      <c r="JU16" s="39"/>
      <c r="JV16" s="39"/>
      <c r="JW16" s="39"/>
      <c r="JX16" s="39"/>
      <c r="JY16" s="39"/>
      <c r="JZ16" s="39"/>
      <c r="KA16" s="39"/>
      <c r="KB16" s="39"/>
      <c r="KC16" s="39"/>
      <c r="KD16" s="14" t="str">
        <f t="shared" si="75"/>
        <v/>
      </c>
      <c r="KE16" s="14" t="str">
        <f t="shared" si="76"/>
        <v/>
      </c>
      <c r="KF16" s="14" t="str">
        <f t="shared" si="77"/>
        <v/>
      </c>
      <c r="KG16" s="14" t="str">
        <f t="shared" si="78"/>
        <v/>
      </c>
      <c r="KH16" s="14" t="str">
        <f t="shared" si="79"/>
        <v/>
      </c>
      <c r="KI16" s="40"/>
      <c r="KJ16" s="40"/>
      <c r="KK16" s="40"/>
      <c r="KL16" s="40"/>
      <c r="KM16" s="40"/>
      <c r="KN16" s="40"/>
      <c r="KO16" s="40"/>
      <c r="KP16" s="40"/>
      <c r="KQ16" s="40"/>
      <c r="KR16" s="40"/>
      <c r="KS16" s="40"/>
      <c r="KT16" s="40"/>
      <c r="KU16" s="40"/>
      <c r="KV16" s="40"/>
      <c r="KW16" s="40"/>
      <c r="KX16" s="40"/>
      <c r="KY16" s="11" t="str">
        <f t="shared" si="80"/>
        <v/>
      </c>
      <c r="KZ16" s="11" t="str">
        <f t="shared" si="81"/>
        <v/>
      </c>
      <c r="LA16" s="11" t="str">
        <f t="shared" si="82"/>
        <v/>
      </c>
      <c r="LB16" s="11" t="str">
        <f t="shared" si="83"/>
        <v/>
      </c>
      <c r="LC16" s="11" t="str">
        <f t="shared" si="84"/>
        <v/>
      </c>
      <c r="LD16" s="39"/>
      <c r="LE16" s="39"/>
      <c r="LF16" s="39"/>
      <c r="LG16" s="39"/>
      <c r="LH16" s="39"/>
      <c r="LI16" s="39"/>
      <c r="LJ16" s="39"/>
      <c r="LK16" s="39"/>
      <c r="LL16" s="39"/>
      <c r="LM16" s="39"/>
      <c r="LN16" s="39"/>
      <c r="LO16" s="39"/>
      <c r="LP16" s="39"/>
      <c r="LQ16" s="39"/>
      <c r="LR16" s="39"/>
      <c r="LS16" s="39"/>
      <c r="LT16" s="14" t="str">
        <f t="shared" si="85"/>
        <v/>
      </c>
      <c r="LU16" s="14" t="str">
        <f t="shared" si="86"/>
        <v/>
      </c>
      <c r="LV16" s="14" t="str">
        <f t="shared" si="87"/>
        <v/>
      </c>
      <c r="LW16" s="14" t="str">
        <f t="shared" si="88"/>
        <v/>
      </c>
      <c r="LX16" s="14" t="str">
        <f t="shared" si="89"/>
        <v/>
      </c>
      <c r="LY16" s="61">
        <f t="shared" si="90"/>
        <v>14.1</v>
      </c>
      <c r="LZ16" s="61">
        <f t="shared" si="91"/>
        <v>1.55</v>
      </c>
      <c r="MA16" s="61">
        <f t="shared" si="92"/>
        <v>0.15</v>
      </c>
      <c r="MB16" s="61">
        <f t="shared" si="93"/>
        <v>0</v>
      </c>
      <c r="MC16" s="61">
        <f t="shared" si="94"/>
        <v>0</v>
      </c>
      <c r="MD16" s="61">
        <f t="shared" si="95"/>
        <v>0</v>
      </c>
      <c r="ME16" s="61">
        <f t="shared" si="96"/>
        <v>0</v>
      </c>
      <c r="MF16" s="61">
        <f t="shared" si="97"/>
        <v>0</v>
      </c>
      <c r="MG16" s="61">
        <f t="shared" si="98"/>
        <v>0</v>
      </c>
      <c r="MH16" s="61">
        <f t="shared" si="99"/>
        <v>0</v>
      </c>
      <c r="MI16" s="61">
        <f t="shared" si="100"/>
        <v>0</v>
      </c>
      <c r="MJ16" s="61">
        <f t="shared" si="101"/>
        <v>0</v>
      </c>
      <c r="MK16" s="61">
        <f t="shared" si="102"/>
        <v>0</v>
      </c>
      <c r="ML16" s="61">
        <f t="shared" si="103"/>
        <v>0</v>
      </c>
      <c r="MM16" s="61">
        <f t="shared" si="104"/>
        <v>0</v>
      </c>
      <c r="MN16" s="61">
        <f t="shared" si="105"/>
        <v>0</v>
      </c>
      <c r="MO16" s="72" t="s">
        <v>52</v>
      </c>
      <c r="MP16" s="11">
        <f t="shared" si="106"/>
        <v>1.55</v>
      </c>
      <c r="MQ16" s="11">
        <f t="shared" si="107"/>
        <v>15.5</v>
      </c>
      <c r="MR16" s="11" t="str">
        <f t="shared" si="108"/>
        <v/>
      </c>
      <c r="MS16" s="11" t="str">
        <f t="shared" si="109"/>
        <v/>
      </c>
      <c r="MT16" s="11">
        <f t="shared" si="110"/>
        <v>15.5</v>
      </c>
    </row>
    <row r="17" spans="1:358" x14ac:dyDescent="0.2">
      <c r="A17" s="5" t="str">
        <f t="shared" si="0"/>
        <v/>
      </c>
      <c r="B17" s="8" t="s">
        <v>143</v>
      </c>
      <c r="C17" s="4" t="s">
        <v>96</v>
      </c>
      <c r="D17" s="5">
        <v>2000</v>
      </c>
      <c r="E17" s="15">
        <f t="shared" si="1"/>
        <v>63.099999999999994</v>
      </c>
      <c r="F17" s="3" t="str">
        <f t="shared" si="2"/>
        <v/>
      </c>
      <c r="G17" s="3" t="str">
        <f t="shared" si="3"/>
        <v/>
      </c>
      <c r="H17" s="116" t="str">
        <f t="shared" si="4"/>
        <v/>
      </c>
      <c r="I17" s="3" t="str">
        <f t="shared" si="5"/>
        <v/>
      </c>
      <c r="J17" s="14">
        <f t="shared" si="6"/>
        <v>63.099999999999994</v>
      </c>
      <c r="K17" s="14" t="str">
        <f t="shared" si="7"/>
        <v>2021 Elite Canada</v>
      </c>
      <c r="L17" s="14">
        <f t="shared" si="8"/>
        <v>0</v>
      </c>
      <c r="M17" s="14" t="str">
        <f t="shared" si="9"/>
        <v/>
      </c>
      <c r="N17" s="14" t="str">
        <f t="shared" si="10"/>
        <v/>
      </c>
      <c r="O17" s="24" t="str">
        <f t="shared" si="11"/>
        <v/>
      </c>
      <c r="P17" s="14" t="str">
        <f t="shared" si="12"/>
        <v/>
      </c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72"/>
      <c r="AH17" s="11" t="str">
        <f t="shared" si="13"/>
        <v/>
      </c>
      <c r="AI17" s="11" t="str">
        <f t="shared" si="14"/>
        <v/>
      </c>
      <c r="AJ17" s="11" t="str">
        <f t="shared" si="15"/>
        <v/>
      </c>
      <c r="AK17" s="11" t="str">
        <f t="shared" si="16"/>
        <v/>
      </c>
      <c r="AL17" s="11" t="str">
        <f t="shared" si="17"/>
        <v/>
      </c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73"/>
      <c r="BD17" s="14" t="str">
        <f t="shared" si="18"/>
        <v/>
      </c>
      <c r="BE17" s="14" t="str">
        <f t="shared" si="19"/>
        <v/>
      </c>
      <c r="BF17" s="14" t="str">
        <f t="shared" si="20"/>
        <v/>
      </c>
      <c r="BG17" s="14" t="str">
        <f t="shared" si="21"/>
        <v/>
      </c>
      <c r="BH17" s="14" t="str">
        <f t="shared" si="22"/>
        <v/>
      </c>
      <c r="BI17" s="61">
        <v>28.7</v>
      </c>
      <c r="BJ17" s="61">
        <v>3.5</v>
      </c>
      <c r="BK17" s="61">
        <v>0.3</v>
      </c>
      <c r="BL17" s="61">
        <v>0</v>
      </c>
      <c r="BM17" s="61">
        <v>28.5</v>
      </c>
      <c r="BN17" s="61">
        <v>3.6</v>
      </c>
      <c r="BO17" s="61">
        <v>0.9</v>
      </c>
      <c r="BP17" s="61">
        <v>0</v>
      </c>
      <c r="BQ17" s="61">
        <v>27.7</v>
      </c>
      <c r="BR17" s="61">
        <v>5.2</v>
      </c>
      <c r="BS17" s="61">
        <v>0</v>
      </c>
      <c r="BT17" s="61">
        <v>0</v>
      </c>
      <c r="BU17" s="61">
        <v>28.2</v>
      </c>
      <c r="BV17" s="61">
        <v>3.7</v>
      </c>
      <c r="BW17" s="61">
        <v>0.9</v>
      </c>
      <c r="BX17" s="61">
        <v>0</v>
      </c>
      <c r="BY17" s="72"/>
      <c r="BZ17" s="11">
        <f t="shared" si="23"/>
        <v>7.1</v>
      </c>
      <c r="CA17" s="11">
        <f t="shared" si="24"/>
        <v>63.099999999999994</v>
      </c>
      <c r="CB17" s="11">
        <f t="shared" si="25"/>
        <v>8.9</v>
      </c>
      <c r="CC17" s="11">
        <f t="shared" si="26"/>
        <v>63.9</v>
      </c>
      <c r="CD17" s="11">
        <f t="shared" si="27"/>
        <v>127</v>
      </c>
      <c r="CE17" s="23" t="str">
        <f t="shared" si="28"/>
        <v/>
      </c>
      <c r="CF17" s="23" t="str">
        <f t="shared" si="29"/>
        <v/>
      </c>
      <c r="CG17" s="40"/>
      <c r="CH17" s="40"/>
      <c r="CI17" s="40"/>
      <c r="CJ17" s="40"/>
      <c r="CK17" s="40"/>
      <c r="CL17" s="40"/>
      <c r="CM17" s="40"/>
      <c r="CN17" s="40"/>
      <c r="CO17" s="40"/>
      <c r="CP17" s="40"/>
      <c r="CQ17" s="40"/>
      <c r="CR17" s="40"/>
      <c r="CS17" s="40"/>
      <c r="CT17" s="40"/>
      <c r="CU17" s="40"/>
      <c r="CV17" s="40"/>
      <c r="CW17" s="11" t="str">
        <f t="shared" si="30"/>
        <v/>
      </c>
      <c r="CX17" s="11" t="str">
        <f t="shared" si="31"/>
        <v/>
      </c>
      <c r="CY17" s="11" t="str">
        <f t="shared" si="32"/>
        <v/>
      </c>
      <c r="CZ17" s="11" t="str">
        <f t="shared" si="33"/>
        <v/>
      </c>
      <c r="DA17" s="11" t="str">
        <f t="shared" si="34"/>
        <v/>
      </c>
      <c r="DB17" s="39"/>
      <c r="DC17" s="39"/>
      <c r="DD17" s="39"/>
      <c r="DE17" s="39"/>
      <c r="DF17" s="39"/>
      <c r="DG17" s="39"/>
      <c r="DH17" s="39"/>
      <c r="DI17" s="39"/>
      <c r="DJ17" s="39"/>
      <c r="DK17" s="39"/>
      <c r="DL17" s="39"/>
      <c r="DM17" s="39"/>
      <c r="DN17" s="39"/>
      <c r="DO17" s="39"/>
      <c r="DP17" s="39"/>
      <c r="DQ17" s="39"/>
      <c r="DR17" s="14" t="str">
        <f t="shared" si="35"/>
        <v/>
      </c>
      <c r="DS17" s="14" t="str">
        <f t="shared" si="36"/>
        <v/>
      </c>
      <c r="DT17" s="14" t="str">
        <f t="shared" si="37"/>
        <v/>
      </c>
      <c r="DU17" s="14" t="str">
        <f t="shared" si="38"/>
        <v/>
      </c>
      <c r="DV17" s="14" t="str">
        <f t="shared" si="39"/>
        <v/>
      </c>
      <c r="DW17" s="40"/>
      <c r="DX17" s="40"/>
      <c r="DY17" s="40"/>
      <c r="DZ17" s="40"/>
      <c r="EA17" s="40"/>
      <c r="EB17" s="40"/>
      <c r="EC17" s="40"/>
      <c r="ED17" s="40"/>
      <c r="EE17" s="40"/>
      <c r="EF17" s="40"/>
      <c r="EG17" s="40"/>
      <c r="EH17" s="40"/>
      <c r="EI17" s="40"/>
      <c r="EJ17" s="40"/>
      <c r="EK17" s="40"/>
      <c r="EL17" s="40"/>
      <c r="EM17" s="11" t="str">
        <f t="shared" si="40"/>
        <v/>
      </c>
      <c r="EN17" s="11" t="str">
        <f t="shared" si="41"/>
        <v/>
      </c>
      <c r="EO17" s="11" t="str">
        <f t="shared" si="42"/>
        <v/>
      </c>
      <c r="EP17" s="11" t="str">
        <f t="shared" si="43"/>
        <v/>
      </c>
      <c r="EQ17" s="11" t="str">
        <f t="shared" si="44"/>
        <v/>
      </c>
      <c r="ER17" s="39"/>
      <c r="ES17" s="39"/>
      <c r="ET17" s="39"/>
      <c r="EU17" s="39"/>
      <c r="EV17" s="39"/>
      <c r="EW17" s="39"/>
      <c r="EX17" s="39"/>
      <c r="EY17" s="39"/>
      <c r="EZ17" s="39"/>
      <c r="FA17" s="39"/>
      <c r="FB17" s="39"/>
      <c r="FC17" s="39"/>
      <c r="FD17" s="39"/>
      <c r="FE17" s="39"/>
      <c r="FF17" s="39"/>
      <c r="FG17" s="39"/>
      <c r="FH17" s="14" t="str">
        <f t="shared" si="45"/>
        <v/>
      </c>
      <c r="FI17" s="14" t="str">
        <f t="shared" si="46"/>
        <v/>
      </c>
      <c r="FJ17" s="14" t="str">
        <f t="shared" si="47"/>
        <v/>
      </c>
      <c r="FK17" s="14" t="str">
        <f t="shared" si="48"/>
        <v/>
      </c>
      <c r="FL17" s="14" t="str">
        <f t="shared" si="49"/>
        <v/>
      </c>
      <c r="FM17" s="40"/>
      <c r="FN17" s="40"/>
      <c r="FO17" s="40"/>
      <c r="FP17" s="40"/>
      <c r="FQ17" s="40"/>
      <c r="FR17" s="40"/>
      <c r="FS17" s="40"/>
      <c r="FT17" s="40"/>
      <c r="FU17" s="40"/>
      <c r="FV17" s="40"/>
      <c r="FW17" s="40"/>
      <c r="FX17" s="40"/>
      <c r="FY17" s="40"/>
      <c r="FZ17" s="40"/>
      <c r="GA17" s="40"/>
      <c r="GB17" s="40"/>
      <c r="GC17" s="11" t="str">
        <f t="shared" si="50"/>
        <v/>
      </c>
      <c r="GD17" s="11" t="str">
        <f t="shared" si="51"/>
        <v/>
      </c>
      <c r="GE17" s="11" t="str">
        <f t="shared" si="52"/>
        <v/>
      </c>
      <c r="GF17" s="11" t="str">
        <f t="shared" si="53"/>
        <v/>
      </c>
      <c r="GG17" s="11" t="str">
        <f t="shared" si="54"/>
        <v/>
      </c>
      <c r="GH17" s="39"/>
      <c r="GI17" s="39"/>
      <c r="GJ17" s="39"/>
      <c r="GK17" s="39"/>
      <c r="GL17" s="39"/>
      <c r="GM17" s="39"/>
      <c r="GN17" s="39"/>
      <c r="GO17" s="39"/>
      <c r="GP17" s="39"/>
      <c r="GQ17" s="39"/>
      <c r="GR17" s="39"/>
      <c r="GS17" s="39"/>
      <c r="GT17" s="39"/>
      <c r="GU17" s="39"/>
      <c r="GV17" s="39"/>
      <c r="GW17" s="39"/>
      <c r="GX17" s="14" t="str">
        <f t="shared" si="55"/>
        <v/>
      </c>
      <c r="GY17" s="14" t="str">
        <f t="shared" si="56"/>
        <v/>
      </c>
      <c r="GZ17" s="14" t="str">
        <f t="shared" si="57"/>
        <v/>
      </c>
      <c r="HA17" s="14" t="str">
        <f t="shared" si="58"/>
        <v/>
      </c>
      <c r="HB17" s="14" t="str">
        <f t="shared" si="59"/>
        <v/>
      </c>
      <c r="HC17" s="40"/>
      <c r="HD17" s="40"/>
      <c r="HE17" s="40"/>
      <c r="HF17" s="40"/>
      <c r="HG17" s="40"/>
      <c r="HH17" s="40"/>
      <c r="HI17" s="40"/>
      <c r="HJ17" s="40"/>
      <c r="HK17" s="40"/>
      <c r="HL17" s="40"/>
      <c r="HM17" s="40"/>
      <c r="HN17" s="40"/>
      <c r="HO17" s="40"/>
      <c r="HP17" s="40"/>
      <c r="HQ17" s="40"/>
      <c r="HR17" s="40"/>
      <c r="HS17" s="11" t="str">
        <f t="shared" si="60"/>
        <v/>
      </c>
      <c r="HT17" s="11" t="str">
        <f t="shared" si="61"/>
        <v/>
      </c>
      <c r="HU17" s="11" t="str">
        <f t="shared" si="62"/>
        <v/>
      </c>
      <c r="HV17" s="11" t="str">
        <f t="shared" si="63"/>
        <v/>
      </c>
      <c r="HW17" s="11" t="str">
        <f t="shared" si="64"/>
        <v/>
      </c>
      <c r="HX17" s="39"/>
      <c r="HY17" s="39"/>
      <c r="HZ17" s="39"/>
      <c r="IA17" s="39"/>
      <c r="IB17" s="39"/>
      <c r="IC17" s="39"/>
      <c r="ID17" s="39"/>
      <c r="IE17" s="39"/>
      <c r="IF17" s="39"/>
      <c r="IG17" s="39"/>
      <c r="IH17" s="39"/>
      <c r="II17" s="39"/>
      <c r="IJ17" s="39"/>
      <c r="IK17" s="39"/>
      <c r="IL17" s="39"/>
      <c r="IM17" s="39"/>
      <c r="IN17" s="14" t="str">
        <f t="shared" si="65"/>
        <v/>
      </c>
      <c r="IO17" s="14" t="str">
        <f t="shared" si="66"/>
        <v/>
      </c>
      <c r="IP17" s="14" t="str">
        <f t="shared" si="67"/>
        <v/>
      </c>
      <c r="IQ17" s="14" t="str">
        <f t="shared" si="68"/>
        <v/>
      </c>
      <c r="IR17" s="14" t="str">
        <f t="shared" si="69"/>
        <v/>
      </c>
      <c r="IS17" s="40"/>
      <c r="IT17" s="40"/>
      <c r="IU17" s="40"/>
      <c r="IV17" s="40"/>
      <c r="IW17" s="40"/>
      <c r="IX17" s="40"/>
      <c r="IY17" s="40"/>
      <c r="IZ17" s="40"/>
      <c r="JA17" s="40"/>
      <c r="JB17" s="40"/>
      <c r="JC17" s="40"/>
      <c r="JD17" s="40"/>
      <c r="JE17" s="40"/>
      <c r="JF17" s="40"/>
      <c r="JG17" s="40"/>
      <c r="JH17" s="40"/>
      <c r="JI17" s="11" t="str">
        <f t="shared" si="70"/>
        <v/>
      </c>
      <c r="JJ17" s="11" t="str">
        <f t="shared" si="71"/>
        <v/>
      </c>
      <c r="JK17" s="11" t="str">
        <f t="shared" si="72"/>
        <v/>
      </c>
      <c r="JL17" s="11" t="str">
        <f t="shared" si="73"/>
        <v/>
      </c>
      <c r="JM17" s="11" t="str">
        <f t="shared" si="74"/>
        <v/>
      </c>
      <c r="JN17" s="39"/>
      <c r="JO17" s="39"/>
      <c r="JP17" s="39"/>
      <c r="JQ17" s="39"/>
      <c r="JR17" s="39"/>
      <c r="JS17" s="39"/>
      <c r="JT17" s="39"/>
      <c r="JU17" s="39"/>
      <c r="JV17" s="39"/>
      <c r="JW17" s="39"/>
      <c r="JX17" s="39"/>
      <c r="JY17" s="39"/>
      <c r="JZ17" s="39"/>
      <c r="KA17" s="39"/>
      <c r="KB17" s="39"/>
      <c r="KC17" s="39"/>
      <c r="KD17" s="14" t="str">
        <f t="shared" si="75"/>
        <v/>
      </c>
      <c r="KE17" s="14" t="str">
        <f t="shared" si="76"/>
        <v/>
      </c>
      <c r="KF17" s="14" t="str">
        <f t="shared" si="77"/>
        <v/>
      </c>
      <c r="KG17" s="14" t="str">
        <f t="shared" si="78"/>
        <v/>
      </c>
      <c r="KH17" s="14" t="str">
        <f t="shared" si="79"/>
        <v/>
      </c>
      <c r="KI17" s="40"/>
      <c r="KJ17" s="40"/>
      <c r="KK17" s="40"/>
      <c r="KL17" s="40"/>
      <c r="KM17" s="40"/>
      <c r="KN17" s="40"/>
      <c r="KO17" s="40"/>
      <c r="KP17" s="40"/>
      <c r="KQ17" s="40"/>
      <c r="KR17" s="40"/>
      <c r="KS17" s="40"/>
      <c r="KT17" s="40"/>
      <c r="KU17" s="40"/>
      <c r="KV17" s="40"/>
      <c r="KW17" s="40"/>
      <c r="KX17" s="40"/>
      <c r="KY17" s="11" t="str">
        <f t="shared" si="80"/>
        <v/>
      </c>
      <c r="KZ17" s="11" t="str">
        <f t="shared" si="81"/>
        <v/>
      </c>
      <c r="LA17" s="11" t="str">
        <f t="shared" si="82"/>
        <v/>
      </c>
      <c r="LB17" s="11" t="str">
        <f t="shared" si="83"/>
        <v/>
      </c>
      <c r="LC17" s="11" t="str">
        <f t="shared" si="84"/>
        <v/>
      </c>
      <c r="LD17" s="39"/>
      <c r="LE17" s="39"/>
      <c r="LF17" s="39"/>
      <c r="LG17" s="39"/>
      <c r="LH17" s="39"/>
      <c r="LI17" s="39"/>
      <c r="LJ17" s="39"/>
      <c r="LK17" s="39"/>
      <c r="LL17" s="39"/>
      <c r="LM17" s="39"/>
      <c r="LN17" s="39"/>
      <c r="LO17" s="39"/>
      <c r="LP17" s="39"/>
      <c r="LQ17" s="39"/>
      <c r="LR17" s="39"/>
      <c r="LS17" s="39"/>
      <c r="LT17" s="14" t="str">
        <f t="shared" si="85"/>
        <v/>
      </c>
      <c r="LU17" s="14" t="str">
        <f t="shared" si="86"/>
        <v/>
      </c>
      <c r="LV17" s="14" t="str">
        <f t="shared" si="87"/>
        <v/>
      </c>
      <c r="LW17" s="14" t="str">
        <f t="shared" si="88"/>
        <v/>
      </c>
      <c r="LX17" s="14" t="str">
        <f t="shared" si="89"/>
        <v/>
      </c>
      <c r="LY17" s="61">
        <f t="shared" si="90"/>
        <v>14.35</v>
      </c>
      <c r="LZ17" s="61">
        <f t="shared" si="91"/>
        <v>1.75</v>
      </c>
      <c r="MA17" s="61">
        <f t="shared" si="92"/>
        <v>0.15</v>
      </c>
      <c r="MB17" s="61">
        <f t="shared" si="93"/>
        <v>0</v>
      </c>
      <c r="MC17" s="61">
        <f t="shared" si="94"/>
        <v>14.25</v>
      </c>
      <c r="MD17" s="61">
        <f t="shared" si="95"/>
        <v>1.8</v>
      </c>
      <c r="ME17" s="61">
        <f t="shared" si="96"/>
        <v>0.45</v>
      </c>
      <c r="MF17" s="61">
        <f t="shared" si="97"/>
        <v>0</v>
      </c>
      <c r="MG17" s="61">
        <f t="shared" si="98"/>
        <v>13.85</v>
      </c>
      <c r="MH17" s="61">
        <f t="shared" si="99"/>
        <v>2.6</v>
      </c>
      <c r="MI17" s="61">
        <f t="shared" si="100"/>
        <v>0</v>
      </c>
      <c r="MJ17" s="61">
        <f t="shared" si="101"/>
        <v>0</v>
      </c>
      <c r="MK17" s="61">
        <f t="shared" si="102"/>
        <v>14.1</v>
      </c>
      <c r="ML17" s="61">
        <f t="shared" si="103"/>
        <v>1.85</v>
      </c>
      <c r="MM17" s="61">
        <f t="shared" si="104"/>
        <v>0.45</v>
      </c>
      <c r="MN17" s="61">
        <f t="shared" si="105"/>
        <v>0</v>
      </c>
      <c r="MO17" s="72" t="s">
        <v>52</v>
      </c>
      <c r="MP17" s="11">
        <f t="shared" si="106"/>
        <v>3.55</v>
      </c>
      <c r="MQ17" s="11">
        <f t="shared" si="107"/>
        <v>31.549999999999997</v>
      </c>
      <c r="MR17" s="11">
        <f t="shared" si="108"/>
        <v>4.45</v>
      </c>
      <c r="MS17" s="11">
        <f t="shared" si="109"/>
        <v>31.95</v>
      </c>
      <c r="MT17" s="11">
        <f t="shared" si="110"/>
        <v>63.5</v>
      </c>
    </row>
    <row r="18" spans="1:358" x14ac:dyDescent="0.2">
      <c r="A18" s="5" t="str">
        <f t="shared" si="0"/>
        <v/>
      </c>
      <c r="B18" s="8" t="s">
        <v>130</v>
      </c>
      <c r="C18" s="4" t="s">
        <v>6</v>
      </c>
      <c r="D18" s="5">
        <v>2004</v>
      </c>
      <c r="E18" s="15">
        <f t="shared" si="1"/>
        <v>63</v>
      </c>
      <c r="F18" s="3" t="str">
        <f t="shared" si="2"/>
        <v/>
      </c>
      <c r="G18" s="3" t="str">
        <f t="shared" si="3"/>
        <v/>
      </c>
      <c r="H18" s="116" t="str">
        <f t="shared" si="4"/>
        <v/>
      </c>
      <c r="I18" s="3" t="str">
        <f t="shared" si="5"/>
        <v/>
      </c>
      <c r="J18" s="14">
        <f t="shared" si="6"/>
        <v>63</v>
      </c>
      <c r="K18" s="14" t="str">
        <f t="shared" si="7"/>
        <v>2021 Elite Canada</v>
      </c>
      <c r="L18" s="14">
        <f t="shared" si="8"/>
        <v>0</v>
      </c>
      <c r="M18" s="14" t="str">
        <f t="shared" si="9"/>
        <v/>
      </c>
      <c r="N18" s="14" t="str">
        <f t="shared" si="10"/>
        <v/>
      </c>
      <c r="O18" s="24" t="str">
        <f t="shared" si="11"/>
        <v/>
      </c>
      <c r="P18" s="14" t="str">
        <f t="shared" si="12"/>
        <v/>
      </c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72"/>
      <c r="AH18" s="11" t="str">
        <f t="shared" si="13"/>
        <v/>
      </c>
      <c r="AI18" s="11" t="str">
        <f t="shared" si="14"/>
        <v/>
      </c>
      <c r="AJ18" s="11" t="str">
        <f t="shared" si="15"/>
        <v/>
      </c>
      <c r="AK18" s="11" t="str">
        <f t="shared" si="16"/>
        <v/>
      </c>
      <c r="AL18" s="11" t="str">
        <f t="shared" si="17"/>
        <v/>
      </c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73"/>
      <c r="BD18" s="14" t="str">
        <f t="shared" si="18"/>
        <v/>
      </c>
      <c r="BE18" s="14" t="str">
        <f t="shared" si="19"/>
        <v/>
      </c>
      <c r="BF18" s="14" t="str">
        <f t="shared" si="20"/>
        <v/>
      </c>
      <c r="BG18" s="14" t="str">
        <f t="shared" si="21"/>
        <v/>
      </c>
      <c r="BH18" s="14" t="str">
        <f t="shared" si="22"/>
        <v/>
      </c>
      <c r="BI18" s="61">
        <v>27.6</v>
      </c>
      <c r="BJ18" s="61">
        <v>3.2</v>
      </c>
      <c r="BK18" s="61">
        <v>0</v>
      </c>
      <c r="BL18" s="61">
        <v>0</v>
      </c>
      <c r="BM18" s="61">
        <v>28.7</v>
      </c>
      <c r="BN18" s="61">
        <v>3.5</v>
      </c>
      <c r="BO18" s="61">
        <v>0</v>
      </c>
      <c r="BP18" s="61">
        <v>0</v>
      </c>
      <c r="BQ18" s="61">
        <v>28.1</v>
      </c>
      <c r="BR18" s="61">
        <v>3.1</v>
      </c>
      <c r="BS18" s="61">
        <v>0</v>
      </c>
      <c r="BT18" s="61">
        <v>0</v>
      </c>
      <c r="BU18" s="61">
        <v>28.3</v>
      </c>
      <c r="BV18" s="61">
        <v>3.4</v>
      </c>
      <c r="BW18" s="61">
        <v>0</v>
      </c>
      <c r="BX18" s="61">
        <v>0</v>
      </c>
      <c r="BY18" s="72"/>
      <c r="BZ18" s="11">
        <f t="shared" si="23"/>
        <v>6.7</v>
      </c>
      <c r="CA18" s="11">
        <f t="shared" si="24"/>
        <v>63</v>
      </c>
      <c r="CB18" s="11">
        <f t="shared" si="25"/>
        <v>6.5</v>
      </c>
      <c r="CC18" s="11">
        <f t="shared" si="26"/>
        <v>62.9</v>
      </c>
      <c r="CD18" s="11">
        <f t="shared" si="27"/>
        <v>125.9</v>
      </c>
      <c r="CE18" s="23" t="str">
        <f t="shared" si="28"/>
        <v/>
      </c>
      <c r="CF18" s="23" t="str">
        <f t="shared" si="29"/>
        <v/>
      </c>
      <c r="CG18" s="40"/>
      <c r="CH18" s="40"/>
      <c r="CI18" s="40"/>
      <c r="CJ18" s="40"/>
      <c r="CK18" s="40"/>
      <c r="CL18" s="40"/>
      <c r="CM18" s="40"/>
      <c r="CN18" s="40"/>
      <c r="CO18" s="40"/>
      <c r="CP18" s="40"/>
      <c r="CQ18" s="40"/>
      <c r="CR18" s="40"/>
      <c r="CS18" s="40"/>
      <c r="CT18" s="40"/>
      <c r="CU18" s="40"/>
      <c r="CV18" s="40"/>
      <c r="CW18" s="11" t="str">
        <f t="shared" si="30"/>
        <v/>
      </c>
      <c r="CX18" s="11" t="str">
        <f t="shared" si="31"/>
        <v/>
      </c>
      <c r="CY18" s="11" t="str">
        <f t="shared" si="32"/>
        <v/>
      </c>
      <c r="CZ18" s="11" t="str">
        <f t="shared" si="33"/>
        <v/>
      </c>
      <c r="DA18" s="11" t="str">
        <f t="shared" si="34"/>
        <v/>
      </c>
      <c r="DB18" s="39"/>
      <c r="DC18" s="39"/>
      <c r="DD18" s="39"/>
      <c r="DE18" s="39"/>
      <c r="DF18" s="39"/>
      <c r="DG18" s="39"/>
      <c r="DH18" s="39"/>
      <c r="DI18" s="39"/>
      <c r="DJ18" s="39"/>
      <c r="DK18" s="39"/>
      <c r="DL18" s="39"/>
      <c r="DM18" s="39"/>
      <c r="DN18" s="39"/>
      <c r="DO18" s="39"/>
      <c r="DP18" s="39"/>
      <c r="DQ18" s="39"/>
      <c r="DR18" s="14" t="str">
        <f t="shared" si="35"/>
        <v/>
      </c>
      <c r="DS18" s="14" t="str">
        <f t="shared" si="36"/>
        <v/>
      </c>
      <c r="DT18" s="14" t="str">
        <f t="shared" si="37"/>
        <v/>
      </c>
      <c r="DU18" s="14" t="str">
        <f t="shared" si="38"/>
        <v/>
      </c>
      <c r="DV18" s="14" t="str">
        <f t="shared" si="39"/>
        <v/>
      </c>
      <c r="DW18" s="40"/>
      <c r="DX18" s="40"/>
      <c r="DY18" s="40"/>
      <c r="DZ18" s="40"/>
      <c r="EA18" s="40"/>
      <c r="EB18" s="40"/>
      <c r="EC18" s="40"/>
      <c r="ED18" s="40"/>
      <c r="EE18" s="40"/>
      <c r="EF18" s="40"/>
      <c r="EG18" s="40"/>
      <c r="EH18" s="40"/>
      <c r="EI18" s="40"/>
      <c r="EJ18" s="40"/>
      <c r="EK18" s="40"/>
      <c r="EL18" s="40"/>
      <c r="EM18" s="11" t="str">
        <f t="shared" si="40"/>
        <v/>
      </c>
      <c r="EN18" s="11" t="str">
        <f t="shared" si="41"/>
        <v/>
      </c>
      <c r="EO18" s="11" t="str">
        <f t="shared" si="42"/>
        <v/>
      </c>
      <c r="EP18" s="11" t="str">
        <f t="shared" si="43"/>
        <v/>
      </c>
      <c r="EQ18" s="11" t="str">
        <f t="shared" si="44"/>
        <v/>
      </c>
      <c r="ER18" s="39"/>
      <c r="ES18" s="39"/>
      <c r="ET18" s="39"/>
      <c r="EU18" s="39"/>
      <c r="EV18" s="39"/>
      <c r="EW18" s="39"/>
      <c r="EX18" s="39"/>
      <c r="EY18" s="39"/>
      <c r="EZ18" s="39"/>
      <c r="FA18" s="39"/>
      <c r="FB18" s="39"/>
      <c r="FC18" s="39"/>
      <c r="FD18" s="39"/>
      <c r="FE18" s="39"/>
      <c r="FF18" s="39"/>
      <c r="FG18" s="39"/>
      <c r="FH18" s="14" t="str">
        <f t="shared" si="45"/>
        <v/>
      </c>
      <c r="FI18" s="14" t="str">
        <f t="shared" si="46"/>
        <v/>
      </c>
      <c r="FJ18" s="14" t="str">
        <f t="shared" si="47"/>
        <v/>
      </c>
      <c r="FK18" s="14" t="str">
        <f t="shared" si="48"/>
        <v/>
      </c>
      <c r="FL18" s="14" t="str">
        <f t="shared" si="49"/>
        <v/>
      </c>
      <c r="FM18" s="40"/>
      <c r="FN18" s="40"/>
      <c r="FO18" s="40"/>
      <c r="FP18" s="40"/>
      <c r="FQ18" s="40"/>
      <c r="FR18" s="40"/>
      <c r="FS18" s="40"/>
      <c r="FT18" s="40"/>
      <c r="FU18" s="40"/>
      <c r="FV18" s="40"/>
      <c r="FW18" s="40"/>
      <c r="FX18" s="40"/>
      <c r="FY18" s="40"/>
      <c r="FZ18" s="40"/>
      <c r="GA18" s="40"/>
      <c r="GB18" s="40"/>
      <c r="GC18" s="11" t="str">
        <f t="shared" si="50"/>
        <v/>
      </c>
      <c r="GD18" s="11" t="str">
        <f t="shared" si="51"/>
        <v/>
      </c>
      <c r="GE18" s="11" t="str">
        <f t="shared" si="52"/>
        <v/>
      </c>
      <c r="GF18" s="11" t="str">
        <f t="shared" si="53"/>
        <v/>
      </c>
      <c r="GG18" s="11" t="str">
        <f t="shared" si="54"/>
        <v/>
      </c>
      <c r="GH18" s="39"/>
      <c r="GI18" s="39"/>
      <c r="GJ18" s="39"/>
      <c r="GK18" s="39"/>
      <c r="GL18" s="39"/>
      <c r="GM18" s="39"/>
      <c r="GN18" s="39"/>
      <c r="GO18" s="39"/>
      <c r="GP18" s="39"/>
      <c r="GQ18" s="39"/>
      <c r="GR18" s="39"/>
      <c r="GS18" s="39"/>
      <c r="GT18" s="39"/>
      <c r="GU18" s="39"/>
      <c r="GV18" s="39"/>
      <c r="GW18" s="39"/>
      <c r="GX18" s="14" t="str">
        <f t="shared" si="55"/>
        <v/>
      </c>
      <c r="GY18" s="14" t="str">
        <f t="shared" si="56"/>
        <v/>
      </c>
      <c r="GZ18" s="14" t="str">
        <f t="shared" si="57"/>
        <v/>
      </c>
      <c r="HA18" s="14" t="str">
        <f t="shared" si="58"/>
        <v/>
      </c>
      <c r="HB18" s="14" t="str">
        <f t="shared" si="59"/>
        <v/>
      </c>
      <c r="HC18" s="40"/>
      <c r="HD18" s="40"/>
      <c r="HE18" s="40"/>
      <c r="HF18" s="40"/>
      <c r="HG18" s="40"/>
      <c r="HH18" s="40"/>
      <c r="HI18" s="40"/>
      <c r="HJ18" s="40"/>
      <c r="HK18" s="40"/>
      <c r="HL18" s="40"/>
      <c r="HM18" s="40"/>
      <c r="HN18" s="40"/>
      <c r="HO18" s="40"/>
      <c r="HP18" s="40"/>
      <c r="HQ18" s="40"/>
      <c r="HR18" s="40"/>
      <c r="HS18" s="11" t="str">
        <f t="shared" si="60"/>
        <v/>
      </c>
      <c r="HT18" s="11" t="str">
        <f t="shared" si="61"/>
        <v/>
      </c>
      <c r="HU18" s="11" t="str">
        <f t="shared" si="62"/>
        <v/>
      </c>
      <c r="HV18" s="11" t="str">
        <f t="shared" si="63"/>
        <v/>
      </c>
      <c r="HW18" s="11" t="str">
        <f t="shared" si="64"/>
        <v/>
      </c>
      <c r="HX18" s="39"/>
      <c r="HY18" s="39"/>
      <c r="HZ18" s="39"/>
      <c r="IA18" s="39"/>
      <c r="IB18" s="39"/>
      <c r="IC18" s="39"/>
      <c r="ID18" s="39"/>
      <c r="IE18" s="39"/>
      <c r="IF18" s="39"/>
      <c r="IG18" s="39"/>
      <c r="IH18" s="39"/>
      <c r="II18" s="39"/>
      <c r="IJ18" s="39"/>
      <c r="IK18" s="39"/>
      <c r="IL18" s="39"/>
      <c r="IM18" s="39"/>
      <c r="IN18" s="14" t="str">
        <f t="shared" si="65"/>
        <v/>
      </c>
      <c r="IO18" s="14" t="str">
        <f t="shared" si="66"/>
        <v/>
      </c>
      <c r="IP18" s="14" t="str">
        <f t="shared" si="67"/>
        <v/>
      </c>
      <c r="IQ18" s="14" t="str">
        <f t="shared" si="68"/>
        <v/>
      </c>
      <c r="IR18" s="14" t="str">
        <f t="shared" si="69"/>
        <v/>
      </c>
      <c r="IS18" s="40"/>
      <c r="IT18" s="40"/>
      <c r="IU18" s="40"/>
      <c r="IV18" s="40"/>
      <c r="IW18" s="40"/>
      <c r="IX18" s="40"/>
      <c r="IY18" s="40"/>
      <c r="IZ18" s="40"/>
      <c r="JA18" s="40"/>
      <c r="JB18" s="40"/>
      <c r="JC18" s="40"/>
      <c r="JD18" s="40"/>
      <c r="JE18" s="40"/>
      <c r="JF18" s="40"/>
      <c r="JG18" s="40"/>
      <c r="JH18" s="40"/>
      <c r="JI18" s="11" t="str">
        <f t="shared" si="70"/>
        <v/>
      </c>
      <c r="JJ18" s="11" t="str">
        <f t="shared" si="71"/>
        <v/>
      </c>
      <c r="JK18" s="11" t="str">
        <f t="shared" si="72"/>
        <v/>
      </c>
      <c r="JL18" s="11" t="str">
        <f t="shared" si="73"/>
        <v/>
      </c>
      <c r="JM18" s="11" t="str">
        <f t="shared" si="74"/>
        <v/>
      </c>
      <c r="JN18" s="39"/>
      <c r="JO18" s="39"/>
      <c r="JP18" s="39"/>
      <c r="JQ18" s="39"/>
      <c r="JR18" s="39"/>
      <c r="JS18" s="39"/>
      <c r="JT18" s="39"/>
      <c r="JU18" s="39"/>
      <c r="JV18" s="39"/>
      <c r="JW18" s="39"/>
      <c r="JX18" s="39"/>
      <c r="JY18" s="39"/>
      <c r="JZ18" s="39"/>
      <c r="KA18" s="39"/>
      <c r="KB18" s="39"/>
      <c r="KC18" s="39"/>
      <c r="KD18" s="14" t="str">
        <f t="shared" si="75"/>
        <v/>
      </c>
      <c r="KE18" s="14" t="str">
        <f t="shared" si="76"/>
        <v/>
      </c>
      <c r="KF18" s="14" t="str">
        <f t="shared" si="77"/>
        <v/>
      </c>
      <c r="KG18" s="14" t="str">
        <f t="shared" si="78"/>
        <v/>
      </c>
      <c r="KH18" s="14" t="str">
        <f t="shared" si="79"/>
        <v/>
      </c>
      <c r="KI18" s="40"/>
      <c r="KJ18" s="40"/>
      <c r="KK18" s="40"/>
      <c r="KL18" s="40"/>
      <c r="KM18" s="40"/>
      <c r="KN18" s="40"/>
      <c r="KO18" s="40"/>
      <c r="KP18" s="40"/>
      <c r="KQ18" s="40"/>
      <c r="KR18" s="40"/>
      <c r="KS18" s="40"/>
      <c r="KT18" s="40"/>
      <c r="KU18" s="40"/>
      <c r="KV18" s="40"/>
      <c r="KW18" s="40"/>
      <c r="KX18" s="40"/>
      <c r="KY18" s="11" t="str">
        <f t="shared" si="80"/>
        <v/>
      </c>
      <c r="KZ18" s="11" t="str">
        <f t="shared" si="81"/>
        <v/>
      </c>
      <c r="LA18" s="11" t="str">
        <f t="shared" si="82"/>
        <v/>
      </c>
      <c r="LB18" s="11" t="str">
        <f t="shared" si="83"/>
        <v/>
      </c>
      <c r="LC18" s="11" t="str">
        <f t="shared" si="84"/>
        <v/>
      </c>
      <c r="LD18" s="39"/>
      <c r="LE18" s="39"/>
      <c r="LF18" s="39"/>
      <c r="LG18" s="39"/>
      <c r="LH18" s="39"/>
      <c r="LI18" s="39"/>
      <c r="LJ18" s="39"/>
      <c r="LK18" s="39"/>
      <c r="LL18" s="39"/>
      <c r="LM18" s="39"/>
      <c r="LN18" s="39"/>
      <c r="LO18" s="39"/>
      <c r="LP18" s="39"/>
      <c r="LQ18" s="39"/>
      <c r="LR18" s="39"/>
      <c r="LS18" s="39"/>
      <c r="LT18" s="14" t="str">
        <f t="shared" si="85"/>
        <v/>
      </c>
      <c r="LU18" s="14" t="str">
        <f t="shared" si="86"/>
        <v/>
      </c>
      <c r="LV18" s="14" t="str">
        <f t="shared" si="87"/>
        <v/>
      </c>
      <c r="LW18" s="14" t="str">
        <f t="shared" si="88"/>
        <v/>
      </c>
      <c r="LX18" s="14" t="str">
        <f t="shared" si="89"/>
        <v/>
      </c>
      <c r="LY18" s="61">
        <f t="shared" si="90"/>
        <v>13.8</v>
      </c>
      <c r="LZ18" s="61">
        <f t="shared" si="91"/>
        <v>1.6</v>
      </c>
      <c r="MA18" s="61">
        <f t="shared" si="92"/>
        <v>0</v>
      </c>
      <c r="MB18" s="61">
        <f t="shared" si="93"/>
        <v>0</v>
      </c>
      <c r="MC18" s="61">
        <f t="shared" si="94"/>
        <v>14.35</v>
      </c>
      <c r="MD18" s="61">
        <f t="shared" si="95"/>
        <v>1.75</v>
      </c>
      <c r="ME18" s="61">
        <f t="shared" si="96"/>
        <v>0</v>
      </c>
      <c r="MF18" s="61">
        <f t="shared" si="97"/>
        <v>0</v>
      </c>
      <c r="MG18" s="61">
        <f t="shared" si="98"/>
        <v>14.05</v>
      </c>
      <c r="MH18" s="61">
        <f t="shared" si="99"/>
        <v>1.55</v>
      </c>
      <c r="MI18" s="61">
        <f t="shared" si="100"/>
        <v>0</v>
      </c>
      <c r="MJ18" s="61">
        <f t="shared" si="101"/>
        <v>0</v>
      </c>
      <c r="MK18" s="61">
        <f t="shared" si="102"/>
        <v>14.15</v>
      </c>
      <c r="ML18" s="61">
        <f t="shared" si="103"/>
        <v>1.7</v>
      </c>
      <c r="MM18" s="61">
        <f t="shared" si="104"/>
        <v>0</v>
      </c>
      <c r="MN18" s="61">
        <f t="shared" si="105"/>
        <v>0</v>
      </c>
      <c r="MO18" s="72" t="s">
        <v>52</v>
      </c>
      <c r="MP18" s="11">
        <f t="shared" si="106"/>
        <v>3.35</v>
      </c>
      <c r="MQ18" s="11">
        <f t="shared" si="107"/>
        <v>31.5</v>
      </c>
      <c r="MR18" s="11">
        <f t="shared" si="108"/>
        <v>3.25</v>
      </c>
      <c r="MS18" s="11">
        <f t="shared" si="109"/>
        <v>31.45</v>
      </c>
      <c r="MT18" s="11">
        <f t="shared" si="110"/>
        <v>62.95</v>
      </c>
    </row>
    <row r="19" spans="1:358" x14ac:dyDescent="0.2">
      <c r="A19" s="5" t="str">
        <f t="shared" si="0"/>
        <v/>
      </c>
      <c r="B19" s="8" t="s">
        <v>123</v>
      </c>
      <c r="C19" s="4" t="s">
        <v>5</v>
      </c>
      <c r="D19" s="5">
        <v>2003</v>
      </c>
      <c r="E19" s="15">
        <f t="shared" si="1"/>
        <v>62.599999999999994</v>
      </c>
      <c r="F19" s="3" t="str">
        <f t="shared" si="2"/>
        <v/>
      </c>
      <c r="G19" s="3" t="str">
        <f t="shared" si="3"/>
        <v/>
      </c>
      <c r="H19" s="116" t="str">
        <f t="shared" si="4"/>
        <v/>
      </c>
      <c r="I19" s="3" t="str">
        <f t="shared" si="5"/>
        <v/>
      </c>
      <c r="J19" s="14">
        <f t="shared" si="6"/>
        <v>62.599999999999994</v>
      </c>
      <c r="K19" s="14" t="str">
        <f t="shared" si="7"/>
        <v>2021 2nd Virtual Technical Trial</v>
      </c>
      <c r="L19" s="14">
        <f t="shared" si="8"/>
        <v>0</v>
      </c>
      <c r="M19" s="14" t="str">
        <f t="shared" si="9"/>
        <v/>
      </c>
      <c r="N19" s="14" t="str">
        <f t="shared" si="10"/>
        <v/>
      </c>
      <c r="O19" s="24" t="str">
        <f t="shared" si="11"/>
        <v/>
      </c>
      <c r="P19" s="14" t="str">
        <f t="shared" si="12"/>
        <v/>
      </c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72"/>
      <c r="AH19" s="11" t="str">
        <f t="shared" si="13"/>
        <v/>
      </c>
      <c r="AI19" s="11" t="str">
        <f t="shared" si="14"/>
        <v/>
      </c>
      <c r="AJ19" s="11" t="str">
        <f t="shared" si="15"/>
        <v/>
      </c>
      <c r="AK19" s="11" t="str">
        <f t="shared" si="16"/>
        <v/>
      </c>
      <c r="AL19" s="11" t="str">
        <f t="shared" si="17"/>
        <v/>
      </c>
      <c r="AM19" s="36">
        <v>24.9</v>
      </c>
      <c r="AN19" s="36">
        <v>6</v>
      </c>
      <c r="AO19" s="36">
        <v>1.8</v>
      </c>
      <c r="AP19" s="36">
        <v>0</v>
      </c>
      <c r="AQ19" s="36">
        <v>27.9</v>
      </c>
      <c r="AR19" s="36">
        <v>5.6</v>
      </c>
      <c r="AS19" s="36">
        <v>0</v>
      </c>
      <c r="AT19" s="36">
        <v>0</v>
      </c>
      <c r="AU19" s="36">
        <v>19.8</v>
      </c>
      <c r="AV19" s="36">
        <v>2.4</v>
      </c>
      <c r="AW19" s="36">
        <v>0</v>
      </c>
      <c r="AX19" s="36">
        <v>0</v>
      </c>
      <c r="AY19" s="36">
        <v>27.7</v>
      </c>
      <c r="AZ19" s="36">
        <v>5.2</v>
      </c>
      <c r="BA19" s="36">
        <v>0</v>
      </c>
      <c r="BB19" s="36">
        <v>0</v>
      </c>
      <c r="BC19" s="73"/>
      <c r="BD19" s="14">
        <f t="shared" si="18"/>
        <v>11.6</v>
      </c>
      <c r="BE19" s="14">
        <f t="shared" si="19"/>
        <v>62.599999999999994</v>
      </c>
      <c r="BF19" s="14">
        <f t="shared" si="20"/>
        <v>7.6</v>
      </c>
      <c r="BG19" s="14">
        <f t="shared" si="21"/>
        <v>55.1</v>
      </c>
      <c r="BH19" s="14">
        <f t="shared" si="22"/>
        <v>117.69999999999999</v>
      </c>
      <c r="BI19" s="61"/>
      <c r="BJ19" s="61"/>
      <c r="BK19" s="61"/>
      <c r="BL19" s="61"/>
      <c r="BM19" s="61"/>
      <c r="BN19" s="61"/>
      <c r="BO19" s="61"/>
      <c r="BP19" s="61"/>
      <c r="BQ19" s="61"/>
      <c r="BR19" s="61"/>
      <c r="BS19" s="61"/>
      <c r="BT19" s="61"/>
      <c r="BU19" s="61"/>
      <c r="BV19" s="61"/>
      <c r="BW19" s="61"/>
      <c r="BX19" s="61"/>
      <c r="BY19" s="72"/>
      <c r="BZ19" s="11" t="str">
        <f t="shared" si="23"/>
        <v/>
      </c>
      <c r="CA19" s="11" t="str">
        <f t="shared" si="24"/>
        <v/>
      </c>
      <c r="CB19" s="11" t="str">
        <f t="shared" si="25"/>
        <v/>
      </c>
      <c r="CC19" s="11" t="str">
        <f t="shared" si="26"/>
        <v/>
      </c>
      <c r="CD19" s="11" t="str">
        <f t="shared" si="27"/>
        <v/>
      </c>
      <c r="CE19" s="23" t="str">
        <f t="shared" si="28"/>
        <v/>
      </c>
      <c r="CF19" s="23" t="str">
        <f t="shared" si="29"/>
        <v/>
      </c>
      <c r="CG19" s="40"/>
      <c r="CH19" s="40"/>
      <c r="CI19" s="40"/>
      <c r="CJ19" s="40"/>
      <c r="CK19" s="40"/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40"/>
      <c r="CW19" s="11" t="str">
        <f t="shared" si="30"/>
        <v/>
      </c>
      <c r="CX19" s="11" t="str">
        <f t="shared" si="31"/>
        <v/>
      </c>
      <c r="CY19" s="11" t="str">
        <f t="shared" si="32"/>
        <v/>
      </c>
      <c r="CZ19" s="11" t="str">
        <f t="shared" si="33"/>
        <v/>
      </c>
      <c r="DA19" s="11" t="str">
        <f t="shared" si="34"/>
        <v/>
      </c>
      <c r="DB19" s="39"/>
      <c r="DC19" s="39"/>
      <c r="DD19" s="39"/>
      <c r="DE19" s="39"/>
      <c r="DF19" s="39"/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  <c r="DR19" s="14" t="str">
        <f t="shared" si="35"/>
        <v/>
      </c>
      <c r="DS19" s="14" t="str">
        <f t="shared" si="36"/>
        <v/>
      </c>
      <c r="DT19" s="14" t="str">
        <f t="shared" si="37"/>
        <v/>
      </c>
      <c r="DU19" s="14" t="str">
        <f t="shared" si="38"/>
        <v/>
      </c>
      <c r="DV19" s="14" t="str">
        <f t="shared" si="39"/>
        <v/>
      </c>
      <c r="DW19" s="40"/>
      <c r="DX19" s="40"/>
      <c r="DY19" s="40"/>
      <c r="DZ19" s="40"/>
      <c r="EA19" s="40"/>
      <c r="EB19" s="40"/>
      <c r="EC19" s="40"/>
      <c r="ED19" s="40"/>
      <c r="EE19" s="40"/>
      <c r="EF19" s="40"/>
      <c r="EG19" s="40"/>
      <c r="EH19" s="40"/>
      <c r="EI19" s="40"/>
      <c r="EJ19" s="40"/>
      <c r="EK19" s="40"/>
      <c r="EL19" s="40"/>
      <c r="EM19" s="11" t="str">
        <f t="shared" si="40"/>
        <v/>
      </c>
      <c r="EN19" s="11" t="str">
        <f t="shared" si="41"/>
        <v/>
      </c>
      <c r="EO19" s="11" t="str">
        <f t="shared" si="42"/>
        <v/>
      </c>
      <c r="EP19" s="11" t="str">
        <f t="shared" si="43"/>
        <v/>
      </c>
      <c r="EQ19" s="11" t="str">
        <f t="shared" si="44"/>
        <v/>
      </c>
      <c r="ER19" s="39"/>
      <c r="ES19" s="39"/>
      <c r="ET19" s="39"/>
      <c r="EU19" s="39"/>
      <c r="EV19" s="39"/>
      <c r="EW19" s="39"/>
      <c r="EX19" s="39"/>
      <c r="EY19" s="39"/>
      <c r="EZ19" s="39"/>
      <c r="FA19" s="39"/>
      <c r="FB19" s="39"/>
      <c r="FC19" s="39"/>
      <c r="FD19" s="39"/>
      <c r="FE19" s="39"/>
      <c r="FF19" s="39"/>
      <c r="FG19" s="39"/>
      <c r="FH19" s="14" t="str">
        <f t="shared" si="45"/>
        <v/>
      </c>
      <c r="FI19" s="14" t="str">
        <f t="shared" si="46"/>
        <v/>
      </c>
      <c r="FJ19" s="14" t="str">
        <f t="shared" si="47"/>
        <v/>
      </c>
      <c r="FK19" s="14" t="str">
        <f t="shared" si="48"/>
        <v/>
      </c>
      <c r="FL19" s="14" t="str">
        <f t="shared" si="49"/>
        <v/>
      </c>
      <c r="FM19" s="40"/>
      <c r="FN19" s="40"/>
      <c r="FO19" s="40"/>
      <c r="FP19" s="40"/>
      <c r="FQ19" s="40"/>
      <c r="FR19" s="40"/>
      <c r="FS19" s="40"/>
      <c r="FT19" s="40"/>
      <c r="FU19" s="40"/>
      <c r="FV19" s="40"/>
      <c r="FW19" s="40"/>
      <c r="FX19" s="40"/>
      <c r="FY19" s="40"/>
      <c r="FZ19" s="40"/>
      <c r="GA19" s="40"/>
      <c r="GB19" s="40"/>
      <c r="GC19" s="11" t="str">
        <f t="shared" si="50"/>
        <v/>
      </c>
      <c r="GD19" s="11" t="str">
        <f t="shared" si="51"/>
        <v/>
      </c>
      <c r="GE19" s="11" t="str">
        <f t="shared" si="52"/>
        <v/>
      </c>
      <c r="GF19" s="11" t="str">
        <f t="shared" si="53"/>
        <v/>
      </c>
      <c r="GG19" s="11" t="str">
        <f t="shared" si="54"/>
        <v/>
      </c>
      <c r="GH19" s="39"/>
      <c r="GI19" s="39"/>
      <c r="GJ19" s="39"/>
      <c r="GK19" s="39"/>
      <c r="GL19" s="39"/>
      <c r="GM19" s="39"/>
      <c r="GN19" s="39"/>
      <c r="GO19" s="39"/>
      <c r="GP19" s="39"/>
      <c r="GQ19" s="39"/>
      <c r="GR19" s="39"/>
      <c r="GS19" s="39"/>
      <c r="GT19" s="39"/>
      <c r="GU19" s="39"/>
      <c r="GV19" s="39"/>
      <c r="GW19" s="39"/>
      <c r="GX19" s="14" t="str">
        <f t="shared" si="55"/>
        <v/>
      </c>
      <c r="GY19" s="14" t="str">
        <f t="shared" si="56"/>
        <v/>
      </c>
      <c r="GZ19" s="14" t="str">
        <f t="shared" si="57"/>
        <v/>
      </c>
      <c r="HA19" s="14" t="str">
        <f t="shared" si="58"/>
        <v/>
      </c>
      <c r="HB19" s="14" t="str">
        <f t="shared" si="59"/>
        <v/>
      </c>
      <c r="HC19" s="40"/>
      <c r="HD19" s="40"/>
      <c r="HE19" s="40"/>
      <c r="HF19" s="40"/>
      <c r="HG19" s="40"/>
      <c r="HH19" s="40"/>
      <c r="HI19" s="40"/>
      <c r="HJ19" s="40"/>
      <c r="HK19" s="40"/>
      <c r="HL19" s="40"/>
      <c r="HM19" s="40"/>
      <c r="HN19" s="40"/>
      <c r="HO19" s="40"/>
      <c r="HP19" s="40"/>
      <c r="HQ19" s="40"/>
      <c r="HR19" s="40"/>
      <c r="HS19" s="11" t="str">
        <f t="shared" si="60"/>
        <v/>
      </c>
      <c r="HT19" s="11" t="str">
        <f t="shared" si="61"/>
        <v/>
      </c>
      <c r="HU19" s="11" t="str">
        <f t="shared" si="62"/>
        <v/>
      </c>
      <c r="HV19" s="11" t="str">
        <f t="shared" si="63"/>
        <v/>
      </c>
      <c r="HW19" s="11" t="str">
        <f t="shared" si="64"/>
        <v/>
      </c>
      <c r="HX19" s="39"/>
      <c r="HY19" s="39"/>
      <c r="HZ19" s="39"/>
      <c r="IA19" s="39"/>
      <c r="IB19" s="39"/>
      <c r="IC19" s="39"/>
      <c r="ID19" s="39"/>
      <c r="IE19" s="39"/>
      <c r="IF19" s="39"/>
      <c r="IG19" s="39"/>
      <c r="IH19" s="39"/>
      <c r="II19" s="39"/>
      <c r="IJ19" s="39"/>
      <c r="IK19" s="39"/>
      <c r="IL19" s="39"/>
      <c r="IM19" s="39"/>
      <c r="IN19" s="14" t="str">
        <f t="shared" si="65"/>
        <v/>
      </c>
      <c r="IO19" s="14" t="str">
        <f t="shared" si="66"/>
        <v/>
      </c>
      <c r="IP19" s="14" t="str">
        <f t="shared" si="67"/>
        <v/>
      </c>
      <c r="IQ19" s="14" t="str">
        <f t="shared" si="68"/>
        <v/>
      </c>
      <c r="IR19" s="14" t="str">
        <f t="shared" si="69"/>
        <v/>
      </c>
      <c r="IS19" s="40"/>
      <c r="IT19" s="40"/>
      <c r="IU19" s="40"/>
      <c r="IV19" s="40"/>
      <c r="IW19" s="40"/>
      <c r="IX19" s="40"/>
      <c r="IY19" s="40"/>
      <c r="IZ19" s="40"/>
      <c r="JA19" s="40"/>
      <c r="JB19" s="40"/>
      <c r="JC19" s="40"/>
      <c r="JD19" s="40"/>
      <c r="JE19" s="40"/>
      <c r="JF19" s="40"/>
      <c r="JG19" s="40"/>
      <c r="JH19" s="40"/>
      <c r="JI19" s="11" t="str">
        <f t="shared" si="70"/>
        <v/>
      </c>
      <c r="JJ19" s="11" t="str">
        <f t="shared" si="71"/>
        <v/>
      </c>
      <c r="JK19" s="11" t="str">
        <f t="shared" si="72"/>
        <v/>
      </c>
      <c r="JL19" s="11" t="str">
        <f t="shared" si="73"/>
        <v/>
      </c>
      <c r="JM19" s="11" t="str">
        <f t="shared" si="74"/>
        <v/>
      </c>
      <c r="JN19" s="39"/>
      <c r="JO19" s="39"/>
      <c r="JP19" s="39"/>
      <c r="JQ19" s="39"/>
      <c r="JR19" s="39"/>
      <c r="JS19" s="39"/>
      <c r="JT19" s="39"/>
      <c r="JU19" s="39"/>
      <c r="JV19" s="39"/>
      <c r="JW19" s="39"/>
      <c r="JX19" s="39"/>
      <c r="JY19" s="39"/>
      <c r="JZ19" s="39"/>
      <c r="KA19" s="39"/>
      <c r="KB19" s="39"/>
      <c r="KC19" s="39"/>
      <c r="KD19" s="14" t="str">
        <f t="shared" si="75"/>
        <v/>
      </c>
      <c r="KE19" s="14" t="str">
        <f t="shared" si="76"/>
        <v/>
      </c>
      <c r="KF19" s="14" t="str">
        <f t="shared" si="77"/>
        <v/>
      </c>
      <c r="KG19" s="14" t="str">
        <f t="shared" si="78"/>
        <v/>
      </c>
      <c r="KH19" s="14" t="str">
        <f t="shared" si="79"/>
        <v/>
      </c>
      <c r="KI19" s="40"/>
      <c r="KJ19" s="40"/>
      <c r="KK19" s="40"/>
      <c r="KL19" s="40"/>
      <c r="KM19" s="40"/>
      <c r="KN19" s="40"/>
      <c r="KO19" s="40"/>
      <c r="KP19" s="40"/>
      <c r="KQ19" s="40"/>
      <c r="KR19" s="40"/>
      <c r="KS19" s="40"/>
      <c r="KT19" s="40"/>
      <c r="KU19" s="40"/>
      <c r="KV19" s="40"/>
      <c r="KW19" s="40"/>
      <c r="KX19" s="40"/>
      <c r="KY19" s="11" t="str">
        <f t="shared" si="80"/>
        <v/>
      </c>
      <c r="KZ19" s="11" t="str">
        <f t="shared" si="81"/>
        <v/>
      </c>
      <c r="LA19" s="11" t="str">
        <f t="shared" si="82"/>
        <v/>
      </c>
      <c r="LB19" s="11" t="str">
        <f t="shared" si="83"/>
        <v/>
      </c>
      <c r="LC19" s="11" t="str">
        <f t="shared" si="84"/>
        <v/>
      </c>
      <c r="LD19" s="39"/>
      <c r="LE19" s="39"/>
      <c r="LF19" s="39"/>
      <c r="LG19" s="39"/>
      <c r="LH19" s="39"/>
      <c r="LI19" s="39"/>
      <c r="LJ19" s="39"/>
      <c r="LK19" s="39"/>
      <c r="LL19" s="39"/>
      <c r="LM19" s="39"/>
      <c r="LN19" s="39"/>
      <c r="LO19" s="39"/>
      <c r="LP19" s="39"/>
      <c r="LQ19" s="39"/>
      <c r="LR19" s="39"/>
      <c r="LS19" s="39"/>
      <c r="LT19" s="14" t="str">
        <f t="shared" si="85"/>
        <v/>
      </c>
      <c r="LU19" s="14" t="str">
        <f t="shared" si="86"/>
        <v/>
      </c>
      <c r="LV19" s="14" t="str">
        <f t="shared" si="87"/>
        <v/>
      </c>
      <c r="LW19" s="14" t="str">
        <f t="shared" si="88"/>
        <v/>
      </c>
      <c r="LX19" s="14" t="str">
        <f t="shared" si="89"/>
        <v/>
      </c>
      <c r="LY19" s="61">
        <f t="shared" si="90"/>
        <v>12.45</v>
      </c>
      <c r="LZ19" s="61">
        <f t="shared" si="91"/>
        <v>3</v>
      </c>
      <c r="MA19" s="61">
        <f t="shared" si="92"/>
        <v>0.9</v>
      </c>
      <c r="MB19" s="61">
        <f t="shared" si="93"/>
        <v>0</v>
      </c>
      <c r="MC19" s="61">
        <f t="shared" si="94"/>
        <v>13.95</v>
      </c>
      <c r="MD19" s="61">
        <f t="shared" si="95"/>
        <v>2.8</v>
      </c>
      <c r="ME19" s="61">
        <f t="shared" si="96"/>
        <v>0</v>
      </c>
      <c r="MF19" s="61">
        <f t="shared" si="97"/>
        <v>0</v>
      </c>
      <c r="MG19" s="61">
        <f t="shared" si="98"/>
        <v>9.9</v>
      </c>
      <c r="MH19" s="61">
        <f t="shared" si="99"/>
        <v>1.2</v>
      </c>
      <c r="MI19" s="61">
        <f t="shared" si="100"/>
        <v>0</v>
      </c>
      <c r="MJ19" s="61">
        <f t="shared" si="101"/>
        <v>0</v>
      </c>
      <c r="MK19" s="61">
        <f t="shared" si="102"/>
        <v>13.85</v>
      </c>
      <c r="ML19" s="61">
        <f t="shared" si="103"/>
        <v>2.6</v>
      </c>
      <c r="MM19" s="61">
        <f t="shared" si="104"/>
        <v>0</v>
      </c>
      <c r="MN19" s="61">
        <f t="shared" si="105"/>
        <v>0</v>
      </c>
      <c r="MO19" s="72" t="s">
        <v>52</v>
      </c>
      <c r="MP19" s="11">
        <f t="shared" si="106"/>
        <v>5.8</v>
      </c>
      <c r="MQ19" s="11">
        <f t="shared" si="107"/>
        <v>31.299999999999997</v>
      </c>
      <c r="MR19" s="11">
        <f t="shared" si="108"/>
        <v>3.8</v>
      </c>
      <c r="MS19" s="11">
        <f t="shared" si="109"/>
        <v>27.55</v>
      </c>
      <c r="MT19" s="11">
        <f t="shared" si="110"/>
        <v>58.849999999999994</v>
      </c>
    </row>
    <row r="20" spans="1:358" x14ac:dyDescent="0.2">
      <c r="A20" s="5" t="str">
        <f t="shared" si="0"/>
        <v/>
      </c>
      <c r="B20" s="8" t="s">
        <v>147</v>
      </c>
      <c r="C20" s="4" t="s">
        <v>6</v>
      </c>
      <c r="D20" s="5">
        <v>2003</v>
      </c>
      <c r="E20" s="15">
        <f t="shared" si="1"/>
        <v>62.4</v>
      </c>
      <c r="F20" s="3" t="str">
        <f t="shared" si="2"/>
        <v/>
      </c>
      <c r="G20" s="3" t="str">
        <f t="shared" si="3"/>
        <v/>
      </c>
      <c r="H20" s="116" t="str">
        <f t="shared" si="4"/>
        <v/>
      </c>
      <c r="I20" s="3" t="str">
        <f t="shared" si="5"/>
        <v/>
      </c>
      <c r="J20" s="14">
        <f t="shared" si="6"/>
        <v>62.4</v>
      </c>
      <c r="K20" s="14" t="str">
        <f t="shared" si="7"/>
        <v>2021 Elite Canada</v>
      </c>
      <c r="L20" s="14">
        <f t="shared" si="8"/>
        <v>0</v>
      </c>
      <c r="M20" s="14" t="str">
        <f t="shared" si="9"/>
        <v/>
      </c>
      <c r="N20" s="14" t="str">
        <f t="shared" si="10"/>
        <v/>
      </c>
      <c r="O20" s="24" t="str">
        <f t="shared" si="11"/>
        <v/>
      </c>
      <c r="P20" s="14" t="str">
        <f t="shared" si="12"/>
        <v/>
      </c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72"/>
      <c r="AH20" s="11" t="str">
        <f t="shared" si="13"/>
        <v/>
      </c>
      <c r="AI20" s="11" t="str">
        <f t="shared" si="14"/>
        <v/>
      </c>
      <c r="AJ20" s="11" t="str">
        <f t="shared" si="15"/>
        <v/>
      </c>
      <c r="AK20" s="11" t="str">
        <f t="shared" si="16"/>
        <v/>
      </c>
      <c r="AL20" s="11" t="str">
        <f t="shared" si="17"/>
        <v/>
      </c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73"/>
      <c r="BD20" s="14" t="str">
        <f t="shared" si="18"/>
        <v/>
      </c>
      <c r="BE20" s="14" t="str">
        <f t="shared" si="19"/>
        <v/>
      </c>
      <c r="BF20" s="14" t="str">
        <f t="shared" si="20"/>
        <v/>
      </c>
      <c r="BG20" s="14" t="str">
        <f t="shared" si="21"/>
        <v/>
      </c>
      <c r="BH20" s="14" t="str">
        <f t="shared" si="22"/>
        <v/>
      </c>
      <c r="BI20" s="61">
        <v>28</v>
      </c>
      <c r="BJ20" s="61">
        <v>3.2</v>
      </c>
      <c r="BK20" s="61">
        <v>0.3</v>
      </c>
      <c r="BL20" s="61">
        <v>0</v>
      </c>
      <c r="BM20" s="61">
        <v>28.1</v>
      </c>
      <c r="BN20" s="61">
        <v>3.4</v>
      </c>
      <c r="BO20" s="61">
        <v>0</v>
      </c>
      <c r="BP20" s="61">
        <v>0</v>
      </c>
      <c r="BQ20" s="61">
        <v>28.2</v>
      </c>
      <c r="BR20" s="61">
        <v>3.5</v>
      </c>
      <c r="BS20" s="61">
        <v>0.3</v>
      </c>
      <c r="BT20" s="61">
        <v>0</v>
      </c>
      <c r="BU20" s="61">
        <v>20.100000000000001</v>
      </c>
      <c r="BV20" s="61">
        <v>0.9</v>
      </c>
      <c r="BW20" s="61">
        <v>0</v>
      </c>
      <c r="BX20" s="61">
        <v>0</v>
      </c>
      <c r="BY20" s="72"/>
      <c r="BZ20" s="11">
        <f t="shared" si="23"/>
        <v>6.6</v>
      </c>
      <c r="CA20" s="11">
        <f t="shared" si="24"/>
        <v>62.4</v>
      </c>
      <c r="CB20" s="11">
        <f t="shared" si="25"/>
        <v>4.4000000000000004</v>
      </c>
      <c r="CC20" s="11">
        <f t="shared" si="26"/>
        <v>52.4</v>
      </c>
      <c r="CD20" s="11">
        <f t="shared" si="27"/>
        <v>114.8</v>
      </c>
      <c r="CE20" s="23" t="str">
        <f t="shared" si="28"/>
        <v/>
      </c>
      <c r="CF20" s="23" t="str">
        <f t="shared" si="29"/>
        <v/>
      </c>
      <c r="CG20" s="40"/>
      <c r="CH20" s="40"/>
      <c r="CI20" s="40"/>
      <c r="CJ20" s="40"/>
      <c r="CK20" s="40"/>
      <c r="CL20" s="40"/>
      <c r="CM20" s="40"/>
      <c r="CN20" s="40"/>
      <c r="CO20" s="40"/>
      <c r="CP20" s="40"/>
      <c r="CQ20" s="40"/>
      <c r="CR20" s="40"/>
      <c r="CS20" s="40"/>
      <c r="CT20" s="40"/>
      <c r="CU20" s="40"/>
      <c r="CV20" s="40"/>
      <c r="CW20" s="11" t="str">
        <f t="shared" si="30"/>
        <v/>
      </c>
      <c r="CX20" s="11" t="str">
        <f t="shared" si="31"/>
        <v/>
      </c>
      <c r="CY20" s="11" t="str">
        <f t="shared" si="32"/>
        <v/>
      </c>
      <c r="CZ20" s="11" t="str">
        <f t="shared" si="33"/>
        <v/>
      </c>
      <c r="DA20" s="11" t="str">
        <f t="shared" si="34"/>
        <v/>
      </c>
      <c r="DB20" s="39"/>
      <c r="DC20" s="39"/>
      <c r="DD20" s="39"/>
      <c r="DE20" s="39"/>
      <c r="DF20" s="39"/>
      <c r="DG20" s="39"/>
      <c r="DH20" s="39"/>
      <c r="DI20" s="39"/>
      <c r="DJ20" s="39"/>
      <c r="DK20" s="39"/>
      <c r="DL20" s="39"/>
      <c r="DM20" s="39"/>
      <c r="DN20" s="39"/>
      <c r="DO20" s="39"/>
      <c r="DP20" s="39"/>
      <c r="DQ20" s="39"/>
      <c r="DR20" s="14" t="str">
        <f t="shared" si="35"/>
        <v/>
      </c>
      <c r="DS20" s="14" t="str">
        <f t="shared" si="36"/>
        <v/>
      </c>
      <c r="DT20" s="14" t="str">
        <f t="shared" si="37"/>
        <v/>
      </c>
      <c r="DU20" s="14" t="str">
        <f t="shared" si="38"/>
        <v/>
      </c>
      <c r="DV20" s="14" t="str">
        <f t="shared" si="39"/>
        <v/>
      </c>
      <c r="DW20" s="40"/>
      <c r="DX20" s="40"/>
      <c r="DY20" s="40"/>
      <c r="DZ20" s="40"/>
      <c r="EA20" s="40"/>
      <c r="EB20" s="40"/>
      <c r="EC20" s="40"/>
      <c r="ED20" s="40"/>
      <c r="EE20" s="40"/>
      <c r="EF20" s="40"/>
      <c r="EG20" s="40"/>
      <c r="EH20" s="40"/>
      <c r="EI20" s="40"/>
      <c r="EJ20" s="40"/>
      <c r="EK20" s="40"/>
      <c r="EL20" s="40"/>
      <c r="EM20" s="11" t="str">
        <f t="shared" si="40"/>
        <v/>
      </c>
      <c r="EN20" s="11" t="str">
        <f t="shared" si="41"/>
        <v/>
      </c>
      <c r="EO20" s="11" t="str">
        <f t="shared" si="42"/>
        <v/>
      </c>
      <c r="EP20" s="11" t="str">
        <f t="shared" si="43"/>
        <v/>
      </c>
      <c r="EQ20" s="11" t="str">
        <f t="shared" si="44"/>
        <v/>
      </c>
      <c r="ER20" s="39"/>
      <c r="ES20" s="39"/>
      <c r="ET20" s="39"/>
      <c r="EU20" s="39"/>
      <c r="EV20" s="39"/>
      <c r="EW20" s="39"/>
      <c r="EX20" s="39"/>
      <c r="EY20" s="39"/>
      <c r="EZ20" s="39"/>
      <c r="FA20" s="39"/>
      <c r="FB20" s="39"/>
      <c r="FC20" s="39"/>
      <c r="FD20" s="39"/>
      <c r="FE20" s="39"/>
      <c r="FF20" s="39"/>
      <c r="FG20" s="39"/>
      <c r="FH20" s="14" t="str">
        <f t="shared" si="45"/>
        <v/>
      </c>
      <c r="FI20" s="14" t="str">
        <f t="shared" si="46"/>
        <v/>
      </c>
      <c r="FJ20" s="14" t="str">
        <f t="shared" si="47"/>
        <v/>
      </c>
      <c r="FK20" s="14" t="str">
        <f t="shared" si="48"/>
        <v/>
      </c>
      <c r="FL20" s="14" t="str">
        <f t="shared" si="49"/>
        <v/>
      </c>
      <c r="FM20" s="40"/>
      <c r="FN20" s="40"/>
      <c r="FO20" s="40"/>
      <c r="FP20" s="40"/>
      <c r="FQ20" s="40"/>
      <c r="FR20" s="40"/>
      <c r="FS20" s="40"/>
      <c r="FT20" s="40"/>
      <c r="FU20" s="40"/>
      <c r="FV20" s="40"/>
      <c r="FW20" s="40"/>
      <c r="FX20" s="40"/>
      <c r="FY20" s="40"/>
      <c r="FZ20" s="40"/>
      <c r="GA20" s="40"/>
      <c r="GB20" s="40"/>
      <c r="GC20" s="11" t="str">
        <f t="shared" si="50"/>
        <v/>
      </c>
      <c r="GD20" s="11" t="str">
        <f t="shared" si="51"/>
        <v/>
      </c>
      <c r="GE20" s="11" t="str">
        <f t="shared" si="52"/>
        <v/>
      </c>
      <c r="GF20" s="11" t="str">
        <f t="shared" si="53"/>
        <v/>
      </c>
      <c r="GG20" s="11" t="str">
        <f t="shared" si="54"/>
        <v/>
      </c>
      <c r="GH20" s="39"/>
      <c r="GI20" s="39"/>
      <c r="GJ20" s="39"/>
      <c r="GK20" s="39"/>
      <c r="GL20" s="39"/>
      <c r="GM20" s="39"/>
      <c r="GN20" s="39"/>
      <c r="GO20" s="39"/>
      <c r="GP20" s="39"/>
      <c r="GQ20" s="39"/>
      <c r="GR20" s="39"/>
      <c r="GS20" s="39"/>
      <c r="GT20" s="39"/>
      <c r="GU20" s="39"/>
      <c r="GV20" s="39"/>
      <c r="GW20" s="39"/>
      <c r="GX20" s="14" t="str">
        <f t="shared" si="55"/>
        <v/>
      </c>
      <c r="GY20" s="14" t="str">
        <f t="shared" si="56"/>
        <v/>
      </c>
      <c r="GZ20" s="14" t="str">
        <f t="shared" si="57"/>
        <v/>
      </c>
      <c r="HA20" s="14" t="str">
        <f t="shared" si="58"/>
        <v/>
      </c>
      <c r="HB20" s="14" t="str">
        <f t="shared" si="59"/>
        <v/>
      </c>
      <c r="HC20" s="40"/>
      <c r="HD20" s="40"/>
      <c r="HE20" s="40"/>
      <c r="HF20" s="40"/>
      <c r="HG20" s="40"/>
      <c r="HH20" s="40"/>
      <c r="HI20" s="40"/>
      <c r="HJ20" s="40"/>
      <c r="HK20" s="40"/>
      <c r="HL20" s="40"/>
      <c r="HM20" s="40"/>
      <c r="HN20" s="40"/>
      <c r="HO20" s="40"/>
      <c r="HP20" s="40"/>
      <c r="HQ20" s="40"/>
      <c r="HR20" s="40"/>
      <c r="HS20" s="11" t="str">
        <f t="shared" si="60"/>
        <v/>
      </c>
      <c r="HT20" s="11" t="str">
        <f t="shared" si="61"/>
        <v/>
      </c>
      <c r="HU20" s="11" t="str">
        <f t="shared" si="62"/>
        <v/>
      </c>
      <c r="HV20" s="11" t="str">
        <f t="shared" si="63"/>
        <v/>
      </c>
      <c r="HW20" s="11" t="str">
        <f t="shared" si="64"/>
        <v/>
      </c>
      <c r="HX20" s="39"/>
      <c r="HY20" s="39"/>
      <c r="HZ20" s="39"/>
      <c r="IA20" s="39"/>
      <c r="IB20" s="39"/>
      <c r="IC20" s="39"/>
      <c r="ID20" s="39"/>
      <c r="IE20" s="39"/>
      <c r="IF20" s="39"/>
      <c r="IG20" s="39"/>
      <c r="IH20" s="39"/>
      <c r="II20" s="39"/>
      <c r="IJ20" s="39"/>
      <c r="IK20" s="39"/>
      <c r="IL20" s="39"/>
      <c r="IM20" s="39"/>
      <c r="IN20" s="14" t="str">
        <f t="shared" si="65"/>
        <v/>
      </c>
      <c r="IO20" s="14" t="str">
        <f t="shared" si="66"/>
        <v/>
      </c>
      <c r="IP20" s="14" t="str">
        <f t="shared" si="67"/>
        <v/>
      </c>
      <c r="IQ20" s="14" t="str">
        <f t="shared" si="68"/>
        <v/>
      </c>
      <c r="IR20" s="14" t="str">
        <f t="shared" si="69"/>
        <v/>
      </c>
      <c r="IS20" s="40"/>
      <c r="IT20" s="40"/>
      <c r="IU20" s="40"/>
      <c r="IV20" s="40"/>
      <c r="IW20" s="40"/>
      <c r="IX20" s="40"/>
      <c r="IY20" s="40"/>
      <c r="IZ20" s="40"/>
      <c r="JA20" s="40"/>
      <c r="JB20" s="40"/>
      <c r="JC20" s="40"/>
      <c r="JD20" s="40"/>
      <c r="JE20" s="40"/>
      <c r="JF20" s="40"/>
      <c r="JG20" s="40"/>
      <c r="JH20" s="40"/>
      <c r="JI20" s="11" t="str">
        <f t="shared" si="70"/>
        <v/>
      </c>
      <c r="JJ20" s="11" t="str">
        <f t="shared" si="71"/>
        <v/>
      </c>
      <c r="JK20" s="11" t="str">
        <f t="shared" si="72"/>
        <v/>
      </c>
      <c r="JL20" s="11" t="str">
        <f t="shared" si="73"/>
        <v/>
      </c>
      <c r="JM20" s="11" t="str">
        <f t="shared" si="74"/>
        <v/>
      </c>
      <c r="JN20" s="39"/>
      <c r="JO20" s="39"/>
      <c r="JP20" s="39"/>
      <c r="JQ20" s="39"/>
      <c r="JR20" s="39"/>
      <c r="JS20" s="39"/>
      <c r="JT20" s="39"/>
      <c r="JU20" s="39"/>
      <c r="JV20" s="39"/>
      <c r="JW20" s="39"/>
      <c r="JX20" s="39"/>
      <c r="JY20" s="39"/>
      <c r="JZ20" s="39"/>
      <c r="KA20" s="39"/>
      <c r="KB20" s="39"/>
      <c r="KC20" s="39"/>
      <c r="KD20" s="14" t="str">
        <f t="shared" si="75"/>
        <v/>
      </c>
      <c r="KE20" s="14" t="str">
        <f t="shared" si="76"/>
        <v/>
      </c>
      <c r="KF20" s="14" t="str">
        <f t="shared" si="77"/>
        <v/>
      </c>
      <c r="KG20" s="14" t="str">
        <f t="shared" si="78"/>
        <v/>
      </c>
      <c r="KH20" s="14" t="str">
        <f t="shared" si="79"/>
        <v/>
      </c>
      <c r="KI20" s="40"/>
      <c r="KJ20" s="40"/>
      <c r="KK20" s="40"/>
      <c r="KL20" s="40"/>
      <c r="KM20" s="40"/>
      <c r="KN20" s="40"/>
      <c r="KO20" s="40"/>
      <c r="KP20" s="40"/>
      <c r="KQ20" s="40"/>
      <c r="KR20" s="40"/>
      <c r="KS20" s="40"/>
      <c r="KT20" s="40"/>
      <c r="KU20" s="40"/>
      <c r="KV20" s="40"/>
      <c r="KW20" s="40"/>
      <c r="KX20" s="40"/>
      <c r="KY20" s="11" t="str">
        <f t="shared" si="80"/>
        <v/>
      </c>
      <c r="KZ20" s="11" t="str">
        <f t="shared" si="81"/>
        <v/>
      </c>
      <c r="LA20" s="11" t="str">
        <f t="shared" si="82"/>
        <v/>
      </c>
      <c r="LB20" s="11" t="str">
        <f t="shared" si="83"/>
        <v/>
      </c>
      <c r="LC20" s="11" t="str">
        <f t="shared" si="84"/>
        <v/>
      </c>
      <c r="LD20" s="39"/>
      <c r="LE20" s="39"/>
      <c r="LF20" s="39"/>
      <c r="LG20" s="39"/>
      <c r="LH20" s="39"/>
      <c r="LI20" s="39"/>
      <c r="LJ20" s="39"/>
      <c r="LK20" s="39"/>
      <c r="LL20" s="39"/>
      <c r="LM20" s="39"/>
      <c r="LN20" s="39"/>
      <c r="LO20" s="39"/>
      <c r="LP20" s="39"/>
      <c r="LQ20" s="39"/>
      <c r="LR20" s="39"/>
      <c r="LS20" s="39"/>
      <c r="LT20" s="14" t="str">
        <f t="shared" si="85"/>
        <v/>
      </c>
      <c r="LU20" s="14" t="str">
        <f t="shared" si="86"/>
        <v/>
      </c>
      <c r="LV20" s="14" t="str">
        <f t="shared" si="87"/>
        <v/>
      </c>
      <c r="LW20" s="14" t="str">
        <f t="shared" si="88"/>
        <v/>
      </c>
      <c r="LX20" s="14" t="str">
        <f t="shared" si="89"/>
        <v/>
      </c>
      <c r="LY20" s="61">
        <f t="shared" si="90"/>
        <v>14</v>
      </c>
      <c r="LZ20" s="61">
        <f t="shared" si="91"/>
        <v>1.6</v>
      </c>
      <c r="MA20" s="61">
        <f t="shared" si="92"/>
        <v>0.15</v>
      </c>
      <c r="MB20" s="61">
        <f t="shared" si="93"/>
        <v>0</v>
      </c>
      <c r="MC20" s="61">
        <f t="shared" si="94"/>
        <v>14.05</v>
      </c>
      <c r="MD20" s="61">
        <f t="shared" si="95"/>
        <v>1.7</v>
      </c>
      <c r="ME20" s="61">
        <f t="shared" si="96"/>
        <v>0</v>
      </c>
      <c r="MF20" s="61">
        <f t="shared" si="97"/>
        <v>0</v>
      </c>
      <c r="MG20" s="61">
        <f t="shared" si="98"/>
        <v>14.1</v>
      </c>
      <c r="MH20" s="61">
        <f t="shared" si="99"/>
        <v>1.75</v>
      </c>
      <c r="MI20" s="61">
        <f t="shared" si="100"/>
        <v>0.15</v>
      </c>
      <c r="MJ20" s="61">
        <f t="shared" si="101"/>
        <v>0</v>
      </c>
      <c r="MK20" s="61">
        <f t="shared" si="102"/>
        <v>10.050000000000001</v>
      </c>
      <c r="ML20" s="61">
        <f t="shared" si="103"/>
        <v>0.45</v>
      </c>
      <c r="MM20" s="61">
        <f t="shared" si="104"/>
        <v>0</v>
      </c>
      <c r="MN20" s="61">
        <f t="shared" si="105"/>
        <v>0</v>
      </c>
      <c r="MO20" s="72" t="s">
        <v>52</v>
      </c>
      <c r="MP20" s="11">
        <f t="shared" si="106"/>
        <v>3.3</v>
      </c>
      <c r="MQ20" s="11">
        <f t="shared" si="107"/>
        <v>31.2</v>
      </c>
      <c r="MR20" s="11">
        <f t="shared" si="108"/>
        <v>2.2000000000000002</v>
      </c>
      <c r="MS20" s="11">
        <f t="shared" si="109"/>
        <v>26.2</v>
      </c>
      <c r="MT20" s="11">
        <f t="shared" si="110"/>
        <v>57.4</v>
      </c>
    </row>
    <row r="21" spans="1:358" x14ac:dyDescent="0.2">
      <c r="A21" s="5" t="str">
        <f t="shared" si="0"/>
        <v/>
      </c>
      <c r="B21" s="8" t="s">
        <v>154</v>
      </c>
      <c r="C21" s="4" t="s">
        <v>96</v>
      </c>
      <c r="D21" s="5">
        <v>2003</v>
      </c>
      <c r="E21" s="15">
        <f t="shared" si="1"/>
        <v>59.2</v>
      </c>
      <c r="F21" s="3" t="str">
        <f t="shared" si="2"/>
        <v/>
      </c>
      <c r="G21" s="3" t="str">
        <f t="shared" si="3"/>
        <v/>
      </c>
      <c r="H21" s="116" t="str">
        <f t="shared" si="4"/>
        <v/>
      </c>
      <c r="I21" s="3" t="str">
        <f t="shared" si="5"/>
        <v/>
      </c>
      <c r="J21" s="14">
        <f t="shared" si="6"/>
        <v>59.2</v>
      </c>
      <c r="K21" s="14" t="str">
        <f t="shared" si="7"/>
        <v>2021 Elite Canada</v>
      </c>
      <c r="L21" s="14">
        <f t="shared" si="8"/>
        <v>0</v>
      </c>
      <c r="M21" s="14" t="str">
        <f t="shared" si="9"/>
        <v/>
      </c>
      <c r="N21" s="14" t="str">
        <f t="shared" si="10"/>
        <v/>
      </c>
      <c r="O21" s="24" t="str">
        <f t="shared" si="11"/>
        <v/>
      </c>
      <c r="P21" s="14" t="str">
        <f t="shared" si="12"/>
        <v/>
      </c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72"/>
      <c r="AH21" s="11" t="str">
        <f t="shared" si="13"/>
        <v/>
      </c>
      <c r="AI21" s="11" t="str">
        <f t="shared" si="14"/>
        <v/>
      </c>
      <c r="AJ21" s="11" t="str">
        <f t="shared" si="15"/>
        <v/>
      </c>
      <c r="AK21" s="11" t="str">
        <f t="shared" si="16"/>
        <v/>
      </c>
      <c r="AL21" s="11" t="str">
        <f t="shared" si="17"/>
        <v/>
      </c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73"/>
      <c r="BD21" s="14" t="str">
        <f t="shared" si="18"/>
        <v/>
      </c>
      <c r="BE21" s="14" t="str">
        <f t="shared" si="19"/>
        <v/>
      </c>
      <c r="BF21" s="14" t="str">
        <f t="shared" si="20"/>
        <v/>
      </c>
      <c r="BG21" s="14" t="str">
        <f t="shared" si="21"/>
        <v/>
      </c>
      <c r="BH21" s="14" t="str">
        <f t="shared" si="22"/>
        <v/>
      </c>
      <c r="BI21" s="61">
        <v>25.2</v>
      </c>
      <c r="BJ21" s="61">
        <v>3.2</v>
      </c>
      <c r="BK21" s="61">
        <v>0.3</v>
      </c>
      <c r="BL21" s="61">
        <v>0</v>
      </c>
      <c r="BM21" s="61">
        <v>28</v>
      </c>
      <c r="BN21" s="61">
        <v>3.1</v>
      </c>
      <c r="BO21" s="61">
        <v>0</v>
      </c>
      <c r="BP21" s="61">
        <v>0</v>
      </c>
      <c r="BQ21" s="61">
        <v>27.5</v>
      </c>
      <c r="BR21" s="61">
        <v>3.3</v>
      </c>
      <c r="BS21" s="61">
        <v>0</v>
      </c>
      <c r="BT21" s="61">
        <v>0</v>
      </c>
      <c r="BU21" s="61">
        <v>27.6</v>
      </c>
      <c r="BV21" s="61">
        <v>3.4</v>
      </c>
      <c r="BW21" s="61">
        <v>0</v>
      </c>
      <c r="BX21" s="61">
        <v>0</v>
      </c>
      <c r="BY21" s="72"/>
      <c r="BZ21" s="11">
        <f t="shared" si="23"/>
        <v>6.3000000000000007</v>
      </c>
      <c r="CA21" s="11">
        <f t="shared" si="24"/>
        <v>59.2</v>
      </c>
      <c r="CB21" s="11">
        <f t="shared" si="25"/>
        <v>6.6999999999999993</v>
      </c>
      <c r="CC21" s="11">
        <f t="shared" si="26"/>
        <v>61.800000000000004</v>
      </c>
      <c r="CD21" s="11">
        <f t="shared" si="27"/>
        <v>121</v>
      </c>
      <c r="CE21" s="23" t="str">
        <f t="shared" si="28"/>
        <v/>
      </c>
      <c r="CF21" s="23" t="str">
        <f t="shared" si="29"/>
        <v/>
      </c>
      <c r="CG21" s="40"/>
      <c r="CH21" s="40"/>
      <c r="CI21" s="40"/>
      <c r="CJ21" s="40"/>
      <c r="CK21" s="40"/>
      <c r="CL21" s="40"/>
      <c r="CM21" s="40"/>
      <c r="CN21" s="40"/>
      <c r="CO21" s="40"/>
      <c r="CP21" s="40"/>
      <c r="CQ21" s="40"/>
      <c r="CR21" s="40"/>
      <c r="CS21" s="40"/>
      <c r="CT21" s="40"/>
      <c r="CU21" s="40"/>
      <c r="CV21" s="40"/>
      <c r="CW21" s="11" t="str">
        <f t="shared" si="30"/>
        <v/>
      </c>
      <c r="CX21" s="11" t="str">
        <f t="shared" si="31"/>
        <v/>
      </c>
      <c r="CY21" s="11" t="str">
        <f t="shared" si="32"/>
        <v/>
      </c>
      <c r="CZ21" s="11" t="str">
        <f t="shared" si="33"/>
        <v/>
      </c>
      <c r="DA21" s="11" t="str">
        <f t="shared" si="34"/>
        <v/>
      </c>
      <c r="DB21" s="39"/>
      <c r="DC21" s="39"/>
      <c r="DD21" s="39"/>
      <c r="DE21" s="39"/>
      <c r="DF21" s="39"/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  <c r="DR21" s="14" t="str">
        <f t="shared" si="35"/>
        <v/>
      </c>
      <c r="DS21" s="14" t="str">
        <f t="shared" si="36"/>
        <v/>
      </c>
      <c r="DT21" s="14" t="str">
        <f t="shared" si="37"/>
        <v/>
      </c>
      <c r="DU21" s="14" t="str">
        <f t="shared" si="38"/>
        <v/>
      </c>
      <c r="DV21" s="14" t="str">
        <f t="shared" si="39"/>
        <v/>
      </c>
      <c r="DW21" s="40"/>
      <c r="DX21" s="40"/>
      <c r="DY21" s="40"/>
      <c r="DZ21" s="40"/>
      <c r="EA21" s="40"/>
      <c r="EB21" s="40"/>
      <c r="EC21" s="40"/>
      <c r="ED21" s="40"/>
      <c r="EE21" s="40"/>
      <c r="EF21" s="40"/>
      <c r="EG21" s="40"/>
      <c r="EH21" s="40"/>
      <c r="EI21" s="40"/>
      <c r="EJ21" s="40"/>
      <c r="EK21" s="40"/>
      <c r="EL21" s="40"/>
      <c r="EM21" s="11" t="str">
        <f t="shared" si="40"/>
        <v/>
      </c>
      <c r="EN21" s="11" t="str">
        <f t="shared" si="41"/>
        <v/>
      </c>
      <c r="EO21" s="11" t="str">
        <f t="shared" si="42"/>
        <v/>
      </c>
      <c r="EP21" s="11" t="str">
        <f t="shared" si="43"/>
        <v/>
      </c>
      <c r="EQ21" s="11" t="str">
        <f t="shared" si="44"/>
        <v/>
      </c>
      <c r="ER21" s="39"/>
      <c r="ES21" s="39"/>
      <c r="ET21" s="39"/>
      <c r="EU21" s="39"/>
      <c r="EV21" s="39"/>
      <c r="EW21" s="39"/>
      <c r="EX21" s="39"/>
      <c r="EY21" s="39"/>
      <c r="EZ21" s="39"/>
      <c r="FA21" s="39"/>
      <c r="FB21" s="39"/>
      <c r="FC21" s="39"/>
      <c r="FD21" s="39"/>
      <c r="FE21" s="39"/>
      <c r="FF21" s="39"/>
      <c r="FG21" s="39"/>
      <c r="FH21" s="14" t="str">
        <f t="shared" si="45"/>
        <v/>
      </c>
      <c r="FI21" s="14" t="str">
        <f t="shared" si="46"/>
        <v/>
      </c>
      <c r="FJ21" s="14" t="str">
        <f t="shared" si="47"/>
        <v/>
      </c>
      <c r="FK21" s="14" t="str">
        <f t="shared" si="48"/>
        <v/>
      </c>
      <c r="FL21" s="14" t="str">
        <f t="shared" si="49"/>
        <v/>
      </c>
      <c r="FM21" s="40"/>
      <c r="FN21" s="40"/>
      <c r="FO21" s="40"/>
      <c r="FP21" s="40"/>
      <c r="FQ21" s="40"/>
      <c r="FR21" s="40"/>
      <c r="FS21" s="40"/>
      <c r="FT21" s="40"/>
      <c r="FU21" s="40"/>
      <c r="FV21" s="40"/>
      <c r="FW21" s="40"/>
      <c r="FX21" s="40"/>
      <c r="FY21" s="40"/>
      <c r="FZ21" s="40"/>
      <c r="GA21" s="40"/>
      <c r="GB21" s="40"/>
      <c r="GC21" s="11" t="str">
        <f t="shared" si="50"/>
        <v/>
      </c>
      <c r="GD21" s="11" t="str">
        <f t="shared" si="51"/>
        <v/>
      </c>
      <c r="GE21" s="11" t="str">
        <f t="shared" si="52"/>
        <v/>
      </c>
      <c r="GF21" s="11" t="str">
        <f t="shared" si="53"/>
        <v/>
      </c>
      <c r="GG21" s="11" t="str">
        <f t="shared" si="54"/>
        <v/>
      </c>
      <c r="GH21" s="39"/>
      <c r="GI21" s="39"/>
      <c r="GJ21" s="39"/>
      <c r="GK21" s="39"/>
      <c r="GL21" s="39"/>
      <c r="GM21" s="39"/>
      <c r="GN21" s="39"/>
      <c r="GO21" s="39"/>
      <c r="GP21" s="39"/>
      <c r="GQ21" s="39"/>
      <c r="GR21" s="39"/>
      <c r="GS21" s="39"/>
      <c r="GT21" s="39"/>
      <c r="GU21" s="39"/>
      <c r="GV21" s="39"/>
      <c r="GW21" s="39"/>
      <c r="GX21" s="14" t="str">
        <f t="shared" si="55"/>
        <v/>
      </c>
      <c r="GY21" s="14" t="str">
        <f t="shared" si="56"/>
        <v/>
      </c>
      <c r="GZ21" s="14" t="str">
        <f t="shared" si="57"/>
        <v/>
      </c>
      <c r="HA21" s="14" t="str">
        <f t="shared" si="58"/>
        <v/>
      </c>
      <c r="HB21" s="14" t="str">
        <f t="shared" si="59"/>
        <v/>
      </c>
      <c r="HC21" s="40"/>
      <c r="HD21" s="40"/>
      <c r="HE21" s="40"/>
      <c r="HF21" s="40"/>
      <c r="HG21" s="40"/>
      <c r="HH21" s="40"/>
      <c r="HI21" s="40"/>
      <c r="HJ21" s="40"/>
      <c r="HK21" s="40"/>
      <c r="HL21" s="40"/>
      <c r="HM21" s="40"/>
      <c r="HN21" s="40"/>
      <c r="HO21" s="40"/>
      <c r="HP21" s="40"/>
      <c r="HQ21" s="40"/>
      <c r="HR21" s="40"/>
      <c r="HS21" s="11" t="str">
        <f t="shared" si="60"/>
        <v/>
      </c>
      <c r="HT21" s="11" t="str">
        <f t="shared" si="61"/>
        <v/>
      </c>
      <c r="HU21" s="11" t="str">
        <f t="shared" si="62"/>
        <v/>
      </c>
      <c r="HV21" s="11" t="str">
        <f t="shared" si="63"/>
        <v/>
      </c>
      <c r="HW21" s="11" t="str">
        <f t="shared" si="64"/>
        <v/>
      </c>
      <c r="HX21" s="39"/>
      <c r="HY21" s="39"/>
      <c r="HZ21" s="39"/>
      <c r="IA21" s="39"/>
      <c r="IB21" s="39"/>
      <c r="IC21" s="39"/>
      <c r="ID21" s="39"/>
      <c r="IE21" s="39"/>
      <c r="IF21" s="39"/>
      <c r="IG21" s="39"/>
      <c r="IH21" s="39"/>
      <c r="II21" s="39"/>
      <c r="IJ21" s="39"/>
      <c r="IK21" s="39"/>
      <c r="IL21" s="39"/>
      <c r="IM21" s="39"/>
      <c r="IN21" s="14" t="str">
        <f t="shared" si="65"/>
        <v/>
      </c>
      <c r="IO21" s="14" t="str">
        <f t="shared" si="66"/>
        <v/>
      </c>
      <c r="IP21" s="14" t="str">
        <f t="shared" si="67"/>
        <v/>
      </c>
      <c r="IQ21" s="14" t="str">
        <f t="shared" si="68"/>
        <v/>
      </c>
      <c r="IR21" s="14" t="str">
        <f t="shared" si="69"/>
        <v/>
      </c>
      <c r="IS21" s="40"/>
      <c r="IT21" s="40"/>
      <c r="IU21" s="40"/>
      <c r="IV21" s="40"/>
      <c r="IW21" s="40"/>
      <c r="IX21" s="40"/>
      <c r="IY21" s="40"/>
      <c r="IZ21" s="40"/>
      <c r="JA21" s="40"/>
      <c r="JB21" s="40"/>
      <c r="JC21" s="40"/>
      <c r="JD21" s="40"/>
      <c r="JE21" s="40"/>
      <c r="JF21" s="40"/>
      <c r="JG21" s="40"/>
      <c r="JH21" s="40"/>
      <c r="JI21" s="11" t="str">
        <f t="shared" si="70"/>
        <v/>
      </c>
      <c r="JJ21" s="11" t="str">
        <f t="shared" si="71"/>
        <v/>
      </c>
      <c r="JK21" s="11" t="str">
        <f t="shared" si="72"/>
        <v/>
      </c>
      <c r="JL21" s="11" t="str">
        <f t="shared" si="73"/>
        <v/>
      </c>
      <c r="JM21" s="11" t="str">
        <f t="shared" si="74"/>
        <v/>
      </c>
      <c r="JN21" s="39"/>
      <c r="JO21" s="39"/>
      <c r="JP21" s="39"/>
      <c r="JQ21" s="39"/>
      <c r="JR21" s="39"/>
      <c r="JS21" s="39"/>
      <c r="JT21" s="39"/>
      <c r="JU21" s="39"/>
      <c r="JV21" s="39"/>
      <c r="JW21" s="39"/>
      <c r="JX21" s="39"/>
      <c r="JY21" s="39"/>
      <c r="JZ21" s="39"/>
      <c r="KA21" s="39"/>
      <c r="KB21" s="39"/>
      <c r="KC21" s="39"/>
      <c r="KD21" s="14" t="str">
        <f t="shared" si="75"/>
        <v/>
      </c>
      <c r="KE21" s="14" t="str">
        <f t="shared" si="76"/>
        <v/>
      </c>
      <c r="KF21" s="14" t="str">
        <f t="shared" si="77"/>
        <v/>
      </c>
      <c r="KG21" s="14" t="str">
        <f t="shared" si="78"/>
        <v/>
      </c>
      <c r="KH21" s="14" t="str">
        <f t="shared" si="79"/>
        <v/>
      </c>
      <c r="KI21" s="40"/>
      <c r="KJ21" s="40"/>
      <c r="KK21" s="40"/>
      <c r="KL21" s="40"/>
      <c r="KM21" s="40"/>
      <c r="KN21" s="40"/>
      <c r="KO21" s="40"/>
      <c r="KP21" s="40"/>
      <c r="KQ21" s="40"/>
      <c r="KR21" s="40"/>
      <c r="KS21" s="40"/>
      <c r="KT21" s="40"/>
      <c r="KU21" s="40"/>
      <c r="KV21" s="40"/>
      <c r="KW21" s="40"/>
      <c r="KX21" s="40"/>
      <c r="KY21" s="11" t="str">
        <f t="shared" si="80"/>
        <v/>
      </c>
      <c r="KZ21" s="11" t="str">
        <f t="shared" si="81"/>
        <v/>
      </c>
      <c r="LA21" s="11" t="str">
        <f t="shared" si="82"/>
        <v/>
      </c>
      <c r="LB21" s="11" t="str">
        <f t="shared" si="83"/>
        <v/>
      </c>
      <c r="LC21" s="11" t="str">
        <f t="shared" si="84"/>
        <v/>
      </c>
      <c r="LD21" s="39"/>
      <c r="LE21" s="39"/>
      <c r="LF21" s="39"/>
      <c r="LG21" s="39"/>
      <c r="LH21" s="39"/>
      <c r="LI21" s="39"/>
      <c r="LJ21" s="39"/>
      <c r="LK21" s="39"/>
      <c r="LL21" s="39"/>
      <c r="LM21" s="39"/>
      <c r="LN21" s="39"/>
      <c r="LO21" s="39"/>
      <c r="LP21" s="39"/>
      <c r="LQ21" s="39"/>
      <c r="LR21" s="39"/>
      <c r="LS21" s="39"/>
      <c r="LT21" s="14" t="str">
        <f t="shared" si="85"/>
        <v/>
      </c>
      <c r="LU21" s="14" t="str">
        <f t="shared" si="86"/>
        <v/>
      </c>
      <c r="LV21" s="14" t="str">
        <f t="shared" si="87"/>
        <v/>
      </c>
      <c r="LW21" s="14" t="str">
        <f t="shared" si="88"/>
        <v/>
      </c>
      <c r="LX21" s="14" t="str">
        <f t="shared" si="89"/>
        <v/>
      </c>
      <c r="LY21" s="61">
        <f t="shared" si="90"/>
        <v>12.6</v>
      </c>
      <c r="LZ21" s="61">
        <f t="shared" si="91"/>
        <v>1.6</v>
      </c>
      <c r="MA21" s="61">
        <f t="shared" si="92"/>
        <v>0.15</v>
      </c>
      <c r="MB21" s="61">
        <f t="shared" si="93"/>
        <v>0</v>
      </c>
      <c r="MC21" s="61">
        <f t="shared" si="94"/>
        <v>14</v>
      </c>
      <c r="MD21" s="61">
        <f t="shared" si="95"/>
        <v>1.55</v>
      </c>
      <c r="ME21" s="61">
        <f t="shared" si="96"/>
        <v>0</v>
      </c>
      <c r="MF21" s="61">
        <f t="shared" si="97"/>
        <v>0</v>
      </c>
      <c r="MG21" s="61">
        <f t="shared" si="98"/>
        <v>13.75</v>
      </c>
      <c r="MH21" s="61">
        <f t="shared" si="99"/>
        <v>1.65</v>
      </c>
      <c r="MI21" s="61">
        <f t="shared" si="100"/>
        <v>0</v>
      </c>
      <c r="MJ21" s="61">
        <f t="shared" si="101"/>
        <v>0</v>
      </c>
      <c r="MK21" s="61">
        <f t="shared" si="102"/>
        <v>13.8</v>
      </c>
      <c r="ML21" s="61">
        <f t="shared" si="103"/>
        <v>1.7</v>
      </c>
      <c r="MM21" s="61">
        <f t="shared" si="104"/>
        <v>0</v>
      </c>
      <c r="MN21" s="61">
        <f t="shared" si="105"/>
        <v>0</v>
      </c>
      <c r="MO21" s="72" t="s">
        <v>52</v>
      </c>
      <c r="MP21" s="11">
        <f t="shared" si="106"/>
        <v>3.1500000000000004</v>
      </c>
      <c r="MQ21" s="11">
        <f t="shared" si="107"/>
        <v>29.6</v>
      </c>
      <c r="MR21" s="11">
        <f t="shared" si="108"/>
        <v>3.3499999999999996</v>
      </c>
      <c r="MS21" s="11">
        <f t="shared" si="109"/>
        <v>30.900000000000002</v>
      </c>
      <c r="MT21" s="11">
        <f t="shared" si="110"/>
        <v>60.5</v>
      </c>
    </row>
    <row r="22" spans="1:358" x14ac:dyDescent="0.2">
      <c r="A22" s="5" t="str">
        <f t="shared" si="0"/>
        <v/>
      </c>
      <c r="B22" s="8" t="s">
        <v>129</v>
      </c>
      <c r="C22" s="4" t="s">
        <v>4</v>
      </c>
      <c r="D22" s="5">
        <v>2004</v>
      </c>
      <c r="E22" s="15">
        <f t="shared" si="1"/>
        <v>52.900000000000006</v>
      </c>
      <c r="F22" s="3" t="str">
        <f t="shared" si="2"/>
        <v/>
      </c>
      <c r="G22" s="3" t="str">
        <f t="shared" si="3"/>
        <v/>
      </c>
      <c r="H22" s="116" t="str">
        <f t="shared" si="4"/>
        <v/>
      </c>
      <c r="I22" s="3" t="str">
        <f t="shared" si="5"/>
        <v/>
      </c>
      <c r="J22" s="14">
        <f t="shared" si="6"/>
        <v>52.900000000000006</v>
      </c>
      <c r="K22" s="14" t="str">
        <f t="shared" si="7"/>
        <v>2021 2nd Virtual Technical Trial</v>
      </c>
      <c r="L22" s="14">
        <f t="shared" si="8"/>
        <v>0</v>
      </c>
      <c r="M22" s="14" t="str">
        <f t="shared" si="9"/>
        <v/>
      </c>
      <c r="N22" s="14" t="str">
        <f t="shared" si="10"/>
        <v/>
      </c>
      <c r="O22" s="24" t="str">
        <f t="shared" si="11"/>
        <v/>
      </c>
      <c r="P22" s="14" t="str">
        <f t="shared" si="12"/>
        <v/>
      </c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72"/>
      <c r="AH22" s="11" t="str">
        <f t="shared" si="13"/>
        <v/>
      </c>
      <c r="AI22" s="11" t="str">
        <f t="shared" si="14"/>
        <v/>
      </c>
      <c r="AJ22" s="11" t="str">
        <f t="shared" si="15"/>
        <v/>
      </c>
      <c r="AK22" s="11" t="str">
        <f t="shared" si="16"/>
        <v/>
      </c>
      <c r="AL22" s="11" t="str">
        <f t="shared" si="17"/>
        <v/>
      </c>
      <c r="AM22" s="36">
        <v>27.8</v>
      </c>
      <c r="AN22" s="36">
        <v>3.7</v>
      </c>
      <c r="AO22" s="36">
        <v>0</v>
      </c>
      <c r="AP22" s="36">
        <v>0</v>
      </c>
      <c r="AQ22" s="36">
        <v>20.2</v>
      </c>
      <c r="AR22" s="36">
        <v>1.2</v>
      </c>
      <c r="AS22" s="36">
        <v>0</v>
      </c>
      <c r="AT22" s="36">
        <v>0</v>
      </c>
      <c r="AU22" s="36">
        <v>27.6</v>
      </c>
      <c r="AV22" s="36">
        <v>3.5</v>
      </c>
      <c r="AW22" s="36">
        <v>0</v>
      </c>
      <c r="AX22" s="36">
        <v>0</v>
      </c>
      <c r="AY22" s="36">
        <v>24.6</v>
      </c>
      <c r="AZ22" s="36">
        <v>3.8</v>
      </c>
      <c r="BA22" s="36">
        <v>0.3</v>
      </c>
      <c r="BB22" s="36">
        <v>0</v>
      </c>
      <c r="BC22" s="73"/>
      <c r="BD22" s="14">
        <f t="shared" si="18"/>
        <v>4.9000000000000004</v>
      </c>
      <c r="BE22" s="14">
        <f t="shared" si="19"/>
        <v>52.900000000000006</v>
      </c>
      <c r="BF22" s="14">
        <f t="shared" si="20"/>
        <v>7.3</v>
      </c>
      <c r="BG22" s="14">
        <f t="shared" si="21"/>
        <v>59.2</v>
      </c>
      <c r="BH22" s="14">
        <f t="shared" si="22"/>
        <v>112.10000000000001</v>
      </c>
      <c r="BI22" s="61"/>
      <c r="BJ22" s="61"/>
      <c r="BK22" s="61"/>
      <c r="BL22" s="61"/>
      <c r="BM22" s="61"/>
      <c r="BN22" s="61"/>
      <c r="BO22" s="61"/>
      <c r="BP22" s="61"/>
      <c r="BQ22" s="61"/>
      <c r="BR22" s="61"/>
      <c r="BS22" s="61"/>
      <c r="BT22" s="61"/>
      <c r="BU22" s="61"/>
      <c r="BV22" s="61"/>
      <c r="BW22" s="61"/>
      <c r="BX22" s="61"/>
      <c r="BY22" s="72"/>
      <c r="BZ22" s="11" t="str">
        <f t="shared" si="23"/>
        <v/>
      </c>
      <c r="CA22" s="11" t="str">
        <f t="shared" si="24"/>
        <v/>
      </c>
      <c r="CB22" s="11" t="str">
        <f t="shared" si="25"/>
        <v/>
      </c>
      <c r="CC22" s="11" t="str">
        <f t="shared" si="26"/>
        <v/>
      </c>
      <c r="CD22" s="11" t="str">
        <f t="shared" si="27"/>
        <v/>
      </c>
      <c r="CE22" s="23" t="str">
        <f t="shared" si="28"/>
        <v/>
      </c>
      <c r="CF22" s="23" t="str">
        <f t="shared" si="29"/>
        <v/>
      </c>
      <c r="CG22" s="40"/>
      <c r="CH22" s="40"/>
      <c r="CI22" s="40"/>
      <c r="CJ22" s="40"/>
      <c r="CK22" s="40"/>
      <c r="CL22" s="40"/>
      <c r="CM22" s="40"/>
      <c r="CN22" s="40"/>
      <c r="CO22" s="40"/>
      <c r="CP22" s="40"/>
      <c r="CQ22" s="40"/>
      <c r="CR22" s="40"/>
      <c r="CS22" s="40"/>
      <c r="CT22" s="40"/>
      <c r="CU22" s="40"/>
      <c r="CV22" s="40"/>
      <c r="CW22" s="11" t="str">
        <f t="shared" si="30"/>
        <v/>
      </c>
      <c r="CX22" s="11" t="str">
        <f t="shared" si="31"/>
        <v/>
      </c>
      <c r="CY22" s="11" t="str">
        <f t="shared" si="32"/>
        <v/>
      </c>
      <c r="CZ22" s="11" t="str">
        <f t="shared" si="33"/>
        <v/>
      </c>
      <c r="DA22" s="11" t="str">
        <f t="shared" si="34"/>
        <v/>
      </c>
      <c r="DB22" s="39"/>
      <c r="DC22" s="39"/>
      <c r="DD22" s="39"/>
      <c r="DE22" s="39"/>
      <c r="DF22" s="39"/>
      <c r="DG22" s="39"/>
      <c r="DH22" s="39"/>
      <c r="DI22" s="39"/>
      <c r="DJ22" s="39"/>
      <c r="DK22" s="39"/>
      <c r="DL22" s="39"/>
      <c r="DM22" s="39"/>
      <c r="DN22" s="39"/>
      <c r="DO22" s="39"/>
      <c r="DP22" s="39"/>
      <c r="DQ22" s="39"/>
      <c r="DR22" s="14" t="str">
        <f t="shared" si="35"/>
        <v/>
      </c>
      <c r="DS22" s="14" t="str">
        <f t="shared" si="36"/>
        <v/>
      </c>
      <c r="DT22" s="14" t="str">
        <f t="shared" si="37"/>
        <v/>
      </c>
      <c r="DU22" s="14" t="str">
        <f t="shared" si="38"/>
        <v/>
      </c>
      <c r="DV22" s="14" t="str">
        <f t="shared" si="39"/>
        <v/>
      </c>
      <c r="DW22" s="40"/>
      <c r="DX22" s="40"/>
      <c r="DY22" s="40"/>
      <c r="DZ22" s="40"/>
      <c r="EA22" s="40"/>
      <c r="EB22" s="40"/>
      <c r="EC22" s="40"/>
      <c r="ED22" s="40"/>
      <c r="EE22" s="40"/>
      <c r="EF22" s="40"/>
      <c r="EG22" s="40"/>
      <c r="EH22" s="40"/>
      <c r="EI22" s="40"/>
      <c r="EJ22" s="40"/>
      <c r="EK22" s="40"/>
      <c r="EL22" s="40"/>
      <c r="EM22" s="11" t="str">
        <f t="shared" si="40"/>
        <v/>
      </c>
      <c r="EN22" s="11" t="str">
        <f t="shared" si="41"/>
        <v/>
      </c>
      <c r="EO22" s="11" t="str">
        <f t="shared" si="42"/>
        <v/>
      </c>
      <c r="EP22" s="11" t="str">
        <f t="shared" si="43"/>
        <v/>
      </c>
      <c r="EQ22" s="11" t="str">
        <f t="shared" si="44"/>
        <v/>
      </c>
      <c r="ER22" s="39"/>
      <c r="ES22" s="39"/>
      <c r="ET22" s="39"/>
      <c r="EU22" s="39"/>
      <c r="EV22" s="39"/>
      <c r="EW22" s="39"/>
      <c r="EX22" s="39"/>
      <c r="EY22" s="39"/>
      <c r="EZ22" s="39"/>
      <c r="FA22" s="39"/>
      <c r="FB22" s="39"/>
      <c r="FC22" s="39"/>
      <c r="FD22" s="39"/>
      <c r="FE22" s="39"/>
      <c r="FF22" s="39"/>
      <c r="FG22" s="39"/>
      <c r="FH22" s="14" t="str">
        <f t="shared" si="45"/>
        <v/>
      </c>
      <c r="FI22" s="14" t="str">
        <f t="shared" si="46"/>
        <v/>
      </c>
      <c r="FJ22" s="14" t="str">
        <f t="shared" si="47"/>
        <v/>
      </c>
      <c r="FK22" s="14" t="str">
        <f t="shared" si="48"/>
        <v/>
      </c>
      <c r="FL22" s="14" t="str">
        <f t="shared" si="49"/>
        <v/>
      </c>
      <c r="FM22" s="40"/>
      <c r="FN22" s="40"/>
      <c r="FO22" s="40"/>
      <c r="FP22" s="40"/>
      <c r="FQ22" s="40"/>
      <c r="FR22" s="40"/>
      <c r="FS22" s="40"/>
      <c r="FT22" s="40"/>
      <c r="FU22" s="40"/>
      <c r="FV22" s="40"/>
      <c r="FW22" s="40"/>
      <c r="FX22" s="40"/>
      <c r="FY22" s="40"/>
      <c r="FZ22" s="40"/>
      <c r="GA22" s="40"/>
      <c r="GB22" s="40"/>
      <c r="GC22" s="11" t="str">
        <f t="shared" si="50"/>
        <v/>
      </c>
      <c r="GD22" s="11" t="str">
        <f t="shared" si="51"/>
        <v/>
      </c>
      <c r="GE22" s="11" t="str">
        <f t="shared" si="52"/>
        <v/>
      </c>
      <c r="GF22" s="11" t="str">
        <f t="shared" si="53"/>
        <v/>
      </c>
      <c r="GG22" s="11" t="str">
        <f t="shared" si="54"/>
        <v/>
      </c>
      <c r="GH22" s="39"/>
      <c r="GI22" s="39"/>
      <c r="GJ22" s="39"/>
      <c r="GK22" s="39"/>
      <c r="GL22" s="39"/>
      <c r="GM22" s="39"/>
      <c r="GN22" s="39"/>
      <c r="GO22" s="39"/>
      <c r="GP22" s="39"/>
      <c r="GQ22" s="39"/>
      <c r="GR22" s="39"/>
      <c r="GS22" s="39"/>
      <c r="GT22" s="39"/>
      <c r="GU22" s="39"/>
      <c r="GV22" s="39"/>
      <c r="GW22" s="39"/>
      <c r="GX22" s="14" t="str">
        <f t="shared" si="55"/>
        <v/>
      </c>
      <c r="GY22" s="14" t="str">
        <f t="shared" si="56"/>
        <v/>
      </c>
      <c r="GZ22" s="14" t="str">
        <f t="shared" si="57"/>
        <v/>
      </c>
      <c r="HA22" s="14" t="str">
        <f t="shared" si="58"/>
        <v/>
      </c>
      <c r="HB22" s="14" t="str">
        <f t="shared" si="59"/>
        <v/>
      </c>
      <c r="HC22" s="40"/>
      <c r="HD22" s="40"/>
      <c r="HE22" s="40"/>
      <c r="HF22" s="40"/>
      <c r="HG22" s="40"/>
      <c r="HH22" s="40"/>
      <c r="HI22" s="40"/>
      <c r="HJ22" s="40"/>
      <c r="HK22" s="40"/>
      <c r="HL22" s="40"/>
      <c r="HM22" s="40"/>
      <c r="HN22" s="40"/>
      <c r="HO22" s="40"/>
      <c r="HP22" s="40"/>
      <c r="HQ22" s="40"/>
      <c r="HR22" s="40"/>
      <c r="HS22" s="11" t="str">
        <f t="shared" si="60"/>
        <v/>
      </c>
      <c r="HT22" s="11" t="str">
        <f t="shared" si="61"/>
        <v/>
      </c>
      <c r="HU22" s="11" t="str">
        <f t="shared" si="62"/>
        <v/>
      </c>
      <c r="HV22" s="11" t="str">
        <f t="shared" si="63"/>
        <v/>
      </c>
      <c r="HW22" s="11" t="str">
        <f t="shared" si="64"/>
        <v/>
      </c>
      <c r="HX22" s="39"/>
      <c r="HY22" s="39"/>
      <c r="HZ22" s="39"/>
      <c r="IA22" s="39"/>
      <c r="IB22" s="39"/>
      <c r="IC22" s="39"/>
      <c r="ID22" s="39"/>
      <c r="IE22" s="39"/>
      <c r="IF22" s="39"/>
      <c r="IG22" s="39"/>
      <c r="IH22" s="39"/>
      <c r="II22" s="39"/>
      <c r="IJ22" s="39"/>
      <c r="IK22" s="39"/>
      <c r="IL22" s="39"/>
      <c r="IM22" s="39"/>
      <c r="IN22" s="14" t="str">
        <f t="shared" si="65"/>
        <v/>
      </c>
      <c r="IO22" s="14" t="str">
        <f t="shared" si="66"/>
        <v/>
      </c>
      <c r="IP22" s="14" t="str">
        <f t="shared" si="67"/>
        <v/>
      </c>
      <c r="IQ22" s="14" t="str">
        <f t="shared" si="68"/>
        <v/>
      </c>
      <c r="IR22" s="14" t="str">
        <f t="shared" si="69"/>
        <v/>
      </c>
      <c r="IS22" s="40"/>
      <c r="IT22" s="40"/>
      <c r="IU22" s="40"/>
      <c r="IV22" s="40"/>
      <c r="IW22" s="40"/>
      <c r="IX22" s="40"/>
      <c r="IY22" s="40"/>
      <c r="IZ22" s="40"/>
      <c r="JA22" s="40"/>
      <c r="JB22" s="40"/>
      <c r="JC22" s="40"/>
      <c r="JD22" s="40"/>
      <c r="JE22" s="40"/>
      <c r="JF22" s="40"/>
      <c r="JG22" s="40"/>
      <c r="JH22" s="40"/>
      <c r="JI22" s="11" t="str">
        <f t="shared" si="70"/>
        <v/>
      </c>
      <c r="JJ22" s="11" t="str">
        <f t="shared" si="71"/>
        <v/>
      </c>
      <c r="JK22" s="11" t="str">
        <f t="shared" si="72"/>
        <v/>
      </c>
      <c r="JL22" s="11" t="str">
        <f t="shared" si="73"/>
        <v/>
      </c>
      <c r="JM22" s="11" t="str">
        <f t="shared" si="74"/>
        <v/>
      </c>
      <c r="JN22" s="39"/>
      <c r="JO22" s="39"/>
      <c r="JP22" s="39"/>
      <c r="JQ22" s="39"/>
      <c r="JR22" s="39"/>
      <c r="JS22" s="39"/>
      <c r="JT22" s="39"/>
      <c r="JU22" s="39"/>
      <c r="JV22" s="39"/>
      <c r="JW22" s="39"/>
      <c r="JX22" s="39"/>
      <c r="JY22" s="39"/>
      <c r="JZ22" s="39"/>
      <c r="KA22" s="39"/>
      <c r="KB22" s="39"/>
      <c r="KC22" s="39"/>
      <c r="KD22" s="14" t="str">
        <f t="shared" si="75"/>
        <v/>
      </c>
      <c r="KE22" s="14" t="str">
        <f t="shared" si="76"/>
        <v/>
      </c>
      <c r="KF22" s="14" t="str">
        <f t="shared" si="77"/>
        <v/>
      </c>
      <c r="KG22" s="14" t="str">
        <f t="shared" si="78"/>
        <v/>
      </c>
      <c r="KH22" s="14" t="str">
        <f t="shared" si="79"/>
        <v/>
      </c>
      <c r="KI22" s="40"/>
      <c r="KJ22" s="40"/>
      <c r="KK22" s="40"/>
      <c r="KL22" s="40"/>
      <c r="KM22" s="40"/>
      <c r="KN22" s="40"/>
      <c r="KO22" s="40"/>
      <c r="KP22" s="40"/>
      <c r="KQ22" s="40"/>
      <c r="KR22" s="40"/>
      <c r="KS22" s="40"/>
      <c r="KT22" s="40"/>
      <c r="KU22" s="40"/>
      <c r="KV22" s="40"/>
      <c r="KW22" s="40"/>
      <c r="KX22" s="40"/>
      <c r="KY22" s="11" t="str">
        <f t="shared" si="80"/>
        <v/>
      </c>
      <c r="KZ22" s="11" t="str">
        <f t="shared" si="81"/>
        <v/>
      </c>
      <c r="LA22" s="11" t="str">
        <f t="shared" si="82"/>
        <v/>
      </c>
      <c r="LB22" s="11" t="str">
        <f t="shared" si="83"/>
        <v/>
      </c>
      <c r="LC22" s="11" t="str">
        <f t="shared" si="84"/>
        <v/>
      </c>
      <c r="LD22" s="39"/>
      <c r="LE22" s="39"/>
      <c r="LF22" s="39"/>
      <c r="LG22" s="39"/>
      <c r="LH22" s="39"/>
      <c r="LI22" s="39"/>
      <c r="LJ22" s="39"/>
      <c r="LK22" s="39"/>
      <c r="LL22" s="39"/>
      <c r="LM22" s="39"/>
      <c r="LN22" s="39"/>
      <c r="LO22" s="39"/>
      <c r="LP22" s="39"/>
      <c r="LQ22" s="39"/>
      <c r="LR22" s="39"/>
      <c r="LS22" s="39"/>
      <c r="LT22" s="14" t="str">
        <f t="shared" si="85"/>
        <v/>
      </c>
      <c r="LU22" s="14" t="str">
        <f t="shared" si="86"/>
        <v/>
      </c>
      <c r="LV22" s="14" t="str">
        <f t="shared" si="87"/>
        <v/>
      </c>
      <c r="LW22" s="14" t="str">
        <f t="shared" si="88"/>
        <v/>
      </c>
      <c r="LX22" s="14" t="str">
        <f t="shared" si="89"/>
        <v/>
      </c>
      <c r="LY22" s="61">
        <f t="shared" si="90"/>
        <v>13.9</v>
      </c>
      <c r="LZ22" s="61">
        <f t="shared" si="91"/>
        <v>1.85</v>
      </c>
      <c r="MA22" s="61">
        <f t="shared" si="92"/>
        <v>0</v>
      </c>
      <c r="MB22" s="61">
        <f t="shared" si="93"/>
        <v>0</v>
      </c>
      <c r="MC22" s="61">
        <f t="shared" si="94"/>
        <v>10.1</v>
      </c>
      <c r="MD22" s="61">
        <f t="shared" si="95"/>
        <v>0.6</v>
      </c>
      <c r="ME22" s="61">
        <f t="shared" si="96"/>
        <v>0</v>
      </c>
      <c r="MF22" s="61">
        <f t="shared" si="97"/>
        <v>0</v>
      </c>
      <c r="MG22" s="61">
        <f t="shared" si="98"/>
        <v>13.8</v>
      </c>
      <c r="MH22" s="61">
        <f t="shared" si="99"/>
        <v>1.75</v>
      </c>
      <c r="MI22" s="61">
        <f t="shared" si="100"/>
        <v>0</v>
      </c>
      <c r="MJ22" s="61">
        <f t="shared" si="101"/>
        <v>0</v>
      </c>
      <c r="MK22" s="61">
        <f t="shared" si="102"/>
        <v>12.3</v>
      </c>
      <c r="ML22" s="61">
        <f t="shared" si="103"/>
        <v>1.9</v>
      </c>
      <c r="MM22" s="61">
        <f t="shared" si="104"/>
        <v>0.15</v>
      </c>
      <c r="MN22" s="61">
        <f t="shared" si="105"/>
        <v>0</v>
      </c>
      <c r="MO22" s="72" t="s">
        <v>52</v>
      </c>
      <c r="MP22" s="11">
        <f t="shared" si="106"/>
        <v>2.4500000000000002</v>
      </c>
      <c r="MQ22" s="11">
        <f t="shared" si="107"/>
        <v>26.450000000000003</v>
      </c>
      <c r="MR22" s="11">
        <f t="shared" si="108"/>
        <v>3.65</v>
      </c>
      <c r="MS22" s="11">
        <f t="shared" si="109"/>
        <v>29.6</v>
      </c>
      <c r="MT22" s="11">
        <f t="shared" si="110"/>
        <v>56.050000000000004</v>
      </c>
    </row>
    <row r="23" spans="1:358" s="46" customFormat="1" x14ac:dyDescent="0.2">
      <c r="A23" s="7"/>
      <c r="B23" s="8"/>
      <c r="C23" s="4"/>
      <c r="D23" s="7"/>
      <c r="E23" s="87"/>
      <c r="F23" s="88"/>
      <c r="G23" s="88"/>
      <c r="H23" s="118"/>
      <c r="I23" s="88"/>
      <c r="J23" s="47"/>
      <c r="K23" s="47"/>
      <c r="L23" s="47"/>
      <c r="M23" s="47"/>
      <c r="N23" s="47"/>
      <c r="O23" s="89"/>
      <c r="P23" s="47"/>
      <c r="Q23" s="90"/>
      <c r="R23" s="90"/>
      <c r="S23" s="90"/>
      <c r="T23" s="90"/>
      <c r="U23" s="90"/>
      <c r="V23" s="90"/>
      <c r="W23" s="90"/>
      <c r="X23" s="90"/>
      <c r="Y23" s="90"/>
      <c r="Z23" s="90"/>
      <c r="AA23" s="90"/>
      <c r="AB23" s="90"/>
      <c r="AC23" s="90"/>
      <c r="AD23" s="90"/>
      <c r="AE23" s="90"/>
      <c r="AF23" s="90"/>
      <c r="AG23" s="91"/>
      <c r="AH23" s="47"/>
      <c r="AI23" s="47"/>
      <c r="AJ23" s="47"/>
      <c r="AK23" s="47"/>
      <c r="AL23" s="47"/>
      <c r="AM23" s="92"/>
      <c r="AN23" s="92"/>
      <c r="AO23" s="92"/>
      <c r="AP23" s="92"/>
      <c r="AQ23" s="92"/>
      <c r="AR23" s="92"/>
      <c r="AS23" s="92"/>
      <c r="AT23" s="92"/>
      <c r="AU23" s="92"/>
      <c r="AV23" s="92"/>
      <c r="AW23" s="92"/>
      <c r="AX23" s="92"/>
      <c r="AY23" s="92"/>
      <c r="AZ23" s="92"/>
      <c r="BA23" s="92"/>
      <c r="BB23" s="92"/>
      <c r="BC23" s="91"/>
      <c r="BD23" s="47"/>
      <c r="BE23" s="47"/>
      <c r="BF23" s="47"/>
      <c r="BG23" s="47"/>
      <c r="BH23" s="47"/>
      <c r="BI23" s="90"/>
      <c r="BJ23" s="90"/>
      <c r="BK23" s="90"/>
      <c r="BL23" s="90"/>
      <c r="BM23" s="90"/>
      <c r="BN23" s="90"/>
      <c r="BO23" s="90"/>
      <c r="BP23" s="90"/>
      <c r="BQ23" s="90"/>
      <c r="BR23" s="90"/>
      <c r="BS23" s="90"/>
      <c r="BT23" s="90"/>
      <c r="BU23" s="90"/>
      <c r="BV23" s="90"/>
      <c r="BW23" s="90"/>
      <c r="BX23" s="90"/>
      <c r="BY23" s="91"/>
      <c r="BZ23" s="47"/>
      <c r="CA23" s="47"/>
      <c r="CB23" s="47"/>
      <c r="CC23" s="47"/>
      <c r="CD23" s="47"/>
      <c r="CE23" s="47"/>
      <c r="CF23" s="47"/>
      <c r="CG23" s="93"/>
      <c r="CH23" s="93"/>
      <c r="CI23" s="93"/>
      <c r="CJ23" s="93"/>
      <c r="CK23" s="93"/>
      <c r="CL23" s="93"/>
      <c r="CM23" s="93"/>
      <c r="CN23" s="93"/>
      <c r="CO23" s="93"/>
      <c r="CP23" s="93"/>
      <c r="CQ23" s="93"/>
      <c r="CR23" s="93"/>
      <c r="CS23" s="93"/>
      <c r="CT23" s="93"/>
      <c r="CU23" s="93"/>
      <c r="CV23" s="93"/>
      <c r="CW23" s="47"/>
      <c r="CX23" s="47"/>
      <c r="CY23" s="47"/>
      <c r="CZ23" s="47"/>
      <c r="DA23" s="47"/>
      <c r="DB23" s="93"/>
      <c r="DC23" s="93"/>
      <c r="DD23" s="93"/>
      <c r="DE23" s="93"/>
      <c r="DF23" s="93"/>
      <c r="DG23" s="93"/>
      <c r="DH23" s="93"/>
      <c r="DI23" s="93"/>
      <c r="DJ23" s="93"/>
      <c r="DK23" s="93"/>
      <c r="DL23" s="93"/>
      <c r="DM23" s="93"/>
      <c r="DN23" s="93"/>
      <c r="DO23" s="93"/>
      <c r="DP23" s="93"/>
      <c r="DQ23" s="93"/>
      <c r="DR23" s="47"/>
      <c r="DS23" s="47"/>
      <c r="DT23" s="47"/>
      <c r="DU23" s="47"/>
      <c r="DV23" s="47"/>
      <c r="DW23" s="93"/>
      <c r="DX23" s="93"/>
      <c r="DY23" s="93"/>
      <c r="DZ23" s="93"/>
      <c r="EA23" s="93"/>
      <c r="EB23" s="93"/>
      <c r="EC23" s="93"/>
      <c r="ED23" s="93"/>
      <c r="EE23" s="93"/>
      <c r="EF23" s="93"/>
      <c r="EG23" s="93"/>
      <c r="EH23" s="93"/>
      <c r="EI23" s="93"/>
      <c r="EJ23" s="93"/>
      <c r="EK23" s="93"/>
      <c r="EL23" s="93"/>
      <c r="EM23" s="47"/>
      <c r="EN23" s="47"/>
      <c r="EO23" s="47"/>
      <c r="EP23" s="47"/>
      <c r="EQ23" s="47"/>
      <c r="ER23" s="93"/>
      <c r="ES23" s="93"/>
      <c r="ET23" s="93"/>
      <c r="EU23" s="93"/>
      <c r="EV23" s="93"/>
      <c r="EW23" s="93"/>
      <c r="EX23" s="93"/>
      <c r="EY23" s="93"/>
      <c r="EZ23" s="93"/>
      <c r="FA23" s="93"/>
      <c r="FB23" s="93"/>
      <c r="FC23" s="93"/>
      <c r="FD23" s="93"/>
      <c r="FE23" s="93"/>
      <c r="FF23" s="93"/>
      <c r="FG23" s="93"/>
      <c r="FH23" s="47"/>
      <c r="FI23" s="47"/>
      <c r="FJ23" s="47"/>
      <c r="FK23" s="47"/>
      <c r="FL23" s="47"/>
      <c r="FM23" s="93"/>
      <c r="FN23" s="93"/>
      <c r="FO23" s="93"/>
      <c r="FP23" s="93"/>
      <c r="FQ23" s="93"/>
      <c r="FR23" s="93"/>
      <c r="FS23" s="93"/>
      <c r="FT23" s="93"/>
      <c r="FU23" s="93"/>
      <c r="FV23" s="93"/>
      <c r="FW23" s="93"/>
      <c r="FX23" s="93"/>
      <c r="FY23" s="93"/>
      <c r="FZ23" s="93"/>
      <c r="GA23" s="93"/>
      <c r="GB23" s="93"/>
      <c r="GC23" s="47"/>
      <c r="GD23" s="47"/>
      <c r="GE23" s="47"/>
      <c r="GF23" s="47"/>
      <c r="GG23" s="47"/>
      <c r="GH23" s="93"/>
      <c r="GI23" s="93"/>
      <c r="GJ23" s="93"/>
      <c r="GK23" s="93"/>
      <c r="GL23" s="93"/>
      <c r="GM23" s="93"/>
      <c r="GN23" s="93"/>
      <c r="GO23" s="93"/>
      <c r="GP23" s="93"/>
      <c r="GQ23" s="93"/>
      <c r="GR23" s="93"/>
      <c r="GS23" s="93"/>
      <c r="GT23" s="93"/>
      <c r="GU23" s="93"/>
      <c r="GV23" s="93"/>
      <c r="GW23" s="93"/>
      <c r="GX23" s="47"/>
      <c r="GY23" s="47"/>
      <c r="GZ23" s="47"/>
      <c r="HA23" s="47"/>
      <c r="HB23" s="47"/>
      <c r="HC23" s="93"/>
      <c r="HD23" s="93"/>
      <c r="HE23" s="93"/>
      <c r="HF23" s="93"/>
      <c r="HG23" s="93"/>
      <c r="HH23" s="93"/>
      <c r="HI23" s="93"/>
      <c r="HJ23" s="93"/>
      <c r="HK23" s="93"/>
      <c r="HL23" s="93"/>
      <c r="HM23" s="93"/>
      <c r="HN23" s="93"/>
      <c r="HO23" s="93"/>
      <c r="HP23" s="93"/>
      <c r="HQ23" s="93"/>
      <c r="HR23" s="93"/>
      <c r="HS23" s="47"/>
      <c r="HT23" s="47"/>
      <c r="HU23" s="47"/>
      <c r="HV23" s="47"/>
      <c r="HW23" s="47"/>
      <c r="HX23" s="93"/>
      <c r="HY23" s="93"/>
      <c r="HZ23" s="93"/>
      <c r="IA23" s="93"/>
      <c r="IB23" s="93"/>
      <c r="IC23" s="93"/>
      <c r="ID23" s="93"/>
      <c r="IE23" s="93"/>
      <c r="IF23" s="93"/>
      <c r="IG23" s="93"/>
      <c r="IH23" s="93"/>
      <c r="II23" s="93"/>
      <c r="IJ23" s="93"/>
      <c r="IK23" s="93"/>
      <c r="IL23" s="93"/>
      <c r="IM23" s="93"/>
      <c r="IN23" s="47"/>
      <c r="IO23" s="47"/>
      <c r="IP23" s="47"/>
      <c r="IQ23" s="47"/>
      <c r="IR23" s="47"/>
      <c r="IS23" s="93"/>
      <c r="IT23" s="93"/>
      <c r="IU23" s="93"/>
      <c r="IV23" s="93"/>
      <c r="IW23" s="93"/>
      <c r="IX23" s="93"/>
      <c r="IY23" s="93"/>
      <c r="IZ23" s="93"/>
      <c r="JA23" s="93"/>
      <c r="JB23" s="93"/>
      <c r="JC23" s="93"/>
      <c r="JD23" s="93"/>
      <c r="JE23" s="93"/>
      <c r="JF23" s="93"/>
      <c r="JG23" s="93"/>
      <c r="JH23" s="93"/>
      <c r="JI23" s="47"/>
      <c r="JJ23" s="47"/>
      <c r="JK23" s="47"/>
      <c r="JL23" s="47"/>
      <c r="JM23" s="47"/>
      <c r="JN23" s="93"/>
      <c r="JO23" s="93"/>
      <c r="JP23" s="93"/>
      <c r="JQ23" s="93"/>
      <c r="JR23" s="93"/>
      <c r="JS23" s="93"/>
      <c r="JT23" s="93"/>
      <c r="JU23" s="93"/>
      <c r="JV23" s="93"/>
      <c r="JW23" s="93"/>
      <c r="JX23" s="93"/>
      <c r="JY23" s="93"/>
      <c r="JZ23" s="93"/>
      <c r="KA23" s="93"/>
      <c r="KB23" s="93"/>
      <c r="KC23" s="93"/>
      <c r="KD23" s="47"/>
      <c r="KE23" s="47"/>
      <c r="KF23" s="47"/>
      <c r="KG23" s="47"/>
      <c r="KH23" s="47"/>
      <c r="KI23" s="93"/>
      <c r="KJ23" s="93"/>
      <c r="KK23" s="93"/>
      <c r="KL23" s="93"/>
      <c r="KM23" s="93"/>
      <c r="KN23" s="93"/>
      <c r="KO23" s="93"/>
      <c r="KP23" s="93"/>
      <c r="KQ23" s="93"/>
      <c r="KR23" s="93"/>
      <c r="KS23" s="93"/>
      <c r="KT23" s="93"/>
      <c r="KU23" s="93"/>
      <c r="KV23" s="93"/>
      <c r="KW23" s="93"/>
      <c r="KX23" s="93"/>
      <c r="KY23" s="47"/>
      <c r="KZ23" s="47"/>
      <c r="LA23" s="47"/>
      <c r="LB23" s="47"/>
      <c r="LC23" s="47"/>
      <c r="LD23" s="93"/>
      <c r="LE23" s="93"/>
      <c r="LF23" s="93"/>
      <c r="LG23" s="93"/>
      <c r="LH23" s="93"/>
      <c r="LI23" s="93"/>
      <c r="LJ23" s="93"/>
      <c r="LK23" s="93"/>
      <c r="LL23" s="93"/>
      <c r="LM23" s="93"/>
      <c r="LN23" s="93"/>
      <c r="LO23" s="93"/>
      <c r="LP23" s="93"/>
      <c r="LQ23" s="93"/>
      <c r="LR23" s="93"/>
      <c r="LS23" s="93"/>
      <c r="LT23" s="47"/>
      <c r="LU23" s="47"/>
      <c r="LV23" s="47"/>
      <c r="LW23" s="47"/>
      <c r="LX23" s="47"/>
    </row>
    <row r="24" spans="1:358" x14ac:dyDescent="0.2">
      <c r="AH24" s="47"/>
      <c r="AJ24" s="47"/>
      <c r="BD24" s="47"/>
      <c r="BF24" s="47"/>
      <c r="BZ24" s="47"/>
      <c r="CB24" s="47"/>
      <c r="CW24" s="47"/>
      <c r="CY24" s="47"/>
      <c r="DR24" s="47"/>
      <c r="DT24" s="47"/>
      <c r="EM24" s="47"/>
      <c r="EO24" s="47"/>
      <c r="FH24" s="47"/>
      <c r="FJ24" s="47"/>
      <c r="GC24" s="47"/>
      <c r="GE24" s="47"/>
      <c r="GX24" s="47"/>
      <c r="GZ24" s="47"/>
      <c r="HS24" s="47"/>
      <c r="HU24" s="47"/>
      <c r="IN24" s="47"/>
      <c r="IP24" s="47"/>
      <c r="JI24" s="47"/>
      <c r="JK24" s="47"/>
      <c r="KD24" s="47"/>
      <c r="KF24" s="47"/>
      <c r="KY24" s="47"/>
      <c r="LA24" s="47"/>
      <c r="LT24" s="47"/>
      <c r="LV24" s="47"/>
    </row>
    <row r="25" spans="1:358" x14ac:dyDescent="0.2">
      <c r="B25" s="62" t="s">
        <v>50</v>
      </c>
      <c r="AH25" s="47"/>
      <c r="AJ25" s="47"/>
      <c r="AL25" s="56">
        <v>10.4</v>
      </c>
      <c r="BD25" s="47"/>
      <c r="BF25" s="47"/>
      <c r="BH25" s="56">
        <v>10.4</v>
      </c>
      <c r="BZ25" s="47"/>
      <c r="CB25" s="47"/>
      <c r="CD25" s="56">
        <v>10.4</v>
      </c>
      <c r="CW25" s="47"/>
      <c r="CY25" s="47"/>
      <c r="DA25" s="56">
        <v>10.4</v>
      </c>
      <c r="DR25" s="47"/>
      <c r="DT25" s="47"/>
      <c r="DV25" s="56">
        <v>10.4</v>
      </c>
      <c r="EM25" s="47"/>
      <c r="EO25" s="47"/>
      <c r="EQ25" s="56">
        <v>10.4</v>
      </c>
      <c r="FH25" s="47"/>
      <c r="FJ25" s="47"/>
      <c r="FL25" s="56">
        <v>10.4</v>
      </c>
      <c r="GC25" s="47"/>
      <c r="GE25" s="47"/>
      <c r="GG25" s="56">
        <v>10.4</v>
      </c>
      <c r="GX25" s="47"/>
      <c r="GZ25" s="47"/>
      <c r="HB25" s="56">
        <v>10.4</v>
      </c>
      <c r="HS25" s="47"/>
      <c r="HU25" s="47"/>
      <c r="HW25" s="56">
        <v>10.4</v>
      </c>
      <c r="IN25" s="47"/>
      <c r="IP25" s="47"/>
      <c r="IR25" s="56">
        <v>10.4</v>
      </c>
      <c r="JI25" s="47"/>
      <c r="JK25" s="47"/>
      <c r="JM25" s="56">
        <v>10.4</v>
      </c>
      <c r="KD25" s="47"/>
      <c r="KF25" s="47"/>
      <c r="KH25" s="56">
        <v>10.4</v>
      </c>
      <c r="KY25" s="47"/>
      <c r="LA25" s="47"/>
      <c r="LC25" s="56">
        <v>10.4</v>
      </c>
      <c r="LT25" s="47"/>
      <c r="LV25" s="47"/>
      <c r="LX25" s="56">
        <v>10.4</v>
      </c>
    </row>
    <row r="26" spans="1:358" hidden="1" x14ac:dyDescent="0.2">
      <c r="B26" s="83" t="s">
        <v>49</v>
      </c>
      <c r="AH26" s="47"/>
      <c r="AJ26" s="47"/>
      <c r="AL26" s="85">
        <v>1000</v>
      </c>
      <c r="BD26" s="47"/>
      <c r="BF26" s="47"/>
      <c r="BH26" s="85">
        <v>1000</v>
      </c>
      <c r="BZ26" s="47"/>
      <c r="CB26" s="47"/>
      <c r="CD26" s="85">
        <v>1000</v>
      </c>
      <c r="CW26" s="47"/>
      <c r="CY26" s="47"/>
      <c r="DA26" s="85">
        <v>1000</v>
      </c>
      <c r="DR26" s="47"/>
      <c r="DT26" s="47"/>
      <c r="DV26" s="85">
        <v>1000</v>
      </c>
      <c r="EM26" s="47"/>
      <c r="EO26" s="47"/>
      <c r="EQ26" s="85">
        <v>1000</v>
      </c>
      <c r="FH26" s="47"/>
      <c r="FJ26" s="47"/>
      <c r="FL26" s="85">
        <v>1000</v>
      </c>
      <c r="GC26" s="47"/>
      <c r="GE26" s="47"/>
      <c r="GG26" s="85">
        <v>1000</v>
      </c>
      <c r="GX26" s="47"/>
      <c r="GZ26" s="47"/>
      <c r="HB26" s="85">
        <v>1000</v>
      </c>
      <c r="HS26" s="47"/>
      <c r="HU26" s="47"/>
      <c r="HW26" s="85">
        <v>1000</v>
      </c>
      <c r="IN26" s="47"/>
      <c r="IP26" s="47"/>
      <c r="IR26" s="85">
        <v>1000</v>
      </c>
      <c r="JI26" s="47"/>
      <c r="JK26" s="47"/>
      <c r="JM26" s="85">
        <v>1000</v>
      </c>
      <c r="KD26" s="47"/>
      <c r="KF26" s="47"/>
      <c r="KH26" s="85">
        <v>1000</v>
      </c>
      <c r="KY26" s="47"/>
      <c r="LA26" s="47"/>
      <c r="LC26" s="85">
        <v>1000</v>
      </c>
      <c r="LT26" s="47"/>
      <c r="LV26" s="47"/>
      <c r="LX26" s="85">
        <v>1000</v>
      </c>
    </row>
    <row r="27" spans="1:358" hidden="1" x14ac:dyDescent="0.2">
      <c r="A27" s="49"/>
      <c r="B27" s="84" t="s">
        <v>62</v>
      </c>
      <c r="C27" s="48"/>
      <c r="AL27" s="86">
        <v>1000</v>
      </c>
      <c r="BG27" s="117"/>
      <c r="BH27" s="86">
        <v>1000</v>
      </c>
      <c r="CD27" s="86">
        <v>1000</v>
      </c>
      <c r="DA27" s="86">
        <v>1000</v>
      </c>
      <c r="DU27" s="117"/>
      <c r="DV27" s="86">
        <v>1000</v>
      </c>
      <c r="EQ27" s="86">
        <v>1000</v>
      </c>
      <c r="FL27" s="86">
        <v>1000</v>
      </c>
      <c r="GG27" s="86">
        <v>1000</v>
      </c>
      <c r="HB27" s="86">
        <v>1000</v>
      </c>
      <c r="HW27" s="86">
        <v>1000</v>
      </c>
      <c r="IR27" s="86">
        <v>1000</v>
      </c>
      <c r="JM27" s="86">
        <v>1000</v>
      </c>
      <c r="KH27" s="86">
        <v>1000</v>
      </c>
      <c r="LC27" s="86">
        <v>1000</v>
      </c>
      <c r="LX27" s="86">
        <v>1000</v>
      </c>
    </row>
    <row r="28" spans="1:358" hidden="1" x14ac:dyDescent="0.2">
      <c r="A28" s="49"/>
      <c r="B28" s="63" t="s">
        <v>70</v>
      </c>
      <c r="C28" s="48"/>
      <c r="AK28" s="117"/>
      <c r="AL28" s="57">
        <v>1000</v>
      </c>
      <c r="BG28" s="117"/>
      <c r="BH28" s="57">
        <v>1000</v>
      </c>
      <c r="CD28" s="57">
        <v>1000</v>
      </c>
      <c r="DA28" s="57">
        <v>1000</v>
      </c>
      <c r="DV28" s="57">
        <v>1000</v>
      </c>
      <c r="EQ28" s="57">
        <v>1000</v>
      </c>
      <c r="FL28" s="57">
        <v>1000</v>
      </c>
      <c r="GG28" s="57">
        <v>1000</v>
      </c>
      <c r="HB28" s="57">
        <v>1000</v>
      </c>
      <c r="HW28" s="57">
        <v>1000</v>
      </c>
      <c r="IR28" s="57">
        <v>1000</v>
      </c>
      <c r="JM28" s="57">
        <v>1000</v>
      </c>
      <c r="KH28" s="57">
        <v>1000</v>
      </c>
      <c r="LC28" s="57">
        <v>1000</v>
      </c>
      <c r="LX28" s="57">
        <v>1000</v>
      </c>
    </row>
    <row r="29" spans="1:358" x14ac:dyDescent="0.2">
      <c r="A29" s="49"/>
      <c r="B29" s="65" t="s">
        <v>47</v>
      </c>
      <c r="C29" s="48"/>
      <c r="AH29" s="49"/>
      <c r="AJ29" s="49"/>
      <c r="AL29" s="59">
        <v>66.2</v>
      </c>
      <c r="BD29" s="49"/>
      <c r="BF29" s="49"/>
      <c r="BH29" s="59">
        <v>66.2</v>
      </c>
      <c r="BZ29" s="49"/>
      <c r="CB29" s="49"/>
      <c r="CD29" s="59">
        <v>66.2</v>
      </c>
      <c r="CW29" s="49"/>
      <c r="CY29" s="49"/>
      <c r="DA29" s="59">
        <v>66.2</v>
      </c>
      <c r="DR29" s="49"/>
      <c r="DT29" s="49"/>
      <c r="DV29" s="59">
        <v>66.2</v>
      </c>
      <c r="EM29" s="49"/>
      <c r="EO29" s="49"/>
      <c r="EQ29" s="59">
        <v>66.2</v>
      </c>
      <c r="FH29" s="49"/>
      <c r="FJ29" s="49"/>
      <c r="FL29" s="59">
        <v>66.2</v>
      </c>
      <c r="GC29" s="49"/>
      <c r="GE29" s="49"/>
      <c r="GG29" s="59">
        <v>66.2</v>
      </c>
      <c r="GX29" s="49"/>
      <c r="GZ29" s="49"/>
      <c r="HB29" s="59">
        <v>66.2</v>
      </c>
      <c r="HS29" s="49"/>
      <c r="HU29" s="49"/>
      <c r="HW29" s="59">
        <v>66.2</v>
      </c>
      <c r="IN29" s="49"/>
      <c r="IP29" s="49"/>
      <c r="IR29" s="59">
        <v>66.2</v>
      </c>
      <c r="JI29" s="49"/>
      <c r="JK29" s="49"/>
      <c r="JM29" s="59">
        <v>66.2</v>
      </c>
      <c r="KD29" s="49"/>
      <c r="KF29" s="49"/>
      <c r="KH29" s="59">
        <v>66.2</v>
      </c>
      <c r="KY29" s="49"/>
      <c r="LA29" s="49"/>
      <c r="LC29" s="59">
        <v>66.2</v>
      </c>
      <c r="LT29" s="49"/>
      <c r="LV29" s="49"/>
      <c r="LX29" s="59">
        <v>66.2</v>
      </c>
    </row>
    <row r="30" spans="1:358" hidden="1" x14ac:dyDescent="0.2">
      <c r="A30" s="49"/>
      <c r="B30" s="64" t="s">
        <v>48</v>
      </c>
      <c r="C30" s="48"/>
      <c r="AH30" s="49"/>
      <c r="AJ30" s="49"/>
      <c r="AL30" s="58">
        <v>1000</v>
      </c>
      <c r="BD30" s="49"/>
      <c r="BF30" s="49"/>
      <c r="BH30" s="58">
        <v>1000</v>
      </c>
      <c r="BZ30" s="49"/>
      <c r="CB30" s="49"/>
      <c r="CD30" s="58">
        <v>1000</v>
      </c>
      <c r="CW30" s="49"/>
      <c r="CY30" s="49"/>
      <c r="DA30" s="58">
        <v>1000</v>
      </c>
      <c r="DR30" s="49"/>
      <c r="DT30" s="49"/>
      <c r="DV30" s="58">
        <v>1000</v>
      </c>
      <c r="EM30" s="49"/>
      <c r="EO30" s="49"/>
      <c r="EQ30" s="58">
        <v>1000</v>
      </c>
      <c r="FH30" s="49"/>
      <c r="FJ30" s="49"/>
      <c r="FL30" s="58">
        <v>1000</v>
      </c>
      <c r="GC30" s="49"/>
      <c r="GE30" s="49"/>
      <c r="GG30" s="58">
        <v>1000</v>
      </c>
      <c r="GX30" s="49"/>
      <c r="GZ30" s="49"/>
      <c r="HB30" s="58">
        <v>1000</v>
      </c>
      <c r="HS30" s="49"/>
      <c r="HU30" s="49"/>
      <c r="HW30" s="58">
        <v>1000</v>
      </c>
      <c r="IN30" s="49"/>
      <c r="IP30" s="49"/>
      <c r="IR30" s="58">
        <v>1000</v>
      </c>
      <c r="JI30" s="49"/>
      <c r="JK30" s="49"/>
      <c r="JM30" s="58">
        <v>1000</v>
      </c>
      <c r="KD30" s="49"/>
      <c r="KF30" s="49"/>
      <c r="KH30" s="58">
        <v>1000</v>
      </c>
      <c r="KY30" s="49"/>
      <c r="LA30" s="49"/>
      <c r="LC30" s="58">
        <v>1000</v>
      </c>
      <c r="LT30" s="49"/>
      <c r="LV30" s="49"/>
      <c r="LX30" s="58">
        <v>1000</v>
      </c>
    </row>
    <row r="31" spans="1:358" hidden="1" x14ac:dyDescent="0.2">
      <c r="A31" s="49"/>
      <c r="B31" s="106" t="s">
        <v>60</v>
      </c>
      <c r="C31" s="48"/>
      <c r="AH31" s="49"/>
      <c r="AJ31" s="49"/>
      <c r="AL31" s="107">
        <v>1000</v>
      </c>
      <c r="BD31" s="49"/>
      <c r="BF31" s="49"/>
      <c r="BG31" s="117"/>
      <c r="BH31" s="107">
        <v>1000</v>
      </c>
      <c r="BZ31" s="49"/>
      <c r="CB31" s="49"/>
      <c r="CD31" s="107">
        <v>1000</v>
      </c>
      <c r="CW31" s="49"/>
      <c r="CY31" s="49"/>
      <c r="DA31" s="107">
        <v>1000</v>
      </c>
      <c r="DR31" s="49"/>
      <c r="DT31" s="49"/>
      <c r="DU31" s="117"/>
      <c r="DV31" s="107">
        <v>1000</v>
      </c>
      <c r="EM31" s="49"/>
      <c r="EO31" s="49"/>
      <c r="EQ31" s="107">
        <v>1000</v>
      </c>
      <c r="FH31" s="49"/>
      <c r="FJ31" s="49"/>
      <c r="FL31" s="107">
        <v>1000</v>
      </c>
      <c r="GC31" s="49"/>
      <c r="GE31" s="49"/>
      <c r="GG31" s="107">
        <v>1000</v>
      </c>
      <c r="GX31" s="49"/>
      <c r="GZ31" s="49"/>
      <c r="HB31" s="107">
        <v>1000</v>
      </c>
      <c r="HS31" s="49"/>
      <c r="HU31" s="49"/>
      <c r="HW31" s="107">
        <v>1000</v>
      </c>
      <c r="IN31" s="49"/>
      <c r="IP31" s="49"/>
      <c r="IR31" s="107">
        <v>1000</v>
      </c>
      <c r="JI31" s="49"/>
      <c r="JK31" s="49"/>
      <c r="JM31" s="107">
        <v>1000</v>
      </c>
      <c r="KD31" s="49"/>
      <c r="KF31" s="49"/>
      <c r="KH31" s="107">
        <v>1000</v>
      </c>
      <c r="KY31" s="49"/>
      <c r="LA31" s="49"/>
      <c r="LC31" s="107">
        <v>1000</v>
      </c>
      <c r="LT31" s="49"/>
      <c r="LV31" s="49"/>
      <c r="LX31" s="107">
        <v>1000</v>
      </c>
    </row>
    <row r="32" spans="1:358" hidden="1" x14ac:dyDescent="0.2">
      <c r="A32" s="49"/>
      <c r="B32" s="66" t="s">
        <v>34</v>
      </c>
      <c r="C32" s="48"/>
      <c r="AH32" s="49"/>
      <c r="AJ32" s="49"/>
      <c r="AK32" s="117"/>
      <c r="AL32" s="60">
        <v>1000</v>
      </c>
      <c r="BD32" s="49"/>
      <c r="BF32" s="49"/>
      <c r="BG32" s="117"/>
      <c r="BH32" s="60">
        <v>1000</v>
      </c>
      <c r="BZ32" s="49"/>
      <c r="CB32" s="49"/>
      <c r="CD32" s="60">
        <v>1000</v>
      </c>
      <c r="CW32" s="49"/>
      <c r="CY32" s="49"/>
      <c r="DA32" s="60">
        <v>1000</v>
      </c>
      <c r="DR32" s="49"/>
      <c r="DT32" s="49"/>
      <c r="DV32" s="60">
        <v>1000</v>
      </c>
      <c r="EM32" s="49"/>
      <c r="EO32" s="49"/>
      <c r="EQ32" s="60">
        <v>1000</v>
      </c>
      <c r="FH32" s="49"/>
      <c r="FJ32" s="49"/>
      <c r="FL32" s="60">
        <v>1000</v>
      </c>
      <c r="GC32" s="49"/>
      <c r="GE32" s="49"/>
      <c r="GG32" s="60">
        <v>1000</v>
      </c>
      <c r="GX32" s="49"/>
      <c r="GZ32" s="49"/>
      <c r="HB32" s="60">
        <v>1000</v>
      </c>
      <c r="HS32" s="49"/>
      <c r="HU32" s="49"/>
      <c r="HW32" s="60">
        <v>1000</v>
      </c>
      <c r="IN32" s="49"/>
      <c r="IP32" s="49"/>
      <c r="IR32" s="60">
        <v>1000</v>
      </c>
      <c r="JI32" s="49"/>
      <c r="JK32" s="49"/>
      <c r="JM32" s="60">
        <v>1000</v>
      </c>
      <c r="KD32" s="49"/>
      <c r="KF32" s="49"/>
      <c r="KH32" s="60">
        <v>1000</v>
      </c>
      <c r="KY32" s="49"/>
      <c r="LA32" s="49"/>
      <c r="LC32" s="60">
        <v>1000</v>
      </c>
      <c r="LT32" s="49"/>
      <c r="LV32" s="49"/>
      <c r="LX32" s="60">
        <v>1000</v>
      </c>
    </row>
    <row r="33" spans="1:334" x14ac:dyDescent="0.2">
      <c r="B33" s="74" t="s">
        <v>53</v>
      </c>
      <c r="C33" s="2"/>
      <c r="AH33" s="49"/>
      <c r="AJ33" s="49"/>
      <c r="BD33" s="49"/>
      <c r="BF33" s="49"/>
      <c r="BZ33" s="49"/>
      <c r="CB33" s="49"/>
      <c r="CW33" s="49"/>
      <c r="CX33" s="6"/>
      <c r="CY33" s="49"/>
      <c r="DR33" s="49"/>
      <c r="DT33" s="49"/>
      <c r="EM33" s="49"/>
      <c r="EO33" s="49"/>
      <c r="FH33" s="49"/>
      <c r="FJ33" s="49"/>
      <c r="GC33" s="49"/>
      <c r="GE33" s="49"/>
      <c r="GX33" s="49"/>
      <c r="GZ33" s="49"/>
      <c r="HS33" s="49"/>
      <c r="HU33" s="49"/>
      <c r="IN33" s="49"/>
      <c r="IP33" s="49"/>
      <c r="JI33" s="49"/>
      <c r="JK33" s="49"/>
      <c r="KD33" s="49"/>
      <c r="KE33" s="6"/>
      <c r="KF33" s="49"/>
      <c r="KY33" s="49"/>
      <c r="LA33" s="49"/>
      <c r="LT33" s="49"/>
      <c r="LV33" s="49"/>
    </row>
    <row r="34" spans="1:334" x14ac:dyDescent="0.2">
      <c r="A34" s="49"/>
      <c r="B34" s="49"/>
      <c r="C34" s="48"/>
      <c r="AH34" s="49"/>
      <c r="AJ34" s="49"/>
      <c r="BD34" s="49"/>
      <c r="BF34" s="49"/>
      <c r="BZ34" s="49"/>
      <c r="CB34" s="49"/>
      <c r="CW34" s="49"/>
      <c r="CY34" s="49"/>
      <c r="DR34" s="49"/>
      <c r="DT34" s="49"/>
      <c r="EM34" s="49"/>
      <c r="EO34" s="49"/>
      <c r="FH34" s="49"/>
      <c r="FJ34" s="49"/>
      <c r="GC34" s="49"/>
      <c r="GE34" s="49"/>
      <c r="GX34" s="49"/>
      <c r="GZ34" s="49"/>
      <c r="HS34" s="49"/>
      <c r="HU34" s="49"/>
      <c r="IN34" s="49"/>
      <c r="IP34" s="49"/>
      <c r="JI34" s="49"/>
      <c r="JK34" s="49"/>
      <c r="KD34" s="49"/>
      <c r="KF34" s="49"/>
      <c r="KY34" s="49"/>
      <c r="LA34" s="49"/>
      <c r="LT34" s="49"/>
      <c r="LV34" s="49"/>
    </row>
    <row r="35" spans="1:334" x14ac:dyDescent="0.2">
      <c r="A35" s="49"/>
      <c r="B35" s="49"/>
      <c r="C35" s="48"/>
      <c r="AH35" s="49"/>
      <c r="AJ35" s="49"/>
      <c r="BD35" s="49"/>
      <c r="BF35" s="49"/>
      <c r="BZ35" s="49"/>
      <c r="CB35" s="49"/>
      <c r="CW35" s="49"/>
      <c r="CY35" s="49"/>
      <c r="DR35" s="49"/>
      <c r="DT35" s="49"/>
      <c r="EM35" s="49"/>
      <c r="EO35" s="49"/>
      <c r="FH35" s="49"/>
      <c r="FJ35" s="49"/>
      <c r="GC35" s="49"/>
      <c r="GE35" s="49"/>
      <c r="GX35" s="49"/>
      <c r="GZ35" s="49"/>
      <c r="HS35" s="49"/>
      <c r="HU35" s="49"/>
      <c r="IN35" s="49"/>
      <c r="IP35" s="49"/>
      <c r="JI35" s="49"/>
      <c r="JK35" s="49"/>
      <c r="KD35" s="49"/>
      <c r="KF35" s="49"/>
      <c r="KY35" s="49"/>
      <c r="LA35" s="49"/>
      <c r="LT35" s="49"/>
      <c r="LV35" s="49"/>
    </row>
    <row r="36" spans="1:334" x14ac:dyDescent="0.2">
      <c r="A36" s="49"/>
      <c r="B36" s="49"/>
      <c r="C36" s="48"/>
    </row>
  </sheetData>
  <sheetProtection sheet="1" formatCells="0" formatColumns="0" formatRows="0"/>
  <autoFilter ref="A1:MT5" xr:uid="{96F39759-B9E5-B14C-8DD9-3F4D1E5BD92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22">
      <sortCondition descending="1" ref="F1:F23"/>
    </sortState>
  </autoFilter>
  <mergeCells count="97">
    <mergeCell ref="LD1:LX1"/>
    <mergeCell ref="JN1:KH1"/>
    <mergeCell ref="IS1:JM1"/>
    <mergeCell ref="HX1:IR1"/>
    <mergeCell ref="HC1:HW1"/>
    <mergeCell ref="KI1:LC1"/>
    <mergeCell ref="BI1:CD1"/>
    <mergeCell ref="BI2:BL2"/>
    <mergeCell ref="BM2:BP2"/>
    <mergeCell ref="BQ2:BT2"/>
    <mergeCell ref="BU2:BX2"/>
    <mergeCell ref="F1:F3"/>
    <mergeCell ref="A1:A3"/>
    <mergeCell ref="B1:B3"/>
    <mergeCell ref="C1:C3"/>
    <mergeCell ref="D1:D3"/>
    <mergeCell ref="E1:E3"/>
    <mergeCell ref="AM1:BH1"/>
    <mergeCell ref="I1:I3"/>
    <mergeCell ref="G1:G3"/>
    <mergeCell ref="H1:H3"/>
    <mergeCell ref="J1:J3"/>
    <mergeCell ref="K1:K3"/>
    <mergeCell ref="L1:L3"/>
    <mergeCell ref="M1:M3"/>
    <mergeCell ref="N1:N3"/>
    <mergeCell ref="O1:O3"/>
    <mergeCell ref="P1:P3"/>
    <mergeCell ref="Q1:AL1"/>
    <mergeCell ref="CE1:CF1"/>
    <mergeCell ref="CG1:DA1"/>
    <mergeCell ref="DB1:DV1"/>
    <mergeCell ref="DW1:EQ1"/>
    <mergeCell ref="ER1:FL1"/>
    <mergeCell ref="FM1:GG1"/>
    <mergeCell ref="GH1:HB1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CG2:CJ2"/>
    <mergeCell ref="CK2:CN2"/>
    <mergeCell ref="CO2:CR2"/>
    <mergeCell ref="CS2:CV2"/>
    <mergeCell ref="DB2:DE2"/>
    <mergeCell ref="DF2:DI2"/>
    <mergeCell ref="FU2:FX2"/>
    <mergeCell ref="DN2:DQ2"/>
    <mergeCell ref="DW2:DZ2"/>
    <mergeCell ref="EA2:ED2"/>
    <mergeCell ref="EE2:EH2"/>
    <mergeCell ref="EI2:EL2"/>
    <mergeCell ref="ER2:EU2"/>
    <mergeCell ref="EV2:EY2"/>
    <mergeCell ref="EZ2:FC2"/>
    <mergeCell ref="FD2:FG2"/>
    <mergeCell ref="FM2:FP2"/>
    <mergeCell ref="FQ2:FT2"/>
    <mergeCell ref="IF2:II2"/>
    <mergeCell ref="FY2:GB2"/>
    <mergeCell ref="GH2:GK2"/>
    <mergeCell ref="GL2:GO2"/>
    <mergeCell ref="GP2:GS2"/>
    <mergeCell ref="GT2:GW2"/>
    <mergeCell ref="HC2:HF2"/>
    <mergeCell ref="HG2:HJ2"/>
    <mergeCell ref="HK2:HN2"/>
    <mergeCell ref="HO2:HR2"/>
    <mergeCell ref="HX2:IA2"/>
    <mergeCell ref="IB2:IE2"/>
    <mergeCell ref="KQ2:KT2"/>
    <mergeCell ref="IJ2:IM2"/>
    <mergeCell ref="IS2:IV2"/>
    <mergeCell ref="IW2:IZ2"/>
    <mergeCell ref="JA2:JD2"/>
    <mergeCell ref="JE2:JH2"/>
    <mergeCell ref="JN2:JQ2"/>
    <mergeCell ref="JR2:JU2"/>
    <mergeCell ref="JV2:JY2"/>
    <mergeCell ref="JZ2:KC2"/>
    <mergeCell ref="KI2:KL2"/>
    <mergeCell ref="KM2:KP2"/>
    <mergeCell ref="KU2:KX2"/>
    <mergeCell ref="LD2:LG2"/>
    <mergeCell ref="LH2:LK2"/>
    <mergeCell ref="LL2:LO2"/>
    <mergeCell ref="LP2:LS2"/>
    <mergeCell ref="LY1:MT1"/>
    <mergeCell ref="LY2:MB2"/>
    <mergeCell ref="MC2:MF2"/>
    <mergeCell ref="MG2:MJ2"/>
    <mergeCell ref="MK2:MN2"/>
  </mergeCells>
  <conditionalFormatting sqref="AM4:BH22">
    <cfRule type="expression" dxfId="19" priority="2" stopIfTrue="1">
      <formula>IF($BC4&lt;&gt;"",1,0)</formula>
    </cfRule>
  </conditionalFormatting>
  <conditionalFormatting sqref="Q4:AL22">
    <cfRule type="expression" dxfId="18" priority="1" stopIfTrue="1">
      <formula>IF($AG4&lt;&gt;"",1,0)</formula>
    </cfRule>
  </conditionalFormatting>
  <conditionalFormatting sqref="K1:K1048576 M1:M1048576">
    <cfRule type="expression" dxfId="17" priority="36484">
      <formula>IF(K1=$BI$1,1,0)</formula>
    </cfRule>
    <cfRule type="expression" dxfId="16" priority="36485">
      <formula>IF(K1=$AM$1,1,0)</formula>
    </cfRule>
    <cfRule type="expression" dxfId="15" priority="36486">
      <formula>IF(K1=$Q$1,1,0)</formula>
    </cfRule>
  </conditionalFormatting>
  <conditionalFormatting sqref="BI4:CD22">
    <cfRule type="expression" dxfId="14" priority="3" stopIfTrue="1">
      <formula>IF($BY4&lt;&gt;"",1,0)</formula>
    </cfRule>
  </conditionalFormatting>
  <conditionalFormatting sqref="A1:A1048576">
    <cfRule type="expression" dxfId="13" priority="38433">
      <formula>AND(G1="P",F1="")</formula>
    </cfRule>
  </conditionalFormatting>
  <conditionalFormatting sqref="H1:H1048576">
    <cfRule type="containsText" dxfId="12" priority="5" operator="containsText" text="No DD">
      <formula>NOT(ISERROR(SEARCH("No DD",H1)))</formula>
    </cfRule>
    <cfRule type="containsText" dxfId="11" priority="6" operator="containsText" text="Merit">
      <formula>NOT(ISERROR(SEARCH("Merit",H1)))</formula>
    </cfRule>
    <cfRule type="containsText" dxfId="10" priority="7" operator="containsText" text="Excellence">
      <formula>NOT(ISERROR(SEARCH("Excellence",H1)))</formula>
    </cfRule>
    <cfRule type="containsText" dxfId="9" priority="8" operator="containsText" text="Worlds Team">
      <formula>NOT(ISERROR(SEARCH("Worlds Team",H1)))</formula>
    </cfRule>
    <cfRule type="containsText" dxfId="8" priority="9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7" priority="46289" operator="between">
      <formula>AL$28</formula>
      <formula>1000</formula>
    </cfRule>
    <cfRule type="cellIs" dxfId="6" priority="46290" operator="between">
      <formula>AL$27</formula>
      <formula>AL$28</formula>
    </cfRule>
    <cfRule type="cellIs" dxfId="5" priority="46291" operator="between">
      <formula>AL$26</formula>
      <formula>AL$27</formula>
    </cfRule>
    <cfRule type="cellIs" dxfId="4" priority="46292" operator="between">
      <formula>AL$25</formula>
      <formula>AL$26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3" priority="46469" operator="between">
      <formula>AL$32</formula>
      <formula>1000</formula>
    </cfRule>
    <cfRule type="cellIs" dxfId="2" priority="46470" operator="between">
      <formula>AL$31</formula>
      <formula>AL$32</formula>
    </cfRule>
    <cfRule type="cellIs" dxfId="1" priority="46471" operator="between">
      <formula>AL$30</formula>
      <formula>AL$31</formula>
    </cfRule>
    <cfRule type="cellIs" dxfId="0" priority="46472" operator="between">
      <formula>AL$29</formula>
      <formula>AL$30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2021-10-06T16:18:14Z</dcterms:modified>
</cp:coreProperties>
</file>