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DD4ECC1-55EB-F247-992E-85BCFB276765}" xr6:coauthVersionLast="47" xr6:coauthVersionMax="47" xr10:uidLastSave="{00000000-0000-0000-0000-000000000000}"/>
  <bookViews>
    <workbookView xWindow="-38400" yWindow="-9340" windowWidth="38400" windowHeight="210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'DMT-M'!$A$1:$QD$4</definedName>
    <definedName name="_xlnm._FilterDatabase" localSheetId="6" hidden="1">'DMT-W'!$A$1:$QD$6</definedName>
    <definedName name="_xlnm._FilterDatabase" localSheetId="1" hidden="1">'TRA-M'!$A$1:$TV$21</definedName>
    <definedName name="_xlnm._FilterDatabase" localSheetId="2" hidden="1">'TRA-W'!$A$1:$TV$7</definedName>
    <definedName name="_xlnm._FilterDatabase" localSheetId="3" hidden="1">'TUM-M'!$A$1:$QD$9</definedName>
    <definedName name="_xlnm._FilterDatabase" localSheetId="4" hidden="1">'TUM-W'!$A$1:$QD$9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2" i="21" l="1"/>
  <c r="AM32" i="21"/>
  <c r="AN32" i="21"/>
  <c r="AO32" i="21"/>
  <c r="BH32" i="21"/>
  <c r="BI32" i="21"/>
  <c r="BJ32" i="21"/>
  <c r="BK32" i="21"/>
  <c r="CD32" i="21"/>
  <c r="CE32" i="21"/>
  <c r="CF32" i="21"/>
  <c r="CG32" i="21"/>
  <c r="CH32" i="21" s="1"/>
  <c r="DE32" i="21"/>
  <c r="DF32" i="21"/>
  <c r="DI32" i="21" s="1"/>
  <c r="DG32" i="21"/>
  <c r="DH32" i="21"/>
  <c r="DJ32" i="21"/>
  <c r="DK32" i="21"/>
  <c r="EG32" i="21"/>
  <c r="EH32" i="21"/>
  <c r="EI32" i="21"/>
  <c r="EJ32" i="21"/>
  <c r="EL32" i="21"/>
  <c r="EM32" i="21"/>
  <c r="FI32" i="21"/>
  <c r="FJ32" i="21"/>
  <c r="FK32" i="21"/>
  <c r="FL32" i="21"/>
  <c r="FN32" i="21"/>
  <c r="FO32" i="21"/>
  <c r="GK32" i="21"/>
  <c r="GL32" i="21"/>
  <c r="GM32" i="21"/>
  <c r="GN32" i="21"/>
  <c r="GP32" i="21"/>
  <c r="GQ32" i="21"/>
  <c r="HM32" i="21"/>
  <c r="HN32" i="21"/>
  <c r="HO32" i="21"/>
  <c r="HP32" i="21"/>
  <c r="HR32" i="21"/>
  <c r="HS32" i="21"/>
  <c r="IO32" i="21"/>
  <c r="IP32" i="21"/>
  <c r="IQ32" i="21"/>
  <c r="IR32" i="21"/>
  <c r="IT32" i="21"/>
  <c r="IU32" i="21"/>
  <c r="IV32" i="21" s="1"/>
  <c r="JQ32" i="21"/>
  <c r="JR32" i="21"/>
  <c r="JS32" i="21"/>
  <c r="JT32" i="21"/>
  <c r="JV32" i="21"/>
  <c r="JW32" i="21"/>
  <c r="KS32" i="21"/>
  <c r="KT32" i="21"/>
  <c r="KU32" i="21"/>
  <c r="KV32" i="21"/>
  <c r="KX32" i="21"/>
  <c r="KY32" i="21"/>
  <c r="LU32" i="21"/>
  <c r="LV32" i="21"/>
  <c r="LW32" i="21"/>
  <c r="LX32" i="21"/>
  <c r="LZ32" i="21"/>
  <c r="MA32" i="21"/>
  <c r="MW32" i="21"/>
  <c r="MX32" i="21"/>
  <c r="MY32" i="21"/>
  <c r="MZ32" i="21"/>
  <c r="NB32" i="21"/>
  <c r="NC32" i="21"/>
  <c r="NY32" i="21"/>
  <c r="NZ32" i="21"/>
  <c r="OA32" i="21"/>
  <c r="OB32" i="21"/>
  <c r="OD32" i="21"/>
  <c r="OE32" i="21"/>
  <c r="PA32" i="21"/>
  <c r="PB32" i="21"/>
  <c r="PC32" i="21"/>
  <c r="PD32" i="21"/>
  <c r="PF32" i="21"/>
  <c r="PG32" i="21"/>
  <c r="PI32" i="21"/>
  <c r="PJ32" i="21"/>
  <c r="PK32" i="21"/>
  <c r="PL32" i="21"/>
  <c r="PM32" i="21"/>
  <c r="PN32" i="21"/>
  <c r="PO32" i="21"/>
  <c r="PP32" i="21"/>
  <c r="PQ32" i="21"/>
  <c r="PR32" i="21"/>
  <c r="PS32" i="21"/>
  <c r="PT32" i="21"/>
  <c r="PU32" i="21"/>
  <c r="PV32" i="21"/>
  <c r="PW32" i="21"/>
  <c r="PX32" i="21"/>
  <c r="AL29" i="21"/>
  <c r="AM29" i="21"/>
  <c r="AN29" i="21"/>
  <c r="AO29" i="21"/>
  <c r="BH29" i="21"/>
  <c r="BI29" i="21"/>
  <c r="BJ29" i="21"/>
  <c r="BK29" i="21"/>
  <c r="CD29" i="21"/>
  <c r="CE29" i="21"/>
  <c r="CF29" i="21"/>
  <c r="CG29" i="21"/>
  <c r="DE29" i="21"/>
  <c r="DF29" i="21"/>
  <c r="DG29" i="21"/>
  <c r="DH29" i="21"/>
  <c r="DJ29" i="21"/>
  <c r="DK29" i="21"/>
  <c r="EG29" i="21"/>
  <c r="EH29" i="21"/>
  <c r="EI29" i="21"/>
  <c r="EJ29" i="21"/>
  <c r="EL29" i="21"/>
  <c r="EM29" i="21"/>
  <c r="FI29" i="21"/>
  <c r="FJ29" i="21"/>
  <c r="FK29" i="21"/>
  <c r="FL29" i="21"/>
  <c r="FN29" i="21"/>
  <c r="FO29" i="21"/>
  <c r="GK29" i="21"/>
  <c r="GL29" i="21"/>
  <c r="GM29" i="21"/>
  <c r="GN29" i="21"/>
  <c r="GP29" i="21"/>
  <c r="GQ29" i="21"/>
  <c r="HM29" i="21"/>
  <c r="HN29" i="21"/>
  <c r="HO29" i="21"/>
  <c r="HP29" i="21"/>
  <c r="HR29" i="21"/>
  <c r="HS29" i="21"/>
  <c r="IO29" i="21"/>
  <c r="IP29" i="21"/>
  <c r="IQ29" i="21"/>
  <c r="IR29" i="21"/>
  <c r="IT29" i="21"/>
  <c r="IU29" i="21"/>
  <c r="JQ29" i="21"/>
  <c r="JR29" i="21"/>
  <c r="JS29" i="21"/>
  <c r="JT29" i="21"/>
  <c r="JV29" i="21"/>
  <c r="JW29" i="21"/>
  <c r="KS29" i="21"/>
  <c r="KT29" i="21"/>
  <c r="KU29" i="21"/>
  <c r="KV29" i="21"/>
  <c r="KX29" i="21"/>
  <c r="KY29" i="21"/>
  <c r="LU29" i="21"/>
  <c r="LV29" i="21"/>
  <c r="LW29" i="21"/>
  <c r="LX29" i="21"/>
  <c r="LZ29" i="21"/>
  <c r="MA29" i="21"/>
  <c r="MW29" i="21"/>
  <c r="MX29" i="21"/>
  <c r="MY29" i="21"/>
  <c r="MZ29" i="21"/>
  <c r="NB29" i="21"/>
  <c r="NC29" i="21"/>
  <c r="NY29" i="21"/>
  <c r="NZ29" i="21"/>
  <c r="OA29" i="21"/>
  <c r="OB29" i="21"/>
  <c r="OD29" i="21"/>
  <c r="OE29" i="21"/>
  <c r="PA29" i="21"/>
  <c r="PB29" i="21"/>
  <c r="PC29" i="21"/>
  <c r="PD29" i="21"/>
  <c r="PF29" i="21"/>
  <c r="PG29" i="21"/>
  <c r="PI29" i="21"/>
  <c r="PJ29" i="21"/>
  <c r="PK29" i="21"/>
  <c r="PL29" i="21"/>
  <c r="PM29" i="21"/>
  <c r="PN29" i="21"/>
  <c r="PO29" i="21"/>
  <c r="PP29" i="21"/>
  <c r="PQ29" i="21"/>
  <c r="PR29" i="21"/>
  <c r="PS29" i="21"/>
  <c r="PT29" i="21"/>
  <c r="PU29" i="21"/>
  <c r="PV29" i="21"/>
  <c r="PW29" i="21"/>
  <c r="PX29" i="21"/>
  <c r="AL24" i="21"/>
  <c r="AM24" i="21"/>
  <c r="AN24" i="21"/>
  <c r="AO24" i="21"/>
  <c r="BH24" i="21"/>
  <c r="BI24" i="21"/>
  <c r="BJ24" i="21"/>
  <c r="BK24" i="21"/>
  <c r="CD24" i="21"/>
  <c r="CE24" i="21"/>
  <c r="CF24" i="21"/>
  <c r="CG24" i="21"/>
  <c r="DE24" i="21"/>
  <c r="DF24" i="21"/>
  <c r="DG24" i="21"/>
  <c r="DH24" i="21"/>
  <c r="DJ24" i="21"/>
  <c r="DK24" i="21"/>
  <c r="EG24" i="21"/>
  <c r="EH24" i="21"/>
  <c r="EI24" i="21"/>
  <c r="EJ24" i="21"/>
  <c r="EL24" i="21"/>
  <c r="EM24" i="21"/>
  <c r="FI24" i="21"/>
  <c r="FJ24" i="21"/>
  <c r="FK24" i="21"/>
  <c r="FL24" i="21"/>
  <c r="FN24" i="21"/>
  <c r="FO24" i="21"/>
  <c r="GK24" i="21"/>
  <c r="GL24" i="21"/>
  <c r="GM24" i="21"/>
  <c r="GN24" i="21"/>
  <c r="GP24" i="21"/>
  <c r="GQ24" i="21"/>
  <c r="HM24" i="21"/>
  <c r="HN24" i="21"/>
  <c r="HO24" i="21"/>
  <c r="HP24" i="21"/>
  <c r="HR24" i="21"/>
  <c r="HS24" i="21"/>
  <c r="IO24" i="21"/>
  <c r="IP24" i="21"/>
  <c r="IS24" i="21" s="1"/>
  <c r="IQ24" i="21"/>
  <c r="IR24" i="21"/>
  <c r="IT24" i="21"/>
  <c r="IU24" i="21"/>
  <c r="JQ24" i="21"/>
  <c r="JR24" i="21"/>
  <c r="JS24" i="21"/>
  <c r="JT24" i="21"/>
  <c r="JV24" i="21"/>
  <c r="JW24" i="21"/>
  <c r="KS24" i="21"/>
  <c r="KT24" i="21"/>
  <c r="KU24" i="21"/>
  <c r="KV24" i="21"/>
  <c r="KX24" i="21"/>
  <c r="KY24" i="21"/>
  <c r="LU24" i="21"/>
  <c r="LV24" i="21"/>
  <c r="LW24" i="21"/>
  <c r="LX24" i="21"/>
  <c r="LZ24" i="21"/>
  <c r="MA24" i="21"/>
  <c r="MW24" i="21"/>
  <c r="MX24" i="21"/>
  <c r="MY24" i="21"/>
  <c r="MZ24" i="21"/>
  <c r="NB24" i="21"/>
  <c r="NC24" i="21"/>
  <c r="NY24" i="21"/>
  <c r="NZ24" i="21"/>
  <c r="OA24" i="21"/>
  <c r="OB24" i="21"/>
  <c r="OD24" i="21"/>
  <c r="OE24" i="21"/>
  <c r="PA24" i="21"/>
  <c r="PB24" i="21"/>
  <c r="PC24" i="21"/>
  <c r="PD24" i="21"/>
  <c r="PF24" i="21"/>
  <c r="PG24" i="21"/>
  <c r="PI24" i="21"/>
  <c r="PJ24" i="21"/>
  <c r="PK24" i="21"/>
  <c r="PL24" i="21"/>
  <c r="PM24" i="21"/>
  <c r="PN24" i="21"/>
  <c r="PO24" i="21"/>
  <c r="PP24" i="21"/>
  <c r="PQ24" i="21"/>
  <c r="PR24" i="21"/>
  <c r="PS24" i="21"/>
  <c r="PT24" i="21"/>
  <c r="PU24" i="21"/>
  <c r="PV24" i="21"/>
  <c r="PW24" i="21"/>
  <c r="PX24" i="21"/>
  <c r="AL23" i="21"/>
  <c r="AM23" i="21"/>
  <c r="AN23" i="21"/>
  <c r="AO23" i="21"/>
  <c r="BH23" i="21"/>
  <c r="BI23" i="21"/>
  <c r="BJ23" i="21"/>
  <c r="BK23" i="21"/>
  <c r="CD23" i="21"/>
  <c r="CE23" i="21"/>
  <c r="CF23" i="21"/>
  <c r="CG23" i="21"/>
  <c r="DE23" i="21"/>
  <c r="DF23" i="21"/>
  <c r="DG23" i="21"/>
  <c r="DH23" i="21"/>
  <c r="DJ23" i="21"/>
  <c r="DK23" i="21"/>
  <c r="EG23" i="21"/>
  <c r="EH23" i="21"/>
  <c r="EI23" i="21"/>
  <c r="EJ23" i="21"/>
  <c r="EL23" i="21"/>
  <c r="EM23" i="21"/>
  <c r="FI23" i="21"/>
  <c r="FJ23" i="21"/>
  <c r="FK23" i="21"/>
  <c r="FL23" i="21"/>
  <c r="FN23" i="21"/>
  <c r="FO23" i="21"/>
  <c r="GK23" i="21"/>
  <c r="GL23" i="21"/>
  <c r="GM23" i="21"/>
  <c r="GN23" i="21"/>
  <c r="GP23" i="21"/>
  <c r="GQ23" i="21"/>
  <c r="HM23" i="21"/>
  <c r="HN23" i="21"/>
  <c r="HO23" i="21"/>
  <c r="HP23" i="21"/>
  <c r="HR23" i="21"/>
  <c r="HS23" i="21"/>
  <c r="IO23" i="21"/>
  <c r="IP23" i="21"/>
  <c r="IQ23" i="21"/>
  <c r="IR23" i="21"/>
  <c r="IT23" i="21"/>
  <c r="IU23" i="21"/>
  <c r="JQ23" i="21"/>
  <c r="JR23" i="21"/>
  <c r="JS23" i="21"/>
  <c r="JT23" i="21"/>
  <c r="JV23" i="21"/>
  <c r="JW23" i="21"/>
  <c r="KS23" i="21"/>
  <c r="KT23" i="21"/>
  <c r="KU23" i="21"/>
  <c r="KV23" i="21"/>
  <c r="KX23" i="21"/>
  <c r="KY23" i="21"/>
  <c r="LU23" i="21"/>
  <c r="LV23" i="21"/>
  <c r="LW23" i="21"/>
  <c r="LX23" i="21"/>
  <c r="LZ23" i="21"/>
  <c r="MA23" i="21"/>
  <c r="MW23" i="21"/>
  <c r="MX23" i="21"/>
  <c r="MY23" i="21"/>
  <c r="MZ23" i="21"/>
  <c r="NB23" i="21"/>
  <c r="NC23" i="21"/>
  <c r="NY23" i="21"/>
  <c r="NZ23" i="21"/>
  <c r="OA23" i="21"/>
  <c r="OB23" i="21"/>
  <c r="OD23" i="21"/>
  <c r="OE23" i="21"/>
  <c r="PA23" i="21"/>
  <c r="PB23" i="21"/>
  <c r="PC23" i="21"/>
  <c r="PD23" i="21"/>
  <c r="PF23" i="21"/>
  <c r="PG23" i="21"/>
  <c r="PI23" i="21"/>
  <c r="PJ23" i="21"/>
  <c r="PK23" i="21"/>
  <c r="PL23" i="21"/>
  <c r="PM23" i="21"/>
  <c r="PN23" i="21"/>
  <c r="PO23" i="21"/>
  <c r="PP23" i="21"/>
  <c r="PQ23" i="21"/>
  <c r="PR23" i="21"/>
  <c r="PS23" i="21"/>
  <c r="PT23" i="21"/>
  <c r="PU23" i="21"/>
  <c r="PV23" i="21"/>
  <c r="PW23" i="21"/>
  <c r="PX23" i="21"/>
  <c r="AL19" i="21"/>
  <c r="AM19" i="21"/>
  <c r="AN19" i="21"/>
  <c r="AO19" i="21"/>
  <c r="BH19" i="21"/>
  <c r="BI19" i="21"/>
  <c r="BJ19" i="21"/>
  <c r="BK19" i="21"/>
  <c r="CD19" i="21"/>
  <c r="CE19" i="21"/>
  <c r="CF19" i="21"/>
  <c r="CG19" i="21"/>
  <c r="DE19" i="21"/>
  <c r="DF19" i="21"/>
  <c r="DG19" i="21"/>
  <c r="DH19" i="21"/>
  <c r="DJ19" i="21"/>
  <c r="DK19" i="21"/>
  <c r="EG19" i="21"/>
  <c r="EH19" i="21"/>
  <c r="EI19" i="21"/>
  <c r="EJ19" i="21"/>
  <c r="EL19" i="21"/>
  <c r="EM19" i="21"/>
  <c r="FI19" i="21"/>
  <c r="FJ19" i="21"/>
  <c r="FK19" i="21"/>
  <c r="FL19" i="21"/>
  <c r="FN19" i="21"/>
  <c r="FO19" i="21"/>
  <c r="GK19" i="21"/>
  <c r="GL19" i="21"/>
  <c r="GM19" i="21"/>
  <c r="GN19" i="21"/>
  <c r="GP19" i="21"/>
  <c r="GQ19" i="21"/>
  <c r="HM19" i="21"/>
  <c r="HN19" i="21"/>
  <c r="HO19" i="21"/>
  <c r="HP19" i="21"/>
  <c r="HR19" i="21"/>
  <c r="HS19" i="21"/>
  <c r="IO19" i="21"/>
  <c r="IP19" i="21"/>
  <c r="IQ19" i="21"/>
  <c r="IR19" i="21"/>
  <c r="IT19" i="21"/>
  <c r="IU19" i="21"/>
  <c r="JQ19" i="21"/>
  <c r="JR19" i="21"/>
  <c r="JS19" i="21"/>
  <c r="JT19" i="21"/>
  <c r="JV19" i="21"/>
  <c r="JW19" i="21"/>
  <c r="KS19" i="21"/>
  <c r="KT19" i="21"/>
  <c r="KU19" i="21"/>
  <c r="KV19" i="21"/>
  <c r="KX19" i="21"/>
  <c r="KY19" i="21"/>
  <c r="LU19" i="21"/>
  <c r="LV19" i="21"/>
  <c r="LW19" i="21"/>
  <c r="LX19" i="21"/>
  <c r="LZ19" i="21"/>
  <c r="MA19" i="21"/>
  <c r="MW19" i="21"/>
  <c r="MX19" i="21"/>
  <c r="MY19" i="21"/>
  <c r="MZ19" i="21"/>
  <c r="NB19" i="21"/>
  <c r="NC19" i="21"/>
  <c r="NY19" i="21"/>
  <c r="NZ19" i="21"/>
  <c r="OA19" i="21"/>
  <c r="OB19" i="21"/>
  <c r="OD19" i="21"/>
  <c r="OE19" i="21"/>
  <c r="PA19" i="21"/>
  <c r="PB19" i="21"/>
  <c r="PC19" i="21"/>
  <c r="PD19" i="21"/>
  <c r="PF19" i="21"/>
  <c r="PG19" i="21"/>
  <c r="PI19" i="21"/>
  <c r="PJ19" i="21"/>
  <c r="PK19" i="21"/>
  <c r="PL19" i="21"/>
  <c r="PM19" i="21"/>
  <c r="PN19" i="21"/>
  <c r="PO19" i="21"/>
  <c r="PP19" i="21"/>
  <c r="PQ19" i="21"/>
  <c r="PR19" i="21"/>
  <c r="PS19" i="21"/>
  <c r="PT19" i="21"/>
  <c r="PU19" i="21"/>
  <c r="PV19" i="21"/>
  <c r="PW19" i="21"/>
  <c r="PX19" i="21"/>
  <c r="AL17" i="21"/>
  <c r="AM17" i="21"/>
  <c r="AN17" i="21"/>
  <c r="AO17" i="21"/>
  <c r="BH17" i="21"/>
  <c r="BI17" i="21"/>
  <c r="BJ17" i="21"/>
  <c r="BK17" i="21"/>
  <c r="CD17" i="21"/>
  <c r="CE17" i="21"/>
  <c r="CF17" i="21"/>
  <c r="CG17" i="21"/>
  <c r="DE17" i="21"/>
  <c r="DF17" i="21"/>
  <c r="DG17" i="21"/>
  <c r="DH17" i="21"/>
  <c r="DJ17" i="21"/>
  <c r="DK17" i="21"/>
  <c r="EG17" i="21"/>
  <c r="EH17" i="21"/>
  <c r="EI17" i="21"/>
  <c r="EJ17" i="21"/>
  <c r="EL17" i="21"/>
  <c r="EM17" i="21"/>
  <c r="FI17" i="21"/>
  <c r="FJ17" i="21"/>
  <c r="FK17" i="21"/>
  <c r="FL17" i="21"/>
  <c r="FN17" i="21"/>
  <c r="FO17" i="21"/>
  <c r="GK17" i="21"/>
  <c r="GL17" i="21"/>
  <c r="GM17" i="21"/>
  <c r="GN17" i="21"/>
  <c r="GP17" i="21"/>
  <c r="GQ17" i="21"/>
  <c r="HM17" i="21"/>
  <c r="HN17" i="21"/>
  <c r="HO17" i="21"/>
  <c r="HP17" i="21"/>
  <c r="HR17" i="21"/>
  <c r="HS17" i="21"/>
  <c r="IO17" i="21"/>
  <c r="IP17" i="21"/>
  <c r="IQ17" i="21"/>
  <c r="IR17" i="21"/>
  <c r="IT17" i="21"/>
  <c r="IU17" i="21"/>
  <c r="JQ17" i="21"/>
  <c r="JR17" i="21"/>
  <c r="JS17" i="21"/>
  <c r="JT17" i="21"/>
  <c r="JV17" i="21"/>
  <c r="JW17" i="21"/>
  <c r="KS17" i="21"/>
  <c r="KT17" i="21"/>
  <c r="KU17" i="21"/>
  <c r="KV17" i="21"/>
  <c r="KX17" i="21"/>
  <c r="KY17" i="21"/>
  <c r="LU17" i="21"/>
  <c r="LV17" i="21"/>
  <c r="LW17" i="21"/>
  <c r="LX17" i="21"/>
  <c r="LZ17" i="21"/>
  <c r="MA17" i="21"/>
  <c r="MW17" i="21"/>
  <c r="MX17" i="21"/>
  <c r="MY17" i="21"/>
  <c r="MZ17" i="21"/>
  <c r="NB17" i="21"/>
  <c r="NC17" i="21"/>
  <c r="NY17" i="21"/>
  <c r="NZ17" i="21"/>
  <c r="OA17" i="21"/>
  <c r="OB17" i="21"/>
  <c r="OD17" i="21"/>
  <c r="OE17" i="21"/>
  <c r="PA17" i="21"/>
  <c r="PB17" i="21"/>
  <c r="PC17" i="21"/>
  <c r="PD17" i="21"/>
  <c r="PF17" i="21"/>
  <c r="PG17" i="21"/>
  <c r="PI17" i="21"/>
  <c r="PJ17" i="21"/>
  <c r="PK17" i="21"/>
  <c r="PL17" i="21"/>
  <c r="PM17" i="21"/>
  <c r="PN17" i="21"/>
  <c r="PO17" i="21"/>
  <c r="PP17" i="21"/>
  <c r="PQ17" i="21"/>
  <c r="PR17" i="21"/>
  <c r="PS17" i="21"/>
  <c r="PT17" i="21"/>
  <c r="PU17" i="21"/>
  <c r="PV17" i="21"/>
  <c r="PW17" i="21"/>
  <c r="PX17" i="21"/>
  <c r="AL11" i="21"/>
  <c r="AM11" i="21"/>
  <c r="AN11" i="21"/>
  <c r="AO11" i="21"/>
  <c r="BH11" i="21"/>
  <c r="BI11" i="21"/>
  <c r="BJ11" i="21"/>
  <c r="BK11" i="21"/>
  <c r="CD11" i="21"/>
  <c r="CE11" i="21"/>
  <c r="CF11" i="21"/>
  <c r="CG11" i="21"/>
  <c r="DE11" i="21"/>
  <c r="DF11" i="21"/>
  <c r="DG11" i="21"/>
  <c r="DH11" i="21"/>
  <c r="DJ11" i="21"/>
  <c r="DK11" i="21"/>
  <c r="EG11" i="21"/>
  <c r="EH11" i="21"/>
  <c r="EI11" i="21"/>
  <c r="EJ11" i="21"/>
  <c r="EL11" i="21"/>
  <c r="EM11" i="21"/>
  <c r="FI11" i="21"/>
  <c r="FJ11" i="21"/>
  <c r="FK11" i="21"/>
  <c r="FL11" i="21"/>
  <c r="FN11" i="21"/>
  <c r="FO11" i="21"/>
  <c r="GK11" i="21"/>
  <c r="GL11" i="21"/>
  <c r="GM11" i="21"/>
  <c r="GN11" i="21"/>
  <c r="GP11" i="21"/>
  <c r="GQ11" i="21"/>
  <c r="HM11" i="21"/>
  <c r="HN11" i="21"/>
  <c r="HO11" i="21"/>
  <c r="HP11" i="21"/>
  <c r="HR11" i="21"/>
  <c r="HS11" i="21"/>
  <c r="IO11" i="21"/>
  <c r="IP11" i="21"/>
  <c r="IQ11" i="21"/>
  <c r="IR11" i="21"/>
  <c r="IT11" i="21"/>
  <c r="IU11" i="21"/>
  <c r="JQ11" i="21"/>
  <c r="JR11" i="21"/>
  <c r="JS11" i="21"/>
  <c r="JT11" i="21"/>
  <c r="JV11" i="21"/>
  <c r="JW11" i="21"/>
  <c r="KS11" i="21"/>
  <c r="KT11" i="21"/>
  <c r="KU11" i="21"/>
  <c r="KV11" i="21"/>
  <c r="KX11" i="21"/>
  <c r="KY11" i="21"/>
  <c r="LU11" i="21"/>
  <c r="LV11" i="21"/>
  <c r="LW11" i="21"/>
  <c r="LX11" i="21"/>
  <c r="LZ11" i="21"/>
  <c r="MA11" i="21"/>
  <c r="MW11" i="21"/>
  <c r="MX11" i="21"/>
  <c r="MY11" i="21"/>
  <c r="MZ11" i="21"/>
  <c r="NB11" i="21"/>
  <c r="NC11" i="21"/>
  <c r="NY11" i="21"/>
  <c r="NZ11" i="21"/>
  <c r="OA11" i="21"/>
  <c r="OB11" i="21"/>
  <c r="OD11" i="21"/>
  <c r="OE11" i="21"/>
  <c r="PA11" i="21"/>
  <c r="PB11" i="21"/>
  <c r="PC11" i="21"/>
  <c r="PD11" i="21"/>
  <c r="PF11" i="21"/>
  <c r="PG11" i="21"/>
  <c r="PI11" i="21"/>
  <c r="PJ11" i="21"/>
  <c r="PK11" i="21"/>
  <c r="PL11" i="21"/>
  <c r="PM11" i="21"/>
  <c r="PN11" i="21"/>
  <c r="PO11" i="21"/>
  <c r="PP11" i="21"/>
  <c r="PQ11" i="21"/>
  <c r="PR11" i="21"/>
  <c r="PS11" i="21"/>
  <c r="PT11" i="21"/>
  <c r="PU11" i="21"/>
  <c r="PV11" i="21"/>
  <c r="PW11" i="21"/>
  <c r="PX11" i="21"/>
  <c r="AL8" i="21"/>
  <c r="AM8" i="21"/>
  <c r="AN8" i="21"/>
  <c r="AO8" i="21"/>
  <c r="BH8" i="21"/>
  <c r="BI8" i="21"/>
  <c r="BJ8" i="21"/>
  <c r="BK8" i="21"/>
  <c r="CD8" i="21"/>
  <c r="CE8" i="21"/>
  <c r="CF8" i="21"/>
  <c r="CG8" i="21"/>
  <c r="DE8" i="21"/>
  <c r="DF8" i="21"/>
  <c r="DG8" i="21"/>
  <c r="DH8" i="21"/>
  <c r="DJ8" i="21"/>
  <c r="DK8" i="21"/>
  <c r="EG8" i="21"/>
  <c r="EH8" i="21"/>
  <c r="EI8" i="21"/>
  <c r="EJ8" i="21"/>
  <c r="EL8" i="21"/>
  <c r="EM8" i="21"/>
  <c r="FI8" i="21"/>
  <c r="FJ8" i="21"/>
  <c r="FK8" i="21"/>
  <c r="FL8" i="21"/>
  <c r="FN8" i="21"/>
  <c r="FO8" i="21"/>
  <c r="GK8" i="21"/>
  <c r="GL8" i="21"/>
  <c r="GM8" i="21"/>
  <c r="GN8" i="21"/>
  <c r="GP8" i="21"/>
  <c r="GQ8" i="21"/>
  <c r="HM8" i="21"/>
  <c r="HN8" i="21"/>
  <c r="HO8" i="21"/>
  <c r="HP8" i="21"/>
  <c r="HR8" i="21"/>
  <c r="HS8" i="21"/>
  <c r="IO8" i="21"/>
  <c r="IP8" i="21"/>
  <c r="IQ8" i="21"/>
  <c r="IR8" i="21"/>
  <c r="IT8" i="21"/>
  <c r="IU8" i="21"/>
  <c r="JQ8" i="21"/>
  <c r="JR8" i="21"/>
  <c r="JS8" i="21"/>
  <c r="JT8" i="21"/>
  <c r="JV8" i="21"/>
  <c r="JW8" i="21"/>
  <c r="KS8" i="21"/>
  <c r="KT8" i="21"/>
  <c r="KU8" i="21"/>
  <c r="KV8" i="21"/>
  <c r="KX8" i="21"/>
  <c r="KY8" i="21"/>
  <c r="LU8" i="21"/>
  <c r="LV8" i="21"/>
  <c r="LW8" i="21"/>
  <c r="LX8" i="21"/>
  <c r="LZ8" i="21"/>
  <c r="MA8" i="21"/>
  <c r="MW8" i="21"/>
  <c r="MX8" i="21"/>
  <c r="MY8" i="21"/>
  <c r="MZ8" i="21"/>
  <c r="NB8" i="21"/>
  <c r="NC8" i="21"/>
  <c r="NY8" i="21"/>
  <c r="NZ8" i="21"/>
  <c r="OA8" i="21"/>
  <c r="OB8" i="21"/>
  <c r="OD8" i="21"/>
  <c r="OE8" i="21"/>
  <c r="PA8" i="21"/>
  <c r="PB8" i="21"/>
  <c r="PC8" i="21"/>
  <c r="PD8" i="21"/>
  <c r="PF8" i="21"/>
  <c r="PG8" i="21"/>
  <c r="PI8" i="21"/>
  <c r="PJ8" i="21"/>
  <c r="PK8" i="21"/>
  <c r="PL8" i="21"/>
  <c r="PM8" i="21"/>
  <c r="PN8" i="21"/>
  <c r="PO8" i="21"/>
  <c r="PP8" i="21"/>
  <c r="PQ8" i="21"/>
  <c r="PR8" i="21"/>
  <c r="PS8" i="21"/>
  <c r="PT8" i="21"/>
  <c r="PU8" i="21"/>
  <c r="PV8" i="21"/>
  <c r="PW8" i="21"/>
  <c r="PX8" i="21"/>
  <c r="AL4" i="21"/>
  <c r="AM4" i="21"/>
  <c r="AN4" i="21"/>
  <c r="AO4" i="21"/>
  <c r="BH4" i="21"/>
  <c r="BI4" i="21"/>
  <c r="BJ4" i="21"/>
  <c r="BK4" i="21"/>
  <c r="CD4" i="21"/>
  <c r="CE4" i="21"/>
  <c r="CF4" i="21"/>
  <c r="CG4" i="21"/>
  <c r="DE4" i="21"/>
  <c r="DF4" i="21"/>
  <c r="DG4" i="21"/>
  <c r="DH4" i="21"/>
  <c r="DJ4" i="21"/>
  <c r="DK4" i="21"/>
  <c r="EG4" i="21"/>
  <c r="EH4" i="21"/>
  <c r="EI4" i="21"/>
  <c r="EJ4" i="21"/>
  <c r="EL4" i="21"/>
  <c r="EM4" i="21"/>
  <c r="FI4" i="21"/>
  <c r="FJ4" i="21"/>
  <c r="FK4" i="21"/>
  <c r="FL4" i="21"/>
  <c r="FN4" i="21"/>
  <c r="FO4" i="21"/>
  <c r="GK4" i="21"/>
  <c r="GL4" i="21"/>
  <c r="GM4" i="21"/>
  <c r="GN4" i="21"/>
  <c r="GP4" i="21"/>
  <c r="GQ4" i="21"/>
  <c r="HM4" i="21"/>
  <c r="HN4" i="21"/>
  <c r="HO4" i="21"/>
  <c r="HP4" i="21"/>
  <c r="HR4" i="21"/>
  <c r="HS4" i="21"/>
  <c r="IO4" i="21"/>
  <c r="IP4" i="21"/>
  <c r="IQ4" i="21"/>
  <c r="IR4" i="21"/>
  <c r="IT4" i="21"/>
  <c r="IU4" i="21"/>
  <c r="JQ4" i="21"/>
  <c r="JR4" i="21"/>
  <c r="JS4" i="21"/>
  <c r="JT4" i="21"/>
  <c r="JV4" i="21"/>
  <c r="JW4" i="21"/>
  <c r="KS4" i="21"/>
  <c r="KT4" i="21"/>
  <c r="KU4" i="21"/>
  <c r="KV4" i="21"/>
  <c r="KX4" i="21"/>
  <c r="KY4" i="21"/>
  <c r="LU4" i="21"/>
  <c r="LV4" i="21"/>
  <c r="LW4" i="21"/>
  <c r="LX4" i="21"/>
  <c r="LZ4" i="21"/>
  <c r="MA4" i="21"/>
  <c r="MW4" i="21"/>
  <c r="MX4" i="21"/>
  <c r="MY4" i="21"/>
  <c r="MZ4" i="21"/>
  <c r="NB4" i="21"/>
  <c r="NC4" i="21"/>
  <c r="NY4" i="21"/>
  <c r="NZ4" i="21"/>
  <c r="OA4" i="21"/>
  <c r="OB4" i="21"/>
  <c r="OD4" i="21"/>
  <c r="OE4" i="21"/>
  <c r="PA4" i="21"/>
  <c r="PB4" i="21"/>
  <c r="PC4" i="21"/>
  <c r="PD4" i="21"/>
  <c r="PF4" i="21"/>
  <c r="PG4" i="21"/>
  <c r="PI4" i="21"/>
  <c r="PJ4" i="21"/>
  <c r="PK4" i="21"/>
  <c r="PL4" i="21"/>
  <c r="PM4" i="21"/>
  <c r="PN4" i="21"/>
  <c r="PO4" i="21"/>
  <c r="PP4" i="21"/>
  <c r="PQ4" i="21"/>
  <c r="PR4" i="21"/>
  <c r="PS4" i="21"/>
  <c r="PT4" i="21"/>
  <c r="PU4" i="21"/>
  <c r="PV4" i="21"/>
  <c r="PW4" i="21"/>
  <c r="PX4" i="21"/>
  <c r="AL31" i="19"/>
  <c r="AM31" i="19"/>
  <c r="AN31" i="19"/>
  <c r="AO31" i="19"/>
  <c r="BH31" i="19"/>
  <c r="BI31" i="19"/>
  <c r="BJ31" i="19"/>
  <c r="BK31" i="19"/>
  <c r="CD31" i="19"/>
  <c r="CE31" i="19"/>
  <c r="CF31" i="19"/>
  <c r="CG31" i="19"/>
  <c r="DE31" i="19"/>
  <c r="DF31" i="19"/>
  <c r="DG31" i="19"/>
  <c r="DH31" i="19"/>
  <c r="DJ31" i="19"/>
  <c r="DK31" i="19"/>
  <c r="EG31" i="19"/>
  <c r="EH31" i="19"/>
  <c r="EI31" i="19"/>
  <c r="EJ31" i="19"/>
  <c r="EL31" i="19"/>
  <c r="EM31" i="19"/>
  <c r="FI31" i="19"/>
  <c r="FJ31" i="19"/>
  <c r="FK31" i="19"/>
  <c r="FL31" i="19"/>
  <c r="FN31" i="19"/>
  <c r="FO31" i="19"/>
  <c r="GK31" i="19"/>
  <c r="GL31" i="19"/>
  <c r="GM31" i="19"/>
  <c r="GN31" i="19"/>
  <c r="GP31" i="19"/>
  <c r="GQ31" i="19"/>
  <c r="HM31" i="19"/>
  <c r="HN31" i="19"/>
  <c r="HO31" i="19"/>
  <c r="HP31" i="19"/>
  <c r="HR31" i="19"/>
  <c r="HS31" i="19"/>
  <c r="IO31" i="19"/>
  <c r="IP31" i="19"/>
  <c r="IQ31" i="19"/>
  <c r="IR31" i="19"/>
  <c r="IT31" i="19"/>
  <c r="IU31" i="19"/>
  <c r="JQ31" i="19"/>
  <c r="JR31" i="19"/>
  <c r="JS31" i="19"/>
  <c r="JT31" i="19"/>
  <c r="JV31" i="19"/>
  <c r="JW31" i="19"/>
  <c r="KS31" i="19"/>
  <c r="KT31" i="19"/>
  <c r="KU31" i="19"/>
  <c r="KV31" i="19"/>
  <c r="KX31" i="19"/>
  <c r="KY31" i="19"/>
  <c r="LU31" i="19"/>
  <c r="LV31" i="19"/>
  <c r="LW31" i="19"/>
  <c r="LX31" i="19"/>
  <c r="LZ31" i="19"/>
  <c r="MA31" i="19"/>
  <c r="MW31" i="19"/>
  <c r="MX31" i="19"/>
  <c r="MY31" i="19"/>
  <c r="MZ31" i="19"/>
  <c r="NB31" i="19"/>
  <c r="NC31" i="19"/>
  <c r="NY31" i="19"/>
  <c r="NZ31" i="19"/>
  <c r="OA31" i="19"/>
  <c r="OB31" i="19"/>
  <c r="OD31" i="19"/>
  <c r="OE31" i="19"/>
  <c r="PA31" i="19"/>
  <c r="PB31" i="19"/>
  <c r="PC31" i="19"/>
  <c r="PD31" i="19"/>
  <c r="PF31" i="19"/>
  <c r="PG31" i="19"/>
  <c r="PI31" i="19"/>
  <c r="PJ31" i="19"/>
  <c r="PK31" i="19"/>
  <c r="PL31" i="19"/>
  <c r="PM31" i="19"/>
  <c r="PN31" i="19"/>
  <c r="PO31" i="19"/>
  <c r="PP31" i="19"/>
  <c r="PQ31" i="19"/>
  <c r="PR31" i="19"/>
  <c r="PS31" i="19"/>
  <c r="PT31" i="19"/>
  <c r="PU31" i="19"/>
  <c r="PV31" i="19"/>
  <c r="PW31" i="19"/>
  <c r="PX31" i="19"/>
  <c r="AL21" i="19"/>
  <c r="AM21" i="19"/>
  <c r="AN21" i="19"/>
  <c r="AO21" i="19"/>
  <c r="BH21" i="19"/>
  <c r="BI21" i="19"/>
  <c r="BJ21" i="19"/>
  <c r="BK21" i="19"/>
  <c r="CD21" i="19"/>
  <c r="CE21" i="19"/>
  <c r="CF21" i="19"/>
  <c r="CG21" i="19"/>
  <c r="DE21" i="19"/>
  <c r="DF21" i="19"/>
  <c r="DG21" i="19"/>
  <c r="DH21" i="19"/>
  <c r="DJ21" i="19"/>
  <c r="DK21" i="19"/>
  <c r="EG21" i="19"/>
  <c r="EH21" i="19"/>
  <c r="EK21" i="19" s="1"/>
  <c r="EI21" i="19"/>
  <c r="EJ21" i="19"/>
  <c r="EL21" i="19"/>
  <c r="EM21" i="19"/>
  <c r="FI21" i="19"/>
  <c r="FJ21" i="19"/>
  <c r="FK21" i="19"/>
  <c r="FL21" i="19"/>
  <c r="FN21" i="19"/>
  <c r="FO21" i="19"/>
  <c r="GK21" i="19"/>
  <c r="GL21" i="19"/>
  <c r="GM21" i="19"/>
  <c r="GN21" i="19"/>
  <c r="GP21" i="19"/>
  <c r="GQ21" i="19"/>
  <c r="HM21" i="19"/>
  <c r="HN21" i="19"/>
  <c r="HO21" i="19"/>
  <c r="HP21" i="19"/>
  <c r="HR21" i="19"/>
  <c r="HS21" i="19"/>
  <c r="IO21" i="19"/>
  <c r="IP21" i="19"/>
  <c r="IQ21" i="19"/>
  <c r="IR21" i="19"/>
  <c r="IT21" i="19"/>
  <c r="IU21" i="19"/>
  <c r="JQ21" i="19"/>
  <c r="JR21" i="19"/>
  <c r="JS21" i="19"/>
  <c r="JT21" i="19"/>
  <c r="JV21" i="19"/>
  <c r="JW21" i="19"/>
  <c r="KS21" i="19"/>
  <c r="KT21" i="19"/>
  <c r="KU21" i="19"/>
  <c r="KV21" i="19"/>
  <c r="KX21" i="19"/>
  <c r="KY21" i="19"/>
  <c r="LU21" i="19"/>
  <c r="LV21" i="19"/>
  <c r="LW21" i="19"/>
  <c r="LX21" i="19"/>
  <c r="LZ21" i="19"/>
  <c r="MA21" i="19"/>
  <c r="MW21" i="19"/>
  <c r="MX21" i="19"/>
  <c r="MY21" i="19"/>
  <c r="MZ21" i="19"/>
  <c r="NB21" i="19"/>
  <c r="NC21" i="19"/>
  <c r="NY21" i="19"/>
  <c r="NZ21" i="19"/>
  <c r="OA21" i="19"/>
  <c r="OB21" i="19"/>
  <c r="OD21" i="19"/>
  <c r="OE21" i="19"/>
  <c r="PA21" i="19"/>
  <c r="PB21" i="19"/>
  <c r="PC21" i="19"/>
  <c r="PD21" i="19"/>
  <c r="PF21" i="19"/>
  <c r="PG21" i="19"/>
  <c r="PI21" i="19"/>
  <c r="PJ21" i="19"/>
  <c r="PK21" i="19"/>
  <c r="PL21" i="19"/>
  <c r="PM21" i="19"/>
  <c r="PN21" i="19"/>
  <c r="PO21" i="19"/>
  <c r="PP21" i="19"/>
  <c r="PQ21" i="19"/>
  <c r="PR21" i="19"/>
  <c r="PS21" i="19"/>
  <c r="PT21" i="19"/>
  <c r="PU21" i="19"/>
  <c r="PV21" i="19"/>
  <c r="PW21" i="19"/>
  <c r="PX21" i="19"/>
  <c r="AL20" i="19"/>
  <c r="AM20" i="19"/>
  <c r="AN20" i="19"/>
  <c r="AO20" i="19"/>
  <c r="BH20" i="19"/>
  <c r="BI20" i="19"/>
  <c r="BJ20" i="19"/>
  <c r="BK20" i="19"/>
  <c r="CD20" i="19"/>
  <c r="CE20" i="19"/>
  <c r="CF20" i="19"/>
  <c r="CG20" i="19"/>
  <c r="DE20" i="19"/>
  <c r="DF20" i="19"/>
  <c r="DG20" i="19"/>
  <c r="DH20" i="19"/>
  <c r="DJ20" i="19"/>
  <c r="DK20" i="19"/>
  <c r="EG20" i="19"/>
  <c r="EH20" i="19"/>
  <c r="EI20" i="19"/>
  <c r="EJ20" i="19"/>
  <c r="EL20" i="19"/>
  <c r="EM20" i="19"/>
  <c r="FI20" i="19"/>
  <c r="FJ20" i="19"/>
  <c r="FK20" i="19"/>
  <c r="FL20" i="19"/>
  <c r="FN20" i="19"/>
  <c r="FO20" i="19"/>
  <c r="GK20" i="19"/>
  <c r="GL20" i="19"/>
  <c r="GM20" i="19"/>
  <c r="GN20" i="19"/>
  <c r="GP20" i="19"/>
  <c r="GQ20" i="19"/>
  <c r="HM20" i="19"/>
  <c r="HN20" i="19"/>
  <c r="HO20" i="19"/>
  <c r="HP20" i="19"/>
  <c r="HR20" i="19"/>
  <c r="HS20" i="19"/>
  <c r="IO20" i="19"/>
  <c r="IP20" i="19"/>
  <c r="IQ20" i="19"/>
  <c r="IR20" i="19"/>
  <c r="IT20" i="19"/>
  <c r="IU20" i="19"/>
  <c r="JQ20" i="19"/>
  <c r="JR20" i="19"/>
  <c r="JS20" i="19"/>
  <c r="JT20" i="19"/>
  <c r="JV20" i="19"/>
  <c r="JW20" i="19"/>
  <c r="KS20" i="19"/>
  <c r="KT20" i="19"/>
  <c r="KU20" i="19"/>
  <c r="KV20" i="19"/>
  <c r="KX20" i="19"/>
  <c r="KY20" i="19"/>
  <c r="LU20" i="19"/>
  <c r="LV20" i="19"/>
  <c r="LW20" i="19"/>
  <c r="LX20" i="19"/>
  <c r="LZ20" i="19"/>
  <c r="MA20" i="19"/>
  <c r="MW20" i="19"/>
  <c r="MX20" i="19"/>
  <c r="MY20" i="19"/>
  <c r="MZ20" i="19"/>
  <c r="NB20" i="19"/>
  <c r="NC20" i="19"/>
  <c r="NY20" i="19"/>
  <c r="NZ20" i="19"/>
  <c r="OA20" i="19"/>
  <c r="OB20" i="19"/>
  <c r="OD20" i="19"/>
  <c r="OE20" i="19"/>
  <c r="PA20" i="19"/>
  <c r="PB20" i="19"/>
  <c r="PC20" i="19"/>
  <c r="PD20" i="19"/>
  <c r="PF20" i="19"/>
  <c r="PG20" i="19"/>
  <c r="PI20" i="19"/>
  <c r="PJ20" i="19"/>
  <c r="PK20" i="19"/>
  <c r="PL20" i="19"/>
  <c r="PM20" i="19"/>
  <c r="PN20" i="19"/>
  <c r="PO20" i="19"/>
  <c r="PP20" i="19"/>
  <c r="PQ20" i="19"/>
  <c r="PR20" i="19"/>
  <c r="PS20" i="19"/>
  <c r="PT20" i="19"/>
  <c r="PU20" i="19"/>
  <c r="PV20" i="19"/>
  <c r="PW20" i="19"/>
  <c r="PX20" i="19"/>
  <c r="AL17" i="19"/>
  <c r="AM17" i="19"/>
  <c r="AN17" i="19"/>
  <c r="AO17" i="19"/>
  <c r="BH17" i="19"/>
  <c r="BI17" i="19"/>
  <c r="BJ17" i="19"/>
  <c r="BK17" i="19"/>
  <c r="CD17" i="19"/>
  <c r="CE17" i="19"/>
  <c r="CF17" i="19"/>
  <c r="CG17" i="19"/>
  <c r="DE17" i="19"/>
  <c r="DF17" i="19"/>
  <c r="DG17" i="19"/>
  <c r="DH17" i="19"/>
  <c r="DJ17" i="19"/>
  <c r="DK17" i="19"/>
  <c r="EG17" i="19"/>
  <c r="EH17" i="19"/>
  <c r="EI17" i="19"/>
  <c r="EJ17" i="19"/>
  <c r="EL17" i="19"/>
  <c r="EM17" i="19"/>
  <c r="FI17" i="19"/>
  <c r="FJ17" i="19"/>
  <c r="FK17" i="19"/>
  <c r="FL17" i="19"/>
  <c r="FN17" i="19"/>
  <c r="FO17" i="19"/>
  <c r="GK17" i="19"/>
  <c r="GL17" i="19"/>
  <c r="GM17" i="19"/>
  <c r="GN17" i="19"/>
  <c r="GP17" i="19"/>
  <c r="GQ17" i="19"/>
  <c r="HM17" i="19"/>
  <c r="HN17" i="19"/>
  <c r="HO17" i="19"/>
  <c r="HP17" i="19"/>
  <c r="HR17" i="19"/>
  <c r="HS17" i="19"/>
  <c r="IO17" i="19"/>
  <c r="IP17" i="19"/>
  <c r="IQ17" i="19"/>
  <c r="IR17" i="19"/>
  <c r="IT17" i="19"/>
  <c r="IU17" i="19"/>
  <c r="JQ17" i="19"/>
  <c r="JR17" i="19"/>
  <c r="JS17" i="19"/>
  <c r="JT17" i="19"/>
  <c r="JV17" i="19"/>
  <c r="JW17" i="19"/>
  <c r="KS17" i="19"/>
  <c r="KT17" i="19"/>
  <c r="KU17" i="19"/>
  <c r="KV17" i="19"/>
  <c r="KX17" i="19"/>
  <c r="KY17" i="19"/>
  <c r="LU17" i="19"/>
  <c r="LV17" i="19"/>
  <c r="LW17" i="19"/>
  <c r="LX17" i="19"/>
  <c r="LZ17" i="19"/>
  <c r="MA17" i="19"/>
  <c r="MW17" i="19"/>
  <c r="MX17" i="19"/>
  <c r="MY17" i="19"/>
  <c r="MZ17" i="19"/>
  <c r="NB17" i="19"/>
  <c r="NC17" i="19"/>
  <c r="NY17" i="19"/>
  <c r="NZ17" i="19"/>
  <c r="OA17" i="19"/>
  <c r="OB17" i="19"/>
  <c r="OD17" i="19"/>
  <c r="OE17" i="19"/>
  <c r="PA17" i="19"/>
  <c r="PB17" i="19"/>
  <c r="PC17" i="19"/>
  <c r="PD17" i="19"/>
  <c r="PF17" i="19"/>
  <c r="PG17" i="19"/>
  <c r="PI17" i="19"/>
  <c r="PJ17" i="19"/>
  <c r="PK17" i="19"/>
  <c r="PL17" i="19"/>
  <c r="PM17" i="19"/>
  <c r="PN17" i="19"/>
  <c r="PO17" i="19"/>
  <c r="PP17" i="19"/>
  <c r="PQ17" i="19"/>
  <c r="PR17" i="19"/>
  <c r="PS17" i="19"/>
  <c r="PT17" i="19"/>
  <c r="PU17" i="19"/>
  <c r="PV17" i="19"/>
  <c r="PW17" i="19"/>
  <c r="PX17" i="19"/>
  <c r="AL14" i="19"/>
  <c r="AM14" i="19"/>
  <c r="AN14" i="19"/>
  <c r="AO14" i="19"/>
  <c r="BH14" i="19"/>
  <c r="BI14" i="19"/>
  <c r="BJ14" i="19"/>
  <c r="BK14" i="19"/>
  <c r="CD14" i="19"/>
  <c r="CE14" i="19"/>
  <c r="CF14" i="19"/>
  <c r="CG14" i="19"/>
  <c r="DE14" i="19"/>
  <c r="DF14" i="19"/>
  <c r="DG14" i="19"/>
  <c r="DH14" i="19"/>
  <c r="DJ14" i="19"/>
  <c r="DK14" i="19"/>
  <c r="EG14" i="19"/>
  <c r="EH14" i="19"/>
  <c r="EK14" i="19" s="1"/>
  <c r="EI14" i="19"/>
  <c r="EJ14" i="19"/>
  <c r="EL14" i="19"/>
  <c r="EM14" i="19"/>
  <c r="FI14" i="19"/>
  <c r="FJ14" i="19"/>
  <c r="FK14" i="19"/>
  <c r="FL14" i="19"/>
  <c r="FN14" i="19"/>
  <c r="FO14" i="19"/>
  <c r="GK14" i="19"/>
  <c r="GL14" i="19"/>
  <c r="GM14" i="19"/>
  <c r="GN14" i="19"/>
  <c r="GP14" i="19"/>
  <c r="GQ14" i="19"/>
  <c r="HM14" i="19"/>
  <c r="HN14" i="19"/>
  <c r="HO14" i="19"/>
  <c r="HP14" i="19"/>
  <c r="HR14" i="19"/>
  <c r="HS14" i="19"/>
  <c r="IO14" i="19"/>
  <c r="IP14" i="19"/>
  <c r="IQ14" i="19"/>
  <c r="IR14" i="19"/>
  <c r="IT14" i="19"/>
  <c r="IU14" i="19"/>
  <c r="JQ14" i="19"/>
  <c r="JR14" i="19"/>
  <c r="JS14" i="19"/>
  <c r="JT14" i="19"/>
  <c r="JV14" i="19"/>
  <c r="JW14" i="19"/>
  <c r="KS14" i="19"/>
  <c r="KT14" i="19"/>
  <c r="KU14" i="19"/>
  <c r="KV14" i="19"/>
  <c r="KX14" i="19"/>
  <c r="KY14" i="19"/>
  <c r="LU14" i="19"/>
  <c r="LV14" i="19"/>
  <c r="LW14" i="19"/>
  <c r="LX14" i="19"/>
  <c r="LZ14" i="19"/>
  <c r="MA14" i="19"/>
  <c r="MW14" i="19"/>
  <c r="MX14" i="19"/>
  <c r="MY14" i="19"/>
  <c r="MZ14" i="19"/>
  <c r="NB14" i="19"/>
  <c r="NC14" i="19"/>
  <c r="NY14" i="19"/>
  <c r="NZ14" i="19"/>
  <c r="OA14" i="19"/>
  <c r="OB14" i="19"/>
  <c r="OD14" i="19"/>
  <c r="OE14" i="19"/>
  <c r="PA14" i="19"/>
  <c r="PB14" i="19"/>
  <c r="PC14" i="19"/>
  <c r="PD14" i="19"/>
  <c r="PF14" i="19"/>
  <c r="PG14" i="19"/>
  <c r="PI14" i="19"/>
  <c r="PJ14" i="19"/>
  <c r="PK14" i="19"/>
  <c r="PL14" i="19"/>
  <c r="PM14" i="19"/>
  <c r="PN14" i="19"/>
  <c r="PO14" i="19"/>
  <c r="PP14" i="19"/>
  <c r="PQ14" i="19"/>
  <c r="PR14" i="19"/>
  <c r="PS14" i="19"/>
  <c r="PT14" i="19"/>
  <c r="PU14" i="19"/>
  <c r="PV14" i="19"/>
  <c r="PW14" i="19"/>
  <c r="PX14" i="19"/>
  <c r="AL12" i="19"/>
  <c r="AM12" i="19"/>
  <c r="AN12" i="19"/>
  <c r="AO12" i="19"/>
  <c r="BH12" i="19"/>
  <c r="BI12" i="19"/>
  <c r="BJ12" i="19"/>
  <c r="BK12" i="19"/>
  <c r="CD12" i="19"/>
  <c r="CE12" i="19"/>
  <c r="CF12" i="19"/>
  <c r="CG12" i="19"/>
  <c r="DE12" i="19"/>
  <c r="DF12" i="19"/>
  <c r="DG12" i="19"/>
  <c r="DH12" i="19"/>
  <c r="DJ12" i="19"/>
  <c r="DK12" i="19"/>
  <c r="EG12" i="19"/>
  <c r="EH12" i="19"/>
  <c r="EI12" i="19"/>
  <c r="EJ12" i="19"/>
  <c r="EL12" i="19"/>
  <c r="EM12" i="19"/>
  <c r="FI12" i="19"/>
  <c r="FJ12" i="19"/>
  <c r="FK12" i="19"/>
  <c r="FL12" i="19"/>
  <c r="FN12" i="19"/>
  <c r="FO12" i="19"/>
  <c r="GK12" i="19"/>
  <c r="GL12" i="19"/>
  <c r="GM12" i="19"/>
  <c r="GN12" i="19"/>
  <c r="GP12" i="19"/>
  <c r="GQ12" i="19"/>
  <c r="HM12" i="19"/>
  <c r="HN12" i="19"/>
  <c r="HO12" i="19"/>
  <c r="HP12" i="19"/>
  <c r="HR12" i="19"/>
  <c r="HS12" i="19"/>
  <c r="IO12" i="19"/>
  <c r="IP12" i="19"/>
  <c r="IQ12" i="19"/>
  <c r="IR12" i="19"/>
  <c r="IT12" i="19"/>
  <c r="IU12" i="19"/>
  <c r="JQ12" i="19"/>
  <c r="JR12" i="19"/>
  <c r="JS12" i="19"/>
  <c r="JT12" i="19"/>
  <c r="JV12" i="19"/>
  <c r="JW12" i="19"/>
  <c r="KS12" i="19"/>
  <c r="KT12" i="19"/>
  <c r="KU12" i="19"/>
  <c r="KV12" i="19"/>
  <c r="KX12" i="19"/>
  <c r="KY12" i="19"/>
  <c r="LU12" i="19"/>
  <c r="LV12" i="19"/>
  <c r="LW12" i="19"/>
  <c r="LX12" i="19"/>
  <c r="LZ12" i="19"/>
  <c r="MA12" i="19"/>
  <c r="MW12" i="19"/>
  <c r="MX12" i="19"/>
  <c r="MY12" i="19"/>
  <c r="MZ12" i="19"/>
  <c r="NB12" i="19"/>
  <c r="NC12" i="19"/>
  <c r="NY12" i="19"/>
  <c r="NZ12" i="19"/>
  <c r="OA12" i="19"/>
  <c r="OB12" i="19"/>
  <c r="OD12" i="19"/>
  <c r="OE12" i="19"/>
  <c r="PA12" i="19"/>
  <c r="PB12" i="19"/>
  <c r="PC12" i="19"/>
  <c r="PD12" i="19"/>
  <c r="PF12" i="19"/>
  <c r="PG12" i="19"/>
  <c r="PI12" i="19"/>
  <c r="PJ12" i="19"/>
  <c r="PK12" i="19"/>
  <c r="PL12" i="19"/>
  <c r="PM12" i="19"/>
  <c r="PN12" i="19"/>
  <c r="PO12" i="19"/>
  <c r="PP12" i="19"/>
  <c r="PQ12" i="19"/>
  <c r="PR12" i="19"/>
  <c r="PS12" i="19"/>
  <c r="PT12" i="19"/>
  <c r="PU12" i="19"/>
  <c r="PV12" i="19"/>
  <c r="PW12" i="19"/>
  <c r="PX12" i="19"/>
  <c r="AL15" i="27"/>
  <c r="AM15" i="27"/>
  <c r="AN15" i="27"/>
  <c r="AO15" i="27"/>
  <c r="BH15" i="27"/>
  <c r="BI15" i="27"/>
  <c r="BJ15" i="27"/>
  <c r="BK15" i="27"/>
  <c r="BL15" i="27" s="1"/>
  <c r="CD15" i="27"/>
  <c r="CE15" i="27"/>
  <c r="CF15" i="27"/>
  <c r="CG15" i="27"/>
  <c r="DE15" i="27"/>
  <c r="DF15" i="27"/>
  <c r="DG15" i="27"/>
  <c r="DH15" i="27"/>
  <c r="DJ15" i="27"/>
  <c r="DK15" i="27"/>
  <c r="EG15" i="27"/>
  <c r="EH15" i="27"/>
  <c r="EI15" i="27"/>
  <c r="EJ15" i="27"/>
  <c r="EL15" i="27"/>
  <c r="EM15" i="27"/>
  <c r="FI15" i="27"/>
  <c r="FJ15" i="27"/>
  <c r="FK15" i="27"/>
  <c r="FL15" i="27"/>
  <c r="FN15" i="27"/>
  <c r="FO15" i="27"/>
  <c r="GK15" i="27"/>
  <c r="GL15" i="27"/>
  <c r="GM15" i="27"/>
  <c r="GN15" i="27"/>
  <c r="GP15" i="27"/>
  <c r="GQ15" i="27"/>
  <c r="HM15" i="27"/>
  <c r="HN15" i="27"/>
  <c r="HO15" i="27"/>
  <c r="HP15" i="27"/>
  <c r="HR15" i="27"/>
  <c r="HS15" i="27"/>
  <c r="IO15" i="27"/>
  <c r="IP15" i="27"/>
  <c r="IQ15" i="27"/>
  <c r="IR15" i="27"/>
  <c r="IT15" i="27"/>
  <c r="IU15" i="27"/>
  <c r="JQ15" i="27"/>
  <c r="JR15" i="27"/>
  <c r="JS15" i="27"/>
  <c r="JT15" i="27"/>
  <c r="JV15" i="27"/>
  <c r="JW15" i="27"/>
  <c r="KS15" i="27"/>
  <c r="KT15" i="27"/>
  <c r="KU15" i="27"/>
  <c r="KV15" i="27"/>
  <c r="KX15" i="27"/>
  <c r="KY15" i="27"/>
  <c r="LU15" i="27"/>
  <c r="LV15" i="27"/>
  <c r="LW15" i="27"/>
  <c r="LX15" i="27"/>
  <c r="LZ15" i="27"/>
  <c r="MA15" i="27"/>
  <c r="MW15" i="27"/>
  <c r="MX15" i="27"/>
  <c r="MY15" i="27"/>
  <c r="MZ15" i="27"/>
  <c r="NB15" i="27"/>
  <c r="NC15" i="27"/>
  <c r="NY15" i="27"/>
  <c r="NZ15" i="27"/>
  <c r="OA15" i="27"/>
  <c r="OB15" i="27"/>
  <c r="OD15" i="27"/>
  <c r="OE15" i="27"/>
  <c r="PA15" i="27"/>
  <c r="PB15" i="27"/>
  <c r="PC15" i="27"/>
  <c r="PD15" i="27"/>
  <c r="PF15" i="27"/>
  <c r="PG15" i="27"/>
  <c r="PI15" i="27"/>
  <c r="PJ15" i="27"/>
  <c r="PK15" i="27"/>
  <c r="PL15" i="27"/>
  <c r="PM15" i="27"/>
  <c r="PN15" i="27"/>
  <c r="PO15" i="27"/>
  <c r="PP15" i="27"/>
  <c r="PQ15" i="27"/>
  <c r="PR15" i="27"/>
  <c r="PS15" i="27"/>
  <c r="PT15" i="27"/>
  <c r="PU15" i="27"/>
  <c r="PV15" i="27"/>
  <c r="PW15" i="27"/>
  <c r="PX15" i="27"/>
  <c r="AL13" i="27"/>
  <c r="AM13" i="27"/>
  <c r="AN13" i="27"/>
  <c r="AO13" i="27"/>
  <c r="BH13" i="27"/>
  <c r="BI13" i="27"/>
  <c r="BJ13" i="27"/>
  <c r="BK13" i="27"/>
  <c r="CD13" i="27"/>
  <c r="CE13" i="27"/>
  <c r="CF13" i="27"/>
  <c r="CG13" i="27"/>
  <c r="DE13" i="27"/>
  <c r="DF13" i="27"/>
  <c r="DG13" i="27"/>
  <c r="DH13" i="27"/>
  <c r="DJ13" i="27"/>
  <c r="DK13" i="27"/>
  <c r="EG13" i="27"/>
  <c r="EH13" i="27"/>
  <c r="EI13" i="27"/>
  <c r="EJ13" i="27"/>
  <c r="EL13" i="27"/>
  <c r="EM13" i="27"/>
  <c r="FI13" i="27"/>
  <c r="FJ13" i="27"/>
  <c r="FK13" i="27"/>
  <c r="FL13" i="27"/>
  <c r="FN13" i="27"/>
  <c r="FO13" i="27"/>
  <c r="GK13" i="27"/>
  <c r="GL13" i="27"/>
  <c r="GM13" i="27"/>
  <c r="GN13" i="27"/>
  <c r="GP13" i="27"/>
  <c r="GQ13" i="27"/>
  <c r="HM13" i="27"/>
  <c r="HN13" i="27"/>
  <c r="HO13" i="27"/>
  <c r="HP13" i="27"/>
  <c r="HR13" i="27"/>
  <c r="HS13" i="27"/>
  <c r="IO13" i="27"/>
  <c r="IP13" i="27"/>
  <c r="IQ13" i="27"/>
  <c r="IR13" i="27"/>
  <c r="IT13" i="27"/>
  <c r="IU13" i="27"/>
  <c r="JQ13" i="27"/>
  <c r="JR13" i="27"/>
  <c r="JS13" i="27"/>
  <c r="JT13" i="27"/>
  <c r="JV13" i="27"/>
  <c r="JW13" i="27"/>
  <c r="KS13" i="27"/>
  <c r="KT13" i="27"/>
  <c r="KU13" i="27"/>
  <c r="KV13" i="27"/>
  <c r="KX13" i="27"/>
  <c r="KY13" i="27"/>
  <c r="LU13" i="27"/>
  <c r="LV13" i="27"/>
  <c r="LW13" i="27"/>
  <c r="LX13" i="27"/>
  <c r="LZ13" i="27"/>
  <c r="MA13" i="27"/>
  <c r="MW13" i="27"/>
  <c r="MX13" i="27"/>
  <c r="MY13" i="27"/>
  <c r="MZ13" i="27"/>
  <c r="NB13" i="27"/>
  <c r="NC13" i="27"/>
  <c r="NY13" i="27"/>
  <c r="NZ13" i="27"/>
  <c r="OA13" i="27"/>
  <c r="OB13" i="27"/>
  <c r="OD13" i="27"/>
  <c r="OE13" i="27"/>
  <c r="PA13" i="27"/>
  <c r="PB13" i="27"/>
  <c r="PC13" i="27"/>
  <c r="PD13" i="27"/>
  <c r="PF13" i="27"/>
  <c r="PG13" i="27"/>
  <c r="PI13" i="27"/>
  <c r="PJ13" i="27"/>
  <c r="PK13" i="27"/>
  <c r="PL13" i="27"/>
  <c r="PM13" i="27"/>
  <c r="PN13" i="27"/>
  <c r="PO13" i="27"/>
  <c r="PP13" i="27"/>
  <c r="PQ13" i="27"/>
  <c r="PR13" i="27"/>
  <c r="PS13" i="27"/>
  <c r="PT13" i="27"/>
  <c r="PU13" i="27"/>
  <c r="PV13" i="27"/>
  <c r="PW13" i="27"/>
  <c r="PX13" i="27"/>
  <c r="AL10" i="27"/>
  <c r="AM10" i="27"/>
  <c r="AN10" i="27"/>
  <c r="AO10" i="27"/>
  <c r="BH10" i="27"/>
  <c r="BI10" i="27"/>
  <c r="BJ10" i="27"/>
  <c r="BK10" i="27"/>
  <c r="CD10" i="27"/>
  <c r="CE10" i="27"/>
  <c r="CF10" i="27"/>
  <c r="CG10" i="27"/>
  <c r="DE10" i="27"/>
  <c r="DF10" i="27"/>
  <c r="DG10" i="27"/>
  <c r="DH10" i="27"/>
  <c r="DJ10" i="27"/>
  <c r="DK10" i="27"/>
  <c r="EG10" i="27"/>
  <c r="EH10" i="27"/>
  <c r="EI10" i="27"/>
  <c r="EJ10" i="27"/>
  <c r="EL10" i="27"/>
  <c r="EM10" i="27"/>
  <c r="FI10" i="27"/>
  <c r="FJ10" i="27"/>
  <c r="FK10" i="27"/>
  <c r="FL10" i="27"/>
  <c r="FN10" i="27"/>
  <c r="FO10" i="27"/>
  <c r="GK10" i="27"/>
  <c r="GL10" i="27"/>
  <c r="GM10" i="27"/>
  <c r="GN10" i="27"/>
  <c r="GP10" i="27"/>
  <c r="GQ10" i="27"/>
  <c r="HM10" i="27"/>
  <c r="HN10" i="27"/>
  <c r="HO10" i="27"/>
  <c r="HP10" i="27"/>
  <c r="HR10" i="27"/>
  <c r="HS10" i="27"/>
  <c r="IO10" i="27"/>
  <c r="IP10" i="27"/>
  <c r="IQ10" i="27"/>
  <c r="IR10" i="27"/>
  <c r="IT10" i="27"/>
  <c r="IU10" i="27"/>
  <c r="JQ10" i="27"/>
  <c r="JR10" i="27"/>
  <c r="JS10" i="27"/>
  <c r="JT10" i="27"/>
  <c r="JV10" i="27"/>
  <c r="JW10" i="27"/>
  <c r="KS10" i="27"/>
  <c r="KT10" i="27"/>
  <c r="KU10" i="27"/>
  <c r="KV10" i="27"/>
  <c r="KX10" i="27"/>
  <c r="KY10" i="27"/>
  <c r="LU10" i="27"/>
  <c r="LV10" i="27"/>
  <c r="LW10" i="27"/>
  <c r="LX10" i="27"/>
  <c r="LZ10" i="27"/>
  <c r="MA10" i="27"/>
  <c r="MW10" i="27"/>
  <c r="MX10" i="27"/>
  <c r="MY10" i="27"/>
  <c r="MZ10" i="27"/>
  <c r="NB10" i="27"/>
  <c r="NC10" i="27"/>
  <c r="NY10" i="27"/>
  <c r="NZ10" i="27"/>
  <c r="OA10" i="27"/>
  <c r="OB10" i="27"/>
  <c r="OD10" i="27"/>
  <c r="OE10" i="27"/>
  <c r="PA10" i="27"/>
  <c r="PB10" i="27"/>
  <c r="PC10" i="27"/>
  <c r="PD10" i="27"/>
  <c r="PF10" i="27"/>
  <c r="PG10" i="27"/>
  <c r="PI10" i="27"/>
  <c r="PJ10" i="27"/>
  <c r="PK10" i="27"/>
  <c r="PL10" i="27"/>
  <c r="PM10" i="27"/>
  <c r="PN10" i="27"/>
  <c r="PO10" i="27"/>
  <c r="PP10" i="27"/>
  <c r="PQ10" i="27"/>
  <c r="PR10" i="27"/>
  <c r="PS10" i="27"/>
  <c r="PT10" i="27"/>
  <c r="PU10" i="27"/>
  <c r="PV10" i="27"/>
  <c r="PW10" i="27"/>
  <c r="PX10" i="27"/>
  <c r="AO11" i="22"/>
  <c r="AP11" i="22"/>
  <c r="AQ11" i="22"/>
  <c r="AU11" i="22" s="1"/>
  <c r="AR11" i="22"/>
  <c r="AS11" i="22"/>
  <c r="AT11" i="22"/>
  <c r="AV11" i="22"/>
  <c r="AW11" i="22"/>
  <c r="AX11" i="22"/>
  <c r="BP11" i="22"/>
  <c r="BQ11" i="22"/>
  <c r="BR11" i="22"/>
  <c r="BS11" i="22"/>
  <c r="BT11" i="22"/>
  <c r="BU11" i="22"/>
  <c r="BW11" i="22"/>
  <c r="BX11" i="22"/>
  <c r="BY11" i="22"/>
  <c r="CQ11" i="22"/>
  <c r="CR11" i="22"/>
  <c r="CS11" i="22"/>
  <c r="CW11" i="22" s="1"/>
  <c r="CT11" i="22"/>
  <c r="CU11" i="22"/>
  <c r="CV11" i="22"/>
  <c r="CX11" i="22"/>
  <c r="CY11" i="22"/>
  <c r="CZ11" i="22"/>
  <c r="DX11" i="22"/>
  <c r="DY11" i="22"/>
  <c r="DZ11" i="22"/>
  <c r="EA11" i="22"/>
  <c r="EB11" i="22"/>
  <c r="EC11" i="22"/>
  <c r="EE11" i="22"/>
  <c r="EF11" i="22"/>
  <c r="EG11" i="22"/>
  <c r="EH11" i="22"/>
  <c r="EI11" i="22"/>
  <c r="EJ11" i="22"/>
  <c r="FF11" i="22"/>
  <c r="FG11" i="22"/>
  <c r="FH11" i="22"/>
  <c r="FI11" i="22"/>
  <c r="FJ11" i="22"/>
  <c r="FK11" i="22"/>
  <c r="FM11" i="22"/>
  <c r="FN11" i="22"/>
  <c r="FO11" i="22"/>
  <c r="FP11" i="22"/>
  <c r="FQ11" i="22"/>
  <c r="FR11" i="22"/>
  <c r="GN11" i="22"/>
  <c r="GO11" i="22"/>
  <c r="GP11" i="22"/>
  <c r="GQ11" i="22"/>
  <c r="GR11" i="22"/>
  <c r="GS11" i="22"/>
  <c r="GU11" i="22"/>
  <c r="GV11" i="22"/>
  <c r="GW11" i="22"/>
  <c r="GX11" i="22"/>
  <c r="GY11" i="22"/>
  <c r="GZ11" i="22"/>
  <c r="HV11" i="22"/>
  <c r="HW11" i="22"/>
  <c r="HX11" i="22"/>
  <c r="HY11" i="22"/>
  <c r="HZ11" i="22"/>
  <c r="IA11" i="22"/>
  <c r="IC11" i="22"/>
  <c r="ID11" i="22"/>
  <c r="IE11" i="22"/>
  <c r="IF11" i="22"/>
  <c r="IG11" i="22"/>
  <c r="IH11" i="22"/>
  <c r="JD11" i="22"/>
  <c r="JE11" i="22"/>
  <c r="JF11" i="22"/>
  <c r="JJ11" i="22" s="1"/>
  <c r="JG11" i="22"/>
  <c r="JH11" i="22"/>
  <c r="JI11" i="22"/>
  <c r="JK11" i="22"/>
  <c r="JL11" i="22"/>
  <c r="JM11" i="22"/>
  <c r="JN11" i="22"/>
  <c r="JO11" i="22"/>
  <c r="JP11" i="22"/>
  <c r="KL11" i="22"/>
  <c r="KM11" i="22"/>
  <c r="KN11" i="22"/>
  <c r="KO11" i="22"/>
  <c r="KP11" i="22"/>
  <c r="KQ11" i="22"/>
  <c r="KR11" i="22" s="1"/>
  <c r="KS11" i="22"/>
  <c r="KT11" i="22"/>
  <c r="KU11" i="22"/>
  <c r="KV11" i="22"/>
  <c r="KW11" i="22"/>
  <c r="KX11" i="22"/>
  <c r="LT11" i="22"/>
  <c r="LU11" i="22"/>
  <c r="LV11" i="22"/>
  <c r="LW11" i="22"/>
  <c r="LX11" i="22"/>
  <c r="LY11" i="22"/>
  <c r="LZ11" i="22"/>
  <c r="MA11" i="22"/>
  <c r="MB11" i="22"/>
  <c r="MC11" i="22"/>
  <c r="MD11" i="22"/>
  <c r="ME11" i="22"/>
  <c r="MF11" i="22"/>
  <c r="NB11" i="22"/>
  <c r="NC11" i="22"/>
  <c r="ND11" i="22"/>
  <c r="NE11" i="22"/>
  <c r="NF11" i="22"/>
  <c r="NG11" i="22"/>
  <c r="NH11" i="22" s="1"/>
  <c r="NI11" i="22"/>
  <c r="NJ11" i="22"/>
  <c r="NK11" i="22"/>
  <c r="NL11" i="22"/>
  <c r="NM11" i="22"/>
  <c r="NN11" i="22"/>
  <c r="OJ11" i="22"/>
  <c r="OK11" i="22"/>
  <c r="OL11" i="22"/>
  <c r="OP11" i="22" s="1"/>
  <c r="OM11" i="22"/>
  <c r="ON11" i="22"/>
  <c r="OO11" i="22"/>
  <c r="OQ11" i="22"/>
  <c r="OR11" i="22"/>
  <c r="OS11" i="22"/>
  <c r="OT11" i="22"/>
  <c r="OU11" i="22"/>
  <c r="OV11" i="22"/>
  <c r="PR11" i="22"/>
  <c r="PS11" i="22"/>
  <c r="PT11" i="22"/>
  <c r="PU11" i="22"/>
  <c r="PV11" i="22"/>
  <c r="PW11" i="22"/>
  <c r="PY11" i="22"/>
  <c r="PZ11" i="22"/>
  <c r="QA11" i="22"/>
  <c r="QB11" i="22"/>
  <c r="QC11" i="22"/>
  <c r="QD11" i="22"/>
  <c r="QZ11" i="22"/>
  <c r="RA11" i="22"/>
  <c r="RB11" i="22"/>
  <c r="RC11" i="22"/>
  <c r="RD11" i="22"/>
  <c r="RE11" i="22"/>
  <c r="RF11" i="22" s="1"/>
  <c r="RG11" i="22"/>
  <c r="RH11" i="22"/>
  <c r="RI11" i="22"/>
  <c r="RJ11" i="22"/>
  <c r="RK11" i="22"/>
  <c r="RL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J11" i="22"/>
  <c r="TT11" i="22"/>
  <c r="AO13" i="22"/>
  <c r="AP13" i="22"/>
  <c r="AQ13" i="22"/>
  <c r="AR13" i="22"/>
  <c r="AS13" i="22"/>
  <c r="AT13" i="22"/>
  <c r="AV13" i="22"/>
  <c r="AW13" i="22"/>
  <c r="AX13" i="22"/>
  <c r="BP13" i="22"/>
  <c r="BQ13" i="22"/>
  <c r="BR13" i="22"/>
  <c r="BS13" i="22"/>
  <c r="BT13" i="22"/>
  <c r="BU13" i="22"/>
  <c r="BW13" i="22"/>
  <c r="BX13" i="22"/>
  <c r="BY13" i="22"/>
  <c r="CQ13" i="22"/>
  <c r="CR13" i="22"/>
  <c r="CS13" i="22"/>
  <c r="CW13" i="22" s="1"/>
  <c r="CT13" i="22"/>
  <c r="CU13" i="22"/>
  <c r="CV13" i="22"/>
  <c r="CX13" i="22"/>
  <c r="CY13" i="22"/>
  <c r="CZ13" i="22"/>
  <c r="DX13" i="22"/>
  <c r="DY13" i="22"/>
  <c r="DZ13" i="22"/>
  <c r="EA13" i="22"/>
  <c r="EB13" i="22"/>
  <c r="EC13" i="22"/>
  <c r="EE13" i="22"/>
  <c r="EF13" i="22"/>
  <c r="EG13" i="22"/>
  <c r="EH13" i="22"/>
  <c r="EI13" i="22"/>
  <c r="EJ13" i="22"/>
  <c r="FF13" i="22"/>
  <c r="FG13" i="22"/>
  <c r="FH13" i="22"/>
  <c r="FI13" i="22"/>
  <c r="FJ13" i="22"/>
  <c r="FK13" i="22"/>
  <c r="FM13" i="22"/>
  <c r="FN13" i="22"/>
  <c r="FO13" i="22"/>
  <c r="FP13" i="22"/>
  <c r="FQ13" i="22"/>
  <c r="FR13" i="22"/>
  <c r="GN13" i="22"/>
  <c r="GO13" i="22"/>
  <c r="GP13" i="22"/>
  <c r="GQ13" i="22"/>
  <c r="GR13" i="22"/>
  <c r="GS13" i="22"/>
  <c r="GU13" i="22"/>
  <c r="GV13" i="22"/>
  <c r="GW13" i="22"/>
  <c r="GX13" i="22"/>
  <c r="GY13" i="22"/>
  <c r="GZ13" i="22"/>
  <c r="HV13" i="22"/>
  <c r="HW13" i="22"/>
  <c r="HX13" i="22"/>
  <c r="HY13" i="22"/>
  <c r="HZ13" i="22"/>
  <c r="IA13" i="22"/>
  <c r="IC13" i="22"/>
  <c r="ID13" i="22"/>
  <c r="IE13" i="22"/>
  <c r="IF13" i="22"/>
  <c r="IG13" i="22"/>
  <c r="IH13" i="22"/>
  <c r="JD13" i="22"/>
  <c r="JE13" i="22"/>
  <c r="JF13" i="22"/>
  <c r="JG13" i="22"/>
  <c r="JH13" i="22"/>
  <c r="JI13" i="22"/>
  <c r="JK13" i="22"/>
  <c r="JL13" i="22"/>
  <c r="JM13" i="22"/>
  <c r="JN13" i="22"/>
  <c r="JO13" i="22"/>
  <c r="JP13" i="22"/>
  <c r="KL13" i="22"/>
  <c r="KM13" i="22"/>
  <c r="KN13" i="22"/>
  <c r="KO13" i="22"/>
  <c r="KP13" i="22"/>
  <c r="KQ13" i="22"/>
  <c r="KS13" i="22"/>
  <c r="KT13" i="22"/>
  <c r="KU13" i="22"/>
  <c r="KV13" i="22"/>
  <c r="KW13" i="22"/>
  <c r="KX13" i="22"/>
  <c r="LT13" i="22"/>
  <c r="LU13" i="22"/>
  <c r="LV13" i="22"/>
  <c r="LW13" i="22"/>
  <c r="LX13" i="22"/>
  <c r="LY13" i="22"/>
  <c r="MA13" i="22"/>
  <c r="MB13" i="22"/>
  <c r="MC13" i="22"/>
  <c r="MD13" i="22"/>
  <c r="ME13" i="22"/>
  <c r="MF13" i="22"/>
  <c r="NB13" i="22"/>
  <c r="NC13" i="22"/>
  <c r="ND13" i="22"/>
  <c r="NE13" i="22"/>
  <c r="NF13" i="22"/>
  <c r="NG13" i="22"/>
  <c r="NI13" i="22"/>
  <c r="NJ13" i="22"/>
  <c r="NK13" i="22"/>
  <c r="NL13" i="22"/>
  <c r="NM13" i="22"/>
  <c r="NN13" i="22"/>
  <c r="OJ13" i="22"/>
  <c r="OK13" i="22"/>
  <c r="OL13" i="22"/>
  <c r="OM13" i="22"/>
  <c r="ON13" i="22"/>
  <c r="OO13" i="22"/>
  <c r="OQ13" i="22"/>
  <c r="OR13" i="22"/>
  <c r="OS13" i="22"/>
  <c r="OT13" i="22"/>
  <c r="OU13" i="22"/>
  <c r="OV13" i="22"/>
  <c r="PR13" i="22"/>
  <c r="PS13" i="22"/>
  <c r="PT13" i="22"/>
  <c r="PU13" i="22"/>
  <c r="PV13" i="22"/>
  <c r="PW13" i="22"/>
  <c r="PY13" i="22"/>
  <c r="PZ13" i="22"/>
  <c r="QA13" i="22"/>
  <c r="QB13" i="22"/>
  <c r="QC13" i="22"/>
  <c r="QD13" i="22"/>
  <c r="QZ13" i="22"/>
  <c r="RA13" i="22"/>
  <c r="RB13" i="22"/>
  <c r="RC13" i="22"/>
  <c r="RD13" i="22"/>
  <c r="RE13" i="22"/>
  <c r="RG13" i="22"/>
  <c r="RH13" i="22"/>
  <c r="RI13" i="22"/>
  <c r="RJ13" i="22"/>
  <c r="RK13" i="22"/>
  <c r="RL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2" i="22"/>
  <c r="AP12" i="22"/>
  <c r="AQ12" i="22"/>
  <c r="AR12" i="22"/>
  <c r="AS12" i="22"/>
  <c r="AT12" i="22"/>
  <c r="AV12" i="22"/>
  <c r="AW12" i="22"/>
  <c r="AX12" i="22"/>
  <c r="BP12" i="22"/>
  <c r="BQ12" i="22"/>
  <c r="BR12" i="22"/>
  <c r="BS12" i="22"/>
  <c r="BT12" i="22"/>
  <c r="BU12" i="22"/>
  <c r="BW12" i="22"/>
  <c r="BX12" i="22"/>
  <c r="BY12" i="22"/>
  <c r="CQ12" i="22"/>
  <c r="CR12" i="22"/>
  <c r="CS12" i="22"/>
  <c r="CW12" i="22" s="1"/>
  <c r="CT12" i="22"/>
  <c r="CU12" i="22"/>
  <c r="CV12" i="22"/>
  <c r="CX12" i="22"/>
  <c r="CY12" i="22"/>
  <c r="CZ12" i="22"/>
  <c r="DX12" i="22"/>
  <c r="DY12" i="22"/>
  <c r="DZ12" i="22"/>
  <c r="EA12" i="22"/>
  <c r="EB12" i="22"/>
  <c r="EC12" i="22"/>
  <c r="EE12" i="22"/>
  <c r="EF12" i="22"/>
  <c r="EG12" i="22"/>
  <c r="EH12" i="22"/>
  <c r="EI12" i="22"/>
  <c r="EJ12" i="22"/>
  <c r="FF12" i="22"/>
  <c r="FG12" i="22"/>
  <c r="FH12" i="22"/>
  <c r="FI12" i="22"/>
  <c r="FJ12" i="22"/>
  <c r="FK12" i="22"/>
  <c r="FM12" i="22"/>
  <c r="FN12" i="22"/>
  <c r="FO12" i="22"/>
  <c r="FP12" i="22"/>
  <c r="FQ12" i="22"/>
  <c r="FR12" i="22"/>
  <c r="GN12" i="22"/>
  <c r="GO12" i="22"/>
  <c r="GP12" i="22"/>
  <c r="GQ12" i="22"/>
  <c r="GR12" i="22"/>
  <c r="GS12" i="22"/>
  <c r="GU12" i="22"/>
  <c r="GV12" i="22"/>
  <c r="GW12" i="22"/>
  <c r="GX12" i="22"/>
  <c r="GY12" i="22"/>
  <c r="GZ12" i="22"/>
  <c r="HV12" i="22"/>
  <c r="HW12" i="22"/>
  <c r="HX12" i="22"/>
  <c r="HY12" i="22"/>
  <c r="HZ12" i="22"/>
  <c r="IA12" i="22"/>
  <c r="IC12" i="22"/>
  <c r="ID12" i="22"/>
  <c r="IE12" i="22"/>
  <c r="IF12" i="22"/>
  <c r="IG12" i="22"/>
  <c r="IH12" i="22"/>
  <c r="JD12" i="22"/>
  <c r="JE12" i="22"/>
  <c r="JF12" i="22"/>
  <c r="JG12" i="22"/>
  <c r="JH12" i="22"/>
  <c r="JI12" i="22"/>
  <c r="JK12" i="22"/>
  <c r="JL12" i="22"/>
  <c r="JM12" i="22"/>
  <c r="JN12" i="22"/>
  <c r="JO12" i="22"/>
  <c r="JP12" i="22"/>
  <c r="KL12" i="22"/>
  <c r="KM12" i="22"/>
  <c r="KN12" i="22"/>
  <c r="KO12" i="22"/>
  <c r="KP12" i="22"/>
  <c r="KQ12" i="22"/>
  <c r="KS12" i="22"/>
  <c r="KT12" i="22"/>
  <c r="KU12" i="22"/>
  <c r="KV12" i="22"/>
  <c r="KW12" i="22"/>
  <c r="KX12" i="22"/>
  <c r="LT12" i="22"/>
  <c r="LU12" i="22"/>
  <c r="LV12" i="22"/>
  <c r="LW12" i="22"/>
  <c r="LX12" i="22"/>
  <c r="LY12" i="22"/>
  <c r="MA12" i="22"/>
  <c r="MB12" i="22"/>
  <c r="MC12" i="22"/>
  <c r="MD12" i="22"/>
  <c r="ME12" i="22"/>
  <c r="MF12" i="22"/>
  <c r="NB12" i="22"/>
  <c r="NC12" i="22"/>
  <c r="ND12" i="22"/>
  <c r="NE12" i="22"/>
  <c r="NF12" i="22"/>
  <c r="NG12" i="22"/>
  <c r="NI12" i="22"/>
  <c r="NJ12" i="22"/>
  <c r="NK12" i="22"/>
  <c r="NL12" i="22"/>
  <c r="NM12" i="22"/>
  <c r="NN12" i="22"/>
  <c r="OJ12" i="22"/>
  <c r="OK12" i="22"/>
  <c r="OL12" i="22"/>
  <c r="OM12" i="22"/>
  <c r="ON12" i="22"/>
  <c r="OO12" i="22"/>
  <c r="OQ12" i="22"/>
  <c r="OR12" i="22"/>
  <c r="OS12" i="22"/>
  <c r="OT12" i="22"/>
  <c r="OU12" i="22"/>
  <c r="OV12" i="22"/>
  <c r="PR12" i="22"/>
  <c r="PS12" i="22"/>
  <c r="PT12" i="22"/>
  <c r="PU12" i="22"/>
  <c r="PV12" i="22"/>
  <c r="PW12" i="22"/>
  <c r="PY12" i="22"/>
  <c r="PZ12" i="22"/>
  <c r="QA12" i="22"/>
  <c r="QB12" i="22"/>
  <c r="QC12" i="22"/>
  <c r="QD12" i="22"/>
  <c r="QZ12" i="22"/>
  <c r="RA12" i="22"/>
  <c r="RB12" i="22"/>
  <c r="RC12" i="22"/>
  <c r="RD12" i="22"/>
  <c r="RE12" i="22"/>
  <c r="RG12" i="22"/>
  <c r="RH12" i="22"/>
  <c r="RI12" i="22"/>
  <c r="RJ12" i="22"/>
  <c r="RK12" i="22"/>
  <c r="RL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AO7" i="22"/>
  <c r="AP7" i="22"/>
  <c r="AQ7" i="22"/>
  <c r="AR7" i="22"/>
  <c r="AS7" i="22"/>
  <c r="AT7" i="22"/>
  <c r="AV7" i="22"/>
  <c r="AW7" i="22"/>
  <c r="AX7" i="22"/>
  <c r="BP7" i="22"/>
  <c r="BQ7" i="22"/>
  <c r="BR7" i="22"/>
  <c r="BS7" i="22"/>
  <c r="BT7" i="22"/>
  <c r="BU7" i="22"/>
  <c r="BW7" i="22"/>
  <c r="BX7" i="22"/>
  <c r="BY7" i="22"/>
  <c r="CQ7" i="22"/>
  <c r="CR7" i="22"/>
  <c r="CS7" i="22"/>
  <c r="CT7" i="22"/>
  <c r="CU7" i="22"/>
  <c r="CV7" i="22"/>
  <c r="CX7" i="22"/>
  <c r="CY7" i="22"/>
  <c r="CZ7" i="22"/>
  <c r="DX7" i="22"/>
  <c r="DY7" i="22"/>
  <c r="DZ7" i="22"/>
  <c r="EA7" i="22"/>
  <c r="EB7" i="22"/>
  <c r="EC7" i="22"/>
  <c r="EE7" i="22"/>
  <c r="EF7" i="22"/>
  <c r="EG7" i="22"/>
  <c r="EH7" i="22"/>
  <c r="EI7" i="22"/>
  <c r="EJ7" i="22"/>
  <c r="FF7" i="22"/>
  <c r="FG7" i="22"/>
  <c r="FH7" i="22"/>
  <c r="FI7" i="22"/>
  <c r="FJ7" i="22"/>
  <c r="FK7" i="22"/>
  <c r="FM7" i="22"/>
  <c r="FN7" i="22"/>
  <c r="FO7" i="22"/>
  <c r="FP7" i="22"/>
  <c r="FQ7" i="22"/>
  <c r="FR7" i="22"/>
  <c r="GN7" i="22"/>
  <c r="GO7" i="22"/>
  <c r="GP7" i="22"/>
  <c r="GQ7" i="22"/>
  <c r="GR7" i="22"/>
  <c r="GS7" i="22"/>
  <c r="GU7" i="22"/>
  <c r="GV7" i="22"/>
  <c r="GW7" i="22"/>
  <c r="GX7" i="22"/>
  <c r="GY7" i="22"/>
  <c r="GZ7" i="22"/>
  <c r="HV7" i="22"/>
  <c r="HW7" i="22"/>
  <c r="HX7" i="22"/>
  <c r="HY7" i="22"/>
  <c r="HZ7" i="22"/>
  <c r="IA7" i="22"/>
  <c r="IC7" i="22"/>
  <c r="ID7" i="22"/>
  <c r="IE7" i="22"/>
  <c r="IF7" i="22"/>
  <c r="IG7" i="22"/>
  <c r="IH7" i="22"/>
  <c r="JD7" i="22"/>
  <c r="JE7" i="22"/>
  <c r="JF7" i="22"/>
  <c r="JG7" i="22"/>
  <c r="JH7" i="22"/>
  <c r="JI7" i="22"/>
  <c r="JK7" i="22"/>
  <c r="JL7" i="22"/>
  <c r="JM7" i="22"/>
  <c r="JN7" i="22"/>
  <c r="JO7" i="22"/>
  <c r="JP7" i="22"/>
  <c r="KL7" i="22"/>
  <c r="KM7" i="22"/>
  <c r="KN7" i="22"/>
  <c r="KO7" i="22"/>
  <c r="KP7" i="22"/>
  <c r="KQ7" i="22"/>
  <c r="KS7" i="22"/>
  <c r="KT7" i="22"/>
  <c r="KU7" i="22"/>
  <c r="KV7" i="22"/>
  <c r="KW7" i="22"/>
  <c r="KX7" i="22"/>
  <c r="LT7" i="22"/>
  <c r="LU7" i="22"/>
  <c r="LV7" i="22"/>
  <c r="LW7" i="22"/>
  <c r="LX7" i="22"/>
  <c r="LY7" i="22"/>
  <c r="MA7" i="22"/>
  <c r="MB7" i="22"/>
  <c r="MC7" i="22"/>
  <c r="MD7" i="22"/>
  <c r="ME7" i="22"/>
  <c r="MF7" i="22"/>
  <c r="NB7" i="22"/>
  <c r="NC7" i="22"/>
  <c r="ND7" i="22"/>
  <c r="NE7" i="22"/>
  <c r="NF7" i="22"/>
  <c r="NG7" i="22"/>
  <c r="NI7" i="22"/>
  <c r="NJ7" i="22"/>
  <c r="NK7" i="22"/>
  <c r="NL7" i="22"/>
  <c r="NM7" i="22"/>
  <c r="NN7" i="22"/>
  <c r="OJ7" i="22"/>
  <c r="OK7" i="22"/>
  <c r="OL7" i="22"/>
  <c r="OM7" i="22"/>
  <c r="ON7" i="22"/>
  <c r="OO7" i="22"/>
  <c r="OQ7" i="22"/>
  <c r="OR7" i="22"/>
  <c r="OS7" i="22"/>
  <c r="OT7" i="22"/>
  <c r="OU7" i="22"/>
  <c r="OV7" i="22"/>
  <c r="PR7" i="22"/>
  <c r="PS7" i="22"/>
  <c r="PT7" i="22"/>
  <c r="PU7" i="22"/>
  <c r="PV7" i="22"/>
  <c r="PW7" i="22"/>
  <c r="PY7" i="22"/>
  <c r="PZ7" i="22"/>
  <c r="QA7" i="22"/>
  <c r="QB7" i="22"/>
  <c r="QC7" i="22"/>
  <c r="QD7" i="22"/>
  <c r="QZ7" i="22"/>
  <c r="RA7" i="22"/>
  <c r="RB7" i="22"/>
  <c r="RC7" i="22"/>
  <c r="RD7" i="22"/>
  <c r="RE7" i="22"/>
  <c r="RG7" i="22"/>
  <c r="RH7" i="22"/>
  <c r="RI7" i="22"/>
  <c r="RJ7" i="22"/>
  <c r="RK7" i="22"/>
  <c r="RL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AO10" i="22"/>
  <c r="AP10" i="22"/>
  <c r="AQ10" i="22"/>
  <c r="AR10" i="22"/>
  <c r="AS10" i="22"/>
  <c r="AT10" i="22"/>
  <c r="AV10" i="22"/>
  <c r="AW10" i="22"/>
  <c r="AX10" i="22"/>
  <c r="BP10" i="22"/>
  <c r="BQ10" i="22"/>
  <c r="BR10" i="22"/>
  <c r="BS10" i="22"/>
  <c r="BT10" i="22"/>
  <c r="BU10" i="22"/>
  <c r="BW10" i="22"/>
  <c r="BX10" i="22"/>
  <c r="BY10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AO9" i="22"/>
  <c r="AP9" i="22"/>
  <c r="AQ9" i="22"/>
  <c r="AR9" i="22"/>
  <c r="AS9" i="22"/>
  <c r="AT9" i="22"/>
  <c r="AV9" i="22"/>
  <c r="AW9" i="22"/>
  <c r="AX9" i="22"/>
  <c r="BP9" i="22"/>
  <c r="BQ9" i="22"/>
  <c r="BR9" i="22"/>
  <c r="BS9" i="22"/>
  <c r="BT9" i="22"/>
  <c r="BU9" i="22"/>
  <c r="BW9" i="22"/>
  <c r="BX9" i="22"/>
  <c r="BY9" i="22"/>
  <c r="CQ9" i="22"/>
  <c r="CR9" i="22"/>
  <c r="CS9" i="22"/>
  <c r="CT9" i="22"/>
  <c r="CU9" i="22"/>
  <c r="CV9" i="22"/>
  <c r="CX9" i="22"/>
  <c r="CY9" i="22"/>
  <c r="CZ9" i="22"/>
  <c r="DX9" i="22"/>
  <c r="DY9" i="22"/>
  <c r="DZ9" i="22"/>
  <c r="EA9" i="22"/>
  <c r="EB9" i="22"/>
  <c r="EC9" i="22"/>
  <c r="EE9" i="22"/>
  <c r="EF9" i="22"/>
  <c r="EG9" i="22"/>
  <c r="EH9" i="22"/>
  <c r="EI9" i="22"/>
  <c r="EJ9" i="22"/>
  <c r="FF9" i="22"/>
  <c r="FG9" i="22"/>
  <c r="FH9" i="22"/>
  <c r="FI9" i="22"/>
  <c r="FJ9" i="22"/>
  <c r="FK9" i="22"/>
  <c r="FM9" i="22"/>
  <c r="FN9" i="22"/>
  <c r="FO9" i="22"/>
  <c r="FP9" i="22"/>
  <c r="FQ9" i="22"/>
  <c r="FR9" i="22"/>
  <c r="GN9" i="22"/>
  <c r="GO9" i="22"/>
  <c r="GP9" i="22"/>
  <c r="GQ9" i="22"/>
  <c r="GR9" i="22"/>
  <c r="GS9" i="22"/>
  <c r="GU9" i="22"/>
  <c r="GV9" i="22"/>
  <c r="GW9" i="22"/>
  <c r="GX9" i="22"/>
  <c r="GY9" i="22"/>
  <c r="GZ9" i="22"/>
  <c r="HV9" i="22"/>
  <c r="HW9" i="22"/>
  <c r="HX9" i="22"/>
  <c r="HY9" i="22"/>
  <c r="HZ9" i="22"/>
  <c r="IA9" i="22"/>
  <c r="IC9" i="22"/>
  <c r="ID9" i="22"/>
  <c r="IE9" i="22"/>
  <c r="IF9" i="22"/>
  <c r="IG9" i="22"/>
  <c r="IH9" i="22"/>
  <c r="JD9" i="22"/>
  <c r="JE9" i="22"/>
  <c r="JF9" i="22"/>
  <c r="JG9" i="22"/>
  <c r="JH9" i="22"/>
  <c r="JI9" i="22"/>
  <c r="JK9" i="22"/>
  <c r="JL9" i="22"/>
  <c r="JM9" i="22"/>
  <c r="JN9" i="22"/>
  <c r="JO9" i="22"/>
  <c r="JP9" i="22"/>
  <c r="KL9" i="22"/>
  <c r="KM9" i="22"/>
  <c r="KN9" i="22"/>
  <c r="KO9" i="22"/>
  <c r="KP9" i="22"/>
  <c r="KQ9" i="22"/>
  <c r="KS9" i="22"/>
  <c r="KT9" i="22"/>
  <c r="KU9" i="22"/>
  <c r="KV9" i="22"/>
  <c r="KW9" i="22"/>
  <c r="KX9" i="22"/>
  <c r="LT9" i="22"/>
  <c r="LU9" i="22"/>
  <c r="LV9" i="22"/>
  <c r="LW9" i="22"/>
  <c r="LX9" i="22"/>
  <c r="LY9" i="22"/>
  <c r="MA9" i="22"/>
  <c r="MB9" i="22"/>
  <c r="MC9" i="22"/>
  <c r="MD9" i="22"/>
  <c r="ME9" i="22"/>
  <c r="MF9" i="22"/>
  <c r="NB9" i="22"/>
  <c r="NC9" i="22"/>
  <c r="ND9" i="22"/>
  <c r="NE9" i="22"/>
  <c r="NF9" i="22"/>
  <c r="NG9" i="22"/>
  <c r="NI9" i="22"/>
  <c r="NJ9" i="22"/>
  <c r="NK9" i="22"/>
  <c r="NL9" i="22"/>
  <c r="NM9" i="22"/>
  <c r="NN9" i="22"/>
  <c r="OJ9" i="22"/>
  <c r="OK9" i="22"/>
  <c r="OL9" i="22"/>
  <c r="OM9" i="22"/>
  <c r="ON9" i="22"/>
  <c r="OO9" i="22"/>
  <c r="OQ9" i="22"/>
  <c r="OR9" i="22"/>
  <c r="OS9" i="22"/>
  <c r="OT9" i="22"/>
  <c r="OU9" i="22"/>
  <c r="OV9" i="22"/>
  <c r="PR9" i="22"/>
  <c r="PS9" i="22"/>
  <c r="PT9" i="22"/>
  <c r="PU9" i="22"/>
  <c r="PV9" i="22"/>
  <c r="PW9" i="22"/>
  <c r="PY9" i="22"/>
  <c r="PZ9" i="22"/>
  <c r="QA9" i="22"/>
  <c r="QB9" i="22"/>
  <c r="QC9" i="22"/>
  <c r="QD9" i="22"/>
  <c r="QZ9" i="22"/>
  <c r="RA9" i="22"/>
  <c r="RB9" i="22"/>
  <c r="RC9" i="22"/>
  <c r="RD9" i="22"/>
  <c r="RE9" i="22"/>
  <c r="RG9" i="22"/>
  <c r="RH9" i="22"/>
  <c r="RI9" i="22"/>
  <c r="RJ9" i="22"/>
  <c r="RK9" i="22"/>
  <c r="RL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AO25" i="4"/>
  <c r="AP25" i="4"/>
  <c r="AQ25" i="4"/>
  <c r="AU25" i="4" s="1"/>
  <c r="AR25" i="4"/>
  <c r="AS25" i="4"/>
  <c r="AT25" i="4"/>
  <c r="AV25" i="4"/>
  <c r="AW25" i="4"/>
  <c r="AX25" i="4"/>
  <c r="BP25" i="4"/>
  <c r="BQ25" i="4"/>
  <c r="BR25" i="4"/>
  <c r="BS25" i="4"/>
  <c r="BT25" i="4"/>
  <c r="BU25" i="4"/>
  <c r="BW25" i="4"/>
  <c r="BX25" i="4"/>
  <c r="BY25" i="4"/>
  <c r="CQ25" i="4"/>
  <c r="CR25" i="4"/>
  <c r="CS25" i="4"/>
  <c r="CW25" i="4" s="1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B25" i="4" s="1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0" i="4"/>
  <c r="AP20" i="4"/>
  <c r="AQ20" i="4"/>
  <c r="AR20" i="4"/>
  <c r="AS20" i="4"/>
  <c r="AT20" i="4"/>
  <c r="AV20" i="4"/>
  <c r="AW20" i="4"/>
  <c r="AX20" i="4"/>
  <c r="BP20" i="4"/>
  <c r="BQ20" i="4"/>
  <c r="BR20" i="4"/>
  <c r="BV20" i="4" s="1"/>
  <c r="BS20" i="4"/>
  <c r="BT20" i="4"/>
  <c r="BU20" i="4"/>
  <c r="BW20" i="4"/>
  <c r="BX20" i="4"/>
  <c r="BY20" i="4"/>
  <c r="CQ20" i="4"/>
  <c r="CR20" i="4"/>
  <c r="CS20" i="4"/>
  <c r="CW20" i="4" s="1"/>
  <c r="CT20" i="4"/>
  <c r="CU20" i="4"/>
  <c r="CV20" i="4"/>
  <c r="CX20" i="4"/>
  <c r="CY20" i="4"/>
  <c r="CZ20" i="4"/>
  <c r="DX20" i="4"/>
  <c r="DY20" i="4"/>
  <c r="DZ20" i="4"/>
  <c r="EA20" i="4"/>
  <c r="EB20" i="4"/>
  <c r="EC20" i="4"/>
  <c r="EE20" i="4"/>
  <c r="EF20" i="4"/>
  <c r="EG20" i="4"/>
  <c r="EH20" i="4"/>
  <c r="EI20" i="4"/>
  <c r="EJ20" i="4"/>
  <c r="FF20" i="4"/>
  <c r="FG20" i="4"/>
  <c r="FH20" i="4"/>
  <c r="FI20" i="4"/>
  <c r="FJ20" i="4"/>
  <c r="FK20" i="4"/>
  <c r="FM20" i="4"/>
  <c r="FN20" i="4"/>
  <c r="FO20" i="4"/>
  <c r="FP20" i="4"/>
  <c r="FQ20" i="4"/>
  <c r="FR20" i="4"/>
  <c r="GN20" i="4"/>
  <c r="GO20" i="4"/>
  <c r="GP20" i="4"/>
  <c r="GQ20" i="4"/>
  <c r="GR20" i="4"/>
  <c r="GS20" i="4"/>
  <c r="GU20" i="4"/>
  <c r="GV20" i="4"/>
  <c r="GW20" i="4"/>
  <c r="GX20" i="4"/>
  <c r="GY20" i="4"/>
  <c r="GZ20" i="4"/>
  <c r="HV20" i="4"/>
  <c r="HW20" i="4"/>
  <c r="HX20" i="4"/>
  <c r="HY20" i="4"/>
  <c r="HZ20" i="4"/>
  <c r="IA20" i="4"/>
  <c r="IC20" i="4"/>
  <c r="ID20" i="4"/>
  <c r="IE20" i="4"/>
  <c r="IF20" i="4"/>
  <c r="IG20" i="4"/>
  <c r="IH20" i="4"/>
  <c r="JD20" i="4"/>
  <c r="JE20" i="4"/>
  <c r="JF20" i="4"/>
  <c r="JG20" i="4"/>
  <c r="JH20" i="4"/>
  <c r="JI20" i="4"/>
  <c r="JK20" i="4"/>
  <c r="JL20" i="4"/>
  <c r="JM20" i="4"/>
  <c r="JN20" i="4"/>
  <c r="JO20" i="4"/>
  <c r="JP20" i="4"/>
  <c r="KL20" i="4"/>
  <c r="KM20" i="4"/>
  <c r="KN20" i="4"/>
  <c r="KO20" i="4"/>
  <c r="KP20" i="4"/>
  <c r="KQ20" i="4"/>
  <c r="KR20" i="4" s="1"/>
  <c r="KS20" i="4"/>
  <c r="KT20" i="4"/>
  <c r="KU20" i="4"/>
  <c r="KV20" i="4"/>
  <c r="KW20" i="4"/>
  <c r="KX20" i="4"/>
  <c r="LT20" i="4"/>
  <c r="LU20" i="4"/>
  <c r="LV20" i="4"/>
  <c r="LW20" i="4"/>
  <c r="LX20" i="4"/>
  <c r="LY20" i="4"/>
  <c r="MA20" i="4"/>
  <c r="MB20" i="4"/>
  <c r="MC20" i="4"/>
  <c r="MD20" i="4"/>
  <c r="ME20" i="4"/>
  <c r="MF20" i="4"/>
  <c r="NB20" i="4"/>
  <c r="NC20" i="4"/>
  <c r="ND20" i="4"/>
  <c r="NE20" i="4"/>
  <c r="NF20" i="4"/>
  <c r="NG20" i="4"/>
  <c r="NI20" i="4"/>
  <c r="NJ20" i="4"/>
  <c r="NK20" i="4"/>
  <c r="NL20" i="4"/>
  <c r="NM20" i="4"/>
  <c r="NN20" i="4"/>
  <c r="OJ20" i="4"/>
  <c r="OK20" i="4"/>
  <c r="OL20" i="4"/>
  <c r="OM20" i="4"/>
  <c r="ON20" i="4"/>
  <c r="OO20" i="4"/>
  <c r="OQ20" i="4"/>
  <c r="OR20" i="4"/>
  <c r="OS20" i="4"/>
  <c r="OT20" i="4"/>
  <c r="OU20" i="4"/>
  <c r="OV20" i="4"/>
  <c r="PR20" i="4"/>
  <c r="PS20" i="4"/>
  <c r="PT20" i="4"/>
  <c r="PU20" i="4"/>
  <c r="PV20" i="4"/>
  <c r="PW20" i="4"/>
  <c r="PY20" i="4"/>
  <c r="PZ20" i="4"/>
  <c r="QA20" i="4"/>
  <c r="QB20" i="4"/>
  <c r="QC20" i="4"/>
  <c r="QD20" i="4"/>
  <c r="QZ20" i="4"/>
  <c r="RA20" i="4"/>
  <c r="RB20" i="4"/>
  <c r="RC20" i="4"/>
  <c r="RD20" i="4"/>
  <c r="RE20" i="4"/>
  <c r="RG20" i="4"/>
  <c r="RH20" i="4"/>
  <c r="RI20" i="4"/>
  <c r="RJ20" i="4"/>
  <c r="RK20" i="4"/>
  <c r="RL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AO24" i="4"/>
  <c r="AP24" i="4"/>
  <c r="AQ24" i="4"/>
  <c r="AU24" i="4" s="1"/>
  <c r="AR24" i="4"/>
  <c r="AS24" i="4"/>
  <c r="AT24" i="4"/>
  <c r="AV24" i="4"/>
  <c r="AW24" i="4"/>
  <c r="AX24" i="4"/>
  <c r="BP24" i="4"/>
  <c r="BQ24" i="4"/>
  <c r="BR24" i="4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D24" i="4" s="1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R24" i="4" s="1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X24" i="4" s="1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PJ5" i="21"/>
  <c r="PK5" i="21"/>
  <c r="PL5" i="21"/>
  <c r="PM5" i="21"/>
  <c r="PN5" i="21"/>
  <c r="PO5" i="21"/>
  <c r="PP5" i="21"/>
  <c r="PQ5" i="21"/>
  <c r="PR5" i="21"/>
  <c r="PS5" i="21"/>
  <c r="PT5" i="21"/>
  <c r="PU5" i="21"/>
  <c r="PV5" i="21"/>
  <c r="PW5" i="21"/>
  <c r="PX5" i="21"/>
  <c r="PJ6" i="21"/>
  <c r="PK6" i="21"/>
  <c r="PL6" i="21"/>
  <c r="PM6" i="21"/>
  <c r="PN6" i="21"/>
  <c r="PO6" i="21"/>
  <c r="PP6" i="21"/>
  <c r="PQ6" i="21"/>
  <c r="PR6" i="21"/>
  <c r="PS6" i="21"/>
  <c r="PT6" i="21"/>
  <c r="PU6" i="21"/>
  <c r="PV6" i="21"/>
  <c r="PW6" i="21"/>
  <c r="PX6" i="21"/>
  <c r="PJ7" i="21"/>
  <c r="PK7" i="21"/>
  <c r="PL7" i="21"/>
  <c r="PM7" i="21"/>
  <c r="PN7" i="21"/>
  <c r="PO7" i="21"/>
  <c r="PP7" i="21"/>
  <c r="PQ7" i="21"/>
  <c r="PR7" i="21"/>
  <c r="PS7" i="21"/>
  <c r="PT7" i="21"/>
  <c r="PU7" i="21"/>
  <c r="PV7" i="21"/>
  <c r="PW7" i="21"/>
  <c r="PX7" i="21"/>
  <c r="PJ10" i="21"/>
  <c r="PK10" i="21"/>
  <c r="PL10" i="21"/>
  <c r="PM10" i="21"/>
  <c r="PN10" i="21"/>
  <c r="PO10" i="21"/>
  <c r="PP10" i="21"/>
  <c r="PQ10" i="21"/>
  <c r="PR10" i="21"/>
  <c r="PS10" i="21"/>
  <c r="PT10" i="21"/>
  <c r="PU10" i="21"/>
  <c r="PV10" i="21"/>
  <c r="PW10" i="21"/>
  <c r="PX10" i="21"/>
  <c r="PJ9" i="21"/>
  <c r="PK9" i="21"/>
  <c r="PL9" i="21"/>
  <c r="PM9" i="21"/>
  <c r="PN9" i="21"/>
  <c r="PO9" i="21"/>
  <c r="PP9" i="21"/>
  <c r="PQ9" i="21"/>
  <c r="PR9" i="21"/>
  <c r="PS9" i="21"/>
  <c r="PT9" i="21"/>
  <c r="PU9" i="21"/>
  <c r="PV9" i="21"/>
  <c r="PW9" i="21"/>
  <c r="PX9" i="21"/>
  <c r="PJ12" i="21"/>
  <c r="PK12" i="21"/>
  <c r="PL12" i="21"/>
  <c r="PM12" i="21"/>
  <c r="PN12" i="21"/>
  <c r="PO12" i="21"/>
  <c r="PP12" i="21"/>
  <c r="PQ12" i="21"/>
  <c r="PR12" i="21"/>
  <c r="PS12" i="21"/>
  <c r="PT12" i="21"/>
  <c r="PU12" i="21"/>
  <c r="PV12" i="21"/>
  <c r="PW12" i="21"/>
  <c r="PX12" i="21"/>
  <c r="PJ13" i="21"/>
  <c r="PK13" i="21"/>
  <c r="PL13" i="21"/>
  <c r="PM13" i="21"/>
  <c r="PN13" i="21"/>
  <c r="PO13" i="21"/>
  <c r="PP13" i="21"/>
  <c r="PQ13" i="21"/>
  <c r="PR13" i="21"/>
  <c r="PS13" i="21"/>
  <c r="PT13" i="21"/>
  <c r="PU13" i="21"/>
  <c r="PV13" i="21"/>
  <c r="PW13" i="21"/>
  <c r="PX13" i="21"/>
  <c r="PJ14" i="21"/>
  <c r="PK14" i="21"/>
  <c r="PL14" i="21"/>
  <c r="PM14" i="21"/>
  <c r="PN14" i="21"/>
  <c r="PO14" i="21"/>
  <c r="PP14" i="21"/>
  <c r="PQ14" i="21"/>
  <c r="PR14" i="21"/>
  <c r="PS14" i="21"/>
  <c r="PT14" i="21"/>
  <c r="PU14" i="21"/>
  <c r="PV14" i="21"/>
  <c r="PW14" i="21"/>
  <c r="PX14" i="21"/>
  <c r="PJ15" i="21"/>
  <c r="PK15" i="21"/>
  <c r="PL15" i="21"/>
  <c r="PM15" i="21"/>
  <c r="PN15" i="21"/>
  <c r="PO15" i="21"/>
  <c r="PP15" i="21"/>
  <c r="PQ15" i="21"/>
  <c r="PR15" i="21"/>
  <c r="PS15" i="21"/>
  <c r="PT15" i="21"/>
  <c r="PU15" i="21"/>
  <c r="PV15" i="21"/>
  <c r="PW15" i="21"/>
  <c r="PX15" i="21"/>
  <c r="PJ16" i="21"/>
  <c r="PK16" i="21"/>
  <c r="PL16" i="21"/>
  <c r="PM16" i="21"/>
  <c r="PN16" i="21"/>
  <c r="PO16" i="21"/>
  <c r="PP16" i="21"/>
  <c r="PQ16" i="21"/>
  <c r="PR16" i="21"/>
  <c r="PS16" i="21"/>
  <c r="PT16" i="21"/>
  <c r="PU16" i="21"/>
  <c r="PV16" i="21"/>
  <c r="PW16" i="21"/>
  <c r="PX16" i="21"/>
  <c r="PJ18" i="21"/>
  <c r="PK18" i="21"/>
  <c r="PL18" i="21"/>
  <c r="PM18" i="21"/>
  <c r="PN18" i="21"/>
  <c r="PO18" i="21"/>
  <c r="PP18" i="21"/>
  <c r="PQ18" i="21"/>
  <c r="PR18" i="21"/>
  <c r="PS18" i="21"/>
  <c r="PT18" i="21"/>
  <c r="PU18" i="21"/>
  <c r="PV18" i="21"/>
  <c r="PW18" i="21"/>
  <c r="PX18" i="21"/>
  <c r="PJ20" i="21"/>
  <c r="PK20" i="21"/>
  <c r="PL20" i="21"/>
  <c r="PM20" i="21"/>
  <c r="PN20" i="21"/>
  <c r="PO20" i="21"/>
  <c r="PP20" i="21"/>
  <c r="PQ20" i="21"/>
  <c r="PR20" i="21"/>
  <c r="PS20" i="21"/>
  <c r="PT20" i="21"/>
  <c r="PU20" i="21"/>
  <c r="PV20" i="21"/>
  <c r="PW20" i="21"/>
  <c r="PX20" i="21"/>
  <c r="PJ21" i="21"/>
  <c r="PK21" i="21"/>
  <c r="PL21" i="21"/>
  <c r="PM21" i="21"/>
  <c r="PN21" i="21"/>
  <c r="PO21" i="21"/>
  <c r="PP21" i="21"/>
  <c r="PQ21" i="21"/>
  <c r="PR21" i="21"/>
  <c r="PS21" i="21"/>
  <c r="PT21" i="21"/>
  <c r="PU21" i="21"/>
  <c r="PV21" i="21"/>
  <c r="PW21" i="21"/>
  <c r="PX21" i="21"/>
  <c r="PJ22" i="21"/>
  <c r="PK22" i="21"/>
  <c r="PL22" i="21"/>
  <c r="PM22" i="21"/>
  <c r="PN22" i="21"/>
  <c r="PO22" i="21"/>
  <c r="PP22" i="21"/>
  <c r="PQ22" i="21"/>
  <c r="PR22" i="21"/>
  <c r="PS22" i="21"/>
  <c r="PT22" i="21"/>
  <c r="PU22" i="21"/>
  <c r="PV22" i="21"/>
  <c r="PW22" i="21"/>
  <c r="PX22" i="21"/>
  <c r="PJ25" i="21"/>
  <c r="PK25" i="21"/>
  <c r="PL25" i="21"/>
  <c r="PM25" i="21"/>
  <c r="PN25" i="21"/>
  <c r="PO25" i="21"/>
  <c r="PP25" i="21"/>
  <c r="PQ25" i="21"/>
  <c r="PR25" i="21"/>
  <c r="PS25" i="21"/>
  <c r="PT25" i="21"/>
  <c r="PU25" i="21"/>
  <c r="PV25" i="21"/>
  <c r="PW25" i="21"/>
  <c r="PX25" i="21"/>
  <c r="PJ26" i="21"/>
  <c r="PK26" i="21"/>
  <c r="PL26" i="21"/>
  <c r="PM26" i="21"/>
  <c r="PN26" i="21"/>
  <c r="PO26" i="21"/>
  <c r="PP26" i="21"/>
  <c r="PQ26" i="21"/>
  <c r="PR26" i="21"/>
  <c r="PS26" i="21"/>
  <c r="PT26" i="21"/>
  <c r="PU26" i="21"/>
  <c r="PV26" i="21"/>
  <c r="PW26" i="21"/>
  <c r="PX26" i="21"/>
  <c r="PJ27" i="21"/>
  <c r="PK27" i="21"/>
  <c r="PL27" i="21"/>
  <c r="PM27" i="21"/>
  <c r="PN27" i="21"/>
  <c r="PO27" i="21"/>
  <c r="PP27" i="21"/>
  <c r="PQ27" i="21"/>
  <c r="PR27" i="21"/>
  <c r="PS27" i="21"/>
  <c r="PT27" i="21"/>
  <c r="PU27" i="21"/>
  <c r="PV27" i="21"/>
  <c r="PW27" i="21"/>
  <c r="PX27" i="21"/>
  <c r="PJ28" i="21"/>
  <c r="PK28" i="21"/>
  <c r="PL28" i="21"/>
  <c r="PM28" i="21"/>
  <c r="PN28" i="21"/>
  <c r="PO28" i="21"/>
  <c r="PP28" i="21"/>
  <c r="PQ28" i="21"/>
  <c r="PR28" i="21"/>
  <c r="PS28" i="21"/>
  <c r="PT28" i="21"/>
  <c r="PU28" i="21"/>
  <c r="PV28" i="21"/>
  <c r="PW28" i="21"/>
  <c r="PX28" i="21"/>
  <c r="PJ30" i="21"/>
  <c r="PK30" i="21"/>
  <c r="PL30" i="21"/>
  <c r="PM30" i="21"/>
  <c r="PN30" i="21"/>
  <c r="PO30" i="21"/>
  <c r="PP30" i="21"/>
  <c r="PQ30" i="21"/>
  <c r="PR30" i="21"/>
  <c r="PS30" i="21"/>
  <c r="PT30" i="21"/>
  <c r="PU30" i="21"/>
  <c r="PV30" i="21"/>
  <c r="PW30" i="21"/>
  <c r="PX30" i="21"/>
  <c r="PJ31" i="21"/>
  <c r="PK31" i="21"/>
  <c r="PL31" i="21"/>
  <c r="PM31" i="21"/>
  <c r="PN31" i="21"/>
  <c r="PO31" i="21"/>
  <c r="PP31" i="21"/>
  <c r="PQ31" i="21"/>
  <c r="PR31" i="21"/>
  <c r="PS31" i="21"/>
  <c r="PT31" i="21"/>
  <c r="PU31" i="21"/>
  <c r="PV31" i="21"/>
  <c r="PW31" i="21"/>
  <c r="PX31" i="21"/>
  <c r="PJ33" i="21"/>
  <c r="PK33" i="21"/>
  <c r="PL33" i="21"/>
  <c r="PM33" i="21"/>
  <c r="PN33" i="21"/>
  <c r="PO33" i="21"/>
  <c r="PP33" i="21"/>
  <c r="PQ33" i="21"/>
  <c r="PR33" i="21"/>
  <c r="PS33" i="21"/>
  <c r="PT33" i="21"/>
  <c r="PU33" i="21"/>
  <c r="PV33" i="21"/>
  <c r="PW33" i="21"/>
  <c r="PX33" i="21"/>
  <c r="PJ34" i="21"/>
  <c r="PK34" i="21"/>
  <c r="PL34" i="21"/>
  <c r="PM34" i="21"/>
  <c r="PN34" i="21"/>
  <c r="PO34" i="21"/>
  <c r="PP34" i="21"/>
  <c r="PQ34" i="21"/>
  <c r="PR34" i="21"/>
  <c r="PS34" i="21"/>
  <c r="PT34" i="21"/>
  <c r="PU34" i="21"/>
  <c r="PV34" i="21"/>
  <c r="PW34" i="21"/>
  <c r="PX34" i="21"/>
  <c r="PJ35" i="21"/>
  <c r="PK35" i="21"/>
  <c r="PL35" i="21"/>
  <c r="PM35" i="21"/>
  <c r="PN35" i="21"/>
  <c r="PO35" i="21"/>
  <c r="PP35" i="21"/>
  <c r="PQ35" i="21"/>
  <c r="PR35" i="21"/>
  <c r="PS35" i="21"/>
  <c r="PT35" i="21"/>
  <c r="PU35" i="21"/>
  <c r="PV35" i="21"/>
  <c r="PW35" i="21"/>
  <c r="PX35" i="21"/>
  <c r="PJ36" i="21"/>
  <c r="PK36" i="21"/>
  <c r="PL36" i="21"/>
  <c r="PM36" i="21"/>
  <c r="PN36" i="21"/>
  <c r="PO36" i="21"/>
  <c r="PP36" i="21"/>
  <c r="PQ36" i="21"/>
  <c r="PR36" i="21"/>
  <c r="PS36" i="21"/>
  <c r="PT36" i="21"/>
  <c r="PU36" i="21"/>
  <c r="PV36" i="21"/>
  <c r="PW36" i="21"/>
  <c r="PX36" i="21"/>
  <c r="PJ37" i="21"/>
  <c r="PK37" i="21"/>
  <c r="PL37" i="21"/>
  <c r="PM37" i="21"/>
  <c r="PN37" i="21"/>
  <c r="PO37" i="21"/>
  <c r="PP37" i="21"/>
  <c r="PQ37" i="21"/>
  <c r="PR37" i="21"/>
  <c r="PS37" i="21"/>
  <c r="PT37" i="21"/>
  <c r="PU37" i="21"/>
  <c r="PV37" i="21"/>
  <c r="PW37" i="21"/>
  <c r="PX37" i="21"/>
  <c r="PJ38" i="21"/>
  <c r="PK38" i="21"/>
  <c r="PL38" i="21"/>
  <c r="PM38" i="21"/>
  <c r="PN38" i="21"/>
  <c r="PO38" i="21"/>
  <c r="PP38" i="21"/>
  <c r="PQ38" i="21"/>
  <c r="PR38" i="21"/>
  <c r="PS38" i="21"/>
  <c r="PT38" i="21"/>
  <c r="PU38" i="21"/>
  <c r="PV38" i="21"/>
  <c r="PW38" i="21"/>
  <c r="PX38" i="21"/>
  <c r="PJ39" i="21"/>
  <c r="PK39" i="21"/>
  <c r="PL39" i="21"/>
  <c r="PM39" i="21"/>
  <c r="PN39" i="21"/>
  <c r="PO39" i="21"/>
  <c r="PP39" i="21"/>
  <c r="PQ39" i="21"/>
  <c r="PR39" i="21"/>
  <c r="PS39" i="21"/>
  <c r="PT39" i="21"/>
  <c r="PU39" i="21"/>
  <c r="PV39" i="21"/>
  <c r="PW39" i="21"/>
  <c r="PX39" i="21"/>
  <c r="PI6" i="21"/>
  <c r="PI7" i="21"/>
  <c r="PI10" i="21"/>
  <c r="PI9" i="21"/>
  <c r="PI12" i="21"/>
  <c r="PI13" i="21"/>
  <c r="PI14" i="21"/>
  <c r="PI15" i="21"/>
  <c r="PI16" i="21"/>
  <c r="PI18" i="21"/>
  <c r="PI20" i="21"/>
  <c r="PI21" i="21"/>
  <c r="PI22" i="21"/>
  <c r="PI25" i="21"/>
  <c r="PI26" i="21"/>
  <c r="PI27" i="21"/>
  <c r="PI28" i="21"/>
  <c r="PI30" i="21"/>
  <c r="PI31" i="21"/>
  <c r="PI33" i="21"/>
  <c r="PI34" i="21"/>
  <c r="PI35" i="21"/>
  <c r="PI36" i="21"/>
  <c r="PI37" i="21"/>
  <c r="PI38" i="21"/>
  <c r="PI39" i="21"/>
  <c r="PI5" i="21"/>
  <c r="BK39" i="21"/>
  <c r="BJ39" i="21"/>
  <c r="BI39" i="21"/>
  <c r="BH39" i="21"/>
  <c r="BK38" i="21"/>
  <c r="BJ38" i="21"/>
  <c r="BI38" i="21"/>
  <c r="BH38" i="21"/>
  <c r="BK37" i="21"/>
  <c r="BJ37" i="21"/>
  <c r="BI37" i="21"/>
  <c r="BH37" i="21"/>
  <c r="BK36" i="21"/>
  <c r="BJ36" i="21"/>
  <c r="BI36" i="21"/>
  <c r="BH36" i="21"/>
  <c r="BK35" i="21"/>
  <c r="BJ35" i="21"/>
  <c r="BI35" i="21"/>
  <c r="BH35" i="21"/>
  <c r="BK34" i="21"/>
  <c r="BJ34" i="21"/>
  <c r="BI34" i="21"/>
  <c r="BH34" i="21"/>
  <c r="BK33" i="21"/>
  <c r="BJ33" i="21"/>
  <c r="BI33" i="21"/>
  <c r="BH33" i="21"/>
  <c r="BK30" i="21"/>
  <c r="BJ30" i="21"/>
  <c r="BI30" i="21"/>
  <c r="BH30" i="21"/>
  <c r="BK28" i="21"/>
  <c r="BJ28" i="21"/>
  <c r="BI28" i="21"/>
  <c r="BH28" i="21"/>
  <c r="BK27" i="21"/>
  <c r="BJ27" i="21"/>
  <c r="BI27" i="21"/>
  <c r="BH27" i="21"/>
  <c r="BK26" i="21"/>
  <c r="BJ26" i="21"/>
  <c r="BI26" i="21"/>
  <c r="BH26" i="21"/>
  <c r="BK25" i="21"/>
  <c r="BJ25" i="21"/>
  <c r="BI25" i="21"/>
  <c r="BH25" i="21"/>
  <c r="BK22" i="21"/>
  <c r="BJ22" i="21"/>
  <c r="BI22" i="21"/>
  <c r="BH22" i="21"/>
  <c r="BK21" i="21"/>
  <c r="BJ21" i="21"/>
  <c r="BI21" i="21"/>
  <c r="BH21" i="21"/>
  <c r="BK20" i="21"/>
  <c r="BJ20" i="21"/>
  <c r="BI20" i="21"/>
  <c r="BH20" i="21"/>
  <c r="BK18" i="21"/>
  <c r="BJ18" i="21"/>
  <c r="BI18" i="21"/>
  <c r="BH18" i="21"/>
  <c r="BK31" i="21"/>
  <c r="BJ31" i="21"/>
  <c r="BI31" i="21"/>
  <c r="BH31" i="21"/>
  <c r="BK16" i="21"/>
  <c r="BJ16" i="21"/>
  <c r="BI16" i="21"/>
  <c r="BH16" i="21"/>
  <c r="BK15" i="21"/>
  <c r="BJ15" i="21"/>
  <c r="BI15" i="21"/>
  <c r="BH15" i="21"/>
  <c r="BK14" i="21"/>
  <c r="BJ14" i="21"/>
  <c r="BI14" i="21"/>
  <c r="BH14" i="21"/>
  <c r="BK13" i="21"/>
  <c r="BJ13" i="21"/>
  <c r="BI13" i="21"/>
  <c r="BH13" i="21"/>
  <c r="BK12" i="21"/>
  <c r="BJ12" i="21"/>
  <c r="BI12" i="21"/>
  <c r="BH12" i="21"/>
  <c r="BK10" i="21"/>
  <c r="BJ10" i="21"/>
  <c r="BI10" i="21"/>
  <c r="BH10" i="21"/>
  <c r="BK9" i="21"/>
  <c r="BJ9" i="21"/>
  <c r="BI9" i="21"/>
  <c r="BH9" i="21"/>
  <c r="BK6" i="21"/>
  <c r="BJ6" i="21"/>
  <c r="BI6" i="21"/>
  <c r="BH6" i="21"/>
  <c r="BK7" i="21"/>
  <c r="BJ7" i="21"/>
  <c r="BI7" i="21"/>
  <c r="BH7" i="21"/>
  <c r="BK5" i="21"/>
  <c r="BJ5" i="21"/>
  <c r="BI5" i="21"/>
  <c r="BH5" i="21"/>
  <c r="AO39" i="21"/>
  <c r="AN39" i="21"/>
  <c r="AM39" i="21"/>
  <c r="AL39" i="21"/>
  <c r="AO38" i="21"/>
  <c r="AN38" i="21"/>
  <c r="AM38" i="21"/>
  <c r="AL38" i="21"/>
  <c r="AO37" i="21"/>
  <c r="AN37" i="21"/>
  <c r="AM37" i="21"/>
  <c r="AL37" i="21"/>
  <c r="AO36" i="21"/>
  <c r="AN36" i="21"/>
  <c r="AM36" i="21"/>
  <c r="AL36" i="21"/>
  <c r="AO35" i="21"/>
  <c r="AN35" i="21"/>
  <c r="AM35" i="21"/>
  <c r="AL35" i="21"/>
  <c r="AO34" i="21"/>
  <c r="AN34" i="21"/>
  <c r="AM34" i="21"/>
  <c r="AL34" i="21"/>
  <c r="AO33" i="21"/>
  <c r="AN33" i="21"/>
  <c r="AM33" i="21"/>
  <c r="AL33" i="21"/>
  <c r="AO30" i="21"/>
  <c r="AN30" i="21"/>
  <c r="AM30" i="21"/>
  <c r="AL30" i="21"/>
  <c r="AO28" i="21"/>
  <c r="AN28" i="21"/>
  <c r="AM28" i="21"/>
  <c r="AL28" i="21"/>
  <c r="AO27" i="21"/>
  <c r="AN27" i="21"/>
  <c r="AM27" i="21"/>
  <c r="AL27" i="21"/>
  <c r="AO26" i="21"/>
  <c r="AN26" i="21"/>
  <c r="AM26" i="21"/>
  <c r="AL26" i="21"/>
  <c r="AO25" i="21"/>
  <c r="AN25" i="21"/>
  <c r="AM25" i="21"/>
  <c r="AL25" i="21"/>
  <c r="AO22" i="21"/>
  <c r="AN22" i="21"/>
  <c r="AM22" i="21"/>
  <c r="AL22" i="21"/>
  <c r="AO21" i="21"/>
  <c r="AN21" i="21"/>
  <c r="AM21" i="21"/>
  <c r="AL21" i="21"/>
  <c r="AO20" i="21"/>
  <c r="AN20" i="21"/>
  <c r="AM20" i="21"/>
  <c r="AL20" i="21"/>
  <c r="AO18" i="21"/>
  <c r="AN18" i="21"/>
  <c r="AM18" i="21"/>
  <c r="AL18" i="21"/>
  <c r="AO31" i="21"/>
  <c r="AN31" i="21"/>
  <c r="AM31" i="21"/>
  <c r="AL31" i="21"/>
  <c r="AO16" i="21"/>
  <c r="AN16" i="21"/>
  <c r="AM16" i="21"/>
  <c r="AL16" i="21"/>
  <c r="AO15" i="21"/>
  <c r="AN15" i="21"/>
  <c r="AM15" i="21"/>
  <c r="AL15" i="21"/>
  <c r="AO14" i="21"/>
  <c r="AN14" i="21"/>
  <c r="AM14" i="21"/>
  <c r="AL14" i="21"/>
  <c r="AO13" i="21"/>
  <c r="AN13" i="21"/>
  <c r="AM13" i="21"/>
  <c r="AL13" i="21"/>
  <c r="AO12" i="21"/>
  <c r="AN12" i="21"/>
  <c r="AM12" i="21"/>
  <c r="AL12" i="21"/>
  <c r="AO10" i="21"/>
  <c r="AN10" i="21"/>
  <c r="AM10" i="21"/>
  <c r="AL10" i="21"/>
  <c r="AO9" i="21"/>
  <c r="AN9" i="21"/>
  <c r="AM9" i="21"/>
  <c r="AL9" i="21"/>
  <c r="AO6" i="21"/>
  <c r="AN6" i="21"/>
  <c r="AM6" i="21"/>
  <c r="AL6" i="21"/>
  <c r="AO7" i="21"/>
  <c r="AN7" i="21"/>
  <c r="AM7" i="21"/>
  <c r="AL7" i="21"/>
  <c r="AO5" i="21"/>
  <c r="AN5" i="21"/>
  <c r="AM5" i="21"/>
  <c r="AL5" i="21"/>
  <c r="BK25" i="19"/>
  <c r="BJ25" i="19"/>
  <c r="BI25" i="19"/>
  <c r="BH25" i="19"/>
  <c r="BK37" i="19"/>
  <c r="BJ37" i="19"/>
  <c r="BI37" i="19"/>
  <c r="BH37" i="19"/>
  <c r="BK36" i="19"/>
  <c r="BJ36" i="19"/>
  <c r="BI36" i="19"/>
  <c r="BH36" i="19"/>
  <c r="BK35" i="19"/>
  <c r="BJ35" i="19"/>
  <c r="BI35" i="19"/>
  <c r="BH35" i="19"/>
  <c r="BK33" i="19"/>
  <c r="BJ33" i="19"/>
  <c r="BI33" i="19"/>
  <c r="BH33" i="19"/>
  <c r="BK38" i="19"/>
  <c r="BJ38" i="19"/>
  <c r="BI38" i="19"/>
  <c r="BH38" i="19"/>
  <c r="BK29" i="19"/>
  <c r="BJ29" i="19"/>
  <c r="BI29" i="19"/>
  <c r="BH29" i="19"/>
  <c r="BK26" i="19"/>
  <c r="BJ26" i="19"/>
  <c r="BI26" i="19"/>
  <c r="BH26" i="19"/>
  <c r="BK22" i="19"/>
  <c r="BJ22" i="19"/>
  <c r="BI22" i="19"/>
  <c r="BH22" i="19"/>
  <c r="BK24" i="19"/>
  <c r="BJ24" i="19"/>
  <c r="BI24" i="19"/>
  <c r="BH24" i="19"/>
  <c r="BK16" i="19"/>
  <c r="BJ16" i="19"/>
  <c r="BI16" i="19"/>
  <c r="BH16" i="19"/>
  <c r="BK23" i="19"/>
  <c r="BJ23" i="19"/>
  <c r="BI23" i="19"/>
  <c r="BH23" i="19"/>
  <c r="BK15" i="19"/>
  <c r="BJ15" i="19"/>
  <c r="BI15" i="19"/>
  <c r="BH15" i="19"/>
  <c r="BK13" i="19"/>
  <c r="BJ13" i="19"/>
  <c r="BI13" i="19"/>
  <c r="BH13" i="19"/>
  <c r="BK34" i="19"/>
  <c r="BJ34" i="19"/>
  <c r="BI34" i="19"/>
  <c r="BH34" i="19"/>
  <c r="BK27" i="19"/>
  <c r="BJ27" i="19"/>
  <c r="BI27" i="19"/>
  <c r="BH27" i="19"/>
  <c r="BK9" i="19"/>
  <c r="BJ9" i="19"/>
  <c r="BI9" i="19"/>
  <c r="BH9" i="19"/>
  <c r="BK32" i="19"/>
  <c r="BJ32" i="19"/>
  <c r="BI32" i="19"/>
  <c r="BH32" i="19"/>
  <c r="BK30" i="19"/>
  <c r="BJ30" i="19"/>
  <c r="BI30" i="19"/>
  <c r="BH30" i="19"/>
  <c r="BK28" i="19"/>
  <c r="BJ28" i="19"/>
  <c r="BI28" i="19"/>
  <c r="BH28" i="19"/>
  <c r="BK19" i="19"/>
  <c r="BJ19" i="19"/>
  <c r="BI19" i="19"/>
  <c r="BH19" i="19"/>
  <c r="BK11" i="19"/>
  <c r="BJ11" i="19"/>
  <c r="BI11" i="19"/>
  <c r="BH11" i="19"/>
  <c r="BK18" i="19"/>
  <c r="BJ18" i="19"/>
  <c r="BI18" i="19"/>
  <c r="BH18" i="19"/>
  <c r="BK10" i="19"/>
  <c r="BJ10" i="19"/>
  <c r="BI10" i="19"/>
  <c r="BH10" i="19"/>
  <c r="BK8" i="19"/>
  <c r="BJ8" i="19"/>
  <c r="BI8" i="19"/>
  <c r="BH8" i="19"/>
  <c r="BK7" i="19"/>
  <c r="BJ7" i="19"/>
  <c r="BI7" i="19"/>
  <c r="BH7" i="19"/>
  <c r="BK5" i="19"/>
  <c r="BJ5" i="19"/>
  <c r="BI5" i="19"/>
  <c r="BH5" i="19"/>
  <c r="BK4" i="19"/>
  <c r="BJ4" i="19"/>
  <c r="BI4" i="19"/>
  <c r="BH4" i="19"/>
  <c r="BK6" i="19"/>
  <c r="BJ6" i="19"/>
  <c r="BI6" i="19"/>
  <c r="BH6" i="19"/>
  <c r="AO25" i="19"/>
  <c r="AN25" i="19"/>
  <c r="AM25" i="19"/>
  <c r="AL25" i="19"/>
  <c r="AO37" i="19"/>
  <c r="AN37" i="19"/>
  <c r="AM37" i="19"/>
  <c r="AL37" i="19"/>
  <c r="AO36" i="19"/>
  <c r="AN36" i="19"/>
  <c r="AM36" i="19"/>
  <c r="AL36" i="19"/>
  <c r="AO35" i="19"/>
  <c r="AN35" i="19"/>
  <c r="AM35" i="19"/>
  <c r="AL35" i="19"/>
  <c r="AO33" i="19"/>
  <c r="AN33" i="19"/>
  <c r="AM33" i="19"/>
  <c r="AL33" i="19"/>
  <c r="AO38" i="19"/>
  <c r="AN38" i="19"/>
  <c r="AM38" i="19"/>
  <c r="AL38" i="19"/>
  <c r="AO29" i="19"/>
  <c r="AN29" i="19"/>
  <c r="AM29" i="19"/>
  <c r="AL29" i="19"/>
  <c r="AO26" i="19"/>
  <c r="AN26" i="19"/>
  <c r="AM26" i="19"/>
  <c r="AL26" i="19"/>
  <c r="AO22" i="19"/>
  <c r="AN22" i="19"/>
  <c r="AM22" i="19"/>
  <c r="AL22" i="19"/>
  <c r="AO24" i="19"/>
  <c r="AN24" i="19"/>
  <c r="AM24" i="19"/>
  <c r="AL24" i="19"/>
  <c r="AO16" i="19"/>
  <c r="AN16" i="19"/>
  <c r="AM16" i="19"/>
  <c r="AL16" i="19"/>
  <c r="AO23" i="19"/>
  <c r="AN23" i="19"/>
  <c r="AM23" i="19"/>
  <c r="AL23" i="19"/>
  <c r="AO15" i="19"/>
  <c r="AN15" i="19"/>
  <c r="AM15" i="19"/>
  <c r="AL15" i="19"/>
  <c r="AO13" i="19"/>
  <c r="AN13" i="19"/>
  <c r="AM13" i="19"/>
  <c r="AL13" i="19"/>
  <c r="AO34" i="19"/>
  <c r="AN34" i="19"/>
  <c r="AM34" i="19"/>
  <c r="AL34" i="19"/>
  <c r="AO27" i="19"/>
  <c r="AN27" i="19"/>
  <c r="AM27" i="19"/>
  <c r="AL27" i="19"/>
  <c r="AO9" i="19"/>
  <c r="AN9" i="19"/>
  <c r="AM9" i="19"/>
  <c r="AL9" i="19"/>
  <c r="AO32" i="19"/>
  <c r="AN32" i="19"/>
  <c r="AM32" i="19"/>
  <c r="AL32" i="19"/>
  <c r="AO30" i="19"/>
  <c r="AN30" i="19"/>
  <c r="AM30" i="19"/>
  <c r="AL30" i="19"/>
  <c r="AO28" i="19"/>
  <c r="AN28" i="19"/>
  <c r="AM28" i="19"/>
  <c r="AL28" i="19"/>
  <c r="AO19" i="19"/>
  <c r="AN19" i="19"/>
  <c r="AM19" i="19"/>
  <c r="AL19" i="19"/>
  <c r="AO11" i="19"/>
  <c r="AN11" i="19"/>
  <c r="AM11" i="19"/>
  <c r="AL11" i="19"/>
  <c r="AO18" i="19"/>
  <c r="AN18" i="19"/>
  <c r="AM18" i="19"/>
  <c r="AL18" i="19"/>
  <c r="AO10" i="19"/>
  <c r="AN10" i="19"/>
  <c r="AM10" i="19"/>
  <c r="AL10" i="19"/>
  <c r="AO8" i="19"/>
  <c r="AN8" i="19"/>
  <c r="AM8" i="19"/>
  <c r="AL8" i="19"/>
  <c r="AO7" i="19"/>
  <c r="AN7" i="19"/>
  <c r="AM7" i="19"/>
  <c r="AL7" i="19"/>
  <c r="AO5" i="19"/>
  <c r="AN5" i="19"/>
  <c r="AM5" i="19"/>
  <c r="AL5" i="19"/>
  <c r="AO4" i="19"/>
  <c r="AN4" i="19"/>
  <c r="AM4" i="19"/>
  <c r="AL4" i="19"/>
  <c r="AO6" i="19"/>
  <c r="AN6" i="19"/>
  <c r="AM6" i="19"/>
  <c r="AL6" i="19"/>
  <c r="BK17" i="27"/>
  <c r="BJ17" i="27"/>
  <c r="BI17" i="27"/>
  <c r="BH17" i="27"/>
  <c r="BK12" i="27"/>
  <c r="BJ12" i="27"/>
  <c r="BI12" i="27"/>
  <c r="BH12" i="27"/>
  <c r="BK9" i="27"/>
  <c r="BJ9" i="27"/>
  <c r="BI9" i="27"/>
  <c r="BH9" i="27"/>
  <c r="BK11" i="27"/>
  <c r="BJ11" i="27"/>
  <c r="BI11" i="27"/>
  <c r="BH11" i="27"/>
  <c r="BK14" i="27"/>
  <c r="BJ14" i="27"/>
  <c r="BI14" i="27"/>
  <c r="BH14" i="27"/>
  <c r="BK8" i="27"/>
  <c r="BJ8" i="27"/>
  <c r="BI8" i="27"/>
  <c r="BH8" i="27"/>
  <c r="BK6" i="27"/>
  <c r="BJ6" i="27"/>
  <c r="BI6" i="27"/>
  <c r="BH6" i="27"/>
  <c r="BK16" i="27"/>
  <c r="BJ16" i="27"/>
  <c r="BI16" i="27"/>
  <c r="BH16" i="27"/>
  <c r="BK7" i="27"/>
  <c r="BJ7" i="27"/>
  <c r="BI7" i="27"/>
  <c r="BH7" i="27"/>
  <c r="BK5" i="27"/>
  <c r="BJ5" i="27"/>
  <c r="BI5" i="27"/>
  <c r="BH5" i="27"/>
  <c r="BK4" i="27"/>
  <c r="BJ4" i="27"/>
  <c r="BI4" i="27"/>
  <c r="BH4" i="27"/>
  <c r="AO17" i="27"/>
  <c r="AN17" i="27"/>
  <c r="AM17" i="27"/>
  <c r="AL17" i="27"/>
  <c r="AO12" i="27"/>
  <c r="AN12" i="27"/>
  <c r="AM12" i="27"/>
  <c r="AL12" i="27"/>
  <c r="AO9" i="27"/>
  <c r="AN9" i="27"/>
  <c r="AM9" i="27"/>
  <c r="AL9" i="27"/>
  <c r="AO11" i="27"/>
  <c r="AN11" i="27"/>
  <c r="AM11" i="27"/>
  <c r="AL11" i="27"/>
  <c r="AO14" i="27"/>
  <c r="AN14" i="27"/>
  <c r="AM14" i="27"/>
  <c r="AL14" i="27"/>
  <c r="AO8" i="27"/>
  <c r="AN8" i="27"/>
  <c r="AM8" i="27"/>
  <c r="AL8" i="27"/>
  <c r="AO6" i="27"/>
  <c r="AN6" i="27"/>
  <c r="AM6" i="27"/>
  <c r="AL6" i="27"/>
  <c r="AO16" i="27"/>
  <c r="AN16" i="27"/>
  <c r="AM16" i="27"/>
  <c r="AL16" i="27"/>
  <c r="AO7" i="27"/>
  <c r="AN7" i="27"/>
  <c r="AM7" i="27"/>
  <c r="AL7" i="27"/>
  <c r="AO5" i="27"/>
  <c r="AN5" i="27"/>
  <c r="AM5" i="27"/>
  <c r="AL5" i="27"/>
  <c r="AO4" i="27"/>
  <c r="AN4" i="27"/>
  <c r="AM4" i="27"/>
  <c r="AL4" i="27"/>
  <c r="BK16" i="26"/>
  <c r="BJ16" i="26"/>
  <c r="BI16" i="26"/>
  <c r="BH16" i="26"/>
  <c r="BK18" i="26"/>
  <c r="BJ18" i="26"/>
  <c r="BI18" i="26"/>
  <c r="BH18" i="26"/>
  <c r="BK15" i="26"/>
  <c r="BJ15" i="26"/>
  <c r="BI15" i="26"/>
  <c r="BH15" i="26"/>
  <c r="BK14" i="26"/>
  <c r="BJ14" i="26"/>
  <c r="BI14" i="26"/>
  <c r="BH14" i="26"/>
  <c r="BK13" i="26"/>
  <c r="BJ13" i="26"/>
  <c r="BI13" i="26"/>
  <c r="BH13" i="26"/>
  <c r="BK12" i="26"/>
  <c r="BJ12" i="26"/>
  <c r="BI12" i="26"/>
  <c r="BH12" i="26"/>
  <c r="BK11" i="26"/>
  <c r="BJ11" i="26"/>
  <c r="BI11" i="26"/>
  <c r="BH11" i="26"/>
  <c r="BK10" i="26"/>
  <c r="BJ10" i="26"/>
  <c r="BI10" i="26"/>
  <c r="BH10" i="26"/>
  <c r="BK17" i="26"/>
  <c r="BJ17" i="26"/>
  <c r="BI17" i="26"/>
  <c r="BH17" i="26"/>
  <c r="BK8" i="26"/>
  <c r="BJ8" i="26"/>
  <c r="BI8" i="26"/>
  <c r="BH8" i="26"/>
  <c r="BK9" i="26"/>
  <c r="BJ9" i="26"/>
  <c r="BI9" i="26"/>
  <c r="BH9" i="26"/>
  <c r="BK7" i="26"/>
  <c r="BJ7" i="26"/>
  <c r="BI7" i="26"/>
  <c r="BH7" i="26"/>
  <c r="BK6" i="26"/>
  <c r="BJ6" i="26"/>
  <c r="BI6" i="26"/>
  <c r="BH6" i="26"/>
  <c r="BK5" i="26"/>
  <c r="BJ5" i="26"/>
  <c r="BI5" i="26"/>
  <c r="BH5" i="26"/>
  <c r="BK4" i="26"/>
  <c r="BJ4" i="26"/>
  <c r="BI4" i="26"/>
  <c r="BH4" i="26"/>
  <c r="AO16" i="26"/>
  <c r="AN16" i="26"/>
  <c r="AM16" i="26"/>
  <c r="AL16" i="26"/>
  <c r="AO18" i="26"/>
  <c r="AN18" i="26"/>
  <c r="AM18" i="26"/>
  <c r="AL18" i="26"/>
  <c r="AO15" i="26"/>
  <c r="AN15" i="26"/>
  <c r="AM15" i="26"/>
  <c r="AL15" i="26"/>
  <c r="AO14" i="26"/>
  <c r="AN14" i="26"/>
  <c r="AM14" i="26"/>
  <c r="AL14" i="26"/>
  <c r="AO13" i="26"/>
  <c r="AN13" i="26"/>
  <c r="AM13" i="26"/>
  <c r="AL13" i="26"/>
  <c r="AO12" i="26"/>
  <c r="AN12" i="26"/>
  <c r="AM12" i="26"/>
  <c r="AL12" i="26"/>
  <c r="AO11" i="26"/>
  <c r="AN11" i="26"/>
  <c r="AM11" i="26"/>
  <c r="AL11" i="26"/>
  <c r="AO10" i="26"/>
  <c r="AN10" i="26"/>
  <c r="AM10" i="26"/>
  <c r="AL10" i="26"/>
  <c r="AO17" i="26"/>
  <c r="AN17" i="26"/>
  <c r="AM17" i="26"/>
  <c r="AL17" i="26"/>
  <c r="AO8" i="26"/>
  <c r="AN8" i="26"/>
  <c r="AM8" i="26"/>
  <c r="AL8" i="26"/>
  <c r="AO9" i="26"/>
  <c r="AN9" i="26"/>
  <c r="AM9" i="26"/>
  <c r="AL9" i="26"/>
  <c r="AO7" i="26"/>
  <c r="AN7" i="26"/>
  <c r="AM7" i="26"/>
  <c r="AL7" i="26"/>
  <c r="AO6" i="26"/>
  <c r="AN6" i="26"/>
  <c r="AM6" i="26"/>
  <c r="AL6" i="26"/>
  <c r="AO5" i="26"/>
  <c r="AN5" i="26"/>
  <c r="AM5" i="26"/>
  <c r="AL5" i="26"/>
  <c r="AO4" i="26"/>
  <c r="AN4" i="26"/>
  <c r="AM4" i="26"/>
  <c r="AL4" i="26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8" i="22"/>
  <c r="AW8" i="22"/>
  <c r="AV8" i="22"/>
  <c r="AT8" i="22"/>
  <c r="AS8" i="22"/>
  <c r="AR8" i="22"/>
  <c r="AQ8" i="22"/>
  <c r="AU8" i="22" s="1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17" i="4"/>
  <c r="BX17" i="4"/>
  <c r="BW17" i="4"/>
  <c r="BU17" i="4"/>
  <c r="BT17" i="4"/>
  <c r="BS17" i="4"/>
  <c r="BR17" i="4"/>
  <c r="BQ17" i="4"/>
  <c r="BP17" i="4"/>
  <c r="BY26" i="4"/>
  <c r="BX26" i="4"/>
  <c r="BW26" i="4"/>
  <c r="BU26" i="4"/>
  <c r="BT26" i="4"/>
  <c r="BS26" i="4"/>
  <c r="BR26" i="4"/>
  <c r="BV26" i="4" s="1"/>
  <c r="BQ26" i="4"/>
  <c r="BP26" i="4"/>
  <c r="BY27" i="4"/>
  <c r="BX27" i="4"/>
  <c r="BW27" i="4"/>
  <c r="BU27" i="4"/>
  <c r="BT27" i="4"/>
  <c r="BS27" i="4"/>
  <c r="BR27" i="4"/>
  <c r="BQ27" i="4"/>
  <c r="BP27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Q18" i="4"/>
  <c r="BP18" i="4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3" i="4"/>
  <c r="BX13" i="4"/>
  <c r="BW13" i="4"/>
  <c r="BU13" i="4"/>
  <c r="BT13" i="4"/>
  <c r="BS13" i="4"/>
  <c r="BR13" i="4"/>
  <c r="BQ13" i="4"/>
  <c r="BP13" i="4"/>
  <c r="BY16" i="4"/>
  <c r="BX16" i="4"/>
  <c r="BW16" i="4"/>
  <c r="BU16" i="4"/>
  <c r="BT16" i="4"/>
  <c r="BS16" i="4"/>
  <c r="BR16" i="4"/>
  <c r="BQ16" i="4"/>
  <c r="BP16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15" i="4"/>
  <c r="BX15" i="4"/>
  <c r="BW15" i="4"/>
  <c r="BU15" i="4"/>
  <c r="BT15" i="4"/>
  <c r="BS15" i="4"/>
  <c r="BR15" i="4"/>
  <c r="BQ15" i="4"/>
  <c r="BP15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17" i="4"/>
  <c r="AW17" i="4"/>
  <c r="AV17" i="4"/>
  <c r="AT17" i="4"/>
  <c r="AS17" i="4"/>
  <c r="AR17" i="4"/>
  <c r="AQ17" i="4"/>
  <c r="AU17" i="4" s="1"/>
  <c r="AP17" i="4"/>
  <c r="AO17" i="4"/>
  <c r="AX26" i="4"/>
  <c r="AW26" i="4"/>
  <c r="AV26" i="4"/>
  <c r="AT26" i="4"/>
  <c r="AS26" i="4"/>
  <c r="AR26" i="4"/>
  <c r="AQ26" i="4"/>
  <c r="AP26" i="4"/>
  <c r="AO26" i="4"/>
  <c r="AX27" i="4"/>
  <c r="AW27" i="4"/>
  <c r="AV27" i="4"/>
  <c r="AT27" i="4"/>
  <c r="AS27" i="4"/>
  <c r="AR27" i="4"/>
  <c r="AQ27" i="4"/>
  <c r="AU27" i="4" s="1"/>
  <c r="AP27" i="4"/>
  <c r="AO27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3" i="4"/>
  <c r="AW13" i="4"/>
  <c r="AV13" i="4"/>
  <c r="AT13" i="4"/>
  <c r="AS13" i="4"/>
  <c r="AR13" i="4"/>
  <c r="AQ13" i="4"/>
  <c r="AP13" i="4"/>
  <c r="AO13" i="4"/>
  <c r="AX16" i="4"/>
  <c r="AW16" i="4"/>
  <c r="AV16" i="4"/>
  <c r="AT16" i="4"/>
  <c r="AS16" i="4"/>
  <c r="AR16" i="4"/>
  <c r="AQ16" i="4"/>
  <c r="AP16" i="4"/>
  <c r="AO16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15" i="4"/>
  <c r="AW15" i="4"/>
  <c r="AV15" i="4"/>
  <c r="AT15" i="4"/>
  <c r="AS15" i="4"/>
  <c r="AR15" i="4"/>
  <c r="AQ15" i="4"/>
  <c r="AP15" i="4"/>
  <c r="AO15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OE39" i="21"/>
  <c r="OD39" i="21"/>
  <c r="OB39" i="21"/>
  <c r="OA39" i="21"/>
  <c r="NZ39" i="21"/>
  <c r="NY39" i="21"/>
  <c r="OE38" i="21"/>
  <c r="OD38" i="21"/>
  <c r="OB38" i="21"/>
  <c r="OA38" i="21"/>
  <c r="NZ38" i="21"/>
  <c r="NY38" i="21"/>
  <c r="OE37" i="21"/>
  <c r="OD37" i="21"/>
  <c r="OB37" i="21"/>
  <c r="OA37" i="21"/>
  <c r="NZ37" i="21"/>
  <c r="NY37" i="21"/>
  <c r="OE36" i="21"/>
  <c r="OD36" i="21"/>
  <c r="OB36" i="21"/>
  <c r="OA36" i="21"/>
  <c r="NZ36" i="21"/>
  <c r="NY36" i="21"/>
  <c r="OE35" i="21"/>
  <c r="OD35" i="21"/>
  <c r="OB35" i="21"/>
  <c r="OA35" i="21"/>
  <c r="NZ35" i="21"/>
  <c r="NY35" i="21"/>
  <c r="OE33" i="21"/>
  <c r="OD33" i="21"/>
  <c r="OB33" i="21"/>
  <c r="OA33" i="21"/>
  <c r="NZ33" i="21"/>
  <c r="NY33" i="21"/>
  <c r="OE34" i="21"/>
  <c r="OD34" i="21"/>
  <c r="OB34" i="21"/>
  <c r="OA34" i="21"/>
  <c r="NZ34" i="21"/>
  <c r="NY34" i="21"/>
  <c r="OE30" i="21"/>
  <c r="OD30" i="21"/>
  <c r="OB30" i="21"/>
  <c r="OA30" i="21"/>
  <c r="NZ30" i="21"/>
  <c r="NY30" i="21"/>
  <c r="OE28" i="21"/>
  <c r="OD28" i="21"/>
  <c r="OB28" i="21"/>
  <c r="OA28" i="21"/>
  <c r="NZ28" i="21"/>
  <c r="NY28" i="21"/>
  <c r="OE27" i="21"/>
  <c r="OD27" i="21"/>
  <c r="OB27" i="21"/>
  <c r="OA27" i="21"/>
  <c r="NZ27" i="21"/>
  <c r="NY27" i="21"/>
  <c r="OE26" i="21"/>
  <c r="OD26" i="21"/>
  <c r="OB26" i="21"/>
  <c r="OA26" i="21"/>
  <c r="NZ26" i="21"/>
  <c r="NY26" i="21"/>
  <c r="OE25" i="21"/>
  <c r="OD25" i="21"/>
  <c r="OB25" i="21"/>
  <c r="OA25" i="21"/>
  <c r="NZ25" i="21"/>
  <c r="NY25" i="21"/>
  <c r="OE22" i="21"/>
  <c r="OD22" i="21"/>
  <c r="OB22" i="21"/>
  <c r="OA22" i="21"/>
  <c r="NZ22" i="21"/>
  <c r="NY22" i="21"/>
  <c r="OE21" i="21"/>
  <c r="OD21" i="21"/>
  <c r="OB21" i="21"/>
  <c r="OA21" i="21"/>
  <c r="NZ21" i="21"/>
  <c r="NY21" i="21"/>
  <c r="OE20" i="21"/>
  <c r="OD20" i="21"/>
  <c r="OB20" i="21"/>
  <c r="OA20" i="21"/>
  <c r="NZ20" i="21"/>
  <c r="NY20" i="21"/>
  <c r="OE18" i="21"/>
  <c r="OD18" i="21"/>
  <c r="OB18" i="21"/>
  <c r="OA18" i="21"/>
  <c r="NZ18" i="21"/>
  <c r="NY18" i="21"/>
  <c r="OE31" i="21"/>
  <c r="OD31" i="21"/>
  <c r="OB31" i="21"/>
  <c r="OA31" i="21"/>
  <c r="NZ31" i="21"/>
  <c r="NY31" i="21"/>
  <c r="OE15" i="21"/>
  <c r="OD15" i="21"/>
  <c r="OB15" i="21"/>
  <c r="OA15" i="21"/>
  <c r="NZ15" i="21"/>
  <c r="NY15" i="21"/>
  <c r="OE14" i="21"/>
  <c r="OD14" i="21"/>
  <c r="OB14" i="21"/>
  <c r="OA14" i="21"/>
  <c r="NZ14" i="21"/>
  <c r="NY14" i="21"/>
  <c r="OE16" i="21"/>
  <c r="OD16" i="21"/>
  <c r="OB16" i="21"/>
  <c r="OA16" i="21"/>
  <c r="NZ16" i="21"/>
  <c r="NY16" i="21"/>
  <c r="OE13" i="21"/>
  <c r="OD13" i="21"/>
  <c r="OB13" i="21"/>
  <c r="OA13" i="21"/>
  <c r="NZ13" i="21"/>
  <c r="NY13" i="21"/>
  <c r="OE12" i="21"/>
  <c r="OD12" i="21"/>
  <c r="OB12" i="21"/>
  <c r="OA12" i="21"/>
  <c r="NZ12" i="21"/>
  <c r="NY12" i="21"/>
  <c r="OE10" i="21"/>
  <c r="OD10" i="21"/>
  <c r="OB10" i="21"/>
  <c r="OA10" i="21"/>
  <c r="NZ10" i="21"/>
  <c r="NY10" i="21"/>
  <c r="OE9" i="21"/>
  <c r="OD9" i="21"/>
  <c r="OB9" i="21"/>
  <c r="OA9" i="21"/>
  <c r="NZ9" i="21"/>
  <c r="NY9" i="21"/>
  <c r="OE6" i="21"/>
  <c r="OD6" i="21"/>
  <c r="OB6" i="21"/>
  <c r="OA6" i="21"/>
  <c r="NZ6" i="21"/>
  <c r="NY6" i="21"/>
  <c r="OE7" i="21"/>
  <c r="OD7" i="21"/>
  <c r="OB7" i="21"/>
  <c r="OA7" i="21"/>
  <c r="NZ7" i="21"/>
  <c r="NY7" i="21"/>
  <c r="OE5" i="21"/>
  <c r="OD5" i="21"/>
  <c r="OB5" i="21"/>
  <c r="OA5" i="21"/>
  <c r="NZ5" i="21"/>
  <c r="NY5" i="21"/>
  <c r="NC39" i="21"/>
  <c r="NB39" i="21"/>
  <c r="MZ39" i="21"/>
  <c r="MY39" i="21"/>
  <c r="MX39" i="21"/>
  <c r="MW39" i="21"/>
  <c r="NC38" i="21"/>
  <c r="NB38" i="21"/>
  <c r="MZ38" i="21"/>
  <c r="MY38" i="21"/>
  <c r="MX38" i="21"/>
  <c r="MW38" i="21"/>
  <c r="NC37" i="21"/>
  <c r="NB37" i="21"/>
  <c r="MZ37" i="21"/>
  <c r="MY37" i="21"/>
  <c r="MX37" i="21"/>
  <c r="MW37" i="21"/>
  <c r="NC36" i="21"/>
  <c r="NB36" i="21"/>
  <c r="MZ36" i="21"/>
  <c r="MY36" i="21"/>
  <c r="MX36" i="21"/>
  <c r="MW36" i="21"/>
  <c r="NC35" i="21"/>
  <c r="NB35" i="21"/>
  <c r="MZ35" i="21"/>
  <c r="MY35" i="21"/>
  <c r="MX35" i="21"/>
  <c r="MW35" i="21"/>
  <c r="NC33" i="21"/>
  <c r="NB33" i="21"/>
  <c r="MZ33" i="21"/>
  <c r="MY33" i="21"/>
  <c r="MX33" i="21"/>
  <c r="MW33" i="21"/>
  <c r="NC34" i="21"/>
  <c r="NB34" i="21"/>
  <c r="MZ34" i="21"/>
  <c r="MY34" i="21"/>
  <c r="MX34" i="21"/>
  <c r="MW34" i="21"/>
  <c r="NC30" i="21"/>
  <c r="NB30" i="21"/>
  <c r="MZ30" i="21"/>
  <c r="MY30" i="21"/>
  <c r="MX30" i="21"/>
  <c r="MW30" i="21"/>
  <c r="NC28" i="21"/>
  <c r="NB28" i="21"/>
  <c r="MZ28" i="21"/>
  <c r="MY28" i="21"/>
  <c r="MX28" i="21"/>
  <c r="MW28" i="21"/>
  <c r="NC27" i="21"/>
  <c r="NB27" i="21"/>
  <c r="MZ27" i="21"/>
  <c r="MY27" i="21"/>
  <c r="MX27" i="21"/>
  <c r="MW27" i="21"/>
  <c r="NC26" i="21"/>
  <c r="NB26" i="21"/>
  <c r="MZ26" i="21"/>
  <c r="MY26" i="21"/>
  <c r="MX26" i="21"/>
  <c r="MW26" i="21"/>
  <c r="NC25" i="21"/>
  <c r="NB25" i="21"/>
  <c r="MZ25" i="21"/>
  <c r="MY25" i="21"/>
  <c r="MX25" i="21"/>
  <c r="MW25" i="21"/>
  <c r="NC22" i="21"/>
  <c r="NB22" i="21"/>
  <c r="MZ22" i="21"/>
  <c r="MY22" i="21"/>
  <c r="MX22" i="21"/>
  <c r="MW22" i="21"/>
  <c r="NC21" i="21"/>
  <c r="NB21" i="21"/>
  <c r="MZ21" i="21"/>
  <c r="MY21" i="21"/>
  <c r="MX21" i="21"/>
  <c r="MW21" i="21"/>
  <c r="NC20" i="21"/>
  <c r="NB20" i="21"/>
  <c r="MZ20" i="21"/>
  <c r="MY20" i="21"/>
  <c r="MX20" i="21"/>
  <c r="MW20" i="21"/>
  <c r="NC18" i="21"/>
  <c r="NB18" i="21"/>
  <c r="MZ18" i="21"/>
  <c r="MY18" i="21"/>
  <c r="MX18" i="21"/>
  <c r="MW18" i="21"/>
  <c r="NC31" i="21"/>
  <c r="NB31" i="21"/>
  <c r="MZ31" i="21"/>
  <c r="MY31" i="21"/>
  <c r="MX31" i="21"/>
  <c r="MW31" i="21"/>
  <c r="NC15" i="21"/>
  <c r="NB15" i="21"/>
  <c r="MZ15" i="21"/>
  <c r="MY15" i="21"/>
  <c r="MX15" i="21"/>
  <c r="MW15" i="21"/>
  <c r="NC14" i="21"/>
  <c r="NB14" i="21"/>
  <c r="MZ14" i="21"/>
  <c r="MY14" i="21"/>
  <c r="MX14" i="21"/>
  <c r="MW14" i="21"/>
  <c r="NC16" i="21"/>
  <c r="NB16" i="21"/>
  <c r="MZ16" i="21"/>
  <c r="MY16" i="21"/>
  <c r="MX16" i="21"/>
  <c r="MW16" i="21"/>
  <c r="NC13" i="21"/>
  <c r="NB13" i="21"/>
  <c r="MZ13" i="21"/>
  <c r="MY13" i="21"/>
  <c r="MX13" i="21"/>
  <c r="MW13" i="21"/>
  <c r="NC12" i="21"/>
  <c r="NB12" i="21"/>
  <c r="MZ12" i="21"/>
  <c r="MY12" i="21"/>
  <c r="MX12" i="21"/>
  <c r="MW12" i="21"/>
  <c r="NC10" i="21"/>
  <c r="NB10" i="21"/>
  <c r="MZ10" i="21"/>
  <c r="MY10" i="21"/>
  <c r="MX10" i="21"/>
  <c r="MW10" i="21"/>
  <c r="NC9" i="21"/>
  <c r="NB9" i="21"/>
  <c r="MZ9" i="21"/>
  <c r="MY9" i="21"/>
  <c r="MX9" i="21"/>
  <c r="MW9" i="21"/>
  <c r="NC6" i="21"/>
  <c r="NB6" i="21"/>
  <c r="MZ6" i="21"/>
  <c r="MY6" i="21"/>
  <c r="MX6" i="21"/>
  <c r="MW6" i="21"/>
  <c r="NC7" i="21"/>
  <c r="NB7" i="21"/>
  <c r="MZ7" i="21"/>
  <c r="MY7" i="21"/>
  <c r="MX7" i="21"/>
  <c r="MW7" i="21"/>
  <c r="NC5" i="21"/>
  <c r="NB5" i="21"/>
  <c r="MZ5" i="21"/>
  <c r="MY5" i="21"/>
  <c r="MX5" i="21"/>
  <c r="MW5" i="21"/>
  <c r="MA39" i="21"/>
  <c r="LZ39" i="21"/>
  <c r="LX39" i="21"/>
  <c r="LW39" i="21"/>
  <c r="LV39" i="21"/>
  <c r="LU39" i="21"/>
  <c r="MA38" i="21"/>
  <c r="LZ38" i="21"/>
  <c r="LX38" i="21"/>
  <c r="LW38" i="21"/>
  <c r="LV38" i="21"/>
  <c r="LU38" i="21"/>
  <c r="MA37" i="21"/>
  <c r="LZ37" i="21"/>
  <c r="LX37" i="21"/>
  <c r="LW37" i="21"/>
  <c r="LV37" i="21"/>
  <c r="LU37" i="21"/>
  <c r="MA36" i="21"/>
  <c r="LZ36" i="21"/>
  <c r="LX36" i="21"/>
  <c r="LW36" i="21"/>
  <c r="LV36" i="21"/>
  <c r="LU36" i="21"/>
  <c r="MA35" i="21"/>
  <c r="LZ35" i="21"/>
  <c r="LX35" i="21"/>
  <c r="LW35" i="21"/>
  <c r="LV35" i="21"/>
  <c r="LU35" i="21"/>
  <c r="MA33" i="21"/>
  <c r="LZ33" i="21"/>
  <c r="LX33" i="21"/>
  <c r="LW33" i="21"/>
  <c r="LV33" i="21"/>
  <c r="LU33" i="21"/>
  <c r="MA34" i="21"/>
  <c r="LZ34" i="21"/>
  <c r="LX34" i="21"/>
  <c r="LW34" i="21"/>
  <c r="LV34" i="21"/>
  <c r="LU34" i="21"/>
  <c r="MA30" i="21"/>
  <c r="LZ30" i="21"/>
  <c r="LX30" i="21"/>
  <c r="LW30" i="21"/>
  <c r="LV30" i="21"/>
  <c r="LU30" i="21"/>
  <c r="MA28" i="21"/>
  <c r="LZ28" i="21"/>
  <c r="LX28" i="21"/>
  <c r="LW28" i="21"/>
  <c r="LV28" i="21"/>
  <c r="LU28" i="21"/>
  <c r="MA27" i="21"/>
  <c r="LZ27" i="21"/>
  <c r="LX27" i="21"/>
  <c r="LW27" i="21"/>
  <c r="LV27" i="21"/>
  <c r="LU27" i="21"/>
  <c r="MA26" i="21"/>
  <c r="LZ26" i="21"/>
  <c r="LX26" i="21"/>
  <c r="LW26" i="21"/>
  <c r="LV26" i="21"/>
  <c r="LU26" i="21"/>
  <c r="MA25" i="21"/>
  <c r="LZ25" i="21"/>
  <c r="LX25" i="21"/>
  <c r="LW25" i="21"/>
  <c r="LV25" i="21"/>
  <c r="LU25" i="21"/>
  <c r="MA22" i="21"/>
  <c r="LZ22" i="21"/>
  <c r="LX22" i="21"/>
  <c r="LW22" i="21"/>
  <c r="LV22" i="21"/>
  <c r="LU22" i="21"/>
  <c r="MA21" i="21"/>
  <c r="LZ21" i="21"/>
  <c r="LX21" i="21"/>
  <c r="LW21" i="21"/>
  <c r="LV21" i="21"/>
  <c r="LU21" i="21"/>
  <c r="MA20" i="21"/>
  <c r="LZ20" i="21"/>
  <c r="LX20" i="21"/>
  <c r="LW20" i="21"/>
  <c r="LV20" i="21"/>
  <c r="LU20" i="21"/>
  <c r="MA18" i="21"/>
  <c r="LZ18" i="21"/>
  <c r="LX18" i="21"/>
  <c r="LW18" i="21"/>
  <c r="LV18" i="21"/>
  <c r="LU18" i="21"/>
  <c r="MA31" i="21"/>
  <c r="LZ31" i="21"/>
  <c r="LX31" i="21"/>
  <c r="LW31" i="21"/>
  <c r="LV31" i="21"/>
  <c r="LU31" i="21"/>
  <c r="MA15" i="21"/>
  <c r="LZ15" i="21"/>
  <c r="LX15" i="21"/>
  <c r="LW15" i="21"/>
  <c r="LV15" i="21"/>
  <c r="LU15" i="21"/>
  <c r="MA14" i="21"/>
  <c r="LZ14" i="21"/>
  <c r="LX14" i="21"/>
  <c r="LW14" i="21"/>
  <c r="LV14" i="21"/>
  <c r="LU14" i="21"/>
  <c r="MA16" i="21"/>
  <c r="LZ16" i="21"/>
  <c r="LX16" i="21"/>
  <c r="LW16" i="21"/>
  <c r="LV16" i="21"/>
  <c r="LU16" i="21"/>
  <c r="MA13" i="21"/>
  <c r="LZ13" i="21"/>
  <c r="LX13" i="21"/>
  <c r="LW13" i="21"/>
  <c r="LV13" i="21"/>
  <c r="LU13" i="21"/>
  <c r="MA12" i="21"/>
  <c r="LZ12" i="21"/>
  <c r="LX12" i="21"/>
  <c r="LW12" i="21"/>
  <c r="LV12" i="21"/>
  <c r="LU12" i="21"/>
  <c r="MA10" i="21"/>
  <c r="LZ10" i="21"/>
  <c r="LX10" i="21"/>
  <c r="LW10" i="21"/>
  <c r="LV10" i="21"/>
  <c r="LU10" i="21"/>
  <c r="MA9" i="21"/>
  <c r="LZ9" i="21"/>
  <c r="LX9" i="21"/>
  <c r="LW9" i="21"/>
  <c r="LV9" i="21"/>
  <c r="LU9" i="21"/>
  <c r="MA6" i="21"/>
  <c r="LZ6" i="21"/>
  <c r="LX6" i="21"/>
  <c r="LW6" i="21"/>
  <c r="LV6" i="21"/>
  <c r="LU6" i="21"/>
  <c r="MA7" i="21"/>
  <c r="LZ7" i="21"/>
  <c r="LX7" i="21"/>
  <c r="LW7" i="21"/>
  <c r="LV7" i="21"/>
  <c r="LU7" i="21"/>
  <c r="MA5" i="21"/>
  <c r="LZ5" i="21"/>
  <c r="LX5" i="21"/>
  <c r="LW5" i="21"/>
  <c r="LV5" i="21"/>
  <c r="LU5" i="21"/>
  <c r="KY39" i="21"/>
  <c r="KX39" i="21"/>
  <c r="KV39" i="21"/>
  <c r="KU39" i="21"/>
  <c r="KT39" i="21"/>
  <c r="KS39" i="21"/>
  <c r="KY38" i="21"/>
  <c r="KX38" i="21"/>
  <c r="KV38" i="21"/>
  <c r="KU38" i="21"/>
  <c r="KT38" i="21"/>
  <c r="KS38" i="21"/>
  <c r="KY37" i="21"/>
  <c r="KX37" i="21"/>
  <c r="KV37" i="21"/>
  <c r="KU37" i="21"/>
  <c r="KT37" i="21"/>
  <c r="KS37" i="21"/>
  <c r="KY36" i="21"/>
  <c r="KX36" i="21"/>
  <c r="KV36" i="21"/>
  <c r="KU36" i="21"/>
  <c r="KT36" i="21"/>
  <c r="KS36" i="21"/>
  <c r="KY35" i="21"/>
  <c r="KX35" i="21"/>
  <c r="KV35" i="21"/>
  <c r="KU35" i="21"/>
  <c r="KT35" i="21"/>
  <c r="KS35" i="21"/>
  <c r="KY33" i="21"/>
  <c r="KX33" i="21"/>
  <c r="KV33" i="21"/>
  <c r="KU33" i="21"/>
  <c r="KT33" i="21"/>
  <c r="KS33" i="21"/>
  <c r="KY34" i="21"/>
  <c r="KX34" i="21"/>
  <c r="KV34" i="21"/>
  <c r="KU34" i="21"/>
  <c r="KT34" i="21"/>
  <c r="KS34" i="21"/>
  <c r="KY30" i="21"/>
  <c r="KX30" i="21"/>
  <c r="KV30" i="21"/>
  <c r="KU30" i="21"/>
  <c r="KT30" i="21"/>
  <c r="KS30" i="21"/>
  <c r="KY28" i="21"/>
  <c r="KX28" i="21"/>
  <c r="KV28" i="21"/>
  <c r="KU28" i="21"/>
  <c r="KT28" i="21"/>
  <c r="KS28" i="21"/>
  <c r="KY27" i="21"/>
  <c r="KX27" i="21"/>
  <c r="KV27" i="21"/>
  <c r="KU27" i="21"/>
  <c r="KT27" i="21"/>
  <c r="KS27" i="21"/>
  <c r="KY26" i="21"/>
  <c r="KX26" i="21"/>
  <c r="KV26" i="21"/>
  <c r="KU26" i="21"/>
  <c r="KT26" i="21"/>
  <c r="KS26" i="21"/>
  <c r="KY25" i="21"/>
  <c r="KX25" i="21"/>
  <c r="KV25" i="21"/>
  <c r="KU25" i="21"/>
  <c r="KT25" i="21"/>
  <c r="KS25" i="21"/>
  <c r="KY22" i="21"/>
  <c r="KX22" i="21"/>
  <c r="KV22" i="21"/>
  <c r="KU22" i="21"/>
  <c r="KT22" i="21"/>
  <c r="KS22" i="21"/>
  <c r="KY21" i="21"/>
  <c r="KX21" i="21"/>
  <c r="KV21" i="21"/>
  <c r="KU21" i="21"/>
  <c r="KT21" i="21"/>
  <c r="KS21" i="21"/>
  <c r="KY20" i="21"/>
  <c r="KX20" i="21"/>
  <c r="KV20" i="21"/>
  <c r="KU20" i="21"/>
  <c r="KT20" i="21"/>
  <c r="KS20" i="21"/>
  <c r="KY18" i="21"/>
  <c r="KX18" i="21"/>
  <c r="KV18" i="21"/>
  <c r="KU18" i="21"/>
  <c r="KT18" i="21"/>
  <c r="KS18" i="21"/>
  <c r="KY31" i="21"/>
  <c r="KX31" i="21"/>
  <c r="KV31" i="21"/>
  <c r="KU31" i="21"/>
  <c r="KT31" i="21"/>
  <c r="KS31" i="21"/>
  <c r="KY15" i="21"/>
  <c r="KX15" i="21"/>
  <c r="KV15" i="21"/>
  <c r="KU15" i="21"/>
  <c r="KT15" i="21"/>
  <c r="KS15" i="21"/>
  <c r="KY14" i="21"/>
  <c r="KX14" i="21"/>
  <c r="KV14" i="21"/>
  <c r="KU14" i="21"/>
  <c r="KT14" i="21"/>
  <c r="KS14" i="21"/>
  <c r="KY16" i="21"/>
  <c r="KX16" i="21"/>
  <c r="KV16" i="21"/>
  <c r="KU16" i="21"/>
  <c r="KT16" i="21"/>
  <c r="KS16" i="21"/>
  <c r="KY13" i="21"/>
  <c r="KX13" i="21"/>
  <c r="KV13" i="21"/>
  <c r="KU13" i="21"/>
  <c r="KT13" i="21"/>
  <c r="KS13" i="21"/>
  <c r="KY12" i="21"/>
  <c r="KX12" i="21"/>
  <c r="KV12" i="21"/>
  <c r="KU12" i="21"/>
  <c r="KT12" i="21"/>
  <c r="KS12" i="21"/>
  <c r="KY10" i="21"/>
  <c r="KX10" i="21"/>
  <c r="KV10" i="21"/>
  <c r="KU10" i="21"/>
  <c r="KT10" i="21"/>
  <c r="KS10" i="21"/>
  <c r="KY9" i="21"/>
  <c r="KX9" i="21"/>
  <c r="KV9" i="21"/>
  <c r="KU9" i="21"/>
  <c r="KT9" i="21"/>
  <c r="KS9" i="21"/>
  <c r="KY6" i="21"/>
  <c r="KX6" i="21"/>
  <c r="KV6" i="21"/>
  <c r="KU6" i="21"/>
  <c r="KT6" i="21"/>
  <c r="KS6" i="21"/>
  <c r="KY7" i="21"/>
  <c r="KX7" i="21"/>
  <c r="KV7" i="21"/>
  <c r="KU7" i="21"/>
  <c r="KT7" i="21"/>
  <c r="KS7" i="21"/>
  <c r="KY5" i="21"/>
  <c r="KX5" i="21"/>
  <c r="KV5" i="21"/>
  <c r="KU5" i="21"/>
  <c r="KT5" i="21"/>
  <c r="KS5" i="21"/>
  <c r="JW39" i="21"/>
  <c r="JV39" i="21"/>
  <c r="JT39" i="21"/>
  <c r="JS39" i="21"/>
  <c r="JR39" i="21"/>
  <c r="JQ39" i="21"/>
  <c r="JW38" i="21"/>
  <c r="JV38" i="21"/>
  <c r="JT38" i="21"/>
  <c r="JS38" i="21"/>
  <c r="JR38" i="21"/>
  <c r="JQ38" i="21"/>
  <c r="JW37" i="21"/>
  <c r="JV37" i="21"/>
  <c r="JT37" i="21"/>
  <c r="JS37" i="21"/>
  <c r="JR37" i="21"/>
  <c r="JQ37" i="21"/>
  <c r="JW36" i="21"/>
  <c r="JV36" i="21"/>
  <c r="JT36" i="21"/>
  <c r="JS36" i="21"/>
  <c r="JR36" i="21"/>
  <c r="JQ36" i="21"/>
  <c r="JW35" i="21"/>
  <c r="JV35" i="21"/>
  <c r="JT35" i="21"/>
  <c r="JS35" i="21"/>
  <c r="JR35" i="21"/>
  <c r="JQ35" i="21"/>
  <c r="JW33" i="21"/>
  <c r="JV33" i="21"/>
  <c r="JT33" i="21"/>
  <c r="JS33" i="21"/>
  <c r="JR33" i="21"/>
  <c r="JQ33" i="21"/>
  <c r="JW34" i="21"/>
  <c r="JV34" i="21"/>
  <c r="JT34" i="21"/>
  <c r="JS34" i="21"/>
  <c r="JR34" i="21"/>
  <c r="JQ34" i="21"/>
  <c r="JW30" i="21"/>
  <c r="JV30" i="21"/>
  <c r="JT30" i="21"/>
  <c r="JS30" i="21"/>
  <c r="JR30" i="21"/>
  <c r="JQ30" i="21"/>
  <c r="JW28" i="21"/>
  <c r="JV28" i="21"/>
  <c r="JT28" i="21"/>
  <c r="JS28" i="21"/>
  <c r="JR28" i="21"/>
  <c r="JQ28" i="21"/>
  <c r="JW27" i="21"/>
  <c r="JV27" i="21"/>
  <c r="JT27" i="21"/>
  <c r="JS27" i="21"/>
  <c r="JR27" i="21"/>
  <c r="JQ27" i="21"/>
  <c r="JW26" i="21"/>
  <c r="JV26" i="21"/>
  <c r="JT26" i="21"/>
  <c r="JS26" i="21"/>
  <c r="JR26" i="21"/>
  <c r="JQ26" i="21"/>
  <c r="JW25" i="21"/>
  <c r="JV25" i="21"/>
  <c r="JT25" i="21"/>
  <c r="JS25" i="21"/>
  <c r="JR25" i="21"/>
  <c r="JQ25" i="21"/>
  <c r="JW22" i="21"/>
  <c r="JV22" i="21"/>
  <c r="JT22" i="21"/>
  <c r="JS22" i="21"/>
  <c r="JR22" i="21"/>
  <c r="JQ22" i="21"/>
  <c r="JW21" i="21"/>
  <c r="JV21" i="21"/>
  <c r="JT21" i="21"/>
  <c r="JS21" i="21"/>
  <c r="JR21" i="21"/>
  <c r="JQ21" i="21"/>
  <c r="JW20" i="21"/>
  <c r="JV20" i="21"/>
  <c r="JT20" i="21"/>
  <c r="JS20" i="21"/>
  <c r="JR20" i="21"/>
  <c r="JQ20" i="21"/>
  <c r="JW18" i="21"/>
  <c r="JV18" i="21"/>
  <c r="JT18" i="21"/>
  <c r="JS18" i="21"/>
  <c r="JR18" i="21"/>
  <c r="JQ18" i="21"/>
  <c r="JW31" i="21"/>
  <c r="JV31" i="21"/>
  <c r="JT31" i="21"/>
  <c r="JS31" i="21"/>
  <c r="JR31" i="21"/>
  <c r="JQ31" i="21"/>
  <c r="JW15" i="21"/>
  <c r="JV15" i="21"/>
  <c r="JT15" i="21"/>
  <c r="JS15" i="21"/>
  <c r="JR15" i="21"/>
  <c r="JQ15" i="21"/>
  <c r="JW14" i="21"/>
  <c r="JV14" i="21"/>
  <c r="JT14" i="21"/>
  <c r="JS14" i="21"/>
  <c r="JR14" i="21"/>
  <c r="JQ14" i="21"/>
  <c r="JW16" i="21"/>
  <c r="JV16" i="21"/>
  <c r="JT16" i="21"/>
  <c r="JS16" i="21"/>
  <c r="JR16" i="21"/>
  <c r="JQ16" i="21"/>
  <c r="JW13" i="21"/>
  <c r="JV13" i="21"/>
  <c r="JT13" i="21"/>
  <c r="JS13" i="21"/>
  <c r="JR13" i="21"/>
  <c r="JQ13" i="21"/>
  <c r="JW12" i="21"/>
  <c r="JV12" i="21"/>
  <c r="JT12" i="21"/>
  <c r="JS12" i="21"/>
  <c r="JR12" i="21"/>
  <c r="JQ12" i="21"/>
  <c r="JW10" i="21"/>
  <c r="JV10" i="21"/>
  <c r="JT10" i="21"/>
  <c r="JS10" i="21"/>
  <c r="JR10" i="21"/>
  <c r="JQ10" i="21"/>
  <c r="JW9" i="21"/>
  <c r="JV9" i="21"/>
  <c r="JT9" i="21"/>
  <c r="JS9" i="21"/>
  <c r="JR9" i="21"/>
  <c r="JQ9" i="21"/>
  <c r="JW6" i="21"/>
  <c r="JV6" i="21"/>
  <c r="JT6" i="21"/>
  <c r="JS6" i="21"/>
  <c r="JR6" i="21"/>
  <c r="JQ6" i="21"/>
  <c r="JW7" i="21"/>
  <c r="JV7" i="21"/>
  <c r="JT7" i="21"/>
  <c r="JS7" i="21"/>
  <c r="JR7" i="21"/>
  <c r="JQ7" i="21"/>
  <c r="JW5" i="21"/>
  <c r="JV5" i="21"/>
  <c r="JT5" i="21"/>
  <c r="JS5" i="21"/>
  <c r="JR5" i="21"/>
  <c r="JQ5" i="21"/>
  <c r="IU39" i="21"/>
  <c r="IT39" i="21"/>
  <c r="IR39" i="21"/>
  <c r="IQ39" i="21"/>
  <c r="IP39" i="21"/>
  <c r="IO39" i="21"/>
  <c r="IU38" i="21"/>
  <c r="IT38" i="21"/>
  <c r="IR38" i="21"/>
  <c r="IQ38" i="21"/>
  <c r="IP38" i="21"/>
  <c r="IO38" i="21"/>
  <c r="IU37" i="21"/>
  <c r="IT37" i="21"/>
  <c r="IR37" i="21"/>
  <c r="IQ37" i="21"/>
  <c r="IP37" i="21"/>
  <c r="IO37" i="21"/>
  <c r="IU36" i="21"/>
  <c r="IT36" i="21"/>
  <c r="IR36" i="21"/>
  <c r="IQ36" i="21"/>
  <c r="IP36" i="21"/>
  <c r="IO36" i="21"/>
  <c r="IU35" i="21"/>
  <c r="IT35" i="21"/>
  <c r="IR35" i="21"/>
  <c r="IQ35" i="21"/>
  <c r="IP35" i="21"/>
  <c r="IO35" i="21"/>
  <c r="IU33" i="21"/>
  <c r="IT33" i="21"/>
  <c r="IR33" i="21"/>
  <c r="IQ33" i="21"/>
  <c r="IP33" i="21"/>
  <c r="IO33" i="21"/>
  <c r="IU34" i="21"/>
  <c r="IT34" i="21"/>
  <c r="IR34" i="21"/>
  <c r="IQ34" i="21"/>
  <c r="IP34" i="21"/>
  <c r="IO34" i="21"/>
  <c r="IU30" i="21"/>
  <c r="IT30" i="21"/>
  <c r="IR30" i="21"/>
  <c r="IQ30" i="21"/>
  <c r="IP30" i="21"/>
  <c r="IO30" i="21"/>
  <c r="IU28" i="21"/>
  <c r="IT28" i="21"/>
  <c r="IR28" i="21"/>
  <c r="IQ28" i="21"/>
  <c r="IP28" i="21"/>
  <c r="IO28" i="21"/>
  <c r="IU27" i="21"/>
  <c r="IT27" i="21"/>
  <c r="IR27" i="21"/>
  <c r="IQ27" i="21"/>
  <c r="IP27" i="21"/>
  <c r="IO27" i="21"/>
  <c r="IU26" i="21"/>
  <c r="IT26" i="21"/>
  <c r="IR26" i="21"/>
  <c r="IQ26" i="21"/>
  <c r="IP26" i="21"/>
  <c r="IO26" i="21"/>
  <c r="IU25" i="21"/>
  <c r="IT25" i="21"/>
  <c r="IR25" i="21"/>
  <c r="IQ25" i="21"/>
  <c r="IP25" i="21"/>
  <c r="IO25" i="21"/>
  <c r="IU22" i="21"/>
  <c r="IT22" i="21"/>
  <c r="IR22" i="21"/>
  <c r="IQ22" i="21"/>
  <c r="IP22" i="21"/>
  <c r="IO22" i="21"/>
  <c r="IU21" i="21"/>
  <c r="IT21" i="21"/>
  <c r="IR21" i="21"/>
  <c r="IQ21" i="21"/>
  <c r="IP21" i="21"/>
  <c r="IO21" i="21"/>
  <c r="IU20" i="21"/>
  <c r="IT20" i="21"/>
  <c r="IR20" i="21"/>
  <c r="IQ20" i="21"/>
  <c r="IP20" i="21"/>
  <c r="IO20" i="21"/>
  <c r="IU18" i="21"/>
  <c r="IT18" i="21"/>
  <c r="IR18" i="21"/>
  <c r="IQ18" i="21"/>
  <c r="IP18" i="21"/>
  <c r="IO18" i="21"/>
  <c r="IU31" i="21"/>
  <c r="IT31" i="21"/>
  <c r="IR31" i="21"/>
  <c r="IQ31" i="21"/>
  <c r="IP31" i="21"/>
  <c r="IO31" i="21"/>
  <c r="IU15" i="21"/>
  <c r="IT15" i="21"/>
  <c r="IR15" i="21"/>
  <c r="IQ15" i="21"/>
  <c r="IP15" i="21"/>
  <c r="IO15" i="21"/>
  <c r="IU14" i="21"/>
  <c r="IT14" i="21"/>
  <c r="IR14" i="21"/>
  <c r="IQ14" i="21"/>
  <c r="IP14" i="21"/>
  <c r="IO14" i="21"/>
  <c r="IU16" i="21"/>
  <c r="IT16" i="21"/>
  <c r="IR16" i="21"/>
  <c r="IQ16" i="21"/>
  <c r="IP16" i="21"/>
  <c r="IO16" i="21"/>
  <c r="IU13" i="21"/>
  <c r="IT13" i="21"/>
  <c r="IR13" i="21"/>
  <c r="IQ13" i="21"/>
  <c r="IP13" i="21"/>
  <c r="IO13" i="21"/>
  <c r="IU12" i="21"/>
  <c r="IT12" i="21"/>
  <c r="IR12" i="21"/>
  <c r="IQ12" i="21"/>
  <c r="IP12" i="21"/>
  <c r="IO12" i="21"/>
  <c r="IU10" i="21"/>
  <c r="IT10" i="21"/>
  <c r="IR10" i="21"/>
  <c r="IQ10" i="21"/>
  <c r="IP10" i="21"/>
  <c r="IO10" i="21"/>
  <c r="IU9" i="21"/>
  <c r="IT9" i="21"/>
  <c r="IR9" i="21"/>
  <c r="IQ9" i="21"/>
  <c r="IP9" i="21"/>
  <c r="IO9" i="21"/>
  <c r="IU6" i="21"/>
  <c r="IT6" i="21"/>
  <c r="IR6" i="21"/>
  <c r="IQ6" i="21"/>
  <c r="IP6" i="21"/>
  <c r="IO6" i="21"/>
  <c r="IU7" i="21"/>
  <c r="IT7" i="21"/>
  <c r="IR7" i="21"/>
  <c r="IQ7" i="21"/>
  <c r="IP7" i="21"/>
  <c r="IO7" i="21"/>
  <c r="IU5" i="21"/>
  <c r="IT5" i="21"/>
  <c r="IR5" i="21"/>
  <c r="IQ5" i="21"/>
  <c r="IP5" i="21"/>
  <c r="IO5" i="21"/>
  <c r="HS39" i="21"/>
  <c r="HR39" i="21"/>
  <c r="HP39" i="21"/>
  <c r="HO39" i="21"/>
  <c r="HN39" i="21"/>
  <c r="HM39" i="21"/>
  <c r="HS38" i="21"/>
  <c r="HR38" i="21"/>
  <c r="HP38" i="21"/>
  <c r="HO38" i="21"/>
  <c r="HN38" i="21"/>
  <c r="HM38" i="21"/>
  <c r="HS37" i="21"/>
  <c r="HR37" i="21"/>
  <c r="HP37" i="21"/>
  <c r="HO37" i="21"/>
  <c r="HN37" i="21"/>
  <c r="HM37" i="21"/>
  <c r="HS36" i="21"/>
  <c r="HR36" i="21"/>
  <c r="HP36" i="21"/>
  <c r="HO36" i="21"/>
  <c r="HN36" i="21"/>
  <c r="HM36" i="21"/>
  <c r="HS35" i="21"/>
  <c r="HR35" i="21"/>
  <c r="HP35" i="21"/>
  <c r="HO35" i="21"/>
  <c r="HN35" i="21"/>
  <c r="HM35" i="21"/>
  <c r="HS33" i="21"/>
  <c r="HR33" i="21"/>
  <c r="HP33" i="21"/>
  <c r="HO33" i="21"/>
  <c r="HN33" i="21"/>
  <c r="HM33" i="21"/>
  <c r="HS34" i="21"/>
  <c r="HR34" i="21"/>
  <c r="HP34" i="21"/>
  <c r="HO34" i="21"/>
  <c r="HN34" i="21"/>
  <c r="HM34" i="21"/>
  <c r="HS30" i="21"/>
  <c r="HR30" i="21"/>
  <c r="HP30" i="21"/>
  <c r="HO30" i="21"/>
  <c r="HN30" i="21"/>
  <c r="HM30" i="21"/>
  <c r="HS28" i="21"/>
  <c r="HR28" i="21"/>
  <c r="HP28" i="21"/>
  <c r="HO28" i="21"/>
  <c r="HN28" i="21"/>
  <c r="HM28" i="21"/>
  <c r="HS27" i="21"/>
  <c r="HR27" i="21"/>
  <c r="HP27" i="21"/>
  <c r="HO27" i="21"/>
  <c r="HN27" i="21"/>
  <c r="HM27" i="21"/>
  <c r="HS26" i="21"/>
  <c r="HR26" i="21"/>
  <c r="HP26" i="21"/>
  <c r="HO26" i="21"/>
  <c r="HN26" i="21"/>
  <c r="HM26" i="21"/>
  <c r="HS25" i="21"/>
  <c r="HR25" i="21"/>
  <c r="HP25" i="21"/>
  <c r="HO25" i="21"/>
  <c r="HN25" i="21"/>
  <c r="HM25" i="21"/>
  <c r="HS22" i="21"/>
  <c r="HR22" i="21"/>
  <c r="HP22" i="21"/>
  <c r="HO22" i="21"/>
  <c r="HN22" i="21"/>
  <c r="HM22" i="21"/>
  <c r="HS21" i="21"/>
  <c r="HR21" i="21"/>
  <c r="HP21" i="21"/>
  <c r="HO21" i="21"/>
  <c r="HN21" i="21"/>
  <c r="HM21" i="21"/>
  <c r="HS20" i="21"/>
  <c r="HR20" i="21"/>
  <c r="HP20" i="21"/>
  <c r="HO20" i="21"/>
  <c r="HN20" i="21"/>
  <c r="HM20" i="21"/>
  <c r="HS18" i="21"/>
  <c r="HR18" i="21"/>
  <c r="HP18" i="21"/>
  <c r="HO18" i="21"/>
  <c r="HN18" i="21"/>
  <c r="HM18" i="21"/>
  <c r="HS31" i="21"/>
  <c r="HR31" i="21"/>
  <c r="HP31" i="21"/>
  <c r="HO31" i="21"/>
  <c r="HN31" i="21"/>
  <c r="HM31" i="21"/>
  <c r="HS15" i="21"/>
  <c r="HR15" i="21"/>
  <c r="HP15" i="21"/>
  <c r="HO15" i="21"/>
  <c r="HN15" i="21"/>
  <c r="HM15" i="21"/>
  <c r="HS14" i="21"/>
  <c r="HR14" i="21"/>
  <c r="HP14" i="21"/>
  <c r="HO14" i="21"/>
  <c r="HN14" i="21"/>
  <c r="HM14" i="21"/>
  <c r="HS16" i="21"/>
  <c r="HR16" i="21"/>
  <c r="HP16" i="21"/>
  <c r="HO16" i="21"/>
  <c r="HN16" i="21"/>
  <c r="HM16" i="21"/>
  <c r="HS13" i="21"/>
  <c r="HR13" i="21"/>
  <c r="HP13" i="21"/>
  <c r="HO13" i="21"/>
  <c r="HN13" i="21"/>
  <c r="HM13" i="21"/>
  <c r="HS12" i="21"/>
  <c r="HR12" i="21"/>
  <c r="HP12" i="21"/>
  <c r="HO12" i="21"/>
  <c r="HN12" i="21"/>
  <c r="HM12" i="21"/>
  <c r="HS10" i="21"/>
  <c r="HR10" i="21"/>
  <c r="HP10" i="21"/>
  <c r="HO10" i="21"/>
  <c r="HN10" i="21"/>
  <c r="HM10" i="21"/>
  <c r="HS9" i="21"/>
  <c r="HR9" i="21"/>
  <c r="HP9" i="21"/>
  <c r="HO9" i="21"/>
  <c r="HN9" i="21"/>
  <c r="HM9" i="21"/>
  <c r="HS6" i="21"/>
  <c r="HR6" i="21"/>
  <c r="HP6" i="21"/>
  <c r="HO6" i="21"/>
  <c r="HN6" i="21"/>
  <c r="HM6" i="21"/>
  <c r="HS7" i="21"/>
  <c r="HR7" i="21"/>
  <c r="HP7" i="21"/>
  <c r="HO7" i="21"/>
  <c r="HN7" i="21"/>
  <c r="HM7" i="21"/>
  <c r="HS5" i="21"/>
  <c r="HR5" i="21"/>
  <c r="HP5" i="21"/>
  <c r="HO5" i="21"/>
  <c r="HN5" i="21"/>
  <c r="HM5" i="21"/>
  <c r="GQ39" i="21"/>
  <c r="GP39" i="21"/>
  <c r="GN39" i="21"/>
  <c r="GM39" i="21"/>
  <c r="GL39" i="21"/>
  <c r="GK39" i="21"/>
  <c r="GQ38" i="21"/>
  <c r="GP38" i="21"/>
  <c r="GN38" i="21"/>
  <c r="GM38" i="21"/>
  <c r="GL38" i="21"/>
  <c r="GK38" i="21"/>
  <c r="GQ37" i="21"/>
  <c r="GP37" i="21"/>
  <c r="GN37" i="21"/>
  <c r="GM37" i="21"/>
  <c r="GL37" i="21"/>
  <c r="GK37" i="21"/>
  <c r="GQ36" i="21"/>
  <c r="GP36" i="21"/>
  <c r="GN36" i="21"/>
  <c r="GM36" i="21"/>
  <c r="GL36" i="21"/>
  <c r="GK36" i="21"/>
  <c r="GQ35" i="21"/>
  <c r="GP35" i="21"/>
  <c r="GN35" i="21"/>
  <c r="GM35" i="21"/>
  <c r="GL35" i="21"/>
  <c r="GK35" i="21"/>
  <c r="GQ33" i="21"/>
  <c r="GP33" i="21"/>
  <c r="GN33" i="21"/>
  <c r="GM33" i="21"/>
  <c r="GL33" i="21"/>
  <c r="GK33" i="21"/>
  <c r="GQ34" i="21"/>
  <c r="GP34" i="21"/>
  <c r="GN34" i="21"/>
  <c r="GM34" i="21"/>
  <c r="GL34" i="21"/>
  <c r="GK34" i="21"/>
  <c r="GQ30" i="21"/>
  <c r="GP30" i="21"/>
  <c r="GN30" i="21"/>
  <c r="GM30" i="21"/>
  <c r="GL30" i="21"/>
  <c r="GK30" i="21"/>
  <c r="GQ28" i="21"/>
  <c r="GP28" i="21"/>
  <c r="GN28" i="21"/>
  <c r="GM28" i="21"/>
  <c r="GL28" i="21"/>
  <c r="GK28" i="21"/>
  <c r="GQ27" i="21"/>
  <c r="GP27" i="21"/>
  <c r="GN27" i="21"/>
  <c r="GM27" i="21"/>
  <c r="GL27" i="21"/>
  <c r="GK27" i="21"/>
  <c r="GQ26" i="21"/>
  <c r="GP26" i="21"/>
  <c r="GN26" i="21"/>
  <c r="GM26" i="21"/>
  <c r="GL26" i="21"/>
  <c r="GK26" i="21"/>
  <c r="GQ25" i="21"/>
  <c r="GP25" i="21"/>
  <c r="GN25" i="21"/>
  <c r="GM25" i="21"/>
  <c r="GL25" i="21"/>
  <c r="GK25" i="21"/>
  <c r="GQ22" i="21"/>
  <c r="GP22" i="21"/>
  <c r="GN22" i="21"/>
  <c r="GM22" i="21"/>
  <c r="GL22" i="21"/>
  <c r="GK22" i="21"/>
  <c r="GQ21" i="21"/>
  <c r="GP21" i="21"/>
  <c r="GN21" i="21"/>
  <c r="GM21" i="21"/>
  <c r="GL21" i="21"/>
  <c r="GK21" i="21"/>
  <c r="GQ20" i="21"/>
  <c r="GP20" i="21"/>
  <c r="GN20" i="21"/>
  <c r="GM20" i="21"/>
  <c r="GL20" i="21"/>
  <c r="GK20" i="21"/>
  <c r="GQ18" i="21"/>
  <c r="GP18" i="21"/>
  <c r="GN18" i="21"/>
  <c r="GM18" i="21"/>
  <c r="GL18" i="21"/>
  <c r="GK18" i="21"/>
  <c r="GQ31" i="21"/>
  <c r="GP31" i="21"/>
  <c r="GN31" i="21"/>
  <c r="GM31" i="21"/>
  <c r="GL31" i="21"/>
  <c r="GK31" i="21"/>
  <c r="GQ15" i="21"/>
  <c r="GP15" i="21"/>
  <c r="GN15" i="21"/>
  <c r="GM15" i="21"/>
  <c r="GL15" i="21"/>
  <c r="GK15" i="21"/>
  <c r="GQ14" i="21"/>
  <c r="GP14" i="21"/>
  <c r="GN14" i="21"/>
  <c r="GM14" i="21"/>
  <c r="GL14" i="21"/>
  <c r="GK14" i="21"/>
  <c r="GQ16" i="21"/>
  <c r="GP16" i="21"/>
  <c r="GN16" i="21"/>
  <c r="GM16" i="21"/>
  <c r="GL16" i="21"/>
  <c r="GK16" i="21"/>
  <c r="GQ13" i="21"/>
  <c r="GP13" i="21"/>
  <c r="GN13" i="21"/>
  <c r="GM13" i="21"/>
  <c r="GL13" i="21"/>
  <c r="GK13" i="21"/>
  <c r="GQ12" i="21"/>
  <c r="GP12" i="21"/>
  <c r="GN12" i="21"/>
  <c r="GM12" i="21"/>
  <c r="GL12" i="21"/>
  <c r="GK12" i="21"/>
  <c r="GQ10" i="21"/>
  <c r="GP10" i="21"/>
  <c r="GN10" i="21"/>
  <c r="GM10" i="21"/>
  <c r="GL10" i="21"/>
  <c r="GK10" i="21"/>
  <c r="GQ9" i="21"/>
  <c r="GP9" i="21"/>
  <c r="GN9" i="21"/>
  <c r="GM9" i="21"/>
  <c r="GL9" i="21"/>
  <c r="GK9" i="21"/>
  <c r="GQ6" i="21"/>
  <c r="GP6" i="21"/>
  <c r="GN6" i="21"/>
  <c r="GM6" i="21"/>
  <c r="GL6" i="21"/>
  <c r="GK6" i="21"/>
  <c r="GQ7" i="21"/>
  <c r="GP7" i="21"/>
  <c r="GN7" i="21"/>
  <c r="GM7" i="21"/>
  <c r="GL7" i="21"/>
  <c r="GK7" i="21"/>
  <c r="GQ5" i="21"/>
  <c r="GP5" i="21"/>
  <c r="GN5" i="21"/>
  <c r="GM5" i="21"/>
  <c r="GL5" i="21"/>
  <c r="GK5" i="21"/>
  <c r="FO39" i="21"/>
  <c r="FN39" i="21"/>
  <c r="FL39" i="21"/>
  <c r="FK39" i="21"/>
  <c r="FJ39" i="21"/>
  <c r="FI39" i="21"/>
  <c r="FO38" i="21"/>
  <c r="FN38" i="21"/>
  <c r="FL38" i="21"/>
  <c r="FK38" i="21"/>
  <c r="FJ38" i="21"/>
  <c r="FI38" i="21"/>
  <c r="FO37" i="21"/>
  <c r="FN37" i="21"/>
  <c r="FL37" i="21"/>
  <c r="FK37" i="21"/>
  <c r="FJ37" i="21"/>
  <c r="FI37" i="21"/>
  <c r="FO36" i="21"/>
  <c r="FN36" i="21"/>
  <c r="FL36" i="21"/>
  <c r="FK36" i="21"/>
  <c r="FJ36" i="21"/>
  <c r="FI36" i="21"/>
  <c r="FO35" i="21"/>
  <c r="FN35" i="21"/>
  <c r="FL35" i="21"/>
  <c r="FK35" i="21"/>
  <c r="FJ35" i="21"/>
  <c r="FI35" i="21"/>
  <c r="FO33" i="21"/>
  <c r="FN33" i="21"/>
  <c r="FL33" i="21"/>
  <c r="FK33" i="21"/>
  <c r="FJ33" i="21"/>
  <c r="FI33" i="21"/>
  <c r="FO34" i="21"/>
  <c r="FN34" i="21"/>
  <c r="FL34" i="21"/>
  <c r="FK34" i="21"/>
  <c r="FJ34" i="21"/>
  <c r="FI34" i="21"/>
  <c r="FO30" i="21"/>
  <c r="FN30" i="21"/>
  <c r="FL30" i="21"/>
  <c r="FK30" i="21"/>
  <c r="FJ30" i="21"/>
  <c r="FI30" i="21"/>
  <c r="FO28" i="21"/>
  <c r="FN28" i="21"/>
  <c r="FL28" i="21"/>
  <c r="FK28" i="21"/>
  <c r="FJ28" i="21"/>
  <c r="FI28" i="21"/>
  <c r="FO27" i="21"/>
  <c r="FN27" i="21"/>
  <c r="FL27" i="21"/>
  <c r="FK27" i="21"/>
  <c r="FJ27" i="21"/>
  <c r="FI27" i="21"/>
  <c r="FO26" i="21"/>
  <c r="FN26" i="21"/>
  <c r="FL26" i="21"/>
  <c r="FK26" i="21"/>
  <c r="FJ26" i="21"/>
  <c r="FI26" i="21"/>
  <c r="FO25" i="21"/>
  <c r="FN25" i="21"/>
  <c r="FL25" i="21"/>
  <c r="FK25" i="21"/>
  <c r="FJ25" i="21"/>
  <c r="FI25" i="21"/>
  <c r="FO22" i="21"/>
  <c r="FN22" i="21"/>
  <c r="FL22" i="21"/>
  <c r="FK22" i="21"/>
  <c r="FJ22" i="21"/>
  <c r="FI22" i="21"/>
  <c r="FO21" i="21"/>
  <c r="FN21" i="21"/>
  <c r="FL21" i="21"/>
  <c r="FK21" i="21"/>
  <c r="FJ21" i="21"/>
  <c r="FI21" i="21"/>
  <c r="FO20" i="21"/>
  <c r="FN20" i="21"/>
  <c r="FL20" i="21"/>
  <c r="FK20" i="21"/>
  <c r="FJ20" i="21"/>
  <c r="FI20" i="21"/>
  <c r="FO18" i="21"/>
  <c r="FN18" i="21"/>
  <c r="FL18" i="21"/>
  <c r="FK18" i="21"/>
  <c r="FJ18" i="21"/>
  <c r="FI18" i="21"/>
  <c r="FO31" i="21"/>
  <c r="FN31" i="21"/>
  <c r="FL31" i="21"/>
  <c r="FK31" i="21"/>
  <c r="FJ31" i="21"/>
  <c r="FI31" i="21"/>
  <c r="FO15" i="21"/>
  <c r="FN15" i="21"/>
  <c r="FL15" i="21"/>
  <c r="FK15" i="21"/>
  <c r="FJ15" i="21"/>
  <c r="FI15" i="21"/>
  <c r="FO14" i="21"/>
  <c r="FN14" i="21"/>
  <c r="FL14" i="21"/>
  <c r="FK14" i="21"/>
  <c r="FJ14" i="21"/>
  <c r="FI14" i="21"/>
  <c r="FO16" i="21"/>
  <c r="FN16" i="21"/>
  <c r="FL16" i="21"/>
  <c r="FK16" i="21"/>
  <c r="FJ16" i="21"/>
  <c r="FI16" i="21"/>
  <c r="FO13" i="21"/>
  <c r="FN13" i="21"/>
  <c r="FL13" i="21"/>
  <c r="FK13" i="21"/>
  <c r="FJ13" i="21"/>
  <c r="FI13" i="21"/>
  <c r="FO12" i="21"/>
  <c r="FN12" i="21"/>
  <c r="FL12" i="21"/>
  <c r="FK12" i="21"/>
  <c r="FJ12" i="21"/>
  <c r="FI12" i="21"/>
  <c r="FO10" i="21"/>
  <c r="FN10" i="21"/>
  <c r="FL10" i="21"/>
  <c r="FK10" i="21"/>
  <c r="FJ10" i="21"/>
  <c r="FI10" i="21"/>
  <c r="FO9" i="21"/>
  <c r="FN9" i="21"/>
  <c r="FL9" i="21"/>
  <c r="FK9" i="21"/>
  <c r="FJ9" i="21"/>
  <c r="FI9" i="21"/>
  <c r="FO6" i="21"/>
  <c r="FN6" i="21"/>
  <c r="FL6" i="21"/>
  <c r="FK6" i="21"/>
  <c r="FJ6" i="21"/>
  <c r="FI6" i="21"/>
  <c r="FO7" i="21"/>
  <c r="FN7" i="21"/>
  <c r="FL7" i="21"/>
  <c r="FK7" i="21"/>
  <c r="FJ7" i="21"/>
  <c r="FI7" i="21"/>
  <c r="FO5" i="21"/>
  <c r="FN5" i="21"/>
  <c r="FL5" i="21"/>
  <c r="FK5" i="21"/>
  <c r="FJ5" i="21"/>
  <c r="FI5" i="21"/>
  <c r="EM39" i="21"/>
  <c r="EL39" i="21"/>
  <c r="EJ39" i="21"/>
  <c r="EI39" i="21"/>
  <c r="EH39" i="21"/>
  <c r="EG39" i="21"/>
  <c r="EM38" i="21"/>
  <c r="EL38" i="21"/>
  <c r="EJ38" i="21"/>
  <c r="EI38" i="21"/>
  <c r="EH38" i="21"/>
  <c r="EG38" i="21"/>
  <c r="EM37" i="21"/>
  <c r="EL37" i="21"/>
  <c r="EJ37" i="21"/>
  <c r="EI37" i="21"/>
  <c r="EH37" i="21"/>
  <c r="EG37" i="21"/>
  <c r="EM36" i="21"/>
  <c r="EL36" i="21"/>
  <c r="EJ36" i="21"/>
  <c r="EI36" i="21"/>
  <c r="EH36" i="21"/>
  <c r="EG36" i="21"/>
  <c r="EM35" i="21"/>
  <c r="EL35" i="21"/>
  <c r="EJ35" i="21"/>
  <c r="EI35" i="21"/>
  <c r="EH35" i="21"/>
  <c r="EG35" i="21"/>
  <c r="EM33" i="21"/>
  <c r="EL33" i="21"/>
  <c r="EJ33" i="21"/>
  <c r="EI33" i="21"/>
  <c r="EH33" i="21"/>
  <c r="EG33" i="21"/>
  <c r="EM34" i="21"/>
  <c r="EL34" i="21"/>
  <c r="EJ34" i="21"/>
  <c r="EI34" i="21"/>
  <c r="EH34" i="21"/>
  <c r="EG34" i="21"/>
  <c r="EM30" i="21"/>
  <c r="EL30" i="21"/>
  <c r="EJ30" i="21"/>
  <c r="EI30" i="21"/>
  <c r="EH30" i="21"/>
  <c r="EG30" i="21"/>
  <c r="EM28" i="21"/>
  <c r="EL28" i="21"/>
  <c r="EJ28" i="21"/>
  <c r="EI28" i="21"/>
  <c r="EH28" i="21"/>
  <c r="EG28" i="21"/>
  <c r="EM27" i="21"/>
  <c r="EL27" i="21"/>
  <c r="EJ27" i="21"/>
  <c r="EI27" i="21"/>
  <c r="EH27" i="21"/>
  <c r="EG27" i="21"/>
  <c r="EM26" i="21"/>
  <c r="EL26" i="21"/>
  <c r="EJ26" i="21"/>
  <c r="EI26" i="21"/>
  <c r="EH26" i="21"/>
  <c r="EG26" i="21"/>
  <c r="EM25" i="21"/>
  <c r="EL25" i="21"/>
  <c r="EJ25" i="21"/>
  <c r="EI25" i="21"/>
  <c r="EH25" i="21"/>
  <c r="EG25" i="21"/>
  <c r="EM22" i="21"/>
  <c r="EL22" i="21"/>
  <c r="EJ22" i="21"/>
  <c r="EI22" i="21"/>
  <c r="EH22" i="21"/>
  <c r="EG22" i="21"/>
  <c r="EM21" i="21"/>
  <c r="EL21" i="21"/>
  <c r="EJ21" i="21"/>
  <c r="EI21" i="21"/>
  <c r="EH21" i="21"/>
  <c r="EG21" i="21"/>
  <c r="EM20" i="21"/>
  <c r="EL20" i="21"/>
  <c r="EJ20" i="21"/>
  <c r="EI20" i="21"/>
  <c r="EH20" i="21"/>
  <c r="EG20" i="21"/>
  <c r="EM18" i="21"/>
  <c r="EL18" i="21"/>
  <c r="EJ18" i="21"/>
  <c r="EI18" i="21"/>
  <c r="EH18" i="21"/>
  <c r="EG18" i="21"/>
  <c r="EM31" i="21"/>
  <c r="EL31" i="21"/>
  <c r="EJ31" i="21"/>
  <c r="EI31" i="21"/>
  <c r="EH31" i="21"/>
  <c r="EG31" i="21"/>
  <c r="EM15" i="21"/>
  <c r="EL15" i="21"/>
  <c r="EJ15" i="21"/>
  <c r="EI15" i="21"/>
  <c r="EH15" i="21"/>
  <c r="EG15" i="21"/>
  <c r="EM14" i="21"/>
  <c r="EL14" i="21"/>
  <c r="EJ14" i="21"/>
  <c r="EI14" i="21"/>
  <c r="EH14" i="21"/>
  <c r="EG14" i="21"/>
  <c r="EM16" i="21"/>
  <c r="EL16" i="21"/>
  <c r="EJ16" i="21"/>
  <c r="EI16" i="21"/>
  <c r="EH16" i="21"/>
  <c r="EG16" i="21"/>
  <c r="EM13" i="21"/>
  <c r="EL13" i="21"/>
  <c r="EJ13" i="21"/>
  <c r="EI13" i="21"/>
  <c r="EH13" i="21"/>
  <c r="EG13" i="21"/>
  <c r="EM12" i="21"/>
  <c r="EL12" i="21"/>
  <c r="EJ12" i="21"/>
  <c r="EI12" i="21"/>
  <c r="EH12" i="21"/>
  <c r="EG12" i="21"/>
  <c r="EM10" i="21"/>
  <c r="EL10" i="21"/>
  <c r="EJ10" i="21"/>
  <c r="EI10" i="21"/>
  <c r="EH10" i="21"/>
  <c r="EG10" i="21"/>
  <c r="EM9" i="21"/>
  <c r="EL9" i="21"/>
  <c r="EJ9" i="21"/>
  <c r="EI9" i="21"/>
  <c r="EH9" i="21"/>
  <c r="EG9" i="21"/>
  <c r="EM6" i="21"/>
  <c r="EL6" i="21"/>
  <c r="EJ6" i="21"/>
  <c r="EI6" i="21"/>
  <c r="EH6" i="21"/>
  <c r="EG6" i="21"/>
  <c r="EM7" i="21"/>
  <c r="EL7" i="21"/>
  <c r="EJ7" i="21"/>
  <c r="EI7" i="21"/>
  <c r="EH7" i="21"/>
  <c r="EG7" i="21"/>
  <c r="EM5" i="21"/>
  <c r="EL5" i="21"/>
  <c r="EJ5" i="21"/>
  <c r="EI5" i="21"/>
  <c r="EH5" i="21"/>
  <c r="EG5" i="21"/>
  <c r="DK39" i="21"/>
  <c r="DJ39" i="21"/>
  <c r="DH39" i="21"/>
  <c r="DG39" i="21"/>
  <c r="DF39" i="21"/>
  <c r="DE39" i="21"/>
  <c r="DK38" i="21"/>
  <c r="DJ38" i="21"/>
  <c r="DH38" i="21"/>
  <c r="DG38" i="21"/>
  <c r="DF38" i="21"/>
  <c r="DE38" i="21"/>
  <c r="DK37" i="21"/>
  <c r="DJ37" i="21"/>
  <c r="DH37" i="21"/>
  <c r="DG37" i="21"/>
  <c r="DF37" i="21"/>
  <c r="DE37" i="21"/>
  <c r="DK36" i="21"/>
  <c r="DJ36" i="21"/>
  <c r="DH36" i="21"/>
  <c r="DG36" i="21"/>
  <c r="DF36" i="21"/>
  <c r="DE36" i="21"/>
  <c r="DK35" i="21"/>
  <c r="DJ35" i="21"/>
  <c r="DH35" i="21"/>
  <c r="DG35" i="21"/>
  <c r="DF35" i="21"/>
  <c r="DE35" i="21"/>
  <c r="DK33" i="21"/>
  <c r="DJ33" i="21"/>
  <c r="DH33" i="21"/>
  <c r="DG33" i="21"/>
  <c r="DF33" i="21"/>
  <c r="DE33" i="21"/>
  <c r="DK34" i="21"/>
  <c r="DJ34" i="21"/>
  <c r="DH34" i="21"/>
  <c r="DG34" i="21"/>
  <c r="DF34" i="21"/>
  <c r="DE34" i="21"/>
  <c r="DK30" i="21"/>
  <c r="DJ30" i="21"/>
  <c r="DH30" i="21"/>
  <c r="DG30" i="21"/>
  <c r="DF30" i="21"/>
  <c r="DE30" i="21"/>
  <c r="DK28" i="21"/>
  <c r="DJ28" i="21"/>
  <c r="DH28" i="21"/>
  <c r="DG28" i="21"/>
  <c r="DF28" i="21"/>
  <c r="DE28" i="21"/>
  <c r="DK27" i="21"/>
  <c r="DJ27" i="21"/>
  <c r="DH27" i="21"/>
  <c r="DG27" i="21"/>
  <c r="DF27" i="21"/>
  <c r="DE27" i="21"/>
  <c r="DK26" i="21"/>
  <c r="DJ26" i="21"/>
  <c r="DH26" i="21"/>
  <c r="DG26" i="21"/>
  <c r="DF26" i="21"/>
  <c r="DE26" i="21"/>
  <c r="DK25" i="21"/>
  <c r="DJ25" i="21"/>
  <c r="DH25" i="21"/>
  <c r="DG25" i="21"/>
  <c r="DF25" i="21"/>
  <c r="DE25" i="21"/>
  <c r="DK22" i="21"/>
  <c r="DJ22" i="21"/>
  <c r="DH22" i="21"/>
  <c r="DG22" i="21"/>
  <c r="DF22" i="21"/>
  <c r="DE22" i="21"/>
  <c r="DK21" i="21"/>
  <c r="DJ21" i="21"/>
  <c r="DH21" i="21"/>
  <c r="DG21" i="21"/>
  <c r="DF21" i="21"/>
  <c r="DE21" i="21"/>
  <c r="DK20" i="21"/>
  <c r="DJ20" i="21"/>
  <c r="DH20" i="21"/>
  <c r="DG20" i="21"/>
  <c r="DF20" i="21"/>
  <c r="DE20" i="21"/>
  <c r="DK18" i="21"/>
  <c r="DJ18" i="21"/>
  <c r="DH18" i="21"/>
  <c r="DG18" i="21"/>
  <c r="DF18" i="21"/>
  <c r="DE18" i="21"/>
  <c r="DK31" i="21"/>
  <c r="DJ31" i="21"/>
  <c r="DH31" i="21"/>
  <c r="DG31" i="21"/>
  <c r="DF31" i="21"/>
  <c r="DE31" i="21"/>
  <c r="DK15" i="21"/>
  <c r="DJ15" i="21"/>
  <c r="DH15" i="21"/>
  <c r="DG15" i="21"/>
  <c r="DF15" i="21"/>
  <c r="DE15" i="21"/>
  <c r="DK14" i="21"/>
  <c r="DJ14" i="21"/>
  <c r="DH14" i="21"/>
  <c r="DG14" i="21"/>
  <c r="DF14" i="21"/>
  <c r="DE14" i="21"/>
  <c r="DK16" i="21"/>
  <c r="DJ16" i="21"/>
  <c r="DH16" i="21"/>
  <c r="DG16" i="21"/>
  <c r="DF16" i="21"/>
  <c r="DE16" i="21"/>
  <c r="DK13" i="21"/>
  <c r="DJ13" i="21"/>
  <c r="DH13" i="21"/>
  <c r="DG13" i="21"/>
  <c r="DF13" i="21"/>
  <c r="DE13" i="21"/>
  <c r="DK12" i="21"/>
  <c r="DJ12" i="21"/>
  <c r="DH12" i="21"/>
  <c r="DG12" i="21"/>
  <c r="DF12" i="21"/>
  <c r="DE12" i="21"/>
  <c r="DK10" i="21"/>
  <c r="DJ10" i="21"/>
  <c r="DH10" i="21"/>
  <c r="DG10" i="21"/>
  <c r="DF10" i="21"/>
  <c r="DE10" i="21"/>
  <c r="DK9" i="21"/>
  <c r="DJ9" i="21"/>
  <c r="DH9" i="21"/>
  <c r="DG9" i="21"/>
  <c r="DF9" i="21"/>
  <c r="DE9" i="21"/>
  <c r="DK6" i="21"/>
  <c r="DJ6" i="21"/>
  <c r="DH6" i="21"/>
  <c r="DG6" i="21"/>
  <c r="DF6" i="21"/>
  <c r="DE6" i="21"/>
  <c r="DK7" i="21"/>
  <c r="DJ7" i="21"/>
  <c r="DH7" i="21"/>
  <c r="DG7" i="21"/>
  <c r="DF7" i="21"/>
  <c r="DE7" i="21"/>
  <c r="DK5" i="21"/>
  <c r="DJ5" i="21"/>
  <c r="DH5" i="21"/>
  <c r="DG5" i="21"/>
  <c r="DF5" i="21"/>
  <c r="DE5" i="21"/>
  <c r="OE25" i="19"/>
  <c r="OD25" i="19"/>
  <c r="OB25" i="19"/>
  <c r="OA25" i="19"/>
  <c r="NZ25" i="19"/>
  <c r="NY25" i="19"/>
  <c r="OE37" i="19"/>
  <c r="OD37" i="19"/>
  <c r="OB37" i="19"/>
  <c r="OA37" i="19"/>
  <c r="NZ37" i="19"/>
  <c r="NY37" i="19"/>
  <c r="OE36" i="19"/>
  <c r="OD36" i="19"/>
  <c r="OB36" i="19"/>
  <c r="OA36" i="19"/>
  <c r="NZ36" i="19"/>
  <c r="NY36" i="19"/>
  <c r="OE35" i="19"/>
  <c r="OD35" i="19"/>
  <c r="OB35" i="19"/>
  <c r="OA35" i="19"/>
  <c r="NZ35" i="19"/>
  <c r="NY35" i="19"/>
  <c r="OE33" i="19"/>
  <c r="OD33" i="19"/>
  <c r="OB33" i="19"/>
  <c r="OA33" i="19"/>
  <c r="NZ33" i="19"/>
  <c r="NY33" i="19"/>
  <c r="OE38" i="19"/>
  <c r="OD38" i="19"/>
  <c r="OB38" i="19"/>
  <c r="OA38" i="19"/>
  <c r="NZ38" i="19"/>
  <c r="NY38" i="19"/>
  <c r="OE29" i="19"/>
  <c r="OD29" i="19"/>
  <c r="OB29" i="19"/>
  <c r="OA29" i="19"/>
  <c r="NZ29" i="19"/>
  <c r="NY29" i="19"/>
  <c r="OE26" i="19"/>
  <c r="OD26" i="19"/>
  <c r="OB26" i="19"/>
  <c r="OA26" i="19"/>
  <c r="NZ26" i="19"/>
  <c r="NY26" i="19"/>
  <c r="OE22" i="19"/>
  <c r="OD22" i="19"/>
  <c r="OB22" i="19"/>
  <c r="OA22" i="19"/>
  <c r="NZ22" i="19"/>
  <c r="NY22" i="19"/>
  <c r="OE24" i="19"/>
  <c r="OD24" i="19"/>
  <c r="OB24" i="19"/>
  <c r="OA24" i="19"/>
  <c r="NZ24" i="19"/>
  <c r="NY24" i="19"/>
  <c r="OE16" i="19"/>
  <c r="OD16" i="19"/>
  <c r="OB16" i="19"/>
  <c r="OA16" i="19"/>
  <c r="NZ16" i="19"/>
  <c r="NY16" i="19"/>
  <c r="OE23" i="19"/>
  <c r="OD23" i="19"/>
  <c r="OB23" i="19"/>
  <c r="OA23" i="19"/>
  <c r="NZ23" i="19"/>
  <c r="NY23" i="19"/>
  <c r="OE13" i="19"/>
  <c r="OD13" i="19"/>
  <c r="OB13" i="19"/>
  <c r="OA13" i="19"/>
  <c r="NZ13" i="19"/>
  <c r="NY13" i="19"/>
  <c r="OE34" i="19"/>
  <c r="OD34" i="19"/>
  <c r="OB34" i="19"/>
  <c r="OA34" i="19"/>
  <c r="NZ34" i="19"/>
  <c r="NY34" i="19"/>
  <c r="OE27" i="19"/>
  <c r="OD27" i="19"/>
  <c r="OB27" i="19"/>
  <c r="OA27" i="19"/>
  <c r="NZ27" i="19"/>
  <c r="NY27" i="19"/>
  <c r="OE32" i="19"/>
  <c r="OD32" i="19"/>
  <c r="OB32" i="19"/>
  <c r="OA32" i="19"/>
  <c r="NZ32" i="19"/>
  <c r="NY32" i="19"/>
  <c r="OE30" i="19"/>
  <c r="OD30" i="19"/>
  <c r="OB30" i="19"/>
  <c r="OA30" i="19"/>
  <c r="NZ30" i="19"/>
  <c r="NY30" i="19"/>
  <c r="OE28" i="19"/>
  <c r="OD28" i="19"/>
  <c r="OB28" i="19"/>
  <c r="OA28" i="19"/>
  <c r="NZ28" i="19"/>
  <c r="NY28" i="19"/>
  <c r="OE19" i="19"/>
  <c r="OD19" i="19"/>
  <c r="OB19" i="19"/>
  <c r="OA19" i="19"/>
  <c r="NZ19" i="19"/>
  <c r="NY19" i="19"/>
  <c r="OE9" i="19"/>
  <c r="OD9" i="19"/>
  <c r="OB9" i="19"/>
  <c r="OA9" i="19"/>
  <c r="NZ9" i="19"/>
  <c r="NY9" i="19"/>
  <c r="OE11" i="19"/>
  <c r="OD11" i="19"/>
  <c r="OB11" i="19"/>
  <c r="OA11" i="19"/>
  <c r="NZ11" i="19"/>
  <c r="NY11" i="19"/>
  <c r="OE18" i="19"/>
  <c r="OD18" i="19"/>
  <c r="OB18" i="19"/>
  <c r="OA18" i="19"/>
  <c r="NZ18" i="19"/>
  <c r="NY18" i="19"/>
  <c r="OE10" i="19"/>
  <c r="OD10" i="19"/>
  <c r="OB10" i="19"/>
  <c r="OA10" i="19"/>
  <c r="NZ10" i="19"/>
  <c r="NY10" i="19"/>
  <c r="OE15" i="19"/>
  <c r="OD15" i="19"/>
  <c r="OB15" i="19"/>
  <c r="OA15" i="19"/>
  <c r="NZ15" i="19"/>
  <c r="NY15" i="19"/>
  <c r="OE7" i="19"/>
  <c r="OD7" i="19"/>
  <c r="OB7" i="19"/>
  <c r="OA7" i="19"/>
  <c r="NZ7" i="19"/>
  <c r="NY7" i="19"/>
  <c r="OE8" i="19"/>
  <c r="OD8" i="19"/>
  <c r="OB8" i="19"/>
  <c r="OA8" i="19"/>
  <c r="NZ8" i="19"/>
  <c r="NY8" i="19"/>
  <c r="OE5" i="19"/>
  <c r="OD5" i="19"/>
  <c r="OB5" i="19"/>
  <c r="OA5" i="19"/>
  <c r="NZ5" i="19"/>
  <c r="NY5" i="19"/>
  <c r="OE6" i="19"/>
  <c r="OD6" i="19"/>
  <c r="OB6" i="19"/>
  <c r="OA6" i="19"/>
  <c r="NZ6" i="19"/>
  <c r="NY6" i="19"/>
  <c r="OE4" i="19"/>
  <c r="OD4" i="19"/>
  <c r="OB4" i="19"/>
  <c r="OA4" i="19"/>
  <c r="NZ4" i="19"/>
  <c r="NY4" i="19"/>
  <c r="NC25" i="19"/>
  <c r="NB25" i="19"/>
  <c r="MZ25" i="19"/>
  <c r="MY25" i="19"/>
  <c r="MX25" i="19"/>
  <c r="MW25" i="19"/>
  <c r="NC37" i="19"/>
  <c r="NB37" i="19"/>
  <c r="MZ37" i="19"/>
  <c r="MY37" i="19"/>
  <c r="MX37" i="19"/>
  <c r="MW37" i="19"/>
  <c r="NC36" i="19"/>
  <c r="NB36" i="19"/>
  <c r="MZ36" i="19"/>
  <c r="MY36" i="19"/>
  <c r="MX36" i="19"/>
  <c r="MW36" i="19"/>
  <c r="NC35" i="19"/>
  <c r="NB35" i="19"/>
  <c r="MZ35" i="19"/>
  <c r="MY35" i="19"/>
  <c r="MX35" i="19"/>
  <c r="MW35" i="19"/>
  <c r="NC33" i="19"/>
  <c r="NB33" i="19"/>
  <c r="MZ33" i="19"/>
  <c r="MY33" i="19"/>
  <c r="MX33" i="19"/>
  <c r="MW33" i="19"/>
  <c r="NC38" i="19"/>
  <c r="NB38" i="19"/>
  <c r="MZ38" i="19"/>
  <c r="MY38" i="19"/>
  <c r="MX38" i="19"/>
  <c r="MW38" i="19"/>
  <c r="NC29" i="19"/>
  <c r="NB29" i="19"/>
  <c r="MZ29" i="19"/>
  <c r="MY29" i="19"/>
  <c r="MX29" i="19"/>
  <c r="MW29" i="19"/>
  <c r="NC26" i="19"/>
  <c r="NB26" i="19"/>
  <c r="MZ26" i="19"/>
  <c r="MY26" i="19"/>
  <c r="MX26" i="19"/>
  <c r="MW26" i="19"/>
  <c r="NC22" i="19"/>
  <c r="NB22" i="19"/>
  <c r="MZ22" i="19"/>
  <c r="MY22" i="19"/>
  <c r="MX22" i="19"/>
  <c r="MW22" i="19"/>
  <c r="NC24" i="19"/>
  <c r="NB24" i="19"/>
  <c r="MZ24" i="19"/>
  <c r="MY24" i="19"/>
  <c r="MX24" i="19"/>
  <c r="MW24" i="19"/>
  <c r="NC16" i="19"/>
  <c r="NB16" i="19"/>
  <c r="MZ16" i="19"/>
  <c r="MY16" i="19"/>
  <c r="MX16" i="19"/>
  <c r="MW16" i="19"/>
  <c r="NC23" i="19"/>
  <c r="NB23" i="19"/>
  <c r="MZ23" i="19"/>
  <c r="MY23" i="19"/>
  <c r="MX23" i="19"/>
  <c r="MW23" i="19"/>
  <c r="NC13" i="19"/>
  <c r="NB13" i="19"/>
  <c r="MZ13" i="19"/>
  <c r="MY13" i="19"/>
  <c r="MX13" i="19"/>
  <c r="MW13" i="19"/>
  <c r="NC34" i="19"/>
  <c r="NB34" i="19"/>
  <c r="MZ34" i="19"/>
  <c r="MY34" i="19"/>
  <c r="MX34" i="19"/>
  <c r="MW34" i="19"/>
  <c r="NC27" i="19"/>
  <c r="NB27" i="19"/>
  <c r="MZ27" i="19"/>
  <c r="MY27" i="19"/>
  <c r="MX27" i="19"/>
  <c r="MW27" i="19"/>
  <c r="NC32" i="19"/>
  <c r="NB32" i="19"/>
  <c r="MZ32" i="19"/>
  <c r="MY32" i="19"/>
  <c r="MX32" i="19"/>
  <c r="MW32" i="19"/>
  <c r="NC30" i="19"/>
  <c r="NB30" i="19"/>
  <c r="MZ30" i="19"/>
  <c r="MY30" i="19"/>
  <c r="MX30" i="19"/>
  <c r="MW30" i="19"/>
  <c r="NC28" i="19"/>
  <c r="NB28" i="19"/>
  <c r="MZ28" i="19"/>
  <c r="MY28" i="19"/>
  <c r="MX28" i="19"/>
  <c r="MW28" i="19"/>
  <c r="NC19" i="19"/>
  <c r="NB19" i="19"/>
  <c r="MZ19" i="19"/>
  <c r="MY19" i="19"/>
  <c r="MX19" i="19"/>
  <c r="MW19" i="19"/>
  <c r="NC9" i="19"/>
  <c r="NB9" i="19"/>
  <c r="MZ9" i="19"/>
  <c r="MY9" i="19"/>
  <c r="MX9" i="19"/>
  <c r="MW9" i="19"/>
  <c r="NC11" i="19"/>
  <c r="NB11" i="19"/>
  <c r="MZ11" i="19"/>
  <c r="MY11" i="19"/>
  <c r="MX11" i="19"/>
  <c r="MW11" i="19"/>
  <c r="NC18" i="19"/>
  <c r="NB18" i="19"/>
  <c r="MZ18" i="19"/>
  <c r="MY18" i="19"/>
  <c r="MX18" i="19"/>
  <c r="MW18" i="19"/>
  <c r="NC10" i="19"/>
  <c r="NB10" i="19"/>
  <c r="MZ10" i="19"/>
  <c r="MY10" i="19"/>
  <c r="MX10" i="19"/>
  <c r="MW10" i="19"/>
  <c r="NC15" i="19"/>
  <c r="NB15" i="19"/>
  <c r="MZ15" i="19"/>
  <c r="MY15" i="19"/>
  <c r="MX15" i="19"/>
  <c r="MW15" i="19"/>
  <c r="NC7" i="19"/>
  <c r="NB7" i="19"/>
  <c r="MZ7" i="19"/>
  <c r="MY7" i="19"/>
  <c r="MX7" i="19"/>
  <c r="MW7" i="19"/>
  <c r="NC8" i="19"/>
  <c r="NB8" i="19"/>
  <c r="MZ8" i="19"/>
  <c r="MY8" i="19"/>
  <c r="MX8" i="19"/>
  <c r="MW8" i="19"/>
  <c r="NC5" i="19"/>
  <c r="NB5" i="19"/>
  <c r="MZ5" i="19"/>
  <c r="MY5" i="19"/>
  <c r="MX5" i="19"/>
  <c r="MW5" i="19"/>
  <c r="NC6" i="19"/>
  <c r="NB6" i="19"/>
  <c r="MZ6" i="19"/>
  <c r="MY6" i="19"/>
  <c r="MX6" i="19"/>
  <c r="MW6" i="19"/>
  <c r="NC4" i="19"/>
  <c r="NB4" i="19"/>
  <c r="MZ4" i="19"/>
  <c r="MY4" i="19"/>
  <c r="MX4" i="19"/>
  <c r="MW4" i="19"/>
  <c r="MA25" i="19"/>
  <c r="LZ25" i="19"/>
  <c r="LX25" i="19"/>
  <c r="LW25" i="19"/>
  <c r="LV25" i="19"/>
  <c r="LU25" i="19"/>
  <c r="MA37" i="19"/>
  <c r="LZ37" i="19"/>
  <c r="LX37" i="19"/>
  <c r="LW37" i="19"/>
  <c r="LV37" i="19"/>
  <c r="LU37" i="19"/>
  <c r="MA36" i="19"/>
  <c r="LZ36" i="19"/>
  <c r="LX36" i="19"/>
  <c r="LW36" i="19"/>
  <c r="LV36" i="19"/>
  <c r="LU36" i="19"/>
  <c r="MA35" i="19"/>
  <c r="LZ35" i="19"/>
  <c r="LX35" i="19"/>
  <c r="LW35" i="19"/>
  <c r="LV35" i="19"/>
  <c r="LU35" i="19"/>
  <c r="MA33" i="19"/>
  <c r="LZ33" i="19"/>
  <c r="LX33" i="19"/>
  <c r="LW33" i="19"/>
  <c r="LV33" i="19"/>
  <c r="LU33" i="19"/>
  <c r="MA38" i="19"/>
  <c r="LZ38" i="19"/>
  <c r="LX38" i="19"/>
  <c r="LW38" i="19"/>
  <c r="LV38" i="19"/>
  <c r="LU38" i="19"/>
  <c r="MA29" i="19"/>
  <c r="LZ29" i="19"/>
  <c r="LX29" i="19"/>
  <c r="LW29" i="19"/>
  <c r="LV29" i="19"/>
  <c r="LU29" i="19"/>
  <c r="MA26" i="19"/>
  <c r="LZ26" i="19"/>
  <c r="LX26" i="19"/>
  <c r="LW26" i="19"/>
  <c r="LV26" i="19"/>
  <c r="LU26" i="19"/>
  <c r="MA22" i="19"/>
  <c r="LZ22" i="19"/>
  <c r="LX22" i="19"/>
  <c r="LW22" i="19"/>
  <c r="LV22" i="19"/>
  <c r="LU22" i="19"/>
  <c r="MA24" i="19"/>
  <c r="LZ24" i="19"/>
  <c r="LX24" i="19"/>
  <c r="LW24" i="19"/>
  <c r="LV24" i="19"/>
  <c r="LU24" i="19"/>
  <c r="MA16" i="19"/>
  <c r="LZ16" i="19"/>
  <c r="LX16" i="19"/>
  <c r="LW16" i="19"/>
  <c r="LV16" i="19"/>
  <c r="LU16" i="19"/>
  <c r="MA23" i="19"/>
  <c r="LZ23" i="19"/>
  <c r="LX23" i="19"/>
  <c r="LW23" i="19"/>
  <c r="LV23" i="19"/>
  <c r="LU23" i="19"/>
  <c r="MA13" i="19"/>
  <c r="LZ13" i="19"/>
  <c r="LX13" i="19"/>
  <c r="LW13" i="19"/>
  <c r="LV13" i="19"/>
  <c r="LU13" i="19"/>
  <c r="MA34" i="19"/>
  <c r="LZ34" i="19"/>
  <c r="LX34" i="19"/>
  <c r="LW34" i="19"/>
  <c r="LV34" i="19"/>
  <c r="LU34" i="19"/>
  <c r="MA27" i="19"/>
  <c r="LZ27" i="19"/>
  <c r="LX27" i="19"/>
  <c r="LW27" i="19"/>
  <c r="LV27" i="19"/>
  <c r="LU27" i="19"/>
  <c r="MA32" i="19"/>
  <c r="LZ32" i="19"/>
  <c r="LX32" i="19"/>
  <c r="LW32" i="19"/>
  <c r="LV32" i="19"/>
  <c r="LU32" i="19"/>
  <c r="MA30" i="19"/>
  <c r="LZ30" i="19"/>
  <c r="LX30" i="19"/>
  <c r="LW30" i="19"/>
  <c r="LV30" i="19"/>
  <c r="LU30" i="19"/>
  <c r="MA28" i="19"/>
  <c r="LZ28" i="19"/>
  <c r="LX28" i="19"/>
  <c r="LW28" i="19"/>
  <c r="LV28" i="19"/>
  <c r="LU28" i="19"/>
  <c r="MA19" i="19"/>
  <c r="LZ19" i="19"/>
  <c r="LX19" i="19"/>
  <c r="LW19" i="19"/>
  <c r="LV19" i="19"/>
  <c r="LU19" i="19"/>
  <c r="MA9" i="19"/>
  <c r="LZ9" i="19"/>
  <c r="LX9" i="19"/>
  <c r="LW9" i="19"/>
  <c r="LV9" i="19"/>
  <c r="LU9" i="19"/>
  <c r="MA11" i="19"/>
  <c r="LZ11" i="19"/>
  <c r="LX11" i="19"/>
  <c r="LW11" i="19"/>
  <c r="LV11" i="19"/>
  <c r="LU11" i="19"/>
  <c r="MA18" i="19"/>
  <c r="LZ18" i="19"/>
  <c r="LX18" i="19"/>
  <c r="LW18" i="19"/>
  <c r="LV18" i="19"/>
  <c r="LU18" i="19"/>
  <c r="MA10" i="19"/>
  <c r="LZ10" i="19"/>
  <c r="LX10" i="19"/>
  <c r="LW10" i="19"/>
  <c r="LV10" i="19"/>
  <c r="LU10" i="19"/>
  <c r="MA15" i="19"/>
  <c r="LZ15" i="19"/>
  <c r="LX15" i="19"/>
  <c r="LW15" i="19"/>
  <c r="LV15" i="19"/>
  <c r="LU15" i="19"/>
  <c r="MA7" i="19"/>
  <c r="LZ7" i="19"/>
  <c r="LX7" i="19"/>
  <c r="LW7" i="19"/>
  <c r="LV7" i="19"/>
  <c r="LU7" i="19"/>
  <c r="MA8" i="19"/>
  <c r="LZ8" i="19"/>
  <c r="LX8" i="19"/>
  <c r="LW8" i="19"/>
  <c r="LV8" i="19"/>
  <c r="LU8" i="19"/>
  <c r="MA5" i="19"/>
  <c r="LZ5" i="19"/>
  <c r="LX5" i="19"/>
  <c r="LW5" i="19"/>
  <c r="LV5" i="19"/>
  <c r="LU5" i="19"/>
  <c r="MA6" i="19"/>
  <c r="LZ6" i="19"/>
  <c r="LX6" i="19"/>
  <c r="LW6" i="19"/>
  <c r="LV6" i="19"/>
  <c r="LU6" i="19"/>
  <c r="MA4" i="19"/>
  <c r="LZ4" i="19"/>
  <c r="LX4" i="19"/>
  <c r="LW4" i="19"/>
  <c r="LV4" i="19"/>
  <c r="LU4" i="19"/>
  <c r="KY25" i="19"/>
  <c r="KX25" i="19"/>
  <c r="KV25" i="19"/>
  <c r="KU25" i="19"/>
  <c r="KT25" i="19"/>
  <c r="KS25" i="19"/>
  <c r="KY37" i="19"/>
  <c r="KX37" i="19"/>
  <c r="KV37" i="19"/>
  <c r="KU37" i="19"/>
  <c r="KT37" i="19"/>
  <c r="KS37" i="19"/>
  <c r="KY36" i="19"/>
  <c r="KX36" i="19"/>
  <c r="KV36" i="19"/>
  <c r="KU36" i="19"/>
  <c r="KT36" i="19"/>
  <c r="KS36" i="19"/>
  <c r="KY35" i="19"/>
  <c r="KX35" i="19"/>
  <c r="KV35" i="19"/>
  <c r="KU35" i="19"/>
  <c r="KT35" i="19"/>
  <c r="KS35" i="19"/>
  <c r="KY33" i="19"/>
  <c r="KX33" i="19"/>
  <c r="KV33" i="19"/>
  <c r="KU33" i="19"/>
  <c r="KT33" i="19"/>
  <c r="KS33" i="19"/>
  <c r="KY38" i="19"/>
  <c r="KX38" i="19"/>
  <c r="KV38" i="19"/>
  <c r="KU38" i="19"/>
  <c r="KT38" i="19"/>
  <c r="KS38" i="19"/>
  <c r="KY29" i="19"/>
  <c r="KX29" i="19"/>
  <c r="KV29" i="19"/>
  <c r="KU29" i="19"/>
  <c r="KT29" i="19"/>
  <c r="KS29" i="19"/>
  <c r="KY26" i="19"/>
  <c r="KX26" i="19"/>
  <c r="KV26" i="19"/>
  <c r="KU26" i="19"/>
  <c r="KT26" i="19"/>
  <c r="KS26" i="19"/>
  <c r="KY22" i="19"/>
  <c r="KX22" i="19"/>
  <c r="KV22" i="19"/>
  <c r="KU22" i="19"/>
  <c r="KT22" i="19"/>
  <c r="KS22" i="19"/>
  <c r="KY24" i="19"/>
  <c r="KX24" i="19"/>
  <c r="KV24" i="19"/>
  <c r="KU24" i="19"/>
  <c r="KT24" i="19"/>
  <c r="KS24" i="19"/>
  <c r="KY16" i="19"/>
  <c r="KX16" i="19"/>
  <c r="KV16" i="19"/>
  <c r="KU16" i="19"/>
  <c r="KT16" i="19"/>
  <c r="KS16" i="19"/>
  <c r="KY23" i="19"/>
  <c r="KX23" i="19"/>
  <c r="KV23" i="19"/>
  <c r="KU23" i="19"/>
  <c r="KT23" i="19"/>
  <c r="KS23" i="19"/>
  <c r="KY13" i="19"/>
  <c r="KX13" i="19"/>
  <c r="KV13" i="19"/>
  <c r="KU13" i="19"/>
  <c r="KT13" i="19"/>
  <c r="KS13" i="19"/>
  <c r="KY34" i="19"/>
  <c r="KX34" i="19"/>
  <c r="KV34" i="19"/>
  <c r="KU34" i="19"/>
  <c r="KT34" i="19"/>
  <c r="KS34" i="19"/>
  <c r="KY27" i="19"/>
  <c r="KX27" i="19"/>
  <c r="KV27" i="19"/>
  <c r="KU27" i="19"/>
  <c r="KT27" i="19"/>
  <c r="KS27" i="19"/>
  <c r="KY32" i="19"/>
  <c r="KX32" i="19"/>
  <c r="KV32" i="19"/>
  <c r="KU32" i="19"/>
  <c r="KT32" i="19"/>
  <c r="KS32" i="19"/>
  <c r="KY30" i="19"/>
  <c r="KX30" i="19"/>
  <c r="KV30" i="19"/>
  <c r="KU30" i="19"/>
  <c r="KT30" i="19"/>
  <c r="KS30" i="19"/>
  <c r="KY28" i="19"/>
  <c r="KX28" i="19"/>
  <c r="KV28" i="19"/>
  <c r="KU28" i="19"/>
  <c r="KT28" i="19"/>
  <c r="KS28" i="19"/>
  <c r="KY19" i="19"/>
  <c r="KX19" i="19"/>
  <c r="KV19" i="19"/>
  <c r="KU19" i="19"/>
  <c r="KT19" i="19"/>
  <c r="KS19" i="19"/>
  <c r="KY9" i="19"/>
  <c r="KX9" i="19"/>
  <c r="KV9" i="19"/>
  <c r="KU9" i="19"/>
  <c r="KT9" i="19"/>
  <c r="KS9" i="19"/>
  <c r="KY11" i="19"/>
  <c r="KX11" i="19"/>
  <c r="KV11" i="19"/>
  <c r="KU11" i="19"/>
  <c r="KT11" i="19"/>
  <c r="KS11" i="19"/>
  <c r="KY18" i="19"/>
  <c r="KX18" i="19"/>
  <c r="KV18" i="19"/>
  <c r="KU18" i="19"/>
  <c r="KT18" i="19"/>
  <c r="KS18" i="19"/>
  <c r="KY10" i="19"/>
  <c r="KX10" i="19"/>
  <c r="KV10" i="19"/>
  <c r="KU10" i="19"/>
  <c r="KT10" i="19"/>
  <c r="KS10" i="19"/>
  <c r="KY15" i="19"/>
  <c r="KX15" i="19"/>
  <c r="KV15" i="19"/>
  <c r="KU15" i="19"/>
  <c r="KT15" i="19"/>
  <c r="KS15" i="19"/>
  <c r="KY7" i="19"/>
  <c r="KX7" i="19"/>
  <c r="KV7" i="19"/>
  <c r="KU7" i="19"/>
  <c r="KT7" i="19"/>
  <c r="KS7" i="19"/>
  <c r="KY8" i="19"/>
  <c r="KX8" i="19"/>
  <c r="KV8" i="19"/>
  <c r="KU8" i="19"/>
  <c r="KT8" i="19"/>
  <c r="KS8" i="19"/>
  <c r="KY5" i="19"/>
  <c r="KX5" i="19"/>
  <c r="KV5" i="19"/>
  <c r="KU5" i="19"/>
  <c r="KT5" i="19"/>
  <c r="KS5" i="19"/>
  <c r="KY6" i="19"/>
  <c r="KX6" i="19"/>
  <c r="KV6" i="19"/>
  <c r="KU6" i="19"/>
  <c r="KT6" i="19"/>
  <c r="KS6" i="19"/>
  <c r="KY4" i="19"/>
  <c r="KX4" i="19"/>
  <c r="KV4" i="19"/>
  <c r="KU4" i="19"/>
  <c r="KT4" i="19"/>
  <c r="KS4" i="19"/>
  <c r="JW25" i="19"/>
  <c r="JV25" i="19"/>
  <c r="JT25" i="19"/>
  <c r="JS25" i="19"/>
  <c r="JR25" i="19"/>
  <c r="JQ25" i="19"/>
  <c r="JW37" i="19"/>
  <c r="JV37" i="19"/>
  <c r="JT37" i="19"/>
  <c r="JS37" i="19"/>
  <c r="JR37" i="19"/>
  <c r="JQ37" i="19"/>
  <c r="JW36" i="19"/>
  <c r="JV36" i="19"/>
  <c r="JT36" i="19"/>
  <c r="JS36" i="19"/>
  <c r="JR36" i="19"/>
  <c r="JQ36" i="19"/>
  <c r="JW35" i="19"/>
  <c r="JV35" i="19"/>
  <c r="JT35" i="19"/>
  <c r="JS35" i="19"/>
  <c r="JR35" i="19"/>
  <c r="JQ35" i="19"/>
  <c r="JW33" i="19"/>
  <c r="JV33" i="19"/>
  <c r="JT33" i="19"/>
  <c r="JS33" i="19"/>
  <c r="JR33" i="19"/>
  <c r="JQ33" i="19"/>
  <c r="JW38" i="19"/>
  <c r="JV38" i="19"/>
  <c r="JT38" i="19"/>
  <c r="JS38" i="19"/>
  <c r="JR38" i="19"/>
  <c r="JQ38" i="19"/>
  <c r="JW29" i="19"/>
  <c r="JV29" i="19"/>
  <c r="JT29" i="19"/>
  <c r="JS29" i="19"/>
  <c r="JR29" i="19"/>
  <c r="JQ29" i="19"/>
  <c r="JW26" i="19"/>
  <c r="JV26" i="19"/>
  <c r="JT26" i="19"/>
  <c r="JS26" i="19"/>
  <c r="JR26" i="19"/>
  <c r="JQ26" i="19"/>
  <c r="JW22" i="19"/>
  <c r="JV22" i="19"/>
  <c r="JT22" i="19"/>
  <c r="JS22" i="19"/>
  <c r="JR22" i="19"/>
  <c r="JQ22" i="19"/>
  <c r="JW24" i="19"/>
  <c r="JV24" i="19"/>
  <c r="JT24" i="19"/>
  <c r="JS24" i="19"/>
  <c r="JR24" i="19"/>
  <c r="JQ24" i="19"/>
  <c r="JW16" i="19"/>
  <c r="JV16" i="19"/>
  <c r="JT16" i="19"/>
  <c r="JS16" i="19"/>
  <c r="JR16" i="19"/>
  <c r="JQ16" i="19"/>
  <c r="JW23" i="19"/>
  <c r="JV23" i="19"/>
  <c r="JT23" i="19"/>
  <c r="JS23" i="19"/>
  <c r="JR23" i="19"/>
  <c r="JQ23" i="19"/>
  <c r="JW13" i="19"/>
  <c r="JV13" i="19"/>
  <c r="JT13" i="19"/>
  <c r="JS13" i="19"/>
  <c r="JR13" i="19"/>
  <c r="JQ13" i="19"/>
  <c r="JW34" i="19"/>
  <c r="JV34" i="19"/>
  <c r="JT34" i="19"/>
  <c r="JS34" i="19"/>
  <c r="JR34" i="19"/>
  <c r="JQ34" i="19"/>
  <c r="JW27" i="19"/>
  <c r="JV27" i="19"/>
  <c r="JT27" i="19"/>
  <c r="JS27" i="19"/>
  <c r="JR27" i="19"/>
  <c r="JQ27" i="19"/>
  <c r="JW32" i="19"/>
  <c r="JV32" i="19"/>
  <c r="JT32" i="19"/>
  <c r="JS32" i="19"/>
  <c r="JR32" i="19"/>
  <c r="JQ32" i="19"/>
  <c r="JW30" i="19"/>
  <c r="JV30" i="19"/>
  <c r="JT30" i="19"/>
  <c r="JS30" i="19"/>
  <c r="JR30" i="19"/>
  <c r="JQ30" i="19"/>
  <c r="JW28" i="19"/>
  <c r="JV28" i="19"/>
  <c r="JT28" i="19"/>
  <c r="JS28" i="19"/>
  <c r="JR28" i="19"/>
  <c r="JQ28" i="19"/>
  <c r="JW19" i="19"/>
  <c r="JV19" i="19"/>
  <c r="JT19" i="19"/>
  <c r="JS19" i="19"/>
  <c r="JR19" i="19"/>
  <c r="JQ19" i="19"/>
  <c r="JW9" i="19"/>
  <c r="JV9" i="19"/>
  <c r="JT9" i="19"/>
  <c r="JS9" i="19"/>
  <c r="JR9" i="19"/>
  <c r="JQ9" i="19"/>
  <c r="JW11" i="19"/>
  <c r="JV11" i="19"/>
  <c r="JT11" i="19"/>
  <c r="JS11" i="19"/>
  <c r="JR11" i="19"/>
  <c r="JQ11" i="19"/>
  <c r="JW18" i="19"/>
  <c r="JV18" i="19"/>
  <c r="JT18" i="19"/>
  <c r="JS18" i="19"/>
  <c r="JR18" i="19"/>
  <c r="JQ18" i="19"/>
  <c r="JW10" i="19"/>
  <c r="JV10" i="19"/>
  <c r="JT10" i="19"/>
  <c r="JS10" i="19"/>
  <c r="JR10" i="19"/>
  <c r="JQ10" i="19"/>
  <c r="JW15" i="19"/>
  <c r="JV15" i="19"/>
  <c r="JT15" i="19"/>
  <c r="JS15" i="19"/>
  <c r="JR15" i="19"/>
  <c r="JQ15" i="19"/>
  <c r="JW7" i="19"/>
  <c r="JV7" i="19"/>
  <c r="JT7" i="19"/>
  <c r="JS7" i="19"/>
  <c r="JR7" i="19"/>
  <c r="JQ7" i="19"/>
  <c r="JW8" i="19"/>
  <c r="JV8" i="19"/>
  <c r="JT8" i="19"/>
  <c r="JS8" i="19"/>
  <c r="JR8" i="19"/>
  <c r="JQ8" i="19"/>
  <c r="JW5" i="19"/>
  <c r="JV5" i="19"/>
  <c r="JT5" i="19"/>
  <c r="JS5" i="19"/>
  <c r="JR5" i="19"/>
  <c r="JQ5" i="19"/>
  <c r="JW6" i="19"/>
  <c r="JV6" i="19"/>
  <c r="JT6" i="19"/>
  <c r="JS6" i="19"/>
  <c r="JR6" i="19"/>
  <c r="JQ6" i="19"/>
  <c r="JW4" i="19"/>
  <c r="JV4" i="19"/>
  <c r="JT4" i="19"/>
  <c r="JS4" i="19"/>
  <c r="JR4" i="19"/>
  <c r="JQ4" i="19"/>
  <c r="IU25" i="19"/>
  <c r="IT25" i="19"/>
  <c r="IR25" i="19"/>
  <c r="IQ25" i="19"/>
  <c r="IP25" i="19"/>
  <c r="IO25" i="19"/>
  <c r="IU37" i="19"/>
  <c r="IT37" i="19"/>
  <c r="IR37" i="19"/>
  <c r="IQ37" i="19"/>
  <c r="IP37" i="19"/>
  <c r="IO37" i="19"/>
  <c r="IU36" i="19"/>
  <c r="IT36" i="19"/>
  <c r="IR36" i="19"/>
  <c r="IQ36" i="19"/>
  <c r="IP36" i="19"/>
  <c r="IO36" i="19"/>
  <c r="IU35" i="19"/>
  <c r="IT35" i="19"/>
  <c r="IR35" i="19"/>
  <c r="IQ35" i="19"/>
  <c r="IP35" i="19"/>
  <c r="IO35" i="19"/>
  <c r="IU33" i="19"/>
  <c r="IT33" i="19"/>
  <c r="IR33" i="19"/>
  <c r="IQ33" i="19"/>
  <c r="IP33" i="19"/>
  <c r="IO33" i="19"/>
  <c r="IU38" i="19"/>
  <c r="IT38" i="19"/>
  <c r="IR38" i="19"/>
  <c r="IQ38" i="19"/>
  <c r="IP38" i="19"/>
  <c r="IO38" i="19"/>
  <c r="IU29" i="19"/>
  <c r="IT29" i="19"/>
  <c r="IR29" i="19"/>
  <c r="IQ29" i="19"/>
  <c r="IP29" i="19"/>
  <c r="IO29" i="19"/>
  <c r="IU26" i="19"/>
  <c r="IT26" i="19"/>
  <c r="IR26" i="19"/>
  <c r="IQ26" i="19"/>
  <c r="IP26" i="19"/>
  <c r="IO26" i="19"/>
  <c r="IU22" i="19"/>
  <c r="IT22" i="19"/>
  <c r="IR22" i="19"/>
  <c r="IQ22" i="19"/>
  <c r="IP22" i="19"/>
  <c r="IO22" i="19"/>
  <c r="IU24" i="19"/>
  <c r="IT24" i="19"/>
  <c r="IR24" i="19"/>
  <c r="IQ24" i="19"/>
  <c r="IP24" i="19"/>
  <c r="IO24" i="19"/>
  <c r="IU16" i="19"/>
  <c r="IT16" i="19"/>
  <c r="IR16" i="19"/>
  <c r="IQ16" i="19"/>
  <c r="IP16" i="19"/>
  <c r="IO16" i="19"/>
  <c r="IU23" i="19"/>
  <c r="IT23" i="19"/>
  <c r="IR23" i="19"/>
  <c r="IQ23" i="19"/>
  <c r="IP23" i="19"/>
  <c r="IO23" i="19"/>
  <c r="IU13" i="19"/>
  <c r="IT13" i="19"/>
  <c r="IR13" i="19"/>
  <c r="IQ13" i="19"/>
  <c r="IP13" i="19"/>
  <c r="IO13" i="19"/>
  <c r="IU34" i="19"/>
  <c r="IT34" i="19"/>
  <c r="IR34" i="19"/>
  <c r="IQ34" i="19"/>
  <c r="IP34" i="19"/>
  <c r="IO34" i="19"/>
  <c r="IU27" i="19"/>
  <c r="IT27" i="19"/>
  <c r="IR27" i="19"/>
  <c r="IQ27" i="19"/>
  <c r="IP27" i="19"/>
  <c r="IO27" i="19"/>
  <c r="IU32" i="19"/>
  <c r="IT32" i="19"/>
  <c r="IR32" i="19"/>
  <c r="IQ32" i="19"/>
  <c r="IP32" i="19"/>
  <c r="IO32" i="19"/>
  <c r="IU30" i="19"/>
  <c r="IT30" i="19"/>
  <c r="IR30" i="19"/>
  <c r="IQ30" i="19"/>
  <c r="IP30" i="19"/>
  <c r="IO30" i="19"/>
  <c r="IU28" i="19"/>
  <c r="IT28" i="19"/>
  <c r="IR28" i="19"/>
  <c r="IQ28" i="19"/>
  <c r="IP28" i="19"/>
  <c r="IO28" i="19"/>
  <c r="IU19" i="19"/>
  <c r="IT19" i="19"/>
  <c r="IR19" i="19"/>
  <c r="IQ19" i="19"/>
  <c r="IP19" i="19"/>
  <c r="IO19" i="19"/>
  <c r="IU9" i="19"/>
  <c r="IT9" i="19"/>
  <c r="IR9" i="19"/>
  <c r="IQ9" i="19"/>
  <c r="IP9" i="19"/>
  <c r="IO9" i="19"/>
  <c r="IU11" i="19"/>
  <c r="IT11" i="19"/>
  <c r="IR11" i="19"/>
  <c r="IQ11" i="19"/>
  <c r="IP11" i="19"/>
  <c r="IO11" i="19"/>
  <c r="IU18" i="19"/>
  <c r="IT18" i="19"/>
  <c r="IR18" i="19"/>
  <c r="IQ18" i="19"/>
  <c r="IP18" i="19"/>
  <c r="IO18" i="19"/>
  <c r="IU10" i="19"/>
  <c r="IT10" i="19"/>
  <c r="IR10" i="19"/>
  <c r="IQ10" i="19"/>
  <c r="IP10" i="19"/>
  <c r="IO10" i="19"/>
  <c r="IU15" i="19"/>
  <c r="IT15" i="19"/>
  <c r="IR15" i="19"/>
  <c r="IQ15" i="19"/>
  <c r="IP15" i="19"/>
  <c r="IO15" i="19"/>
  <c r="IU7" i="19"/>
  <c r="IT7" i="19"/>
  <c r="IR7" i="19"/>
  <c r="IQ7" i="19"/>
  <c r="IP7" i="19"/>
  <c r="IO7" i="19"/>
  <c r="IU8" i="19"/>
  <c r="IT8" i="19"/>
  <c r="IR8" i="19"/>
  <c r="IQ8" i="19"/>
  <c r="IP8" i="19"/>
  <c r="IO8" i="19"/>
  <c r="IU5" i="19"/>
  <c r="IT5" i="19"/>
  <c r="IR5" i="19"/>
  <c r="IQ5" i="19"/>
  <c r="IP5" i="19"/>
  <c r="IO5" i="19"/>
  <c r="IU6" i="19"/>
  <c r="IT6" i="19"/>
  <c r="IR6" i="19"/>
  <c r="IQ6" i="19"/>
  <c r="IP6" i="19"/>
  <c r="IO6" i="19"/>
  <c r="IU4" i="19"/>
  <c r="IT4" i="19"/>
  <c r="IR4" i="19"/>
  <c r="IQ4" i="19"/>
  <c r="IP4" i="19"/>
  <c r="IO4" i="19"/>
  <c r="HS25" i="19"/>
  <c r="HR25" i="19"/>
  <c r="HP25" i="19"/>
  <c r="HO25" i="19"/>
  <c r="HN25" i="19"/>
  <c r="HM25" i="19"/>
  <c r="HS37" i="19"/>
  <c r="HR37" i="19"/>
  <c r="HP37" i="19"/>
  <c r="HO37" i="19"/>
  <c r="HN37" i="19"/>
  <c r="HM37" i="19"/>
  <c r="HS36" i="19"/>
  <c r="HR36" i="19"/>
  <c r="HP36" i="19"/>
  <c r="HO36" i="19"/>
  <c r="HN36" i="19"/>
  <c r="HM36" i="19"/>
  <c r="HS35" i="19"/>
  <c r="HR35" i="19"/>
  <c r="HP35" i="19"/>
  <c r="HO35" i="19"/>
  <c r="HN35" i="19"/>
  <c r="HM35" i="19"/>
  <c r="HS33" i="19"/>
  <c r="HR33" i="19"/>
  <c r="HP33" i="19"/>
  <c r="HO33" i="19"/>
  <c r="HN33" i="19"/>
  <c r="HM33" i="19"/>
  <c r="HS38" i="19"/>
  <c r="HR38" i="19"/>
  <c r="HP38" i="19"/>
  <c r="HO38" i="19"/>
  <c r="HN38" i="19"/>
  <c r="HM38" i="19"/>
  <c r="HS29" i="19"/>
  <c r="HR29" i="19"/>
  <c r="HP29" i="19"/>
  <c r="HO29" i="19"/>
  <c r="HN29" i="19"/>
  <c r="HM29" i="19"/>
  <c r="HS26" i="19"/>
  <c r="HR26" i="19"/>
  <c r="HP26" i="19"/>
  <c r="HO26" i="19"/>
  <c r="HN26" i="19"/>
  <c r="HM26" i="19"/>
  <c r="HS22" i="19"/>
  <c r="HR22" i="19"/>
  <c r="HP22" i="19"/>
  <c r="HO22" i="19"/>
  <c r="HN22" i="19"/>
  <c r="HM22" i="19"/>
  <c r="HS24" i="19"/>
  <c r="HR24" i="19"/>
  <c r="HP24" i="19"/>
  <c r="HO24" i="19"/>
  <c r="HN24" i="19"/>
  <c r="HM24" i="19"/>
  <c r="HS16" i="19"/>
  <c r="HR16" i="19"/>
  <c r="HP16" i="19"/>
  <c r="HO16" i="19"/>
  <c r="HN16" i="19"/>
  <c r="HM16" i="19"/>
  <c r="HS23" i="19"/>
  <c r="HR23" i="19"/>
  <c r="HP23" i="19"/>
  <c r="HO23" i="19"/>
  <c r="HN23" i="19"/>
  <c r="HM23" i="19"/>
  <c r="HS13" i="19"/>
  <c r="HR13" i="19"/>
  <c r="HP13" i="19"/>
  <c r="HO13" i="19"/>
  <c r="HN13" i="19"/>
  <c r="HM13" i="19"/>
  <c r="HS34" i="19"/>
  <c r="HR34" i="19"/>
  <c r="HP34" i="19"/>
  <c r="HO34" i="19"/>
  <c r="HN34" i="19"/>
  <c r="HM34" i="19"/>
  <c r="HS27" i="19"/>
  <c r="HR27" i="19"/>
  <c r="HP27" i="19"/>
  <c r="HO27" i="19"/>
  <c r="HN27" i="19"/>
  <c r="HM27" i="19"/>
  <c r="HS32" i="19"/>
  <c r="HR32" i="19"/>
  <c r="HP32" i="19"/>
  <c r="HO32" i="19"/>
  <c r="HN32" i="19"/>
  <c r="HM32" i="19"/>
  <c r="HS30" i="19"/>
  <c r="HR30" i="19"/>
  <c r="HP30" i="19"/>
  <c r="HO30" i="19"/>
  <c r="HN30" i="19"/>
  <c r="HM30" i="19"/>
  <c r="HS28" i="19"/>
  <c r="HR28" i="19"/>
  <c r="HP28" i="19"/>
  <c r="HO28" i="19"/>
  <c r="HN28" i="19"/>
  <c r="HM28" i="19"/>
  <c r="HS19" i="19"/>
  <c r="HR19" i="19"/>
  <c r="HP19" i="19"/>
  <c r="HO19" i="19"/>
  <c r="HN19" i="19"/>
  <c r="HM19" i="19"/>
  <c r="HS9" i="19"/>
  <c r="HR9" i="19"/>
  <c r="HP9" i="19"/>
  <c r="HO9" i="19"/>
  <c r="HN9" i="19"/>
  <c r="HM9" i="19"/>
  <c r="HS11" i="19"/>
  <c r="HR11" i="19"/>
  <c r="HP11" i="19"/>
  <c r="HO11" i="19"/>
  <c r="HN11" i="19"/>
  <c r="HM11" i="19"/>
  <c r="HS18" i="19"/>
  <c r="HR18" i="19"/>
  <c r="HP18" i="19"/>
  <c r="HO18" i="19"/>
  <c r="HN18" i="19"/>
  <c r="HM18" i="19"/>
  <c r="HS10" i="19"/>
  <c r="HR10" i="19"/>
  <c r="HP10" i="19"/>
  <c r="HO10" i="19"/>
  <c r="HN10" i="19"/>
  <c r="HM10" i="19"/>
  <c r="HS15" i="19"/>
  <c r="HR15" i="19"/>
  <c r="HP15" i="19"/>
  <c r="HO15" i="19"/>
  <c r="HN15" i="19"/>
  <c r="HM15" i="19"/>
  <c r="HS7" i="19"/>
  <c r="HR7" i="19"/>
  <c r="HP7" i="19"/>
  <c r="HO7" i="19"/>
  <c r="HN7" i="19"/>
  <c r="HM7" i="19"/>
  <c r="HS8" i="19"/>
  <c r="HR8" i="19"/>
  <c r="HP8" i="19"/>
  <c r="HO8" i="19"/>
  <c r="HN8" i="19"/>
  <c r="HM8" i="19"/>
  <c r="HS5" i="19"/>
  <c r="HR5" i="19"/>
  <c r="HP5" i="19"/>
  <c r="HO5" i="19"/>
  <c r="HN5" i="19"/>
  <c r="HM5" i="19"/>
  <c r="HS6" i="19"/>
  <c r="HR6" i="19"/>
  <c r="HP6" i="19"/>
  <c r="HO6" i="19"/>
  <c r="HN6" i="19"/>
  <c r="HM6" i="19"/>
  <c r="HS4" i="19"/>
  <c r="HR4" i="19"/>
  <c r="HP4" i="19"/>
  <c r="HO4" i="19"/>
  <c r="HN4" i="19"/>
  <c r="HM4" i="19"/>
  <c r="GQ25" i="19"/>
  <c r="GP25" i="19"/>
  <c r="GN25" i="19"/>
  <c r="GM25" i="19"/>
  <c r="GL25" i="19"/>
  <c r="GK25" i="19"/>
  <c r="GQ37" i="19"/>
  <c r="GP37" i="19"/>
  <c r="GN37" i="19"/>
  <c r="GM37" i="19"/>
  <c r="GL37" i="19"/>
  <c r="GK37" i="19"/>
  <c r="GQ36" i="19"/>
  <c r="GP36" i="19"/>
  <c r="GN36" i="19"/>
  <c r="GM36" i="19"/>
  <c r="GL36" i="19"/>
  <c r="GK36" i="19"/>
  <c r="GQ35" i="19"/>
  <c r="GP35" i="19"/>
  <c r="GN35" i="19"/>
  <c r="GM35" i="19"/>
  <c r="GL35" i="19"/>
  <c r="GK35" i="19"/>
  <c r="GQ33" i="19"/>
  <c r="GP33" i="19"/>
  <c r="GN33" i="19"/>
  <c r="GM33" i="19"/>
  <c r="GL33" i="19"/>
  <c r="GK33" i="19"/>
  <c r="GQ38" i="19"/>
  <c r="GP38" i="19"/>
  <c r="GN38" i="19"/>
  <c r="GM38" i="19"/>
  <c r="GL38" i="19"/>
  <c r="GK38" i="19"/>
  <c r="GQ29" i="19"/>
  <c r="GP29" i="19"/>
  <c r="GN29" i="19"/>
  <c r="GM29" i="19"/>
  <c r="GL29" i="19"/>
  <c r="GK29" i="19"/>
  <c r="GQ26" i="19"/>
  <c r="GP26" i="19"/>
  <c r="GN26" i="19"/>
  <c r="GM26" i="19"/>
  <c r="GL26" i="19"/>
  <c r="GK26" i="19"/>
  <c r="GQ22" i="19"/>
  <c r="GP22" i="19"/>
  <c r="GN22" i="19"/>
  <c r="GM22" i="19"/>
  <c r="GL22" i="19"/>
  <c r="GK22" i="19"/>
  <c r="GQ24" i="19"/>
  <c r="GP24" i="19"/>
  <c r="GN24" i="19"/>
  <c r="GM24" i="19"/>
  <c r="GL24" i="19"/>
  <c r="GK24" i="19"/>
  <c r="GQ16" i="19"/>
  <c r="GP16" i="19"/>
  <c r="GN16" i="19"/>
  <c r="GM16" i="19"/>
  <c r="GL16" i="19"/>
  <c r="GK16" i="19"/>
  <c r="GQ23" i="19"/>
  <c r="GP23" i="19"/>
  <c r="GN23" i="19"/>
  <c r="GM23" i="19"/>
  <c r="GL23" i="19"/>
  <c r="GK23" i="19"/>
  <c r="GQ13" i="19"/>
  <c r="GP13" i="19"/>
  <c r="GN13" i="19"/>
  <c r="GM13" i="19"/>
  <c r="GL13" i="19"/>
  <c r="GK13" i="19"/>
  <c r="GQ34" i="19"/>
  <c r="GP34" i="19"/>
  <c r="GN34" i="19"/>
  <c r="GM34" i="19"/>
  <c r="GL34" i="19"/>
  <c r="GK34" i="19"/>
  <c r="GQ27" i="19"/>
  <c r="GP27" i="19"/>
  <c r="GN27" i="19"/>
  <c r="GM27" i="19"/>
  <c r="GL27" i="19"/>
  <c r="GK27" i="19"/>
  <c r="GQ32" i="19"/>
  <c r="GP32" i="19"/>
  <c r="GN32" i="19"/>
  <c r="GM32" i="19"/>
  <c r="GL32" i="19"/>
  <c r="GK32" i="19"/>
  <c r="GQ30" i="19"/>
  <c r="GP30" i="19"/>
  <c r="GN30" i="19"/>
  <c r="GM30" i="19"/>
  <c r="GL30" i="19"/>
  <c r="GK30" i="19"/>
  <c r="GQ28" i="19"/>
  <c r="GP28" i="19"/>
  <c r="GN28" i="19"/>
  <c r="GM28" i="19"/>
  <c r="GL28" i="19"/>
  <c r="GK28" i="19"/>
  <c r="GQ19" i="19"/>
  <c r="GP19" i="19"/>
  <c r="GN19" i="19"/>
  <c r="GM19" i="19"/>
  <c r="GL19" i="19"/>
  <c r="GK19" i="19"/>
  <c r="GQ9" i="19"/>
  <c r="GP9" i="19"/>
  <c r="GN9" i="19"/>
  <c r="GM9" i="19"/>
  <c r="GL9" i="19"/>
  <c r="GK9" i="19"/>
  <c r="GQ11" i="19"/>
  <c r="GP11" i="19"/>
  <c r="GN11" i="19"/>
  <c r="GM11" i="19"/>
  <c r="GL11" i="19"/>
  <c r="GK11" i="19"/>
  <c r="GQ18" i="19"/>
  <c r="GP18" i="19"/>
  <c r="GN18" i="19"/>
  <c r="GM18" i="19"/>
  <c r="GL18" i="19"/>
  <c r="GK18" i="19"/>
  <c r="GQ10" i="19"/>
  <c r="GP10" i="19"/>
  <c r="GN10" i="19"/>
  <c r="GM10" i="19"/>
  <c r="GL10" i="19"/>
  <c r="GK10" i="19"/>
  <c r="GQ15" i="19"/>
  <c r="GP15" i="19"/>
  <c r="GN15" i="19"/>
  <c r="GM15" i="19"/>
  <c r="GL15" i="19"/>
  <c r="GK15" i="19"/>
  <c r="GQ7" i="19"/>
  <c r="GP7" i="19"/>
  <c r="GN7" i="19"/>
  <c r="GM7" i="19"/>
  <c r="GL7" i="19"/>
  <c r="GK7" i="19"/>
  <c r="GQ8" i="19"/>
  <c r="GP8" i="19"/>
  <c r="GN8" i="19"/>
  <c r="GM8" i="19"/>
  <c r="GL8" i="19"/>
  <c r="GK8" i="19"/>
  <c r="GQ5" i="19"/>
  <c r="GP5" i="19"/>
  <c r="GN5" i="19"/>
  <c r="GM5" i="19"/>
  <c r="GL5" i="19"/>
  <c r="GK5" i="19"/>
  <c r="GQ6" i="19"/>
  <c r="GP6" i="19"/>
  <c r="GN6" i="19"/>
  <c r="GM6" i="19"/>
  <c r="GL6" i="19"/>
  <c r="GK6" i="19"/>
  <c r="GQ4" i="19"/>
  <c r="GP4" i="19"/>
  <c r="GN4" i="19"/>
  <c r="GM4" i="19"/>
  <c r="GL4" i="19"/>
  <c r="GK4" i="19"/>
  <c r="FO25" i="19"/>
  <c r="FN25" i="19"/>
  <c r="FL25" i="19"/>
  <c r="FK25" i="19"/>
  <c r="FJ25" i="19"/>
  <c r="FI25" i="19"/>
  <c r="FO37" i="19"/>
  <c r="FN37" i="19"/>
  <c r="FL37" i="19"/>
  <c r="FK37" i="19"/>
  <c r="FJ37" i="19"/>
  <c r="FI37" i="19"/>
  <c r="FO36" i="19"/>
  <c r="FN36" i="19"/>
  <c r="FL36" i="19"/>
  <c r="FK36" i="19"/>
  <c r="FJ36" i="19"/>
  <c r="FI36" i="19"/>
  <c r="FO35" i="19"/>
  <c r="FN35" i="19"/>
  <c r="FL35" i="19"/>
  <c r="FK35" i="19"/>
  <c r="FJ35" i="19"/>
  <c r="FI35" i="19"/>
  <c r="FO33" i="19"/>
  <c r="FN33" i="19"/>
  <c r="FL33" i="19"/>
  <c r="FK33" i="19"/>
  <c r="FJ33" i="19"/>
  <c r="FI33" i="19"/>
  <c r="FO38" i="19"/>
  <c r="FN38" i="19"/>
  <c r="FL38" i="19"/>
  <c r="FK38" i="19"/>
  <c r="FJ38" i="19"/>
  <c r="FI38" i="19"/>
  <c r="FO29" i="19"/>
  <c r="FN29" i="19"/>
  <c r="FL29" i="19"/>
  <c r="FK29" i="19"/>
  <c r="FJ29" i="19"/>
  <c r="FI29" i="19"/>
  <c r="FO26" i="19"/>
  <c r="FN26" i="19"/>
  <c r="FL26" i="19"/>
  <c r="FK26" i="19"/>
  <c r="FJ26" i="19"/>
  <c r="FI26" i="19"/>
  <c r="FO22" i="19"/>
  <c r="FN22" i="19"/>
  <c r="FL22" i="19"/>
  <c r="FK22" i="19"/>
  <c r="FJ22" i="19"/>
  <c r="FI22" i="19"/>
  <c r="FO24" i="19"/>
  <c r="FN24" i="19"/>
  <c r="FL24" i="19"/>
  <c r="FK24" i="19"/>
  <c r="FJ24" i="19"/>
  <c r="FI24" i="19"/>
  <c r="FO16" i="19"/>
  <c r="FN16" i="19"/>
  <c r="FL16" i="19"/>
  <c r="FK16" i="19"/>
  <c r="FJ16" i="19"/>
  <c r="FI16" i="19"/>
  <c r="FO23" i="19"/>
  <c r="FN23" i="19"/>
  <c r="FL23" i="19"/>
  <c r="FK23" i="19"/>
  <c r="FJ23" i="19"/>
  <c r="FI23" i="19"/>
  <c r="FO13" i="19"/>
  <c r="FN13" i="19"/>
  <c r="FL13" i="19"/>
  <c r="FK13" i="19"/>
  <c r="FJ13" i="19"/>
  <c r="FI13" i="19"/>
  <c r="FO34" i="19"/>
  <c r="FN34" i="19"/>
  <c r="FL34" i="19"/>
  <c r="FK34" i="19"/>
  <c r="FJ34" i="19"/>
  <c r="FI34" i="19"/>
  <c r="FO27" i="19"/>
  <c r="FN27" i="19"/>
  <c r="FL27" i="19"/>
  <c r="FK27" i="19"/>
  <c r="FJ27" i="19"/>
  <c r="FI27" i="19"/>
  <c r="FO32" i="19"/>
  <c r="FN32" i="19"/>
  <c r="FL32" i="19"/>
  <c r="FK32" i="19"/>
  <c r="FJ32" i="19"/>
  <c r="FI32" i="19"/>
  <c r="FO30" i="19"/>
  <c r="FN30" i="19"/>
  <c r="FL30" i="19"/>
  <c r="FK30" i="19"/>
  <c r="FJ30" i="19"/>
  <c r="FI30" i="19"/>
  <c r="FO28" i="19"/>
  <c r="FN28" i="19"/>
  <c r="FL28" i="19"/>
  <c r="FK28" i="19"/>
  <c r="FJ28" i="19"/>
  <c r="FI28" i="19"/>
  <c r="FO19" i="19"/>
  <c r="FN19" i="19"/>
  <c r="FL19" i="19"/>
  <c r="FK19" i="19"/>
  <c r="FJ19" i="19"/>
  <c r="FI19" i="19"/>
  <c r="FO9" i="19"/>
  <c r="FN9" i="19"/>
  <c r="FL9" i="19"/>
  <c r="FK9" i="19"/>
  <c r="FJ9" i="19"/>
  <c r="FI9" i="19"/>
  <c r="FO11" i="19"/>
  <c r="FN11" i="19"/>
  <c r="FL11" i="19"/>
  <c r="FK11" i="19"/>
  <c r="FJ11" i="19"/>
  <c r="FI11" i="19"/>
  <c r="FO18" i="19"/>
  <c r="FN18" i="19"/>
  <c r="FL18" i="19"/>
  <c r="FK18" i="19"/>
  <c r="FJ18" i="19"/>
  <c r="FI18" i="19"/>
  <c r="FO10" i="19"/>
  <c r="FN10" i="19"/>
  <c r="FL10" i="19"/>
  <c r="FK10" i="19"/>
  <c r="FJ10" i="19"/>
  <c r="FI10" i="19"/>
  <c r="FO15" i="19"/>
  <c r="FN15" i="19"/>
  <c r="FL15" i="19"/>
  <c r="FK15" i="19"/>
  <c r="FJ15" i="19"/>
  <c r="FI15" i="19"/>
  <c r="FO7" i="19"/>
  <c r="FN7" i="19"/>
  <c r="FL7" i="19"/>
  <c r="FK7" i="19"/>
  <c r="FJ7" i="19"/>
  <c r="FI7" i="19"/>
  <c r="FO8" i="19"/>
  <c r="FN8" i="19"/>
  <c r="FL8" i="19"/>
  <c r="FK8" i="19"/>
  <c r="FJ8" i="19"/>
  <c r="FI8" i="19"/>
  <c r="FO5" i="19"/>
  <c r="FN5" i="19"/>
  <c r="FL5" i="19"/>
  <c r="FK5" i="19"/>
  <c r="FJ5" i="19"/>
  <c r="FI5" i="19"/>
  <c r="FO6" i="19"/>
  <c r="FN6" i="19"/>
  <c r="FL6" i="19"/>
  <c r="FK6" i="19"/>
  <c r="FJ6" i="19"/>
  <c r="FI6" i="19"/>
  <c r="FO4" i="19"/>
  <c r="FN4" i="19"/>
  <c r="FL4" i="19"/>
  <c r="FK4" i="19"/>
  <c r="FJ4" i="19"/>
  <c r="FI4" i="19"/>
  <c r="EM25" i="19"/>
  <c r="EL25" i="19"/>
  <c r="EJ25" i="19"/>
  <c r="EI25" i="19"/>
  <c r="EH25" i="19"/>
  <c r="EG25" i="19"/>
  <c r="EM37" i="19"/>
  <c r="EL37" i="19"/>
  <c r="EJ37" i="19"/>
  <c r="EI37" i="19"/>
  <c r="EH37" i="19"/>
  <c r="EG37" i="19"/>
  <c r="EM36" i="19"/>
  <c r="EL36" i="19"/>
  <c r="EJ36" i="19"/>
  <c r="EI36" i="19"/>
  <c r="EH36" i="19"/>
  <c r="EG36" i="19"/>
  <c r="EM35" i="19"/>
  <c r="EL35" i="19"/>
  <c r="EJ35" i="19"/>
  <c r="EI35" i="19"/>
  <c r="EH35" i="19"/>
  <c r="EG35" i="19"/>
  <c r="EM33" i="19"/>
  <c r="EL33" i="19"/>
  <c r="EJ33" i="19"/>
  <c r="EI33" i="19"/>
  <c r="EH33" i="19"/>
  <c r="EG33" i="19"/>
  <c r="EM38" i="19"/>
  <c r="EL38" i="19"/>
  <c r="EJ38" i="19"/>
  <c r="EI38" i="19"/>
  <c r="EH38" i="19"/>
  <c r="EG38" i="19"/>
  <c r="EM29" i="19"/>
  <c r="EL29" i="19"/>
  <c r="EJ29" i="19"/>
  <c r="EI29" i="19"/>
  <c r="EH29" i="19"/>
  <c r="EG29" i="19"/>
  <c r="EM26" i="19"/>
  <c r="EL26" i="19"/>
  <c r="EJ26" i="19"/>
  <c r="EI26" i="19"/>
  <c r="EH26" i="19"/>
  <c r="EG26" i="19"/>
  <c r="EM22" i="19"/>
  <c r="EL22" i="19"/>
  <c r="EJ22" i="19"/>
  <c r="EI22" i="19"/>
  <c r="EH22" i="19"/>
  <c r="EG22" i="19"/>
  <c r="EM24" i="19"/>
  <c r="EL24" i="19"/>
  <c r="EJ24" i="19"/>
  <c r="EI24" i="19"/>
  <c r="EH24" i="19"/>
  <c r="EG24" i="19"/>
  <c r="EM16" i="19"/>
  <c r="EL16" i="19"/>
  <c r="EJ16" i="19"/>
  <c r="EI16" i="19"/>
  <c r="EH16" i="19"/>
  <c r="EG16" i="19"/>
  <c r="EM23" i="19"/>
  <c r="EL23" i="19"/>
  <c r="EJ23" i="19"/>
  <c r="EI23" i="19"/>
  <c r="EH23" i="19"/>
  <c r="EG23" i="19"/>
  <c r="EM13" i="19"/>
  <c r="EL13" i="19"/>
  <c r="EJ13" i="19"/>
  <c r="EI13" i="19"/>
  <c r="EH13" i="19"/>
  <c r="EG13" i="19"/>
  <c r="EM34" i="19"/>
  <c r="EL34" i="19"/>
  <c r="EJ34" i="19"/>
  <c r="EI34" i="19"/>
  <c r="EH34" i="19"/>
  <c r="EG34" i="19"/>
  <c r="EM27" i="19"/>
  <c r="EL27" i="19"/>
  <c r="EJ27" i="19"/>
  <c r="EI27" i="19"/>
  <c r="EH27" i="19"/>
  <c r="EG27" i="19"/>
  <c r="EM32" i="19"/>
  <c r="EL32" i="19"/>
  <c r="EJ32" i="19"/>
  <c r="EI32" i="19"/>
  <c r="EH32" i="19"/>
  <c r="EG32" i="19"/>
  <c r="EM30" i="19"/>
  <c r="EL30" i="19"/>
  <c r="EJ30" i="19"/>
  <c r="EI30" i="19"/>
  <c r="EH30" i="19"/>
  <c r="EG30" i="19"/>
  <c r="EM28" i="19"/>
  <c r="EL28" i="19"/>
  <c r="EJ28" i="19"/>
  <c r="EI28" i="19"/>
  <c r="EH28" i="19"/>
  <c r="EG28" i="19"/>
  <c r="EM19" i="19"/>
  <c r="EL19" i="19"/>
  <c r="EJ19" i="19"/>
  <c r="EI19" i="19"/>
  <c r="EH19" i="19"/>
  <c r="EG19" i="19"/>
  <c r="EM9" i="19"/>
  <c r="EL9" i="19"/>
  <c r="EJ9" i="19"/>
  <c r="EI9" i="19"/>
  <c r="EH9" i="19"/>
  <c r="EG9" i="19"/>
  <c r="EM11" i="19"/>
  <c r="EL11" i="19"/>
  <c r="EJ11" i="19"/>
  <c r="EI11" i="19"/>
  <c r="EH11" i="19"/>
  <c r="EG11" i="19"/>
  <c r="EM18" i="19"/>
  <c r="EL18" i="19"/>
  <c r="EJ18" i="19"/>
  <c r="EI18" i="19"/>
  <c r="EH18" i="19"/>
  <c r="EG18" i="19"/>
  <c r="EM10" i="19"/>
  <c r="EL10" i="19"/>
  <c r="EJ10" i="19"/>
  <c r="EI10" i="19"/>
  <c r="EH10" i="19"/>
  <c r="EG10" i="19"/>
  <c r="EM15" i="19"/>
  <c r="EL15" i="19"/>
  <c r="EJ15" i="19"/>
  <c r="EI15" i="19"/>
  <c r="EH15" i="19"/>
  <c r="EG15" i="19"/>
  <c r="EM7" i="19"/>
  <c r="EL7" i="19"/>
  <c r="EJ7" i="19"/>
  <c r="EI7" i="19"/>
  <c r="EH7" i="19"/>
  <c r="EG7" i="19"/>
  <c r="EM8" i="19"/>
  <c r="EL8" i="19"/>
  <c r="EJ8" i="19"/>
  <c r="EI8" i="19"/>
  <c r="EH8" i="19"/>
  <c r="EG8" i="19"/>
  <c r="EM5" i="19"/>
  <c r="EL5" i="19"/>
  <c r="EJ5" i="19"/>
  <c r="EI5" i="19"/>
  <c r="EH5" i="19"/>
  <c r="EG5" i="19"/>
  <c r="EM6" i="19"/>
  <c r="EL6" i="19"/>
  <c r="EJ6" i="19"/>
  <c r="EI6" i="19"/>
  <c r="EH6" i="19"/>
  <c r="EG6" i="19"/>
  <c r="EM4" i="19"/>
  <c r="EL4" i="19"/>
  <c r="EJ4" i="19"/>
  <c r="EI4" i="19"/>
  <c r="EH4" i="19"/>
  <c r="EG4" i="19"/>
  <c r="DK25" i="19"/>
  <c r="DJ25" i="19"/>
  <c r="DH25" i="19"/>
  <c r="DG25" i="19"/>
  <c r="DF25" i="19"/>
  <c r="DE25" i="19"/>
  <c r="DK37" i="19"/>
  <c r="DJ37" i="19"/>
  <c r="DH37" i="19"/>
  <c r="DG37" i="19"/>
  <c r="DF37" i="19"/>
  <c r="DE37" i="19"/>
  <c r="DK36" i="19"/>
  <c r="DJ36" i="19"/>
  <c r="DH36" i="19"/>
  <c r="DG36" i="19"/>
  <c r="DF36" i="19"/>
  <c r="DE36" i="19"/>
  <c r="DK35" i="19"/>
  <c r="DJ35" i="19"/>
  <c r="DH35" i="19"/>
  <c r="DG35" i="19"/>
  <c r="DF35" i="19"/>
  <c r="DE35" i="19"/>
  <c r="DK33" i="19"/>
  <c r="DJ33" i="19"/>
  <c r="DH33" i="19"/>
  <c r="DG33" i="19"/>
  <c r="DF33" i="19"/>
  <c r="DE33" i="19"/>
  <c r="DK38" i="19"/>
  <c r="DJ38" i="19"/>
  <c r="DH38" i="19"/>
  <c r="DG38" i="19"/>
  <c r="DF38" i="19"/>
  <c r="DE38" i="19"/>
  <c r="DK29" i="19"/>
  <c r="DJ29" i="19"/>
  <c r="DH29" i="19"/>
  <c r="DG29" i="19"/>
  <c r="DF29" i="19"/>
  <c r="DE29" i="19"/>
  <c r="DK26" i="19"/>
  <c r="DJ26" i="19"/>
  <c r="DH26" i="19"/>
  <c r="DG26" i="19"/>
  <c r="DF26" i="19"/>
  <c r="DE26" i="19"/>
  <c r="DK22" i="19"/>
  <c r="DJ22" i="19"/>
  <c r="DH22" i="19"/>
  <c r="DG22" i="19"/>
  <c r="DF22" i="19"/>
  <c r="DE22" i="19"/>
  <c r="DK24" i="19"/>
  <c r="DJ24" i="19"/>
  <c r="DH24" i="19"/>
  <c r="DG24" i="19"/>
  <c r="DF24" i="19"/>
  <c r="DE24" i="19"/>
  <c r="DK16" i="19"/>
  <c r="DJ16" i="19"/>
  <c r="DH16" i="19"/>
  <c r="DG16" i="19"/>
  <c r="DF16" i="19"/>
  <c r="DE16" i="19"/>
  <c r="DK23" i="19"/>
  <c r="DJ23" i="19"/>
  <c r="DH23" i="19"/>
  <c r="DG23" i="19"/>
  <c r="DF23" i="19"/>
  <c r="DE23" i="19"/>
  <c r="DK13" i="19"/>
  <c r="DJ13" i="19"/>
  <c r="DH13" i="19"/>
  <c r="DG13" i="19"/>
  <c r="DF13" i="19"/>
  <c r="DE13" i="19"/>
  <c r="DK34" i="19"/>
  <c r="DJ34" i="19"/>
  <c r="DH34" i="19"/>
  <c r="DG34" i="19"/>
  <c r="DF34" i="19"/>
  <c r="DE34" i="19"/>
  <c r="DK27" i="19"/>
  <c r="DJ27" i="19"/>
  <c r="DH27" i="19"/>
  <c r="DG27" i="19"/>
  <c r="DF27" i="19"/>
  <c r="DE27" i="19"/>
  <c r="DK32" i="19"/>
  <c r="DJ32" i="19"/>
  <c r="DH32" i="19"/>
  <c r="DG32" i="19"/>
  <c r="DF32" i="19"/>
  <c r="DE32" i="19"/>
  <c r="DK30" i="19"/>
  <c r="DJ30" i="19"/>
  <c r="DH30" i="19"/>
  <c r="DG30" i="19"/>
  <c r="DF30" i="19"/>
  <c r="DE30" i="19"/>
  <c r="DK28" i="19"/>
  <c r="DJ28" i="19"/>
  <c r="DH28" i="19"/>
  <c r="DG28" i="19"/>
  <c r="DF28" i="19"/>
  <c r="DE28" i="19"/>
  <c r="DK19" i="19"/>
  <c r="DJ19" i="19"/>
  <c r="DH19" i="19"/>
  <c r="DG19" i="19"/>
  <c r="DF19" i="19"/>
  <c r="DE19" i="19"/>
  <c r="DK9" i="19"/>
  <c r="DJ9" i="19"/>
  <c r="DH9" i="19"/>
  <c r="DG9" i="19"/>
  <c r="DF9" i="19"/>
  <c r="DE9" i="19"/>
  <c r="DK11" i="19"/>
  <c r="DJ11" i="19"/>
  <c r="DH11" i="19"/>
  <c r="DG11" i="19"/>
  <c r="DF11" i="19"/>
  <c r="DE11" i="19"/>
  <c r="DK18" i="19"/>
  <c r="DJ18" i="19"/>
  <c r="DH18" i="19"/>
  <c r="DG18" i="19"/>
  <c r="DF18" i="19"/>
  <c r="DE18" i="19"/>
  <c r="DK10" i="19"/>
  <c r="DJ10" i="19"/>
  <c r="DH10" i="19"/>
  <c r="DG10" i="19"/>
  <c r="DF10" i="19"/>
  <c r="DE10" i="19"/>
  <c r="DK15" i="19"/>
  <c r="DJ15" i="19"/>
  <c r="DH15" i="19"/>
  <c r="DG15" i="19"/>
  <c r="DF15" i="19"/>
  <c r="DE15" i="19"/>
  <c r="DK7" i="19"/>
  <c r="DJ7" i="19"/>
  <c r="DH7" i="19"/>
  <c r="DG7" i="19"/>
  <c r="DF7" i="19"/>
  <c r="DE7" i="19"/>
  <c r="DK8" i="19"/>
  <c r="DJ8" i="19"/>
  <c r="DH8" i="19"/>
  <c r="DG8" i="19"/>
  <c r="DF8" i="19"/>
  <c r="DE8" i="19"/>
  <c r="DK5" i="19"/>
  <c r="DJ5" i="19"/>
  <c r="DH5" i="19"/>
  <c r="DG5" i="19"/>
  <c r="DF5" i="19"/>
  <c r="DE5" i="19"/>
  <c r="DK6" i="19"/>
  <c r="DJ6" i="19"/>
  <c r="DH6" i="19"/>
  <c r="DG6" i="19"/>
  <c r="DF6" i="19"/>
  <c r="DE6" i="19"/>
  <c r="DK4" i="19"/>
  <c r="DJ4" i="19"/>
  <c r="DH4" i="19"/>
  <c r="DG4" i="19"/>
  <c r="DF4" i="19"/>
  <c r="DE4" i="19"/>
  <c r="OE17" i="27"/>
  <c r="OD17" i="27"/>
  <c r="OB17" i="27"/>
  <c r="OA17" i="27"/>
  <c r="NZ17" i="27"/>
  <c r="NY17" i="27"/>
  <c r="OE12" i="27"/>
  <c r="OD12" i="27"/>
  <c r="OB12" i="27"/>
  <c r="OA12" i="27"/>
  <c r="NZ12" i="27"/>
  <c r="NY12" i="27"/>
  <c r="OE9" i="27"/>
  <c r="OD9" i="27"/>
  <c r="OB9" i="27"/>
  <c r="OA9" i="27"/>
  <c r="NZ9" i="27"/>
  <c r="NY9" i="27"/>
  <c r="OE11" i="27"/>
  <c r="OD11" i="27"/>
  <c r="OB11" i="27"/>
  <c r="OA11" i="27"/>
  <c r="NZ11" i="27"/>
  <c r="NY11" i="27"/>
  <c r="OE14" i="27"/>
  <c r="OD14" i="27"/>
  <c r="OB14" i="27"/>
  <c r="OA14" i="27"/>
  <c r="NZ14" i="27"/>
  <c r="NY14" i="27"/>
  <c r="OE6" i="27"/>
  <c r="OD6" i="27"/>
  <c r="OB6" i="27"/>
  <c r="OA6" i="27"/>
  <c r="NZ6" i="27"/>
  <c r="NY6" i="27"/>
  <c r="OE16" i="27"/>
  <c r="OD16" i="27"/>
  <c r="OB16" i="27"/>
  <c r="OA16" i="27"/>
  <c r="NZ16" i="27"/>
  <c r="NY16" i="27"/>
  <c r="OE7" i="27"/>
  <c r="OD7" i="27"/>
  <c r="OB7" i="27"/>
  <c r="OA7" i="27"/>
  <c r="NZ7" i="27"/>
  <c r="NY7" i="27"/>
  <c r="OE8" i="27"/>
  <c r="OD8" i="27"/>
  <c r="OB8" i="27"/>
  <c r="OA8" i="27"/>
  <c r="NZ8" i="27"/>
  <c r="NY8" i="27"/>
  <c r="OE5" i="27"/>
  <c r="OD5" i="27"/>
  <c r="OB5" i="27"/>
  <c r="OA5" i="27"/>
  <c r="NZ5" i="27"/>
  <c r="NY5" i="27"/>
  <c r="OE4" i="27"/>
  <c r="OD4" i="27"/>
  <c r="OB4" i="27"/>
  <c r="OA4" i="27"/>
  <c r="NZ4" i="27"/>
  <c r="NY4" i="27"/>
  <c r="NC17" i="27"/>
  <c r="NB17" i="27"/>
  <c r="MZ17" i="27"/>
  <c r="MY17" i="27"/>
  <c r="MX17" i="27"/>
  <c r="MW17" i="27"/>
  <c r="NC12" i="27"/>
  <c r="NB12" i="27"/>
  <c r="MZ12" i="27"/>
  <c r="MY12" i="27"/>
  <c r="MX12" i="27"/>
  <c r="MW12" i="27"/>
  <c r="NC9" i="27"/>
  <c r="NB9" i="27"/>
  <c r="MZ9" i="27"/>
  <c r="MY9" i="27"/>
  <c r="MX9" i="27"/>
  <c r="MW9" i="27"/>
  <c r="NC11" i="27"/>
  <c r="NB11" i="27"/>
  <c r="MZ11" i="27"/>
  <c r="MY11" i="27"/>
  <c r="MX11" i="27"/>
  <c r="MW11" i="27"/>
  <c r="NC14" i="27"/>
  <c r="NB14" i="27"/>
  <c r="MZ14" i="27"/>
  <c r="MY14" i="27"/>
  <c r="MX14" i="27"/>
  <c r="MW14" i="27"/>
  <c r="NC6" i="27"/>
  <c r="NB6" i="27"/>
  <c r="MZ6" i="27"/>
  <c r="MY6" i="27"/>
  <c r="MX6" i="27"/>
  <c r="MW6" i="27"/>
  <c r="NC16" i="27"/>
  <c r="NB16" i="27"/>
  <c r="MZ16" i="27"/>
  <c r="MY16" i="27"/>
  <c r="MX16" i="27"/>
  <c r="MW16" i="27"/>
  <c r="NC7" i="27"/>
  <c r="NB7" i="27"/>
  <c r="MZ7" i="27"/>
  <c r="MY7" i="27"/>
  <c r="MX7" i="27"/>
  <c r="MW7" i="27"/>
  <c r="NC8" i="27"/>
  <c r="NB8" i="27"/>
  <c r="MZ8" i="27"/>
  <c r="MY8" i="27"/>
  <c r="MX8" i="27"/>
  <c r="MW8" i="27"/>
  <c r="NC5" i="27"/>
  <c r="NB5" i="27"/>
  <c r="MZ5" i="27"/>
  <c r="MY5" i="27"/>
  <c r="MX5" i="27"/>
  <c r="MW5" i="27"/>
  <c r="NC4" i="27"/>
  <c r="NB4" i="27"/>
  <c r="MZ4" i="27"/>
  <c r="MY4" i="27"/>
  <c r="MX4" i="27"/>
  <c r="MW4" i="27"/>
  <c r="MA17" i="27"/>
  <c r="LZ17" i="27"/>
  <c r="LX17" i="27"/>
  <c r="LW17" i="27"/>
  <c r="LV17" i="27"/>
  <c r="LU17" i="27"/>
  <c r="MA12" i="27"/>
  <c r="LZ12" i="27"/>
  <c r="LX12" i="27"/>
  <c r="LW12" i="27"/>
  <c r="LV12" i="27"/>
  <c r="LU12" i="27"/>
  <c r="MA9" i="27"/>
  <c r="LZ9" i="27"/>
  <c r="LX9" i="27"/>
  <c r="LW9" i="27"/>
  <c r="LV9" i="27"/>
  <c r="LU9" i="27"/>
  <c r="MA11" i="27"/>
  <c r="LZ11" i="27"/>
  <c r="LX11" i="27"/>
  <c r="LW11" i="27"/>
  <c r="LV11" i="27"/>
  <c r="LU11" i="27"/>
  <c r="MA14" i="27"/>
  <c r="LZ14" i="27"/>
  <c r="LX14" i="27"/>
  <c r="LW14" i="27"/>
  <c r="LV14" i="27"/>
  <c r="LU14" i="27"/>
  <c r="MA6" i="27"/>
  <c r="LZ6" i="27"/>
  <c r="LX6" i="27"/>
  <c r="LW6" i="27"/>
  <c r="LV6" i="27"/>
  <c r="LU6" i="27"/>
  <c r="MA16" i="27"/>
  <c r="LZ16" i="27"/>
  <c r="LX16" i="27"/>
  <c r="LW16" i="27"/>
  <c r="LV16" i="27"/>
  <c r="LU16" i="27"/>
  <c r="MA7" i="27"/>
  <c r="LZ7" i="27"/>
  <c r="LX7" i="27"/>
  <c r="LW7" i="27"/>
  <c r="LV7" i="27"/>
  <c r="LU7" i="27"/>
  <c r="MA8" i="27"/>
  <c r="LZ8" i="27"/>
  <c r="LX8" i="27"/>
  <c r="LW8" i="27"/>
  <c r="LV8" i="27"/>
  <c r="LU8" i="27"/>
  <c r="MA5" i="27"/>
  <c r="LZ5" i="27"/>
  <c r="LX5" i="27"/>
  <c r="LW5" i="27"/>
  <c r="LV5" i="27"/>
  <c r="LU5" i="27"/>
  <c r="MA4" i="27"/>
  <c r="LZ4" i="27"/>
  <c r="LX4" i="27"/>
  <c r="LW4" i="27"/>
  <c r="LV4" i="27"/>
  <c r="LU4" i="27"/>
  <c r="KY17" i="27"/>
  <c r="KX17" i="27"/>
  <c r="KV17" i="27"/>
  <c r="KU17" i="27"/>
  <c r="KT17" i="27"/>
  <c r="KS17" i="27"/>
  <c r="KY12" i="27"/>
  <c r="KX12" i="27"/>
  <c r="KV12" i="27"/>
  <c r="KU12" i="27"/>
  <c r="KT12" i="27"/>
  <c r="KS12" i="27"/>
  <c r="KY9" i="27"/>
  <c r="KX9" i="27"/>
  <c r="KV9" i="27"/>
  <c r="KU9" i="27"/>
  <c r="KT9" i="27"/>
  <c r="KS9" i="27"/>
  <c r="KY11" i="27"/>
  <c r="KX11" i="27"/>
  <c r="KV11" i="27"/>
  <c r="KU11" i="27"/>
  <c r="KT11" i="27"/>
  <c r="KS11" i="27"/>
  <c r="KY14" i="27"/>
  <c r="KX14" i="27"/>
  <c r="KV14" i="27"/>
  <c r="KU14" i="27"/>
  <c r="KT14" i="27"/>
  <c r="KS14" i="27"/>
  <c r="KY6" i="27"/>
  <c r="KX6" i="27"/>
  <c r="KV6" i="27"/>
  <c r="KU6" i="27"/>
  <c r="KT6" i="27"/>
  <c r="KS6" i="27"/>
  <c r="KY16" i="27"/>
  <c r="KX16" i="27"/>
  <c r="KV16" i="27"/>
  <c r="KU16" i="27"/>
  <c r="KT16" i="27"/>
  <c r="KS16" i="27"/>
  <c r="KY7" i="27"/>
  <c r="KX7" i="27"/>
  <c r="KV7" i="27"/>
  <c r="KU7" i="27"/>
  <c r="KT7" i="27"/>
  <c r="KS7" i="27"/>
  <c r="KY8" i="27"/>
  <c r="KX8" i="27"/>
  <c r="KV8" i="27"/>
  <c r="KU8" i="27"/>
  <c r="KT8" i="27"/>
  <c r="KS8" i="27"/>
  <c r="KY5" i="27"/>
  <c r="KX5" i="27"/>
  <c r="KV5" i="27"/>
  <c r="KU5" i="27"/>
  <c r="KT5" i="27"/>
  <c r="KS5" i="27"/>
  <c r="KY4" i="27"/>
  <c r="KX4" i="27"/>
  <c r="KV4" i="27"/>
  <c r="KU4" i="27"/>
  <c r="KT4" i="27"/>
  <c r="KS4" i="27"/>
  <c r="JW17" i="27"/>
  <c r="JV17" i="27"/>
  <c r="JT17" i="27"/>
  <c r="JS17" i="27"/>
  <c r="JR17" i="27"/>
  <c r="JQ17" i="27"/>
  <c r="JW12" i="27"/>
  <c r="JV12" i="27"/>
  <c r="JT12" i="27"/>
  <c r="JS12" i="27"/>
  <c r="JR12" i="27"/>
  <c r="JQ12" i="27"/>
  <c r="JW9" i="27"/>
  <c r="JV9" i="27"/>
  <c r="JT9" i="27"/>
  <c r="JS9" i="27"/>
  <c r="JR9" i="27"/>
  <c r="JQ9" i="27"/>
  <c r="JW11" i="27"/>
  <c r="JV11" i="27"/>
  <c r="JT11" i="27"/>
  <c r="JS11" i="27"/>
  <c r="JR11" i="27"/>
  <c r="JQ11" i="27"/>
  <c r="JW14" i="27"/>
  <c r="JV14" i="27"/>
  <c r="JT14" i="27"/>
  <c r="JS14" i="27"/>
  <c r="JR14" i="27"/>
  <c r="JQ14" i="27"/>
  <c r="JW6" i="27"/>
  <c r="JV6" i="27"/>
  <c r="JT6" i="27"/>
  <c r="JS6" i="27"/>
  <c r="JR6" i="27"/>
  <c r="JQ6" i="27"/>
  <c r="JW16" i="27"/>
  <c r="JV16" i="27"/>
  <c r="JT16" i="27"/>
  <c r="JS16" i="27"/>
  <c r="JR16" i="27"/>
  <c r="JQ16" i="27"/>
  <c r="JW7" i="27"/>
  <c r="JV7" i="27"/>
  <c r="JT7" i="27"/>
  <c r="JS7" i="27"/>
  <c r="JR7" i="27"/>
  <c r="JQ7" i="27"/>
  <c r="JW8" i="27"/>
  <c r="JV8" i="27"/>
  <c r="JT8" i="27"/>
  <c r="JS8" i="27"/>
  <c r="JR8" i="27"/>
  <c r="JQ8" i="27"/>
  <c r="JW5" i="27"/>
  <c r="JV5" i="27"/>
  <c r="JT5" i="27"/>
  <c r="JS5" i="27"/>
  <c r="JR5" i="27"/>
  <c r="JQ5" i="27"/>
  <c r="JW4" i="27"/>
  <c r="JV4" i="27"/>
  <c r="JT4" i="27"/>
  <c r="JS4" i="27"/>
  <c r="JR4" i="27"/>
  <c r="JQ4" i="27"/>
  <c r="IU17" i="27"/>
  <c r="IT17" i="27"/>
  <c r="IR17" i="27"/>
  <c r="IQ17" i="27"/>
  <c r="IP17" i="27"/>
  <c r="IO17" i="27"/>
  <c r="IU12" i="27"/>
  <c r="IT12" i="27"/>
  <c r="IR12" i="27"/>
  <c r="IQ12" i="27"/>
  <c r="IP12" i="27"/>
  <c r="IO12" i="27"/>
  <c r="IU9" i="27"/>
  <c r="IT9" i="27"/>
  <c r="IR9" i="27"/>
  <c r="IQ9" i="27"/>
  <c r="IP9" i="27"/>
  <c r="IO9" i="27"/>
  <c r="IU11" i="27"/>
  <c r="IT11" i="27"/>
  <c r="IR11" i="27"/>
  <c r="IQ11" i="27"/>
  <c r="IP11" i="27"/>
  <c r="IO11" i="27"/>
  <c r="IU14" i="27"/>
  <c r="IT14" i="27"/>
  <c r="IR14" i="27"/>
  <c r="IQ14" i="27"/>
  <c r="IP14" i="27"/>
  <c r="IO14" i="27"/>
  <c r="IU6" i="27"/>
  <c r="IT6" i="27"/>
  <c r="IR6" i="27"/>
  <c r="IQ6" i="27"/>
  <c r="IP6" i="27"/>
  <c r="IO6" i="27"/>
  <c r="IU16" i="27"/>
  <c r="IT16" i="27"/>
  <c r="IR16" i="27"/>
  <c r="IQ16" i="27"/>
  <c r="IP16" i="27"/>
  <c r="IO16" i="27"/>
  <c r="IU7" i="27"/>
  <c r="IT7" i="27"/>
  <c r="IR7" i="27"/>
  <c r="IQ7" i="27"/>
  <c r="IP7" i="27"/>
  <c r="IO7" i="27"/>
  <c r="IU8" i="27"/>
  <c r="IT8" i="27"/>
  <c r="IR8" i="27"/>
  <c r="IQ8" i="27"/>
  <c r="IP8" i="27"/>
  <c r="IO8" i="27"/>
  <c r="IU5" i="27"/>
  <c r="IT5" i="27"/>
  <c r="IR5" i="27"/>
  <c r="IQ5" i="27"/>
  <c r="IP5" i="27"/>
  <c r="IO5" i="27"/>
  <c r="IU4" i="27"/>
  <c r="IT4" i="27"/>
  <c r="IR4" i="27"/>
  <c r="IQ4" i="27"/>
  <c r="IP4" i="27"/>
  <c r="IO4" i="27"/>
  <c r="HS17" i="27"/>
  <c r="HR17" i="27"/>
  <c r="HP17" i="27"/>
  <c r="HO17" i="27"/>
  <c r="HN17" i="27"/>
  <c r="HM17" i="27"/>
  <c r="HS12" i="27"/>
  <c r="HR12" i="27"/>
  <c r="HP12" i="27"/>
  <c r="HO12" i="27"/>
  <c r="HN12" i="27"/>
  <c r="HM12" i="27"/>
  <c r="HS9" i="27"/>
  <c r="HR9" i="27"/>
  <c r="HP9" i="27"/>
  <c r="HO9" i="27"/>
  <c r="HN9" i="27"/>
  <c r="HM9" i="27"/>
  <c r="HS11" i="27"/>
  <c r="HR11" i="27"/>
  <c r="HP11" i="27"/>
  <c r="HO11" i="27"/>
  <c r="HN11" i="27"/>
  <c r="HM11" i="27"/>
  <c r="HS14" i="27"/>
  <c r="HR14" i="27"/>
  <c r="HP14" i="27"/>
  <c r="HO14" i="27"/>
  <c r="HN14" i="27"/>
  <c r="HM14" i="27"/>
  <c r="HS6" i="27"/>
  <c r="HR6" i="27"/>
  <c r="HP6" i="27"/>
  <c r="HO6" i="27"/>
  <c r="HN6" i="27"/>
  <c r="HM6" i="27"/>
  <c r="HS16" i="27"/>
  <c r="HR16" i="27"/>
  <c r="HP16" i="27"/>
  <c r="HO16" i="27"/>
  <c r="HN16" i="27"/>
  <c r="HM16" i="27"/>
  <c r="HS7" i="27"/>
  <c r="HR7" i="27"/>
  <c r="HP7" i="27"/>
  <c r="HO7" i="27"/>
  <c r="HN7" i="27"/>
  <c r="HM7" i="27"/>
  <c r="HS8" i="27"/>
  <c r="HR8" i="27"/>
  <c r="HP8" i="27"/>
  <c r="HO8" i="27"/>
  <c r="HN8" i="27"/>
  <c r="HM8" i="27"/>
  <c r="HS5" i="27"/>
  <c r="HR5" i="27"/>
  <c r="HP5" i="27"/>
  <c r="HO5" i="27"/>
  <c r="HN5" i="27"/>
  <c r="HM5" i="27"/>
  <c r="HS4" i="27"/>
  <c r="HR4" i="27"/>
  <c r="HP4" i="27"/>
  <c r="HO4" i="27"/>
  <c r="HN4" i="27"/>
  <c r="HM4" i="27"/>
  <c r="GQ17" i="27"/>
  <c r="GP17" i="27"/>
  <c r="GN17" i="27"/>
  <c r="GM17" i="27"/>
  <c r="GL17" i="27"/>
  <c r="GK17" i="27"/>
  <c r="GQ12" i="27"/>
  <c r="GP12" i="27"/>
  <c r="GN12" i="27"/>
  <c r="GM12" i="27"/>
  <c r="GL12" i="27"/>
  <c r="GK12" i="27"/>
  <c r="GQ9" i="27"/>
  <c r="GP9" i="27"/>
  <c r="GN9" i="27"/>
  <c r="GM9" i="27"/>
  <c r="GL9" i="27"/>
  <c r="GK9" i="27"/>
  <c r="GQ11" i="27"/>
  <c r="GP11" i="27"/>
  <c r="GN11" i="27"/>
  <c r="GM11" i="27"/>
  <c r="GL11" i="27"/>
  <c r="GK11" i="27"/>
  <c r="GQ14" i="27"/>
  <c r="GP14" i="27"/>
  <c r="GN14" i="27"/>
  <c r="GM14" i="27"/>
  <c r="GL14" i="27"/>
  <c r="GK14" i="27"/>
  <c r="GQ6" i="27"/>
  <c r="GP6" i="27"/>
  <c r="GN6" i="27"/>
  <c r="GM6" i="27"/>
  <c r="GL6" i="27"/>
  <c r="GK6" i="27"/>
  <c r="GQ16" i="27"/>
  <c r="GP16" i="27"/>
  <c r="GN16" i="27"/>
  <c r="GM16" i="27"/>
  <c r="GL16" i="27"/>
  <c r="GK16" i="27"/>
  <c r="GQ7" i="27"/>
  <c r="GP7" i="27"/>
  <c r="GN7" i="27"/>
  <c r="GM7" i="27"/>
  <c r="GL7" i="27"/>
  <c r="GK7" i="27"/>
  <c r="GQ8" i="27"/>
  <c r="GP8" i="27"/>
  <c r="GN8" i="27"/>
  <c r="GM8" i="27"/>
  <c r="GL8" i="27"/>
  <c r="GK8" i="27"/>
  <c r="GQ5" i="27"/>
  <c r="GP5" i="27"/>
  <c r="GN5" i="27"/>
  <c r="GM5" i="27"/>
  <c r="GL5" i="27"/>
  <c r="GK5" i="27"/>
  <c r="GQ4" i="27"/>
  <c r="GP4" i="27"/>
  <c r="GN4" i="27"/>
  <c r="GM4" i="27"/>
  <c r="GL4" i="27"/>
  <c r="GK4" i="27"/>
  <c r="FO17" i="27"/>
  <c r="FN17" i="27"/>
  <c r="FL17" i="27"/>
  <c r="FK17" i="27"/>
  <c r="FJ17" i="27"/>
  <c r="FI17" i="27"/>
  <c r="FO12" i="27"/>
  <c r="FN12" i="27"/>
  <c r="FL12" i="27"/>
  <c r="FK12" i="27"/>
  <c r="FJ12" i="27"/>
  <c r="FI12" i="27"/>
  <c r="FO9" i="27"/>
  <c r="FN9" i="27"/>
  <c r="FL9" i="27"/>
  <c r="FK9" i="27"/>
  <c r="FJ9" i="27"/>
  <c r="FI9" i="27"/>
  <c r="FO11" i="27"/>
  <c r="FN11" i="27"/>
  <c r="FL11" i="27"/>
  <c r="FK11" i="27"/>
  <c r="FJ11" i="27"/>
  <c r="FI11" i="27"/>
  <c r="FO14" i="27"/>
  <c r="FN14" i="27"/>
  <c r="FL14" i="27"/>
  <c r="FK14" i="27"/>
  <c r="FJ14" i="27"/>
  <c r="FI14" i="27"/>
  <c r="FO6" i="27"/>
  <c r="FN6" i="27"/>
  <c r="FL6" i="27"/>
  <c r="FK6" i="27"/>
  <c r="FJ6" i="27"/>
  <c r="FI6" i="27"/>
  <c r="FO16" i="27"/>
  <c r="FN16" i="27"/>
  <c r="FL16" i="27"/>
  <c r="FK16" i="27"/>
  <c r="FJ16" i="27"/>
  <c r="FI16" i="27"/>
  <c r="FO7" i="27"/>
  <c r="FN7" i="27"/>
  <c r="FL7" i="27"/>
  <c r="FK7" i="27"/>
  <c r="FJ7" i="27"/>
  <c r="FI7" i="27"/>
  <c r="FO8" i="27"/>
  <c r="FN8" i="27"/>
  <c r="FL8" i="27"/>
  <c r="FK8" i="27"/>
  <c r="FJ8" i="27"/>
  <c r="FI8" i="27"/>
  <c r="FO5" i="27"/>
  <c r="FN5" i="27"/>
  <c r="FL5" i="27"/>
  <c r="FK5" i="27"/>
  <c r="FJ5" i="27"/>
  <c r="FI5" i="27"/>
  <c r="FO4" i="27"/>
  <c r="FN4" i="27"/>
  <c r="FL4" i="27"/>
  <c r="FK4" i="27"/>
  <c r="FJ4" i="27"/>
  <c r="FI4" i="27"/>
  <c r="EM17" i="27"/>
  <c r="EL17" i="27"/>
  <c r="EJ17" i="27"/>
  <c r="EI17" i="27"/>
  <c r="EH17" i="27"/>
  <c r="EG17" i="27"/>
  <c r="EM12" i="27"/>
  <c r="EL12" i="27"/>
  <c r="EJ12" i="27"/>
  <c r="EI12" i="27"/>
  <c r="EH12" i="27"/>
  <c r="EG12" i="27"/>
  <c r="EM9" i="27"/>
  <c r="EL9" i="27"/>
  <c r="EJ9" i="27"/>
  <c r="EI9" i="27"/>
  <c r="EH9" i="27"/>
  <c r="EG9" i="27"/>
  <c r="EM11" i="27"/>
  <c r="EL11" i="27"/>
  <c r="EJ11" i="27"/>
  <c r="EI11" i="27"/>
  <c r="EH11" i="27"/>
  <c r="EG11" i="27"/>
  <c r="EM14" i="27"/>
  <c r="EL14" i="27"/>
  <c r="EJ14" i="27"/>
  <c r="EI14" i="27"/>
  <c r="EH14" i="27"/>
  <c r="EG14" i="27"/>
  <c r="EM6" i="27"/>
  <c r="EL6" i="27"/>
  <c r="EJ6" i="27"/>
  <c r="EI6" i="27"/>
  <c r="EH6" i="27"/>
  <c r="EG6" i="27"/>
  <c r="EM16" i="27"/>
  <c r="EL16" i="27"/>
  <c r="EJ16" i="27"/>
  <c r="EI16" i="27"/>
  <c r="EH16" i="27"/>
  <c r="EG16" i="27"/>
  <c r="EM7" i="27"/>
  <c r="EL7" i="27"/>
  <c r="EJ7" i="27"/>
  <c r="EI7" i="27"/>
  <c r="EH7" i="27"/>
  <c r="EG7" i="27"/>
  <c r="EM8" i="27"/>
  <c r="EL8" i="27"/>
  <c r="EJ8" i="27"/>
  <c r="EI8" i="27"/>
  <c r="EH8" i="27"/>
  <c r="EG8" i="27"/>
  <c r="EM5" i="27"/>
  <c r="EL5" i="27"/>
  <c r="EJ5" i="27"/>
  <c r="EI5" i="27"/>
  <c r="EH5" i="27"/>
  <c r="EG5" i="27"/>
  <c r="EM4" i="27"/>
  <c r="EL4" i="27"/>
  <c r="EJ4" i="27"/>
  <c r="EI4" i="27"/>
  <c r="EH4" i="27"/>
  <c r="EG4" i="27"/>
  <c r="DK17" i="27"/>
  <c r="DJ17" i="27"/>
  <c r="DH17" i="27"/>
  <c r="DG17" i="27"/>
  <c r="DF17" i="27"/>
  <c r="DE17" i="27"/>
  <c r="DK12" i="27"/>
  <c r="DJ12" i="27"/>
  <c r="DH12" i="27"/>
  <c r="DG12" i="27"/>
  <c r="DF12" i="27"/>
  <c r="DE12" i="27"/>
  <c r="DK9" i="27"/>
  <c r="DJ9" i="27"/>
  <c r="DH9" i="27"/>
  <c r="DG9" i="27"/>
  <c r="DF9" i="27"/>
  <c r="DE9" i="27"/>
  <c r="DK11" i="27"/>
  <c r="DJ11" i="27"/>
  <c r="DH11" i="27"/>
  <c r="DG11" i="27"/>
  <c r="DF11" i="27"/>
  <c r="DE11" i="27"/>
  <c r="DK14" i="27"/>
  <c r="DJ14" i="27"/>
  <c r="DH14" i="27"/>
  <c r="DG14" i="27"/>
  <c r="DF14" i="27"/>
  <c r="DE14" i="27"/>
  <c r="DK6" i="27"/>
  <c r="DJ6" i="27"/>
  <c r="DH6" i="27"/>
  <c r="DG6" i="27"/>
  <c r="DF6" i="27"/>
  <c r="DE6" i="27"/>
  <c r="DK16" i="27"/>
  <c r="DJ16" i="27"/>
  <c r="DH16" i="27"/>
  <c r="DG16" i="27"/>
  <c r="DF16" i="27"/>
  <c r="DE16" i="27"/>
  <c r="DK7" i="27"/>
  <c r="DJ7" i="27"/>
  <c r="DH7" i="27"/>
  <c r="DG7" i="27"/>
  <c r="DF7" i="27"/>
  <c r="DE7" i="27"/>
  <c r="DK8" i="27"/>
  <c r="DJ8" i="27"/>
  <c r="DH8" i="27"/>
  <c r="DG8" i="27"/>
  <c r="DF8" i="27"/>
  <c r="DE8" i="27"/>
  <c r="DK5" i="27"/>
  <c r="DJ5" i="27"/>
  <c r="DH5" i="27"/>
  <c r="DG5" i="27"/>
  <c r="DF5" i="27"/>
  <c r="DE5" i="27"/>
  <c r="DK4" i="27"/>
  <c r="DJ4" i="27"/>
  <c r="DH4" i="27"/>
  <c r="DG4" i="27"/>
  <c r="DF4" i="27"/>
  <c r="DE4" i="27"/>
  <c r="OE16" i="26"/>
  <c r="OD16" i="26"/>
  <c r="OB16" i="26"/>
  <c r="OA16" i="26"/>
  <c r="NZ16" i="26"/>
  <c r="NY16" i="26"/>
  <c r="OE18" i="26"/>
  <c r="OD18" i="26"/>
  <c r="OB18" i="26"/>
  <c r="OA18" i="26"/>
  <c r="NZ18" i="26"/>
  <c r="NY18" i="26"/>
  <c r="OE15" i="26"/>
  <c r="OD15" i="26"/>
  <c r="OB15" i="26"/>
  <c r="OA15" i="26"/>
  <c r="NZ15" i="26"/>
  <c r="NY15" i="26"/>
  <c r="OE14" i="26"/>
  <c r="OD14" i="26"/>
  <c r="OB14" i="26"/>
  <c r="OA14" i="26"/>
  <c r="NZ14" i="26"/>
  <c r="NY14" i="26"/>
  <c r="OE13" i="26"/>
  <c r="OD13" i="26"/>
  <c r="OB13" i="26"/>
  <c r="OA13" i="26"/>
  <c r="NZ13" i="26"/>
  <c r="NY13" i="26"/>
  <c r="OE12" i="26"/>
  <c r="OD12" i="26"/>
  <c r="OB12" i="26"/>
  <c r="OA12" i="26"/>
  <c r="NZ12" i="26"/>
  <c r="NY12" i="26"/>
  <c r="OE11" i="26"/>
  <c r="OD11" i="26"/>
  <c r="OB11" i="26"/>
  <c r="OA11" i="26"/>
  <c r="NZ11" i="26"/>
  <c r="NY11" i="26"/>
  <c r="OE17" i="26"/>
  <c r="OD17" i="26"/>
  <c r="OB17" i="26"/>
  <c r="OA17" i="26"/>
  <c r="NZ17" i="26"/>
  <c r="NY17" i="26"/>
  <c r="OE9" i="26"/>
  <c r="OD9" i="26"/>
  <c r="OB9" i="26"/>
  <c r="OA9" i="26"/>
  <c r="NZ9" i="26"/>
  <c r="NY9" i="26"/>
  <c r="OE10" i="26"/>
  <c r="OD10" i="26"/>
  <c r="OB10" i="26"/>
  <c r="OA10" i="26"/>
  <c r="NZ10" i="26"/>
  <c r="NY10" i="26"/>
  <c r="OE8" i="26"/>
  <c r="OD8" i="26"/>
  <c r="OB8" i="26"/>
  <c r="OA8" i="26"/>
  <c r="NZ8" i="26"/>
  <c r="NY8" i="26"/>
  <c r="OE7" i="26"/>
  <c r="OD7" i="26"/>
  <c r="OB7" i="26"/>
  <c r="OA7" i="26"/>
  <c r="NZ7" i="26"/>
  <c r="NY7" i="26"/>
  <c r="OE6" i="26"/>
  <c r="OD6" i="26"/>
  <c r="OB6" i="26"/>
  <c r="OA6" i="26"/>
  <c r="NZ6" i="26"/>
  <c r="NY6" i="26"/>
  <c r="OE5" i="26"/>
  <c r="OD5" i="26"/>
  <c r="OB5" i="26"/>
  <c r="OA5" i="26"/>
  <c r="NZ5" i="26"/>
  <c r="NY5" i="26"/>
  <c r="OE4" i="26"/>
  <c r="OD4" i="26"/>
  <c r="OB4" i="26"/>
  <c r="OA4" i="26"/>
  <c r="NZ4" i="26"/>
  <c r="NY4" i="26"/>
  <c r="NC16" i="26"/>
  <c r="NB16" i="26"/>
  <c r="MZ16" i="26"/>
  <c r="MY16" i="26"/>
  <c r="MX16" i="26"/>
  <c r="MW16" i="26"/>
  <c r="NC18" i="26"/>
  <c r="NB18" i="26"/>
  <c r="MZ18" i="26"/>
  <c r="MY18" i="26"/>
  <c r="MX18" i="26"/>
  <c r="MW18" i="26"/>
  <c r="NC15" i="26"/>
  <c r="NB15" i="26"/>
  <c r="MZ15" i="26"/>
  <c r="MY15" i="26"/>
  <c r="MX15" i="26"/>
  <c r="MW15" i="26"/>
  <c r="NC14" i="26"/>
  <c r="NB14" i="26"/>
  <c r="MZ14" i="26"/>
  <c r="MY14" i="26"/>
  <c r="MX14" i="26"/>
  <c r="MW14" i="26"/>
  <c r="NC13" i="26"/>
  <c r="NB13" i="26"/>
  <c r="MZ13" i="26"/>
  <c r="MY13" i="26"/>
  <c r="MX13" i="26"/>
  <c r="MW13" i="26"/>
  <c r="NC12" i="26"/>
  <c r="NB12" i="26"/>
  <c r="MZ12" i="26"/>
  <c r="MY12" i="26"/>
  <c r="MX12" i="26"/>
  <c r="MW12" i="26"/>
  <c r="NC11" i="26"/>
  <c r="NB11" i="26"/>
  <c r="MZ11" i="26"/>
  <c r="MY11" i="26"/>
  <c r="MX11" i="26"/>
  <c r="MW11" i="26"/>
  <c r="NC17" i="26"/>
  <c r="NB17" i="26"/>
  <c r="MZ17" i="26"/>
  <c r="MY17" i="26"/>
  <c r="MX17" i="26"/>
  <c r="MW17" i="26"/>
  <c r="NC9" i="26"/>
  <c r="NB9" i="26"/>
  <c r="MZ9" i="26"/>
  <c r="MY9" i="26"/>
  <c r="MX9" i="26"/>
  <c r="MW9" i="26"/>
  <c r="NC10" i="26"/>
  <c r="NB10" i="26"/>
  <c r="MZ10" i="26"/>
  <c r="MY10" i="26"/>
  <c r="MX10" i="26"/>
  <c r="MW10" i="26"/>
  <c r="NC8" i="26"/>
  <c r="NB8" i="26"/>
  <c r="MZ8" i="26"/>
  <c r="MY8" i="26"/>
  <c r="MX8" i="26"/>
  <c r="MW8" i="26"/>
  <c r="NC7" i="26"/>
  <c r="NB7" i="26"/>
  <c r="MZ7" i="26"/>
  <c r="MY7" i="26"/>
  <c r="MX7" i="26"/>
  <c r="MW7" i="26"/>
  <c r="NC6" i="26"/>
  <c r="NB6" i="26"/>
  <c r="MZ6" i="26"/>
  <c r="MY6" i="26"/>
  <c r="MX6" i="26"/>
  <c r="MW6" i="26"/>
  <c r="NC5" i="26"/>
  <c r="NB5" i="26"/>
  <c r="MZ5" i="26"/>
  <c r="MY5" i="26"/>
  <c r="MX5" i="26"/>
  <c r="MW5" i="26"/>
  <c r="NC4" i="26"/>
  <c r="NB4" i="26"/>
  <c r="MZ4" i="26"/>
  <c r="MY4" i="26"/>
  <c r="MX4" i="26"/>
  <c r="MW4" i="26"/>
  <c r="MA16" i="26"/>
  <c r="LZ16" i="26"/>
  <c r="LX16" i="26"/>
  <c r="LW16" i="26"/>
  <c r="LV16" i="26"/>
  <c r="LU16" i="26"/>
  <c r="MA18" i="26"/>
  <c r="LZ18" i="26"/>
  <c r="LX18" i="26"/>
  <c r="LW18" i="26"/>
  <c r="LV18" i="26"/>
  <c r="LU18" i="26"/>
  <c r="MA15" i="26"/>
  <c r="LZ15" i="26"/>
  <c r="LX15" i="26"/>
  <c r="LW15" i="26"/>
  <c r="LV15" i="26"/>
  <c r="LU15" i="26"/>
  <c r="MA14" i="26"/>
  <c r="LZ14" i="26"/>
  <c r="LX14" i="26"/>
  <c r="LW14" i="26"/>
  <c r="LV14" i="26"/>
  <c r="LU14" i="26"/>
  <c r="MA13" i="26"/>
  <c r="LZ13" i="26"/>
  <c r="LX13" i="26"/>
  <c r="LW13" i="26"/>
  <c r="LV13" i="26"/>
  <c r="LU13" i="26"/>
  <c r="MA12" i="26"/>
  <c r="LZ12" i="26"/>
  <c r="LX12" i="26"/>
  <c r="LW12" i="26"/>
  <c r="LV12" i="26"/>
  <c r="LU12" i="26"/>
  <c r="MA11" i="26"/>
  <c r="LZ11" i="26"/>
  <c r="LX11" i="26"/>
  <c r="LW11" i="26"/>
  <c r="LV11" i="26"/>
  <c r="LU11" i="26"/>
  <c r="MA17" i="26"/>
  <c r="LZ17" i="26"/>
  <c r="LX17" i="26"/>
  <c r="LW17" i="26"/>
  <c r="LV17" i="26"/>
  <c r="LU17" i="26"/>
  <c r="MA9" i="26"/>
  <c r="LZ9" i="26"/>
  <c r="LX9" i="26"/>
  <c r="LW9" i="26"/>
  <c r="LV9" i="26"/>
  <c r="LU9" i="26"/>
  <c r="MA10" i="26"/>
  <c r="LZ10" i="26"/>
  <c r="LX10" i="26"/>
  <c r="LW10" i="26"/>
  <c r="LV10" i="26"/>
  <c r="LU10" i="26"/>
  <c r="MA8" i="26"/>
  <c r="LZ8" i="26"/>
  <c r="LX8" i="26"/>
  <c r="LW8" i="26"/>
  <c r="LV8" i="26"/>
  <c r="LU8" i="26"/>
  <c r="MA7" i="26"/>
  <c r="LZ7" i="26"/>
  <c r="LX7" i="26"/>
  <c r="LW7" i="26"/>
  <c r="LV7" i="26"/>
  <c r="LU7" i="26"/>
  <c r="MA6" i="26"/>
  <c r="LZ6" i="26"/>
  <c r="LX6" i="26"/>
  <c r="LW6" i="26"/>
  <c r="LV6" i="26"/>
  <c r="LU6" i="26"/>
  <c r="MA5" i="26"/>
  <c r="LZ5" i="26"/>
  <c r="LX5" i="26"/>
  <c r="LW5" i="26"/>
  <c r="LV5" i="26"/>
  <c r="LU5" i="26"/>
  <c r="MA4" i="26"/>
  <c r="LZ4" i="26"/>
  <c r="LX4" i="26"/>
  <c r="LW4" i="26"/>
  <c r="LV4" i="26"/>
  <c r="LU4" i="26"/>
  <c r="KY16" i="26"/>
  <c r="KX16" i="26"/>
  <c r="KV16" i="26"/>
  <c r="KU16" i="26"/>
  <c r="KT16" i="26"/>
  <c r="KS16" i="26"/>
  <c r="KY18" i="26"/>
  <c r="KX18" i="26"/>
  <c r="KV18" i="26"/>
  <c r="KU18" i="26"/>
  <c r="KT18" i="26"/>
  <c r="KS18" i="26"/>
  <c r="KY15" i="26"/>
  <c r="KX15" i="26"/>
  <c r="KV15" i="26"/>
  <c r="KU15" i="26"/>
  <c r="KT15" i="26"/>
  <c r="KS15" i="26"/>
  <c r="KY14" i="26"/>
  <c r="KX14" i="26"/>
  <c r="KV14" i="26"/>
  <c r="KU14" i="26"/>
  <c r="KT14" i="26"/>
  <c r="KS14" i="26"/>
  <c r="KY13" i="26"/>
  <c r="KX13" i="26"/>
  <c r="KV13" i="26"/>
  <c r="KU13" i="26"/>
  <c r="KT13" i="26"/>
  <c r="KS13" i="26"/>
  <c r="KY12" i="26"/>
  <c r="KX12" i="26"/>
  <c r="KV12" i="26"/>
  <c r="KU12" i="26"/>
  <c r="KT12" i="26"/>
  <c r="KS12" i="26"/>
  <c r="KY11" i="26"/>
  <c r="KX11" i="26"/>
  <c r="KV11" i="26"/>
  <c r="KU11" i="26"/>
  <c r="KT11" i="26"/>
  <c r="KS11" i="26"/>
  <c r="KY17" i="26"/>
  <c r="KX17" i="26"/>
  <c r="KV17" i="26"/>
  <c r="KU17" i="26"/>
  <c r="KT17" i="26"/>
  <c r="KS17" i="26"/>
  <c r="KY9" i="26"/>
  <c r="KX9" i="26"/>
  <c r="KV9" i="26"/>
  <c r="KU9" i="26"/>
  <c r="KT9" i="26"/>
  <c r="KS9" i="26"/>
  <c r="KY10" i="26"/>
  <c r="KX10" i="26"/>
  <c r="KV10" i="26"/>
  <c r="KU10" i="26"/>
  <c r="KT10" i="26"/>
  <c r="KS10" i="26"/>
  <c r="KY8" i="26"/>
  <c r="KX8" i="26"/>
  <c r="KV8" i="26"/>
  <c r="KU8" i="26"/>
  <c r="KT8" i="26"/>
  <c r="KS8" i="26"/>
  <c r="KY7" i="26"/>
  <c r="KX7" i="26"/>
  <c r="KV7" i="26"/>
  <c r="KU7" i="26"/>
  <c r="KT7" i="26"/>
  <c r="KS7" i="26"/>
  <c r="KY6" i="26"/>
  <c r="KX6" i="26"/>
  <c r="KV6" i="26"/>
  <c r="KU6" i="26"/>
  <c r="KT6" i="26"/>
  <c r="KS6" i="26"/>
  <c r="KY5" i="26"/>
  <c r="KX5" i="26"/>
  <c r="KV5" i="26"/>
  <c r="KU5" i="26"/>
  <c r="KT5" i="26"/>
  <c r="KS5" i="26"/>
  <c r="KY4" i="26"/>
  <c r="KX4" i="26"/>
  <c r="KV4" i="26"/>
  <c r="KU4" i="26"/>
  <c r="KT4" i="26"/>
  <c r="KS4" i="26"/>
  <c r="JW16" i="26"/>
  <c r="JV16" i="26"/>
  <c r="JT16" i="26"/>
  <c r="JS16" i="26"/>
  <c r="JR16" i="26"/>
  <c r="JQ16" i="26"/>
  <c r="JW18" i="26"/>
  <c r="JV18" i="26"/>
  <c r="JT18" i="26"/>
  <c r="JS18" i="26"/>
  <c r="JR18" i="26"/>
  <c r="JQ18" i="26"/>
  <c r="JW15" i="26"/>
  <c r="JV15" i="26"/>
  <c r="JT15" i="26"/>
  <c r="JS15" i="26"/>
  <c r="JR15" i="26"/>
  <c r="JQ15" i="26"/>
  <c r="JW14" i="26"/>
  <c r="JV14" i="26"/>
  <c r="JT14" i="26"/>
  <c r="JS14" i="26"/>
  <c r="JR14" i="26"/>
  <c r="JQ14" i="26"/>
  <c r="JW13" i="26"/>
  <c r="JV13" i="26"/>
  <c r="JT13" i="26"/>
  <c r="JS13" i="26"/>
  <c r="JR13" i="26"/>
  <c r="JQ13" i="26"/>
  <c r="JW12" i="26"/>
  <c r="JV12" i="26"/>
  <c r="JT12" i="26"/>
  <c r="JS12" i="26"/>
  <c r="JR12" i="26"/>
  <c r="JQ12" i="26"/>
  <c r="JW11" i="26"/>
  <c r="JV11" i="26"/>
  <c r="JT11" i="26"/>
  <c r="JS11" i="26"/>
  <c r="JR11" i="26"/>
  <c r="JQ11" i="26"/>
  <c r="JW17" i="26"/>
  <c r="JV17" i="26"/>
  <c r="JT17" i="26"/>
  <c r="JS17" i="26"/>
  <c r="JR17" i="26"/>
  <c r="JQ17" i="26"/>
  <c r="JW9" i="26"/>
  <c r="JV9" i="26"/>
  <c r="JT9" i="26"/>
  <c r="JS9" i="26"/>
  <c r="JR9" i="26"/>
  <c r="JQ9" i="26"/>
  <c r="JW10" i="26"/>
  <c r="JV10" i="26"/>
  <c r="JT10" i="26"/>
  <c r="JS10" i="26"/>
  <c r="JR10" i="26"/>
  <c r="JQ10" i="26"/>
  <c r="JW8" i="26"/>
  <c r="JV8" i="26"/>
  <c r="JT8" i="26"/>
  <c r="JS8" i="26"/>
  <c r="JR8" i="26"/>
  <c r="JQ8" i="26"/>
  <c r="JW7" i="26"/>
  <c r="JV7" i="26"/>
  <c r="JT7" i="26"/>
  <c r="JS7" i="26"/>
  <c r="JR7" i="26"/>
  <c r="JQ7" i="26"/>
  <c r="JW6" i="26"/>
  <c r="JV6" i="26"/>
  <c r="JT6" i="26"/>
  <c r="JS6" i="26"/>
  <c r="JR6" i="26"/>
  <c r="JQ6" i="26"/>
  <c r="JW5" i="26"/>
  <c r="JV5" i="26"/>
  <c r="JT5" i="26"/>
  <c r="JS5" i="26"/>
  <c r="JR5" i="26"/>
  <c r="JQ5" i="26"/>
  <c r="JW4" i="26"/>
  <c r="JV4" i="26"/>
  <c r="JT4" i="26"/>
  <c r="JS4" i="26"/>
  <c r="JR4" i="26"/>
  <c r="JQ4" i="26"/>
  <c r="IU16" i="26"/>
  <c r="IT16" i="26"/>
  <c r="IR16" i="26"/>
  <c r="IQ16" i="26"/>
  <c r="IP16" i="26"/>
  <c r="IO16" i="26"/>
  <c r="IU18" i="26"/>
  <c r="IT18" i="26"/>
  <c r="IR18" i="26"/>
  <c r="IQ18" i="26"/>
  <c r="IP18" i="26"/>
  <c r="IO18" i="26"/>
  <c r="IU15" i="26"/>
  <c r="IT15" i="26"/>
  <c r="IR15" i="26"/>
  <c r="IQ15" i="26"/>
  <c r="IP15" i="26"/>
  <c r="IO15" i="26"/>
  <c r="IU14" i="26"/>
  <c r="IT14" i="26"/>
  <c r="IR14" i="26"/>
  <c r="IQ14" i="26"/>
  <c r="IP14" i="26"/>
  <c r="IO14" i="26"/>
  <c r="IU13" i="26"/>
  <c r="IT13" i="26"/>
  <c r="IR13" i="26"/>
  <c r="IQ13" i="26"/>
  <c r="IP13" i="26"/>
  <c r="IO13" i="26"/>
  <c r="IU12" i="26"/>
  <c r="IT12" i="26"/>
  <c r="IR12" i="26"/>
  <c r="IQ12" i="26"/>
  <c r="IP12" i="26"/>
  <c r="IO12" i="26"/>
  <c r="IU11" i="26"/>
  <c r="IT11" i="26"/>
  <c r="IR11" i="26"/>
  <c r="IQ11" i="26"/>
  <c r="IP11" i="26"/>
  <c r="IO11" i="26"/>
  <c r="IU17" i="26"/>
  <c r="IT17" i="26"/>
  <c r="IR17" i="26"/>
  <c r="IQ17" i="26"/>
  <c r="IP17" i="26"/>
  <c r="IO17" i="26"/>
  <c r="IU9" i="26"/>
  <c r="IT9" i="26"/>
  <c r="IR9" i="26"/>
  <c r="IQ9" i="26"/>
  <c r="IP9" i="26"/>
  <c r="IO9" i="26"/>
  <c r="IU10" i="26"/>
  <c r="IT10" i="26"/>
  <c r="IR10" i="26"/>
  <c r="IQ10" i="26"/>
  <c r="IP10" i="26"/>
  <c r="IO10" i="26"/>
  <c r="IU8" i="26"/>
  <c r="IT8" i="26"/>
  <c r="IR8" i="26"/>
  <c r="IQ8" i="26"/>
  <c r="IP8" i="26"/>
  <c r="IO8" i="26"/>
  <c r="IU7" i="26"/>
  <c r="IT7" i="26"/>
  <c r="IR7" i="26"/>
  <c r="IQ7" i="26"/>
  <c r="IP7" i="26"/>
  <c r="IO7" i="26"/>
  <c r="IU6" i="26"/>
  <c r="IT6" i="26"/>
  <c r="IR6" i="26"/>
  <c r="IQ6" i="26"/>
  <c r="IP6" i="26"/>
  <c r="IO6" i="26"/>
  <c r="IU5" i="26"/>
  <c r="IT5" i="26"/>
  <c r="IR5" i="26"/>
  <c r="IQ5" i="26"/>
  <c r="IP5" i="26"/>
  <c r="IO5" i="26"/>
  <c r="IU4" i="26"/>
  <c r="IT4" i="26"/>
  <c r="IR4" i="26"/>
  <c r="IQ4" i="26"/>
  <c r="IP4" i="26"/>
  <c r="IO4" i="26"/>
  <c r="HS16" i="26"/>
  <c r="HR16" i="26"/>
  <c r="HP16" i="26"/>
  <c r="HO16" i="26"/>
  <c r="HN16" i="26"/>
  <c r="HM16" i="26"/>
  <c r="HS18" i="26"/>
  <c r="HR18" i="26"/>
  <c r="HP18" i="26"/>
  <c r="HO18" i="26"/>
  <c r="HN18" i="26"/>
  <c r="HM18" i="26"/>
  <c r="HS15" i="26"/>
  <c r="HR15" i="26"/>
  <c r="HP15" i="26"/>
  <c r="HO15" i="26"/>
  <c r="HN15" i="26"/>
  <c r="HM15" i="26"/>
  <c r="HS14" i="26"/>
  <c r="HR14" i="26"/>
  <c r="HP14" i="26"/>
  <c r="HO14" i="26"/>
  <c r="HN14" i="26"/>
  <c r="HM14" i="26"/>
  <c r="HS13" i="26"/>
  <c r="HR13" i="26"/>
  <c r="HP13" i="26"/>
  <c r="HO13" i="26"/>
  <c r="HN13" i="26"/>
  <c r="HM13" i="26"/>
  <c r="HS12" i="26"/>
  <c r="HR12" i="26"/>
  <c r="HP12" i="26"/>
  <c r="HO12" i="26"/>
  <c r="HN12" i="26"/>
  <c r="HM12" i="26"/>
  <c r="HS11" i="26"/>
  <c r="HR11" i="26"/>
  <c r="HP11" i="26"/>
  <c r="HO11" i="26"/>
  <c r="HN11" i="26"/>
  <c r="HM11" i="26"/>
  <c r="HS17" i="26"/>
  <c r="HR17" i="26"/>
  <c r="HP17" i="26"/>
  <c r="HO17" i="26"/>
  <c r="HN17" i="26"/>
  <c r="HM17" i="26"/>
  <c r="HS9" i="26"/>
  <c r="HR9" i="26"/>
  <c r="HP9" i="26"/>
  <c r="HO9" i="26"/>
  <c r="HN9" i="26"/>
  <c r="HM9" i="26"/>
  <c r="HS10" i="26"/>
  <c r="HR10" i="26"/>
  <c r="HP10" i="26"/>
  <c r="HO10" i="26"/>
  <c r="HN10" i="26"/>
  <c r="HM10" i="26"/>
  <c r="HS8" i="26"/>
  <c r="HR8" i="26"/>
  <c r="HP8" i="26"/>
  <c r="HO8" i="26"/>
  <c r="HN8" i="26"/>
  <c r="HM8" i="26"/>
  <c r="HS7" i="26"/>
  <c r="HR7" i="26"/>
  <c r="HP7" i="26"/>
  <c r="HO7" i="26"/>
  <c r="HN7" i="26"/>
  <c r="HM7" i="26"/>
  <c r="HS6" i="26"/>
  <c r="HR6" i="26"/>
  <c r="HP6" i="26"/>
  <c r="HO6" i="26"/>
  <c r="HN6" i="26"/>
  <c r="HM6" i="26"/>
  <c r="HS5" i="26"/>
  <c r="HR5" i="26"/>
  <c r="HP5" i="26"/>
  <c r="HO5" i="26"/>
  <c r="HN5" i="26"/>
  <c r="HM5" i="26"/>
  <c r="HS4" i="26"/>
  <c r="HR4" i="26"/>
  <c r="HP4" i="26"/>
  <c r="HO4" i="26"/>
  <c r="HN4" i="26"/>
  <c r="HM4" i="26"/>
  <c r="GQ16" i="26"/>
  <c r="GP16" i="26"/>
  <c r="GN16" i="26"/>
  <c r="GM16" i="26"/>
  <c r="GL16" i="26"/>
  <c r="GK16" i="26"/>
  <c r="GQ18" i="26"/>
  <c r="GP18" i="26"/>
  <c r="GN18" i="26"/>
  <c r="GM18" i="26"/>
  <c r="GL18" i="26"/>
  <c r="GK18" i="26"/>
  <c r="GQ15" i="26"/>
  <c r="GP15" i="26"/>
  <c r="GN15" i="26"/>
  <c r="GM15" i="26"/>
  <c r="GL15" i="26"/>
  <c r="GK15" i="26"/>
  <c r="GQ14" i="26"/>
  <c r="GP14" i="26"/>
  <c r="GN14" i="26"/>
  <c r="GM14" i="26"/>
  <c r="GL14" i="26"/>
  <c r="GK14" i="26"/>
  <c r="GQ13" i="26"/>
  <c r="GP13" i="26"/>
  <c r="GN13" i="26"/>
  <c r="GM13" i="26"/>
  <c r="GL13" i="26"/>
  <c r="GK13" i="26"/>
  <c r="GQ12" i="26"/>
  <c r="GP12" i="26"/>
  <c r="GN12" i="26"/>
  <c r="GM12" i="26"/>
  <c r="GL12" i="26"/>
  <c r="GK12" i="26"/>
  <c r="GQ11" i="26"/>
  <c r="GP11" i="26"/>
  <c r="GN11" i="26"/>
  <c r="GM11" i="26"/>
  <c r="GL11" i="26"/>
  <c r="GK11" i="26"/>
  <c r="GQ17" i="26"/>
  <c r="GP17" i="26"/>
  <c r="GN17" i="26"/>
  <c r="GM17" i="26"/>
  <c r="GL17" i="26"/>
  <c r="GK17" i="26"/>
  <c r="GQ9" i="26"/>
  <c r="GP9" i="26"/>
  <c r="GN9" i="26"/>
  <c r="GM9" i="26"/>
  <c r="GL9" i="26"/>
  <c r="GK9" i="26"/>
  <c r="GQ10" i="26"/>
  <c r="GP10" i="26"/>
  <c r="GN10" i="26"/>
  <c r="GM10" i="26"/>
  <c r="GL10" i="26"/>
  <c r="GK10" i="26"/>
  <c r="GQ8" i="26"/>
  <c r="GP8" i="26"/>
  <c r="GN8" i="26"/>
  <c r="GM8" i="26"/>
  <c r="GL8" i="26"/>
  <c r="GK8" i="26"/>
  <c r="GQ7" i="26"/>
  <c r="GP7" i="26"/>
  <c r="GN7" i="26"/>
  <c r="GM7" i="26"/>
  <c r="GL7" i="26"/>
  <c r="GK7" i="26"/>
  <c r="GQ6" i="26"/>
  <c r="GP6" i="26"/>
  <c r="GN6" i="26"/>
  <c r="GM6" i="26"/>
  <c r="GL6" i="26"/>
  <c r="GK6" i="26"/>
  <c r="GQ5" i="26"/>
  <c r="GP5" i="26"/>
  <c r="GN5" i="26"/>
  <c r="GM5" i="26"/>
  <c r="GL5" i="26"/>
  <c r="GK5" i="26"/>
  <c r="GQ4" i="26"/>
  <c r="GP4" i="26"/>
  <c r="GN4" i="26"/>
  <c r="GM4" i="26"/>
  <c r="GL4" i="26"/>
  <c r="GK4" i="26"/>
  <c r="FO16" i="26"/>
  <c r="FN16" i="26"/>
  <c r="FL16" i="26"/>
  <c r="FK16" i="26"/>
  <c r="FJ16" i="26"/>
  <c r="FI16" i="26"/>
  <c r="FO18" i="26"/>
  <c r="FN18" i="26"/>
  <c r="FL18" i="26"/>
  <c r="FK18" i="26"/>
  <c r="FJ18" i="26"/>
  <c r="FI18" i="26"/>
  <c r="FO15" i="26"/>
  <c r="FN15" i="26"/>
  <c r="FL15" i="26"/>
  <c r="FK15" i="26"/>
  <c r="FJ15" i="26"/>
  <c r="FI15" i="26"/>
  <c r="FO14" i="26"/>
  <c r="FN14" i="26"/>
  <c r="FL14" i="26"/>
  <c r="FK14" i="26"/>
  <c r="FJ14" i="26"/>
  <c r="FI14" i="26"/>
  <c r="FO13" i="26"/>
  <c r="FN13" i="26"/>
  <c r="FL13" i="26"/>
  <c r="FK13" i="26"/>
  <c r="FJ13" i="26"/>
  <c r="FI13" i="26"/>
  <c r="FO12" i="26"/>
  <c r="FN12" i="26"/>
  <c r="FL12" i="26"/>
  <c r="FK12" i="26"/>
  <c r="FJ12" i="26"/>
  <c r="FI12" i="26"/>
  <c r="FO11" i="26"/>
  <c r="FN11" i="26"/>
  <c r="FL11" i="26"/>
  <c r="FK11" i="26"/>
  <c r="FJ11" i="26"/>
  <c r="FI11" i="26"/>
  <c r="FO17" i="26"/>
  <c r="FN17" i="26"/>
  <c r="FL17" i="26"/>
  <c r="FK17" i="26"/>
  <c r="FJ17" i="26"/>
  <c r="FI17" i="26"/>
  <c r="FO9" i="26"/>
  <c r="FN9" i="26"/>
  <c r="FL9" i="26"/>
  <c r="FK9" i="26"/>
  <c r="FJ9" i="26"/>
  <c r="FI9" i="26"/>
  <c r="FO10" i="26"/>
  <c r="FN10" i="26"/>
  <c r="FL10" i="26"/>
  <c r="FK10" i="26"/>
  <c r="FJ10" i="26"/>
  <c r="FI10" i="26"/>
  <c r="FO8" i="26"/>
  <c r="FN8" i="26"/>
  <c r="FL8" i="26"/>
  <c r="FK8" i="26"/>
  <c r="FJ8" i="26"/>
  <c r="FI8" i="26"/>
  <c r="FO7" i="26"/>
  <c r="FN7" i="26"/>
  <c r="FL7" i="26"/>
  <c r="FK7" i="26"/>
  <c r="FJ7" i="26"/>
  <c r="FI7" i="26"/>
  <c r="FO6" i="26"/>
  <c r="FN6" i="26"/>
  <c r="FL6" i="26"/>
  <c r="FK6" i="26"/>
  <c r="FJ6" i="26"/>
  <c r="FI6" i="26"/>
  <c r="FO5" i="26"/>
  <c r="FN5" i="26"/>
  <c r="FL5" i="26"/>
  <c r="FK5" i="26"/>
  <c r="FJ5" i="26"/>
  <c r="FI5" i="26"/>
  <c r="FO4" i="26"/>
  <c r="FN4" i="26"/>
  <c r="FL4" i="26"/>
  <c r="FK4" i="26"/>
  <c r="FJ4" i="26"/>
  <c r="FI4" i="26"/>
  <c r="EM16" i="26"/>
  <c r="EL16" i="26"/>
  <c r="EJ16" i="26"/>
  <c r="EI16" i="26"/>
  <c r="EH16" i="26"/>
  <c r="EG16" i="26"/>
  <c r="EM18" i="26"/>
  <c r="EL18" i="26"/>
  <c r="EJ18" i="26"/>
  <c r="EI18" i="26"/>
  <c r="EH18" i="26"/>
  <c r="EG18" i="26"/>
  <c r="EM15" i="26"/>
  <c r="EL15" i="26"/>
  <c r="EJ15" i="26"/>
  <c r="EI15" i="26"/>
  <c r="EH15" i="26"/>
  <c r="EG15" i="26"/>
  <c r="EM14" i="26"/>
  <c r="EL14" i="26"/>
  <c r="EJ14" i="26"/>
  <c r="EI14" i="26"/>
  <c r="EH14" i="26"/>
  <c r="EG14" i="26"/>
  <c r="EM13" i="26"/>
  <c r="EL13" i="26"/>
  <c r="EJ13" i="26"/>
  <c r="EI13" i="26"/>
  <c r="EH13" i="26"/>
  <c r="EG13" i="26"/>
  <c r="EM12" i="26"/>
  <c r="EL12" i="26"/>
  <c r="EJ12" i="26"/>
  <c r="EI12" i="26"/>
  <c r="EH12" i="26"/>
  <c r="EG12" i="26"/>
  <c r="EM11" i="26"/>
  <c r="EL11" i="26"/>
  <c r="EJ11" i="26"/>
  <c r="EI11" i="26"/>
  <c r="EH11" i="26"/>
  <c r="EG11" i="26"/>
  <c r="EM17" i="26"/>
  <c r="EL17" i="26"/>
  <c r="EJ17" i="26"/>
  <c r="EI17" i="26"/>
  <c r="EH17" i="26"/>
  <c r="EG17" i="26"/>
  <c r="EM9" i="26"/>
  <c r="EL9" i="26"/>
  <c r="EJ9" i="26"/>
  <c r="EI9" i="26"/>
  <c r="EH9" i="26"/>
  <c r="EG9" i="26"/>
  <c r="EM10" i="26"/>
  <c r="EL10" i="26"/>
  <c r="EJ10" i="26"/>
  <c r="EI10" i="26"/>
  <c r="EH10" i="26"/>
  <c r="EG10" i="26"/>
  <c r="EM8" i="26"/>
  <c r="EL8" i="26"/>
  <c r="EJ8" i="26"/>
  <c r="EI8" i="26"/>
  <c r="EH8" i="26"/>
  <c r="EG8" i="26"/>
  <c r="EM7" i="26"/>
  <c r="EL7" i="26"/>
  <c r="EJ7" i="26"/>
  <c r="EI7" i="26"/>
  <c r="EH7" i="26"/>
  <c r="EG7" i="26"/>
  <c r="EM6" i="26"/>
  <c r="EL6" i="26"/>
  <c r="EJ6" i="26"/>
  <c r="EI6" i="26"/>
  <c r="EH6" i="26"/>
  <c r="EG6" i="26"/>
  <c r="EM5" i="26"/>
  <c r="EL5" i="26"/>
  <c r="EJ5" i="26"/>
  <c r="EI5" i="26"/>
  <c r="EH5" i="26"/>
  <c r="EG5" i="26"/>
  <c r="EM4" i="26"/>
  <c r="EL4" i="26"/>
  <c r="EJ4" i="26"/>
  <c r="EI4" i="26"/>
  <c r="EH4" i="26"/>
  <c r="EG4" i="26"/>
  <c r="DK16" i="26"/>
  <c r="DJ16" i="26"/>
  <c r="DH16" i="26"/>
  <c r="DG16" i="26"/>
  <c r="DF16" i="26"/>
  <c r="DE16" i="26"/>
  <c r="DK18" i="26"/>
  <c r="DJ18" i="26"/>
  <c r="DH18" i="26"/>
  <c r="DG18" i="26"/>
  <c r="DF18" i="26"/>
  <c r="DE18" i="26"/>
  <c r="DK15" i="26"/>
  <c r="DJ15" i="26"/>
  <c r="DH15" i="26"/>
  <c r="DG15" i="26"/>
  <c r="DF15" i="26"/>
  <c r="DE15" i="26"/>
  <c r="DK14" i="26"/>
  <c r="DJ14" i="26"/>
  <c r="DH14" i="26"/>
  <c r="DG14" i="26"/>
  <c r="DF14" i="26"/>
  <c r="DE14" i="26"/>
  <c r="DK13" i="26"/>
  <c r="DJ13" i="26"/>
  <c r="DH13" i="26"/>
  <c r="DG13" i="26"/>
  <c r="DF13" i="26"/>
  <c r="DE13" i="26"/>
  <c r="DK12" i="26"/>
  <c r="DJ12" i="26"/>
  <c r="DH12" i="26"/>
  <c r="DG12" i="26"/>
  <c r="DF12" i="26"/>
  <c r="DE12" i="26"/>
  <c r="DK11" i="26"/>
  <c r="DJ11" i="26"/>
  <c r="DH11" i="26"/>
  <c r="DG11" i="26"/>
  <c r="DF11" i="26"/>
  <c r="DE11" i="26"/>
  <c r="DK17" i="26"/>
  <c r="DJ17" i="26"/>
  <c r="DH17" i="26"/>
  <c r="DG17" i="26"/>
  <c r="DF17" i="26"/>
  <c r="DE17" i="26"/>
  <c r="DK9" i="26"/>
  <c r="DJ9" i="26"/>
  <c r="DH9" i="26"/>
  <c r="DG9" i="26"/>
  <c r="DF9" i="26"/>
  <c r="DE9" i="26"/>
  <c r="DK10" i="26"/>
  <c r="DJ10" i="26"/>
  <c r="DH10" i="26"/>
  <c r="DG10" i="26"/>
  <c r="DF10" i="26"/>
  <c r="DE10" i="26"/>
  <c r="DK8" i="26"/>
  <c r="DJ8" i="26"/>
  <c r="DH8" i="26"/>
  <c r="DG8" i="26"/>
  <c r="DF8" i="26"/>
  <c r="DE8" i="26"/>
  <c r="DK7" i="26"/>
  <c r="DJ7" i="26"/>
  <c r="DH7" i="26"/>
  <c r="DG7" i="26"/>
  <c r="DF7" i="26"/>
  <c r="DE7" i="26"/>
  <c r="DK6" i="26"/>
  <c r="DJ6" i="26"/>
  <c r="DH6" i="26"/>
  <c r="DG6" i="26"/>
  <c r="DF6" i="26"/>
  <c r="DE6" i="26"/>
  <c r="DK5" i="26"/>
  <c r="DJ5" i="26"/>
  <c r="DH5" i="26"/>
  <c r="DG5" i="26"/>
  <c r="DF5" i="26"/>
  <c r="DE5" i="26"/>
  <c r="DK4" i="26"/>
  <c r="DJ4" i="26"/>
  <c r="DH4" i="26"/>
  <c r="DG4" i="26"/>
  <c r="DF4" i="26"/>
  <c r="DE4" i="26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17" i="4"/>
  <c r="RK17" i="4"/>
  <c r="RJ17" i="4"/>
  <c r="RI17" i="4"/>
  <c r="RH17" i="4"/>
  <c r="RG17" i="4"/>
  <c r="RE17" i="4"/>
  <c r="RD17" i="4"/>
  <c r="RC17" i="4"/>
  <c r="RB17" i="4"/>
  <c r="RA17" i="4"/>
  <c r="QZ1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9" i="4"/>
  <c r="RK9" i="4"/>
  <c r="RJ9" i="4"/>
  <c r="RI9" i="4"/>
  <c r="RH9" i="4"/>
  <c r="RG9" i="4"/>
  <c r="RE9" i="4"/>
  <c r="RD9" i="4"/>
  <c r="RC9" i="4"/>
  <c r="RB9" i="4"/>
  <c r="RA9" i="4"/>
  <c r="QZ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8" i="4"/>
  <c r="RK8" i="4"/>
  <c r="RJ8" i="4"/>
  <c r="RI8" i="4"/>
  <c r="RH8" i="4"/>
  <c r="RG8" i="4"/>
  <c r="RE8" i="4"/>
  <c r="RD8" i="4"/>
  <c r="RC8" i="4"/>
  <c r="RB8" i="4"/>
  <c r="RA8" i="4"/>
  <c r="QZ8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4" i="4"/>
  <c r="RK4" i="4"/>
  <c r="RJ4" i="4"/>
  <c r="RI4" i="4"/>
  <c r="RH4" i="4"/>
  <c r="RG4" i="4"/>
  <c r="RE4" i="4"/>
  <c r="RD4" i="4"/>
  <c r="RC4" i="4"/>
  <c r="RB4" i="4"/>
  <c r="RA4" i="4"/>
  <c r="QZ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9" i="4"/>
  <c r="QC9" i="4"/>
  <c r="QB9" i="4"/>
  <c r="QA9" i="4"/>
  <c r="PZ9" i="4"/>
  <c r="PY9" i="4"/>
  <c r="PW9" i="4"/>
  <c r="PV9" i="4"/>
  <c r="PU9" i="4"/>
  <c r="PT9" i="4"/>
  <c r="PS9" i="4"/>
  <c r="PR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8" i="4"/>
  <c r="QC8" i="4"/>
  <c r="QB8" i="4"/>
  <c r="QA8" i="4"/>
  <c r="PZ8" i="4"/>
  <c r="PY8" i="4"/>
  <c r="PW8" i="4"/>
  <c r="PV8" i="4"/>
  <c r="PU8" i="4"/>
  <c r="PT8" i="4"/>
  <c r="PS8" i="4"/>
  <c r="PR8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4" i="4"/>
  <c r="QC4" i="4"/>
  <c r="QB4" i="4"/>
  <c r="QA4" i="4"/>
  <c r="PZ4" i="4"/>
  <c r="PY4" i="4"/>
  <c r="PW4" i="4"/>
  <c r="PV4" i="4"/>
  <c r="PU4" i="4"/>
  <c r="PT4" i="4"/>
  <c r="PS4" i="4"/>
  <c r="PR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9" i="4"/>
  <c r="OU9" i="4"/>
  <c r="OT9" i="4"/>
  <c r="OS9" i="4"/>
  <c r="OR9" i="4"/>
  <c r="OQ9" i="4"/>
  <c r="OO9" i="4"/>
  <c r="ON9" i="4"/>
  <c r="OM9" i="4"/>
  <c r="OL9" i="4"/>
  <c r="OK9" i="4"/>
  <c r="OJ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8" i="4"/>
  <c r="OU8" i="4"/>
  <c r="OT8" i="4"/>
  <c r="OS8" i="4"/>
  <c r="OR8" i="4"/>
  <c r="OQ8" i="4"/>
  <c r="OO8" i="4"/>
  <c r="ON8" i="4"/>
  <c r="OM8" i="4"/>
  <c r="OL8" i="4"/>
  <c r="OK8" i="4"/>
  <c r="OJ8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4" i="4"/>
  <c r="OU4" i="4"/>
  <c r="OT4" i="4"/>
  <c r="OS4" i="4"/>
  <c r="OR4" i="4"/>
  <c r="OQ4" i="4"/>
  <c r="OO4" i="4"/>
  <c r="ON4" i="4"/>
  <c r="OM4" i="4"/>
  <c r="OL4" i="4"/>
  <c r="OK4" i="4"/>
  <c r="OJ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9" i="4"/>
  <c r="NM9" i="4"/>
  <c r="NL9" i="4"/>
  <c r="NK9" i="4"/>
  <c r="NJ9" i="4"/>
  <c r="NI9" i="4"/>
  <c r="NG9" i="4"/>
  <c r="NF9" i="4"/>
  <c r="NE9" i="4"/>
  <c r="ND9" i="4"/>
  <c r="NC9" i="4"/>
  <c r="NB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8" i="4"/>
  <c r="NM8" i="4"/>
  <c r="NL8" i="4"/>
  <c r="NK8" i="4"/>
  <c r="NJ8" i="4"/>
  <c r="NI8" i="4"/>
  <c r="NG8" i="4"/>
  <c r="NF8" i="4"/>
  <c r="NE8" i="4"/>
  <c r="ND8" i="4"/>
  <c r="NC8" i="4"/>
  <c r="NB8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4" i="4"/>
  <c r="NM4" i="4"/>
  <c r="NL4" i="4"/>
  <c r="NK4" i="4"/>
  <c r="NJ4" i="4"/>
  <c r="NI4" i="4"/>
  <c r="NG4" i="4"/>
  <c r="NF4" i="4"/>
  <c r="NE4" i="4"/>
  <c r="ND4" i="4"/>
  <c r="NC4" i="4"/>
  <c r="NB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9" i="4"/>
  <c r="ME9" i="4"/>
  <c r="MD9" i="4"/>
  <c r="MC9" i="4"/>
  <c r="MB9" i="4"/>
  <c r="MA9" i="4"/>
  <c r="LY9" i="4"/>
  <c r="LX9" i="4"/>
  <c r="LW9" i="4"/>
  <c r="LV9" i="4"/>
  <c r="LU9" i="4"/>
  <c r="LT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8" i="4"/>
  <c r="ME8" i="4"/>
  <c r="MD8" i="4"/>
  <c r="MC8" i="4"/>
  <c r="MB8" i="4"/>
  <c r="MA8" i="4"/>
  <c r="LY8" i="4"/>
  <c r="LX8" i="4"/>
  <c r="LW8" i="4"/>
  <c r="LV8" i="4"/>
  <c r="LU8" i="4"/>
  <c r="LT8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4" i="4"/>
  <c r="ME4" i="4"/>
  <c r="MD4" i="4"/>
  <c r="MC4" i="4"/>
  <c r="MB4" i="4"/>
  <c r="MA4" i="4"/>
  <c r="LY4" i="4"/>
  <c r="LX4" i="4"/>
  <c r="LW4" i="4"/>
  <c r="LV4" i="4"/>
  <c r="LU4" i="4"/>
  <c r="LT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9" i="4"/>
  <c r="KW9" i="4"/>
  <c r="KV9" i="4"/>
  <c r="KU9" i="4"/>
  <c r="KT9" i="4"/>
  <c r="KS9" i="4"/>
  <c r="KQ9" i="4"/>
  <c r="KP9" i="4"/>
  <c r="KO9" i="4"/>
  <c r="KN9" i="4"/>
  <c r="KM9" i="4"/>
  <c r="KL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8" i="4"/>
  <c r="KW8" i="4"/>
  <c r="KV8" i="4"/>
  <c r="KU8" i="4"/>
  <c r="KT8" i="4"/>
  <c r="KS8" i="4"/>
  <c r="KQ8" i="4"/>
  <c r="KP8" i="4"/>
  <c r="KO8" i="4"/>
  <c r="KN8" i="4"/>
  <c r="KM8" i="4"/>
  <c r="KL8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4" i="4"/>
  <c r="KW4" i="4"/>
  <c r="KV4" i="4"/>
  <c r="KU4" i="4"/>
  <c r="KT4" i="4"/>
  <c r="KS4" i="4"/>
  <c r="KQ4" i="4"/>
  <c r="KP4" i="4"/>
  <c r="KO4" i="4"/>
  <c r="KN4" i="4"/>
  <c r="KM4" i="4"/>
  <c r="KL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9" i="4"/>
  <c r="JO9" i="4"/>
  <c r="JN9" i="4"/>
  <c r="JM9" i="4"/>
  <c r="JL9" i="4"/>
  <c r="JK9" i="4"/>
  <c r="JI9" i="4"/>
  <c r="JH9" i="4"/>
  <c r="JG9" i="4"/>
  <c r="JF9" i="4"/>
  <c r="JE9" i="4"/>
  <c r="JD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8" i="4"/>
  <c r="JO8" i="4"/>
  <c r="JN8" i="4"/>
  <c r="JM8" i="4"/>
  <c r="JL8" i="4"/>
  <c r="JK8" i="4"/>
  <c r="JI8" i="4"/>
  <c r="JH8" i="4"/>
  <c r="JG8" i="4"/>
  <c r="JF8" i="4"/>
  <c r="JE8" i="4"/>
  <c r="JD8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4" i="4"/>
  <c r="JO4" i="4"/>
  <c r="JN4" i="4"/>
  <c r="JM4" i="4"/>
  <c r="JL4" i="4"/>
  <c r="JK4" i="4"/>
  <c r="JI4" i="4"/>
  <c r="JH4" i="4"/>
  <c r="JG4" i="4"/>
  <c r="JF4" i="4"/>
  <c r="JE4" i="4"/>
  <c r="JD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9" i="4"/>
  <c r="IG9" i="4"/>
  <c r="IF9" i="4"/>
  <c r="IE9" i="4"/>
  <c r="ID9" i="4"/>
  <c r="IC9" i="4"/>
  <c r="IA9" i="4"/>
  <c r="HZ9" i="4"/>
  <c r="HY9" i="4"/>
  <c r="HX9" i="4"/>
  <c r="HW9" i="4"/>
  <c r="HV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8" i="4"/>
  <c r="IG8" i="4"/>
  <c r="IF8" i="4"/>
  <c r="IE8" i="4"/>
  <c r="ID8" i="4"/>
  <c r="IC8" i="4"/>
  <c r="IA8" i="4"/>
  <c r="HZ8" i="4"/>
  <c r="HY8" i="4"/>
  <c r="HX8" i="4"/>
  <c r="HW8" i="4"/>
  <c r="HV8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4" i="4"/>
  <c r="IG4" i="4"/>
  <c r="IF4" i="4"/>
  <c r="IE4" i="4"/>
  <c r="ID4" i="4"/>
  <c r="IC4" i="4"/>
  <c r="IA4" i="4"/>
  <c r="HZ4" i="4"/>
  <c r="HY4" i="4"/>
  <c r="HX4" i="4"/>
  <c r="HW4" i="4"/>
  <c r="HV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9" i="4"/>
  <c r="GY9" i="4"/>
  <c r="GX9" i="4"/>
  <c r="GW9" i="4"/>
  <c r="GV9" i="4"/>
  <c r="GU9" i="4"/>
  <c r="GS9" i="4"/>
  <c r="GR9" i="4"/>
  <c r="GQ9" i="4"/>
  <c r="GP9" i="4"/>
  <c r="GO9" i="4"/>
  <c r="GN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8" i="4"/>
  <c r="GY8" i="4"/>
  <c r="GX8" i="4"/>
  <c r="GW8" i="4"/>
  <c r="GV8" i="4"/>
  <c r="GU8" i="4"/>
  <c r="GS8" i="4"/>
  <c r="GR8" i="4"/>
  <c r="GQ8" i="4"/>
  <c r="GP8" i="4"/>
  <c r="GO8" i="4"/>
  <c r="GN8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4" i="4"/>
  <c r="GY4" i="4"/>
  <c r="GX4" i="4"/>
  <c r="GW4" i="4"/>
  <c r="GV4" i="4"/>
  <c r="GU4" i="4"/>
  <c r="GS4" i="4"/>
  <c r="GR4" i="4"/>
  <c r="GQ4" i="4"/>
  <c r="GP4" i="4"/>
  <c r="GO4" i="4"/>
  <c r="GN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9" i="4"/>
  <c r="FQ9" i="4"/>
  <c r="FP9" i="4"/>
  <c r="FO9" i="4"/>
  <c r="FN9" i="4"/>
  <c r="FM9" i="4"/>
  <c r="FK9" i="4"/>
  <c r="FJ9" i="4"/>
  <c r="FI9" i="4"/>
  <c r="FH9" i="4"/>
  <c r="FG9" i="4"/>
  <c r="FF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8" i="4"/>
  <c r="FQ8" i="4"/>
  <c r="FP8" i="4"/>
  <c r="FO8" i="4"/>
  <c r="FN8" i="4"/>
  <c r="FM8" i="4"/>
  <c r="FK8" i="4"/>
  <c r="FJ8" i="4"/>
  <c r="FI8" i="4"/>
  <c r="FH8" i="4"/>
  <c r="FG8" i="4"/>
  <c r="FF8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4" i="4"/>
  <c r="FQ4" i="4"/>
  <c r="FP4" i="4"/>
  <c r="FO4" i="4"/>
  <c r="FN4" i="4"/>
  <c r="FM4" i="4"/>
  <c r="FK4" i="4"/>
  <c r="FJ4" i="4"/>
  <c r="FI4" i="4"/>
  <c r="FH4" i="4"/>
  <c r="FG4" i="4"/>
  <c r="FF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9" i="4"/>
  <c r="EI9" i="4"/>
  <c r="EH9" i="4"/>
  <c r="EG9" i="4"/>
  <c r="EF9" i="4"/>
  <c r="EE9" i="4"/>
  <c r="EC9" i="4"/>
  <c r="EB9" i="4"/>
  <c r="EA9" i="4"/>
  <c r="DZ9" i="4"/>
  <c r="DY9" i="4"/>
  <c r="DX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8" i="4"/>
  <c r="EI8" i="4"/>
  <c r="EH8" i="4"/>
  <c r="EG8" i="4"/>
  <c r="EF8" i="4"/>
  <c r="EE8" i="4"/>
  <c r="EC8" i="4"/>
  <c r="EB8" i="4"/>
  <c r="EA8" i="4"/>
  <c r="DZ8" i="4"/>
  <c r="DY8" i="4"/>
  <c r="DX8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4" i="4"/>
  <c r="EI4" i="4"/>
  <c r="EH4" i="4"/>
  <c r="EG4" i="4"/>
  <c r="EF4" i="4"/>
  <c r="EE4" i="4"/>
  <c r="EC4" i="4"/>
  <c r="EB4" i="4"/>
  <c r="EA4" i="4"/>
  <c r="DZ4" i="4"/>
  <c r="DY4" i="4"/>
  <c r="DX4" i="4"/>
  <c r="CD39" i="21"/>
  <c r="CE39" i="21"/>
  <c r="CF39" i="21"/>
  <c r="CG39" i="21"/>
  <c r="PA39" i="21"/>
  <c r="PB39" i="21"/>
  <c r="PC39" i="21"/>
  <c r="PD39" i="21"/>
  <c r="PF39" i="21"/>
  <c r="PG39" i="21"/>
  <c r="CD37" i="21"/>
  <c r="CE37" i="21"/>
  <c r="CF37" i="21"/>
  <c r="CG37" i="21"/>
  <c r="PA37" i="21"/>
  <c r="PB37" i="21"/>
  <c r="PC37" i="21"/>
  <c r="PD37" i="21"/>
  <c r="PF37" i="21"/>
  <c r="PG37" i="21"/>
  <c r="CD30" i="21"/>
  <c r="CE30" i="21"/>
  <c r="CF30" i="21"/>
  <c r="CG30" i="21"/>
  <c r="PA30" i="21"/>
  <c r="PB30" i="21"/>
  <c r="PC30" i="21"/>
  <c r="PD30" i="21"/>
  <c r="PF30" i="21"/>
  <c r="PG30" i="21"/>
  <c r="CD28" i="21"/>
  <c r="CE28" i="21"/>
  <c r="CF28" i="21"/>
  <c r="CG28" i="21"/>
  <c r="PA28" i="21"/>
  <c r="PB28" i="21"/>
  <c r="PC28" i="21"/>
  <c r="PD28" i="21"/>
  <c r="PF28" i="21"/>
  <c r="PG28" i="21"/>
  <c r="CD37" i="19"/>
  <c r="CE37" i="19"/>
  <c r="CF37" i="19"/>
  <c r="CG37" i="19"/>
  <c r="PA37" i="19"/>
  <c r="PB37" i="19"/>
  <c r="PC37" i="19"/>
  <c r="PD37" i="19"/>
  <c r="PF37" i="19"/>
  <c r="PG37" i="19"/>
  <c r="PI37" i="19"/>
  <c r="PJ37" i="19"/>
  <c r="PK37" i="19"/>
  <c r="PL37" i="19"/>
  <c r="PM37" i="19"/>
  <c r="PN37" i="19"/>
  <c r="PO37" i="19"/>
  <c r="PP37" i="19"/>
  <c r="PQ37" i="19"/>
  <c r="PR37" i="19"/>
  <c r="PS37" i="19"/>
  <c r="PT37" i="19"/>
  <c r="PU37" i="19"/>
  <c r="PV37" i="19"/>
  <c r="PW37" i="19"/>
  <c r="PX37" i="19"/>
  <c r="CD35" i="19"/>
  <c r="CE35" i="19"/>
  <c r="CF35" i="19"/>
  <c r="CG35" i="19"/>
  <c r="PA35" i="19"/>
  <c r="PB35" i="19"/>
  <c r="PC35" i="19"/>
  <c r="PD35" i="19"/>
  <c r="PF35" i="19"/>
  <c r="PG35" i="19"/>
  <c r="PI35" i="19"/>
  <c r="PJ35" i="19"/>
  <c r="PK35" i="19"/>
  <c r="PL35" i="19"/>
  <c r="PM35" i="19"/>
  <c r="PN35" i="19"/>
  <c r="PO35" i="19"/>
  <c r="PP35" i="19"/>
  <c r="PQ35" i="19"/>
  <c r="PR35" i="19"/>
  <c r="PS35" i="19"/>
  <c r="PT35" i="19"/>
  <c r="PU35" i="19"/>
  <c r="PV35" i="19"/>
  <c r="PW35" i="19"/>
  <c r="PX35" i="19"/>
  <c r="CD26" i="19"/>
  <c r="CE26" i="19"/>
  <c r="CF26" i="19"/>
  <c r="CG26" i="19"/>
  <c r="PA26" i="19"/>
  <c r="PB26" i="19"/>
  <c r="PC26" i="19"/>
  <c r="PD26" i="19"/>
  <c r="PF26" i="19"/>
  <c r="PG26" i="19"/>
  <c r="PI26" i="19"/>
  <c r="PJ26" i="19"/>
  <c r="PK26" i="19"/>
  <c r="PL26" i="19"/>
  <c r="PM26" i="19"/>
  <c r="PN26" i="19"/>
  <c r="PO26" i="19"/>
  <c r="PP26" i="19"/>
  <c r="PQ26" i="19"/>
  <c r="PR26" i="19"/>
  <c r="PS26" i="19"/>
  <c r="PT26" i="19"/>
  <c r="PU26" i="19"/>
  <c r="PV26" i="19"/>
  <c r="PW26" i="19"/>
  <c r="PX26" i="19"/>
  <c r="LY32" i="21" l="1"/>
  <c r="AP21" i="21"/>
  <c r="AP33" i="21"/>
  <c r="BL5" i="21"/>
  <c r="BL30" i="21"/>
  <c r="GR14" i="19"/>
  <c r="GR21" i="19"/>
  <c r="GO15" i="27"/>
  <c r="KY11" i="22"/>
  <c r="GT10" i="22"/>
  <c r="IB11" i="22"/>
  <c r="JQ11" i="22"/>
  <c r="FL24" i="4"/>
  <c r="NH24" i="4"/>
  <c r="FL25" i="4"/>
  <c r="NA23" i="21"/>
  <c r="BL17" i="21"/>
  <c r="AP14" i="21"/>
  <c r="EK32" i="21"/>
  <c r="BL13" i="21"/>
  <c r="NA32" i="21"/>
  <c r="EK24" i="21"/>
  <c r="BL23" i="21"/>
  <c r="LY14" i="19"/>
  <c r="LY17" i="19"/>
  <c r="BL20" i="19"/>
  <c r="NA17" i="19"/>
  <c r="FM17" i="19"/>
  <c r="GO31" i="19"/>
  <c r="IV14" i="19"/>
  <c r="PZ21" i="19"/>
  <c r="IV21" i="19"/>
  <c r="CH14" i="19"/>
  <c r="GR31" i="19"/>
  <c r="BL31" i="19"/>
  <c r="EN14" i="19"/>
  <c r="IS13" i="27"/>
  <c r="IS15" i="27"/>
  <c r="EN10" i="27"/>
  <c r="DI15" i="27"/>
  <c r="FM15" i="27"/>
  <c r="BL10" i="27"/>
  <c r="OC10" i="27"/>
  <c r="NA15" i="27"/>
  <c r="LY10" i="27"/>
  <c r="CH15" i="27"/>
  <c r="OC15" i="27"/>
  <c r="BL15" i="26"/>
  <c r="BL4" i="26"/>
  <c r="II11" i="22"/>
  <c r="FL13" i="22"/>
  <c r="FS13" i="22" s="1"/>
  <c r="ED11" i="22"/>
  <c r="ED9" i="22"/>
  <c r="LZ13" i="22"/>
  <c r="FL9" i="22"/>
  <c r="PX12" i="22"/>
  <c r="GT11" i="22"/>
  <c r="HA11" i="22" s="1"/>
  <c r="BV11" i="22"/>
  <c r="BZ11" i="22" s="1"/>
  <c r="OP20" i="4"/>
  <c r="JJ24" i="4"/>
  <c r="JQ24" i="4" s="1"/>
  <c r="NH25" i="4"/>
  <c r="IB20" i="4"/>
  <c r="II20" i="4" s="1"/>
  <c r="OP25" i="4"/>
  <c r="II25" i="4"/>
  <c r="FS25" i="4"/>
  <c r="FM32" i="21"/>
  <c r="GO24" i="21"/>
  <c r="KW23" i="21"/>
  <c r="JU32" i="21"/>
  <c r="LY17" i="21"/>
  <c r="EN19" i="21"/>
  <c r="CH19" i="21"/>
  <c r="DI24" i="21"/>
  <c r="OF32" i="21"/>
  <c r="IS17" i="21"/>
  <c r="JU29" i="21"/>
  <c r="AP7" i="21"/>
  <c r="AP25" i="21"/>
  <c r="AP35" i="21"/>
  <c r="CH11" i="21"/>
  <c r="KW17" i="21"/>
  <c r="DI17" i="21"/>
  <c r="JX29" i="21"/>
  <c r="KW32" i="21"/>
  <c r="FM19" i="21"/>
  <c r="OC24" i="21"/>
  <c r="DI23" i="21"/>
  <c r="KW4" i="21"/>
  <c r="BL32" i="21"/>
  <c r="LY29" i="21"/>
  <c r="IS32" i="21"/>
  <c r="KW24" i="21"/>
  <c r="EK29" i="21"/>
  <c r="MB32" i="21"/>
  <c r="JX32" i="21"/>
  <c r="EK19" i="21"/>
  <c r="CH24" i="21"/>
  <c r="AP9" i="21"/>
  <c r="AP16" i="21"/>
  <c r="CH23" i="21"/>
  <c r="NA24" i="21"/>
  <c r="PZ32" i="21"/>
  <c r="NA17" i="21"/>
  <c r="FM24" i="21"/>
  <c r="GR19" i="21"/>
  <c r="GR32" i="21"/>
  <c r="EK17" i="21"/>
  <c r="FM23" i="21"/>
  <c r="GR24" i="21"/>
  <c r="EN32" i="21"/>
  <c r="GO19" i="21"/>
  <c r="GR29" i="21"/>
  <c r="EN23" i="21"/>
  <c r="IS29" i="21"/>
  <c r="OF17" i="21"/>
  <c r="KW19" i="21"/>
  <c r="DI19" i="21"/>
  <c r="JU24" i="21"/>
  <c r="JU17" i="21"/>
  <c r="CH17" i="21"/>
  <c r="LY24" i="21"/>
  <c r="DL29" i="21"/>
  <c r="KW21" i="19"/>
  <c r="IV31" i="19"/>
  <c r="FM14" i="19"/>
  <c r="DI14" i="19"/>
  <c r="AP20" i="19"/>
  <c r="DI20" i="19"/>
  <c r="LY31" i="19"/>
  <c r="NA20" i="19"/>
  <c r="FM20" i="19"/>
  <c r="GO14" i="19"/>
  <c r="IS14" i="19"/>
  <c r="NA21" i="19"/>
  <c r="IS31" i="19"/>
  <c r="KW31" i="19"/>
  <c r="EN21" i="19"/>
  <c r="IV20" i="19"/>
  <c r="EK20" i="19"/>
  <c r="NA31" i="19"/>
  <c r="LY12" i="19"/>
  <c r="HQ31" i="19"/>
  <c r="DI17" i="19"/>
  <c r="KZ20" i="19"/>
  <c r="EK31" i="19"/>
  <c r="FM12" i="19"/>
  <c r="DL21" i="19"/>
  <c r="KW14" i="19"/>
  <c r="CH31" i="19"/>
  <c r="NA14" i="19"/>
  <c r="OF31" i="19"/>
  <c r="GO21" i="19"/>
  <c r="DL31" i="19"/>
  <c r="JX31" i="19"/>
  <c r="IS21" i="19"/>
  <c r="PZ31" i="19"/>
  <c r="OC31" i="19"/>
  <c r="EK13" i="27"/>
  <c r="EK15" i="27"/>
  <c r="JU10" i="27"/>
  <c r="KW15" i="27"/>
  <c r="IV13" i="27"/>
  <c r="IS10" i="27"/>
  <c r="IV15" i="27"/>
  <c r="KW13" i="27"/>
  <c r="LY13" i="27"/>
  <c r="GO10" i="27"/>
  <c r="PZ15" i="27"/>
  <c r="GR15" i="27"/>
  <c r="EN15" i="27"/>
  <c r="NA13" i="27"/>
  <c r="PZ10" i="27"/>
  <c r="GO13" i="27"/>
  <c r="JU15" i="27"/>
  <c r="LY15" i="27"/>
  <c r="OF15" i="27"/>
  <c r="DL13" i="27"/>
  <c r="KW10" i="27"/>
  <c r="NA10" i="27"/>
  <c r="OC13" i="27"/>
  <c r="CH13" i="27"/>
  <c r="EN13" i="27"/>
  <c r="L15" i="27"/>
  <c r="M15" i="27" s="1"/>
  <c r="AP12" i="26"/>
  <c r="AP7" i="26"/>
  <c r="BL6" i="26"/>
  <c r="BL11" i="26"/>
  <c r="ED12" i="22"/>
  <c r="EK12" i="22" s="1"/>
  <c r="PX11" i="22"/>
  <c r="QE11" i="22" s="1"/>
  <c r="JJ12" i="22"/>
  <c r="JQ12" i="22" s="1"/>
  <c r="CW9" i="22"/>
  <c r="DA9" i="22" s="1"/>
  <c r="SN10" i="22"/>
  <c r="KR12" i="22"/>
  <c r="KY12" i="22" s="1"/>
  <c r="JJ13" i="22"/>
  <c r="JQ13" i="22" s="1"/>
  <c r="KR13" i="22"/>
  <c r="KY13" i="22" s="1"/>
  <c r="RF12" i="22"/>
  <c r="RM12" i="22" s="1"/>
  <c r="OP13" i="22"/>
  <c r="OW13" i="22" s="1"/>
  <c r="RF9" i="22"/>
  <c r="RM9" i="22" s="1"/>
  <c r="AU10" i="22"/>
  <c r="AY10" i="22" s="1"/>
  <c r="RF13" i="22"/>
  <c r="RM13" i="22" s="1"/>
  <c r="GT13" i="22"/>
  <c r="HA13" i="22" s="1"/>
  <c r="NH12" i="22"/>
  <c r="NO12" i="22" s="1"/>
  <c r="SN13" i="22"/>
  <c r="SU13" i="22" s="1"/>
  <c r="IB13" i="22"/>
  <c r="II13" i="22" s="1"/>
  <c r="AU12" i="22"/>
  <c r="AY12" i="22" s="1"/>
  <c r="EK11" i="22"/>
  <c r="RM11" i="22"/>
  <c r="NH13" i="22"/>
  <c r="NO13" i="22" s="1"/>
  <c r="ED13" i="22"/>
  <c r="EK13" i="22" s="1"/>
  <c r="AU7" i="22"/>
  <c r="AY7" i="22" s="1"/>
  <c r="TU13" i="22"/>
  <c r="PX13" i="22"/>
  <c r="FL11" i="22"/>
  <c r="FS11" i="22" s="1"/>
  <c r="BV10" i="22"/>
  <c r="BZ10" i="22" s="1"/>
  <c r="ED7" i="22"/>
  <c r="EK7" i="22" s="1"/>
  <c r="IB12" i="22"/>
  <c r="II12" i="22" s="1"/>
  <c r="AU13" i="22"/>
  <c r="AY13" i="22" s="1"/>
  <c r="SN11" i="22"/>
  <c r="SU11" i="22" s="1"/>
  <c r="OP14" i="4"/>
  <c r="RF14" i="4"/>
  <c r="RM14" i="4" s="1"/>
  <c r="LZ20" i="4"/>
  <c r="MG20" i="4" s="1"/>
  <c r="ED20" i="4"/>
  <c r="RF25" i="4"/>
  <c r="RM25" i="4" s="1"/>
  <c r="RF24" i="4"/>
  <c r="RM24" i="4" s="1"/>
  <c r="AU21" i="4"/>
  <c r="AY21" i="4" s="1"/>
  <c r="KR25" i="4"/>
  <c r="KY25" i="4" s="1"/>
  <c r="DA25" i="4"/>
  <c r="BV14" i="4"/>
  <c r="BZ14" i="4" s="1"/>
  <c r="FL20" i="4"/>
  <c r="FS20" i="4" s="1"/>
  <c r="NO25" i="4"/>
  <c r="PX25" i="4"/>
  <c r="QE25" i="4" s="1"/>
  <c r="PX20" i="4"/>
  <c r="QE20" i="4" s="1"/>
  <c r="JJ20" i="4"/>
  <c r="JQ20" i="4" s="1"/>
  <c r="GT20" i="4"/>
  <c r="HA20" i="4" s="1"/>
  <c r="BZ20" i="4"/>
  <c r="LZ24" i="4"/>
  <c r="MG24" i="4" s="1"/>
  <c r="AU20" i="4"/>
  <c r="AY20" i="4" s="1"/>
  <c r="SN25" i="4"/>
  <c r="SU25" i="4" s="1"/>
  <c r="JJ25" i="4"/>
  <c r="JQ25" i="4" s="1"/>
  <c r="GT25" i="4"/>
  <c r="HA25" i="4" s="1"/>
  <c r="BV25" i="4"/>
  <c r="BZ25" i="4" s="1"/>
  <c r="TN20" i="4"/>
  <c r="SN20" i="4"/>
  <c r="SU20" i="4" s="1"/>
  <c r="LZ25" i="4"/>
  <c r="MG25" i="4" s="1"/>
  <c r="AU14" i="4"/>
  <c r="AY14" i="4" s="1"/>
  <c r="CW21" i="4"/>
  <c r="DA21" i="4" s="1"/>
  <c r="ED25" i="4"/>
  <c r="EK25" i="4" s="1"/>
  <c r="NH14" i="4"/>
  <c r="NO14" i="4" s="1"/>
  <c r="KR21" i="4"/>
  <c r="KY21" i="4" s="1"/>
  <c r="FM17" i="21"/>
  <c r="PE32" i="21"/>
  <c r="OC32" i="21"/>
  <c r="ND32" i="21"/>
  <c r="KZ32" i="21"/>
  <c r="HQ32" i="21"/>
  <c r="GO32" i="21"/>
  <c r="FP32" i="21"/>
  <c r="DL32" i="21"/>
  <c r="QC32" i="21"/>
  <c r="QA32" i="21"/>
  <c r="QB32" i="21"/>
  <c r="N32" i="21"/>
  <c r="O32" i="21" s="1"/>
  <c r="CI32" i="21"/>
  <c r="L32" i="21"/>
  <c r="M32" i="21" s="1"/>
  <c r="AP32" i="21"/>
  <c r="I32" i="21"/>
  <c r="H32" i="21"/>
  <c r="P32" i="21"/>
  <c r="Q32" i="21" s="1"/>
  <c r="HT32" i="21"/>
  <c r="PH32" i="21"/>
  <c r="CH29" i="21"/>
  <c r="PZ19" i="21"/>
  <c r="OF24" i="21"/>
  <c r="MB24" i="21"/>
  <c r="JX24" i="21"/>
  <c r="NA4" i="21"/>
  <c r="OF29" i="21"/>
  <c r="DI8" i="21"/>
  <c r="EK23" i="21"/>
  <c r="PZ29" i="21"/>
  <c r="IV17" i="21"/>
  <c r="IV24" i="21"/>
  <c r="EN24" i="21"/>
  <c r="PE29" i="21"/>
  <c r="OC29" i="21"/>
  <c r="ND29" i="21"/>
  <c r="NA29" i="21"/>
  <c r="MB29" i="21"/>
  <c r="KZ29" i="21"/>
  <c r="IV29" i="21"/>
  <c r="HQ29" i="21"/>
  <c r="GO29" i="21"/>
  <c r="FP29" i="21"/>
  <c r="EN29" i="21"/>
  <c r="QB29" i="21"/>
  <c r="L29" i="21"/>
  <c r="M29" i="21" s="1"/>
  <c r="QC29" i="21"/>
  <c r="P29" i="21"/>
  <c r="Q29" i="21" s="1"/>
  <c r="QA29" i="21"/>
  <c r="AP29" i="21"/>
  <c r="I29" i="21"/>
  <c r="H29" i="21"/>
  <c r="FM29" i="21"/>
  <c r="BL29" i="21"/>
  <c r="KW29" i="21"/>
  <c r="DI29" i="21"/>
  <c r="N29" i="21"/>
  <c r="PH29" i="21"/>
  <c r="HT29" i="21"/>
  <c r="KW11" i="21"/>
  <c r="NA19" i="21"/>
  <c r="QB24" i="21"/>
  <c r="EK8" i="21"/>
  <c r="BL24" i="21"/>
  <c r="LY11" i="21"/>
  <c r="EK11" i="21"/>
  <c r="NA8" i="21"/>
  <c r="PZ24" i="21"/>
  <c r="FM8" i="21"/>
  <c r="DI11" i="21"/>
  <c r="GR17" i="21"/>
  <c r="PE24" i="21"/>
  <c r="ND24" i="21"/>
  <c r="KZ24" i="21"/>
  <c r="HQ24" i="21"/>
  <c r="FP24" i="21"/>
  <c r="DL24" i="21"/>
  <c r="QC24" i="21"/>
  <c r="QA24" i="21"/>
  <c r="P24" i="21"/>
  <c r="Q24" i="21" s="1"/>
  <c r="H24" i="21"/>
  <c r="L24" i="21"/>
  <c r="M24" i="21" s="1"/>
  <c r="N24" i="21"/>
  <c r="AP24" i="21"/>
  <c r="I24" i="21"/>
  <c r="PH24" i="21"/>
  <c r="HT24" i="21"/>
  <c r="GR23" i="21"/>
  <c r="IS4" i="21"/>
  <c r="IS23" i="21"/>
  <c r="BL11" i="21"/>
  <c r="L23" i="21"/>
  <c r="M23" i="21" s="1"/>
  <c r="GO11" i="21"/>
  <c r="LY23" i="21"/>
  <c r="JU23" i="21"/>
  <c r="FM11" i="21"/>
  <c r="IS11" i="21"/>
  <c r="PE23" i="21"/>
  <c r="OC23" i="21"/>
  <c r="OF23" i="21"/>
  <c r="ND23" i="21"/>
  <c r="MB23" i="21"/>
  <c r="KZ23" i="21"/>
  <c r="JX23" i="21"/>
  <c r="IV23" i="21"/>
  <c r="HQ23" i="21"/>
  <c r="GO23" i="21"/>
  <c r="FP23" i="21"/>
  <c r="DL23" i="21"/>
  <c r="QB23" i="21"/>
  <c r="QC23" i="21"/>
  <c r="QA23" i="21"/>
  <c r="P23" i="21"/>
  <c r="Q23" i="21" s="1"/>
  <c r="PZ23" i="21"/>
  <c r="I23" i="21"/>
  <c r="H23" i="21"/>
  <c r="N23" i="21"/>
  <c r="AP23" i="21"/>
  <c r="PH23" i="21"/>
  <c r="HT23" i="21"/>
  <c r="NA11" i="21"/>
  <c r="OF19" i="21"/>
  <c r="BL8" i="21"/>
  <c r="EN17" i="21"/>
  <c r="IS19" i="21"/>
  <c r="EN11" i="21"/>
  <c r="IV11" i="21"/>
  <c r="JU19" i="21"/>
  <c r="OC11" i="21"/>
  <c r="LY19" i="21"/>
  <c r="MB17" i="21"/>
  <c r="JX17" i="21"/>
  <c r="PE19" i="21"/>
  <c r="OC19" i="21"/>
  <c r="ND19" i="21"/>
  <c r="MB19" i="21"/>
  <c r="KZ19" i="21"/>
  <c r="JX19" i="21"/>
  <c r="IV19" i="21"/>
  <c r="HQ19" i="21"/>
  <c r="FP19" i="21"/>
  <c r="DL19" i="21"/>
  <c r="QB19" i="21"/>
  <c r="L19" i="21"/>
  <c r="M19" i="21" s="1"/>
  <c r="QC19" i="21"/>
  <c r="BL19" i="21"/>
  <c r="QA19" i="21"/>
  <c r="P19" i="21"/>
  <c r="Q19" i="21" s="1"/>
  <c r="H19" i="21"/>
  <c r="N19" i="21"/>
  <c r="AP19" i="21"/>
  <c r="I19" i="21"/>
  <c r="PH19" i="21"/>
  <c r="HT19" i="21"/>
  <c r="CH8" i="21"/>
  <c r="PE17" i="21"/>
  <c r="OF11" i="21"/>
  <c r="MB11" i="21"/>
  <c r="JX11" i="21"/>
  <c r="OC4" i="21"/>
  <c r="PZ11" i="21"/>
  <c r="HQ17" i="21"/>
  <c r="EK4" i="21"/>
  <c r="JU11" i="21"/>
  <c r="OC17" i="21"/>
  <c r="ND17" i="21"/>
  <c r="KZ17" i="21"/>
  <c r="GO17" i="21"/>
  <c r="FP17" i="21"/>
  <c r="DL17" i="21"/>
  <c r="QB17" i="21"/>
  <c r="QC17" i="21"/>
  <c r="I17" i="21"/>
  <c r="P17" i="21"/>
  <c r="Q17" i="21" s="1"/>
  <c r="QA17" i="21"/>
  <c r="PZ17" i="21"/>
  <c r="AP17" i="21"/>
  <c r="H17" i="21"/>
  <c r="N17" i="21"/>
  <c r="L17" i="21"/>
  <c r="PH17" i="21"/>
  <c r="HT17" i="21"/>
  <c r="IS8" i="21"/>
  <c r="GR11" i="21"/>
  <c r="PZ4" i="21"/>
  <c r="GO4" i="21"/>
  <c r="EN8" i="21"/>
  <c r="PE11" i="21"/>
  <c r="ND11" i="21"/>
  <c r="KZ11" i="21"/>
  <c r="HQ11" i="21"/>
  <c r="FP11" i="21"/>
  <c r="DL11" i="21"/>
  <c r="QB11" i="21"/>
  <c r="QC11" i="21"/>
  <c r="P11" i="21"/>
  <c r="Q11" i="21" s="1"/>
  <c r="QA11" i="21"/>
  <c r="H11" i="21"/>
  <c r="L11" i="21"/>
  <c r="M11" i="21" s="1"/>
  <c r="N11" i="21"/>
  <c r="AP11" i="21"/>
  <c r="I11" i="21"/>
  <c r="PH11" i="21"/>
  <c r="HT11" i="21"/>
  <c r="OF8" i="21"/>
  <c r="PZ8" i="21"/>
  <c r="FP4" i="21"/>
  <c r="KW8" i="21"/>
  <c r="EN4" i="21"/>
  <c r="JU8" i="21"/>
  <c r="LY8" i="21"/>
  <c r="GR4" i="21"/>
  <c r="CH4" i="21"/>
  <c r="GR8" i="21"/>
  <c r="PE8" i="21"/>
  <c r="OC8" i="21"/>
  <c r="ND8" i="21"/>
  <c r="MB8" i="21"/>
  <c r="KZ8" i="21"/>
  <c r="JX8" i="21"/>
  <c r="HQ8" i="21"/>
  <c r="GO8" i="21"/>
  <c r="FP8" i="21"/>
  <c r="DL8" i="21"/>
  <c r="QB8" i="21"/>
  <c r="QC8" i="21"/>
  <c r="P8" i="21"/>
  <c r="Q8" i="21" s="1"/>
  <c r="I8" i="21"/>
  <c r="QA8" i="21"/>
  <c r="H8" i="21"/>
  <c r="N8" i="21"/>
  <c r="IV8" i="21"/>
  <c r="L8" i="21"/>
  <c r="AP8" i="21"/>
  <c r="PH8" i="21"/>
  <c r="HT8" i="21"/>
  <c r="LY4" i="21"/>
  <c r="OF4" i="21"/>
  <c r="L4" i="21"/>
  <c r="M4" i="21" s="1"/>
  <c r="HQ4" i="21"/>
  <c r="QB4" i="21"/>
  <c r="JX4" i="21"/>
  <c r="AP12" i="21"/>
  <c r="AP20" i="21"/>
  <c r="AP28" i="21"/>
  <c r="AP38" i="21"/>
  <c r="BL10" i="21"/>
  <c r="BL18" i="21"/>
  <c r="BL27" i="21"/>
  <c r="BL37" i="21"/>
  <c r="DI4" i="21"/>
  <c r="PE4" i="21"/>
  <c r="ND4" i="21"/>
  <c r="MB4" i="21"/>
  <c r="KZ4" i="21"/>
  <c r="JU4" i="21"/>
  <c r="IV4" i="21"/>
  <c r="FM4" i="21"/>
  <c r="DL4" i="21"/>
  <c r="QC4" i="21"/>
  <c r="BL4" i="21"/>
  <c r="QA4" i="21"/>
  <c r="P4" i="21"/>
  <c r="Q4" i="21" s="1"/>
  <c r="H4" i="21"/>
  <c r="N4" i="21"/>
  <c r="AP4" i="21"/>
  <c r="I4" i="21"/>
  <c r="PH4" i="21"/>
  <c r="HT4" i="21"/>
  <c r="QB31" i="19"/>
  <c r="PZ17" i="19"/>
  <c r="PE31" i="19"/>
  <c r="ND31" i="19"/>
  <c r="MB31" i="19"/>
  <c r="KZ31" i="19"/>
  <c r="JU31" i="19"/>
  <c r="FP31" i="19"/>
  <c r="FM31" i="19"/>
  <c r="EN31" i="19"/>
  <c r="DI31" i="19"/>
  <c r="QC31" i="19"/>
  <c r="QA31" i="19"/>
  <c r="P31" i="19"/>
  <c r="Q31" i="19" s="1"/>
  <c r="H31" i="19"/>
  <c r="L31" i="19"/>
  <c r="M31" i="19" s="1"/>
  <c r="N31" i="19"/>
  <c r="AP31" i="19"/>
  <c r="I31" i="19"/>
  <c r="PH31" i="19"/>
  <c r="HT31" i="19"/>
  <c r="FP21" i="19"/>
  <c r="EK17" i="19"/>
  <c r="BL17" i="19"/>
  <c r="OF21" i="19"/>
  <c r="CH21" i="19"/>
  <c r="JU14" i="19"/>
  <c r="GO17" i="19"/>
  <c r="AP12" i="19"/>
  <c r="KW12" i="19"/>
  <c r="NA12" i="19"/>
  <c r="JU21" i="19"/>
  <c r="LY21" i="19"/>
  <c r="MB12" i="19"/>
  <c r="QB21" i="19"/>
  <c r="HQ21" i="19"/>
  <c r="EK12" i="19"/>
  <c r="EN12" i="19"/>
  <c r="IS20" i="19"/>
  <c r="PE21" i="19"/>
  <c r="OC21" i="19"/>
  <c r="ND21" i="19"/>
  <c r="MB21" i="19"/>
  <c r="KZ21" i="19"/>
  <c r="JX21" i="19"/>
  <c r="FM21" i="19"/>
  <c r="DI21" i="19"/>
  <c r="L21" i="19"/>
  <c r="M21" i="19" s="1"/>
  <c r="QC21" i="19"/>
  <c r="BL21" i="19"/>
  <c r="QA21" i="19"/>
  <c r="P21" i="19"/>
  <c r="Q21" i="19" s="1"/>
  <c r="H21" i="19"/>
  <c r="N21" i="19"/>
  <c r="AP21" i="19"/>
  <c r="I21" i="19"/>
  <c r="PH21" i="19"/>
  <c r="HT21" i="19"/>
  <c r="BL14" i="19"/>
  <c r="EN20" i="19"/>
  <c r="GR17" i="19"/>
  <c r="EN17" i="19"/>
  <c r="CH20" i="19"/>
  <c r="JU20" i="19"/>
  <c r="MB20" i="19"/>
  <c r="IV12" i="19"/>
  <c r="PE20" i="19"/>
  <c r="OC20" i="19"/>
  <c r="ND20" i="19"/>
  <c r="LY20" i="19"/>
  <c r="KW20" i="19"/>
  <c r="JX20" i="19"/>
  <c r="HQ20" i="19"/>
  <c r="GO20" i="19"/>
  <c r="FP20" i="19"/>
  <c r="DL20" i="19"/>
  <c r="QB20" i="19"/>
  <c r="PZ20" i="19"/>
  <c r="QC20" i="19"/>
  <c r="QA20" i="19"/>
  <c r="P20" i="19"/>
  <c r="Q20" i="19" s="1"/>
  <c r="I20" i="19"/>
  <c r="H20" i="19"/>
  <c r="N20" i="19"/>
  <c r="CI20" i="19" s="1"/>
  <c r="L20" i="19"/>
  <c r="M20" i="19" s="1"/>
  <c r="OF20" i="19"/>
  <c r="GR20" i="19"/>
  <c r="PH20" i="19"/>
  <c r="HT20" i="19"/>
  <c r="CH17" i="19"/>
  <c r="OC14" i="19"/>
  <c r="OF12" i="19"/>
  <c r="DI12" i="19"/>
  <c r="IS17" i="19"/>
  <c r="JU12" i="19"/>
  <c r="KW17" i="19"/>
  <c r="JU17" i="19"/>
  <c r="QB17" i="19"/>
  <c r="IS12" i="19"/>
  <c r="OF17" i="19"/>
  <c r="MB14" i="19"/>
  <c r="JX14" i="19"/>
  <c r="PE17" i="19"/>
  <c r="OC17" i="19"/>
  <c r="ND17" i="19"/>
  <c r="MB17" i="19"/>
  <c r="KZ17" i="19"/>
  <c r="JX17" i="19"/>
  <c r="IV17" i="19"/>
  <c r="HQ17" i="19"/>
  <c r="FP17" i="19"/>
  <c r="DL17" i="19"/>
  <c r="L17" i="19"/>
  <c r="M17" i="19" s="1"/>
  <c r="QC17" i="19"/>
  <c r="QA17" i="19"/>
  <c r="P17" i="19"/>
  <c r="Q17" i="19" s="1"/>
  <c r="H17" i="19"/>
  <c r="N17" i="19"/>
  <c r="AP17" i="19"/>
  <c r="I17" i="19"/>
  <c r="PH17" i="19"/>
  <c r="HT17" i="19"/>
  <c r="PE12" i="19"/>
  <c r="PE14" i="19"/>
  <c r="JX12" i="19"/>
  <c r="OF14" i="19"/>
  <c r="ND14" i="19"/>
  <c r="KZ14" i="19"/>
  <c r="HQ14" i="19"/>
  <c r="FP14" i="19"/>
  <c r="DL14" i="19"/>
  <c r="QB14" i="19"/>
  <c r="PZ14" i="19"/>
  <c r="QC14" i="19"/>
  <c r="QA14" i="19"/>
  <c r="P14" i="19"/>
  <c r="Q14" i="19" s="1"/>
  <c r="H14" i="19"/>
  <c r="L14" i="19"/>
  <c r="M14" i="19" s="1"/>
  <c r="N14" i="19"/>
  <c r="AP14" i="19"/>
  <c r="I14" i="19"/>
  <c r="PH14" i="19"/>
  <c r="HT14" i="19"/>
  <c r="CH12" i="19"/>
  <c r="GR12" i="19"/>
  <c r="QB12" i="19"/>
  <c r="QC12" i="19"/>
  <c r="OC12" i="19"/>
  <c r="ND12" i="19"/>
  <c r="KZ12" i="19"/>
  <c r="HQ12" i="19"/>
  <c r="GO12" i="19"/>
  <c r="FP12" i="19"/>
  <c r="DL12" i="19"/>
  <c r="I12" i="19"/>
  <c r="PZ12" i="19"/>
  <c r="QA12" i="19"/>
  <c r="BL12" i="19"/>
  <c r="P12" i="19"/>
  <c r="Q12" i="19" s="1"/>
  <c r="H12" i="19"/>
  <c r="N12" i="19"/>
  <c r="L12" i="19"/>
  <c r="PH12" i="19"/>
  <c r="HT12" i="19"/>
  <c r="GR13" i="27"/>
  <c r="QB15" i="27"/>
  <c r="PE15" i="27"/>
  <c r="ND15" i="27"/>
  <c r="MB15" i="27"/>
  <c r="KZ15" i="27"/>
  <c r="JX15" i="27"/>
  <c r="HQ15" i="27"/>
  <c r="K15" i="27" s="1"/>
  <c r="FP15" i="27"/>
  <c r="DL15" i="27"/>
  <c r="QC15" i="27"/>
  <c r="QA15" i="27"/>
  <c r="P15" i="27"/>
  <c r="Q15" i="27" s="1"/>
  <c r="H15" i="27"/>
  <c r="N15" i="27"/>
  <c r="AP15" i="27"/>
  <c r="I15" i="27"/>
  <c r="PH15" i="27"/>
  <c r="HT15" i="27"/>
  <c r="PZ13" i="27"/>
  <c r="JX13" i="27"/>
  <c r="GR10" i="27"/>
  <c r="OF13" i="27"/>
  <c r="DL10" i="27"/>
  <c r="QB13" i="27"/>
  <c r="EK10" i="27"/>
  <c r="PE13" i="27"/>
  <c r="ND13" i="27"/>
  <c r="MB13" i="27"/>
  <c r="KZ13" i="27"/>
  <c r="JU13" i="27"/>
  <c r="HQ13" i="27"/>
  <c r="FP13" i="27"/>
  <c r="FM13" i="27"/>
  <c r="DI13" i="27"/>
  <c r="L13" i="27"/>
  <c r="M13" i="27" s="1"/>
  <c r="QC13" i="27"/>
  <c r="BL13" i="27"/>
  <c r="QA13" i="27"/>
  <c r="P13" i="27"/>
  <c r="Q13" i="27" s="1"/>
  <c r="H13" i="27"/>
  <c r="N13" i="27"/>
  <c r="AP13" i="27"/>
  <c r="I13" i="27"/>
  <c r="PH13" i="27"/>
  <c r="HT13" i="27"/>
  <c r="AP7" i="27"/>
  <c r="BL5" i="27"/>
  <c r="OF10" i="27"/>
  <c r="CH10" i="27"/>
  <c r="HQ10" i="27"/>
  <c r="PE10" i="27"/>
  <c r="ND10" i="27"/>
  <c r="MB10" i="27"/>
  <c r="KZ10" i="27"/>
  <c r="JX10" i="27"/>
  <c r="IV10" i="27"/>
  <c r="FP10" i="27"/>
  <c r="FM10" i="27"/>
  <c r="DI10" i="27"/>
  <c r="QB10" i="27"/>
  <c r="QC10" i="27"/>
  <c r="QA10" i="27"/>
  <c r="QD10" i="27" s="1"/>
  <c r="P10" i="27"/>
  <c r="Q10" i="27" s="1"/>
  <c r="H10" i="27"/>
  <c r="L10" i="27"/>
  <c r="M10" i="27" s="1"/>
  <c r="N10" i="27"/>
  <c r="AP10" i="27"/>
  <c r="I10" i="27"/>
  <c r="PH10" i="27"/>
  <c r="HT10" i="27"/>
  <c r="CW10" i="22"/>
  <c r="DA10" i="22" s="1"/>
  <c r="CW7" i="22"/>
  <c r="DA7" i="22" s="1"/>
  <c r="BV13" i="22"/>
  <c r="BZ13" i="22" s="1"/>
  <c r="TQ11" i="22"/>
  <c r="BV12" i="22"/>
  <c r="BZ12" i="22" s="1"/>
  <c r="BV7" i="22"/>
  <c r="BZ7" i="22" s="1"/>
  <c r="BV9" i="22"/>
  <c r="BZ9" i="22" s="1"/>
  <c r="AU9" i="22"/>
  <c r="AY9" i="22" s="1"/>
  <c r="OW11" i="22"/>
  <c r="NO11" i="22"/>
  <c r="MG11" i="22"/>
  <c r="TU11" i="22"/>
  <c r="DA11" i="22"/>
  <c r="TN11" i="22"/>
  <c r="N11" i="22"/>
  <c r="O11" i="22" s="1"/>
  <c r="AY11" i="22"/>
  <c r="R11" i="22"/>
  <c r="S11" i="22" s="1"/>
  <c r="P11" i="22"/>
  <c r="L11" i="22"/>
  <c r="K11" i="22"/>
  <c r="I11" i="22"/>
  <c r="H11" i="22"/>
  <c r="T11" i="22"/>
  <c r="U11" i="22" s="1"/>
  <c r="RF10" i="22"/>
  <c r="RM10" i="22" s="1"/>
  <c r="NH7" i="22"/>
  <c r="NO7" i="22" s="1"/>
  <c r="FL12" i="22"/>
  <c r="FS12" i="22" s="1"/>
  <c r="KR9" i="22"/>
  <c r="KY9" i="22" s="1"/>
  <c r="SN12" i="22"/>
  <c r="SU12" i="22" s="1"/>
  <c r="GT12" i="22"/>
  <c r="HA12" i="22" s="1"/>
  <c r="QE13" i="22"/>
  <c r="FL7" i="22"/>
  <c r="FS7" i="22" s="1"/>
  <c r="TQ13" i="22"/>
  <c r="KR10" i="22"/>
  <c r="KY10" i="22" s="1"/>
  <c r="LZ12" i="22"/>
  <c r="MG12" i="22" s="1"/>
  <c r="OP12" i="22"/>
  <c r="OW12" i="22" s="1"/>
  <c r="MG13" i="22"/>
  <c r="DA13" i="22"/>
  <c r="TN13" i="22"/>
  <c r="N13" i="22"/>
  <c r="R13" i="22"/>
  <c r="S13" i="22" s="1"/>
  <c r="P13" i="22"/>
  <c r="Q13" i="22" s="1"/>
  <c r="L13" i="22"/>
  <c r="K13" i="22"/>
  <c r="I13" i="22"/>
  <c r="H13" i="22"/>
  <c r="T13" i="22"/>
  <c r="U13" i="22" s="1"/>
  <c r="NH10" i="22"/>
  <c r="NO10" i="22" s="1"/>
  <c r="GT7" i="22"/>
  <c r="HA7" i="22" s="1"/>
  <c r="JJ9" i="22"/>
  <c r="JQ9" i="22" s="1"/>
  <c r="PX10" i="22"/>
  <c r="QE10" i="22" s="1"/>
  <c r="FL10" i="22"/>
  <c r="FS10" i="22" s="1"/>
  <c r="OP10" i="22"/>
  <c r="OW10" i="22" s="1"/>
  <c r="ED10" i="22"/>
  <c r="EK10" i="22" s="1"/>
  <c r="KR7" i="22"/>
  <c r="KY7" i="22" s="1"/>
  <c r="IB10" i="22"/>
  <c r="II10" i="22" s="1"/>
  <c r="PX9" i="22"/>
  <c r="QE9" i="22" s="1"/>
  <c r="OP7" i="22"/>
  <c r="OW7" i="22" s="1"/>
  <c r="DA12" i="22"/>
  <c r="LZ10" i="22"/>
  <c r="MG10" i="22" s="1"/>
  <c r="QE12" i="22"/>
  <c r="TQ12" i="22"/>
  <c r="TN12" i="22"/>
  <c r="TU12" i="22"/>
  <c r="R12" i="22"/>
  <c r="S12" i="22" s="1"/>
  <c r="P12" i="22"/>
  <c r="N12" i="22"/>
  <c r="L12" i="22"/>
  <c r="K12" i="22"/>
  <c r="I12" i="22"/>
  <c r="H12" i="22"/>
  <c r="T12" i="22"/>
  <c r="U12" i="22" s="1"/>
  <c r="SN7" i="22"/>
  <c r="SU7" i="22" s="1"/>
  <c r="JJ7" i="22"/>
  <c r="JQ7" i="22" s="1"/>
  <c r="NH9" i="22"/>
  <c r="NO9" i="22" s="1"/>
  <c r="JJ10" i="22"/>
  <c r="JQ10" i="22" s="1"/>
  <c r="GT9" i="22"/>
  <c r="HA9" i="22" s="1"/>
  <c r="SN9" i="22"/>
  <c r="SU9" i="22" s="1"/>
  <c r="RF7" i="22"/>
  <c r="RM7" i="22" s="1"/>
  <c r="PX7" i="22"/>
  <c r="QE7" i="22" s="1"/>
  <c r="LZ7" i="22"/>
  <c r="MG7" i="22" s="1"/>
  <c r="IB7" i="22"/>
  <c r="II7" i="22" s="1"/>
  <c r="TQ7" i="22"/>
  <c r="TN7" i="22"/>
  <c r="TU7" i="22"/>
  <c r="R7" i="22"/>
  <c r="S7" i="22" s="1"/>
  <c r="N7" i="22"/>
  <c r="O7" i="22" s="1"/>
  <c r="P7" i="22"/>
  <c r="L7" i="22"/>
  <c r="K7" i="22"/>
  <c r="I7" i="22"/>
  <c r="H7" i="22"/>
  <c r="T7" i="22"/>
  <c r="U7" i="22" s="1"/>
  <c r="LZ9" i="22"/>
  <c r="MG9" i="22" s="1"/>
  <c r="IB9" i="22"/>
  <c r="II9" i="22" s="1"/>
  <c r="TQ9" i="22"/>
  <c r="SU10" i="22"/>
  <c r="HA10" i="22"/>
  <c r="TN10" i="22"/>
  <c r="L10" i="22"/>
  <c r="M10" i="22" s="1"/>
  <c r="R10" i="22"/>
  <c r="S10" i="22" s="1"/>
  <c r="P10" i="22"/>
  <c r="TU10" i="22"/>
  <c r="N10" i="22"/>
  <c r="K10" i="22"/>
  <c r="TQ10" i="22"/>
  <c r="I10" i="22"/>
  <c r="H10" i="22"/>
  <c r="T10" i="22"/>
  <c r="U10" i="22" s="1"/>
  <c r="EK9" i="22"/>
  <c r="OP9" i="22"/>
  <c r="OW9" i="22" s="1"/>
  <c r="FS9" i="22"/>
  <c r="TN9" i="22"/>
  <c r="N9" i="22"/>
  <c r="O9" i="22" s="1"/>
  <c r="TU9" i="22"/>
  <c r="R9" i="22"/>
  <c r="S9" i="22" s="1"/>
  <c r="P9" i="22"/>
  <c r="Q9" i="22" s="1"/>
  <c r="K9" i="22"/>
  <c r="I9" i="22"/>
  <c r="H9" i="22"/>
  <c r="T9" i="22"/>
  <c r="U9" i="22" s="1"/>
  <c r="L9" i="22"/>
  <c r="CW24" i="4"/>
  <c r="DA24" i="4" s="1"/>
  <c r="CW14" i="4"/>
  <c r="DA14" i="4" s="1"/>
  <c r="BV24" i="4"/>
  <c r="BZ24" i="4" s="1"/>
  <c r="BV21" i="4"/>
  <c r="OW25" i="4"/>
  <c r="TQ25" i="4"/>
  <c r="TN25" i="4"/>
  <c r="TR25" i="4" s="1"/>
  <c r="N25" i="4"/>
  <c r="O25" i="4" s="1"/>
  <c r="TU25" i="4"/>
  <c r="AY25" i="4"/>
  <c r="R25" i="4"/>
  <c r="S25" i="4" s="1"/>
  <c r="H25" i="4"/>
  <c r="L25" i="4"/>
  <c r="K25" i="4"/>
  <c r="I25" i="4"/>
  <c r="P25" i="4"/>
  <c r="T25" i="4"/>
  <c r="U25" i="4" s="1"/>
  <c r="KY20" i="4"/>
  <c r="GT14" i="4"/>
  <c r="SN24" i="4"/>
  <c r="SU24" i="4" s="1"/>
  <c r="GT24" i="4"/>
  <c r="HA24" i="4" s="1"/>
  <c r="FL21" i="4"/>
  <c r="FS21" i="4" s="1"/>
  <c r="KY24" i="4"/>
  <c r="IB24" i="4"/>
  <c r="II24" i="4" s="1"/>
  <c r="OW20" i="4"/>
  <c r="NH20" i="4"/>
  <c r="NO20" i="4" s="1"/>
  <c r="EK20" i="4"/>
  <c r="PX21" i="4"/>
  <c r="QE21" i="4" s="1"/>
  <c r="KR14" i="4"/>
  <c r="KY14" i="4" s="1"/>
  <c r="BZ21" i="4"/>
  <c r="TQ20" i="4"/>
  <c r="RF21" i="4"/>
  <c r="RM21" i="4" s="1"/>
  <c r="LZ14" i="4"/>
  <c r="MG14" i="4" s="1"/>
  <c r="RF20" i="4"/>
  <c r="RM20" i="4" s="1"/>
  <c r="DA20" i="4"/>
  <c r="TU20" i="4"/>
  <c r="P20" i="4"/>
  <c r="DC20" i="4" s="1"/>
  <c r="R20" i="4"/>
  <c r="S20" i="4" s="1"/>
  <c r="N20" i="4"/>
  <c r="L20" i="4"/>
  <c r="K20" i="4"/>
  <c r="I20" i="4"/>
  <c r="H20" i="4"/>
  <c r="T20" i="4"/>
  <c r="U20" i="4" s="1"/>
  <c r="ED14" i="4"/>
  <c r="EK14" i="4" s="1"/>
  <c r="SN21" i="4"/>
  <c r="SU21" i="4" s="1"/>
  <c r="IB21" i="4"/>
  <c r="II21" i="4" s="1"/>
  <c r="FL14" i="4"/>
  <c r="FS14" i="4" s="1"/>
  <c r="QE24" i="4"/>
  <c r="SN14" i="4"/>
  <c r="SU14" i="4" s="1"/>
  <c r="OP24" i="4"/>
  <c r="OW24" i="4" s="1"/>
  <c r="OP21" i="4"/>
  <c r="OW21" i="4" s="1"/>
  <c r="ED21" i="4"/>
  <c r="EK21" i="4" s="1"/>
  <c r="GT21" i="4"/>
  <c r="HA21" i="4" s="1"/>
  <c r="NH21" i="4"/>
  <c r="NO21" i="4" s="1"/>
  <c r="TQ21" i="4"/>
  <c r="NO24" i="4"/>
  <c r="FS24" i="4"/>
  <c r="EK24" i="4"/>
  <c r="TU24" i="4"/>
  <c r="TQ24" i="4"/>
  <c r="TN24" i="4"/>
  <c r="N24" i="4"/>
  <c r="AY24" i="4"/>
  <c r="R24" i="4"/>
  <c r="S24" i="4" s="1"/>
  <c r="O24" i="4"/>
  <c r="P24" i="4"/>
  <c r="L24" i="4"/>
  <c r="K24" i="4"/>
  <c r="I24" i="4"/>
  <c r="H24" i="4"/>
  <c r="T24" i="4"/>
  <c r="U24" i="4" s="1"/>
  <c r="JJ21" i="4"/>
  <c r="JQ21" i="4" s="1"/>
  <c r="JJ14" i="4"/>
  <c r="JQ14" i="4" s="1"/>
  <c r="LZ21" i="4"/>
  <c r="MG21" i="4" s="1"/>
  <c r="IB14" i="4"/>
  <c r="II14" i="4" s="1"/>
  <c r="TN21" i="4"/>
  <c r="TU21" i="4"/>
  <c r="P21" i="4"/>
  <c r="Q21" i="4" s="1"/>
  <c r="R21" i="4"/>
  <c r="S21" i="4" s="1"/>
  <c r="I21" i="4"/>
  <c r="N21" i="4"/>
  <c r="H21" i="4"/>
  <c r="T21" i="4"/>
  <c r="U21" i="4" s="1"/>
  <c r="L21" i="4"/>
  <c r="K21" i="4"/>
  <c r="PX14" i="4"/>
  <c r="QE14" i="4" s="1"/>
  <c r="HA14" i="4"/>
  <c r="OW14" i="4"/>
  <c r="TN14" i="4"/>
  <c r="TQ14" i="4"/>
  <c r="N14" i="4"/>
  <c r="O14" i="4" s="1"/>
  <c r="TU14" i="4"/>
  <c r="R14" i="4"/>
  <c r="S14" i="4" s="1"/>
  <c r="L14" i="4"/>
  <c r="K14" i="4"/>
  <c r="I14" i="4"/>
  <c r="H14" i="4"/>
  <c r="T14" i="4"/>
  <c r="U14" i="4" s="1"/>
  <c r="P14" i="4"/>
  <c r="BL5" i="19"/>
  <c r="CH37" i="19"/>
  <c r="AP4" i="27"/>
  <c r="AP14" i="27"/>
  <c r="AP17" i="27"/>
  <c r="BL8" i="27"/>
  <c r="AP8" i="27"/>
  <c r="BL6" i="27"/>
  <c r="AP4" i="19"/>
  <c r="AP11" i="19"/>
  <c r="AP27" i="19"/>
  <c r="AP24" i="19"/>
  <c r="AP36" i="19"/>
  <c r="BL16" i="26"/>
  <c r="AU5" i="4"/>
  <c r="AY5" i="4" s="1"/>
  <c r="BL39" i="21"/>
  <c r="AP6" i="21"/>
  <c r="AP15" i="21"/>
  <c r="AP34" i="21"/>
  <c r="AP10" i="21"/>
  <c r="AP18" i="21"/>
  <c r="AP27" i="21"/>
  <c r="AP37" i="21"/>
  <c r="CH30" i="21"/>
  <c r="BL7" i="21"/>
  <c r="BL14" i="21"/>
  <c r="BL33" i="21"/>
  <c r="BL16" i="21"/>
  <c r="BL35" i="21"/>
  <c r="CH28" i="21"/>
  <c r="BL31" i="21"/>
  <c r="AP36" i="21"/>
  <c r="BL6" i="21"/>
  <c r="BL15" i="21"/>
  <c r="BL22" i="21"/>
  <c r="BL34" i="21"/>
  <c r="CH37" i="21"/>
  <c r="AP22" i="21"/>
  <c r="AP26" i="21"/>
  <c r="BL9" i="21"/>
  <c r="BL12" i="21"/>
  <c r="BL20" i="21"/>
  <c r="BL25" i="21"/>
  <c r="BL28" i="21"/>
  <c r="BL38" i="21"/>
  <c r="AP5" i="21"/>
  <c r="AP13" i="21"/>
  <c r="AP30" i="21"/>
  <c r="AP39" i="21"/>
  <c r="BL21" i="21"/>
  <c r="BL26" i="21"/>
  <c r="BL36" i="21"/>
  <c r="AP31" i="21"/>
  <c r="CH39" i="21"/>
  <c r="BL11" i="19"/>
  <c r="BL18" i="19"/>
  <c r="BL34" i="19"/>
  <c r="BL22" i="19"/>
  <c r="BL37" i="19"/>
  <c r="BL6" i="19"/>
  <c r="BL9" i="19"/>
  <c r="BL35" i="19"/>
  <c r="AP7" i="19"/>
  <c r="AP28" i="19"/>
  <c r="AP15" i="19"/>
  <c r="AP29" i="19"/>
  <c r="AP30" i="19"/>
  <c r="AP23" i="19"/>
  <c r="AP38" i="19"/>
  <c r="CH35" i="19"/>
  <c r="AP34" i="19"/>
  <c r="AP22" i="19"/>
  <c r="AP37" i="19"/>
  <c r="BL7" i="19"/>
  <c r="BL28" i="19"/>
  <c r="BL15" i="19"/>
  <c r="BL29" i="19"/>
  <c r="BL36" i="19"/>
  <c r="KW6" i="19"/>
  <c r="KW18" i="19"/>
  <c r="KW32" i="19"/>
  <c r="AP10" i="19"/>
  <c r="AP32" i="19"/>
  <c r="AP13" i="19"/>
  <c r="AP16" i="19"/>
  <c r="AP26" i="19"/>
  <c r="AP33" i="19"/>
  <c r="BL10" i="19"/>
  <c r="BL19" i="19"/>
  <c r="BL32" i="19"/>
  <c r="BL13" i="19"/>
  <c r="BL16" i="19"/>
  <c r="BL26" i="19"/>
  <c r="BL33" i="19"/>
  <c r="BL25" i="19"/>
  <c r="AP6" i="19"/>
  <c r="AP18" i="19"/>
  <c r="AP9" i="19"/>
  <c r="AP35" i="19"/>
  <c r="BL8" i="19"/>
  <c r="BL30" i="19"/>
  <c r="BL27" i="19"/>
  <c r="BL23" i="19"/>
  <c r="BL38" i="19"/>
  <c r="AP8" i="19"/>
  <c r="BL4" i="19"/>
  <c r="BL24" i="19"/>
  <c r="CH26" i="19"/>
  <c r="AP5" i="19"/>
  <c r="AP19" i="19"/>
  <c r="AP25" i="19"/>
  <c r="OC35" i="19"/>
  <c r="BL7" i="27"/>
  <c r="BL12" i="27"/>
  <c r="AP5" i="27"/>
  <c r="AP9" i="27"/>
  <c r="BL4" i="27"/>
  <c r="BL14" i="27"/>
  <c r="BL11" i="27"/>
  <c r="AP6" i="27"/>
  <c r="BL16" i="27"/>
  <c r="AP16" i="27"/>
  <c r="DI11" i="27"/>
  <c r="HQ7" i="27"/>
  <c r="HQ12" i="27"/>
  <c r="JU5" i="27"/>
  <c r="KW11" i="27"/>
  <c r="AP12" i="27"/>
  <c r="AP11" i="27"/>
  <c r="BL17" i="27"/>
  <c r="BL9" i="27"/>
  <c r="BL8" i="26"/>
  <c r="AP15" i="26"/>
  <c r="AP6" i="26"/>
  <c r="AP11" i="26"/>
  <c r="AP16" i="26"/>
  <c r="BL12" i="26"/>
  <c r="AP14" i="26"/>
  <c r="BL7" i="26"/>
  <c r="AP5" i="26"/>
  <c r="AP10" i="26"/>
  <c r="AP18" i="26"/>
  <c r="BL9" i="26"/>
  <c r="BL13" i="26"/>
  <c r="AP17" i="26"/>
  <c r="BL5" i="26"/>
  <c r="BL10" i="26"/>
  <c r="BL18" i="26"/>
  <c r="BL14" i="26"/>
  <c r="AP4" i="26"/>
  <c r="AP9" i="26"/>
  <c r="AP13" i="26"/>
  <c r="BL17" i="26"/>
  <c r="AP8" i="26"/>
  <c r="GO7" i="26"/>
  <c r="HQ17" i="26"/>
  <c r="IS8" i="26"/>
  <c r="IS13" i="26"/>
  <c r="NA9" i="26"/>
  <c r="OC12" i="26"/>
  <c r="JJ16" i="4"/>
  <c r="JQ16" i="4" s="1"/>
  <c r="JJ22" i="4"/>
  <c r="JQ22" i="4" s="1"/>
  <c r="LZ16" i="4"/>
  <c r="MG16" i="4" s="1"/>
  <c r="LZ22" i="4"/>
  <c r="MG22" i="4" s="1"/>
  <c r="DI7" i="27"/>
  <c r="DI12" i="27"/>
  <c r="FM5" i="27"/>
  <c r="FM9" i="27"/>
  <c r="EK9" i="27"/>
  <c r="JU7" i="27"/>
  <c r="JU12" i="27"/>
  <c r="LY9" i="27"/>
  <c r="NA11" i="27"/>
  <c r="IB4" i="4"/>
  <c r="II4" i="4" s="1"/>
  <c r="IB8" i="4"/>
  <c r="II8" i="4" s="1"/>
  <c r="OP4" i="4"/>
  <c r="OW4" i="4" s="1"/>
  <c r="OP8" i="4"/>
  <c r="OW8" i="4" s="1"/>
  <c r="RF4" i="4"/>
  <c r="RM4" i="4" s="1"/>
  <c r="RF8" i="4"/>
  <c r="RM8" i="4" s="1"/>
  <c r="BV27" i="4"/>
  <c r="BZ27" i="4" s="1"/>
  <c r="DL25" i="21"/>
  <c r="FM7" i="21"/>
  <c r="GO13" i="21"/>
  <c r="GO30" i="21"/>
  <c r="HQ12" i="21"/>
  <c r="IS27" i="21"/>
  <c r="JX9" i="21"/>
  <c r="KZ25" i="21"/>
  <c r="KZ35" i="21"/>
  <c r="LY6" i="21"/>
  <c r="NA7" i="21"/>
  <c r="ND21" i="21"/>
  <c r="ND34" i="21"/>
  <c r="OC13" i="21"/>
  <c r="OC30" i="21"/>
  <c r="HQ22" i="19"/>
  <c r="HQ37" i="19"/>
  <c r="IV8" i="19"/>
  <c r="JU33" i="19"/>
  <c r="NA16" i="27"/>
  <c r="OC12" i="27"/>
  <c r="EK12" i="27"/>
  <c r="GO5" i="27"/>
  <c r="GO9" i="27"/>
  <c r="IV4" i="27"/>
  <c r="IV14" i="27"/>
  <c r="IV17" i="27"/>
  <c r="LY7" i="27"/>
  <c r="LY12" i="27"/>
  <c r="OC5" i="27"/>
  <c r="OC9" i="27"/>
  <c r="DL10" i="26"/>
  <c r="HT4" i="26"/>
  <c r="HT15" i="26"/>
  <c r="KZ14" i="26"/>
  <c r="MB6" i="26"/>
  <c r="MB11" i="26"/>
  <c r="MB16" i="26"/>
  <c r="EN10" i="26"/>
  <c r="EN14" i="26"/>
  <c r="FP6" i="26"/>
  <c r="FP11" i="26"/>
  <c r="FP16" i="26"/>
  <c r="GO9" i="26"/>
  <c r="HQ7" i="26"/>
  <c r="BV5" i="22"/>
  <c r="BZ5" i="22" s="1"/>
  <c r="LY5" i="19"/>
  <c r="LY34" i="19"/>
  <c r="AU5" i="22"/>
  <c r="AY5" i="22" s="1"/>
  <c r="BV4" i="22"/>
  <c r="BZ4" i="22" s="1"/>
  <c r="BV6" i="22"/>
  <c r="BZ6" i="22" s="1"/>
  <c r="AY8" i="22"/>
  <c r="AU4" i="22"/>
  <c r="AY4" i="22" s="1"/>
  <c r="BV8" i="22"/>
  <c r="BZ8" i="22" s="1"/>
  <c r="AU6" i="22"/>
  <c r="AY6" i="22" s="1"/>
  <c r="BV13" i="4"/>
  <c r="BZ13" i="4" s="1"/>
  <c r="ED5" i="4"/>
  <c r="EK5" i="4" s="1"/>
  <c r="ED9" i="4"/>
  <c r="EK9" i="4" s="1"/>
  <c r="ED18" i="4"/>
  <c r="EK18" i="4" s="1"/>
  <c r="KR5" i="4"/>
  <c r="KY5" i="4" s="1"/>
  <c r="KR9" i="4"/>
  <c r="KY9" i="4" s="1"/>
  <c r="KR18" i="4"/>
  <c r="KY18" i="4" s="1"/>
  <c r="NH5" i="4"/>
  <c r="NO5" i="4" s="1"/>
  <c r="BV7" i="4"/>
  <c r="BZ7" i="4" s="1"/>
  <c r="JJ6" i="4"/>
  <c r="JQ6" i="4" s="1"/>
  <c r="JJ10" i="4"/>
  <c r="JQ10" i="4" s="1"/>
  <c r="JJ27" i="4"/>
  <c r="JQ27" i="4" s="1"/>
  <c r="LZ27" i="4"/>
  <c r="MG27" i="4" s="1"/>
  <c r="AU9" i="4"/>
  <c r="AY9" i="4" s="1"/>
  <c r="BV5" i="4"/>
  <c r="BZ5" i="4" s="1"/>
  <c r="BV18" i="4"/>
  <c r="BZ18" i="4" s="1"/>
  <c r="AU16" i="4"/>
  <c r="AY16" i="4" s="1"/>
  <c r="BV22" i="4"/>
  <c r="BZ22" i="4" s="1"/>
  <c r="ED7" i="4"/>
  <c r="EK7" i="4" s="1"/>
  <c r="ED12" i="4"/>
  <c r="EK12" i="4" s="1"/>
  <c r="NH7" i="4"/>
  <c r="NO7" i="4" s="1"/>
  <c r="NH12" i="4"/>
  <c r="NO12" i="4" s="1"/>
  <c r="BV12" i="4"/>
  <c r="BZ12" i="4" s="1"/>
  <c r="NH9" i="4"/>
  <c r="NO9" i="4" s="1"/>
  <c r="NH18" i="4"/>
  <c r="NO18" i="4" s="1"/>
  <c r="AU4" i="4"/>
  <c r="AY4" i="4" s="1"/>
  <c r="AU23" i="4"/>
  <c r="AY23" i="4" s="1"/>
  <c r="AY27" i="4"/>
  <c r="AU22" i="4"/>
  <c r="AY22" i="4" s="1"/>
  <c r="KR15" i="4"/>
  <c r="KY15" i="4" s="1"/>
  <c r="KR19" i="4"/>
  <c r="KY19" i="4" s="1"/>
  <c r="KR23" i="4"/>
  <c r="KY23" i="4" s="1"/>
  <c r="BV11" i="4"/>
  <c r="BZ11" i="4" s="1"/>
  <c r="BV19" i="4"/>
  <c r="BZ19" i="4" s="1"/>
  <c r="AY17" i="4"/>
  <c r="KR17" i="4"/>
  <c r="KY17" i="4" s="1"/>
  <c r="LZ13" i="4"/>
  <c r="MG13" i="4" s="1"/>
  <c r="LZ11" i="4"/>
  <c r="MG11" i="4" s="1"/>
  <c r="LZ26" i="4"/>
  <c r="MG26" i="4" s="1"/>
  <c r="AU6" i="4"/>
  <c r="AY6" i="4" s="1"/>
  <c r="BV10" i="4"/>
  <c r="BZ10" i="4" s="1"/>
  <c r="BV15" i="4"/>
  <c r="BZ15" i="4" s="1"/>
  <c r="BV6" i="4"/>
  <c r="BZ6" i="4" s="1"/>
  <c r="AU10" i="4"/>
  <c r="AY10" i="4" s="1"/>
  <c r="FL13" i="4"/>
  <c r="FS13" i="4" s="1"/>
  <c r="FL11" i="4"/>
  <c r="FS11" i="4" s="1"/>
  <c r="FL26" i="4"/>
  <c r="FS26" i="4" s="1"/>
  <c r="OP13" i="4"/>
  <c r="OW13" i="4" s="1"/>
  <c r="OP11" i="4"/>
  <c r="OW11" i="4" s="1"/>
  <c r="OP26" i="4"/>
  <c r="OW26" i="4" s="1"/>
  <c r="PX6" i="4"/>
  <c r="QE6" i="4" s="1"/>
  <c r="PX10" i="4"/>
  <c r="QE10" i="4" s="1"/>
  <c r="BV4" i="4"/>
  <c r="BZ4" i="4" s="1"/>
  <c r="GT7" i="4"/>
  <c r="HA7" i="4" s="1"/>
  <c r="GT12" i="4"/>
  <c r="HA12" i="4" s="1"/>
  <c r="IB15" i="4"/>
  <c r="II15" i="4" s="1"/>
  <c r="IB19" i="4"/>
  <c r="II19" i="4" s="1"/>
  <c r="IB23" i="4"/>
  <c r="II23" i="4" s="1"/>
  <c r="IB17" i="4"/>
  <c r="II17" i="4" s="1"/>
  <c r="PX7" i="4"/>
  <c r="QE7" i="4" s="1"/>
  <c r="PX12" i="4"/>
  <c r="QE12" i="4" s="1"/>
  <c r="RF15" i="4"/>
  <c r="RM15" i="4" s="1"/>
  <c r="RF19" i="4"/>
  <c r="RM19" i="4" s="1"/>
  <c r="RF23" i="4"/>
  <c r="RM23" i="4" s="1"/>
  <c r="RF17" i="4"/>
  <c r="RM17" i="4" s="1"/>
  <c r="AU26" i="4"/>
  <c r="AY26" i="4" s="1"/>
  <c r="AU7" i="4"/>
  <c r="AY7" i="4" s="1"/>
  <c r="BV17" i="4"/>
  <c r="BZ17" i="4" s="1"/>
  <c r="FM13" i="21"/>
  <c r="FM30" i="21"/>
  <c r="FP39" i="21"/>
  <c r="GO12" i="21"/>
  <c r="GR20" i="21"/>
  <c r="GR28" i="21"/>
  <c r="HQ18" i="21"/>
  <c r="IV31" i="21"/>
  <c r="IS26" i="21"/>
  <c r="KW14" i="21"/>
  <c r="ND5" i="21"/>
  <c r="NA13" i="21"/>
  <c r="NA30" i="21"/>
  <c r="ND39" i="21"/>
  <c r="OF20" i="21"/>
  <c r="OF28" i="21"/>
  <c r="DL28" i="19"/>
  <c r="EN24" i="19"/>
  <c r="EN36" i="19"/>
  <c r="FM34" i="19"/>
  <c r="HQ35" i="19"/>
  <c r="IS22" i="19"/>
  <c r="IS37" i="19"/>
  <c r="JX8" i="19"/>
  <c r="KW33" i="19"/>
  <c r="LY6" i="19"/>
  <c r="LY18" i="19"/>
  <c r="LY32" i="19"/>
  <c r="NA5" i="19"/>
  <c r="NA34" i="19"/>
  <c r="HQ18" i="19"/>
  <c r="HQ32" i="19"/>
  <c r="IS5" i="19"/>
  <c r="IS34" i="19"/>
  <c r="KW35" i="19"/>
  <c r="LY22" i="19"/>
  <c r="LY37" i="19"/>
  <c r="OC33" i="19"/>
  <c r="EK16" i="19"/>
  <c r="EK33" i="19"/>
  <c r="FM32" i="19"/>
  <c r="IS35" i="19"/>
  <c r="JU22" i="19"/>
  <c r="JU37" i="19"/>
  <c r="NA6" i="19"/>
  <c r="NA32" i="19"/>
  <c r="OC5" i="19"/>
  <c r="OC34" i="19"/>
  <c r="FM35" i="19"/>
  <c r="GO11" i="19"/>
  <c r="IS16" i="19"/>
  <c r="IS33" i="19"/>
  <c r="JU6" i="19"/>
  <c r="JU18" i="19"/>
  <c r="KW5" i="19"/>
  <c r="KW34" i="19"/>
  <c r="NA35" i="19"/>
  <c r="OC22" i="19"/>
  <c r="AU11" i="4"/>
  <c r="AY11" i="4" s="1"/>
  <c r="BV8" i="4"/>
  <c r="BZ8" i="4" s="1"/>
  <c r="AU15" i="4"/>
  <c r="AY15" i="4" s="1"/>
  <c r="AU19" i="4"/>
  <c r="AY19" i="4" s="1"/>
  <c r="BZ26" i="4"/>
  <c r="AU8" i="4"/>
  <c r="AY8" i="4" s="1"/>
  <c r="AU18" i="4"/>
  <c r="AY18" i="4" s="1"/>
  <c r="BZ23" i="4"/>
  <c r="AU12" i="4"/>
  <c r="AY12" i="4" s="1"/>
  <c r="BV9" i="4"/>
  <c r="BZ9" i="4" s="1"/>
  <c r="AU13" i="4"/>
  <c r="AY13" i="4" s="1"/>
  <c r="BV16" i="4"/>
  <c r="BZ16" i="4" s="1"/>
  <c r="PE39" i="21"/>
  <c r="DI12" i="21"/>
  <c r="EK18" i="21"/>
  <c r="EK27" i="21"/>
  <c r="FM36" i="21"/>
  <c r="NA36" i="21"/>
  <c r="EK4" i="19"/>
  <c r="IS6" i="19"/>
  <c r="IS18" i="19"/>
  <c r="JU5" i="19"/>
  <c r="JU34" i="19"/>
  <c r="LY35" i="19"/>
  <c r="NA22" i="19"/>
  <c r="JU9" i="27"/>
  <c r="JU16" i="27"/>
  <c r="KW7" i="27"/>
  <c r="KW12" i="27"/>
  <c r="NA5" i="27"/>
  <c r="NA9" i="27"/>
  <c r="DI5" i="27"/>
  <c r="DI9" i="27"/>
  <c r="IS7" i="27"/>
  <c r="IS12" i="27"/>
  <c r="KW5" i="27"/>
  <c r="KW9" i="27"/>
  <c r="LY11" i="27"/>
  <c r="DI17" i="26"/>
  <c r="EK8" i="26"/>
  <c r="IS9" i="26"/>
  <c r="JU12" i="26"/>
  <c r="LY13" i="26"/>
  <c r="OC7" i="21"/>
  <c r="OF16" i="21"/>
  <c r="OF21" i="21"/>
  <c r="OF34" i="21"/>
  <c r="DI18" i="21"/>
  <c r="EK26" i="21"/>
  <c r="EK36" i="21"/>
  <c r="HQ7" i="21"/>
  <c r="IS13" i="21"/>
  <c r="KW18" i="21"/>
  <c r="KW27" i="21"/>
  <c r="LY31" i="21"/>
  <c r="OF5" i="21"/>
  <c r="OF39" i="21"/>
  <c r="OC18" i="21"/>
  <c r="OC27" i="21"/>
  <c r="JU13" i="21"/>
  <c r="KW12" i="21"/>
  <c r="LY10" i="21"/>
  <c r="LY27" i="21"/>
  <c r="DI36" i="21"/>
  <c r="HQ30" i="21"/>
  <c r="IS12" i="21"/>
  <c r="KW36" i="21"/>
  <c r="ND36" i="21"/>
  <c r="DL10" i="21"/>
  <c r="EN9" i="21"/>
  <c r="EN31" i="21"/>
  <c r="FP35" i="21"/>
  <c r="IV39" i="21"/>
  <c r="JX28" i="21"/>
  <c r="KZ10" i="21"/>
  <c r="MB9" i="21"/>
  <c r="OF6" i="21"/>
  <c r="EN37" i="19"/>
  <c r="FP10" i="19"/>
  <c r="FP30" i="19"/>
  <c r="HT8" i="19"/>
  <c r="HT9" i="19"/>
  <c r="IV15" i="19"/>
  <c r="IV28" i="19"/>
  <c r="OC37" i="19"/>
  <c r="EN26" i="19"/>
  <c r="EN25" i="19"/>
  <c r="FP15" i="19"/>
  <c r="FP28" i="19"/>
  <c r="GO6" i="19"/>
  <c r="GO18" i="19"/>
  <c r="GO32" i="19"/>
  <c r="GR24" i="19"/>
  <c r="GR36" i="19"/>
  <c r="HQ5" i="19"/>
  <c r="HT26" i="19"/>
  <c r="IV23" i="19"/>
  <c r="KW22" i="19"/>
  <c r="KW37" i="19"/>
  <c r="ND16" i="19"/>
  <c r="ND33" i="19"/>
  <c r="OC6" i="19"/>
  <c r="OC18" i="19"/>
  <c r="OC32" i="19"/>
  <c r="ND4" i="19"/>
  <c r="ND10" i="19"/>
  <c r="ND30" i="19"/>
  <c r="DL8" i="19"/>
  <c r="DL9" i="19"/>
  <c r="FP24" i="19"/>
  <c r="FP36" i="19"/>
  <c r="GR26" i="19"/>
  <c r="KZ25" i="19"/>
  <c r="MB15" i="19"/>
  <c r="MB28" i="19"/>
  <c r="MB16" i="19"/>
  <c r="MB33" i="19"/>
  <c r="FM7" i="27"/>
  <c r="FM12" i="27"/>
  <c r="GR8" i="27"/>
  <c r="HQ5" i="27"/>
  <c r="JX14" i="27"/>
  <c r="JX17" i="27"/>
  <c r="NA7" i="27"/>
  <c r="NA12" i="27"/>
  <c r="GR4" i="27"/>
  <c r="GR17" i="27"/>
  <c r="IV16" i="27"/>
  <c r="OF4" i="27"/>
  <c r="OF17" i="27"/>
  <c r="FP11" i="27"/>
  <c r="EN4" i="27"/>
  <c r="EN14" i="27"/>
  <c r="EN17" i="27"/>
  <c r="GR16" i="27"/>
  <c r="IV8" i="27"/>
  <c r="MB4" i="27"/>
  <c r="MB14" i="27"/>
  <c r="MB17" i="27"/>
  <c r="OF16" i="27"/>
  <c r="OF11" i="26"/>
  <c r="OF16" i="26"/>
  <c r="HQ12" i="26"/>
  <c r="IV17" i="26"/>
  <c r="IV15" i="26"/>
  <c r="JU8" i="26"/>
  <c r="JU13" i="26"/>
  <c r="MB10" i="26"/>
  <c r="OC9" i="26"/>
  <c r="ED15" i="4"/>
  <c r="EK15" i="4" s="1"/>
  <c r="ED17" i="4"/>
  <c r="EK17" i="4" s="1"/>
  <c r="FL22" i="4"/>
  <c r="FS22" i="4" s="1"/>
  <c r="FL27" i="4"/>
  <c r="FS27" i="4" s="1"/>
  <c r="GT5" i="4"/>
  <c r="HA5" i="4" s="1"/>
  <c r="GT9" i="4"/>
  <c r="HA9" i="4" s="1"/>
  <c r="GT18" i="4"/>
  <c r="HA18" i="4" s="1"/>
  <c r="IB13" i="4"/>
  <c r="II13" i="4" s="1"/>
  <c r="IB11" i="4"/>
  <c r="II11" i="4" s="1"/>
  <c r="IB26" i="4"/>
  <c r="II26" i="4" s="1"/>
  <c r="JJ7" i="4"/>
  <c r="JQ7" i="4" s="1"/>
  <c r="JJ12" i="4"/>
  <c r="JQ12" i="4" s="1"/>
  <c r="KR4" i="4"/>
  <c r="KY4" i="4" s="1"/>
  <c r="KR8" i="4"/>
  <c r="KY8" i="4" s="1"/>
  <c r="LZ6" i="4"/>
  <c r="MG6" i="4" s="1"/>
  <c r="LZ10" i="4"/>
  <c r="MG10" i="4" s="1"/>
  <c r="NH15" i="4"/>
  <c r="NO15" i="4" s="1"/>
  <c r="NH19" i="4"/>
  <c r="NO19" i="4" s="1"/>
  <c r="NH23" i="4"/>
  <c r="NO23" i="4" s="1"/>
  <c r="NH17" i="4"/>
  <c r="NO17" i="4" s="1"/>
  <c r="OP16" i="4"/>
  <c r="OW16" i="4" s="1"/>
  <c r="OP22" i="4"/>
  <c r="OW22" i="4" s="1"/>
  <c r="OP27" i="4"/>
  <c r="OW27" i="4" s="1"/>
  <c r="PX5" i="4"/>
  <c r="QE5" i="4" s="1"/>
  <c r="ED19" i="4"/>
  <c r="EK19" i="4" s="1"/>
  <c r="ED23" i="4"/>
  <c r="EK23" i="4" s="1"/>
  <c r="FL16" i="4"/>
  <c r="FS16" i="4" s="1"/>
  <c r="ED13" i="4"/>
  <c r="EK13" i="4" s="1"/>
  <c r="ED11" i="4"/>
  <c r="EK11" i="4" s="1"/>
  <c r="ED26" i="4"/>
  <c r="EK26" i="4" s="1"/>
  <c r="FL7" i="4"/>
  <c r="FS7" i="4" s="1"/>
  <c r="FL12" i="4"/>
  <c r="FS12" i="4" s="1"/>
  <c r="GT4" i="4"/>
  <c r="HA4" i="4" s="1"/>
  <c r="GT8" i="4"/>
  <c r="HA8" i="4" s="1"/>
  <c r="IB6" i="4"/>
  <c r="II6" i="4" s="1"/>
  <c r="IB10" i="4"/>
  <c r="II10" i="4" s="1"/>
  <c r="JJ15" i="4"/>
  <c r="JQ15" i="4" s="1"/>
  <c r="JJ19" i="4"/>
  <c r="JQ19" i="4" s="1"/>
  <c r="JJ23" i="4"/>
  <c r="JQ23" i="4" s="1"/>
  <c r="JJ17" i="4"/>
  <c r="JQ17" i="4" s="1"/>
  <c r="KR16" i="4"/>
  <c r="KY16" i="4" s="1"/>
  <c r="KR22" i="4"/>
  <c r="KY22" i="4" s="1"/>
  <c r="KR27" i="4"/>
  <c r="KY27" i="4" s="1"/>
  <c r="LZ5" i="4"/>
  <c r="MG5" i="4" s="1"/>
  <c r="LZ9" i="4"/>
  <c r="MG9" i="4" s="1"/>
  <c r="LZ18" i="4"/>
  <c r="MG18" i="4" s="1"/>
  <c r="NH13" i="4"/>
  <c r="NO13" i="4" s="1"/>
  <c r="NH11" i="4"/>
  <c r="NO11" i="4" s="1"/>
  <c r="NH26" i="4"/>
  <c r="NO26" i="4" s="1"/>
  <c r="OP7" i="4"/>
  <c r="OW7" i="4" s="1"/>
  <c r="OP12" i="4"/>
  <c r="OW12" i="4" s="1"/>
  <c r="PX4" i="4"/>
  <c r="QE4" i="4" s="1"/>
  <c r="PX8" i="4"/>
  <c r="QE8" i="4" s="1"/>
  <c r="RF6" i="4"/>
  <c r="RM6" i="4" s="1"/>
  <c r="RF10" i="4"/>
  <c r="RM10" i="4" s="1"/>
  <c r="PX9" i="4"/>
  <c r="QE9" i="4" s="1"/>
  <c r="ED4" i="4"/>
  <c r="EK4" i="4" s="1"/>
  <c r="ED8" i="4"/>
  <c r="EK8" i="4" s="1"/>
  <c r="FL6" i="4"/>
  <c r="FS6" i="4" s="1"/>
  <c r="FL10" i="4"/>
  <c r="FS10" i="4" s="1"/>
  <c r="GT15" i="4"/>
  <c r="HA15" i="4" s="1"/>
  <c r="GT19" i="4"/>
  <c r="HA19" i="4" s="1"/>
  <c r="GT23" i="4"/>
  <c r="HA23" i="4" s="1"/>
  <c r="GT17" i="4"/>
  <c r="HA17" i="4" s="1"/>
  <c r="IB16" i="4"/>
  <c r="II16" i="4" s="1"/>
  <c r="IB22" i="4"/>
  <c r="II22" i="4" s="1"/>
  <c r="IB27" i="4"/>
  <c r="II27" i="4" s="1"/>
  <c r="JJ5" i="4"/>
  <c r="JQ5" i="4" s="1"/>
  <c r="JJ9" i="4"/>
  <c r="JQ9" i="4" s="1"/>
  <c r="JJ18" i="4"/>
  <c r="JQ18" i="4" s="1"/>
  <c r="KR13" i="4"/>
  <c r="KY13" i="4" s="1"/>
  <c r="KR11" i="4"/>
  <c r="KY11" i="4" s="1"/>
  <c r="KR26" i="4"/>
  <c r="KY26" i="4" s="1"/>
  <c r="LZ7" i="4"/>
  <c r="MG7" i="4" s="1"/>
  <c r="LZ12" i="4"/>
  <c r="MG12" i="4" s="1"/>
  <c r="NH4" i="4"/>
  <c r="NO4" i="4" s="1"/>
  <c r="NH8" i="4"/>
  <c r="NO8" i="4" s="1"/>
  <c r="OP6" i="4"/>
  <c r="OW6" i="4" s="1"/>
  <c r="OP10" i="4"/>
  <c r="OW10" i="4" s="1"/>
  <c r="PX15" i="4"/>
  <c r="QE15" i="4" s="1"/>
  <c r="PX19" i="4"/>
  <c r="QE19" i="4" s="1"/>
  <c r="PX23" i="4"/>
  <c r="QE23" i="4" s="1"/>
  <c r="PX17" i="4"/>
  <c r="QE17" i="4" s="1"/>
  <c r="RF16" i="4"/>
  <c r="RM16" i="4" s="1"/>
  <c r="RF22" i="4"/>
  <c r="RM22" i="4" s="1"/>
  <c r="RF27" i="4"/>
  <c r="RM27" i="4" s="1"/>
  <c r="OF9" i="21"/>
  <c r="OF31" i="21"/>
  <c r="OC26" i="21"/>
  <c r="OC36" i="21"/>
  <c r="DI7" i="21"/>
  <c r="DI34" i="21"/>
  <c r="EK13" i="21"/>
  <c r="EK30" i="21"/>
  <c r="HQ36" i="21"/>
  <c r="KW7" i="21"/>
  <c r="LY13" i="21"/>
  <c r="LY30" i="21"/>
  <c r="NA12" i="21"/>
  <c r="GO7" i="27"/>
  <c r="EK7" i="27"/>
  <c r="EN8" i="27"/>
  <c r="MB8" i="27"/>
  <c r="DI7" i="26"/>
  <c r="DI12" i="26"/>
  <c r="EN17" i="26"/>
  <c r="EN15" i="26"/>
  <c r="FM8" i="26"/>
  <c r="FM13" i="26"/>
  <c r="HT10" i="26"/>
  <c r="KZ7" i="26"/>
  <c r="KZ12" i="26"/>
  <c r="MB4" i="26"/>
  <c r="MB17" i="26"/>
  <c r="MB15" i="26"/>
  <c r="NA8" i="26"/>
  <c r="NA13" i="26"/>
  <c r="DI9" i="26"/>
  <c r="GO8" i="26"/>
  <c r="GO13" i="26"/>
  <c r="KW9" i="26"/>
  <c r="LY7" i="26"/>
  <c r="LY12" i="26"/>
  <c r="OF9" i="26"/>
  <c r="DL6" i="26"/>
  <c r="DL11" i="26"/>
  <c r="DL16" i="26"/>
  <c r="EK9" i="26"/>
  <c r="GR17" i="26"/>
  <c r="GR13" i="26"/>
  <c r="GR15" i="26"/>
  <c r="HQ8" i="26"/>
  <c r="HQ13" i="26"/>
  <c r="JX10" i="26"/>
  <c r="JX14" i="26"/>
  <c r="KZ6" i="26"/>
  <c r="LY9" i="26"/>
  <c r="ND12" i="26"/>
  <c r="OF4" i="26"/>
  <c r="OF17" i="26"/>
  <c r="OF15" i="26"/>
  <c r="DL4" i="26"/>
  <c r="DL15" i="26"/>
  <c r="GR10" i="26"/>
  <c r="GR14" i="26"/>
  <c r="HT6" i="26"/>
  <c r="HT11" i="26"/>
  <c r="HT16" i="26"/>
  <c r="JX7" i="26"/>
  <c r="OF10" i="26"/>
  <c r="OF14" i="26"/>
  <c r="ED8" i="22"/>
  <c r="EK8" i="22" s="1"/>
  <c r="NH8" i="22"/>
  <c r="NO8" i="22" s="1"/>
  <c r="JJ4" i="22"/>
  <c r="JQ4" i="22" s="1"/>
  <c r="ED22" i="4"/>
  <c r="EK22" i="4" s="1"/>
  <c r="FL18" i="4"/>
  <c r="FS18" i="4" s="1"/>
  <c r="NH16" i="4"/>
  <c r="NO16" i="4" s="1"/>
  <c r="NH27" i="4"/>
  <c r="NO27" i="4" s="1"/>
  <c r="OP9" i="4"/>
  <c r="OW9" i="4" s="1"/>
  <c r="OP18" i="4"/>
  <c r="OW18" i="4" s="1"/>
  <c r="PX13" i="4"/>
  <c r="QE13" i="4" s="1"/>
  <c r="PX11" i="4"/>
  <c r="QE11" i="4" s="1"/>
  <c r="PX26" i="4"/>
  <c r="QE26" i="4" s="1"/>
  <c r="RF7" i="4"/>
  <c r="RM7" i="4" s="1"/>
  <c r="RF12" i="4"/>
  <c r="RM12" i="4" s="1"/>
  <c r="ED16" i="4"/>
  <c r="EK16" i="4" s="1"/>
  <c r="FL5" i="4"/>
  <c r="FS5" i="4" s="1"/>
  <c r="GT26" i="4"/>
  <c r="HA26" i="4" s="1"/>
  <c r="IB7" i="4"/>
  <c r="II7" i="4" s="1"/>
  <c r="IB12" i="4"/>
  <c r="II12" i="4" s="1"/>
  <c r="JJ8" i="4"/>
  <c r="JQ8" i="4" s="1"/>
  <c r="KR10" i="4"/>
  <c r="KY10" i="4" s="1"/>
  <c r="LZ15" i="4"/>
  <c r="MG15" i="4" s="1"/>
  <c r="LZ19" i="4"/>
  <c r="MG19" i="4" s="1"/>
  <c r="LZ23" i="4"/>
  <c r="MG23" i="4" s="1"/>
  <c r="LZ17" i="4"/>
  <c r="MG17" i="4" s="1"/>
  <c r="NH22" i="4"/>
  <c r="NO22" i="4" s="1"/>
  <c r="ED27" i="4"/>
  <c r="EK27" i="4" s="1"/>
  <c r="GT13" i="4"/>
  <c r="HA13" i="4" s="1"/>
  <c r="GT11" i="4"/>
  <c r="HA11" i="4" s="1"/>
  <c r="JJ4" i="4"/>
  <c r="JQ4" i="4" s="1"/>
  <c r="KR6" i="4"/>
  <c r="KY6" i="4" s="1"/>
  <c r="OP5" i="4"/>
  <c r="OW5" i="4" s="1"/>
  <c r="JX9" i="19"/>
  <c r="JX25" i="19"/>
  <c r="KZ15" i="19"/>
  <c r="KZ28" i="19"/>
  <c r="EN11" i="19"/>
  <c r="EN27" i="19"/>
  <c r="FP25" i="19"/>
  <c r="GR15" i="19"/>
  <c r="GR28" i="19"/>
  <c r="JX23" i="19"/>
  <c r="JX38" i="19"/>
  <c r="KZ10" i="19"/>
  <c r="DL38" i="19"/>
  <c r="EN10" i="19"/>
  <c r="EN30" i="19"/>
  <c r="GR8" i="19"/>
  <c r="JX26" i="19"/>
  <c r="KZ23" i="19"/>
  <c r="MB10" i="19"/>
  <c r="MB30" i="19"/>
  <c r="FM13" i="19"/>
  <c r="FM22" i="19"/>
  <c r="EK13" i="19"/>
  <c r="FP5" i="19"/>
  <c r="FP8" i="19"/>
  <c r="FP34" i="19"/>
  <c r="FP23" i="19"/>
  <c r="FP38" i="19"/>
  <c r="ND28" i="19"/>
  <c r="ND23" i="19"/>
  <c r="FP9" i="19"/>
  <c r="DL16" i="19"/>
  <c r="DL33" i="19"/>
  <c r="FP11" i="19"/>
  <c r="GR25" i="19"/>
  <c r="HT15" i="19"/>
  <c r="HT28" i="19"/>
  <c r="HT23" i="19"/>
  <c r="HT38" i="19"/>
  <c r="FL8" i="22"/>
  <c r="FS8" i="22" s="1"/>
  <c r="OP8" i="22"/>
  <c r="OW8" i="22" s="1"/>
  <c r="IB4" i="22"/>
  <c r="II4" i="22" s="1"/>
  <c r="FL4" i="22"/>
  <c r="FS4" i="22" s="1"/>
  <c r="KR8" i="22"/>
  <c r="KY8" i="22" s="1"/>
  <c r="GT4" i="22"/>
  <c r="HA4" i="22" s="1"/>
  <c r="LZ8" i="22"/>
  <c r="MG8" i="22" s="1"/>
  <c r="OP4" i="22"/>
  <c r="OW4" i="22" s="1"/>
  <c r="PX4" i="22"/>
  <c r="QE4" i="22" s="1"/>
  <c r="RF4" i="22"/>
  <c r="RM4" i="22" s="1"/>
  <c r="GT6" i="22"/>
  <c r="HA6" i="22" s="1"/>
  <c r="KR6" i="22"/>
  <c r="KY6" i="22" s="1"/>
  <c r="LZ6" i="22"/>
  <c r="MG6" i="22" s="1"/>
  <c r="PX6" i="22"/>
  <c r="QE6" i="22" s="1"/>
  <c r="ED5" i="22"/>
  <c r="EK5" i="22" s="1"/>
  <c r="FL5" i="22"/>
  <c r="FS5" i="22" s="1"/>
  <c r="GT5" i="22"/>
  <c r="HA5" i="22" s="1"/>
  <c r="IB5" i="22"/>
  <c r="II5" i="22" s="1"/>
  <c r="LZ5" i="22"/>
  <c r="MG5" i="22" s="1"/>
  <c r="NH5" i="22"/>
  <c r="NO5" i="22" s="1"/>
  <c r="OP5" i="22"/>
  <c r="OW5" i="22" s="1"/>
  <c r="PX5" i="22"/>
  <c r="QE5" i="22" s="1"/>
  <c r="RF5" i="22"/>
  <c r="RM5" i="22" s="1"/>
  <c r="ED4" i="22"/>
  <c r="EK4" i="22" s="1"/>
  <c r="JJ6" i="22"/>
  <c r="JQ6" i="22" s="1"/>
  <c r="NH4" i="22"/>
  <c r="NO4" i="22" s="1"/>
  <c r="GT8" i="22"/>
  <c r="HA8" i="22" s="1"/>
  <c r="IB6" i="22"/>
  <c r="II6" i="22" s="1"/>
  <c r="PX8" i="22"/>
  <c r="QE8" i="22" s="1"/>
  <c r="RF6" i="22"/>
  <c r="RM6" i="22" s="1"/>
  <c r="DI30" i="21"/>
  <c r="EK12" i="21"/>
  <c r="EN20" i="21"/>
  <c r="EN28" i="21"/>
  <c r="GR9" i="21"/>
  <c r="GO36" i="21"/>
  <c r="HT15" i="21"/>
  <c r="HT25" i="21"/>
  <c r="JU7" i="21"/>
  <c r="KW30" i="21"/>
  <c r="LY12" i="21"/>
  <c r="MB28" i="21"/>
  <c r="ND10" i="21"/>
  <c r="NA18" i="21"/>
  <c r="NA27" i="21"/>
  <c r="GR37" i="21"/>
  <c r="HT26" i="21"/>
  <c r="IV15" i="21"/>
  <c r="IV25" i="21"/>
  <c r="KZ16" i="21"/>
  <c r="IS30" i="21"/>
  <c r="JX31" i="21"/>
  <c r="IV13" i="21"/>
  <c r="ND14" i="21"/>
  <c r="EN10" i="21"/>
  <c r="EN37" i="21"/>
  <c r="FP7" i="21"/>
  <c r="FP9" i="21"/>
  <c r="FP31" i="21"/>
  <c r="FP26" i="21"/>
  <c r="GR25" i="21"/>
  <c r="GR30" i="21"/>
  <c r="HT6" i="21"/>
  <c r="KZ21" i="21"/>
  <c r="MB5" i="21"/>
  <c r="ND20" i="21"/>
  <c r="ND28" i="21"/>
  <c r="DL26" i="21"/>
  <c r="IV21" i="21"/>
  <c r="EN35" i="21"/>
  <c r="FP6" i="21"/>
  <c r="GR16" i="21"/>
  <c r="GR21" i="21"/>
  <c r="GR34" i="21"/>
  <c r="HT39" i="21"/>
  <c r="KZ20" i="21"/>
  <c r="DI6" i="21"/>
  <c r="GO34" i="19"/>
  <c r="GO22" i="19"/>
  <c r="GO37" i="19"/>
  <c r="HT29" i="19"/>
  <c r="JU7" i="19"/>
  <c r="KW7" i="19"/>
  <c r="KW13" i="19"/>
  <c r="HQ34" i="19"/>
  <c r="GR37" i="19"/>
  <c r="OC7" i="19"/>
  <c r="HT5" i="19"/>
  <c r="GR35" i="19"/>
  <c r="JX34" i="19"/>
  <c r="JX22" i="19"/>
  <c r="NA37" i="19"/>
  <c r="EN35" i="19"/>
  <c r="JX37" i="19"/>
  <c r="JX18" i="19"/>
  <c r="JX32" i="19"/>
  <c r="KZ5" i="19"/>
  <c r="ND34" i="19"/>
  <c r="FM16" i="19"/>
  <c r="FM33" i="19"/>
  <c r="GO27" i="19"/>
  <c r="HT11" i="19"/>
  <c r="ND22" i="19"/>
  <c r="ND38" i="19"/>
  <c r="ND25" i="19"/>
  <c r="OF15" i="19"/>
  <c r="OF28" i="19"/>
  <c r="OF23" i="19"/>
  <c r="OF38" i="19"/>
  <c r="OF25" i="19"/>
  <c r="GR30" i="19"/>
  <c r="GR16" i="19"/>
  <c r="GR33" i="19"/>
  <c r="HT4" i="19"/>
  <c r="HT27" i="19"/>
  <c r="HT24" i="19"/>
  <c r="HT36" i="19"/>
  <c r="IV36" i="19"/>
  <c r="JX11" i="19"/>
  <c r="JX27" i="19"/>
  <c r="JX24" i="19"/>
  <c r="JX36" i="19"/>
  <c r="KZ8" i="19"/>
  <c r="KZ26" i="19"/>
  <c r="ND6" i="19"/>
  <c r="ND8" i="19"/>
  <c r="ND18" i="19"/>
  <c r="ND9" i="19"/>
  <c r="ND32" i="19"/>
  <c r="DI5" i="19"/>
  <c r="DI34" i="19"/>
  <c r="DI22" i="19"/>
  <c r="DI37" i="19"/>
  <c r="EK5" i="19"/>
  <c r="EK34" i="19"/>
  <c r="EK22" i="19"/>
  <c r="EK37" i="19"/>
  <c r="FM5" i="19"/>
  <c r="HT10" i="19"/>
  <c r="ND26" i="19"/>
  <c r="OF8" i="19"/>
  <c r="OF9" i="19"/>
  <c r="FP6" i="19"/>
  <c r="HT30" i="19"/>
  <c r="IV30" i="19"/>
  <c r="JX4" i="19"/>
  <c r="JX10" i="19"/>
  <c r="JX30" i="19"/>
  <c r="KZ11" i="19"/>
  <c r="KZ27" i="19"/>
  <c r="KZ24" i="19"/>
  <c r="MB36" i="19"/>
  <c r="ND11" i="19"/>
  <c r="ND27" i="19"/>
  <c r="ND24" i="19"/>
  <c r="PE35" i="19"/>
  <c r="MB24" i="19"/>
  <c r="DI6" i="19"/>
  <c r="DI18" i="19"/>
  <c r="DI32" i="19"/>
  <c r="DI35" i="19"/>
  <c r="EK32" i="19"/>
  <c r="FM37" i="19"/>
  <c r="GO5" i="19"/>
  <c r="KW4" i="19"/>
  <c r="ND36" i="19"/>
  <c r="OF11" i="19"/>
  <c r="OC19" i="19"/>
  <c r="OC13" i="19"/>
  <c r="MB7" i="19"/>
  <c r="DL29" i="19"/>
  <c r="FP32" i="19"/>
  <c r="FP22" i="19"/>
  <c r="GR19" i="19"/>
  <c r="GO24" i="19"/>
  <c r="HT18" i="19"/>
  <c r="HT34" i="19"/>
  <c r="IS13" i="19"/>
  <c r="KZ6" i="19"/>
  <c r="MB19" i="19"/>
  <c r="ND37" i="19"/>
  <c r="EN7" i="19"/>
  <c r="FP37" i="19"/>
  <c r="HT32" i="19"/>
  <c r="HT22" i="19"/>
  <c r="IS29" i="19"/>
  <c r="KZ18" i="19"/>
  <c r="KZ34" i="19"/>
  <c r="MB13" i="19"/>
  <c r="ND35" i="19"/>
  <c r="OF5" i="19"/>
  <c r="JX35" i="19"/>
  <c r="PE37" i="19"/>
  <c r="DL5" i="19"/>
  <c r="DL15" i="19"/>
  <c r="EK19" i="19"/>
  <c r="FP4" i="19"/>
  <c r="FP27" i="19"/>
  <c r="FP26" i="19"/>
  <c r="FP35" i="19"/>
  <c r="GR13" i="19"/>
  <c r="GO36" i="19"/>
  <c r="HT37" i="19"/>
  <c r="HT25" i="19"/>
  <c r="IS32" i="19"/>
  <c r="JX16" i="19"/>
  <c r="KZ9" i="19"/>
  <c r="KZ32" i="19"/>
  <c r="KZ22" i="19"/>
  <c r="KZ38" i="19"/>
  <c r="MB29" i="19"/>
  <c r="OF6" i="19"/>
  <c r="KW29" i="19"/>
  <c r="DL19" i="19"/>
  <c r="FP18" i="19"/>
  <c r="OC29" i="19"/>
  <c r="DL6" i="19"/>
  <c r="GR6" i="19"/>
  <c r="GR5" i="19"/>
  <c r="HT35" i="19"/>
  <c r="IV5" i="19"/>
  <c r="KZ37" i="19"/>
  <c r="NA26" i="19"/>
  <c r="OF18" i="19"/>
  <c r="OF34" i="19"/>
  <c r="IS7" i="19"/>
  <c r="DL18" i="19"/>
  <c r="DL34" i="19"/>
  <c r="DL23" i="19"/>
  <c r="EK6" i="19"/>
  <c r="EK18" i="19"/>
  <c r="EK29" i="19"/>
  <c r="GR29" i="19"/>
  <c r="IV6" i="19"/>
  <c r="JU19" i="19"/>
  <c r="KZ35" i="19"/>
  <c r="MB5" i="19"/>
  <c r="ND7" i="19"/>
  <c r="OF32" i="19"/>
  <c r="OF22" i="19"/>
  <c r="DL32" i="19"/>
  <c r="DL22" i="19"/>
  <c r="GR18" i="19"/>
  <c r="IV18" i="19"/>
  <c r="IV34" i="19"/>
  <c r="JU13" i="19"/>
  <c r="MB6" i="19"/>
  <c r="ND19" i="19"/>
  <c r="OF37" i="19"/>
  <c r="DI13" i="19"/>
  <c r="DL11" i="19"/>
  <c r="DL37" i="19"/>
  <c r="DL25" i="19"/>
  <c r="EN15" i="19"/>
  <c r="FM7" i="19"/>
  <c r="HT16" i="19"/>
  <c r="IV9" i="19"/>
  <c r="IV32" i="19"/>
  <c r="IV22" i="19"/>
  <c r="IV38" i="19"/>
  <c r="JU29" i="19"/>
  <c r="KZ30" i="19"/>
  <c r="KZ36" i="19"/>
  <c r="MB8" i="19"/>
  <c r="MB18" i="19"/>
  <c r="MB34" i="19"/>
  <c r="MB23" i="19"/>
  <c r="ND13" i="19"/>
  <c r="OF4" i="19"/>
  <c r="OF27" i="19"/>
  <c r="OF26" i="19"/>
  <c r="OF35" i="19"/>
  <c r="DL7" i="19"/>
  <c r="DL4" i="19"/>
  <c r="DL27" i="19"/>
  <c r="DL26" i="19"/>
  <c r="DL35" i="19"/>
  <c r="EN28" i="19"/>
  <c r="EK35" i="19"/>
  <c r="FM19" i="19"/>
  <c r="GR4" i="19"/>
  <c r="GR11" i="19"/>
  <c r="GR9" i="19"/>
  <c r="GR32" i="19"/>
  <c r="GR34" i="19"/>
  <c r="GR23" i="19"/>
  <c r="GO35" i="19"/>
  <c r="HT7" i="19"/>
  <c r="HT33" i="19"/>
  <c r="IV11" i="19"/>
  <c r="IV37" i="19"/>
  <c r="IV25" i="19"/>
  <c r="JU32" i="19"/>
  <c r="KZ16" i="19"/>
  <c r="MB9" i="19"/>
  <c r="MB32" i="19"/>
  <c r="MB22" i="19"/>
  <c r="MB38" i="19"/>
  <c r="NA18" i="19"/>
  <c r="OF10" i="19"/>
  <c r="OF24" i="19"/>
  <c r="HT6" i="19"/>
  <c r="IS19" i="19"/>
  <c r="EN8" i="19"/>
  <c r="EN18" i="19"/>
  <c r="EN34" i="19"/>
  <c r="EN23" i="19"/>
  <c r="HT19" i="19"/>
  <c r="IV4" i="19"/>
  <c r="IV27" i="19"/>
  <c r="IV26" i="19"/>
  <c r="IV35" i="19"/>
  <c r="JX5" i="19"/>
  <c r="JX15" i="19"/>
  <c r="MB11" i="19"/>
  <c r="MB37" i="19"/>
  <c r="MB25" i="19"/>
  <c r="ND29" i="19"/>
  <c r="OF30" i="19"/>
  <c r="OF36" i="19"/>
  <c r="GR7" i="19"/>
  <c r="DL10" i="19"/>
  <c r="DL24" i="19"/>
  <c r="DL30" i="19"/>
  <c r="DL36" i="19"/>
  <c r="EN9" i="19"/>
  <c r="EN32" i="19"/>
  <c r="EN22" i="19"/>
  <c r="EN38" i="19"/>
  <c r="FM18" i="19"/>
  <c r="FM29" i="19"/>
  <c r="GR10" i="19"/>
  <c r="GR27" i="19"/>
  <c r="GR22" i="19"/>
  <c r="GR38" i="19"/>
  <c r="HQ6" i="19"/>
  <c r="HT13" i="19"/>
  <c r="IV10" i="19"/>
  <c r="IV24" i="19"/>
  <c r="JX6" i="19"/>
  <c r="JX28" i="19"/>
  <c r="JU35" i="19"/>
  <c r="KW19" i="19"/>
  <c r="MB4" i="19"/>
  <c r="MB27" i="19"/>
  <c r="MB26" i="19"/>
  <c r="MB35" i="19"/>
  <c r="ND5" i="19"/>
  <c r="ND15" i="19"/>
  <c r="OC16" i="19"/>
  <c r="FM6" i="27"/>
  <c r="MB7" i="27"/>
  <c r="LY6" i="27"/>
  <c r="OC7" i="27"/>
  <c r="JX7" i="27"/>
  <c r="JX12" i="27"/>
  <c r="MB12" i="27"/>
  <c r="EN7" i="27"/>
  <c r="NA6" i="27"/>
  <c r="JX5" i="27"/>
  <c r="JX9" i="27"/>
  <c r="EK11" i="27"/>
  <c r="DL4" i="27"/>
  <c r="DL14" i="27"/>
  <c r="DL17" i="27"/>
  <c r="FP4" i="27"/>
  <c r="HT16" i="27"/>
  <c r="HT9" i="27"/>
  <c r="JX8" i="27"/>
  <c r="EN12" i="27"/>
  <c r="GO12" i="27"/>
  <c r="HT8" i="27"/>
  <c r="IS5" i="27"/>
  <c r="JU11" i="27"/>
  <c r="KZ4" i="27"/>
  <c r="KZ14" i="27"/>
  <c r="KZ17" i="27"/>
  <c r="ND4" i="27"/>
  <c r="KW6" i="27"/>
  <c r="EN16" i="27"/>
  <c r="EN9" i="27"/>
  <c r="GR7" i="27"/>
  <c r="GR14" i="27"/>
  <c r="HT11" i="27"/>
  <c r="IS9" i="27"/>
  <c r="MB16" i="27"/>
  <c r="MB9" i="27"/>
  <c r="OF7" i="27"/>
  <c r="OF14" i="27"/>
  <c r="GR5" i="27"/>
  <c r="GR12" i="27"/>
  <c r="OF5" i="27"/>
  <c r="OF12" i="27"/>
  <c r="GR9" i="27"/>
  <c r="IV7" i="27"/>
  <c r="OF9" i="27"/>
  <c r="HT6" i="27"/>
  <c r="IV5" i="27"/>
  <c r="IV12" i="27"/>
  <c r="OF8" i="27"/>
  <c r="IV6" i="27"/>
  <c r="DI6" i="27"/>
  <c r="IV9" i="27"/>
  <c r="KZ7" i="27"/>
  <c r="MB5" i="27"/>
  <c r="DL5" i="27"/>
  <c r="DL12" i="27"/>
  <c r="JU6" i="27"/>
  <c r="KZ5" i="27"/>
  <c r="KZ12" i="27"/>
  <c r="DL16" i="27"/>
  <c r="DL9" i="27"/>
  <c r="FP7" i="27"/>
  <c r="FP14" i="27"/>
  <c r="GO11" i="27"/>
  <c r="HQ9" i="27"/>
  <c r="KZ16" i="27"/>
  <c r="KZ9" i="27"/>
  <c r="ND7" i="27"/>
  <c r="ND14" i="27"/>
  <c r="OC11" i="27"/>
  <c r="EN5" i="27"/>
  <c r="DL8" i="27"/>
  <c r="EN6" i="27"/>
  <c r="FP5" i="27"/>
  <c r="FP12" i="27"/>
  <c r="FP17" i="27"/>
  <c r="HT4" i="27"/>
  <c r="KZ8" i="27"/>
  <c r="ND5" i="27"/>
  <c r="ND12" i="27"/>
  <c r="ND17" i="27"/>
  <c r="DL7" i="27"/>
  <c r="FP16" i="27"/>
  <c r="FP9" i="27"/>
  <c r="HT7" i="27"/>
  <c r="HT14" i="27"/>
  <c r="IV11" i="27"/>
  <c r="ND9" i="27"/>
  <c r="EK5" i="27"/>
  <c r="FP8" i="27"/>
  <c r="GO6" i="27"/>
  <c r="HT5" i="27"/>
  <c r="HT12" i="27"/>
  <c r="HT17" i="27"/>
  <c r="JX4" i="27"/>
  <c r="LY5" i="27"/>
  <c r="ND8" i="27"/>
  <c r="OF6" i="27"/>
  <c r="FM9" i="26"/>
  <c r="JX18" i="26"/>
  <c r="MB9" i="26"/>
  <c r="JU9" i="26"/>
  <c r="IV13" i="26"/>
  <c r="OF8" i="26"/>
  <c r="DI5" i="26"/>
  <c r="MB14" i="26"/>
  <c r="EN7" i="26"/>
  <c r="EN12" i="26"/>
  <c r="FP4" i="26"/>
  <c r="FP17" i="26"/>
  <c r="FP15" i="26"/>
  <c r="IV10" i="26"/>
  <c r="IV14" i="26"/>
  <c r="JX6" i="26"/>
  <c r="JX11" i="26"/>
  <c r="JX16" i="26"/>
  <c r="ND6" i="26"/>
  <c r="ND11" i="26"/>
  <c r="ND16" i="26"/>
  <c r="OF13" i="26"/>
  <c r="HQ5" i="26"/>
  <c r="DI8" i="26"/>
  <c r="DI13" i="26"/>
  <c r="FP10" i="26"/>
  <c r="FP14" i="26"/>
  <c r="GR16" i="26"/>
  <c r="HQ9" i="26"/>
  <c r="IV7" i="26"/>
  <c r="IV12" i="26"/>
  <c r="JX4" i="26"/>
  <c r="JX17" i="26"/>
  <c r="JX15" i="26"/>
  <c r="KW8" i="26"/>
  <c r="KW13" i="26"/>
  <c r="ND4" i="26"/>
  <c r="OC8" i="26"/>
  <c r="OC13" i="26"/>
  <c r="FP9" i="26"/>
  <c r="GR5" i="26"/>
  <c r="GO12" i="26"/>
  <c r="JX8" i="26"/>
  <c r="OC7" i="26"/>
  <c r="MB13" i="26"/>
  <c r="DL9" i="26"/>
  <c r="EN5" i="26"/>
  <c r="FP8" i="26"/>
  <c r="IV5" i="26"/>
  <c r="JX13" i="26"/>
  <c r="KW18" i="26"/>
  <c r="FP13" i="26"/>
  <c r="HT8" i="26"/>
  <c r="HT9" i="26"/>
  <c r="DL8" i="26"/>
  <c r="HT13" i="26"/>
  <c r="IV18" i="26"/>
  <c r="ND9" i="26"/>
  <c r="OC5" i="26"/>
  <c r="ND8" i="26"/>
  <c r="NA5" i="26"/>
  <c r="DL14" i="26"/>
  <c r="FP7" i="26"/>
  <c r="GR6" i="26"/>
  <c r="GR18" i="26"/>
  <c r="HT14" i="26"/>
  <c r="KZ9" i="26"/>
  <c r="KZ11" i="26"/>
  <c r="LY5" i="26"/>
  <c r="ND17" i="26"/>
  <c r="ND13" i="26"/>
  <c r="OC18" i="26"/>
  <c r="GO17" i="26"/>
  <c r="MB8" i="26"/>
  <c r="EN18" i="26"/>
  <c r="EN6" i="26"/>
  <c r="FP12" i="26"/>
  <c r="IV6" i="26"/>
  <c r="KZ4" i="26"/>
  <c r="KZ8" i="26"/>
  <c r="KZ16" i="26"/>
  <c r="ND10" i="26"/>
  <c r="ND15" i="26"/>
  <c r="DI18" i="26"/>
  <c r="HQ18" i="26"/>
  <c r="EN9" i="26"/>
  <c r="EN11" i="26"/>
  <c r="GR4" i="26"/>
  <c r="GR9" i="26"/>
  <c r="IV9" i="26"/>
  <c r="IV11" i="26"/>
  <c r="JX5" i="26"/>
  <c r="KZ17" i="26"/>
  <c r="KZ13" i="26"/>
  <c r="MB18" i="26"/>
  <c r="ND14" i="26"/>
  <c r="FM18" i="26"/>
  <c r="JX9" i="26"/>
  <c r="KZ5" i="26"/>
  <c r="NA18" i="26"/>
  <c r="FM4" i="26"/>
  <c r="EN4" i="26"/>
  <c r="EN8" i="26"/>
  <c r="EN16" i="26"/>
  <c r="FM5" i="26"/>
  <c r="GR8" i="26"/>
  <c r="GR11" i="26"/>
  <c r="IV4" i="26"/>
  <c r="IV8" i="26"/>
  <c r="IV16" i="26"/>
  <c r="KZ10" i="26"/>
  <c r="KZ15" i="26"/>
  <c r="LY8" i="26"/>
  <c r="ND7" i="26"/>
  <c r="OF6" i="26"/>
  <c r="ED6" i="22"/>
  <c r="EK6" i="22" s="1"/>
  <c r="IB8" i="22"/>
  <c r="II8" i="22" s="1"/>
  <c r="JJ5" i="22"/>
  <c r="JQ5" i="22" s="1"/>
  <c r="KR4" i="22"/>
  <c r="KY4" i="22" s="1"/>
  <c r="NH6" i="22"/>
  <c r="NO6" i="22" s="1"/>
  <c r="RF8" i="22"/>
  <c r="RM8" i="22" s="1"/>
  <c r="FL6" i="22"/>
  <c r="FS6" i="22" s="1"/>
  <c r="JJ8" i="22"/>
  <c r="JQ8" i="22" s="1"/>
  <c r="KR5" i="22"/>
  <c r="KY5" i="22" s="1"/>
  <c r="LZ4" i="22"/>
  <c r="MG4" i="22" s="1"/>
  <c r="OP6" i="22"/>
  <c r="OW6" i="22" s="1"/>
  <c r="PX18" i="4"/>
  <c r="QE18" i="4" s="1"/>
  <c r="RF13" i="4"/>
  <c r="RM13" i="4" s="1"/>
  <c r="RF11" i="4"/>
  <c r="RM11" i="4" s="1"/>
  <c r="RF26" i="4"/>
  <c r="RM26" i="4" s="1"/>
  <c r="FL23" i="4"/>
  <c r="FS23" i="4" s="1"/>
  <c r="GT27" i="4"/>
  <c r="HA27" i="4" s="1"/>
  <c r="IB5" i="4"/>
  <c r="II5" i="4" s="1"/>
  <c r="IB9" i="4"/>
  <c r="II9" i="4" s="1"/>
  <c r="IB18" i="4"/>
  <c r="II18" i="4" s="1"/>
  <c r="JJ13" i="4"/>
  <c r="JQ13" i="4" s="1"/>
  <c r="JJ11" i="4"/>
  <c r="JQ11" i="4" s="1"/>
  <c r="JJ26" i="4"/>
  <c r="JQ26" i="4" s="1"/>
  <c r="KR7" i="4"/>
  <c r="KY7" i="4" s="1"/>
  <c r="KR12" i="4"/>
  <c r="KY12" i="4" s="1"/>
  <c r="LZ4" i="4"/>
  <c r="MG4" i="4" s="1"/>
  <c r="LZ8" i="4"/>
  <c r="MG8" i="4" s="1"/>
  <c r="NH6" i="4"/>
  <c r="NO6" i="4" s="1"/>
  <c r="NH10" i="4"/>
  <c r="NO10" i="4" s="1"/>
  <c r="OP15" i="4"/>
  <c r="OW15" i="4" s="1"/>
  <c r="OP19" i="4"/>
  <c r="OW19" i="4" s="1"/>
  <c r="OP23" i="4"/>
  <c r="OW23" i="4" s="1"/>
  <c r="OP17" i="4"/>
  <c r="OW17" i="4" s="1"/>
  <c r="PX16" i="4"/>
  <c r="QE16" i="4" s="1"/>
  <c r="PX22" i="4"/>
  <c r="QE22" i="4" s="1"/>
  <c r="PX27" i="4"/>
  <c r="QE27" i="4" s="1"/>
  <c r="RF5" i="4"/>
  <c r="RM5" i="4" s="1"/>
  <c r="RF9" i="4"/>
  <c r="RM9" i="4" s="1"/>
  <c r="RF18" i="4"/>
  <c r="RM18" i="4" s="1"/>
  <c r="ED6" i="4"/>
  <c r="EK6" i="4" s="1"/>
  <c r="ED10" i="4"/>
  <c r="EK10" i="4" s="1"/>
  <c r="FL15" i="4"/>
  <c r="FS15" i="4" s="1"/>
  <c r="FL17" i="4"/>
  <c r="FS17" i="4" s="1"/>
  <c r="GR18" i="21"/>
  <c r="GR27" i="21"/>
  <c r="JX38" i="21"/>
  <c r="MB7" i="21"/>
  <c r="DI13" i="21"/>
  <c r="EK7" i="21"/>
  <c r="EN21" i="21"/>
  <c r="EN27" i="21"/>
  <c r="EN34" i="21"/>
  <c r="FP14" i="21"/>
  <c r="GO7" i="21"/>
  <c r="HT5" i="21"/>
  <c r="HQ13" i="21"/>
  <c r="IS7" i="21"/>
  <c r="IV16" i="21"/>
  <c r="IV30" i="21"/>
  <c r="IV35" i="21"/>
  <c r="JX6" i="21"/>
  <c r="JX26" i="21"/>
  <c r="JU36" i="21"/>
  <c r="LY26" i="21"/>
  <c r="LY36" i="21"/>
  <c r="ND30" i="21"/>
  <c r="HT36" i="21"/>
  <c r="FP10" i="21"/>
  <c r="FM18" i="21"/>
  <c r="FM27" i="21"/>
  <c r="FP37" i="21"/>
  <c r="LY33" i="21"/>
  <c r="ND27" i="21"/>
  <c r="HT13" i="21"/>
  <c r="OF22" i="21"/>
  <c r="DI37" i="21"/>
  <c r="FP30" i="21"/>
  <c r="HT30" i="21"/>
  <c r="JU30" i="21"/>
  <c r="JU12" i="21"/>
  <c r="DL16" i="21"/>
  <c r="DL35" i="21"/>
  <c r="EN6" i="21"/>
  <c r="HT16" i="21"/>
  <c r="HT18" i="21"/>
  <c r="HT21" i="21"/>
  <c r="IV6" i="21"/>
  <c r="JX37" i="21"/>
  <c r="KZ9" i="21"/>
  <c r="KZ38" i="21"/>
  <c r="MB37" i="21"/>
  <c r="MB12" i="21"/>
  <c r="EK22" i="21"/>
  <c r="FP16" i="21"/>
  <c r="FP18" i="21"/>
  <c r="FP21" i="21"/>
  <c r="FP27" i="21"/>
  <c r="FP34" i="21"/>
  <c r="GR5" i="21"/>
  <c r="HT34" i="21"/>
  <c r="IS36" i="21"/>
  <c r="JX13" i="21"/>
  <c r="JX15" i="21"/>
  <c r="KZ26" i="21"/>
  <c r="MB15" i="21"/>
  <c r="ND7" i="21"/>
  <c r="ND9" i="21"/>
  <c r="ND31" i="21"/>
  <c r="EN7" i="21"/>
  <c r="EN5" i="21"/>
  <c r="EN36" i="21"/>
  <c r="EN39" i="21"/>
  <c r="GR36" i="21"/>
  <c r="GR39" i="21"/>
  <c r="HT20" i="21"/>
  <c r="IV5" i="21"/>
  <c r="JX25" i="21"/>
  <c r="JX35" i="21"/>
  <c r="MB35" i="21"/>
  <c r="DL38" i="21"/>
  <c r="KW13" i="21"/>
  <c r="FP36" i="21"/>
  <c r="FM12" i="21"/>
  <c r="FP20" i="21"/>
  <c r="FP28" i="21"/>
  <c r="GO18" i="21"/>
  <c r="GO27" i="21"/>
  <c r="JX16" i="21"/>
  <c r="KW22" i="21"/>
  <c r="KW33" i="21"/>
  <c r="LY7" i="21"/>
  <c r="ND6" i="21"/>
  <c r="OF13" i="21"/>
  <c r="OF15" i="21"/>
  <c r="HT27" i="21"/>
  <c r="IV18" i="21"/>
  <c r="EN12" i="21"/>
  <c r="GR7" i="21"/>
  <c r="IV27" i="21"/>
  <c r="IV36" i="21"/>
  <c r="JX18" i="21"/>
  <c r="JX30" i="21"/>
  <c r="KZ13" i="21"/>
  <c r="KZ33" i="21"/>
  <c r="LY14" i="21"/>
  <c r="ND12" i="21"/>
  <c r="NA20" i="21"/>
  <c r="OC38" i="21"/>
  <c r="DL13" i="21"/>
  <c r="DI33" i="21"/>
  <c r="FP12" i="21"/>
  <c r="GR31" i="21"/>
  <c r="GR35" i="21"/>
  <c r="HT7" i="21"/>
  <c r="HT9" i="21"/>
  <c r="HT28" i="21"/>
  <c r="HT37" i="21"/>
  <c r="IV20" i="21"/>
  <c r="IV34" i="21"/>
  <c r="JX21" i="21"/>
  <c r="JX27" i="21"/>
  <c r="JX36" i="21"/>
  <c r="JX39" i="21"/>
  <c r="KZ15" i="21"/>
  <c r="LY22" i="21"/>
  <c r="ND26" i="21"/>
  <c r="ND35" i="21"/>
  <c r="ND37" i="21"/>
  <c r="OC12" i="21"/>
  <c r="OF18" i="21"/>
  <c r="OF25" i="21"/>
  <c r="DL15" i="21"/>
  <c r="DI27" i="21"/>
  <c r="EK6" i="21"/>
  <c r="EK14" i="21"/>
  <c r="FP5" i="21"/>
  <c r="GR6" i="21"/>
  <c r="GR12" i="21"/>
  <c r="GR26" i="21"/>
  <c r="HT31" i="21"/>
  <c r="HT35" i="21"/>
  <c r="IV7" i="21"/>
  <c r="IV9" i="21"/>
  <c r="IV28" i="21"/>
  <c r="IV37" i="21"/>
  <c r="JX20" i="21"/>
  <c r="JX34" i="21"/>
  <c r="NA28" i="21"/>
  <c r="OF7" i="21"/>
  <c r="OF30" i="21"/>
  <c r="KZ18" i="21"/>
  <c r="LY18" i="21"/>
  <c r="LY38" i="21"/>
  <c r="NA5" i="21"/>
  <c r="OC16" i="21"/>
  <c r="OF27" i="21"/>
  <c r="EK33" i="21"/>
  <c r="FP22" i="21"/>
  <c r="GR14" i="21"/>
  <c r="IV12" i="21"/>
  <c r="KZ7" i="21"/>
  <c r="ND22" i="21"/>
  <c r="NA35" i="21"/>
  <c r="OF36" i="21"/>
  <c r="OC33" i="21"/>
  <c r="HT12" i="21"/>
  <c r="JX7" i="21"/>
  <c r="DL18" i="21"/>
  <c r="DL7" i="21"/>
  <c r="DL21" i="21"/>
  <c r="DL30" i="21"/>
  <c r="EK38" i="21"/>
  <c r="FP33" i="21"/>
  <c r="GR22" i="21"/>
  <c r="HQ14" i="21"/>
  <c r="JX12" i="21"/>
  <c r="KZ30" i="21"/>
  <c r="MB13" i="21"/>
  <c r="OF12" i="21"/>
  <c r="OC21" i="21"/>
  <c r="DL9" i="21"/>
  <c r="DI16" i="21"/>
  <c r="DL20" i="21"/>
  <c r="DL27" i="21"/>
  <c r="FP38" i="21"/>
  <c r="GR10" i="21"/>
  <c r="GR33" i="21"/>
  <c r="HQ22" i="21"/>
  <c r="IS14" i="21"/>
  <c r="JX5" i="21"/>
  <c r="KZ6" i="21"/>
  <c r="KZ27" i="21"/>
  <c r="MB25" i="21"/>
  <c r="ND33" i="21"/>
  <c r="OF37" i="21"/>
  <c r="KZ22" i="21"/>
  <c r="DL22" i="21"/>
  <c r="DL6" i="21"/>
  <c r="DL34" i="21"/>
  <c r="DL36" i="21"/>
  <c r="EN13" i="21"/>
  <c r="EN15" i="21"/>
  <c r="GR38" i="21"/>
  <c r="HT10" i="21"/>
  <c r="HQ33" i="21"/>
  <c r="IS22" i="21"/>
  <c r="JX14" i="21"/>
  <c r="KZ5" i="21"/>
  <c r="KZ12" i="21"/>
  <c r="KZ31" i="21"/>
  <c r="KZ34" i="21"/>
  <c r="KZ36" i="21"/>
  <c r="KZ39" i="21"/>
  <c r="MB16" i="21"/>
  <c r="MB18" i="21"/>
  <c r="MB30" i="21"/>
  <c r="ND13" i="21"/>
  <c r="ND15" i="21"/>
  <c r="OC6" i="21"/>
  <c r="OC34" i="21"/>
  <c r="OF35" i="21"/>
  <c r="JU18" i="21"/>
  <c r="JU27" i="21"/>
  <c r="DL5" i="21"/>
  <c r="DL12" i="21"/>
  <c r="DL31" i="21"/>
  <c r="DI21" i="21"/>
  <c r="DL28" i="21"/>
  <c r="DL39" i="21"/>
  <c r="EN25" i="21"/>
  <c r="FP13" i="21"/>
  <c r="FP15" i="21"/>
  <c r="HQ38" i="21"/>
  <c r="IV10" i="21"/>
  <c r="IS33" i="21"/>
  <c r="JX22" i="21"/>
  <c r="KZ28" i="21"/>
  <c r="MB21" i="21"/>
  <c r="MB27" i="21"/>
  <c r="MB36" i="21"/>
  <c r="MB39" i="21"/>
  <c r="ND38" i="21"/>
  <c r="OC14" i="21"/>
  <c r="DI14" i="21"/>
  <c r="DL37" i="21"/>
  <c r="EN16" i="21"/>
  <c r="EN18" i="21"/>
  <c r="EN30" i="21"/>
  <c r="FP25" i="21"/>
  <c r="GR13" i="21"/>
  <c r="GR15" i="21"/>
  <c r="HQ27" i="21"/>
  <c r="IS18" i="21"/>
  <c r="IS38" i="21"/>
  <c r="JX10" i="21"/>
  <c r="JX33" i="21"/>
  <c r="KZ14" i="21"/>
  <c r="KZ37" i="21"/>
  <c r="MB20" i="21"/>
  <c r="MB34" i="21"/>
  <c r="ND16" i="21"/>
  <c r="ND18" i="21"/>
  <c r="ND25" i="21"/>
  <c r="OF10" i="21"/>
  <c r="OC37" i="21"/>
  <c r="FM6" i="19"/>
  <c r="EN5" i="19"/>
  <c r="EN6" i="19"/>
  <c r="EK13" i="26"/>
  <c r="EN13" i="26"/>
  <c r="DL13" i="26"/>
  <c r="FL19" i="4"/>
  <c r="FS19" i="4" s="1"/>
  <c r="GT16" i="4"/>
  <c r="HA16" i="4" s="1"/>
  <c r="GT22" i="4"/>
  <c r="HA22" i="4" s="1"/>
  <c r="GT6" i="4"/>
  <c r="HA6" i="4" s="1"/>
  <c r="GT10" i="4"/>
  <c r="HA10" i="4" s="1"/>
  <c r="FL9" i="4"/>
  <c r="FS9" i="4" s="1"/>
  <c r="FL8" i="4"/>
  <c r="FS8" i="4" s="1"/>
  <c r="FL4" i="4"/>
  <c r="FS4" i="4" s="1"/>
  <c r="OC22" i="21"/>
  <c r="OC10" i="21"/>
  <c r="OC31" i="21"/>
  <c r="OF14" i="21"/>
  <c r="OF33" i="21"/>
  <c r="OF38" i="21"/>
  <c r="OC5" i="21"/>
  <c r="OC20" i="21"/>
  <c r="OC28" i="21"/>
  <c r="OC35" i="21"/>
  <c r="OF26" i="21"/>
  <c r="OC9" i="21"/>
  <c r="OC15" i="21"/>
  <c r="OC25" i="21"/>
  <c r="OC39" i="21"/>
  <c r="NA14" i="21"/>
  <c r="NA22" i="21"/>
  <c r="NA33" i="21"/>
  <c r="NA38" i="21"/>
  <c r="NA10" i="21"/>
  <c r="NA31" i="21"/>
  <c r="NA26" i="21"/>
  <c r="NA6" i="21"/>
  <c r="NA16" i="21"/>
  <c r="NA21" i="21"/>
  <c r="NA34" i="21"/>
  <c r="NA37" i="21"/>
  <c r="NA9" i="21"/>
  <c r="NA15" i="21"/>
  <c r="NA25" i="21"/>
  <c r="NA39" i="21"/>
  <c r="MB14" i="21"/>
  <c r="MB22" i="21"/>
  <c r="MB33" i="21"/>
  <c r="MB38" i="21"/>
  <c r="LY5" i="21"/>
  <c r="LY20" i="21"/>
  <c r="LY28" i="21"/>
  <c r="LY35" i="21"/>
  <c r="MB10" i="21"/>
  <c r="MB31" i="21"/>
  <c r="MB26" i="21"/>
  <c r="LY16" i="21"/>
  <c r="LY21" i="21"/>
  <c r="LY34" i="21"/>
  <c r="LY37" i="21"/>
  <c r="LY9" i="21"/>
  <c r="LY15" i="21"/>
  <c r="LY25" i="21"/>
  <c r="LY39" i="21"/>
  <c r="MB6" i="21"/>
  <c r="KW38" i="21"/>
  <c r="KW10" i="21"/>
  <c r="KW31" i="21"/>
  <c r="KW26" i="21"/>
  <c r="KW5" i="21"/>
  <c r="KW20" i="21"/>
  <c r="KW28" i="21"/>
  <c r="KW35" i="21"/>
  <c r="KW6" i="21"/>
  <c r="KW16" i="21"/>
  <c r="KW21" i="21"/>
  <c r="KW34" i="21"/>
  <c r="KW37" i="21"/>
  <c r="KW9" i="21"/>
  <c r="KW15" i="21"/>
  <c r="KW25" i="21"/>
  <c r="KW39" i="21"/>
  <c r="JU14" i="21"/>
  <c r="JU22" i="21"/>
  <c r="JU33" i="21"/>
  <c r="JU38" i="21"/>
  <c r="JU10" i="21"/>
  <c r="JU31" i="21"/>
  <c r="JU26" i="21"/>
  <c r="JU5" i="21"/>
  <c r="JU20" i="21"/>
  <c r="JU28" i="21"/>
  <c r="JU35" i="21"/>
  <c r="JU6" i="21"/>
  <c r="JU16" i="21"/>
  <c r="JU21" i="21"/>
  <c r="JU34" i="21"/>
  <c r="JU37" i="21"/>
  <c r="JU9" i="21"/>
  <c r="JU15" i="21"/>
  <c r="JU25" i="21"/>
  <c r="JU39" i="21"/>
  <c r="IS10" i="21"/>
  <c r="IS31" i="21"/>
  <c r="IV14" i="21"/>
  <c r="IV22" i="21"/>
  <c r="IV33" i="21"/>
  <c r="IV38" i="21"/>
  <c r="IS5" i="21"/>
  <c r="IS20" i="21"/>
  <c r="IS28" i="21"/>
  <c r="IS35" i="21"/>
  <c r="IV26" i="21"/>
  <c r="IS6" i="21"/>
  <c r="IS16" i="21"/>
  <c r="IS21" i="21"/>
  <c r="IS34" i="21"/>
  <c r="IS37" i="21"/>
  <c r="IS9" i="21"/>
  <c r="IS15" i="21"/>
  <c r="IS25" i="21"/>
  <c r="IS39" i="21"/>
  <c r="HT14" i="21"/>
  <c r="HT22" i="21"/>
  <c r="HT33" i="21"/>
  <c r="HT38" i="21"/>
  <c r="HQ10" i="21"/>
  <c r="HQ31" i="21"/>
  <c r="HQ5" i="21"/>
  <c r="HQ20" i="21"/>
  <c r="HQ28" i="21"/>
  <c r="HQ35" i="21"/>
  <c r="HQ26" i="21"/>
  <c r="HQ6" i="21"/>
  <c r="HQ16" i="21"/>
  <c r="HQ21" i="21"/>
  <c r="HQ34" i="21"/>
  <c r="HQ37" i="21"/>
  <c r="HQ9" i="21"/>
  <c r="HQ15" i="21"/>
  <c r="HQ25" i="21"/>
  <c r="HQ39" i="21"/>
  <c r="GO14" i="21"/>
  <c r="GO22" i="21"/>
  <c r="GO33" i="21"/>
  <c r="GO38" i="21"/>
  <c r="GO10" i="21"/>
  <c r="GO31" i="21"/>
  <c r="GO26" i="21"/>
  <c r="GO5" i="21"/>
  <c r="GO20" i="21"/>
  <c r="GO28" i="21"/>
  <c r="GO35" i="21"/>
  <c r="GO6" i="21"/>
  <c r="GO16" i="21"/>
  <c r="GO21" i="21"/>
  <c r="GO34" i="21"/>
  <c r="GO37" i="21"/>
  <c r="GO9" i="21"/>
  <c r="GO15" i="21"/>
  <c r="GO25" i="21"/>
  <c r="GO39" i="21"/>
  <c r="FM14" i="21"/>
  <c r="FM22" i="21"/>
  <c r="FM33" i="21"/>
  <c r="FM38" i="21"/>
  <c r="FM10" i="21"/>
  <c r="FM31" i="21"/>
  <c r="FM26" i="21"/>
  <c r="FM5" i="21"/>
  <c r="FM20" i="21"/>
  <c r="FM28" i="21"/>
  <c r="FM35" i="21"/>
  <c r="FM6" i="21"/>
  <c r="FM16" i="21"/>
  <c r="FM21" i="21"/>
  <c r="FM34" i="21"/>
  <c r="FM37" i="21"/>
  <c r="FM9" i="21"/>
  <c r="FM15" i="21"/>
  <c r="FM25" i="21"/>
  <c r="FM39" i="21"/>
  <c r="EK10" i="21"/>
  <c r="EK31" i="21"/>
  <c r="EN14" i="21"/>
  <c r="EN22" i="21"/>
  <c r="EN33" i="21"/>
  <c r="EN38" i="21"/>
  <c r="EK5" i="21"/>
  <c r="EK20" i="21"/>
  <c r="EK28" i="21"/>
  <c r="EK35" i="21"/>
  <c r="EN26" i="21"/>
  <c r="EK16" i="21"/>
  <c r="EK21" i="21"/>
  <c r="EK34" i="21"/>
  <c r="EK37" i="21"/>
  <c r="EK9" i="21"/>
  <c r="EK15" i="21"/>
  <c r="EK25" i="21"/>
  <c r="EK39" i="21"/>
  <c r="DI22" i="21"/>
  <c r="DI38" i="21"/>
  <c r="DI10" i="21"/>
  <c r="DI31" i="21"/>
  <c r="DI26" i="21"/>
  <c r="DL14" i="21"/>
  <c r="DL33" i="21"/>
  <c r="DI5" i="21"/>
  <c r="DI20" i="21"/>
  <c r="DI28" i="21"/>
  <c r="DI35" i="21"/>
  <c r="DI9" i="21"/>
  <c r="DI15" i="21"/>
  <c r="DI25" i="21"/>
  <c r="DI39" i="21"/>
  <c r="PH37" i="19"/>
  <c r="OC4" i="19"/>
  <c r="OC10" i="19"/>
  <c r="OC30" i="19"/>
  <c r="OF7" i="19"/>
  <c r="OF19" i="19"/>
  <c r="OF13" i="19"/>
  <c r="OF29" i="19"/>
  <c r="OC11" i="19"/>
  <c r="OC27" i="19"/>
  <c r="OC24" i="19"/>
  <c r="OC36" i="19"/>
  <c r="OF16" i="19"/>
  <c r="OF33" i="19"/>
  <c r="OC26" i="19"/>
  <c r="OC9" i="19"/>
  <c r="OC8" i="19"/>
  <c r="OC15" i="19"/>
  <c r="OC28" i="19"/>
  <c r="OC23" i="19"/>
  <c r="OC38" i="19"/>
  <c r="OC25" i="19"/>
  <c r="NA7" i="19"/>
  <c r="NA19" i="19"/>
  <c r="NA13" i="19"/>
  <c r="NA29" i="19"/>
  <c r="NA4" i="19"/>
  <c r="NA10" i="19"/>
  <c r="NA30" i="19"/>
  <c r="NA16" i="19"/>
  <c r="NA33" i="19"/>
  <c r="NA11" i="19"/>
  <c r="NA27" i="19"/>
  <c r="NA24" i="19"/>
  <c r="NA36" i="19"/>
  <c r="NA8" i="19"/>
  <c r="NA9" i="19"/>
  <c r="NA15" i="19"/>
  <c r="NA28" i="19"/>
  <c r="NA23" i="19"/>
  <c r="NA38" i="19"/>
  <c r="NA25" i="19"/>
  <c r="LY7" i="19"/>
  <c r="LY19" i="19"/>
  <c r="LY13" i="19"/>
  <c r="LY29" i="19"/>
  <c r="LY4" i="19"/>
  <c r="LY10" i="19"/>
  <c r="LY30" i="19"/>
  <c r="LY16" i="19"/>
  <c r="LY33" i="19"/>
  <c r="LY11" i="19"/>
  <c r="LY27" i="19"/>
  <c r="LY24" i="19"/>
  <c r="LY36" i="19"/>
  <c r="LY8" i="19"/>
  <c r="LY9" i="19"/>
  <c r="LY26" i="19"/>
  <c r="LY15" i="19"/>
  <c r="LY28" i="19"/>
  <c r="LY23" i="19"/>
  <c r="LY38" i="19"/>
  <c r="LY25" i="19"/>
  <c r="KZ7" i="19"/>
  <c r="KZ19" i="19"/>
  <c r="KZ13" i="19"/>
  <c r="KZ29" i="19"/>
  <c r="KW16" i="19"/>
  <c r="KW11" i="19"/>
  <c r="KW27" i="19"/>
  <c r="KW24" i="19"/>
  <c r="KW36" i="19"/>
  <c r="KW10" i="19"/>
  <c r="KW30" i="19"/>
  <c r="KZ4" i="19"/>
  <c r="KZ33" i="19"/>
  <c r="KW8" i="19"/>
  <c r="KW9" i="19"/>
  <c r="KW26" i="19"/>
  <c r="KW15" i="19"/>
  <c r="KW28" i="19"/>
  <c r="KW23" i="19"/>
  <c r="KW38" i="19"/>
  <c r="KW25" i="19"/>
  <c r="JU30" i="19"/>
  <c r="JX7" i="19"/>
  <c r="JX19" i="19"/>
  <c r="JX13" i="19"/>
  <c r="JX29" i="19"/>
  <c r="JU4" i="19"/>
  <c r="JU16" i="19"/>
  <c r="JU11" i="19"/>
  <c r="JU27" i="19"/>
  <c r="JU24" i="19"/>
  <c r="JU36" i="19"/>
  <c r="JU10" i="19"/>
  <c r="JX33" i="19"/>
  <c r="JU8" i="19"/>
  <c r="JU26" i="19"/>
  <c r="JU9" i="19"/>
  <c r="JU15" i="19"/>
  <c r="JU28" i="19"/>
  <c r="JU23" i="19"/>
  <c r="JU38" i="19"/>
  <c r="JU25" i="19"/>
  <c r="IV7" i="19"/>
  <c r="IV19" i="19"/>
  <c r="IV13" i="19"/>
  <c r="IV29" i="19"/>
  <c r="IS4" i="19"/>
  <c r="IS10" i="19"/>
  <c r="IS30" i="19"/>
  <c r="IS11" i="19"/>
  <c r="IS27" i="19"/>
  <c r="IS24" i="19"/>
  <c r="IS36" i="19"/>
  <c r="IV16" i="19"/>
  <c r="IV33" i="19"/>
  <c r="IS9" i="19"/>
  <c r="IS26" i="19"/>
  <c r="IS15" i="19"/>
  <c r="IS28" i="19"/>
  <c r="IS23" i="19"/>
  <c r="IS38" i="19"/>
  <c r="IS25" i="19"/>
  <c r="IS8" i="19"/>
  <c r="HQ7" i="19"/>
  <c r="HQ19" i="19"/>
  <c r="HQ13" i="19"/>
  <c r="HQ29" i="19"/>
  <c r="HQ4" i="19"/>
  <c r="HQ10" i="19"/>
  <c r="HQ30" i="19"/>
  <c r="HQ16" i="19"/>
  <c r="HQ33" i="19"/>
  <c r="HQ11" i="19"/>
  <c r="HQ27" i="19"/>
  <c r="HQ24" i="19"/>
  <c r="HQ36" i="19"/>
  <c r="HQ8" i="19"/>
  <c r="HQ9" i="19"/>
  <c r="HQ26" i="19"/>
  <c r="HQ15" i="19"/>
  <c r="HQ28" i="19"/>
  <c r="HQ23" i="19"/>
  <c r="HQ38" i="19"/>
  <c r="HQ25" i="19"/>
  <c r="GO7" i="19"/>
  <c r="GO19" i="19"/>
  <c r="GO13" i="19"/>
  <c r="GO29" i="19"/>
  <c r="GO4" i="19"/>
  <c r="GO10" i="19"/>
  <c r="GO30" i="19"/>
  <c r="GO16" i="19"/>
  <c r="GO33" i="19"/>
  <c r="GO8" i="19"/>
  <c r="GO9" i="19"/>
  <c r="GO26" i="19"/>
  <c r="GO15" i="19"/>
  <c r="GO28" i="19"/>
  <c r="GO23" i="19"/>
  <c r="GO38" i="19"/>
  <c r="GO25" i="19"/>
  <c r="FP7" i="19"/>
  <c r="FP19" i="19"/>
  <c r="FP13" i="19"/>
  <c r="FP29" i="19"/>
  <c r="FM4" i="19"/>
  <c r="FM10" i="19"/>
  <c r="FM30" i="19"/>
  <c r="FM11" i="19"/>
  <c r="FM27" i="19"/>
  <c r="FM24" i="19"/>
  <c r="FM36" i="19"/>
  <c r="FP16" i="19"/>
  <c r="FP33" i="19"/>
  <c r="FM8" i="19"/>
  <c r="FM9" i="19"/>
  <c r="FM26" i="19"/>
  <c r="FM15" i="19"/>
  <c r="FM28" i="19"/>
  <c r="FM23" i="19"/>
  <c r="FM38" i="19"/>
  <c r="FM25" i="19"/>
  <c r="EK7" i="19"/>
  <c r="EK30" i="19"/>
  <c r="EN19" i="19"/>
  <c r="EN13" i="19"/>
  <c r="EN29" i="19"/>
  <c r="EK11" i="19"/>
  <c r="EK27" i="19"/>
  <c r="EK24" i="19"/>
  <c r="EK36" i="19"/>
  <c r="EK10" i="19"/>
  <c r="EN4" i="19"/>
  <c r="EN16" i="19"/>
  <c r="EN33" i="19"/>
  <c r="EK9" i="19"/>
  <c r="EK26" i="19"/>
  <c r="EK15" i="19"/>
  <c r="EK28" i="19"/>
  <c r="EK23" i="19"/>
  <c r="EK38" i="19"/>
  <c r="EK25" i="19"/>
  <c r="EK8" i="19"/>
  <c r="DI7" i="19"/>
  <c r="DI19" i="19"/>
  <c r="DI4" i="19"/>
  <c r="DI10" i="19"/>
  <c r="DI30" i="19"/>
  <c r="DI16" i="19"/>
  <c r="DI33" i="19"/>
  <c r="DI29" i="19"/>
  <c r="DL13" i="19"/>
  <c r="DI11" i="19"/>
  <c r="DI27" i="19"/>
  <c r="DI24" i="19"/>
  <c r="DI36" i="19"/>
  <c r="DI8" i="19"/>
  <c r="DI9" i="19"/>
  <c r="DI26" i="19"/>
  <c r="DI15" i="19"/>
  <c r="DI28" i="19"/>
  <c r="DI23" i="19"/>
  <c r="DI38" i="19"/>
  <c r="DI25" i="19"/>
  <c r="OC6" i="27"/>
  <c r="OC8" i="27"/>
  <c r="OF11" i="27"/>
  <c r="OC16" i="27"/>
  <c r="OC4" i="27"/>
  <c r="OC14" i="27"/>
  <c r="OC17" i="27"/>
  <c r="ND6" i="27"/>
  <c r="NA8" i="27"/>
  <c r="ND11" i="27"/>
  <c r="NA4" i="27"/>
  <c r="NA14" i="27"/>
  <c r="NA17" i="27"/>
  <c r="ND16" i="27"/>
  <c r="LY8" i="27"/>
  <c r="MB11" i="27"/>
  <c r="LY16" i="27"/>
  <c r="MB6" i="27"/>
  <c r="LY4" i="27"/>
  <c r="LY14" i="27"/>
  <c r="LY17" i="27"/>
  <c r="KZ6" i="27"/>
  <c r="KW8" i="27"/>
  <c r="KZ11" i="27"/>
  <c r="KW4" i="27"/>
  <c r="KW14" i="27"/>
  <c r="KW17" i="27"/>
  <c r="KW16" i="27"/>
  <c r="JX6" i="27"/>
  <c r="JU8" i="27"/>
  <c r="JX11" i="27"/>
  <c r="JU4" i="27"/>
  <c r="JU14" i="27"/>
  <c r="JU17" i="27"/>
  <c r="JX16" i="27"/>
  <c r="IS6" i="27"/>
  <c r="IS11" i="27"/>
  <c r="IS8" i="27"/>
  <c r="IS16" i="27"/>
  <c r="IS4" i="27"/>
  <c r="IS14" i="27"/>
  <c r="IS17" i="27"/>
  <c r="HQ6" i="27"/>
  <c r="HQ11" i="27"/>
  <c r="HQ8" i="27"/>
  <c r="HQ16" i="27"/>
  <c r="HQ4" i="27"/>
  <c r="HQ14" i="27"/>
  <c r="HQ17" i="27"/>
  <c r="GR6" i="27"/>
  <c r="GO8" i="27"/>
  <c r="GR11" i="27"/>
  <c r="GO16" i="27"/>
  <c r="GO4" i="27"/>
  <c r="GO14" i="27"/>
  <c r="GO17" i="27"/>
  <c r="FM11" i="27"/>
  <c r="FP6" i="27"/>
  <c r="FM8" i="27"/>
  <c r="FM16" i="27"/>
  <c r="FM4" i="27"/>
  <c r="FM14" i="27"/>
  <c r="FM17" i="27"/>
  <c r="EN11" i="27"/>
  <c r="EK8" i="27"/>
  <c r="EK16" i="27"/>
  <c r="EK6" i="27"/>
  <c r="EK4" i="27"/>
  <c r="EK14" i="27"/>
  <c r="EK17" i="27"/>
  <c r="DL6" i="27"/>
  <c r="DI8" i="27"/>
  <c r="DL11" i="27"/>
  <c r="DI16" i="27"/>
  <c r="DI4" i="27"/>
  <c r="DI14" i="27"/>
  <c r="DI17" i="27"/>
  <c r="OF5" i="26"/>
  <c r="OC10" i="26"/>
  <c r="OC14" i="26"/>
  <c r="OF7" i="26"/>
  <c r="OF12" i="26"/>
  <c r="OC4" i="26"/>
  <c r="OC17" i="26"/>
  <c r="OC15" i="26"/>
  <c r="OF18" i="26"/>
  <c r="OC6" i="26"/>
  <c r="OC11" i="26"/>
  <c r="OC16" i="26"/>
  <c r="NA7" i="26"/>
  <c r="NA12" i="26"/>
  <c r="ND5" i="26"/>
  <c r="ND18" i="26"/>
  <c r="NA10" i="26"/>
  <c r="NA14" i="26"/>
  <c r="NA4" i="26"/>
  <c r="NA17" i="26"/>
  <c r="NA15" i="26"/>
  <c r="NA6" i="26"/>
  <c r="NA11" i="26"/>
  <c r="NA16" i="26"/>
  <c r="LY18" i="26"/>
  <c r="MB5" i="26"/>
  <c r="LY10" i="26"/>
  <c r="LY14" i="26"/>
  <c r="MB7" i="26"/>
  <c r="MB12" i="26"/>
  <c r="LY4" i="26"/>
  <c r="LY17" i="26"/>
  <c r="LY15" i="26"/>
  <c r="LY6" i="26"/>
  <c r="LY11" i="26"/>
  <c r="LY16" i="26"/>
  <c r="KW5" i="26"/>
  <c r="KW7" i="26"/>
  <c r="KW12" i="26"/>
  <c r="KZ18" i="26"/>
  <c r="KW10" i="26"/>
  <c r="KW14" i="26"/>
  <c r="KW4" i="26"/>
  <c r="KW17" i="26"/>
  <c r="KW15" i="26"/>
  <c r="KW6" i="26"/>
  <c r="KW11" i="26"/>
  <c r="KW16" i="26"/>
  <c r="JU5" i="26"/>
  <c r="JU18" i="26"/>
  <c r="JU7" i="26"/>
  <c r="JU10" i="26"/>
  <c r="JU14" i="26"/>
  <c r="JX12" i="26"/>
  <c r="JU4" i="26"/>
  <c r="JU17" i="26"/>
  <c r="JU15" i="26"/>
  <c r="JU6" i="26"/>
  <c r="JU11" i="26"/>
  <c r="JU16" i="26"/>
  <c r="IS5" i="26"/>
  <c r="IS18" i="26"/>
  <c r="IS12" i="26"/>
  <c r="IS10" i="26"/>
  <c r="IS14" i="26"/>
  <c r="IS7" i="26"/>
  <c r="IS4" i="26"/>
  <c r="IS17" i="26"/>
  <c r="IS15" i="26"/>
  <c r="IS6" i="26"/>
  <c r="IS11" i="26"/>
  <c r="IS16" i="26"/>
  <c r="HT5" i="26"/>
  <c r="HT18" i="26"/>
  <c r="HQ10" i="26"/>
  <c r="HQ14" i="26"/>
  <c r="HT7" i="26"/>
  <c r="HT12" i="26"/>
  <c r="HQ4" i="26"/>
  <c r="HQ15" i="26"/>
  <c r="HQ6" i="26"/>
  <c r="HQ11" i="26"/>
  <c r="HQ16" i="26"/>
  <c r="HT17" i="26"/>
  <c r="GO5" i="26"/>
  <c r="GO18" i="26"/>
  <c r="GO10" i="26"/>
  <c r="GO14" i="26"/>
  <c r="GR7" i="26"/>
  <c r="GR12" i="26"/>
  <c r="GO4" i="26"/>
  <c r="GO15" i="26"/>
  <c r="GO6" i="26"/>
  <c r="GO11" i="26"/>
  <c r="GO16" i="26"/>
  <c r="FM7" i="26"/>
  <c r="FM12" i="26"/>
  <c r="FP5" i="26"/>
  <c r="FP18" i="26"/>
  <c r="FM10" i="26"/>
  <c r="FM14" i="26"/>
  <c r="FM17" i="26"/>
  <c r="FM15" i="26"/>
  <c r="FM6" i="26"/>
  <c r="FM11" i="26"/>
  <c r="FM16" i="26"/>
  <c r="EK5" i="26"/>
  <c r="EK18" i="26"/>
  <c r="EK7" i="26"/>
  <c r="EK12" i="26"/>
  <c r="EK10" i="26"/>
  <c r="EK14" i="26"/>
  <c r="EK15" i="26"/>
  <c r="EK4" i="26"/>
  <c r="EK17" i="26"/>
  <c r="EK6" i="26"/>
  <c r="EK11" i="26"/>
  <c r="EK16" i="26"/>
  <c r="DL5" i="26"/>
  <c r="DL18" i="26"/>
  <c r="DI10" i="26"/>
  <c r="DI14" i="26"/>
  <c r="DL7" i="26"/>
  <c r="DL12" i="26"/>
  <c r="DI4" i="26"/>
  <c r="DI15" i="26"/>
  <c r="DI6" i="26"/>
  <c r="DI11" i="26"/>
  <c r="DI16" i="26"/>
  <c r="DL17" i="26"/>
  <c r="PH37" i="21"/>
  <c r="PH39" i="21"/>
  <c r="PE30" i="21"/>
  <c r="PE28" i="21"/>
  <c r="PZ37" i="21"/>
  <c r="PE37" i="21"/>
  <c r="PH35" i="19"/>
  <c r="PE26" i="19"/>
  <c r="L26" i="19"/>
  <c r="M26" i="19" s="1"/>
  <c r="PH30" i="21"/>
  <c r="L28" i="21"/>
  <c r="M28" i="21" s="1"/>
  <c r="PH28" i="21"/>
  <c r="PZ35" i="19"/>
  <c r="PZ28" i="21"/>
  <c r="PZ39" i="21"/>
  <c r="QC39" i="21"/>
  <c r="I39" i="21"/>
  <c r="QA39" i="21"/>
  <c r="H39" i="21"/>
  <c r="P39" i="21"/>
  <c r="Q39" i="21" s="1"/>
  <c r="QB39" i="21"/>
  <c r="N39" i="21"/>
  <c r="L39" i="21"/>
  <c r="QB37" i="21"/>
  <c r="QA37" i="21"/>
  <c r="I37" i="21"/>
  <c r="H37" i="21"/>
  <c r="P37" i="21"/>
  <c r="Q37" i="21" s="1"/>
  <c r="QC37" i="21"/>
  <c r="N37" i="21"/>
  <c r="L37" i="21"/>
  <c r="PZ30" i="21"/>
  <c r="QB30" i="21"/>
  <c r="QA30" i="21"/>
  <c r="QC30" i="21"/>
  <c r="I30" i="21"/>
  <c r="H30" i="21"/>
  <c r="P30" i="21"/>
  <c r="Q30" i="21" s="1"/>
  <c r="N30" i="21"/>
  <c r="L30" i="21"/>
  <c r="QB28" i="21"/>
  <c r="QA28" i="21"/>
  <c r="I28" i="21"/>
  <c r="H28" i="21"/>
  <c r="P28" i="21"/>
  <c r="Q28" i="21" s="1"/>
  <c r="QC28" i="21"/>
  <c r="N28" i="21"/>
  <c r="QA37" i="19"/>
  <c r="QC37" i="19"/>
  <c r="PZ37" i="19"/>
  <c r="I37" i="19"/>
  <c r="H37" i="19"/>
  <c r="P37" i="19"/>
  <c r="Q37" i="19" s="1"/>
  <c r="QB37" i="19"/>
  <c r="N37" i="19"/>
  <c r="L37" i="19"/>
  <c r="QB35" i="19"/>
  <c r="QA35" i="19"/>
  <c r="I35" i="19"/>
  <c r="H35" i="19"/>
  <c r="P35" i="19"/>
  <c r="Q35" i="19" s="1"/>
  <c r="L35" i="19"/>
  <c r="QC35" i="19"/>
  <c r="N35" i="19"/>
  <c r="PH26" i="19"/>
  <c r="PZ26" i="19"/>
  <c r="QB26" i="19"/>
  <c r="QA26" i="19"/>
  <c r="I26" i="19"/>
  <c r="H26" i="19"/>
  <c r="P26" i="19"/>
  <c r="Q26" i="19" s="1"/>
  <c r="QC26" i="19"/>
  <c r="N26" i="19"/>
  <c r="CD14" i="21"/>
  <c r="CE14" i="21"/>
  <c r="CF14" i="21"/>
  <c r="CG14" i="21"/>
  <c r="PA14" i="21"/>
  <c r="PB14" i="21"/>
  <c r="PC14" i="21"/>
  <c r="PD14" i="21"/>
  <c r="PF14" i="21"/>
  <c r="PG14" i="21"/>
  <c r="CD22" i="21"/>
  <c r="CE22" i="21"/>
  <c r="CF22" i="21"/>
  <c r="CG22" i="21"/>
  <c r="PA22" i="21"/>
  <c r="PB22" i="21"/>
  <c r="PC22" i="21"/>
  <c r="PD22" i="21"/>
  <c r="PF22" i="21"/>
  <c r="PG22" i="21"/>
  <c r="CD21" i="21"/>
  <c r="CE21" i="21"/>
  <c r="CF21" i="21"/>
  <c r="CG21" i="21"/>
  <c r="PA21" i="21"/>
  <c r="PB21" i="21"/>
  <c r="PC21" i="21"/>
  <c r="PD21" i="21"/>
  <c r="PF21" i="21"/>
  <c r="PG21" i="21"/>
  <c r="CD15" i="21"/>
  <c r="CE15" i="21"/>
  <c r="CF15" i="21"/>
  <c r="CG15" i="21"/>
  <c r="PA15" i="21"/>
  <c r="PB15" i="21"/>
  <c r="PC15" i="21"/>
  <c r="PD15" i="21"/>
  <c r="PF15" i="21"/>
  <c r="PG15" i="21"/>
  <c r="CD26" i="21"/>
  <c r="CE26" i="21"/>
  <c r="CF26" i="21"/>
  <c r="CG26" i="21"/>
  <c r="PA26" i="21"/>
  <c r="PB26" i="21"/>
  <c r="PC26" i="21"/>
  <c r="PD26" i="21"/>
  <c r="PF26" i="21"/>
  <c r="PG26" i="21"/>
  <c r="CD9" i="21"/>
  <c r="CE9" i="21"/>
  <c r="CF9" i="21"/>
  <c r="CG9" i="21"/>
  <c r="PA9" i="21"/>
  <c r="PB9" i="21"/>
  <c r="PC9" i="21"/>
  <c r="PD9" i="21"/>
  <c r="PF9" i="21"/>
  <c r="PG9" i="21"/>
  <c r="CD24" i="19"/>
  <c r="CE24" i="19"/>
  <c r="CF24" i="19"/>
  <c r="CG24" i="19"/>
  <c r="PA24" i="19"/>
  <c r="PB24" i="19"/>
  <c r="PC24" i="19"/>
  <c r="PD24" i="19"/>
  <c r="PF24" i="19"/>
  <c r="PG24" i="19"/>
  <c r="PI24" i="19"/>
  <c r="PJ24" i="19"/>
  <c r="PK24" i="19"/>
  <c r="PL24" i="19"/>
  <c r="PM24" i="19"/>
  <c r="PN24" i="19"/>
  <c r="PO24" i="19"/>
  <c r="PP24" i="19"/>
  <c r="PQ24" i="19"/>
  <c r="PR24" i="19"/>
  <c r="PS24" i="19"/>
  <c r="PT24" i="19"/>
  <c r="PU24" i="19"/>
  <c r="PV24" i="19"/>
  <c r="PW24" i="19"/>
  <c r="PX24" i="19"/>
  <c r="CD23" i="19"/>
  <c r="CE23" i="19"/>
  <c r="CF23" i="19"/>
  <c r="CG23" i="19"/>
  <c r="PA23" i="19"/>
  <c r="PB23" i="19"/>
  <c r="PC23" i="19"/>
  <c r="PD23" i="19"/>
  <c r="PF23" i="19"/>
  <c r="PG23" i="19"/>
  <c r="PI23" i="19"/>
  <c r="PJ23" i="19"/>
  <c r="PK23" i="19"/>
  <c r="PL23" i="19"/>
  <c r="PM23" i="19"/>
  <c r="PN23" i="19"/>
  <c r="PO23" i="19"/>
  <c r="PP23" i="19"/>
  <c r="PQ23" i="19"/>
  <c r="PR23" i="19"/>
  <c r="PS23" i="19"/>
  <c r="PT23" i="19"/>
  <c r="PU23" i="19"/>
  <c r="PV23" i="19"/>
  <c r="PW23" i="19"/>
  <c r="PX23" i="19"/>
  <c r="CD16" i="19"/>
  <c r="CE16" i="19"/>
  <c r="CF16" i="19"/>
  <c r="CG16" i="19"/>
  <c r="PA16" i="19"/>
  <c r="PB16" i="19"/>
  <c r="PC16" i="19"/>
  <c r="PD16" i="19"/>
  <c r="PF16" i="19"/>
  <c r="PG16" i="19"/>
  <c r="PI16" i="19"/>
  <c r="PJ16" i="19"/>
  <c r="PK16" i="19"/>
  <c r="PL16" i="19"/>
  <c r="PM16" i="19"/>
  <c r="PN16" i="19"/>
  <c r="PO16" i="19"/>
  <c r="PP16" i="19"/>
  <c r="PQ16" i="19"/>
  <c r="PR16" i="19"/>
  <c r="PS16" i="19"/>
  <c r="PT16" i="19"/>
  <c r="PU16" i="19"/>
  <c r="PV16" i="19"/>
  <c r="PW16" i="19"/>
  <c r="PX16" i="19"/>
  <c r="CD29" i="19"/>
  <c r="CE29" i="19"/>
  <c r="CF29" i="19"/>
  <c r="CG29" i="19"/>
  <c r="PA29" i="19"/>
  <c r="PB29" i="19"/>
  <c r="PC29" i="19"/>
  <c r="PD29" i="19"/>
  <c r="PF29" i="19"/>
  <c r="PG29" i="19"/>
  <c r="PI29" i="19"/>
  <c r="PJ29" i="19"/>
  <c r="PK29" i="19"/>
  <c r="PL29" i="19"/>
  <c r="PM29" i="19"/>
  <c r="PN29" i="19"/>
  <c r="PO29" i="19"/>
  <c r="PP29" i="19"/>
  <c r="PQ29" i="19"/>
  <c r="PR29" i="19"/>
  <c r="PS29" i="19"/>
  <c r="PT29" i="19"/>
  <c r="PU29" i="19"/>
  <c r="PV29" i="19"/>
  <c r="PW29" i="19"/>
  <c r="PX29" i="19"/>
  <c r="CD12" i="27"/>
  <c r="CE12" i="27"/>
  <c r="CF12" i="27"/>
  <c r="CG12" i="27"/>
  <c r="PA12" i="27"/>
  <c r="PB12" i="27"/>
  <c r="PC12" i="27"/>
  <c r="PD12" i="27"/>
  <c r="PF12" i="27"/>
  <c r="PG12" i="27"/>
  <c r="PI12" i="27"/>
  <c r="PJ12" i="27"/>
  <c r="PK12" i="27"/>
  <c r="PL12" i="27"/>
  <c r="PM12" i="27"/>
  <c r="PN12" i="27"/>
  <c r="PO12" i="27"/>
  <c r="PP12" i="27"/>
  <c r="PQ12" i="27"/>
  <c r="PR12" i="27"/>
  <c r="PS12" i="27"/>
  <c r="PT12" i="27"/>
  <c r="PU12" i="27"/>
  <c r="PV12" i="27"/>
  <c r="PW12" i="27"/>
  <c r="PX12" i="27"/>
  <c r="CD16" i="26"/>
  <c r="CE16" i="26"/>
  <c r="CF16" i="26"/>
  <c r="CG16" i="26"/>
  <c r="PA16" i="26"/>
  <c r="PB16" i="26"/>
  <c r="PC16" i="26"/>
  <c r="PD16" i="26"/>
  <c r="PF16" i="26"/>
  <c r="PG16" i="26"/>
  <c r="PI16" i="26"/>
  <c r="PJ16" i="26"/>
  <c r="PK16" i="26"/>
  <c r="PL16" i="26"/>
  <c r="PM16" i="26"/>
  <c r="PN16" i="26"/>
  <c r="PO16" i="26"/>
  <c r="PP16" i="26"/>
  <c r="PQ16" i="26"/>
  <c r="PR16" i="26"/>
  <c r="PS16" i="26"/>
  <c r="PT16" i="26"/>
  <c r="PU16" i="26"/>
  <c r="PV16" i="26"/>
  <c r="PW16" i="26"/>
  <c r="PX16" i="26"/>
  <c r="K11" i="21" l="1"/>
  <c r="K8" i="21"/>
  <c r="K32" i="21"/>
  <c r="K30" i="21"/>
  <c r="K23" i="21"/>
  <c r="K17" i="21"/>
  <c r="K29" i="21"/>
  <c r="K19" i="21"/>
  <c r="K4" i="21"/>
  <c r="K28" i="21"/>
  <c r="K24" i="21"/>
  <c r="K39" i="21"/>
  <c r="K37" i="21"/>
  <c r="QD31" i="19"/>
  <c r="QD20" i="19"/>
  <c r="QD13" i="27"/>
  <c r="TR24" i="4"/>
  <c r="TV24" i="4" s="1"/>
  <c r="TR20" i="4"/>
  <c r="QD32" i="21"/>
  <c r="QD23" i="21"/>
  <c r="QD24" i="21"/>
  <c r="QD15" i="27"/>
  <c r="K13" i="27"/>
  <c r="TR13" i="22"/>
  <c r="TV13" i="22" s="1"/>
  <c r="TR11" i="22"/>
  <c r="TV11" i="22" s="1"/>
  <c r="TR7" i="22"/>
  <c r="TV7" i="22" s="1"/>
  <c r="TV20" i="4"/>
  <c r="QD29" i="21"/>
  <c r="CJ24" i="21"/>
  <c r="CJ32" i="21"/>
  <c r="R32" i="21" s="1"/>
  <c r="S32" i="21" s="1"/>
  <c r="QD19" i="21"/>
  <c r="QD8" i="21"/>
  <c r="CJ29" i="21"/>
  <c r="CI29" i="21"/>
  <c r="O29" i="21"/>
  <c r="CI24" i="21"/>
  <c r="O24" i="21"/>
  <c r="CJ23" i="21"/>
  <c r="QD17" i="21"/>
  <c r="CI23" i="21"/>
  <c r="R23" i="21" s="1"/>
  <c r="S23" i="21" s="1"/>
  <c r="O23" i="21"/>
  <c r="CJ19" i="21"/>
  <c r="CI19" i="21"/>
  <c r="O19" i="21"/>
  <c r="QD4" i="21"/>
  <c r="QD11" i="21"/>
  <c r="CJ17" i="21"/>
  <c r="CI17" i="21"/>
  <c r="O17" i="21"/>
  <c r="M17" i="21"/>
  <c r="CJ11" i="21"/>
  <c r="QD39" i="21"/>
  <c r="CI11" i="21"/>
  <c r="O11" i="21"/>
  <c r="CJ8" i="21"/>
  <c r="CI8" i="21"/>
  <c r="O8" i="21"/>
  <c r="M8" i="21"/>
  <c r="CJ4" i="21"/>
  <c r="CI4" i="21"/>
  <c r="O4" i="21"/>
  <c r="CJ31" i="19"/>
  <c r="QD21" i="19"/>
  <c r="CJ21" i="19"/>
  <c r="CI31" i="19"/>
  <c r="O31" i="19"/>
  <c r="QD17" i="19"/>
  <c r="CI21" i="19"/>
  <c r="R21" i="19" s="1"/>
  <c r="O21" i="19"/>
  <c r="O20" i="19"/>
  <c r="CJ20" i="19"/>
  <c r="R20" i="19" s="1"/>
  <c r="S20" i="19" s="1"/>
  <c r="QD14" i="19"/>
  <c r="CJ17" i="19"/>
  <c r="CI17" i="19"/>
  <c r="O17" i="19"/>
  <c r="QD12" i="19"/>
  <c r="CJ14" i="19"/>
  <c r="CJ12" i="19"/>
  <c r="CI14" i="19"/>
  <c r="O14" i="19"/>
  <c r="CI12" i="19"/>
  <c r="O12" i="19"/>
  <c r="M12" i="19"/>
  <c r="CJ10" i="27"/>
  <c r="CJ15" i="27"/>
  <c r="J15" i="27"/>
  <c r="A15" i="27" s="1" a="1"/>
  <c r="A15" i="27" s="1"/>
  <c r="CI15" i="27"/>
  <c r="O15" i="27"/>
  <c r="CJ13" i="27"/>
  <c r="K10" i="27"/>
  <c r="J10" i="27" s="1"/>
  <c r="A10" i="27" s="1" a="1"/>
  <c r="A10" i="27" s="1"/>
  <c r="J13" i="27"/>
  <c r="B13" i="27" s="1" a="1"/>
  <c r="B13" i="27" s="1"/>
  <c r="CI13" i="27"/>
  <c r="O13" i="27"/>
  <c r="CI10" i="27"/>
  <c r="O10" i="27"/>
  <c r="TR12" i="22"/>
  <c r="TV12" i="22" s="1"/>
  <c r="DB13" i="22"/>
  <c r="J11" i="22"/>
  <c r="M11" i="22"/>
  <c r="Q11" i="22"/>
  <c r="DC11" i="22"/>
  <c r="DB11" i="22"/>
  <c r="TR9" i="22"/>
  <c r="TV9" i="22" s="1"/>
  <c r="O13" i="22"/>
  <c r="DC13" i="22"/>
  <c r="J13" i="22"/>
  <c r="A13" i="22" s="1" a="1"/>
  <c r="A13" i="22" s="1"/>
  <c r="M13" i="22"/>
  <c r="J12" i="22"/>
  <c r="M12" i="22"/>
  <c r="O12" i="22"/>
  <c r="DB12" i="22"/>
  <c r="Q12" i="22"/>
  <c r="DC12" i="22"/>
  <c r="J7" i="22"/>
  <c r="M7" i="22"/>
  <c r="Q7" i="22"/>
  <c r="DC7" i="22"/>
  <c r="DB7" i="22"/>
  <c r="TR10" i="22"/>
  <c r="TV10" i="22" s="1"/>
  <c r="J10" i="22"/>
  <c r="O10" i="22"/>
  <c r="DB10" i="22"/>
  <c r="Q10" i="22"/>
  <c r="DC10" i="22"/>
  <c r="DB9" i="22"/>
  <c r="DC9" i="22"/>
  <c r="M9" i="22"/>
  <c r="J9" i="22"/>
  <c r="Q20" i="4"/>
  <c r="J25" i="4"/>
  <c r="B25" i="4" s="1" a="1"/>
  <c r="B25" i="4" s="1"/>
  <c r="TV25" i="4"/>
  <c r="Q25" i="4"/>
  <c r="DC25" i="4"/>
  <c r="M25" i="4"/>
  <c r="DB25" i="4"/>
  <c r="DC21" i="4"/>
  <c r="J20" i="4"/>
  <c r="A20" i="4" s="1" a="1"/>
  <c r="A20" i="4" s="1"/>
  <c r="M20" i="4"/>
  <c r="O20" i="4"/>
  <c r="DB20" i="4"/>
  <c r="V20" i="4" s="1"/>
  <c r="TR21" i="4"/>
  <c r="TV21" i="4" s="1"/>
  <c r="J24" i="4"/>
  <c r="A24" i="4" s="1" a="1"/>
  <c r="A24" i="4" s="1"/>
  <c r="M24" i="4"/>
  <c r="Q24" i="4"/>
  <c r="DC24" i="4"/>
  <c r="DB24" i="4"/>
  <c r="TR14" i="4"/>
  <c r="TV14" i="4" s="1"/>
  <c r="M21" i="4"/>
  <c r="O21" i="4"/>
  <c r="DB21" i="4"/>
  <c r="J21" i="4"/>
  <c r="Q14" i="4"/>
  <c r="DC14" i="4"/>
  <c r="J14" i="4"/>
  <c r="M14" i="4"/>
  <c r="DB14" i="4"/>
  <c r="QD37" i="21"/>
  <c r="QD30" i="21"/>
  <c r="QD26" i="19"/>
  <c r="QD28" i="21"/>
  <c r="CH15" i="21"/>
  <c r="CH14" i="21"/>
  <c r="CH9" i="21"/>
  <c r="CH22" i="21"/>
  <c r="CH26" i="21"/>
  <c r="CH21" i="21"/>
  <c r="QD37" i="19"/>
  <c r="QD35" i="19"/>
  <c r="CH29" i="19"/>
  <c r="CH16" i="19"/>
  <c r="CH23" i="19"/>
  <c r="CH24" i="19"/>
  <c r="CH12" i="27"/>
  <c r="CH16" i="26"/>
  <c r="CJ37" i="21"/>
  <c r="CJ30" i="21"/>
  <c r="CJ39" i="21"/>
  <c r="M39" i="21"/>
  <c r="CI39" i="21"/>
  <c r="O39" i="21"/>
  <c r="M37" i="21"/>
  <c r="CI37" i="21"/>
  <c r="O37" i="21"/>
  <c r="M30" i="21"/>
  <c r="CI30" i="21"/>
  <c r="O30" i="21"/>
  <c r="CJ28" i="21"/>
  <c r="CI28" i="21"/>
  <c r="O28" i="21"/>
  <c r="CJ37" i="19"/>
  <c r="M37" i="19"/>
  <c r="CI37" i="19"/>
  <c r="O37" i="19"/>
  <c r="CJ35" i="19"/>
  <c r="CI35" i="19"/>
  <c r="O35" i="19"/>
  <c r="M35" i="19"/>
  <c r="CJ26" i="19"/>
  <c r="CI26" i="19"/>
  <c r="O26" i="19"/>
  <c r="PE24" i="19"/>
  <c r="PE23" i="19"/>
  <c r="PE12" i="27"/>
  <c r="K12" i="27" s="1"/>
  <c r="PE26" i="21"/>
  <c r="K26" i="21" s="1"/>
  <c r="PE29" i="19"/>
  <c r="PE16" i="19"/>
  <c r="PE16" i="26"/>
  <c r="K16" i="26" s="1"/>
  <c r="PE15" i="21"/>
  <c r="K15" i="21" s="1"/>
  <c r="PE14" i="21"/>
  <c r="K14" i="21" s="1"/>
  <c r="L26" i="21"/>
  <c r="M26" i="21" s="1"/>
  <c r="PH15" i="21"/>
  <c r="PE21" i="21"/>
  <c r="K21" i="21" s="1"/>
  <c r="PZ9" i="21"/>
  <c r="QB9" i="21"/>
  <c r="PZ14" i="21"/>
  <c r="QB15" i="21"/>
  <c r="PH21" i="21"/>
  <c r="QA14" i="21"/>
  <c r="PZ22" i="21"/>
  <c r="QB26" i="21"/>
  <c r="QC26" i="21"/>
  <c r="P26" i="21"/>
  <c r="Q26" i="21" s="1"/>
  <c r="PE9" i="21"/>
  <c r="K9" i="21" s="1"/>
  <c r="PH26" i="21"/>
  <c r="I15" i="21"/>
  <c r="PE22" i="21"/>
  <c r="K22" i="21" s="1"/>
  <c r="PH14" i="21"/>
  <c r="L21" i="21"/>
  <c r="M21" i="21" s="1"/>
  <c r="P22" i="21"/>
  <c r="CJ22" i="21" s="1"/>
  <c r="P15" i="21"/>
  <c r="Q15" i="21" s="1"/>
  <c r="QA22" i="21"/>
  <c r="P21" i="21"/>
  <c r="Q21" i="21" s="1"/>
  <c r="QB21" i="21"/>
  <c r="PZ12" i="27"/>
  <c r="PZ16" i="26"/>
  <c r="PZ26" i="21"/>
  <c r="H22" i="21"/>
  <c r="P9" i="21"/>
  <c r="Q9" i="21" s="1"/>
  <c r="H15" i="21"/>
  <c r="QA9" i="21"/>
  <c r="I14" i="21"/>
  <c r="QA15" i="21"/>
  <c r="QA21" i="21"/>
  <c r="PZ21" i="21"/>
  <c r="I26" i="21"/>
  <c r="H14" i="21"/>
  <c r="N22" i="21"/>
  <c r="P14" i="21"/>
  <c r="Q14" i="21" s="1"/>
  <c r="PZ15" i="21"/>
  <c r="L9" i="21"/>
  <c r="M9" i="21" s="1"/>
  <c r="QC21" i="21"/>
  <c r="QA26" i="21"/>
  <c r="H26" i="21"/>
  <c r="H9" i="21"/>
  <c r="QC15" i="21"/>
  <c r="N9" i="21"/>
  <c r="H21" i="21"/>
  <c r="QB22" i="21"/>
  <c r="QB14" i="21"/>
  <c r="N14" i="21"/>
  <c r="I21" i="21"/>
  <c r="L22" i="21"/>
  <c r="I22" i="21"/>
  <c r="L14" i="21"/>
  <c r="N26" i="21"/>
  <c r="I9" i="21"/>
  <c r="PH22" i="21"/>
  <c r="L15" i="21"/>
  <c r="QC22" i="21"/>
  <c r="PH9" i="21"/>
  <c r="N21" i="21"/>
  <c r="N15" i="21"/>
  <c r="QC9" i="21"/>
  <c r="QC14" i="21"/>
  <c r="PZ24" i="19"/>
  <c r="PH24" i="19"/>
  <c r="P24" i="19"/>
  <c r="Q24" i="19" s="1"/>
  <c r="QA24" i="19"/>
  <c r="QB24" i="19"/>
  <c r="I24" i="19"/>
  <c r="H24" i="19"/>
  <c r="N24" i="19"/>
  <c r="L24" i="19"/>
  <c r="QC24" i="19"/>
  <c r="QA23" i="19"/>
  <c r="PZ29" i="19"/>
  <c r="PZ23" i="19"/>
  <c r="PH23" i="19"/>
  <c r="P23" i="19"/>
  <c r="Q23" i="19" s="1"/>
  <c r="L23" i="19"/>
  <c r="M23" i="19" s="1"/>
  <c r="QB23" i="19"/>
  <c r="I23" i="19"/>
  <c r="H23" i="19"/>
  <c r="N23" i="19"/>
  <c r="QC23" i="19"/>
  <c r="QA29" i="19"/>
  <c r="QA16" i="19"/>
  <c r="PZ16" i="19"/>
  <c r="PH16" i="19"/>
  <c r="P16" i="19"/>
  <c r="Q16" i="19" s="1"/>
  <c r="H16" i="19"/>
  <c r="QB16" i="19"/>
  <c r="I16" i="19"/>
  <c r="N16" i="19"/>
  <c r="L16" i="19"/>
  <c r="QC16" i="19"/>
  <c r="PH29" i="19"/>
  <c r="P29" i="19"/>
  <c r="Q29" i="19" s="1"/>
  <c r="QB29" i="19"/>
  <c r="H29" i="19"/>
  <c r="I29" i="19"/>
  <c r="N29" i="19"/>
  <c r="L29" i="19"/>
  <c r="QC29" i="19"/>
  <c r="QA12" i="27"/>
  <c r="PH12" i="27"/>
  <c r="P12" i="27"/>
  <c r="Q12" i="27" s="1"/>
  <c r="QB12" i="27"/>
  <c r="H12" i="27"/>
  <c r="I12" i="27"/>
  <c r="N12" i="27"/>
  <c r="L12" i="27"/>
  <c r="QC12" i="27"/>
  <c r="QA16" i="26"/>
  <c r="PH16" i="26"/>
  <c r="P16" i="26"/>
  <c r="CJ16" i="26" s="1"/>
  <c r="N16" i="26"/>
  <c r="CI16" i="26" s="1"/>
  <c r="QB16" i="26"/>
  <c r="H16" i="26"/>
  <c r="I16" i="26"/>
  <c r="L16" i="26"/>
  <c r="M16" i="26" s="1"/>
  <c r="QC16" i="26"/>
  <c r="CD31" i="21"/>
  <c r="CE31" i="21"/>
  <c r="CF31" i="21"/>
  <c r="CG31" i="21"/>
  <c r="PA31" i="21"/>
  <c r="PB31" i="21"/>
  <c r="PC31" i="21"/>
  <c r="PD31" i="21"/>
  <c r="PF31" i="21"/>
  <c r="PG31" i="21"/>
  <c r="CD12" i="21"/>
  <c r="CE12" i="21"/>
  <c r="CF12" i="21"/>
  <c r="CG12" i="21"/>
  <c r="PA12" i="21"/>
  <c r="PB12" i="21"/>
  <c r="PC12" i="21"/>
  <c r="PD12" i="21"/>
  <c r="PF12" i="21"/>
  <c r="PG12" i="21"/>
  <c r="CD6" i="21"/>
  <c r="CE6" i="21"/>
  <c r="CF6" i="21"/>
  <c r="CG6" i="21"/>
  <c r="PA6" i="21"/>
  <c r="PB6" i="21"/>
  <c r="PC6" i="21"/>
  <c r="PD6" i="21"/>
  <c r="PF6" i="21"/>
  <c r="PG6" i="21"/>
  <c r="CD36" i="19"/>
  <c r="CE36" i="19"/>
  <c r="CF36" i="19"/>
  <c r="CG36" i="19"/>
  <c r="PA36" i="19"/>
  <c r="PB36" i="19"/>
  <c r="PC36" i="19"/>
  <c r="PD36" i="19"/>
  <c r="PF36" i="19"/>
  <c r="PG36" i="19"/>
  <c r="PI36" i="19"/>
  <c r="PJ36" i="19"/>
  <c r="PK36" i="19"/>
  <c r="PL36" i="19"/>
  <c r="PM36" i="19"/>
  <c r="PN36" i="19"/>
  <c r="PO36" i="19"/>
  <c r="PP36" i="19"/>
  <c r="PQ36" i="19"/>
  <c r="PR36" i="19"/>
  <c r="PS36" i="19"/>
  <c r="PT36" i="19"/>
  <c r="PU36" i="19"/>
  <c r="PV36" i="19"/>
  <c r="PW36" i="19"/>
  <c r="PX36" i="19"/>
  <c r="CD10" i="19"/>
  <c r="CE10" i="19"/>
  <c r="CF10" i="19"/>
  <c r="CG10" i="19"/>
  <c r="PA10" i="19"/>
  <c r="PB10" i="19"/>
  <c r="PC10" i="19"/>
  <c r="PD10" i="19"/>
  <c r="PF10" i="19"/>
  <c r="PG10" i="19"/>
  <c r="PI10" i="19"/>
  <c r="PJ10" i="19"/>
  <c r="PK10" i="19"/>
  <c r="PL10" i="19"/>
  <c r="PM10" i="19"/>
  <c r="PN10" i="19"/>
  <c r="PO10" i="19"/>
  <c r="PP10" i="19"/>
  <c r="PQ10" i="19"/>
  <c r="PR10" i="19"/>
  <c r="PS10" i="19"/>
  <c r="PT10" i="19"/>
  <c r="PU10" i="19"/>
  <c r="PV10" i="19"/>
  <c r="PW10" i="19"/>
  <c r="PX10" i="19"/>
  <c r="CD18" i="19"/>
  <c r="CE18" i="19"/>
  <c r="CF18" i="19"/>
  <c r="CG18" i="19"/>
  <c r="PA18" i="19"/>
  <c r="PB18" i="19"/>
  <c r="PC18" i="19"/>
  <c r="PD18" i="19"/>
  <c r="PF18" i="19"/>
  <c r="PG18" i="19"/>
  <c r="PI18" i="19"/>
  <c r="PJ18" i="19"/>
  <c r="PK18" i="19"/>
  <c r="PL18" i="19"/>
  <c r="PM18" i="19"/>
  <c r="PN18" i="19"/>
  <c r="PO18" i="19"/>
  <c r="PP18" i="19"/>
  <c r="PQ18" i="19"/>
  <c r="PR18" i="19"/>
  <c r="PS18" i="19"/>
  <c r="PT18" i="19"/>
  <c r="PU18" i="19"/>
  <c r="PV18" i="19"/>
  <c r="PW18" i="19"/>
  <c r="PX18" i="19"/>
  <c r="CD9" i="19"/>
  <c r="CE9" i="19"/>
  <c r="CF9" i="19"/>
  <c r="CG9" i="19"/>
  <c r="PA9" i="19"/>
  <c r="PB9" i="19"/>
  <c r="PC9" i="19"/>
  <c r="PD9" i="19"/>
  <c r="PF9" i="19"/>
  <c r="PG9" i="19"/>
  <c r="PI9" i="19"/>
  <c r="PJ9" i="19"/>
  <c r="PK9" i="19"/>
  <c r="PL9" i="19"/>
  <c r="PM9" i="19"/>
  <c r="PN9" i="19"/>
  <c r="PO9" i="19"/>
  <c r="PP9" i="19"/>
  <c r="PQ9" i="19"/>
  <c r="PR9" i="19"/>
  <c r="PS9" i="19"/>
  <c r="PT9" i="19"/>
  <c r="PU9" i="19"/>
  <c r="PV9" i="19"/>
  <c r="PW9" i="19"/>
  <c r="PX9" i="19"/>
  <c r="CD4" i="19"/>
  <c r="CE4" i="19"/>
  <c r="CF4" i="19"/>
  <c r="CG4" i="19"/>
  <c r="PA4" i="19"/>
  <c r="PB4" i="19"/>
  <c r="PC4" i="19"/>
  <c r="PD4" i="19"/>
  <c r="PF4" i="19"/>
  <c r="PG4" i="19"/>
  <c r="PI4" i="19"/>
  <c r="PJ4" i="19"/>
  <c r="PK4" i="19"/>
  <c r="PL4" i="19"/>
  <c r="PM4" i="19"/>
  <c r="PN4" i="19"/>
  <c r="PO4" i="19"/>
  <c r="PP4" i="19"/>
  <c r="PQ4" i="19"/>
  <c r="PR4" i="19"/>
  <c r="PS4" i="19"/>
  <c r="PT4" i="19"/>
  <c r="PU4" i="19"/>
  <c r="PV4" i="19"/>
  <c r="PW4" i="19"/>
  <c r="PX4" i="19"/>
  <c r="CD17" i="27"/>
  <c r="CE17" i="27"/>
  <c r="CF17" i="27"/>
  <c r="CG17" i="27"/>
  <c r="PA17" i="27"/>
  <c r="PB17" i="27"/>
  <c r="PC17" i="27"/>
  <c r="PD17" i="27"/>
  <c r="PF17" i="27"/>
  <c r="PG17" i="27"/>
  <c r="PI17" i="27"/>
  <c r="PJ17" i="27"/>
  <c r="PK17" i="27"/>
  <c r="PL17" i="27"/>
  <c r="PM17" i="27"/>
  <c r="PN17" i="27"/>
  <c r="PO17" i="27"/>
  <c r="PP17" i="27"/>
  <c r="PQ17" i="27"/>
  <c r="PR17" i="27"/>
  <c r="PS17" i="27"/>
  <c r="PT17" i="27"/>
  <c r="PU17" i="27"/>
  <c r="PV17" i="27"/>
  <c r="PW17" i="27"/>
  <c r="PX17" i="27"/>
  <c r="CD5" i="27"/>
  <c r="CE5" i="27"/>
  <c r="CF5" i="27"/>
  <c r="CG5" i="27"/>
  <c r="PA5" i="27"/>
  <c r="PB5" i="27"/>
  <c r="PC5" i="27"/>
  <c r="PD5" i="27"/>
  <c r="PF5" i="27"/>
  <c r="PG5" i="27"/>
  <c r="PI5" i="27"/>
  <c r="PJ5" i="27"/>
  <c r="PK5" i="27"/>
  <c r="PL5" i="27"/>
  <c r="PM5" i="27"/>
  <c r="PN5" i="27"/>
  <c r="PO5" i="27"/>
  <c r="PP5" i="27"/>
  <c r="PQ5" i="27"/>
  <c r="PR5" i="27"/>
  <c r="PS5" i="27"/>
  <c r="PT5" i="27"/>
  <c r="PU5" i="27"/>
  <c r="PV5" i="27"/>
  <c r="PW5" i="27"/>
  <c r="PX5" i="27"/>
  <c r="CD10" i="26"/>
  <c r="CE10" i="26"/>
  <c r="CF10" i="26"/>
  <c r="CG10" i="26"/>
  <c r="PA10" i="26"/>
  <c r="PB10" i="26"/>
  <c r="PC10" i="26"/>
  <c r="PD10" i="26"/>
  <c r="PF10" i="26"/>
  <c r="PG10" i="26"/>
  <c r="PI10" i="26"/>
  <c r="PJ10" i="26"/>
  <c r="PK10" i="26"/>
  <c r="PL10" i="26"/>
  <c r="PM10" i="26"/>
  <c r="PN10" i="26"/>
  <c r="PO10" i="26"/>
  <c r="PP10" i="26"/>
  <c r="PQ10" i="26"/>
  <c r="PR10" i="26"/>
  <c r="PS10" i="26"/>
  <c r="PT10" i="26"/>
  <c r="PU10" i="26"/>
  <c r="PV10" i="26"/>
  <c r="PW10" i="26"/>
  <c r="PX10" i="26"/>
  <c r="CD17" i="26"/>
  <c r="CE17" i="26"/>
  <c r="CF17" i="26"/>
  <c r="CG17" i="26"/>
  <c r="PA17" i="26"/>
  <c r="PB17" i="26"/>
  <c r="PC17" i="26"/>
  <c r="PD17" i="26"/>
  <c r="PF17" i="26"/>
  <c r="PG17" i="26"/>
  <c r="PI17" i="26"/>
  <c r="PJ17" i="26"/>
  <c r="PK17" i="26"/>
  <c r="PL17" i="26"/>
  <c r="PM17" i="26"/>
  <c r="PN17" i="26"/>
  <c r="PO17" i="26"/>
  <c r="PP17" i="26"/>
  <c r="PQ17" i="26"/>
  <c r="PR17" i="26"/>
  <c r="PS17" i="26"/>
  <c r="PT17" i="26"/>
  <c r="PU17" i="26"/>
  <c r="PV17" i="26"/>
  <c r="PW17" i="26"/>
  <c r="PX17" i="26"/>
  <c r="CD8" i="26"/>
  <c r="CE8" i="26"/>
  <c r="CF8" i="26"/>
  <c r="CG8" i="26"/>
  <c r="PA8" i="26"/>
  <c r="PB8" i="26"/>
  <c r="PC8" i="26"/>
  <c r="PD8" i="26"/>
  <c r="PF8" i="26"/>
  <c r="PG8" i="26"/>
  <c r="PI8" i="26"/>
  <c r="PJ8" i="26"/>
  <c r="PK8" i="26"/>
  <c r="PL8" i="26"/>
  <c r="PM8" i="26"/>
  <c r="PN8" i="26"/>
  <c r="PO8" i="26"/>
  <c r="PP8" i="26"/>
  <c r="PQ8" i="26"/>
  <c r="PR8" i="26"/>
  <c r="PS8" i="26"/>
  <c r="PT8" i="26"/>
  <c r="PU8" i="26"/>
  <c r="PV8" i="26"/>
  <c r="PW8" i="26"/>
  <c r="PX8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R15" i="27" l="1"/>
  <c r="R24" i="21"/>
  <c r="S24" i="21" s="1"/>
  <c r="R31" i="19"/>
  <c r="R10" i="27"/>
  <c r="R13" i="27"/>
  <c r="T13" i="27" s="1"/>
  <c r="V13" i="22"/>
  <c r="F13" i="22" s="1"/>
  <c r="V25" i="4"/>
  <c r="W25" i="4" s="1"/>
  <c r="R11" i="21"/>
  <c r="S11" i="21" s="1"/>
  <c r="F32" i="21"/>
  <c r="T32" i="21"/>
  <c r="R19" i="21"/>
  <c r="S19" i="21" s="1"/>
  <c r="R29" i="21"/>
  <c r="F29" i="21" s="1"/>
  <c r="T24" i="21"/>
  <c r="F24" i="21"/>
  <c r="R17" i="21"/>
  <c r="F17" i="21" s="1"/>
  <c r="T23" i="21"/>
  <c r="F23" i="21"/>
  <c r="R4" i="21"/>
  <c r="S4" i="21" s="1"/>
  <c r="R8" i="21"/>
  <c r="F8" i="21" s="1"/>
  <c r="F20" i="19"/>
  <c r="R17" i="19"/>
  <c r="F17" i="19" s="1"/>
  <c r="R14" i="19"/>
  <c r="F14" i="19" s="1"/>
  <c r="S31" i="19"/>
  <c r="T31" i="19"/>
  <c r="F31" i="19"/>
  <c r="T20" i="19"/>
  <c r="S21" i="19"/>
  <c r="T21" i="19"/>
  <c r="F21" i="19"/>
  <c r="R12" i="19"/>
  <c r="F12" i="19" s="1"/>
  <c r="B15" i="27" a="1"/>
  <c r="B15" i="27" s="1"/>
  <c r="S15" i="27"/>
  <c r="T15" i="27"/>
  <c r="F15" i="27"/>
  <c r="A13" i="27" a="1"/>
  <c r="A13" i="27" s="1"/>
  <c r="B10" i="27" a="1"/>
  <c r="B10" i="27" s="1"/>
  <c r="T10" i="27"/>
  <c r="S10" i="27"/>
  <c r="F10" i="27"/>
  <c r="V11" i="22"/>
  <c r="F11" i="22" s="1"/>
  <c r="A11" i="22" a="1"/>
  <c r="A11" i="22" s="1"/>
  <c r="B11" i="22" a="1"/>
  <c r="B11" i="22" s="1"/>
  <c r="B13" i="22" a="1"/>
  <c r="B13" i="22" s="1"/>
  <c r="V9" i="22"/>
  <c r="W9" i="22" s="1"/>
  <c r="V12" i="22"/>
  <c r="A12" i="22" a="1"/>
  <c r="A12" i="22" s="1"/>
  <c r="B12" i="22" a="1"/>
  <c r="B12" i="22" s="1"/>
  <c r="V7" i="22"/>
  <c r="F7" i="22" s="1"/>
  <c r="V10" i="22"/>
  <c r="F10" i="22" s="1"/>
  <c r="A10" i="22" a="1"/>
  <c r="A10" i="22" s="1"/>
  <c r="B10" i="22" a="1"/>
  <c r="B10" i="22" s="1"/>
  <c r="A9" i="22" a="1"/>
  <c r="A9" i="22" s="1"/>
  <c r="B9" i="22" a="1"/>
  <c r="B9" i="22" s="1"/>
  <c r="V21" i="4"/>
  <c r="F21" i="4" s="1"/>
  <c r="A25" i="4" a="1"/>
  <c r="A25" i="4" s="1"/>
  <c r="B20" i="4" a="1"/>
  <c r="B20" i="4" s="1"/>
  <c r="F20" i="4"/>
  <c r="W20" i="4"/>
  <c r="X20" i="4"/>
  <c r="V14" i="4"/>
  <c r="W14" i="4" s="1"/>
  <c r="V24" i="4"/>
  <c r="F24" i="4" s="1"/>
  <c r="B24" i="4" a="1"/>
  <c r="B24" i="4" s="1"/>
  <c r="A21" i="4" a="1"/>
  <c r="A21" i="4" s="1"/>
  <c r="B21" i="4" a="1"/>
  <c r="B21" i="4" s="1"/>
  <c r="A14" i="4" a="1"/>
  <c r="A14" i="4" s="1"/>
  <c r="B14" i="4" a="1"/>
  <c r="B14" i="4" s="1"/>
  <c r="QD15" i="21"/>
  <c r="QD23" i="19"/>
  <c r="QD9" i="21"/>
  <c r="QD26" i="21"/>
  <c r="QD16" i="19"/>
  <c r="QD12" i="27"/>
  <c r="J12" i="27"/>
  <c r="QD16" i="26"/>
  <c r="QD14" i="21"/>
  <c r="QD21" i="21"/>
  <c r="QD22" i="21"/>
  <c r="CH6" i="21"/>
  <c r="CH31" i="21"/>
  <c r="CH12" i="21"/>
  <c r="QD29" i="19"/>
  <c r="QD24" i="19"/>
  <c r="CH18" i="19"/>
  <c r="CH36" i="19"/>
  <c r="CH10" i="19"/>
  <c r="CH4" i="19"/>
  <c r="CH9" i="19"/>
  <c r="CH5" i="27"/>
  <c r="CH17" i="27"/>
  <c r="CH8" i="26"/>
  <c r="CH10" i="26"/>
  <c r="CH17" i="26"/>
  <c r="J16" i="26"/>
  <c r="R28" i="21"/>
  <c r="S28" i="21" s="1"/>
  <c r="O22" i="21"/>
  <c r="R30" i="21"/>
  <c r="T30" i="21" s="1"/>
  <c r="R37" i="21"/>
  <c r="S37" i="21" s="1"/>
  <c r="R39" i="21"/>
  <c r="F39" i="21" s="1"/>
  <c r="R37" i="19"/>
  <c r="S37" i="19" s="1"/>
  <c r="R26" i="19"/>
  <c r="F26" i="19" s="1"/>
  <c r="R35" i="19"/>
  <c r="T35" i="19" s="1"/>
  <c r="Q22" i="21"/>
  <c r="CJ15" i="21"/>
  <c r="PE8" i="26"/>
  <c r="K8" i="26" s="1"/>
  <c r="PE17" i="26"/>
  <c r="K17" i="26" s="1"/>
  <c r="CI22" i="21"/>
  <c r="R22" i="21" s="1"/>
  <c r="PE31" i="21"/>
  <c r="K31" i="21" s="1"/>
  <c r="CJ9" i="21"/>
  <c r="CJ26" i="21"/>
  <c r="CJ21" i="21"/>
  <c r="CJ29" i="19"/>
  <c r="CI9" i="21"/>
  <c r="O9" i="21"/>
  <c r="CJ14" i="21"/>
  <c r="CI14" i="21"/>
  <c r="O14" i="21"/>
  <c r="CI26" i="21"/>
  <c r="O26" i="21"/>
  <c r="O15" i="21"/>
  <c r="CI15" i="21"/>
  <c r="M14" i="21"/>
  <c r="M15" i="21"/>
  <c r="O21" i="21"/>
  <c r="CI21" i="21"/>
  <c r="M22" i="21"/>
  <c r="PE12" i="21"/>
  <c r="K12" i="21" s="1"/>
  <c r="PE6" i="21"/>
  <c r="K6" i="21" s="1"/>
  <c r="CJ24" i="19"/>
  <c r="CJ23" i="19"/>
  <c r="CI24" i="19"/>
  <c r="O24" i="19"/>
  <c r="M24" i="19"/>
  <c r="CI23" i="19"/>
  <c r="O23" i="19"/>
  <c r="CJ16" i="19"/>
  <c r="CI16" i="19"/>
  <c r="O16" i="19"/>
  <c r="M16" i="19"/>
  <c r="PE10" i="19"/>
  <c r="CI29" i="19"/>
  <c r="O29" i="19"/>
  <c r="M29" i="19"/>
  <c r="PE36" i="19"/>
  <c r="CJ12" i="27"/>
  <c r="CI12" i="27"/>
  <c r="O12" i="27"/>
  <c r="M12" i="27"/>
  <c r="R16" i="26"/>
  <c r="Q16" i="26"/>
  <c r="O16" i="26"/>
  <c r="CW11" i="4"/>
  <c r="DA11" i="4" s="1"/>
  <c r="PZ6" i="21"/>
  <c r="PZ31" i="21"/>
  <c r="PZ10" i="26"/>
  <c r="TN11" i="4"/>
  <c r="PE18" i="19"/>
  <c r="PZ36" i="19"/>
  <c r="PE17" i="27"/>
  <c r="K17" i="27" s="1"/>
  <c r="PE9" i="19"/>
  <c r="PE4" i="19"/>
  <c r="PZ18" i="19"/>
  <c r="QB36" i="19"/>
  <c r="PE5" i="27"/>
  <c r="K5" i="27" s="1"/>
  <c r="PE10" i="26"/>
  <c r="K10" i="26" s="1"/>
  <c r="PZ8" i="26"/>
  <c r="QB10" i="26"/>
  <c r="SN8" i="22"/>
  <c r="SU8" i="22" s="1"/>
  <c r="TQ8" i="22"/>
  <c r="CW8" i="22"/>
  <c r="DA8" i="22" s="1"/>
  <c r="TN6" i="4"/>
  <c r="SN6" i="4"/>
  <c r="SU6" i="4" s="1"/>
  <c r="SN11" i="4"/>
  <c r="SU11" i="4" s="1"/>
  <c r="TQ11" i="4"/>
  <c r="CW6" i="4"/>
  <c r="DA6" i="4" s="1"/>
  <c r="QA31" i="21"/>
  <c r="QB31" i="21"/>
  <c r="PZ10" i="19"/>
  <c r="QA5" i="27"/>
  <c r="PZ17" i="27"/>
  <c r="QA17" i="27"/>
  <c r="PZ5" i="27"/>
  <c r="PZ17" i="26"/>
  <c r="QA10" i="26"/>
  <c r="TQ6" i="4"/>
  <c r="PH31" i="21"/>
  <c r="P31" i="21"/>
  <c r="Q31" i="21" s="1"/>
  <c r="I31" i="21"/>
  <c r="H31" i="21"/>
  <c r="N31" i="21"/>
  <c r="L31" i="21"/>
  <c r="QC31" i="21"/>
  <c r="QB12" i="21"/>
  <c r="PZ12" i="21"/>
  <c r="PH12" i="21"/>
  <c r="QC12" i="21"/>
  <c r="QA12" i="21"/>
  <c r="P12" i="21"/>
  <c r="CJ12" i="21" s="1"/>
  <c r="I12" i="21"/>
  <c r="H12" i="21"/>
  <c r="N12" i="21"/>
  <c r="L12" i="21"/>
  <c r="QA6" i="21"/>
  <c r="PH6" i="21"/>
  <c r="P6" i="21"/>
  <c r="Q6" i="21" s="1"/>
  <c r="QB6" i="21"/>
  <c r="I6" i="21"/>
  <c r="H6" i="21"/>
  <c r="N6" i="21"/>
  <c r="L6" i="21"/>
  <c r="QC6" i="21"/>
  <c r="PH36" i="19"/>
  <c r="QA36" i="19"/>
  <c r="P36" i="19"/>
  <c r="Q36" i="19" s="1"/>
  <c r="I36" i="19"/>
  <c r="H36" i="19"/>
  <c r="N36" i="19"/>
  <c r="L36" i="19"/>
  <c r="QC36" i="19"/>
  <c r="QA10" i="19"/>
  <c r="QA18" i="19"/>
  <c r="PZ9" i="19"/>
  <c r="PH10" i="19"/>
  <c r="P10" i="19"/>
  <c r="Q10" i="19" s="1"/>
  <c r="QB10" i="19"/>
  <c r="I10" i="19"/>
  <c r="H10" i="19"/>
  <c r="N10" i="19"/>
  <c r="L10" i="19"/>
  <c r="QC10" i="19"/>
  <c r="QA9" i="19"/>
  <c r="PZ4" i="19"/>
  <c r="PH18" i="19"/>
  <c r="P18" i="19"/>
  <c r="Q18" i="19" s="1"/>
  <c r="QB18" i="19"/>
  <c r="I18" i="19"/>
  <c r="H18" i="19"/>
  <c r="N18" i="19"/>
  <c r="L18" i="19"/>
  <c r="QC18" i="19"/>
  <c r="QA4" i="19"/>
  <c r="PH9" i="19"/>
  <c r="P9" i="19"/>
  <c r="Q9" i="19" s="1"/>
  <c r="QB9" i="19"/>
  <c r="I9" i="19"/>
  <c r="H9" i="19"/>
  <c r="N9" i="19"/>
  <c r="L9" i="19"/>
  <c r="QC9" i="19"/>
  <c r="PH4" i="19"/>
  <c r="P4" i="19"/>
  <c r="Q4" i="19" s="1"/>
  <c r="QB4" i="19"/>
  <c r="I4" i="19"/>
  <c r="H4" i="19"/>
  <c r="N4" i="19"/>
  <c r="L4" i="19"/>
  <c r="QC4" i="19"/>
  <c r="PH17" i="27"/>
  <c r="P17" i="27"/>
  <c r="Q17" i="27" s="1"/>
  <c r="QB17" i="27"/>
  <c r="I17" i="27"/>
  <c r="H17" i="27"/>
  <c r="N17" i="27"/>
  <c r="L17" i="27"/>
  <c r="QC17" i="27"/>
  <c r="PH5" i="27"/>
  <c r="P5" i="27"/>
  <c r="Q5" i="27" s="1"/>
  <c r="QB5" i="27"/>
  <c r="I5" i="27"/>
  <c r="H5" i="27"/>
  <c r="N5" i="27"/>
  <c r="L5" i="27"/>
  <c r="QC5" i="27"/>
  <c r="PH10" i="26"/>
  <c r="P10" i="26"/>
  <c r="CJ10" i="26" s="1"/>
  <c r="I10" i="26"/>
  <c r="H10" i="26"/>
  <c r="N10" i="26"/>
  <c r="L10" i="26"/>
  <c r="QC10" i="26"/>
  <c r="QA8" i="26"/>
  <c r="QA17" i="26"/>
  <c r="PH17" i="26"/>
  <c r="P17" i="26"/>
  <c r="Q17" i="26" s="1"/>
  <c r="L17" i="26"/>
  <c r="M17" i="26" s="1"/>
  <c r="QB17" i="26"/>
  <c r="I17" i="26"/>
  <c r="H17" i="26"/>
  <c r="N17" i="26"/>
  <c r="QC17" i="26"/>
  <c r="PH8" i="26"/>
  <c r="P8" i="26"/>
  <c r="Q8" i="26" s="1"/>
  <c r="QB8" i="26"/>
  <c r="I8" i="26"/>
  <c r="H8" i="26"/>
  <c r="N8" i="26"/>
  <c r="L8" i="26"/>
  <c r="QC8" i="26"/>
  <c r="TN8" i="22"/>
  <c r="TU8" i="22"/>
  <c r="N8" i="22"/>
  <c r="O8" i="22" s="1"/>
  <c r="H8" i="22"/>
  <c r="K8" i="22"/>
  <c r="I8" i="22"/>
  <c r="T8" i="22"/>
  <c r="U8" i="22" s="1"/>
  <c r="R8" i="22"/>
  <c r="S8" i="22" s="1"/>
  <c r="P8" i="22"/>
  <c r="L8" i="22"/>
  <c r="N11" i="4"/>
  <c r="O11" i="4" s="1"/>
  <c r="TU11" i="4"/>
  <c r="R11" i="4"/>
  <c r="S11" i="4" s="1"/>
  <c r="H11" i="4"/>
  <c r="K11" i="4"/>
  <c r="T11" i="4"/>
  <c r="U11" i="4" s="1"/>
  <c r="P11" i="4"/>
  <c r="L11" i="4"/>
  <c r="I11" i="4"/>
  <c r="N6" i="4"/>
  <c r="O6" i="4" s="1"/>
  <c r="TU6" i="4"/>
  <c r="R6" i="4"/>
  <c r="S6" i="4" s="1"/>
  <c r="I6" i="4"/>
  <c r="H6" i="4"/>
  <c r="T6" i="4"/>
  <c r="U6" i="4" s="1"/>
  <c r="P6" i="4"/>
  <c r="K6" i="4"/>
  <c r="L6" i="4"/>
  <c r="X13" i="22" l="1"/>
  <c r="F11" i="21"/>
  <c r="T11" i="21"/>
  <c r="W13" i="22"/>
  <c r="X25" i="4"/>
  <c r="F25" i="4"/>
  <c r="X24" i="4"/>
  <c r="T29" i="21"/>
  <c r="S17" i="19"/>
  <c r="T14" i="19"/>
  <c r="S14" i="19"/>
  <c r="T17" i="19"/>
  <c r="S13" i="27"/>
  <c r="F13" i="27"/>
  <c r="X11" i="22"/>
  <c r="X21" i="4"/>
  <c r="W21" i="4"/>
  <c r="S29" i="21"/>
  <c r="F19" i="21"/>
  <c r="T19" i="21"/>
  <c r="S17" i="21"/>
  <c r="T17" i="21"/>
  <c r="T4" i="21"/>
  <c r="F4" i="21"/>
  <c r="T8" i="21"/>
  <c r="S8" i="21"/>
  <c r="QD12" i="21"/>
  <c r="S12" i="19"/>
  <c r="T12" i="19"/>
  <c r="QD5" i="27"/>
  <c r="W11" i="22"/>
  <c r="F9" i="22"/>
  <c r="X9" i="22"/>
  <c r="W12" i="22"/>
  <c r="X12" i="22"/>
  <c r="F12" i="22"/>
  <c r="X7" i="22"/>
  <c r="W7" i="22"/>
  <c r="X10" i="22"/>
  <c r="W10" i="22"/>
  <c r="F14" i="4"/>
  <c r="X14" i="4"/>
  <c r="W24" i="4"/>
  <c r="QD17" i="26"/>
  <c r="QD10" i="26"/>
  <c r="QD8" i="26"/>
  <c r="QD9" i="19"/>
  <c r="QD31" i="21"/>
  <c r="QD6" i="21"/>
  <c r="QD36" i="19"/>
  <c r="QD4" i="19"/>
  <c r="QD18" i="19"/>
  <c r="QD10" i="19"/>
  <c r="QD17" i="27"/>
  <c r="J17" i="27"/>
  <c r="J5" i="27"/>
  <c r="J17" i="26"/>
  <c r="J10" i="26"/>
  <c r="J8" i="26"/>
  <c r="T28" i="21"/>
  <c r="F28" i="21"/>
  <c r="F37" i="21"/>
  <c r="S30" i="21"/>
  <c r="F30" i="21"/>
  <c r="T37" i="21"/>
  <c r="T37" i="19"/>
  <c r="F37" i="19"/>
  <c r="F35" i="19"/>
  <c r="T39" i="21"/>
  <c r="S39" i="21"/>
  <c r="S35" i="19"/>
  <c r="S26" i="19"/>
  <c r="T26" i="19"/>
  <c r="T22" i="21"/>
  <c r="S22" i="21"/>
  <c r="S16" i="26"/>
  <c r="T16" i="26"/>
  <c r="R9" i="21"/>
  <c r="R14" i="21"/>
  <c r="R21" i="21"/>
  <c r="R26" i="21"/>
  <c r="F22" i="21"/>
  <c r="R12" i="27"/>
  <c r="R15" i="21"/>
  <c r="R29" i="19"/>
  <c r="R24" i="19"/>
  <c r="R23" i="19"/>
  <c r="R16" i="19"/>
  <c r="A12" i="27" a="1"/>
  <c r="A12" i="27" s="1"/>
  <c r="B12" i="27" a="1"/>
  <c r="B12" i="27" s="1"/>
  <c r="F16" i="26"/>
  <c r="Q12" i="21"/>
  <c r="TR11" i="4"/>
  <c r="TV11" i="4" s="1"/>
  <c r="TR6" i="4"/>
  <c r="TV6" i="4" s="1"/>
  <c r="CJ17" i="26"/>
  <c r="Q10" i="26"/>
  <c r="TR8" i="22"/>
  <c r="TV8" i="22" s="1"/>
  <c r="CJ31" i="21"/>
  <c r="CJ36" i="19"/>
  <c r="CJ17" i="27"/>
  <c r="CI31" i="21"/>
  <c r="O31" i="21"/>
  <c r="M31" i="21"/>
  <c r="CI12" i="21"/>
  <c r="R12" i="21" s="1"/>
  <c r="O12" i="21"/>
  <c r="M12" i="21"/>
  <c r="CJ6" i="21"/>
  <c r="CI6" i="21"/>
  <c r="O6" i="21"/>
  <c r="M6" i="21"/>
  <c r="CI36" i="19"/>
  <c r="O36" i="19"/>
  <c r="M36" i="19"/>
  <c r="CJ18" i="19"/>
  <c r="CJ9" i="19"/>
  <c r="CJ10" i="19"/>
  <c r="CI10" i="19"/>
  <c r="O10" i="19"/>
  <c r="M10" i="19"/>
  <c r="CI18" i="19"/>
  <c r="O18" i="19"/>
  <c r="M18" i="19"/>
  <c r="CI9" i="19"/>
  <c r="O9" i="19"/>
  <c r="M9" i="19"/>
  <c r="CJ4" i="19"/>
  <c r="CI4" i="19"/>
  <c r="O4" i="19"/>
  <c r="M4" i="19"/>
  <c r="CI17" i="27"/>
  <c r="O17" i="27"/>
  <c r="M17" i="27"/>
  <c r="CJ5" i="27"/>
  <c r="CI5" i="27"/>
  <c r="O5" i="27"/>
  <c r="M5" i="27"/>
  <c r="CI10" i="26"/>
  <c r="O10" i="26"/>
  <c r="M10" i="26"/>
  <c r="CI17" i="26"/>
  <c r="O17" i="26"/>
  <c r="CJ8" i="26"/>
  <c r="CI8" i="26"/>
  <c r="O8" i="26"/>
  <c r="M8" i="26"/>
  <c r="J8" i="22"/>
  <c r="B8" i="22" s="1" a="1"/>
  <c r="B8" i="22" s="1"/>
  <c r="M8" i="22"/>
  <c r="Q8" i="22"/>
  <c r="DC8" i="22"/>
  <c r="DB8" i="22"/>
  <c r="J11" i="4"/>
  <c r="A11" i="4" s="1" a="1"/>
  <c r="A11" i="4" s="1"/>
  <c r="M11" i="4"/>
  <c r="Q11" i="4"/>
  <c r="DC11" i="4"/>
  <c r="DB11" i="4"/>
  <c r="M6" i="4"/>
  <c r="J6" i="4"/>
  <c r="Q6" i="4"/>
  <c r="DC6" i="4"/>
  <c r="DB6" i="4"/>
  <c r="T9" i="21" l="1"/>
  <c r="S9" i="21"/>
  <c r="F15" i="21"/>
  <c r="S15" i="21"/>
  <c r="T15" i="21"/>
  <c r="S21" i="21"/>
  <c r="T21" i="21"/>
  <c r="S26" i="21"/>
  <c r="T26" i="21"/>
  <c r="S14" i="21"/>
  <c r="T14" i="21"/>
  <c r="F26" i="21"/>
  <c r="T12" i="21"/>
  <c r="S12" i="21"/>
  <c r="F9" i="21"/>
  <c r="F21" i="21"/>
  <c r="T24" i="19"/>
  <c r="S24" i="19"/>
  <c r="S29" i="19"/>
  <c r="T29" i="19"/>
  <c r="F16" i="19"/>
  <c r="S16" i="19"/>
  <c r="T16" i="19"/>
  <c r="S23" i="19"/>
  <c r="T23" i="19"/>
  <c r="S12" i="27"/>
  <c r="T12" i="27"/>
  <c r="F12" i="27"/>
  <c r="F14" i="21"/>
  <c r="F24" i="19"/>
  <c r="F29" i="19"/>
  <c r="F23" i="19"/>
  <c r="R31" i="21"/>
  <c r="R36" i="19"/>
  <c r="R17" i="27"/>
  <c r="R10" i="26"/>
  <c r="R8" i="26"/>
  <c r="R6" i="21"/>
  <c r="R18" i="19"/>
  <c r="R5" i="27"/>
  <c r="V8" i="22"/>
  <c r="X8" i="22" s="1"/>
  <c r="V6" i="4"/>
  <c r="W6" i="4" s="1"/>
  <c r="F12" i="21"/>
  <c r="R10" i="19"/>
  <c r="R9" i="19"/>
  <c r="R4" i="19"/>
  <c r="R17" i="26"/>
  <c r="A8" i="22" a="1"/>
  <c r="A8" i="22" s="1"/>
  <c r="V11" i="4"/>
  <c r="X11" i="4" s="1"/>
  <c r="B11" i="4" a="1"/>
  <c r="B11" i="4" s="1"/>
  <c r="W11" i="4" l="1"/>
  <c r="T31" i="21"/>
  <c r="S31" i="21"/>
  <c r="F6" i="21"/>
  <c r="S6" i="21"/>
  <c r="T6" i="21"/>
  <c r="F4" i="19"/>
  <c r="S4" i="19"/>
  <c r="T4" i="19"/>
  <c r="S36" i="19"/>
  <c r="T36" i="19"/>
  <c r="S9" i="19"/>
  <c r="T9" i="19"/>
  <c r="S10" i="19"/>
  <c r="T10" i="19"/>
  <c r="T18" i="19"/>
  <c r="S18" i="19"/>
  <c r="S5" i="27"/>
  <c r="T5" i="27"/>
  <c r="S17" i="27"/>
  <c r="T17" i="27"/>
  <c r="T8" i="26"/>
  <c r="S8" i="26"/>
  <c r="S10" i="26"/>
  <c r="T10" i="26"/>
  <c r="S17" i="26"/>
  <c r="T17" i="26"/>
  <c r="F11" i="4"/>
  <c r="F17" i="27"/>
  <c r="F36" i="19"/>
  <c r="F10" i="26"/>
  <c r="F6" i="4"/>
  <c r="F31" i="21"/>
  <c r="F8" i="22"/>
  <c r="F18" i="19"/>
  <c r="F10" i="19"/>
  <c r="F8" i="26"/>
  <c r="W8" i="22"/>
  <c r="F5" i="27"/>
  <c r="X6" i="4"/>
  <c r="F17" i="26"/>
  <c r="F9" i="19"/>
  <c r="CD7" i="27" l="1"/>
  <c r="CE7" i="27"/>
  <c r="CF7" i="27"/>
  <c r="CG7" i="27"/>
  <c r="PA7" i="27"/>
  <c r="PB7" i="27"/>
  <c r="PC7" i="27"/>
  <c r="PD7" i="27"/>
  <c r="PF7" i="27"/>
  <c r="PG7" i="27"/>
  <c r="PI7" i="27"/>
  <c r="PJ7" i="27"/>
  <c r="PK7" i="27"/>
  <c r="PL7" i="27"/>
  <c r="PM7" i="27"/>
  <c r="PN7" i="27"/>
  <c r="PO7" i="27"/>
  <c r="PP7" i="27"/>
  <c r="PQ7" i="27"/>
  <c r="PR7" i="27"/>
  <c r="PS7" i="27"/>
  <c r="PT7" i="27"/>
  <c r="PU7" i="27"/>
  <c r="PV7" i="27"/>
  <c r="PW7" i="27"/>
  <c r="PX7" i="27"/>
  <c r="CD35" i="21"/>
  <c r="CE35" i="21"/>
  <c r="CF35" i="21"/>
  <c r="CG35" i="21"/>
  <c r="PA35" i="21"/>
  <c r="PB35" i="21"/>
  <c r="PC35" i="21"/>
  <c r="PD35" i="21"/>
  <c r="PF35" i="21"/>
  <c r="PG35" i="21"/>
  <c r="CD36" i="21"/>
  <c r="CE36" i="21"/>
  <c r="CF36" i="21"/>
  <c r="CG36" i="21"/>
  <c r="PA36" i="21"/>
  <c r="PB36" i="21"/>
  <c r="PC36" i="21"/>
  <c r="PD36" i="21"/>
  <c r="PF36" i="21"/>
  <c r="PG36" i="21"/>
  <c r="CD34" i="21"/>
  <c r="CE34" i="21"/>
  <c r="CF34" i="21"/>
  <c r="CG34" i="21"/>
  <c r="PA34" i="21"/>
  <c r="PB34" i="21"/>
  <c r="PC34" i="21"/>
  <c r="PD34" i="21"/>
  <c r="PF34" i="21"/>
  <c r="PG34" i="21"/>
  <c r="CD18" i="21"/>
  <c r="CE18" i="21"/>
  <c r="CF18" i="21"/>
  <c r="CG18" i="21"/>
  <c r="PA18" i="21"/>
  <c r="PB18" i="21"/>
  <c r="PC18" i="21"/>
  <c r="PD18" i="21"/>
  <c r="PF18" i="21"/>
  <c r="PG18" i="21"/>
  <c r="CD33" i="19"/>
  <c r="CE33" i="19"/>
  <c r="CF33" i="19"/>
  <c r="CG33" i="19"/>
  <c r="PA33" i="19"/>
  <c r="PB33" i="19"/>
  <c r="PC33" i="19"/>
  <c r="PD33" i="19"/>
  <c r="PF33" i="19"/>
  <c r="PG33" i="19"/>
  <c r="PI33" i="19"/>
  <c r="PJ33" i="19"/>
  <c r="PK33" i="19"/>
  <c r="PL33" i="19"/>
  <c r="PM33" i="19"/>
  <c r="PN33" i="19"/>
  <c r="PO33" i="19"/>
  <c r="PP33" i="19"/>
  <c r="PQ33" i="19"/>
  <c r="PR33" i="19"/>
  <c r="PS33" i="19"/>
  <c r="PT33" i="19"/>
  <c r="PU33" i="19"/>
  <c r="PV33" i="19"/>
  <c r="PW33" i="19"/>
  <c r="PX33" i="19"/>
  <c r="CD25" i="19"/>
  <c r="CE25" i="19"/>
  <c r="CF25" i="19"/>
  <c r="CG25" i="19"/>
  <c r="PA25" i="19"/>
  <c r="PB25" i="19"/>
  <c r="PC25" i="19"/>
  <c r="PD25" i="19"/>
  <c r="PF25" i="19"/>
  <c r="PG25" i="19"/>
  <c r="PI25" i="19"/>
  <c r="PJ25" i="19"/>
  <c r="PK25" i="19"/>
  <c r="PL25" i="19"/>
  <c r="PM25" i="19"/>
  <c r="PN25" i="19"/>
  <c r="PO25" i="19"/>
  <c r="PP25" i="19"/>
  <c r="PQ25" i="19"/>
  <c r="PR25" i="19"/>
  <c r="PS25" i="19"/>
  <c r="PT25" i="19"/>
  <c r="PU25" i="19"/>
  <c r="PV25" i="19"/>
  <c r="PW25" i="19"/>
  <c r="PX25" i="19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H34" i="21" l="1"/>
  <c r="CH36" i="21"/>
  <c r="CH35" i="21"/>
  <c r="CH18" i="21"/>
  <c r="CH25" i="19"/>
  <c r="CH33" i="19"/>
  <c r="CH7" i="27"/>
  <c r="P7" i="27"/>
  <c r="Q7" i="27" s="1"/>
  <c r="PE7" i="27"/>
  <c r="K7" i="27" s="1"/>
  <c r="QB7" i="27"/>
  <c r="PZ7" i="27"/>
  <c r="PH7" i="27"/>
  <c r="QC7" i="27"/>
  <c r="QA7" i="27"/>
  <c r="H7" i="27"/>
  <c r="N7" i="27"/>
  <c r="I7" i="27"/>
  <c r="L7" i="27"/>
  <c r="PE35" i="21"/>
  <c r="K35" i="21" s="1"/>
  <c r="PH35" i="21"/>
  <c r="QB34" i="21"/>
  <c r="N36" i="21"/>
  <c r="PZ35" i="21"/>
  <c r="QB25" i="19"/>
  <c r="PZ25" i="19"/>
  <c r="PE25" i="19"/>
  <c r="P33" i="19"/>
  <c r="Q33" i="19" s="1"/>
  <c r="PZ34" i="21"/>
  <c r="PE34" i="21"/>
  <c r="K34" i="21" s="1"/>
  <c r="PH36" i="21"/>
  <c r="PE18" i="21"/>
  <c r="K18" i="21" s="1"/>
  <c r="QB35" i="21"/>
  <c r="QC35" i="21"/>
  <c r="P35" i="21"/>
  <c r="Q35" i="21" s="1"/>
  <c r="QA35" i="21"/>
  <c r="I35" i="21"/>
  <c r="N35" i="21"/>
  <c r="L35" i="21"/>
  <c r="H35" i="21"/>
  <c r="P36" i="21"/>
  <c r="Q36" i="21" s="1"/>
  <c r="PZ36" i="21"/>
  <c r="PE36" i="21"/>
  <c r="K36" i="21" s="1"/>
  <c r="P34" i="21"/>
  <c r="Q34" i="21" s="1"/>
  <c r="QB36" i="21"/>
  <c r="QA36" i="21"/>
  <c r="QC36" i="21"/>
  <c r="H36" i="21"/>
  <c r="I36" i="21"/>
  <c r="L36" i="21"/>
  <c r="N34" i="21"/>
  <c r="QA34" i="21"/>
  <c r="QC34" i="21"/>
  <c r="H34" i="21"/>
  <c r="L34" i="21"/>
  <c r="M34" i="21" s="1"/>
  <c r="PH34" i="21"/>
  <c r="I34" i="21"/>
  <c r="P18" i="21"/>
  <c r="Q18" i="21" s="1"/>
  <c r="PH18" i="21"/>
  <c r="QA18" i="21"/>
  <c r="PZ18" i="21"/>
  <c r="QB18" i="21"/>
  <c r="QC18" i="21"/>
  <c r="H18" i="21"/>
  <c r="I18" i="21"/>
  <c r="N18" i="21"/>
  <c r="L18" i="21"/>
  <c r="PZ33" i="19"/>
  <c r="PE33" i="19"/>
  <c r="QB33" i="19"/>
  <c r="N33" i="19"/>
  <c r="QA33" i="19"/>
  <c r="L33" i="19"/>
  <c r="M33" i="19" s="1"/>
  <c r="H33" i="19"/>
  <c r="PH33" i="19"/>
  <c r="I33" i="19"/>
  <c r="QC33" i="19"/>
  <c r="P25" i="19"/>
  <c r="Q25" i="19" s="1"/>
  <c r="PH25" i="19"/>
  <c r="H25" i="19"/>
  <c r="QA25" i="19"/>
  <c r="QC25" i="19"/>
  <c r="N25" i="19"/>
  <c r="I25" i="19"/>
  <c r="L25" i="19"/>
  <c r="CW8" i="4"/>
  <c r="DA8" i="4" s="1"/>
  <c r="SN8" i="4"/>
  <c r="SU8" i="4" s="1"/>
  <c r="TU8" i="4"/>
  <c r="TQ8" i="4"/>
  <c r="TN8" i="4"/>
  <c r="L8" i="4"/>
  <c r="M8" i="4" s="1"/>
  <c r="K8" i="4"/>
  <c r="P8" i="4"/>
  <c r="Q8" i="4" s="1"/>
  <c r="R8" i="4"/>
  <c r="S8" i="4" s="1"/>
  <c r="I8" i="4"/>
  <c r="H8" i="4"/>
  <c r="N8" i="4"/>
  <c r="T8" i="4"/>
  <c r="U8" i="4" s="1"/>
  <c r="CD16" i="21"/>
  <c r="CE16" i="21"/>
  <c r="CF16" i="21"/>
  <c r="CG16" i="21"/>
  <c r="PA16" i="21"/>
  <c r="PB16" i="21"/>
  <c r="PC16" i="21"/>
  <c r="PD16" i="21"/>
  <c r="PF16" i="21"/>
  <c r="PG16" i="21"/>
  <c r="CD27" i="21"/>
  <c r="CE27" i="21"/>
  <c r="CF27" i="21"/>
  <c r="CG27" i="21"/>
  <c r="PA27" i="21"/>
  <c r="PB27" i="21"/>
  <c r="PC27" i="21"/>
  <c r="PD27" i="21"/>
  <c r="PF27" i="21"/>
  <c r="PG27" i="21"/>
  <c r="CD25" i="21"/>
  <c r="CE25" i="21"/>
  <c r="CF25" i="21"/>
  <c r="CG25" i="21"/>
  <c r="PA25" i="21"/>
  <c r="PB25" i="21"/>
  <c r="PC25" i="21"/>
  <c r="PD25" i="21"/>
  <c r="PF25" i="21"/>
  <c r="PG25" i="21"/>
  <c r="CD20" i="21"/>
  <c r="CE20" i="21"/>
  <c r="CF20" i="21"/>
  <c r="CG20" i="21"/>
  <c r="PA20" i="21"/>
  <c r="PB20" i="21"/>
  <c r="PC20" i="21"/>
  <c r="PD20" i="21"/>
  <c r="PF20" i="21"/>
  <c r="PG20" i="21"/>
  <c r="CD38" i="21"/>
  <c r="CE38" i="21"/>
  <c r="CF38" i="21"/>
  <c r="CG38" i="21"/>
  <c r="PA38" i="21"/>
  <c r="PB38" i="21"/>
  <c r="PC38" i="21"/>
  <c r="PD38" i="21"/>
  <c r="PF38" i="21"/>
  <c r="PG38" i="21"/>
  <c r="CD19" i="19"/>
  <c r="CE19" i="19"/>
  <c r="CF19" i="19"/>
  <c r="CG19" i="19"/>
  <c r="PA19" i="19"/>
  <c r="PB19" i="19"/>
  <c r="PC19" i="19"/>
  <c r="PD19" i="19"/>
  <c r="PF19" i="19"/>
  <c r="PG19" i="19"/>
  <c r="PI19" i="19"/>
  <c r="PJ19" i="19"/>
  <c r="PK19" i="19"/>
  <c r="PL19" i="19"/>
  <c r="PM19" i="19"/>
  <c r="PN19" i="19"/>
  <c r="PO19" i="19"/>
  <c r="PP19" i="19"/>
  <c r="PQ19" i="19"/>
  <c r="PR19" i="19"/>
  <c r="PS19" i="19"/>
  <c r="PT19" i="19"/>
  <c r="PU19" i="19"/>
  <c r="PV19" i="19"/>
  <c r="PW19" i="19"/>
  <c r="PX19" i="19"/>
  <c r="CD14" i="27"/>
  <c r="CE14" i="27"/>
  <c r="CF14" i="27"/>
  <c r="CG14" i="27"/>
  <c r="PA14" i="27"/>
  <c r="PB14" i="27"/>
  <c r="PC14" i="27"/>
  <c r="PD14" i="27"/>
  <c r="PF14" i="27"/>
  <c r="PG14" i="27"/>
  <c r="PI14" i="27"/>
  <c r="PJ14" i="27"/>
  <c r="PK14" i="27"/>
  <c r="PL14" i="27"/>
  <c r="PM14" i="27"/>
  <c r="PN14" i="27"/>
  <c r="PO14" i="27"/>
  <c r="PP14" i="27"/>
  <c r="PQ14" i="27"/>
  <c r="PR14" i="27"/>
  <c r="PS14" i="27"/>
  <c r="PT14" i="27"/>
  <c r="PU14" i="27"/>
  <c r="PV14" i="27"/>
  <c r="PW14" i="27"/>
  <c r="PX14" i="27"/>
  <c r="CD9" i="27"/>
  <c r="CE9" i="27"/>
  <c r="CF9" i="27"/>
  <c r="CG9" i="27"/>
  <c r="PA9" i="27"/>
  <c r="PB9" i="27"/>
  <c r="PC9" i="27"/>
  <c r="PD9" i="27"/>
  <c r="PF9" i="27"/>
  <c r="PG9" i="27"/>
  <c r="PI9" i="27"/>
  <c r="PJ9" i="27"/>
  <c r="PK9" i="27"/>
  <c r="PL9" i="27"/>
  <c r="PM9" i="27"/>
  <c r="PN9" i="27"/>
  <c r="PO9" i="27"/>
  <c r="PP9" i="27"/>
  <c r="PQ9" i="27"/>
  <c r="PR9" i="27"/>
  <c r="PS9" i="27"/>
  <c r="PT9" i="27"/>
  <c r="PU9" i="27"/>
  <c r="PV9" i="27"/>
  <c r="PW9" i="27"/>
  <c r="PX9" i="27"/>
  <c r="CD12" i="26"/>
  <c r="CE12" i="26"/>
  <c r="CF12" i="26"/>
  <c r="CG12" i="26"/>
  <c r="PA12" i="26"/>
  <c r="PB12" i="26"/>
  <c r="PC12" i="26"/>
  <c r="PD12" i="26"/>
  <c r="PF12" i="26"/>
  <c r="PG12" i="26"/>
  <c r="PI12" i="26"/>
  <c r="PJ12" i="26"/>
  <c r="PK12" i="26"/>
  <c r="PL12" i="26"/>
  <c r="PM12" i="26"/>
  <c r="PN12" i="26"/>
  <c r="PO12" i="26"/>
  <c r="PP12" i="26"/>
  <c r="PQ12" i="26"/>
  <c r="PR12" i="26"/>
  <c r="PS12" i="26"/>
  <c r="PT12" i="26"/>
  <c r="PU12" i="26"/>
  <c r="PV12" i="26"/>
  <c r="PW12" i="26"/>
  <c r="PX12" i="26"/>
  <c r="CD15" i="26"/>
  <c r="CE15" i="26"/>
  <c r="CF15" i="26"/>
  <c r="CG15" i="26"/>
  <c r="PA15" i="26"/>
  <c r="PB15" i="26"/>
  <c r="PC15" i="26"/>
  <c r="PD15" i="26"/>
  <c r="PF15" i="26"/>
  <c r="PG15" i="26"/>
  <c r="PI15" i="26"/>
  <c r="PJ15" i="26"/>
  <c r="PK15" i="26"/>
  <c r="PL15" i="26"/>
  <c r="PM15" i="26"/>
  <c r="PN15" i="26"/>
  <c r="PO15" i="26"/>
  <c r="PP15" i="26"/>
  <c r="PQ15" i="26"/>
  <c r="PR15" i="26"/>
  <c r="PS15" i="26"/>
  <c r="PT15" i="26"/>
  <c r="PU15" i="26"/>
  <c r="PV15" i="26"/>
  <c r="PW15" i="26"/>
  <c r="PX15" i="26"/>
  <c r="CD14" i="26"/>
  <c r="CE14" i="26"/>
  <c r="CF14" i="26"/>
  <c r="CG14" i="26"/>
  <c r="PA14" i="26"/>
  <c r="PB14" i="26"/>
  <c r="PC14" i="26"/>
  <c r="PD14" i="26"/>
  <c r="PF14" i="26"/>
  <c r="PG14" i="26"/>
  <c r="PI14" i="26"/>
  <c r="PJ14" i="26"/>
  <c r="PK14" i="26"/>
  <c r="PL14" i="26"/>
  <c r="PM14" i="26"/>
  <c r="PN14" i="26"/>
  <c r="PO14" i="26"/>
  <c r="PP14" i="26"/>
  <c r="PQ14" i="26"/>
  <c r="PR14" i="26"/>
  <c r="PS14" i="26"/>
  <c r="PT14" i="26"/>
  <c r="PU14" i="26"/>
  <c r="PV14" i="26"/>
  <c r="PW14" i="26"/>
  <c r="PX14" i="26"/>
  <c r="CD13" i="26"/>
  <c r="CE13" i="26"/>
  <c r="CF13" i="26"/>
  <c r="CG13" i="26"/>
  <c r="PA13" i="26"/>
  <c r="PB13" i="26"/>
  <c r="PC13" i="26"/>
  <c r="PD13" i="26"/>
  <c r="PF13" i="26"/>
  <c r="PG13" i="26"/>
  <c r="PI13" i="26"/>
  <c r="PJ13" i="26"/>
  <c r="PK13" i="26"/>
  <c r="PL13" i="26"/>
  <c r="PM13" i="26"/>
  <c r="PN13" i="26"/>
  <c r="PO13" i="26"/>
  <c r="PP13" i="26"/>
  <c r="PQ13" i="26"/>
  <c r="PR13" i="26"/>
  <c r="PS13" i="26"/>
  <c r="PT13" i="26"/>
  <c r="PU13" i="26"/>
  <c r="PV13" i="26"/>
  <c r="PW13" i="26"/>
  <c r="PX13" i="26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QD18" i="21" l="1"/>
  <c r="QD36" i="21"/>
  <c r="QD35" i="21"/>
  <c r="QD25" i="19"/>
  <c r="QD7" i="27"/>
  <c r="QD34" i="21"/>
  <c r="CH20" i="21"/>
  <c r="CH25" i="21"/>
  <c r="CH27" i="21"/>
  <c r="J22" i="21" s="1"/>
  <c r="CH38" i="21"/>
  <c r="J30" i="21"/>
  <c r="J28" i="21"/>
  <c r="CH16" i="21"/>
  <c r="QD33" i="19"/>
  <c r="CH19" i="19"/>
  <c r="CH14" i="27"/>
  <c r="J7" i="27"/>
  <c r="CH9" i="27"/>
  <c r="CH15" i="26"/>
  <c r="CH12" i="26"/>
  <c r="CH13" i="26"/>
  <c r="CH14" i="26"/>
  <c r="O25" i="19"/>
  <c r="O7" i="27"/>
  <c r="O34" i="21"/>
  <c r="O35" i="21"/>
  <c r="O33" i="19"/>
  <c r="CJ7" i="27"/>
  <c r="CI7" i="27"/>
  <c r="M7" i="27"/>
  <c r="CI34" i="21"/>
  <c r="O18" i="21"/>
  <c r="O36" i="21"/>
  <c r="CI36" i="21"/>
  <c r="CJ33" i="19"/>
  <c r="CJ36" i="21"/>
  <c r="CJ35" i="21"/>
  <c r="CJ34" i="21"/>
  <c r="M35" i="21"/>
  <c r="CI35" i="21"/>
  <c r="M36" i="21"/>
  <c r="CJ18" i="21"/>
  <c r="M18" i="21"/>
  <c r="CI18" i="21"/>
  <c r="CI33" i="19"/>
  <c r="CJ25" i="19"/>
  <c r="CI25" i="19"/>
  <c r="M25" i="19"/>
  <c r="TR8" i="4"/>
  <c r="TV8" i="4" s="1"/>
  <c r="DC8" i="4"/>
  <c r="DB8" i="4"/>
  <c r="O8" i="4"/>
  <c r="J8" i="4"/>
  <c r="PE16" i="21"/>
  <c r="K16" i="21" s="1"/>
  <c r="PE27" i="21"/>
  <c r="K27" i="21" s="1"/>
  <c r="PH19" i="19"/>
  <c r="QB19" i="19"/>
  <c r="PZ19" i="19"/>
  <c r="PH9" i="27"/>
  <c r="SN27" i="4"/>
  <c r="SU27" i="4" s="1"/>
  <c r="PE38" i="21"/>
  <c r="K38" i="21" s="1"/>
  <c r="QB16" i="21"/>
  <c r="P19" i="19"/>
  <c r="Q19" i="19" s="1"/>
  <c r="P14" i="27"/>
  <c r="Q14" i="27" s="1"/>
  <c r="PH14" i="27"/>
  <c r="PE12" i="26"/>
  <c r="K12" i="26" s="1"/>
  <c r="QB14" i="26"/>
  <c r="QB13" i="26"/>
  <c r="SN23" i="4"/>
  <c r="SU23" i="4" s="1"/>
  <c r="SN13" i="4"/>
  <c r="SU13" i="4" s="1"/>
  <c r="PE25" i="21"/>
  <c r="K25" i="21" s="1"/>
  <c r="P25" i="21"/>
  <c r="CJ25" i="21" s="1"/>
  <c r="PH27" i="21"/>
  <c r="QB27" i="21"/>
  <c r="PZ27" i="21"/>
  <c r="QB14" i="27"/>
  <c r="PZ14" i="27"/>
  <c r="PE14" i="27"/>
  <c r="K14" i="27" s="1"/>
  <c r="QA9" i="27"/>
  <c r="QB9" i="27"/>
  <c r="I9" i="27"/>
  <c r="PE9" i="27"/>
  <c r="K9" i="27" s="1"/>
  <c r="P15" i="26"/>
  <c r="CJ15" i="26" s="1"/>
  <c r="PH12" i="26"/>
  <c r="QB15" i="26"/>
  <c r="TQ10" i="4"/>
  <c r="TQ27" i="4"/>
  <c r="CW10" i="4"/>
  <c r="DA10" i="4" s="1"/>
  <c r="TQ13" i="4"/>
  <c r="TU27" i="4"/>
  <c r="I27" i="4"/>
  <c r="SN10" i="4"/>
  <c r="SU10" i="4" s="1"/>
  <c r="N13" i="4"/>
  <c r="O13" i="4" s="1"/>
  <c r="P16" i="21"/>
  <c r="Q16" i="21" s="1"/>
  <c r="P20" i="21"/>
  <c r="Q20" i="21" s="1"/>
  <c r="QB20" i="21"/>
  <c r="PZ20" i="21"/>
  <c r="P27" i="21"/>
  <c r="Q27" i="21" s="1"/>
  <c r="QA16" i="21"/>
  <c r="PZ16" i="21"/>
  <c r="QC16" i="21"/>
  <c r="PZ38" i="21"/>
  <c r="H16" i="21"/>
  <c r="PH16" i="21"/>
  <c r="I16" i="21"/>
  <c r="N16" i="21"/>
  <c r="L16" i="21"/>
  <c r="I38" i="21"/>
  <c r="QA27" i="21"/>
  <c r="QC38" i="21"/>
  <c r="QB38" i="21"/>
  <c r="QA25" i="21"/>
  <c r="PH25" i="21"/>
  <c r="QC27" i="21"/>
  <c r="QC20" i="21"/>
  <c r="H25" i="21"/>
  <c r="PH38" i="21"/>
  <c r="P38" i="21"/>
  <c r="CJ38" i="21" s="1"/>
  <c r="PE20" i="21"/>
  <c r="K20" i="21" s="1"/>
  <c r="L20" i="21"/>
  <c r="M20" i="21" s="1"/>
  <c r="QB25" i="21"/>
  <c r="PZ25" i="21"/>
  <c r="I25" i="21"/>
  <c r="H27" i="21"/>
  <c r="QA38" i="21"/>
  <c r="H20" i="21"/>
  <c r="QC25" i="21"/>
  <c r="I27" i="21"/>
  <c r="N38" i="21"/>
  <c r="PH20" i="21"/>
  <c r="I20" i="21"/>
  <c r="N25" i="21"/>
  <c r="L38" i="21"/>
  <c r="QA20" i="21"/>
  <c r="N27" i="21"/>
  <c r="N20" i="21"/>
  <c r="L25" i="21"/>
  <c r="H38" i="21"/>
  <c r="L27" i="21"/>
  <c r="QC19" i="19"/>
  <c r="PE19" i="19"/>
  <c r="QA19" i="19"/>
  <c r="I19" i="19"/>
  <c r="H19" i="19"/>
  <c r="N19" i="19"/>
  <c r="L19" i="19"/>
  <c r="QC14" i="27"/>
  <c r="PZ9" i="27"/>
  <c r="QA14" i="27"/>
  <c r="P9" i="27"/>
  <c r="CJ9" i="27" s="1"/>
  <c r="I14" i="27"/>
  <c r="H9" i="27"/>
  <c r="H14" i="27"/>
  <c r="N9" i="27"/>
  <c r="N14" i="27"/>
  <c r="QC9" i="27"/>
  <c r="L9" i="27"/>
  <c r="L14" i="27"/>
  <c r="PZ13" i="26"/>
  <c r="N15" i="26"/>
  <c r="QC13" i="26"/>
  <c r="P13" i="26"/>
  <c r="CJ13" i="26" s="1"/>
  <c r="P14" i="26"/>
  <c r="Q14" i="26" s="1"/>
  <c r="PZ12" i="26"/>
  <c r="QA14" i="26"/>
  <c r="N14" i="26"/>
  <c r="QC15" i="26"/>
  <c r="PE13" i="26"/>
  <c r="K13" i="26" s="1"/>
  <c r="QC14" i="26"/>
  <c r="H15" i="26"/>
  <c r="P12" i="26"/>
  <c r="Q12" i="26" s="1"/>
  <c r="QA13" i="26"/>
  <c r="PE14" i="26"/>
  <c r="K14" i="26" s="1"/>
  <c r="I15" i="26"/>
  <c r="L15" i="26"/>
  <c r="M15" i="26" s="1"/>
  <c r="QB12" i="26"/>
  <c r="PZ14" i="26"/>
  <c r="QC12" i="26"/>
  <c r="QA12" i="26"/>
  <c r="PH15" i="26"/>
  <c r="H12" i="26"/>
  <c r="QA15" i="26"/>
  <c r="QD15" i="26" s="1"/>
  <c r="N12" i="26"/>
  <c r="PH13" i="26"/>
  <c r="I13" i="26"/>
  <c r="L14" i="26"/>
  <c r="H13" i="26"/>
  <c r="PZ15" i="26"/>
  <c r="PE15" i="26"/>
  <c r="K15" i="26" s="1"/>
  <c r="I12" i="26"/>
  <c r="N13" i="26"/>
  <c r="PH14" i="26"/>
  <c r="I14" i="26"/>
  <c r="H14" i="26"/>
  <c r="L13" i="26"/>
  <c r="L12" i="26"/>
  <c r="TU17" i="4"/>
  <c r="R27" i="4"/>
  <c r="S27" i="4" s="1"/>
  <c r="L10" i="4"/>
  <c r="M10" i="4" s="1"/>
  <c r="TU13" i="4"/>
  <c r="R10" i="4"/>
  <c r="S10" i="4" s="1"/>
  <c r="CW17" i="4"/>
  <c r="DA17" i="4" s="1"/>
  <c r="T13" i="4"/>
  <c r="U13" i="4" s="1"/>
  <c r="TU23" i="4"/>
  <c r="R23" i="4"/>
  <c r="S23" i="4" s="1"/>
  <c r="TN17" i="4"/>
  <c r="CW13" i="4"/>
  <c r="DA13" i="4" s="1"/>
  <c r="I10" i="4"/>
  <c r="P10" i="4"/>
  <c r="Q10" i="4" s="1"/>
  <c r="I17" i="4"/>
  <c r="TQ17" i="4"/>
  <c r="TU10" i="4"/>
  <c r="I23" i="4"/>
  <c r="TQ23" i="4"/>
  <c r="L13" i="4"/>
  <c r="M13" i="4" s="1"/>
  <c r="TN10" i="4"/>
  <c r="CW27" i="4"/>
  <c r="DA27" i="4" s="1"/>
  <c r="TN23" i="4"/>
  <c r="CW23" i="4"/>
  <c r="DA23" i="4" s="1"/>
  <c r="H23" i="4"/>
  <c r="N10" i="4"/>
  <c r="O10" i="4" s="1"/>
  <c r="T17" i="4"/>
  <c r="U17" i="4" s="1"/>
  <c r="T27" i="4"/>
  <c r="U27" i="4" s="1"/>
  <c r="H13" i="4"/>
  <c r="K27" i="4"/>
  <c r="SN17" i="4"/>
  <c r="SU17" i="4" s="1"/>
  <c r="H17" i="4"/>
  <c r="H27" i="4"/>
  <c r="K17" i="4"/>
  <c r="L23" i="4"/>
  <c r="R17" i="4"/>
  <c r="S17" i="4" s="1"/>
  <c r="TN13" i="4"/>
  <c r="P23" i="4"/>
  <c r="Q23" i="4" s="1"/>
  <c r="TN27" i="4"/>
  <c r="K10" i="4"/>
  <c r="T10" i="4"/>
  <c r="U10" i="4" s="1"/>
  <c r="P13" i="4"/>
  <c r="Q13" i="4" s="1"/>
  <c r="L17" i="4"/>
  <c r="N17" i="4"/>
  <c r="P17" i="4"/>
  <c r="Q17" i="4" s="1"/>
  <c r="N27" i="4"/>
  <c r="P27" i="4"/>
  <c r="Q27" i="4" s="1"/>
  <c r="H10" i="4"/>
  <c r="K23" i="4"/>
  <c r="T23" i="4"/>
  <c r="U23" i="4" s="1"/>
  <c r="N23" i="4"/>
  <c r="L27" i="4"/>
  <c r="R13" i="4"/>
  <c r="S13" i="4" s="1"/>
  <c r="K13" i="4"/>
  <c r="I13" i="4"/>
  <c r="CD5" i="21"/>
  <c r="CE5" i="21"/>
  <c r="CF5" i="21"/>
  <c r="CG5" i="21"/>
  <c r="PA5" i="21"/>
  <c r="PB5" i="21"/>
  <c r="PC5" i="21"/>
  <c r="PD5" i="21"/>
  <c r="PF5" i="21"/>
  <c r="PG5" i="21"/>
  <c r="CD32" i="19"/>
  <c r="CE32" i="19"/>
  <c r="CF32" i="19"/>
  <c r="CG32" i="19"/>
  <c r="PA32" i="19"/>
  <c r="PB32" i="19"/>
  <c r="PC32" i="19"/>
  <c r="PD32" i="19"/>
  <c r="PF32" i="19"/>
  <c r="PG32" i="19"/>
  <c r="PI32" i="19"/>
  <c r="PJ32" i="19"/>
  <c r="PK32" i="19"/>
  <c r="PL32" i="19"/>
  <c r="PM32" i="19"/>
  <c r="PN32" i="19"/>
  <c r="PO32" i="19"/>
  <c r="PP32" i="19"/>
  <c r="PQ32" i="19"/>
  <c r="PR32" i="19"/>
  <c r="PS32" i="19"/>
  <c r="PT32" i="19"/>
  <c r="PU32" i="19"/>
  <c r="PV32" i="19"/>
  <c r="PW32" i="19"/>
  <c r="PX32" i="19"/>
  <c r="CD30" i="19"/>
  <c r="CE30" i="19"/>
  <c r="CF30" i="19"/>
  <c r="CG30" i="19"/>
  <c r="PA30" i="19"/>
  <c r="PB30" i="19"/>
  <c r="PC30" i="19"/>
  <c r="PD30" i="19"/>
  <c r="PF30" i="19"/>
  <c r="PG30" i="19"/>
  <c r="PI30" i="19"/>
  <c r="PJ30" i="19"/>
  <c r="PK30" i="19"/>
  <c r="PL30" i="19"/>
  <c r="PM30" i="19"/>
  <c r="PN30" i="19"/>
  <c r="PO30" i="19"/>
  <c r="PP30" i="19"/>
  <c r="PQ30" i="19"/>
  <c r="PR30" i="19"/>
  <c r="PS30" i="19"/>
  <c r="PT30" i="19"/>
  <c r="PU30" i="19"/>
  <c r="PV30" i="19"/>
  <c r="PW30" i="19"/>
  <c r="PX30" i="19"/>
  <c r="CD38" i="19"/>
  <c r="CE38" i="19"/>
  <c r="CF38" i="19"/>
  <c r="CG38" i="19"/>
  <c r="PA38" i="19"/>
  <c r="PB38" i="19"/>
  <c r="PC38" i="19"/>
  <c r="PD38" i="19"/>
  <c r="PF38" i="19"/>
  <c r="PG38" i="19"/>
  <c r="PI38" i="19"/>
  <c r="PJ38" i="19"/>
  <c r="PK38" i="19"/>
  <c r="PL38" i="19"/>
  <c r="PM38" i="19"/>
  <c r="PN38" i="19"/>
  <c r="PO38" i="19"/>
  <c r="PP38" i="19"/>
  <c r="PQ38" i="19"/>
  <c r="PR38" i="19"/>
  <c r="PS38" i="19"/>
  <c r="PT38" i="19"/>
  <c r="PU38" i="19"/>
  <c r="PV38" i="19"/>
  <c r="PW38" i="19"/>
  <c r="PX38" i="19"/>
  <c r="CD5" i="19"/>
  <c r="CE5" i="19"/>
  <c r="CF5" i="19"/>
  <c r="CG5" i="19"/>
  <c r="PA5" i="19"/>
  <c r="PB5" i="19"/>
  <c r="PC5" i="19"/>
  <c r="PD5" i="19"/>
  <c r="PF5" i="19"/>
  <c r="PG5" i="19"/>
  <c r="PI5" i="19"/>
  <c r="PJ5" i="19"/>
  <c r="PK5" i="19"/>
  <c r="PL5" i="19"/>
  <c r="PM5" i="19"/>
  <c r="PN5" i="19"/>
  <c r="PO5" i="19"/>
  <c r="PP5" i="19"/>
  <c r="PQ5" i="19"/>
  <c r="PR5" i="19"/>
  <c r="PS5" i="19"/>
  <c r="PT5" i="19"/>
  <c r="PU5" i="19"/>
  <c r="PV5" i="19"/>
  <c r="PW5" i="19"/>
  <c r="PX5" i="19"/>
  <c r="CD15" i="19"/>
  <c r="CE15" i="19"/>
  <c r="CF15" i="19"/>
  <c r="CG15" i="19"/>
  <c r="PA15" i="19"/>
  <c r="PB15" i="19"/>
  <c r="PC15" i="19"/>
  <c r="PD15" i="19"/>
  <c r="PF15" i="19"/>
  <c r="PG15" i="19"/>
  <c r="PI15" i="19"/>
  <c r="PJ15" i="19"/>
  <c r="PK15" i="19"/>
  <c r="PL15" i="19"/>
  <c r="PM15" i="19"/>
  <c r="PN15" i="19"/>
  <c r="PO15" i="19"/>
  <c r="PP15" i="19"/>
  <c r="PQ15" i="19"/>
  <c r="PR15" i="19"/>
  <c r="PS15" i="19"/>
  <c r="PT15" i="19"/>
  <c r="PU15" i="19"/>
  <c r="PV15" i="19"/>
  <c r="PW15" i="19"/>
  <c r="PX15" i="19"/>
  <c r="CD8" i="27"/>
  <c r="CE8" i="27"/>
  <c r="CF8" i="27"/>
  <c r="CG8" i="27"/>
  <c r="PA8" i="27"/>
  <c r="PB8" i="27"/>
  <c r="PC8" i="27"/>
  <c r="PD8" i="27"/>
  <c r="PF8" i="27"/>
  <c r="PG8" i="27"/>
  <c r="PI8" i="27"/>
  <c r="PJ8" i="27"/>
  <c r="PK8" i="27"/>
  <c r="PL8" i="27"/>
  <c r="PM8" i="27"/>
  <c r="PN8" i="27"/>
  <c r="PO8" i="27"/>
  <c r="PP8" i="27"/>
  <c r="PQ8" i="27"/>
  <c r="PR8" i="27"/>
  <c r="PS8" i="27"/>
  <c r="PT8" i="27"/>
  <c r="PU8" i="27"/>
  <c r="PV8" i="27"/>
  <c r="PW8" i="27"/>
  <c r="PX8" i="27"/>
  <c r="CD11" i="26"/>
  <c r="CE11" i="26"/>
  <c r="CF11" i="26"/>
  <c r="CG11" i="26"/>
  <c r="PA11" i="26"/>
  <c r="PB11" i="26"/>
  <c r="PC11" i="26"/>
  <c r="PD11" i="26"/>
  <c r="PF11" i="26"/>
  <c r="PG11" i="26"/>
  <c r="PI11" i="26"/>
  <c r="PJ11" i="26"/>
  <c r="PK11" i="26"/>
  <c r="PL11" i="26"/>
  <c r="PM11" i="26"/>
  <c r="PN11" i="26"/>
  <c r="PO11" i="26"/>
  <c r="PP11" i="26"/>
  <c r="PQ11" i="26"/>
  <c r="PR11" i="26"/>
  <c r="PS11" i="26"/>
  <c r="PT11" i="26"/>
  <c r="PU11" i="26"/>
  <c r="PV11" i="26"/>
  <c r="PW11" i="26"/>
  <c r="PX11" i="26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J26" i="21" l="1"/>
  <c r="J39" i="21"/>
  <c r="J12" i="21"/>
  <c r="J6" i="21"/>
  <c r="J31" i="21"/>
  <c r="J11" i="21"/>
  <c r="J17" i="21"/>
  <c r="A17" i="21" s="1" a="1"/>
  <c r="A17" i="21" s="1"/>
  <c r="J19" i="21"/>
  <c r="B19" i="21" s="1" a="1"/>
  <c r="B19" i="21" s="1"/>
  <c r="J14" i="21"/>
  <c r="J23" i="21"/>
  <c r="A23" i="21" s="1" a="1"/>
  <c r="A23" i="21" s="1"/>
  <c r="J15" i="21"/>
  <c r="B15" i="21" s="1" a="1"/>
  <c r="B15" i="21" s="1"/>
  <c r="J24" i="21"/>
  <c r="B24" i="21" s="1" a="1"/>
  <c r="B24" i="21" s="1"/>
  <c r="J34" i="21"/>
  <c r="A34" i="21" s="1" a="1"/>
  <c r="A34" i="21" s="1"/>
  <c r="J29" i="21"/>
  <c r="A29" i="21" s="1" a="1"/>
  <c r="A29" i="21" s="1"/>
  <c r="J36" i="21"/>
  <c r="B36" i="21" s="1" a="1"/>
  <c r="B36" i="21" s="1"/>
  <c r="J9" i="21"/>
  <c r="J35" i="21"/>
  <c r="A35" i="21" s="1" a="1"/>
  <c r="A35" i="21" s="1"/>
  <c r="J32" i="21"/>
  <c r="A32" i="21" s="1" a="1"/>
  <c r="A32" i="21" s="1"/>
  <c r="J37" i="21"/>
  <c r="B37" i="21" s="1" a="1"/>
  <c r="B37" i="21" s="1"/>
  <c r="J21" i="21"/>
  <c r="B21" i="21" s="1" a="1"/>
  <c r="B21" i="21" s="1"/>
  <c r="J4" i="21"/>
  <c r="J18" i="21"/>
  <c r="A18" i="21" s="1" a="1"/>
  <c r="A18" i="21" s="1"/>
  <c r="J8" i="21"/>
  <c r="QD12" i="26"/>
  <c r="QD14" i="27"/>
  <c r="A19" i="21" a="1"/>
  <c r="A19" i="21" s="1"/>
  <c r="B17" i="21" a="1"/>
  <c r="B17" i="21" s="1"/>
  <c r="QD38" i="21"/>
  <c r="QD20" i="21"/>
  <c r="QD16" i="21"/>
  <c r="QD19" i="19"/>
  <c r="QD13" i="26"/>
  <c r="QD14" i="26"/>
  <c r="QD27" i="21"/>
  <c r="QD25" i="21"/>
  <c r="J25" i="21"/>
  <c r="B25" i="21" s="1" a="1"/>
  <c r="B25" i="21" s="1"/>
  <c r="J27" i="21"/>
  <c r="B27" i="21" s="1" a="1"/>
  <c r="B27" i="21" s="1"/>
  <c r="J16" i="21"/>
  <c r="A16" i="21" s="1" a="1"/>
  <c r="A16" i="21" s="1"/>
  <c r="J20" i="21"/>
  <c r="A20" i="21" s="1" a="1"/>
  <c r="A20" i="21" s="1"/>
  <c r="A26" i="21" a="1"/>
  <c r="A26" i="21" s="1"/>
  <c r="B26" i="21" a="1"/>
  <c r="B26" i="21" s="1"/>
  <c r="CH5" i="21"/>
  <c r="B31" i="21" a="1"/>
  <c r="B31" i="21" s="1"/>
  <c r="A31" i="21" a="1"/>
  <c r="A31" i="21" s="1"/>
  <c r="J38" i="21"/>
  <c r="A22" i="21" a="1"/>
  <c r="A22" i="21" s="1"/>
  <c r="B22" i="21" a="1"/>
  <c r="B22" i="21" s="1"/>
  <c r="B28" i="21" a="1"/>
  <c r="B28" i="21" s="1"/>
  <c r="A28" i="21" a="1"/>
  <c r="A28" i="21" s="1"/>
  <c r="A14" i="21" a="1"/>
  <c r="A14" i="21" s="1"/>
  <c r="B14" i="21" a="1"/>
  <c r="B14" i="21" s="1"/>
  <c r="A39" i="21" a="1"/>
  <c r="A39" i="21" s="1"/>
  <c r="B39" i="21" a="1"/>
  <c r="B39" i="21" s="1"/>
  <c r="A30" i="21" a="1"/>
  <c r="A30" i="21" s="1"/>
  <c r="B30" i="21" a="1"/>
  <c r="B30" i="21" s="1"/>
  <c r="CH32" i="19"/>
  <c r="CH15" i="19"/>
  <c r="CH5" i="19"/>
  <c r="CH38" i="19"/>
  <c r="CH30" i="19"/>
  <c r="QD9" i="27"/>
  <c r="CH8" i="27"/>
  <c r="J14" i="27"/>
  <c r="J9" i="27"/>
  <c r="CH11" i="26"/>
  <c r="J14" i="26"/>
  <c r="J12" i="26"/>
  <c r="J13" i="26"/>
  <c r="B13" i="26" s="1" a="1"/>
  <c r="B13" i="26" s="1"/>
  <c r="J15" i="26"/>
  <c r="R7" i="27"/>
  <c r="R34" i="21"/>
  <c r="O16" i="21"/>
  <c r="O20" i="21"/>
  <c r="O38" i="21"/>
  <c r="R33" i="19"/>
  <c r="O14" i="27"/>
  <c r="O27" i="21"/>
  <c r="O25" i="21"/>
  <c r="O9" i="27"/>
  <c r="O15" i="26"/>
  <c r="O19" i="19"/>
  <c r="O14" i="26"/>
  <c r="O13" i="26"/>
  <c r="O12" i="26"/>
  <c r="R35" i="21"/>
  <c r="R36" i="21"/>
  <c r="TR23" i="4"/>
  <c r="TV23" i="4" s="1"/>
  <c r="R18" i="21"/>
  <c r="R25" i="19"/>
  <c r="V8" i="4"/>
  <c r="F8" i="4" s="1"/>
  <c r="CJ19" i="19"/>
  <c r="CI12" i="26"/>
  <c r="TR27" i="4"/>
  <c r="TV27" i="4" s="1"/>
  <c r="Q25" i="21"/>
  <c r="CJ27" i="21"/>
  <c r="TR10" i="4"/>
  <c r="TV10" i="4" s="1"/>
  <c r="TR13" i="4"/>
  <c r="TV13" i="4" s="1"/>
  <c r="CJ16" i="21"/>
  <c r="CJ20" i="21"/>
  <c r="TR17" i="4"/>
  <c r="TV17" i="4" s="1"/>
  <c r="CJ14" i="27"/>
  <c r="Q9" i="27"/>
  <c r="Q38" i="21"/>
  <c r="CJ14" i="26"/>
  <c r="Q15" i="26"/>
  <c r="CI15" i="26"/>
  <c r="R15" i="26" s="1"/>
  <c r="Q13" i="26"/>
  <c r="DB10" i="4"/>
  <c r="J27" i="4"/>
  <c r="A27" i="4" s="1" a="1"/>
  <c r="A27" i="4" s="1"/>
  <c r="DB13" i="4"/>
  <c r="M16" i="21"/>
  <c r="CI16" i="21"/>
  <c r="M27" i="21"/>
  <c r="CI20" i="21"/>
  <c r="M38" i="21"/>
  <c r="CI38" i="21"/>
  <c r="CI27" i="21"/>
  <c r="CI25" i="21"/>
  <c r="M25" i="21"/>
  <c r="CI19" i="19"/>
  <c r="M19" i="19"/>
  <c r="M14" i="27"/>
  <c r="CI14" i="27"/>
  <c r="CI9" i="27"/>
  <c r="M9" i="27"/>
  <c r="CJ12" i="26"/>
  <c r="CI14" i="26"/>
  <c r="CI13" i="26"/>
  <c r="M12" i="26"/>
  <c r="M14" i="26"/>
  <c r="M13" i="26"/>
  <c r="J17" i="4"/>
  <c r="B17" i="4" s="1" a="1"/>
  <c r="B17" i="4" s="1"/>
  <c r="J23" i="4"/>
  <c r="A23" i="4" s="1" a="1"/>
  <c r="A23" i="4" s="1"/>
  <c r="DC10" i="4"/>
  <c r="J13" i="4"/>
  <c r="J10" i="4"/>
  <c r="A10" i="4" s="1" a="1"/>
  <c r="A10" i="4" s="1"/>
  <c r="DC17" i="4"/>
  <c r="O17" i="4"/>
  <c r="DB17" i="4"/>
  <c r="M17" i="4"/>
  <c r="M27" i="4"/>
  <c r="O23" i="4"/>
  <c r="DB23" i="4"/>
  <c r="DC27" i="4"/>
  <c r="DC13" i="4"/>
  <c r="M23" i="4"/>
  <c r="O27" i="4"/>
  <c r="DB27" i="4"/>
  <c r="DC23" i="4"/>
  <c r="QB11" i="26"/>
  <c r="PE30" i="19"/>
  <c r="PZ11" i="26"/>
  <c r="CW6" i="22"/>
  <c r="DA6" i="22" s="1"/>
  <c r="PE5" i="21"/>
  <c r="K5" i="21" s="1"/>
  <c r="PH5" i="21"/>
  <c r="PE32" i="19"/>
  <c r="PH32" i="19"/>
  <c r="QB8" i="27"/>
  <c r="PZ8" i="27"/>
  <c r="PE8" i="27"/>
  <c r="K8" i="27" s="1"/>
  <c r="PH8" i="27"/>
  <c r="PH11" i="26"/>
  <c r="SN4" i="22"/>
  <c r="SU4" i="22" s="1"/>
  <c r="CW12" i="4"/>
  <c r="DA12" i="4" s="1"/>
  <c r="P30" i="19"/>
  <c r="Q30" i="19" s="1"/>
  <c r="PZ32" i="19"/>
  <c r="P32" i="19"/>
  <c r="Q32" i="19" s="1"/>
  <c r="P8" i="27"/>
  <c r="Q8" i="27" s="1"/>
  <c r="P11" i="26"/>
  <c r="Q11" i="26" s="1"/>
  <c r="P4" i="22"/>
  <c r="CW4" i="22"/>
  <c r="DA4" i="22" s="1"/>
  <c r="TN6" i="22"/>
  <c r="CW5" i="4"/>
  <c r="DA5" i="4" s="1"/>
  <c r="TQ12" i="4"/>
  <c r="QB5" i="21"/>
  <c r="P5" i="21"/>
  <c r="Q5" i="21" s="1"/>
  <c r="PZ5" i="21"/>
  <c r="QC5" i="21"/>
  <c r="QA5" i="21"/>
  <c r="H5" i="21"/>
  <c r="N5" i="21"/>
  <c r="I5" i="21"/>
  <c r="L5" i="21"/>
  <c r="QA32" i="19"/>
  <c r="QB32" i="19"/>
  <c r="QC32" i="19"/>
  <c r="H32" i="19"/>
  <c r="I32" i="19"/>
  <c r="N32" i="19"/>
  <c r="L32" i="19"/>
  <c r="PH30" i="19"/>
  <c r="QA30" i="19"/>
  <c r="QB30" i="19"/>
  <c r="PZ30" i="19"/>
  <c r="QC30" i="19"/>
  <c r="H30" i="19"/>
  <c r="I30" i="19"/>
  <c r="N30" i="19"/>
  <c r="L30" i="19"/>
  <c r="PE5" i="19"/>
  <c r="PE15" i="19"/>
  <c r="PE38" i="19"/>
  <c r="P5" i="19"/>
  <c r="Q5" i="19" s="1"/>
  <c r="QB5" i="19"/>
  <c r="PZ5" i="19"/>
  <c r="PH38" i="19"/>
  <c r="P38" i="19"/>
  <c r="Q38" i="19" s="1"/>
  <c r="QC38" i="19"/>
  <c r="QB38" i="19"/>
  <c r="PZ38" i="19"/>
  <c r="QA38" i="19"/>
  <c r="QD38" i="19" s="1"/>
  <c r="H38" i="19"/>
  <c r="I38" i="19"/>
  <c r="N38" i="19"/>
  <c r="L38" i="19"/>
  <c r="PH5" i="19"/>
  <c r="QB15" i="19"/>
  <c r="PZ15" i="19"/>
  <c r="P15" i="19"/>
  <c r="Q15" i="19" s="1"/>
  <c r="QC5" i="19"/>
  <c r="QA5" i="19"/>
  <c r="I5" i="19"/>
  <c r="N5" i="19"/>
  <c r="H5" i="19"/>
  <c r="L5" i="19"/>
  <c r="PH15" i="19"/>
  <c r="QC15" i="19"/>
  <c r="QA15" i="19"/>
  <c r="I15" i="19"/>
  <c r="H15" i="19"/>
  <c r="N15" i="19"/>
  <c r="L15" i="19"/>
  <c r="QC8" i="27"/>
  <c r="QA8" i="27"/>
  <c r="H8" i="27"/>
  <c r="I8" i="27"/>
  <c r="N8" i="27"/>
  <c r="L8" i="27"/>
  <c r="PE11" i="26"/>
  <c r="K11" i="26" s="1"/>
  <c r="QC11" i="26"/>
  <c r="QA11" i="26"/>
  <c r="I11" i="26"/>
  <c r="H11" i="26"/>
  <c r="N11" i="26"/>
  <c r="L11" i="26"/>
  <c r="SN6" i="22"/>
  <c r="SU6" i="22" s="1"/>
  <c r="TU6" i="22"/>
  <c r="TQ6" i="22"/>
  <c r="I6" i="22"/>
  <c r="K6" i="22"/>
  <c r="P6" i="22"/>
  <c r="L6" i="22"/>
  <c r="M6" i="22" s="1"/>
  <c r="R6" i="22"/>
  <c r="S6" i="22" s="1"/>
  <c r="H6" i="22"/>
  <c r="N6" i="22"/>
  <c r="T6" i="22"/>
  <c r="U6" i="22" s="1"/>
  <c r="N4" i="22"/>
  <c r="TN4" i="22"/>
  <c r="R4" i="22"/>
  <c r="S4" i="22" s="1"/>
  <c r="TU4" i="22"/>
  <c r="TQ4" i="22"/>
  <c r="L4" i="22"/>
  <c r="M4" i="22" s="1"/>
  <c r="I4" i="22"/>
  <c r="K4" i="22"/>
  <c r="H4" i="22"/>
  <c r="T4" i="22"/>
  <c r="U4" i="22" s="1"/>
  <c r="P5" i="4"/>
  <c r="TN5" i="4"/>
  <c r="SN12" i="4"/>
  <c r="SU12" i="4" s="1"/>
  <c r="TN12" i="4"/>
  <c r="TU12" i="4"/>
  <c r="R12" i="4"/>
  <c r="S12" i="4" s="1"/>
  <c r="L12" i="4"/>
  <c r="M12" i="4" s="1"/>
  <c r="K12" i="4"/>
  <c r="I12" i="4"/>
  <c r="P12" i="4"/>
  <c r="Q12" i="4" s="1"/>
  <c r="H12" i="4"/>
  <c r="N12" i="4"/>
  <c r="T12" i="4"/>
  <c r="U12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A21" i="21" l="1" a="1"/>
  <c r="A21" i="21" s="1"/>
  <c r="B29" i="21" a="1"/>
  <c r="B29" i="21" s="1"/>
  <c r="A24" i="21" a="1"/>
  <c r="A24" i="21" s="1"/>
  <c r="A15" i="21" a="1"/>
  <c r="A15" i="21" s="1"/>
  <c r="B23" i="21" a="1"/>
  <c r="B23" i="21" s="1"/>
  <c r="B34" i="21" a="1"/>
  <c r="B34" i="21" s="1"/>
  <c r="B32" i="21" a="1"/>
  <c r="B32" i="21" s="1"/>
  <c r="A37" i="21" a="1"/>
  <c r="A37" i="21" s="1"/>
  <c r="B35" i="21" a="1"/>
  <c r="B35" i="21" s="1"/>
  <c r="A36" i="21" a="1"/>
  <c r="A36" i="21" s="1"/>
  <c r="B18" i="21" a="1"/>
  <c r="B18" i="21" s="1"/>
  <c r="K21" i="19"/>
  <c r="K31" i="19"/>
  <c r="QD11" i="26"/>
  <c r="QD5" i="21"/>
  <c r="K17" i="19"/>
  <c r="K20" i="19"/>
  <c r="K12" i="19"/>
  <c r="K14" i="19"/>
  <c r="QD15" i="19"/>
  <c r="QD30" i="19"/>
  <c r="J5" i="21"/>
  <c r="QD32" i="19"/>
  <c r="QD5" i="19"/>
  <c r="K30" i="19"/>
  <c r="K4" i="19"/>
  <c r="K35" i="19"/>
  <c r="K37" i="19"/>
  <c r="K26" i="19"/>
  <c r="K16" i="19"/>
  <c r="K23" i="19"/>
  <c r="K24" i="19"/>
  <c r="K29" i="19"/>
  <c r="K36" i="19"/>
  <c r="K18" i="19"/>
  <c r="K10" i="19"/>
  <c r="K9" i="19"/>
  <c r="K25" i="19"/>
  <c r="K33" i="19"/>
  <c r="K19" i="19"/>
  <c r="K38" i="19"/>
  <c r="K5" i="19"/>
  <c r="K15" i="19"/>
  <c r="K32" i="19"/>
  <c r="QD8" i="27"/>
  <c r="J8" i="27"/>
  <c r="J11" i="26"/>
  <c r="B11" i="26" s="1" a="1"/>
  <c r="B11" i="26" s="1"/>
  <c r="S36" i="21"/>
  <c r="T36" i="21"/>
  <c r="T34" i="21"/>
  <c r="S34" i="21"/>
  <c r="F35" i="21"/>
  <c r="T35" i="21"/>
  <c r="S35" i="21"/>
  <c r="F18" i="21"/>
  <c r="S18" i="21"/>
  <c r="T18" i="21"/>
  <c r="S25" i="19"/>
  <c r="T25" i="19"/>
  <c r="T33" i="19"/>
  <c r="S33" i="19"/>
  <c r="T7" i="27"/>
  <c r="S7" i="27"/>
  <c r="S15" i="26"/>
  <c r="T15" i="26"/>
  <c r="F7" i="27"/>
  <c r="F34" i="21"/>
  <c r="F33" i="19"/>
  <c r="DC6" i="22"/>
  <c r="Q6" i="22"/>
  <c r="DC4" i="22"/>
  <c r="Q4" i="22"/>
  <c r="DC5" i="4"/>
  <c r="Q5" i="4"/>
  <c r="O11" i="26"/>
  <c r="F36" i="21"/>
  <c r="O5" i="21"/>
  <c r="O5" i="19"/>
  <c r="O30" i="19"/>
  <c r="O32" i="19"/>
  <c r="O38" i="19"/>
  <c r="O15" i="19"/>
  <c r="O8" i="27"/>
  <c r="R12" i="26"/>
  <c r="F25" i="19"/>
  <c r="R9" i="27"/>
  <c r="W8" i="4"/>
  <c r="X8" i="4"/>
  <c r="R27" i="21"/>
  <c r="R13" i="26"/>
  <c r="R25" i="21"/>
  <c r="R16" i="21"/>
  <c r="R20" i="21"/>
  <c r="R38" i="21"/>
  <c r="V10" i="4"/>
  <c r="X10" i="4" s="1"/>
  <c r="B38" i="21" a="1"/>
  <c r="B38" i="21" s="1"/>
  <c r="A38" i="21" a="1"/>
  <c r="A38" i="21" s="1"/>
  <c r="R14" i="26"/>
  <c r="R14" i="27"/>
  <c r="A27" i="21" a="1"/>
  <c r="A27" i="21" s="1"/>
  <c r="R19" i="19"/>
  <c r="B27" i="4" a="1"/>
  <c r="B27" i="4" s="1"/>
  <c r="B16" i="21" a="1"/>
  <c r="B16" i="21" s="1"/>
  <c r="A25" i="21" a="1"/>
  <c r="A25" i="21" s="1"/>
  <c r="V13" i="4"/>
  <c r="F13" i="4" s="1"/>
  <c r="B20" i="21" a="1"/>
  <c r="B20" i="21" s="1"/>
  <c r="F15" i="26"/>
  <c r="A13" i="26" a="1"/>
  <c r="A13" i="26" s="1"/>
  <c r="B14" i="26" a="1"/>
  <c r="B14" i="26" s="1"/>
  <c r="A14" i="26" a="1"/>
  <c r="A14" i="26" s="1"/>
  <c r="A15" i="26" a="1"/>
  <c r="A15" i="26" s="1"/>
  <c r="B15" i="26" a="1"/>
  <c r="B15" i="26" s="1"/>
  <c r="A17" i="4" a="1"/>
  <c r="A17" i="4" s="1"/>
  <c r="B23" i="4" a="1"/>
  <c r="B23" i="4" s="1"/>
  <c r="V17" i="4"/>
  <c r="W17" i="4" s="1"/>
  <c r="V23" i="4"/>
  <c r="F23" i="4" s="1"/>
  <c r="B10" i="4" a="1"/>
  <c r="B10" i="4" s="1"/>
  <c r="V27" i="4"/>
  <c r="W27" i="4" s="1"/>
  <c r="CJ30" i="19"/>
  <c r="CJ8" i="27"/>
  <c r="DB4" i="22"/>
  <c r="CJ11" i="26"/>
  <c r="TR6" i="22"/>
  <c r="TV6" i="22" s="1"/>
  <c r="O4" i="22"/>
  <c r="CJ5" i="21"/>
  <c r="CJ32" i="19"/>
  <c r="CJ38" i="19"/>
  <c r="TR12" i="4"/>
  <c r="TV12" i="4" s="1"/>
  <c r="TR5" i="4"/>
  <c r="TV5" i="4" s="1"/>
  <c r="CI5" i="21"/>
  <c r="M5" i="21"/>
  <c r="M32" i="19"/>
  <c r="CI32" i="19"/>
  <c r="CJ15" i="19"/>
  <c r="CI30" i="19"/>
  <c r="M30" i="19"/>
  <c r="CJ5" i="19"/>
  <c r="CI38" i="19"/>
  <c r="M38" i="19"/>
  <c r="M5" i="19"/>
  <c r="CI5" i="19"/>
  <c r="M15" i="19"/>
  <c r="CI15" i="19"/>
  <c r="M8" i="27"/>
  <c r="CI8" i="27"/>
  <c r="M11" i="26"/>
  <c r="CI11" i="26"/>
  <c r="J6" i="22"/>
  <c r="DB6" i="22"/>
  <c r="O6" i="22"/>
  <c r="J4" i="22"/>
  <c r="TR4" i="22"/>
  <c r="TV4" i="22" s="1"/>
  <c r="DC12" i="4"/>
  <c r="J12" i="4"/>
  <c r="O12" i="4"/>
  <c r="DB12" i="4"/>
  <c r="J5" i="4"/>
  <c r="O5" i="4"/>
  <c r="DB5" i="4"/>
  <c r="F27" i="21" l="1"/>
  <c r="S27" i="21"/>
  <c r="T27" i="21"/>
  <c r="F25" i="21"/>
  <c r="S25" i="21"/>
  <c r="T25" i="21"/>
  <c r="F16" i="21"/>
  <c r="S16" i="21"/>
  <c r="T16" i="21"/>
  <c r="F38" i="21"/>
  <c r="S38" i="21"/>
  <c r="T38" i="21"/>
  <c r="F20" i="21"/>
  <c r="S20" i="21"/>
  <c r="T20" i="21"/>
  <c r="F19" i="19"/>
  <c r="T19" i="19"/>
  <c r="S19" i="19"/>
  <c r="F14" i="27"/>
  <c r="S14" i="27"/>
  <c r="T14" i="27"/>
  <c r="F9" i="27"/>
  <c r="T9" i="27"/>
  <c r="S9" i="27"/>
  <c r="S12" i="26"/>
  <c r="T12" i="26"/>
  <c r="F13" i="26"/>
  <c r="S13" i="26"/>
  <c r="T13" i="26"/>
  <c r="S14" i="26"/>
  <c r="T14" i="26"/>
  <c r="V6" i="22"/>
  <c r="X6" i="22" s="1"/>
  <c r="V4" i="22"/>
  <c r="X4" i="22" s="1"/>
  <c r="V5" i="4"/>
  <c r="X5" i="4" s="1"/>
  <c r="F12" i="26"/>
  <c r="W10" i="4"/>
  <c r="F10" i="4"/>
  <c r="F14" i="26"/>
  <c r="W13" i="4"/>
  <c r="X13" i="4"/>
  <c r="R30" i="19"/>
  <c r="F27" i="4"/>
  <c r="X27" i="4"/>
  <c r="X17" i="4"/>
  <c r="F17" i="4"/>
  <c r="W23" i="4"/>
  <c r="X23" i="4"/>
  <c r="R8" i="27"/>
  <c r="R11" i="26"/>
  <c r="R32" i="19"/>
  <c r="V12" i="4"/>
  <c r="W12" i="4" s="1"/>
  <c r="R5" i="21"/>
  <c r="R5" i="19"/>
  <c r="R38" i="19"/>
  <c r="R15" i="19"/>
  <c r="A11" i="26" a="1"/>
  <c r="A11" i="26" s="1"/>
  <c r="A12" i="4" a="1"/>
  <c r="A12" i="4" s="1"/>
  <c r="B12" i="4" a="1"/>
  <c r="B12" i="4" s="1"/>
  <c r="W6" i="22" l="1"/>
  <c r="F6" i="22"/>
  <c r="T5" i="21"/>
  <c r="S5" i="21"/>
  <c r="F30" i="19"/>
  <c r="T30" i="19"/>
  <c r="S30" i="19"/>
  <c r="S32" i="19"/>
  <c r="T32" i="19"/>
  <c r="F15" i="19"/>
  <c r="T15" i="19"/>
  <c r="S15" i="19"/>
  <c r="S38" i="19"/>
  <c r="T38" i="19"/>
  <c r="S5" i="19"/>
  <c r="T5" i="19"/>
  <c r="S8" i="27"/>
  <c r="T8" i="27"/>
  <c r="F11" i="26"/>
  <c r="S11" i="26"/>
  <c r="T11" i="26"/>
  <c r="W4" i="22"/>
  <c r="F4" i="22"/>
  <c r="W5" i="4"/>
  <c r="F5" i="4"/>
  <c r="F8" i="27"/>
  <c r="X12" i="4"/>
  <c r="F32" i="19"/>
  <c r="F12" i="4"/>
  <c r="F5" i="19"/>
  <c r="F5" i="21"/>
  <c r="F38" i="19"/>
  <c r="CD11" i="19" l="1"/>
  <c r="CE11" i="19"/>
  <c r="CF11" i="19"/>
  <c r="CG11" i="19"/>
  <c r="PA11" i="19"/>
  <c r="PB11" i="19"/>
  <c r="PC11" i="19"/>
  <c r="PD11" i="19"/>
  <c r="PF11" i="19"/>
  <c r="PG11" i="19"/>
  <c r="PI11" i="19"/>
  <c r="PJ11" i="19"/>
  <c r="PK11" i="19"/>
  <c r="PL11" i="19"/>
  <c r="PM11" i="19"/>
  <c r="PN11" i="19"/>
  <c r="PO11" i="19"/>
  <c r="PP11" i="19"/>
  <c r="PQ11" i="19"/>
  <c r="PR11" i="19"/>
  <c r="PS11" i="19"/>
  <c r="PT11" i="19"/>
  <c r="PU11" i="19"/>
  <c r="PV11" i="19"/>
  <c r="PW11" i="19"/>
  <c r="PX11" i="19"/>
  <c r="CD18" i="26"/>
  <c r="CE18" i="26"/>
  <c r="CF18" i="26"/>
  <c r="CG18" i="26"/>
  <c r="PA18" i="26"/>
  <c r="PB18" i="26"/>
  <c r="PC18" i="26"/>
  <c r="PD18" i="26"/>
  <c r="PF18" i="26"/>
  <c r="PG18" i="26"/>
  <c r="PI18" i="26"/>
  <c r="PJ18" i="26"/>
  <c r="PK18" i="26"/>
  <c r="PL18" i="26"/>
  <c r="PM18" i="26"/>
  <c r="PN18" i="26"/>
  <c r="PO18" i="26"/>
  <c r="PP18" i="26"/>
  <c r="PQ18" i="26"/>
  <c r="PR18" i="26"/>
  <c r="PS18" i="26"/>
  <c r="PT18" i="26"/>
  <c r="PU18" i="26"/>
  <c r="PV18" i="26"/>
  <c r="PW18" i="26"/>
  <c r="PX18" i="26"/>
  <c r="CH11" i="19" l="1"/>
  <c r="CH18" i="26"/>
  <c r="PH11" i="19"/>
  <c r="PH18" i="26"/>
  <c r="P18" i="26"/>
  <c r="Q18" i="26" s="1"/>
  <c r="QB11" i="19"/>
  <c r="PZ11" i="19"/>
  <c r="P11" i="19"/>
  <c r="CJ11" i="19" s="1"/>
  <c r="PE11" i="19"/>
  <c r="K11" i="19" s="1"/>
  <c r="QC11" i="19"/>
  <c r="N11" i="19"/>
  <c r="H11" i="19"/>
  <c r="QA11" i="19"/>
  <c r="QD11" i="19" s="1"/>
  <c r="L11" i="19"/>
  <c r="M11" i="19" s="1"/>
  <c r="I11" i="19"/>
  <c r="PZ18" i="26"/>
  <c r="PE18" i="26"/>
  <c r="K18" i="26" s="1"/>
  <c r="QC18" i="26"/>
  <c r="QB18" i="26"/>
  <c r="N18" i="26"/>
  <c r="QA18" i="26"/>
  <c r="QD18" i="26" s="1"/>
  <c r="H18" i="26"/>
  <c r="L18" i="26"/>
  <c r="M18" i="26" s="1"/>
  <c r="I18" i="26"/>
  <c r="O11" i="19" l="1"/>
  <c r="J18" i="26"/>
  <c r="O18" i="26"/>
  <c r="CJ18" i="26"/>
  <c r="CI11" i="19"/>
  <c r="Q11" i="19"/>
  <c r="CI18" i="26"/>
  <c r="R18" i="26" l="1"/>
  <c r="R11" i="19"/>
  <c r="F11" i="19" l="1"/>
  <c r="S11" i="19"/>
  <c r="T11" i="19"/>
  <c r="F18" i="26"/>
  <c r="S18" i="26"/>
  <c r="T18" i="26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I26" i="4"/>
  <c r="TT26" i="4" s="1"/>
  <c r="TJ26" i="4"/>
  <c r="CD11" i="27"/>
  <c r="CE11" i="27"/>
  <c r="CF11" i="27"/>
  <c r="CG11" i="27"/>
  <c r="PA11" i="27"/>
  <c r="PB11" i="27"/>
  <c r="PC11" i="27"/>
  <c r="PD11" i="27"/>
  <c r="PF11" i="27"/>
  <c r="PG11" i="27"/>
  <c r="PI11" i="27"/>
  <c r="PJ11" i="27"/>
  <c r="PK11" i="27"/>
  <c r="PL11" i="27"/>
  <c r="PM11" i="27"/>
  <c r="PN11" i="27"/>
  <c r="PO11" i="27"/>
  <c r="PP11" i="27"/>
  <c r="PQ11" i="27"/>
  <c r="PR11" i="27"/>
  <c r="PS11" i="27"/>
  <c r="PT11" i="27"/>
  <c r="PU11" i="27"/>
  <c r="PV11" i="27"/>
  <c r="PW11" i="27"/>
  <c r="PX11" i="27"/>
  <c r="CD5" i="26"/>
  <c r="CE5" i="26"/>
  <c r="CF5" i="26"/>
  <c r="CG5" i="26"/>
  <c r="PA5" i="26"/>
  <c r="PB5" i="26"/>
  <c r="PC5" i="26"/>
  <c r="PD5" i="26"/>
  <c r="PF5" i="26"/>
  <c r="PG5" i="26"/>
  <c r="PI5" i="26"/>
  <c r="PJ5" i="26"/>
  <c r="PK5" i="26"/>
  <c r="PL5" i="26"/>
  <c r="PM5" i="26"/>
  <c r="PN5" i="26"/>
  <c r="PO5" i="26"/>
  <c r="PP5" i="26"/>
  <c r="PQ5" i="26"/>
  <c r="PR5" i="26"/>
  <c r="PS5" i="26"/>
  <c r="PT5" i="26"/>
  <c r="PU5" i="26"/>
  <c r="PV5" i="26"/>
  <c r="PW5" i="26"/>
  <c r="PX5" i="26"/>
  <c r="CH11" i="27" l="1"/>
  <c r="CH5" i="26"/>
  <c r="PH11" i="27"/>
  <c r="PH5" i="26"/>
  <c r="I11" i="27"/>
  <c r="H11" i="27"/>
  <c r="I5" i="26"/>
  <c r="H5" i="26"/>
  <c r="I26" i="4"/>
  <c r="I22" i="4"/>
  <c r="H26" i="4"/>
  <c r="H22" i="4"/>
  <c r="PE5" i="26"/>
  <c r="K5" i="26" s="1"/>
  <c r="PE11" i="27"/>
  <c r="K11" i="27" s="1"/>
  <c r="P11" i="27"/>
  <c r="CJ11" i="27" s="1"/>
  <c r="QB11" i="27"/>
  <c r="PZ11" i="27"/>
  <c r="PZ5" i="26"/>
  <c r="SN22" i="4"/>
  <c r="SU22" i="4" s="1"/>
  <c r="CW22" i="4"/>
  <c r="DA22" i="4" s="1"/>
  <c r="CW26" i="4"/>
  <c r="DA26" i="4" s="1"/>
  <c r="SN26" i="4"/>
  <c r="SU26" i="4" s="1"/>
  <c r="TN22" i="4"/>
  <c r="TU22" i="4"/>
  <c r="TQ22" i="4"/>
  <c r="R22" i="4"/>
  <c r="S22" i="4" s="1"/>
  <c r="N22" i="4"/>
  <c r="O22" i="4" s="1"/>
  <c r="T22" i="4"/>
  <c r="U22" i="4" s="1"/>
  <c r="L22" i="4"/>
  <c r="M22" i="4" s="1"/>
  <c r="K22" i="4"/>
  <c r="P22" i="4"/>
  <c r="Q22" i="4" s="1"/>
  <c r="TQ26" i="4"/>
  <c r="TN26" i="4"/>
  <c r="TU26" i="4"/>
  <c r="TS26" i="4"/>
  <c r="T26" i="4"/>
  <c r="U26" i="4" s="1"/>
  <c r="L26" i="4"/>
  <c r="M26" i="4" s="1"/>
  <c r="R26" i="4"/>
  <c r="S26" i="4" s="1"/>
  <c r="P26" i="4"/>
  <c r="Q26" i="4" s="1"/>
  <c r="N26" i="4"/>
  <c r="K26" i="4"/>
  <c r="QC11" i="27"/>
  <c r="QA11" i="27"/>
  <c r="N11" i="27"/>
  <c r="L11" i="27"/>
  <c r="M11" i="27" s="1"/>
  <c r="QA5" i="26"/>
  <c r="QB5" i="26"/>
  <c r="P5" i="26"/>
  <c r="CJ5" i="26" s="1"/>
  <c r="N5" i="26"/>
  <c r="QC5" i="26"/>
  <c r="L5" i="26"/>
  <c r="M5" i="26" s="1"/>
  <c r="CD33" i="21"/>
  <c r="CE33" i="21"/>
  <c r="CF33" i="21"/>
  <c r="CG33" i="21"/>
  <c r="PA33" i="21"/>
  <c r="PB33" i="21"/>
  <c r="PC33" i="21"/>
  <c r="PD33" i="21"/>
  <c r="PF33" i="21"/>
  <c r="PG33" i="21"/>
  <c r="QD5" i="26" l="1"/>
  <c r="CH33" i="21"/>
  <c r="QD11" i="27"/>
  <c r="J11" i="27"/>
  <c r="J5" i="26"/>
  <c r="O11" i="27"/>
  <c r="O5" i="26"/>
  <c r="PH33" i="21"/>
  <c r="I33" i="21"/>
  <c r="H33" i="21"/>
  <c r="QB33" i="21"/>
  <c r="J26" i="4"/>
  <c r="TR26" i="4"/>
  <c r="TV26" i="4" s="1"/>
  <c r="Q11" i="27"/>
  <c r="CI11" i="27"/>
  <c r="TR22" i="4"/>
  <c r="TV22" i="4" s="1"/>
  <c r="J22" i="4"/>
  <c r="DC22" i="4"/>
  <c r="DB22" i="4"/>
  <c r="DC26" i="4"/>
  <c r="O26" i="4"/>
  <c r="DB26" i="4"/>
  <c r="CI5" i="26"/>
  <c r="R5" i="26" s="1"/>
  <c r="Q5" i="26"/>
  <c r="PE33" i="21"/>
  <c r="K33" i="21" s="1"/>
  <c r="QC33" i="21"/>
  <c r="P33" i="21"/>
  <c r="Q33" i="21" s="1"/>
  <c r="QA33" i="21"/>
  <c r="PZ33" i="21"/>
  <c r="N33" i="21"/>
  <c r="L33" i="21"/>
  <c r="M33" i="21" s="1"/>
  <c r="CD7" i="21"/>
  <c r="CE7" i="21"/>
  <c r="CF7" i="21"/>
  <c r="CG7" i="21"/>
  <c r="PA7" i="21"/>
  <c r="PB7" i="21"/>
  <c r="PC7" i="21"/>
  <c r="PD7" i="21"/>
  <c r="PF7" i="21"/>
  <c r="PG7" i="21"/>
  <c r="CD27" i="19"/>
  <c r="CE27" i="19"/>
  <c r="CF27" i="19"/>
  <c r="CG27" i="19"/>
  <c r="PA27" i="19"/>
  <c r="PB27" i="19"/>
  <c r="PC27" i="19"/>
  <c r="PD27" i="19"/>
  <c r="PF27" i="19"/>
  <c r="PG27" i="19"/>
  <c r="PI27" i="19"/>
  <c r="PJ27" i="19"/>
  <c r="PK27" i="19"/>
  <c r="PL27" i="19"/>
  <c r="PM27" i="19"/>
  <c r="PN27" i="19"/>
  <c r="PO27" i="19"/>
  <c r="PP27" i="19"/>
  <c r="PQ27" i="19"/>
  <c r="PR27" i="19"/>
  <c r="PS27" i="19"/>
  <c r="PT27" i="19"/>
  <c r="PU27" i="19"/>
  <c r="PV27" i="19"/>
  <c r="PW27" i="19"/>
  <c r="PX27" i="19"/>
  <c r="CD4" i="26"/>
  <c r="CE4" i="26"/>
  <c r="CF4" i="26"/>
  <c r="CG4" i="26"/>
  <c r="PA4" i="26"/>
  <c r="PB4" i="26"/>
  <c r="PC4" i="26"/>
  <c r="PD4" i="26"/>
  <c r="PF4" i="26"/>
  <c r="PG4" i="26"/>
  <c r="PI4" i="26"/>
  <c r="PJ4" i="26"/>
  <c r="PK4" i="26"/>
  <c r="PL4" i="26"/>
  <c r="PM4" i="26"/>
  <c r="PN4" i="26"/>
  <c r="PO4" i="26"/>
  <c r="PP4" i="26"/>
  <c r="PQ4" i="26"/>
  <c r="PR4" i="26"/>
  <c r="PS4" i="26"/>
  <c r="PT4" i="26"/>
  <c r="PU4" i="26"/>
  <c r="PV4" i="26"/>
  <c r="PW4" i="26"/>
  <c r="PX4" i="26"/>
  <c r="QD33" i="21" l="1"/>
  <c r="CH27" i="19"/>
  <c r="J33" i="21"/>
  <c r="CH7" i="21"/>
  <c r="CH4" i="26"/>
  <c r="S5" i="26"/>
  <c r="T5" i="26"/>
  <c r="CI33" i="21"/>
  <c r="O33" i="21"/>
  <c r="A26" i="4" a="1"/>
  <c r="A26" i="4" s="1"/>
  <c r="B26" i="4" a="1"/>
  <c r="B26" i="4" s="1"/>
  <c r="A22" i="4" a="1"/>
  <c r="A22" i="4" s="1"/>
  <c r="B22" i="4" a="1"/>
  <c r="B22" i="4" s="1"/>
  <c r="PH7" i="21"/>
  <c r="PH27" i="19"/>
  <c r="PH4" i="26"/>
  <c r="H27" i="19"/>
  <c r="I7" i="21"/>
  <c r="H7" i="21"/>
  <c r="I27" i="19"/>
  <c r="I4" i="26"/>
  <c r="H4" i="26"/>
  <c r="B5" i="26" a="1"/>
  <c r="B5" i="26" s="1"/>
  <c r="R11" i="27"/>
  <c r="V22" i="4"/>
  <c r="W22" i="4" s="1"/>
  <c r="V26" i="4"/>
  <c r="W26" i="4" s="1"/>
  <c r="F5" i="26"/>
  <c r="CJ33" i="21"/>
  <c r="QB27" i="19"/>
  <c r="P27" i="19"/>
  <c r="CJ27" i="19" s="1"/>
  <c r="PZ27" i="19"/>
  <c r="PE27" i="19"/>
  <c r="K27" i="19" s="1"/>
  <c r="PE4" i="26"/>
  <c r="K4" i="26" s="1"/>
  <c r="PE7" i="21"/>
  <c r="K7" i="21" s="1"/>
  <c r="P7" i="21"/>
  <c r="Q7" i="21" s="1"/>
  <c r="PZ7" i="21"/>
  <c r="QA7" i="21"/>
  <c r="N7" i="21"/>
  <c r="QB7" i="21"/>
  <c r="QC7" i="21"/>
  <c r="L7" i="21"/>
  <c r="M7" i="21" s="1"/>
  <c r="QC27" i="19"/>
  <c r="N27" i="19"/>
  <c r="QA27" i="19"/>
  <c r="L27" i="19"/>
  <c r="PZ4" i="26"/>
  <c r="QB4" i="26"/>
  <c r="QC4" i="26"/>
  <c r="P4" i="26"/>
  <c r="CJ4" i="26" s="1"/>
  <c r="N4" i="26"/>
  <c r="QA4" i="26"/>
  <c r="QD4" i="26" s="1"/>
  <c r="L4" i="26"/>
  <c r="M4" i="26" s="1"/>
  <c r="QD27" i="19" l="1"/>
  <c r="QD7" i="21"/>
  <c r="J7" i="21"/>
  <c r="J4" i="26"/>
  <c r="F11" i="27"/>
  <c r="S11" i="27"/>
  <c r="T11" i="27"/>
  <c r="O7" i="21"/>
  <c r="O27" i="19"/>
  <c r="O4" i="26"/>
  <c r="R33" i="21"/>
  <c r="F22" i="4"/>
  <c r="X22" i="4"/>
  <c r="F26" i="4"/>
  <c r="X26" i="4"/>
  <c r="Q27" i="19"/>
  <c r="CJ7" i="21"/>
  <c r="CI7" i="21"/>
  <c r="CI27" i="19"/>
  <c r="R27" i="19" s="1"/>
  <c r="M27" i="19"/>
  <c r="CI4" i="26"/>
  <c r="R4" i="26" s="1"/>
  <c r="Q4" i="26"/>
  <c r="F33" i="21" l="1"/>
  <c r="T33" i="21"/>
  <c r="S33" i="21"/>
  <c r="T27" i="19"/>
  <c r="S27" i="19"/>
  <c r="T4" i="26"/>
  <c r="S4" i="26"/>
  <c r="A33" i="21" a="1"/>
  <c r="A33" i="21" s="1"/>
  <c r="B33" i="21" a="1"/>
  <c r="B33" i="21" s="1"/>
  <c r="A11" i="27" a="1"/>
  <c r="A11" i="27" s="1"/>
  <c r="B11" i="27" a="1"/>
  <c r="B11" i="27" s="1"/>
  <c r="R7" i="21"/>
  <c r="F27" i="19"/>
  <c r="F4" i="26"/>
  <c r="S7" i="21" l="1"/>
  <c r="T7" i="21"/>
  <c r="B4" i="26" a="1"/>
  <c r="B4" i="26" s="1"/>
  <c r="F7" i="21"/>
  <c r="CQ5" i="22" l="1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5" i="22" l="1"/>
  <c r="H5" i="22"/>
  <c r="I15" i="4"/>
  <c r="H15" i="4"/>
  <c r="P5" i="22"/>
  <c r="Q5" i="22" s="1"/>
  <c r="CW15" i="4"/>
  <c r="DA15" i="4" s="1"/>
  <c r="SN5" i="22"/>
  <c r="SU5" i="22" s="1"/>
  <c r="CW5" i="22"/>
  <c r="DA5" i="22" s="1"/>
  <c r="SN15" i="4"/>
  <c r="SU15" i="4" s="1"/>
  <c r="TQ5" i="22"/>
  <c r="TN5" i="22"/>
  <c r="TU5" i="22"/>
  <c r="K5" i="22"/>
  <c r="N5" i="22"/>
  <c r="O5" i="22" s="1"/>
  <c r="T5" i="22"/>
  <c r="U5" i="22" s="1"/>
  <c r="L5" i="22"/>
  <c r="R5" i="22"/>
  <c r="S5" i="22" s="1"/>
  <c r="TQ15" i="4"/>
  <c r="TN15" i="4"/>
  <c r="TU15" i="4"/>
  <c r="N15" i="4"/>
  <c r="O15" i="4" s="1"/>
  <c r="T15" i="4"/>
  <c r="U15" i="4" s="1"/>
  <c r="L15" i="4"/>
  <c r="K15" i="4"/>
  <c r="R15" i="4"/>
  <c r="S15" i="4" s="1"/>
  <c r="P15" i="4"/>
  <c r="Q15" i="4" s="1"/>
  <c r="J5" i="22" l="1"/>
  <c r="J15" i="4"/>
  <c r="M5" i="22"/>
  <c r="TR15" i="4"/>
  <c r="TV15" i="4" s="1"/>
  <c r="M15" i="4"/>
  <c r="TR5" i="22"/>
  <c r="TV5" i="22" s="1"/>
  <c r="DC5" i="22"/>
  <c r="DB5" i="22"/>
  <c r="DB15" i="4"/>
  <c r="DC15" i="4"/>
  <c r="V15" i="4" l="1"/>
  <c r="F15" i="4" s="1"/>
  <c r="V5" i="22"/>
  <c r="W5" i="22" l="1"/>
  <c r="X5" i="22"/>
  <c r="F5" i="22"/>
  <c r="W15" i="4"/>
  <c r="X15" i="4"/>
  <c r="CD16" i="27"/>
  <c r="CE16" i="27"/>
  <c r="CF16" i="27"/>
  <c r="CG16" i="27"/>
  <c r="PA16" i="27"/>
  <c r="PB16" i="27"/>
  <c r="PC16" i="27"/>
  <c r="PD16" i="27"/>
  <c r="PF16" i="27"/>
  <c r="PG16" i="27"/>
  <c r="PI16" i="27"/>
  <c r="PJ16" i="27"/>
  <c r="PK16" i="27"/>
  <c r="PL16" i="27"/>
  <c r="PM16" i="27"/>
  <c r="PN16" i="27"/>
  <c r="PO16" i="27"/>
  <c r="PP16" i="27"/>
  <c r="PQ16" i="27"/>
  <c r="PR16" i="27"/>
  <c r="PS16" i="27"/>
  <c r="PT16" i="27"/>
  <c r="PU16" i="27"/>
  <c r="PV16" i="27"/>
  <c r="PW16" i="27"/>
  <c r="PX16" i="27"/>
  <c r="CD4" i="27"/>
  <c r="CE4" i="27"/>
  <c r="CF4" i="27"/>
  <c r="CG4" i="27"/>
  <c r="PA4" i="27"/>
  <c r="PB4" i="27"/>
  <c r="PC4" i="27"/>
  <c r="PD4" i="27"/>
  <c r="PF4" i="27"/>
  <c r="PG4" i="27"/>
  <c r="PI4" i="27"/>
  <c r="PJ4" i="27"/>
  <c r="PK4" i="27"/>
  <c r="PL4" i="27"/>
  <c r="PM4" i="27"/>
  <c r="PN4" i="27"/>
  <c r="PO4" i="27"/>
  <c r="PP4" i="27"/>
  <c r="PQ4" i="27"/>
  <c r="PR4" i="27"/>
  <c r="PS4" i="27"/>
  <c r="PT4" i="27"/>
  <c r="PU4" i="27"/>
  <c r="PV4" i="27"/>
  <c r="PW4" i="27"/>
  <c r="PX4" i="27"/>
  <c r="CH4" i="27" l="1"/>
  <c r="CH16" i="27"/>
  <c r="PH4" i="27"/>
  <c r="PH16" i="27"/>
  <c r="I16" i="27"/>
  <c r="I4" i="27"/>
  <c r="H4" i="27"/>
  <c r="H16" i="27"/>
  <c r="PE16" i="27"/>
  <c r="K16" i="27" s="1"/>
  <c r="PZ16" i="27"/>
  <c r="QB4" i="27"/>
  <c r="PZ4" i="27"/>
  <c r="PE4" i="27"/>
  <c r="K4" i="27" s="1"/>
  <c r="QA16" i="27"/>
  <c r="QD16" i="27" s="1"/>
  <c r="P16" i="27"/>
  <c r="CJ16" i="27" s="1"/>
  <c r="QB16" i="27"/>
  <c r="N16" i="27"/>
  <c r="QC16" i="27"/>
  <c r="L16" i="27"/>
  <c r="M16" i="27" s="1"/>
  <c r="P4" i="27"/>
  <c r="Q4" i="27" s="1"/>
  <c r="QA4" i="27"/>
  <c r="N4" i="27"/>
  <c r="QC4" i="27"/>
  <c r="L4" i="27"/>
  <c r="QD4" i="27" l="1"/>
  <c r="J16" i="27"/>
  <c r="J4" i="27"/>
  <c r="M4" i="27"/>
  <c r="O4" i="27"/>
  <c r="CI16" i="27"/>
  <c r="R16" i="27" s="1"/>
  <c r="O16" i="27"/>
  <c r="CJ4" i="27"/>
  <c r="Q16" i="27"/>
  <c r="CI4" i="27"/>
  <c r="T16" i="27" l="1"/>
  <c r="S16" i="27"/>
  <c r="R4" i="27"/>
  <c r="F16" i="27"/>
  <c r="T4" i="27" l="1"/>
  <c r="S4" i="27"/>
  <c r="F4" i="27"/>
  <c r="CD7" i="26"/>
  <c r="CE7" i="26"/>
  <c r="CF7" i="26"/>
  <c r="CG7" i="26"/>
  <c r="PA7" i="26"/>
  <c r="PB7" i="26"/>
  <c r="PC7" i="26"/>
  <c r="PD7" i="26"/>
  <c r="PF7" i="26"/>
  <c r="PG7" i="26"/>
  <c r="PI7" i="26"/>
  <c r="PJ7" i="26"/>
  <c r="PK7" i="26"/>
  <c r="PL7" i="26"/>
  <c r="PM7" i="26"/>
  <c r="PN7" i="26"/>
  <c r="PO7" i="26"/>
  <c r="PP7" i="26"/>
  <c r="PQ7" i="26"/>
  <c r="PR7" i="26"/>
  <c r="PS7" i="26"/>
  <c r="PT7" i="26"/>
  <c r="PU7" i="26"/>
  <c r="PV7" i="26"/>
  <c r="PW7" i="26"/>
  <c r="PX7" i="26"/>
  <c r="CD6" i="26"/>
  <c r="CE6" i="26"/>
  <c r="CF6" i="26"/>
  <c r="CG6" i="26"/>
  <c r="PA6" i="26"/>
  <c r="PB6" i="26"/>
  <c r="PC6" i="26"/>
  <c r="PD6" i="26"/>
  <c r="PF6" i="26"/>
  <c r="PG6" i="26"/>
  <c r="PI6" i="26"/>
  <c r="PJ6" i="26"/>
  <c r="PK6" i="26"/>
  <c r="PL6" i="26"/>
  <c r="PM6" i="26"/>
  <c r="PN6" i="26"/>
  <c r="PO6" i="26"/>
  <c r="PP6" i="26"/>
  <c r="PQ6" i="26"/>
  <c r="PR6" i="26"/>
  <c r="PS6" i="26"/>
  <c r="PT6" i="26"/>
  <c r="PU6" i="26"/>
  <c r="PV6" i="26"/>
  <c r="PW6" i="26"/>
  <c r="PX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D22" i="19"/>
  <c r="CE22" i="19"/>
  <c r="CF22" i="19"/>
  <c r="CG22" i="19"/>
  <c r="PA22" i="19"/>
  <c r="PB22" i="19"/>
  <c r="PC22" i="19"/>
  <c r="PD22" i="19"/>
  <c r="PF22" i="19"/>
  <c r="PG22" i="19"/>
  <c r="PI22" i="19"/>
  <c r="PJ22" i="19"/>
  <c r="PK22" i="19"/>
  <c r="PL22" i="19"/>
  <c r="PM22" i="19"/>
  <c r="PN22" i="19"/>
  <c r="PO22" i="19"/>
  <c r="PP22" i="19"/>
  <c r="PQ22" i="19"/>
  <c r="PR22" i="19"/>
  <c r="PS22" i="19"/>
  <c r="PT22" i="19"/>
  <c r="PU22" i="19"/>
  <c r="PV22" i="19"/>
  <c r="PW22" i="19"/>
  <c r="PX22" i="19"/>
  <c r="CD8" i="19"/>
  <c r="CE8" i="19"/>
  <c r="CF8" i="19"/>
  <c r="CG8" i="19"/>
  <c r="PA8" i="19"/>
  <c r="PB8" i="19"/>
  <c r="PC8" i="19"/>
  <c r="PD8" i="19"/>
  <c r="PF8" i="19"/>
  <c r="PG8" i="19"/>
  <c r="PI8" i="19"/>
  <c r="PJ8" i="19"/>
  <c r="PK8" i="19"/>
  <c r="PL8" i="19"/>
  <c r="PM8" i="19"/>
  <c r="PN8" i="19"/>
  <c r="PO8" i="19"/>
  <c r="PP8" i="19"/>
  <c r="PQ8" i="19"/>
  <c r="PR8" i="19"/>
  <c r="PS8" i="19"/>
  <c r="PT8" i="19"/>
  <c r="PU8" i="19"/>
  <c r="PV8" i="19"/>
  <c r="PW8" i="19"/>
  <c r="PX8" i="19"/>
  <c r="CD13" i="21"/>
  <c r="CE13" i="21"/>
  <c r="CF13" i="21"/>
  <c r="CG13" i="21"/>
  <c r="PA13" i="21"/>
  <c r="PB13" i="21"/>
  <c r="PC13" i="21"/>
  <c r="PD13" i="21"/>
  <c r="PF13" i="21"/>
  <c r="PG13" i="21"/>
  <c r="CD28" i="19"/>
  <c r="CE28" i="19"/>
  <c r="CF28" i="19"/>
  <c r="CG28" i="19"/>
  <c r="PA28" i="19"/>
  <c r="PB28" i="19"/>
  <c r="PC28" i="19"/>
  <c r="PD28" i="19"/>
  <c r="PF28" i="19"/>
  <c r="PG28" i="19"/>
  <c r="PI28" i="19"/>
  <c r="PJ28" i="19"/>
  <c r="PK28" i="19"/>
  <c r="PL28" i="19"/>
  <c r="PM28" i="19"/>
  <c r="PN28" i="19"/>
  <c r="PO28" i="19"/>
  <c r="PP28" i="19"/>
  <c r="PQ28" i="19"/>
  <c r="PR28" i="19"/>
  <c r="PS28" i="19"/>
  <c r="PT28" i="19"/>
  <c r="PU28" i="19"/>
  <c r="PV28" i="19"/>
  <c r="PW28" i="19"/>
  <c r="PX28" i="19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H13" i="21" l="1"/>
  <c r="CH8" i="19"/>
  <c r="CH28" i="19"/>
  <c r="CH22" i="19"/>
  <c r="CH6" i="26"/>
  <c r="CH7" i="26"/>
  <c r="B4" i="27" a="1"/>
  <c r="B4" i="27" s="1"/>
  <c r="PH13" i="21"/>
  <c r="H28" i="19"/>
  <c r="PH8" i="19"/>
  <c r="PH28" i="19"/>
  <c r="PH22" i="19"/>
  <c r="PH6" i="26"/>
  <c r="PH7" i="26"/>
  <c r="H13" i="21"/>
  <c r="H8" i="19"/>
  <c r="I13" i="21"/>
  <c r="I28" i="19"/>
  <c r="I22" i="19"/>
  <c r="H22" i="19"/>
  <c r="I8" i="19"/>
  <c r="I6" i="26"/>
  <c r="I7" i="26"/>
  <c r="H6" i="26"/>
  <c r="H7" i="26"/>
  <c r="I4" i="4"/>
  <c r="H18" i="4"/>
  <c r="H19" i="4"/>
  <c r="H4" i="4"/>
  <c r="H7" i="4"/>
  <c r="I18" i="4"/>
  <c r="I19" i="4"/>
  <c r="I7" i="4"/>
  <c r="PE6" i="26"/>
  <c r="K6" i="26" s="1"/>
  <c r="PE7" i="26"/>
  <c r="K7" i="26" s="1"/>
  <c r="PZ7" i="26"/>
  <c r="CW7" i="4"/>
  <c r="DA7" i="4" s="1"/>
  <c r="QA7" i="26"/>
  <c r="CW18" i="4"/>
  <c r="DA18" i="4" s="1"/>
  <c r="QB7" i="26"/>
  <c r="N7" i="26"/>
  <c r="QC7" i="26"/>
  <c r="L7" i="26"/>
  <c r="M7" i="26" s="1"/>
  <c r="P7" i="26"/>
  <c r="QB6" i="26"/>
  <c r="PZ6" i="26"/>
  <c r="QA6" i="26"/>
  <c r="N6" i="26"/>
  <c r="QC6" i="26"/>
  <c r="L6" i="26"/>
  <c r="M6" i="26" s="1"/>
  <c r="P6" i="26"/>
  <c r="QB22" i="19"/>
  <c r="PZ22" i="19"/>
  <c r="PE22" i="19"/>
  <c r="K22" i="19" s="1"/>
  <c r="SN7" i="4"/>
  <c r="SU7" i="4" s="1"/>
  <c r="TQ7" i="4"/>
  <c r="TN7" i="4"/>
  <c r="TU7" i="4"/>
  <c r="R7" i="4"/>
  <c r="S7" i="4" s="1"/>
  <c r="N7" i="4"/>
  <c r="O7" i="4" s="1"/>
  <c r="L7" i="4"/>
  <c r="P7" i="4"/>
  <c r="Q7" i="4" s="1"/>
  <c r="T7" i="4"/>
  <c r="U7" i="4" s="1"/>
  <c r="K7" i="4"/>
  <c r="QC22" i="19"/>
  <c r="P22" i="19"/>
  <c r="CJ22" i="19" s="1"/>
  <c r="QA22" i="19"/>
  <c r="N22" i="19"/>
  <c r="L22" i="19"/>
  <c r="T19" i="4"/>
  <c r="U19" i="4" s="1"/>
  <c r="T4" i="4"/>
  <c r="U4" i="4" s="1"/>
  <c r="T18" i="4"/>
  <c r="U18" i="4" s="1"/>
  <c r="P8" i="19"/>
  <c r="CJ8" i="19" s="1"/>
  <c r="PZ8" i="19"/>
  <c r="PE8" i="19"/>
  <c r="K8" i="19" s="1"/>
  <c r="QA8" i="19"/>
  <c r="QB8" i="19"/>
  <c r="N8" i="19"/>
  <c r="QC8" i="19"/>
  <c r="L8" i="19"/>
  <c r="M8" i="19" s="1"/>
  <c r="SN18" i="4"/>
  <c r="SU18" i="4" s="1"/>
  <c r="P4" i="4"/>
  <c r="SN19" i="4"/>
  <c r="SU19" i="4" s="1"/>
  <c r="P19" i="4"/>
  <c r="P18" i="4"/>
  <c r="Q18" i="4" s="1"/>
  <c r="SN4" i="4"/>
  <c r="SU4" i="4" s="1"/>
  <c r="P13" i="21"/>
  <c r="Q13" i="21" s="1"/>
  <c r="PZ13" i="21"/>
  <c r="QB13" i="21"/>
  <c r="QC13" i="21"/>
  <c r="QA13" i="21"/>
  <c r="QB28" i="19"/>
  <c r="P28" i="19"/>
  <c r="CJ28" i="19" s="1"/>
  <c r="L28" i="19"/>
  <c r="M28" i="19" s="1"/>
  <c r="TN18" i="4"/>
  <c r="CW4" i="4"/>
  <c r="DA4" i="4" s="1"/>
  <c r="TU19" i="4"/>
  <c r="TQ4" i="4"/>
  <c r="TQ18" i="4"/>
  <c r="TQ19" i="4"/>
  <c r="TU4" i="4"/>
  <c r="TN19" i="4"/>
  <c r="TN4" i="4"/>
  <c r="TU18" i="4"/>
  <c r="N19" i="4"/>
  <c r="L19" i="4"/>
  <c r="K19" i="4"/>
  <c r="PE13" i="21"/>
  <c r="K13" i="21" s="1"/>
  <c r="L13" i="21"/>
  <c r="N13" i="21"/>
  <c r="QC28" i="19"/>
  <c r="QA28" i="19"/>
  <c r="PE28" i="19"/>
  <c r="K28" i="19" s="1"/>
  <c r="PZ28" i="19"/>
  <c r="N28" i="19"/>
  <c r="N4" i="4"/>
  <c r="N18" i="4"/>
  <c r="R4" i="4"/>
  <c r="S4" i="4" s="1"/>
  <c r="L4" i="4"/>
  <c r="R18" i="4"/>
  <c r="S18" i="4" s="1"/>
  <c r="L18" i="4"/>
  <c r="CW19" i="4"/>
  <c r="DA19" i="4" s="1"/>
  <c r="K4" i="4"/>
  <c r="K18" i="4"/>
  <c r="R19" i="4"/>
  <c r="S19" i="4" s="1"/>
  <c r="QD28" i="19" l="1"/>
  <c r="J31" i="19"/>
  <c r="J22" i="19"/>
  <c r="J21" i="19"/>
  <c r="J20" i="19"/>
  <c r="J17" i="19"/>
  <c r="J14" i="19"/>
  <c r="J12" i="19"/>
  <c r="QD8" i="19"/>
  <c r="QD7" i="26"/>
  <c r="QD6" i="26"/>
  <c r="QD13" i="21"/>
  <c r="J13" i="21"/>
  <c r="QD22" i="19"/>
  <c r="J8" i="19"/>
  <c r="J28" i="19"/>
  <c r="J23" i="19"/>
  <c r="J9" i="19"/>
  <c r="J4" i="19"/>
  <c r="J18" i="19"/>
  <c r="J30" i="19"/>
  <c r="J38" i="19"/>
  <c r="J29" i="19"/>
  <c r="J15" i="19"/>
  <c r="J37" i="19"/>
  <c r="J25" i="19"/>
  <c r="J24" i="19"/>
  <c r="J16" i="19"/>
  <c r="J10" i="19"/>
  <c r="J33" i="19"/>
  <c r="J32" i="19"/>
  <c r="J26" i="19"/>
  <c r="J35" i="19"/>
  <c r="J36" i="19"/>
  <c r="J5" i="19"/>
  <c r="J19" i="19"/>
  <c r="J11" i="19"/>
  <c r="J27" i="19"/>
  <c r="J6" i="26"/>
  <c r="J7" i="26"/>
  <c r="O6" i="26"/>
  <c r="O13" i="21"/>
  <c r="DC4" i="4"/>
  <c r="Q4" i="4"/>
  <c r="DC19" i="4"/>
  <c r="Q19" i="4"/>
  <c r="O7" i="26"/>
  <c r="CI22" i="19"/>
  <c r="R22" i="19" s="1"/>
  <c r="O22" i="19"/>
  <c r="O8" i="19"/>
  <c r="O28" i="19"/>
  <c r="J19" i="4"/>
  <c r="M19" i="4"/>
  <c r="M7" i="4"/>
  <c r="Q22" i="19"/>
  <c r="CI7" i="26"/>
  <c r="CI6" i="26"/>
  <c r="TR7" i="4"/>
  <c r="TV7" i="4" s="1"/>
  <c r="CJ7" i="26"/>
  <c r="Q7" i="26"/>
  <c r="CJ6" i="26"/>
  <c r="Q6" i="26"/>
  <c r="Q8" i="19"/>
  <c r="J7" i="4"/>
  <c r="DC7" i="4"/>
  <c r="DB7" i="4"/>
  <c r="DB18" i="4"/>
  <c r="M22" i="19"/>
  <c r="CI8" i="19"/>
  <c r="DB4" i="4"/>
  <c r="CJ13" i="21"/>
  <c r="Q28" i="19"/>
  <c r="DB19" i="4"/>
  <c r="TR4" i="4"/>
  <c r="TV4" i="4" s="1"/>
  <c r="TR19" i="4"/>
  <c r="TV19" i="4" s="1"/>
  <c r="TR18" i="4"/>
  <c r="TV18" i="4" s="1"/>
  <c r="O4" i="4"/>
  <c r="DC18" i="4"/>
  <c r="O19" i="4"/>
  <c r="O18" i="4"/>
  <c r="J18" i="4"/>
  <c r="J4" i="4"/>
  <c r="CI13" i="21"/>
  <c r="M13" i="21"/>
  <c r="CI28" i="19"/>
  <c r="M4" i="4"/>
  <c r="M18" i="4"/>
  <c r="A31" i="19" l="1" a="1"/>
  <c r="A31" i="19" s="1"/>
  <c r="B31" i="19" a="1"/>
  <c r="B31" i="19" s="1"/>
  <c r="A21" i="19" a="1"/>
  <c r="A21" i="19" s="1"/>
  <c r="B21" i="19" a="1"/>
  <c r="B21" i="19" s="1"/>
  <c r="A20" i="19" a="1"/>
  <c r="A20" i="19" s="1"/>
  <c r="B20" i="19" a="1"/>
  <c r="B20" i="19" s="1"/>
  <c r="A17" i="19" a="1"/>
  <c r="A17" i="19" s="1"/>
  <c r="B17" i="19" a="1"/>
  <c r="B17" i="19" s="1"/>
  <c r="A14" i="19" a="1"/>
  <c r="A14" i="19" s="1"/>
  <c r="B14" i="19" a="1"/>
  <c r="B14" i="19" s="1"/>
  <c r="A12" i="19" a="1"/>
  <c r="A12" i="19" s="1"/>
  <c r="B12" i="19" a="1"/>
  <c r="B12" i="19" s="1"/>
  <c r="A16" i="19" a="1"/>
  <c r="A16" i="19" s="1"/>
  <c r="B16" i="19" a="1"/>
  <c r="B16" i="19" s="1"/>
  <c r="A29" i="19" a="1"/>
  <c r="A29" i="19" s="1"/>
  <c r="B29" i="19" a="1"/>
  <c r="B29" i="19" s="1"/>
  <c r="A24" i="19" a="1"/>
  <c r="A24" i="19" s="1"/>
  <c r="B24" i="19" a="1"/>
  <c r="B24" i="19" s="1"/>
  <c r="A35" i="19" a="1"/>
  <c r="A35" i="19" s="1"/>
  <c r="B35" i="19" a="1"/>
  <c r="B35" i="19" s="1"/>
  <c r="A26" i="19" a="1"/>
  <c r="A26" i="19" s="1"/>
  <c r="B26" i="19" a="1"/>
  <c r="B26" i="19" s="1"/>
  <c r="A23" i="19" a="1"/>
  <c r="A23" i="19" s="1"/>
  <c r="B23" i="19" a="1"/>
  <c r="B23" i="19" s="1"/>
  <c r="A37" i="19" a="1"/>
  <c r="A37" i="19" s="1"/>
  <c r="B37" i="19" a="1"/>
  <c r="B37" i="19" s="1"/>
  <c r="A33" i="19" a="1"/>
  <c r="A33" i="19" s="1"/>
  <c r="B33" i="19" a="1"/>
  <c r="B33" i="19" s="1"/>
  <c r="B25" i="19" a="1"/>
  <c r="B25" i="19" s="1"/>
  <c r="A25" i="19" a="1"/>
  <c r="A25" i="19" s="1"/>
  <c r="S22" i="19"/>
  <c r="T22" i="19"/>
  <c r="V4" i="4"/>
  <c r="X4" i="4" s="1"/>
  <c r="A18" i="4" a="1"/>
  <c r="A18" i="4" s="1"/>
  <c r="B18" i="4" a="1"/>
  <c r="B18" i="4" s="1"/>
  <c r="B13" i="21" a="1"/>
  <c r="B13" i="21" s="1"/>
  <c r="R6" i="26"/>
  <c r="R7" i="26"/>
  <c r="R8" i="19"/>
  <c r="V7" i="4"/>
  <c r="F7" i="4" s="1"/>
  <c r="F22" i="19"/>
  <c r="R28" i="19"/>
  <c r="R13" i="21"/>
  <c r="V18" i="4"/>
  <c r="X18" i="4" s="1"/>
  <c r="V19" i="4"/>
  <c r="F19" i="4" s="1"/>
  <c r="F4" i="4" l="1"/>
  <c r="S13" i="21"/>
  <c r="T13" i="21"/>
  <c r="F28" i="19"/>
  <c r="S28" i="19"/>
  <c r="T28" i="19"/>
  <c r="F8" i="19"/>
  <c r="S8" i="19"/>
  <c r="T8" i="19"/>
  <c r="F7" i="26"/>
  <c r="S7" i="26"/>
  <c r="T7" i="26"/>
  <c r="F6" i="26"/>
  <c r="S6" i="26"/>
  <c r="T6" i="26"/>
  <c r="W4" i="4"/>
  <c r="A22" i="19" a="1"/>
  <c r="A22" i="19" s="1"/>
  <c r="B22" i="19" a="1"/>
  <c r="B22" i="19" s="1"/>
  <c r="A13" i="21" a="1"/>
  <c r="A13" i="21" s="1"/>
  <c r="F18" i="4"/>
  <c r="X7" i="4"/>
  <c r="W7" i="4"/>
  <c r="W18" i="4"/>
  <c r="F13" i="21"/>
  <c r="X19" i="4"/>
  <c r="W19" i="4"/>
  <c r="A7" i="22" l="1" a="1"/>
  <c r="A7" i="22" s="1"/>
  <c r="B7" i="22" a="1"/>
  <c r="B7" i="22" s="1"/>
  <c r="A6" i="22" a="1"/>
  <c r="A6" i="22" s="1"/>
  <c r="B6" i="22" a="1"/>
  <c r="B6" i="22" s="1"/>
  <c r="A4" i="22" a="1"/>
  <c r="A4" i="22" s="1"/>
  <c r="B4" i="22" a="1"/>
  <c r="B4" i="22" s="1"/>
  <c r="PX6" i="27"/>
  <c r="PW6" i="27"/>
  <c r="PV6" i="27"/>
  <c r="PU6" i="27"/>
  <c r="PT6" i="27"/>
  <c r="PS6" i="27"/>
  <c r="PR6" i="27"/>
  <c r="PQ6" i="27"/>
  <c r="PP6" i="27"/>
  <c r="PO6" i="27"/>
  <c r="PN6" i="27"/>
  <c r="PM6" i="27"/>
  <c r="PL6" i="27"/>
  <c r="PK6" i="27"/>
  <c r="PJ6" i="27"/>
  <c r="PI6" i="27"/>
  <c r="PG6" i="27"/>
  <c r="PF6" i="27"/>
  <c r="PD6" i="27"/>
  <c r="PC6" i="27"/>
  <c r="PB6" i="27"/>
  <c r="PA6" i="27"/>
  <c r="CG6" i="27"/>
  <c r="CF6" i="27"/>
  <c r="CE6" i="27"/>
  <c r="CD6" i="27"/>
  <c r="PX9" i="26"/>
  <c r="PW9" i="26"/>
  <c r="PV9" i="26"/>
  <c r="PU9" i="26"/>
  <c r="PT9" i="26"/>
  <c r="PS9" i="26"/>
  <c r="PR9" i="26"/>
  <c r="PQ9" i="26"/>
  <c r="PP9" i="26"/>
  <c r="PO9" i="26"/>
  <c r="PN9" i="26"/>
  <c r="PM9" i="26"/>
  <c r="PL9" i="26"/>
  <c r="PK9" i="26"/>
  <c r="PJ9" i="26"/>
  <c r="PI9" i="26"/>
  <c r="PG9" i="26"/>
  <c r="PF9" i="26"/>
  <c r="PD9" i="26"/>
  <c r="PC9" i="26"/>
  <c r="PB9" i="26"/>
  <c r="PA9" i="26"/>
  <c r="CG9" i="26"/>
  <c r="CF9" i="26"/>
  <c r="CE9" i="26"/>
  <c r="CD9" i="26"/>
  <c r="CH6" i="27" l="1"/>
  <c r="CH9" i="26"/>
  <c r="H6" i="27"/>
  <c r="PH6" i="27"/>
  <c r="PH9" i="26"/>
  <c r="I6" i="27"/>
  <c r="H9" i="26"/>
  <c r="I9" i="26"/>
  <c r="PZ9" i="26"/>
  <c r="PE9" i="26"/>
  <c r="K9" i="26" s="1"/>
  <c r="P6" i="27"/>
  <c r="Q6" i="27" s="1"/>
  <c r="L6" i="27"/>
  <c r="M6" i="27" s="1"/>
  <c r="QA6" i="27"/>
  <c r="QD6" i="27" s="1"/>
  <c r="QB6" i="27"/>
  <c r="P9" i="26"/>
  <c r="Q9" i="26" s="1"/>
  <c r="QA9" i="26"/>
  <c r="QC9" i="26"/>
  <c r="QB9" i="26"/>
  <c r="N6" i="27"/>
  <c r="QC6" i="27"/>
  <c r="PZ6" i="27"/>
  <c r="PE6" i="27"/>
  <c r="K6" i="27" s="1"/>
  <c r="L9" i="26"/>
  <c r="N9" i="26"/>
  <c r="QD9" i="26" l="1"/>
  <c r="J6" i="27"/>
  <c r="J9" i="26"/>
  <c r="O9" i="26"/>
  <c r="O6" i="27"/>
  <c r="CJ6" i="27"/>
  <c r="CJ9" i="26"/>
  <c r="CI6" i="27"/>
  <c r="CI9" i="26"/>
  <c r="M9" i="26"/>
  <c r="R6" i="27" l="1"/>
  <c r="R9" i="26"/>
  <c r="S6" i="27" l="1"/>
  <c r="T6" i="27"/>
  <c r="S9" i="26"/>
  <c r="T9" i="26"/>
  <c r="F6" i="27"/>
  <c r="A5" i="27" a="1"/>
  <c r="A5" i="27" s="1"/>
  <c r="F9" i="26"/>
  <c r="B5" i="27" l="1" a="1"/>
  <c r="B5" i="27" s="1"/>
  <c r="B16" i="26" a="1"/>
  <c r="B16" i="26" s="1"/>
  <c r="A16" i="26" a="1"/>
  <c r="A16" i="26" s="1"/>
  <c r="B17" i="27" a="1"/>
  <c r="B17" i="27" s="1"/>
  <c r="A17" i="27" a="1"/>
  <c r="A17" i="27" s="1"/>
  <c r="B10" i="26" a="1"/>
  <c r="B10" i="26" s="1"/>
  <c r="A10" i="26" a="1"/>
  <c r="A10" i="26" s="1"/>
  <c r="B17" i="26" a="1"/>
  <c r="B17" i="26" s="1"/>
  <c r="A17" i="26" a="1"/>
  <c r="A17" i="26" s="1"/>
  <c r="B8" i="26" a="1"/>
  <c r="B8" i="26" s="1"/>
  <c r="A8" i="26" a="1"/>
  <c r="A8" i="26" s="1"/>
  <c r="B7" i="27" a="1"/>
  <c r="B7" i="27" s="1"/>
  <c r="A7" i="27" a="1"/>
  <c r="A7" i="27" s="1"/>
  <c r="A9" i="27" a="1"/>
  <c r="A9" i="27" s="1"/>
  <c r="A18" i="26" a="1"/>
  <c r="A18" i="26" s="1"/>
  <c r="B18" i="26" a="1"/>
  <c r="B18" i="26" s="1"/>
  <c r="A6" i="26" a="1"/>
  <c r="A6" i="26" s="1"/>
  <c r="B6" i="26" a="1"/>
  <c r="B6" i="26" s="1"/>
  <c r="B9" i="27" a="1"/>
  <c r="B9" i="27" s="1"/>
  <c r="B14" i="27" a="1"/>
  <c r="B14" i="27" s="1"/>
  <c r="A14" i="27" a="1"/>
  <c r="A14" i="27" s="1"/>
  <c r="A12" i="26" a="1"/>
  <c r="A12" i="26" s="1"/>
  <c r="B12" i="26" a="1"/>
  <c r="B12" i="26" s="1"/>
  <c r="B8" i="27" a="1"/>
  <c r="B8" i="27" s="1"/>
  <c r="A8" i="27" a="1"/>
  <c r="A8" i="27" s="1"/>
  <c r="B16" i="27" a="1"/>
  <c r="B16" i="27" s="1"/>
  <c r="B6" i="27" a="1"/>
  <c r="B6" i="27" s="1"/>
  <c r="A9" i="26" a="1"/>
  <c r="A9" i="26" s="1"/>
  <c r="B9" i="26" a="1"/>
  <c r="B9" i="26" s="1"/>
  <c r="B7" i="26" a="1"/>
  <c r="B7" i="26" s="1"/>
  <c r="A6" i="27" a="1"/>
  <c r="A6" i="27" s="1"/>
  <c r="A16" i="27" a="1"/>
  <c r="A16" i="27" s="1"/>
  <c r="A4" i="27" a="1"/>
  <c r="A4" i="27" s="1"/>
  <c r="A5" i="26" a="1"/>
  <c r="A5" i="26" s="1"/>
  <c r="A4" i="26" a="1"/>
  <c r="A4" i="26" s="1"/>
  <c r="A7" i="26" a="1"/>
  <c r="A7" i="26" s="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CD7" i="19" l="1"/>
  <c r="CE7" i="19"/>
  <c r="CF7" i="19"/>
  <c r="CG7" i="19"/>
  <c r="PA7" i="19"/>
  <c r="PB7" i="19"/>
  <c r="PC7" i="19"/>
  <c r="PD7" i="19"/>
  <c r="PF7" i="19"/>
  <c r="PG7" i="19"/>
  <c r="PI7" i="19"/>
  <c r="PJ7" i="19"/>
  <c r="PK7" i="19"/>
  <c r="PL7" i="19"/>
  <c r="PM7" i="19"/>
  <c r="PN7" i="19"/>
  <c r="PO7" i="19"/>
  <c r="PP7" i="19"/>
  <c r="PQ7" i="19"/>
  <c r="PR7" i="19"/>
  <c r="PS7" i="19"/>
  <c r="PT7" i="19"/>
  <c r="PU7" i="19"/>
  <c r="PV7" i="19"/>
  <c r="PW7" i="19"/>
  <c r="PX7" i="19"/>
  <c r="CD34" i="19"/>
  <c r="CE34" i="19"/>
  <c r="CF34" i="19"/>
  <c r="CG34" i="19"/>
  <c r="PA34" i="19"/>
  <c r="PB34" i="19"/>
  <c r="PC34" i="19"/>
  <c r="PD34" i="19"/>
  <c r="PF34" i="19"/>
  <c r="PG34" i="19"/>
  <c r="PI34" i="19"/>
  <c r="PJ34" i="19"/>
  <c r="PK34" i="19"/>
  <c r="PL34" i="19"/>
  <c r="PM34" i="19"/>
  <c r="PN34" i="19"/>
  <c r="PO34" i="19"/>
  <c r="PP34" i="19"/>
  <c r="PQ34" i="19"/>
  <c r="PR34" i="19"/>
  <c r="PS34" i="19"/>
  <c r="PT34" i="19"/>
  <c r="PU34" i="19"/>
  <c r="PV34" i="19"/>
  <c r="PW34" i="19"/>
  <c r="PX34" i="19"/>
  <c r="CH34" i="19" l="1"/>
  <c r="CH7" i="19"/>
  <c r="PH34" i="19"/>
  <c r="PH7" i="19"/>
  <c r="I34" i="19"/>
  <c r="I7" i="19"/>
  <c r="H34" i="19"/>
  <c r="H7" i="19"/>
  <c r="QB7" i="19"/>
  <c r="PZ7" i="19"/>
  <c r="P7" i="19"/>
  <c r="PE7" i="19"/>
  <c r="K7" i="19" s="1"/>
  <c r="QA7" i="19"/>
  <c r="QC7" i="19"/>
  <c r="N7" i="19"/>
  <c r="L7" i="19"/>
  <c r="QB34" i="19"/>
  <c r="PZ34" i="19"/>
  <c r="PE34" i="19"/>
  <c r="K34" i="19" s="1"/>
  <c r="P34" i="19"/>
  <c r="CJ34" i="19" s="1"/>
  <c r="QA34" i="19"/>
  <c r="QC34" i="19"/>
  <c r="N34" i="19"/>
  <c r="L34" i="19"/>
  <c r="M34" i="19" s="1"/>
  <c r="QD7" i="19" l="1"/>
  <c r="QD34" i="19"/>
  <c r="J34" i="19"/>
  <c r="J7" i="19"/>
  <c r="O7" i="19"/>
  <c r="CI34" i="19"/>
  <c r="R34" i="19" s="1"/>
  <c r="O34" i="19"/>
  <c r="Q7" i="19"/>
  <c r="CJ7" i="19"/>
  <c r="CI7" i="19"/>
  <c r="Q34" i="19"/>
  <c r="M7" i="19"/>
  <c r="S34" i="19" l="1"/>
  <c r="T34" i="19"/>
  <c r="R7" i="19"/>
  <c r="F34" i="19"/>
  <c r="S7" i="19" l="1"/>
  <c r="T7" i="19"/>
  <c r="F7" i="19"/>
  <c r="CD10" i="21" l="1"/>
  <c r="CE10" i="21"/>
  <c r="CF10" i="21"/>
  <c r="CG10" i="21"/>
  <c r="PA10" i="21"/>
  <c r="PB10" i="21"/>
  <c r="PC10" i="21"/>
  <c r="PD10" i="21"/>
  <c r="PF10" i="21"/>
  <c r="PG10" i="21"/>
  <c r="CH10" i="21" l="1"/>
  <c r="PH10" i="21"/>
  <c r="I10" i="21"/>
  <c r="H10" i="21"/>
  <c r="P10" i="21"/>
  <c r="CJ10" i="21" s="1"/>
  <c r="QB10" i="21"/>
  <c r="PZ10" i="21"/>
  <c r="PE10" i="21"/>
  <c r="K10" i="21" s="1"/>
  <c r="QA10" i="21"/>
  <c r="QC10" i="21"/>
  <c r="N10" i="21"/>
  <c r="L10" i="21"/>
  <c r="QD10" i="21" l="1"/>
  <c r="J10" i="21"/>
  <c r="O10" i="21"/>
  <c r="CI10" i="21"/>
  <c r="M10" i="21"/>
  <c r="Q10" i="21"/>
  <c r="R10" i="21" l="1"/>
  <c r="S10" i="21" l="1"/>
  <c r="T10" i="21"/>
  <c r="F10" i="21"/>
  <c r="B11" i="21" l="1" a="1"/>
  <c r="B11" i="21" s="1"/>
  <c r="B8" i="21" a="1"/>
  <c r="B8" i="21" s="1"/>
  <c r="A8" i="21" a="1"/>
  <c r="A8" i="21" s="1"/>
  <c r="B4" i="21" a="1"/>
  <c r="B4" i="21" s="1"/>
  <c r="A11" i="21" a="1"/>
  <c r="A11" i="21" s="1"/>
  <c r="A5" i="21" a="1"/>
  <c r="A5" i="21" s="1"/>
  <c r="A4" i="21" a="1"/>
  <c r="A4" i="21" s="1"/>
  <c r="B5" i="22" a="1"/>
  <c r="B5" i="22" s="1"/>
  <c r="A5" i="22" a="1"/>
  <c r="A5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I9" i="4" l="1"/>
  <c r="H9" i="4"/>
  <c r="T9" i="4"/>
  <c r="U9" i="4" s="1"/>
  <c r="P9" i="4"/>
  <c r="Q9" i="4" s="1"/>
  <c r="R9" i="4"/>
  <c r="S9" i="4" s="1"/>
  <c r="SN9" i="4"/>
  <c r="SU9" i="4" s="1"/>
  <c r="CW9" i="4"/>
  <c r="DA9" i="4" s="1"/>
  <c r="TQ9" i="4"/>
  <c r="TU9" i="4"/>
  <c r="N9" i="4"/>
  <c r="L9" i="4"/>
  <c r="K9" i="4"/>
  <c r="TN9" i="4"/>
  <c r="DB9" i="4" l="1"/>
  <c r="DC9" i="4"/>
  <c r="O9" i="4"/>
  <c r="TR9" i="4"/>
  <c r="TV9" i="4" s="1"/>
  <c r="M9" i="4"/>
  <c r="J9" i="4" l="1"/>
  <c r="V9" i="4"/>
  <c r="X9" i="4" s="1"/>
  <c r="A9" i="4" l="1" a="1"/>
  <c r="A9" i="4" s="1"/>
  <c r="B9" i="4" a="1"/>
  <c r="B9" i="4" s="1"/>
  <c r="F9" i="4"/>
  <c r="W9" i="4"/>
  <c r="PD6" i="19"/>
  <c r="PD13" i="19"/>
  <c r="PC13" i="19"/>
  <c r="PC6" i="19"/>
  <c r="CD13" i="19"/>
  <c r="CE13" i="19"/>
  <c r="CF13" i="19"/>
  <c r="CG13" i="19"/>
  <c r="PA13" i="19"/>
  <c r="PB13" i="19"/>
  <c r="PF13" i="19"/>
  <c r="PG13" i="19"/>
  <c r="PI13" i="19"/>
  <c r="PJ13" i="19"/>
  <c r="PK13" i="19"/>
  <c r="PL13" i="19"/>
  <c r="PM13" i="19"/>
  <c r="PN13" i="19"/>
  <c r="PO13" i="19"/>
  <c r="PP13" i="19"/>
  <c r="PQ13" i="19"/>
  <c r="PR13" i="19"/>
  <c r="PS13" i="19"/>
  <c r="PT13" i="19"/>
  <c r="PU13" i="19"/>
  <c r="PV13" i="19"/>
  <c r="PW13" i="19"/>
  <c r="PX13" i="19"/>
  <c r="CD6" i="19"/>
  <c r="CE6" i="19"/>
  <c r="CF6" i="19"/>
  <c r="CG6" i="19"/>
  <c r="PA6" i="19"/>
  <c r="PB6" i="19"/>
  <c r="PF6" i="19"/>
  <c r="PG6" i="19"/>
  <c r="PI6" i="19"/>
  <c r="PJ6" i="19"/>
  <c r="PK6" i="19"/>
  <c r="PL6" i="19"/>
  <c r="PM6" i="19"/>
  <c r="PN6" i="19"/>
  <c r="PO6" i="19"/>
  <c r="PP6" i="19"/>
  <c r="PQ6" i="19"/>
  <c r="PR6" i="19"/>
  <c r="PS6" i="19"/>
  <c r="PT6" i="19"/>
  <c r="PU6" i="19"/>
  <c r="PV6" i="19"/>
  <c r="PW6" i="19"/>
  <c r="PX6" i="19"/>
  <c r="CH13" i="19" l="1"/>
  <c r="CH6" i="19"/>
  <c r="PH6" i="19"/>
  <c r="PH13" i="19"/>
  <c r="I6" i="19"/>
  <c r="I13" i="19"/>
  <c r="H6" i="19"/>
  <c r="H13" i="19"/>
  <c r="PE13" i="19"/>
  <c r="K13" i="19" s="1"/>
  <c r="PE6" i="19"/>
  <c r="K6" i="19" s="1"/>
  <c r="QB6" i="19"/>
  <c r="PZ6" i="19"/>
  <c r="P6" i="19"/>
  <c r="CJ6" i="19" s="1"/>
  <c r="QA6" i="19"/>
  <c r="P13" i="19"/>
  <c r="CJ13" i="19" s="1"/>
  <c r="QC6" i="19"/>
  <c r="L6" i="19"/>
  <c r="QA13" i="19"/>
  <c r="QB13" i="19"/>
  <c r="PZ13" i="19"/>
  <c r="N13" i="19"/>
  <c r="L13" i="19"/>
  <c r="QC13" i="19"/>
  <c r="N6" i="19"/>
  <c r="QD6" i="19" l="1"/>
  <c r="QD13" i="19"/>
  <c r="J6" i="19"/>
  <c r="J13" i="19"/>
  <c r="CI13" i="19"/>
  <c r="R13" i="19" s="1"/>
  <c r="O13" i="19"/>
  <c r="CI6" i="19"/>
  <c r="O6" i="19"/>
  <c r="Q6" i="19"/>
  <c r="M6" i="19"/>
  <c r="Q13" i="19"/>
  <c r="M13" i="19"/>
  <c r="S13" i="19" l="1"/>
  <c r="T13" i="19"/>
  <c r="F13" i="19"/>
  <c r="R6" i="19"/>
  <c r="S6" i="19" l="1"/>
  <c r="T6" i="19"/>
  <c r="F6" i="19"/>
  <c r="A9" i="21" l="1" a="1"/>
  <c r="A9" i="21" s="1"/>
  <c r="B9" i="21" a="1"/>
  <c r="B9" i="21" s="1"/>
  <c r="B12" i="21" a="1"/>
  <c r="B12" i="21" s="1"/>
  <c r="A10" i="21" a="1"/>
  <c r="A10" i="21" s="1"/>
  <c r="B10" i="21" a="1"/>
  <c r="B10" i="21" s="1"/>
  <c r="A6" i="21" a="1"/>
  <c r="A6" i="21" s="1"/>
  <c r="A12" i="21" a="1"/>
  <c r="A12" i="21" s="1"/>
  <c r="B6" i="21" a="1"/>
  <c r="B6" i="21" s="1"/>
  <c r="B36" i="19" a="1"/>
  <c r="B36" i="19" s="1"/>
  <c r="A36" i="19" a="1"/>
  <c r="A36" i="19" s="1"/>
  <c r="B10" i="19" a="1"/>
  <c r="B10" i="19" s="1"/>
  <c r="A4" i="19" a="1"/>
  <c r="A4" i="19" s="1"/>
  <c r="A18" i="19" a="1"/>
  <c r="A18" i="19" s="1"/>
  <c r="A10" i="19" a="1"/>
  <c r="A10" i="19" s="1"/>
  <c r="A9" i="19" a="1"/>
  <c r="A9" i="19" s="1"/>
  <c r="B4" i="19" a="1"/>
  <c r="B4" i="19" s="1"/>
  <c r="B18" i="19" a="1"/>
  <c r="B18" i="19" s="1"/>
  <c r="B9" i="19" a="1"/>
  <c r="B9" i="19" s="1"/>
  <c r="B11" i="19" a="1"/>
  <c r="B11" i="19" s="1"/>
  <c r="A11" i="19" a="1"/>
  <c r="A11" i="19" s="1"/>
  <c r="A19" i="19" a="1"/>
  <c r="A19" i="19" s="1"/>
  <c r="B19" i="19" a="1"/>
  <c r="B19" i="19" s="1"/>
  <c r="B5" i="21" a="1"/>
  <c r="B5" i="21" s="1"/>
  <c r="B15" i="19" a="1"/>
  <c r="B15" i="19" s="1"/>
  <c r="A15" i="19" a="1"/>
  <c r="A15" i="19" s="1"/>
  <c r="A5" i="19" a="1"/>
  <c r="A5" i="19" s="1"/>
  <c r="B32" i="19" a="1"/>
  <c r="B32" i="19" s="1"/>
  <c r="B5" i="19" a="1"/>
  <c r="B5" i="19" s="1"/>
  <c r="A38" i="19" a="1"/>
  <c r="A38" i="19" s="1"/>
  <c r="B38" i="19" a="1"/>
  <c r="B38" i="19" s="1"/>
  <c r="A32" i="19" a="1"/>
  <c r="A32" i="19" s="1"/>
  <c r="B30" i="19" a="1"/>
  <c r="B30" i="19" s="1"/>
  <c r="A30" i="19" a="1"/>
  <c r="A30" i="19" s="1"/>
  <c r="B7" i="21" a="1"/>
  <c r="B7" i="21" s="1"/>
  <c r="B13" i="19" a="1"/>
  <c r="B13" i="19" s="1"/>
  <c r="B8" i="19" a="1"/>
  <c r="B8" i="19" s="1"/>
  <c r="B28" i="19" a="1"/>
  <c r="B28" i="19" s="1"/>
  <c r="B34" i="19" a="1"/>
  <c r="B34" i="19" s="1"/>
  <c r="B27" i="19" a="1"/>
  <c r="B27" i="19" s="1"/>
  <c r="B7" i="19" a="1"/>
  <c r="B7" i="19" s="1"/>
  <c r="B6" i="19" a="1"/>
  <c r="B6" i="19" s="1"/>
  <c r="A6" i="19" a="1"/>
  <c r="A6" i="19" s="1"/>
  <c r="A13" i="19" a="1"/>
  <c r="A13" i="19" s="1"/>
  <c r="A7" i="21" a="1"/>
  <c r="A7" i="21" s="1"/>
  <c r="A27" i="19" a="1"/>
  <c r="A27" i="19" s="1"/>
  <c r="A28" i="19" a="1"/>
  <c r="A28" i="19" s="1"/>
  <c r="A34" i="19" a="1"/>
  <c r="A34" i="19" s="1"/>
  <c r="A8" i="19" a="1"/>
  <c r="A8" i="19" s="1"/>
  <c r="A7" i="19" a="1"/>
  <c r="A7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U16" i="4"/>
  <c r="CR16" i="4"/>
  <c r="CQ16" i="4"/>
  <c r="SN16" i="4" l="1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6" i="4"/>
  <c r="CT16" i="4"/>
  <c r="CV16" i="4"/>
  <c r="CX16" i="4"/>
  <c r="CZ16" i="4"/>
  <c r="I16" i="4" l="1"/>
  <c r="H16" i="4"/>
  <c r="T16" i="4"/>
  <c r="U16" i="4" s="1"/>
  <c r="P16" i="4"/>
  <c r="Q16" i="4" s="1"/>
  <c r="R16" i="4"/>
  <c r="S16" i="4" s="1"/>
  <c r="L16" i="4"/>
  <c r="N16" i="4"/>
  <c r="K16" i="4"/>
  <c r="TQ16" i="4"/>
  <c r="TU16" i="4"/>
  <c r="CW16" i="4"/>
  <c r="DA16" i="4" s="1"/>
  <c r="SW16" i="4"/>
  <c r="SX16" i="4"/>
  <c r="TL16" i="4" s="1"/>
  <c r="SY16" i="4"/>
  <c r="TM16" i="4" s="1"/>
  <c r="SV16" i="4"/>
  <c r="J16" i="4" l="1"/>
  <c r="M16" i="4"/>
  <c r="DB16" i="4"/>
  <c r="DC16" i="4"/>
  <c r="TN16" i="4"/>
  <c r="TR16" i="4" s="1"/>
  <c r="TV16" i="4" s="1"/>
  <c r="O16" i="4"/>
  <c r="V16" i="4" l="1"/>
  <c r="X16" i="4" s="1"/>
  <c r="F16" i="4" l="1"/>
  <c r="W16" i="4"/>
  <c r="B5" i="4" l="1" a="1"/>
  <c r="B5" i="4" s="1"/>
  <c r="B6" i="4" a="1"/>
  <c r="B6" i="4" s="1"/>
  <c r="A6" i="4" a="1"/>
  <c r="A6" i="4" s="1"/>
  <c r="B8" i="4" a="1"/>
  <c r="B8" i="4" s="1"/>
  <c r="B13" i="4" a="1"/>
  <c r="B13" i="4" s="1"/>
  <c r="A13" i="4" a="1"/>
  <c r="A13" i="4" s="1"/>
  <c r="A8" i="4" a="1"/>
  <c r="A8" i="4" s="1"/>
  <c r="A5" i="4" a="1"/>
  <c r="A5" i="4" s="1"/>
  <c r="B16" i="4" a="1"/>
  <c r="B16" i="4" s="1"/>
  <c r="A16" i="4" a="1"/>
  <c r="A16" i="4" s="1"/>
  <c r="B7" i="4" a="1"/>
  <c r="B7" i="4" s="1"/>
  <c r="A7" i="4" a="1"/>
  <c r="A7" i="4" s="1"/>
  <c r="B15" i="4" a="1"/>
  <c r="B15" i="4" s="1"/>
  <c r="B4" i="4" a="1"/>
  <c r="B4" i="4" s="1"/>
  <c r="B19" i="4" a="1"/>
  <c r="B19" i="4" s="1"/>
  <c r="A4" i="4" a="1"/>
  <c r="A4" i="4" s="1"/>
  <c r="A15" i="4" a="1"/>
  <c r="A15" i="4" s="1"/>
  <c r="A19" i="4" a="1"/>
  <c r="A19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<sst xmlns="http://schemas.openxmlformats.org/spreadsheetml/2006/main" count="3869" uniqueCount="211">
  <si>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</si>
  <si>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</si>
  <si>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</si>
  <si>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</si>
  <si>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</si>
  <si>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</si>
  <si>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</si>
  <si>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</si>
  <si>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</si>
  <si>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</si>
  <si>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</si>
  <si>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</si>
  <si>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</si>
  <si>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</si>
  <si>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</si>
  <si>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</si>
  <si>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</si>
  <si>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</si>
  <si>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</si>
  <si>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</si>
  <si>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</si>
  <si>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</si>
  <si>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</si>
  <si>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</si>
  <si>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</si>
  <si>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</si>
  <si>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</si>
  <si>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</si>
  <si>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</si>
  <si>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</si>
  <si>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</si>
  <si>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</si>
  <si>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</si>
  <si>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</si>
  <si>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</si>
  <si>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</si>
  <si>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</si>
  <si>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</si>
  <si>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</si>
  <si>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</si>
  <si>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</si>
  <si>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</si>
  <si>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</si>
  <si>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</si>
  <si>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</si>
  <si>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</si>
  <si>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</si>
  <si>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</si>
  <si>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</si>
  <si>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</si>
  <si>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</si>
  <si>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</si>
  <si>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</si>
  <si>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</si>
  <si>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</si>
  <si>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</si>
  <si>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</si>
  <si>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</si>
  <si>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</si>
  <si>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</si>
  <si>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</si>
  <si>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</si>
  <si>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</si>
  <si>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</si>
  <si>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</si>
  <si>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</si>
  <si>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</si>
  <si>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</si>
  <si>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</si>
  <si>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</si>
  <si>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</si>
  <si>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</si>
  <si>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</si>
  <si>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</si>
  <si>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</si>
  <si>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</si>
  <si>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</si>
  <si>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</si>
  <si>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</si>
  <si>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</si>
  <si>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</si>
  <si>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</si>
  <si>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</si>
  <si>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</si>
  <si>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</si>
  <si>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</si>
  <si>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CLOUTIER, Étienne</t>
  </si>
  <si>
    <t>MB</t>
  </si>
  <si>
    <t>COLLINSON, Brody</t>
  </si>
  <si>
    <t>THOMPSON, Derek</t>
  </si>
  <si>
    <t>MALLAIS, Rylan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</si>
  <si>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</si>
  <si>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</si>
  <si>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</si>
  <si>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</si>
  <si>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</si>
  <si>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</si>
  <si>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</si>
  <si>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</si>
  <si>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</si>
  <si>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TOSH, Megan</t>
  </si>
  <si>
    <t>HIGHSTEAD, Declan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</si>
  <si>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</si>
  <si>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</si>
  <si>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</si>
  <si>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</si>
  <si>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</si>
  <si>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</si>
  <si>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</si>
  <si>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</si>
  <si>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</si>
  <si>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</si>
  <si>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</si>
  <si>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</si>
  <si>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</si>
  <si>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</si>
  <si>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</si>
  <si>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</si>
  <si>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</si>
  <si>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</si>
  <si>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</si>
  <si>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</si>
  <si>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</si>
  <si>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</si>
  <si>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</si>
  <si>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</si>
  <si>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</si>
  <si>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</si>
  <si>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</si>
  <si>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</si>
  <si>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NATH, Zander</t>
  </si>
  <si>
    <t>BURKHART, Sofia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</si>
  <si>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</si>
  <si>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</si>
  <si>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</si>
  <si>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</si>
  <si>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</si>
  <si>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</si>
  <si>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</si>
  <si>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</si>
  <si>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</si>
  <si>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</si>
  <si>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</si>
  <si>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</si>
  <si>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</si>
  <si>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</si>
  <si>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</si>
  <si>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</si>
  <si>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</si>
  <si>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</si>
  <si>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</si>
  <si>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</si>
  <si>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</si>
  <si>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</si>
  <si>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</si>
  <si>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</si>
  <si>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</si>
  <si>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</si>
  <si>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</si>
  <si>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</si>
  <si>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</si>
  <si>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</si>
  <si>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</si>
  <si>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</si>
  <si>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</si>
  <si>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</si>
  <si>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</si>
  <si>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</si>
  <si>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</si>
  <si>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</si>
  <si>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</si>
  <si>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</si>
  <si>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</si>
  <si>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</si>
  <si>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</si>
  <si>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</si>
  <si>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</si>
  <si>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</si>
  <si>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</si>
  <si>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</si>
  <si>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</si>
  <si>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</si>
  <si>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</si>
  <si>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 (Aug 12)</t>
  </si>
  <si>
    <t>2025 3rd Domestic Trial</t>
  </si>
  <si>
    <t>2025 World Cup GER (Sept 21)</t>
  </si>
  <si>
    <t>2025 World Cup FRA (Oct 5)</t>
  </si>
  <si>
    <t>2025 Worlds (Nov 9)</t>
  </si>
  <si>
    <t>2025 WAGC (Nov 16)</t>
  </si>
  <si>
    <t>OUGHTRED, Max</t>
  </si>
  <si>
    <t>NELSON, Cooper</t>
  </si>
  <si>
    <t>MORRISON, Xavier</t>
  </si>
  <si>
    <t>LANQUETIN, Yannick</t>
  </si>
  <si>
    <t>LALIBERTÉ, Félix</t>
  </si>
  <si>
    <t>LEE-MCMEEKEN, Brooklyn</t>
  </si>
  <si>
    <t>GOOD, Hayden</t>
  </si>
  <si>
    <t>ALDOUS, Addison</t>
  </si>
  <si>
    <t>KURTZ, Lily</t>
  </si>
  <si>
    <t>LAURIN, Abby</t>
  </si>
  <si>
    <t>LEPORÉ, Amylia</t>
  </si>
  <si>
    <t>BEIRAM, Évita</t>
  </si>
  <si>
    <t>JEAN-LOUIS, Jayda</t>
  </si>
  <si>
    <t>LEWIS, Jordyn</t>
  </si>
  <si>
    <t>KISKO, Roman</t>
  </si>
  <si>
    <t>BONDY, Philippe</t>
  </si>
  <si>
    <t>LEE-McMEEKEN, Brooklyn</t>
  </si>
  <si>
    <t>FLETCHER-BOSTWICK, Aja</t>
  </si>
  <si>
    <t>NOVOTNY, Ella</t>
  </si>
  <si>
    <t>MATHIEU, Angéline</t>
  </si>
  <si>
    <t>OLDFIELD, Isla</t>
  </si>
  <si>
    <t>2026 Age Group Adjustments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</si>
</sst>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64"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COOK, Mason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BEAULIEU, Alex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No DD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JAMES, Roshni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CORRIVEAU, Mélina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KUZNAK, Sienna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JAMES, Roshni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LEPORÉ, Amylia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KUZNAK, Sienna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LEPORÉ, Amylia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GIBBS, Gavin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COUTURE, Joey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BISSONNETTE, Emeric</v>
      </c>
      <c r="D12" s="14" t="str">
        <f>IF(B12&gt;MAX('TUM-M'!B:B),"",INDEX('TUM-M'!J:J,MATCH(B12,'TUM-M'!B:B,0)))</f>
        <v>No DD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hidden="1" x14ac:dyDescent="0.2">
      <c r="A14" s="7" t="s">
        <v>38</v>
      </c>
      <c r="B14" s="7">
        <v>1</v>
      </c>
      <c r="C14" s="7" t="str">
        <f>IF(B14&gt;MAX('TUM-W'!B:B),"",INDEX('TUM-W'!C:C,MATCH(B14,'TUM-W'!B:B,0)))</f>
        <v/>
      </c>
      <c r="D14" s="13" t="str">
        <f>IF(B14&gt;MAX('TUM-W'!B:B),"",INDEX('TUM-W'!J:J,MATCH(B14,'TUM-W'!B:B,0)))</f>
        <v/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hidden="1" x14ac:dyDescent="0.2">
      <c r="A15" s="7"/>
      <c r="B15" s="7">
        <v>2</v>
      </c>
      <c r="C15" s="7" t="str">
        <f>IF(B15&gt;MAX('TUM-W'!B:B),"",INDEX('TUM-W'!C:C,MATCH(B15,'TUM-W'!B:B,0)))</f>
        <v/>
      </c>
      <c r="D15" s="13" t="str">
        <f>IF(B15&gt;MAX('TUM-W'!B:B),"",INDEX('TUM-W'!J:J,MATCH(B15,'TUM-W'!B:B,0)))</f>
        <v/>
      </c>
      <c r="F15" s="7" t="str">
        <f>IF(B3&gt;MAX('TUM-W'!A:A),"",INDEX('TUM-W'!C:C,MATCH(B3,'TUM-W'!A:A,0)))</f>
        <v>NEWMAN, Olivia</v>
      </c>
      <c r="G15" s="13" t="str">
        <f>IF(B3&gt;MAX('TUM-W'!A:A),"",INDEX('TUM-W'!J:J,MATCH(B3,'TUM-W'!A:A,0)))</f>
        <v>National Team</v>
      </c>
    </row>
    <row r="16" spans="1:7" hidden="1" x14ac:dyDescent="0.2">
      <c r="A16" s="7"/>
      <c r="B16" s="7">
        <v>3</v>
      </c>
      <c r="C16" s="7" t="str">
        <f>IF(B16&gt;MAX('TUM-W'!B:B),"",INDEX('TUM-W'!C:C,MATCH(B16,'TUM-W'!B:B,0)))</f>
        <v/>
      </c>
      <c r="D16" s="13" t="str">
        <f>IF(B16&gt;MAX('TUM-W'!B:B),"",INDEX('TUM-W'!J:J,MATCH(B16,'TUM-W'!B:B,0)))</f>
        <v/>
      </c>
      <c r="F16" s="7" t="str">
        <f>IF(B4&gt;MAX('TUM-W'!A:A),"",INDEX('TUM-W'!C:C,MATCH(B4,'TUM-W'!A:A,0)))</f>
        <v/>
      </c>
      <c r="G16" s="13" t="str">
        <f>IF(B4&gt;MAX('TUM-W'!A:A),"",INDEX('TUM-W'!J:J,MATCH(B4,'TUM-W'!A:A,0)))</f>
        <v/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/>
      </c>
      <c r="G17" s="13" t="str">
        <f>IF(B5&gt;MAX('TUM-W'!A:A),"",INDEX('TUM-W'!J:J,MATCH(B5,'TUM-W'!A:A,0)))</f>
        <v/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GIBBS, Gavin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ROBERTSON, Griffyn</v>
      </c>
      <c r="G19" s="14" t="str">
        <f>IF(B3&gt;MAX('DMT-M'!A:A),"",INDEX('DMT-M'!J:J,MATCH(B3,'DMT-M'!A:A,0)))</f>
        <v>National Team</v>
      </c>
    </row>
    <row r="20" spans="1:7" hidden="1" x14ac:dyDescent="0.2">
      <c r="A20" s="6"/>
      <c r="B20" s="6">
        <v>3</v>
      </c>
      <c r="C20" s="6" t="str">
        <f>IF(B20&gt;MAX('DMT-M'!B:B),"",INDEX('DMT-M'!C:C,MATCH(B20,'DMT-M'!B:B,0)))</f>
        <v/>
      </c>
      <c r="D20" s="14" t="str">
        <f>IF(B20&gt;MAX('DMT-M'!B:B),"",INDEX('DMT-M'!J:J,MATCH(B20,'DMT-M'!B:B,0)))</f>
        <v/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hidden="1" x14ac:dyDescent="0.2">
      <c r="A21" s="6"/>
      <c r="B21" s="6">
        <v>4</v>
      </c>
      <c r="C21" s="6" t="str">
        <f>IF(B21&gt;MAX('DMT-M'!B:B),"",INDEX('DMT-M'!C:C,MATCH(B21,'DMT-M'!B:B,0)))</f>
        <v/>
      </c>
      <c r="D21" s="14" t="str">
        <f>IF(B21&gt;MAX('DMT-M'!B:B),"",INDEX('DMT-M'!J:J,MATCH(B21,'DMT-M'!B:B,0)))</f>
        <v/>
      </c>
      <c r="F21" s="6" t="str">
        <f>IF(B5&gt;MAX('DMT-M'!A:A),"",INDEX('DMT-M'!C:C,MATCH(B5,'DMT-M'!A:A,0)))</f>
        <v>COUTURE, Joey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LEE-McMEEKEN, Brooklyn</v>
      </c>
      <c r="D22" s="13" t="str">
        <f>IF(B22&gt;MAX('DMT-W'!B:B),"",INDEX('DMT-W'!J:J,MATCH(B22,'DMT-W'!B:B,0)))</f>
        <v>Worlds Team</v>
      </c>
      <c r="F22" s="7" t="str">
        <f>IF(B2&gt;MAX('DMT-W'!A:A),"",INDEX('DMT-W'!C:C,MATCH(B2,'DMT-W'!A:A,0)))</f>
        <v>LEE-McMEEKEN, Brooklyn</v>
      </c>
      <c r="G22" s="13" t="str">
        <f>IF(B2&gt;MAX('DMT-W'!A:A),"",INDEX('DMT-W'!J:J,MATCH(B2,'DMT-W'!A:A,0)))</f>
        <v>Worlds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GOOD, Hayden</v>
      </c>
      <c r="D23" s="13" t="str">
        <f>IF(B23&gt;MAX('DMT-W'!B:B),"",INDEX('DMT-W'!J:J,MATCH(B23,'DMT-W'!B:B,0)))</f>
        <v>Worlds Team</v>
      </c>
      <c r="F23" s="7" t="str">
        <f>IF(B3&gt;MAX('DMT-W'!A:A),"",INDEX('DMT-W'!C:C,MATCH(B3,'DMT-W'!A:A,0)))</f>
        <v>KUZNAK, Sienna</v>
      </c>
      <c r="G23" s="13" t="str">
        <f>IF(B3&gt;MAX('DMT-W'!A:A),"",INDEX('DMT-W'!J:J,MATCH(B3,'DMT-W'!A:A,0)))</f>
        <v>Worlds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KWASNIAK, Alicja</v>
      </c>
      <c r="D24" s="13" t="str">
        <f>IF(B24&gt;MAX('DMT-W'!B:B),"",INDEX('DMT-W'!J:J,MATCH(B24,'DMT-W'!B:B,0)))</f>
        <v>Worlds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Worlds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Worlds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Worlds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46023</v>
      </c>
      <c r="C34" s="66"/>
    </row>
    <row r="35" spans="1:3" x14ac:dyDescent="0.2">
      <c r="B35" t="s">
        <v>210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63" priority="6" operator="containsText" text="No DD">
      <formula>NOT(ISERROR(SEARCH("No DD",G2)))</formula>
    </cfRule>
    <cfRule type="containsText" dxfId="462" priority="9" operator="containsText" text="Merit">
      <formula>NOT(ISERROR(SEARCH("Merit",G2)))</formula>
    </cfRule>
    <cfRule type="containsText" dxfId="461" priority="10" operator="containsText" text="Excellence">
      <formula>NOT(ISERROR(SEARCH("Excellence",G2)))</formula>
    </cfRule>
    <cfRule type="containsText" dxfId="460" priority="11" operator="containsText" text="Worlds Team">
      <formula>NOT(ISERROR(SEARCH("Worlds Team",G2)))</formula>
    </cfRule>
    <cfRule type="containsText" dxfId="459" priority="12" operator="containsText" text="National Team">
      <formula>NOT(ISERROR(SEARCH("National Team",G2)))</formula>
    </cfRule>
  </conditionalFormatting>
  <conditionalFormatting sqref="D2:D25">
    <cfRule type="containsText" dxfId="458" priority="1" operator="containsText" text="No DD">
      <formula>NOT(ISERROR(SEARCH("No DD",D2)))</formula>
    </cfRule>
    <cfRule type="containsText" dxfId="457" priority="2" operator="containsText" text="Merit">
      <formula>NOT(ISERROR(SEARCH("Merit",D2)))</formula>
    </cfRule>
    <cfRule type="containsText" dxfId="456" priority="3" operator="containsText" text="Excellence">
      <formula>NOT(ISERROR(SEARCH("Excellence",D2)))</formula>
    </cfRule>
    <cfRule type="containsText" dxfId="455" priority="4" operator="containsText" text="Worlds Team">
      <formula>NOT(ISERROR(SEARCH("Worlds Team",D2)))</formula>
    </cfRule>
    <cfRule type="containsText" dxfId="454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63</v>
      </c>
      <c r="M1" s="74" t="s">
        <v>25</v>
      </c>
      <c r="N1" s="73" t="s">
        <v>64</v>
      </c>
      <c r="O1" s="74" t="s">
        <v>25</v>
      </c>
      <c r="P1" s="73" t="s">
        <v>97</v>
      </c>
      <c r="Q1" s="74" t="s">
        <v>25</v>
      </c>
      <c r="R1" s="74" t="s">
        <v>65</v>
      </c>
      <c r="S1" s="74" t="s">
        <v>25</v>
      </c>
      <c r="T1" s="73" t="s">
        <v>66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158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172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184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170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181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182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183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185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186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 t="s">
        <v>187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 t="s">
        <v>188</v>
      </c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67</v>
      </c>
      <c r="AP2" s="14" t="s">
        <v>68</v>
      </c>
      <c r="AQ2" s="14" t="s">
        <v>18</v>
      </c>
      <c r="AR2" s="14" t="s">
        <v>61</v>
      </c>
      <c r="AS2" s="14" t="s">
        <v>69</v>
      </c>
      <c r="AT2" s="14" t="s">
        <v>19</v>
      </c>
      <c r="AU2" s="14" t="s">
        <v>21</v>
      </c>
      <c r="AV2" s="14" t="s">
        <v>70</v>
      </c>
      <c r="AW2" s="14" t="s">
        <v>71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67</v>
      </c>
      <c r="BQ2" s="13" t="s">
        <v>68</v>
      </c>
      <c r="BR2" s="13" t="s">
        <v>18</v>
      </c>
      <c r="BS2" s="13" t="s">
        <v>61</v>
      </c>
      <c r="BT2" s="13" t="s">
        <v>69</v>
      </c>
      <c r="BU2" s="13" t="s">
        <v>19</v>
      </c>
      <c r="BV2" s="13" t="s">
        <v>21</v>
      </c>
      <c r="BW2" s="13" t="s">
        <v>70</v>
      </c>
      <c r="BX2" s="13" t="s">
        <v>71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67</v>
      </c>
      <c r="CR2" s="14" t="s">
        <v>68</v>
      </c>
      <c r="CS2" s="14" t="s">
        <v>18</v>
      </c>
      <c r="CT2" s="14" t="s">
        <v>61</v>
      </c>
      <c r="CU2" s="14" t="s">
        <v>69</v>
      </c>
      <c r="CV2" s="14" t="s">
        <v>19</v>
      </c>
      <c r="CW2" s="14" t="s">
        <v>21</v>
      </c>
      <c r="CX2" s="14" t="s">
        <v>70</v>
      </c>
      <c r="CY2" s="14" t="s">
        <v>71</v>
      </c>
      <c r="CZ2" s="14" t="s">
        <v>20</v>
      </c>
      <c r="DA2" s="14" t="s">
        <v>15</v>
      </c>
      <c r="DB2" s="49" t="s">
        <v>98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72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67</v>
      </c>
      <c r="DY2" s="14" t="s">
        <v>68</v>
      </c>
      <c r="DZ2" s="14" t="s">
        <v>18</v>
      </c>
      <c r="EA2" s="14" t="s">
        <v>61</v>
      </c>
      <c r="EB2" s="14" t="s">
        <v>69</v>
      </c>
      <c r="EC2" s="14" t="s">
        <v>19</v>
      </c>
      <c r="ED2" s="14" t="s">
        <v>21</v>
      </c>
      <c r="EE2" s="14" t="s">
        <v>73</v>
      </c>
      <c r="EF2" s="14" t="s">
        <v>74</v>
      </c>
      <c r="EG2" s="14" t="s">
        <v>72</v>
      </c>
      <c r="EH2" s="14" t="s">
        <v>70</v>
      </c>
      <c r="EI2" s="14" t="s">
        <v>71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72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67</v>
      </c>
      <c r="FG2" s="13" t="s">
        <v>68</v>
      </c>
      <c r="FH2" s="13" t="s">
        <v>18</v>
      </c>
      <c r="FI2" s="13" t="s">
        <v>61</v>
      </c>
      <c r="FJ2" s="13" t="s">
        <v>69</v>
      </c>
      <c r="FK2" s="13" t="s">
        <v>19</v>
      </c>
      <c r="FL2" s="13" t="s">
        <v>21</v>
      </c>
      <c r="FM2" s="13" t="s">
        <v>73</v>
      </c>
      <c r="FN2" s="13" t="s">
        <v>74</v>
      </c>
      <c r="FO2" s="13" t="s">
        <v>72</v>
      </c>
      <c r="FP2" s="13" t="s">
        <v>70</v>
      </c>
      <c r="FQ2" s="13" t="s">
        <v>71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72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67</v>
      </c>
      <c r="GO2" s="14" t="s">
        <v>68</v>
      </c>
      <c r="GP2" s="14" t="s">
        <v>18</v>
      </c>
      <c r="GQ2" s="14" t="s">
        <v>61</v>
      </c>
      <c r="GR2" s="14" t="s">
        <v>69</v>
      </c>
      <c r="GS2" s="14" t="s">
        <v>19</v>
      </c>
      <c r="GT2" s="14" t="s">
        <v>21</v>
      </c>
      <c r="GU2" s="14" t="s">
        <v>73</v>
      </c>
      <c r="GV2" s="14" t="s">
        <v>74</v>
      </c>
      <c r="GW2" s="14" t="s">
        <v>72</v>
      </c>
      <c r="GX2" s="14" t="s">
        <v>70</v>
      </c>
      <c r="GY2" s="14" t="s">
        <v>71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72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67</v>
      </c>
      <c r="HW2" s="13" t="s">
        <v>68</v>
      </c>
      <c r="HX2" s="13" t="s">
        <v>18</v>
      </c>
      <c r="HY2" s="13" t="s">
        <v>61</v>
      </c>
      <c r="HZ2" s="13" t="s">
        <v>69</v>
      </c>
      <c r="IA2" s="13" t="s">
        <v>19</v>
      </c>
      <c r="IB2" s="13" t="s">
        <v>21</v>
      </c>
      <c r="IC2" s="13" t="s">
        <v>73</v>
      </c>
      <c r="ID2" s="13" t="s">
        <v>74</v>
      </c>
      <c r="IE2" s="13" t="s">
        <v>72</v>
      </c>
      <c r="IF2" s="13" t="s">
        <v>70</v>
      </c>
      <c r="IG2" s="13" t="s">
        <v>71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72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67</v>
      </c>
      <c r="JE2" s="14" t="s">
        <v>68</v>
      </c>
      <c r="JF2" s="14" t="s">
        <v>18</v>
      </c>
      <c r="JG2" s="14" t="s">
        <v>61</v>
      </c>
      <c r="JH2" s="14" t="s">
        <v>69</v>
      </c>
      <c r="JI2" s="14" t="s">
        <v>19</v>
      </c>
      <c r="JJ2" s="14" t="s">
        <v>21</v>
      </c>
      <c r="JK2" s="14" t="s">
        <v>73</v>
      </c>
      <c r="JL2" s="14" t="s">
        <v>74</v>
      </c>
      <c r="JM2" s="14" t="s">
        <v>72</v>
      </c>
      <c r="JN2" s="14" t="s">
        <v>70</v>
      </c>
      <c r="JO2" s="14" t="s">
        <v>71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72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67</v>
      </c>
      <c r="KM2" s="13" t="s">
        <v>68</v>
      </c>
      <c r="KN2" s="13" t="s">
        <v>18</v>
      </c>
      <c r="KO2" s="13" t="s">
        <v>61</v>
      </c>
      <c r="KP2" s="13" t="s">
        <v>69</v>
      </c>
      <c r="KQ2" s="13" t="s">
        <v>19</v>
      </c>
      <c r="KR2" s="13" t="s">
        <v>21</v>
      </c>
      <c r="KS2" s="13" t="s">
        <v>73</v>
      </c>
      <c r="KT2" s="13" t="s">
        <v>74</v>
      </c>
      <c r="KU2" s="13" t="s">
        <v>72</v>
      </c>
      <c r="KV2" s="13" t="s">
        <v>70</v>
      </c>
      <c r="KW2" s="13" t="s">
        <v>71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72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67</v>
      </c>
      <c r="LU2" s="14" t="s">
        <v>68</v>
      </c>
      <c r="LV2" s="14" t="s">
        <v>18</v>
      </c>
      <c r="LW2" s="14" t="s">
        <v>61</v>
      </c>
      <c r="LX2" s="14" t="s">
        <v>69</v>
      </c>
      <c r="LY2" s="14" t="s">
        <v>19</v>
      </c>
      <c r="LZ2" s="14" t="s">
        <v>21</v>
      </c>
      <c r="MA2" s="14" t="s">
        <v>73</v>
      </c>
      <c r="MB2" s="14" t="s">
        <v>74</v>
      </c>
      <c r="MC2" s="14" t="s">
        <v>72</v>
      </c>
      <c r="MD2" s="14" t="s">
        <v>70</v>
      </c>
      <c r="ME2" s="14" t="s">
        <v>71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72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67</v>
      </c>
      <c r="NC2" s="13" t="s">
        <v>68</v>
      </c>
      <c r="ND2" s="13" t="s">
        <v>18</v>
      </c>
      <c r="NE2" s="13" t="s">
        <v>61</v>
      </c>
      <c r="NF2" s="13" t="s">
        <v>69</v>
      </c>
      <c r="NG2" s="13" t="s">
        <v>19</v>
      </c>
      <c r="NH2" s="13" t="s">
        <v>21</v>
      </c>
      <c r="NI2" s="13" t="s">
        <v>73</v>
      </c>
      <c r="NJ2" s="13" t="s">
        <v>74</v>
      </c>
      <c r="NK2" s="13" t="s">
        <v>72</v>
      </c>
      <c r="NL2" s="13" t="s">
        <v>70</v>
      </c>
      <c r="NM2" s="13" t="s">
        <v>71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72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67</v>
      </c>
      <c r="OK2" s="14" t="s">
        <v>68</v>
      </c>
      <c r="OL2" s="14" t="s">
        <v>18</v>
      </c>
      <c r="OM2" s="14" t="s">
        <v>61</v>
      </c>
      <c r="ON2" s="14" t="s">
        <v>69</v>
      </c>
      <c r="OO2" s="14" t="s">
        <v>19</v>
      </c>
      <c r="OP2" s="14" t="s">
        <v>21</v>
      </c>
      <c r="OQ2" s="14" t="s">
        <v>73</v>
      </c>
      <c r="OR2" s="14" t="s">
        <v>74</v>
      </c>
      <c r="OS2" s="14" t="s">
        <v>72</v>
      </c>
      <c r="OT2" s="14" t="s">
        <v>70</v>
      </c>
      <c r="OU2" s="14" t="s">
        <v>71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72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67</v>
      </c>
      <c r="PS2" s="13" t="s">
        <v>68</v>
      </c>
      <c r="PT2" s="13" t="s">
        <v>18</v>
      </c>
      <c r="PU2" s="13" t="s">
        <v>61</v>
      </c>
      <c r="PV2" s="13" t="s">
        <v>69</v>
      </c>
      <c r="PW2" s="13" t="s">
        <v>19</v>
      </c>
      <c r="PX2" s="13" t="s">
        <v>21</v>
      </c>
      <c r="PY2" s="13" t="s">
        <v>73</v>
      </c>
      <c r="PZ2" s="13" t="s">
        <v>74</v>
      </c>
      <c r="QA2" s="13" t="s">
        <v>72</v>
      </c>
      <c r="QB2" s="13" t="s">
        <v>70</v>
      </c>
      <c r="QC2" s="13" t="s">
        <v>71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72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67</v>
      </c>
      <c r="RA2" s="14" t="s">
        <v>68</v>
      </c>
      <c r="RB2" s="14" t="s">
        <v>18</v>
      </c>
      <c r="RC2" s="14" t="s">
        <v>61</v>
      </c>
      <c r="RD2" s="14" t="s">
        <v>69</v>
      </c>
      <c r="RE2" s="14" t="s">
        <v>19</v>
      </c>
      <c r="RF2" s="14" t="s">
        <v>21</v>
      </c>
      <c r="RG2" s="14" t="s">
        <v>73</v>
      </c>
      <c r="RH2" s="14" t="s">
        <v>74</v>
      </c>
      <c r="RI2" s="14" t="s">
        <v>72</v>
      </c>
      <c r="RJ2" s="14" t="s">
        <v>70</v>
      </c>
      <c r="RK2" s="14" t="s">
        <v>71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72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67</v>
      </c>
      <c r="SI2" s="13" t="s">
        <v>68</v>
      </c>
      <c r="SJ2" s="13" t="s">
        <v>18</v>
      </c>
      <c r="SK2" s="13" t="s">
        <v>61</v>
      </c>
      <c r="SL2" s="13" t="s">
        <v>69</v>
      </c>
      <c r="SM2" s="13" t="s">
        <v>19</v>
      </c>
      <c r="SN2" s="13" t="s">
        <v>21</v>
      </c>
      <c r="SO2" s="13" t="s">
        <v>73</v>
      </c>
      <c r="SP2" s="13" t="s">
        <v>74</v>
      </c>
      <c r="SQ2" s="13" t="s">
        <v>72</v>
      </c>
      <c r="SR2" s="13" t="s">
        <v>70</v>
      </c>
      <c r="SS2" s="13" t="s">
        <v>71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67</v>
      </c>
      <c r="TM2" s="14" t="s">
        <v>68</v>
      </c>
      <c r="TN2" s="14" t="s">
        <v>18</v>
      </c>
      <c r="TO2" s="14" t="s">
        <v>61</v>
      </c>
      <c r="TP2" s="14" t="s">
        <v>69</v>
      </c>
      <c r="TQ2" s="14" t="s">
        <v>19</v>
      </c>
      <c r="TR2" s="14" t="s">
        <v>21</v>
      </c>
      <c r="TS2" s="14" t="s">
        <v>70</v>
      </c>
      <c r="TT2" s="14" t="s">
        <v>71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86</v>
      </c>
      <c r="D4" s="4" t="s">
        <v>6</v>
      </c>
      <c r="E4" s="4">
        <v>2005</v>
      </c>
      <c r="F4" s="9">
        <f t="shared" ref="F4:F27" si="0">SUM(L4:V4)+SUM(L4:T4)*0.0000001+SUM(L4)*0.0000000000001</f>
        <v>203.82002035700566</v>
      </c>
      <c r="G4" s="64" t="s">
        <v>46</v>
      </c>
      <c r="H4" s="3" t="str">
        <f t="shared" ref="H4:H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 t="shared" ref="I4:I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 t="shared" ref="J4:J27" si="3"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 t="shared" ref="K4:K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56.35</v>
      </c>
      <c r="M4" s="8" t="str">
        <f t="shared" ref="M4:M27" si="5">IF(L4="","",IF(OR(L4=CS4,L4=CV4),$CA$1,IF(OR(L4=BR4,L4=BU4),$AZ$1,IF(OR(L4=AQ4,L4=AT4),$Y$1,""))))</f>
        <v>2025 3rd Domestic Trial</v>
      </c>
      <c r="N4" s="8">
        <f>IF(COUNT(AQ4,AT4,BR4,BU4,CS4,CV4)&gt;1,LARGE((AQ4,AT4,BR4,BU4,CS4,CV4),2),0)</f>
        <v>56.26</v>
      </c>
      <c r="O4" s="8" t="str">
        <f t="shared" ref="O4:O27" si="6"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57.680000000000007</v>
      </c>
      <c r="Q4" s="8" t="str">
        <f t="shared" ref="Q4:Q27" si="7">IF(P4="","",IF(P4=CZ4,$CA$1,IF(P4=BY4,$AZ$1,IF(P4=AX4,$Y$1,IF(OR(P4=CS4,P4=CV4,P4=CZ4),$CA$1,IF(OR(P4=BR4,P4=BU4,P4=BY4),$AZ$1,IF(OR(P4=AQ4,P4=AT4,P4=AX4),$Y$1,"")))))))</f>
        <v>2025 3rd Domestic Trial</v>
      </c>
      <c r="R4" s="8">
        <f t="shared" ref="R4:R27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</v>
      </c>
      <c r="S4" s="8" t="str">
        <f t="shared" ref="S4:S27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Worlds (Nov 9)</v>
      </c>
      <c r="T4" s="8">
        <f t="shared" ref="T4:T27" si="10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16.28</v>
      </c>
      <c r="U4" s="8" t="str">
        <f t="shared" ref="U4:U27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3rd Domestic Trial</v>
      </c>
      <c r="V4" s="8">
        <f t="shared" ref="V4:V27" si="12">IF(MAX(DB4,DC4)&gt;0,MAX(DB4,DC4),"")</f>
        <v>0.25000000000000711</v>
      </c>
      <c r="W4" s="11" t="str">
        <f t="shared" ref="W4:W27" si="13">IF(V4="","",IF(V4=DB4,"("&amp;DB$2&amp;")",IF(V4=DC4,"("&amp;DC$2&amp;")")))</f>
        <v>(Optional)</v>
      </c>
      <c r="X4" s="8" t="str">
        <f t="shared" ref="X4:X27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12.9</v>
      </c>
      <c r="Z4" s="22">
        <v>7.9</v>
      </c>
      <c r="AA4" s="22">
        <v>14.2</v>
      </c>
      <c r="AB4" s="22">
        <v>13.71</v>
      </c>
      <c r="AC4" s="22">
        <v>0</v>
      </c>
      <c r="AD4" s="22">
        <v>13</v>
      </c>
      <c r="AE4" s="22">
        <v>8.6999999999999993</v>
      </c>
      <c r="AF4" s="22">
        <v>15.1</v>
      </c>
      <c r="AG4" s="22">
        <v>15.19</v>
      </c>
      <c r="AH4" s="22">
        <v>0</v>
      </c>
      <c r="AI4" s="22">
        <v>15.3</v>
      </c>
      <c r="AJ4" s="22">
        <v>9.3000000000000007</v>
      </c>
      <c r="AK4" s="22">
        <v>14.7</v>
      </c>
      <c r="AL4" s="22">
        <v>15.29</v>
      </c>
      <c r="AM4" s="22">
        <v>0</v>
      </c>
      <c r="AN4" s="27"/>
      <c r="AO4" s="38">
        <f t="shared" ref="AO4:AO27" si="15">IF(AA4&gt;0,AA4,"")</f>
        <v>14.2</v>
      </c>
      <c r="AP4" s="38">
        <f t="shared" ref="AP4:AP27" si="16">IF(AB4&gt;0,AB4,"")</f>
        <v>13.71</v>
      </c>
      <c r="AQ4" s="40">
        <f t="shared" ref="AQ4:AQ27" si="17">IF(SUM(Y4:AB4)-AC4&gt;0,SUM(Y4:AB4)-AC4,"")</f>
        <v>48.71</v>
      </c>
      <c r="AR4" s="40">
        <f t="shared" ref="AR4:AR27" si="18">IF(AF4&gt;0,AF4,"")</f>
        <v>15.1</v>
      </c>
      <c r="AS4" s="40">
        <f t="shared" ref="AS4:AS27" si="19">IF(AG4&gt;0,AG4,"")</f>
        <v>15.19</v>
      </c>
      <c r="AT4" s="40">
        <f t="shared" ref="AT4:AT27" si="20">IF(SUM(AD4:AG4)-AH4&gt;0,SUM(AD4:AG4)-AH4,"")</f>
        <v>51.989999999999995</v>
      </c>
      <c r="AU4" s="40">
        <f t="shared" ref="AU4:AU27" si="21">IF(AQ4="","",MAX(AQ4,AT4))</f>
        <v>51.989999999999995</v>
      </c>
      <c r="AV4" s="40">
        <f t="shared" ref="AV4:AV27" si="22">IF(AK4&gt;0,AK4,"")</f>
        <v>14.7</v>
      </c>
      <c r="AW4" s="40">
        <f t="shared" ref="AW4:AW27" si="23">IF(AL4&gt;0,AL4,"")</f>
        <v>15.29</v>
      </c>
      <c r="AX4" s="40">
        <f t="shared" ref="AX4:AX27" si="24">IF(SUM(AI4:AL4)-AM4&gt;0,SUM(AI4:AL4)-AM4,"")</f>
        <v>54.589999999999996</v>
      </c>
      <c r="AY4" s="40">
        <f t="shared" ref="AY4:AY27" si="25">IF(SUM(AU4,AX4)&gt;0,SUM(AU4,AX4),"")</f>
        <v>106.57999999999998</v>
      </c>
      <c r="AZ4" s="26">
        <v>15.8</v>
      </c>
      <c r="BA4" s="26">
        <v>9</v>
      </c>
      <c r="BB4" s="26">
        <v>15.9</v>
      </c>
      <c r="BC4" s="26">
        <v>15.33</v>
      </c>
      <c r="BD4" s="26">
        <v>0</v>
      </c>
      <c r="BE4" s="26">
        <v>6.8</v>
      </c>
      <c r="BF4" s="26">
        <v>3.6</v>
      </c>
      <c r="BG4" s="26">
        <v>6.9</v>
      </c>
      <c r="BH4" s="26">
        <v>6.43</v>
      </c>
      <c r="BI4" s="26">
        <v>0</v>
      </c>
      <c r="BJ4" s="26">
        <v>15.5</v>
      </c>
      <c r="BK4" s="26">
        <v>9.5</v>
      </c>
      <c r="BL4" s="26">
        <v>13.9</v>
      </c>
      <c r="BM4" s="26">
        <v>15.04</v>
      </c>
      <c r="BN4" s="26">
        <v>0.6</v>
      </c>
      <c r="BO4" s="28"/>
      <c r="BP4" s="39">
        <f t="shared" ref="BP4:BP27" si="26">IF(BB4&gt;0,BB4,"")</f>
        <v>15.9</v>
      </c>
      <c r="BQ4" s="39">
        <f t="shared" ref="BQ4:BQ27" si="27">IF(BC4&gt;0,BC4,"")</f>
        <v>15.33</v>
      </c>
      <c r="BR4" s="11">
        <f t="shared" ref="BR4:BR27" si="28">IF(SUM(AZ4:BC4)-BD4&gt;0,SUM(AZ4:BC4)-BD4,"")</f>
        <v>56.03</v>
      </c>
      <c r="BS4" s="11">
        <f t="shared" ref="BS4:BS27" si="29">IF(BG4&gt;0,BG4,"")</f>
        <v>6.9</v>
      </c>
      <c r="BT4" s="11">
        <f t="shared" ref="BT4:BT27" si="30">IF(BH4&gt;0,BH4,"")</f>
        <v>6.43</v>
      </c>
      <c r="BU4" s="11">
        <f t="shared" ref="BU4:BU27" si="31">IF(SUM(BE4:BH4)-BI4&gt;0,SUM(BE4:BH4)-BI4,"")</f>
        <v>23.73</v>
      </c>
      <c r="BV4" s="11">
        <f t="shared" ref="BV4:BV27" si="32">IF(BR4="","",MAX(BR4,BU4))</f>
        <v>56.03</v>
      </c>
      <c r="BW4" s="11">
        <f t="shared" ref="BW4:BW27" si="33">IF(BL4&gt;0,BL4,"")</f>
        <v>13.9</v>
      </c>
      <c r="BX4" s="11">
        <f t="shared" ref="BX4:BX27" si="34">IF(BM4&gt;0,BM4,"")</f>
        <v>15.04</v>
      </c>
      <c r="BY4" s="11">
        <f t="shared" ref="BY4:BY27" si="35">IF(SUM(BJ4:BM4)-BN4&gt;0,SUM(BJ4:BM4)-BN4,"")</f>
        <v>53.339999999999996</v>
      </c>
      <c r="BZ4" s="11">
        <f t="shared" ref="BZ4:BZ27" si="36">IF(SUM(BV4,BY4)&gt;0,SUM(BV4,BY4),"")</f>
        <v>109.37</v>
      </c>
      <c r="CA4" s="22">
        <v>15.9</v>
      </c>
      <c r="CB4" s="22">
        <v>9.1</v>
      </c>
      <c r="CC4" s="22">
        <v>15.3</v>
      </c>
      <c r="CD4" s="22">
        <v>15.96</v>
      </c>
      <c r="CE4" s="22">
        <v>0</v>
      </c>
      <c r="CF4" s="22">
        <v>16.100000000000001</v>
      </c>
      <c r="CG4" s="22">
        <v>8.8000000000000007</v>
      </c>
      <c r="CH4" s="22">
        <v>15.3</v>
      </c>
      <c r="CI4" s="22">
        <v>16.149999999999999</v>
      </c>
      <c r="CJ4" s="22">
        <v>0</v>
      </c>
      <c r="CK4" s="22">
        <v>17</v>
      </c>
      <c r="CL4" s="22">
        <v>9.1</v>
      </c>
      <c r="CM4" s="22">
        <v>15.3</v>
      </c>
      <c r="CN4" s="22">
        <v>16.28</v>
      </c>
      <c r="CO4" s="22">
        <v>0</v>
      </c>
      <c r="CP4" s="27"/>
      <c r="CQ4" s="38">
        <f t="shared" ref="CQ4:CQ27" si="37">IF(CC4&gt;0,CC4,"")</f>
        <v>15.3</v>
      </c>
      <c r="CR4" s="38">
        <f t="shared" ref="CR4:CR27" si="38">IF(CD4&gt;0,CD4,"")</f>
        <v>15.96</v>
      </c>
      <c r="CS4" s="40">
        <f t="shared" ref="CS4:CS27" si="39">IF(SUM(CA4:CD4)-CE4&gt;0,SUM(CA4:CD4)-CE4,"")</f>
        <v>56.26</v>
      </c>
      <c r="CT4" s="40">
        <f t="shared" ref="CT4:CT27" si="40">IF(CH4&gt;0,CH4,"")</f>
        <v>15.3</v>
      </c>
      <c r="CU4" s="40">
        <f t="shared" ref="CU4:CU27" si="41">IF(CI4&gt;0,CI4,"")</f>
        <v>16.149999999999999</v>
      </c>
      <c r="CV4" s="40">
        <f t="shared" ref="CV4:CV27" si="42">IF(SUM(CF4:CI4)-CJ4&gt;0,SUM(CF4:CI4)-CJ4,"")</f>
        <v>56.35</v>
      </c>
      <c r="CW4" s="40">
        <f t="shared" ref="CW4:CW27" si="43">IF(CS4="","",MAX(CS4,CV4))</f>
        <v>56.35</v>
      </c>
      <c r="CX4" s="40">
        <f t="shared" ref="CX4:CX27" si="44">IF(CM4&gt;0,CM4,"")</f>
        <v>15.3</v>
      </c>
      <c r="CY4" s="40">
        <f t="shared" ref="CY4:CY27" si="45">IF(CN4&gt;0,CN4,"")</f>
        <v>16.28</v>
      </c>
      <c r="CZ4" s="40">
        <f t="shared" ref="CZ4:CZ27" si="46">IF(SUM(CK4:CN4)-CO4&gt;0,SUM(CK4:CN4)-CO4,"")</f>
        <v>57.680000000000007</v>
      </c>
      <c r="DA4" s="40">
        <f t="shared" ref="DA4:DA27" si="47">IF(SUM(CW4,CZ4)&gt;0,SUM(CW4,CZ4),"")</f>
        <v>114.03</v>
      </c>
      <c r="DB4" s="50">
        <f t="shared" ref="DB4:DB27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 t="shared" ref="DC4:DC27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50">IF(DF4&gt;0,DF4,"")</f>
        <v>15.5</v>
      </c>
      <c r="DY4" s="40">
        <f t="shared" ref="DY4:DY27" si="51">IF(DG4&gt;0,DG4,"")</f>
        <v>15.27</v>
      </c>
      <c r="DZ4" s="40">
        <f t="shared" ref="DZ4:DZ27" si="52">IF(SUM(DD4:DG4)-DH4&gt;0,SUM(DD4:DG4)-DH4,"")</f>
        <v>53.269999999999996</v>
      </c>
      <c r="EA4" s="40">
        <f t="shared" ref="EA4:EA27" si="53">IF(DK4&gt;0,DK4,"")</f>
        <v>3.5</v>
      </c>
      <c r="EB4" s="40">
        <f t="shared" ref="EB4:EB27" si="54">IF(DL4&gt;0,DL4,"")</f>
        <v>3.22</v>
      </c>
      <c r="EC4" s="40">
        <f t="shared" ref="EC4:EC27" si="55">IF(SUM(DI4:DL4)-DM4&gt;0,SUM(DI4:DL4)-DM4,"")</f>
        <v>11.32</v>
      </c>
      <c r="ED4" s="40">
        <f t="shared" ref="ED4:ED27" si="56">IF(MAX(DZ4,EC4)&gt;0,MAX(DZ4,EC4),"")</f>
        <v>53.269999999999996</v>
      </c>
      <c r="EE4" s="40" t="str">
        <f t="shared" ref="EE4:EE27" si="57">IF(DP4&gt;0,DP4,"")</f>
        <v/>
      </c>
      <c r="EF4" s="40" t="str">
        <f t="shared" ref="EF4:EF27" si="58">IF(DQ4&gt;0,DQ4,"")</f>
        <v/>
      </c>
      <c r="EG4" s="40" t="str">
        <f t="shared" ref="EG4:EG27" si="59">IF(SUM(DN4:DQ4)-DR4&gt;0,SUM(DN4:DQ4)-DR4,"")</f>
        <v/>
      </c>
      <c r="EH4" s="40" t="str">
        <f t="shared" ref="EH4:EH27" si="60">IF(DU4&gt;0,DU4,"")</f>
        <v/>
      </c>
      <c r="EI4" s="40" t="str">
        <f t="shared" ref="EI4:EI27" si="61">IF(DV4&gt;0,DV4,"")</f>
        <v/>
      </c>
      <c r="EJ4" s="40" t="str">
        <f t="shared" ref="EJ4:EJ27" si="62">IF(SUM(DS4:DV4)-DW4&gt;0,SUM(DS4:DV4)-DW4,"")</f>
        <v/>
      </c>
      <c r="EK4" s="40">
        <f t="shared" ref="EK4:EK27" si="63"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27" si="64">IF(EN4&gt;0,EN4,"")</f>
        <v>14.9</v>
      </c>
      <c r="FG4" s="11">
        <f t="shared" ref="FG4:FG27" si="65">IF(EO4&gt;0,EO4,"")</f>
        <v>15.44</v>
      </c>
      <c r="FH4" s="11">
        <f t="shared" ref="FH4:FH27" si="66">IF(SUM(EL4:EO4)-EP4&gt;0,SUM(EL4:EO4)-EP4,"")</f>
        <v>54.839999999999996</v>
      </c>
      <c r="FI4" s="11">
        <f t="shared" ref="FI4:FI27" si="67">IF(ES4&gt;0,ES4,"")</f>
        <v>15.3</v>
      </c>
      <c r="FJ4" s="11">
        <f t="shared" ref="FJ4:FJ27" si="68">IF(ET4&gt;0,ET4,"")</f>
        <v>15.81</v>
      </c>
      <c r="FK4" s="11">
        <f t="shared" ref="FK4:FK27" si="69">IF(SUM(EQ4:ET4)-EU4&gt;0,SUM(EQ4:ET4)-EU4,"")</f>
        <v>56.510000000000005</v>
      </c>
      <c r="FL4" s="11">
        <f t="shared" ref="FL4:FL27" si="70">IF(MAX(FH4,FK4)&gt;0,MAX(FH4,FK4),"")</f>
        <v>56.510000000000005</v>
      </c>
      <c r="FM4" s="11" t="str">
        <f t="shared" ref="FM4:FM27" si="71">IF(EX4&gt;0,EX4,"")</f>
        <v/>
      </c>
      <c r="FN4" s="11" t="str">
        <f t="shared" ref="FN4:FN27" si="72">IF(EY4&gt;0,EY4,"")</f>
        <v/>
      </c>
      <c r="FO4" s="11" t="str">
        <f t="shared" ref="FO4:FO27" si="73">IF(SUM(EV4:EY4)-EZ4&gt;0,SUM(EV4:EY4)-EZ4,"")</f>
        <v/>
      </c>
      <c r="FP4" s="11" t="str">
        <f t="shared" ref="FP4:FP27" si="74">IF(FC4&gt;0,FC4,"")</f>
        <v/>
      </c>
      <c r="FQ4" s="11" t="str">
        <f t="shared" ref="FQ4:FQ27" si="75">IF(FD4&gt;0,FD4,"")</f>
        <v/>
      </c>
      <c r="FR4" s="11" t="str">
        <f t="shared" ref="FR4:FR27" si="76">IF(SUM(FA4:FD4)-FE4&gt;0,SUM(FA4:FD4)-FE4,"")</f>
        <v/>
      </c>
      <c r="FS4" s="11">
        <f t="shared" ref="FS4:FS27" si="77"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7" si="78">IF(FV4&gt;0,FV4,"")</f>
        <v/>
      </c>
      <c r="GO4" s="40" t="str">
        <f t="shared" ref="GO4:GO27" si="79">IF(FW4&gt;0,FW4,"")</f>
        <v/>
      </c>
      <c r="GP4" s="40" t="str">
        <f t="shared" ref="GP4:GP27" si="80">IF(SUM(FT4:FW4)-FX4&gt;0,SUM(FT4:FW4)-FX4,"")</f>
        <v/>
      </c>
      <c r="GQ4" s="40" t="str">
        <f t="shared" ref="GQ4:GQ27" si="81">IF(GA4&gt;0,GA4,"")</f>
        <v/>
      </c>
      <c r="GR4" s="40" t="str">
        <f t="shared" ref="GR4:GR27" si="82">IF(GB4&gt;0,GB4,"")</f>
        <v/>
      </c>
      <c r="GS4" s="40" t="str">
        <f t="shared" ref="GS4:GS27" si="83">IF(SUM(FY4:GB4)-GC4&gt;0,SUM(FY4:GB4)-GC4,"")</f>
        <v/>
      </c>
      <c r="GT4" s="40" t="str">
        <f t="shared" ref="GT4:GT27" si="84">IF(MAX(GP4,GS4)&gt;0,MAX(GP4,GS4),"")</f>
        <v/>
      </c>
      <c r="GU4" s="40" t="str">
        <f t="shared" ref="GU4:GU27" si="85">IF(GF4&gt;0,GF4,"")</f>
        <v/>
      </c>
      <c r="GV4" s="40" t="str">
        <f t="shared" ref="GV4:GV27" si="86">IF(GG4&gt;0,GG4,"")</f>
        <v/>
      </c>
      <c r="GW4" s="40" t="str">
        <f t="shared" ref="GW4:GW27" si="87">IF(SUM(GD4:GG4)-GH4&gt;0,SUM(GD4:GG4)-GH4,"")</f>
        <v/>
      </c>
      <c r="GX4" s="40" t="str">
        <f t="shared" ref="GX4:GX27" si="88">IF(GK4&gt;0,GK4,"")</f>
        <v/>
      </c>
      <c r="GY4" s="40" t="str">
        <f t="shared" ref="GY4:GY27" si="89">IF(GL4&gt;0,GL4,"")</f>
        <v/>
      </c>
      <c r="GZ4" s="40" t="str">
        <f t="shared" ref="GZ4:GZ27" si="90">IF(SUM(GI4:GL4)-GM4&gt;0,SUM(GI4:GL4)-GM4,"")</f>
        <v/>
      </c>
      <c r="HA4" s="40" t="str">
        <f t="shared" ref="HA4:HA27" si="91"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 t="shared" ref="HV4:HV27" si="92">IF(HD4&gt;0,HD4,"")</f>
        <v/>
      </c>
      <c r="HW4" s="11" t="str">
        <f t="shared" ref="HW4:HW27" si="93">IF(HE4&gt;0,HE4,"")</f>
        <v/>
      </c>
      <c r="HX4" s="11" t="str">
        <f t="shared" ref="HX4:HX27" si="94">IF(SUM(HB4:HE4)-HF4&gt;0,SUM(HB4:HE4)-HF4,"")</f>
        <v/>
      </c>
      <c r="HY4" s="11">
        <f t="shared" ref="HY4:HY27" si="95">IF(HI4&gt;0,HI4,"")</f>
        <v>14.9</v>
      </c>
      <c r="HZ4" s="11">
        <f t="shared" ref="HZ4:HZ27" si="96">IF(HJ4&gt;0,HJ4,"")</f>
        <v>15.56</v>
      </c>
      <c r="IA4" s="11">
        <f t="shared" ref="IA4:IA27" si="97">IF(SUM(HG4:HJ4)-HK4&gt;0,SUM(HG4:HJ4)-HK4,"")</f>
        <v>56.26</v>
      </c>
      <c r="IB4" s="11">
        <f t="shared" ref="IB4:IB27" si="98">IF(MAX(HX4,IA4)&gt;0,MAX(HX4,IA4),"")</f>
        <v>56.26</v>
      </c>
      <c r="IC4" s="11" t="str">
        <f t="shared" ref="IC4:IC27" si="99">IF(HN4&gt;0,HN4,"")</f>
        <v/>
      </c>
      <c r="ID4" s="11" t="str">
        <f t="shared" ref="ID4:ID27" si="100">IF(HO4&gt;0,HO4,"")</f>
        <v/>
      </c>
      <c r="IE4" s="11" t="str">
        <f t="shared" ref="IE4:IE27" si="101">IF(SUM(HL4:HO4)-HP4&gt;0,SUM(HL4:HO4)-HP4,"")</f>
        <v/>
      </c>
      <c r="IF4" s="11">
        <f t="shared" ref="IF4:IF27" si="102">IF(HS4&gt;0,HS4,"")</f>
        <v>14.9</v>
      </c>
      <c r="IG4" s="11">
        <f t="shared" ref="IG4:IG27" si="103">IF(HT4&gt;0,HT4,"")</f>
        <v>15.23</v>
      </c>
      <c r="IH4" s="11">
        <f t="shared" ref="IH4:IH27" si="104">IF(SUM(HQ4:HT4)-HU4&gt;0,SUM(HQ4:HT4)-HU4,"")</f>
        <v>54.929999999999993</v>
      </c>
      <c r="II4" s="11">
        <f t="shared" ref="II4:II27" si="105">IF(SUM(IB4,IE4,IH4)&gt;0,SUM(IB4,IE4,IH4),"")</f>
        <v>111.19</v>
      </c>
      <c r="IJ4" s="17">
        <v>15.6</v>
      </c>
      <c r="IK4" s="17">
        <v>8.6</v>
      </c>
      <c r="IL4" s="17">
        <v>13.7</v>
      </c>
      <c r="IM4" s="17">
        <v>15.29</v>
      </c>
      <c r="IN4" s="17">
        <v>0</v>
      </c>
      <c r="IO4" s="17">
        <v>14.1</v>
      </c>
      <c r="IP4" s="17">
        <v>7.6</v>
      </c>
      <c r="IQ4" s="17">
        <v>13.2</v>
      </c>
      <c r="IR4" s="17">
        <v>14.29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 t="shared" ref="JD4:JD27" si="106">IF(IL4&gt;0,IL4,"")</f>
        <v>13.7</v>
      </c>
      <c r="JE4" s="40">
        <f t="shared" ref="JE4:JE27" si="107">IF(IM4&gt;0,IM4,"")</f>
        <v>15.29</v>
      </c>
      <c r="JF4" s="40">
        <f t="shared" ref="JF4:JF27" si="108">IF(SUM(IJ4:IM4)-IN4&gt;0,SUM(IJ4:IM4)-IN4,"")</f>
        <v>53.19</v>
      </c>
      <c r="JG4" s="40">
        <f t="shared" ref="JG4:JG27" si="109">IF(IQ4&gt;0,IQ4,"")</f>
        <v>13.2</v>
      </c>
      <c r="JH4" s="40">
        <f t="shared" ref="JH4:JH27" si="110">IF(IR4&gt;0,IR4,"")</f>
        <v>14.29</v>
      </c>
      <c r="JI4" s="40">
        <f t="shared" ref="JI4:JI27" si="111">IF(SUM(IO4:IR4)-IS4&gt;0,SUM(IO4:IR4)-IS4,"")</f>
        <v>49.19</v>
      </c>
      <c r="JJ4" s="40">
        <f t="shared" ref="JJ4:JJ27" si="112">IF(MAX(JF4,JI4)&gt;0,MAX(JF4,JI4),"")</f>
        <v>53.19</v>
      </c>
      <c r="JK4" s="40" t="str">
        <f t="shared" ref="JK4:JK27" si="113">IF(IV4&gt;0,IV4,"")</f>
        <v/>
      </c>
      <c r="JL4" s="40" t="str">
        <f t="shared" ref="JL4:JL27" si="114">IF(IW4&gt;0,IW4,"")</f>
        <v/>
      </c>
      <c r="JM4" s="40" t="str">
        <f t="shared" ref="JM4:JM27" si="115">IF(SUM(IT4:IW4)-IX4&gt;0,SUM(IT4:IW4)-IX4,"")</f>
        <v/>
      </c>
      <c r="JN4" s="40" t="str">
        <f t="shared" ref="JN4:JN27" si="116">IF(JA4&gt;0,JA4,"")</f>
        <v/>
      </c>
      <c r="JO4" s="40" t="str">
        <f t="shared" ref="JO4:JO27" si="117">IF(JB4&gt;0,JB4,"")</f>
        <v/>
      </c>
      <c r="JP4" s="40" t="str">
        <f t="shared" ref="JP4:JP27" si="118">IF(SUM(IY4:JB4)-JC4&gt;0,SUM(IY4:JB4)-JC4,"")</f>
        <v/>
      </c>
      <c r="JQ4" s="40">
        <f t="shared" ref="JQ4:JQ27" si="119">IF(SUM(JJ4,JM4,JP4)&gt;0,SUM(JJ4,JM4,JP4),"")</f>
        <v>53.19</v>
      </c>
      <c r="JR4" s="18">
        <v>15</v>
      </c>
      <c r="JS4" s="18">
        <v>9.3000000000000007</v>
      </c>
      <c r="JT4" s="18">
        <v>16.2</v>
      </c>
      <c r="JU4" s="18">
        <v>15.85</v>
      </c>
      <c r="JV4" s="18">
        <v>0</v>
      </c>
      <c r="JW4" s="18">
        <v>13.6</v>
      </c>
      <c r="JX4" s="18">
        <v>8.1</v>
      </c>
      <c r="JY4" s="18">
        <v>13.2</v>
      </c>
      <c r="JZ4" s="18">
        <v>14.13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27" si="120">IF(JT4&gt;0,JT4,"")</f>
        <v>16.2</v>
      </c>
      <c r="KM4" s="11">
        <f t="shared" ref="KM4:KM27" si="121">IF(JU4&gt;0,JU4,"")</f>
        <v>15.85</v>
      </c>
      <c r="KN4" s="11">
        <f t="shared" ref="KN4:KN27" si="122">IF(SUM(JR4:JU4)-JV4&gt;0,SUM(JR4:JU4)-JV4,"")</f>
        <v>56.35</v>
      </c>
      <c r="KO4" s="11">
        <f t="shared" ref="KO4:KO27" si="123">IF(JY4&gt;0,JY4,"")</f>
        <v>13.2</v>
      </c>
      <c r="KP4" s="11">
        <f t="shared" ref="KP4:KP27" si="124">IF(JZ4&gt;0,JZ4,"")</f>
        <v>14.13</v>
      </c>
      <c r="KQ4" s="11">
        <f t="shared" ref="KQ4:KQ27" si="125">IF(SUM(JW4:JZ4)-KA4&gt;0,SUM(JW4:JZ4)-KA4,"")</f>
        <v>49.03</v>
      </c>
      <c r="KR4" s="11">
        <f t="shared" ref="KR4:KR27" si="126">IF(MAX(KN4,KQ4)&gt;0,MAX(KN4,KQ4),"")</f>
        <v>56.35</v>
      </c>
      <c r="KS4" s="11" t="str">
        <f t="shared" ref="KS4:KS27" si="127">IF(KD4&gt;0,KD4,"")</f>
        <v/>
      </c>
      <c r="KT4" s="11" t="str">
        <f t="shared" ref="KT4:KT27" si="128">IF(KE4&gt;0,KE4,"")</f>
        <v/>
      </c>
      <c r="KU4" s="11" t="str">
        <f t="shared" ref="KU4:KU27" si="129">IF(SUM(KB4:KE4)-KF4&gt;0,SUM(KB4:KE4)-KF4,"")</f>
        <v/>
      </c>
      <c r="KV4" s="11" t="str">
        <f t="shared" ref="KV4:KV27" si="130">IF(KI4&gt;0,KI4,"")</f>
        <v/>
      </c>
      <c r="KW4" s="11" t="str">
        <f t="shared" ref="KW4:KW27" si="131">IF(KJ4&gt;0,KJ4,"")</f>
        <v/>
      </c>
      <c r="KX4" s="11" t="str">
        <f t="shared" ref="KX4:KX27" si="132">IF(SUM(KG4:KJ4)-KK4&gt;0,SUM(KG4:KJ4)-KK4,"")</f>
        <v/>
      </c>
      <c r="KY4" s="11">
        <f t="shared" ref="KY4:KY27" si="133">IF(SUM(KR4,KU4,KX4)&gt;0,SUM(KR4,KU4,KX4),"")</f>
        <v>56.35</v>
      </c>
      <c r="KZ4" s="17">
        <v>13</v>
      </c>
      <c r="LA4" s="17">
        <v>9.1</v>
      </c>
      <c r="LB4" s="17">
        <v>16.8</v>
      </c>
      <c r="LC4" s="17">
        <v>15.41</v>
      </c>
      <c r="LD4" s="17">
        <v>0</v>
      </c>
      <c r="LE4" s="17">
        <v>14.1</v>
      </c>
      <c r="LF4" s="17">
        <v>9.5</v>
      </c>
      <c r="LG4" s="17">
        <v>17</v>
      </c>
      <c r="LH4" s="17">
        <v>15.64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>
        <f t="shared" ref="LT4:LT27" si="134">IF(LB4&gt;0,LB4,"")</f>
        <v>16.8</v>
      </c>
      <c r="LU4" s="40">
        <f t="shared" ref="LU4:LU27" si="135">IF(LC4&gt;0,LC4,"")</f>
        <v>15.41</v>
      </c>
      <c r="LV4" s="40">
        <f t="shared" ref="LV4:LV27" si="136">IF(SUM(KZ4:LC4)-LD4&gt;0,SUM(KZ4:LC4)-LD4,"")</f>
        <v>54.31</v>
      </c>
      <c r="LW4" s="40">
        <f t="shared" ref="LW4:LW27" si="137">IF(LG4&gt;0,LG4,"")</f>
        <v>17</v>
      </c>
      <c r="LX4" s="40">
        <f t="shared" ref="LX4:LX27" si="138">IF(LH4&gt;0,LH4,"")</f>
        <v>15.64</v>
      </c>
      <c r="LY4" s="40">
        <f t="shared" ref="LY4:LY27" si="139">IF(SUM(LE4:LH4)-LI4&gt;0,SUM(LE4:LH4)-LI4,"")</f>
        <v>56.24</v>
      </c>
      <c r="LZ4" s="40">
        <f t="shared" ref="LZ4:LZ27" si="140">IF(MAX(LV4,LY4)&gt;0,MAX(LV4,LY4),"")</f>
        <v>56.24</v>
      </c>
      <c r="MA4" s="40" t="str">
        <f t="shared" ref="MA4:MA27" si="141">IF(LL4&gt;0,LL4,"")</f>
        <v/>
      </c>
      <c r="MB4" s="40" t="str">
        <f t="shared" ref="MB4:MB27" si="142">IF(LM4&gt;0,LM4,"")</f>
        <v/>
      </c>
      <c r="MC4" s="40" t="str">
        <f t="shared" ref="MC4:MC27" si="143">IF(SUM(LJ4:LM4)-LN4&gt;0,SUM(LJ4:LM4)-LN4,"")</f>
        <v/>
      </c>
      <c r="MD4" s="40" t="str">
        <f t="shared" ref="MD4:MD27" si="144">IF(LQ4&gt;0,LQ4,"")</f>
        <v/>
      </c>
      <c r="ME4" s="40" t="str">
        <f t="shared" ref="ME4:ME27" si="145">IF(LR4&gt;0,LR4,"")</f>
        <v/>
      </c>
      <c r="MF4" s="40" t="str">
        <f t="shared" ref="MF4:MF27" si="146">IF(SUM(LO4:LR4)-LS4&gt;0,SUM(LO4:LR4)-LS4,"")</f>
        <v/>
      </c>
      <c r="MG4" s="40">
        <f t="shared" ref="MG4:MG27" si="147">IF(SUM(LZ4,MC4,MF4)&gt;0,SUM(LZ4,MC4,MF4),"")</f>
        <v>56.24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48">IF(MJ4&gt;0,MJ4,"")</f>
        <v/>
      </c>
      <c r="NC4" s="11" t="str">
        <f t="shared" ref="NC4:NC27" si="149">IF(MK4&gt;0,MK4,"")</f>
        <v/>
      </c>
      <c r="ND4" s="11" t="str">
        <f t="shared" ref="ND4:ND27" si="150">IF(SUM(MH4:MK4)-ML4&gt;0,SUM(MH4:MK4)-ML4,"")</f>
        <v/>
      </c>
      <c r="NE4" s="11" t="str">
        <f t="shared" ref="NE4:NE27" si="151">IF(MO4&gt;0,MO4,"")</f>
        <v/>
      </c>
      <c r="NF4" s="11" t="str">
        <f t="shared" ref="NF4:NF27" si="152">IF(MP4&gt;0,MP4,"")</f>
        <v/>
      </c>
      <c r="NG4" s="11" t="str">
        <f t="shared" ref="NG4:NG27" si="153">IF(SUM(MM4:MP4)-MQ4&gt;0,SUM(MM4:MP4)-MQ4,"")</f>
        <v/>
      </c>
      <c r="NH4" s="11" t="str">
        <f t="shared" ref="NH4:NH27" si="154">IF(MAX(ND4,NG4)&gt;0,MAX(ND4,NG4),"")</f>
        <v/>
      </c>
      <c r="NI4" s="11" t="str">
        <f t="shared" ref="NI4:NI27" si="155">IF(MT4&gt;0,MT4,"")</f>
        <v/>
      </c>
      <c r="NJ4" s="11" t="str">
        <f t="shared" ref="NJ4:NJ27" si="156">IF(MU4&gt;0,MU4,"")</f>
        <v/>
      </c>
      <c r="NK4" s="11" t="str">
        <f t="shared" ref="NK4:NK27" si="157">IF(SUM(MR4:MU4)-MV4&gt;0,SUM(MR4:MU4)-MV4,"")</f>
        <v/>
      </c>
      <c r="NL4" s="11" t="str">
        <f t="shared" ref="NL4:NL27" si="158">IF(MY4&gt;0,MY4,"")</f>
        <v/>
      </c>
      <c r="NM4" s="11" t="str">
        <f t="shared" ref="NM4:NM27" si="159">IF(MZ4&gt;0,MZ4,"")</f>
        <v/>
      </c>
      <c r="NN4" s="11" t="str">
        <f t="shared" ref="NN4:NN27" si="160">IF(SUM(MW4:MZ4)-NA4&gt;0,SUM(MW4:MZ4)-NA4,"")</f>
        <v/>
      </c>
      <c r="NO4" s="11" t="str">
        <f t="shared" ref="NO4:NO27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62">IF(NR4&gt;0,NR4,"")</f>
        <v/>
      </c>
      <c r="OK4" s="40" t="str">
        <f t="shared" ref="OK4:OK27" si="163">IF(NS4&gt;0,NS4,"")</f>
        <v/>
      </c>
      <c r="OL4" s="40" t="str">
        <f t="shared" ref="OL4:OL27" si="164">IF(SUM(NP4:NS4)-NT4&gt;0,SUM(NP4:NS4)-NT4,"")</f>
        <v/>
      </c>
      <c r="OM4" s="40" t="str">
        <f t="shared" ref="OM4:OM27" si="165">IF(NW4&gt;0,NW4,"")</f>
        <v/>
      </c>
      <c r="ON4" s="40" t="str">
        <f t="shared" ref="ON4:ON27" si="166">IF(NX4&gt;0,NX4,"")</f>
        <v/>
      </c>
      <c r="OO4" s="40" t="str">
        <f t="shared" ref="OO4:OO27" si="167">IF(SUM(NU4:NX4)-NY4&gt;0,SUM(NU4:NX4)-NY4,"")</f>
        <v/>
      </c>
      <c r="OP4" s="40" t="str">
        <f t="shared" ref="OP4:OP27" si="168">IF(MAX(OL4,OO4)&gt;0,MAX(OL4,OO4),"")</f>
        <v/>
      </c>
      <c r="OQ4" s="40" t="str">
        <f t="shared" ref="OQ4:OQ27" si="169">IF(OB4&gt;0,OB4,"")</f>
        <v/>
      </c>
      <c r="OR4" s="40" t="str">
        <f t="shared" ref="OR4:OR27" si="170">IF(OC4&gt;0,OC4,"")</f>
        <v/>
      </c>
      <c r="OS4" s="40" t="str">
        <f t="shared" ref="OS4:OS27" si="171">IF(SUM(NZ4:OC4)-OD4&gt;0,SUM(NZ4:OC4)-OD4,"")</f>
        <v/>
      </c>
      <c r="OT4" s="40" t="str">
        <f t="shared" ref="OT4:OT27" si="172">IF(OG4&gt;0,OG4,"")</f>
        <v/>
      </c>
      <c r="OU4" s="40" t="str">
        <f t="shared" ref="OU4:OU27" si="173">IF(OH4&gt;0,OH4,"")</f>
        <v/>
      </c>
      <c r="OV4" s="40" t="str">
        <f t="shared" ref="OV4:OV27" si="174">IF(SUM(OE4:OH4)-OI4&gt;0,SUM(OE4:OH4)-OI4,"")</f>
        <v/>
      </c>
      <c r="OW4" s="40" t="str">
        <f t="shared" ref="OW4:OW27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6">IF(OZ4&gt;0,OZ4,"")</f>
        <v/>
      </c>
      <c r="PS4" s="11" t="str">
        <f t="shared" ref="PS4:PS27" si="177">IF(PA4&gt;0,PA4,"")</f>
        <v/>
      </c>
      <c r="PT4" s="11" t="str">
        <f t="shared" ref="PT4:PT27" si="178">IF(SUM(OX4:PA4)-PB4&gt;0,SUM(OX4:PA4)-PB4,"")</f>
        <v/>
      </c>
      <c r="PU4" s="11" t="str">
        <f t="shared" ref="PU4:PU27" si="179">IF(PE4&gt;0,PE4,"")</f>
        <v/>
      </c>
      <c r="PV4" s="11" t="str">
        <f t="shared" ref="PV4:PV27" si="180">IF(PF4&gt;0,PF4,"")</f>
        <v/>
      </c>
      <c r="PW4" s="11" t="str">
        <f t="shared" ref="PW4:PW27" si="181">IF(SUM(PC4:PF4)-PG4&gt;0,SUM(PC4:PF4)-PG4,"")</f>
        <v/>
      </c>
      <c r="PX4" s="11" t="str">
        <f t="shared" ref="PX4:PX27" si="182">IF(MAX(PT4,PW4)&gt;0,MAX(PT4,PW4),"")</f>
        <v/>
      </c>
      <c r="PY4" s="11" t="str">
        <f t="shared" ref="PY4:PY27" si="183">IF(PJ4&gt;0,PJ4,"")</f>
        <v/>
      </c>
      <c r="PZ4" s="11" t="str">
        <f t="shared" ref="PZ4:PZ27" si="184">IF(PK4&gt;0,PK4,"")</f>
        <v/>
      </c>
      <c r="QA4" s="11" t="str">
        <f t="shared" ref="QA4:QA27" si="185">IF(SUM(PH4:PK4)-PL4&gt;0,SUM(PH4:PK4)-PL4,"")</f>
        <v/>
      </c>
      <c r="QB4" s="11" t="str">
        <f t="shared" ref="QB4:QB27" si="186">IF(PO4&gt;0,PO4,"")</f>
        <v/>
      </c>
      <c r="QC4" s="11" t="str">
        <f t="shared" ref="QC4:QC27" si="187">IF(PP4&gt;0,PP4,"")</f>
        <v/>
      </c>
      <c r="QD4" s="11" t="str">
        <f t="shared" ref="QD4:QD27" si="188">IF(SUM(PM4:PP4)-PQ4&gt;0,SUM(PM4:PP4)-PQ4,"")</f>
        <v/>
      </c>
      <c r="QE4" s="11" t="str">
        <f t="shared" ref="QE4:QE27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90">IF(QH4&gt;0,QH4,"")</f>
        <v/>
      </c>
      <c r="RA4" s="40" t="str">
        <f t="shared" ref="RA4:RA27" si="191">IF(QI4&gt;0,QI4,"")</f>
        <v/>
      </c>
      <c r="RB4" s="40" t="str">
        <f t="shared" ref="RB4:RB27" si="192">IF(SUM(QF4:QI4)-QJ4&gt;0,SUM(QF4:QI4)-QJ4,"")</f>
        <v/>
      </c>
      <c r="RC4" s="40" t="str">
        <f t="shared" ref="RC4:RC27" si="193">IF(QM4&gt;0,QM4,"")</f>
        <v/>
      </c>
      <c r="RD4" s="40" t="str">
        <f t="shared" ref="RD4:RD27" si="194">IF(QN4&gt;0,QN4,"")</f>
        <v/>
      </c>
      <c r="RE4" s="40" t="str">
        <f t="shared" ref="RE4:RE27" si="195">IF(SUM(QK4:QN4)-QO4&gt;0,SUM(QK4:QN4)-QO4,"")</f>
        <v/>
      </c>
      <c r="RF4" s="40" t="str">
        <f t="shared" ref="RF4:RF27" si="196">IF(MAX(RB4,RE4)&gt;0,MAX(RB4,RE4),"")</f>
        <v/>
      </c>
      <c r="RG4" s="40" t="str">
        <f t="shared" ref="RG4:RG27" si="197">IF(QR4&gt;0,QR4,"")</f>
        <v/>
      </c>
      <c r="RH4" s="40" t="str">
        <f t="shared" ref="RH4:RH27" si="198">IF(QS4&gt;0,QS4,"")</f>
        <v/>
      </c>
      <c r="RI4" s="40" t="str">
        <f t="shared" ref="RI4:RI27" si="199">IF(SUM(QP4:QS4)-QT4&gt;0,SUM(QP4:QS4)-QT4,"")</f>
        <v/>
      </c>
      <c r="RJ4" s="40" t="str">
        <f t="shared" ref="RJ4:RJ27" si="200">IF(QW4&gt;0,QW4,"")</f>
        <v/>
      </c>
      <c r="RK4" s="40" t="str">
        <f t="shared" ref="RK4:RK27" si="201">IF(QX4&gt;0,QX4,"")</f>
        <v/>
      </c>
      <c r="RL4" s="40" t="str">
        <f t="shared" ref="RL4:RL27" si="202">IF(SUM(QU4:QX4)-QY4&gt;0,SUM(QU4:QX4)-QY4,"")</f>
        <v/>
      </c>
      <c r="RM4" s="40" t="str">
        <f t="shared" ref="RM4:RM27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204">IF(RP4&gt;0,RP4,"")</f>
        <v/>
      </c>
      <c r="SI4" s="11" t="str">
        <f t="shared" ref="SI4:SI27" si="205">IF(RQ4&gt;0,RQ4,"")</f>
        <v/>
      </c>
      <c r="SJ4" s="11" t="str">
        <f t="shared" ref="SJ4:SJ27" si="206">IF(SUM(RN4:RQ4)-RR4&gt;0,SUM(RN4:RQ4)-RR4,"")</f>
        <v/>
      </c>
      <c r="SK4" s="11" t="str">
        <f t="shared" ref="SK4:SK27" si="207">IF(RU4&gt;0,RU4,"")</f>
        <v/>
      </c>
      <c r="SL4" s="11" t="str">
        <f t="shared" ref="SL4:SL27" si="208">IF(RV4&gt;0,RV4,"")</f>
        <v/>
      </c>
      <c r="SM4" s="11" t="str">
        <f t="shared" ref="SM4:SM27" si="209">IF(SUM(RS4:RV4)-RW4&gt;0,SUM(RS4:RV4)-RW4,"")</f>
        <v/>
      </c>
      <c r="SN4" s="11" t="str">
        <f t="shared" ref="SN4:SN27" si="210">IF(MAX(SJ4,SM4)&gt;0,MAX(SJ4,SM4),"")</f>
        <v/>
      </c>
      <c r="SO4" s="11" t="str">
        <f t="shared" ref="SO4:SO27" si="211">IF(RZ4&gt;0,RZ4,"")</f>
        <v/>
      </c>
      <c r="SP4" s="11" t="str">
        <f t="shared" ref="SP4:SP27" si="212">IF(SA4&gt;0,SA4,"")</f>
        <v/>
      </c>
      <c r="SQ4" s="11" t="str">
        <f t="shared" ref="SQ4:SQ27" si="213">IF(SUM(RX4:SA4)-SB4&gt;0,SUM(RX4:SA4)-SB4,"")</f>
        <v/>
      </c>
      <c r="SR4" s="11" t="str">
        <f t="shared" ref="SR4:SR27" si="214">IF(SE4&gt;0,SE4,"")</f>
        <v/>
      </c>
      <c r="SS4" s="11" t="str">
        <f t="shared" ref="SS4:SS27" si="215">IF(SF4&gt;0,SF4,"")</f>
        <v/>
      </c>
      <c r="ST4" s="11" t="str">
        <f t="shared" ref="ST4:ST27" si="216">IF(SUM(SC4:SF4)-SG4&gt;0,SUM(SC4:SF4)-SG4,"")</f>
        <v/>
      </c>
      <c r="SU4" s="11" t="str">
        <f t="shared" ref="SU4:SU27" si="217">IF(SUM(SN4,SQ4,ST4)&gt;0,SUM(SN4,SQ4,ST4),"")</f>
        <v/>
      </c>
      <c r="SV4" s="22">
        <f t="shared" ref="SV4:SV27" si="218">IF($CP4="P",CA4,(CA4+AZ4)/2)</f>
        <v>15.850000000000001</v>
      </c>
      <c r="SW4" s="22">
        <f t="shared" ref="SW4:SW27" si="219">IF($CP4="P",CB4,(CB4+BA4)/2)</f>
        <v>9.0500000000000007</v>
      </c>
      <c r="SX4" s="22">
        <f t="shared" ref="SX4:SX27" si="220">IF($CP4="P",CC4,(CC4+BB4)/2)</f>
        <v>15.600000000000001</v>
      </c>
      <c r="SY4" s="22">
        <f t="shared" ref="SY4:SY27" si="221">IF($CP4="P",CD4,(CD4+BC4)/2)</f>
        <v>15.645</v>
      </c>
      <c r="SZ4" s="22">
        <f t="shared" ref="SZ4:SZ27" si="222">IF($CP4="P",CE4,(CE4+BD4)/2)</f>
        <v>0</v>
      </c>
      <c r="TA4" s="22">
        <f t="shared" ref="TA4:TA27" si="223">IF($CP4="P",CF4,(CF4+BE4)/2)</f>
        <v>11.450000000000001</v>
      </c>
      <c r="TB4" s="22">
        <f t="shared" ref="TB4:TB27" si="224">IF($CP4="P",CG4,(CG4+BF4)/2)</f>
        <v>6.2</v>
      </c>
      <c r="TC4" s="22">
        <f t="shared" ref="TC4:TC27" si="225">IF($CP4="P",CH4,(CH4+BG4)/2)</f>
        <v>11.100000000000001</v>
      </c>
      <c r="TD4" s="22">
        <f t="shared" ref="TD4:TD27" si="226">IF($CP4="P",CI4,(CI4+BH4)/2)</f>
        <v>11.29</v>
      </c>
      <c r="TE4" s="22">
        <f t="shared" ref="TE4:TE27" si="227">IF($CP4="P",CJ4,(CJ4+BI4)/2)</f>
        <v>0</v>
      </c>
      <c r="TF4" s="22">
        <f t="shared" ref="TF4:TF27" si="228">IF($CP4="P",CK4,(CK4+BJ4)/2)</f>
        <v>16.25</v>
      </c>
      <c r="TG4" s="22">
        <f t="shared" ref="TG4:TG27" si="229">IF($CP4="P",CL4,(CL4+BK4)/2)</f>
        <v>9.3000000000000007</v>
      </c>
      <c r="TH4" s="22">
        <f t="shared" ref="TH4:TH27" si="230">IF($CP4="P",CM4,(CM4+BL4)/2)</f>
        <v>14.600000000000001</v>
      </c>
      <c r="TI4" s="22">
        <f t="shared" ref="TI4:TI27" si="231">IF($CP4="P",CN4,(CN4+BM4)/2)</f>
        <v>15.66</v>
      </c>
      <c r="TJ4" s="22">
        <f t="shared" ref="TJ4:TJ27" si="232">IF($CP4="P",CO4,(CO4+BN4)/2)</f>
        <v>0.3</v>
      </c>
      <c r="TK4" s="27" t="s">
        <v>46</v>
      </c>
      <c r="TL4" s="40">
        <f t="shared" ref="TL4:TL27" si="233">IF(SX4&gt;0,SX4,"")</f>
        <v>15.600000000000001</v>
      </c>
      <c r="TM4" s="40">
        <f t="shared" ref="TM4:TM27" si="234">IF(SY4&gt;0,SY4,"")</f>
        <v>15.645</v>
      </c>
      <c r="TN4" s="40">
        <f t="shared" ref="TN4:TN27" si="235">IF(SUM(SV4:SY4)-SZ4&gt;0,SUM(SV4:SY4)-SZ4,"")</f>
        <v>56.144999999999996</v>
      </c>
      <c r="TO4" s="40">
        <f t="shared" ref="TO4:TO27" si="236">IF(TC4&gt;0,TC4,"")</f>
        <v>11.100000000000001</v>
      </c>
      <c r="TP4" s="40">
        <f t="shared" ref="TP4:TP27" si="237">IF(TD4&gt;0,TD4,"")</f>
        <v>11.29</v>
      </c>
      <c r="TQ4" s="40">
        <f t="shared" ref="TQ4:TQ27" si="238">IF(SUM(TA4:TD4)-TE4&gt;0,SUM(TA4:TD4)-TE4,"")</f>
        <v>40.040000000000006</v>
      </c>
      <c r="TR4" s="40">
        <f t="shared" ref="TR4:TR27" si="239">IF(MAX(TN4,TQ4)&gt;0,MAX(TN4,TQ4),"")</f>
        <v>56.144999999999996</v>
      </c>
      <c r="TS4" s="40">
        <f t="shared" ref="TS4:TS27" si="240">IF(TH4&gt;0,TH4,"")</f>
        <v>14.600000000000001</v>
      </c>
      <c r="TT4" s="40">
        <f t="shared" ref="TT4:TT27" si="241">IF(TI4&gt;0,TI4,"")</f>
        <v>15.66</v>
      </c>
      <c r="TU4" s="40">
        <f t="shared" ref="TU4:TU27" si="242">IF(SUM(TF4:TI4)-TJ4&gt;0,SUM(TF4:TI4)-TJ4,"")</f>
        <v>55.510000000000005</v>
      </c>
      <c r="TV4" s="40">
        <f t="shared" ref="TV4:TV27" si="243">IF(SUM(TR4,TU4)&gt;0,SUM(TR4,TU4),"")</f>
        <v>111.655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>1</v>
      </c>
      <c r="C5" s="5" t="s">
        <v>117</v>
      </c>
      <c r="D5" s="4" t="s">
        <v>4</v>
      </c>
      <c r="E5" s="4">
        <v>2007</v>
      </c>
      <c r="F5" s="9">
        <f t="shared" si="0"/>
        <v>199.69001885800563</v>
      </c>
      <c r="G5" s="64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56.019999999999996</v>
      </c>
      <c r="M5" s="8" t="str">
        <f t="shared" si="5"/>
        <v>2025 Nationals</v>
      </c>
      <c r="N5" s="8">
        <f>IF(COUNT(AQ5,AT5,BR5,BU5,CS5,CV5)&gt;1,LARGE((AQ5,AT5,BR5,BU5,CS5,CV5),2),0)</f>
        <v>55.410000000000004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44.97</v>
      </c>
      <c r="Q5" s="8" t="str">
        <f t="shared" si="7"/>
        <v>2025 Nationals</v>
      </c>
      <c r="R5" s="8">
        <f t="shared" si="8"/>
        <v>15.5</v>
      </c>
      <c r="S5" s="8" t="str">
        <f t="shared" si="9"/>
        <v>2025 Nationals</v>
      </c>
      <c r="T5" s="8">
        <f t="shared" si="10"/>
        <v>16.68</v>
      </c>
      <c r="U5" s="8" t="str">
        <f t="shared" si="11"/>
        <v>2025 Coimbra Gym Fest (July 6)</v>
      </c>
      <c r="V5" s="8">
        <f t="shared" si="12"/>
        <v>11.110000000000007</v>
      </c>
      <c r="W5" s="11" t="str">
        <f t="shared" si="13"/>
        <v>(Optional)</v>
      </c>
      <c r="X5" s="8" t="str">
        <f t="shared" si="14"/>
        <v>2025 Coimbra Gym Fest (July 6)</v>
      </c>
      <c r="Y5" s="22">
        <v>16</v>
      </c>
      <c r="Z5" s="22">
        <v>9.3000000000000007</v>
      </c>
      <c r="AA5" s="22">
        <v>14.4</v>
      </c>
      <c r="AB5" s="22">
        <v>15.81</v>
      </c>
      <c r="AC5" s="22">
        <v>0.1</v>
      </c>
      <c r="AD5" s="22">
        <v>1.6</v>
      </c>
      <c r="AE5" s="22">
        <v>1</v>
      </c>
      <c r="AF5" s="22">
        <v>2</v>
      </c>
      <c r="AG5" s="22">
        <v>1.67</v>
      </c>
      <c r="AH5" s="22">
        <v>0</v>
      </c>
      <c r="AI5" s="22">
        <v>7.3</v>
      </c>
      <c r="AJ5" s="22">
        <v>4.4000000000000004</v>
      </c>
      <c r="AK5" s="22">
        <v>7.6</v>
      </c>
      <c r="AL5" s="22">
        <v>7.8</v>
      </c>
      <c r="AM5" s="22">
        <v>0</v>
      </c>
      <c r="AN5" s="27"/>
      <c r="AO5" s="38">
        <f t="shared" si="15"/>
        <v>14.4</v>
      </c>
      <c r="AP5" s="38">
        <f t="shared" si="16"/>
        <v>15.81</v>
      </c>
      <c r="AQ5" s="40">
        <f t="shared" si="17"/>
        <v>55.410000000000004</v>
      </c>
      <c r="AR5" s="40">
        <f t="shared" si="18"/>
        <v>2</v>
      </c>
      <c r="AS5" s="40">
        <f t="shared" si="19"/>
        <v>1.67</v>
      </c>
      <c r="AT5" s="40">
        <f t="shared" si="20"/>
        <v>6.27</v>
      </c>
      <c r="AU5" s="40">
        <f t="shared" si="21"/>
        <v>55.410000000000004</v>
      </c>
      <c r="AV5" s="40">
        <f t="shared" si="22"/>
        <v>7.6</v>
      </c>
      <c r="AW5" s="40">
        <f t="shared" si="23"/>
        <v>7.8</v>
      </c>
      <c r="AX5" s="40">
        <f t="shared" si="24"/>
        <v>27.099999999999998</v>
      </c>
      <c r="AY5" s="40">
        <f t="shared" si="25"/>
        <v>82.51</v>
      </c>
      <c r="AZ5" s="26">
        <v>12.1</v>
      </c>
      <c r="BA5" s="26">
        <v>7.2</v>
      </c>
      <c r="BB5" s="26">
        <v>12.3</v>
      </c>
      <c r="BC5" s="26">
        <v>13.37</v>
      </c>
      <c r="BD5" s="26">
        <v>0</v>
      </c>
      <c r="BE5" s="26">
        <v>14.9</v>
      </c>
      <c r="BF5" s="26">
        <v>9.1</v>
      </c>
      <c r="BG5" s="26">
        <v>15.5</v>
      </c>
      <c r="BH5" s="26">
        <v>16.52</v>
      </c>
      <c r="BI5" s="26">
        <v>0</v>
      </c>
      <c r="BJ5" s="26">
        <v>3.5</v>
      </c>
      <c r="BK5" s="26">
        <v>1.8</v>
      </c>
      <c r="BL5" s="26">
        <v>3.5</v>
      </c>
      <c r="BM5" s="26">
        <v>3.55</v>
      </c>
      <c r="BN5" s="26">
        <v>0</v>
      </c>
      <c r="BO5" s="28"/>
      <c r="BP5" s="39">
        <f t="shared" si="26"/>
        <v>12.3</v>
      </c>
      <c r="BQ5" s="39">
        <f t="shared" si="27"/>
        <v>13.37</v>
      </c>
      <c r="BR5" s="11">
        <f t="shared" si="28"/>
        <v>44.97</v>
      </c>
      <c r="BS5" s="11">
        <f t="shared" si="29"/>
        <v>15.5</v>
      </c>
      <c r="BT5" s="11">
        <f t="shared" si="30"/>
        <v>16.52</v>
      </c>
      <c r="BU5" s="11">
        <f t="shared" si="31"/>
        <v>56.019999999999996</v>
      </c>
      <c r="BV5" s="11">
        <f t="shared" si="32"/>
        <v>56.019999999999996</v>
      </c>
      <c r="BW5" s="11">
        <f t="shared" si="33"/>
        <v>3.5</v>
      </c>
      <c r="BX5" s="11">
        <f t="shared" si="34"/>
        <v>3.55</v>
      </c>
      <c r="BY5" s="11">
        <f t="shared" si="35"/>
        <v>12.350000000000001</v>
      </c>
      <c r="BZ5" s="11">
        <f t="shared" si="36"/>
        <v>68.37</v>
      </c>
      <c r="CA5" s="22">
        <v>7.2</v>
      </c>
      <c r="CB5" s="22">
        <v>4</v>
      </c>
      <c r="CC5" s="22">
        <v>8</v>
      </c>
      <c r="CD5" s="22">
        <v>8.42</v>
      </c>
      <c r="CE5" s="22">
        <v>0</v>
      </c>
      <c r="CF5" s="22">
        <v>8.1999999999999993</v>
      </c>
      <c r="CG5" s="22">
        <v>4.5999999999999996</v>
      </c>
      <c r="CH5" s="22">
        <v>8.4</v>
      </c>
      <c r="CI5" s="22">
        <v>8.77</v>
      </c>
      <c r="CJ5" s="22">
        <v>0</v>
      </c>
      <c r="CK5" s="22"/>
      <c r="CL5" s="22"/>
      <c r="CM5" s="22"/>
      <c r="CN5" s="22"/>
      <c r="CO5" s="22"/>
      <c r="CP5" s="27"/>
      <c r="CQ5" s="38">
        <f t="shared" si="37"/>
        <v>8</v>
      </c>
      <c r="CR5" s="38">
        <f t="shared" si="38"/>
        <v>8.42</v>
      </c>
      <c r="CS5" s="40">
        <f t="shared" si="39"/>
        <v>27.619999999999997</v>
      </c>
      <c r="CT5" s="40">
        <f t="shared" si="40"/>
        <v>8.4</v>
      </c>
      <c r="CU5" s="40">
        <f t="shared" si="41"/>
        <v>8.77</v>
      </c>
      <c r="CV5" s="40">
        <f t="shared" si="42"/>
        <v>29.97</v>
      </c>
      <c r="CW5" s="40">
        <f t="shared" si="43"/>
        <v>29.97</v>
      </c>
      <c r="CX5" s="40" t="str">
        <f t="shared" si="44"/>
        <v/>
      </c>
      <c r="CY5" s="40" t="str">
        <f t="shared" si="45"/>
        <v/>
      </c>
      <c r="CZ5" s="40" t="str">
        <f t="shared" si="46"/>
        <v/>
      </c>
      <c r="DA5" s="40">
        <f t="shared" si="47"/>
        <v>29.97</v>
      </c>
      <c r="DB5" s="50">
        <f t="shared" si="48"/>
        <v>11.110000000000007</v>
      </c>
      <c r="DC5" s="50">
        <f t="shared" si="49"/>
        <v>10.340000000000003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 t="shared" si="78"/>
        <v>15.3</v>
      </c>
      <c r="GO5" s="40">
        <f t="shared" si="79"/>
        <v>16.68</v>
      </c>
      <c r="GP5" s="40">
        <f t="shared" si="80"/>
        <v>56.080000000000005</v>
      </c>
      <c r="GQ5" s="40">
        <f t="shared" si="81"/>
        <v>14.5</v>
      </c>
      <c r="GR5" s="40">
        <f t="shared" si="82"/>
        <v>16.47</v>
      </c>
      <c r="GS5" s="40">
        <f t="shared" si="83"/>
        <v>53.87</v>
      </c>
      <c r="GT5" s="40">
        <f t="shared" si="84"/>
        <v>56.080000000000005</v>
      </c>
      <c r="GU5" s="40">
        <f t="shared" si="85"/>
        <v>3.5</v>
      </c>
      <c r="GV5" s="40">
        <f t="shared" si="86"/>
        <v>3.52</v>
      </c>
      <c r="GW5" s="40">
        <f t="shared" si="87"/>
        <v>11.62</v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>
        <f t="shared" si="95"/>
        <v>15.3</v>
      </c>
      <c r="HZ5" s="11">
        <f t="shared" si="96"/>
        <v>16.239999999999998</v>
      </c>
      <c r="IA5" s="11">
        <f t="shared" si="97"/>
        <v>54.94</v>
      </c>
      <c r="IB5" s="11">
        <f t="shared" si="98"/>
        <v>54.94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>
        <f t="shared" si="102"/>
        <v>14.4</v>
      </c>
      <c r="IG5" s="11">
        <f t="shared" si="103"/>
        <v>16.309999999999999</v>
      </c>
      <c r="IH5" s="11">
        <f t="shared" si="104"/>
        <v>55.31</v>
      </c>
      <c r="II5" s="11">
        <f t="shared" si="105"/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>
        <v>15.1</v>
      </c>
      <c r="MI5" s="18">
        <v>9.3000000000000007</v>
      </c>
      <c r="MJ5" s="18">
        <v>2.8</v>
      </c>
      <c r="MK5" s="18">
        <v>17.149999999999999</v>
      </c>
      <c r="ML5" s="18">
        <v>0</v>
      </c>
      <c r="MM5" s="18">
        <v>5.9</v>
      </c>
      <c r="MN5" s="18">
        <v>3.6</v>
      </c>
      <c r="MO5" s="18">
        <v>6.5</v>
      </c>
      <c r="MP5" s="18">
        <v>6.82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48"/>
        <v>2.8</v>
      </c>
      <c r="NC5" s="11">
        <f t="shared" si="149"/>
        <v>17.149999999999999</v>
      </c>
      <c r="ND5" s="11">
        <f t="shared" si="150"/>
        <v>44.349999999999994</v>
      </c>
      <c r="NE5" s="11">
        <f t="shared" si="151"/>
        <v>6.5</v>
      </c>
      <c r="NF5" s="11">
        <f t="shared" si="152"/>
        <v>6.82</v>
      </c>
      <c r="NG5" s="11">
        <f t="shared" si="153"/>
        <v>22.82</v>
      </c>
      <c r="NH5" s="11">
        <f t="shared" si="154"/>
        <v>44.349999999999994</v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>
        <f t="shared" si="161"/>
        <v>44.349999999999994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9.65</v>
      </c>
      <c r="SW5" s="22">
        <f t="shared" si="219"/>
        <v>5.6</v>
      </c>
      <c r="SX5" s="22">
        <f t="shared" si="220"/>
        <v>10.15</v>
      </c>
      <c r="SY5" s="22">
        <f t="shared" si="221"/>
        <v>10.895</v>
      </c>
      <c r="SZ5" s="22">
        <f t="shared" si="222"/>
        <v>0</v>
      </c>
      <c r="TA5" s="22">
        <f t="shared" si="223"/>
        <v>11.55</v>
      </c>
      <c r="TB5" s="22">
        <f t="shared" si="224"/>
        <v>6.85</v>
      </c>
      <c r="TC5" s="22">
        <f t="shared" si="225"/>
        <v>11.95</v>
      </c>
      <c r="TD5" s="22">
        <f t="shared" si="226"/>
        <v>12.645</v>
      </c>
      <c r="TE5" s="22">
        <f t="shared" si="227"/>
        <v>0</v>
      </c>
      <c r="TF5" s="22">
        <f t="shared" si="228"/>
        <v>1.75</v>
      </c>
      <c r="TG5" s="22">
        <f t="shared" si="229"/>
        <v>0.9</v>
      </c>
      <c r="TH5" s="22">
        <f t="shared" si="230"/>
        <v>1.75</v>
      </c>
      <c r="TI5" s="22">
        <f t="shared" si="231"/>
        <v>1.7749999999999999</v>
      </c>
      <c r="TJ5" s="22">
        <f t="shared" si="232"/>
        <v>0</v>
      </c>
      <c r="TK5" s="27" t="s">
        <v>46</v>
      </c>
      <c r="TL5" s="40">
        <f t="shared" si="233"/>
        <v>10.15</v>
      </c>
      <c r="TM5" s="40">
        <f t="shared" si="234"/>
        <v>10.895</v>
      </c>
      <c r="TN5" s="40">
        <f t="shared" si="235"/>
        <v>36.295000000000002</v>
      </c>
      <c r="TO5" s="40">
        <f t="shared" si="236"/>
        <v>11.95</v>
      </c>
      <c r="TP5" s="40">
        <f t="shared" si="237"/>
        <v>12.645</v>
      </c>
      <c r="TQ5" s="40">
        <f t="shared" si="238"/>
        <v>42.994999999999997</v>
      </c>
      <c r="TR5" s="40">
        <f t="shared" si="239"/>
        <v>42.994999999999997</v>
      </c>
      <c r="TS5" s="40">
        <f t="shared" si="240"/>
        <v>1.75</v>
      </c>
      <c r="TT5" s="40">
        <f t="shared" si="241"/>
        <v>1.7749999999999999</v>
      </c>
      <c r="TU5" s="40">
        <f t="shared" si="242"/>
        <v>6.1750000000000007</v>
      </c>
      <c r="TV5" s="40">
        <f t="shared" si="243"/>
        <v>49.17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t="str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/>
      </c>
      <c r="C6" s="5" t="s">
        <v>146</v>
      </c>
      <c r="D6" s="4" t="s">
        <v>6</v>
      </c>
      <c r="E6" s="4">
        <v>2008</v>
      </c>
      <c r="F6" s="9">
        <f t="shared" si="0"/>
        <v>199.26001992600558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55.94</v>
      </c>
      <c r="M6" s="8" t="str">
        <f t="shared" si="5"/>
        <v>2025 3rd Domestic Trial</v>
      </c>
      <c r="N6" s="8">
        <f>IF(COUNT(AQ6,AT6,BR6,BU6,CS6,CV6)&gt;1,LARGE((AQ6,AT6,BR6,BU6,CS6,CV6),2),0)</f>
        <v>55.58</v>
      </c>
      <c r="O6" s="8" t="str">
        <f t="shared" si="6"/>
        <v>2025 Nationals</v>
      </c>
      <c r="P6" s="8">
        <f>IF(COUNT(AQ6,AT6,BR6,BU6,CS6,CV6)&gt;2,MAX(AX6,BY6,CZ6,LARGE((AQ6,AT6,BR6,BU6,CS6,CV6),3)),IF(MAX(AX6,BY6,CZ6)&gt;0,MAX(AX6,BY6,CZ6),0))</f>
        <v>55.52</v>
      </c>
      <c r="Q6" s="8" t="str">
        <f t="shared" si="7"/>
        <v>2025 3rd Domestic Trial</v>
      </c>
      <c r="R6" s="8">
        <f t="shared" si="8"/>
        <v>15.9</v>
      </c>
      <c r="S6" s="8" t="str">
        <f t="shared" si="9"/>
        <v>2025 Nationals</v>
      </c>
      <c r="T6" s="8">
        <f t="shared" si="10"/>
        <v>16.32</v>
      </c>
      <c r="U6" s="8" t="str">
        <f t="shared" si="11"/>
        <v>2025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14</v>
      </c>
      <c r="Z6" s="22">
        <v>9.1999999999999993</v>
      </c>
      <c r="AA6" s="22">
        <v>13.4</v>
      </c>
      <c r="AB6" s="22">
        <v>15.21</v>
      </c>
      <c r="AC6" s="22">
        <v>1.1000000000000001</v>
      </c>
      <c r="AD6" s="22">
        <v>4.7</v>
      </c>
      <c r="AE6" s="22">
        <v>3</v>
      </c>
      <c r="AF6" s="22">
        <v>5</v>
      </c>
      <c r="AG6" s="22">
        <v>5.03</v>
      </c>
      <c r="AH6" s="22">
        <v>0</v>
      </c>
      <c r="AI6" s="22">
        <v>7.6</v>
      </c>
      <c r="AJ6" s="22">
        <v>5.3</v>
      </c>
      <c r="AK6" s="22">
        <v>6.9</v>
      </c>
      <c r="AL6" s="22">
        <v>9.18</v>
      </c>
      <c r="AM6" s="22">
        <v>0</v>
      </c>
      <c r="AN6" s="27"/>
      <c r="AO6" s="38">
        <f t="shared" si="15"/>
        <v>13.4</v>
      </c>
      <c r="AP6" s="38">
        <f t="shared" si="16"/>
        <v>15.21</v>
      </c>
      <c r="AQ6" s="40">
        <f t="shared" si="17"/>
        <v>50.71</v>
      </c>
      <c r="AR6" s="40">
        <f t="shared" si="18"/>
        <v>5</v>
      </c>
      <c r="AS6" s="40">
        <f t="shared" si="19"/>
        <v>5.03</v>
      </c>
      <c r="AT6" s="40">
        <f t="shared" si="20"/>
        <v>17.73</v>
      </c>
      <c r="AU6" s="40">
        <f t="shared" si="21"/>
        <v>50.71</v>
      </c>
      <c r="AV6" s="40">
        <f t="shared" si="22"/>
        <v>6.9</v>
      </c>
      <c r="AW6" s="40">
        <f t="shared" si="23"/>
        <v>9.18</v>
      </c>
      <c r="AX6" s="40">
        <f t="shared" si="24"/>
        <v>28.979999999999997</v>
      </c>
      <c r="AY6" s="40">
        <f t="shared" si="25"/>
        <v>79.69</v>
      </c>
      <c r="AZ6" s="26">
        <v>5.7</v>
      </c>
      <c r="BA6" s="26">
        <v>3.7</v>
      </c>
      <c r="BB6" s="26">
        <v>6.9</v>
      </c>
      <c r="BC6" s="26">
        <v>6.48</v>
      </c>
      <c r="BD6" s="26">
        <v>0</v>
      </c>
      <c r="BE6" s="26">
        <v>14.7</v>
      </c>
      <c r="BF6" s="26">
        <v>9.3000000000000007</v>
      </c>
      <c r="BG6" s="26">
        <v>15.9</v>
      </c>
      <c r="BH6" s="26">
        <v>15.68</v>
      </c>
      <c r="BI6" s="26">
        <v>0</v>
      </c>
      <c r="BJ6" s="26">
        <v>15.3</v>
      </c>
      <c r="BK6" s="26">
        <v>9.1999999999999993</v>
      </c>
      <c r="BL6" s="26">
        <v>14.9</v>
      </c>
      <c r="BM6" s="26">
        <v>15.17</v>
      </c>
      <c r="BN6" s="26">
        <v>0</v>
      </c>
      <c r="BO6" s="28"/>
      <c r="BP6" s="39">
        <f t="shared" si="26"/>
        <v>6.9</v>
      </c>
      <c r="BQ6" s="39">
        <f t="shared" si="27"/>
        <v>6.48</v>
      </c>
      <c r="BR6" s="11">
        <f t="shared" si="28"/>
        <v>22.78</v>
      </c>
      <c r="BS6" s="11">
        <f t="shared" si="29"/>
        <v>15.9</v>
      </c>
      <c r="BT6" s="11">
        <f t="shared" si="30"/>
        <v>15.68</v>
      </c>
      <c r="BU6" s="11">
        <f t="shared" si="31"/>
        <v>55.58</v>
      </c>
      <c r="BV6" s="11">
        <f t="shared" si="32"/>
        <v>55.58</v>
      </c>
      <c r="BW6" s="11">
        <f t="shared" si="33"/>
        <v>14.9</v>
      </c>
      <c r="BX6" s="11">
        <f t="shared" si="34"/>
        <v>15.17</v>
      </c>
      <c r="BY6" s="11">
        <f t="shared" si="35"/>
        <v>54.57</v>
      </c>
      <c r="BZ6" s="11">
        <f t="shared" si="36"/>
        <v>110.15</v>
      </c>
      <c r="CA6" s="22">
        <v>1.7</v>
      </c>
      <c r="CB6" s="22">
        <v>0.8</v>
      </c>
      <c r="CC6" s="22">
        <v>2</v>
      </c>
      <c r="CD6" s="22">
        <v>1.75</v>
      </c>
      <c r="CE6" s="22">
        <v>0.2</v>
      </c>
      <c r="CF6" s="22">
        <v>15.1</v>
      </c>
      <c r="CG6" s="22">
        <v>9.4</v>
      </c>
      <c r="CH6" s="22">
        <v>15.3</v>
      </c>
      <c r="CI6" s="22">
        <v>16.14</v>
      </c>
      <c r="CJ6" s="22">
        <v>0</v>
      </c>
      <c r="CK6" s="22">
        <v>15.2</v>
      </c>
      <c r="CL6" s="22">
        <v>8.6999999999999993</v>
      </c>
      <c r="CM6" s="22">
        <v>15.3</v>
      </c>
      <c r="CN6" s="22">
        <v>16.32</v>
      </c>
      <c r="CO6" s="22">
        <v>0</v>
      </c>
      <c r="CP6" s="27"/>
      <c r="CQ6" s="38">
        <f t="shared" si="37"/>
        <v>2</v>
      </c>
      <c r="CR6" s="38">
        <f t="shared" si="38"/>
        <v>1.75</v>
      </c>
      <c r="CS6" s="40">
        <f t="shared" si="39"/>
        <v>6.05</v>
      </c>
      <c r="CT6" s="40">
        <f t="shared" si="40"/>
        <v>15.3</v>
      </c>
      <c r="CU6" s="40">
        <f t="shared" si="41"/>
        <v>16.14</v>
      </c>
      <c r="CV6" s="40">
        <f t="shared" si="42"/>
        <v>55.94</v>
      </c>
      <c r="CW6" s="40">
        <f t="shared" si="43"/>
        <v>55.94</v>
      </c>
      <c r="CX6" s="40">
        <f t="shared" si="44"/>
        <v>15.3</v>
      </c>
      <c r="CY6" s="40">
        <f t="shared" si="45"/>
        <v>16.32</v>
      </c>
      <c r="CZ6" s="40">
        <f t="shared" si="46"/>
        <v>55.52</v>
      </c>
      <c r="DA6" s="40">
        <f t="shared" si="47"/>
        <v>111.46000000000001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>
        <v>14.7</v>
      </c>
      <c r="JS6" s="18">
        <v>8.9</v>
      </c>
      <c r="JT6" s="18">
        <v>15.3</v>
      </c>
      <c r="JU6" s="18">
        <v>15.96</v>
      </c>
      <c r="JV6" s="18">
        <v>0</v>
      </c>
      <c r="JW6" s="18">
        <v>9.3000000000000007</v>
      </c>
      <c r="JX6" s="18">
        <v>6.5</v>
      </c>
      <c r="JY6" s="18">
        <v>9.8000000000000007</v>
      </c>
      <c r="JZ6" s="18">
        <v>11.14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0"/>
        <v>15.3</v>
      </c>
      <c r="KM6" s="11">
        <f t="shared" si="121"/>
        <v>15.96</v>
      </c>
      <c r="KN6" s="11">
        <f t="shared" si="122"/>
        <v>54.860000000000007</v>
      </c>
      <c r="KO6" s="11">
        <f t="shared" si="123"/>
        <v>9.8000000000000007</v>
      </c>
      <c r="KP6" s="11">
        <f t="shared" si="124"/>
        <v>11.14</v>
      </c>
      <c r="KQ6" s="11">
        <f t="shared" si="125"/>
        <v>36.74</v>
      </c>
      <c r="KR6" s="11">
        <f t="shared" si="126"/>
        <v>54.860000000000007</v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>
        <f t="shared" si="133"/>
        <v>54.860000000000007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3.7</v>
      </c>
      <c r="SW6" s="22">
        <f t="shared" si="219"/>
        <v>2.25</v>
      </c>
      <c r="SX6" s="22">
        <f t="shared" si="220"/>
        <v>4.45</v>
      </c>
      <c r="SY6" s="22">
        <f t="shared" si="221"/>
        <v>4.1150000000000002</v>
      </c>
      <c r="SZ6" s="22">
        <f t="shared" si="222"/>
        <v>0.1</v>
      </c>
      <c r="TA6" s="22">
        <f t="shared" si="223"/>
        <v>14.899999999999999</v>
      </c>
      <c r="TB6" s="22">
        <f t="shared" si="224"/>
        <v>9.3500000000000014</v>
      </c>
      <c r="TC6" s="22">
        <f t="shared" si="225"/>
        <v>15.600000000000001</v>
      </c>
      <c r="TD6" s="22">
        <f t="shared" si="226"/>
        <v>15.91</v>
      </c>
      <c r="TE6" s="22">
        <f t="shared" si="227"/>
        <v>0</v>
      </c>
      <c r="TF6" s="22">
        <f t="shared" si="228"/>
        <v>15.25</v>
      </c>
      <c r="TG6" s="22">
        <f t="shared" si="229"/>
        <v>8.9499999999999993</v>
      </c>
      <c r="TH6" s="22">
        <f t="shared" si="230"/>
        <v>15.100000000000001</v>
      </c>
      <c r="TI6" s="22">
        <f t="shared" si="231"/>
        <v>15.745000000000001</v>
      </c>
      <c r="TJ6" s="22">
        <f t="shared" si="232"/>
        <v>0</v>
      </c>
      <c r="TK6" s="27" t="s">
        <v>46</v>
      </c>
      <c r="TL6" s="40">
        <f t="shared" si="233"/>
        <v>4.45</v>
      </c>
      <c r="TM6" s="40">
        <f t="shared" si="234"/>
        <v>4.1150000000000002</v>
      </c>
      <c r="TN6" s="40">
        <f t="shared" si="235"/>
        <v>14.415000000000001</v>
      </c>
      <c r="TO6" s="40">
        <f t="shared" si="236"/>
        <v>15.600000000000001</v>
      </c>
      <c r="TP6" s="40">
        <f t="shared" si="237"/>
        <v>15.91</v>
      </c>
      <c r="TQ6" s="40">
        <f t="shared" si="238"/>
        <v>55.760000000000005</v>
      </c>
      <c r="TR6" s="40">
        <f t="shared" si="239"/>
        <v>55.760000000000005</v>
      </c>
      <c r="TS6" s="40">
        <f t="shared" si="240"/>
        <v>15.100000000000001</v>
      </c>
      <c r="TT6" s="40">
        <f t="shared" si="241"/>
        <v>15.745000000000001</v>
      </c>
      <c r="TU6" s="40">
        <f t="shared" si="242"/>
        <v>55.045000000000002</v>
      </c>
      <c r="TV6" s="40">
        <f t="shared" si="243"/>
        <v>110.80500000000001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99</v>
      </c>
      <c r="D7" s="4" t="s">
        <v>6</v>
      </c>
      <c r="E7" s="4">
        <v>2006</v>
      </c>
      <c r="F7" s="9">
        <f t="shared" si="0"/>
        <v>196.59001965900552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55.05</v>
      </c>
      <c r="M7" s="8" t="str">
        <f t="shared" si="5"/>
        <v>2025 3rd Domestic Trial</v>
      </c>
      <c r="N7" s="8">
        <f>IF(COUNT(AQ7,AT7,BR7,BU7,CS7,CV7)&gt;1,LARGE((AQ7,AT7,BR7,BU7,CS7,CV7),2),0)</f>
        <v>54.92</v>
      </c>
      <c r="O7" s="8" t="str">
        <f t="shared" si="6"/>
        <v>2025 Elite Canada</v>
      </c>
      <c r="P7" s="8">
        <f>IF(COUNT(AQ7,AT7,BR7,BU7,CS7,CV7)&gt;2,MAX(AX7,BY7,CZ7,LARGE((AQ7,AT7,BR7,BU7,CS7,CV7),3)),IF(MAX(AX7,BY7,CZ7)&gt;0,MAX(AX7,BY7,CZ7),0))</f>
        <v>54.410000000000004</v>
      </c>
      <c r="Q7" s="8" t="str">
        <f t="shared" si="7"/>
        <v>2025 Elite Canada</v>
      </c>
      <c r="R7" s="8">
        <f t="shared" si="8"/>
        <v>16</v>
      </c>
      <c r="S7" s="8" t="str">
        <f t="shared" si="9"/>
        <v>2025 3rd Domestic Trial</v>
      </c>
      <c r="T7" s="8">
        <f t="shared" si="10"/>
        <v>16.21</v>
      </c>
      <c r="U7" s="8" t="str">
        <f t="shared" si="11"/>
        <v>2025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15.5</v>
      </c>
      <c r="Z7" s="22">
        <v>9.1999999999999993</v>
      </c>
      <c r="AA7" s="22">
        <v>14.9</v>
      </c>
      <c r="AB7" s="22">
        <v>15.32</v>
      </c>
      <c r="AC7" s="22">
        <v>0</v>
      </c>
      <c r="AD7" s="22">
        <v>14.1</v>
      </c>
      <c r="AE7" s="22">
        <v>9.1999999999999993</v>
      </c>
      <c r="AF7" s="22">
        <v>13.7</v>
      </c>
      <c r="AG7" s="22">
        <v>15.55</v>
      </c>
      <c r="AH7" s="22">
        <v>0.8</v>
      </c>
      <c r="AI7" s="22">
        <v>14.8</v>
      </c>
      <c r="AJ7" s="22">
        <v>9.3000000000000007</v>
      </c>
      <c r="AK7" s="22">
        <v>14.9</v>
      </c>
      <c r="AL7" s="22">
        <v>15.41</v>
      </c>
      <c r="AM7" s="22">
        <v>0</v>
      </c>
      <c r="AN7" s="27"/>
      <c r="AO7" s="38">
        <f t="shared" si="15"/>
        <v>14.9</v>
      </c>
      <c r="AP7" s="38">
        <f t="shared" si="16"/>
        <v>15.32</v>
      </c>
      <c r="AQ7" s="40">
        <f t="shared" si="17"/>
        <v>54.92</v>
      </c>
      <c r="AR7" s="40">
        <f t="shared" si="18"/>
        <v>13.7</v>
      </c>
      <c r="AS7" s="40">
        <f t="shared" si="19"/>
        <v>15.55</v>
      </c>
      <c r="AT7" s="40">
        <f t="shared" si="20"/>
        <v>51.75</v>
      </c>
      <c r="AU7" s="40">
        <f t="shared" si="21"/>
        <v>54.92</v>
      </c>
      <c r="AV7" s="40">
        <f t="shared" si="22"/>
        <v>14.9</v>
      </c>
      <c r="AW7" s="40">
        <f t="shared" si="23"/>
        <v>15.41</v>
      </c>
      <c r="AX7" s="40">
        <f t="shared" si="24"/>
        <v>54.41</v>
      </c>
      <c r="AY7" s="40">
        <f t="shared" si="25"/>
        <v>109.33</v>
      </c>
      <c r="AZ7" s="26">
        <v>2.7</v>
      </c>
      <c r="BA7" s="26">
        <v>1.9</v>
      </c>
      <c r="BB7" s="26">
        <v>3.5</v>
      </c>
      <c r="BC7" s="26">
        <v>3.26</v>
      </c>
      <c r="BD7" s="26">
        <v>0</v>
      </c>
      <c r="BE7" s="26">
        <v>10.9</v>
      </c>
      <c r="BF7" s="26">
        <v>9.1999999999999993</v>
      </c>
      <c r="BG7" s="26">
        <v>15.1</v>
      </c>
      <c r="BH7" s="26">
        <v>15.1</v>
      </c>
      <c r="BI7" s="26">
        <v>0</v>
      </c>
      <c r="BJ7" s="26"/>
      <c r="BK7" s="26"/>
      <c r="BL7" s="26"/>
      <c r="BM7" s="26"/>
      <c r="BN7" s="26"/>
      <c r="BO7" s="28"/>
      <c r="BP7" s="39">
        <f t="shared" si="26"/>
        <v>3.5</v>
      </c>
      <c r="BQ7" s="39">
        <f t="shared" si="27"/>
        <v>3.26</v>
      </c>
      <c r="BR7" s="11">
        <f t="shared" si="28"/>
        <v>11.36</v>
      </c>
      <c r="BS7" s="11">
        <f t="shared" si="29"/>
        <v>15.1</v>
      </c>
      <c r="BT7" s="11">
        <f t="shared" si="30"/>
        <v>15.1</v>
      </c>
      <c r="BU7" s="11">
        <f t="shared" si="31"/>
        <v>50.300000000000004</v>
      </c>
      <c r="BV7" s="11">
        <f t="shared" si="32"/>
        <v>50.300000000000004</v>
      </c>
      <c r="BW7" s="11" t="str">
        <f t="shared" si="33"/>
        <v/>
      </c>
      <c r="BX7" s="11" t="str">
        <f t="shared" si="34"/>
        <v/>
      </c>
      <c r="BY7" s="11" t="str">
        <f t="shared" si="35"/>
        <v/>
      </c>
      <c r="BZ7" s="11">
        <f t="shared" si="36"/>
        <v>50.300000000000004</v>
      </c>
      <c r="CA7" s="22">
        <v>14.4</v>
      </c>
      <c r="CB7" s="22">
        <v>9.3000000000000007</v>
      </c>
      <c r="CC7" s="22">
        <v>15.3</v>
      </c>
      <c r="CD7" s="22">
        <v>16.05</v>
      </c>
      <c r="CE7" s="22">
        <v>0</v>
      </c>
      <c r="CF7" s="22">
        <v>13</v>
      </c>
      <c r="CG7" s="22">
        <v>9.1999999999999993</v>
      </c>
      <c r="CH7" s="22">
        <v>16</v>
      </c>
      <c r="CI7" s="22">
        <v>16.21</v>
      </c>
      <c r="CJ7" s="22">
        <v>0</v>
      </c>
      <c r="CK7" s="22">
        <v>10.199999999999999</v>
      </c>
      <c r="CL7" s="22">
        <v>6.6</v>
      </c>
      <c r="CM7" s="22">
        <v>11.7</v>
      </c>
      <c r="CN7" s="22">
        <v>12.39</v>
      </c>
      <c r="CO7" s="22">
        <v>0</v>
      </c>
      <c r="CP7" s="27"/>
      <c r="CQ7" s="38">
        <f t="shared" si="37"/>
        <v>15.3</v>
      </c>
      <c r="CR7" s="38">
        <f t="shared" si="38"/>
        <v>16.05</v>
      </c>
      <c r="CS7" s="40">
        <f t="shared" si="39"/>
        <v>55.05</v>
      </c>
      <c r="CT7" s="40">
        <f t="shared" si="40"/>
        <v>16</v>
      </c>
      <c r="CU7" s="40">
        <f t="shared" si="41"/>
        <v>16.21</v>
      </c>
      <c r="CV7" s="40">
        <f t="shared" si="42"/>
        <v>54.410000000000004</v>
      </c>
      <c r="CW7" s="40">
        <f t="shared" si="43"/>
        <v>55.05</v>
      </c>
      <c r="CX7" s="40">
        <f t="shared" si="44"/>
        <v>11.7</v>
      </c>
      <c r="CY7" s="40">
        <f t="shared" si="45"/>
        <v>12.39</v>
      </c>
      <c r="CZ7" s="40">
        <f t="shared" si="46"/>
        <v>40.89</v>
      </c>
      <c r="DA7" s="40">
        <f t="shared" si="47"/>
        <v>95.94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 t="shared" si="78"/>
        <v>14.7</v>
      </c>
      <c r="GO7" s="40">
        <f t="shared" si="79"/>
        <v>15.66</v>
      </c>
      <c r="GP7" s="40">
        <f t="shared" si="80"/>
        <v>51.36</v>
      </c>
      <c r="GQ7" s="40">
        <f t="shared" si="81"/>
        <v>14.9</v>
      </c>
      <c r="GR7" s="40">
        <f t="shared" si="82"/>
        <v>15.38</v>
      </c>
      <c r="GS7" s="40">
        <f t="shared" si="83"/>
        <v>51.480000000000004</v>
      </c>
      <c r="GT7" s="40">
        <f t="shared" si="84"/>
        <v>51.480000000000004</v>
      </c>
      <c r="GU7" s="40">
        <f t="shared" si="85"/>
        <v>2</v>
      </c>
      <c r="GV7" s="40">
        <f t="shared" si="86"/>
        <v>1.75</v>
      </c>
      <c r="GW7" s="40">
        <f t="shared" si="87"/>
        <v>6.05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>
        <v>15.3</v>
      </c>
      <c r="MI7" s="18">
        <v>9.6</v>
      </c>
      <c r="MJ7" s="18">
        <v>3</v>
      </c>
      <c r="MK7" s="18">
        <v>15.83</v>
      </c>
      <c r="ML7" s="18">
        <v>0</v>
      </c>
      <c r="MM7" s="18">
        <v>12.7</v>
      </c>
      <c r="MN7" s="18">
        <v>9.1</v>
      </c>
      <c r="MO7" s="18">
        <v>12.2</v>
      </c>
      <c r="MP7" s="18">
        <v>15.36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48"/>
        <v>3</v>
      </c>
      <c r="NC7" s="11">
        <f t="shared" si="149"/>
        <v>15.83</v>
      </c>
      <c r="ND7" s="11">
        <f t="shared" si="150"/>
        <v>43.73</v>
      </c>
      <c r="NE7" s="11">
        <f t="shared" si="151"/>
        <v>12.2</v>
      </c>
      <c r="NF7" s="11">
        <f t="shared" si="152"/>
        <v>15.36</v>
      </c>
      <c r="NG7" s="11">
        <f t="shared" si="153"/>
        <v>49.36</v>
      </c>
      <c r="NH7" s="11">
        <f t="shared" si="154"/>
        <v>49.36</v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>
        <f t="shared" si="161"/>
        <v>49.36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8.5500000000000007</v>
      </c>
      <c r="SW7" s="22">
        <f t="shared" si="219"/>
        <v>5.6000000000000005</v>
      </c>
      <c r="SX7" s="22">
        <f t="shared" si="220"/>
        <v>9.4</v>
      </c>
      <c r="SY7" s="22">
        <f t="shared" si="221"/>
        <v>9.6550000000000011</v>
      </c>
      <c r="SZ7" s="22">
        <f t="shared" si="222"/>
        <v>0</v>
      </c>
      <c r="TA7" s="22">
        <f t="shared" si="223"/>
        <v>11.95</v>
      </c>
      <c r="TB7" s="22">
        <f t="shared" si="224"/>
        <v>9.1999999999999993</v>
      </c>
      <c r="TC7" s="22">
        <f t="shared" si="225"/>
        <v>15.55</v>
      </c>
      <c r="TD7" s="22">
        <f t="shared" si="226"/>
        <v>15.655000000000001</v>
      </c>
      <c r="TE7" s="22">
        <f t="shared" si="227"/>
        <v>0</v>
      </c>
      <c r="TF7" s="22">
        <f t="shared" si="228"/>
        <v>5.0999999999999996</v>
      </c>
      <c r="TG7" s="22">
        <f t="shared" si="229"/>
        <v>3.3</v>
      </c>
      <c r="TH7" s="22">
        <f t="shared" si="230"/>
        <v>5.85</v>
      </c>
      <c r="TI7" s="22">
        <f t="shared" si="231"/>
        <v>6.1950000000000003</v>
      </c>
      <c r="TJ7" s="22">
        <f t="shared" si="232"/>
        <v>0</v>
      </c>
      <c r="TK7" s="27" t="s">
        <v>46</v>
      </c>
      <c r="TL7" s="40">
        <f t="shared" si="233"/>
        <v>9.4</v>
      </c>
      <c r="TM7" s="40">
        <f t="shared" si="234"/>
        <v>9.6550000000000011</v>
      </c>
      <c r="TN7" s="40">
        <f t="shared" si="235"/>
        <v>33.205000000000005</v>
      </c>
      <c r="TO7" s="40">
        <f t="shared" si="236"/>
        <v>15.55</v>
      </c>
      <c r="TP7" s="40">
        <f t="shared" si="237"/>
        <v>15.655000000000001</v>
      </c>
      <c r="TQ7" s="40">
        <f t="shared" si="238"/>
        <v>52.355000000000004</v>
      </c>
      <c r="TR7" s="40">
        <f t="shared" si="239"/>
        <v>52.355000000000004</v>
      </c>
      <c r="TS7" s="40">
        <f t="shared" si="240"/>
        <v>5.85</v>
      </c>
      <c r="TT7" s="40">
        <f t="shared" si="241"/>
        <v>6.1950000000000003</v>
      </c>
      <c r="TU7" s="40">
        <f t="shared" si="242"/>
        <v>20.445</v>
      </c>
      <c r="TV7" s="40">
        <f t="shared" si="243"/>
        <v>72.800000000000011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>3</v>
      </c>
      <c r="C8" s="5" t="s">
        <v>139</v>
      </c>
      <c r="D8" s="4" t="s">
        <v>3</v>
      </c>
      <c r="E8" s="4">
        <v>2007</v>
      </c>
      <c r="F8" s="9">
        <f t="shared" si="0"/>
        <v>187.76001877600524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52.31</v>
      </c>
      <c r="M8" s="8" t="str">
        <f t="shared" si="5"/>
        <v>2025 3rd Domestic Trial</v>
      </c>
      <c r="N8" s="8">
        <f>IF(COUNT(AQ8,AT8,BR8,BU8,CS8,CV8)&gt;1,LARGE((AQ8,AT8,BR8,BU8,CS8,CV8),2),0)</f>
        <v>50.37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54.74</v>
      </c>
      <c r="Q8" s="8" t="str">
        <f t="shared" si="7"/>
        <v>2025 Elite Canada</v>
      </c>
      <c r="R8" s="8">
        <f t="shared" si="8"/>
        <v>15.1</v>
      </c>
      <c r="S8" s="8" t="str">
        <f t="shared" si="9"/>
        <v>2025 Elite Canada</v>
      </c>
      <c r="T8" s="8">
        <f t="shared" si="10"/>
        <v>15.24</v>
      </c>
      <c r="U8" s="8" t="str">
        <f t="shared" si="11"/>
        <v>2025 Elite Canada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12.2</v>
      </c>
      <c r="Z8" s="22">
        <v>8.4</v>
      </c>
      <c r="AA8" s="22">
        <v>12.8</v>
      </c>
      <c r="AB8" s="22">
        <v>13.33</v>
      </c>
      <c r="AC8" s="22">
        <v>0.2</v>
      </c>
      <c r="AD8" s="22">
        <v>15.2</v>
      </c>
      <c r="AE8" s="22">
        <v>9.1999999999999993</v>
      </c>
      <c r="AF8" s="22">
        <v>12.6</v>
      </c>
      <c r="AG8" s="22">
        <v>15.27</v>
      </c>
      <c r="AH8" s="22">
        <v>1.9</v>
      </c>
      <c r="AI8" s="22">
        <v>15.3</v>
      </c>
      <c r="AJ8" s="22">
        <v>9.1</v>
      </c>
      <c r="AK8" s="22">
        <v>15.1</v>
      </c>
      <c r="AL8" s="22">
        <v>15.24</v>
      </c>
      <c r="AM8" s="22">
        <v>0</v>
      </c>
      <c r="AN8" s="27"/>
      <c r="AO8" s="38">
        <f t="shared" si="15"/>
        <v>12.8</v>
      </c>
      <c r="AP8" s="38">
        <f t="shared" si="16"/>
        <v>13.33</v>
      </c>
      <c r="AQ8" s="40">
        <f t="shared" si="17"/>
        <v>46.53</v>
      </c>
      <c r="AR8" s="40">
        <f t="shared" si="18"/>
        <v>12.6</v>
      </c>
      <c r="AS8" s="40">
        <f t="shared" si="19"/>
        <v>15.27</v>
      </c>
      <c r="AT8" s="40">
        <f t="shared" si="20"/>
        <v>50.37</v>
      </c>
      <c r="AU8" s="40">
        <f t="shared" si="21"/>
        <v>50.37</v>
      </c>
      <c r="AV8" s="40">
        <f t="shared" si="22"/>
        <v>15.1</v>
      </c>
      <c r="AW8" s="40">
        <f t="shared" si="23"/>
        <v>15.24</v>
      </c>
      <c r="AX8" s="40">
        <f t="shared" si="24"/>
        <v>54.74</v>
      </c>
      <c r="AY8" s="40">
        <f t="shared" si="25"/>
        <v>105.11</v>
      </c>
      <c r="AZ8" s="26">
        <v>11.8</v>
      </c>
      <c r="BA8" s="26">
        <v>8.6999999999999993</v>
      </c>
      <c r="BB8" s="26">
        <v>10.5</v>
      </c>
      <c r="BC8" s="26">
        <v>15.53</v>
      </c>
      <c r="BD8" s="26">
        <v>4</v>
      </c>
      <c r="BE8" s="26">
        <v>10.4</v>
      </c>
      <c r="BF8" s="26">
        <v>8.4</v>
      </c>
      <c r="BG8" s="26">
        <v>9.6999999999999993</v>
      </c>
      <c r="BH8" s="26">
        <v>13.32</v>
      </c>
      <c r="BI8" s="26">
        <v>0</v>
      </c>
      <c r="BJ8" s="26"/>
      <c r="BK8" s="26"/>
      <c r="BL8" s="26"/>
      <c r="BM8" s="26"/>
      <c r="BN8" s="26"/>
      <c r="BO8" s="28"/>
      <c r="BP8" s="39">
        <f t="shared" si="26"/>
        <v>10.5</v>
      </c>
      <c r="BQ8" s="39">
        <f t="shared" si="27"/>
        <v>15.53</v>
      </c>
      <c r="BR8" s="11">
        <f t="shared" si="28"/>
        <v>42.53</v>
      </c>
      <c r="BS8" s="11">
        <f t="shared" si="29"/>
        <v>9.6999999999999993</v>
      </c>
      <c r="BT8" s="11">
        <f t="shared" si="30"/>
        <v>13.32</v>
      </c>
      <c r="BU8" s="11">
        <f t="shared" si="31"/>
        <v>41.82</v>
      </c>
      <c r="BV8" s="11">
        <f t="shared" si="32"/>
        <v>42.53</v>
      </c>
      <c r="BW8" s="11" t="str">
        <f t="shared" si="33"/>
        <v/>
      </c>
      <c r="BX8" s="11" t="str">
        <f t="shared" si="34"/>
        <v/>
      </c>
      <c r="BY8" s="11" t="str">
        <f t="shared" si="35"/>
        <v/>
      </c>
      <c r="BZ8" s="11">
        <f t="shared" si="36"/>
        <v>42.53</v>
      </c>
      <c r="CA8" s="22">
        <v>15.4</v>
      </c>
      <c r="CB8" s="22">
        <v>9</v>
      </c>
      <c r="CC8" s="22">
        <v>13.1</v>
      </c>
      <c r="CD8" s="22">
        <v>16.21</v>
      </c>
      <c r="CE8" s="22">
        <v>1.4</v>
      </c>
      <c r="CF8" s="22">
        <v>1.5</v>
      </c>
      <c r="CG8" s="22">
        <v>1</v>
      </c>
      <c r="CH8" s="22">
        <v>1.7</v>
      </c>
      <c r="CI8" s="22">
        <v>0</v>
      </c>
      <c r="CJ8" s="22">
        <v>0</v>
      </c>
      <c r="CK8" s="22">
        <v>2.7</v>
      </c>
      <c r="CL8" s="22">
        <v>1.7</v>
      </c>
      <c r="CM8" s="22">
        <v>4</v>
      </c>
      <c r="CN8" s="22">
        <v>3.48</v>
      </c>
      <c r="CO8" s="22">
        <v>0</v>
      </c>
      <c r="CP8" s="27"/>
      <c r="CQ8" s="38">
        <f t="shared" si="37"/>
        <v>13.1</v>
      </c>
      <c r="CR8" s="38">
        <f t="shared" si="38"/>
        <v>16.21</v>
      </c>
      <c r="CS8" s="40">
        <f t="shared" si="39"/>
        <v>52.31</v>
      </c>
      <c r="CT8" s="40">
        <f t="shared" si="40"/>
        <v>1.7</v>
      </c>
      <c r="CU8" s="40" t="str">
        <f t="shared" si="41"/>
        <v/>
      </c>
      <c r="CV8" s="40">
        <f t="shared" si="42"/>
        <v>4.2</v>
      </c>
      <c r="CW8" s="40">
        <f t="shared" si="43"/>
        <v>52.31</v>
      </c>
      <c r="CX8" s="40">
        <f t="shared" si="44"/>
        <v>4</v>
      </c>
      <c r="CY8" s="40">
        <f t="shared" si="45"/>
        <v>3.48</v>
      </c>
      <c r="CZ8" s="40">
        <f t="shared" si="46"/>
        <v>11.88</v>
      </c>
      <c r="DA8" s="40">
        <f t="shared" si="47"/>
        <v>64.19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>
        <v>1.5</v>
      </c>
      <c r="FU8" s="17">
        <v>1</v>
      </c>
      <c r="FV8" s="17">
        <v>2</v>
      </c>
      <c r="FW8" s="17">
        <v>1.65</v>
      </c>
      <c r="FX8" s="17">
        <v>0</v>
      </c>
      <c r="FY8" s="17">
        <v>2.4</v>
      </c>
      <c r="FZ8" s="17">
        <v>1.6</v>
      </c>
      <c r="GA8" s="17">
        <v>3.5</v>
      </c>
      <c r="GB8" s="17">
        <v>3.19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 t="shared" si="78"/>
        <v>2</v>
      </c>
      <c r="GO8" s="40">
        <f t="shared" si="79"/>
        <v>1.65</v>
      </c>
      <c r="GP8" s="40">
        <f t="shared" si="80"/>
        <v>6.15</v>
      </c>
      <c r="GQ8" s="40">
        <f t="shared" si="81"/>
        <v>3.5</v>
      </c>
      <c r="GR8" s="40">
        <f t="shared" si="82"/>
        <v>3.19</v>
      </c>
      <c r="GS8" s="40">
        <f t="shared" si="83"/>
        <v>10.69</v>
      </c>
      <c r="GT8" s="40">
        <f t="shared" si="84"/>
        <v>10.69</v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>
        <f t="shared" si="91"/>
        <v>10.69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13.600000000000001</v>
      </c>
      <c r="SW8" s="22">
        <f t="shared" si="219"/>
        <v>8.85</v>
      </c>
      <c r="SX8" s="22">
        <f t="shared" si="220"/>
        <v>11.8</v>
      </c>
      <c r="SY8" s="22">
        <f t="shared" si="221"/>
        <v>15.870000000000001</v>
      </c>
      <c r="SZ8" s="22">
        <f t="shared" si="222"/>
        <v>2.7</v>
      </c>
      <c r="TA8" s="22">
        <f t="shared" si="223"/>
        <v>5.95</v>
      </c>
      <c r="TB8" s="22">
        <f t="shared" si="224"/>
        <v>4.7</v>
      </c>
      <c r="TC8" s="22">
        <f t="shared" si="225"/>
        <v>5.6999999999999993</v>
      </c>
      <c r="TD8" s="22">
        <f t="shared" si="226"/>
        <v>6.66</v>
      </c>
      <c r="TE8" s="22">
        <f t="shared" si="227"/>
        <v>0</v>
      </c>
      <c r="TF8" s="22">
        <f t="shared" si="228"/>
        <v>1.35</v>
      </c>
      <c r="TG8" s="22">
        <f t="shared" si="229"/>
        <v>0.85</v>
      </c>
      <c r="TH8" s="22">
        <f t="shared" si="230"/>
        <v>2</v>
      </c>
      <c r="TI8" s="22">
        <f t="shared" si="231"/>
        <v>1.74</v>
      </c>
      <c r="TJ8" s="22">
        <f t="shared" si="232"/>
        <v>0</v>
      </c>
      <c r="TK8" s="27" t="s">
        <v>46</v>
      </c>
      <c r="TL8" s="40">
        <f t="shared" si="233"/>
        <v>11.8</v>
      </c>
      <c r="TM8" s="40">
        <f t="shared" si="234"/>
        <v>15.870000000000001</v>
      </c>
      <c r="TN8" s="40">
        <f t="shared" si="235"/>
        <v>47.42</v>
      </c>
      <c r="TO8" s="40">
        <f t="shared" si="236"/>
        <v>5.6999999999999993</v>
      </c>
      <c r="TP8" s="40">
        <f t="shared" si="237"/>
        <v>6.66</v>
      </c>
      <c r="TQ8" s="40">
        <f t="shared" si="238"/>
        <v>23.01</v>
      </c>
      <c r="TR8" s="40">
        <f t="shared" si="239"/>
        <v>47.42</v>
      </c>
      <c r="TS8" s="40">
        <f t="shared" si="240"/>
        <v>2</v>
      </c>
      <c r="TT8" s="40">
        <f t="shared" si="241"/>
        <v>1.74</v>
      </c>
      <c r="TU8" s="40">
        <f t="shared" si="242"/>
        <v>5.94</v>
      </c>
      <c r="TV8" s="40">
        <f t="shared" si="243"/>
        <v>53.36</v>
      </c>
    </row>
    <row r="9" spans="1:542" x14ac:dyDescent="0.2">
      <c r="A9" s="4" t="str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/>
      </c>
      <c r="B9" s="4" t="str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/>
      </c>
      <c r="C9" s="5" t="s">
        <v>90</v>
      </c>
      <c r="D9" s="4" t="s">
        <v>5</v>
      </c>
      <c r="E9" s="4">
        <v>2005</v>
      </c>
      <c r="F9" s="9">
        <f t="shared" si="0"/>
        <v>188.97001889700527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52.489999999999995</v>
      </c>
      <c r="M9" s="8" t="str">
        <f t="shared" si="5"/>
        <v>2025 Nationals</v>
      </c>
      <c r="N9" s="8">
        <f>IF(COUNT(AQ9,AT9,BR9,BU9,CS9,CV9)&gt;1,LARGE((AQ9,AT9,BR9,BU9,CS9,CV9),2),0)</f>
        <v>52.05</v>
      </c>
      <c r="O9" s="8" t="str">
        <f t="shared" si="6"/>
        <v>2025 Elite Canada</v>
      </c>
      <c r="P9" s="8">
        <f>IF(COUNT(AQ9,AT9,BR9,BU9,CS9,CV9)&gt;2,MAX(AX9,BY9,CZ9,LARGE((AQ9,AT9,BR9,BU9,CS9,CV9),3)),IF(MAX(AX9,BY9,CZ9)&gt;0,MAX(AX9,BY9,CZ9),0))</f>
        <v>53.38000000000001</v>
      </c>
      <c r="Q9" s="8" t="str">
        <f t="shared" si="7"/>
        <v>2025 Nationals</v>
      </c>
      <c r="R9" s="8">
        <f t="shared" si="8"/>
        <v>15.3</v>
      </c>
      <c r="S9" s="8" t="str">
        <f t="shared" si="9"/>
        <v>2025 Coimbra Gym Fest (July 6)</v>
      </c>
      <c r="T9" s="8">
        <f t="shared" si="10"/>
        <v>15.75</v>
      </c>
      <c r="U9" s="8" t="str">
        <f t="shared" si="11"/>
        <v>2025 Elite Canada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11.8</v>
      </c>
      <c r="Z9" s="22">
        <v>9.6</v>
      </c>
      <c r="AA9" s="22">
        <v>14.9</v>
      </c>
      <c r="AB9" s="22">
        <v>15.75</v>
      </c>
      <c r="AC9" s="22">
        <v>0</v>
      </c>
      <c r="AD9" s="22">
        <v>2.7</v>
      </c>
      <c r="AE9" s="22">
        <v>1.8</v>
      </c>
      <c r="AF9" s="22">
        <v>3.3</v>
      </c>
      <c r="AG9" s="22">
        <v>3.33</v>
      </c>
      <c r="AH9" s="22">
        <v>0</v>
      </c>
      <c r="AI9" s="22">
        <v>12.3</v>
      </c>
      <c r="AJ9" s="22">
        <v>8.4</v>
      </c>
      <c r="AK9" s="22">
        <v>13.2</v>
      </c>
      <c r="AL9" s="22">
        <v>14.33</v>
      </c>
      <c r="AM9" s="22">
        <v>0</v>
      </c>
      <c r="AN9" s="27"/>
      <c r="AO9" s="38">
        <f t="shared" si="15"/>
        <v>14.9</v>
      </c>
      <c r="AP9" s="38">
        <f t="shared" si="16"/>
        <v>15.75</v>
      </c>
      <c r="AQ9" s="40">
        <f t="shared" si="17"/>
        <v>52.05</v>
      </c>
      <c r="AR9" s="40">
        <f t="shared" si="18"/>
        <v>3.3</v>
      </c>
      <c r="AS9" s="40">
        <f t="shared" si="19"/>
        <v>3.33</v>
      </c>
      <c r="AT9" s="40">
        <f t="shared" si="20"/>
        <v>11.129999999999999</v>
      </c>
      <c r="AU9" s="40">
        <f t="shared" si="21"/>
        <v>52.05</v>
      </c>
      <c r="AV9" s="40">
        <f t="shared" si="22"/>
        <v>13.2</v>
      </c>
      <c r="AW9" s="40">
        <f t="shared" si="23"/>
        <v>14.33</v>
      </c>
      <c r="AX9" s="40">
        <f t="shared" si="24"/>
        <v>48.230000000000004</v>
      </c>
      <c r="AY9" s="40">
        <f t="shared" si="25"/>
        <v>100.28</v>
      </c>
      <c r="AZ9" s="26">
        <v>10.1</v>
      </c>
      <c r="BA9" s="26">
        <v>7.7</v>
      </c>
      <c r="BB9" s="26">
        <v>12.6</v>
      </c>
      <c r="BC9" s="26">
        <v>13.81</v>
      </c>
      <c r="BD9" s="26">
        <v>0</v>
      </c>
      <c r="BE9" s="26">
        <v>13.1</v>
      </c>
      <c r="BF9" s="26">
        <v>9</v>
      </c>
      <c r="BG9" s="26">
        <v>14.7</v>
      </c>
      <c r="BH9" s="26">
        <v>15.69</v>
      </c>
      <c r="BI9" s="26">
        <v>0</v>
      </c>
      <c r="BJ9" s="26">
        <v>14.4</v>
      </c>
      <c r="BK9" s="26">
        <v>8.8000000000000007</v>
      </c>
      <c r="BL9" s="26">
        <v>14.7</v>
      </c>
      <c r="BM9" s="26">
        <v>15.48</v>
      </c>
      <c r="BN9" s="26">
        <v>0</v>
      </c>
      <c r="BO9" s="28"/>
      <c r="BP9" s="39">
        <f t="shared" si="26"/>
        <v>12.6</v>
      </c>
      <c r="BQ9" s="39">
        <f t="shared" si="27"/>
        <v>13.81</v>
      </c>
      <c r="BR9" s="11">
        <f t="shared" si="28"/>
        <v>44.21</v>
      </c>
      <c r="BS9" s="11">
        <f t="shared" si="29"/>
        <v>14.7</v>
      </c>
      <c r="BT9" s="11">
        <f t="shared" si="30"/>
        <v>15.69</v>
      </c>
      <c r="BU9" s="11">
        <f t="shared" si="31"/>
        <v>52.489999999999995</v>
      </c>
      <c r="BV9" s="11">
        <f t="shared" si="32"/>
        <v>52.489999999999995</v>
      </c>
      <c r="BW9" s="11">
        <f t="shared" si="33"/>
        <v>14.7</v>
      </c>
      <c r="BX9" s="11">
        <f t="shared" si="34"/>
        <v>15.48</v>
      </c>
      <c r="BY9" s="11">
        <f t="shared" si="35"/>
        <v>53.38000000000001</v>
      </c>
      <c r="BZ9" s="11">
        <f t="shared" si="36"/>
        <v>105.87</v>
      </c>
      <c r="CA9" s="22">
        <v>11.3</v>
      </c>
      <c r="CB9" s="22">
        <v>9.4</v>
      </c>
      <c r="CC9" s="22">
        <v>14.4</v>
      </c>
      <c r="CD9" s="22">
        <v>15.17</v>
      </c>
      <c r="CE9" s="22">
        <v>0.1</v>
      </c>
      <c r="CF9" s="22">
        <v>1.4</v>
      </c>
      <c r="CG9" s="22">
        <v>1</v>
      </c>
      <c r="CH9" s="22">
        <v>2</v>
      </c>
      <c r="CI9" s="22">
        <v>1.67</v>
      </c>
      <c r="CJ9" s="22">
        <v>0</v>
      </c>
      <c r="CK9" s="22">
        <v>13</v>
      </c>
      <c r="CL9" s="22">
        <v>9</v>
      </c>
      <c r="CM9" s="22">
        <v>14.3</v>
      </c>
      <c r="CN9" s="22">
        <v>14.86</v>
      </c>
      <c r="CO9" s="22">
        <v>0.2</v>
      </c>
      <c r="CP9" s="27"/>
      <c r="CQ9" s="38">
        <f t="shared" si="37"/>
        <v>14.4</v>
      </c>
      <c r="CR9" s="38">
        <f t="shared" si="38"/>
        <v>15.17</v>
      </c>
      <c r="CS9" s="40">
        <f t="shared" si="39"/>
        <v>50.17</v>
      </c>
      <c r="CT9" s="40">
        <f t="shared" si="40"/>
        <v>2</v>
      </c>
      <c r="CU9" s="40">
        <f t="shared" si="41"/>
        <v>1.67</v>
      </c>
      <c r="CV9" s="40">
        <f t="shared" si="42"/>
        <v>6.07</v>
      </c>
      <c r="CW9" s="40">
        <f t="shared" si="43"/>
        <v>50.17</v>
      </c>
      <c r="CX9" s="40">
        <f t="shared" si="44"/>
        <v>14.3</v>
      </c>
      <c r="CY9" s="40">
        <f t="shared" si="45"/>
        <v>14.86</v>
      </c>
      <c r="CZ9" s="40">
        <f t="shared" si="46"/>
        <v>50.959999999999994</v>
      </c>
      <c r="DA9" s="40">
        <f t="shared" si="47"/>
        <v>101.13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>
        <v>11.3</v>
      </c>
      <c r="FU9" s="17">
        <v>8.8000000000000007</v>
      </c>
      <c r="FV9" s="17">
        <v>14.7</v>
      </c>
      <c r="FW9" s="17">
        <v>15.45</v>
      </c>
      <c r="FX9" s="17">
        <v>0</v>
      </c>
      <c r="FY9" s="17">
        <v>11.9</v>
      </c>
      <c r="FZ9" s="17">
        <v>9.1999999999999993</v>
      </c>
      <c r="GA9" s="17">
        <v>15.3</v>
      </c>
      <c r="GB9" s="17">
        <v>15.51</v>
      </c>
      <c r="GC9" s="17">
        <v>0</v>
      </c>
      <c r="GD9" s="17">
        <v>6.4</v>
      </c>
      <c r="GE9" s="17">
        <v>4.4000000000000004</v>
      </c>
      <c r="GF9" s="17">
        <v>8</v>
      </c>
      <c r="GG9" s="17">
        <v>8.09</v>
      </c>
      <c r="GH9" s="17">
        <v>0.2</v>
      </c>
      <c r="GI9" s="17"/>
      <c r="GJ9" s="17"/>
      <c r="GK9" s="17"/>
      <c r="GL9" s="17"/>
      <c r="GM9" s="17"/>
      <c r="GN9" s="40">
        <f t="shared" si="78"/>
        <v>14.7</v>
      </c>
      <c r="GO9" s="40">
        <f t="shared" si="79"/>
        <v>15.45</v>
      </c>
      <c r="GP9" s="40">
        <f t="shared" si="80"/>
        <v>50.25</v>
      </c>
      <c r="GQ9" s="40">
        <f t="shared" si="81"/>
        <v>15.3</v>
      </c>
      <c r="GR9" s="40">
        <f t="shared" si="82"/>
        <v>15.51</v>
      </c>
      <c r="GS9" s="40">
        <f t="shared" si="83"/>
        <v>51.910000000000004</v>
      </c>
      <c r="GT9" s="40">
        <f t="shared" si="84"/>
        <v>51.910000000000004</v>
      </c>
      <c r="GU9" s="40">
        <f t="shared" si="85"/>
        <v>8</v>
      </c>
      <c r="GV9" s="40">
        <f t="shared" si="86"/>
        <v>8.09</v>
      </c>
      <c r="GW9" s="40">
        <f t="shared" si="87"/>
        <v>26.69</v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>
        <f t="shared" si="91"/>
        <v>78.600000000000009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10.7</v>
      </c>
      <c r="SW9" s="22">
        <f t="shared" si="219"/>
        <v>8.5500000000000007</v>
      </c>
      <c r="SX9" s="22">
        <f t="shared" si="220"/>
        <v>13.5</v>
      </c>
      <c r="SY9" s="22">
        <f t="shared" si="221"/>
        <v>14.49</v>
      </c>
      <c r="SZ9" s="22">
        <f t="shared" si="222"/>
        <v>0.05</v>
      </c>
      <c r="TA9" s="22">
        <f t="shared" si="223"/>
        <v>7.25</v>
      </c>
      <c r="TB9" s="22">
        <f t="shared" si="224"/>
        <v>5</v>
      </c>
      <c r="TC9" s="22">
        <f t="shared" si="225"/>
        <v>8.35</v>
      </c>
      <c r="TD9" s="22">
        <f t="shared" si="226"/>
        <v>8.68</v>
      </c>
      <c r="TE9" s="22">
        <f t="shared" si="227"/>
        <v>0</v>
      </c>
      <c r="TF9" s="22">
        <f t="shared" si="228"/>
        <v>13.7</v>
      </c>
      <c r="TG9" s="22">
        <f t="shared" si="229"/>
        <v>8.9</v>
      </c>
      <c r="TH9" s="22">
        <f t="shared" si="230"/>
        <v>14.5</v>
      </c>
      <c r="TI9" s="22">
        <f t="shared" si="231"/>
        <v>15.17</v>
      </c>
      <c r="TJ9" s="22">
        <f t="shared" si="232"/>
        <v>0.1</v>
      </c>
      <c r="TK9" s="27" t="s">
        <v>46</v>
      </c>
      <c r="TL9" s="40">
        <f t="shared" si="233"/>
        <v>13.5</v>
      </c>
      <c r="TM9" s="40">
        <f t="shared" si="234"/>
        <v>14.49</v>
      </c>
      <c r="TN9" s="40">
        <f t="shared" si="235"/>
        <v>47.190000000000005</v>
      </c>
      <c r="TO9" s="40">
        <f t="shared" si="236"/>
        <v>8.35</v>
      </c>
      <c r="TP9" s="40">
        <f t="shared" si="237"/>
        <v>8.68</v>
      </c>
      <c r="TQ9" s="40">
        <f t="shared" si="238"/>
        <v>29.28</v>
      </c>
      <c r="TR9" s="40">
        <f t="shared" si="239"/>
        <v>47.190000000000005</v>
      </c>
      <c r="TS9" s="40">
        <f t="shared" si="240"/>
        <v>14.5</v>
      </c>
      <c r="TT9" s="40">
        <f t="shared" si="241"/>
        <v>15.17</v>
      </c>
      <c r="TU9" s="40">
        <f t="shared" si="242"/>
        <v>52.17</v>
      </c>
      <c r="TV9" s="40">
        <f t="shared" si="243"/>
        <v>99.360000000000014</v>
      </c>
    </row>
    <row r="10" spans="1:542" x14ac:dyDescent="0.2">
      <c r="A10" s="4" t="str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/>
      </c>
      <c r="B10" s="4" t="str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/>
      </c>
      <c r="C10" s="5" t="s">
        <v>107</v>
      </c>
      <c r="D10" s="4" t="s">
        <v>5</v>
      </c>
      <c r="E10" s="4">
        <v>2006</v>
      </c>
      <c r="F10" s="9">
        <f t="shared" si="0"/>
        <v>181.99001819900516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51.33</v>
      </c>
      <c r="M10" s="8" t="str">
        <f t="shared" si="5"/>
        <v>2025 Elite Canada</v>
      </c>
      <c r="N10" s="8">
        <f>IF(COUNT(AQ10,AT10,BR10,BU10,CS10,CV10)&gt;1,LARGE((AQ10,AT10,BR10,BU10,CS10,CV10),2),0)</f>
        <v>50.49</v>
      </c>
      <c r="O10" s="8" t="str">
        <f t="shared" si="6"/>
        <v>2025 Nationals</v>
      </c>
      <c r="P10" s="8">
        <f>IF(COUNT(AQ10,AT10,BR10,BU10,CS10,CV10)&gt;2,MAX(AX10,BY10,CZ10,LARGE((AQ10,AT10,BR10,BU10,CS10,CV10),3)),IF(MAX(AX10,BY10,CZ10)&gt;0,MAX(AX10,BY10,CZ10),0))</f>
        <v>51.28</v>
      </c>
      <c r="Q10" s="8" t="str">
        <f t="shared" si="7"/>
        <v>2025 Elite Canada</v>
      </c>
      <c r="R10" s="8">
        <f t="shared" si="8"/>
        <v>14.5</v>
      </c>
      <c r="S10" s="8" t="str">
        <f t="shared" si="9"/>
        <v>2025 Nationals</v>
      </c>
      <c r="T10" s="8">
        <f t="shared" si="10"/>
        <v>14.39</v>
      </c>
      <c r="U10" s="8" t="str">
        <f t="shared" si="11"/>
        <v>2025 Nationals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11.9</v>
      </c>
      <c r="Z10" s="22">
        <v>9</v>
      </c>
      <c r="AA10" s="22">
        <v>12.6</v>
      </c>
      <c r="AB10" s="22">
        <v>13.67</v>
      </c>
      <c r="AC10" s="22">
        <v>0</v>
      </c>
      <c r="AD10" s="22">
        <v>13.8</v>
      </c>
      <c r="AE10" s="22">
        <v>9.5</v>
      </c>
      <c r="AF10" s="22">
        <v>13.8</v>
      </c>
      <c r="AG10" s="22">
        <v>14.23</v>
      </c>
      <c r="AH10" s="22">
        <v>0</v>
      </c>
      <c r="AI10" s="22">
        <v>13.5</v>
      </c>
      <c r="AJ10" s="22">
        <v>9.5</v>
      </c>
      <c r="AK10" s="22">
        <v>13.8</v>
      </c>
      <c r="AL10" s="22">
        <v>14.48</v>
      </c>
      <c r="AM10" s="22">
        <v>0</v>
      </c>
      <c r="AN10" s="27"/>
      <c r="AO10" s="38">
        <f t="shared" si="15"/>
        <v>12.6</v>
      </c>
      <c r="AP10" s="38">
        <f t="shared" si="16"/>
        <v>13.67</v>
      </c>
      <c r="AQ10" s="40">
        <f t="shared" si="17"/>
        <v>47.17</v>
      </c>
      <c r="AR10" s="40">
        <f t="shared" si="18"/>
        <v>13.8</v>
      </c>
      <c r="AS10" s="40">
        <f t="shared" si="19"/>
        <v>14.23</v>
      </c>
      <c r="AT10" s="40">
        <f t="shared" si="20"/>
        <v>51.33</v>
      </c>
      <c r="AU10" s="40">
        <f t="shared" si="21"/>
        <v>51.33</v>
      </c>
      <c r="AV10" s="40">
        <f t="shared" si="22"/>
        <v>13.8</v>
      </c>
      <c r="AW10" s="40">
        <f t="shared" si="23"/>
        <v>14.48</v>
      </c>
      <c r="AX10" s="40">
        <f t="shared" si="24"/>
        <v>51.28</v>
      </c>
      <c r="AY10" s="40">
        <f t="shared" si="25"/>
        <v>102.61</v>
      </c>
      <c r="AZ10" s="26">
        <v>2.6</v>
      </c>
      <c r="BA10" s="26">
        <v>1.8</v>
      </c>
      <c r="BB10" s="26">
        <v>3.5</v>
      </c>
      <c r="BC10" s="26">
        <v>3.06</v>
      </c>
      <c r="BD10" s="26">
        <v>0.2</v>
      </c>
      <c r="BE10" s="26">
        <v>12.4</v>
      </c>
      <c r="BF10" s="26">
        <v>9.1999999999999993</v>
      </c>
      <c r="BG10" s="26">
        <v>14.5</v>
      </c>
      <c r="BH10" s="26">
        <v>14.39</v>
      </c>
      <c r="BI10" s="26">
        <v>0</v>
      </c>
      <c r="BJ10" s="26">
        <v>1.4</v>
      </c>
      <c r="BK10" s="26">
        <v>1</v>
      </c>
      <c r="BL10" s="26">
        <v>2</v>
      </c>
      <c r="BM10" s="26">
        <v>1.59</v>
      </c>
      <c r="BN10" s="26">
        <v>0</v>
      </c>
      <c r="BO10" s="28"/>
      <c r="BP10" s="39">
        <f t="shared" si="26"/>
        <v>3.5</v>
      </c>
      <c r="BQ10" s="39">
        <f t="shared" si="27"/>
        <v>3.06</v>
      </c>
      <c r="BR10" s="11">
        <f t="shared" si="28"/>
        <v>10.760000000000002</v>
      </c>
      <c r="BS10" s="11">
        <f t="shared" si="29"/>
        <v>14.5</v>
      </c>
      <c r="BT10" s="11">
        <f t="shared" si="30"/>
        <v>14.39</v>
      </c>
      <c r="BU10" s="11">
        <f t="shared" si="31"/>
        <v>50.49</v>
      </c>
      <c r="BV10" s="11">
        <f t="shared" si="32"/>
        <v>50.49</v>
      </c>
      <c r="BW10" s="11">
        <f t="shared" si="33"/>
        <v>2</v>
      </c>
      <c r="BX10" s="11">
        <f t="shared" si="34"/>
        <v>1.59</v>
      </c>
      <c r="BY10" s="11">
        <f t="shared" si="35"/>
        <v>5.99</v>
      </c>
      <c r="BZ10" s="11">
        <f t="shared" si="36"/>
        <v>56.480000000000004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1.3</v>
      </c>
      <c r="SW10" s="22">
        <f t="shared" si="219"/>
        <v>0.9</v>
      </c>
      <c r="SX10" s="22">
        <f t="shared" si="220"/>
        <v>1.75</v>
      </c>
      <c r="SY10" s="22">
        <f t="shared" si="221"/>
        <v>1.53</v>
      </c>
      <c r="SZ10" s="22">
        <f t="shared" si="222"/>
        <v>0.1</v>
      </c>
      <c r="TA10" s="22">
        <f t="shared" si="223"/>
        <v>6.2</v>
      </c>
      <c r="TB10" s="22">
        <f t="shared" si="224"/>
        <v>4.5999999999999996</v>
      </c>
      <c r="TC10" s="22">
        <f t="shared" si="225"/>
        <v>7.25</v>
      </c>
      <c r="TD10" s="22">
        <f t="shared" si="226"/>
        <v>7.1950000000000003</v>
      </c>
      <c r="TE10" s="22">
        <f t="shared" si="227"/>
        <v>0</v>
      </c>
      <c r="TF10" s="22">
        <f t="shared" si="228"/>
        <v>0.7</v>
      </c>
      <c r="TG10" s="22">
        <f t="shared" si="229"/>
        <v>0.5</v>
      </c>
      <c r="TH10" s="22">
        <f t="shared" si="230"/>
        <v>1</v>
      </c>
      <c r="TI10" s="22">
        <f t="shared" si="231"/>
        <v>0.79500000000000004</v>
      </c>
      <c r="TJ10" s="22">
        <f t="shared" si="232"/>
        <v>0</v>
      </c>
      <c r="TK10" s="27" t="s">
        <v>46</v>
      </c>
      <c r="TL10" s="40">
        <f t="shared" si="233"/>
        <v>1.75</v>
      </c>
      <c r="TM10" s="40">
        <f t="shared" si="234"/>
        <v>1.53</v>
      </c>
      <c r="TN10" s="40">
        <f t="shared" si="235"/>
        <v>5.3800000000000008</v>
      </c>
      <c r="TO10" s="40">
        <f t="shared" si="236"/>
        <v>7.25</v>
      </c>
      <c r="TP10" s="40">
        <f t="shared" si="237"/>
        <v>7.1950000000000003</v>
      </c>
      <c r="TQ10" s="40">
        <f t="shared" si="238"/>
        <v>25.245000000000001</v>
      </c>
      <c r="TR10" s="40">
        <f t="shared" si="239"/>
        <v>25.245000000000001</v>
      </c>
      <c r="TS10" s="40">
        <f t="shared" si="240"/>
        <v>1</v>
      </c>
      <c r="TT10" s="40">
        <f t="shared" si="241"/>
        <v>0.79500000000000004</v>
      </c>
      <c r="TU10" s="40">
        <f t="shared" si="242"/>
        <v>2.9950000000000001</v>
      </c>
      <c r="TV10" s="40">
        <f t="shared" si="243"/>
        <v>28.240000000000002</v>
      </c>
    </row>
    <row r="11" spans="1:542" x14ac:dyDescent="0.2">
      <c r="A11" s="4" t="str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/>
      </c>
      <c r="B11" s="4" t="str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/>
      </c>
      <c r="C11" s="5" t="s">
        <v>147</v>
      </c>
      <c r="D11" s="4" t="s">
        <v>4</v>
      </c>
      <c r="E11" s="4">
        <v>2008</v>
      </c>
      <c r="F11" s="9">
        <f t="shared" si="0"/>
        <v>181.160017665005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49.97</v>
      </c>
      <c r="M11" s="8" t="str">
        <f t="shared" si="5"/>
        <v>2025 Elite Canada</v>
      </c>
      <c r="N11" s="8">
        <f>IF(COUNT(AQ11,AT11,BR11,BU11,CS11,CV11)&gt;1,LARGE((AQ11,AT11,BR11,BU11,CS11,CV11),2),0)</f>
        <v>47.010000000000005</v>
      </c>
      <c r="O11" s="8" t="str">
        <f t="shared" si="6"/>
        <v>2025 Nationals</v>
      </c>
      <c r="P11" s="8">
        <f>IF(COUNT(AQ11,AT11,BR11,BU11,CS11,CV11)&gt;2,MAX(AX11,BY11,CZ11,LARGE((AQ11,AT11,BR11,BU11,CS11,CV11),3)),IF(MAX(AX11,BY11,CZ11)&gt;0,MAX(AX11,BY11,CZ11),0))</f>
        <v>50.15</v>
      </c>
      <c r="Q11" s="8" t="str">
        <f t="shared" si="7"/>
        <v>2025 Nationals</v>
      </c>
      <c r="R11" s="8">
        <f t="shared" si="8"/>
        <v>14.5</v>
      </c>
      <c r="S11" s="8" t="str">
        <f t="shared" si="9"/>
        <v>2025 Nationals</v>
      </c>
      <c r="T11" s="8">
        <f t="shared" si="10"/>
        <v>15.02</v>
      </c>
      <c r="U11" s="8" t="str">
        <f t="shared" si="11"/>
        <v>2025 Coimbra Gym Fest (July 6)</v>
      </c>
      <c r="V11" s="8">
        <f t="shared" si="12"/>
        <v>4.5099999999999909</v>
      </c>
      <c r="W11" s="11" t="str">
        <f t="shared" si="13"/>
        <v>(Optional)</v>
      </c>
      <c r="X11" s="8" t="str">
        <f t="shared" si="14"/>
        <v>2025 Coimbra Gym Fest (July 6)</v>
      </c>
      <c r="Y11" s="22">
        <v>13.3</v>
      </c>
      <c r="Z11" s="22">
        <v>9.1</v>
      </c>
      <c r="AA11" s="22">
        <v>12.9</v>
      </c>
      <c r="AB11" s="22">
        <v>14.67</v>
      </c>
      <c r="AC11" s="22">
        <v>0</v>
      </c>
      <c r="AD11" s="22">
        <v>5.8</v>
      </c>
      <c r="AE11" s="22">
        <v>3.9</v>
      </c>
      <c r="AF11" s="22">
        <v>5.2</v>
      </c>
      <c r="AG11" s="22">
        <v>6.03</v>
      </c>
      <c r="AH11" s="22">
        <v>0</v>
      </c>
      <c r="AI11" s="22">
        <v>1.3</v>
      </c>
      <c r="AJ11" s="22">
        <v>1</v>
      </c>
      <c r="AK11" s="22">
        <v>2</v>
      </c>
      <c r="AL11" s="22">
        <v>1.63</v>
      </c>
      <c r="AM11" s="22">
        <v>0.2</v>
      </c>
      <c r="AN11" s="27"/>
      <c r="AO11" s="38">
        <f t="shared" si="15"/>
        <v>12.9</v>
      </c>
      <c r="AP11" s="38">
        <f t="shared" si="16"/>
        <v>14.67</v>
      </c>
      <c r="AQ11" s="40">
        <f t="shared" si="17"/>
        <v>49.97</v>
      </c>
      <c r="AR11" s="40">
        <f t="shared" si="18"/>
        <v>5.2</v>
      </c>
      <c r="AS11" s="40">
        <f t="shared" si="19"/>
        <v>6.03</v>
      </c>
      <c r="AT11" s="40">
        <f t="shared" si="20"/>
        <v>20.93</v>
      </c>
      <c r="AU11" s="40">
        <f t="shared" si="21"/>
        <v>49.97</v>
      </c>
      <c r="AV11" s="40">
        <f t="shared" si="22"/>
        <v>2</v>
      </c>
      <c r="AW11" s="40">
        <f t="shared" si="23"/>
        <v>1.63</v>
      </c>
      <c r="AX11" s="40">
        <f t="shared" si="24"/>
        <v>5.7299999999999995</v>
      </c>
      <c r="AY11" s="40">
        <f t="shared" si="25"/>
        <v>55.699999999999996</v>
      </c>
      <c r="AZ11" s="26">
        <v>11.1</v>
      </c>
      <c r="BA11" s="26">
        <v>9.6</v>
      </c>
      <c r="BB11" s="26">
        <v>11.7</v>
      </c>
      <c r="BC11" s="26">
        <v>13.88</v>
      </c>
      <c r="BD11" s="26">
        <v>0.6</v>
      </c>
      <c r="BE11" s="26">
        <v>11.9</v>
      </c>
      <c r="BF11" s="26">
        <v>8.8000000000000007</v>
      </c>
      <c r="BG11" s="26">
        <v>12.1</v>
      </c>
      <c r="BH11" s="26">
        <v>14.61</v>
      </c>
      <c r="BI11" s="26">
        <v>0.4</v>
      </c>
      <c r="BJ11" s="26">
        <v>12.4</v>
      </c>
      <c r="BK11" s="26">
        <v>9</v>
      </c>
      <c r="BL11" s="26">
        <v>14.5</v>
      </c>
      <c r="BM11" s="26">
        <v>14.25</v>
      </c>
      <c r="BN11" s="26">
        <v>0</v>
      </c>
      <c r="BO11" s="28"/>
      <c r="BP11" s="39">
        <f t="shared" si="26"/>
        <v>11.7</v>
      </c>
      <c r="BQ11" s="39">
        <f t="shared" si="27"/>
        <v>13.88</v>
      </c>
      <c r="BR11" s="11">
        <f t="shared" si="28"/>
        <v>45.68</v>
      </c>
      <c r="BS11" s="11">
        <f t="shared" si="29"/>
        <v>12.1</v>
      </c>
      <c r="BT11" s="11">
        <f t="shared" si="30"/>
        <v>14.61</v>
      </c>
      <c r="BU11" s="11">
        <f t="shared" si="31"/>
        <v>47.010000000000005</v>
      </c>
      <c r="BV11" s="11">
        <f t="shared" si="32"/>
        <v>47.010000000000005</v>
      </c>
      <c r="BW11" s="11">
        <f t="shared" si="33"/>
        <v>14.5</v>
      </c>
      <c r="BX11" s="11">
        <f t="shared" si="34"/>
        <v>14.25</v>
      </c>
      <c r="BY11" s="11">
        <f t="shared" si="35"/>
        <v>50.15</v>
      </c>
      <c r="BZ11" s="11">
        <f t="shared" si="36"/>
        <v>97.16</v>
      </c>
      <c r="CA11" s="22">
        <v>1.4</v>
      </c>
      <c r="CB11" s="22">
        <v>0.8</v>
      </c>
      <c r="CC11" s="22">
        <v>2</v>
      </c>
      <c r="CD11" s="22">
        <v>1.71</v>
      </c>
      <c r="CE11" s="22">
        <v>0</v>
      </c>
      <c r="CF11" s="22">
        <v>5.6</v>
      </c>
      <c r="CG11" s="22">
        <v>3.5</v>
      </c>
      <c r="CH11" s="22">
        <v>6.1</v>
      </c>
      <c r="CI11" s="22">
        <v>6.45</v>
      </c>
      <c r="CJ11" s="22">
        <v>0</v>
      </c>
      <c r="CK11" s="22">
        <v>1.6</v>
      </c>
      <c r="CL11" s="22">
        <v>0.7</v>
      </c>
      <c r="CM11" s="22">
        <v>2</v>
      </c>
      <c r="CN11" s="22">
        <v>1.74</v>
      </c>
      <c r="CO11" s="22">
        <v>0</v>
      </c>
      <c r="CP11" s="27"/>
      <c r="CQ11" s="38">
        <f t="shared" si="37"/>
        <v>2</v>
      </c>
      <c r="CR11" s="38">
        <f t="shared" si="38"/>
        <v>1.71</v>
      </c>
      <c r="CS11" s="40">
        <f t="shared" si="39"/>
        <v>5.91</v>
      </c>
      <c r="CT11" s="40">
        <f t="shared" si="40"/>
        <v>6.1</v>
      </c>
      <c r="CU11" s="40">
        <f t="shared" si="41"/>
        <v>6.45</v>
      </c>
      <c r="CV11" s="40">
        <f t="shared" si="42"/>
        <v>21.65</v>
      </c>
      <c r="CW11" s="40">
        <f t="shared" si="43"/>
        <v>21.65</v>
      </c>
      <c r="CX11" s="40">
        <f t="shared" si="44"/>
        <v>2</v>
      </c>
      <c r="CY11" s="40">
        <f t="shared" si="45"/>
        <v>1.74</v>
      </c>
      <c r="CZ11" s="40">
        <f t="shared" si="46"/>
        <v>6.04</v>
      </c>
      <c r="DA11" s="40">
        <f t="shared" si="47"/>
        <v>27.689999999999998</v>
      </c>
      <c r="DB11" s="50">
        <f t="shared" si="48"/>
        <v>4.5099999999999909</v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>
        <v>11.6</v>
      </c>
      <c r="FU11" s="17">
        <v>9.1999999999999993</v>
      </c>
      <c r="FV11" s="17">
        <v>14.5</v>
      </c>
      <c r="FW11" s="17">
        <v>14.97</v>
      </c>
      <c r="FX11" s="17">
        <v>0</v>
      </c>
      <c r="FY11" s="17">
        <v>12.5</v>
      </c>
      <c r="FZ11" s="17">
        <v>9.5</v>
      </c>
      <c r="GA11" s="17">
        <v>14.5</v>
      </c>
      <c r="GB11" s="17">
        <v>15.02</v>
      </c>
      <c r="GC11" s="17">
        <v>0</v>
      </c>
      <c r="GD11" s="17">
        <v>4.0999999999999996</v>
      </c>
      <c r="GE11" s="17">
        <v>2.8</v>
      </c>
      <c r="GF11" s="17">
        <v>5</v>
      </c>
      <c r="GG11" s="17">
        <v>4.92</v>
      </c>
      <c r="GH11" s="17">
        <v>0</v>
      </c>
      <c r="GI11" s="17"/>
      <c r="GJ11" s="17"/>
      <c r="GK11" s="17"/>
      <c r="GL11" s="17"/>
      <c r="GM11" s="17"/>
      <c r="GN11" s="40">
        <f t="shared" si="78"/>
        <v>14.5</v>
      </c>
      <c r="GO11" s="40">
        <f t="shared" si="79"/>
        <v>14.97</v>
      </c>
      <c r="GP11" s="40">
        <f t="shared" si="80"/>
        <v>50.269999999999996</v>
      </c>
      <c r="GQ11" s="40">
        <f t="shared" si="81"/>
        <v>14.5</v>
      </c>
      <c r="GR11" s="40">
        <f t="shared" si="82"/>
        <v>15.02</v>
      </c>
      <c r="GS11" s="40">
        <f t="shared" si="83"/>
        <v>51.519999999999996</v>
      </c>
      <c r="GT11" s="40">
        <f t="shared" si="84"/>
        <v>51.519999999999996</v>
      </c>
      <c r="GU11" s="40">
        <f t="shared" si="85"/>
        <v>5</v>
      </c>
      <c r="GV11" s="40">
        <f t="shared" si="86"/>
        <v>4.92</v>
      </c>
      <c r="GW11" s="40">
        <f t="shared" si="87"/>
        <v>16.82</v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>
        <f t="shared" si="91"/>
        <v>68.34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6.25</v>
      </c>
      <c r="SW11" s="22">
        <f t="shared" si="219"/>
        <v>5.2</v>
      </c>
      <c r="SX11" s="22">
        <f t="shared" si="220"/>
        <v>6.85</v>
      </c>
      <c r="SY11" s="22">
        <f t="shared" si="221"/>
        <v>7.7949999999999999</v>
      </c>
      <c r="SZ11" s="22">
        <f t="shared" si="222"/>
        <v>0.3</v>
      </c>
      <c r="TA11" s="22">
        <f t="shared" si="223"/>
        <v>8.75</v>
      </c>
      <c r="TB11" s="22">
        <f t="shared" si="224"/>
        <v>6.15</v>
      </c>
      <c r="TC11" s="22">
        <f t="shared" si="225"/>
        <v>9.1</v>
      </c>
      <c r="TD11" s="22">
        <f t="shared" si="226"/>
        <v>10.53</v>
      </c>
      <c r="TE11" s="22">
        <f t="shared" si="227"/>
        <v>0.2</v>
      </c>
      <c r="TF11" s="22">
        <f t="shared" si="228"/>
        <v>7</v>
      </c>
      <c r="TG11" s="22">
        <f t="shared" si="229"/>
        <v>4.8499999999999996</v>
      </c>
      <c r="TH11" s="22">
        <f t="shared" si="230"/>
        <v>8.25</v>
      </c>
      <c r="TI11" s="22">
        <f t="shared" si="231"/>
        <v>7.9950000000000001</v>
      </c>
      <c r="TJ11" s="22">
        <f t="shared" si="232"/>
        <v>0</v>
      </c>
      <c r="TK11" s="27" t="s">
        <v>46</v>
      </c>
      <c r="TL11" s="40">
        <f t="shared" si="233"/>
        <v>6.85</v>
      </c>
      <c r="TM11" s="40">
        <f t="shared" si="234"/>
        <v>7.7949999999999999</v>
      </c>
      <c r="TN11" s="40">
        <f t="shared" si="235"/>
        <v>25.794999999999998</v>
      </c>
      <c r="TO11" s="40">
        <f t="shared" si="236"/>
        <v>9.1</v>
      </c>
      <c r="TP11" s="40">
        <f t="shared" si="237"/>
        <v>10.53</v>
      </c>
      <c r="TQ11" s="40">
        <f t="shared" si="238"/>
        <v>34.33</v>
      </c>
      <c r="TR11" s="40">
        <f t="shared" si="239"/>
        <v>34.33</v>
      </c>
      <c r="TS11" s="40">
        <f t="shared" si="240"/>
        <v>8.25</v>
      </c>
      <c r="TT11" s="40">
        <f t="shared" si="241"/>
        <v>7.9950000000000001</v>
      </c>
      <c r="TU11" s="40">
        <f t="shared" si="242"/>
        <v>28.095000000000002</v>
      </c>
      <c r="TV11" s="40">
        <f t="shared" si="243"/>
        <v>62.424999999999997</v>
      </c>
    </row>
    <row r="12" spans="1:542" x14ac:dyDescent="0.2">
      <c r="A12" s="4" t="str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/>
      </c>
      <c r="B12" s="4" t="str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/>
      </c>
      <c r="C12" s="5" t="s">
        <v>118</v>
      </c>
      <c r="D12" s="4" t="s">
        <v>4</v>
      </c>
      <c r="E12" s="4">
        <v>2007</v>
      </c>
      <c r="F12" s="9">
        <f t="shared" si="0"/>
        <v>175.16001751600518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51.67</v>
      </c>
      <c r="M12" s="8" t="str">
        <f t="shared" si="5"/>
        <v>2025 Nationals</v>
      </c>
      <c r="N12" s="8">
        <f>IF(COUNT(AQ12,AT12,BR12,BU12,CS12,CV12)&gt;1,LARGE((AQ12,AT12,BR12,BU12,CS12,CV12),2),0)</f>
        <v>49.86</v>
      </c>
      <c r="O12" s="8" t="str">
        <f t="shared" si="6"/>
        <v>2025 Nationals</v>
      </c>
      <c r="P12" s="8">
        <f>IF(COUNT(AQ12,AT12,BR12,BU12,CS12,CV12)&gt;2,MAX(AX12,BY12,CZ12,LARGE((AQ12,AT12,BR12,BU12,CS12,CV12),3)),IF(MAX(AX12,BY12,CZ12)&gt;0,MAX(AX12,BY12,CZ12),0))</f>
        <v>43.16</v>
      </c>
      <c r="Q12" s="8" t="str">
        <f t="shared" si="7"/>
        <v>2025 Elite Canada</v>
      </c>
      <c r="R12" s="8">
        <f t="shared" si="8"/>
        <v>14.9</v>
      </c>
      <c r="S12" s="8" t="str">
        <f t="shared" si="9"/>
        <v>2025 Nationals</v>
      </c>
      <c r="T12" s="8">
        <f t="shared" si="10"/>
        <v>15.57</v>
      </c>
      <c r="U12" s="8" t="str">
        <f t="shared" si="11"/>
        <v>2025 Nationals</v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11.3</v>
      </c>
      <c r="Z12" s="22">
        <v>7.7</v>
      </c>
      <c r="AA12" s="22">
        <v>11.7</v>
      </c>
      <c r="AB12" s="22">
        <v>12.46</v>
      </c>
      <c r="AC12" s="22">
        <v>0</v>
      </c>
      <c r="AD12" s="22">
        <v>2.8</v>
      </c>
      <c r="AE12" s="22">
        <v>1.7</v>
      </c>
      <c r="AF12" s="22">
        <v>3.3</v>
      </c>
      <c r="AG12" s="22">
        <v>3.3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11.7</v>
      </c>
      <c r="AP12" s="38">
        <f t="shared" si="16"/>
        <v>12.46</v>
      </c>
      <c r="AQ12" s="40">
        <f t="shared" si="17"/>
        <v>43.16</v>
      </c>
      <c r="AR12" s="40">
        <f t="shared" si="18"/>
        <v>3.3</v>
      </c>
      <c r="AS12" s="40">
        <f t="shared" si="19"/>
        <v>3.3</v>
      </c>
      <c r="AT12" s="40">
        <f t="shared" si="20"/>
        <v>11.1</v>
      </c>
      <c r="AU12" s="40">
        <f t="shared" si="21"/>
        <v>43.16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43.16</v>
      </c>
      <c r="AZ12" s="26">
        <v>12.1</v>
      </c>
      <c r="BA12" s="26">
        <v>9.1</v>
      </c>
      <c r="BB12" s="26">
        <v>14.9</v>
      </c>
      <c r="BC12" s="26">
        <v>15.57</v>
      </c>
      <c r="BD12" s="26">
        <v>0</v>
      </c>
      <c r="BE12" s="26">
        <v>12.1</v>
      </c>
      <c r="BF12" s="26">
        <v>8.6999999999999993</v>
      </c>
      <c r="BG12" s="26">
        <v>14</v>
      </c>
      <c r="BH12" s="26">
        <v>15.56</v>
      </c>
      <c r="BI12" s="26">
        <v>0.5</v>
      </c>
      <c r="BJ12" s="26">
        <v>1.2</v>
      </c>
      <c r="BK12" s="26">
        <v>1</v>
      </c>
      <c r="BL12" s="26">
        <v>2</v>
      </c>
      <c r="BM12" s="26">
        <v>1.68</v>
      </c>
      <c r="BN12" s="26">
        <v>0.2</v>
      </c>
      <c r="BO12" s="28"/>
      <c r="BP12" s="39">
        <f t="shared" si="26"/>
        <v>14.9</v>
      </c>
      <c r="BQ12" s="39">
        <f t="shared" si="27"/>
        <v>15.57</v>
      </c>
      <c r="BR12" s="11">
        <f t="shared" si="28"/>
        <v>51.67</v>
      </c>
      <c r="BS12" s="11">
        <f t="shared" si="29"/>
        <v>14</v>
      </c>
      <c r="BT12" s="11">
        <f t="shared" si="30"/>
        <v>15.56</v>
      </c>
      <c r="BU12" s="11">
        <f t="shared" si="31"/>
        <v>49.86</v>
      </c>
      <c r="BV12" s="11">
        <f t="shared" si="32"/>
        <v>51.67</v>
      </c>
      <c r="BW12" s="11">
        <f t="shared" si="33"/>
        <v>2</v>
      </c>
      <c r="BX12" s="11">
        <f t="shared" si="34"/>
        <v>1.68</v>
      </c>
      <c r="BY12" s="11">
        <f t="shared" si="35"/>
        <v>5.68</v>
      </c>
      <c r="BZ12" s="11">
        <f t="shared" si="36"/>
        <v>57.35</v>
      </c>
      <c r="CA12" s="22">
        <v>4.5999999999999996</v>
      </c>
      <c r="CB12" s="22">
        <v>2.9</v>
      </c>
      <c r="CC12" s="22">
        <v>5.2</v>
      </c>
      <c r="CD12" s="22">
        <v>5.0599999999999996</v>
      </c>
      <c r="CE12" s="22">
        <v>0</v>
      </c>
      <c r="CF12" s="22">
        <v>9.6999999999999993</v>
      </c>
      <c r="CG12" s="22">
        <v>6.4</v>
      </c>
      <c r="CH12" s="22">
        <v>10.6</v>
      </c>
      <c r="CI12" s="22">
        <v>11.69</v>
      </c>
      <c r="CJ12" s="22">
        <v>0</v>
      </c>
      <c r="CK12" s="22"/>
      <c r="CL12" s="22"/>
      <c r="CM12" s="22"/>
      <c r="CN12" s="22"/>
      <c r="CO12" s="22"/>
      <c r="CP12" s="27"/>
      <c r="CQ12" s="38">
        <f t="shared" si="37"/>
        <v>5.2</v>
      </c>
      <c r="CR12" s="38">
        <f t="shared" si="38"/>
        <v>5.0599999999999996</v>
      </c>
      <c r="CS12" s="40">
        <f t="shared" si="39"/>
        <v>17.759999999999998</v>
      </c>
      <c r="CT12" s="40">
        <f t="shared" si="40"/>
        <v>10.6</v>
      </c>
      <c r="CU12" s="40">
        <f t="shared" si="41"/>
        <v>11.69</v>
      </c>
      <c r="CV12" s="40">
        <f t="shared" si="42"/>
        <v>38.39</v>
      </c>
      <c r="CW12" s="40">
        <f t="shared" si="43"/>
        <v>38.39</v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>
        <f t="shared" si="47"/>
        <v>38.39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8.35</v>
      </c>
      <c r="SW12" s="22">
        <f t="shared" si="219"/>
        <v>6</v>
      </c>
      <c r="SX12" s="22">
        <f t="shared" si="220"/>
        <v>10.050000000000001</v>
      </c>
      <c r="SY12" s="22">
        <f t="shared" si="221"/>
        <v>10.315</v>
      </c>
      <c r="SZ12" s="22">
        <f t="shared" si="222"/>
        <v>0</v>
      </c>
      <c r="TA12" s="22">
        <f t="shared" si="223"/>
        <v>10.899999999999999</v>
      </c>
      <c r="TB12" s="22">
        <f t="shared" si="224"/>
        <v>7.55</v>
      </c>
      <c r="TC12" s="22">
        <f t="shared" si="225"/>
        <v>12.3</v>
      </c>
      <c r="TD12" s="22">
        <f t="shared" si="226"/>
        <v>13.625</v>
      </c>
      <c r="TE12" s="22">
        <f t="shared" si="227"/>
        <v>0.25</v>
      </c>
      <c r="TF12" s="22">
        <f t="shared" si="228"/>
        <v>0.6</v>
      </c>
      <c r="TG12" s="22">
        <f t="shared" si="229"/>
        <v>0.5</v>
      </c>
      <c r="TH12" s="22">
        <f t="shared" si="230"/>
        <v>1</v>
      </c>
      <c r="TI12" s="22">
        <f t="shared" si="231"/>
        <v>0.84</v>
      </c>
      <c r="TJ12" s="22">
        <f t="shared" si="232"/>
        <v>0.1</v>
      </c>
      <c r="TK12" s="27" t="s">
        <v>46</v>
      </c>
      <c r="TL12" s="40">
        <f t="shared" si="233"/>
        <v>10.050000000000001</v>
      </c>
      <c r="TM12" s="40">
        <f t="shared" si="234"/>
        <v>10.315</v>
      </c>
      <c r="TN12" s="40">
        <f t="shared" si="235"/>
        <v>34.714999999999996</v>
      </c>
      <c r="TO12" s="40">
        <f t="shared" si="236"/>
        <v>12.3</v>
      </c>
      <c r="TP12" s="40">
        <f t="shared" si="237"/>
        <v>13.625</v>
      </c>
      <c r="TQ12" s="40">
        <f t="shared" si="238"/>
        <v>44.125</v>
      </c>
      <c r="TR12" s="40">
        <f t="shared" si="239"/>
        <v>44.125</v>
      </c>
      <c r="TS12" s="40">
        <f t="shared" si="240"/>
        <v>1</v>
      </c>
      <c r="TT12" s="40">
        <f t="shared" si="241"/>
        <v>0.84</v>
      </c>
      <c r="TU12" s="40">
        <f t="shared" si="242"/>
        <v>2.84</v>
      </c>
      <c r="TV12" s="40">
        <f t="shared" si="243"/>
        <v>46.965000000000003</v>
      </c>
    </row>
    <row r="13" spans="1:542" x14ac:dyDescent="0.2">
      <c r="A13" s="4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>6</v>
      </c>
      <c r="B13" s="4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>4</v>
      </c>
      <c r="C13" s="5" t="s">
        <v>126</v>
      </c>
      <c r="D13" s="4" t="s">
        <v>6</v>
      </c>
      <c r="E13" s="4">
        <v>2005</v>
      </c>
      <c r="F13" s="9">
        <f t="shared" si="0"/>
        <v>174.57001723300544</v>
      </c>
      <c r="G13" s="64"/>
      <c r="H13" s="3" t="str">
        <f t="shared" si="1"/>
        <v/>
      </c>
      <c r="I13" s="3" t="str">
        <f t="shared" si="2"/>
        <v>P</v>
      </c>
      <c r="J13" s="36" t="str">
        <f t="shared" si="3"/>
        <v>No DD</v>
      </c>
      <c r="K13" s="3" t="str">
        <f t="shared" si="4"/>
        <v/>
      </c>
      <c r="L13" s="8">
        <f>IF(COUNT(AQ13,AT13,BR13,BU13,CS13,CV13)&gt;0,LARGE((AQ13,AT13,BR13,BU13,CS13,CV13),1),0)</f>
        <v>54.440000000000005</v>
      </c>
      <c r="M13" s="8" t="str">
        <f t="shared" si="5"/>
        <v>2025 Elite Canada</v>
      </c>
      <c r="N13" s="8">
        <f>IF(COUNT(AQ13,AT13,BR13,BU13,CS13,CV13)&gt;1,LARGE((AQ13,AT13,BR13,BU13,CS13,CV13),2),0)</f>
        <v>51.61</v>
      </c>
      <c r="O13" s="8" t="str">
        <f t="shared" si="6"/>
        <v>2025 Nationals</v>
      </c>
      <c r="P13" s="8">
        <f>IF(COUNT(AQ13,AT13,BR13,BU13,CS13,CV13)&gt;2,MAX(AX13,BY13,CZ13,LARGE((AQ13,AT13,BR13,BU13,CS13,CV13),3)),IF(MAX(AX13,BY13,CZ13)&gt;0,MAX(AX13,BY13,CZ13),0))</f>
        <v>52.28</v>
      </c>
      <c r="Q13" s="8" t="str">
        <f t="shared" si="7"/>
        <v>2025 Nationals</v>
      </c>
      <c r="R13" s="8">
        <f t="shared" si="8"/>
        <v>14</v>
      </c>
      <c r="S13" s="8" t="str">
        <f t="shared" si="9"/>
        <v>2025 Nationals</v>
      </c>
      <c r="T13" s="8">
        <f t="shared" si="10"/>
        <v>0</v>
      </c>
      <c r="U13" s="8" t="str">
        <f t="shared" si="11"/>
        <v/>
      </c>
      <c r="V13" s="8">
        <f t="shared" si="12"/>
        <v>2.2399999999999949</v>
      </c>
      <c r="W13" s="11" t="str">
        <f t="shared" si="13"/>
        <v>(Optional)</v>
      </c>
      <c r="X13" s="8" t="str">
        <f t="shared" si="14"/>
        <v>2025 WAGC (Nov 16)</v>
      </c>
      <c r="Y13" s="22">
        <v>12.5</v>
      </c>
      <c r="Z13" s="22">
        <v>9.4</v>
      </c>
      <c r="AA13" s="22">
        <v>13.4</v>
      </c>
      <c r="AB13" s="22">
        <v>15.26</v>
      </c>
      <c r="AC13" s="22">
        <v>0</v>
      </c>
      <c r="AD13" s="22">
        <v>15.4</v>
      </c>
      <c r="AE13" s="22">
        <v>9.6999999999999993</v>
      </c>
      <c r="AF13" s="22">
        <v>13.8</v>
      </c>
      <c r="AG13" s="22">
        <v>15.54</v>
      </c>
      <c r="AH13" s="22">
        <v>0</v>
      </c>
      <c r="AI13" s="22">
        <v>12.6</v>
      </c>
      <c r="AJ13" s="22">
        <v>7.8</v>
      </c>
      <c r="AK13" s="22">
        <v>12.3</v>
      </c>
      <c r="AL13" s="22">
        <v>13.72</v>
      </c>
      <c r="AM13" s="22">
        <v>0</v>
      </c>
      <c r="AN13" s="27"/>
      <c r="AO13" s="38">
        <f t="shared" si="15"/>
        <v>13.4</v>
      </c>
      <c r="AP13" s="38">
        <f t="shared" si="16"/>
        <v>15.26</v>
      </c>
      <c r="AQ13" s="40">
        <f t="shared" si="17"/>
        <v>50.559999999999995</v>
      </c>
      <c r="AR13" s="40">
        <f t="shared" si="18"/>
        <v>13.8</v>
      </c>
      <c r="AS13" s="40">
        <f t="shared" si="19"/>
        <v>15.54</v>
      </c>
      <c r="AT13" s="40">
        <f t="shared" si="20"/>
        <v>54.440000000000005</v>
      </c>
      <c r="AU13" s="40">
        <f t="shared" si="21"/>
        <v>54.440000000000005</v>
      </c>
      <c r="AV13" s="40">
        <f t="shared" si="22"/>
        <v>12.3</v>
      </c>
      <c r="AW13" s="40">
        <f t="shared" si="23"/>
        <v>13.72</v>
      </c>
      <c r="AX13" s="40">
        <f t="shared" si="24"/>
        <v>46.42</v>
      </c>
      <c r="AY13" s="40">
        <f t="shared" si="25"/>
        <v>100.86000000000001</v>
      </c>
      <c r="AZ13" s="26">
        <v>13.3</v>
      </c>
      <c r="BA13" s="26">
        <v>9</v>
      </c>
      <c r="BB13" s="26">
        <v>14</v>
      </c>
      <c r="BC13" s="26">
        <v>15.31</v>
      </c>
      <c r="BD13" s="26">
        <v>0</v>
      </c>
      <c r="BE13" s="26">
        <v>13.4</v>
      </c>
      <c r="BF13" s="26">
        <v>8.1999999999999993</v>
      </c>
      <c r="BG13" s="26">
        <v>10.3</v>
      </c>
      <c r="BH13" s="26">
        <v>13.58</v>
      </c>
      <c r="BI13" s="26">
        <v>0</v>
      </c>
      <c r="BJ13" s="26">
        <v>13.9</v>
      </c>
      <c r="BK13" s="26">
        <v>9.1999999999999993</v>
      </c>
      <c r="BL13" s="26">
        <v>14</v>
      </c>
      <c r="BM13" s="26">
        <v>15.18</v>
      </c>
      <c r="BN13" s="26">
        <v>0</v>
      </c>
      <c r="BO13" s="28"/>
      <c r="BP13" s="39">
        <f t="shared" si="26"/>
        <v>14</v>
      </c>
      <c r="BQ13" s="39">
        <f t="shared" si="27"/>
        <v>15.31</v>
      </c>
      <c r="BR13" s="11">
        <f t="shared" si="28"/>
        <v>51.61</v>
      </c>
      <c r="BS13" s="11">
        <f t="shared" si="29"/>
        <v>10.3</v>
      </c>
      <c r="BT13" s="11">
        <f t="shared" si="30"/>
        <v>13.58</v>
      </c>
      <c r="BU13" s="11">
        <f t="shared" si="31"/>
        <v>45.480000000000004</v>
      </c>
      <c r="BV13" s="11">
        <f t="shared" si="32"/>
        <v>51.61</v>
      </c>
      <c r="BW13" s="11">
        <f t="shared" si="33"/>
        <v>14</v>
      </c>
      <c r="BX13" s="11">
        <f t="shared" si="34"/>
        <v>15.18</v>
      </c>
      <c r="BY13" s="11">
        <f t="shared" si="35"/>
        <v>52.28</v>
      </c>
      <c r="BZ13" s="11">
        <f t="shared" si="36"/>
        <v>103.89</v>
      </c>
      <c r="CA13" s="22">
        <v>5.5</v>
      </c>
      <c r="CB13" s="22">
        <v>3.5</v>
      </c>
      <c r="CC13" s="22">
        <v>4.0999999999999996</v>
      </c>
      <c r="CD13" s="22">
        <v>6.61</v>
      </c>
      <c r="CE13" s="22">
        <v>0</v>
      </c>
      <c r="CF13" s="22">
        <v>2.8</v>
      </c>
      <c r="CG13" s="22">
        <v>1.8</v>
      </c>
      <c r="CH13" s="22">
        <v>3</v>
      </c>
      <c r="CI13" s="22">
        <v>3.46</v>
      </c>
      <c r="CJ13" s="22">
        <v>0.4</v>
      </c>
      <c r="CK13" s="22">
        <v>1.4</v>
      </c>
      <c r="CL13" s="22">
        <v>1</v>
      </c>
      <c r="CM13" s="22">
        <v>1.7</v>
      </c>
      <c r="CN13" s="22">
        <v>1.78</v>
      </c>
      <c r="CO13" s="22">
        <v>0</v>
      </c>
      <c r="CP13" s="27"/>
      <c r="CQ13" s="38">
        <f t="shared" si="37"/>
        <v>4.0999999999999996</v>
      </c>
      <c r="CR13" s="38">
        <f t="shared" si="38"/>
        <v>6.61</v>
      </c>
      <c r="CS13" s="40">
        <f t="shared" si="39"/>
        <v>19.71</v>
      </c>
      <c r="CT13" s="40">
        <f t="shared" si="40"/>
        <v>3</v>
      </c>
      <c r="CU13" s="40">
        <f t="shared" si="41"/>
        <v>3.46</v>
      </c>
      <c r="CV13" s="40">
        <f t="shared" si="42"/>
        <v>10.659999999999998</v>
      </c>
      <c r="CW13" s="40">
        <f t="shared" si="43"/>
        <v>19.71</v>
      </c>
      <c r="CX13" s="40">
        <f t="shared" si="44"/>
        <v>1.7</v>
      </c>
      <c r="CY13" s="40">
        <f t="shared" si="45"/>
        <v>1.78</v>
      </c>
      <c r="CZ13" s="40">
        <f t="shared" si="46"/>
        <v>5.88</v>
      </c>
      <c r="DA13" s="40">
        <f t="shared" si="47"/>
        <v>25.59</v>
      </c>
      <c r="DB13" s="50">
        <f t="shared" si="48"/>
        <v>2.2399999999999949</v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>
        <v>15.4</v>
      </c>
      <c r="MI13" s="18">
        <v>9.6</v>
      </c>
      <c r="MJ13" s="18">
        <v>2.6</v>
      </c>
      <c r="MK13" s="18">
        <v>15.73</v>
      </c>
      <c r="ML13" s="18">
        <v>0</v>
      </c>
      <c r="MM13" s="18">
        <v>15</v>
      </c>
      <c r="MN13" s="18">
        <v>9.3000000000000007</v>
      </c>
      <c r="MO13" s="18">
        <v>14</v>
      </c>
      <c r="MP13" s="18">
        <v>15.55</v>
      </c>
      <c r="MQ13" s="18">
        <v>0</v>
      </c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>
        <f t="shared" si="148"/>
        <v>2.6</v>
      </c>
      <c r="NC13" s="11">
        <f t="shared" si="149"/>
        <v>15.73</v>
      </c>
      <c r="ND13" s="11">
        <f t="shared" si="150"/>
        <v>43.33</v>
      </c>
      <c r="NE13" s="11">
        <f t="shared" si="151"/>
        <v>14</v>
      </c>
      <c r="NF13" s="11">
        <f t="shared" si="152"/>
        <v>15.55</v>
      </c>
      <c r="NG13" s="11">
        <f t="shared" si="153"/>
        <v>53.849999999999994</v>
      </c>
      <c r="NH13" s="11">
        <f t="shared" si="154"/>
        <v>53.849999999999994</v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>
        <f t="shared" si="161"/>
        <v>53.849999999999994</v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9.4</v>
      </c>
      <c r="SW13" s="22">
        <f t="shared" si="219"/>
        <v>6.25</v>
      </c>
      <c r="SX13" s="22">
        <f t="shared" si="220"/>
        <v>9.0500000000000007</v>
      </c>
      <c r="SY13" s="22">
        <f t="shared" si="221"/>
        <v>10.96</v>
      </c>
      <c r="SZ13" s="22">
        <f t="shared" si="222"/>
        <v>0</v>
      </c>
      <c r="TA13" s="22">
        <f t="shared" si="223"/>
        <v>8.1</v>
      </c>
      <c r="TB13" s="22">
        <f t="shared" si="224"/>
        <v>5</v>
      </c>
      <c r="TC13" s="22">
        <f t="shared" si="225"/>
        <v>6.65</v>
      </c>
      <c r="TD13" s="22">
        <f t="shared" si="226"/>
        <v>8.52</v>
      </c>
      <c r="TE13" s="22">
        <f t="shared" si="227"/>
        <v>0.2</v>
      </c>
      <c r="TF13" s="22">
        <f t="shared" si="228"/>
        <v>7.65</v>
      </c>
      <c r="TG13" s="22">
        <f t="shared" si="229"/>
        <v>5.0999999999999996</v>
      </c>
      <c r="TH13" s="22">
        <f t="shared" si="230"/>
        <v>7.85</v>
      </c>
      <c r="TI13" s="22">
        <f t="shared" si="231"/>
        <v>8.48</v>
      </c>
      <c r="TJ13" s="22">
        <f t="shared" si="232"/>
        <v>0</v>
      </c>
      <c r="TK13" s="27" t="s">
        <v>46</v>
      </c>
      <c r="TL13" s="40">
        <f t="shared" si="233"/>
        <v>9.0500000000000007</v>
      </c>
      <c r="TM13" s="40">
        <f t="shared" si="234"/>
        <v>10.96</v>
      </c>
      <c r="TN13" s="40">
        <f t="shared" si="235"/>
        <v>35.660000000000004</v>
      </c>
      <c r="TO13" s="40">
        <f t="shared" si="236"/>
        <v>6.65</v>
      </c>
      <c r="TP13" s="40">
        <f t="shared" si="237"/>
        <v>8.52</v>
      </c>
      <c r="TQ13" s="40">
        <f t="shared" si="238"/>
        <v>28.07</v>
      </c>
      <c r="TR13" s="40">
        <f t="shared" si="239"/>
        <v>35.660000000000004</v>
      </c>
      <c r="TS13" s="40">
        <f t="shared" si="240"/>
        <v>7.85</v>
      </c>
      <c r="TT13" s="40">
        <f t="shared" si="241"/>
        <v>8.48</v>
      </c>
      <c r="TU13" s="40">
        <f t="shared" si="242"/>
        <v>29.080000000000002</v>
      </c>
      <c r="TV13" s="40">
        <f t="shared" si="243"/>
        <v>64.740000000000009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189</v>
      </c>
      <c r="D14" s="4" t="s">
        <v>5</v>
      </c>
      <c r="E14" s="4">
        <v>2009</v>
      </c>
      <c r="F14" s="9">
        <f t="shared" si="0"/>
        <v>173.74001737400488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48.699999999999996</v>
      </c>
      <c r="M14" s="8" t="str">
        <f t="shared" si="5"/>
        <v>2025 Nationals</v>
      </c>
      <c r="N14" s="8">
        <f>IF(COUNT(AQ14,AT14,BR14,BU14,CS14,CV14)&gt;1,LARGE((AQ14,AT14,BR14,BU14,CS14,CV14),2),0)</f>
        <v>48.42</v>
      </c>
      <c r="O14" s="8" t="str">
        <f t="shared" si="6"/>
        <v>2025 Elite Canada</v>
      </c>
      <c r="P14" s="8">
        <f>IF(COUNT(AQ14,AT14,BR14,BU14,CS14,CV14)&gt;2,MAX(AX14,BY14,CZ14,LARGE((AQ14,AT14,BR14,BU14,CS14,CV14),3)),IF(MAX(AX14,BY14,CZ14)&gt;0,MAX(AX14,BY14,CZ14),0))</f>
        <v>48.25</v>
      </c>
      <c r="Q14" s="8" t="str">
        <f t="shared" si="7"/>
        <v>2025 3rd Domestic Trial</v>
      </c>
      <c r="R14" s="8">
        <f t="shared" si="8"/>
        <v>12.5</v>
      </c>
      <c r="S14" s="8" t="str">
        <f t="shared" si="9"/>
        <v>2025 3rd Domestic Trial</v>
      </c>
      <c r="T14" s="8">
        <f t="shared" si="10"/>
        <v>15.87</v>
      </c>
      <c r="U14" s="8" t="str">
        <f t="shared" si="11"/>
        <v>2025 WAGC (Nov 16)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15.8</v>
      </c>
      <c r="Z14" s="22">
        <v>9.4</v>
      </c>
      <c r="AA14" s="22">
        <v>0</v>
      </c>
      <c r="AB14" s="22">
        <v>14.76</v>
      </c>
      <c r="AC14" s="22">
        <v>0</v>
      </c>
      <c r="AD14" s="22">
        <v>13.4</v>
      </c>
      <c r="AE14" s="22">
        <v>9.1999999999999993</v>
      </c>
      <c r="AF14" s="22">
        <v>11</v>
      </c>
      <c r="AG14" s="22">
        <v>14.82</v>
      </c>
      <c r="AH14" s="22">
        <v>0</v>
      </c>
      <c r="AI14" s="22">
        <v>5</v>
      </c>
      <c r="AJ14" s="22">
        <v>3.5</v>
      </c>
      <c r="AK14" s="22">
        <v>4.8</v>
      </c>
      <c r="AL14" s="22">
        <v>6.44</v>
      </c>
      <c r="AM14" s="22">
        <v>0</v>
      </c>
      <c r="AN14" s="27"/>
      <c r="AO14" s="38" t="str">
        <f t="shared" si="15"/>
        <v/>
      </c>
      <c r="AP14" s="38">
        <f t="shared" si="16"/>
        <v>14.76</v>
      </c>
      <c r="AQ14" s="40">
        <f t="shared" si="17"/>
        <v>39.96</v>
      </c>
      <c r="AR14" s="40">
        <f t="shared" si="18"/>
        <v>11</v>
      </c>
      <c r="AS14" s="40">
        <f t="shared" si="19"/>
        <v>14.82</v>
      </c>
      <c r="AT14" s="40">
        <f t="shared" si="20"/>
        <v>48.42</v>
      </c>
      <c r="AU14" s="40">
        <f t="shared" si="21"/>
        <v>48.42</v>
      </c>
      <c r="AV14" s="40">
        <f t="shared" si="22"/>
        <v>4.8</v>
      </c>
      <c r="AW14" s="40">
        <f t="shared" si="23"/>
        <v>6.44</v>
      </c>
      <c r="AX14" s="40">
        <f t="shared" si="24"/>
        <v>19.740000000000002</v>
      </c>
      <c r="AY14" s="40">
        <f t="shared" si="25"/>
        <v>68.16</v>
      </c>
      <c r="AZ14" s="26">
        <v>17</v>
      </c>
      <c r="BA14" s="26">
        <v>9.5</v>
      </c>
      <c r="BB14" s="26">
        <v>0</v>
      </c>
      <c r="BC14" s="26">
        <v>15.02</v>
      </c>
      <c r="BD14" s="26">
        <v>0</v>
      </c>
      <c r="BE14" s="26">
        <v>13</v>
      </c>
      <c r="BF14" s="26">
        <v>9.1</v>
      </c>
      <c r="BG14" s="26">
        <v>11.2</v>
      </c>
      <c r="BH14" s="26">
        <v>15.4</v>
      </c>
      <c r="BI14" s="26">
        <v>0</v>
      </c>
      <c r="BJ14" s="26">
        <v>1.6</v>
      </c>
      <c r="BK14" s="26">
        <v>1</v>
      </c>
      <c r="BL14" s="26">
        <v>1.7</v>
      </c>
      <c r="BM14" s="26">
        <v>1.69</v>
      </c>
      <c r="BN14" s="26">
        <v>0</v>
      </c>
      <c r="BO14" s="28"/>
      <c r="BP14" s="39" t="str">
        <f t="shared" si="26"/>
        <v/>
      </c>
      <c r="BQ14" s="39">
        <f t="shared" si="27"/>
        <v>15.02</v>
      </c>
      <c r="BR14" s="11">
        <f t="shared" si="28"/>
        <v>41.519999999999996</v>
      </c>
      <c r="BS14" s="11">
        <f t="shared" si="29"/>
        <v>11.2</v>
      </c>
      <c r="BT14" s="11">
        <f t="shared" si="30"/>
        <v>15.4</v>
      </c>
      <c r="BU14" s="11">
        <f t="shared" si="31"/>
        <v>48.699999999999996</v>
      </c>
      <c r="BV14" s="11">
        <f t="shared" si="32"/>
        <v>48.699999999999996</v>
      </c>
      <c r="BW14" s="11">
        <f t="shared" si="33"/>
        <v>1.7</v>
      </c>
      <c r="BX14" s="11">
        <f t="shared" si="34"/>
        <v>1.69</v>
      </c>
      <c r="BY14" s="11">
        <f t="shared" si="35"/>
        <v>5.99</v>
      </c>
      <c r="BZ14" s="11">
        <f t="shared" si="36"/>
        <v>54.69</v>
      </c>
      <c r="CA14" s="22">
        <v>16.8</v>
      </c>
      <c r="CB14" s="22">
        <v>8.9</v>
      </c>
      <c r="CC14" s="22">
        <v>0</v>
      </c>
      <c r="CD14" s="22">
        <v>15.27</v>
      </c>
      <c r="CE14" s="22">
        <v>0</v>
      </c>
      <c r="CF14" s="22">
        <v>12.7</v>
      </c>
      <c r="CG14" s="22">
        <v>8.3000000000000007</v>
      </c>
      <c r="CH14" s="22">
        <v>12.5</v>
      </c>
      <c r="CI14" s="22">
        <v>14.75</v>
      </c>
      <c r="CJ14" s="22">
        <v>0</v>
      </c>
      <c r="CK14" s="22">
        <v>9.3000000000000007</v>
      </c>
      <c r="CL14" s="22">
        <v>5.6</v>
      </c>
      <c r="CM14" s="22">
        <v>8.8000000000000007</v>
      </c>
      <c r="CN14" s="22">
        <v>11.37</v>
      </c>
      <c r="CO14" s="22">
        <v>0</v>
      </c>
      <c r="CP14" s="27"/>
      <c r="CQ14" s="38" t="str">
        <f t="shared" si="37"/>
        <v/>
      </c>
      <c r="CR14" s="38">
        <f t="shared" si="38"/>
        <v>15.27</v>
      </c>
      <c r="CS14" s="40">
        <f t="shared" si="39"/>
        <v>40.97</v>
      </c>
      <c r="CT14" s="40">
        <f t="shared" si="40"/>
        <v>12.5</v>
      </c>
      <c r="CU14" s="40">
        <f t="shared" si="41"/>
        <v>14.75</v>
      </c>
      <c r="CV14" s="40">
        <f t="shared" si="42"/>
        <v>48.25</v>
      </c>
      <c r="CW14" s="40">
        <f t="shared" si="43"/>
        <v>48.25</v>
      </c>
      <c r="CX14" s="40">
        <f t="shared" si="44"/>
        <v>8.8000000000000007</v>
      </c>
      <c r="CY14" s="40">
        <f t="shared" si="45"/>
        <v>11.37</v>
      </c>
      <c r="CZ14" s="40">
        <f t="shared" si="46"/>
        <v>35.07</v>
      </c>
      <c r="DA14" s="40">
        <f t="shared" si="47"/>
        <v>83.32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>
        <v>15.6</v>
      </c>
      <c r="MI14" s="18">
        <v>9</v>
      </c>
      <c r="MJ14" s="18">
        <v>0</v>
      </c>
      <c r="MK14" s="18">
        <v>15.87</v>
      </c>
      <c r="ML14" s="18">
        <v>0</v>
      </c>
      <c r="MM14" s="18">
        <v>12.2</v>
      </c>
      <c r="MN14" s="18">
        <v>8.9</v>
      </c>
      <c r="MO14" s="18">
        <v>9.3000000000000007</v>
      </c>
      <c r="MP14" s="18">
        <v>15.4</v>
      </c>
      <c r="MQ14" s="18">
        <v>0.2</v>
      </c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>
        <f t="shared" si="149"/>
        <v>15.87</v>
      </c>
      <c r="ND14" s="11">
        <f t="shared" si="150"/>
        <v>40.47</v>
      </c>
      <c r="NE14" s="11">
        <f t="shared" si="151"/>
        <v>9.3000000000000007</v>
      </c>
      <c r="NF14" s="11">
        <f t="shared" si="152"/>
        <v>15.4</v>
      </c>
      <c r="NG14" s="11">
        <f t="shared" si="153"/>
        <v>45.6</v>
      </c>
      <c r="NH14" s="11">
        <f t="shared" si="154"/>
        <v>45.6</v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>
        <f t="shared" si="161"/>
        <v>45.6</v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16.899999999999999</v>
      </c>
      <c r="SW14" s="22">
        <f t="shared" si="219"/>
        <v>9.1999999999999993</v>
      </c>
      <c r="SX14" s="22">
        <f t="shared" si="220"/>
        <v>0</v>
      </c>
      <c r="SY14" s="22">
        <f t="shared" si="221"/>
        <v>15.145</v>
      </c>
      <c r="SZ14" s="22">
        <f t="shared" si="222"/>
        <v>0</v>
      </c>
      <c r="TA14" s="22">
        <f t="shared" si="223"/>
        <v>12.85</v>
      </c>
      <c r="TB14" s="22">
        <f t="shared" si="224"/>
        <v>8.6999999999999993</v>
      </c>
      <c r="TC14" s="22">
        <f t="shared" si="225"/>
        <v>11.85</v>
      </c>
      <c r="TD14" s="22">
        <f t="shared" si="226"/>
        <v>15.074999999999999</v>
      </c>
      <c r="TE14" s="22">
        <f t="shared" si="227"/>
        <v>0</v>
      </c>
      <c r="TF14" s="22">
        <f t="shared" si="228"/>
        <v>5.45</v>
      </c>
      <c r="TG14" s="22">
        <f t="shared" si="229"/>
        <v>3.3</v>
      </c>
      <c r="TH14" s="22">
        <f t="shared" si="230"/>
        <v>5.25</v>
      </c>
      <c r="TI14" s="22">
        <f t="shared" si="231"/>
        <v>6.5299999999999994</v>
      </c>
      <c r="TJ14" s="22">
        <f t="shared" si="232"/>
        <v>0</v>
      </c>
      <c r="TK14" s="27" t="s">
        <v>46</v>
      </c>
      <c r="TL14" s="40" t="str">
        <f t="shared" si="233"/>
        <v/>
      </c>
      <c r="TM14" s="40">
        <f t="shared" si="234"/>
        <v>15.145</v>
      </c>
      <c r="TN14" s="40">
        <f t="shared" si="235"/>
        <v>41.244999999999997</v>
      </c>
      <c r="TO14" s="40">
        <f t="shared" si="236"/>
        <v>11.85</v>
      </c>
      <c r="TP14" s="40">
        <f t="shared" si="237"/>
        <v>15.074999999999999</v>
      </c>
      <c r="TQ14" s="40">
        <f t="shared" si="238"/>
        <v>48.474999999999994</v>
      </c>
      <c r="TR14" s="40">
        <f t="shared" si="239"/>
        <v>48.474999999999994</v>
      </c>
      <c r="TS14" s="40">
        <f t="shared" si="240"/>
        <v>5.25</v>
      </c>
      <c r="TT14" s="40">
        <f t="shared" si="241"/>
        <v>6.5299999999999994</v>
      </c>
      <c r="TU14" s="40">
        <f t="shared" si="242"/>
        <v>20.53</v>
      </c>
      <c r="TV14" s="40">
        <f t="shared" si="243"/>
        <v>69.004999999999995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104</v>
      </c>
      <c r="D15" s="4" t="s">
        <v>6</v>
      </c>
      <c r="E15" s="4">
        <v>2006</v>
      </c>
      <c r="F15" s="9">
        <f t="shared" si="0"/>
        <v>173.47001564500499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50.3</v>
      </c>
      <c r="M15" s="8" t="str">
        <f t="shared" si="5"/>
        <v>2025 Nationals</v>
      </c>
      <c r="N15" s="8">
        <f>IF(COUNT(AQ15,AT15,BR15,BU15,CS15,CV15)&gt;1,LARGE((AQ15,AT15,BR15,BU15,CS15,CV15),2),0)</f>
        <v>40.43</v>
      </c>
      <c r="O15" s="8" t="str">
        <f t="shared" si="6"/>
        <v>2025 Nationals</v>
      </c>
      <c r="P15" s="8">
        <f>IF(COUNT(AQ15,AT15,BR15,BU15,CS15,CV15)&gt;2,MAX(AX15,BY15,CZ15,LARGE((AQ15,AT15,BR15,BU15,CS15,CV15),3)),IF(MAX(AX15,BY15,CZ15)&gt;0,MAX(AX15,BY15,CZ15),0))</f>
        <v>35.85</v>
      </c>
      <c r="Q15" s="8" t="str">
        <f t="shared" si="7"/>
        <v>2025 Elite Canada</v>
      </c>
      <c r="R15" s="8">
        <f t="shared" si="8"/>
        <v>14.8</v>
      </c>
      <c r="S15" s="8" t="str">
        <f t="shared" si="9"/>
        <v>2025 World Cup ITA (April 5)</v>
      </c>
      <c r="T15" s="8">
        <f t="shared" si="10"/>
        <v>15.07</v>
      </c>
      <c r="U15" s="8" t="str">
        <f t="shared" si="11"/>
        <v>2025 World Cup ITA (April 5)</v>
      </c>
      <c r="V15" s="8">
        <f t="shared" si="12"/>
        <v>17.019999999999996</v>
      </c>
      <c r="W15" s="11" t="str">
        <f t="shared" si="13"/>
        <v>(Optional)</v>
      </c>
      <c r="X15" s="8" t="str">
        <f t="shared" si="14"/>
        <v>2025 World Cup ITA (April 5)</v>
      </c>
      <c r="Y15" s="22">
        <v>1.6</v>
      </c>
      <c r="Z15" s="22">
        <v>1</v>
      </c>
      <c r="AA15" s="22">
        <v>2</v>
      </c>
      <c r="AB15" s="22">
        <v>1.72</v>
      </c>
      <c r="AC15" s="22">
        <v>0</v>
      </c>
      <c r="AD15" s="22">
        <v>9.8000000000000007</v>
      </c>
      <c r="AE15" s="22">
        <v>5.9</v>
      </c>
      <c r="AF15" s="22">
        <v>9</v>
      </c>
      <c r="AG15" s="22">
        <v>11.15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5"/>
        <v>2</v>
      </c>
      <c r="AP15" s="38">
        <f t="shared" si="16"/>
        <v>1.72</v>
      </c>
      <c r="AQ15" s="40">
        <f t="shared" si="17"/>
        <v>6.3199999999999994</v>
      </c>
      <c r="AR15" s="40">
        <f t="shared" si="18"/>
        <v>9</v>
      </c>
      <c r="AS15" s="40">
        <f t="shared" si="19"/>
        <v>11.15</v>
      </c>
      <c r="AT15" s="40">
        <f t="shared" si="20"/>
        <v>35.85</v>
      </c>
      <c r="AU15" s="40">
        <f t="shared" si="21"/>
        <v>35.85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35.85</v>
      </c>
      <c r="AZ15" s="26">
        <v>12</v>
      </c>
      <c r="BA15" s="26">
        <v>6.3</v>
      </c>
      <c r="BB15" s="26">
        <v>11</v>
      </c>
      <c r="BC15" s="26">
        <v>11.13</v>
      </c>
      <c r="BD15" s="26">
        <v>0</v>
      </c>
      <c r="BE15" s="26">
        <v>14.7</v>
      </c>
      <c r="BF15" s="26">
        <v>7.6</v>
      </c>
      <c r="BG15" s="26">
        <v>13.8</v>
      </c>
      <c r="BH15" s="26">
        <v>14.2</v>
      </c>
      <c r="BI15" s="26">
        <v>0</v>
      </c>
      <c r="BJ15" s="26"/>
      <c r="BK15" s="26"/>
      <c r="BL15" s="26"/>
      <c r="BM15" s="26"/>
      <c r="BN15" s="26"/>
      <c r="BO15" s="28"/>
      <c r="BP15" s="39">
        <f t="shared" si="26"/>
        <v>11</v>
      </c>
      <c r="BQ15" s="39">
        <f t="shared" si="27"/>
        <v>11.13</v>
      </c>
      <c r="BR15" s="11">
        <f t="shared" si="28"/>
        <v>40.43</v>
      </c>
      <c r="BS15" s="11">
        <f t="shared" si="29"/>
        <v>13.8</v>
      </c>
      <c r="BT15" s="11">
        <f t="shared" si="30"/>
        <v>14.2</v>
      </c>
      <c r="BU15" s="11">
        <f t="shared" si="31"/>
        <v>50.3</v>
      </c>
      <c r="BV15" s="11">
        <f t="shared" si="32"/>
        <v>50.3</v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>
        <f t="shared" si="36"/>
        <v>50.3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>
        <f t="shared" si="48"/>
        <v>17.019999999999996</v>
      </c>
      <c r="DC15" s="50" t="str">
        <f t="shared" si="49"/>
        <v/>
      </c>
      <c r="DD15" s="17">
        <v>14.3</v>
      </c>
      <c r="DE15" s="17">
        <v>8.6999999999999993</v>
      </c>
      <c r="DF15" s="17">
        <v>14.8</v>
      </c>
      <c r="DG15" s="17">
        <v>15.07</v>
      </c>
      <c r="DH15" s="17">
        <v>0</v>
      </c>
      <c r="DI15" s="17">
        <v>13.8</v>
      </c>
      <c r="DJ15" s="17">
        <v>8.6999999999999993</v>
      </c>
      <c r="DK15" s="17">
        <v>14.4</v>
      </c>
      <c r="DL15" s="17">
        <v>15.35</v>
      </c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>
        <f t="shared" si="50"/>
        <v>14.8</v>
      </c>
      <c r="DY15" s="40">
        <f t="shared" si="51"/>
        <v>15.07</v>
      </c>
      <c r="DZ15" s="40">
        <f t="shared" si="52"/>
        <v>52.87</v>
      </c>
      <c r="EA15" s="40">
        <f t="shared" si="53"/>
        <v>14.4</v>
      </c>
      <c r="EB15" s="40">
        <f t="shared" si="54"/>
        <v>15.35</v>
      </c>
      <c r="EC15" s="40">
        <f t="shared" si="55"/>
        <v>52.25</v>
      </c>
      <c r="ED15" s="40">
        <f t="shared" si="56"/>
        <v>52.87</v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>
        <f t="shared" si="63"/>
        <v>52.87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6</v>
      </c>
      <c r="SW15" s="22">
        <f t="shared" si="219"/>
        <v>3.15</v>
      </c>
      <c r="SX15" s="22">
        <f t="shared" si="220"/>
        <v>5.5</v>
      </c>
      <c r="SY15" s="22">
        <f t="shared" si="221"/>
        <v>5.5650000000000004</v>
      </c>
      <c r="SZ15" s="22">
        <f t="shared" si="222"/>
        <v>0</v>
      </c>
      <c r="TA15" s="22">
        <f t="shared" si="223"/>
        <v>7.35</v>
      </c>
      <c r="TB15" s="22">
        <f t="shared" si="224"/>
        <v>3.8</v>
      </c>
      <c r="TC15" s="22">
        <f t="shared" si="225"/>
        <v>6.9</v>
      </c>
      <c r="TD15" s="22">
        <f t="shared" si="226"/>
        <v>7.1</v>
      </c>
      <c r="TE15" s="22">
        <f t="shared" si="227"/>
        <v>0</v>
      </c>
      <c r="TF15" s="22">
        <f t="shared" si="228"/>
        <v>0</v>
      </c>
      <c r="TG15" s="22">
        <f t="shared" si="229"/>
        <v>0</v>
      </c>
      <c r="TH15" s="22">
        <f t="shared" si="230"/>
        <v>0</v>
      </c>
      <c r="TI15" s="22">
        <f t="shared" si="231"/>
        <v>0</v>
      </c>
      <c r="TJ15" s="22">
        <f t="shared" si="232"/>
        <v>0</v>
      </c>
      <c r="TK15" s="27" t="s">
        <v>46</v>
      </c>
      <c r="TL15" s="40">
        <f t="shared" si="233"/>
        <v>5.5</v>
      </c>
      <c r="TM15" s="40">
        <f t="shared" si="234"/>
        <v>5.5650000000000004</v>
      </c>
      <c r="TN15" s="40">
        <f t="shared" si="235"/>
        <v>20.215</v>
      </c>
      <c r="TO15" s="40">
        <f t="shared" si="236"/>
        <v>6.9</v>
      </c>
      <c r="TP15" s="40">
        <f t="shared" si="237"/>
        <v>7.1</v>
      </c>
      <c r="TQ15" s="40">
        <f t="shared" si="238"/>
        <v>25.15</v>
      </c>
      <c r="TR15" s="40">
        <f t="shared" si="239"/>
        <v>25.15</v>
      </c>
      <c r="TS15" s="40" t="str">
        <f t="shared" si="240"/>
        <v/>
      </c>
      <c r="TT15" s="40" t="str">
        <f t="shared" si="241"/>
        <v/>
      </c>
      <c r="TU15" s="40" t="str">
        <f t="shared" si="242"/>
        <v/>
      </c>
      <c r="TV15" s="40">
        <f t="shared" si="243"/>
        <v>25.15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89</v>
      </c>
      <c r="D16" s="4" t="s">
        <v>3</v>
      </c>
      <c r="E16" s="4">
        <v>2005</v>
      </c>
      <c r="F16" s="9">
        <f t="shared" si="0"/>
        <v>169.17001674400512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51.749999999999993</v>
      </c>
      <c r="M16" s="8" t="str">
        <f t="shared" si="5"/>
        <v>2025 Elite Canada</v>
      </c>
      <c r="N16" s="8">
        <f>IF(COUNT(AQ16,AT16,BR16,BU16,CS16,CV16)&gt;1,LARGE((AQ16,AT16,BR16,BU16,CS16,CV16),2),0)</f>
        <v>51.01</v>
      </c>
      <c r="O16" s="8" t="str">
        <f t="shared" si="6"/>
        <v>2025 Nationals</v>
      </c>
      <c r="P16" s="8">
        <f>IF(COUNT(AQ16,AT16,BR16,BU16,CS16,CV16)&gt;2,MAX(AX16,BY16,CZ16,LARGE((AQ16,AT16,BR16,BU16,CS16,CV16),3)),IF(MAX(AX16,BY16,CZ16)&gt;0,MAX(AX16,BY16,CZ16),0))</f>
        <v>50.58</v>
      </c>
      <c r="Q16" s="8" t="str">
        <f t="shared" si="7"/>
        <v>2025 Nationals</v>
      </c>
      <c r="R16" s="8">
        <f t="shared" si="8"/>
        <v>14.1</v>
      </c>
      <c r="S16" s="8" t="str">
        <f t="shared" si="9"/>
        <v>2025 Nationals</v>
      </c>
      <c r="T16" s="8">
        <f t="shared" si="10"/>
        <v>0</v>
      </c>
      <c r="U16" s="8" t="str">
        <f t="shared" si="11"/>
        <v/>
      </c>
      <c r="V16" s="8">
        <f t="shared" si="12"/>
        <v>1.730000000000004</v>
      </c>
      <c r="W16" s="11" t="str">
        <f t="shared" si="13"/>
        <v>(Optional)</v>
      </c>
      <c r="X16" s="8" t="str">
        <f t="shared" si="14"/>
        <v>2025 Coimbra Gym Fest (July 6)</v>
      </c>
      <c r="Y16" s="22">
        <v>13.1</v>
      </c>
      <c r="Z16" s="22">
        <v>9</v>
      </c>
      <c r="AA16" s="22">
        <v>12.5</v>
      </c>
      <c r="AB16" s="22">
        <v>15.37</v>
      </c>
      <c r="AC16" s="22">
        <v>2.4</v>
      </c>
      <c r="AD16" s="22">
        <v>14</v>
      </c>
      <c r="AE16" s="22">
        <v>8.9</v>
      </c>
      <c r="AF16" s="22">
        <v>13.9</v>
      </c>
      <c r="AG16" s="22">
        <v>15.55</v>
      </c>
      <c r="AH16" s="22">
        <v>0.6</v>
      </c>
      <c r="AI16" s="22">
        <v>1.6</v>
      </c>
      <c r="AJ16" s="22">
        <v>1</v>
      </c>
      <c r="AK16" s="22">
        <v>2</v>
      </c>
      <c r="AL16" s="22">
        <v>1.72</v>
      </c>
      <c r="AM16" s="22">
        <v>0</v>
      </c>
      <c r="AN16" s="27"/>
      <c r="AO16" s="38">
        <f t="shared" si="15"/>
        <v>12.5</v>
      </c>
      <c r="AP16" s="38">
        <f t="shared" si="16"/>
        <v>15.37</v>
      </c>
      <c r="AQ16" s="40">
        <f t="shared" si="17"/>
        <v>47.57</v>
      </c>
      <c r="AR16" s="40">
        <f t="shared" si="18"/>
        <v>13.9</v>
      </c>
      <c r="AS16" s="40">
        <f t="shared" si="19"/>
        <v>15.55</v>
      </c>
      <c r="AT16" s="40">
        <f t="shared" si="20"/>
        <v>51.749999999999993</v>
      </c>
      <c r="AU16" s="40">
        <f t="shared" si="21"/>
        <v>51.749999999999993</v>
      </c>
      <c r="AV16" s="40">
        <f t="shared" si="22"/>
        <v>2</v>
      </c>
      <c r="AW16" s="40">
        <f t="shared" si="23"/>
        <v>1.72</v>
      </c>
      <c r="AX16" s="40">
        <f t="shared" si="24"/>
        <v>6.3199999999999994</v>
      </c>
      <c r="AY16" s="40">
        <f t="shared" si="25"/>
        <v>58.069999999999993</v>
      </c>
      <c r="AZ16" s="26">
        <v>12.8</v>
      </c>
      <c r="BA16" s="26">
        <v>9.1</v>
      </c>
      <c r="BB16" s="26">
        <v>14.1</v>
      </c>
      <c r="BC16" s="26">
        <v>15.41</v>
      </c>
      <c r="BD16" s="26">
        <v>0.4</v>
      </c>
      <c r="BE16" s="26">
        <v>12.3</v>
      </c>
      <c r="BF16" s="26">
        <v>9.5</v>
      </c>
      <c r="BG16" s="26">
        <v>11.1</v>
      </c>
      <c r="BH16" s="26">
        <v>15.73</v>
      </c>
      <c r="BI16" s="26">
        <v>3.4</v>
      </c>
      <c r="BJ16" s="26">
        <v>14.3</v>
      </c>
      <c r="BK16" s="26">
        <v>9</v>
      </c>
      <c r="BL16" s="26">
        <v>13.1</v>
      </c>
      <c r="BM16" s="26">
        <v>15.58</v>
      </c>
      <c r="BN16" s="26">
        <v>1.4</v>
      </c>
      <c r="BO16" s="28"/>
      <c r="BP16" s="39">
        <f t="shared" si="26"/>
        <v>14.1</v>
      </c>
      <c r="BQ16" s="39">
        <f t="shared" si="27"/>
        <v>15.41</v>
      </c>
      <c r="BR16" s="11">
        <f t="shared" si="28"/>
        <v>51.01</v>
      </c>
      <c r="BS16" s="11">
        <f t="shared" si="29"/>
        <v>11.1</v>
      </c>
      <c r="BT16" s="11">
        <f t="shared" si="30"/>
        <v>15.73</v>
      </c>
      <c r="BU16" s="11">
        <f t="shared" si="31"/>
        <v>45.23</v>
      </c>
      <c r="BV16" s="11">
        <f t="shared" si="32"/>
        <v>51.01</v>
      </c>
      <c r="BW16" s="11">
        <f t="shared" si="33"/>
        <v>13.1</v>
      </c>
      <c r="BX16" s="11">
        <f t="shared" si="34"/>
        <v>15.58</v>
      </c>
      <c r="BY16" s="11">
        <f t="shared" si="35"/>
        <v>50.58</v>
      </c>
      <c r="BZ16" s="11">
        <f t="shared" si="36"/>
        <v>101.59</v>
      </c>
      <c r="CA16" s="22">
        <v>12</v>
      </c>
      <c r="CB16" s="22">
        <v>9.4</v>
      </c>
      <c r="CC16" s="22">
        <v>11.7</v>
      </c>
      <c r="CD16" s="22">
        <v>16.170000000000002</v>
      </c>
      <c r="CE16" s="22">
        <v>4</v>
      </c>
      <c r="CF16" s="22">
        <v>5.6</v>
      </c>
      <c r="CG16" s="22">
        <v>3.8</v>
      </c>
      <c r="CH16" s="22">
        <v>6.3</v>
      </c>
      <c r="CI16" s="22">
        <v>6.78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11.7</v>
      </c>
      <c r="CR16" s="38">
        <f t="shared" si="38"/>
        <v>16.170000000000002</v>
      </c>
      <c r="CS16" s="40">
        <f t="shared" si="39"/>
        <v>45.269999999999996</v>
      </c>
      <c r="CT16" s="40">
        <f t="shared" si="40"/>
        <v>6.3</v>
      </c>
      <c r="CU16" s="40">
        <f t="shared" si="41"/>
        <v>6.78</v>
      </c>
      <c r="CV16" s="40">
        <f t="shared" si="42"/>
        <v>22.48</v>
      </c>
      <c r="CW16" s="40">
        <f t="shared" si="43"/>
        <v>45.269999999999996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45.269999999999996</v>
      </c>
      <c r="DB16" s="50">
        <f t="shared" si="48"/>
        <v>1.730000000000004</v>
      </c>
      <c r="DC16" s="50">
        <f t="shared" si="49"/>
        <v>1.6299999999999955</v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>
        <v>14</v>
      </c>
      <c r="FU16" s="17">
        <v>9.5</v>
      </c>
      <c r="FV16" s="17">
        <v>12.9</v>
      </c>
      <c r="FW16" s="17">
        <v>15.91</v>
      </c>
      <c r="FX16" s="17">
        <v>0</v>
      </c>
      <c r="FY16" s="17">
        <v>12.7</v>
      </c>
      <c r="FZ16" s="17">
        <v>9.4</v>
      </c>
      <c r="GA16" s="17">
        <v>12.9</v>
      </c>
      <c r="GB16" s="17">
        <v>15.75</v>
      </c>
      <c r="GC16" s="17">
        <v>0</v>
      </c>
      <c r="GD16" s="17">
        <v>13.6</v>
      </c>
      <c r="GE16" s="17">
        <v>9.6999999999999993</v>
      </c>
      <c r="GF16" s="17">
        <v>12.9</v>
      </c>
      <c r="GG16" s="17">
        <v>16.010000000000002</v>
      </c>
      <c r="GH16" s="17">
        <v>0</v>
      </c>
      <c r="GI16" s="17"/>
      <c r="GJ16" s="17"/>
      <c r="GK16" s="17"/>
      <c r="GL16" s="17"/>
      <c r="GM16" s="17"/>
      <c r="GN16" s="40">
        <f t="shared" si="78"/>
        <v>12.9</v>
      </c>
      <c r="GO16" s="40">
        <f t="shared" si="79"/>
        <v>15.91</v>
      </c>
      <c r="GP16" s="40">
        <f t="shared" si="80"/>
        <v>52.31</v>
      </c>
      <c r="GQ16" s="40">
        <f t="shared" si="81"/>
        <v>12.9</v>
      </c>
      <c r="GR16" s="40">
        <f t="shared" si="82"/>
        <v>15.75</v>
      </c>
      <c r="GS16" s="40">
        <f t="shared" si="83"/>
        <v>50.75</v>
      </c>
      <c r="GT16" s="40">
        <f t="shared" si="84"/>
        <v>52.31</v>
      </c>
      <c r="GU16" s="40">
        <f t="shared" si="85"/>
        <v>12.9</v>
      </c>
      <c r="GV16" s="40">
        <f t="shared" si="86"/>
        <v>16.010000000000002</v>
      </c>
      <c r="GW16" s="40">
        <f t="shared" si="87"/>
        <v>52.209999999999994</v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>
        <f t="shared" si="91"/>
        <v>104.52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>
        <v>15.1</v>
      </c>
      <c r="MI16" s="18">
        <v>9.4</v>
      </c>
      <c r="MJ16" s="18">
        <v>3.3</v>
      </c>
      <c r="MK16" s="18">
        <v>16.18</v>
      </c>
      <c r="ML16" s="18">
        <v>0</v>
      </c>
      <c r="MM16" s="18">
        <v>2.8</v>
      </c>
      <c r="MN16" s="18">
        <v>1.8</v>
      </c>
      <c r="MO16" s="18">
        <v>3.3</v>
      </c>
      <c r="MP16" s="18">
        <v>3.38</v>
      </c>
      <c r="MQ16" s="18">
        <v>0</v>
      </c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>
        <f t="shared" si="148"/>
        <v>3.3</v>
      </c>
      <c r="NC16" s="11">
        <f t="shared" si="149"/>
        <v>16.18</v>
      </c>
      <c r="ND16" s="11">
        <f t="shared" si="150"/>
        <v>43.980000000000004</v>
      </c>
      <c r="NE16" s="11">
        <f t="shared" si="151"/>
        <v>3.3</v>
      </c>
      <c r="NF16" s="11">
        <f t="shared" si="152"/>
        <v>3.38</v>
      </c>
      <c r="NG16" s="11">
        <f t="shared" si="153"/>
        <v>11.28</v>
      </c>
      <c r="NH16" s="11">
        <f t="shared" si="154"/>
        <v>43.980000000000004</v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>
        <f t="shared" si="161"/>
        <v>43.980000000000004</v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12.4</v>
      </c>
      <c r="SW16" s="22">
        <f t="shared" si="219"/>
        <v>9.25</v>
      </c>
      <c r="SX16" s="22">
        <f t="shared" si="220"/>
        <v>12.899999999999999</v>
      </c>
      <c r="SY16" s="22">
        <f t="shared" si="221"/>
        <v>15.790000000000001</v>
      </c>
      <c r="SZ16" s="22">
        <f t="shared" si="222"/>
        <v>2.2000000000000002</v>
      </c>
      <c r="TA16" s="22">
        <f t="shared" si="223"/>
        <v>8.9499999999999993</v>
      </c>
      <c r="TB16" s="22">
        <f t="shared" si="224"/>
        <v>6.65</v>
      </c>
      <c r="TC16" s="22">
        <f t="shared" si="225"/>
        <v>8.6999999999999993</v>
      </c>
      <c r="TD16" s="22">
        <f t="shared" si="226"/>
        <v>11.255000000000001</v>
      </c>
      <c r="TE16" s="22">
        <f t="shared" si="227"/>
        <v>1.7</v>
      </c>
      <c r="TF16" s="22">
        <f t="shared" si="228"/>
        <v>7.15</v>
      </c>
      <c r="TG16" s="22">
        <f t="shared" si="229"/>
        <v>4.5</v>
      </c>
      <c r="TH16" s="22">
        <f t="shared" si="230"/>
        <v>6.55</v>
      </c>
      <c r="TI16" s="22">
        <f t="shared" si="231"/>
        <v>7.79</v>
      </c>
      <c r="TJ16" s="22">
        <f t="shared" si="232"/>
        <v>0.7</v>
      </c>
      <c r="TK16" s="27" t="s">
        <v>46</v>
      </c>
      <c r="TL16" s="40">
        <f t="shared" si="233"/>
        <v>12.899999999999999</v>
      </c>
      <c r="TM16" s="40">
        <f t="shared" si="234"/>
        <v>15.790000000000001</v>
      </c>
      <c r="TN16" s="40">
        <f t="shared" si="235"/>
        <v>48.139999999999993</v>
      </c>
      <c r="TO16" s="40">
        <f t="shared" si="236"/>
        <v>8.6999999999999993</v>
      </c>
      <c r="TP16" s="40">
        <f t="shared" si="237"/>
        <v>11.255000000000001</v>
      </c>
      <c r="TQ16" s="40">
        <f t="shared" si="238"/>
        <v>33.854999999999997</v>
      </c>
      <c r="TR16" s="40">
        <f t="shared" si="239"/>
        <v>48.139999999999993</v>
      </c>
      <c r="TS16" s="40">
        <f t="shared" si="240"/>
        <v>6.55</v>
      </c>
      <c r="TT16" s="40">
        <f t="shared" si="241"/>
        <v>7.79</v>
      </c>
      <c r="TU16" s="40">
        <f t="shared" si="242"/>
        <v>25.29</v>
      </c>
      <c r="TV16" s="40">
        <f t="shared" si="243"/>
        <v>73.429999999999993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128</v>
      </c>
      <c r="D17" s="4" t="s">
        <v>6</v>
      </c>
      <c r="E17" s="4">
        <v>2007</v>
      </c>
      <c r="F17" s="9">
        <f t="shared" si="0"/>
        <v>163.90001639000525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52.32</v>
      </c>
      <c r="M17" s="8" t="str">
        <f t="shared" si="5"/>
        <v>2025 3rd Domestic Trial</v>
      </c>
      <c r="N17" s="8">
        <f>IF(COUNT(AQ17,AT17,BR17,BU17,CS17,CV17)&gt;1,LARGE((AQ17,AT17,BR17,BU17,CS17,CV17),2),0)</f>
        <v>47.24</v>
      </c>
      <c r="O17" s="8" t="str">
        <f t="shared" si="6"/>
        <v>2025 3rd Domestic Trial</v>
      </c>
      <c r="P17" s="8">
        <f>IF(COUNT(AQ17,AT17,BR17,BU17,CS17,CV17)&gt;2,MAX(AX17,BY17,CZ17,LARGE((AQ17,AT17,BR17,BU17,CS17,CV17),3)),IF(MAX(AX17,BY17,CZ17)&gt;0,MAX(AX17,BY17,CZ17),0))</f>
        <v>51.84</v>
      </c>
      <c r="Q17" s="8" t="str">
        <f t="shared" si="7"/>
        <v>2025 Nationals</v>
      </c>
      <c r="R17" s="8">
        <f t="shared" si="8"/>
        <v>12.5</v>
      </c>
      <c r="S17" s="8" t="str">
        <f t="shared" si="9"/>
        <v>2025 Nationals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>
        <v>5</v>
      </c>
      <c r="BA17" s="26">
        <v>2.6</v>
      </c>
      <c r="BB17" s="26">
        <v>3.8</v>
      </c>
      <c r="BC17" s="26">
        <v>5.0999999999999996</v>
      </c>
      <c r="BD17" s="26">
        <v>0</v>
      </c>
      <c r="BE17" s="26">
        <v>5.2</v>
      </c>
      <c r="BF17" s="26">
        <v>2.8</v>
      </c>
      <c r="BG17" s="26">
        <v>3.8</v>
      </c>
      <c r="BH17" s="26">
        <v>5</v>
      </c>
      <c r="BI17" s="26">
        <v>0</v>
      </c>
      <c r="BJ17" s="26">
        <v>15.8</v>
      </c>
      <c r="BK17" s="26">
        <v>8.6999999999999993</v>
      </c>
      <c r="BL17" s="26">
        <v>12.5</v>
      </c>
      <c r="BM17" s="26">
        <v>14.84</v>
      </c>
      <c r="BN17" s="26">
        <v>0</v>
      </c>
      <c r="BO17" s="28"/>
      <c r="BP17" s="39">
        <f t="shared" si="26"/>
        <v>3.8</v>
      </c>
      <c r="BQ17" s="39">
        <f t="shared" si="27"/>
        <v>5.0999999999999996</v>
      </c>
      <c r="BR17" s="11">
        <f t="shared" si="28"/>
        <v>16.5</v>
      </c>
      <c r="BS17" s="11">
        <f t="shared" si="29"/>
        <v>3.8</v>
      </c>
      <c r="BT17" s="11">
        <f t="shared" si="30"/>
        <v>5</v>
      </c>
      <c r="BU17" s="11">
        <f t="shared" si="31"/>
        <v>16.8</v>
      </c>
      <c r="BV17" s="11">
        <f t="shared" si="32"/>
        <v>16.8</v>
      </c>
      <c r="BW17" s="11">
        <f t="shared" si="33"/>
        <v>12.5</v>
      </c>
      <c r="BX17" s="11">
        <f t="shared" si="34"/>
        <v>14.84</v>
      </c>
      <c r="BY17" s="11">
        <f t="shared" si="35"/>
        <v>51.84</v>
      </c>
      <c r="BZ17" s="11">
        <f t="shared" si="36"/>
        <v>68.64</v>
      </c>
      <c r="CA17" s="22">
        <v>15.9</v>
      </c>
      <c r="CB17" s="22">
        <v>8.5</v>
      </c>
      <c r="CC17" s="22">
        <v>12</v>
      </c>
      <c r="CD17" s="22">
        <v>16.22</v>
      </c>
      <c r="CE17" s="22">
        <v>0.3</v>
      </c>
      <c r="CF17" s="22">
        <v>14.3</v>
      </c>
      <c r="CG17" s="22">
        <v>7.9</v>
      </c>
      <c r="CH17" s="22">
        <v>10.3</v>
      </c>
      <c r="CI17" s="22">
        <v>14.74</v>
      </c>
      <c r="CJ17" s="22">
        <v>0</v>
      </c>
      <c r="CK17" s="22">
        <v>9.6999999999999993</v>
      </c>
      <c r="CL17" s="22">
        <v>5.2</v>
      </c>
      <c r="CM17" s="22">
        <v>7.3</v>
      </c>
      <c r="CN17" s="22">
        <v>9.98</v>
      </c>
      <c r="CO17" s="22">
        <v>0</v>
      </c>
      <c r="CP17" s="27"/>
      <c r="CQ17" s="38">
        <f t="shared" si="37"/>
        <v>12</v>
      </c>
      <c r="CR17" s="38">
        <f t="shared" si="38"/>
        <v>16.22</v>
      </c>
      <c r="CS17" s="40">
        <f t="shared" si="39"/>
        <v>52.32</v>
      </c>
      <c r="CT17" s="40">
        <f t="shared" si="40"/>
        <v>10.3</v>
      </c>
      <c r="CU17" s="40">
        <f t="shared" si="41"/>
        <v>14.74</v>
      </c>
      <c r="CV17" s="40">
        <f t="shared" si="42"/>
        <v>47.24</v>
      </c>
      <c r="CW17" s="40">
        <f t="shared" si="43"/>
        <v>52.32</v>
      </c>
      <c r="CX17" s="40">
        <f t="shared" si="44"/>
        <v>7.3</v>
      </c>
      <c r="CY17" s="40">
        <f t="shared" si="45"/>
        <v>9.98</v>
      </c>
      <c r="CZ17" s="40">
        <f t="shared" si="46"/>
        <v>32.18</v>
      </c>
      <c r="DA17" s="40">
        <f t="shared" si="47"/>
        <v>84.5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10.45</v>
      </c>
      <c r="SW17" s="22">
        <f t="shared" si="219"/>
        <v>5.55</v>
      </c>
      <c r="SX17" s="22">
        <f t="shared" si="220"/>
        <v>7.9</v>
      </c>
      <c r="SY17" s="22">
        <f t="shared" si="221"/>
        <v>10.66</v>
      </c>
      <c r="SZ17" s="22">
        <f t="shared" si="222"/>
        <v>0.15</v>
      </c>
      <c r="TA17" s="22">
        <f t="shared" si="223"/>
        <v>9.75</v>
      </c>
      <c r="TB17" s="22">
        <f t="shared" si="224"/>
        <v>5.35</v>
      </c>
      <c r="TC17" s="22">
        <f t="shared" si="225"/>
        <v>7.0500000000000007</v>
      </c>
      <c r="TD17" s="22">
        <f t="shared" si="226"/>
        <v>9.870000000000001</v>
      </c>
      <c r="TE17" s="22">
        <f t="shared" si="227"/>
        <v>0</v>
      </c>
      <c r="TF17" s="22">
        <f t="shared" si="228"/>
        <v>12.75</v>
      </c>
      <c r="TG17" s="22">
        <f t="shared" si="229"/>
        <v>6.9499999999999993</v>
      </c>
      <c r="TH17" s="22">
        <f t="shared" si="230"/>
        <v>9.9</v>
      </c>
      <c r="TI17" s="22">
        <f t="shared" si="231"/>
        <v>12.41</v>
      </c>
      <c r="TJ17" s="22">
        <f t="shared" si="232"/>
        <v>0</v>
      </c>
      <c r="TK17" s="27" t="s">
        <v>46</v>
      </c>
      <c r="TL17" s="40">
        <f t="shared" si="233"/>
        <v>7.9</v>
      </c>
      <c r="TM17" s="40">
        <f t="shared" si="234"/>
        <v>10.66</v>
      </c>
      <c r="TN17" s="40">
        <f t="shared" si="235"/>
        <v>34.410000000000004</v>
      </c>
      <c r="TO17" s="40">
        <f t="shared" si="236"/>
        <v>7.0500000000000007</v>
      </c>
      <c r="TP17" s="40">
        <f t="shared" si="237"/>
        <v>9.870000000000001</v>
      </c>
      <c r="TQ17" s="40">
        <f t="shared" si="238"/>
        <v>32.019999999999996</v>
      </c>
      <c r="TR17" s="40">
        <f t="shared" si="239"/>
        <v>34.410000000000004</v>
      </c>
      <c r="TS17" s="40">
        <f t="shared" si="240"/>
        <v>9.9</v>
      </c>
      <c r="TT17" s="40">
        <f t="shared" si="241"/>
        <v>12.41</v>
      </c>
      <c r="TU17" s="40">
        <f t="shared" si="242"/>
        <v>42.010000000000005</v>
      </c>
      <c r="TV17" s="40">
        <f t="shared" si="243"/>
        <v>76.420000000000016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101</v>
      </c>
      <c r="D18" s="4" t="s">
        <v>3</v>
      </c>
      <c r="E18" s="4">
        <v>2006</v>
      </c>
      <c r="F18" s="9">
        <f t="shared" si="0"/>
        <v>157.23001572300487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48.949999999999996</v>
      </c>
      <c r="M18" s="8" t="str">
        <f t="shared" si="5"/>
        <v>2025 Elite Canada</v>
      </c>
      <c r="N18" s="8">
        <f>IF(COUNT(AQ18,AT18,BR18,BU18,CS18,CV18)&gt;1,LARGE((AQ18,AT18,BR18,BU18,CS18,CV18),2),0)</f>
        <v>45.269999999999996</v>
      </c>
      <c r="O18" s="8" t="str">
        <f t="shared" si="6"/>
        <v>2025 Nationals</v>
      </c>
      <c r="P18" s="8">
        <f>IF(COUNT(AQ18,AT18,BR18,BU18,CS18,CV18)&gt;2,MAX(AX18,BY18,CZ18,LARGE((AQ18,AT18,BR18,BU18,CS18,CV18),3)),IF(MAX(AX18,BY18,CZ18)&gt;0,MAX(AX18,BY18,CZ18),0))</f>
        <v>48.91</v>
      </c>
      <c r="Q18" s="8" t="str">
        <f t="shared" si="7"/>
        <v>2025 Elite Canada</v>
      </c>
      <c r="R18" s="8">
        <f t="shared" si="8"/>
        <v>14.1</v>
      </c>
      <c r="S18" s="8" t="str">
        <f t="shared" si="9"/>
        <v>2025 Nationals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11.6</v>
      </c>
      <c r="Z18" s="22">
        <v>9.1</v>
      </c>
      <c r="AA18" s="22">
        <v>14.1</v>
      </c>
      <c r="AB18" s="22">
        <v>14.15</v>
      </c>
      <c r="AC18" s="22">
        <v>0</v>
      </c>
      <c r="AD18" s="22">
        <v>1</v>
      </c>
      <c r="AE18" s="22">
        <v>0.8</v>
      </c>
      <c r="AF18" s="22">
        <v>2</v>
      </c>
      <c r="AG18" s="22">
        <v>1.6</v>
      </c>
      <c r="AH18" s="22">
        <v>0</v>
      </c>
      <c r="AI18" s="22">
        <v>12.4</v>
      </c>
      <c r="AJ18" s="22">
        <v>9.4</v>
      </c>
      <c r="AK18" s="22">
        <v>12.7</v>
      </c>
      <c r="AL18" s="22">
        <v>14.41</v>
      </c>
      <c r="AM18" s="22">
        <v>0</v>
      </c>
      <c r="AN18" s="27"/>
      <c r="AO18" s="38">
        <f t="shared" si="15"/>
        <v>14.1</v>
      </c>
      <c r="AP18" s="38">
        <f t="shared" si="16"/>
        <v>14.15</v>
      </c>
      <c r="AQ18" s="40">
        <f t="shared" si="17"/>
        <v>48.949999999999996</v>
      </c>
      <c r="AR18" s="40">
        <f t="shared" si="18"/>
        <v>2</v>
      </c>
      <c r="AS18" s="40">
        <f t="shared" si="19"/>
        <v>1.6</v>
      </c>
      <c r="AT18" s="40">
        <f t="shared" si="20"/>
        <v>5.4</v>
      </c>
      <c r="AU18" s="40">
        <f t="shared" si="21"/>
        <v>48.949999999999996</v>
      </c>
      <c r="AV18" s="40">
        <f t="shared" si="22"/>
        <v>12.7</v>
      </c>
      <c r="AW18" s="40">
        <f t="shared" si="23"/>
        <v>14.41</v>
      </c>
      <c r="AX18" s="40">
        <f t="shared" si="24"/>
        <v>48.91</v>
      </c>
      <c r="AY18" s="40">
        <f t="shared" si="25"/>
        <v>97.859999999999985</v>
      </c>
      <c r="AZ18" s="26">
        <v>11.9</v>
      </c>
      <c r="BA18" s="26">
        <v>8.5</v>
      </c>
      <c r="BB18" s="26">
        <v>11.3</v>
      </c>
      <c r="BC18" s="26">
        <v>14.57</v>
      </c>
      <c r="BD18" s="26">
        <v>1</v>
      </c>
      <c r="BE18" s="26">
        <v>1.2</v>
      </c>
      <c r="BF18" s="26">
        <v>0.8</v>
      </c>
      <c r="BG18" s="26">
        <v>1.7</v>
      </c>
      <c r="BH18" s="26">
        <v>1.67</v>
      </c>
      <c r="BI18" s="26">
        <v>0</v>
      </c>
      <c r="BJ18" s="26">
        <v>11.8</v>
      </c>
      <c r="BK18" s="26">
        <v>8.3000000000000007</v>
      </c>
      <c r="BL18" s="26">
        <v>14.1</v>
      </c>
      <c r="BM18" s="26">
        <v>14.52</v>
      </c>
      <c r="BN18" s="26">
        <v>0</v>
      </c>
      <c r="BO18" s="28"/>
      <c r="BP18" s="39">
        <f t="shared" si="26"/>
        <v>11.3</v>
      </c>
      <c r="BQ18" s="39">
        <f t="shared" si="27"/>
        <v>14.57</v>
      </c>
      <c r="BR18" s="11">
        <f t="shared" si="28"/>
        <v>45.269999999999996</v>
      </c>
      <c r="BS18" s="11">
        <f t="shared" si="29"/>
        <v>1.7</v>
      </c>
      <c r="BT18" s="11">
        <f t="shared" si="30"/>
        <v>1.67</v>
      </c>
      <c r="BU18" s="11">
        <f t="shared" si="31"/>
        <v>5.37</v>
      </c>
      <c r="BV18" s="11">
        <f t="shared" si="32"/>
        <v>45.269999999999996</v>
      </c>
      <c r="BW18" s="11">
        <f t="shared" si="33"/>
        <v>14.1</v>
      </c>
      <c r="BX18" s="11">
        <f t="shared" si="34"/>
        <v>14.52</v>
      </c>
      <c r="BY18" s="11">
        <f t="shared" si="35"/>
        <v>48.72</v>
      </c>
      <c r="BZ18" s="11">
        <f t="shared" si="36"/>
        <v>93.99</v>
      </c>
      <c r="CA18" s="22">
        <v>1.4</v>
      </c>
      <c r="CB18" s="22">
        <v>1</v>
      </c>
      <c r="CC18" s="22">
        <v>1.7</v>
      </c>
      <c r="CD18" s="22">
        <v>1.73</v>
      </c>
      <c r="CE18" s="22">
        <v>0.2</v>
      </c>
      <c r="CF18" s="22">
        <v>11.4</v>
      </c>
      <c r="CG18" s="22">
        <v>9.1</v>
      </c>
      <c r="CH18" s="22">
        <v>8.1999999999999993</v>
      </c>
      <c r="CI18" s="22">
        <v>15.08</v>
      </c>
      <c r="CJ18" s="22">
        <v>4.3</v>
      </c>
      <c r="CK18" s="22">
        <v>1.3</v>
      </c>
      <c r="CL18" s="22">
        <v>0.9</v>
      </c>
      <c r="CM18" s="22">
        <v>1.7</v>
      </c>
      <c r="CN18" s="22">
        <v>1.68</v>
      </c>
      <c r="CO18" s="22">
        <v>0.2</v>
      </c>
      <c r="CP18" s="27"/>
      <c r="CQ18" s="38">
        <f t="shared" si="37"/>
        <v>1.7</v>
      </c>
      <c r="CR18" s="38">
        <f t="shared" si="38"/>
        <v>1.73</v>
      </c>
      <c r="CS18" s="40">
        <f t="shared" si="39"/>
        <v>5.63</v>
      </c>
      <c r="CT18" s="40">
        <f t="shared" si="40"/>
        <v>8.1999999999999993</v>
      </c>
      <c r="CU18" s="40">
        <f t="shared" si="41"/>
        <v>15.08</v>
      </c>
      <c r="CV18" s="40">
        <f t="shared" si="42"/>
        <v>39.480000000000004</v>
      </c>
      <c r="CW18" s="40">
        <f t="shared" si="43"/>
        <v>39.480000000000004</v>
      </c>
      <c r="CX18" s="40">
        <f t="shared" si="44"/>
        <v>1.7</v>
      </c>
      <c r="CY18" s="40">
        <f t="shared" si="45"/>
        <v>1.68</v>
      </c>
      <c r="CZ18" s="40">
        <f t="shared" si="46"/>
        <v>5.38</v>
      </c>
      <c r="DA18" s="40">
        <f t="shared" si="47"/>
        <v>44.860000000000007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6.65</v>
      </c>
      <c r="SW18" s="22">
        <f t="shared" si="219"/>
        <v>4.75</v>
      </c>
      <c r="SX18" s="22">
        <f t="shared" si="220"/>
        <v>6.5</v>
      </c>
      <c r="SY18" s="22">
        <f t="shared" si="221"/>
        <v>8.15</v>
      </c>
      <c r="SZ18" s="22">
        <f t="shared" si="222"/>
        <v>0.6</v>
      </c>
      <c r="TA18" s="22">
        <f t="shared" si="223"/>
        <v>6.3</v>
      </c>
      <c r="TB18" s="22">
        <f t="shared" si="224"/>
        <v>4.95</v>
      </c>
      <c r="TC18" s="22">
        <f t="shared" si="225"/>
        <v>4.9499999999999993</v>
      </c>
      <c r="TD18" s="22">
        <f t="shared" si="226"/>
        <v>8.375</v>
      </c>
      <c r="TE18" s="22">
        <f t="shared" si="227"/>
        <v>2.15</v>
      </c>
      <c r="TF18" s="22">
        <f t="shared" si="228"/>
        <v>6.5500000000000007</v>
      </c>
      <c r="TG18" s="22">
        <f t="shared" si="229"/>
        <v>4.6000000000000005</v>
      </c>
      <c r="TH18" s="22">
        <f t="shared" si="230"/>
        <v>7.8999999999999995</v>
      </c>
      <c r="TI18" s="22">
        <f t="shared" si="231"/>
        <v>8.1</v>
      </c>
      <c r="TJ18" s="22">
        <f t="shared" si="232"/>
        <v>0.1</v>
      </c>
      <c r="TK18" s="27" t="s">
        <v>46</v>
      </c>
      <c r="TL18" s="40">
        <f t="shared" si="233"/>
        <v>6.5</v>
      </c>
      <c r="TM18" s="40">
        <f t="shared" si="234"/>
        <v>8.15</v>
      </c>
      <c r="TN18" s="40">
        <f t="shared" si="235"/>
        <v>25.449999999999996</v>
      </c>
      <c r="TO18" s="40">
        <f t="shared" si="236"/>
        <v>4.9499999999999993</v>
      </c>
      <c r="TP18" s="40">
        <f t="shared" si="237"/>
        <v>8.375</v>
      </c>
      <c r="TQ18" s="40">
        <f t="shared" si="238"/>
        <v>22.425000000000001</v>
      </c>
      <c r="TR18" s="40">
        <f t="shared" si="239"/>
        <v>25.449999999999996</v>
      </c>
      <c r="TS18" s="40">
        <f t="shared" si="240"/>
        <v>7.8999999999999995</v>
      </c>
      <c r="TT18" s="40">
        <f t="shared" si="241"/>
        <v>8.1</v>
      </c>
      <c r="TU18" s="40">
        <f t="shared" si="242"/>
        <v>27.049999999999997</v>
      </c>
      <c r="TV18" s="40">
        <f t="shared" si="243"/>
        <v>52.499999999999993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88</v>
      </c>
      <c r="D19" s="4" t="s">
        <v>3</v>
      </c>
      <c r="E19" s="4">
        <v>2005</v>
      </c>
      <c r="F19" s="9">
        <f t="shared" si="0"/>
        <v>156.84001568400529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52.61</v>
      </c>
      <c r="M19" s="8" t="str">
        <f t="shared" si="5"/>
        <v>2025 Nationals</v>
      </c>
      <c r="N19" s="8">
        <f>IF(COUNT(AQ19,AT19,BR19,BU19,CS19,CV19)&gt;1,LARGE((AQ19,AT19,BR19,BU19,CS19,CV19),2),0)</f>
        <v>21.73</v>
      </c>
      <c r="O19" s="8" t="str">
        <f t="shared" si="6"/>
        <v>2025 Elite Canada</v>
      </c>
      <c r="P19" s="8">
        <f>IF(COUNT(AQ19,AT19,BR19,BU19,CS19,CV19)&gt;2,MAX(AX19,BY19,CZ19,LARGE((AQ19,AT19,BR19,BU19,CS19,CV19),3)),IF(MAX(AX19,BY19,CZ19)&gt;0,MAX(AX19,BY19,CZ19),0))</f>
        <v>52.850000000000009</v>
      </c>
      <c r="Q19" s="8" t="str">
        <f t="shared" si="7"/>
        <v>2025 Nationals</v>
      </c>
      <c r="R19" s="8">
        <f t="shared" si="8"/>
        <v>14.6</v>
      </c>
      <c r="S19" s="8" t="str">
        <f t="shared" si="9"/>
        <v>2025 Nationals</v>
      </c>
      <c r="T19" s="8">
        <f t="shared" si="10"/>
        <v>15.05</v>
      </c>
      <c r="U19" s="8" t="str">
        <f t="shared" si="11"/>
        <v>2025 Nationals</v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4.2</v>
      </c>
      <c r="Z19" s="22">
        <v>2.7</v>
      </c>
      <c r="AA19" s="22">
        <v>4.7</v>
      </c>
      <c r="AB19" s="22">
        <v>4.66</v>
      </c>
      <c r="AC19" s="22">
        <v>0</v>
      </c>
      <c r="AD19" s="22">
        <v>5.6</v>
      </c>
      <c r="AE19" s="22">
        <v>3.4</v>
      </c>
      <c r="AF19" s="22">
        <v>6.4</v>
      </c>
      <c r="AG19" s="22">
        <v>6.33</v>
      </c>
      <c r="AH19" s="22">
        <v>0</v>
      </c>
      <c r="AI19" s="22"/>
      <c r="AJ19" s="22"/>
      <c r="AK19" s="22"/>
      <c r="AL19" s="22"/>
      <c r="AM19" s="22"/>
      <c r="AN19" s="27"/>
      <c r="AO19" s="38">
        <f t="shared" si="15"/>
        <v>4.7</v>
      </c>
      <c r="AP19" s="38">
        <f t="shared" si="16"/>
        <v>4.66</v>
      </c>
      <c r="AQ19" s="40">
        <f t="shared" si="17"/>
        <v>16.260000000000002</v>
      </c>
      <c r="AR19" s="40">
        <f t="shared" si="18"/>
        <v>6.4</v>
      </c>
      <c r="AS19" s="40">
        <f t="shared" si="19"/>
        <v>6.33</v>
      </c>
      <c r="AT19" s="40">
        <f t="shared" si="20"/>
        <v>21.73</v>
      </c>
      <c r="AU19" s="40">
        <f t="shared" si="21"/>
        <v>21.73</v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>
        <f t="shared" si="25"/>
        <v>21.73</v>
      </c>
      <c r="AZ19" s="26">
        <v>13.5</v>
      </c>
      <c r="BA19" s="26">
        <v>9.5</v>
      </c>
      <c r="BB19" s="26">
        <v>14.6</v>
      </c>
      <c r="BC19" s="26">
        <v>15.01</v>
      </c>
      <c r="BD19" s="26">
        <v>0</v>
      </c>
      <c r="BE19" s="26">
        <v>1.3</v>
      </c>
      <c r="BF19" s="26">
        <v>0.9</v>
      </c>
      <c r="BG19" s="26">
        <v>2</v>
      </c>
      <c r="BH19" s="26">
        <v>1.64</v>
      </c>
      <c r="BI19" s="26">
        <v>0</v>
      </c>
      <c r="BJ19" s="26">
        <v>13.9</v>
      </c>
      <c r="BK19" s="26">
        <v>9.3000000000000007</v>
      </c>
      <c r="BL19" s="26">
        <v>14.6</v>
      </c>
      <c r="BM19" s="26">
        <v>15.05</v>
      </c>
      <c r="BN19" s="26">
        <v>0</v>
      </c>
      <c r="BO19" s="28"/>
      <c r="BP19" s="39">
        <f t="shared" si="26"/>
        <v>14.6</v>
      </c>
      <c r="BQ19" s="39">
        <f t="shared" si="27"/>
        <v>15.01</v>
      </c>
      <c r="BR19" s="11">
        <f t="shared" si="28"/>
        <v>52.61</v>
      </c>
      <c r="BS19" s="11">
        <f t="shared" si="29"/>
        <v>2</v>
      </c>
      <c r="BT19" s="11">
        <f t="shared" si="30"/>
        <v>1.64</v>
      </c>
      <c r="BU19" s="11">
        <f t="shared" si="31"/>
        <v>5.84</v>
      </c>
      <c r="BV19" s="11">
        <f t="shared" si="32"/>
        <v>52.61</v>
      </c>
      <c r="BW19" s="11">
        <f t="shared" si="33"/>
        <v>14.6</v>
      </c>
      <c r="BX19" s="11">
        <f t="shared" si="34"/>
        <v>15.05</v>
      </c>
      <c r="BY19" s="11">
        <f t="shared" si="35"/>
        <v>52.850000000000009</v>
      </c>
      <c r="BZ19" s="11">
        <f t="shared" si="36"/>
        <v>105.46000000000001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6.75</v>
      </c>
      <c r="SW19" s="22">
        <f t="shared" si="219"/>
        <v>4.75</v>
      </c>
      <c r="SX19" s="22">
        <f t="shared" si="220"/>
        <v>7.3</v>
      </c>
      <c r="SY19" s="22">
        <f t="shared" si="221"/>
        <v>7.5049999999999999</v>
      </c>
      <c r="SZ19" s="22">
        <f t="shared" si="222"/>
        <v>0</v>
      </c>
      <c r="TA19" s="22">
        <f t="shared" si="223"/>
        <v>0.65</v>
      </c>
      <c r="TB19" s="22">
        <f t="shared" si="224"/>
        <v>0.45</v>
      </c>
      <c r="TC19" s="22">
        <f t="shared" si="225"/>
        <v>1</v>
      </c>
      <c r="TD19" s="22">
        <f t="shared" si="226"/>
        <v>0.82</v>
      </c>
      <c r="TE19" s="22">
        <f t="shared" si="227"/>
        <v>0</v>
      </c>
      <c r="TF19" s="22">
        <f t="shared" si="228"/>
        <v>6.95</v>
      </c>
      <c r="TG19" s="22">
        <f t="shared" si="229"/>
        <v>4.6500000000000004</v>
      </c>
      <c r="TH19" s="22">
        <f t="shared" si="230"/>
        <v>7.3</v>
      </c>
      <c r="TI19" s="22">
        <f t="shared" si="231"/>
        <v>7.5250000000000004</v>
      </c>
      <c r="TJ19" s="22">
        <f t="shared" si="232"/>
        <v>0</v>
      </c>
      <c r="TK19" s="27" t="s">
        <v>46</v>
      </c>
      <c r="TL19" s="40">
        <f t="shared" si="233"/>
        <v>7.3</v>
      </c>
      <c r="TM19" s="40">
        <f t="shared" si="234"/>
        <v>7.5049999999999999</v>
      </c>
      <c r="TN19" s="40">
        <f t="shared" si="235"/>
        <v>26.305</v>
      </c>
      <c r="TO19" s="40">
        <f t="shared" si="236"/>
        <v>1</v>
      </c>
      <c r="TP19" s="40">
        <f t="shared" si="237"/>
        <v>0.82</v>
      </c>
      <c r="TQ19" s="40">
        <f t="shared" si="238"/>
        <v>2.92</v>
      </c>
      <c r="TR19" s="40">
        <f t="shared" si="239"/>
        <v>26.305</v>
      </c>
      <c r="TS19" s="40">
        <f t="shared" si="240"/>
        <v>7.3</v>
      </c>
      <c r="TT19" s="40">
        <f t="shared" si="241"/>
        <v>7.5250000000000004</v>
      </c>
      <c r="TU19" s="40">
        <f t="shared" si="242"/>
        <v>26.425000000000004</v>
      </c>
      <c r="TV19" s="40">
        <f t="shared" si="243"/>
        <v>52.730000000000004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193</v>
      </c>
      <c r="D20" s="4" t="s">
        <v>6</v>
      </c>
      <c r="E20" s="4">
        <v>2009</v>
      </c>
      <c r="F20" s="9">
        <f t="shared" si="0"/>
        <v>156.39001563900476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47.35</v>
      </c>
      <c r="M20" s="8" t="str">
        <f t="shared" si="5"/>
        <v>2025 Elite Canada</v>
      </c>
      <c r="N20" s="8">
        <f>IF(COUNT(AQ20,AT20,BR20,BU20,CS20,CV20)&gt;1,LARGE((AQ20,AT20,BR20,BU20,CS20,CV20),2),0)</f>
        <v>38.54</v>
      </c>
      <c r="O20" s="8" t="str">
        <f t="shared" si="6"/>
        <v>2025 Elite Canada</v>
      </c>
      <c r="P20" s="8">
        <f>IF(COUNT(AQ20,AT20,BR20,BU20,CS20,CV20)&gt;2,MAX(AX20,BY20,CZ20,LARGE((AQ20,AT20,BR20,BU20,CS20,CV20),3)),IF(MAX(AX20,BY20,CZ20)&gt;0,MAX(AX20,BY20,CZ20),0))</f>
        <v>45.46</v>
      </c>
      <c r="Q20" s="8" t="str">
        <f t="shared" si="7"/>
        <v>2025 Elite Canada</v>
      </c>
      <c r="R20" s="8">
        <f t="shared" si="8"/>
        <v>10.3</v>
      </c>
      <c r="S20" s="8" t="str">
        <f t="shared" si="9"/>
        <v>2025 Elite Canada</v>
      </c>
      <c r="T20" s="8">
        <f t="shared" si="10"/>
        <v>14.74</v>
      </c>
      <c r="U20" s="8" t="str">
        <f t="shared" si="11"/>
        <v>2025 Elite Canada</v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14.7</v>
      </c>
      <c r="Z20" s="22">
        <v>9.1</v>
      </c>
      <c r="AA20" s="22">
        <v>0</v>
      </c>
      <c r="AB20" s="22">
        <v>14.74</v>
      </c>
      <c r="AC20" s="22">
        <v>0</v>
      </c>
      <c r="AD20" s="22">
        <v>12.9</v>
      </c>
      <c r="AE20" s="22">
        <v>9.8000000000000007</v>
      </c>
      <c r="AF20" s="22">
        <v>10.3</v>
      </c>
      <c r="AG20" s="22">
        <v>14.35</v>
      </c>
      <c r="AH20" s="22">
        <v>0</v>
      </c>
      <c r="AI20" s="22">
        <v>14.3</v>
      </c>
      <c r="AJ20" s="22">
        <v>9.4</v>
      </c>
      <c r="AK20" s="22">
        <v>8.8000000000000007</v>
      </c>
      <c r="AL20" s="22">
        <v>14.26</v>
      </c>
      <c r="AM20" s="22">
        <v>1.3</v>
      </c>
      <c r="AN20" s="27"/>
      <c r="AO20" s="38" t="str">
        <f t="shared" si="15"/>
        <v/>
      </c>
      <c r="AP20" s="38">
        <f t="shared" si="16"/>
        <v>14.74</v>
      </c>
      <c r="AQ20" s="40">
        <f t="shared" si="17"/>
        <v>38.54</v>
      </c>
      <c r="AR20" s="40">
        <f t="shared" si="18"/>
        <v>10.3</v>
      </c>
      <c r="AS20" s="40">
        <f t="shared" si="19"/>
        <v>14.35</v>
      </c>
      <c r="AT20" s="40">
        <f t="shared" si="20"/>
        <v>47.35</v>
      </c>
      <c r="AU20" s="40">
        <f t="shared" si="21"/>
        <v>47.35</v>
      </c>
      <c r="AV20" s="40">
        <f t="shared" si="22"/>
        <v>8.8000000000000007</v>
      </c>
      <c r="AW20" s="40">
        <f t="shared" si="23"/>
        <v>14.26</v>
      </c>
      <c r="AX20" s="40">
        <f t="shared" si="24"/>
        <v>45.46</v>
      </c>
      <c r="AY20" s="40">
        <f t="shared" si="25"/>
        <v>92.81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6"/>
        <v/>
      </c>
      <c r="BQ20" s="39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 t="str">
        <f t="shared" si="36"/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7"/>
        <v/>
      </c>
      <c r="CR20" s="38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 t="str">
        <f t="shared" si="47"/>
        <v/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0</v>
      </c>
      <c r="SW20" s="22">
        <f t="shared" si="219"/>
        <v>0</v>
      </c>
      <c r="SX20" s="22">
        <f t="shared" si="220"/>
        <v>0</v>
      </c>
      <c r="SY20" s="22">
        <f t="shared" si="221"/>
        <v>0</v>
      </c>
      <c r="SZ20" s="22">
        <f t="shared" si="222"/>
        <v>0</v>
      </c>
      <c r="TA20" s="22">
        <f t="shared" si="223"/>
        <v>0</v>
      </c>
      <c r="TB20" s="22">
        <f t="shared" si="224"/>
        <v>0</v>
      </c>
      <c r="TC20" s="22">
        <f t="shared" si="225"/>
        <v>0</v>
      </c>
      <c r="TD20" s="22">
        <f t="shared" si="226"/>
        <v>0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 t="str">
        <f t="shared" si="233"/>
        <v/>
      </c>
      <c r="TM20" s="40" t="str">
        <f t="shared" si="234"/>
        <v/>
      </c>
      <c r="TN20" s="40" t="str">
        <f t="shared" si="235"/>
        <v/>
      </c>
      <c r="TO20" s="40" t="str">
        <f t="shared" si="236"/>
        <v/>
      </c>
      <c r="TP20" s="40" t="str">
        <f t="shared" si="237"/>
        <v/>
      </c>
      <c r="TQ20" s="40" t="str">
        <f t="shared" si="238"/>
        <v/>
      </c>
      <c r="TR20" s="40" t="str">
        <f t="shared" si="239"/>
        <v/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 t="str">
        <f t="shared" si="243"/>
        <v/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190</v>
      </c>
      <c r="D21" s="4" t="s">
        <v>4</v>
      </c>
      <c r="E21" s="4">
        <v>2009</v>
      </c>
      <c r="F21" s="9">
        <f t="shared" si="0"/>
        <v>150.6700150670039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39.28</v>
      </c>
      <c r="M21" s="8" t="str">
        <f t="shared" si="5"/>
        <v>2025 3rd Domestic Trial</v>
      </c>
      <c r="N21" s="8">
        <f>IF(COUNT(AQ21,AT21,BR21,BU21,CS21,CV21)&gt;1,LARGE((AQ21,AT21,BR21,BU21,CS21,CV21),2),0)</f>
        <v>37.89</v>
      </c>
      <c r="O21" s="8" t="str">
        <f t="shared" si="6"/>
        <v>2025 Nationals</v>
      </c>
      <c r="P21" s="8">
        <f>IF(COUNT(AQ21,AT21,BR21,BU21,CS21,CV21)&gt;2,MAX(AX21,BY21,CZ21,LARGE((AQ21,AT21,BR21,BU21,CS21,CV21),3)),IF(MAX(AX21,BY21,CZ21)&gt;0,MAX(AX21,BY21,CZ21),0))</f>
        <v>46.72</v>
      </c>
      <c r="Q21" s="8" t="str">
        <f t="shared" si="7"/>
        <v>2025 3rd Domestic Trial</v>
      </c>
      <c r="R21" s="8">
        <f t="shared" si="8"/>
        <v>11.8</v>
      </c>
      <c r="S21" s="8" t="str">
        <f t="shared" si="9"/>
        <v>2025 Nationals</v>
      </c>
      <c r="T21" s="8">
        <f t="shared" si="10"/>
        <v>14.98</v>
      </c>
      <c r="U21" s="8" t="str">
        <f t="shared" si="11"/>
        <v>2025 3rd Domestic Trial</v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12.3</v>
      </c>
      <c r="Z21" s="22">
        <v>9.1</v>
      </c>
      <c r="AA21" s="22">
        <v>0</v>
      </c>
      <c r="AB21" s="22">
        <v>14.78</v>
      </c>
      <c r="AC21" s="22">
        <v>0</v>
      </c>
      <c r="AD21" s="22">
        <v>4.5999999999999996</v>
      </c>
      <c r="AE21" s="22">
        <v>3.3</v>
      </c>
      <c r="AF21" s="22">
        <v>5</v>
      </c>
      <c r="AG21" s="22">
        <v>5.73</v>
      </c>
      <c r="AH21" s="22">
        <v>0</v>
      </c>
      <c r="AI21" s="22"/>
      <c r="AJ21" s="22"/>
      <c r="AK21" s="22"/>
      <c r="AL21" s="22"/>
      <c r="AM21" s="22"/>
      <c r="AN21" s="27"/>
      <c r="AO21" s="38" t="str">
        <f t="shared" si="15"/>
        <v/>
      </c>
      <c r="AP21" s="38">
        <f t="shared" si="16"/>
        <v>14.78</v>
      </c>
      <c r="AQ21" s="40">
        <f t="shared" si="17"/>
        <v>36.18</v>
      </c>
      <c r="AR21" s="40">
        <f t="shared" si="18"/>
        <v>5</v>
      </c>
      <c r="AS21" s="40">
        <f t="shared" si="19"/>
        <v>5.73</v>
      </c>
      <c r="AT21" s="40">
        <f t="shared" si="20"/>
        <v>18.63</v>
      </c>
      <c r="AU21" s="40">
        <f t="shared" si="21"/>
        <v>36.18</v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>
        <f t="shared" si="25"/>
        <v>36.18</v>
      </c>
      <c r="AZ21" s="26">
        <v>13.7</v>
      </c>
      <c r="BA21" s="26">
        <v>9.4</v>
      </c>
      <c r="BB21" s="26">
        <v>0</v>
      </c>
      <c r="BC21" s="26">
        <v>14.79</v>
      </c>
      <c r="BD21" s="26">
        <v>0</v>
      </c>
      <c r="BE21" s="26">
        <v>3.6</v>
      </c>
      <c r="BF21" s="26">
        <v>2.7</v>
      </c>
      <c r="BG21" s="26">
        <v>3.4</v>
      </c>
      <c r="BH21" s="26">
        <v>4.45</v>
      </c>
      <c r="BI21" s="26">
        <v>0</v>
      </c>
      <c r="BJ21" s="26">
        <v>10</v>
      </c>
      <c r="BK21" s="26">
        <v>8.8000000000000007</v>
      </c>
      <c r="BL21" s="26">
        <v>11.8</v>
      </c>
      <c r="BM21" s="26">
        <v>14.34</v>
      </c>
      <c r="BN21" s="26">
        <v>0</v>
      </c>
      <c r="BO21" s="28"/>
      <c r="BP21" s="39" t="str">
        <f t="shared" si="26"/>
        <v/>
      </c>
      <c r="BQ21" s="39">
        <f t="shared" si="27"/>
        <v>14.79</v>
      </c>
      <c r="BR21" s="11">
        <f t="shared" si="28"/>
        <v>37.89</v>
      </c>
      <c r="BS21" s="11">
        <f t="shared" si="29"/>
        <v>3.4</v>
      </c>
      <c r="BT21" s="11">
        <f t="shared" si="30"/>
        <v>4.45</v>
      </c>
      <c r="BU21" s="11">
        <f t="shared" si="31"/>
        <v>14.150000000000002</v>
      </c>
      <c r="BV21" s="11">
        <f t="shared" si="32"/>
        <v>37.89</v>
      </c>
      <c r="BW21" s="11">
        <f t="shared" si="33"/>
        <v>11.8</v>
      </c>
      <c r="BX21" s="11">
        <f t="shared" si="34"/>
        <v>14.34</v>
      </c>
      <c r="BY21" s="11">
        <f t="shared" si="35"/>
        <v>44.94</v>
      </c>
      <c r="BZ21" s="11">
        <f t="shared" si="36"/>
        <v>82.83</v>
      </c>
      <c r="CA21" s="22">
        <v>14.4</v>
      </c>
      <c r="CB21" s="22">
        <v>9.9</v>
      </c>
      <c r="CC21" s="22">
        <v>0</v>
      </c>
      <c r="CD21" s="22">
        <v>14.98</v>
      </c>
      <c r="CE21" s="22">
        <v>0</v>
      </c>
      <c r="CF21" s="22">
        <v>4.5999999999999996</v>
      </c>
      <c r="CG21" s="22">
        <v>3.6</v>
      </c>
      <c r="CH21" s="22">
        <v>4.7</v>
      </c>
      <c r="CI21" s="22">
        <v>5.26</v>
      </c>
      <c r="CJ21" s="22">
        <v>0</v>
      </c>
      <c r="CK21" s="22">
        <v>11.3</v>
      </c>
      <c r="CL21" s="22">
        <v>9.3000000000000007</v>
      </c>
      <c r="CM21" s="22">
        <v>11.7</v>
      </c>
      <c r="CN21" s="22">
        <v>14.42</v>
      </c>
      <c r="CO21" s="22">
        <v>0</v>
      </c>
      <c r="CP21" s="27"/>
      <c r="CQ21" s="38" t="str">
        <f t="shared" si="37"/>
        <v/>
      </c>
      <c r="CR21" s="38">
        <f t="shared" si="38"/>
        <v>14.98</v>
      </c>
      <c r="CS21" s="40">
        <f t="shared" si="39"/>
        <v>39.28</v>
      </c>
      <c r="CT21" s="40">
        <f t="shared" si="40"/>
        <v>4.7</v>
      </c>
      <c r="CU21" s="40">
        <f t="shared" si="41"/>
        <v>5.26</v>
      </c>
      <c r="CV21" s="40">
        <f t="shared" si="42"/>
        <v>18.159999999999997</v>
      </c>
      <c r="CW21" s="40">
        <f t="shared" si="43"/>
        <v>39.28</v>
      </c>
      <c r="CX21" s="40">
        <f t="shared" si="44"/>
        <v>11.7</v>
      </c>
      <c r="CY21" s="40">
        <f t="shared" si="45"/>
        <v>14.42</v>
      </c>
      <c r="CZ21" s="40">
        <f t="shared" si="46"/>
        <v>46.72</v>
      </c>
      <c r="DA21" s="40">
        <f t="shared" si="47"/>
        <v>86</v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14.05</v>
      </c>
      <c r="SW21" s="22">
        <f t="shared" si="219"/>
        <v>9.65</v>
      </c>
      <c r="SX21" s="22">
        <f t="shared" si="220"/>
        <v>0</v>
      </c>
      <c r="SY21" s="22">
        <f t="shared" si="221"/>
        <v>14.885</v>
      </c>
      <c r="SZ21" s="22">
        <f t="shared" si="222"/>
        <v>0</v>
      </c>
      <c r="TA21" s="22">
        <f t="shared" si="223"/>
        <v>4.0999999999999996</v>
      </c>
      <c r="TB21" s="22">
        <f t="shared" si="224"/>
        <v>3.1500000000000004</v>
      </c>
      <c r="TC21" s="22">
        <f t="shared" si="225"/>
        <v>4.05</v>
      </c>
      <c r="TD21" s="22">
        <f t="shared" si="226"/>
        <v>4.8550000000000004</v>
      </c>
      <c r="TE21" s="22">
        <f t="shared" si="227"/>
        <v>0</v>
      </c>
      <c r="TF21" s="22">
        <f t="shared" si="228"/>
        <v>10.65</v>
      </c>
      <c r="TG21" s="22">
        <f t="shared" si="229"/>
        <v>9.0500000000000007</v>
      </c>
      <c r="TH21" s="22">
        <f t="shared" si="230"/>
        <v>11.75</v>
      </c>
      <c r="TI21" s="22">
        <f t="shared" si="231"/>
        <v>14.379999999999999</v>
      </c>
      <c r="TJ21" s="22">
        <f t="shared" si="232"/>
        <v>0</v>
      </c>
      <c r="TK21" s="27" t="s">
        <v>46</v>
      </c>
      <c r="TL21" s="40" t="str">
        <f t="shared" si="233"/>
        <v/>
      </c>
      <c r="TM21" s="40">
        <f t="shared" si="234"/>
        <v>14.885</v>
      </c>
      <c r="TN21" s="40">
        <f t="shared" si="235"/>
        <v>38.585000000000001</v>
      </c>
      <c r="TO21" s="40">
        <f t="shared" si="236"/>
        <v>4.05</v>
      </c>
      <c r="TP21" s="40">
        <f t="shared" si="237"/>
        <v>4.8550000000000004</v>
      </c>
      <c r="TQ21" s="40">
        <f t="shared" si="238"/>
        <v>16.155000000000001</v>
      </c>
      <c r="TR21" s="40">
        <f t="shared" si="239"/>
        <v>38.585000000000001</v>
      </c>
      <c r="TS21" s="40">
        <f t="shared" si="240"/>
        <v>11.75</v>
      </c>
      <c r="TT21" s="40">
        <f t="shared" si="241"/>
        <v>14.379999999999999</v>
      </c>
      <c r="TU21" s="40">
        <f t="shared" si="242"/>
        <v>45.83</v>
      </c>
      <c r="TV21" s="40">
        <f t="shared" si="243"/>
        <v>84.414999999999992</v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111</v>
      </c>
      <c r="D22" s="4" t="s">
        <v>110</v>
      </c>
      <c r="E22" s="4">
        <v>2006</v>
      </c>
      <c r="F22" s="9">
        <f t="shared" si="0"/>
        <v>139.64001396400477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47.7</v>
      </c>
      <c r="M22" s="8" t="str">
        <f t="shared" si="5"/>
        <v>2025 3rd Domestic Trial</v>
      </c>
      <c r="N22" s="8">
        <f>IF(COUNT(AQ22,AT22,BR22,BU22,CS22,CV22)&gt;1,LARGE((AQ22,AT22,BR22,BU22,CS22,CV22),2),0)</f>
        <v>42.09</v>
      </c>
      <c r="O22" s="8" t="str">
        <f t="shared" si="6"/>
        <v>2025 3rd Domestic Trial</v>
      </c>
      <c r="P22" s="8">
        <f>IF(COUNT(AQ22,AT22,BR22,BU22,CS22,CV22)&gt;2,MAX(AX22,BY22,CZ22,LARGE((AQ22,AT22,BR22,BU22,CS22,CV22),3)),IF(MAX(AX22,BY22,CZ22)&gt;0,MAX(AX22,BY22,CZ22),0))</f>
        <v>37.15</v>
      </c>
      <c r="Q22" s="8" t="str">
        <f t="shared" si="7"/>
        <v>2025 Nationals</v>
      </c>
      <c r="R22" s="8">
        <f t="shared" si="8"/>
        <v>12.7</v>
      </c>
      <c r="S22" s="8" t="str">
        <f t="shared" si="9"/>
        <v>2025 3rd Domestic Trial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6.3</v>
      </c>
      <c r="Z22" s="22">
        <v>5.7</v>
      </c>
      <c r="AA22" s="22">
        <v>9.3000000000000007</v>
      </c>
      <c r="AB22" s="22">
        <v>9.1300000000000008</v>
      </c>
      <c r="AC22" s="22">
        <v>0</v>
      </c>
      <c r="AD22" s="22">
        <v>6.2</v>
      </c>
      <c r="AE22" s="22">
        <v>5.2</v>
      </c>
      <c r="AF22" s="22">
        <v>7.8</v>
      </c>
      <c r="AG22" s="22">
        <v>9.14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5"/>
        <v>9.3000000000000007</v>
      </c>
      <c r="AP22" s="38">
        <f t="shared" si="16"/>
        <v>9.1300000000000008</v>
      </c>
      <c r="AQ22" s="40">
        <f t="shared" si="17"/>
        <v>30.43</v>
      </c>
      <c r="AR22" s="40">
        <f t="shared" si="18"/>
        <v>7.8</v>
      </c>
      <c r="AS22" s="40">
        <f t="shared" si="19"/>
        <v>9.14</v>
      </c>
      <c r="AT22" s="40">
        <f t="shared" si="20"/>
        <v>28.34</v>
      </c>
      <c r="AU22" s="40">
        <f t="shared" si="21"/>
        <v>30.43</v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>
        <f t="shared" si="25"/>
        <v>30.43</v>
      </c>
      <c r="AZ22" s="26">
        <v>3.1</v>
      </c>
      <c r="BA22" s="26">
        <v>2.8</v>
      </c>
      <c r="BB22" s="26">
        <v>3</v>
      </c>
      <c r="BC22" s="26">
        <v>4.47</v>
      </c>
      <c r="BD22" s="26">
        <v>0</v>
      </c>
      <c r="BE22" s="26">
        <v>8.1</v>
      </c>
      <c r="BF22" s="26">
        <v>7.3</v>
      </c>
      <c r="BG22" s="26">
        <v>10.199999999999999</v>
      </c>
      <c r="BH22" s="26">
        <v>11.55</v>
      </c>
      <c r="BI22" s="26">
        <v>0</v>
      </c>
      <c r="BJ22" s="26">
        <v>1</v>
      </c>
      <c r="BK22" s="26">
        <v>0.8</v>
      </c>
      <c r="BL22" s="26">
        <v>2</v>
      </c>
      <c r="BM22" s="26">
        <v>1.53</v>
      </c>
      <c r="BN22" s="26">
        <v>0</v>
      </c>
      <c r="BO22" s="28"/>
      <c r="BP22" s="39">
        <f t="shared" si="26"/>
        <v>3</v>
      </c>
      <c r="BQ22" s="39">
        <f t="shared" si="27"/>
        <v>4.47</v>
      </c>
      <c r="BR22" s="11">
        <f t="shared" si="28"/>
        <v>13.370000000000001</v>
      </c>
      <c r="BS22" s="11">
        <f t="shared" si="29"/>
        <v>10.199999999999999</v>
      </c>
      <c r="BT22" s="11">
        <f t="shared" si="30"/>
        <v>11.55</v>
      </c>
      <c r="BU22" s="11">
        <f t="shared" si="31"/>
        <v>37.15</v>
      </c>
      <c r="BV22" s="11">
        <f t="shared" si="32"/>
        <v>37.15</v>
      </c>
      <c r="BW22" s="11">
        <f t="shared" si="33"/>
        <v>2</v>
      </c>
      <c r="BX22" s="11">
        <f t="shared" si="34"/>
        <v>1.53</v>
      </c>
      <c r="BY22" s="11">
        <f t="shared" si="35"/>
        <v>5.33</v>
      </c>
      <c r="BZ22" s="11">
        <f t="shared" si="36"/>
        <v>42.48</v>
      </c>
      <c r="CA22" s="22">
        <v>10.3</v>
      </c>
      <c r="CB22" s="22">
        <v>9.4</v>
      </c>
      <c r="CC22" s="22">
        <v>12.7</v>
      </c>
      <c r="CD22" s="22">
        <v>15.3</v>
      </c>
      <c r="CE22" s="22">
        <v>0</v>
      </c>
      <c r="CF22" s="22">
        <v>10.5</v>
      </c>
      <c r="CG22" s="22">
        <v>8.8000000000000007</v>
      </c>
      <c r="CH22" s="22">
        <v>9.9</v>
      </c>
      <c r="CI22" s="22">
        <v>15.29</v>
      </c>
      <c r="CJ22" s="22">
        <v>2.4</v>
      </c>
      <c r="CK22" s="22">
        <v>4.3</v>
      </c>
      <c r="CL22" s="22">
        <v>3.5</v>
      </c>
      <c r="CM22" s="22">
        <v>3</v>
      </c>
      <c r="CN22" s="22">
        <v>6.42</v>
      </c>
      <c r="CO22" s="22">
        <v>0</v>
      </c>
      <c r="CP22" s="27"/>
      <c r="CQ22" s="38">
        <f t="shared" si="37"/>
        <v>12.7</v>
      </c>
      <c r="CR22" s="38">
        <f t="shared" si="38"/>
        <v>15.3</v>
      </c>
      <c r="CS22" s="40">
        <f t="shared" si="39"/>
        <v>47.7</v>
      </c>
      <c r="CT22" s="40">
        <f t="shared" si="40"/>
        <v>9.9</v>
      </c>
      <c r="CU22" s="40">
        <f t="shared" si="41"/>
        <v>15.29</v>
      </c>
      <c r="CV22" s="40">
        <f t="shared" si="42"/>
        <v>42.09</v>
      </c>
      <c r="CW22" s="40">
        <f t="shared" si="43"/>
        <v>47.7</v>
      </c>
      <c r="CX22" s="40">
        <f t="shared" si="44"/>
        <v>3</v>
      </c>
      <c r="CY22" s="40">
        <f t="shared" si="45"/>
        <v>6.42</v>
      </c>
      <c r="CZ22" s="40">
        <f t="shared" si="46"/>
        <v>17.22</v>
      </c>
      <c r="DA22" s="40">
        <f t="shared" si="47"/>
        <v>64.92</v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6.7</v>
      </c>
      <c r="SW22" s="22">
        <f t="shared" si="219"/>
        <v>6.1</v>
      </c>
      <c r="SX22" s="22">
        <f t="shared" si="220"/>
        <v>7.85</v>
      </c>
      <c r="SY22" s="22">
        <f t="shared" si="221"/>
        <v>9.8849999999999998</v>
      </c>
      <c r="SZ22" s="22">
        <f t="shared" si="222"/>
        <v>0</v>
      </c>
      <c r="TA22" s="22">
        <f t="shared" si="223"/>
        <v>9.3000000000000007</v>
      </c>
      <c r="TB22" s="22">
        <f t="shared" si="224"/>
        <v>8.0500000000000007</v>
      </c>
      <c r="TC22" s="22">
        <f t="shared" si="225"/>
        <v>10.050000000000001</v>
      </c>
      <c r="TD22" s="22">
        <f t="shared" si="226"/>
        <v>13.42</v>
      </c>
      <c r="TE22" s="22">
        <f t="shared" si="227"/>
        <v>1.2</v>
      </c>
      <c r="TF22" s="22">
        <f t="shared" si="228"/>
        <v>2.65</v>
      </c>
      <c r="TG22" s="22">
        <f t="shared" si="229"/>
        <v>2.15</v>
      </c>
      <c r="TH22" s="22">
        <f t="shared" si="230"/>
        <v>2.5</v>
      </c>
      <c r="TI22" s="22">
        <f t="shared" si="231"/>
        <v>3.9750000000000001</v>
      </c>
      <c r="TJ22" s="22">
        <f t="shared" si="232"/>
        <v>0</v>
      </c>
      <c r="TK22" s="27" t="s">
        <v>46</v>
      </c>
      <c r="TL22" s="40">
        <f t="shared" si="233"/>
        <v>7.85</v>
      </c>
      <c r="TM22" s="40">
        <f t="shared" si="234"/>
        <v>9.8849999999999998</v>
      </c>
      <c r="TN22" s="40">
        <f t="shared" si="235"/>
        <v>30.534999999999997</v>
      </c>
      <c r="TO22" s="40">
        <f t="shared" si="236"/>
        <v>10.050000000000001</v>
      </c>
      <c r="TP22" s="40">
        <f t="shared" si="237"/>
        <v>13.42</v>
      </c>
      <c r="TQ22" s="40">
        <f t="shared" si="238"/>
        <v>39.619999999999997</v>
      </c>
      <c r="TR22" s="40">
        <f t="shared" si="239"/>
        <v>39.619999999999997</v>
      </c>
      <c r="TS22" s="40">
        <f t="shared" si="240"/>
        <v>2.5</v>
      </c>
      <c r="TT22" s="40">
        <f t="shared" si="241"/>
        <v>3.9750000000000001</v>
      </c>
      <c r="TU22" s="40">
        <f t="shared" si="242"/>
        <v>11.275</v>
      </c>
      <c r="TV22" s="40">
        <f t="shared" si="243"/>
        <v>50.894999999999996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124</v>
      </c>
      <c r="D23" s="4" t="s">
        <v>5</v>
      </c>
      <c r="E23" s="4">
        <v>2007</v>
      </c>
      <c r="F23" s="9">
        <f t="shared" si="0"/>
        <v>135.22501352250501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49.954999999999998</v>
      </c>
      <c r="M23" s="8" t="str">
        <f t="shared" si="5"/>
        <v>2025 Elite Canada</v>
      </c>
      <c r="N23" s="8">
        <f>IF(COUNT(AQ23,AT23,BR23,BU23,CS23,CV23)&gt;1,LARGE((AQ23,AT23,BR23,BU23,CS23,CV23),2),0)</f>
        <v>48.465000000000003</v>
      </c>
      <c r="O23" s="8" t="str">
        <f t="shared" si="6"/>
        <v>2025 Elite Canada</v>
      </c>
      <c r="P23" s="8">
        <f>IF(COUNT(AQ23,AT23,BR23,BU23,CS23,CV23)&gt;2,MAX(AX23,BY23,CZ23,LARGE((AQ23,AT23,BR23,BU23,CS23,CV23),3)),IF(MAX(AX23,BY23,CZ23)&gt;0,MAX(AX23,BY23,CZ23),0))</f>
        <v>25.155000000000001</v>
      </c>
      <c r="Q23" s="8" t="str">
        <f t="shared" si="7"/>
        <v>2025 Elite Canada</v>
      </c>
      <c r="R23" s="8">
        <f t="shared" si="8"/>
        <v>11.65</v>
      </c>
      <c r="S23" s="8" t="str">
        <f t="shared" si="9"/>
        <v>2025 Elite Canada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13.75</v>
      </c>
      <c r="Z23" s="22">
        <v>9.0500000000000007</v>
      </c>
      <c r="AA23" s="22">
        <v>11.65</v>
      </c>
      <c r="AB23" s="22">
        <v>14.015000000000001</v>
      </c>
      <c r="AC23" s="22">
        <v>0</v>
      </c>
      <c r="AD23" s="22">
        <v>14.45</v>
      </c>
      <c r="AE23" s="22">
        <v>9.3000000000000007</v>
      </c>
      <c r="AF23" s="22">
        <v>11.65</v>
      </c>
      <c r="AG23" s="22">
        <v>14.555</v>
      </c>
      <c r="AH23" s="22">
        <v>0</v>
      </c>
      <c r="AI23" s="22">
        <v>7.3</v>
      </c>
      <c r="AJ23" s="22">
        <v>4.7</v>
      </c>
      <c r="AK23" s="22">
        <v>5.7</v>
      </c>
      <c r="AL23" s="22">
        <v>7.4550000000000001</v>
      </c>
      <c r="AM23" s="22">
        <v>0</v>
      </c>
      <c r="AN23" s="27" t="s">
        <v>46</v>
      </c>
      <c r="AO23" s="38">
        <f t="shared" si="15"/>
        <v>11.65</v>
      </c>
      <c r="AP23" s="38">
        <f t="shared" si="16"/>
        <v>14.015000000000001</v>
      </c>
      <c r="AQ23" s="40">
        <f t="shared" si="17"/>
        <v>48.465000000000003</v>
      </c>
      <c r="AR23" s="40">
        <f t="shared" si="18"/>
        <v>11.65</v>
      </c>
      <c r="AS23" s="40">
        <f t="shared" si="19"/>
        <v>14.555</v>
      </c>
      <c r="AT23" s="40">
        <f t="shared" si="20"/>
        <v>49.954999999999998</v>
      </c>
      <c r="AU23" s="40">
        <f t="shared" si="21"/>
        <v>49.954999999999998</v>
      </c>
      <c r="AV23" s="40">
        <f t="shared" si="22"/>
        <v>5.7</v>
      </c>
      <c r="AW23" s="40">
        <f t="shared" si="23"/>
        <v>7.4550000000000001</v>
      </c>
      <c r="AX23" s="40">
        <f t="shared" si="24"/>
        <v>25.155000000000001</v>
      </c>
      <c r="AY23" s="40">
        <f t="shared" si="25"/>
        <v>75.11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7"/>
        <v/>
      </c>
      <c r="CR23" s="38" t="str">
        <f t="shared" si="38"/>
        <v/>
      </c>
      <c r="CS23" s="40" t="str">
        <f t="shared" si="39"/>
        <v/>
      </c>
      <c r="CT23" s="40" t="str">
        <f t="shared" si="40"/>
        <v/>
      </c>
      <c r="CU23" s="40" t="str">
        <f t="shared" si="41"/>
        <v/>
      </c>
      <c r="CV23" s="40" t="str">
        <f t="shared" si="42"/>
        <v/>
      </c>
      <c r="CW23" s="40" t="str">
        <f t="shared" si="43"/>
        <v/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 t="str">
        <f t="shared" si="47"/>
        <v/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0</v>
      </c>
      <c r="SW23" s="22">
        <f t="shared" si="219"/>
        <v>0</v>
      </c>
      <c r="SX23" s="22">
        <f t="shared" si="220"/>
        <v>0</v>
      </c>
      <c r="SY23" s="22">
        <f t="shared" si="221"/>
        <v>0</v>
      </c>
      <c r="SZ23" s="22">
        <f t="shared" si="222"/>
        <v>0</v>
      </c>
      <c r="TA23" s="22">
        <f t="shared" si="223"/>
        <v>0</v>
      </c>
      <c r="TB23" s="22">
        <f t="shared" si="224"/>
        <v>0</v>
      </c>
      <c r="TC23" s="22">
        <f t="shared" si="225"/>
        <v>0</v>
      </c>
      <c r="TD23" s="22">
        <f t="shared" si="226"/>
        <v>0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2">
        <f t="shared" si="231"/>
        <v>0</v>
      </c>
      <c r="TJ23" s="22">
        <f t="shared" si="232"/>
        <v>0</v>
      </c>
      <c r="TK23" s="27" t="s">
        <v>46</v>
      </c>
      <c r="TL23" s="40" t="str">
        <f t="shared" si="233"/>
        <v/>
      </c>
      <c r="TM23" s="40" t="str">
        <f t="shared" si="234"/>
        <v/>
      </c>
      <c r="TN23" s="40" t="str">
        <f t="shared" si="235"/>
        <v/>
      </c>
      <c r="TO23" s="40" t="str">
        <f t="shared" si="236"/>
        <v/>
      </c>
      <c r="TP23" s="40" t="str">
        <f t="shared" si="237"/>
        <v/>
      </c>
      <c r="TQ23" s="40" t="str">
        <f t="shared" si="238"/>
        <v/>
      </c>
      <c r="TR23" s="40" t="str">
        <f t="shared" si="239"/>
        <v/>
      </c>
      <c r="TS23" s="40" t="str">
        <f t="shared" si="240"/>
        <v/>
      </c>
      <c r="TT23" s="40" t="str">
        <f t="shared" si="241"/>
        <v/>
      </c>
      <c r="TU23" s="40" t="str">
        <f t="shared" si="242"/>
        <v/>
      </c>
      <c r="TV23" s="40" t="str">
        <f t="shared" si="243"/>
        <v/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191</v>
      </c>
      <c r="D24" s="4" t="s">
        <v>5</v>
      </c>
      <c r="E24" s="4">
        <v>2009</v>
      </c>
      <c r="F24" s="9">
        <f t="shared" si="0"/>
        <v>128.55001285500393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39.450000000000003</v>
      </c>
      <c r="M24" s="8" t="str">
        <f t="shared" si="5"/>
        <v>2025 Nationals</v>
      </c>
      <c r="N24" s="8">
        <f>IF(COUNT(AQ24,AT24,BR24,BU24,CS24,CV24)&gt;1,LARGE((AQ24,AT24,BR24,BU24,CS24,CV24),2),0)</f>
        <v>36.65</v>
      </c>
      <c r="O24" s="8" t="str">
        <f t="shared" si="6"/>
        <v>2025 3rd Domestic Trial</v>
      </c>
      <c r="P24" s="8">
        <f>IF(COUNT(AQ24,AT24,BR24,BU24,CS24,CV24)&gt;2,MAX(AX24,BY24,CZ24,LARGE((AQ24,AT24,BR24,BU24,CS24,CV24),3)),IF(MAX(AX24,BY24,CZ24)&gt;0,MAX(AX24,BY24,CZ24),0))</f>
        <v>27.7</v>
      </c>
      <c r="Q24" s="8" t="str">
        <f t="shared" si="7"/>
        <v>2025 3rd Domestic Trial</v>
      </c>
      <c r="R24" s="8">
        <f t="shared" si="8"/>
        <v>9.8000000000000007</v>
      </c>
      <c r="S24" s="8" t="str">
        <f t="shared" si="9"/>
        <v>2025 3rd Domestic Trial</v>
      </c>
      <c r="T24" s="8">
        <f t="shared" si="10"/>
        <v>14.95</v>
      </c>
      <c r="U24" s="8" t="str">
        <f t="shared" si="11"/>
        <v>2025 Nationals</v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5"/>
        <v/>
      </c>
      <c r="AP24" s="38" t="str">
        <f t="shared" si="16"/>
        <v/>
      </c>
      <c r="AQ24" s="40" t="str">
        <f t="shared" si="17"/>
        <v/>
      </c>
      <c r="AR24" s="40" t="str">
        <f t="shared" si="18"/>
        <v/>
      </c>
      <c r="AS24" s="40" t="str">
        <f t="shared" si="19"/>
        <v/>
      </c>
      <c r="AT24" s="40" t="str">
        <f t="shared" si="20"/>
        <v/>
      </c>
      <c r="AU24" s="40" t="str">
        <f t="shared" si="21"/>
        <v/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 t="str">
        <f t="shared" si="25"/>
        <v/>
      </c>
      <c r="AZ24" s="26">
        <v>15.3</v>
      </c>
      <c r="BA24" s="26">
        <v>9.1999999999999993</v>
      </c>
      <c r="BB24" s="26">
        <v>0</v>
      </c>
      <c r="BC24" s="26">
        <v>14.95</v>
      </c>
      <c r="BD24" s="26">
        <v>0</v>
      </c>
      <c r="BE24" s="26">
        <v>4.5999999999999996</v>
      </c>
      <c r="BF24" s="26">
        <v>3.4</v>
      </c>
      <c r="BG24" s="26">
        <v>5.6</v>
      </c>
      <c r="BH24" s="26">
        <v>5.99</v>
      </c>
      <c r="BI24" s="26">
        <v>0</v>
      </c>
      <c r="BJ24" s="26">
        <v>5.2</v>
      </c>
      <c r="BK24" s="26">
        <v>3.3</v>
      </c>
      <c r="BL24" s="26">
        <v>4.3</v>
      </c>
      <c r="BM24" s="26">
        <v>5.89</v>
      </c>
      <c r="BN24" s="26">
        <v>0</v>
      </c>
      <c r="BO24" s="28"/>
      <c r="BP24" s="39" t="str">
        <f t="shared" si="26"/>
        <v/>
      </c>
      <c r="BQ24" s="39">
        <f t="shared" si="27"/>
        <v>14.95</v>
      </c>
      <c r="BR24" s="11">
        <f t="shared" si="28"/>
        <v>39.450000000000003</v>
      </c>
      <c r="BS24" s="11">
        <f t="shared" si="29"/>
        <v>5.6</v>
      </c>
      <c r="BT24" s="11">
        <f t="shared" si="30"/>
        <v>5.99</v>
      </c>
      <c r="BU24" s="11">
        <f t="shared" si="31"/>
        <v>19.59</v>
      </c>
      <c r="BV24" s="11">
        <f t="shared" si="32"/>
        <v>39.450000000000003</v>
      </c>
      <c r="BW24" s="11">
        <f t="shared" si="33"/>
        <v>4.3</v>
      </c>
      <c r="BX24" s="11">
        <f t="shared" si="34"/>
        <v>5.89</v>
      </c>
      <c r="BY24" s="11">
        <f t="shared" si="35"/>
        <v>18.690000000000001</v>
      </c>
      <c r="BZ24" s="11">
        <f t="shared" si="36"/>
        <v>58.14</v>
      </c>
      <c r="CA24" s="22">
        <v>11.2</v>
      </c>
      <c r="CB24" s="22">
        <v>6</v>
      </c>
      <c r="CC24" s="22">
        <v>0</v>
      </c>
      <c r="CD24" s="22">
        <v>10.5</v>
      </c>
      <c r="CE24" s="22">
        <v>0</v>
      </c>
      <c r="CF24" s="22">
        <v>9.1</v>
      </c>
      <c r="CG24" s="22">
        <v>6.5</v>
      </c>
      <c r="CH24" s="22">
        <v>9.8000000000000007</v>
      </c>
      <c r="CI24" s="22">
        <v>11.25</v>
      </c>
      <c r="CJ24" s="22">
        <v>0</v>
      </c>
      <c r="CK24" s="22"/>
      <c r="CL24" s="22"/>
      <c r="CM24" s="22"/>
      <c r="CN24" s="22"/>
      <c r="CO24" s="22"/>
      <c r="CP24" s="27"/>
      <c r="CQ24" s="38" t="str">
        <f t="shared" si="37"/>
        <v/>
      </c>
      <c r="CR24" s="38">
        <f t="shared" si="38"/>
        <v>10.5</v>
      </c>
      <c r="CS24" s="40">
        <f t="shared" si="39"/>
        <v>27.7</v>
      </c>
      <c r="CT24" s="40">
        <f t="shared" si="40"/>
        <v>9.8000000000000007</v>
      </c>
      <c r="CU24" s="40">
        <f t="shared" si="41"/>
        <v>11.25</v>
      </c>
      <c r="CV24" s="40">
        <f t="shared" si="42"/>
        <v>36.65</v>
      </c>
      <c r="CW24" s="40">
        <f t="shared" si="43"/>
        <v>36.65</v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>
        <f t="shared" si="47"/>
        <v>36.65</v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13.25</v>
      </c>
      <c r="SW24" s="22">
        <f t="shared" si="219"/>
        <v>7.6</v>
      </c>
      <c r="SX24" s="22">
        <f t="shared" si="220"/>
        <v>0</v>
      </c>
      <c r="SY24" s="22">
        <f t="shared" si="221"/>
        <v>12.725</v>
      </c>
      <c r="SZ24" s="22">
        <f t="shared" si="222"/>
        <v>0</v>
      </c>
      <c r="TA24" s="22">
        <f t="shared" si="223"/>
        <v>6.85</v>
      </c>
      <c r="TB24" s="22">
        <f t="shared" si="224"/>
        <v>4.95</v>
      </c>
      <c r="TC24" s="22">
        <f t="shared" si="225"/>
        <v>7.7</v>
      </c>
      <c r="TD24" s="22">
        <f t="shared" si="226"/>
        <v>8.620000000000001</v>
      </c>
      <c r="TE24" s="22">
        <f t="shared" si="227"/>
        <v>0</v>
      </c>
      <c r="TF24" s="22">
        <f t="shared" si="228"/>
        <v>2.6</v>
      </c>
      <c r="TG24" s="22">
        <f t="shared" si="229"/>
        <v>1.65</v>
      </c>
      <c r="TH24" s="22">
        <f t="shared" si="230"/>
        <v>2.15</v>
      </c>
      <c r="TI24" s="22">
        <f t="shared" si="231"/>
        <v>2.9449999999999998</v>
      </c>
      <c r="TJ24" s="22">
        <f t="shared" si="232"/>
        <v>0</v>
      </c>
      <c r="TK24" s="27" t="s">
        <v>46</v>
      </c>
      <c r="TL24" s="40" t="str">
        <f t="shared" si="233"/>
        <v/>
      </c>
      <c r="TM24" s="40">
        <f t="shared" si="234"/>
        <v>12.725</v>
      </c>
      <c r="TN24" s="40">
        <f t="shared" si="235"/>
        <v>33.575000000000003</v>
      </c>
      <c r="TO24" s="40">
        <f t="shared" si="236"/>
        <v>7.7</v>
      </c>
      <c r="TP24" s="40">
        <f t="shared" si="237"/>
        <v>8.620000000000001</v>
      </c>
      <c r="TQ24" s="40">
        <f t="shared" si="238"/>
        <v>28.12</v>
      </c>
      <c r="TR24" s="40">
        <f t="shared" si="239"/>
        <v>33.575000000000003</v>
      </c>
      <c r="TS24" s="40">
        <f t="shared" si="240"/>
        <v>2.15</v>
      </c>
      <c r="TT24" s="40">
        <f t="shared" si="241"/>
        <v>2.9449999999999998</v>
      </c>
      <c r="TU24" s="40">
        <f t="shared" si="242"/>
        <v>9.3450000000000006</v>
      </c>
      <c r="TV24" s="40">
        <f t="shared" si="243"/>
        <v>42.92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192</v>
      </c>
      <c r="D25" s="4" t="s">
        <v>4</v>
      </c>
      <c r="E25" s="4">
        <v>2009</v>
      </c>
      <c r="F25" s="9">
        <f t="shared" si="0"/>
        <v>92.800009280004005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40.090000000000003</v>
      </c>
      <c r="M25" s="8" t="str">
        <f t="shared" si="5"/>
        <v>2025 Nationals</v>
      </c>
      <c r="N25" s="8">
        <f>IF(COUNT(AQ25,AT25,BR25,BU25,CS25,CV25)&gt;1,LARGE((AQ25,AT25,BR25,BU25,CS25,CV25),2),0)</f>
        <v>14.850000000000001</v>
      </c>
      <c r="O25" s="8" t="str">
        <f t="shared" si="6"/>
        <v>2025 Nationals</v>
      </c>
      <c r="P25" s="8">
        <f>IF(COUNT(AQ25,AT25,BR25,BU25,CS25,CV25)&gt;2,MAX(AX25,BY25,CZ25,LARGE((AQ25,AT25,BR25,BU25,CS25,CV25),3)),IF(MAX(AX25,BY25,CZ25)&gt;0,MAX(AX25,BY25,CZ25),0))</f>
        <v>18.669999999999998</v>
      </c>
      <c r="Q25" s="8" t="str">
        <f t="shared" si="7"/>
        <v>2025 Nationals</v>
      </c>
      <c r="R25" s="8">
        <f t="shared" si="8"/>
        <v>4.3</v>
      </c>
      <c r="S25" s="8" t="str">
        <f t="shared" si="9"/>
        <v>2025 Nationals</v>
      </c>
      <c r="T25" s="8">
        <f t="shared" si="10"/>
        <v>14.89</v>
      </c>
      <c r="U25" s="8" t="str">
        <f t="shared" si="11"/>
        <v>2025 Nationals</v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 t="shared" si="15"/>
        <v/>
      </c>
      <c r="AP25" s="38" t="str">
        <f t="shared" si="16"/>
        <v/>
      </c>
      <c r="AQ25" s="40" t="str">
        <f t="shared" si="17"/>
        <v/>
      </c>
      <c r="AR25" s="40" t="str">
        <f t="shared" si="18"/>
        <v/>
      </c>
      <c r="AS25" s="40" t="str">
        <f t="shared" si="19"/>
        <v/>
      </c>
      <c r="AT25" s="40" t="str">
        <f t="shared" si="20"/>
        <v/>
      </c>
      <c r="AU25" s="40" t="str">
        <f t="shared" si="21"/>
        <v/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 t="str">
        <f t="shared" si="25"/>
        <v/>
      </c>
      <c r="AZ25" s="26">
        <v>15.8</v>
      </c>
      <c r="BA25" s="26">
        <v>9.4</v>
      </c>
      <c r="BB25" s="26">
        <v>0</v>
      </c>
      <c r="BC25" s="26">
        <v>14.89</v>
      </c>
      <c r="BD25" s="26">
        <v>0</v>
      </c>
      <c r="BE25" s="26">
        <v>4.0999999999999996</v>
      </c>
      <c r="BF25" s="26">
        <v>2.7</v>
      </c>
      <c r="BG25" s="26">
        <v>3.6</v>
      </c>
      <c r="BH25" s="26">
        <v>4.45</v>
      </c>
      <c r="BI25" s="26">
        <v>0</v>
      </c>
      <c r="BJ25" s="26">
        <v>5.2</v>
      </c>
      <c r="BK25" s="26">
        <v>3.2</v>
      </c>
      <c r="BL25" s="26">
        <v>4.3</v>
      </c>
      <c r="BM25" s="26">
        <v>5.97</v>
      </c>
      <c r="BN25" s="26">
        <v>0</v>
      </c>
      <c r="BO25" s="28"/>
      <c r="BP25" s="39" t="str">
        <f t="shared" si="26"/>
        <v/>
      </c>
      <c r="BQ25" s="39">
        <f t="shared" si="27"/>
        <v>14.89</v>
      </c>
      <c r="BR25" s="11">
        <f t="shared" si="28"/>
        <v>40.090000000000003</v>
      </c>
      <c r="BS25" s="11">
        <f t="shared" si="29"/>
        <v>3.6</v>
      </c>
      <c r="BT25" s="11">
        <f t="shared" si="30"/>
        <v>4.45</v>
      </c>
      <c r="BU25" s="11">
        <f t="shared" si="31"/>
        <v>14.850000000000001</v>
      </c>
      <c r="BV25" s="11">
        <f t="shared" si="32"/>
        <v>40.090000000000003</v>
      </c>
      <c r="BW25" s="11">
        <f t="shared" si="33"/>
        <v>4.3</v>
      </c>
      <c r="BX25" s="11">
        <f t="shared" si="34"/>
        <v>5.97</v>
      </c>
      <c r="BY25" s="11">
        <f t="shared" si="35"/>
        <v>18.669999999999998</v>
      </c>
      <c r="BZ25" s="11">
        <f t="shared" si="36"/>
        <v>58.760000000000005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7.9</v>
      </c>
      <c r="SW25" s="22">
        <f t="shared" si="219"/>
        <v>4.7</v>
      </c>
      <c r="SX25" s="22">
        <f t="shared" si="220"/>
        <v>0</v>
      </c>
      <c r="SY25" s="22">
        <f t="shared" si="221"/>
        <v>7.4450000000000003</v>
      </c>
      <c r="SZ25" s="22">
        <f t="shared" si="222"/>
        <v>0</v>
      </c>
      <c r="TA25" s="22">
        <f t="shared" si="223"/>
        <v>2.0499999999999998</v>
      </c>
      <c r="TB25" s="22">
        <f t="shared" si="224"/>
        <v>1.35</v>
      </c>
      <c r="TC25" s="22">
        <f t="shared" si="225"/>
        <v>1.8</v>
      </c>
      <c r="TD25" s="22">
        <f t="shared" si="226"/>
        <v>2.2250000000000001</v>
      </c>
      <c r="TE25" s="22">
        <f t="shared" si="227"/>
        <v>0</v>
      </c>
      <c r="TF25" s="22">
        <f t="shared" si="228"/>
        <v>2.6</v>
      </c>
      <c r="TG25" s="22">
        <f t="shared" si="229"/>
        <v>1.6</v>
      </c>
      <c r="TH25" s="22">
        <f t="shared" si="230"/>
        <v>2.15</v>
      </c>
      <c r="TI25" s="22">
        <f t="shared" si="231"/>
        <v>2.9849999999999999</v>
      </c>
      <c r="TJ25" s="22">
        <f t="shared" si="232"/>
        <v>0</v>
      </c>
      <c r="TK25" s="27" t="s">
        <v>46</v>
      </c>
      <c r="TL25" s="40" t="str">
        <f t="shared" si="233"/>
        <v/>
      </c>
      <c r="TM25" s="40">
        <f t="shared" si="234"/>
        <v>7.4450000000000003</v>
      </c>
      <c r="TN25" s="40">
        <f t="shared" si="235"/>
        <v>20.045000000000002</v>
      </c>
      <c r="TO25" s="40">
        <f t="shared" si="236"/>
        <v>1.8</v>
      </c>
      <c r="TP25" s="40">
        <f t="shared" si="237"/>
        <v>2.2250000000000001</v>
      </c>
      <c r="TQ25" s="40">
        <f t="shared" si="238"/>
        <v>7.4250000000000007</v>
      </c>
      <c r="TR25" s="40">
        <f t="shared" si="239"/>
        <v>20.045000000000002</v>
      </c>
      <c r="TS25" s="40">
        <f t="shared" si="240"/>
        <v>2.15</v>
      </c>
      <c r="TT25" s="40">
        <f t="shared" si="241"/>
        <v>2.9849999999999999</v>
      </c>
      <c r="TU25" s="40">
        <f t="shared" si="242"/>
        <v>9.3349999999999991</v>
      </c>
      <c r="TV25" s="40">
        <f t="shared" si="243"/>
        <v>29.380000000000003</v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91</v>
      </c>
      <c r="D26" s="4" t="s">
        <v>4</v>
      </c>
      <c r="E26" s="4">
        <v>2005</v>
      </c>
      <c r="F26" s="9">
        <f t="shared" si="0"/>
        <v>91.250009125004524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45.129999999999995</v>
      </c>
      <c r="M26" s="8" t="str">
        <f t="shared" si="5"/>
        <v>2025 Elite Canada</v>
      </c>
      <c r="N26" s="8">
        <f>IF(COUNT(AQ26,AT26,BR26,BU26,CS26,CV26)&gt;1,LARGE((AQ26,AT26,BR26,BU26,CS26,CV26),2),0)</f>
        <v>35.47</v>
      </c>
      <c r="O26" s="8" t="str">
        <f t="shared" si="6"/>
        <v>2025 Elite Canada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10.65</v>
      </c>
      <c r="S26" s="8" t="str">
        <f t="shared" si="9"/>
        <v>2025 Elite Canada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8.8000000000000007</v>
      </c>
      <c r="Z26" s="22">
        <v>6.55</v>
      </c>
      <c r="AA26" s="22">
        <v>8.3500000000000014</v>
      </c>
      <c r="AB26" s="22">
        <v>11.77</v>
      </c>
      <c r="AC26" s="22">
        <v>0</v>
      </c>
      <c r="AD26" s="22">
        <v>11.95</v>
      </c>
      <c r="AE26" s="22">
        <v>8.1</v>
      </c>
      <c r="AF26" s="22">
        <v>10.65</v>
      </c>
      <c r="AG26" s="22">
        <v>14.43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7" t="s">
        <v>46</v>
      </c>
      <c r="AO26" s="38">
        <f t="shared" si="15"/>
        <v>8.3500000000000014</v>
      </c>
      <c r="AP26" s="38">
        <f t="shared" si="16"/>
        <v>11.77</v>
      </c>
      <c r="AQ26" s="40">
        <f t="shared" si="17"/>
        <v>35.47</v>
      </c>
      <c r="AR26" s="40">
        <f t="shared" si="18"/>
        <v>10.65</v>
      </c>
      <c r="AS26" s="40">
        <f t="shared" si="19"/>
        <v>14.43</v>
      </c>
      <c r="AT26" s="40">
        <f t="shared" si="20"/>
        <v>45.129999999999995</v>
      </c>
      <c r="AU26" s="40">
        <f t="shared" si="21"/>
        <v>45.129999999999995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45.129999999999995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 t="str">
        <f t="shared" si="243"/>
        <v/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125</v>
      </c>
      <c r="D27" s="4" t="s">
        <v>5</v>
      </c>
      <c r="E27" s="4">
        <v>2007</v>
      </c>
      <c r="F27" s="9">
        <f t="shared" si="0"/>
        <v>71.370007137000528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5.3</v>
      </c>
      <c r="M27" s="8" t="str">
        <f t="shared" si="5"/>
        <v>2025 Nationals</v>
      </c>
      <c r="N27" s="8">
        <f>IF(COUNT(AQ27,AT27,BR27,BU27,CS27,CV27)&gt;1,LARGE((AQ27,AT27,BR27,BU27,CS27,CV27),2),0)</f>
        <v>5.21</v>
      </c>
      <c r="O27" s="8" t="str">
        <f t="shared" si="6"/>
        <v>2025 Nationals</v>
      </c>
      <c r="P27" s="8">
        <f>IF(COUNT(AQ27,AT27,BR27,BU27,CS27,CV27)&gt;2,MAX(AX27,BY27,CZ27,LARGE((AQ27,AT27,BR27,BU27,CS27,CV27),3)),IF(MAX(AX27,BY27,CZ27)&gt;0,MAX(AX27,BY27,CZ27),0))</f>
        <v>49.06</v>
      </c>
      <c r="Q27" s="8" t="str">
        <f t="shared" si="7"/>
        <v>2025 Nationals</v>
      </c>
      <c r="R27" s="8">
        <f t="shared" si="8"/>
        <v>11.8</v>
      </c>
      <c r="S27" s="8" t="str">
        <f t="shared" si="9"/>
        <v>2025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 t="str">
        <f t="shared" si="18"/>
        <v/>
      </c>
      <c r="AS27" s="40" t="str">
        <f t="shared" si="19"/>
        <v/>
      </c>
      <c r="AT27" s="40" t="str">
        <f t="shared" si="20"/>
        <v/>
      </c>
      <c r="AU27" s="40" t="str">
        <f t="shared" si="21"/>
        <v/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 t="str">
        <f t="shared" si="25"/>
        <v/>
      </c>
      <c r="AZ27" s="26">
        <v>1.5</v>
      </c>
      <c r="BA27" s="26">
        <v>0.8</v>
      </c>
      <c r="BB27" s="26">
        <v>1.5</v>
      </c>
      <c r="BC27" s="26">
        <v>1.5</v>
      </c>
      <c r="BD27" s="26">
        <v>0</v>
      </c>
      <c r="BE27" s="26">
        <v>1.4</v>
      </c>
      <c r="BF27" s="26">
        <v>0.8</v>
      </c>
      <c r="BG27" s="26">
        <v>1.5</v>
      </c>
      <c r="BH27" s="26">
        <v>1.51</v>
      </c>
      <c r="BI27" s="26">
        <v>0</v>
      </c>
      <c r="BJ27" s="26">
        <v>14.4</v>
      </c>
      <c r="BK27" s="26">
        <v>9</v>
      </c>
      <c r="BL27" s="26">
        <v>11.8</v>
      </c>
      <c r="BM27" s="26">
        <v>14.36</v>
      </c>
      <c r="BN27" s="26">
        <v>0.5</v>
      </c>
      <c r="BO27" s="28"/>
      <c r="BP27" s="39">
        <f t="shared" si="26"/>
        <v>1.5</v>
      </c>
      <c r="BQ27" s="39">
        <f t="shared" si="27"/>
        <v>1.5</v>
      </c>
      <c r="BR27" s="11">
        <f t="shared" si="28"/>
        <v>5.3</v>
      </c>
      <c r="BS27" s="11">
        <f t="shared" si="29"/>
        <v>1.5</v>
      </c>
      <c r="BT27" s="11">
        <f t="shared" si="30"/>
        <v>1.51</v>
      </c>
      <c r="BU27" s="11">
        <f t="shared" si="31"/>
        <v>5.21</v>
      </c>
      <c r="BV27" s="11">
        <f t="shared" si="32"/>
        <v>5.3</v>
      </c>
      <c r="BW27" s="11">
        <f t="shared" si="33"/>
        <v>11.8</v>
      </c>
      <c r="BX27" s="11">
        <f t="shared" si="34"/>
        <v>14.36</v>
      </c>
      <c r="BY27" s="11">
        <f t="shared" si="35"/>
        <v>49.06</v>
      </c>
      <c r="BZ27" s="11">
        <f t="shared" si="36"/>
        <v>54.36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0.75</v>
      </c>
      <c r="SW27" s="22">
        <f t="shared" si="219"/>
        <v>0.4</v>
      </c>
      <c r="SX27" s="22">
        <f t="shared" si="220"/>
        <v>0.75</v>
      </c>
      <c r="SY27" s="22">
        <f t="shared" si="221"/>
        <v>0.75</v>
      </c>
      <c r="SZ27" s="22">
        <f t="shared" si="222"/>
        <v>0</v>
      </c>
      <c r="TA27" s="22">
        <f t="shared" si="223"/>
        <v>0.7</v>
      </c>
      <c r="TB27" s="22">
        <f t="shared" si="224"/>
        <v>0.4</v>
      </c>
      <c r="TC27" s="22">
        <f t="shared" si="225"/>
        <v>0.75</v>
      </c>
      <c r="TD27" s="22">
        <f t="shared" si="226"/>
        <v>0.755</v>
      </c>
      <c r="TE27" s="22">
        <f t="shared" si="227"/>
        <v>0</v>
      </c>
      <c r="TF27" s="22">
        <f t="shared" si="228"/>
        <v>7.2</v>
      </c>
      <c r="TG27" s="22">
        <f t="shared" si="229"/>
        <v>4.5</v>
      </c>
      <c r="TH27" s="22">
        <f t="shared" si="230"/>
        <v>5.9</v>
      </c>
      <c r="TI27" s="22">
        <f t="shared" si="231"/>
        <v>7.18</v>
      </c>
      <c r="TJ27" s="22">
        <f t="shared" si="232"/>
        <v>0.25</v>
      </c>
      <c r="TK27" s="27" t="s">
        <v>46</v>
      </c>
      <c r="TL27" s="40">
        <f t="shared" si="233"/>
        <v>0.75</v>
      </c>
      <c r="TM27" s="40">
        <f t="shared" si="234"/>
        <v>0.75</v>
      </c>
      <c r="TN27" s="40">
        <f t="shared" si="235"/>
        <v>2.65</v>
      </c>
      <c r="TO27" s="40">
        <f t="shared" si="236"/>
        <v>0.75</v>
      </c>
      <c r="TP27" s="40">
        <f t="shared" si="237"/>
        <v>0.755</v>
      </c>
      <c r="TQ27" s="40">
        <f t="shared" si="238"/>
        <v>2.605</v>
      </c>
      <c r="TR27" s="40">
        <f t="shared" si="239"/>
        <v>2.65</v>
      </c>
      <c r="TS27" s="40">
        <f t="shared" si="240"/>
        <v>5.9</v>
      </c>
      <c r="TT27" s="40">
        <f t="shared" si="241"/>
        <v>7.18</v>
      </c>
      <c r="TU27" s="40">
        <f t="shared" si="242"/>
        <v>24.53</v>
      </c>
      <c r="TV27" s="40">
        <f t="shared" si="243"/>
        <v>27.18</v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14.5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14.5</v>
      </c>
      <c r="FF30" s="5"/>
      <c r="FG30" s="5"/>
      <c r="FP30" s="2"/>
      <c r="FQ30" s="2"/>
      <c r="FS30" s="53">
        <v>14.5</v>
      </c>
      <c r="GN30" s="5"/>
      <c r="GO30" s="5"/>
      <c r="GX30" s="2"/>
      <c r="GY30" s="2"/>
      <c r="HA30" s="53">
        <v>14.5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54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54</v>
      </c>
      <c r="FF34" s="5"/>
      <c r="FG34" s="5"/>
      <c r="FP34" s="2"/>
      <c r="FQ34" s="2"/>
      <c r="FS34" s="57">
        <v>54</v>
      </c>
      <c r="GN34" s="5"/>
      <c r="GO34" s="5"/>
      <c r="GX34" s="2"/>
      <c r="GY34" s="2"/>
      <c r="HA34" s="57">
        <v>54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H1:H28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53" priority="229" operator="containsText" text="No DD">
      <formula>NOT(ISERROR(SEARCH("No DD",J1)))</formula>
    </cfRule>
    <cfRule type="containsText" dxfId="452" priority="230" operator="containsText" text="Merit">
      <formula>NOT(ISERROR(SEARCH("Merit",J1)))</formula>
    </cfRule>
    <cfRule type="containsText" dxfId="451" priority="231" operator="containsText" text="Excellence">
      <formula>NOT(ISERROR(SEARCH("Excellence",J1)))</formula>
    </cfRule>
    <cfRule type="containsText" dxfId="450" priority="232" operator="containsText" text="Worlds Team">
      <formula>NOT(ISERROR(SEARCH("Worlds Team",J1)))</formula>
    </cfRule>
    <cfRule type="containsText" dxfId="449" priority="233" operator="containsText" text="National Team">
      <formula>NOT(ISERROR(SEARCH("National Team",J1)))</formula>
    </cfRule>
  </conditionalFormatting>
  <conditionalFormatting sqref="Y4:AY27">
    <cfRule type="expression" dxfId="448" priority="22" stopIfTrue="1">
      <formula>IF($AN4&lt;&gt;"",1,0)</formula>
    </cfRule>
  </conditionalFormatting>
  <conditionalFormatting sqref="AZ4:BZ27">
    <cfRule type="expression" dxfId="447" priority="210" stopIfTrue="1">
      <formula>IF($BO4&lt;&gt;"",1,0)</formula>
    </cfRule>
  </conditionalFormatting>
  <conditionalFormatting sqref="CA4:DA27">
    <cfRule type="expression" dxfId="446" priority="206" stopIfTrue="1">
      <formula>IF($CP4&lt;&gt;"",1,0)</formula>
    </cfRule>
  </conditionalFormatting>
  <conditionalFormatting sqref="BW38:BW1048576 BP1:BP1048576 BS1:BS1048576 BW1:BW36">
    <cfRule type="cellIs" dxfId="445" priority="52632" operator="between">
      <formula>$BZ$33</formula>
      <formula>1000</formula>
    </cfRule>
    <cfRule type="cellIs" dxfId="444" priority="52633" operator="between">
      <formula>$BZ$32</formula>
      <formula>$BZ$33</formula>
    </cfRule>
    <cfRule type="cellIs" dxfId="443" priority="52634" operator="between">
      <formula>$BZ$31</formula>
      <formula>$BZ$32</formula>
    </cfRule>
    <cfRule type="cellIs" dxfId="442" priority="52635" operator="between">
      <formula>$BZ$30</formula>
      <formula>$BZ$31</formula>
    </cfRule>
  </conditionalFormatting>
  <conditionalFormatting sqref="CX38:CX1048576 CQ1:CQ1048576 CT1:CT1048576 CX1:CX36">
    <cfRule type="cellIs" dxfId="441" priority="51509" operator="between">
      <formula>$DA$33</formula>
      <formula>1000</formula>
    </cfRule>
    <cfRule type="cellIs" dxfId="440" priority="51510" operator="between">
      <formula>$DA$32</formula>
      <formula>$DA$33</formula>
    </cfRule>
    <cfRule type="cellIs" dxfId="439" priority="51511" operator="between">
      <formula>$DA$31</formula>
      <formula>$DA$32</formula>
    </cfRule>
    <cfRule type="cellIs" dxfId="438" priority="51512" operator="between">
      <formula>$DA$30</formula>
      <formula>$DA$31</formula>
    </cfRule>
  </conditionalFormatting>
  <conditionalFormatting sqref="EH38:EH1048576 DX1:DX1048576 EA1:EA1048576 EE1:EE1048576 EH1:EH36">
    <cfRule type="cellIs" dxfId="437" priority="52660" operator="between">
      <formula>$EK$33</formula>
      <formula>1000</formula>
    </cfRule>
    <cfRule type="cellIs" dxfId="436" priority="52661" operator="between">
      <formula>$EK$32</formula>
      <formula>$EK$33</formula>
    </cfRule>
    <cfRule type="cellIs" dxfId="435" priority="52662" operator="between">
      <formula>$EK$31</formula>
      <formula>$EK$32</formula>
    </cfRule>
    <cfRule type="cellIs" dxfId="434" priority="52663" operator="between">
      <formula>$EK$30</formula>
      <formula>$EK$31</formula>
    </cfRule>
  </conditionalFormatting>
  <conditionalFormatting sqref="FP38:FP1048576 FF1:FF1048576 FI1:FI1048576 FM1:FM1048576 FP1:FP36">
    <cfRule type="cellIs" dxfId="433" priority="190" operator="between">
      <formula>$FS$33</formula>
      <formula>1000</formula>
    </cfRule>
    <cfRule type="cellIs" dxfId="432" priority="191" operator="between">
      <formula>$FS$32</formula>
      <formula>$FS$33</formula>
    </cfRule>
    <cfRule type="cellIs" dxfId="431" priority="192" operator="between">
      <formula>$FS$31</formula>
      <formula>$FS$32</formula>
    </cfRule>
    <cfRule type="cellIs" dxfId="430" priority="193" operator="between">
      <formula>$FS$30</formula>
      <formula>$FS$31</formula>
    </cfRule>
  </conditionalFormatting>
  <conditionalFormatting sqref="IF38:IF1048576 HV1:HV1048576 HY1:HY1048576 IC1:IC1048576 IF1:IF36">
    <cfRule type="cellIs" dxfId="429" priority="158" operator="between">
      <formula>$II$33</formula>
      <formula>1000</formula>
    </cfRule>
    <cfRule type="cellIs" dxfId="428" priority="159" operator="between">
      <formula>$II$32</formula>
      <formula>$II$33</formula>
    </cfRule>
    <cfRule type="cellIs" dxfId="427" priority="160" operator="between">
      <formula>$II$31</formula>
      <formula>$II$32</formula>
    </cfRule>
    <cfRule type="cellIs" dxfId="426" priority="161" operator="between">
      <formula>$II$30</formula>
      <formula>$II$31</formula>
    </cfRule>
  </conditionalFormatting>
  <conditionalFormatting sqref="AW37 AO1:AO1048576 AR1:AR1048576 AV1:AV1048576">
    <cfRule type="cellIs" dxfId="425" priority="23" operator="between">
      <formula>$AY$33</formula>
      <formula>1000</formula>
    </cfRule>
    <cfRule type="cellIs" dxfId="424" priority="24" operator="between">
      <formula>$AY$32</formula>
      <formula>$AY$33</formula>
    </cfRule>
    <cfRule type="cellIs" dxfId="423" priority="25" operator="between">
      <formula>$AY$31</formula>
      <formula>$AY$32</formula>
    </cfRule>
    <cfRule type="cellIs" dxfId="422" priority="51275" operator="between">
      <formula>$AY$30</formula>
      <formula>$AY$31</formula>
    </cfRule>
  </conditionalFormatting>
  <conditionalFormatting sqref="BW37">
    <cfRule type="cellIs" dxfId="421" priority="18" operator="between">
      <formula>$AY$33</formula>
      <formula>1000</formula>
    </cfRule>
    <cfRule type="cellIs" dxfId="420" priority="19" operator="between">
      <formula>$AY$32</formula>
      <formula>$AY$33</formula>
    </cfRule>
    <cfRule type="cellIs" dxfId="419" priority="20" operator="between">
      <formula>$AY$31</formula>
      <formula>$AY$32</formula>
    </cfRule>
    <cfRule type="cellIs" dxfId="418" priority="21" operator="between">
      <formula>$AY$30</formula>
      <formula>$AY$31</formula>
    </cfRule>
  </conditionalFormatting>
  <conditionalFormatting sqref="CX37">
    <cfRule type="cellIs" dxfId="417" priority="14" operator="between">
      <formula>$AY$33</formula>
      <formula>1000</formula>
    </cfRule>
    <cfRule type="cellIs" dxfId="416" priority="15" operator="between">
      <formula>$AY$32</formula>
      <formula>$AY$33</formula>
    </cfRule>
    <cfRule type="cellIs" dxfId="415" priority="16" operator="between">
      <formula>$AY$31</formula>
      <formula>$AY$32</formula>
    </cfRule>
    <cfRule type="cellIs" dxfId="414" priority="17" operator="between">
      <formula>$AY$30</formula>
      <formula>$AY$31</formula>
    </cfRule>
  </conditionalFormatting>
  <conditionalFormatting sqref="EH37">
    <cfRule type="cellIs" dxfId="413" priority="10" operator="between">
      <formula>$AY$33</formula>
      <formula>1000</formula>
    </cfRule>
    <cfRule type="cellIs" dxfId="412" priority="11" operator="between">
      <formula>$AY$32</formula>
      <formula>$AY$33</formula>
    </cfRule>
    <cfRule type="cellIs" dxfId="411" priority="12" operator="between">
      <formula>$AY$31</formula>
      <formula>$AY$32</formula>
    </cfRule>
    <cfRule type="cellIs" dxfId="410" priority="13" operator="between">
      <formula>$AY$30</formula>
      <formula>$AY$31</formula>
    </cfRule>
  </conditionalFormatting>
  <conditionalFormatting sqref="FP37">
    <cfRule type="cellIs" dxfId="409" priority="6" operator="between">
      <formula>$AY$33</formula>
      <formula>1000</formula>
    </cfRule>
    <cfRule type="cellIs" dxfId="408" priority="7" operator="between">
      <formula>$AY$32</formula>
      <formula>$AY$33</formula>
    </cfRule>
    <cfRule type="cellIs" dxfId="407" priority="8" operator="between">
      <formula>$AY$31</formula>
      <formula>$AY$32</formula>
    </cfRule>
    <cfRule type="cellIs" dxfId="406" priority="9" operator="between">
      <formula>$AY$30</formula>
      <formula>$AY$31</formula>
    </cfRule>
  </conditionalFormatting>
  <conditionalFormatting sqref="IF37">
    <cfRule type="cellIs" dxfId="405" priority="2" operator="between">
      <formula>$AY$33</formula>
      <formula>1000</formula>
    </cfRule>
    <cfRule type="cellIs" dxfId="404" priority="3" operator="between">
      <formula>$AY$32</formula>
      <formula>$AY$33</formula>
    </cfRule>
    <cfRule type="cellIs" dxfId="403" priority="4" operator="between">
      <formula>$AY$31</formula>
      <formula>$AY$32</formula>
    </cfRule>
    <cfRule type="cellIs" dxfId="402" priority="5" operator="between">
      <formula>$AY$30</formula>
      <formula>$AY$31</formula>
    </cfRule>
  </conditionalFormatting>
  <conditionalFormatting sqref="M1:M1048576 O1:O1048576 S1:S1048576 U1:U1048576 Q1:Q1048576">
    <cfRule type="expression" dxfId="401" priority="52651" stopIfTrue="1">
      <formula>IF(M1=$CA$1,1,0)</formula>
    </cfRule>
    <cfRule type="expression" dxfId="400" priority="52652">
      <formula>IF(M1=$AZ$1,1,0)</formula>
    </cfRule>
    <cfRule type="expression" dxfId="399" priority="52653">
      <formula>IF(M1=$Y$1,1,0)</formula>
    </cfRule>
  </conditionalFormatting>
  <conditionalFormatting sqref="A4:B1048576">
    <cfRule type="expression" dxfId="398" priority="1" stopIfTrue="1">
      <formula>AND($I4&lt;&gt;"",$H4="")</formula>
    </cfRule>
    <cfRule type="expression" dxfId="397" priority="37563" stopIfTrue="1">
      <formula>IF(A4&gt;4,1,0)</formula>
    </cfRule>
  </conditionalFormatting>
  <conditionalFormatting sqref="CV1:CV1048576 AT1:AT1048576">
    <cfRule type="cellIs" dxfId="396" priority="271050" operator="between">
      <formula>AY$37</formula>
      <formula>1000</formula>
    </cfRule>
    <cfRule type="cellIs" dxfId="395" priority="271051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94" priority="271062" operator="between">
      <formula>EK$37</formula>
      <formula>1000</formula>
    </cfRule>
    <cfRule type="cellIs" dxfId="393" priority="271063" operator="between">
      <formula>EK$36</formula>
      <formula>EK$37</formula>
    </cfRule>
  </conditionalFormatting>
  <conditionalFormatting sqref="AQ1:AQ1048576 AT1:AT1048576 AX1:AX1048576">
    <cfRule type="cellIs" dxfId="392" priority="271134" operator="between">
      <formula>$AY$37</formula>
      <formula>1000</formula>
    </cfRule>
    <cfRule type="cellIs" dxfId="391" priority="271135" operator="between">
      <formula>$AY$36</formula>
      <formula>$AY$37</formula>
    </cfRule>
    <cfRule type="cellIs" dxfId="390" priority="271136" operator="between">
      <formula>$AY$35</formula>
      <formula>$AY$36</formula>
    </cfRule>
    <cfRule type="cellIs" dxfId="389" priority="271137" operator="between">
      <formula>$AY$34</formula>
      <formula>$AY$35</formula>
    </cfRule>
  </conditionalFormatting>
  <conditionalFormatting sqref="BR1:BR1048576 BU1:BU1048576 BY1:BY1048576">
    <cfRule type="cellIs" dxfId="388" priority="271170" operator="between">
      <formula>$BZ$37</formula>
      <formula>1000</formula>
    </cfRule>
    <cfRule type="cellIs" dxfId="387" priority="271171" operator="between">
      <formula>$BZ$36</formula>
      <formula>$BZ$37</formula>
    </cfRule>
    <cfRule type="cellIs" dxfId="386" priority="271172" operator="between">
      <formula>$BZ$35</formula>
      <formula>$BZ$36</formula>
    </cfRule>
    <cfRule type="cellIs" dxfId="385" priority="271173" operator="between">
      <formula>$BZ$34</formula>
      <formula>$BZ$35</formula>
    </cfRule>
  </conditionalFormatting>
  <conditionalFormatting sqref="CS1:CS1048576 CV1:CV1048576 CZ1:CZ1048576">
    <cfRule type="cellIs" dxfId="384" priority="271206" operator="between">
      <formula>$DA$37</formula>
      <formula>1000</formula>
    </cfRule>
    <cfRule type="cellIs" dxfId="383" priority="271207" operator="between">
      <formula>$DA$36</formula>
      <formula>$DA$37</formula>
    </cfRule>
    <cfRule type="cellIs" dxfId="382" priority="271208" operator="between">
      <formula>$DA$35</formula>
      <formula>$DA$36</formula>
    </cfRule>
    <cfRule type="cellIs" dxfId="381" priority="271209" operator="between">
      <formula>$DA$34</formula>
      <formula>$DA$35</formula>
    </cfRule>
  </conditionalFormatting>
  <conditionalFormatting sqref="NB1:NB1048576 NE1:NE1048576 NI1:NI1048576 NL1:NL1048576">
    <cfRule type="cellIs" dxfId="380" priority="271242" operator="between">
      <formula>$NO$30</formula>
      <formula>$NO$31</formula>
    </cfRule>
  </conditionalFormatting>
  <conditionalFormatting sqref="DZ1:DZ1048576 EC1:EC1048576 EG1:EG1048576 EJ1:EJ1048576">
    <cfRule type="cellIs" dxfId="379" priority="271254" operator="between">
      <formula>$EK$37</formula>
      <formula>1000</formula>
    </cfRule>
    <cfRule type="cellIs" dxfId="378" priority="271255" operator="between">
      <formula>$EK$36</formula>
      <formula>$EK$37</formula>
    </cfRule>
    <cfRule type="cellIs" dxfId="377" priority="271256" operator="between">
      <formula>$EK$35</formula>
      <formula>$EK$36</formula>
    </cfRule>
    <cfRule type="cellIs" dxfId="376" priority="271257" operator="between">
      <formula>$EK$34</formula>
      <formula>$EK$35</formula>
    </cfRule>
  </conditionalFormatting>
  <conditionalFormatting sqref="FH1:FH1048576 FK1:FK1048576 FO1:FO1048576 FR1:FR1048576">
    <cfRule type="cellIs" dxfId="375" priority="271302" operator="between">
      <formula>$FS$37</formula>
      <formula>1000</formula>
    </cfRule>
    <cfRule type="cellIs" dxfId="374" priority="271303" operator="between">
      <formula>$FS$36</formula>
      <formula>$FS$37</formula>
    </cfRule>
    <cfRule type="cellIs" dxfId="373" priority="271304" operator="between">
      <formula>$FS$35</formula>
      <formula>$FS$36</formula>
    </cfRule>
    <cfRule type="cellIs" dxfId="372" priority="271305" operator="between">
      <formula>$FS$34</formula>
      <formula>$FS$35</formula>
    </cfRule>
  </conditionalFormatting>
  <conditionalFormatting sqref="GN1:GN1048576 GQ1:GQ1048576 GU1:GU1048576 GX1:GX1048576">
    <cfRule type="cellIs" dxfId="371" priority="271350" operator="between">
      <formula>$HA$33</formula>
      <formula>1000</formula>
    </cfRule>
    <cfRule type="cellIs" dxfId="370" priority="271351" operator="between">
      <formula>$HA$32</formula>
      <formula>$HA$33</formula>
    </cfRule>
    <cfRule type="cellIs" dxfId="369" priority="271352" operator="between">
      <formula>$HA$31</formula>
      <formula>$HA$32</formula>
    </cfRule>
    <cfRule type="cellIs" dxfId="368" priority="271353" operator="between">
      <formula>$HA$30</formula>
      <formula>$HA$31</formula>
    </cfRule>
  </conditionalFormatting>
  <conditionalFormatting sqref="GP1:GP1048576 GS1:GS1048576 GW1:GW1048576 GZ1:GZ1048576">
    <cfRule type="cellIs" dxfId="367" priority="271398" operator="between">
      <formula>$HA$37</formula>
      <formula>1000</formula>
    </cfRule>
    <cfRule type="cellIs" dxfId="366" priority="271399" operator="between">
      <formula>$HA$36</formula>
      <formula>$HA$37</formula>
    </cfRule>
    <cfRule type="cellIs" dxfId="365" priority="271400" operator="between">
      <formula>$HA$35</formula>
      <formula>$HA$36</formula>
    </cfRule>
    <cfRule type="cellIs" dxfId="364" priority="271401" operator="between">
      <formula>$HA$34</formula>
      <formula>$HA$35</formula>
    </cfRule>
  </conditionalFormatting>
  <conditionalFormatting sqref="HX1:HX1048576 IA1:IA1048576 IE1:IE1048576 IH1:IH1048576">
    <cfRule type="cellIs" dxfId="363" priority="271446" operator="between">
      <formula>$II$37</formula>
      <formula>1000</formula>
    </cfRule>
    <cfRule type="cellIs" dxfId="362" priority="271447" operator="between">
      <formula>$II$36</formula>
      <formula>$II$37</formula>
    </cfRule>
    <cfRule type="cellIs" dxfId="361" priority="271448" operator="between">
      <formula>$II$35</formula>
      <formula>$II$36</formula>
    </cfRule>
    <cfRule type="cellIs" dxfId="360" priority="271449" operator="between">
      <formula>$II$34</formula>
      <formula>$II$35</formula>
    </cfRule>
  </conditionalFormatting>
  <conditionalFormatting sqref="JD1:JD1048576 JG1:JG1048576 JK1:JK1048576 JN1:JN1048576">
    <cfRule type="cellIs" dxfId="359" priority="271494" operator="between">
      <formula>$JQ$33</formula>
      <formula>1000</formula>
    </cfRule>
    <cfRule type="cellIs" dxfId="358" priority="271495" operator="between">
      <formula>$JQ$32</formula>
      <formula>$JQ$33</formula>
    </cfRule>
    <cfRule type="cellIs" dxfId="357" priority="271496" operator="between">
      <formula>$JQ$31</formula>
      <formula>$JQ$32</formula>
    </cfRule>
    <cfRule type="cellIs" dxfId="356" priority="271497" operator="between">
      <formula>$JQ$30</formula>
      <formula>$JQ$31</formula>
    </cfRule>
  </conditionalFormatting>
  <conditionalFormatting sqref="JF1:JF1048576 JI1:JI1048576 JM1:JM1048576 JP1:JP1048576">
    <cfRule type="cellIs" dxfId="355" priority="271542" operator="between">
      <formula>$JQ$37</formula>
      <formula>1000</formula>
    </cfRule>
    <cfRule type="cellIs" dxfId="354" priority="271543" operator="between">
      <formula>$JQ$36</formula>
      <formula>$JQ$37</formula>
    </cfRule>
    <cfRule type="cellIs" dxfId="353" priority="271544" operator="between">
      <formula>$JQ$35</formula>
      <formula>$JQ$36</formula>
    </cfRule>
    <cfRule type="cellIs" dxfId="352" priority="271545" operator="between">
      <formula>$JQ$34</formula>
      <formula>$JQ$35</formula>
    </cfRule>
  </conditionalFormatting>
  <conditionalFormatting sqref="KL1:KL1048576 KO1:KO1048576 KS1:KS1048576 KV1:KV1048576">
    <cfRule type="cellIs" dxfId="351" priority="271590" operator="between">
      <formula>$KY$33</formula>
      <formula>1000</formula>
    </cfRule>
    <cfRule type="cellIs" dxfId="350" priority="271591" operator="between">
      <formula>$KY$32</formula>
      <formula>$KY$33</formula>
    </cfRule>
    <cfRule type="cellIs" dxfId="349" priority="271592" operator="between">
      <formula>$KY$31</formula>
      <formula>$KY$32</formula>
    </cfRule>
    <cfRule type="cellIs" dxfId="348" priority="271593" operator="between">
      <formula>$KY$30</formula>
      <formula>$KY$31</formula>
    </cfRule>
  </conditionalFormatting>
  <conditionalFormatting sqref="KN1:KN1048576 KQ1:KQ1048576 KU1:KU1048576 KX1:KX1048576">
    <cfRule type="cellIs" dxfId="347" priority="271638" operator="between">
      <formula>$KY$37</formula>
      <formula>1000</formula>
    </cfRule>
    <cfRule type="cellIs" dxfId="346" priority="271639" operator="between">
      <formula>$KY$36</formula>
      <formula>$KY$37</formula>
    </cfRule>
    <cfRule type="cellIs" dxfId="345" priority="271640" operator="between">
      <formula>$KY$35</formula>
      <formula>$KY$36</formula>
    </cfRule>
    <cfRule type="cellIs" dxfId="344" priority="271641" operator="between">
      <formula>$KY$34</formula>
      <formula>$KY$35</formula>
    </cfRule>
  </conditionalFormatting>
  <conditionalFormatting sqref="LT1:LT1048576 LW1:LW1048576 MA1:MA1048576 MD1:MD1048576">
    <cfRule type="cellIs" dxfId="343" priority="271686" operator="between">
      <formula>$MG$33</formula>
      <formula>1000</formula>
    </cfRule>
    <cfRule type="cellIs" dxfId="342" priority="271687" operator="between">
      <formula>$MG$32</formula>
      <formula>$MG$33</formula>
    </cfRule>
    <cfRule type="cellIs" dxfId="341" priority="271688" operator="between">
      <formula>$MG$31</formula>
      <formula>$MG$32</formula>
    </cfRule>
    <cfRule type="cellIs" dxfId="340" priority="271689" operator="between">
      <formula>$MG$30</formula>
      <formula>$MG$31</formula>
    </cfRule>
  </conditionalFormatting>
  <conditionalFormatting sqref="LV1:LV1048576 LY1:LY1048576 MC1:MC1048576 MF1:MF1048576">
    <cfRule type="cellIs" dxfId="339" priority="271734" operator="between">
      <formula>$MG$37</formula>
      <formula>1000</formula>
    </cfRule>
    <cfRule type="cellIs" dxfId="338" priority="271735" operator="between">
      <formula>$MG$36</formula>
      <formula>$MG$37</formula>
    </cfRule>
    <cfRule type="cellIs" dxfId="337" priority="271736" operator="between">
      <formula>$MG$35</formula>
      <formula>$MG$36</formula>
    </cfRule>
    <cfRule type="cellIs" dxfId="336" priority="271737" operator="between">
      <formula>$MG$34</formula>
      <formula>$MG$35</formula>
    </cfRule>
  </conditionalFormatting>
  <conditionalFormatting sqref="NB1:NB1048576 NE1:NE1048576 NI1:NI1048576">
    <cfRule type="cellIs" dxfId="335" priority="271782" operator="between">
      <formula>$NO$33</formula>
      <formula>1000</formula>
    </cfRule>
    <cfRule type="cellIs" dxfId="334" priority="271783" operator="between">
      <formula>$NO$32</formula>
      <formula>$NO$33</formula>
    </cfRule>
    <cfRule type="cellIs" dxfId="333" priority="271784" operator="between">
      <formula>$NO$31</formula>
      <formula>$NO$32</formula>
    </cfRule>
  </conditionalFormatting>
  <conditionalFormatting sqref="ND1:ND1048576 NG1:NG1048576 NK1:NK1048576 NN1:NN1048576">
    <cfRule type="cellIs" dxfId="332" priority="271809" operator="between">
      <formula>$NO$37</formula>
      <formula>1000</formula>
    </cfRule>
    <cfRule type="cellIs" dxfId="331" priority="271810" operator="between">
      <formula>$NO$36</formula>
      <formula>$NO$37</formula>
    </cfRule>
    <cfRule type="cellIs" dxfId="330" priority="271811" operator="between">
      <formula>$NO$35</formula>
      <formula>$NO$36</formula>
    </cfRule>
    <cfRule type="cellIs" dxfId="329" priority="271812" operator="between">
      <formula>$NO$34</formula>
      <formula>$NO$35</formula>
    </cfRule>
  </conditionalFormatting>
  <conditionalFormatting sqref="OJ1:OJ1048576 OM1:OM1048576 OQ1:OQ1048576 OT1:OT1048576">
    <cfRule type="cellIs" dxfId="328" priority="271857" operator="between">
      <formula>$OW$33</formula>
      <formula>1000</formula>
    </cfRule>
    <cfRule type="cellIs" dxfId="327" priority="271858" operator="between">
      <formula>$OW$32</formula>
      <formula>$OW$33</formula>
    </cfRule>
    <cfRule type="cellIs" dxfId="326" priority="271859" operator="between">
      <formula>$OW$31</formula>
      <formula>$OW$32</formula>
    </cfRule>
    <cfRule type="cellIs" dxfId="325" priority="271860" operator="between">
      <formula>$OW$30</formula>
      <formula>$OW$31</formula>
    </cfRule>
  </conditionalFormatting>
  <conditionalFormatting sqref="OL1:OL1048576 OO1:OO1048576 OS1:OS1048576 OV1:OV1048576">
    <cfRule type="cellIs" dxfId="324" priority="271905" operator="between">
      <formula>$OW$37</formula>
      <formula>1000</formula>
    </cfRule>
    <cfRule type="cellIs" dxfId="323" priority="271906" operator="between">
      <formula>$OW$36</formula>
      <formula>$OW$37</formula>
    </cfRule>
    <cfRule type="cellIs" dxfId="322" priority="271907" operator="between">
      <formula>$OW$35</formula>
      <formula>$OW$36</formula>
    </cfRule>
    <cfRule type="cellIs" dxfId="321" priority="271908" operator="between">
      <formula>$OW$34</formula>
      <formula>$OW$35</formula>
    </cfRule>
  </conditionalFormatting>
  <conditionalFormatting sqref="PR1:PR1048576 PU1:PU1048576 PY1:PY1048576 QB1:QB1048576">
    <cfRule type="cellIs" dxfId="320" priority="271953" operator="between">
      <formula>$QE$33</formula>
      <formula>1000</formula>
    </cfRule>
    <cfRule type="cellIs" dxfId="319" priority="271954" operator="between">
      <formula>$QE$32</formula>
      <formula>$QE$33</formula>
    </cfRule>
    <cfRule type="cellIs" dxfId="318" priority="271955" operator="between">
      <formula>$QE$31</formula>
      <formula>$QE$32</formula>
    </cfRule>
    <cfRule type="cellIs" dxfId="317" priority="271956" operator="between">
      <formula>$QE$30</formula>
      <formula>$QE$31</formula>
    </cfRule>
  </conditionalFormatting>
  <conditionalFormatting sqref="PT1:PT1048576 PW1:PW1048576 QA1:QA1048576 QD1:QD1048576">
    <cfRule type="cellIs" dxfId="316" priority="272001" operator="between">
      <formula>$QE$37</formula>
      <formula>1000</formula>
    </cfRule>
    <cfRule type="cellIs" dxfId="315" priority="272002" operator="between">
      <formula>$QE$36</formula>
      <formula>$QE$37</formula>
    </cfRule>
    <cfRule type="cellIs" dxfId="314" priority="272003" operator="between">
      <formula>$QE$35</formula>
      <formula>$QE$36</formula>
    </cfRule>
    <cfRule type="cellIs" dxfId="313" priority="272004" operator="between">
      <formula>$QE$34</formula>
      <formula>$QE$35</formula>
    </cfRule>
  </conditionalFormatting>
  <conditionalFormatting sqref="QZ1:QZ1048576 RC1:RC1048576 RG1:RG1048576 RJ1:RJ1048576">
    <cfRule type="cellIs" dxfId="312" priority="272049" operator="between">
      <formula>$RM$33</formula>
      <formula>1000</formula>
    </cfRule>
    <cfRule type="cellIs" dxfId="311" priority="272050" operator="between">
      <formula>$RM$32</formula>
      <formula>$RM$33</formula>
    </cfRule>
    <cfRule type="cellIs" dxfId="310" priority="272051" operator="between">
      <formula>$RM$31</formula>
      <formula>$RM$32</formula>
    </cfRule>
    <cfRule type="cellIs" dxfId="309" priority="272052" operator="between">
      <formula>$RM$30</formula>
      <formula>$RM$31</formula>
    </cfRule>
  </conditionalFormatting>
  <conditionalFormatting sqref="RB1:RB1048576 RE1:RE1048576 RI1:RI1048576 RL1:RL1048576">
    <cfRule type="cellIs" dxfId="308" priority="272097" operator="between">
      <formula>$RM$37</formula>
      <formula>1000</formula>
    </cfRule>
    <cfRule type="cellIs" dxfId="307" priority="272098" operator="between">
      <formula>$RM$36</formula>
      <formula>$RM$37</formula>
    </cfRule>
    <cfRule type="cellIs" dxfId="306" priority="272099" operator="between">
      <formula>$RM$35</formula>
      <formula>$RM$36</formula>
    </cfRule>
    <cfRule type="cellIs" dxfId="305" priority="272100" operator="between">
      <formula>$RM$34</formula>
      <formula>$RM$35</formula>
    </cfRule>
  </conditionalFormatting>
  <conditionalFormatting sqref="SH1:SH1048576 SK1:SK1048576 SO1:SO1048576 SR1:SR1048576">
    <cfRule type="cellIs" dxfId="304" priority="272145" operator="between">
      <formula>$SU$33</formula>
      <formula>1000</formula>
    </cfRule>
    <cfRule type="cellIs" dxfId="303" priority="272146" operator="between">
      <formula>$SU$32</formula>
      <formula>$SU$33</formula>
    </cfRule>
    <cfRule type="cellIs" dxfId="302" priority="272147" operator="between">
      <formula>$SU$31</formula>
      <formula>$SU$32</formula>
    </cfRule>
    <cfRule type="cellIs" dxfId="301" priority="272148" operator="between">
      <formula>$SU$30</formula>
      <formula>$SU$31</formula>
    </cfRule>
  </conditionalFormatting>
  <conditionalFormatting sqref="SJ1:SJ1048576 SM1:SM1048576 SQ1:SQ1048576 ST1:ST1048576">
    <cfRule type="cellIs" dxfId="300" priority="272193" operator="between">
      <formula>$SU$37</formula>
      <formula>1000</formula>
    </cfRule>
    <cfRule type="cellIs" dxfId="299" priority="272194" operator="between">
      <formula>$SU$36</formula>
      <formula>$SU$37</formula>
    </cfRule>
    <cfRule type="cellIs" dxfId="298" priority="272195" operator="between">
      <formula>$SU$35</formula>
      <formula>$SU$36</formula>
    </cfRule>
    <cfRule type="cellIs" dxfId="297" priority="272196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2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63</v>
      </c>
      <c r="M1" s="74" t="s">
        <v>25</v>
      </c>
      <c r="N1" s="73" t="s">
        <v>64</v>
      </c>
      <c r="O1" s="74" t="s">
        <v>25</v>
      </c>
      <c r="P1" s="73" t="s">
        <v>97</v>
      </c>
      <c r="Q1" s="74" t="s">
        <v>25</v>
      </c>
      <c r="R1" s="74" t="s">
        <v>65</v>
      </c>
      <c r="S1" s="74" t="s">
        <v>25</v>
      </c>
      <c r="T1" s="73" t="s">
        <v>66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158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172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184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171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181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182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183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187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188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67</v>
      </c>
      <c r="AP2" s="14" t="s">
        <v>68</v>
      </c>
      <c r="AQ2" s="14" t="s">
        <v>18</v>
      </c>
      <c r="AR2" s="14" t="s">
        <v>61</v>
      </c>
      <c r="AS2" s="14" t="s">
        <v>69</v>
      </c>
      <c r="AT2" s="14" t="s">
        <v>19</v>
      </c>
      <c r="AU2" s="14" t="s">
        <v>21</v>
      </c>
      <c r="AV2" s="14" t="s">
        <v>70</v>
      </c>
      <c r="AW2" s="14" t="s">
        <v>71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67</v>
      </c>
      <c r="BQ2" s="13" t="s">
        <v>68</v>
      </c>
      <c r="BR2" s="13" t="s">
        <v>18</v>
      </c>
      <c r="BS2" s="13" t="s">
        <v>61</v>
      </c>
      <c r="BT2" s="13" t="s">
        <v>69</v>
      </c>
      <c r="BU2" s="13" t="s">
        <v>19</v>
      </c>
      <c r="BV2" s="13" t="s">
        <v>21</v>
      </c>
      <c r="BW2" s="13" t="s">
        <v>70</v>
      </c>
      <c r="BX2" s="13" t="s">
        <v>71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67</v>
      </c>
      <c r="CR2" s="14" t="s">
        <v>68</v>
      </c>
      <c r="CS2" s="14" t="s">
        <v>18</v>
      </c>
      <c r="CT2" s="14" t="s">
        <v>61</v>
      </c>
      <c r="CU2" s="14" t="s">
        <v>69</v>
      </c>
      <c r="CV2" s="14" t="s">
        <v>19</v>
      </c>
      <c r="CW2" s="14" t="s">
        <v>21</v>
      </c>
      <c r="CX2" s="14" t="s">
        <v>70</v>
      </c>
      <c r="CY2" s="14" t="s">
        <v>71</v>
      </c>
      <c r="CZ2" s="14" t="s">
        <v>20</v>
      </c>
      <c r="DA2" s="14" t="s">
        <v>15</v>
      </c>
      <c r="DB2" s="49" t="s">
        <v>98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72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67</v>
      </c>
      <c r="DY2" s="14" t="s">
        <v>68</v>
      </c>
      <c r="DZ2" s="14" t="s">
        <v>18</v>
      </c>
      <c r="EA2" s="14" t="s">
        <v>61</v>
      </c>
      <c r="EB2" s="14" t="s">
        <v>69</v>
      </c>
      <c r="EC2" s="14" t="s">
        <v>19</v>
      </c>
      <c r="ED2" s="14" t="s">
        <v>21</v>
      </c>
      <c r="EE2" s="14" t="s">
        <v>73</v>
      </c>
      <c r="EF2" s="14" t="s">
        <v>74</v>
      </c>
      <c r="EG2" s="14" t="s">
        <v>72</v>
      </c>
      <c r="EH2" s="14" t="s">
        <v>70</v>
      </c>
      <c r="EI2" s="14" t="s">
        <v>71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72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67</v>
      </c>
      <c r="FG2" s="13" t="s">
        <v>68</v>
      </c>
      <c r="FH2" s="13" t="s">
        <v>18</v>
      </c>
      <c r="FI2" s="13" t="s">
        <v>61</v>
      </c>
      <c r="FJ2" s="13" t="s">
        <v>69</v>
      </c>
      <c r="FK2" s="13" t="s">
        <v>19</v>
      </c>
      <c r="FL2" s="13" t="s">
        <v>21</v>
      </c>
      <c r="FM2" s="13" t="s">
        <v>73</v>
      </c>
      <c r="FN2" s="13" t="s">
        <v>74</v>
      </c>
      <c r="FO2" s="13" t="s">
        <v>72</v>
      </c>
      <c r="FP2" s="13" t="s">
        <v>70</v>
      </c>
      <c r="FQ2" s="13" t="s">
        <v>71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72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67</v>
      </c>
      <c r="GO2" s="14" t="s">
        <v>68</v>
      </c>
      <c r="GP2" s="14" t="s">
        <v>18</v>
      </c>
      <c r="GQ2" s="14" t="s">
        <v>61</v>
      </c>
      <c r="GR2" s="14" t="s">
        <v>69</v>
      </c>
      <c r="GS2" s="14" t="s">
        <v>19</v>
      </c>
      <c r="GT2" s="14" t="s">
        <v>21</v>
      </c>
      <c r="GU2" s="14" t="s">
        <v>73</v>
      </c>
      <c r="GV2" s="14" t="s">
        <v>74</v>
      </c>
      <c r="GW2" s="14" t="s">
        <v>72</v>
      </c>
      <c r="GX2" s="14" t="s">
        <v>70</v>
      </c>
      <c r="GY2" s="14" t="s">
        <v>71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72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67</v>
      </c>
      <c r="HW2" s="13" t="s">
        <v>68</v>
      </c>
      <c r="HX2" s="13" t="s">
        <v>18</v>
      </c>
      <c r="HY2" s="13" t="s">
        <v>61</v>
      </c>
      <c r="HZ2" s="13" t="s">
        <v>69</v>
      </c>
      <c r="IA2" s="13" t="s">
        <v>19</v>
      </c>
      <c r="IB2" s="13" t="s">
        <v>21</v>
      </c>
      <c r="IC2" s="13" t="s">
        <v>73</v>
      </c>
      <c r="ID2" s="13" t="s">
        <v>74</v>
      </c>
      <c r="IE2" s="13" t="s">
        <v>72</v>
      </c>
      <c r="IF2" s="13" t="s">
        <v>70</v>
      </c>
      <c r="IG2" s="13" t="s">
        <v>71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72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67</v>
      </c>
      <c r="JE2" s="14" t="s">
        <v>68</v>
      </c>
      <c r="JF2" s="14" t="s">
        <v>18</v>
      </c>
      <c r="JG2" s="14" t="s">
        <v>61</v>
      </c>
      <c r="JH2" s="14" t="s">
        <v>69</v>
      </c>
      <c r="JI2" s="14" t="s">
        <v>19</v>
      </c>
      <c r="JJ2" s="14" t="s">
        <v>21</v>
      </c>
      <c r="JK2" s="14" t="s">
        <v>73</v>
      </c>
      <c r="JL2" s="14" t="s">
        <v>74</v>
      </c>
      <c r="JM2" s="14" t="s">
        <v>72</v>
      </c>
      <c r="JN2" s="14" t="s">
        <v>70</v>
      </c>
      <c r="JO2" s="14" t="s">
        <v>71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72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67</v>
      </c>
      <c r="KM2" s="13" t="s">
        <v>68</v>
      </c>
      <c r="KN2" s="13" t="s">
        <v>18</v>
      </c>
      <c r="KO2" s="13" t="s">
        <v>61</v>
      </c>
      <c r="KP2" s="13" t="s">
        <v>69</v>
      </c>
      <c r="KQ2" s="13" t="s">
        <v>19</v>
      </c>
      <c r="KR2" s="13" t="s">
        <v>21</v>
      </c>
      <c r="KS2" s="13" t="s">
        <v>73</v>
      </c>
      <c r="KT2" s="13" t="s">
        <v>74</v>
      </c>
      <c r="KU2" s="13" t="s">
        <v>72</v>
      </c>
      <c r="KV2" s="13" t="s">
        <v>70</v>
      </c>
      <c r="KW2" s="13" t="s">
        <v>71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72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67</v>
      </c>
      <c r="LU2" s="14" t="s">
        <v>68</v>
      </c>
      <c r="LV2" s="14" t="s">
        <v>18</v>
      </c>
      <c r="LW2" s="14" t="s">
        <v>61</v>
      </c>
      <c r="LX2" s="14" t="s">
        <v>69</v>
      </c>
      <c r="LY2" s="14" t="s">
        <v>19</v>
      </c>
      <c r="LZ2" s="14" t="s">
        <v>21</v>
      </c>
      <c r="MA2" s="14" t="s">
        <v>73</v>
      </c>
      <c r="MB2" s="14" t="s">
        <v>74</v>
      </c>
      <c r="MC2" s="14" t="s">
        <v>72</v>
      </c>
      <c r="MD2" s="14" t="s">
        <v>70</v>
      </c>
      <c r="ME2" s="14" t="s">
        <v>71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72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67</v>
      </c>
      <c r="NC2" s="13" t="s">
        <v>68</v>
      </c>
      <c r="ND2" s="13" t="s">
        <v>18</v>
      </c>
      <c r="NE2" s="13" t="s">
        <v>61</v>
      </c>
      <c r="NF2" s="13" t="s">
        <v>69</v>
      </c>
      <c r="NG2" s="13" t="s">
        <v>19</v>
      </c>
      <c r="NH2" s="13" t="s">
        <v>21</v>
      </c>
      <c r="NI2" s="13" t="s">
        <v>73</v>
      </c>
      <c r="NJ2" s="13" t="s">
        <v>74</v>
      </c>
      <c r="NK2" s="13" t="s">
        <v>72</v>
      </c>
      <c r="NL2" s="13" t="s">
        <v>70</v>
      </c>
      <c r="NM2" s="13" t="s">
        <v>71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72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67</v>
      </c>
      <c r="OK2" s="14" t="s">
        <v>68</v>
      </c>
      <c r="OL2" s="14" t="s">
        <v>18</v>
      </c>
      <c r="OM2" s="14" t="s">
        <v>61</v>
      </c>
      <c r="ON2" s="14" t="s">
        <v>69</v>
      </c>
      <c r="OO2" s="14" t="s">
        <v>19</v>
      </c>
      <c r="OP2" s="14" t="s">
        <v>21</v>
      </c>
      <c r="OQ2" s="14" t="s">
        <v>73</v>
      </c>
      <c r="OR2" s="14" t="s">
        <v>74</v>
      </c>
      <c r="OS2" s="14" t="s">
        <v>72</v>
      </c>
      <c r="OT2" s="14" t="s">
        <v>70</v>
      </c>
      <c r="OU2" s="14" t="s">
        <v>71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72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67</v>
      </c>
      <c r="PS2" s="13" t="s">
        <v>68</v>
      </c>
      <c r="PT2" s="13" t="s">
        <v>18</v>
      </c>
      <c r="PU2" s="13" t="s">
        <v>61</v>
      </c>
      <c r="PV2" s="13" t="s">
        <v>69</v>
      </c>
      <c r="PW2" s="13" t="s">
        <v>19</v>
      </c>
      <c r="PX2" s="13" t="s">
        <v>21</v>
      </c>
      <c r="PY2" s="13" t="s">
        <v>73</v>
      </c>
      <c r="PZ2" s="13" t="s">
        <v>74</v>
      </c>
      <c r="QA2" s="13" t="s">
        <v>72</v>
      </c>
      <c r="QB2" s="13" t="s">
        <v>70</v>
      </c>
      <c r="QC2" s="13" t="s">
        <v>71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72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67</v>
      </c>
      <c r="RA2" s="14" t="s">
        <v>68</v>
      </c>
      <c r="RB2" s="14" t="s">
        <v>18</v>
      </c>
      <c r="RC2" s="14" t="s">
        <v>61</v>
      </c>
      <c r="RD2" s="14" t="s">
        <v>69</v>
      </c>
      <c r="RE2" s="14" t="s">
        <v>19</v>
      </c>
      <c r="RF2" s="14" t="s">
        <v>21</v>
      </c>
      <c r="RG2" s="14" t="s">
        <v>73</v>
      </c>
      <c r="RH2" s="14" t="s">
        <v>74</v>
      </c>
      <c r="RI2" s="14" t="s">
        <v>72</v>
      </c>
      <c r="RJ2" s="14" t="s">
        <v>70</v>
      </c>
      <c r="RK2" s="14" t="s">
        <v>71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72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67</v>
      </c>
      <c r="SI2" s="13" t="s">
        <v>68</v>
      </c>
      <c r="SJ2" s="13" t="s">
        <v>18</v>
      </c>
      <c r="SK2" s="13" t="s">
        <v>61</v>
      </c>
      <c r="SL2" s="13" t="s">
        <v>69</v>
      </c>
      <c r="SM2" s="13" t="s">
        <v>19</v>
      </c>
      <c r="SN2" s="13" t="s">
        <v>21</v>
      </c>
      <c r="SO2" s="13" t="s">
        <v>73</v>
      </c>
      <c r="SP2" s="13" t="s">
        <v>74</v>
      </c>
      <c r="SQ2" s="13" t="s">
        <v>72</v>
      </c>
      <c r="SR2" s="13" t="s">
        <v>70</v>
      </c>
      <c r="SS2" s="13" t="s">
        <v>71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67</v>
      </c>
      <c r="TM2" s="14" t="s">
        <v>68</v>
      </c>
      <c r="TN2" s="14" t="s">
        <v>18</v>
      </c>
      <c r="TO2" s="14" t="s">
        <v>61</v>
      </c>
      <c r="TP2" s="14" t="s">
        <v>69</v>
      </c>
      <c r="TQ2" s="14" t="s">
        <v>19</v>
      </c>
      <c r="TR2" s="14" t="s">
        <v>21</v>
      </c>
      <c r="TS2" s="14" t="s">
        <v>70</v>
      </c>
      <c r="TT2" s="14" t="s">
        <v>71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DD"),SUMPRODUCT((J$4:J$14&lt;&gt;"")*(J$4:J$14&lt;&gt;"No DD")*(F$4:F$14&gt;F4))+1,IF(J4="No DD",SUMPRODUCT((J$4:J$14="No DD")*(F$4:F$14&gt;F4))+1+SUMPRODUCT((J$4:J$14&lt;&gt;"")*(J$4:J$14&lt;&gt;"No DD")),""))</f>
        <v>1</v>
      </c>
      <c r="B4" s="4" t="str" cm="1">
        <f t="array" ref="B4">IF(AND(J4&lt;&gt;"",J4&lt;&gt;"No DD",G4=""),SUMPRODUCT((J$4:J$14&lt;&gt;"")*(J$4:J$14&lt;&gt;"No DD")*(G$4:G$14="")*(F$4:F$14&gt;F4))+1,IF(J4="No DD",SUMPRODUCT((J$4:J$14="No DD")*(F$4:F$14&gt;F4)*(G$4:G$14=""))+1+SUMPRODUCT((J$4:J$14&lt;&gt;"")*(G$4:G$14="")*(J$4:J$14&lt;&gt;"No DD")),""))</f>
        <v/>
      </c>
      <c r="C4" s="5" t="s">
        <v>119</v>
      </c>
      <c r="D4" s="4" t="s">
        <v>6</v>
      </c>
      <c r="E4" s="4">
        <v>2007</v>
      </c>
      <c r="F4" s="9">
        <f t="shared" ref="F4:F13" si="0">SUM(L4:V4)+SUM(L4:T4)*0.0000001+SUM(L4)*0.0000000000001</f>
        <v>184.62001846200519</v>
      </c>
      <c r="G4" s="64" t="s">
        <v>46</v>
      </c>
      <c r="H4" s="3" t="str">
        <f t="shared" ref="H4:H13" si="1">IF(OR(AND(AO4&gt;=AY$16,AO4&lt;&gt;"",AQ4&gt;=AY$20,AQ4&lt;&gt;"",AN4=""),AND(AR4&gt;=AY$16,AR4&lt;&gt;"",AT4&gt;=AY$20,AT4&lt;&gt;"",AN4=""),AND(AV4&gt;=AY$16,AV4&lt;&gt;"",AX4&gt;=AY$20,AX4&lt;&gt;"",AN4=""),AND(BP4&gt;=BZ$16,BP4&lt;&gt;"",BR4&gt;=BZ$20,BR4&lt;&gt;"",BO4=""),AND(BS4&gt;=BZ$16,BS4&lt;&gt;"",BU4&gt;=BZ$20,BU4&lt;&gt;"",BO4=""),AND(BW4&gt;=BZ$16,BW4&lt;&gt;"",BY4&gt;=BZ$20,BY4&lt;&gt;"",BO4=""),AND(CQ4&gt;=DA$16,CQ4&lt;&gt;"",CS4&gt;=DA$20,CS4&lt;&gt;"",CP4=""),AND(CT4&gt;=DA$16,CT4&lt;&gt;"",CV4&gt;=DA$20,CV4&lt;&gt;"",CP4=""),AND(CX4&gt;=DA$16,CX4&lt;&gt;"",CZ4&gt;=DA$20,CZ4&lt;&gt;"",CP4=""),AND(DX4&gt;=EK$16,DX4&lt;&gt;"",DZ4&gt;=EK$20,DZ4&lt;&gt;""),AND(EA4&gt;=EK$16,EA4&lt;&gt;"",EC4&gt;=EK$20,EC4&lt;&gt;""),AND(EE4&gt;=EK$16,EE4&lt;&gt;"",EG4&gt;=EK$20,EG4&lt;&gt;""),AND(EH4&gt;=EK$16,EH4&lt;&gt;"",EJ4&gt;=EK$20,EJ4&lt;&gt;""),AND(FF4&gt;=FS$16,FF4&lt;&gt;"",FH4&gt;=FS$20,FH4&lt;&gt;""),AND(FI4&gt;=FS$16,FI4&lt;&gt;"",FK4&gt;=FS$20,FK4&lt;&gt;""),AND(FM4&gt;=FS$16,FM4&lt;&gt;"",FO4&gt;=FS$20,FO4&lt;&gt;""),AND(FP4&gt;=FS$16,FP4&lt;&gt;"",FR4&gt;=FS$20,FR4&lt;&gt;""),AND(GN4&gt;=HA$16,GN4&lt;&gt;"",GP4&gt;=HA$20,GP4&lt;&gt;""),AND(GQ4&gt;=HA$16,GQ4&lt;&gt;"",GS4&gt;=HA$20,GS4&lt;&gt;""),AND(GU4&gt;=HA$16,GU4&lt;&gt;"",GW4&gt;=HA$20,GW4&lt;&gt;""),AND(GX4&gt;=HA$16,GX4&lt;&gt;"",GZ4&gt;=HA$20,GZ4&lt;&gt;""),AND(HV4&gt;=II$16,HV4&lt;&gt;"",HX4&gt;=II$20,HX4&lt;&gt;""),AND(HY4&gt;=II$16,HY4&lt;&gt;"",IA4&gt;=II$20,IA4&lt;&gt;""),AND(IC4&gt;=II$16,IC4&lt;&gt;"",IE4&gt;=II$20,IE4&lt;&gt;""),AND(IF4&gt;=II$16,IF4&lt;&gt;"",IH4&gt;=II$20,IH4&lt;&gt;""),AND(JD4&gt;=JQ$16,JD4&lt;&gt;"",JF4&gt;=JQ$20,JF4&lt;&gt;""),AND(JG4&gt;=JQ$16,JG4&lt;&gt;"",JI4&gt;=JQ$20,JI4&lt;&gt;""),AND(JK4&gt;=JQ$16,JK4&lt;&gt;"",JM4&gt;=JQ$20,JM4&lt;&gt;""),AND(JN4&gt;=JQ$16,JN4&lt;&gt;"",JP4&gt;=JQ$20,JP4&lt;&gt;""),AND(KL4&gt;=KY$16,KL4&lt;&gt;"",KN4&gt;=KY$20,KN4&lt;&gt;""),AND(KO4&gt;=KY$16,KO4&lt;&gt;"",KQ4&gt;=KY$20,KQ4&lt;&gt;""),AND(KS4&gt;=KY$16,KS4&lt;&gt;"",KU4&gt;=KY$20,KU4&lt;&gt;""),AND(KV4&gt;=KY$16,KV4&lt;&gt;"",KX4&gt;=KY$20,KX4&lt;&gt;""),AND(LT4&gt;=MG$16,LT4&lt;&gt;"",LV4&gt;=MG$20,LV4&lt;&gt;""),AND(LW4&gt;=MG$16,LW4&lt;&gt;"",LY4&gt;=MG$20,LY4&lt;&gt;""),AND(MA4&gt;=MG$16,MA4&lt;&gt;"",MC4&gt;=MG$20,MC4&lt;&gt;""),AND(MD4&gt;=MG$16,MD4&lt;&gt;"",MF4&gt;=MG$20,MF4&lt;&gt;""),AND(NB4&gt;=NO$16,NB4&lt;&gt;"",ND4&gt;=NO$20,ND4&lt;&gt;""),AND(NE4&gt;=NO$16,NE4&lt;&gt;"",NG4&gt;=NO$20,NG4&lt;&gt;""),AND(NI4&gt;=NO$16,NI4&lt;&gt;"",NK4&gt;=NO$20,NK4&lt;&gt;""),AND(NL4&gt;=NO$16,NL4&lt;&gt;"",NN4&gt;=NO$20,NN4&lt;&gt;""),AND(OJ4&gt;=OW$16,OJ4&lt;&gt;"",OL4&gt;=OW$20,OL4&lt;&gt;""),AND(OM4&gt;=OW$16,OM4&lt;&gt;"",OO4&gt;=OW$20,OO4&lt;&gt;""),AND(OQ4&gt;=OW$16,OQ4&lt;&gt;"",OS4&gt;=OW$20,OS4&lt;&gt;""),AND(OT4&gt;=OW$16,OT4&lt;&gt;"",OV4&gt;=OW$20,OV4&lt;&gt;""),AND(PR4&gt;=QE$16,PR4&lt;&gt;"",PT4&gt;=QE$20,PT4&lt;&gt;""),AND(PU4&gt;=QE$16,PU4&lt;&gt;"",PW4&gt;=QE$20,PW4&lt;&gt;""),AND(PY4&gt;=QE$16,PY4&lt;&gt;"",QA4&gt;=QE$20,QA4&lt;&gt;""),AND(QB4&gt;=QE$16,QB4&lt;&gt;"",QD4&gt;=QE$20,QD4&lt;&gt;""),AND(QZ4&gt;=RM$16,QZ4&lt;&gt;"",RB4&gt;=RM$20,RB4&lt;&gt;""),AND(RC4&gt;=RM$16,RC4&lt;&gt;"",RE4&gt;=RM$20,RE4&lt;&gt;""),AND(RG4&gt;=RM$16,RG4&lt;&gt;"",RI4&gt;=RM$20,RI4&lt;&gt;""),AND(RJ4&gt;=RM$16,RJ4&lt;&gt;"",RL4&gt;=RM$20,RL4&lt;&gt;""),AND(SH4&gt;=SU$16,SH4&lt;&gt;"",SJ4&gt;=SU$20,SJ4&lt;&gt;""),AND(SK4&gt;=SU$16,SK4&lt;&gt;"",SM4&gt;=SU$20,SM4&lt;&gt;""),AND(SO4&gt;=SU$16,SO4&lt;&gt;"",SQ4&gt;=SU$20,SQ4&lt;&gt;""),AND(SR4&gt;=SU$16,SR4&lt;&gt;"",ST4&gt;=SU$20,ST4&lt;&gt;"")),"P","")</f>
        <v>P</v>
      </c>
      <c r="I4" s="3" t="str">
        <f t="shared" ref="I4:I13" si="2">IF(OR(AND(AQ4&gt;=AY$20,AQ4&lt;&gt;"",AN4=""),AND(AT4&gt;=AY$20,AT4&lt;&gt;"",AN4=""),AND(AX4&gt;=AY$20,AX4&lt;&gt;"",AN4=""),AND(BR4&gt;=BZ$20,BR4&lt;&gt;"",BO4=""),AND(BU4&gt;=BZ$20,BU4&lt;&gt;"",BO4=""),AND(BY4&gt;=BZ$20,BY4&lt;&gt;"",BO4=""),AND(CS4&gt;=DA$20,CS4&lt;&gt;"",CP4=""),AND(CV4&gt;=DA$20,CV4&lt;&gt;"",CP4=""),AND(CZ4&gt;=DA$20,CZ4&lt;&gt;"",CP4=""),AND(DZ4&gt;=EK$20,DZ4&lt;&gt;""),AND(EC4&gt;=EK$20,EC4&lt;&gt;""),AND(EG4&gt;=EK$20,EG4&lt;&gt;""),AND(EJ4&gt;=EK$20,EJ4&lt;&gt;""),AND(FH4&gt;=FS$20,FH4&lt;&gt;""),AND(FK4&gt;=FS$20,FK4&lt;&gt;""),AND(FO4&gt;=FS$20,FO4&lt;&gt;""),AND(FR4&gt;=FS$20,FR4&lt;&gt;""),AND(GP4&gt;=HA$20,GP4&lt;&gt;""),AND(GS4&gt;=HA$20,GS4&lt;&gt;""),AND(GW4&gt;=HA$20,GW4&lt;&gt;""),AND(GZ4&gt;=HA$20,GZ4&lt;&gt;""),AND(HX4&gt;=II$20,HX4&lt;&gt;""),AND(IA4&gt;=II$20,IA4&lt;&gt;""),AND(IE4&gt;=II$20,IE4&lt;&gt;""),AND(IH4&gt;=II$20,IH4&lt;&gt;""),AND(JF4&gt;=JQ$20,JF4&lt;&gt;""),AND(JI4&gt;=JQ$20,JI4&lt;&gt;""),AND(JM4&gt;=JQ$20,JM4&lt;&gt;""),AND(JP4&gt;=JQ$20,JP4&lt;&gt;""),AND(KN4&gt;=KY$20,KN4&lt;&gt;""),AND(KQ4&gt;=KY$20,KQ4&lt;&gt;""),AND(KU4&gt;=KY$20,KU4&lt;&gt;""),AND(KX4&gt;=KY$20,KX4&lt;&gt;""),AND(LV4&gt;=MG$20,LV4&lt;&gt;""),AND(LY4&gt;=MG$20,LY4&lt;&gt;""),AND(MC4&gt;=MG$20,MC4&lt;&gt;""),AND(MF4&gt;=MG$20,MF4&lt;&gt;""),AND(ND4&gt;=NO$20,ND4&lt;&gt;""),AND(NG4&gt;=NO$20,NG4&lt;&gt;""),AND(NK4&gt;=NO$20,NK4&lt;&gt;""),AND(NN4&gt;=NO$20,NN4&lt;&gt;""),AND(OL4&gt;=OW$20,OL4&lt;&gt;""),AND(OO4&gt;=OW$20,OO4&lt;&gt;""),AND(OS4&gt;=OW$20,OS4&lt;&gt;""),AND(OV4&gt;=OW$20,OV4&lt;&gt;""),AND(PT4&gt;=QE$20,PT4&lt;&gt;""),AND(PW4&gt;=QE$20,PW4&lt;&gt;""),AND(QA4&gt;=QE$20,QA4&lt;&gt;""),AND(QD4&gt;=QE$20,QD4&lt;&gt;""),AND(RB4&gt;=RM$20,RB4&lt;&gt;""),AND(RE4&gt;=RM$20,RE4&lt;&gt;""),AND(RI4&gt;=RM$20,RI4&lt;&gt;""),AND(RL4&gt;=RM$20,RL4&lt;&gt;""),AND(SJ4&gt;=SU$20,SJ4&lt;&gt;""),AND(SM4&gt;=SU$20,SM4&lt;&gt;""),AND(SQ4&gt;=SU$20,SQ4&lt;&gt;""),AND(ST4&gt;=SU$20,ST4&lt;&gt;"")),"P","")</f>
        <v>P</v>
      </c>
      <c r="J4" s="36" t="str">
        <f t="shared" ref="J4:J13" si="3">IF(AND(I4="P",H4=""),"No DD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Merit",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Excellence",IF(K4="P","Worlds Team",IF(H4="P","National Team","")))))</f>
        <v>National Team</v>
      </c>
      <c r="K4" s="3" t="str">
        <f t="shared" ref="K4:K13" si="4"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/>
      </c>
      <c r="L4" s="8">
        <f>IF(COUNT(AQ4,AT4,BR4,BU4,CS4,CV4)&gt;0,LARGE((AQ4,AT4,BR4,BU4,CS4,CV4),1),0)</f>
        <v>52.15</v>
      </c>
      <c r="M4" s="8" t="str">
        <f t="shared" ref="M4:M13" si="5">IF(L4="","",IF(OR(L4=CS4,L4=CV4),$CA$1,IF(OR(L4=BR4,L4=BU4),$AZ$1,IF(OR(L4=AQ4,L4=AT4),$Y$1,""))))</f>
        <v>2025 Nationals</v>
      </c>
      <c r="N4" s="8">
        <f>IF(COUNT(AQ4,AT4,BR4,BU4,CS4,CV4)&gt;1,LARGE((AQ4,AT4,BR4,BU4,CS4,CV4),2),0)</f>
        <v>51.820000000000007</v>
      </c>
      <c r="O4" s="8" t="str">
        <f t="shared" ref="O4:O13" si="6">IF(N4="","",IF(OR(N4=CS4,N4=CV4),$CA$1,IF(OR(N4=BR4,N4=BU4),$AZ$1,IF(OR(N4=AQ4,N4=AT4),$Y$1,""))))</f>
        <v>2025 3rd Domestic Trial</v>
      </c>
      <c r="P4" s="8">
        <f>IF(COUNT(AQ4,AT4,BR4,BU4,CS4,CV4)&gt;2,MAX(AX4,BY4,CZ4,LARGE((AQ4,AT4,BR4,BU4,CS4,CV4),3)),IF(MAX(AX4,BY4,CZ4)&gt;0,MAX(AX4,BY4,CZ4),0))</f>
        <v>51.86999999999999</v>
      </c>
      <c r="Q4" s="8" t="str">
        <f t="shared" ref="Q4:Q13" si="7">IF(P4="","",IF(P4=CZ4,$CA$1,IF(P4=BY4,$AZ$1,IF(P4=AX4,$Y$1,IF(OR(P4=CS4,P4=CV4,P4=CZ4),$CA$1,IF(OR(P4=BR4,P4=BU4,P4=BY4),$AZ$1,IF(OR(P4=AQ4,P4=AT4,P4=AX4),$Y$1,"")))))))</f>
        <v>2025 Nationals</v>
      </c>
      <c r="R4" s="8">
        <f t="shared" ref="R4:R13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14.3</v>
      </c>
      <c r="S4" s="8" t="str">
        <f t="shared" ref="S4:S13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3rd Domestic Trial</v>
      </c>
      <c r="T4" s="8">
        <f t="shared" ref="T4:T13" si="10">IF(MAX(IF(AO4&gt;=$AY$16,AP4,0),IF(AR4&gt;=$AY$16,AS4,0),IF(AV4&gt;=$AY$16,AW4,0),IF(BP4&gt;=$BZ$16,BQ4,0),IF(BS4&gt;=$BZ$16,BT4,0),IF(BW4&gt;=$BZ$16,BX4,0),IF(CQ4&gt;=$DA$16,CR4,0),IF(CT4&gt;=$DA$16,CU4,0),IF(CX4&gt;=$DA$16,CY4,0),IF(DX4&gt;=$EK$16,DY4,0),IF(EA4&gt;=$EK$16,EB4,0),IF(EE4&gt;=$EK$16,EF4,0),IF(EH4&gt;=$EK$16,EI4,0),IF(FF4&gt;=$FS$16,FG4,0),IF(FI4&gt;=$FS$16,FJ4,0),IF(FM4&gt;=$FS$16,FN4,0),IF(FP4&gt;=$FS$16,FQ4,0),IF(GN4&gt;=$HA$16,GO4,0),IF(GQ4&gt;=$HA$16,GR4,0),IF(GU4&gt;=$HA$16,GV4,0),IF(GX4&gt;=$HA$16,GY4,0),IF(HV4&gt;=$II$16,HW4,0),IF(HY4&gt;=$II$16,HZ4,0),IF(IC4&gt;=$II$16,ID4,0),IF(IF4&gt;=$II$16,IG4,0),IF(JD4&gt;=$JQ$16,JE4,0),IF(JG4&gt;=$JQ$16,JH4,0),IF(JK4&gt;=$JQ$16,JL4,0),IF(JN4&gt;=$JQ$16,JO4,0),IF(KL4&gt;=$KY$16,KM4,0),IF(KO4&gt;=$KY$16,KP4,0),IF(KS4&gt;=$KY$16,KT4,0),IF(KV4&gt;=$KY$16,KW4,0),IF(LT4&gt;=$MG$16,LU4,0),IF(LW4&gt;=$MG$16,LX4,0),IF(MA4&gt;=$MG$16,MB4,0),IF(MD4&gt;=$MG$16,ME4,0),IF(NB4&gt;=$NO$16,NC4,0),IF(NE4&gt;=$NO$16,NF4,0),IF(NI4&gt;=$NO$16,NJ4,0),IF(NL4&gt;=$NO$16,NM4,0),IF(OJ4&gt;=$OW$16,OK4,0),IF(OM4&gt;=$OW$16,ON4,0),IF(OQ4&gt;=$OW$16,OR4,0),IF(OT4&gt;=$OW$16,OU4,0),IF(PR4&gt;=$QE$16,PS4,0),IF(PU4&gt;=$QE$16,PV4,0),IF(PY4&gt;=$QE$16,PZ4,0),IF(QB4&gt;=$QE$16,QC4,0),IF(QZ4&gt;=$RM$16,RA4,0),IF(RC4&gt;=$RM$16,RD4,0),IF(RG4&gt;=$RM$16,RH4,0),IF(RJ4&gt;=$RM$16,RK4,0),IF(SH4&gt;=$SU$16,SI4,0),IF(SK4&gt;=$SU$16,SL4,0),IF(SO4&gt;=$SU$16,SP4,0),IF(SR4&gt;=$SU$16,SS4,0))&gt;0,MAX(IF(AO4&gt;=$AY$16,AP4,0),IF(AR4&gt;=$AY$16,AS4,0),IF(AV4&gt;=$AY$16,AW4,0),IF(BP4&gt;=$BZ$16,BQ4,0),IF(BS4&gt;=$BZ$16,BT4,0),IF(BW4&gt;=$BZ$16,BX4,0),IF(CQ4&gt;=$DA$16,CR4,0),IF(CT4&gt;=$DA$16,CU4,0),IF(CX4&gt;=$DA$16,CY4,0),IF(DX4&gt;=$EK$16,DY4,0),IF(EA4&gt;=$EK$16,EB4,0),IF(EE4&gt;=$EK$16,EF4,0),IF(EH4&gt;=$EK$16,EI4,0),IF(FF4&gt;=$FS$16,FG4,0),IF(FI4&gt;=$FS$16,FJ4,0),IF(FM4&gt;=$FS$16,FN4,0),IF(FP4&gt;=$FS$16,FQ4,0),IF(GN4&gt;=$HA$16,GO4,0),IF(GQ4&gt;=$HA$16,GR4,0),IF(GU4&gt;=$HA$16,GV4,0),IF(GX4&gt;=$HA$16,GY4,0),IF(HV4&gt;=$II$16,HW4,0),IF(HY4&gt;=$II$16,HZ4,0),IF(IC4&gt;=$II$16,ID4,0),IF(IF4&gt;=$II$16,IG4,0),IF(JD4&gt;=$JQ$16,JE4,0),IF(JG4&gt;=$JQ$16,JH4,0),IF(JK4&gt;=$JQ$16,JL4,0),IF(JN4&gt;=$JQ$16,JO4,0),IF(KL4&gt;=$KY$16,KM4,0),IF(KO4&gt;=$KY$16,KP4,0),IF(KS4&gt;=$KY$16,KT4,0),IF(KV4&gt;=$KY$16,KW4,0),IF(LT4&gt;=$MG$16,LU4,0),IF(LW4&gt;=$MG$16,LX4,0),IF(MA4&gt;=$MG$16,MB4,0),IF(MD4&gt;=$MG$16,ME4,0),IF(NB4&gt;=$NO$16,NC4,0),IF(NE4&gt;=$NO$16,NF4,0),IF(NI4&gt;=$NO$16,NJ4,0),IF(NL4&gt;=$NO$16,NM4,0),IF(OJ4&gt;=$OW$16,OK4,0),IF(OM4&gt;=$OW$16,ON4,0),IF(OQ4&gt;=$OW$16,OR4,0),IF(OT4&gt;=$OW$16,OU4,0),IF(PR4&gt;=$QE$16,PS4,0),IF(PU4&gt;=$QE$16,PV4,0),IF(PY4&gt;=$QE$16,PZ4,0),IF(QB4&gt;=$QE$16,QC4,0),IF(QZ4&gt;=$RM$16,RA4,0),IF(RC4&gt;=$RM$16,RD4,0),IF(RG4&gt;=$RM$16,RH4,0),IF(RJ4&gt;=$RM$16,RK4,0),IF(SH4&gt;=$SU$16,SI4,0),IF(SK4&gt;=$SU$16,SL4,0),IF(SO4&gt;=$SU$16,SP4,0),IF(SR4&gt;=$SU$16,SS4,0)),0)</f>
        <v>14.48</v>
      </c>
      <c r="U4" s="8" t="str">
        <f t="shared" ref="U4:U13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Junior Pan Am Games (Aug 12)</v>
      </c>
      <c r="V4" s="8" t="str">
        <f t="shared" ref="V4:V13" si="12">IF(MAX(DB4,DC4)&gt;0,MAX(DB4,DC4),"")</f>
        <v/>
      </c>
      <c r="W4" s="11" t="str">
        <f t="shared" ref="W4:W13" si="13">IF(V4="","",IF(V4=DB4,"("&amp;DB$2&amp;")",IF(V4=DC4,"("&amp;DC$2&amp;")")))</f>
        <v/>
      </c>
      <c r="X4" s="8" t="str">
        <f t="shared" ref="X4:X13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9.1</v>
      </c>
      <c r="AA4" s="22">
        <v>12.4</v>
      </c>
      <c r="AB4" s="22">
        <v>14.35</v>
      </c>
      <c r="AC4" s="22">
        <v>0.3</v>
      </c>
      <c r="AD4" s="22">
        <v>14.8</v>
      </c>
      <c r="AE4" s="22">
        <v>9.1999999999999993</v>
      </c>
      <c r="AF4" s="22">
        <v>13.4</v>
      </c>
      <c r="AG4" s="22">
        <v>14.09</v>
      </c>
      <c r="AH4" s="22">
        <v>0</v>
      </c>
      <c r="AI4" s="22">
        <v>13.7</v>
      </c>
      <c r="AJ4" s="22">
        <v>9.1999999999999993</v>
      </c>
      <c r="AK4" s="22">
        <v>14.3</v>
      </c>
      <c r="AL4" s="22">
        <v>14.26</v>
      </c>
      <c r="AM4" s="22">
        <v>0</v>
      </c>
      <c r="AN4" s="27"/>
      <c r="AO4" s="38">
        <f t="shared" ref="AO4:AO13" si="15">IF(AA4&gt;0,AA4,"")</f>
        <v>12.4</v>
      </c>
      <c r="AP4" s="38">
        <f t="shared" ref="AP4:AP13" si="16">IF(AB4&gt;0,AB4,"")</f>
        <v>14.35</v>
      </c>
      <c r="AQ4" s="40">
        <f t="shared" ref="AQ4:AQ13" si="17">IF(SUM(Y4:AB4)-AC4&gt;0,SUM(Y4:AB4)-AC4,"")</f>
        <v>49.050000000000004</v>
      </c>
      <c r="AR4" s="40">
        <f t="shared" ref="AR4:AR13" si="18">IF(AF4&gt;0,AF4,"")</f>
        <v>13.4</v>
      </c>
      <c r="AS4" s="40">
        <f t="shared" ref="AS4:AS13" si="19">IF(AG4&gt;0,AG4,"")</f>
        <v>14.09</v>
      </c>
      <c r="AT4" s="40">
        <f t="shared" ref="AT4:AT13" si="20">IF(SUM(AD4:AG4)-AH4&gt;0,SUM(AD4:AG4)-AH4,"")</f>
        <v>51.489999999999995</v>
      </c>
      <c r="AU4" s="40">
        <f t="shared" ref="AU4:AU13" si="21">IF(AQ4="","",MAX(AQ4,AT4))</f>
        <v>51.489999999999995</v>
      </c>
      <c r="AV4" s="40">
        <f t="shared" ref="AV4:AV13" si="22">IF(AK4&gt;0,AK4,"")</f>
        <v>14.3</v>
      </c>
      <c r="AW4" s="40">
        <f t="shared" ref="AW4:AW13" si="23">IF(AL4&gt;0,AL4,"")</f>
        <v>14.26</v>
      </c>
      <c r="AX4" s="40">
        <f t="shared" ref="AX4:AX13" si="24">IF(SUM(AI4:AL4)-AM4&gt;0,SUM(AI4:AL4)-AM4,"")</f>
        <v>51.46</v>
      </c>
      <c r="AY4" s="40">
        <f t="shared" ref="AY4:AY13" si="25">IF(SUM(AU4,AX4)&gt;0,SUM(AU4,AX4),"")</f>
        <v>102.94999999999999</v>
      </c>
      <c r="AZ4" s="26">
        <v>14.1</v>
      </c>
      <c r="BA4" s="26">
        <v>9.6999999999999993</v>
      </c>
      <c r="BB4" s="26">
        <v>10.8</v>
      </c>
      <c r="BC4" s="26">
        <v>14.25</v>
      </c>
      <c r="BD4" s="26">
        <v>1.9</v>
      </c>
      <c r="BE4" s="26">
        <v>14.6</v>
      </c>
      <c r="BF4" s="26">
        <v>9.1</v>
      </c>
      <c r="BG4" s="26">
        <v>14.3</v>
      </c>
      <c r="BH4" s="26">
        <v>14.15</v>
      </c>
      <c r="BI4" s="26">
        <v>0</v>
      </c>
      <c r="BJ4" s="26">
        <v>13.7</v>
      </c>
      <c r="BK4" s="26">
        <v>9.6</v>
      </c>
      <c r="BL4" s="26">
        <v>14.3</v>
      </c>
      <c r="BM4" s="26">
        <v>14.27</v>
      </c>
      <c r="BN4" s="26">
        <v>0</v>
      </c>
      <c r="BO4" s="28"/>
      <c r="BP4" s="39">
        <f t="shared" ref="BP4:BP13" si="26">IF(BB4&gt;0,BB4,"")</f>
        <v>10.8</v>
      </c>
      <c r="BQ4" s="39">
        <f t="shared" ref="BQ4:BQ13" si="27">IF(BC4&gt;0,BC4,"")</f>
        <v>14.25</v>
      </c>
      <c r="BR4" s="11">
        <f t="shared" ref="BR4:BR13" si="28">IF(SUM(AZ4:BC4)-BD4&gt;0,SUM(AZ4:BC4)-BD4,"")</f>
        <v>46.949999999999996</v>
      </c>
      <c r="BS4" s="11">
        <f t="shared" ref="BS4:BS13" si="29">IF(BG4&gt;0,BG4,"")</f>
        <v>14.3</v>
      </c>
      <c r="BT4" s="11">
        <f t="shared" ref="BT4:BT13" si="30">IF(BH4&gt;0,BH4,"")</f>
        <v>14.15</v>
      </c>
      <c r="BU4" s="11">
        <f t="shared" ref="BU4:BU13" si="31">IF(SUM(BE4:BH4)-BI4&gt;0,SUM(BE4:BH4)-BI4,"")</f>
        <v>52.15</v>
      </c>
      <c r="BV4" s="11">
        <f t="shared" ref="BV4:BV13" si="32">IF(BR4="","",MAX(BR4,BU4))</f>
        <v>52.15</v>
      </c>
      <c r="BW4" s="11">
        <f t="shared" ref="BW4:BW13" si="33">IF(BL4&gt;0,BL4,"")</f>
        <v>14.3</v>
      </c>
      <c r="BX4" s="11">
        <f t="shared" ref="BX4:BX13" si="34">IF(BM4&gt;0,BM4,"")</f>
        <v>14.27</v>
      </c>
      <c r="BY4" s="11">
        <f t="shared" ref="BY4:BY13" si="35">IF(SUM(BJ4:BM4)-BN4&gt;0,SUM(BJ4:BM4)-BN4,"")</f>
        <v>51.86999999999999</v>
      </c>
      <c r="BZ4" s="11">
        <f t="shared" ref="BZ4:BZ13" si="36">IF(SUM(BV4,BY4)&gt;0,SUM(BV4,BY4),"")</f>
        <v>104.01999999999998</v>
      </c>
      <c r="CA4" s="22">
        <v>13.8</v>
      </c>
      <c r="CB4" s="22">
        <v>9.3999999999999986</v>
      </c>
      <c r="CC4" s="22">
        <v>11.600000000000001</v>
      </c>
      <c r="CD4" s="22">
        <v>14.3</v>
      </c>
      <c r="CE4" s="22">
        <v>1.0999999999999999</v>
      </c>
      <c r="CF4" s="22">
        <v>14.7</v>
      </c>
      <c r="CG4" s="22">
        <v>9.1499999999999986</v>
      </c>
      <c r="CH4" s="22">
        <v>13.850000000000001</v>
      </c>
      <c r="CI4" s="22">
        <v>14.120000000000001</v>
      </c>
      <c r="CJ4" s="22">
        <v>0</v>
      </c>
      <c r="CK4" s="22">
        <v>13.7</v>
      </c>
      <c r="CL4" s="22">
        <v>9.3999999999999986</v>
      </c>
      <c r="CM4" s="22">
        <v>14.3</v>
      </c>
      <c r="CN4" s="22">
        <v>14.265000000000001</v>
      </c>
      <c r="CO4" s="22">
        <v>0</v>
      </c>
      <c r="CP4" s="27" t="s">
        <v>46</v>
      </c>
      <c r="CQ4" s="38">
        <f t="shared" ref="CQ4:CQ13" si="37">IF(CC4&gt;0,CC4,"")</f>
        <v>11.600000000000001</v>
      </c>
      <c r="CR4" s="38">
        <f t="shared" ref="CR4:CR13" si="38">IF(CD4&gt;0,CD4,"")</f>
        <v>14.3</v>
      </c>
      <c r="CS4" s="40">
        <f t="shared" ref="CS4:CS13" si="39">IF(SUM(CA4:CD4)-CE4&gt;0,SUM(CA4:CD4)-CE4,"")</f>
        <v>47.999999999999993</v>
      </c>
      <c r="CT4" s="40">
        <f t="shared" ref="CT4:CT13" si="40">IF(CH4&gt;0,CH4,"")</f>
        <v>13.850000000000001</v>
      </c>
      <c r="CU4" s="40">
        <f t="shared" ref="CU4:CU13" si="41">IF(CI4&gt;0,CI4,"")</f>
        <v>14.120000000000001</v>
      </c>
      <c r="CV4" s="40">
        <f t="shared" ref="CV4:CV13" si="42">IF(SUM(CF4:CI4)-CJ4&gt;0,SUM(CF4:CI4)-CJ4,"")</f>
        <v>51.820000000000007</v>
      </c>
      <c r="CW4" s="40">
        <f t="shared" ref="CW4:CW13" si="43">IF(CS4="","",MAX(CS4,CV4))</f>
        <v>51.820000000000007</v>
      </c>
      <c r="CX4" s="40">
        <f t="shared" ref="CX4:CX13" si="44">IF(CM4&gt;0,CM4,"")</f>
        <v>14.3</v>
      </c>
      <c r="CY4" s="40">
        <f t="shared" ref="CY4:CY13" si="45">IF(CN4&gt;0,CN4,"")</f>
        <v>14.265000000000001</v>
      </c>
      <c r="CZ4" s="40">
        <f t="shared" ref="CZ4:CZ13" si="46">IF(SUM(CK4:CN4)-CO4&gt;0,SUM(CK4:CN4)-CO4,"")</f>
        <v>51.664999999999999</v>
      </c>
      <c r="DA4" s="40">
        <f t="shared" ref="DA4:DA13" si="47">IF(SUM(CW4,CZ4)&gt;0,SUM(CW4,CZ4),"")</f>
        <v>103.48500000000001</v>
      </c>
      <c r="DB4" s="50" t="str">
        <f t="shared" ref="DB4:DB13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13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3" si="50">IF(DF4&gt;0,DF4,"")</f>
        <v/>
      </c>
      <c r="DY4" s="40" t="str">
        <f t="shared" ref="DY4:DY13" si="51">IF(DG4&gt;0,DG4,"")</f>
        <v/>
      </c>
      <c r="DZ4" s="40" t="str">
        <f t="shared" ref="DZ4:DZ13" si="52">IF(SUM(DD4:DG4)-DH4&gt;0,SUM(DD4:DG4)-DH4,"")</f>
        <v/>
      </c>
      <c r="EA4" s="40" t="str">
        <f t="shared" ref="EA4:EA13" si="53">IF(DK4&gt;0,DK4,"")</f>
        <v/>
      </c>
      <c r="EB4" s="40" t="str">
        <f t="shared" ref="EB4:EB13" si="54">IF(DL4&gt;0,DL4,"")</f>
        <v/>
      </c>
      <c r="EC4" s="40" t="str">
        <f t="shared" ref="EC4:EC13" si="55">IF(SUM(DI4:DL4)-DM4&gt;0,SUM(DI4:DL4)-DM4,"")</f>
        <v/>
      </c>
      <c r="ED4" s="40" t="str">
        <f t="shared" ref="ED4:ED13" si="56">IF(MAX(DZ4,EC4)&gt;0,MAX(DZ4,EC4),"")</f>
        <v/>
      </c>
      <c r="EE4" s="40" t="str">
        <f t="shared" ref="EE4:EE13" si="57">IF(DP4&gt;0,DP4,"")</f>
        <v/>
      </c>
      <c r="EF4" s="40" t="str">
        <f t="shared" ref="EF4:EF13" si="58">IF(DQ4&gt;0,DQ4,"")</f>
        <v/>
      </c>
      <c r="EG4" s="40" t="str">
        <f t="shared" ref="EG4:EG13" si="59">IF(SUM(DN4:DQ4)-DR4&gt;0,SUM(DN4:DQ4)-DR4,"")</f>
        <v/>
      </c>
      <c r="EH4" s="40" t="str">
        <f t="shared" ref="EH4:EH13" si="60">IF(DU4&gt;0,DU4,"")</f>
        <v/>
      </c>
      <c r="EI4" s="40" t="str">
        <f t="shared" ref="EI4:EI13" si="61">IF(DV4&gt;0,DV4,"")</f>
        <v/>
      </c>
      <c r="EJ4" s="40" t="str">
        <f t="shared" ref="EJ4:EJ13" si="62">IF(SUM(DS4:DV4)-DW4&gt;0,SUM(DS4:DV4)-DW4,"")</f>
        <v/>
      </c>
      <c r="EK4" s="40" t="str">
        <f t="shared" ref="EK4:EK13" si="63">IF(SUM(ED4,EG4,EJ4)&gt;0,SUM(ED4,EG4,EJ4),"")</f>
        <v/>
      </c>
      <c r="EL4" s="18">
        <v>13.5</v>
      </c>
      <c r="EM4" s="18">
        <v>9.3000000000000007</v>
      </c>
      <c r="EN4" s="18">
        <v>14.3</v>
      </c>
      <c r="EO4" s="18">
        <v>14.44</v>
      </c>
      <c r="EP4" s="18">
        <v>0</v>
      </c>
      <c r="EQ4" s="18">
        <v>13.3</v>
      </c>
      <c r="ER4" s="18">
        <v>9.3000000000000007</v>
      </c>
      <c r="ES4" s="18">
        <v>14.3</v>
      </c>
      <c r="ET4" s="18">
        <v>14.25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3" si="64">IF(EN4&gt;0,EN4,"")</f>
        <v>14.3</v>
      </c>
      <c r="FG4" s="11">
        <f t="shared" ref="FG4:FG13" si="65">IF(EO4&gt;0,EO4,"")</f>
        <v>14.44</v>
      </c>
      <c r="FH4" s="11">
        <f t="shared" ref="FH4:FH13" si="66">IF(SUM(EL4:EO4)-EP4&gt;0,SUM(EL4:EO4)-EP4,"")</f>
        <v>51.54</v>
      </c>
      <c r="FI4" s="11">
        <f t="shared" ref="FI4:FI13" si="67">IF(ES4&gt;0,ES4,"")</f>
        <v>14.3</v>
      </c>
      <c r="FJ4" s="11">
        <f t="shared" ref="FJ4:FJ13" si="68">IF(ET4&gt;0,ET4,"")</f>
        <v>14.25</v>
      </c>
      <c r="FK4" s="11">
        <f t="shared" ref="FK4:FK13" si="69">IF(SUM(EQ4:ET4)-EU4&gt;0,SUM(EQ4:ET4)-EU4,"")</f>
        <v>51.150000000000006</v>
      </c>
      <c r="FL4" s="11">
        <f t="shared" ref="FL4:FL13" si="70">IF(MAX(FH4,FK4)&gt;0,MAX(FH4,FK4),"")</f>
        <v>51.54</v>
      </c>
      <c r="FM4" s="11" t="str">
        <f t="shared" ref="FM4:FM13" si="71">IF(EX4&gt;0,EX4,"")</f>
        <v/>
      </c>
      <c r="FN4" s="11" t="str">
        <f t="shared" ref="FN4:FN13" si="72">IF(EY4&gt;0,EY4,"")</f>
        <v/>
      </c>
      <c r="FO4" s="11" t="str">
        <f t="shared" ref="FO4:FO13" si="73">IF(SUM(EV4:EY4)-EZ4&gt;0,SUM(EV4:EY4)-EZ4,"")</f>
        <v/>
      </c>
      <c r="FP4" s="11" t="str">
        <f t="shared" ref="FP4:FP13" si="74">IF(FC4&gt;0,FC4,"")</f>
        <v/>
      </c>
      <c r="FQ4" s="11" t="str">
        <f t="shared" ref="FQ4:FQ13" si="75">IF(FD4&gt;0,FD4,"")</f>
        <v/>
      </c>
      <c r="FR4" s="11" t="str">
        <f t="shared" ref="FR4:FR13" si="76">IF(SUM(FA4:FD4)-FE4&gt;0,SUM(FA4:FD4)-FE4,"")</f>
        <v/>
      </c>
      <c r="FS4" s="11">
        <f t="shared" ref="FS4:FS13" si="77">IF(SUM(FL4,FO4,FR4)&gt;0,SUM(FL4,FO4,FR4),"")</f>
        <v>51.54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3" si="78">IF(FV4&gt;0,FV4,"")</f>
        <v/>
      </c>
      <c r="GO4" s="40" t="str">
        <f t="shared" ref="GO4:GO13" si="79">IF(FW4&gt;0,FW4,"")</f>
        <v/>
      </c>
      <c r="GP4" s="40" t="str">
        <f t="shared" ref="GP4:GP13" si="80">IF(SUM(FT4:FW4)-FX4&gt;0,SUM(FT4:FW4)-FX4,"")</f>
        <v/>
      </c>
      <c r="GQ4" s="40" t="str">
        <f t="shared" ref="GQ4:GQ13" si="81">IF(GA4&gt;0,GA4,"")</f>
        <v/>
      </c>
      <c r="GR4" s="40" t="str">
        <f t="shared" ref="GR4:GR13" si="82">IF(GB4&gt;0,GB4,"")</f>
        <v/>
      </c>
      <c r="GS4" s="40" t="str">
        <f t="shared" ref="GS4:GS13" si="83">IF(SUM(FY4:GB4)-GC4&gt;0,SUM(FY4:GB4)-GC4,"")</f>
        <v/>
      </c>
      <c r="GT4" s="40" t="str">
        <f t="shared" ref="GT4:GT13" si="84">IF(MAX(GP4,GS4)&gt;0,MAX(GP4,GS4),"")</f>
        <v/>
      </c>
      <c r="GU4" s="40" t="str">
        <f t="shared" ref="GU4:GU13" si="85">IF(GF4&gt;0,GF4,"")</f>
        <v/>
      </c>
      <c r="GV4" s="40" t="str">
        <f t="shared" ref="GV4:GV13" si="86">IF(GG4&gt;0,GG4,"")</f>
        <v/>
      </c>
      <c r="GW4" s="40" t="str">
        <f t="shared" ref="GW4:GW13" si="87">IF(SUM(GD4:GG4)-GH4&gt;0,SUM(GD4:GG4)-GH4,"")</f>
        <v/>
      </c>
      <c r="GX4" s="40" t="str">
        <f t="shared" ref="GX4:GX13" si="88">IF(GK4&gt;0,GK4,"")</f>
        <v/>
      </c>
      <c r="GY4" s="40" t="str">
        <f t="shared" ref="GY4:GY13" si="89">IF(GL4&gt;0,GL4,"")</f>
        <v/>
      </c>
      <c r="GZ4" s="40" t="str">
        <f t="shared" ref="GZ4:GZ13" si="90">IF(SUM(GI4:GL4)-GM4&gt;0,SUM(GI4:GL4)-GM4,"")</f>
        <v/>
      </c>
      <c r="HA4" s="40" t="str">
        <f t="shared" ref="HA4:HA13" si="91">IF(SUM(GT4,GW4,GZ4)&gt;0,SUM(GT4,GW4,GZ4),"")</f>
        <v/>
      </c>
      <c r="HB4" s="18"/>
      <c r="HC4" s="18"/>
      <c r="HD4" s="18"/>
      <c r="HE4" s="18"/>
      <c r="HF4" s="18"/>
      <c r="HG4" s="18">
        <v>14</v>
      </c>
      <c r="HH4" s="18">
        <v>9.6</v>
      </c>
      <c r="HI4" s="18">
        <v>13.4</v>
      </c>
      <c r="HJ4" s="18">
        <v>14.48</v>
      </c>
      <c r="HK4" s="18">
        <v>0</v>
      </c>
      <c r="HL4" s="18"/>
      <c r="HM4" s="18"/>
      <c r="HN4" s="18"/>
      <c r="HO4" s="18"/>
      <c r="HP4" s="18"/>
      <c r="HQ4" s="18">
        <v>13.5</v>
      </c>
      <c r="HR4" s="18">
        <v>9.3000000000000007</v>
      </c>
      <c r="HS4" s="18">
        <v>14.3</v>
      </c>
      <c r="HT4" s="18">
        <v>14.37</v>
      </c>
      <c r="HU4" s="18">
        <v>0</v>
      </c>
      <c r="HV4" s="11" t="str">
        <f t="shared" ref="HV4:HV13" si="92">IF(HD4&gt;0,HD4,"")</f>
        <v/>
      </c>
      <c r="HW4" s="11" t="str">
        <f t="shared" ref="HW4:HW13" si="93">IF(HE4&gt;0,HE4,"")</f>
        <v/>
      </c>
      <c r="HX4" s="11" t="str">
        <f t="shared" ref="HX4:HX13" si="94">IF(SUM(HB4:HE4)-HF4&gt;0,SUM(HB4:HE4)-HF4,"")</f>
        <v/>
      </c>
      <c r="HY4" s="11">
        <f t="shared" ref="HY4:HY13" si="95">IF(HI4&gt;0,HI4,"")</f>
        <v>13.4</v>
      </c>
      <c r="HZ4" s="11">
        <f t="shared" ref="HZ4:HZ13" si="96">IF(HJ4&gt;0,HJ4,"")</f>
        <v>14.48</v>
      </c>
      <c r="IA4" s="11">
        <f t="shared" ref="IA4:IA13" si="97">IF(SUM(HG4:HJ4)-HK4&gt;0,SUM(HG4:HJ4)-HK4,"")</f>
        <v>51.480000000000004</v>
      </c>
      <c r="IB4" s="11">
        <f t="shared" ref="IB4:IB13" si="98">IF(MAX(HX4,IA4)&gt;0,MAX(HX4,IA4),"")</f>
        <v>51.480000000000004</v>
      </c>
      <c r="IC4" s="11" t="str">
        <f t="shared" ref="IC4:IC13" si="99">IF(HN4&gt;0,HN4,"")</f>
        <v/>
      </c>
      <c r="ID4" s="11" t="str">
        <f t="shared" ref="ID4:ID13" si="100">IF(HO4&gt;0,HO4,"")</f>
        <v/>
      </c>
      <c r="IE4" s="11" t="str">
        <f t="shared" ref="IE4:IE13" si="101">IF(SUM(HL4:HO4)-HP4&gt;0,SUM(HL4:HO4)-HP4,"")</f>
        <v/>
      </c>
      <c r="IF4" s="11">
        <f t="shared" ref="IF4:IF13" si="102">IF(HS4&gt;0,HS4,"")</f>
        <v>14.3</v>
      </c>
      <c r="IG4" s="11">
        <f t="shared" ref="IG4:IG13" si="103">IF(HT4&gt;0,HT4,"")</f>
        <v>14.37</v>
      </c>
      <c r="IH4" s="11">
        <f t="shared" ref="IH4:IH13" si="104">IF(SUM(HQ4:HT4)-HU4&gt;0,SUM(HQ4:HT4)-HU4,"")</f>
        <v>51.47</v>
      </c>
      <c r="II4" s="11">
        <f t="shared" ref="II4:II13" si="105">IF(SUM(IB4,IE4,IH4)&gt;0,SUM(IB4,IE4,IH4),"")</f>
        <v>102.95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3" si="106">IF(IL4&gt;0,IL4,"")</f>
        <v/>
      </c>
      <c r="JE4" s="40" t="str">
        <f t="shared" ref="JE4:JE13" si="107">IF(IM4&gt;0,IM4,"")</f>
        <v/>
      </c>
      <c r="JF4" s="40" t="str">
        <f t="shared" ref="JF4:JF13" si="108">IF(SUM(IJ4:IM4)-IN4&gt;0,SUM(IJ4:IM4)-IN4,"")</f>
        <v/>
      </c>
      <c r="JG4" s="40" t="str">
        <f t="shared" ref="JG4:JG13" si="109">IF(IQ4&gt;0,IQ4,"")</f>
        <v/>
      </c>
      <c r="JH4" s="40" t="str">
        <f t="shared" ref="JH4:JH13" si="110">IF(IR4&gt;0,IR4,"")</f>
        <v/>
      </c>
      <c r="JI4" s="40" t="str">
        <f t="shared" ref="JI4:JI13" si="111">IF(SUM(IO4:IR4)-IS4&gt;0,SUM(IO4:IR4)-IS4,"")</f>
        <v/>
      </c>
      <c r="JJ4" s="40" t="str">
        <f t="shared" ref="JJ4:JJ13" si="112">IF(MAX(JF4,JI4)&gt;0,MAX(JF4,JI4),"")</f>
        <v/>
      </c>
      <c r="JK4" s="40" t="str">
        <f t="shared" ref="JK4:JK13" si="113">IF(IV4&gt;0,IV4,"")</f>
        <v/>
      </c>
      <c r="JL4" s="40" t="str">
        <f t="shared" ref="JL4:JL13" si="114">IF(IW4&gt;0,IW4,"")</f>
        <v/>
      </c>
      <c r="JM4" s="40" t="str">
        <f t="shared" ref="JM4:JM13" si="115">IF(SUM(IT4:IW4)-IX4&gt;0,SUM(IT4:IW4)-IX4,"")</f>
        <v/>
      </c>
      <c r="JN4" s="40" t="str">
        <f t="shared" ref="JN4:JN13" si="116">IF(JA4&gt;0,JA4,"")</f>
        <v/>
      </c>
      <c r="JO4" s="40" t="str">
        <f t="shared" ref="JO4:JO13" si="117">IF(JB4&gt;0,JB4,"")</f>
        <v/>
      </c>
      <c r="JP4" s="40" t="str">
        <f t="shared" ref="JP4:JP13" si="118">IF(SUM(IY4:JB4)-JC4&gt;0,SUM(IY4:JB4)-JC4,"")</f>
        <v/>
      </c>
      <c r="JQ4" s="40" t="str">
        <f t="shared" ref="JQ4:JQ13" si="119">IF(SUM(JJ4,JM4,JP4)&gt;0,SUM(JJ4,JM4,JP4),"")</f>
        <v/>
      </c>
      <c r="JR4" s="18">
        <v>17.5</v>
      </c>
      <c r="JS4" s="18">
        <v>9.5</v>
      </c>
      <c r="JT4" s="18">
        <v>1.6</v>
      </c>
      <c r="JU4" s="18">
        <v>15.48</v>
      </c>
      <c r="JV4" s="18">
        <v>0</v>
      </c>
      <c r="JW4" s="18">
        <v>15.2</v>
      </c>
      <c r="JX4" s="18">
        <v>9.4</v>
      </c>
      <c r="JY4" s="18">
        <v>12.1</v>
      </c>
      <c r="JZ4" s="18">
        <v>14.75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13" si="120">IF(JT4&gt;0,JT4,"")</f>
        <v>1.6</v>
      </c>
      <c r="KM4" s="11">
        <f t="shared" ref="KM4:KM13" si="121">IF(JU4&gt;0,JU4,"")</f>
        <v>15.48</v>
      </c>
      <c r="KN4" s="11">
        <f t="shared" ref="KN4:KN13" si="122">IF(SUM(JR4:JU4)-JV4&gt;0,SUM(JR4:JU4)-JV4,"")</f>
        <v>44.08</v>
      </c>
      <c r="KO4" s="11">
        <f t="shared" ref="KO4:KO13" si="123">IF(JY4&gt;0,JY4,"")</f>
        <v>12.1</v>
      </c>
      <c r="KP4" s="11">
        <f t="shared" ref="KP4:KP13" si="124">IF(JZ4&gt;0,JZ4,"")</f>
        <v>14.75</v>
      </c>
      <c r="KQ4" s="11">
        <f t="shared" ref="KQ4:KQ13" si="125">IF(SUM(JW4:JZ4)-KA4&gt;0,SUM(JW4:JZ4)-KA4,"")</f>
        <v>51.45</v>
      </c>
      <c r="KR4" s="11">
        <f t="shared" ref="KR4:KR13" si="126">IF(MAX(KN4,KQ4)&gt;0,MAX(KN4,KQ4),"")</f>
        <v>51.45</v>
      </c>
      <c r="KS4" s="11" t="str">
        <f t="shared" ref="KS4:KS13" si="127">IF(KD4&gt;0,KD4,"")</f>
        <v/>
      </c>
      <c r="KT4" s="11" t="str">
        <f t="shared" ref="KT4:KT13" si="128">IF(KE4&gt;0,KE4,"")</f>
        <v/>
      </c>
      <c r="KU4" s="11" t="str">
        <f t="shared" ref="KU4:KU13" si="129">IF(SUM(KB4:KE4)-KF4&gt;0,SUM(KB4:KE4)-KF4,"")</f>
        <v/>
      </c>
      <c r="KV4" s="11" t="str">
        <f t="shared" ref="KV4:KV13" si="130">IF(KI4&gt;0,KI4,"")</f>
        <v/>
      </c>
      <c r="KW4" s="11" t="str">
        <f t="shared" ref="KW4:KW13" si="131">IF(KJ4&gt;0,KJ4,"")</f>
        <v/>
      </c>
      <c r="KX4" s="11" t="str">
        <f t="shared" ref="KX4:KX13" si="132">IF(SUM(KG4:KJ4)-KK4&gt;0,SUM(KG4:KJ4)-KK4,"")</f>
        <v/>
      </c>
      <c r="KY4" s="11">
        <f t="shared" ref="KY4:KY13" si="133">IF(SUM(KR4,KU4,KX4)&gt;0,SUM(KR4,KU4,KX4),"")</f>
        <v>51.45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3" si="134">IF(LB4&gt;0,LB4,"")</f>
        <v/>
      </c>
      <c r="LU4" s="40" t="str">
        <f t="shared" ref="LU4:LU13" si="135">IF(LC4&gt;0,LC4,"")</f>
        <v/>
      </c>
      <c r="LV4" s="40" t="str">
        <f t="shared" ref="LV4:LV13" si="136">IF(SUM(KZ4:LC4)-LD4&gt;0,SUM(KZ4:LC4)-LD4,"")</f>
        <v/>
      </c>
      <c r="LW4" s="40" t="str">
        <f t="shared" ref="LW4:LW13" si="137">IF(LG4&gt;0,LG4,"")</f>
        <v/>
      </c>
      <c r="LX4" s="40" t="str">
        <f t="shared" ref="LX4:LX13" si="138">IF(LH4&gt;0,LH4,"")</f>
        <v/>
      </c>
      <c r="LY4" s="40" t="str">
        <f t="shared" ref="LY4:LY13" si="139">IF(SUM(LE4:LH4)-LI4&gt;0,SUM(LE4:LH4)-LI4,"")</f>
        <v/>
      </c>
      <c r="LZ4" s="40" t="str">
        <f t="shared" ref="LZ4:LZ13" si="140">IF(MAX(LV4,LY4)&gt;0,MAX(LV4,LY4),"")</f>
        <v/>
      </c>
      <c r="MA4" s="40" t="str">
        <f t="shared" ref="MA4:MA13" si="141">IF(LL4&gt;0,LL4,"")</f>
        <v/>
      </c>
      <c r="MB4" s="40" t="str">
        <f t="shared" ref="MB4:MB13" si="142">IF(LM4&gt;0,LM4,"")</f>
        <v/>
      </c>
      <c r="MC4" s="40" t="str">
        <f t="shared" ref="MC4:MC13" si="143">IF(SUM(LJ4:LM4)-LN4&gt;0,SUM(LJ4:LM4)-LN4,"")</f>
        <v/>
      </c>
      <c r="MD4" s="40" t="str">
        <f t="shared" ref="MD4:MD13" si="144">IF(LQ4&gt;0,LQ4,"")</f>
        <v/>
      </c>
      <c r="ME4" s="40" t="str">
        <f t="shared" ref="ME4:ME13" si="145">IF(LR4&gt;0,LR4,"")</f>
        <v/>
      </c>
      <c r="MF4" s="40" t="str">
        <f t="shared" ref="MF4:MF13" si="146">IF(SUM(LO4:LR4)-LS4&gt;0,SUM(LO4:LR4)-LS4,"")</f>
        <v/>
      </c>
      <c r="MG4" s="40" t="str">
        <f t="shared" ref="MG4:MG13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3" si="148">IF(MJ4&gt;0,MJ4,"")</f>
        <v/>
      </c>
      <c r="NC4" s="11" t="str">
        <f t="shared" ref="NC4:NC13" si="149">IF(MK4&gt;0,MK4,"")</f>
        <v/>
      </c>
      <c r="ND4" s="11" t="str">
        <f t="shared" ref="ND4:ND13" si="150">IF(SUM(MH4:MK4)-ML4&gt;0,SUM(MH4:MK4)-ML4,"")</f>
        <v/>
      </c>
      <c r="NE4" s="11" t="str">
        <f t="shared" ref="NE4:NE13" si="151">IF(MO4&gt;0,MO4,"")</f>
        <v/>
      </c>
      <c r="NF4" s="11" t="str">
        <f t="shared" ref="NF4:NF13" si="152">IF(MP4&gt;0,MP4,"")</f>
        <v/>
      </c>
      <c r="NG4" s="11" t="str">
        <f t="shared" ref="NG4:NG13" si="153">IF(SUM(MM4:MP4)-MQ4&gt;0,SUM(MM4:MP4)-MQ4,"")</f>
        <v/>
      </c>
      <c r="NH4" s="11" t="str">
        <f t="shared" ref="NH4:NH13" si="154">IF(MAX(ND4,NG4)&gt;0,MAX(ND4,NG4),"")</f>
        <v/>
      </c>
      <c r="NI4" s="11" t="str">
        <f t="shared" ref="NI4:NI13" si="155">IF(MT4&gt;0,MT4,"")</f>
        <v/>
      </c>
      <c r="NJ4" s="11" t="str">
        <f t="shared" ref="NJ4:NJ13" si="156">IF(MU4&gt;0,MU4,"")</f>
        <v/>
      </c>
      <c r="NK4" s="11" t="str">
        <f t="shared" ref="NK4:NK13" si="157">IF(SUM(MR4:MU4)-MV4&gt;0,SUM(MR4:MU4)-MV4,"")</f>
        <v/>
      </c>
      <c r="NL4" s="11" t="str">
        <f t="shared" ref="NL4:NL13" si="158">IF(MY4&gt;0,MY4,"")</f>
        <v/>
      </c>
      <c r="NM4" s="11" t="str">
        <f t="shared" ref="NM4:NM13" si="159">IF(MZ4&gt;0,MZ4,"")</f>
        <v/>
      </c>
      <c r="NN4" s="11" t="str">
        <f t="shared" ref="NN4:NN13" si="160">IF(SUM(MW4:MZ4)-NA4&gt;0,SUM(MW4:MZ4)-NA4,"")</f>
        <v/>
      </c>
      <c r="NO4" s="11" t="str">
        <f t="shared" ref="NO4:NO13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3" si="162">IF(NR4&gt;0,NR4,"")</f>
        <v/>
      </c>
      <c r="OK4" s="40" t="str">
        <f t="shared" ref="OK4:OK13" si="163">IF(NS4&gt;0,NS4,"")</f>
        <v/>
      </c>
      <c r="OL4" s="40" t="str">
        <f t="shared" ref="OL4:OL13" si="164">IF(SUM(NP4:NS4)-NT4&gt;0,SUM(NP4:NS4)-NT4,"")</f>
        <v/>
      </c>
      <c r="OM4" s="40" t="str">
        <f t="shared" ref="OM4:OM13" si="165">IF(NW4&gt;0,NW4,"")</f>
        <v/>
      </c>
      <c r="ON4" s="40" t="str">
        <f t="shared" ref="ON4:ON13" si="166">IF(NX4&gt;0,NX4,"")</f>
        <v/>
      </c>
      <c r="OO4" s="40" t="str">
        <f t="shared" ref="OO4:OO13" si="167">IF(SUM(NU4:NX4)-NY4&gt;0,SUM(NU4:NX4)-NY4,"")</f>
        <v/>
      </c>
      <c r="OP4" s="40" t="str">
        <f t="shared" ref="OP4:OP13" si="168">IF(MAX(OL4,OO4)&gt;0,MAX(OL4,OO4),"")</f>
        <v/>
      </c>
      <c r="OQ4" s="40" t="str">
        <f t="shared" ref="OQ4:OQ13" si="169">IF(OB4&gt;0,OB4,"")</f>
        <v/>
      </c>
      <c r="OR4" s="40" t="str">
        <f t="shared" ref="OR4:OR13" si="170">IF(OC4&gt;0,OC4,"")</f>
        <v/>
      </c>
      <c r="OS4" s="40" t="str">
        <f t="shared" ref="OS4:OS13" si="171">IF(SUM(NZ4:OC4)-OD4&gt;0,SUM(NZ4:OC4)-OD4,"")</f>
        <v/>
      </c>
      <c r="OT4" s="40" t="str">
        <f t="shared" ref="OT4:OT13" si="172">IF(OG4&gt;0,OG4,"")</f>
        <v/>
      </c>
      <c r="OU4" s="40" t="str">
        <f t="shared" ref="OU4:OU13" si="173">IF(OH4&gt;0,OH4,"")</f>
        <v/>
      </c>
      <c r="OV4" s="40" t="str">
        <f t="shared" ref="OV4:OV13" si="174">IF(SUM(OE4:OH4)-OI4&gt;0,SUM(OE4:OH4)-OI4,"")</f>
        <v/>
      </c>
      <c r="OW4" s="40" t="str">
        <f t="shared" ref="OW4:OW13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3" si="176">IF(OZ4&gt;0,OZ4,"")</f>
        <v/>
      </c>
      <c r="PS4" s="11" t="str">
        <f t="shared" ref="PS4:PS13" si="177">IF(PA4&gt;0,PA4,"")</f>
        <v/>
      </c>
      <c r="PT4" s="11" t="str">
        <f t="shared" ref="PT4:PT13" si="178">IF(SUM(OX4:PA4)-PB4&gt;0,SUM(OX4:PA4)-PB4,"")</f>
        <v/>
      </c>
      <c r="PU4" s="11" t="str">
        <f t="shared" ref="PU4:PU13" si="179">IF(PE4&gt;0,PE4,"")</f>
        <v/>
      </c>
      <c r="PV4" s="11" t="str">
        <f t="shared" ref="PV4:PV13" si="180">IF(PF4&gt;0,PF4,"")</f>
        <v/>
      </c>
      <c r="PW4" s="11" t="str">
        <f t="shared" ref="PW4:PW13" si="181">IF(SUM(PC4:PF4)-PG4&gt;0,SUM(PC4:PF4)-PG4,"")</f>
        <v/>
      </c>
      <c r="PX4" s="11" t="str">
        <f t="shared" ref="PX4:PX13" si="182">IF(MAX(PT4,PW4)&gt;0,MAX(PT4,PW4),"")</f>
        <v/>
      </c>
      <c r="PY4" s="11" t="str">
        <f t="shared" ref="PY4:PY13" si="183">IF(PJ4&gt;0,PJ4,"")</f>
        <v/>
      </c>
      <c r="PZ4" s="11" t="str">
        <f t="shared" ref="PZ4:PZ13" si="184">IF(PK4&gt;0,PK4,"")</f>
        <v/>
      </c>
      <c r="QA4" s="11" t="str">
        <f t="shared" ref="QA4:QA13" si="185">IF(SUM(PH4:PK4)-PL4&gt;0,SUM(PH4:PK4)-PL4,"")</f>
        <v/>
      </c>
      <c r="QB4" s="11" t="str">
        <f t="shared" ref="QB4:QB13" si="186">IF(PO4&gt;0,PO4,"")</f>
        <v/>
      </c>
      <c r="QC4" s="11" t="str">
        <f t="shared" ref="QC4:QC13" si="187">IF(PP4&gt;0,PP4,"")</f>
        <v/>
      </c>
      <c r="QD4" s="11" t="str">
        <f t="shared" ref="QD4:QD13" si="188">IF(SUM(PM4:PP4)-PQ4&gt;0,SUM(PM4:PP4)-PQ4,"")</f>
        <v/>
      </c>
      <c r="QE4" s="11" t="str">
        <f t="shared" ref="QE4:QE13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3" si="190">IF(QH4&gt;0,QH4,"")</f>
        <v/>
      </c>
      <c r="RA4" s="40" t="str">
        <f t="shared" ref="RA4:RA13" si="191">IF(QI4&gt;0,QI4,"")</f>
        <v/>
      </c>
      <c r="RB4" s="40" t="str">
        <f t="shared" ref="RB4:RB13" si="192">IF(SUM(QF4:QI4)-QJ4&gt;0,SUM(QF4:QI4)-QJ4,"")</f>
        <v/>
      </c>
      <c r="RC4" s="40" t="str">
        <f t="shared" ref="RC4:RC13" si="193">IF(QM4&gt;0,QM4,"")</f>
        <v/>
      </c>
      <c r="RD4" s="40" t="str">
        <f t="shared" ref="RD4:RD13" si="194">IF(QN4&gt;0,QN4,"")</f>
        <v/>
      </c>
      <c r="RE4" s="40" t="str">
        <f t="shared" ref="RE4:RE13" si="195">IF(SUM(QK4:QN4)-QO4&gt;0,SUM(QK4:QN4)-QO4,"")</f>
        <v/>
      </c>
      <c r="RF4" s="40" t="str">
        <f t="shared" ref="RF4:RF13" si="196">IF(MAX(RB4,RE4)&gt;0,MAX(RB4,RE4),"")</f>
        <v/>
      </c>
      <c r="RG4" s="40" t="str">
        <f t="shared" ref="RG4:RG13" si="197">IF(QR4&gt;0,QR4,"")</f>
        <v/>
      </c>
      <c r="RH4" s="40" t="str">
        <f t="shared" ref="RH4:RH13" si="198">IF(QS4&gt;0,QS4,"")</f>
        <v/>
      </c>
      <c r="RI4" s="40" t="str">
        <f t="shared" ref="RI4:RI13" si="199">IF(SUM(QP4:QS4)-QT4&gt;0,SUM(QP4:QS4)-QT4,"")</f>
        <v/>
      </c>
      <c r="RJ4" s="40" t="str">
        <f t="shared" ref="RJ4:RJ13" si="200">IF(QW4&gt;0,QW4,"")</f>
        <v/>
      </c>
      <c r="RK4" s="40" t="str">
        <f t="shared" ref="RK4:RK13" si="201">IF(QX4&gt;0,QX4,"")</f>
        <v/>
      </c>
      <c r="RL4" s="40" t="str">
        <f t="shared" ref="RL4:RL13" si="202">IF(SUM(QU4:QX4)-QY4&gt;0,SUM(QU4:QX4)-QY4,"")</f>
        <v/>
      </c>
      <c r="RM4" s="40" t="str">
        <f t="shared" ref="RM4:RM13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3" si="204">IF(RP4&gt;0,RP4,"")</f>
        <v/>
      </c>
      <c r="SI4" s="11" t="str">
        <f t="shared" ref="SI4:SI13" si="205">IF(RQ4&gt;0,RQ4,"")</f>
        <v/>
      </c>
      <c r="SJ4" s="11" t="str">
        <f t="shared" ref="SJ4:SJ13" si="206">IF(SUM(RN4:RQ4)-RR4&gt;0,SUM(RN4:RQ4)-RR4,"")</f>
        <v/>
      </c>
      <c r="SK4" s="11" t="str">
        <f t="shared" ref="SK4:SK13" si="207">IF(RU4&gt;0,RU4,"")</f>
        <v/>
      </c>
      <c r="SL4" s="11" t="str">
        <f t="shared" ref="SL4:SL13" si="208">IF(RV4&gt;0,RV4,"")</f>
        <v/>
      </c>
      <c r="SM4" s="11" t="str">
        <f t="shared" ref="SM4:SM13" si="209">IF(SUM(RS4:RV4)-RW4&gt;0,SUM(RS4:RV4)-RW4,"")</f>
        <v/>
      </c>
      <c r="SN4" s="11" t="str">
        <f t="shared" ref="SN4:SN13" si="210">IF(MAX(SJ4,SM4)&gt;0,MAX(SJ4,SM4),"")</f>
        <v/>
      </c>
      <c r="SO4" s="11" t="str">
        <f t="shared" ref="SO4:SO13" si="211">IF(RZ4&gt;0,RZ4,"")</f>
        <v/>
      </c>
      <c r="SP4" s="11" t="str">
        <f t="shared" ref="SP4:SP13" si="212">IF(SA4&gt;0,SA4,"")</f>
        <v/>
      </c>
      <c r="SQ4" s="11" t="str">
        <f t="shared" ref="SQ4:SQ13" si="213">IF(SUM(RX4:SA4)-SB4&gt;0,SUM(RX4:SA4)-SB4,"")</f>
        <v/>
      </c>
      <c r="SR4" s="11" t="str">
        <f t="shared" ref="SR4:SR13" si="214">IF(SE4&gt;0,SE4,"")</f>
        <v/>
      </c>
      <c r="SS4" s="11" t="str">
        <f t="shared" ref="SS4:SS13" si="215">IF(SF4&gt;0,SF4,"")</f>
        <v/>
      </c>
      <c r="ST4" s="11" t="str">
        <f t="shared" ref="ST4:ST13" si="216">IF(SUM(SC4:SF4)-SG4&gt;0,SUM(SC4:SF4)-SG4,"")</f>
        <v/>
      </c>
      <c r="SU4" s="11" t="str">
        <f t="shared" ref="SU4:SU13" si="217">IF(SUM(SN4,SQ4,ST4)&gt;0,SUM(SN4,SQ4,ST4),"")</f>
        <v/>
      </c>
      <c r="SV4" s="22">
        <f t="shared" ref="SV4:SV13" si="218">IF($CP4="P",CA4,(CA4+AZ4)/2)</f>
        <v>13.8</v>
      </c>
      <c r="SW4" s="22">
        <f t="shared" ref="SW4:SW13" si="219">IF($CP4="P",CB4,(CB4+BA4)/2)</f>
        <v>9.3999999999999986</v>
      </c>
      <c r="SX4" s="22">
        <f t="shared" ref="SX4:SX13" si="220">IF($CP4="P",CC4,(CC4+BB4)/2)</f>
        <v>11.600000000000001</v>
      </c>
      <c r="SY4" s="22">
        <f t="shared" ref="SY4:SY13" si="221">IF($CP4="P",CD4,(CD4+BC4)/2)</f>
        <v>14.3</v>
      </c>
      <c r="SZ4" s="22">
        <f t="shared" ref="SZ4:SZ13" si="222">IF($CP4="P",CE4,(CE4+BD4)/2)</f>
        <v>1.0999999999999999</v>
      </c>
      <c r="TA4" s="22">
        <f t="shared" ref="TA4:TA13" si="223">IF($CP4="P",CF4,(CF4+BE4)/2)</f>
        <v>14.7</v>
      </c>
      <c r="TB4" s="22">
        <f t="shared" ref="TB4:TB13" si="224">IF($CP4="P",CG4,(CG4+BF4)/2)</f>
        <v>9.1499999999999986</v>
      </c>
      <c r="TC4" s="22">
        <f t="shared" ref="TC4:TC13" si="225">IF($CP4="P",CH4,(CH4+BG4)/2)</f>
        <v>13.850000000000001</v>
      </c>
      <c r="TD4" s="22">
        <f t="shared" ref="TD4:TD13" si="226">IF($CP4="P",CI4,(CI4+BH4)/2)</f>
        <v>14.120000000000001</v>
      </c>
      <c r="TE4" s="22">
        <f t="shared" ref="TE4:TE13" si="227">IF($CP4="P",CJ4,(CJ4+BI4)/2)</f>
        <v>0</v>
      </c>
      <c r="TF4" s="22">
        <f t="shared" ref="TF4:TF13" si="228">IF($CP4="P",CK4,(CK4+BJ4)/2)</f>
        <v>13.7</v>
      </c>
      <c r="TG4" s="22">
        <f t="shared" ref="TG4:TG13" si="229">IF($CP4="P",CL4,(CL4+BK4)/2)</f>
        <v>9.3999999999999986</v>
      </c>
      <c r="TH4" s="22">
        <f t="shared" ref="TH4:TH13" si="230">IF($CP4="P",CM4,(CM4+BL4)/2)</f>
        <v>14.3</v>
      </c>
      <c r="TI4" s="22">
        <f t="shared" ref="TI4:TI13" si="231">IF($CP4="P",CN4,(CN4+BM4)/2)</f>
        <v>14.265000000000001</v>
      </c>
      <c r="TJ4" s="22">
        <f t="shared" ref="TJ4:TJ13" si="232">IF($CP4="P",CO4,(CO4+BN4)/2)</f>
        <v>0</v>
      </c>
      <c r="TK4" s="27" t="s">
        <v>46</v>
      </c>
      <c r="TL4" s="40">
        <f t="shared" ref="TL4:TL13" si="233">IF(SX4&gt;0,SX4,"")</f>
        <v>11.600000000000001</v>
      </c>
      <c r="TM4" s="40">
        <f t="shared" ref="TM4:TM13" si="234">IF(SY4&gt;0,SY4,"")</f>
        <v>14.3</v>
      </c>
      <c r="TN4" s="40">
        <f t="shared" ref="TN4:TN13" si="235">IF(SUM(SV4:SY4)-SZ4&gt;0,SUM(SV4:SY4)-SZ4,"")</f>
        <v>47.999999999999993</v>
      </c>
      <c r="TO4" s="40">
        <f t="shared" ref="TO4:TO13" si="236">IF(TC4&gt;0,TC4,"")</f>
        <v>13.850000000000001</v>
      </c>
      <c r="TP4" s="40">
        <f t="shared" ref="TP4:TP13" si="237">IF(TD4&gt;0,TD4,"")</f>
        <v>14.120000000000001</v>
      </c>
      <c r="TQ4" s="40">
        <f t="shared" ref="TQ4:TQ13" si="238">IF(SUM(TA4:TD4)-TE4&gt;0,SUM(TA4:TD4)-TE4,"")</f>
        <v>51.820000000000007</v>
      </c>
      <c r="TR4" s="40">
        <f t="shared" ref="TR4:TR13" si="239">IF(MAX(TN4,TQ4)&gt;0,MAX(TN4,TQ4),"")</f>
        <v>51.820000000000007</v>
      </c>
      <c r="TS4" s="40">
        <f t="shared" ref="TS4:TS13" si="240">IF(TH4&gt;0,TH4,"")</f>
        <v>14.3</v>
      </c>
      <c r="TT4" s="40">
        <f t="shared" ref="TT4:TT13" si="241">IF(TI4&gt;0,TI4,"")</f>
        <v>14.265000000000001</v>
      </c>
      <c r="TU4" s="40">
        <f t="shared" ref="TU4:TU13" si="242">IF(SUM(TF4:TI4)-TJ4&gt;0,SUM(TF4:TI4)-TJ4,"")</f>
        <v>51.664999999999999</v>
      </c>
      <c r="TV4" s="40">
        <f t="shared" ref="TV4:TV13" si="243">IF(SUM(TR4,TU4)&gt;0,SUM(TR4,TU4),"")</f>
        <v>103.48500000000001</v>
      </c>
    </row>
    <row r="5" spans="1:542" x14ac:dyDescent="0.2">
      <c r="A5" s="4" cm="1">
        <f t="array" ref="A5">IF(AND(J5&lt;&gt;"",J5&lt;&gt;"No DD"),SUMPRODUCT((J$4:J$14&lt;&gt;"")*(J$4:J$14&lt;&gt;"No DD")*(F$4:F$14&gt;F5))+1,IF(J5="No DD",SUMPRODUCT((J$4:J$14="No DD")*(F$4:F$14&gt;F5))+1+SUMPRODUCT((J$4:J$14&lt;&gt;"")*(J$4:J$14&lt;&gt;"No DD")),""))</f>
        <v>2</v>
      </c>
      <c r="B5" s="4" cm="1">
        <f t="array" ref="B5">IF(AND(J5&lt;&gt;"",J5&lt;&gt;"No DD",G5=""),SUMPRODUCT((J$4:J$14&lt;&gt;"")*(J$4:J$14&lt;&gt;"No DD")*(G$4:G$14="")*(F$4:F$14&gt;F5))+1,IF(J5="No DD",SUMPRODUCT((J$4:J$14="No DD")*(F$4:F$14&gt;F5)*(G$4:G$14=""))+1+SUMPRODUCT((J$4:J$14&lt;&gt;"")*(G$4:G$14="")*(J$4:J$14&lt;&gt;"No DD")),""))</f>
        <v>1</v>
      </c>
      <c r="C5" s="5" t="s">
        <v>105</v>
      </c>
      <c r="D5" s="4" t="s">
        <v>3</v>
      </c>
      <c r="E5" s="4">
        <v>2006</v>
      </c>
      <c r="F5" s="9">
        <f t="shared" si="0"/>
        <v>180.33001803300502</v>
      </c>
      <c r="G5" s="64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50.180000000000007</v>
      </c>
      <c r="M5" s="8" t="str">
        <f t="shared" si="5"/>
        <v>2025 Nationals</v>
      </c>
      <c r="N5" s="8">
        <f>IF(COUNT(AQ5,AT5,BR5,BU5,CS5,CV5)&gt;1,LARGE((AQ5,AT5,BR5,BU5,CS5,CV5),2),0)</f>
        <v>49.569999999999993</v>
      </c>
      <c r="O5" s="8" t="str">
        <f t="shared" si="6"/>
        <v>2025 3rd Domestic Trial</v>
      </c>
      <c r="P5" s="8">
        <f>IF(COUNT(AQ5,AT5,BR5,BU5,CS5,CV5)&gt;2,MAX(AX5,BY5,CZ5,LARGE((AQ5,AT5,BR5,BU5,CS5,CV5),3)),IF(MAX(AX5,BY5,CZ5)&gt;0,MAX(AX5,BY5,CZ5),0))</f>
        <v>51.89</v>
      </c>
      <c r="Q5" s="8" t="str">
        <f t="shared" si="7"/>
        <v>2025 3rd Domestic Trial</v>
      </c>
      <c r="R5" s="8">
        <f t="shared" si="8"/>
        <v>13.8</v>
      </c>
      <c r="S5" s="8" t="str">
        <f t="shared" si="9"/>
        <v>2025 3rd Domestic Trial</v>
      </c>
      <c r="T5" s="8">
        <f t="shared" si="10"/>
        <v>14.89</v>
      </c>
      <c r="U5" s="8" t="str">
        <f t="shared" si="11"/>
        <v>2025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13.55</v>
      </c>
      <c r="Z5" s="22">
        <v>9.3000000000000007</v>
      </c>
      <c r="AA5" s="22">
        <v>11.7</v>
      </c>
      <c r="AB5" s="22">
        <v>13.84</v>
      </c>
      <c r="AC5" s="22">
        <v>0</v>
      </c>
      <c r="AD5" s="22">
        <v>8.4</v>
      </c>
      <c r="AE5" s="22">
        <v>5.1999999999999993</v>
      </c>
      <c r="AF5" s="22">
        <v>7.2</v>
      </c>
      <c r="AG5" s="22">
        <v>8.26</v>
      </c>
      <c r="AH5" s="22">
        <v>0</v>
      </c>
      <c r="AI5" s="22">
        <v>11.8</v>
      </c>
      <c r="AJ5" s="22">
        <v>8.85</v>
      </c>
      <c r="AK5" s="22">
        <v>12</v>
      </c>
      <c r="AL5" s="22">
        <v>14.02</v>
      </c>
      <c r="AM5" s="22">
        <v>0.1</v>
      </c>
      <c r="AN5" s="27" t="s">
        <v>46</v>
      </c>
      <c r="AO5" s="38">
        <f t="shared" si="15"/>
        <v>11.7</v>
      </c>
      <c r="AP5" s="38">
        <f t="shared" si="16"/>
        <v>13.84</v>
      </c>
      <c r="AQ5" s="40">
        <f t="shared" si="17"/>
        <v>48.39</v>
      </c>
      <c r="AR5" s="40">
        <f t="shared" si="18"/>
        <v>7.2</v>
      </c>
      <c r="AS5" s="40">
        <f t="shared" si="19"/>
        <v>8.26</v>
      </c>
      <c r="AT5" s="40">
        <f t="shared" si="20"/>
        <v>29.060000000000002</v>
      </c>
      <c r="AU5" s="40">
        <f t="shared" si="21"/>
        <v>48.39</v>
      </c>
      <c r="AV5" s="40">
        <f t="shared" si="22"/>
        <v>12</v>
      </c>
      <c r="AW5" s="40">
        <f t="shared" si="23"/>
        <v>14.02</v>
      </c>
      <c r="AX5" s="40">
        <f t="shared" si="24"/>
        <v>46.57</v>
      </c>
      <c r="AY5" s="40">
        <f t="shared" si="25"/>
        <v>94.960000000000008</v>
      </c>
      <c r="AZ5" s="26">
        <v>14.4</v>
      </c>
      <c r="BA5" s="26">
        <v>9.3000000000000007</v>
      </c>
      <c r="BB5" s="26">
        <v>12.7</v>
      </c>
      <c r="BC5" s="26">
        <v>13.78</v>
      </c>
      <c r="BD5" s="26">
        <v>0</v>
      </c>
      <c r="BE5" s="26">
        <v>2.9</v>
      </c>
      <c r="BF5" s="26">
        <v>1.8</v>
      </c>
      <c r="BG5" s="26">
        <v>3</v>
      </c>
      <c r="BH5" s="26">
        <v>3</v>
      </c>
      <c r="BI5" s="26">
        <v>0</v>
      </c>
      <c r="BJ5" s="26">
        <v>12.8</v>
      </c>
      <c r="BK5" s="26">
        <v>9.1999999999999993</v>
      </c>
      <c r="BL5" s="26">
        <v>12.5</v>
      </c>
      <c r="BM5" s="26">
        <v>14.4</v>
      </c>
      <c r="BN5" s="26">
        <v>0.2</v>
      </c>
      <c r="BO5" s="28"/>
      <c r="BP5" s="39">
        <f t="shared" si="26"/>
        <v>12.7</v>
      </c>
      <c r="BQ5" s="39">
        <f t="shared" si="27"/>
        <v>13.78</v>
      </c>
      <c r="BR5" s="11">
        <f t="shared" si="28"/>
        <v>50.180000000000007</v>
      </c>
      <c r="BS5" s="11">
        <f t="shared" si="29"/>
        <v>3</v>
      </c>
      <c r="BT5" s="11">
        <f t="shared" si="30"/>
        <v>3</v>
      </c>
      <c r="BU5" s="11">
        <f t="shared" si="31"/>
        <v>10.7</v>
      </c>
      <c r="BV5" s="11">
        <f t="shared" si="32"/>
        <v>50.180000000000007</v>
      </c>
      <c r="BW5" s="11">
        <f t="shared" si="33"/>
        <v>12.5</v>
      </c>
      <c r="BX5" s="11">
        <f t="shared" si="34"/>
        <v>14.4</v>
      </c>
      <c r="BY5" s="11">
        <f t="shared" si="35"/>
        <v>48.699999999999996</v>
      </c>
      <c r="BZ5" s="11">
        <f t="shared" si="36"/>
        <v>98.88</v>
      </c>
      <c r="CA5" s="22">
        <v>11.9</v>
      </c>
      <c r="CB5" s="22">
        <v>9.1</v>
      </c>
      <c r="CC5" s="22">
        <v>13.8</v>
      </c>
      <c r="CD5" s="22">
        <v>14.77</v>
      </c>
      <c r="CE5" s="22">
        <v>0</v>
      </c>
      <c r="CF5" s="22">
        <v>6.1</v>
      </c>
      <c r="CG5" s="22">
        <v>4.5999999999999996</v>
      </c>
      <c r="CH5" s="22">
        <v>7.1</v>
      </c>
      <c r="CI5" s="22">
        <v>6.38</v>
      </c>
      <c r="CJ5" s="22">
        <v>0</v>
      </c>
      <c r="CK5" s="22">
        <v>13.8</v>
      </c>
      <c r="CL5" s="22">
        <v>9.4</v>
      </c>
      <c r="CM5" s="22">
        <v>13.8</v>
      </c>
      <c r="CN5" s="22">
        <v>14.89</v>
      </c>
      <c r="CO5" s="22">
        <v>0</v>
      </c>
      <c r="CP5" s="27"/>
      <c r="CQ5" s="38">
        <f t="shared" si="37"/>
        <v>13.8</v>
      </c>
      <c r="CR5" s="38">
        <f t="shared" si="38"/>
        <v>14.77</v>
      </c>
      <c r="CS5" s="40">
        <f t="shared" si="39"/>
        <v>49.569999999999993</v>
      </c>
      <c r="CT5" s="40">
        <f t="shared" si="40"/>
        <v>7.1</v>
      </c>
      <c r="CU5" s="40">
        <f t="shared" si="41"/>
        <v>6.38</v>
      </c>
      <c r="CV5" s="40">
        <f t="shared" si="42"/>
        <v>24.179999999999996</v>
      </c>
      <c r="CW5" s="40">
        <f t="shared" si="43"/>
        <v>49.569999999999993</v>
      </c>
      <c r="CX5" s="40">
        <f t="shared" si="44"/>
        <v>13.8</v>
      </c>
      <c r="CY5" s="40">
        <f t="shared" si="45"/>
        <v>14.89</v>
      </c>
      <c r="CZ5" s="40">
        <f t="shared" si="46"/>
        <v>51.89</v>
      </c>
      <c r="DA5" s="40">
        <f t="shared" si="47"/>
        <v>101.46</v>
      </c>
      <c r="DB5" s="50" t="str">
        <f t="shared" si="48"/>
        <v/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13.7</v>
      </c>
      <c r="FU5" s="17">
        <v>9</v>
      </c>
      <c r="FV5" s="17">
        <v>12.7</v>
      </c>
      <c r="FW5" s="17">
        <v>13.87</v>
      </c>
      <c r="FX5" s="17">
        <v>0</v>
      </c>
      <c r="FY5" s="17">
        <v>11.7</v>
      </c>
      <c r="FZ5" s="17">
        <v>7.2</v>
      </c>
      <c r="GA5" s="17">
        <v>8.3000000000000007</v>
      </c>
      <c r="GB5" s="17">
        <v>11.08</v>
      </c>
      <c r="GC5" s="17">
        <v>0.2</v>
      </c>
      <c r="GD5" s="17">
        <v>13.3</v>
      </c>
      <c r="GE5" s="17">
        <v>9.1</v>
      </c>
      <c r="GF5" s="17">
        <v>12.7</v>
      </c>
      <c r="GG5" s="17">
        <v>13.85</v>
      </c>
      <c r="GH5" s="17">
        <v>0</v>
      </c>
      <c r="GI5" s="17"/>
      <c r="GJ5" s="17"/>
      <c r="GK5" s="17"/>
      <c r="GL5" s="17"/>
      <c r="GM5" s="17"/>
      <c r="GN5" s="40">
        <f t="shared" si="78"/>
        <v>12.7</v>
      </c>
      <c r="GO5" s="40">
        <f t="shared" si="79"/>
        <v>13.87</v>
      </c>
      <c r="GP5" s="40">
        <f t="shared" si="80"/>
        <v>49.269999999999996</v>
      </c>
      <c r="GQ5" s="40">
        <f t="shared" si="81"/>
        <v>8.3000000000000007</v>
      </c>
      <c r="GR5" s="40">
        <f t="shared" si="82"/>
        <v>11.08</v>
      </c>
      <c r="GS5" s="40">
        <f t="shared" si="83"/>
        <v>38.08</v>
      </c>
      <c r="GT5" s="40">
        <f t="shared" si="84"/>
        <v>49.269999999999996</v>
      </c>
      <c r="GU5" s="40">
        <f t="shared" si="85"/>
        <v>12.7</v>
      </c>
      <c r="GV5" s="40">
        <f t="shared" si="86"/>
        <v>13.85</v>
      </c>
      <c r="GW5" s="40">
        <f t="shared" si="87"/>
        <v>48.949999999999996</v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98.22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>
        <v>15.3</v>
      </c>
      <c r="JS5" s="18">
        <v>8.9</v>
      </c>
      <c r="JT5" s="18">
        <v>2.8</v>
      </c>
      <c r="JU5" s="18">
        <v>14.8</v>
      </c>
      <c r="JV5" s="18">
        <v>0</v>
      </c>
      <c r="JW5" s="18">
        <v>12.1</v>
      </c>
      <c r="JX5" s="18">
        <v>9.4</v>
      </c>
      <c r="JY5" s="18">
        <v>13.8</v>
      </c>
      <c r="JZ5" s="18">
        <v>13.68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0"/>
        <v>2.8</v>
      </c>
      <c r="KM5" s="11">
        <f t="shared" si="121"/>
        <v>14.8</v>
      </c>
      <c r="KN5" s="11">
        <f t="shared" si="122"/>
        <v>41.800000000000004</v>
      </c>
      <c r="KO5" s="11">
        <f t="shared" si="123"/>
        <v>13.8</v>
      </c>
      <c r="KP5" s="11">
        <f t="shared" si="124"/>
        <v>13.68</v>
      </c>
      <c r="KQ5" s="11">
        <f t="shared" si="125"/>
        <v>48.98</v>
      </c>
      <c r="KR5" s="11">
        <f t="shared" si="126"/>
        <v>48.98</v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>
        <f t="shared" si="133"/>
        <v>48.98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13.15</v>
      </c>
      <c r="SW5" s="22">
        <f t="shared" si="219"/>
        <v>9.1999999999999993</v>
      </c>
      <c r="SX5" s="22">
        <f t="shared" si="220"/>
        <v>13.25</v>
      </c>
      <c r="SY5" s="22">
        <f t="shared" si="221"/>
        <v>14.274999999999999</v>
      </c>
      <c r="SZ5" s="22">
        <f t="shared" si="222"/>
        <v>0</v>
      </c>
      <c r="TA5" s="22">
        <f t="shared" si="223"/>
        <v>4.5</v>
      </c>
      <c r="TB5" s="22">
        <f t="shared" si="224"/>
        <v>3.1999999999999997</v>
      </c>
      <c r="TC5" s="22">
        <f t="shared" si="225"/>
        <v>5.05</v>
      </c>
      <c r="TD5" s="22">
        <f t="shared" si="226"/>
        <v>4.6899999999999995</v>
      </c>
      <c r="TE5" s="22">
        <f t="shared" si="227"/>
        <v>0</v>
      </c>
      <c r="TF5" s="22">
        <f t="shared" si="228"/>
        <v>13.3</v>
      </c>
      <c r="TG5" s="22">
        <f t="shared" si="229"/>
        <v>9.3000000000000007</v>
      </c>
      <c r="TH5" s="22">
        <f t="shared" si="230"/>
        <v>13.15</v>
      </c>
      <c r="TI5" s="22">
        <f t="shared" si="231"/>
        <v>14.645</v>
      </c>
      <c r="TJ5" s="22">
        <f t="shared" si="232"/>
        <v>0.1</v>
      </c>
      <c r="TK5" s="27" t="s">
        <v>46</v>
      </c>
      <c r="TL5" s="40">
        <f t="shared" si="233"/>
        <v>13.25</v>
      </c>
      <c r="TM5" s="40">
        <f t="shared" si="234"/>
        <v>14.274999999999999</v>
      </c>
      <c r="TN5" s="40">
        <f t="shared" si="235"/>
        <v>49.875</v>
      </c>
      <c r="TO5" s="40">
        <f t="shared" si="236"/>
        <v>5.05</v>
      </c>
      <c r="TP5" s="40">
        <f t="shared" si="237"/>
        <v>4.6899999999999995</v>
      </c>
      <c r="TQ5" s="40">
        <f t="shared" si="238"/>
        <v>17.439999999999998</v>
      </c>
      <c r="TR5" s="40">
        <f t="shared" si="239"/>
        <v>49.875</v>
      </c>
      <c r="TS5" s="40">
        <f t="shared" si="240"/>
        <v>13.15</v>
      </c>
      <c r="TT5" s="40">
        <f t="shared" si="241"/>
        <v>14.645</v>
      </c>
      <c r="TU5" s="40">
        <f t="shared" si="242"/>
        <v>50.294999999999995</v>
      </c>
      <c r="TV5" s="40">
        <f t="shared" si="243"/>
        <v>100.16999999999999</v>
      </c>
    </row>
    <row r="6" spans="1:542" x14ac:dyDescent="0.2">
      <c r="A6" s="4" cm="1">
        <f t="array" ref="A6">IF(AND(J6&lt;&gt;"",J6&lt;&gt;"No DD"),SUMPRODUCT((J$4:J$14&lt;&gt;"")*(J$4:J$14&lt;&gt;"No DD")*(F$4:F$14&gt;F6))+1,IF(J6="No DD",SUMPRODUCT((J$4:J$14="No DD")*(F$4:F$14&gt;F6))+1+SUMPRODUCT((J$4:J$14&lt;&gt;"")*(J$4:J$14&lt;&gt;"No DD")),""))</f>
        <v>3</v>
      </c>
      <c r="B6" s="4" cm="1">
        <f t="array" ref="B6">IF(AND(J6&lt;&gt;"",J6&lt;&gt;"No DD",G6=""),SUMPRODUCT((J$4:J$14&lt;&gt;"")*(J$4:J$14&lt;&gt;"No DD")*(G$4:G$14="")*(F$4:F$14&gt;F6))+1,IF(J6="No DD",SUMPRODUCT((J$4:J$14="No DD")*(F$4:F$14&gt;F6)*(G$4:G$14=""))+1+SUMPRODUCT((J$4:J$14&lt;&gt;"")*(G$4:G$14="")*(J$4:J$14&lt;&gt;"No DD")),""))</f>
        <v>2</v>
      </c>
      <c r="C6" s="5" t="s">
        <v>120</v>
      </c>
      <c r="D6" s="4" t="s">
        <v>5</v>
      </c>
      <c r="E6" s="4">
        <v>2007</v>
      </c>
      <c r="F6" s="9">
        <f t="shared" si="0"/>
        <v>173.24001678400501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50.1</v>
      </c>
      <c r="M6" s="8" t="str">
        <f t="shared" si="5"/>
        <v>2025 Nationals</v>
      </c>
      <c r="N6" s="8">
        <f>IF(COUNT(AQ6,AT6,BR6,BU6,CS6,CV6)&gt;1,LARGE((AQ6,AT6,BR6,BU6,CS6,CV6),2),0)</f>
        <v>47.01</v>
      </c>
      <c r="O6" s="8" t="str">
        <f t="shared" si="6"/>
        <v>2025 Elite Canada</v>
      </c>
      <c r="P6" s="8">
        <f>IF(COUNT(AQ6,AT6,BR6,BU6,CS6,CV6)&gt;2,MAX(AX6,BY6,CZ6,LARGE((AQ6,AT6,BR6,BU6,CS6,CV6),3)),IF(MAX(AX6,BY6,CZ6)&gt;0,MAX(AX6,BY6,CZ6),0))</f>
        <v>44.13</v>
      </c>
      <c r="Q6" s="8" t="str">
        <f t="shared" si="7"/>
        <v>2025 3rd Domestic Trial</v>
      </c>
      <c r="R6" s="8">
        <f t="shared" si="8"/>
        <v>12.7</v>
      </c>
      <c r="S6" s="8" t="str">
        <f t="shared" si="9"/>
        <v>2025 Nationals</v>
      </c>
      <c r="T6" s="8">
        <f t="shared" si="10"/>
        <v>13.9</v>
      </c>
      <c r="U6" s="8" t="str">
        <f t="shared" si="11"/>
        <v>2025 Nationals</v>
      </c>
      <c r="V6" s="8">
        <f t="shared" si="12"/>
        <v>5.3999999999999986</v>
      </c>
      <c r="W6" s="11" t="str">
        <f t="shared" si="13"/>
        <v>(Optional)</v>
      </c>
      <c r="X6" s="8" t="str">
        <f t="shared" si="14"/>
        <v>2025 WAGC (Nov 16)</v>
      </c>
      <c r="Y6" s="22">
        <v>13.7</v>
      </c>
      <c r="Z6" s="22">
        <v>9.3000000000000007</v>
      </c>
      <c r="AA6" s="22">
        <v>10.3</v>
      </c>
      <c r="AB6" s="22">
        <v>14.21</v>
      </c>
      <c r="AC6" s="22">
        <v>0.5</v>
      </c>
      <c r="AD6" s="22">
        <v>7.4</v>
      </c>
      <c r="AE6" s="22">
        <v>4.8</v>
      </c>
      <c r="AF6" s="22">
        <v>5.8</v>
      </c>
      <c r="AG6" s="22">
        <v>7.22</v>
      </c>
      <c r="AH6" s="22">
        <v>0</v>
      </c>
      <c r="AI6" s="22">
        <v>6</v>
      </c>
      <c r="AJ6" s="22">
        <v>3.7</v>
      </c>
      <c r="AK6" s="22">
        <v>4.7</v>
      </c>
      <c r="AL6" s="22">
        <v>5.71</v>
      </c>
      <c r="AM6" s="22">
        <v>0</v>
      </c>
      <c r="AN6" s="27"/>
      <c r="AO6" s="38">
        <f t="shared" si="15"/>
        <v>10.3</v>
      </c>
      <c r="AP6" s="38">
        <f t="shared" si="16"/>
        <v>14.21</v>
      </c>
      <c r="AQ6" s="40">
        <f t="shared" si="17"/>
        <v>47.01</v>
      </c>
      <c r="AR6" s="40">
        <f t="shared" si="18"/>
        <v>5.8</v>
      </c>
      <c r="AS6" s="40">
        <f t="shared" si="19"/>
        <v>7.22</v>
      </c>
      <c r="AT6" s="40">
        <f t="shared" si="20"/>
        <v>25.22</v>
      </c>
      <c r="AU6" s="40">
        <f t="shared" si="21"/>
        <v>47.01</v>
      </c>
      <c r="AV6" s="40">
        <f t="shared" si="22"/>
        <v>4.7</v>
      </c>
      <c r="AW6" s="40">
        <f t="shared" si="23"/>
        <v>5.71</v>
      </c>
      <c r="AX6" s="40">
        <f t="shared" si="24"/>
        <v>20.11</v>
      </c>
      <c r="AY6" s="40">
        <f t="shared" si="25"/>
        <v>67.12</v>
      </c>
      <c r="AZ6" s="26">
        <v>7.4</v>
      </c>
      <c r="BA6" s="26">
        <v>4.5999999999999996</v>
      </c>
      <c r="BB6" s="26">
        <v>6</v>
      </c>
      <c r="BC6" s="26">
        <v>7.15</v>
      </c>
      <c r="BD6" s="26">
        <v>0</v>
      </c>
      <c r="BE6" s="26">
        <v>14.6</v>
      </c>
      <c r="BF6" s="26">
        <v>8.9</v>
      </c>
      <c r="BG6" s="26">
        <v>12.7</v>
      </c>
      <c r="BH6" s="26">
        <v>13.9</v>
      </c>
      <c r="BI6" s="26">
        <v>0</v>
      </c>
      <c r="BJ6" s="26">
        <v>4.5999999999999996</v>
      </c>
      <c r="BK6" s="26">
        <v>2.9</v>
      </c>
      <c r="BL6" s="26">
        <v>3.6</v>
      </c>
      <c r="BM6" s="26">
        <v>4.32</v>
      </c>
      <c r="BN6" s="26">
        <v>0</v>
      </c>
      <c r="BO6" s="28"/>
      <c r="BP6" s="39">
        <f t="shared" si="26"/>
        <v>6</v>
      </c>
      <c r="BQ6" s="39">
        <f t="shared" si="27"/>
        <v>7.15</v>
      </c>
      <c r="BR6" s="11">
        <f t="shared" si="28"/>
        <v>25.15</v>
      </c>
      <c r="BS6" s="11">
        <f t="shared" si="29"/>
        <v>12.7</v>
      </c>
      <c r="BT6" s="11">
        <f t="shared" si="30"/>
        <v>13.9</v>
      </c>
      <c r="BU6" s="11">
        <f t="shared" si="31"/>
        <v>50.1</v>
      </c>
      <c r="BV6" s="11">
        <f t="shared" si="32"/>
        <v>50.1</v>
      </c>
      <c r="BW6" s="11">
        <f t="shared" si="33"/>
        <v>3.6</v>
      </c>
      <c r="BX6" s="11">
        <f t="shared" si="34"/>
        <v>4.32</v>
      </c>
      <c r="BY6" s="11">
        <f t="shared" si="35"/>
        <v>15.42</v>
      </c>
      <c r="BZ6" s="11">
        <f t="shared" si="36"/>
        <v>65.52</v>
      </c>
      <c r="CA6" s="22">
        <v>1.6</v>
      </c>
      <c r="CB6" s="22">
        <v>0.8</v>
      </c>
      <c r="CC6" s="22">
        <v>1.5</v>
      </c>
      <c r="CD6" s="22">
        <v>1.45</v>
      </c>
      <c r="CE6" s="22">
        <v>0</v>
      </c>
      <c r="CF6" s="22">
        <v>14.2</v>
      </c>
      <c r="CG6" s="22">
        <v>9.1999999999999993</v>
      </c>
      <c r="CH6" s="22">
        <v>8.8000000000000007</v>
      </c>
      <c r="CI6" s="22">
        <v>13.93</v>
      </c>
      <c r="CJ6" s="22">
        <v>2</v>
      </c>
      <c r="CK6" s="22">
        <v>9.5</v>
      </c>
      <c r="CL6" s="22">
        <v>6.3</v>
      </c>
      <c r="CM6" s="22">
        <v>8.1999999999999993</v>
      </c>
      <c r="CN6" s="22">
        <v>9.86</v>
      </c>
      <c r="CO6" s="22">
        <v>0</v>
      </c>
      <c r="CP6" s="27"/>
      <c r="CQ6" s="38">
        <f t="shared" si="37"/>
        <v>1.5</v>
      </c>
      <c r="CR6" s="38">
        <f t="shared" si="38"/>
        <v>1.45</v>
      </c>
      <c r="CS6" s="40">
        <f t="shared" si="39"/>
        <v>5.3500000000000005</v>
      </c>
      <c r="CT6" s="40">
        <f t="shared" si="40"/>
        <v>8.8000000000000007</v>
      </c>
      <c r="CU6" s="40">
        <f t="shared" si="41"/>
        <v>13.93</v>
      </c>
      <c r="CV6" s="40">
        <f t="shared" si="42"/>
        <v>44.13</v>
      </c>
      <c r="CW6" s="40">
        <f t="shared" si="43"/>
        <v>44.13</v>
      </c>
      <c r="CX6" s="40">
        <f t="shared" si="44"/>
        <v>8.1999999999999993</v>
      </c>
      <c r="CY6" s="40">
        <f t="shared" si="45"/>
        <v>9.86</v>
      </c>
      <c r="CZ6" s="40">
        <f t="shared" si="46"/>
        <v>33.86</v>
      </c>
      <c r="DA6" s="40">
        <f t="shared" si="47"/>
        <v>77.990000000000009</v>
      </c>
      <c r="DB6" s="50">
        <f t="shared" si="48"/>
        <v>5.3999999999999986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>
        <v>15.1</v>
      </c>
      <c r="JS6" s="18">
        <v>9.4</v>
      </c>
      <c r="JT6" s="18">
        <v>2.6</v>
      </c>
      <c r="JU6" s="18">
        <v>14.29</v>
      </c>
      <c r="JV6" s="18">
        <v>0</v>
      </c>
      <c r="JW6" s="18">
        <v>14.8</v>
      </c>
      <c r="JX6" s="18">
        <v>9.6999999999999993</v>
      </c>
      <c r="JY6" s="18">
        <v>11</v>
      </c>
      <c r="JZ6" s="18">
        <v>14.03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0"/>
        <v>2.6</v>
      </c>
      <c r="KM6" s="11">
        <f t="shared" si="121"/>
        <v>14.29</v>
      </c>
      <c r="KN6" s="11">
        <f t="shared" si="122"/>
        <v>41.39</v>
      </c>
      <c r="KO6" s="11">
        <f t="shared" si="123"/>
        <v>11</v>
      </c>
      <c r="KP6" s="11">
        <f t="shared" si="124"/>
        <v>14.03</v>
      </c>
      <c r="KQ6" s="11">
        <f t="shared" si="125"/>
        <v>49.53</v>
      </c>
      <c r="KR6" s="11">
        <f t="shared" si="126"/>
        <v>49.53</v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>
        <f t="shared" si="133"/>
        <v>49.53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4.5</v>
      </c>
      <c r="SW6" s="22">
        <f t="shared" si="219"/>
        <v>2.6999999999999997</v>
      </c>
      <c r="SX6" s="22">
        <f t="shared" si="220"/>
        <v>3.75</v>
      </c>
      <c r="SY6" s="22">
        <f t="shared" si="221"/>
        <v>4.3</v>
      </c>
      <c r="SZ6" s="22">
        <f t="shared" si="222"/>
        <v>0</v>
      </c>
      <c r="TA6" s="22">
        <f t="shared" si="223"/>
        <v>14.399999999999999</v>
      </c>
      <c r="TB6" s="22">
        <f t="shared" si="224"/>
        <v>9.0500000000000007</v>
      </c>
      <c r="TC6" s="22">
        <f t="shared" si="225"/>
        <v>10.75</v>
      </c>
      <c r="TD6" s="22">
        <f t="shared" si="226"/>
        <v>13.914999999999999</v>
      </c>
      <c r="TE6" s="22">
        <f t="shared" si="227"/>
        <v>1</v>
      </c>
      <c r="TF6" s="22">
        <f t="shared" si="228"/>
        <v>7.05</v>
      </c>
      <c r="TG6" s="22">
        <f t="shared" si="229"/>
        <v>4.5999999999999996</v>
      </c>
      <c r="TH6" s="22">
        <f t="shared" si="230"/>
        <v>5.8999999999999995</v>
      </c>
      <c r="TI6" s="22">
        <f t="shared" si="231"/>
        <v>7.09</v>
      </c>
      <c r="TJ6" s="22">
        <f t="shared" si="232"/>
        <v>0</v>
      </c>
      <c r="TK6" s="27" t="s">
        <v>46</v>
      </c>
      <c r="TL6" s="40">
        <f t="shared" si="233"/>
        <v>3.75</v>
      </c>
      <c r="TM6" s="40">
        <f t="shared" si="234"/>
        <v>4.3</v>
      </c>
      <c r="TN6" s="40">
        <f t="shared" si="235"/>
        <v>15.25</v>
      </c>
      <c r="TO6" s="40">
        <f t="shared" si="236"/>
        <v>10.75</v>
      </c>
      <c r="TP6" s="40">
        <f t="shared" si="237"/>
        <v>13.914999999999999</v>
      </c>
      <c r="TQ6" s="40">
        <f t="shared" si="238"/>
        <v>47.115000000000002</v>
      </c>
      <c r="TR6" s="40">
        <f t="shared" si="239"/>
        <v>47.115000000000002</v>
      </c>
      <c r="TS6" s="40">
        <f t="shared" si="240"/>
        <v>5.8999999999999995</v>
      </c>
      <c r="TT6" s="40">
        <f t="shared" si="241"/>
        <v>7.09</v>
      </c>
      <c r="TU6" s="40">
        <f t="shared" si="242"/>
        <v>24.639999999999997</v>
      </c>
      <c r="TV6" s="40">
        <f t="shared" si="243"/>
        <v>71.754999999999995</v>
      </c>
    </row>
    <row r="7" spans="1:542" x14ac:dyDescent="0.2">
      <c r="A7" s="4" cm="1">
        <f t="array" ref="A7">IF(AND(J7&lt;&gt;"",J7&lt;&gt;"No DD"),SUMPRODUCT((J$4:J$14&lt;&gt;"")*(J$4:J$14&lt;&gt;"No DD")*(F$4:F$14&gt;F7))+1,IF(J7="No DD",SUMPRODUCT((J$4:J$14="No DD")*(F$4:F$14&gt;F7))+1+SUMPRODUCT((J$4:J$14&lt;&gt;"")*(J$4:J$14&lt;&gt;"No DD")),""))</f>
        <v>4</v>
      </c>
      <c r="B7" s="4" cm="1">
        <f t="array" ref="B7">IF(AND(J7&lt;&gt;"",J7&lt;&gt;"No DD",G7=""),SUMPRODUCT((J$4:J$14&lt;&gt;"")*(J$4:J$14&lt;&gt;"No DD")*(G$4:G$14="")*(F$4:F$14&gt;F7))+1,IF(J7="No DD",SUMPRODUCT((J$4:J$14="No DD")*(F$4:F$14&gt;F7)*(G$4:G$14=""))+1+SUMPRODUCT((J$4:J$14&lt;&gt;"")*(G$4:G$14="")*(J$4:J$14&lt;&gt;"No DD")),""))</f>
        <v>3</v>
      </c>
      <c r="C7" s="5" t="s">
        <v>199</v>
      </c>
      <c r="D7" s="4" t="s">
        <v>6</v>
      </c>
      <c r="E7" s="4">
        <v>2009</v>
      </c>
      <c r="F7" s="9">
        <f t="shared" si="0"/>
        <v>172.69001726900507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50.45</v>
      </c>
      <c r="M7" s="8" t="str">
        <f t="shared" si="5"/>
        <v>2025 Elite Canada</v>
      </c>
      <c r="N7" s="8">
        <f>IF(COUNT(AQ7,AT7,BR7,BU7,CS7,CV7)&gt;1,LARGE((AQ7,AT7,BR7,BU7,CS7,CV7),2),0)</f>
        <v>42.839999999999996</v>
      </c>
      <c r="O7" s="8" t="str">
        <f t="shared" si="6"/>
        <v>2025 Nationals</v>
      </c>
      <c r="P7" s="8">
        <f>IF(COUNT(AQ7,AT7,BR7,BU7,CS7,CV7)&gt;2,MAX(AX7,BY7,CZ7,LARGE((AQ7,AT7,BR7,BU7,CS7,CV7),3)),IF(MAX(AX7,BY7,CZ7)&gt;0,MAX(AX7,BY7,CZ7),0))</f>
        <v>50.95</v>
      </c>
      <c r="Q7" s="8" t="str">
        <f t="shared" si="7"/>
        <v>2025 Nationals</v>
      </c>
      <c r="R7" s="8">
        <f t="shared" si="8"/>
        <v>13.1</v>
      </c>
      <c r="S7" s="8" t="str">
        <f t="shared" si="9"/>
        <v>2025 Nationals</v>
      </c>
      <c r="T7" s="8">
        <f t="shared" si="10"/>
        <v>15.35</v>
      </c>
      <c r="U7" s="8" t="str">
        <f t="shared" si="11"/>
        <v>2025 WAGC (Nov 16)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16.399999999999999</v>
      </c>
      <c r="Z7" s="22">
        <v>9.6</v>
      </c>
      <c r="AA7" s="22">
        <v>0</v>
      </c>
      <c r="AB7" s="22">
        <v>14.52</v>
      </c>
      <c r="AC7" s="22">
        <v>0</v>
      </c>
      <c r="AD7" s="22">
        <v>15.7</v>
      </c>
      <c r="AE7" s="22">
        <v>9.4</v>
      </c>
      <c r="AF7" s="22">
        <v>11.3</v>
      </c>
      <c r="AG7" s="22">
        <v>14.05</v>
      </c>
      <c r="AH7" s="22">
        <v>0</v>
      </c>
      <c r="AI7" s="22">
        <v>14.1</v>
      </c>
      <c r="AJ7" s="22">
        <v>9</v>
      </c>
      <c r="AK7" s="22">
        <v>11.1</v>
      </c>
      <c r="AL7" s="22">
        <v>14.08</v>
      </c>
      <c r="AM7" s="22">
        <v>0</v>
      </c>
      <c r="AN7" s="27"/>
      <c r="AO7" s="38" t="str">
        <f t="shared" si="15"/>
        <v/>
      </c>
      <c r="AP7" s="38">
        <f t="shared" si="16"/>
        <v>14.52</v>
      </c>
      <c r="AQ7" s="40">
        <f t="shared" si="17"/>
        <v>40.519999999999996</v>
      </c>
      <c r="AR7" s="40">
        <f t="shared" si="18"/>
        <v>11.3</v>
      </c>
      <c r="AS7" s="40">
        <f t="shared" si="19"/>
        <v>14.05</v>
      </c>
      <c r="AT7" s="40">
        <f t="shared" si="20"/>
        <v>50.45</v>
      </c>
      <c r="AU7" s="40">
        <f t="shared" si="21"/>
        <v>50.45</v>
      </c>
      <c r="AV7" s="40">
        <f t="shared" si="22"/>
        <v>11.1</v>
      </c>
      <c r="AW7" s="40">
        <f t="shared" si="23"/>
        <v>14.08</v>
      </c>
      <c r="AX7" s="40">
        <f t="shared" si="24"/>
        <v>48.28</v>
      </c>
      <c r="AY7" s="40">
        <f t="shared" si="25"/>
        <v>98.73</v>
      </c>
      <c r="AZ7" s="26">
        <v>18.3</v>
      </c>
      <c r="BA7" s="26">
        <v>9.6</v>
      </c>
      <c r="BB7" s="26">
        <v>0</v>
      </c>
      <c r="BC7" s="26">
        <v>14.94</v>
      </c>
      <c r="BD7" s="26">
        <v>0</v>
      </c>
      <c r="BE7" s="26">
        <v>7.3</v>
      </c>
      <c r="BF7" s="26">
        <v>5.3</v>
      </c>
      <c r="BG7" s="26">
        <v>7.2</v>
      </c>
      <c r="BH7" s="26">
        <v>8.5299999999999994</v>
      </c>
      <c r="BI7" s="26">
        <v>0</v>
      </c>
      <c r="BJ7" s="26">
        <v>14.4</v>
      </c>
      <c r="BK7" s="26">
        <v>9.1999999999999993</v>
      </c>
      <c r="BL7" s="26">
        <v>13.1</v>
      </c>
      <c r="BM7" s="26">
        <v>14.25</v>
      </c>
      <c r="BN7" s="26">
        <v>0</v>
      </c>
      <c r="BO7" s="28"/>
      <c r="BP7" s="39" t="str">
        <f t="shared" si="26"/>
        <v/>
      </c>
      <c r="BQ7" s="39">
        <f t="shared" si="27"/>
        <v>14.94</v>
      </c>
      <c r="BR7" s="11">
        <f t="shared" si="28"/>
        <v>42.839999999999996</v>
      </c>
      <c r="BS7" s="11">
        <f t="shared" si="29"/>
        <v>7.2</v>
      </c>
      <c r="BT7" s="11">
        <f t="shared" si="30"/>
        <v>8.5299999999999994</v>
      </c>
      <c r="BU7" s="11">
        <f t="shared" si="31"/>
        <v>28.33</v>
      </c>
      <c r="BV7" s="11">
        <f t="shared" si="32"/>
        <v>42.839999999999996</v>
      </c>
      <c r="BW7" s="11">
        <f t="shared" si="33"/>
        <v>13.1</v>
      </c>
      <c r="BX7" s="11">
        <f t="shared" si="34"/>
        <v>14.25</v>
      </c>
      <c r="BY7" s="11">
        <f t="shared" si="35"/>
        <v>50.95</v>
      </c>
      <c r="BZ7" s="11">
        <f t="shared" si="36"/>
        <v>93.789999999999992</v>
      </c>
      <c r="CA7" s="22">
        <v>16.7</v>
      </c>
      <c r="CB7" s="22">
        <v>9.6999999999999993</v>
      </c>
      <c r="CC7" s="22">
        <v>0</v>
      </c>
      <c r="CD7" s="22">
        <v>15.34</v>
      </c>
      <c r="CE7" s="22">
        <v>0</v>
      </c>
      <c r="CF7" s="22">
        <v>1.4</v>
      </c>
      <c r="CG7" s="22">
        <v>0.8</v>
      </c>
      <c r="CH7" s="22">
        <v>2</v>
      </c>
      <c r="CI7" s="22">
        <v>1.59</v>
      </c>
      <c r="CJ7" s="22">
        <v>0.2</v>
      </c>
      <c r="CK7" s="22">
        <v>7</v>
      </c>
      <c r="CL7" s="22">
        <v>4.5999999999999996</v>
      </c>
      <c r="CM7" s="22">
        <v>6.9</v>
      </c>
      <c r="CN7" s="22">
        <v>7.31</v>
      </c>
      <c r="CO7" s="22">
        <v>0</v>
      </c>
      <c r="CP7" s="27"/>
      <c r="CQ7" s="38" t="str">
        <f t="shared" si="37"/>
        <v/>
      </c>
      <c r="CR7" s="38">
        <f t="shared" si="38"/>
        <v>15.34</v>
      </c>
      <c r="CS7" s="40">
        <f t="shared" si="39"/>
        <v>41.739999999999995</v>
      </c>
      <c r="CT7" s="40">
        <f t="shared" si="40"/>
        <v>2</v>
      </c>
      <c r="CU7" s="40">
        <f t="shared" si="41"/>
        <v>1.59</v>
      </c>
      <c r="CV7" s="40">
        <f t="shared" si="42"/>
        <v>5.59</v>
      </c>
      <c r="CW7" s="40">
        <f t="shared" si="43"/>
        <v>41.739999999999995</v>
      </c>
      <c r="CX7" s="40">
        <f t="shared" si="44"/>
        <v>6.9</v>
      </c>
      <c r="CY7" s="40">
        <f t="shared" si="45"/>
        <v>7.31</v>
      </c>
      <c r="CZ7" s="40">
        <f t="shared" si="46"/>
        <v>25.81</v>
      </c>
      <c r="DA7" s="40">
        <f t="shared" si="47"/>
        <v>67.55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17.3</v>
      </c>
      <c r="FU7" s="17">
        <v>0</v>
      </c>
      <c r="FV7" s="17">
        <v>9.6</v>
      </c>
      <c r="FW7" s="17">
        <v>15.05</v>
      </c>
      <c r="FX7" s="17">
        <v>0</v>
      </c>
      <c r="FY7" s="17">
        <v>8.1999999999999993</v>
      </c>
      <c r="FZ7" s="17">
        <v>7.8</v>
      </c>
      <c r="GA7" s="17">
        <v>5.5</v>
      </c>
      <c r="GB7" s="17">
        <v>8.83</v>
      </c>
      <c r="GC7" s="17">
        <v>0.2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78"/>
        <v>9.6</v>
      </c>
      <c r="GO7" s="40">
        <f t="shared" si="79"/>
        <v>15.05</v>
      </c>
      <c r="GP7" s="40">
        <f t="shared" si="80"/>
        <v>41.95</v>
      </c>
      <c r="GQ7" s="40">
        <f t="shared" si="81"/>
        <v>5.5</v>
      </c>
      <c r="GR7" s="40">
        <f t="shared" si="82"/>
        <v>8.83</v>
      </c>
      <c r="GS7" s="40">
        <f t="shared" si="83"/>
        <v>30.13</v>
      </c>
      <c r="GT7" s="40">
        <f t="shared" si="84"/>
        <v>41.95</v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41.95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>
        <v>16.2</v>
      </c>
      <c r="JS7" s="18">
        <v>9.5</v>
      </c>
      <c r="JT7" s="18">
        <v>0</v>
      </c>
      <c r="JU7" s="18">
        <v>15.35</v>
      </c>
      <c r="JV7" s="18">
        <v>0</v>
      </c>
      <c r="JW7" s="18">
        <v>9.6</v>
      </c>
      <c r="JX7" s="18">
        <v>6.1</v>
      </c>
      <c r="JY7" s="18">
        <v>5.8</v>
      </c>
      <c r="JZ7" s="18">
        <v>10.46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>
        <f t="shared" si="121"/>
        <v>15.35</v>
      </c>
      <c r="KN7" s="11">
        <f t="shared" si="122"/>
        <v>41.05</v>
      </c>
      <c r="KO7" s="11">
        <f t="shared" si="123"/>
        <v>5.8</v>
      </c>
      <c r="KP7" s="11">
        <f t="shared" si="124"/>
        <v>10.46</v>
      </c>
      <c r="KQ7" s="11">
        <f t="shared" si="125"/>
        <v>31.96</v>
      </c>
      <c r="KR7" s="11">
        <f t="shared" si="126"/>
        <v>41.05</v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>
        <f t="shared" si="133"/>
        <v>41.05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17.5</v>
      </c>
      <c r="SW7" s="22">
        <f t="shared" si="219"/>
        <v>9.6499999999999986</v>
      </c>
      <c r="SX7" s="22">
        <f t="shared" si="220"/>
        <v>0</v>
      </c>
      <c r="SY7" s="22">
        <f t="shared" si="221"/>
        <v>15.14</v>
      </c>
      <c r="SZ7" s="22">
        <f t="shared" si="222"/>
        <v>0</v>
      </c>
      <c r="TA7" s="22">
        <f t="shared" si="223"/>
        <v>4.3499999999999996</v>
      </c>
      <c r="TB7" s="22">
        <f t="shared" si="224"/>
        <v>3.05</v>
      </c>
      <c r="TC7" s="22">
        <f t="shared" si="225"/>
        <v>4.5999999999999996</v>
      </c>
      <c r="TD7" s="22">
        <f t="shared" si="226"/>
        <v>5.0599999999999996</v>
      </c>
      <c r="TE7" s="22">
        <f t="shared" si="227"/>
        <v>0.1</v>
      </c>
      <c r="TF7" s="22">
        <f t="shared" si="228"/>
        <v>10.7</v>
      </c>
      <c r="TG7" s="22">
        <f t="shared" si="229"/>
        <v>6.8999999999999995</v>
      </c>
      <c r="TH7" s="22">
        <f t="shared" si="230"/>
        <v>10</v>
      </c>
      <c r="TI7" s="22">
        <f t="shared" si="231"/>
        <v>10.78</v>
      </c>
      <c r="TJ7" s="22">
        <f t="shared" si="232"/>
        <v>0</v>
      </c>
      <c r="TK7" s="27" t="s">
        <v>46</v>
      </c>
      <c r="TL7" s="40" t="str">
        <f t="shared" si="233"/>
        <v/>
      </c>
      <c r="TM7" s="40">
        <f t="shared" si="234"/>
        <v>15.14</v>
      </c>
      <c r="TN7" s="40">
        <f t="shared" si="235"/>
        <v>42.29</v>
      </c>
      <c r="TO7" s="40">
        <f t="shared" si="236"/>
        <v>4.5999999999999996</v>
      </c>
      <c r="TP7" s="40">
        <f t="shared" si="237"/>
        <v>5.0599999999999996</v>
      </c>
      <c r="TQ7" s="40">
        <f t="shared" si="238"/>
        <v>16.959999999999997</v>
      </c>
      <c r="TR7" s="40">
        <f t="shared" si="239"/>
        <v>42.29</v>
      </c>
      <c r="TS7" s="40">
        <f t="shared" si="240"/>
        <v>10</v>
      </c>
      <c r="TT7" s="40">
        <f t="shared" si="241"/>
        <v>10.78</v>
      </c>
      <c r="TU7" s="40">
        <f t="shared" si="242"/>
        <v>38.379999999999995</v>
      </c>
      <c r="TV7" s="40">
        <f t="shared" si="243"/>
        <v>80.669999999999987</v>
      </c>
    </row>
    <row r="8" spans="1:542" x14ac:dyDescent="0.2">
      <c r="A8" s="4" t="str" cm="1">
        <f t="array" ref="A8">IF(AND(J8&lt;&gt;"",J8&lt;&gt;"No DD"),SUMPRODUCT((J$4:J$14&lt;&gt;"")*(J$4:J$14&lt;&gt;"No DD")*(F$4:F$14&gt;F8))+1,IF(J8="No DD",SUMPRODUCT((J$4:J$14="No DD")*(F$4:F$14&gt;F8))+1+SUMPRODUCT((J$4:J$14&lt;&gt;"")*(J$4:J$14&lt;&gt;"No DD")),""))</f>
        <v/>
      </c>
      <c r="B8" s="4" t="str" cm="1">
        <f t="array" ref="B8">IF(AND(J8&lt;&gt;"",J8&lt;&gt;"No DD",G8=""),SUMPRODUCT((J$4:J$14&lt;&gt;"")*(J$4:J$14&lt;&gt;"No DD")*(G$4:G$14="")*(F$4:F$14&gt;F8))+1,IF(J8="No DD",SUMPRODUCT((J$4:J$14="No DD")*(F$4:F$14&gt;F8)*(G$4:G$14=""))+1+SUMPRODUCT((J$4:J$14&lt;&gt;"")*(G$4:G$14="")*(J$4:J$14&lt;&gt;"No DD")),""))</f>
        <v/>
      </c>
      <c r="C8" s="5" t="s">
        <v>148</v>
      </c>
      <c r="D8" s="4" t="s">
        <v>5</v>
      </c>
      <c r="E8" s="4">
        <v>2008</v>
      </c>
      <c r="F8" s="9">
        <f t="shared" si="0"/>
        <v>171.58001715800484</v>
      </c>
      <c r="G8" s="64"/>
      <c r="H8" s="3" t="str">
        <f t="shared" si="1"/>
        <v/>
      </c>
      <c r="I8" s="3" t="str">
        <f t="shared" si="2"/>
        <v/>
      </c>
      <c r="J8" s="36" t="str">
        <f t="shared" si="3"/>
        <v/>
      </c>
      <c r="K8" s="3" t="str">
        <f t="shared" si="4"/>
        <v/>
      </c>
      <c r="L8" s="8">
        <f>IF(COUNT(AQ8,AT8,BR8,BU8,CS8,CV8)&gt;0,LARGE((AQ8,AT8,BR8,BU8,CS8,CV8),1),0)</f>
        <v>48.58</v>
      </c>
      <c r="M8" s="8" t="str">
        <f t="shared" si="5"/>
        <v>2025 Nationals</v>
      </c>
      <c r="N8" s="8">
        <f>IF(COUNT(AQ8,AT8,BR8,BU8,CS8,CV8)&gt;1,LARGE((AQ8,AT8,BR8,BU8,CS8,CV8),2),0)</f>
        <v>48.37</v>
      </c>
      <c r="O8" s="8" t="str">
        <f t="shared" si="6"/>
        <v>2025 3rd Domestic Trial</v>
      </c>
      <c r="P8" s="8">
        <f>IF(COUNT(AQ8,AT8,BR8,BU8,CS8,CV8)&gt;2,MAX(AX8,BY8,CZ8,LARGE((AQ8,AT8,BR8,BU8,CS8,CV8),3)),IF(MAX(AX8,BY8,CZ8)&gt;0,MAX(AX8,BY8,CZ8),0))</f>
        <v>48.22</v>
      </c>
      <c r="Q8" s="8" t="str">
        <f t="shared" si="7"/>
        <v>2025 3rd Domestic Trial</v>
      </c>
      <c r="R8" s="8">
        <f t="shared" si="8"/>
        <v>12.7</v>
      </c>
      <c r="S8" s="8" t="str">
        <f t="shared" si="9"/>
        <v>2025 Nationals</v>
      </c>
      <c r="T8" s="8">
        <f t="shared" si="10"/>
        <v>13.71</v>
      </c>
      <c r="U8" s="8" t="str">
        <f t="shared" si="11"/>
        <v>2025 Nationals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 t="shared" si="15"/>
        <v/>
      </c>
      <c r="AP8" s="38" t="str">
        <f t="shared" si="16"/>
        <v/>
      </c>
      <c r="AQ8" s="40" t="str">
        <f t="shared" si="17"/>
        <v/>
      </c>
      <c r="AR8" s="40" t="str">
        <f t="shared" si="18"/>
        <v/>
      </c>
      <c r="AS8" s="40" t="str">
        <f t="shared" si="19"/>
        <v/>
      </c>
      <c r="AT8" s="40" t="str">
        <f t="shared" si="20"/>
        <v/>
      </c>
      <c r="AU8" s="40" t="str">
        <f t="shared" si="21"/>
        <v/>
      </c>
      <c r="AV8" s="40" t="str">
        <f t="shared" si="22"/>
        <v/>
      </c>
      <c r="AW8" s="40" t="str">
        <f t="shared" si="23"/>
        <v/>
      </c>
      <c r="AX8" s="40" t="str">
        <f t="shared" si="24"/>
        <v/>
      </c>
      <c r="AY8" s="40" t="str">
        <f t="shared" si="25"/>
        <v/>
      </c>
      <c r="AZ8" s="26">
        <v>12</v>
      </c>
      <c r="BA8" s="26">
        <v>9</v>
      </c>
      <c r="BB8" s="26">
        <v>12.7</v>
      </c>
      <c r="BC8" s="26">
        <v>13.71</v>
      </c>
      <c r="BD8" s="26">
        <v>0</v>
      </c>
      <c r="BE8" s="26">
        <v>13</v>
      </c>
      <c r="BF8" s="26">
        <v>9.4</v>
      </c>
      <c r="BG8" s="26">
        <v>12.5</v>
      </c>
      <c r="BH8" s="26">
        <v>13.68</v>
      </c>
      <c r="BI8" s="26">
        <v>0</v>
      </c>
      <c r="BJ8" s="26">
        <v>13.5</v>
      </c>
      <c r="BK8" s="26">
        <v>8.6999999999999993</v>
      </c>
      <c r="BL8" s="26">
        <v>12.7</v>
      </c>
      <c r="BM8" s="26">
        <v>13.31</v>
      </c>
      <c r="BN8" s="26">
        <v>0</v>
      </c>
      <c r="BO8" s="28"/>
      <c r="BP8" s="39">
        <f t="shared" si="26"/>
        <v>12.7</v>
      </c>
      <c r="BQ8" s="39">
        <f t="shared" si="27"/>
        <v>13.71</v>
      </c>
      <c r="BR8" s="11">
        <f t="shared" si="28"/>
        <v>47.410000000000004</v>
      </c>
      <c r="BS8" s="11">
        <f t="shared" si="29"/>
        <v>12.5</v>
      </c>
      <c r="BT8" s="11">
        <f t="shared" si="30"/>
        <v>13.68</v>
      </c>
      <c r="BU8" s="11">
        <f t="shared" si="31"/>
        <v>48.58</v>
      </c>
      <c r="BV8" s="11">
        <f t="shared" si="32"/>
        <v>48.58</v>
      </c>
      <c r="BW8" s="11">
        <f t="shared" si="33"/>
        <v>12.7</v>
      </c>
      <c r="BX8" s="11">
        <f t="shared" si="34"/>
        <v>13.31</v>
      </c>
      <c r="BY8" s="11">
        <f t="shared" si="35"/>
        <v>48.21</v>
      </c>
      <c r="BZ8" s="11">
        <f t="shared" si="36"/>
        <v>96.789999999999992</v>
      </c>
      <c r="CA8" s="22">
        <v>14.1</v>
      </c>
      <c r="CB8" s="22">
        <v>9.1</v>
      </c>
      <c r="CC8" s="22">
        <v>11.5</v>
      </c>
      <c r="CD8" s="22">
        <v>13.52</v>
      </c>
      <c r="CE8" s="22">
        <v>0</v>
      </c>
      <c r="CF8" s="22">
        <v>13.2</v>
      </c>
      <c r="CG8" s="22">
        <v>9</v>
      </c>
      <c r="CH8" s="22">
        <v>12.3</v>
      </c>
      <c r="CI8" s="22">
        <v>13.87</v>
      </c>
      <c r="CJ8" s="22">
        <v>0</v>
      </c>
      <c r="CK8" s="22">
        <v>12.9</v>
      </c>
      <c r="CL8" s="22">
        <v>8.6999999999999993</v>
      </c>
      <c r="CM8" s="22">
        <v>12.3</v>
      </c>
      <c r="CN8" s="22">
        <v>13.47</v>
      </c>
      <c r="CO8" s="22">
        <v>0</v>
      </c>
      <c r="CP8" s="27"/>
      <c r="CQ8" s="38">
        <f t="shared" si="37"/>
        <v>11.5</v>
      </c>
      <c r="CR8" s="38">
        <f t="shared" si="38"/>
        <v>13.52</v>
      </c>
      <c r="CS8" s="40">
        <f t="shared" si="39"/>
        <v>48.22</v>
      </c>
      <c r="CT8" s="40">
        <f t="shared" si="40"/>
        <v>12.3</v>
      </c>
      <c r="CU8" s="40">
        <f t="shared" si="41"/>
        <v>13.87</v>
      </c>
      <c r="CV8" s="40">
        <f t="shared" si="42"/>
        <v>48.37</v>
      </c>
      <c r="CW8" s="40">
        <f t="shared" si="43"/>
        <v>48.37</v>
      </c>
      <c r="CX8" s="40">
        <f t="shared" si="44"/>
        <v>12.3</v>
      </c>
      <c r="CY8" s="40">
        <f t="shared" si="45"/>
        <v>13.47</v>
      </c>
      <c r="CZ8" s="40">
        <f t="shared" si="46"/>
        <v>47.370000000000005</v>
      </c>
      <c r="DA8" s="40">
        <f t="shared" si="47"/>
        <v>95.740000000000009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13.05</v>
      </c>
      <c r="SW8" s="22">
        <f t="shared" si="219"/>
        <v>9.0500000000000007</v>
      </c>
      <c r="SX8" s="22">
        <f t="shared" si="220"/>
        <v>12.1</v>
      </c>
      <c r="SY8" s="22">
        <f t="shared" si="221"/>
        <v>13.615</v>
      </c>
      <c r="SZ8" s="22">
        <f t="shared" si="222"/>
        <v>0</v>
      </c>
      <c r="TA8" s="22">
        <f t="shared" si="223"/>
        <v>13.1</v>
      </c>
      <c r="TB8" s="22">
        <f t="shared" si="224"/>
        <v>9.1999999999999993</v>
      </c>
      <c r="TC8" s="22">
        <f t="shared" si="225"/>
        <v>12.4</v>
      </c>
      <c r="TD8" s="22">
        <f t="shared" si="226"/>
        <v>13.774999999999999</v>
      </c>
      <c r="TE8" s="22">
        <f t="shared" si="227"/>
        <v>0</v>
      </c>
      <c r="TF8" s="22">
        <f t="shared" si="228"/>
        <v>13.2</v>
      </c>
      <c r="TG8" s="22">
        <f t="shared" si="229"/>
        <v>8.6999999999999993</v>
      </c>
      <c r="TH8" s="22">
        <f t="shared" si="230"/>
        <v>12.5</v>
      </c>
      <c r="TI8" s="22">
        <f t="shared" si="231"/>
        <v>13.39</v>
      </c>
      <c r="TJ8" s="22">
        <f t="shared" si="232"/>
        <v>0</v>
      </c>
      <c r="TK8" s="27" t="s">
        <v>46</v>
      </c>
      <c r="TL8" s="40">
        <f t="shared" si="233"/>
        <v>12.1</v>
      </c>
      <c r="TM8" s="40">
        <f t="shared" si="234"/>
        <v>13.615</v>
      </c>
      <c r="TN8" s="40">
        <f t="shared" si="235"/>
        <v>47.815000000000005</v>
      </c>
      <c r="TO8" s="40">
        <f t="shared" si="236"/>
        <v>12.4</v>
      </c>
      <c r="TP8" s="40">
        <f t="shared" si="237"/>
        <v>13.774999999999999</v>
      </c>
      <c r="TQ8" s="40">
        <f t="shared" si="238"/>
        <v>48.474999999999994</v>
      </c>
      <c r="TR8" s="40">
        <f t="shared" si="239"/>
        <v>48.474999999999994</v>
      </c>
      <c r="TS8" s="40">
        <f t="shared" si="240"/>
        <v>12.5</v>
      </c>
      <c r="TT8" s="40">
        <f t="shared" si="241"/>
        <v>13.39</v>
      </c>
      <c r="TU8" s="40">
        <f t="shared" si="242"/>
        <v>47.79</v>
      </c>
      <c r="TV8" s="40">
        <f t="shared" si="243"/>
        <v>96.264999999999986</v>
      </c>
    </row>
    <row r="9" spans="1:542" x14ac:dyDescent="0.2">
      <c r="A9" s="4" t="str" cm="1">
        <f t="array" ref="A9">IF(AND(J9&lt;&gt;"",J9&lt;&gt;"No DD"),SUMPRODUCT((J$4:J$14&lt;&gt;"")*(J$4:J$14&lt;&gt;"No DD")*(F$4:F$14&gt;F9))+1,IF(J9="No DD",SUMPRODUCT((J$4:J$14="No DD")*(F$4:F$14&gt;F9))+1+SUMPRODUCT((J$4:J$14&lt;&gt;"")*(J$4:J$14&lt;&gt;"No DD")),""))</f>
        <v/>
      </c>
      <c r="B9" s="4" t="str" cm="1">
        <f t="array" ref="B9">IF(AND(J9&lt;&gt;"",J9&lt;&gt;"No DD",G9=""),SUMPRODUCT((J$4:J$14&lt;&gt;"")*(J$4:J$14&lt;&gt;"No DD")*(G$4:G$14="")*(F$4:F$14&gt;F9))+1,IF(J9="No DD",SUMPRODUCT((J$4:J$14="No DD")*(F$4:F$14&gt;F9)*(G$4:G$14=""))+1+SUMPRODUCT((J$4:J$14&lt;&gt;"")*(G$4:G$14="")*(J$4:J$14&lt;&gt;"No DD")),""))</f>
        <v/>
      </c>
      <c r="C9" s="5" t="s">
        <v>194</v>
      </c>
      <c r="D9" s="4" t="s">
        <v>5</v>
      </c>
      <c r="E9" s="4">
        <v>2009</v>
      </c>
      <c r="F9" s="9">
        <f t="shared" si="0"/>
        <v>170.27001702700483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47.830000000000005</v>
      </c>
      <c r="M9" s="8" t="str">
        <f t="shared" si="5"/>
        <v>2025 Elite Canada</v>
      </c>
      <c r="N9" s="8">
        <f>IF(COUNT(AQ9,AT9,BR9,BU9,CS9,CV9)&gt;1,LARGE((AQ9,AT9,BR9,BU9,CS9,CV9),2),0)</f>
        <v>47.78</v>
      </c>
      <c r="O9" s="8" t="str">
        <f t="shared" si="6"/>
        <v>2025 3rd Domestic Trial</v>
      </c>
      <c r="P9" s="8">
        <f>IF(COUNT(AQ9,AT9,BR9,BU9,CS9,CV9)&gt;2,MAX(AX9,BY9,CZ9,LARGE((AQ9,AT9,BR9,BU9,CS9,CV9),3)),IF(MAX(AX9,BY9,CZ9)&gt;0,MAX(AX9,BY9,CZ9),0))</f>
        <v>47.790000000000006</v>
      </c>
      <c r="Q9" s="8" t="str">
        <f t="shared" si="7"/>
        <v>2025 Nationals</v>
      </c>
      <c r="R9" s="8">
        <f t="shared" si="8"/>
        <v>12.4</v>
      </c>
      <c r="S9" s="8" t="str">
        <f t="shared" si="9"/>
        <v>2025 3rd Domestic Trial</v>
      </c>
      <c r="T9" s="8">
        <f t="shared" si="10"/>
        <v>14.47</v>
      </c>
      <c r="U9" s="8" t="str">
        <f t="shared" si="11"/>
        <v>2025 WAGC (Nov 16)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17.600000000000001</v>
      </c>
      <c r="Z9" s="22">
        <v>9.8000000000000007</v>
      </c>
      <c r="AA9" s="22">
        <v>0</v>
      </c>
      <c r="AB9" s="22">
        <v>13.73</v>
      </c>
      <c r="AC9" s="22">
        <v>0</v>
      </c>
      <c r="AD9" s="22">
        <v>12.8</v>
      </c>
      <c r="AE9" s="22">
        <v>9.4</v>
      </c>
      <c r="AF9" s="22">
        <v>12</v>
      </c>
      <c r="AG9" s="22">
        <v>13.63</v>
      </c>
      <c r="AH9" s="22">
        <v>0</v>
      </c>
      <c r="AI9" s="22">
        <v>12.5</v>
      </c>
      <c r="AJ9" s="22">
        <v>9.3000000000000007</v>
      </c>
      <c r="AK9" s="22">
        <v>11.2</v>
      </c>
      <c r="AL9" s="22">
        <v>13.45</v>
      </c>
      <c r="AM9" s="22">
        <v>0</v>
      </c>
      <c r="AN9" s="27"/>
      <c r="AO9" s="38" t="str">
        <f t="shared" si="15"/>
        <v/>
      </c>
      <c r="AP9" s="38">
        <f t="shared" si="16"/>
        <v>13.73</v>
      </c>
      <c r="AQ9" s="40">
        <f t="shared" si="17"/>
        <v>41.13</v>
      </c>
      <c r="AR9" s="40">
        <f t="shared" si="18"/>
        <v>12</v>
      </c>
      <c r="AS9" s="40">
        <f t="shared" si="19"/>
        <v>13.63</v>
      </c>
      <c r="AT9" s="40">
        <f t="shared" si="20"/>
        <v>47.830000000000005</v>
      </c>
      <c r="AU9" s="40">
        <f t="shared" si="21"/>
        <v>47.830000000000005</v>
      </c>
      <c r="AV9" s="40">
        <f t="shared" si="22"/>
        <v>11.2</v>
      </c>
      <c r="AW9" s="40">
        <f t="shared" si="23"/>
        <v>13.45</v>
      </c>
      <c r="AX9" s="40">
        <f t="shared" si="24"/>
        <v>46.45</v>
      </c>
      <c r="AY9" s="40">
        <f t="shared" si="25"/>
        <v>94.28</v>
      </c>
      <c r="AZ9" s="26">
        <v>17.899999999999999</v>
      </c>
      <c r="BA9" s="26">
        <v>9.9</v>
      </c>
      <c r="BB9" s="26">
        <v>0</v>
      </c>
      <c r="BC9" s="26">
        <v>14.26</v>
      </c>
      <c r="BD9" s="26">
        <v>0</v>
      </c>
      <c r="BE9" s="26">
        <v>12.9</v>
      </c>
      <c r="BF9" s="26">
        <v>8.9</v>
      </c>
      <c r="BG9" s="26">
        <v>11.5</v>
      </c>
      <c r="BH9" s="26">
        <v>13.62</v>
      </c>
      <c r="BI9" s="26">
        <v>0</v>
      </c>
      <c r="BJ9" s="26">
        <v>13.9</v>
      </c>
      <c r="BK9" s="26">
        <v>8.6999999999999993</v>
      </c>
      <c r="BL9" s="26">
        <v>11.6</v>
      </c>
      <c r="BM9" s="26">
        <v>13.59</v>
      </c>
      <c r="BN9" s="26">
        <v>0</v>
      </c>
      <c r="BO9" s="28"/>
      <c r="BP9" s="39" t="str">
        <f t="shared" si="26"/>
        <v/>
      </c>
      <c r="BQ9" s="39">
        <f t="shared" si="27"/>
        <v>14.26</v>
      </c>
      <c r="BR9" s="11">
        <f t="shared" si="28"/>
        <v>42.059999999999995</v>
      </c>
      <c r="BS9" s="11">
        <f t="shared" si="29"/>
        <v>11.5</v>
      </c>
      <c r="BT9" s="11">
        <f t="shared" si="30"/>
        <v>13.62</v>
      </c>
      <c r="BU9" s="11">
        <f t="shared" si="31"/>
        <v>46.919999999999995</v>
      </c>
      <c r="BV9" s="11">
        <f t="shared" si="32"/>
        <v>46.919999999999995</v>
      </c>
      <c r="BW9" s="11">
        <f t="shared" si="33"/>
        <v>11.6</v>
      </c>
      <c r="BX9" s="11">
        <f t="shared" si="34"/>
        <v>13.59</v>
      </c>
      <c r="BY9" s="11">
        <f t="shared" si="35"/>
        <v>47.790000000000006</v>
      </c>
      <c r="BZ9" s="11">
        <f t="shared" si="36"/>
        <v>94.710000000000008</v>
      </c>
      <c r="CA9" s="22">
        <v>16.3</v>
      </c>
      <c r="CB9" s="22">
        <v>9.6999999999999993</v>
      </c>
      <c r="CC9" s="22">
        <v>0</v>
      </c>
      <c r="CD9" s="22">
        <v>14.13</v>
      </c>
      <c r="CE9" s="22">
        <v>2</v>
      </c>
      <c r="CF9" s="22">
        <v>12.5</v>
      </c>
      <c r="CG9" s="22">
        <v>9.1999999999999993</v>
      </c>
      <c r="CH9" s="22">
        <v>12.4</v>
      </c>
      <c r="CI9" s="22">
        <v>13.68</v>
      </c>
      <c r="CJ9" s="22">
        <v>0</v>
      </c>
      <c r="CK9" s="22">
        <v>12.4</v>
      </c>
      <c r="CL9" s="22">
        <v>7.8</v>
      </c>
      <c r="CM9" s="22">
        <v>10.3</v>
      </c>
      <c r="CN9" s="22">
        <v>1.36</v>
      </c>
      <c r="CO9" s="22">
        <v>0</v>
      </c>
      <c r="CP9" s="27"/>
      <c r="CQ9" s="38" t="str">
        <f t="shared" si="37"/>
        <v/>
      </c>
      <c r="CR9" s="38">
        <f t="shared" si="38"/>
        <v>14.13</v>
      </c>
      <c r="CS9" s="40">
        <f t="shared" si="39"/>
        <v>38.130000000000003</v>
      </c>
      <c r="CT9" s="40">
        <f t="shared" si="40"/>
        <v>12.4</v>
      </c>
      <c r="CU9" s="40">
        <f t="shared" si="41"/>
        <v>13.68</v>
      </c>
      <c r="CV9" s="40">
        <f t="shared" si="42"/>
        <v>47.78</v>
      </c>
      <c r="CW9" s="40">
        <f t="shared" si="43"/>
        <v>47.78</v>
      </c>
      <c r="CX9" s="40">
        <f t="shared" si="44"/>
        <v>10.3</v>
      </c>
      <c r="CY9" s="40">
        <f t="shared" si="45"/>
        <v>1.36</v>
      </c>
      <c r="CZ9" s="40">
        <f t="shared" si="46"/>
        <v>31.86</v>
      </c>
      <c r="DA9" s="40">
        <f t="shared" si="47"/>
        <v>79.64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>
        <v>16.3</v>
      </c>
      <c r="JS9" s="18">
        <v>9.5</v>
      </c>
      <c r="JT9" s="18">
        <v>0</v>
      </c>
      <c r="JU9" s="18">
        <v>14.47</v>
      </c>
      <c r="JV9" s="18">
        <v>0</v>
      </c>
      <c r="JW9" s="18">
        <v>8.6999999999999993</v>
      </c>
      <c r="JX9" s="18">
        <v>5.2</v>
      </c>
      <c r="JY9" s="18">
        <v>6.6</v>
      </c>
      <c r="JZ9" s="18">
        <v>8.51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>
        <f t="shared" si="121"/>
        <v>14.47</v>
      </c>
      <c r="KN9" s="11">
        <f t="shared" si="122"/>
        <v>40.270000000000003</v>
      </c>
      <c r="KO9" s="11">
        <f t="shared" si="123"/>
        <v>6.6</v>
      </c>
      <c r="KP9" s="11">
        <f t="shared" si="124"/>
        <v>8.51</v>
      </c>
      <c r="KQ9" s="11">
        <f t="shared" si="125"/>
        <v>29.009999999999998</v>
      </c>
      <c r="KR9" s="11">
        <f t="shared" si="126"/>
        <v>40.270000000000003</v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>
        <f t="shared" si="133"/>
        <v>40.270000000000003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17.100000000000001</v>
      </c>
      <c r="SW9" s="22">
        <f t="shared" si="219"/>
        <v>9.8000000000000007</v>
      </c>
      <c r="SX9" s="22">
        <f t="shared" si="220"/>
        <v>0</v>
      </c>
      <c r="SY9" s="22">
        <f t="shared" si="221"/>
        <v>14.195</v>
      </c>
      <c r="SZ9" s="22">
        <f t="shared" si="222"/>
        <v>1</v>
      </c>
      <c r="TA9" s="22">
        <f t="shared" si="223"/>
        <v>12.7</v>
      </c>
      <c r="TB9" s="22">
        <f t="shared" si="224"/>
        <v>9.0500000000000007</v>
      </c>
      <c r="TC9" s="22">
        <f t="shared" si="225"/>
        <v>11.95</v>
      </c>
      <c r="TD9" s="22">
        <f t="shared" si="226"/>
        <v>13.649999999999999</v>
      </c>
      <c r="TE9" s="22">
        <f t="shared" si="227"/>
        <v>0</v>
      </c>
      <c r="TF9" s="22">
        <f t="shared" si="228"/>
        <v>13.15</v>
      </c>
      <c r="TG9" s="22">
        <f t="shared" si="229"/>
        <v>8.25</v>
      </c>
      <c r="TH9" s="22">
        <f t="shared" si="230"/>
        <v>10.95</v>
      </c>
      <c r="TI9" s="22">
        <f t="shared" si="231"/>
        <v>7.4749999999999996</v>
      </c>
      <c r="TJ9" s="22">
        <f t="shared" si="232"/>
        <v>0</v>
      </c>
      <c r="TK9" s="27" t="s">
        <v>46</v>
      </c>
      <c r="TL9" s="40" t="str">
        <f t="shared" si="233"/>
        <v/>
      </c>
      <c r="TM9" s="40">
        <f t="shared" si="234"/>
        <v>14.195</v>
      </c>
      <c r="TN9" s="40">
        <f t="shared" si="235"/>
        <v>40.094999999999999</v>
      </c>
      <c r="TO9" s="40">
        <f t="shared" si="236"/>
        <v>11.95</v>
      </c>
      <c r="TP9" s="40">
        <f t="shared" si="237"/>
        <v>13.649999999999999</v>
      </c>
      <c r="TQ9" s="40">
        <f t="shared" si="238"/>
        <v>47.35</v>
      </c>
      <c r="TR9" s="40">
        <f t="shared" si="239"/>
        <v>47.35</v>
      </c>
      <c r="TS9" s="40">
        <f t="shared" si="240"/>
        <v>10.95</v>
      </c>
      <c r="TT9" s="40">
        <f t="shared" si="241"/>
        <v>7.4749999999999996</v>
      </c>
      <c r="TU9" s="40">
        <f t="shared" si="242"/>
        <v>39.824999999999996</v>
      </c>
      <c r="TV9" s="40">
        <f t="shared" si="243"/>
        <v>87.174999999999997</v>
      </c>
    </row>
    <row r="10" spans="1:542" x14ac:dyDescent="0.2">
      <c r="A10" s="4" t="str" cm="1">
        <f t="array" ref="A10">IF(AND(J10&lt;&gt;"",J10&lt;&gt;"No DD"),SUMPRODUCT((J$4:J$14&lt;&gt;"")*(J$4:J$14&lt;&gt;"No DD")*(F$4:F$14&gt;F10))+1,IF(J10="No DD",SUMPRODUCT((J$4:J$14="No DD")*(F$4:F$14&gt;F10))+1+SUMPRODUCT((J$4:J$14&lt;&gt;"")*(J$4:J$14&lt;&gt;"No DD")),""))</f>
        <v/>
      </c>
      <c r="B10" s="4" t="str" cm="1">
        <f t="array" ref="B10">IF(AND(J10&lt;&gt;"",J10&lt;&gt;"No DD",G10=""),SUMPRODUCT((J$4:J$14&lt;&gt;"")*(J$4:J$14&lt;&gt;"No DD")*(G$4:G$14="")*(F$4:F$14&gt;F10))+1,IF(J10="No DD",SUMPRODUCT((J$4:J$14="No DD")*(F$4:F$14&gt;F10)*(G$4:G$14=""))+1+SUMPRODUCT((J$4:J$14&lt;&gt;"")*(G$4:G$14="")*(J$4:J$14&lt;&gt;"No DD")),""))</f>
        <v/>
      </c>
      <c r="C10" s="5" t="s">
        <v>195</v>
      </c>
      <c r="D10" s="4" t="s">
        <v>5</v>
      </c>
      <c r="E10" s="4">
        <v>2009</v>
      </c>
      <c r="F10" s="9">
        <f t="shared" si="0"/>
        <v>166.0500166050048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48.019999999999996</v>
      </c>
      <c r="M10" s="8" t="str">
        <f t="shared" si="5"/>
        <v>2025 Nationals</v>
      </c>
      <c r="N10" s="8">
        <f>IF(COUNT(AQ10,AT10,BR10,BU10,CS10,CV10)&gt;1,LARGE((AQ10,AT10,BR10,BU10,CS10,CV10),2),0)</f>
        <v>42.56</v>
      </c>
      <c r="O10" s="8" t="str">
        <f t="shared" si="6"/>
        <v>2025 3rd Domestic Trial</v>
      </c>
      <c r="P10" s="8">
        <f>IF(COUNT(AQ10,AT10,BR10,BU10,CS10,CV10)&gt;2,MAX(AX10,BY10,CZ10,LARGE((AQ10,AT10,BR10,BU10,CS10,CV10),3)),IF(MAX(AX10,BY10,CZ10)&gt;0,MAX(AX10,BY10,CZ10),0))</f>
        <v>48.73</v>
      </c>
      <c r="Q10" s="8" t="str">
        <f t="shared" si="7"/>
        <v>2025 Nationals</v>
      </c>
      <c r="R10" s="8">
        <f t="shared" si="8"/>
        <v>11.7</v>
      </c>
      <c r="S10" s="8" t="str">
        <f t="shared" si="9"/>
        <v>2025 Nationals</v>
      </c>
      <c r="T10" s="8">
        <f t="shared" si="10"/>
        <v>15.04</v>
      </c>
      <c r="U10" s="8" t="str">
        <f t="shared" si="11"/>
        <v>2025 WAGC (Nov 16)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15.6</v>
      </c>
      <c r="Z10" s="22">
        <v>9.6</v>
      </c>
      <c r="AA10" s="22">
        <v>0</v>
      </c>
      <c r="AB10" s="22">
        <v>14.33</v>
      </c>
      <c r="AC10" s="22">
        <v>0</v>
      </c>
      <c r="AD10" s="22">
        <v>11.4</v>
      </c>
      <c r="AE10" s="22">
        <v>8.8000000000000007</v>
      </c>
      <c r="AF10" s="22">
        <v>8.4</v>
      </c>
      <c r="AG10" s="22">
        <v>12.65</v>
      </c>
      <c r="AH10" s="22">
        <v>0</v>
      </c>
      <c r="AI10" s="22">
        <v>12.7</v>
      </c>
      <c r="AJ10" s="22">
        <v>9.6999999999999993</v>
      </c>
      <c r="AK10" s="22">
        <v>11</v>
      </c>
      <c r="AL10" s="22">
        <v>14.06</v>
      </c>
      <c r="AM10" s="22">
        <v>0</v>
      </c>
      <c r="AN10" s="27"/>
      <c r="AO10" s="38" t="str">
        <f t="shared" si="15"/>
        <v/>
      </c>
      <c r="AP10" s="38">
        <f t="shared" si="16"/>
        <v>14.33</v>
      </c>
      <c r="AQ10" s="40">
        <f t="shared" si="17"/>
        <v>39.53</v>
      </c>
      <c r="AR10" s="40">
        <f t="shared" si="18"/>
        <v>8.4</v>
      </c>
      <c r="AS10" s="40">
        <f t="shared" si="19"/>
        <v>12.65</v>
      </c>
      <c r="AT10" s="40">
        <f t="shared" si="20"/>
        <v>41.25</v>
      </c>
      <c r="AU10" s="40">
        <f t="shared" si="21"/>
        <v>41.25</v>
      </c>
      <c r="AV10" s="40">
        <f t="shared" si="22"/>
        <v>11</v>
      </c>
      <c r="AW10" s="40">
        <f t="shared" si="23"/>
        <v>14.06</v>
      </c>
      <c r="AX10" s="40">
        <f t="shared" si="24"/>
        <v>47.46</v>
      </c>
      <c r="AY10" s="40">
        <f t="shared" si="25"/>
        <v>88.710000000000008</v>
      </c>
      <c r="AZ10" s="26">
        <v>17.5</v>
      </c>
      <c r="BA10" s="26">
        <v>9.8000000000000007</v>
      </c>
      <c r="BB10" s="26">
        <v>0</v>
      </c>
      <c r="BC10" s="26">
        <v>14.97</v>
      </c>
      <c r="BD10" s="26">
        <v>0</v>
      </c>
      <c r="BE10" s="26">
        <v>13.5</v>
      </c>
      <c r="BF10" s="26">
        <v>9.1999999999999993</v>
      </c>
      <c r="BG10" s="26">
        <v>10.8</v>
      </c>
      <c r="BH10" s="26">
        <v>14.52</v>
      </c>
      <c r="BI10" s="26">
        <v>0</v>
      </c>
      <c r="BJ10" s="26">
        <v>13.5</v>
      </c>
      <c r="BK10" s="26">
        <v>9.1999999999999993</v>
      </c>
      <c r="BL10" s="26">
        <v>11.7</v>
      </c>
      <c r="BM10" s="26">
        <v>14.33</v>
      </c>
      <c r="BN10" s="26">
        <v>0</v>
      </c>
      <c r="BO10" s="28"/>
      <c r="BP10" s="39" t="str">
        <f t="shared" si="26"/>
        <v/>
      </c>
      <c r="BQ10" s="39">
        <f t="shared" si="27"/>
        <v>14.97</v>
      </c>
      <c r="BR10" s="11">
        <f t="shared" si="28"/>
        <v>42.27</v>
      </c>
      <c r="BS10" s="11">
        <f t="shared" si="29"/>
        <v>10.8</v>
      </c>
      <c r="BT10" s="11">
        <f t="shared" si="30"/>
        <v>14.52</v>
      </c>
      <c r="BU10" s="11">
        <f t="shared" si="31"/>
        <v>48.019999999999996</v>
      </c>
      <c r="BV10" s="11">
        <f t="shared" si="32"/>
        <v>48.019999999999996</v>
      </c>
      <c r="BW10" s="11">
        <f t="shared" si="33"/>
        <v>11.7</v>
      </c>
      <c r="BX10" s="11">
        <f t="shared" si="34"/>
        <v>14.33</v>
      </c>
      <c r="BY10" s="11">
        <f t="shared" si="35"/>
        <v>48.73</v>
      </c>
      <c r="BZ10" s="11">
        <f t="shared" si="36"/>
        <v>96.75</v>
      </c>
      <c r="CA10" s="22">
        <v>15.2</v>
      </c>
      <c r="CB10" s="22">
        <v>9.6</v>
      </c>
      <c r="CC10" s="22">
        <v>0</v>
      </c>
      <c r="CD10" s="22">
        <v>14.98</v>
      </c>
      <c r="CE10" s="22">
        <v>0</v>
      </c>
      <c r="CF10" s="22">
        <v>10.4</v>
      </c>
      <c r="CG10" s="22">
        <v>9.4</v>
      </c>
      <c r="CH10" s="22">
        <v>8.6999999999999993</v>
      </c>
      <c r="CI10" s="22">
        <v>14.56</v>
      </c>
      <c r="CJ10" s="22">
        <v>0.5</v>
      </c>
      <c r="CK10" s="22">
        <v>12.3</v>
      </c>
      <c r="CL10" s="22">
        <v>8.8000000000000007</v>
      </c>
      <c r="CM10" s="22">
        <v>9</v>
      </c>
      <c r="CN10" s="22">
        <v>14.31</v>
      </c>
      <c r="CO10" s="22">
        <v>0.2</v>
      </c>
      <c r="CP10" s="27"/>
      <c r="CQ10" s="38" t="str">
        <f t="shared" si="37"/>
        <v/>
      </c>
      <c r="CR10" s="38">
        <f t="shared" si="38"/>
        <v>14.98</v>
      </c>
      <c r="CS10" s="40">
        <f t="shared" si="39"/>
        <v>39.78</v>
      </c>
      <c r="CT10" s="40">
        <f t="shared" si="40"/>
        <v>8.6999999999999993</v>
      </c>
      <c r="CU10" s="40">
        <f t="shared" si="41"/>
        <v>14.56</v>
      </c>
      <c r="CV10" s="40">
        <f t="shared" si="42"/>
        <v>42.56</v>
      </c>
      <c r="CW10" s="40">
        <f t="shared" si="43"/>
        <v>42.56</v>
      </c>
      <c r="CX10" s="40">
        <f t="shared" si="44"/>
        <v>9</v>
      </c>
      <c r="CY10" s="40">
        <f t="shared" si="45"/>
        <v>14.31</v>
      </c>
      <c r="CZ10" s="40">
        <f t="shared" si="46"/>
        <v>44.21</v>
      </c>
      <c r="DA10" s="40">
        <f t="shared" si="47"/>
        <v>86.77000000000001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>
        <v>15.2</v>
      </c>
      <c r="JS10" s="18">
        <v>9.6</v>
      </c>
      <c r="JT10" s="18">
        <v>0</v>
      </c>
      <c r="JU10" s="18">
        <v>15.04</v>
      </c>
      <c r="JV10" s="18">
        <v>0</v>
      </c>
      <c r="JW10" s="18">
        <v>3.8</v>
      </c>
      <c r="JX10" s="18">
        <v>2.7</v>
      </c>
      <c r="JY10" s="18">
        <v>3.9</v>
      </c>
      <c r="JZ10" s="18">
        <v>4.54</v>
      </c>
      <c r="KA10" s="18">
        <v>0</v>
      </c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>
        <f t="shared" si="121"/>
        <v>15.04</v>
      </c>
      <c r="KN10" s="11">
        <f t="shared" si="122"/>
        <v>39.839999999999996</v>
      </c>
      <c r="KO10" s="11">
        <f t="shared" si="123"/>
        <v>3.9</v>
      </c>
      <c r="KP10" s="11">
        <f t="shared" si="124"/>
        <v>4.54</v>
      </c>
      <c r="KQ10" s="11">
        <f t="shared" si="125"/>
        <v>14.940000000000001</v>
      </c>
      <c r="KR10" s="11">
        <f t="shared" si="126"/>
        <v>39.839999999999996</v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>
        <f t="shared" si="133"/>
        <v>39.839999999999996</v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16.350000000000001</v>
      </c>
      <c r="SW10" s="22">
        <f t="shared" si="219"/>
        <v>9.6999999999999993</v>
      </c>
      <c r="SX10" s="22">
        <f t="shared" si="220"/>
        <v>0</v>
      </c>
      <c r="SY10" s="22">
        <f t="shared" si="221"/>
        <v>14.975000000000001</v>
      </c>
      <c r="SZ10" s="22">
        <f t="shared" si="222"/>
        <v>0</v>
      </c>
      <c r="TA10" s="22">
        <f t="shared" si="223"/>
        <v>11.95</v>
      </c>
      <c r="TB10" s="22">
        <f t="shared" si="224"/>
        <v>9.3000000000000007</v>
      </c>
      <c r="TC10" s="22">
        <f t="shared" si="225"/>
        <v>9.75</v>
      </c>
      <c r="TD10" s="22">
        <f t="shared" si="226"/>
        <v>14.54</v>
      </c>
      <c r="TE10" s="22">
        <f t="shared" si="227"/>
        <v>0.25</v>
      </c>
      <c r="TF10" s="22">
        <f t="shared" si="228"/>
        <v>12.9</v>
      </c>
      <c r="TG10" s="22">
        <f t="shared" si="229"/>
        <v>9</v>
      </c>
      <c r="TH10" s="22">
        <f t="shared" si="230"/>
        <v>10.35</v>
      </c>
      <c r="TI10" s="22">
        <f t="shared" si="231"/>
        <v>14.32</v>
      </c>
      <c r="TJ10" s="22">
        <f t="shared" si="232"/>
        <v>0.1</v>
      </c>
      <c r="TK10" s="27" t="s">
        <v>46</v>
      </c>
      <c r="TL10" s="40" t="str">
        <f t="shared" si="233"/>
        <v/>
      </c>
      <c r="TM10" s="40">
        <f t="shared" si="234"/>
        <v>14.975000000000001</v>
      </c>
      <c r="TN10" s="40">
        <f t="shared" si="235"/>
        <v>41.025000000000006</v>
      </c>
      <c r="TO10" s="40">
        <f t="shared" si="236"/>
        <v>9.75</v>
      </c>
      <c r="TP10" s="40">
        <f t="shared" si="237"/>
        <v>14.54</v>
      </c>
      <c r="TQ10" s="40">
        <f t="shared" si="238"/>
        <v>45.29</v>
      </c>
      <c r="TR10" s="40">
        <f t="shared" si="239"/>
        <v>45.29</v>
      </c>
      <c r="TS10" s="40">
        <f t="shared" si="240"/>
        <v>10.35</v>
      </c>
      <c r="TT10" s="40">
        <f t="shared" si="241"/>
        <v>14.32</v>
      </c>
      <c r="TU10" s="40">
        <f t="shared" si="242"/>
        <v>46.47</v>
      </c>
      <c r="TV10" s="40">
        <f t="shared" si="243"/>
        <v>91.759999999999991</v>
      </c>
    </row>
    <row r="11" spans="1:542" x14ac:dyDescent="0.2">
      <c r="A11" s="4" t="str" cm="1">
        <f t="array" ref="A11">IF(AND(J11&lt;&gt;"",J11&lt;&gt;"No DD"),SUMPRODUCT((J$4:J$14&lt;&gt;"")*(J$4:J$14&lt;&gt;"No DD")*(F$4:F$14&gt;F11))+1,IF(J11="No DD",SUMPRODUCT((J$4:J$14="No DD")*(F$4:F$14&gt;F11))+1+SUMPRODUCT((J$4:J$14&lt;&gt;"")*(J$4:J$14&lt;&gt;"No DD")),""))</f>
        <v/>
      </c>
      <c r="B11" s="4" t="str" cm="1">
        <f t="array" ref="B11">IF(AND(J11&lt;&gt;"",J11&lt;&gt;"No DD",G11=""),SUMPRODUCT((J$4:J$14&lt;&gt;"")*(J$4:J$14&lt;&gt;"No DD")*(G$4:G$14="")*(F$4:F$14&gt;F11))+1,IF(J11="No DD",SUMPRODUCT((J$4:J$14="No DD")*(F$4:F$14&gt;F11)*(G$4:G$14=""))+1+SUMPRODUCT((J$4:J$14&lt;&gt;"")*(G$4:G$14="")*(J$4:J$14&lt;&gt;"No DD")),""))</f>
        <v/>
      </c>
      <c r="C11" s="5" t="s">
        <v>198</v>
      </c>
      <c r="D11" s="4" t="s">
        <v>3</v>
      </c>
      <c r="E11" s="4">
        <v>2009</v>
      </c>
      <c r="F11" s="9">
        <f t="shared" si="0"/>
        <v>157.85001578500459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46.14</v>
      </c>
      <c r="M11" s="8" t="str">
        <f t="shared" si="5"/>
        <v>2025 Nationals</v>
      </c>
      <c r="N11" s="8">
        <f>IF(COUNT(AQ11,AT11,BR11,BU11,CS11,CV11)&gt;1,LARGE((AQ11,AT11,BR11,BU11,CS11,CV11),2),0)</f>
        <v>40.47</v>
      </c>
      <c r="O11" s="8" t="str">
        <f t="shared" si="6"/>
        <v>2025 Nationals</v>
      </c>
      <c r="P11" s="8">
        <f>IF(COUNT(AQ11,AT11,BR11,BU11,CS11,CV11)&gt;2,MAX(AX11,BY11,CZ11,LARGE((AQ11,AT11,BR11,BU11,CS11,CV11),3)),IF(MAX(AX11,BY11,CZ11)&gt;0,MAX(AX11,BY11,CZ11),0))</f>
        <v>47.669999999999995</v>
      </c>
      <c r="Q11" s="8" t="str">
        <f t="shared" si="7"/>
        <v>2025 Nationals</v>
      </c>
      <c r="R11" s="8">
        <f t="shared" si="8"/>
        <v>9.1999999999999993</v>
      </c>
      <c r="S11" s="8" t="str">
        <f t="shared" si="9"/>
        <v>2025 Nationals</v>
      </c>
      <c r="T11" s="8">
        <f t="shared" si="10"/>
        <v>14.37</v>
      </c>
      <c r="U11" s="8" t="str">
        <f t="shared" si="11"/>
        <v>2025 Nationals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 t="shared" si="15"/>
        <v/>
      </c>
      <c r="AP11" s="38" t="str">
        <f t="shared" si="16"/>
        <v/>
      </c>
      <c r="AQ11" s="40" t="str">
        <f t="shared" si="17"/>
        <v/>
      </c>
      <c r="AR11" s="40" t="str">
        <f t="shared" si="18"/>
        <v/>
      </c>
      <c r="AS11" s="40" t="str">
        <f t="shared" si="19"/>
        <v/>
      </c>
      <c r="AT11" s="40" t="str">
        <f t="shared" si="20"/>
        <v/>
      </c>
      <c r="AU11" s="40" t="str">
        <f t="shared" si="21"/>
        <v/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 t="str">
        <f t="shared" si="25"/>
        <v/>
      </c>
      <c r="AZ11" s="26">
        <v>16.8</v>
      </c>
      <c r="BA11" s="26">
        <v>9.3000000000000007</v>
      </c>
      <c r="BB11" s="26">
        <v>0</v>
      </c>
      <c r="BC11" s="26">
        <v>14.37</v>
      </c>
      <c r="BD11" s="26">
        <v>0</v>
      </c>
      <c r="BE11" s="26">
        <v>13.3</v>
      </c>
      <c r="BF11" s="26">
        <v>9.1999999999999993</v>
      </c>
      <c r="BG11" s="26">
        <v>9.1999999999999993</v>
      </c>
      <c r="BH11" s="26">
        <v>14.44</v>
      </c>
      <c r="BI11" s="26">
        <v>0</v>
      </c>
      <c r="BJ11" s="26">
        <v>14.9</v>
      </c>
      <c r="BK11" s="26">
        <v>9.1999999999999993</v>
      </c>
      <c r="BL11" s="26">
        <v>9.1999999999999993</v>
      </c>
      <c r="BM11" s="26">
        <v>14.37</v>
      </c>
      <c r="BN11" s="26">
        <v>0</v>
      </c>
      <c r="BO11" s="28"/>
      <c r="BP11" s="39" t="str">
        <f t="shared" si="26"/>
        <v/>
      </c>
      <c r="BQ11" s="39">
        <f t="shared" si="27"/>
        <v>14.37</v>
      </c>
      <c r="BR11" s="11">
        <f t="shared" si="28"/>
        <v>40.47</v>
      </c>
      <c r="BS11" s="11">
        <f t="shared" si="29"/>
        <v>9.1999999999999993</v>
      </c>
      <c r="BT11" s="11">
        <f t="shared" si="30"/>
        <v>14.44</v>
      </c>
      <c r="BU11" s="11">
        <f t="shared" si="31"/>
        <v>46.14</v>
      </c>
      <c r="BV11" s="11">
        <f t="shared" si="32"/>
        <v>46.14</v>
      </c>
      <c r="BW11" s="11">
        <f t="shared" si="33"/>
        <v>9.1999999999999993</v>
      </c>
      <c r="BX11" s="11">
        <f t="shared" si="34"/>
        <v>14.37</v>
      </c>
      <c r="BY11" s="11">
        <f t="shared" si="35"/>
        <v>47.669999999999995</v>
      </c>
      <c r="BZ11" s="11">
        <f t="shared" si="36"/>
        <v>93.81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8.4</v>
      </c>
      <c r="SW11" s="22">
        <f t="shared" si="219"/>
        <v>4.6500000000000004</v>
      </c>
      <c r="SX11" s="22">
        <f t="shared" si="220"/>
        <v>0</v>
      </c>
      <c r="SY11" s="22">
        <f t="shared" si="221"/>
        <v>7.1849999999999996</v>
      </c>
      <c r="SZ11" s="22">
        <f t="shared" si="222"/>
        <v>0</v>
      </c>
      <c r="TA11" s="22">
        <f t="shared" si="223"/>
        <v>6.65</v>
      </c>
      <c r="TB11" s="22">
        <f t="shared" si="224"/>
        <v>4.5999999999999996</v>
      </c>
      <c r="TC11" s="22">
        <f t="shared" si="225"/>
        <v>4.5999999999999996</v>
      </c>
      <c r="TD11" s="22">
        <f t="shared" si="226"/>
        <v>7.22</v>
      </c>
      <c r="TE11" s="22">
        <f t="shared" si="227"/>
        <v>0</v>
      </c>
      <c r="TF11" s="22">
        <f t="shared" si="228"/>
        <v>7.45</v>
      </c>
      <c r="TG11" s="22">
        <f t="shared" si="229"/>
        <v>4.5999999999999996</v>
      </c>
      <c r="TH11" s="22">
        <f t="shared" si="230"/>
        <v>4.5999999999999996</v>
      </c>
      <c r="TI11" s="22">
        <f t="shared" si="231"/>
        <v>7.1849999999999996</v>
      </c>
      <c r="TJ11" s="22">
        <f t="shared" si="232"/>
        <v>0</v>
      </c>
      <c r="TK11" s="27" t="s">
        <v>46</v>
      </c>
      <c r="TL11" s="40" t="str">
        <f t="shared" si="233"/>
        <v/>
      </c>
      <c r="TM11" s="40">
        <f t="shared" si="234"/>
        <v>7.1849999999999996</v>
      </c>
      <c r="TN11" s="40">
        <f t="shared" si="235"/>
        <v>20.234999999999999</v>
      </c>
      <c r="TO11" s="40">
        <f t="shared" si="236"/>
        <v>4.5999999999999996</v>
      </c>
      <c r="TP11" s="40">
        <f t="shared" si="237"/>
        <v>7.22</v>
      </c>
      <c r="TQ11" s="40">
        <f t="shared" si="238"/>
        <v>23.07</v>
      </c>
      <c r="TR11" s="40">
        <f t="shared" si="239"/>
        <v>23.07</v>
      </c>
      <c r="TS11" s="40">
        <f t="shared" si="240"/>
        <v>4.5999999999999996</v>
      </c>
      <c r="TT11" s="40">
        <f t="shared" si="241"/>
        <v>7.1849999999999996</v>
      </c>
      <c r="TU11" s="40">
        <f t="shared" si="242"/>
        <v>23.834999999999997</v>
      </c>
      <c r="TV11" s="40">
        <f t="shared" si="243"/>
        <v>46.905000000000001</v>
      </c>
    </row>
    <row r="12" spans="1:542" x14ac:dyDescent="0.2">
      <c r="A12" s="4" t="str" cm="1">
        <f t="array" ref="A12">IF(AND(J12&lt;&gt;"",J12&lt;&gt;"No DD"),SUMPRODUCT((J$4:J$14&lt;&gt;"")*(J$4:J$14&lt;&gt;"No DD")*(F$4:F$14&gt;F12))+1,IF(J12="No DD",SUMPRODUCT((J$4:J$14="No DD")*(F$4:F$14&gt;F12))+1+SUMPRODUCT((J$4:J$14&lt;&gt;"")*(J$4:J$14&lt;&gt;"No DD")),""))</f>
        <v/>
      </c>
      <c r="B12" s="4" t="str" cm="1">
        <f t="array" ref="B12">IF(AND(J12&lt;&gt;"",J12&lt;&gt;"No DD",G12=""),SUMPRODUCT((J$4:J$14&lt;&gt;"")*(J$4:J$14&lt;&gt;"No DD")*(G$4:G$14="")*(F$4:F$14&gt;F12))+1,IF(J12="No DD",SUMPRODUCT((J$4:J$14="No DD")*(F$4:F$14&gt;F12)*(G$4:G$14=""))+1+SUMPRODUCT((J$4:J$14&lt;&gt;"")*(G$4:G$14="")*(J$4:J$14&lt;&gt;"No DD")),""))</f>
        <v/>
      </c>
      <c r="C12" s="5" t="s">
        <v>196</v>
      </c>
      <c r="D12" s="4" t="s">
        <v>4</v>
      </c>
      <c r="E12" s="4">
        <v>2009</v>
      </c>
      <c r="F12" s="9">
        <f t="shared" si="0"/>
        <v>152.2800152280042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42</v>
      </c>
      <c r="M12" s="8" t="str">
        <f t="shared" si="5"/>
        <v>2025 Nationals</v>
      </c>
      <c r="N12" s="8">
        <f>IF(COUNT(AQ12,AT12,BR12,BU12,CS12,CV12)&gt;1,LARGE((AQ12,AT12,BR12,BU12,CS12,CV12),2),0)</f>
        <v>41.000000000000007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45.8</v>
      </c>
      <c r="Q12" s="8" t="str">
        <f t="shared" si="7"/>
        <v>2025 Nationals</v>
      </c>
      <c r="R12" s="8">
        <f t="shared" si="8"/>
        <v>9.6</v>
      </c>
      <c r="S12" s="8" t="str">
        <f t="shared" si="9"/>
        <v>2025 Nationals</v>
      </c>
      <c r="T12" s="8">
        <f t="shared" si="10"/>
        <v>13.88</v>
      </c>
      <c r="U12" s="8" t="str">
        <f t="shared" si="11"/>
        <v>2025 Nationals</v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15.1</v>
      </c>
      <c r="Z12" s="22">
        <v>9.1999999999999993</v>
      </c>
      <c r="AA12" s="22">
        <v>0</v>
      </c>
      <c r="AB12" s="22">
        <v>13.34</v>
      </c>
      <c r="AC12" s="22">
        <v>0</v>
      </c>
      <c r="AD12" s="22">
        <v>11.4</v>
      </c>
      <c r="AE12" s="22">
        <v>9.3000000000000007</v>
      </c>
      <c r="AF12" s="22">
        <v>8.3000000000000007</v>
      </c>
      <c r="AG12" s="22">
        <v>12.9</v>
      </c>
      <c r="AH12" s="22">
        <v>0.9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7"/>
      <c r="AO12" s="38" t="str">
        <f t="shared" si="15"/>
        <v/>
      </c>
      <c r="AP12" s="38">
        <f t="shared" si="16"/>
        <v>13.34</v>
      </c>
      <c r="AQ12" s="40">
        <f t="shared" si="17"/>
        <v>37.64</v>
      </c>
      <c r="AR12" s="40">
        <f t="shared" si="18"/>
        <v>8.3000000000000007</v>
      </c>
      <c r="AS12" s="40">
        <f t="shared" si="19"/>
        <v>12.9</v>
      </c>
      <c r="AT12" s="40">
        <f t="shared" si="20"/>
        <v>41.000000000000007</v>
      </c>
      <c r="AU12" s="40">
        <f t="shared" si="21"/>
        <v>41.000000000000007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41.000000000000007</v>
      </c>
      <c r="AZ12" s="26">
        <v>15.5</v>
      </c>
      <c r="BA12" s="26">
        <v>9.5</v>
      </c>
      <c r="BB12" s="26">
        <v>0</v>
      </c>
      <c r="BC12" s="26">
        <v>13.88</v>
      </c>
      <c r="BD12" s="26">
        <v>0</v>
      </c>
      <c r="BE12" s="26">
        <v>11.5</v>
      </c>
      <c r="BF12" s="26">
        <v>9</v>
      </c>
      <c r="BG12" s="26">
        <v>8.6999999999999993</v>
      </c>
      <c r="BH12" s="26">
        <v>13.3</v>
      </c>
      <c r="BI12" s="26">
        <v>0.5</v>
      </c>
      <c r="BJ12" s="26">
        <v>13.3</v>
      </c>
      <c r="BK12" s="26">
        <v>9.6</v>
      </c>
      <c r="BL12" s="26">
        <v>9.6</v>
      </c>
      <c r="BM12" s="26">
        <v>13.3</v>
      </c>
      <c r="BN12" s="26">
        <v>0</v>
      </c>
      <c r="BO12" s="28"/>
      <c r="BP12" s="39" t="str">
        <f t="shared" si="26"/>
        <v/>
      </c>
      <c r="BQ12" s="39">
        <f t="shared" si="27"/>
        <v>13.88</v>
      </c>
      <c r="BR12" s="11">
        <f t="shared" si="28"/>
        <v>38.880000000000003</v>
      </c>
      <c r="BS12" s="11">
        <f t="shared" si="29"/>
        <v>8.6999999999999993</v>
      </c>
      <c r="BT12" s="11">
        <f t="shared" si="30"/>
        <v>13.3</v>
      </c>
      <c r="BU12" s="11">
        <f t="shared" si="31"/>
        <v>42</v>
      </c>
      <c r="BV12" s="11">
        <f t="shared" si="32"/>
        <v>42</v>
      </c>
      <c r="BW12" s="11">
        <f t="shared" si="33"/>
        <v>9.6</v>
      </c>
      <c r="BX12" s="11">
        <f t="shared" si="34"/>
        <v>13.3</v>
      </c>
      <c r="BY12" s="11">
        <f t="shared" si="35"/>
        <v>45.8</v>
      </c>
      <c r="BZ12" s="11">
        <f t="shared" si="36"/>
        <v>87.8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7.75</v>
      </c>
      <c r="SW12" s="22">
        <f t="shared" si="219"/>
        <v>4.75</v>
      </c>
      <c r="SX12" s="22">
        <f t="shared" si="220"/>
        <v>0</v>
      </c>
      <c r="SY12" s="22">
        <f t="shared" si="221"/>
        <v>6.94</v>
      </c>
      <c r="SZ12" s="22">
        <f t="shared" si="222"/>
        <v>0</v>
      </c>
      <c r="TA12" s="22">
        <f t="shared" si="223"/>
        <v>5.75</v>
      </c>
      <c r="TB12" s="22">
        <f t="shared" si="224"/>
        <v>4.5</v>
      </c>
      <c r="TC12" s="22">
        <f t="shared" si="225"/>
        <v>4.3499999999999996</v>
      </c>
      <c r="TD12" s="22">
        <f t="shared" si="226"/>
        <v>6.65</v>
      </c>
      <c r="TE12" s="22">
        <f t="shared" si="227"/>
        <v>0.25</v>
      </c>
      <c r="TF12" s="22">
        <f t="shared" si="228"/>
        <v>6.65</v>
      </c>
      <c r="TG12" s="22">
        <f t="shared" si="229"/>
        <v>4.8</v>
      </c>
      <c r="TH12" s="22">
        <f t="shared" si="230"/>
        <v>4.8</v>
      </c>
      <c r="TI12" s="22">
        <f t="shared" si="231"/>
        <v>6.65</v>
      </c>
      <c r="TJ12" s="22">
        <f t="shared" si="232"/>
        <v>0</v>
      </c>
      <c r="TK12" s="27" t="s">
        <v>46</v>
      </c>
      <c r="TL12" s="40" t="str">
        <f t="shared" si="233"/>
        <v/>
      </c>
      <c r="TM12" s="40">
        <f t="shared" si="234"/>
        <v>6.94</v>
      </c>
      <c r="TN12" s="40">
        <f t="shared" si="235"/>
        <v>19.440000000000001</v>
      </c>
      <c r="TO12" s="40">
        <f t="shared" si="236"/>
        <v>4.3499999999999996</v>
      </c>
      <c r="TP12" s="40">
        <f t="shared" si="237"/>
        <v>6.65</v>
      </c>
      <c r="TQ12" s="40">
        <f t="shared" si="238"/>
        <v>21</v>
      </c>
      <c r="TR12" s="40">
        <f t="shared" si="239"/>
        <v>21</v>
      </c>
      <c r="TS12" s="40">
        <f t="shared" si="240"/>
        <v>4.8</v>
      </c>
      <c r="TT12" s="40">
        <f t="shared" si="241"/>
        <v>6.65</v>
      </c>
      <c r="TU12" s="40">
        <f t="shared" si="242"/>
        <v>22.9</v>
      </c>
      <c r="TV12" s="40">
        <f t="shared" si="243"/>
        <v>43.9</v>
      </c>
    </row>
    <row r="13" spans="1:542" x14ac:dyDescent="0.2">
      <c r="A13" s="4" t="str" cm="1">
        <f t="array" ref="A13">IF(AND(J13&lt;&gt;"",J13&lt;&gt;"No DD"),SUMPRODUCT((J$4:J$14&lt;&gt;"")*(J$4:J$14&lt;&gt;"No DD")*(F$4:F$14&gt;F13))+1,IF(J13="No DD",SUMPRODUCT((J$4:J$14="No DD")*(F$4:F$14&gt;F13))+1+SUMPRODUCT((J$4:J$14&lt;&gt;"")*(J$4:J$14&lt;&gt;"No DD")),""))</f>
        <v/>
      </c>
      <c r="B13" s="4" t="str" cm="1">
        <f t="array" ref="B13">IF(AND(J13&lt;&gt;"",J13&lt;&gt;"No DD",G13=""),SUMPRODUCT((J$4:J$14&lt;&gt;"")*(J$4:J$14&lt;&gt;"No DD")*(G$4:G$14="")*(F$4:F$14&gt;F13))+1,IF(J13="No DD",SUMPRODUCT((J$4:J$14="No DD")*(F$4:F$14&gt;F13)*(G$4:G$14=""))+1+SUMPRODUCT((J$4:J$14&lt;&gt;"")*(G$4:G$14="")*(J$4:J$14&lt;&gt;"No DD")),""))</f>
        <v/>
      </c>
      <c r="C13" s="5" t="s">
        <v>197</v>
      </c>
      <c r="D13" s="4" t="s">
        <v>3</v>
      </c>
      <c r="E13" s="4">
        <v>2009</v>
      </c>
      <c r="F13" s="9">
        <f t="shared" si="0"/>
        <v>152.10001521000439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44.169999999999995</v>
      </c>
      <c r="M13" s="8" t="str">
        <f t="shared" si="5"/>
        <v>2025 Elite Canada</v>
      </c>
      <c r="N13" s="8">
        <f>IF(COUNT(AQ13,AT13,BR13,BU13,CS13,CV13)&gt;1,LARGE((AQ13,AT13,BR13,BU13,CS13,CV13),2),0)</f>
        <v>39.35</v>
      </c>
      <c r="O13" s="8" t="str">
        <f t="shared" si="6"/>
        <v>2025 Elite Canada</v>
      </c>
      <c r="P13" s="8">
        <f>IF(COUNT(AQ13,AT13,BR13,BU13,CS13,CV13)&gt;2,MAX(AX13,BY13,CZ13,LARGE((AQ13,AT13,BR13,BU13,CS13,CV13),3)),IF(MAX(AX13,BY13,CZ13)&gt;0,MAX(AX13,BY13,CZ13),0))</f>
        <v>46.029999999999994</v>
      </c>
      <c r="Q13" s="8" t="str">
        <f t="shared" si="7"/>
        <v>2025 Elite Canada</v>
      </c>
      <c r="R13" s="8">
        <f t="shared" si="8"/>
        <v>9.3000000000000007</v>
      </c>
      <c r="S13" s="8" t="str">
        <f t="shared" si="9"/>
        <v>2025 Nationals</v>
      </c>
      <c r="T13" s="8">
        <f t="shared" si="10"/>
        <v>13.25</v>
      </c>
      <c r="U13" s="8" t="str">
        <f t="shared" si="11"/>
        <v>2025 Elite Canada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16.600000000000001</v>
      </c>
      <c r="Z13" s="22">
        <v>9.5</v>
      </c>
      <c r="AA13" s="22">
        <v>0</v>
      </c>
      <c r="AB13" s="22">
        <v>13.25</v>
      </c>
      <c r="AC13" s="22">
        <v>0</v>
      </c>
      <c r="AD13" s="22">
        <v>13.5</v>
      </c>
      <c r="AE13" s="22">
        <v>8.6999999999999993</v>
      </c>
      <c r="AF13" s="22">
        <v>9</v>
      </c>
      <c r="AG13" s="22">
        <v>13.17</v>
      </c>
      <c r="AH13" s="22">
        <v>0.2</v>
      </c>
      <c r="AI13" s="22">
        <v>15.3</v>
      </c>
      <c r="AJ13" s="22">
        <v>9</v>
      </c>
      <c r="AK13" s="22">
        <v>9</v>
      </c>
      <c r="AL13" s="22">
        <v>12.93</v>
      </c>
      <c r="AM13" s="22">
        <v>0.2</v>
      </c>
      <c r="AN13" s="27"/>
      <c r="AO13" s="38" t="str">
        <f t="shared" si="15"/>
        <v/>
      </c>
      <c r="AP13" s="38">
        <f t="shared" si="16"/>
        <v>13.25</v>
      </c>
      <c r="AQ13" s="40">
        <f t="shared" si="17"/>
        <v>39.35</v>
      </c>
      <c r="AR13" s="40">
        <f t="shared" si="18"/>
        <v>9</v>
      </c>
      <c r="AS13" s="40">
        <f t="shared" si="19"/>
        <v>13.17</v>
      </c>
      <c r="AT13" s="40">
        <f t="shared" si="20"/>
        <v>44.169999999999995</v>
      </c>
      <c r="AU13" s="40">
        <f t="shared" si="21"/>
        <v>44.169999999999995</v>
      </c>
      <c r="AV13" s="40">
        <f t="shared" si="22"/>
        <v>9</v>
      </c>
      <c r="AW13" s="40">
        <f t="shared" si="23"/>
        <v>12.93</v>
      </c>
      <c r="AX13" s="40">
        <f t="shared" si="24"/>
        <v>46.029999999999994</v>
      </c>
      <c r="AY13" s="40">
        <f t="shared" si="25"/>
        <v>90.199999999999989</v>
      </c>
      <c r="AZ13" s="26">
        <v>16.8</v>
      </c>
      <c r="BA13" s="26">
        <v>9.3000000000000007</v>
      </c>
      <c r="BB13" s="26">
        <v>0</v>
      </c>
      <c r="BC13" s="26">
        <v>13.19</v>
      </c>
      <c r="BD13" s="26">
        <v>0</v>
      </c>
      <c r="BE13" s="26">
        <v>4.0999999999999996</v>
      </c>
      <c r="BF13" s="26">
        <v>2.6</v>
      </c>
      <c r="BG13" s="26">
        <v>3.4</v>
      </c>
      <c r="BH13" s="26">
        <v>4.03</v>
      </c>
      <c r="BI13" s="26">
        <v>0</v>
      </c>
      <c r="BJ13" s="26">
        <v>11.8</v>
      </c>
      <c r="BK13" s="26">
        <v>9.1999999999999993</v>
      </c>
      <c r="BL13" s="26">
        <v>9.3000000000000007</v>
      </c>
      <c r="BM13" s="26">
        <v>12.66</v>
      </c>
      <c r="BN13" s="26">
        <v>0</v>
      </c>
      <c r="BO13" s="28"/>
      <c r="BP13" s="39" t="str">
        <f t="shared" si="26"/>
        <v/>
      </c>
      <c r="BQ13" s="39">
        <f t="shared" si="27"/>
        <v>13.19</v>
      </c>
      <c r="BR13" s="11">
        <f t="shared" si="28"/>
        <v>39.29</v>
      </c>
      <c r="BS13" s="11">
        <f t="shared" si="29"/>
        <v>3.4</v>
      </c>
      <c r="BT13" s="11">
        <f t="shared" si="30"/>
        <v>4.03</v>
      </c>
      <c r="BU13" s="11">
        <f t="shared" si="31"/>
        <v>14.129999999999999</v>
      </c>
      <c r="BV13" s="11">
        <f t="shared" si="32"/>
        <v>39.29</v>
      </c>
      <c r="BW13" s="11">
        <f t="shared" si="33"/>
        <v>9.3000000000000007</v>
      </c>
      <c r="BX13" s="11">
        <f t="shared" si="34"/>
        <v>12.66</v>
      </c>
      <c r="BY13" s="11">
        <f t="shared" si="35"/>
        <v>42.96</v>
      </c>
      <c r="BZ13" s="11">
        <f t="shared" si="36"/>
        <v>82.25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8.4</v>
      </c>
      <c r="SW13" s="22">
        <f t="shared" si="219"/>
        <v>4.6500000000000004</v>
      </c>
      <c r="SX13" s="22">
        <f t="shared" si="220"/>
        <v>0</v>
      </c>
      <c r="SY13" s="22">
        <f t="shared" si="221"/>
        <v>6.5949999999999998</v>
      </c>
      <c r="SZ13" s="22">
        <f t="shared" si="222"/>
        <v>0</v>
      </c>
      <c r="TA13" s="22">
        <f t="shared" si="223"/>
        <v>2.0499999999999998</v>
      </c>
      <c r="TB13" s="22">
        <f t="shared" si="224"/>
        <v>1.3</v>
      </c>
      <c r="TC13" s="22">
        <f t="shared" si="225"/>
        <v>1.7</v>
      </c>
      <c r="TD13" s="22">
        <f t="shared" si="226"/>
        <v>2.0150000000000001</v>
      </c>
      <c r="TE13" s="22">
        <f t="shared" si="227"/>
        <v>0</v>
      </c>
      <c r="TF13" s="22">
        <f t="shared" si="228"/>
        <v>5.9</v>
      </c>
      <c r="TG13" s="22">
        <f t="shared" si="229"/>
        <v>4.5999999999999996</v>
      </c>
      <c r="TH13" s="22">
        <f t="shared" si="230"/>
        <v>4.6500000000000004</v>
      </c>
      <c r="TI13" s="22">
        <f t="shared" si="231"/>
        <v>6.33</v>
      </c>
      <c r="TJ13" s="22">
        <f t="shared" si="232"/>
        <v>0</v>
      </c>
      <c r="TK13" s="27" t="s">
        <v>46</v>
      </c>
      <c r="TL13" s="40" t="str">
        <f t="shared" si="233"/>
        <v/>
      </c>
      <c r="TM13" s="40">
        <f t="shared" si="234"/>
        <v>6.5949999999999998</v>
      </c>
      <c r="TN13" s="40">
        <f t="shared" si="235"/>
        <v>19.645</v>
      </c>
      <c r="TO13" s="40">
        <f t="shared" si="236"/>
        <v>1.7</v>
      </c>
      <c r="TP13" s="40">
        <f t="shared" si="237"/>
        <v>2.0150000000000001</v>
      </c>
      <c r="TQ13" s="40">
        <f t="shared" si="238"/>
        <v>7.0649999999999995</v>
      </c>
      <c r="TR13" s="40">
        <f t="shared" si="239"/>
        <v>19.645</v>
      </c>
      <c r="TS13" s="40">
        <f t="shared" si="240"/>
        <v>4.6500000000000004</v>
      </c>
      <c r="TT13" s="40">
        <f t="shared" si="241"/>
        <v>6.33</v>
      </c>
      <c r="TU13" s="40">
        <f t="shared" si="242"/>
        <v>21.48</v>
      </c>
      <c r="TV13" s="40">
        <f t="shared" si="243"/>
        <v>41.125</v>
      </c>
    </row>
    <row r="14" spans="1:542" x14ac:dyDescent="0.2">
      <c r="C14" s="5"/>
      <c r="E14" s="1"/>
    </row>
    <row r="15" spans="1:542" x14ac:dyDescent="0.2">
      <c r="I15" s="36"/>
      <c r="K15" s="36"/>
    </row>
    <row r="16" spans="1:542" x14ac:dyDescent="0.2">
      <c r="C16" s="23" t="s">
        <v>44</v>
      </c>
      <c r="D16" s="5"/>
      <c r="I16" s="3"/>
      <c r="AR16" s="41"/>
      <c r="AS16" s="41"/>
      <c r="AT16" s="41"/>
      <c r="AV16" s="32"/>
      <c r="AW16" s="32"/>
      <c r="AY16" s="53">
        <v>12.7</v>
      </c>
      <c r="BS16" s="41"/>
      <c r="BT16" s="41"/>
      <c r="BU16" s="41"/>
      <c r="BW16" s="32"/>
      <c r="BX16" s="32"/>
      <c r="BZ16" s="53">
        <v>12.7</v>
      </c>
      <c r="CT16" s="41"/>
      <c r="CU16" s="41"/>
      <c r="CV16" s="41"/>
      <c r="CX16" s="32"/>
      <c r="CY16" s="32"/>
      <c r="DA16" s="53">
        <v>12.7</v>
      </c>
      <c r="DX16" s="5"/>
      <c r="DY16" s="5"/>
      <c r="EH16" s="2"/>
      <c r="EI16" s="2"/>
      <c r="EK16" s="53">
        <v>12.7</v>
      </c>
      <c r="FF16" s="5"/>
      <c r="FG16" s="5"/>
      <c r="FP16" s="2"/>
      <c r="FQ16" s="2"/>
      <c r="FS16" s="53">
        <v>12.7</v>
      </c>
      <c r="GN16" s="5"/>
      <c r="GO16" s="5"/>
      <c r="GX16" s="2"/>
      <c r="GY16" s="2"/>
      <c r="HA16" s="53">
        <v>12.7</v>
      </c>
      <c r="HV16" s="5"/>
      <c r="HW16" s="5"/>
      <c r="IF16" s="2"/>
      <c r="IG16" s="2"/>
      <c r="II16" s="53">
        <v>12.7</v>
      </c>
      <c r="JD16" s="5"/>
      <c r="JE16" s="5"/>
      <c r="JN16" s="2"/>
      <c r="JO16" s="2"/>
      <c r="JQ16" s="53">
        <v>12.7</v>
      </c>
      <c r="KL16" s="5"/>
      <c r="KM16" s="5"/>
      <c r="KV16" s="2"/>
      <c r="KW16" s="2"/>
      <c r="KY16" s="53">
        <v>12.7</v>
      </c>
      <c r="LT16" s="5"/>
      <c r="LU16" s="5"/>
      <c r="MD16" s="2"/>
      <c r="ME16" s="2"/>
      <c r="MG16" s="53">
        <v>12.7</v>
      </c>
      <c r="NB16" s="5"/>
      <c r="NC16" s="5"/>
      <c r="NL16" s="2"/>
      <c r="NM16" s="2"/>
      <c r="NO16" s="53">
        <v>12.7</v>
      </c>
      <c r="OJ16" s="5"/>
      <c r="OK16" s="5"/>
      <c r="OT16" s="2"/>
      <c r="OU16" s="2"/>
      <c r="OW16" s="53">
        <v>12.7</v>
      </c>
      <c r="PR16" s="5"/>
      <c r="PS16" s="5"/>
      <c r="QB16" s="2"/>
      <c r="QC16" s="2"/>
      <c r="QE16" s="53">
        <v>12.7</v>
      </c>
      <c r="QZ16" s="5"/>
      <c r="RA16" s="5"/>
      <c r="RJ16" s="2"/>
      <c r="RK16" s="2"/>
      <c r="RM16" s="53">
        <v>12.7</v>
      </c>
      <c r="SH16" s="5"/>
      <c r="SI16" s="5"/>
      <c r="SR16" s="2"/>
      <c r="SS16" s="2"/>
      <c r="SU16" s="53">
        <v>12.7</v>
      </c>
    </row>
    <row r="17" spans="1:544" hidden="1" x14ac:dyDescent="0.2">
      <c r="C17" s="30" t="s">
        <v>43</v>
      </c>
      <c r="D17" s="5"/>
      <c r="X17" s="2"/>
      <c r="AR17" s="41"/>
      <c r="AS17" s="41"/>
      <c r="AT17" s="41"/>
      <c r="AV17" s="32"/>
      <c r="AW17" s="32"/>
      <c r="AY17" s="54">
        <v>1000</v>
      </c>
      <c r="BS17" s="41"/>
      <c r="BT17" s="41"/>
      <c r="BU17" s="41"/>
      <c r="BW17" s="32"/>
      <c r="BX17" s="32"/>
      <c r="BZ17" s="54">
        <v>1000</v>
      </c>
      <c r="CT17" s="41"/>
      <c r="CU17" s="41"/>
      <c r="CV17" s="41"/>
      <c r="CX17" s="32"/>
      <c r="CY17" s="32"/>
      <c r="DA17" s="54">
        <v>1000</v>
      </c>
      <c r="DX17" s="5"/>
      <c r="DY17" s="5"/>
      <c r="EH17" s="2"/>
      <c r="EI17" s="2"/>
      <c r="EK17" s="54">
        <v>1000</v>
      </c>
      <c r="FF17" s="5"/>
      <c r="FG17" s="5"/>
      <c r="FP17" s="2"/>
      <c r="FQ17" s="2"/>
      <c r="FS17" s="54">
        <v>1000</v>
      </c>
      <c r="GN17" s="5"/>
      <c r="GO17" s="5"/>
      <c r="GX17" s="2"/>
      <c r="GY17" s="2"/>
      <c r="HA17" s="54">
        <v>1000</v>
      </c>
      <c r="HV17" s="5"/>
      <c r="HW17" s="5"/>
      <c r="IF17" s="2"/>
      <c r="IG17" s="2"/>
      <c r="II17" s="54">
        <v>1000</v>
      </c>
      <c r="JD17" s="5"/>
      <c r="JE17" s="5"/>
      <c r="JN17" s="2"/>
      <c r="JO17" s="2"/>
      <c r="JQ17" s="54">
        <v>1000</v>
      </c>
      <c r="KL17" s="5"/>
      <c r="KM17" s="5"/>
      <c r="KV17" s="2"/>
      <c r="KW17" s="2"/>
      <c r="KY17" s="54">
        <v>1000</v>
      </c>
      <c r="LT17" s="5"/>
      <c r="LU17" s="5"/>
      <c r="MD17" s="2"/>
      <c r="ME17" s="2"/>
      <c r="MG17" s="54">
        <v>1000</v>
      </c>
      <c r="NB17" s="5"/>
      <c r="NC17" s="5"/>
      <c r="NL17" s="2"/>
      <c r="NM17" s="2"/>
      <c r="NO17" s="54">
        <v>1000</v>
      </c>
      <c r="OJ17" s="5"/>
      <c r="OK17" s="5"/>
      <c r="OT17" s="2"/>
      <c r="OU17" s="2"/>
      <c r="OW17" s="54">
        <v>1000</v>
      </c>
      <c r="PR17" s="5"/>
      <c r="PS17" s="5"/>
      <c r="QB17" s="2"/>
      <c r="QC17" s="2"/>
      <c r="QE17" s="54">
        <v>1000</v>
      </c>
      <c r="QZ17" s="5"/>
      <c r="RA17" s="5"/>
      <c r="RJ17" s="2"/>
      <c r="RK17" s="2"/>
      <c r="RM17" s="54">
        <v>1000</v>
      </c>
      <c r="SH17" s="5"/>
      <c r="SI17" s="5"/>
      <c r="SR17" s="2"/>
      <c r="SS17" s="2"/>
      <c r="SU17" s="54">
        <v>1000</v>
      </c>
    </row>
    <row r="18" spans="1:544" hidden="1" x14ac:dyDescent="0.2">
      <c r="A18" s="5"/>
      <c r="B18" s="5"/>
      <c r="C18" s="31" t="s">
        <v>55</v>
      </c>
      <c r="D18" s="5"/>
      <c r="F18" s="2"/>
      <c r="G18" s="64"/>
      <c r="AR18" s="41"/>
      <c r="AS18" s="41"/>
      <c r="AT18" s="41"/>
      <c r="AU18" s="32"/>
      <c r="AV18" s="32"/>
      <c r="AW18" s="32"/>
      <c r="AX18" s="32"/>
      <c r="AY18" s="55">
        <v>1000</v>
      </c>
      <c r="BS18" s="41"/>
      <c r="BT18" s="41"/>
      <c r="BU18" s="41"/>
      <c r="BW18" s="32"/>
      <c r="BX18" s="32"/>
      <c r="BZ18" s="55">
        <v>1000</v>
      </c>
      <c r="CT18" s="41"/>
      <c r="CU18" s="41"/>
      <c r="CV18" s="41"/>
      <c r="CW18" s="32"/>
      <c r="CX18" s="32"/>
      <c r="CY18" s="32"/>
      <c r="CZ18" s="32"/>
      <c r="DA18" s="55">
        <v>1000</v>
      </c>
      <c r="DX18" s="5"/>
      <c r="DY18" s="5"/>
      <c r="EH18" s="2"/>
      <c r="EI18" s="2"/>
      <c r="EK18" s="55">
        <v>1000</v>
      </c>
      <c r="FF18" s="5"/>
      <c r="FG18" s="5"/>
      <c r="FP18" s="2"/>
      <c r="FQ18" s="2"/>
      <c r="FS18" s="55">
        <v>1000</v>
      </c>
      <c r="GN18" s="5"/>
      <c r="GO18" s="5"/>
      <c r="GX18" s="2"/>
      <c r="GY18" s="2"/>
      <c r="HA18" s="55">
        <v>1000</v>
      </c>
      <c r="HV18" s="5"/>
      <c r="HW18" s="5"/>
      <c r="IF18" s="2"/>
      <c r="IG18" s="2"/>
      <c r="II18" s="55">
        <v>1000</v>
      </c>
      <c r="JD18" s="5"/>
      <c r="JE18" s="5"/>
      <c r="JN18" s="2"/>
      <c r="JO18" s="2"/>
      <c r="JQ18" s="55">
        <v>1000</v>
      </c>
      <c r="KL18" s="5"/>
      <c r="KM18" s="5"/>
      <c r="KV18" s="2"/>
      <c r="KW18" s="2"/>
      <c r="KY18" s="55">
        <v>1000</v>
      </c>
      <c r="LT18" s="5"/>
      <c r="LU18" s="5"/>
      <c r="MD18" s="2"/>
      <c r="ME18" s="2"/>
      <c r="MG18" s="55">
        <v>1000</v>
      </c>
      <c r="NB18" s="5"/>
      <c r="NC18" s="5"/>
      <c r="NL18" s="2"/>
      <c r="NM18" s="2"/>
      <c r="NO18" s="55">
        <v>1000</v>
      </c>
      <c r="OJ18" s="5"/>
      <c r="OK18" s="5"/>
      <c r="OT18" s="2"/>
      <c r="OU18" s="2"/>
      <c r="OW18" s="55">
        <v>1000</v>
      </c>
      <c r="PR18" s="5"/>
      <c r="PS18" s="5"/>
      <c r="QB18" s="2"/>
      <c r="QC18" s="2"/>
      <c r="QE18" s="55">
        <v>1000</v>
      </c>
      <c r="QZ18" s="5"/>
      <c r="RA18" s="5"/>
      <c r="RJ18" s="2"/>
      <c r="RK18" s="2"/>
      <c r="RM18" s="55">
        <v>1000</v>
      </c>
      <c r="SH18" s="5"/>
      <c r="SI18" s="5"/>
      <c r="SR18" s="2"/>
      <c r="SS18" s="2"/>
      <c r="SU18" s="55">
        <v>1000</v>
      </c>
    </row>
    <row r="19" spans="1:544" hidden="1" x14ac:dyDescent="0.2">
      <c r="A19" s="5"/>
      <c r="B19" s="5"/>
      <c r="C19" s="35" t="s">
        <v>60</v>
      </c>
      <c r="D19" s="5"/>
      <c r="F19" s="2"/>
      <c r="G19" s="64"/>
      <c r="AR19" s="41"/>
      <c r="AS19" s="41"/>
      <c r="AT19" s="41"/>
      <c r="AU19" s="32"/>
      <c r="AV19" s="32"/>
      <c r="AW19" s="32"/>
      <c r="AX19" s="32"/>
      <c r="AY19" s="56">
        <v>1000</v>
      </c>
      <c r="BS19" s="41"/>
      <c r="BT19" s="41"/>
      <c r="BU19" s="41"/>
      <c r="BW19" s="32"/>
      <c r="BX19" s="32"/>
      <c r="BZ19" s="56">
        <v>1000</v>
      </c>
      <c r="CT19" s="41"/>
      <c r="CU19" s="41"/>
      <c r="CV19" s="41"/>
      <c r="CW19" s="32"/>
      <c r="CX19" s="32"/>
      <c r="CY19" s="32"/>
      <c r="CZ19" s="32"/>
      <c r="DA19" s="56">
        <v>1000</v>
      </c>
      <c r="DX19" s="5"/>
      <c r="DY19" s="5"/>
      <c r="EH19" s="2"/>
      <c r="EI19" s="2"/>
      <c r="EK19" s="56">
        <v>1000</v>
      </c>
      <c r="FF19" s="5"/>
      <c r="FG19" s="5"/>
      <c r="FP19" s="2"/>
      <c r="FQ19" s="2"/>
      <c r="FS19" s="56">
        <v>1000</v>
      </c>
      <c r="GN19" s="5"/>
      <c r="GO19" s="5"/>
      <c r="GX19" s="2"/>
      <c r="GY19" s="2"/>
      <c r="HA19" s="56">
        <v>1000</v>
      </c>
      <c r="HV19" s="5"/>
      <c r="HW19" s="5"/>
      <c r="IF19" s="2"/>
      <c r="IG19" s="2"/>
      <c r="II19" s="56">
        <v>1000</v>
      </c>
      <c r="JD19" s="5"/>
      <c r="JE19" s="5"/>
      <c r="JN19" s="2"/>
      <c r="JO19" s="2"/>
      <c r="JQ19" s="56">
        <v>1000</v>
      </c>
      <c r="KL19" s="5"/>
      <c r="KM19" s="5"/>
      <c r="KV19" s="2"/>
      <c r="KW19" s="2"/>
      <c r="KY19" s="56">
        <v>1000</v>
      </c>
      <c r="LT19" s="5"/>
      <c r="LU19" s="5"/>
      <c r="MD19" s="2"/>
      <c r="ME19" s="2"/>
      <c r="MG19" s="56">
        <v>1000</v>
      </c>
      <c r="NB19" s="5"/>
      <c r="NC19" s="5"/>
      <c r="NL19" s="2"/>
      <c r="NM19" s="2"/>
      <c r="NO19" s="56">
        <v>1000</v>
      </c>
      <c r="OJ19" s="5"/>
      <c r="OK19" s="5"/>
      <c r="OT19" s="2"/>
      <c r="OU19" s="2"/>
      <c r="OW19" s="56">
        <v>1000</v>
      </c>
      <c r="PR19" s="5"/>
      <c r="PS19" s="5"/>
      <c r="QB19" s="2"/>
      <c r="QC19" s="2"/>
      <c r="QE19" s="56">
        <v>1000</v>
      </c>
      <c r="QZ19" s="5"/>
      <c r="RA19" s="5"/>
      <c r="RJ19" s="2"/>
      <c r="RK19" s="2"/>
      <c r="RM19" s="56">
        <v>1000</v>
      </c>
      <c r="SH19" s="5"/>
      <c r="SI19" s="5"/>
      <c r="SR19" s="2"/>
      <c r="SS19" s="2"/>
      <c r="SU19" s="56">
        <v>1000</v>
      </c>
    </row>
    <row r="20" spans="1:544" x14ac:dyDescent="0.2">
      <c r="A20" s="5"/>
      <c r="B20" s="5"/>
      <c r="C20" s="34" t="s">
        <v>41</v>
      </c>
      <c r="D20" s="5"/>
      <c r="AR20" s="41"/>
      <c r="AS20" s="41"/>
      <c r="AT20" s="41"/>
      <c r="AU20" s="32"/>
      <c r="AV20" s="32"/>
      <c r="AW20" s="32"/>
      <c r="AX20" s="32"/>
      <c r="AY20" s="57">
        <v>50</v>
      </c>
      <c r="BS20" s="41"/>
      <c r="BT20" s="41"/>
      <c r="BU20" s="41"/>
      <c r="BW20" s="32"/>
      <c r="BX20" s="32"/>
      <c r="BZ20" s="57">
        <v>50</v>
      </c>
      <c r="CT20" s="41"/>
      <c r="CU20" s="41"/>
      <c r="CV20" s="41"/>
      <c r="CW20" s="32"/>
      <c r="CX20" s="32"/>
      <c r="CY20" s="32"/>
      <c r="CZ20" s="32"/>
      <c r="DA20" s="57">
        <v>50</v>
      </c>
      <c r="DX20" s="5"/>
      <c r="DY20" s="5"/>
      <c r="EH20" s="2"/>
      <c r="EI20" s="2"/>
      <c r="EK20" s="57">
        <v>50</v>
      </c>
      <c r="FF20" s="5"/>
      <c r="FG20" s="5"/>
      <c r="FP20" s="2"/>
      <c r="FQ20" s="2"/>
      <c r="FS20" s="57">
        <v>50</v>
      </c>
      <c r="GN20" s="5"/>
      <c r="GO20" s="5"/>
      <c r="GX20" s="2"/>
      <c r="GY20" s="2"/>
      <c r="HA20" s="57">
        <v>50</v>
      </c>
      <c r="HV20" s="5"/>
      <c r="HW20" s="5"/>
      <c r="IF20" s="2"/>
      <c r="IG20" s="2"/>
      <c r="II20" s="57">
        <v>50</v>
      </c>
      <c r="JD20" s="5"/>
      <c r="JE20" s="5"/>
      <c r="JN20" s="2"/>
      <c r="JO20" s="2"/>
      <c r="JQ20" s="57">
        <v>50</v>
      </c>
      <c r="KL20" s="5"/>
      <c r="KM20" s="5"/>
      <c r="KV20" s="2"/>
      <c r="KW20" s="2"/>
      <c r="KY20" s="57">
        <v>50</v>
      </c>
      <c r="LT20" s="5"/>
      <c r="LU20" s="5"/>
      <c r="MD20" s="2"/>
      <c r="ME20" s="2"/>
      <c r="MG20" s="57">
        <v>50</v>
      </c>
      <c r="NB20" s="5"/>
      <c r="NC20" s="5"/>
      <c r="NL20" s="2"/>
      <c r="NM20" s="2"/>
      <c r="NO20" s="57">
        <v>50</v>
      </c>
      <c r="OJ20" s="5"/>
      <c r="OK20" s="5"/>
      <c r="OT20" s="2"/>
      <c r="OU20" s="2"/>
      <c r="OW20" s="57">
        <v>50</v>
      </c>
      <c r="PR20" s="5"/>
      <c r="PS20" s="5"/>
      <c r="QB20" s="2"/>
      <c r="QC20" s="2"/>
      <c r="QE20" s="57">
        <v>50</v>
      </c>
      <c r="QZ20" s="5"/>
      <c r="RA20" s="5"/>
      <c r="RJ20" s="2"/>
      <c r="RK20" s="2"/>
      <c r="RM20" s="57">
        <v>50</v>
      </c>
      <c r="SH20" s="5"/>
      <c r="SI20" s="5"/>
      <c r="SR20" s="2"/>
      <c r="SS20" s="2"/>
      <c r="SU20" s="57">
        <v>50</v>
      </c>
    </row>
    <row r="21" spans="1:544" hidden="1" x14ac:dyDescent="0.2">
      <c r="A21" s="5"/>
      <c r="B21" s="5"/>
      <c r="C21" s="24" t="s">
        <v>42</v>
      </c>
      <c r="D21" s="5"/>
      <c r="AR21" s="41"/>
      <c r="AS21" s="41"/>
      <c r="AT21" s="41"/>
      <c r="AU21" s="32"/>
      <c r="AV21" s="32"/>
      <c r="AW21" s="32"/>
      <c r="AX21" s="32"/>
      <c r="AY21" s="58">
        <v>1000</v>
      </c>
      <c r="BS21" s="41"/>
      <c r="BT21" s="41"/>
      <c r="BU21" s="41"/>
      <c r="BW21" s="32"/>
      <c r="BX21" s="32"/>
      <c r="BZ21" s="58">
        <v>1000</v>
      </c>
      <c r="CT21" s="41"/>
      <c r="CU21" s="41"/>
      <c r="CV21" s="41"/>
      <c r="CW21" s="32"/>
      <c r="CX21" s="32"/>
      <c r="CY21" s="32"/>
      <c r="CZ21" s="32"/>
      <c r="DA21" s="58">
        <v>1000</v>
      </c>
      <c r="DX21" s="5"/>
      <c r="DY21" s="5"/>
      <c r="EH21" s="2"/>
      <c r="EI21" s="2"/>
      <c r="EK21" s="58">
        <v>1000</v>
      </c>
      <c r="FF21" s="5"/>
      <c r="FG21" s="5"/>
      <c r="FP21" s="2"/>
      <c r="FQ21" s="2"/>
      <c r="FS21" s="58">
        <v>1000</v>
      </c>
      <c r="GN21" s="5"/>
      <c r="GO21" s="5"/>
      <c r="GX21" s="2"/>
      <c r="GY21" s="2"/>
      <c r="HA21" s="58">
        <v>1000</v>
      </c>
      <c r="HV21" s="5"/>
      <c r="HW21" s="5"/>
      <c r="IF21" s="2"/>
      <c r="IG21" s="2"/>
      <c r="II21" s="58">
        <v>1000</v>
      </c>
      <c r="JD21" s="5"/>
      <c r="JE21" s="5"/>
      <c r="JN21" s="2"/>
      <c r="JO21" s="2"/>
      <c r="JQ21" s="58">
        <v>1000</v>
      </c>
      <c r="KL21" s="5"/>
      <c r="KM21" s="5"/>
      <c r="KV21" s="2"/>
      <c r="KW21" s="2"/>
      <c r="KY21" s="58">
        <v>1000</v>
      </c>
      <c r="LT21" s="5"/>
      <c r="LU21" s="5"/>
      <c r="MD21" s="2"/>
      <c r="ME21" s="2"/>
      <c r="MG21" s="58">
        <v>1000</v>
      </c>
      <c r="NB21" s="5"/>
      <c r="NC21" s="5"/>
      <c r="NL21" s="2"/>
      <c r="NM21" s="2"/>
      <c r="NO21" s="58">
        <v>1000</v>
      </c>
      <c r="OJ21" s="5"/>
      <c r="OK21" s="5"/>
      <c r="OT21" s="2"/>
      <c r="OU21" s="2"/>
      <c r="OW21" s="58">
        <v>1000</v>
      </c>
      <c r="PR21" s="5"/>
      <c r="PS21" s="5"/>
      <c r="QB21" s="2"/>
      <c r="QC21" s="2"/>
      <c r="QE21" s="58">
        <v>1000</v>
      </c>
      <c r="QZ21" s="5"/>
      <c r="RA21" s="5"/>
      <c r="RJ21" s="2"/>
      <c r="RK21" s="2"/>
      <c r="RM21" s="58">
        <v>1000</v>
      </c>
      <c r="SH21" s="5"/>
      <c r="SI21" s="5"/>
      <c r="SR21" s="2"/>
      <c r="SS21" s="2"/>
      <c r="SU21" s="58">
        <v>1000</v>
      </c>
    </row>
    <row r="22" spans="1:544" hidden="1" x14ac:dyDescent="0.2">
      <c r="A22" s="5"/>
      <c r="B22" s="5"/>
      <c r="C22" s="33" t="s">
        <v>54</v>
      </c>
      <c r="D22" s="5"/>
      <c r="AR22" s="41"/>
      <c r="AS22" s="41"/>
      <c r="AT22" s="41"/>
      <c r="AU22" s="32"/>
      <c r="AV22" s="32"/>
      <c r="AW22" s="32"/>
      <c r="AX22" s="32"/>
      <c r="AY22" s="59">
        <v>1000</v>
      </c>
      <c r="BS22" s="41"/>
      <c r="BT22" s="41"/>
      <c r="BU22" s="41"/>
      <c r="BW22" s="32"/>
      <c r="BX22" s="32"/>
      <c r="BZ22" s="59">
        <v>1000</v>
      </c>
      <c r="CT22" s="41"/>
      <c r="CU22" s="41"/>
      <c r="CV22" s="41"/>
      <c r="CW22" s="32"/>
      <c r="CX22" s="32"/>
      <c r="CY22" s="32"/>
      <c r="CZ22" s="32"/>
      <c r="DA22" s="59">
        <v>1000</v>
      </c>
      <c r="DX22" s="5"/>
      <c r="DY22" s="5"/>
      <c r="EH22" s="2"/>
      <c r="EI22" s="2"/>
      <c r="EJ22" s="37"/>
      <c r="EK22" s="59">
        <v>1000</v>
      </c>
      <c r="FF22" s="5"/>
      <c r="FG22" s="5"/>
      <c r="FP22" s="2"/>
      <c r="FQ22" s="2"/>
      <c r="FR22" s="37"/>
      <c r="FS22" s="59">
        <v>1000</v>
      </c>
      <c r="GN22" s="5"/>
      <c r="GO22" s="5"/>
      <c r="GX22" s="2"/>
      <c r="GY22" s="2"/>
      <c r="GZ22" s="37"/>
      <c r="HA22" s="59">
        <v>1000</v>
      </c>
      <c r="HV22" s="5"/>
      <c r="HW22" s="5"/>
      <c r="IF22" s="2"/>
      <c r="IG22" s="2"/>
      <c r="IH22" s="37"/>
      <c r="II22" s="59">
        <v>1000</v>
      </c>
      <c r="JD22" s="5"/>
      <c r="JE22" s="5"/>
      <c r="JN22" s="2"/>
      <c r="JO22" s="2"/>
      <c r="JP22" s="37"/>
      <c r="JQ22" s="59">
        <v>1000</v>
      </c>
      <c r="KL22" s="5"/>
      <c r="KM22" s="5"/>
      <c r="KV22" s="2"/>
      <c r="KW22" s="2"/>
      <c r="KX22" s="37"/>
      <c r="KY22" s="59">
        <v>1000</v>
      </c>
      <c r="LT22" s="5"/>
      <c r="LU22" s="5"/>
      <c r="MD22" s="2"/>
      <c r="ME22" s="2"/>
      <c r="MF22" s="37"/>
      <c r="MG22" s="59">
        <v>1000</v>
      </c>
      <c r="NB22" s="5"/>
      <c r="NC22" s="5"/>
      <c r="NL22" s="2"/>
      <c r="NM22" s="2"/>
      <c r="NN22" s="37"/>
      <c r="NO22" s="59">
        <v>1000</v>
      </c>
      <c r="OJ22" s="5"/>
      <c r="OK22" s="5"/>
      <c r="OT22" s="2"/>
      <c r="OU22" s="2"/>
      <c r="OV22" s="37"/>
      <c r="OW22" s="59">
        <v>1000</v>
      </c>
      <c r="PR22" s="5"/>
      <c r="PS22" s="5"/>
      <c r="QB22" s="2"/>
      <c r="QC22" s="2"/>
      <c r="QD22" s="37"/>
      <c r="QE22" s="59">
        <v>1000</v>
      </c>
      <c r="QZ22" s="5"/>
      <c r="RA22" s="5"/>
      <c r="RJ22" s="2"/>
      <c r="RK22" s="2"/>
      <c r="RL22" s="37"/>
      <c r="RM22" s="59">
        <v>1000</v>
      </c>
      <c r="SH22" s="5"/>
      <c r="SI22" s="5"/>
      <c r="SR22" s="2"/>
      <c r="SS22" s="2"/>
      <c r="ST22" s="37"/>
      <c r="SU22" s="59">
        <v>1000</v>
      </c>
    </row>
    <row r="23" spans="1:544" hidden="1" x14ac:dyDescent="0.2">
      <c r="A23" s="5"/>
      <c r="B23" s="5"/>
      <c r="C23" s="25" t="s">
        <v>27</v>
      </c>
      <c r="D23" s="5"/>
      <c r="AR23" s="41"/>
      <c r="AS23" s="41"/>
      <c r="AT23" s="41"/>
      <c r="AU23" s="32"/>
      <c r="AV23" s="41"/>
      <c r="AW23" s="41"/>
      <c r="AX23" s="32"/>
      <c r="AY23" s="60">
        <v>1000</v>
      </c>
      <c r="BS23" s="41"/>
      <c r="BT23" s="41"/>
      <c r="BU23" s="41"/>
      <c r="BW23" s="41"/>
      <c r="BX23" s="32"/>
      <c r="BZ23" s="60">
        <v>1000</v>
      </c>
      <c r="CT23" s="41"/>
      <c r="CU23" s="41"/>
      <c r="CV23" s="41"/>
      <c r="CW23" s="32"/>
      <c r="CX23" s="41"/>
      <c r="CY23" s="32"/>
      <c r="CZ23" s="32"/>
      <c r="DA23" s="60">
        <v>1000</v>
      </c>
      <c r="DX23" s="5"/>
      <c r="DY23" s="5"/>
      <c r="EH23" s="41"/>
      <c r="EI23" s="2"/>
      <c r="EK23" s="60">
        <v>1000</v>
      </c>
      <c r="FF23" s="5"/>
      <c r="FG23" s="5"/>
      <c r="FP23" s="41"/>
      <c r="FQ23" s="2"/>
      <c r="FS23" s="60">
        <v>1000</v>
      </c>
      <c r="GN23" s="5"/>
      <c r="GO23" s="5"/>
      <c r="GX23" s="2"/>
      <c r="GY23" s="2"/>
      <c r="HA23" s="60">
        <v>1000</v>
      </c>
      <c r="HV23" s="5"/>
      <c r="HW23" s="5"/>
      <c r="IF23" s="41"/>
      <c r="IG23" s="2"/>
      <c r="II23" s="60">
        <v>1000</v>
      </c>
      <c r="JD23" s="5"/>
      <c r="JE23" s="5"/>
      <c r="JN23" s="2"/>
      <c r="JO23" s="2"/>
      <c r="JQ23" s="60">
        <v>1000</v>
      </c>
      <c r="KL23" s="5"/>
      <c r="KM23" s="5"/>
      <c r="KV23" s="2"/>
      <c r="KW23" s="2"/>
      <c r="KY23" s="60">
        <v>1000</v>
      </c>
      <c r="LT23" s="5"/>
      <c r="LU23" s="5"/>
      <c r="MD23" s="2"/>
      <c r="ME23" s="2"/>
      <c r="MG23" s="60">
        <v>1000</v>
      </c>
      <c r="NB23" s="5"/>
      <c r="NC23" s="5"/>
      <c r="NL23" s="2"/>
      <c r="NM23" s="2"/>
      <c r="NO23" s="60">
        <v>1000</v>
      </c>
      <c r="OJ23" s="5"/>
      <c r="OK23" s="5"/>
      <c r="OT23" s="2"/>
      <c r="OU23" s="2"/>
      <c r="OW23" s="60">
        <v>1000</v>
      </c>
      <c r="PR23" s="5"/>
      <c r="PS23" s="5"/>
      <c r="QB23" s="2"/>
      <c r="QC23" s="2"/>
      <c r="QE23" s="60">
        <v>1000</v>
      </c>
      <c r="QZ23" s="5"/>
      <c r="RA23" s="5"/>
      <c r="RJ23" s="2"/>
      <c r="RK23" s="2"/>
      <c r="RM23" s="60">
        <v>1000</v>
      </c>
      <c r="SH23" s="5"/>
      <c r="SI23" s="5"/>
      <c r="SR23" s="2"/>
      <c r="SS23" s="2"/>
      <c r="SU23" s="60">
        <v>1000</v>
      </c>
    </row>
    <row r="24" spans="1:544" s="36" customFormat="1" x14ac:dyDescent="0.2">
      <c r="A24"/>
      <c r="B24"/>
      <c r="C24" s="29" t="s">
        <v>47</v>
      </c>
      <c r="D24" s="2"/>
      <c r="E24"/>
      <c r="F24"/>
      <c r="G24" s="65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U24" s="32"/>
      <c r="AX24" s="32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W24" s="32"/>
      <c r="CZ24" s="32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</row>
    <row r="25" spans="1:544" s="36" customFormat="1" x14ac:dyDescent="0.2">
      <c r="A25" s="5"/>
      <c r="B25" s="5"/>
      <c r="C25" s="5"/>
      <c r="D25" s="20"/>
      <c r="E25"/>
      <c r="F25"/>
      <c r="G25" s="6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Q25" s="32"/>
      <c r="AR25" s="32"/>
      <c r="AS25" s="32"/>
      <c r="AT25" s="32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S25" s="32"/>
      <c r="CT25" s="32"/>
      <c r="CU25" s="32"/>
      <c r="CV25" s="32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36" customFormat="1" ht="17" x14ac:dyDescent="0.2">
      <c r="A26" s="5"/>
      <c r="B26" s="5"/>
      <c r="C26" s="5"/>
      <c r="D26" s="20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0"/>
      <c r="W26" s="10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ht="17" x14ac:dyDescent="0.2">
      <c r="A27" s="5"/>
      <c r="B27" s="5"/>
      <c r="C27" s="5"/>
      <c r="D27" s="20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/>
      <c r="B28"/>
      <c r="C28"/>
      <c r="D28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/>
      <c r="B29"/>
      <c r="C29"/>
      <c r="D29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 s="10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ht="17" x14ac:dyDescent="0.2">
      <c r="V40" s="10"/>
      <c r="W40" s="10"/>
      <c r="X40" s="1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</sheetData>
  <sheetProtection sheet="1" formatCells="0" formatColumns="0" formatRows="0"/>
  <autoFilter ref="A1:TV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3">
      <sortCondition descending="1" ref="H1:H14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96" priority="37" operator="containsText" text="No DD">
      <formula>NOT(ISERROR(SEARCH("No DD",J1)))</formula>
    </cfRule>
    <cfRule type="containsText" dxfId="295" priority="38" operator="containsText" text="Merit">
      <formula>NOT(ISERROR(SEARCH("Merit",J1)))</formula>
    </cfRule>
    <cfRule type="containsText" dxfId="294" priority="39" operator="containsText" text="Excellence">
      <formula>NOT(ISERROR(SEARCH("Excellence",J1)))</formula>
    </cfRule>
    <cfRule type="containsText" dxfId="293" priority="40" operator="containsText" text="Worlds Team">
      <formula>NOT(ISERROR(SEARCH("Worlds Team",J1)))</formula>
    </cfRule>
    <cfRule type="containsText" dxfId="292" priority="41" operator="containsText" text="National Team">
      <formula>NOT(ISERROR(SEARCH("National Team",J1)))</formula>
    </cfRule>
  </conditionalFormatting>
  <conditionalFormatting sqref="A4:B1048576">
    <cfRule type="expression" dxfId="291" priority="1">
      <formula>AND($I4&lt;&gt;"",$H4="")</formula>
    </cfRule>
    <cfRule type="expression" dxfId="290" priority="42">
      <formula>IF(A4&gt;4,1,0)</formula>
    </cfRule>
  </conditionalFormatting>
  <conditionalFormatting sqref="Y4:AY13">
    <cfRule type="expression" dxfId="289" priority="23" stopIfTrue="1">
      <formula>IF($AN4&lt;&gt;"",1,0)</formula>
    </cfRule>
  </conditionalFormatting>
  <conditionalFormatting sqref="AZ4:BZ13">
    <cfRule type="expression" dxfId="288" priority="36" stopIfTrue="1">
      <formula>IF($BO4&lt;&gt;"",1,0)</formula>
    </cfRule>
  </conditionalFormatting>
  <conditionalFormatting sqref="CA4:DA13">
    <cfRule type="expression" dxfId="287" priority="35" stopIfTrue="1">
      <formula>IF($CP4&lt;&gt;"",1,0)</formula>
    </cfRule>
  </conditionalFormatting>
  <conditionalFormatting sqref="BW24:BW1048576 BP1:BP1048576 BS1:BS1048576 BW1:BW22">
    <cfRule type="cellIs" dxfId="286" priority="48" operator="between">
      <formula>$BZ$19</formula>
      <formula>1000</formula>
    </cfRule>
    <cfRule type="cellIs" dxfId="285" priority="49" operator="between">
      <formula>$BZ$18</formula>
      <formula>$BZ$19</formula>
    </cfRule>
    <cfRule type="cellIs" dxfId="284" priority="50" operator="between">
      <formula>$BZ$17</formula>
      <formula>$BZ$18</formula>
    </cfRule>
    <cfRule type="cellIs" dxfId="283" priority="51" operator="between">
      <formula>$BZ$16</formula>
      <formula>$BZ$17</formula>
    </cfRule>
  </conditionalFormatting>
  <conditionalFormatting sqref="CX24:CX1048576 CQ1:CQ1048576 CT1:CT1048576 CX1:CX22">
    <cfRule type="cellIs" dxfId="282" priority="44" operator="between">
      <formula>$DA$19</formula>
      <formula>1000</formula>
    </cfRule>
    <cfRule type="cellIs" dxfId="281" priority="45" operator="between">
      <formula>$DA$18</formula>
      <formula>$DA$19</formula>
    </cfRule>
    <cfRule type="cellIs" dxfId="280" priority="46" operator="between">
      <formula>$DA$17</formula>
      <formula>$DA$18</formula>
    </cfRule>
    <cfRule type="cellIs" dxfId="279" priority="47" operator="between">
      <formula>$DA$16</formula>
      <formula>$DA$17</formula>
    </cfRule>
  </conditionalFormatting>
  <conditionalFormatting sqref="EH24:EH1048576 DX1:DX1048576 EA1:EA1048576 EE1:EE1048576 EH1:EH22">
    <cfRule type="cellIs" dxfId="278" priority="55" operator="between">
      <formula>$EK$19</formula>
      <formula>1000</formula>
    </cfRule>
    <cfRule type="cellIs" dxfId="277" priority="56" operator="between">
      <formula>$EK$18</formula>
      <formula>$EK$19</formula>
    </cfRule>
    <cfRule type="cellIs" dxfId="276" priority="57" operator="between">
      <formula>$EK$17</formula>
      <formula>$EK$18</formula>
    </cfRule>
    <cfRule type="cellIs" dxfId="275" priority="58" operator="between">
      <formula>$EK$16</formula>
      <formula>$EK$17</formula>
    </cfRule>
  </conditionalFormatting>
  <conditionalFormatting sqref="FP24:FP1048576 FF1:FF1048576 FI1:FI1048576 FM1:FM1048576 FP1:FP22">
    <cfRule type="cellIs" dxfId="274" priority="31" operator="between">
      <formula>$FS$19</formula>
      <formula>1000</formula>
    </cfRule>
    <cfRule type="cellIs" dxfId="273" priority="32" operator="between">
      <formula>$FS$18</formula>
      <formula>$FS$19</formula>
    </cfRule>
    <cfRule type="cellIs" dxfId="272" priority="33" operator="between">
      <formula>$FS$17</formula>
      <formula>$FS$18</formula>
    </cfRule>
    <cfRule type="cellIs" dxfId="271" priority="34" operator="between">
      <formula>$FS$16</formula>
      <formula>$FS$17</formula>
    </cfRule>
  </conditionalFormatting>
  <conditionalFormatting sqref="IF24:IF1048576 HV1:HV1048576 HY1:HY1048576 IC1:IC1048576 IF1:IF22">
    <cfRule type="cellIs" dxfId="270" priority="27" operator="between">
      <formula>$II$19</formula>
      <formula>1000</formula>
    </cfRule>
    <cfRule type="cellIs" dxfId="269" priority="28" operator="between">
      <formula>$II$18</formula>
      <formula>$II$19</formula>
    </cfRule>
    <cfRule type="cellIs" dxfId="268" priority="29" operator="between">
      <formula>$II$17</formula>
      <formula>$II$18</formula>
    </cfRule>
    <cfRule type="cellIs" dxfId="267" priority="30" operator="between">
      <formula>$II$16</formula>
      <formula>$II$17</formula>
    </cfRule>
  </conditionalFormatting>
  <conditionalFormatting sqref="AW23 AO1:AO1048576 AR1:AR1048576 AV1:AV1048576">
    <cfRule type="cellIs" dxfId="266" priority="24" operator="between">
      <formula>$AY$19</formula>
      <formula>1000</formula>
    </cfRule>
    <cfRule type="cellIs" dxfId="265" priority="25" operator="between">
      <formula>$AY$18</formula>
      <formula>$AY$19</formula>
    </cfRule>
    <cfRule type="cellIs" dxfId="264" priority="26" operator="between">
      <formula>$AY$17</formula>
      <formula>$AY$18</formula>
    </cfRule>
    <cfRule type="cellIs" dxfId="263" priority="43" operator="between">
      <formula>$AY$16</formula>
      <formula>$AY$17</formula>
    </cfRule>
  </conditionalFormatting>
  <conditionalFormatting sqref="BW23">
    <cfRule type="cellIs" dxfId="262" priority="19" operator="between">
      <formula>$AY$19</formula>
      <formula>1000</formula>
    </cfRule>
    <cfRule type="cellIs" dxfId="261" priority="20" operator="between">
      <formula>$AY$18</formula>
      <formula>$AY$19</formula>
    </cfRule>
    <cfRule type="cellIs" dxfId="260" priority="21" operator="between">
      <formula>$AY$17</formula>
      <formula>$AY$18</formula>
    </cfRule>
    <cfRule type="cellIs" dxfId="259" priority="22" operator="between">
      <formula>$AY$16</formula>
      <formula>$AY$17</formula>
    </cfRule>
  </conditionalFormatting>
  <conditionalFormatting sqref="CX23">
    <cfRule type="cellIs" dxfId="258" priority="15" operator="between">
      <formula>$AY$19</formula>
      <formula>1000</formula>
    </cfRule>
    <cfRule type="cellIs" dxfId="257" priority="16" operator="between">
      <formula>$AY$18</formula>
      <formula>$AY$19</formula>
    </cfRule>
    <cfRule type="cellIs" dxfId="256" priority="17" operator="between">
      <formula>$AY$17</formula>
      <formula>$AY$18</formula>
    </cfRule>
    <cfRule type="cellIs" dxfId="255" priority="18" operator="between">
      <formula>$AY$16</formula>
      <formula>$AY$17</formula>
    </cfRule>
  </conditionalFormatting>
  <conditionalFormatting sqref="EH23">
    <cfRule type="cellIs" dxfId="254" priority="11" operator="between">
      <formula>$AY$19</formula>
      <formula>1000</formula>
    </cfRule>
    <cfRule type="cellIs" dxfId="253" priority="12" operator="between">
      <formula>$AY$18</formula>
      <formula>$AY$19</formula>
    </cfRule>
    <cfRule type="cellIs" dxfId="252" priority="13" operator="between">
      <formula>$AY$17</formula>
      <formula>$AY$18</formula>
    </cfRule>
    <cfRule type="cellIs" dxfId="251" priority="14" operator="between">
      <formula>$AY$16</formula>
      <formula>$AY$17</formula>
    </cfRule>
  </conditionalFormatting>
  <conditionalFormatting sqref="FP23">
    <cfRule type="cellIs" dxfId="250" priority="7" operator="between">
      <formula>$AY$19</formula>
      <formula>1000</formula>
    </cfRule>
    <cfRule type="cellIs" dxfId="249" priority="8" operator="between">
      <formula>$AY$18</formula>
      <formula>$AY$19</formula>
    </cfRule>
    <cfRule type="cellIs" dxfId="248" priority="9" operator="between">
      <formula>$AY$17</formula>
      <formula>$AY$18</formula>
    </cfRule>
    <cfRule type="cellIs" dxfId="247" priority="10" operator="between">
      <formula>$AY$16</formula>
      <formula>$AY$17</formula>
    </cfRule>
  </conditionalFormatting>
  <conditionalFormatting sqref="IF23">
    <cfRule type="cellIs" dxfId="246" priority="3" operator="between">
      <formula>$AY$19</formula>
      <formula>1000</formula>
    </cfRule>
    <cfRule type="cellIs" dxfId="245" priority="4" operator="between">
      <formula>$AY$18</formula>
      <formula>$AY$19</formula>
    </cfRule>
    <cfRule type="cellIs" dxfId="244" priority="5" operator="between">
      <formula>$AY$17</formula>
      <formula>$AY$18</formula>
    </cfRule>
    <cfRule type="cellIs" dxfId="243" priority="6" operator="between">
      <formula>$AY$16</formula>
      <formula>$AY$17</formula>
    </cfRule>
  </conditionalFormatting>
  <conditionalFormatting sqref="M1:M1048576 O1:O1048576 S1:S1048576 U1:U1048576 Q1:Q1048576">
    <cfRule type="expression" dxfId="242" priority="52">
      <formula>IF(M1=$CA$1,1,0)</formula>
    </cfRule>
    <cfRule type="expression" dxfId="241" priority="53" stopIfTrue="1">
      <formula>IF(M1=$AZ$1,1,0)</formula>
    </cfRule>
    <cfRule type="expression" dxfId="240" priority="54">
      <formula>IF(M1=$Y$1,1,0)</formula>
    </cfRule>
  </conditionalFormatting>
  <conditionalFormatting sqref="A1:B3">
    <cfRule type="expression" dxfId="239" priority="2">
      <formula>AND(I1&lt;&gt;"",H1="")</formula>
    </cfRule>
  </conditionalFormatting>
  <conditionalFormatting sqref="CV1:CV1048576 AT1:AT1048576">
    <cfRule type="cellIs" dxfId="238" priority="275398" operator="between">
      <formula>AY$23</formula>
      <formula>1000</formula>
    </cfRule>
    <cfRule type="cellIs" dxfId="237" priority="275399" operator="between">
      <formula>AY$22</formula>
      <formula>AY$23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36" priority="275410" operator="between">
      <formula>EK$23</formula>
      <formula>1000</formula>
    </cfRule>
    <cfRule type="cellIs" dxfId="235" priority="275411" operator="between">
      <formula>EK$22</formula>
      <formula>EK$23</formula>
    </cfRule>
  </conditionalFormatting>
  <conditionalFormatting sqref="AQ1:AQ1048576 AT1:AT1048576 AX1:AX1048576">
    <cfRule type="cellIs" dxfId="234" priority="275482" operator="between">
      <formula>$AY$23</formula>
      <formula>1000</formula>
    </cfRule>
    <cfRule type="cellIs" dxfId="233" priority="275483" operator="between">
      <formula>$AY$22</formula>
      <formula>$AY$23</formula>
    </cfRule>
    <cfRule type="cellIs" dxfId="232" priority="275484" operator="between">
      <formula>$AY$21</formula>
      <formula>$AY$22</formula>
    </cfRule>
    <cfRule type="cellIs" dxfId="231" priority="275485" operator="between">
      <formula>$AY$20</formula>
      <formula>$AY$21</formula>
    </cfRule>
  </conditionalFormatting>
  <conditionalFormatting sqref="BR1:BR1048576 BU1:BU1048576 BY1:BY1048576">
    <cfRule type="cellIs" dxfId="230" priority="275518" operator="between">
      <formula>$BZ$23</formula>
      <formula>1000</formula>
    </cfRule>
    <cfRule type="cellIs" dxfId="229" priority="275519" operator="between">
      <formula>$BZ$22</formula>
      <formula>$BZ$23</formula>
    </cfRule>
    <cfRule type="cellIs" dxfId="228" priority="275520" operator="between">
      <formula>$BZ$21</formula>
      <formula>$BZ$22</formula>
    </cfRule>
    <cfRule type="cellIs" dxfId="227" priority="275521" operator="between">
      <formula>$BZ$20</formula>
      <formula>$BZ$21</formula>
    </cfRule>
  </conditionalFormatting>
  <conditionalFormatting sqref="CS1:CS1048576 CV1:CV1048576 CZ1:CZ1048576">
    <cfRule type="cellIs" dxfId="226" priority="275554" operator="between">
      <formula>$DA$23</formula>
      <formula>1000</formula>
    </cfRule>
    <cfRule type="cellIs" dxfId="225" priority="275555" operator="between">
      <formula>$DA$22</formula>
      <formula>$DA$23</formula>
    </cfRule>
    <cfRule type="cellIs" dxfId="224" priority="275556" operator="between">
      <formula>$DA$21</formula>
      <formula>$DA$22</formula>
    </cfRule>
    <cfRule type="cellIs" dxfId="223" priority="275557" operator="between">
      <formula>$DA$20</formula>
      <formula>$DA$21</formula>
    </cfRule>
  </conditionalFormatting>
  <conditionalFormatting sqref="NB1:NB1048576 NE1:NE1048576 NI1:NI1048576 NL1:NL1048576">
    <cfRule type="cellIs" dxfId="222" priority="275590" operator="between">
      <formula>$NO$16</formula>
      <formula>$NO$17</formula>
    </cfRule>
  </conditionalFormatting>
  <conditionalFormatting sqref="DZ1:DZ1048576 EC1:EC1048576 EG1:EG1048576 EJ1:EJ1048576">
    <cfRule type="cellIs" dxfId="221" priority="275602" operator="between">
      <formula>$EK$23</formula>
      <formula>1000</formula>
    </cfRule>
    <cfRule type="cellIs" dxfId="220" priority="275603" operator="between">
      <formula>$EK$22</formula>
      <formula>$EK$23</formula>
    </cfRule>
    <cfRule type="cellIs" dxfId="219" priority="275604" operator="between">
      <formula>$EK$21</formula>
      <formula>$EK$22</formula>
    </cfRule>
    <cfRule type="cellIs" dxfId="218" priority="275605" operator="between">
      <formula>$EK$20</formula>
      <formula>$EK$21</formula>
    </cfRule>
  </conditionalFormatting>
  <conditionalFormatting sqref="FH1:FH1048576 FK1:FK1048576 FO1:FO1048576 FR1:FR1048576">
    <cfRule type="cellIs" dxfId="217" priority="275650" operator="between">
      <formula>$FS$23</formula>
      <formula>1000</formula>
    </cfRule>
    <cfRule type="cellIs" dxfId="216" priority="275651" operator="between">
      <formula>$FS$22</formula>
      <formula>$FS$23</formula>
    </cfRule>
    <cfRule type="cellIs" dxfId="215" priority="275652" operator="between">
      <formula>$FS$21</formula>
      <formula>$FS$22</formula>
    </cfRule>
    <cfRule type="cellIs" dxfId="214" priority="275653" operator="between">
      <formula>$FS$20</formula>
      <formula>$FS$21</formula>
    </cfRule>
  </conditionalFormatting>
  <conditionalFormatting sqref="GN1:GN1048576 GQ1:GQ1048576 GU1:GU1048576 GX1:GX1048576">
    <cfRule type="cellIs" dxfId="213" priority="275698" operator="between">
      <formula>$HA$19</formula>
      <formula>1000</formula>
    </cfRule>
    <cfRule type="cellIs" dxfId="212" priority="275699" operator="between">
      <formula>$HA$18</formula>
      <formula>$HA$19</formula>
    </cfRule>
    <cfRule type="cellIs" dxfId="211" priority="275700" operator="between">
      <formula>$HA$17</formula>
      <formula>$HA$18</formula>
    </cfRule>
    <cfRule type="cellIs" dxfId="210" priority="275701" operator="between">
      <formula>$HA$16</formula>
      <formula>$HA$17</formula>
    </cfRule>
  </conditionalFormatting>
  <conditionalFormatting sqref="GP1:GP1048576 GS1:GS1048576 GW1:GW1048576 GZ1:GZ1048576">
    <cfRule type="cellIs" dxfId="209" priority="275746" operator="between">
      <formula>$HA$23</formula>
      <formula>1000</formula>
    </cfRule>
    <cfRule type="cellIs" dxfId="208" priority="275747" operator="between">
      <formula>$HA$22</formula>
      <formula>$HA$23</formula>
    </cfRule>
    <cfRule type="cellIs" dxfId="207" priority="275748" operator="between">
      <formula>$HA$21</formula>
      <formula>$HA$22</formula>
    </cfRule>
    <cfRule type="cellIs" dxfId="206" priority="275749" operator="between">
      <formula>$HA$20</formula>
      <formula>$HA$21</formula>
    </cfRule>
  </conditionalFormatting>
  <conditionalFormatting sqref="HX1:HX1048576 IA1:IA1048576 IE1:IE1048576 IH1:IH1048576">
    <cfRule type="cellIs" dxfId="205" priority="275794" operator="between">
      <formula>$II$23</formula>
      <formula>1000</formula>
    </cfRule>
    <cfRule type="cellIs" dxfId="204" priority="275795" operator="between">
      <formula>$II$22</formula>
      <formula>$II$23</formula>
    </cfRule>
    <cfRule type="cellIs" dxfId="203" priority="275796" operator="between">
      <formula>$II$21</formula>
      <formula>$II$22</formula>
    </cfRule>
    <cfRule type="cellIs" dxfId="202" priority="275797" operator="between">
      <formula>$II$20</formula>
      <formula>$II$21</formula>
    </cfRule>
  </conditionalFormatting>
  <conditionalFormatting sqref="JD1:JD1048576 JG1:JG1048576 JK1:JK1048576 JN1:JN1048576">
    <cfRule type="cellIs" dxfId="201" priority="275842" operator="between">
      <formula>$JQ$19</formula>
      <formula>1000</formula>
    </cfRule>
    <cfRule type="cellIs" dxfId="200" priority="275843" operator="between">
      <formula>$JQ$18</formula>
      <formula>$JQ$19</formula>
    </cfRule>
    <cfRule type="cellIs" dxfId="199" priority="275844" operator="between">
      <formula>$JQ$17</formula>
      <formula>$JQ$18</formula>
    </cfRule>
    <cfRule type="cellIs" dxfId="198" priority="275845" operator="between">
      <formula>$JQ$16</formula>
      <formula>$JQ$17</formula>
    </cfRule>
  </conditionalFormatting>
  <conditionalFormatting sqref="JF1:JF1048576 JI1:JI1048576 JM1:JM1048576 JP1:JP1048576">
    <cfRule type="cellIs" dxfId="197" priority="275890" operator="between">
      <formula>$JQ$23</formula>
      <formula>1000</formula>
    </cfRule>
    <cfRule type="cellIs" dxfId="196" priority="275891" operator="between">
      <formula>$JQ$22</formula>
      <formula>$JQ$23</formula>
    </cfRule>
    <cfRule type="cellIs" dxfId="195" priority="275892" operator="between">
      <formula>$JQ$21</formula>
      <formula>$JQ$22</formula>
    </cfRule>
    <cfRule type="cellIs" dxfId="194" priority="275893" operator="between">
      <formula>$JQ$20</formula>
      <formula>$JQ$21</formula>
    </cfRule>
  </conditionalFormatting>
  <conditionalFormatting sqref="KL1:KL1048576 KO1:KO1048576 KS1:KS1048576 KV1:KV1048576">
    <cfRule type="cellIs" dxfId="193" priority="275938" operator="between">
      <formula>$KY$19</formula>
      <formula>1000</formula>
    </cfRule>
    <cfRule type="cellIs" dxfId="192" priority="275939" operator="between">
      <formula>$KY$18</formula>
      <formula>$KY$19</formula>
    </cfRule>
    <cfRule type="cellIs" dxfId="191" priority="275940" operator="between">
      <formula>$KY$17</formula>
      <formula>$KY$18</formula>
    </cfRule>
    <cfRule type="cellIs" dxfId="190" priority="275941" operator="between">
      <formula>$KY$16</formula>
      <formula>$KY$17</formula>
    </cfRule>
  </conditionalFormatting>
  <conditionalFormatting sqref="KN1:KN1048576 KQ1:KQ1048576 KU1:KU1048576 KX1:KX1048576">
    <cfRule type="cellIs" dxfId="189" priority="275986" operator="between">
      <formula>$KY$23</formula>
      <formula>1000</formula>
    </cfRule>
    <cfRule type="cellIs" dxfId="188" priority="275987" operator="between">
      <formula>$KY$22</formula>
      <formula>$KY$23</formula>
    </cfRule>
    <cfRule type="cellIs" dxfId="187" priority="275988" operator="between">
      <formula>$KY$21</formula>
      <formula>$KY$22</formula>
    </cfRule>
    <cfRule type="cellIs" dxfId="186" priority="275989" operator="between">
      <formula>$KY$20</formula>
      <formula>$KY$21</formula>
    </cfRule>
  </conditionalFormatting>
  <conditionalFormatting sqref="LT1:LT1048576 LW1:LW1048576 MA1:MA1048576 MD1:MD1048576">
    <cfRule type="cellIs" dxfId="185" priority="276034" operator="between">
      <formula>$MG$19</formula>
      <formula>1000</formula>
    </cfRule>
    <cfRule type="cellIs" dxfId="184" priority="276035" operator="between">
      <formula>$MG$18</formula>
      <formula>$MG$19</formula>
    </cfRule>
    <cfRule type="cellIs" dxfId="183" priority="276036" operator="between">
      <formula>$MG$17</formula>
      <formula>$MG$18</formula>
    </cfRule>
    <cfRule type="cellIs" dxfId="182" priority="276037" operator="between">
      <formula>$MG$16</formula>
      <formula>$MG$17</formula>
    </cfRule>
  </conditionalFormatting>
  <conditionalFormatting sqref="LV1:LV1048576 LY1:LY1048576 MC1:MC1048576 MF1:MF1048576">
    <cfRule type="cellIs" dxfId="181" priority="276082" operator="between">
      <formula>$MG$23</formula>
      <formula>1000</formula>
    </cfRule>
    <cfRule type="cellIs" dxfId="180" priority="276083" operator="between">
      <formula>$MG$22</formula>
      <formula>$MG$23</formula>
    </cfRule>
    <cfRule type="cellIs" dxfId="179" priority="276084" operator="between">
      <formula>$MG$21</formula>
      <formula>$MG$22</formula>
    </cfRule>
    <cfRule type="cellIs" dxfId="178" priority="276085" operator="between">
      <formula>$MG$20</formula>
      <formula>$MG$21</formula>
    </cfRule>
  </conditionalFormatting>
  <conditionalFormatting sqref="NB1:NB1048576 NE1:NE1048576 NI1:NI1048576">
    <cfRule type="cellIs" dxfId="177" priority="276130" operator="between">
      <formula>$NO$19</formula>
      <formula>1000</formula>
    </cfRule>
    <cfRule type="cellIs" dxfId="176" priority="276131" operator="between">
      <formula>$NO$18</formula>
      <formula>$NO$19</formula>
    </cfRule>
    <cfRule type="cellIs" dxfId="175" priority="276132" operator="between">
      <formula>$NO$17</formula>
      <formula>$NO$18</formula>
    </cfRule>
  </conditionalFormatting>
  <conditionalFormatting sqref="ND1:ND1048576 NG1:NG1048576 NK1:NK1048576 NN1:NN1048576">
    <cfRule type="cellIs" dxfId="174" priority="276157" operator="between">
      <formula>$NO$23</formula>
      <formula>1000</formula>
    </cfRule>
    <cfRule type="cellIs" dxfId="173" priority="276158" operator="between">
      <formula>$NO$22</formula>
      <formula>$NO$23</formula>
    </cfRule>
    <cfRule type="cellIs" dxfId="172" priority="276159" operator="between">
      <formula>$NO$21</formula>
      <formula>$NO$22</formula>
    </cfRule>
    <cfRule type="cellIs" dxfId="171" priority="276160" operator="between">
      <formula>$NO$20</formula>
      <formula>$NO$21</formula>
    </cfRule>
  </conditionalFormatting>
  <conditionalFormatting sqref="OJ1:OJ1048576 OM1:OM1048576 OQ1:OQ1048576 OT1:OT1048576">
    <cfRule type="cellIs" dxfId="170" priority="276205" operator="between">
      <formula>$OW$19</formula>
      <formula>1000</formula>
    </cfRule>
    <cfRule type="cellIs" dxfId="169" priority="276206" operator="between">
      <formula>$OW$18</formula>
      <formula>$OW$19</formula>
    </cfRule>
    <cfRule type="cellIs" dxfId="168" priority="276207" operator="between">
      <formula>$OW$17</formula>
      <formula>$OW$18</formula>
    </cfRule>
    <cfRule type="cellIs" dxfId="167" priority="276208" operator="between">
      <formula>$OW$16</formula>
      <formula>$OW$17</formula>
    </cfRule>
  </conditionalFormatting>
  <conditionalFormatting sqref="OL1:OL1048576 OO1:OO1048576 OS1:OS1048576 OV1:OV1048576">
    <cfRule type="cellIs" dxfId="166" priority="276253" operator="between">
      <formula>$OW$23</formula>
      <formula>1000</formula>
    </cfRule>
    <cfRule type="cellIs" dxfId="165" priority="276254" operator="between">
      <formula>$OW$22</formula>
      <formula>$OW$23</formula>
    </cfRule>
    <cfRule type="cellIs" dxfId="164" priority="276255" operator="between">
      <formula>$OW$21</formula>
      <formula>$OW$22</formula>
    </cfRule>
    <cfRule type="cellIs" dxfId="163" priority="276256" operator="between">
      <formula>$OW$20</formula>
      <formula>$OW$21</formula>
    </cfRule>
  </conditionalFormatting>
  <conditionalFormatting sqref="PR1:PR1048576 PU1:PU1048576 PY1:PY1048576 QB1:QB1048576">
    <cfRule type="cellIs" dxfId="162" priority="276301" operator="between">
      <formula>$QE$19</formula>
      <formula>1000</formula>
    </cfRule>
    <cfRule type="cellIs" dxfId="161" priority="276302" operator="between">
      <formula>$QE$18</formula>
      <formula>$QE$19</formula>
    </cfRule>
    <cfRule type="cellIs" dxfId="160" priority="276303" operator="between">
      <formula>$QE$17</formula>
      <formula>$QE$18</formula>
    </cfRule>
    <cfRule type="cellIs" dxfId="159" priority="276304" operator="between">
      <formula>$QE$16</formula>
      <formula>$QE$17</formula>
    </cfRule>
  </conditionalFormatting>
  <conditionalFormatting sqref="PT1:PT1048576 PW1:PW1048576 QA1:QA1048576 QD1:QD1048576">
    <cfRule type="cellIs" dxfId="158" priority="276349" operator="between">
      <formula>$QE$23</formula>
      <formula>1000</formula>
    </cfRule>
    <cfRule type="cellIs" dxfId="157" priority="276350" operator="between">
      <formula>$QE$22</formula>
      <formula>$QE$23</formula>
    </cfRule>
    <cfRule type="cellIs" dxfId="156" priority="276351" operator="between">
      <formula>$QE$21</formula>
      <formula>$QE$22</formula>
    </cfRule>
    <cfRule type="cellIs" dxfId="155" priority="276352" operator="between">
      <formula>$QE$20</formula>
      <formula>$QE$21</formula>
    </cfRule>
  </conditionalFormatting>
  <conditionalFormatting sqref="QZ1:QZ1048576 RC1:RC1048576 RG1:RG1048576 RJ1:RJ1048576">
    <cfRule type="cellIs" dxfId="154" priority="276397" operator="between">
      <formula>$RM$19</formula>
      <formula>1000</formula>
    </cfRule>
    <cfRule type="cellIs" dxfId="153" priority="276398" operator="between">
      <formula>$RM$18</formula>
      <formula>$RM$19</formula>
    </cfRule>
    <cfRule type="cellIs" dxfId="152" priority="276399" operator="between">
      <formula>$RM$17</formula>
      <formula>$RM$18</formula>
    </cfRule>
    <cfRule type="cellIs" dxfId="151" priority="276400" operator="between">
      <formula>$RM$16</formula>
      <formula>$RM$17</formula>
    </cfRule>
  </conditionalFormatting>
  <conditionalFormatting sqref="RB1:RB1048576 RE1:RE1048576 RI1:RI1048576 RL1:RL1048576">
    <cfRule type="cellIs" dxfId="150" priority="276445" operator="between">
      <formula>$RM$23</formula>
      <formula>1000</formula>
    </cfRule>
    <cfRule type="cellIs" dxfId="149" priority="276446" operator="between">
      <formula>$RM$22</formula>
      <formula>$RM$23</formula>
    </cfRule>
    <cfRule type="cellIs" dxfId="148" priority="276447" operator="between">
      <formula>$RM$21</formula>
      <formula>$RM$22</formula>
    </cfRule>
    <cfRule type="cellIs" dxfId="147" priority="276448" operator="between">
      <formula>$RM$20</formula>
      <formula>$RM$21</formula>
    </cfRule>
  </conditionalFormatting>
  <conditionalFormatting sqref="SH1:SH1048576 SK1:SK1048576 SO1:SO1048576 SR1:SR1048576">
    <cfRule type="cellIs" dxfId="146" priority="276493" operator="between">
      <formula>$SU$19</formula>
      <formula>1000</formula>
    </cfRule>
    <cfRule type="cellIs" dxfId="145" priority="276494" operator="between">
      <formula>$SU$18</formula>
      <formula>$SU$19</formula>
    </cfRule>
    <cfRule type="cellIs" dxfId="144" priority="276495" operator="between">
      <formula>$SU$17</formula>
      <formula>$SU$18</formula>
    </cfRule>
    <cfRule type="cellIs" dxfId="143" priority="276496" operator="between">
      <formula>$SU$16</formula>
      <formula>$SU$17</formula>
    </cfRule>
  </conditionalFormatting>
  <conditionalFormatting sqref="SJ1:SJ1048576 SM1:SM1048576 SQ1:SQ1048576 ST1:ST1048576">
    <cfRule type="cellIs" dxfId="142" priority="276541" operator="between">
      <formula>$SU$23</formula>
      <formula>1000</formula>
    </cfRule>
    <cfRule type="cellIs" dxfId="141" priority="276542" operator="between">
      <formula>$SU$22</formula>
      <formula>$SU$23</formula>
    </cfRule>
    <cfRule type="cellIs" dxfId="140" priority="276543" operator="between">
      <formula>$SU$21</formula>
      <formula>$SU$22</formula>
    </cfRule>
    <cfRule type="cellIs" dxfId="139" priority="276544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QD4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83</v>
      </c>
      <c r="M1" s="74" t="s">
        <v>25</v>
      </c>
      <c r="N1" s="73" t="s">
        <v>84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158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172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184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181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186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187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 t="s">
        <v>188</v>
      </c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75</v>
      </c>
      <c r="V2" s="67"/>
      <c r="W2" s="67"/>
      <c r="X2" s="67"/>
      <c r="Y2" s="67" t="s">
        <v>76</v>
      </c>
      <c r="Z2" s="67"/>
      <c r="AA2" s="67"/>
      <c r="AB2" s="67"/>
      <c r="AC2" s="67" t="s">
        <v>78</v>
      </c>
      <c r="AD2" s="67"/>
      <c r="AE2" s="67"/>
      <c r="AF2" s="67"/>
      <c r="AG2" s="77" t="s">
        <v>79</v>
      </c>
      <c r="AH2" s="77"/>
      <c r="AI2" s="77"/>
      <c r="AJ2" s="77"/>
      <c r="AK2" s="14"/>
      <c r="AL2" s="14" t="s">
        <v>85</v>
      </c>
      <c r="AM2" s="14" t="s">
        <v>21</v>
      </c>
      <c r="AN2" s="14" t="s">
        <v>57</v>
      </c>
      <c r="AO2" s="14" t="s">
        <v>82</v>
      </c>
      <c r="AP2" s="14" t="s">
        <v>15</v>
      </c>
      <c r="AQ2" s="68" t="s">
        <v>75</v>
      </c>
      <c r="AR2" s="68"/>
      <c r="AS2" s="68"/>
      <c r="AT2" s="68"/>
      <c r="AU2" s="68" t="s">
        <v>76</v>
      </c>
      <c r="AV2" s="68"/>
      <c r="AW2" s="68"/>
      <c r="AX2" s="68"/>
      <c r="AY2" s="68" t="s">
        <v>78</v>
      </c>
      <c r="AZ2" s="68"/>
      <c r="BA2" s="68"/>
      <c r="BB2" s="68"/>
      <c r="BC2" s="78" t="s">
        <v>79</v>
      </c>
      <c r="BD2" s="78"/>
      <c r="BE2" s="78"/>
      <c r="BF2" s="78"/>
      <c r="BG2" s="13"/>
      <c r="BH2" s="13" t="s">
        <v>85</v>
      </c>
      <c r="BI2" s="13" t="s">
        <v>21</v>
      </c>
      <c r="BJ2" s="13" t="s">
        <v>57</v>
      </c>
      <c r="BK2" s="13" t="s">
        <v>82</v>
      </c>
      <c r="BL2" s="13" t="s">
        <v>15</v>
      </c>
      <c r="BM2" s="67" t="s">
        <v>75</v>
      </c>
      <c r="BN2" s="67"/>
      <c r="BO2" s="67"/>
      <c r="BP2" s="67"/>
      <c r="BQ2" s="67" t="s">
        <v>76</v>
      </c>
      <c r="BR2" s="67"/>
      <c r="BS2" s="67"/>
      <c r="BT2" s="67"/>
      <c r="BU2" s="67" t="s">
        <v>78</v>
      </c>
      <c r="BV2" s="67"/>
      <c r="BW2" s="67"/>
      <c r="BX2" s="67"/>
      <c r="BY2" s="77" t="s">
        <v>79</v>
      </c>
      <c r="BZ2" s="77"/>
      <c r="CA2" s="77"/>
      <c r="CB2" s="77"/>
      <c r="CC2" s="14"/>
      <c r="CD2" s="14" t="s">
        <v>85</v>
      </c>
      <c r="CE2" s="14" t="s">
        <v>21</v>
      </c>
      <c r="CF2" s="14" t="s">
        <v>57</v>
      </c>
      <c r="CG2" s="14" t="s">
        <v>82</v>
      </c>
      <c r="CH2" s="14" t="s">
        <v>15</v>
      </c>
      <c r="CI2" s="49" t="s">
        <v>81</v>
      </c>
      <c r="CJ2" s="49" t="s">
        <v>20</v>
      </c>
      <c r="CK2" s="67" t="s">
        <v>75</v>
      </c>
      <c r="CL2" s="67"/>
      <c r="CM2" s="67"/>
      <c r="CN2" s="67"/>
      <c r="CO2" s="67" t="s">
        <v>76</v>
      </c>
      <c r="CP2" s="67"/>
      <c r="CQ2" s="67"/>
      <c r="CR2" s="67"/>
      <c r="CS2" s="67" t="s">
        <v>77</v>
      </c>
      <c r="CT2" s="67"/>
      <c r="CU2" s="67"/>
      <c r="CV2" s="67"/>
      <c r="CW2" s="67" t="s">
        <v>78</v>
      </c>
      <c r="CX2" s="67"/>
      <c r="CY2" s="67"/>
      <c r="CZ2" s="67"/>
      <c r="DA2" s="79" t="s">
        <v>79</v>
      </c>
      <c r="DB2" s="79"/>
      <c r="DC2" s="79"/>
      <c r="DD2" s="79"/>
      <c r="DE2" s="14" t="s">
        <v>80</v>
      </c>
      <c r="DF2" s="14" t="s">
        <v>81</v>
      </c>
      <c r="DG2" s="14" t="s">
        <v>77</v>
      </c>
      <c r="DH2" s="14" t="s">
        <v>85</v>
      </c>
      <c r="DI2" s="14" t="s">
        <v>21</v>
      </c>
      <c r="DJ2" s="14" t="s">
        <v>57</v>
      </c>
      <c r="DK2" s="14" t="s">
        <v>82</v>
      </c>
      <c r="DL2" s="14" t="s">
        <v>15</v>
      </c>
      <c r="DM2" s="68" t="s">
        <v>75</v>
      </c>
      <c r="DN2" s="68"/>
      <c r="DO2" s="68"/>
      <c r="DP2" s="68"/>
      <c r="DQ2" s="68" t="s">
        <v>76</v>
      </c>
      <c r="DR2" s="68"/>
      <c r="DS2" s="68"/>
      <c r="DT2" s="68"/>
      <c r="DU2" s="68" t="s">
        <v>77</v>
      </c>
      <c r="DV2" s="68"/>
      <c r="DW2" s="68"/>
      <c r="DX2" s="68"/>
      <c r="DY2" s="68" t="s">
        <v>78</v>
      </c>
      <c r="DZ2" s="68"/>
      <c r="EA2" s="68"/>
      <c r="EB2" s="68"/>
      <c r="EC2" s="78" t="s">
        <v>79</v>
      </c>
      <c r="ED2" s="78"/>
      <c r="EE2" s="78"/>
      <c r="EF2" s="78"/>
      <c r="EG2" s="13" t="s">
        <v>80</v>
      </c>
      <c r="EH2" s="13" t="s">
        <v>81</v>
      </c>
      <c r="EI2" s="13" t="s">
        <v>77</v>
      </c>
      <c r="EJ2" s="13" t="s">
        <v>85</v>
      </c>
      <c r="EK2" s="13" t="s">
        <v>21</v>
      </c>
      <c r="EL2" s="13" t="s">
        <v>57</v>
      </c>
      <c r="EM2" s="13" t="s">
        <v>82</v>
      </c>
      <c r="EN2" s="13" t="s">
        <v>15</v>
      </c>
      <c r="EO2" s="67" t="s">
        <v>75</v>
      </c>
      <c r="EP2" s="67"/>
      <c r="EQ2" s="67"/>
      <c r="ER2" s="67"/>
      <c r="ES2" s="67" t="s">
        <v>76</v>
      </c>
      <c r="ET2" s="67"/>
      <c r="EU2" s="67"/>
      <c r="EV2" s="67"/>
      <c r="EW2" s="67" t="s">
        <v>77</v>
      </c>
      <c r="EX2" s="67"/>
      <c r="EY2" s="67"/>
      <c r="EZ2" s="67"/>
      <c r="FA2" s="67" t="s">
        <v>78</v>
      </c>
      <c r="FB2" s="67"/>
      <c r="FC2" s="67"/>
      <c r="FD2" s="67"/>
      <c r="FE2" s="79" t="s">
        <v>79</v>
      </c>
      <c r="FF2" s="79"/>
      <c r="FG2" s="79"/>
      <c r="FH2" s="79"/>
      <c r="FI2" s="14" t="s">
        <v>80</v>
      </c>
      <c r="FJ2" s="14" t="s">
        <v>81</v>
      </c>
      <c r="FK2" s="14" t="s">
        <v>77</v>
      </c>
      <c r="FL2" s="14" t="s">
        <v>85</v>
      </c>
      <c r="FM2" s="14" t="s">
        <v>21</v>
      </c>
      <c r="FN2" s="14" t="s">
        <v>57</v>
      </c>
      <c r="FO2" s="14" t="s">
        <v>82</v>
      </c>
      <c r="FP2" s="14" t="s">
        <v>15</v>
      </c>
      <c r="FQ2" s="68" t="s">
        <v>75</v>
      </c>
      <c r="FR2" s="68"/>
      <c r="FS2" s="68"/>
      <c r="FT2" s="68"/>
      <c r="FU2" s="68" t="s">
        <v>76</v>
      </c>
      <c r="FV2" s="68"/>
      <c r="FW2" s="68"/>
      <c r="FX2" s="68"/>
      <c r="FY2" s="68" t="s">
        <v>77</v>
      </c>
      <c r="FZ2" s="68"/>
      <c r="GA2" s="68"/>
      <c r="GB2" s="68"/>
      <c r="GC2" s="68" t="s">
        <v>78</v>
      </c>
      <c r="GD2" s="68"/>
      <c r="GE2" s="68"/>
      <c r="GF2" s="68"/>
      <c r="GG2" s="78" t="s">
        <v>79</v>
      </c>
      <c r="GH2" s="78"/>
      <c r="GI2" s="78"/>
      <c r="GJ2" s="78"/>
      <c r="GK2" s="13" t="s">
        <v>80</v>
      </c>
      <c r="GL2" s="13" t="s">
        <v>81</v>
      </c>
      <c r="GM2" s="13" t="s">
        <v>77</v>
      </c>
      <c r="GN2" s="13" t="s">
        <v>85</v>
      </c>
      <c r="GO2" s="13" t="s">
        <v>21</v>
      </c>
      <c r="GP2" s="13" t="s">
        <v>57</v>
      </c>
      <c r="GQ2" s="13" t="s">
        <v>82</v>
      </c>
      <c r="GR2" s="13" t="s">
        <v>15</v>
      </c>
      <c r="GS2" s="67" t="s">
        <v>75</v>
      </c>
      <c r="GT2" s="67"/>
      <c r="GU2" s="67"/>
      <c r="GV2" s="67"/>
      <c r="GW2" s="67" t="s">
        <v>76</v>
      </c>
      <c r="GX2" s="67"/>
      <c r="GY2" s="67"/>
      <c r="GZ2" s="67"/>
      <c r="HA2" s="67" t="s">
        <v>77</v>
      </c>
      <c r="HB2" s="67"/>
      <c r="HC2" s="67"/>
      <c r="HD2" s="67"/>
      <c r="HE2" s="67" t="s">
        <v>78</v>
      </c>
      <c r="HF2" s="67"/>
      <c r="HG2" s="67"/>
      <c r="HH2" s="67"/>
      <c r="HI2" s="79" t="s">
        <v>79</v>
      </c>
      <c r="HJ2" s="79"/>
      <c r="HK2" s="79"/>
      <c r="HL2" s="79"/>
      <c r="HM2" s="14" t="s">
        <v>80</v>
      </c>
      <c r="HN2" s="14" t="s">
        <v>81</v>
      </c>
      <c r="HO2" s="14" t="s">
        <v>77</v>
      </c>
      <c r="HP2" s="14" t="s">
        <v>85</v>
      </c>
      <c r="HQ2" s="14" t="s">
        <v>21</v>
      </c>
      <c r="HR2" s="14" t="s">
        <v>57</v>
      </c>
      <c r="HS2" s="14" t="s">
        <v>82</v>
      </c>
      <c r="HT2" s="14" t="s">
        <v>15</v>
      </c>
      <c r="HU2" s="68" t="s">
        <v>75</v>
      </c>
      <c r="HV2" s="68"/>
      <c r="HW2" s="68"/>
      <c r="HX2" s="68"/>
      <c r="HY2" s="68" t="s">
        <v>76</v>
      </c>
      <c r="HZ2" s="68"/>
      <c r="IA2" s="68"/>
      <c r="IB2" s="68"/>
      <c r="IC2" s="68" t="s">
        <v>77</v>
      </c>
      <c r="ID2" s="68"/>
      <c r="IE2" s="68"/>
      <c r="IF2" s="68"/>
      <c r="IG2" s="68" t="s">
        <v>78</v>
      </c>
      <c r="IH2" s="68"/>
      <c r="II2" s="68"/>
      <c r="IJ2" s="68"/>
      <c r="IK2" s="78" t="s">
        <v>79</v>
      </c>
      <c r="IL2" s="78"/>
      <c r="IM2" s="78"/>
      <c r="IN2" s="78"/>
      <c r="IO2" s="13" t="s">
        <v>80</v>
      </c>
      <c r="IP2" s="13" t="s">
        <v>81</v>
      </c>
      <c r="IQ2" s="13" t="s">
        <v>77</v>
      </c>
      <c r="IR2" s="13" t="s">
        <v>85</v>
      </c>
      <c r="IS2" s="13" t="s">
        <v>21</v>
      </c>
      <c r="IT2" s="13" t="s">
        <v>57</v>
      </c>
      <c r="IU2" s="13" t="s">
        <v>82</v>
      </c>
      <c r="IV2" s="13" t="s">
        <v>15</v>
      </c>
      <c r="IW2" s="67" t="s">
        <v>75</v>
      </c>
      <c r="IX2" s="67"/>
      <c r="IY2" s="67"/>
      <c r="IZ2" s="67"/>
      <c r="JA2" s="67" t="s">
        <v>76</v>
      </c>
      <c r="JB2" s="67"/>
      <c r="JC2" s="67"/>
      <c r="JD2" s="67"/>
      <c r="JE2" s="67" t="s">
        <v>77</v>
      </c>
      <c r="JF2" s="67"/>
      <c r="JG2" s="67"/>
      <c r="JH2" s="67"/>
      <c r="JI2" s="67" t="s">
        <v>78</v>
      </c>
      <c r="JJ2" s="67"/>
      <c r="JK2" s="67"/>
      <c r="JL2" s="67"/>
      <c r="JM2" s="79" t="s">
        <v>79</v>
      </c>
      <c r="JN2" s="79"/>
      <c r="JO2" s="79"/>
      <c r="JP2" s="79"/>
      <c r="JQ2" s="14" t="s">
        <v>80</v>
      </c>
      <c r="JR2" s="14" t="s">
        <v>81</v>
      </c>
      <c r="JS2" s="14" t="s">
        <v>77</v>
      </c>
      <c r="JT2" s="14" t="s">
        <v>85</v>
      </c>
      <c r="JU2" s="14" t="s">
        <v>21</v>
      </c>
      <c r="JV2" s="14" t="s">
        <v>57</v>
      </c>
      <c r="JW2" s="14" t="s">
        <v>82</v>
      </c>
      <c r="JX2" s="14" t="s">
        <v>15</v>
      </c>
      <c r="JY2" s="68" t="s">
        <v>75</v>
      </c>
      <c r="JZ2" s="68"/>
      <c r="KA2" s="68"/>
      <c r="KB2" s="68"/>
      <c r="KC2" s="68" t="s">
        <v>76</v>
      </c>
      <c r="KD2" s="68"/>
      <c r="KE2" s="68"/>
      <c r="KF2" s="68"/>
      <c r="KG2" s="68" t="s">
        <v>77</v>
      </c>
      <c r="KH2" s="68"/>
      <c r="KI2" s="68"/>
      <c r="KJ2" s="68"/>
      <c r="KK2" s="68" t="s">
        <v>78</v>
      </c>
      <c r="KL2" s="68"/>
      <c r="KM2" s="68"/>
      <c r="KN2" s="68"/>
      <c r="KO2" s="78" t="s">
        <v>79</v>
      </c>
      <c r="KP2" s="78"/>
      <c r="KQ2" s="78"/>
      <c r="KR2" s="78"/>
      <c r="KS2" s="13" t="s">
        <v>80</v>
      </c>
      <c r="KT2" s="13" t="s">
        <v>81</v>
      </c>
      <c r="KU2" s="13" t="s">
        <v>77</v>
      </c>
      <c r="KV2" s="13" t="s">
        <v>85</v>
      </c>
      <c r="KW2" s="13" t="s">
        <v>21</v>
      </c>
      <c r="KX2" s="13" t="s">
        <v>57</v>
      </c>
      <c r="KY2" s="13" t="s">
        <v>82</v>
      </c>
      <c r="KZ2" s="13" t="s">
        <v>15</v>
      </c>
      <c r="LA2" s="67" t="s">
        <v>75</v>
      </c>
      <c r="LB2" s="67"/>
      <c r="LC2" s="67"/>
      <c r="LD2" s="67"/>
      <c r="LE2" s="67" t="s">
        <v>76</v>
      </c>
      <c r="LF2" s="67"/>
      <c r="LG2" s="67"/>
      <c r="LH2" s="67"/>
      <c r="LI2" s="67" t="s">
        <v>77</v>
      </c>
      <c r="LJ2" s="67"/>
      <c r="LK2" s="67"/>
      <c r="LL2" s="67"/>
      <c r="LM2" s="67" t="s">
        <v>78</v>
      </c>
      <c r="LN2" s="67"/>
      <c r="LO2" s="67"/>
      <c r="LP2" s="67"/>
      <c r="LQ2" s="79" t="s">
        <v>79</v>
      </c>
      <c r="LR2" s="79"/>
      <c r="LS2" s="79"/>
      <c r="LT2" s="79"/>
      <c r="LU2" s="14" t="s">
        <v>80</v>
      </c>
      <c r="LV2" s="14" t="s">
        <v>81</v>
      </c>
      <c r="LW2" s="14" t="s">
        <v>77</v>
      </c>
      <c r="LX2" s="14" t="s">
        <v>85</v>
      </c>
      <c r="LY2" s="14" t="s">
        <v>21</v>
      </c>
      <c r="LZ2" s="14" t="s">
        <v>57</v>
      </c>
      <c r="MA2" s="14" t="s">
        <v>82</v>
      </c>
      <c r="MB2" s="14" t="s">
        <v>15</v>
      </c>
      <c r="MC2" s="68" t="s">
        <v>75</v>
      </c>
      <c r="MD2" s="68"/>
      <c r="ME2" s="68"/>
      <c r="MF2" s="68"/>
      <c r="MG2" s="68" t="s">
        <v>76</v>
      </c>
      <c r="MH2" s="68"/>
      <c r="MI2" s="68"/>
      <c r="MJ2" s="68"/>
      <c r="MK2" s="68" t="s">
        <v>77</v>
      </c>
      <c r="ML2" s="68"/>
      <c r="MM2" s="68"/>
      <c r="MN2" s="68"/>
      <c r="MO2" s="68" t="s">
        <v>78</v>
      </c>
      <c r="MP2" s="68"/>
      <c r="MQ2" s="68"/>
      <c r="MR2" s="68"/>
      <c r="MS2" s="78" t="s">
        <v>79</v>
      </c>
      <c r="MT2" s="78"/>
      <c r="MU2" s="78"/>
      <c r="MV2" s="78"/>
      <c r="MW2" s="13" t="s">
        <v>80</v>
      </c>
      <c r="MX2" s="13" t="s">
        <v>81</v>
      </c>
      <c r="MY2" s="13" t="s">
        <v>77</v>
      </c>
      <c r="MZ2" s="13" t="s">
        <v>85</v>
      </c>
      <c r="NA2" s="13" t="s">
        <v>21</v>
      </c>
      <c r="NB2" s="13" t="s">
        <v>57</v>
      </c>
      <c r="NC2" s="13" t="s">
        <v>82</v>
      </c>
      <c r="ND2" s="13" t="s">
        <v>15</v>
      </c>
      <c r="NE2" s="67" t="s">
        <v>75</v>
      </c>
      <c r="NF2" s="67"/>
      <c r="NG2" s="67"/>
      <c r="NH2" s="67"/>
      <c r="NI2" s="67" t="s">
        <v>76</v>
      </c>
      <c r="NJ2" s="67"/>
      <c r="NK2" s="67"/>
      <c r="NL2" s="67"/>
      <c r="NM2" s="67" t="s">
        <v>77</v>
      </c>
      <c r="NN2" s="67"/>
      <c r="NO2" s="67"/>
      <c r="NP2" s="67"/>
      <c r="NQ2" s="67" t="s">
        <v>78</v>
      </c>
      <c r="NR2" s="67"/>
      <c r="NS2" s="67"/>
      <c r="NT2" s="67"/>
      <c r="NU2" s="79" t="s">
        <v>79</v>
      </c>
      <c r="NV2" s="79"/>
      <c r="NW2" s="79"/>
      <c r="NX2" s="79"/>
      <c r="NY2" s="14" t="s">
        <v>80</v>
      </c>
      <c r="NZ2" s="14" t="s">
        <v>81</v>
      </c>
      <c r="OA2" s="14" t="s">
        <v>77</v>
      </c>
      <c r="OB2" s="14" t="s">
        <v>85</v>
      </c>
      <c r="OC2" s="14" t="s">
        <v>21</v>
      </c>
      <c r="OD2" s="14" t="s">
        <v>57</v>
      </c>
      <c r="OE2" s="14" t="s">
        <v>82</v>
      </c>
      <c r="OF2" s="14" t="s">
        <v>15</v>
      </c>
      <c r="OG2" s="68" t="s">
        <v>75</v>
      </c>
      <c r="OH2" s="68"/>
      <c r="OI2" s="68"/>
      <c r="OJ2" s="68"/>
      <c r="OK2" s="68" t="s">
        <v>76</v>
      </c>
      <c r="OL2" s="68"/>
      <c r="OM2" s="68"/>
      <c r="ON2" s="68"/>
      <c r="OO2" s="68" t="s">
        <v>77</v>
      </c>
      <c r="OP2" s="68"/>
      <c r="OQ2" s="68"/>
      <c r="OR2" s="68"/>
      <c r="OS2" s="68" t="s">
        <v>78</v>
      </c>
      <c r="OT2" s="68"/>
      <c r="OU2" s="68"/>
      <c r="OV2" s="68"/>
      <c r="OW2" s="78" t="s">
        <v>79</v>
      </c>
      <c r="OX2" s="78"/>
      <c r="OY2" s="78"/>
      <c r="OZ2" s="78"/>
      <c r="PA2" s="13" t="s">
        <v>80</v>
      </c>
      <c r="PB2" s="13" t="s">
        <v>81</v>
      </c>
      <c r="PC2" s="13" t="s">
        <v>77</v>
      </c>
      <c r="PD2" s="13" t="s">
        <v>85</v>
      </c>
      <c r="PE2" s="13" t="s">
        <v>21</v>
      </c>
      <c r="PF2" s="13" t="s">
        <v>57</v>
      </c>
      <c r="PG2" s="13" t="s">
        <v>82</v>
      </c>
      <c r="PH2" s="13" t="s">
        <v>15</v>
      </c>
      <c r="PI2" s="67" t="s">
        <v>75</v>
      </c>
      <c r="PJ2" s="67"/>
      <c r="PK2" s="67"/>
      <c r="PL2" s="67"/>
      <c r="PM2" s="67" t="s">
        <v>76</v>
      </c>
      <c r="PN2" s="67"/>
      <c r="PO2" s="67"/>
      <c r="PP2" s="67"/>
      <c r="PQ2" s="67" t="s">
        <v>78</v>
      </c>
      <c r="PR2" s="67"/>
      <c r="PS2" s="67"/>
      <c r="PT2" s="67"/>
      <c r="PU2" s="77" t="s">
        <v>79</v>
      </c>
      <c r="PV2" s="77"/>
      <c r="PW2" s="77"/>
      <c r="PX2" s="77"/>
      <c r="PY2" s="14"/>
      <c r="PZ2" s="14" t="s">
        <v>85</v>
      </c>
      <c r="QA2" s="14" t="s">
        <v>21</v>
      </c>
      <c r="QB2" s="14" t="s">
        <v>57</v>
      </c>
      <c r="QC2" s="14" t="s">
        <v>82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106</v>
      </c>
      <c r="D4" s="4" t="s">
        <v>3</v>
      </c>
      <c r="E4" s="4">
        <v>2006</v>
      </c>
      <c r="F4" s="9">
        <f t="shared" ref="F4:F18" si="0">SUM(L4:R4)+SUM(L4:O4)*0.0000001+SUM(L4)*0.0000000000001</f>
        <v>162.50001039000534</v>
      </c>
      <c r="G4" s="64" t="s">
        <v>46</v>
      </c>
      <c r="H4" s="3" t="str">
        <f t="shared" ref="H4:H18" si="1">IF(OR(AND(AL4&gt;=AP$21,AM4&gt;=AP$25,AL4&lt;&gt;"",AK4=""),AND(AN4&gt;=AP$21,AO4&gt;=AP$25,AN4&lt;&gt;"",AK4=""),AND(BH4&gt;=BL$21,BI4&gt;=BL$25,BH4&lt;&gt;"",BG4=""),AND(BJ4&gt;=BL$21,BK4&gt;=BL$25,BJ4&lt;&gt;"",BG4=""),AND(CD4&gt;=CH$21,CE4&gt;=CH$25,CD4&lt;&gt;"",CC4=""),AND(CF4&gt;=CH$21,CG4&gt;=CH$25,CF4&lt;&gt;""),AND(DE4&gt;=DL$21,DF4&gt;=DL$25,DE4&lt;&gt;""),AND(DJ4&gt;=DL$21,DK4&gt;=DL$25,DJ4&lt;&gt;""),AND(EG4&gt;=EN$21,EH4&gt;=EN$25,EG4&lt;&gt;""),AND(EL4&gt;=EN$21,EM4&gt;=EN$25,EL4&lt;&gt;""),AND(FI4&gt;=FP$21,FJ4&gt;=FP$25,FI4&lt;&gt;""),AND(FN4&gt;=FP$21,FO4&gt;=FP$25,FN4&lt;&gt;""),AND(GK4&gt;=GR$21,GL4&gt;=GR$25,GK4&lt;&gt;""),AND(GP4&gt;=GR$21,GQ4&gt;=GR$25,GP4&lt;&gt;""),AND(HM4&gt;=HT$21,HN4&gt;=HT$25,HM4&lt;&gt;""),AND(HR4&gt;=HT$21,HS4&gt;=HT$25,HR4&lt;&gt;""),AND(IO4&gt;=IV$21,IP4&gt;=IV$25,IO4&lt;&gt;""),AND(IT4&gt;=IV$21,IU4&gt;=IV$25,IT4&lt;&gt;""),AND(JQ4&gt;=JX$21,JR4&gt;=JX$25,JQ4&lt;&gt;""),AND(JV4&gt;=JX$21,JW4&gt;=JX$25,JV4&lt;&gt;""),AND(KS4&gt;=KZ$21,KT4&gt;=KZ$25,KS4&lt;&gt;""),AND(KX4&gt;=KZ$21,KY4&gt;=KZ$25,KX4&lt;&gt;""),AND(LU4&gt;=MB$21,LV4&gt;=MB$25,LU4&lt;&gt;""),AND(LZ4&gt;=MB$21,MA4&gt;=MB$25,LZ4&lt;&gt;""),AND(MW4&gt;=ND$21,MX4&gt;=ND$25,MW4&lt;&gt;""),AND(NB4&gt;=ND$21,NC4&gt;=ND$25,NB4&lt;&gt;""),AND(NY4&gt;=OF$21,NZ4&gt;=OF$25,NY4&lt;&gt;""),AND(OD4&gt;=OF$21,OE4&gt;=OF$25,OD4&lt;&gt;""),AND(PA4&gt;=PH$21,PB4&gt;=PH$25,PA4&lt;&gt;""),AND(PF4&gt;=PH$21,PG4&gt;=PH$25,PF4&lt;&gt;"")),"P","")</f>
        <v>P</v>
      </c>
      <c r="I4" s="3" t="str">
        <f t="shared" ref="I4:I18" si="2">IF(OR(AND(AM4&gt;=AP$25,AM4&lt;&gt;"",AK4=""),AND(AO4&gt;=AP$25,AO4&lt;&gt;"",AK4=""),AND(BI4&gt;=BL$25,BI4&lt;&gt;"",BG4=""),AND(BK4&gt;=BL$25,BK4&lt;&gt;"",BG4=""),AND(CE4&gt;=CH$25,CE4&lt;&gt;"",CC4=""),AND(CG4&gt;=CH$25,CG4&lt;&gt;"",CC4=""),AND(DF4&gt;=DL$25,DF4&lt;&gt;""),AND(DK4&gt;=DL$25,DK4&lt;&gt;""),AND(EH4&gt;=EN$25,EH4&lt;&gt;""),AND(EM4&gt;=EN$25,EM4&lt;&gt;""),AND(FJ4&gt;=FP$25,FJ4&lt;&gt;""),AND(FO4&gt;=FP$25,FO4&lt;&gt;""),AND(GL4&gt;=GR$25,GL4&lt;&gt;""),AND(GQ4&gt;=GR$25,GQ4&lt;&gt;""),AND(HN4&gt;=HT$25,HN4&lt;&gt;""),AND(HS4&gt;=HT$25,HS4&lt;&gt;""),AND(IP4&gt;=IV$25,IP4&lt;&gt;""),AND(IU4&gt;=IV$25,IU4&lt;&gt;""),AND(JR4&gt;=JX$25,JR4&lt;&gt;""),AND(JW4&gt;=JX$25,JW4&lt;&gt;""),AND(KT4&gt;=KZ$25,KT4&lt;&gt;""),AND(KY4&gt;=KZ$25,KY4&lt;&gt;""),AND(LV4&gt;=MB$25,LV4&lt;&gt;""),AND(MA4&gt;=MB$25,MA4&lt;&gt;""),AND(MX4&gt;=ND$25,MX4&lt;&gt;""),AND(NC4&gt;=ND$25,NC4&lt;&gt;""),AND(NZ4&gt;=OF$25,NZ4&lt;&gt;""),AND(OE4&gt;=OF$25,OE4&lt;&gt;""),AND(PB4&gt;=PH$25,PB4&lt;&gt;""),AND(PG4&gt;=PH$25,PG4&lt;&gt;"")),"P","")</f>
        <v>P</v>
      </c>
      <c r="J4" s="36" t="str">
        <f t="shared" ref="J4:J18" si="3">IF(AND(I4="P",H4=""),"No DD",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Merit",IF(OR(AND(AL4&gt;=AP$23,AM4&gt;=AP$27,AL4&lt;&gt;"",AK4=""),AND(BH4&gt;=BL$23,BI4&gt;=BL$27,BH4&lt;&gt;"",BG4=""),AND(CD4&gt;=CH$23,CE4&gt;=CH$27,CD4&lt;&gt;"",CC4=""),AND(DH4&gt;=DL$23,DI4&gt;=DL$27,DH4&lt;&gt;""),AND(EJ4&gt;=EN$23,EK4&gt;=EN$27,EJ4&lt;&gt;""),AND(FL4&gt;=FP$23,FM4&gt;=FP$27,FL4&lt;&gt;""),AND(GN4&gt;=GR$23,GO4&gt;=GR$27,GN4&lt;&gt;""),AND(HP4&gt;=HT$23,HQ4&gt;=HT$27,HP4&lt;&gt;""),AND(IR4&gt;=IV$23,IS4&gt;=IV$27,IR4&lt;&gt;""),AND(JT4&gt;=JX$23,JU4&gt;=JX$27,JT4&lt;&gt;""),AND(KV4&gt;=KZ$23,KW4&gt;=KZ$27,KV4&lt;&gt;""),AND(LX4&gt;=MB$23,LY4&gt;=MB$27,LX4&lt;&gt;""),AND(MZ4&gt;=ND$23,NA4&gt;=ND$27,MZ4&lt;&gt;""),AND(OB4&gt;=OF$23,OC4&gt;=OF$27,OB4&lt;&gt;""),AND(PD4&gt;=PH$23,PE4&gt;=PH$27,PD4&lt;&gt;"")),"Excellence",IF(K4="P","Worlds Team",IF(H4="P","National Team","")))))</f>
        <v>National Team</v>
      </c>
      <c r="K4" s="3" t="str">
        <f t="shared" ref="K4:K18" si="4">IF(OR(AND(AL4&gt;=AP$22,AM4&gt;=AP$26,AL4&lt;&gt;"",AK4=""),AND(BH4&gt;=BL$22,BI4&gt;=BL$26,BH4&lt;&gt;"",BG4=""),AND(CD4&gt;=CH$22,CE4&gt;=CH$26,CD4&lt;&gt;"",CC4=""),AND(DH4&gt;=DL$22,DI4&gt;=DL$26,DH4&lt;&gt;""),AND(EJ4&gt;=EN$22,EK4&gt;=EN$26,EJ4&lt;&gt;""),AND(FL4&gt;=FP$22,FM4&gt;=FP$26,FL4&lt;&gt;""),AND(GN4&gt;=GR$22,GO4&gt;=GR$26,GN4&lt;&gt;""),AND(HP4&gt;=HT$22,HQ4&gt;=HT$26,HP4&lt;&gt;""),AND(IR4&gt;=IV$22,IS4&gt;=IV$26,IR4&lt;&gt;""),AND(JT4&gt;=JX$22,JU4&gt;=JX$26,JT4&lt;&gt;""),AND(KV4&gt;=KZ$22,KW4&gt;=KZ$26,KV4&lt;&gt;""),AND(LX4&gt;=MB$22,LY4&gt;=MB$26,LX4&lt;&gt;""),AND(MZ4&gt;=ND$22,NA4&gt;=ND$26,MZ4&lt;&gt;""),AND(OB4&gt;=OF$22,OC4&gt;=OF$26,OB4&lt;&gt;""),AND(PD4&gt;=PH$22,PE4&gt;=PH$26,PD4&lt;&gt;"")),"P","")</f>
        <v/>
      </c>
      <c r="L4" s="8">
        <f>IF(COUNT(AM4,BI4,CE4)&gt;0,LARGE((AM4,BI4,CE4),1),0)</f>
        <v>53.399999999999991</v>
      </c>
      <c r="M4" s="8" t="str">
        <f t="shared" ref="M4:M18" si="5">IF(L4=0,"",IF(L4=CE4,$BM$1,IF(L4=BI4,$AQ$1,IF(L4=AM4,$U$1,""))))</f>
        <v>2025 Elite Canada</v>
      </c>
      <c r="N4" s="8">
        <f>IF(COUNT(AM4,BI4,CE4)&gt;1,LARGE((AM4,BI4,CE4),2),0)</f>
        <v>50.499999999999993</v>
      </c>
      <c r="O4" s="8" t="str">
        <f t="shared" ref="O4:O18" si="6">IF(N4=0,"",IF(AND(N4=L4,N4=AM4,N4=BI4),$U$1,IF(AND(N4=L4,N4=AM4,N4=CE4),$U$1,IF(AND(N4=L4,N4=BI4,N4=CE4),$AQ$1,IF(N4=CE4,$BM$1,IF(N4=BI4,$AQ$1,IF(N4=AM4,$U$1,"")))))))</f>
        <v>2025 Nationals</v>
      </c>
      <c r="P4" s="8">
        <f t="shared" ref="P4:P18" si="7">IF(MAX(AO4,BK4,CG4)&gt;0,MAX(AO4,BK4,CG4),0)</f>
        <v>54.8</v>
      </c>
      <c r="Q4" s="8" t="str">
        <f t="shared" ref="Q4:Q18" si="8">IF(P4=0,"",IF(P4=CG4,$BM$1,IF(P4=BK4,$AQ$1,IF(P4=AO4,$U$1,""))))</f>
        <v>2025 Nationals</v>
      </c>
      <c r="R4" s="8">
        <f t="shared" ref="R4:R18" si="9">IF(MAX(CI4:CJ4)&gt;0,MAX(CI4:CJ4),"")</f>
        <v>3.8000000000000043</v>
      </c>
      <c r="S4" s="11" t="str">
        <f t="shared" ref="S4:S18" si="10">IF(R4="","",IF(R4=CI4,"("&amp;CI$2&amp;")",IF(R4=CJ4,"("&amp;CJ$2&amp;")")))</f>
        <v>(Q1)</v>
      </c>
      <c r="T4" s="8" t="str">
        <f t="shared" ref="T4:T18" si="11"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18.399999999999999</v>
      </c>
      <c r="V4" s="19">
        <v>8.5</v>
      </c>
      <c r="W4" s="19">
        <v>0.2</v>
      </c>
      <c r="X4" s="19">
        <v>0</v>
      </c>
      <c r="Y4" s="19">
        <v>18.5</v>
      </c>
      <c r="Z4" s="19">
        <v>8.1999999999999993</v>
      </c>
      <c r="AA4" s="19">
        <v>0</v>
      </c>
      <c r="AB4" s="19">
        <v>0</v>
      </c>
      <c r="AC4" s="19">
        <v>18.8</v>
      </c>
      <c r="AD4" s="19">
        <v>8.5</v>
      </c>
      <c r="AE4" s="19">
        <v>0.2</v>
      </c>
      <c r="AF4" s="19">
        <v>0</v>
      </c>
      <c r="AG4" s="19">
        <v>18.7</v>
      </c>
      <c r="AH4" s="19">
        <v>8.8000000000000007</v>
      </c>
      <c r="AI4" s="19">
        <v>0</v>
      </c>
      <c r="AJ4" s="19">
        <v>0</v>
      </c>
      <c r="AK4" s="27"/>
      <c r="AL4" s="40">
        <f t="shared" ref="AL4:AL18" si="12">IF(SUM(V4,Z4)&gt;0,SUM(V4,Z4),"")</f>
        <v>16.7</v>
      </c>
      <c r="AM4" s="40">
        <f t="shared" ref="AM4:AM18" si="13">IF(SUM(U4:V4,X4:Z4,AB4)-W4-AA4&gt;0,SUM(U4:V4,X4:Z4,AB4)-W4-AA4,"")</f>
        <v>53.399999999999991</v>
      </c>
      <c r="AN4" s="40">
        <f t="shared" ref="AN4:AN18" si="14">IF(SUM(AD4,AH4)&gt;0,SUM(AD4,AH4),"")</f>
        <v>17.3</v>
      </c>
      <c r="AO4" s="40">
        <f t="shared" ref="AO4:AO18" si="15">IF(SUM(AC4:AD4,AF4:AH4,AJ4)-SUM(AE4,AI4)&gt;0,SUM(AC4:AD4,AF4:AH4,AJ4)-SUM(AE4,AI4),"")</f>
        <v>54.599999999999994</v>
      </c>
      <c r="AP4" s="40">
        <f t="shared" ref="AP4:AP18" si="16">IF(SUM(AM4,AO4)&gt;0,SUM(AM4,AO4),"")</f>
        <v>107.99999999999999</v>
      </c>
      <c r="AQ4" s="18">
        <v>18.399999999999999</v>
      </c>
      <c r="AR4" s="18">
        <v>7.3</v>
      </c>
      <c r="AS4" s="18">
        <v>0</v>
      </c>
      <c r="AT4" s="18">
        <v>0</v>
      </c>
      <c r="AU4" s="18">
        <v>17.899999999999999</v>
      </c>
      <c r="AV4" s="18">
        <v>6.9</v>
      </c>
      <c r="AW4" s="18">
        <v>0</v>
      </c>
      <c r="AX4" s="18">
        <v>0</v>
      </c>
      <c r="AY4" s="18">
        <v>18.600000000000001</v>
      </c>
      <c r="AZ4" s="18">
        <v>8.8000000000000007</v>
      </c>
      <c r="BA4" s="18">
        <v>0</v>
      </c>
      <c r="BB4" s="18">
        <v>0</v>
      </c>
      <c r="BC4" s="18">
        <v>18.100000000000001</v>
      </c>
      <c r="BD4" s="18">
        <v>9.3000000000000007</v>
      </c>
      <c r="BE4" s="18">
        <v>0</v>
      </c>
      <c r="BF4" s="18">
        <v>0</v>
      </c>
      <c r="BG4" s="28"/>
      <c r="BH4" s="11">
        <f t="shared" ref="BH4:BH18" si="17">IF(SUM(AR4,AV4)&gt;0,SUM(AR4,AV4),"")</f>
        <v>14.2</v>
      </c>
      <c r="BI4" s="11">
        <f t="shared" ref="BI4:BI18" si="18">IF(SUM(AQ4:AR4,AT4:AV4,AX4)-AS4-AW4&gt;0,SUM(AQ4:AR4,AT4:AV4,AX4)-AS4-AW4,"")</f>
        <v>50.499999999999993</v>
      </c>
      <c r="BJ4" s="11">
        <f t="shared" ref="BJ4:BJ18" si="19">IF(SUM(AZ4,BD4)&gt;0,SUM(AZ4,BD4),"")</f>
        <v>18.100000000000001</v>
      </c>
      <c r="BK4" s="11">
        <f t="shared" ref="BK4:BK18" si="20">IF(SUM(AY4:AZ4,BB4:BD4,BF4)-SUM(BA4,BE4)&gt;0,SUM(AY4:AZ4,BB4:BD4,BF4)-SUM(BA4,BE4),"")</f>
        <v>54.8</v>
      </c>
      <c r="BL4" s="11">
        <f t="shared" ref="BL4:BL18" si="21">IF(SUM(BI4,BK4)&gt;0,SUM(BI4,BK4),"")</f>
        <v>105.29999999999998</v>
      </c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27"/>
      <c r="CD4" s="40" t="str">
        <f t="shared" ref="CD4:CD18" si="22">IF(SUM(BN4,BR4)&gt;0,SUM(BN4,BR4),"")</f>
        <v/>
      </c>
      <c r="CE4" s="40" t="str">
        <f t="shared" ref="CE4:CE18" si="23">IF(SUM(BM4:BN4,BP4:BR4,BT4)-BO4-BS4&gt;0,SUM(BM4:BN4,BP4:BR4,BT4)-BO4-BS4,"")</f>
        <v/>
      </c>
      <c r="CF4" s="40" t="str">
        <f t="shared" ref="CF4:CF18" si="24">IF(SUM(BV4,BZ4)&gt;0,SUM(BV4,BZ4),"")</f>
        <v/>
      </c>
      <c r="CG4" s="40" t="str">
        <f t="shared" ref="CG4:CG18" si="25">IF(SUM(BU4:BV4,BX4:BZ4,CB4)-SUM(BW4,CA4)&gt;0,SUM(BU4:BV4,BX4:BZ4,CB4)-SUM(BW4,CA4),"")</f>
        <v/>
      </c>
      <c r="CH4" s="40" t="str">
        <f t="shared" ref="CH4:CH18" si="26">IF(SUM(CE4,CG4)&gt;0,SUM(CE4,CG4),"")</f>
        <v/>
      </c>
      <c r="CI4" s="50">
        <f t="shared" ref="CI4:CI18" si="27">IF(MAX(DF4,EH4,FJ4,GL4,HN4,IP4,JR4,KT4,LV4,MX4,NZ4,PB4)-IF(N4="",0,N4)&gt;0.001,MAX(DF4,EH4,FJ4,GL4,HN4,IP4,JR4,KT4,LV4,MX4,NZ4,PB4)-IF(N4="",0,N4),"")</f>
        <v>3.8000000000000043</v>
      </c>
      <c r="CJ4" s="50" t="str">
        <f t="shared" ref="CJ4:CJ18" si="28">IF(MAX(DK4,EM4,FO4,GQ4,HS4,IU4,JW4,KY4,MA4,NC4,OE4,PG4)-IF(P4="",0,P4)&gt;0.001,MAX(DK4,EM4,FO4,GQ4,HS4,IU4,JW4,KY4,MA4,NC4,OE4,PG4)-IF(P4="",0,P4),"")</f>
        <v/>
      </c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 t="str">
        <f t="shared" ref="DE4:DE18" si="29">IF(SUM(CL4,CP4)&gt;0,SUM(CL4,CP4),"")</f>
        <v/>
      </c>
      <c r="DF4" s="40" t="str">
        <f t="shared" ref="DF4:DF18" si="30">IF(SUM(CK4:CL4,CN4:CP4,CR4)-CM4-CQ4&gt;0,SUM(CK4:CL4,CN4:CP4,CR4)-CM4-CQ4,"")</f>
        <v/>
      </c>
      <c r="DG4" s="40" t="str">
        <f t="shared" ref="DG4:DG18" si="31">IF(SUM(CS4:CT4,CV4)-CU4&gt;0,SUM(CS4:CT4,CV4)-CU4,"")</f>
        <v/>
      </c>
      <c r="DH4" s="40" t="str">
        <f t="shared" ref="DH4:DH18" si="32">IF(SUM(CL4,CP4,CT4)&gt;0,SUM(CL4,CP4,CT4),"")</f>
        <v/>
      </c>
      <c r="DI4" s="40" t="str">
        <f t="shared" ref="DI4:DI18" si="33">IF(SUM(DF4,DG4)&gt;0,SUM(DF4,DG4),"")</f>
        <v/>
      </c>
      <c r="DJ4" s="40" t="str">
        <f t="shared" ref="DJ4:DJ18" si="34">IF(SUM(CX4,DB4)&gt;0,SUM(CX4,DB4),"")</f>
        <v/>
      </c>
      <c r="DK4" s="40" t="str">
        <f t="shared" ref="DK4:DK18" si="35">IF(SUM(CW4:CX4,CZ4:DB4,DD4)-SUM(CY4,DC4)&gt;0,SUM(CW4:CX4,CZ4:DB4,DD4)-SUM(CY4,DC4),"")</f>
        <v/>
      </c>
      <c r="DL4" s="40" t="str">
        <f t="shared" ref="DL4:DL18" si="36">IF(SUM(DF4,DG4,DK4)&gt;0,SUM(DF4,DG4,DK4),"")</f>
        <v/>
      </c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 t="str">
        <f t="shared" ref="EG4:EG18" si="37">IF(SUM(DN4,DR4)&gt;0,SUM(DN4,DR4),"")</f>
        <v/>
      </c>
      <c r="EH4" s="11" t="str">
        <f t="shared" ref="EH4:EH18" si="38">IF(SUM(DM4:DN4,DP4:DR4,DT4)-DO4-DS4&gt;0,SUM(DM4:DN4,DP4:DR4,DT4)-DO4-DS4,"")</f>
        <v/>
      </c>
      <c r="EI4" s="11" t="str">
        <f t="shared" ref="EI4:EI18" si="39">IF(SUM(DU4:DV4,DX4)-DW4&gt;0,SUM(DU4:DV4,DX4)-DW4,"")</f>
        <v/>
      </c>
      <c r="EJ4" s="11" t="str">
        <f t="shared" ref="EJ4:EJ18" si="40">IF(SUM(DN4,DR4,DV4)&gt;0,SUM(DN4,DR4,DV4),"")</f>
        <v/>
      </c>
      <c r="EK4" s="11" t="str">
        <f t="shared" ref="EK4:EK18" si="41">IF(SUM(EH4,EI4)&gt;0,SUM(EH4,EI4),"")</f>
        <v/>
      </c>
      <c r="EL4" s="11" t="str">
        <f t="shared" ref="EL4:EL18" si="42">IF(SUM(DZ4,ED4)&gt;0,SUM(DZ4,ED4),"")</f>
        <v/>
      </c>
      <c r="EM4" s="11" t="str">
        <f t="shared" ref="EM4:EM18" si="43">IF(SUM(DY4:DZ4,EB4:ED4,EF4)-SUM(EA4,EE4)&gt;0,SUM(DY4:DZ4,EB4:ED4,EF4)-SUM(EA4,EE4),"")</f>
        <v/>
      </c>
      <c r="EN4" s="11" t="str">
        <f t="shared" ref="EN4:EN18" si="44">IF(SUM(EH4,EI4,EM4)&gt;0,SUM(EH4,EI4,EM4),"")</f>
        <v/>
      </c>
      <c r="EO4" s="17">
        <v>17.8</v>
      </c>
      <c r="EP4" s="17">
        <v>8.8000000000000007</v>
      </c>
      <c r="EQ4" s="17">
        <v>0</v>
      </c>
      <c r="ER4" s="17">
        <v>0</v>
      </c>
      <c r="ES4" s="17">
        <v>18.399999999999999</v>
      </c>
      <c r="ET4" s="17">
        <v>9.3000000000000007</v>
      </c>
      <c r="EU4" s="17">
        <v>0</v>
      </c>
      <c r="EV4" s="17">
        <v>0</v>
      </c>
      <c r="EW4" s="17">
        <v>18.100000000000001</v>
      </c>
      <c r="EX4" s="17">
        <v>9.3000000000000007</v>
      </c>
      <c r="EY4" s="17">
        <v>0</v>
      </c>
      <c r="EZ4" s="17">
        <v>0</v>
      </c>
      <c r="FA4" s="17">
        <v>18</v>
      </c>
      <c r="FB4" s="17">
        <v>9.6</v>
      </c>
      <c r="FC4" s="17">
        <v>0</v>
      </c>
      <c r="FD4" s="17">
        <v>0</v>
      </c>
      <c r="FE4" s="17"/>
      <c r="FF4" s="17"/>
      <c r="FG4" s="17"/>
      <c r="FH4" s="17"/>
      <c r="FI4" s="40">
        <f t="shared" ref="FI4:FI18" si="45">IF(SUM(EP4,ET4)&gt;0,SUM(EP4,ET4),"")</f>
        <v>18.100000000000001</v>
      </c>
      <c r="FJ4" s="40">
        <f t="shared" ref="FJ4:FJ18" si="46">IF(SUM(EO4:EP4,ER4:ET4,EV4)-EQ4-EU4&gt;0,SUM(EO4:EP4,ER4:ET4,EV4)-EQ4-EU4,"")</f>
        <v>54.3</v>
      </c>
      <c r="FK4" s="40">
        <f t="shared" ref="FK4:FK18" si="47">IF(SUM(EW4:EX4,EZ4)-EY4&gt;0,SUM(EW4:EX4,EZ4)-EY4,"")</f>
        <v>27.400000000000002</v>
      </c>
      <c r="FL4" s="40">
        <f t="shared" ref="FL4:FL18" si="48">IF(SUM(EP4,ET4,EX4)&gt;0,SUM(EP4,ET4,EX4),"")</f>
        <v>27.400000000000002</v>
      </c>
      <c r="FM4" s="40">
        <f t="shared" ref="FM4:FM18" si="49">IF(SUM(FJ4,FK4)&gt;0,SUM(FJ4,FK4),"")</f>
        <v>81.7</v>
      </c>
      <c r="FN4" s="40">
        <f t="shared" ref="FN4:FN18" si="50">IF(SUM(FB4,FF4)&gt;0,SUM(FB4,FF4),"")</f>
        <v>9.6</v>
      </c>
      <c r="FO4" s="40">
        <f t="shared" ref="FO4:FO18" si="51">IF(SUM(FA4:FB4,FD4:FF4,FH4)-SUM(FC4,FG4)&gt;0,SUM(FA4:FB4,FD4:FF4,FH4)-SUM(FC4,FG4),"")</f>
        <v>27.6</v>
      </c>
      <c r="FP4" s="40">
        <f t="shared" ref="FP4:FP18" si="52">IF(SUM(FJ4,FK4,FO4)&gt;0,SUM(FJ4,FK4,FO4),"")</f>
        <v>109.30000000000001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 t="shared" ref="GK4:GK18" si="53">IF(SUM(FR4,FV4)&gt;0,SUM(FR4,FV4),"")</f>
        <v/>
      </c>
      <c r="GL4" s="11" t="str">
        <f t="shared" ref="GL4:GL18" si="54">IF(SUM(FQ4:FR4,FT4:FV4,FX4)-FS4-FW4&gt;0,SUM(FQ4:FR4,FT4:FV4,FX4)-FS4-FW4,"")</f>
        <v/>
      </c>
      <c r="GM4" s="11" t="str">
        <f t="shared" ref="GM4:GM18" si="55">IF(SUM(FY4:FZ4,GB4)-GA4&gt;0,SUM(FY4:FZ4,GB4)-GA4,"")</f>
        <v/>
      </c>
      <c r="GN4" s="11" t="str">
        <f t="shared" ref="GN4:GN18" si="56">IF(SUM(FR4,FV4,FZ4)&gt;0,SUM(FR4,FV4,FZ4),"")</f>
        <v/>
      </c>
      <c r="GO4" s="11" t="str">
        <f t="shared" ref="GO4:GO18" si="57">IF(SUM(GL4,GM4)&gt;0,SUM(GL4,GM4),"")</f>
        <v/>
      </c>
      <c r="GP4" s="11" t="str">
        <f t="shared" ref="GP4:GP18" si="58">IF(SUM(GD4,GH4)&gt;0,SUM(GD4,GH4),"")</f>
        <v/>
      </c>
      <c r="GQ4" s="11" t="str">
        <f t="shared" ref="GQ4:GQ18" si="59">IF(SUM(GC4:GD4,GF4:GH4,GJ4)-SUM(GE4,GI4)&gt;0,SUM(GC4:GD4,GF4:GH4,GJ4)-SUM(GE4,GI4),"")</f>
        <v/>
      </c>
      <c r="GR4" s="11" t="str">
        <f t="shared" ref="GR4:GR18" si="60"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 t="shared" ref="HM4:HM18" si="61">IF(SUM(GT4,GX4)&gt;0,SUM(GT4,GX4),"")</f>
        <v/>
      </c>
      <c r="HN4" s="40" t="str">
        <f t="shared" ref="HN4:HN18" si="62">IF(SUM(GS4:GT4,GV4:GX4,GZ4)-GU4-GY4&gt;0,SUM(GS4:GT4,GV4:GX4,GZ4)-GU4-GY4,"")</f>
        <v/>
      </c>
      <c r="HO4" s="40" t="str">
        <f t="shared" ref="HO4:HO18" si="63">IF(SUM(HA4:HB4,HD4)-HC4&gt;0,SUM(HA4:HB4,HD4)-HC4,"")</f>
        <v/>
      </c>
      <c r="HP4" s="40" t="str">
        <f t="shared" ref="HP4:HP18" si="64">IF(SUM(GT4,GX4,HB4)&gt;0,SUM(GT4,GX4,HB4),"")</f>
        <v/>
      </c>
      <c r="HQ4" s="40" t="str">
        <f t="shared" ref="HQ4:HQ18" si="65">IF(SUM(HN4,HO4)&gt;0,SUM(HN4,HO4),"")</f>
        <v/>
      </c>
      <c r="HR4" s="40" t="str">
        <f t="shared" ref="HR4:HR18" si="66">IF(SUM(HF4,HJ4)&gt;0,SUM(HF4,HJ4),"")</f>
        <v/>
      </c>
      <c r="HS4" s="40" t="str">
        <f t="shared" ref="HS4:HS18" si="67">IF(SUM(HE4:HF4,HH4:HJ4,HL4)-SUM(HG4,HK4)&gt;0,SUM(HE4:HF4,HH4:HJ4,HL4)-SUM(HG4,HK4),"")</f>
        <v/>
      </c>
      <c r="HT4" s="40" t="str">
        <f t="shared" ref="HT4:HT18" si="68"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 t="shared" ref="IO4:IO18" si="69">IF(SUM(HV4,HZ4)&gt;0,SUM(HV4,HZ4),"")</f>
        <v/>
      </c>
      <c r="IP4" s="11" t="str">
        <f t="shared" ref="IP4:IP18" si="70">IF(SUM(HU4:HV4,HX4:HZ4,IB4)-HW4-IA4&gt;0,SUM(HU4:HV4,HX4:HZ4,IB4)-HW4-IA4,"")</f>
        <v/>
      </c>
      <c r="IQ4" s="11" t="str">
        <f t="shared" ref="IQ4:IQ18" si="71">IF(SUM(IC4:ID4,IF4)-IE4&gt;0,SUM(IC4:ID4,IF4)-IE4,"")</f>
        <v/>
      </c>
      <c r="IR4" s="11" t="str">
        <f t="shared" ref="IR4:IR18" si="72">IF(SUM(HV4,HZ4,ID4)&gt;0,SUM(HV4,HZ4,ID4),"")</f>
        <v/>
      </c>
      <c r="IS4" s="11" t="str">
        <f t="shared" ref="IS4:IS18" si="73">IF(SUM(IP4,IQ4)&gt;0,SUM(IP4,IQ4),"")</f>
        <v/>
      </c>
      <c r="IT4" s="11" t="str">
        <f t="shared" ref="IT4:IT18" si="74">IF(SUM(IH4,IL4)&gt;0,SUM(IH4,IL4),"")</f>
        <v/>
      </c>
      <c r="IU4" s="11" t="str">
        <f t="shared" ref="IU4:IU18" si="75">IF(SUM(IG4:IH4,IJ4:IL4,IN4)-SUM(II4,IM4)&gt;0,SUM(IG4:IH4,IJ4:IL4,IN4)-SUM(II4,IM4),"")</f>
        <v/>
      </c>
      <c r="IV4" s="11" t="str">
        <f t="shared" ref="IV4:IV18" si="76"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 t="shared" ref="JQ4:JQ18" si="77">IF(SUM(IX4,JB4)&gt;0,SUM(IX4,JB4),"")</f>
        <v/>
      </c>
      <c r="JR4" s="40" t="str">
        <f t="shared" ref="JR4:JR18" si="78">IF(SUM(IW4:IX4,IZ4:JB4,JD4)-IY4-JC4&gt;0,SUM(IW4:IX4,IZ4:JB4,JD4)-IY4-JC4,"")</f>
        <v/>
      </c>
      <c r="JS4" s="40" t="str">
        <f t="shared" ref="JS4:JS18" si="79">IF(SUM(JE4:JF4,JH4)-JG4&gt;0,SUM(JE4:JF4,JH4)-JG4,"")</f>
        <v/>
      </c>
      <c r="JT4" s="40" t="str">
        <f t="shared" ref="JT4:JT18" si="80">IF(SUM(IX4,JB4,JF4)&gt;0,SUM(IX4,JB4,JF4),"")</f>
        <v/>
      </c>
      <c r="JU4" s="40" t="str">
        <f t="shared" ref="JU4:JU18" si="81">IF(SUM(JR4,JS4)&gt;0,SUM(JR4,JS4),"")</f>
        <v/>
      </c>
      <c r="JV4" s="40" t="str">
        <f t="shared" ref="JV4:JV18" si="82">IF(SUM(JJ4,JN4)&gt;0,SUM(JJ4,JN4),"")</f>
        <v/>
      </c>
      <c r="JW4" s="40" t="str">
        <f t="shared" ref="JW4:JW18" si="83">IF(SUM(JI4:JJ4,JL4:JN4,JP4)-SUM(JK4,JO4)&gt;0,SUM(JI4:JJ4,JL4:JN4,JP4)-SUM(JK4,JO4),"")</f>
        <v/>
      </c>
      <c r="JX4" s="40" t="str">
        <f t="shared" ref="JX4:JX18" si="84"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 t="shared" ref="KS4:KS18" si="85">IF(SUM(JZ4,KD4)&gt;0,SUM(JZ4,KD4),"")</f>
        <v/>
      </c>
      <c r="KT4" s="11" t="str">
        <f t="shared" ref="KT4:KT18" si="86">IF(SUM(JY4:JZ4,KB4:KD4,KF4)-KA4-KE4&gt;0,SUM(JY4:JZ4,KB4:KD4,KF4)-KA4-KE4,"")</f>
        <v/>
      </c>
      <c r="KU4" s="11" t="str">
        <f t="shared" ref="KU4:KU18" si="87">IF(SUM(KG4:KH4,KJ4)-KI4&gt;0,SUM(KG4:KH4,KJ4)-KI4,"")</f>
        <v/>
      </c>
      <c r="KV4" s="11" t="str">
        <f t="shared" ref="KV4:KV18" si="88">IF(SUM(JZ4,KD4,KH4)&gt;0,SUM(JZ4,KD4,KH4),"")</f>
        <v/>
      </c>
      <c r="KW4" s="11" t="str">
        <f t="shared" ref="KW4:KW18" si="89">IF(SUM(KT4,KU4)&gt;0,SUM(KT4,KU4),"")</f>
        <v/>
      </c>
      <c r="KX4" s="11" t="str">
        <f t="shared" ref="KX4:KX18" si="90">IF(SUM(KL4,KP4)&gt;0,SUM(KL4,KP4),"")</f>
        <v/>
      </c>
      <c r="KY4" s="11" t="str">
        <f t="shared" ref="KY4:KY18" si="91">IF(SUM(KK4:KL4,KN4:KP4,KR4)-SUM(KM4,KQ4)&gt;0,SUM(KK4:KL4,KN4:KP4,KR4)-SUM(KM4,KQ4),"")</f>
        <v/>
      </c>
      <c r="KZ4" s="11" t="str">
        <f t="shared" ref="KZ4:KZ18" si="92"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 t="shared" ref="LU4:LU18" si="93">IF(SUM(LB4,LF4)&gt;0,SUM(LB4,LF4),"")</f>
        <v/>
      </c>
      <c r="LV4" s="40" t="str">
        <f t="shared" ref="LV4:LV18" si="94">IF(SUM(LA4:LB4,LD4:LF4,LH4)-LC4-LG4&gt;0,SUM(LA4:LB4,LD4:LF4,LH4)-LC4-LG4,"")</f>
        <v/>
      </c>
      <c r="LW4" s="40" t="str">
        <f t="shared" ref="LW4:LW18" si="95">IF(SUM(LI4:LJ4,LL4)-LK4&gt;0,SUM(LI4:LJ4,LL4)-LK4,"")</f>
        <v/>
      </c>
      <c r="LX4" s="40" t="str">
        <f t="shared" ref="LX4:LX18" si="96">IF(SUM(LB4,LF4,LJ4)&gt;0,SUM(LB4,LF4,LJ4),"")</f>
        <v/>
      </c>
      <c r="LY4" s="40" t="str">
        <f t="shared" ref="LY4:LY18" si="97">IF(SUM(LV4,LW4)&gt;0,SUM(LV4,LW4),"")</f>
        <v/>
      </c>
      <c r="LZ4" s="40" t="str">
        <f t="shared" ref="LZ4:LZ18" si="98">IF(SUM(LN4,LR4)&gt;0,SUM(LN4,LR4),"")</f>
        <v/>
      </c>
      <c r="MA4" s="40" t="str">
        <f t="shared" ref="MA4:MA18" si="99">IF(SUM(LM4:LN4,LP4:LR4,LT4)-SUM(LO4,LS4)&gt;0,SUM(LM4:LN4,LP4:LR4,LT4)-SUM(LO4,LS4),"")</f>
        <v/>
      </c>
      <c r="MB4" s="40" t="str">
        <f t="shared" ref="MB4:MB18" si="100"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 t="shared" ref="MW4:MW18" si="101">IF(SUM(MD4,MH4)&gt;0,SUM(MD4,MH4),"")</f>
        <v/>
      </c>
      <c r="MX4" s="11" t="str">
        <f t="shared" ref="MX4:MX18" si="102">IF(SUM(MC4:MD4,MF4:MH4,MJ4)-ME4-MI4&gt;0,SUM(MC4:MD4,MF4:MH4,MJ4)-ME4-MI4,"")</f>
        <v/>
      </c>
      <c r="MY4" s="11" t="str">
        <f t="shared" ref="MY4:MY18" si="103">IF(SUM(MK4:ML4,MN4)-MM4&gt;0,SUM(MK4:ML4,MN4)-MM4,"")</f>
        <v/>
      </c>
      <c r="MZ4" s="11" t="str">
        <f t="shared" ref="MZ4:MZ18" si="104">IF(SUM(MD4,MH4,ML4)&gt;0,SUM(MD4,MH4,ML4),"")</f>
        <v/>
      </c>
      <c r="NA4" s="11" t="str">
        <f t="shared" ref="NA4:NA18" si="105">IF(SUM(MX4,MY4)&gt;0,SUM(MX4,MY4),"")</f>
        <v/>
      </c>
      <c r="NB4" s="11" t="str">
        <f t="shared" ref="NB4:NB18" si="106">IF(SUM(MP4,MT4)&gt;0,SUM(MP4,MT4),"")</f>
        <v/>
      </c>
      <c r="NC4" s="11" t="str">
        <f t="shared" ref="NC4:NC18" si="107">IF(SUM(MO4:MP4,MR4:MT4,MV4)-SUM(MQ4,MU4)&gt;0,SUM(MO4:MP4,MR4:MT4,MV4)-SUM(MQ4,MU4),"")</f>
        <v/>
      </c>
      <c r="ND4" s="11" t="str">
        <f t="shared" ref="ND4:ND18" si="108"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 t="shared" ref="NY4:NY18" si="109">IF(SUM(NF4,NJ4)&gt;0,SUM(NF4,NJ4),"")</f>
        <v/>
      </c>
      <c r="NZ4" s="40" t="str">
        <f t="shared" ref="NZ4:NZ18" si="110">IF(SUM(NE4:NF4,NH4:NJ4,NL4)-NG4-NK4&gt;0,SUM(NE4:NF4,NH4:NJ4,NL4)-NG4-NK4,"")</f>
        <v/>
      </c>
      <c r="OA4" s="40" t="str">
        <f t="shared" ref="OA4:OA18" si="111">IF(SUM(NM4:NN4,NP4)-NO4&gt;0,SUM(NM4:NN4,NP4)-NO4,"")</f>
        <v/>
      </c>
      <c r="OB4" s="40" t="str">
        <f t="shared" ref="OB4:OB18" si="112">IF(SUM(NF4,NJ4,NN4)&gt;0,SUM(NF4,NJ4,NN4),"")</f>
        <v/>
      </c>
      <c r="OC4" s="40" t="str">
        <f t="shared" ref="OC4:OC18" si="113">IF(SUM(NZ4,OA4)&gt;0,SUM(NZ4,OA4),"")</f>
        <v/>
      </c>
      <c r="OD4" s="40" t="str">
        <f t="shared" ref="OD4:OD18" si="114">IF(SUM(NR4,NV4)&gt;0,SUM(NR4,NV4),"")</f>
        <v/>
      </c>
      <c r="OE4" s="40" t="str">
        <f t="shared" ref="OE4:OE18" si="115">IF(SUM(NQ4:NR4,NT4:NV4,NX4)-SUM(NS4,NW4)&gt;0,SUM(NQ4:NR4,NT4:NV4,NX4)-SUM(NS4,NW4),"")</f>
        <v/>
      </c>
      <c r="OF4" s="40" t="str">
        <f t="shared" ref="OF4:OF18" si="116"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 t="shared" ref="PA4:PA18" si="117">IF(SUM(OH4,OL4)&gt;0,SUM(OH4,OL4),"")</f>
        <v/>
      </c>
      <c r="PB4" s="11" t="str">
        <f t="shared" ref="PB4:PB18" si="118">IF(SUM(OG4:OH4,OJ4:OL4,ON4)-OI4-OM4&gt;0,SUM(OG4:OH4,OJ4:OL4,ON4)-OI4-OM4,"")</f>
        <v/>
      </c>
      <c r="PC4" s="11" t="str">
        <f t="shared" ref="PC4:PC18" si="119">IF(SUM(OO4:OP4,OR4)-OQ4&gt;0,SUM(OO4:OP4,OR4)-OQ4,"")</f>
        <v/>
      </c>
      <c r="PD4" s="11" t="str">
        <f t="shared" ref="PD4:PD18" si="120">IF(SUM(OH4,OL4,OP4)&gt;0,SUM(OH4,OL4,OP4),"")</f>
        <v/>
      </c>
      <c r="PE4" s="11" t="str">
        <f t="shared" ref="PE4:PE18" si="121">IF(SUM(PB4,PC4)&gt;0,SUM(PB4,PC4),"")</f>
        <v/>
      </c>
      <c r="PF4" s="11" t="str">
        <f t="shared" ref="PF4:PF18" si="122">IF(SUM(OT4,OX4)&gt;0,SUM(OT4,OX4),"")</f>
        <v/>
      </c>
      <c r="PG4" s="11" t="str">
        <f t="shared" ref="PG4:PG18" si="123">IF(SUM(OS4:OT4,OV4:OX4,OZ4)-SUM(OU4,OY4)&gt;0,SUM(OS4:OT4,OV4:OX4,OZ4)-SUM(OU4,OY4),"")</f>
        <v/>
      </c>
      <c r="PH4" s="11" t="str">
        <f t="shared" ref="PH4:PH18" si="124">IF(SUM(PB4,PC4,PG4)&gt;0,SUM(PB4,PC4,PG4),"")</f>
        <v/>
      </c>
      <c r="PI4" s="22">
        <f t="shared" ref="PI4:PI18" si="125">IF($CC4="P",BM4,(BM4+AQ4)/2)</f>
        <v>9.1999999999999993</v>
      </c>
      <c r="PJ4" s="22">
        <f t="shared" ref="PJ4:PJ18" si="126">IF($CC4="P",BN4,(BN4+AR4)/2)</f>
        <v>3.65</v>
      </c>
      <c r="PK4" s="22">
        <f t="shared" ref="PK4:PK18" si="127">IF($CC4="P",BO4,(BO4+AS4)/2)</f>
        <v>0</v>
      </c>
      <c r="PL4" s="22">
        <f t="shared" ref="PL4:PL18" si="128">IF($CC4="P",BP4,(BP4+AT4)/2)</f>
        <v>0</v>
      </c>
      <c r="PM4" s="22">
        <f t="shared" ref="PM4:PM18" si="129">IF($CC4="P",BQ4,(BQ4+AU4)/2)</f>
        <v>8.9499999999999993</v>
      </c>
      <c r="PN4" s="22">
        <f t="shared" ref="PN4:PN18" si="130">IF($CC4="P",BR4,(BR4+AV4)/2)</f>
        <v>3.45</v>
      </c>
      <c r="PO4" s="22">
        <f t="shared" ref="PO4:PO18" si="131">IF($CC4="P",BS4,(BS4+AW4)/2)</f>
        <v>0</v>
      </c>
      <c r="PP4" s="22">
        <f t="shared" ref="PP4:PP18" si="132">IF($CC4="P",BT4,(BT4+AX4)/2)</f>
        <v>0</v>
      </c>
      <c r="PQ4" s="22">
        <f t="shared" ref="PQ4:PQ18" si="133">IF($CC4="P",BU4,(BU4+AY4)/2)</f>
        <v>9.3000000000000007</v>
      </c>
      <c r="PR4" s="22">
        <f t="shared" ref="PR4:PR18" si="134">IF($CC4="P",BV4,(BV4+AZ4)/2)</f>
        <v>4.4000000000000004</v>
      </c>
      <c r="PS4" s="22">
        <f t="shared" ref="PS4:PS18" si="135">IF($CC4="P",BW4,(BW4+BA4)/2)</f>
        <v>0</v>
      </c>
      <c r="PT4" s="22">
        <f t="shared" ref="PT4:PT18" si="136">IF($CC4="P",BX4,(BX4+BB4)/2)</f>
        <v>0</v>
      </c>
      <c r="PU4" s="22">
        <f t="shared" ref="PU4:PU18" si="137">IF($CC4="P",BY4,(BY4+BC4)/2)</f>
        <v>9.0500000000000007</v>
      </c>
      <c r="PV4" s="22">
        <f t="shared" ref="PV4:PV18" si="138">IF($CC4="P",BZ4,(BZ4+BD4)/2)</f>
        <v>4.6500000000000004</v>
      </c>
      <c r="PW4" s="22">
        <f t="shared" ref="PW4:PW18" si="139">IF($CC4="P",CA4,(CA4+BE4)/2)</f>
        <v>0</v>
      </c>
      <c r="PX4" s="22">
        <f t="shared" ref="PX4:PX18" si="140">IF($CC4="P",CB4,(CB4+BF4)/2)</f>
        <v>0</v>
      </c>
      <c r="PY4" s="27" t="s">
        <v>46</v>
      </c>
      <c r="PZ4" s="40">
        <f t="shared" ref="PZ4:PZ18" si="141">IF(SUM(PJ4,PN4)&gt;0,SUM(PJ4,PN4),"")</f>
        <v>7.1</v>
      </c>
      <c r="QA4" s="40">
        <f t="shared" ref="QA4:QA18" si="142">IF(SUM(PI4:PJ4,PL4:PN4,PP4)-PK4-PO4&gt;0,SUM(PI4:PJ4,PL4:PN4,PP4)-PK4-PO4,"")</f>
        <v>25.249999999999996</v>
      </c>
      <c r="QB4" s="40">
        <f t="shared" ref="QB4:QB18" si="143">IF(SUM(PR4,PV4)&gt;0,SUM(PR4,PV4),"")</f>
        <v>9.0500000000000007</v>
      </c>
      <c r="QC4" s="40">
        <f t="shared" ref="QC4:QC18" si="144">IF(SUM(PQ4:PR4,PT4:PV4,PX4)-SUM(PS4,PW4)&gt;0,SUM(PQ4:PR4,PT4:PV4,PX4)-SUM(PS4,PW4),"")</f>
        <v>27.4</v>
      </c>
      <c r="QD4" s="40">
        <f t="shared" ref="QD4:QD18" si="145">IF(SUM(QA4,QC4)&gt;0,SUM(QA4,QC4),"")</f>
        <v>52.649999999999991</v>
      </c>
    </row>
    <row r="5" spans="1:446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108</v>
      </c>
      <c r="D5" s="4" t="s">
        <v>6</v>
      </c>
      <c r="E5" s="4">
        <v>2006</v>
      </c>
      <c r="F5" s="9">
        <f t="shared" si="0"/>
        <v>158.20001022000517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IF(COUNT(AM5,BI5,CE5)&gt;0,LARGE((AM5,BI5,CE5),1),0)</f>
        <v>51.6</v>
      </c>
      <c r="M5" s="8" t="str">
        <f t="shared" si="5"/>
        <v>2025 Nationals</v>
      </c>
      <c r="N5" s="8">
        <f>IF(COUNT(AM5,BI5,CE5)&gt;1,LARGE((AM5,BI5,CE5),2),0)</f>
        <v>50.6</v>
      </c>
      <c r="O5" s="8" t="str">
        <f t="shared" si="6"/>
        <v>2025 Elite Canada</v>
      </c>
      <c r="P5" s="8">
        <f t="shared" si="7"/>
        <v>53.5</v>
      </c>
      <c r="Q5" s="8" t="str">
        <f t="shared" si="8"/>
        <v>2025 Elite Canada</v>
      </c>
      <c r="R5" s="8">
        <f t="shared" si="9"/>
        <v>2.5</v>
      </c>
      <c r="S5" s="11" t="str">
        <f t="shared" si="10"/>
        <v>(Q1)</v>
      </c>
      <c r="T5" s="8" t="str">
        <f t="shared" si="11"/>
        <v>2025 World Cup FRA (Oct 5)</v>
      </c>
      <c r="U5" s="19">
        <v>17.3</v>
      </c>
      <c r="V5" s="19">
        <v>6.7</v>
      </c>
      <c r="W5" s="19">
        <v>0</v>
      </c>
      <c r="X5" s="19">
        <v>0</v>
      </c>
      <c r="Y5" s="19">
        <v>18.7</v>
      </c>
      <c r="Z5" s="19">
        <v>7.9</v>
      </c>
      <c r="AA5" s="19">
        <v>0</v>
      </c>
      <c r="AB5" s="19">
        <v>0</v>
      </c>
      <c r="AC5" s="19">
        <v>18.3</v>
      </c>
      <c r="AD5" s="19">
        <v>8.3000000000000007</v>
      </c>
      <c r="AE5" s="19">
        <v>0</v>
      </c>
      <c r="AF5" s="19">
        <v>0</v>
      </c>
      <c r="AG5" s="19">
        <v>19</v>
      </c>
      <c r="AH5" s="19">
        <v>7.9</v>
      </c>
      <c r="AI5" s="19">
        <v>0</v>
      </c>
      <c r="AJ5" s="19">
        <v>0</v>
      </c>
      <c r="AK5" s="27"/>
      <c r="AL5" s="40">
        <f t="shared" si="12"/>
        <v>14.600000000000001</v>
      </c>
      <c r="AM5" s="40">
        <f t="shared" si="13"/>
        <v>50.6</v>
      </c>
      <c r="AN5" s="40">
        <f t="shared" si="14"/>
        <v>16.200000000000003</v>
      </c>
      <c r="AO5" s="40">
        <f t="shared" si="15"/>
        <v>53.5</v>
      </c>
      <c r="AP5" s="40">
        <f t="shared" si="16"/>
        <v>104.1</v>
      </c>
      <c r="AQ5" s="18">
        <v>18.399999999999999</v>
      </c>
      <c r="AR5" s="18">
        <v>6.5</v>
      </c>
      <c r="AS5" s="18">
        <v>0</v>
      </c>
      <c r="AT5" s="18">
        <v>0</v>
      </c>
      <c r="AU5" s="18">
        <v>18.8</v>
      </c>
      <c r="AV5" s="18">
        <v>7.9</v>
      </c>
      <c r="AW5" s="18">
        <v>0</v>
      </c>
      <c r="AX5" s="18">
        <v>0</v>
      </c>
      <c r="AY5" s="18">
        <v>16.600000000000001</v>
      </c>
      <c r="AZ5" s="18">
        <v>4.5</v>
      </c>
      <c r="BA5" s="18">
        <v>0</v>
      </c>
      <c r="BB5" s="18">
        <v>0</v>
      </c>
      <c r="BC5" s="18">
        <v>17.2</v>
      </c>
      <c r="BD5" s="18">
        <v>8.3000000000000007</v>
      </c>
      <c r="BE5" s="18">
        <v>0</v>
      </c>
      <c r="BF5" s="18">
        <v>0</v>
      </c>
      <c r="BG5" s="28"/>
      <c r="BH5" s="11">
        <f t="shared" si="17"/>
        <v>14.4</v>
      </c>
      <c r="BI5" s="11">
        <f t="shared" si="18"/>
        <v>51.6</v>
      </c>
      <c r="BJ5" s="11">
        <f t="shared" si="19"/>
        <v>12.8</v>
      </c>
      <c r="BK5" s="11">
        <f t="shared" si="20"/>
        <v>46.599999999999994</v>
      </c>
      <c r="BL5" s="11">
        <f t="shared" si="21"/>
        <v>98.199999999999989</v>
      </c>
      <c r="BM5" s="19">
        <v>17.600000000000001</v>
      </c>
      <c r="BN5" s="19">
        <v>7.7</v>
      </c>
      <c r="BO5" s="19">
        <v>0</v>
      </c>
      <c r="BP5" s="19">
        <v>0</v>
      </c>
      <c r="BQ5" s="19">
        <v>11.1</v>
      </c>
      <c r="BR5" s="19">
        <v>3.1</v>
      </c>
      <c r="BS5" s="19">
        <v>0</v>
      </c>
      <c r="BT5" s="19">
        <v>0</v>
      </c>
      <c r="BU5" s="19">
        <v>17.2</v>
      </c>
      <c r="BV5" s="19">
        <v>7.7</v>
      </c>
      <c r="BW5" s="19">
        <v>0</v>
      </c>
      <c r="BX5" s="19">
        <v>0</v>
      </c>
      <c r="BY5" s="19">
        <v>18.100000000000001</v>
      </c>
      <c r="BZ5" s="19">
        <v>7.5</v>
      </c>
      <c r="CA5" s="19">
        <v>0</v>
      </c>
      <c r="CB5" s="19">
        <v>0</v>
      </c>
      <c r="CC5" s="27"/>
      <c r="CD5" s="40">
        <f t="shared" si="22"/>
        <v>10.8</v>
      </c>
      <c r="CE5" s="40">
        <f t="shared" si="23"/>
        <v>39.5</v>
      </c>
      <c r="CF5" s="40">
        <f t="shared" si="24"/>
        <v>15.2</v>
      </c>
      <c r="CG5" s="40">
        <f t="shared" si="25"/>
        <v>50.5</v>
      </c>
      <c r="CH5" s="40">
        <f t="shared" si="26"/>
        <v>90</v>
      </c>
      <c r="CI5" s="50">
        <f t="shared" si="27"/>
        <v>2.5</v>
      </c>
      <c r="CJ5" s="50" t="str">
        <f t="shared" si="28"/>
        <v/>
      </c>
      <c r="CK5" s="17">
        <v>18.399999999999999</v>
      </c>
      <c r="CL5" s="17">
        <v>8.3000000000000007</v>
      </c>
      <c r="CM5" s="17">
        <v>0</v>
      </c>
      <c r="CN5" s="17">
        <v>0</v>
      </c>
      <c r="CO5" s="17">
        <v>17.899999999999999</v>
      </c>
      <c r="CP5" s="17">
        <v>7.9</v>
      </c>
      <c r="CQ5" s="17">
        <v>0</v>
      </c>
      <c r="CR5" s="17">
        <v>0</v>
      </c>
      <c r="CS5" s="17">
        <v>16.600000000000001</v>
      </c>
      <c r="CT5" s="17">
        <v>4.5</v>
      </c>
      <c r="CU5" s="17">
        <v>0</v>
      </c>
      <c r="CV5" s="17">
        <v>0</v>
      </c>
      <c r="CW5" s="17"/>
      <c r="CX5" s="17"/>
      <c r="CY5" s="17"/>
      <c r="CZ5" s="17"/>
      <c r="DA5" s="17"/>
      <c r="DB5" s="17"/>
      <c r="DC5" s="17"/>
      <c r="DD5" s="17"/>
      <c r="DE5" s="40">
        <f t="shared" si="29"/>
        <v>16.200000000000003</v>
      </c>
      <c r="DF5" s="40">
        <f t="shared" si="30"/>
        <v>52.499999999999993</v>
      </c>
      <c r="DG5" s="40">
        <f t="shared" si="31"/>
        <v>21.1</v>
      </c>
      <c r="DH5" s="40">
        <f t="shared" si="32"/>
        <v>20.700000000000003</v>
      </c>
      <c r="DI5" s="40">
        <f t="shared" si="33"/>
        <v>73.599999999999994</v>
      </c>
      <c r="DJ5" s="40" t="str">
        <f t="shared" si="34"/>
        <v/>
      </c>
      <c r="DK5" s="40" t="str">
        <f t="shared" si="35"/>
        <v/>
      </c>
      <c r="DL5" s="40">
        <f t="shared" si="36"/>
        <v>73.599999999999994</v>
      </c>
      <c r="DM5" s="18">
        <v>17.7</v>
      </c>
      <c r="DN5" s="18">
        <v>8.9</v>
      </c>
      <c r="DO5" s="18">
        <v>0.2</v>
      </c>
      <c r="DP5" s="18">
        <v>0</v>
      </c>
      <c r="DQ5" s="18">
        <v>18.8</v>
      </c>
      <c r="DR5" s="18">
        <v>7.9</v>
      </c>
      <c r="DS5" s="18">
        <v>0</v>
      </c>
      <c r="DT5" s="18">
        <v>0</v>
      </c>
      <c r="DU5" s="18"/>
      <c r="DV5" s="18"/>
      <c r="DW5" s="18"/>
      <c r="DX5" s="18"/>
      <c r="DY5" s="18">
        <v>18.100000000000001</v>
      </c>
      <c r="DZ5" s="18">
        <v>8.6999999999999993</v>
      </c>
      <c r="EA5" s="18">
        <v>0</v>
      </c>
      <c r="EB5" s="18">
        <v>0</v>
      </c>
      <c r="EC5" s="18"/>
      <c r="ED5" s="18"/>
      <c r="EE5" s="18"/>
      <c r="EF5" s="18"/>
      <c r="EG5" s="11">
        <f t="shared" si="37"/>
        <v>16.8</v>
      </c>
      <c r="EH5" s="11">
        <f t="shared" si="38"/>
        <v>53.1</v>
      </c>
      <c r="EI5" s="11" t="str">
        <f t="shared" si="39"/>
        <v/>
      </c>
      <c r="EJ5" s="11">
        <f t="shared" si="40"/>
        <v>16.8</v>
      </c>
      <c r="EK5" s="11">
        <f t="shared" si="41"/>
        <v>53.1</v>
      </c>
      <c r="EL5" s="11">
        <f t="shared" si="42"/>
        <v>8.6999999999999993</v>
      </c>
      <c r="EM5" s="11">
        <f t="shared" si="43"/>
        <v>26.8</v>
      </c>
      <c r="EN5" s="11">
        <f t="shared" si="44"/>
        <v>79.900000000000006</v>
      </c>
      <c r="EO5" s="17">
        <v>17.7</v>
      </c>
      <c r="EP5" s="17">
        <v>8.6999999999999993</v>
      </c>
      <c r="EQ5" s="17">
        <v>0.2</v>
      </c>
      <c r="ER5" s="17">
        <v>0</v>
      </c>
      <c r="ES5" s="17">
        <v>17.899999999999999</v>
      </c>
      <c r="ET5" s="17">
        <v>7.5</v>
      </c>
      <c r="EU5" s="17">
        <v>0</v>
      </c>
      <c r="EV5" s="17">
        <v>0</v>
      </c>
      <c r="EW5" s="17">
        <v>17</v>
      </c>
      <c r="EX5" s="17">
        <v>4.5</v>
      </c>
      <c r="EY5" s="17">
        <v>0</v>
      </c>
      <c r="EZ5" s="17">
        <v>0</v>
      </c>
      <c r="FA5" s="17"/>
      <c r="FB5" s="17"/>
      <c r="FC5" s="17"/>
      <c r="FD5" s="17"/>
      <c r="FE5" s="17"/>
      <c r="FF5" s="17"/>
      <c r="FG5" s="17"/>
      <c r="FH5" s="17"/>
      <c r="FI5" s="40">
        <f t="shared" si="45"/>
        <v>16.2</v>
      </c>
      <c r="FJ5" s="40">
        <f t="shared" si="46"/>
        <v>51.599999999999994</v>
      </c>
      <c r="FK5" s="40">
        <f t="shared" si="47"/>
        <v>21.5</v>
      </c>
      <c r="FL5" s="40">
        <f t="shared" si="48"/>
        <v>20.7</v>
      </c>
      <c r="FM5" s="40">
        <f t="shared" si="49"/>
        <v>73.099999999999994</v>
      </c>
      <c r="FN5" s="40" t="str">
        <f t="shared" si="50"/>
        <v/>
      </c>
      <c r="FO5" s="40" t="str">
        <f t="shared" si="51"/>
        <v/>
      </c>
      <c r="FP5" s="40">
        <f t="shared" si="52"/>
        <v>73.099999999999994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 t="shared" si="53"/>
        <v/>
      </c>
      <c r="GL5" s="11" t="str">
        <f t="shared" si="54"/>
        <v/>
      </c>
      <c r="GM5" s="11" t="str">
        <f t="shared" si="55"/>
        <v/>
      </c>
      <c r="GN5" s="11" t="str">
        <f t="shared" si="56"/>
        <v/>
      </c>
      <c r="GO5" s="11" t="str">
        <f t="shared" si="57"/>
        <v/>
      </c>
      <c r="GP5" s="11" t="str">
        <f t="shared" si="58"/>
        <v/>
      </c>
      <c r="GQ5" s="11" t="str">
        <f t="shared" si="59"/>
        <v/>
      </c>
      <c r="GR5" s="11" t="str">
        <f t="shared" si="60"/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 t="shared" si="61"/>
        <v/>
      </c>
      <c r="HN5" s="40" t="str">
        <f t="shared" si="62"/>
        <v/>
      </c>
      <c r="HO5" s="40" t="str">
        <f t="shared" si="63"/>
        <v/>
      </c>
      <c r="HP5" s="40" t="str">
        <f t="shared" si="64"/>
        <v/>
      </c>
      <c r="HQ5" s="40" t="str">
        <f t="shared" si="65"/>
        <v/>
      </c>
      <c r="HR5" s="40" t="str">
        <f t="shared" si="66"/>
        <v/>
      </c>
      <c r="HS5" s="40" t="str">
        <f t="shared" si="67"/>
        <v/>
      </c>
      <c r="HT5" s="40" t="str">
        <f t="shared" si="68"/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 t="shared" si="69"/>
        <v/>
      </c>
      <c r="IP5" s="11" t="str">
        <f t="shared" si="70"/>
        <v/>
      </c>
      <c r="IQ5" s="11" t="str">
        <f t="shared" si="71"/>
        <v/>
      </c>
      <c r="IR5" s="11" t="str">
        <f t="shared" si="72"/>
        <v/>
      </c>
      <c r="IS5" s="11" t="str">
        <f t="shared" si="73"/>
        <v/>
      </c>
      <c r="IT5" s="11" t="str">
        <f t="shared" si="74"/>
        <v/>
      </c>
      <c r="IU5" s="11" t="str">
        <f t="shared" si="75"/>
        <v/>
      </c>
      <c r="IV5" s="11" t="str">
        <f t="shared" si="76"/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 t="shared" si="77"/>
        <v/>
      </c>
      <c r="JR5" s="40" t="str">
        <f t="shared" si="78"/>
        <v/>
      </c>
      <c r="JS5" s="40" t="str">
        <f t="shared" si="79"/>
        <v/>
      </c>
      <c r="JT5" s="40" t="str">
        <f t="shared" si="80"/>
        <v/>
      </c>
      <c r="JU5" s="40" t="str">
        <f t="shared" si="81"/>
        <v/>
      </c>
      <c r="JV5" s="40" t="str">
        <f t="shared" si="82"/>
        <v/>
      </c>
      <c r="JW5" s="40" t="str">
        <f t="shared" si="83"/>
        <v/>
      </c>
      <c r="JX5" s="40" t="str">
        <f t="shared" si="84"/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 t="shared" si="85"/>
        <v/>
      </c>
      <c r="KT5" s="11" t="str">
        <f t="shared" si="86"/>
        <v/>
      </c>
      <c r="KU5" s="11" t="str">
        <f t="shared" si="87"/>
        <v/>
      </c>
      <c r="KV5" s="11" t="str">
        <f t="shared" si="88"/>
        <v/>
      </c>
      <c r="KW5" s="11" t="str">
        <f t="shared" si="89"/>
        <v/>
      </c>
      <c r="KX5" s="11" t="str">
        <f t="shared" si="90"/>
        <v/>
      </c>
      <c r="KY5" s="11" t="str">
        <f t="shared" si="91"/>
        <v/>
      </c>
      <c r="KZ5" s="11" t="str">
        <f t="shared" si="92"/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 t="shared" si="93"/>
        <v/>
      </c>
      <c r="LV5" s="40" t="str">
        <f t="shared" si="94"/>
        <v/>
      </c>
      <c r="LW5" s="40" t="str">
        <f t="shared" si="95"/>
        <v/>
      </c>
      <c r="LX5" s="40" t="str">
        <f t="shared" si="96"/>
        <v/>
      </c>
      <c r="LY5" s="40" t="str">
        <f t="shared" si="97"/>
        <v/>
      </c>
      <c r="LZ5" s="40" t="str">
        <f t="shared" si="98"/>
        <v/>
      </c>
      <c r="MA5" s="40" t="str">
        <f t="shared" si="99"/>
        <v/>
      </c>
      <c r="MB5" s="40" t="str">
        <f t="shared" si="100"/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 t="shared" si="101"/>
        <v/>
      </c>
      <c r="MX5" s="11" t="str">
        <f t="shared" si="102"/>
        <v/>
      </c>
      <c r="MY5" s="11" t="str">
        <f t="shared" si="103"/>
        <v/>
      </c>
      <c r="MZ5" s="11" t="str">
        <f t="shared" si="104"/>
        <v/>
      </c>
      <c r="NA5" s="11" t="str">
        <f t="shared" si="105"/>
        <v/>
      </c>
      <c r="NB5" s="11" t="str">
        <f t="shared" si="106"/>
        <v/>
      </c>
      <c r="NC5" s="11" t="str">
        <f t="shared" si="107"/>
        <v/>
      </c>
      <c r="ND5" s="11" t="str">
        <f t="shared" si="108"/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 t="shared" si="109"/>
        <v/>
      </c>
      <c r="NZ5" s="40" t="str">
        <f t="shared" si="110"/>
        <v/>
      </c>
      <c r="OA5" s="40" t="str">
        <f t="shared" si="111"/>
        <v/>
      </c>
      <c r="OB5" s="40" t="str">
        <f t="shared" si="112"/>
        <v/>
      </c>
      <c r="OC5" s="40" t="str">
        <f t="shared" si="113"/>
        <v/>
      </c>
      <c r="OD5" s="40" t="str">
        <f t="shared" si="114"/>
        <v/>
      </c>
      <c r="OE5" s="40" t="str">
        <f t="shared" si="115"/>
        <v/>
      </c>
      <c r="OF5" s="40" t="str">
        <f t="shared" si="116"/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 t="shared" si="117"/>
        <v/>
      </c>
      <c r="PB5" s="11" t="str">
        <f t="shared" si="118"/>
        <v/>
      </c>
      <c r="PC5" s="11" t="str">
        <f t="shared" si="119"/>
        <v/>
      </c>
      <c r="PD5" s="11" t="str">
        <f t="shared" si="120"/>
        <v/>
      </c>
      <c r="PE5" s="11" t="str">
        <f t="shared" si="121"/>
        <v/>
      </c>
      <c r="PF5" s="11" t="str">
        <f t="shared" si="122"/>
        <v/>
      </c>
      <c r="PG5" s="11" t="str">
        <f t="shared" si="123"/>
        <v/>
      </c>
      <c r="PH5" s="11" t="str">
        <f t="shared" si="124"/>
        <v/>
      </c>
      <c r="PI5" s="22">
        <f t="shared" si="125"/>
        <v>18</v>
      </c>
      <c r="PJ5" s="22">
        <f t="shared" si="126"/>
        <v>7.1</v>
      </c>
      <c r="PK5" s="22">
        <f t="shared" si="127"/>
        <v>0</v>
      </c>
      <c r="PL5" s="22">
        <f t="shared" si="128"/>
        <v>0</v>
      </c>
      <c r="PM5" s="22">
        <f t="shared" si="129"/>
        <v>14.95</v>
      </c>
      <c r="PN5" s="22">
        <f t="shared" si="130"/>
        <v>5.5</v>
      </c>
      <c r="PO5" s="22">
        <f t="shared" si="131"/>
        <v>0</v>
      </c>
      <c r="PP5" s="22">
        <f t="shared" si="132"/>
        <v>0</v>
      </c>
      <c r="PQ5" s="22">
        <f t="shared" si="133"/>
        <v>16.899999999999999</v>
      </c>
      <c r="PR5" s="22">
        <f t="shared" si="134"/>
        <v>6.1</v>
      </c>
      <c r="PS5" s="22">
        <f t="shared" si="135"/>
        <v>0</v>
      </c>
      <c r="PT5" s="22">
        <f t="shared" si="136"/>
        <v>0</v>
      </c>
      <c r="PU5" s="22">
        <f t="shared" si="137"/>
        <v>17.649999999999999</v>
      </c>
      <c r="PV5" s="22">
        <f t="shared" si="138"/>
        <v>7.9</v>
      </c>
      <c r="PW5" s="22">
        <f t="shared" si="139"/>
        <v>0</v>
      </c>
      <c r="PX5" s="22">
        <f t="shared" si="140"/>
        <v>0</v>
      </c>
      <c r="PY5" s="27" t="s">
        <v>46</v>
      </c>
      <c r="PZ5" s="40">
        <f t="shared" si="141"/>
        <v>12.6</v>
      </c>
      <c r="QA5" s="40">
        <f t="shared" si="142"/>
        <v>45.55</v>
      </c>
      <c r="QB5" s="40">
        <f t="shared" si="143"/>
        <v>14</v>
      </c>
      <c r="QC5" s="40">
        <f t="shared" si="144"/>
        <v>48.55</v>
      </c>
      <c r="QD5" s="40">
        <f t="shared" si="145"/>
        <v>94.1</v>
      </c>
    </row>
    <row r="6" spans="1:446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93</v>
      </c>
      <c r="D6" s="4" t="s">
        <v>87</v>
      </c>
      <c r="E6" s="4">
        <v>2005</v>
      </c>
      <c r="F6" s="9">
        <f t="shared" si="0"/>
        <v>143.00000888000483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IF(COUNT(AM6,BI6,CE6)&gt;0,LARGE((AM6,BI6,CE6),1),0)</f>
        <v>48.3</v>
      </c>
      <c r="M6" s="8" t="str">
        <f t="shared" si="5"/>
        <v>2025 Elite Canada</v>
      </c>
      <c r="N6" s="8">
        <f>IF(COUNT(AM6,BI6,CE6)&gt;1,LARGE((AM6,BI6,CE6),2),0)</f>
        <v>40.5</v>
      </c>
      <c r="O6" s="8" t="str">
        <f t="shared" si="6"/>
        <v>2025 3rd Domestic Trial</v>
      </c>
      <c r="P6" s="8">
        <f t="shared" si="7"/>
        <v>46.800000000000004</v>
      </c>
      <c r="Q6" s="8" t="str">
        <f t="shared" si="8"/>
        <v>2025 Nationals</v>
      </c>
      <c r="R6" s="8">
        <f t="shared" si="9"/>
        <v>7.3999999999999915</v>
      </c>
      <c r="S6" s="11" t="str">
        <f t="shared" si="10"/>
        <v>(Q1)</v>
      </c>
      <c r="T6" s="8" t="str">
        <f t="shared" si="11"/>
        <v>2025 World Cup POR (July 6)</v>
      </c>
      <c r="U6" s="19">
        <v>18.3</v>
      </c>
      <c r="V6" s="19">
        <v>6.5</v>
      </c>
      <c r="W6" s="19">
        <v>0</v>
      </c>
      <c r="X6" s="19">
        <v>0</v>
      </c>
      <c r="Y6" s="19">
        <v>18</v>
      </c>
      <c r="Z6" s="19">
        <v>5.5</v>
      </c>
      <c r="AA6" s="19">
        <v>0</v>
      </c>
      <c r="AB6" s="19">
        <v>0</v>
      </c>
      <c r="AC6" s="19">
        <v>16.600000000000001</v>
      </c>
      <c r="AD6" s="19">
        <v>3.3</v>
      </c>
      <c r="AE6" s="19">
        <v>0</v>
      </c>
      <c r="AF6" s="19">
        <v>0</v>
      </c>
      <c r="AG6" s="19">
        <v>14.9</v>
      </c>
      <c r="AH6" s="19">
        <v>6.1</v>
      </c>
      <c r="AI6" s="19">
        <v>0.2</v>
      </c>
      <c r="AJ6" s="19">
        <v>0</v>
      </c>
      <c r="AK6" s="27"/>
      <c r="AL6" s="40">
        <f t="shared" si="12"/>
        <v>12</v>
      </c>
      <c r="AM6" s="40">
        <f t="shared" si="13"/>
        <v>48.3</v>
      </c>
      <c r="AN6" s="40">
        <f t="shared" si="14"/>
        <v>9.3999999999999986</v>
      </c>
      <c r="AO6" s="40">
        <f t="shared" si="15"/>
        <v>40.700000000000003</v>
      </c>
      <c r="AP6" s="40">
        <f t="shared" si="16"/>
        <v>89</v>
      </c>
      <c r="AQ6" s="18">
        <v>13.7</v>
      </c>
      <c r="AR6" s="18">
        <v>5.0999999999999996</v>
      </c>
      <c r="AS6" s="18">
        <v>2.4</v>
      </c>
      <c r="AT6" s="18">
        <v>0</v>
      </c>
      <c r="AU6" s="18">
        <v>15.1</v>
      </c>
      <c r="AV6" s="18">
        <v>6.5</v>
      </c>
      <c r="AW6" s="18">
        <v>0.2</v>
      </c>
      <c r="AX6" s="18">
        <v>0</v>
      </c>
      <c r="AY6" s="18">
        <v>18.3</v>
      </c>
      <c r="AZ6" s="18">
        <v>6.5</v>
      </c>
      <c r="BA6" s="18">
        <v>0</v>
      </c>
      <c r="BB6" s="18">
        <v>0</v>
      </c>
      <c r="BC6" s="18">
        <v>16.899999999999999</v>
      </c>
      <c r="BD6" s="18">
        <v>5.0999999999999996</v>
      </c>
      <c r="BE6" s="18">
        <v>0</v>
      </c>
      <c r="BF6" s="18">
        <v>0</v>
      </c>
      <c r="BG6" s="28"/>
      <c r="BH6" s="11">
        <f t="shared" si="17"/>
        <v>11.6</v>
      </c>
      <c r="BI6" s="11">
        <f t="shared" si="18"/>
        <v>37.799999999999997</v>
      </c>
      <c r="BJ6" s="11">
        <f t="shared" si="19"/>
        <v>11.6</v>
      </c>
      <c r="BK6" s="11">
        <f t="shared" si="20"/>
        <v>46.800000000000004</v>
      </c>
      <c r="BL6" s="11">
        <f t="shared" si="21"/>
        <v>84.6</v>
      </c>
      <c r="BM6" s="19">
        <v>16.899999999999999</v>
      </c>
      <c r="BN6" s="19">
        <v>6.3</v>
      </c>
      <c r="BO6" s="19">
        <v>0</v>
      </c>
      <c r="BP6" s="19">
        <v>0</v>
      </c>
      <c r="BQ6" s="19">
        <v>16.7</v>
      </c>
      <c r="BR6" s="19">
        <v>3.6</v>
      </c>
      <c r="BS6" s="19">
        <v>3</v>
      </c>
      <c r="BT6" s="19">
        <v>0</v>
      </c>
      <c r="BU6" s="19">
        <v>15.9</v>
      </c>
      <c r="BV6" s="19">
        <v>3.1</v>
      </c>
      <c r="BW6" s="19">
        <v>0</v>
      </c>
      <c r="BX6" s="19">
        <v>0</v>
      </c>
      <c r="BY6" s="19">
        <v>14.5</v>
      </c>
      <c r="BZ6" s="19">
        <v>3.6</v>
      </c>
      <c r="CA6" s="19">
        <v>3</v>
      </c>
      <c r="CB6" s="19">
        <v>0</v>
      </c>
      <c r="CC6" s="27"/>
      <c r="CD6" s="40">
        <f t="shared" si="22"/>
        <v>9.9</v>
      </c>
      <c r="CE6" s="40">
        <f t="shared" si="23"/>
        <v>40.5</v>
      </c>
      <c r="CF6" s="40">
        <f t="shared" si="24"/>
        <v>6.7</v>
      </c>
      <c r="CG6" s="40">
        <f t="shared" si="25"/>
        <v>34.1</v>
      </c>
      <c r="CH6" s="40">
        <f t="shared" si="26"/>
        <v>74.599999999999994</v>
      </c>
      <c r="CI6" s="50">
        <f t="shared" si="27"/>
        <v>7.3999999999999915</v>
      </c>
      <c r="CJ6" s="50" t="str">
        <f t="shared" si="28"/>
        <v/>
      </c>
      <c r="CK6" s="17">
        <v>17.399999999999999</v>
      </c>
      <c r="CL6" s="17">
        <v>6.9</v>
      </c>
      <c r="CM6" s="17">
        <v>0</v>
      </c>
      <c r="CN6" s="17">
        <v>0</v>
      </c>
      <c r="CO6" s="17">
        <v>17.3</v>
      </c>
      <c r="CP6" s="17">
        <v>6.3</v>
      </c>
      <c r="CQ6" s="17">
        <v>0</v>
      </c>
      <c r="CR6" s="17">
        <v>0</v>
      </c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>
        <f t="shared" si="29"/>
        <v>13.2</v>
      </c>
      <c r="DF6" s="40">
        <f t="shared" si="30"/>
        <v>47.899999999999991</v>
      </c>
      <c r="DG6" s="40" t="str">
        <f t="shared" si="31"/>
        <v/>
      </c>
      <c r="DH6" s="40">
        <f t="shared" si="32"/>
        <v>13.2</v>
      </c>
      <c r="DI6" s="40">
        <f t="shared" si="33"/>
        <v>47.899999999999991</v>
      </c>
      <c r="DJ6" s="40" t="str">
        <f t="shared" si="34"/>
        <v/>
      </c>
      <c r="DK6" s="40" t="str">
        <f t="shared" si="35"/>
        <v/>
      </c>
      <c r="DL6" s="40">
        <f t="shared" si="36"/>
        <v>47.899999999999991</v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 t="shared" si="37"/>
        <v/>
      </c>
      <c r="EH6" s="11" t="str">
        <f t="shared" si="38"/>
        <v/>
      </c>
      <c r="EI6" s="11" t="str">
        <f t="shared" si="39"/>
        <v/>
      </c>
      <c r="EJ6" s="11" t="str">
        <f t="shared" si="40"/>
        <v/>
      </c>
      <c r="EK6" s="11" t="str">
        <f t="shared" si="41"/>
        <v/>
      </c>
      <c r="EL6" s="11" t="str">
        <f t="shared" si="42"/>
        <v/>
      </c>
      <c r="EM6" s="11" t="str">
        <f t="shared" si="43"/>
        <v/>
      </c>
      <c r="EN6" s="11" t="str">
        <f t="shared" si="44"/>
        <v/>
      </c>
      <c r="EO6" s="17">
        <v>17.2</v>
      </c>
      <c r="EP6" s="17">
        <v>6.5</v>
      </c>
      <c r="EQ6" s="17">
        <v>0.2</v>
      </c>
      <c r="ER6" s="17">
        <v>0</v>
      </c>
      <c r="ES6" s="17">
        <v>16.5</v>
      </c>
      <c r="ET6" s="17">
        <v>5.0999999999999996</v>
      </c>
      <c r="EU6" s="17">
        <v>0</v>
      </c>
      <c r="EV6" s="17">
        <v>0</v>
      </c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>
        <f t="shared" si="45"/>
        <v>11.6</v>
      </c>
      <c r="FJ6" s="40">
        <f t="shared" si="46"/>
        <v>45.1</v>
      </c>
      <c r="FK6" s="40" t="str">
        <f t="shared" si="47"/>
        <v/>
      </c>
      <c r="FL6" s="40">
        <f t="shared" si="48"/>
        <v>11.6</v>
      </c>
      <c r="FM6" s="40">
        <f t="shared" si="49"/>
        <v>45.1</v>
      </c>
      <c r="FN6" s="40" t="str">
        <f t="shared" si="50"/>
        <v/>
      </c>
      <c r="FO6" s="40" t="str">
        <f t="shared" si="51"/>
        <v/>
      </c>
      <c r="FP6" s="40">
        <f t="shared" si="52"/>
        <v>45.1</v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 t="shared" si="53"/>
        <v/>
      </c>
      <c r="GL6" s="11" t="str">
        <f t="shared" si="54"/>
        <v/>
      </c>
      <c r="GM6" s="11" t="str">
        <f t="shared" si="55"/>
        <v/>
      </c>
      <c r="GN6" s="11" t="str">
        <f t="shared" si="56"/>
        <v/>
      </c>
      <c r="GO6" s="11" t="str">
        <f t="shared" si="57"/>
        <v/>
      </c>
      <c r="GP6" s="11" t="str">
        <f t="shared" si="58"/>
        <v/>
      </c>
      <c r="GQ6" s="11" t="str">
        <f t="shared" si="59"/>
        <v/>
      </c>
      <c r="GR6" s="11" t="str">
        <f t="shared" si="60"/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 t="shared" si="61"/>
        <v/>
      </c>
      <c r="HN6" s="40" t="str">
        <f t="shared" si="62"/>
        <v/>
      </c>
      <c r="HO6" s="40" t="str">
        <f t="shared" si="63"/>
        <v/>
      </c>
      <c r="HP6" s="40" t="str">
        <f t="shared" si="64"/>
        <v/>
      </c>
      <c r="HQ6" s="40" t="str">
        <f t="shared" si="65"/>
        <v/>
      </c>
      <c r="HR6" s="40" t="str">
        <f t="shared" si="66"/>
        <v/>
      </c>
      <c r="HS6" s="40" t="str">
        <f t="shared" si="67"/>
        <v/>
      </c>
      <c r="HT6" s="40" t="str">
        <f t="shared" si="68"/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 t="shared" si="69"/>
        <v/>
      </c>
      <c r="IP6" s="11" t="str">
        <f t="shared" si="70"/>
        <v/>
      </c>
      <c r="IQ6" s="11" t="str">
        <f t="shared" si="71"/>
        <v/>
      </c>
      <c r="IR6" s="11" t="str">
        <f t="shared" si="72"/>
        <v/>
      </c>
      <c r="IS6" s="11" t="str">
        <f t="shared" si="73"/>
        <v/>
      </c>
      <c r="IT6" s="11" t="str">
        <f t="shared" si="74"/>
        <v/>
      </c>
      <c r="IU6" s="11" t="str">
        <f t="shared" si="75"/>
        <v/>
      </c>
      <c r="IV6" s="11" t="str">
        <f t="shared" si="76"/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 t="shared" si="77"/>
        <v/>
      </c>
      <c r="JR6" s="40" t="str">
        <f t="shared" si="78"/>
        <v/>
      </c>
      <c r="JS6" s="40" t="str">
        <f t="shared" si="79"/>
        <v/>
      </c>
      <c r="JT6" s="40" t="str">
        <f t="shared" si="80"/>
        <v/>
      </c>
      <c r="JU6" s="40" t="str">
        <f t="shared" si="81"/>
        <v/>
      </c>
      <c r="JV6" s="40" t="str">
        <f t="shared" si="82"/>
        <v/>
      </c>
      <c r="JW6" s="40" t="str">
        <f t="shared" si="83"/>
        <v/>
      </c>
      <c r="JX6" s="40" t="str">
        <f t="shared" si="84"/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 t="shared" si="85"/>
        <v/>
      </c>
      <c r="KT6" s="11" t="str">
        <f t="shared" si="86"/>
        <v/>
      </c>
      <c r="KU6" s="11" t="str">
        <f t="shared" si="87"/>
        <v/>
      </c>
      <c r="KV6" s="11" t="str">
        <f t="shared" si="88"/>
        <v/>
      </c>
      <c r="KW6" s="11" t="str">
        <f t="shared" si="89"/>
        <v/>
      </c>
      <c r="KX6" s="11" t="str">
        <f t="shared" si="90"/>
        <v/>
      </c>
      <c r="KY6" s="11" t="str">
        <f t="shared" si="91"/>
        <v/>
      </c>
      <c r="KZ6" s="11" t="str">
        <f t="shared" si="92"/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 t="shared" si="93"/>
        <v/>
      </c>
      <c r="LV6" s="40" t="str">
        <f t="shared" si="94"/>
        <v/>
      </c>
      <c r="LW6" s="40" t="str">
        <f t="shared" si="95"/>
        <v/>
      </c>
      <c r="LX6" s="40" t="str">
        <f t="shared" si="96"/>
        <v/>
      </c>
      <c r="LY6" s="40" t="str">
        <f t="shared" si="97"/>
        <v/>
      </c>
      <c r="LZ6" s="40" t="str">
        <f t="shared" si="98"/>
        <v/>
      </c>
      <c r="MA6" s="40" t="str">
        <f t="shared" si="99"/>
        <v/>
      </c>
      <c r="MB6" s="40" t="str">
        <f t="shared" si="100"/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 t="shared" si="101"/>
        <v/>
      </c>
      <c r="MX6" s="11" t="str">
        <f t="shared" si="102"/>
        <v/>
      </c>
      <c r="MY6" s="11" t="str">
        <f t="shared" si="103"/>
        <v/>
      </c>
      <c r="MZ6" s="11" t="str">
        <f t="shared" si="104"/>
        <v/>
      </c>
      <c r="NA6" s="11" t="str">
        <f t="shared" si="105"/>
        <v/>
      </c>
      <c r="NB6" s="11" t="str">
        <f t="shared" si="106"/>
        <v/>
      </c>
      <c r="NC6" s="11" t="str">
        <f t="shared" si="107"/>
        <v/>
      </c>
      <c r="ND6" s="11" t="str">
        <f t="shared" si="108"/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 t="shared" si="109"/>
        <v/>
      </c>
      <c r="NZ6" s="40" t="str">
        <f t="shared" si="110"/>
        <v/>
      </c>
      <c r="OA6" s="40" t="str">
        <f t="shared" si="111"/>
        <v/>
      </c>
      <c r="OB6" s="40" t="str">
        <f t="shared" si="112"/>
        <v/>
      </c>
      <c r="OC6" s="40" t="str">
        <f t="shared" si="113"/>
        <v/>
      </c>
      <c r="OD6" s="40" t="str">
        <f t="shared" si="114"/>
        <v/>
      </c>
      <c r="OE6" s="40" t="str">
        <f t="shared" si="115"/>
        <v/>
      </c>
      <c r="OF6" s="40" t="str">
        <f t="shared" si="116"/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 t="shared" si="117"/>
        <v/>
      </c>
      <c r="PB6" s="11" t="str">
        <f t="shared" si="118"/>
        <v/>
      </c>
      <c r="PC6" s="11" t="str">
        <f t="shared" si="119"/>
        <v/>
      </c>
      <c r="PD6" s="11" t="str">
        <f t="shared" si="120"/>
        <v/>
      </c>
      <c r="PE6" s="11" t="str">
        <f t="shared" si="121"/>
        <v/>
      </c>
      <c r="PF6" s="11" t="str">
        <f t="shared" si="122"/>
        <v/>
      </c>
      <c r="PG6" s="11" t="str">
        <f t="shared" si="123"/>
        <v/>
      </c>
      <c r="PH6" s="11" t="str">
        <f t="shared" si="124"/>
        <v/>
      </c>
      <c r="PI6" s="22">
        <f t="shared" si="125"/>
        <v>15.299999999999999</v>
      </c>
      <c r="PJ6" s="22">
        <f t="shared" si="126"/>
        <v>5.6999999999999993</v>
      </c>
      <c r="PK6" s="22">
        <f t="shared" si="127"/>
        <v>1.2</v>
      </c>
      <c r="PL6" s="22">
        <f t="shared" si="128"/>
        <v>0</v>
      </c>
      <c r="PM6" s="22">
        <f t="shared" si="129"/>
        <v>15.899999999999999</v>
      </c>
      <c r="PN6" s="22">
        <f t="shared" si="130"/>
        <v>5.05</v>
      </c>
      <c r="PO6" s="22">
        <f t="shared" si="131"/>
        <v>1.6</v>
      </c>
      <c r="PP6" s="22">
        <f t="shared" si="132"/>
        <v>0</v>
      </c>
      <c r="PQ6" s="22">
        <f t="shared" si="133"/>
        <v>17.100000000000001</v>
      </c>
      <c r="PR6" s="22">
        <f t="shared" si="134"/>
        <v>4.8</v>
      </c>
      <c r="PS6" s="22">
        <f t="shared" si="135"/>
        <v>0</v>
      </c>
      <c r="PT6" s="22">
        <f t="shared" si="136"/>
        <v>0</v>
      </c>
      <c r="PU6" s="22">
        <f t="shared" si="137"/>
        <v>15.7</v>
      </c>
      <c r="PV6" s="22">
        <f t="shared" si="138"/>
        <v>4.3499999999999996</v>
      </c>
      <c r="PW6" s="22">
        <f t="shared" si="139"/>
        <v>1.5</v>
      </c>
      <c r="PX6" s="22">
        <f t="shared" si="140"/>
        <v>0</v>
      </c>
      <c r="PY6" s="27" t="s">
        <v>46</v>
      </c>
      <c r="PZ6" s="40">
        <f t="shared" si="141"/>
        <v>10.75</v>
      </c>
      <c r="QA6" s="40">
        <f t="shared" si="142"/>
        <v>39.149999999999991</v>
      </c>
      <c r="QB6" s="40">
        <f t="shared" si="143"/>
        <v>9.1499999999999986</v>
      </c>
      <c r="QC6" s="40">
        <f t="shared" si="144"/>
        <v>40.450000000000003</v>
      </c>
      <c r="QD6" s="40">
        <f t="shared" si="145"/>
        <v>79.599999999999994</v>
      </c>
    </row>
    <row r="7" spans="1:446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t="str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/>
      </c>
      <c r="C7" s="5" t="s">
        <v>99</v>
      </c>
      <c r="D7" s="4" t="s">
        <v>6</v>
      </c>
      <c r="E7" s="4">
        <v>2006</v>
      </c>
      <c r="F7" s="9">
        <f t="shared" si="0"/>
        <v>138.80000904000465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IF(COUNT(AM7,BI7,CE7)&gt;0,LARGE((AM7,BI7,CE7),1),0)</f>
        <v>46.4</v>
      </c>
      <c r="M7" s="8" t="str">
        <f t="shared" si="5"/>
        <v>2025 Elite Canada</v>
      </c>
      <c r="N7" s="8">
        <f>IF(COUNT(AM7,BI7,CE7)&gt;1,LARGE((AM7,BI7,CE7),2),0)</f>
        <v>44</v>
      </c>
      <c r="O7" s="8" t="str">
        <f t="shared" si="6"/>
        <v>2025 3rd Domestic Trial</v>
      </c>
      <c r="P7" s="8">
        <f t="shared" si="7"/>
        <v>47</v>
      </c>
      <c r="Q7" s="8" t="str">
        <f t="shared" si="8"/>
        <v>2025 Elite Canada</v>
      </c>
      <c r="R7" s="8">
        <f t="shared" si="9"/>
        <v>1.3999999999999986</v>
      </c>
      <c r="S7" s="11" t="str">
        <f t="shared" si="10"/>
        <v>(Q1)</v>
      </c>
      <c r="T7" s="8" t="str">
        <f t="shared" si="11"/>
        <v>2025 WAGC (Nov 16)</v>
      </c>
      <c r="U7" s="19">
        <v>17.600000000000001</v>
      </c>
      <c r="V7" s="19">
        <v>5.8</v>
      </c>
      <c r="W7" s="19">
        <v>0</v>
      </c>
      <c r="X7" s="19">
        <v>0</v>
      </c>
      <c r="Y7" s="19">
        <v>17.100000000000001</v>
      </c>
      <c r="Z7" s="19">
        <v>5.9</v>
      </c>
      <c r="AA7" s="19">
        <v>0</v>
      </c>
      <c r="AB7" s="19">
        <v>0</v>
      </c>
      <c r="AC7" s="19">
        <v>18.2</v>
      </c>
      <c r="AD7" s="19">
        <v>5.8</v>
      </c>
      <c r="AE7" s="19">
        <v>0</v>
      </c>
      <c r="AF7" s="19">
        <v>0</v>
      </c>
      <c r="AG7" s="19">
        <v>17.3</v>
      </c>
      <c r="AH7" s="19">
        <v>5.7</v>
      </c>
      <c r="AI7" s="19">
        <v>0</v>
      </c>
      <c r="AJ7" s="19">
        <v>0</v>
      </c>
      <c r="AK7" s="27"/>
      <c r="AL7" s="40">
        <f t="shared" si="12"/>
        <v>11.7</v>
      </c>
      <c r="AM7" s="40">
        <f t="shared" si="13"/>
        <v>46.4</v>
      </c>
      <c r="AN7" s="40">
        <f t="shared" si="14"/>
        <v>11.5</v>
      </c>
      <c r="AO7" s="40">
        <f t="shared" si="15"/>
        <v>47</v>
      </c>
      <c r="AP7" s="40">
        <f t="shared" si="16"/>
        <v>93.4</v>
      </c>
      <c r="AQ7" s="18">
        <v>14.4</v>
      </c>
      <c r="AR7" s="18">
        <v>6.1</v>
      </c>
      <c r="AS7" s="18">
        <v>0.2</v>
      </c>
      <c r="AT7" s="18">
        <v>0</v>
      </c>
      <c r="AU7" s="18">
        <v>17.2</v>
      </c>
      <c r="AV7" s="18">
        <v>5.2</v>
      </c>
      <c r="AW7" s="18">
        <v>0.1</v>
      </c>
      <c r="AX7" s="18">
        <v>0</v>
      </c>
      <c r="AY7" s="18">
        <v>16.7</v>
      </c>
      <c r="AZ7" s="18">
        <v>5.3</v>
      </c>
      <c r="BA7" s="18">
        <v>0.2</v>
      </c>
      <c r="BB7" s="18">
        <v>0</v>
      </c>
      <c r="BC7" s="18">
        <v>17.7</v>
      </c>
      <c r="BD7" s="18">
        <v>3.2</v>
      </c>
      <c r="BE7" s="18">
        <v>1</v>
      </c>
      <c r="BF7" s="18">
        <v>0</v>
      </c>
      <c r="BG7" s="28"/>
      <c r="BH7" s="11">
        <f t="shared" si="17"/>
        <v>11.3</v>
      </c>
      <c r="BI7" s="11">
        <f t="shared" si="18"/>
        <v>42.6</v>
      </c>
      <c r="BJ7" s="11">
        <f t="shared" si="19"/>
        <v>8.5</v>
      </c>
      <c r="BK7" s="11">
        <f t="shared" si="20"/>
        <v>41.7</v>
      </c>
      <c r="BL7" s="11">
        <f t="shared" si="21"/>
        <v>84.300000000000011</v>
      </c>
      <c r="BM7" s="19">
        <v>16.7</v>
      </c>
      <c r="BN7" s="19">
        <v>5.8</v>
      </c>
      <c r="BO7" s="19">
        <v>0</v>
      </c>
      <c r="BP7" s="19">
        <v>0</v>
      </c>
      <c r="BQ7" s="19">
        <v>15.8</v>
      </c>
      <c r="BR7" s="19">
        <v>5.7</v>
      </c>
      <c r="BS7" s="19">
        <v>0</v>
      </c>
      <c r="BT7" s="19">
        <v>0</v>
      </c>
      <c r="BU7" s="19">
        <v>16.5</v>
      </c>
      <c r="BV7" s="19">
        <v>5.8</v>
      </c>
      <c r="BW7" s="19">
        <v>0</v>
      </c>
      <c r="BX7" s="19">
        <v>0</v>
      </c>
      <c r="BY7" s="19">
        <v>15.6</v>
      </c>
      <c r="BZ7" s="19">
        <v>5.7</v>
      </c>
      <c r="CA7" s="19">
        <v>0</v>
      </c>
      <c r="CB7" s="19">
        <v>0</v>
      </c>
      <c r="CC7" s="27"/>
      <c r="CD7" s="40">
        <f t="shared" si="22"/>
        <v>11.5</v>
      </c>
      <c r="CE7" s="40">
        <f t="shared" si="23"/>
        <v>44</v>
      </c>
      <c r="CF7" s="40">
        <f t="shared" si="24"/>
        <v>11.5</v>
      </c>
      <c r="CG7" s="40">
        <f t="shared" si="25"/>
        <v>43.6</v>
      </c>
      <c r="CH7" s="40">
        <f t="shared" si="26"/>
        <v>87.6</v>
      </c>
      <c r="CI7" s="50">
        <f t="shared" si="27"/>
        <v>1.3999999999999986</v>
      </c>
      <c r="CJ7" s="50" t="str">
        <f t="shared" si="28"/>
        <v/>
      </c>
      <c r="CK7" s="17">
        <v>16</v>
      </c>
      <c r="CL7" s="17">
        <v>2.9</v>
      </c>
      <c r="CM7" s="17">
        <v>0</v>
      </c>
      <c r="CN7" s="17">
        <v>0</v>
      </c>
      <c r="CO7" s="17">
        <v>16.5</v>
      </c>
      <c r="CP7" s="17">
        <v>6.5</v>
      </c>
      <c r="CQ7" s="17">
        <v>0</v>
      </c>
      <c r="CR7" s="17">
        <v>0</v>
      </c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>
        <f t="shared" si="29"/>
        <v>9.4</v>
      </c>
      <c r="DF7" s="40">
        <f t="shared" si="30"/>
        <v>41.9</v>
      </c>
      <c r="DG7" s="40" t="str">
        <f t="shared" si="31"/>
        <v/>
      </c>
      <c r="DH7" s="40">
        <f t="shared" si="32"/>
        <v>9.4</v>
      </c>
      <c r="DI7" s="40">
        <f t="shared" si="33"/>
        <v>41.9</v>
      </c>
      <c r="DJ7" s="40" t="str">
        <f t="shared" si="34"/>
        <v/>
      </c>
      <c r="DK7" s="40" t="str">
        <f t="shared" si="35"/>
        <v/>
      </c>
      <c r="DL7" s="40">
        <f t="shared" si="36"/>
        <v>41.9</v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 t="shared" si="37"/>
        <v/>
      </c>
      <c r="EH7" s="11" t="str">
        <f t="shared" si="38"/>
        <v/>
      </c>
      <c r="EI7" s="11" t="str">
        <f t="shared" si="39"/>
        <v/>
      </c>
      <c r="EJ7" s="11" t="str">
        <f t="shared" si="40"/>
        <v/>
      </c>
      <c r="EK7" s="11" t="str">
        <f t="shared" si="41"/>
        <v/>
      </c>
      <c r="EL7" s="11" t="str">
        <f t="shared" si="42"/>
        <v/>
      </c>
      <c r="EM7" s="11" t="str">
        <f t="shared" si="43"/>
        <v/>
      </c>
      <c r="EN7" s="11" t="str">
        <f t="shared" si="44"/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 t="shared" si="45"/>
        <v/>
      </c>
      <c r="FJ7" s="40" t="str">
        <f t="shared" si="46"/>
        <v/>
      </c>
      <c r="FK7" s="40" t="str">
        <f t="shared" si="47"/>
        <v/>
      </c>
      <c r="FL7" s="40" t="str">
        <f t="shared" si="48"/>
        <v/>
      </c>
      <c r="FM7" s="40" t="str">
        <f t="shared" si="49"/>
        <v/>
      </c>
      <c r="FN7" s="40" t="str">
        <f t="shared" si="50"/>
        <v/>
      </c>
      <c r="FO7" s="40" t="str">
        <f t="shared" si="51"/>
        <v/>
      </c>
      <c r="FP7" s="40" t="str">
        <f t="shared" si="52"/>
        <v/>
      </c>
      <c r="FQ7" s="18">
        <v>17.3</v>
      </c>
      <c r="FR7" s="18">
        <v>5.8</v>
      </c>
      <c r="FS7" s="18">
        <v>0</v>
      </c>
      <c r="FT7" s="18">
        <v>0</v>
      </c>
      <c r="FU7" s="18">
        <v>16.399999999999999</v>
      </c>
      <c r="FV7" s="18">
        <v>5.9</v>
      </c>
      <c r="FW7" s="18">
        <v>0</v>
      </c>
      <c r="FX7" s="18">
        <v>0</v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>
        <f t="shared" si="53"/>
        <v>11.7</v>
      </c>
      <c r="GL7" s="11">
        <f t="shared" si="54"/>
        <v>45.4</v>
      </c>
      <c r="GM7" s="11" t="str">
        <f t="shared" si="55"/>
        <v/>
      </c>
      <c r="GN7" s="11">
        <f t="shared" si="56"/>
        <v>11.7</v>
      </c>
      <c r="GO7" s="11">
        <f t="shared" si="57"/>
        <v>45.4</v>
      </c>
      <c r="GP7" s="11" t="str">
        <f t="shared" si="58"/>
        <v/>
      </c>
      <c r="GQ7" s="11" t="str">
        <f t="shared" si="59"/>
        <v/>
      </c>
      <c r="GR7" s="11">
        <f t="shared" si="60"/>
        <v>45.4</v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 t="shared" si="61"/>
        <v/>
      </c>
      <c r="HN7" s="40" t="str">
        <f t="shared" si="62"/>
        <v/>
      </c>
      <c r="HO7" s="40" t="str">
        <f t="shared" si="63"/>
        <v/>
      </c>
      <c r="HP7" s="40" t="str">
        <f t="shared" si="64"/>
        <v/>
      </c>
      <c r="HQ7" s="40" t="str">
        <f t="shared" si="65"/>
        <v/>
      </c>
      <c r="HR7" s="40" t="str">
        <f t="shared" si="66"/>
        <v/>
      </c>
      <c r="HS7" s="40" t="str">
        <f t="shared" si="67"/>
        <v/>
      </c>
      <c r="HT7" s="40" t="str">
        <f t="shared" si="68"/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 t="shared" si="69"/>
        <v/>
      </c>
      <c r="IP7" s="11" t="str">
        <f t="shared" si="70"/>
        <v/>
      </c>
      <c r="IQ7" s="11" t="str">
        <f t="shared" si="71"/>
        <v/>
      </c>
      <c r="IR7" s="11" t="str">
        <f t="shared" si="72"/>
        <v/>
      </c>
      <c r="IS7" s="11" t="str">
        <f t="shared" si="73"/>
        <v/>
      </c>
      <c r="IT7" s="11" t="str">
        <f t="shared" si="74"/>
        <v/>
      </c>
      <c r="IU7" s="11" t="str">
        <f t="shared" si="75"/>
        <v/>
      </c>
      <c r="IV7" s="11" t="str">
        <f t="shared" si="76"/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 t="shared" si="77"/>
        <v/>
      </c>
      <c r="JR7" s="40" t="str">
        <f t="shared" si="78"/>
        <v/>
      </c>
      <c r="JS7" s="40" t="str">
        <f t="shared" si="79"/>
        <v/>
      </c>
      <c r="JT7" s="40" t="str">
        <f t="shared" si="80"/>
        <v/>
      </c>
      <c r="JU7" s="40" t="str">
        <f t="shared" si="81"/>
        <v/>
      </c>
      <c r="JV7" s="40" t="str">
        <f t="shared" si="82"/>
        <v/>
      </c>
      <c r="JW7" s="40" t="str">
        <f t="shared" si="83"/>
        <v/>
      </c>
      <c r="JX7" s="40" t="str">
        <f t="shared" si="84"/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 t="shared" si="85"/>
        <v/>
      </c>
      <c r="KT7" s="11" t="str">
        <f t="shared" si="86"/>
        <v/>
      </c>
      <c r="KU7" s="11" t="str">
        <f t="shared" si="87"/>
        <v/>
      </c>
      <c r="KV7" s="11" t="str">
        <f t="shared" si="88"/>
        <v/>
      </c>
      <c r="KW7" s="11" t="str">
        <f t="shared" si="89"/>
        <v/>
      </c>
      <c r="KX7" s="11" t="str">
        <f t="shared" si="90"/>
        <v/>
      </c>
      <c r="KY7" s="11" t="str">
        <f t="shared" si="91"/>
        <v/>
      </c>
      <c r="KZ7" s="11" t="str">
        <f t="shared" si="92"/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 t="shared" si="93"/>
        <v/>
      </c>
      <c r="LV7" s="40" t="str">
        <f t="shared" si="94"/>
        <v/>
      </c>
      <c r="LW7" s="40" t="str">
        <f t="shared" si="95"/>
        <v/>
      </c>
      <c r="LX7" s="40" t="str">
        <f t="shared" si="96"/>
        <v/>
      </c>
      <c r="LY7" s="40" t="str">
        <f t="shared" si="97"/>
        <v/>
      </c>
      <c r="LZ7" s="40" t="str">
        <f t="shared" si="98"/>
        <v/>
      </c>
      <c r="MA7" s="40" t="str">
        <f t="shared" si="99"/>
        <v/>
      </c>
      <c r="MB7" s="40" t="str">
        <f t="shared" si="100"/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 t="shared" si="101"/>
        <v/>
      </c>
      <c r="MX7" s="11" t="str">
        <f t="shared" si="102"/>
        <v/>
      </c>
      <c r="MY7" s="11" t="str">
        <f t="shared" si="103"/>
        <v/>
      </c>
      <c r="MZ7" s="11" t="str">
        <f t="shared" si="104"/>
        <v/>
      </c>
      <c r="NA7" s="11" t="str">
        <f t="shared" si="105"/>
        <v/>
      </c>
      <c r="NB7" s="11" t="str">
        <f t="shared" si="106"/>
        <v/>
      </c>
      <c r="NC7" s="11" t="str">
        <f t="shared" si="107"/>
        <v/>
      </c>
      <c r="ND7" s="11" t="str">
        <f t="shared" si="108"/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 t="shared" si="109"/>
        <v/>
      </c>
      <c r="NZ7" s="40" t="str">
        <f t="shared" si="110"/>
        <v/>
      </c>
      <c r="OA7" s="40" t="str">
        <f t="shared" si="111"/>
        <v/>
      </c>
      <c r="OB7" s="40" t="str">
        <f t="shared" si="112"/>
        <v/>
      </c>
      <c r="OC7" s="40" t="str">
        <f t="shared" si="113"/>
        <v/>
      </c>
      <c r="OD7" s="40" t="str">
        <f t="shared" si="114"/>
        <v/>
      </c>
      <c r="OE7" s="40" t="str">
        <f t="shared" si="115"/>
        <v/>
      </c>
      <c r="OF7" s="40" t="str">
        <f t="shared" si="116"/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 t="shared" si="117"/>
        <v/>
      </c>
      <c r="PB7" s="11" t="str">
        <f t="shared" si="118"/>
        <v/>
      </c>
      <c r="PC7" s="11" t="str">
        <f t="shared" si="119"/>
        <v/>
      </c>
      <c r="PD7" s="11" t="str">
        <f t="shared" si="120"/>
        <v/>
      </c>
      <c r="PE7" s="11" t="str">
        <f t="shared" si="121"/>
        <v/>
      </c>
      <c r="PF7" s="11" t="str">
        <f t="shared" si="122"/>
        <v/>
      </c>
      <c r="PG7" s="11" t="str">
        <f t="shared" si="123"/>
        <v/>
      </c>
      <c r="PH7" s="11" t="str">
        <f t="shared" si="124"/>
        <v/>
      </c>
      <c r="PI7" s="22">
        <f t="shared" si="125"/>
        <v>15.55</v>
      </c>
      <c r="PJ7" s="22">
        <f t="shared" si="126"/>
        <v>5.9499999999999993</v>
      </c>
      <c r="PK7" s="22">
        <f t="shared" si="127"/>
        <v>0.1</v>
      </c>
      <c r="PL7" s="22">
        <f t="shared" si="128"/>
        <v>0</v>
      </c>
      <c r="PM7" s="22">
        <f t="shared" si="129"/>
        <v>16.5</v>
      </c>
      <c r="PN7" s="22">
        <f t="shared" si="130"/>
        <v>5.45</v>
      </c>
      <c r="PO7" s="22">
        <f t="shared" si="131"/>
        <v>0.05</v>
      </c>
      <c r="PP7" s="22">
        <f t="shared" si="132"/>
        <v>0</v>
      </c>
      <c r="PQ7" s="22">
        <f t="shared" si="133"/>
        <v>16.600000000000001</v>
      </c>
      <c r="PR7" s="22">
        <f t="shared" si="134"/>
        <v>5.55</v>
      </c>
      <c r="PS7" s="22">
        <f t="shared" si="135"/>
        <v>0.1</v>
      </c>
      <c r="PT7" s="22">
        <f t="shared" si="136"/>
        <v>0</v>
      </c>
      <c r="PU7" s="22">
        <f t="shared" si="137"/>
        <v>16.649999999999999</v>
      </c>
      <c r="PV7" s="22">
        <f t="shared" si="138"/>
        <v>4.45</v>
      </c>
      <c r="PW7" s="22">
        <f t="shared" si="139"/>
        <v>0.5</v>
      </c>
      <c r="PX7" s="22">
        <f t="shared" si="140"/>
        <v>0</v>
      </c>
      <c r="PY7" s="27" t="s">
        <v>46</v>
      </c>
      <c r="PZ7" s="40">
        <f t="shared" si="141"/>
        <v>11.399999999999999</v>
      </c>
      <c r="QA7" s="40">
        <f t="shared" si="142"/>
        <v>43.300000000000004</v>
      </c>
      <c r="QB7" s="40">
        <f t="shared" si="143"/>
        <v>10</v>
      </c>
      <c r="QC7" s="40">
        <f t="shared" si="144"/>
        <v>42.65</v>
      </c>
      <c r="QD7" s="40">
        <f t="shared" si="145"/>
        <v>85.95</v>
      </c>
    </row>
    <row r="8" spans="1:446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1</v>
      </c>
      <c r="C8" s="5" t="s">
        <v>150</v>
      </c>
      <c r="D8" s="4" t="s">
        <v>4</v>
      </c>
      <c r="E8" s="4">
        <v>2008</v>
      </c>
      <c r="F8" s="9">
        <f t="shared" si="0"/>
        <v>133.40000865000445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IF(COUNT(AM8,BI8,CE8)&gt;0,LARGE((AM8,BI8,CE8),1),0)</f>
        <v>44.3</v>
      </c>
      <c r="M8" s="8" t="str">
        <f t="shared" si="5"/>
        <v>2025 Nationals</v>
      </c>
      <c r="N8" s="8">
        <f>IF(COUNT(AM8,BI8,CE8)&gt;1,LARGE((AM8,BI8,CE8),2),0)</f>
        <v>42.199999999999996</v>
      </c>
      <c r="O8" s="8" t="str">
        <f t="shared" si="6"/>
        <v>2025 Elite Canada</v>
      </c>
      <c r="P8" s="8">
        <f t="shared" si="7"/>
        <v>45</v>
      </c>
      <c r="Q8" s="8" t="str">
        <f t="shared" si="8"/>
        <v>2025 Nationals</v>
      </c>
      <c r="R8" s="8">
        <f t="shared" si="9"/>
        <v>1.9000000000000057</v>
      </c>
      <c r="S8" s="11" t="str">
        <f t="shared" si="10"/>
        <v>(Q1)</v>
      </c>
      <c r="T8" s="8" t="str">
        <f t="shared" si="11"/>
        <v>2025 WAGC (Nov 16)</v>
      </c>
      <c r="U8" s="19">
        <v>15.3</v>
      </c>
      <c r="V8" s="19">
        <v>6.6</v>
      </c>
      <c r="W8" s="19">
        <v>0.2</v>
      </c>
      <c r="X8" s="19">
        <v>0</v>
      </c>
      <c r="Y8" s="19">
        <v>15.1</v>
      </c>
      <c r="Z8" s="19">
        <v>5.4</v>
      </c>
      <c r="AA8" s="19">
        <v>0</v>
      </c>
      <c r="AB8" s="19">
        <v>0</v>
      </c>
      <c r="AC8" s="19">
        <v>16.3</v>
      </c>
      <c r="AD8" s="19">
        <v>5.7</v>
      </c>
      <c r="AE8" s="19">
        <v>0</v>
      </c>
      <c r="AF8" s="19">
        <v>0</v>
      </c>
      <c r="AG8" s="19">
        <v>15.4</v>
      </c>
      <c r="AH8" s="19">
        <v>4</v>
      </c>
      <c r="AI8" s="19">
        <v>0</v>
      </c>
      <c r="AJ8" s="19">
        <v>0</v>
      </c>
      <c r="AK8" s="27"/>
      <c r="AL8" s="40">
        <f t="shared" si="12"/>
        <v>12</v>
      </c>
      <c r="AM8" s="40">
        <f t="shared" si="13"/>
        <v>42.199999999999996</v>
      </c>
      <c r="AN8" s="40">
        <f t="shared" si="14"/>
        <v>9.6999999999999993</v>
      </c>
      <c r="AO8" s="40">
        <f t="shared" si="15"/>
        <v>41.4</v>
      </c>
      <c r="AP8" s="40">
        <f t="shared" si="16"/>
        <v>83.6</v>
      </c>
      <c r="AQ8" s="18">
        <v>16.399999999999999</v>
      </c>
      <c r="AR8" s="18">
        <v>5.7</v>
      </c>
      <c r="AS8" s="18">
        <v>0</v>
      </c>
      <c r="AT8" s="18">
        <v>0</v>
      </c>
      <c r="AU8" s="18">
        <v>15.6</v>
      </c>
      <c r="AV8" s="18">
        <v>6.6</v>
      </c>
      <c r="AW8" s="18">
        <v>0</v>
      </c>
      <c r="AX8" s="18">
        <v>0</v>
      </c>
      <c r="AY8" s="18">
        <v>16.5</v>
      </c>
      <c r="AZ8" s="18">
        <v>5.7</v>
      </c>
      <c r="BA8" s="18">
        <v>0</v>
      </c>
      <c r="BB8" s="18">
        <v>0</v>
      </c>
      <c r="BC8" s="18">
        <v>16</v>
      </c>
      <c r="BD8" s="18">
        <v>6.8</v>
      </c>
      <c r="BE8" s="18">
        <v>0</v>
      </c>
      <c r="BF8" s="18">
        <v>0</v>
      </c>
      <c r="BG8" s="28"/>
      <c r="BH8" s="11">
        <f t="shared" si="17"/>
        <v>12.3</v>
      </c>
      <c r="BI8" s="11">
        <f t="shared" si="18"/>
        <v>44.3</v>
      </c>
      <c r="BJ8" s="11">
        <f t="shared" si="19"/>
        <v>12.5</v>
      </c>
      <c r="BK8" s="11">
        <f t="shared" si="20"/>
        <v>45</v>
      </c>
      <c r="BL8" s="11">
        <f t="shared" si="21"/>
        <v>89.3</v>
      </c>
      <c r="BM8" s="19">
        <v>15.8</v>
      </c>
      <c r="BN8" s="19">
        <v>6.3</v>
      </c>
      <c r="BO8" s="19">
        <v>0</v>
      </c>
      <c r="BP8" s="19">
        <v>0</v>
      </c>
      <c r="BQ8" s="19">
        <v>15.4</v>
      </c>
      <c r="BR8" s="19">
        <v>4.7</v>
      </c>
      <c r="BS8" s="19">
        <v>1</v>
      </c>
      <c r="BT8" s="19">
        <v>0</v>
      </c>
      <c r="BU8" s="19">
        <v>16</v>
      </c>
      <c r="BV8" s="19">
        <v>5.8</v>
      </c>
      <c r="BW8" s="19">
        <v>0</v>
      </c>
      <c r="BX8" s="19">
        <v>0</v>
      </c>
      <c r="BY8" s="19">
        <v>15.1</v>
      </c>
      <c r="BZ8" s="19">
        <v>5.9</v>
      </c>
      <c r="CA8" s="19">
        <v>2</v>
      </c>
      <c r="CB8" s="19">
        <v>0</v>
      </c>
      <c r="CC8" s="27"/>
      <c r="CD8" s="40">
        <f t="shared" si="22"/>
        <v>11</v>
      </c>
      <c r="CE8" s="40">
        <f t="shared" si="23"/>
        <v>41.2</v>
      </c>
      <c r="CF8" s="40">
        <f t="shared" si="24"/>
        <v>11.7</v>
      </c>
      <c r="CG8" s="40">
        <f t="shared" si="25"/>
        <v>40.799999999999997</v>
      </c>
      <c r="CH8" s="40">
        <f t="shared" si="26"/>
        <v>82</v>
      </c>
      <c r="CI8" s="50">
        <f t="shared" si="27"/>
        <v>1.9000000000000057</v>
      </c>
      <c r="CJ8" s="50" t="str">
        <f t="shared" si="28"/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 t="shared" si="29"/>
        <v/>
      </c>
      <c r="DF8" s="40" t="str">
        <f t="shared" si="30"/>
        <v/>
      </c>
      <c r="DG8" s="40" t="str">
        <f t="shared" si="31"/>
        <v/>
      </c>
      <c r="DH8" s="40" t="str">
        <f t="shared" si="32"/>
        <v/>
      </c>
      <c r="DI8" s="40" t="str">
        <f t="shared" si="33"/>
        <v/>
      </c>
      <c r="DJ8" s="40" t="str">
        <f t="shared" si="34"/>
        <v/>
      </c>
      <c r="DK8" s="40" t="str">
        <f t="shared" si="35"/>
        <v/>
      </c>
      <c r="DL8" s="40" t="str">
        <f t="shared" si="36"/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 t="shared" si="37"/>
        <v/>
      </c>
      <c r="EH8" s="11" t="str">
        <f t="shared" si="38"/>
        <v/>
      </c>
      <c r="EI8" s="11" t="str">
        <f t="shared" si="39"/>
        <v/>
      </c>
      <c r="EJ8" s="11" t="str">
        <f t="shared" si="40"/>
        <v/>
      </c>
      <c r="EK8" s="11" t="str">
        <f t="shared" si="41"/>
        <v/>
      </c>
      <c r="EL8" s="11" t="str">
        <f t="shared" si="42"/>
        <v/>
      </c>
      <c r="EM8" s="11" t="str">
        <f t="shared" si="43"/>
        <v/>
      </c>
      <c r="EN8" s="11" t="str">
        <f t="shared" si="44"/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 t="shared" si="45"/>
        <v/>
      </c>
      <c r="FJ8" s="40" t="str">
        <f t="shared" si="46"/>
        <v/>
      </c>
      <c r="FK8" s="40" t="str">
        <f t="shared" si="47"/>
        <v/>
      </c>
      <c r="FL8" s="40" t="str">
        <f t="shared" si="48"/>
        <v/>
      </c>
      <c r="FM8" s="40" t="str">
        <f t="shared" si="49"/>
        <v/>
      </c>
      <c r="FN8" s="40" t="str">
        <f t="shared" si="50"/>
        <v/>
      </c>
      <c r="FO8" s="40" t="str">
        <f t="shared" si="51"/>
        <v/>
      </c>
      <c r="FP8" s="40" t="str">
        <f t="shared" si="52"/>
        <v/>
      </c>
      <c r="FQ8" s="18">
        <v>16.8</v>
      </c>
      <c r="FR8" s="18">
        <v>5.8</v>
      </c>
      <c r="FS8" s="18">
        <v>0</v>
      </c>
      <c r="FT8" s="18">
        <v>0</v>
      </c>
      <c r="FU8" s="18">
        <v>16.100000000000001</v>
      </c>
      <c r="FV8" s="18">
        <v>5.8</v>
      </c>
      <c r="FW8" s="18">
        <v>0.4</v>
      </c>
      <c r="FX8" s="18">
        <v>0</v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>
        <f t="shared" si="53"/>
        <v>11.6</v>
      </c>
      <c r="GL8" s="11">
        <f t="shared" si="54"/>
        <v>44.1</v>
      </c>
      <c r="GM8" s="11" t="str">
        <f t="shared" si="55"/>
        <v/>
      </c>
      <c r="GN8" s="11">
        <f t="shared" si="56"/>
        <v>11.6</v>
      </c>
      <c r="GO8" s="11">
        <f t="shared" si="57"/>
        <v>44.1</v>
      </c>
      <c r="GP8" s="11" t="str">
        <f t="shared" si="58"/>
        <v/>
      </c>
      <c r="GQ8" s="11" t="str">
        <f t="shared" si="59"/>
        <v/>
      </c>
      <c r="GR8" s="11">
        <f t="shared" si="60"/>
        <v>44.1</v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 t="shared" si="61"/>
        <v/>
      </c>
      <c r="HN8" s="40" t="str">
        <f t="shared" si="62"/>
        <v/>
      </c>
      <c r="HO8" s="40" t="str">
        <f t="shared" si="63"/>
        <v/>
      </c>
      <c r="HP8" s="40" t="str">
        <f t="shared" si="64"/>
        <v/>
      </c>
      <c r="HQ8" s="40" t="str">
        <f t="shared" si="65"/>
        <v/>
      </c>
      <c r="HR8" s="40" t="str">
        <f t="shared" si="66"/>
        <v/>
      </c>
      <c r="HS8" s="40" t="str">
        <f t="shared" si="67"/>
        <v/>
      </c>
      <c r="HT8" s="40" t="str">
        <f t="shared" si="68"/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 t="shared" si="69"/>
        <v/>
      </c>
      <c r="IP8" s="11" t="str">
        <f t="shared" si="70"/>
        <v/>
      </c>
      <c r="IQ8" s="11" t="str">
        <f t="shared" si="71"/>
        <v/>
      </c>
      <c r="IR8" s="11" t="str">
        <f t="shared" si="72"/>
        <v/>
      </c>
      <c r="IS8" s="11" t="str">
        <f t="shared" si="73"/>
        <v/>
      </c>
      <c r="IT8" s="11" t="str">
        <f t="shared" si="74"/>
        <v/>
      </c>
      <c r="IU8" s="11" t="str">
        <f t="shared" si="75"/>
        <v/>
      </c>
      <c r="IV8" s="11" t="str">
        <f t="shared" si="76"/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 t="shared" si="77"/>
        <v/>
      </c>
      <c r="JR8" s="40" t="str">
        <f t="shared" si="78"/>
        <v/>
      </c>
      <c r="JS8" s="40" t="str">
        <f t="shared" si="79"/>
        <v/>
      </c>
      <c r="JT8" s="40" t="str">
        <f t="shared" si="80"/>
        <v/>
      </c>
      <c r="JU8" s="40" t="str">
        <f t="shared" si="81"/>
        <v/>
      </c>
      <c r="JV8" s="40" t="str">
        <f t="shared" si="82"/>
        <v/>
      </c>
      <c r="JW8" s="40" t="str">
        <f t="shared" si="83"/>
        <v/>
      </c>
      <c r="JX8" s="40" t="str">
        <f t="shared" si="84"/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 t="shared" si="85"/>
        <v/>
      </c>
      <c r="KT8" s="11" t="str">
        <f t="shared" si="86"/>
        <v/>
      </c>
      <c r="KU8" s="11" t="str">
        <f t="shared" si="87"/>
        <v/>
      </c>
      <c r="KV8" s="11" t="str">
        <f t="shared" si="88"/>
        <v/>
      </c>
      <c r="KW8" s="11" t="str">
        <f t="shared" si="89"/>
        <v/>
      </c>
      <c r="KX8" s="11" t="str">
        <f t="shared" si="90"/>
        <v/>
      </c>
      <c r="KY8" s="11" t="str">
        <f t="shared" si="91"/>
        <v/>
      </c>
      <c r="KZ8" s="11" t="str">
        <f t="shared" si="92"/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 t="shared" si="93"/>
        <v/>
      </c>
      <c r="LV8" s="40" t="str">
        <f t="shared" si="94"/>
        <v/>
      </c>
      <c r="LW8" s="40" t="str">
        <f t="shared" si="95"/>
        <v/>
      </c>
      <c r="LX8" s="40" t="str">
        <f t="shared" si="96"/>
        <v/>
      </c>
      <c r="LY8" s="40" t="str">
        <f t="shared" si="97"/>
        <v/>
      </c>
      <c r="LZ8" s="40" t="str">
        <f t="shared" si="98"/>
        <v/>
      </c>
      <c r="MA8" s="40" t="str">
        <f t="shared" si="99"/>
        <v/>
      </c>
      <c r="MB8" s="40" t="str">
        <f t="shared" si="100"/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 t="shared" si="101"/>
        <v/>
      </c>
      <c r="MX8" s="11" t="str">
        <f t="shared" si="102"/>
        <v/>
      </c>
      <c r="MY8" s="11" t="str">
        <f t="shared" si="103"/>
        <v/>
      </c>
      <c r="MZ8" s="11" t="str">
        <f t="shared" si="104"/>
        <v/>
      </c>
      <c r="NA8" s="11" t="str">
        <f t="shared" si="105"/>
        <v/>
      </c>
      <c r="NB8" s="11" t="str">
        <f t="shared" si="106"/>
        <v/>
      </c>
      <c r="NC8" s="11" t="str">
        <f t="shared" si="107"/>
        <v/>
      </c>
      <c r="ND8" s="11" t="str">
        <f t="shared" si="108"/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 t="shared" si="109"/>
        <v/>
      </c>
      <c r="NZ8" s="40" t="str">
        <f t="shared" si="110"/>
        <v/>
      </c>
      <c r="OA8" s="40" t="str">
        <f t="shared" si="111"/>
        <v/>
      </c>
      <c r="OB8" s="40" t="str">
        <f t="shared" si="112"/>
        <v/>
      </c>
      <c r="OC8" s="40" t="str">
        <f t="shared" si="113"/>
        <v/>
      </c>
      <c r="OD8" s="40" t="str">
        <f t="shared" si="114"/>
        <v/>
      </c>
      <c r="OE8" s="40" t="str">
        <f t="shared" si="115"/>
        <v/>
      </c>
      <c r="OF8" s="40" t="str">
        <f t="shared" si="116"/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 t="shared" si="117"/>
        <v/>
      </c>
      <c r="PB8" s="11" t="str">
        <f t="shared" si="118"/>
        <v/>
      </c>
      <c r="PC8" s="11" t="str">
        <f t="shared" si="119"/>
        <v/>
      </c>
      <c r="PD8" s="11" t="str">
        <f t="shared" si="120"/>
        <v/>
      </c>
      <c r="PE8" s="11" t="str">
        <f t="shared" si="121"/>
        <v/>
      </c>
      <c r="PF8" s="11" t="str">
        <f t="shared" si="122"/>
        <v/>
      </c>
      <c r="PG8" s="11" t="str">
        <f t="shared" si="123"/>
        <v/>
      </c>
      <c r="PH8" s="11" t="str">
        <f t="shared" si="124"/>
        <v/>
      </c>
      <c r="PI8" s="22">
        <f t="shared" si="125"/>
        <v>16.100000000000001</v>
      </c>
      <c r="PJ8" s="22">
        <f t="shared" si="126"/>
        <v>6</v>
      </c>
      <c r="PK8" s="22">
        <f t="shared" si="127"/>
        <v>0</v>
      </c>
      <c r="PL8" s="22">
        <f t="shared" si="128"/>
        <v>0</v>
      </c>
      <c r="PM8" s="22">
        <f t="shared" si="129"/>
        <v>15.5</v>
      </c>
      <c r="PN8" s="22">
        <f t="shared" si="130"/>
        <v>5.65</v>
      </c>
      <c r="PO8" s="22">
        <f t="shared" si="131"/>
        <v>0.5</v>
      </c>
      <c r="PP8" s="22">
        <f t="shared" si="132"/>
        <v>0</v>
      </c>
      <c r="PQ8" s="22">
        <f t="shared" si="133"/>
        <v>16.25</v>
      </c>
      <c r="PR8" s="22">
        <f t="shared" si="134"/>
        <v>5.75</v>
      </c>
      <c r="PS8" s="22">
        <f t="shared" si="135"/>
        <v>0</v>
      </c>
      <c r="PT8" s="22">
        <f t="shared" si="136"/>
        <v>0</v>
      </c>
      <c r="PU8" s="22">
        <f t="shared" si="137"/>
        <v>15.55</v>
      </c>
      <c r="PV8" s="22">
        <f t="shared" si="138"/>
        <v>6.35</v>
      </c>
      <c r="PW8" s="22">
        <f t="shared" si="139"/>
        <v>1</v>
      </c>
      <c r="PX8" s="22">
        <f t="shared" si="140"/>
        <v>0</v>
      </c>
      <c r="PY8" s="27" t="s">
        <v>46</v>
      </c>
      <c r="PZ8" s="40">
        <f t="shared" si="141"/>
        <v>11.65</v>
      </c>
      <c r="QA8" s="40">
        <f t="shared" si="142"/>
        <v>42.75</v>
      </c>
      <c r="QB8" s="40">
        <f t="shared" si="143"/>
        <v>12.1</v>
      </c>
      <c r="QC8" s="40">
        <f t="shared" si="144"/>
        <v>42.9</v>
      </c>
      <c r="QD8" s="40">
        <f t="shared" si="145"/>
        <v>85.65</v>
      </c>
    </row>
    <row r="9" spans="1:446" x14ac:dyDescent="0.2">
      <c r="A9" s="4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>6</v>
      </c>
      <c r="B9" s="4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>2</v>
      </c>
      <c r="C9" s="5" t="s">
        <v>91</v>
      </c>
      <c r="D9" s="4" t="s">
        <v>4</v>
      </c>
      <c r="E9" s="4">
        <v>2005</v>
      </c>
      <c r="F9" s="9">
        <f t="shared" si="0"/>
        <v>130.10000834000459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IF(COUNT(AM9,BI9,CE9)&gt;0,LARGE((AM9,BI9,CE9),1),0)</f>
        <v>46</v>
      </c>
      <c r="M9" s="8" t="str">
        <f t="shared" si="5"/>
        <v>2025 Nationals</v>
      </c>
      <c r="N9" s="8">
        <f>IF(COUNT(AM9,BI9,CE9)&gt;1,LARGE((AM9,BI9,CE9),2),0)</f>
        <v>37.400000000000006</v>
      </c>
      <c r="O9" s="8" t="str">
        <f t="shared" si="6"/>
        <v>2025 3rd Domestic Trial</v>
      </c>
      <c r="P9" s="8">
        <f t="shared" si="7"/>
        <v>42.6</v>
      </c>
      <c r="Q9" s="8" t="str">
        <f t="shared" si="8"/>
        <v>2025 3rd Domestic Trial</v>
      </c>
      <c r="R9" s="8">
        <f t="shared" si="9"/>
        <v>4.1000000000000014</v>
      </c>
      <c r="S9" s="11" t="str">
        <f t="shared" si="10"/>
        <v>(Q1)</v>
      </c>
      <c r="T9" s="8" t="str">
        <f t="shared" si="11"/>
        <v>2025 WAGC (Nov 16)</v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27"/>
      <c r="AL9" s="40" t="str">
        <f t="shared" si="12"/>
        <v/>
      </c>
      <c r="AM9" s="40" t="str">
        <f t="shared" si="13"/>
        <v/>
      </c>
      <c r="AN9" s="40" t="str">
        <f t="shared" si="14"/>
        <v/>
      </c>
      <c r="AO9" s="40" t="str">
        <f t="shared" si="15"/>
        <v/>
      </c>
      <c r="AP9" s="40" t="str">
        <f t="shared" si="16"/>
        <v/>
      </c>
      <c r="AQ9" s="18">
        <v>16.8</v>
      </c>
      <c r="AR9" s="18">
        <v>5.7</v>
      </c>
      <c r="AS9" s="18">
        <v>0</v>
      </c>
      <c r="AT9" s="18">
        <v>0.7</v>
      </c>
      <c r="AU9" s="18">
        <v>16.8</v>
      </c>
      <c r="AV9" s="18">
        <v>5.3</v>
      </c>
      <c r="AW9" s="18">
        <v>0</v>
      </c>
      <c r="AX9" s="18">
        <v>0.7</v>
      </c>
      <c r="AY9" s="18">
        <v>15.8</v>
      </c>
      <c r="AZ9" s="18">
        <v>3.1</v>
      </c>
      <c r="BA9" s="18">
        <v>0</v>
      </c>
      <c r="BB9" s="18">
        <v>0.7</v>
      </c>
      <c r="BC9" s="18">
        <v>16.600000000000001</v>
      </c>
      <c r="BD9" s="18">
        <v>5.3</v>
      </c>
      <c r="BE9" s="18">
        <v>0</v>
      </c>
      <c r="BF9" s="18">
        <v>0.7</v>
      </c>
      <c r="BG9" s="28"/>
      <c r="BH9" s="11">
        <f t="shared" si="17"/>
        <v>11</v>
      </c>
      <c r="BI9" s="11">
        <f t="shared" si="18"/>
        <v>46</v>
      </c>
      <c r="BJ9" s="11">
        <f t="shared" si="19"/>
        <v>8.4</v>
      </c>
      <c r="BK9" s="11">
        <f t="shared" si="20"/>
        <v>42.2</v>
      </c>
      <c r="BL9" s="11">
        <f t="shared" si="21"/>
        <v>88.2</v>
      </c>
      <c r="BM9" s="19">
        <v>11.8</v>
      </c>
      <c r="BN9" s="19">
        <v>3</v>
      </c>
      <c r="BO9" s="19">
        <v>0</v>
      </c>
      <c r="BP9" s="19">
        <v>0</v>
      </c>
      <c r="BQ9" s="19">
        <v>17.100000000000001</v>
      </c>
      <c r="BR9" s="19">
        <v>5.5</v>
      </c>
      <c r="BS9" s="19">
        <v>0</v>
      </c>
      <c r="BT9" s="19">
        <v>0</v>
      </c>
      <c r="BU9" s="19">
        <v>16.600000000000001</v>
      </c>
      <c r="BV9" s="19">
        <v>5.7</v>
      </c>
      <c r="BW9" s="19">
        <v>0</v>
      </c>
      <c r="BX9" s="19">
        <v>0</v>
      </c>
      <c r="BY9" s="19">
        <v>15.4</v>
      </c>
      <c r="BZ9" s="19">
        <v>5.0999999999999996</v>
      </c>
      <c r="CA9" s="19">
        <v>0.2</v>
      </c>
      <c r="CB9" s="19">
        <v>0</v>
      </c>
      <c r="CC9" s="27"/>
      <c r="CD9" s="40">
        <f t="shared" si="22"/>
        <v>8.5</v>
      </c>
      <c r="CE9" s="40">
        <f t="shared" si="23"/>
        <v>37.400000000000006</v>
      </c>
      <c r="CF9" s="40">
        <f t="shared" si="24"/>
        <v>10.8</v>
      </c>
      <c r="CG9" s="40">
        <f t="shared" si="25"/>
        <v>42.6</v>
      </c>
      <c r="CH9" s="40">
        <f t="shared" si="26"/>
        <v>80</v>
      </c>
      <c r="CI9" s="50">
        <f t="shared" si="27"/>
        <v>4.1000000000000014</v>
      </c>
      <c r="CJ9" s="50" t="str">
        <f t="shared" si="28"/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 t="shared" si="29"/>
        <v/>
      </c>
      <c r="DF9" s="40" t="str">
        <f t="shared" si="30"/>
        <v/>
      </c>
      <c r="DG9" s="40" t="str">
        <f t="shared" si="31"/>
        <v/>
      </c>
      <c r="DH9" s="40" t="str">
        <f t="shared" si="32"/>
        <v/>
      </c>
      <c r="DI9" s="40" t="str">
        <f t="shared" si="33"/>
        <v/>
      </c>
      <c r="DJ9" s="40" t="str">
        <f t="shared" si="34"/>
        <v/>
      </c>
      <c r="DK9" s="40" t="str">
        <f t="shared" si="35"/>
        <v/>
      </c>
      <c r="DL9" s="40" t="str">
        <f t="shared" si="36"/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 t="shared" si="37"/>
        <v/>
      </c>
      <c r="EH9" s="11" t="str">
        <f t="shared" si="38"/>
        <v/>
      </c>
      <c r="EI9" s="11" t="str">
        <f t="shared" si="39"/>
        <v/>
      </c>
      <c r="EJ9" s="11" t="str">
        <f t="shared" si="40"/>
        <v/>
      </c>
      <c r="EK9" s="11" t="str">
        <f t="shared" si="41"/>
        <v/>
      </c>
      <c r="EL9" s="11" t="str">
        <f t="shared" si="42"/>
        <v/>
      </c>
      <c r="EM9" s="11" t="str">
        <f t="shared" si="43"/>
        <v/>
      </c>
      <c r="EN9" s="11" t="str">
        <f t="shared" si="44"/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 t="shared" si="45"/>
        <v/>
      </c>
      <c r="FJ9" s="40" t="str">
        <f t="shared" si="46"/>
        <v/>
      </c>
      <c r="FK9" s="40" t="str">
        <f t="shared" si="47"/>
        <v/>
      </c>
      <c r="FL9" s="40" t="str">
        <f t="shared" si="48"/>
        <v/>
      </c>
      <c r="FM9" s="40" t="str">
        <f t="shared" si="49"/>
        <v/>
      </c>
      <c r="FN9" s="40" t="str">
        <f t="shared" si="50"/>
        <v/>
      </c>
      <c r="FO9" s="40" t="str">
        <f t="shared" si="51"/>
        <v/>
      </c>
      <c r="FP9" s="40" t="str">
        <f t="shared" si="52"/>
        <v/>
      </c>
      <c r="FQ9" s="18">
        <v>16.8</v>
      </c>
      <c r="FR9" s="18">
        <v>5.9</v>
      </c>
      <c r="FS9" s="18">
        <v>0</v>
      </c>
      <c r="FT9" s="18">
        <v>0</v>
      </c>
      <c r="FU9" s="18">
        <v>15.7</v>
      </c>
      <c r="FV9" s="18">
        <v>3.1</v>
      </c>
      <c r="FW9" s="18">
        <v>0</v>
      </c>
      <c r="FX9" s="18">
        <v>0</v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>
        <f t="shared" si="53"/>
        <v>9</v>
      </c>
      <c r="GL9" s="11">
        <f t="shared" si="54"/>
        <v>41.500000000000007</v>
      </c>
      <c r="GM9" s="11" t="str">
        <f t="shared" si="55"/>
        <v/>
      </c>
      <c r="GN9" s="11">
        <f t="shared" si="56"/>
        <v>9</v>
      </c>
      <c r="GO9" s="11">
        <f t="shared" si="57"/>
        <v>41.500000000000007</v>
      </c>
      <c r="GP9" s="11" t="str">
        <f t="shared" si="58"/>
        <v/>
      </c>
      <c r="GQ9" s="11" t="str">
        <f t="shared" si="59"/>
        <v/>
      </c>
      <c r="GR9" s="11">
        <f t="shared" si="60"/>
        <v>41.500000000000007</v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 t="shared" si="61"/>
        <v/>
      </c>
      <c r="HN9" s="40" t="str">
        <f t="shared" si="62"/>
        <v/>
      </c>
      <c r="HO9" s="40" t="str">
        <f t="shared" si="63"/>
        <v/>
      </c>
      <c r="HP9" s="40" t="str">
        <f t="shared" si="64"/>
        <v/>
      </c>
      <c r="HQ9" s="40" t="str">
        <f t="shared" si="65"/>
        <v/>
      </c>
      <c r="HR9" s="40" t="str">
        <f t="shared" si="66"/>
        <v/>
      </c>
      <c r="HS9" s="40" t="str">
        <f t="shared" si="67"/>
        <v/>
      </c>
      <c r="HT9" s="40" t="str">
        <f t="shared" si="68"/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 t="shared" si="69"/>
        <v/>
      </c>
      <c r="IP9" s="11" t="str">
        <f t="shared" si="70"/>
        <v/>
      </c>
      <c r="IQ9" s="11" t="str">
        <f t="shared" si="71"/>
        <v/>
      </c>
      <c r="IR9" s="11" t="str">
        <f t="shared" si="72"/>
        <v/>
      </c>
      <c r="IS9" s="11" t="str">
        <f t="shared" si="73"/>
        <v/>
      </c>
      <c r="IT9" s="11" t="str">
        <f t="shared" si="74"/>
        <v/>
      </c>
      <c r="IU9" s="11" t="str">
        <f t="shared" si="75"/>
        <v/>
      </c>
      <c r="IV9" s="11" t="str">
        <f t="shared" si="76"/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 t="shared" si="77"/>
        <v/>
      </c>
      <c r="JR9" s="40" t="str">
        <f t="shared" si="78"/>
        <v/>
      </c>
      <c r="JS9" s="40" t="str">
        <f t="shared" si="79"/>
        <v/>
      </c>
      <c r="JT9" s="40" t="str">
        <f t="shared" si="80"/>
        <v/>
      </c>
      <c r="JU9" s="40" t="str">
        <f t="shared" si="81"/>
        <v/>
      </c>
      <c r="JV9" s="40" t="str">
        <f t="shared" si="82"/>
        <v/>
      </c>
      <c r="JW9" s="40" t="str">
        <f t="shared" si="83"/>
        <v/>
      </c>
      <c r="JX9" s="40" t="str">
        <f t="shared" si="84"/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 t="shared" si="85"/>
        <v/>
      </c>
      <c r="KT9" s="11" t="str">
        <f t="shared" si="86"/>
        <v/>
      </c>
      <c r="KU9" s="11" t="str">
        <f t="shared" si="87"/>
        <v/>
      </c>
      <c r="KV9" s="11" t="str">
        <f t="shared" si="88"/>
        <v/>
      </c>
      <c r="KW9" s="11" t="str">
        <f t="shared" si="89"/>
        <v/>
      </c>
      <c r="KX9" s="11" t="str">
        <f t="shared" si="90"/>
        <v/>
      </c>
      <c r="KY9" s="11" t="str">
        <f t="shared" si="91"/>
        <v/>
      </c>
      <c r="KZ9" s="11" t="str">
        <f t="shared" si="92"/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 t="shared" si="93"/>
        <v/>
      </c>
      <c r="LV9" s="40" t="str">
        <f t="shared" si="94"/>
        <v/>
      </c>
      <c r="LW9" s="40" t="str">
        <f t="shared" si="95"/>
        <v/>
      </c>
      <c r="LX9" s="40" t="str">
        <f t="shared" si="96"/>
        <v/>
      </c>
      <c r="LY9" s="40" t="str">
        <f t="shared" si="97"/>
        <v/>
      </c>
      <c r="LZ9" s="40" t="str">
        <f t="shared" si="98"/>
        <v/>
      </c>
      <c r="MA9" s="40" t="str">
        <f t="shared" si="99"/>
        <v/>
      </c>
      <c r="MB9" s="40" t="str">
        <f t="shared" si="100"/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 t="shared" si="101"/>
        <v/>
      </c>
      <c r="MX9" s="11" t="str">
        <f t="shared" si="102"/>
        <v/>
      </c>
      <c r="MY9" s="11" t="str">
        <f t="shared" si="103"/>
        <v/>
      </c>
      <c r="MZ9" s="11" t="str">
        <f t="shared" si="104"/>
        <v/>
      </c>
      <c r="NA9" s="11" t="str">
        <f t="shared" si="105"/>
        <v/>
      </c>
      <c r="NB9" s="11" t="str">
        <f t="shared" si="106"/>
        <v/>
      </c>
      <c r="NC9" s="11" t="str">
        <f t="shared" si="107"/>
        <v/>
      </c>
      <c r="ND9" s="11" t="str">
        <f t="shared" si="108"/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 t="shared" si="109"/>
        <v/>
      </c>
      <c r="NZ9" s="40" t="str">
        <f t="shared" si="110"/>
        <v/>
      </c>
      <c r="OA9" s="40" t="str">
        <f t="shared" si="111"/>
        <v/>
      </c>
      <c r="OB9" s="40" t="str">
        <f t="shared" si="112"/>
        <v/>
      </c>
      <c r="OC9" s="40" t="str">
        <f t="shared" si="113"/>
        <v/>
      </c>
      <c r="OD9" s="40" t="str">
        <f t="shared" si="114"/>
        <v/>
      </c>
      <c r="OE9" s="40" t="str">
        <f t="shared" si="115"/>
        <v/>
      </c>
      <c r="OF9" s="40" t="str">
        <f t="shared" si="116"/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 t="shared" si="117"/>
        <v/>
      </c>
      <c r="PB9" s="11" t="str">
        <f t="shared" si="118"/>
        <v/>
      </c>
      <c r="PC9" s="11" t="str">
        <f t="shared" si="119"/>
        <v/>
      </c>
      <c r="PD9" s="11" t="str">
        <f t="shared" si="120"/>
        <v/>
      </c>
      <c r="PE9" s="11" t="str">
        <f t="shared" si="121"/>
        <v/>
      </c>
      <c r="PF9" s="11" t="str">
        <f t="shared" si="122"/>
        <v/>
      </c>
      <c r="PG9" s="11" t="str">
        <f t="shared" si="123"/>
        <v/>
      </c>
      <c r="PH9" s="11" t="str">
        <f t="shared" si="124"/>
        <v/>
      </c>
      <c r="PI9" s="22">
        <f t="shared" si="125"/>
        <v>14.3</v>
      </c>
      <c r="PJ9" s="22">
        <f t="shared" si="126"/>
        <v>4.3499999999999996</v>
      </c>
      <c r="PK9" s="22">
        <f t="shared" si="127"/>
        <v>0</v>
      </c>
      <c r="PL9" s="22">
        <f t="shared" si="128"/>
        <v>0.35</v>
      </c>
      <c r="PM9" s="22">
        <f t="shared" si="129"/>
        <v>16.950000000000003</v>
      </c>
      <c r="PN9" s="22">
        <f t="shared" si="130"/>
        <v>5.4</v>
      </c>
      <c r="PO9" s="22">
        <f t="shared" si="131"/>
        <v>0</v>
      </c>
      <c r="PP9" s="22">
        <f t="shared" si="132"/>
        <v>0.35</v>
      </c>
      <c r="PQ9" s="22">
        <f t="shared" si="133"/>
        <v>16.200000000000003</v>
      </c>
      <c r="PR9" s="22">
        <f t="shared" si="134"/>
        <v>4.4000000000000004</v>
      </c>
      <c r="PS9" s="22">
        <f t="shared" si="135"/>
        <v>0</v>
      </c>
      <c r="PT9" s="22">
        <f t="shared" si="136"/>
        <v>0.35</v>
      </c>
      <c r="PU9" s="22">
        <f t="shared" si="137"/>
        <v>16</v>
      </c>
      <c r="PV9" s="22">
        <f t="shared" si="138"/>
        <v>5.1999999999999993</v>
      </c>
      <c r="PW9" s="22">
        <f t="shared" si="139"/>
        <v>0.1</v>
      </c>
      <c r="PX9" s="22">
        <f t="shared" si="140"/>
        <v>0.35</v>
      </c>
      <c r="PY9" s="27" t="s">
        <v>46</v>
      </c>
      <c r="PZ9" s="40">
        <f t="shared" si="141"/>
        <v>9.75</v>
      </c>
      <c r="QA9" s="40">
        <f t="shared" si="142"/>
        <v>41.7</v>
      </c>
      <c r="QB9" s="40">
        <f t="shared" si="143"/>
        <v>9.6</v>
      </c>
      <c r="QC9" s="40">
        <f t="shared" si="144"/>
        <v>42.400000000000006</v>
      </c>
      <c r="QD9" s="40">
        <f t="shared" si="145"/>
        <v>84.100000000000009</v>
      </c>
    </row>
    <row r="10" spans="1:446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147</v>
      </c>
      <c r="D10" s="4" t="s">
        <v>4</v>
      </c>
      <c r="E10" s="4">
        <v>2008</v>
      </c>
      <c r="F10" s="9">
        <f t="shared" si="0"/>
        <v>130.70000873000436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IF(COUNT(AM10,BI10,CE10)&gt;0,LARGE((AM10,BI10,CE10),1),0)</f>
        <v>43.8</v>
      </c>
      <c r="M10" s="8" t="str">
        <f t="shared" si="5"/>
        <v>2025 Nationals</v>
      </c>
      <c r="N10" s="8">
        <f>IF(COUNT(AM10,BI10,CE10)&gt;1,LARGE((AM10,BI10,CE10),2),0)</f>
        <v>43.5</v>
      </c>
      <c r="O10" s="8" t="str">
        <f t="shared" si="6"/>
        <v>2025 Elite Canada</v>
      </c>
      <c r="P10" s="8">
        <f t="shared" si="7"/>
        <v>43.4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16.3</v>
      </c>
      <c r="V10" s="19">
        <v>5.4</v>
      </c>
      <c r="W10" s="19">
        <v>0</v>
      </c>
      <c r="X10" s="19">
        <v>0</v>
      </c>
      <c r="Y10" s="19">
        <v>15.5</v>
      </c>
      <c r="Z10" s="19">
        <v>6.3</v>
      </c>
      <c r="AA10" s="19">
        <v>0</v>
      </c>
      <c r="AB10" s="19">
        <v>0</v>
      </c>
      <c r="AC10" s="19">
        <v>15.3</v>
      </c>
      <c r="AD10" s="19">
        <v>5.4</v>
      </c>
      <c r="AE10" s="19">
        <v>0</v>
      </c>
      <c r="AF10" s="19">
        <v>0</v>
      </c>
      <c r="AG10" s="19">
        <v>15</v>
      </c>
      <c r="AH10" s="19">
        <v>6.3</v>
      </c>
      <c r="AI10" s="19">
        <v>0</v>
      </c>
      <c r="AJ10" s="19">
        <v>0</v>
      </c>
      <c r="AK10" s="27"/>
      <c r="AL10" s="40">
        <f t="shared" si="12"/>
        <v>11.7</v>
      </c>
      <c r="AM10" s="40">
        <f t="shared" si="13"/>
        <v>43.5</v>
      </c>
      <c r="AN10" s="40">
        <f t="shared" si="14"/>
        <v>11.7</v>
      </c>
      <c r="AO10" s="40">
        <f t="shared" si="15"/>
        <v>42</v>
      </c>
      <c r="AP10" s="40">
        <f t="shared" si="16"/>
        <v>85.5</v>
      </c>
      <c r="AQ10" s="18">
        <v>15.9</v>
      </c>
      <c r="AR10" s="18">
        <v>5.4</v>
      </c>
      <c r="AS10" s="18">
        <v>0</v>
      </c>
      <c r="AT10" s="18">
        <v>0</v>
      </c>
      <c r="AU10" s="18">
        <v>16.2</v>
      </c>
      <c r="AV10" s="18">
        <v>6.3</v>
      </c>
      <c r="AW10" s="18">
        <v>0</v>
      </c>
      <c r="AX10" s="18">
        <v>0</v>
      </c>
      <c r="AY10" s="18">
        <v>15.2</v>
      </c>
      <c r="AZ10" s="18">
        <v>6.5</v>
      </c>
      <c r="BA10" s="18">
        <v>0.4</v>
      </c>
      <c r="BB10" s="18">
        <v>0.7</v>
      </c>
      <c r="BC10" s="18">
        <v>15.3</v>
      </c>
      <c r="BD10" s="18">
        <v>6.3</v>
      </c>
      <c r="BE10" s="18">
        <v>0.2</v>
      </c>
      <c r="BF10" s="18">
        <v>0</v>
      </c>
      <c r="BG10" s="28"/>
      <c r="BH10" s="11">
        <f t="shared" si="17"/>
        <v>11.7</v>
      </c>
      <c r="BI10" s="11">
        <f t="shared" si="18"/>
        <v>43.8</v>
      </c>
      <c r="BJ10" s="11">
        <f t="shared" si="19"/>
        <v>12.8</v>
      </c>
      <c r="BK10" s="11">
        <f t="shared" si="20"/>
        <v>43.4</v>
      </c>
      <c r="BL10" s="11">
        <f t="shared" si="21"/>
        <v>87.199999999999989</v>
      </c>
      <c r="BM10" s="19">
        <v>15.9</v>
      </c>
      <c r="BN10" s="19">
        <v>5.4</v>
      </c>
      <c r="BO10" s="19">
        <v>0</v>
      </c>
      <c r="BP10" s="19">
        <v>0</v>
      </c>
      <c r="BQ10" s="19">
        <v>13.7</v>
      </c>
      <c r="BR10" s="19">
        <v>6.3</v>
      </c>
      <c r="BS10" s="19">
        <v>0</v>
      </c>
      <c r="BT10" s="19">
        <v>0</v>
      </c>
      <c r="BU10" s="19">
        <v>15.6</v>
      </c>
      <c r="BV10" s="19">
        <v>5.4</v>
      </c>
      <c r="BW10" s="19">
        <v>0</v>
      </c>
      <c r="BX10" s="19">
        <v>0</v>
      </c>
      <c r="BY10" s="19">
        <v>15.3</v>
      </c>
      <c r="BZ10" s="19">
        <v>6.3</v>
      </c>
      <c r="CA10" s="19">
        <v>0</v>
      </c>
      <c r="CB10" s="19">
        <v>0</v>
      </c>
      <c r="CC10" s="27"/>
      <c r="CD10" s="40">
        <f t="shared" si="22"/>
        <v>11.7</v>
      </c>
      <c r="CE10" s="40">
        <f t="shared" si="23"/>
        <v>41.3</v>
      </c>
      <c r="CF10" s="40">
        <f t="shared" si="24"/>
        <v>11.7</v>
      </c>
      <c r="CG10" s="40">
        <f t="shared" si="25"/>
        <v>42.599999999999994</v>
      </c>
      <c r="CH10" s="40">
        <f t="shared" si="26"/>
        <v>83.899999999999991</v>
      </c>
      <c r="CI10" s="50" t="str">
        <f t="shared" si="27"/>
        <v/>
      </c>
      <c r="CJ10" s="50" t="str">
        <f t="shared" si="28"/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 t="shared" si="29"/>
        <v/>
      </c>
      <c r="DF10" s="40" t="str">
        <f t="shared" si="30"/>
        <v/>
      </c>
      <c r="DG10" s="40" t="str">
        <f t="shared" si="31"/>
        <v/>
      </c>
      <c r="DH10" s="40" t="str">
        <f t="shared" si="32"/>
        <v/>
      </c>
      <c r="DI10" s="40" t="str">
        <f t="shared" si="33"/>
        <v/>
      </c>
      <c r="DJ10" s="40" t="str">
        <f t="shared" si="34"/>
        <v/>
      </c>
      <c r="DK10" s="40" t="str">
        <f t="shared" si="35"/>
        <v/>
      </c>
      <c r="DL10" s="40" t="str">
        <f t="shared" si="36"/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 t="shared" si="37"/>
        <v/>
      </c>
      <c r="EH10" s="11" t="str">
        <f t="shared" si="38"/>
        <v/>
      </c>
      <c r="EI10" s="11" t="str">
        <f t="shared" si="39"/>
        <v/>
      </c>
      <c r="EJ10" s="11" t="str">
        <f t="shared" si="40"/>
        <v/>
      </c>
      <c r="EK10" s="11" t="str">
        <f t="shared" si="41"/>
        <v/>
      </c>
      <c r="EL10" s="11" t="str">
        <f t="shared" si="42"/>
        <v/>
      </c>
      <c r="EM10" s="11" t="str">
        <f t="shared" si="43"/>
        <v/>
      </c>
      <c r="EN10" s="11" t="str">
        <f t="shared" si="44"/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 t="shared" si="45"/>
        <v/>
      </c>
      <c r="FJ10" s="40" t="str">
        <f t="shared" si="46"/>
        <v/>
      </c>
      <c r="FK10" s="40" t="str">
        <f t="shared" si="47"/>
        <v/>
      </c>
      <c r="FL10" s="40" t="str">
        <f t="shared" si="48"/>
        <v/>
      </c>
      <c r="FM10" s="40" t="str">
        <f t="shared" si="49"/>
        <v/>
      </c>
      <c r="FN10" s="40" t="str">
        <f t="shared" si="50"/>
        <v/>
      </c>
      <c r="FO10" s="40" t="str">
        <f t="shared" si="51"/>
        <v/>
      </c>
      <c r="FP10" s="40" t="str">
        <f t="shared" si="52"/>
        <v/>
      </c>
      <c r="FQ10" s="18">
        <v>16</v>
      </c>
      <c r="FR10" s="18">
        <v>5.4</v>
      </c>
      <c r="FS10" s="18">
        <v>0</v>
      </c>
      <c r="FT10" s="18">
        <v>0</v>
      </c>
      <c r="FU10" s="18">
        <v>15.6</v>
      </c>
      <c r="FV10" s="18">
        <v>4.0999999999999996</v>
      </c>
      <c r="FW10" s="18">
        <v>0</v>
      </c>
      <c r="FX10" s="18">
        <v>0</v>
      </c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>
        <f t="shared" si="53"/>
        <v>9.5</v>
      </c>
      <c r="GL10" s="11">
        <f t="shared" si="54"/>
        <v>41.1</v>
      </c>
      <c r="GM10" s="11" t="str">
        <f t="shared" si="55"/>
        <v/>
      </c>
      <c r="GN10" s="11">
        <f t="shared" si="56"/>
        <v>9.5</v>
      </c>
      <c r="GO10" s="11">
        <f t="shared" si="57"/>
        <v>41.1</v>
      </c>
      <c r="GP10" s="11" t="str">
        <f t="shared" si="58"/>
        <v/>
      </c>
      <c r="GQ10" s="11" t="str">
        <f t="shared" si="59"/>
        <v/>
      </c>
      <c r="GR10" s="11">
        <f t="shared" si="60"/>
        <v>41.1</v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 t="shared" si="61"/>
        <v/>
      </c>
      <c r="HN10" s="40" t="str">
        <f t="shared" si="62"/>
        <v/>
      </c>
      <c r="HO10" s="40" t="str">
        <f t="shared" si="63"/>
        <v/>
      </c>
      <c r="HP10" s="40" t="str">
        <f t="shared" si="64"/>
        <v/>
      </c>
      <c r="HQ10" s="40" t="str">
        <f t="shared" si="65"/>
        <v/>
      </c>
      <c r="HR10" s="40" t="str">
        <f t="shared" si="66"/>
        <v/>
      </c>
      <c r="HS10" s="40" t="str">
        <f t="shared" si="67"/>
        <v/>
      </c>
      <c r="HT10" s="40" t="str">
        <f t="shared" si="68"/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 t="shared" si="69"/>
        <v/>
      </c>
      <c r="IP10" s="11" t="str">
        <f t="shared" si="70"/>
        <v/>
      </c>
      <c r="IQ10" s="11" t="str">
        <f t="shared" si="71"/>
        <v/>
      </c>
      <c r="IR10" s="11" t="str">
        <f t="shared" si="72"/>
        <v/>
      </c>
      <c r="IS10" s="11" t="str">
        <f t="shared" si="73"/>
        <v/>
      </c>
      <c r="IT10" s="11" t="str">
        <f t="shared" si="74"/>
        <v/>
      </c>
      <c r="IU10" s="11" t="str">
        <f t="shared" si="75"/>
        <v/>
      </c>
      <c r="IV10" s="11" t="str">
        <f t="shared" si="76"/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 t="shared" si="77"/>
        <v/>
      </c>
      <c r="JR10" s="40" t="str">
        <f t="shared" si="78"/>
        <v/>
      </c>
      <c r="JS10" s="40" t="str">
        <f t="shared" si="79"/>
        <v/>
      </c>
      <c r="JT10" s="40" t="str">
        <f t="shared" si="80"/>
        <v/>
      </c>
      <c r="JU10" s="40" t="str">
        <f t="shared" si="81"/>
        <v/>
      </c>
      <c r="JV10" s="40" t="str">
        <f t="shared" si="82"/>
        <v/>
      </c>
      <c r="JW10" s="40" t="str">
        <f t="shared" si="83"/>
        <v/>
      </c>
      <c r="JX10" s="40" t="str">
        <f t="shared" si="84"/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 t="shared" si="85"/>
        <v/>
      </c>
      <c r="KT10" s="11" t="str">
        <f t="shared" si="86"/>
        <v/>
      </c>
      <c r="KU10" s="11" t="str">
        <f t="shared" si="87"/>
        <v/>
      </c>
      <c r="KV10" s="11" t="str">
        <f t="shared" si="88"/>
        <v/>
      </c>
      <c r="KW10" s="11" t="str">
        <f t="shared" si="89"/>
        <v/>
      </c>
      <c r="KX10" s="11" t="str">
        <f t="shared" si="90"/>
        <v/>
      </c>
      <c r="KY10" s="11" t="str">
        <f t="shared" si="91"/>
        <v/>
      </c>
      <c r="KZ10" s="11" t="str">
        <f t="shared" si="92"/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 t="shared" si="93"/>
        <v/>
      </c>
      <c r="LV10" s="40" t="str">
        <f t="shared" si="94"/>
        <v/>
      </c>
      <c r="LW10" s="40" t="str">
        <f t="shared" si="95"/>
        <v/>
      </c>
      <c r="LX10" s="40" t="str">
        <f t="shared" si="96"/>
        <v/>
      </c>
      <c r="LY10" s="40" t="str">
        <f t="shared" si="97"/>
        <v/>
      </c>
      <c r="LZ10" s="40" t="str">
        <f t="shared" si="98"/>
        <v/>
      </c>
      <c r="MA10" s="40" t="str">
        <f t="shared" si="99"/>
        <v/>
      </c>
      <c r="MB10" s="40" t="str">
        <f t="shared" si="100"/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 t="shared" si="101"/>
        <v/>
      </c>
      <c r="MX10" s="11" t="str">
        <f t="shared" si="102"/>
        <v/>
      </c>
      <c r="MY10" s="11" t="str">
        <f t="shared" si="103"/>
        <v/>
      </c>
      <c r="MZ10" s="11" t="str">
        <f t="shared" si="104"/>
        <v/>
      </c>
      <c r="NA10" s="11" t="str">
        <f t="shared" si="105"/>
        <v/>
      </c>
      <c r="NB10" s="11" t="str">
        <f t="shared" si="106"/>
        <v/>
      </c>
      <c r="NC10" s="11" t="str">
        <f t="shared" si="107"/>
        <v/>
      </c>
      <c r="ND10" s="11" t="str">
        <f t="shared" si="108"/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 t="shared" si="109"/>
        <v/>
      </c>
      <c r="NZ10" s="40" t="str">
        <f t="shared" si="110"/>
        <v/>
      </c>
      <c r="OA10" s="40" t="str">
        <f t="shared" si="111"/>
        <v/>
      </c>
      <c r="OB10" s="40" t="str">
        <f t="shared" si="112"/>
        <v/>
      </c>
      <c r="OC10" s="40" t="str">
        <f t="shared" si="113"/>
        <v/>
      </c>
      <c r="OD10" s="40" t="str">
        <f t="shared" si="114"/>
        <v/>
      </c>
      <c r="OE10" s="40" t="str">
        <f t="shared" si="115"/>
        <v/>
      </c>
      <c r="OF10" s="40" t="str">
        <f t="shared" si="116"/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 t="shared" si="117"/>
        <v/>
      </c>
      <c r="PB10" s="11" t="str">
        <f t="shared" si="118"/>
        <v/>
      </c>
      <c r="PC10" s="11" t="str">
        <f t="shared" si="119"/>
        <v/>
      </c>
      <c r="PD10" s="11" t="str">
        <f t="shared" si="120"/>
        <v/>
      </c>
      <c r="PE10" s="11" t="str">
        <f t="shared" si="121"/>
        <v/>
      </c>
      <c r="PF10" s="11" t="str">
        <f t="shared" si="122"/>
        <v/>
      </c>
      <c r="PG10" s="11" t="str">
        <f t="shared" si="123"/>
        <v/>
      </c>
      <c r="PH10" s="11" t="str">
        <f t="shared" si="124"/>
        <v/>
      </c>
      <c r="PI10" s="22">
        <f t="shared" si="125"/>
        <v>15.9</v>
      </c>
      <c r="PJ10" s="22">
        <f t="shared" si="126"/>
        <v>5.4</v>
      </c>
      <c r="PK10" s="22">
        <f t="shared" si="127"/>
        <v>0</v>
      </c>
      <c r="PL10" s="22">
        <f t="shared" si="128"/>
        <v>0</v>
      </c>
      <c r="PM10" s="22">
        <f t="shared" si="129"/>
        <v>14.95</v>
      </c>
      <c r="PN10" s="22">
        <f t="shared" si="130"/>
        <v>6.3</v>
      </c>
      <c r="PO10" s="22">
        <f t="shared" si="131"/>
        <v>0</v>
      </c>
      <c r="PP10" s="22">
        <f t="shared" si="132"/>
        <v>0</v>
      </c>
      <c r="PQ10" s="22">
        <f t="shared" si="133"/>
        <v>15.399999999999999</v>
      </c>
      <c r="PR10" s="22">
        <f t="shared" si="134"/>
        <v>5.95</v>
      </c>
      <c r="PS10" s="22">
        <f t="shared" si="135"/>
        <v>0.2</v>
      </c>
      <c r="PT10" s="22">
        <f t="shared" si="136"/>
        <v>0.35</v>
      </c>
      <c r="PU10" s="22">
        <f t="shared" si="137"/>
        <v>15.3</v>
      </c>
      <c r="PV10" s="22">
        <f t="shared" si="138"/>
        <v>6.3</v>
      </c>
      <c r="PW10" s="22">
        <f t="shared" si="139"/>
        <v>0.1</v>
      </c>
      <c r="PX10" s="22">
        <f t="shared" si="140"/>
        <v>0</v>
      </c>
      <c r="PY10" s="27" t="s">
        <v>46</v>
      </c>
      <c r="PZ10" s="40">
        <f t="shared" si="141"/>
        <v>11.7</v>
      </c>
      <c r="QA10" s="40">
        <f t="shared" si="142"/>
        <v>42.55</v>
      </c>
      <c r="QB10" s="40">
        <f t="shared" si="143"/>
        <v>12.25</v>
      </c>
      <c r="QC10" s="40">
        <f t="shared" si="144"/>
        <v>43</v>
      </c>
      <c r="QD10" s="40">
        <f t="shared" si="145"/>
        <v>85.55</v>
      </c>
    </row>
    <row r="11" spans="1:446" x14ac:dyDescent="0.2">
      <c r="A11" s="4" t="str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/>
      </c>
      <c r="B11" s="4" t="str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/>
      </c>
      <c r="C11" s="5" t="s">
        <v>121</v>
      </c>
      <c r="D11" s="4" t="s">
        <v>5</v>
      </c>
      <c r="E11" s="4">
        <v>2007</v>
      </c>
      <c r="F11" s="9">
        <f t="shared" si="0"/>
        <v>129.0000085400043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IF(COUNT(AM11,BI11,CE11)&gt;0,LARGE((AM11,BI11,CE11),1),0)</f>
        <v>42.70000000000001</v>
      </c>
      <c r="M11" s="8" t="str">
        <f t="shared" si="5"/>
        <v>2025 Nationals</v>
      </c>
      <c r="N11" s="8">
        <f>IF(COUNT(AM11,BI11,CE11)&gt;1,LARGE((AM11,BI11,CE11),2),0)</f>
        <v>42.70000000000001</v>
      </c>
      <c r="O11" s="8" t="str">
        <f t="shared" si="6"/>
        <v>2025 Elite Canada</v>
      </c>
      <c r="P11" s="8">
        <f t="shared" si="7"/>
        <v>43.600000000000009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16.100000000000001</v>
      </c>
      <c r="V11" s="19">
        <v>4</v>
      </c>
      <c r="W11" s="19">
        <v>0</v>
      </c>
      <c r="X11" s="19">
        <v>0.7</v>
      </c>
      <c r="Y11" s="19">
        <v>16.100000000000001</v>
      </c>
      <c r="Z11" s="19">
        <v>5.0999999999999996</v>
      </c>
      <c r="AA11" s="19">
        <v>0</v>
      </c>
      <c r="AB11" s="19">
        <v>0.7</v>
      </c>
      <c r="AC11" s="19">
        <v>15.2</v>
      </c>
      <c r="AD11" s="19">
        <v>4.0999999999999996</v>
      </c>
      <c r="AE11" s="19">
        <v>0</v>
      </c>
      <c r="AF11" s="19">
        <v>0</v>
      </c>
      <c r="AG11" s="19">
        <v>16.100000000000001</v>
      </c>
      <c r="AH11" s="19">
        <v>3.2</v>
      </c>
      <c r="AI11" s="19">
        <v>0.7</v>
      </c>
      <c r="AJ11" s="19">
        <v>0</v>
      </c>
      <c r="AK11" s="27"/>
      <c r="AL11" s="40">
        <f t="shared" si="12"/>
        <v>9.1</v>
      </c>
      <c r="AM11" s="40">
        <f t="shared" si="13"/>
        <v>42.70000000000001</v>
      </c>
      <c r="AN11" s="40">
        <f t="shared" si="14"/>
        <v>7.3</v>
      </c>
      <c r="AO11" s="40">
        <f t="shared" si="15"/>
        <v>37.9</v>
      </c>
      <c r="AP11" s="40">
        <f t="shared" si="16"/>
        <v>80.600000000000009</v>
      </c>
      <c r="AQ11" s="18">
        <v>16.100000000000001</v>
      </c>
      <c r="AR11" s="18">
        <v>3.3</v>
      </c>
      <c r="AS11" s="18">
        <v>0</v>
      </c>
      <c r="AT11" s="18">
        <v>0.7</v>
      </c>
      <c r="AU11" s="18">
        <v>16.8</v>
      </c>
      <c r="AV11" s="18">
        <v>5.0999999999999996</v>
      </c>
      <c r="AW11" s="18">
        <v>0</v>
      </c>
      <c r="AX11" s="18">
        <v>0.7</v>
      </c>
      <c r="AY11" s="18">
        <v>15.9</v>
      </c>
      <c r="AZ11" s="18">
        <v>5.0999999999999996</v>
      </c>
      <c r="BA11" s="18">
        <v>0</v>
      </c>
      <c r="BB11" s="18">
        <v>0.7</v>
      </c>
      <c r="BC11" s="18">
        <v>17</v>
      </c>
      <c r="BD11" s="18">
        <v>4.2</v>
      </c>
      <c r="BE11" s="18">
        <v>0</v>
      </c>
      <c r="BF11" s="18">
        <v>0.7</v>
      </c>
      <c r="BG11" s="28"/>
      <c r="BH11" s="11">
        <f t="shared" si="17"/>
        <v>8.3999999999999986</v>
      </c>
      <c r="BI11" s="11">
        <f t="shared" si="18"/>
        <v>42.70000000000001</v>
      </c>
      <c r="BJ11" s="11">
        <f t="shared" si="19"/>
        <v>9.3000000000000007</v>
      </c>
      <c r="BK11" s="11">
        <f t="shared" si="20"/>
        <v>43.600000000000009</v>
      </c>
      <c r="BL11" s="11">
        <f t="shared" si="21"/>
        <v>86.300000000000011</v>
      </c>
      <c r="BM11" s="19">
        <v>15.9</v>
      </c>
      <c r="BN11" s="19">
        <v>5.5</v>
      </c>
      <c r="BO11" s="19">
        <v>0.2</v>
      </c>
      <c r="BP11" s="19">
        <v>0.7</v>
      </c>
      <c r="BQ11" s="19">
        <v>15.1</v>
      </c>
      <c r="BR11" s="19">
        <v>3.7</v>
      </c>
      <c r="BS11" s="19">
        <v>0.2</v>
      </c>
      <c r="BT11" s="19">
        <v>0.7</v>
      </c>
      <c r="BU11" s="19">
        <v>15.8</v>
      </c>
      <c r="BV11" s="19">
        <v>3.3</v>
      </c>
      <c r="BW11" s="19">
        <v>0.2</v>
      </c>
      <c r="BX11" s="19">
        <v>0.7</v>
      </c>
      <c r="BY11" s="19">
        <v>15.6</v>
      </c>
      <c r="BZ11" s="19">
        <v>5.5</v>
      </c>
      <c r="CA11" s="19">
        <v>0.2</v>
      </c>
      <c r="CB11" s="19">
        <v>0.7</v>
      </c>
      <c r="CC11" s="27"/>
      <c r="CD11" s="40">
        <f t="shared" si="22"/>
        <v>9.1999999999999993</v>
      </c>
      <c r="CE11" s="40">
        <f t="shared" si="23"/>
        <v>41.199999999999996</v>
      </c>
      <c r="CF11" s="40">
        <f t="shared" si="24"/>
        <v>8.8000000000000007</v>
      </c>
      <c r="CG11" s="40">
        <f t="shared" si="25"/>
        <v>41.2</v>
      </c>
      <c r="CH11" s="40">
        <f t="shared" si="26"/>
        <v>82.4</v>
      </c>
      <c r="CI11" s="50" t="str">
        <f t="shared" si="27"/>
        <v/>
      </c>
      <c r="CJ11" s="50" t="str">
        <f t="shared" si="28"/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 t="shared" si="29"/>
        <v/>
      </c>
      <c r="DF11" s="40" t="str">
        <f t="shared" si="30"/>
        <v/>
      </c>
      <c r="DG11" s="40" t="str">
        <f t="shared" si="31"/>
        <v/>
      </c>
      <c r="DH11" s="40" t="str">
        <f t="shared" si="32"/>
        <v/>
      </c>
      <c r="DI11" s="40" t="str">
        <f t="shared" si="33"/>
        <v/>
      </c>
      <c r="DJ11" s="40" t="str">
        <f t="shared" si="34"/>
        <v/>
      </c>
      <c r="DK11" s="40" t="str">
        <f t="shared" si="35"/>
        <v/>
      </c>
      <c r="DL11" s="40" t="str">
        <f t="shared" si="36"/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 t="shared" si="37"/>
        <v/>
      </c>
      <c r="EH11" s="11" t="str">
        <f t="shared" si="38"/>
        <v/>
      </c>
      <c r="EI11" s="11" t="str">
        <f t="shared" si="39"/>
        <v/>
      </c>
      <c r="EJ11" s="11" t="str">
        <f t="shared" si="40"/>
        <v/>
      </c>
      <c r="EK11" s="11" t="str">
        <f t="shared" si="41"/>
        <v/>
      </c>
      <c r="EL11" s="11" t="str">
        <f t="shared" si="42"/>
        <v/>
      </c>
      <c r="EM11" s="11" t="str">
        <f t="shared" si="43"/>
        <v/>
      </c>
      <c r="EN11" s="11" t="str">
        <f t="shared" si="44"/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 t="shared" si="45"/>
        <v/>
      </c>
      <c r="FJ11" s="40" t="str">
        <f t="shared" si="46"/>
        <v/>
      </c>
      <c r="FK11" s="40" t="str">
        <f t="shared" si="47"/>
        <v/>
      </c>
      <c r="FL11" s="40" t="str">
        <f t="shared" si="48"/>
        <v/>
      </c>
      <c r="FM11" s="40" t="str">
        <f t="shared" si="49"/>
        <v/>
      </c>
      <c r="FN11" s="40" t="str">
        <f t="shared" si="50"/>
        <v/>
      </c>
      <c r="FO11" s="40" t="str">
        <f t="shared" si="51"/>
        <v/>
      </c>
      <c r="FP11" s="40" t="str">
        <f t="shared" si="52"/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 t="shared" si="53"/>
        <v/>
      </c>
      <c r="GL11" s="11" t="str">
        <f t="shared" si="54"/>
        <v/>
      </c>
      <c r="GM11" s="11" t="str">
        <f t="shared" si="55"/>
        <v/>
      </c>
      <c r="GN11" s="11" t="str">
        <f t="shared" si="56"/>
        <v/>
      </c>
      <c r="GO11" s="11" t="str">
        <f t="shared" si="57"/>
        <v/>
      </c>
      <c r="GP11" s="11" t="str">
        <f t="shared" si="58"/>
        <v/>
      </c>
      <c r="GQ11" s="11" t="str">
        <f t="shared" si="59"/>
        <v/>
      </c>
      <c r="GR11" s="11" t="str">
        <f t="shared" si="60"/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 t="shared" si="61"/>
        <v/>
      </c>
      <c r="HN11" s="40" t="str">
        <f t="shared" si="62"/>
        <v/>
      </c>
      <c r="HO11" s="40" t="str">
        <f t="shared" si="63"/>
        <v/>
      </c>
      <c r="HP11" s="40" t="str">
        <f t="shared" si="64"/>
        <v/>
      </c>
      <c r="HQ11" s="40" t="str">
        <f t="shared" si="65"/>
        <v/>
      </c>
      <c r="HR11" s="40" t="str">
        <f t="shared" si="66"/>
        <v/>
      </c>
      <c r="HS11" s="40" t="str">
        <f t="shared" si="67"/>
        <v/>
      </c>
      <c r="HT11" s="40" t="str">
        <f t="shared" si="68"/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 t="shared" si="69"/>
        <v/>
      </c>
      <c r="IP11" s="11" t="str">
        <f t="shared" si="70"/>
        <v/>
      </c>
      <c r="IQ11" s="11" t="str">
        <f t="shared" si="71"/>
        <v/>
      </c>
      <c r="IR11" s="11" t="str">
        <f t="shared" si="72"/>
        <v/>
      </c>
      <c r="IS11" s="11" t="str">
        <f t="shared" si="73"/>
        <v/>
      </c>
      <c r="IT11" s="11" t="str">
        <f t="shared" si="74"/>
        <v/>
      </c>
      <c r="IU11" s="11" t="str">
        <f t="shared" si="75"/>
        <v/>
      </c>
      <c r="IV11" s="11" t="str">
        <f t="shared" si="76"/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 t="shared" si="77"/>
        <v/>
      </c>
      <c r="JR11" s="40" t="str">
        <f t="shared" si="78"/>
        <v/>
      </c>
      <c r="JS11" s="40" t="str">
        <f t="shared" si="79"/>
        <v/>
      </c>
      <c r="JT11" s="40" t="str">
        <f t="shared" si="80"/>
        <v/>
      </c>
      <c r="JU11" s="40" t="str">
        <f t="shared" si="81"/>
        <v/>
      </c>
      <c r="JV11" s="40" t="str">
        <f t="shared" si="82"/>
        <v/>
      </c>
      <c r="JW11" s="40" t="str">
        <f t="shared" si="83"/>
        <v/>
      </c>
      <c r="JX11" s="40" t="str">
        <f t="shared" si="84"/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 t="shared" si="85"/>
        <v/>
      </c>
      <c r="KT11" s="11" t="str">
        <f t="shared" si="86"/>
        <v/>
      </c>
      <c r="KU11" s="11" t="str">
        <f t="shared" si="87"/>
        <v/>
      </c>
      <c r="KV11" s="11" t="str">
        <f t="shared" si="88"/>
        <v/>
      </c>
      <c r="KW11" s="11" t="str">
        <f t="shared" si="89"/>
        <v/>
      </c>
      <c r="KX11" s="11" t="str">
        <f t="shared" si="90"/>
        <v/>
      </c>
      <c r="KY11" s="11" t="str">
        <f t="shared" si="91"/>
        <v/>
      </c>
      <c r="KZ11" s="11" t="str">
        <f t="shared" si="92"/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 t="shared" si="93"/>
        <v/>
      </c>
      <c r="LV11" s="40" t="str">
        <f t="shared" si="94"/>
        <v/>
      </c>
      <c r="LW11" s="40" t="str">
        <f t="shared" si="95"/>
        <v/>
      </c>
      <c r="LX11" s="40" t="str">
        <f t="shared" si="96"/>
        <v/>
      </c>
      <c r="LY11" s="40" t="str">
        <f t="shared" si="97"/>
        <v/>
      </c>
      <c r="LZ11" s="40" t="str">
        <f t="shared" si="98"/>
        <v/>
      </c>
      <c r="MA11" s="40" t="str">
        <f t="shared" si="99"/>
        <v/>
      </c>
      <c r="MB11" s="40" t="str">
        <f t="shared" si="100"/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 t="shared" si="101"/>
        <v/>
      </c>
      <c r="MX11" s="11" t="str">
        <f t="shared" si="102"/>
        <v/>
      </c>
      <c r="MY11" s="11" t="str">
        <f t="shared" si="103"/>
        <v/>
      </c>
      <c r="MZ11" s="11" t="str">
        <f t="shared" si="104"/>
        <v/>
      </c>
      <c r="NA11" s="11" t="str">
        <f t="shared" si="105"/>
        <v/>
      </c>
      <c r="NB11" s="11" t="str">
        <f t="shared" si="106"/>
        <v/>
      </c>
      <c r="NC11" s="11" t="str">
        <f t="shared" si="107"/>
        <v/>
      </c>
      <c r="ND11" s="11" t="str">
        <f t="shared" si="108"/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 t="shared" si="109"/>
        <v/>
      </c>
      <c r="NZ11" s="40" t="str">
        <f t="shared" si="110"/>
        <v/>
      </c>
      <c r="OA11" s="40" t="str">
        <f t="shared" si="111"/>
        <v/>
      </c>
      <c r="OB11" s="40" t="str">
        <f t="shared" si="112"/>
        <v/>
      </c>
      <c r="OC11" s="40" t="str">
        <f t="shared" si="113"/>
        <v/>
      </c>
      <c r="OD11" s="40" t="str">
        <f t="shared" si="114"/>
        <v/>
      </c>
      <c r="OE11" s="40" t="str">
        <f t="shared" si="115"/>
        <v/>
      </c>
      <c r="OF11" s="40" t="str">
        <f t="shared" si="116"/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 t="shared" si="117"/>
        <v/>
      </c>
      <c r="PB11" s="11" t="str">
        <f t="shared" si="118"/>
        <v/>
      </c>
      <c r="PC11" s="11" t="str">
        <f t="shared" si="119"/>
        <v/>
      </c>
      <c r="PD11" s="11" t="str">
        <f t="shared" si="120"/>
        <v/>
      </c>
      <c r="PE11" s="11" t="str">
        <f t="shared" si="121"/>
        <v/>
      </c>
      <c r="PF11" s="11" t="str">
        <f t="shared" si="122"/>
        <v/>
      </c>
      <c r="PG11" s="11" t="str">
        <f t="shared" si="123"/>
        <v/>
      </c>
      <c r="PH11" s="11" t="str">
        <f t="shared" si="124"/>
        <v/>
      </c>
      <c r="PI11" s="22">
        <f t="shared" si="125"/>
        <v>16</v>
      </c>
      <c r="PJ11" s="22">
        <f t="shared" si="126"/>
        <v>4.4000000000000004</v>
      </c>
      <c r="PK11" s="22">
        <f t="shared" si="127"/>
        <v>0.1</v>
      </c>
      <c r="PL11" s="22">
        <f t="shared" si="128"/>
        <v>0.7</v>
      </c>
      <c r="PM11" s="22">
        <f t="shared" si="129"/>
        <v>15.95</v>
      </c>
      <c r="PN11" s="22">
        <f t="shared" si="130"/>
        <v>4.4000000000000004</v>
      </c>
      <c r="PO11" s="22">
        <f t="shared" si="131"/>
        <v>0.1</v>
      </c>
      <c r="PP11" s="22">
        <f t="shared" si="132"/>
        <v>0.7</v>
      </c>
      <c r="PQ11" s="22">
        <f t="shared" si="133"/>
        <v>15.850000000000001</v>
      </c>
      <c r="PR11" s="22">
        <f t="shared" si="134"/>
        <v>4.1999999999999993</v>
      </c>
      <c r="PS11" s="22">
        <f t="shared" si="135"/>
        <v>0.1</v>
      </c>
      <c r="PT11" s="22">
        <f t="shared" si="136"/>
        <v>0.7</v>
      </c>
      <c r="PU11" s="22">
        <f t="shared" si="137"/>
        <v>16.3</v>
      </c>
      <c r="PV11" s="22">
        <f t="shared" si="138"/>
        <v>4.8499999999999996</v>
      </c>
      <c r="PW11" s="22">
        <f t="shared" si="139"/>
        <v>0.1</v>
      </c>
      <c r="PX11" s="22">
        <f t="shared" si="140"/>
        <v>0.7</v>
      </c>
      <c r="PY11" s="27" t="s">
        <v>46</v>
      </c>
      <c r="PZ11" s="40">
        <f t="shared" si="141"/>
        <v>8.8000000000000007</v>
      </c>
      <c r="QA11" s="40">
        <f t="shared" si="142"/>
        <v>41.949999999999996</v>
      </c>
      <c r="QB11" s="40">
        <f t="shared" si="143"/>
        <v>9.0499999999999989</v>
      </c>
      <c r="QC11" s="40">
        <f t="shared" si="144"/>
        <v>42.4</v>
      </c>
      <c r="QD11" s="40">
        <f t="shared" si="145"/>
        <v>84.35</v>
      </c>
    </row>
    <row r="12" spans="1:446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130</v>
      </c>
      <c r="D12" s="4" t="s">
        <v>3</v>
      </c>
      <c r="E12" s="4">
        <v>2007</v>
      </c>
      <c r="F12" s="9">
        <f t="shared" si="0"/>
        <v>126.4000083300043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IF(COUNT(AM12,BI12,CE12)&gt;0,LARGE((AM12,BI12,CE12),1),0)</f>
        <v>42.9</v>
      </c>
      <c r="M12" s="8" t="str">
        <f t="shared" si="5"/>
        <v>2025 Elite Canada</v>
      </c>
      <c r="N12" s="8">
        <f>IF(COUNT(AM12,BI12,CE12)&gt;1,LARGE((AM12,BI12,CE12),2),0)</f>
        <v>40.4</v>
      </c>
      <c r="O12" s="8" t="str">
        <f t="shared" si="6"/>
        <v>2025 Nationals</v>
      </c>
      <c r="P12" s="8">
        <f t="shared" si="7"/>
        <v>43.1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15.4</v>
      </c>
      <c r="V12" s="19">
        <v>5.6</v>
      </c>
      <c r="W12" s="19">
        <v>0</v>
      </c>
      <c r="X12" s="19">
        <v>0</v>
      </c>
      <c r="Y12" s="19">
        <v>16.5</v>
      </c>
      <c r="Z12" s="19">
        <v>5.4</v>
      </c>
      <c r="AA12" s="19">
        <v>0</v>
      </c>
      <c r="AB12" s="19">
        <v>0</v>
      </c>
      <c r="AC12" s="19">
        <v>15.9</v>
      </c>
      <c r="AD12" s="19">
        <v>5.6</v>
      </c>
      <c r="AE12" s="19">
        <v>0</v>
      </c>
      <c r="AF12" s="19">
        <v>0</v>
      </c>
      <c r="AG12" s="19">
        <v>16.2</v>
      </c>
      <c r="AH12" s="19">
        <v>5.4</v>
      </c>
      <c r="AI12" s="19">
        <v>0</v>
      </c>
      <c r="AJ12" s="19">
        <v>0</v>
      </c>
      <c r="AK12" s="27"/>
      <c r="AL12" s="40">
        <f t="shared" si="12"/>
        <v>11</v>
      </c>
      <c r="AM12" s="40">
        <f t="shared" si="13"/>
        <v>42.9</v>
      </c>
      <c r="AN12" s="40">
        <f t="shared" si="14"/>
        <v>11</v>
      </c>
      <c r="AO12" s="40">
        <f t="shared" si="15"/>
        <v>43.1</v>
      </c>
      <c r="AP12" s="40">
        <f t="shared" si="16"/>
        <v>86</v>
      </c>
      <c r="AQ12" s="18">
        <v>15.7</v>
      </c>
      <c r="AR12" s="18">
        <v>3.4</v>
      </c>
      <c r="AS12" s="18">
        <v>0</v>
      </c>
      <c r="AT12" s="18">
        <v>0</v>
      </c>
      <c r="AU12" s="18">
        <v>15.9</v>
      </c>
      <c r="AV12" s="18">
        <v>5.4</v>
      </c>
      <c r="AW12" s="18">
        <v>0</v>
      </c>
      <c r="AX12" s="18">
        <v>0</v>
      </c>
      <c r="AY12" s="18">
        <v>16.5</v>
      </c>
      <c r="AZ12" s="18">
        <v>4.9000000000000004</v>
      </c>
      <c r="BA12" s="18">
        <v>0</v>
      </c>
      <c r="BB12" s="18">
        <v>0</v>
      </c>
      <c r="BC12" s="18">
        <v>16.5</v>
      </c>
      <c r="BD12" s="18">
        <v>4.4000000000000004</v>
      </c>
      <c r="BE12" s="18">
        <v>0</v>
      </c>
      <c r="BF12" s="18">
        <v>0</v>
      </c>
      <c r="BG12" s="28"/>
      <c r="BH12" s="11">
        <f t="shared" si="17"/>
        <v>8.8000000000000007</v>
      </c>
      <c r="BI12" s="11">
        <f t="shared" si="18"/>
        <v>40.4</v>
      </c>
      <c r="BJ12" s="11">
        <f t="shared" si="19"/>
        <v>9.3000000000000007</v>
      </c>
      <c r="BK12" s="11">
        <f t="shared" si="20"/>
        <v>42.3</v>
      </c>
      <c r="BL12" s="11">
        <f t="shared" si="21"/>
        <v>82.699999999999989</v>
      </c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27"/>
      <c r="CD12" s="40" t="str">
        <f t="shared" si="22"/>
        <v/>
      </c>
      <c r="CE12" s="40" t="str">
        <f t="shared" si="23"/>
        <v/>
      </c>
      <c r="CF12" s="40" t="str">
        <f t="shared" si="24"/>
        <v/>
      </c>
      <c r="CG12" s="40" t="str">
        <f t="shared" si="25"/>
        <v/>
      </c>
      <c r="CH12" s="40" t="str">
        <f t="shared" si="26"/>
        <v/>
      </c>
      <c r="CI12" s="50" t="str">
        <f t="shared" si="27"/>
        <v/>
      </c>
      <c r="CJ12" s="50" t="str">
        <f t="shared" si="28"/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 t="shared" si="29"/>
        <v/>
      </c>
      <c r="DF12" s="40" t="str">
        <f t="shared" si="30"/>
        <v/>
      </c>
      <c r="DG12" s="40" t="str">
        <f t="shared" si="31"/>
        <v/>
      </c>
      <c r="DH12" s="40" t="str">
        <f t="shared" si="32"/>
        <v/>
      </c>
      <c r="DI12" s="40" t="str">
        <f t="shared" si="33"/>
        <v/>
      </c>
      <c r="DJ12" s="40" t="str">
        <f t="shared" si="34"/>
        <v/>
      </c>
      <c r="DK12" s="40" t="str">
        <f t="shared" si="35"/>
        <v/>
      </c>
      <c r="DL12" s="40" t="str">
        <f t="shared" si="36"/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 t="shared" si="37"/>
        <v/>
      </c>
      <c r="EH12" s="11" t="str">
        <f t="shared" si="38"/>
        <v/>
      </c>
      <c r="EI12" s="11" t="str">
        <f t="shared" si="39"/>
        <v/>
      </c>
      <c r="EJ12" s="11" t="str">
        <f t="shared" si="40"/>
        <v/>
      </c>
      <c r="EK12" s="11" t="str">
        <f t="shared" si="41"/>
        <v/>
      </c>
      <c r="EL12" s="11" t="str">
        <f t="shared" si="42"/>
        <v/>
      </c>
      <c r="EM12" s="11" t="str">
        <f t="shared" si="43"/>
        <v/>
      </c>
      <c r="EN12" s="11" t="str">
        <f t="shared" si="44"/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 t="shared" si="45"/>
        <v/>
      </c>
      <c r="FJ12" s="40" t="str">
        <f t="shared" si="46"/>
        <v/>
      </c>
      <c r="FK12" s="40" t="str">
        <f t="shared" si="47"/>
        <v/>
      </c>
      <c r="FL12" s="40" t="str">
        <f t="shared" si="48"/>
        <v/>
      </c>
      <c r="FM12" s="40" t="str">
        <f t="shared" si="49"/>
        <v/>
      </c>
      <c r="FN12" s="40" t="str">
        <f t="shared" si="50"/>
        <v/>
      </c>
      <c r="FO12" s="40" t="str">
        <f t="shared" si="51"/>
        <v/>
      </c>
      <c r="FP12" s="40" t="str">
        <f t="shared" si="52"/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 t="shared" si="53"/>
        <v/>
      </c>
      <c r="GL12" s="11" t="str">
        <f t="shared" si="54"/>
        <v/>
      </c>
      <c r="GM12" s="11" t="str">
        <f t="shared" si="55"/>
        <v/>
      </c>
      <c r="GN12" s="11" t="str">
        <f t="shared" si="56"/>
        <v/>
      </c>
      <c r="GO12" s="11" t="str">
        <f t="shared" si="57"/>
        <v/>
      </c>
      <c r="GP12" s="11" t="str">
        <f t="shared" si="58"/>
        <v/>
      </c>
      <c r="GQ12" s="11" t="str">
        <f t="shared" si="59"/>
        <v/>
      </c>
      <c r="GR12" s="11" t="str">
        <f t="shared" si="60"/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 t="shared" si="61"/>
        <v/>
      </c>
      <c r="HN12" s="40" t="str">
        <f t="shared" si="62"/>
        <v/>
      </c>
      <c r="HO12" s="40" t="str">
        <f t="shared" si="63"/>
        <v/>
      </c>
      <c r="HP12" s="40" t="str">
        <f t="shared" si="64"/>
        <v/>
      </c>
      <c r="HQ12" s="40" t="str">
        <f t="shared" si="65"/>
        <v/>
      </c>
      <c r="HR12" s="40" t="str">
        <f t="shared" si="66"/>
        <v/>
      </c>
      <c r="HS12" s="40" t="str">
        <f t="shared" si="67"/>
        <v/>
      </c>
      <c r="HT12" s="40" t="str">
        <f t="shared" si="68"/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 t="shared" si="69"/>
        <v/>
      </c>
      <c r="IP12" s="11" t="str">
        <f t="shared" si="70"/>
        <v/>
      </c>
      <c r="IQ12" s="11" t="str">
        <f t="shared" si="71"/>
        <v/>
      </c>
      <c r="IR12" s="11" t="str">
        <f t="shared" si="72"/>
        <v/>
      </c>
      <c r="IS12" s="11" t="str">
        <f t="shared" si="73"/>
        <v/>
      </c>
      <c r="IT12" s="11" t="str">
        <f t="shared" si="74"/>
        <v/>
      </c>
      <c r="IU12" s="11" t="str">
        <f t="shared" si="75"/>
        <v/>
      </c>
      <c r="IV12" s="11" t="str">
        <f t="shared" si="76"/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 t="shared" si="77"/>
        <v/>
      </c>
      <c r="JR12" s="40" t="str">
        <f t="shared" si="78"/>
        <v/>
      </c>
      <c r="JS12" s="40" t="str">
        <f t="shared" si="79"/>
        <v/>
      </c>
      <c r="JT12" s="40" t="str">
        <f t="shared" si="80"/>
        <v/>
      </c>
      <c r="JU12" s="40" t="str">
        <f t="shared" si="81"/>
        <v/>
      </c>
      <c r="JV12" s="40" t="str">
        <f t="shared" si="82"/>
        <v/>
      </c>
      <c r="JW12" s="40" t="str">
        <f t="shared" si="83"/>
        <v/>
      </c>
      <c r="JX12" s="40" t="str">
        <f t="shared" si="84"/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 t="shared" si="85"/>
        <v/>
      </c>
      <c r="KT12" s="11" t="str">
        <f t="shared" si="86"/>
        <v/>
      </c>
      <c r="KU12" s="11" t="str">
        <f t="shared" si="87"/>
        <v/>
      </c>
      <c r="KV12" s="11" t="str">
        <f t="shared" si="88"/>
        <v/>
      </c>
      <c r="KW12" s="11" t="str">
        <f t="shared" si="89"/>
        <v/>
      </c>
      <c r="KX12" s="11" t="str">
        <f t="shared" si="90"/>
        <v/>
      </c>
      <c r="KY12" s="11" t="str">
        <f t="shared" si="91"/>
        <v/>
      </c>
      <c r="KZ12" s="11" t="str">
        <f t="shared" si="92"/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 t="shared" si="93"/>
        <v/>
      </c>
      <c r="LV12" s="40" t="str">
        <f t="shared" si="94"/>
        <v/>
      </c>
      <c r="LW12" s="40" t="str">
        <f t="shared" si="95"/>
        <v/>
      </c>
      <c r="LX12" s="40" t="str">
        <f t="shared" si="96"/>
        <v/>
      </c>
      <c r="LY12" s="40" t="str">
        <f t="shared" si="97"/>
        <v/>
      </c>
      <c r="LZ12" s="40" t="str">
        <f t="shared" si="98"/>
        <v/>
      </c>
      <c r="MA12" s="40" t="str">
        <f t="shared" si="99"/>
        <v/>
      </c>
      <c r="MB12" s="40" t="str">
        <f t="shared" si="100"/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 t="shared" si="101"/>
        <v/>
      </c>
      <c r="MX12" s="11" t="str">
        <f t="shared" si="102"/>
        <v/>
      </c>
      <c r="MY12" s="11" t="str">
        <f t="shared" si="103"/>
        <v/>
      </c>
      <c r="MZ12" s="11" t="str">
        <f t="shared" si="104"/>
        <v/>
      </c>
      <c r="NA12" s="11" t="str">
        <f t="shared" si="105"/>
        <v/>
      </c>
      <c r="NB12" s="11" t="str">
        <f t="shared" si="106"/>
        <v/>
      </c>
      <c r="NC12" s="11" t="str">
        <f t="shared" si="107"/>
        <v/>
      </c>
      <c r="ND12" s="11" t="str">
        <f t="shared" si="108"/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 t="shared" si="109"/>
        <v/>
      </c>
      <c r="NZ12" s="40" t="str">
        <f t="shared" si="110"/>
        <v/>
      </c>
      <c r="OA12" s="40" t="str">
        <f t="shared" si="111"/>
        <v/>
      </c>
      <c r="OB12" s="40" t="str">
        <f t="shared" si="112"/>
        <v/>
      </c>
      <c r="OC12" s="40" t="str">
        <f t="shared" si="113"/>
        <v/>
      </c>
      <c r="OD12" s="40" t="str">
        <f t="shared" si="114"/>
        <v/>
      </c>
      <c r="OE12" s="40" t="str">
        <f t="shared" si="115"/>
        <v/>
      </c>
      <c r="OF12" s="40" t="str">
        <f t="shared" si="116"/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 t="shared" si="117"/>
        <v/>
      </c>
      <c r="PB12" s="11" t="str">
        <f t="shared" si="118"/>
        <v/>
      </c>
      <c r="PC12" s="11" t="str">
        <f t="shared" si="119"/>
        <v/>
      </c>
      <c r="PD12" s="11" t="str">
        <f t="shared" si="120"/>
        <v/>
      </c>
      <c r="PE12" s="11" t="str">
        <f t="shared" si="121"/>
        <v/>
      </c>
      <c r="PF12" s="11" t="str">
        <f t="shared" si="122"/>
        <v/>
      </c>
      <c r="PG12" s="11" t="str">
        <f t="shared" si="123"/>
        <v/>
      </c>
      <c r="PH12" s="11" t="str">
        <f t="shared" si="124"/>
        <v/>
      </c>
      <c r="PI12" s="22">
        <f t="shared" si="125"/>
        <v>7.85</v>
      </c>
      <c r="PJ12" s="22">
        <f t="shared" si="126"/>
        <v>1.7</v>
      </c>
      <c r="PK12" s="22">
        <f t="shared" si="127"/>
        <v>0</v>
      </c>
      <c r="PL12" s="22">
        <f t="shared" si="128"/>
        <v>0</v>
      </c>
      <c r="PM12" s="22">
        <f t="shared" si="129"/>
        <v>7.95</v>
      </c>
      <c r="PN12" s="22">
        <f t="shared" si="130"/>
        <v>2.7</v>
      </c>
      <c r="PO12" s="22">
        <f t="shared" si="131"/>
        <v>0</v>
      </c>
      <c r="PP12" s="22">
        <f t="shared" si="132"/>
        <v>0</v>
      </c>
      <c r="PQ12" s="22">
        <f t="shared" si="133"/>
        <v>8.25</v>
      </c>
      <c r="PR12" s="22">
        <f t="shared" si="134"/>
        <v>2.4500000000000002</v>
      </c>
      <c r="PS12" s="22">
        <f t="shared" si="135"/>
        <v>0</v>
      </c>
      <c r="PT12" s="22">
        <f t="shared" si="136"/>
        <v>0</v>
      </c>
      <c r="PU12" s="22">
        <f t="shared" si="137"/>
        <v>8.25</v>
      </c>
      <c r="PV12" s="22">
        <f t="shared" si="138"/>
        <v>2.2000000000000002</v>
      </c>
      <c r="PW12" s="22">
        <f t="shared" si="139"/>
        <v>0</v>
      </c>
      <c r="PX12" s="22">
        <f t="shared" si="140"/>
        <v>0</v>
      </c>
      <c r="PY12" s="27" t="s">
        <v>46</v>
      </c>
      <c r="PZ12" s="40">
        <f t="shared" si="141"/>
        <v>4.4000000000000004</v>
      </c>
      <c r="QA12" s="40">
        <f t="shared" si="142"/>
        <v>20.2</v>
      </c>
      <c r="QB12" s="40">
        <f t="shared" si="143"/>
        <v>4.6500000000000004</v>
      </c>
      <c r="QC12" s="40">
        <f t="shared" si="144"/>
        <v>21.15</v>
      </c>
      <c r="QD12" s="40">
        <f t="shared" si="145"/>
        <v>41.349999999999994</v>
      </c>
    </row>
    <row r="13" spans="1:446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123</v>
      </c>
      <c r="D13" s="4" t="s">
        <v>4</v>
      </c>
      <c r="E13" s="4">
        <v>2007</v>
      </c>
      <c r="F13" s="9">
        <f t="shared" si="0"/>
        <v>126.20000841000424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IF(COUNT(AM13,BI13,CE13)&gt;0,LARGE((AM13,BI13,CE13),1),0)</f>
        <v>42.5</v>
      </c>
      <c r="M13" s="8" t="str">
        <f t="shared" si="5"/>
        <v>2025 3rd Domestic Trial</v>
      </c>
      <c r="N13" s="8">
        <f>IF(COUNT(AM13,BI13,CE13)&gt;1,LARGE((AM13,BI13,CE13),2),0)</f>
        <v>41.599999999999994</v>
      </c>
      <c r="O13" s="8" t="str">
        <f t="shared" si="6"/>
        <v>2025 Nationals</v>
      </c>
      <c r="P13" s="8">
        <f t="shared" si="7"/>
        <v>42.099999999999994</v>
      </c>
      <c r="Q13" s="8" t="str">
        <f t="shared" si="8"/>
        <v>2025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15.2</v>
      </c>
      <c r="V13" s="19">
        <v>4.5999999999999996</v>
      </c>
      <c r="W13" s="19">
        <v>0</v>
      </c>
      <c r="X13" s="19">
        <v>0</v>
      </c>
      <c r="Y13" s="19">
        <v>15.4</v>
      </c>
      <c r="Z13" s="19">
        <v>4.8</v>
      </c>
      <c r="AA13" s="19">
        <v>0</v>
      </c>
      <c r="AB13" s="19">
        <v>0</v>
      </c>
      <c r="AC13" s="19">
        <v>15.4</v>
      </c>
      <c r="AD13" s="19">
        <v>4.8</v>
      </c>
      <c r="AE13" s="19">
        <v>0.2</v>
      </c>
      <c r="AF13" s="19">
        <v>0</v>
      </c>
      <c r="AG13" s="19">
        <v>15.5</v>
      </c>
      <c r="AH13" s="19">
        <v>5.3</v>
      </c>
      <c r="AI13" s="19">
        <v>0.4</v>
      </c>
      <c r="AJ13" s="19">
        <v>0</v>
      </c>
      <c r="AK13" s="27"/>
      <c r="AL13" s="40">
        <f t="shared" si="12"/>
        <v>9.3999999999999986</v>
      </c>
      <c r="AM13" s="40">
        <f t="shared" si="13"/>
        <v>39.999999999999993</v>
      </c>
      <c r="AN13" s="40">
        <f t="shared" si="14"/>
        <v>10.1</v>
      </c>
      <c r="AO13" s="40">
        <f t="shared" si="15"/>
        <v>40.4</v>
      </c>
      <c r="AP13" s="40">
        <f t="shared" si="16"/>
        <v>80.399999999999991</v>
      </c>
      <c r="AQ13" s="18">
        <v>16</v>
      </c>
      <c r="AR13" s="18">
        <v>4.8</v>
      </c>
      <c r="AS13" s="18">
        <v>0</v>
      </c>
      <c r="AT13" s="18">
        <v>0</v>
      </c>
      <c r="AU13" s="18">
        <v>15.5</v>
      </c>
      <c r="AV13" s="18">
        <v>5.3</v>
      </c>
      <c r="AW13" s="18">
        <v>0</v>
      </c>
      <c r="AX13" s="18">
        <v>0</v>
      </c>
      <c r="AY13" s="18">
        <v>15.7</v>
      </c>
      <c r="AZ13" s="18">
        <v>4.8</v>
      </c>
      <c r="BA13" s="18">
        <v>0.2</v>
      </c>
      <c r="BB13" s="18">
        <v>0</v>
      </c>
      <c r="BC13" s="18">
        <v>15.6</v>
      </c>
      <c r="BD13" s="18">
        <v>5.3</v>
      </c>
      <c r="BE13" s="18">
        <v>0</v>
      </c>
      <c r="BF13" s="18">
        <v>0</v>
      </c>
      <c r="BG13" s="28"/>
      <c r="BH13" s="11">
        <f t="shared" si="17"/>
        <v>10.1</v>
      </c>
      <c r="BI13" s="11">
        <f t="shared" si="18"/>
        <v>41.599999999999994</v>
      </c>
      <c r="BJ13" s="11">
        <f t="shared" si="19"/>
        <v>10.1</v>
      </c>
      <c r="BK13" s="11">
        <f t="shared" si="20"/>
        <v>41.199999999999996</v>
      </c>
      <c r="BL13" s="11">
        <f t="shared" si="21"/>
        <v>82.799999999999983</v>
      </c>
      <c r="BM13" s="19">
        <v>15.9</v>
      </c>
      <c r="BN13" s="19">
        <v>5.5</v>
      </c>
      <c r="BO13" s="19">
        <v>0</v>
      </c>
      <c r="BP13" s="19">
        <v>0</v>
      </c>
      <c r="BQ13" s="19">
        <v>15.8</v>
      </c>
      <c r="BR13" s="19">
        <v>5.3</v>
      </c>
      <c r="BS13" s="19">
        <v>0</v>
      </c>
      <c r="BT13" s="19">
        <v>0</v>
      </c>
      <c r="BU13" s="19">
        <v>15.8</v>
      </c>
      <c r="BV13" s="19">
        <v>5.5</v>
      </c>
      <c r="BW13" s="19">
        <v>0</v>
      </c>
      <c r="BX13" s="19">
        <v>0</v>
      </c>
      <c r="BY13" s="19">
        <v>15.5</v>
      </c>
      <c r="BZ13" s="19">
        <v>5.3</v>
      </c>
      <c r="CA13" s="19">
        <v>0</v>
      </c>
      <c r="CB13" s="19">
        <v>0</v>
      </c>
      <c r="CC13" s="27"/>
      <c r="CD13" s="40">
        <f t="shared" si="22"/>
        <v>10.8</v>
      </c>
      <c r="CE13" s="40">
        <f t="shared" si="23"/>
        <v>42.5</v>
      </c>
      <c r="CF13" s="40">
        <f t="shared" si="24"/>
        <v>10.8</v>
      </c>
      <c r="CG13" s="40">
        <f t="shared" si="25"/>
        <v>42.099999999999994</v>
      </c>
      <c r="CH13" s="40">
        <f t="shared" si="26"/>
        <v>84.6</v>
      </c>
      <c r="CI13" s="50" t="str">
        <f t="shared" si="27"/>
        <v/>
      </c>
      <c r="CJ13" s="50" t="str">
        <f t="shared" si="28"/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 t="shared" si="29"/>
        <v/>
      </c>
      <c r="DF13" s="40" t="str">
        <f t="shared" si="30"/>
        <v/>
      </c>
      <c r="DG13" s="40" t="str">
        <f t="shared" si="31"/>
        <v/>
      </c>
      <c r="DH13" s="40" t="str">
        <f t="shared" si="32"/>
        <v/>
      </c>
      <c r="DI13" s="40" t="str">
        <f t="shared" si="33"/>
        <v/>
      </c>
      <c r="DJ13" s="40" t="str">
        <f t="shared" si="34"/>
        <v/>
      </c>
      <c r="DK13" s="40" t="str">
        <f t="shared" si="35"/>
        <v/>
      </c>
      <c r="DL13" s="40" t="str">
        <f t="shared" si="36"/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 t="shared" si="37"/>
        <v/>
      </c>
      <c r="EH13" s="11" t="str">
        <f t="shared" si="38"/>
        <v/>
      </c>
      <c r="EI13" s="11" t="str">
        <f t="shared" si="39"/>
        <v/>
      </c>
      <c r="EJ13" s="11" t="str">
        <f t="shared" si="40"/>
        <v/>
      </c>
      <c r="EK13" s="11" t="str">
        <f t="shared" si="41"/>
        <v/>
      </c>
      <c r="EL13" s="11" t="str">
        <f t="shared" si="42"/>
        <v/>
      </c>
      <c r="EM13" s="11" t="str">
        <f t="shared" si="43"/>
        <v/>
      </c>
      <c r="EN13" s="11" t="str">
        <f t="shared" si="44"/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 t="shared" si="45"/>
        <v/>
      </c>
      <c r="FJ13" s="40" t="str">
        <f t="shared" si="46"/>
        <v/>
      </c>
      <c r="FK13" s="40" t="str">
        <f t="shared" si="47"/>
        <v/>
      </c>
      <c r="FL13" s="40" t="str">
        <f t="shared" si="48"/>
        <v/>
      </c>
      <c r="FM13" s="40" t="str">
        <f t="shared" si="49"/>
        <v/>
      </c>
      <c r="FN13" s="40" t="str">
        <f t="shared" si="50"/>
        <v/>
      </c>
      <c r="FO13" s="40" t="str">
        <f t="shared" si="51"/>
        <v/>
      </c>
      <c r="FP13" s="40" t="str">
        <f t="shared" si="52"/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 t="shared" si="53"/>
        <v/>
      </c>
      <c r="GL13" s="11" t="str">
        <f t="shared" si="54"/>
        <v/>
      </c>
      <c r="GM13" s="11" t="str">
        <f t="shared" si="55"/>
        <v/>
      </c>
      <c r="GN13" s="11" t="str">
        <f t="shared" si="56"/>
        <v/>
      </c>
      <c r="GO13" s="11" t="str">
        <f t="shared" si="57"/>
        <v/>
      </c>
      <c r="GP13" s="11" t="str">
        <f t="shared" si="58"/>
        <v/>
      </c>
      <c r="GQ13" s="11" t="str">
        <f t="shared" si="59"/>
        <v/>
      </c>
      <c r="GR13" s="11" t="str">
        <f t="shared" si="60"/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 t="shared" si="61"/>
        <v/>
      </c>
      <c r="HN13" s="40" t="str">
        <f t="shared" si="62"/>
        <v/>
      </c>
      <c r="HO13" s="40" t="str">
        <f t="shared" si="63"/>
        <v/>
      </c>
      <c r="HP13" s="40" t="str">
        <f t="shared" si="64"/>
        <v/>
      </c>
      <c r="HQ13" s="40" t="str">
        <f t="shared" si="65"/>
        <v/>
      </c>
      <c r="HR13" s="40" t="str">
        <f t="shared" si="66"/>
        <v/>
      </c>
      <c r="HS13" s="40" t="str">
        <f t="shared" si="67"/>
        <v/>
      </c>
      <c r="HT13" s="40" t="str">
        <f t="shared" si="68"/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 t="shared" si="69"/>
        <v/>
      </c>
      <c r="IP13" s="11" t="str">
        <f t="shared" si="70"/>
        <v/>
      </c>
      <c r="IQ13" s="11" t="str">
        <f t="shared" si="71"/>
        <v/>
      </c>
      <c r="IR13" s="11" t="str">
        <f t="shared" si="72"/>
        <v/>
      </c>
      <c r="IS13" s="11" t="str">
        <f t="shared" si="73"/>
        <v/>
      </c>
      <c r="IT13" s="11" t="str">
        <f t="shared" si="74"/>
        <v/>
      </c>
      <c r="IU13" s="11" t="str">
        <f t="shared" si="75"/>
        <v/>
      </c>
      <c r="IV13" s="11" t="str">
        <f t="shared" si="76"/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 t="shared" si="77"/>
        <v/>
      </c>
      <c r="JR13" s="40" t="str">
        <f t="shared" si="78"/>
        <v/>
      </c>
      <c r="JS13" s="40" t="str">
        <f t="shared" si="79"/>
        <v/>
      </c>
      <c r="JT13" s="40" t="str">
        <f t="shared" si="80"/>
        <v/>
      </c>
      <c r="JU13" s="40" t="str">
        <f t="shared" si="81"/>
        <v/>
      </c>
      <c r="JV13" s="40" t="str">
        <f t="shared" si="82"/>
        <v/>
      </c>
      <c r="JW13" s="40" t="str">
        <f t="shared" si="83"/>
        <v/>
      </c>
      <c r="JX13" s="40" t="str">
        <f t="shared" si="84"/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 t="shared" si="85"/>
        <v/>
      </c>
      <c r="KT13" s="11" t="str">
        <f t="shared" si="86"/>
        <v/>
      </c>
      <c r="KU13" s="11" t="str">
        <f t="shared" si="87"/>
        <v/>
      </c>
      <c r="KV13" s="11" t="str">
        <f t="shared" si="88"/>
        <v/>
      </c>
      <c r="KW13" s="11" t="str">
        <f t="shared" si="89"/>
        <v/>
      </c>
      <c r="KX13" s="11" t="str">
        <f t="shared" si="90"/>
        <v/>
      </c>
      <c r="KY13" s="11" t="str">
        <f t="shared" si="91"/>
        <v/>
      </c>
      <c r="KZ13" s="11" t="str">
        <f t="shared" si="92"/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 t="shared" si="93"/>
        <v/>
      </c>
      <c r="LV13" s="40" t="str">
        <f t="shared" si="94"/>
        <v/>
      </c>
      <c r="LW13" s="40" t="str">
        <f t="shared" si="95"/>
        <v/>
      </c>
      <c r="LX13" s="40" t="str">
        <f t="shared" si="96"/>
        <v/>
      </c>
      <c r="LY13" s="40" t="str">
        <f t="shared" si="97"/>
        <v/>
      </c>
      <c r="LZ13" s="40" t="str">
        <f t="shared" si="98"/>
        <v/>
      </c>
      <c r="MA13" s="40" t="str">
        <f t="shared" si="99"/>
        <v/>
      </c>
      <c r="MB13" s="40" t="str">
        <f t="shared" si="100"/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 t="shared" si="101"/>
        <v/>
      </c>
      <c r="MX13" s="11" t="str">
        <f t="shared" si="102"/>
        <v/>
      </c>
      <c r="MY13" s="11" t="str">
        <f t="shared" si="103"/>
        <v/>
      </c>
      <c r="MZ13" s="11" t="str">
        <f t="shared" si="104"/>
        <v/>
      </c>
      <c r="NA13" s="11" t="str">
        <f t="shared" si="105"/>
        <v/>
      </c>
      <c r="NB13" s="11" t="str">
        <f t="shared" si="106"/>
        <v/>
      </c>
      <c r="NC13" s="11" t="str">
        <f t="shared" si="107"/>
        <v/>
      </c>
      <c r="ND13" s="11" t="str">
        <f t="shared" si="108"/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 t="shared" si="109"/>
        <v/>
      </c>
      <c r="NZ13" s="40" t="str">
        <f t="shared" si="110"/>
        <v/>
      </c>
      <c r="OA13" s="40" t="str">
        <f t="shared" si="111"/>
        <v/>
      </c>
      <c r="OB13" s="40" t="str">
        <f t="shared" si="112"/>
        <v/>
      </c>
      <c r="OC13" s="40" t="str">
        <f t="shared" si="113"/>
        <v/>
      </c>
      <c r="OD13" s="40" t="str">
        <f t="shared" si="114"/>
        <v/>
      </c>
      <c r="OE13" s="40" t="str">
        <f t="shared" si="115"/>
        <v/>
      </c>
      <c r="OF13" s="40" t="str">
        <f t="shared" si="116"/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 t="shared" si="117"/>
        <v/>
      </c>
      <c r="PB13" s="11" t="str">
        <f t="shared" si="118"/>
        <v/>
      </c>
      <c r="PC13" s="11" t="str">
        <f t="shared" si="119"/>
        <v/>
      </c>
      <c r="PD13" s="11" t="str">
        <f t="shared" si="120"/>
        <v/>
      </c>
      <c r="PE13" s="11" t="str">
        <f t="shared" si="121"/>
        <v/>
      </c>
      <c r="PF13" s="11" t="str">
        <f t="shared" si="122"/>
        <v/>
      </c>
      <c r="PG13" s="11" t="str">
        <f t="shared" si="123"/>
        <v/>
      </c>
      <c r="PH13" s="11" t="str">
        <f t="shared" si="124"/>
        <v/>
      </c>
      <c r="PI13" s="22">
        <f t="shared" si="125"/>
        <v>15.95</v>
      </c>
      <c r="PJ13" s="22">
        <f t="shared" si="126"/>
        <v>5.15</v>
      </c>
      <c r="PK13" s="22">
        <f t="shared" si="127"/>
        <v>0</v>
      </c>
      <c r="PL13" s="22">
        <f t="shared" si="128"/>
        <v>0</v>
      </c>
      <c r="PM13" s="22">
        <f t="shared" si="129"/>
        <v>15.65</v>
      </c>
      <c r="PN13" s="22">
        <f t="shared" si="130"/>
        <v>5.3</v>
      </c>
      <c r="PO13" s="22">
        <f t="shared" si="131"/>
        <v>0</v>
      </c>
      <c r="PP13" s="22">
        <f t="shared" si="132"/>
        <v>0</v>
      </c>
      <c r="PQ13" s="22">
        <f t="shared" si="133"/>
        <v>15.75</v>
      </c>
      <c r="PR13" s="22">
        <f t="shared" si="134"/>
        <v>5.15</v>
      </c>
      <c r="PS13" s="22">
        <f t="shared" si="135"/>
        <v>0.1</v>
      </c>
      <c r="PT13" s="22">
        <f t="shared" si="136"/>
        <v>0</v>
      </c>
      <c r="PU13" s="22">
        <f t="shared" si="137"/>
        <v>15.55</v>
      </c>
      <c r="PV13" s="22">
        <f t="shared" si="138"/>
        <v>5.3</v>
      </c>
      <c r="PW13" s="22">
        <f t="shared" si="139"/>
        <v>0</v>
      </c>
      <c r="PX13" s="22">
        <f t="shared" si="140"/>
        <v>0</v>
      </c>
      <c r="PY13" s="27" t="s">
        <v>46</v>
      </c>
      <c r="PZ13" s="40">
        <f t="shared" si="141"/>
        <v>10.45</v>
      </c>
      <c r="QA13" s="40">
        <f t="shared" si="142"/>
        <v>42.05</v>
      </c>
      <c r="QB13" s="40">
        <f t="shared" si="143"/>
        <v>10.45</v>
      </c>
      <c r="QC13" s="40">
        <f t="shared" si="144"/>
        <v>41.65</v>
      </c>
      <c r="QD13" s="40">
        <f t="shared" si="145"/>
        <v>83.699999999999989</v>
      </c>
    </row>
    <row r="14" spans="1:446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90</v>
      </c>
      <c r="D14" s="4" t="s">
        <v>5</v>
      </c>
      <c r="E14" s="4">
        <v>2005</v>
      </c>
      <c r="F14" s="9">
        <f t="shared" si="0"/>
        <v>120.3000079700044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IF(COUNT(AM14,BI14,CE14)&gt;0,LARGE((AM14,BI14,CE14),1),0)</f>
        <v>44.1</v>
      </c>
      <c r="M14" s="8" t="str">
        <f t="shared" si="5"/>
        <v>2025 Nationals</v>
      </c>
      <c r="N14" s="8">
        <f>IF(COUNT(AM14,BI14,CE14)&gt;1,LARGE((AM14,BI14,CE14),2),0)</f>
        <v>35.599999999999994</v>
      </c>
      <c r="O14" s="8" t="str">
        <f t="shared" si="6"/>
        <v>2025 Elite Canada</v>
      </c>
      <c r="P14" s="8">
        <f t="shared" si="7"/>
        <v>40.600000000000009</v>
      </c>
      <c r="Q14" s="8" t="str">
        <f t="shared" si="8"/>
        <v>2025 Nationals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14</v>
      </c>
      <c r="V14" s="19">
        <v>4.2</v>
      </c>
      <c r="W14" s="19">
        <v>0.4</v>
      </c>
      <c r="X14" s="19">
        <v>0.7</v>
      </c>
      <c r="Y14" s="19">
        <v>14.2</v>
      </c>
      <c r="Z14" s="19">
        <v>3.5</v>
      </c>
      <c r="AA14" s="19">
        <v>0.6</v>
      </c>
      <c r="AB14" s="19">
        <v>0</v>
      </c>
      <c r="AC14" s="19"/>
      <c r="AD14" s="19"/>
      <c r="AE14" s="19"/>
      <c r="AF14" s="19"/>
      <c r="AG14" s="19"/>
      <c r="AH14" s="19"/>
      <c r="AI14" s="19"/>
      <c r="AJ14" s="19"/>
      <c r="AK14" s="27"/>
      <c r="AL14" s="40">
        <f t="shared" si="12"/>
        <v>7.7</v>
      </c>
      <c r="AM14" s="40">
        <f t="shared" si="13"/>
        <v>35.599999999999994</v>
      </c>
      <c r="AN14" s="40" t="str">
        <f t="shared" si="14"/>
        <v/>
      </c>
      <c r="AO14" s="40" t="str">
        <f t="shared" si="15"/>
        <v/>
      </c>
      <c r="AP14" s="40">
        <f t="shared" si="16"/>
        <v>35.599999999999994</v>
      </c>
      <c r="AQ14" s="18">
        <v>15.9</v>
      </c>
      <c r="AR14" s="18">
        <v>6</v>
      </c>
      <c r="AS14" s="18">
        <v>0</v>
      </c>
      <c r="AT14" s="18">
        <v>0.7</v>
      </c>
      <c r="AU14" s="18">
        <v>15.3</v>
      </c>
      <c r="AV14" s="18">
        <v>5.5</v>
      </c>
      <c r="AW14" s="18">
        <v>0</v>
      </c>
      <c r="AX14" s="18">
        <v>0.7</v>
      </c>
      <c r="AY14" s="18">
        <v>15.3</v>
      </c>
      <c r="AZ14" s="18">
        <v>5.7</v>
      </c>
      <c r="BA14" s="18">
        <v>0</v>
      </c>
      <c r="BB14" s="18">
        <v>0.7</v>
      </c>
      <c r="BC14" s="18">
        <v>14</v>
      </c>
      <c r="BD14" s="18">
        <v>4.5999999999999996</v>
      </c>
      <c r="BE14" s="18">
        <v>0.4</v>
      </c>
      <c r="BF14" s="18">
        <v>0.7</v>
      </c>
      <c r="BG14" s="28"/>
      <c r="BH14" s="11">
        <f t="shared" si="17"/>
        <v>11.5</v>
      </c>
      <c r="BI14" s="11">
        <f t="shared" si="18"/>
        <v>44.1</v>
      </c>
      <c r="BJ14" s="11">
        <f t="shared" si="19"/>
        <v>10.3</v>
      </c>
      <c r="BK14" s="11">
        <f t="shared" si="20"/>
        <v>40.600000000000009</v>
      </c>
      <c r="BL14" s="11">
        <f t="shared" si="21"/>
        <v>84.700000000000017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 t="shared" si="22"/>
        <v/>
      </c>
      <c r="CE14" s="40" t="str">
        <f t="shared" si="23"/>
        <v/>
      </c>
      <c r="CF14" s="40" t="str">
        <f t="shared" si="24"/>
        <v/>
      </c>
      <c r="CG14" s="40" t="str">
        <f t="shared" si="25"/>
        <v/>
      </c>
      <c r="CH14" s="40" t="str">
        <f t="shared" si="26"/>
        <v/>
      </c>
      <c r="CI14" s="50" t="str">
        <f t="shared" si="27"/>
        <v/>
      </c>
      <c r="CJ14" s="50" t="str">
        <f t="shared" si="28"/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 t="shared" si="29"/>
        <v/>
      </c>
      <c r="DF14" s="40" t="str">
        <f t="shared" si="30"/>
        <v/>
      </c>
      <c r="DG14" s="40" t="str">
        <f t="shared" si="31"/>
        <v/>
      </c>
      <c r="DH14" s="40" t="str">
        <f t="shared" si="32"/>
        <v/>
      </c>
      <c r="DI14" s="40" t="str">
        <f t="shared" si="33"/>
        <v/>
      </c>
      <c r="DJ14" s="40" t="str">
        <f t="shared" si="34"/>
        <v/>
      </c>
      <c r="DK14" s="40" t="str">
        <f t="shared" si="35"/>
        <v/>
      </c>
      <c r="DL14" s="40" t="str">
        <f t="shared" si="36"/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 t="shared" si="37"/>
        <v/>
      </c>
      <c r="EH14" s="11" t="str">
        <f t="shared" si="38"/>
        <v/>
      </c>
      <c r="EI14" s="11" t="str">
        <f t="shared" si="39"/>
        <v/>
      </c>
      <c r="EJ14" s="11" t="str">
        <f t="shared" si="40"/>
        <v/>
      </c>
      <c r="EK14" s="11" t="str">
        <f t="shared" si="41"/>
        <v/>
      </c>
      <c r="EL14" s="11" t="str">
        <f t="shared" si="42"/>
        <v/>
      </c>
      <c r="EM14" s="11" t="str">
        <f t="shared" si="43"/>
        <v/>
      </c>
      <c r="EN14" s="11" t="str">
        <f t="shared" si="44"/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 t="shared" si="45"/>
        <v/>
      </c>
      <c r="FJ14" s="40" t="str">
        <f t="shared" si="46"/>
        <v/>
      </c>
      <c r="FK14" s="40" t="str">
        <f t="shared" si="47"/>
        <v/>
      </c>
      <c r="FL14" s="40" t="str">
        <f t="shared" si="48"/>
        <v/>
      </c>
      <c r="FM14" s="40" t="str">
        <f t="shared" si="49"/>
        <v/>
      </c>
      <c r="FN14" s="40" t="str">
        <f t="shared" si="50"/>
        <v/>
      </c>
      <c r="FO14" s="40" t="str">
        <f t="shared" si="51"/>
        <v/>
      </c>
      <c r="FP14" s="40" t="str">
        <f t="shared" si="52"/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 t="shared" si="53"/>
        <v/>
      </c>
      <c r="GL14" s="11" t="str">
        <f t="shared" si="54"/>
        <v/>
      </c>
      <c r="GM14" s="11" t="str">
        <f t="shared" si="55"/>
        <v/>
      </c>
      <c r="GN14" s="11" t="str">
        <f t="shared" si="56"/>
        <v/>
      </c>
      <c r="GO14" s="11" t="str">
        <f t="shared" si="57"/>
        <v/>
      </c>
      <c r="GP14" s="11" t="str">
        <f t="shared" si="58"/>
        <v/>
      </c>
      <c r="GQ14" s="11" t="str">
        <f t="shared" si="59"/>
        <v/>
      </c>
      <c r="GR14" s="11" t="str">
        <f t="shared" si="60"/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 t="shared" si="61"/>
        <v/>
      </c>
      <c r="HN14" s="40" t="str">
        <f t="shared" si="62"/>
        <v/>
      </c>
      <c r="HO14" s="40" t="str">
        <f t="shared" si="63"/>
        <v/>
      </c>
      <c r="HP14" s="40" t="str">
        <f t="shared" si="64"/>
        <v/>
      </c>
      <c r="HQ14" s="40" t="str">
        <f t="shared" si="65"/>
        <v/>
      </c>
      <c r="HR14" s="40" t="str">
        <f t="shared" si="66"/>
        <v/>
      </c>
      <c r="HS14" s="40" t="str">
        <f t="shared" si="67"/>
        <v/>
      </c>
      <c r="HT14" s="40" t="str">
        <f t="shared" si="68"/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 t="shared" si="69"/>
        <v/>
      </c>
      <c r="IP14" s="11" t="str">
        <f t="shared" si="70"/>
        <v/>
      </c>
      <c r="IQ14" s="11" t="str">
        <f t="shared" si="71"/>
        <v/>
      </c>
      <c r="IR14" s="11" t="str">
        <f t="shared" si="72"/>
        <v/>
      </c>
      <c r="IS14" s="11" t="str">
        <f t="shared" si="73"/>
        <v/>
      </c>
      <c r="IT14" s="11" t="str">
        <f t="shared" si="74"/>
        <v/>
      </c>
      <c r="IU14" s="11" t="str">
        <f t="shared" si="75"/>
        <v/>
      </c>
      <c r="IV14" s="11" t="str">
        <f t="shared" si="76"/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 t="shared" si="77"/>
        <v/>
      </c>
      <c r="JR14" s="40" t="str">
        <f t="shared" si="78"/>
        <v/>
      </c>
      <c r="JS14" s="40" t="str">
        <f t="shared" si="79"/>
        <v/>
      </c>
      <c r="JT14" s="40" t="str">
        <f t="shared" si="80"/>
        <v/>
      </c>
      <c r="JU14" s="40" t="str">
        <f t="shared" si="81"/>
        <v/>
      </c>
      <c r="JV14" s="40" t="str">
        <f t="shared" si="82"/>
        <v/>
      </c>
      <c r="JW14" s="40" t="str">
        <f t="shared" si="83"/>
        <v/>
      </c>
      <c r="JX14" s="40" t="str">
        <f t="shared" si="84"/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 t="shared" si="85"/>
        <v/>
      </c>
      <c r="KT14" s="11" t="str">
        <f t="shared" si="86"/>
        <v/>
      </c>
      <c r="KU14" s="11" t="str">
        <f t="shared" si="87"/>
        <v/>
      </c>
      <c r="KV14" s="11" t="str">
        <f t="shared" si="88"/>
        <v/>
      </c>
      <c r="KW14" s="11" t="str">
        <f t="shared" si="89"/>
        <v/>
      </c>
      <c r="KX14" s="11" t="str">
        <f t="shared" si="90"/>
        <v/>
      </c>
      <c r="KY14" s="11" t="str">
        <f t="shared" si="91"/>
        <v/>
      </c>
      <c r="KZ14" s="11" t="str">
        <f t="shared" si="92"/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 t="shared" si="93"/>
        <v/>
      </c>
      <c r="LV14" s="40" t="str">
        <f t="shared" si="94"/>
        <v/>
      </c>
      <c r="LW14" s="40" t="str">
        <f t="shared" si="95"/>
        <v/>
      </c>
      <c r="LX14" s="40" t="str">
        <f t="shared" si="96"/>
        <v/>
      </c>
      <c r="LY14" s="40" t="str">
        <f t="shared" si="97"/>
        <v/>
      </c>
      <c r="LZ14" s="40" t="str">
        <f t="shared" si="98"/>
        <v/>
      </c>
      <c r="MA14" s="40" t="str">
        <f t="shared" si="99"/>
        <v/>
      </c>
      <c r="MB14" s="40" t="str">
        <f t="shared" si="100"/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 t="shared" si="101"/>
        <v/>
      </c>
      <c r="MX14" s="11" t="str">
        <f t="shared" si="102"/>
        <v/>
      </c>
      <c r="MY14" s="11" t="str">
        <f t="shared" si="103"/>
        <v/>
      </c>
      <c r="MZ14" s="11" t="str">
        <f t="shared" si="104"/>
        <v/>
      </c>
      <c r="NA14" s="11" t="str">
        <f t="shared" si="105"/>
        <v/>
      </c>
      <c r="NB14" s="11" t="str">
        <f t="shared" si="106"/>
        <v/>
      </c>
      <c r="NC14" s="11" t="str">
        <f t="shared" si="107"/>
        <v/>
      </c>
      <c r="ND14" s="11" t="str">
        <f t="shared" si="108"/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 t="shared" si="109"/>
        <v/>
      </c>
      <c r="NZ14" s="40" t="str">
        <f t="shared" si="110"/>
        <v/>
      </c>
      <c r="OA14" s="40" t="str">
        <f t="shared" si="111"/>
        <v/>
      </c>
      <c r="OB14" s="40" t="str">
        <f t="shared" si="112"/>
        <v/>
      </c>
      <c r="OC14" s="40" t="str">
        <f t="shared" si="113"/>
        <v/>
      </c>
      <c r="OD14" s="40" t="str">
        <f t="shared" si="114"/>
        <v/>
      </c>
      <c r="OE14" s="40" t="str">
        <f t="shared" si="115"/>
        <v/>
      </c>
      <c r="OF14" s="40" t="str">
        <f t="shared" si="116"/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 t="shared" si="117"/>
        <v/>
      </c>
      <c r="PB14" s="11" t="str">
        <f t="shared" si="118"/>
        <v/>
      </c>
      <c r="PC14" s="11" t="str">
        <f t="shared" si="119"/>
        <v/>
      </c>
      <c r="PD14" s="11" t="str">
        <f t="shared" si="120"/>
        <v/>
      </c>
      <c r="PE14" s="11" t="str">
        <f t="shared" si="121"/>
        <v/>
      </c>
      <c r="PF14" s="11" t="str">
        <f t="shared" si="122"/>
        <v/>
      </c>
      <c r="PG14" s="11" t="str">
        <f t="shared" si="123"/>
        <v/>
      </c>
      <c r="PH14" s="11" t="str">
        <f t="shared" si="124"/>
        <v/>
      </c>
      <c r="PI14" s="22">
        <f t="shared" si="125"/>
        <v>7.95</v>
      </c>
      <c r="PJ14" s="22">
        <f t="shared" si="126"/>
        <v>3</v>
      </c>
      <c r="PK14" s="22">
        <f t="shared" si="127"/>
        <v>0</v>
      </c>
      <c r="PL14" s="22">
        <f t="shared" si="128"/>
        <v>0.35</v>
      </c>
      <c r="PM14" s="22">
        <f t="shared" si="129"/>
        <v>7.65</v>
      </c>
      <c r="PN14" s="22">
        <f t="shared" si="130"/>
        <v>2.75</v>
      </c>
      <c r="PO14" s="22">
        <f t="shared" si="131"/>
        <v>0</v>
      </c>
      <c r="PP14" s="22">
        <f t="shared" si="132"/>
        <v>0.35</v>
      </c>
      <c r="PQ14" s="22">
        <f t="shared" si="133"/>
        <v>7.65</v>
      </c>
      <c r="PR14" s="22">
        <f t="shared" si="134"/>
        <v>2.85</v>
      </c>
      <c r="PS14" s="22">
        <f t="shared" si="135"/>
        <v>0</v>
      </c>
      <c r="PT14" s="22">
        <f t="shared" si="136"/>
        <v>0.35</v>
      </c>
      <c r="PU14" s="22">
        <f t="shared" si="137"/>
        <v>7</v>
      </c>
      <c r="PV14" s="22">
        <f t="shared" si="138"/>
        <v>2.2999999999999998</v>
      </c>
      <c r="PW14" s="22">
        <f t="shared" si="139"/>
        <v>0.2</v>
      </c>
      <c r="PX14" s="22">
        <f t="shared" si="140"/>
        <v>0.35</v>
      </c>
      <c r="PY14" s="27" t="s">
        <v>46</v>
      </c>
      <c r="PZ14" s="40">
        <f t="shared" si="141"/>
        <v>5.75</v>
      </c>
      <c r="QA14" s="40">
        <f t="shared" si="142"/>
        <v>22.05</v>
      </c>
      <c r="QB14" s="40">
        <f t="shared" si="143"/>
        <v>5.15</v>
      </c>
      <c r="QC14" s="40">
        <f t="shared" si="144"/>
        <v>20.300000000000004</v>
      </c>
      <c r="QD14" s="40">
        <f t="shared" si="145"/>
        <v>42.350000000000009</v>
      </c>
    </row>
    <row r="15" spans="1:446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127</v>
      </c>
      <c r="D15" s="4" t="s">
        <v>5</v>
      </c>
      <c r="E15" s="4">
        <v>2007</v>
      </c>
      <c r="F15" s="9">
        <f t="shared" si="0"/>
        <v>118.80000785000401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IF(COUNT(AM15,BI15,CE15)&gt;0,LARGE((AM15,BI15,CE15),1),0)</f>
        <v>40.1</v>
      </c>
      <c r="M15" s="8" t="str">
        <f t="shared" si="5"/>
        <v>2025 Elite Canada</v>
      </c>
      <c r="N15" s="8">
        <f>IF(COUNT(AM15,BI15,CE15)&gt;1,LARGE((AM15,BI15,CE15),2),0)</f>
        <v>38.4</v>
      </c>
      <c r="O15" s="8" t="str">
        <f t="shared" si="6"/>
        <v>2025 Nationals</v>
      </c>
      <c r="P15" s="8">
        <f t="shared" si="7"/>
        <v>40.299999999999997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16</v>
      </c>
      <c r="V15" s="19">
        <v>4.2</v>
      </c>
      <c r="W15" s="19">
        <v>0</v>
      </c>
      <c r="X15" s="19">
        <v>0</v>
      </c>
      <c r="Y15" s="19">
        <v>15.9</v>
      </c>
      <c r="Z15" s="19">
        <v>4</v>
      </c>
      <c r="AA15" s="19">
        <v>0</v>
      </c>
      <c r="AB15" s="19">
        <v>0</v>
      </c>
      <c r="AC15" s="19">
        <v>16</v>
      </c>
      <c r="AD15" s="19">
        <v>4.2</v>
      </c>
      <c r="AE15" s="19">
        <v>0</v>
      </c>
      <c r="AF15" s="19">
        <v>0</v>
      </c>
      <c r="AG15" s="19">
        <v>16.100000000000001</v>
      </c>
      <c r="AH15" s="19">
        <v>4</v>
      </c>
      <c r="AI15" s="19">
        <v>0</v>
      </c>
      <c r="AJ15" s="19">
        <v>0</v>
      </c>
      <c r="AK15" s="27"/>
      <c r="AL15" s="40">
        <f t="shared" si="12"/>
        <v>8.1999999999999993</v>
      </c>
      <c r="AM15" s="40">
        <f t="shared" si="13"/>
        <v>40.1</v>
      </c>
      <c r="AN15" s="40">
        <f t="shared" si="14"/>
        <v>8.1999999999999993</v>
      </c>
      <c r="AO15" s="40">
        <f t="shared" si="15"/>
        <v>40.299999999999997</v>
      </c>
      <c r="AP15" s="40">
        <f t="shared" si="16"/>
        <v>80.400000000000006</v>
      </c>
      <c r="AQ15" s="18">
        <v>15.7</v>
      </c>
      <c r="AR15" s="18">
        <v>2</v>
      </c>
      <c r="AS15" s="18">
        <v>0</v>
      </c>
      <c r="AT15" s="18">
        <v>0</v>
      </c>
      <c r="AU15" s="18">
        <v>16.7</v>
      </c>
      <c r="AV15" s="18">
        <v>4</v>
      </c>
      <c r="AW15" s="18">
        <v>0</v>
      </c>
      <c r="AX15" s="18">
        <v>0</v>
      </c>
      <c r="AY15" s="18">
        <v>16.2</v>
      </c>
      <c r="AZ15" s="18">
        <v>4.2</v>
      </c>
      <c r="BA15" s="18">
        <v>0</v>
      </c>
      <c r="BB15" s="18">
        <v>0</v>
      </c>
      <c r="BC15" s="18">
        <v>14.3</v>
      </c>
      <c r="BD15" s="18">
        <v>4</v>
      </c>
      <c r="BE15" s="18">
        <v>0.2</v>
      </c>
      <c r="BF15" s="18">
        <v>0</v>
      </c>
      <c r="BG15" s="28"/>
      <c r="BH15" s="11">
        <f t="shared" si="17"/>
        <v>6</v>
      </c>
      <c r="BI15" s="11">
        <f t="shared" si="18"/>
        <v>38.4</v>
      </c>
      <c r="BJ15" s="11">
        <f t="shared" si="19"/>
        <v>8.1999999999999993</v>
      </c>
      <c r="BK15" s="11">
        <f t="shared" si="20"/>
        <v>38.5</v>
      </c>
      <c r="BL15" s="11">
        <f t="shared" si="21"/>
        <v>76.900000000000006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 t="shared" si="22"/>
        <v/>
      </c>
      <c r="CE15" s="40" t="str">
        <f t="shared" si="23"/>
        <v/>
      </c>
      <c r="CF15" s="40" t="str">
        <f t="shared" si="24"/>
        <v/>
      </c>
      <c r="CG15" s="40" t="str">
        <f t="shared" si="25"/>
        <v/>
      </c>
      <c r="CH15" s="40" t="str">
        <f t="shared" si="26"/>
        <v/>
      </c>
      <c r="CI15" s="50" t="str">
        <f t="shared" si="27"/>
        <v/>
      </c>
      <c r="CJ15" s="50" t="str">
        <f t="shared" si="28"/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 t="shared" si="29"/>
        <v/>
      </c>
      <c r="DF15" s="40" t="str">
        <f t="shared" si="30"/>
        <v/>
      </c>
      <c r="DG15" s="40" t="str">
        <f t="shared" si="31"/>
        <v/>
      </c>
      <c r="DH15" s="40" t="str">
        <f t="shared" si="32"/>
        <v/>
      </c>
      <c r="DI15" s="40" t="str">
        <f t="shared" si="33"/>
        <v/>
      </c>
      <c r="DJ15" s="40" t="str">
        <f t="shared" si="34"/>
        <v/>
      </c>
      <c r="DK15" s="40" t="str">
        <f t="shared" si="35"/>
        <v/>
      </c>
      <c r="DL15" s="40" t="str">
        <f t="shared" si="36"/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 t="shared" si="37"/>
        <v/>
      </c>
      <c r="EH15" s="11" t="str">
        <f t="shared" si="38"/>
        <v/>
      </c>
      <c r="EI15" s="11" t="str">
        <f t="shared" si="39"/>
        <v/>
      </c>
      <c r="EJ15" s="11" t="str">
        <f t="shared" si="40"/>
        <v/>
      </c>
      <c r="EK15" s="11" t="str">
        <f t="shared" si="41"/>
        <v/>
      </c>
      <c r="EL15" s="11" t="str">
        <f t="shared" si="42"/>
        <v/>
      </c>
      <c r="EM15" s="11" t="str">
        <f t="shared" si="43"/>
        <v/>
      </c>
      <c r="EN15" s="11" t="str">
        <f t="shared" si="44"/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 t="shared" si="45"/>
        <v/>
      </c>
      <c r="FJ15" s="40" t="str">
        <f t="shared" si="46"/>
        <v/>
      </c>
      <c r="FK15" s="40" t="str">
        <f t="shared" si="47"/>
        <v/>
      </c>
      <c r="FL15" s="40" t="str">
        <f t="shared" si="48"/>
        <v/>
      </c>
      <c r="FM15" s="40" t="str">
        <f t="shared" si="49"/>
        <v/>
      </c>
      <c r="FN15" s="40" t="str">
        <f t="shared" si="50"/>
        <v/>
      </c>
      <c r="FO15" s="40" t="str">
        <f t="shared" si="51"/>
        <v/>
      </c>
      <c r="FP15" s="40" t="str">
        <f t="shared" si="52"/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 t="shared" si="53"/>
        <v/>
      </c>
      <c r="GL15" s="11" t="str">
        <f t="shared" si="54"/>
        <v/>
      </c>
      <c r="GM15" s="11" t="str">
        <f t="shared" si="55"/>
        <v/>
      </c>
      <c r="GN15" s="11" t="str">
        <f t="shared" si="56"/>
        <v/>
      </c>
      <c r="GO15" s="11" t="str">
        <f t="shared" si="57"/>
        <v/>
      </c>
      <c r="GP15" s="11" t="str">
        <f t="shared" si="58"/>
        <v/>
      </c>
      <c r="GQ15" s="11" t="str">
        <f t="shared" si="59"/>
        <v/>
      </c>
      <c r="GR15" s="11" t="str">
        <f t="shared" si="60"/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 t="shared" si="61"/>
        <v/>
      </c>
      <c r="HN15" s="40" t="str">
        <f t="shared" si="62"/>
        <v/>
      </c>
      <c r="HO15" s="40" t="str">
        <f t="shared" si="63"/>
        <v/>
      </c>
      <c r="HP15" s="40" t="str">
        <f t="shared" si="64"/>
        <v/>
      </c>
      <c r="HQ15" s="40" t="str">
        <f t="shared" si="65"/>
        <v/>
      </c>
      <c r="HR15" s="40" t="str">
        <f t="shared" si="66"/>
        <v/>
      </c>
      <c r="HS15" s="40" t="str">
        <f t="shared" si="67"/>
        <v/>
      </c>
      <c r="HT15" s="40" t="str">
        <f t="shared" si="68"/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 t="shared" si="69"/>
        <v/>
      </c>
      <c r="IP15" s="11" t="str">
        <f t="shared" si="70"/>
        <v/>
      </c>
      <c r="IQ15" s="11" t="str">
        <f t="shared" si="71"/>
        <v/>
      </c>
      <c r="IR15" s="11" t="str">
        <f t="shared" si="72"/>
        <v/>
      </c>
      <c r="IS15" s="11" t="str">
        <f t="shared" si="73"/>
        <v/>
      </c>
      <c r="IT15" s="11" t="str">
        <f t="shared" si="74"/>
        <v/>
      </c>
      <c r="IU15" s="11" t="str">
        <f t="shared" si="75"/>
        <v/>
      </c>
      <c r="IV15" s="11" t="str">
        <f t="shared" si="76"/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 t="shared" si="77"/>
        <v/>
      </c>
      <c r="JR15" s="40" t="str">
        <f t="shared" si="78"/>
        <v/>
      </c>
      <c r="JS15" s="40" t="str">
        <f t="shared" si="79"/>
        <v/>
      </c>
      <c r="JT15" s="40" t="str">
        <f t="shared" si="80"/>
        <v/>
      </c>
      <c r="JU15" s="40" t="str">
        <f t="shared" si="81"/>
        <v/>
      </c>
      <c r="JV15" s="40" t="str">
        <f t="shared" si="82"/>
        <v/>
      </c>
      <c r="JW15" s="40" t="str">
        <f t="shared" si="83"/>
        <v/>
      </c>
      <c r="JX15" s="40" t="str">
        <f t="shared" si="84"/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 t="shared" si="85"/>
        <v/>
      </c>
      <c r="KT15" s="11" t="str">
        <f t="shared" si="86"/>
        <v/>
      </c>
      <c r="KU15" s="11" t="str">
        <f t="shared" si="87"/>
        <v/>
      </c>
      <c r="KV15" s="11" t="str">
        <f t="shared" si="88"/>
        <v/>
      </c>
      <c r="KW15" s="11" t="str">
        <f t="shared" si="89"/>
        <v/>
      </c>
      <c r="KX15" s="11" t="str">
        <f t="shared" si="90"/>
        <v/>
      </c>
      <c r="KY15" s="11" t="str">
        <f t="shared" si="91"/>
        <v/>
      </c>
      <c r="KZ15" s="11" t="str">
        <f t="shared" si="92"/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 t="shared" si="93"/>
        <v/>
      </c>
      <c r="LV15" s="40" t="str">
        <f t="shared" si="94"/>
        <v/>
      </c>
      <c r="LW15" s="40" t="str">
        <f t="shared" si="95"/>
        <v/>
      </c>
      <c r="LX15" s="40" t="str">
        <f t="shared" si="96"/>
        <v/>
      </c>
      <c r="LY15" s="40" t="str">
        <f t="shared" si="97"/>
        <v/>
      </c>
      <c r="LZ15" s="40" t="str">
        <f t="shared" si="98"/>
        <v/>
      </c>
      <c r="MA15" s="40" t="str">
        <f t="shared" si="99"/>
        <v/>
      </c>
      <c r="MB15" s="40" t="str">
        <f t="shared" si="100"/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 t="shared" si="101"/>
        <v/>
      </c>
      <c r="MX15" s="11" t="str">
        <f t="shared" si="102"/>
        <v/>
      </c>
      <c r="MY15" s="11" t="str">
        <f t="shared" si="103"/>
        <v/>
      </c>
      <c r="MZ15" s="11" t="str">
        <f t="shared" si="104"/>
        <v/>
      </c>
      <c r="NA15" s="11" t="str">
        <f t="shared" si="105"/>
        <v/>
      </c>
      <c r="NB15" s="11" t="str">
        <f t="shared" si="106"/>
        <v/>
      </c>
      <c r="NC15" s="11" t="str">
        <f t="shared" si="107"/>
        <v/>
      </c>
      <c r="ND15" s="11" t="str">
        <f t="shared" si="108"/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 t="shared" si="109"/>
        <v/>
      </c>
      <c r="NZ15" s="40" t="str">
        <f t="shared" si="110"/>
        <v/>
      </c>
      <c r="OA15" s="40" t="str">
        <f t="shared" si="111"/>
        <v/>
      </c>
      <c r="OB15" s="40" t="str">
        <f t="shared" si="112"/>
        <v/>
      </c>
      <c r="OC15" s="40" t="str">
        <f t="shared" si="113"/>
        <v/>
      </c>
      <c r="OD15" s="40" t="str">
        <f t="shared" si="114"/>
        <v/>
      </c>
      <c r="OE15" s="40" t="str">
        <f t="shared" si="115"/>
        <v/>
      </c>
      <c r="OF15" s="40" t="str">
        <f t="shared" si="116"/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 t="shared" si="117"/>
        <v/>
      </c>
      <c r="PB15" s="11" t="str">
        <f t="shared" si="118"/>
        <v/>
      </c>
      <c r="PC15" s="11" t="str">
        <f t="shared" si="119"/>
        <v/>
      </c>
      <c r="PD15" s="11" t="str">
        <f t="shared" si="120"/>
        <v/>
      </c>
      <c r="PE15" s="11" t="str">
        <f t="shared" si="121"/>
        <v/>
      </c>
      <c r="PF15" s="11" t="str">
        <f t="shared" si="122"/>
        <v/>
      </c>
      <c r="PG15" s="11" t="str">
        <f t="shared" si="123"/>
        <v/>
      </c>
      <c r="PH15" s="11" t="str">
        <f t="shared" si="124"/>
        <v/>
      </c>
      <c r="PI15" s="22">
        <f t="shared" si="125"/>
        <v>7.85</v>
      </c>
      <c r="PJ15" s="22">
        <f t="shared" si="126"/>
        <v>1</v>
      </c>
      <c r="PK15" s="22">
        <f t="shared" si="127"/>
        <v>0</v>
      </c>
      <c r="PL15" s="22">
        <f t="shared" si="128"/>
        <v>0</v>
      </c>
      <c r="PM15" s="22">
        <f t="shared" si="129"/>
        <v>8.35</v>
      </c>
      <c r="PN15" s="22">
        <f t="shared" si="130"/>
        <v>2</v>
      </c>
      <c r="PO15" s="22">
        <f t="shared" si="131"/>
        <v>0</v>
      </c>
      <c r="PP15" s="22">
        <f t="shared" si="132"/>
        <v>0</v>
      </c>
      <c r="PQ15" s="22">
        <f t="shared" si="133"/>
        <v>8.1</v>
      </c>
      <c r="PR15" s="22">
        <f t="shared" si="134"/>
        <v>2.1</v>
      </c>
      <c r="PS15" s="22">
        <f t="shared" si="135"/>
        <v>0</v>
      </c>
      <c r="PT15" s="22">
        <f t="shared" si="136"/>
        <v>0</v>
      </c>
      <c r="PU15" s="22">
        <f t="shared" si="137"/>
        <v>7.15</v>
      </c>
      <c r="PV15" s="22">
        <f t="shared" si="138"/>
        <v>2</v>
      </c>
      <c r="PW15" s="22">
        <f t="shared" si="139"/>
        <v>0.1</v>
      </c>
      <c r="PX15" s="22">
        <f t="shared" si="140"/>
        <v>0</v>
      </c>
      <c r="PY15" s="27" t="s">
        <v>46</v>
      </c>
      <c r="PZ15" s="40">
        <f t="shared" si="141"/>
        <v>3</v>
      </c>
      <c r="QA15" s="40">
        <f t="shared" si="142"/>
        <v>19.2</v>
      </c>
      <c r="QB15" s="40">
        <f t="shared" si="143"/>
        <v>4.0999999999999996</v>
      </c>
      <c r="QC15" s="40">
        <f t="shared" si="144"/>
        <v>19.25</v>
      </c>
      <c r="QD15" s="40">
        <f t="shared" si="145"/>
        <v>38.450000000000003</v>
      </c>
    </row>
    <row r="16" spans="1:446" x14ac:dyDescent="0.2">
      <c r="A16" s="4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>7</v>
      </c>
      <c r="B16" s="4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>3</v>
      </c>
      <c r="C16" s="5" t="s">
        <v>159</v>
      </c>
      <c r="D16" s="4" t="s">
        <v>6</v>
      </c>
      <c r="E16" s="4">
        <v>2007</v>
      </c>
      <c r="F16" s="9">
        <f t="shared" si="0"/>
        <v>89.600004470004464</v>
      </c>
      <c r="G16" s="64"/>
      <c r="H16" s="3" t="str">
        <f t="shared" si="1"/>
        <v/>
      </c>
      <c r="I16" s="3" t="str">
        <f t="shared" si="2"/>
        <v>P</v>
      </c>
      <c r="J16" s="36" t="str">
        <f t="shared" si="3"/>
        <v>No DD</v>
      </c>
      <c r="K16" s="3" t="str">
        <f t="shared" si="4"/>
        <v/>
      </c>
      <c r="L16" s="8">
        <f>IF(COUNT(AM16,BI16,CE16)&gt;0,LARGE((AM16,BI16,CE16),1),0)</f>
        <v>44.7</v>
      </c>
      <c r="M16" s="8" t="str">
        <f t="shared" si="5"/>
        <v>2025 Elite Canada</v>
      </c>
      <c r="N16" s="8">
        <f>IF(COUNT(AM16,BI16,CE16)&gt;1,LARGE((AM16,BI16,CE16),2),0)</f>
        <v>0</v>
      </c>
      <c r="O16" s="8" t="str">
        <f t="shared" si="6"/>
        <v/>
      </c>
      <c r="P16" s="8">
        <f t="shared" si="7"/>
        <v>44.899999999999991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</v>
      </c>
      <c r="V16" s="19">
        <v>4.3</v>
      </c>
      <c r="W16" s="19">
        <v>0</v>
      </c>
      <c r="X16" s="19">
        <v>0</v>
      </c>
      <c r="Y16" s="19">
        <v>18.100000000000001</v>
      </c>
      <c r="Z16" s="19">
        <v>4.3</v>
      </c>
      <c r="AA16" s="19">
        <v>0</v>
      </c>
      <c r="AB16" s="19">
        <v>0</v>
      </c>
      <c r="AC16" s="19">
        <v>17.899999999999999</v>
      </c>
      <c r="AD16" s="19">
        <v>4.0999999999999996</v>
      </c>
      <c r="AE16" s="19">
        <v>0.2</v>
      </c>
      <c r="AF16" s="19">
        <v>0</v>
      </c>
      <c r="AG16" s="19">
        <v>18.8</v>
      </c>
      <c r="AH16" s="19">
        <v>4.3</v>
      </c>
      <c r="AI16" s="19">
        <v>0</v>
      </c>
      <c r="AJ16" s="19">
        <v>0</v>
      </c>
      <c r="AK16" s="27"/>
      <c r="AL16" s="40">
        <f t="shared" si="12"/>
        <v>8.6</v>
      </c>
      <c r="AM16" s="40">
        <f t="shared" si="13"/>
        <v>44.7</v>
      </c>
      <c r="AN16" s="40">
        <f t="shared" si="14"/>
        <v>8.3999999999999986</v>
      </c>
      <c r="AO16" s="40">
        <f t="shared" si="15"/>
        <v>44.899999999999991</v>
      </c>
      <c r="AP16" s="40">
        <f t="shared" si="16"/>
        <v>89.6</v>
      </c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28"/>
      <c r="BH16" s="11" t="str">
        <f t="shared" si="17"/>
        <v/>
      </c>
      <c r="BI16" s="11" t="str">
        <f t="shared" si="18"/>
        <v/>
      </c>
      <c r="BJ16" s="11" t="str">
        <f t="shared" si="19"/>
        <v/>
      </c>
      <c r="BK16" s="11" t="str">
        <f t="shared" si="20"/>
        <v/>
      </c>
      <c r="BL16" s="11" t="str">
        <f t="shared" si="21"/>
        <v/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 t="shared" si="22"/>
        <v/>
      </c>
      <c r="CE16" s="40" t="str">
        <f t="shared" si="23"/>
        <v/>
      </c>
      <c r="CF16" s="40" t="str">
        <f t="shared" si="24"/>
        <v/>
      </c>
      <c r="CG16" s="40" t="str">
        <f t="shared" si="25"/>
        <v/>
      </c>
      <c r="CH16" s="40" t="str">
        <f t="shared" si="26"/>
        <v/>
      </c>
      <c r="CI16" s="50" t="str">
        <f t="shared" si="27"/>
        <v/>
      </c>
      <c r="CJ16" s="50" t="str">
        <f t="shared" si="28"/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 t="shared" si="29"/>
        <v/>
      </c>
      <c r="DF16" s="40" t="str">
        <f t="shared" si="30"/>
        <v/>
      </c>
      <c r="DG16" s="40" t="str">
        <f t="shared" si="31"/>
        <v/>
      </c>
      <c r="DH16" s="40" t="str">
        <f t="shared" si="32"/>
        <v/>
      </c>
      <c r="DI16" s="40" t="str">
        <f t="shared" si="33"/>
        <v/>
      </c>
      <c r="DJ16" s="40" t="str">
        <f t="shared" si="34"/>
        <v/>
      </c>
      <c r="DK16" s="40" t="str">
        <f t="shared" si="35"/>
        <v/>
      </c>
      <c r="DL16" s="40" t="str">
        <f t="shared" si="36"/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 t="shared" si="37"/>
        <v/>
      </c>
      <c r="EH16" s="11" t="str">
        <f t="shared" si="38"/>
        <v/>
      </c>
      <c r="EI16" s="11" t="str">
        <f t="shared" si="39"/>
        <v/>
      </c>
      <c r="EJ16" s="11" t="str">
        <f t="shared" si="40"/>
        <v/>
      </c>
      <c r="EK16" s="11" t="str">
        <f t="shared" si="41"/>
        <v/>
      </c>
      <c r="EL16" s="11" t="str">
        <f t="shared" si="42"/>
        <v/>
      </c>
      <c r="EM16" s="11" t="str">
        <f t="shared" si="43"/>
        <v/>
      </c>
      <c r="EN16" s="11" t="str">
        <f t="shared" si="44"/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 t="shared" si="45"/>
        <v/>
      </c>
      <c r="FJ16" s="40" t="str">
        <f t="shared" si="46"/>
        <v/>
      </c>
      <c r="FK16" s="40" t="str">
        <f t="shared" si="47"/>
        <v/>
      </c>
      <c r="FL16" s="40" t="str">
        <f t="shared" si="48"/>
        <v/>
      </c>
      <c r="FM16" s="40" t="str">
        <f t="shared" si="49"/>
        <v/>
      </c>
      <c r="FN16" s="40" t="str">
        <f t="shared" si="50"/>
        <v/>
      </c>
      <c r="FO16" s="40" t="str">
        <f t="shared" si="51"/>
        <v/>
      </c>
      <c r="FP16" s="40" t="str">
        <f t="shared" si="52"/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 t="shared" si="53"/>
        <v/>
      </c>
      <c r="GL16" s="11" t="str">
        <f t="shared" si="54"/>
        <v/>
      </c>
      <c r="GM16" s="11" t="str">
        <f t="shared" si="55"/>
        <v/>
      </c>
      <c r="GN16" s="11" t="str">
        <f t="shared" si="56"/>
        <v/>
      </c>
      <c r="GO16" s="11" t="str">
        <f t="shared" si="57"/>
        <v/>
      </c>
      <c r="GP16" s="11" t="str">
        <f t="shared" si="58"/>
        <v/>
      </c>
      <c r="GQ16" s="11" t="str">
        <f t="shared" si="59"/>
        <v/>
      </c>
      <c r="GR16" s="11" t="str">
        <f t="shared" si="60"/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 t="shared" si="61"/>
        <v/>
      </c>
      <c r="HN16" s="40" t="str">
        <f t="shared" si="62"/>
        <v/>
      </c>
      <c r="HO16" s="40" t="str">
        <f t="shared" si="63"/>
        <v/>
      </c>
      <c r="HP16" s="40" t="str">
        <f t="shared" si="64"/>
        <v/>
      </c>
      <c r="HQ16" s="40" t="str">
        <f t="shared" si="65"/>
        <v/>
      </c>
      <c r="HR16" s="40" t="str">
        <f t="shared" si="66"/>
        <v/>
      </c>
      <c r="HS16" s="40" t="str">
        <f t="shared" si="67"/>
        <v/>
      </c>
      <c r="HT16" s="40" t="str">
        <f t="shared" si="68"/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 t="shared" si="69"/>
        <v/>
      </c>
      <c r="IP16" s="11" t="str">
        <f t="shared" si="70"/>
        <v/>
      </c>
      <c r="IQ16" s="11" t="str">
        <f t="shared" si="71"/>
        <v/>
      </c>
      <c r="IR16" s="11" t="str">
        <f t="shared" si="72"/>
        <v/>
      </c>
      <c r="IS16" s="11" t="str">
        <f t="shared" si="73"/>
        <v/>
      </c>
      <c r="IT16" s="11" t="str">
        <f t="shared" si="74"/>
        <v/>
      </c>
      <c r="IU16" s="11" t="str">
        <f t="shared" si="75"/>
        <v/>
      </c>
      <c r="IV16" s="11" t="str">
        <f t="shared" si="76"/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 t="shared" si="77"/>
        <v/>
      </c>
      <c r="JR16" s="40" t="str">
        <f t="shared" si="78"/>
        <v/>
      </c>
      <c r="JS16" s="40" t="str">
        <f t="shared" si="79"/>
        <v/>
      </c>
      <c r="JT16" s="40" t="str">
        <f t="shared" si="80"/>
        <v/>
      </c>
      <c r="JU16" s="40" t="str">
        <f t="shared" si="81"/>
        <v/>
      </c>
      <c r="JV16" s="40" t="str">
        <f t="shared" si="82"/>
        <v/>
      </c>
      <c r="JW16" s="40" t="str">
        <f t="shared" si="83"/>
        <v/>
      </c>
      <c r="JX16" s="40" t="str">
        <f t="shared" si="84"/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 t="shared" si="85"/>
        <v/>
      </c>
      <c r="KT16" s="11" t="str">
        <f t="shared" si="86"/>
        <v/>
      </c>
      <c r="KU16" s="11" t="str">
        <f t="shared" si="87"/>
        <v/>
      </c>
      <c r="KV16" s="11" t="str">
        <f t="shared" si="88"/>
        <v/>
      </c>
      <c r="KW16" s="11" t="str">
        <f t="shared" si="89"/>
        <v/>
      </c>
      <c r="KX16" s="11" t="str">
        <f t="shared" si="90"/>
        <v/>
      </c>
      <c r="KY16" s="11" t="str">
        <f t="shared" si="91"/>
        <v/>
      </c>
      <c r="KZ16" s="11" t="str">
        <f t="shared" si="92"/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 t="shared" si="93"/>
        <v/>
      </c>
      <c r="LV16" s="40" t="str">
        <f t="shared" si="94"/>
        <v/>
      </c>
      <c r="LW16" s="40" t="str">
        <f t="shared" si="95"/>
        <v/>
      </c>
      <c r="LX16" s="40" t="str">
        <f t="shared" si="96"/>
        <v/>
      </c>
      <c r="LY16" s="40" t="str">
        <f t="shared" si="97"/>
        <v/>
      </c>
      <c r="LZ16" s="40" t="str">
        <f t="shared" si="98"/>
        <v/>
      </c>
      <c r="MA16" s="40" t="str">
        <f t="shared" si="99"/>
        <v/>
      </c>
      <c r="MB16" s="40" t="str">
        <f t="shared" si="100"/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 t="shared" si="101"/>
        <v/>
      </c>
      <c r="MX16" s="11" t="str">
        <f t="shared" si="102"/>
        <v/>
      </c>
      <c r="MY16" s="11" t="str">
        <f t="shared" si="103"/>
        <v/>
      </c>
      <c r="MZ16" s="11" t="str">
        <f t="shared" si="104"/>
        <v/>
      </c>
      <c r="NA16" s="11" t="str">
        <f t="shared" si="105"/>
        <v/>
      </c>
      <c r="NB16" s="11" t="str">
        <f t="shared" si="106"/>
        <v/>
      </c>
      <c r="NC16" s="11" t="str">
        <f t="shared" si="107"/>
        <v/>
      </c>
      <c r="ND16" s="11" t="str">
        <f t="shared" si="108"/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 t="shared" si="109"/>
        <v/>
      </c>
      <c r="NZ16" s="40" t="str">
        <f t="shared" si="110"/>
        <v/>
      </c>
      <c r="OA16" s="40" t="str">
        <f t="shared" si="111"/>
        <v/>
      </c>
      <c r="OB16" s="40" t="str">
        <f t="shared" si="112"/>
        <v/>
      </c>
      <c r="OC16" s="40" t="str">
        <f t="shared" si="113"/>
        <v/>
      </c>
      <c r="OD16" s="40" t="str">
        <f t="shared" si="114"/>
        <v/>
      </c>
      <c r="OE16" s="40" t="str">
        <f t="shared" si="115"/>
        <v/>
      </c>
      <c r="OF16" s="40" t="str">
        <f t="shared" si="116"/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 t="shared" si="117"/>
        <v/>
      </c>
      <c r="PB16" s="11" t="str">
        <f t="shared" si="118"/>
        <v/>
      </c>
      <c r="PC16" s="11" t="str">
        <f t="shared" si="119"/>
        <v/>
      </c>
      <c r="PD16" s="11" t="str">
        <f t="shared" si="120"/>
        <v/>
      </c>
      <c r="PE16" s="11" t="str">
        <f t="shared" si="121"/>
        <v/>
      </c>
      <c r="PF16" s="11" t="str">
        <f t="shared" si="122"/>
        <v/>
      </c>
      <c r="PG16" s="11" t="str">
        <f t="shared" si="123"/>
        <v/>
      </c>
      <c r="PH16" s="11" t="str">
        <f t="shared" si="124"/>
        <v/>
      </c>
      <c r="PI16" s="22">
        <f t="shared" si="125"/>
        <v>0</v>
      </c>
      <c r="PJ16" s="22">
        <f t="shared" si="126"/>
        <v>0</v>
      </c>
      <c r="PK16" s="22">
        <f t="shared" si="127"/>
        <v>0</v>
      </c>
      <c r="PL16" s="22">
        <f t="shared" si="128"/>
        <v>0</v>
      </c>
      <c r="PM16" s="22">
        <f t="shared" si="129"/>
        <v>0</v>
      </c>
      <c r="PN16" s="22">
        <f t="shared" si="130"/>
        <v>0</v>
      </c>
      <c r="PO16" s="22">
        <f t="shared" si="131"/>
        <v>0</v>
      </c>
      <c r="PP16" s="22">
        <f t="shared" si="132"/>
        <v>0</v>
      </c>
      <c r="PQ16" s="22">
        <f t="shared" si="133"/>
        <v>0</v>
      </c>
      <c r="PR16" s="22">
        <f t="shared" si="134"/>
        <v>0</v>
      </c>
      <c r="PS16" s="22">
        <f t="shared" si="135"/>
        <v>0</v>
      </c>
      <c r="PT16" s="22">
        <f t="shared" si="136"/>
        <v>0</v>
      </c>
      <c r="PU16" s="22">
        <f t="shared" si="137"/>
        <v>0</v>
      </c>
      <c r="PV16" s="22">
        <f t="shared" si="138"/>
        <v>0</v>
      </c>
      <c r="PW16" s="22">
        <f t="shared" si="139"/>
        <v>0</v>
      </c>
      <c r="PX16" s="22">
        <f t="shared" si="140"/>
        <v>0</v>
      </c>
      <c r="PY16" s="27" t="s">
        <v>46</v>
      </c>
      <c r="PZ16" s="40" t="str">
        <f t="shared" si="141"/>
        <v/>
      </c>
      <c r="QA16" s="40" t="str">
        <f t="shared" si="142"/>
        <v/>
      </c>
      <c r="QB16" s="40" t="str">
        <f t="shared" si="143"/>
        <v/>
      </c>
      <c r="QC16" s="40" t="str">
        <f t="shared" si="144"/>
        <v/>
      </c>
      <c r="QD16" s="40" t="str">
        <f t="shared" si="145"/>
        <v/>
      </c>
    </row>
    <row r="17" spans="1:446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151</v>
      </c>
      <c r="D17" s="4" t="s">
        <v>3</v>
      </c>
      <c r="E17" s="4">
        <v>2008</v>
      </c>
      <c r="F17" s="9">
        <f t="shared" si="0"/>
        <v>81.600004280004271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IF(COUNT(AM17,BI17,CE17)&gt;0,LARGE((AM17,BI17,CE17),1),0)</f>
        <v>42.8</v>
      </c>
      <c r="M17" s="8" t="str">
        <f t="shared" si="5"/>
        <v>2025 Elite Canada</v>
      </c>
      <c r="N17" s="8">
        <f>IF(COUNT(AM17,BI17,CE17)&gt;1,LARGE((AM17,BI17,CE17),2),0)</f>
        <v>0</v>
      </c>
      <c r="O17" s="8" t="str">
        <f t="shared" si="6"/>
        <v/>
      </c>
      <c r="P17" s="8">
        <f t="shared" si="7"/>
        <v>38.799999999999997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17.3</v>
      </c>
      <c r="V17" s="19">
        <v>5.5</v>
      </c>
      <c r="W17" s="19">
        <v>0</v>
      </c>
      <c r="X17" s="19">
        <v>0</v>
      </c>
      <c r="Y17" s="19">
        <v>14.3</v>
      </c>
      <c r="Z17" s="19">
        <v>5.9</v>
      </c>
      <c r="AA17" s="19">
        <v>0.2</v>
      </c>
      <c r="AB17" s="19">
        <v>0</v>
      </c>
      <c r="AC17" s="19">
        <v>14.2</v>
      </c>
      <c r="AD17" s="19">
        <v>3.2</v>
      </c>
      <c r="AE17" s="19">
        <v>0</v>
      </c>
      <c r="AF17" s="19">
        <v>0</v>
      </c>
      <c r="AG17" s="19">
        <v>15.9</v>
      </c>
      <c r="AH17" s="19">
        <v>5.5</v>
      </c>
      <c r="AI17" s="19">
        <v>0</v>
      </c>
      <c r="AJ17" s="19">
        <v>0</v>
      </c>
      <c r="AK17" s="27"/>
      <c r="AL17" s="40">
        <f t="shared" si="12"/>
        <v>11.4</v>
      </c>
      <c r="AM17" s="40">
        <f t="shared" si="13"/>
        <v>42.8</v>
      </c>
      <c r="AN17" s="40">
        <f t="shared" si="14"/>
        <v>8.6999999999999993</v>
      </c>
      <c r="AO17" s="40">
        <f t="shared" si="15"/>
        <v>38.799999999999997</v>
      </c>
      <c r="AP17" s="40">
        <f t="shared" si="16"/>
        <v>81.599999999999994</v>
      </c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28"/>
      <c r="BH17" s="11" t="str">
        <f t="shared" si="17"/>
        <v/>
      </c>
      <c r="BI17" s="11" t="str">
        <f t="shared" si="18"/>
        <v/>
      </c>
      <c r="BJ17" s="11" t="str">
        <f t="shared" si="19"/>
        <v/>
      </c>
      <c r="BK17" s="11" t="str">
        <f t="shared" si="20"/>
        <v/>
      </c>
      <c r="BL17" s="11" t="str">
        <f t="shared" si="21"/>
        <v/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 t="shared" si="22"/>
        <v/>
      </c>
      <c r="CE17" s="40" t="str">
        <f t="shared" si="23"/>
        <v/>
      </c>
      <c r="CF17" s="40" t="str">
        <f t="shared" si="24"/>
        <v/>
      </c>
      <c r="CG17" s="40" t="str">
        <f t="shared" si="25"/>
        <v/>
      </c>
      <c r="CH17" s="40" t="str">
        <f t="shared" si="26"/>
        <v/>
      </c>
      <c r="CI17" s="50" t="str">
        <f t="shared" si="27"/>
        <v/>
      </c>
      <c r="CJ17" s="50" t="str">
        <f t="shared" si="28"/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 t="shared" si="29"/>
        <v/>
      </c>
      <c r="DF17" s="40" t="str">
        <f t="shared" si="30"/>
        <v/>
      </c>
      <c r="DG17" s="40" t="str">
        <f t="shared" si="31"/>
        <v/>
      </c>
      <c r="DH17" s="40" t="str">
        <f t="shared" si="32"/>
        <v/>
      </c>
      <c r="DI17" s="40" t="str">
        <f t="shared" si="33"/>
        <v/>
      </c>
      <c r="DJ17" s="40" t="str">
        <f t="shared" si="34"/>
        <v/>
      </c>
      <c r="DK17" s="40" t="str">
        <f t="shared" si="35"/>
        <v/>
      </c>
      <c r="DL17" s="40" t="str">
        <f t="shared" si="36"/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 t="shared" si="37"/>
        <v/>
      </c>
      <c r="EH17" s="11" t="str">
        <f t="shared" si="38"/>
        <v/>
      </c>
      <c r="EI17" s="11" t="str">
        <f t="shared" si="39"/>
        <v/>
      </c>
      <c r="EJ17" s="11" t="str">
        <f t="shared" si="40"/>
        <v/>
      </c>
      <c r="EK17" s="11" t="str">
        <f t="shared" si="41"/>
        <v/>
      </c>
      <c r="EL17" s="11" t="str">
        <f t="shared" si="42"/>
        <v/>
      </c>
      <c r="EM17" s="11" t="str">
        <f t="shared" si="43"/>
        <v/>
      </c>
      <c r="EN17" s="11" t="str">
        <f t="shared" si="44"/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 t="shared" si="45"/>
        <v/>
      </c>
      <c r="FJ17" s="40" t="str">
        <f t="shared" si="46"/>
        <v/>
      </c>
      <c r="FK17" s="40" t="str">
        <f t="shared" si="47"/>
        <v/>
      </c>
      <c r="FL17" s="40" t="str">
        <f t="shared" si="48"/>
        <v/>
      </c>
      <c r="FM17" s="40" t="str">
        <f t="shared" si="49"/>
        <v/>
      </c>
      <c r="FN17" s="40" t="str">
        <f t="shared" si="50"/>
        <v/>
      </c>
      <c r="FO17" s="40" t="str">
        <f t="shared" si="51"/>
        <v/>
      </c>
      <c r="FP17" s="40" t="str">
        <f t="shared" si="52"/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 t="shared" si="53"/>
        <v/>
      </c>
      <c r="GL17" s="11" t="str">
        <f t="shared" si="54"/>
        <v/>
      </c>
      <c r="GM17" s="11" t="str">
        <f t="shared" si="55"/>
        <v/>
      </c>
      <c r="GN17" s="11" t="str">
        <f t="shared" si="56"/>
        <v/>
      </c>
      <c r="GO17" s="11" t="str">
        <f t="shared" si="57"/>
        <v/>
      </c>
      <c r="GP17" s="11" t="str">
        <f t="shared" si="58"/>
        <v/>
      </c>
      <c r="GQ17" s="11" t="str">
        <f t="shared" si="59"/>
        <v/>
      </c>
      <c r="GR17" s="11" t="str">
        <f t="shared" si="60"/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 t="shared" si="61"/>
        <v/>
      </c>
      <c r="HN17" s="40" t="str">
        <f t="shared" si="62"/>
        <v/>
      </c>
      <c r="HO17" s="40" t="str">
        <f t="shared" si="63"/>
        <v/>
      </c>
      <c r="HP17" s="40" t="str">
        <f t="shared" si="64"/>
        <v/>
      </c>
      <c r="HQ17" s="40" t="str">
        <f t="shared" si="65"/>
        <v/>
      </c>
      <c r="HR17" s="40" t="str">
        <f t="shared" si="66"/>
        <v/>
      </c>
      <c r="HS17" s="40" t="str">
        <f t="shared" si="67"/>
        <v/>
      </c>
      <c r="HT17" s="40" t="str">
        <f t="shared" si="68"/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 t="shared" si="69"/>
        <v/>
      </c>
      <c r="IP17" s="11" t="str">
        <f t="shared" si="70"/>
        <v/>
      </c>
      <c r="IQ17" s="11" t="str">
        <f t="shared" si="71"/>
        <v/>
      </c>
      <c r="IR17" s="11" t="str">
        <f t="shared" si="72"/>
        <v/>
      </c>
      <c r="IS17" s="11" t="str">
        <f t="shared" si="73"/>
        <v/>
      </c>
      <c r="IT17" s="11" t="str">
        <f t="shared" si="74"/>
        <v/>
      </c>
      <c r="IU17" s="11" t="str">
        <f t="shared" si="75"/>
        <v/>
      </c>
      <c r="IV17" s="11" t="str">
        <f t="shared" si="76"/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 t="shared" si="77"/>
        <v/>
      </c>
      <c r="JR17" s="40" t="str">
        <f t="shared" si="78"/>
        <v/>
      </c>
      <c r="JS17" s="40" t="str">
        <f t="shared" si="79"/>
        <v/>
      </c>
      <c r="JT17" s="40" t="str">
        <f t="shared" si="80"/>
        <v/>
      </c>
      <c r="JU17" s="40" t="str">
        <f t="shared" si="81"/>
        <v/>
      </c>
      <c r="JV17" s="40" t="str">
        <f t="shared" si="82"/>
        <v/>
      </c>
      <c r="JW17" s="40" t="str">
        <f t="shared" si="83"/>
        <v/>
      </c>
      <c r="JX17" s="40" t="str">
        <f t="shared" si="84"/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 t="shared" si="85"/>
        <v/>
      </c>
      <c r="KT17" s="11" t="str">
        <f t="shared" si="86"/>
        <v/>
      </c>
      <c r="KU17" s="11" t="str">
        <f t="shared" si="87"/>
        <v/>
      </c>
      <c r="KV17" s="11" t="str">
        <f t="shared" si="88"/>
        <v/>
      </c>
      <c r="KW17" s="11" t="str">
        <f t="shared" si="89"/>
        <v/>
      </c>
      <c r="KX17" s="11" t="str">
        <f t="shared" si="90"/>
        <v/>
      </c>
      <c r="KY17" s="11" t="str">
        <f t="shared" si="91"/>
        <v/>
      </c>
      <c r="KZ17" s="11" t="str">
        <f t="shared" si="92"/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 t="shared" si="93"/>
        <v/>
      </c>
      <c r="LV17" s="40" t="str">
        <f t="shared" si="94"/>
        <v/>
      </c>
      <c r="LW17" s="40" t="str">
        <f t="shared" si="95"/>
        <v/>
      </c>
      <c r="LX17" s="40" t="str">
        <f t="shared" si="96"/>
        <v/>
      </c>
      <c r="LY17" s="40" t="str">
        <f t="shared" si="97"/>
        <v/>
      </c>
      <c r="LZ17" s="40" t="str">
        <f t="shared" si="98"/>
        <v/>
      </c>
      <c r="MA17" s="40" t="str">
        <f t="shared" si="99"/>
        <v/>
      </c>
      <c r="MB17" s="40" t="str">
        <f t="shared" si="100"/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 t="shared" si="101"/>
        <v/>
      </c>
      <c r="MX17" s="11" t="str">
        <f t="shared" si="102"/>
        <v/>
      </c>
      <c r="MY17" s="11" t="str">
        <f t="shared" si="103"/>
        <v/>
      </c>
      <c r="MZ17" s="11" t="str">
        <f t="shared" si="104"/>
        <v/>
      </c>
      <c r="NA17" s="11" t="str">
        <f t="shared" si="105"/>
        <v/>
      </c>
      <c r="NB17" s="11" t="str">
        <f t="shared" si="106"/>
        <v/>
      </c>
      <c r="NC17" s="11" t="str">
        <f t="shared" si="107"/>
        <v/>
      </c>
      <c r="ND17" s="11" t="str">
        <f t="shared" si="108"/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 t="shared" si="109"/>
        <v/>
      </c>
      <c r="NZ17" s="40" t="str">
        <f t="shared" si="110"/>
        <v/>
      </c>
      <c r="OA17" s="40" t="str">
        <f t="shared" si="111"/>
        <v/>
      </c>
      <c r="OB17" s="40" t="str">
        <f t="shared" si="112"/>
        <v/>
      </c>
      <c r="OC17" s="40" t="str">
        <f t="shared" si="113"/>
        <v/>
      </c>
      <c r="OD17" s="40" t="str">
        <f t="shared" si="114"/>
        <v/>
      </c>
      <c r="OE17" s="40" t="str">
        <f t="shared" si="115"/>
        <v/>
      </c>
      <c r="OF17" s="40" t="str">
        <f t="shared" si="116"/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 t="shared" si="117"/>
        <v/>
      </c>
      <c r="PB17" s="11" t="str">
        <f t="shared" si="118"/>
        <v/>
      </c>
      <c r="PC17" s="11" t="str">
        <f t="shared" si="119"/>
        <v/>
      </c>
      <c r="PD17" s="11" t="str">
        <f t="shared" si="120"/>
        <v/>
      </c>
      <c r="PE17" s="11" t="str">
        <f t="shared" si="121"/>
        <v/>
      </c>
      <c r="PF17" s="11" t="str">
        <f t="shared" si="122"/>
        <v/>
      </c>
      <c r="PG17" s="11" t="str">
        <f t="shared" si="123"/>
        <v/>
      </c>
      <c r="PH17" s="11" t="str">
        <f t="shared" si="124"/>
        <v/>
      </c>
      <c r="PI17" s="22">
        <f t="shared" si="125"/>
        <v>0</v>
      </c>
      <c r="PJ17" s="22">
        <f t="shared" si="126"/>
        <v>0</v>
      </c>
      <c r="PK17" s="22">
        <f t="shared" si="127"/>
        <v>0</v>
      </c>
      <c r="PL17" s="22">
        <f t="shared" si="128"/>
        <v>0</v>
      </c>
      <c r="PM17" s="22">
        <f t="shared" si="129"/>
        <v>0</v>
      </c>
      <c r="PN17" s="22">
        <f t="shared" si="130"/>
        <v>0</v>
      </c>
      <c r="PO17" s="22">
        <f t="shared" si="131"/>
        <v>0</v>
      </c>
      <c r="PP17" s="22">
        <f t="shared" si="132"/>
        <v>0</v>
      </c>
      <c r="PQ17" s="22">
        <f t="shared" si="133"/>
        <v>0</v>
      </c>
      <c r="PR17" s="22">
        <f t="shared" si="134"/>
        <v>0</v>
      </c>
      <c r="PS17" s="22">
        <f t="shared" si="135"/>
        <v>0</v>
      </c>
      <c r="PT17" s="22">
        <f t="shared" si="136"/>
        <v>0</v>
      </c>
      <c r="PU17" s="22">
        <f t="shared" si="137"/>
        <v>0</v>
      </c>
      <c r="PV17" s="22">
        <f t="shared" si="138"/>
        <v>0</v>
      </c>
      <c r="PW17" s="22">
        <f t="shared" si="139"/>
        <v>0</v>
      </c>
      <c r="PX17" s="22">
        <f t="shared" si="140"/>
        <v>0</v>
      </c>
      <c r="PY17" s="27" t="s">
        <v>46</v>
      </c>
      <c r="PZ17" s="40" t="str">
        <f t="shared" si="141"/>
        <v/>
      </c>
      <c r="QA17" s="40" t="str">
        <f t="shared" si="142"/>
        <v/>
      </c>
      <c r="QB17" s="40" t="str">
        <f t="shared" si="143"/>
        <v/>
      </c>
      <c r="QC17" s="40" t="str">
        <f t="shared" si="144"/>
        <v/>
      </c>
      <c r="QD17" s="40" t="str">
        <f t="shared" si="145"/>
        <v/>
      </c>
    </row>
    <row r="18" spans="1:446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113</v>
      </c>
      <c r="D18" s="4" t="s">
        <v>4</v>
      </c>
      <c r="E18" s="4">
        <v>2005</v>
      </c>
      <c r="F18" s="9">
        <f t="shared" si="0"/>
        <v>80.700003890003885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IF(COUNT(AM18,BI18,CE18)&gt;0,LARGE((AM18,BI18,CE18),1),0)</f>
        <v>38.9</v>
      </c>
      <c r="M18" s="8" t="str">
        <f t="shared" si="5"/>
        <v>2025 Nationals</v>
      </c>
      <c r="N18" s="8">
        <f>IF(COUNT(AM18,BI18,CE18)&gt;1,LARGE((AM18,BI18,CE18),2),0)</f>
        <v>0</v>
      </c>
      <c r="O18" s="8" t="str">
        <f t="shared" si="6"/>
        <v/>
      </c>
      <c r="P18" s="8">
        <f t="shared" si="7"/>
        <v>41.8</v>
      </c>
      <c r="Q18" s="8" t="str">
        <f t="shared" si="8"/>
        <v>2025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27"/>
      <c r="AL18" s="40" t="str">
        <f t="shared" si="12"/>
        <v/>
      </c>
      <c r="AM18" s="40" t="str">
        <f t="shared" si="13"/>
        <v/>
      </c>
      <c r="AN18" s="40" t="str">
        <f t="shared" si="14"/>
        <v/>
      </c>
      <c r="AO18" s="40" t="str">
        <f t="shared" si="15"/>
        <v/>
      </c>
      <c r="AP18" s="40" t="str">
        <f t="shared" si="16"/>
        <v/>
      </c>
      <c r="AQ18" s="18">
        <v>15.7</v>
      </c>
      <c r="AR18" s="18">
        <v>4.8</v>
      </c>
      <c r="AS18" s="18">
        <v>0.2</v>
      </c>
      <c r="AT18" s="18">
        <v>0</v>
      </c>
      <c r="AU18" s="18">
        <v>14.4</v>
      </c>
      <c r="AV18" s="18">
        <v>4.2</v>
      </c>
      <c r="AW18" s="18">
        <v>0</v>
      </c>
      <c r="AX18" s="18">
        <v>0</v>
      </c>
      <c r="AY18" s="18">
        <v>16.100000000000001</v>
      </c>
      <c r="AZ18" s="18">
        <v>4.8</v>
      </c>
      <c r="BA18" s="18">
        <v>0</v>
      </c>
      <c r="BB18" s="18">
        <v>0</v>
      </c>
      <c r="BC18" s="18">
        <v>15.6</v>
      </c>
      <c r="BD18" s="18">
        <v>5.3</v>
      </c>
      <c r="BE18" s="18">
        <v>0</v>
      </c>
      <c r="BF18" s="18">
        <v>0</v>
      </c>
      <c r="BG18" s="28"/>
      <c r="BH18" s="11">
        <f t="shared" si="17"/>
        <v>9</v>
      </c>
      <c r="BI18" s="11">
        <f t="shared" si="18"/>
        <v>38.9</v>
      </c>
      <c r="BJ18" s="11">
        <f t="shared" si="19"/>
        <v>10.1</v>
      </c>
      <c r="BK18" s="11">
        <f t="shared" si="20"/>
        <v>41.8</v>
      </c>
      <c r="BL18" s="11">
        <f t="shared" si="21"/>
        <v>80.699999999999989</v>
      </c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27"/>
      <c r="CD18" s="40" t="str">
        <f t="shared" si="22"/>
        <v/>
      </c>
      <c r="CE18" s="40" t="str">
        <f t="shared" si="23"/>
        <v/>
      </c>
      <c r="CF18" s="40" t="str">
        <f t="shared" si="24"/>
        <v/>
      </c>
      <c r="CG18" s="40" t="str">
        <f t="shared" si="25"/>
        <v/>
      </c>
      <c r="CH18" s="40" t="str">
        <f t="shared" si="26"/>
        <v/>
      </c>
      <c r="CI18" s="50" t="str">
        <f t="shared" si="27"/>
        <v/>
      </c>
      <c r="CJ18" s="50" t="str">
        <f t="shared" si="28"/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 t="shared" si="29"/>
        <v/>
      </c>
      <c r="DF18" s="40" t="str">
        <f t="shared" si="30"/>
        <v/>
      </c>
      <c r="DG18" s="40" t="str">
        <f t="shared" si="31"/>
        <v/>
      </c>
      <c r="DH18" s="40" t="str">
        <f t="shared" si="32"/>
        <v/>
      </c>
      <c r="DI18" s="40" t="str">
        <f t="shared" si="33"/>
        <v/>
      </c>
      <c r="DJ18" s="40" t="str">
        <f t="shared" si="34"/>
        <v/>
      </c>
      <c r="DK18" s="40" t="str">
        <f t="shared" si="35"/>
        <v/>
      </c>
      <c r="DL18" s="40" t="str">
        <f t="shared" si="36"/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 t="shared" si="37"/>
        <v/>
      </c>
      <c r="EH18" s="11" t="str">
        <f t="shared" si="38"/>
        <v/>
      </c>
      <c r="EI18" s="11" t="str">
        <f t="shared" si="39"/>
        <v/>
      </c>
      <c r="EJ18" s="11" t="str">
        <f t="shared" si="40"/>
        <v/>
      </c>
      <c r="EK18" s="11" t="str">
        <f t="shared" si="41"/>
        <v/>
      </c>
      <c r="EL18" s="11" t="str">
        <f t="shared" si="42"/>
        <v/>
      </c>
      <c r="EM18" s="11" t="str">
        <f t="shared" si="43"/>
        <v/>
      </c>
      <c r="EN18" s="11" t="str">
        <f t="shared" si="44"/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 t="shared" si="45"/>
        <v/>
      </c>
      <c r="FJ18" s="40" t="str">
        <f t="shared" si="46"/>
        <v/>
      </c>
      <c r="FK18" s="40" t="str">
        <f t="shared" si="47"/>
        <v/>
      </c>
      <c r="FL18" s="40" t="str">
        <f t="shared" si="48"/>
        <v/>
      </c>
      <c r="FM18" s="40" t="str">
        <f t="shared" si="49"/>
        <v/>
      </c>
      <c r="FN18" s="40" t="str">
        <f t="shared" si="50"/>
        <v/>
      </c>
      <c r="FO18" s="40" t="str">
        <f t="shared" si="51"/>
        <v/>
      </c>
      <c r="FP18" s="40" t="str">
        <f t="shared" si="52"/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 t="shared" si="53"/>
        <v/>
      </c>
      <c r="GL18" s="11" t="str">
        <f t="shared" si="54"/>
        <v/>
      </c>
      <c r="GM18" s="11" t="str">
        <f t="shared" si="55"/>
        <v/>
      </c>
      <c r="GN18" s="11" t="str">
        <f t="shared" si="56"/>
        <v/>
      </c>
      <c r="GO18" s="11" t="str">
        <f t="shared" si="57"/>
        <v/>
      </c>
      <c r="GP18" s="11" t="str">
        <f t="shared" si="58"/>
        <v/>
      </c>
      <c r="GQ18" s="11" t="str">
        <f t="shared" si="59"/>
        <v/>
      </c>
      <c r="GR18" s="11" t="str">
        <f t="shared" si="60"/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 t="shared" si="61"/>
        <v/>
      </c>
      <c r="HN18" s="40" t="str">
        <f t="shared" si="62"/>
        <v/>
      </c>
      <c r="HO18" s="40" t="str">
        <f t="shared" si="63"/>
        <v/>
      </c>
      <c r="HP18" s="40" t="str">
        <f t="shared" si="64"/>
        <v/>
      </c>
      <c r="HQ18" s="40" t="str">
        <f t="shared" si="65"/>
        <v/>
      </c>
      <c r="HR18" s="40" t="str">
        <f t="shared" si="66"/>
        <v/>
      </c>
      <c r="HS18" s="40" t="str">
        <f t="shared" si="67"/>
        <v/>
      </c>
      <c r="HT18" s="40" t="str">
        <f t="shared" si="68"/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 t="shared" si="69"/>
        <v/>
      </c>
      <c r="IP18" s="11" t="str">
        <f t="shared" si="70"/>
        <v/>
      </c>
      <c r="IQ18" s="11" t="str">
        <f t="shared" si="71"/>
        <v/>
      </c>
      <c r="IR18" s="11" t="str">
        <f t="shared" si="72"/>
        <v/>
      </c>
      <c r="IS18" s="11" t="str">
        <f t="shared" si="73"/>
        <v/>
      </c>
      <c r="IT18" s="11" t="str">
        <f t="shared" si="74"/>
        <v/>
      </c>
      <c r="IU18" s="11" t="str">
        <f t="shared" si="75"/>
        <v/>
      </c>
      <c r="IV18" s="11" t="str">
        <f t="shared" si="76"/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 t="shared" si="77"/>
        <v/>
      </c>
      <c r="JR18" s="40" t="str">
        <f t="shared" si="78"/>
        <v/>
      </c>
      <c r="JS18" s="40" t="str">
        <f t="shared" si="79"/>
        <v/>
      </c>
      <c r="JT18" s="40" t="str">
        <f t="shared" si="80"/>
        <v/>
      </c>
      <c r="JU18" s="40" t="str">
        <f t="shared" si="81"/>
        <v/>
      </c>
      <c r="JV18" s="40" t="str">
        <f t="shared" si="82"/>
        <v/>
      </c>
      <c r="JW18" s="40" t="str">
        <f t="shared" si="83"/>
        <v/>
      </c>
      <c r="JX18" s="40" t="str">
        <f t="shared" si="84"/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 t="shared" si="85"/>
        <v/>
      </c>
      <c r="KT18" s="11" t="str">
        <f t="shared" si="86"/>
        <v/>
      </c>
      <c r="KU18" s="11" t="str">
        <f t="shared" si="87"/>
        <v/>
      </c>
      <c r="KV18" s="11" t="str">
        <f t="shared" si="88"/>
        <v/>
      </c>
      <c r="KW18" s="11" t="str">
        <f t="shared" si="89"/>
        <v/>
      </c>
      <c r="KX18" s="11" t="str">
        <f t="shared" si="90"/>
        <v/>
      </c>
      <c r="KY18" s="11" t="str">
        <f t="shared" si="91"/>
        <v/>
      </c>
      <c r="KZ18" s="11" t="str">
        <f t="shared" si="92"/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 t="shared" si="93"/>
        <v/>
      </c>
      <c r="LV18" s="40" t="str">
        <f t="shared" si="94"/>
        <v/>
      </c>
      <c r="LW18" s="40" t="str">
        <f t="shared" si="95"/>
        <v/>
      </c>
      <c r="LX18" s="40" t="str">
        <f t="shared" si="96"/>
        <v/>
      </c>
      <c r="LY18" s="40" t="str">
        <f t="shared" si="97"/>
        <v/>
      </c>
      <c r="LZ18" s="40" t="str">
        <f t="shared" si="98"/>
        <v/>
      </c>
      <c r="MA18" s="40" t="str">
        <f t="shared" si="99"/>
        <v/>
      </c>
      <c r="MB18" s="40" t="str">
        <f t="shared" si="100"/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 t="shared" si="101"/>
        <v/>
      </c>
      <c r="MX18" s="11" t="str">
        <f t="shared" si="102"/>
        <v/>
      </c>
      <c r="MY18" s="11" t="str">
        <f t="shared" si="103"/>
        <v/>
      </c>
      <c r="MZ18" s="11" t="str">
        <f t="shared" si="104"/>
        <v/>
      </c>
      <c r="NA18" s="11" t="str">
        <f t="shared" si="105"/>
        <v/>
      </c>
      <c r="NB18" s="11" t="str">
        <f t="shared" si="106"/>
        <v/>
      </c>
      <c r="NC18" s="11" t="str">
        <f t="shared" si="107"/>
        <v/>
      </c>
      <c r="ND18" s="11" t="str">
        <f t="shared" si="108"/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 t="shared" si="109"/>
        <v/>
      </c>
      <c r="NZ18" s="40" t="str">
        <f t="shared" si="110"/>
        <v/>
      </c>
      <c r="OA18" s="40" t="str">
        <f t="shared" si="111"/>
        <v/>
      </c>
      <c r="OB18" s="40" t="str">
        <f t="shared" si="112"/>
        <v/>
      </c>
      <c r="OC18" s="40" t="str">
        <f t="shared" si="113"/>
        <v/>
      </c>
      <c r="OD18" s="40" t="str">
        <f t="shared" si="114"/>
        <v/>
      </c>
      <c r="OE18" s="40" t="str">
        <f t="shared" si="115"/>
        <v/>
      </c>
      <c r="OF18" s="40" t="str">
        <f t="shared" si="116"/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 t="shared" si="117"/>
        <v/>
      </c>
      <c r="PB18" s="11" t="str">
        <f t="shared" si="118"/>
        <v/>
      </c>
      <c r="PC18" s="11" t="str">
        <f t="shared" si="119"/>
        <v/>
      </c>
      <c r="PD18" s="11" t="str">
        <f t="shared" si="120"/>
        <v/>
      </c>
      <c r="PE18" s="11" t="str">
        <f t="shared" si="121"/>
        <v/>
      </c>
      <c r="PF18" s="11" t="str">
        <f t="shared" si="122"/>
        <v/>
      </c>
      <c r="PG18" s="11" t="str">
        <f t="shared" si="123"/>
        <v/>
      </c>
      <c r="PH18" s="11" t="str">
        <f t="shared" si="124"/>
        <v/>
      </c>
      <c r="PI18" s="22">
        <f t="shared" si="125"/>
        <v>7.85</v>
      </c>
      <c r="PJ18" s="22">
        <f t="shared" si="126"/>
        <v>2.4</v>
      </c>
      <c r="PK18" s="22">
        <f t="shared" si="127"/>
        <v>0.1</v>
      </c>
      <c r="PL18" s="22">
        <f t="shared" si="128"/>
        <v>0</v>
      </c>
      <c r="PM18" s="22">
        <f t="shared" si="129"/>
        <v>7.2</v>
      </c>
      <c r="PN18" s="22">
        <f t="shared" si="130"/>
        <v>2.1</v>
      </c>
      <c r="PO18" s="22">
        <f t="shared" si="131"/>
        <v>0</v>
      </c>
      <c r="PP18" s="22">
        <f t="shared" si="132"/>
        <v>0</v>
      </c>
      <c r="PQ18" s="22">
        <f t="shared" si="133"/>
        <v>8.0500000000000007</v>
      </c>
      <c r="PR18" s="22">
        <f t="shared" si="134"/>
        <v>2.4</v>
      </c>
      <c r="PS18" s="22">
        <f t="shared" si="135"/>
        <v>0</v>
      </c>
      <c r="PT18" s="22">
        <f t="shared" si="136"/>
        <v>0</v>
      </c>
      <c r="PU18" s="22">
        <f t="shared" si="137"/>
        <v>7.8</v>
      </c>
      <c r="PV18" s="22">
        <f t="shared" si="138"/>
        <v>2.65</v>
      </c>
      <c r="PW18" s="22">
        <f t="shared" si="139"/>
        <v>0</v>
      </c>
      <c r="PX18" s="22">
        <f t="shared" si="140"/>
        <v>0</v>
      </c>
      <c r="PY18" s="27" t="s">
        <v>46</v>
      </c>
      <c r="PZ18" s="40">
        <f t="shared" si="141"/>
        <v>4.5</v>
      </c>
      <c r="QA18" s="40">
        <f t="shared" si="142"/>
        <v>19.45</v>
      </c>
      <c r="QB18" s="40">
        <f t="shared" si="143"/>
        <v>5.05</v>
      </c>
      <c r="QC18" s="40">
        <f t="shared" si="144"/>
        <v>20.9</v>
      </c>
      <c r="QD18" s="40">
        <f t="shared" si="145"/>
        <v>40.349999999999994</v>
      </c>
    </row>
    <row r="19" spans="1:446" ht="17" x14ac:dyDescent="0.2">
      <c r="G19" s="64"/>
      <c r="R19" s="10"/>
      <c r="S19" s="10"/>
      <c r="T19" s="10"/>
    </row>
    <row r="20" spans="1:446" ht="17" x14ac:dyDescent="0.2">
      <c r="G20" s="64"/>
      <c r="R20" s="10"/>
      <c r="S20" s="10"/>
      <c r="T20" s="10"/>
    </row>
    <row r="21" spans="1:446" ht="17" x14ac:dyDescent="0.2">
      <c r="C21" s="23" t="s">
        <v>44</v>
      </c>
      <c r="G21" s="64"/>
      <c r="R21" s="10"/>
      <c r="S21" s="10"/>
      <c r="T21" s="10"/>
      <c r="AL21" s="4"/>
      <c r="AP21" s="42">
        <v>10.4</v>
      </c>
      <c r="BH21" s="4"/>
      <c r="BL21" s="42">
        <v>10.4</v>
      </c>
      <c r="CD21" s="4"/>
      <c r="CH21" s="42">
        <v>10.4</v>
      </c>
      <c r="DE21" s="4"/>
      <c r="DL21" s="42">
        <v>10.4</v>
      </c>
      <c r="EG21" s="4"/>
      <c r="EN21" s="42">
        <v>10.4</v>
      </c>
      <c r="FI21" s="4"/>
      <c r="FP21" s="42">
        <v>10.4</v>
      </c>
      <c r="GK21" s="4"/>
      <c r="GR21" s="42">
        <v>10.4</v>
      </c>
      <c r="HM21" s="4"/>
      <c r="HT21" s="42">
        <v>10.4</v>
      </c>
      <c r="IO21" s="4"/>
      <c r="IV21" s="42">
        <v>10.4</v>
      </c>
      <c r="JQ21" s="4"/>
      <c r="JX21" s="42">
        <v>10.4</v>
      </c>
      <c r="KS21" s="4"/>
      <c r="KZ21" s="42">
        <v>10.4</v>
      </c>
      <c r="LU21" s="4"/>
      <c r="MB21" s="42">
        <v>10.4</v>
      </c>
      <c r="MW21" s="4"/>
      <c r="ND21" s="42">
        <v>10.4</v>
      </c>
      <c r="NY21" s="4"/>
      <c r="OF21" s="42">
        <v>10.4</v>
      </c>
      <c r="PA21" s="4"/>
      <c r="PH21" s="42">
        <v>10.4</v>
      </c>
    </row>
    <row r="22" spans="1:446" ht="17" hidden="1" x14ac:dyDescent="0.2">
      <c r="C22" s="30" t="s">
        <v>43</v>
      </c>
      <c r="G22" s="64"/>
      <c r="R22" s="10"/>
      <c r="S22" s="10"/>
      <c r="T22" s="10"/>
      <c r="AL22" s="4"/>
      <c r="AP22" s="51">
        <v>1000</v>
      </c>
      <c r="BH22" s="4"/>
      <c r="BL22" s="51">
        <v>1000</v>
      </c>
      <c r="CD22" s="4"/>
      <c r="CH22" s="51">
        <v>1000</v>
      </c>
      <c r="DE22" s="4"/>
      <c r="DL22" s="51">
        <v>1000</v>
      </c>
      <c r="EG22" s="4"/>
      <c r="EN22" s="51">
        <v>1000</v>
      </c>
      <c r="FI22" s="4"/>
      <c r="FP22" s="51">
        <v>1000</v>
      </c>
      <c r="GK22" s="4"/>
      <c r="GR22" s="51">
        <v>1000</v>
      </c>
      <c r="HM22" s="4"/>
      <c r="HT22" s="51">
        <v>1000</v>
      </c>
      <c r="IO22" s="4"/>
      <c r="IV22" s="51">
        <v>1000</v>
      </c>
      <c r="JQ22" s="4"/>
      <c r="JX22" s="51">
        <v>1000</v>
      </c>
      <c r="KS22" s="4"/>
      <c r="KZ22" s="51">
        <v>1000</v>
      </c>
      <c r="LU22" s="4"/>
      <c r="MB22" s="51">
        <v>1000</v>
      </c>
      <c r="MW22" s="4"/>
      <c r="ND22" s="51">
        <v>1000</v>
      </c>
      <c r="NY22" s="4"/>
      <c r="OF22" s="51">
        <v>1000</v>
      </c>
      <c r="PA22" s="4"/>
      <c r="PH22" s="51">
        <v>1000</v>
      </c>
    </row>
    <row r="23" spans="1:446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L23" s="4"/>
      <c r="AP23" s="43">
        <v>1000</v>
      </c>
      <c r="BH23" s="4"/>
      <c r="BL23" s="43">
        <v>1000</v>
      </c>
      <c r="CD23" s="4"/>
      <c r="CH23" s="43">
        <v>1000</v>
      </c>
      <c r="DE23" s="4"/>
      <c r="DL23" s="43">
        <v>1000</v>
      </c>
      <c r="EG23" s="4"/>
      <c r="EN23" s="43">
        <v>1000</v>
      </c>
      <c r="FI23" s="4"/>
      <c r="FP23" s="43">
        <v>1000</v>
      </c>
      <c r="GK23" s="4"/>
      <c r="GR23" s="43">
        <v>1000</v>
      </c>
      <c r="HM23" s="4"/>
      <c r="HT23" s="43">
        <v>1000</v>
      </c>
      <c r="IO23" s="4"/>
      <c r="IV23" s="43">
        <v>1000</v>
      </c>
      <c r="JQ23" s="4"/>
      <c r="JX23" s="43">
        <v>1000</v>
      </c>
      <c r="KS23" s="4"/>
      <c r="KZ23" s="43">
        <v>1000</v>
      </c>
      <c r="LU23" s="4"/>
      <c r="MB23" s="43">
        <v>1000</v>
      </c>
      <c r="MW23" s="4"/>
      <c r="ND23" s="43">
        <v>1000</v>
      </c>
      <c r="NY23" s="4"/>
      <c r="OF23" s="43">
        <v>1000</v>
      </c>
      <c r="PA23" s="4"/>
      <c r="PH23" s="43">
        <v>1000</v>
      </c>
    </row>
    <row r="24" spans="1:446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L24" s="4"/>
      <c r="AP24" s="44">
        <v>1000</v>
      </c>
      <c r="BH24" s="4"/>
      <c r="BL24" s="44">
        <v>1000</v>
      </c>
      <c r="CD24" s="4"/>
      <c r="CH24" s="44">
        <v>1000</v>
      </c>
      <c r="DE24" s="4"/>
      <c r="DL24" s="44">
        <v>1000</v>
      </c>
      <c r="EG24" s="4"/>
      <c r="EN24" s="44">
        <v>1000</v>
      </c>
      <c r="FI24" s="4"/>
      <c r="FP24" s="44">
        <v>1000</v>
      </c>
      <c r="GK24" s="4"/>
      <c r="GR24" s="44">
        <v>1000</v>
      </c>
      <c r="HM24" s="4"/>
      <c r="HT24" s="44">
        <v>1000</v>
      </c>
      <c r="IO24" s="4"/>
      <c r="IV24" s="44">
        <v>1000</v>
      </c>
      <c r="JQ24" s="4"/>
      <c r="JX24" s="44">
        <v>1000</v>
      </c>
      <c r="KS24" s="4"/>
      <c r="KZ24" s="44">
        <v>1000</v>
      </c>
      <c r="LU24" s="4"/>
      <c r="MB24" s="44">
        <v>1000</v>
      </c>
      <c r="MW24" s="4"/>
      <c r="ND24" s="44">
        <v>1000</v>
      </c>
      <c r="NY24" s="4"/>
      <c r="OF24" s="44">
        <v>1000</v>
      </c>
      <c r="PA24" s="4"/>
      <c r="PH24" s="44">
        <v>1000</v>
      </c>
    </row>
    <row r="25" spans="1:446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L25" s="4"/>
      <c r="AP25" s="45">
        <v>44.8</v>
      </c>
      <c r="BH25" s="4"/>
      <c r="BL25" s="45">
        <v>44.8</v>
      </c>
      <c r="CD25" s="4"/>
      <c r="CH25" s="45">
        <v>44.8</v>
      </c>
      <c r="DE25" s="4"/>
      <c r="DL25" s="45">
        <v>44.8</v>
      </c>
      <c r="EG25" s="4"/>
      <c r="EN25" s="45">
        <v>44.8</v>
      </c>
      <c r="FI25" s="4"/>
      <c r="FP25" s="45">
        <v>44.8</v>
      </c>
      <c r="GK25" s="4"/>
      <c r="GR25" s="45">
        <v>44.8</v>
      </c>
      <c r="HM25" s="4"/>
      <c r="HT25" s="45">
        <v>44.8</v>
      </c>
      <c r="IO25" s="4"/>
      <c r="IV25" s="45">
        <v>44.8</v>
      </c>
      <c r="JQ25" s="4"/>
      <c r="JX25" s="45">
        <v>44.8</v>
      </c>
      <c r="KS25" s="4"/>
      <c r="KZ25" s="45">
        <v>44.8</v>
      </c>
      <c r="LU25" s="4"/>
      <c r="MB25" s="45">
        <v>44.8</v>
      </c>
      <c r="MW25" s="4"/>
      <c r="ND25" s="45">
        <v>44.8</v>
      </c>
      <c r="NY25" s="4"/>
      <c r="OF25" s="45">
        <v>44.8</v>
      </c>
      <c r="PA25" s="4"/>
      <c r="PH25" s="45">
        <v>44.8</v>
      </c>
    </row>
    <row r="26" spans="1:446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L26" s="4"/>
      <c r="AP26" s="46">
        <v>1000</v>
      </c>
      <c r="BH26" s="4"/>
      <c r="BL26" s="46">
        <v>1000</v>
      </c>
      <c r="CD26" s="4"/>
      <c r="CH26" s="46">
        <v>1000</v>
      </c>
      <c r="DE26" s="4"/>
      <c r="DL26" s="46">
        <v>1000</v>
      </c>
      <c r="EG26" s="4"/>
      <c r="EN26" s="46">
        <v>1000</v>
      </c>
      <c r="FI26" s="4"/>
      <c r="FP26" s="46">
        <v>1000</v>
      </c>
      <c r="GK26" s="4"/>
      <c r="GR26" s="46">
        <v>1000</v>
      </c>
      <c r="HM26" s="4"/>
      <c r="HT26" s="46">
        <v>1000</v>
      </c>
      <c r="IO26" s="4"/>
      <c r="IV26" s="46">
        <v>1000</v>
      </c>
      <c r="JQ26" s="4"/>
      <c r="JX26" s="46">
        <v>1000</v>
      </c>
      <c r="KS26" s="4"/>
      <c r="KZ26" s="46">
        <v>1000</v>
      </c>
      <c r="LU26" s="4"/>
      <c r="MB26" s="46">
        <v>1000</v>
      </c>
      <c r="MW26" s="4"/>
      <c r="ND26" s="46">
        <v>1000</v>
      </c>
      <c r="NY26" s="4"/>
      <c r="OF26" s="46">
        <v>1000</v>
      </c>
      <c r="PA26" s="4"/>
      <c r="PH26" s="46">
        <v>1000</v>
      </c>
    </row>
    <row r="27" spans="1:446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L27" s="4"/>
      <c r="AP27" s="47">
        <v>1000</v>
      </c>
      <c r="BH27" s="4"/>
      <c r="BL27" s="47">
        <v>1000</v>
      </c>
      <c r="CD27" s="4"/>
      <c r="CH27" s="47">
        <v>1000</v>
      </c>
      <c r="DE27" s="4"/>
      <c r="DL27" s="47">
        <v>1000</v>
      </c>
      <c r="EG27" s="4"/>
      <c r="EN27" s="47">
        <v>1000</v>
      </c>
      <c r="FI27" s="4"/>
      <c r="FP27" s="47">
        <v>1000</v>
      </c>
      <c r="GK27" s="4"/>
      <c r="GR27" s="47">
        <v>1000</v>
      </c>
      <c r="HM27" s="4"/>
      <c r="HT27" s="47">
        <v>1000</v>
      </c>
      <c r="IO27" s="4"/>
      <c r="IV27" s="47">
        <v>1000</v>
      </c>
      <c r="JQ27" s="4"/>
      <c r="JX27" s="47">
        <v>1000</v>
      </c>
      <c r="KS27" s="4"/>
      <c r="KZ27" s="47">
        <v>1000</v>
      </c>
      <c r="LU27" s="4"/>
      <c r="MB27" s="47">
        <v>1000</v>
      </c>
      <c r="MW27" s="4"/>
      <c r="ND27" s="47">
        <v>1000</v>
      </c>
      <c r="NY27" s="4"/>
      <c r="OF27" s="47">
        <v>1000</v>
      </c>
      <c r="PA27" s="4"/>
      <c r="PH27" s="47">
        <v>1000</v>
      </c>
    </row>
    <row r="28" spans="1:446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L28" s="4"/>
      <c r="AP28" s="48">
        <v>1000</v>
      </c>
      <c r="BH28" s="4"/>
      <c r="BL28" s="48">
        <v>1000</v>
      </c>
      <c r="CD28" s="4"/>
      <c r="CH28" s="48">
        <v>1000</v>
      </c>
      <c r="DE28" s="4"/>
      <c r="DL28" s="48">
        <v>1000</v>
      </c>
      <c r="EG28" s="4"/>
      <c r="EN28" s="48">
        <v>1000</v>
      </c>
      <c r="FI28" s="4"/>
      <c r="FP28" s="48">
        <v>1000</v>
      </c>
      <c r="GK28" s="4"/>
      <c r="GR28" s="48">
        <v>1000</v>
      </c>
      <c r="HM28" s="4"/>
      <c r="HT28" s="48">
        <v>1000</v>
      </c>
      <c r="IO28" s="4"/>
      <c r="IV28" s="48">
        <v>1000</v>
      </c>
      <c r="JQ28" s="4"/>
      <c r="JX28" s="48">
        <v>1000</v>
      </c>
      <c r="KS28" s="4"/>
      <c r="KZ28" s="48">
        <v>1000</v>
      </c>
      <c r="LU28" s="4"/>
      <c r="MB28" s="48">
        <v>1000</v>
      </c>
      <c r="MW28" s="4"/>
      <c r="ND28" s="48">
        <v>1000</v>
      </c>
      <c r="NY28" s="4"/>
      <c r="OF28" s="48">
        <v>1000</v>
      </c>
      <c r="PA28" s="4"/>
      <c r="PH28" s="48">
        <v>1000</v>
      </c>
    </row>
    <row r="29" spans="1:446" x14ac:dyDescent="0.2">
      <c r="C29" s="29" t="s">
        <v>47</v>
      </c>
      <c r="D29" s="2"/>
      <c r="G29" s="64"/>
    </row>
    <row r="30" spans="1:446" x14ac:dyDescent="0.2">
      <c r="A30" s="5"/>
      <c r="B30" s="5"/>
      <c r="C30" s="5"/>
      <c r="D30" s="20"/>
      <c r="G30" s="64"/>
      <c r="PJ30" s="2"/>
      <c r="PK30" s="2"/>
      <c r="PL30" s="2"/>
      <c r="PM30" s="2"/>
      <c r="PN30" s="2"/>
      <c r="PO30" s="2"/>
      <c r="PP30" s="2"/>
    </row>
    <row r="31" spans="1:446" x14ac:dyDescent="0.2">
      <c r="A31" s="5"/>
      <c r="B31" s="5"/>
      <c r="C31" s="5"/>
      <c r="D31" s="20"/>
    </row>
    <row r="32" spans="1:446" x14ac:dyDescent="0.2">
      <c r="A32" s="5"/>
      <c r="B32" s="5"/>
      <c r="C32" s="5"/>
      <c r="D32" s="20"/>
    </row>
    <row r="33" spans="1:11" x14ac:dyDescent="0.2">
      <c r="A33" s="5"/>
      <c r="B33" s="5"/>
      <c r="C33" s="5"/>
      <c r="D33" s="5"/>
    </row>
    <row r="35" spans="1:11" x14ac:dyDescent="0.2">
      <c r="G35" s="64"/>
    </row>
    <row r="36" spans="1:11" x14ac:dyDescent="0.2">
      <c r="C36" s="52"/>
      <c r="G36" s="64"/>
    </row>
    <row r="48" spans="1:11" x14ac:dyDescent="0.2">
      <c r="K48" s="36"/>
    </row>
  </sheetData>
  <sheetProtection sheet="1" formatCells="0" formatColumns="0" formatRows="0"/>
  <autoFilter ref="A1:QD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6:QD18">
      <sortCondition descending="1" ref="H1:H19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</mergeCells>
  <conditionalFormatting sqref="A4:B1048576">
    <cfRule type="expression" dxfId="138" priority="6">
      <formula>AND($I4="P",$H4="")</formula>
    </cfRule>
    <cfRule type="expression" dxfId="137" priority="29">
      <formula>IF(A4&gt;4,1,0)</formula>
    </cfRule>
  </conditionalFormatting>
  <conditionalFormatting sqref="J1:J1048576">
    <cfRule type="containsText" dxfId="136" priority="24" operator="containsText" text="No DD">
      <formula>NOT(ISERROR(SEARCH("No DD",J1)))</formula>
    </cfRule>
    <cfRule type="containsText" dxfId="135" priority="25" operator="containsText" text="Merit">
      <formula>NOT(ISERROR(SEARCH("Merit",J1)))</formula>
    </cfRule>
    <cfRule type="containsText" dxfId="134" priority="26" operator="containsText" text="Excellence">
      <formula>NOT(ISERROR(SEARCH("Excellence",J1)))</formula>
    </cfRule>
    <cfRule type="containsText" dxfId="133" priority="27" operator="containsText" text="Worlds Team">
      <formula>NOT(ISERROR(SEARCH("Worlds Team",J1)))</formula>
    </cfRule>
    <cfRule type="containsText" dxfId="132" priority="28" operator="containsText" text="National Team">
      <formula>NOT(ISERROR(SEARCH("National Team",J1)))</formula>
    </cfRule>
  </conditionalFormatting>
  <conditionalFormatting sqref="DI29:DI1048576 DI1:DI27 EK1:EK1048576 FM1:FM1048576 GO1:GO1048576 HQ1:HQ1048576 IS1:IS1048576 JU1:JU1048576 KW1:KW1048576 LY1:LY1048576 NA1:NA1048576 OC1:OC1048576 PE1:PE1048576">
    <cfRule type="cellIs" dxfId="131" priority="21" operator="between">
      <formula>DL$28</formula>
      <formula>1000</formula>
    </cfRule>
    <cfRule type="cellIs" dxfId="130" priority="22" operator="between">
      <formula>DL$27</formula>
      <formula>DL$28</formula>
    </cfRule>
    <cfRule type="cellIs" dxfId="129" priority="23" operator="between">
      <formula>DL$26</formula>
      <formula>DL$27</formula>
    </cfRule>
  </conditionalFormatting>
  <conditionalFormatting sqref="A1:B3">
    <cfRule type="expression" dxfId="128" priority="7">
      <formula>AND(I1&lt;&gt;"",H1="")</formula>
    </cfRule>
  </conditionalFormatting>
  <conditionalFormatting sqref="K48">
    <cfRule type="containsText" dxfId="127" priority="1" operator="containsText" text="No DD">
      <formula>NOT(ISERROR(SEARCH("No DD",K48)))</formula>
    </cfRule>
    <cfRule type="containsText" dxfId="126" priority="2" operator="containsText" text="Merit">
      <formula>NOT(ISERROR(SEARCH("Merit",K48)))</formula>
    </cfRule>
    <cfRule type="containsText" dxfId="125" priority="3" operator="containsText" text="Excellence">
      <formula>NOT(ISERROR(SEARCH("Excellence",K48)))</formula>
    </cfRule>
    <cfRule type="containsText" dxfId="124" priority="4" operator="containsText" text="Worlds Team">
      <formula>NOT(ISERROR(SEARCH("Worlds Team",K48)))</formula>
    </cfRule>
    <cfRule type="containsText" dxfId="123" priority="5" operator="containsText" text="National Team">
      <formula>NOT(ISERROR(SEARCH("National Team",K48)))</formula>
    </cfRule>
  </conditionalFormatting>
  <conditionalFormatting sqref="AQ4:BL18">
    <cfRule type="expression" dxfId="122" priority="267740" stopIfTrue="1">
      <formula>IF($BG4&lt;&gt;"",1,0)</formula>
    </cfRule>
  </conditionalFormatting>
  <conditionalFormatting sqref="BM4:CH18">
    <cfRule type="expression" dxfId="121" priority="267745" stopIfTrue="1">
      <formula>IF($CC4&lt;&gt;"",1,0)</formula>
    </cfRule>
  </conditionalFormatting>
  <conditionalFormatting sqref="U4:AP18">
    <cfRule type="expression" dxfId="120" priority="267746" stopIfTrue="1">
      <formula>IF($AK4&lt;&gt;"",1,0)</formula>
    </cfRule>
  </conditionalFormatting>
  <conditionalFormatting sqref="M1:M1048576 Q1:Q1048576 O1:O1048576">
    <cfRule type="expression" dxfId="119" priority="267755">
      <formula>IF(M1=$BM$1,1,0)</formula>
    </cfRule>
    <cfRule type="expression" dxfId="118" priority="267756">
      <formula>IF(M1=$AQ$1,1,0)</formula>
    </cfRule>
    <cfRule type="expression" dxfId="117" priority="267757">
      <formula>IF(M1=$U$1,1,0)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116" priority="277380" operator="between">
      <formula>DL$21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15" priority="277416" operator="between">
      <formula>DL$25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14" priority="277452" operator="between">
      <formula>AP$21</formula>
      <formula>AP$22</formula>
    </cfRule>
    <cfRule type="cellIs" dxfId="113" priority="277453" operator="between">
      <formula>AP$22</formula>
      <formula>AP$23</formula>
    </cfRule>
    <cfRule type="cellIs" dxfId="112" priority="277454" operator="between">
      <formula>AP$23</formula>
      <formula>AP$24</formula>
    </cfRule>
    <cfRule type="cellIs" dxfId="111" priority="277455" operator="between">
      <formula>AP$24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110" priority="277632" operator="between">
      <formula>AP$25</formula>
      <formula>AP$26</formula>
    </cfRule>
    <cfRule type="cellIs" dxfId="109" priority="277633" operator="between">
      <formula>AP$26</formula>
      <formula>AP$27</formula>
    </cfRule>
    <cfRule type="cellIs" dxfId="108" priority="277634" operator="between">
      <formula>AP$27</formula>
      <formula>AP$28</formula>
    </cfRule>
    <cfRule type="cellIs" dxfId="107" priority="277635" operator="between">
      <formula>AP$28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106" priority="277812" operator="between">
      <formula>DL$24</formula>
      <formula>1000</formula>
    </cfRule>
    <cfRule type="cellIs" dxfId="105" priority="277813" operator="between">
      <formula>DL$23</formula>
      <formula>DL$24</formula>
    </cfRule>
    <cfRule type="cellIs" dxfId="104" priority="277814" operator="between">
      <formula>DL$22</formula>
      <formula>DL$23</formula>
    </cfRule>
  </conditionalFormatting>
  <conditionalFormatting sqref="BH1:BH1048576 CD1:CD1048576 AL1:AL1048576">
    <cfRule type="cellIs" dxfId="103" priority="277920" operator="between">
      <formula>AP$21</formula>
      <formula>1000</formula>
    </cfRule>
  </conditionalFormatting>
  <conditionalFormatting sqref="BI1:BI1048576 CE1:CE1048576 AM1:AM1048576">
    <cfRule type="cellIs" dxfId="102" priority="277929" operator="between">
      <formula>AP$25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QD37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83</v>
      </c>
      <c r="M1" s="74" t="s">
        <v>25</v>
      </c>
      <c r="N1" s="73" t="s">
        <v>84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158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172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184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181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186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187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 t="s">
        <v>188</v>
      </c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75</v>
      </c>
      <c r="V2" s="67"/>
      <c r="W2" s="67"/>
      <c r="X2" s="67"/>
      <c r="Y2" s="67" t="s">
        <v>76</v>
      </c>
      <c r="Z2" s="67"/>
      <c r="AA2" s="67"/>
      <c r="AB2" s="67"/>
      <c r="AC2" s="67" t="s">
        <v>78</v>
      </c>
      <c r="AD2" s="67"/>
      <c r="AE2" s="67"/>
      <c r="AF2" s="67"/>
      <c r="AG2" s="77" t="s">
        <v>79</v>
      </c>
      <c r="AH2" s="77"/>
      <c r="AI2" s="77"/>
      <c r="AJ2" s="77"/>
      <c r="AK2" s="14"/>
      <c r="AL2" s="14" t="s">
        <v>85</v>
      </c>
      <c r="AM2" s="14" t="s">
        <v>21</v>
      </c>
      <c r="AN2" s="14" t="s">
        <v>57</v>
      </c>
      <c r="AO2" s="14" t="s">
        <v>82</v>
      </c>
      <c r="AP2" s="14" t="s">
        <v>15</v>
      </c>
      <c r="AQ2" s="68" t="s">
        <v>75</v>
      </c>
      <c r="AR2" s="68"/>
      <c r="AS2" s="68"/>
      <c r="AT2" s="68"/>
      <c r="AU2" s="68" t="s">
        <v>76</v>
      </c>
      <c r="AV2" s="68"/>
      <c r="AW2" s="68"/>
      <c r="AX2" s="68"/>
      <c r="AY2" s="68" t="s">
        <v>78</v>
      </c>
      <c r="AZ2" s="68"/>
      <c r="BA2" s="68"/>
      <c r="BB2" s="68"/>
      <c r="BC2" s="78" t="s">
        <v>79</v>
      </c>
      <c r="BD2" s="78"/>
      <c r="BE2" s="78"/>
      <c r="BF2" s="78"/>
      <c r="BG2" s="13"/>
      <c r="BH2" s="13" t="s">
        <v>85</v>
      </c>
      <c r="BI2" s="13" t="s">
        <v>21</v>
      </c>
      <c r="BJ2" s="13" t="s">
        <v>57</v>
      </c>
      <c r="BK2" s="13" t="s">
        <v>82</v>
      </c>
      <c r="BL2" s="13" t="s">
        <v>15</v>
      </c>
      <c r="BM2" s="67" t="s">
        <v>75</v>
      </c>
      <c r="BN2" s="67"/>
      <c r="BO2" s="67"/>
      <c r="BP2" s="67"/>
      <c r="BQ2" s="67" t="s">
        <v>76</v>
      </c>
      <c r="BR2" s="67"/>
      <c r="BS2" s="67"/>
      <c r="BT2" s="67"/>
      <c r="BU2" s="67" t="s">
        <v>78</v>
      </c>
      <c r="BV2" s="67"/>
      <c r="BW2" s="67"/>
      <c r="BX2" s="67"/>
      <c r="BY2" s="77" t="s">
        <v>79</v>
      </c>
      <c r="BZ2" s="77"/>
      <c r="CA2" s="77"/>
      <c r="CB2" s="77"/>
      <c r="CC2" s="14"/>
      <c r="CD2" s="14" t="s">
        <v>85</v>
      </c>
      <c r="CE2" s="14" t="s">
        <v>21</v>
      </c>
      <c r="CF2" s="14" t="s">
        <v>57</v>
      </c>
      <c r="CG2" s="14" t="s">
        <v>82</v>
      </c>
      <c r="CH2" s="14" t="s">
        <v>15</v>
      </c>
      <c r="CI2" s="49" t="s">
        <v>81</v>
      </c>
      <c r="CJ2" s="49" t="s">
        <v>20</v>
      </c>
      <c r="CK2" s="67" t="s">
        <v>75</v>
      </c>
      <c r="CL2" s="67"/>
      <c r="CM2" s="67"/>
      <c r="CN2" s="67"/>
      <c r="CO2" s="67" t="s">
        <v>76</v>
      </c>
      <c r="CP2" s="67"/>
      <c r="CQ2" s="67"/>
      <c r="CR2" s="67"/>
      <c r="CS2" s="67" t="s">
        <v>77</v>
      </c>
      <c r="CT2" s="67"/>
      <c r="CU2" s="67"/>
      <c r="CV2" s="67"/>
      <c r="CW2" s="67" t="s">
        <v>78</v>
      </c>
      <c r="CX2" s="67"/>
      <c r="CY2" s="67"/>
      <c r="CZ2" s="67"/>
      <c r="DA2" s="79" t="s">
        <v>79</v>
      </c>
      <c r="DB2" s="79"/>
      <c r="DC2" s="79"/>
      <c r="DD2" s="79"/>
      <c r="DE2" s="14" t="s">
        <v>80</v>
      </c>
      <c r="DF2" s="14" t="s">
        <v>81</v>
      </c>
      <c r="DG2" s="14" t="s">
        <v>77</v>
      </c>
      <c r="DH2" s="14" t="s">
        <v>85</v>
      </c>
      <c r="DI2" s="14" t="s">
        <v>21</v>
      </c>
      <c r="DJ2" s="14" t="s">
        <v>57</v>
      </c>
      <c r="DK2" s="14" t="s">
        <v>82</v>
      </c>
      <c r="DL2" s="14" t="s">
        <v>15</v>
      </c>
      <c r="DM2" s="68" t="s">
        <v>75</v>
      </c>
      <c r="DN2" s="68"/>
      <c r="DO2" s="68"/>
      <c r="DP2" s="68"/>
      <c r="DQ2" s="68" t="s">
        <v>76</v>
      </c>
      <c r="DR2" s="68"/>
      <c r="DS2" s="68"/>
      <c r="DT2" s="68"/>
      <c r="DU2" s="68" t="s">
        <v>77</v>
      </c>
      <c r="DV2" s="68"/>
      <c r="DW2" s="68"/>
      <c r="DX2" s="68"/>
      <c r="DY2" s="68" t="s">
        <v>78</v>
      </c>
      <c r="DZ2" s="68"/>
      <c r="EA2" s="68"/>
      <c r="EB2" s="68"/>
      <c r="EC2" s="78" t="s">
        <v>79</v>
      </c>
      <c r="ED2" s="78"/>
      <c r="EE2" s="78"/>
      <c r="EF2" s="78"/>
      <c r="EG2" s="13" t="s">
        <v>80</v>
      </c>
      <c r="EH2" s="13" t="s">
        <v>81</v>
      </c>
      <c r="EI2" s="13" t="s">
        <v>77</v>
      </c>
      <c r="EJ2" s="13" t="s">
        <v>85</v>
      </c>
      <c r="EK2" s="13" t="s">
        <v>21</v>
      </c>
      <c r="EL2" s="13" t="s">
        <v>57</v>
      </c>
      <c r="EM2" s="13" t="s">
        <v>82</v>
      </c>
      <c r="EN2" s="13" t="s">
        <v>15</v>
      </c>
      <c r="EO2" s="67" t="s">
        <v>75</v>
      </c>
      <c r="EP2" s="67"/>
      <c r="EQ2" s="67"/>
      <c r="ER2" s="67"/>
      <c r="ES2" s="67" t="s">
        <v>76</v>
      </c>
      <c r="ET2" s="67"/>
      <c r="EU2" s="67"/>
      <c r="EV2" s="67"/>
      <c r="EW2" s="67" t="s">
        <v>77</v>
      </c>
      <c r="EX2" s="67"/>
      <c r="EY2" s="67"/>
      <c r="EZ2" s="67"/>
      <c r="FA2" s="67" t="s">
        <v>78</v>
      </c>
      <c r="FB2" s="67"/>
      <c r="FC2" s="67"/>
      <c r="FD2" s="67"/>
      <c r="FE2" s="79" t="s">
        <v>79</v>
      </c>
      <c r="FF2" s="79"/>
      <c r="FG2" s="79"/>
      <c r="FH2" s="79"/>
      <c r="FI2" s="14" t="s">
        <v>80</v>
      </c>
      <c r="FJ2" s="14" t="s">
        <v>81</v>
      </c>
      <c r="FK2" s="14" t="s">
        <v>77</v>
      </c>
      <c r="FL2" s="14" t="s">
        <v>85</v>
      </c>
      <c r="FM2" s="14" t="s">
        <v>21</v>
      </c>
      <c r="FN2" s="14" t="s">
        <v>57</v>
      </c>
      <c r="FO2" s="14" t="s">
        <v>82</v>
      </c>
      <c r="FP2" s="14" t="s">
        <v>15</v>
      </c>
      <c r="FQ2" s="68" t="s">
        <v>75</v>
      </c>
      <c r="FR2" s="68"/>
      <c r="FS2" s="68"/>
      <c r="FT2" s="68"/>
      <c r="FU2" s="68" t="s">
        <v>76</v>
      </c>
      <c r="FV2" s="68"/>
      <c r="FW2" s="68"/>
      <c r="FX2" s="68"/>
      <c r="FY2" s="68" t="s">
        <v>77</v>
      </c>
      <c r="FZ2" s="68"/>
      <c r="GA2" s="68"/>
      <c r="GB2" s="68"/>
      <c r="GC2" s="68" t="s">
        <v>78</v>
      </c>
      <c r="GD2" s="68"/>
      <c r="GE2" s="68"/>
      <c r="GF2" s="68"/>
      <c r="GG2" s="78" t="s">
        <v>79</v>
      </c>
      <c r="GH2" s="78"/>
      <c r="GI2" s="78"/>
      <c r="GJ2" s="78"/>
      <c r="GK2" s="13" t="s">
        <v>80</v>
      </c>
      <c r="GL2" s="13" t="s">
        <v>81</v>
      </c>
      <c r="GM2" s="13" t="s">
        <v>77</v>
      </c>
      <c r="GN2" s="13" t="s">
        <v>85</v>
      </c>
      <c r="GO2" s="13" t="s">
        <v>21</v>
      </c>
      <c r="GP2" s="13" t="s">
        <v>57</v>
      </c>
      <c r="GQ2" s="13" t="s">
        <v>82</v>
      </c>
      <c r="GR2" s="13" t="s">
        <v>15</v>
      </c>
      <c r="GS2" s="67" t="s">
        <v>75</v>
      </c>
      <c r="GT2" s="67"/>
      <c r="GU2" s="67"/>
      <c r="GV2" s="67"/>
      <c r="GW2" s="67" t="s">
        <v>76</v>
      </c>
      <c r="GX2" s="67"/>
      <c r="GY2" s="67"/>
      <c r="GZ2" s="67"/>
      <c r="HA2" s="67" t="s">
        <v>77</v>
      </c>
      <c r="HB2" s="67"/>
      <c r="HC2" s="67"/>
      <c r="HD2" s="67"/>
      <c r="HE2" s="67" t="s">
        <v>78</v>
      </c>
      <c r="HF2" s="67"/>
      <c r="HG2" s="67"/>
      <c r="HH2" s="67"/>
      <c r="HI2" s="79" t="s">
        <v>79</v>
      </c>
      <c r="HJ2" s="79"/>
      <c r="HK2" s="79"/>
      <c r="HL2" s="79"/>
      <c r="HM2" s="14" t="s">
        <v>80</v>
      </c>
      <c r="HN2" s="14" t="s">
        <v>81</v>
      </c>
      <c r="HO2" s="14" t="s">
        <v>77</v>
      </c>
      <c r="HP2" s="14" t="s">
        <v>85</v>
      </c>
      <c r="HQ2" s="14" t="s">
        <v>21</v>
      </c>
      <c r="HR2" s="14" t="s">
        <v>57</v>
      </c>
      <c r="HS2" s="14" t="s">
        <v>82</v>
      </c>
      <c r="HT2" s="14" t="s">
        <v>15</v>
      </c>
      <c r="HU2" s="68" t="s">
        <v>75</v>
      </c>
      <c r="HV2" s="68"/>
      <c r="HW2" s="68"/>
      <c r="HX2" s="68"/>
      <c r="HY2" s="68" t="s">
        <v>76</v>
      </c>
      <c r="HZ2" s="68"/>
      <c r="IA2" s="68"/>
      <c r="IB2" s="68"/>
      <c r="IC2" s="68" t="s">
        <v>77</v>
      </c>
      <c r="ID2" s="68"/>
      <c r="IE2" s="68"/>
      <c r="IF2" s="68"/>
      <c r="IG2" s="68" t="s">
        <v>78</v>
      </c>
      <c r="IH2" s="68"/>
      <c r="II2" s="68"/>
      <c r="IJ2" s="68"/>
      <c r="IK2" s="78" t="s">
        <v>79</v>
      </c>
      <c r="IL2" s="78"/>
      <c r="IM2" s="78"/>
      <c r="IN2" s="78"/>
      <c r="IO2" s="13" t="s">
        <v>80</v>
      </c>
      <c r="IP2" s="13" t="s">
        <v>81</v>
      </c>
      <c r="IQ2" s="13" t="s">
        <v>77</v>
      </c>
      <c r="IR2" s="13" t="s">
        <v>85</v>
      </c>
      <c r="IS2" s="13" t="s">
        <v>21</v>
      </c>
      <c r="IT2" s="13" t="s">
        <v>57</v>
      </c>
      <c r="IU2" s="13" t="s">
        <v>82</v>
      </c>
      <c r="IV2" s="13" t="s">
        <v>15</v>
      </c>
      <c r="IW2" s="67" t="s">
        <v>75</v>
      </c>
      <c r="IX2" s="67"/>
      <c r="IY2" s="67"/>
      <c r="IZ2" s="67"/>
      <c r="JA2" s="67" t="s">
        <v>76</v>
      </c>
      <c r="JB2" s="67"/>
      <c r="JC2" s="67"/>
      <c r="JD2" s="67"/>
      <c r="JE2" s="67" t="s">
        <v>77</v>
      </c>
      <c r="JF2" s="67"/>
      <c r="JG2" s="67"/>
      <c r="JH2" s="67"/>
      <c r="JI2" s="67" t="s">
        <v>78</v>
      </c>
      <c r="JJ2" s="67"/>
      <c r="JK2" s="67"/>
      <c r="JL2" s="67"/>
      <c r="JM2" s="79" t="s">
        <v>79</v>
      </c>
      <c r="JN2" s="79"/>
      <c r="JO2" s="79"/>
      <c r="JP2" s="79"/>
      <c r="JQ2" s="14" t="s">
        <v>80</v>
      </c>
      <c r="JR2" s="14" t="s">
        <v>81</v>
      </c>
      <c r="JS2" s="14" t="s">
        <v>77</v>
      </c>
      <c r="JT2" s="14" t="s">
        <v>85</v>
      </c>
      <c r="JU2" s="14" t="s">
        <v>21</v>
      </c>
      <c r="JV2" s="14" t="s">
        <v>57</v>
      </c>
      <c r="JW2" s="14" t="s">
        <v>82</v>
      </c>
      <c r="JX2" s="14" t="s">
        <v>15</v>
      </c>
      <c r="JY2" s="68" t="s">
        <v>75</v>
      </c>
      <c r="JZ2" s="68"/>
      <c r="KA2" s="68"/>
      <c r="KB2" s="68"/>
      <c r="KC2" s="68" t="s">
        <v>76</v>
      </c>
      <c r="KD2" s="68"/>
      <c r="KE2" s="68"/>
      <c r="KF2" s="68"/>
      <c r="KG2" s="68" t="s">
        <v>77</v>
      </c>
      <c r="KH2" s="68"/>
      <c r="KI2" s="68"/>
      <c r="KJ2" s="68"/>
      <c r="KK2" s="68" t="s">
        <v>78</v>
      </c>
      <c r="KL2" s="68"/>
      <c r="KM2" s="68"/>
      <c r="KN2" s="68"/>
      <c r="KO2" s="78" t="s">
        <v>79</v>
      </c>
      <c r="KP2" s="78"/>
      <c r="KQ2" s="78"/>
      <c r="KR2" s="78"/>
      <c r="KS2" s="13" t="s">
        <v>80</v>
      </c>
      <c r="KT2" s="13" t="s">
        <v>81</v>
      </c>
      <c r="KU2" s="13" t="s">
        <v>77</v>
      </c>
      <c r="KV2" s="13" t="s">
        <v>85</v>
      </c>
      <c r="KW2" s="13" t="s">
        <v>21</v>
      </c>
      <c r="KX2" s="13" t="s">
        <v>57</v>
      </c>
      <c r="KY2" s="13" t="s">
        <v>82</v>
      </c>
      <c r="KZ2" s="13" t="s">
        <v>15</v>
      </c>
      <c r="LA2" s="67" t="s">
        <v>75</v>
      </c>
      <c r="LB2" s="67"/>
      <c r="LC2" s="67"/>
      <c r="LD2" s="67"/>
      <c r="LE2" s="67" t="s">
        <v>76</v>
      </c>
      <c r="LF2" s="67"/>
      <c r="LG2" s="67"/>
      <c r="LH2" s="67"/>
      <c r="LI2" s="67" t="s">
        <v>77</v>
      </c>
      <c r="LJ2" s="67"/>
      <c r="LK2" s="67"/>
      <c r="LL2" s="67"/>
      <c r="LM2" s="67" t="s">
        <v>78</v>
      </c>
      <c r="LN2" s="67"/>
      <c r="LO2" s="67"/>
      <c r="LP2" s="67"/>
      <c r="LQ2" s="79" t="s">
        <v>79</v>
      </c>
      <c r="LR2" s="79"/>
      <c r="LS2" s="79"/>
      <c r="LT2" s="79"/>
      <c r="LU2" s="14" t="s">
        <v>80</v>
      </c>
      <c r="LV2" s="14" t="s">
        <v>81</v>
      </c>
      <c r="LW2" s="14" t="s">
        <v>77</v>
      </c>
      <c r="LX2" s="14" t="s">
        <v>85</v>
      </c>
      <c r="LY2" s="14" t="s">
        <v>21</v>
      </c>
      <c r="LZ2" s="14" t="s">
        <v>57</v>
      </c>
      <c r="MA2" s="14" t="s">
        <v>82</v>
      </c>
      <c r="MB2" s="14" t="s">
        <v>15</v>
      </c>
      <c r="MC2" s="68" t="s">
        <v>75</v>
      </c>
      <c r="MD2" s="68"/>
      <c r="ME2" s="68"/>
      <c r="MF2" s="68"/>
      <c r="MG2" s="68" t="s">
        <v>76</v>
      </c>
      <c r="MH2" s="68"/>
      <c r="MI2" s="68"/>
      <c r="MJ2" s="68"/>
      <c r="MK2" s="68" t="s">
        <v>77</v>
      </c>
      <c r="ML2" s="68"/>
      <c r="MM2" s="68"/>
      <c r="MN2" s="68"/>
      <c r="MO2" s="68" t="s">
        <v>78</v>
      </c>
      <c r="MP2" s="68"/>
      <c r="MQ2" s="68"/>
      <c r="MR2" s="68"/>
      <c r="MS2" s="78" t="s">
        <v>79</v>
      </c>
      <c r="MT2" s="78"/>
      <c r="MU2" s="78"/>
      <c r="MV2" s="78"/>
      <c r="MW2" s="13" t="s">
        <v>80</v>
      </c>
      <c r="MX2" s="13" t="s">
        <v>81</v>
      </c>
      <c r="MY2" s="13" t="s">
        <v>77</v>
      </c>
      <c r="MZ2" s="13" t="s">
        <v>85</v>
      </c>
      <c r="NA2" s="13" t="s">
        <v>21</v>
      </c>
      <c r="NB2" s="13" t="s">
        <v>57</v>
      </c>
      <c r="NC2" s="13" t="s">
        <v>82</v>
      </c>
      <c r="ND2" s="13" t="s">
        <v>15</v>
      </c>
      <c r="NE2" s="67" t="s">
        <v>75</v>
      </c>
      <c r="NF2" s="67"/>
      <c r="NG2" s="67"/>
      <c r="NH2" s="67"/>
      <c r="NI2" s="67" t="s">
        <v>76</v>
      </c>
      <c r="NJ2" s="67"/>
      <c r="NK2" s="67"/>
      <c r="NL2" s="67"/>
      <c r="NM2" s="67" t="s">
        <v>77</v>
      </c>
      <c r="NN2" s="67"/>
      <c r="NO2" s="67"/>
      <c r="NP2" s="67"/>
      <c r="NQ2" s="67" t="s">
        <v>78</v>
      </c>
      <c r="NR2" s="67"/>
      <c r="NS2" s="67"/>
      <c r="NT2" s="67"/>
      <c r="NU2" s="79" t="s">
        <v>79</v>
      </c>
      <c r="NV2" s="79"/>
      <c r="NW2" s="79"/>
      <c r="NX2" s="79"/>
      <c r="NY2" s="14" t="s">
        <v>80</v>
      </c>
      <c r="NZ2" s="14" t="s">
        <v>81</v>
      </c>
      <c r="OA2" s="14" t="s">
        <v>77</v>
      </c>
      <c r="OB2" s="14" t="s">
        <v>85</v>
      </c>
      <c r="OC2" s="14" t="s">
        <v>21</v>
      </c>
      <c r="OD2" s="14" t="s">
        <v>57</v>
      </c>
      <c r="OE2" s="14" t="s">
        <v>82</v>
      </c>
      <c r="OF2" s="14" t="s">
        <v>15</v>
      </c>
      <c r="OG2" s="68" t="s">
        <v>75</v>
      </c>
      <c r="OH2" s="68"/>
      <c r="OI2" s="68"/>
      <c r="OJ2" s="68"/>
      <c r="OK2" s="68" t="s">
        <v>76</v>
      </c>
      <c r="OL2" s="68"/>
      <c r="OM2" s="68"/>
      <c r="ON2" s="68"/>
      <c r="OO2" s="68" t="s">
        <v>77</v>
      </c>
      <c r="OP2" s="68"/>
      <c r="OQ2" s="68"/>
      <c r="OR2" s="68"/>
      <c r="OS2" s="68" t="s">
        <v>78</v>
      </c>
      <c r="OT2" s="68"/>
      <c r="OU2" s="68"/>
      <c r="OV2" s="68"/>
      <c r="OW2" s="78" t="s">
        <v>79</v>
      </c>
      <c r="OX2" s="78"/>
      <c r="OY2" s="78"/>
      <c r="OZ2" s="78"/>
      <c r="PA2" s="13" t="s">
        <v>80</v>
      </c>
      <c r="PB2" s="13" t="s">
        <v>81</v>
      </c>
      <c r="PC2" s="13" t="s">
        <v>77</v>
      </c>
      <c r="PD2" s="13" t="s">
        <v>85</v>
      </c>
      <c r="PE2" s="13" t="s">
        <v>21</v>
      </c>
      <c r="PF2" s="13" t="s">
        <v>57</v>
      </c>
      <c r="PG2" s="13" t="s">
        <v>82</v>
      </c>
      <c r="PH2" s="13" t="s">
        <v>15</v>
      </c>
      <c r="PI2" s="67" t="s">
        <v>75</v>
      </c>
      <c r="PJ2" s="67"/>
      <c r="PK2" s="67"/>
      <c r="PL2" s="67"/>
      <c r="PM2" s="67" t="s">
        <v>76</v>
      </c>
      <c r="PN2" s="67"/>
      <c r="PO2" s="67"/>
      <c r="PP2" s="67"/>
      <c r="PQ2" s="67" t="s">
        <v>78</v>
      </c>
      <c r="PR2" s="67"/>
      <c r="PS2" s="67"/>
      <c r="PT2" s="67"/>
      <c r="PU2" s="77" t="s">
        <v>79</v>
      </c>
      <c r="PV2" s="77"/>
      <c r="PW2" s="77"/>
      <c r="PX2" s="77"/>
      <c r="PY2" s="14"/>
      <c r="PZ2" s="14" t="s">
        <v>85</v>
      </c>
      <c r="QA2" s="14" t="s">
        <v>21</v>
      </c>
      <c r="QB2" s="14" t="s">
        <v>57</v>
      </c>
      <c r="QC2" s="14" t="s">
        <v>82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DD"),SUMPRODUCT((J$4:J$18&lt;&gt;"")*(J$4:J$18&lt;&gt;"No DD")*(F$4:F$18&gt;F4))+1,IF(J4="No DD",SUMPRODUCT((J$4:J$18="No DD")*(F$4:F$18&gt;F4))+1+SUMPRODUCT((J$4:J$18&lt;&gt;"")*(J$4:J$18&lt;&gt;"No DD")),""))</f>
        <v>1</v>
      </c>
      <c r="B4" s="4" t="str" cm="1">
        <f t="array" ref="B4">IF(AND(J4&lt;&gt;"",J4&lt;&gt;"No DD",G4=""),SUMPRODUCT((J$4:J$18&lt;&gt;"")*(J$4:J$18&lt;&gt;"No DD")*(G$4:G$18="")*(F$4:F$18&gt;F4))+1,IF(J4="No DD",SUMPRODUCT((J$4:J$18="No DD")*(F$4:F$18&gt;F4)*(G$4:G$18=""))+1+SUMPRODUCT((J$4:J$18&lt;&gt;"")*(G$4:G$18="")*(J$4:J$18&lt;&gt;"No DD")),""))</f>
        <v/>
      </c>
      <c r="C4" s="5" t="s">
        <v>102</v>
      </c>
      <c r="D4" s="4" t="s">
        <v>4</v>
      </c>
      <c r="E4" s="4">
        <v>2006</v>
      </c>
      <c r="F4" s="9">
        <f t="shared" ref="F4:F17" si="0">SUM(L4:R4)+SUM(L4:O4)*0.0000001+SUM(L4)*0.0000000000001</f>
        <v>138.45000916500462</v>
      </c>
      <c r="G4" s="64" t="s">
        <v>46</v>
      </c>
      <c r="H4" s="3" t="str">
        <f t="shared" ref="H4:H17" si="1">IF(OR(AND(AL4&gt;=AP$20,AM4&gt;=AP$24,AL4&lt;&gt;"",AK4=""),AND(AN4&gt;=AP$20,AO4&gt;=AP$24,AN4&lt;&gt;"",AK4=""),AND(BH4&gt;=BL$20,BI4&gt;=BL$24,BH4&lt;&gt;"",BG4=""),AND(BJ4&gt;=BL$20,BK4&gt;=BL$24,BJ4&lt;&gt;"",BG4=""),AND(CD4&gt;=CH$20,CE4&gt;=CH$24,CD4&lt;&gt;"",CC4=""),AND(CF4&gt;=CH$20,CG4&gt;=CH$24,CF4&lt;&gt;""),AND(DE4&gt;=DL$20,DF4&gt;=DL$24,DE4&lt;&gt;""),AND(DJ4&gt;=DL$20,DK4&gt;=DL$24,DJ4&lt;&gt;""),AND(EG4&gt;=EN$20,EH4&gt;=EN$24,EG4&lt;&gt;""),AND(EL4&gt;=EN$20,EM4&gt;=EN$24,EL4&lt;&gt;""),AND(FI4&gt;=FP$20,FJ4&gt;=FP$24,FI4&lt;&gt;""),AND(FN4&gt;=FP$20,FO4&gt;=FP$24,FN4&lt;&gt;""),AND(GK4&gt;=GR$20,GL4&gt;=GR$24,GK4&lt;&gt;""),AND(GP4&gt;=GR$20,GQ4&gt;=GR$24,GP4&lt;&gt;""),AND(HM4&gt;=HT$20,HN4&gt;=HT$24,HM4&lt;&gt;""),AND(HR4&gt;=HT$20,HS4&gt;=HT$24,HR4&lt;&gt;""),AND(IO4&gt;=IV$20,IP4&gt;=IV$24,IO4&lt;&gt;""),AND(IT4&gt;=IV$20,IU4&gt;=IV$24,IT4&lt;&gt;""),AND(JQ4&gt;=JX$20,JR4&gt;=JX$24,JQ4&lt;&gt;""),AND(JV4&gt;=JX$20,JW4&gt;=JX$24,JV4&lt;&gt;""),AND(KS4&gt;=KZ$20,KT4&gt;=KZ$24,KS4&lt;&gt;""),AND(KX4&gt;=KZ$20,KY4&gt;=KZ$24,KX4&lt;&gt;""),AND(LU4&gt;=MB$20,LV4&gt;=MB$24,LU4&lt;&gt;""),AND(LZ4&gt;=MB$20,MA4&gt;=MB$24,LZ4&lt;&gt;""),AND(MW4&gt;=ND$20,MX4&gt;=ND$24,MW4&lt;&gt;""),AND(NB4&gt;=ND$20,NC4&gt;=ND$24,NB4&lt;&gt;""),AND(NY4&gt;=OF$20,NZ4&gt;=OF$24,NY4&lt;&gt;""),AND(OD4&gt;=OF$20,OE4&gt;=OF$24,OD4&lt;&gt;""),AND(PA4&gt;=PH$20,PB4&gt;=PH$24,PA4&lt;&gt;""),AND(PF4&gt;=PH$20,PG4&gt;=PH$24,PF4&lt;&gt;"")),"P","")</f>
        <v>P</v>
      </c>
      <c r="I4" s="3" t="str">
        <f t="shared" ref="I4:I17" si="2">IF(OR(AND(AM4&gt;=AP$24,AM4&lt;&gt;"",AK4=""),AND(AO4&gt;=AP$24,AO4&lt;&gt;"",AK4=""),AND(BI4&gt;=BL$24,BI4&lt;&gt;"",BG4=""),AND(BK4&gt;=BL$24,BK4&lt;&gt;"",BG4=""),AND(CE4&gt;=CH$24,CE4&lt;&gt;"",CC4=""),AND(CG4&gt;=CH$24,CG4&lt;&gt;"",CC4=""),AND(DF4&gt;=DL$24,DF4&lt;&gt;""),AND(DK4&gt;=DL$24,DK4&lt;&gt;""),AND(EH4&gt;=EN$24,EH4&lt;&gt;""),AND(EM4&gt;=EN$24,EM4&lt;&gt;""),AND(FJ4&gt;=FP$24,FJ4&lt;&gt;""),AND(FO4&gt;=FP$24,FO4&lt;&gt;""),AND(GL4&gt;=GR$24,GL4&lt;&gt;""),AND(GQ4&gt;=GR$24,GQ4&lt;&gt;""),AND(HN4&gt;=HT$24,HN4&lt;&gt;""),AND(HS4&gt;=HT$24,HS4&lt;&gt;""),AND(IP4&gt;=IV$24,IP4&lt;&gt;""),AND(IU4&gt;=IV$24,IU4&lt;&gt;""),AND(JR4&gt;=JX$24,JR4&lt;&gt;""),AND(JW4&gt;=JX$24,JW4&lt;&gt;""),AND(KT4&gt;=KZ$24,KT4&lt;&gt;""),AND(KY4&gt;=KZ$24,KY4&lt;&gt;""),AND(LV4&gt;=MB$24,LV4&lt;&gt;""),AND(MA4&gt;=MB$24,MA4&lt;&gt;""),AND(MX4&gt;=ND$24,MX4&lt;&gt;""),AND(NC4&gt;=ND$24,NC4&lt;&gt;""),AND(NZ4&gt;=OF$24,NZ4&lt;&gt;""),AND(OE4&gt;=OF$24,OE4&lt;&gt;""),AND(PB4&gt;=PH$24,PB4&lt;&gt;""),AND(PG4&gt;=PH$24,PG4&lt;&gt;"")),"P","")</f>
        <v>P</v>
      </c>
      <c r="J4" s="36" t="str">
        <f t="shared" ref="J4:J17" si="3">IF(AND(I4="P",H4=""),"No DD",IF(OR(AND(AL4&gt;=AP$25,AM4&gt;=AP$29,AL4&lt;&gt;"",AK4=""),AND(BH4&gt;=BL$25,BI4&gt;=BL$29,BH4&lt;&gt;"",BG4=""),AND(CD4&gt;=CH$25,CE4&gt;=CH$29,CD4&lt;&gt;"",CC4=""),AND(DH4&gt;=DL$25,DI4&gt;=DL$29,DH4&lt;&gt;""),AND(EJ4&gt;=EN$25,EK4&gt;=EN$29,EJ4&lt;&gt;""),AND(FL4&gt;=FP$25,FM4&gt;=FP$29,FL4&lt;&gt;""),AND(GN4&gt;=GR$25,GO4&gt;=GR$29,GN4&lt;&gt;""),AND(HP4&gt;=HT$25,HQ4&gt;=HT$29,HP4&lt;&gt;""),AND(IR4&gt;=IV$25,IS4&gt;=IV$29,IR4&lt;&gt;""),AND(JT4&gt;=JX$25,JU4&gt;=JX$29,JT4&lt;&gt;""),AND(KV4&gt;=KZ$25,KW4&gt;=KZ$29,KV4&lt;&gt;""),AND(LX4&gt;=MB$25,LY4&gt;=MB$29,LX4&lt;&gt;""),AND(MZ4&gt;=ND$25,NA4&gt;=ND$29,MZ4&lt;&gt;""),AND(OB4&gt;=OF$25,OC4&gt;=OF$29,OB4&lt;&gt;""),AND(PD4&gt;=PH$25,PE4&gt;=PH$29,PD4&lt;&gt;"")),"Merit",IF(OR(AND(AL4&gt;=AP$24,AM4&gt;=AP$28,AL4&lt;&gt;"",AK4=""),AND(BH4&gt;=BL$24,BI4&gt;=BL$28,BH4&lt;&gt;"",BG4=""),AND(CD4&gt;=CH$24,CE4&gt;=CH$28,CD4&lt;&gt;"",CC4=""),AND(DH4&gt;=DL$24,DI4&gt;=DL$28,DH4&lt;&gt;""),AND(EJ4&gt;=EN$24,EK4&gt;=EN$28,EJ4&lt;&gt;""),AND(FL4&gt;=FP$24,FM4&gt;=FP$28,FL4&lt;&gt;""),AND(GN4&gt;=GR$24,GO4&gt;=GR$28,GN4&lt;&gt;""),AND(HP4&gt;=HT$24,HQ4&gt;=HT$28,HP4&lt;&gt;""),AND(IR4&gt;=IV$24,IS4&gt;=IV$28,IR4&lt;&gt;""),AND(JT4&gt;=JX$24,JU4&gt;=JX$28,JT4&lt;&gt;""),AND(KV4&gt;=KZ$24,KW4&gt;=KZ$28,KV4&lt;&gt;""),AND(LX4&gt;=MB$24,LY4&gt;=MB$28,LX4&lt;&gt;""),AND(MZ4&gt;=ND$24,NA4&gt;=ND$28,MZ4&lt;&gt;""),AND(OB4&gt;=OF$24,OC4&gt;=OF$28,OB4&lt;&gt;""),AND(PD4&gt;=PH$24,PE4&gt;=PH$28,PD4&lt;&gt;"")),"Excellence",IF(K4="P","Worlds Team",IF(H4="P","National Team","")))))</f>
        <v>National Team</v>
      </c>
      <c r="K4" s="3" t="str">
        <f t="shared" ref="K4:K17" si="4">IF(OR(AND(AL4&gt;=AP$23,AM4&gt;=AP$27,AL4&lt;&gt;"",AK4=""),AND(BH4&gt;=BL$23,BI4&gt;=BL$27,BH4&lt;&gt;"",BG4=""),AND(CD4&gt;=CH$23,CE4&gt;=CH$27,CD4&lt;&gt;"",CC4=""),AND(DH4&gt;=DL$23,DI4&gt;=DL$27,DH4&lt;&gt;""),AND(EJ4&gt;=EN$23,EK4&gt;=EN$27,EJ4&lt;&gt;""),AND(FL4&gt;=FP$23,FM4&gt;=FP$27,FL4&lt;&gt;""),AND(GN4&gt;=GR$23,GO4&gt;=GR$27,GN4&lt;&gt;""),AND(HP4&gt;=HT$23,HQ4&gt;=HT$27,HP4&lt;&gt;""),AND(IR4&gt;=IV$23,IS4&gt;=IV$27,IR4&lt;&gt;""),AND(JT4&gt;=JX$23,JU4&gt;=JX$27,JT4&lt;&gt;""),AND(KV4&gt;=KZ$23,KW4&gt;=KZ$27,KV4&lt;&gt;""),AND(LX4&gt;=MB$23,LY4&gt;=MB$27,LX4&lt;&gt;""),AND(MZ4&gt;=ND$23,NA4&gt;=ND$27,MZ4&lt;&gt;""),AND(OB4&gt;=OF$23,OC4&gt;=OF$27,OB4&lt;&gt;""),AND(PD4&gt;=PH$23,PE4&gt;=PH$27,PD4&lt;&gt;"")),"P","")</f>
        <v/>
      </c>
      <c r="L4" s="8">
        <f>IF(COUNT(AM4,BI4,CE4)&gt;0,LARGE((AM4,BI4,CE4),1),0)</f>
        <v>46.1</v>
      </c>
      <c r="M4" s="8" t="str">
        <f t="shared" ref="M4:M17" si="5">IF(L4=0,"",IF(L4=CE4,$BM$1,IF(L4=BI4,$AQ$1,IF(L4=AM4,$U$1,""))))</f>
        <v>2025 Nationals</v>
      </c>
      <c r="N4" s="8">
        <f>IF(COUNT(AM4,BI4,CE4)&gt;1,LARGE((AM4,BI4,CE4),2),0)</f>
        <v>45.550000000000004</v>
      </c>
      <c r="O4" s="8" t="str">
        <f t="shared" ref="O4:O17" si="6">IF(N4=0,"",IF(AND(N4=L4,N4=AM4,N4=BI4),$U$1,IF(AND(N4=L4,N4=AM4,N4=CE4),$U$1,IF(AND(N4=L4,N4=BI4,N4=CE4),$AQ$1,IF(N4=CE4,$BM$1,IF(N4=BI4,$AQ$1,IF(N4=AM4,$U$1,"")))))))</f>
        <v>2025 3rd Domestic Trial</v>
      </c>
      <c r="P4" s="8">
        <f t="shared" ref="P4:P17" si="7">IF(MAX(AO4,BK4,CG4)&gt;0,MAX(AO4,BK4,CG4),0)</f>
        <v>46.800000000000004</v>
      </c>
      <c r="Q4" s="8" t="str">
        <f t="shared" ref="Q4:Q17" si="8">IF(P4=0,"",IF(P4=CG4,$BM$1,IF(P4=BK4,$AQ$1,IF(P4=AO4,$U$1,""))))</f>
        <v>2025 Elite Canada</v>
      </c>
      <c r="R4" s="8" t="str">
        <f t="shared" ref="R4:R17" si="9">IF(MAX(CI4:CJ4)&gt;0,MAX(CI4:CJ4),"")</f>
        <v/>
      </c>
      <c r="S4" s="11" t="str">
        <f t="shared" ref="S4:S17" si="10">IF(R4="","",IF(R4=CI4,"("&amp;CI$2&amp;")",IF(R4=CJ4,"("&amp;CJ$2&amp;")")))</f>
        <v/>
      </c>
      <c r="T4" s="8" t="str">
        <f t="shared" ref="T4:T17" si="11"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/>
      </c>
      <c r="U4" s="19">
        <v>17.7</v>
      </c>
      <c r="V4" s="19">
        <v>4.3</v>
      </c>
      <c r="W4" s="19">
        <v>0</v>
      </c>
      <c r="X4" s="19">
        <v>0.7</v>
      </c>
      <c r="Y4" s="19">
        <v>15.5</v>
      </c>
      <c r="Z4" s="19">
        <v>6.1</v>
      </c>
      <c r="AA4" s="19">
        <v>0</v>
      </c>
      <c r="AB4" s="19">
        <v>0.7</v>
      </c>
      <c r="AC4" s="19">
        <v>18.100000000000001</v>
      </c>
      <c r="AD4" s="19">
        <v>4.3</v>
      </c>
      <c r="AE4" s="19">
        <v>0</v>
      </c>
      <c r="AF4" s="19">
        <v>0.7</v>
      </c>
      <c r="AG4" s="19">
        <v>16.899999999999999</v>
      </c>
      <c r="AH4" s="19">
        <v>6.1</v>
      </c>
      <c r="AI4" s="19">
        <v>0</v>
      </c>
      <c r="AJ4" s="19">
        <v>0.7</v>
      </c>
      <c r="AK4" s="27"/>
      <c r="AL4" s="40">
        <f t="shared" ref="AL4:AL17" si="12">IF(SUM(V4,Z4)&gt;0,SUM(V4,Z4),"")</f>
        <v>10.399999999999999</v>
      </c>
      <c r="AM4" s="40">
        <f t="shared" ref="AM4:AM17" si="13">IF(SUM(U4:V4,X4:Z4,AB4)-W4-AA4&gt;0,SUM(U4:V4,X4:Z4,AB4)-W4-AA4,"")</f>
        <v>45.000000000000007</v>
      </c>
      <c r="AN4" s="40">
        <f t="shared" ref="AN4:AN17" si="14">IF(SUM(AD4,AH4)&gt;0,SUM(AD4,AH4),"")</f>
        <v>10.399999999999999</v>
      </c>
      <c r="AO4" s="40">
        <f t="shared" ref="AO4:AO17" si="15">IF(SUM(AC4:AD4,AF4:AH4,AJ4)-SUM(AE4,AI4)&gt;0,SUM(AC4:AD4,AF4:AH4,AJ4)-SUM(AE4,AI4),"")</f>
        <v>46.800000000000004</v>
      </c>
      <c r="AP4" s="40">
        <f t="shared" ref="AP4:AP17" si="16">IF(SUM(AM4,AO4)&gt;0,SUM(AM4,AO4),"")</f>
        <v>91.800000000000011</v>
      </c>
      <c r="AQ4" s="18">
        <v>17.5</v>
      </c>
      <c r="AR4" s="18">
        <v>4.3</v>
      </c>
      <c r="AS4" s="18">
        <v>0</v>
      </c>
      <c r="AT4" s="18">
        <v>0.7</v>
      </c>
      <c r="AU4" s="18">
        <v>16.8</v>
      </c>
      <c r="AV4" s="18">
        <v>6.1</v>
      </c>
      <c r="AW4" s="18">
        <v>0</v>
      </c>
      <c r="AX4" s="18">
        <v>0.7</v>
      </c>
      <c r="AY4" s="18">
        <v>17.7</v>
      </c>
      <c r="AZ4" s="18">
        <v>4.3</v>
      </c>
      <c r="BA4" s="18">
        <v>0</v>
      </c>
      <c r="BB4" s="18">
        <v>0.7</v>
      </c>
      <c r="BC4" s="18">
        <v>16.8</v>
      </c>
      <c r="BD4" s="18">
        <v>6.1</v>
      </c>
      <c r="BE4" s="18">
        <v>0</v>
      </c>
      <c r="BF4" s="18">
        <v>0.7</v>
      </c>
      <c r="BG4" s="28"/>
      <c r="BH4" s="11">
        <f t="shared" ref="BH4:BH17" si="17">IF(SUM(AR4,AV4)&gt;0,SUM(AR4,AV4),"")</f>
        <v>10.399999999999999</v>
      </c>
      <c r="BI4" s="11">
        <f t="shared" ref="BI4:BI17" si="18">IF(SUM(AQ4:AR4,AT4:AV4,AX4)-AS4-AW4&gt;0,SUM(AQ4:AR4,AT4:AV4,AX4)-AS4-AW4,"")</f>
        <v>46.1</v>
      </c>
      <c r="BJ4" s="11">
        <f t="shared" ref="BJ4:BJ17" si="19">IF(SUM(AZ4,BD4)&gt;0,SUM(AZ4,BD4),"")</f>
        <v>10.399999999999999</v>
      </c>
      <c r="BK4" s="11">
        <f t="shared" ref="BK4:BK17" si="20">IF(SUM(AY4:AZ4,BB4:BD4,BF4)-SUM(BA4,BE4)&gt;0,SUM(AY4:AZ4,BB4:BD4,BF4)-SUM(BA4,BE4),"")</f>
        <v>46.300000000000004</v>
      </c>
      <c r="BL4" s="11">
        <f t="shared" ref="BL4:BL17" si="21">IF(SUM(BI4,BK4)&gt;0,SUM(BI4,BK4),"")</f>
        <v>92.4</v>
      </c>
      <c r="BM4" s="19">
        <v>17.600000000000001</v>
      </c>
      <c r="BN4" s="19">
        <v>4.3</v>
      </c>
      <c r="BO4" s="19">
        <v>0</v>
      </c>
      <c r="BP4" s="19">
        <v>0.7</v>
      </c>
      <c r="BQ4" s="19">
        <v>16.149999999999999</v>
      </c>
      <c r="BR4" s="19">
        <v>6.1</v>
      </c>
      <c r="BS4" s="19">
        <v>0</v>
      </c>
      <c r="BT4" s="19">
        <v>0.7</v>
      </c>
      <c r="BU4" s="19">
        <v>17.899999999999999</v>
      </c>
      <c r="BV4" s="19">
        <v>4.3</v>
      </c>
      <c r="BW4" s="19">
        <v>0</v>
      </c>
      <c r="BX4" s="19">
        <v>0.7</v>
      </c>
      <c r="BY4" s="19">
        <v>16.850000000000001</v>
      </c>
      <c r="BZ4" s="19">
        <v>6.1</v>
      </c>
      <c r="CA4" s="19">
        <v>0</v>
      </c>
      <c r="CB4" s="19">
        <v>0.7</v>
      </c>
      <c r="CC4" s="27" t="s">
        <v>46</v>
      </c>
      <c r="CD4" s="40">
        <f t="shared" ref="CD4:CD17" si="22">IF(SUM(BN4,BR4)&gt;0,SUM(BN4,BR4),"")</f>
        <v>10.399999999999999</v>
      </c>
      <c r="CE4" s="40">
        <f t="shared" ref="CE4:CE17" si="23">IF(SUM(BM4:BN4,BP4:BR4,BT4)-BO4-BS4&gt;0,SUM(BM4:BN4,BP4:BR4,BT4)-BO4-BS4,"")</f>
        <v>45.550000000000004</v>
      </c>
      <c r="CF4" s="40">
        <f t="shared" ref="CF4:CF17" si="24">IF(SUM(BV4,BZ4)&gt;0,SUM(BV4,BZ4),"")</f>
        <v>10.399999999999999</v>
      </c>
      <c r="CG4" s="40">
        <f t="shared" ref="CG4:CG17" si="25">IF(SUM(BU4:BV4,BX4:BZ4,CB4)-SUM(BW4,CA4)&gt;0,SUM(BU4:BV4,BX4:BZ4,CB4)-SUM(BW4,CA4),"")</f>
        <v>46.550000000000004</v>
      </c>
      <c r="CH4" s="40">
        <f t="shared" ref="CH4:CH17" si="26">IF(SUM(CE4,CG4)&gt;0,SUM(CE4,CG4),"")</f>
        <v>92.100000000000009</v>
      </c>
      <c r="CI4" s="50" t="str">
        <f t="shared" ref="CI4:CI17" si="27">IF(MAX(DF4,EH4,FJ4,GL4,HN4,IP4,JR4,KT4,LV4,MX4,NZ4,PB4)-IF(N4="",0,N4)&gt;0.001,MAX(DF4,EH4,FJ4,GL4,HN4,IP4,JR4,KT4,LV4,MX4,NZ4,PB4)-IF(N4="",0,N4),"")</f>
        <v/>
      </c>
      <c r="CJ4" s="50" t="str">
        <f t="shared" ref="CJ4:CJ17" si="28">IF(MAX(DK4,EM4,FO4,GQ4,HS4,IU4,JW4,KY4,MA4,NC4,OE4,PG4)-IF(P4="",0,P4)&gt;0.001,MAX(DK4,EM4,FO4,GQ4,HS4,IU4,JW4,KY4,MA4,NC4,OE4,PG4)-IF(P4="",0,P4),"")</f>
        <v/>
      </c>
      <c r="CK4" s="17">
        <v>17.600000000000001</v>
      </c>
      <c r="CL4" s="17">
        <v>4.3</v>
      </c>
      <c r="CM4" s="17">
        <v>0.2</v>
      </c>
      <c r="CN4" s="17">
        <v>0</v>
      </c>
      <c r="CO4" s="17">
        <v>16.899999999999999</v>
      </c>
      <c r="CP4" s="17">
        <v>5.0999999999999996</v>
      </c>
      <c r="CQ4" s="17">
        <v>0</v>
      </c>
      <c r="CR4" s="17">
        <v>1</v>
      </c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>
        <f t="shared" ref="DE4:DE17" si="29">IF(SUM(CL4,CP4)&gt;0,SUM(CL4,CP4),"")</f>
        <v>9.3999999999999986</v>
      </c>
      <c r="DF4" s="40">
        <f t="shared" ref="DF4:DF17" si="30">IF(SUM(CK4:CL4,CN4:CP4,CR4)-CM4-CQ4&gt;0,SUM(CK4:CL4,CN4:CP4,CR4)-CM4-CQ4,"")</f>
        <v>44.699999999999996</v>
      </c>
      <c r="DG4" s="40" t="str">
        <f t="shared" ref="DG4:DG17" si="31">IF(SUM(CS4:CT4,CV4)-CU4&gt;0,SUM(CS4:CT4,CV4)-CU4,"")</f>
        <v/>
      </c>
      <c r="DH4" s="40">
        <f t="shared" ref="DH4:DH17" si="32">IF(SUM(CL4,CP4,CT4)&gt;0,SUM(CL4,CP4,CT4),"")</f>
        <v>9.3999999999999986</v>
      </c>
      <c r="DI4" s="40">
        <f t="shared" ref="DI4:DI17" si="33">IF(SUM(DF4,DG4)&gt;0,SUM(DF4,DG4),"")</f>
        <v>44.699999999999996</v>
      </c>
      <c r="DJ4" s="40" t="str">
        <f t="shared" ref="DJ4:DJ17" si="34">IF(SUM(CX4,DB4)&gt;0,SUM(CX4,DB4),"")</f>
        <v/>
      </c>
      <c r="DK4" s="40" t="str">
        <f t="shared" ref="DK4:DK17" si="35">IF(SUM(CW4:CX4,CZ4:DB4,DD4)-SUM(CY4,DC4)&gt;0,SUM(CW4:CX4,CZ4:DB4,DD4)-SUM(CY4,DC4),"")</f>
        <v/>
      </c>
      <c r="DL4" s="40">
        <f t="shared" ref="DL4:DL17" si="36">IF(SUM(DF4,DG4,DK4)&gt;0,SUM(DF4,DG4,DK4),"")</f>
        <v>44.699999999999996</v>
      </c>
      <c r="DM4" s="18">
        <v>17.2</v>
      </c>
      <c r="DN4" s="18">
        <v>4.3</v>
      </c>
      <c r="DO4" s="18">
        <v>0</v>
      </c>
      <c r="DP4" s="18">
        <v>0</v>
      </c>
      <c r="DQ4" s="18">
        <v>14.8</v>
      </c>
      <c r="DR4" s="18">
        <v>2.9</v>
      </c>
      <c r="DS4" s="18">
        <v>0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 t="shared" ref="EG4:EG17" si="37">IF(SUM(DN4,DR4)&gt;0,SUM(DN4,DR4),"")</f>
        <v>7.1999999999999993</v>
      </c>
      <c r="EH4" s="11">
        <f t="shared" ref="EH4:EH17" si="38">IF(SUM(DM4:DN4,DP4:DR4,DT4)-DO4-DS4&gt;0,SUM(DM4:DN4,DP4:DR4,DT4)-DO4-DS4,"")</f>
        <v>39.199999999999996</v>
      </c>
      <c r="EI4" s="11" t="str">
        <f t="shared" ref="EI4:EI17" si="39">IF(SUM(DU4:DV4,DX4)-DW4&gt;0,SUM(DU4:DV4,DX4)-DW4,"")</f>
        <v/>
      </c>
      <c r="EJ4" s="11">
        <f t="shared" ref="EJ4:EJ17" si="40">IF(SUM(DN4,DR4,DV4)&gt;0,SUM(DN4,DR4,DV4),"")</f>
        <v>7.1999999999999993</v>
      </c>
      <c r="EK4" s="11">
        <f t="shared" ref="EK4:EK17" si="41">IF(SUM(EH4,EI4)&gt;0,SUM(EH4,EI4),"")</f>
        <v>39.199999999999996</v>
      </c>
      <c r="EL4" s="11" t="str">
        <f t="shared" ref="EL4:EL17" si="42">IF(SUM(DZ4,ED4)&gt;0,SUM(DZ4,ED4),"")</f>
        <v/>
      </c>
      <c r="EM4" s="11" t="str">
        <f t="shared" ref="EM4:EM17" si="43">IF(SUM(DY4:DZ4,EB4:ED4,EF4)-SUM(EA4,EE4)&gt;0,SUM(DY4:DZ4,EB4:ED4,EF4)-SUM(EA4,EE4),"")</f>
        <v/>
      </c>
      <c r="EN4" s="11">
        <f t="shared" ref="EN4:EN17" si="44">IF(SUM(EH4,EI4,EM4)&gt;0,SUM(EH4,EI4,EM4),"")</f>
        <v>39.199999999999996</v>
      </c>
      <c r="EO4" s="17">
        <v>17.5</v>
      </c>
      <c r="EP4" s="17">
        <v>4.3</v>
      </c>
      <c r="EQ4" s="17">
        <v>0</v>
      </c>
      <c r="ER4" s="17">
        <v>0</v>
      </c>
      <c r="ES4" s="17">
        <v>16.899999999999999</v>
      </c>
      <c r="ET4" s="17">
        <v>6.1</v>
      </c>
      <c r="EU4" s="17">
        <v>0</v>
      </c>
      <c r="EV4" s="17">
        <v>0</v>
      </c>
      <c r="EW4" s="17">
        <v>16.899999999999999</v>
      </c>
      <c r="EX4" s="17">
        <v>6.1</v>
      </c>
      <c r="EY4" s="17">
        <v>0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 t="shared" ref="FI4:FI17" si="45">IF(SUM(EP4,ET4)&gt;0,SUM(EP4,ET4),"")</f>
        <v>10.399999999999999</v>
      </c>
      <c r="FJ4" s="40">
        <f t="shared" ref="FJ4:FJ17" si="46">IF(SUM(EO4:EP4,ER4:ET4,EV4)-EQ4-EU4&gt;0,SUM(EO4:EP4,ER4:ET4,EV4)-EQ4-EU4,"")</f>
        <v>44.800000000000004</v>
      </c>
      <c r="FK4" s="40">
        <f t="shared" ref="FK4:FK17" si="47">IF(SUM(EW4:EX4,EZ4)-EY4&gt;0,SUM(EW4:EX4,EZ4)-EY4,"")</f>
        <v>23</v>
      </c>
      <c r="FL4" s="40">
        <f t="shared" ref="FL4:FL17" si="48">IF(SUM(EP4,ET4,EX4)&gt;0,SUM(EP4,ET4,EX4),"")</f>
        <v>16.5</v>
      </c>
      <c r="FM4" s="40">
        <f t="shared" ref="FM4:FM17" si="49">IF(SUM(FJ4,FK4)&gt;0,SUM(FJ4,FK4),"")</f>
        <v>67.800000000000011</v>
      </c>
      <c r="FN4" s="40" t="str">
        <f t="shared" ref="FN4:FN17" si="50">IF(SUM(FB4,FF4)&gt;0,SUM(FB4,FF4),"")</f>
        <v/>
      </c>
      <c r="FO4" s="40" t="str">
        <f t="shared" ref="FO4:FO17" si="51">IF(SUM(FA4:FB4,FD4:FF4,FH4)-SUM(FC4,FG4)&gt;0,SUM(FA4:FB4,FD4:FF4,FH4)-SUM(FC4,FG4),"")</f>
        <v/>
      </c>
      <c r="FP4" s="40">
        <f t="shared" ref="FP4:FP17" si="52">IF(SUM(FJ4,FK4,FO4)&gt;0,SUM(FJ4,FK4,FO4),"")</f>
        <v>67.800000000000011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 t="shared" ref="GK4:GK17" si="53">IF(SUM(FR4,FV4)&gt;0,SUM(FR4,FV4),"")</f>
        <v/>
      </c>
      <c r="GL4" s="11" t="str">
        <f t="shared" ref="GL4:GL17" si="54">IF(SUM(FQ4:FR4,FT4:FV4,FX4)-FS4-FW4&gt;0,SUM(FQ4:FR4,FT4:FV4,FX4)-FS4-FW4,"")</f>
        <v/>
      </c>
      <c r="GM4" s="11" t="str">
        <f t="shared" ref="GM4:GM17" si="55">IF(SUM(FY4:FZ4,GB4)-GA4&gt;0,SUM(FY4:FZ4,GB4)-GA4,"")</f>
        <v/>
      </c>
      <c r="GN4" s="11" t="str">
        <f t="shared" ref="GN4:GN17" si="56">IF(SUM(FR4,FV4,FZ4)&gt;0,SUM(FR4,FV4,FZ4),"")</f>
        <v/>
      </c>
      <c r="GO4" s="11" t="str">
        <f t="shared" ref="GO4:GO17" si="57">IF(SUM(GL4,GM4)&gt;0,SUM(GL4,GM4),"")</f>
        <v/>
      </c>
      <c r="GP4" s="11" t="str">
        <f t="shared" ref="GP4:GP17" si="58">IF(SUM(GD4,GH4)&gt;0,SUM(GD4,GH4),"")</f>
        <v/>
      </c>
      <c r="GQ4" s="11" t="str">
        <f t="shared" ref="GQ4:GQ17" si="59">IF(SUM(GC4:GD4,GF4:GH4,GJ4)-SUM(GE4,GI4)&gt;0,SUM(GC4:GD4,GF4:GH4,GJ4)-SUM(GE4,GI4),"")</f>
        <v/>
      </c>
      <c r="GR4" s="11" t="str">
        <f t="shared" ref="GR4:GR17" si="60"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 t="shared" ref="HM4:HM17" si="61">IF(SUM(GT4,GX4)&gt;0,SUM(GT4,GX4),"")</f>
        <v/>
      </c>
      <c r="HN4" s="40" t="str">
        <f t="shared" ref="HN4:HN17" si="62">IF(SUM(GS4:GT4,GV4:GX4,GZ4)-GU4-GY4&gt;0,SUM(GS4:GT4,GV4:GX4,GZ4)-GU4-GY4,"")</f>
        <v/>
      </c>
      <c r="HO4" s="40" t="str">
        <f t="shared" ref="HO4:HO17" si="63">IF(SUM(HA4:HB4,HD4)-HC4&gt;0,SUM(HA4:HB4,HD4)-HC4,"")</f>
        <v/>
      </c>
      <c r="HP4" s="40" t="str">
        <f t="shared" ref="HP4:HP17" si="64">IF(SUM(GT4,GX4,HB4)&gt;0,SUM(GT4,GX4,HB4),"")</f>
        <v/>
      </c>
      <c r="HQ4" s="40" t="str">
        <f t="shared" ref="HQ4:HQ17" si="65">IF(SUM(HN4,HO4)&gt;0,SUM(HN4,HO4),"")</f>
        <v/>
      </c>
      <c r="HR4" s="40" t="str">
        <f t="shared" ref="HR4:HR17" si="66">IF(SUM(HF4,HJ4)&gt;0,SUM(HF4,HJ4),"")</f>
        <v/>
      </c>
      <c r="HS4" s="40" t="str">
        <f t="shared" ref="HS4:HS17" si="67">IF(SUM(HE4:HF4,HH4:HJ4,HL4)-SUM(HG4,HK4)&gt;0,SUM(HE4:HF4,HH4:HJ4,HL4)-SUM(HG4,HK4),"")</f>
        <v/>
      </c>
      <c r="HT4" s="40" t="str">
        <f t="shared" ref="HT4:HT17" si="68"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 t="shared" ref="IO4:IO17" si="69">IF(SUM(HV4,HZ4)&gt;0,SUM(HV4,HZ4),"")</f>
        <v/>
      </c>
      <c r="IP4" s="11" t="str">
        <f t="shared" ref="IP4:IP17" si="70">IF(SUM(HU4:HV4,HX4:HZ4,IB4)-HW4-IA4&gt;0,SUM(HU4:HV4,HX4:HZ4,IB4)-HW4-IA4,"")</f>
        <v/>
      </c>
      <c r="IQ4" s="11" t="str">
        <f t="shared" ref="IQ4:IQ17" si="71">IF(SUM(IC4:ID4,IF4)-IE4&gt;0,SUM(IC4:ID4,IF4)-IE4,"")</f>
        <v/>
      </c>
      <c r="IR4" s="11" t="str">
        <f t="shared" ref="IR4:IR17" si="72">IF(SUM(HV4,HZ4,ID4)&gt;0,SUM(HV4,HZ4,ID4),"")</f>
        <v/>
      </c>
      <c r="IS4" s="11" t="str">
        <f t="shared" ref="IS4:IS17" si="73">IF(SUM(IP4,IQ4)&gt;0,SUM(IP4,IQ4),"")</f>
        <v/>
      </c>
      <c r="IT4" s="11" t="str">
        <f t="shared" ref="IT4:IT17" si="74">IF(SUM(IH4,IL4)&gt;0,SUM(IH4,IL4),"")</f>
        <v/>
      </c>
      <c r="IU4" s="11" t="str">
        <f t="shared" ref="IU4:IU17" si="75">IF(SUM(IG4:IH4,IJ4:IL4,IN4)-SUM(II4,IM4)&gt;0,SUM(IG4:IH4,IJ4:IL4,IN4)-SUM(II4,IM4),"")</f>
        <v/>
      </c>
      <c r="IV4" s="11" t="str">
        <f t="shared" ref="IV4:IV17" si="76"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 t="shared" ref="JQ4:JQ17" si="77">IF(SUM(IX4,JB4)&gt;0,SUM(IX4,JB4),"")</f>
        <v/>
      </c>
      <c r="JR4" s="40" t="str">
        <f t="shared" ref="JR4:JR17" si="78">IF(SUM(IW4:IX4,IZ4:JB4,JD4)-IY4-JC4&gt;0,SUM(IW4:IX4,IZ4:JB4,JD4)-IY4-JC4,"")</f>
        <v/>
      </c>
      <c r="JS4" s="40" t="str">
        <f t="shared" ref="JS4:JS17" si="79">IF(SUM(JE4:JF4,JH4)-JG4&gt;0,SUM(JE4:JF4,JH4)-JG4,"")</f>
        <v/>
      </c>
      <c r="JT4" s="40" t="str">
        <f t="shared" ref="JT4:JT17" si="80">IF(SUM(IX4,JB4,JF4)&gt;0,SUM(IX4,JB4,JF4),"")</f>
        <v/>
      </c>
      <c r="JU4" s="40" t="str">
        <f t="shared" ref="JU4:JU17" si="81">IF(SUM(JR4,JS4)&gt;0,SUM(JR4,JS4),"")</f>
        <v/>
      </c>
      <c r="JV4" s="40" t="str">
        <f t="shared" ref="JV4:JV17" si="82">IF(SUM(JJ4,JN4)&gt;0,SUM(JJ4,JN4),"")</f>
        <v/>
      </c>
      <c r="JW4" s="40" t="str">
        <f t="shared" ref="JW4:JW17" si="83">IF(SUM(JI4:JJ4,JL4:JN4,JP4)-SUM(JK4,JO4)&gt;0,SUM(JI4:JJ4,JL4:JN4,JP4)-SUM(JK4,JO4),"")</f>
        <v/>
      </c>
      <c r="JX4" s="40" t="str">
        <f t="shared" ref="JX4:JX17" si="84"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 t="shared" ref="KS4:KS17" si="85">IF(SUM(JZ4,KD4)&gt;0,SUM(JZ4,KD4),"")</f>
        <v/>
      </c>
      <c r="KT4" s="11" t="str">
        <f t="shared" ref="KT4:KT17" si="86">IF(SUM(JY4:JZ4,KB4:KD4,KF4)-KA4-KE4&gt;0,SUM(JY4:JZ4,KB4:KD4,KF4)-KA4-KE4,"")</f>
        <v/>
      </c>
      <c r="KU4" s="11" t="str">
        <f t="shared" ref="KU4:KU17" si="87">IF(SUM(KG4:KH4,KJ4)-KI4&gt;0,SUM(KG4:KH4,KJ4)-KI4,"")</f>
        <v/>
      </c>
      <c r="KV4" s="11" t="str">
        <f t="shared" ref="KV4:KV17" si="88">IF(SUM(JZ4,KD4,KH4)&gt;0,SUM(JZ4,KD4,KH4),"")</f>
        <v/>
      </c>
      <c r="KW4" s="11" t="str">
        <f t="shared" ref="KW4:KW17" si="89">IF(SUM(KT4,KU4)&gt;0,SUM(KT4,KU4),"")</f>
        <v/>
      </c>
      <c r="KX4" s="11" t="str">
        <f t="shared" ref="KX4:KX17" si="90">IF(SUM(KL4,KP4)&gt;0,SUM(KL4,KP4),"")</f>
        <v/>
      </c>
      <c r="KY4" s="11" t="str">
        <f t="shared" ref="KY4:KY17" si="91">IF(SUM(KK4:KL4,KN4:KP4,KR4)-SUM(KM4,KQ4)&gt;0,SUM(KK4:KL4,KN4:KP4,KR4)-SUM(KM4,KQ4),"")</f>
        <v/>
      </c>
      <c r="KZ4" s="11" t="str">
        <f t="shared" ref="KZ4:KZ17" si="92"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 t="shared" ref="LU4:LU17" si="93">IF(SUM(LB4,LF4)&gt;0,SUM(LB4,LF4),"")</f>
        <v/>
      </c>
      <c r="LV4" s="40" t="str">
        <f t="shared" ref="LV4:LV17" si="94">IF(SUM(LA4:LB4,LD4:LF4,LH4)-LC4-LG4&gt;0,SUM(LA4:LB4,LD4:LF4,LH4)-LC4-LG4,"")</f>
        <v/>
      </c>
      <c r="LW4" s="40" t="str">
        <f t="shared" ref="LW4:LW17" si="95">IF(SUM(LI4:LJ4,LL4)-LK4&gt;0,SUM(LI4:LJ4,LL4)-LK4,"")</f>
        <v/>
      </c>
      <c r="LX4" s="40" t="str">
        <f t="shared" ref="LX4:LX17" si="96">IF(SUM(LB4,LF4,LJ4)&gt;0,SUM(LB4,LF4,LJ4),"")</f>
        <v/>
      </c>
      <c r="LY4" s="40" t="str">
        <f t="shared" ref="LY4:LY17" si="97">IF(SUM(LV4,LW4)&gt;0,SUM(LV4,LW4),"")</f>
        <v/>
      </c>
      <c r="LZ4" s="40" t="str">
        <f t="shared" ref="LZ4:LZ17" si="98">IF(SUM(LN4,LR4)&gt;0,SUM(LN4,LR4),"")</f>
        <v/>
      </c>
      <c r="MA4" s="40" t="str">
        <f t="shared" ref="MA4:MA17" si="99">IF(SUM(LM4:LN4,LP4:LR4,LT4)-SUM(LO4,LS4)&gt;0,SUM(LM4:LN4,LP4:LR4,LT4)-SUM(LO4,LS4),"")</f>
        <v/>
      </c>
      <c r="MB4" s="40" t="str">
        <f t="shared" ref="MB4:MB17" si="100"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 t="shared" ref="MW4:MW17" si="101">IF(SUM(MD4,MH4)&gt;0,SUM(MD4,MH4),"")</f>
        <v/>
      </c>
      <c r="MX4" s="11" t="str">
        <f t="shared" ref="MX4:MX17" si="102">IF(SUM(MC4:MD4,MF4:MH4,MJ4)-ME4-MI4&gt;0,SUM(MC4:MD4,MF4:MH4,MJ4)-ME4-MI4,"")</f>
        <v/>
      </c>
      <c r="MY4" s="11" t="str">
        <f t="shared" ref="MY4:MY17" si="103">IF(SUM(MK4:ML4,MN4)-MM4&gt;0,SUM(MK4:ML4,MN4)-MM4,"")</f>
        <v/>
      </c>
      <c r="MZ4" s="11" t="str">
        <f t="shared" ref="MZ4:MZ17" si="104">IF(SUM(MD4,MH4,ML4)&gt;0,SUM(MD4,MH4,ML4),"")</f>
        <v/>
      </c>
      <c r="NA4" s="11" t="str">
        <f t="shared" ref="NA4:NA17" si="105">IF(SUM(MX4,MY4)&gt;0,SUM(MX4,MY4),"")</f>
        <v/>
      </c>
      <c r="NB4" s="11" t="str">
        <f t="shared" ref="NB4:NB17" si="106">IF(SUM(MP4,MT4)&gt;0,SUM(MP4,MT4),"")</f>
        <v/>
      </c>
      <c r="NC4" s="11" t="str">
        <f t="shared" ref="NC4:NC17" si="107">IF(SUM(MO4:MP4,MR4:MT4,MV4)-SUM(MQ4,MU4)&gt;0,SUM(MO4:MP4,MR4:MT4,MV4)-SUM(MQ4,MU4),"")</f>
        <v/>
      </c>
      <c r="ND4" s="11" t="str">
        <f t="shared" ref="ND4:ND17" si="108"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 t="shared" ref="NY4:NY17" si="109">IF(SUM(NF4,NJ4)&gt;0,SUM(NF4,NJ4),"")</f>
        <v/>
      </c>
      <c r="NZ4" s="40" t="str">
        <f t="shared" ref="NZ4:NZ17" si="110">IF(SUM(NE4:NF4,NH4:NJ4,NL4)-NG4-NK4&gt;0,SUM(NE4:NF4,NH4:NJ4,NL4)-NG4-NK4,"")</f>
        <v/>
      </c>
      <c r="OA4" s="40" t="str">
        <f t="shared" ref="OA4:OA17" si="111">IF(SUM(NM4:NN4,NP4)-NO4&gt;0,SUM(NM4:NN4,NP4)-NO4,"")</f>
        <v/>
      </c>
      <c r="OB4" s="40" t="str">
        <f t="shared" ref="OB4:OB17" si="112">IF(SUM(NF4,NJ4,NN4)&gt;0,SUM(NF4,NJ4,NN4),"")</f>
        <v/>
      </c>
      <c r="OC4" s="40" t="str">
        <f t="shared" ref="OC4:OC17" si="113">IF(SUM(NZ4,OA4)&gt;0,SUM(NZ4,OA4),"")</f>
        <v/>
      </c>
      <c r="OD4" s="40" t="str">
        <f t="shared" ref="OD4:OD17" si="114">IF(SUM(NR4,NV4)&gt;0,SUM(NR4,NV4),"")</f>
        <v/>
      </c>
      <c r="OE4" s="40" t="str">
        <f t="shared" ref="OE4:OE17" si="115">IF(SUM(NQ4:NR4,NT4:NV4,NX4)-SUM(NS4,NW4)&gt;0,SUM(NQ4:NR4,NT4:NV4,NX4)-SUM(NS4,NW4),"")</f>
        <v/>
      </c>
      <c r="OF4" s="40" t="str">
        <f t="shared" ref="OF4:OF17" si="116"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 t="shared" ref="PA4:PA17" si="117">IF(SUM(OH4,OL4)&gt;0,SUM(OH4,OL4),"")</f>
        <v/>
      </c>
      <c r="PB4" s="11" t="str">
        <f t="shared" ref="PB4:PB17" si="118">IF(SUM(OG4:OH4,OJ4:OL4,ON4)-OI4-OM4&gt;0,SUM(OG4:OH4,OJ4:OL4,ON4)-OI4-OM4,"")</f>
        <v/>
      </c>
      <c r="PC4" s="11" t="str">
        <f t="shared" ref="PC4:PC17" si="119">IF(SUM(OO4:OP4,OR4)-OQ4&gt;0,SUM(OO4:OP4,OR4)-OQ4,"")</f>
        <v/>
      </c>
      <c r="PD4" s="11" t="str">
        <f t="shared" ref="PD4:PD17" si="120">IF(SUM(OH4,OL4,OP4)&gt;0,SUM(OH4,OL4,OP4),"")</f>
        <v/>
      </c>
      <c r="PE4" s="11" t="str">
        <f t="shared" ref="PE4:PE17" si="121">IF(SUM(PB4,PC4)&gt;0,SUM(PB4,PC4),"")</f>
        <v/>
      </c>
      <c r="PF4" s="11" t="str">
        <f t="shared" ref="PF4:PF17" si="122">IF(SUM(OT4,OX4)&gt;0,SUM(OT4,OX4),"")</f>
        <v/>
      </c>
      <c r="PG4" s="11" t="str">
        <f t="shared" ref="PG4:PG17" si="123">IF(SUM(OS4:OT4,OV4:OX4,OZ4)-SUM(OU4,OY4)&gt;0,SUM(OS4:OT4,OV4:OX4,OZ4)-SUM(OU4,OY4),"")</f>
        <v/>
      </c>
      <c r="PH4" s="11" t="str">
        <f t="shared" ref="PH4:PH17" si="124">IF(SUM(PB4,PC4,PG4)&gt;0,SUM(PB4,PC4,PG4),"")</f>
        <v/>
      </c>
      <c r="PI4" s="22">
        <f t="shared" ref="PI4:PI17" si="125">IF($CC4="P",BM4,(BM4+AQ4)/2)</f>
        <v>17.600000000000001</v>
      </c>
      <c r="PJ4" s="22">
        <f t="shared" ref="PJ4:PJ17" si="126">IF($CC4="P",BN4,(BN4+AR4)/2)</f>
        <v>4.3</v>
      </c>
      <c r="PK4" s="22">
        <f t="shared" ref="PK4:PK17" si="127">IF($CC4="P",BO4,(BO4+AS4)/2)</f>
        <v>0</v>
      </c>
      <c r="PL4" s="22">
        <f t="shared" ref="PL4:PL17" si="128">IF($CC4="P",BP4,(BP4+AT4)/2)</f>
        <v>0.7</v>
      </c>
      <c r="PM4" s="22">
        <f t="shared" ref="PM4:PM17" si="129">IF($CC4="P",BQ4,(BQ4+AU4)/2)</f>
        <v>16.149999999999999</v>
      </c>
      <c r="PN4" s="22">
        <f t="shared" ref="PN4:PN17" si="130">IF($CC4="P",BR4,(BR4+AV4)/2)</f>
        <v>6.1</v>
      </c>
      <c r="PO4" s="22">
        <f t="shared" ref="PO4:PO17" si="131">IF($CC4="P",BS4,(BS4+AW4)/2)</f>
        <v>0</v>
      </c>
      <c r="PP4" s="22">
        <f t="shared" ref="PP4:PP17" si="132">IF($CC4="P",BT4,(BT4+AX4)/2)</f>
        <v>0.7</v>
      </c>
      <c r="PQ4" s="22">
        <f t="shared" ref="PQ4:PQ17" si="133">IF($CC4="P",BU4,(BU4+AY4)/2)</f>
        <v>17.899999999999999</v>
      </c>
      <c r="PR4" s="22">
        <f t="shared" ref="PR4:PR17" si="134">IF($CC4="P",BV4,(BV4+AZ4)/2)</f>
        <v>4.3</v>
      </c>
      <c r="PS4" s="22">
        <f t="shared" ref="PS4:PS17" si="135">IF($CC4="P",BW4,(BW4+BA4)/2)</f>
        <v>0</v>
      </c>
      <c r="PT4" s="22">
        <f t="shared" ref="PT4:PT17" si="136">IF($CC4="P",BX4,(BX4+BB4)/2)</f>
        <v>0.7</v>
      </c>
      <c r="PU4" s="22">
        <f t="shared" ref="PU4:PU17" si="137">IF($CC4="P",BY4,(BY4+BC4)/2)</f>
        <v>16.850000000000001</v>
      </c>
      <c r="PV4" s="22">
        <f t="shared" ref="PV4:PV17" si="138">IF($CC4="P",BZ4,(BZ4+BD4)/2)</f>
        <v>6.1</v>
      </c>
      <c r="PW4" s="22">
        <f t="shared" ref="PW4:PW17" si="139">IF($CC4="P",CA4,(CA4+BE4)/2)</f>
        <v>0</v>
      </c>
      <c r="PX4" s="22">
        <f t="shared" ref="PX4:PX17" si="140">IF($CC4="P",CB4,(CB4+BF4)/2)</f>
        <v>0.7</v>
      </c>
      <c r="PY4" s="27" t="s">
        <v>46</v>
      </c>
      <c r="PZ4" s="40">
        <f t="shared" ref="PZ4:PZ17" si="141">IF(SUM(PJ4,PN4)&gt;0,SUM(PJ4,PN4),"")</f>
        <v>10.399999999999999</v>
      </c>
      <c r="QA4" s="40">
        <f t="shared" ref="QA4:QA17" si="142">IF(SUM(PI4:PJ4,PL4:PN4,PP4)-PK4-PO4&gt;0,SUM(PI4:PJ4,PL4:PN4,PP4)-PK4-PO4,"")</f>
        <v>45.550000000000004</v>
      </c>
      <c r="QB4" s="40">
        <f t="shared" ref="QB4:QB17" si="143">IF(SUM(PR4,PV4)&gt;0,SUM(PR4,PV4),"")</f>
        <v>10.399999999999999</v>
      </c>
      <c r="QC4" s="40">
        <f t="shared" ref="QC4:QC17" si="144">IF(SUM(PQ4:PR4,PT4:PV4,PX4)-SUM(PS4,PW4)&gt;0,SUM(PQ4:PR4,PT4:PV4,PX4)-SUM(PS4,PW4),"")</f>
        <v>46.550000000000004</v>
      </c>
      <c r="QD4" s="40">
        <f t="shared" ref="QD4:QD17" si="145">IF(SUM(QA4,QC4)&gt;0,SUM(QA4,QC4),"")</f>
        <v>92.100000000000009</v>
      </c>
    </row>
    <row r="5" spans="1:446" x14ac:dyDescent="0.2">
      <c r="A5" s="4" cm="1">
        <f t="array" ref="A5">IF(AND(J5&lt;&gt;"",J5&lt;&gt;"No DD"),SUMPRODUCT((J$4:J$18&lt;&gt;"")*(J$4:J$18&lt;&gt;"No DD")*(F$4:F$18&gt;F5))+1,IF(J5="No DD",SUMPRODUCT((J$4:J$18="No DD")*(F$4:F$18&gt;F5))+1+SUMPRODUCT((J$4:J$18&lt;&gt;"")*(J$4:J$18&lt;&gt;"No DD")),""))</f>
        <v>2</v>
      </c>
      <c r="B5" s="4" t="str" cm="1">
        <f t="array" ref="B5">IF(AND(J5&lt;&gt;"",J5&lt;&gt;"No DD",G5=""),SUMPRODUCT((J$4:J$18&lt;&gt;"")*(J$4:J$18&lt;&gt;"No DD")*(G$4:G$18="")*(F$4:F$18&gt;F5))+1,IF(J5="No DD",SUMPRODUCT((J$4:J$18="No DD")*(F$4:F$18&gt;F5)*(G$4:G$18=""))+1+SUMPRODUCT((J$4:J$18&lt;&gt;"")*(G$4:G$18="")*(J$4:J$18&lt;&gt;"No DD")),""))</f>
        <v/>
      </c>
      <c r="C5" s="5" t="s">
        <v>152</v>
      </c>
      <c r="D5" s="4" t="s">
        <v>4</v>
      </c>
      <c r="E5" s="4">
        <v>2008</v>
      </c>
      <c r="F5" s="9">
        <f t="shared" si="0"/>
        <v>125.0000079500041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IF(COUNT(AM5,BI5,CE5)&gt;0,LARGE((AM5,BI5,CE5),1),0)</f>
        <v>41</v>
      </c>
      <c r="M5" s="8" t="str">
        <f t="shared" si="5"/>
        <v>2025 Nationals</v>
      </c>
      <c r="N5" s="8">
        <f>IF(COUNT(AM5,BI5,CE5)&gt;1,LARGE((AM5,BI5,CE5),2),0)</f>
        <v>38.5</v>
      </c>
      <c r="O5" s="8" t="str">
        <f t="shared" si="6"/>
        <v>2025 Elite Canada</v>
      </c>
      <c r="P5" s="8">
        <f t="shared" si="7"/>
        <v>45.5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16.5</v>
      </c>
      <c r="V5" s="19">
        <v>3.5</v>
      </c>
      <c r="W5" s="19">
        <v>0.1</v>
      </c>
      <c r="X5" s="19">
        <v>0</v>
      </c>
      <c r="Y5" s="19">
        <v>14.3</v>
      </c>
      <c r="Z5" s="19">
        <v>4</v>
      </c>
      <c r="AA5" s="19">
        <v>0.4</v>
      </c>
      <c r="AB5" s="19">
        <v>0.7</v>
      </c>
      <c r="AC5" s="19">
        <v>16.399999999999999</v>
      </c>
      <c r="AD5" s="19">
        <v>6.3</v>
      </c>
      <c r="AE5" s="19">
        <v>0</v>
      </c>
      <c r="AF5" s="19">
        <v>0.7</v>
      </c>
      <c r="AG5" s="19">
        <v>17.600000000000001</v>
      </c>
      <c r="AH5" s="19">
        <v>3.8</v>
      </c>
      <c r="AI5" s="19">
        <v>0</v>
      </c>
      <c r="AJ5" s="19">
        <v>0.7</v>
      </c>
      <c r="AK5" s="27"/>
      <c r="AL5" s="40">
        <f t="shared" si="12"/>
        <v>7.5</v>
      </c>
      <c r="AM5" s="40">
        <f t="shared" si="13"/>
        <v>38.5</v>
      </c>
      <c r="AN5" s="40">
        <f t="shared" si="14"/>
        <v>10.1</v>
      </c>
      <c r="AO5" s="40">
        <f t="shared" si="15"/>
        <v>45.5</v>
      </c>
      <c r="AP5" s="40">
        <f t="shared" si="16"/>
        <v>84</v>
      </c>
      <c r="AQ5" s="18">
        <v>15.5</v>
      </c>
      <c r="AR5" s="18">
        <v>3.4</v>
      </c>
      <c r="AS5" s="18">
        <v>0.2</v>
      </c>
      <c r="AT5" s="18">
        <v>0.7</v>
      </c>
      <c r="AU5" s="18">
        <v>17.100000000000001</v>
      </c>
      <c r="AV5" s="18">
        <v>3.8</v>
      </c>
      <c r="AW5" s="18">
        <v>0</v>
      </c>
      <c r="AX5" s="18">
        <v>0.7</v>
      </c>
      <c r="AY5" s="18">
        <v>14.8</v>
      </c>
      <c r="AZ5" s="18">
        <v>6.1</v>
      </c>
      <c r="BA5" s="18">
        <v>0</v>
      </c>
      <c r="BB5" s="18">
        <v>0.7</v>
      </c>
      <c r="BC5" s="18">
        <v>16.100000000000001</v>
      </c>
      <c r="BD5" s="18">
        <v>1.2</v>
      </c>
      <c r="BE5" s="18">
        <v>0</v>
      </c>
      <c r="BF5" s="18">
        <v>0</v>
      </c>
      <c r="BG5" s="28"/>
      <c r="BH5" s="11">
        <f t="shared" si="17"/>
        <v>7.1999999999999993</v>
      </c>
      <c r="BI5" s="11">
        <f t="shared" si="18"/>
        <v>41</v>
      </c>
      <c r="BJ5" s="11">
        <f t="shared" si="19"/>
        <v>7.3</v>
      </c>
      <c r="BK5" s="11">
        <f t="shared" si="20"/>
        <v>38.900000000000006</v>
      </c>
      <c r="BL5" s="11">
        <f t="shared" si="21"/>
        <v>79.900000000000006</v>
      </c>
      <c r="BM5" s="19">
        <v>16.600000000000001</v>
      </c>
      <c r="BN5" s="19">
        <v>3.4</v>
      </c>
      <c r="BO5" s="19">
        <v>0.2</v>
      </c>
      <c r="BP5" s="19">
        <v>0</v>
      </c>
      <c r="BQ5" s="19">
        <v>14.5</v>
      </c>
      <c r="BR5" s="19">
        <v>2.9</v>
      </c>
      <c r="BS5" s="19">
        <v>0</v>
      </c>
      <c r="BT5" s="19">
        <v>0.7</v>
      </c>
      <c r="BU5" s="19">
        <v>17.2</v>
      </c>
      <c r="BV5" s="19">
        <v>3.6</v>
      </c>
      <c r="BW5" s="19">
        <v>0.2</v>
      </c>
      <c r="BX5" s="19">
        <v>0.7</v>
      </c>
      <c r="BY5" s="19">
        <v>16.5</v>
      </c>
      <c r="BZ5" s="19">
        <v>3.8</v>
      </c>
      <c r="CA5" s="19">
        <v>0.4</v>
      </c>
      <c r="CB5" s="19">
        <v>0.7</v>
      </c>
      <c r="CC5" s="27"/>
      <c r="CD5" s="40">
        <f t="shared" si="22"/>
        <v>6.3</v>
      </c>
      <c r="CE5" s="40">
        <f t="shared" si="23"/>
        <v>37.9</v>
      </c>
      <c r="CF5" s="40">
        <f t="shared" si="24"/>
        <v>7.4</v>
      </c>
      <c r="CG5" s="40">
        <f t="shared" si="25"/>
        <v>41.9</v>
      </c>
      <c r="CH5" s="40">
        <f t="shared" si="26"/>
        <v>79.8</v>
      </c>
      <c r="CI5" s="50" t="str">
        <f t="shared" si="27"/>
        <v/>
      </c>
      <c r="CJ5" s="50" t="str">
        <f t="shared" si="28"/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 t="shared" si="29"/>
        <v/>
      </c>
      <c r="DF5" s="40" t="str">
        <f t="shared" si="30"/>
        <v/>
      </c>
      <c r="DG5" s="40" t="str">
        <f t="shared" si="31"/>
        <v/>
      </c>
      <c r="DH5" s="40" t="str">
        <f t="shared" si="32"/>
        <v/>
      </c>
      <c r="DI5" s="40" t="str">
        <f t="shared" si="33"/>
        <v/>
      </c>
      <c r="DJ5" s="40" t="str">
        <f t="shared" si="34"/>
        <v/>
      </c>
      <c r="DK5" s="40" t="str">
        <f t="shared" si="35"/>
        <v/>
      </c>
      <c r="DL5" s="40" t="str">
        <f t="shared" si="36"/>
        <v/>
      </c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 t="str">
        <f t="shared" si="37"/>
        <v/>
      </c>
      <c r="EH5" s="11" t="str">
        <f t="shared" si="38"/>
        <v/>
      </c>
      <c r="EI5" s="11" t="str">
        <f t="shared" si="39"/>
        <v/>
      </c>
      <c r="EJ5" s="11" t="str">
        <f t="shared" si="40"/>
        <v/>
      </c>
      <c r="EK5" s="11" t="str">
        <f t="shared" si="41"/>
        <v/>
      </c>
      <c r="EL5" s="11" t="str">
        <f t="shared" si="42"/>
        <v/>
      </c>
      <c r="EM5" s="11" t="str">
        <f t="shared" si="43"/>
        <v/>
      </c>
      <c r="EN5" s="11" t="str">
        <f t="shared" si="44"/>
        <v/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 t="shared" si="45"/>
        <v/>
      </c>
      <c r="FJ5" s="40" t="str">
        <f t="shared" si="46"/>
        <v/>
      </c>
      <c r="FK5" s="40" t="str">
        <f t="shared" si="47"/>
        <v/>
      </c>
      <c r="FL5" s="40" t="str">
        <f t="shared" si="48"/>
        <v/>
      </c>
      <c r="FM5" s="40" t="str">
        <f t="shared" si="49"/>
        <v/>
      </c>
      <c r="FN5" s="40" t="str">
        <f t="shared" si="50"/>
        <v/>
      </c>
      <c r="FO5" s="40" t="str">
        <f t="shared" si="51"/>
        <v/>
      </c>
      <c r="FP5" s="40" t="str">
        <f t="shared" si="52"/>
        <v/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 t="shared" si="53"/>
        <v/>
      </c>
      <c r="GL5" s="11" t="str">
        <f t="shared" si="54"/>
        <v/>
      </c>
      <c r="GM5" s="11" t="str">
        <f t="shared" si="55"/>
        <v/>
      </c>
      <c r="GN5" s="11" t="str">
        <f t="shared" si="56"/>
        <v/>
      </c>
      <c r="GO5" s="11" t="str">
        <f t="shared" si="57"/>
        <v/>
      </c>
      <c r="GP5" s="11" t="str">
        <f t="shared" si="58"/>
        <v/>
      </c>
      <c r="GQ5" s="11" t="str">
        <f t="shared" si="59"/>
        <v/>
      </c>
      <c r="GR5" s="11" t="str">
        <f t="shared" si="60"/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 t="shared" si="61"/>
        <v/>
      </c>
      <c r="HN5" s="40" t="str">
        <f t="shared" si="62"/>
        <v/>
      </c>
      <c r="HO5" s="40" t="str">
        <f t="shared" si="63"/>
        <v/>
      </c>
      <c r="HP5" s="40" t="str">
        <f t="shared" si="64"/>
        <v/>
      </c>
      <c r="HQ5" s="40" t="str">
        <f t="shared" si="65"/>
        <v/>
      </c>
      <c r="HR5" s="40" t="str">
        <f t="shared" si="66"/>
        <v/>
      </c>
      <c r="HS5" s="40" t="str">
        <f t="shared" si="67"/>
        <v/>
      </c>
      <c r="HT5" s="40" t="str">
        <f t="shared" si="68"/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 t="shared" si="69"/>
        <v/>
      </c>
      <c r="IP5" s="11" t="str">
        <f t="shared" si="70"/>
        <v/>
      </c>
      <c r="IQ5" s="11" t="str">
        <f t="shared" si="71"/>
        <v/>
      </c>
      <c r="IR5" s="11" t="str">
        <f t="shared" si="72"/>
        <v/>
      </c>
      <c r="IS5" s="11" t="str">
        <f t="shared" si="73"/>
        <v/>
      </c>
      <c r="IT5" s="11" t="str">
        <f t="shared" si="74"/>
        <v/>
      </c>
      <c r="IU5" s="11" t="str">
        <f t="shared" si="75"/>
        <v/>
      </c>
      <c r="IV5" s="11" t="str">
        <f t="shared" si="76"/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 t="shared" si="77"/>
        <v/>
      </c>
      <c r="JR5" s="40" t="str">
        <f t="shared" si="78"/>
        <v/>
      </c>
      <c r="JS5" s="40" t="str">
        <f t="shared" si="79"/>
        <v/>
      </c>
      <c r="JT5" s="40" t="str">
        <f t="shared" si="80"/>
        <v/>
      </c>
      <c r="JU5" s="40" t="str">
        <f t="shared" si="81"/>
        <v/>
      </c>
      <c r="JV5" s="40" t="str">
        <f t="shared" si="82"/>
        <v/>
      </c>
      <c r="JW5" s="40" t="str">
        <f t="shared" si="83"/>
        <v/>
      </c>
      <c r="JX5" s="40" t="str">
        <f t="shared" si="84"/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 t="shared" si="85"/>
        <v/>
      </c>
      <c r="KT5" s="11" t="str">
        <f t="shared" si="86"/>
        <v/>
      </c>
      <c r="KU5" s="11" t="str">
        <f t="shared" si="87"/>
        <v/>
      </c>
      <c r="KV5" s="11" t="str">
        <f t="shared" si="88"/>
        <v/>
      </c>
      <c r="KW5" s="11" t="str">
        <f t="shared" si="89"/>
        <v/>
      </c>
      <c r="KX5" s="11" t="str">
        <f t="shared" si="90"/>
        <v/>
      </c>
      <c r="KY5" s="11" t="str">
        <f t="shared" si="91"/>
        <v/>
      </c>
      <c r="KZ5" s="11" t="str">
        <f t="shared" si="92"/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 t="shared" si="93"/>
        <v/>
      </c>
      <c r="LV5" s="40" t="str">
        <f t="shared" si="94"/>
        <v/>
      </c>
      <c r="LW5" s="40" t="str">
        <f t="shared" si="95"/>
        <v/>
      </c>
      <c r="LX5" s="40" t="str">
        <f t="shared" si="96"/>
        <v/>
      </c>
      <c r="LY5" s="40" t="str">
        <f t="shared" si="97"/>
        <v/>
      </c>
      <c r="LZ5" s="40" t="str">
        <f t="shared" si="98"/>
        <v/>
      </c>
      <c r="MA5" s="40" t="str">
        <f t="shared" si="99"/>
        <v/>
      </c>
      <c r="MB5" s="40" t="str">
        <f t="shared" si="100"/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 t="shared" si="101"/>
        <v/>
      </c>
      <c r="MX5" s="11" t="str">
        <f t="shared" si="102"/>
        <v/>
      </c>
      <c r="MY5" s="11" t="str">
        <f t="shared" si="103"/>
        <v/>
      </c>
      <c r="MZ5" s="11" t="str">
        <f t="shared" si="104"/>
        <v/>
      </c>
      <c r="NA5" s="11" t="str">
        <f t="shared" si="105"/>
        <v/>
      </c>
      <c r="NB5" s="11" t="str">
        <f t="shared" si="106"/>
        <v/>
      </c>
      <c r="NC5" s="11" t="str">
        <f t="shared" si="107"/>
        <v/>
      </c>
      <c r="ND5" s="11" t="str">
        <f t="shared" si="108"/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 t="shared" si="109"/>
        <v/>
      </c>
      <c r="NZ5" s="40" t="str">
        <f t="shared" si="110"/>
        <v/>
      </c>
      <c r="OA5" s="40" t="str">
        <f t="shared" si="111"/>
        <v/>
      </c>
      <c r="OB5" s="40" t="str">
        <f t="shared" si="112"/>
        <v/>
      </c>
      <c r="OC5" s="40" t="str">
        <f t="shared" si="113"/>
        <v/>
      </c>
      <c r="OD5" s="40" t="str">
        <f t="shared" si="114"/>
        <v/>
      </c>
      <c r="OE5" s="40" t="str">
        <f t="shared" si="115"/>
        <v/>
      </c>
      <c r="OF5" s="40" t="str">
        <f t="shared" si="116"/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 t="shared" si="117"/>
        <v/>
      </c>
      <c r="PB5" s="11" t="str">
        <f t="shared" si="118"/>
        <v/>
      </c>
      <c r="PC5" s="11" t="str">
        <f t="shared" si="119"/>
        <v/>
      </c>
      <c r="PD5" s="11" t="str">
        <f t="shared" si="120"/>
        <v/>
      </c>
      <c r="PE5" s="11" t="str">
        <f t="shared" si="121"/>
        <v/>
      </c>
      <c r="PF5" s="11" t="str">
        <f t="shared" si="122"/>
        <v/>
      </c>
      <c r="PG5" s="11" t="str">
        <f t="shared" si="123"/>
        <v/>
      </c>
      <c r="PH5" s="11" t="str">
        <f t="shared" si="124"/>
        <v/>
      </c>
      <c r="PI5" s="22">
        <f t="shared" si="125"/>
        <v>16.05</v>
      </c>
      <c r="PJ5" s="22">
        <f t="shared" si="126"/>
        <v>3.4</v>
      </c>
      <c r="PK5" s="22">
        <f t="shared" si="127"/>
        <v>0.2</v>
      </c>
      <c r="PL5" s="22">
        <f t="shared" si="128"/>
        <v>0.35</v>
      </c>
      <c r="PM5" s="22">
        <f t="shared" si="129"/>
        <v>15.8</v>
      </c>
      <c r="PN5" s="22">
        <f t="shared" si="130"/>
        <v>3.3499999999999996</v>
      </c>
      <c r="PO5" s="22">
        <f t="shared" si="131"/>
        <v>0</v>
      </c>
      <c r="PP5" s="22">
        <f t="shared" si="132"/>
        <v>0.7</v>
      </c>
      <c r="PQ5" s="22">
        <f t="shared" si="133"/>
        <v>16</v>
      </c>
      <c r="PR5" s="22">
        <f t="shared" si="134"/>
        <v>4.8499999999999996</v>
      </c>
      <c r="PS5" s="22">
        <f t="shared" si="135"/>
        <v>0.1</v>
      </c>
      <c r="PT5" s="22">
        <f t="shared" si="136"/>
        <v>0.7</v>
      </c>
      <c r="PU5" s="22">
        <f t="shared" si="137"/>
        <v>16.3</v>
      </c>
      <c r="PV5" s="22">
        <f t="shared" si="138"/>
        <v>2.5</v>
      </c>
      <c r="PW5" s="22">
        <f t="shared" si="139"/>
        <v>0.2</v>
      </c>
      <c r="PX5" s="22">
        <f t="shared" si="140"/>
        <v>0.35</v>
      </c>
      <c r="PY5" s="27" t="s">
        <v>46</v>
      </c>
      <c r="PZ5" s="40">
        <f t="shared" si="141"/>
        <v>6.75</v>
      </c>
      <c r="QA5" s="40">
        <f t="shared" si="142"/>
        <v>39.450000000000003</v>
      </c>
      <c r="QB5" s="40">
        <f t="shared" si="143"/>
        <v>7.35</v>
      </c>
      <c r="QC5" s="40">
        <f t="shared" si="144"/>
        <v>40.400000000000006</v>
      </c>
      <c r="QD5" s="40">
        <f t="shared" si="145"/>
        <v>79.850000000000009</v>
      </c>
    </row>
    <row r="6" spans="1:446" x14ac:dyDescent="0.2">
      <c r="A6" s="4" t="str" cm="1">
        <f t="array" ref="A6">IF(AND(J6&lt;&gt;"",J6&lt;&gt;"No DD"),SUMPRODUCT((J$4:J$18&lt;&gt;"")*(J$4:J$18&lt;&gt;"No DD")*(F$4:F$18&gt;F6))+1,IF(J6="No DD",SUMPRODUCT((J$4:J$18="No DD")*(F$4:F$18&gt;F6))+1+SUMPRODUCT((J$4:J$18&lt;&gt;"")*(J$4:J$18&lt;&gt;"No DD")),""))</f>
        <v/>
      </c>
      <c r="B6" s="4" t="str" cm="1">
        <f t="array" ref="B6">IF(AND(J6&lt;&gt;"",J6&lt;&gt;"No DD",G6=""),SUMPRODUCT((J$4:J$18&lt;&gt;"")*(J$4:J$18&lt;&gt;"No DD")*(G$4:G$18="")*(F$4:F$18&gt;F6))+1,IF(J6="No DD",SUMPRODUCT((J$4:J$18="No DD")*(F$4:F$18&gt;F6)*(G$4:G$18=""))+1+SUMPRODUCT((J$4:J$18&lt;&gt;"")*(G$4:G$18="")*(J$4:J$18&lt;&gt;"No DD")),""))</f>
        <v/>
      </c>
      <c r="C6" s="5" t="s">
        <v>92</v>
      </c>
      <c r="D6" s="4" t="s">
        <v>6</v>
      </c>
      <c r="E6" s="4">
        <v>2005</v>
      </c>
      <c r="F6" s="9">
        <f t="shared" si="0"/>
        <v>126.60000842000423</v>
      </c>
      <c r="G6" s="64"/>
      <c r="H6" s="3" t="str">
        <f t="shared" si="1"/>
        <v/>
      </c>
      <c r="I6" s="3" t="str">
        <f t="shared" si="2"/>
        <v/>
      </c>
      <c r="J6" s="36" t="str">
        <f t="shared" si="3"/>
        <v/>
      </c>
      <c r="K6" s="3" t="str">
        <f t="shared" si="4"/>
        <v/>
      </c>
      <c r="L6" s="8">
        <f>IF(COUNT(AM6,BI6,CE6)&gt;0,LARGE((AM6,BI6,CE6),1),0)</f>
        <v>42.300000000000004</v>
      </c>
      <c r="M6" s="8" t="str">
        <f t="shared" si="5"/>
        <v>2025 Nationals</v>
      </c>
      <c r="N6" s="8">
        <f>IF(COUNT(AM6,BI6,CE6)&gt;1,LARGE((AM6,BI6,CE6),2),0)</f>
        <v>41.9</v>
      </c>
      <c r="O6" s="8" t="str">
        <f t="shared" si="6"/>
        <v>2025 Elite Canada</v>
      </c>
      <c r="P6" s="8">
        <f t="shared" si="7"/>
        <v>42.4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16.899999999999999</v>
      </c>
      <c r="V6" s="19">
        <v>4.0999999999999996</v>
      </c>
      <c r="W6" s="19">
        <v>0</v>
      </c>
      <c r="X6" s="19">
        <v>0</v>
      </c>
      <c r="Y6" s="19">
        <v>17</v>
      </c>
      <c r="Z6" s="19">
        <v>3.9</v>
      </c>
      <c r="AA6" s="19">
        <v>0</v>
      </c>
      <c r="AB6" s="19">
        <v>0</v>
      </c>
      <c r="AC6" s="19">
        <v>16.8</v>
      </c>
      <c r="AD6" s="19">
        <v>4.0999999999999996</v>
      </c>
      <c r="AE6" s="19">
        <v>0</v>
      </c>
      <c r="AF6" s="19">
        <v>0</v>
      </c>
      <c r="AG6" s="19">
        <v>14.8</v>
      </c>
      <c r="AH6" s="19">
        <v>4.5999999999999996</v>
      </c>
      <c r="AI6" s="19">
        <v>0</v>
      </c>
      <c r="AJ6" s="19">
        <v>0</v>
      </c>
      <c r="AK6" s="27"/>
      <c r="AL6" s="40">
        <f t="shared" si="12"/>
        <v>8</v>
      </c>
      <c r="AM6" s="40">
        <f t="shared" si="13"/>
        <v>41.9</v>
      </c>
      <c r="AN6" s="40">
        <f t="shared" si="14"/>
        <v>8.6999999999999993</v>
      </c>
      <c r="AO6" s="40">
        <f t="shared" si="15"/>
        <v>40.300000000000004</v>
      </c>
      <c r="AP6" s="40">
        <f t="shared" si="16"/>
        <v>82.2</v>
      </c>
      <c r="AQ6" s="18">
        <v>16.899999999999999</v>
      </c>
      <c r="AR6" s="18">
        <v>4.0999999999999996</v>
      </c>
      <c r="AS6" s="18">
        <v>0</v>
      </c>
      <c r="AT6" s="18">
        <v>0</v>
      </c>
      <c r="AU6" s="18">
        <v>16.7</v>
      </c>
      <c r="AV6" s="18">
        <v>4.5999999999999996</v>
      </c>
      <c r="AW6" s="18">
        <v>0</v>
      </c>
      <c r="AX6" s="18">
        <v>0</v>
      </c>
      <c r="AY6" s="18">
        <v>16.5</v>
      </c>
      <c r="AZ6" s="18">
        <v>4.8</v>
      </c>
      <c r="BA6" s="18">
        <v>0</v>
      </c>
      <c r="BB6" s="18">
        <v>0</v>
      </c>
      <c r="BC6" s="18">
        <v>16.5</v>
      </c>
      <c r="BD6" s="18">
        <v>4.5999999999999996</v>
      </c>
      <c r="BE6" s="18">
        <v>0</v>
      </c>
      <c r="BF6" s="18">
        <v>0</v>
      </c>
      <c r="BG6" s="28"/>
      <c r="BH6" s="11">
        <f t="shared" si="17"/>
        <v>8.6999999999999993</v>
      </c>
      <c r="BI6" s="11">
        <f t="shared" si="18"/>
        <v>42.300000000000004</v>
      </c>
      <c r="BJ6" s="11">
        <f t="shared" si="19"/>
        <v>9.3999999999999986</v>
      </c>
      <c r="BK6" s="11">
        <f t="shared" si="20"/>
        <v>42.4</v>
      </c>
      <c r="BL6" s="11">
        <f t="shared" si="21"/>
        <v>84.7</v>
      </c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27"/>
      <c r="CD6" s="40" t="str">
        <f t="shared" si="22"/>
        <v/>
      </c>
      <c r="CE6" s="40" t="str">
        <f t="shared" si="23"/>
        <v/>
      </c>
      <c r="CF6" s="40" t="str">
        <f t="shared" si="24"/>
        <v/>
      </c>
      <c r="CG6" s="40" t="str">
        <f t="shared" si="25"/>
        <v/>
      </c>
      <c r="CH6" s="40" t="str">
        <f t="shared" si="26"/>
        <v/>
      </c>
      <c r="CI6" s="50" t="str">
        <f t="shared" si="27"/>
        <v/>
      </c>
      <c r="CJ6" s="50" t="str">
        <f t="shared" si="28"/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 t="shared" si="29"/>
        <v/>
      </c>
      <c r="DF6" s="40" t="str">
        <f t="shared" si="30"/>
        <v/>
      </c>
      <c r="DG6" s="40" t="str">
        <f t="shared" si="31"/>
        <v/>
      </c>
      <c r="DH6" s="40" t="str">
        <f t="shared" si="32"/>
        <v/>
      </c>
      <c r="DI6" s="40" t="str">
        <f t="shared" si="33"/>
        <v/>
      </c>
      <c r="DJ6" s="40" t="str">
        <f t="shared" si="34"/>
        <v/>
      </c>
      <c r="DK6" s="40" t="str">
        <f t="shared" si="35"/>
        <v/>
      </c>
      <c r="DL6" s="40" t="str">
        <f t="shared" si="36"/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 t="shared" si="37"/>
        <v/>
      </c>
      <c r="EH6" s="11" t="str">
        <f t="shared" si="38"/>
        <v/>
      </c>
      <c r="EI6" s="11" t="str">
        <f t="shared" si="39"/>
        <v/>
      </c>
      <c r="EJ6" s="11" t="str">
        <f t="shared" si="40"/>
        <v/>
      </c>
      <c r="EK6" s="11" t="str">
        <f t="shared" si="41"/>
        <v/>
      </c>
      <c r="EL6" s="11" t="str">
        <f t="shared" si="42"/>
        <v/>
      </c>
      <c r="EM6" s="11" t="str">
        <f t="shared" si="43"/>
        <v/>
      </c>
      <c r="EN6" s="11" t="str">
        <f t="shared" si="44"/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 t="shared" si="45"/>
        <v/>
      </c>
      <c r="FJ6" s="40" t="str">
        <f t="shared" si="46"/>
        <v/>
      </c>
      <c r="FK6" s="40" t="str">
        <f t="shared" si="47"/>
        <v/>
      </c>
      <c r="FL6" s="40" t="str">
        <f t="shared" si="48"/>
        <v/>
      </c>
      <c r="FM6" s="40" t="str">
        <f t="shared" si="49"/>
        <v/>
      </c>
      <c r="FN6" s="40" t="str">
        <f t="shared" si="50"/>
        <v/>
      </c>
      <c r="FO6" s="40" t="str">
        <f t="shared" si="51"/>
        <v/>
      </c>
      <c r="FP6" s="40" t="str">
        <f t="shared" si="52"/>
        <v/>
      </c>
      <c r="FQ6" s="18">
        <v>16.600000000000001</v>
      </c>
      <c r="FR6" s="18">
        <v>4.0999999999999996</v>
      </c>
      <c r="FS6" s="18">
        <v>0</v>
      </c>
      <c r="FT6" s="18">
        <v>0</v>
      </c>
      <c r="FU6" s="18">
        <v>16.899999999999999</v>
      </c>
      <c r="FV6" s="18">
        <v>3.9</v>
      </c>
      <c r="FW6" s="18">
        <v>0</v>
      </c>
      <c r="FX6" s="18">
        <v>0</v>
      </c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>
        <f t="shared" si="53"/>
        <v>8</v>
      </c>
      <c r="GL6" s="11">
        <f t="shared" si="54"/>
        <v>41.5</v>
      </c>
      <c r="GM6" s="11" t="str">
        <f t="shared" si="55"/>
        <v/>
      </c>
      <c r="GN6" s="11">
        <f t="shared" si="56"/>
        <v>8</v>
      </c>
      <c r="GO6" s="11">
        <f t="shared" si="57"/>
        <v>41.5</v>
      </c>
      <c r="GP6" s="11" t="str">
        <f t="shared" si="58"/>
        <v/>
      </c>
      <c r="GQ6" s="11" t="str">
        <f t="shared" si="59"/>
        <v/>
      </c>
      <c r="GR6" s="11">
        <f t="shared" si="60"/>
        <v>41.5</v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 t="shared" si="61"/>
        <v/>
      </c>
      <c r="HN6" s="40" t="str">
        <f t="shared" si="62"/>
        <v/>
      </c>
      <c r="HO6" s="40" t="str">
        <f t="shared" si="63"/>
        <v/>
      </c>
      <c r="HP6" s="40" t="str">
        <f t="shared" si="64"/>
        <v/>
      </c>
      <c r="HQ6" s="40" t="str">
        <f t="shared" si="65"/>
        <v/>
      </c>
      <c r="HR6" s="40" t="str">
        <f t="shared" si="66"/>
        <v/>
      </c>
      <c r="HS6" s="40" t="str">
        <f t="shared" si="67"/>
        <v/>
      </c>
      <c r="HT6" s="40" t="str">
        <f t="shared" si="68"/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 t="shared" si="69"/>
        <v/>
      </c>
      <c r="IP6" s="11" t="str">
        <f t="shared" si="70"/>
        <v/>
      </c>
      <c r="IQ6" s="11" t="str">
        <f t="shared" si="71"/>
        <v/>
      </c>
      <c r="IR6" s="11" t="str">
        <f t="shared" si="72"/>
        <v/>
      </c>
      <c r="IS6" s="11" t="str">
        <f t="shared" si="73"/>
        <v/>
      </c>
      <c r="IT6" s="11" t="str">
        <f t="shared" si="74"/>
        <v/>
      </c>
      <c r="IU6" s="11" t="str">
        <f t="shared" si="75"/>
        <v/>
      </c>
      <c r="IV6" s="11" t="str">
        <f t="shared" si="76"/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 t="shared" si="77"/>
        <v/>
      </c>
      <c r="JR6" s="40" t="str">
        <f t="shared" si="78"/>
        <v/>
      </c>
      <c r="JS6" s="40" t="str">
        <f t="shared" si="79"/>
        <v/>
      </c>
      <c r="JT6" s="40" t="str">
        <f t="shared" si="80"/>
        <v/>
      </c>
      <c r="JU6" s="40" t="str">
        <f t="shared" si="81"/>
        <v/>
      </c>
      <c r="JV6" s="40" t="str">
        <f t="shared" si="82"/>
        <v/>
      </c>
      <c r="JW6" s="40" t="str">
        <f t="shared" si="83"/>
        <v/>
      </c>
      <c r="JX6" s="40" t="str">
        <f t="shared" si="84"/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 t="shared" si="85"/>
        <v/>
      </c>
      <c r="KT6" s="11" t="str">
        <f t="shared" si="86"/>
        <v/>
      </c>
      <c r="KU6" s="11" t="str">
        <f t="shared" si="87"/>
        <v/>
      </c>
      <c r="KV6" s="11" t="str">
        <f t="shared" si="88"/>
        <v/>
      </c>
      <c r="KW6" s="11" t="str">
        <f t="shared" si="89"/>
        <v/>
      </c>
      <c r="KX6" s="11" t="str">
        <f t="shared" si="90"/>
        <v/>
      </c>
      <c r="KY6" s="11" t="str">
        <f t="shared" si="91"/>
        <v/>
      </c>
      <c r="KZ6" s="11" t="str">
        <f t="shared" si="92"/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 t="shared" si="93"/>
        <v/>
      </c>
      <c r="LV6" s="40" t="str">
        <f t="shared" si="94"/>
        <v/>
      </c>
      <c r="LW6" s="40" t="str">
        <f t="shared" si="95"/>
        <v/>
      </c>
      <c r="LX6" s="40" t="str">
        <f t="shared" si="96"/>
        <v/>
      </c>
      <c r="LY6" s="40" t="str">
        <f t="shared" si="97"/>
        <v/>
      </c>
      <c r="LZ6" s="40" t="str">
        <f t="shared" si="98"/>
        <v/>
      </c>
      <c r="MA6" s="40" t="str">
        <f t="shared" si="99"/>
        <v/>
      </c>
      <c r="MB6" s="40" t="str">
        <f t="shared" si="100"/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 t="shared" si="101"/>
        <v/>
      </c>
      <c r="MX6" s="11" t="str">
        <f t="shared" si="102"/>
        <v/>
      </c>
      <c r="MY6" s="11" t="str">
        <f t="shared" si="103"/>
        <v/>
      </c>
      <c r="MZ6" s="11" t="str">
        <f t="shared" si="104"/>
        <v/>
      </c>
      <c r="NA6" s="11" t="str">
        <f t="shared" si="105"/>
        <v/>
      </c>
      <c r="NB6" s="11" t="str">
        <f t="shared" si="106"/>
        <v/>
      </c>
      <c r="NC6" s="11" t="str">
        <f t="shared" si="107"/>
        <v/>
      </c>
      <c r="ND6" s="11" t="str">
        <f t="shared" si="108"/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 t="shared" si="109"/>
        <v/>
      </c>
      <c r="NZ6" s="40" t="str">
        <f t="shared" si="110"/>
        <v/>
      </c>
      <c r="OA6" s="40" t="str">
        <f t="shared" si="111"/>
        <v/>
      </c>
      <c r="OB6" s="40" t="str">
        <f t="shared" si="112"/>
        <v/>
      </c>
      <c r="OC6" s="40" t="str">
        <f t="shared" si="113"/>
        <v/>
      </c>
      <c r="OD6" s="40" t="str">
        <f t="shared" si="114"/>
        <v/>
      </c>
      <c r="OE6" s="40" t="str">
        <f t="shared" si="115"/>
        <v/>
      </c>
      <c r="OF6" s="40" t="str">
        <f t="shared" si="116"/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 t="shared" si="117"/>
        <v/>
      </c>
      <c r="PB6" s="11" t="str">
        <f t="shared" si="118"/>
        <v/>
      </c>
      <c r="PC6" s="11" t="str">
        <f t="shared" si="119"/>
        <v/>
      </c>
      <c r="PD6" s="11" t="str">
        <f t="shared" si="120"/>
        <v/>
      </c>
      <c r="PE6" s="11" t="str">
        <f t="shared" si="121"/>
        <v/>
      </c>
      <c r="PF6" s="11" t="str">
        <f t="shared" si="122"/>
        <v/>
      </c>
      <c r="PG6" s="11" t="str">
        <f t="shared" si="123"/>
        <v/>
      </c>
      <c r="PH6" s="11" t="str">
        <f t="shared" si="124"/>
        <v/>
      </c>
      <c r="PI6" s="22">
        <f t="shared" si="125"/>
        <v>8.4499999999999993</v>
      </c>
      <c r="PJ6" s="22">
        <f t="shared" si="126"/>
        <v>2.0499999999999998</v>
      </c>
      <c r="PK6" s="22">
        <f t="shared" si="127"/>
        <v>0</v>
      </c>
      <c r="PL6" s="22">
        <f t="shared" si="128"/>
        <v>0</v>
      </c>
      <c r="PM6" s="22">
        <f t="shared" si="129"/>
        <v>8.35</v>
      </c>
      <c r="PN6" s="22">
        <f t="shared" si="130"/>
        <v>2.2999999999999998</v>
      </c>
      <c r="PO6" s="22">
        <f t="shared" si="131"/>
        <v>0</v>
      </c>
      <c r="PP6" s="22">
        <f t="shared" si="132"/>
        <v>0</v>
      </c>
      <c r="PQ6" s="22">
        <f t="shared" si="133"/>
        <v>8.25</v>
      </c>
      <c r="PR6" s="22">
        <f t="shared" si="134"/>
        <v>2.4</v>
      </c>
      <c r="PS6" s="22">
        <f t="shared" si="135"/>
        <v>0</v>
      </c>
      <c r="PT6" s="22">
        <f t="shared" si="136"/>
        <v>0</v>
      </c>
      <c r="PU6" s="22">
        <f t="shared" si="137"/>
        <v>8.25</v>
      </c>
      <c r="PV6" s="22">
        <f t="shared" si="138"/>
        <v>2.2999999999999998</v>
      </c>
      <c r="PW6" s="22">
        <f t="shared" si="139"/>
        <v>0</v>
      </c>
      <c r="PX6" s="22">
        <f t="shared" si="140"/>
        <v>0</v>
      </c>
      <c r="PY6" s="27" t="s">
        <v>46</v>
      </c>
      <c r="PZ6" s="40">
        <f t="shared" si="141"/>
        <v>4.3499999999999996</v>
      </c>
      <c r="QA6" s="40">
        <f t="shared" si="142"/>
        <v>21.150000000000002</v>
      </c>
      <c r="QB6" s="40">
        <f t="shared" si="143"/>
        <v>4.6999999999999993</v>
      </c>
      <c r="QC6" s="40">
        <f t="shared" si="144"/>
        <v>21.2</v>
      </c>
      <c r="QD6" s="40">
        <f t="shared" si="145"/>
        <v>42.35</v>
      </c>
    </row>
    <row r="7" spans="1:446" x14ac:dyDescent="0.2">
      <c r="A7" s="4" t="str" cm="1">
        <f t="array" ref="A7">IF(AND(J7&lt;&gt;"",J7&lt;&gt;"No DD"),SUMPRODUCT((J$4:J$18&lt;&gt;"")*(J$4:J$18&lt;&gt;"No DD")*(F$4:F$18&gt;F7))+1,IF(J7="No DD",SUMPRODUCT((J$4:J$18="No DD")*(F$4:F$18&gt;F7))+1+SUMPRODUCT((J$4:J$18&lt;&gt;"")*(J$4:J$18&lt;&gt;"No DD")),""))</f>
        <v/>
      </c>
      <c r="B7" s="4" t="str" cm="1">
        <f t="array" ref="B7">IF(AND(J7&lt;&gt;"",J7&lt;&gt;"No DD",G7=""),SUMPRODUCT((J$4:J$18&lt;&gt;"")*(J$4:J$18&lt;&gt;"No DD")*(G$4:G$18="")*(F$4:F$18&gt;F7))+1,IF(J7="No DD",SUMPRODUCT((J$4:J$18="No DD")*(F$4:F$18&gt;F7)*(G$4:G$18=""))+1+SUMPRODUCT((J$4:J$18&lt;&gt;"")*(G$4:G$18="")*(J$4:J$18&lt;&gt;"No DD")),""))</f>
        <v/>
      </c>
      <c r="C7" s="5" t="s">
        <v>109</v>
      </c>
      <c r="D7" s="4" t="s">
        <v>3</v>
      </c>
      <c r="E7" s="4">
        <v>2005</v>
      </c>
      <c r="F7" s="9">
        <f t="shared" si="0"/>
        <v>126.40000800000411</v>
      </c>
      <c r="G7" s="64"/>
      <c r="H7" s="3" t="str">
        <f t="shared" si="1"/>
        <v/>
      </c>
      <c r="I7" s="3" t="str">
        <f t="shared" si="2"/>
        <v/>
      </c>
      <c r="J7" s="36" t="str">
        <f t="shared" si="3"/>
        <v/>
      </c>
      <c r="K7" s="3" t="str">
        <f t="shared" si="4"/>
        <v/>
      </c>
      <c r="L7" s="8">
        <f>IF(COUNT(AM7,BI7,CE7)&gt;0,LARGE((AM7,BI7,CE7),1),0)</f>
        <v>41.399999999999991</v>
      </c>
      <c r="M7" s="8" t="str">
        <f t="shared" si="5"/>
        <v>2025 3rd Domestic Trial</v>
      </c>
      <c r="N7" s="8">
        <f>IF(COUNT(AM7,BI7,CE7)&gt;1,LARGE((AM7,BI7,CE7),2),0)</f>
        <v>38.599999999999994</v>
      </c>
      <c r="O7" s="8" t="str">
        <f t="shared" si="6"/>
        <v>2025 Elite Canada</v>
      </c>
      <c r="P7" s="8">
        <f t="shared" si="7"/>
        <v>42.4</v>
      </c>
      <c r="Q7" s="8" t="str">
        <f t="shared" si="8"/>
        <v>2025 Nationals</v>
      </c>
      <c r="R7" s="8">
        <f t="shared" si="9"/>
        <v>4.0000000000000071</v>
      </c>
      <c r="S7" s="11" t="str">
        <f t="shared" si="10"/>
        <v>(Q1)</v>
      </c>
      <c r="T7" s="8" t="str">
        <f t="shared" si="11"/>
        <v>2025 WAGC (Nov 16)</v>
      </c>
      <c r="U7" s="19">
        <v>16.2</v>
      </c>
      <c r="V7" s="19">
        <v>3.9</v>
      </c>
      <c r="W7" s="19">
        <v>0</v>
      </c>
      <c r="X7" s="19">
        <v>0</v>
      </c>
      <c r="Y7" s="19">
        <v>14.6</v>
      </c>
      <c r="Z7" s="19">
        <v>4.0999999999999996</v>
      </c>
      <c r="AA7" s="19">
        <v>0.2</v>
      </c>
      <c r="AB7" s="19">
        <v>0</v>
      </c>
      <c r="AC7" s="19">
        <v>14.3</v>
      </c>
      <c r="AD7" s="19">
        <v>4.5999999999999996</v>
      </c>
      <c r="AE7" s="19">
        <v>0</v>
      </c>
      <c r="AF7" s="19">
        <v>0</v>
      </c>
      <c r="AG7" s="19">
        <v>16.3</v>
      </c>
      <c r="AH7" s="19">
        <v>4.0999999999999996</v>
      </c>
      <c r="AI7" s="19">
        <v>0</v>
      </c>
      <c r="AJ7" s="19">
        <v>0</v>
      </c>
      <c r="AK7" s="27"/>
      <c r="AL7" s="40">
        <f t="shared" si="12"/>
        <v>8</v>
      </c>
      <c r="AM7" s="40">
        <f t="shared" si="13"/>
        <v>38.599999999999994</v>
      </c>
      <c r="AN7" s="40">
        <f t="shared" si="14"/>
        <v>8.6999999999999993</v>
      </c>
      <c r="AO7" s="40">
        <f t="shared" si="15"/>
        <v>39.300000000000004</v>
      </c>
      <c r="AP7" s="40">
        <f t="shared" si="16"/>
        <v>77.900000000000006</v>
      </c>
      <c r="AQ7" s="18">
        <v>14.5</v>
      </c>
      <c r="AR7" s="18">
        <v>4.5999999999999996</v>
      </c>
      <c r="AS7" s="18">
        <v>0</v>
      </c>
      <c r="AT7" s="18">
        <v>0</v>
      </c>
      <c r="AU7" s="18">
        <v>14.5</v>
      </c>
      <c r="AV7" s="18">
        <v>4.8</v>
      </c>
      <c r="AW7" s="18">
        <v>0</v>
      </c>
      <c r="AX7" s="18">
        <v>0</v>
      </c>
      <c r="AY7" s="18">
        <v>16.399999999999999</v>
      </c>
      <c r="AZ7" s="18">
        <v>4.5999999999999996</v>
      </c>
      <c r="BA7" s="18">
        <v>0</v>
      </c>
      <c r="BB7" s="18">
        <v>0</v>
      </c>
      <c r="BC7" s="18">
        <v>16.600000000000001</v>
      </c>
      <c r="BD7" s="18">
        <v>4.8</v>
      </c>
      <c r="BE7" s="18">
        <v>0</v>
      </c>
      <c r="BF7" s="18">
        <v>0</v>
      </c>
      <c r="BG7" s="28"/>
      <c r="BH7" s="11">
        <f t="shared" si="17"/>
        <v>9.3999999999999986</v>
      </c>
      <c r="BI7" s="11">
        <f t="shared" si="18"/>
        <v>38.4</v>
      </c>
      <c r="BJ7" s="11">
        <f t="shared" si="19"/>
        <v>9.3999999999999986</v>
      </c>
      <c r="BK7" s="11">
        <f t="shared" si="20"/>
        <v>42.4</v>
      </c>
      <c r="BL7" s="11">
        <f t="shared" si="21"/>
        <v>80.8</v>
      </c>
      <c r="BM7" s="19">
        <v>16.2</v>
      </c>
      <c r="BN7" s="19">
        <v>4.5999999999999996</v>
      </c>
      <c r="BO7" s="19">
        <v>0</v>
      </c>
      <c r="BP7" s="19">
        <v>0</v>
      </c>
      <c r="BQ7" s="19">
        <v>16</v>
      </c>
      <c r="BR7" s="19">
        <v>4.8</v>
      </c>
      <c r="BS7" s="19">
        <v>0.2</v>
      </c>
      <c r="BT7" s="19">
        <v>0</v>
      </c>
      <c r="BU7" s="19">
        <v>16.100000000000001</v>
      </c>
      <c r="BV7" s="19">
        <v>4.5999999999999996</v>
      </c>
      <c r="BW7" s="19">
        <v>0</v>
      </c>
      <c r="BX7" s="19">
        <v>0</v>
      </c>
      <c r="BY7" s="19">
        <v>16.2</v>
      </c>
      <c r="BZ7" s="19">
        <v>4.8</v>
      </c>
      <c r="CA7" s="19">
        <v>0</v>
      </c>
      <c r="CB7" s="19">
        <v>0</v>
      </c>
      <c r="CC7" s="27"/>
      <c r="CD7" s="40">
        <f t="shared" si="22"/>
        <v>9.3999999999999986</v>
      </c>
      <c r="CE7" s="40">
        <f t="shared" si="23"/>
        <v>41.399999999999991</v>
      </c>
      <c r="CF7" s="40">
        <f t="shared" si="24"/>
        <v>9.3999999999999986</v>
      </c>
      <c r="CG7" s="40">
        <f t="shared" si="25"/>
        <v>41.7</v>
      </c>
      <c r="CH7" s="40">
        <f t="shared" si="26"/>
        <v>83.1</v>
      </c>
      <c r="CI7" s="50">
        <f t="shared" si="27"/>
        <v>4.0000000000000071</v>
      </c>
      <c r="CJ7" s="50" t="str">
        <f t="shared" si="28"/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 t="shared" si="29"/>
        <v/>
      </c>
      <c r="DF7" s="40" t="str">
        <f t="shared" si="30"/>
        <v/>
      </c>
      <c r="DG7" s="40" t="str">
        <f t="shared" si="31"/>
        <v/>
      </c>
      <c r="DH7" s="40" t="str">
        <f t="shared" si="32"/>
        <v/>
      </c>
      <c r="DI7" s="40" t="str">
        <f t="shared" si="33"/>
        <v/>
      </c>
      <c r="DJ7" s="40" t="str">
        <f t="shared" si="34"/>
        <v/>
      </c>
      <c r="DK7" s="40" t="str">
        <f t="shared" si="35"/>
        <v/>
      </c>
      <c r="DL7" s="40" t="str">
        <f t="shared" si="36"/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 t="shared" si="37"/>
        <v/>
      </c>
      <c r="EH7" s="11" t="str">
        <f t="shared" si="38"/>
        <v/>
      </c>
      <c r="EI7" s="11" t="str">
        <f t="shared" si="39"/>
        <v/>
      </c>
      <c r="EJ7" s="11" t="str">
        <f t="shared" si="40"/>
        <v/>
      </c>
      <c r="EK7" s="11" t="str">
        <f t="shared" si="41"/>
        <v/>
      </c>
      <c r="EL7" s="11" t="str">
        <f t="shared" si="42"/>
        <v/>
      </c>
      <c r="EM7" s="11" t="str">
        <f t="shared" si="43"/>
        <v/>
      </c>
      <c r="EN7" s="11" t="str">
        <f t="shared" si="44"/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 t="shared" si="45"/>
        <v/>
      </c>
      <c r="FJ7" s="40" t="str">
        <f t="shared" si="46"/>
        <v/>
      </c>
      <c r="FK7" s="40" t="str">
        <f t="shared" si="47"/>
        <v/>
      </c>
      <c r="FL7" s="40" t="str">
        <f t="shared" si="48"/>
        <v/>
      </c>
      <c r="FM7" s="40" t="str">
        <f t="shared" si="49"/>
        <v/>
      </c>
      <c r="FN7" s="40" t="str">
        <f t="shared" si="50"/>
        <v/>
      </c>
      <c r="FO7" s="40" t="str">
        <f t="shared" si="51"/>
        <v/>
      </c>
      <c r="FP7" s="40" t="str">
        <f t="shared" si="52"/>
        <v/>
      </c>
      <c r="FQ7" s="18">
        <v>16.600000000000001</v>
      </c>
      <c r="FR7" s="18">
        <v>4.5999999999999996</v>
      </c>
      <c r="FS7" s="18">
        <v>0</v>
      </c>
      <c r="FT7" s="18">
        <v>0</v>
      </c>
      <c r="FU7" s="18">
        <v>16.600000000000001</v>
      </c>
      <c r="FV7" s="18">
        <v>4.8</v>
      </c>
      <c r="FW7" s="18">
        <v>0</v>
      </c>
      <c r="FX7" s="18">
        <v>0</v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>
        <f t="shared" si="53"/>
        <v>9.3999999999999986</v>
      </c>
      <c r="GL7" s="11">
        <f t="shared" si="54"/>
        <v>42.6</v>
      </c>
      <c r="GM7" s="11" t="str">
        <f t="shared" si="55"/>
        <v/>
      </c>
      <c r="GN7" s="11">
        <f t="shared" si="56"/>
        <v>9.3999999999999986</v>
      </c>
      <c r="GO7" s="11">
        <f t="shared" si="57"/>
        <v>42.6</v>
      </c>
      <c r="GP7" s="11" t="str">
        <f t="shared" si="58"/>
        <v/>
      </c>
      <c r="GQ7" s="11" t="str">
        <f t="shared" si="59"/>
        <v/>
      </c>
      <c r="GR7" s="11">
        <f t="shared" si="60"/>
        <v>42.6</v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 t="shared" si="61"/>
        <v/>
      </c>
      <c r="HN7" s="40" t="str">
        <f t="shared" si="62"/>
        <v/>
      </c>
      <c r="HO7" s="40" t="str">
        <f t="shared" si="63"/>
        <v/>
      </c>
      <c r="HP7" s="40" t="str">
        <f t="shared" si="64"/>
        <v/>
      </c>
      <c r="HQ7" s="40" t="str">
        <f t="shared" si="65"/>
        <v/>
      </c>
      <c r="HR7" s="40" t="str">
        <f t="shared" si="66"/>
        <v/>
      </c>
      <c r="HS7" s="40" t="str">
        <f t="shared" si="67"/>
        <v/>
      </c>
      <c r="HT7" s="40" t="str">
        <f t="shared" si="68"/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 t="shared" si="69"/>
        <v/>
      </c>
      <c r="IP7" s="11" t="str">
        <f t="shared" si="70"/>
        <v/>
      </c>
      <c r="IQ7" s="11" t="str">
        <f t="shared" si="71"/>
        <v/>
      </c>
      <c r="IR7" s="11" t="str">
        <f t="shared" si="72"/>
        <v/>
      </c>
      <c r="IS7" s="11" t="str">
        <f t="shared" si="73"/>
        <v/>
      </c>
      <c r="IT7" s="11" t="str">
        <f t="shared" si="74"/>
        <v/>
      </c>
      <c r="IU7" s="11" t="str">
        <f t="shared" si="75"/>
        <v/>
      </c>
      <c r="IV7" s="11" t="str">
        <f t="shared" si="76"/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 t="shared" si="77"/>
        <v/>
      </c>
      <c r="JR7" s="40" t="str">
        <f t="shared" si="78"/>
        <v/>
      </c>
      <c r="JS7" s="40" t="str">
        <f t="shared" si="79"/>
        <v/>
      </c>
      <c r="JT7" s="40" t="str">
        <f t="shared" si="80"/>
        <v/>
      </c>
      <c r="JU7" s="40" t="str">
        <f t="shared" si="81"/>
        <v/>
      </c>
      <c r="JV7" s="40" t="str">
        <f t="shared" si="82"/>
        <v/>
      </c>
      <c r="JW7" s="40" t="str">
        <f t="shared" si="83"/>
        <v/>
      </c>
      <c r="JX7" s="40" t="str">
        <f t="shared" si="84"/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 t="shared" si="85"/>
        <v/>
      </c>
      <c r="KT7" s="11" t="str">
        <f t="shared" si="86"/>
        <v/>
      </c>
      <c r="KU7" s="11" t="str">
        <f t="shared" si="87"/>
        <v/>
      </c>
      <c r="KV7" s="11" t="str">
        <f t="shared" si="88"/>
        <v/>
      </c>
      <c r="KW7" s="11" t="str">
        <f t="shared" si="89"/>
        <v/>
      </c>
      <c r="KX7" s="11" t="str">
        <f t="shared" si="90"/>
        <v/>
      </c>
      <c r="KY7" s="11" t="str">
        <f t="shared" si="91"/>
        <v/>
      </c>
      <c r="KZ7" s="11" t="str">
        <f t="shared" si="92"/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 t="shared" si="93"/>
        <v/>
      </c>
      <c r="LV7" s="40" t="str">
        <f t="shared" si="94"/>
        <v/>
      </c>
      <c r="LW7" s="40" t="str">
        <f t="shared" si="95"/>
        <v/>
      </c>
      <c r="LX7" s="40" t="str">
        <f t="shared" si="96"/>
        <v/>
      </c>
      <c r="LY7" s="40" t="str">
        <f t="shared" si="97"/>
        <v/>
      </c>
      <c r="LZ7" s="40" t="str">
        <f t="shared" si="98"/>
        <v/>
      </c>
      <c r="MA7" s="40" t="str">
        <f t="shared" si="99"/>
        <v/>
      </c>
      <c r="MB7" s="40" t="str">
        <f t="shared" si="100"/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 t="shared" si="101"/>
        <v/>
      </c>
      <c r="MX7" s="11" t="str">
        <f t="shared" si="102"/>
        <v/>
      </c>
      <c r="MY7" s="11" t="str">
        <f t="shared" si="103"/>
        <v/>
      </c>
      <c r="MZ7" s="11" t="str">
        <f t="shared" si="104"/>
        <v/>
      </c>
      <c r="NA7" s="11" t="str">
        <f t="shared" si="105"/>
        <v/>
      </c>
      <c r="NB7" s="11" t="str">
        <f t="shared" si="106"/>
        <v/>
      </c>
      <c r="NC7" s="11" t="str">
        <f t="shared" si="107"/>
        <v/>
      </c>
      <c r="ND7" s="11" t="str">
        <f t="shared" si="108"/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 t="shared" si="109"/>
        <v/>
      </c>
      <c r="NZ7" s="40" t="str">
        <f t="shared" si="110"/>
        <v/>
      </c>
      <c r="OA7" s="40" t="str">
        <f t="shared" si="111"/>
        <v/>
      </c>
      <c r="OB7" s="40" t="str">
        <f t="shared" si="112"/>
        <v/>
      </c>
      <c r="OC7" s="40" t="str">
        <f t="shared" si="113"/>
        <v/>
      </c>
      <c r="OD7" s="40" t="str">
        <f t="shared" si="114"/>
        <v/>
      </c>
      <c r="OE7" s="40" t="str">
        <f t="shared" si="115"/>
        <v/>
      </c>
      <c r="OF7" s="40" t="str">
        <f t="shared" si="116"/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 t="shared" si="117"/>
        <v/>
      </c>
      <c r="PB7" s="11" t="str">
        <f t="shared" si="118"/>
        <v/>
      </c>
      <c r="PC7" s="11" t="str">
        <f t="shared" si="119"/>
        <v/>
      </c>
      <c r="PD7" s="11" t="str">
        <f t="shared" si="120"/>
        <v/>
      </c>
      <c r="PE7" s="11" t="str">
        <f t="shared" si="121"/>
        <v/>
      </c>
      <c r="PF7" s="11" t="str">
        <f t="shared" si="122"/>
        <v/>
      </c>
      <c r="PG7" s="11" t="str">
        <f t="shared" si="123"/>
        <v/>
      </c>
      <c r="PH7" s="11" t="str">
        <f t="shared" si="124"/>
        <v/>
      </c>
      <c r="PI7" s="22">
        <f t="shared" si="125"/>
        <v>15.35</v>
      </c>
      <c r="PJ7" s="22">
        <f t="shared" si="126"/>
        <v>4.5999999999999996</v>
      </c>
      <c r="PK7" s="22">
        <f t="shared" si="127"/>
        <v>0</v>
      </c>
      <c r="PL7" s="22">
        <f t="shared" si="128"/>
        <v>0</v>
      </c>
      <c r="PM7" s="22">
        <f t="shared" si="129"/>
        <v>15.25</v>
      </c>
      <c r="PN7" s="22">
        <f t="shared" si="130"/>
        <v>4.8</v>
      </c>
      <c r="PO7" s="22">
        <f t="shared" si="131"/>
        <v>0.1</v>
      </c>
      <c r="PP7" s="22">
        <f t="shared" si="132"/>
        <v>0</v>
      </c>
      <c r="PQ7" s="22">
        <f t="shared" si="133"/>
        <v>16.25</v>
      </c>
      <c r="PR7" s="22">
        <f t="shared" si="134"/>
        <v>4.5999999999999996</v>
      </c>
      <c r="PS7" s="22">
        <f t="shared" si="135"/>
        <v>0</v>
      </c>
      <c r="PT7" s="22">
        <f t="shared" si="136"/>
        <v>0</v>
      </c>
      <c r="PU7" s="22">
        <f t="shared" si="137"/>
        <v>16.399999999999999</v>
      </c>
      <c r="PV7" s="22">
        <f t="shared" si="138"/>
        <v>4.8</v>
      </c>
      <c r="PW7" s="22">
        <f t="shared" si="139"/>
        <v>0</v>
      </c>
      <c r="PX7" s="22">
        <f t="shared" si="140"/>
        <v>0</v>
      </c>
      <c r="PY7" s="27" t="s">
        <v>46</v>
      </c>
      <c r="PZ7" s="40">
        <f t="shared" si="141"/>
        <v>9.3999999999999986</v>
      </c>
      <c r="QA7" s="40">
        <f t="shared" si="142"/>
        <v>39.9</v>
      </c>
      <c r="QB7" s="40">
        <f t="shared" si="143"/>
        <v>9.3999999999999986</v>
      </c>
      <c r="QC7" s="40">
        <f t="shared" si="144"/>
        <v>42.05</v>
      </c>
      <c r="QD7" s="40">
        <f t="shared" si="145"/>
        <v>81.949999999999989</v>
      </c>
    </row>
    <row r="8" spans="1:446" x14ac:dyDescent="0.2">
      <c r="A8" s="4" t="str" cm="1">
        <f t="array" ref="A8">IF(AND(J8&lt;&gt;"",J8&lt;&gt;"No DD"),SUMPRODUCT((J$4:J$18&lt;&gt;"")*(J$4:J$18&lt;&gt;"No DD")*(F$4:F$18&gt;F8))+1,IF(J8="No DD",SUMPRODUCT((J$4:J$18="No DD")*(F$4:F$18&gt;F8))+1+SUMPRODUCT((J$4:J$18&lt;&gt;"")*(J$4:J$18&lt;&gt;"No DD")),""))</f>
        <v/>
      </c>
      <c r="B8" s="4" t="str" cm="1">
        <f t="array" ref="B8">IF(AND(J8&lt;&gt;"",J8&lt;&gt;"No DD",G8=""),SUMPRODUCT((J$4:J$18&lt;&gt;"")*(J$4:J$18&lt;&gt;"No DD")*(G$4:G$18="")*(F$4:F$18&gt;F8))+1,IF(J8="No DD",SUMPRODUCT((J$4:J$18="No DD")*(F$4:F$18&gt;F8)*(G$4:G$18=""))+1+SUMPRODUCT((J$4:J$18&lt;&gt;"")*(G$4:G$18="")*(J$4:J$18&lt;&gt;"No DD")),""))</f>
        <v/>
      </c>
      <c r="C8" s="5" t="s">
        <v>122</v>
      </c>
      <c r="D8" s="4" t="s">
        <v>3</v>
      </c>
      <c r="E8" s="4">
        <v>2007</v>
      </c>
      <c r="F8" s="9">
        <f t="shared" si="0"/>
        <v>123.70000820000418</v>
      </c>
      <c r="G8" s="64"/>
      <c r="H8" s="3" t="str">
        <f t="shared" si="1"/>
        <v/>
      </c>
      <c r="I8" s="3" t="str">
        <f t="shared" si="2"/>
        <v/>
      </c>
      <c r="J8" s="36" t="str">
        <f t="shared" si="3"/>
        <v/>
      </c>
      <c r="K8" s="3" t="str">
        <f t="shared" si="4"/>
        <v/>
      </c>
      <c r="L8" s="8">
        <f>IF(COUNT(AM8,BI8,CE8)&gt;0,LARGE((AM8,BI8,CE8),1),0)</f>
        <v>41.9</v>
      </c>
      <c r="M8" s="8" t="str">
        <f t="shared" si="5"/>
        <v>2025 Nationals</v>
      </c>
      <c r="N8" s="8">
        <f>IF(COUNT(AM8,BI8,CE8)&gt;1,LARGE((AM8,BI8,CE8),2),0)</f>
        <v>40.1</v>
      </c>
      <c r="O8" s="8" t="str">
        <f t="shared" si="6"/>
        <v>2025 Elite Canada</v>
      </c>
      <c r="P8" s="8">
        <f t="shared" si="7"/>
        <v>41.699999999999996</v>
      </c>
      <c r="Q8" s="8" t="str">
        <f t="shared" si="8"/>
        <v>2025 Nationals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15.3</v>
      </c>
      <c r="V8" s="19">
        <v>4.2</v>
      </c>
      <c r="W8" s="19">
        <v>0.4</v>
      </c>
      <c r="X8" s="19">
        <v>0.7</v>
      </c>
      <c r="Y8" s="19">
        <v>15.7</v>
      </c>
      <c r="Z8" s="19">
        <v>4.5999999999999996</v>
      </c>
      <c r="AA8" s="19">
        <v>0</v>
      </c>
      <c r="AB8" s="19">
        <v>0</v>
      </c>
      <c r="AC8" s="19">
        <v>15.6</v>
      </c>
      <c r="AD8" s="19">
        <v>4.0999999999999996</v>
      </c>
      <c r="AE8" s="19">
        <v>0</v>
      </c>
      <c r="AF8" s="19">
        <v>0.7</v>
      </c>
      <c r="AG8" s="19">
        <v>16.399999999999999</v>
      </c>
      <c r="AH8" s="19">
        <v>4.8</v>
      </c>
      <c r="AI8" s="19">
        <v>0</v>
      </c>
      <c r="AJ8" s="19">
        <v>0</v>
      </c>
      <c r="AK8" s="27"/>
      <c r="AL8" s="40">
        <f t="shared" si="12"/>
        <v>8.8000000000000007</v>
      </c>
      <c r="AM8" s="40">
        <f t="shared" si="13"/>
        <v>40.1</v>
      </c>
      <c r="AN8" s="40">
        <f t="shared" si="14"/>
        <v>8.8999999999999986</v>
      </c>
      <c r="AO8" s="40">
        <f t="shared" si="15"/>
        <v>41.599999999999994</v>
      </c>
      <c r="AP8" s="40">
        <f t="shared" si="16"/>
        <v>81.699999999999989</v>
      </c>
      <c r="AQ8" s="18">
        <v>16.399999999999999</v>
      </c>
      <c r="AR8" s="18">
        <v>4.2</v>
      </c>
      <c r="AS8" s="18">
        <v>0</v>
      </c>
      <c r="AT8" s="18">
        <v>0.7</v>
      </c>
      <c r="AU8" s="18">
        <v>16</v>
      </c>
      <c r="AV8" s="18">
        <v>4.5999999999999996</v>
      </c>
      <c r="AW8" s="18">
        <v>0</v>
      </c>
      <c r="AX8" s="18">
        <v>0</v>
      </c>
      <c r="AY8" s="18">
        <v>16.2</v>
      </c>
      <c r="AZ8" s="18">
        <v>3.3</v>
      </c>
      <c r="BA8" s="18">
        <v>0</v>
      </c>
      <c r="BB8" s="18">
        <v>0.7</v>
      </c>
      <c r="BC8" s="18">
        <v>16.7</v>
      </c>
      <c r="BD8" s="18">
        <v>4.8</v>
      </c>
      <c r="BE8" s="18">
        <v>0</v>
      </c>
      <c r="BF8" s="18">
        <v>0</v>
      </c>
      <c r="BG8" s="28"/>
      <c r="BH8" s="11">
        <f t="shared" si="17"/>
        <v>8.8000000000000007</v>
      </c>
      <c r="BI8" s="11">
        <f t="shared" si="18"/>
        <v>41.9</v>
      </c>
      <c r="BJ8" s="11">
        <f t="shared" si="19"/>
        <v>8.1</v>
      </c>
      <c r="BK8" s="11">
        <f t="shared" si="20"/>
        <v>41.699999999999996</v>
      </c>
      <c r="BL8" s="11">
        <f t="shared" si="21"/>
        <v>83.6</v>
      </c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27"/>
      <c r="CD8" s="40" t="str">
        <f t="shared" si="22"/>
        <v/>
      </c>
      <c r="CE8" s="40" t="str">
        <f t="shared" si="23"/>
        <v/>
      </c>
      <c r="CF8" s="40" t="str">
        <f t="shared" si="24"/>
        <v/>
      </c>
      <c r="CG8" s="40" t="str">
        <f t="shared" si="25"/>
        <v/>
      </c>
      <c r="CH8" s="40" t="str">
        <f t="shared" si="26"/>
        <v/>
      </c>
      <c r="CI8" s="50" t="str">
        <f t="shared" si="27"/>
        <v/>
      </c>
      <c r="CJ8" s="50" t="str">
        <f t="shared" si="28"/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 t="shared" si="29"/>
        <v/>
      </c>
      <c r="DF8" s="40" t="str">
        <f t="shared" si="30"/>
        <v/>
      </c>
      <c r="DG8" s="40" t="str">
        <f t="shared" si="31"/>
        <v/>
      </c>
      <c r="DH8" s="40" t="str">
        <f t="shared" si="32"/>
        <v/>
      </c>
      <c r="DI8" s="40" t="str">
        <f t="shared" si="33"/>
        <v/>
      </c>
      <c r="DJ8" s="40" t="str">
        <f t="shared" si="34"/>
        <v/>
      </c>
      <c r="DK8" s="40" t="str">
        <f t="shared" si="35"/>
        <v/>
      </c>
      <c r="DL8" s="40" t="str">
        <f t="shared" si="36"/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 t="shared" si="37"/>
        <v/>
      </c>
      <c r="EH8" s="11" t="str">
        <f t="shared" si="38"/>
        <v/>
      </c>
      <c r="EI8" s="11" t="str">
        <f t="shared" si="39"/>
        <v/>
      </c>
      <c r="EJ8" s="11" t="str">
        <f t="shared" si="40"/>
        <v/>
      </c>
      <c r="EK8" s="11" t="str">
        <f t="shared" si="41"/>
        <v/>
      </c>
      <c r="EL8" s="11" t="str">
        <f t="shared" si="42"/>
        <v/>
      </c>
      <c r="EM8" s="11" t="str">
        <f t="shared" si="43"/>
        <v/>
      </c>
      <c r="EN8" s="11" t="str">
        <f t="shared" si="44"/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 t="shared" si="45"/>
        <v/>
      </c>
      <c r="FJ8" s="40" t="str">
        <f t="shared" si="46"/>
        <v/>
      </c>
      <c r="FK8" s="40" t="str">
        <f t="shared" si="47"/>
        <v/>
      </c>
      <c r="FL8" s="40" t="str">
        <f t="shared" si="48"/>
        <v/>
      </c>
      <c r="FM8" s="40" t="str">
        <f t="shared" si="49"/>
        <v/>
      </c>
      <c r="FN8" s="40" t="str">
        <f t="shared" si="50"/>
        <v/>
      </c>
      <c r="FO8" s="40" t="str">
        <f t="shared" si="51"/>
        <v/>
      </c>
      <c r="FP8" s="40" t="str">
        <f t="shared" si="52"/>
        <v/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 t="shared" si="53"/>
        <v/>
      </c>
      <c r="GL8" s="11" t="str">
        <f t="shared" si="54"/>
        <v/>
      </c>
      <c r="GM8" s="11" t="str">
        <f t="shared" si="55"/>
        <v/>
      </c>
      <c r="GN8" s="11" t="str">
        <f t="shared" si="56"/>
        <v/>
      </c>
      <c r="GO8" s="11" t="str">
        <f t="shared" si="57"/>
        <v/>
      </c>
      <c r="GP8" s="11" t="str">
        <f t="shared" si="58"/>
        <v/>
      </c>
      <c r="GQ8" s="11" t="str">
        <f t="shared" si="59"/>
        <v/>
      </c>
      <c r="GR8" s="11" t="str">
        <f t="shared" si="60"/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 t="shared" si="61"/>
        <v/>
      </c>
      <c r="HN8" s="40" t="str">
        <f t="shared" si="62"/>
        <v/>
      </c>
      <c r="HO8" s="40" t="str">
        <f t="shared" si="63"/>
        <v/>
      </c>
      <c r="HP8" s="40" t="str">
        <f t="shared" si="64"/>
        <v/>
      </c>
      <c r="HQ8" s="40" t="str">
        <f t="shared" si="65"/>
        <v/>
      </c>
      <c r="HR8" s="40" t="str">
        <f t="shared" si="66"/>
        <v/>
      </c>
      <c r="HS8" s="40" t="str">
        <f t="shared" si="67"/>
        <v/>
      </c>
      <c r="HT8" s="40" t="str">
        <f t="shared" si="68"/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 t="shared" si="69"/>
        <v/>
      </c>
      <c r="IP8" s="11" t="str">
        <f t="shared" si="70"/>
        <v/>
      </c>
      <c r="IQ8" s="11" t="str">
        <f t="shared" si="71"/>
        <v/>
      </c>
      <c r="IR8" s="11" t="str">
        <f t="shared" si="72"/>
        <v/>
      </c>
      <c r="IS8" s="11" t="str">
        <f t="shared" si="73"/>
        <v/>
      </c>
      <c r="IT8" s="11" t="str">
        <f t="shared" si="74"/>
        <v/>
      </c>
      <c r="IU8" s="11" t="str">
        <f t="shared" si="75"/>
        <v/>
      </c>
      <c r="IV8" s="11" t="str">
        <f t="shared" si="76"/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 t="shared" si="77"/>
        <v/>
      </c>
      <c r="JR8" s="40" t="str">
        <f t="shared" si="78"/>
        <v/>
      </c>
      <c r="JS8" s="40" t="str">
        <f t="shared" si="79"/>
        <v/>
      </c>
      <c r="JT8" s="40" t="str">
        <f t="shared" si="80"/>
        <v/>
      </c>
      <c r="JU8" s="40" t="str">
        <f t="shared" si="81"/>
        <v/>
      </c>
      <c r="JV8" s="40" t="str">
        <f t="shared" si="82"/>
        <v/>
      </c>
      <c r="JW8" s="40" t="str">
        <f t="shared" si="83"/>
        <v/>
      </c>
      <c r="JX8" s="40" t="str">
        <f t="shared" si="84"/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 t="shared" si="85"/>
        <v/>
      </c>
      <c r="KT8" s="11" t="str">
        <f t="shared" si="86"/>
        <v/>
      </c>
      <c r="KU8" s="11" t="str">
        <f t="shared" si="87"/>
        <v/>
      </c>
      <c r="KV8" s="11" t="str">
        <f t="shared" si="88"/>
        <v/>
      </c>
      <c r="KW8" s="11" t="str">
        <f t="shared" si="89"/>
        <v/>
      </c>
      <c r="KX8" s="11" t="str">
        <f t="shared" si="90"/>
        <v/>
      </c>
      <c r="KY8" s="11" t="str">
        <f t="shared" si="91"/>
        <v/>
      </c>
      <c r="KZ8" s="11" t="str">
        <f t="shared" si="92"/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 t="shared" si="93"/>
        <v/>
      </c>
      <c r="LV8" s="40" t="str">
        <f t="shared" si="94"/>
        <v/>
      </c>
      <c r="LW8" s="40" t="str">
        <f t="shared" si="95"/>
        <v/>
      </c>
      <c r="LX8" s="40" t="str">
        <f t="shared" si="96"/>
        <v/>
      </c>
      <c r="LY8" s="40" t="str">
        <f t="shared" si="97"/>
        <v/>
      </c>
      <c r="LZ8" s="40" t="str">
        <f t="shared" si="98"/>
        <v/>
      </c>
      <c r="MA8" s="40" t="str">
        <f t="shared" si="99"/>
        <v/>
      </c>
      <c r="MB8" s="40" t="str">
        <f t="shared" si="100"/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 t="shared" si="101"/>
        <v/>
      </c>
      <c r="MX8" s="11" t="str">
        <f t="shared" si="102"/>
        <v/>
      </c>
      <c r="MY8" s="11" t="str">
        <f t="shared" si="103"/>
        <v/>
      </c>
      <c r="MZ8" s="11" t="str">
        <f t="shared" si="104"/>
        <v/>
      </c>
      <c r="NA8" s="11" t="str">
        <f t="shared" si="105"/>
        <v/>
      </c>
      <c r="NB8" s="11" t="str">
        <f t="shared" si="106"/>
        <v/>
      </c>
      <c r="NC8" s="11" t="str">
        <f t="shared" si="107"/>
        <v/>
      </c>
      <c r="ND8" s="11" t="str">
        <f t="shared" si="108"/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 t="shared" si="109"/>
        <v/>
      </c>
      <c r="NZ8" s="40" t="str">
        <f t="shared" si="110"/>
        <v/>
      </c>
      <c r="OA8" s="40" t="str">
        <f t="shared" si="111"/>
        <v/>
      </c>
      <c r="OB8" s="40" t="str">
        <f t="shared" si="112"/>
        <v/>
      </c>
      <c r="OC8" s="40" t="str">
        <f t="shared" si="113"/>
        <v/>
      </c>
      <c r="OD8" s="40" t="str">
        <f t="shared" si="114"/>
        <v/>
      </c>
      <c r="OE8" s="40" t="str">
        <f t="shared" si="115"/>
        <v/>
      </c>
      <c r="OF8" s="40" t="str">
        <f t="shared" si="116"/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 t="shared" si="117"/>
        <v/>
      </c>
      <c r="PB8" s="11" t="str">
        <f t="shared" si="118"/>
        <v/>
      </c>
      <c r="PC8" s="11" t="str">
        <f t="shared" si="119"/>
        <v/>
      </c>
      <c r="PD8" s="11" t="str">
        <f t="shared" si="120"/>
        <v/>
      </c>
      <c r="PE8" s="11" t="str">
        <f t="shared" si="121"/>
        <v/>
      </c>
      <c r="PF8" s="11" t="str">
        <f t="shared" si="122"/>
        <v/>
      </c>
      <c r="PG8" s="11" t="str">
        <f t="shared" si="123"/>
        <v/>
      </c>
      <c r="PH8" s="11" t="str">
        <f t="shared" si="124"/>
        <v/>
      </c>
      <c r="PI8" s="22">
        <f t="shared" si="125"/>
        <v>8.1999999999999993</v>
      </c>
      <c r="PJ8" s="22">
        <f t="shared" si="126"/>
        <v>2.1</v>
      </c>
      <c r="PK8" s="22">
        <f t="shared" si="127"/>
        <v>0</v>
      </c>
      <c r="PL8" s="22">
        <f t="shared" si="128"/>
        <v>0.35</v>
      </c>
      <c r="PM8" s="22">
        <f t="shared" si="129"/>
        <v>8</v>
      </c>
      <c r="PN8" s="22">
        <f t="shared" si="130"/>
        <v>2.2999999999999998</v>
      </c>
      <c r="PO8" s="22">
        <f t="shared" si="131"/>
        <v>0</v>
      </c>
      <c r="PP8" s="22">
        <f t="shared" si="132"/>
        <v>0</v>
      </c>
      <c r="PQ8" s="22">
        <f t="shared" si="133"/>
        <v>8.1</v>
      </c>
      <c r="PR8" s="22">
        <f t="shared" si="134"/>
        <v>1.65</v>
      </c>
      <c r="PS8" s="22">
        <f t="shared" si="135"/>
        <v>0</v>
      </c>
      <c r="PT8" s="22">
        <f t="shared" si="136"/>
        <v>0.35</v>
      </c>
      <c r="PU8" s="22">
        <f t="shared" si="137"/>
        <v>8.35</v>
      </c>
      <c r="PV8" s="22">
        <f t="shared" si="138"/>
        <v>2.4</v>
      </c>
      <c r="PW8" s="22">
        <f t="shared" si="139"/>
        <v>0</v>
      </c>
      <c r="PX8" s="22">
        <f t="shared" si="140"/>
        <v>0</v>
      </c>
      <c r="PY8" s="27" t="s">
        <v>46</v>
      </c>
      <c r="PZ8" s="40">
        <f t="shared" si="141"/>
        <v>4.4000000000000004</v>
      </c>
      <c r="QA8" s="40">
        <f t="shared" si="142"/>
        <v>20.95</v>
      </c>
      <c r="QB8" s="40">
        <f t="shared" si="143"/>
        <v>4.05</v>
      </c>
      <c r="QC8" s="40">
        <f t="shared" si="144"/>
        <v>20.849999999999998</v>
      </c>
      <c r="QD8" s="40">
        <f t="shared" si="145"/>
        <v>41.8</v>
      </c>
    </row>
    <row r="9" spans="1:446" x14ac:dyDescent="0.2">
      <c r="A9" s="4" t="str" cm="1">
        <f t="array" ref="A9">IF(AND(J9&lt;&gt;"",J9&lt;&gt;"No DD"),SUMPRODUCT((J$4:J$18&lt;&gt;"")*(J$4:J$18&lt;&gt;"No DD")*(F$4:F$18&gt;F9))+1,IF(J9="No DD",SUMPRODUCT((J$4:J$18="No DD")*(F$4:F$18&gt;F9))+1+SUMPRODUCT((J$4:J$18&lt;&gt;"")*(J$4:J$18&lt;&gt;"No DD")),""))</f>
        <v/>
      </c>
      <c r="B9" s="4" t="str" cm="1">
        <f t="array" ref="B9">IF(AND(J9&lt;&gt;"",J9&lt;&gt;"No DD",G9=""),SUMPRODUCT((J$4:J$18&lt;&gt;"")*(J$4:J$18&lt;&gt;"No DD")*(G$4:G$18="")*(F$4:F$18&gt;F9))+1,IF(J9="No DD",SUMPRODUCT((J$4:J$18="No DD")*(F$4:F$18&gt;F9)*(G$4:G$18=""))+1+SUMPRODUCT((J$4:J$18&lt;&gt;"")*(G$4:G$18="")*(J$4:J$18&lt;&gt;"No DD")),""))</f>
        <v/>
      </c>
      <c r="C9" s="5" t="s">
        <v>132</v>
      </c>
      <c r="D9" s="4" t="s">
        <v>6</v>
      </c>
      <c r="E9" s="4">
        <v>2006</v>
      </c>
      <c r="F9" s="9">
        <f t="shared" si="0"/>
        <v>122.10000817000413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IF(COUNT(AM9,BI9,CE9)&gt;0,LARGE((AM9,BI9,CE9),1),0)</f>
        <v>41.4</v>
      </c>
      <c r="M9" s="8" t="str">
        <f t="shared" si="5"/>
        <v>2025 Nationals</v>
      </c>
      <c r="N9" s="8">
        <f>IF(COUNT(AM9,BI9,CE9)&gt;1,LARGE((AM9,BI9,CE9),2),0)</f>
        <v>40.299999999999997</v>
      </c>
      <c r="O9" s="8" t="str">
        <f t="shared" si="6"/>
        <v>2025 Elite Canada</v>
      </c>
      <c r="P9" s="8">
        <f t="shared" si="7"/>
        <v>40.4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15.9</v>
      </c>
      <c r="V9" s="19">
        <v>4.0999999999999996</v>
      </c>
      <c r="W9" s="19">
        <v>0</v>
      </c>
      <c r="X9" s="19">
        <v>0</v>
      </c>
      <c r="Y9" s="19">
        <v>16.399999999999999</v>
      </c>
      <c r="Z9" s="19">
        <v>3.9</v>
      </c>
      <c r="AA9" s="19">
        <v>0</v>
      </c>
      <c r="AB9" s="19">
        <v>0</v>
      </c>
      <c r="AC9" s="19">
        <v>15.5</v>
      </c>
      <c r="AD9" s="19">
        <v>4.5999999999999996</v>
      </c>
      <c r="AE9" s="19">
        <v>0</v>
      </c>
      <c r="AF9" s="19">
        <v>0</v>
      </c>
      <c r="AG9" s="19">
        <v>16.2</v>
      </c>
      <c r="AH9" s="19">
        <v>4.0999999999999996</v>
      </c>
      <c r="AI9" s="19">
        <v>0</v>
      </c>
      <c r="AJ9" s="19">
        <v>0</v>
      </c>
      <c r="AK9" s="27"/>
      <c r="AL9" s="40">
        <f t="shared" si="12"/>
        <v>8</v>
      </c>
      <c r="AM9" s="40">
        <f t="shared" si="13"/>
        <v>40.299999999999997</v>
      </c>
      <c r="AN9" s="40">
        <f t="shared" si="14"/>
        <v>8.6999999999999993</v>
      </c>
      <c r="AO9" s="40">
        <f t="shared" si="15"/>
        <v>40.4</v>
      </c>
      <c r="AP9" s="40">
        <f t="shared" si="16"/>
        <v>80.699999999999989</v>
      </c>
      <c r="AQ9" s="18">
        <v>16.3</v>
      </c>
      <c r="AR9" s="18">
        <v>4.0999999999999996</v>
      </c>
      <c r="AS9" s="18">
        <v>0</v>
      </c>
      <c r="AT9" s="18">
        <v>0</v>
      </c>
      <c r="AU9" s="18">
        <v>17.100000000000001</v>
      </c>
      <c r="AV9" s="18">
        <v>3.9</v>
      </c>
      <c r="AW9" s="18">
        <v>0</v>
      </c>
      <c r="AX9" s="18">
        <v>0</v>
      </c>
      <c r="AY9" s="18">
        <v>13.7</v>
      </c>
      <c r="AZ9" s="18">
        <v>1.8</v>
      </c>
      <c r="BA9" s="18">
        <v>0</v>
      </c>
      <c r="BB9" s="18">
        <v>0</v>
      </c>
      <c r="BC9" s="18">
        <v>14.6</v>
      </c>
      <c r="BD9" s="18">
        <v>2.8</v>
      </c>
      <c r="BE9" s="18">
        <v>0.6</v>
      </c>
      <c r="BF9" s="18">
        <v>0</v>
      </c>
      <c r="BG9" s="28"/>
      <c r="BH9" s="11">
        <f t="shared" si="17"/>
        <v>8</v>
      </c>
      <c r="BI9" s="11">
        <f t="shared" si="18"/>
        <v>41.4</v>
      </c>
      <c r="BJ9" s="11">
        <f t="shared" si="19"/>
        <v>4.5999999999999996</v>
      </c>
      <c r="BK9" s="11">
        <f t="shared" si="20"/>
        <v>32.299999999999997</v>
      </c>
      <c r="BL9" s="11">
        <f t="shared" si="21"/>
        <v>73.699999999999989</v>
      </c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27"/>
      <c r="CD9" s="40" t="str">
        <f t="shared" si="22"/>
        <v/>
      </c>
      <c r="CE9" s="40" t="str">
        <f t="shared" si="23"/>
        <v/>
      </c>
      <c r="CF9" s="40" t="str">
        <f t="shared" si="24"/>
        <v/>
      </c>
      <c r="CG9" s="40" t="str">
        <f t="shared" si="25"/>
        <v/>
      </c>
      <c r="CH9" s="40" t="str">
        <f t="shared" si="26"/>
        <v/>
      </c>
      <c r="CI9" s="50" t="str">
        <f t="shared" si="27"/>
        <v/>
      </c>
      <c r="CJ9" s="50" t="str">
        <f t="shared" si="28"/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 t="shared" si="29"/>
        <v/>
      </c>
      <c r="DF9" s="40" t="str">
        <f t="shared" si="30"/>
        <v/>
      </c>
      <c r="DG9" s="40" t="str">
        <f t="shared" si="31"/>
        <v/>
      </c>
      <c r="DH9" s="40" t="str">
        <f t="shared" si="32"/>
        <v/>
      </c>
      <c r="DI9" s="40" t="str">
        <f t="shared" si="33"/>
        <v/>
      </c>
      <c r="DJ9" s="40" t="str">
        <f t="shared" si="34"/>
        <v/>
      </c>
      <c r="DK9" s="40" t="str">
        <f t="shared" si="35"/>
        <v/>
      </c>
      <c r="DL9" s="40" t="str">
        <f t="shared" si="36"/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 t="shared" si="37"/>
        <v/>
      </c>
      <c r="EH9" s="11" t="str">
        <f t="shared" si="38"/>
        <v/>
      </c>
      <c r="EI9" s="11" t="str">
        <f t="shared" si="39"/>
        <v/>
      </c>
      <c r="EJ9" s="11" t="str">
        <f t="shared" si="40"/>
        <v/>
      </c>
      <c r="EK9" s="11" t="str">
        <f t="shared" si="41"/>
        <v/>
      </c>
      <c r="EL9" s="11" t="str">
        <f t="shared" si="42"/>
        <v/>
      </c>
      <c r="EM9" s="11" t="str">
        <f t="shared" si="43"/>
        <v/>
      </c>
      <c r="EN9" s="11" t="str">
        <f t="shared" si="44"/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 t="shared" si="45"/>
        <v/>
      </c>
      <c r="FJ9" s="40" t="str">
        <f t="shared" si="46"/>
        <v/>
      </c>
      <c r="FK9" s="40" t="str">
        <f t="shared" si="47"/>
        <v/>
      </c>
      <c r="FL9" s="40" t="str">
        <f t="shared" si="48"/>
        <v/>
      </c>
      <c r="FM9" s="40" t="str">
        <f t="shared" si="49"/>
        <v/>
      </c>
      <c r="FN9" s="40" t="str">
        <f t="shared" si="50"/>
        <v/>
      </c>
      <c r="FO9" s="40" t="str">
        <f t="shared" si="51"/>
        <v/>
      </c>
      <c r="FP9" s="40" t="str">
        <f t="shared" si="52"/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 t="shared" si="53"/>
        <v/>
      </c>
      <c r="GL9" s="11" t="str">
        <f t="shared" si="54"/>
        <v/>
      </c>
      <c r="GM9" s="11" t="str">
        <f t="shared" si="55"/>
        <v/>
      </c>
      <c r="GN9" s="11" t="str">
        <f t="shared" si="56"/>
        <v/>
      </c>
      <c r="GO9" s="11" t="str">
        <f t="shared" si="57"/>
        <v/>
      </c>
      <c r="GP9" s="11" t="str">
        <f t="shared" si="58"/>
        <v/>
      </c>
      <c r="GQ9" s="11" t="str">
        <f t="shared" si="59"/>
        <v/>
      </c>
      <c r="GR9" s="11" t="str">
        <f t="shared" si="60"/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 t="shared" si="61"/>
        <v/>
      </c>
      <c r="HN9" s="40" t="str">
        <f t="shared" si="62"/>
        <v/>
      </c>
      <c r="HO9" s="40" t="str">
        <f t="shared" si="63"/>
        <v/>
      </c>
      <c r="HP9" s="40" t="str">
        <f t="shared" si="64"/>
        <v/>
      </c>
      <c r="HQ9" s="40" t="str">
        <f t="shared" si="65"/>
        <v/>
      </c>
      <c r="HR9" s="40" t="str">
        <f t="shared" si="66"/>
        <v/>
      </c>
      <c r="HS9" s="40" t="str">
        <f t="shared" si="67"/>
        <v/>
      </c>
      <c r="HT9" s="40" t="str">
        <f t="shared" si="68"/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 t="shared" si="69"/>
        <v/>
      </c>
      <c r="IP9" s="11" t="str">
        <f t="shared" si="70"/>
        <v/>
      </c>
      <c r="IQ9" s="11" t="str">
        <f t="shared" si="71"/>
        <v/>
      </c>
      <c r="IR9" s="11" t="str">
        <f t="shared" si="72"/>
        <v/>
      </c>
      <c r="IS9" s="11" t="str">
        <f t="shared" si="73"/>
        <v/>
      </c>
      <c r="IT9" s="11" t="str">
        <f t="shared" si="74"/>
        <v/>
      </c>
      <c r="IU9" s="11" t="str">
        <f t="shared" si="75"/>
        <v/>
      </c>
      <c r="IV9" s="11" t="str">
        <f t="shared" si="76"/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 t="shared" si="77"/>
        <v/>
      </c>
      <c r="JR9" s="40" t="str">
        <f t="shared" si="78"/>
        <v/>
      </c>
      <c r="JS9" s="40" t="str">
        <f t="shared" si="79"/>
        <v/>
      </c>
      <c r="JT9" s="40" t="str">
        <f t="shared" si="80"/>
        <v/>
      </c>
      <c r="JU9" s="40" t="str">
        <f t="shared" si="81"/>
        <v/>
      </c>
      <c r="JV9" s="40" t="str">
        <f t="shared" si="82"/>
        <v/>
      </c>
      <c r="JW9" s="40" t="str">
        <f t="shared" si="83"/>
        <v/>
      </c>
      <c r="JX9" s="40" t="str">
        <f t="shared" si="84"/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 t="shared" si="85"/>
        <v/>
      </c>
      <c r="KT9" s="11" t="str">
        <f t="shared" si="86"/>
        <v/>
      </c>
      <c r="KU9" s="11" t="str">
        <f t="shared" si="87"/>
        <v/>
      </c>
      <c r="KV9" s="11" t="str">
        <f t="shared" si="88"/>
        <v/>
      </c>
      <c r="KW9" s="11" t="str">
        <f t="shared" si="89"/>
        <v/>
      </c>
      <c r="KX9" s="11" t="str">
        <f t="shared" si="90"/>
        <v/>
      </c>
      <c r="KY9" s="11" t="str">
        <f t="shared" si="91"/>
        <v/>
      </c>
      <c r="KZ9" s="11" t="str">
        <f t="shared" si="92"/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 t="shared" si="93"/>
        <v/>
      </c>
      <c r="LV9" s="40" t="str">
        <f t="shared" si="94"/>
        <v/>
      </c>
      <c r="LW9" s="40" t="str">
        <f t="shared" si="95"/>
        <v/>
      </c>
      <c r="LX9" s="40" t="str">
        <f t="shared" si="96"/>
        <v/>
      </c>
      <c r="LY9" s="40" t="str">
        <f t="shared" si="97"/>
        <v/>
      </c>
      <c r="LZ9" s="40" t="str">
        <f t="shared" si="98"/>
        <v/>
      </c>
      <c r="MA9" s="40" t="str">
        <f t="shared" si="99"/>
        <v/>
      </c>
      <c r="MB9" s="40" t="str">
        <f t="shared" si="100"/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 t="shared" si="101"/>
        <v/>
      </c>
      <c r="MX9" s="11" t="str">
        <f t="shared" si="102"/>
        <v/>
      </c>
      <c r="MY9" s="11" t="str">
        <f t="shared" si="103"/>
        <v/>
      </c>
      <c r="MZ9" s="11" t="str">
        <f t="shared" si="104"/>
        <v/>
      </c>
      <c r="NA9" s="11" t="str">
        <f t="shared" si="105"/>
        <v/>
      </c>
      <c r="NB9" s="11" t="str">
        <f t="shared" si="106"/>
        <v/>
      </c>
      <c r="NC9" s="11" t="str">
        <f t="shared" si="107"/>
        <v/>
      </c>
      <c r="ND9" s="11" t="str">
        <f t="shared" si="108"/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 t="shared" si="109"/>
        <v/>
      </c>
      <c r="NZ9" s="40" t="str">
        <f t="shared" si="110"/>
        <v/>
      </c>
      <c r="OA9" s="40" t="str">
        <f t="shared" si="111"/>
        <v/>
      </c>
      <c r="OB9" s="40" t="str">
        <f t="shared" si="112"/>
        <v/>
      </c>
      <c r="OC9" s="40" t="str">
        <f t="shared" si="113"/>
        <v/>
      </c>
      <c r="OD9" s="40" t="str">
        <f t="shared" si="114"/>
        <v/>
      </c>
      <c r="OE9" s="40" t="str">
        <f t="shared" si="115"/>
        <v/>
      </c>
      <c r="OF9" s="40" t="str">
        <f t="shared" si="116"/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 t="shared" si="117"/>
        <v/>
      </c>
      <c r="PB9" s="11" t="str">
        <f t="shared" si="118"/>
        <v/>
      </c>
      <c r="PC9" s="11" t="str">
        <f t="shared" si="119"/>
        <v/>
      </c>
      <c r="PD9" s="11" t="str">
        <f t="shared" si="120"/>
        <v/>
      </c>
      <c r="PE9" s="11" t="str">
        <f t="shared" si="121"/>
        <v/>
      </c>
      <c r="PF9" s="11" t="str">
        <f t="shared" si="122"/>
        <v/>
      </c>
      <c r="PG9" s="11" t="str">
        <f t="shared" si="123"/>
        <v/>
      </c>
      <c r="PH9" s="11" t="str">
        <f t="shared" si="124"/>
        <v/>
      </c>
      <c r="PI9" s="22">
        <f t="shared" si="125"/>
        <v>8.15</v>
      </c>
      <c r="PJ9" s="22">
        <f t="shared" si="126"/>
        <v>2.0499999999999998</v>
      </c>
      <c r="PK9" s="22">
        <f t="shared" si="127"/>
        <v>0</v>
      </c>
      <c r="PL9" s="22">
        <f t="shared" si="128"/>
        <v>0</v>
      </c>
      <c r="PM9" s="22">
        <f t="shared" si="129"/>
        <v>8.5500000000000007</v>
      </c>
      <c r="PN9" s="22">
        <f t="shared" si="130"/>
        <v>1.95</v>
      </c>
      <c r="PO9" s="22">
        <f t="shared" si="131"/>
        <v>0</v>
      </c>
      <c r="PP9" s="22">
        <f t="shared" si="132"/>
        <v>0</v>
      </c>
      <c r="PQ9" s="22">
        <f t="shared" si="133"/>
        <v>6.85</v>
      </c>
      <c r="PR9" s="22">
        <f t="shared" si="134"/>
        <v>0.9</v>
      </c>
      <c r="PS9" s="22">
        <f t="shared" si="135"/>
        <v>0</v>
      </c>
      <c r="PT9" s="22">
        <f t="shared" si="136"/>
        <v>0</v>
      </c>
      <c r="PU9" s="22">
        <f t="shared" si="137"/>
        <v>7.3</v>
      </c>
      <c r="PV9" s="22">
        <f t="shared" si="138"/>
        <v>1.4</v>
      </c>
      <c r="PW9" s="22">
        <f t="shared" si="139"/>
        <v>0.3</v>
      </c>
      <c r="PX9" s="22">
        <f t="shared" si="140"/>
        <v>0</v>
      </c>
      <c r="PY9" s="27" t="s">
        <v>46</v>
      </c>
      <c r="PZ9" s="40">
        <f t="shared" si="141"/>
        <v>4</v>
      </c>
      <c r="QA9" s="40">
        <f t="shared" si="142"/>
        <v>20.7</v>
      </c>
      <c r="QB9" s="40">
        <f t="shared" si="143"/>
        <v>2.2999999999999998</v>
      </c>
      <c r="QC9" s="40">
        <f t="shared" si="144"/>
        <v>16.149999999999999</v>
      </c>
      <c r="QD9" s="40">
        <f t="shared" si="145"/>
        <v>36.849999999999994</v>
      </c>
    </row>
    <row r="10" spans="1:446" x14ac:dyDescent="0.2">
      <c r="A10" s="4" t="str" cm="1">
        <f t="array" ref="A10">IF(AND(J10&lt;&gt;"",J10&lt;&gt;"No DD"),SUMPRODUCT((J$4:J$18&lt;&gt;"")*(J$4:J$18&lt;&gt;"No DD")*(F$4:F$18&gt;F10))+1,IF(J10="No DD",SUMPRODUCT((J$4:J$18="No DD")*(F$4:F$18&gt;F10))+1+SUMPRODUCT((J$4:J$18&lt;&gt;"")*(J$4:J$18&lt;&gt;"No DD")),""))</f>
        <v/>
      </c>
      <c r="B10" s="4" t="str" cm="1">
        <f t="array" ref="B10">IF(AND(J10&lt;&gt;"",J10&lt;&gt;"No DD",G10=""),SUMPRODUCT((J$4:J$18&lt;&gt;"")*(J$4:J$18&lt;&gt;"No DD")*(G$4:G$18="")*(F$4:F$18&gt;F10))+1,IF(J10="No DD",SUMPRODUCT((J$4:J$18="No DD")*(F$4:F$18&gt;F10)*(G$4:G$18=""))+1+SUMPRODUCT((J$4:J$18&lt;&gt;"")*(G$4:G$18="")*(J$4:J$18&lt;&gt;"No DD")),""))</f>
        <v/>
      </c>
      <c r="C10" s="5" t="s">
        <v>200</v>
      </c>
      <c r="D10" s="4" t="s">
        <v>6</v>
      </c>
      <c r="E10" s="4">
        <v>2009</v>
      </c>
      <c r="F10" s="9">
        <f t="shared" si="0"/>
        <v>120.30000772000388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IF(COUNT(AM10,BI10,CE10)&gt;0,LARGE((AM10,BI10,CE10),1),0)</f>
        <v>38.899999999999991</v>
      </c>
      <c r="M10" s="8" t="str">
        <f t="shared" si="5"/>
        <v>2025 Elite Canada</v>
      </c>
      <c r="N10" s="8">
        <f>IF(COUNT(AM10,BI10,CE10)&gt;1,LARGE((AM10,BI10,CE10),2),0)</f>
        <v>38.299999999999997</v>
      </c>
      <c r="O10" s="8" t="str">
        <f t="shared" si="6"/>
        <v>2025 Nationals</v>
      </c>
      <c r="P10" s="8">
        <f t="shared" si="7"/>
        <v>41.6</v>
      </c>
      <c r="Q10" s="8" t="str">
        <f t="shared" si="8"/>
        <v>2025 Nationals</v>
      </c>
      <c r="R10" s="8">
        <f t="shared" si="9"/>
        <v>1.5</v>
      </c>
      <c r="S10" s="11" t="str">
        <f t="shared" si="10"/>
        <v>(Q1)</v>
      </c>
      <c r="T10" s="8" t="str">
        <f t="shared" si="11"/>
        <v>2025 WAGC (Nov 16)</v>
      </c>
      <c r="U10" s="19">
        <v>14.7</v>
      </c>
      <c r="V10" s="19">
        <v>4.0999999999999996</v>
      </c>
      <c r="W10" s="19">
        <v>0.2</v>
      </c>
      <c r="X10" s="19">
        <v>0</v>
      </c>
      <c r="Y10" s="19">
        <v>16.399999999999999</v>
      </c>
      <c r="Z10" s="19">
        <v>3.9</v>
      </c>
      <c r="AA10" s="19">
        <v>0</v>
      </c>
      <c r="AB10" s="19">
        <v>0</v>
      </c>
      <c r="AC10" s="19">
        <v>14.7</v>
      </c>
      <c r="AD10" s="19">
        <v>3.9</v>
      </c>
      <c r="AE10" s="19">
        <v>0.2</v>
      </c>
      <c r="AF10" s="19">
        <v>0</v>
      </c>
      <c r="AG10" s="19">
        <v>16.100000000000001</v>
      </c>
      <c r="AH10" s="19">
        <v>2.4</v>
      </c>
      <c r="AI10" s="19">
        <v>0.6</v>
      </c>
      <c r="AJ10" s="19">
        <v>0</v>
      </c>
      <c r="AK10" s="27"/>
      <c r="AL10" s="40">
        <f t="shared" si="12"/>
        <v>8</v>
      </c>
      <c r="AM10" s="40">
        <f t="shared" si="13"/>
        <v>38.899999999999991</v>
      </c>
      <c r="AN10" s="40">
        <f t="shared" si="14"/>
        <v>6.3</v>
      </c>
      <c r="AO10" s="40">
        <f t="shared" si="15"/>
        <v>36.300000000000004</v>
      </c>
      <c r="AP10" s="40">
        <f t="shared" si="16"/>
        <v>75.199999999999989</v>
      </c>
      <c r="AQ10" s="18">
        <v>16.600000000000001</v>
      </c>
      <c r="AR10" s="18">
        <v>3.9</v>
      </c>
      <c r="AS10" s="18">
        <v>0</v>
      </c>
      <c r="AT10" s="18">
        <v>0</v>
      </c>
      <c r="AU10" s="18">
        <v>15.9</v>
      </c>
      <c r="AV10" s="18">
        <v>1.9</v>
      </c>
      <c r="AW10" s="18">
        <v>0</v>
      </c>
      <c r="AX10" s="18">
        <v>0</v>
      </c>
      <c r="AY10" s="18">
        <v>16.899999999999999</v>
      </c>
      <c r="AZ10" s="18">
        <v>3.9</v>
      </c>
      <c r="BA10" s="18">
        <v>0</v>
      </c>
      <c r="BB10" s="18">
        <v>0</v>
      </c>
      <c r="BC10" s="18">
        <v>16.7</v>
      </c>
      <c r="BD10" s="18">
        <v>4.0999999999999996</v>
      </c>
      <c r="BE10" s="18">
        <v>0</v>
      </c>
      <c r="BF10" s="18">
        <v>0</v>
      </c>
      <c r="BG10" s="28"/>
      <c r="BH10" s="11">
        <f t="shared" si="17"/>
        <v>5.8</v>
      </c>
      <c r="BI10" s="11">
        <f t="shared" si="18"/>
        <v>38.299999999999997</v>
      </c>
      <c r="BJ10" s="11">
        <f t="shared" si="19"/>
        <v>8</v>
      </c>
      <c r="BK10" s="11">
        <f t="shared" si="20"/>
        <v>41.6</v>
      </c>
      <c r="BL10" s="11">
        <f t="shared" si="21"/>
        <v>79.900000000000006</v>
      </c>
      <c r="BM10" s="19">
        <v>16.3</v>
      </c>
      <c r="BN10" s="19">
        <v>3.9</v>
      </c>
      <c r="BO10" s="19">
        <v>0.4</v>
      </c>
      <c r="BP10" s="19">
        <v>0</v>
      </c>
      <c r="BQ10" s="19">
        <v>15.8</v>
      </c>
      <c r="BR10" s="19">
        <v>1.9</v>
      </c>
      <c r="BS10" s="19">
        <v>0.2</v>
      </c>
      <c r="BT10" s="19">
        <v>0</v>
      </c>
      <c r="BU10" s="19">
        <v>15.7</v>
      </c>
      <c r="BV10" s="19">
        <v>1.9</v>
      </c>
      <c r="BW10" s="19">
        <v>0.2</v>
      </c>
      <c r="BX10" s="19">
        <v>0</v>
      </c>
      <c r="BY10" s="19">
        <v>14.6</v>
      </c>
      <c r="BZ10" s="19">
        <v>2.9</v>
      </c>
      <c r="CA10" s="19">
        <v>1.3</v>
      </c>
      <c r="CB10" s="19">
        <v>0</v>
      </c>
      <c r="CC10" s="27"/>
      <c r="CD10" s="40">
        <f t="shared" si="22"/>
        <v>5.8</v>
      </c>
      <c r="CE10" s="40">
        <f t="shared" si="23"/>
        <v>37.299999999999997</v>
      </c>
      <c r="CF10" s="40">
        <f t="shared" si="24"/>
        <v>4.8</v>
      </c>
      <c r="CG10" s="40">
        <f t="shared" si="25"/>
        <v>33.599999999999994</v>
      </c>
      <c r="CH10" s="40">
        <f t="shared" si="26"/>
        <v>70.899999999999991</v>
      </c>
      <c r="CI10" s="50">
        <f t="shared" si="27"/>
        <v>1.5</v>
      </c>
      <c r="CJ10" s="50" t="str">
        <f t="shared" si="28"/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 t="shared" si="29"/>
        <v/>
      </c>
      <c r="DF10" s="40" t="str">
        <f t="shared" si="30"/>
        <v/>
      </c>
      <c r="DG10" s="40" t="str">
        <f t="shared" si="31"/>
        <v/>
      </c>
      <c r="DH10" s="40" t="str">
        <f t="shared" si="32"/>
        <v/>
      </c>
      <c r="DI10" s="40" t="str">
        <f t="shared" si="33"/>
        <v/>
      </c>
      <c r="DJ10" s="40" t="str">
        <f t="shared" si="34"/>
        <v/>
      </c>
      <c r="DK10" s="40" t="str">
        <f t="shared" si="35"/>
        <v/>
      </c>
      <c r="DL10" s="40" t="str">
        <f t="shared" si="36"/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 t="shared" si="37"/>
        <v/>
      </c>
      <c r="EH10" s="11" t="str">
        <f t="shared" si="38"/>
        <v/>
      </c>
      <c r="EI10" s="11" t="str">
        <f t="shared" si="39"/>
        <v/>
      </c>
      <c r="EJ10" s="11" t="str">
        <f t="shared" si="40"/>
        <v/>
      </c>
      <c r="EK10" s="11" t="str">
        <f t="shared" si="41"/>
        <v/>
      </c>
      <c r="EL10" s="11" t="str">
        <f t="shared" si="42"/>
        <v/>
      </c>
      <c r="EM10" s="11" t="str">
        <f t="shared" si="43"/>
        <v/>
      </c>
      <c r="EN10" s="11" t="str">
        <f t="shared" si="44"/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 t="shared" si="45"/>
        <v/>
      </c>
      <c r="FJ10" s="40" t="str">
        <f t="shared" si="46"/>
        <v/>
      </c>
      <c r="FK10" s="40" t="str">
        <f t="shared" si="47"/>
        <v/>
      </c>
      <c r="FL10" s="40" t="str">
        <f t="shared" si="48"/>
        <v/>
      </c>
      <c r="FM10" s="40" t="str">
        <f t="shared" si="49"/>
        <v/>
      </c>
      <c r="FN10" s="40" t="str">
        <f t="shared" si="50"/>
        <v/>
      </c>
      <c r="FO10" s="40" t="str">
        <f t="shared" si="51"/>
        <v/>
      </c>
      <c r="FP10" s="40" t="str">
        <f t="shared" si="52"/>
        <v/>
      </c>
      <c r="FQ10" s="18">
        <v>16.399999999999999</v>
      </c>
      <c r="FR10" s="18">
        <v>4.0999999999999996</v>
      </c>
      <c r="FS10" s="18">
        <v>0</v>
      </c>
      <c r="FT10" s="18">
        <v>0</v>
      </c>
      <c r="FU10" s="18">
        <v>15.9</v>
      </c>
      <c r="FV10" s="18">
        <v>3.6</v>
      </c>
      <c r="FW10" s="18">
        <v>0.2</v>
      </c>
      <c r="FX10" s="18">
        <v>0</v>
      </c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>
        <f t="shared" si="53"/>
        <v>7.6999999999999993</v>
      </c>
      <c r="GL10" s="11">
        <f t="shared" si="54"/>
        <v>39.799999999999997</v>
      </c>
      <c r="GM10" s="11" t="str">
        <f t="shared" si="55"/>
        <v/>
      </c>
      <c r="GN10" s="11">
        <f t="shared" si="56"/>
        <v>7.6999999999999993</v>
      </c>
      <c r="GO10" s="11">
        <f t="shared" si="57"/>
        <v>39.799999999999997</v>
      </c>
      <c r="GP10" s="11" t="str">
        <f t="shared" si="58"/>
        <v/>
      </c>
      <c r="GQ10" s="11" t="str">
        <f t="shared" si="59"/>
        <v/>
      </c>
      <c r="GR10" s="11">
        <f t="shared" si="60"/>
        <v>39.799999999999997</v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 t="shared" si="61"/>
        <v/>
      </c>
      <c r="HN10" s="40" t="str">
        <f t="shared" si="62"/>
        <v/>
      </c>
      <c r="HO10" s="40" t="str">
        <f t="shared" si="63"/>
        <v/>
      </c>
      <c r="HP10" s="40" t="str">
        <f t="shared" si="64"/>
        <v/>
      </c>
      <c r="HQ10" s="40" t="str">
        <f t="shared" si="65"/>
        <v/>
      </c>
      <c r="HR10" s="40" t="str">
        <f t="shared" si="66"/>
        <v/>
      </c>
      <c r="HS10" s="40" t="str">
        <f t="shared" si="67"/>
        <v/>
      </c>
      <c r="HT10" s="40" t="str">
        <f t="shared" si="68"/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 t="shared" si="69"/>
        <v/>
      </c>
      <c r="IP10" s="11" t="str">
        <f t="shared" si="70"/>
        <v/>
      </c>
      <c r="IQ10" s="11" t="str">
        <f t="shared" si="71"/>
        <v/>
      </c>
      <c r="IR10" s="11" t="str">
        <f t="shared" si="72"/>
        <v/>
      </c>
      <c r="IS10" s="11" t="str">
        <f t="shared" si="73"/>
        <v/>
      </c>
      <c r="IT10" s="11" t="str">
        <f t="shared" si="74"/>
        <v/>
      </c>
      <c r="IU10" s="11" t="str">
        <f t="shared" si="75"/>
        <v/>
      </c>
      <c r="IV10" s="11" t="str">
        <f t="shared" si="76"/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 t="shared" si="77"/>
        <v/>
      </c>
      <c r="JR10" s="40" t="str">
        <f t="shared" si="78"/>
        <v/>
      </c>
      <c r="JS10" s="40" t="str">
        <f t="shared" si="79"/>
        <v/>
      </c>
      <c r="JT10" s="40" t="str">
        <f t="shared" si="80"/>
        <v/>
      </c>
      <c r="JU10" s="40" t="str">
        <f t="shared" si="81"/>
        <v/>
      </c>
      <c r="JV10" s="40" t="str">
        <f t="shared" si="82"/>
        <v/>
      </c>
      <c r="JW10" s="40" t="str">
        <f t="shared" si="83"/>
        <v/>
      </c>
      <c r="JX10" s="40" t="str">
        <f t="shared" si="84"/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 t="shared" si="85"/>
        <v/>
      </c>
      <c r="KT10" s="11" t="str">
        <f t="shared" si="86"/>
        <v/>
      </c>
      <c r="KU10" s="11" t="str">
        <f t="shared" si="87"/>
        <v/>
      </c>
      <c r="KV10" s="11" t="str">
        <f t="shared" si="88"/>
        <v/>
      </c>
      <c r="KW10" s="11" t="str">
        <f t="shared" si="89"/>
        <v/>
      </c>
      <c r="KX10" s="11" t="str">
        <f t="shared" si="90"/>
        <v/>
      </c>
      <c r="KY10" s="11" t="str">
        <f t="shared" si="91"/>
        <v/>
      </c>
      <c r="KZ10" s="11" t="str">
        <f t="shared" si="92"/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 t="shared" si="93"/>
        <v/>
      </c>
      <c r="LV10" s="40" t="str">
        <f t="shared" si="94"/>
        <v/>
      </c>
      <c r="LW10" s="40" t="str">
        <f t="shared" si="95"/>
        <v/>
      </c>
      <c r="LX10" s="40" t="str">
        <f t="shared" si="96"/>
        <v/>
      </c>
      <c r="LY10" s="40" t="str">
        <f t="shared" si="97"/>
        <v/>
      </c>
      <c r="LZ10" s="40" t="str">
        <f t="shared" si="98"/>
        <v/>
      </c>
      <c r="MA10" s="40" t="str">
        <f t="shared" si="99"/>
        <v/>
      </c>
      <c r="MB10" s="40" t="str">
        <f t="shared" si="100"/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 t="shared" si="101"/>
        <v/>
      </c>
      <c r="MX10" s="11" t="str">
        <f t="shared" si="102"/>
        <v/>
      </c>
      <c r="MY10" s="11" t="str">
        <f t="shared" si="103"/>
        <v/>
      </c>
      <c r="MZ10" s="11" t="str">
        <f t="shared" si="104"/>
        <v/>
      </c>
      <c r="NA10" s="11" t="str">
        <f t="shared" si="105"/>
        <v/>
      </c>
      <c r="NB10" s="11" t="str">
        <f t="shared" si="106"/>
        <v/>
      </c>
      <c r="NC10" s="11" t="str">
        <f t="shared" si="107"/>
        <v/>
      </c>
      <c r="ND10" s="11" t="str">
        <f t="shared" si="108"/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 t="shared" si="109"/>
        <v/>
      </c>
      <c r="NZ10" s="40" t="str">
        <f t="shared" si="110"/>
        <v/>
      </c>
      <c r="OA10" s="40" t="str">
        <f t="shared" si="111"/>
        <v/>
      </c>
      <c r="OB10" s="40" t="str">
        <f t="shared" si="112"/>
        <v/>
      </c>
      <c r="OC10" s="40" t="str">
        <f t="shared" si="113"/>
        <v/>
      </c>
      <c r="OD10" s="40" t="str">
        <f t="shared" si="114"/>
        <v/>
      </c>
      <c r="OE10" s="40" t="str">
        <f t="shared" si="115"/>
        <v/>
      </c>
      <c r="OF10" s="40" t="str">
        <f t="shared" si="116"/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 t="shared" si="117"/>
        <v/>
      </c>
      <c r="PB10" s="11" t="str">
        <f t="shared" si="118"/>
        <v/>
      </c>
      <c r="PC10" s="11" t="str">
        <f t="shared" si="119"/>
        <v/>
      </c>
      <c r="PD10" s="11" t="str">
        <f t="shared" si="120"/>
        <v/>
      </c>
      <c r="PE10" s="11" t="str">
        <f t="shared" si="121"/>
        <v/>
      </c>
      <c r="PF10" s="11" t="str">
        <f t="shared" si="122"/>
        <v/>
      </c>
      <c r="PG10" s="11" t="str">
        <f t="shared" si="123"/>
        <v/>
      </c>
      <c r="PH10" s="11" t="str">
        <f t="shared" si="124"/>
        <v/>
      </c>
      <c r="PI10" s="22">
        <f t="shared" si="125"/>
        <v>16.450000000000003</v>
      </c>
      <c r="PJ10" s="22">
        <f t="shared" si="126"/>
        <v>3.9</v>
      </c>
      <c r="PK10" s="22">
        <f t="shared" si="127"/>
        <v>0.2</v>
      </c>
      <c r="PL10" s="22">
        <f t="shared" si="128"/>
        <v>0</v>
      </c>
      <c r="PM10" s="22">
        <f t="shared" si="129"/>
        <v>15.850000000000001</v>
      </c>
      <c r="PN10" s="22">
        <f t="shared" si="130"/>
        <v>1.9</v>
      </c>
      <c r="PO10" s="22">
        <f t="shared" si="131"/>
        <v>0.1</v>
      </c>
      <c r="PP10" s="22">
        <f t="shared" si="132"/>
        <v>0</v>
      </c>
      <c r="PQ10" s="22">
        <f t="shared" si="133"/>
        <v>16.299999999999997</v>
      </c>
      <c r="PR10" s="22">
        <f t="shared" si="134"/>
        <v>2.9</v>
      </c>
      <c r="PS10" s="22">
        <f t="shared" si="135"/>
        <v>0.1</v>
      </c>
      <c r="PT10" s="22">
        <f t="shared" si="136"/>
        <v>0</v>
      </c>
      <c r="PU10" s="22">
        <f t="shared" si="137"/>
        <v>15.649999999999999</v>
      </c>
      <c r="PV10" s="22">
        <f t="shared" si="138"/>
        <v>3.5</v>
      </c>
      <c r="PW10" s="22">
        <f t="shared" si="139"/>
        <v>0.65</v>
      </c>
      <c r="PX10" s="22">
        <f t="shared" si="140"/>
        <v>0</v>
      </c>
      <c r="PY10" s="27" t="s">
        <v>46</v>
      </c>
      <c r="PZ10" s="40">
        <f t="shared" si="141"/>
        <v>5.8</v>
      </c>
      <c r="QA10" s="40">
        <f t="shared" si="142"/>
        <v>37.799999999999997</v>
      </c>
      <c r="QB10" s="40">
        <f t="shared" si="143"/>
        <v>6.4</v>
      </c>
      <c r="QC10" s="40">
        <f t="shared" si="144"/>
        <v>37.599999999999994</v>
      </c>
      <c r="QD10" s="40">
        <f t="shared" si="145"/>
        <v>75.399999999999991</v>
      </c>
    </row>
    <row r="11" spans="1:446" x14ac:dyDescent="0.2">
      <c r="A11" s="4" t="str" cm="1">
        <f t="array" ref="A11">IF(AND(J11&lt;&gt;"",J11&lt;&gt;"No DD"),SUMPRODUCT((J$4:J$18&lt;&gt;"")*(J$4:J$18&lt;&gt;"No DD")*(F$4:F$18&gt;F11))+1,IF(J11="No DD",SUMPRODUCT((J$4:J$18="No DD")*(F$4:F$18&gt;F11))+1+SUMPRODUCT((J$4:J$18&lt;&gt;"")*(J$4:J$18&lt;&gt;"No DD")),""))</f>
        <v/>
      </c>
      <c r="B11" s="4" t="str" cm="1">
        <f t="array" ref="B11">IF(AND(J11&lt;&gt;"",J11&lt;&gt;"No DD",G11=""),SUMPRODUCT((J$4:J$18&lt;&gt;"")*(J$4:J$18&lt;&gt;"No DD")*(G$4:G$18="")*(F$4:F$18&gt;F11))+1,IF(J11="No DD",SUMPRODUCT((J$4:J$18="No DD")*(F$4:F$18&gt;F11)*(G$4:G$18=""))+1+SUMPRODUCT((J$4:J$18&lt;&gt;"")*(G$4:G$18="")*(J$4:J$18&lt;&gt;"No DD")),""))</f>
        <v/>
      </c>
      <c r="C11" s="5" t="s">
        <v>138</v>
      </c>
      <c r="D11" s="4" t="s">
        <v>4</v>
      </c>
      <c r="E11" s="4">
        <v>2005</v>
      </c>
      <c r="F11" s="9">
        <f t="shared" si="0"/>
        <v>118.10000777000396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IF(COUNT(AM11,BI11,CE11)&gt;0,LARGE((AM11,BI11,CE11),1),0)</f>
        <v>39.599999999999994</v>
      </c>
      <c r="M11" s="8" t="str">
        <f t="shared" si="5"/>
        <v>2025 Nationals</v>
      </c>
      <c r="N11" s="8">
        <f>IF(COUNT(AM11,BI11,CE11)&gt;1,LARGE((AM11,BI11,CE11),2),0)</f>
        <v>38.099999999999994</v>
      </c>
      <c r="O11" s="8" t="str">
        <f t="shared" si="6"/>
        <v>2025 Elite Canada</v>
      </c>
      <c r="P11" s="8">
        <f t="shared" si="7"/>
        <v>40.4</v>
      </c>
      <c r="Q11" s="8" t="str">
        <f t="shared" si="8"/>
        <v>2025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16.899999999999999</v>
      </c>
      <c r="V11" s="19">
        <v>3.9</v>
      </c>
      <c r="W11" s="19">
        <v>0</v>
      </c>
      <c r="X11" s="19">
        <v>0</v>
      </c>
      <c r="Y11" s="19">
        <v>16.399999999999999</v>
      </c>
      <c r="Z11" s="19">
        <v>1.9</v>
      </c>
      <c r="AA11" s="19">
        <v>1</v>
      </c>
      <c r="AB11" s="19">
        <v>0</v>
      </c>
      <c r="AC11" s="19">
        <v>16</v>
      </c>
      <c r="AD11" s="19">
        <v>4.0999999999999996</v>
      </c>
      <c r="AE11" s="19">
        <v>0.2</v>
      </c>
      <c r="AF11" s="19">
        <v>0</v>
      </c>
      <c r="AG11" s="19">
        <v>16.600000000000001</v>
      </c>
      <c r="AH11" s="19">
        <v>3.9</v>
      </c>
      <c r="AI11" s="19">
        <v>0</v>
      </c>
      <c r="AJ11" s="19">
        <v>0</v>
      </c>
      <c r="AK11" s="27"/>
      <c r="AL11" s="40">
        <f t="shared" si="12"/>
        <v>5.8</v>
      </c>
      <c r="AM11" s="40">
        <f t="shared" si="13"/>
        <v>38.099999999999994</v>
      </c>
      <c r="AN11" s="40">
        <f t="shared" si="14"/>
        <v>8</v>
      </c>
      <c r="AO11" s="40">
        <f t="shared" si="15"/>
        <v>40.4</v>
      </c>
      <c r="AP11" s="40">
        <f t="shared" si="16"/>
        <v>78.5</v>
      </c>
      <c r="AQ11" s="18">
        <v>16.5</v>
      </c>
      <c r="AR11" s="18">
        <v>3.9</v>
      </c>
      <c r="AS11" s="18">
        <v>0</v>
      </c>
      <c r="AT11" s="18">
        <v>0</v>
      </c>
      <c r="AU11" s="18">
        <v>16.600000000000001</v>
      </c>
      <c r="AV11" s="18">
        <v>2.8</v>
      </c>
      <c r="AW11" s="18">
        <v>0.2</v>
      </c>
      <c r="AX11" s="18">
        <v>0</v>
      </c>
      <c r="AY11" s="18">
        <v>16.399999999999999</v>
      </c>
      <c r="AZ11" s="18">
        <v>3.9</v>
      </c>
      <c r="BA11" s="18">
        <v>0</v>
      </c>
      <c r="BB11" s="18">
        <v>0</v>
      </c>
      <c r="BC11" s="18">
        <v>15.7</v>
      </c>
      <c r="BD11" s="18">
        <v>1.9</v>
      </c>
      <c r="BE11" s="18">
        <v>0</v>
      </c>
      <c r="BF11" s="18">
        <v>0</v>
      </c>
      <c r="BG11" s="28"/>
      <c r="BH11" s="11">
        <f t="shared" si="17"/>
        <v>6.6999999999999993</v>
      </c>
      <c r="BI11" s="11">
        <f t="shared" si="18"/>
        <v>39.599999999999994</v>
      </c>
      <c r="BJ11" s="11">
        <f t="shared" si="19"/>
        <v>5.8</v>
      </c>
      <c r="BK11" s="11">
        <f t="shared" si="20"/>
        <v>37.9</v>
      </c>
      <c r="BL11" s="11">
        <f t="shared" si="21"/>
        <v>77.5</v>
      </c>
      <c r="BM11" s="19">
        <v>15.6</v>
      </c>
      <c r="BN11" s="19">
        <v>1.9</v>
      </c>
      <c r="BO11" s="19">
        <v>0</v>
      </c>
      <c r="BP11" s="19">
        <v>0</v>
      </c>
      <c r="BQ11" s="19">
        <v>16.3</v>
      </c>
      <c r="BR11" s="19">
        <v>2.8</v>
      </c>
      <c r="BS11" s="19">
        <v>0.2</v>
      </c>
      <c r="BT11" s="19">
        <v>0</v>
      </c>
      <c r="BU11" s="19"/>
      <c r="BV11" s="19"/>
      <c r="BW11" s="19"/>
      <c r="BX11" s="19"/>
      <c r="BY11" s="19"/>
      <c r="BZ11" s="19"/>
      <c r="CA11" s="19"/>
      <c r="CB11" s="19"/>
      <c r="CC11" s="27"/>
      <c r="CD11" s="40">
        <f t="shared" si="22"/>
        <v>4.6999999999999993</v>
      </c>
      <c r="CE11" s="40">
        <f t="shared" si="23"/>
        <v>36.399999999999991</v>
      </c>
      <c r="CF11" s="40" t="str">
        <f t="shared" si="24"/>
        <v/>
      </c>
      <c r="CG11" s="40" t="str">
        <f t="shared" si="25"/>
        <v/>
      </c>
      <c r="CH11" s="40">
        <f t="shared" si="26"/>
        <v>36.399999999999991</v>
      </c>
      <c r="CI11" s="50" t="str">
        <f t="shared" si="27"/>
        <v/>
      </c>
      <c r="CJ11" s="50" t="str">
        <f t="shared" si="28"/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 t="shared" si="29"/>
        <v/>
      </c>
      <c r="DF11" s="40" t="str">
        <f t="shared" si="30"/>
        <v/>
      </c>
      <c r="DG11" s="40" t="str">
        <f t="shared" si="31"/>
        <v/>
      </c>
      <c r="DH11" s="40" t="str">
        <f t="shared" si="32"/>
        <v/>
      </c>
      <c r="DI11" s="40" t="str">
        <f t="shared" si="33"/>
        <v/>
      </c>
      <c r="DJ11" s="40" t="str">
        <f t="shared" si="34"/>
        <v/>
      </c>
      <c r="DK11" s="40" t="str">
        <f t="shared" si="35"/>
        <v/>
      </c>
      <c r="DL11" s="40" t="str">
        <f t="shared" si="36"/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 t="shared" si="37"/>
        <v/>
      </c>
      <c r="EH11" s="11" t="str">
        <f t="shared" si="38"/>
        <v/>
      </c>
      <c r="EI11" s="11" t="str">
        <f t="shared" si="39"/>
        <v/>
      </c>
      <c r="EJ11" s="11" t="str">
        <f t="shared" si="40"/>
        <v/>
      </c>
      <c r="EK11" s="11" t="str">
        <f t="shared" si="41"/>
        <v/>
      </c>
      <c r="EL11" s="11" t="str">
        <f t="shared" si="42"/>
        <v/>
      </c>
      <c r="EM11" s="11" t="str">
        <f t="shared" si="43"/>
        <v/>
      </c>
      <c r="EN11" s="11" t="str">
        <f t="shared" si="44"/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 t="shared" si="45"/>
        <v/>
      </c>
      <c r="FJ11" s="40" t="str">
        <f t="shared" si="46"/>
        <v/>
      </c>
      <c r="FK11" s="40" t="str">
        <f t="shared" si="47"/>
        <v/>
      </c>
      <c r="FL11" s="40" t="str">
        <f t="shared" si="48"/>
        <v/>
      </c>
      <c r="FM11" s="40" t="str">
        <f t="shared" si="49"/>
        <v/>
      </c>
      <c r="FN11" s="40" t="str">
        <f t="shared" si="50"/>
        <v/>
      </c>
      <c r="FO11" s="40" t="str">
        <f t="shared" si="51"/>
        <v/>
      </c>
      <c r="FP11" s="40" t="str">
        <f t="shared" si="52"/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 t="shared" si="53"/>
        <v/>
      </c>
      <c r="GL11" s="11" t="str">
        <f t="shared" si="54"/>
        <v/>
      </c>
      <c r="GM11" s="11" t="str">
        <f t="shared" si="55"/>
        <v/>
      </c>
      <c r="GN11" s="11" t="str">
        <f t="shared" si="56"/>
        <v/>
      </c>
      <c r="GO11" s="11" t="str">
        <f t="shared" si="57"/>
        <v/>
      </c>
      <c r="GP11" s="11" t="str">
        <f t="shared" si="58"/>
        <v/>
      </c>
      <c r="GQ11" s="11" t="str">
        <f t="shared" si="59"/>
        <v/>
      </c>
      <c r="GR11" s="11" t="str">
        <f t="shared" si="60"/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 t="shared" si="61"/>
        <v/>
      </c>
      <c r="HN11" s="40" t="str">
        <f t="shared" si="62"/>
        <v/>
      </c>
      <c r="HO11" s="40" t="str">
        <f t="shared" si="63"/>
        <v/>
      </c>
      <c r="HP11" s="40" t="str">
        <f t="shared" si="64"/>
        <v/>
      </c>
      <c r="HQ11" s="40" t="str">
        <f t="shared" si="65"/>
        <v/>
      </c>
      <c r="HR11" s="40" t="str">
        <f t="shared" si="66"/>
        <v/>
      </c>
      <c r="HS11" s="40" t="str">
        <f t="shared" si="67"/>
        <v/>
      </c>
      <c r="HT11" s="40" t="str">
        <f t="shared" si="68"/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 t="shared" si="69"/>
        <v/>
      </c>
      <c r="IP11" s="11" t="str">
        <f t="shared" si="70"/>
        <v/>
      </c>
      <c r="IQ11" s="11" t="str">
        <f t="shared" si="71"/>
        <v/>
      </c>
      <c r="IR11" s="11" t="str">
        <f t="shared" si="72"/>
        <v/>
      </c>
      <c r="IS11" s="11" t="str">
        <f t="shared" si="73"/>
        <v/>
      </c>
      <c r="IT11" s="11" t="str">
        <f t="shared" si="74"/>
        <v/>
      </c>
      <c r="IU11" s="11" t="str">
        <f t="shared" si="75"/>
        <v/>
      </c>
      <c r="IV11" s="11" t="str">
        <f t="shared" si="76"/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 t="shared" si="77"/>
        <v/>
      </c>
      <c r="JR11" s="40" t="str">
        <f t="shared" si="78"/>
        <v/>
      </c>
      <c r="JS11" s="40" t="str">
        <f t="shared" si="79"/>
        <v/>
      </c>
      <c r="JT11" s="40" t="str">
        <f t="shared" si="80"/>
        <v/>
      </c>
      <c r="JU11" s="40" t="str">
        <f t="shared" si="81"/>
        <v/>
      </c>
      <c r="JV11" s="40" t="str">
        <f t="shared" si="82"/>
        <v/>
      </c>
      <c r="JW11" s="40" t="str">
        <f t="shared" si="83"/>
        <v/>
      </c>
      <c r="JX11" s="40" t="str">
        <f t="shared" si="84"/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 t="shared" si="85"/>
        <v/>
      </c>
      <c r="KT11" s="11" t="str">
        <f t="shared" si="86"/>
        <v/>
      </c>
      <c r="KU11" s="11" t="str">
        <f t="shared" si="87"/>
        <v/>
      </c>
      <c r="KV11" s="11" t="str">
        <f t="shared" si="88"/>
        <v/>
      </c>
      <c r="KW11" s="11" t="str">
        <f t="shared" si="89"/>
        <v/>
      </c>
      <c r="KX11" s="11" t="str">
        <f t="shared" si="90"/>
        <v/>
      </c>
      <c r="KY11" s="11" t="str">
        <f t="shared" si="91"/>
        <v/>
      </c>
      <c r="KZ11" s="11" t="str">
        <f t="shared" si="92"/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 t="shared" si="93"/>
        <v/>
      </c>
      <c r="LV11" s="40" t="str">
        <f t="shared" si="94"/>
        <v/>
      </c>
      <c r="LW11" s="40" t="str">
        <f t="shared" si="95"/>
        <v/>
      </c>
      <c r="LX11" s="40" t="str">
        <f t="shared" si="96"/>
        <v/>
      </c>
      <c r="LY11" s="40" t="str">
        <f t="shared" si="97"/>
        <v/>
      </c>
      <c r="LZ11" s="40" t="str">
        <f t="shared" si="98"/>
        <v/>
      </c>
      <c r="MA11" s="40" t="str">
        <f t="shared" si="99"/>
        <v/>
      </c>
      <c r="MB11" s="40" t="str">
        <f t="shared" si="100"/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 t="shared" si="101"/>
        <v/>
      </c>
      <c r="MX11" s="11" t="str">
        <f t="shared" si="102"/>
        <v/>
      </c>
      <c r="MY11" s="11" t="str">
        <f t="shared" si="103"/>
        <v/>
      </c>
      <c r="MZ11" s="11" t="str">
        <f t="shared" si="104"/>
        <v/>
      </c>
      <c r="NA11" s="11" t="str">
        <f t="shared" si="105"/>
        <v/>
      </c>
      <c r="NB11" s="11" t="str">
        <f t="shared" si="106"/>
        <v/>
      </c>
      <c r="NC11" s="11" t="str">
        <f t="shared" si="107"/>
        <v/>
      </c>
      <c r="ND11" s="11" t="str">
        <f t="shared" si="108"/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 t="shared" si="109"/>
        <v/>
      </c>
      <c r="NZ11" s="40" t="str">
        <f t="shared" si="110"/>
        <v/>
      </c>
      <c r="OA11" s="40" t="str">
        <f t="shared" si="111"/>
        <v/>
      </c>
      <c r="OB11" s="40" t="str">
        <f t="shared" si="112"/>
        <v/>
      </c>
      <c r="OC11" s="40" t="str">
        <f t="shared" si="113"/>
        <v/>
      </c>
      <c r="OD11" s="40" t="str">
        <f t="shared" si="114"/>
        <v/>
      </c>
      <c r="OE11" s="40" t="str">
        <f t="shared" si="115"/>
        <v/>
      </c>
      <c r="OF11" s="40" t="str">
        <f t="shared" si="116"/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 t="shared" si="117"/>
        <v/>
      </c>
      <c r="PB11" s="11" t="str">
        <f t="shared" si="118"/>
        <v/>
      </c>
      <c r="PC11" s="11" t="str">
        <f t="shared" si="119"/>
        <v/>
      </c>
      <c r="PD11" s="11" t="str">
        <f t="shared" si="120"/>
        <v/>
      </c>
      <c r="PE11" s="11" t="str">
        <f t="shared" si="121"/>
        <v/>
      </c>
      <c r="PF11" s="11" t="str">
        <f t="shared" si="122"/>
        <v/>
      </c>
      <c r="PG11" s="11" t="str">
        <f t="shared" si="123"/>
        <v/>
      </c>
      <c r="PH11" s="11" t="str">
        <f t="shared" si="124"/>
        <v/>
      </c>
      <c r="PI11" s="22">
        <f t="shared" si="125"/>
        <v>16.05</v>
      </c>
      <c r="PJ11" s="22">
        <f t="shared" si="126"/>
        <v>2.9</v>
      </c>
      <c r="PK11" s="22">
        <f t="shared" si="127"/>
        <v>0</v>
      </c>
      <c r="PL11" s="22">
        <f t="shared" si="128"/>
        <v>0</v>
      </c>
      <c r="PM11" s="22">
        <f t="shared" si="129"/>
        <v>16.450000000000003</v>
      </c>
      <c r="PN11" s="22">
        <f t="shared" si="130"/>
        <v>2.8</v>
      </c>
      <c r="PO11" s="22">
        <f t="shared" si="131"/>
        <v>0.2</v>
      </c>
      <c r="PP11" s="22">
        <f t="shared" si="132"/>
        <v>0</v>
      </c>
      <c r="PQ11" s="22">
        <f t="shared" si="133"/>
        <v>8.1999999999999993</v>
      </c>
      <c r="PR11" s="22">
        <f t="shared" si="134"/>
        <v>1.95</v>
      </c>
      <c r="PS11" s="22">
        <f t="shared" si="135"/>
        <v>0</v>
      </c>
      <c r="PT11" s="22">
        <f t="shared" si="136"/>
        <v>0</v>
      </c>
      <c r="PU11" s="22">
        <f t="shared" si="137"/>
        <v>7.85</v>
      </c>
      <c r="PV11" s="22">
        <f t="shared" si="138"/>
        <v>0.95</v>
      </c>
      <c r="PW11" s="22">
        <f t="shared" si="139"/>
        <v>0</v>
      </c>
      <c r="PX11" s="22">
        <f t="shared" si="140"/>
        <v>0</v>
      </c>
      <c r="PY11" s="27" t="s">
        <v>46</v>
      </c>
      <c r="PZ11" s="40">
        <f t="shared" si="141"/>
        <v>5.6999999999999993</v>
      </c>
      <c r="QA11" s="40">
        <f t="shared" si="142"/>
        <v>38</v>
      </c>
      <c r="QB11" s="40">
        <f t="shared" si="143"/>
        <v>2.9</v>
      </c>
      <c r="QC11" s="40">
        <f t="shared" si="144"/>
        <v>18.95</v>
      </c>
      <c r="QD11" s="40">
        <f t="shared" si="145"/>
        <v>56.95</v>
      </c>
    </row>
    <row r="12" spans="1:446" x14ac:dyDescent="0.2">
      <c r="A12" s="4" t="str" cm="1">
        <f t="array" ref="A12">IF(AND(J12&lt;&gt;"",J12&lt;&gt;"No DD"),SUMPRODUCT((J$4:J$18&lt;&gt;"")*(J$4:J$18&lt;&gt;"No DD")*(F$4:F$18&gt;F12))+1,IF(J12="No DD",SUMPRODUCT((J$4:J$18="No DD")*(F$4:F$18&gt;F12))+1+SUMPRODUCT((J$4:J$18&lt;&gt;"")*(J$4:J$18&lt;&gt;"No DD")),""))</f>
        <v/>
      </c>
      <c r="B12" s="4" t="str" cm="1">
        <f t="array" ref="B12">IF(AND(J12&lt;&gt;"",J12&lt;&gt;"No DD",G12=""),SUMPRODUCT((J$4:J$18&lt;&gt;"")*(J$4:J$18&lt;&gt;"No DD")*(G$4:G$18="")*(F$4:F$18&gt;F12))+1,IF(J12="No DD",SUMPRODUCT((J$4:J$18="No DD")*(F$4:F$18&gt;F12)*(G$4:G$18=""))+1+SUMPRODUCT((J$4:J$18&lt;&gt;"")*(G$4:G$18="")*(J$4:J$18&lt;&gt;"No DD")),""))</f>
        <v/>
      </c>
      <c r="C12" s="5" t="s">
        <v>160</v>
      </c>
      <c r="D12" s="4" t="s">
        <v>4</v>
      </c>
      <c r="E12" s="4">
        <v>2008</v>
      </c>
      <c r="F12" s="9">
        <f t="shared" si="0"/>
        <v>114.00000754000392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IF(COUNT(AM12,BI12,CE12)&gt;0,LARGE((AM12,BI12,CE12),1),0)</f>
        <v>39.199999999999996</v>
      </c>
      <c r="M12" s="8" t="str">
        <f t="shared" si="5"/>
        <v>2025 Elite Canada</v>
      </c>
      <c r="N12" s="8">
        <f>IF(COUNT(AM12,BI12,CE12)&gt;1,LARGE((AM12,BI12,CE12),2),0)</f>
        <v>36.199999999999996</v>
      </c>
      <c r="O12" s="8" t="str">
        <f t="shared" si="6"/>
        <v>2025 Nationals</v>
      </c>
      <c r="P12" s="8">
        <f t="shared" si="7"/>
        <v>38.6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16.3</v>
      </c>
      <c r="V12" s="19">
        <v>3.4</v>
      </c>
      <c r="W12" s="19">
        <v>0.2</v>
      </c>
      <c r="X12" s="19">
        <v>0</v>
      </c>
      <c r="Y12" s="19">
        <v>15.1</v>
      </c>
      <c r="Z12" s="19">
        <v>4.5999999999999996</v>
      </c>
      <c r="AA12" s="19">
        <v>0</v>
      </c>
      <c r="AB12" s="19">
        <v>0</v>
      </c>
      <c r="AC12" s="19">
        <v>15.1</v>
      </c>
      <c r="AD12" s="19">
        <v>3.4</v>
      </c>
      <c r="AE12" s="19">
        <v>0</v>
      </c>
      <c r="AF12" s="19">
        <v>0</v>
      </c>
      <c r="AG12" s="19">
        <v>15.5</v>
      </c>
      <c r="AH12" s="19">
        <v>4.5999999999999996</v>
      </c>
      <c r="AI12" s="19">
        <v>0</v>
      </c>
      <c r="AJ12" s="19">
        <v>0</v>
      </c>
      <c r="AK12" s="27"/>
      <c r="AL12" s="40">
        <f t="shared" si="12"/>
        <v>8</v>
      </c>
      <c r="AM12" s="40">
        <f t="shared" si="13"/>
        <v>39.199999999999996</v>
      </c>
      <c r="AN12" s="40">
        <f t="shared" si="14"/>
        <v>8</v>
      </c>
      <c r="AO12" s="40">
        <f t="shared" si="15"/>
        <v>38.6</v>
      </c>
      <c r="AP12" s="40">
        <f t="shared" si="16"/>
        <v>77.8</v>
      </c>
      <c r="AQ12" s="18">
        <v>15.6</v>
      </c>
      <c r="AR12" s="18">
        <v>1.2</v>
      </c>
      <c r="AS12" s="18">
        <v>0</v>
      </c>
      <c r="AT12" s="18">
        <v>0</v>
      </c>
      <c r="AU12" s="18">
        <v>15</v>
      </c>
      <c r="AV12" s="18">
        <v>4.5999999999999996</v>
      </c>
      <c r="AW12" s="18">
        <v>0.2</v>
      </c>
      <c r="AX12" s="18">
        <v>0</v>
      </c>
      <c r="AY12" s="18">
        <v>14.6</v>
      </c>
      <c r="AZ12" s="18">
        <v>3.4</v>
      </c>
      <c r="BA12" s="18">
        <v>0</v>
      </c>
      <c r="BB12" s="18">
        <v>0</v>
      </c>
      <c r="BC12" s="18">
        <v>15.2</v>
      </c>
      <c r="BD12" s="18">
        <v>2.6</v>
      </c>
      <c r="BE12" s="18">
        <v>0</v>
      </c>
      <c r="BF12" s="18">
        <v>0</v>
      </c>
      <c r="BG12" s="28"/>
      <c r="BH12" s="11">
        <f t="shared" si="17"/>
        <v>5.8</v>
      </c>
      <c r="BI12" s="11">
        <f t="shared" si="18"/>
        <v>36.199999999999996</v>
      </c>
      <c r="BJ12" s="11">
        <f t="shared" si="19"/>
        <v>6</v>
      </c>
      <c r="BK12" s="11">
        <f t="shared" si="20"/>
        <v>35.800000000000004</v>
      </c>
      <c r="BL12" s="11">
        <f t="shared" si="21"/>
        <v>72</v>
      </c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27"/>
      <c r="CD12" s="40" t="str">
        <f t="shared" si="22"/>
        <v/>
      </c>
      <c r="CE12" s="40" t="str">
        <f t="shared" si="23"/>
        <v/>
      </c>
      <c r="CF12" s="40" t="str">
        <f t="shared" si="24"/>
        <v/>
      </c>
      <c r="CG12" s="40" t="str">
        <f t="shared" si="25"/>
        <v/>
      </c>
      <c r="CH12" s="40" t="str">
        <f t="shared" si="26"/>
        <v/>
      </c>
      <c r="CI12" s="50" t="str">
        <f t="shared" si="27"/>
        <v/>
      </c>
      <c r="CJ12" s="50" t="str">
        <f t="shared" si="28"/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 t="shared" si="29"/>
        <v/>
      </c>
      <c r="DF12" s="40" t="str">
        <f t="shared" si="30"/>
        <v/>
      </c>
      <c r="DG12" s="40" t="str">
        <f t="shared" si="31"/>
        <v/>
      </c>
      <c r="DH12" s="40" t="str">
        <f t="shared" si="32"/>
        <v/>
      </c>
      <c r="DI12" s="40" t="str">
        <f t="shared" si="33"/>
        <v/>
      </c>
      <c r="DJ12" s="40" t="str">
        <f t="shared" si="34"/>
        <v/>
      </c>
      <c r="DK12" s="40" t="str">
        <f t="shared" si="35"/>
        <v/>
      </c>
      <c r="DL12" s="40" t="str">
        <f t="shared" si="36"/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 t="shared" si="37"/>
        <v/>
      </c>
      <c r="EH12" s="11" t="str">
        <f t="shared" si="38"/>
        <v/>
      </c>
      <c r="EI12" s="11" t="str">
        <f t="shared" si="39"/>
        <v/>
      </c>
      <c r="EJ12" s="11" t="str">
        <f t="shared" si="40"/>
        <v/>
      </c>
      <c r="EK12" s="11" t="str">
        <f t="shared" si="41"/>
        <v/>
      </c>
      <c r="EL12" s="11" t="str">
        <f t="shared" si="42"/>
        <v/>
      </c>
      <c r="EM12" s="11" t="str">
        <f t="shared" si="43"/>
        <v/>
      </c>
      <c r="EN12" s="11" t="str">
        <f t="shared" si="44"/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 t="shared" si="45"/>
        <v/>
      </c>
      <c r="FJ12" s="40" t="str">
        <f t="shared" si="46"/>
        <v/>
      </c>
      <c r="FK12" s="40" t="str">
        <f t="shared" si="47"/>
        <v/>
      </c>
      <c r="FL12" s="40" t="str">
        <f t="shared" si="48"/>
        <v/>
      </c>
      <c r="FM12" s="40" t="str">
        <f t="shared" si="49"/>
        <v/>
      </c>
      <c r="FN12" s="40" t="str">
        <f t="shared" si="50"/>
        <v/>
      </c>
      <c r="FO12" s="40" t="str">
        <f t="shared" si="51"/>
        <v/>
      </c>
      <c r="FP12" s="40" t="str">
        <f t="shared" si="52"/>
        <v/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 t="shared" si="53"/>
        <v/>
      </c>
      <c r="GL12" s="11" t="str">
        <f t="shared" si="54"/>
        <v/>
      </c>
      <c r="GM12" s="11" t="str">
        <f t="shared" si="55"/>
        <v/>
      </c>
      <c r="GN12" s="11" t="str">
        <f t="shared" si="56"/>
        <v/>
      </c>
      <c r="GO12" s="11" t="str">
        <f t="shared" si="57"/>
        <v/>
      </c>
      <c r="GP12" s="11" t="str">
        <f t="shared" si="58"/>
        <v/>
      </c>
      <c r="GQ12" s="11" t="str">
        <f t="shared" si="59"/>
        <v/>
      </c>
      <c r="GR12" s="11" t="str">
        <f t="shared" si="60"/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 t="shared" si="61"/>
        <v/>
      </c>
      <c r="HN12" s="40" t="str">
        <f t="shared" si="62"/>
        <v/>
      </c>
      <c r="HO12" s="40" t="str">
        <f t="shared" si="63"/>
        <v/>
      </c>
      <c r="HP12" s="40" t="str">
        <f t="shared" si="64"/>
        <v/>
      </c>
      <c r="HQ12" s="40" t="str">
        <f t="shared" si="65"/>
        <v/>
      </c>
      <c r="HR12" s="40" t="str">
        <f t="shared" si="66"/>
        <v/>
      </c>
      <c r="HS12" s="40" t="str">
        <f t="shared" si="67"/>
        <v/>
      </c>
      <c r="HT12" s="40" t="str">
        <f t="shared" si="68"/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 t="shared" si="69"/>
        <v/>
      </c>
      <c r="IP12" s="11" t="str">
        <f t="shared" si="70"/>
        <v/>
      </c>
      <c r="IQ12" s="11" t="str">
        <f t="shared" si="71"/>
        <v/>
      </c>
      <c r="IR12" s="11" t="str">
        <f t="shared" si="72"/>
        <v/>
      </c>
      <c r="IS12" s="11" t="str">
        <f t="shared" si="73"/>
        <v/>
      </c>
      <c r="IT12" s="11" t="str">
        <f t="shared" si="74"/>
        <v/>
      </c>
      <c r="IU12" s="11" t="str">
        <f t="shared" si="75"/>
        <v/>
      </c>
      <c r="IV12" s="11" t="str">
        <f t="shared" si="76"/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 t="shared" si="77"/>
        <v/>
      </c>
      <c r="JR12" s="40" t="str">
        <f t="shared" si="78"/>
        <v/>
      </c>
      <c r="JS12" s="40" t="str">
        <f t="shared" si="79"/>
        <v/>
      </c>
      <c r="JT12" s="40" t="str">
        <f t="shared" si="80"/>
        <v/>
      </c>
      <c r="JU12" s="40" t="str">
        <f t="shared" si="81"/>
        <v/>
      </c>
      <c r="JV12" s="40" t="str">
        <f t="shared" si="82"/>
        <v/>
      </c>
      <c r="JW12" s="40" t="str">
        <f t="shared" si="83"/>
        <v/>
      </c>
      <c r="JX12" s="40" t="str">
        <f t="shared" si="84"/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 t="shared" si="85"/>
        <v/>
      </c>
      <c r="KT12" s="11" t="str">
        <f t="shared" si="86"/>
        <v/>
      </c>
      <c r="KU12" s="11" t="str">
        <f t="shared" si="87"/>
        <v/>
      </c>
      <c r="KV12" s="11" t="str">
        <f t="shared" si="88"/>
        <v/>
      </c>
      <c r="KW12" s="11" t="str">
        <f t="shared" si="89"/>
        <v/>
      </c>
      <c r="KX12" s="11" t="str">
        <f t="shared" si="90"/>
        <v/>
      </c>
      <c r="KY12" s="11" t="str">
        <f t="shared" si="91"/>
        <v/>
      </c>
      <c r="KZ12" s="11" t="str">
        <f t="shared" si="92"/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 t="shared" si="93"/>
        <v/>
      </c>
      <c r="LV12" s="40" t="str">
        <f t="shared" si="94"/>
        <v/>
      </c>
      <c r="LW12" s="40" t="str">
        <f t="shared" si="95"/>
        <v/>
      </c>
      <c r="LX12" s="40" t="str">
        <f t="shared" si="96"/>
        <v/>
      </c>
      <c r="LY12" s="40" t="str">
        <f t="shared" si="97"/>
        <v/>
      </c>
      <c r="LZ12" s="40" t="str">
        <f t="shared" si="98"/>
        <v/>
      </c>
      <c r="MA12" s="40" t="str">
        <f t="shared" si="99"/>
        <v/>
      </c>
      <c r="MB12" s="40" t="str">
        <f t="shared" si="100"/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 t="shared" si="101"/>
        <v/>
      </c>
      <c r="MX12" s="11" t="str">
        <f t="shared" si="102"/>
        <v/>
      </c>
      <c r="MY12" s="11" t="str">
        <f t="shared" si="103"/>
        <v/>
      </c>
      <c r="MZ12" s="11" t="str">
        <f t="shared" si="104"/>
        <v/>
      </c>
      <c r="NA12" s="11" t="str">
        <f t="shared" si="105"/>
        <v/>
      </c>
      <c r="NB12" s="11" t="str">
        <f t="shared" si="106"/>
        <v/>
      </c>
      <c r="NC12" s="11" t="str">
        <f t="shared" si="107"/>
        <v/>
      </c>
      <c r="ND12" s="11" t="str">
        <f t="shared" si="108"/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 t="shared" si="109"/>
        <v/>
      </c>
      <c r="NZ12" s="40" t="str">
        <f t="shared" si="110"/>
        <v/>
      </c>
      <c r="OA12" s="40" t="str">
        <f t="shared" si="111"/>
        <v/>
      </c>
      <c r="OB12" s="40" t="str">
        <f t="shared" si="112"/>
        <v/>
      </c>
      <c r="OC12" s="40" t="str">
        <f t="shared" si="113"/>
        <v/>
      </c>
      <c r="OD12" s="40" t="str">
        <f t="shared" si="114"/>
        <v/>
      </c>
      <c r="OE12" s="40" t="str">
        <f t="shared" si="115"/>
        <v/>
      </c>
      <c r="OF12" s="40" t="str">
        <f t="shared" si="116"/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 t="shared" si="117"/>
        <v/>
      </c>
      <c r="PB12" s="11" t="str">
        <f t="shared" si="118"/>
        <v/>
      </c>
      <c r="PC12" s="11" t="str">
        <f t="shared" si="119"/>
        <v/>
      </c>
      <c r="PD12" s="11" t="str">
        <f t="shared" si="120"/>
        <v/>
      </c>
      <c r="PE12" s="11" t="str">
        <f t="shared" si="121"/>
        <v/>
      </c>
      <c r="PF12" s="11" t="str">
        <f t="shared" si="122"/>
        <v/>
      </c>
      <c r="PG12" s="11" t="str">
        <f t="shared" si="123"/>
        <v/>
      </c>
      <c r="PH12" s="11" t="str">
        <f t="shared" si="124"/>
        <v/>
      </c>
      <c r="PI12" s="22">
        <f t="shared" si="125"/>
        <v>7.8</v>
      </c>
      <c r="PJ12" s="22">
        <f t="shared" si="126"/>
        <v>0.6</v>
      </c>
      <c r="PK12" s="22">
        <f t="shared" si="127"/>
        <v>0</v>
      </c>
      <c r="PL12" s="22">
        <f t="shared" si="128"/>
        <v>0</v>
      </c>
      <c r="PM12" s="22">
        <f t="shared" si="129"/>
        <v>7.5</v>
      </c>
      <c r="PN12" s="22">
        <f t="shared" si="130"/>
        <v>2.2999999999999998</v>
      </c>
      <c r="PO12" s="22">
        <f t="shared" si="131"/>
        <v>0.1</v>
      </c>
      <c r="PP12" s="22">
        <f t="shared" si="132"/>
        <v>0</v>
      </c>
      <c r="PQ12" s="22">
        <f t="shared" si="133"/>
        <v>7.3</v>
      </c>
      <c r="PR12" s="22">
        <f t="shared" si="134"/>
        <v>1.7</v>
      </c>
      <c r="PS12" s="22">
        <f t="shared" si="135"/>
        <v>0</v>
      </c>
      <c r="PT12" s="22">
        <f t="shared" si="136"/>
        <v>0</v>
      </c>
      <c r="PU12" s="22">
        <f t="shared" si="137"/>
        <v>7.6</v>
      </c>
      <c r="PV12" s="22">
        <f t="shared" si="138"/>
        <v>1.3</v>
      </c>
      <c r="PW12" s="22">
        <f t="shared" si="139"/>
        <v>0</v>
      </c>
      <c r="PX12" s="22">
        <f t="shared" si="140"/>
        <v>0</v>
      </c>
      <c r="PY12" s="27" t="s">
        <v>46</v>
      </c>
      <c r="PZ12" s="40">
        <f t="shared" si="141"/>
        <v>2.9</v>
      </c>
      <c r="QA12" s="40">
        <f t="shared" si="142"/>
        <v>18.099999999999998</v>
      </c>
      <c r="QB12" s="40">
        <f t="shared" si="143"/>
        <v>3</v>
      </c>
      <c r="QC12" s="40">
        <f t="shared" si="144"/>
        <v>17.900000000000002</v>
      </c>
      <c r="QD12" s="40">
        <f t="shared" si="145"/>
        <v>36</v>
      </c>
    </row>
    <row r="13" spans="1:446" x14ac:dyDescent="0.2">
      <c r="A13" s="4" t="str" cm="1">
        <f t="array" ref="A13">IF(AND(J13&lt;&gt;"",J13&lt;&gt;"No DD"),SUMPRODUCT((J$4:J$18&lt;&gt;"")*(J$4:J$18&lt;&gt;"No DD")*(F$4:F$18&gt;F13))+1,IF(J13="No DD",SUMPRODUCT((J$4:J$18="No DD")*(F$4:F$18&gt;F13))+1+SUMPRODUCT((J$4:J$18&lt;&gt;"")*(J$4:J$18&lt;&gt;"No DD")),""))</f>
        <v/>
      </c>
      <c r="B13" s="4" t="str" cm="1">
        <f t="array" ref="B13">IF(AND(J13&lt;&gt;"",J13&lt;&gt;"No DD",G13=""),SUMPRODUCT((J$4:J$18&lt;&gt;"")*(J$4:J$18&lt;&gt;"No DD")*(G$4:G$18="")*(F$4:F$18&gt;F13))+1,IF(J13="No DD",SUMPRODUCT((J$4:J$18="No DD")*(F$4:F$18&gt;F13)*(G$4:G$18=""))+1+SUMPRODUCT((J$4:J$18&lt;&gt;"")*(G$4:G$18="")*(J$4:J$18&lt;&gt;"No DD")),""))</f>
        <v/>
      </c>
      <c r="C13" s="5" t="s">
        <v>201</v>
      </c>
      <c r="D13" s="4" t="s">
        <v>4</v>
      </c>
      <c r="E13" s="4">
        <v>2009</v>
      </c>
      <c r="F13" s="9">
        <f t="shared" si="0"/>
        <v>113.90000388000387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IF(COUNT(AM13,BI13,CE13)&gt;0,LARGE((AM13,BI13,CE13),1),0)</f>
        <v>38.799999999999997</v>
      </c>
      <c r="M13" s="8" t="str">
        <f t="shared" si="5"/>
        <v>2025 Nationals</v>
      </c>
      <c r="N13" s="8">
        <f>IF(COUNT(AM13,BI13,CE13)&gt;1,LARGE((AM13,BI13,CE13),2),0)</f>
        <v>0</v>
      </c>
      <c r="O13" s="8" t="str">
        <f t="shared" si="6"/>
        <v/>
      </c>
      <c r="P13" s="8">
        <f t="shared" si="7"/>
        <v>37.4</v>
      </c>
      <c r="Q13" s="8" t="str">
        <f t="shared" si="8"/>
        <v>2025 Nationals</v>
      </c>
      <c r="R13" s="8">
        <f t="shared" si="9"/>
        <v>37.700000000000003</v>
      </c>
      <c r="S13" s="11" t="str">
        <f t="shared" si="10"/>
        <v>(Q1)</v>
      </c>
      <c r="T13" s="8" t="str">
        <f t="shared" si="11"/>
        <v>2025 WAGC (Nov 16)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27"/>
      <c r="AL13" s="40" t="str">
        <f t="shared" si="12"/>
        <v/>
      </c>
      <c r="AM13" s="40" t="str">
        <f t="shared" si="13"/>
        <v/>
      </c>
      <c r="AN13" s="40" t="str">
        <f t="shared" si="14"/>
        <v/>
      </c>
      <c r="AO13" s="40" t="str">
        <f t="shared" si="15"/>
        <v/>
      </c>
      <c r="AP13" s="40" t="str">
        <f t="shared" si="16"/>
        <v/>
      </c>
      <c r="AQ13" s="18">
        <v>16.399999999999999</v>
      </c>
      <c r="AR13" s="18">
        <v>3.2</v>
      </c>
      <c r="AS13" s="18">
        <v>0</v>
      </c>
      <c r="AT13" s="18">
        <v>0</v>
      </c>
      <c r="AU13" s="18">
        <v>16.399999999999999</v>
      </c>
      <c r="AV13" s="18">
        <v>2.9</v>
      </c>
      <c r="AW13" s="18">
        <v>0.1</v>
      </c>
      <c r="AX13" s="18">
        <v>0</v>
      </c>
      <c r="AY13" s="18">
        <v>15.8</v>
      </c>
      <c r="AZ13" s="18">
        <v>2.2000000000000002</v>
      </c>
      <c r="BA13" s="18">
        <v>0.8</v>
      </c>
      <c r="BB13" s="18">
        <v>0</v>
      </c>
      <c r="BC13" s="18">
        <v>16.3</v>
      </c>
      <c r="BD13" s="18">
        <v>3.9</v>
      </c>
      <c r="BE13" s="18">
        <v>0</v>
      </c>
      <c r="BF13" s="18">
        <v>0</v>
      </c>
      <c r="BG13" s="28"/>
      <c r="BH13" s="11">
        <f t="shared" si="17"/>
        <v>6.1</v>
      </c>
      <c r="BI13" s="11">
        <f t="shared" si="18"/>
        <v>38.799999999999997</v>
      </c>
      <c r="BJ13" s="11">
        <f t="shared" si="19"/>
        <v>6.1</v>
      </c>
      <c r="BK13" s="11">
        <f t="shared" si="20"/>
        <v>37.4</v>
      </c>
      <c r="BL13" s="11">
        <f t="shared" si="21"/>
        <v>76.199999999999989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 t="shared" si="22"/>
        <v/>
      </c>
      <c r="CE13" s="40" t="str">
        <f t="shared" si="23"/>
        <v/>
      </c>
      <c r="CF13" s="40" t="str">
        <f t="shared" si="24"/>
        <v/>
      </c>
      <c r="CG13" s="40" t="str">
        <f t="shared" si="25"/>
        <v/>
      </c>
      <c r="CH13" s="40" t="str">
        <f t="shared" si="26"/>
        <v/>
      </c>
      <c r="CI13" s="50">
        <f t="shared" si="27"/>
        <v>37.700000000000003</v>
      </c>
      <c r="CJ13" s="50" t="str">
        <f t="shared" si="28"/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 t="shared" si="29"/>
        <v/>
      </c>
      <c r="DF13" s="40" t="str">
        <f t="shared" si="30"/>
        <v/>
      </c>
      <c r="DG13" s="40" t="str">
        <f t="shared" si="31"/>
        <v/>
      </c>
      <c r="DH13" s="40" t="str">
        <f t="shared" si="32"/>
        <v/>
      </c>
      <c r="DI13" s="40" t="str">
        <f t="shared" si="33"/>
        <v/>
      </c>
      <c r="DJ13" s="40" t="str">
        <f t="shared" si="34"/>
        <v/>
      </c>
      <c r="DK13" s="40" t="str">
        <f t="shared" si="35"/>
        <v/>
      </c>
      <c r="DL13" s="40" t="str">
        <f t="shared" si="36"/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 t="shared" si="37"/>
        <v/>
      </c>
      <c r="EH13" s="11" t="str">
        <f t="shared" si="38"/>
        <v/>
      </c>
      <c r="EI13" s="11" t="str">
        <f t="shared" si="39"/>
        <v/>
      </c>
      <c r="EJ13" s="11" t="str">
        <f t="shared" si="40"/>
        <v/>
      </c>
      <c r="EK13" s="11" t="str">
        <f t="shared" si="41"/>
        <v/>
      </c>
      <c r="EL13" s="11" t="str">
        <f t="shared" si="42"/>
        <v/>
      </c>
      <c r="EM13" s="11" t="str">
        <f t="shared" si="43"/>
        <v/>
      </c>
      <c r="EN13" s="11" t="str">
        <f t="shared" si="44"/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 t="shared" si="45"/>
        <v/>
      </c>
      <c r="FJ13" s="40" t="str">
        <f t="shared" si="46"/>
        <v/>
      </c>
      <c r="FK13" s="40" t="str">
        <f t="shared" si="47"/>
        <v/>
      </c>
      <c r="FL13" s="40" t="str">
        <f t="shared" si="48"/>
        <v/>
      </c>
      <c r="FM13" s="40" t="str">
        <f t="shared" si="49"/>
        <v/>
      </c>
      <c r="FN13" s="40" t="str">
        <f t="shared" si="50"/>
        <v/>
      </c>
      <c r="FO13" s="40" t="str">
        <f t="shared" si="51"/>
        <v/>
      </c>
      <c r="FP13" s="40" t="str">
        <f t="shared" si="52"/>
        <v/>
      </c>
      <c r="FQ13" s="18">
        <v>15.8</v>
      </c>
      <c r="FR13" s="18">
        <v>3.8</v>
      </c>
      <c r="FS13" s="18">
        <v>0.4</v>
      </c>
      <c r="FT13" s="18">
        <v>0</v>
      </c>
      <c r="FU13" s="18">
        <v>15.3</v>
      </c>
      <c r="FV13" s="18">
        <v>3.4</v>
      </c>
      <c r="FW13" s="18">
        <v>0.2</v>
      </c>
      <c r="FX13" s="18">
        <v>0</v>
      </c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>
        <f t="shared" si="53"/>
        <v>7.1999999999999993</v>
      </c>
      <c r="GL13" s="11">
        <f t="shared" si="54"/>
        <v>37.700000000000003</v>
      </c>
      <c r="GM13" s="11" t="str">
        <f t="shared" si="55"/>
        <v/>
      </c>
      <c r="GN13" s="11">
        <f t="shared" si="56"/>
        <v>7.1999999999999993</v>
      </c>
      <c r="GO13" s="11">
        <f t="shared" si="57"/>
        <v>37.700000000000003</v>
      </c>
      <c r="GP13" s="11" t="str">
        <f t="shared" si="58"/>
        <v/>
      </c>
      <c r="GQ13" s="11" t="str">
        <f t="shared" si="59"/>
        <v/>
      </c>
      <c r="GR13" s="11">
        <f t="shared" si="60"/>
        <v>37.700000000000003</v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 t="shared" si="61"/>
        <v/>
      </c>
      <c r="HN13" s="40" t="str">
        <f t="shared" si="62"/>
        <v/>
      </c>
      <c r="HO13" s="40" t="str">
        <f t="shared" si="63"/>
        <v/>
      </c>
      <c r="HP13" s="40" t="str">
        <f t="shared" si="64"/>
        <v/>
      </c>
      <c r="HQ13" s="40" t="str">
        <f t="shared" si="65"/>
        <v/>
      </c>
      <c r="HR13" s="40" t="str">
        <f t="shared" si="66"/>
        <v/>
      </c>
      <c r="HS13" s="40" t="str">
        <f t="shared" si="67"/>
        <v/>
      </c>
      <c r="HT13" s="40" t="str">
        <f t="shared" si="68"/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 t="shared" si="69"/>
        <v/>
      </c>
      <c r="IP13" s="11" t="str">
        <f t="shared" si="70"/>
        <v/>
      </c>
      <c r="IQ13" s="11" t="str">
        <f t="shared" si="71"/>
        <v/>
      </c>
      <c r="IR13" s="11" t="str">
        <f t="shared" si="72"/>
        <v/>
      </c>
      <c r="IS13" s="11" t="str">
        <f t="shared" si="73"/>
        <v/>
      </c>
      <c r="IT13" s="11" t="str">
        <f t="shared" si="74"/>
        <v/>
      </c>
      <c r="IU13" s="11" t="str">
        <f t="shared" si="75"/>
        <v/>
      </c>
      <c r="IV13" s="11" t="str">
        <f t="shared" si="76"/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 t="shared" si="77"/>
        <v/>
      </c>
      <c r="JR13" s="40" t="str">
        <f t="shared" si="78"/>
        <v/>
      </c>
      <c r="JS13" s="40" t="str">
        <f t="shared" si="79"/>
        <v/>
      </c>
      <c r="JT13" s="40" t="str">
        <f t="shared" si="80"/>
        <v/>
      </c>
      <c r="JU13" s="40" t="str">
        <f t="shared" si="81"/>
        <v/>
      </c>
      <c r="JV13" s="40" t="str">
        <f t="shared" si="82"/>
        <v/>
      </c>
      <c r="JW13" s="40" t="str">
        <f t="shared" si="83"/>
        <v/>
      </c>
      <c r="JX13" s="40" t="str">
        <f t="shared" si="84"/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 t="shared" si="85"/>
        <v/>
      </c>
      <c r="KT13" s="11" t="str">
        <f t="shared" si="86"/>
        <v/>
      </c>
      <c r="KU13" s="11" t="str">
        <f t="shared" si="87"/>
        <v/>
      </c>
      <c r="KV13" s="11" t="str">
        <f t="shared" si="88"/>
        <v/>
      </c>
      <c r="KW13" s="11" t="str">
        <f t="shared" si="89"/>
        <v/>
      </c>
      <c r="KX13" s="11" t="str">
        <f t="shared" si="90"/>
        <v/>
      </c>
      <c r="KY13" s="11" t="str">
        <f t="shared" si="91"/>
        <v/>
      </c>
      <c r="KZ13" s="11" t="str">
        <f t="shared" si="92"/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 t="shared" si="93"/>
        <v/>
      </c>
      <c r="LV13" s="40" t="str">
        <f t="shared" si="94"/>
        <v/>
      </c>
      <c r="LW13" s="40" t="str">
        <f t="shared" si="95"/>
        <v/>
      </c>
      <c r="LX13" s="40" t="str">
        <f t="shared" si="96"/>
        <v/>
      </c>
      <c r="LY13" s="40" t="str">
        <f t="shared" si="97"/>
        <v/>
      </c>
      <c r="LZ13" s="40" t="str">
        <f t="shared" si="98"/>
        <v/>
      </c>
      <c r="MA13" s="40" t="str">
        <f t="shared" si="99"/>
        <v/>
      </c>
      <c r="MB13" s="40" t="str">
        <f t="shared" si="100"/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 t="shared" si="101"/>
        <v/>
      </c>
      <c r="MX13" s="11" t="str">
        <f t="shared" si="102"/>
        <v/>
      </c>
      <c r="MY13" s="11" t="str">
        <f t="shared" si="103"/>
        <v/>
      </c>
      <c r="MZ13" s="11" t="str">
        <f t="shared" si="104"/>
        <v/>
      </c>
      <c r="NA13" s="11" t="str">
        <f t="shared" si="105"/>
        <v/>
      </c>
      <c r="NB13" s="11" t="str">
        <f t="shared" si="106"/>
        <v/>
      </c>
      <c r="NC13" s="11" t="str">
        <f t="shared" si="107"/>
        <v/>
      </c>
      <c r="ND13" s="11" t="str">
        <f t="shared" si="108"/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 t="shared" si="109"/>
        <v/>
      </c>
      <c r="NZ13" s="40" t="str">
        <f t="shared" si="110"/>
        <v/>
      </c>
      <c r="OA13" s="40" t="str">
        <f t="shared" si="111"/>
        <v/>
      </c>
      <c r="OB13" s="40" t="str">
        <f t="shared" si="112"/>
        <v/>
      </c>
      <c r="OC13" s="40" t="str">
        <f t="shared" si="113"/>
        <v/>
      </c>
      <c r="OD13" s="40" t="str">
        <f t="shared" si="114"/>
        <v/>
      </c>
      <c r="OE13" s="40" t="str">
        <f t="shared" si="115"/>
        <v/>
      </c>
      <c r="OF13" s="40" t="str">
        <f t="shared" si="116"/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 t="shared" si="117"/>
        <v/>
      </c>
      <c r="PB13" s="11" t="str">
        <f t="shared" si="118"/>
        <v/>
      </c>
      <c r="PC13" s="11" t="str">
        <f t="shared" si="119"/>
        <v/>
      </c>
      <c r="PD13" s="11" t="str">
        <f t="shared" si="120"/>
        <v/>
      </c>
      <c r="PE13" s="11" t="str">
        <f t="shared" si="121"/>
        <v/>
      </c>
      <c r="PF13" s="11" t="str">
        <f t="shared" si="122"/>
        <v/>
      </c>
      <c r="PG13" s="11" t="str">
        <f t="shared" si="123"/>
        <v/>
      </c>
      <c r="PH13" s="11" t="str">
        <f t="shared" si="124"/>
        <v/>
      </c>
      <c r="PI13" s="22">
        <f t="shared" si="125"/>
        <v>8.1999999999999993</v>
      </c>
      <c r="PJ13" s="22">
        <f t="shared" si="126"/>
        <v>1.6</v>
      </c>
      <c r="PK13" s="22">
        <f t="shared" si="127"/>
        <v>0</v>
      </c>
      <c r="PL13" s="22">
        <f t="shared" si="128"/>
        <v>0</v>
      </c>
      <c r="PM13" s="22">
        <f t="shared" si="129"/>
        <v>8.1999999999999993</v>
      </c>
      <c r="PN13" s="22">
        <f t="shared" si="130"/>
        <v>1.45</v>
      </c>
      <c r="PO13" s="22">
        <f t="shared" si="131"/>
        <v>0.05</v>
      </c>
      <c r="PP13" s="22">
        <f t="shared" si="132"/>
        <v>0</v>
      </c>
      <c r="PQ13" s="22">
        <f t="shared" si="133"/>
        <v>7.9</v>
      </c>
      <c r="PR13" s="22">
        <f t="shared" si="134"/>
        <v>1.1000000000000001</v>
      </c>
      <c r="PS13" s="22">
        <f t="shared" si="135"/>
        <v>0.4</v>
      </c>
      <c r="PT13" s="22">
        <f t="shared" si="136"/>
        <v>0</v>
      </c>
      <c r="PU13" s="22">
        <f t="shared" si="137"/>
        <v>8.15</v>
      </c>
      <c r="PV13" s="22">
        <f t="shared" si="138"/>
        <v>1.95</v>
      </c>
      <c r="PW13" s="22">
        <f t="shared" si="139"/>
        <v>0</v>
      </c>
      <c r="PX13" s="22">
        <f t="shared" si="140"/>
        <v>0</v>
      </c>
      <c r="PY13" s="27" t="s">
        <v>46</v>
      </c>
      <c r="PZ13" s="40">
        <f t="shared" si="141"/>
        <v>3.05</v>
      </c>
      <c r="QA13" s="40">
        <f t="shared" si="142"/>
        <v>19.399999999999999</v>
      </c>
      <c r="QB13" s="40">
        <f t="shared" si="143"/>
        <v>3.05</v>
      </c>
      <c r="QC13" s="40">
        <f t="shared" si="144"/>
        <v>18.7</v>
      </c>
      <c r="QD13" s="40">
        <f t="shared" si="145"/>
        <v>38.099999999999994</v>
      </c>
    </row>
    <row r="14" spans="1:446" x14ac:dyDescent="0.2">
      <c r="A14" s="4" t="str" cm="1">
        <f t="array" ref="A14">IF(AND(J14&lt;&gt;"",J14&lt;&gt;"No DD"),SUMPRODUCT((J$4:J$18&lt;&gt;"")*(J$4:J$18&lt;&gt;"No DD")*(F$4:F$18&gt;F14))+1,IF(J14="No DD",SUMPRODUCT((J$4:J$18="No DD")*(F$4:F$18&gt;F14))+1+SUMPRODUCT((J$4:J$18&lt;&gt;"")*(J$4:J$18&lt;&gt;"No DD")),""))</f>
        <v/>
      </c>
      <c r="B14" s="4" t="str" cm="1">
        <f t="array" ref="B14">IF(AND(J14&lt;&gt;"",J14&lt;&gt;"No DD",G14=""),SUMPRODUCT((J$4:J$18&lt;&gt;"")*(J$4:J$18&lt;&gt;"No DD")*(G$4:G$18="")*(F$4:F$18&gt;F14))+1,IF(J14="No DD",SUMPRODUCT((J$4:J$18="No DD")*(F$4:F$18&gt;F14)*(G$4:G$18=""))+1+SUMPRODUCT((J$4:J$18&lt;&gt;"")*(G$4:G$18="")*(J$4:J$18&lt;&gt;"No DD")),""))</f>
        <v/>
      </c>
      <c r="C14" s="5" t="s">
        <v>131</v>
      </c>
      <c r="D14" s="4" t="s">
        <v>3</v>
      </c>
      <c r="E14" s="4">
        <v>2007</v>
      </c>
      <c r="F14" s="9">
        <f t="shared" si="0"/>
        <v>113.80000732000397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IF(COUNT(AM14,BI14,CE14)&gt;0,LARGE((AM14,BI14,CE14),1),0)</f>
        <v>39.799999999999997</v>
      </c>
      <c r="M14" s="8" t="str">
        <f t="shared" si="5"/>
        <v>2025 Nationals</v>
      </c>
      <c r="N14" s="8">
        <f>IF(COUNT(AM14,BI14,CE14)&gt;1,LARGE((AM14,BI14,CE14),2),0)</f>
        <v>33.400000000000006</v>
      </c>
      <c r="O14" s="8" t="str">
        <f t="shared" si="6"/>
        <v>2025 Elite Canada</v>
      </c>
      <c r="P14" s="8">
        <f t="shared" si="7"/>
        <v>40.599999999999994</v>
      </c>
      <c r="Q14" s="8" t="str">
        <f t="shared" si="8"/>
        <v>2025 Nationals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14.5</v>
      </c>
      <c r="V14" s="19">
        <v>1.6</v>
      </c>
      <c r="W14" s="19">
        <v>0</v>
      </c>
      <c r="X14" s="19">
        <v>0</v>
      </c>
      <c r="Y14" s="19">
        <v>16.3</v>
      </c>
      <c r="Z14" s="19">
        <v>1.2</v>
      </c>
      <c r="AA14" s="19">
        <v>0.2</v>
      </c>
      <c r="AB14" s="19">
        <v>0</v>
      </c>
      <c r="AC14" s="19"/>
      <c r="AD14" s="19"/>
      <c r="AE14" s="19"/>
      <c r="AF14" s="19"/>
      <c r="AG14" s="19"/>
      <c r="AH14" s="19"/>
      <c r="AI14" s="19"/>
      <c r="AJ14" s="19"/>
      <c r="AK14" s="27"/>
      <c r="AL14" s="40">
        <f t="shared" si="12"/>
        <v>2.8</v>
      </c>
      <c r="AM14" s="40">
        <f t="shared" si="13"/>
        <v>33.400000000000006</v>
      </c>
      <c r="AN14" s="40" t="str">
        <f t="shared" si="14"/>
        <v/>
      </c>
      <c r="AO14" s="40" t="str">
        <f t="shared" si="15"/>
        <v/>
      </c>
      <c r="AP14" s="40">
        <f t="shared" si="16"/>
        <v>33.400000000000006</v>
      </c>
      <c r="AQ14" s="18">
        <v>16.7</v>
      </c>
      <c r="AR14" s="18">
        <v>3.4</v>
      </c>
      <c r="AS14" s="18">
        <v>0.2</v>
      </c>
      <c r="AT14" s="18">
        <v>0</v>
      </c>
      <c r="AU14" s="18">
        <v>16.8</v>
      </c>
      <c r="AV14" s="18">
        <v>3.1</v>
      </c>
      <c r="AW14" s="18">
        <v>0</v>
      </c>
      <c r="AX14" s="18">
        <v>0</v>
      </c>
      <c r="AY14" s="18">
        <v>17.100000000000001</v>
      </c>
      <c r="AZ14" s="18">
        <v>3.4</v>
      </c>
      <c r="BA14" s="18">
        <v>0</v>
      </c>
      <c r="BB14" s="18">
        <v>0</v>
      </c>
      <c r="BC14" s="18">
        <v>17.3</v>
      </c>
      <c r="BD14" s="18">
        <v>2.9</v>
      </c>
      <c r="BE14" s="18">
        <v>0.1</v>
      </c>
      <c r="BF14" s="18">
        <v>0</v>
      </c>
      <c r="BG14" s="28"/>
      <c r="BH14" s="11">
        <f t="shared" si="17"/>
        <v>6.5</v>
      </c>
      <c r="BI14" s="11">
        <f t="shared" si="18"/>
        <v>39.799999999999997</v>
      </c>
      <c r="BJ14" s="11">
        <f t="shared" si="19"/>
        <v>6.3</v>
      </c>
      <c r="BK14" s="11">
        <f t="shared" si="20"/>
        <v>40.599999999999994</v>
      </c>
      <c r="BL14" s="11">
        <f t="shared" si="21"/>
        <v>80.399999999999991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 t="shared" si="22"/>
        <v/>
      </c>
      <c r="CE14" s="40" t="str">
        <f t="shared" si="23"/>
        <v/>
      </c>
      <c r="CF14" s="40" t="str">
        <f t="shared" si="24"/>
        <v/>
      </c>
      <c r="CG14" s="40" t="str">
        <f t="shared" si="25"/>
        <v/>
      </c>
      <c r="CH14" s="40" t="str">
        <f t="shared" si="26"/>
        <v/>
      </c>
      <c r="CI14" s="50" t="str">
        <f t="shared" si="27"/>
        <v/>
      </c>
      <c r="CJ14" s="50" t="str">
        <f t="shared" si="28"/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 t="shared" si="29"/>
        <v/>
      </c>
      <c r="DF14" s="40" t="str">
        <f t="shared" si="30"/>
        <v/>
      </c>
      <c r="DG14" s="40" t="str">
        <f t="shared" si="31"/>
        <v/>
      </c>
      <c r="DH14" s="40" t="str">
        <f t="shared" si="32"/>
        <v/>
      </c>
      <c r="DI14" s="40" t="str">
        <f t="shared" si="33"/>
        <v/>
      </c>
      <c r="DJ14" s="40" t="str">
        <f t="shared" si="34"/>
        <v/>
      </c>
      <c r="DK14" s="40" t="str">
        <f t="shared" si="35"/>
        <v/>
      </c>
      <c r="DL14" s="40" t="str">
        <f t="shared" si="36"/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 t="shared" si="37"/>
        <v/>
      </c>
      <c r="EH14" s="11" t="str">
        <f t="shared" si="38"/>
        <v/>
      </c>
      <c r="EI14" s="11" t="str">
        <f t="shared" si="39"/>
        <v/>
      </c>
      <c r="EJ14" s="11" t="str">
        <f t="shared" si="40"/>
        <v/>
      </c>
      <c r="EK14" s="11" t="str">
        <f t="shared" si="41"/>
        <v/>
      </c>
      <c r="EL14" s="11" t="str">
        <f t="shared" si="42"/>
        <v/>
      </c>
      <c r="EM14" s="11" t="str">
        <f t="shared" si="43"/>
        <v/>
      </c>
      <c r="EN14" s="11" t="str">
        <f t="shared" si="44"/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 t="shared" si="45"/>
        <v/>
      </c>
      <c r="FJ14" s="40" t="str">
        <f t="shared" si="46"/>
        <v/>
      </c>
      <c r="FK14" s="40" t="str">
        <f t="shared" si="47"/>
        <v/>
      </c>
      <c r="FL14" s="40" t="str">
        <f t="shared" si="48"/>
        <v/>
      </c>
      <c r="FM14" s="40" t="str">
        <f t="shared" si="49"/>
        <v/>
      </c>
      <c r="FN14" s="40" t="str">
        <f t="shared" si="50"/>
        <v/>
      </c>
      <c r="FO14" s="40" t="str">
        <f t="shared" si="51"/>
        <v/>
      </c>
      <c r="FP14" s="40" t="str">
        <f t="shared" si="52"/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 t="shared" si="53"/>
        <v/>
      </c>
      <c r="GL14" s="11" t="str">
        <f t="shared" si="54"/>
        <v/>
      </c>
      <c r="GM14" s="11" t="str">
        <f t="shared" si="55"/>
        <v/>
      </c>
      <c r="GN14" s="11" t="str">
        <f t="shared" si="56"/>
        <v/>
      </c>
      <c r="GO14" s="11" t="str">
        <f t="shared" si="57"/>
        <v/>
      </c>
      <c r="GP14" s="11" t="str">
        <f t="shared" si="58"/>
        <v/>
      </c>
      <c r="GQ14" s="11" t="str">
        <f t="shared" si="59"/>
        <v/>
      </c>
      <c r="GR14" s="11" t="str">
        <f t="shared" si="60"/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 t="shared" si="61"/>
        <v/>
      </c>
      <c r="HN14" s="40" t="str">
        <f t="shared" si="62"/>
        <v/>
      </c>
      <c r="HO14" s="40" t="str">
        <f t="shared" si="63"/>
        <v/>
      </c>
      <c r="HP14" s="40" t="str">
        <f t="shared" si="64"/>
        <v/>
      </c>
      <c r="HQ14" s="40" t="str">
        <f t="shared" si="65"/>
        <v/>
      </c>
      <c r="HR14" s="40" t="str">
        <f t="shared" si="66"/>
        <v/>
      </c>
      <c r="HS14" s="40" t="str">
        <f t="shared" si="67"/>
        <v/>
      </c>
      <c r="HT14" s="40" t="str">
        <f t="shared" si="68"/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 t="shared" si="69"/>
        <v/>
      </c>
      <c r="IP14" s="11" t="str">
        <f t="shared" si="70"/>
        <v/>
      </c>
      <c r="IQ14" s="11" t="str">
        <f t="shared" si="71"/>
        <v/>
      </c>
      <c r="IR14" s="11" t="str">
        <f t="shared" si="72"/>
        <v/>
      </c>
      <c r="IS14" s="11" t="str">
        <f t="shared" si="73"/>
        <v/>
      </c>
      <c r="IT14" s="11" t="str">
        <f t="shared" si="74"/>
        <v/>
      </c>
      <c r="IU14" s="11" t="str">
        <f t="shared" si="75"/>
        <v/>
      </c>
      <c r="IV14" s="11" t="str">
        <f t="shared" si="76"/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 t="shared" si="77"/>
        <v/>
      </c>
      <c r="JR14" s="40" t="str">
        <f t="shared" si="78"/>
        <v/>
      </c>
      <c r="JS14" s="40" t="str">
        <f t="shared" si="79"/>
        <v/>
      </c>
      <c r="JT14" s="40" t="str">
        <f t="shared" si="80"/>
        <v/>
      </c>
      <c r="JU14" s="40" t="str">
        <f t="shared" si="81"/>
        <v/>
      </c>
      <c r="JV14" s="40" t="str">
        <f t="shared" si="82"/>
        <v/>
      </c>
      <c r="JW14" s="40" t="str">
        <f t="shared" si="83"/>
        <v/>
      </c>
      <c r="JX14" s="40" t="str">
        <f t="shared" si="84"/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 t="shared" si="85"/>
        <v/>
      </c>
      <c r="KT14" s="11" t="str">
        <f t="shared" si="86"/>
        <v/>
      </c>
      <c r="KU14" s="11" t="str">
        <f t="shared" si="87"/>
        <v/>
      </c>
      <c r="KV14" s="11" t="str">
        <f t="shared" si="88"/>
        <v/>
      </c>
      <c r="KW14" s="11" t="str">
        <f t="shared" si="89"/>
        <v/>
      </c>
      <c r="KX14" s="11" t="str">
        <f t="shared" si="90"/>
        <v/>
      </c>
      <c r="KY14" s="11" t="str">
        <f t="shared" si="91"/>
        <v/>
      </c>
      <c r="KZ14" s="11" t="str">
        <f t="shared" si="92"/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 t="shared" si="93"/>
        <v/>
      </c>
      <c r="LV14" s="40" t="str">
        <f t="shared" si="94"/>
        <v/>
      </c>
      <c r="LW14" s="40" t="str">
        <f t="shared" si="95"/>
        <v/>
      </c>
      <c r="LX14" s="40" t="str">
        <f t="shared" si="96"/>
        <v/>
      </c>
      <c r="LY14" s="40" t="str">
        <f t="shared" si="97"/>
        <v/>
      </c>
      <c r="LZ14" s="40" t="str">
        <f t="shared" si="98"/>
        <v/>
      </c>
      <c r="MA14" s="40" t="str">
        <f t="shared" si="99"/>
        <v/>
      </c>
      <c r="MB14" s="40" t="str">
        <f t="shared" si="100"/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 t="shared" si="101"/>
        <v/>
      </c>
      <c r="MX14" s="11" t="str">
        <f t="shared" si="102"/>
        <v/>
      </c>
      <c r="MY14" s="11" t="str">
        <f t="shared" si="103"/>
        <v/>
      </c>
      <c r="MZ14" s="11" t="str">
        <f t="shared" si="104"/>
        <v/>
      </c>
      <c r="NA14" s="11" t="str">
        <f t="shared" si="105"/>
        <v/>
      </c>
      <c r="NB14" s="11" t="str">
        <f t="shared" si="106"/>
        <v/>
      </c>
      <c r="NC14" s="11" t="str">
        <f t="shared" si="107"/>
        <v/>
      </c>
      <c r="ND14" s="11" t="str">
        <f t="shared" si="108"/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 t="shared" si="109"/>
        <v/>
      </c>
      <c r="NZ14" s="40" t="str">
        <f t="shared" si="110"/>
        <v/>
      </c>
      <c r="OA14" s="40" t="str">
        <f t="shared" si="111"/>
        <v/>
      </c>
      <c r="OB14" s="40" t="str">
        <f t="shared" si="112"/>
        <v/>
      </c>
      <c r="OC14" s="40" t="str">
        <f t="shared" si="113"/>
        <v/>
      </c>
      <c r="OD14" s="40" t="str">
        <f t="shared" si="114"/>
        <v/>
      </c>
      <c r="OE14" s="40" t="str">
        <f t="shared" si="115"/>
        <v/>
      </c>
      <c r="OF14" s="40" t="str">
        <f t="shared" si="116"/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 t="shared" si="117"/>
        <v/>
      </c>
      <c r="PB14" s="11" t="str">
        <f t="shared" si="118"/>
        <v/>
      </c>
      <c r="PC14" s="11" t="str">
        <f t="shared" si="119"/>
        <v/>
      </c>
      <c r="PD14" s="11" t="str">
        <f t="shared" si="120"/>
        <v/>
      </c>
      <c r="PE14" s="11" t="str">
        <f t="shared" si="121"/>
        <v/>
      </c>
      <c r="PF14" s="11" t="str">
        <f t="shared" si="122"/>
        <v/>
      </c>
      <c r="PG14" s="11" t="str">
        <f t="shared" si="123"/>
        <v/>
      </c>
      <c r="PH14" s="11" t="str">
        <f t="shared" si="124"/>
        <v/>
      </c>
      <c r="PI14" s="22">
        <f t="shared" si="125"/>
        <v>8.35</v>
      </c>
      <c r="PJ14" s="22">
        <f t="shared" si="126"/>
        <v>1.7</v>
      </c>
      <c r="PK14" s="22">
        <f t="shared" si="127"/>
        <v>0.1</v>
      </c>
      <c r="PL14" s="22">
        <f t="shared" si="128"/>
        <v>0</v>
      </c>
      <c r="PM14" s="22">
        <f t="shared" si="129"/>
        <v>8.4</v>
      </c>
      <c r="PN14" s="22">
        <f t="shared" si="130"/>
        <v>1.55</v>
      </c>
      <c r="PO14" s="22">
        <f t="shared" si="131"/>
        <v>0</v>
      </c>
      <c r="PP14" s="22">
        <f t="shared" si="132"/>
        <v>0</v>
      </c>
      <c r="PQ14" s="22">
        <f t="shared" si="133"/>
        <v>8.5500000000000007</v>
      </c>
      <c r="PR14" s="22">
        <f t="shared" si="134"/>
        <v>1.7</v>
      </c>
      <c r="PS14" s="22">
        <f t="shared" si="135"/>
        <v>0</v>
      </c>
      <c r="PT14" s="22">
        <f t="shared" si="136"/>
        <v>0</v>
      </c>
      <c r="PU14" s="22">
        <f t="shared" si="137"/>
        <v>8.65</v>
      </c>
      <c r="PV14" s="22">
        <f t="shared" si="138"/>
        <v>1.45</v>
      </c>
      <c r="PW14" s="22">
        <f t="shared" si="139"/>
        <v>0.05</v>
      </c>
      <c r="PX14" s="22">
        <f t="shared" si="140"/>
        <v>0</v>
      </c>
      <c r="PY14" s="27" t="s">
        <v>46</v>
      </c>
      <c r="PZ14" s="40">
        <f t="shared" si="141"/>
        <v>3.25</v>
      </c>
      <c r="QA14" s="40">
        <f t="shared" si="142"/>
        <v>19.899999999999999</v>
      </c>
      <c r="QB14" s="40">
        <f t="shared" si="143"/>
        <v>3.15</v>
      </c>
      <c r="QC14" s="40">
        <f t="shared" si="144"/>
        <v>20.299999999999997</v>
      </c>
      <c r="QD14" s="40">
        <f t="shared" si="145"/>
        <v>40.199999999999996</v>
      </c>
    </row>
    <row r="15" spans="1:446" x14ac:dyDescent="0.2">
      <c r="A15" s="4" t="str" cm="1">
        <f t="array" ref="A15">IF(AND(J15&lt;&gt;"",J15&lt;&gt;"No DD"),SUMPRODUCT((J$4:J$18&lt;&gt;"")*(J$4:J$18&lt;&gt;"No DD")*(F$4:F$18&gt;F15))+1,IF(J15="No DD",SUMPRODUCT((J$4:J$18="No DD")*(F$4:F$18&gt;F15))+1+SUMPRODUCT((J$4:J$18&lt;&gt;"")*(J$4:J$18&lt;&gt;"No DD")),""))</f>
        <v/>
      </c>
      <c r="B15" s="4" t="str" cm="1">
        <f t="array" ref="B15">IF(AND(J15&lt;&gt;"",J15&lt;&gt;"No DD",G15=""),SUMPRODUCT((J$4:J$18&lt;&gt;"")*(J$4:J$18&lt;&gt;"No DD")*(G$4:G$18="")*(F$4:F$18&gt;F15))+1,IF(J15="No DD",SUMPRODUCT((J$4:J$18="No DD")*(F$4:F$18&gt;F15)*(G$4:G$18=""))+1+SUMPRODUCT((J$4:J$18&lt;&gt;"")*(G$4:G$18="")*(J$4:J$18&lt;&gt;"No DD")),""))</f>
        <v/>
      </c>
      <c r="C15" s="5" t="s">
        <v>202</v>
      </c>
      <c r="D15" s="4" t="s">
        <v>3</v>
      </c>
      <c r="E15" s="4">
        <v>2009</v>
      </c>
      <c r="F15" s="9">
        <f t="shared" si="0"/>
        <v>110.80000732000366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IF(COUNT(AM15,BI15,CE15)&gt;0,LARGE((AM15,BI15,CE15),1),0)</f>
        <v>36.6</v>
      </c>
      <c r="M15" s="8" t="str">
        <f t="shared" si="5"/>
        <v>2025 Nationals</v>
      </c>
      <c r="N15" s="8">
        <f>IF(COUNT(AM15,BI15,CE15)&gt;1,LARGE((AM15,BI15,CE15),2),0)</f>
        <v>36.599999999999994</v>
      </c>
      <c r="O15" s="8" t="str">
        <f t="shared" si="6"/>
        <v>2025 Elite Canada</v>
      </c>
      <c r="P15" s="8">
        <f t="shared" si="7"/>
        <v>37.600000000000009</v>
      </c>
      <c r="Q15" s="8" t="str">
        <f t="shared" si="8"/>
        <v>2025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1.8</v>
      </c>
      <c r="W15" s="19">
        <v>1</v>
      </c>
      <c r="X15" s="19">
        <v>0</v>
      </c>
      <c r="Y15" s="19">
        <v>17.2</v>
      </c>
      <c r="Z15" s="19">
        <v>3.2</v>
      </c>
      <c r="AA15" s="19">
        <v>2</v>
      </c>
      <c r="AB15" s="19">
        <v>0</v>
      </c>
      <c r="AC15" s="19">
        <v>16.600000000000001</v>
      </c>
      <c r="AD15" s="19">
        <v>1.2</v>
      </c>
      <c r="AE15" s="19">
        <v>0</v>
      </c>
      <c r="AF15" s="19">
        <v>0</v>
      </c>
      <c r="AG15" s="19">
        <v>16.600000000000001</v>
      </c>
      <c r="AH15" s="19">
        <v>3.2</v>
      </c>
      <c r="AI15" s="19">
        <v>0</v>
      </c>
      <c r="AJ15" s="19">
        <v>0</v>
      </c>
      <c r="AK15" s="27"/>
      <c r="AL15" s="40">
        <f t="shared" si="12"/>
        <v>5</v>
      </c>
      <c r="AM15" s="40">
        <f t="shared" si="13"/>
        <v>36.6</v>
      </c>
      <c r="AN15" s="40">
        <f t="shared" si="14"/>
        <v>4.4000000000000004</v>
      </c>
      <c r="AO15" s="40">
        <f t="shared" si="15"/>
        <v>37.600000000000009</v>
      </c>
      <c r="AP15" s="40">
        <f t="shared" si="16"/>
        <v>74.200000000000017</v>
      </c>
      <c r="AQ15" s="18">
        <v>16</v>
      </c>
      <c r="AR15" s="18">
        <v>1.2</v>
      </c>
      <c r="AS15" s="18">
        <v>0</v>
      </c>
      <c r="AT15" s="18">
        <v>0</v>
      </c>
      <c r="AU15" s="18">
        <v>16.8</v>
      </c>
      <c r="AV15" s="18">
        <v>2.8</v>
      </c>
      <c r="AW15" s="18">
        <v>0.2</v>
      </c>
      <c r="AX15" s="18">
        <v>0</v>
      </c>
      <c r="AY15" s="18">
        <v>17.3</v>
      </c>
      <c r="AZ15" s="18">
        <v>2.8</v>
      </c>
      <c r="BA15" s="18">
        <v>0.2</v>
      </c>
      <c r="BB15" s="18">
        <v>0</v>
      </c>
      <c r="BC15" s="18">
        <v>16.5</v>
      </c>
      <c r="BD15" s="18">
        <v>1.2</v>
      </c>
      <c r="BE15" s="18">
        <v>0</v>
      </c>
      <c r="BF15" s="18">
        <v>0</v>
      </c>
      <c r="BG15" s="28"/>
      <c r="BH15" s="11">
        <f t="shared" si="17"/>
        <v>4</v>
      </c>
      <c r="BI15" s="11">
        <f t="shared" si="18"/>
        <v>36.599999999999994</v>
      </c>
      <c r="BJ15" s="11">
        <f t="shared" si="19"/>
        <v>4</v>
      </c>
      <c r="BK15" s="11">
        <f t="shared" si="20"/>
        <v>37.6</v>
      </c>
      <c r="BL15" s="11">
        <f t="shared" si="21"/>
        <v>74.199999999999989</v>
      </c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27"/>
      <c r="CD15" s="40" t="str">
        <f t="shared" si="22"/>
        <v/>
      </c>
      <c r="CE15" s="40" t="str">
        <f t="shared" si="23"/>
        <v/>
      </c>
      <c r="CF15" s="40" t="str">
        <f t="shared" si="24"/>
        <v/>
      </c>
      <c r="CG15" s="40" t="str">
        <f t="shared" si="25"/>
        <v/>
      </c>
      <c r="CH15" s="40" t="str">
        <f t="shared" si="26"/>
        <v/>
      </c>
      <c r="CI15" s="50" t="str">
        <f t="shared" si="27"/>
        <v/>
      </c>
      <c r="CJ15" s="50" t="str">
        <f t="shared" si="28"/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 t="shared" si="29"/>
        <v/>
      </c>
      <c r="DF15" s="40" t="str">
        <f t="shared" si="30"/>
        <v/>
      </c>
      <c r="DG15" s="40" t="str">
        <f t="shared" si="31"/>
        <v/>
      </c>
      <c r="DH15" s="40" t="str">
        <f t="shared" si="32"/>
        <v/>
      </c>
      <c r="DI15" s="40" t="str">
        <f t="shared" si="33"/>
        <v/>
      </c>
      <c r="DJ15" s="40" t="str">
        <f t="shared" si="34"/>
        <v/>
      </c>
      <c r="DK15" s="40" t="str">
        <f t="shared" si="35"/>
        <v/>
      </c>
      <c r="DL15" s="40" t="str">
        <f t="shared" si="36"/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 t="shared" si="37"/>
        <v/>
      </c>
      <c r="EH15" s="11" t="str">
        <f t="shared" si="38"/>
        <v/>
      </c>
      <c r="EI15" s="11" t="str">
        <f t="shared" si="39"/>
        <v/>
      </c>
      <c r="EJ15" s="11" t="str">
        <f t="shared" si="40"/>
        <v/>
      </c>
      <c r="EK15" s="11" t="str">
        <f t="shared" si="41"/>
        <v/>
      </c>
      <c r="EL15" s="11" t="str">
        <f t="shared" si="42"/>
        <v/>
      </c>
      <c r="EM15" s="11" t="str">
        <f t="shared" si="43"/>
        <v/>
      </c>
      <c r="EN15" s="11" t="str">
        <f t="shared" si="44"/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 t="shared" si="45"/>
        <v/>
      </c>
      <c r="FJ15" s="40" t="str">
        <f t="shared" si="46"/>
        <v/>
      </c>
      <c r="FK15" s="40" t="str">
        <f t="shared" si="47"/>
        <v/>
      </c>
      <c r="FL15" s="40" t="str">
        <f t="shared" si="48"/>
        <v/>
      </c>
      <c r="FM15" s="40" t="str">
        <f t="shared" si="49"/>
        <v/>
      </c>
      <c r="FN15" s="40" t="str">
        <f t="shared" si="50"/>
        <v/>
      </c>
      <c r="FO15" s="40" t="str">
        <f t="shared" si="51"/>
        <v/>
      </c>
      <c r="FP15" s="40" t="str">
        <f t="shared" si="52"/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 t="shared" si="53"/>
        <v/>
      </c>
      <c r="GL15" s="11" t="str">
        <f t="shared" si="54"/>
        <v/>
      </c>
      <c r="GM15" s="11" t="str">
        <f t="shared" si="55"/>
        <v/>
      </c>
      <c r="GN15" s="11" t="str">
        <f t="shared" si="56"/>
        <v/>
      </c>
      <c r="GO15" s="11" t="str">
        <f t="shared" si="57"/>
        <v/>
      </c>
      <c r="GP15" s="11" t="str">
        <f t="shared" si="58"/>
        <v/>
      </c>
      <c r="GQ15" s="11" t="str">
        <f t="shared" si="59"/>
        <v/>
      </c>
      <c r="GR15" s="11" t="str">
        <f t="shared" si="60"/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 t="shared" si="61"/>
        <v/>
      </c>
      <c r="HN15" s="40" t="str">
        <f t="shared" si="62"/>
        <v/>
      </c>
      <c r="HO15" s="40" t="str">
        <f t="shared" si="63"/>
        <v/>
      </c>
      <c r="HP15" s="40" t="str">
        <f t="shared" si="64"/>
        <v/>
      </c>
      <c r="HQ15" s="40" t="str">
        <f t="shared" si="65"/>
        <v/>
      </c>
      <c r="HR15" s="40" t="str">
        <f t="shared" si="66"/>
        <v/>
      </c>
      <c r="HS15" s="40" t="str">
        <f t="shared" si="67"/>
        <v/>
      </c>
      <c r="HT15" s="40" t="str">
        <f t="shared" si="68"/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 t="shared" si="69"/>
        <v/>
      </c>
      <c r="IP15" s="11" t="str">
        <f t="shared" si="70"/>
        <v/>
      </c>
      <c r="IQ15" s="11" t="str">
        <f t="shared" si="71"/>
        <v/>
      </c>
      <c r="IR15" s="11" t="str">
        <f t="shared" si="72"/>
        <v/>
      </c>
      <c r="IS15" s="11" t="str">
        <f t="shared" si="73"/>
        <v/>
      </c>
      <c r="IT15" s="11" t="str">
        <f t="shared" si="74"/>
        <v/>
      </c>
      <c r="IU15" s="11" t="str">
        <f t="shared" si="75"/>
        <v/>
      </c>
      <c r="IV15" s="11" t="str">
        <f t="shared" si="76"/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 t="shared" si="77"/>
        <v/>
      </c>
      <c r="JR15" s="40" t="str">
        <f t="shared" si="78"/>
        <v/>
      </c>
      <c r="JS15" s="40" t="str">
        <f t="shared" si="79"/>
        <v/>
      </c>
      <c r="JT15" s="40" t="str">
        <f t="shared" si="80"/>
        <v/>
      </c>
      <c r="JU15" s="40" t="str">
        <f t="shared" si="81"/>
        <v/>
      </c>
      <c r="JV15" s="40" t="str">
        <f t="shared" si="82"/>
        <v/>
      </c>
      <c r="JW15" s="40" t="str">
        <f t="shared" si="83"/>
        <v/>
      </c>
      <c r="JX15" s="40" t="str">
        <f t="shared" si="84"/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 t="shared" si="85"/>
        <v/>
      </c>
      <c r="KT15" s="11" t="str">
        <f t="shared" si="86"/>
        <v/>
      </c>
      <c r="KU15" s="11" t="str">
        <f t="shared" si="87"/>
        <v/>
      </c>
      <c r="KV15" s="11" t="str">
        <f t="shared" si="88"/>
        <v/>
      </c>
      <c r="KW15" s="11" t="str">
        <f t="shared" si="89"/>
        <v/>
      </c>
      <c r="KX15" s="11" t="str">
        <f t="shared" si="90"/>
        <v/>
      </c>
      <c r="KY15" s="11" t="str">
        <f t="shared" si="91"/>
        <v/>
      </c>
      <c r="KZ15" s="11" t="str">
        <f t="shared" si="92"/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 t="shared" si="93"/>
        <v/>
      </c>
      <c r="LV15" s="40" t="str">
        <f t="shared" si="94"/>
        <v/>
      </c>
      <c r="LW15" s="40" t="str">
        <f t="shared" si="95"/>
        <v/>
      </c>
      <c r="LX15" s="40" t="str">
        <f t="shared" si="96"/>
        <v/>
      </c>
      <c r="LY15" s="40" t="str">
        <f t="shared" si="97"/>
        <v/>
      </c>
      <c r="LZ15" s="40" t="str">
        <f t="shared" si="98"/>
        <v/>
      </c>
      <c r="MA15" s="40" t="str">
        <f t="shared" si="99"/>
        <v/>
      </c>
      <c r="MB15" s="40" t="str">
        <f t="shared" si="100"/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 t="shared" si="101"/>
        <v/>
      </c>
      <c r="MX15" s="11" t="str">
        <f t="shared" si="102"/>
        <v/>
      </c>
      <c r="MY15" s="11" t="str">
        <f t="shared" si="103"/>
        <v/>
      </c>
      <c r="MZ15" s="11" t="str">
        <f t="shared" si="104"/>
        <v/>
      </c>
      <c r="NA15" s="11" t="str">
        <f t="shared" si="105"/>
        <v/>
      </c>
      <c r="NB15" s="11" t="str">
        <f t="shared" si="106"/>
        <v/>
      </c>
      <c r="NC15" s="11" t="str">
        <f t="shared" si="107"/>
        <v/>
      </c>
      <c r="ND15" s="11" t="str">
        <f t="shared" si="108"/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 t="shared" si="109"/>
        <v/>
      </c>
      <c r="NZ15" s="40" t="str">
        <f t="shared" si="110"/>
        <v/>
      </c>
      <c r="OA15" s="40" t="str">
        <f t="shared" si="111"/>
        <v/>
      </c>
      <c r="OB15" s="40" t="str">
        <f t="shared" si="112"/>
        <v/>
      </c>
      <c r="OC15" s="40" t="str">
        <f t="shared" si="113"/>
        <v/>
      </c>
      <c r="OD15" s="40" t="str">
        <f t="shared" si="114"/>
        <v/>
      </c>
      <c r="OE15" s="40" t="str">
        <f t="shared" si="115"/>
        <v/>
      </c>
      <c r="OF15" s="40" t="str">
        <f t="shared" si="116"/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 t="shared" si="117"/>
        <v/>
      </c>
      <c r="PB15" s="11" t="str">
        <f t="shared" si="118"/>
        <v/>
      </c>
      <c r="PC15" s="11" t="str">
        <f t="shared" si="119"/>
        <v/>
      </c>
      <c r="PD15" s="11" t="str">
        <f t="shared" si="120"/>
        <v/>
      </c>
      <c r="PE15" s="11" t="str">
        <f t="shared" si="121"/>
        <v/>
      </c>
      <c r="PF15" s="11" t="str">
        <f t="shared" si="122"/>
        <v/>
      </c>
      <c r="PG15" s="11" t="str">
        <f t="shared" si="123"/>
        <v/>
      </c>
      <c r="PH15" s="11" t="str">
        <f t="shared" si="124"/>
        <v/>
      </c>
      <c r="PI15" s="22">
        <f t="shared" si="125"/>
        <v>8</v>
      </c>
      <c r="PJ15" s="22">
        <f t="shared" si="126"/>
        <v>0.6</v>
      </c>
      <c r="PK15" s="22">
        <f t="shared" si="127"/>
        <v>0</v>
      </c>
      <c r="PL15" s="22">
        <f t="shared" si="128"/>
        <v>0</v>
      </c>
      <c r="PM15" s="22">
        <f t="shared" si="129"/>
        <v>8.4</v>
      </c>
      <c r="PN15" s="22">
        <f t="shared" si="130"/>
        <v>1.4</v>
      </c>
      <c r="PO15" s="22">
        <f t="shared" si="131"/>
        <v>0.1</v>
      </c>
      <c r="PP15" s="22">
        <f t="shared" si="132"/>
        <v>0</v>
      </c>
      <c r="PQ15" s="22">
        <f t="shared" si="133"/>
        <v>8.65</v>
      </c>
      <c r="PR15" s="22">
        <f t="shared" si="134"/>
        <v>1.4</v>
      </c>
      <c r="PS15" s="22">
        <f t="shared" si="135"/>
        <v>0.1</v>
      </c>
      <c r="PT15" s="22">
        <f t="shared" si="136"/>
        <v>0</v>
      </c>
      <c r="PU15" s="22">
        <f t="shared" si="137"/>
        <v>8.25</v>
      </c>
      <c r="PV15" s="22">
        <f t="shared" si="138"/>
        <v>0.6</v>
      </c>
      <c r="PW15" s="22">
        <f t="shared" si="139"/>
        <v>0</v>
      </c>
      <c r="PX15" s="22">
        <f t="shared" si="140"/>
        <v>0</v>
      </c>
      <c r="PY15" s="27" t="s">
        <v>46</v>
      </c>
      <c r="PZ15" s="40">
        <f t="shared" si="141"/>
        <v>2</v>
      </c>
      <c r="QA15" s="40">
        <f t="shared" si="142"/>
        <v>18.299999999999997</v>
      </c>
      <c r="QB15" s="40">
        <f t="shared" si="143"/>
        <v>2</v>
      </c>
      <c r="QC15" s="40">
        <f t="shared" si="144"/>
        <v>18.8</v>
      </c>
      <c r="QD15" s="40">
        <f t="shared" si="145"/>
        <v>37.099999999999994</v>
      </c>
    </row>
    <row r="16" spans="1:446" x14ac:dyDescent="0.2">
      <c r="A16" s="4" t="str" cm="1">
        <f t="array" ref="A16">IF(AND(J16&lt;&gt;"",J16&lt;&gt;"No DD"),SUMPRODUCT((J$4:J$18&lt;&gt;"")*(J$4:J$18&lt;&gt;"No DD")*(F$4:F$18&gt;F16))+1,IF(J16="No DD",SUMPRODUCT((J$4:J$18="No DD")*(F$4:F$18&gt;F16))+1+SUMPRODUCT((J$4:J$18&lt;&gt;"")*(J$4:J$18&lt;&gt;"No DD")),""))</f>
        <v/>
      </c>
      <c r="B16" s="4" t="str" cm="1">
        <f t="array" ref="B16">IF(AND(J16&lt;&gt;"",J16&lt;&gt;"No DD",G16=""),SUMPRODUCT((J$4:J$18&lt;&gt;"")*(J$4:J$18&lt;&gt;"No DD")*(G$4:G$18="")*(F$4:F$18&gt;F16))+1,IF(J16="No DD",SUMPRODUCT((J$4:J$18="No DD")*(F$4:F$18&gt;F16)*(G$4:G$18=""))+1+SUMPRODUCT((J$4:J$18&lt;&gt;"")*(G$4:G$18="")*(J$4:J$18&lt;&gt;"No DD")),""))</f>
        <v/>
      </c>
      <c r="C16" s="5" t="s">
        <v>103</v>
      </c>
      <c r="D16" s="4" t="s">
        <v>4</v>
      </c>
      <c r="E16" s="4">
        <v>2005</v>
      </c>
      <c r="F16" s="9">
        <f t="shared" si="0"/>
        <v>73.700003380003366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IF(COUNT(AM16,BI16,CE16)&gt;0,LARGE((AM16,BI16,CE16),1),0)</f>
        <v>33.799999999999997</v>
      </c>
      <c r="M16" s="8" t="str">
        <f t="shared" si="5"/>
        <v>2025 Elite Canada</v>
      </c>
      <c r="N16" s="8">
        <f>IF(COUNT(AM16,BI16,CE16)&gt;1,LARGE((AM16,BI16,CE16),2),0)</f>
        <v>0</v>
      </c>
      <c r="O16" s="8" t="str">
        <f t="shared" si="6"/>
        <v/>
      </c>
      <c r="P16" s="8">
        <f t="shared" si="7"/>
        <v>0</v>
      </c>
      <c r="Q16" s="8" t="str">
        <f t="shared" si="8"/>
        <v/>
      </c>
      <c r="R16" s="8">
        <f t="shared" si="9"/>
        <v>39.9</v>
      </c>
      <c r="S16" s="11" t="str">
        <f t="shared" si="10"/>
        <v>(Q1)</v>
      </c>
      <c r="T16" s="8" t="str">
        <f t="shared" si="11"/>
        <v>2025 WAGC (Nov 16)</v>
      </c>
      <c r="U16" s="19">
        <v>16.100000000000001</v>
      </c>
      <c r="V16" s="19">
        <v>4.2</v>
      </c>
      <c r="W16" s="19">
        <v>0.2</v>
      </c>
      <c r="X16" s="19">
        <v>0</v>
      </c>
      <c r="Y16" s="19">
        <v>10.6</v>
      </c>
      <c r="Z16" s="19">
        <v>2.4</v>
      </c>
      <c r="AA16" s="19">
        <v>0</v>
      </c>
      <c r="AB16" s="19">
        <v>0.7</v>
      </c>
      <c r="AC16" s="19"/>
      <c r="AD16" s="19"/>
      <c r="AE16" s="19"/>
      <c r="AF16" s="19"/>
      <c r="AG16" s="19"/>
      <c r="AH16" s="19"/>
      <c r="AI16" s="19"/>
      <c r="AJ16" s="19"/>
      <c r="AK16" s="27"/>
      <c r="AL16" s="40">
        <f t="shared" si="12"/>
        <v>6.6</v>
      </c>
      <c r="AM16" s="40">
        <f t="shared" si="13"/>
        <v>33.799999999999997</v>
      </c>
      <c r="AN16" s="40" t="str">
        <f t="shared" si="14"/>
        <v/>
      </c>
      <c r="AO16" s="40" t="str">
        <f t="shared" si="15"/>
        <v/>
      </c>
      <c r="AP16" s="40">
        <f t="shared" si="16"/>
        <v>33.799999999999997</v>
      </c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28"/>
      <c r="BH16" s="11" t="str">
        <f t="shared" si="17"/>
        <v/>
      </c>
      <c r="BI16" s="11" t="str">
        <f t="shared" si="18"/>
        <v/>
      </c>
      <c r="BJ16" s="11" t="str">
        <f t="shared" si="19"/>
        <v/>
      </c>
      <c r="BK16" s="11" t="str">
        <f t="shared" si="20"/>
        <v/>
      </c>
      <c r="BL16" s="11" t="str">
        <f t="shared" si="21"/>
        <v/>
      </c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27"/>
      <c r="CD16" s="40" t="str">
        <f t="shared" si="22"/>
        <v/>
      </c>
      <c r="CE16" s="40" t="str">
        <f t="shared" si="23"/>
        <v/>
      </c>
      <c r="CF16" s="40" t="str">
        <f t="shared" si="24"/>
        <v/>
      </c>
      <c r="CG16" s="40" t="str">
        <f t="shared" si="25"/>
        <v/>
      </c>
      <c r="CH16" s="40" t="str">
        <f t="shared" si="26"/>
        <v/>
      </c>
      <c r="CI16" s="50">
        <f t="shared" si="27"/>
        <v>39.9</v>
      </c>
      <c r="CJ16" s="50" t="str">
        <f t="shared" si="28"/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 t="shared" si="29"/>
        <v/>
      </c>
      <c r="DF16" s="40" t="str">
        <f t="shared" si="30"/>
        <v/>
      </c>
      <c r="DG16" s="40" t="str">
        <f t="shared" si="31"/>
        <v/>
      </c>
      <c r="DH16" s="40" t="str">
        <f t="shared" si="32"/>
        <v/>
      </c>
      <c r="DI16" s="40" t="str">
        <f t="shared" si="33"/>
        <v/>
      </c>
      <c r="DJ16" s="40" t="str">
        <f t="shared" si="34"/>
        <v/>
      </c>
      <c r="DK16" s="40" t="str">
        <f t="shared" si="35"/>
        <v/>
      </c>
      <c r="DL16" s="40" t="str">
        <f t="shared" si="36"/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 t="shared" si="37"/>
        <v/>
      </c>
      <c r="EH16" s="11" t="str">
        <f t="shared" si="38"/>
        <v/>
      </c>
      <c r="EI16" s="11" t="str">
        <f t="shared" si="39"/>
        <v/>
      </c>
      <c r="EJ16" s="11" t="str">
        <f t="shared" si="40"/>
        <v/>
      </c>
      <c r="EK16" s="11" t="str">
        <f t="shared" si="41"/>
        <v/>
      </c>
      <c r="EL16" s="11" t="str">
        <f t="shared" si="42"/>
        <v/>
      </c>
      <c r="EM16" s="11" t="str">
        <f t="shared" si="43"/>
        <v/>
      </c>
      <c r="EN16" s="11" t="str">
        <f t="shared" si="44"/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 t="shared" si="45"/>
        <v/>
      </c>
      <c r="FJ16" s="40" t="str">
        <f t="shared" si="46"/>
        <v/>
      </c>
      <c r="FK16" s="40" t="str">
        <f t="shared" si="47"/>
        <v/>
      </c>
      <c r="FL16" s="40" t="str">
        <f t="shared" si="48"/>
        <v/>
      </c>
      <c r="FM16" s="40" t="str">
        <f t="shared" si="49"/>
        <v/>
      </c>
      <c r="FN16" s="40" t="str">
        <f t="shared" si="50"/>
        <v/>
      </c>
      <c r="FO16" s="40" t="str">
        <f t="shared" si="51"/>
        <v/>
      </c>
      <c r="FP16" s="40" t="str">
        <f t="shared" si="52"/>
        <v/>
      </c>
      <c r="FQ16" s="18">
        <v>15.9</v>
      </c>
      <c r="FR16" s="18">
        <v>3.9</v>
      </c>
      <c r="FS16" s="18">
        <v>0</v>
      </c>
      <c r="FT16" s="18">
        <v>0</v>
      </c>
      <c r="FU16" s="18">
        <v>16</v>
      </c>
      <c r="FV16" s="18">
        <v>4.0999999999999996</v>
      </c>
      <c r="FW16" s="18">
        <v>0</v>
      </c>
      <c r="FX16" s="18">
        <v>0</v>
      </c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>
        <f t="shared" si="53"/>
        <v>8</v>
      </c>
      <c r="GL16" s="11">
        <f t="shared" si="54"/>
        <v>39.9</v>
      </c>
      <c r="GM16" s="11" t="str">
        <f t="shared" si="55"/>
        <v/>
      </c>
      <c r="GN16" s="11">
        <f t="shared" si="56"/>
        <v>8</v>
      </c>
      <c r="GO16" s="11">
        <f t="shared" si="57"/>
        <v>39.9</v>
      </c>
      <c r="GP16" s="11" t="str">
        <f t="shared" si="58"/>
        <v/>
      </c>
      <c r="GQ16" s="11" t="str">
        <f t="shared" si="59"/>
        <v/>
      </c>
      <c r="GR16" s="11">
        <f t="shared" si="60"/>
        <v>39.9</v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 t="shared" si="61"/>
        <v/>
      </c>
      <c r="HN16" s="40" t="str">
        <f t="shared" si="62"/>
        <v/>
      </c>
      <c r="HO16" s="40" t="str">
        <f t="shared" si="63"/>
        <v/>
      </c>
      <c r="HP16" s="40" t="str">
        <f t="shared" si="64"/>
        <v/>
      </c>
      <c r="HQ16" s="40" t="str">
        <f t="shared" si="65"/>
        <v/>
      </c>
      <c r="HR16" s="40" t="str">
        <f t="shared" si="66"/>
        <v/>
      </c>
      <c r="HS16" s="40" t="str">
        <f t="shared" si="67"/>
        <v/>
      </c>
      <c r="HT16" s="40" t="str">
        <f t="shared" si="68"/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 t="shared" si="69"/>
        <v/>
      </c>
      <c r="IP16" s="11" t="str">
        <f t="shared" si="70"/>
        <v/>
      </c>
      <c r="IQ16" s="11" t="str">
        <f t="shared" si="71"/>
        <v/>
      </c>
      <c r="IR16" s="11" t="str">
        <f t="shared" si="72"/>
        <v/>
      </c>
      <c r="IS16" s="11" t="str">
        <f t="shared" si="73"/>
        <v/>
      </c>
      <c r="IT16" s="11" t="str">
        <f t="shared" si="74"/>
        <v/>
      </c>
      <c r="IU16" s="11" t="str">
        <f t="shared" si="75"/>
        <v/>
      </c>
      <c r="IV16" s="11" t="str">
        <f t="shared" si="76"/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 t="shared" si="77"/>
        <v/>
      </c>
      <c r="JR16" s="40" t="str">
        <f t="shared" si="78"/>
        <v/>
      </c>
      <c r="JS16" s="40" t="str">
        <f t="shared" si="79"/>
        <v/>
      </c>
      <c r="JT16" s="40" t="str">
        <f t="shared" si="80"/>
        <v/>
      </c>
      <c r="JU16" s="40" t="str">
        <f t="shared" si="81"/>
        <v/>
      </c>
      <c r="JV16" s="40" t="str">
        <f t="shared" si="82"/>
        <v/>
      </c>
      <c r="JW16" s="40" t="str">
        <f t="shared" si="83"/>
        <v/>
      </c>
      <c r="JX16" s="40" t="str">
        <f t="shared" si="84"/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 t="shared" si="85"/>
        <v/>
      </c>
      <c r="KT16" s="11" t="str">
        <f t="shared" si="86"/>
        <v/>
      </c>
      <c r="KU16" s="11" t="str">
        <f t="shared" si="87"/>
        <v/>
      </c>
      <c r="KV16" s="11" t="str">
        <f t="shared" si="88"/>
        <v/>
      </c>
      <c r="KW16" s="11" t="str">
        <f t="shared" si="89"/>
        <v/>
      </c>
      <c r="KX16" s="11" t="str">
        <f t="shared" si="90"/>
        <v/>
      </c>
      <c r="KY16" s="11" t="str">
        <f t="shared" si="91"/>
        <v/>
      </c>
      <c r="KZ16" s="11" t="str">
        <f t="shared" si="92"/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 t="shared" si="93"/>
        <v/>
      </c>
      <c r="LV16" s="40" t="str">
        <f t="shared" si="94"/>
        <v/>
      </c>
      <c r="LW16" s="40" t="str">
        <f t="shared" si="95"/>
        <v/>
      </c>
      <c r="LX16" s="40" t="str">
        <f t="shared" si="96"/>
        <v/>
      </c>
      <c r="LY16" s="40" t="str">
        <f t="shared" si="97"/>
        <v/>
      </c>
      <c r="LZ16" s="40" t="str">
        <f t="shared" si="98"/>
        <v/>
      </c>
      <c r="MA16" s="40" t="str">
        <f t="shared" si="99"/>
        <v/>
      </c>
      <c r="MB16" s="40" t="str">
        <f t="shared" si="100"/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 t="shared" si="101"/>
        <v/>
      </c>
      <c r="MX16" s="11" t="str">
        <f t="shared" si="102"/>
        <v/>
      </c>
      <c r="MY16" s="11" t="str">
        <f t="shared" si="103"/>
        <v/>
      </c>
      <c r="MZ16" s="11" t="str">
        <f t="shared" si="104"/>
        <v/>
      </c>
      <c r="NA16" s="11" t="str">
        <f t="shared" si="105"/>
        <v/>
      </c>
      <c r="NB16" s="11" t="str">
        <f t="shared" si="106"/>
        <v/>
      </c>
      <c r="NC16" s="11" t="str">
        <f t="shared" si="107"/>
        <v/>
      </c>
      <c r="ND16" s="11" t="str">
        <f t="shared" si="108"/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 t="shared" si="109"/>
        <v/>
      </c>
      <c r="NZ16" s="40" t="str">
        <f t="shared" si="110"/>
        <v/>
      </c>
      <c r="OA16" s="40" t="str">
        <f t="shared" si="111"/>
        <v/>
      </c>
      <c r="OB16" s="40" t="str">
        <f t="shared" si="112"/>
        <v/>
      </c>
      <c r="OC16" s="40" t="str">
        <f t="shared" si="113"/>
        <v/>
      </c>
      <c r="OD16" s="40" t="str">
        <f t="shared" si="114"/>
        <v/>
      </c>
      <c r="OE16" s="40" t="str">
        <f t="shared" si="115"/>
        <v/>
      </c>
      <c r="OF16" s="40" t="str">
        <f t="shared" si="116"/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 t="shared" si="117"/>
        <v/>
      </c>
      <c r="PB16" s="11" t="str">
        <f t="shared" si="118"/>
        <v/>
      </c>
      <c r="PC16" s="11" t="str">
        <f t="shared" si="119"/>
        <v/>
      </c>
      <c r="PD16" s="11" t="str">
        <f t="shared" si="120"/>
        <v/>
      </c>
      <c r="PE16" s="11" t="str">
        <f t="shared" si="121"/>
        <v/>
      </c>
      <c r="PF16" s="11" t="str">
        <f t="shared" si="122"/>
        <v/>
      </c>
      <c r="PG16" s="11" t="str">
        <f t="shared" si="123"/>
        <v/>
      </c>
      <c r="PH16" s="11" t="str">
        <f t="shared" si="124"/>
        <v/>
      </c>
      <c r="PI16" s="22">
        <f t="shared" si="125"/>
        <v>0</v>
      </c>
      <c r="PJ16" s="22">
        <f t="shared" si="126"/>
        <v>0</v>
      </c>
      <c r="PK16" s="22">
        <f t="shared" si="127"/>
        <v>0</v>
      </c>
      <c r="PL16" s="22">
        <f t="shared" si="128"/>
        <v>0</v>
      </c>
      <c r="PM16" s="22">
        <f t="shared" si="129"/>
        <v>0</v>
      </c>
      <c r="PN16" s="22">
        <f t="shared" si="130"/>
        <v>0</v>
      </c>
      <c r="PO16" s="22">
        <f t="shared" si="131"/>
        <v>0</v>
      </c>
      <c r="PP16" s="22">
        <f t="shared" si="132"/>
        <v>0</v>
      </c>
      <c r="PQ16" s="22">
        <f t="shared" si="133"/>
        <v>0</v>
      </c>
      <c r="PR16" s="22">
        <f t="shared" si="134"/>
        <v>0</v>
      </c>
      <c r="PS16" s="22">
        <f t="shared" si="135"/>
        <v>0</v>
      </c>
      <c r="PT16" s="22">
        <f t="shared" si="136"/>
        <v>0</v>
      </c>
      <c r="PU16" s="22">
        <f t="shared" si="137"/>
        <v>0</v>
      </c>
      <c r="PV16" s="22">
        <f t="shared" si="138"/>
        <v>0</v>
      </c>
      <c r="PW16" s="22">
        <f t="shared" si="139"/>
        <v>0</v>
      </c>
      <c r="PX16" s="22">
        <f t="shared" si="140"/>
        <v>0</v>
      </c>
      <c r="PY16" s="27" t="s">
        <v>46</v>
      </c>
      <c r="PZ16" s="40" t="str">
        <f t="shared" si="141"/>
        <v/>
      </c>
      <c r="QA16" s="40" t="str">
        <f t="shared" si="142"/>
        <v/>
      </c>
      <c r="QB16" s="40" t="str">
        <f t="shared" si="143"/>
        <v/>
      </c>
      <c r="QC16" s="40" t="str">
        <f t="shared" si="144"/>
        <v/>
      </c>
      <c r="QD16" s="40" t="str">
        <f t="shared" si="145"/>
        <v/>
      </c>
    </row>
    <row r="17" spans="1:446" x14ac:dyDescent="0.2">
      <c r="A17" s="4" t="str" cm="1">
        <f t="array" ref="A17">IF(AND(J17&lt;&gt;"",J17&lt;&gt;"No DD"),SUMPRODUCT((J$4:J$18&lt;&gt;"")*(J$4:J$18&lt;&gt;"No DD")*(F$4:F$18&gt;F17))+1,IF(J17="No DD",SUMPRODUCT((J$4:J$18="No DD")*(F$4:F$18&gt;F17))+1+SUMPRODUCT((J$4:J$18&lt;&gt;"")*(J$4:J$18&lt;&gt;"No DD")),""))</f>
        <v/>
      </c>
      <c r="B17" s="4" t="str" cm="1">
        <f t="array" ref="B17">IF(AND(J17&lt;&gt;"",J17&lt;&gt;"No DD",G17=""),SUMPRODUCT((J$4:J$18&lt;&gt;"")*(J$4:J$18&lt;&gt;"No DD")*(G$4:G$18="")*(F$4:F$18&gt;F17))+1,IF(J17="No DD",SUMPRODUCT((J$4:J$18="No DD")*(F$4:F$18&gt;F17)*(G$4:G$18=""))+1+SUMPRODUCT((J$4:J$18&lt;&gt;"")*(G$4:G$18="")*(J$4:J$18&lt;&gt;"No DD")),""))</f>
        <v/>
      </c>
      <c r="C17" s="5" t="s">
        <v>153</v>
      </c>
      <c r="D17" s="4" t="s">
        <v>3</v>
      </c>
      <c r="E17" s="4">
        <v>2008</v>
      </c>
      <c r="F17" s="9">
        <f t="shared" si="0"/>
        <v>33.000003300003293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IF(COUNT(AM17,BI17,CE17)&gt;0,LARGE((AM17,BI17,CE17),1),0)</f>
        <v>32.999999999999993</v>
      </c>
      <c r="M17" s="8" t="str">
        <f t="shared" si="5"/>
        <v>2025 Elite Canada</v>
      </c>
      <c r="N17" s="8">
        <f>IF(COUNT(AM17,BI17,CE17)&gt;1,LARGE((AM17,BI17,CE17),2),0)</f>
        <v>0</v>
      </c>
      <c r="O17" s="8" t="str">
        <f t="shared" si="6"/>
        <v/>
      </c>
      <c r="P17" s="8">
        <f t="shared" si="7"/>
        <v>0</v>
      </c>
      <c r="Q17" s="8" t="str">
        <f t="shared" si="8"/>
        <v/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15.7</v>
      </c>
      <c r="V17" s="19">
        <v>1.9</v>
      </c>
      <c r="W17" s="19">
        <v>0</v>
      </c>
      <c r="X17" s="19">
        <v>0</v>
      </c>
      <c r="Y17" s="19">
        <v>16</v>
      </c>
      <c r="Z17" s="19">
        <v>2.4</v>
      </c>
      <c r="AA17" s="19">
        <v>3</v>
      </c>
      <c r="AB17" s="19">
        <v>0</v>
      </c>
      <c r="AC17" s="19"/>
      <c r="AD17" s="19"/>
      <c r="AE17" s="19"/>
      <c r="AF17" s="19"/>
      <c r="AG17" s="19"/>
      <c r="AH17" s="19"/>
      <c r="AI17" s="19"/>
      <c r="AJ17" s="19"/>
      <c r="AK17" s="27"/>
      <c r="AL17" s="40">
        <f t="shared" si="12"/>
        <v>4.3</v>
      </c>
      <c r="AM17" s="40">
        <f t="shared" si="13"/>
        <v>32.999999999999993</v>
      </c>
      <c r="AN17" s="40" t="str">
        <f t="shared" si="14"/>
        <v/>
      </c>
      <c r="AO17" s="40" t="str">
        <f t="shared" si="15"/>
        <v/>
      </c>
      <c r="AP17" s="40">
        <f t="shared" si="16"/>
        <v>32.999999999999993</v>
      </c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28"/>
      <c r="BH17" s="11" t="str">
        <f t="shared" si="17"/>
        <v/>
      </c>
      <c r="BI17" s="11" t="str">
        <f t="shared" si="18"/>
        <v/>
      </c>
      <c r="BJ17" s="11" t="str">
        <f t="shared" si="19"/>
        <v/>
      </c>
      <c r="BK17" s="11" t="str">
        <f t="shared" si="20"/>
        <v/>
      </c>
      <c r="BL17" s="11" t="str">
        <f t="shared" si="21"/>
        <v/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 t="shared" si="22"/>
        <v/>
      </c>
      <c r="CE17" s="40" t="str">
        <f t="shared" si="23"/>
        <v/>
      </c>
      <c r="CF17" s="40" t="str">
        <f t="shared" si="24"/>
        <v/>
      </c>
      <c r="CG17" s="40" t="str">
        <f t="shared" si="25"/>
        <v/>
      </c>
      <c r="CH17" s="40" t="str">
        <f t="shared" si="26"/>
        <v/>
      </c>
      <c r="CI17" s="50" t="str">
        <f t="shared" si="27"/>
        <v/>
      </c>
      <c r="CJ17" s="50" t="str">
        <f t="shared" si="28"/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 t="shared" si="29"/>
        <v/>
      </c>
      <c r="DF17" s="40" t="str">
        <f t="shared" si="30"/>
        <v/>
      </c>
      <c r="DG17" s="40" t="str">
        <f t="shared" si="31"/>
        <v/>
      </c>
      <c r="DH17" s="40" t="str">
        <f t="shared" si="32"/>
        <v/>
      </c>
      <c r="DI17" s="40" t="str">
        <f t="shared" si="33"/>
        <v/>
      </c>
      <c r="DJ17" s="40" t="str">
        <f t="shared" si="34"/>
        <v/>
      </c>
      <c r="DK17" s="40" t="str">
        <f t="shared" si="35"/>
        <v/>
      </c>
      <c r="DL17" s="40" t="str">
        <f t="shared" si="36"/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 t="shared" si="37"/>
        <v/>
      </c>
      <c r="EH17" s="11" t="str">
        <f t="shared" si="38"/>
        <v/>
      </c>
      <c r="EI17" s="11" t="str">
        <f t="shared" si="39"/>
        <v/>
      </c>
      <c r="EJ17" s="11" t="str">
        <f t="shared" si="40"/>
        <v/>
      </c>
      <c r="EK17" s="11" t="str">
        <f t="shared" si="41"/>
        <v/>
      </c>
      <c r="EL17" s="11" t="str">
        <f t="shared" si="42"/>
        <v/>
      </c>
      <c r="EM17" s="11" t="str">
        <f t="shared" si="43"/>
        <v/>
      </c>
      <c r="EN17" s="11" t="str">
        <f t="shared" si="44"/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 t="shared" si="45"/>
        <v/>
      </c>
      <c r="FJ17" s="40" t="str">
        <f t="shared" si="46"/>
        <v/>
      </c>
      <c r="FK17" s="40" t="str">
        <f t="shared" si="47"/>
        <v/>
      </c>
      <c r="FL17" s="40" t="str">
        <f t="shared" si="48"/>
        <v/>
      </c>
      <c r="FM17" s="40" t="str">
        <f t="shared" si="49"/>
        <v/>
      </c>
      <c r="FN17" s="40" t="str">
        <f t="shared" si="50"/>
        <v/>
      </c>
      <c r="FO17" s="40" t="str">
        <f t="shared" si="51"/>
        <v/>
      </c>
      <c r="FP17" s="40" t="str">
        <f t="shared" si="52"/>
        <v/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 t="shared" si="53"/>
        <v/>
      </c>
      <c r="GL17" s="11" t="str">
        <f t="shared" si="54"/>
        <v/>
      </c>
      <c r="GM17" s="11" t="str">
        <f t="shared" si="55"/>
        <v/>
      </c>
      <c r="GN17" s="11" t="str">
        <f t="shared" si="56"/>
        <v/>
      </c>
      <c r="GO17" s="11" t="str">
        <f t="shared" si="57"/>
        <v/>
      </c>
      <c r="GP17" s="11" t="str">
        <f t="shared" si="58"/>
        <v/>
      </c>
      <c r="GQ17" s="11" t="str">
        <f t="shared" si="59"/>
        <v/>
      </c>
      <c r="GR17" s="11" t="str">
        <f t="shared" si="60"/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 t="shared" si="61"/>
        <v/>
      </c>
      <c r="HN17" s="40" t="str">
        <f t="shared" si="62"/>
        <v/>
      </c>
      <c r="HO17" s="40" t="str">
        <f t="shared" si="63"/>
        <v/>
      </c>
      <c r="HP17" s="40" t="str">
        <f t="shared" si="64"/>
        <v/>
      </c>
      <c r="HQ17" s="40" t="str">
        <f t="shared" si="65"/>
        <v/>
      </c>
      <c r="HR17" s="40" t="str">
        <f t="shared" si="66"/>
        <v/>
      </c>
      <c r="HS17" s="40" t="str">
        <f t="shared" si="67"/>
        <v/>
      </c>
      <c r="HT17" s="40" t="str">
        <f t="shared" si="68"/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 t="shared" si="69"/>
        <v/>
      </c>
      <c r="IP17" s="11" t="str">
        <f t="shared" si="70"/>
        <v/>
      </c>
      <c r="IQ17" s="11" t="str">
        <f t="shared" si="71"/>
        <v/>
      </c>
      <c r="IR17" s="11" t="str">
        <f t="shared" si="72"/>
        <v/>
      </c>
      <c r="IS17" s="11" t="str">
        <f t="shared" si="73"/>
        <v/>
      </c>
      <c r="IT17" s="11" t="str">
        <f t="shared" si="74"/>
        <v/>
      </c>
      <c r="IU17" s="11" t="str">
        <f t="shared" si="75"/>
        <v/>
      </c>
      <c r="IV17" s="11" t="str">
        <f t="shared" si="76"/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 t="shared" si="77"/>
        <v/>
      </c>
      <c r="JR17" s="40" t="str">
        <f t="shared" si="78"/>
        <v/>
      </c>
      <c r="JS17" s="40" t="str">
        <f t="shared" si="79"/>
        <v/>
      </c>
      <c r="JT17" s="40" t="str">
        <f t="shared" si="80"/>
        <v/>
      </c>
      <c r="JU17" s="40" t="str">
        <f t="shared" si="81"/>
        <v/>
      </c>
      <c r="JV17" s="40" t="str">
        <f t="shared" si="82"/>
        <v/>
      </c>
      <c r="JW17" s="40" t="str">
        <f t="shared" si="83"/>
        <v/>
      </c>
      <c r="JX17" s="40" t="str">
        <f t="shared" si="84"/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 t="shared" si="85"/>
        <v/>
      </c>
      <c r="KT17" s="11" t="str">
        <f t="shared" si="86"/>
        <v/>
      </c>
      <c r="KU17" s="11" t="str">
        <f t="shared" si="87"/>
        <v/>
      </c>
      <c r="KV17" s="11" t="str">
        <f t="shared" si="88"/>
        <v/>
      </c>
      <c r="KW17" s="11" t="str">
        <f t="shared" si="89"/>
        <v/>
      </c>
      <c r="KX17" s="11" t="str">
        <f t="shared" si="90"/>
        <v/>
      </c>
      <c r="KY17" s="11" t="str">
        <f t="shared" si="91"/>
        <v/>
      </c>
      <c r="KZ17" s="11" t="str">
        <f t="shared" si="92"/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 t="shared" si="93"/>
        <v/>
      </c>
      <c r="LV17" s="40" t="str">
        <f t="shared" si="94"/>
        <v/>
      </c>
      <c r="LW17" s="40" t="str">
        <f t="shared" si="95"/>
        <v/>
      </c>
      <c r="LX17" s="40" t="str">
        <f t="shared" si="96"/>
        <v/>
      </c>
      <c r="LY17" s="40" t="str">
        <f t="shared" si="97"/>
        <v/>
      </c>
      <c r="LZ17" s="40" t="str">
        <f t="shared" si="98"/>
        <v/>
      </c>
      <c r="MA17" s="40" t="str">
        <f t="shared" si="99"/>
        <v/>
      </c>
      <c r="MB17" s="40" t="str">
        <f t="shared" si="100"/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 t="shared" si="101"/>
        <v/>
      </c>
      <c r="MX17" s="11" t="str">
        <f t="shared" si="102"/>
        <v/>
      </c>
      <c r="MY17" s="11" t="str">
        <f t="shared" si="103"/>
        <v/>
      </c>
      <c r="MZ17" s="11" t="str">
        <f t="shared" si="104"/>
        <v/>
      </c>
      <c r="NA17" s="11" t="str">
        <f t="shared" si="105"/>
        <v/>
      </c>
      <c r="NB17" s="11" t="str">
        <f t="shared" si="106"/>
        <v/>
      </c>
      <c r="NC17" s="11" t="str">
        <f t="shared" si="107"/>
        <v/>
      </c>
      <c r="ND17" s="11" t="str">
        <f t="shared" si="108"/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 t="shared" si="109"/>
        <v/>
      </c>
      <c r="NZ17" s="40" t="str">
        <f t="shared" si="110"/>
        <v/>
      </c>
      <c r="OA17" s="40" t="str">
        <f t="shared" si="111"/>
        <v/>
      </c>
      <c r="OB17" s="40" t="str">
        <f t="shared" si="112"/>
        <v/>
      </c>
      <c r="OC17" s="40" t="str">
        <f t="shared" si="113"/>
        <v/>
      </c>
      <c r="OD17" s="40" t="str">
        <f t="shared" si="114"/>
        <v/>
      </c>
      <c r="OE17" s="40" t="str">
        <f t="shared" si="115"/>
        <v/>
      </c>
      <c r="OF17" s="40" t="str">
        <f t="shared" si="116"/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 t="shared" si="117"/>
        <v/>
      </c>
      <c r="PB17" s="11" t="str">
        <f t="shared" si="118"/>
        <v/>
      </c>
      <c r="PC17" s="11" t="str">
        <f t="shared" si="119"/>
        <v/>
      </c>
      <c r="PD17" s="11" t="str">
        <f t="shared" si="120"/>
        <v/>
      </c>
      <c r="PE17" s="11" t="str">
        <f t="shared" si="121"/>
        <v/>
      </c>
      <c r="PF17" s="11" t="str">
        <f t="shared" si="122"/>
        <v/>
      </c>
      <c r="PG17" s="11" t="str">
        <f t="shared" si="123"/>
        <v/>
      </c>
      <c r="PH17" s="11" t="str">
        <f t="shared" si="124"/>
        <v/>
      </c>
      <c r="PI17" s="22">
        <f t="shared" si="125"/>
        <v>0</v>
      </c>
      <c r="PJ17" s="22">
        <f t="shared" si="126"/>
        <v>0</v>
      </c>
      <c r="PK17" s="22">
        <f t="shared" si="127"/>
        <v>0</v>
      </c>
      <c r="PL17" s="22">
        <f t="shared" si="128"/>
        <v>0</v>
      </c>
      <c r="PM17" s="22">
        <f t="shared" si="129"/>
        <v>0</v>
      </c>
      <c r="PN17" s="22">
        <f t="shared" si="130"/>
        <v>0</v>
      </c>
      <c r="PO17" s="22">
        <f t="shared" si="131"/>
        <v>0</v>
      </c>
      <c r="PP17" s="22">
        <f t="shared" si="132"/>
        <v>0</v>
      </c>
      <c r="PQ17" s="22">
        <f t="shared" si="133"/>
        <v>0</v>
      </c>
      <c r="PR17" s="22">
        <f t="shared" si="134"/>
        <v>0</v>
      </c>
      <c r="PS17" s="22">
        <f t="shared" si="135"/>
        <v>0</v>
      </c>
      <c r="PT17" s="22">
        <f t="shared" si="136"/>
        <v>0</v>
      </c>
      <c r="PU17" s="22">
        <f t="shared" si="137"/>
        <v>0</v>
      </c>
      <c r="PV17" s="22">
        <f t="shared" si="138"/>
        <v>0</v>
      </c>
      <c r="PW17" s="22">
        <f t="shared" si="139"/>
        <v>0</v>
      </c>
      <c r="PX17" s="22">
        <f t="shared" si="140"/>
        <v>0</v>
      </c>
      <c r="PY17" s="27" t="s">
        <v>46</v>
      </c>
      <c r="PZ17" s="40" t="str">
        <f t="shared" si="141"/>
        <v/>
      </c>
      <c r="QA17" s="40" t="str">
        <f t="shared" si="142"/>
        <v/>
      </c>
      <c r="QB17" s="40" t="str">
        <f t="shared" si="143"/>
        <v/>
      </c>
      <c r="QC17" s="40" t="str">
        <f t="shared" si="144"/>
        <v/>
      </c>
      <c r="QD17" s="40" t="str">
        <f t="shared" si="145"/>
        <v/>
      </c>
    </row>
    <row r="18" spans="1:446" ht="17" x14ac:dyDescent="0.2">
      <c r="G18" s="64"/>
      <c r="R18" s="10"/>
      <c r="S18" s="10"/>
      <c r="T18" s="10"/>
    </row>
    <row r="19" spans="1:446" ht="17" x14ac:dyDescent="0.2">
      <c r="G19" s="64"/>
      <c r="R19" s="10"/>
      <c r="S19" s="10"/>
      <c r="T19" s="10"/>
    </row>
    <row r="20" spans="1:446" ht="17" x14ac:dyDescent="0.2">
      <c r="C20" s="23" t="s">
        <v>44</v>
      </c>
      <c r="G20" s="64"/>
      <c r="R20" s="10"/>
      <c r="S20" s="10"/>
      <c r="T20" s="10"/>
      <c r="AL20" s="4"/>
      <c r="AP20" s="42">
        <v>8.4</v>
      </c>
      <c r="BH20" s="4"/>
      <c r="BL20" s="42">
        <v>8.4</v>
      </c>
      <c r="CD20" s="4"/>
      <c r="CH20" s="42">
        <v>8.4</v>
      </c>
      <c r="DE20" s="4"/>
      <c r="DL20" s="42">
        <v>8.4</v>
      </c>
      <c r="EG20" s="4"/>
      <c r="EN20" s="42">
        <v>8.4</v>
      </c>
      <c r="FI20" s="4"/>
      <c r="FP20" s="42">
        <v>8.4</v>
      </c>
      <c r="GK20" s="4"/>
      <c r="GR20" s="42">
        <v>8.4</v>
      </c>
      <c r="HM20" s="4"/>
      <c r="HT20" s="42">
        <v>8.4</v>
      </c>
      <c r="IO20" s="4"/>
      <c r="IV20" s="42">
        <v>8.4</v>
      </c>
      <c r="JQ20" s="4"/>
      <c r="JX20" s="42">
        <v>8.4</v>
      </c>
      <c r="KS20" s="4"/>
      <c r="KZ20" s="42">
        <v>8.4</v>
      </c>
      <c r="LU20" s="4"/>
      <c r="MB20" s="42">
        <v>8.4</v>
      </c>
      <c r="MW20" s="4"/>
      <c r="ND20" s="42">
        <v>8.4</v>
      </c>
      <c r="NY20" s="4"/>
      <c r="OF20" s="42">
        <v>8.4</v>
      </c>
      <c r="PA20" s="4"/>
      <c r="PH20" s="42">
        <v>8.4</v>
      </c>
    </row>
    <row r="21" spans="1:446" ht="17" hidden="1" x14ac:dyDescent="0.2">
      <c r="C21" s="30" t="s">
        <v>43</v>
      </c>
      <c r="G21" s="64"/>
      <c r="R21" s="10"/>
      <c r="S21" s="10"/>
      <c r="T21" s="10"/>
      <c r="AL21" s="4"/>
      <c r="AP21" s="51">
        <v>1000</v>
      </c>
      <c r="BH21" s="4"/>
      <c r="BL21" s="51">
        <v>1000</v>
      </c>
      <c r="CD21" s="4"/>
      <c r="CH21" s="51">
        <v>1000</v>
      </c>
      <c r="DE21" s="4"/>
      <c r="DL21" s="51">
        <v>1000</v>
      </c>
      <c r="EG21" s="4"/>
      <c r="EN21" s="51">
        <v>1000</v>
      </c>
      <c r="FI21" s="4"/>
      <c r="FP21" s="51">
        <v>1000</v>
      </c>
      <c r="GK21" s="4"/>
      <c r="GR21" s="51">
        <v>1000</v>
      </c>
      <c r="HM21" s="4"/>
      <c r="HT21" s="51">
        <v>1000</v>
      </c>
      <c r="IO21" s="4"/>
      <c r="IV21" s="51">
        <v>1000</v>
      </c>
      <c r="JQ21" s="4"/>
      <c r="JX21" s="51">
        <v>1000</v>
      </c>
      <c r="KS21" s="4"/>
      <c r="KZ21" s="51">
        <v>1000</v>
      </c>
      <c r="LU21" s="4"/>
      <c r="MB21" s="51">
        <v>1000</v>
      </c>
      <c r="MW21" s="4"/>
      <c r="ND21" s="51">
        <v>1000</v>
      </c>
      <c r="NY21" s="4"/>
      <c r="OF21" s="51">
        <v>1000</v>
      </c>
      <c r="PA21" s="4"/>
      <c r="PH21" s="51">
        <v>1000</v>
      </c>
    </row>
    <row r="22" spans="1:446" ht="17" hidden="1" x14ac:dyDescent="0.2">
      <c r="A22" s="5"/>
      <c r="B22" s="5"/>
      <c r="C22" s="31" t="s">
        <v>55</v>
      </c>
      <c r="D22" s="20"/>
      <c r="G22" s="64"/>
      <c r="R22" s="10"/>
      <c r="S22" s="10"/>
      <c r="T22" s="10"/>
      <c r="AL22" s="4"/>
      <c r="AP22" s="43">
        <v>1000</v>
      </c>
      <c r="BH22" s="4"/>
      <c r="BL22" s="43">
        <v>1000</v>
      </c>
      <c r="CD22" s="4"/>
      <c r="CH22" s="43">
        <v>1000</v>
      </c>
      <c r="DE22" s="4"/>
      <c r="DL22" s="43">
        <v>1000</v>
      </c>
      <c r="EG22" s="4"/>
      <c r="EN22" s="43">
        <v>1000</v>
      </c>
      <c r="FI22" s="4"/>
      <c r="FP22" s="43">
        <v>1000</v>
      </c>
      <c r="GK22" s="4"/>
      <c r="GR22" s="43">
        <v>1000</v>
      </c>
      <c r="HM22" s="4"/>
      <c r="HT22" s="43">
        <v>1000</v>
      </c>
      <c r="IO22" s="4"/>
      <c r="IV22" s="43">
        <v>1000</v>
      </c>
      <c r="JQ22" s="4"/>
      <c r="JX22" s="43">
        <v>1000</v>
      </c>
      <c r="KS22" s="4"/>
      <c r="KZ22" s="43">
        <v>1000</v>
      </c>
      <c r="LU22" s="4"/>
      <c r="MB22" s="43">
        <v>1000</v>
      </c>
      <c r="MW22" s="4"/>
      <c r="ND22" s="43">
        <v>1000</v>
      </c>
      <c r="NY22" s="4"/>
      <c r="OF22" s="43">
        <v>1000</v>
      </c>
      <c r="PA22" s="4"/>
      <c r="PH22" s="43">
        <v>1000</v>
      </c>
    </row>
    <row r="23" spans="1:446" ht="17" hidden="1" x14ac:dyDescent="0.2">
      <c r="A23" s="5"/>
      <c r="B23" s="5"/>
      <c r="C23" s="35" t="s">
        <v>60</v>
      </c>
      <c r="D23" s="20"/>
      <c r="G23" s="64"/>
      <c r="R23" s="10"/>
      <c r="S23" s="10"/>
      <c r="T23" s="10"/>
      <c r="AL23" s="4"/>
      <c r="AP23" s="44">
        <v>1000</v>
      </c>
      <c r="BH23" s="4"/>
      <c r="BL23" s="44">
        <v>1000</v>
      </c>
      <c r="CD23" s="4"/>
      <c r="CH23" s="44">
        <v>1000</v>
      </c>
      <c r="DE23" s="4"/>
      <c r="DL23" s="44">
        <v>1000</v>
      </c>
      <c r="EG23" s="4"/>
      <c r="EN23" s="44">
        <v>1000</v>
      </c>
      <c r="FI23" s="4"/>
      <c r="FP23" s="44">
        <v>1000</v>
      </c>
      <c r="GK23" s="4"/>
      <c r="GR23" s="44">
        <v>1000</v>
      </c>
      <c r="HM23" s="4"/>
      <c r="HT23" s="44">
        <v>1000</v>
      </c>
      <c r="IO23" s="4"/>
      <c r="IV23" s="44">
        <v>1000</v>
      </c>
      <c r="JQ23" s="4"/>
      <c r="JX23" s="44">
        <v>1000</v>
      </c>
      <c r="KS23" s="4"/>
      <c r="KZ23" s="44">
        <v>1000</v>
      </c>
      <c r="LU23" s="4"/>
      <c r="MB23" s="44">
        <v>1000</v>
      </c>
      <c r="MW23" s="4"/>
      <c r="ND23" s="44">
        <v>1000</v>
      </c>
      <c r="NY23" s="4"/>
      <c r="OF23" s="44">
        <v>1000</v>
      </c>
      <c r="PA23" s="4"/>
      <c r="PH23" s="44">
        <v>1000</v>
      </c>
    </row>
    <row r="24" spans="1:446" ht="17" x14ac:dyDescent="0.2">
      <c r="A24" s="5"/>
      <c r="B24" s="5"/>
      <c r="C24" s="34" t="s">
        <v>41</v>
      </c>
      <c r="D24" s="20"/>
      <c r="G24" s="64"/>
      <c r="R24" s="10"/>
      <c r="S24" s="10"/>
      <c r="T24" s="10"/>
      <c r="AL24" s="4"/>
      <c r="AP24" s="45">
        <v>42.8</v>
      </c>
      <c r="BH24" s="4"/>
      <c r="BL24" s="45">
        <v>42.8</v>
      </c>
      <c r="CD24" s="4"/>
      <c r="CH24" s="45">
        <v>42.8</v>
      </c>
      <c r="DE24" s="4"/>
      <c r="DL24" s="45">
        <v>42.8</v>
      </c>
      <c r="EG24" s="4"/>
      <c r="EN24" s="45">
        <v>42.8</v>
      </c>
      <c r="FI24" s="4"/>
      <c r="FP24" s="45">
        <v>42.8</v>
      </c>
      <c r="GK24" s="4"/>
      <c r="GR24" s="45">
        <v>42.8</v>
      </c>
      <c r="HM24" s="4"/>
      <c r="HT24" s="45">
        <v>42.8</v>
      </c>
      <c r="IO24" s="4"/>
      <c r="IV24" s="45">
        <v>42.8</v>
      </c>
      <c r="JQ24" s="4"/>
      <c r="JX24" s="45">
        <v>42.8</v>
      </c>
      <c r="KS24" s="4"/>
      <c r="KZ24" s="45">
        <v>42.8</v>
      </c>
      <c r="LU24" s="4"/>
      <c r="MB24" s="45">
        <v>42.8</v>
      </c>
      <c r="MW24" s="4"/>
      <c r="ND24" s="45">
        <v>42.8</v>
      </c>
      <c r="NY24" s="4"/>
      <c r="OF24" s="45">
        <v>42.8</v>
      </c>
      <c r="PA24" s="4"/>
      <c r="PH24" s="45">
        <v>42.8</v>
      </c>
    </row>
    <row r="25" spans="1:446" ht="17" hidden="1" x14ac:dyDescent="0.2">
      <c r="A25" s="5"/>
      <c r="B25" s="5"/>
      <c r="C25" s="24" t="s">
        <v>42</v>
      </c>
      <c r="D25" s="20"/>
      <c r="G25" s="64"/>
      <c r="R25" s="10"/>
      <c r="S25" s="10"/>
      <c r="T25" s="10"/>
      <c r="AL25" s="4"/>
      <c r="AP25" s="46">
        <v>1000</v>
      </c>
      <c r="BH25" s="4"/>
      <c r="BL25" s="46">
        <v>1000</v>
      </c>
      <c r="CD25" s="4"/>
      <c r="CH25" s="46">
        <v>1000</v>
      </c>
      <c r="DE25" s="4"/>
      <c r="DL25" s="46">
        <v>1000</v>
      </c>
      <c r="EG25" s="4"/>
      <c r="EN25" s="46">
        <v>1000</v>
      </c>
      <c r="FI25" s="4"/>
      <c r="FP25" s="46">
        <v>1000</v>
      </c>
      <c r="GK25" s="4"/>
      <c r="GR25" s="46">
        <v>1000</v>
      </c>
      <c r="HM25" s="4"/>
      <c r="HT25" s="46">
        <v>1000</v>
      </c>
      <c r="IO25" s="4"/>
      <c r="IV25" s="46">
        <v>1000</v>
      </c>
      <c r="JQ25" s="4"/>
      <c r="JX25" s="46">
        <v>1000</v>
      </c>
      <c r="KS25" s="4"/>
      <c r="KZ25" s="46">
        <v>1000</v>
      </c>
      <c r="LU25" s="4"/>
      <c r="MB25" s="46">
        <v>1000</v>
      </c>
      <c r="MW25" s="4"/>
      <c r="ND25" s="46">
        <v>1000</v>
      </c>
      <c r="NY25" s="4"/>
      <c r="OF25" s="46">
        <v>1000</v>
      </c>
      <c r="PA25" s="4"/>
      <c r="PH25" s="46">
        <v>1000</v>
      </c>
    </row>
    <row r="26" spans="1:446" ht="17" hidden="1" x14ac:dyDescent="0.2">
      <c r="A26" s="5"/>
      <c r="B26" s="5"/>
      <c r="C26" s="33" t="s">
        <v>54</v>
      </c>
      <c r="D26" s="20"/>
      <c r="G26" s="64"/>
      <c r="R26" s="10"/>
      <c r="S26" s="10"/>
      <c r="T26" s="10"/>
      <c r="AL26" s="4"/>
      <c r="AP26" s="47">
        <v>1000</v>
      </c>
      <c r="BH26" s="4"/>
      <c r="BL26" s="47">
        <v>1000</v>
      </c>
      <c r="CD26" s="4"/>
      <c r="CH26" s="47">
        <v>1000</v>
      </c>
      <c r="DE26" s="4"/>
      <c r="DL26" s="47">
        <v>1000</v>
      </c>
      <c r="EG26" s="4"/>
      <c r="EN26" s="47">
        <v>1000</v>
      </c>
      <c r="FI26" s="4"/>
      <c r="FP26" s="47">
        <v>1000</v>
      </c>
      <c r="GK26" s="4"/>
      <c r="GR26" s="47">
        <v>1000</v>
      </c>
      <c r="HM26" s="4"/>
      <c r="HT26" s="47">
        <v>1000</v>
      </c>
      <c r="IO26" s="4"/>
      <c r="IV26" s="47">
        <v>1000</v>
      </c>
      <c r="JQ26" s="4"/>
      <c r="JX26" s="47">
        <v>1000</v>
      </c>
      <c r="KS26" s="4"/>
      <c r="KZ26" s="47">
        <v>1000</v>
      </c>
      <c r="LU26" s="4"/>
      <c r="MB26" s="47">
        <v>1000</v>
      </c>
      <c r="MW26" s="4"/>
      <c r="ND26" s="47">
        <v>1000</v>
      </c>
      <c r="NY26" s="4"/>
      <c r="OF26" s="47">
        <v>1000</v>
      </c>
      <c r="PA26" s="4"/>
      <c r="PH26" s="47">
        <v>1000</v>
      </c>
    </row>
    <row r="27" spans="1:446" ht="17" hidden="1" x14ac:dyDescent="0.2">
      <c r="A27" s="5"/>
      <c r="B27" s="5"/>
      <c r="C27" s="25" t="s">
        <v>27</v>
      </c>
      <c r="D27" s="20"/>
      <c r="G27" s="64"/>
      <c r="R27" s="10"/>
      <c r="S27" s="10"/>
      <c r="T27" s="10"/>
      <c r="AL27" s="4"/>
      <c r="AP27" s="48">
        <v>1000</v>
      </c>
      <c r="BH27" s="4"/>
      <c r="BL27" s="48">
        <v>1000</v>
      </c>
      <c r="CD27" s="4"/>
      <c r="CH27" s="48">
        <v>1000</v>
      </c>
      <c r="DE27" s="4"/>
      <c r="DL27" s="48">
        <v>1000</v>
      </c>
      <c r="EG27" s="4"/>
      <c r="EN27" s="48">
        <v>1000</v>
      </c>
      <c r="FI27" s="4"/>
      <c r="FP27" s="48">
        <v>1000</v>
      </c>
      <c r="GK27" s="4"/>
      <c r="GR27" s="48">
        <v>1000</v>
      </c>
      <c r="HM27" s="4"/>
      <c r="HT27" s="48">
        <v>1000</v>
      </c>
      <c r="IO27" s="4"/>
      <c r="IV27" s="48">
        <v>1000</v>
      </c>
      <c r="JQ27" s="4"/>
      <c r="JX27" s="48">
        <v>1000</v>
      </c>
      <c r="KS27" s="4"/>
      <c r="KZ27" s="48">
        <v>1000</v>
      </c>
      <c r="LU27" s="4"/>
      <c r="MB27" s="48">
        <v>1000</v>
      </c>
      <c r="MW27" s="4"/>
      <c r="ND27" s="48">
        <v>1000</v>
      </c>
      <c r="NY27" s="4"/>
      <c r="OF27" s="48">
        <v>1000</v>
      </c>
      <c r="PA27" s="4"/>
      <c r="PH27" s="48">
        <v>1000</v>
      </c>
    </row>
    <row r="28" spans="1:446" x14ac:dyDescent="0.2">
      <c r="C28" s="29" t="s">
        <v>47</v>
      </c>
      <c r="D28" s="2"/>
      <c r="G28" s="64"/>
    </row>
    <row r="29" spans="1:446" x14ac:dyDescent="0.2">
      <c r="A29" s="5"/>
      <c r="B29" s="5"/>
      <c r="C29" s="5"/>
      <c r="D29" s="20"/>
      <c r="G29" s="64"/>
      <c r="PJ29" s="2"/>
      <c r="PK29" s="2"/>
      <c r="PL29" s="2"/>
      <c r="PM29" s="2"/>
      <c r="PN29" s="2"/>
      <c r="PO29" s="2"/>
      <c r="PP29" s="2"/>
    </row>
    <row r="30" spans="1:446" x14ac:dyDescent="0.2">
      <c r="A30" s="5"/>
      <c r="B30" s="5"/>
      <c r="C30" s="5"/>
      <c r="D30" s="20"/>
      <c r="G30" s="64"/>
    </row>
    <row r="31" spans="1:446" x14ac:dyDescent="0.2">
      <c r="A31" s="5"/>
      <c r="B31" s="5"/>
      <c r="C31" s="5"/>
      <c r="D31" s="20"/>
      <c r="G31" s="64"/>
    </row>
    <row r="32" spans="1:446" x14ac:dyDescent="0.2">
      <c r="A32" s="5"/>
      <c r="B32" s="5"/>
      <c r="C32" s="5"/>
      <c r="D32" s="5"/>
    </row>
    <row r="36" spans="7:7" x14ac:dyDescent="0.2">
      <c r="G36" s="64"/>
    </row>
    <row r="37" spans="7:7" x14ac:dyDescent="0.2">
      <c r="G37" s="64"/>
    </row>
  </sheetData>
  <sheetProtection sheet="1" formatCells="0" formatColumns="0" formatRows="0"/>
  <autoFilter ref="A1:QD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6:QD17">
      <sortCondition descending="1" ref="H1:H18"/>
    </sortState>
  </autoFilter>
  <mergeCells count="113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GS1:HT1"/>
    <mergeCell ref="HU1:IV1"/>
    <mergeCell ref="S1:S3"/>
    <mergeCell ref="T1:T3"/>
    <mergeCell ref="U1:AP1"/>
    <mergeCell ref="AQ1:BL1"/>
    <mergeCell ref="BM1:CH1"/>
    <mergeCell ref="CI1:CJ1"/>
    <mergeCell ref="BC2:BF2"/>
    <mergeCell ref="BM2:BP2"/>
    <mergeCell ref="BQ2:BT2"/>
    <mergeCell ref="BU2:BX2"/>
    <mergeCell ref="BY2:CB2"/>
    <mergeCell ref="CK2:CN2"/>
    <mergeCell ref="CO2:CR2"/>
    <mergeCell ref="CS2:CV2"/>
    <mergeCell ref="CW2:CZ2"/>
    <mergeCell ref="DA2:DD2"/>
    <mergeCell ref="DM2:DP2"/>
    <mergeCell ref="DQ2:DT2"/>
    <mergeCell ref="DU2:DX2"/>
    <mergeCell ref="DY2:EB2"/>
    <mergeCell ref="EC2:EF2"/>
    <mergeCell ref="HA2:HD2"/>
    <mergeCell ref="PI1:QD1"/>
    <mergeCell ref="U2:X2"/>
    <mergeCell ref="Y2:AB2"/>
    <mergeCell ref="AC2:AF2"/>
    <mergeCell ref="AG2:AJ2"/>
    <mergeCell ref="AQ2:AT2"/>
    <mergeCell ref="AU2:AX2"/>
    <mergeCell ref="AY2:BB2"/>
    <mergeCell ref="IW1:JX1"/>
    <mergeCell ref="JY1:KZ1"/>
    <mergeCell ref="LA1:MB1"/>
    <mergeCell ref="MC1:ND1"/>
    <mergeCell ref="NE1:OF1"/>
    <mergeCell ref="OG1:PH1"/>
    <mergeCell ref="CK1:DL1"/>
    <mergeCell ref="DM1:EN1"/>
    <mergeCell ref="EO2:ER2"/>
    <mergeCell ref="ES2:EV2"/>
    <mergeCell ref="EW2:EZ2"/>
    <mergeCell ref="FA2:FD2"/>
    <mergeCell ref="FE2:FH2"/>
    <mergeCell ref="FQ2:FT2"/>
    <mergeCell ref="EO1:FP1"/>
    <mergeCell ref="FQ1:GR1"/>
    <mergeCell ref="HE2:HH2"/>
    <mergeCell ref="HI2:HL2"/>
    <mergeCell ref="HU2:HX2"/>
    <mergeCell ref="HY2:IB2"/>
    <mergeCell ref="IC2:IF2"/>
    <mergeCell ref="FU2:FX2"/>
    <mergeCell ref="FY2:GB2"/>
    <mergeCell ref="GC2:GF2"/>
    <mergeCell ref="GG2:GJ2"/>
    <mergeCell ref="GS2:GV2"/>
    <mergeCell ref="GW2:GZ2"/>
    <mergeCell ref="JM2:JP2"/>
    <mergeCell ref="JY2:KB2"/>
    <mergeCell ref="KC2:KF2"/>
    <mergeCell ref="KG2:KJ2"/>
    <mergeCell ref="KK2:KN2"/>
    <mergeCell ref="KO2:KR2"/>
    <mergeCell ref="IG2:IJ2"/>
    <mergeCell ref="IK2:IN2"/>
    <mergeCell ref="IW2:IZ2"/>
    <mergeCell ref="JA2:JD2"/>
    <mergeCell ref="JE2:JH2"/>
    <mergeCell ref="JI2:JL2"/>
    <mergeCell ref="MG2:MJ2"/>
    <mergeCell ref="MK2:MN2"/>
    <mergeCell ref="MO2:MR2"/>
    <mergeCell ref="MS2:MV2"/>
    <mergeCell ref="NE2:NH2"/>
    <mergeCell ref="NI2:NL2"/>
    <mergeCell ref="LA2:LD2"/>
    <mergeCell ref="LE2:LH2"/>
    <mergeCell ref="LI2:LL2"/>
    <mergeCell ref="LM2:LP2"/>
    <mergeCell ref="LQ2:LT2"/>
    <mergeCell ref="MC2:MF2"/>
    <mergeCell ref="PU2:PX2"/>
    <mergeCell ref="OS2:OV2"/>
    <mergeCell ref="OW2:OZ2"/>
    <mergeCell ref="PI2:PL2"/>
    <mergeCell ref="PM2:PP2"/>
    <mergeCell ref="PQ2:PT2"/>
    <mergeCell ref="NM2:NP2"/>
    <mergeCell ref="NQ2:NT2"/>
    <mergeCell ref="NU2:NX2"/>
    <mergeCell ref="OG2:OJ2"/>
    <mergeCell ref="OK2:ON2"/>
    <mergeCell ref="OO2:OR2"/>
  </mergeCells>
  <conditionalFormatting sqref="A4:B1048576">
    <cfRule type="expression" dxfId="101" priority="7">
      <formula>AND($I4="P",$H4="")</formula>
    </cfRule>
    <cfRule type="expression" dxfId="100" priority="31">
      <formula>IF(A4&gt;4,1,0)</formula>
    </cfRule>
  </conditionalFormatting>
  <conditionalFormatting sqref="J1:J1048576">
    <cfRule type="containsText" dxfId="99" priority="26" operator="containsText" text="No DD">
      <formula>NOT(ISERROR(SEARCH("No DD",J1)))</formula>
    </cfRule>
    <cfRule type="containsText" dxfId="98" priority="27" operator="containsText" text="Merit">
      <formula>NOT(ISERROR(SEARCH("Merit",J1)))</formula>
    </cfRule>
    <cfRule type="containsText" dxfId="97" priority="28" operator="containsText" text="Excellence">
      <formula>NOT(ISERROR(SEARCH("Excellence",J1)))</formula>
    </cfRule>
    <cfRule type="containsText" dxfId="96" priority="29" operator="containsText" text="Worlds Team">
      <formula>NOT(ISERROR(SEARCH("Worlds Team",J1)))</formula>
    </cfRule>
    <cfRule type="containsText" dxfId="95" priority="30" operator="containsText" text="National Team">
      <formula>NOT(ISERROR(SEARCH("National Team",J1)))</formula>
    </cfRule>
  </conditionalFormatting>
  <conditionalFormatting sqref="DI28:DI1048576 DI1:DI26 EK1:EK1048576 FM1:FM1048576 GO1:GO1048576 HQ1:HQ1048576 JU1:JU1048576 KW1:KW1048576 LY1:LY1048576 NA1:NA1048576 OC1:OC1048576 PE1:PE1048576 IS1:IS1048576">
    <cfRule type="cellIs" dxfId="94" priority="23" operator="between">
      <formula>DL$27</formula>
      <formula>1000</formula>
    </cfRule>
    <cfRule type="cellIs" dxfId="93" priority="24" operator="between">
      <formula>DL$26</formula>
      <formula>DL$27</formula>
    </cfRule>
    <cfRule type="cellIs" dxfId="92" priority="25" operator="between">
      <formula>DL$25</formula>
      <formula>DL$26</formula>
    </cfRule>
  </conditionalFormatting>
  <conditionalFormatting sqref="A1:B3">
    <cfRule type="expression" dxfId="91" priority="8">
      <formula>AND(I1&lt;&gt;"",H1="")</formula>
    </cfRule>
  </conditionalFormatting>
  <conditionalFormatting sqref="AL2">
    <cfRule type="cellIs" dxfId="90" priority="6" operator="between">
      <formula>AP$22</formula>
      <formula>1000</formula>
    </cfRule>
  </conditionalFormatting>
  <conditionalFormatting sqref="AM2">
    <cfRule type="cellIs" dxfId="89" priority="5" operator="between">
      <formula>AP$26</formula>
      <formula>1000</formula>
    </cfRule>
  </conditionalFormatting>
  <conditionalFormatting sqref="BH2">
    <cfRule type="cellIs" dxfId="88" priority="4" operator="between">
      <formula>BL$22</formula>
      <formula>1000</formula>
    </cfRule>
  </conditionalFormatting>
  <conditionalFormatting sqref="BI2">
    <cfRule type="cellIs" dxfId="87" priority="3" operator="between">
      <formula>BL$26</formula>
      <formula>1000</formula>
    </cfRule>
  </conditionalFormatting>
  <conditionalFormatting sqref="CD2">
    <cfRule type="cellIs" dxfId="86" priority="2" operator="between">
      <formula>CH$22</formula>
      <formula>1000</formula>
    </cfRule>
  </conditionalFormatting>
  <conditionalFormatting sqref="CE2">
    <cfRule type="cellIs" dxfId="85" priority="1" operator="between">
      <formula>CH$26</formula>
      <formula>1000</formula>
    </cfRule>
  </conditionalFormatting>
  <conditionalFormatting sqref="AL1 BH1 CD1 AL3:AL1048576 BH3:BH1048576 CD3:CD1048576">
    <cfRule type="cellIs" dxfId="84" priority="267769" operator="between">
      <formula>AP$20</formula>
      <formula>1000</formula>
    </cfRule>
  </conditionalFormatting>
  <conditionalFormatting sqref="AM1 BI1 CE1 AM3:AM1048576 BI3:BI1048576 CE3:CE1048576">
    <cfRule type="cellIs" dxfId="83" priority="267771" operator="between">
      <formula>AP$24</formula>
      <formula>1000</formula>
    </cfRule>
  </conditionalFormatting>
  <conditionalFormatting sqref="U4:AP17">
    <cfRule type="expression" dxfId="82" priority="267772" stopIfTrue="1">
      <formula>IF($AK4&lt;&gt;"",1,0)</formula>
    </cfRule>
  </conditionalFormatting>
  <conditionalFormatting sqref="AQ4:BL17">
    <cfRule type="expression" dxfId="81" priority="267777" stopIfTrue="1">
      <formula>IF($BG4&lt;&gt;"",1,0)</formula>
    </cfRule>
  </conditionalFormatting>
  <conditionalFormatting sqref="M1:M1048576 Q1:Q1048576 O1:O1048576">
    <cfRule type="expression" dxfId="80" priority="267788">
      <formula>IF(M1=$BM$1,1,0)</formula>
    </cfRule>
    <cfRule type="expression" dxfId="79" priority="267789">
      <formula>IF(M1=$AQ$1,1,0)</formula>
    </cfRule>
    <cfRule type="expression" dxfId="78" priority="267790">
      <formula>IF(M1=$U$1,1,0)</formula>
    </cfRule>
  </conditionalFormatting>
  <conditionalFormatting sqref="BM4:CH17">
    <cfRule type="expression" dxfId="77" priority="267791" stopIfTrue="1">
      <formula>IF($CC4&lt;&gt;"",1,0)</formula>
    </cfRule>
  </conditionalFormatting>
  <conditionalFormatting sqref="PA1:PA1048576 DE1:DE1048576 EG1:EG1048576 FI1:FI1048576 GK1:GK1048576 HM1:HM1048576 JQ1:JQ1048576 KS1:KS1048576 LU1:LU1048576 MW1:MW1048576 NY1:NY1048576 IO1:IO1048576">
    <cfRule type="cellIs" dxfId="76" priority="279904" operator="between">
      <formula>DL$20</formula>
      <formula>1000</formula>
    </cfRule>
  </conditionalFormatting>
  <conditionalFormatting sqref="PB1:PB1048576 DF1:DF1048576 EH1:EH1048576 FJ1:FJ1048576 GL1:GL1048576 HN1:HN1048576 JR1:JR1048576 KT1:KT1048576 LV1:LV1048576 MX1:MX1048576 NZ1:NZ1048576 IP1:IP1048576">
    <cfRule type="cellIs" dxfId="75" priority="279940" operator="between">
      <formula>DL$24</formula>
      <formula>1000</formula>
    </cfRule>
  </conditionalFormatting>
  <conditionalFormatting sqref="AN1:AN1048576 BJ1:BJ1048576 CF1:CF1048576 DJ1:DJ1048576 EL1:EL1048576 FN1:FN1048576 GP1:GP1048576 HR1:HR1048576 JV1:JV1048576 KX1:KX1048576 LZ1:LZ1048576 NB1:NB1048576 OD1:OD1048576 PF1:PF1048576 IT1:IT1048576">
    <cfRule type="cellIs" dxfId="74" priority="279976" operator="between">
      <formula>AP$20</formula>
      <formula>AP$21</formula>
    </cfRule>
    <cfRule type="cellIs" dxfId="73" priority="279977" operator="between">
      <formula>AP$21</formula>
      <formula>AP$22</formula>
    </cfRule>
    <cfRule type="cellIs" dxfId="72" priority="279978" operator="between">
      <formula>AP$22</formula>
      <formula>AP$23</formula>
    </cfRule>
    <cfRule type="cellIs" dxfId="71" priority="279979" operator="between">
      <formula>AP$23</formula>
      <formula>1000</formula>
    </cfRule>
  </conditionalFormatting>
  <conditionalFormatting sqref="AO1:AO1048576 BK1:BK1048576 CG1:CG1048576 DK1:DK1048576 EM1:EM1048576 FO1:FO1048576 GQ1:GQ1048576 HS1:HS1048576 JW1:JW1048576 KY1:KY1048576 MA1:MA1048576 NC1:NC1048576 OE1:OE1048576 PG1:PG1048576 IU1:IU1048576">
    <cfRule type="cellIs" dxfId="70" priority="280156" operator="between">
      <formula>AP$24</formula>
      <formula>AP$25</formula>
    </cfRule>
    <cfRule type="cellIs" dxfId="69" priority="280157" operator="between">
      <formula>AP$25</formula>
      <formula>AP$26</formula>
    </cfRule>
    <cfRule type="cellIs" dxfId="68" priority="280158" operator="between">
      <formula>AP$26</formula>
      <formula>AP$27</formula>
    </cfRule>
    <cfRule type="cellIs" dxfId="67" priority="280159" operator="between">
      <formula>AP$27</formula>
      <formula>1000</formula>
    </cfRule>
  </conditionalFormatting>
  <conditionalFormatting sqref="EJ1:EJ1048576 FL1:FL1048576 GN1:GN1048576 HP1:HP1048576 JT1:JT1048576 KV1:KV1048576 LX1:LX1048576 MZ1:MZ1048576 OB1:OB1048576 PD1:PD1048576 DH1:DH1048576 IR1:IR1048576">
    <cfRule type="cellIs" dxfId="66" priority="280336" operator="between">
      <formula>DL$23</formula>
      <formula>1000</formula>
    </cfRule>
    <cfRule type="cellIs" dxfId="65" priority="280337" operator="between">
      <formula>DL$22</formula>
      <formula>DL$23</formula>
    </cfRule>
    <cfRule type="cellIs" dxfId="64" priority="280338" operator="between">
      <formula>DL$21</formula>
      <formula>DL$22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QD5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83</v>
      </c>
      <c r="M1" s="74" t="s">
        <v>25</v>
      </c>
      <c r="N1" s="73" t="s">
        <v>84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158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172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184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171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181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187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 t="s">
        <v>188</v>
      </c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75</v>
      </c>
      <c r="V2" s="67"/>
      <c r="W2" s="67"/>
      <c r="X2" s="67"/>
      <c r="Y2" s="67" t="s">
        <v>76</v>
      </c>
      <c r="Z2" s="67"/>
      <c r="AA2" s="67"/>
      <c r="AB2" s="67"/>
      <c r="AC2" s="67" t="s">
        <v>78</v>
      </c>
      <c r="AD2" s="67"/>
      <c r="AE2" s="67"/>
      <c r="AF2" s="67"/>
      <c r="AG2" s="77" t="s">
        <v>79</v>
      </c>
      <c r="AH2" s="77"/>
      <c r="AI2" s="77"/>
      <c r="AJ2" s="77"/>
      <c r="AK2" s="14"/>
      <c r="AL2" s="14" t="s">
        <v>85</v>
      </c>
      <c r="AM2" s="14" t="s">
        <v>21</v>
      </c>
      <c r="AN2" s="14" t="s">
        <v>57</v>
      </c>
      <c r="AO2" s="14" t="s">
        <v>82</v>
      </c>
      <c r="AP2" s="14" t="s">
        <v>15</v>
      </c>
      <c r="AQ2" s="68" t="s">
        <v>75</v>
      </c>
      <c r="AR2" s="68"/>
      <c r="AS2" s="68"/>
      <c r="AT2" s="68"/>
      <c r="AU2" s="68" t="s">
        <v>76</v>
      </c>
      <c r="AV2" s="68"/>
      <c r="AW2" s="68"/>
      <c r="AX2" s="68"/>
      <c r="AY2" s="68" t="s">
        <v>78</v>
      </c>
      <c r="AZ2" s="68"/>
      <c r="BA2" s="68"/>
      <c r="BB2" s="68"/>
      <c r="BC2" s="78" t="s">
        <v>79</v>
      </c>
      <c r="BD2" s="78"/>
      <c r="BE2" s="78"/>
      <c r="BF2" s="78"/>
      <c r="BG2" s="13"/>
      <c r="BH2" s="13" t="s">
        <v>85</v>
      </c>
      <c r="BI2" s="13" t="s">
        <v>21</v>
      </c>
      <c r="BJ2" s="13" t="s">
        <v>57</v>
      </c>
      <c r="BK2" s="13" t="s">
        <v>82</v>
      </c>
      <c r="BL2" s="13" t="s">
        <v>15</v>
      </c>
      <c r="BM2" s="67" t="s">
        <v>75</v>
      </c>
      <c r="BN2" s="67"/>
      <c r="BO2" s="67"/>
      <c r="BP2" s="67"/>
      <c r="BQ2" s="67" t="s">
        <v>76</v>
      </c>
      <c r="BR2" s="67"/>
      <c r="BS2" s="67"/>
      <c r="BT2" s="67"/>
      <c r="BU2" s="67" t="s">
        <v>78</v>
      </c>
      <c r="BV2" s="67"/>
      <c r="BW2" s="67"/>
      <c r="BX2" s="67"/>
      <c r="BY2" s="77" t="s">
        <v>79</v>
      </c>
      <c r="BZ2" s="77"/>
      <c r="CA2" s="77"/>
      <c r="CB2" s="77"/>
      <c r="CC2" s="14"/>
      <c r="CD2" s="14" t="s">
        <v>85</v>
      </c>
      <c r="CE2" s="14" t="s">
        <v>21</v>
      </c>
      <c r="CF2" s="14" t="s">
        <v>57</v>
      </c>
      <c r="CG2" s="14" t="s">
        <v>82</v>
      </c>
      <c r="CH2" s="14" t="s">
        <v>15</v>
      </c>
      <c r="CI2" s="49" t="s">
        <v>81</v>
      </c>
      <c r="CJ2" s="49" t="s">
        <v>20</v>
      </c>
      <c r="CK2" s="67" t="s">
        <v>75</v>
      </c>
      <c r="CL2" s="67"/>
      <c r="CM2" s="67"/>
      <c r="CN2" s="67"/>
      <c r="CO2" s="67" t="s">
        <v>76</v>
      </c>
      <c r="CP2" s="67"/>
      <c r="CQ2" s="67"/>
      <c r="CR2" s="67"/>
      <c r="CS2" s="67" t="s">
        <v>77</v>
      </c>
      <c r="CT2" s="67"/>
      <c r="CU2" s="67"/>
      <c r="CV2" s="67"/>
      <c r="CW2" s="67" t="s">
        <v>78</v>
      </c>
      <c r="CX2" s="67"/>
      <c r="CY2" s="67"/>
      <c r="CZ2" s="67"/>
      <c r="DA2" s="79" t="s">
        <v>79</v>
      </c>
      <c r="DB2" s="79"/>
      <c r="DC2" s="79"/>
      <c r="DD2" s="79"/>
      <c r="DE2" s="14" t="s">
        <v>80</v>
      </c>
      <c r="DF2" s="14" t="s">
        <v>81</v>
      </c>
      <c r="DG2" s="14" t="s">
        <v>77</v>
      </c>
      <c r="DH2" s="14" t="s">
        <v>85</v>
      </c>
      <c r="DI2" s="14" t="s">
        <v>21</v>
      </c>
      <c r="DJ2" s="14" t="s">
        <v>57</v>
      </c>
      <c r="DK2" s="14" t="s">
        <v>82</v>
      </c>
      <c r="DL2" s="14" t="s">
        <v>15</v>
      </c>
      <c r="DM2" s="68" t="s">
        <v>75</v>
      </c>
      <c r="DN2" s="68"/>
      <c r="DO2" s="68"/>
      <c r="DP2" s="68"/>
      <c r="DQ2" s="68" t="s">
        <v>76</v>
      </c>
      <c r="DR2" s="68"/>
      <c r="DS2" s="68"/>
      <c r="DT2" s="68"/>
      <c r="DU2" s="68" t="s">
        <v>77</v>
      </c>
      <c r="DV2" s="68"/>
      <c r="DW2" s="68"/>
      <c r="DX2" s="68"/>
      <c r="DY2" s="68" t="s">
        <v>78</v>
      </c>
      <c r="DZ2" s="68"/>
      <c r="EA2" s="68"/>
      <c r="EB2" s="68"/>
      <c r="EC2" s="78" t="s">
        <v>79</v>
      </c>
      <c r="ED2" s="78"/>
      <c r="EE2" s="78"/>
      <c r="EF2" s="78"/>
      <c r="EG2" s="13" t="s">
        <v>80</v>
      </c>
      <c r="EH2" s="13" t="s">
        <v>81</v>
      </c>
      <c r="EI2" s="13" t="s">
        <v>77</v>
      </c>
      <c r="EJ2" s="13" t="s">
        <v>85</v>
      </c>
      <c r="EK2" s="13" t="s">
        <v>21</v>
      </c>
      <c r="EL2" s="13" t="s">
        <v>57</v>
      </c>
      <c r="EM2" s="13" t="s">
        <v>82</v>
      </c>
      <c r="EN2" s="13" t="s">
        <v>15</v>
      </c>
      <c r="EO2" s="67" t="s">
        <v>75</v>
      </c>
      <c r="EP2" s="67"/>
      <c r="EQ2" s="67"/>
      <c r="ER2" s="67"/>
      <c r="ES2" s="67" t="s">
        <v>76</v>
      </c>
      <c r="ET2" s="67"/>
      <c r="EU2" s="67"/>
      <c r="EV2" s="67"/>
      <c r="EW2" s="67" t="s">
        <v>77</v>
      </c>
      <c r="EX2" s="67"/>
      <c r="EY2" s="67"/>
      <c r="EZ2" s="67"/>
      <c r="FA2" s="67" t="s">
        <v>78</v>
      </c>
      <c r="FB2" s="67"/>
      <c r="FC2" s="67"/>
      <c r="FD2" s="67"/>
      <c r="FE2" s="79" t="s">
        <v>79</v>
      </c>
      <c r="FF2" s="79"/>
      <c r="FG2" s="79"/>
      <c r="FH2" s="79"/>
      <c r="FI2" s="14" t="s">
        <v>80</v>
      </c>
      <c r="FJ2" s="14" t="s">
        <v>81</v>
      </c>
      <c r="FK2" s="14" t="s">
        <v>77</v>
      </c>
      <c r="FL2" s="14" t="s">
        <v>85</v>
      </c>
      <c r="FM2" s="14" t="s">
        <v>21</v>
      </c>
      <c r="FN2" s="14" t="s">
        <v>57</v>
      </c>
      <c r="FO2" s="14" t="s">
        <v>82</v>
      </c>
      <c r="FP2" s="14" t="s">
        <v>15</v>
      </c>
      <c r="FQ2" s="68" t="s">
        <v>75</v>
      </c>
      <c r="FR2" s="68"/>
      <c r="FS2" s="68"/>
      <c r="FT2" s="68"/>
      <c r="FU2" s="68" t="s">
        <v>76</v>
      </c>
      <c r="FV2" s="68"/>
      <c r="FW2" s="68"/>
      <c r="FX2" s="68"/>
      <c r="FY2" s="68" t="s">
        <v>77</v>
      </c>
      <c r="FZ2" s="68"/>
      <c r="GA2" s="68"/>
      <c r="GB2" s="68"/>
      <c r="GC2" s="68" t="s">
        <v>78</v>
      </c>
      <c r="GD2" s="68"/>
      <c r="GE2" s="68"/>
      <c r="GF2" s="68"/>
      <c r="GG2" s="78" t="s">
        <v>79</v>
      </c>
      <c r="GH2" s="78"/>
      <c r="GI2" s="78"/>
      <c r="GJ2" s="78"/>
      <c r="GK2" s="13" t="s">
        <v>80</v>
      </c>
      <c r="GL2" s="13" t="s">
        <v>81</v>
      </c>
      <c r="GM2" s="13" t="s">
        <v>77</v>
      </c>
      <c r="GN2" s="13" t="s">
        <v>85</v>
      </c>
      <c r="GO2" s="13" t="s">
        <v>21</v>
      </c>
      <c r="GP2" s="13" t="s">
        <v>57</v>
      </c>
      <c r="GQ2" s="13" t="s">
        <v>82</v>
      </c>
      <c r="GR2" s="13" t="s">
        <v>15</v>
      </c>
      <c r="GS2" s="67" t="s">
        <v>75</v>
      </c>
      <c r="GT2" s="67"/>
      <c r="GU2" s="67"/>
      <c r="GV2" s="67"/>
      <c r="GW2" s="67" t="s">
        <v>76</v>
      </c>
      <c r="GX2" s="67"/>
      <c r="GY2" s="67"/>
      <c r="GZ2" s="67"/>
      <c r="HA2" s="67" t="s">
        <v>77</v>
      </c>
      <c r="HB2" s="67"/>
      <c r="HC2" s="67"/>
      <c r="HD2" s="67"/>
      <c r="HE2" s="67" t="s">
        <v>78</v>
      </c>
      <c r="HF2" s="67"/>
      <c r="HG2" s="67"/>
      <c r="HH2" s="67"/>
      <c r="HI2" s="79" t="s">
        <v>79</v>
      </c>
      <c r="HJ2" s="79"/>
      <c r="HK2" s="79"/>
      <c r="HL2" s="79"/>
      <c r="HM2" s="14" t="s">
        <v>80</v>
      </c>
      <c r="HN2" s="14" t="s">
        <v>81</v>
      </c>
      <c r="HO2" s="14" t="s">
        <v>77</v>
      </c>
      <c r="HP2" s="14" t="s">
        <v>85</v>
      </c>
      <c r="HQ2" s="14" t="s">
        <v>21</v>
      </c>
      <c r="HR2" s="14" t="s">
        <v>57</v>
      </c>
      <c r="HS2" s="14" t="s">
        <v>82</v>
      </c>
      <c r="HT2" s="14" t="s">
        <v>15</v>
      </c>
      <c r="HU2" s="68" t="s">
        <v>75</v>
      </c>
      <c r="HV2" s="68"/>
      <c r="HW2" s="68"/>
      <c r="HX2" s="68"/>
      <c r="HY2" s="68" t="s">
        <v>76</v>
      </c>
      <c r="HZ2" s="68"/>
      <c r="IA2" s="68"/>
      <c r="IB2" s="68"/>
      <c r="IC2" s="68" t="s">
        <v>77</v>
      </c>
      <c r="ID2" s="68"/>
      <c r="IE2" s="68"/>
      <c r="IF2" s="68"/>
      <c r="IG2" s="68" t="s">
        <v>78</v>
      </c>
      <c r="IH2" s="68"/>
      <c r="II2" s="68"/>
      <c r="IJ2" s="68"/>
      <c r="IK2" s="78" t="s">
        <v>79</v>
      </c>
      <c r="IL2" s="78"/>
      <c r="IM2" s="78"/>
      <c r="IN2" s="78"/>
      <c r="IO2" s="13" t="s">
        <v>80</v>
      </c>
      <c r="IP2" s="13" t="s">
        <v>81</v>
      </c>
      <c r="IQ2" s="13" t="s">
        <v>77</v>
      </c>
      <c r="IR2" s="13" t="s">
        <v>85</v>
      </c>
      <c r="IS2" s="13" t="s">
        <v>21</v>
      </c>
      <c r="IT2" s="13" t="s">
        <v>57</v>
      </c>
      <c r="IU2" s="13" t="s">
        <v>82</v>
      </c>
      <c r="IV2" s="13" t="s">
        <v>15</v>
      </c>
      <c r="IW2" s="67" t="s">
        <v>75</v>
      </c>
      <c r="IX2" s="67"/>
      <c r="IY2" s="67"/>
      <c r="IZ2" s="67"/>
      <c r="JA2" s="67" t="s">
        <v>76</v>
      </c>
      <c r="JB2" s="67"/>
      <c r="JC2" s="67"/>
      <c r="JD2" s="67"/>
      <c r="JE2" s="67" t="s">
        <v>77</v>
      </c>
      <c r="JF2" s="67"/>
      <c r="JG2" s="67"/>
      <c r="JH2" s="67"/>
      <c r="JI2" s="67" t="s">
        <v>78</v>
      </c>
      <c r="JJ2" s="67"/>
      <c r="JK2" s="67"/>
      <c r="JL2" s="67"/>
      <c r="JM2" s="79" t="s">
        <v>79</v>
      </c>
      <c r="JN2" s="79"/>
      <c r="JO2" s="79"/>
      <c r="JP2" s="79"/>
      <c r="JQ2" s="14" t="s">
        <v>80</v>
      </c>
      <c r="JR2" s="14" t="s">
        <v>81</v>
      </c>
      <c r="JS2" s="14" t="s">
        <v>77</v>
      </c>
      <c r="JT2" s="14" t="s">
        <v>85</v>
      </c>
      <c r="JU2" s="14" t="s">
        <v>21</v>
      </c>
      <c r="JV2" s="14" t="s">
        <v>57</v>
      </c>
      <c r="JW2" s="14" t="s">
        <v>82</v>
      </c>
      <c r="JX2" s="14" t="s">
        <v>15</v>
      </c>
      <c r="JY2" s="68" t="s">
        <v>75</v>
      </c>
      <c r="JZ2" s="68"/>
      <c r="KA2" s="68"/>
      <c r="KB2" s="68"/>
      <c r="KC2" s="68" t="s">
        <v>76</v>
      </c>
      <c r="KD2" s="68"/>
      <c r="KE2" s="68"/>
      <c r="KF2" s="68"/>
      <c r="KG2" s="68" t="s">
        <v>77</v>
      </c>
      <c r="KH2" s="68"/>
      <c r="KI2" s="68"/>
      <c r="KJ2" s="68"/>
      <c r="KK2" s="68" t="s">
        <v>78</v>
      </c>
      <c r="KL2" s="68"/>
      <c r="KM2" s="68"/>
      <c r="KN2" s="68"/>
      <c r="KO2" s="78" t="s">
        <v>79</v>
      </c>
      <c r="KP2" s="78"/>
      <c r="KQ2" s="78"/>
      <c r="KR2" s="78"/>
      <c r="KS2" s="13" t="s">
        <v>80</v>
      </c>
      <c r="KT2" s="13" t="s">
        <v>81</v>
      </c>
      <c r="KU2" s="13" t="s">
        <v>77</v>
      </c>
      <c r="KV2" s="13" t="s">
        <v>85</v>
      </c>
      <c r="KW2" s="13" t="s">
        <v>21</v>
      </c>
      <c r="KX2" s="13" t="s">
        <v>57</v>
      </c>
      <c r="KY2" s="13" t="s">
        <v>82</v>
      </c>
      <c r="KZ2" s="13" t="s">
        <v>15</v>
      </c>
      <c r="LA2" s="67" t="s">
        <v>75</v>
      </c>
      <c r="LB2" s="67"/>
      <c r="LC2" s="67"/>
      <c r="LD2" s="67"/>
      <c r="LE2" s="67" t="s">
        <v>76</v>
      </c>
      <c r="LF2" s="67"/>
      <c r="LG2" s="67"/>
      <c r="LH2" s="67"/>
      <c r="LI2" s="67" t="s">
        <v>77</v>
      </c>
      <c r="LJ2" s="67"/>
      <c r="LK2" s="67"/>
      <c r="LL2" s="67"/>
      <c r="LM2" s="67" t="s">
        <v>78</v>
      </c>
      <c r="LN2" s="67"/>
      <c r="LO2" s="67"/>
      <c r="LP2" s="67"/>
      <c r="LQ2" s="79" t="s">
        <v>79</v>
      </c>
      <c r="LR2" s="79"/>
      <c r="LS2" s="79"/>
      <c r="LT2" s="79"/>
      <c r="LU2" s="14" t="s">
        <v>80</v>
      </c>
      <c r="LV2" s="14" t="s">
        <v>81</v>
      </c>
      <c r="LW2" s="14" t="s">
        <v>77</v>
      </c>
      <c r="LX2" s="14" t="s">
        <v>85</v>
      </c>
      <c r="LY2" s="14" t="s">
        <v>21</v>
      </c>
      <c r="LZ2" s="14" t="s">
        <v>57</v>
      </c>
      <c r="MA2" s="14" t="s">
        <v>82</v>
      </c>
      <c r="MB2" s="14" t="s">
        <v>15</v>
      </c>
      <c r="MC2" s="68" t="s">
        <v>75</v>
      </c>
      <c r="MD2" s="68"/>
      <c r="ME2" s="68"/>
      <c r="MF2" s="68"/>
      <c r="MG2" s="68" t="s">
        <v>76</v>
      </c>
      <c r="MH2" s="68"/>
      <c r="MI2" s="68"/>
      <c r="MJ2" s="68"/>
      <c r="MK2" s="68" t="s">
        <v>77</v>
      </c>
      <c r="ML2" s="68"/>
      <c r="MM2" s="68"/>
      <c r="MN2" s="68"/>
      <c r="MO2" s="68" t="s">
        <v>78</v>
      </c>
      <c r="MP2" s="68"/>
      <c r="MQ2" s="68"/>
      <c r="MR2" s="68"/>
      <c r="MS2" s="78" t="s">
        <v>79</v>
      </c>
      <c r="MT2" s="78"/>
      <c r="MU2" s="78"/>
      <c r="MV2" s="78"/>
      <c r="MW2" s="13" t="s">
        <v>80</v>
      </c>
      <c r="MX2" s="13" t="s">
        <v>81</v>
      </c>
      <c r="MY2" s="13" t="s">
        <v>77</v>
      </c>
      <c r="MZ2" s="13" t="s">
        <v>85</v>
      </c>
      <c r="NA2" s="13" t="s">
        <v>21</v>
      </c>
      <c r="NB2" s="13" t="s">
        <v>57</v>
      </c>
      <c r="NC2" s="13" t="s">
        <v>82</v>
      </c>
      <c r="ND2" s="13" t="s">
        <v>15</v>
      </c>
      <c r="NE2" s="67" t="s">
        <v>75</v>
      </c>
      <c r="NF2" s="67"/>
      <c r="NG2" s="67"/>
      <c r="NH2" s="67"/>
      <c r="NI2" s="67" t="s">
        <v>76</v>
      </c>
      <c r="NJ2" s="67"/>
      <c r="NK2" s="67"/>
      <c r="NL2" s="67"/>
      <c r="NM2" s="67" t="s">
        <v>77</v>
      </c>
      <c r="NN2" s="67"/>
      <c r="NO2" s="67"/>
      <c r="NP2" s="67"/>
      <c r="NQ2" s="67" t="s">
        <v>78</v>
      </c>
      <c r="NR2" s="67"/>
      <c r="NS2" s="67"/>
      <c r="NT2" s="67"/>
      <c r="NU2" s="79" t="s">
        <v>79</v>
      </c>
      <c r="NV2" s="79"/>
      <c r="NW2" s="79"/>
      <c r="NX2" s="79"/>
      <c r="NY2" s="14" t="s">
        <v>80</v>
      </c>
      <c r="NZ2" s="14" t="s">
        <v>81</v>
      </c>
      <c r="OA2" s="14" t="s">
        <v>77</v>
      </c>
      <c r="OB2" s="14" t="s">
        <v>85</v>
      </c>
      <c r="OC2" s="14" t="s">
        <v>21</v>
      </c>
      <c r="OD2" s="14" t="s">
        <v>57</v>
      </c>
      <c r="OE2" s="14" t="s">
        <v>82</v>
      </c>
      <c r="OF2" s="14" t="s">
        <v>15</v>
      </c>
      <c r="OG2" s="68" t="s">
        <v>75</v>
      </c>
      <c r="OH2" s="68"/>
      <c r="OI2" s="68"/>
      <c r="OJ2" s="68"/>
      <c r="OK2" s="68" t="s">
        <v>76</v>
      </c>
      <c r="OL2" s="68"/>
      <c r="OM2" s="68"/>
      <c r="ON2" s="68"/>
      <c r="OO2" s="68" t="s">
        <v>77</v>
      </c>
      <c r="OP2" s="68"/>
      <c r="OQ2" s="68"/>
      <c r="OR2" s="68"/>
      <c r="OS2" s="68" t="s">
        <v>78</v>
      </c>
      <c r="OT2" s="68"/>
      <c r="OU2" s="68"/>
      <c r="OV2" s="68"/>
      <c r="OW2" s="78" t="s">
        <v>79</v>
      </c>
      <c r="OX2" s="78"/>
      <c r="OY2" s="78"/>
      <c r="OZ2" s="78"/>
      <c r="PA2" s="13" t="s">
        <v>80</v>
      </c>
      <c r="PB2" s="13" t="s">
        <v>81</v>
      </c>
      <c r="PC2" s="13" t="s">
        <v>77</v>
      </c>
      <c r="PD2" s="13" t="s">
        <v>85</v>
      </c>
      <c r="PE2" s="13" t="s">
        <v>21</v>
      </c>
      <c r="PF2" s="13" t="s">
        <v>57</v>
      </c>
      <c r="PG2" s="13" t="s">
        <v>82</v>
      </c>
      <c r="PH2" s="13" t="s">
        <v>15</v>
      </c>
      <c r="PI2" s="67" t="s">
        <v>75</v>
      </c>
      <c r="PJ2" s="67"/>
      <c r="PK2" s="67"/>
      <c r="PL2" s="67"/>
      <c r="PM2" s="67" t="s">
        <v>76</v>
      </c>
      <c r="PN2" s="67"/>
      <c r="PO2" s="67"/>
      <c r="PP2" s="67"/>
      <c r="PQ2" s="67" t="s">
        <v>78</v>
      </c>
      <c r="PR2" s="67"/>
      <c r="PS2" s="67"/>
      <c r="PT2" s="67"/>
      <c r="PU2" s="77" t="s">
        <v>79</v>
      </c>
      <c r="PV2" s="77"/>
      <c r="PW2" s="77"/>
      <c r="PX2" s="77"/>
      <c r="PY2" s="14"/>
      <c r="PZ2" s="14" t="s">
        <v>85</v>
      </c>
      <c r="QA2" s="14" t="s">
        <v>21</v>
      </c>
      <c r="QB2" s="14" t="s">
        <v>57</v>
      </c>
      <c r="QC2" s="14" t="s">
        <v>82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147</v>
      </c>
      <c r="D4" s="4" t="s">
        <v>4</v>
      </c>
      <c r="E4" s="4">
        <v>2008</v>
      </c>
      <c r="F4" s="9">
        <f t="shared" ref="F4:F38" si="0">SUM(L4:R4)+SUM(L4:O4)*0.0000001+SUM(L4)*0.0000000000001</f>
        <v>163.10001078000539</v>
      </c>
      <c r="G4" s="65" t="s">
        <v>46</v>
      </c>
      <c r="H4" s="3" t="str">
        <f t="shared" ref="H4:H38" si="1">IF(OR(AND(AL4&gt;=AP$41,AM4&gt;=AP$45,AL4&lt;&gt;"",AK4=""),AND(AN4&gt;=AP$41,AO4&gt;=AP$45,AN4&lt;&gt;"",AK4=""),AND(BH4&gt;=BL$41,BI4&gt;=BL$45,BH4&lt;&gt;"",BG4=""),AND(BJ4&gt;=BL$41,BK4&gt;=BL$45,BJ4&lt;&gt;"",BG4=""),AND(CD4&gt;=CH$41,CE4&gt;=CH$45,CD4&lt;&gt;"",CC4=""),AND(CF4&gt;=CH$41,CG4&gt;=CH$45,CF4&lt;&gt;""),AND(DE4&gt;=DL$41,DF4&gt;=DL$45,DE4&lt;&gt;""),AND(DJ4&gt;=DL$41,DK4&gt;=DL$45,DJ4&lt;&gt;""),AND(EG4&gt;=EN$41,EH4&gt;=EN$45,EG4&lt;&gt;""),AND(EL4&gt;=EN$41,EM4&gt;=EN$45,EL4&lt;&gt;""),AND(FI4&gt;=FP$41,FJ4&gt;=FP$45,FI4&lt;&gt;""),AND(FN4&gt;=FP$41,FO4&gt;=FP$45,FN4&lt;&gt;""),AND(GK4&gt;=GR$41,GL4&gt;=GR$45,GK4&lt;&gt;""),AND(GP4&gt;=GR$41,GQ4&gt;=GR$45,GP4&lt;&gt;""),AND(HM4&gt;=HT$41,HN4&gt;=HT$45,HM4&lt;&gt;""),AND(HR4&gt;=HT$41,HS4&gt;=HT$45,HR4&lt;&gt;""),AND(IO4&gt;=IV$41,IP4&gt;=IV$45,IO4&lt;&gt;""),AND(IT4&gt;=IV$41,IU4&gt;=IV$45,IT4&lt;&gt;""),AND(JQ4&gt;=JX$41,JR4&gt;=JX$45,JQ4&lt;&gt;""),AND(JV4&gt;=JX$41,JW4&gt;=JX$45,JV4&lt;&gt;""),AND(KS4&gt;=KZ$41,KT4&gt;=KZ$45,KS4&lt;&gt;""),AND(KX4&gt;=KZ$41,KY4&gt;=KZ$45,KX4&lt;&gt;""),AND(LU4&gt;=MB$41,LV4&gt;=MB$45,LU4&lt;&gt;""),AND(LZ4&gt;=MB$41,MA4&gt;=MB$45,LZ4&lt;&gt;""),AND(MW4&gt;=ND$41,MX4&gt;=ND$45,MW4&lt;&gt;""),AND(NB4&gt;=ND$41,NC4&gt;=ND$45,NB4&lt;&gt;""),AND(NY4&gt;=OF$41,NZ4&gt;=OF$45,NY4&lt;&gt;""),AND(OD4&gt;=OF$41,OE4&gt;=OF$45,OD4&lt;&gt;""),AND(PA4&gt;=PH$41,PB4&gt;=PH$45,PA4&lt;&gt;""),AND(PF4&gt;=PH$41,PG4&gt;=PH$45,PF4&lt;&gt;"")),"P","")</f>
        <v>P</v>
      </c>
      <c r="I4" s="3" t="str">
        <f t="shared" ref="I4:I38" si="2">IF(OR(AND(AM4&gt;=AP$45,AM4&lt;&gt;"",AK4=""),AND(AO4&gt;=AP$45,AO4&lt;&gt;"",AK4=""),AND(BI4&gt;=BL$45,BI4&lt;&gt;"",BG4=""),AND(BK4&gt;=BL$45,BK4&lt;&gt;"",BG4=""),AND(CE4&gt;=CH$45,CE4&lt;&gt;"",CC4=""),AND(CG4&gt;=CH$45,CG4&lt;&gt;"",CC4=""),AND(DF4&gt;=DL$45,DF4&lt;&gt;""),AND(DK4&gt;=DL$45,DK4&lt;&gt;""),AND(EH4&gt;=EN$45,EH4&lt;&gt;""),AND(EM4&gt;=EN$45,EM4&lt;&gt;""),AND(FJ4&gt;=FP$45,FJ4&lt;&gt;""),AND(FO4&gt;=FP$45,FO4&lt;&gt;""),AND(GL4&gt;=GR$45,GL4&lt;&gt;""),AND(GQ4&gt;=GR$45,GQ4&lt;&gt;""),AND(HN4&gt;=HT$45,HN4&lt;&gt;""),AND(HS4&gt;=HT$45,HS4&lt;&gt;""),AND(IP4&gt;=IV$45,IP4&lt;&gt;""),AND(IU4&gt;=IV$45,IU4&lt;&gt;""),AND(JR4&gt;=JX$45,JR4&lt;&gt;""),AND(JW4&gt;=JX$45,JW4&lt;&gt;""),AND(KT4&gt;=KZ$45,KT4&lt;&gt;""),AND(KY4&gt;=KZ$45,KY4&lt;&gt;""),AND(LV4&gt;=MB$45,LV4&lt;&gt;""),AND(MA4&gt;=MB$45,MA4&lt;&gt;""),AND(MX4&gt;=ND$45,MX4&lt;&gt;""),AND(NC4&gt;=ND$45,NC4&lt;&gt;""),AND(NZ4&gt;=OF$45,NZ4&lt;&gt;""),AND(OE4&gt;=OF$45,OE4&lt;&gt;""),AND(PB4&gt;=PH$45,PB4&lt;&gt;""),AND(PG4&gt;=PH$45,PG4&lt;&gt;"")),"P","")</f>
        <v>P</v>
      </c>
      <c r="J4" s="36" t="str">
        <f t="shared" ref="J4:J38" si="3">IF(AND(I4="P",H4=""),"No DD",IF(OR(AND(AL4&gt;=AP$23,AM4&gt;=AP$27,AL4&lt;&gt;"",AK4=""),AND(BH4&gt;=BL$23,BI4&gt;=BL$27,BH4&lt;&gt;"",BG4=""),AND(CD4&gt;=CH$23,CE4&gt;=CH$27,CD4&lt;&gt;"",CC4=""),AND(DH4&gt;=DL$23,DI4&gt;=DL$27,DH4&lt;&gt;""),AND(EJ4&gt;=EN$23,EK4&gt;=EN$27,EJ4&lt;&gt;""),AND(FL4&gt;=FP$23,FM4&gt;=FP$27,FL4&lt;&gt;""),AND(GN4&gt;=GR$23,GO4&gt;=GR$27,GN4&lt;&gt;""),AND(HP4&gt;=HT$23,HQ4&gt;=HT$27,HP4&lt;&gt;""),AND(IR4&gt;=IV$23,IS4&gt;=IV$27,IR4&lt;&gt;""),AND(JT4&gt;=JX$23,JU4&gt;=JX$27,JT4&lt;&gt;""),AND(KV4&gt;=KZ$23,KW4&gt;=KZ$27,KV4&lt;&gt;""),AND(LX4&gt;=MB$23,LY4&gt;=MB$27,LX4&lt;&gt;""),AND(MZ4&gt;=ND$23,NA4&gt;=ND$27,MZ4&lt;&gt;""),AND(OB4&gt;=OF$23,OC4&gt;=OF$27,OB4&lt;&gt;""),AND(PD4&gt;=PH$23,PE4&gt;=PH$27,PD4&lt;&gt;"")),"Merit",IF(OR(AND(AL4&gt;=AP$22,AM4&gt;=AP$26,AL4&lt;&gt;"",AK4=""),AND(BH4&gt;=BL$22,BI4&gt;=BL$26,BH4&lt;&gt;"",BG4=""),AND(CD4&gt;=CH$22,CE4&gt;=CH$26,CD4&lt;&gt;"",CC4=""),AND(DH4&gt;=DL$22,DI4&gt;=DL$26,DH4&lt;&gt;""),AND(EJ4&gt;=EN$22,EK4&gt;=EN$26,EJ4&lt;&gt;""),AND(FL4&gt;=FP$22,FM4&gt;=FP$26,FL4&lt;&gt;""),AND(GN4&gt;=GR$22,GO4&gt;=GR$26,GN4&lt;&gt;""),AND(HP4&gt;=HT$22,HQ4&gt;=HT$26,HP4&lt;&gt;""),AND(IR4&gt;=IV$22,IS4&gt;=IV$26,IR4&lt;&gt;""),AND(JT4&gt;=JX$22,JU4&gt;=JX$26,JT4&lt;&gt;""),AND(KV4&gt;=KZ$22,KW4&gt;=KZ$26,KV4&lt;&gt;""),AND(LX4&gt;=MB$22,LY4&gt;=MB$26,LX4&lt;&gt;""),AND(MZ4&gt;=ND$22,NA4&gt;=ND$26,MZ4&lt;&gt;""),AND(OB4&gt;=OF$22,OC4&gt;=OF$26,OB4&lt;&gt;""),AND(PD4&gt;=PH$22,PE4&gt;=PH$26,PD4&lt;&gt;"")),"Excellence",IF(K4="P","Worlds Team",IF(H4="P","National Team","")))))</f>
        <v>National Team</v>
      </c>
      <c r="K4" s="3" t="str">
        <f t="shared" ref="K4:K38" si="4">IF(OR(AND(AL4&gt;=AP$21,AM4&gt;=AP$25,AL4&lt;&gt;"",AK4=""),AND(BH4&gt;=BL$21,BI4&gt;=BL$25,BH4&lt;&gt;"",BG4=""),AND(CD4&gt;=CH$21,CE4&gt;=CH$25,CD4&lt;&gt;"",CC4=""),AND(DH4&gt;=DL$21,DI4&gt;=DL$25,DH4&lt;&gt;""),AND(EJ4&gt;=EN$21,EK4&gt;=EN$25,EJ4&lt;&gt;""),AND(FL4&gt;=FP$21,FM4&gt;=FP$25,FL4&lt;&gt;""),AND(GN4&gt;=GR$21,GO4&gt;=GR$25,GN4&lt;&gt;""),AND(HP4&gt;=HT$21,HQ4&gt;=HT$25,HP4&lt;&gt;""),AND(IR4&gt;=IV$21,IS4&gt;=IV$25,IR4&lt;&gt;""),AND(JT4&gt;=JX$21,JU4&gt;=JX$25,JT4&lt;&gt;""),AND(KV4&gt;=KZ$21,KW4&gt;=KZ$25,KV4&lt;&gt;""),AND(LX4&gt;=MB$21,LY4&gt;=MB$25,LX4&lt;&gt;""),AND(MZ4&gt;=ND$21,NA4&gt;=ND$25,MZ4&lt;&gt;""),AND(OB4&gt;=OF$21,OC4&gt;=OF$25,OB4&lt;&gt;""),AND(PD4&gt;=PH$21,PE4&gt;=PH$25,PD4&lt;&gt;"")),"P","")</f>
        <v/>
      </c>
      <c r="L4" s="8">
        <f>IF(COUNT(AM4,BI4,CE4)&gt;0,LARGE((AM4,BI4,CE4),1),0)</f>
        <v>54.199999999999996</v>
      </c>
      <c r="M4" s="8" t="str">
        <f t="shared" ref="M4:M38" si="5">IF(L4=0,"",IF(L4=CE4,$BM$1,IF(L4=BI4,$AQ$1,IF(L4=AM4,$U$1,""))))</f>
        <v>2025 Elite Canada</v>
      </c>
      <c r="N4" s="8">
        <f>IF(COUNT(AM4,BI4,CE4)&gt;1,LARGE((AM4,BI4,CE4),2),0)</f>
        <v>53.599999999999994</v>
      </c>
      <c r="O4" s="8" t="str">
        <f t="shared" ref="O4:O38" si="6">IF(N4=0,"",IF(AND(N4=L4,N4=AM4,N4=BI4),$U$1,IF(AND(N4=L4,N4=AM4,N4=CE4),$U$1,IF(AND(N4=L4,N4=BI4,N4=CE4),$AQ$1,IF(N4=CE4,$BM$1,IF(N4=BI4,$AQ$1,IF(N4=AM4,$U$1,"")))))))</f>
        <v>2025 3rd Domestic Trial</v>
      </c>
      <c r="P4" s="8">
        <f t="shared" ref="P4:P38" si="7">IF(MAX(AO4,BK4,CG4)&gt;0,MAX(AO4,BK4,CG4),0)</f>
        <v>55.099999999999994</v>
      </c>
      <c r="Q4" s="8" t="str">
        <f t="shared" ref="Q4:Q38" si="8">IF(P4=0,"",IF(P4=CG4,$BM$1,IF(P4=BK4,$AQ$1,IF(P4=AO4,$U$1,""))))</f>
        <v>2025 3rd Domestic Trial</v>
      </c>
      <c r="R4" s="8">
        <f t="shared" ref="R4:R38" si="9">IF(MAX(CI4:CJ4)&gt;0,MAX(CI4:CJ4),"")</f>
        <v>0.20000000000000284</v>
      </c>
      <c r="S4" s="11" t="str">
        <f t="shared" ref="S4:S38" si="10">IF(R4="","",IF(R4=CI4,"("&amp;CI$2&amp;")",IF(R4=CJ4,"("&amp;CJ$2&amp;")")))</f>
        <v>(Q1)</v>
      </c>
      <c r="T4" s="8" t="str">
        <f t="shared" ref="T4:T38" si="11"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Worlds (Nov 9)</v>
      </c>
      <c r="U4" s="19">
        <v>19</v>
      </c>
      <c r="V4" s="19">
        <v>8.4</v>
      </c>
      <c r="W4" s="19">
        <v>0</v>
      </c>
      <c r="X4" s="19">
        <v>0</v>
      </c>
      <c r="Y4" s="19">
        <v>18.600000000000001</v>
      </c>
      <c r="Z4" s="19">
        <v>8.1</v>
      </c>
      <c r="AA4" s="19">
        <v>0.2</v>
      </c>
      <c r="AB4" s="19">
        <v>0.3</v>
      </c>
      <c r="AC4" s="19">
        <v>19</v>
      </c>
      <c r="AD4" s="19">
        <v>8.4</v>
      </c>
      <c r="AE4" s="19">
        <v>0.6</v>
      </c>
      <c r="AF4" s="19">
        <v>0</v>
      </c>
      <c r="AG4" s="19">
        <v>18.399999999999999</v>
      </c>
      <c r="AH4" s="19">
        <v>7.3</v>
      </c>
      <c r="AI4" s="19">
        <v>0</v>
      </c>
      <c r="AJ4" s="19">
        <v>0</v>
      </c>
      <c r="AK4" s="27"/>
      <c r="AL4" s="40">
        <f t="shared" ref="AL4:AL38" si="12">IF(SUM(V4,Z4)&gt;0,SUM(V4,Z4),"")</f>
        <v>16.5</v>
      </c>
      <c r="AM4" s="40">
        <f t="shared" ref="AM4:AM38" si="13">IF(SUM(U4:V4,X4:Z4,AB4)-W4-AA4&gt;0,SUM(U4:V4,X4:Z4,AB4)-W4-AA4,"")</f>
        <v>54.199999999999996</v>
      </c>
      <c r="AN4" s="40">
        <f t="shared" ref="AN4:AN38" si="14">IF(SUM(AD4,AH4)&gt;0,SUM(AD4,AH4),"")</f>
        <v>15.7</v>
      </c>
      <c r="AO4" s="40">
        <f t="shared" ref="AO4:AO38" si="15">IF(SUM(AC4:AD4,AF4:AH4,AJ4)-SUM(AE4,AI4)&gt;0,SUM(AC4:AD4,AF4:AH4,AJ4)-SUM(AE4,AI4),"")</f>
        <v>52.499999999999993</v>
      </c>
      <c r="AP4" s="40">
        <f t="shared" ref="AP4:AP38" si="16">IF(SUM(AM4,AO4)&gt;0,SUM(AM4,AO4),"")</f>
        <v>106.69999999999999</v>
      </c>
      <c r="AQ4" s="18">
        <v>19.100000000000001</v>
      </c>
      <c r="AR4" s="18">
        <v>8.4</v>
      </c>
      <c r="AS4" s="18">
        <v>0</v>
      </c>
      <c r="AT4" s="18">
        <v>0</v>
      </c>
      <c r="AU4" s="18">
        <v>18.600000000000001</v>
      </c>
      <c r="AV4" s="18">
        <v>7.3</v>
      </c>
      <c r="AW4" s="18">
        <v>0</v>
      </c>
      <c r="AX4" s="18">
        <v>0</v>
      </c>
      <c r="AY4" s="18">
        <v>18.7</v>
      </c>
      <c r="AZ4" s="18">
        <v>7.6</v>
      </c>
      <c r="BA4" s="18">
        <v>0</v>
      </c>
      <c r="BB4" s="18">
        <v>0</v>
      </c>
      <c r="BC4" s="18">
        <v>15.1</v>
      </c>
      <c r="BD4" s="18">
        <v>5.0999999999999996</v>
      </c>
      <c r="BE4" s="18">
        <v>0</v>
      </c>
      <c r="BF4" s="18">
        <v>0.3</v>
      </c>
      <c r="BG4" s="28"/>
      <c r="BH4" s="11">
        <f t="shared" ref="BH4:BH38" si="17">IF(SUM(AR4,AV4)&gt;0,SUM(AR4,AV4),"")</f>
        <v>15.7</v>
      </c>
      <c r="BI4" s="11">
        <f t="shared" ref="BI4:BI38" si="18">IF(SUM(AQ4:AR4,AT4:AV4,AX4)-AS4-AW4&gt;0,SUM(AQ4:AR4,AT4:AV4,AX4)-AS4-AW4,"")</f>
        <v>53.4</v>
      </c>
      <c r="BJ4" s="11">
        <f t="shared" ref="BJ4:BJ38" si="19">IF(SUM(AZ4,BD4)&gt;0,SUM(AZ4,BD4),"")</f>
        <v>12.7</v>
      </c>
      <c r="BK4" s="11">
        <f t="shared" ref="BK4:BK38" si="20">IF(SUM(AY4:AZ4,BB4:BD4,BF4)-SUM(BA4,BE4)&gt;0,SUM(AY4:AZ4,BB4:BD4,BF4)-SUM(BA4,BE4),"")</f>
        <v>46.8</v>
      </c>
      <c r="BL4" s="11">
        <f t="shared" ref="BL4:BL38" si="21">IF(SUM(BI4,BK4)&gt;0,SUM(BI4,BK4),"")</f>
        <v>100.19999999999999</v>
      </c>
      <c r="BM4" s="19">
        <v>19</v>
      </c>
      <c r="BN4" s="19">
        <v>8.4</v>
      </c>
      <c r="BO4" s="19">
        <v>0.6</v>
      </c>
      <c r="BP4" s="19">
        <v>0</v>
      </c>
      <c r="BQ4" s="19">
        <v>18.7</v>
      </c>
      <c r="BR4" s="19">
        <v>8.1</v>
      </c>
      <c r="BS4" s="19">
        <v>0</v>
      </c>
      <c r="BT4" s="19">
        <v>0</v>
      </c>
      <c r="BU4" s="19">
        <v>19.100000000000001</v>
      </c>
      <c r="BV4" s="19">
        <v>8.4</v>
      </c>
      <c r="BW4" s="19">
        <v>0</v>
      </c>
      <c r="BX4" s="19">
        <v>0</v>
      </c>
      <c r="BY4" s="19">
        <v>18.600000000000001</v>
      </c>
      <c r="BZ4" s="19">
        <v>8.9</v>
      </c>
      <c r="CA4" s="19">
        <v>0.2</v>
      </c>
      <c r="CB4" s="19">
        <v>0.3</v>
      </c>
      <c r="CC4" s="27"/>
      <c r="CD4" s="40">
        <f t="shared" ref="CD4:CD38" si="22">IF(SUM(BN4,BR4)&gt;0,SUM(BN4,BR4),"")</f>
        <v>16.5</v>
      </c>
      <c r="CE4" s="40">
        <f t="shared" ref="CE4:CE38" si="23">IF(SUM(BM4:BN4,BP4:BR4,BT4)-BO4-BS4&gt;0,SUM(BM4:BN4,BP4:BR4,BT4)-BO4-BS4,"")</f>
        <v>53.599999999999994</v>
      </c>
      <c r="CF4" s="40">
        <f t="shared" ref="CF4:CF38" si="24">IF(SUM(BV4,BZ4)&gt;0,SUM(BV4,BZ4),"")</f>
        <v>17.3</v>
      </c>
      <c r="CG4" s="40">
        <f t="shared" ref="CG4:CG38" si="25">IF(SUM(BU4:BV4,BX4:BZ4,CB4)-SUM(BW4,CA4)&gt;0,SUM(BU4:BV4,BX4:BZ4,CB4)-SUM(BW4,CA4),"")</f>
        <v>55.099999999999994</v>
      </c>
      <c r="CH4" s="40">
        <f t="shared" ref="CH4:CH38" si="26">IF(SUM(CE4,CG4)&gt;0,SUM(CE4,CG4),"")</f>
        <v>108.69999999999999</v>
      </c>
      <c r="CI4" s="50">
        <f t="shared" ref="CI4:CI38" si="27">IF(MAX(DF4,EH4,FJ4,GL4,HN4,IP4,JR4,KT4,LV4,MX4,NZ4,PB4)-IF(N4="",0,N4)&gt;0.001,MAX(DF4,EH4,FJ4,GL4,HN4,IP4,JR4,KT4,LV4,MX4,NZ4,PB4)-IF(N4="",0,N4),"")</f>
        <v>0.20000000000000284</v>
      </c>
      <c r="CJ4" s="50" t="str">
        <f t="shared" ref="CJ4:CJ38" si="28">IF(MAX(DK4,EM4,FO4,GQ4,HS4,IU4,JW4,KY4,MA4,NC4,OE4,PG4)-IF(P4="",0,P4)&gt;0.001,MAX(DK4,EM4,FO4,GQ4,HS4,IU4,JW4,KY4,MA4,NC4,OE4,PG4)-IF(P4="",0,P4),"")</f>
        <v/>
      </c>
      <c r="CK4" s="17">
        <v>18.8</v>
      </c>
      <c r="CL4" s="17">
        <v>8.4</v>
      </c>
      <c r="CM4" s="17">
        <v>0</v>
      </c>
      <c r="CN4" s="17">
        <v>0</v>
      </c>
      <c r="CO4" s="17">
        <v>18.399999999999999</v>
      </c>
      <c r="CP4" s="17">
        <v>8.1</v>
      </c>
      <c r="CQ4" s="17">
        <v>0</v>
      </c>
      <c r="CR4" s="17">
        <v>0</v>
      </c>
      <c r="CS4" s="17">
        <v>17.8</v>
      </c>
      <c r="CT4" s="17">
        <v>9.3000000000000007</v>
      </c>
      <c r="CU4" s="17">
        <v>0.8</v>
      </c>
      <c r="CV4" s="17">
        <v>0</v>
      </c>
      <c r="CW4" s="17"/>
      <c r="CX4" s="17"/>
      <c r="CY4" s="17"/>
      <c r="CZ4" s="17"/>
      <c r="DA4" s="17"/>
      <c r="DB4" s="17"/>
      <c r="DC4" s="17"/>
      <c r="DD4" s="17"/>
      <c r="DE4" s="40">
        <f t="shared" ref="DE4:DE38" si="29">IF(SUM(CL4,CP4)&gt;0,SUM(CL4,CP4),"")</f>
        <v>16.5</v>
      </c>
      <c r="DF4" s="40">
        <f t="shared" ref="DF4:DF38" si="30">IF(SUM(CK4:CL4,CN4:CP4,CR4)-CM4-CQ4&gt;0,SUM(CK4:CL4,CN4:CP4,CR4)-CM4-CQ4,"")</f>
        <v>53.7</v>
      </c>
      <c r="DG4" s="40">
        <f t="shared" ref="DG4:DG38" si="31">IF(SUM(CS4:CT4,CV4)-CU4&gt;0,SUM(CS4:CT4,CV4)-CU4,"")</f>
        <v>26.3</v>
      </c>
      <c r="DH4" s="40">
        <f t="shared" ref="DH4:DH38" si="32">IF(SUM(CL4,CP4,CT4)&gt;0,SUM(CL4,CP4,CT4),"")</f>
        <v>25.8</v>
      </c>
      <c r="DI4" s="40">
        <f t="shared" ref="DI4:DI38" si="33">IF(SUM(DF4,DG4)&gt;0,SUM(DF4,DG4),"")</f>
        <v>80</v>
      </c>
      <c r="DJ4" s="40" t="str">
        <f t="shared" ref="DJ4:DJ38" si="34">IF(SUM(CX4,DB4)&gt;0,SUM(CX4,DB4),"")</f>
        <v/>
      </c>
      <c r="DK4" s="40" t="str">
        <f t="shared" ref="DK4:DK38" si="35">IF(SUM(CW4:CX4,CZ4:DB4,DD4)-SUM(CY4,DC4)&gt;0,SUM(CW4:CX4,CZ4:DB4,DD4)-SUM(CY4,DC4),"")</f>
        <v/>
      </c>
      <c r="DL4" s="40">
        <f t="shared" ref="DL4:DL38" si="36">IF(SUM(DF4,DG4,DK4)&gt;0,SUM(DF4,DG4,DK4),"")</f>
        <v>80</v>
      </c>
      <c r="DM4" s="18">
        <v>16.600000000000001</v>
      </c>
      <c r="DN4" s="18">
        <v>9.1999999999999993</v>
      </c>
      <c r="DO4" s="18">
        <v>0.8</v>
      </c>
      <c r="DP4" s="18">
        <v>0</v>
      </c>
      <c r="DQ4" s="18">
        <v>18</v>
      </c>
      <c r="DR4" s="18">
        <v>8.9</v>
      </c>
      <c r="DS4" s="18">
        <v>0.8</v>
      </c>
      <c r="DT4" s="18">
        <v>0</v>
      </c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>
        <f t="shared" ref="EG4:EG38" si="37">IF(SUM(DN4,DR4)&gt;0,SUM(DN4,DR4),"")</f>
        <v>18.100000000000001</v>
      </c>
      <c r="EH4" s="11">
        <f t="shared" ref="EH4:EH38" si="38">IF(SUM(DM4:DN4,DP4:DR4,DT4)-DO4-DS4&gt;0,SUM(DM4:DN4,DP4:DR4,DT4)-DO4-DS4,"")</f>
        <v>51.1</v>
      </c>
      <c r="EI4" s="11" t="str">
        <f t="shared" ref="EI4:EI38" si="39">IF(SUM(DU4:DV4,DX4)-DW4&gt;0,SUM(DU4:DV4,DX4)-DW4,"")</f>
        <v/>
      </c>
      <c r="EJ4" s="11">
        <f t="shared" ref="EJ4:EJ38" si="40">IF(SUM(DN4,DR4,DV4)&gt;0,SUM(DN4,DR4,DV4),"")</f>
        <v>18.100000000000001</v>
      </c>
      <c r="EK4" s="11">
        <f t="shared" ref="EK4:EK38" si="41">IF(SUM(EH4,EI4)&gt;0,SUM(EH4,EI4),"")</f>
        <v>51.1</v>
      </c>
      <c r="EL4" s="11" t="str">
        <f t="shared" ref="EL4:EL38" si="42">IF(SUM(DZ4,ED4)&gt;0,SUM(DZ4,ED4),"")</f>
        <v/>
      </c>
      <c r="EM4" s="11" t="str">
        <f t="shared" ref="EM4:EM38" si="43">IF(SUM(DY4:DZ4,EB4:ED4,EF4)-SUM(EA4,EE4)&gt;0,SUM(DY4:DZ4,EB4:ED4,EF4)-SUM(EA4,EE4),"")</f>
        <v/>
      </c>
      <c r="EN4" s="11">
        <f t="shared" ref="EN4:EN38" si="44">IF(SUM(EH4,EI4,EM4)&gt;0,SUM(EH4,EI4,EM4),"")</f>
        <v>51.1</v>
      </c>
      <c r="EO4" s="17">
        <v>18.399999999999999</v>
      </c>
      <c r="EP4" s="17">
        <v>9.5</v>
      </c>
      <c r="EQ4" s="17">
        <v>0</v>
      </c>
      <c r="ER4" s="17">
        <v>0</v>
      </c>
      <c r="ES4" s="17">
        <v>18.2</v>
      </c>
      <c r="ET4" s="17">
        <v>8.5</v>
      </c>
      <c r="EU4" s="17">
        <v>0.8</v>
      </c>
      <c r="EV4" s="17">
        <v>0</v>
      </c>
      <c r="EW4" s="17">
        <v>18.2</v>
      </c>
      <c r="EX4" s="17">
        <v>10.4</v>
      </c>
      <c r="EY4" s="17">
        <v>0.6</v>
      </c>
      <c r="EZ4" s="17">
        <v>0</v>
      </c>
      <c r="FA4" s="17"/>
      <c r="FB4" s="17"/>
      <c r="FC4" s="17"/>
      <c r="FD4" s="17"/>
      <c r="FE4" s="17"/>
      <c r="FF4" s="17"/>
      <c r="FG4" s="17"/>
      <c r="FH4" s="17"/>
      <c r="FI4" s="40">
        <f t="shared" ref="FI4:FI38" si="45">IF(SUM(EP4,ET4)&gt;0,SUM(EP4,ET4),"")</f>
        <v>18</v>
      </c>
      <c r="FJ4" s="40">
        <f t="shared" ref="FJ4:FJ38" si="46">IF(SUM(EO4:EP4,ER4:ET4,EV4)-EQ4-EU4&gt;0,SUM(EO4:EP4,ER4:ET4,EV4)-EQ4-EU4,"")</f>
        <v>53.8</v>
      </c>
      <c r="FK4" s="40">
        <f t="shared" ref="FK4:FK38" si="47">IF(SUM(EW4:EX4,EZ4)-EY4&gt;0,SUM(EW4:EX4,EZ4)-EY4,"")</f>
        <v>28</v>
      </c>
      <c r="FL4" s="40">
        <f t="shared" ref="FL4:FL38" si="48">IF(SUM(EP4,ET4,EX4)&gt;0,SUM(EP4,ET4,EX4),"")</f>
        <v>28.4</v>
      </c>
      <c r="FM4" s="40">
        <f t="shared" ref="FM4:FM38" si="49">IF(SUM(FJ4,FK4)&gt;0,SUM(FJ4,FK4),"")</f>
        <v>81.8</v>
      </c>
      <c r="FN4" s="40" t="str">
        <f t="shared" ref="FN4:FN38" si="50">IF(SUM(FB4,FF4)&gt;0,SUM(FB4,FF4),"")</f>
        <v/>
      </c>
      <c r="FO4" s="40" t="str">
        <f t="shared" ref="FO4:FO38" si="51">IF(SUM(FA4:FB4,FD4:FF4,FH4)-SUM(FC4,FG4)&gt;0,SUM(FA4:FB4,FD4:FF4,FH4)-SUM(FC4,FG4),"")</f>
        <v/>
      </c>
      <c r="FP4" s="40">
        <f t="shared" ref="FP4:FP38" si="52">IF(SUM(FJ4,FK4,FO4)&gt;0,SUM(FJ4,FK4,FO4),"")</f>
        <v>81.8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 t="shared" ref="GK4:GK38" si="53">IF(SUM(FR4,FV4)&gt;0,SUM(FR4,FV4),"")</f>
        <v/>
      </c>
      <c r="GL4" s="11" t="str">
        <f t="shared" ref="GL4:GL38" si="54">IF(SUM(FQ4:FR4,FT4:FV4,FX4)-FS4-FW4&gt;0,SUM(FQ4:FR4,FT4:FV4,FX4)-FS4-FW4,"")</f>
        <v/>
      </c>
      <c r="GM4" s="11" t="str">
        <f t="shared" ref="GM4:GM38" si="55">IF(SUM(FY4:FZ4,GB4)-GA4&gt;0,SUM(FY4:FZ4,GB4)-GA4,"")</f>
        <v/>
      </c>
      <c r="GN4" s="11" t="str">
        <f t="shared" ref="GN4:GN38" si="56">IF(SUM(FR4,FV4,FZ4)&gt;0,SUM(FR4,FV4,FZ4),"")</f>
        <v/>
      </c>
      <c r="GO4" s="11" t="str">
        <f t="shared" ref="GO4:GO38" si="57">IF(SUM(GL4,GM4)&gt;0,SUM(GL4,GM4),"")</f>
        <v/>
      </c>
      <c r="GP4" s="11" t="str">
        <f t="shared" ref="GP4:GP38" si="58">IF(SUM(GD4,GH4)&gt;0,SUM(GD4,GH4),"")</f>
        <v/>
      </c>
      <c r="GQ4" s="11" t="str">
        <f t="shared" ref="GQ4:GQ38" si="59">IF(SUM(GC4:GD4,GF4:GH4,GJ4)-SUM(GE4,GI4)&gt;0,SUM(GC4:GD4,GF4:GH4,GJ4)-SUM(GE4,GI4),"")</f>
        <v/>
      </c>
      <c r="GR4" s="11" t="str">
        <f t="shared" ref="GR4:GR38" si="60"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 t="shared" ref="HM4:HM38" si="61">IF(SUM(GT4,GX4)&gt;0,SUM(GT4,GX4),"")</f>
        <v/>
      </c>
      <c r="HN4" s="40" t="str">
        <f t="shared" ref="HN4:HN38" si="62">IF(SUM(GS4:GT4,GV4:GX4,GZ4)-GU4-GY4&gt;0,SUM(GS4:GT4,GV4:GX4,GZ4)-GU4-GY4,"")</f>
        <v/>
      </c>
      <c r="HO4" s="40" t="str">
        <f t="shared" ref="HO4:HO38" si="63">IF(SUM(HA4:HB4,HD4)-HC4&gt;0,SUM(HA4:HB4,HD4)-HC4,"")</f>
        <v/>
      </c>
      <c r="HP4" s="40" t="str">
        <f t="shared" ref="HP4:HP38" si="64">IF(SUM(GT4,GX4,HB4)&gt;0,SUM(GT4,GX4,HB4),"")</f>
        <v/>
      </c>
      <c r="HQ4" s="40" t="str">
        <f t="shared" ref="HQ4:HQ38" si="65">IF(SUM(HN4,HO4)&gt;0,SUM(HN4,HO4),"")</f>
        <v/>
      </c>
      <c r="HR4" s="40" t="str">
        <f t="shared" ref="HR4:HR38" si="66">IF(SUM(HF4,HJ4)&gt;0,SUM(HF4,HJ4),"")</f>
        <v/>
      </c>
      <c r="HS4" s="40" t="str">
        <f t="shared" ref="HS4:HS38" si="67">IF(SUM(HE4:HF4,HH4:HJ4,HL4)-SUM(HG4,HK4)&gt;0,SUM(HE4:HF4,HH4:HJ4,HL4)-SUM(HG4,HK4),"")</f>
        <v/>
      </c>
      <c r="HT4" s="40" t="str">
        <f t="shared" ref="HT4:HT38" si="68"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 t="shared" ref="IO4:IO38" si="69">IF(SUM(HV4,HZ4)&gt;0,SUM(HV4,HZ4),"")</f>
        <v/>
      </c>
      <c r="IP4" s="11" t="str">
        <f t="shared" ref="IP4:IP38" si="70">IF(SUM(HU4:HV4,HX4:HZ4,IB4)-HW4-IA4&gt;0,SUM(HU4:HV4,HX4:HZ4,IB4)-HW4-IA4,"")</f>
        <v/>
      </c>
      <c r="IQ4" s="11" t="str">
        <f t="shared" ref="IQ4:IQ38" si="71">IF(SUM(IC4:ID4,IF4)-IE4&gt;0,SUM(IC4:ID4,IF4)-IE4,"")</f>
        <v/>
      </c>
      <c r="IR4" s="11" t="str">
        <f t="shared" ref="IR4:IR38" si="72">IF(SUM(HV4,HZ4,ID4)&gt;0,SUM(HV4,HZ4,ID4),"")</f>
        <v/>
      </c>
      <c r="IS4" s="11" t="str">
        <f t="shared" ref="IS4:IS38" si="73">IF(SUM(IP4,IQ4)&gt;0,SUM(IP4,IQ4),"")</f>
        <v/>
      </c>
      <c r="IT4" s="11" t="str">
        <f t="shared" ref="IT4:IT38" si="74">IF(SUM(IH4,IL4)&gt;0,SUM(IH4,IL4),"")</f>
        <v/>
      </c>
      <c r="IU4" s="11" t="str">
        <f t="shared" ref="IU4:IU38" si="75">IF(SUM(IG4:IH4,IJ4:IL4,IN4)-SUM(II4,IM4)&gt;0,SUM(IG4:IH4,IJ4:IL4,IN4)-SUM(II4,IM4),"")</f>
        <v/>
      </c>
      <c r="IV4" s="11" t="str">
        <f t="shared" ref="IV4:IV38" si="76"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 t="shared" ref="JQ4:JQ38" si="77">IF(SUM(IX4,JB4)&gt;0,SUM(IX4,JB4),"")</f>
        <v/>
      </c>
      <c r="JR4" s="40" t="str">
        <f t="shared" ref="JR4:JR38" si="78">IF(SUM(IW4:IX4,IZ4:JB4,JD4)-IY4-JC4&gt;0,SUM(IW4:IX4,IZ4:JB4,JD4)-IY4-JC4,"")</f>
        <v/>
      </c>
      <c r="JS4" s="40" t="str">
        <f t="shared" ref="JS4:JS38" si="79">IF(SUM(JE4:JF4,JH4)-JG4&gt;0,SUM(JE4:JF4,JH4)-JG4,"")</f>
        <v/>
      </c>
      <c r="JT4" s="40" t="str">
        <f t="shared" ref="JT4:JT38" si="80">IF(SUM(IX4,JB4,JF4)&gt;0,SUM(IX4,JB4,JF4),"")</f>
        <v/>
      </c>
      <c r="JU4" s="40" t="str">
        <f t="shared" ref="JU4:JU38" si="81">IF(SUM(JR4,JS4)&gt;0,SUM(JR4,JS4),"")</f>
        <v/>
      </c>
      <c r="JV4" s="40" t="str">
        <f t="shared" ref="JV4:JV38" si="82">IF(SUM(JJ4,JN4)&gt;0,SUM(JJ4,JN4),"")</f>
        <v/>
      </c>
      <c r="JW4" s="40" t="str">
        <f t="shared" ref="JW4:JW38" si="83">IF(SUM(JI4:JJ4,JL4:JN4,JP4)-SUM(JK4,JO4)&gt;0,SUM(JI4:JJ4,JL4:JN4,JP4)-SUM(JK4,JO4),"")</f>
        <v/>
      </c>
      <c r="JX4" s="40" t="str">
        <f t="shared" ref="JX4:JX38" si="84"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 t="shared" ref="KS4:KS38" si="85">IF(SUM(JZ4,KD4)&gt;0,SUM(JZ4,KD4),"")</f>
        <v/>
      </c>
      <c r="KT4" s="11" t="str">
        <f t="shared" ref="KT4:KT38" si="86">IF(SUM(JY4:JZ4,KB4:KD4,KF4)-KA4-KE4&gt;0,SUM(JY4:JZ4,KB4:KD4,KF4)-KA4-KE4,"")</f>
        <v/>
      </c>
      <c r="KU4" s="11" t="str">
        <f t="shared" ref="KU4:KU38" si="87">IF(SUM(KG4:KH4,KJ4)-KI4&gt;0,SUM(KG4:KH4,KJ4)-KI4,"")</f>
        <v/>
      </c>
      <c r="KV4" s="11" t="str">
        <f t="shared" ref="KV4:KV38" si="88">IF(SUM(JZ4,KD4,KH4)&gt;0,SUM(JZ4,KD4,KH4),"")</f>
        <v/>
      </c>
      <c r="KW4" s="11" t="str">
        <f t="shared" ref="KW4:KW38" si="89">IF(SUM(KT4,KU4)&gt;0,SUM(KT4,KU4),"")</f>
        <v/>
      </c>
      <c r="KX4" s="11" t="str">
        <f t="shared" ref="KX4:KX38" si="90">IF(SUM(KL4,KP4)&gt;0,SUM(KL4,KP4),"")</f>
        <v/>
      </c>
      <c r="KY4" s="11" t="str">
        <f t="shared" ref="KY4:KY38" si="91">IF(SUM(KK4:KL4,KN4:KP4,KR4)-SUM(KM4,KQ4)&gt;0,SUM(KK4:KL4,KN4:KP4,KR4)-SUM(KM4,KQ4),"")</f>
        <v/>
      </c>
      <c r="KZ4" s="11" t="str">
        <f t="shared" ref="KZ4:KZ38" si="92"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 t="shared" ref="LU4:LU38" si="93">IF(SUM(LB4,LF4)&gt;0,SUM(LB4,LF4),"")</f>
        <v/>
      </c>
      <c r="LV4" s="40" t="str">
        <f t="shared" ref="LV4:LV38" si="94">IF(SUM(LA4:LB4,LD4:LF4,LH4)-LC4-LG4&gt;0,SUM(LA4:LB4,LD4:LF4,LH4)-LC4-LG4,"")</f>
        <v/>
      </c>
      <c r="LW4" s="40" t="str">
        <f t="shared" ref="LW4:LW38" si="95">IF(SUM(LI4:LJ4,LL4)-LK4&gt;0,SUM(LI4:LJ4,LL4)-LK4,"")</f>
        <v/>
      </c>
      <c r="LX4" s="40" t="str">
        <f t="shared" ref="LX4:LX38" si="96">IF(SUM(LB4,LF4,LJ4)&gt;0,SUM(LB4,LF4,LJ4),"")</f>
        <v/>
      </c>
      <c r="LY4" s="40" t="str">
        <f t="shared" ref="LY4:LY38" si="97">IF(SUM(LV4,LW4)&gt;0,SUM(LV4,LW4),"")</f>
        <v/>
      </c>
      <c r="LZ4" s="40" t="str">
        <f t="shared" ref="LZ4:LZ38" si="98">IF(SUM(LN4,LR4)&gt;0,SUM(LN4,LR4),"")</f>
        <v/>
      </c>
      <c r="MA4" s="40" t="str">
        <f t="shared" ref="MA4:MA38" si="99">IF(SUM(LM4:LN4,LP4:LR4,LT4)-SUM(LO4,LS4)&gt;0,SUM(LM4:LN4,LP4:LR4,LT4)-SUM(LO4,LS4),"")</f>
        <v/>
      </c>
      <c r="MB4" s="40" t="str">
        <f t="shared" ref="MB4:MB38" si="100"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 t="shared" ref="MW4:MW38" si="101">IF(SUM(MD4,MH4)&gt;0,SUM(MD4,MH4),"")</f>
        <v/>
      </c>
      <c r="MX4" s="11" t="str">
        <f t="shared" ref="MX4:MX38" si="102">IF(SUM(MC4:MD4,MF4:MH4,MJ4)-ME4-MI4&gt;0,SUM(MC4:MD4,MF4:MH4,MJ4)-ME4-MI4,"")</f>
        <v/>
      </c>
      <c r="MY4" s="11" t="str">
        <f t="shared" ref="MY4:MY38" si="103">IF(SUM(MK4:ML4,MN4)-MM4&gt;0,SUM(MK4:ML4,MN4)-MM4,"")</f>
        <v/>
      </c>
      <c r="MZ4" s="11" t="str">
        <f t="shared" ref="MZ4:MZ38" si="104">IF(SUM(MD4,MH4,ML4)&gt;0,SUM(MD4,MH4,ML4),"")</f>
        <v/>
      </c>
      <c r="NA4" s="11" t="str">
        <f t="shared" ref="NA4:NA38" si="105">IF(SUM(MX4,MY4)&gt;0,SUM(MX4,MY4),"")</f>
        <v/>
      </c>
      <c r="NB4" s="11" t="str">
        <f t="shared" ref="NB4:NB38" si="106">IF(SUM(MP4,MT4)&gt;0,SUM(MP4,MT4),"")</f>
        <v/>
      </c>
      <c r="NC4" s="11" t="str">
        <f t="shared" ref="NC4:NC38" si="107">IF(SUM(MO4:MP4,MR4:MT4,MV4)-SUM(MQ4,MU4)&gt;0,SUM(MO4:MP4,MR4:MT4,MV4)-SUM(MQ4,MU4),"")</f>
        <v/>
      </c>
      <c r="ND4" s="11" t="str">
        <f t="shared" ref="ND4:ND38" si="108"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 t="shared" ref="NY4:NY38" si="109">IF(SUM(NF4,NJ4)&gt;0,SUM(NF4,NJ4),"")</f>
        <v/>
      </c>
      <c r="NZ4" s="40" t="str">
        <f t="shared" ref="NZ4:NZ38" si="110">IF(SUM(NE4:NF4,NH4:NJ4,NL4)-NG4-NK4&gt;0,SUM(NE4:NF4,NH4:NJ4,NL4)-NG4-NK4,"")</f>
        <v/>
      </c>
      <c r="OA4" s="40" t="str">
        <f t="shared" ref="OA4:OA38" si="111">IF(SUM(NM4:NN4,NP4)-NO4&gt;0,SUM(NM4:NN4,NP4)-NO4,"")</f>
        <v/>
      </c>
      <c r="OB4" s="40" t="str">
        <f t="shared" ref="OB4:OB38" si="112">IF(SUM(NF4,NJ4,NN4)&gt;0,SUM(NF4,NJ4,NN4),"")</f>
        <v/>
      </c>
      <c r="OC4" s="40" t="str">
        <f t="shared" ref="OC4:OC38" si="113">IF(SUM(NZ4,OA4)&gt;0,SUM(NZ4,OA4),"")</f>
        <v/>
      </c>
      <c r="OD4" s="40" t="str">
        <f t="shared" ref="OD4:OD38" si="114">IF(SUM(NR4,NV4)&gt;0,SUM(NR4,NV4),"")</f>
        <v/>
      </c>
      <c r="OE4" s="40" t="str">
        <f t="shared" ref="OE4:OE38" si="115">IF(SUM(NQ4:NR4,NT4:NV4,NX4)-SUM(NS4,NW4)&gt;0,SUM(NQ4:NR4,NT4:NV4,NX4)-SUM(NS4,NW4),"")</f>
        <v/>
      </c>
      <c r="OF4" s="40" t="str">
        <f t="shared" ref="OF4:OF38" si="116"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 t="shared" ref="PA4:PA38" si="117">IF(SUM(OH4,OL4)&gt;0,SUM(OH4,OL4),"")</f>
        <v/>
      </c>
      <c r="PB4" s="11" t="str">
        <f t="shared" ref="PB4:PB38" si="118">IF(SUM(OG4:OH4,OJ4:OL4,ON4)-OI4-OM4&gt;0,SUM(OG4:OH4,OJ4:OL4,ON4)-OI4-OM4,"")</f>
        <v/>
      </c>
      <c r="PC4" s="11" t="str">
        <f t="shared" ref="PC4:PC38" si="119">IF(SUM(OO4:OP4,OR4)-OQ4&gt;0,SUM(OO4:OP4,OR4)-OQ4,"")</f>
        <v/>
      </c>
      <c r="PD4" s="11" t="str">
        <f t="shared" ref="PD4:PD38" si="120">IF(SUM(OH4,OL4,OP4)&gt;0,SUM(OH4,OL4,OP4),"")</f>
        <v/>
      </c>
      <c r="PE4" s="11" t="str">
        <f t="shared" ref="PE4:PE38" si="121">IF(SUM(PB4,PC4)&gt;0,SUM(PB4,PC4),"")</f>
        <v/>
      </c>
      <c r="PF4" s="11" t="str">
        <f t="shared" ref="PF4:PF38" si="122">IF(SUM(OT4,OX4)&gt;0,SUM(OT4,OX4),"")</f>
        <v/>
      </c>
      <c r="PG4" s="11" t="str">
        <f t="shared" ref="PG4:PG38" si="123">IF(SUM(OS4:OT4,OV4:OX4,OZ4)-SUM(OU4,OY4)&gt;0,SUM(OS4:OT4,OV4:OX4,OZ4)-SUM(OU4,OY4),"")</f>
        <v/>
      </c>
      <c r="PH4" s="11" t="str">
        <f t="shared" ref="PH4:PH38" si="124">IF(SUM(PB4,PC4,PG4)&gt;0,SUM(PB4,PC4,PG4),"")</f>
        <v/>
      </c>
      <c r="PI4" s="22">
        <f t="shared" ref="PI4:PI38" si="125">IF($CC4="P",BM4,(BM4+AQ4)/2)</f>
        <v>19.05</v>
      </c>
      <c r="PJ4" s="22">
        <f t="shared" ref="PJ4:PJ38" si="126">IF($CC4="P",BN4,(BN4+AR4)/2)</f>
        <v>8.4</v>
      </c>
      <c r="PK4" s="22">
        <f t="shared" ref="PK4:PK38" si="127">IF($CC4="P",BO4,(BO4+AS4)/2)</f>
        <v>0.3</v>
      </c>
      <c r="PL4" s="22">
        <f t="shared" ref="PL4:PL38" si="128">IF($CC4="P",BP4,(BP4+AT4)/2)</f>
        <v>0</v>
      </c>
      <c r="PM4" s="22">
        <f t="shared" ref="PM4:PM38" si="129">IF($CC4="P",BQ4,(BQ4+AU4)/2)</f>
        <v>18.649999999999999</v>
      </c>
      <c r="PN4" s="22">
        <f t="shared" ref="PN4:PN38" si="130">IF($CC4="P",BR4,(BR4+AV4)/2)</f>
        <v>7.6999999999999993</v>
      </c>
      <c r="PO4" s="22">
        <f t="shared" ref="PO4:PO38" si="131">IF($CC4="P",BS4,(BS4+AW4)/2)</f>
        <v>0</v>
      </c>
      <c r="PP4" s="22">
        <f t="shared" ref="PP4:PP38" si="132">IF($CC4="P",BT4,(BT4+AX4)/2)</f>
        <v>0</v>
      </c>
      <c r="PQ4" s="22">
        <f t="shared" ref="PQ4:PQ38" si="133">IF($CC4="P",BU4,(BU4+AY4)/2)</f>
        <v>18.899999999999999</v>
      </c>
      <c r="PR4" s="22">
        <f t="shared" ref="PR4:PR38" si="134">IF($CC4="P",BV4,(BV4+AZ4)/2)</f>
        <v>8</v>
      </c>
      <c r="PS4" s="22">
        <f t="shared" ref="PS4:PS38" si="135">IF($CC4="P",BW4,(BW4+BA4)/2)</f>
        <v>0</v>
      </c>
      <c r="PT4" s="22">
        <f t="shared" ref="PT4:PT38" si="136">IF($CC4="P",BX4,(BX4+BB4)/2)</f>
        <v>0</v>
      </c>
      <c r="PU4" s="22">
        <f t="shared" ref="PU4:PU38" si="137">IF($CC4="P",BY4,(BY4+BC4)/2)</f>
        <v>16.850000000000001</v>
      </c>
      <c r="PV4" s="22">
        <f t="shared" ref="PV4:PV38" si="138">IF($CC4="P",BZ4,(BZ4+BD4)/2)</f>
        <v>7</v>
      </c>
      <c r="PW4" s="22">
        <f t="shared" ref="PW4:PW38" si="139">IF($CC4="P",CA4,(CA4+BE4)/2)</f>
        <v>0.1</v>
      </c>
      <c r="PX4" s="22">
        <f t="shared" ref="PX4:PX38" si="140">IF($CC4="P",CB4,(CB4+BF4)/2)</f>
        <v>0.3</v>
      </c>
      <c r="PY4" s="27" t="s">
        <v>46</v>
      </c>
      <c r="PZ4" s="40">
        <f t="shared" ref="PZ4:PZ38" si="141">IF(SUM(PJ4,PN4)&gt;0,SUM(PJ4,PN4),"")</f>
        <v>16.100000000000001</v>
      </c>
      <c r="QA4" s="40">
        <f t="shared" ref="QA4:QA38" si="142">IF(SUM(PI4:PJ4,PL4:PN4,PP4)-PK4-PO4&gt;0,SUM(PI4:PJ4,PL4:PN4,PP4)-PK4-PO4,"")</f>
        <v>53.5</v>
      </c>
      <c r="QB4" s="40">
        <f t="shared" ref="QB4:QB38" si="143">IF(SUM(PR4,PV4)&gt;0,SUM(PR4,PV4),"")</f>
        <v>15</v>
      </c>
      <c r="QC4" s="40">
        <f t="shared" ref="QC4:QC38" si="144">IF(SUM(PQ4:PR4,PT4:PV4,PX4)-SUM(PS4,PW4)&gt;0,SUM(PQ4:PR4,PT4:PV4,PX4)-SUM(PS4,PW4),"")</f>
        <v>50.949999999999996</v>
      </c>
      <c r="QD4" s="40">
        <f t="shared" ref="QD4:QD38" si="145">IF(SUM(QA4,QC4)&gt;0,SUM(QA4,QC4),"")</f>
        <v>104.44999999999999</v>
      </c>
    </row>
    <row r="5" spans="1:446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123</v>
      </c>
      <c r="D5" s="4" t="s">
        <v>4</v>
      </c>
      <c r="E5" s="4">
        <v>2007</v>
      </c>
      <c r="F5" s="9">
        <f t="shared" si="0"/>
        <v>160.90001063000528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IF(COUNT(AM5,BI5,CE5)&gt;0,LARGE((AM5,BI5,CE5),1),0)</f>
        <v>53.2</v>
      </c>
      <c r="M5" s="8" t="str">
        <f t="shared" si="5"/>
        <v>2025 3rd Domestic Trial</v>
      </c>
      <c r="N5" s="8">
        <f>IF(COUNT(AM5,BI5,CE5)&gt;1,LARGE((AM5,BI5,CE5),2),0)</f>
        <v>53.099999999999994</v>
      </c>
      <c r="O5" s="8" t="str">
        <f t="shared" si="6"/>
        <v>2025 Nationals</v>
      </c>
      <c r="P5" s="8">
        <f t="shared" si="7"/>
        <v>54.599999999999994</v>
      </c>
      <c r="Q5" s="8" t="str">
        <f t="shared" si="8"/>
        <v>2025 3rd Domestic Trial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18.600000000000001</v>
      </c>
      <c r="V5" s="19">
        <v>8.4</v>
      </c>
      <c r="W5" s="19">
        <v>0</v>
      </c>
      <c r="X5" s="19">
        <v>0</v>
      </c>
      <c r="Y5" s="19">
        <v>18.2</v>
      </c>
      <c r="Z5" s="19">
        <v>7.7</v>
      </c>
      <c r="AA5" s="19">
        <v>0.2</v>
      </c>
      <c r="AB5" s="19">
        <v>0</v>
      </c>
      <c r="AC5" s="19">
        <v>18.600000000000001</v>
      </c>
      <c r="AD5" s="19">
        <v>8.4</v>
      </c>
      <c r="AE5" s="19">
        <v>0.6</v>
      </c>
      <c r="AF5" s="19">
        <v>0</v>
      </c>
      <c r="AG5" s="19">
        <v>18.2</v>
      </c>
      <c r="AH5" s="19">
        <v>7.7</v>
      </c>
      <c r="AI5" s="19">
        <v>0.2</v>
      </c>
      <c r="AJ5" s="19">
        <v>0</v>
      </c>
      <c r="AK5" s="27"/>
      <c r="AL5" s="40">
        <f t="shared" si="12"/>
        <v>16.100000000000001</v>
      </c>
      <c r="AM5" s="40">
        <f t="shared" si="13"/>
        <v>52.7</v>
      </c>
      <c r="AN5" s="40">
        <f t="shared" si="14"/>
        <v>16.100000000000001</v>
      </c>
      <c r="AO5" s="40">
        <f t="shared" si="15"/>
        <v>52.100000000000009</v>
      </c>
      <c r="AP5" s="40">
        <f t="shared" si="16"/>
        <v>104.80000000000001</v>
      </c>
      <c r="AQ5" s="18">
        <v>19</v>
      </c>
      <c r="AR5" s="18">
        <v>8.4</v>
      </c>
      <c r="AS5" s="18">
        <v>0.2</v>
      </c>
      <c r="AT5" s="18">
        <v>0</v>
      </c>
      <c r="AU5" s="18">
        <v>18.2</v>
      </c>
      <c r="AV5" s="18">
        <v>7.7</v>
      </c>
      <c r="AW5" s="18">
        <v>0</v>
      </c>
      <c r="AX5" s="18">
        <v>0</v>
      </c>
      <c r="AY5" s="18">
        <v>18.7</v>
      </c>
      <c r="AZ5" s="18">
        <v>8.4</v>
      </c>
      <c r="BA5" s="18">
        <v>0.8</v>
      </c>
      <c r="BB5" s="18">
        <v>0</v>
      </c>
      <c r="BC5" s="18">
        <v>18.5</v>
      </c>
      <c r="BD5" s="18">
        <v>7.7</v>
      </c>
      <c r="BE5" s="18">
        <v>0.2</v>
      </c>
      <c r="BF5" s="18">
        <v>0</v>
      </c>
      <c r="BG5" s="28"/>
      <c r="BH5" s="11">
        <f t="shared" si="17"/>
        <v>16.100000000000001</v>
      </c>
      <c r="BI5" s="11">
        <f t="shared" si="18"/>
        <v>53.099999999999994</v>
      </c>
      <c r="BJ5" s="11">
        <f t="shared" si="19"/>
        <v>16.100000000000001</v>
      </c>
      <c r="BK5" s="11">
        <f t="shared" si="20"/>
        <v>52.300000000000004</v>
      </c>
      <c r="BL5" s="11">
        <f t="shared" si="21"/>
        <v>105.4</v>
      </c>
      <c r="BM5" s="19">
        <v>19.100000000000001</v>
      </c>
      <c r="BN5" s="19">
        <v>8</v>
      </c>
      <c r="BO5" s="19">
        <v>0</v>
      </c>
      <c r="BP5" s="19">
        <v>0.3</v>
      </c>
      <c r="BQ5" s="19">
        <v>18.8</v>
      </c>
      <c r="BR5" s="19">
        <v>7.6</v>
      </c>
      <c r="BS5" s="19">
        <v>0.6</v>
      </c>
      <c r="BT5" s="19">
        <v>0</v>
      </c>
      <c r="BU5" s="19">
        <v>18.899999999999999</v>
      </c>
      <c r="BV5" s="19">
        <v>8</v>
      </c>
      <c r="BW5" s="19">
        <v>0.2</v>
      </c>
      <c r="BX5" s="19">
        <v>0.3</v>
      </c>
      <c r="BY5" s="19">
        <v>19.2</v>
      </c>
      <c r="BZ5" s="19">
        <v>8.4</v>
      </c>
      <c r="CA5" s="19">
        <v>0</v>
      </c>
      <c r="CB5" s="19">
        <v>0</v>
      </c>
      <c r="CC5" s="27"/>
      <c r="CD5" s="40">
        <f t="shared" si="22"/>
        <v>15.6</v>
      </c>
      <c r="CE5" s="40">
        <f t="shared" si="23"/>
        <v>53.2</v>
      </c>
      <c r="CF5" s="40">
        <f t="shared" si="24"/>
        <v>16.399999999999999</v>
      </c>
      <c r="CG5" s="40">
        <f t="shared" si="25"/>
        <v>54.599999999999994</v>
      </c>
      <c r="CH5" s="40">
        <f t="shared" si="26"/>
        <v>107.8</v>
      </c>
      <c r="CI5" s="50" t="str">
        <f t="shared" si="27"/>
        <v/>
      </c>
      <c r="CJ5" s="50" t="str">
        <f t="shared" si="28"/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 t="shared" si="29"/>
        <v/>
      </c>
      <c r="DF5" s="40" t="str">
        <f t="shared" si="30"/>
        <v/>
      </c>
      <c r="DG5" s="40" t="str">
        <f t="shared" si="31"/>
        <v/>
      </c>
      <c r="DH5" s="40" t="str">
        <f t="shared" si="32"/>
        <v/>
      </c>
      <c r="DI5" s="40" t="str">
        <f t="shared" si="33"/>
        <v/>
      </c>
      <c r="DJ5" s="40" t="str">
        <f t="shared" si="34"/>
        <v/>
      </c>
      <c r="DK5" s="40" t="str">
        <f t="shared" si="35"/>
        <v/>
      </c>
      <c r="DL5" s="40" t="str">
        <f t="shared" si="36"/>
        <v/>
      </c>
      <c r="DM5" s="18">
        <v>18.399999999999999</v>
      </c>
      <c r="DN5" s="18">
        <v>5.2</v>
      </c>
      <c r="DO5" s="18">
        <v>0.6</v>
      </c>
      <c r="DP5" s="18">
        <v>0</v>
      </c>
      <c r="DQ5" s="18">
        <v>19</v>
      </c>
      <c r="DR5" s="18">
        <v>8.4</v>
      </c>
      <c r="DS5" s="18">
        <v>0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 t="shared" si="37"/>
        <v>13.600000000000001</v>
      </c>
      <c r="EH5" s="11">
        <f t="shared" si="38"/>
        <v>50.399999999999991</v>
      </c>
      <c r="EI5" s="11" t="str">
        <f t="shared" si="39"/>
        <v/>
      </c>
      <c r="EJ5" s="11">
        <f t="shared" si="40"/>
        <v>13.600000000000001</v>
      </c>
      <c r="EK5" s="11">
        <f t="shared" si="41"/>
        <v>50.399999999999991</v>
      </c>
      <c r="EL5" s="11" t="str">
        <f t="shared" si="42"/>
        <v/>
      </c>
      <c r="EM5" s="11" t="str">
        <f t="shared" si="43"/>
        <v/>
      </c>
      <c r="EN5" s="11">
        <f t="shared" si="44"/>
        <v>50.399999999999991</v>
      </c>
      <c r="EO5" s="17">
        <v>15.5</v>
      </c>
      <c r="EP5" s="17">
        <v>4</v>
      </c>
      <c r="EQ5" s="17">
        <v>0</v>
      </c>
      <c r="ER5" s="17">
        <v>0</v>
      </c>
      <c r="ES5" s="17">
        <v>18</v>
      </c>
      <c r="ET5" s="17">
        <v>9.5</v>
      </c>
      <c r="EU5" s="17">
        <v>0.8</v>
      </c>
      <c r="EV5" s="17">
        <v>0</v>
      </c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>
        <f t="shared" si="45"/>
        <v>13.5</v>
      </c>
      <c r="FJ5" s="40">
        <f t="shared" si="46"/>
        <v>46.2</v>
      </c>
      <c r="FK5" s="40" t="str">
        <f t="shared" si="47"/>
        <v/>
      </c>
      <c r="FL5" s="40">
        <f t="shared" si="48"/>
        <v>13.5</v>
      </c>
      <c r="FM5" s="40">
        <f t="shared" si="49"/>
        <v>46.2</v>
      </c>
      <c r="FN5" s="40" t="str">
        <f t="shared" si="50"/>
        <v/>
      </c>
      <c r="FO5" s="40" t="str">
        <f t="shared" si="51"/>
        <v/>
      </c>
      <c r="FP5" s="40">
        <f t="shared" si="52"/>
        <v>46.2</v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 t="shared" si="53"/>
        <v/>
      </c>
      <c r="GL5" s="11" t="str">
        <f t="shared" si="54"/>
        <v/>
      </c>
      <c r="GM5" s="11" t="str">
        <f t="shared" si="55"/>
        <v/>
      </c>
      <c r="GN5" s="11" t="str">
        <f t="shared" si="56"/>
        <v/>
      </c>
      <c r="GO5" s="11" t="str">
        <f t="shared" si="57"/>
        <v/>
      </c>
      <c r="GP5" s="11" t="str">
        <f t="shared" si="58"/>
        <v/>
      </c>
      <c r="GQ5" s="11" t="str">
        <f t="shared" si="59"/>
        <v/>
      </c>
      <c r="GR5" s="11" t="str">
        <f t="shared" si="60"/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 t="shared" si="61"/>
        <v/>
      </c>
      <c r="HN5" s="40" t="str">
        <f t="shared" si="62"/>
        <v/>
      </c>
      <c r="HO5" s="40" t="str">
        <f t="shared" si="63"/>
        <v/>
      </c>
      <c r="HP5" s="40" t="str">
        <f t="shared" si="64"/>
        <v/>
      </c>
      <c r="HQ5" s="40" t="str">
        <f t="shared" si="65"/>
        <v/>
      </c>
      <c r="HR5" s="40" t="str">
        <f t="shared" si="66"/>
        <v/>
      </c>
      <c r="HS5" s="40" t="str">
        <f t="shared" si="67"/>
        <v/>
      </c>
      <c r="HT5" s="40" t="str">
        <f t="shared" si="68"/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 t="shared" si="69"/>
        <v/>
      </c>
      <c r="IP5" s="11" t="str">
        <f t="shared" si="70"/>
        <v/>
      </c>
      <c r="IQ5" s="11" t="str">
        <f t="shared" si="71"/>
        <v/>
      </c>
      <c r="IR5" s="11" t="str">
        <f t="shared" si="72"/>
        <v/>
      </c>
      <c r="IS5" s="11" t="str">
        <f t="shared" si="73"/>
        <v/>
      </c>
      <c r="IT5" s="11" t="str">
        <f t="shared" si="74"/>
        <v/>
      </c>
      <c r="IU5" s="11" t="str">
        <f t="shared" si="75"/>
        <v/>
      </c>
      <c r="IV5" s="11" t="str">
        <f t="shared" si="76"/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 t="shared" si="77"/>
        <v/>
      </c>
      <c r="JR5" s="40" t="str">
        <f t="shared" si="78"/>
        <v/>
      </c>
      <c r="JS5" s="40" t="str">
        <f t="shared" si="79"/>
        <v/>
      </c>
      <c r="JT5" s="40" t="str">
        <f t="shared" si="80"/>
        <v/>
      </c>
      <c r="JU5" s="40" t="str">
        <f t="shared" si="81"/>
        <v/>
      </c>
      <c r="JV5" s="40" t="str">
        <f t="shared" si="82"/>
        <v/>
      </c>
      <c r="JW5" s="40" t="str">
        <f t="shared" si="83"/>
        <v/>
      </c>
      <c r="JX5" s="40" t="str">
        <f t="shared" si="84"/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 t="shared" si="85"/>
        <v/>
      </c>
      <c r="KT5" s="11" t="str">
        <f t="shared" si="86"/>
        <v/>
      </c>
      <c r="KU5" s="11" t="str">
        <f t="shared" si="87"/>
        <v/>
      </c>
      <c r="KV5" s="11" t="str">
        <f t="shared" si="88"/>
        <v/>
      </c>
      <c r="KW5" s="11" t="str">
        <f t="shared" si="89"/>
        <v/>
      </c>
      <c r="KX5" s="11" t="str">
        <f t="shared" si="90"/>
        <v/>
      </c>
      <c r="KY5" s="11" t="str">
        <f t="shared" si="91"/>
        <v/>
      </c>
      <c r="KZ5" s="11" t="str">
        <f t="shared" si="92"/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 t="shared" si="93"/>
        <v/>
      </c>
      <c r="LV5" s="40" t="str">
        <f t="shared" si="94"/>
        <v/>
      </c>
      <c r="LW5" s="40" t="str">
        <f t="shared" si="95"/>
        <v/>
      </c>
      <c r="LX5" s="40" t="str">
        <f t="shared" si="96"/>
        <v/>
      </c>
      <c r="LY5" s="40" t="str">
        <f t="shared" si="97"/>
        <v/>
      </c>
      <c r="LZ5" s="40" t="str">
        <f t="shared" si="98"/>
        <v/>
      </c>
      <c r="MA5" s="40" t="str">
        <f t="shared" si="99"/>
        <v/>
      </c>
      <c r="MB5" s="40" t="str">
        <f t="shared" si="100"/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 t="shared" si="101"/>
        <v/>
      </c>
      <c r="MX5" s="11" t="str">
        <f t="shared" si="102"/>
        <v/>
      </c>
      <c r="MY5" s="11" t="str">
        <f t="shared" si="103"/>
        <v/>
      </c>
      <c r="MZ5" s="11" t="str">
        <f t="shared" si="104"/>
        <v/>
      </c>
      <c r="NA5" s="11" t="str">
        <f t="shared" si="105"/>
        <v/>
      </c>
      <c r="NB5" s="11" t="str">
        <f t="shared" si="106"/>
        <v/>
      </c>
      <c r="NC5" s="11" t="str">
        <f t="shared" si="107"/>
        <v/>
      </c>
      <c r="ND5" s="11" t="str">
        <f t="shared" si="108"/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 t="shared" si="109"/>
        <v/>
      </c>
      <c r="NZ5" s="40" t="str">
        <f t="shared" si="110"/>
        <v/>
      </c>
      <c r="OA5" s="40" t="str">
        <f t="shared" si="111"/>
        <v/>
      </c>
      <c r="OB5" s="40" t="str">
        <f t="shared" si="112"/>
        <v/>
      </c>
      <c r="OC5" s="40" t="str">
        <f t="shared" si="113"/>
        <v/>
      </c>
      <c r="OD5" s="40" t="str">
        <f t="shared" si="114"/>
        <v/>
      </c>
      <c r="OE5" s="40" t="str">
        <f t="shared" si="115"/>
        <v/>
      </c>
      <c r="OF5" s="40" t="str">
        <f t="shared" si="116"/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 t="shared" si="117"/>
        <v/>
      </c>
      <c r="PB5" s="11" t="str">
        <f t="shared" si="118"/>
        <v/>
      </c>
      <c r="PC5" s="11" t="str">
        <f t="shared" si="119"/>
        <v/>
      </c>
      <c r="PD5" s="11" t="str">
        <f t="shared" si="120"/>
        <v/>
      </c>
      <c r="PE5" s="11" t="str">
        <f t="shared" si="121"/>
        <v/>
      </c>
      <c r="PF5" s="11" t="str">
        <f t="shared" si="122"/>
        <v/>
      </c>
      <c r="PG5" s="11" t="str">
        <f t="shared" si="123"/>
        <v/>
      </c>
      <c r="PH5" s="11" t="str">
        <f t="shared" si="124"/>
        <v/>
      </c>
      <c r="PI5" s="22">
        <f t="shared" si="125"/>
        <v>19.05</v>
      </c>
      <c r="PJ5" s="22">
        <f t="shared" si="126"/>
        <v>8.1999999999999993</v>
      </c>
      <c r="PK5" s="22">
        <f t="shared" si="127"/>
        <v>0.1</v>
      </c>
      <c r="PL5" s="22">
        <f t="shared" si="128"/>
        <v>0.15</v>
      </c>
      <c r="PM5" s="22">
        <f t="shared" si="129"/>
        <v>18.5</v>
      </c>
      <c r="PN5" s="22">
        <f t="shared" si="130"/>
        <v>7.65</v>
      </c>
      <c r="PO5" s="22">
        <f t="shared" si="131"/>
        <v>0.3</v>
      </c>
      <c r="PP5" s="22">
        <f t="shared" si="132"/>
        <v>0</v>
      </c>
      <c r="PQ5" s="22">
        <f t="shared" si="133"/>
        <v>18.799999999999997</v>
      </c>
      <c r="PR5" s="22">
        <f t="shared" si="134"/>
        <v>8.1999999999999993</v>
      </c>
      <c r="PS5" s="22">
        <f t="shared" si="135"/>
        <v>0.5</v>
      </c>
      <c r="PT5" s="22">
        <f t="shared" si="136"/>
        <v>0.15</v>
      </c>
      <c r="PU5" s="22">
        <f t="shared" si="137"/>
        <v>18.850000000000001</v>
      </c>
      <c r="PV5" s="22">
        <f t="shared" si="138"/>
        <v>8.0500000000000007</v>
      </c>
      <c r="PW5" s="22">
        <f t="shared" si="139"/>
        <v>0.1</v>
      </c>
      <c r="PX5" s="22">
        <f t="shared" si="140"/>
        <v>0</v>
      </c>
      <c r="PY5" s="27" t="s">
        <v>46</v>
      </c>
      <c r="PZ5" s="40">
        <f t="shared" si="141"/>
        <v>15.85</v>
      </c>
      <c r="QA5" s="40">
        <f t="shared" si="142"/>
        <v>53.15</v>
      </c>
      <c r="QB5" s="40">
        <f t="shared" si="143"/>
        <v>16.25</v>
      </c>
      <c r="QC5" s="40">
        <f t="shared" si="144"/>
        <v>53.449999999999996</v>
      </c>
      <c r="QD5" s="40">
        <f t="shared" si="145"/>
        <v>106.6</v>
      </c>
    </row>
    <row r="6" spans="1:446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t="str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/>
      </c>
      <c r="C6" s="5" t="s">
        <v>90</v>
      </c>
      <c r="D6" s="4" t="s">
        <v>5</v>
      </c>
      <c r="E6" s="4">
        <v>2005</v>
      </c>
      <c r="F6" s="9">
        <f t="shared" si="0"/>
        <v>160.50001030000527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IF(COUNT(AM6,BI6,CE6)&gt;0,LARGE((AM6,BI6,CE6),1),0)</f>
        <v>52.600000000000009</v>
      </c>
      <c r="M6" s="8" t="str">
        <f t="shared" si="5"/>
        <v>2025 Elite Canada</v>
      </c>
      <c r="N6" s="8">
        <f>IF(COUNT(AM6,BI6,CE6)&gt;1,LARGE((AM6,BI6,CE6),2),0)</f>
        <v>50.400000000000006</v>
      </c>
      <c r="O6" s="8" t="str">
        <f t="shared" si="6"/>
        <v>2025 Nationals</v>
      </c>
      <c r="P6" s="8">
        <f t="shared" si="7"/>
        <v>54</v>
      </c>
      <c r="Q6" s="8" t="str">
        <f t="shared" si="8"/>
        <v>2025 Elite Canada</v>
      </c>
      <c r="R6" s="8">
        <f t="shared" si="9"/>
        <v>3.4999999999999858</v>
      </c>
      <c r="S6" s="11" t="str">
        <f t="shared" si="10"/>
        <v>(Q1)</v>
      </c>
      <c r="T6" s="8" t="str">
        <f t="shared" si="11"/>
        <v>2025 World Cup POR (July 6)</v>
      </c>
      <c r="U6" s="19">
        <v>18.2</v>
      </c>
      <c r="V6" s="19">
        <v>8.4</v>
      </c>
      <c r="W6" s="19">
        <v>0.8</v>
      </c>
      <c r="X6" s="19">
        <v>0.3</v>
      </c>
      <c r="Y6" s="19">
        <v>18.5</v>
      </c>
      <c r="Z6" s="19">
        <v>8</v>
      </c>
      <c r="AA6" s="19">
        <v>0</v>
      </c>
      <c r="AB6" s="19">
        <v>0</v>
      </c>
      <c r="AC6" s="19">
        <v>18.100000000000001</v>
      </c>
      <c r="AD6" s="19">
        <v>8.5</v>
      </c>
      <c r="AE6" s="19">
        <v>0.2</v>
      </c>
      <c r="AF6" s="19">
        <v>0.3</v>
      </c>
      <c r="AG6" s="19">
        <v>18.8</v>
      </c>
      <c r="AH6" s="19">
        <v>8.8000000000000007</v>
      </c>
      <c r="AI6" s="19">
        <v>0.6</v>
      </c>
      <c r="AJ6" s="19">
        <v>0.3</v>
      </c>
      <c r="AK6" s="27"/>
      <c r="AL6" s="40">
        <f t="shared" si="12"/>
        <v>16.399999999999999</v>
      </c>
      <c r="AM6" s="40">
        <f t="shared" si="13"/>
        <v>52.600000000000009</v>
      </c>
      <c r="AN6" s="40">
        <f t="shared" si="14"/>
        <v>17.3</v>
      </c>
      <c r="AO6" s="40">
        <f t="shared" si="15"/>
        <v>54</v>
      </c>
      <c r="AP6" s="40">
        <f t="shared" si="16"/>
        <v>106.60000000000001</v>
      </c>
      <c r="AQ6" s="18">
        <v>18.2</v>
      </c>
      <c r="AR6" s="18">
        <v>8.5</v>
      </c>
      <c r="AS6" s="18">
        <v>0.8</v>
      </c>
      <c r="AT6" s="18">
        <v>0.3</v>
      </c>
      <c r="AU6" s="18">
        <v>18.2</v>
      </c>
      <c r="AV6" s="18">
        <v>6.4</v>
      </c>
      <c r="AW6" s="18">
        <v>0.4</v>
      </c>
      <c r="AX6" s="18">
        <v>0</v>
      </c>
      <c r="AY6" s="18">
        <v>0</v>
      </c>
      <c r="AZ6" s="18">
        <v>0</v>
      </c>
      <c r="BA6" s="18">
        <v>0</v>
      </c>
      <c r="BB6" s="18">
        <v>0</v>
      </c>
      <c r="BC6" s="18">
        <v>18.100000000000001</v>
      </c>
      <c r="BD6" s="18">
        <v>7.6</v>
      </c>
      <c r="BE6" s="18">
        <v>0</v>
      </c>
      <c r="BF6" s="18">
        <v>0</v>
      </c>
      <c r="BG6" s="28"/>
      <c r="BH6" s="11">
        <f t="shared" si="17"/>
        <v>14.9</v>
      </c>
      <c r="BI6" s="11">
        <f t="shared" si="18"/>
        <v>50.400000000000006</v>
      </c>
      <c r="BJ6" s="11">
        <f t="shared" si="19"/>
        <v>7.6</v>
      </c>
      <c r="BK6" s="11">
        <f t="shared" si="20"/>
        <v>25.700000000000003</v>
      </c>
      <c r="BL6" s="11">
        <f t="shared" si="21"/>
        <v>76.100000000000009</v>
      </c>
      <c r="BM6" s="19">
        <v>18.5</v>
      </c>
      <c r="BN6" s="19">
        <v>6.4</v>
      </c>
      <c r="BO6" s="19">
        <v>1.4</v>
      </c>
      <c r="BP6" s="19">
        <v>0</v>
      </c>
      <c r="BQ6" s="19">
        <v>15.4</v>
      </c>
      <c r="BR6" s="19">
        <v>3.2</v>
      </c>
      <c r="BS6" s="19">
        <v>0</v>
      </c>
      <c r="BT6" s="19">
        <v>0</v>
      </c>
      <c r="BU6" s="19"/>
      <c r="BV6" s="19"/>
      <c r="BW6" s="19"/>
      <c r="BX6" s="19"/>
      <c r="BY6" s="19"/>
      <c r="BZ6" s="19"/>
      <c r="CA6" s="19"/>
      <c r="CB6" s="19"/>
      <c r="CC6" s="27"/>
      <c r="CD6" s="40">
        <f t="shared" si="22"/>
        <v>9.6000000000000014</v>
      </c>
      <c r="CE6" s="40">
        <f t="shared" si="23"/>
        <v>42.1</v>
      </c>
      <c r="CF6" s="40" t="str">
        <f t="shared" si="24"/>
        <v/>
      </c>
      <c r="CG6" s="40" t="str">
        <f t="shared" si="25"/>
        <v/>
      </c>
      <c r="CH6" s="40">
        <f t="shared" si="26"/>
        <v>42.1</v>
      </c>
      <c r="CI6" s="50">
        <f t="shared" si="27"/>
        <v>3.4999999999999858</v>
      </c>
      <c r="CJ6" s="50" t="str">
        <f t="shared" si="28"/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 t="shared" si="29"/>
        <v/>
      </c>
      <c r="DF6" s="40" t="str">
        <f t="shared" si="30"/>
        <v/>
      </c>
      <c r="DG6" s="40" t="str">
        <f t="shared" si="31"/>
        <v/>
      </c>
      <c r="DH6" s="40" t="str">
        <f t="shared" si="32"/>
        <v/>
      </c>
      <c r="DI6" s="40" t="str">
        <f t="shared" si="33"/>
        <v/>
      </c>
      <c r="DJ6" s="40" t="str">
        <f t="shared" si="34"/>
        <v/>
      </c>
      <c r="DK6" s="40" t="str">
        <f t="shared" si="35"/>
        <v/>
      </c>
      <c r="DL6" s="40" t="str">
        <f t="shared" si="36"/>
        <v/>
      </c>
      <c r="DM6" s="18">
        <v>18.399999999999999</v>
      </c>
      <c r="DN6" s="18">
        <v>8.8000000000000007</v>
      </c>
      <c r="DO6" s="18">
        <v>0.6</v>
      </c>
      <c r="DP6" s="18">
        <v>0</v>
      </c>
      <c r="DQ6" s="18">
        <v>18.899999999999999</v>
      </c>
      <c r="DR6" s="18">
        <v>8.4</v>
      </c>
      <c r="DS6" s="18">
        <v>0</v>
      </c>
      <c r="DT6" s="18">
        <v>0</v>
      </c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>
        <f t="shared" si="37"/>
        <v>17.200000000000003</v>
      </c>
      <c r="EH6" s="11">
        <f t="shared" si="38"/>
        <v>53.899999999999991</v>
      </c>
      <c r="EI6" s="11" t="str">
        <f t="shared" si="39"/>
        <v/>
      </c>
      <c r="EJ6" s="11">
        <f t="shared" si="40"/>
        <v>17.200000000000003</v>
      </c>
      <c r="EK6" s="11">
        <f t="shared" si="41"/>
        <v>53.899999999999991</v>
      </c>
      <c r="EL6" s="11" t="str">
        <f t="shared" si="42"/>
        <v/>
      </c>
      <c r="EM6" s="11" t="str">
        <f t="shared" si="43"/>
        <v/>
      </c>
      <c r="EN6" s="11">
        <f t="shared" si="44"/>
        <v>53.899999999999991</v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 t="shared" si="45"/>
        <v/>
      </c>
      <c r="FJ6" s="40" t="str">
        <f t="shared" si="46"/>
        <v/>
      </c>
      <c r="FK6" s="40" t="str">
        <f t="shared" si="47"/>
        <v/>
      </c>
      <c r="FL6" s="40" t="str">
        <f t="shared" si="48"/>
        <v/>
      </c>
      <c r="FM6" s="40" t="str">
        <f t="shared" si="49"/>
        <v/>
      </c>
      <c r="FN6" s="40" t="str">
        <f t="shared" si="50"/>
        <v/>
      </c>
      <c r="FO6" s="40" t="str">
        <f t="shared" si="51"/>
        <v/>
      </c>
      <c r="FP6" s="40" t="str">
        <f t="shared" si="52"/>
        <v/>
      </c>
      <c r="FQ6" s="18">
        <v>18.600000000000001</v>
      </c>
      <c r="FR6" s="18">
        <v>8</v>
      </c>
      <c r="FS6" s="18">
        <v>0.6</v>
      </c>
      <c r="FT6" s="18">
        <v>0</v>
      </c>
      <c r="FU6" s="18">
        <v>17.7</v>
      </c>
      <c r="FV6" s="18">
        <v>8</v>
      </c>
      <c r="FW6" s="18">
        <v>0.2</v>
      </c>
      <c r="FX6" s="18">
        <v>0</v>
      </c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>
        <f t="shared" si="53"/>
        <v>16</v>
      </c>
      <c r="GL6" s="11">
        <f t="shared" si="54"/>
        <v>51.499999999999993</v>
      </c>
      <c r="GM6" s="11" t="str">
        <f t="shared" si="55"/>
        <v/>
      </c>
      <c r="GN6" s="11">
        <f t="shared" si="56"/>
        <v>16</v>
      </c>
      <c r="GO6" s="11">
        <f t="shared" si="57"/>
        <v>51.499999999999993</v>
      </c>
      <c r="GP6" s="11" t="str">
        <f t="shared" si="58"/>
        <v/>
      </c>
      <c r="GQ6" s="11" t="str">
        <f t="shared" si="59"/>
        <v/>
      </c>
      <c r="GR6" s="11">
        <f t="shared" si="60"/>
        <v>51.499999999999993</v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 t="shared" si="61"/>
        <v/>
      </c>
      <c r="HN6" s="40" t="str">
        <f t="shared" si="62"/>
        <v/>
      </c>
      <c r="HO6" s="40" t="str">
        <f t="shared" si="63"/>
        <v/>
      </c>
      <c r="HP6" s="40" t="str">
        <f t="shared" si="64"/>
        <v/>
      </c>
      <c r="HQ6" s="40" t="str">
        <f t="shared" si="65"/>
        <v/>
      </c>
      <c r="HR6" s="40" t="str">
        <f t="shared" si="66"/>
        <v/>
      </c>
      <c r="HS6" s="40" t="str">
        <f t="shared" si="67"/>
        <v/>
      </c>
      <c r="HT6" s="40" t="str">
        <f t="shared" si="68"/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 t="shared" si="69"/>
        <v/>
      </c>
      <c r="IP6" s="11" t="str">
        <f t="shared" si="70"/>
        <v/>
      </c>
      <c r="IQ6" s="11" t="str">
        <f t="shared" si="71"/>
        <v/>
      </c>
      <c r="IR6" s="11" t="str">
        <f t="shared" si="72"/>
        <v/>
      </c>
      <c r="IS6" s="11" t="str">
        <f t="shared" si="73"/>
        <v/>
      </c>
      <c r="IT6" s="11" t="str">
        <f t="shared" si="74"/>
        <v/>
      </c>
      <c r="IU6" s="11" t="str">
        <f t="shared" si="75"/>
        <v/>
      </c>
      <c r="IV6" s="11" t="str">
        <f t="shared" si="76"/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 t="shared" si="77"/>
        <v/>
      </c>
      <c r="JR6" s="40" t="str">
        <f t="shared" si="78"/>
        <v/>
      </c>
      <c r="JS6" s="40" t="str">
        <f t="shared" si="79"/>
        <v/>
      </c>
      <c r="JT6" s="40" t="str">
        <f t="shared" si="80"/>
        <v/>
      </c>
      <c r="JU6" s="40" t="str">
        <f t="shared" si="81"/>
        <v/>
      </c>
      <c r="JV6" s="40" t="str">
        <f t="shared" si="82"/>
        <v/>
      </c>
      <c r="JW6" s="40" t="str">
        <f t="shared" si="83"/>
        <v/>
      </c>
      <c r="JX6" s="40" t="str">
        <f t="shared" si="84"/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 t="shared" si="85"/>
        <v/>
      </c>
      <c r="KT6" s="11" t="str">
        <f t="shared" si="86"/>
        <v/>
      </c>
      <c r="KU6" s="11" t="str">
        <f t="shared" si="87"/>
        <v/>
      </c>
      <c r="KV6" s="11" t="str">
        <f t="shared" si="88"/>
        <v/>
      </c>
      <c r="KW6" s="11" t="str">
        <f t="shared" si="89"/>
        <v/>
      </c>
      <c r="KX6" s="11" t="str">
        <f t="shared" si="90"/>
        <v/>
      </c>
      <c r="KY6" s="11" t="str">
        <f t="shared" si="91"/>
        <v/>
      </c>
      <c r="KZ6" s="11" t="str">
        <f t="shared" si="92"/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 t="shared" si="93"/>
        <v/>
      </c>
      <c r="LV6" s="40" t="str">
        <f t="shared" si="94"/>
        <v/>
      </c>
      <c r="LW6" s="40" t="str">
        <f t="shared" si="95"/>
        <v/>
      </c>
      <c r="LX6" s="40" t="str">
        <f t="shared" si="96"/>
        <v/>
      </c>
      <c r="LY6" s="40" t="str">
        <f t="shared" si="97"/>
        <v/>
      </c>
      <c r="LZ6" s="40" t="str">
        <f t="shared" si="98"/>
        <v/>
      </c>
      <c r="MA6" s="40" t="str">
        <f t="shared" si="99"/>
        <v/>
      </c>
      <c r="MB6" s="40" t="str">
        <f t="shared" si="100"/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 t="shared" si="101"/>
        <v/>
      </c>
      <c r="MX6" s="11" t="str">
        <f t="shared" si="102"/>
        <v/>
      </c>
      <c r="MY6" s="11" t="str">
        <f t="shared" si="103"/>
        <v/>
      </c>
      <c r="MZ6" s="11" t="str">
        <f t="shared" si="104"/>
        <v/>
      </c>
      <c r="NA6" s="11" t="str">
        <f t="shared" si="105"/>
        <v/>
      </c>
      <c r="NB6" s="11" t="str">
        <f t="shared" si="106"/>
        <v/>
      </c>
      <c r="NC6" s="11" t="str">
        <f t="shared" si="107"/>
        <v/>
      </c>
      <c r="ND6" s="11" t="str">
        <f t="shared" si="108"/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 t="shared" si="109"/>
        <v/>
      </c>
      <c r="NZ6" s="40" t="str">
        <f t="shared" si="110"/>
        <v/>
      </c>
      <c r="OA6" s="40" t="str">
        <f t="shared" si="111"/>
        <v/>
      </c>
      <c r="OB6" s="40" t="str">
        <f t="shared" si="112"/>
        <v/>
      </c>
      <c r="OC6" s="40" t="str">
        <f t="shared" si="113"/>
        <v/>
      </c>
      <c r="OD6" s="40" t="str">
        <f t="shared" si="114"/>
        <v/>
      </c>
      <c r="OE6" s="40" t="str">
        <f t="shared" si="115"/>
        <v/>
      </c>
      <c r="OF6" s="40" t="str">
        <f t="shared" si="116"/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 t="shared" si="117"/>
        <v/>
      </c>
      <c r="PB6" s="11" t="str">
        <f t="shared" si="118"/>
        <v/>
      </c>
      <c r="PC6" s="11" t="str">
        <f t="shared" si="119"/>
        <v/>
      </c>
      <c r="PD6" s="11" t="str">
        <f t="shared" si="120"/>
        <v/>
      </c>
      <c r="PE6" s="11" t="str">
        <f t="shared" si="121"/>
        <v/>
      </c>
      <c r="PF6" s="11" t="str">
        <f t="shared" si="122"/>
        <v/>
      </c>
      <c r="PG6" s="11" t="str">
        <f t="shared" si="123"/>
        <v/>
      </c>
      <c r="PH6" s="11" t="str">
        <f t="shared" si="124"/>
        <v/>
      </c>
      <c r="PI6" s="22">
        <f t="shared" si="125"/>
        <v>18.350000000000001</v>
      </c>
      <c r="PJ6" s="22">
        <f t="shared" si="126"/>
        <v>7.45</v>
      </c>
      <c r="PK6" s="22">
        <f t="shared" si="127"/>
        <v>1.1000000000000001</v>
      </c>
      <c r="PL6" s="22">
        <f t="shared" si="128"/>
        <v>0.15</v>
      </c>
      <c r="PM6" s="22">
        <f t="shared" si="129"/>
        <v>16.8</v>
      </c>
      <c r="PN6" s="22">
        <f t="shared" si="130"/>
        <v>4.8000000000000007</v>
      </c>
      <c r="PO6" s="22">
        <f t="shared" si="131"/>
        <v>0.2</v>
      </c>
      <c r="PP6" s="22">
        <f t="shared" si="132"/>
        <v>0</v>
      </c>
      <c r="PQ6" s="22">
        <f t="shared" si="133"/>
        <v>0</v>
      </c>
      <c r="PR6" s="22">
        <f t="shared" si="134"/>
        <v>0</v>
      </c>
      <c r="PS6" s="22">
        <f t="shared" si="135"/>
        <v>0</v>
      </c>
      <c r="PT6" s="22">
        <f t="shared" si="136"/>
        <v>0</v>
      </c>
      <c r="PU6" s="22">
        <f t="shared" si="137"/>
        <v>9.0500000000000007</v>
      </c>
      <c r="PV6" s="22">
        <f t="shared" si="138"/>
        <v>3.8</v>
      </c>
      <c r="PW6" s="22">
        <f t="shared" si="139"/>
        <v>0</v>
      </c>
      <c r="PX6" s="22">
        <f t="shared" si="140"/>
        <v>0</v>
      </c>
      <c r="PY6" s="27" t="s">
        <v>46</v>
      </c>
      <c r="PZ6" s="40">
        <f t="shared" si="141"/>
        <v>12.25</v>
      </c>
      <c r="QA6" s="40">
        <f t="shared" si="142"/>
        <v>46.249999999999993</v>
      </c>
      <c r="QB6" s="40">
        <f t="shared" si="143"/>
        <v>3.8</v>
      </c>
      <c r="QC6" s="40">
        <f t="shared" si="144"/>
        <v>12.850000000000001</v>
      </c>
      <c r="QD6" s="40">
        <f t="shared" si="145"/>
        <v>59.099999999999994</v>
      </c>
    </row>
    <row r="7" spans="1:446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t="str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/>
      </c>
      <c r="C7" s="5" t="s">
        <v>91</v>
      </c>
      <c r="D7" s="4" t="s">
        <v>4</v>
      </c>
      <c r="E7" s="4">
        <v>2005</v>
      </c>
      <c r="F7" s="9">
        <f t="shared" si="0"/>
        <v>155.20001027000521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IF(COUNT(AM7,BI7,CE7)&gt;0,LARGE((AM7,BI7,CE7),1),0)</f>
        <v>52.199999999999996</v>
      </c>
      <c r="M7" s="8" t="str">
        <f t="shared" si="5"/>
        <v>2025 Nationals</v>
      </c>
      <c r="N7" s="8">
        <f>IF(COUNT(AM7,BI7,CE7)&gt;1,LARGE((AM7,BI7,CE7),2),0)</f>
        <v>50.500000000000007</v>
      </c>
      <c r="O7" s="8" t="str">
        <f t="shared" si="6"/>
        <v>2025 3rd Domestic Trial</v>
      </c>
      <c r="P7" s="8">
        <f t="shared" si="7"/>
        <v>52.5</v>
      </c>
      <c r="Q7" s="8" t="str">
        <f t="shared" si="8"/>
        <v>2025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27"/>
      <c r="AL7" s="40" t="str">
        <f t="shared" si="12"/>
        <v/>
      </c>
      <c r="AM7" s="40" t="str">
        <f t="shared" si="13"/>
        <v/>
      </c>
      <c r="AN7" s="40" t="str">
        <f t="shared" si="14"/>
        <v/>
      </c>
      <c r="AO7" s="40" t="str">
        <f t="shared" si="15"/>
        <v/>
      </c>
      <c r="AP7" s="40" t="str">
        <f t="shared" si="16"/>
        <v/>
      </c>
      <c r="AQ7" s="18">
        <v>18.8</v>
      </c>
      <c r="AR7" s="18">
        <v>8.4</v>
      </c>
      <c r="AS7" s="18">
        <v>0</v>
      </c>
      <c r="AT7" s="18">
        <v>0</v>
      </c>
      <c r="AU7" s="18">
        <v>16.8</v>
      </c>
      <c r="AV7" s="18">
        <v>8.1</v>
      </c>
      <c r="AW7" s="18">
        <v>0.2</v>
      </c>
      <c r="AX7" s="18">
        <v>0.3</v>
      </c>
      <c r="AY7" s="18">
        <v>16.3</v>
      </c>
      <c r="AZ7" s="18">
        <v>7.6</v>
      </c>
      <c r="BA7" s="18">
        <v>1</v>
      </c>
      <c r="BB7" s="18">
        <v>0</v>
      </c>
      <c r="BC7" s="18">
        <v>18.399999999999999</v>
      </c>
      <c r="BD7" s="18">
        <v>8.1</v>
      </c>
      <c r="BE7" s="18">
        <v>0.2</v>
      </c>
      <c r="BF7" s="18">
        <v>0.3</v>
      </c>
      <c r="BG7" s="28"/>
      <c r="BH7" s="11">
        <f t="shared" si="17"/>
        <v>16.5</v>
      </c>
      <c r="BI7" s="11">
        <f t="shared" si="18"/>
        <v>52.199999999999996</v>
      </c>
      <c r="BJ7" s="11">
        <f t="shared" si="19"/>
        <v>15.7</v>
      </c>
      <c r="BK7" s="11">
        <f t="shared" si="20"/>
        <v>49.499999999999993</v>
      </c>
      <c r="BL7" s="11">
        <f t="shared" si="21"/>
        <v>101.69999999999999</v>
      </c>
      <c r="BM7" s="19">
        <v>18.7</v>
      </c>
      <c r="BN7" s="19">
        <v>8.4</v>
      </c>
      <c r="BO7" s="19">
        <v>0.8</v>
      </c>
      <c r="BP7" s="19">
        <v>0</v>
      </c>
      <c r="BQ7" s="19">
        <v>16.899999999999999</v>
      </c>
      <c r="BR7" s="19">
        <v>8.1</v>
      </c>
      <c r="BS7" s="19">
        <v>0.8</v>
      </c>
      <c r="BT7" s="19">
        <v>0</v>
      </c>
      <c r="BU7" s="19">
        <v>18.8</v>
      </c>
      <c r="BV7" s="19">
        <v>8.4</v>
      </c>
      <c r="BW7" s="19">
        <v>0.8</v>
      </c>
      <c r="BX7" s="19">
        <v>0</v>
      </c>
      <c r="BY7" s="19">
        <v>18.8</v>
      </c>
      <c r="BZ7" s="19">
        <v>8.1</v>
      </c>
      <c r="CA7" s="19">
        <v>0.8</v>
      </c>
      <c r="CB7" s="19">
        <v>0</v>
      </c>
      <c r="CC7" s="27"/>
      <c r="CD7" s="40">
        <f t="shared" si="22"/>
        <v>16.5</v>
      </c>
      <c r="CE7" s="40">
        <f t="shared" si="23"/>
        <v>50.500000000000007</v>
      </c>
      <c r="CF7" s="40">
        <f t="shared" si="24"/>
        <v>16.5</v>
      </c>
      <c r="CG7" s="40">
        <f t="shared" si="25"/>
        <v>52.5</v>
      </c>
      <c r="CH7" s="40">
        <f t="shared" si="26"/>
        <v>103</v>
      </c>
      <c r="CI7" s="50" t="str">
        <f t="shared" si="27"/>
        <v/>
      </c>
      <c r="CJ7" s="50" t="str">
        <f t="shared" si="28"/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 t="shared" si="29"/>
        <v/>
      </c>
      <c r="DF7" s="40" t="str">
        <f t="shared" si="30"/>
        <v/>
      </c>
      <c r="DG7" s="40" t="str">
        <f t="shared" si="31"/>
        <v/>
      </c>
      <c r="DH7" s="40" t="str">
        <f t="shared" si="32"/>
        <v/>
      </c>
      <c r="DI7" s="40" t="str">
        <f t="shared" si="33"/>
        <v/>
      </c>
      <c r="DJ7" s="40" t="str">
        <f t="shared" si="34"/>
        <v/>
      </c>
      <c r="DK7" s="40" t="str">
        <f t="shared" si="35"/>
        <v/>
      </c>
      <c r="DL7" s="40" t="str">
        <f t="shared" si="36"/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 t="shared" si="37"/>
        <v/>
      </c>
      <c r="EH7" s="11" t="str">
        <f t="shared" si="38"/>
        <v/>
      </c>
      <c r="EI7" s="11" t="str">
        <f t="shared" si="39"/>
        <v/>
      </c>
      <c r="EJ7" s="11" t="str">
        <f t="shared" si="40"/>
        <v/>
      </c>
      <c r="EK7" s="11" t="str">
        <f t="shared" si="41"/>
        <v/>
      </c>
      <c r="EL7" s="11" t="str">
        <f t="shared" si="42"/>
        <v/>
      </c>
      <c r="EM7" s="11" t="str">
        <f t="shared" si="43"/>
        <v/>
      </c>
      <c r="EN7" s="11" t="str">
        <f t="shared" si="44"/>
        <v/>
      </c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 t="str">
        <f t="shared" si="45"/>
        <v/>
      </c>
      <c r="FJ7" s="40" t="str">
        <f t="shared" si="46"/>
        <v/>
      </c>
      <c r="FK7" s="40" t="str">
        <f t="shared" si="47"/>
        <v/>
      </c>
      <c r="FL7" s="40" t="str">
        <f t="shared" si="48"/>
        <v/>
      </c>
      <c r="FM7" s="40" t="str">
        <f t="shared" si="49"/>
        <v/>
      </c>
      <c r="FN7" s="40" t="str">
        <f t="shared" si="50"/>
        <v/>
      </c>
      <c r="FO7" s="40" t="str">
        <f t="shared" si="51"/>
        <v/>
      </c>
      <c r="FP7" s="40" t="str">
        <f t="shared" si="52"/>
        <v/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 t="shared" si="53"/>
        <v/>
      </c>
      <c r="GL7" s="11" t="str">
        <f t="shared" si="54"/>
        <v/>
      </c>
      <c r="GM7" s="11" t="str">
        <f t="shared" si="55"/>
        <v/>
      </c>
      <c r="GN7" s="11" t="str">
        <f t="shared" si="56"/>
        <v/>
      </c>
      <c r="GO7" s="11" t="str">
        <f t="shared" si="57"/>
        <v/>
      </c>
      <c r="GP7" s="11" t="str">
        <f t="shared" si="58"/>
        <v/>
      </c>
      <c r="GQ7" s="11" t="str">
        <f t="shared" si="59"/>
        <v/>
      </c>
      <c r="GR7" s="11" t="str">
        <f t="shared" si="60"/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 t="shared" si="61"/>
        <v/>
      </c>
      <c r="HN7" s="40" t="str">
        <f t="shared" si="62"/>
        <v/>
      </c>
      <c r="HO7" s="40" t="str">
        <f t="shared" si="63"/>
        <v/>
      </c>
      <c r="HP7" s="40" t="str">
        <f t="shared" si="64"/>
        <v/>
      </c>
      <c r="HQ7" s="40" t="str">
        <f t="shared" si="65"/>
        <v/>
      </c>
      <c r="HR7" s="40" t="str">
        <f t="shared" si="66"/>
        <v/>
      </c>
      <c r="HS7" s="40" t="str">
        <f t="shared" si="67"/>
        <v/>
      </c>
      <c r="HT7" s="40" t="str">
        <f t="shared" si="68"/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 t="shared" si="69"/>
        <v/>
      </c>
      <c r="IP7" s="11" t="str">
        <f t="shared" si="70"/>
        <v/>
      </c>
      <c r="IQ7" s="11" t="str">
        <f t="shared" si="71"/>
        <v/>
      </c>
      <c r="IR7" s="11" t="str">
        <f t="shared" si="72"/>
        <v/>
      </c>
      <c r="IS7" s="11" t="str">
        <f t="shared" si="73"/>
        <v/>
      </c>
      <c r="IT7" s="11" t="str">
        <f t="shared" si="74"/>
        <v/>
      </c>
      <c r="IU7" s="11" t="str">
        <f t="shared" si="75"/>
        <v/>
      </c>
      <c r="IV7" s="11" t="str">
        <f t="shared" si="76"/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 t="shared" si="77"/>
        <v/>
      </c>
      <c r="JR7" s="40" t="str">
        <f t="shared" si="78"/>
        <v/>
      </c>
      <c r="JS7" s="40" t="str">
        <f t="shared" si="79"/>
        <v/>
      </c>
      <c r="JT7" s="40" t="str">
        <f t="shared" si="80"/>
        <v/>
      </c>
      <c r="JU7" s="40" t="str">
        <f t="shared" si="81"/>
        <v/>
      </c>
      <c r="JV7" s="40" t="str">
        <f t="shared" si="82"/>
        <v/>
      </c>
      <c r="JW7" s="40" t="str">
        <f t="shared" si="83"/>
        <v/>
      </c>
      <c r="JX7" s="40" t="str">
        <f t="shared" si="84"/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 t="shared" si="85"/>
        <v/>
      </c>
      <c r="KT7" s="11" t="str">
        <f t="shared" si="86"/>
        <v/>
      </c>
      <c r="KU7" s="11" t="str">
        <f t="shared" si="87"/>
        <v/>
      </c>
      <c r="KV7" s="11" t="str">
        <f t="shared" si="88"/>
        <v/>
      </c>
      <c r="KW7" s="11" t="str">
        <f t="shared" si="89"/>
        <v/>
      </c>
      <c r="KX7" s="11" t="str">
        <f t="shared" si="90"/>
        <v/>
      </c>
      <c r="KY7" s="11" t="str">
        <f t="shared" si="91"/>
        <v/>
      </c>
      <c r="KZ7" s="11" t="str">
        <f t="shared" si="92"/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 t="shared" si="93"/>
        <v/>
      </c>
      <c r="LV7" s="40" t="str">
        <f t="shared" si="94"/>
        <v/>
      </c>
      <c r="LW7" s="40" t="str">
        <f t="shared" si="95"/>
        <v/>
      </c>
      <c r="LX7" s="40" t="str">
        <f t="shared" si="96"/>
        <v/>
      </c>
      <c r="LY7" s="40" t="str">
        <f t="shared" si="97"/>
        <v/>
      </c>
      <c r="LZ7" s="40" t="str">
        <f t="shared" si="98"/>
        <v/>
      </c>
      <c r="MA7" s="40" t="str">
        <f t="shared" si="99"/>
        <v/>
      </c>
      <c r="MB7" s="40" t="str">
        <f t="shared" si="100"/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 t="shared" si="101"/>
        <v/>
      </c>
      <c r="MX7" s="11" t="str">
        <f t="shared" si="102"/>
        <v/>
      </c>
      <c r="MY7" s="11" t="str">
        <f t="shared" si="103"/>
        <v/>
      </c>
      <c r="MZ7" s="11" t="str">
        <f t="shared" si="104"/>
        <v/>
      </c>
      <c r="NA7" s="11" t="str">
        <f t="shared" si="105"/>
        <v/>
      </c>
      <c r="NB7" s="11" t="str">
        <f t="shared" si="106"/>
        <v/>
      </c>
      <c r="NC7" s="11" t="str">
        <f t="shared" si="107"/>
        <v/>
      </c>
      <c r="ND7" s="11" t="str">
        <f t="shared" si="108"/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 t="shared" si="109"/>
        <v/>
      </c>
      <c r="NZ7" s="40" t="str">
        <f t="shared" si="110"/>
        <v/>
      </c>
      <c r="OA7" s="40" t="str">
        <f t="shared" si="111"/>
        <v/>
      </c>
      <c r="OB7" s="40" t="str">
        <f t="shared" si="112"/>
        <v/>
      </c>
      <c r="OC7" s="40" t="str">
        <f t="shared" si="113"/>
        <v/>
      </c>
      <c r="OD7" s="40" t="str">
        <f t="shared" si="114"/>
        <v/>
      </c>
      <c r="OE7" s="40" t="str">
        <f t="shared" si="115"/>
        <v/>
      </c>
      <c r="OF7" s="40" t="str">
        <f t="shared" si="116"/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 t="shared" si="117"/>
        <v/>
      </c>
      <c r="PB7" s="11" t="str">
        <f t="shared" si="118"/>
        <v/>
      </c>
      <c r="PC7" s="11" t="str">
        <f t="shared" si="119"/>
        <v/>
      </c>
      <c r="PD7" s="11" t="str">
        <f t="shared" si="120"/>
        <v/>
      </c>
      <c r="PE7" s="11" t="str">
        <f t="shared" si="121"/>
        <v/>
      </c>
      <c r="PF7" s="11" t="str">
        <f t="shared" si="122"/>
        <v/>
      </c>
      <c r="PG7" s="11" t="str">
        <f t="shared" si="123"/>
        <v/>
      </c>
      <c r="PH7" s="11" t="str">
        <f t="shared" si="124"/>
        <v/>
      </c>
      <c r="PI7" s="22">
        <f t="shared" si="125"/>
        <v>18.75</v>
      </c>
      <c r="PJ7" s="22">
        <f t="shared" si="126"/>
        <v>8.4</v>
      </c>
      <c r="PK7" s="22">
        <f t="shared" si="127"/>
        <v>0.4</v>
      </c>
      <c r="PL7" s="22">
        <f t="shared" si="128"/>
        <v>0</v>
      </c>
      <c r="PM7" s="22">
        <f t="shared" si="129"/>
        <v>16.850000000000001</v>
      </c>
      <c r="PN7" s="22">
        <f t="shared" si="130"/>
        <v>8.1</v>
      </c>
      <c r="PO7" s="22">
        <f t="shared" si="131"/>
        <v>0.5</v>
      </c>
      <c r="PP7" s="22">
        <f t="shared" si="132"/>
        <v>0.15</v>
      </c>
      <c r="PQ7" s="22">
        <f t="shared" si="133"/>
        <v>17.55</v>
      </c>
      <c r="PR7" s="22">
        <f t="shared" si="134"/>
        <v>8</v>
      </c>
      <c r="PS7" s="22">
        <f t="shared" si="135"/>
        <v>0.9</v>
      </c>
      <c r="PT7" s="22">
        <f t="shared" si="136"/>
        <v>0</v>
      </c>
      <c r="PU7" s="22">
        <f t="shared" si="137"/>
        <v>18.600000000000001</v>
      </c>
      <c r="PV7" s="22">
        <f t="shared" si="138"/>
        <v>8.1</v>
      </c>
      <c r="PW7" s="22">
        <f t="shared" si="139"/>
        <v>0.5</v>
      </c>
      <c r="PX7" s="22">
        <f t="shared" si="140"/>
        <v>0.15</v>
      </c>
      <c r="PY7" s="27" t="s">
        <v>46</v>
      </c>
      <c r="PZ7" s="40">
        <f t="shared" si="141"/>
        <v>16.5</v>
      </c>
      <c r="QA7" s="40">
        <f t="shared" si="142"/>
        <v>51.35</v>
      </c>
      <c r="QB7" s="40">
        <f t="shared" si="143"/>
        <v>16.100000000000001</v>
      </c>
      <c r="QC7" s="40">
        <f t="shared" si="144"/>
        <v>51.000000000000007</v>
      </c>
      <c r="QD7" s="40">
        <f t="shared" si="145"/>
        <v>102.35000000000001</v>
      </c>
    </row>
    <row r="8" spans="1:446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1</v>
      </c>
      <c r="C8" s="5" t="s">
        <v>99</v>
      </c>
      <c r="D8" s="4" t="s">
        <v>6</v>
      </c>
      <c r="E8" s="4">
        <v>2006</v>
      </c>
      <c r="F8" s="9">
        <f t="shared" si="0"/>
        <v>150.00000995000528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IF(COUNT(AM8,BI8,CE8)&gt;0,LARGE((AM8,BI8,CE8),1),0)</f>
        <v>52.999999999999993</v>
      </c>
      <c r="M8" s="8" t="str">
        <f t="shared" si="5"/>
        <v>2025 Elite Canada</v>
      </c>
      <c r="N8" s="8">
        <f>IF(COUNT(AM8,BI8,CE8)&gt;1,LARGE((AM8,BI8,CE8),2),0)</f>
        <v>46.5</v>
      </c>
      <c r="O8" s="8" t="str">
        <f t="shared" si="6"/>
        <v>2025 3rd Domestic Trial</v>
      </c>
      <c r="P8" s="8">
        <f t="shared" si="7"/>
        <v>50.499999999999993</v>
      </c>
      <c r="Q8" s="8" t="str">
        <f t="shared" si="8"/>
        <v>2025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19.2</v>
      </c>
      <c r="V8" s="19">
        <v>8.4</v>
      </c>
      <c r="W8" s="19">
        <v>0.6</v>
      </c>
      <c r="X8" s="19">
        <v>0</v>
      </c>
      <c r="Y8" s="19">
        <v>18.7</v>
      </c>
      <c r="Z8" s="19">
        <v>7.3</v>
      </c>
      <c r="AA8" s="19">
        <v>0</v>
      </c>
      <c r="AB8" s="19">
        <v>0</v>
      </c>
      <c r="AC8" s="19">
        <v>18.7</v>
      </c>
      <c r="AD8" s="19">
        <v>6</v>
      </c>
      <c r="AE8" s="19">
        <v>1.4</v>
      </c>
      <c r="AF8" s="19">
        <v>0</v>
      </c>
      <c r="AG8" s="19">
        <v>17.899999999999999</v>
      </c>
      <c r="AH8" s="19">
        <v>9.6</v>
      </c>
      <c r="AI8" s="19">
        <v>0.6</v>
      </c>
      <c r="AJ8" s="19">
        <v>0.3</v>
      </c>
      <c r="AK8" s="27"/>
      <c r="AL8" s="40">
        <f t="shared" si="12"/>
        <v>15.7</v>
      </c>
      <c r="AM8" s="40">
        <f t="shared" si="13"/>
        <v>52.999999999999993</v>
      </c>
      <c r="AN8" s="40">
        <f t="shared" si="14"/>
        <v>15.6</v>
      </c>
      <c r="AO8" s="40">
        <f t="shared" si="15"/>
        <v>50.499999999999993</v>
      </c>
      <c r="AP8" s="40">
        <f t="shared" si="16"/>
        <v>103.49999999999999</v>
      </c>
      <c r="AQ8" s="18">
        <v>18.2</v>
      </c>
      <c r="AR8" s="18">
        <v>8.4</v>
      </c>
      <c r="AS8" s="18">
        <v>0.8</v>
      </c>
      <c r="AT8" s="18">
        <v>0</v>
      </c>
      <c r="AU8" s="18">
        <v>15.4</v>
      </c>
      <c r="AV8" s="18">
        <v>3.6</v>
      </c>
      <c r="AW8" s="18">
        <v>0</v>
      </c>
      <c r="AX8" s="18">
        <v>0</v>
      </c>
      <c r="AY8" s="18"/>
      <c r="AZ8" s="18"/>
      <c r="BA8" s="18"/>
      <c r="BB8" s="18"/>
      <c r="BC8" s="18"/>
      <c r="BD8" s="18"/>
      <c r="BE8" s="18"/>
      <c r="BF8" s="18"/>
      <c r="BG8" s="28"/>
      <c r="BH8" s="11">
        <f t="shared" si="17"/>
        <v>12</v>
      </c>
      <c r="BI8" s="11">
        <f t="shared" si="18"/>
        <v>44.800000000000004</v>
      </c>
      <c r="BJ8" s="11" t="str">
        <f t="shared" si="19"/>
        <v/>
      </c>
      <c r="BK8" s="11" t="str">
        <f t="shared" si="20"/>
        <v/>
      </c>
      <c r="BL8" s="11">
        <f t="shared" si="21"/>
        <v>44.800000000000004</v>
      </c>
      <c r="BM8" s="19">
        <v>19</v>
      </c>
      <c r="BN8" s="19">
        <v>8.4</v>
      </c>
      <c r="BO8" s="19">
        <v>0</v>
      </c>
      <c r="BP8" s="19">
        <v>0</v>
      </c>
      <c r="BQ8" s="19">
        <v>15.5</v>
      </c>
      <c r="BR8" s="19">
        <v>3.6</v>
      </c>
      <c r="BS8" s="19">
        <v>0</v>
      </c>
      <c r="BT8" s="19">
        <v>0</v>
      </c>
      <c r="BU8" s="19"/>
      <c r="BV8" s="19"/>
      <c r="BW8" s="19"/>
      <c r="BX8" s="19"/>
      <c r="BY8" s="19"/>
      <c r="BZ8" s="19"/>
      <c r="CA8" s="19"/>
      <c r="CB8" s="19"/>
      <c r="CC8" s="27"/>
      <c r="CD8" s="40">
        <f t="shared" si="22"/>
        <v>12</v>
      </c>
      <c r="CE8" s="40">
        <f t="shared" si="23"/>
        <v>46.5</v>
      </c>
      <c r="CF8" s="40" t="str">
        <f t="shared" si="24"/>
        <v/>
      </c>
      <c r="CG8" s="40" t="str">
        <f t="shared" si="25"/>
        <v/>
      </c>
      <c r="CH8" s="40">
        <f t="shared" si="26"/>
        <v>46.5</v>
      </c>
      <c r="CI8" s="50" t="str">
        <f t="shared" si="27"/>
        <v/>
      </c>
      <c r="CJ8" s="50" t="str">
        <f t="shared" si="28"/>
        <v/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 t="shared" si="29"/>
        <v/>
      </c>
      <c r="DF8" s="40" t="str">
        <f t="shared" si="30"/>
        <v/>
      </c>
      <c r="DG8" s="40" t="str">
        <f t="shared" si="31"/>
        <v/>
      </c>
      <c r="DH8" s="40" t="str">
        <f t="shared" si="32"/>
        <v/>
      </c>
      <c r="DI8" s="40" t="str">
        <f t="shared" si="33"/>
        <v/>
      </c>
      <c r="DJ8" s="40" t="str">
        <f t="shared" si="34"/>
        <v/>
      </c>
      <c r="DK8" s="40" t="str">
        <f t="shared" si="35"/>
        <v/>
      </c>
      <c r="DL8" s="40" t="str">
        <f t="shared" si="36"/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 t="shared" si="37"/>
        <v/>
      </c>
      <c r="EH8" s="11" t="str">
        <f t="shared" si="38"/>
        <v/>
      </c>
      <c r="EI8" s="11" t="str">
        <f t="shared" si="39"/>
        <v/>
      </c>
      <c r="EJ8" s="11" t="str">
        <f t="shared" si="40"/>
        <v/>
      </c>
      <c r="EK8" s="11" t="str">
        <f t="shared" si="41"/>
        <v/>
      </c>
      <c r="EL8" s="11" t="str">
        <f t="shared" si="42"/>
        <v/>
      </c>
      <c r="EM8" s="11" t="str">
        <f t="shared" si="43"/>
        <v/>
      </c>
      <c r="EN8" s="11" t="str">
        <f t="shared" si="44"/>
        <v/>
      </c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40" t="str">
        <f t="shared" si="45"/>
        <v/>
      </c>
      <c r="FJ8" s="40" t="str">
        <f t="shared" si="46"/>
        <v/>
      </c>
      <c r="FK8" s="40" t="str">
        <f t="shared" si="47"/>
        <v/>
      </c>
      <c r="FL8" s="40" t="str">
        <f t="shared" si="48"/>
        <v/>
      </c>
      <c r="FM8" s="40" t="str">
        <f t="shared" si="49"/>
        <v/>
      </c>
      <c r="FN8" s="40" t="str">
        <f t="shared" si="50"/>
        <v/>
      </c>
      <c r="FO8" s="40" t="str">
        <f t="shared" si="51"/>
        <v/>
      </c>
      <c r="FP8" s="40" t="str">
        <f t="shared" si="52"/>
        <v/>
      </c>
      <c r="FQ8" s="18">
        <v>19</v>
      </c>
      <c r="FR8" s="18">
        <v>8.4</v>
      </c>
      <c r="FS8" s="18">
        <v>0</v>
      </c>
      <c r="FT8" s="18">
        <v>0</v>
      </c>
      <c r="FU8" s="18">
        <v>15.2</v>
      </c>
      <c r="FV8" s="18">
        <v>3.6</v>
      </c>
      <c r="FW8" s="18">
        <v>0</v>
      </c>
      <c r="FX8" s="18">
        <v>0</v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>
        <f t="shared" si="53"/>
        <v>12</v>
      </c>
      <c r="GL8" s="11">
        <f t="shared" si="54"/>
        <v>46.199999999999996</v>
      </c>
      <c r="GM8" s="11" t="str">
        <f t="shared" si="55"/>
        <v/>
      </c>
      <c r="GN8" s="11">
        <f t="shared" si="56"/>
        <v>12</v>
      </c>
      <c r="GO8" s="11">
        <f t="shared" si="57"/>
        <v>46.199999999999996</v>
      </c>
      <c r="GP8" s="11" t="str">
        <f t="shared" si="58"/>
        <v/>
      </c>
      <c r="GQ8" s="11" t="str">
        <f t="shared" si="59"/>
        <v/>
      </c>
      <c r="GR8" s="11">
        <f t="shared" si="60"/>
        <v>46.199999999999996</v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 t="shared" si="61"/>
        <v/>
      </c>
      <c r="HN8" s="40" t="str">
        <f t="shared" si="62"/>
        <v/>
      </c>
      <c r="HO8" s="40" t="str">
        <f t="shared" si="63"/>
        <v/>
      </c>
      <c r="HP8" s="40" t="str">
        <f t="shared" si="64"/>
        <v/>
      </c>
      <c r="HQ8" s="40" t="str">
        <f t="shared" si="65"/>
        <v/>
      </c>
      <c r="HR8" s="40" t="str">
        <f t="shared" si="66"/>
        <v/>
      </c>
      <c r="HS8" s="40" t="str">
        <f t="shared" si="67"/>
        <v/>
      </c>
      <c r="HT8" s="40" t="str">
        <f t="shared" si="68"/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 t="shared" si="69"/>
        <v/>
      </c>
      <c r="IP8" s="11" t="str">
        <f t="shared" si="70"/>
        <v/>
      </c>
      <c r="IQ8" s="11" t="str">
        <f t="shared" si="71"/>
        <v/>
      </c>
      <c r="IR8" s="11" t="str">
        <f t="shared" si="72"/>
        <v/>
      </c>
      <c r="IS8" s="11" t="str">
        <f t="shared" si="73"/>
        <v/>
      </c>
      <c r="IT8" s="11" t="str">
        <f t="shared" si="74"/>
        <v/>
      </c>
      <c r="IU8" s="11" t="str">
        <f t="shared" si="75"/>
        <v/>
      </c>
      <c r="IV8" s="11" t="str">
        <f t="shared" si="76"/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 t="shared" si="77"/>
        <v/>
      </c>
      <c r="JR8" s="40" t="str">
        <f t="shared" si="78"/>
        <v/>
      </c>
      <c r="JS8" s="40" t="str">
        <f t="shared" si="79"/>
        <v/>
      </c>
      <c r="JT8" s="40" t="str">
        <f t="shared" si="80"/>
        <v/>
      </c>
      <c r="JU8" s="40" t="str">
        <f t="shared" si="81"/>
        <v/>
      </c>
      <c r="JV8" s="40" t="str">
        <f t="shared" si="82"/>
        <v/>
      </c>
      <c r="JW8" s="40" t="str">
        <f t="shared" si="83"/>
        <v/>
      </c>
      <c r="JX8" s="40" t="str">
        <f t="shared" si="84"/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 t="shared" si="85"/>
        <v/>
      </c>
      <c r="KT8" s="11" t="str">
        <f t="shared" si="86"/>
        <v/>
      </c>
      <c r="KU8" s="11" t="str">
        <f t="shared" si="87"/>
        <v/>
      </c>
      <c r="KV8" s="11" t="str">
        <f t="shared" si="88"/>
        <v/>
      </c>
      <c r="KW8" s="11" t="str">
        <f t="shared" si="89"/>
        <v/>
      </c>
      <c r="KX8" s="11" t="str">
        <f t="shared" si="90"/>
        <v/>
      </c>
      <c r="KY8" s="11" t="str">
        <f t="shared" si="91"/>
        <v/>
      </c>
      <c r="KZ8" s="11" t="str">
        <f t="shared" si="92"/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 t="shared" si="93"/>
        <v/>
      </c>
      <c r="LV8" s="40" t="str">
        <f t="shared" si="94"/>
        <v/>
      </c>
      <c r="LW8" s="40" t="str">
        <f t="shared" si="95"/>
        <v/>
      </c>
      <c r="LX8" s="40" t="str">
        <f t="shared" si="96"/>
        <v/>
      </c>
      <c r="LY8" s="40" t="str">
        <f t="shared" si="97"/>
        <v/>
      </c>
      <c r="LZ8" s="40" t="str">
        <f t="shared" si="98"/>
        <v/>
      </c>
      <c r="MA8" s="40" t="str">
        <f t="shared" si="99"/>
        <v/>
      </c>
      <c r="MB8" s="40" t="str">
        <f t="shared" si="100"/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 t="shared" si="101"/>
        <v/>
      </c>
      <c r="MX8" s="11" t="str">
        <f t="shared" si="102"/>
        <v/>
      </c>
      <c r="MY8" s="11" t="str">
        <f t="shared" si="103"/>
        <v/>
      </c>
      <c r="MZ8" s="11" t="str">
        <f t="shared" si="104"/>
        <v/>
      </c>
      <c r="NA8" s="11" t="str">
        <f t="shared" si="105"/>
        <v/>
      </c>
      <c r="NB8" s="11" t="str">
        <f t="shared" si="106"/>
        <v/>
      </c>
      <c r="NC8" s="11" t="str">
        <f t="shared" si="107"/>
        <v/>
      </c>
      <c r="ND8" s="11" t="str">
        <f t="shared" si="108"/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 t="shared" si="109"/>
        <v/>
      </c>
      <c r="NZ8" s="40" t="str">
        <f t="shared" si="110"/>
        <v/>
      </c>
      <c r="OA8" s="40" t="str">
        <f t="shared" si="111"/>
        <v/>
      </c>
      <c r="OB8" s="40" t="str">
        <f t="shared" si="112"/>
        <v/>
      </c>
      <c r="OC8" s="40" t="str">
        <f t="shared" si="113"/>
        <v/>
      </c>
      <c r="OD8" s="40" t="str">
        <f t="shared" si="114"/>
        <v/>
      </c>
      <c r="OE8" s="40" t="str">
        <f t="shared" si="115"/>
        <v/>
      </c>
      <c r="OF8" s="40" t="str">
        <f t="shared" si="116"/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 t="shared" si="117"/>
        <v/>
      </c>
      <c r="PB8" s="11" t="str">
        <f t="shared" si="118"/>
        <v/>
      </c>
      <c r="PC8" s="11" t="str">
        <f t="shared" si="119"/>
        <v/>
      </c>
      <c r="PD8" s="11" t="str">
        <f t="shared" si="120"/>
        <v/>
      </c>
      <c r="PE8" s="11" t="str">
        <f t="shared" si="121"/>
        <v/>
      </c>
      <c r="PF8" s="11" t="str">
        <f t="shared" si="122"/>
        <v/>
      </c>
      <c r="PG8" s="11" t="str">
        <f t="shared" si="123"/>
        <v/>
      </c>
      <c r="PH8" s="11" t="str">
        <f t="shared" si="124"/>
        <v/>
      </c>
      <c r="PI8" s="22">
        <f t="shared" si="125"/>
        <v>18.600000000000001</v>
      </c>
      <c r="PJ8" s="22">
        <f t="shared" si="126"/>
        <v>8.4</v>
      </c>
      <c r="PK8" s="22">
        <f t="shared" si="127"/>
        <v>0.4</v>
      </c>
      <c r="PL8" s="22">
        <f t="shared" si="128"/>
        <v>0</v>
      </c>
      <c r="PM8" s="22">
        <f t="shared" si="129"/>
        <v>15.45</v>
      </c>
      <c r="PN8" s="22">
        <f t="shared" si="130"/>
        <v>3.6</v>
      </c>
      <c r="PO8" s="22">
        <f t="shared" si="131"/>
        <v>0</v>
      </c>
      <c r="PP8" s="22">
        <f t="shared" si="132"/>
        <v>0</v>
      </c>
      <c r="PQ8" s="22">
        <f t="shared" si="133"/>
        <v>0</v>
      </c>
      <c r="PR8" s="22">
        <f t="shared" si="134"/>
        <v>0</v>
      </c>
      <c r="PS8" s="22">
        <f t="shared" si="135"/>
        <v>0</v>
      </c>
      <c r="PT8" s="22">
        <f t="shared" si="136"/>
        <v>0</v>
      </c>
      <c r="PU8" s="22">
        <f t="shared" si="137"/>
        <v>0</v>
      </c>
      <c r="PV8" s="22">
        <f t="shared" si="138"/>
        <v>0</v>
      </c>
      <c r="PW8" s="22">
        <f t="shared" si="139"/>
        <v>0</v>
      </c>
      <c r="PX8" s="22">
        <f t="shared" si="140"/>
        <v>0</v>
      </c>
      <c r="PY8" s="27" t="s">
        <v>46</v>
      </c>
      <c r="PZ8" s="40">
        <f t="shared" si="141"/>
        <v>12</v>
      </c>
      <c r="QA8" s="40">
        <f t="shared" si="142"/>
        <v>45.650000000000006</v>
      </c>
      <c r="QB8" s="40" t="str">
        <f t="shared" si="143"/>
        <v/>
      </c>
      <c r="QC8" s="40" t="str">
        <f t="shared" si="144"/>
        <v/>
      </c>
      <c r="QD8" s="40">
        <f t="shared" si="145"/>
        <v>45.650000000000006</v>
      </c>
    </row>
    <row r="9" spans="1:446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2</v>
      </c>
      <c r="C9" s="5" t="s">
        <v>150</v>
      </c>
      <c r="D9" s="4" t="s">
        <v>4</v>
      </c>
      <c r="E9" s="4">
        <v>2008</v>
      </c>
      <c r="F9" s="9">
        <f t="shared" si="0"/>
        <v>149.90000969000531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IF(COUNT(AM9,BI9,CE9)&gt;0,LARGE((AM9,BI9,CE9),1),0)</f>
        <v>53.199999999999996</v>
      </c>
      <c r="M9" s="8" t="str">
        <f t="shared" si="5"/>
        <v>2025 3rd Domestic Trial</v>
      </c>
      <c r="N9" s="8">
        <f>IF(COUNT(AM9,BI9,CE9)&gt;1,LARGE((AM9,BI9,CE9),2),0)</f>
        <v>43.699999999999996</v>
      </c>
      <c r="O9" s="8" t="str">
        <f t="shared" si="6"/>
        <v>2025 Nationals</v>
      </c>
      <c r="P9" s="8">
        <f t="shared" si="7"/>
        <v>53</v>
      </c>
      <c r="Q9" s="8" t="str">
        <f t="shared" si="8"/>
        <v>2025 3rd Domestic Trial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0</v>
      </c>
      <c r="V9" s="19">
        <v>0</v>
      </c>
      <c r="W9" s="19">
        <v>0</v>
      </c>
      <c r="X9" s="19">
        <v>0</v>
      </c>
      <c r="Y9" s="19">
        <v>18.2</v>
      </c>
      <c r="Z9" s="19">
        <v>8.1</v>
      </c>
      <c r="AA9" s="19">
        <v>0.2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27"/>
      <c r="AL9" s="40">
        <f t="shared" si="12"/>
        <v>8.1</v>
      </c>
      <c r="AM9" s="40">
        <f t="shared" si="13"/>
        <v>26.099999999999998</v>
      </c>
      <c r="AN9" s="40" t="str">
        <f t="shared" si="14"/>
        <v/>
      </c>
      <c r="AO9" s="40" t="str">
        <f t="shared" si="15"/>
        <v/>
      </c>
      <c r="AP9" s="40">
        <f t="shared" si="16"/>
        <v>26.099999999999998</v>
      </c>
      <c r="AQ9" s="18">
        <v>15.4</v>
      </c>
      <c r="AR9" s="18">
        <v>2.8</v>
      </c>
      <c r="AS9" s="18">
        <v>0</v>
      </c>
      <c r="AT9" s="18">
        <v>0</v>
      </c>
      <c r="AU9" s="18">
        <v>18.100000000000001</v>
      </c>
      <c r="AV9" s="18">
        <v>8</v>
      </c>
      <c r="AW9" s="18">
        <v>0.6</v>
      </c>
      <c r="AX9" s="18">
        <v>0</v>
      </c>
      <c r="AY9" s="18"/>
      <c r="AZ9" s="18"/>
      <c r="BA9" s="18"/>
      <c r="BB9" s="18"/>
      <c r="BC9" s="18"/>
      <c r="BD9" s="18"/>
      <c r="BE9" s="18"/>
      <c r="BF9" s="18"/>
      <c r="BG9" s="28"/>
      <c r="BH9" s="11">
        <f t="shared" si="17"/>
        <v>10.8</v>
      </c>
      <c r="BI9" s="11">
        <f t="shared" si="18"/>
        <v>43.699999999999996</v>
      </c>
      <c r="BJ9" s="11" t="str">
        <f t="shared" si="19"/>
        <v/>
      </c>
      <c r="BK9" s="11" t="str">
        <f t="shared" si="20"/>
        <v/>
      </c>
      <c r="BL9" s="11">
        <f t="shared" si="21"/>
        <v>43.699999999999996</v>
      </c>
      <c r="BM9" s="19">
        <v>18.3</v>
      </c>
      <c r="BN9" s="19">
        <v>8.8000000000000007</v>
      </c>
      <c r="BO9" s="19">
        <v>0.6</v>
      </c>
      <c r="BP9" s="19">
        <v>0.3</v>
      </c>
      <c r="BQ9" s="19">
        <v>18.600000000000001</v>
      </c>
      <c r="BR9" s="19">
        <v>8.4</v>
      </c>
      <c r="BS9" s="19">
        <v>0.6</v>
      </c>
      <c r="BT9" s="19">
        <v>0</v>
      </c>
      <c r="BU9" s="19">
        <v>18.600000000000001</v>
      </c>
      <c r="BV9" s="19">
        <v>8.4</v>
      </c>
      <c r="BW9" s="19">
        <v>0.9</v>
      </c>
      <c r="BX9" s="19">
        <v>0</v>
      </c>
      <c r="BY9" s="19">
        <v>18.5</v>
      </c>
      <c r="BZ9" s="19">
        <v>8.4</v>
      </c>
      <c r="CA9" s="19">
        <v>0</v>
      </c>
      <c r="CB9" s="19">
        <v>0</v>
      </c>
      <c r="CC9" s="27"/>
      <c r="CD9" s="40">
        <f t="shared" si="22"/>
        <v>17.200000000000003</v>
      </c>
      <c r="CE9" s="40">
        <f t="shared" si="23"/>
        <v>53.199999999999996</v>
      </c>
      <c r="CF9" s="40">
        <f t="shared" si="24"/>
        <v>16.8</v>
      </c>
      <c r="CG9" s="40">
        <f t="shared" si="25"/>
        <v>53</v>
      </c>
      <c r="CH9" s="40">
        <f t="shared" si="26"/>
        <v>106.19999999999999</v>
      </c>
      <c r="CI9" s="50" t="str">
        <f t="shared" si="27"/>
        <v/>
      </c>
      <c r="CJ9" s="50" t="str">
        <f t="shared" si="28"/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 t="shared" si="29"/>
        <v/>
      </c>
      <c r="DF9" s="40" t="str">
        <f t="shared" si="30"/>
        <v/>
      </c>
      <c r="DG9" s="40" t="str">
        <f t="shared" si="31"/>
        <v/>
      </c>
      <c r="DH9" s="40" t="str">
        <f t="shared" si="32"/>
        <v/>
      </c>
      <c r="DI9" s="40" t="str">
        <f t="shared" si="33"/>
        <v/>
      </c>
      <c r="DJ9" s="40" t="str">
        <f t="shared" si="34"/>
        <v/>
      </c>
      <c r="DK9" s="40" t="str">
        <f t="shared" si="35"/>
        <v/>
      </c>
      <c r="DL9" s="40" t="str">
        <f t="shared" si="36"/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 t="shared" si="37"/>
        <v/>
      </c>
      <c r="EH9" s="11" t="str">
        <f t="shared" si="38"/>
        <v/>
      </c>
      <c r="EI9" s="11" t="str">
        <f t="shared" si="39"/>
        <v/>
      </c>
      <c r="EJ9" s="11" t="str">
        <f t="shared" si="40"/>
        <v/>
      </c>
      <c r="EK9" s="11" t="str">
        <f t="shared" si="41"/>
        <v/>
      </c>
      <c r="EL9" s="11" t="str">
        <f t="shared" si="42"/>
        <v/>
      </c>
      <c r="EM9" s="11" t="str">
        <f t="shared" si="43"/>
        <v/>
      </c>
      <c r="EN9" s="11" t="str">
        <f t="shared" si="44"/>
        <v/>
      </c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40" t="str">
        <f t="shared" si="45"/>
        <v/>
      </c>
      <c r="FJ9" s="40" t="str">
        <f t="shared" si="46"/>
        <v/>
      </c>
      <c r="FK9" s="40" t="str">
        <f t="shared" si="47"/>
        <v/>
      </c>
      <c r="FL9" s="40" t="str">
        <f t="shared" si="48"/>
        <v/>
      </c>
      <c r="FM9" s="40" t="str">
        <f t="shared" si="49"/>
        <v/>
      </c>
      <c r="FN9" s="40" t="str">
        <f t="shared" si="50"/>
        <v/>
      </c>
      <c r="FO9" s="40" t="str">
        <f t="shared" si="51"/>
        <v/>
      </c>
      <c r="FP9" s="40" t="str">
        <f t="shared" si="52"/>
        <v/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 t="shared" si="53"/>
        <v/>
      </c>
      <c r="GL9" s="11" t="str">
        <f t="shared" si="54"/>
        <v/>
      </c>
      <c r="GM9" s="11" t="str">
        <f t="shared" si="55"/>
        <v/>
      </c>
      <c r="GN9" s="11" t="str">
        <f t="shared" si="56"/>
        <v/>
      </c>
      <c r="GO9" s="11" t="str">
        <f t="shared" si="57"/>
        <v/>
      </c>
      <c r="GP9" s="11" t="str">
        <f t="shared" si="58"/>
        <v/>
      </c>
      <c r="GQ9" s="11" t="str">
        <f t="shared" si="59"/>
        <v/>
      </c>
      <c r="GR9" s="11" t="str">
        <f t="shared" si="60"/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 t="shared" si="61"/>
        <v/>
      </c>
      <c r="HN9" s="40" t="str">
        <f t="shared" si="62"/>
        <v/>
      </c>
      <c r="HO9" s="40" t="str">
        <f t="shared" si="63"/>
        <v/>
      </c>
      <c r="HP9" s="40" t="str">
        <f t="shared" si="64"/>
        <v/>
      </c>
      <c r="HQ9" s="40" t="str">
        <f t="shared" si="65"/>
        <v/>
      </c>
      <c r="HR9" s="40" t="str">
        <f t="shared" si="66"/>
        <v/>
      </c>
      <c r="HS9" s="40" t="str">
        <f t="shared" si="67"/>
        <v/>
      </c>
      <c r="HT9" s="40" t="str">
        <f t="shared" si="68"/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 t="shared" si="69"/>
        <v/>
      </c>
      <c r="IP9" s="11" t="str">
        <f t="shared" si="70"/>
        <v/>
      </c>
      <c r="IQ9" s="11" t="str">
        <f t="shared" si="71"/>
        <v/>
      </c>
      <c r="IR9" s="11" t="str">
        <f t="shared" si="72"/>
        <v/>
      </c>
      <c r="IS9" s="11" t="str">
        <f t="shared" si="73"/>
        <v/>
      </c>
      <c r="IT9" s="11" t="str">
        <f t="shared" si="74"/>
        <v/>
      </c>
      <c r="IU9" s="11" t="str">
        <f t="shared" si="75"/>
        <v/>
      </c>
      <c r="IV9" s="11" t="str">
        <f t="shared" si="76"/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 t="shared" si="77"/>
        <v/>
      </c>
      <c r="JR9" s="40" t="str">
        <f t="shared" si="78"/>
        <v/>
      </c>
      <c r="JS9" s="40" t="str">
        <f t="shared" si="79"/>
        <v/>
      </c>
      <c r="JT9" s="40" t="str">
        <f t="shared" si="80"/>
        <v/>
      </c>
      <c r="JU9" s="40" t="str">
        <f t="shared" si="81"/>
        <v/>
      </c>
      <c r="JV9" s="40" t="str">
        <f t="shared" si="82"/>
        <v/>
      </c>
      <c r="JW9" s="40" t="str">
        <f t="shared" si="83"/>
        <v/>
      </c>
      <c r="JX9" s="40" t="str">
        <f t="shared" si="84"/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 t="shared" si="85"/>
        <v/>
      </c>
      <c r="KT9" s="11" t="str">
        <f t="shared" si="86"/>
        <v/>
      </c>
      <c r="KU9" s="11" t="str">
        <f t="shared" si="87"/>
        <v/>
      </c>
      <c r="KV9" s="11" t="str">
        <f t="shared" si="88"/>
        <v/>
      </c>
      <c r="KW9" s="11" t="str">
        <f t="shared" si="89"/>
        <v/>
      </c>
      <c r="KX9" s="11" t="str">
        <f t="shared" si="90"/>
        <v/>
      </c>
      <c r="KY9" s="11" t="str">
        <f t="shared" si="91"/>
        <v/>
      </c>
      <c r="KZ9" s="11" t="str">
        <f t="shared" si="92"/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 t="shared" si="93"/>
        <v/>
      </c>
      <c r="LV9" s="40" t="str">
        <f t="shared" si="94"/>
        <v/>
      </c>
      <c r="LW9" s="40" t="str">
        <f t="shared" si="95"/>
        <v/>
      </c>
      <c r="LX9" s="40" t="str">
        <f t="shared" si="96"/>
        <v/>
      </c>
      <c r="LY9" s="40" t="str">
        <f t="shared" si="97"/>
        <v/>
      </c>
      <c r="LZ9" s="40" t="str">
        <f t="shared" si="98"/>
        <v/>
      </c>
      <c r="MA9" s="40" t="str">
        <f t="shared" si="99"/>
        <v/>
      </c>
      <c r="MB9" s="40" t="str">
        <f t="shared" si="100"/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 t="shared" si="101"/>
        <v/>
      </c>
      <c r="MX9" s="11" t="str">
        <f t="shared" si="102"/>
        <v/>
      </c>
      <c r="MY9" s="11" t="str">
        <f t="shared" si="103"/>
        <v/>
      </c>
      <c r="MZ9" s="11" t="str">
        <f t="shared" si="104"/>
        <v/>
      </c>
      <c r="NA9" s="11" t="str">
        <f t="shared" si="105"/>
        <v/>
      </c>
      <c r="NB9" s="11" t="str">
        <f t="shared" si="106"/>
        <v/>
      </c>
      <c r="NC9" s="11" t="str">
        <f t="shared" si="107"/>
        <v/>
      </c>
      <c r="ND9" s="11" t="str">
        <f t="shared" si="108"/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 t="shared" si="109"/>
        <v/>
      </c>
      <c r="NZ9" s="40" t="str">
        <f t="shared" si="110"/>
        <v/>
      </c>
      <c r="OA9" s="40" t="str">
        <f t="shared" si="111"/>
        <v/>
      </c>
      <c r="OB9" s="40" t="str">
        <f t="shared" si="112"/>
        <v/>
      </c>
      <c r="OC9" s="40" t="str">
        <f t="shared" si="113"/>
        <v/>
      </c>
      <c r="OD9" s="40" t="str">
        <f t="shared" si="114"/>
        <v/>
      </c>
      <c r="OE9" s="40" t="str">
        <f t="shared" si="115"/>
        <v/>
      </c>
      <c r="OF9" s="40" t="str">
        <f t="shared" si="116"/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 t="shared" si="117"/>
        <v/>
      </c>
      <c r="PB9" s="11" t="str">
        <f t="shared" si="118"/>
        <v/>
      </c>
      <c r="PC9" s="11" t="str">
        <f t="shared" si="119"/>
        <v/>
      </c>
      <c r="PD9" s="11" t="str">
        <f t="shared" si="120"/>
        <v/>
      </c>
      <c r="PE9" s="11" t="str">
        <f t="shared" si="121"/>
        <v/>
      </c>
      <c r="PF9" s="11" t="str">
        <f t="shared" si="122"/>
        <v/>
      </c>
      <c r="PG9" s="11" t="str">
        <f t="shared" si="123"/>
        <v/>
      </c>
      <c r="PH9" s="11" t="str">
        <f t="shared" si="124"/>
        <v/>
      </c>
      <c r="PI9" s="22">
        <f t="shared" si="125"/>
        <v>16.850000000000001</v>
      </c>
      <c r="PJ9" s="22">
        <f t="shared" si="126"/>
        <v>5.8000000000000007</v>
      </c>
      <c r="PK9" s="22">
        <f t="shared" si="127"/>
        <v>0.3</v>
      </c>
      <c r="PL9" s="22">
        <f t="shared" si="128"/>
        <v>0.15</v>
      </c>
      <c r="PM9" s="22">
        <f t="shared" si="129"/>
        <v>18.350000000000001</v>
      </c>
      <c r="PN9" s="22">
        <f t="shared" si="130"/>
        <v>8.1999999999999993</v>
      </c>
      <c r="PO9" s="22">
        <f t="shared" si="131"/>
        <v>0.6</v>
      </c>
      <c r="PP9" s="22">
        <f t="shared" si="132"/>
        <v>0</v>
      </c>
      <c r="PQ9" s="22">
        <f t="shared" si="133"/>
        <v>9.3000000000000007</v>
      </c>
      <c r="PR9" s="22">
        <f t="shared" si="134"/>
        <v>4.2</v>
      </c>
      <c r="PS9" s="22">
        <f t="shared" si="135"/>
        <v>0.45</v>
      </c>
      <c r="PT9" s="22">
        <f t="shared" si="136"/>
        <v>0</v>
      </c>
      <c r="PU9" s="22">
        <f t="shared" si="137"/>
        <v>9.25</v>
      </c>
      <c r="PV9" s="22">
        <f t="shared" si="138"/>
        <v>4.2</v>
      </c>
      <c r="PW9" s="22">
        <f t="shared" si="139"/>
        <v>0</v>
      </c>
      <c r="PX9" s="22">
        <f t="shared" si="140"/>
        <v>0</v>
      </c>
      <c r="PY9" s="27" t="s">
        <v>46</v>
      </c>
      <c r="PZ9" s="40">
        <f t="shared" si="141"/>
        <v>14</v>
      </c>
      <c r="QA9" s="40">
        <f t="shared" si="142"/>
        <v>48.45000000000001</v>
      </c>
      <c r="QB9" s="40">
        <f t="shared" si="143"/>
        <v>8.4</v>
      </c>
      <c r="QC9" s="40">
        <f t="shared" si="144"/>
        <v>26.5</v>
      </c>
      <c r="QD9" s="40">
        <f t="shared" si="145"/>
        <v>74.950000000000017</v>
      </c>
    </row>
    <row r="10" spans="1:446" x14ac:dyDescent="0.2">
      <c r="A10" s="4" t="str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/>
      </c>
      <c r="B10" s="4" t="str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/>
      </c>
      <c r="C10" s="5" t="s">
        <v>155</v>
      </c>
      <c r="D10" s="4" t="s">
        <v>3</v>
      </c>
      <c r="E10" s="4">
        <v>2008</v>
      </c>
      <c r="F10" s="9">
        <f t="shared" si="0"/>
        <v>153.50001020000511</v>
      </c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IF(COUNT(AM10,BI10,CE10)&gt;0,LARGE((AM10,BI10,CE10),1),0)</f>
        <v>51.3</v>
      </c>
      <c r="M10" s="8" t="str">
        <f t="shared" si="5"/>
        <v>2025 Nationals</v>
      </c>
      <c r="N10" s="8">
        <f>IF(COUNT(AM10,BI10,CE10)&gt;1,LARGE((AM10,BI10,CE10),2),0)</f>
        <v>50.7</v>
      </c>
      <c r="O10" s="8" t="str">
        <f t="shared" si="6"/>
        <v>2025 Elite Canada</v>
      </c>
      <c r="P10" s="8">
        <f t="shared" si="7"/>
        <v>51.300000000000004</v>
      </c>
      <c r="Q10" s="8" t="str">
        <f t="shared" si="8"/>
        <v>2025 Nationals</v>
      </c>
      <c r="R10" s="8">
        <f t="shared" si="9"/>
        <v>0.19999999999998863</v>
      </c>
      <c r="S10" s="11" t="str">
        <f t="shared" si="10"/>
        <v>(Q1)</v>
      </c>
      <c r="T10" s="8" t="str">
        <f t="shared" si="11"/>
        <v>2025 WAGC (Nov 16)</v>
      </c>
      <c r="U10" s="19">
        <v>19</v>
      </c>
      <c r="V10" s="19">
        <v>6.8</v>
      </c>
      <c r="W10" s="19">
        <v>0</v>
      </c>
      <c r="X10" s="19">
        <v>0</v>
      </c>
      <c r="Y10" s="19">
        <v>19.100000000000001</v>
      </c>
      <c r="Z10" s="19">
        <v>6.4</v>
      </c>
      <c r="AA10" s="19">
        <v>0.6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16.3</v>
      </c>
      <c r="AH10" s="19">
        <v>6</v>
      </c>
      <c r="AI10" s="19">
        <v>0.2</v>
      </c>
      <c r="AJ10" s="19">
        <v>0</v>
      </c>
      <c r="AK10" s="27"/>
      <c r="AL10" s="40">
        <f t="shared" si="12"/>
        <v>13.2</v>
      </c>
      <c r="AM10" s="40">
        <f t="shared" si="13"/>
        <v>50.7</v>
      </c>
      <c r="AN10" s="40">
        <f t="shared" si="14"/>
        <v>6</v>
      </c>
      <c r="AO10" s="40">
        <f t="shared" si="15"/>
        <v>22.1</v>
      </c>
      <c r="AP10" s="40">
        <f t="shared" si="16"/>
        <v>72.800000000000011</v>
      </c>
      <c r="AQ10" s="18">
        <v>18.899999999999999</v>
      </c>
      <c r="AR10" s="18">
        <v>7.2</v>
      </c>
      <c r="AS10" s="18">
        <v>0</v>
      </c>
      <c r="AT10" s="18">
        <v>0</v>
      </c>
      <c r="AU10" s="18">
        <v>18.600000000000001</v>
      </c>
      <c r="AV10" s="18">
        <v>6.8</v>
      </c>
      <c r="AW10" s="18">
        <v>0.2</v>
      </c>
      <c r="AX10" s="18">
        <v>0</v>
      </c>
      <c r="AY10" s="18">
        <v>18.600000000000001</v>
      </c>
      <c r="AZ10" s="18">
        <v>7.2</v>
      </c>
      <c r="BA10" s="18">
        <v>0.8</v>
      </c>
      <c r="BB10" s="18">
        <v>0</v>
      </c>
      <c r="BC10" s="18">
        <v>18.899999999999999</v>
      </c>
      <c r="BD10" s="18">
        <v>7.6</v>
      </c>
      <c r="BE10" s="18">
        <v>0.2</v>
      </c>
      <c r="BF10" s="18">
        <v>0</v>
      </c>
      <c r="BG10" s="28"/>
      <c r="BH10" s="11">
        <f t="shared" si="17"/>
        <v>14</v>
      </c>
      <c r="BI10" s="11">
        <f t="shared" si="18"/>
        <v>51.3</v>
      </c>
      <c r="BJ10" s="11">
        <f t="shared" si="19"/>
        <v>14.8</v>
      </c>
      <c r="BK10" s="11">
        <f t="shared" si="20"/>
        <v>51.300000000000004</v>
      </c>
      <c r="BL10" s="11">
        <f t="shared" si="21"/>
        <v>102.6</v>
      </c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27"/>
      <c r="CD10" s="40" t="str">
        <f t="shared" si="22"/>
        <v/>
      </c>
      <c r="CE10" s="40" t="str">
        <f t="shared" si="23"/>
        <v/>
      </c>
      <c r="CF10" s="40" t="str">
        <f t="shared" si="24"/>
        <v/>
      </c>
      <c r="CG10" s="40" t="str">
        <f t="shared" si="25"/>
        <v/>
      </c>
      <c r="CH10" s="40" t="str">
        <f t="shared" si="26"/>
        <v/>
      </c>
      <c r="CI10" s="50">
        <f t="shared" si="27"/>
        <v>0.19999999999998863</v>
      </c>
      <c r="CJ10" s="50" t="str">
        <f t="shared" si="28"/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 t="shared" si="29"/>
        <v/>
      </c>
      <c r="DF10" s="40" t="str">
        <f t="shared" si="30"/>
        <v/>
      </c>
      <c r="DG10" s="40" t="str">
        <f t="shared" si="31"/>
        <v/>
      </c>
      <c r="DH10" s="40" t="str">
        <f t="shared" si="32"/>
        <v/>
      </c>
      <c r="DI10" s="40" t="str">
        <f t="shared" si="33"/>
        <v/>
      </c>
      <c r="DJ10" s="40" t="str">
        <f t="shared" si="34"/>
        <v/>
      </c>
      <c r="DK10" s="40" t="str">
        <f t="shared" si="35"/>
        <v/>
      </c>
      <c r="DL10" s="40" t="str">
        <f t="shared" si="36"/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 t="shared" si="37"/>
        <v/>
      </c>
      <c r="EH10" s="11" t="str">
        <f t="shared" si="38"/>
        <v/>
      </c>
      <c r="EI10" s="11" t="str">
        <f t="shared" si="39"/>
        <v/>
      </c>
      <c r="EJ10" s="11" t="str">
        <f t="shared" si="40"/>
        <v/>
      </c>
      <c r="EK10" s="11" t="str">
        <f t="shared" si="41"/>
        <v/>
      </c>
      <c r="EL10" s="11" t="str">
        <f t="shared" si="42"/>
        <v/>
      </c>
      <c r="EM10" s="11" t="str">
        <f t="shared" si="43"/>
        <v/>
      </c>
      <c r="EN10" s="11" t="str">
        <f t="shared" si="44"/>
        <v/>
      </c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 t="str">
        <f t="shared" si="45"/>
        <v/>
      </c>
      <c r="FJ10" s="40" t="str">
        <f t="shared" si="46"/>
        <v/>
      </c>
      <c r="FK10" s="40" t="str">
        <f t="shared" si="47"/>
        <v/>
      </c>
      <c r="FL10" s="40" t="str">
        <f t="shared" si="48"/>
        <v/>
      </c>
      <c r="FM10" s="40" t="str">
        <f t="shared" si="49"/>
        <v/>
      </c>
      <c r="FN10" s="40" t="str">
        <f t="shared" si="50"/>
        <v/>
      </c>
      <c r="FO10" s="40" t="str">
        <f t="shared" si="51"/>
        <v/>
      </c>
      <c r="FP10" s="40" t="str">
        <f t="shared" si="52"/>
        <v/>
      </c>
      <c r="FQ10" s="18">
        <v>18.5</v>
      </c>
      <c r="FR10" s="18">
        <v>6</v>
      </c>
      <c r="FS10" s="18">
        <v>0.2</v>
      </c>
      <c r="FT10" s="18">
        <v>0</v>
      </c>
      <c r="FU10" s="18">
        <v>18.8</v>
      </c>
      <c r="FV10" s="18">
        <v>8.4</v>
      </c>
      <c r="FW10" s="18">
        <v>0.6</v>
      </c>
      <c r="FX10" s="18">
        <v>0</v>
      </c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>
        <f t="shared" si="53"/>
        <v>14.4</v>
      </c>
      <c r="GL10" s="11">
        <f t="shared" si="54"/>
        <v>50.899999999999991</v>
      </c>
      <c r="GM10" s="11" t="str">
        <f t="shared" si="55"/>
        <v/>
      </c>
      <c r="GN10" s="11">
        <f t="shared" si="56"/>
        <v>14.4</v>
      </c>
      <c r="GO10" s="11">
        <f t="shared" si="57"/>
        <v>50.899999999999991</v>
      </c>
      <c r="GP10" s="11" t="str">
        <f t="shared" si="58"/>
        <v/>
      </c>
      <c r="GQ10" s="11" t="str">
        <f t="shared" si="59"/>
        <v/>
      </c>
      <c r="GR10" s="11">
        <f t="shared" si="60"/>
        <v>50.899999999999991</v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 t="shared" si="61"/>
        <v/>
      </c>
      <c r="HN10" s="40" t="str">
        <f t="shared" si="62"/>
        <v/>
      </c>
      <c r="HO10" s="40" t="str">
        <f t="shared" si="63"/>
        <v/>
      </c>
      <c r="HP10" s="40" t="str">
        <f t="shared" si="64"/>
        <v/>
      </c>
      <c r="HQ10" s="40" t="str">
        <f t="shared" si="65"/>
        <v/>
      </c>
      <c r="HR10" s="40" t="str">
        <f t="shared" si="66"/>
        <v/>
      </c>
      <c r="HS10" s="40" t="str">
        <f t="shared" si="67"/>
        <v/>
      </c>
      <c r="HT10" s="40" t="str">
        <f t="shared" si="68"/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 t="shared" si="69"/>
        <v/>
      </c>
      <c r="IP10" s="11" t="str">
        <f t="shared" si="70"/>
        <v/>
      </c>
      <c r="IQ10" s="11" t="str">
        <f t="shared" si="71"/>
        <v/>
      </c>
      <c r="IR10" s="11" t="str">
        <f t="shared" si="72"/>
        <v/>
      </c>
      <c r="IS10" s="11" t="str">
        <f t="shared" si="73"/>
        <v/>
      </c>
      <c r="IT10" s="11" t="str">
        <f t="shared" si="74"/>
        <v/>
      </c>
      <c r="IU10" s="11" t="str">
        <f t="shared" si="75"/>
        <v/>
      </c>
      <c r="IV10" s="11" t="str">
        <f t="shared" si="76"/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 t="shared" si="77"/>
        <v/>
      </c>
      <c r="JR10" s="40" t="str">
        <f t="shared" si="78"/>
        <v/>
      </c>
      <c r="JS10" s="40" t="str">
        <f t="shared" si="79"/>
        <v/>
      </c>
      <c r="JT10" s="40" t="str">
        <f t="shared" si="80"/>
        <v/>
      </c>
      <c r="JU10" s="40" t="str">
        <f t="shared" si="81"/>
        <v/>
      </c>
      <c r="JV10" s="40" t="str">
        <f t="shared" si="82"/>
        <v/>
      </c>
      <c r="JW10" s="40" t="str">
        <f t="shared" si="83"/>
        <v/>
      </c>
      <c r="JX10" s="40" t="str">
        <f t="shared" si="84"/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 t="shared" si="85"/>
        <v/>
      </c>
      <c r="KT10" s="11" t="str">
        <f t="shared" si="86"/>
        <v/>
      </c>
      <c r="KU10" s="11" t="str">
        <f t="shared" si="87"/>
        <v/>
      </c>
      <c r="KV10" s="11" t="str">
        <f t="shared" si="88"/>
        <v/>
      </c>
      <c r="KW10" s="11" t="str">
        <f t="shared" si="89"/>
        <v/>
      </c>
      <c r="KX10" s="11" t="str">
        <f t="shared" si="90"/>
        <v/>
      </c>
      <c r="KY10" s="11" t="str">
        <f t="shared" si="91"/>
        <v/>
      </c>
      <c r="KZ10" s="11" t="str">
        <f t="shared" si="92"/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 t="shared" si="93"/>
        <v/>
      </c>
      <c r="LV10" s="40" t="str">
        <f t="shared" si="94"/>
        <v/>
      </c>
      <c r="LW10" s="40" t="str">
        <f t="shared" si="95"/>
        <v/>
      </c>
      <c r="LX10" s="40" t="str">
        <f t="shared" si="96"/>
        <v/>
      </c>
      <c r="LY10" s="40" t="str">
        <f t="shared" si="97"/>
        <v/>
      </c>
      <c r="LZ10" s="40" t="str">
        <f t="shared" si="98"/>
        <v/>
      </c>
      <c r="MA10" s="40" t="str">
        <f t="shared" si="99"/>
        <v/>
      </c>
      <c r="MB10" s="40" t="str">
        <f t="shared" si="100"/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 t="shared" si="101"/>
        <v/>
      </c>
      <c r="MX10" s="11" t="str">
        <f t="shared" si="102"/>
        <v/>
      </c>
      <c r="MY10" s="11" t="str">
        <f t="shared" si="103"/>
        <v/>
      </c>
      <c r="MZ10" s="11" t="str">
        <f t="shared" si="104"/>
        <v/>
      </c>
      <c r="NA10" s="11" t="str">
        <f t="shared" si="105"/>
        <v/>
      </c>
      <c r="NB10" s="11" t="str">
        <f t="shared" si="106"/>
        <v/>
      </c>
      <c r="NC10" s="11" t="str">
        <f t="shared" si="107"/>
        <v/>
      </c>
      <c r="ND10" s="11" t="str">
        <f t="shared" si="108"/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 t="shared" si="109"/>
        <v/>
      </c>
      <c r="NZ10" s="40" t="str">
        <f t="shared" si="110"/>
        <v/>
      </c>
      <c r="OA10" s="40" t="str">
        <f t="shared" si="111"/>
        <v/>
      </c>
      <c r="OB10" s="40" t="str">
        <f t="shared" si="112"/>
        <v/>
      </c>
      <c r="OC10" s="40" t="str">
        <f t="shared" si="113"/>
        <v/>
      </c>
      <c r="OD10" s="40" t="str">
        <f t="shared" si="114"/>
        <v/>
      </c>
      <c r="OE10" s="40" t="str">
        <f t="shared" si="115"/>
        <v/>
      </c>
      <c r="OF10" s="40" t="str">
        <f t="shared" si="116"/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 t="shared" si="117"/>
        <v/>
      </c>
      <c r="PB10" s="11" t="str">
        <f t="shared" si="118"/>
        <v/>
      </c>
      <c r="PC10" s="11" t="str">
        <f t="shared" si="119"/>
        <v/>
      </c>
      <c r="PD10" s="11" t="str">
        <f t="shared" si="120"/>
        <v/>
      </c>
      <c r="PE10" s="11" t="str">
        <f t="shared" si="121"/>
        <v/>
      </c>
      <c r="PF10" s="11" t="str">
        <f t="shared" si="122"/>
        <v/>
      </c>
      <c r="PG10" s="11" t="str">
        <f t="shared" si="123"/>
        <v/>
      </c>
      <c r="PH10" s="11" t="str">
        <f t="shared" si="124"/>
        <v/>
      </c>
      <c r="PI10" s="22">
        <f t="shared" si="125"/>
        <v>9.4499999999999993</v>
      </c>
      <c r="PJ10" s="22">
        <f t="shared" si="126"/>
        <v>3.6</v>
      </c>
      <c r="PK10" s="22">
        <f t="shared" si="127"/>
        <v>0</v>
      </c>
      <c r="PL10" s="22">
        <f t="shared" si="128"/>
        <v>0</v>
      </c>
      <c r="PM10" s="22">
        <f t="shared" si="129"/>
        <v>9.3000000000000007</v>
      </c>
      <c r="PN10" s="22">
        <f t="shared" si="130"/>
        <v>3.4</v>
      </c>
      <c r="PO10" s="22">
        <f t="shared" si="131"/>
        <v>0.1</v>
      </c>
      <c r="PP10" s="22">
        <f t="shared" si="132"/>
        <v>0</v>
      </c>
      <c r="PQ10" s="22">
        <f t="shared" si="133"/>
        <v>9.3000000000000007</v>
      </c>
      <c r="PR10" s="22">
        <f t="shared" si="134"/>
        <v>3.6</v>
      </c>
      <c r="PS10" s="22">
        <f t="shared" si="135"/>
        <v>0.4</v>
      </c>
      <c r="PT10" s="22">
        <f t="shared" si="136"/>
        <v>0</v>
      </c>
      <c r="PU10" s="22">
        <f t="shared" si="137"/>
        <v>9.4499999999999993</v>
      </c>
      <c r="PV10" s="22">
        <f t="shared" si="138"/>
        <v>3.8</v>
      </c>
      <c r="PW10" s="22">
        <f t="shared" si="139"/>
        <v>0.1</v>
      </c>
      <c r="PX10" s="22">
        <f t="shared" si="140"/>
        <v>0</v>
      </c>
      <c r="PY10" s="27" t="s">
        <v>46</v>
      </c>
      <c r="PZ10" s="40">
        <f t="shared" si="141"/>
        <v>7</v>
      </c>
      <c r="QA10" s="40">
        <f t="shared" si="142"/>
        <v>25.65</v>
      </c>
      <c r="QB10" s="40">
        <f t="shared" si="143"/>
        <v>7.4</v>
      </c>
      <c r="QC10" s="40">
        <f t="shared" si="144"/>
        <v>25.650000000000002</v>
      </c>
      <c r="QD10" s="40">
        <f t="shared" si="145"/>
        <v>51.3</v>
      </c>
    </row>
    <row r="11" spans="1:446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145</v>
      </c>
      <c r="D11" s="4" t="s">
        <v>31</v>
      </c>
      <c r="E11" s="4">
        <v>2007</v>
      </c>
      <c r="F11" s="9">
        <f t="shared" si="0"/>
        <v>152.00001016000508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IF(COUNT(AM11,BI11,CE11)&gt;0,LARGE((AM11,BI11,CE11),1),0)</f>
        <v>50.999999999999993</v>
      </c>
      <c r="M11" s="8" t="str">
        <f t="shared" si="5"/>
        <v>2025 Elite Canada</v>
      </c>
      <c r="N11" s="8">
        <f>IF(COUNT(AM11,BI11,CE11)&gt;1,LARGE((AM11,BI11,CE11),2),0)</f>
        <v>50.599999999999994</v>
      </c>
      <c r="O11" s="8" t="str">
        <f t="shared" si="6"/>
        <v>2025 Nationals</v>
      </c>
      <c r="P11" s="8">
        <f t="shared" si="7"/>
        <v>50.4</v>
      </c>
      <c r="Q11" s="8" t="str">
        <f t="shared" si="8"/>
        <v>2025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18.8</v>
      </c>
      <c r="V11" s="19">
        <v>7.2</v>
      </c>
      <c r="W11" s="19">
        <v>0.2</v>
      </c>
      <c r="X11" s="19">
        <v>0</v>
      </c>
      <c r="Y11" s="19">
        <v>18.600000000000001</v>
      </c>
      <c r="Z11" s="19">
        <v>6.8</v>
      </c>
      <c r="AA11" s="19">
        <v>0.2</v>
      </c>
      <c r="AB11" s="19">
        <v>0</v>
      </c>
      <c r="AC11" s="19">
        <v>18.5</v>
      </c>
      <c r="AD11" s="19">
        <v>7.2</v>
      </c>
      <c r="AE11" s="19">
        <v>0</v>
      </c>
      <c r="AF11" s="19">
        <v>0</v>
      </c>
      <c r="AG11" s="19">
        <v>18.5</v>
      </c>
      <c r="AH11" s="19">
        <v>6.8</v>
      </c>
      <c r="AI11" s="19">
        <v>0.6</v>
      </c>
      <c r="AJ11" s="19">
        <v>0</v>
      </c>
      <c r="AK11" s="27"/>
      <c r="AL11" s="40">
        <f t="shared" si="12"/>
        <v>14</v>
      </c>
      <c r="AM11" s="40">
        <f t="shared" si="13"/>
        <v>50.999999999999993</v>
      </c>
      <c r="AN11" s="40">
        <f t="shared" si="14"/>
        <v>14</v>
      </c>
      <c r="AO11" s="40">
        <f t="shared" si="15"/>
        <v>50.4</v>
      </c>
      <c r="AP11" s="40">
        <f t="shared" si="16"/>
        <v>101.39999999999999</v>
      </c>
      <c r="AQ11" s="18">
        <v>18.600000000000001</v>
      </c>
      <c r="AR11" s="18">
        <v>7.2</v>
      </c>
      <c r="AS11" s="18">
        <v>0.2</v>
      </c>
      <c r="AT11" s="18">
        <v>0</v>
      </c>
      <c r="AU11" s="18">
        <v>18.399999999999999</v>
      </c>
      <c r="AV11" s="18">
        <v>6.8</v>
      </c>
      <c r="AW11" s="18">
        <v>0.2</v>
      </c>
      <c r="AX11" s="18">
        <v>0</v>
      </c>
      <c r="AY11" s="18">
        <v>18.600000000000001</v>
      </c>
      <c r="AZ11" s="18">
        <v>6.8</v>
      </c>
      <c r="BA11" s="18">
        <v>0</v>
      </c>
      <c r="BB11" s="18">
        <v>0</v>
      </c>
      <c r="BC11" s="18">
        <v>18.5</v>
      </c>
      <c r="BD11" s="18">
        <v>6.8</v>
      </c>
      <c r="BE11" s="18">
        <v>0.6</v>
      </c>
      <c r="BF11" s="18">
        <v>0</v>
      </c>
      <c r="BG11" s="28"/>
      <c r="BH11" s="11">
        <f t="shared" si="17"/>
        <v>14</v>
      </c>
      <c r="BI11" s="11">
        <f t="shared" si="18"/>
        <v>50.599999999999994</v>
      </c>
      <c r="BJ11" s="11">
        <f t="shared" si="19"/>
        <v>13.6</v>
      </c>
      <c r="BK11" s="11">
        <f t="shared" si="20"/>
        <v>50.1</v>
      </c>
      <c r="BL11" s="11">
        <f t="shared" si="21"/>
        <v>100.69999999999999</v>
      </c>
      <c r="BM11" s="19">
        <v>18.3</v>
      </c>
      <c r="BN11" s="19">
        <v>7.2</v>
      </c>
      <c r="BO11" s="19">
        <v>0.2</v>
      </c>
      <c r="BP11" s="19">
        <v>0</v>
      </c>
      <c r="BQ11" s="19">
        <v>18.100000000000001</v>
      </c>
      <c r="BR11" s="19">
        <v>6.8</v>
      </c>
      <c r="BS11" s="19">
        <v>0.2</v>
      </c>
      <c r="BT11" s="19">
        <v>0</v>
      </c>
      <c r="BU11" s="19">
        <v>18.100000000000001</v>
      </c>
      <c r="BV11" s="19">
        <v>7.2</v>
      </c>
      <c r="BW11" s="19">
        <v>0.2</v>
      </c>
      <c r="BX11" s="19">
        <v>0</v>
      </c>
      <c r="BY11" s="19">
        <v>18</v>
      </c>
      <c r="BZ11" s="19">
        <v>6</v>
      </c>
      <c r="CA11" s="19">
        <v>1</v>
      </c>
      <c r="CB11" s="19">
        <v>0</v>
      </c>
      <c r="CC11" s="27"/>
      <c r="CD11" s="40">
        <f t="shared" si="22"/>
        <v>14</v>
      </c>
      <c r="CE11" s="40">
        <f t="shared" si="23"/>
        <v>49.999999999999993</v>
      </c>
      <c r="CF11" s="40">
        <f t="shared" si="24"/>
        <v>13.2</v>
      </c>
      <c r="CG11" s="40">
        <f t="shared" si="25"/>
        <v>48.099999999999994</v>
      </c>
      <c r="CH11" s="40">
        <f t="shared" si="26"/>
        <v>98.1</v>
      </c>
      <c r="CI11" s="50" t="str">
        <f t="shared" si="27"/>
        <v/>
      </c>
      <c r="CJ11" s="50" t="str">
        <f t="shared" si="28"/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 t="shared" si="29"/>
        <v/>
      </c>
      <c r="DF11" s="40" t="str">
        <f t="shared" si="30"/>
        <v/>
      </c>
      <c r="DG11" s="40" t="str">
        <f t="shared" si="31"/>
        <v/>
      </c>
      <c r="DH11" s="40" t="str">
        <f t="shared" si="32"/>
        <v/>
      </c>
      <c r="DI11" s="40" t="str">
        <f t="shared" si="33"/>
        <v/>
      </c>
      <c r="DJ11" s="40" t="str">
        <f t="shared" si="34"/>
        <v/>
      </c>
      <c r="DK11" s="40" t="str">
        <f t="shared" si="35"/>
        <v/>
      </c>
      <c r="DL11" s="40" t="str">
        <f t="shared" si="36"/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 t="shared" si="37"/>
        <v/>
      </c>
      <c r="EH11" s="11" t="str">
        <f t="shared" si="38"/>
        <v/>
      </c>
      <c r="EI11" s="11" t="str">
        <f t="shared" si="39"/>
        <v/>
      </c>
      <c r="EJ11" s="11" t="str">
        <f t="shared" si="40"/>
        <v/>
      </c>
      <c r="EK11" s="11" t="str">
        <f t="shared" si="41"/>
        <v/>
      </c>
      <c r="EL11" s="11" t="str">
        <f t="shared" si="42"/>
        <v/>
      </c>
      <c r="EM11" s="11" t="str">
        <f t="shared" si="43"/>
        <v/>
      </c>
      <c r="EN11" s="11" t="str">
        <f t="shared" si="44"/>
        <v/>
      </c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 t="str">
        <f t="shared" si="45"/>
        <v/>
      </c>
      <c r="FJ11" s="40" t="str">
        <f t="shared" si="46"/>
        <v/>
      </c>
      <c r="FK11" s="40" t="str">
        <f t="shared" si="47"/>
        <v/>
      </c>
      <c r="FL11" s="40" t="str">
        <f t="shared" si="48"/>
        <v/>
      </c>
      <c r="FM11" s="40" t="str">
        <f t="shared" si="49"/>
        <v/>
      </c>
      <c r="FN11" s="40" t="str">
        <f t="shared" si="50"/>
        <v/>
      </c>
      <c r="FO11" s="40" t="str">
        <f t="shared" si="51"/>
        <v/>
      </c>
      <c r="FP11" s="40" t="str">
        <f t="shared" si="52"/>
        <v/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 t="shared" si="53"/>
        <v/>
      </c>
      <c r="GL11" s="11" t="str">
        <f t="shared" si="54"/>
        <v/>
      </c>
      <c r="GM11" s="11" t="str">
        <f t="shared" si="55"/>
        <v/>
      </c>
      <c r="GN11" s="11" t="str">
        <f t="shared" si="56"/>
        <v/>
      </c>
      <c r="GO11" s="11" t="str">
        <f t="shared" si="57"/>
        <v/>
      </c>
      <c r="GP11" s="11" t="str">
        <f t="shared" si="58"/>
        <v/>
      </c>
      <c r="GQ11" s="11" t="str">
        <f t="shared" si="59"/>
        <v/>
      </c>
      <c r="GR11" s="11" t="str">
        <f t="shared" si="60"/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 t="shared" si="61"/>
        <v/>
      </c>
      <c r="HN11" s="40" t="str">
        <f t="shared" si="62"/>
        <v/>
      </c>
      <c r="HO11" s="40" t="str">
        <f t="shared" si="63"/>
        <v/>
      </c>
      <c r="HP11" s="40" t="str">
        <f t="shared" si="64"/>
        <v/>
      </c>
      <c r="HQ11" s="40" t="str">
        <f t="shared" si="65"/>
        <v/>
      </c>
      <c r="HR11" s="40" t="str">
        <f t="shared" si="66"/>
        <v/>
      </c>
      <c r="HS11" s="40" t="str">
        <f t="shared" si="67"/>
        <v/>
      </c>
      <c r="HT11" s="40" t="str">
        <f t="shared" si="68"/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 t="shared" si="69"/>
        <v/>
      </c>
      <c r="IP11" s="11" t="str">
        <f t="shared" si="70"/>
        <v/>
      </c>
      <c r="IQ11" s="11" t="str">
        <f t="shared" si="71"/>
        <v/>
      </c>
      <c r="IR11" s="11" t="str">
        <f t="shared" si="72"/>
        <v/>
      </c>
      <c r="IS11" s="11" t="str">
        <f t="shared" si="73"/>
        <v/>
      </c>
      <c r="IT11" s="11" t="str">
        <f t="shared" si="74"/>
        <v/>
      </c>
      <c r="IU11" s="11" t="str">
        <f t="shared" si="75"/>
        <v/>
      </c>
      <c r="IV11" s="11" t="str">
        <f t="shared" si="76"/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 t="shared" si="77"/>
        <v/>
      </c>
      <c r="JR11" s="40" t="str">
        <f t="shared" si="78"/>
        <v/>
      </c>
      <c r="JS11" s="40" t="str">
        <f t="shared" si="79"/>
        <v/>
      </c>
      <c r="JT11" s="40" t="str">
        <f t="shared" si="80"/>
        <v/>
      </c>
      <c r="JU11" s="40" t="str">
        <f t="shared" si="81"/>
        <v/>
      </c>
      <c r="JV11" s="40" t="str">
        <f t="shared" si="82"/>
        <v/>
      </c>
      <c r="JW11" s="40" t="str">
        <f t="shared" si="83"/>
        <v/>
      </c>
      <c r="JX11" s="40" t="str">
        <f t="shared" si="84"/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 t="shared" si="85"/>
        <v/>
      </c>
      <c r="KT11" s="11" t="str">
        <f t="shared" si="86"/>
        <v/>
      </c>
      <c r="KU11" s="11" t="str">
        <f t="shared" si="87"/>
        <v/>
      </c>
      <c r="KV11" s="11" t="str">
        <f t="shared" si="88"/>
        <v/>
      </c>
      <c r="KW11" s="11" t="str">
        <f t="shared" si="89"/>
        <v/>
      </c>
      <c r="KX11" s="11" t="str">
        <f t="shared" si="90"/>
        <v/>
      </c>
      <c r="KY11" s="11" t="str">
        <f t="shared" si="91"/>
        <v/>
      </c>
      <c r="KZ11" s="11" t="str">
        <f t="shared" si="92"/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 t="shared" si="93"/>
        <v/>
      </c>
      <c r="LV11" s="40" t="str">
        <f t="shared" si="94"/>
        <v/>
      </c>
      <c r="LW11" s="40" t="str">
        <f t="shared" si="95"/>
        <v/>
      </c>
      <c r="LX11" s="40" t="str">
        <f t="shared" si="96"/>
        <v/>
      </c>
      <c r="LY11" s="40" t="str">
        <f t="shared" si="97"/>
        <v/>
      </c>
      <c r="LZ11" s="40" t="str">
        <f t="shared" si="98"/>
        <v/>
      </c>
      <c r="MA11" s="40" t="str">
        <f t="shared" si="99"/>
        <v/>
      </c>
      <c r="MB11" s="40" t="str">
        <f t="shared" si="100"/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 t="shared" si="101"/>
        <v/>
      </c>
      <c r="MX11" s="11" t="str">
        <f t="shared" si="102"/>
        <v/>
      </c>
      <c r="MY11" s="11" t="str">
        <f t="shared" si="103"/>
        <v/>
      </c>
      <c r="MZ11" s="11" t="str">
        <f t="shared" si="104"/>
        <v/>
      </c>
      <c r="NA11" s="11" t="str">
        <f t="shared" si="105"/>
        <v/>
      </c>
      <c r="NB11" s="11" t="str">
        <f t="shared" si="106"/>
        <v/>
      </c>
      <c r="NC11" s="11" t="str">
        <f t="shared" si="107"/>
        <v/>
      </c>
      <c r="ND11" s="11" t="str">
        <f t="shared" si="108"/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 t="shared" si="109"/>
        <v/>
      </c>
      <c r="NZ11" s="40" t="str">
        <f t="shared" si="110"/>
        <v/>
      </c>
      <c r="OA11" s="40" t="str">
        <f t="shared" si="111"/>
        <v/>
      </c>
      <c r="OB11" s="40" t="str">
        <f t="shared" si="112"/>
        <v/>
      </c>
      <c r="OC11" s="40" t="str">
        <f t="shared" si="113"/>
        <v/>
      </c>
      <c r="OD11" s="40" t="str">
        <f t="shared" si="114"/>
        <v/>
      </c>
      <c r="OE11" s="40" t="str">
        <f t="shared" si="115"/>
        <v/>
      </c>
      <c r="OF11" s="40" t="str">
        <f t="shared" si="116"/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 t="shared" si="117"/>
        <v/>
      </c>
      <c r="PB11" s="11" t="str">
        <f t="shared" si="118"/>
        <v/>
      </c>
      <c r="PC11" s="11" t="str">
        <f t="shared" si="119"/>
        <v/>
      </c>
      <c r="PD11" s="11" t="str">
        <f t="shared" si="120"/>
        <v/>
      </c>
      <c r="PE11" s="11" t="str">
        <f t="shared" si="121"/>
        <v/>
      </c>
      <c r="PF11" s="11" t="str">
        <f t="shared" si="122"/>
        <v/>
      </c>
      <c r="PG11" s="11" t="str">
        <f t="shared" si="123"/>
        <v/>
      </c>
      <c r="PH11" s="11" t="str">
        <f t="shared" si="124"/>
        <v/>
      </c>
      <c r="PI11" s="22">
        <f t="shared" si="125"/>
        <v>18.450000000000003</v>
      </c>
      <c r="PJ11" s="22">
        <f t="shared" si="126"/>
        <v>7.2</v>
      </c>
      <c r="PK11" s="22">
        <f t="shared" si="127"/>
        <v>0.2</v>
      </c>
      <c r="PL11" s="22">
        <f t="shared" si="128"/>
        <v>0</v>
      </c>
      <c r="PM11" s="22">
        <f t="shared" si="129"/>
        <v>18.25</v>
      </c>
      <c r="PN11" s="22">
        <f t="shared" si="130"/>
        <v>6.8</v>
      </c>
      <c r="PO11" s="22">
        <f t="shared" si="131"/>
        <v>0.2</v>
      </c>
      <c r="PP11" s="22">
        <f t="shared" si="132"/>
        <v>0</v>
      </c>
      <c r="PQ11" s="22">
        <f t="shared" si="133"/>
        <v>18.350000000000001</v>
      </c>
      <c r="PR11" s="22">
        <f t="shared" si="134"/>
        <v>7</v>
      </c>
      <c r="PS11" s="22">
        <f t="shared" si="135"/>
        <v>0.1</v>
      </c>
      <c r="PT11" s="22">
        <f t="shared" si="136"/>
        <v>0</v>
      </c>
      <c r="PU11" s="22">
        <f t="shared" si="137"/>
        <v>18.25</v>
      </c>
      <c r="PV11" s="22">
        <f t="shared" si="138"/>
        <v>6.4</v>
      </c>
      <c r="PW11" s="22">
        <f t="shared" si="139"/>
        <v>0.8</v>
      </c>
      <c r="PX11" s="22">
        <f t="shared" si="140"/>
        <v>0</v>
      </c>
      <c r="PY11" s="27" t="s">
        <v>46</v>
      </c>
      <c r="PZ11" s="40">
        <f t="shared" si="141"/>
        <v>14</v>
      </c>
      <c r="QA11" s="40">
        <f t="shared" si="142"/>
        <v>50.3</v>
      </c>
      <c r="QB11" s="40">
        <f t="shared" si="143"/>
        <v>13.4</v>
      </c>
      <c r="QC11" s="40">
        <f t="shared" si="144"/>
        <v>49.1</v>
      </c>
      <c r="QD11" s="40">
        <f t="shared" si="145"/>
        <v>99.4</v>
      </c>
    </row>
    <row r="12" spans="1:446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189</v>
      </c>
      <c r="D12" s="4" t="s">
        <v>5</v>
      </c>
      <c r="E12" s="4">
        <v>2009</v>
      </c>
      <c r="F12" s="9">
        <f t="shared" si="0"/>
        <v>152.00000992000506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IF(COUNT(AM12,BI12,CE12)&gt;0,LARGE((AM12,BI12,CE12),1),0)</f>
        <v>50.599999999999994</v>
      </c>
      <c r="M12" s="8" t="str">
        <f t="shared" si="5"/>
        <v>2025 Nationals</v>
      </c>
      <c r="N12" s="8">
        <f>IF(COUNT(AM12,BI12,CE12)&gt;1,LARGE((AM12,BI12,CE12),2),0)</f>
        <v>48.599999999999994</v>
      </c>
      <c r="O12" s="8" t="str">
        <f t="shared" si="6"/>
        <v>2025 3rd Domestic Trial</v>
      </c>
      <c r="P12" s="8">
        <f t="shared" si="7"/>
        <v>50.4</v>
      </c>
      <c r="Q12" s="8" t="str">
        <f t="shared" si="8"/>
        <v>2025 Nationals</v>
      </c>
      <c r="R12" s="8">
        <f t="shared" si="9"/>
        <v>2.3999999999999986</v>
      </c>
      <c r="S12" s="11" t="str">
        <f t="shared" si="10"/>
        <v>(Q1)</v>
      </c>
      <c r="T12" s="8" t="str">
        <f t="shared" si="11"/>
        <v>2025 WAGC (Nov 16)</v>
      </c>
      <c r="U12" s="19">
        <v>16.5</v>
      </c>
      <c r="V12" s="19">
        <v>6</v>
      </c>
      <c r="W12" s="19">
        <v>0</v>
      </c>
      <c r="X12" s="19">
        <v>0</v>
      </c>
      <c r="Y12" s="19">
        <v>17.899999999999999</v>
      </c>
      <c r="Z12" s="19">
        <v>4.8</v>
      </c>
      <c r="AA12" s="19">
        <v>0.8</v>
      </c>
      <c r="AB12" s="19">
        <v>0</v>
      </c>
      <c r="AC12" s="19">
        <v>18</v>
      </c>
      <c r="AD12" s="19">
        <v>6</v>
      </c>
      <c r="AE12" s="19">
        <v>0.6</v>
      </c>
      <c r="AF12" s="19">
        <v>0</v>
      </c>
      <c r="AG12" s="19">
        <v>18.8</v>
      </c>
      <c r="AH12" s="19">
        <v>5.6</v>
      </c>
      <c r="AI12" s="19">
        <v>0.6</v>
      </c>
      <c r="AJ12" s="19">
        <v>0</v>
      </c>
      <c r="AK12" s="27"/>
      <c r="AL12" s="40">
        <f t="shared" si="12"/>
        <v>10.8</v>
      </c>
      <c r="AM12" s="40">
        <f t="shared" si="13"/>
        <v>44.4</v>
      </c>
      <c r="AN12" s="40">
        <f t="shared" si="14"/>
        <v>11.6</v>
      </c>
      <c r="AO12" s="40">
        <f t="shared" si="15"/>
        <v>47.199999999999996</v>
      </c>
      <c r="AP12" s="40">
        <f t="shared" si="16"/>
        <v>91.6</v>
      </c>
      <c r="AQ12" s="18">
        <v>18.8</v>
      </c>
      <c r="AR12" s="18">
        <v>6.4</v>
      </c>
      <c r="AS12" s="18">
        <v>0.2</v>
      </c>
      <c r="AT12" s="18">
        <v>0</v>
      </c>
      <c r="AU12" s="18">
        <v>18.8</v>
      </c>
      <c r="AV12" s="18">
        <v>6.8</v>
      </c>
      <c r="AW12" s="18">
        <v>0</v>
      </c>
      <c r="AX12" s="18">
        <v>0</v>
      </c>
      <c r="AY12" s="18">
        <v>19</v>
      </c>
      <c r="AZ12" s="18">
        <v>6.4</v>
      </c>
      <c r="BA12" s="18">
        <v>0.2</v>
      </c>
      <c r="BB12" s="18">
        <v>0</v>
      </c>
      <c r="BC12" s="18">
        <v>19</v>
      </c>
      <c r="BD12" s="18">
        <v>6.8</v>
      </c>
      <c r="BE12" s="18">
        <v>0.6</v>
      </c>
      <c r="BF12" s="18">
        <v>0</v>
      </c>
      <c r="BG12" s="28"/>
      <c r="BH12" s="11">
        <f t="shared" si="17"/>
        <v>13.2</v>
      </c>
      <c r="BI12" s="11">
        <f t="shared" si="18"/>
        <v>50.599999999999994</v>
      </c>
      <c r="BJ12" s="11">
        <f t="shared" si="19"/>
        <v>13.2</v>
      </c>
      <c r="BK12" s="11">
        <f t="shared" si="20"/>
        <v>50.4</v>
      </c>
      <c r="BL12" s="11">
        <f t="shared" si="21"/>
        <v>101</v>
      </c>
      <c r="BM12" s="19">
        <v>18.3</v>
      </c>
      <c r="BN12" s="19">
        <v>5.6</v>
      </c>
      <c r="BO12" s="19">
        <v>0.6</v>
      </c>
      <c r="BP12" s="19">
        <v>0</v>
      </c>
      <c r="BQ12" s="19">
        <v>19.100000000000001</v>
      </c>
      <c r="BR12" s="19">
        <v>6.8</v>
      </c>
      <c r="BS12" s="19">
        <v>0.6</v>
      </c>
      <c r="BT12" s="19">
        <v>0</v>
      </c>
      <c r="BU12" s="19">
        <v>18.8</v>
      </c>
      <c r="BV12" s="19">
        <v>6</v>
      </c>
      <c r="BW12" s="19">
        <v>0.6</v>
      </c>
      <c r="BX12" s="19">
        <v>0</v>
      </c>
      <c r="BY12" s="19">
        <v>18.899999999999999</v>
      </c>
      <c r="BZ12" s="19">
        <v>4.4000000000000004</v>
      </c>
      <c r="CA12" s="19">
        <v>0.6</v>
      </c>
      <c r="CB12" s="19">
        <v>0</v>
      </c>
      <c r="CC12" s="27"/>
      <c r="CD12" s="40">
        <f t="shared" si="22"/>
        <v>12.399999999999999</v>
      </c>
      <c r="CE12" s="40">
        <f t="shared" si="23"/>
        <v>48.599999999999994</v>
      </c>
      <c r="CF12" s="40">
        <f t="shared" si="24"/>
        <v>10.4</v>
      </c>
      <c r="CG12" s="40">
        <f t="shared" si="25"/>
        <v>46.9</v>
      </c>
      <c r="CH12" s="40">
        <f t="shared" si="26"/>
        <v>95.5</v>
      </c>
      <c r="CI12" s="50">
        <f t="shared" si="27"/>
        <v>2.3999999999999986</v>
      </c>
      <c r="CJ12" s="50" t="str">
        <f t="shared" si="28"/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 t="shared" si="29"/>
        <v/>
      </c>
      <c r="DF12" s="40" t="str">
        <f t="shared" si="30"/>
        <v/>
      </c>
      <c r="DG12" s="40" t="str">
        <f t="shared" si="31"/>
        <v/>
      </c>
      <c r="DH12" s="40" t="str">
        <f t="shared" si="32"/>
        <v/>
      </c>
      <c r="DI12" s="40" t="str">
        <f t="shared" si="33"/>
        <v/>
      </c>
      <c r="DJ12" s="40" t="str">
        <f t="shared" si="34"/>
        <v/>
      </c>
      <c r="DK12" s="40" t="str">
        <f t="shared" si="35"/>
        <v/>
      </c>
      <c r="DL12" s="40" t="str">
        <f t="shared" si="36"/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 t="shared" si="37"/>
        <v/>
      </c>
      <c r="EH12" s="11" t="str">
        <f t="shared" si="38"/>
        <v/>
      </c>
      <c r="EI12" s="11" t="str">
        <f t="shared" si="39"/>
        <v/>
      </c>
      <c r="EJ12" s="11" t="str">
        <f t="shared" si="40"/>
        <v/>
      </c>
      <c r="EK12" s="11" t="str">
        <f t="shared" si="41"/>
        <v/>
      </c>
      <c r="EL12" s="11" t="str">
        <f t="shared" si="42"/>
        <v/>
      </c>
      <c r="EM12" s="11" t="str">
        <f t="shared" si="43"/>
        <v/>
      </c>
      <c r="EN12" s="11" t="str">
        <f t="shared" si="44"/>
        <v/>
      </c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 t="str">
        <f t="shared" si="45"/>
        <v/>
      </c>
      <c r="FJ12" s="40" t="str">
        <f t="shared" si="46"/>
        <v/>
      </c>
      <c r="FK12" s="40" t="str">
        <f t="shared" si="47"/>
        <v/>
      </c>
      <c r="FL12" s="40" t="str">
        <f t="shared" si="48"/>
        <v/>
      </c>
      <c r="FM12" s="40" t="str">
        <f t="shared" si="49"/>
        <v/>
      </c>
      <c r="FN12" s="40" t="str">
        <f t="shared" si="50"/>
        <v/>
      </c>
      <c r="FO12" s="40" t="str">
        <f t="shared" si="51"/>
        <v/>
      </c>
      <c r="FP12" s="40" t="str">
        <f t="shared" si="52"/>
        <v/>
      </c>
      <c r="FQ12" s="18">
        <v>18.7</v>
      </c>
      <c r="FR12" s="18">
        <v>7.2</v>
      </c>
      <c r="FS12" s="18">
        <v>0.2</v>
      </c>
      <c r="FT12" s="18">
        <v>0</v>
      </c>
      <c r="FU12" s="18">
        <v>18.399999999999999</v>
      </c>
      <c r="FV12" s="18">
        <v>6.9</v>
      </c>
      <c r="FW12" s="18">
        <v>0</v>
      </c>
      <c r="FX12" s="18">
        <v>0</v>
      </c>
      <c r="FY12" s="18">
        <v>19</v>
      </c>
      <c r="FZ12" s="18">
        <v>7.2</v>
      </c>
      <c r="GA12" s="18">
        <v>0</v>
      </c>
      <c r="GB12" s="18">
        <v>0</v>
      </c>
      <c r="GC12" s="18">
        <v>18.399999999999999</v>
      </c>
      <c r="GD12" s="18">
        <v>8.4</v>
      </c>
      <c r="GE12" s="18">
        <v>0.2</v>
      </c>
      <c r="GF12" s="18">
        <v>0</v>
      </c>
      <c r="GG12" s="18"/>
      <c r="GH12" s="18"/>
      <c r="GI12" s="18"/>
      <c r="GJ12" s="18"/>
      <c r="GK12" s="11">
        <f t="shared" si="53"/>
        <v>14.100000000000001</v>
      </c>
      <c r="GL12" s="11">
        <f t="shared" si="54"/>
        <v>50.999999999999993</v>
      </c>
      <c r="GM12" s="11">
        <f t="shared" si="55"/>
        <v>26.2</v>
      </c>
      <c r="GN12" s="11">
        <f t="shared" si="56"/>
        <v>21.3</v>
      </c>
      <c r="GO12" s="11">
        <f t="shared" si="57"/>
        <v>77.199999999999989</v>
      </c>
      <c r="GP12" s="11">
        <f t="shared" si="58"/>
        <v>8.4</v>
      </c>
      <c r="GQ12" s="11">
        <f t="shared" si="59"/>
        <v>26.599999999999998</v>
      </c>
      <c r="GR12" s="11">
        <f t="shared" si="60"/>
        <v>103.79999999999998</v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 t="shared" si="61"/>
        <v/>
      </c>
      <c r="HN12" s="40" t="str">
        <f t="shared" si="62"/>
        <v/>
      </c>
      <c r="HO12" s="40" t="str">
        <f t="shared" si="63"/>
        <v/>
      </c>
      <c r="HP12" s="40" t="str">
        <f t="shared" si="64"/>
        <v/>
      </c>
      <c r="HQ12" s="40" t="str">
        <f t="shared" si="65"/>
        <v/>
      </c>
      <c r="HR12" s="40" t="str">
        <f t="shared" si="66"/>
        <v/>
      </c>
      <c r="HS12" s="40" t="str">
        <f t="shared" si="67"/>
        <v/>
      </c>
      <c r="HT12" s="40" t="str">
        <f t="shared" si="68"/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 t="shared" si="69"/>
        <v/>
      </c>
      <c r="IP12" s="11" t="str">
        <f t="shared" si="70"/>
        <v/>
      </c>
      <c r="IQ12" s="11" t="str">
        <f t="shared" si="71"/>
        <v/>
      </c>
      <c r="IR12" s="11" t="str">
        <f t="shared" si="72"/>
        <v/>
      </c>
      <c r="IS12" s="11" t="str">
        <f t="shared" si="73"/>
        <v/>
      </c>
      <c r="IT12" s="11" t="str">
        <f t="shared" si="74"/>
        <v/>
      </c>
      <c r="IU12" s="11" t="str">
        <f t="shared" si="75"/>
        <v/>
      </c>
      <c r="IV12" s="11" t="str">
        <f t="shared" si="76"/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 t="shared" si="77"/>
        <v/>
      </c>
      <c r="JR12" s="40" t="str">
        <f t="shared" si="78"/>
        <v/>
      </c>
      <c r="JS12" s="40" t="str">
        <f t="shared" si="79"/>
        <v/>
      </c>
      <c r="JT12" s="40" t="str">
        <f t="shared" si="80"/>
        <v/>
      </c>
      <c r="JU12" s="40" t="str">
        <f t="shared" si="81"/>
        <v/>
      </c>
      <c r="JV12" s="40" t="str">
        <f t="shared" si="82"/>
        <v/>
      </c>
      <c r="JW12" s="40" t="str">
        <f t="shared" si="83"/>
        <v/>
      </c>
      <c r="JX12" s="40" t="str">
        <f t="shared" si="84"/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 t="shared" si="85"/>
        <v/>
      </c>
      <c r="KT12" s="11" t="str">
        <f t="shared" si="86"/>
        <v/>
      </c>
      <c r="KU12" s="11" t="str">
        <f t="shared" si="87"/>
        <v/>
      </c>
      <c r="KV12" s="11" t="str">
        <f t="shared" si="88"/>
        <v/>
      </c>
      <c r="KW12" s="11" t="str">
        <f t="shared" si="89"/>
        <v/>
      </c>
      <c r="KX12" s="11" t="str">
        <f t="shared" si="90"/>
        <v/>
      </c>
      <c r="KY12" s="11" t="str">
        <f t="shared" si="91"/>
        <v/>
      </c>
      <c r="KZ12" s="11" t="str">
        <f t="shared" si="92"/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 t="shared" si="93"/>
        <v/>
      </c>
      <c r="LV12" s="40" t="str">
        <f t="shared" si="94"/>
        <v/>
      </c>
      <c r="LW12" s="40" t="str">
        <f t="shared" si="95"/>
        <v/>
      </c>
      <c r="LX12" s="40" t="str">
        <f t="shared" si="96"/>
        <v/>
      </c>
      <c r="LY12" s="40" t="str">
        <f t="shared" si="97"/>
        <v/>
      </c>
      <c r="LZ12" s="40" t="str">
        <f t="shared" si="98"/>
        <v/>
      </c>
      <c r="MA12" s="40" t="str">
        <f t="shared" si="99"/>
        <v/>
      </c>
      <c r="MB12" s="40" t="str">
        <f t="shared" si="100"/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 t="shared" si="101"/>
        <v/>
      </c>
      <c r="MX12" s="11" t="str">
        <f t="shared" si="102"/>
        <v/>
      </c>
      <c r="MY12" s="11" t="str">
        <f t="shared" si="103"/>
        <v/>
      </c>
      <c r="MZ12" s="11" t="str">
        <f t="shared" si="104"/>
        <v/>
      </c>
      <c r="NA12" s="11" t="str">
        <f t="shared" si="105"/>
        <v/>
      </c>
      <c r="NB12" s="11" t="str">
        <f t="shared" si="106"/>
        <v/>
      </c>
      <c r="NC12" s="11" t="str">
        <f t="shared" si="107"/>
        <v/>
      </c>
      <c r="ND12" s="11" t="str">
        <f t="shared" si="108"/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 t="shared" si="109"/>
        <v/>
      </c>
      <c r="NZ12" s="40" t="str">
        <f t="shared" si="110"/>
        <v/>
      </c>
      <c r="OA12" s="40" t="str">
        <f t="shared" si="111"/>
        <v/>
      </c>
      <c r="OB12" s="40" t="str">
        <f t="shared" si="112"/>
        <v/>
      </c>
      <c r="OC12" s="40" t="str">
        <f t="shared" si="113"/>
        <v/>
      </c>
      <c r="OD12" s="40" t="str">
        <f t="shared" si="114"/>
        <v/>
      </c>
      <c r="OE12" s="40" t="str">
        <f t="shared" si="115"/>
        <v/>
      </c>
      <c r="OF12" s="40" t="str">
        <f t="shared" si="116"/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 t="shared" si="117"/>
        <v/>
      </c>
      <c r="PB12" s="11" t="str">
        <f t="shared" si="118"/>
        <v/>
      </c>
      <c r="PC12" s="11" t="str">
        <f t="shared" si="119"/>
        <v/>
      </c>
      <c r="PD12" s="11" t="str">
        <f t="shared" si="120"/>
        <v/>
      </c>
      <c r="PE12" s="11" t="str">
        <f t="shared" si="121"/>
        <v/>
      </c>
      <c r="PF12" s="11" t="str">
        <f t="shared" si="122"/>
        <v/>
      </c>
      <c r="PG12" s="11" t="str">
        <f t="shared" si="123"/>
        <v/>
      </c>
      <c r="PH12" s="11" t="str">
        <f t="shared" si="124"/>
        <v/>
      </c>
      <c r="PI12" s="22">
        <f t="shared" si="125"/>
        <v>18.55</v>
      </c>
      <c r="PJ12" s="22">
        <f t="shared" si="126"/>
        <v>6</v>
      </c>
      <c r="PK12" s="22">
        <f t="shared" si="127"/>
        <v>0.4</v>
      </c>
      <c r="PL12" s="22">
        <f t="shared" si="128"/>
        <v>0</v>
      </c>
      <c r="PM12" s="22">
        <f t="shared" si="129"/>
        <v>18.950000000000003</v>
      </c>
      <c r="PN12" s="22">
        <f t="shared" si="130"/>
        <v>6.8</v>
      </c>
      <c r="PO12" s="22">
        <f t="shared" si="131"/>
        <v>0.3</v>
      </c>
      <c r="PP12" s="22">
        <f t="shared" si="132"/>
        <v>0</v>
      </c>
      <c r="PQ12" s="22">
        <f t="shared" si="133"/>
        <v>18.899999999999999</v>
      </c>
      <c r="PR12" s="22">
        <f t="shared" si="134"/>
        <v>6.2</v>
      </c>
      <c r="PS12" s="22">
        <f t="shared" si="135"/>
        <v>0.4</v>
      </c>
      <c r="PT12" s="22">
        <f t="shared" si="136"/>
        <v>0</v>
      </c>
      <c r="PU12" s="22">
        <f t="shared" si="137"/>
        <v>18.95</v>
      </c>
      <c r="PV12" s="22">
        <f t="shared" si="138"/>
        <v>5.6</v>
      </c>
      <c r="PW12" s="22">
        <f t="shared" si="139"/>
        <v>0.6</v>
      </c>
      <c r="PX12" s="22">
        <f t="shared" si="140"/>
        <v>0</v>
      </c>
      <c r="PY12" s="27" t="s">
        <v>46</v>
      </c>
      <c r="PZ12" s="40">
        <f t="shared" si="141"/>
        <v>12.8</v>
      </c>
      <c r="QA12" s="40">
        <f t="shared" si="142"/>
        <v>49.6</v>
      </c>
      <c r="QB12" s="40">
        <f t="shared" si="143"/>
        <v>11.8</v>
      </c>
      <c r="QC12" s="40">
        <f t="shared" si="144"/>
        <v>48.65</v>
      </c>
      <c r="QD12" s="40">
        <f t="shared" si="145"/>
        <v>98.25</v>
      </c>
    </row>
    <row r="13" spans="1:446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89</v>
      </c>
      <c r="D13" s="4" t="s">
        <v>3</v>
      </c>
      <c r="E13" s="4">
        <v>2005</v>
      </c>
      <c r="F13" s="9">
        <f t="shared" si="0"/>
        <v>151.80001013000512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IF(COUNT(AM13,BI13,CE13)&gt;0,LARGE((AM13,BI13,CE13),1),0)</f>
        <v>51.2</v>
      </c>
      <c r="M13" s="8" t="str">
        <f t="shared" si="5"/>
        <v>2025 Nationals</v>
      </c>
      <c r="N13" s="8">
        <f>IF(COUNT(AM13,BI13,CE13)&gt;1,LARGE((AM13,BI13,CE13),2),0)</f>
        <v>50.099999999999994</v>
      </c>
      <c r="O13" s="8" t="str">
        <f t="shared" si="6"/>
        <v>2025 Elite Canada</v>
      </c>
      <c r="P13" s="8">
        <f t="shared" si="7"/>
        <v>50.5</v>
      </c>
      <c r="Q13" s="8" t="str">
        <f t="shared" si="8"/>
        <v>2025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7.2</v>
      </c>
      <c r="W13" s="19">
        <v>0.8</v>
      </c>
      <c r="X13" s="19">
        <v>0</v>
      </c>
      <c r="Y13" s="19">
        <v>18.5</v>
      </c>
      <c r="Z13" s="19">
        <v>6.8</v>
      </c>
      <c r="AA13" s="19">
        <v>0.2</v>
      </c>
      <c r="AB13" s="19">
        <v>0</v>
      </c>
      <c r="AC13" s="19">
        <v>19.2</v>
      </c>
      <c r="AD13" s="19">
        <v>7.2</v>
      </c>
      <c r="AE13" s="19">
        <v>0</v>
      </c>
      <c r="AF13" s="19">
        <v>0</v>
      </c>
      <c r="AG13" s="19">
        <v>18.100000000000001</v>
      </c>
      <c r="AH13" s="19">
        <v>6.8</v>
      </c>
      <c r="AI13" s="19">
        <v>0.8</v>
      </c>
      <c r="AJ13" s="19">
        <v>0</v>
      </c>
      <c r="AK13" s="27"/>
      <c r="AL13" s="40">
        <f t="shared" si="12"/>
        <v>14</v>
      </c>
      <c r="AM13" s="40">
        <f t="shared" si="13"/>
        <v>50.099999999999994</v>
      </c>
      <c r="AN13" s="40">
        <f t="shared" si="14"/>
        <v>14</v>
      </c>
      <c r="AO13" s="40">
        <f t="shared" si="15"/>
        <v>50.5</v>
      </c>
      <c r="AP13" s="40">
        <f t="shared" si="16"/>
        <v>100.6</v>
      </c>
      <c r="AQ13" s="18">
        <v>18.8</v>
      </c>
      <c r="AR13" s="18">
        <v>8</v>
      </c>
      <c r="AS13" s="18">
        <v>0</v>
      </c>
      <c r="AT13" s="18">
        <v>0.3</v>
      </c>
      <c r="AU13" s="18">
        <v>18.100000000000001</v>
      </c>
      <c r="AV13" s="18">
        <v>6.8</v>
      </c>
      <c r="AW13" s="18">
        <v>0.8</v>
      </c>
      <c r="AX13" s="18">
        <v>0</v>
      </c>
      <c r="AY13" s="18">
        <v>15.4</v>
      </c>
      <c r="AZ13" s="18">
        <v>2.8</v>
      </c>
      <c r="BA13" s="18">
        <v>0</v>
      </c>
      <c r="BB13" s="18">
        <v>0</v>
      </c>
      <c r="BC13" s="18">
        <v>18.7</v>
      </c>
      <c r="BD13" s="18">
        <v>6.8</v>
      </c>
      <c r="BE13" s="18">
        <v>0.2</v>
      </c>
      <c r="BF13" s="18">
        <v>0</v>
      </c>
      <c r="BG13" s="28"/>
      <c r="BH13" s="11">
        <f t="shared" si="17"/>
        <v>14.8</v>
      </c>
      <c r="BI13" s="11">
        <f t="shared" si="18"/>
        <v>51.2</v>
      </c>
      <c r="BJ13" s="11">
        <f t="shared" si="19"/>
        <v>9.6</v>
      </c>
      <c r="BK13" s="11">
        <f t="shared" si="20"/>
        <v>43.499999999999993</v>
      </c>
      <c r="BL13" s="11">
        <f t="shared" si="21"/>
        <v>94.699999999999989</v>
      </c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27"/>
      <c r="CD13" s="40" t="str">
        <f t="shared" si="22"/>
        <v/>
      </c>
      <c r="CE13" s="40" t="str">
        <f t="shared" si="23"/>
        <v/>
      </c>
      <c r="CF13" s="40" t="str">
        <f t="shared" si="24"/>
        <v/>
      </c>
      <c r="CG13" s="40" t="str">
        <f t="shared" si="25"/>
        <v/>
      </c>
      <c r="CH13" s="40" t="str">
        <f t="shared" si="26"/>
        <v/>
      </c>
      <c r="CI13" s="50" t="str">
        <f t="shared" si="27"/>
        <v/>
      </c>
      <c r="CJ13" s="50" t="str">
        <f t="shared" si="28"/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 t="shared" si="29"/>
        <v/>
      </c>
      <c r="DF13" s="40" t="str">
        <f t="shared" si="30"/>
        <v/>
      </c>
      <c r="DG13" s="40" t="str">
        <f t="shared" si="31"/>
        <v/>
      </c>
      <c r="DH13" s="40" t="str">
        <f t="shared" si="32"/>
        <v/>
      </c>
      <c r="DI13" s="40" t="str">
        <f t="shared" si="33"/>
        <v/>
      </c>
      <c r="DJ13" s="40" t="str">
        <f t="shared" si="34"/>
        <v/>
      </c>
      <c r="DK13" s="40" t="str">
        <f t="shared" si="35"/>
        <v/>
      </c>
      <c r="DL13" s="40" t="str">
        <f t="shared" si="36"/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 t="shared" si="37"/>
        <v/>
      </c>
      <c r="EH13" s="11" t="str">
        <f t="shared" si="38"/>
        <v/>
      </c>
      <c r="EI13" s="11" t="str">
        <f t="shared" si="39"/>
        <v/>
      </c>
      <c r="EJ13" s="11" t="str">
        <f t="shared" si="40"/>
        <v/>
      </c>
      <c r="EK13" s="11" t="str">
        <f t="shared" si="41"/>
        <v/>
      </c>
      <c r="EL13" s="11" t="str">
        <f t="shared" si="42"/>
        <v/>
      </c>
      <c r="EM13" s="11" t="str">
        <f t="shared" si="43"/>
        <v/>
      </c>
      <c r="EN13" s="11" t="str">
        <f t="shared" si="44"/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 t="shared" si="45"/>
        <v/>
      </c>
      <c r="FJ13" s="40" t="str">
        <f t="shared" si="46"/>
        <v/>
      </c>
      <c r="FK13" s="40" t="str">
        <f t="shared" si="47"/>
        <v/>
      </c>
      <c r="FL13" s="40" t="str">
        <f t="shared" si="48"/>
        <v/>
      </c>
      <c r="FM13" s="40" t="str">
        <f t="shared" si="49"/>
        <v/>
      </c>
      <c r="FN13" s="40" t="str">
        <f t="shared" si="50"/>
        <v/>
      </c>
      <c r="FO13" s="40" t="str">
        <f t="shared" si="51"/>
        <v/>
      </c>
      <c r="FP13" s="40" t="str">
        <f t="shared" si="52"/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 t="shared" si="53"/>
        <v/>
      </c>
      <c r="GL13" s="11" t="str">
        <f t="shared" si="54"/>
        <v/>
      </c>
      <c r="GM13" s="11" t="str">
        <f t="shared" si="55"/>
        <v/>
      </c>
      <c r="GN13" s="11" t="str">
        <f t="shared" si="56"/>
        <v/>
      </c>
      <c r="GO13" s="11" t="str">
        <f t="shared" si="57"/>
        <v/>
      </c>
      <c r="GP13" s="11" t="str">
        <f t="shared" si="58"/>
        <v/>
      </c>
      <c r="GQ13" s="11" t="str">
        <f t="shared" si="59"/>
        <v/>
      </c>
      <c r="GR13" s="11" t="str">
        <f t="shared" si="60"/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 t="shared" si="61"/>
        <v/>
      </c>
      <c r="HN13" s="40" t="str">
        <f t="shared" si="62"/>
        <v/>
      </c>
      <c r="HO13" s="40" t="str">
        <f t="shared" si="63"/>
        <v/>
      </c>
      <c r="HP13" s="40" t="str">
        <f t="shared" si="64"/>
        <v/>
      </c>
      <c r="HQ13" s="40" t="str">
        <f t="shared" si="65"/>
        <v/>
      </c>
      <c r="HR13" s="40" t="str">
        <f t="shared" si="66"/>
        <v/>
      </c>
      <c r="HS13" s="40" t="str">
        <f t="shared" si="67"/>
        <v/>
      </c>
      <c r="HT13" s="40" t="str">
        <f t="shared" si="68"/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 t="shared" si="69"/>
        <v/>
      </c>
      <c r="IP13" s="11" t="str">
        <f t="shared" si="70"/>
        <v/>
      </c>
      <c r="IQ13" s="11" t="str">
        <f t="shared" si="71"/>
        <v/>
      </c>
      <c r="IR13" s="11" t="str">
        <f t="shared" si="72"/>
        <v/>
      </c>
      <c r="IS13" s="11" t="str">
        <f t="shared" si="73"/>
        <v/>
      </c>
      <c r="IT13" s="11" t="str">
        <f t="shared" si="74"/>
        <v/>
      </c>
      <c r="IU13" s="11" t="str">
        <f t="shared" si="75"/>
        <v/>
      </c>
      <c r="IV13" s="11" t="str">
        <f t="shared" si="76"/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 t="shared" si="77"/>
        <v/>
      </c>
      <c r="JR13" s="40" t="str">
        <f t="shared" si="78"/>
        <v/>
      </c>
      <c r="JS13" s="40" t="str">
        <f t="shared" si="79"/>
        <v/>
      </c>
      <c r="JT13" s="40" t="str">
        <f t="shared" si="80"/>
        <v/>
      </c>
      <c r="JU13" s="40" t="str">
        <f t="shared" si="81"/>
        <v/>
      </c>
      <c r="JV13" s="40" t="str">
        <f t="shared" si="82"/>
        <v/>
      </c>
      <c r="JW13" s="40" t="str">
        <f t="shared" si="83"/>
        <v/>
      </c>
      <c r="JX13" s="40" t="str">
        <f t="shared" si="84"/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 t="shared" si="85"/>
        <v/>
      </c>
      <c r="KT13" s="11" t="str">
        <f t="shared" si="86"/>
        <v/>
      </c>
      <c r="KU13" s="11" t="str">
        <f t="shared" si="87"/>
        <v/>
      </c>
      <c r="KV13" s="11" t="str">
        <f t="shared" si="88"/>
        <v/>
      </c>
      <c r="KW13" s="11" t="str">
        <f t="shared" si="89"/>
        <v/>
      </c>
      <c r="KX13" s="11" t="str">
        <f t="shared" si="90"/>
        <v/>
      </c>
      <c r="KY13" s="11" t="str">
        <f t="shared" si="91"/>
        <v/>
      </c>
      <c r="KZ13" s="11" t="str">
        <f t="shared" si="92"/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 t="shared" si="93"/>
        <v/>
      </c>
      <c r="LV13" s="40" t="str">
        <f t="shared" si="94"/>
        <v/>
      </c>
      <c r="LW13" s="40" t="str">
        <f t="shared" si="95"/>
        <v/>
      </c>
      <c r="LX13" s="40" t="str">
        <f t="shared" si="96"/>
        <v/>
      </c>
      <c r="LY13" s="40" t="str">
        <f t="shared" si="97"/>
        <v/>
      </c>
      <c r="LZ13" s="40" t="str">
        <f t="shared" si="98"/>
        <v/>
      </c>
      <c r="MA13" s="40" t="str">
        <f t="shared" si="99"/>
        <v/>
      </c>
      <c r="MB13" s="40" t="str">
        <f t="shared" si="100"/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 t="shared" si="101"/>
        <v/>
      </c>
      <c r="MX13" s="11" t="str">
        <f t="shared" si="102"/>
        <v/>
      </c>
      <c r="MY13" s="11" t="str">
        <f t="shared" si="103"/>
        <v/>
      </c>
      <c r="MZ13" s="11" t="str">
        <f t="shared" si="104"/>
        <v/>
      </c>
      <c r="NA13" s="11" t="str">
        <f t="shared" si="105"/>
        <v/>
      </c>
      <c r="NB13" s="11" t="str">
        <f t="shared" si="106"/>
        <v/>
      </c>
      <c r="NC13" s="11" t="str">
        <f t="shared" si="107"/>
        <v/>
      </c>
      <c r="ND13" s="11" t="str">
        <f t="shared" si="108"/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 t="shared" si="109"/>
        <v/>
      </c>
      <c r="NZ13" s="40" t="str">
        <f t="shared" si="110"/>
        <v/>
      </c>
      <c r="OA13" s="40" t="str">
        <f t="shared" si="111"/>
        <v/>
      </c>
      <c r="OB13" s="40" t="str">
        <f t="shared" si="112"/>
        <v/>
      </c>
      <c r="OC13" s="40" t="str">
        <f t="shared" si="113"/>
        <v/>
      </c>
      <c r="OD13" s="40" t="str">
        <f t="shared" si="114"/>
        <v/>
      </c>
      <c r="OE13" s="40" t="str">
        <f t="shared" si="115"/>
        <v/>
      </c>
      <c r="OF13" s="40" t="str">
        <f t="shared" si="116"/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 t="shared" si="117"/>
        <v/>
      </c>
      <c r="PB13" s="11" t="str">
        <f t="shared" si="118"/>
        <v/>
      </c>
      <c r="PC13" s="11" t="str">
        <f t="shared" si="119"/>
        <v/>
      </c>
      <c r="PD13" s="11" t="str">
        <f t="shared" si="120"/>
        <v/>
      </c>
      <c r="PE13" s="11" t="str">
        <f t="shared" si="121"/>
        <v/>
      </c>
      <c r="PF13" s="11" t="str">
        <f t="shared" si="122"/>
        <v/>
      </c>
      <c r="PG13" s="11" t="str">
        <f t="shared" si="123"/>
        <v/>
      </c>
      <c r="PH13" s="11" t="str">
        <f t="shared" si="124"/>
        <v/>
      </c>
      <c r="PI13" s="22">
        <f t="shared" si="125"/>
        <v>9.4</v>
      </c>
      <c r="PJ13" s="22">
        <f t="shared" si="126"/>
        <v>4</v>
      </c>
      <c r="PK13" s="22">
        <f t="shared" si="127"/>
        <v>0</v>
      </c>
      <c r="PL13" s="22">
        <f t="shared" si="128"/>
        <v>0.15</v>
      </c>
      <c r="PM13" s="22">
        <f t="shared" si="129"/>
        <v>9.0500000000000007</v>
      </c>
      <c r="PN13" s="22">
        <f t="shared" si="130"/>
        <v>3.4</v>
      </c>
      <c r="PO13" s="22">
        <f t="shared" si="131"/>
        <v>0.4</v>
      </c>
      <c r="PP13" s="22">
        <f t="shared" si="132"/>
        <v>0</v>
      </c>
      <c r="PQ13" s="22">
        <f t="shared" si="133"/>
        <v>7.7</v>
      </c>
      <c r="PR13" s="22">
        <f t="shared" si="134"/>
        <v>1.4</v>
      </c>
      <c r="PS13" s="22">
        <f t="shared" si="135"/>
        <v>0</v>
      </c>
      <c r="PT13" s="22">
        <f t="shared" si="136"/>
        <v>0</v>
      </c>
      <c r="PU13" s="22">
        <f t="shared" si="137"/>
        <v>9.35</v>
      </c>
      <c r="PV13" s="22">
        <f t="shared" si="138"/>
        <v>3.4</v>
      </c>
      <c r="PW13" s="22">
        <f t="shared" si="139"/>
        <v>0.1</v>
      </c>
      <c r="PX13" s="22">
        <f t="shared" si="140"/>
        <v>0</v>
      </c>
      <c r="PY13" s="27" t="s">
        <v>46</v>
      </c>
      <c r="PZ13" s="40">
        <f t="shared" si="141"/>
        <v>7.4</v>
      </c>
      <c r="QA13" s="40">
        <f t="shared" si="142"/>
        <v>25.6</v>
      </c>
      <c r="QB13" s="40">
        <f t="shared" si="143"/>
        <v>4.8</v>
      </c>
      <c r="QC13" s="40">
        <f t="shared" si="144"/>
        <v>21.749999999999996</v>
      </c>
      <c r="QD13" s="40">
        <f t="shared" si="145"/>
        <v>47.349999999999994</v>
      </c>
    </row>
    <row r="14" spans="1:446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192</v>
      </c>
      <c r="D14" s="4" t="s">
        <v>3</v>
      </c>
      <c r="E14" s="4">
        <v>2009</v>
      </c>
      <c r="F14" s="9">
        <f t="shared" si="0"/>
        <v>149.90000983000502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IF(COUNT(AM14,BI14,CE14)&gt;0,LARGE((AM14,BI14,CE14),1),0)</f>
        <v>49.6</v>
      </c>
      <c r="M14" s="8" t="str">
        <f t="shared" si="5"/>
        <v>2025 Nationals</v>
      </c>
      <c r="N14" s="8">
        <f>IF(COUNT(AM14,BI14,CE14)&gt;1,LARGE((AM14,BI14,CE14),2),0)</f>
        <v>48.7</v>
      </c>
      <c r="O14" s="8" t="str">
        <f t="shared" si="6"/>
        <v>2025 Elite Canada</v>
      </c>
      <c r="P14" s="8">
        <f t="shared" si="7"/>
        <v>48.900000000000006</v>
      </c>
      <c r="Q14" s="8" t="str">
        <f t="shared" si="8"/>
        <v>2025 Nationals</v>
      </c>
      <c r="R14" s="8">
        <f t="shared" si="9"/>
        <v>2.7000000000000028</v>
      </c>
      <c r="S14" s="11" t="str">
        <f t="shared" si="10"/>
        <v>(Q1)</v>
      </c>
      <c r="T14" s="8" t="str">
        <f t="shared" si="11"/>
        <v>2025 WAGC (Nov 16)</v>
      </c>
      <c r="U14" s="19">
        <v>18.3</v>
      </c>
      <c r="V14" s="19">
        <v>6.4</v>
      </c>
      <c r="W14" s="19">
        <v>0</v>
      </c>
      <c r="X14" s="19">
        <v>0</v>
      </c>
      <c r="Y14" s="19">
        <v>18.2</v>
      </c>
      <c r="Z14" s="19">
        <v>6</v>
      </c>
      <c r="AA14" s="19">
        <v>0.2</v>
      </c>
      <c r="AB14" s="19">
        <v>0</v>
      </c>
      <c r="AC14" s="19">
        <v>18.600000000000001</v>
      </c>
      <c r="AD14" s="19">
        <v>6.4</v>
      </c>
      <c r="AE14" s="19">
        <v>0.2</v>
      </c>
      <c r="AF14" s="19">
        <v>0</v>
      </c>
      <c r="AG14" s="19">
        <v>18.3</v>
      </c>
      <c r="AH14" s="19">
        <v>5.2</v>
      </c>
      <c r="AI14" s="19">
        <v>0</v>
      </c>
      <c r="AJ14" s="19">
        <v>0</v>
      </c>
      <c r="AK14" s="27"/>
      <c r="AL14" s="40">
        <f t="shared" si="12"/>
        <v>12.4</v>
      </c>
      <c r="AM14" s="40">
        <f t="shared" si="13"/>
        <v>48.7</v>
      </c>
      <c r="AN14" s="40">
        <f t="shared" si="14"/>
        <v>11.600000000000001</v>
      </c>
      <c r="AO14" s="40">
        <f t="shared" si="15"/>
        <v>48.3</v>
      </c>
      <c r="AP14" s="40">
        <f t="shared" si="16"/>
        <v>97</v>
      </c>
      <c r="AQ14" s="18">
        <v>18.5</v>
      </c>
      <c r="AR14" s="18">
        <v>7.2</v>
      </c>
      <c r="AS14" s="18">
        <v>0.8</v>
      </c>
      <c r="AT14" s="18">
        <v>0</v>
      </c>
      <c r="AU14" s="18">
        <v>18.7</v>
      </c>
      <c r="AV14" s="18">
        <v>6.8</v>
      </c>
      <c r="AW14" s="18">
        <v>0.8</v>
      </c>
      <c r="AX14" s="18">
        <v>0</v>
      </c>
      <c r="AY14" s="18">
        <v>18.100000000000001</v>
      </c>
      <c r="AZ14" s="18">
        <v>6</v>
      </c>
      <c r="BA14" s="18">
        <v>0.6</v>
      </c>
      <c r="BB14" s="18">
        <v>0</v>
      </c>
      <c r="BC14" s="18">
        <v>19</v>
      </c>
      <c r="BD14" s="18">
        <v>7.2</v>
      </c>
      <c r="BE14" s="18">
        <v>0.8</v>
      </c>
      <c r="BF14" s="18">
        <v>0</v>
      </c>
      <c r="BG14" s="28"/>
      <c r="BH14" s="11">
        <f t="shared" si="17"/>
        <v>14</v>
      </c>
      <c r="BI14" s="11">
        <f t="shared" si="18"/>
        <v>49.6</v>
      </c>
      <c r="BJ14" s="11">
        <f t="shared" si="19"/>
        <v>13.2</v>
      </c>
      <c r="BK14" s="11">
        <f t="shared" si="20"/>
        <v>48.900000000000006</v>
      </c>
      <c r="BL14" s="11">
        <f t="shared" si="21"/>
        <v>98.5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 t="shared" si="22"/>
        <v/>
      </c>
      <c r="CE14" s="40" t="str">
        <f t="shared" si="23"/>
        <v/>
      </c>
      <c r="CF14" s="40" t="str">
        <f t="shared" si="24"/>
        <v/>
      </c>
      <c r="CG14" s="40" t="str">
        <f t="shared" si="25"/>
        <v/>
      </c>
      <c r="CH14" s="40" t="str">
        <f t="shared" si="26"/>
        <v/>
      </c>
      <c r="CI14" s="50">
        <f t="shared" si="27"/>
        <v>2.7000000000000028</v>
      </c>
      <c r="CJ14" s="50" t="str">
        <f t="shared" si="28"/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 t="shared" si="29"/>
        <v/>
      </c>
      <c r="DF14" s="40" t="str">
        <f t="shared" si="30"/>
        <v/>
      </c>
      <c r="DG14" s="40" t="str">
        <f t="shared" si="31"/>
        <v/>
      </c>
      <c r="DH14" s="40" t="str">
        <f t="shared" si="32"/>
        <v/>
      </c>
      <c r="DI14" s="40" t="str">
        <f t="shared" si="33"/>
        <v/>
      </c>
      <c r="DJ14" s="40" t="str">
        <f t="shared" si="34"/>
        <v/>
      </c>
      <c r="DK14" s="40" t="str">
        <f t="shared" si="35"/>
        <v/>
      </c>
      <c r="DL14" s="40" t="str">
        <f t="shared" si="36"/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 t="shared" si="37"/>
        <v/>
      </c>
      <c r="EH14" s="11" t="str">
        <f t="shared" si="38"/>
        <v/>
      </c>
      <c r="EI14" s="11" t="str">
        <f t="shared" si="39"/>
        <v/>
      </c>
      <c r="EJ14" s="11" t="str">
        <f t="shared" si="40"/>
        <v/>
      </c>
      <c r="EK14" s="11" t="str">
        <f t="shared" si="41"/>
        <v/>
      </c>
      <c r="EL14" s="11" t="str">
        <f t="shared" si="42"/>
        <v/>
      </c>
      <c r="EM14" s="11" t="str">
        <f t="shared" si="43"/>
        <v/>
      </c>
      <c r="EN14" s="11" t="str">
        <f t="shared" si="44"/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 t="shared" si="45"/>
        <v/>
      </c>
      <c r="FJ14" s="40" t="str">
        <f t="shared" si="46"/>
        <v/>
      </c>
      <c r="FK14" s="40" t="str">
        <f t="shared" si="47"/>
        <v/>
      </c>
      <c r="FL14" s="40" t="str">
        <f t="shared" si="48"/>
        <v/>
      </c>
      <c r="FM14" s="40" t="str">
        <f t="shared" si="49"/>
        <v/>
      </c>
      <c r="FN14" s="40" t="str">
        <f t="shared" si="50"/>
        <v/>
      </c>
      <c r="FO14" s="40" t="str">
        <f t="shared" si="51"/>
        <v/>
      </c>
      <c r="FP14" s="40" t="str">
        <f t="shared" si="52"/>
        <v/>
      </c>
      <c r="FQ14" s="18">
        <v>18.8</v>
      </c>
      <c r="FR14" s="18">
        <v>8.4</v>
      </c>
      <c r="FS14" s="18">
        <v>0.2</v>
      </c>
      <c r="FT14" s="18">
        <v>0</v>
      </c>
      <c r="FU14" s="18">
        <v>18</v>
      </c>
      <c r="FV14" s="18">
        <v>7.2</v>
      </c>
      <c r="FW14" s="18">
        <v>0.8</v>
      </c>
      <c r="FX14" s="18">
        <v>0</v>
      </c>
      <c r="FY14" s="18">
        <v>15.2</v>
      </c>
      <c r="FZ14" s="18">
        <v>3.6</v>
      </c>
      <c r="GA14" s="18">
        <v>0</v>
      </c>
      <c r="GB14" s="18">
        <v>0</v>
      </c>
      <c r="GC14" s="18"/>
      <c r="GD14" s="18"/>
      <c r="GE14" s="18"/>
      <c r="GF14" s="18"/>
      <c r="GG14" s="18"/>
      <c r="GH14" s="18"/>
      <c r="GI14" s="18"/>
      <c r="GJ14" s="18"/>
      <c r="GK14" s="11">
        <f t="shared" si="53"/>
        <v>15.600000000000001</v>
      </c>
      <c r="GL14" s="11">
        <f t="shared" si="54"/>
        <v>51.400000000000006</v>
      </c>
      <c r="GM14" s="11">
        <f t="shared" si="55"/>
        <v>18.8</v>
      </c>
      <c r="GN14" s="11">
        <f t="shared" si="56"/>
        <v>19.200000000000003</v>
      </c>
      <c r="GO14" s="11">
        <f t="shared" si="57"/>
        <v>70.2</v>
      </c>
      <c r="GP14" s="11" t="str">
        <f t="shared" si="58"/>
        <v/>
      </c>
      <c r="GQ14" s="11" t="str">
        <f t="shared" si="59"/>
        <v/>
      </c>
      <c r="GR14" s="11">
        <f t="shared" si="60"/>
        <v>70.2</v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 t="shared" si="61"/>
        <v/>
      </c>
      <c r="HN14" s="40" t="str">
        <f t="shared" si="62"/>
        <v/>
      </c>
      <c r="HO14" s="40" t="str">
        <f t="shared" si="63"/>
        <v/>
      </c>
      <c r="HP14" s="40" t="str">
        <f t="shared" si="64"/>
        <v/>
      </c>
      <c r="HQ14" s="40" t="str">
        <f t="shared" si="65"/>
        <v/>
      </c>
      <c r="HR14" s="40" t="str">
        <f t="shared" si="66"/>
        <v/>
      </c>
      <c r="HS14" s="40" t="str">
        <f t="shared" si="67"/>
        <v/>
      </c>
      <c r="HT14" s="40" t="str">
        <f t="shared" si="68"/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 t="shared" si="69"/>
        <v/>
      </c>
      <c r="IP14" s="11" t="str">
        <f t="shared" si="70"/>
        <v/>
      </c>
      <c r="IQ14" s="11" t="str">
        <f t="shared" si="71"/>
        <v/>
      </c>
      <c r="IR14" s="11" t="str">
        <f t="shared" si="72"/>
        <v/>
      </c>
      <c r="IS14" s="11" t="str">
        <f t="shared" si="73"/>
        <v/>
      </c>
      <c r="IT14" s="11" t="str">
        <f t="shared" si="74"/>
        <v/>
      </c>
      <c r="IU14" s="11" t="str">
        <f t="shared" si="75"/>
        <v/>
      </c>
      <c r="IV14" s="11" t="str">
        <f t="shared" si="76"/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 t="shared" si="77"/>
        <v/>
      </c>
      <c r="JR14" s="40" t="str">
        <f t="shared" si="78"/>
        <v/>
      </c>
      <c r="JS14" s="40" t="str">
        <f t="shared" si="79"/>
        <v/>
      </c>
      <c r="JT14" s="40" t="str">
        <f t="shared" si="80"/>
        <v/>
      </c>
      <c r="JU14" s="40" t="str">
        <f t="shared" si="81"/>
        <v/>
      </c>
      <c r="JV14" s="40" t="str">
        <f t="shared" si="82"/>
        <v/>
      </c>
      <c r="JW14" s="40" t="str">
        <f t="shared" si="83"/>
        <v/>
      </c>
      <c r="JX14" s="40" t="str">
        <f t="shared" si="84"/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 t="shared" si="85"/>
        <v/>
      </c>
      <c r="KT14" s="11" t="str">
        <f t="shared" si="86"/>
        <v/>
      </c>
      <c r="KU14" s="11" t="str">
        <f t="shared" si="87"/>
        <v/>
      </c>
      <c r="KV14" s="11" t="str">
        <f t="shared" si="88"/>
        <v/>
      </c>
      <c r="KW14" s="11" t="str">
        <f t="shared" si="89"/>
        <v/>
      </c>
      <c r="KX14" s="11" t="str">
        <f t="shared" si="90"/>
        <v/>
      </c>
      <c r="KY14" s="11" t="str">
        <f t="shared" si="91"/>
        <v/>
      </c>
      <c r="KZ14" s="11" t="str">
        <f t="shared" si="92"/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 t="shared" si="93"/>
        <v/>
      </c>
      <c r="LV14" s="40" t="str">
        <f t="shared" si="94"/>
        <v/>
      </c>
      <c r="LW14" s="40" t="str">
        <f t="shared" si="95"/>
        <v/>
      </c>
      <c r="LX14" s="40" t="str">
        <f t="shared" si="96"/>
        <v/>
      </c>
      <c r="LY14" s="40" t="str">
        <f t="shared" si="97"/>
        <v/>
      </c>
      <c r="LZ14" s="40" t="str">
        <f t="shared" si="98"/>
        <v/>
      </c>
      <c r="MA14" s="40" t="str">
        <f t="shared" si="99"/>
        <v/>
      </c>
      <c r="MB14" s="40" t="str">
        <f t="shared" si="100"/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 t="shared" si="101"/>
        <v/>
      </c>
      <c r="MX14" s="11" t="str">
        <f t="shared" si="102"/>
        <v/>
      </c>
      <c r="MY14" s="11" t="str">
        <f t="shared" si="103"/>
        <v/>
      </c>
      <c r="MZ14" s="11" t="str">
        <f t="shared" si="104"/>
        <v/>
      </c>
      <c r="NA14" s="11" t="str">
        <f t="shared" si="105"/>
        <v/>
      </c>
      <c r="NB14" s="11" t="str">
        <f t="shared" si="106"/>
        <v/>
      </c>
      <c r="NC14" s="11" t="str">
        <f t="shared" si="107"/>
        <v/>
      </c>
      <c r="ND14" s="11" t="str">
        <f t="shared" si="108"/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 t="shared" si="109"/>
        <v/>
      </c>
      <c r="NZ14" s="40" t="str">
        <f t="shared" si="110"/>
        <v/>
      </c>
      <c r="OA14" s="40" t="str">
        <f t="shared" si="111"/>
        <v/>
      </c>
      <c r="OB14" s="40" t="str">
        <f t="shared" si="112"/>
        <v/>
      </c>
      <c r="OC14" s="40" t="str">
        <f t="shared" si="113"/>
        <v/>
      </c>
      <c r="OD14" s="40" t="str">
        <f t="shared" si="114"/>
        <v/>
      </c>
      <c r="OE14" s="40" t="str">
        <f t="shared" si="115"/>
        <v/>
      </c>
      <c r="OF14" s="40" t="str">
        <f t="shared" si="116"/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 t="shared" si="117"/>
        <v/>
      </c>
      <c r="PB14" s="11" t="str">
        <f t="shared" si="118"/>
        <v/>
      </c>
      <c r="PC14" s="11" t="str">
        <f t="shared" si="119"/>
        <v/>
      </c>
      <c r="PD14" s="11" t="str">
        <f t="shared" si="120"/>
        <v/>
      </c>
      <c r="PE14" s="11" t="str">
        <f t="shared" si="121"/>
        <v/>
      </c>
      <c r="PF14" s="11" t="str">
        <f t="shared" si="122"/>
        <v/>
      </c>
      <c r="PG14" s="11" t="str">
        <f t="shared" si="123"/>
        <v/>
      </c>
      <c r="PH14" s="11" t="str">
        <f t="shared" si="124"/>
        <v/>
      </c>
      <c r="PI14" s="22">
        <f t="shared" si="125"/>
        <v>9.25</v>
      </c>
      <c r="PJ14" s="22">
        <f t="shared" si="126"/>
        <v>3.6</v>
      </c>
      <c r="PK14" s="22">
        <f t="shared" si="127"/>
        <v>0.4</v>
      </c>
      <c r="PL14" s="22">
        <f t="shared" si="128"/>
        <v>0</v>
      </c>
      <c r="PM14" s="22">
        <f t="shared" si="129"/>
        <v>9.35</v>
      </c>
      <c r="PN14" s="22">
        <f t="shared" si="130"/>
        <v>3.4</v>
      </c>
      <c r="PO14" s="22">
        <f t="shared" si="131"/>
        <v>0.4</v>
      </c>
      <c r="PP14" s="22">
        <f t="shared" si="132"/>
        <v>0</v>
      </c>
      <c r="PQ14" s="22">
        <f t="shared" si="133"/>
        <v>9.0500000000000007</v>
      </c>
      <c r="PR14" s="22">
        <f t="shared" si="134"/>
        <v>3</v>
      </c>
      <c r="PS14" s="22">
        <f t="shared" si="135"/>
        <v>0.3</v>
      </c>
      <c r="PT14" s="22">
        <f t="shared" si="136"/>
        <v>0</v>
      </c>
      <c r="PU14" s="22">
        <f t="shared" si="137"/>
        <v>9.5</v>
      </c>
      <c r="PV14" s="22">
        <f t="shared" si="138"/>
        <v>3.6</v>
      </c>
      <c r="PW14" s="22">
        <f t="shared" si="139"/>
        <v>0.4</v>
      </c>
      <c r="PX14" s="22">
        <f t="shared" si="140"/>
        <v>0</v>
      </c>
      <c r="PY14" s="27" t="s">
        <v>46</v>
      </c>
      <c r="PZ14" s="40">
        <f t="shared" si="141"/>
        <v>7</v>
      </c>
      <c r="QA14" s="40">
        <f t="shared" si="142"/>
        <v>24.8</v>
      </c>
      <c r="QB14" s="40">
        <f t="shared" si="143"/>
        <v>6.6</v>
      </c>
      <c r="QC14" s="40">
        <f t="shared" si="144"/>
        <v>24.450000000000003</v>
      </c>
      <c r="QD14" s="40">
        <f t="shared" si="145"/>
        <v>49.25</v>
      </c>
    </row>
    <row r="15" spans="1:446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121</v>
      </c>
      <c r="D15" s="4" t="s">
        <v>5</v>
      </c>
      <c r="E15" s="4">
        <v>2007</v>
      </c>
      <c r="F15" s="9">
        <f t="shared" si="0"/>
        <v>146.90000961000501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IF(COUNT(AM15,BI15,CE15)&gt;0,LARGE((AM15,BI15,CE15),1),0)</f>
        <v>49.999999999999993</v>
      </c>
      <c r="M15" s="8" t="str">
        <f t="shared" si="5"/>
        <v>2025 Elite Canada</v>
      </c>
      <c r="N15" s="8">
        <f>IF(COUNT(AM15,BI15,CE15)&gt;1,LARGE((AM15,BI15,CE15),2),0)</f>
        <v>46.099999999999994</v>
      </c>
      <c r="O15" s="8" t="str">
        <f t="shared" si="6"/>
        <v>2025 Nationals</v>
      </c>
      <c r="P15" s="8">
        <f t="shared" si="7"/>
        <v>50.800000000000004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18.899999999999999</v>
      </c>
      <c r="V15" s="19">
        <v>6.4</v>
      </c>
      <c r="W15" s="19">
        <v>0.4</v>
      </c>
      <c r="X15" s="19">
        <v>0</v>
      </c>
      <c r="Y15" s="19">
        <v>18.600000000000001</v>
      </c>
      <c r="Z15" s="19">
        <v>6.8</v>
      </c>
      <c r="AA15" s="19">
        <v>0.6</v>
      </c>
      <c r="AB15" s="19">
        <v>0.3</v>
      </c>
      <c r="AC15" s="19">
        <v>16.8</v>
      </c>
      <c r="AD15" s="19">
        <v>9.3000000000000007</v>
      </c>
      <c r="AE15" s="19">
        <v>1</v>
      </c>
      <c r="AF15" s="19">
        <v>0.3</v>
      </c>
      <c r="AG15" s="19">
        <v>18.7</v>
      </c>
      <c r="AH15" s="19">
        <v>7.2</v>
      </c>
      <c r="AI15" s="19">
        <v>0.8</v>
      </c>
      <c r="AJ15" s="19">
        <v>0.3</v>
      </c>
      <c r="AK15" s="27"/>
      <c r="AL15" s="40">
        <f t="shared" si="12"/>
        <v>13.2</v>
      </c>
      <c r="AM15" s="40">
        <f t="shared" si="13"/>
        <v>49.999999999999993</v>
      </c>
      <c r="AN15" s="40">
        <f t="shared" si="14"/>
        <v>16.5</v>
      </c>
      <c r="AO15" s="40">
        <f t="shared" si="15"/>
        <v>50.800000000000004</v>
      </c>
      <c r="AP15" s="40">
        <f t="shared" si="16"/>
        <v>100.8</v>
      </c>
      <c r="AQ15" s="18">
        <v>18.3</v>
      </c>
      <c r="AR15" s="18">
        <v>9.3000000000000007</v>
      </c>
      <c r="AS15" s="18">
        <v>0.2</v>
      </c>
      <c r="AT15" s="18">
        <v>0.3</v>
      </c>
      <c r="AU15" s="18">
        <v>15.6</v>
      </c>
      <c r="AV15" s="18">
        <v>2.8</v>
      </c>
      <c r="AW15" s="18">
        <v>0</v>
      </c>
      <c r="AX15" s="18">
        <v>0</v>
      </c>
      <c r="AY15" s="18"/>
      <c r="AZ15" s="18"/>
      <c r="BA15" s="18"/>
      <c r="BB15" s="18"/>
      <c r="BC15" s="18"/>
      <c r="BD15" s="18"/>
      <c r="BE15" s="18"/>
      <c r="BF15" s="18"/>
      <c r="BG15" s="28"/>
      <c r="BH15" s="11">
        <f t="shared" si="17"/>
        <v>12.100000000000001</v>
      </c>
      <c r="BI15" s="11">
        <f t="shared" si="18"/>
        <v>46.099999999999994</v>
      </c>
      <c r="BJ15" s="11" t="str">
        <f t="shared" si="19"/>
        <v/>
      </c>
      <c r="BK15" s="11" t="str">
        <f t="shared" si="20"/>
        <v/>
      </c>
      <c r="BL15" s="11">
        <f t="shared" si="21"/>
        <v>46.099999999999994</v>
      </c>
      <c r="BM15" s="19">
        <v>15.5</v>
      </c>
      <c r="BN15" s="19">
        <v>4.8</v>
      </c>
      <c r="BO15" s="19">
        <v>0</v>
      </c>
      <c r="BP15" s="19">
        <v>0.3</v>
      </c>
      <c r="BQ15" s="19">
        <v>16.8</v>
      </c>
      <c r="BR15" s="19">
        <v>7.6</v>
      </c>
      <c r="BS15" s="19">
        <v>1</v>
      </c>
      <c r="BT15" s="19">
        <v>0</v>
      </c>
      <c r="BU15" s="19"/>
      <c r="BV15" s="19"/>
      <c r="BW15" s="19"/>
      <c r="BX15" s="19"/>
      <c r="BY15" s="19"/>
      <c r="BZ15" s="19"/>
      <c r="CA15" s="19"/>
      <c r="CB15" s="19"/>
      <c r="CC15" s="27"/>
      <c r="CD15" s="40">
        <f t="shared" si="22"/>
        <v>12.399999999999999</v>
      </c>
      <c r="CE15" s="40">
        <f t="shared" si="23"/>
        <v>44.000000000000007</v>
      </c>
      <c r="CF15" s="40" t="str">
        <f t="shared" si="24"/>
        <v/>
      </c>
      <c r="CG15" s="40" t="str">
        <f t="shared" si="25"/>
        <v/>
      </c>
      <c r="CH15" s="40">
        <f t="shared" si="26"/>
        <v>44.000000000000007</v>
      </c>
      <c r="CI15" s="50" t="str">
        <f t="shared" si="27"/>
        <v/>
      </c>
      <c r="CJ15" s="50" t="str">
        <f t="shared" si="28"/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 t="shared" si="29"/>
        <v/>
      </c>
      <c r="DF15" s="40" t="str">
        <f t="shared" si="30"/>
        <v/>
      </c>
      <c r="DG15" s="40" t="str">
        <f t="shared" si="31"/>
        <v/>
      </c>
      <c r="DH15" s="40" t="str">
        <f t="shared" si="32"/>
        <v/>
      </c>
      <c r="DI15" s="40" t="str">
        <f t="shared" si="33"/>
        <v/>
      </c>
      <c r="DJ15" s="40" t="str">
        <f t="shared" si="34"/>
        <v/>
      </c>
      <c r="DK15" s="40" t="str">
        <f t="shared" si="35"/>
        <v/>
      </c>
      <c r="DL15" s="40" t="str">
        <f t="shared" si="36"/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 t="shared" si="37"/>
        <v/>
      </c>
      <c r="EH15" s="11" t="str">
        <f t="shared" si="38"/>
        <v/>
      </c>
      <c r="EI15" s="11" t="str">
        <f t="shared" si="39"/>
        <v/>
      </c>
      <c r="EJ15" s="11" t="str">
        <f t="shared" si="40"/>
        <v/>
      </c>
      <c r="EK15" s="11" t="str">
        <f t="shared" si="41"/>
        <v/>
      </c>
      <c r="EL15" s="11" t="str">
        <f t="shared" si="42"/>
        <v/>
      </c>
      <c r="EM15" s="11" t="str">
        <f t="shared" si="43"/>
        <v/>
      </c>
      <c r="EN15" s="11" t="str">
        <f t="shared" si="44"/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 t="shared" si="45"/>
        <v/>
      </c>
      <c r="FJ15" s="40" t="str">
        <f t="shared" si="46"/>
        <v/>
      </c>
      <c r="FK15" s="40" t="str">
        <f t="shared" si="47"/>
        <v/>
      </c>
      <c r="FL15" s="40" t="str">
        <f t="shared" si="48"/>
        <v/>
      </c>
      <c r="FM15" s="40" t="str">
        <f t="shared" si="49"/>
        <v/>
      </c>
      <c r="FN15" s="40" t="str">
        <f t="shared" si="50"/>
        <v/>
      </c>
      <c r="FO15" s="40" t="str">
        <f t="shared" si="51"/>
        <v/>
      </c>
      <c r="FP15" s="40" t="str">
        <f t="shared" si="52"/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 t="shared" si="53"/>
        <v/>
      </c>
      <c r="GL15" s="11" t="str">
        <f t="shared" si="54"/>
        <v/>
      </c>
      <c r="GM15" s="11" t="str">
        <f t="shared" si="55"/>
        <v/>
      </c>
      <c r="GN15" s="11" t="str">
        <f t="shared" si="56"/>
        <v/>
      </c>
      <c r="GO15" s="11" t="str">
        <f t="shared" si="57"/>
        <v/>
      </c>
      <c r="GP15" s="11" t="str">
        <f t="shared" si="58"/>
        <v/>
      </c>
      <c r="GQ15" s="11" t="str">
        <f t="shared" si="59"/>
        <v/>
      </c>
      <c r="GR15" s="11" t="str">
        <f t="shared" si="60"/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 t="shared" si="61"/>
        <v/>
      </c>
      <c r="HN15" s="40" t="str">
        <f t="shared" si="62"/>
        <v/>
      </c>
      <c r="HO15" s="40" t="str">
        <f t="shared" si="63"/>
        <v/>
      </c>
      <c r="HP15" s="40" t="str">
        <f t="shared" si="64"/>
        <v/>
      </c>
      <c r="HQ15" s="40" t="str">
        <f t="shared" si="65"/>
        <v/>
      </c>
      <c r="HR15" s="40" t="str">
        <f t="shared" si="66"/>
        <v/>
      </c>
      <c r="HS15" s="40" t="str">
        <f t="shared" si="67"/>
        <v/>
      </c>
      <c r="HT15" s="40" t="str">
        <f t="shared" si="68"/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 t="shared" si="69"/>
        <v/>
      </c>
      <c r="IP15" s="11" t="str">
        <f t="shared" si="70"/>
        <v/>
      </c>
      <c r="IQ15" s="11" t="str">
        <f t="shared" si="71"/>
        <v/>
      </c>
      <c r="IR15" s="11" t="str">
        <f t="shared" si="72"/>
        <v/>
      </c>
      <c r="IS15" s="11" t="str">
        <f t="shared" si="73"/>
        <v/>
      </c>
      <c r="IT15" s="11" t="str">
        <f t="shared" si="74"/>
        <v/>
      </c>
      <c r="IU15" s="11" t="str">
        <f t="shared" si="75"/>
        <v/>
      </c>
      <c r="IV15" s="11" t="str">
        <f t="shared" si="76"/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 t="shared" si="77"/>
        <v/>
      </c>
      <c r="JR15" s="40" t="str">
        <f t="shared" si="78"/>
        <v/>
      </c>
      <c r="JS15" s="40" t="str">
        <f t="shared" si="79"/>
        <v/>
      </c>
      <c r="JT15" s="40" t="str">
        <f t="shared" si="80"/>
        <v/>
      </c>
      <c r="JU15" s="40" t="str">
        <f t="shared" si="81"/>
        <v/>
      </c>
      <c r="JV15" s="40" t="str">
        <f t="shared" si="82"/>
        <v/>
      </c>
      <c r="JW15" s="40" t="str">
        <f t="shared" si="83"/>
        <v/>
      </c>
      <c r="JX15" s="40" t="str">
        <f t="shared" si="84"/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 t="shared" si="85"/>
        <v/>
      </c>
      <c r="KT15" s="11" t="str">
        <f t="shared" si="86"/>
        <v/>
      </c>
      <c r="KU15" s="11" t="str">
        <f t="shared" si="87"/>
        <v/>
      </c>
      <c r="KV15" s="11" t="str">
        <f t="shared" si="88"/>
        <v/>
      </c>
      <c r="KW15" s="11" t="str">
        <f t="shared" si="89"/>
        <v/>
      </c>
      <c r="KX15" s="11" t="str">
        <f t="shared" si="90"/>
        <v/>
      </c>
      <c r="KY15" s="11" t="str">
        <f t="shared" si="91"/>
        <v/>
      </c>
      <c r="KZ15" s="11" t="str">
        <f t="shared" si="92"/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 t="shared" si="93"/>
        <v/>
      </c>
      <c r="LV15" s="40" t="str">
        <f t="shared" si="94"/>
        <v/>
      </c>
      <c r="LW15" s="40" t="str">
        <f t="shared" si="95"/>
        <v/>
      </c>
      <c r="LX15" s="40" t="str">
        <f t="shared" si="96"/>
        <v/>
      </c>
      <c r="LY15" s="40" t="str">
        <f t="shared" si="97"/>
        <v/>
      </c>
      <c r="LZ15" s="40" t="str">
        <f t="shared" si="98"/>
        <v/>
      </c>
      <c r="MA15" s="40" t="str">
        <f t="shared" si="99"/>
        <v/>
      </c>
      <c r="MB15" s="40" t="str">
        <f t="shared" si="100"/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 t="shared" si="101"/>
        <v/>
      </c>
      <c r="MX15" s="11" t="str">
        <f t="shared" si="102"/>
        <v/>
      </c>
      <c r="MY15" s="11" t="str">
        <f t="shared" si="103"/>
        <v/>
      </c>
      <c r="MZ15" s="11" t="str">
        <f t="shared" si="104"/>
        <v/>
      </c>
      <c r="NA15" s="11" t="str">
        <f t="shared" si="105"/>
        <v/>
      </c>
      <c r="NB15" s="11" t="str">
        <f t="shared" si="106"/>
        <v/>
      </c>
      <c r="NC15" s="11" t="str">
        <f t="shared" si="107"/>
        <v/>
      </c>
      <c r="ND15" s="11" t="str">
        <f t="shared" si="108"/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 t="shared" si="109"/>
        <v/>
      </c>
      <c r="NZ15" s="40" t="str">
        <f t="shared" si="110"/>
        <v/>
      </c>
      <c r="OA15" s="40" t="str">
        <f t="shared" si="111"/>
        <v/>
      </c>
      <c r="OB15" s="40" t="str">
        <f t="shared" si="112"/>
        <v/>
      </c>
      <c r="OC15" s="40" t="str">
        <f t="shared" si="113"/>
        <v/>
      </c>
      <c r="OD15" s="40" t="str">
        <f t="shared" si="114"/>
        <v/>
      </c>
      <c r="OE15" s="40" t="str">
        <f t="shared" si="115"/>
        <v/>
      </c>
      <c r="OF15" s="40" t="str">
        <f t="shared" si="116"/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 t="shared" si="117"/>
        <v/>
      </c>
      <c r="PB15" s="11" t="str">
        <f t="shared" si="118"/>
        <v/>
      </c>
      <c r="PC15" s="11" t="str">
        <f t="shared" si="119"/>
        <v/>
      </c>
      <c r="PD15" s="11" t="str">
        <f t="shared" si="120"/>
        <v/>
      </c>
      <c r="PE15" s="11" t="str">
        <f t="shared" si="121"/>
        <v/>
      </c>
      <c r="PF15" s="11" t="str">
        <f t="shared" si="122"/>
        <v/>
      </c>
      <c r="PG15" s="11" t="str">
        <f t="shared" si="123"/>
        <v/>
      </c>
      <c r="PH15" s="11" t="str">
        <f t="shared" si="124"/>
        <v/>
      </c>
      <c r="PI15" s="22">
        <f t="shared" si="125"/>
        <v>16.899999999999999</v>
      </c>
      <c r="PJ15" s="22">
        <f t="shared" si="126"/>
        <v>7.0500000000000007</v>
      </c>
      <c r="PK15" s="22">
        <f t="shared" si="127"/>
        <v>0.1</v>
      </c>
      <c r="PL15" s="22">
        <f t="shared" si="128"/>
        <v>0.3</v>
      </c>
      <c r="PM15" s="22">
        <f t="shared" si="129"/>
        <v>16.2</v>
      </c>
      <c r="PN15" s="22">
        <f t="shared" si="130"/>
        <v>5.1999999999999993</v>
      </c>
      <c r="PO15" s="22">
        <f t="shared" si="131"/>
        <v>0.5</v>
      </c>
      <c r="PP15" s="22">
        <f t="shared" si="132"/>
        <v>0</v>
      </c>
      <c r="PQ15" s="22">
        <f t="shared" si="133"/>
        <v>0</v>
      </c>
      <c r="PR15" s="22">
        <f t="shared" si="134"/>
        <v>0</v>
      </c>
      <c r="PS15" s="22">
        <f t="shared" si="135"/>
        <v>0</v>
      </c>
      <c r="PT15" s="22">
        <f t="shared" si="136"/>
        <v>0</v>
      </c>
      <c r="PU15" s="22">
        <f t="shared" si="137"/>
        <v>0</v>
      </c>
      <c r="PV15" s="22">
        <f t="shared" si="138"/>
        <v>0</v>
      </c>
      <c r="PW15" s="22">
        <f t="shared" si="139"/>
        <v>0</v>
      </c>
      <c r="PX15" s="22">
        <f t="shared" si="140"/>
        <v>0</v>
      </c>
      <c r="PY15" s="27" t="s">
        <v>46</v>
      </c>
      <c r="PZ15" s="40">
        <f t="shared" si="141"/>
        <v>12.25</v>
      </c>
      <c r="QA15" s="40">
        <f t="shared" si="142"/>
        <v>45.050000000000004</v>
      </c>
      <c r="QB15" s="40" t="str">
        <f t="shared" si="143"/>
        <v/>
      </c>
      <c r="QC15" s="40" t="str">
        <f t="shared" si="144"/>
        <v/>
      </c>
      <c r="QD15" s="40">
        <f t="shared" si="145"/>
        <v>45.050000000000004</v>
      </c>
    </row>
    <row r="16" spans="1:446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162</v>
      </c>
      <c r="D16" s="4" t="s">
        <v>4</v>
      </c>
      <c r="E16" s="4">
        <v>2008</v>
      </c>
      <c r="F16" s="9">
        <f t="shared" si="0"/>
        <v>142.4000094800048</v>
      </c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IF(COUNT(AM16,BI16,CE16)&gt;0,LARGE((AM16,BI16,CE16),1),0)</f>
        <v>48.3</v>
      </c>
      <c r="M16" s="8" t="str">
        <f t="shared" si="5"/>
        <v>2025 3rd Domestic Trial</v>
      </c>
      <c r="N16" s="8">
        <f>IF(COUNT(AM16,BI16,CE16)&gt;1,LARGE((AM16,BI16,CE16),2),0)</f>
        <v>46.5</v>
      </c>
      <c r="O16" s="8" t="str">
        <f t="shared" si="6"/>
        <v>2025 Nationals</v>
      </c>
      <c r="P16" s="8">
        <f t="shared" si="7"/>
        <v>47.599999999999994</v>
      </c>
      <c r="Q16" s="8" t="str">
        <f t="shared" si="8"/>
        <v>2025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16.600000000000001</v>
      </c>
      <c r="V16" s="19">
        <v>6</v>
      </c>
      <c r="W16" s="19">
        <v>0.2</v>
      </c>
      <c r="X16" s="19">
        <v>0</v>
      </c>
      <c r="Y16" s="19">
        <v>18.5</v>
      </c>
      <c r="Z16" s="19">
        <v>4.3</v>
      </c>
      <c r="AA16" s="19">
        <v>0.3</v>
      </c>
      <c r="AB16" s="19">
        <v>0</v>
      </c>
      <c r="AC16" s="19">
        <v>18.100000000000001</v>
      </c>
      <c r="AD16" s="19">
        <v>6</v>
      </c>
      <c r="AE16" s="19">
        <v>0.6</v>
      </c>
      <c r="AF16" s="19">
        <v>0</v>
      </c>
      <c r="AG16" s="19">
        <v>18.399999999999999</v>
      </c>
      <c r="AH16" s="19">
        <v>4.3</v>
      </c>
      <c r="AI16" s="19">
        <v>0.9</v>
      </c>
      <c r="AJ16" s="19">
        <v>0</v>
      </c>
      <c r="AK16" s="27"/>
      <c r="AL16" s="40">
        <f t="shared" si="12"/>
        <v>10.3</v>
      </c>
      <c r="AM16" s="40">
        <f t="shared" si="13"/>
        <v>44.9</v>
      </c>
      <c r="AN16" s="40">
        <f t="shared" si="14"/>
        <v>10.3</v>
      </c>
      <c r="AO16" s="40">
        <f t="shared" si="15"/>
        <v>45.3</v>
      </c>
      <c r="AP16" s="40">
        <f t="shared" si="16"/>
        <v>90.199999999999989</v>
      </c>
      <c r="AQ16" s="18">
        <v>18.100000000000001</v>
      </c>
      <c r="AR16" s="18">
        <v>4.8</v>
      </c>
      <c r="AS16" s="18">
        <v>0.2</v>
      </c>
      <c r="AT16" s="18">
        <v>0</v>
      </c>
      <c r="AU16" s="18">
        <v>18.2</v>
      </c>
      <c r="AV16" s="18">
        <v>5.6</v>
      </c>
      <c r="AW16" s="18">
        <v>0</v>
      </c>
      <c r="AX16" s="18">
        <v>0</v>
      </c>
      <c r="AY16" s="18">
        <v>18.100000000000001</v>
      </c>
      <c r="AZ16" s="18">
        <v>6</v>
      </c>
      <c r="BA16" s="18">
        <v>0.6</v>
      </c>
      <c r="BB16" s="18">
        <v>0</v>
      </c>
      <c r="BC16" s="18">
        <v>17.899999999999999</v>
      </c>
      <c r="BD16" s="18">
        <v>5.6</v>
      </c>
      <c r="BE16" s="18">
        <v>0.2</v>
      </c>
      <c r="BF16" s="18">
        <v>0</v>
      </c>
      <c r="BG16" s="28"/>
      <c r="BH16" s="11">
        <f t="shared" si="17"/>
        <v>10.399999999999999</v>
      </c>
      <c r="BI16" s="11">
        <f t="shared" si="18"/>
        <v>46.5</v>
      </c>
      <c r="BJ16" s="11">
        <f t="shared" si="19"/>
        <v>11.6</v>
      </c>
      <c r="BK16" s="11">
        <f t="shared" si="20"/>
        <v>46.800000000000004</v>
      </c>
      <c r="BL16" s="11">
        <f t="shared" si="21"/>
        <v>93.300000000000011</v>
      </c>
      <c r="BM16" s="19">
        <v>18.600000000000001</v>
      </c>
      <c r="BN16" s="19">
        <v>6.4</v>
      </c>
      <c r="BO16" s="19">
        <v>0.6</v>
      </c>
      <c r="BP16" s="19">
        <v>0</v>
      </c>
      <c r="BQ16" s="19">
        <v>18.5</v>
      </c>
      <c r="BR16" s="19">
        <v>6</v>
      </c>
      <c r="BS16" s="19">
        <v>0.6</v>
      </c>
      <c r="BT16" s="19">
        <v>0</v>
      </c>
      <c r="BU16" s="19">
        <v>18.5</v>
      </c>
      <c r="BV16" s="19">
        <v>5.2</v>
      </c>
      <c r="BW16" s="19">
        <v>0.6</v>
      </c>
      <c r="BX16" s="19">
        <v>0</v>
      </c>
      <c r="BY16" s="19">
        <v>18.3</v>
      </c>
      <c r="BZ16" s="19">
        <v>6.8</v>
      </c>
      <c r="CA16" s="19">
        <v>0.6</v>
      </c>
      <c r="CB16" s="19">
        <v>0</v>
      </c>
      <c r="CC16" s="27"/>
      <c r="CD16" s="40">
        <f t="shared" si="22"/>
        <v>12.4</v>
      </c>
      <c r="CE16" s="40">
        <f t="shared" si="23"/>
        <v>48.3</v>
      </c>
      <c r="CF16" s="40">
        <f t="shared" si="24"/>
        <v>12</v>
      </c>
      <c r="CG16" s="40">
        <f t="shared" si="25"/>
        <v>47.599999999999994</v>
      </c>
      <c r="CH16" s="40">
        <f t="shared" si="26"/>
        <v>95.899999999999991</v>
      </c>
      <c r="CI16" s="50" t="str">
        <f t="shared" si="27"/>
        <v/>
      </c>
      <c r="CJ16" s="50" t="str">
        <f t="shared" si="28"/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 t="shared" si="29"/>
        <v/>
      </c>
      <c r="DF16" s="40" t="str">
        <f t="shared" si="30"/>
        <v/>
      </c>
      <c r="DG16" s="40" t="str">
        <f t="shared" si="31"/>
        <v/>
      </c>
      <c r="DH16" s="40" t="str">
        <f t="shared" si="32"/>
        <v/>
      </c>
      <c r="DI16" s="40" t="str">
        <f t="shared" si="33"/>
        <v/>
      </c>
      <c r="DJ16" s="40" t="str">
        <f t="shared" si="34"/>
        <v/>
      </c>
      <c r="DK16" s="40" t="str">
        <f t="shared" si="35"/>
        <v/>
      </c>
      <c r="DL16" s="40" t="str">
        <f t="shared" si="36"/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 t="shared" si="37"/>
        <v/>
      </c>
      <c r="EH16" s="11" t="str">
        <f t="shared" si="38"/>
        <v/>
      </c>
      <c r="EI16" s="11" t="str">
        <f t="shared" si="39"/>
        <v/>
      </c>
      <c r="EJ16" s="11" t="str">
        <f t="shared" si="40"/>
        <v/>
      </c>
      <c r="EK16" s="11" t="str">
        <f t="shared" si="41"/>
        <v/>
      </c>
      <c r="EL16" s="11" t="str">
        <f t="shared" si="42"/>
        <v/>
      </c>
      <c r="EM16" s="11" t="str">
        <f t="shared" si="43"/>
        <v/>
      </c>
      <c r="EN16" s="11" t="str">
        <f t="shared" si="44"/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 t="shared" si="45"/>
        <v/>
      </c>
      <c r="FJ16" s="40" t="str">
        <f t="shared" si="46"/>
        <v/>
      </c>
      <c r="FK16" s="40" t="str">
        <f t="shared" si="47"/>
        <v/>
      </c>
      <c r="FL16" s="40" t="str">
        <f t="shared" si="48"/>
        <v/>
      </c>
      <c r="FM16" s="40" t="str">
        <f t="shared" si="49"/>
        <v/>
      </c>
      <c r="FN16" s="40" t="str">
        <f t="shared" si="50"/>
        <v/>
      </c>
      <c r="FO16" s="40" t="str">
        <f t="shared" si="51"/>
        <v/>
      </c>
      <c r="FP16" s="40" t="str">
        <f t="shared" si="52"/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 t="shared" si="53"/>
        <v/>
      </c>
      <c r="GL16" s="11" t="str">
        <f t="shared" si="54"/>
        <v/>
      </c>
      <c r="GM16" s="11" t="str">
        <f t="shared" si="55"/>
        <v/>
      </c>
      <c r="GN16" s="11" t="str">
        <f t="shared" si="56"/>
        <v/>
      </c>
      <c r="GO16" s="11" t="str">
        <f t="shared" si="57"/>
        <v/>
      </c>
      <c r="GP16" s="11" t="str">
        <f t="shared" si="58"/>
        <v/>
      </c>
      <c r="GQ16" s="11" t="str">
        <f t="shared" si="59"/>
        <v/>
      </c>
      <c r="GR16" s="11" t="str">
        <f t="shared" si="60"/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 t="shared" si="61"/>
        <v/>
      </c>
      <c r="HN16" s="40" t="str">
        <f t="shared" si="62"/>
        <v/>
      </c>
      <c r="HO16" s="40" t="str">
        <f t="shared" si="63"/>
        <v/>
      </c>
      <c r="HP16" s="40" t="str">
        <f t="shared" si="64"/>
        <v/>
      </c>
      <c r="HQ16" s="40" t="str">
        <f t="shared" si="65"/>
        <v/>
      </c>
      <c r="HR16" s="40" t="str">
        <f t="shared" si="66"/>
        <v/>
      </c>
      <c r="HS16" s="40" t="str">
        <f t="shared" si="67"/>
        <v/>
      </c>
      <c r="HT16" s="40" t="str">
        <f t="shared" si="68"/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 t="shared" si="69"/>
        <v/>
      </c>
      <c r="IP16" s="11" t="str">
        <f t="shared" si="70"/>
        <v/>
      </c>
      <c r="IQ16" s="11" t="str">
        <f t="shared" si="71"/>
        <v/>
      </c>
      <c r="IR16" s="11" t="str">
        <f t="shared" si="72"/>
        <v/>
      </c>
      <c r="IS16" s="11" t="str">
        <f t="shared" si="73"/>
        <v/>
      </c>
      <c r="IT16" s="11" t="str">
        <f t="shared" si="74"/>
        <v/>
      </c>
      <c r="IU16" s="11" t="str">
        <f t="shared" si="75"/>
        <v/>
      </c>
      <c r="IV16" s="11" t="str">
        <f t="shared" si="76"/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 t="shared" si="77"/>
        <v/>
      </c>
      <c r="JR16" s="40" t="str">
        <f t="shared" si="78"/>
        <v/>
      </c>
      <c r="JS16" s="40" t="str">
        <f t="shared" si="79"/>
        <v/>
      </c>
      <c r="JT16" s="40" t="str">
        <f t="shared" si="80"/>
        <v/>
      </c>
      <c r="JU16" s="40" t="str">
        <f t="shared" si="81"/>
        <v/>
      </c>
      <c r="JV16" s="40" t="str">
        <f t="shared" si="82"/>
        <v/>
      </c>
      <c r="JW16" s="40" t="str">
        <f t="shared" si="83"/>
        <v/>
      </c>
      <c r="JX16" s="40" t="str">
        <f t="shared" si="84"/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 t="shared" si="85"/>
        <v/>
      </c>
      <c r="KT16" s="11" t="str">
        <f t="shared" si="86"/>
        <v/>
      </c>
      <c r="KU16" s="11" t="str">
        <f t="shared" si="87"/>
        <v/>
      </c>
      <c r="KV16" s="11" t="str">
        <f t="shared" si="88"/>
        <v/>
      </c>
      <c r="KW16" s="11" t="str">
        <f t="shared" si="89"/>
        <v/>
      </c>
      <c r="KX16" s="11" t="str">
        <f t="shared" si="90"/>
        <v/>
      </c>
      <c r="KY16" s="11" t="str">
        <f t="shared" si="91"/>
        <v/>
      </c>
      <c r="KZ16" s="11" t="str">
        <f t="shared" si="92"/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 t="shared" si="93"/>
        <v/>
      </c>
      <c r="LV16" s="40" t="str">
        <f t="shared" si="94"/>
        <v/>
      </c>
      <c r="LW16" s="40" t="str">
        <f t="shared" si="95"/>
        <v/>
      </c>
      <c r="LX16" s="40" t="str">
        <f t="shared" si="96"/>
        <v/>
      </c>
      <c r="LY16" s="40" t="str">
        <f t="shared" si="97"/>
        <v/>
      </c>
      <c r="LZ16" s="40" t="str">
        <f t="shared" si="98"/>
        <v/>
      </c>
      <c r="MA16" s="40" t="str">
        <f t="shared" si="99"/>
        <v/>
      </c>
      <c r="MB16" s="40" t="str">
        <f t="shared" si="100"/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 t="shared" si="101"/>
        <v/>
      </c>
      <c r="MX16" s="11" t="str">
        <f t="shared" si="102"/>
        <v/>
      </c>
      <c r="MY16" s="11" t="str">
        <f t="shared" si="103"/>
        <v/>
      </c>
      <c r="MZ16" s="11" t="str">
        <f t="shared" si="104"/>
        <v/>
      </c>
      <c r="NA16" s="11" t="str">
        <f t="shared" si="105"/>
        <v/>
      </c>
      <c r="NB16" s="11" t="str">
        <f t="shared" si="106"/>
        <v/>
      </c>
      <c r="NC16" s="11" t="str">
        <f t="shared" si="107"/>
        <v/>
      </c>
      <c r="ND16" s="11" t="str">
        <f t="shared" si="108"/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 t="shared" si="109"/>
        <v/>
      </c>
      <c r="NZ16" s="40" t="str">
        <f t="shared" si="110"/>
        <v/>
      </c>
      <c r="OA16" s="40" t="str">
        <f t="shared" si="111"/>
        <v/>
      </c>
      <c r="OB16" s="40" t="str">
        <f t="shared" si="112"/>
        <v/>
      </c>
      <c r="OC16" s="40" t="str">
        <f t="shared" si="113"/>
        <v/>
      </c>
      <c r="OD16" s="40" t="str">
        <f t="shared" si="114"/>
        <v/>
      </c>
      <c r="OE16" s="40" t="str">
        <f t="shared" si="115"/>
        <v/>
      </c>
      <c r="OF16" s="40" t="str">
        <f t="shared" si="116"/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 t="shared" si="117"/>
        <v/>
      </c>
      <c r="PB16" s="11" t="str">
        <f t="shared" si="118"/>
        <v/>
      </c>
      <c r="PC16" s="11" t="str">
        <f t="shared" si="119"/>
        <v/>
      </c>
      <c r="PD16" s="11" t="str">
        <f t="shared" si="120"/>
        <v/>
      </c>
      <c r="PE16" s="11" t="str">
        <f t="shared" si="121"/>
        <v/>
      </c>
      <c r="PF16" s="11" t="str">
        <f t="shared" si="122"/>
        <v/>
      </c>
      <c r="PG16" s="11" t="str">
        <f t="shared" si="123"/>
        <v/>
      </c>
      <c r="PH16" s="11" t="str">
        <f t="shared" si="124"/>
        <v/>
      </c>
      <c r="PI16" s="22">
        <f t="shared" si="125"/>
        <v>18.350000000000001</v>
      </c>
      <c r="PJ16" s="22">
        <f t="shared" si="126"/>
        <v>5.6</v>
      </c>
      <c r="PK16" s="22">
        <f t="shared" si="127"/>
        <v>0.4</v>
      </c>
      <c r="PL16" s="22">
        <f t="shared" si="128"/>
        <v>0</v>
      </c>
      <c r="PM16" s="22">
        <f t="shared" si="129"/>
        <v>18.350000000000001</v>
      </c>
      <c r="PN16" s="22">
        <f t="shared" si="130"/>
        <v>5.8</v>
      </c>
      <c r="PO16" s="22">
        <f t="shared" si="131"/>
        <v>0.3</v>
      </c>
      <c r="PP16" s="22">
        <f t="shared" si="132"/>
        <v>0</v>
      </c>
      <c r="PQ16" s="22">
        <f t="shared" si="133"/>
        <v>18.3</v>
      </c>
      <c r="PR16" s="22">
        <f t="shared" si="134"/>
        <v>5.6</v>
      </c>
      <c r="PS16" s="22">
        <f t="shared" si="135"/>
        <v>0.6</v>
      </c>
      <c r="PT16" s="22">
        <f t="shared" si="136"/>
        <v>0</v>
      </c>
      <c r="PU16" s="22">
        <f t="shared" si="137"/>
        <v>18.100000000000001</v>
      </c>
      <c r="PV16" s="22">
        <f t="shared" si="138"/>
        <v>6.1999999999999993</v>
      </c>
      <c r="PW16" s="22">
        <f t="shared" si="139"/>
        <v>0.4</v>
      </c>
      <c r="PX16" s="22">
        <f t="shared" si="140"/>
        <v>0</v>
      </c>
      <c r="PY16" s="27" t="s">
        <v>46</v>
      </c>
      <c r="PZ16" s="40">
        <f t="shared" si="141"/>
        <v>11.399999999999999</v>
      </c>
      <c r="QA16" s="40">
        <f t="shared" si="142"/>
        <v>47.400000000000006</v>
      </c>
      <c r="QB16" s="40">
        <f t="shared" si="143"/>
        <v>11.799999999999999</v>
      </c>
      <c r="QC16" s="40">
        <f t="shared" si="144"/>
        <v>47.2</v>
      </c>
      <c r="QD16" s="40">
        <f t="shared" si="145"/>
        <v>94.600000000000009</v>
      </c>
    </row>
    <row r="17" spans="1:446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191</v>
      </c>
      <c r="D17" s="4" t="s">
        <v>5</v>
      </c>
      <c r="E17" s="4">
        <v>2009</v>
      </c>
      <c r="F17" s="9">
        <f t="shared" si="0"/>
        <v>142.20000937000478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IF(COUNT(AM17,BI17,CE17)&gt;0,LARGE((AM17,BI17,CE17),1),0)</f>
        <v>48.1</v>
      </c>
      <c r="M17" s="8" t="str">
        <f t="shared" si="5"/>
        <v>2025 3rd Domestic Trial</v>
      </c>
      <c r="N17" s="8">
        <f>IF(COUNT(AM17,BI17,CE17)&gt;1,LARGE((AM17,BI17,CE17),2),0)</f>
        <v>45.6</v>
      </c>
      <c r="O17" s="8" t="str">
        <f t="shared" si="6"/>
        <v>2025 Elite Canada</v>
      </c>
      <c r="P17" s="8">
        <f t="shared" si="7"/>
        <v>48.5</v>
      </c>
      <c r="Q17" s="8" t="str">
        <f t="shared" si="8"/>
        <v>2025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18.2</v>
      </c>
      <c r="V17" s="19">
        <v>4.8</v>
      </c>
      <c r="W17" s="19">
        <v>0.6</v>
      </c>
      <c r="X17" s="19">
        <v>0</v>
      </c>
      <c r="Y17" s="19">
        <v>18</v>
      </c>
      <c r="Z17" s="19">
        <v>6</v>
      </c>
      <c r="AA17" s="19">
        <v>0.8</v>
      </c>
      <c r="AB17" s="19">
        <v>0</v>
      </c>
      <c r="AC17" s="19">
        <v>17.100000000000001</v>
      </c>
      <c r="AD17" s="19">
        <v>6.4</v>
      </c>
      <c r="AE17" s="19">
        <v>0.8</v>
      </c>
      <c r="AF17" s="19">
        <v>0</v>
      </c>
      <c r="AG17" s="19">
        <v>17.5</v>
      </c>
      <c r="AH17" s="19">
        <v>6</v>
      </c>
      <c r="AI17" s="19">
        <v>0.8</v>
      </c>
      <c r="AJ17" s="19">
        <v>0</v>
      </c>
      <c r="AK17" s="27"/>
      <c r="AL17" s="40">
        <f t="shared" si="12"/>
        <v>10.8</v>
      </c>
      <c r="AM17" s="40">
        <f t="shared" si="13"/>
        <v>45.6</v>
      </c>
      <c r="AN17" s="40">
        <f t="shared" si="14"/>
        <v>12.4</v>
      </c>
      <c r="AO17" s="40">
        <f t="shared" si="15"/>
        <v>45.4</v>
      </c>
      <c r="AP17" s="40">
        <f t="shared" si="16"/>
        <v>91</v>
      </c>
      <c r="AQ17" s="18">
        <v>15.4</v>
      </c>
      <c r="AR17" s="18">
        <v>2.4</v>
      </c>
      <c r="AS17" s="18">
        <v>0</v>
      </c>
      <c r="AT17" s="18">
        <v>0</v>
      </c>
      <c r="AU17" s="18">
        <v>18.3</v>
      </c>
      <c r="AV17" s="18">
        <v>5.6</v>
      </c>
      <c r="AW17" s="18">
        <v>0.2</v>
      </c>
      <c r="AX17" s="18">
        <v>0</v>
      </c>
      <c r="AY17" s="18">
        <v>18.7</v>
      </c>
      <c r="AZ17" s="18">
        <v>6.8</v>
      </c>
      <c r="BA17" s="18">
        <v>0.8</v>
      </c>
      <c r="BB17" s="18">
        <v>0</v>
      </c>
      <c r="BC17" s="18">
        <v>18.399999999999999</v>
      </c>
      <c r="BD17" s="18">
        <v>5.6</v>
      </c>
      <c r="BE17" s="18">
        <v>0.2</v>
      </c>
      <c r="BF17" s="18">
        <v>0</v>
      </c>
      <c r="BG17" s="28"/>
      <c r="BH17" s="11">
        <f t="shared" si="17"/>
        <v>8</v>
      </c>
      <c r="BI17" s="11">
        <f t="shared" si="18"/>
        <v>41.5</v>
      </c>
      <c r="BJ17" s="11">
        <f t="shared" si="19"/>
        <v>12.399999999999999</v>
      </c>
      <c r="BK17" s="11">
        <f t="shared" si="20"/>
        <v>48.5</v>
      </c>
      <c r="BL17" s="11">
        <f t="shared" si="21"/>
        <v>90</v>
      </c>
      <c r="BM17" s="19">
        <v>18.100000000000001</v>
      </c>
      <c r="BN17" s="19">
        <v>7.2</v>
      </c>
      <c r="BO17" s="19">
        <v>0.2</v>
      </c>
      <c r="BP17" s="19">
        <v>0</v>
      </c>
      <c r="BQ17" s="19">
        <v>17.8</v>
      </c>
      <c r="BR17" s="19">
        <v>6</v>
      </c>
      <c r="BS17" s="19">
        <v>0.8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18.100000000000001</v>
      </c>
      <c r="BZ17" s="19">
        <v>7.6</v>
      </c>
      <c r="CA17" s="19">
        <v>0.8</v>
      </c>
      <c r="CB17" s="19">
        <v>0</v>
      </c>
      <c r="CC17" s="27"/>
      <c r="CD17" s="40">
        <f t="shared" si="22"/>
        <v>13.2</v>
      </c>
      <c r="CE17" s="40">
        <f t="shared" si="23"/>
        <v>48.1</v>
      </c>
      <c r="CF17" s="40">
        <f t="shared" si="24"/>
        <v>7.6</v>
      </c>
      <c r="CG17" s="40">
        <f t="shared" si="25"/>
        <v>24.900000000000002</v>
      </c>
      <c r="CH17" s="40">
        <f t="shared" si="26"/>
        <v>73</v>
      </c>
      <c r="CI17" s="50" t="str">
        <f t="shared" si="27"/>
        <v/>
      </c>
      <c r="CJ17" s="50" t="str">
        <f t="shared" si="28"/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 t="shared" si="29"/>
        <v/>
      </c>
      <c r="DF17" s="40" t="str">
        <f t="shared" si="30"/>
        <v/>
      </c>
      <c r="DG17" s="40" t="str">
        <f t="shared" si="31"/>
        <v/>
      </c>
      <c r="DH17" s="40" t="str">
        <f t="shared" si="32"/>
        <v/>
      </c>
      <c r="DI17" s="40" t="str">
        <f t="shared" si="33"/>
        <v/>
      </c>
      <c r="DJ17" s="40" t="str">
        <f t="shared" si="34"/>
        <v/>
      </c>
      <c r="DK17" s="40" t="str">
        <f t="shared" si="35"/>
        <v/>
      </c>
      <c r="DL17" s="40" t="str">
        <f t="shared" si="36"/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 t="shared" si="37"/>
        <v/>
      </c>
      <c r="EH17" s="11" t="str">
        <f t="shared" si="38"/>
        <v/>
      </c>
      <c r="EI17" s="11" t="str">
        <f t="shared" si="39"/>
        <v/>
      </c>
      <c r="EJ17" s="11" t="str">
        <f t="shared" si="40"/>
        <v/>
      </c>
      <c r="EK17" s="11" t="str">
        <f t="shared" si="41"/>
        <v/>
      </c>
      <c r="EL17" s="11" t="str">
        <f t="shared" si="42"/>
        <v/>
      </c>
      <c r="EM17" s="11" t="str">
        <f t="shared" si="43"/>
        <v/>
      </c>
      <c r="EN17" s="11" t="str">
        <f t="shared" si="44"/>
        <v/>
      </c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 t="str">
        <f t="shared" si="45"/>
        <v/>
      </c>
      <c r="FJ17" s="40" t="str">
        <f t="shared" si="46"/>
        <v/>
      </c>
      <c r="FK17" s="40" t="str">
        <f t="shared" si="47"/>
        <v/>
      </c>
      <c r="FL17" s="40" t="str">
        <f t="shared" si="48"/>
        <v/>
      </c>
      <c r="FM17" s="40" t="str">
        <f t="shared" si="49"/>
        <v/>
      </c>
      <c r="FN17" s="40" t="str">
        <f t="shared" si="50"/>
        <v/>
      </c>
      <c r="FO17" s="40" t="str">
        <f t="shared" si="51"/>
        <v/>
      </c>
      <c r="FP17" s="40" t="str">
        <f t="shared" si="52"/>
        <v/>
      </c>
      <c r="FQ17" s="18">
        <v>15.2</v>
      </c>
      <c r="FR17" s="18">
        <v>2.4</v>
      </c>
      <c r="FS17" s="18">
        <v>0</v>
      </c>
      <c r="FT17" s="18">
        <v>0</v>
      </c>
      <c r="FU17" s="18">
        <v>18.2</v>
      </c>
      <c r="FV17" s="18">
        <v>7.6</v>
      </c>
      <c r="FW17" s="18">
        <v>0.8</v>
      </c>
      <c r="FX17" s="18">
        <v>0</v>
      </c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>
        <f t="shared" si="53"/>
        <v>10</v>
      </c>
      <c r="GL17" s="11">
        <f t="shared" si="54"/>
        <v>42.6</v>
      </c>
      <c r="GM17" s="11" t="str">
        <f t="shared" si="55"/>
        <v/>
      </c>
      <c r="GN17" s="11">
        <f t="shared" si="56"/>
        <v>10</v>
      </c>
      <c r="GO17" s="11">
        <f t="shared" si="57"/>
        <v>42.6</v>
      </c>
      <c r="GP17" s="11" t="str">
        <f t="shared" si="58"/>
        <v/>
      </c>
      <c r="GQ17" s="11" t="str">
        <f t="shared" si="59"/>
        <v/>
      </c>
      <c r="GR17" s="11">
        <f t="shared" si="60"/>
        <v>42.6</v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 t="shared" si="61"/>
        <v/>
      </c>
      <c r="HN17" s="40" t="str">
        <f t="shared" si="62"/>
        <v/>
      </c>
      <c r="HO17" s="40" t="str">
        <f t="shared" si="63"/>
        <v/>
      </c>
      <c r="HP17" s="40" t="str">
        <f t="shared" si="64"/>
        <v/>
      </c>
      <c r="HQ17" s="40" t="str">
        <f t="shared" si="65"/>
        <v/>
      </c>
      <c r="HR17" s="40" t="str">
        <f t="shared" si="66"/>
        <v/>
      </c>
      <c r="HS17" s="40" t="str">
        <f t="shared" si="67"/>
        <v/>
      </c>
      <c r="HT17" s="40" t="str">
        <f t="shared" si="68"/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 t="shared" si="69"/>
        <v/>
      </c>
      <c r="IP17" s="11" t="str">
        <f t="shared" si="70"/>
        <v/>
      </c>
      <c r="IQ17" s="11" t="str">
        <f t="shared" si="71"/>
        <v/>
      </c>
      <c r="IR17" s="11" t="str">
        <f t="shared" si="72"/>
        <v/>
      </c>
      <c r="IS17" s="11" t="str">
        <f t="shared" si="73"/>
        <v/>
      </c>
      <c r="IT17" s="11" t="str">
        <f t="shared" si="74"/>
        <v/>
      </c>
      <c r="IU17" s="11" t="str">
        <f t="shared" si="75"/>
        <v/>
      </c>
      <c r="IV17" s="11" t="str">
        <f t="shared" si="76"/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 t="shared" si="77"/>
        <v/>
      </c>
      <c r="JR17" s="40" t="str">
        <f t="shared" si="78"/>
        <v/>
      </c>
      <c r="JS17" s="40" t="str">
        <f t="shared" si="79"/>
        <v/>
      </c>
      <c r="JT17" s="40" t="str">
        <f t="shared" si="80"/>
        <v/>
      </c>
      <c r="JU17" s="40" t="str">
        <f t="shared" si="81"/>
        <v/>
      </c>
      <c r="JV17" s="40" t="str">
        <f t="shared" si="82"/>
        <v/>
      </c>
      <c r="JW17" s="40" t="str">
        <f t="shared" si="83"/>
        <v/>
      </c>
      <c r="JX17" s="40" t="str">
        <f t="shared" si="84"/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 t="shared" si="85"/>
        <v/>
      </c>
      <c r="KT17" s="11" t="str">
        <f t="shared" si="86"/>
        <v/>
      </c>
      <c r="KU17" s="11" t="str">
        <f t="shared" si="87"/>
        <v/>
      </c>
      <c r="KV17" s="11" t="str">
        <f t="shared" si="88"/>
        <v/>
      </c>
      <c r="KW17" s="11" t="str">
        <f t="shared" si="89"/>
        <v/>
      </c>
      <c r="KX17" s="11" t="str">
        <f t="shared" si="90"/>
        <v/>
      </c>
      <c r="KY17" s="11" t="str">
        <f t="shared" si="91"/>
        <v/>
      </c>
      <c r="KZ17" s="11" t="str">
        <f t="shared" si="92"/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 t="shared" si="93"/>
        <v/>
      </c>
      <c r="LV17" s="40" t="str">
        <f t="shared" si="94"/>
        <v/>
      </c>
      <c r="LW17" s="40" t="str">
        <f t="shared" si="95"/>
        <v/>
      </c>
      <c r="LX17" s="40" t="str">
        <f t="shared" si="96"/>
        <v/>
      </c>
      <c r="LY17" s="40" t="str">
        <f t="shared" si="97"/>
        <v/>
      </c>
      <c r="LZ17" s="40" t="str">
        <f t="shared" si="98"/>
        <v/>
      </c>
      <c r="MA17" s="40" t="str">
        <f t="shared" si="99"/>
        <v/>
      </c>
      <c r="MB17" s="40" t="str">
        <f t="shared" si="100"/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 t="shared" si="101"/>
        <v/>
      </c>
      <c r="MX17" s="11" t="str">
        <f t="shared" si="102"/>
        <v/>
      </c>
      <c r="MY17" s="11" t="str">
        <f t="shared" si="103"/>
        <v/>
      </c>
      <c r="MZ17" s="11" t="str">
        <f t="shared" si="104"/>
        <v/>
      </c>
      <c r="NA17" s="11" t="str">
        <f t="shared" si="105"/>
        <v/>
      </c>
      <c r="NB17" s="11" t="str">
        <f t="shared" si="106"/>
        <v/>
      </c>
      <c r="NC17" s="11" t="str">
        <f t="shared" si="107"/>
        <v/>
      </c>
      <c r="ND17" s="11" t="str">
        <f t="shared" si="108"/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 t="shared" si="109"/>
        <v/>
      </c>
      <c r="NZ17" s="40" t="str">
        <f t="shared" si="110"/>
        <v/>
      </c>
      <c r="OA17" s="40" t="str">
        <f t="shared" si="111"/>
        <v/>
      </c>
      <c r="OB17" s="40" t="str">
        <f t="shared" si="112"/>
        <v/>
      </c>
      <c r="OC17" s="40" t="str">
        <f t="shared" si="113"/>
        <v/>
      </c>
      <c r="OD17" s="40" t="str">
        <f t="shared" si="114"/>
        <v/>
      </c>
      <c r="OE17" s="40" t="str">
        <f t="shared" si="115"/>
        <v/>
      </c>
      <c r="OF17" s="40" t="str">
        <f t="shared" si="116"/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 t="shared" si="117"/>
        <v/>
      </c>
      <c r="PB17" s="11" t="str">
        <f t="shared" si="118"/>
        <v/>
      </c>
      <c r="PC17" s="11" t="str">
        <f t="shared" si="119"/>
        <v/>
      </c>
      <c r="PD17" s="11" t="str">
        <f t="shared" si="120"/>
        <v/>
      </c>
      <c r="PE17" s="11" t="str">
        <f t="shared" si="121"/>
        <v/>
      </c>
      <c r="PF17" s="11" t="str">
        <f t="shared" si="122"/>
        <v/>
      </c>
      <c r="PG17" s="11" t="str">
        <f t="shared" si="123"/>
        <v/>
      </c>
      <c r="PH17" s="11" t="str">
        <f t="shared" si="124"/>
        <v/>
      </c>
      <c r="PI17" s="22">
        <f t="shared" si="125"/>
        <v>16.75</v>
      </c>
      <c r="PJ17" s="22">
        <f t="shared" si="126"/>
        <v>4.8</v>
      </c>
      <c r="PK17" s="22">
        <f t="shared" si="127"/>
        <v>0.1</v>
      </c>
      <c r="PL17" s="22">
        <f t="shared" si="128"/>
        <v>0</v>
      </c>
      <c r="PM17" s="22">
        <f t="shared" si="129"/>
        <v>18.05</v>
      </c>
      <c r="PN17" s="22">
        <f t="shared" si="130"/>
        <v>5.8</v>
      </c>
      <c r="PO17" s="22">
        <f t="shared" si="131"/>
        <v>0.5</v>
      </c>
      <c r="PP17" s="22">
        <f t="shared" si="132"/>
        <v>0</v>
      </c>
      <c r="PQ17" s="22">
        <f t="shared" si="133"/>
        <v>9.35</v>
      </c>
      <c r="PR17" s="22">
        <f t="shared" si="134"/>
        <v>3.4</v>
      </c>
      <c r="PS17" s="22">
        <f t="shared" si="135"/>
        <v>0.4</v>
      </c>
      <c r="PT17" s="22">
        <f t="shared" si="136"/>
        <v>0</v>
      </c>
      <c r="PU17" s="22">
        <f t="shared" si="137"/>
        <v>18.25</v>
      </c>
      <c r="PV17" s="22">
        <f t="shared" si="138"/>
        <v>6.6</v>
      </c>
      <c r="PW17" s="22">
        <f t="shared" si="139"/>
        <v>0.5</v>
      </c>
      <c r="PX17" s="22">
        <f t="shared" si="140"/>
        <v>0</v>
      </c>
      <c r="PY17" s="27" t="s">
        <v>46</v>
      </c>
      <c r="PZ17" s="40">
        <f t="shared" si="141"/>
        <v>10.6</v>
      </c>
      <c r="QA17" s="40">
        <f t="shared" si="142"/>
        <v>44.8</v>
      </c>
      <c r="QB17" s="40">
        <f t="shared" si="143"/>
        <v>10</v>
      </c>
      <c r="QC17" s="40">
        <f t="shared" si="144"/>
        <v>36.700000000000003</v>
      </c>
      <c r="QD17" s="40">
        <f t="shared" si="145"/>
        <v>81.5</v>
      </c>
    </row>
    <row r="18" spans="1:446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154</v>
      </c>
      <c r="D18" s="4" t="s">
        <v>5</v>
      </c>
      <c r="E18" s="4">
        <v>2008</v>
      </c>
      <c r="F18" s="9">
        <f t="shared" si="0"/>
        <v>141.70000968000502</v>
      </c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IF(COUNT(AM18,BI18,CE18)&gt;0,LARGE((AM18,BI18,CE18),1),0)</f>
        <v>50.099999999999994</v>
      </c>
      <c r="M18" s="8" t="str">
        <f t="shared" si="5"/>
        <v>2025 Nationals</v>
      </c>
      <c r="N18" s="8">
        <f>IF(COUNT(AM18,BI18,CE18)&gt;1,LARGE((AM18,BI18,CE18),2),0)</f>
        <v>46.70000000000001</v>
      </c>
      <c r="O18" s="8" t="str">
        <f t="shared" si="6"/>
        <v>2025 Elite Canada</v>
      </c>
      <c r="P18" s="8">
        <f t="shared" si="7"/>
        <v>44.900000000000006</v>
      </c>
      <c r="Q18" s="8" t="str">
        <f t="shared" si="8"/>
        <v>2025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18.600000000000001</v>
      </c>
      <c r="V18" s="19">
        <v>7.2</v>
      </c>
      <c r="W18" s="19">
        <v>0.6</v>
      </c>
      <c r="X18" s="19">
        <v>0</v>
      </c>
      <c r="Y18" s="19">
        <v>18.100000000000001</v>
      </c>
      <c r="Z18" s="19">
        <v>5.2</v>
      </c>
      <c r="AA18" s="19">
        <v>1.8</v>
      </c>
      <c r="AB18" s="19">
        <v>0</v>
      </c>
      <c r="AC18" s="19"/>
      <c r="AD18" s="19"/>
      <c r="AE18" s="19"/>
      <c r="AF18" s="19"/>
      <c r="AG18" s="19"/>
      <c r="AH18" s="19"/>
      <c r="AI18" s="19"/>
      <c r="AJ18" s="19"/>
      <c r="AK18" s="27"/>
      <c r="AL18" s="40">
        <f t="shared" si="12"/>
        <v>12.4</v>
      </c>
      <c r="AM18" s="40">
        <f t="shared" si="13"/>
        <v>46.70000000000001</v>
      </c>
      <c r="AN18" s="40" t="str">
        <f t="shared" si="14"/>
        <v/>
      </c>
      <c r="AO18" s="40" t="str">
        <f t="shared" si="15"/>
        <v/>
      </c>
      <c r="AP18" s="40">
        <f t="shared" si="16"/>
        <v>46.70000000000001</v>
      </c>
      <c r="AQ18" s="18">
        <v>18.899999999999999</v>
      </c>
      <c r="AR18" s="18">
        <v>7.2</v>
      </c>
      <c r="AS18" s="18">
        <v>0.2</v>
      </c>
      <c r="AT18" s="18">
        <v>0</v>
      </c>
      <c r="AU18" s="18">
        <v>18.399999999999999</v>
      </c>
      <c r="AV18" s="18">
        <v>6.8</v>
      </c>
      <c r="AW18" s="18">
        <v>1</v>
      </c>
      <c r="AX18" s="18">
        <v>0</v>
      </c>
      <c r="AY18" s="18">
        <v>17.8</v>
      </c>
      <c r="AZ18" s="18">
        <v>5.2</v>
      </c>
      <c r="BA18" s="18">
        <v>1</v>
      </c>
      <c r="BB18" s="18">
        <v>0</v>
      </c>
      <c r="BC18" s="18">
        <v>16.5</v>
      </c>
      <c r="BD18" s="18">
        <v>7.2</v>
      </c>
      <c r="BE18" s="18">
        <v>0.8</v>
      </c>
      <c r="BF18" s="18">
        <v>0</v>
      </c>
      <c r="BG18" s="28"/>
      <c r="BH18" s="11">
        <f t="shared" si="17"/>
        <v>14</v>
      </c>
      <c r="BI18" s="11">
        <f t="shared" si="18"/>
        <v>50.099999999999994</v>
      </c>
      <c r="BJ18" s="11">
        <f t="shared" si="19"/>
        <v>12.4</v>
      </c>
      <c r="BK18" s="11">
        <f t="shared" si="20"/>
        <v>44.900000000000006</v>
      </c>
      <c r="BL18" s="11">
        <f t="shared" si="21"/>
        <v>95</v>
      </c>
      <c r="BM18" s="19">
        <v>17.399999999999999</v>
      </c>
      <c r="BN18" s="19">
        <v>6</v>
      </c>
      <c r="BO18" s="19">
        <v>1.8</v>
      </c>
      <c r="BP18" s="19">
        <v>0</v>
      </c>
      <c r="BQ18" s="19">
        <v>15.4</v>
      </c>
      <c r="BR18" s="19">
        <v>2.4</v>
      </c>
      <c r="BS18" s="19">
        <v>0</v>
      </c>
      <c r="BT18" s="19">
        <v>0</v>
      </c>
      <c r="BU18" s="19"/>
      <c r="BV18" s="19"/>
      <c r="BW18" s="19"/>
      <c r="BX18" s="19"/>
      <c r="BY18" s="19"/>
      <c r="BZ18" s="19"/>
      <c r="CA18" s="19"/>
      <c r="CB18" s="19"/>
      <c r="CC18" s="27"/>
      <c r="CD18" s="40">
        <f t="shared" si="22"/>
        <v>8.4</v>
      </c>
      <c r="CE18" s="40">
        <f t="shared" si="23"/>
        <v>39.4</v>
      </c>
      <c r="CF18" s="40" t="str">
        <f t="shared" si="24"/>
        <v/>
      </c>
      <c r="CG18" s="40" t="str">
        <f t="shared" si="25"/>
        <v/>
      </c>
      <c r="CH18" s="40">
        <f t="shared" si="26"/>
        <v>39.4</v>
      </c>
      <c r="CI18" s="50" t="str">
        <f t="shared" si="27"/>
        <v/>
      </c>
      <c r="CJ18" s="50" t="str">
        <f t="shared" si="28"/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 t="shared" si="29"/>
        <v/>
      </c>
      <c r="DF18" s="40" t="str">
        <f t="shared" si="30"/>
        <v/>
      </c>
      <c r="DG18" s="40" t="str">
        <f t="shared" si="31"/>
        <v/>
      </c>
      <c r="DH18" s="40" t="str">
        <f t="shared" si="32"/>
        <v/>
      </c>
      <c r="DI18" s="40" t="str">
        <f t="shared" si="33"/>
        <v/>
      </c>
      <c r="DJ18" s="40" t="str">
        <f t="shared" si="34"/>
        <v/>
      </c>
      <c r="DK18" s="40" t="str">
        <f t="shared" si="35"/>
        <v/>
      </c>
      <c r="DL18" s="40" t="str">
        <f t="shared" si="36"/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 t="shared" si="37"/>
        <v/>
      </c>
      <c r="EH18" s="11" t="str">
        <f t="shared" si="38"/>
        <v/>
      </c>
      <c r="EI18" s="11" t="str">
        <f t="shared" si="39"/>
        <v/>
      </c>
      <c r="EJ18" s="11" t="str">
        <f t="shared" si="40"/>
        <v/>
      </c>
      <c r="EK18" s="11" t="str">
        <f t="shared" si="41"/>
        <v/>
      </c>
      <c r="EL18" s="11" t="str">
        <f t="shared" si="42"/>
        <v/>
      </c>
      <c r="EM18" s="11" t="str">
        <f t="shared" si="43"/>
        <v/>
      </c>
      <c r="EN18" s="11" t="str">
        <f t="shared" si="44"/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 t="shared" si="45"/>
        <v/>
      </c>
      <c r="FJ18" s="40" t="str">
        <f t="shared" si="46"/>
        <v/>
      </c>
      <c r="FK18" s="40" t="str">
        <f t="shared" si="47"/>
        <v/>
      </c>
      <c r="FL18" s="40" t="str">
        <f t="shared" si="48"/>
        <v/>
      </c>
      <c r="FM18" s="40" t="str">
        <f t="shared" si="49"/>
        <v/>
      </c>
      <c r="FN18" s="40" t="str">
        <f t="shared" si="50"/>
        <v/>
      </c>
      <c r="FO18" s="40" t="str">
        <f t="shared" si="51"/>
        <v/>
      </c>
      <c r="FP18" s="40" t="str">
        <f t="shared" si="52"/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 t="shared" si="53"/>
        <v/>
      </c>
      <c r="GL18" s="11" t="str">
        <f t="shared" si="54"/>
        <v/>
      </c>
      <c r="GM18" s="11" t="str">
        <f t="shared" si="55"/>
        <v/>
      </c>
      <c r="GN18" s="11" t="str">
        <f t="shared" si="56"/>
        <v/>
      </c>
      <c r="GO18" s="11" t="str">
        <f t="shared" si="57"/>
        <v/>
      </c>
      <c r="GP18" s="11" t="str">
        <f t="shared" si="58"/>
        <v/>
      </c>
      <c r="GQ18" s="11" t="str">
        <f t="shared" si="59"/>
        <v/>
      </c>
      <c r="GR18" s="11" t="str">
        <f t="shared" si="60"/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 t="shared" si="61"/>
        <v/>
      </c>
      <c r="HN18" s="40" t="str">
        <f t="shared" si="62"/>
        <v/>
      </c>
      <c r="HO18" s="40" t="str">
        <f t="shared" si="63"/>
        <v/>
      </c>
      <c r="HP18" s="40" t="str">
        <f t="shared" si="64"/>
        <v/>
      </c>
      <c r="HQ18" s="40" t="str">
        <f t="shared" si="65"/>
        <v/>
      </c>
      <c r="HR18" s="40" t="str">
        <f t="shared" si="66"/>
        <v/>
      </c>
      <c r="HS18" s="40" t="str">
        <f t="shared" si="67"/>
        <v/>
      </c>
      <c r="HT18" s="40" t="str">
        <f t="shared" si="68"/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 t="shared" si="69"/>
        <v/>
      </c>
      <c r="IP18" s="11" t="str">
        <f t="shared" si="70"/>
        <v/>
      </c>
      <c r="IQ18" s="11" t="str">
        <f t="shared" si="71"/>
        <v/>
      </c>
      <c r="IR18" s="11" t="str">
        <f t="shared" si="72"/>
        <v/>
      </c>
      <c r="IS18" s="11" t="str">
        <f t="shared" si="73"/>
        <v/>
      </c>
      <c r="IT18" s="11" t="str">
        <f t="shared" si="74"/>
        <v/>
      </c>
      <c r="IU18" s="11" t="str">
        <f t="shared" si="75"/>
        <v/>
      </c>
      <c r="IV18" s="11" t="str">
        <f t="shared" si="76"/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 t="shared" si="77"/>
        <v/>
      </c>
      <c r="JR18" s="40" t="str">
        <f t="shared" si="78"/>
        <v/>
      </c>
      <c r="JS18" s="40" t="str">
        <f t="shared" si="79"/>
        <v/>
      </c>
      <c r="JT18" s="40" t="str">
        <f t="shared" si="80"/>
        <v/>
      </c>
      <c r="JU18" s="40" t="str">
        <f t="shared" si="81"/>
        <v/>
      </c>
      <c r="JV18" s="40" t="str">
        <f t="shared" si="82"/>
        <v/>
      </c>
      <c r="JW18" s="40" t="str">
        <f t="shared" si="83"/>
        <v/>
      </c>
      <c r="JX18" s="40" t="str">
        <f t="shared" si="84"/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 t="shared" si="85"/>
        <v/>
      </c>
      <c r="KT18" s="11" t="str">
        <f t="shared" si="86"/>
        <v/>
      </c>
      <c r="KU18" s="11" t="str">
        <f t="shared" si="87"/>
        <v/>
      </c>
      <c r="KV18" s="11" t="str">
        <f t="shared" si="88"/>
        <v/>
      </c>
      <c r="KW18" s="11" t="str">
        <f t="shared" si="89"/>
        <v/>
      </c>
      <c r="KX18" s="11" t="str">
        <f t="shared" si="90"/>
        <v/>
      </c>
      <c r="KY18" s="11" t="str">
        <f t="shared" si="91"/>
        <v/>
      </c>
      <c r="KZ18" s="11" t="str">
        <f t="shared" si="92"/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 t="shared" si="93"/>
        <v/>
      </c>
      <c r="LV18" s="40" t="str">
        <f t="shared" si="94"/>
        <v/>
      </c>
      <c r="LW18" s="40" t="str">
        <f t="shared" si="95"/>
        <v/>
      </c>
      <c r="LX18" s="40" t="str">
        <f t="shared" si="96"/>
        <v/>
      </c>
      <c r="LY18" s="40" t="str">
        <f t="shared" si="97"/>
        <v/>
      </c>
      <c r="LZ18" s="40" t="str">
        <f t="shared" si="98"/>
        <v/>
      </c>
      <c r="MA18" s="40" t="str">
        <f t="shared" si="99"/>
        <v/>
      </c>
      <c r="MB18" s="40" t="str">
        <f t="shared" si="100"/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 t="shared" si="101"/>
        <v/>
      </c>
      <c r="MX18" s="11" t="str">
        <f t="shared" si="102"/>
        <v/>
      </c>
      <c r="MY18" s="11" t="str">
        <f t="shared" si="103"/>
        <v/>
      </c>
      <c r="MZ18" s="11" t="str">
        <f t="shared" si="104"/>
        <v/>
      </c>
      <c r="NA18" s="11" t="str">
        <f t="shared" si="105"/>
        <v/>
      </c>
      <c r="NB18" s="11" t="str">
        <f t="shared" si="106"/>
        <v/>
      </c>
      <c r="NC18" s="11" t="str">
        <f t="shared" si="107"/>
        <v/>
      </c>
      <c r="ND18" s="11" t="str">
        <f t="shared" si="108"/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 t="shared" si="109"/>
        <v/>
      </c>
      <c r="NZ18" s="40" t="str">
        <f t="shared" si="110"/>
        <v/>
      </c>
      <c r="OA18" s="40" t="str">
        <f t="shared" si="111"/>
        <v/>
      </c>
      <c r="OB18" s="40" t="str">
        <f t="shared" si="112"/>
        <v/>
      </c>
      <c r="OC18" s="40" t="str">
        <f t="shared" si="113"/>
        <v/>
      </c>
      <c r="OD18" s="40" t="str">
        <f t="shared" si="114"/>
        <v/>
      </c>
      <c r="OE18" s="40" t="str">
        <f t="shared" si="115"/>
        <v/>
      </c>
      <c r="OF18" s="40" t="str">
        <f t="shared" si="116"/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 t="shared" si="117"/>
        <v/>
      </c>
      <c r="PB18" s="11" t="str">
        <f t="shared" si="118"/>
        <v/>
      </c>
      <c r="PC18" s="11" t="str">
        <f t="shared" si="119"/>
        <v/>
      </c>
      <c r="PD18" s="11" t="str">
        <f t="shared" si="120"/>
        <v/>
      </c>
      <c r="PE18" s="11" t="str">
        <f t="shared" si="121"/>
        <v/>
      </c>
      <c r="PF18" s="11" t="str">
        <f t="shared" si="122"/>
        <v/>
      </c>
      <c r="PG18" s="11" t="str">
        <f t="shared" si="123"/>
        <v/>
      </c>
      <c r="PH18" s="11" t="str">
        <f t="shared" si="124"/>
        <v/>
      </c>
      <c r="PI18" s="22">
        <f t="shared" si="125"/>
        <v>18.149999999999999</v>
      </c>
      <c r="PJ18" s="22">
        <f t="shared" si="126"/>
        <v>6.6</v>
      </c>
      <c r="PK18" s="22">
        <f t="shared" si="127"/>
        <v>1</v>
      </c>
      <c r="PL18" s="22">
        <f t="shared" si="128"/>
        <v>0</v>
      </c>
      <c r="PM18" s="22">
        <f t="shared" si="129"/>
        <v>16.899999999999999</v>
      </c>
      <c r="PN18" s="22">
        <f t="shared" si="130"/>
        <v>4.5999999999999996</v>
      </c>
      <c r="PO18" s="22">
        <f t="shared" si="131"/>
        <v>0.5</v>
      </c>
      <c r="PP18" s="22">
        <f t="shared" si="132"/>
        <v>0</v>
      </c>
      <c r="PQ18" s="22">
        <f t="shared" si="133"/>
        <v>8.9</v>
      </c>
      <c r="PR18" s="22">
        <f t="shared" si="134"/>
        <v>2.6</v>
      </c>
      <c r="PS18" s="22">
        <f t="shared" si="135"/>
        <v>0.5</v>
      </c>
      <c r="PT18" s="22">
        <f t="shared" si="136"/>
        <v>0</v>
      </c>
      <c r="PU18" s="22">
        <f t="shared" si="137"/>
        <v>8.25</v>
      </c>
      <c r="PV18" s="22">
        <f t="shared" si="138"/>
        <v>3.6</v>
      </c>
      <c r="PW18" s="22">
        <f t="shared" si="139"/>
        <v>0.4</v>
      </c>
      <c r="PX18" s="22">
        <f t="shared" si="140"/>
        <v>0</v>
      </c>
      <c r="PY18" s="27" t="s">
        <v>46</v>
      </c>
      <c r="PZ18" s="40">
        <f t="shared" si="141"/>
        <v>11.2</v>
      </c>
      <c r="QA18" s="40">
        <f t="shared" si="142"/>
        <v>44.75</v>
      </c>
      <c r="QB18" s="40">
        <f t="shared" si="143"/>
        <v>6.2</v>
      </c>
      <c r="QC18" s="40">
        <f t="shared" si="144"/>
        <v>22.450000000000003</v>
      </c>
      <c r="QD18" s="40">
        <f t="shared" si="145"/>
        <v>67.2</v>
      </c>
    </row>
    <row r="19" spans="1:446" x14ac:dyDescent="0.2">
      <c r="A19" s="4" t="str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/>
      </c>
      <c r="B19" s="4" t="str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/>
      </c>
      <c r="C19" s="5" t="s">
        <v>133</v>
      </c>
      <c r="D19" s="4" t="s">
        <v>87</v>
      </c>
      <c r="E19" s="4">
        <v>2007</v>
      </c>
      <c r="F19" s="9">
        <f t="shared" si="0"/>
        <v>141.60000912000498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IF(COUNT(AM19,BI19,CE19)&gt;0,LARGE((AM19,BI19,CE19),1),0)</f>
        <v>49.999999999999993</v>
      </c>
      <c r="M19" s="8" t="str">
        <f t="shared" si="5"/>
        <v>2025 Elite Canada</v>
      </c>
      <c r="N19" s="8">
        <f>IF(COUNT(AM19,BI19,CE19)&gt;1,LARGE((AM19,BI19,CE19),2),0)</f>
        <v>41.199999999999996</v>
      </c>
      <c r="O19" s="8" t="str">
        <f t="shared" si="6"/>
        <v>2025 Nationals</v>
      </c>
      <c r="P19" s="8">
        <f t="shared" si="7"/>
        <v>50.4</v>
      </c>
      <c r="Q19" s="8" t="str">
        <f t="shared" si="8"/>
        <v>2025 Elite Canada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18.600000000000001</v>
      </c>
      <c r="V19" s="19">
        <v>6.8</v>
      </c>
      <c r="W19" s="19">
        <v>0.2</v>
      </c>
      <c r="X19" s="19">
        <v>0</v>
      </c>
      <c r="Y19" s="19">
        <v>18.600000000000001</v>
      </c>
      <c r="Z19" s="19">
        <v>6.4</v>
      </c>
      <c r="AA19" s="19">
        <v>0.2</v>
      </c>
      <c r="AB19" s="19">
        <v>0</v>
      </c>
      <c r="AC19" s="19">
        <v>18.5</v>
      </c>
      <c r="AD19" s="19">
        <v>6.8</v>
      </c>
      <c r="AE19" s="19">
        <v>0.2</v>
      </c>
      <c r="AF19" s="19">
        <v>0</v>
      </c>
      <c r="AG19" s="19">
        <v>18.899999999999999</v>
      </c>
      <c r="AH19" s="19">
        <v>6.4</v>
      </c>
      <c r="AI19" s="19">
        <v>0</v>
      </c>
      <c r="AJ19" s="19">
        <v>0</v>
      </c>
      <c r="AK19" s="27"/>
      <c r="AL19" s="40">
        <f t="shared" si="12"/>
        <v>13.2</v>
      </c>
      <c r="AM19" s="40">
        <f t="shared" si="13"/>
        <v>49.999999999999993</v>
      </c>
      <c r="AN19" s="40">
        <f t="shared" si="14"/>
        <v>13.2</v>
      </c>
      <c r="AO19" s="40">
        <f t="shared" si="15"/>
        <v>50.4</v>
      </c>
      <c r="AP19" s="40">
        <f t="shared" si="16"/>
        <v>100.39999999999999</v>
      </c>
      <c r="AQ19" s="18">
        <v>18</v>
      </c>
      <c r="AR19" s="18">
        <v>5.2</v>
      </c>
      <c r="AS19" s="18">
        <v>0</v>
      </c>
      <c r="AT19" s="18">
        <v>0</v>
      </c>
      <c r="AU19" s="18">
        <v>15.2</v>
      </c>
      <c r="AV19" s="18">
        <v>2.8</v>
      </c>
      <c r="AW19" s="18">
        <v>0</v>
      </c>
      <c r="AX19" s="18">
        <v>0</v>
      </c>
      <c r="AY19" s="18">
        <v>17.899999999999999</v>
      </c>
      <c r="AZ19" s="18">
        <v>5.2</v>
      </c>
      <c r="BA19" s="18">
        <v>1</v>
      </c>
      <c r="BB19" s="18">
        <v>0</v>
      </c>
      <c r="BC19" s="18">
        <v>18</v>
      </c>
      <c r="BD19" s="18">
        <v>6.4</v>
      </c>
      <c r="BE19" s="18">
        <v>0.2</v>
      </c>
      <c r="BF19" s="18">
        <v>0</v>
      </c>
      <c r="BG19" s="28"/>
      <c r="BH19" s="11">
        <f t="shared" si="17"/>
        <v>8</v>
      </c>
      <c r="BI19" s="11">
        <f t="shared" si="18"/>
        <v>41.199999999999996</v>
      </c>
      <c r="BJ19" s="11">
        <f t="shared" si="19"/>
        <v>11.600000000000001</v>
      </c>
      <c r="BK19" s="11">
        <f t="shared" si="20"/>
        <v>46.29999999999999</v>
      </c>
      <c r="BL19" s="11">
        <f t="shared" si="21"/>
        <v>87.499999999999986</v>
      </c>
      <c r="BM19" s="19">
        <v>16.7</v>
      </c>
      <c r="BN19" s="19">
        <v>6</v>
      </c>
      <c r="BO19" s="19">
        <v>0.8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18.5</v>
      </c>
      <c r="BZ19" s="19">
        <v>6.4</v>
      </c>
      <c r="CA19" s="19">
        <v>0.6</v>
      </c>
      <c r="CB19" s="19">
        <v>0</v>
      </c>
      <c r="CC19" s="27"/>
      <c r="CD19" s="40">
        <f t="shared" si="22"/>
        <v>6</v>
      </c>
      <c r="CE19" s="40">
        <f t="shared" si="23"/>
        <v>21.9</v>
      </c>
      <c r="CF19" s="40">
        <f t="shared" si="24"/>
        <v>6.4</v>
      </c>
      <c r="CG19" s="40">
        <f t="shared" si="25"/>
        <v>24.299999999999997</v>
      </c>
      <c r="CH19" s="40">
        <f t="shared" si="26"/>
        <v>46.199999999999996</v>
      </c>
      <c r="CI19" s="50" t="str">
        <f t="shared" si="27"/>
        <v/>
      </c>
      <c r="CJ19" s="50" t="str">
        <f t="shared" si="28"/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 t="shared" si="29"/>
        <v/>
      </c>
      <c r="DF19" s="40" t="str">
        <f t="shared" si="30"/>
        <v/>
      </c>
      <c r="DG19" s="40" t="str">
        <f t="shared" si="31"/>
        <v/>
      </c>
      <c r="DH19" s="40" t="str">
        <f t="shared" si="32"/>
        <v/>
      </c>
      <c r="DI19" s="40" t="str">
        <f t="shared" si="33"/>
        <v/>
      </c>
      <c r="DJ19" s="40" t="str">
        <f t="shared" si="34"/>
        <v/>
      </c>
      <c r="DK19" s="40" t="str">
        <f t="shared" si="35"/>
        <v/>
      </c>
      <c r="DL19" s="40" t="str">
        <f t="shared" si="36"/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 t="shared" si="37"/>
        <v/>
      </c>
      <c r="EH19" s="11" t="str">
        <f t="shared" si="38"/>
        <v/>
      </c>
      <c r="EI19" s="11" t="str">
        <f t="shared" si="39"/>
        <v/>
      </c>
      <c r="EJ19" s="11" t="str">
        <f t="shared" si="40"/>
        <v/>
      </c>
      <c r="EK19" s="11" t="str">
        <f t="shared" si="41"/>
        <v/>
      </c>
      <c r="EL19" s="11" t="str">
        <f t="shared" si="42"/>
        <v/>
      </c>
      <c r="EM19" s="11" t="str">
        <f t="shared" si="43"/>
        <v/>
      </c>
      <c r="EN19" s="11" t="str">
        <f t="shared" si="44"/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 t="shared" si="45"/>
        <v/>
      </c>
      <c r="FJ19" s="40" t="str">
        <f t="shared" si="46"/>
        <v/>
      </c>
      <c r="FK19" s="40" t="str">
        <f t="shared" si="47"/>
        <v/>
      </c>
      <c r="FL19" s="40" t="str">
        <f t="shared" si="48"/>
        <v/>
      </c>
      <c r="FM19" s="40" t="str">
        <f t="shared" si="49"/>
        <v/>
      </c>
      <c r="FN19" s="40" t="str">
        <f t="shared" si="50"/>
        <v/>
      </c>
      <c r="FO19" s="40" t="str">
        <f t="shared" si="51"/>
        <v/>
      </c>
      <c r="FP19" s="40" t="str">
        <f t="shared" si="52"/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 t="shared" si="53"/>
        <v/>
      </c>
      <c r="GL19" s="11" t="str">
        <f t="shared" si="54"/>
        <v/>
      </c>
      <c r="GM19" s="11" t="str">
        <f t="shared" si="55"/>
        <v/>
      </c>
      <c r="GN19" s="11" t="str">
        <f t="shared" si="56"/>
        <v/>
      </c>
      <c r="GO19" s="11" t="str">
        <f t="shared" si="57"/>
        <v/>
      </c>
      <c r="GP19" s="11" t="str">
        <f t="shared" si="58"/>
        <v/>
      </c>
      <c r="GQ19" s="11" t="str">
        <f t="shared" si="59"/>
        <v/>
      </c>
      <c r="GR19" s="11" t="str">
        <f t="shared" si="60"/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 t="shared" si="61"/>
        <v/>
      </c>
      <c r="HN19" s="40" t="str">
        <f t="shared" si="62"/>
        <v/>
      </c>
      <c r="HO19" s="40" t="str">
        <f t="shared" si="63"/>
        <v/>
      </c>
      <c r="HP19" s="40" t="str">
        <f t="shared" si="64"/>
        <v/>
      </c>
      <c r="HQ19" s="40" t="str">
        <f t="shared" si="65"/>
        <v/>
      </c>
      <c r="HR19" s="40" t="str">
        <f t="shared" si="66"/>
        <v/>
      </c>
      <c r="HS19" s="40" t="str">
        <f t="shared" si="67"/>
        <v/>
      </c>
      <c r="HT19" s="40" t="str">
        <f t="shared" si="68"/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 t="shared" si="69"/>
        <v/>
      </c>
      <c r="IP19" s="11" t="str">
        <f t="shared" si="70"/>
        <v/>
      </c>
      <c r="IQ19" s="11" t="str">
        <f t="shared" si="71"/>
        <v/>
      </c>
      <c r="IR19" s="11" t="str">
        <f t="shared" si="72"/>
        <v/>
      </c>
      <c r="IS19" s="11" t="str">
        <f t="shared" si="73"/>
        <v/>
      </c>
      <c r="IT19" s="11" t="str">
        <f t="shared" si="74"/>
        <v/>
      </c>
      <c r="IU19" s="11" t="str">
        <f t="shared" si="75"/>
        <v/>
      </c>
      <c r="IV19" s="11" t="str">
        <f t="shared" si="76"/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 t="shared" si="77"/>
        <v/>
      </c>
      <c r="JR19" s="40" t="str">
        <f t="shared" si="78"/>
        <v/>
      </c>
      <c r="JS19" s="40" t="str">
        <f t="shared" si="79"/>
        <v/>
      </c>
      <c r="JT19" s="40" t="str">
        <f t="shared" si="80"/>
        <v/>
      </c>
      <c r="JU19" s="40" t="str">
        <f t="shared" si="81"/>
        <v/>
      </c>
      <c r="JV19" s="40" t="str">
        <f t="shared" si="82"/>
        <v/>
      </c>
      <c r="JW19" s="40" t="str">
        <f t="shared" si="83"/>
        <v/>
      </c>
      <c r="JX19" s="40" t="str">
        <f t="shared" si="84"/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 t="shared" si="85"/>
        <v/>
      </c>
      <c r="KT19" s="11" t="str">
        <f t="shared" si="86"/>
        <v/>
      </c>
      <c r="KU19" s="11" t="str">
        <f t="shared" si="87"/>
        <v/>
      </c>
      <c r="KV19" s="11" t="str">
        <f t="shared" si="88"/>
        <v/>
      </c>
      <c r="KW19" s="11" t="str">
        <f t="shared" si="89"/>
        <v/>
      </c>
      <c r="KX19" s="11" t="str">
        <f t="shared" si="90"/>
        <v/>
      </c>
      <c r="KY19" s="11" t="str">
        <f t="shared" si="91"/>
        <v/>
      </c>
      <c r="KZ19" s="11" t="str">
        <f t="shared" si="92"/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 t="shared" si="93"/>
        <v/>
      </c>
      <c r="LV19" s="40" t="str">
        <f t="shared" si="94"/>
        <v/>
      </c>
      <c r="LW19" s="40" t="str">
        <f t="shared" si="95"/>
        <v/>
      </c>
      <c r="LX19" s="40" t="str">
        <f t="shared" si="96"/>
        <v/>
      </c>
      <c r="LY19" s="40" t="str">
        <f t="shared" si="97"/>
        <v/>
      </c>
      <c r="LZ19" s="40" t="str">
        <f t="shared" si="98"/>
        <v/>
      </c>
      <c r="MA19" s="40" t="str">
        <f t="shared" si="99"/>
        <v/>
      </c>
      <c r="MB19" s="40" t="str">
        <f t="shared" si="100"/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 t="shared" si="101"/>
        <v/>
      </c>
      <c r="MX19" s="11" t="str">
        <f t="shared" si="102"/>
        <v/>
      </c>
      <c r="MY19" s="11" t="str">
        <f t="shared" si="103"/>
        <v/>
      </c>
      <c r="MZ19" s="11" t="str">
        <f t="shared" si="104"/>
        <v/>
      </c>
      <c r="NA19" s="11" t="str">
        <f t="shared" si="105"/>
        <v/>
      </c>
      <c r="NB19" s="11" t="str">
        <f t="shared" si="106"/>
        <v/>
      </c>
      <c r="NC19" s="11" t="str">
        <f t="shared" si="107"/>
        <v/>
      </c>
      <c r="ND19" s="11" t="str">
        <f t="shared" si="108"/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 t="shared" si="109"/>
        <v/>
      </c>
      <c r="NZ19" s="40" t="str">
        <f t="shared" si="110"/>
        <v/>
      </c>
      <c r="OA19" s="40" t="str">
        <f t="shared" si="111"/>
        <v/>
      </c>
      <c r="OB19" s="40" t="str">
        <f t="shared" si="112"/>
        <v/>
      </c>
      <c r="OC19" s="40" t="str">
        <f t="shared" si="113"/>
        <v/>
      </c>
      <c r="OD19" s="40" t="str">
        <f t="shared" si="114"/>
        <v/>
      </c>
      <c r="OE19" s="40" t="str">
        <f t="shared" si="115"/>
        <v/>
      </c>
      <c r="OF19" s="40" t="str">
        <f t="shared" si="116"/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 t="shared" si="117"/>
        <v/>
      </c>
      <c r="PB19" s="11" t="str">
        <f t="shared" si="118"/>
        <v/>
      </c>
      <c r="PC19" s="11" t="str">
        <f t="shared" si="119"/>
        <v/>
      </c>
      <c r="PD19" s="11" t="str">
        <f t="shared" si="120"/>
        <v/>
      </c>
      <c r="PE19" s="11" t="str">
        <f t="shared" si="121"/>
        <v/>
      </c>
      <c r="PF19" s="11" t="str">
        <f t="shared" si="122"/>
        <v/>
      </c>
      <c r="PG19" s="11" t="str">
        <f t="shared" si="123"/>
        <v/>
      </c>
      <c r="PH19" s="11" t="str">
        <f t="shared" si="124"/>
        <v/>
      </c>
      <c r="PI19" s="22">
        <f t="shared" si="125"/>
        <v>17.350000000000001</v>
      </c>
      <c r="PJ19" s="22">
        <f t="shared" si="126"/>
        <v>5.6</v>
      </c>
      <c r="PK19" s="22">
        <f t="shared" si="127"/>
        <v>0.4</v>
      </c>
      <c r="PL19" s="22">
        <f t="shared" si="128"/>
        <v>0</v>
      </c>
      <c r="PM19" s="22">
        <f t="shared" si="129"/>
        <v>7.6</v>
      </c>
      <c r="PN19" s="22">
        <f t="shared" si="130"/>
        <v>1.4</v>
      </c>
      <c r="PO19" s="22">
        <f t="shared" si="131"/>
        <v>0</v>
      </c>
      <c r="PP19" s="22">
        <f t="shared" si="132"/>
        <v>0</v>
      </c>
      <c r="PQ19" s="22">
        <f t="shared" si="133"/>
        <v>8.9499999999999993</v>
      </c>
      <c r="PR19" s="22">
        <f t="shared" si="134"/>
        <v>2.6</v>
      </c>
      <c r="PS19" s="22">
        <f t="shared" si="135"/>
        <v>0.5</v>
      </c>
      <c r="PT19" s="22">
        <f t="shared" si="136"/>
        <v>0</v>
      </c>
      <c r="PU19" s="22">
        <f t="shared" si="137"/>
        <v>18.25</v>
      </c>
      <c r="PV19" s="22">
        <f t="shared" si="138"/>
        <v>6.4</v>
      </c>
      <c r="PW19" s="22">
        <f t="shared" si="139"/>
        <v>0.4</v>
      </c>
      <c r="PX19" s="22">
        <f t="shared" si="140"/>
        <v>0</v>
      </c>
      <c r="PY19" s="27" t="s">
        <v>46</v>
      </c>
      <c r="PZ19" s="40">
        <f t="shared" si="141"/>
        <v>7</v>
      </c>
      <c r="QA19" s="40">
        <f t="shared" si="142"/>
        <v>31.550000000000004</v>
      </c>
      <c r="QB19" s="40">
        <f t="shared" si="143"/>
        <v>9</v>
      </c>
      <c r="QC19" s="40">
        <f t="shared" si="144"/>
        <v>35.299999999999997</v>
      </c>
      <c r="QD19" s="40">
        <f t="shared" si="145"/>
        <v>66.849999999999994</v>
      </c>
    </row>
    <row r="20" spans="1:446" x14ac:dyDescent="0.2">
      <c r="A20" s="4" t="str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/>
      </c>
      <c r="B20" s="4" t="str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/>
      </c>
      <c r="C20" s="5" t="s">
        <v>190</v>
      </c>
      <c r="D20" s="4" t="s">
        <v>4</v>
      </c>
      <c r="E20" s="4">
        <v>2009</v>
      </c>
      <c r="F20" s="9">
        <f t="shared" si="0"/>
        <v>139.10000903000486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IF(COUNT(AM20,BI20,CE20)&gt;0,LARGE((AM20,BI20,CE20),1),0)</f>
        <v>48.6</v>
      </c>
      <c r="M20" s="8" t="str">
        <f t="shared" si="5"/>
        <v>2025 3rd Domestic Trial</v>
      </c>
      <c r="N20" s="8">
        <f>IF(COUNT(AM20,BI20,CE20)&gt;1,LARGE((AM20,BI20,CE20),2),0)</f>
        <v>41.699999999999996</v>
      </c>
      <c r="O20" s="8" t="str">
        <f t="shared" si="6"/>
        <v>2025 Nationals</v>
      </c>
      <c r="P20" s="8">
        <f t="shared" si="7"/>
        <v>48.800000000000004</v>
      </c>
      <c r="Q20" s="8" t="str">
        <f t="shared" si="8"/>
        <v>2025 3rd Domestic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0</v>
      </c>
      <c r="V20" s="19">
        <v>0</v>
      </c>
      <c r="W20" s="19">
        <v>0</v>
      </c>
      <c r="X20" s="19">
        <v>0</v>
      </c>
      <c r="Y20" s="19">
        <v>16.5</v>
      </c>
      <c r="Z20" s="19">
        <v>6.4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27"/>
      <c r="AL20" s="40">
        <f t="shared" si="12"/>
        <v>6.4</v>
      </c>
      <c r="AM20" s="40">
        <f t="shared" si="13"/>
        <v>22.9</v>
      </c>
      <c r="AN20" s="40" t="str">
        <f t="shared" si="14"/>
        <v/>
      </c>
      <c r="AO20" s="40" t="str">
        <f t="shared" si="15"/>
        <v/>
      </c>
      <c r="AP20" s="40">
        <f t="shared" si="16"/>
        <v>22.9</v>
      </c>
      <c r="AQ20" s="18">
        <v>15.3</v>
      </c>
      <c r="AR20" s="18">
        <v>2.4</v>
      </c>
      <c r="AS20" s="18">
        <v>0</v>
      </c>
      <c r="AT20" s="18">
        <v>0</v>
      </c>
      <c r="AU20" s="18">
        <v>18.399999999999999</v>
      </c>
      <c r="AV20" s="18">
        <v>6.4</v>
      </c>
      <c r="AW20" s="18">
        <v>0.8</v>
      </c>
      <c r="AX20" s="18">
        <v>0</v>
      </c>
      <c r="AY20" s="18">
        <v>18.100000000000001</v>
      </c>
      <c r="AZ20" s="18">
        <v>5.2</v>
      </c>
      <c r="BA20" s="18">
        <v>0.8</v>
      </c>
      <c r="BB20" s="18">
        <v>0</v>
      </c>
      <c r="BC20" s="18">
        <v>15.2</v>
      </c>
      <c r="BD20" s="18">
        <v>2.8</v>
      </c>
      <c r="BE20" s="18">
        <v>0.2</v>
      </c>
      <c r="BF20" s="18">
        <v>0</v>
      </c>
      <c r="BG20" s="28"/>
      <c r="BH20" s="11">
        <f t="shared" si="17"/>
        <v>8.8000000000000007</v>
      </c>
      <c r="BI20" s="11">
        <f t="shared" si="18"/>
        <v>41.699999999999996</v>
      </c>
      <c r="BJ20" s="11">
        <f t="shared" si="19"/>
        <v>8</v>
      </c>
      <c r="BK20" s="11">
        <f t="shared" si="20"/>
        <v>40.299999999999997</v>
      </c>
      <c r="BL20" s="11">
        <f t="shared" si="21"/>
        <v>82</v>
      </c>
      <c r="BM20" s="19">
        <v>18.7</v>
      </c>
      <c r="BN20" s="19">
        <v>6</v>
      </c>
      <c r="BO20" s="19">
        <v>0</v>
      </c>
      <c r="BP20" s="19">
        <v>0</v>
      </c>
      <c r="BQ20" s="19">
        <v>18.5</v>
      </c>
      <c r="BR20" s="19">
        <v>5.6</v>
      </c>
      <c r="BS20" s="19">
        <v>0.2</v>
      </c>
      <c r="BT20" s="19">
        <v>0</v>
      </c>
      <c r="BU20" s="19">
        <v>18.5</v>
      </c>
      <c r="BV20" s="19">
        <v>6</v>
      </c>
      <c r="BW20" s="19">
        <v>0</v>
      </c>
      <c r="BX20" s="19">
        <v>0</v>
      </c>
      <c r="BY20" s="19">
        <v>18.7</v>
      </c>
      <c r="BZ20" s="19">
        <v>5.6</v>
      </c>
      <c r="CA20" s="19">
        <v>0</v>
      </c>
      <c r="CB20" s="19">
        <v>0</v>
      </c>
      <c r="CC20" s="27"/>
      <c r="CD20" s="40">
        <f t="shared" si="22"/>
        <v>11.6</v>
      </c>
      <c r="CE20" s="40">
        <f t="shared" si="23"/>
        <v>48.6</v>
      </c>
      <c r="CF20" s="40">
        <f t="shared" si="24"/>
        <v>11.6</v>
      </c>
      <c r="CG20" s="40">
        <f t="shared" si="25"/>
        <v>48.800000000000004</v>
      </c>
      <c r="CH20" s="40">
        <f t="shared" si="26"/>
        <v>97.4</v>
      </c>
      <c r="CI20" s="50" t="str">
        <f t="shared" si="27"/>
        <v/>
      </c>
      <c r="CJ20" s="50" t="str">
        <f t="shared" si="28"/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 t="shared" si="29"/>
        <v/>
      </c>
      <c r="DF20" s="40" t="str">
        <f t="shared" si="30"/>
        <v/>
      </c>
      <c r="DG20" s="40" t="str">
        <f t="shared" si="31"/>
        <v/>
      </c>
      <c r="DH20" s="40" t="str">
        <f t="shared" si="32"/>
        <v/>
      </c>
      <c r="DI20" s="40" t="str">
        <f t="shared" si="33"/>
        <v/>
      </c>
      <c r="DJ20" s="40" t="str">
        <f t="shared" si="34"/>
        <v/>
      </c>
      <c r="DK20" s="40" t="str">
        <f t="shared" si="35"/>
        <v/>
      </c>
      <c r="DL20" s="40" t="str">
        <f t="shared" si="36"/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 t="shared" si="37"/>
        <v/>
      </c>
      <c r="EH20" s="11" t="str">
        <f t="shared" si="38"/>
        <v/>
      </c>
      <c r="EI20" s="11" t="str">
        <f t="shared" si="39"/>
        <v/>
      </c>
      <c r="EJ20" s="11" t="str">
        <f t="shared" si="40"/>
        <v/>
      </c>
      <c r="EK20" s="11" t="str">
        <f t="shared" si="41"/>
        <v/>
      </c>
      <c r="EL20" s="11" t="str">
        <f t="shared" si="42"/>
        <v/>
      </c>
      <c r="EM20" s="11" t="str">
        <f t="shared" si="43"/>
        <v/>
      </c>
      <c r="EN20" s="11" t="str">
        <f t="shared" si="44"/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 t="shared" si="45"/>
        <v/>
      </c>
      <c r="FJ20" s="40" t="str">
        <f t="shared" si="46"/>
        <v/>
      </c>
      <c r="FK20" s="40" t="str">
        <f t="shared" si="47"/>
        <v/>
      </c>
      <c r="FL20" s="40" t="str">
        <f t="shared" si="48"/>
        <v/>
      </c>
      <c r="FM20" s="40" t="str">
        <f t="shared" si="49"/>
        <v/>
      </c>
      <c r="FN20" s="40" t="str">
        <f t="shared" si="50"/>
        <v/>
      </c>
      <c r="FO20" s="40" t="str">
        <f t="shared" si="51"/>
        <v/>
      </c>
      <c r="FP20" s="40" t="str">
        <f t="shared" si="52"/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 t="shared" si="53"/>
        <v/>
      </c>
      <c r="GL20" s="11" t="str">
        <f t="shared" si="54"/>
        <v/>
      </c>
      <c r="GM20" s="11" t="str">
        <f t="shared" si="55"/>
        <v/>
      </c>
      <c r="GN20" s="11" t="str">
        <f t="shared" si="56"/>
        <v/>
      </c>
      <c r="GO20" s="11" t="str">
        <f t="shared" si="57"/>
        <v/>
      </c>
      <c r="GP20" s="11" t="str">
        <f t="shared" si="58"/>
        <v/>
      </c>
      <c r="GQ20" s="11" t="str">
        <f t="shared" si="59"/>
        <v/>
      </c>
      <c r="GR20" s="11" t="str">
        <f t="shared" si="60"/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 t="shared" si="61"/>
        <v/>
      </c>
      <c r="HN20" s="40" t="str">
        <f t="shared" si="62"/>
        <v/>
      </c>
      <c r="HO20" s="40" t="str">
        <f t="shared" si="63"/>
        <v/>
      </c>
      <c r="HP20" s="40" t="str">
        <f t="shared" si="64"/>
        <v/>
      </c>
      <c r="HQ20" s="40" t="str">
        <f t="shared" si="65"/>
        <v/>
      </c>
      <c r="HR20" s="40" t="str">
        <f t="shared" si="66"/>
        <v/>
      </c>
      <c r="HS20" s="40" t="str">
        <f t="shared" si="67"/>
        <v/>
      </c>
      <c r="HT20" s="40" t="str">
        <f t="shared" si="68"/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 t="shared" si="69"/>
        <v/>
      </c>
      <c r="IP20" s="11" t="str">
        <f t="shared" si="70"/>
        <v/>
      </c>
      <c r="IQ20" s="11" t="str">
        <f t="shared" si="71"/>
        <v/>
      </c>
      <c r="IR20" s="11" t="str">
        <f t="shared" si="72"/>
        <v/>
      </c>
      <c r="IS20" s="11" t="str">
        <f t="shared" si="73"/>
        <v/>
      </c>
      <c r="IT20" s="11" t="str">
        <f t="shared" si="74"/>
        <v/>
      </c>
      <c r="IU20" s="11" t="str">
        <f t="shared" si="75"/>
        <v/>
      </c>
      <c r="IV20" s="11" t="str">
        <f t="shared" si="76"/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 t="shared" si="77"/>
        <v/>
      </c>
      <c r="JR20" s="40" t="str">
        <f t="shared" si="78"/>
        <v/>
      </c>
      <c r="JS20" s="40" t="str">
        <f t="shared" si="79"/>
        <v/>
      </c>
      <c r="JT20" s="40" t="str">
        <f t="shared" si="80"/>
        <v/>
      </c>
      <c r="JU20" s="40" t="str">
        <f t="shared" si="81"/>
        <v/>
      </c>
      <c r="JV20" s="40" t="str">
        <f t="shared" si="82"/>
        <v/>
      </c>
      <c r="JW20" s="40" t="str">
        <f t="shared" si="83"/>
        <v/>
      </c>
      <c r="JX20" s="40" t="str">
        <f t="shared" si="84"/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 t="shared" si="85"/>
        <v/>
      </c>
      <c r="KT20" s="11" t="str">
        <f t="shared" si="86"/>
        <v/>
      </c>
      <c r="KU20" s="11" t="str">
        <f t="shared" si="87"/>
        <v/>
      </c>
      <c r="KV20" s="11" t="str">
        <f t="shared" si="88"/>
        <v/>
      </c>
      <c r="KW20" s="11" t="str">
        <f t="shared" si="89"/>
        <v/>
      </c>
      <c r="KX20" s="11" t="str">
        <f t="shared" si="90"/>
        <v/>
      </c>
      <c r="KY20" s="11" t="str">
        <f t="shared" si="91"/>
        <v/>
      </c>
      <c r="KZ20" s="11" t="str">
        <f t="shared" si="92"/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 t="shared" si="93"/>
        <v/>
      </c>
      <c r="LV20" s="40" t="str">
        <f t="shared" si="94"/>
        <v/>
      </c>
      <c r="LW20" s="40" t="str">
        <f t="shared" si="95"/>
        <v/>
      </c>
      <c r="LX20" s="40" t="str">
        <f t="shared" si="96"/>
        <v/>
      </c>
      <c r="LY20" s="40" t="str">
        <f t="shared" si="97"/>
        <v/>
      </c>
      <c r="LZ20" s="40" t="str">
        <f t="shared" si="98"/>
        <v/>
      </c>
      <c r="MA20" s="40" t="str">
        <f t="shared" si="99"/>
        <v/>
      </c>
      <c r="MB20" s="40" t="str">
        <f t="shared" si="100"/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 t="shared" si="101"/>
        <v/>
      </c>
      <c r="MX20" s="11" t="str">
        <f t="shared" si="102"/>
        <v/>
      </c>
      <c r="MY20" s="11" t="str">
        <f t="shared" si="103"/>
        <v/>
      </c>
      <c r="MZ20" s="11" t="str">
        <f t="shared" si="104"/>
        <v/>
      </c>
      <c r="NA20" s="11" t="str">
        <f t="shared" si="105"/>
        <v/>
      </c>
      <c r="NB20" s="11" t="str">
        <f t="shared" si="106"/>
        <v/>
      </c>
      <c r="NC20" s="11" t="str">
        <f t="shared" si="107"/>
        <v/>
      </c>
      <c r="ND20" s="11" t="str">
        <f t="shared" si="108"/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 t="shared" si="109"/>
        <v/>
      </c>
      <c r="NZ20" s="40" t="str">
        <f t="shared" si="110"/>
        <v/>
      </c>
      <c r="OA20" s="40" t="str">
        <f t="shared" si="111"/>
        <v/>
      </c>
      <c r="OB20" s="40" t="str">
        <f t="shared" si="112"/>
        <v/>
      </c>
      <c r="OC20" s="40" t="str">
        <f t="shared" si="113"/>
        <v/>
      </c>
      <c r="OD20" s="40" t="str">
        <f t="shared" si="114"/>
        <v/>
      </c>
      <c r="OE20" s="40" t="str">
        <f t="shared" si="115"/>
        <v/>
      </c>
      <c r="OF20" s="40" t="str">
        <f t="shared" si="116"/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 t="shared" si="117"/>
        <v/>
      </c>
      <c r="PB20" s="11" t="str">
        <f t="shared" si="118"/>
        <v/>
      </c>
      <c r="PC20" s="11" t="str">
        <f t="shared" si="119"/>
        <v/>
      </c>
      <c r="PD20" s="11" t="str">
        <f t="shared" si="120"/>
        <v/>
      </c>
      <c r="PE20" s="11" t="str">
        <f t="shared" si="121"/>
        <v/>
      </c>
      <c r="PF20" s="11" t="str">
        <f t="shared" si="122"/>
        <v/>
      </c>
      <c r="PG20" s="11" t="str">
        <f t="shared" si="123"/>
        <v/>
      </c>
      <c r="PH20" s="11" t="str">
        <f t="shared" si="124"/>
        <v/>
      </c>
      <c r="PI20" s="22">
        <f t="shared" si="125"/>
        <v>17</v>
      </c>
      <c r="PJ20" s="22">
        <f t="shared" si="126"/>
        <v>4.2</v>
      </c>
      <c r="PK20" s="22">
        <f t="shared" si="127"/>
        <v>0</v>
      </c>
      <c r="PL20" s="22">
        <f t="shared" si="128"/>
        <v>0</v>
      </c>
      <c r="PM20" s="22">
        <f t="shared" si="129"/>
        <v>18.45</v>
      </c>
      <c r="PN20" s="22">
        <f t="shared" si="130"/>
        <v>6</v>
      </c>
      <c r="PO20" s="22">
        <f t="shared" si="131"/>
        <v>0.5</v>
      </c>
      <c r="PP20" s="22">
        <f t="shared" si="132"/>
        <v>0</v>
      </c>
      <c r="PQ20" s="22">
        <f t="shared" si="133"/>
        <v>18.3</v>
      </c>
      <c r="PR20" s="22">
        <f t="shared" si="134"/>
        <v>5.6</v>
      </c>
      <c r="PS20" s="22">
        <f t="shared" si="135"/>
        <v>0.4</v>
      </c>
      <c r="PT20" s="22">
        <f t="shared" si="136"/>
        <v>0</v>
      </c>
      <c r="PU20" s="22">
        <f t="shared" si="137"/>
        <v>16.95</v>
      </c>
      <c r="PV20" s="22">
        <f t="shared" si="138"/>
        <v>4.1999999999999993</v>
      </c>
      <c r="PW20" s="22">
        <f t="shared" si="139"/>
        <v>0.1</v>
      </c>
      <c r="PX20" s="22">
        <f t="shared" si="140"/>
        <v>0</v>
      </c>
      <c r="PY20" s="27" t="s">
        <v>46</v>
      </c>
      <c r="PZ20" s="40">
        <f t="shared" si="141"/>
        <v>10.199999999999999</v>
      </c>
      <c r="QA20" s="40">
        <f t="shared" si="142"/>
        <v>45.15</v>
      </c>
      <c r="QB20" s="40">
        <f t="shared" si="143"/>
        <v>9.7999999999999989</v>
      </c>
      <c r="QC20" s="40">
        <f t="shared" si="144"/>
        <v>44.55</v>
      </c>
      <c r="QD20" s="40">
        <f t="shared" si="145"/>
        <v>89.699999999999989</v>
      </c>
    </row>
    <row r="21" spans="1:446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203</v>
      </c>
      <c r="D21" s="4" t="s">
        <v>3</v>
      </c>
      <c r="E21" s="4">
        <v>2009</v>
      </c>
      <c r="F21" s="9">
        <f t="shared" si="0"/>
        <v>134.70000870000462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IF(COUNT(AM21,BI21,CE21)&gt;0,LARGE((AM21,BI21,CE21),1),0)</f>
        <v>46.000000000000007</v>
      </c>
      <c r="M21" s="8" t="str">
        <f t="shared" si="5"/>
        <v>2025 Elite Canada</v>
      </c>
      <c r="N21" s="8">
        <f>IF(COUNT(AM21,BI21,CE21)&gt;1,LARGE((AM21,BI21,CE21),2),0)</f>
        <v>41.000000000000007</v>
      </c>
      <c r="O21" s="8" t="str">
        <f t="shared" si="6"/>
        <v>2025 Nationals</v>
      </c>
      <c r="P21" s="8">
        <f t="shared" si="7"/>
        <v>47.7</v>
      </c>
      <c r="Q21" s="8" t="str">
        <f t="shared" si="8"/>
        <v>2025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18.600000000000001</v>
      </c>
      <c r="V21" s="19">
        <v>5.2</v>
      </c>
      <c r="W21" s="19">
        <v>0.8</v>
      </c>
      <c r="X21" s="19">
        <v>0</v>
      </c>
      <c r="Y21" s="19">
        <v>18.2</v>
      </c>
      <c r="Z21" s="19">
        <v>5.6</v>
      </c>
      <c r="AA21" s="19">
        <v>0.8</v>
      </c>
      <c r="AB21" s="19">
        <v>0</v>
      </c>
      <c r="AC21" s="19">
        <v>18.2</v>
      </c>
      <c r="AD21" s="19">
        <v>5.6</v>
      </c>
      <c r="AE21" s="19">
        <v>0.2</v>
      </c>
      <c r="AF21" s="19">
        <v>0</v>
      </c>
      <c r="AG21" s="19">
        <v>18.2</v>
      </c>
      <c r="AH21" s="19">
        <v>6</v>
      </c>
      <c r="AI21" s="19">
        <v>0.4</v>
      </c>
      <c r="AJ21" s="19">
        <v>0</v>
      </c>
      <c r="AK21" s="27"/>
      <c r="AL21" s="40">
        <f t="shared" si="12"/>
        <v>10.8</v>
      </c>
      <c r="AM21" s="40">
        <f t="shared" si="13"/>
        <v>46.000000000000007</v>
      </c>
      <c r="AN21" s="40">
        <f t="shared" si="14"/>
        <v>11.6</v>
      </c>
      <c r="AO21" s="40">
        <f t="shared" si="15"/>
        <v>47.4</v>
      </c>
      <c r="AP21" s="40">
        <f t="shared" si="16"/>
        <v>93.4</v>
      </c>
      <c r="AQ21" s="18">
        <v>17.899999999999999</v>
      </c>
      <c r="AR21" s="18">
        <v>5.6</v>
      </c>
      <c r="AS21" s="18">
        <v>0.8</v>
      </c>
      <c r="AT21" s="18">
        <v>0</v>
      </c>
      <c r="AU21" s="18">
        <v>15.1</v>
      </c>
      <c r="AV21" s="18">
        <v>3.2</v>
      </c>
      <c r="AW21" s="18">
        <v>0</v>
      </c>
      <c r="AX21" s="18">
        <v>0</v>
      </c>
      <c r="AY21" s="18">
        <v>18</v>
      </c>
      <c r="AZ21" s="18">
        <v>6.8</v>
      </c>
      <c r="BA21" s="18">
        <v>1</v>
      </c>
      <c r="BB21" s="18">
        <v>0</v>
      </c>
      <c r="BC21" s="18">
        <v>17.899999999999999</v>
      </c>
      <c r="BD21" s="18">
        <v>6</v>
      </c>
      <c r="BE21" s="18">
        <v>0</v>
      </c>
      <c r="BF21" s="18">
        <v>0</v>
      </c>
      <c r="BG21" s="28"/>
      <c r="BH21" s="11">
        <f t="shared" si="17"/>
        <v>8.8000000000000007</v>
      </c>
      <c r="BI21" s="11">
        <f t="shared" si="18"/>
        <v>41.000000000000007</v>
      </c>
      <c r="BJ21" s="11">
        <f t="shared" si="19"/>
        <v>12.8</v>
      </c>
      <c r="BK21" s="11">
        <f t="shared" si="20"/>
        <v>47.7</v>
      </c>
      <c r="BL21" s="11">
        <f t="shared" si="21"/>
        <v>88.700000000000017</v>
      </c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27"/>
      <c r="CD21" s="40" t="str">
        <f t="shared" si="22"/>
        <v/>
      </c>
      <c r="CE21" s="40" t="str">
        <f t="shared" si="23"/>
        <v/>
      </c>
      <c r="CF21" s="40" t="str">
        <f t="shared" si="24"/>
        <v/>
      </c>
      <c r="CG21" s="40" t="str">
        <f t="shared" si="25"/>
        <v/>
      </c>
      <c r="CH21" s="40" t="str">
        <f t="shared" si="26"/>
        <v/>
      </c>
      <c r="CI21" s="50" t="str">
        <f t="shared" si="27"/>
        <v/>
      </c>
      <c r="CJ21" s="50" t="str">
        <f t="shared" si="28"/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 t="shared" si="29"/>
        <v/>
      </c>
      <c r="DF21" s="40" t="str">
        <f t="shared" si="30"/>
        <v/>
      </c>
      <c r="DG21" s="40" t="str">
        <f t="shared" si="31"/>
        <v/>
      </c>
      <c r="DH21" s="40" t="str">
        <f t="shared" si="32"/>
        <v/>
      </c>
      <c r="DI21" s="40" t="str">
        <f t="shared" si="33"/>
        <v/>
      </c>
      <c r="DJ21" s="40" t="str">
        <f t="shared" si="34"/>
        <v/>
      </c>
      <c r="DK21" s="40" t="str">
        <f t="shared" si="35"/>
        <v/>
      </c>
      <c r="DL21" s="40" t="str">
        <f t="shared" si="36"/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 t="shared" si="37"/>
        <v/>
      </c>
      <c r="EH21" s="11" t="str">
        <f t="shared" si="38"/>
        <v/>
      </c>
      <c r="EI21" s="11" t="str">
        <f t="shared" si="39"/>
        <v/>
      </c>
      <c r="EJ21" s="11" t="str">
        <f t="shared" si="40"/>
        <v/>
      </c>
      <c r="EK21" s="11" t="str">
        <f t="shared" si="41"/>
        <v/>
      </c>
      <c r="EL21" s="11" t="str">
        <f t="shared" si="42"/>
        <v/>
      </c>
      <c r="EM21" s="11" t="str">
        <f t="shared" si="43"/>
        <v/>
      </c>
      <c r="EN21" s="11" t="str">
        <f t="shared" si="44"/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 t="shared" si="45"/>
        <v/>
      </c>
      <c r="FJ21" s="40" t="str">
        <f t="shared" si="46"/>
        <v/>
      </c>
      <c r="FK21" s="40" t="str">
        <f t="shared" si="47"/>
        <v/>
      </c>
      <c r="FL21" s="40" t="str">
        <f t="shared" si="48"/>
        <v/>
      </c>
      <c r="FM21" s="40" t="str">
        <f t="shared" si="49"/>
        <v/>
      </c>
      <c r="FN21" s="40" t="str">
        <f t="shared" si="50"/>
        <v/>
      </c>
      <c r="FO21" s="40" t="str">
        <f t="shared" si="51"/>
        <v/>
      </c>
      <c r="FP21" s="40" t="str">
        <f t="shared" si="52"/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 t="shared" si="53"/>
        <v/>
      </c>
      <c r="GL21" s="11" t="str">
        <f t="shared" si="54"/>
        <v/>
      </c>
      <c r="GM21" s="11" t="str">
        <f t="shared" si="55"/>
        <v/>
      </c>
      <c r="GN21" s="11" t="str">
        <f t="shared" si="56"/>
        <v/>
      </c>
      <c r="GO21" s="11" t="str">
        <f t="shared" si="57"/>
        <v/>
      </c>
      <c r="GP21" s="11" t="str">
        <f t="shared" si="58"/>
        <v/>
      </c>
      <c r="GQ21" s="11" t="str">
        <f t="shared" si="59"/>
        <v/>
      </c>
      <c r="GR21" s="11" t="str">
        <f t="shared" si="60"/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 t="shared" si="61"/>
        <v/>
      </c>
      <c r="HN21" s="40" t="str">
        <f t="shared" si="62"/>
        <v/>
      </c>
      <c r="HO21" s="40" t="str">
        <f t="shared" si="63"/>
        <v/>
      </c>
      <c r="HP21" s="40" t="str">
        <f t="shared" si="64"/>
        <v/>
      </c>
      <c r="HQ21" s="40" t="str">
        <f t="shared" si="65"/>
        <v/>
      </c>
      <c r="HR21" s="40" t="str">
        <f t="shared" si="66"/>
        <v/>
      </c>
      <c r="HS21" s="40" t="str">
        <f t="shared" si="67"/>
        <v/>
      </c>
      <c r="HT21" s="40" t="str">
        <f t="shared" si="68"/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 t="shared" si="69"/>
        <v/>
      </c>
      <c r="IP21" s="11" t="str">
        <f t="shared" si="70"/>
        <v/>
      </c>
      <c r="IQ21" s="11" t="str">
        <f t="shared" si="71"/>
        <v/>
      </c>
      <c r="IR21" s="11" t="str">
        <f t="shared" si="72"/>
        <v/>
      </c>
      <c r="IS21" s="11" t="str">
        <f t="shared" si="73"/>
        <v/>
      </c>
      <c r="IT21" s="11" t="str">
        <f t="shared" si="74"/>
        <v/>
      </c>
      <c r="IU21" s="11" t="str">
        <f t="shared" si="75"/>
        <v/>
      </c>
      <c r="IV21" s="11" t="str">
        <f t="shared" si="76"/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 t="shared" si="77"/>
        <v/>
      </c>
      <c r="JR21" s="40" t="str">
        <f t="shared" si="78"/>
        <v/>
      </c>
      <c r="JS21" s="40" t="str">
        <f t="shared" si="79"/>
        <v/>
      </c>
      <c r="JT21" s="40" t="str">
        <f t="shared" si="80"/>
        <v/>
      </c>
      <c r="JU21" s="40" t="str">
        <f t="shared" si="81"/>
        <v/>
      </c>
      <c r="JV21" s="40" t="str">
        <f t="shared" si="82"/>
        <v/>
      </c>
      <c r="JW21" s="40" t="str">
        <f t="shared" si="83"/>
        <v/>
      </c>
      <c r="JX21" s="40" t="str">
        <f t="shared" si="84"/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 t="shared" si="85"/>
        <v/>
      </c>
      <c r="KT21" s="11" t="str">
        <f t="shared" si="86"/>
        <v/>
      </c>
      <c r="KU21" s="11" t="str">
        <f t="shared" si="87"/>
        <v/>
      </c>
      <c r="KV21" s="11" t="str">
        <f t="shared" si="88"/>
        <v/>
      </c>
      <c r="KW21" s="11" t="str">
        <f t="shared" si="89"/>
        <v/>
      </c>
      <c r="KX21" s="11" t="str">
        <f t="shared" si="90"/>
        <v/>
      </c>
      <c r="KY21" s="11" t="str">
        <f t="shared" si="91"/>
        <v/>
      </c>
      <c r="KZ21" s="11" t="str">
        <f t="shared" si="92"/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 t="shared" si="93"/>
        <v/>
      </c>
      <c r="LV21" s="40" t="str">
        <f t="shared" si="94"/>
        <v/>
      </c>
      <c r="LW21" s="40" t="str">
        <f t="shared" si="95"/>
        <v/>
      </c>
      <c r="LX21" s="40" t="str">
        <f t="shared" si="96"/>
        <v/>
      </c>
      <c r="LY21" s="40" t="str">
        <f t="shared" si="97"/>
        <v/>
      </c>
      <c r="LZ21" s="40" t="str">
        <f t="shared" si="98"/>
        <v/>
      </c>
      <c r="MA21" s="40" t="str">
        <f t="shared" si="99"/>
        <v/>
      </c>
      <c r="MB21" s="40" t="str">
        <f t="shared" si="100"/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 t="shared" si="101"/>
        <v/>
      </c>
      <c r="MX21" s="11" t="str">
        <f t="shared" si="102"/>
        <v/>
      </c>
      <c r="MY21" s="11" t="str">
        <f t="shared" si="103"/>
        <v/>
      </c>
      <c r="MZ21" s="11" t="str">
        <f t="shared" si="104"/>
        <v/>
      </c>
      <c r="NA21" s="11" t="str">
        <f t="shared" si="105"/>
        <v/>
      </c>
      <c r="NB21" s="11" t="str">
        <f t="shared" si="106"/>
        <v/>
      </c>
      <c r="NC21" s="11" t="str">
        <f t="shared" si="107"/>
        <v/>
      </c>
      <c r="ND21" s="11" t="str">
        <f t="shared" si="108"/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 t="shared" si="109"/>
        <v/>
      </c>
      <c r="NZ21" s="40" t="str">
        <f t="shared" si="110"/>
        <v/>
      </c>
      <c r="OA21" s="40" t="str">
        <f t="shared" si="111"/>
        <v/>
      </c>
      <c r="OB21" s="40" t="str">
        <f t="shared" si="112"/>
        <v/>
      </c>
      <c r="OC21" s="40" t="str">
        <f t="shared" si="113"/>
        <v/>
      </c>
      <c r="OD21" s="40" t="str">
        <f t="shared" si="114"/>
        <v/>
      </c>
      <c r="OE21" s="40" t="str">
        <f t="shared" si="115"/>
        <v/>
      </c>
      <c r="OF21" s="40" t="str">
        <f t="shared" si="116"/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 t="shared" si="117"/>
        <v/>
      </c>
      <c r="PB21" s="11" t="str">
        <f t="shared" si="118"/>
        <v/>
      </c>
      <c r="PC21" s="11" t="str">
        <f t="shared" si="119"/>
        <v/>
      </c>
      <c r="PD21" s="11" t="str">
        <f t="shared" si="120"/>
        <v/>
      </c>
      <c r="PE21" s="11" t="str">
        <f t="shared" si="121"/>
        <v/>
      </c>
      <c r="PF21" s="11" t="str">
        <f t="shared" si="122"/>
        <v/>
      </c>
      <c r="PG21" s="11" t="str">
        <f t="shared" si="123"/>
        <v/>
      </c>
      <c r="PH21" s="11" t="str">
        <f t="shared" si="124"/>
        <v/>
      </c>
      <c r="PI21" s="22">
        <f t="shared" si="125"/>
        <v>8.9499999999999993</v>
      </c>
      <c r="PJ21" s="22">
        <f t="shared" si="126"/>
        <v>2.8</v>
      </c>
      <c r="PK21" s="22">
        <f t="shared" si="127"/>
        <v>0.4</v>
      </c>
      <c r="PL21" s="22">
        <f t="shared" si="128"/>
        <v>0</v>
      </c>
      <c r="PM21" s="22">
        <f t="shared" si="129"/>
        <v>7.55</v>
      </c>
      <c r="PN21" s="22">
        <f t="shared" si="130"/>
        <v>1.6</v>
      </c>
      <c r="PO21" s="22">
        <f t="shared" si="131"/>
        <v>0</v>
      </c>
      <c r="PP21" s="22">
        <f t="shared" si="132"/>
        <v>0</v>
      </c>
      <c r="PQ21" s="22">
        <f t="shared" si="133"/>
        <v>9</v>
      </c>
      <c r="PR21" s="22">
        <f t="shared" si="134"/>
        <v>3.4</v>
      </c>
      <c r="PS21" s="22">
        <f t="shared" si="135"/>
        <v>0.5</v>
      </c>
      <c r="PT21" s="22">
        <f t="shared" si="136"/>
        <v>0</v>
      </c>
      <c r="PU21" s="22">
        <f t="shared" si="137"/>
        <v>8.9499999999999993</v>
      </c>
      <c r="PV21" s="22">
        <f t="shared" si="138"/>
        <v>3</v>
      </c>
      <c r="PW21" s="22">
        <f t="shared" si="139"/>
        <v>0</v>
      </c>
      <c r="PX21" s="22">
        <f t="shared" si="140"/>
        <v>0</v>
      </c>
      <c r="PY21" s="27" t="s">
        <v>46</v>
      </c>
      <c r="PZ21" s="40">
        <f t="shared" si="141"/>
        <v>4.4000000000000004</v>
      </c>
      <c r="QA21" s="40">
        <f t="shared" si="142"/>
        <v>20.500000000000004</v>
      </c>
      <c r="QB21" s="40">
        <f t="shared" si="143"/>
        <v>6.4</v>
      </c>
      <c r="QC21" s="40">
        <f t="shared" si="144"/>
        <v>23.85</v>
      </c>
      <c r="QD21" s="40">
        <f t="shared" si="145"/>
        <v>44.350000000000009</v>
      </c>
    </row>
    <row r="22" spans="1:446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134</v>
      </c>
      <c r="D22" s="4" t="s">
        <v>4</v>
      </c>
      <c r="E22" s="4">
        <v>2005</v>
      </c>
      <c r="F22" s="9">
        <f t="shared" si="0"/>
        <v>131.40000859000443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IF(COUNT(AM22,BI22,CE22)&gt;0,LARGE((AM22,BI22,CE22),1),0)</f>
        <v>44.400000000000006</v>
      </c>
      <c r="M22" s="8" t="str">
        <f t="shared" si="5"/>
        <v>2025 Nationals</v>
      </c>
      <c r="N22" s="8">
        <f>IF(COUNT(AM22,BI22,CE22)&gt;1,LARGE((AM22,BI22,CE22),2),0)</f>
        <v>41.500000000000007</v>
      </c>
      <c r="O22" s="8" t="str">
        <f t="shared" si="6"/>
        <v>2025 Elite Canada</v>
      </c>
      <c r="P22" s="8">
        <f t="shared" si="7"/>
        <v>45.5</v>
      </c>
      <c r="Q22" s="8" t="str">
        <f t="shared" si="8"/>
        <v>2025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15.1</v>
      </c>
      <c r="V22" s="19">
        <v>3.2</v>
      </c>
      <c r="W22" s="19">
        <v>0</v>
      </c>
      <c r="X22" s="19">
        <v>0</v>
      </c>
      <c r="Y22" s="19">
        <v>18.8</v>
      </c>
      <c r="Z22" s="19">
        <v>5.2</v>
      </c>
      <c r="AA22" s="19">
        <v>0.8</v>
      </c>
      <c r="AB22" s="19">
        <v>0</v>
      </c>
      <c r="AC22" s="19">
        <v>18.100000000000001</v>
      </c>
      <c r="AD22" s="19">
        <v>6.4</v>
      </c>
      <c r="AE22" s="19">
        <v>0.8</v>
      </c>
      <c r="AF22" s="19">
        <v>0</v>
      </c>
      <c r="AG22" s="19">
        <v>17.399999999999999</v>
      </c>
      <c r="AH22" s="19">
        <v>5.2</v>
      </c>
      <c r="AI22" s="19">
        <v>0.8</v>
      </c>
      <c r="AJ22" s="19">
        <v>0</v>
      </c>
      <c r="AK22" s="27"/>
      <c r="AL22" s="40">
        <f t="shared" si="12"/>
        <v>8.4</v>
      </c>
      <c r="AM22" s="40">
        <f t="shared" si="13"/>
        <v>41.500000000000007</v>
      </c>
      <c r="AN22" s="40">
        <f t="shared" si="14"/>
        <v>11.600000000000001</v>
      </c>
      <c r="AO22" s="40">
        <f t="shared" si="15"/>
        <v>45.5</v>
      </c>
      <c r="AP22" s="40">
        <f t="shared" si="16"/>
        <v>87</v>
      </c>
      <c r="AQ22" s="18">
        <v>16.600000000000001</v>
      </c>
      <c r="AR22" s="18">
        <v>4.4000000000000004</v>
      </c>
      <c r="AS22" s="18">
        <v>0.8</v>
      </c>
      <c r="AT22" s="18">
        <v>0</v>
      </c>
      <c r="AU22" s="18">
        <v>18.600000000000001</v>
      </c>
      <c r="AV22" s="18">
        <v>5.6</v>
      </c>
      <c r="AW22" s="18">
        <v>0</v>
      </c>
      <c r="AX22" s="18">
        <v>0</v>
      </c>
      <c r="AY22" s="18">
        <v>15.1</v>
      </c>
      <c r="AZ22" s="18">
        <v>2.4</v>
      </c>
      <c r="BA22" s="18">
        <v>0</v>
      </c>
      <c r="BB22" s="18">
        <v>0</v>
      </c>
      <c r="BC22" s="18">
        <v>18.600000000000001</v>
      </c>
      <c r="BD22" s="18">
        <v>1.3</v>
      </c>
      <c r="BE22" s="18">
        <v>4.2</v>
      </c>
      <c r="BF22" s="18">
        <v>0</v>
      </c>
      <c r="BG22" s="28"/>
      <c r="BH22" s="11">
        <f t="shared" si="17"/>
        <v>10</v>
      </c>
      <c r="BI22" s="11">
        <f t="shared" si="18"/>
        <v>44.400000000000006</v>
      </c>
      <c r="BJ22" s="11">
        <f t="shared" si="19"/>
        <v>3.7</v>
      </c>
      <c r="BK22" s="11">
        <f t="shared" si="20"/>
        <v>33.199999999999996</v>
      </c>
      <c r="BL22" s="11">
        <f t="shared" si="21"/>
        <v>77.599999999999994</v>
      </c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27"/>
      <c r="CD22" s="40" t="str">
        <f t="shared" si="22"/>
        <v/>
      </c>
      <c r="CE22" s="40" t="str">
        <f t="shared" si="23"/>
        <v/>
      </c>
      <c r="CF22" s="40" t="str">
        <f t="shared" si="24"/>
        <v/>
      </c>
      <c r="CG22" s="40" t="str">
        <f t="shared" si="25"/>
        <v/>
      </c>
      <c r="CH22" s="40" t="str">
        <f t="shared" si="26"/>
        <v/>
      </c>
      <c r="CI22" s="50" t="str">
        <f t="shared" si="27"/>
        <v/>
      </c>
      <c r="CJ22" s="50" t="str">
        <f t="shared" si="28"/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 t="shared" si="29"/>
        <v/>
      </c>
      <c r="DF22" s="40" t="str">
        <f t="shared" si="30"/>
        <v/>
      </c>
      <c r="DG22" s="40" t="str">
        <f t="shared" si="31"/>
        <v/>
      </c>
      <c r="DH22" s="40" t="str">
        <f t="shared" si="32"/>
        <v/>
      </c>
      <c r="DI22" s="40" t="str">
        <f t="shared" si="33"/>
        <v/>
      </c>
      <c r="DJ22" s="40" t="str">
        <f t="shared" si="34"/>
        <v/>
      </c>
      <c r="DK22" s="40" t="str">
        <f t="shared" si="35"/>
        <v/>
      </c>
      <c r="DL22" s="40" t="str">
        <f t="shared" si="36"/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 t="shared" si="37"/>
        <v/>
      </c>
      <c r="EH22" s="11" t="str">
        <f t="shared" si="38"/>
        <v/>
      </c>
      <c r="EI22" s="11" t="str">
        <f t="shared" si="39"/>
        <v/>
      </c>
      <c r="EJ22" s="11" t="str">
        <f t="shared" si="40"/>
        <v/>
      </c>
      <c r="EK22" s="11" t="str">
        <f t="shared" si="41"/>
        <v/>
      </c>
      <c r="EL22" s="11" t="str">
        <f t="shared" si="42"/>
        <v/>
      </c>
      <c r="EM22" s="11" t="str">
        <f t="shared" si="43"/>
        <v/>
      </c>
      <c r="EN22" s="11" t="str">
        <f t="shared" si="44"/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 t="shared" si="45"/>
        <v/>
      </c>
      <c r="FJ22" s="40" t="str">
        <f t="shared" si="46"/>
        <v/>
      </c>
      <c r="FK22" s="40" t="str">
        <f t="shared" si="47"/>
        <v/>
      </c>
      <c r="FL22" s="40" t="str">
        <f t="shared" si="48"/>
        <v/>
      </c>
      <c r="FM22" s="40" t="str">
        <f t="shared" si="49"/>
        <v/>
      </c>
      <c r="FN22" s="40" t="str">
        <f t="shared" si="50"/>
        <v/>
      </c>
      <c r="FO22" s="40" t="str">
        <f t="shared" si="51"/>
        <v/>
      </c>
      <c r="FP22" s="40" t="str">
        <f t="shared" si="52"/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 t="shared" si="53"/>
        <v/>
      </c>
      <c r="GL22" s="11" t="str">
        <f t="shared" si="54"/>
        <v/>
      </c>
      <c r="GM22" s="11" t="str">
        <f t="shared" si="55"/>
        <v/>
      </c>
      <c r="GN22" s="11" t="str">
        <f t="shared" si="56"/>
        <v/>
      </c>
      <c r="GO22" s="11" t="str">
        <f t="shared" si="57"/>
        <v/>
      </c>
      <c r="GP22" s="11" t="str">
        <f t="shared" si="58"/>
        <v/>
      </c>
      <c r="GQ22" s="11" t="str">
        <f t="shared" si="59"/>
        <v/>
      </c>
      <c r="GR22" s="11" t="str">
        <f t="shared" si="60"/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 t="shared" si="61"/>
        <v/>
      </c>
      <c r="HN22" s="40" t="str">
        <f t="shared" si="62"/>
        <v/>
      </c>
      <c r="HO22" s="40" t="str">
        <f t="shared" si="63"/>
        <v/>
      </c>
      <c r="HP22" s="40" t="str">
        <f t="shared" si="64"/>
        <v/>
      </c>
      <c r="HQ22" s="40" t="str">
        <f t="shared" si="65"/>
        <v/>
      </c>
      <c r="HR22" s="40" t="str">
        <f t="shared" si="66"/>
        <v/>
      </c>
      <c r="HS22" s="40" t="str">
        <f t="shared" si="67"/>
        <v/>
      </c>
      <c r="HT22" s="40" t="str">
        <f t="shared" si="68"/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 t="shared" si="69"/>
        <v/>
      </c>
      <c r="IP22" s="11" t="str">
        <f t="shared" si="70"/>
        <v/>
      </c>
      <c r="IQ22" s="11" t="str">
        <f t="shared" si="71"/>
        <v/>
      </c>
      <c r="IR22" s="11" t="str">
        <f t="shared" si="72"/>
        <v/>
      </c>
      <c r="IS22" s="11" t="str">
        <f t="shared" si="73"/>
        <v/>
      </c>
      <c r="IT22" s="11" t="str">
        <f t="shared" si="74"/>
        <v/>
      </c>
      <c r="IU22" s="11" t="str">
        <f t="shared" si="75"/>
        <v/>
      </c>
      <c r="IV22" s="11" t="str">
        <f t="shared" si="76"/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 t="shared" si="77"/>
        <v/>
      </c>
      <c r="JR22" s="40" t="str">
        <f t="shared" si="78"/>
        <v/>
      </c>
      <c r="JS22" s="40" t="str">
        <f t="shared" si="79"/>
        <v/>
      </c>
      <c r="JT22" s="40" t="str">
        <f t="shared" si="80"/>
        <v/>
      </c>
      <c r="JU22" s="40" t="str">
        <f t="shared" si="81"/>
        <v/>
      </c>
      <c r="JV22" s="40" t="str">
        <f t="shared" si="82"/>
        <v/>
      </c>
      <c r="JW22" s="40" t="str">
        <f t="shared" si="83"/>
        <v/>
      </c>
      <c r="JX22" s="40" t="str">
        <f t="shared" si="84"/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 t="shared" si="85"/>
        <v/>
      </c>
      <c r="KT22" s="11" t="str">
        <f t="shared" si="86"/>
        <v/>
      </c>
      <c r="KU22" s="11" t="str">
        <f t="shared" si="87"/>
        <v/>
      </c>
      <c r="KV22" s="11" t="str">
        <f t="shared" si="88"/>
        <v/>
      </c>
      <c r="KW22" s="11" t="str">
        <f t="shared" si="89"/>
        <v/>
      </c>
      <c r="KX22" s="11" t="str">
        <f t="shared" si="90"/>
        <v/>
      </c>
      <c r="KY22" s="11" t="str">
        <f t="shared" si="91"/>
        <v/>
      </c>
      <c r="KZ22" s="11" t="str">
        <f t="shared" si="92"/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 t="shared" si="93"/>
        <v/>
      </c>
      <c r="LV22" s="40" t="str">
        <f t="shared" si="94"/>
        <v/>
      </c>
      <c r="LW22" s="40" t="str">
        <f t="shared" si="95"/>
        <v/>
      </c>
      <c r="LX22" s="40" t="str">
        <f t="shared" si="96"/>
        <v/>
      </c>
      <c r="LY22" s="40" t="str">
        <f t="shared" si="97"/>
        <v/>
      </c>
      <c r="LZ22" s="40" t="str">
        <f t="shared" si="98"/>
        <v/>
      </c>
      <c r="MA22" s="40" t="str">
        <f t="shared" si="99"/>
        <v/>
      </c>
      <c r="MB22" s="40" t="str">
        <f t="shared" si="100"/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 t="shared" si="101"/>
        <v/>
      </c>
      <c r="MX22" s="11" t="str">
        <f t="shared" si="102"/>
        <v/>
      </c>
      <c r="MY22" s="11" t="str">
        <f t="shared" si="103"/>
        <v/>
      </c>
      <c r="MZ22" s="11" t="str">
        <f t="shared" si="104"/>
        <v/>
      </c>
      <c r="NA22" s="11" t="str">
        <f t="shared" si="105"/>
        <v/>
      </c>
      <c r="NB22" s="11" t="str">
        <f t="shared" si="106"/>
        <v/>
      </c>
      <c r="NC22" s="11" t="str">
        <f t="shared" si="107"/>
        <v/>
      </c>
      <c r="ND22" s="11" t="str">
        <f t="shared" si="108"/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 t="shared" si="109"/>
        <v/>
      </c>
      <c r="NZ22" s="40" t="str">
        <f t="shared" si="110"/>
        <v/>
      </c>
      <c r="OA22" s="40" t="str">
        <f t="shared" si="111"/>
        <v/>
      </c>
      <c r="OB22" s="40" t="str">
        <f t="shared" si="112"/>
        <v/>
      </c>
      <c r="OC22" s="40" t="str">
        <f t="shared" si="113"/>
        <v/>
      </c>
      <c r="OD22" s="40" t="str">
        <f t="shared" si="114"/>
        <v/>
      </c>
      <c r="OE22" s="40" t="str">
        <f t="shared" si="115"/>
        <v/>
      </c>
      <c r="OF22" s="40" t="str">
        <f t="shared" si="116"/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 t="shared" si="117"/>
        <v/>
      </c>
      <c r="PB22" s="11" t="str">
        <f t="shared" si="118"/>
        <v/>
      </c>
      <c r="PC22" s="11" t="str">
        <f t="shared" si="119"/>
        <v/>
      </c>
      <c r="PD22" s="11" t="str">
        <f t="shared" si="120"/>
        <v/>
      </c>
      <c r="PE22" s="11" t="str">
        <f t="shared" si="121"/>
        <v/>
      </c>
      <c r="PF22" s="11" t="str">
        <f t="shared" si="122"/>
        <v/>
      </c>
      <c r="PG22" s="11" t="str">
        <f t="shared" si="123"/>
        <v/>
      </c>
      <c r="PH22" s="11" t="str">
        <f t="shared" si="124"/>
        <v/>
      </c>
      <c r="PI22" s="22">
        <f t="shared" si="125"/>
        <v>8.3000000000000007</v>
      </c>
      <c r="PJ22" s="22">
        <f t="shared" si="126"/>
        <v>2.2000000000000002</v>
      </c>
      <c r="PK22" s="22">
        <f t="shared" si="127"/>
        <v>0.4</v>
      </c>
      <c r="PL22" s="22">
        <f t="shared" si="128"/>
        <v>0</v>
      </c>
      <c r="PM22" s="22">
        <f t="shared" si="129"/>
        <v>9.3000000000000007</v>
      </c>
      <c r="PN22" s="22">
        <f t="shared" si="130"/>
        <v>2.8</v>
      </c>
      <c r="PO22" s="22">
        <f t="shared" si="131"/>
        <v>0</v>
      </c>
      <c r="PP22" s="22">
        <f t="shared" si="132"/>
        <v>0</v>
      </c>
      <c r="PQ22" s="22">
        <f t="shared" si="133"/>
        <v>7.55</v>
      </c>
      <c r="PR22" s="22">
        <f t="shared" si="134"/>
        <v>1.2</v>
      </c>
      <c r="PS22" s="22">
        <f t="shared" si="135"/>
        <v>0</v>
      </c>
      <c r="PT22" s="22">
        <f t="shared" si="136"/>
        <v>0</v>
      </c>
      <c r="PU22" s="22">
        <f t="shared" si="137"/>
        <v>9.3000000000000007</v>
      </c>
      <c r="PV22" s="22">
        <f t="shared" si="138"/>
        <v>0.65</v>
      </c>
      <c r="PW22" s="22">
        <f t="shared" si="139"/>
        <v>2.1</v>
      </c>
      <c r="PX22" s="22">
        <f t="shared" si="140"/>
        <v>0</v>
      </c>
      <c r="PY22" s="27" t="s">
        <v>46</v>
      </c>
      <c r="PZ22" s="40">
        <f t="shared" si="141"/>
        <v>5</v>
      </c>
      <c r="QA22" s="40">
        <f t="shared" si="142"/>
        <v>22.200000000000003</v>
      </c>
      <c r="QB22" s="40">
        <f t="shared" si="143"/>
        <v>1.85</v>
      </c>
      <c r="QC22" s="40">
        <f t="shared" si="144"/>
        <v>16.599999999999998</v>
      </c>
      <c r="QD22" s="40">
        <f t="shared" si="145"/>
        <v>38.799999999999997</v>
      </c>
    </row>
    <row r="23" spans="1:446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163</v>
      </c>
      <c r="D23" s="4" t="s">
        <v>3</v>
      </c>
      <c r="E23" s="4">
        <v>2008</v>
      </c>
      <c r="F23" s="9">
        <f t="shared" si="0"/>
        <v>130.80000821000465</v>
      </c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IF(COUNT(AM23,BI23,CE23)&gt;0,LARGE((AM23,BI23,CE23),1),0)</f>
        <v>46.20000000000001</v>
      </c>
      <c r="M23" s="8" t="str">
        <f t="shared" si="5"/>
        <v>2025 Nationals</v>
      </c>
      <c r="N23" s="8">
        <f>IF(COUNT(AM23,BI23,CE23)&gt;1,LARGE((AM23,BI23,CE23),2),0)</f>
        <v>35.9</v>
      </c>
      <c r="O23" s="8" t="str">
        <f t="shared" si="6"/>
        <v>2025 Elite Canada</v>
      </c>
      <c r="P23" s="8">
        <f t="shared" si="7"/>
        <v>48.699999999999996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15.4</v>
      </c>
      <c r="V23" s="19">
        <v>2.4</v>
      </c>
      <c r="W23" s="19">
        <v>0</v>
      </c>
      <c r="X23" s="19">
        <v>0</v>
      </c>
      <c r="Y23" s="19">
        <v>15.3</v>
      </c>
      <c r="Z23" s="19">
        <v>2.8</v>
      </c>
      <c r="AA23" s="19">
        <v>0</v>
      </c>
      <c r="AB23" s="19">
        <v>0</v>
      </c>
      <c r="AC23" s="19">
        <v>18.2</v>
      </c>
      <c r="AD23" s="19">
        <v>6</v>
      </c>
      <c r="AE23" s="19">
        <v>0.6</v>
      </c>
      <c r="AF23" s="19">
        <v>0</v>
      </c>
      <c r="AG23" s="19">
        <v>15.4</v>
      </c>
      <c r="AH23" s="19">
        <v>2.8</v>
      </c>
      <c r="AI23" s="19">
        <v>0</v>
      </c>
      <c r="AJ23" s="19">
        <v>0</v>
      </c>
      <c r="AK23" s="27"/>
      <c r="AL23" s="40">
        <f t="shared" si="12"/>
        <v>5.1999999999999993</v>
      </c>
      <c r="AM23" s="40">
        <f t="shared" si="13"/>
        <v>35.9</v>
      </c>
      <c r="AN23" s="40">
        <f t="shared" si="14"/>
        <v>8.8000000000000007</v>
      </c>
      <c r="AO23" s="40">
        <f t="shared" si="15"/>
        <v>41.8</v>
      </c>
      <c r="AP23" s="40">
        <f t="shared" si="16"/>
        <v>77.699999999999989</v>
      </c>
      <c r="AQ23" s="18">
        <v>16.5</v>
      </c>
      <c r="AR23" s="18">
        <v>6.8</v>
      </c>
      <c r="AS23" s="18">
        <v>0.8</v>
      </c>
      <c r="AT23" s="18">
        <v>0</v>
      </c>
      <c r="AU23" s="18">
        <v>18.100000000000001</v>
      </c>
      <c r="AV23" s="18">
        <v>6.4</v>
      </c>
      <c r="AW23" s="18">
        <v>0.8</v>
      </c>
      <c r="AX23" s="18">
        <v>0</v>
      </c>
      <c r="AY23" s="18">
        <v>18.3</v>
      </c>
      <c r="AZ23" s="18">
        <v>6.8</v>
      </c>
      <c r="BA23" s="18">
        <v>0.8</v>
      </c>
      <c r="BB23" s="18">
        <v>0</v>
      </c>
      <c r="BC23" s="18">
        <v>18.2</v>
      </c>
      <c r="BD23" s="18">
        <v>6.4</v>
      </c>
      <c r="BE23" s="18">
        <v>0.2</v>
      </c>
      <c r="BF23" s="18">
        <v>0</v>
      </c>
      <c r="BG23" s="28"/>
      <c r="BH23" s="11">
        <f t="shared" si="17"/>
        <v>13.2</v>
      </c>
      <c r="BI23" s="11">
        <f t="shared" si="18"/>
        <v>46.20000000000001</v>
      </c>
      <c r="BJ23" s="11">
        <f t="shared" si="19"/>
        <v>13.2</v>
      </c>
      <c r="BK23" s="11">
        <f t="shared" si="20"/>
        <v>48.699999999999996</v>
      </c>
      <c r="BL23" s="11">
        <f t="shared" si="21"/>
        <v>94.9</v>
      </c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27"/>
      <c r="CD23" s="40" t="str">
        <f t="shared" si="22"/>
        <v/>
      </c>
      <c r="CE23" s="40" t="str">
        <f t="shared" si="23"/>
        <v/>
      </c>
      <c r="CF23" s="40" t="str">
        <f t="shared" si="24"/>
        <v/>
      </c>
      <c r="CG23" s="40" t="str">
        <f t="shared" si="25"/>
        <v/>
      </c>
      <c r="CH23" s="40" t="str">
        <f t="shared" si="26"/>
        <v/>
      </c>
      <c r="CI23" s="50" t="str">
        <f t="shared" si="27"/>
        <v/>
      </c>
      <c r="CJ23" s="50" t="str">
        <f t="shared" si="28"/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 t="shared" si="29"/>
        <v/>
      </c>
      <c r="DF23" s="40" t="str">
        <f t="shared" si="30"/>
        <v/>
      </c>
      <c r="DG23" s="40" t="str">
        <f t="shared" si="31"/>
        <v/>
      </c>
      <c r="DH23" s="40" t="str">
        <f t="shared" si="32"/>
        <v/>
      </c>
      <c r="DI23" s="40" t="str">
        <f t="shared" si="33"/>
        <v/>
      </c>
      <c r="DJ23" s="40" t="str">
        <f t="shared" si="34"/>
        <v/>
      </c>
      <c r="DK23" s="40" t="str">
        <f t="shared" si="35"/>
        <v/>
      </c>
      <c r="DL23" s="40" t="str">
        <f t="shared" si="36"/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 t="shared" si="37"/>
        <v/>
      </c>
      <c r="EH23" s="11" t="str">
        <f t="shared" si="38"/>
        <v/>
      </c>
      <c r="EI23" s="11" t="str">
        <f t="shared" si="39"/>
        <v/>
      </c>
      <c r="EJ23" s="11" t="str">
        <f t="shared" si="40"/>
        <v/>
      </c>
      <c r="EK23" s="11" t="str">
        <f t="shared" si="41"/>
        <v/>
      </c>
      <c r="EL23" s="11" t="str">
        <f t="shared" si="42"/>
        <v/>
      </c>
      <c r="EM23" s="11" t="str">
        <f t="shared" si="43"/>
        <v/>
      </c>
      <c r="EN23" s="11" t="str">
        <f t="shared" si="44"/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 t="shared" si="45"/>
        <v/>
      </c>
      <c r="FJ23" s="40" t="str">
        <f t="shared" si="46"/>
        <v/>
      </c>
      <c r="FK23" s="40" t="str">
        <f t="shared" si="47"/>
        <v/>
      </c>
      <c r="FL23" s="40" t="str">
        <f t="shared" si="48"/>
        <v/>
      </c>
      <c r="FM23" s="40" t="str">
        <f t="shared" si="49"/>
        <v/>
      </c>
      <c r="FN23" s="40" t="str">
        <f t="shared" si="50"/>
        <v/>
      </c>
      <c r="FO23" s="40" t="str">
        <f t="shared" si="51"/>
        <v/>
      </c>
      <c r="FP23" s="40" t="str">
        <f t="shared" si="52"/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 t="shared" si="53"/>
        <v/>
      </c>
      <c r="GL23" s="11" t="str">
        <f t="shared" si="54"/>
        <v/>
      </c>
      <c r="GM23" s="11" t="str">
        <f t="shared" si="55"/>
        <v/>
      </c>
      <c r="GN23" s="11" t="str">
        <f t="shared" si="56"/>
        <v/>
      </c>
      <c r="GO23" s="11" t="str">
        <f t="shared" si="57"/>
        <v/>
      </c>
      <c r="GP23" s="11" t="str">
        <f t="shared" si="58"/>
        <v/>
      </c>
      <c r="GQ23" s="11" t="str">
        <f t="shared" si="59"/>
        <v/>
      </c>
      <c r="GR23" s="11" t="str">
        <f t="shared" si="60"/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 t="shared" si="61"/>
        <v/>
      </c>
      <c r="HN23" s="40" t="str">
        <f t="shared" si="62"/>
        <v/>
      </c>
      <c r="HO23" s="40" t="str">
        <f t="shared" si="63"/>
        <v/>
      </c>
      <c r="HP23" s="40" t="str">
        <f t="shared" si="64"/>
        <v/>
      </c>
      <c r="HQ23" s="40" t="str">
        <f t="shared" si="65"/>
        <v/>
      </c>
      <c r="HR23" s="40" t="str">
        <f t="shared" si="66"/>
        <v/>
      </c>
      <c r="HS23" s="40" t="str">
        <f t="shared" si="67"/>
        <v/>
      </c>
      <c r="HT23" s="40" t="str">
        <f t="shared" si="68"/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 t="shared" si="69"/>
        <v/>
      </c>
      <c r="IP23" s="11" t="str">
        <f t="shared" si="70"/>
        <v/>
      </c>
      <c r="IQ23" s="11" t="str">
        <f t="shared" si="71"/>
        <v/>
      </c>
      <c r="IR23" s="11" t="str">
        <f t="shared" si="72"/>
        <v/>
      </c>
      <c r="IS23" s="11" t="str">
        <f t="shared" si="73"/>
        <v/>
      </c>
      <c r="IT23" s="11" t="str">
        <f t="shared" si="74"/>
        <v/>
      </c>
      <c r="IU23" s="11" t="str">
        <f t="shared" si="75"/>
        <v/>
      </c>
      <c r="IV23" s="11" t="str">
        <f t="shared" si="76"/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 t="shared" si="77"/>
        <v/>
      </c>
      <c r="JR23" s="40" t="str">
        <f t="shared" si="78"/>
        <v/>
      </c>
      <c r="JS23" s="40" t="str">
        <f t="shared" si="79"/>
        <v/>
      </c>
      <c r="JT23" s="40" t="str">
        <f t="shared" si="80"/>
        <v/>
      </c>
      <c r="JU23" s="40" t="str">
        <f t="shared" si="81"/>
        <v/>
      </c>
      <c r="JV23" s="40" t="str">
        <f t="shared" si="82"/>
        <v/>
      </c>
      <c r="JW23" s="40" t="str">
        <f t="shared" si="83"/>
        <v/>
      </c>
      <c r="JX23" s="40" t="str">
        <f t="shared" si="84"/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 t="shared" si="85"/>
        <v/>
      </c>
      <c r="KT23" s="11" t="str">
        <f t="shared" si="86"/>
        <v/>
      </c>
      <c r="KU23" s="11" t="str">
        <f t="shared" si="87"/>
        <v/>
      </c>
      <c r="KV23" s="11" t="str">
        <f t="shared" si="88"/>
        <v/>
      </c>
      <c r="KW23" s="11" t="str">
        <f t="shared" si="89"/>
        <v/>
      </c>
      <c r="KX23" s="11" t="str">
        <f t="shared" si="90"/>
        <v/>
      </c>
      <c r="KY23" s="11" t="str">
        <f t="shared" si="91"/>
        <v/>
      </c>
      <c r="KZ23" s="11" t="str">
        <f t="shared" si="92"/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 t="shared" si="93"/>
        <v/>
      </c>
      <c r="LV23" s="40" t="str">
        <f t="shared" si="94"/>
        <v/>
      </c>
      <c r="LW23" s="40" t="str">
        <f t="shared" si="95"/>
        <v/>
      </c>
      <c r="LX23" s="40" t="str">
        <f t="shared" si="96"/>
        <v/>
      </c>
      <c r="LY23" s="40" t="str">
        <f t="shared" si="97"/>
        <v/>
      </c>
      <c r="LZ23" s="40" t="str">
        <f t="shared" si="98"/>
        <v/>
      </c>
      <c r="MA23" s="40" t="str">
        <f t="shared" si="99"/>
        <v/>
      </c>
      <c r="MB23" s="40" t="str">
        <f t="shared" si="100"/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 t="shared" si="101"/>
        <v/>
      </c>
      <c r="MX23" s="11" t="str">
        <f t="shared" si="102"/>
        <v/>
      </c>
      <c r="MY23" s="11" t="str">
        <f t="shared" si="103"/>
        <v/>
      </c>
      <c r="MZ23" s="11" t="str">
        <f t="shared" si="104"/>
        <v/>
      </c>
      <c r="NA23" s="11" t="str">
        <f t="shared" si="105"/>
        <v/>
      </c>
      <c r="NB23" s="11" t="str">
        <f t="shared" si="106"/>
        <v/>
      </c>
      <c r="NC23" s="11" t="str">
        <f t="shared" si="107"/>
        <v/>
      </c>
      <c r="ND23" s="11" t="str">
        <f t="shared" si="108"/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 t="shared" si="109"/>
        <v/>
      </c>
      <c r="NZ23" s="40" t="str">
        <f t="shared" si="110"/>
        <v/>
      </c>
      <c r="OA23" s="40" t="str">
        <f t="shared" si="111"/>
        <v/>
      </c>
      <c r="OB23" s="40" t="str">
        <f t="shared" si="112"/>
        <v/>
      </c>
      <c r="OC23" s="40" t="str">
        <f t="shared" si="113"/>
        <v/>
      </c>
      <c r="OD23" s="40" t="str">
        <f t="shared" si="114"/>
        <v/>
      </c>
      <c r="OE23" s="40" t="str">
        <f t="shared" si="115"/>
        <v/>
      </c>
      <c r="OF23" s="40" t="str">
        <f t="shared" si="116"/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 t="shared" si="117"/>
        <v/>
      </c>
      <c r="PB23" s="11" t="str">
        <f t="shared" si="118"/>
        <v/>
      </c>
      <c r="PC23" s="11" t="str">
        <f t="shared" si="119"/>
        <v/>
      </c>
      <c r="PD23" s="11" t="str">
        <f t="shared" si="120"/>
        <v/>
      </c>
      <c r="PE23" s="11" t="str">
        <f t="shared" si="121"/>
        <v/>
      </c>
      <c r="PF23" s="11" t="str">
        <f t="shared" si="122"/>
        <v/>
      </c>
      <c r="PG23" s="11" t="str">
        <f t="shared" si="123"/>
        <v/>
      </c>
      <c r="PH23" s="11" t="str">
        <f t="shared" si="124"/>
        <v/>
      </c>
      <c r="PI23" s="22">
        <f t="shared" si="125"/>
        <v>8.25</v>
      </c>
      <c r="PJ23" s="22">
        <f t="shared" si="126"/>
        <v>3.4</v>
      </c>
      <c r="PK23" s="22">
        <f t="shared" si="127"/>
        <v>0.4</v>
      </c>
      <c r="PL23" s="22">
        <f t="shared" si="128"/>
        <v>0</v>
      </c>
      <c r="PM23" s="22">
        <f t="shared" si="129"/>
        <v>9.0500000000000007</v>
      </c>
      <c r="PN23" s="22">
        <f t="shared" si="130"/>
        <v>3.2</v>
      </c>
      <c r="PO23" s="22">
        <f t="shared" si="131"/>
        <v>0.4</v>
      </c>
      <c r="PP23" s="22">
        <f t="shared" si="132"/>
        <v>0</v>
      </c>
      <c r="PQ23" s="22">
        <f t="shared" si="133"/>
        <v>9.15</v>
      </c>
      <c r="PR23" s="22">
        <f t="shared" si="134"/>
        <v>3.4</v>
      </c>
      <c r="PS23" s="22">
        <f t="shared" si="135"/>
        <v>0.4</v>
      </c>
      <c r="PT23" s="22">
        <f t="shared" si="136"/>
        <v>0</v>
      </c>
      <c r="PU23" s="22">
        <f t="shared" si="137"/>
        <v>9.1</v>
      </c>
      <c r="PV23" s="22">
        <f t="shared" si="138"/>
        <v>3.2</v>
      </c>
      <c r="PW23" s="22">
        <f t="shared" si="139"/>
        <v>0.1</v>
      </c>
      <c r="PX23" s="22">
        <f t="shared" si="140"/>
        <v>0</v>
      </c>
      <c r="PY23" s="27" t="s">
        <v>46</v>
      </c>
      <c r="PZ23" s="40">
        <f t="shared" si="141"/>
        <v>6.6</v>
      </c>
      <c r="QA23" s="40">
        <f t="shared" si="142"/>
        <v>23.100000000000005</v>
      </c>
      <c r="QB23" s="40">
        <f t="shared" si="143"/>
        <v>6.6</v>
      </c>
      <c r="QC23" s="40">
        <f t="shared" si="144"/>
        <v>24.349999999999998</v>
      </c>
      <c r="QD23" s="40">
        <f t="shared" si="145"/>
        <v>47.45</v>
      </c>
    </row>
    <row r="24" spans="1:446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164</v>
      </c>
      <c r="D24" s="4" t="s">
        <v>5</v>
      </c>
      <c r="E24" s="4">
        <v>2008</v>
      </c>
      <c r="F24" s="9">
        <f t="shared" si="0"/>
        <v>115.90000766000439</v>
      </c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IF(COUNT(AM24,BI24,CE24)&gt;0,LARGE((AM24,BI24,CE24),1),0)</f>
        <v>44.1</v>
      </c>
      <c r="M24" s="8" t="str">
        <f t="shared" si="5"/>
        <v>2025 Elite Canada</v>
      </c>
      <c r="N24" s="8">
        <f>IF(COUNT(AM24,BI24,CE24)&gt;1,LARGE((AM24,BI24,CE24),2),0)</f>
        <v>32.5</v>
      </c>
      <c r="O24" s="8" t="str">
        <f t="shared" si="6"/>
        <v>2025 3rd Domestic Trial</v>
      </c>
      <c r="P24" s="8">
        <f t="shared" si="7"/>
        <v>39.299999999999997</v>
      </c>
      <c r="Q24" s="8" t="str">
        <f t="shared" si="8"/>
        <v>2025 Elite Canada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17.600000000000001</v>
      </c>
      <c r="V24" s="19">
        <v>4.4000000000000004</v>
      </c>
      <c r="W24" s="19">
        <v>0.8</v>
      </c>
      <c r="X24" s="19">
        <v>0</v>
      </c>
      <c r="Y24" s="19">
        <v>18.899999999999999</v>
      </c>
      <c r="Z24" s="19">
        <v>4.3</v>
      </c>
      <c r="AA24" s="19">
        <v>0.3</v>
      </c>
      <c r="AB24" s="19">
        <v>0</v>
      </c>
      <c r="AC24" s="19">
        <v>17.600000000000001</v>
      </c>
      <c r="AD24" s="19">
        <v>4.8</v>
      </c>
      <c r="AE24" s="19">
        <v>0.6</v>
      </c>
      <c r="AF24" s="19">
        <v>0</v>
      </c>
      <c r="AG24" s="19">
        <v>15.1</v>
      </c>
      <c r="AH24" s="19">
        <v>2.4</v>
      </c>
      <c r="AI24" s="19">
        <v>0</v>
      </c>
      <c r="AJ24" s="19">
        <v>0</v>
      </c>
      <c r="AK24" s="27"/>
      <c r="AL24" s="40">
        <f t="shared" si="12"/>
        <v>8.6999999999999993</v>
      </c>
      <c r="AM24" s="40">
        <f t="shared" si="13"/>
        <v>44.1</v>
      </c>
      <c r="AN24" s="40">
        <f t="shared" si="14"/>
        <v>7.1999999999999993</v>
      </c>
      <c r="AO24" s="40">
        <f t="shared" si="15"/>
        <v>39.299999999999997</v>
      </c>
      <c r="AP24" s="40">
        <f t="shared" si="16"/>
        <v>83.4</v>
      </c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28"/>
      <c r="BH24" s="11" t="str">
        <f t="shared" si="17"/>
        <v/>
      </c>
      <c r="BI24" s="11" t="str">
        <f t="shared" si="18"/>
        <v/>
      </c>
      <c r="BJ24" s="11" t="str">
        <f t="shared" si="19"/>
        <v/>
      </c>
      <c r="BK24" s="11" t="str">
        <f t="shared" si="20"/>
        <v/>
      </c>
      <c r="BL24" s="11" t="str">
        <f t="shared" si="21"/>
        <v/>
      </c>
      <c r="BM24" s="19">
        <v>15.1</v>
      </c>
      <c r="BN24" s="19">
        <v>2.4</v>
      </c>
      <c r="BO24" s="19">
        <v>0</v>
      </c>
      <c r="BP24" s="19">
        <v>0</v>
      </c>
      <c r="BQ24" s="19">
        <v>15</v>
      </c>
      <c r="BR24" s="19">
        <v>0</v>
      </c>
      <c r="BS24" s="19">
        <v>0</v>
      </c>
      <c r="BT24" s="19">
        <v>0</v>
      </c>
      <c r="BU24" s="19">
        <v>15</v>
      </c>
      <c r="BV24" s="19">
        <v>2.4</v>
      </c>
      <c r="BW24" s="19">
        <v>0</v>
      </c>
      <c r="BX24" s="19">
        <v>0</v>
      </c>
      <c r="BY24" s="19">
        <v>0</v>
      </c>
      <c r="BZ24" s="19">
        <v>0</v>
      </c>
      <c r="CA24" s="19">
        <v>0</v>
      </c>
      <c r="CB24" s="19">
        <v>0</v>
      </c>
      <c r="CC24" s="27"/>
      <c r="CD24" s="40">
        <f t="shared" si="22"/>
        <v>2.4</v>
      </c>
      <c r="CE24" s="40">
        <f t="shared" si="23"/>
        <v>32.5</v>
      </c>
      <c r="CF24" s="40">
        <f t="shared" si="24"/>
        <v>2.4</v>
      </c>
      <c r="CG24" s="40">
        <f t="shared" si="25"/>
        <v>17.399999999999999</v>
      </c>
      <c r="CH24" s="40">
        <f t="shared" si="26"/>
        <v>49.9</v>
      </c>
      <c r="CI24" s="50" t="str">
        <f t="shared" si="27"/>
        <v/>
      </c>
      <c r="CJ24" s="50" t="str">
        <f t="shared" si="28"/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 t="shared" si="29"/>
        <v/>
      </c>
      <c r="DF24" s="40" t="str">
        <f t="shared" si="30"/>
        <v/>
      </c>
      <c r="DG24" s="40" t="str">
        <f t="shared" si="31"/>
        <v/>
      </c>
      <c r="DH24" s="40" t="str">
        <f t="shared" si="32"/>
        <v/>
      </c>
      <c r="DI24" s="40" t="str">
        <f t="shared" si="33"/>
        <v/>
      </c>
      <c r="DJ24" s="40" t="str">
        <f t="shared" si="34"/>
        <v/>
      </c>
      <c r="DK24" s="40" t="str">
        <f t="shared" si="35"/>
        <v/>
      </c>
      <c r="DL24" s="40" t="str">
        <f t="shared" si="36"/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 t="shared" si="37"/>
        <v/>
      </c>
      <c r="EH24" s="11" t="str">
        <f t="shared" si="38"/>
        <v/>
      </c>
      <c r="EI24" s="11" t="str">
        <f t="shared" si="39"/>
        <v/>
      </c>
      <c r="EJ24" s="11" t="str">
        <f t="shared" si="40"/>
        <v/>
      </c>
      <c r="EK24" s="11" t="str">
        <f t="shared" si="41"/>
        <v/>
      </c>
      <c r="EL24" s="11" t="str">
        <f t="shared" si="42"/>
        <v/>
      </c>
      <c r="EM24" s="11" t="str">
        <f t="shared" si="43"/>
        <v/>
      </c>
      <c r="EN24" s="11" t="str">
        <f t="shared" si="44"/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 t="shared" si="45"/>
        <v/>
      </c>
      <c r="FJ24" s="40" t="str">
        <f t="shared" si="46"/>
        <v/>
      </c>
      <c r="FK24" s="40" t="str">
        <f t="shared" si="47"/>
        <v/>
      </c>
      <c r="FL24" s="40" t="str">
        <f t="shared" si="48"/>
        <v/>
      </c>
      <c r="FM24" s="40" t="str">
        <f t="shared" si="49"/>
        <v/>
      </c>
      <c r="FN24" s="40" t="str">
        <f t="shared" si="50"/>
        <v/>
      </c>
      <c r="FO24" s="40" t="str">
        <f t="shared" si="51"/>
        <v/>
      </c>
      <c r="FP24" s="40" t="str">
        <f t="shared" si="52"/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 t="shared" si="53"/>
        <v/>
      </c>
      <c r="GL24" s="11" t="str">
        <f t="shared" si="54"/>
        <v/>
      </c>
      <c r="GM24" s="11" t="str">
        <f t="shared" si="55"/>
        <v/>
      </c>
      <c r="GN24" s="11" t="str">
        <f t="shared" si="56"/>
        <v/>
      </c>
      <c r="GO24" s="11" t="str">
        <f t="shared" si="57"/>
        <v/>
      </c>
      <c r="GP24" s="11" t="str">
        <f t="shared" si="58"/>
        <v/>
      </c>
      <c r="GQ24" s="11" t="str">
        <f t="shared" si="59"/>
        <v/>
      </c>
      <c r="GR24" s="11" t="str">
        <f t="shared" si="60"/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 t="shared" si="61"/>
        <v/>
      </c>
      <c r="HN24" s="40" t="str">
        <f t="shared" si="62"/>
        <v/>
      </c>
      <c r="HO24" s="40" t="str">
        <f t="shared" si="63"/>
        <v/>
      </c>
      <c r="HP24" s="40" t="str">
        <f t="shared" si="64"/>
        <v/>
      </c>
      <c r="HQ24" s="40" t="str">
        <f t="shared" si="65"/>
        <v/>
      </c>
      <c r="HR24" s="40" t="str">
        <f t="shared" si="66"/>
        <v/>
      </c>
      <c r="HS24" s="40" t="str">
        <f t="shared" si="67"/>
        <v/>
      </c>
      <c r="HT24" s="40" t="str">
        <f t="shared" si="68"/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 t="shared" si="69"/>
        <v/>
      </c>
      <c r="IP24" s="11" t="str">
        <f t="shared" si="70"/>
        <v/>
      </c>
      <c r="IQ24" s="11" t="str">
        <f t="shared" si="71"/>
        <v/>
      </c>
      <c r="IR24" s="11" t="str">
        <f t="shared" si="72"/>
        <v/>
      </c>
      <c r="IS24" s="11" t="str">
        <f t="shared" si="73"/>
        <v/>
      </c>
      <c r="IT24" s="11" t="str">
        <f t="shared" si="74"/>
        <v/>
      </c>
      <c r="IU24" s="11" t="str">
        <f t="shared" si="75"/>
        <v/>
      </c>
      <c r="IV24" s="11" t="str">
        <f t="shared" si="76"/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 t="shared" si="77"/>
        <v/>
      </c>
      <c r="JR24" s="40" t="str">
        <f t="shared" si="78"/>
        <v/>
      </c>
      <c r="JS24" s="40" t="str">
        <f t="shared" si="79"/>
        <v/>
      </c>
      <c r="JT24" s="40" t="str">
        <f t="shared" si="80"/>
        <v/>
      </c>
      <c r="JU24" s="40" t="str">
        <f t="shared" si="81"/>
        <v/>
      </c>
      <c r="JV24" s="40" t="str">
        <f t="shared" si="82"/>
        <v/>
      </c>
      <c r="JW24" s="40" t="str">
        <f t="shared" si="83"/>
        <v/>
      </c>
      <c r="JX24" s="40" t="str">
        <f t="shared" si="84"/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 t="shared" si="85"/>
        <v/>
      </c>
      <c r="KT24" s="11" t="str">
        <f t="shared" si="86"/>
        <v/>
      </c>
      <c r="KU24" s="11" t="str">
        <f t="shared" si="87"/>
        <v/>
      </c>
      <c r="KV24" s="11" t="str">
        <f t="shared" si="88"/>
        <v/>
      </c>
      <c r="KW24" s="11" t="str">
        <f t="shared" si="89"/>
        <v/>
      </c>
      <c r="KX24" s="11" t="str">
        <f t="shared" si="90"/>
        <v/>
      </c>
      <c r="KY24" s="11" t="str">
        <f t="shared" si="91"/>
        <v/>
      </c>
      <c r="KZ24" s="11" t="str">
        <f t="shared" si="92"/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 t="shared" si="93"/>
        <v/>
      </c>
      <c r="LV24" s="40" t="str">
        <f t="shared" si="94"/>
        <v/>
      </c>
      <c r="LW24" s="40" t="str">
        <f t="shared" si="95"/>
        <v/>
      </c>
      <c r="LX24" s="40" t="str">
        <f t="shared" si="96"/>
        <v/>
      </c>
      <c r="LY24" s="40" t="str">
        <f t="shared" si="97"/>
        <v/>
      </c>
      <c r="LZ24" s="40" t="str">
        <f t="shared" si="98"/>
        <v/>
      </c>
      <c r="MA24" s="40" t="str">
        <f t="shared" si="99"/>
        <v/>
      </c>
      <c r="MB24" s="40" t="str">
        <f t="shared" si="100"/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 t="shared" si="101"/>
        <v/>
      </c>
      <c r="MX24" s="11" t="str">
        <f t="shared" si="102"/>
        <v/>
      </c>
      <c r="MY24" s="11" t="str">
        <f t="shared" si="103"/>
        <v/>
      </c>
      <c r="MZ24" s="11" t="str">
        <f t="shared" si="104"/>
        <v/>
      </c>
      <c r="NA24" s="11" t="str">
        <f t="shared" si="105"/>
        <v/>
      </c>
      <c r="NB24" s="11" t="str">
        <f t="shared" si="106"/>
        <v/>
      </c>
      <c r="NC24" s="11" t="str">
        <f t="shared" si="107"/>
        <v/>
      </c>
      <c r="ND24" s="11" t="str">
        <f t="shared" si="108"/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 t="shared" si="109"/>
        <v/>
      </c>
      <c r="NZ24" s="40" t="str">
        <f t="shared" si="110"/>
        <v/>
      </c>
      <c r="OA24" s="40" t="str">
        <f t="shared" si="111"/>
        <v/>
      </c>
      <c r="OB24" s="40" t="str">
        <f t="shared" si="112"/>
        <v/>
      </c>
      <c r="OC24" s="40" t="str">
        <f t="shared" si="113"/>
        <v/>
      </c>
      <c r="OD24" s="40" t="str">
        <f t="shared" si="114"/>
        <v/>
      </c>
      <c r="OE24" s="40" t="str">
        <f t="shared" si="115"/>
        <v/>
      </c>
      <c r="OF24" s="40" t="str">
        <f t="shared" si="116"/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 t="shared" si="117"/>
        <v/>
      </c>
      <c r="PB24" s="11" t="str">
        <f t="shared" si="118"/>
        <v/>
      </c>
      <c r="PC24" s="11" t="str">
        <f t="shared" si="119"/>
        <v/>
      </c>
      <c r="PD24" s="11" t="str">
        <f t="shared" si="120"/>
        <v/>
      </c>
      <c r="PE24" s="11" t="str">
        <f t="shared" si="121"/>
        <v/>
      </c>
      <c r="PF24" s="11" t="str">
        <f t="shared" si="122"/>
        <v/>
      </c>
      <c r="PG24" s="11" t="str">
        <f t="shared" si="123"/>
        <v/>
      </c>
      <c r="PH24" s="11" t="str">
        <f t="shared" si="124"/>
        <v/>
      </c>
      <c r="PI24" s="22">
        <f t="shared" si="125"/>
        <v>7.55</v>
      </c>
      <c r="PJ24" s="22">
        <f t="shared" si="126"/>
        <v>1.2</v>
      </c>
      <c r="PK24" s="22">
        <f t="shared" si="127"/>
        <v>0</v>
      </c>
      <c r="PL24" s="22">
        <f t="shared" si="128"/>
        <v>0</v>
      </c>
      <c r="PM24" s="22">
        <f t="shared" si="129"/>
        <v>7.5</v>
      </c>
      <c r="PN24" s="22">
        <f t="shared" si="130"/>
        <v>0</v>
      </c>
      <c r="PO24" s="22">
        <f t="shared" si="131"/>
        <v>0</v>
      </c>
      <c r="PP24" s="22">
        <f t="shared" si="132"/>
        <v>0</v>
      </c>
      <c r="PQ24" s="22">
        <f t="shared" si="133"/>
        <v>7.5</v>
      </c>
      <c r="PR24" s="22">
        <f t="shared" si="134"/>
        <v>1.2</v>
      </c>
      <c r="PS24" s="22">
        <f t="shared" si="135"/>
        <v>0</v>
      </c>
      <c r="PT24" s="22">
        <f t="shared" si="136"/>
        <v>0</v>
      </c>
      <c r="PU24" s="22">
        <f t="shared" si="137"/>
        <v>0</v>
      </c>
      <c r="PV24" s="22">
        <f t="shared" si="138"/>
        <v>0</v>
      </c>
      <c r="PW24" s="22">
        <f t="shared" si="139"/>
        <v>0</v>
      </c>
      <c r="PX24" s="22">
        <f t="shared" si="140"/>
        <v>0</v>
      </c>
      <c r="PY24" s="27" t="s">
        <v>46</v>
      </c>
      <c r="PZ24" s="40">
        <f t="shared" si="141"/>
        <v>1.2</v>
      </c>
      <c r="QA24" s="40">
        <f t="shared" si="142"/>
        <v>16.25</v>
      </c>
      <c r="QB24" s="40">
        <f t="shared" si="143"/>
        <v>1.2</v>
      </c>
      <c r="QC24" s="40">
        <f t="shared" si="144"/>
        <v>8.6999999999999993</v>
      </c>
      <c r="QD24" s="40">
        <f t="shared" si="145"/>
        <v>24.95</v>
      </c>
    </row>
    <row r="25" spans="1:446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140</v>
      </c>
      <c r="D25" s="4" t="s">
        <v>6</v>
      </c>
      <c r="E25" s="4">
        <v>2006</v>
      </c>
      <c r="F25" s="9">
        <f t="shared" si="0"/>
        <v>112.90000749000387</v>
      </c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IF(COUNT(AM25,BI25,CE25)&gt;0,LARGE((AM25,BI25,CE25),1),0)</f>
        <v>38.799999999999997</v>
      </c>
      <c r="M25" s="8" t="str">
        <f t="shared" si="5"/>
        <v>2025 3rd Domestic Trial</v>
      </c>
      <c r="N25" s="8">
        <f>IF(COUNT(AM25,BI25,CE25)&gt;1,LARGE((AM25,BI25,CE25),2),0)</f>
        <v>36.099999999999994</v>
      </c>
      <c r="O25" s="8" t="str">
        <f t="shared" si="6"/>
        <v>2025 Elite Canada</v>
      </c>
      <c r="P25" s="8">
        <f t="shared" si="7"/>
        <v>38</v>
      </c>
      <c r="Q25" s="8" t="str">
        <f t="shared" si="8"/>
        <v>2025 3rd Domestic Trial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15.6</v>
      </c>
      <c r="V25" s="19">
        <v>2.4</v>
      </c>
      <c r="W25" s="19">
        <v>0</v>
      </c>
      <c r="X25" s="19">
        <v>0</v>
      </c>
      <c r="Y25" s="19">
        <v>15.3</v>
      </c>
      <c r="Z25" s="19">
        <v>2.8</v>
      </c>
      <c r="AA25" s="19">
        <v>0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27"/>
      <c r="AL25" s="40">
        <f t="shared" si="12"/>
        <v>5.1999999999999993</v>
      </c>
      <c r="AM25" s="40">
        <f t="shared" si="13"/>
        <v>36.099999999999994</v>
      </c>
      <c r="AN25" s="40" t="str">
        <f t="shared" si="14"/>
        <v/>
      </c>
      <c r="AO25" s="40" t="str">
        <f t="shared" si="15"/>
        <v/>
      </c>
      <c r="AP25" s="40">
        <f t="shared" si="16"/>
        <v>36.099999999999994</v>
      </c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28"/>
      <c r="BH25" s="11" t="str">
        <f t="shared" si="17"/>
        <v/>
      </c>
      <c r="BI25" s="11" t="str">
        <f t="shared" si="18"/>
        <v/>
      </c>
      <c r="BJ25" s="11" t="str">
        <f t="shared" si="19"/>
        <v/>
      </c>
      <c r="BK25" s="11" t="str">
        <f t="shared" si="20"/>
        <v/>
      </c>
      <c r="BL25" s="11" t="str">
        <f t="shared" si="21"/>
        <v/>
      </c>
      <c r="BM25" s="19">
        <v>15.7</v>
      </c>
      <c r="BN25" s="19">
        <v>0.7</v>
      </c>
      <c r="BO25" s="19">
        <v>0.2</v>
      </c>
      <c r="BP25" s="19">
        <v>0</v>
      </c>
      <c r="BQ25" s="19">
        <v>18</v>
      </c>
      <c r="BR25" s="19">
        <v>5.6</v>
      </c>
      <c r="BS25" s="19">
        <v>1</v>
      </c>
      <c r="BT25" s="19">
        <v>0</v>
      </c>
      <c r="BU25" s="19">
        <v>15.5</v>
      </c>
      <c r="BV25" s="19">
        <v>0.7</v>
      </c>
      <c r="BW25" s="19">
        <v>0.2</v>
      </c>
      <c r="BX25" s="19">
        <v>0</v>
      </c>
      <c r="BY25" s="19">
        <v>18</v>
      </c>
      <c r="BZ25" s="19">
        <v>4.8</v>
      </c>
      <c r="CA25" s="19">
        <v>0.8</v>
      </c>
      <c r="CB25" s="19">
        <v>0</v>
      </c>
      <c r="CC25" s="27"/>
      <c r="CD25" s="40">
        <f t="shared" si="22"/>
        <v>6.3</v>
      </c>
      <c r="CE25" s="40">
        <f t="shared" si="23"/>
        <v>38.799999999999997</v>
      </c>
      <c r="CF25" s="40">
        <f t="shared" si="24"/>
        <v>5.5</v>
      </c>
      <c r="CG25" s="40">
        <f t="shared" si="25"/>
        <v>38</v>
      </c>
      <c r="CH25" s="40">
        <f t="shared" si="26"/>
        <v>76.8</v>
      </c>
      <c r="CI25" s="50" t="str">
        <f t="shared" si="27"/>
        <v/>
      </c>
      <c r="CJ25" s="50" t="str">
        <f t="shared" si="28"/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 t="shared" si="29"/>
        <v/>
      </c>
      <c r="DF25" s="40" t="str">
        <f t="shared" si="30"/>
        <v/>
      </c>
      <c r="DG25" s="40" t="str">
        <f t="shared" si="31"/>
        <v/>
      </c>
      <c r="DH25" s="40" t="str">
        <f t="shared" si="32"/>
        <v/>
      </c>
      <c r="DI25" s="40" t="str">
        <f t="shared" si="33"/>
        <v/>
      </c>
      <c r="DJ25" s="40" t="str">
        <f t="shared" si="34"/>
        <v/>
      </c>
      <c r="DK25" s="40" t="str">
        <f t="shared" si="35"/>
        <v/>
      </c>
      <c r="DL25" s="40" t="str">
        <f t="shared" si="36"/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 t="shared" si="37"/>
        <v/>
      </c>
      <c r="EH25" s="11" t="str">
        <f t="shared" si="38"/>
        <v/>
      </c>
      <c r="EI25" s="11" t="str">
        <f t="shared" si="39"/>
        <v/>
      </c>
      <c r="EJ25" s="11" t="str">
        <f t="shared" si="40"/>
        <v/>
      </c>
      <c r="EK25" s="11" t="str">
        <f t="shared" si="41"/>
        <v/>
      </c>
      <c r="EL25" s="11" t="str">
        <f t="shared" si="42"/>
        <v/>
      </c>
      <c r="EM25" s="11" t="str">
        <f t="shared" si="43"/>
        <v/>
      </c>
      <c r="EN25" s="11" t="str">
        <f t="shared" si="44"/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 t="shared" si="45"/>
        <v/>
      </c>
      <c r="FJ25" s="40" t="str">
        <f t="shared" si="46"/>
        <v/>
      </c>
      <c r="FK25" s="40" t="str">
        <f t="shared" si="47"/>
        <v/>
      </c>
      <c r="FL25" s="40" t="str">
        <f t="shared" si="48"/>
        <v/>
      </c>
      <c r="FM25" s="40" t="str">
        <f t="shared" si="49"/>
        <v/>
      </c>
      <c r="FN25" s="40" t="str">
        <f t="shared" si="50"/>
        <v/>
      </c>
      <c r="FO25" s="40" t="str">
        <f t="shared" si="51"/>
        <v/>
      </c>
      <c r="FP25" s="40" t="str">
        <f t="shared" si="52"/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 t="shared" si="53"/>
        <v/>
      </c>
      <c r="GL25" s="11" t="str">
        <f t="shared" si="54"/>
        <v/>
      </c>
      <c r="GM25" s="11" t="str">
        <f t="shared" si="55"/>
        <v/>
      </c>
      <c r="GN25" s="11" t="str">
        <f t="shared" si="56"/>
        <v/>
      </c>
      <c r="GO25" s="11" t="str">
        <f t="shared" si="57"/>
        <v/>
      </c>
      <c r="GP25" s="11" t="str">
        <f t="shared" si="58"/>
        <v/>
      </c>
      <c r="GQ25" s="11" t="str">
        <f t="shared" si="59"/>
        <v/>
      </c>
      <c r="GR25" s="11" t="str">
        <f t="shared" si="60"/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 t="shared" si="61"/>
        <v/>
      </c>
      <c r="HN25" s="40" t="str">
        <f t="shared" si="62"/>
        <v/>
      </c>
      <c r="HO25" s="40" t="str">
        <f t="shared" si="63"/>
        <v/>
      </c>
      <c r="HP25" s="40" t="str">
        <f t="shared" si="64"/>
        <v/>
      </c>
      <c r="HQ25" s="40" t="str">
        <f t="shared" si="65"/>
        <v/>
      </c>
      <c r="HR25" s="40" t="str">
        <f t="shared" si="66"/>
        <v/>
      </c>
      <c r="HS25" s="40" t="str">
        <f t="shared" si="67"/>
        <v/>
      </c>
      <c r="HT25" s="40" t="str">
        <f t="shared" si="68"/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 t="shared" si="69"/>
        <v/>
      </c>
      <c r="IP25" s="11" t="str">
        <f t="shared" si="70"/>
        <v/>
      </c>
      <c r="IQ25" s="11" t="str">
        <f t="shared" si="71"/>
        <v/>
      </c>
      <c r="IR25" s="11" t="str">
        <f t="shared" si="72"/>
        <v/>
      </c>
      <c r="IS25" s="11" t="str">
        <f t="shared" si="73"/>
        <v/>
      </c>
      <c r="IT25" s="11" t="str">
        <f t="shared" si="74"/>
        <v/>
      </c>
      <c r="IU25" s="11" t="str">
        <f t="shared" si="75"/>
        <v/>
      </c>
      <c r="IV25" s="11" t="str">
        <f t="shared" si="76"/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 t="shared" si="77"/>
        <v/>
      </c>
      <c r="JR25" s="40" t="str">
        <f t="shared" si="78"/>
        <v/>
      </c>
      <c r="JS25" s="40" t="str">
        <f t="shared" si="79"/>
        <v/>
      </c>
      <c r="JT25" s="40" t="str">
        <f t="shared" si="80"/>
        <v/>
      </c>
      <c r="JU25" s="40" t="str">
        <f t="shared" si="81"/>
        <v/>
      </c>
      <c r="JV25" s="40" t="str">
        <f t="shared" si="82"/>
        <v/>
      </c>
      <c r="JW25" s="40" t="str">
        <f t="shared" si="83"/>
        <v/>
      </c>
      <c r="JX25" s="40" t="str">
        <f t="shared" si="84"/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 t="shared" si="85"/>
        <v/>
      </c>
      <c r="KT25" s="11" t="str">
        <f t="shared" si="86"/>
        <v/>
      </c>
      <c r="KU25" s="11" t="str">
        <f t="shared" si="87"/>
        <v/>
      </c>
      <c r="KV25" s="11" t="str">
        <f t="shared" si="88"/>
        <v/>
      </c>
      <c r="KW25" s="11" t="str">
        <f t="shared" si="89"/>
        <v/>
      </c>
      <c r="KX25" s="11" t="str">
        <f t="shared" si="90"/>
        <v/>
      </c>
      <c r="KY25" s="11" t="str">
        <f t="shared" si="91"/>
        <v/>
      </c>
      <c r="KZ25" s="11" t="str">
        <f t="shared" si="92"/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 t="shared" si="93"/>
        <v/>
      </c>
      <c r="LV25" s="40" t="str">
        <f t="shared" si="94"/>
        <v/>
      </c>
      <c r="LW25" s="40" t="str">
        <f t="shared" si="95"/>
        <v/>
      </c>
      <c r="LX25" s="40" t="str">
        <f t="shared" si="96"/>
        <v/>
      </c>
      <c r="LY25" s="40" t="str">
        <f t="shared" si="97"/>
        <v/>
      </c>
      <c r="LZ25" s="40" t="str">
        <f t="shared" si="98"/>
        <v/>
      </c>
      <c r="MA25" s="40" t="str">
        <f t="shared" si="99"/>
        <v/>
      </c>
      <c r="MB25" s="40" t="str">
        <f t="shared" si="100"/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 t="shared" si="101"/>
        <v/>
      </c>
      <c r="MX25" s="11" t="str">
        <f t="shared" si="102"/>
        <v/>
      </c>
      <c r="MY25" s="11" t="str">
        <f t="shared" si="103"/>
        <v/>
      </c>
      <c r="MZ25" s="11" t="str">
        <f t="shared" si="104"/>
        <v/>
      </c>
      <c r="NA25" s="11" t="str">
        <f t="shared" si="105"/>
        <v/>
      </c>
      <c r="NB25" s="11" t="str">
        <f t="shared" si="106"/>
        <v/>
      </c>
      <c r="NC25" s="11" t="str">
        <f t="shared" si="107"/>
        <v/>
      </c>
      <c r="ND25" s="11" t="str">
        <f t="shared" si="108"/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 t="shared" si="109"/>
        <v/>
      </c>
      <c r="NZ25" s="40" t="str">
        <f t="shared" si="110"/>
        <v/>
      </c>
      <c r="OA25" s="40" t="str">
        <f t="shared" si="111"/>
        <v/>
      </c>
      <c r="OB25" s="40" t="str">
        <f t="shared" si="112"/>
        <v/>
      </c>
      <c r="OC25" s="40" t="str">
        <f t="shared" si="113"/>
        <v/>
      </c>
      <c r="OD25" s="40" t="str">
        <f t="shared" si="114"/>
        <v/>
      </c>
      <c r="OE25" s="40" t="str">
        <f t="shared" si="115"/>
        <v/>
      </c>
      <c r="OF25" s="40" t="str">
        <f t="shared" si="116"/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 t="shared" si="117"/>
        <v/>
      </c>
      <c r="PB25" s="11" t="str">
        <f t="shared" si="118"/>
        <v/>
      </c>
      <c r="PC25" s="11" t="str">
        <f t="shared" si="119"/>
        <v/>
      </c>
      <c r="PD25" s="11" t="str">
        <f t="shared" si="120"/>
        <v/>
      </c>
      <c r="PE25" s="11" t="str">
        <f t="shared" si="121"/>
        <v/>
      </c>
      <c r="PF25" s="11" t="str">
        <f t="shared" si="122"/>
        <v/>
      </c>
      <c r="PG25" s="11" t="str">
        <f t="shared" si="123"/>
        <v/>
      </c>
      <c r="PH25" s="11" t="str">
        <f t="shared" si="124"/>
        <v/>
      </c>
      <c r="PI25" s="22">
        <f t="shared" si="125"/>
        <v>7.85</v>
      </c>
      <c r="PJ25" s="22">
        <f t="shared" si="126"/>
        <v>0.35</v>
      </c>
      <c r="PK25" s="22">
        <f t="shared" si="127"/>
        <v>0.1</v>
      </c>
      <c r="PL25" s="22">
        <f t="shared" si="128"/>
        <v>0</v>
      </c>
      <c r="PM25" s="22">
        <f t="shared" si="129"/>
        <v>9</v>
      </c>
      <c r="PN25" s="22">
        <f t="shared" si="130"/>
        <v>2.8</v>
      </c>
      <c r="PO25" s="22">
        <f t="shared" si="131"/>
        <v>0.5</v>
      </c>
      <c r="PP25" s="22">
        <f t="shared" si="132"/>
        <v>0</v>
      </c>
      <c r="PQ25" s="22">
        <f t="shared" si="133"/>
        <v>7.75</v>
      </c>
      <c r="PR25" s="22">
        <f t="shared" si="134"/>
        <v>0.35</v>
      </c>
      <c r="PS25" s="22">
        <f t="shared" si="135"/>
        <v>0.1</v>
      </c>
      <c r="PT25" s="22">
        <f t="shared" si="136"/>
        <v>0</v>
      </c>
      <c r="PU25" s="22">
        <f t="shared" si="137"/>
        <v>9</v>
      </c>
      <c r="PV25" s="22">
        <f t="shared" si="138"/>
        <v>2.4</v>
      </c>
      <c r="PW25" s="22">
        <f t="shared" si="139"/>
        <v>0.4</v>
      </c>
      <c r="PX25" s="22">
        <f t="shared" si="140"/>
        <v>0</v>
      </c>
      <c r="PY25" s="27" t="s">
        <v>46</v>
      </c>
      <c r="PZ25" s="40">
        <f t="shared" si="141"/>
        <v>3.15</v>
      </c>
      <c r="QA25" s="40">
        <f t="shared" si="142"/>
        <v>19.399999999999999</v>
      </c>
      <c r="QB25" s="40">
        <f t="shared" si="143"/>
        <v>2.75</v>
      </c>
      <c r="QC25" s="40">
        <f t="shared" si="144"/>
        <v>19</v>
      </c>
      <c r="QD25" s="40">
        <f t="shared" si="145"/>
        <v>38.4</v>
      </c>
    </row>
    <row r="26" spans="1:446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174</v>
      </c>
      <c r="D26" s="4" t="s">
        <v>5</v>
      </c>
      <c r="E26" s="4">
        <v>2007</v>
      </c>
      <c r="F26" s="9">
        <f t="shared" si="0"/>
        <v>97.500004860004864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IF(COUNT(AM26,BI26,CE26)&gt;0,LARGE((AM26,BI26,CE26),1),0)</f>
        <v>48.6</v>
      </c>
      <c r="M26" s="8" t="str">
        <f t="shared" si="5"/>
        <v>2025 Nationals</v>
      </c>
      <c r="N26" s="8">
        <f>IF(COUNT(AM26,BI26,CE26)&gt;1,LARGE((AM26,BI26,CE26),2),0)</f>
        <v>0</v>
      </c>
      <c r="O26" s="8" t="str">
        <f t="shared" si="6"/>
        <v/>
      </c>
      <c r="P26" s="8">
        <f t="shared" si="7"/>
        <v>48.9</v>
      </c>
      <c r="Q26" s="8" t="str">
        <f t="shared" si="8"/>
        <v>2025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27"/>
      <c r="AL26" s="40" t="str">
        <f t="shared" si="12"/>
        <v/>
      </c>
      <c r="AM26" s="40" t="str">
        <f t="shared" si="13"/>
        <v/>
      </c>
      <c r="AN26" s="40" t="str">
        <f t="shared" si="14"/>
        <v/>
      </c>
      <c r="AO26" s="40" t="str">
        <f t="shared" si="15"/>
        <v/>
      </c>
      <c r="AP26" s="40" t="str">
        <f t="shared" si="16"/>
        <v/>
      </c>
      <c r="AQ26" s="18">
        <v>19</v>
      </c>
      <c r="AR26" s="18">
        <v>5.2</v>
      </c>
      <c r="AS26" s="18">
        <v>0.8</v>
      </c>
      <c r="AT26" s="18">
        <v>0</v>
      </c>
      <c r="AU26" s="18">
        <v>18.8</v>
      </c>
      <c r="AV26" s="18">
        <v>6.4</v>
      </c>
      <c r="AW26" s="18">
        <v>0</v>
      </c>
      <c r="AX26" s="18">
        <v>0</v>
      </c>
      <c r="AY26" s="18">
        <v>19.100000000000001</v>
      </c>
      <c r="AZ26" s="18">
        <v>5.2</v>
      </c>
      <c r="BA26" s="18">
        <v>0.4</v>
      </c>
      <c r="BB26" s="18">
        <v>0</v>
      </c>
      <c r="BC26" s="18">
        <v>18.8</v>
      </c>
      <c r="BD26" s="18">
        <v>6.4</v>
      </c>
      <c r="BE26" s="18">
        <v>0.2</v>
      </c>
      <c r="BF26" s="18">
        <v>0</v>
      </c>
      <c r="BG26" s="28"/>
      <c r="BH26" s="11">
        <f t="shared" si="17"/>
        <v>11.600000000000001</v>
      </c>
      <c r="BI26" s="11">
        <f t="shared" si="18"/>
        <v>48.6</v>
      </c>
      <c r="BJ26" s="11">
        <f t="shared" si="19"/>
        <v>11.600000000000001</v>
      </c>
      <c r="BK26" s="11">
        <f t="shared" si="20"/>
        <v>48.9</v>
      </c>
      <c r="BL26" s="11">
        <f t="shared" si="21"/>
        <v>97.5</v>
      </c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27"/>
      <c r="CD26" s="40" t="str">
        <f t="shared" si="22"/>
        <v/>
      </c>
      <c r="CE26" s="40" t="str">
        <f t="shared" si="23"/>
        <v/>
      </c>
      <c r="CF26" s="40" t="str">
        <f t="shared" si="24"/>
        <v/>
      </c>
      <c r="CG26" s="40" t="str">
        <f t="shared" si="25"/>
        <v/>
      </c>
      <c r="CH26" s="40" t="str">
        <f t="shared" si="26"/>
        <v/>
      </c>
      <c r="CI26" s="50" t="str">
        <f t="shared" si="27"/>
        <v/>
      </c>
      <c r="CJ26" s="50" t="str">
        <f t="shared" si="28"/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 t="shared" si="29"/>
        <v/>
      </c>
      <c r="DF26" s="40" t="str">
        <f t="shared" si="30"/>
        <v/>
      </c>
      <c r="DG26" s="40" t="str">
        <f t="shared" si="31"/>
        <v/>
      </c>
      <c r="DH26" s="40" t="str">
        <f t="shared" si="32"/>
        <v/>
      </c>
      <c r="DI26" s="40" t="str">
        <f t="shared" si="33"/>
        <v/>
      </c>
      <c r="DJ26" s="40" t="str">
        <f t="shared" si="34"/>
        <v/>
      </c>
      <c r="DK26" s="40" t="str">
        <f t="shared" si="35"/>
        <v/>
      </c>
      <c r="DL26" s="40" t="str">
        <f t="shared" si="36"/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 t="shared" si="37"/>
        <v/>
      </c>
      <c r="EH26" s="11" t="str">
        <f t="shared" si="38"/>
        <v/>
      </c>
      <c r="EI26" s="11" t="str">
        <f t="shared" si="39"/>
        <v/>
      </c>
      <c r="EJ26" s="11" t="str">
        <f t="shared" si="40"/>
        <v/>
      </c>
      <c r="EK26" s="11" t="str">
        <f t="shared" si="41"/>
        <v/>
      </c>
      <c r="EL26" s="11" t="str">
        <f t="shared" si="42"/>
        <v/>
      </c>
      <c r="EM26" s="11" t="str">
        <f t="shared" si="43"/>
        <v/>
      </c>
      <c r="EN26" s="11" t="str">
        <f t="shared" si="44"/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 t="shared" si="45"/>
        <v/>
      </c>
      <c r="FJ26" s="40" t="str">
        <f t="shared" si="46"/>
        <v/>
      </c>
      <c r="FK26" s="40" t="str">
        <f t="shared" si="47"/>
        <v/>
      </c>
      <c r="FL26" s="40" t="str">
        <f t="shared" si="48"/>
        <v/>
      </c>
      <c r="FM26" s="40" t="str">
        <f t="shared" si="49"/>
        <v/>
      </c>
      <c r="FN26" s="40" t="str">
        <f t="shared" si="50"/>
        <v/>
      </c>
      <c r="FO26" s="40" t="str">
        <f t="shared" si="51"/>
        <v/>
      </c>
      <c r="FP26" s="40" t="str">
        <f t="shared" si="52"/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 t="shared" si="53"/>
        <v/>
      </c>
      <c r="GL26" s="11" t="str">
        <f t="shared" si="54"/>
        <v/>
      </c>
      <c r="GM26" s="11" t="str">
        <f t="shared" si="55"/>
        <v/>
      </c>
      <c r="GN26" s="11" t="str">
        <f t="shared" si="56"/>
        <v/>
      </c>
      <c r="GO26" s="11" t="str">
        <f t="shared" si="57"/>
        <v/>
      </c>
      <c r="GP26" s="11" t="str">
        <f t="shared" si="58"/>
        <v/>
      </c>
      <c r="GQ26" s="11" t="str">
        <f t="shared" si="59"/>
        <v/>
      </c>
      <c r="GR26" s="11" t="str">
        <f t="shared" si="60"/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 t="shared" si="61"/>
        <v/>
      </c>
      <c r="HN26" s="40" t="str">
        <f t="shared" si="62"/>
        <v/>
      </c>
      <c r="HO26" s="40" t="str">
        <f t="shared" si="63"/>
        <v/>
      </c>
      <c r="HP26" s="40" t="str">
        <f t="shared" si="64"/>
        <v/>
      </c>
      <c r="HQ26" s="40" t="str">
        <f t="shared" si="65"/>
        <v/>
      </c>
      <c r="HR26" s="40" t="str">
        <f t="shared" si="66"/>
        <v/>
      </c>
      <c r="HS26" s="40" t="str">
        <f t="shared" si="67"/>
        <v/>
      </c>
      <c r="HT26" s="40" t="str">
        <f t="shared" si="68"/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 t="shared" si="69"/>
        <v/>
      </c>
      <c r="IP26" s="11" t="str">
        <f t="shared" si="70"/>
        <v/>
      </c>
      <c r="IQ26" s="11" t="str">
        <f t="shared" si="71"/>
        <v/>
      </c>
      <c r="IR26" s="11" t="str">
        <f t="shared" si="72"/>
        <v/>
      </c>
      <c r="IS26" s="11" t="str">
        <f t="shared" si="73"/>
        <v/>
      </c>
      <c r="IT26" s="11" t="str">
        <f t="shared" si="74"/>
        <v/>
      </c>
      <c r="IU26" s="11" t="str">
        <f t="shared" si="75"/>
        <v/>
      </c>
      <c r="IV26" s="11" t="str">
        <f t="shared" si="76"/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 t="shared" si="77"/>
        <v/>
      </c>
      <c r="JR26" s="40" t="str">
        <f t="shared" si="78"/>
        <v/>
      </c>
      <c r="JS26" s="40" t="str">
        <f t="shared" si="79"/>
        <v/>
      </c>
      <c r="JT26" s="40" t="str">
        <f t="shared" si="80"/>
        <v/>
      </c>
      <c r="JU26" s="40" t="str">
        <f t="shared" si="81"/>
        <v/>
      </c>
      <c r="JV26" s="40" t="str">
        <f t="shared" si="82"/>
        <v/>
      </c>
      <c r="JW26" s="40" t="str">
        <f t="shared" si="83"/>
        <v/>
      </c>
      <c r="JX26" s="40" t="str">
        <f t="shared" si="84"/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 t="shared" si="85"/>
        <v/>
      </c>
      <c r="KT26" s="11" t="str">
        <f t="shared" si="86"/>
        <v/>
      </c>
      <c r="KU26" s="11" t="str">
        <f t="shared" si="87"/>
        <v/>
      </c>
      <c r="KV26" s="11" t="str">
        <f t="shared" si="88"/>
        <v/>
      </c>
      <c r="KW26" s="11" t="str">
        <f t="shared" si="89"/>
        <v/>
      </c>
      <c r="KX26" s="11" t="str">
        <f t="shared" si="90"/>
        <v/>
      </c>
      <c r="KY26" s="11" t="str">
        <f t="shared" si="91"/>
        <v/>
      </c>
      <c r="KZ26" s="11" t="str">
        <f t="shared" si="92"/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 t="shared" si="93"/>
        <v/>
      </c>
      <c r="LV26" s="40" t="str">
        <f t="shared" si="94"/>
        <v/>
      </c>
      <c r="LW26" s="40" t="str">
        <f t="shared" si="95"/>
        <v/>
      </c>
      <c r="LX26" s="40" t="str">
        <f t="shared" si="96"/>
        <v/>
      </c>
      <c r="LY26" s="40" t="str">
        <f t="shared" si="97"/>
        <v/>
      </c>
      <c r="LZ26" s="40" t="str">
        <f t="shared" si="98"/>
        <v/>
      </c>
      <c r="MA26" s="40" t="str">
        <f t="shared" si="99"/>
        <v/>
      </c>
      <c r="MB26" s="40" t="str">
        <f t="shared" si="100"/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 t="shared" si="101"/>
        <v/>
      </c>
      <c r="MX26" s="11" t="str">
        <f t="shared" si="102"/>
        <v/>
      </c>
      <c r="MY26" s="11" t="str">
        <f t="shared" si="103"/>
        <v/>
      </c>
      <c r="MZ26" s="11" t="str">
        <f t="shared" si="104"/>
        <v/>
      </c>
      <c r="NA26" s="11" t="str">
        <f t="shared" si="105"/>
        <v/>
      </c>
      <c r="NB26" s="11" t="str">
        <f t="shared" si="106"/>
        <v/>
      </c>
      <c r="NC26" s="11" t="str">
        <f t="shared" si="107"/>
        <v/>
      </c>
      <c r="ND26" s="11" t="str">
        <f t="shared" si="108"/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 t="shared" si="109"/>
        <v/>
      </c>
      <c r="NZ26" s="40" t="str">
        <f t="shared" si="110"/>
        <v/>
      </c>
      <c r="OA26" s="40" t="str">
        <f t="shared" si="111"/>
        <v/>
      </c>
      <c r="OB26" s="40" t="str">
        <f t="shared" si="112"/>
        <v/>
      </c>
      <c r="OC26" s="40" t="str">
        <f t="shared" si="113"/>
        <v/>
      </c>
      <c r="OD26" s="40" t="str">
        <f t="shared" si="114"/>
        <v/>
      </c>
      <c r="OE26" s="40" t="str">
        <f t="shared" si="115"/>
        <v/>
      </c>
      <c r="OF26" s="40" t="str">
        <f t="shared" si="116"/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 t="shared" si="117"/>
        <v/>
      </c>
      <c r="PB26" s="11" t="str">
        <f t="shared" si="118"/>
        <v/>
      </c>
      <c r="PC26" s="11" t="str">
        <f t="shared" si="119"/>
        <v/>
      </c>
      <c r="PD26" s="11" t="str">
        <f t="shared" si="120"/>
        <v/>
      </c>
      <c r="PE26" s="11" t="str">
        <f t="shared" si="121"/>
        <v/>
      </c>
      <c r="PF26" s="11" t="str">
        <f t="shared" si="122"/>
        <v/>
      </c>
      <c r="PG26" s="11" t="str">
        <f t="shared" si="123"/>
        <v/>
      </c>
      <c r="PH26" s="11" t="str">
        <f t="shared" si="124"/>
        <v/>
      </c>
      <c r="PI26" s="22">
        <f t="shared" si="125"/>
        <v>9.5</v>
      </c>
      <c r="PJ26" s="22">
        <f t="shared" si="126"/>
        <v>2.6</v>
      </c>
      <c r="PK26" s="22">
        <f t="shared" si="127"/>
        <v>0.4</v>
      </c>
      <c r="PL26" s="22">
        <f t="shared" si="128"/>
        <v>0</v>
      </c>
      <c r="PM26" s="22">
        <f t="shared" si="129"/>
        <v>9.4</v>
      </c>
      <c r="PN26" s="22">
        <f t="shared" si="130"/>
        <v>3.2</v>
      </c>
      <c r="PO26" s="22">
        <f t="shared" si="131"/>
        <v>0</v>
      </c>
      <c r="PP26" s="22">
        <f t="shared" si="132"/>
        <v>0</v>
      </c>
      <c r="PQ26" s="22">
        <f t="shared" si="133"/>
        <v>9.5500000000000007</v>
      </c>
      <c r="PR26" s="22">
        <f t="shared" si="134"/>
        <v>2.6</v>
      </c>
      <c r="PS26" s="22">
        <f t="shared" si="135"/>
        <v>0.2</v>
      </c>
      <c r="PT26" s="22">
        <f t="shared" si="136"/>
        <v>0</v>
      </c>
      <c r="PU26" s="22">
        <f t="shared" si="137"/>
        <v>9.4</v>
      </c>
      <c r="PV26" s="22">
        <f t="shared" si="138"/>
        <v>3.2</v>
      </c>
      <c r="PW26" s="22">
        <f t="shared" si="139"/>
        <v>0.1</v>
      </c>
      <c r="PX26" s="22">
        <f t="shared" si="140"/>
        <v>0</v>
      </c>
      <c r="PY26" s="27" t="s">
        <v>46</v>
      </c>
      <c r="PZ26" s="40">
        <f t="shared" si="141"/>
        <v>5.8000000000000007</v>
      </c>
      <c r="QA26" s="40">
        <f t="shared" si="142"/>
        <v>24.3</v>
      </c>
      <c r="QB26" s="40">
        <f t="shared" si="143"/>
        <v>5.8000000000000007</v>
      </c>
      <c r="QC26" s="40">
        <f t="shared" si="144"/>
        <v>24.45</v>
      </c>
      <c r="QD26" s="40">
        <f t="shared" si="145"/>
        <v>48.75</v>
      </c>
    </row>
    <row r="27" spans="1:446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107</v>
      </c>
      <c r="D27" s="4" t="s">
        <v>5</v>
      </c>
      <c r="E27" s="4">
        <v>2006</v>
      </c>
      <c r="F27" s="9">
        <f t="shared" si="0"/>
        <v>96.700009670005002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IF(COUNT(AM27,BI27,CE27)&gt;0,LARGE((AM27,BI27,CE27),1),0)</f>
        <v>49.900000000000006</v>
      </c>
      <c r="M27" s="8" t="str">
        <f t="shared" si="5"/>
        <v>2025 Nationals</v>
      </c>
      <c r="N27" s="8">
        <f>IF(COUNT(AM27,BI27,CE27)&gt;1,LARGE((AM27,BI27,CE27),2),0)</f>
        <v>46.800000000000004</v>
      </c>
      <c r="O27" s="8" t="str">
        <f t="shared" si="6"/>
        <v>2025 Elite Canada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17.7</v>
      </c>
      <c r="V27" s="19">
        <v>5.6</v>
      </c>
      <c r="W27" s="19">
        <v>1.6</v>
      </c>
      <c r="X27" s="19">
        <v>0</v>
      </c>
      <c r="Y27" s="19">
        <v>18.7</v>
      </c>
      <c r="Z27" s="19">
        <v>7.2</v>
      </c>
      <c r="AA27" s="19">
        <v>0.8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27"/>
      <c r="AL27" s="40">
        <f t="shared" si="12"/>
        <v>12.8</v>
      </c>
      <c r="AM27" s="40">
        <f t="shared" si="13"/>
        <v>46.800000000000004</v>
      </c>
      <c r="AN27" s="40" t="str">
        <f t="shared" si="14"/>
        <v/>
      </c>
      <c r="AO27" s="40" t="str">
        <f t="shared" si="15"/>
        <v/>
      </c>
      <c r="AP27" s="40">
        <f t="shared" si="16"/>
        <v>46.800000000000004</v>
      </c>
      <c r="AQ27" s="18">
        <v>18.2</v>
      </c>
      <c r="AR27" s="18">
        <v>8</v>
      </c>
      <c r="AS27" s="18">
        <v>0.8</v>
      </c>
      <c r="AT27" s="18">
        <v>0</v>
      </c>
      <c r="AU27" s="18">
        <v>18</v>
      </c>
      <c r="AV27" s="18">
        <v>7.3</v>
      </c>
      <c r="AW27" s="18">
        <v>0.8</v>
      </c>
      <c r="AX27" s="18">
        <v>0</v>
      </c>
      <c r="AY27" s="18"/>
      <c r="AZ27" s="18"/>
      <c r="BA27" s="18"/>
      <c r="BB27" s="18"/>
      <c r="BC27" s="18"/>
      <c r="BD27" s="18"/>
      <c r="BE27" s="18"/>
      <c r="BF27" s="18"/>
      <c r="BG27" s="28"/>
      <c r="BH27" s="11">
        <f t="shared" si="17"/>
        <v>15.3</v>
      </c>
      <c r="BI27" s="11">
        <f t="shared" si="18"/>
        <v>49.900000000000006</v>
      </c>
      <c r="BJ27" s="11" t="str">
        <f t="shared" si="19"/>
        <v/>
      </c>
      <c r="BK27" s="11" t="str">
        <f t="shared" si="20"/>
        <v/>
      </c>
      <c r="BL27" s="11">
        <f t="shared" si="21"/>
        <v>49.900000000000006</v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 t="shared" si="22"/>
        <v/>
      </c>
      <c r="CE27" s="40" t="str">
        <f t="shared" si="23"/>
        <v/>
      </c>
      <c r="CF27" s="40" t="str">
        <f t="shared" si="24"/>
        <v/>
      </c>
      <c r="CG27" s="40" t="str">
        <f t="shared" si="25"/>
        <v/>
      </c>
      <c r="CH27" s="40" t="str">
        <f t="shared" si="26"/>
        <v/>
      </c>
      <c r="CI27" s="50" t="str">
        <f t="shared" si="27"/>
        <v/>
      </c>
      <c r="CJ27" s="50" t="str">
        <f t="shared" si="28"/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 t="shared" si="29"/>
        <v/>
      </c>
      <c r="DF27" s="40" t="str">
        <f t="shared" si="30"/>
        <v/>
      </c>
      <c r="DG27" s="40" t="str">
        <f t="shared" si="31"/>
        <v/>
      </c>
      <c r="DH27" s="40" t="str">
        <f t="shared" si="32"/>
        <v/>
      </c>
      <c r="DI27" s="40" t="str">
        <f t="shared" si="33"/>
        <v/>
      </c>
      <c r="DJ27" s="40" t="str">
        <f t="shared" si="34"/>
        <v/>
      </c>
      <c r="DK27" s="40" t="str">
        <f t="shared" si="35"/>
        <v/>
      </c>
      <c r="DL27" s="40" t="str">
        <f t="shared" si="36"/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 t="shared" si="37"/>
        <v/>
      </c>
      <c r="EH27" s="11" t="str">
        <f t="shared" si="38"/>
        <v/>
      </c>
      <c r="EI27" s="11" t="str">
        <f t="shared" si="39"/>
        <v/>
      </c>
      <c r="EJ27" s="11" t="str">
        <f t="shared" si="40"/>
        <v/>
      </c>
      <c r="EK27" s="11" t="str">
        <f t="shared" si="41"/>
        <v/>
      </c>
      <c r="EL27" s="11" t="str">
        <f t="shared" si="42"/>
        <v/>
      </c>
      <c r="EM27" s="11" t="str">
        <f t="shared" si="43"/>
        <v/>
      </c>
      <c r="EN27" s="11" t="str">
        <f t="shared" si="44"/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 t="shared" si="45"/>
        <v/>
      </c>
      <c r="FJ27" s="40" t="str">
        <f t="shared" si="46"/>
        <v/>
      </c>
      <c r="FK27" s="40" t="str">
        <f t="shared" si="47"/>
        <v/>
      </c>
      <c r="FL27" s="40" t="str">
        <f t="shared" si="48"/>
        <v/>
      </c>
      <c r="FM27" s="40" t="str">
        <f t="shared" si="49"/>
        <v/>
      </c>
      <c r="FN27" s="40" t="str">
        <f t="shared" si="50"/>
        <v/>
      </c>
      <c r="FO27" s="40" t="str">
        <f t="shared" si="51"/>
        <v/>
      </c>
      <c r="FP27" s="40" t="str">
        <f t="shared" si="52"/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 t="shared" si="53"/>
        <v/>
      </c>
      <c r="GL27" s="11" t="str">
        <f t="shared" si="54"/>
        <v/>
      </c>
      <c r="GM27" s="11" t="str">
        <f t="shared" si="55"/>
        <v/>
      </c>
      <c r="GN27" s="11" t="str">
        <f t="shared" si="56"/>
        <v/>
      </c>
      <c r="GO27" s="11" t="str">
        <f t="shared" si="57"/>
        <v/>
      </c>
      <c r="GP27" s="11" t="str">
        <f t="shared" si="58"/>
        <v/>
      </c>
      <c r="GQ27" s="11" t="str">
        <f t="shared" si="59"/>
        <v/>
      </c>
      <c r="GR27" s="11" t="str">
        <f t="shared" si="60"/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 t="shared" si="61"/>
        <v/>
      </c>
      <c r="HN27" s="40" t="str">
        <f t="shared" si="62"/>
        <v/>
      </c>
      <c r="HO27" s="40" t="str">
        <f t="shared" si="63"/>
        <v/>
      </c>
      <c r="HP27" s="40" t="str">
        <f t="shared" si="64"/>
        <v/>
      </c>
      <c r="HQ27" s="40" t="str">
        <f t="shared" si="65"/>
        <v/>
      </c>
      <c r="HR27" s="40" t="str">
        <f t="shared" si="66"/>
        <v/>
      </c>
      <c r="HS27" s="40" t="str">
        <f t="shared" si="67"/>
        <v/>
      </c>
      <c r="HT27" s="40" t="str">
        <f t="shared" si="68"/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 t="shared" si="69"/>
        <v/>
      </c>
      <c r="IP27" s="11" t="str">
        <f t="shared" si="70"/>
        <v/>
      </c>
      <c r="IQ27" s="11" t="str">
        <f t="shared" si="71"/>
        <v/>
      </c>
      <c r="IR27" s="11" t="str">
        <f t="shared" si="72"/>
        <v/>
      </c>
      <c r="IS27" s="11" t="str">
        <f t="shared" si="73"/>
        <v/>
      </c>
      <c r="IT27" s="11" t="str">
        <f t="shared" si="74"/>
        <v/>
      </c>
      <c r="IU27" s="11" t="str">
        <f t="shared" si="75"/>
        <v/>
      </c>
      <c r="IV27" s="11" t="str">
        <f t="shared" si="76"/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 t="shared" si="77"/>
        <v/>
      </c>
      <c r="JR27" s="40" t="str">
        <f t="shared" si="78"/>
        <v/>
      </c>
      <c r="JS27" s="40" t="str">
        <f t="shared" si="79"/>
        <v/>
      </c>
      <c r="JT27" s="40" t="str">
        <f t="shared" si="80"/>
        <v/>
      </c>
      <c r="JU27" s="40" t="str">
        <f t="shared" si="81"/>
        <v/>
      </c>
      <c r="JV27" s="40" t="str">
        <f t="shared" si="82"/>
        <v/>
      </c>
      <c r="JW27" s="40" t="str">
        <f t="shared" si="83"/>
        <v/>
      </c>
      <c r="JX27" s="40" t="str">
        <f t="shared" si="84"/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 t="shared" si="85"/>
        <v/>
      </c>
      <c r="KT27" s="11" t="str">
        <f t="shared" si="86"/>
        <v/>
      </c>
      <c r="KU27" s="11" t="str">
        <f t="shared" si="87"/>
        <v/>
      </c>
      <c r="KV27" s="11" t="str">
        <f t="shared" si="88"/>
        <v/>
      </c>
      <c r="KW27" s="11" t="str">
        <f t="shared" si="89"/>
        <v/>
      </c>
      <c r="KX27" s="11" t="str">
        <f t="shared" si="90"/>
        <v/>
      </c>
      <c r="KY27" s="11" t="str">
        <f t="shared" si="91"/>
        <v/>
      </c>
      <c r="KZ27" s="11" t="str">
        <f t="shared" si="92"/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 t="shared" si="93"/>
        <v/>
      </c>
      <c r="LV27" s="40" t="str">
        <f t="shared" si="94"/>
        <v/>
      </c>
      <c r="LW27" s="40" t="str">
        <f t="shared" si="95"/>
        <v/>
      </c>
      <c r="LX27" s="40" t="str">
        <f t="shared" si="96"/>
        <v/>
      </c>
      <c r="LY27" s="40" t="str">
        <f t="shared" si="97"/>
        <v/>
      </c>
      <c r="LZ27" s="40" t="str">
        <f t="shared" si="98"/>
        <v/>
      </c>
      <c r="MA27" s="40" t="str">
        <f t="shared" si="99"/>
        <v/>
      </c>
      <c r="MB27" s="40" t="str">
        <f t="shared" si="100"/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 t="shared" si="101"/>
        <v/>
      </c>
      <c r="MX27" s="11" t="str">
        <f t="shared" si="102"/>
        <v/>
      </c>
      <c r="MY27" s="11" t="str">
        <f t="shared" si="103"/>
        <v/>
      </c>
      <c r="MZ27" s="11" t="str">
        <f t="shared" si="104"/>
        <v/>
      </c>
      <c r="NA27" s="11" t="str">
        <f t="shared" si="105"/>
        <v/>
      </c>
      <c r="NB27" s="11" t="str">
        <f t="shared" si="106"/>
        <v/>
      </c>
      <c r="NC27" s="11" t="str">
        <f t="shared" si="107"/>
        <v/>
      </c>
      <c r="ND27" s="11" t="str">
        <f t="shared" si="108"/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 t="shared" si="109"/>
        <v/>
      </c>
      <c r="NZ27" s="40" t="str">
        <f t="shared" si="110"/>
        <v/>
      </c>
      <c r="OA27" s="40" t="str">
        <f t="shared" si="111"/>
        <v/>
      </c>
      <c r="OB27" s="40" t="str">
        <f t="shared" si="112"/>
        <v/>
      </c>
      <c r="OC27" s="40" t="str">
        <f t="shared" si="113"/>
        <v/>
      </c>
      <c r="OD27" s="40" t="str">
        <f t="shared" si="114"/>
        <v/>
      </c>
      <c r="OE27" s="40" t="str">
        <f t="shared" si="115"/>
        <v/>
      </c>
      <c r="OF27" s="40" t="str">
        <f t="shared" si="116"/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 t="shared" si="117"/>
        <v/>
      </c>
      <c r="PB27" s="11" t="str">
        <f t="shared" si="118"/>
        <v/>
      </c>
      <c r="PC27" s="11" t="str">
        <f t="shared" si="119"/>
        <v/>
      </c>
      <c r="PD27" s="11" t="str">
        <f t="shared" si="120"/>
        <v/>
      </c>
      <c r="PE27" s="11" t="str">
        <f t="shared" si="121"/>
        <v/>
      </c>
      <c r="PF27" s="11" t="str">
        <f t="shared" si="122"/>
        <v/>
      </c>
      <c r="PG27" s="11" t="str">
        <f t="shared" si="123"/>
        <v/>
      </c>
      <c r="PH27" s="11" t="str">
        <f t="shared" si="124"/>
        <v/>
      </c>
      <c r="PI27" s="22">
        <f t="shared" si="125"/>
        <v>9.1</v>
      </c>
      <c r="PJ27" s="22">
        <f t="shared" si="126"/>
        <v>4</v>
      </c>
      <c r="PK27" s="22">
        <f t="shared" si="127"/>
        <v>0.4</v>
      </c>
      <c r="PL27" s="22">
        <f t="shared" si="128"/>
        <v>0</v>
      </c>
      <c r="PM27" s="22">
        <f t="shared" si="129"/>
        <v>9</v>
      </c>
      <c r="PN27" s="22">
        <f t="shared" si="130"/>
        <v>3.65</v>
      </c>
      <c r="PO27" s="22">
        <f t="shared" si="131"/>
        <v>0.4</v>
      </c>
      <c r="PP27" s="22">
        <f t="shared" si="132"/>
        <v>0</v>
      </c>
      <c r="PQ27" s="22">
        <f t="shared" si="133"/>
        <v>0</v>
      </c>
      <c r="PR27" s="22">
        <f t="shared" si="134"/>
        <v>0</v>
      </c>
      <c r="PS27" s="22">
        <f t="shared" si="135"/>
        <v>0</v>
      </c>
      <c r="PT27" s="22">
        <f t="shared" si="136"/>
        <v>0</v>
      </c>
      <c r="PU27" s="22">
        <f t="shared" si="137"/>
        <v>0</v>
      </c>
      <c r="PV27" s="22">
        <f t="shared" si="138"/>
        <v>0</v>
      </c>
      <c r="PW27" s="22">
        <f t="shared" si="139"/>
        <v>0</v>
      </c>
      <c r="PX27" s="22">
        <f t="shared" si="140"/>
        <v>0</v>
      </c>
      <c r="PY27" s="27" t="s">
        <v>46</v>
      </c>
      <c r="PZ27" s="40">
        <f t="shared" si="141"/>
        <v>7.65</v>
      </c>
      <c r="QA27" s="40">
        <f t="shared" si="142"/>
        <v>24.950000000000003</v>
      </c>
      <c r="QB27" s="40" t="str">
        <f t="shared" si="143"/>
        <v/>
      </c>
      <c r="QC27" s="40" t="str">
        <f t="shared" si="144"/>
        <v/>
      </c>
      <c r="QD27" s="40">
        <f t="shared" si="145"/>
        <v>24.950000000000003</v>
      </c>
    </row>
    <row r="28" spans="1:446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127</v>
      </c>
      <c r="D28" s="4" t="s">
        <v>5</v>
      </c>
      <c r="E28" s="4">
        <v>2007</v>
      </c>
      <c r="F28" s="9">
        <f t="shared" si="0"/>
        <v>95.000009500004879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IF(COUNT(AM28,BI28,CE28)&gt;0,LARGE((AM28,BI28,CE28),1),0)</f>
        <v>48.8</v>
      </c>
      <c r="M28" s="8" t="str">
        <f t="shared" si="5"/>
        <v>2025 Nationals</v>
      </c>
      <c r="N28" s="8">
        <f>IF(COUNT(AM28,BI28,CE28)&gt;1,LARGE((AM28,BI28,CE28),2),0)</f>
        <v>46.2</v>
      </c>
      <c r="O28" s="8" t="str">
        <f t="shared" si="6"/>
        <v>2025 Elite Canada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18.2</v>
      </c>
      <c r="V28" s="19">
        <v>6.4</v>
      </c>
      <c r="W28" s="19">
        <v>0.6</v>
      </c>
      <c r="X28" s="19">
        <v>0</v>
      </c>
      <c r="Y28" s="19">
        <v>17.8</v>
      </c>
      <c r="Z28" s="19">
        <v>6</v>
      </c>
      <c r="AA28" s="19">
        <v>1.6</v>
      </c>
      <c r="AB28" s="19">
        <v>0</v>
      </c>
      <c r="AC28" s="19"/>
      <c r="AD28" s="19"/>
      <c r="AE28" s="19"/>
      <c r="AF28" s="19"/>
      <c r="AG28" s="19"/>
      <c r="AH28" s="19"/>
      <c r="AI28" s="19"/>
      <c r="AJ28" s="19"/>
      <c r="AK28" s="27"/>
      <c r="AL28" s="40">
        <f t="shared" si="12"/>
        <v>12.4</v>
      </c>
      <c r="AM28" s="40">
        <f t="shared" si="13"/>
        <v>46.2</v>
      </c>
      <c r="AN28" s="40" t="str">
        <f t="shared" si="14"/>
        <v/>
      </c>
      <c r="AO28" s="40" t="str">
        <f t="shared" si="15"/>
        <v/>
      </c>
      <c r="AP28" s="40">
        <f t="shared" si="16"/>
        <v>46.2</v>
      </c>
      <c r="AQ28" s="18">
        <v>18.600000000000001</v>
      </c>
      <c r="AR28" s="18">
        <v>7.2</v>
      </c>
      <c r="AS28" s="18">
        <v>0.2</v>
      </c>
      <c r="AT28" s="18">
        <v>0</v>
      </c>
      <c r="AU28" s="18">
        <v>18</v>
      </c>
      <c r="AV28" s="18">
        <v>6</v>
      </c>
      <c r="AW28" s="18">
        <v>0.8</v>
      </c>
      <c r="AX28" s="18">
        <v>0</v>
      </c>
      <c r="AY28" s="18"/>
      <c r="AZ28" s="18"/>
      <c r="BA28" s="18"/>
      <c r="BB28" s="18"/>
      <c r="BC28" s="18"/>
      <c r="BD28" s="18"/>
      <c r="BE28" s="18"/>
      <c r="BF28" s="18"/>
      <c r="BG28" s="28"/>
      <c r="BH28" s="11">
        <f t="shared" si="17"/>
        <v>13.2</v>
      </c>
      <c r="BI28" s="11">
        <f t="shared" si="18"/>
        <v>48.8</v>
      </c>
      <c r="BJ28" s="11" t="str">
        <f t="shared" si="19"/>
        <v/>
      </c>
      <c r="BK28" s="11" t="str">
        <f t="shared" si="20"/>
        <v/>
      </c>
      <c r="BL28" s="11">
        <f t="shared" si="21"/>
        <v>48.8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 t="shared" si="22"/>
        <v/>
      </c>
      <c r="CE28" s="40" t="str">
        <f t="shared" si="23"/>
        <v/>
      </c>
      <c r="CF28" s="40" t="str">
        <f t="shared" si="24"/>
        <v/>
      </c>
      <c r="CG28" s="40" t="str">
        <f t="shared" si="25"/>
        <v/>
      </c>
      <c r="CH28" s="40" t="str">
        <f t="shared" si="26"/>
        <v/>
      </c>
      <c r="CI28" s="50" t="str">
        <f t="shared" si="27"/>
        <v/>
      </c>
      <c r="CJ28" s="50" t="str">
        <f t="shared" si="28"/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 t="shared" si="29"/>
        <v/>
      </c>
      <c r="DF28" s="40" t="str">
        <f t="shared" si="30"/>
        <v/>
      </c>
      <c r="DG28" s="40" t="str">
        <f t="shared" si="31"/>
        <v/>
      </c>
      <c r="DH28" s="40" t="str">
        <f t="shared" si="32"/>
        <v/>
      </c>
      <c r="DI28" s="40" t="str">
        <f t="shared" si="33"/>
        <v/>
      </c>
      <c r="DJ28" s="40" t="str">
        <f t="shared" si="34"/>
        <v/>
      </c>
      <c r="DK28" s="40" t="str">
        <f t="shared" si="35"/>
        <v/>
      </c>
      <c r="DL28" s="40" t="str">
        <f t="shared" si="36"/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 t="shared" si="37"/>
        <v/>
      </c>
      <c r="EH28" s="11" t="str">
        <f t="shared" si="38"/>
        <v/>
      </c>
      <c r="EI28" s="11" t="str">
        <f t="shared" si="39"/>
        <v/>
      </c>
      <c r="EJ28" s="11" t="str">
        <f t="shared" si="40"/>
        <v/>
      </c>
      <c r="EK28" s="11" t="str">
        <f t="shared" si="41"/>
        <v/>
      </c>
      <c r="EL28" s="11" t="str">
        <f t="shared" si="42"/>
        <v/>
      </c>
      <c r="EM28" s="11" t="str">
        <f t="shared" si="43"/>
        <v/>
      </c>
      <c r="EN28" s="11" t="str">
        <f t="shared" si="44"/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 t="shared" si="45"/>
        <v/>
      </c>
      <c r="FJ28" s="40" t="str">
        <f t="shared" si="46"/>
        <v/>
      </c>
      <c r="FK28" s="40" t="str">
        <f t="shared" si="47"/>
        <v/>
      </c>
      <c r="FL28" s="40" t="str">
        <f t="shared" si="48"/>
        <v/>
      </c>
      <c r="FM28" s="40" t="str">
        <f t="shared" si="49"/>
        <v/>
      </c>
      <c r="FN28" s="40" t="str">
        <f t="shared" si="50"/>
        <v/>
      </c>
      <c r="FO28" s="40" t="str">
        <f t="shared" si="51"/>
        <v/>
      </c>
      <c r="FP28" s="40" t="str">
        <f t="shared" si="52"/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 t="shared" si="53"/>
        <v/>
      </c>
      <c r="GL28" s="11" t="str">
        <f t="shared" si="54"/>
        <v/>
      </c>
      <c r="GM28" s="11" t="str">
        <f t="shared" si="55"/>
        <v/>
      </c>
      <c r="GN28" s="11" t="str">
        <f t="shared" si="56"/>
        <v/>
      </c>
      <c r="GO28" s="11" t="str">
        <f t="shared" si="57"/>
        <v/>
      </c>
      <c r="GP28" s="11" t="str">
        <f t="shared" si="58"/>
        <v/>
      </c>
      <c r="GQ28" s="11" t="str">
        <f t="shared" si="59"/>
        <v/>
      </c>
      <c r="GR28" s="11" t="str">
        <f t="shared" si="60"/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 t="shared" si="61"/>
        <v/>
      </c>
      <c r="HN28" s="40" t="str">
        <f t="shared" si="62"/>
        <v/>
      </c>
      <c r="HO28" s="40" t="str">
        <f t="shared" si="63"/>
        <v/>
      </c>
      <c r="HP28" s="40" t="str">
        <f t="shared" si="64"/>
        <v/>
      </c>
      <c r="HQ28" s="40" t="str">
        <f t="shared" si="65"/>
        <v/>
      </c>
      <c r="HR28" s="40" t="str">
        <f t="shared" si="66"/>
        <v/>
      </c>
      <c r="HS28" s="40" t="str">
        <f t="shared" si="67"/>
        <v/>
      </c>
      <c r="HT28" s="40" t="str">
        <f t="shared" si="68"/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 t="shared" si="69"/>
        <v/>
      </c>
      <c r="IP28" s="11" t="str">
        <f t="shared" si="70"/>
        <v/>
      </c>
      <c r="IQ28" s="11" t="str">
        <f t="shared" si="71"/>
        <v/>
      </c>
      <c r="IR28" s="11" t="str">
        <f t="shared" si="72"/>
        <v/>
      </c>
      <c r="IS28" s="11" t="str">
        <f t="shared" si="73"/>
        <v/>
      </c>
      <c r="IT28" s="11" t="str">
        <f t="shared" si="74"/>
        <v/>
      </c>
      <c r="IU28" s="11" t="str">
        <f t="shared" si="75"/>
        <v/>
      </c>
      <c r="IV28" s="11" t="str">
        <f t="shared" si="76"/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 t="shared" si="77"/>
        <v/>
      </c>
      <c r="JR28" s="40" t="str">
        <f t="shared" si="78"/>
        <v/>
      </c>
      <c r="JS28" s="40" t="str">
        <f t="shared" si="79"/>
        <v/>
      </c>
      <c r="JT28" s="40" t="str">
        <f t="shared" si="80"/>
        <v/>
      </c>
      <c r="JU28" s="40" t="str">
        <f t="shared" si="81"/>
        <v/>
      </c>
      <c r="JV28" s="40" t="str">
        <f t="shared" si="82"/>
        <v/>
      </c>
      <c r="JW28" s="40" t="str">
        <f t="shared" si="83"/>
        <v/>
      </c>
      <c r="JX28" s="40" t="str">
        <f t="shared" si="84"/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 t="shared" si="85"/>
        <v/>
      </c>
      <c r="KT28" s="11" t="str">
        <f t="shared" si="86"/>
        <v/>
      </c>
      <c r="KU28" s="11" t="str">
        <f t="shared" si="87"/>
        <v/>
      </c>
      <c r="KV28" s="11" t="str">
        <f t="shared" si="88"/>
        <v/>
      </c>
      <c r="KW28" s="11" t="str">
        <f t="shared" si="89"/>
        <v/>
      </c>
      <c r="KX28" s="11" t="str">
        <f t="shared" si="90"/>
        <v/>
      </c>
      <c r="KY28" s="11" t="str">
        <f t="shared" si="91"/>
        <v/>
      </c>
      <c r="KZ28" s="11" t="str">
        <f t="shared" si="92"/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 t="shared" si="93"/>
        <v/>
      </c>
      <c r="LV28" s="40" t="str">
        <f t="shared" si="94"/>
        <v/>
      </c>
      <c r="LW28" s="40" t="str">
        <f t="shared" si="95"/>
        <v/>
      </c>
      <c r="LX28" s="40" t="str">
        <f t="shared" si="96"/>
        <v/>
      </c>
      <c r="LY28" s="40" t="str">
        <f t="shared" si="97"/>
        <v/>
      </c>
      <c r="LZ28" s="40" t="str">
        <f t="shared" si="98"/>
        <v/>
      </c>
      <c r="MA28" s="40" t="str">
        <f t="shared" si="99"/>
        <v/>
      </c>
      <c r="MB28" s="40" t="str">
        <f t="shared" si="100"/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 t="shared" si="101"/>
        <v/>
      </c>
      <c r="MX28" s="11" t="str">
        <f t="shared" si="102"/>
        <v/>
      </c>
      <c r="MY28" s="11" t="str">
        <f t="shared" si="103"/>
        <v/>
      </c>
      <c r="MZ28" s="11" t="str">
        <f t="shared" si="104"/>
        <v/>
      </c>
      <c r="NA28" s="11" t="str">
        <f t="shared" si="105"/>
        <v/>
      </c>
      <c r="NB28" s="11" t="str">
        <f t="shared" si="106"/>
        <v/>
      </c>
      <c r="NC28" s="11" t="str">
        <f t="shared" si="107"/>
        <v/>
      </c>
      <c r="ND28" s="11" t="str">
        <f t="shared" si="108"/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 t="shared" si="109"/>
        <v/>
      </c>
      <c r="NZ28" s="40" t="str">
        <f t="shared" si="110"/>
        <v/>
      </c>
      <c r="OA28" s="40" t="str">
        <f t="shared" si="111"/>
        <v/>
      </c>
      <c r="OB28" s="40" t="str">
        <f t="shared" si="112"/>
        <v/>
      </c>
      <c r="OC28" s="40" t="str">
        <f t="shared" si="113"/>
        <v/>
      </c>
      <c r="OD28" s="40" t="str">
        <f t="shared" si="114"/>
        <v/>
      </c>
      <c r="OE28" s="40" t="str">
        <f t="shared" si="115"/>
        <v/>
      </c>
      <c r="OF28" s="40" t="str">
        <f t="shared" si="116"/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 t="shared" si="117"/>
        <v/>
      </c>
      <c r="PB28" s="11" t="str">
        <f t="shared" si="118"/>
        <v/>
      </c>
      <c r="PC28" s="11" t="str">
        <f t="shared" si="119"/>
        <v/>
      </c>
      <c r="PD28" s="11" t="str">
        <f t="shared" si="120"/>
        <v/>
      </c>
      <c r="PE28" s="11" t="str">
        <f t="shared" si="121"/>
        <v/>
      </c>
      <c r="PF28" s="11" t="str">
        <f t="shared" si="122"/>
        <v/>
      </c>
      <c r="PG28" s="11" t="str">
        <f t="shared" si="123"/>
        <v/>
      </c>
      <c r="PH28" s="11" t="str">
        <f t="shared" si="124"/>
        <v/>
      </c>
      <c r="PI28" s="22">
        <f t="shared" si="125"/>
        <v>9.3000000000000007</v>
      </c>
      <c r="PJ28" s="22">
        <f t="shared" si="126"/>
        <v>3.6</v>
      </c>
      <c r="PK28" s="22">
        <f t="shared" si="127"/>
        <v>0.1</v>
      </c>
      <c r="PL28" s="22">
        <f t="shared" si="128"/>
        <v>0</v>
      </c>
      <c r="PM28" s="22">
        <f t="shared" si="129"/>
        <v>9</v>
      </c>
      <c r="PN28" s="22">
        <f t="shared" si="130"/>
        <v>3</v>
      </c>
      <c r="PO28" s="22">
        <f t="shared" si="131"/>
        <v>0.4</v>
      </c>
      <c r="PP28" s="22">
        <f t="shared" si="132"/>
        <v>0</v>
      </c>
      <c r="PQ28" s="22">
        <f t="shared" si="133"/>
        <v>0</v>
      </c>
      <c r="PR28" s="22">
        <f t="shared" si="134"/>
        <v>0</v>
      </c>
      <c r="PS28" s="22">
        <f t="shared" si="135"/>
        <v>0</v>
      </c>
      <c r="PT28" s="22">
        <f t="shared" si="136"/>
        <v>0</v>
      </c>
      <c r="PU28" s="22">
        <f t="shared" si="137"/>
        <v>0</v>
      </c>
      <c r="PV28" s="22">
        <f t="shared" si="138"/>
        <v>0</v>
      </c>
      <c r="PW28" s="22">
        <f t="shared" si="139"/>
        <v>0</v>
      </c>
      <c r="PX28" s="22">
        <f t="shared" si="140"/>
        <v>0</v>
      </c>
      <c r="PY28" s="27" t="s">
        <v>46</v>
      </c>
      <c r="PZ28" s="40">
        <f t="shared" si="141"/>
        <v>6.6</v>
      </c>
      <c r="QA28" s="40">
        <f t="shared" si="142"/>
        <v>24.4</v>
      </c>
      <c r="QB28" s="40" t="str">
        <f t="shared" si="143"/>
        <v/>
      </c>
      <c r="QC28" s="40" t="str">
        <f t="shared" si="144"/>
        <v/>
      </c>
      <c r="QD28" s="40">
        <f t="shared" si="145"/>
        <v>24.4</v>
      </c>
    </row>
    <row r="29" spans="1:446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161</v>
      </c>
      <c r="D29" s="4" t="s">
        <v>5</v>
      </c>
      <c r="E29" s="4">
        <v>2005</v>
      </c>
      <c r="F29" s="9">
        <f t="shared" si="0"/>
        <v>93.200004650004644</v>
      </c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IF(COUNT(AM29,BI29,CE29)&gt;0,LARGE((AM29,BI29,CE29),1),0)</f>
        <v>46.5</v>
      </c>
      <c r="M29" s="8" t="str">
        <f t="shared" si="5"/>
        <v>2025 Elite Canada</v>
      </c>
      <c r="N29" s="8">
        <f>IF(COUNT(AM29,BI29,CE29)&gt;1,LARGE((AM29,BI29,CE29),2),0)</f>
        <v>0</v>
      </c>
      <c r="O29" s="8" t="str">
        <f t="shared" si="6"/>
        <v/>
      </c>
      <c r="P29" s="8">
        <f t="shared" si="7"/>
        <v>46.7</v>
      </c>
      <c r="Q29" s="8" t="str">
        <f t="shared" si="8"/>
        <v>2025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18.7</v>
      </c>
      <c r="V29" s="19">
        <v>4.4000000000000004</v>
      </c>
      <c r="W29" s="19">
        <v>0.2</v>
      </c>
      <c r="X29" s="19">
        <v>0</v>
      </c>
      <c r="Y29" s="19">
        <v>18.399999999999999</v>
      </c>
      <c r="Z29" s="19">
        <v>5.2</v>
      </c>
      <c r="AA29" s="19">
        <v>0</v>
      </c>
      <c r="AB29" s="19">
        <v>0</v>
      </c>
      <c r="AC29" s="19">
        <v>18.8</v>
      </c>
      <c r="AD29" s="19">
        <v>5.2</v>
      </c>
      <c r="AE29" s="19">
        <v>0.2</v>
      </c>
      <c r="AF29" s="19">
        <v>0</v>
      </c>
      <c r="AG29" s="19">
        <v>18.5</v>
      </c>
      <c r="AH29" s="19">
        <v>5.2</v>
      </c>
      <c r="AI29" s="19">
        <v>0.8</v>
      </c>
      <c r="AJ29" s="19">
        <v>0</v>
      </c>
      <c r="AK29" s="27"/>
      <c r="AL29" s="40">
        <f t="shared" si="12"/>
        <v>9.6000000000000014</v>
      </c>
      <c r="AM29" s="40">
        <f t="shared" si="13"/>
        <v>46.5</v>
      </c>
      <c r="AN29" s="40">
        <f t="shared" si="14"/>
        <v>10.4</v>
      </c>
      <c r="AO29" s="40">
        <f t="shared" si="15"/>
        <v>46.7</v>
      </c>
      <c r="AP29" s="40">
        <f t="shared" si="16"/>
        <v>93.2</v>
      </c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28"/>
      <c r="BH29" s="11" t="str">
        <f t="shared" si="17"/>
        <v/>
      </c>
      <c r="BI29" s="11" t="str">
        <f t="shared" si="18"/>
        <v/>
      </c>
      <c r="BJ29" s="11" t="str">
        <f t="shared" si="19"/>
        <v/>
      </c>
      <c r="BK29" s="11" t="str">
        <f t="shared" si="20"/>
        <v/>
      </c>
      <c r="BL29" s="11" t="str">
        <f t="shared" si="21"/>
        <v/>
      </c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27"/>
      <c r="CD29" s="40" t="str">
        <f t="shared" si="22"/>
        <v/>
      </c>
      <c r="CE29" s="40" t="str">
        <f t="shared" si="23"/>
        <v/>
      </c>
      <c r="CF29" s="40" t="str">
        <f t="shared" si="24"/>
        <v/>
      </c>
      <c r="CG29" s="40" t="str">
        <f t="shared" si="25"/>
        <v/>
      </c>
      <c r="CH29" s="40" t="str">
        <f t="shared" si="26"/>
        <v/>
      </c>
      <c r="CI29" s="50" t="str">
        <f t="shared" si="27"/>
        <v/>
      </c>
      <c r="CJ29" s="50" t="str">
        <f t="shared" si="28"/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 t="shared" si="29"/>
        <v/>
      </c>
      <c r="DF29" s="40" t="str">
        <f t="shared" si="30"/>
        <v/>
      </c>
      <c r="DG29" s="40" t="str">
        <f t="shared" si="31"/>
        <v/>
      </c>
      <c r="DH29" s="40" t="str">
        <f t="shared" si="32"/>
        <v/>
      </c>
      <c r="DI29" s="40" t="str">
        <f t="shared" si="33"/>
        <v/>
      </c>
      <c r="DJ29" s="40" t="str">
        <f t="shared" si="34"/>
        <v/>
      </c>
      <c r="DK29" s="40" t="str">
        <f t="shared" si="35"/>
        <v/>
      </c>
      <c r="DL29" s="40" t="str">
        <f t="shared" si="36"/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 t="shared" si="37"/>
        <v/>
      </c>
      <c r="EH29" s="11" t="str">
        <f t="shared" si="38"/>
        <v/>
      </c>
      <c r="EI29" s="11" t="str">
        <f t="shared" si="39"/>
        <v/>
      </c>
      <c r="EJ29" s="11" t="str">
        <f t="shared" si="40"/>
        <v/>
      </c>
      <c r="EK29" s="11" t="str">
        <f t="shared" si="41"/>
        <v/>
      </c>
      <c r="EL29" s="11" t="str">
        <f t="shared" si="42"/>
        <v/>
      </c>
      <c r="EM29" s="11" t="str">
        <f t="shared" si="43"/>
        <v/>
      </c>
      <c r="EN29" s="11" t="str">
        <f t="shared" si="44"/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 t="shared" si="45"/>
        <v/>
      </c>
      <c r="FJ29" s="40" t="str">
        <f t="shared" si="46"/>
        <v/>
      </c>
      <c r="FK29" s="40" t="str">
        <f t="shared" si="47"/>
        <v/>
      </c>
      <c r="FL29" s="40" t="str">
        <f t="shared" si="48"/>
        <v/>
      </c>
      <c r="FM29" s="40" t="str">
        <f t="shared" si="49"/>
        <v/>
      </c>
      <c r="FN29" s="40" t="str">
        <f t="shared" si="50"/>
        <v/>
      </c>
      <c r="FO29" s="40" t="str">
        <f t="shared" si="51"/>
        <v/>
      </c>
      <c r="FP29" s="40" t="str">
        <f t="shared" si="52"/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 t="shared" si="53"/>
        <v/>
      </c>
      <c r="GL29" s="11" t="str">
        <f t="shared" si="54"/>
        <v/>
      </c>
      <c r="GM29" s="11" t="str">
        <f t="shared" si="55"/>
        <v/>
      </c>
      <c r="GN29" s="11" t="str">
        <f t="shared" si="56"/>
        <v/>
      </c>
      <c r="GO29" s="11" t="str">
        <f t="shared" si="57"/>
        <v/>
      </c>
      <c r="GP29" s="11" t="str">
        <f t="shared" si="58"/>
        <v/>
      </c>
      <c r="GQ29" s="11" t="str">
        <f t="shared" si="59"/>
        <v/>
      </c>
      <c r="GR29" s="11" t="str">
        <f t="shared" si="60"/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 t="shared" si="61"/>
        <v/>
      </c>
      <c r="HN29" s="40" t="str">
        <f t="shared" si="62"/>
        <v/>
      </c>
      <c r="HO29" s="40" t="str">
        <f t="shared" si="63"/>
        <v/>
      </c>
      <c r="HP29" s="40" t="str">
        <f t="shared" si="64"/>
        <v/>
      </c>
      <c r="HQ29" s="40" t="str">
        <f t="shared" si="65"/>
        <v/>
      </c>
      <c r="HR29" s="40" t="str">
        <f t="shared" si="66"/>
        <v/>
      </c>
      <c r="HS29" s="40" t="str">
        <f t="shared" si="67"/>
        <v/>
      </c>
      <c r="HT29" s="40" t="str">
        <f t="shared" si="68"/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 t="shared" si="69"/>
        <v/>
      </c>
      <c r="IP29" s="11" t="str">
        <f t="shared" si="70"/>
        <v/>
      </c>
      <c r="IQ29" s="11" t="str">
        <f t="shared" si="71"/>
        <v/>
      </c>
      <c r="IR29" s="11" t="str">
        <f t="shared" si="72"/>
        <v/>
      </c>
      <c r="IS29" s="11" t="str">
        <f t="shared" si="73"/>
        <v/>
      </c>
      <c r="IT29" s="11" t="str">
        <f t="shared" si="74"/>
        <v/>
      </c>
      <c r="IU29" s="11" t="str">
        <f t="shared" si="75"/>
        <v/>
      </c>
      <c r="IV29" s="11" t="str">
        <f t="shared" si="76"/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 t="shared" si="77"/>
        <v/>
      </c>
      <c r="JR29" s="40" t="str">
        <f t="shared" si="78"/>
        <v/>
      </c>
      <c r="JS29" s="40" t="str">
        <f t="shared" si="79"/>
        <v/>
      </c>
      <c r="JT29" s="40" t="str">
        <f t="shared" si="80"/>
        <v/>
      </c>
      <c r="JU29" s="40" t="str">
        <f t="shared" si="81"/>
        <v/>
      </c>
      <c r="JV29" s="40" t="str">
        <f t="shared" si="82"/>
        <v/>
      </c>
      <c r="JW29" s="40" t="str">
        <f t="shared" si="83"/>
        <v/>
      </c>
      <c r="JX29" s="40" t="str">
        <f t="shared" si="84"/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 t="shared" si="85"/>
        <v/>
      </c>
      <c r="KT29" s="11" t="str">
        <f t="shared" si="86"/>
        <v/>
      </c>
      <c r="KU29" s="11" t="str">
        <f t="shared" si="87"/>
        <v/>
      </c>
      <c r="KV29" s="11" t="str">
        <f t="shared" si="88"/>
        <v/>
      </c>
      <c r="KW29" s="11" t="str">
        <f t="shared" si="89"/>
        <v/>
      </c>
      <c r="KX29" s="11" t="str">
        <f t="shared" si="90"/>
        <v/>
      </c>
      <c r="KY29" s="11" t="str">
        <f t="shared" si="91"/>
        <v/>
      </c>
      <c r="KZ29" s="11" t="str">
        <f t="shared" si="92"/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 t="shared" si="93"/>
        <v/>
      </c>
      <c r="LV29" s="40" t="str">
        <f t="shared" si="94"/>
        <v/>
      </c>
      <c r="LW29" s="40" t="str">
        <f t="shared" si="95"/>
        <v/>
      </c>
      <c r="LX29" s="40" t="str">
        <f t="shared" si="96"/>
        <v/>
      </c>
      <c r="LY29" s="40" t="str">
        <f t="shared" si="97"/>
        <v/>
      </c>
      <c r="LZ29" s="40" t="str">
        <f t="shared" si="98"/>
        <v/>
      </c>
      <c r="MA29" s="40" t="str">
        <f t="shared" si="99"/>
        <v/>
      </c>
      <c r="MB29" s="40" t="str">
        <f t="shared" si="100"/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 t="shared" si="101"/>
        <v/>
      </c>
      <c r="MX29" s="11" t="str">
        <f t="shared" si="102"/>
        <v/>
      </c>
      <c r="MY29" s="11" t="str">
        <f t="shared" si="103"/>
        <v/>
      </c>
      <c r="MZ29" s="11" t="str">
        <f t="shared" si="104"/>
        <v/>
      </c>
      <c r="NA29" s="11" t="str">
        <f t="shared" si="105"/>
        <v/>
      </c>
      <c r="NB29" s="11" t="str">
        <f t="shared" si="106"/>
        <v/>
      </c>
      <c r="NC29" s="11" t="str">
        <f t="shared" si="107"/>
        <v/>
      </c>
      <c r="ND29" s="11" t="str">
        <f t="shared" si="108"/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 t="shared" si="109"/>
        <v/>
      </c>
      <c r="NZ29" s="40" t="str">
        <f t="shared" si="110"/>
        <v/>
      </c>
      <c r="OA29" s="40" t="str">
        <f t="shared" si="111"/>
        <v/>
      </c>
      <c r="OB29" s="40" t="str">
        <f t="shared" si="112"/>
        <v/>
      </c>
      <c r="OC29" s="40" t="str">
        <f t="shared" si="113"/>
        <v/>
      </c>
      <c r="OD29" s="40" t="str">
        <f t="shared" si="114"/>
        <v/>
      </c>
      <c r="OE29" s="40" t="str">
        <f t="shared" si="115"/>
        <v/>
      </c>
      <c r="OF29" s="40" t="str">
        <f t="shared" si="116"/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 t="shared" si="117"/>
        <v/>
      </c>
      <c r="PB29" s="11" t="str">
        <f t="shared" si="118"/>
        <v/>
      </c>
      <c r="PC29" s="11" t="str">
        <f t="shared" si="119"/>
        <v/>
      </c>
      <c r="PD29" s="11" t="str">
        <f t="shared" si="120"/>
        <v/>
      </c>
      <c r="PE29" s="11" t="str">
        <f t="shared" si="121"/>
        <v/>
      </c>
      <c r="PF29" s="11" t="str">
        <f t="shared" si="122"/>
        <v/>
      </c>
      <c r="PG29" s="11" t="str">
        <f t="shared" si="123"/>
        <v/>
      </c>
      <c r="PH29" s="11" t="str">
        <f t="shared" si="124"/>
        <v/>
      </c>
      <c r="PI29" s="22">
        <f t="shared" si="125"/>
        <v>0</v>
      </c>
      <c r="PJ29" s="22">
        <f t="shared" si="126"/>
        <v>0</v>
      </c>
      <c r="PK29" s="22">
        <f t="shared" si="127"/>
        <v>0</v>
      </c>
      <c r="PL29" s="22">
        <f t="shared" si="128"/>
        <v>0</v>
      </c>
      <c r="PM29" s="22">
        <f t="shared" si="129"/>
        <v>0</v>
      </c>
      <c r="PN29" s="22">
        <f t="shared" si="130"/>
        <v>0</v>
      </c>
      <c r="PO29" s="22">
        <f t="shared" si="131"/>
        <v>0</v>
      </c>
      <c r="PP29" s="22">
        <f t="shared" si="132"/>
        <v>0</v>
      </c>
      <c r="PQ29" s="22">
        <f t="shared" si="133"/>
        <v>0</v>
      </c>
      <c r="PR29" s="22">
        <f t="shared" si="134"/>
        <v>0</v>
      </c>
      <c r="PS29" s="22">
        <f t="shared" si="135"/>
        <v>0</v>
      </c>
      <c r="PT29" s="22">
        <f t="shared" si="136"/>
        <v>0</v>
      </c>
      <c r="PU29" s="22">
        <f t="shared" si="137"/>
        <v>0</v>
      </c>
      <c r="PV29" s="22">
        <f t="shared" si="138"/>
        <v>0</v>
      </c>
      <c r="PW29" s="22">
        <f t="shared" si="139"/>
        <v>0</v>
      </c>
      <c r="PX29" s="22">
        <f t="shared" si="140"/>
        <v>0</v>
      </c>
      <c r="PY29" s="27" t="s">
        <v>46</v>
      </c>
      <c r="PZ29" s="40" t="str">
        <f t="shared" si="141"/>
        <v/>
      </c>
      <c r="QA29" s="40" t="str">
        <f t="shared" si="142"/>
        <v/>
      </c>
      <c r="QB29" s="40" t="str">
        <f t="shared" si="143"/>
        <v/>
      </c>
      <c r="QC29" s="40" t="str">
        <f t="shared" si="144"/>
        <v/>
      </c>
      <c r="QD29" s="40" t="str">
        <f t="shared" si="145"/>
        <v/>
      </c>
    </row>
    <row r="30" spans="1:446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125</v>
      </c>
      <c r="D30" s="4" t="s">
        <v>5</v>
      </c>
      <c r="E30" s="4">
        <v>2007</v>
      </c>
      <c r="F30" s="9">
        <f t="shared" si="0"/>
        <v>93.000009300004805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IF(COUNT(AM30,BI30,CE30)&gt;0,LARGE((AM30,BI30,CE30),1),0)</f>
        <v>48.099999999999994</v>
      </c>
      <c r="M30" s="8" t="str">
        <f t="shared" si="5"/>
        <v>2025 Elite Canada</v>
      </c>
      <c r="N30" s="8">
        <f>IF(COUNT(AM30,BI30,CE30)&gt;1,LARGE((AM30,BI30,CE30),2),0)</f>
        <v>44.900000000000013</v>
      </c>
      <c r="O30" s="8" t="str">
        <f t="shared" si="6"/>
        <v>2025 Nationals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18</v>
      </c>
      <c r="V30" s="19">
        <v>6.8</v>
      </c>
      <c r="W30" s="19">
        <v>0.2</v>
      </c>
      <c r="X30" s="19">
        <v>0</v>
      </c>
      <c r="Y30" s="19">
        <v>18.3</v>
      </c>
      <c r="Z30" s="19">
        <v>6.4</v>
      </c>
      <c r="AA30" s="19">
        <v>1.2</v>
      </c>
      <c r="AB30" s="19">
        <v>0</v>
      </c>
      <c r="AC30" s="19"/>
      <c r="AD30" s="19"/>
      <c r="AE30" s="19"/>
      <c r="AF30" s="19"/>
      <c r="AG30" s="19"/>
      <c r="AH30" s="19"/>
      <c r="AI30" s="19"/>
      <c r="AJ30" s="19"/>
      <c r="AK30" s="27"/>
      <c r="AL30" s="40">
        <f t="shared" si="12"/>
        <v>13.2</v>
      </c>
      <c r="AM30" s="40">
        <f t="shared" si="13"/>
        <v>48.099999999999994</v>
      </c>
      <c r="AN30" s="40" t="str">
        <f t="shared" si="14"/>
        <v/>
      </c>
      <c r="AO30" s="40" t="str">
        <f t="shared" si="15"/>
        <v/>
      </c>
      <c r="AP30" s="40">
        <f t="shared" si="16"/>
        <v>48.099999999999994</v>
      </c>
      <c r="AQ30" s="18">
        <v>16.8</v>
      </c>
      <c r="AR30" s="18">
        <v>6.8</v>
      </c>
      <c r="AS30" s="18">
        <v>0.8</v>
      </c>
      <c r="AT30" s="18">
        <v>0</v>
      </c>
      <c r="AU30" s="18">
        <v>18.3</v>
      </c>
      <c r="AV30" s="18">
        <v>5.6</v>
      </c>
      <c r="AW30" s="18">
        <v>1.8</v>
      </c>
      <c r="AX30" s="18">
        <v>0</v>
      </c>
      <c r="AY30" s="18"/>
      <c r="AZ30" s="18"/>
      <c r="BA30" s="18"/>
      <c r="BB30" s="18"/>
      <c r="BC30" s="18"/>
      <c r="BD30" s="18"/>
      <c r="BE30" s="18"/>
      <c r="BF30" s="18"/>
      <c r="BG30" s="28"/>
      <c r="BH30" s="11">
        <f t="shared" si="17"/>
        <v>12.399999999999999</v>
      </c>
      <c r="BI30" s="11">
        <f t="shared" si="18"/>
        <v>44.900000000000013</v>
      </c>
      <c r="BJ30" s="11" t="str">
        <f t="shared" si="19"/>
        <v/>
      </c>
      <c r="BK30" s="11" t="str">
        <f t="shared" si="20"/>
        <v/>
      </c>
      <c r="BL30" s="11">
        <f t="shared" si="21"/>
        <v>44.900000000000013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 t="shared" si="22"/>
        <v/>
      </c>
      <c r="CE30" s="40" t="str">
        <f t="shared" si="23"/>
        <v/>
      </c>
      <c r="CF30" s="40" t="str">
        <f t="shared" si="24"/>
        <v/>
      </c>
      <c r="CG30" s="40" t="str">
        <f t="shared" si="25"/>
        <v/>
      </c>
      <c r="CH30" s="40" t="str">
        <f t="shared" si="26"/>
        <v/>
      </c>
      <c r="CI30" s="50" t="str">
        <f t="shared" si="27"/>
        <v/>
      </c>
      <c r="CJ30" s="50" t="str">
        <f t="shared" si="28"/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 t="shared" si="29"/>
        <v/>
      </c>
      <c r="DF30" s="40" t="str">
        <f t="shared" si="30"/>
        <v/>
      </c>
      <c r="DG30" s="40" t="str">
        <f t="shared" si="31"/>
        <v/>
      </c>
      <c r="DH30" s="40" t="str">
        <f t="shared" si="32"/>
        <v/>
      </c>
      <c r="DI30" s="40" t="str">
        <f t="shared" si="33"/>
        <v/>
      </c>
      <c r="DJ30" s="40" t="str">
        <f t="shared" si="34"/>
        <v/>
      </c>
      <c r="DK30" s="40" t="str">
        <f t="shared" si="35"/>
        <v/>
      </c>
      <c r="DL30" s="40" t="str">
        <f t="shared" si="36"/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 t="shared" si="37"/>
        <v/>
      </c>
      <c r="EH30" s="11" t="str">
        <f t="shared" si="38"/>
        <v/>
      </c>
      <c r="EI30" s="11" t="str">
        <f t="shared" si="39"/>
        <v/>
      </c>
      <c r="EJ30" s="11" t="str">
        <f t="shared" si="40"/>
        <v/>
      </c>
      <c r="EK30" s="11" t="str">
        <f t="shared" si="41"/>
        <v/>
      </c>
      <c r="EL30" s="11" t="str">
        <f t="shared" si="42"/>
        <v/>
      </c>
      <c r="EM30" s="11" t="str">
        <f t="shared" si="43"/>
        <v/>
      </c>
      <c r="EN30" s="11" t="str">
        <f t="shared" si="44"/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 t="shared" si="45"/>
        <v/>
      </c>
      <c r="FJ30" s="40" t="str">
        <f t="shared" si="46"/>
        <v/>
      </c>
      <c r="FK30" s="40" t="str">
        <f t="shared" si="47"/>
        <v/>
      </c>
      <c r="FL30" s="40" t="str">
        <f t="shared" si="48"/>
        <v/>
      </c>
      <c r="FM30" s="40" t="str">
        <f t="shared" si="49"/>
        <v/>
      </c>
      <c r="FN30" s="40" t="str">
        <f t="shared" si="50"/>
        <v/>
      </c>
      <c r="FO30" s="40" t="str">
        <f t="shared" si="51"/>
        <v/>
      </c>
      <c r="FP30" s="40" t="str">
        <f t="shared" si="52"/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 t="shared" si="53"/>
        <v/>
      </c>
      <c r="GL30" s="11" t="str">
        <f t="shared" si="54"/>
        <v/>
      </c>
      <c r="GM30" s="11" t="str">
        <f t="shared" si="55"/>
        <v/>
      </c>
      <c r="GN30" s="11" t="str">
        <f t="shared" si="56"/>
        <v/>
      </c>
      <c r="GO30" s="11" t="str">
        <f t="shared" si="57"/>
        <v/>
      </c>
      <c r="GP30" s="11" t="str">
        <f t="shared" si="58"/>
        <v/>
      </c>
      <c r="GQ30" s="11" t="str">
        <f t="shared" si="59"/>
        <v/>
      </c>
      <c r="GR30" s="11" t="str">
        <f t="shared" si="60"/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 t="shared" si="61"/>
        <v/>
      </c>
      <c r="HN30" s="40" t="str">
        <f t="shared" si="62"/>
        <v/>
      </c>
      <c r="HO30" s="40" t="str">
        <f t="shared" si="63"/>
        <v/>
      </c>
      <c r="HP30" s="40" t="str">
        <f t="shared" si="64"/>
        <v/>
      </c>
      <c r="HQ30" s="40" t="str">
        <f t="shared" si="65"/>
        <v/>
      </c>
      <c r="HR30" s="40" t="str">
        <f t="shared" si="66"/>
        <v/>
      </c>
      <c r="HS30" s="40" t="str">
        <f t="shared" si="67"/>
        <v/>
      </c>
      <c r="HT30" s="40" t="str">
        <f t="shared" si="68"/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 t="shared" si="69"/>
        <v/>
      </c>
      <c r="IP30" s="11" t="str">
        <f t="shared" si="70"/>
        <v/>
      </c>
      <c r="IQ30" s="11" t="str">
        <f t="shared" si="71"/>
        <v/>
      </c>
      <c r="IR30" s="11" t="str">
        <f t="shared" si="72"/>
        <v/>
      </c>
      <c r="IS30" s="11" t="str">
        <f t="shared" si="73"/>
        <v/>
      </c>
      <c r="IT30" s="11" t="str">
        <f t="shared" si="74"/>
        <v/>
      </c>
      <c r="IU30" s="11" t="str">
        <f t="shared" si="75"/>
        <v/>
      </c>
      <c r="IV30" s="11" t="str">
        <f t="shared" si="76"/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 t="shared" si="77"/>
        <v/>
      </c>
      <c r="JR30" s="40" t="str">
        <f t="shared" si="78"/>
        <v/>
      </c>
      <c r="JS30" s="40" t="str">
        <f t="shared" si="79"/>
        <v/>
      </c>
      <c r="JT30" s="40" t="str">
        <f t="shared" si="80"/>
        <v/>
      </c>
      <c r="JU30" s="40" t="str">
        <f t="shared" si="81"/>
        <v/>
      </c>
      <c r="JV30" s="40" t="str">
        <f t="shared" si="82"/>
        <v/>
      </c>
      <c r="JW30" s="40" t="str">
        <f t="shared" si="83"/>
        <v/>
      </c>
      <c r="JX30" s="40" t="str">
        <f t="shared" si="84"/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 t="shared" si="85"/>
        <v/>
      </c>
      <c r="KT30" s="11" t="str">
        <f t="shared" si="86"/>
        <v/>
      </c>
      <c r="KU30" s="11" t="str">
        <f t="shared" si="87"/>
        <v/>
      </c>
      <c r="KV30" s="11" t="str">
        <f t="shared" si="88"/>
        <v/>
      </c>
      <c r="KW30" s="11" t="str">
        <f t="shared" si="89"/>
        <v/>
      </c>
      <c r="KX30" s="11" t="str">
        <f t="shared" si="90"/>
        <v/>
      </c>
      <c r="KY30" s="11" t="str">
        <f t="shared" si="91"/>
        <v/>
      </c>
      <c r="KZ30" s="11" t="str">
        <f t="shared" si="92"/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 t="shared" si="93"/>
        <v/>
      </c>
      <c r="LV30" s="40" t="str">
        <f t="shared" si="94"/>
        <v/>
      </c>
      <c r="LW30" s="40" t="str">
        <f t="shared" si="95"/>
        <v/>
      </c>
      <c r="LX30" s="40" t="str">
        <f t="shared" si="96"/>
        <v/>
      </c>
      <c r="LY30" s="40" t="str">
        <f t="shared" si="97"/>
        <v/>
      </c>
      <c r="LZ30" s="40" t="str">
        <f t="shared" si="98"/>
        <v/>
      </c>
      <c r="MA30" s="40" t="str">
        <f t="shared" si="99"/>
        <v/>
      </c>
      <c r="MB30" s="40" t="str">
        <f t="shared" si="100"/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 t="shared" si="101"/>
        <v/>
      </c>
      <c r="MX30" s="11" t="str">
        <f t="shared" si="102"/>
        <v/>
      </c>
      <c r="MY30" s="11" t="str">
        <f t="shared" si="103"/>
        <v/>
      </c>
      <c r="MZ30" s="11" t="str">
        <f t="shared" si="104"/>
        <v/>
      </c>
      <c r="NA30" s="11" t="str">
        <f t="shared" si="105"/>
        <v/>
      </c>
      <c r="NB30" s="11" t="str">
        <f t="shared" si="106"/>
        <v/>
      </c>
      <c r="NC30" s="11" t="str">
        <f t="shared" si="107"/>
        <v/>
      </c>
      <c r="ND30" s="11" t="str">
        <f t="shared" si="108"/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 t="shared" si="109"/>
        <v/>
      </c>
      <c r="NZ30" s="40" t="str">
        <f t="shared" si="110"/>
        <v/>
      </c>
      <c r="OA30" s="40" t="str">
        <f t="shared" si="111"/>
        <v/>
      </c>
      <c r="OB30" s="40" t="str">
        <f t="shared" si="112"/>
        <v/>
      </c>
      <c r="OC30" s="40" t="str">
        <f t="shared" si="113"/>
        <v/>
      </c>
      <c r="OD30" s="40" t="str">
        <f t="shared" si="114"/>
        <v/>
      </c>
      <c r="OE30" s="40" t="str">
        <f t="shared" si="115"/>
        <v/>
      </c>
      <c r="OF30" s="40" t="str">
        <f t="shared" si="116"/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 t="shared" si="117"/>
        <v/>
      </c>
      <c r="PB30" s="11" t="str">
        <f t="shared" si="118"/>
        <v/>
      </c>
      <c r="PC30" s="11" t="str">
        <f t="shared" si="119"/>
        <v/>
      </c>
      <c r="PD30" s="11" t="str">
        <f t="shared" si="120"/>
        <v/>
      </c>
      <c r="PE30" s="11" t="str">
        <f t="shared" si="121"/>
        <v/>
      </c>
      <c r="PF30" s="11" t="str">
        <f t="shared" si="122"/>
        <v/>
      </c>
      <c r="PG30" s="11" t="str">
        <f t="shared" si="123"/>
        <v/>
      </c>
      <c r="PH30" s="11" t="str">
        <f t="shared" si="124"/>
        <v/>
      </c>
      <c r="PI30" s="22">
        <f t="shared" si="125"/>
        <v>8.4</v>
      </c>
      <c r="PJ30" s="22">
        <f t="shared" si="126"/>
        <v>3.4</v>
      </c>
      <c r="PK30" s="22">
        <f t="shared" si="127"/>
        <v>0.4</v>
      </c>
      <c r="PL30" s="22">
        <f t="shared" si="128"/>
        <v>0</v>
      </c>
      <c r="PM30" s="22">
        <f t="shared" si="129"/>
        <v>9.15</v>
      </c>
      <c r="PN30" s="22">
        <f t="shared" si="130"/>
        <v>2.8</v>
      </c>
      <c r="PO30" s="22">
        <f t="shared" si="131"/>
        <v>0.9</v>
      </c>
      <c r="PP30" s="22">
        <f t="shared" si="132"/>
        <v>0</v>
      </c>
      <c r="PQ30" s="22">
        <f t="shared" si="133"/>
        <v>0</v>
      </c>
      <c r="PR30" s="22">
        <f t="shared" si="134"/>
        <v>0</v>
      </c>
      <c r="PS30" s="22">
        <f t="shared" si="135"/>
        <v>0</v>
      </c>
      <c r="PT30" s="22">
        <f t="shared" si="136"/>
        <v>0</v>
      </c>
      <c r="PU30" s="22">
        <f t="shared" si="137"/>
        <v>0</v>
      </c>
      <c r="PV30" s="22">
        <f t="shared" si="138"/>
        <v>0</v>
      </c>
      <c r="PW30" s="22">
        <f t="shared" si="139"/>
        <v>0</v>
      </c>
      <c r="PX30" s="22">
        <f t="shared" si="140"/>
        <v>0</v>
      </c>
      <c r="PY30" s="27" t="s">
        <v>46</v>
      </c>
      <c r="PZ30" s="40">
        <f t="shared" si="141"/>
        <v>6.1999999999999993</v>
      </c>
      <c r="QA30" s="40">
        <f t="shared" si="142"/>
        <v>22.450000000000006</v>
      </c>
      <c r="QB30" s="40" t="str">
        <f t="shared" si="143"/>
        <v/>
      </c>
      <c r="QC30" s="40" t="str">
        <f t="shared" si="144"/>
        <v/>
      </c>
      <c r="QD30" s="40">
        <f t="shared" si="145"/>
        <v>22.450000000000006</v>
      </c>
    </row>
    <row r="31" spans="1:446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204</v>
      </c>
      <c r="D31" s="4" t="s">
        <v>3</v>
      </c>
      <c r="E31" s="4">
        <v>2009</v>
      </c>
      <c r="F31" s="9">
        <f t="shared" si="0"/>
        <v>92.000004490004486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IF(COUNT(AM31,BI31,CE31)&gt;0,LARGE((AM31,BI31,CE31),1),0)</f>
        <v>44.900000000000006</v>
      </c>
      <c r="M31" s="8" t="str">
        <f t="shared" si="5"/>
        <v>2025 Nationals</v>
      </c>
      <c r="N31" s="8">
        <f>IF(COUNT(AM31,BI31,CE31)&gt;1,LARGE((AM31,BI31,CE31),2),0)</f>
        <v>0</v>
      </c>
      <c r="O31" s="8" t="str">
        <f t="shared" si="6"/>
        <v/>
      </c>
      <c r="P31" s="8">
        <f t="shared" si="7"/>
        <v>47.1</v>
      </c>
      <c r="Q31" s="8" t="str">
        <f t="shared" si="8"/>
        <v>2025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27"/>
      <c r="AL31" s="40" t="str">
        <f t="shared" si="12"/>
        <v/>
      </c>
      <c r="AM31" s="40" t="str">
        <f t="shared" si="13"/>
        <v/>
      </c>
      <c r="AN31" s="40" t="str">
        <f t="shared" si="14"/>
        <v/>
      </c>
      <c r="AO31" s="40" t="str">
        <f t="shared" si="15"/>
        <v/>
      </c>
      <c r="AP31" s="40" t="str">
        <f t="shared" si="16"/>
        <v/>
      </c>
      <c r="AQ31" s="18">
        <v>18.399999999999999</v>
      </c>
      <c r="AR31" s="18">
        <v>6</v>
      </c>
      <c r="AS31" s="18">
        <v>0</v>
      </c>
      <c r="AT31" s="18">
        <v>0</v>
      </c>
      <c r="AU31" s="18">
        <v>16.3</v>
      </c>
      <c r="AV31" s="18">
        <v>5.2</v>
      </c>
      <c r="AW31" s="18">
        <v>1</v>
      </c>
      <c r="AX31" s="18">
        <v>0</v>
      </c>
      <c r="AY31" s="18">
        <v>18.5</v>
      </c>
      <c r="AZ31" s="18">
        <v>6.4</v>
      </c>
      <c r="BA31" s="18">
        <v>0</v>
      </c>
      <c r="BB31" s="18">
        <v>0</v>
      </c>
      <c r="BC31" s="18">
        <v>18</v>
      </c>
      <c r="BD31" s="18">
        <v>5.2</v>
      </c>
      <c r="BE31" s="18">
        <v>1</v>
      </c>
      <c r="BF31" s="18">
        <v>0</v>
      </c>
      <c r="BG31" s="28"/>
      <c r="BH31" s="11">
        <f t="shared" si="17"/>
        <v>11.2</v>
      </c>
      <c r="BI31" s="11">
        <f t="shared" si="18"/>
        <v>44.900000000000006</v>
      </c>
      <c r="BJ31" s="11">
        <f t="shared" si="19"/>
        <v>11.600000000000001</v>
      </c>
      <c r="BK31" s="11">
        <f t="shared" si="20"/>
        <v>47.1</v>
      </c>
      <c r="BL31" s="11">
        <f t="shared" si="21"/>
        <v>92</v>
      </c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27"/>
      <c r="CD31" s="40" t="str">
        <f t="shared" si="22"/>
        <v/>
      </c>
      <c r="CE31" s="40" t="str">
        <f t="shared" si="23"/>
        <v/>
      </c>
      <c r="CF31" s="40" t="str">
        <f t="shared" si="24"/>
        <v/>
      </c>
      <c r="CG31" s="40" t="str">
        <f t="shared" si="25"/>
        <v/>
      </c>
      <c r="CH31" s="40" t="str">
        <f t="shared" si="26"/>
        <v/>
      </c>
      <c r="CI31" s="50" t="str">
        <f t="shared" si="27"/>
        <v/>
      </c>
      <c r="CJ31" s="50" t="str">
        <f t="shared" si="28"/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 t="shared" si="29"/>
        <v/>
      </c>
      <c r="DF31" s="40" t="str">
        <f t="shared" si="30"/>
        <v/>
      </c>
      <c r="DG31" s="40" t="str">
        <f t="shared" si="31"/>
        <v/>
      </c>
      <c r="DH31" s="40" t="str">
        <f t="shared" si="32"/>
        <v/>
      </c>
      <c r="DI31" s="40" t="str">
        <f t="shared" si="33"/>
        <v/>
      </c>
      <c r="DJ31" s="40" t="str">
        <f t="shared" si="34"/>
        <v/>
      </c>
      <c r="DK31" s="40" t="str">
        <f t="shared" si="35"/>
        <v/>
      </c>
      <c r="DL31" s="40" t="str">
        <f t="shared" si="36"/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 t="shared" si="37"/>
        <v/>
      </c>
      <c r="EH31" s="11" t="str">
        <f t="shared" si="38"/>
        <v/>
      </c>
      <c r="EI31" s="11" t="str">
        <f t="shared" si="39"/>
        <v/>
      </c>
      <c r="EJ31" s="11" t="str">
        <f t="shared" si="40"/>
        <v/>
      </c>
      <c r="EK31" s="11" t="str">
        <f t="shared" si="41"/>
        <v/>
      </c>
      <c r="EL31" s="11" t="str">
        <f t="shared" si="42"/>
        <v/>
      </c>
      <c r="EM31" s="11" t="str">
        <f t="shared" si="43"/>
        <v/>
      </c>
      <c r="EN31" s="11" t="str">
        <f t="shared" si="44"/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 t="shared" si="45"/>
        <v/>
      </c>
      <c r="FJ31" s="40" t="str">
        <f t="shared" si="46"/>
        <v/>
      </c>
      <c r="FK31" s="40" t="str">
        <f t="shared" si="47"/>
        <v/>
      </c>
      <c r="FL31" s="40" t="str">
        <f t="shared" si="48"/>
        <v/>
      </c>
      <c r="FM31" s="40" t="str">
        <f t="shared" si="49"/>
        <v/>
      </c>
      <c r="FN31" s="40" t="str">
        <f t="shared" si="50"/>
        <v/>
      </c>
      <c r="FO31" s="40" t="str">
        <f t="shared" si="51"/>
        <v/>
      </c>
      <c r="FP31" s="40" t="str">
        <f t="shared" si="52"/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 t="shared" si="53"/>
        <v/>
      </c>
      <c r="GL31" s="11" t="str">
        <f t="shared" si="54"/>
        <v/>
      </c>
      <c r="GM31" s="11" t="str">
        <f t="shared" si="55"/>
        <v/>
      </c>
      <c r="GN31" s="11" t="str">
        <f t="shared" si="56"/>
        <v/>
      </c>
      <c r="GO31" s="11" t="str">
        <f t="shared" si="57"/>
        <v/>
      </c>
      <c r="GP31" s="11" t="str">
        <f t="shared" si="58"/>
        <v/>
      </c>
      <c r="GQ31" s="11" t="str">
        <f t="shared" si="59"/>
        <v/>
      </c>
      <c r="GR31" s="11" t="str">
        <f t="shared" si="60"/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 t="shared" si="61"/>
        <v/>
      </c>
      <c r="HN31" s="40" t="str">
        <f t="shared" si="62"/>
        <v/>
      </c>
      <c r="HO31" s="40" t="str">
        <f t="shared" si="63"/>
        <v/>
      </c>
      <c r="HP31" s="40" t="str">
        <f t="shared" si="64"/>
        <v/>
      </c>
      <c r="HQ31" s="40" t="str">
        <f t="shared" si="65"/>
        <v/>
      </c>
      <c r="HR31" s="40" t="str">
        <f t="shared" si="66"/>
        <v/>
      </c>
      <c r="HS31" s="40" t="str">
        <f t="shared" si="67"/>
        <v/>
      </c>
      <c r="HT31" s="40" t="str">
        <f t="shared" si="68"/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 t="shared" si="69"/>
        <v/>
      </c>
      <c r="IP31" s="11" t="str">
        <f t="shared" si="70"/>
        <v/>
      </c>
      <c r="IQ31" s="11" t="str">
        <f t="shared" si="71"/>
        <v/>
      </c>
      <c r="IR31" s="11" t="str">
        <f t="shared" si="72"/>
        <v/>
      </c>
      <c r="IS31" s="11" t="str">
        <f t="shared" si="73"/>
        <v/>
      </c>
      <c r="IT31" s="11" t="str">
        <f t="shared" si="74"/>
        <v/>
      </c>
      <c r="IU31" s="11" t="str">
        <f t="shared" si="75"/>
        <v/>
      </c>
      <c r="IV31" s="11" t="str">
        <f t="shared" si="76"/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 t="shared" si="77"/>
        <v/>
      </c>
      <c r="JR31" s="40" t="str">
        <f t="shared" si="78"/>
        <v/>
      </c>
      <c r="JS31" s="40" t="str">
        <f t="shared" si="79"/>
        <v/>
      </c>
      <c r="JT31" s="40" t="str">
        <f t="shared" si="80"/>
        <v/>
      </c>
      <c r="JU31" s="40" t="str">
        <f t="shared" si="81"/>
        <v/>
      </c>
      <c r="JV31" s="40" t="str">
        <f t="shared" si="82"/>
        <v/>
      </c>
      <c r="JW31" s="40" t="str">
        <f t="shared" si="83"/>
        <v/>
      </c>
      <c r="JX31" s="40" t="str">
        <f t="shared" si="84"/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 t="shared" si="85"/>
        <v/>
      </c>
      <c r="KT31" s="11" t="str">
        <f t="shared" si="86"/>
        <v/>
      </c>
      <c r="KU31" s="11" t="str">
        <f t="shared" si="87"/>
        <v/>
      </c>
      <c r="KV31" s="11" t="str">
        <f t="shared" si="88"/>
        <v/>
      </c>
      <c r="KW31" s="11" t="str">
        <f t="shared" si="89"/>
        <v/>
      </c>
      <c r="KX31" s="11" t="str">
        <f t="shared" si="90"/>
        <v/>
      </c>
      <c r="KY31" s="11" t="str">
        <f t="shared" si="91"/>
        <v/>
      </c>
      <c r="KZ31" s="11" t="str">
        <f t="shared" si="92"/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 t="shared" si="93"/>
        <v/>
      </c>
      <c r="LV31" s="40" t="str">
        <f t="shared" si="94"/>
        <v/>
      </c>
      <c r="LW31" s="40" t="str">
        <f t="shared" si="95"/>
        <v/>
      </c>
      <c r="LX31" s="40" t="str">
        <f t="shared" si="96"/>
        <v/>
      </c>
      <c r="LY31" s="40" t="str">
        <f t="shared" si="97"/>
        <v/>
      </c>
      <c r="LZ31" s="40" t="str">
        <f t="shared" si="98"/>
        <v/>
      </c>
      <c r="MA31" s="40" t="str">
        <f t="shared" si="99"/>
        <v/>
      </c>
      <c r="MB31" s="40" t="str">
        <f t="shared" si="100"/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 t="shared" si="101"/>
        <v/>
      </c>
      <c r="MX31" s="11" t="str">
        <f t="shared" si="102"/>
        <v/>
      </c>
      <c r="MY31" s="11" t="str">
        <f t="shared" si="103"/>
        <v/>
      </c>
      <c r="MZ31" s="11" t="str">
        <f t="shared" si="104"/>
        <v/>
      </c>
      <c r="NA31" s="11" t="str">
        <f t="shared" si="105"/>
        <v/>
      </c>
      <c r="NB31" s="11" t="str">
        <f t="shared" si="106"/>
        <v/>
      </c>
      <c r="NC31" s="11" t="str">
        <f t="shared" si="107"/>
        <v/>
      </c>
      <c r="ND31" s="11" t="str">
        <f t="shared" si="108"/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 t="shared" si="109"/>
        <v/>
      </c>
      <c r="NZ31" s="40" t="str">
        <f t="shared" si="110"/>
        <v/>
      </c>
      <c r="OA31" s="40" t="str">
        <f t="shared" si="111"/>
        <v/>
      </c>
      <c r="OB31" s="40" t="str">
        <f t="shared" si="112"/>
        <v/>
      </c>
      <c r="OC31" s="40" t="str">
        <f t="shared" si="113"/>
        <v/>
      </c>
      <c r="OD31" s="40" t="str">
        <f t="shared" si="114"/>
        <v/>
      </c>
      <c r="OE31" s="40" t="str">
        <f t="shared" si="115"/>
        <v/>
      </c>
      <c r="OF31" s="40" t="str">
        <f t="shared" si="116"/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 t="shared" si="117"/>
        <v/>
      </c>
      <c r="PB31" s="11" t="str">
        <f t="shared" si="118"/>
        <v/>
      </c>
      <c r="PC31" s="11" t="str">
        <f t="shared" si="119"/>
        <v/>
      </c>
      <c r="PD31" s="11" t="str">
        <f t="shared" si="120"/>
        <v/>
      </c>
      <c r="PE31" s="11" t="str">
        <f t="shared" si="121"/>
        <v/>
      </c>
      <c r="PF31" s="11" t="str">
        <f t="shared" si="122"/>
        <v/>
      </c>
      <c r="PG31" s="11" t="str">
        <f t="shared" si="123"/>
        <v/>
      </c>
      <c r="PH31" s="11" t="str">
        <f t="shared" si="124"/>
        <v/>
      </c>
      <c r="PI31" s="22">
        <f t="shared" si="125"/>
        <v>9.1999999999999993</v>
      </c>
      <c r="PJ31" s="22">
        <f t="shared" si="126"/>
        <v>3</v>
      </c>
      <c r="PK31" s="22">
        <f t="shared" si="127"/>
        <v>0</v>
      </c>
      <c r="PL31" s="22">
        <f t="shared" si="128"/>
        <v>0</v>
      </c>
      <c r="PM31" s="22">
        <f t="shared" si="129"/>
        <v>8.15</v>
      </c>
      <c r="PN31" s="22">
        <f t="shared" si="130"/>
        <v>2.6</v>
      </c>
      <c r="PO31" s="22">
        <f t="shared" si="131"/>
        <v>0.5</v>
      </c>
      <c r="PP31" s="22">
        <f t="shared" si="132"/>
        <v>0</v>
      </c>
      <c r="PQ31" s="22">
        <f t="shared" si="133"/>
        <v>9.25</v>
      </c>
      <c r="PR31" s="22">
        <f t="shared" si="134"/>
        <v>3.2</v>
      </c>
      <c r="PS31" s="22">
        <f t="shared" si="135"/>
        <v>0</v>
      </c>
      <c r="PT31" s="22">
        <f t="shared" si="136"/>
        <v>0</v>
      </c>
      <c r="PU31" s="22">
        <f t="shared" si="137"/>
        <v>9</v>
      </c>
      <c r="PV31" s="22">
        <f t="shared" si="138"/>
        <v>2.6</v>
      </c>
      <c r="PW31" s="22">
        <f t="shared" si="139"/>
        <v>0.5</v>
      </c>
      <c r="PX31" s="22">
        <f t="shared" si="140"/>
        <v>0</v>
      </c>
      <c r="PY31" s="27" t="s">
        <v>46</v>
      </c>
      <c r="PZ31" s="40">
        <f t="shared" si="141"/>
        <v>5.6</v>
      </c>
      <c r="QA31" s="40">
        <f t="shared" si="142"/>
        <v>22.450000000000003</v>
      </c>
      <c r="QB31" s="40">
        <f t="shared" si="143"/>
        <v>5.8000000000000007</v>
      </c>
      <c r="QC31" s="40">
        <f t="shared" si="144"/>
        <v>23.55</v>
      </c>
      <c r="QD31" s="40">
        <f t="shared" si="145"/>
        <v>46</v>
      </c>
    </row>
    <row r="32" spans="1:446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118</v>
      </c>
      <c r="D32" s="4" t="s">
        <v>4</v>
      </c>
      <c r="E32" s="4">
        <v>2007</v>
      </c>
      <c r="F32" s="9">
        <f t="shared" si="0"/>
        <v>90.800009080004656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IF(COUNT(AM32,BI32,CE32)&gt;0,LARGE((AM32,BI32,CE32),1),0)</f>
        <v>46.4</v>
      </c>
      <c r="M32" s="8" t="str">
        <f t="shared" si="5"/>
        <v>2025 Elite Canada</v>
      </c>
      <c r="N32" s="8">
        <f>IF(COUNT(AM32,BI32,CE32)&gt;1,LARGE((AM32,BI32,CE32),2),0)</f>
        <v>44.400000000000006</v>
      </c>
      <c r="O32" s="8" t="str">
        <f t="shared" si="6"/>
        <v>2025 3rd Domestic Trial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>
        <v>19</v>
      </c>
      <c r="V32" s="19">
        <v>7.2</v>
      </c>
      <c r="W32" s="19">
        <v>0.2</v>
      </c>
      <c r="X32" s="19">
        <v>0</v>
      </c>
      <c r="Y32" s="19">
        <v>16.2</v>
      </c>
      <c r="Z32" s="19">
        <v>6</v>
      </c>
      <c r="AA32" s="19">
        <v>1.8</v>
      </c>
      <c r="AB32" s="19">
        <v>0</v>
      </c>
      <c r="AC32" s="19"/>
      <c r="AD32" s="19"/>
      <c r="AE32" s="19"/>
      <c r="AF32" s="19"/>
      <c r="AG32" s="19"/>
      <c r="AH32" s="19"/>
      <c r="AI32" s="19"/>
      <c r="AJ32" s="19"/>
      <c r="AK32" s="27"/>
      <c r="AL32" s="40">
        <f t="shared" si="12"/>
        <v>13.2</v>
      </c>
      <c r="AM32" s="40">
        <f t="shared" si="13"/>
        <v>46.4</v>
      </c>
      <c r="AN32" s="40" t="str">
        <f t="shared" si="14"/>
        <v/>
      </c>
      <c r="AO32" s="40" t="str">
        <f t="shared" si="15"/>
        <v/>
      </c>
      <c r="AP32" s="40">
        <f t="shared" si="16"/>
        <v>46.4</v>
      </c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28"/>
      <c r="BH32" s="11" t="str">
        <f t="shared" si="17"/>
        <v/>
      </c>
      <c r="BI32" s="11" t="str">
        <f t="shared" si="18"/>
        <v/>
      </c>
      <c r="BJ32" s="11" t="str">
        <f t="shared" si="19"/>
        <v/>
      </c>
      <c r="BK32" s="11" t="str">
        <f t="shared" si="20"/>
        <v/>
      </c>
      <c r="BL32" s="11" t="str">
        <f t="shared" si="21"/>
        <v/>
      </c>
      <c r="BM32" s="19">
        <v>18.8</v>
      </c>
      <c r="BN32" s="19">
        <v>8</v>
      </c>
      <c r="BO32" s="19">
        <v>0.8</v>
      </c>
      <c r="BP32" s="19">
        <v>0</v>
      </c>
      <c r="BQ32" s="19">
        <v>15.2</v>
      </c>
      <c r="BR32" s="19">
        <v>3.2</v>
      </c>
      <c r="BS32" s="19">
        <v>0</v>
      </c>
      <c r="BT32" s="19">
        <v>0</v>
      </c>
      <c r="BU32" s="19"/>
      <c r="BV32" s="19"/>
      <c r="BW32" s="19"/>
      <c r="BX32" s="19"/>
      <c r="BY32" s="19"/>
      <c r="BZ32" s="19"/>
      <c r="CA32" s="19"/>
      <c r="CB32" s="19"/>
      <c r="CC32" s="27"/>
      <c r="CD32" s="40">
        <f t="shared" si="22"/>
        <v>11.2</v>
      </c>
      <c r="CE32" s="40">
        <f t="shared" si="23"/>
        <v>44.400000000000006</v>
      </c>
      <c r="CF32" s="40" t="str">
        <f t="shared" si="24"/>
        <v/>
      </c>
      <c r="CG32" s="40" t="str">
        <f t="shared" si="25"/>
        <v/>
      </c>
      <c r="CH32" s="40">
        <f t="shared" si="26"/>
        <v>44.400000000000006</v>
      </c>
      <c r="CI32" s="50" t="str">
        <f t="shared" si="27"/>
        <v/>
      </c>
      <c r="CJ32" s="50" t="str">
        <f t="shared" si="28"/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 t="shared" si="29"/>
        <v/>
      </c>
      <c r="DF32" s="40" t="str">
        <f t="shared" si="30"/>
        <v/>
      </c>
      <c r="DG32" s="40" t="str">
        <f t="shared" si="31"/>
        <v/>
      </c>
      <c r="DH32" s="40" t="str">
        <f t="shared" si="32"/>
        <v/>
      </c>
      <c r="DI32" s="40" t="str">
        <f t="shared" si="33"/>
        <v/>
      </c>
      <c r="DJ32" s="40" t="str">
        <f t="shared" si="34"/>
        <v/>
      </c>
      <c r="DK32" s="40" t="str">
        <f t="shared" si="35"/>
        <v/>
      </c>
      <c r="DL32" s="40" t="str">
        <f t="shared" si="36"/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 t="shared" si="37"/>
        <v/>
      </c>
      <c r="EH32" s="11" t="str">
        <f t="shared" si="38"/>
        <v/>
      </c>
      <c r="EI32" s="11" t="str">
        <f t="shared" si="39"/>
        <v/>
      </c>
      <c r="EJ32" s="11" t="str">
        <f t="shared" si="40"/>
        <v/>
      </c>
      <c r="EK32" s="11" t="str">
        <f t="shared" si="41"/>
        <v/>
      </c>
      <c r="EL32" s="11" t="str">
        <f t="shared" si="42"/>
        <v/>
      </c>
      <c r="EM32" s="11" t="str">
        <f t="shared" si="43"/>
        <v/>
      </c>
      <c r="EN32" s="11" t="str">
        <f t="shared" si="44"/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 t="shared" si="45"/>
        <v/>
      </c>
      <c r="FJ32" s="40" t="str">
        <f t="shared" si="46"/>
        <v/>
      </c>
      <c r="FK32" s="40" t="str">
        <f t="shared" si="47"/>
        <v/>
      </c>
      <c r="FL32" s="40" t="str">
        <f t="shared" si="48"/>
        <v/>
      </c>
      <c r="FM32" s="40" t="str">
        <f t="shared" si="49"/>
        <v/>
      </c>
      <c r="FN32" s="40" t="str">
        <f t="shared" si="50"/>
        <v/>
      </c>
      <c r="FO32" s="40" t="str">
        <f t="shared" si="51"/>
        <v/>
      </c>
      <c r="FP32" s="40" t="str">
        <f t="shared" si="52"/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 t="shared" si="53"/>
        <v/>
      </c>
      <c r="GL32" s="11" t="str">
        <f t="shared" si="54"/>
        <v/>
      </c>
      <c r="GM32" s="11" t="str">
        <f t="shared" si="55"/>
        <v/>
      </c>
      <c r="GN32" s="11" t="str">
        <f t="shared" si="56"/>
        <v/>
      </c>
      <c r="GO32" s="11" t="str">
        <f t="shared" si="57"/>
        <v/>
      </c>
      <c r="GP32" s="11" t="str">
        <f t="shared" si="58"/>
        <v/>
      </c>
      <c r="GQ32" s="11" t="str">
        <f t="shared" si="59"/>
        <v/>
      </c>
      <c r="GR32" s="11" t="str">
        <f t="shared" si="60"/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 t="shared" si="61"/>
        <v/>
      </c>
      <c r="HN32" s="40" t="str">
        <f t="shared" si="62"/>
        <v/>
      </c>
      <c r="HO32" s="40" t="str">
        <f t="shared" si="63"/>
        <v/>
      </c>
      <c r="HP32" s="40" t="str">
        <f t="shared" si="64"/>
        <v/>
      </c>
      <c r="HQ32" s="40" t="str">
        <f t="shared" si="65"/>
        <v/>
      </c>
      <c r="HR32" s="40" t="str">
        <f t="shared" si="66"/>
        <v/>
      </c>
      <c r="HS32" s="40" t="str">
        <f t="shared" si="67"/>
        <v/>
      </c>
      <c r="HT32" s="40" t="str">
        <f t="shared" si="68"/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 t="shared" si="69"/>
        <v/>
      </c>
      <c r="IP32" s="11" t="str">
        <f t="shared" si="70"/>
        <v/>
      </c>
      <c r="IQ32" s="11" t="str">
        <f t="shared" si="71"/>
        <v/>
      </c>
      <c r="IR32" s="11" t="str">
        <f t="shared" si="72"/>
        <v/>
      </c>
      <c r="IS32" s="11" t="str">
        <f t="shared" si="73"/>
        <v/>
      </c>
      <c r="IT32" s="11" t="str">
        <f t="shared" si="74"/>
        <v/>
      </c>
      <c r="IU32" s="11" t="str">
        <f t="shared" si="75"/>
        <v/>
      </c>
      <c r="IV32" s="11" t="str">
        <f t="shared" si="76"/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 t="shared" si="77"/>
        <v/>
      </c>
      <c r="JR32" s="40" t="str">
        <f t="shared" si="78"/>
        <v/>
      </c>
      <c r="JS32" s="40" t="str">
        <f t="shared" si="79"/>
        <v/>
      </c>
      <c r="JT32" s="40" t="str">
        <f t="shared" si="80"/>
        <v/>
      </c>
      <c r="JU32" s="40" t="str">
        <f t="shared" si="81"/>
        <v/>
      </c>
      <c r="JV32" s="40" t="str">
        <f t="shared" si="82"/>
        <v/>
      </c>
      <c r="JW32" s="40" t="str">
        <f t="shared" si="83"/>
        <v/>
      </c>
      <c r="JX32" s="40" t="str">
        <f t="shared" si="84"/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 t="shared" si="85"/>
        <v/>
      </c>
      <c r="KT32" s="11" t="str">
        <f t="shared" si="86"/>
        <v/>
      </c>
      <c r="KU32" s="11" t="str">
        <f t="shared" si="87"/>
        <v/>
      </c>
      <c r="KV32" s="11" t="str">
        <f t="shared" si="88"/>
        <v/>
      </c>
      <c r="KW32" s="11" t="str">
        <f t="shared" si="89"/>
        <v/>
      </c>
      <c r="KX32" s="11" t="str">
        <f t="shared" si="90"/>
        <v/>
      </c>
      <c r="KY32" s="11" t="str">
        <f t="shared" si="91"/>
        <v/>
      </c>
      <c r="KZ32" s="11" t="str">
        <f t="shared" si="92"/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 t="shared" si="93"/>
        <v/>
      </c>
      <c r="LV32" s="40" t="str">
        <f t="shared" si="94"/>
        <v/>
      </c>
      <c r="LW32" s="40" t="str">
        <f t="shared" si="95"/>
        <v/>
      </c>
      <c r="LX32" s="40" t="str">
        <f t="shared" si="96"/>
        <v/>
      </c>
      <c r="LY32" s="40" t="str">
        <f t="shared" si="97"/>
        <v/>
      </c>
      <c r="LZ32" s="40" t="str">
        <f t="shared" si="98"/>
        <v/>
      </c>
      <c r="MA32" s="40" t="str">
        <f t="shared" si="99"/>
        <v/>
      </c>
      <c r="MB32" s="40" t="str">
        <f t="shared" si="100"/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 t="shared" si="101"/>
        <v/>
      </c>
      <c r="MX32" s="11" t="str">
        <f t="shared" si="102"/>
        <v/>
      </c>
      <c r="MY32" s="11" t="str">
        <f t="shared" si="103"/>
        <v/>
      </c>
      <c r="MZ32" s="11" t="str">
        <f t="shared" si="104"/>
        <v/>
      </c>
      <c r="NA32" s="11" t="str">
        <f t="shared" si="105"/>
        <v/>
      </c>
      <c r="NB32" s="11" t="str">
        <f t="shared" si="106"/>
        <v/>
      </c>
      <c r="NC32" s="11" t="str">
        <f t="shared" si="107"/>
        <v/>
      </c>
      <c r="ND32" s="11" t="str">
        <f t="shared" si="108"/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 t="shared" si="109"/>
        <v/>
      </c>
      <c r="NZ32" s="40" t="str">
        <f t="shared" si="110"/>
        <v/>
      </c>
      <c r="OA32" s="40" t="str">
        <f t="shared" si="111"/>
        <v/>
      </c>
      <c r="OB32" s="40" t="str">
        <f t="shared" si="112"/>
        <v/>
      </c>
      <c r="OC32" s="40" t="str">
        <f t="shared" si="113"/>
        <v/>
      </c>
      <c r="OD32" s="40" t="str">
        <f t="shared" si="114"/>
        <v/>
      </c>
      <c r="OE32" s="40" t="str">
        <f t="shared" si="115"/>
        <v/>
      </c>
      <c r="OF32" s="40" t="str">
        <f t="shared" si="116"/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 t="shared" si="117"/>
        <v/>
      </c>
      <c r="PB32" s="11" t="str">
        <f t="shared" si="118"/>
        <v/>
      </c>
      <c r="PC32" s="11" t="str">
        <f t="shared" si="119"/>
        <v/>
      </c>
      <c r="PD32" s="11" t="str">
        <f t="shared" si="120"/>
        <v/>
      </c>
      <c r="PE32" s="11" t="str">
        <f t="shared" si="121"/>
        <v/>
      </c>
      <c r="PF32" s="11" t="str">
        <f t="shared" si="122"/>
        <v/>
      </c>
      <c r="PG32" s="11" t="str">
        <f t="shared" si="123"/>
        <v/>
      </c>
      <c r="PH32" s="11" t="str">
        <f t="shared" si="124"/>
        <v/>
      </c>
      <c r="PI32" s="22">
        <f t="shared" si="125"/>
        <v>9.4</v>
      </c>
      <c r="PJ32" s="22">
        <f t="shared" si="126"/>
        <v>4</v>
      </c>
      <c r="PK32" s="22">
        <f t="shared" si="127"/>
        <v>0.4</v>
      </c>
      <c r="PL32" s="22">
        <f t="shared" si="128"/>
        <v>0</v>
      </c>
      <c r="PM32" s="22">
        <f t="shared" si="129"/>
        <v>7.6</v>
      </c>
      <c r="PN32" s="22">
        <f t="shared" si="130"/>
        <v>1.6</v>
      </c>
      <c r="PO32" s="22">
        <f t="shared" si="131"/>
        <v>0</v>
      </c>
      <c r="PP32" s="22">
        <f t="shared" si="132"/>
        <v>0</v>
      </c>
      <c r="PQ32" s="22">
        <f t="shared" si="133"/>
        <v>0</v>
      </c>
      <c r="PR32" s="22">
        <f t="shared" si="134"/>
        <v>0</v>
      </c>
      <c r="PS32" s="22">
        <f t="shared" si="135"/>
        <v>0</v>
      </c>
      <c r="PT32" s="22">
        <f t="shared" si="136"/>
        <v>0</v>
      </c>
      <c r="PU32" s="22">
        <f t="shared" si="137"/>
        <v>0</v>
      </c>
      <c r="PV32" s="22">
        <f t="shared" si="138"/>
        <v>0</v>
      </c>
      <c r="PW32" s="22">
        <f t="shared" si="139"/>
        <v>0</v>
      </c>
      <c r="PX32" s="22">
        <f t="shared" si="140"/>
        <v>0</v>
      </c>
      <c r="PY32" s="27" t="s">
        <v>46</v>
      </c>
      <c r="PZ32" s="40">
        <f t="shared" si="141"/>
        <v>5.6</v>
      </c>
      <c r="QA32" s="40">
        <f t="shared" si="142"/>
        <v>22.200000000000003</v>
      </c>
      <c r="QB32" s="40" t="str">
        <f t="shared" si="143"/>
        <v/>
      </c>
      <c r="QC32" s="40" t="str">
        <f t="shared" si="144"/>
        <v/>
      </c>
      <c r="QD32" s="40">
        <f t="shared" si="145"/>
        <v>22.200000000000003</v>
      </c>
    </row>
    <row r="33" spans="1:446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141</v>
      </c>
      <c r="D33" s="4" t="s">
        <v>3</v>
      </c>
      <c r="E33" s="4">
        <v>2006</v>
      </c>
      <c r="F33" s="9">
        <f t="shared" si="0"/>
        <v>90.200004720004713</v>
      </c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IF(COUNT(AM33,BI33,CE33)&gt;0,LARGE((AM33,BI33,CE33),1),0)</f>
        <v>47.199999999999996</v>
      </c>
      <c r="M33" s="8" t="str">
        <f t="shared" si="5"/>
        <v>2025 Nationals</v>
      </c>
      <c r="N33" s="8">
        <f>IF(COUNT(AM33,BI33,CE33)&gt;1,LARGE((AM33,BI33,CE33),2),0)</f>
        <v>0</v>
      </c>
      <c r="O33" s="8" t="str">
        <f t="shared" si="6"/>
        <v/>
      </c>
      <c r="P33" s="8">
        <f t="shared" si="7"/>
        <v>43</v>
      </c>
      <c r="Q33" s="8" t="str">
        <f t="shared" si="8"/>
        <v>2025 Nationals</v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27"/>
      <c r="AL33" s="40" t="str">
        <f t="shared" si="12"/>
        <v/>
      </c>
      <c r="AM33" s="40" t="str">
        <f t="shared" si="13"/>
        <v/>
      </c>
      <c r="AN33" s="40" t="str">
        <f t="shared" si="14"/>
        <v/>
      </c>
      <c r="AO33" s="40" t="str">
        <f t="shared" si="15"/>
        <v/>
      </c>
      <c r="AP33" s="40" t="str">
        <f t="shared" si="16"/>
        <v/>
      </c>
      <c r="AQ33" s="18">
        <v>18.2</v>
      </c>
      <c r="AR33" s="18">
        <v>5.2</v>
      </c>
      <c r="AS33" s="18">
        <v>0.2</v>
      </c>
      <c r="AT33" s="18">
        <v>0</v>
      </c>
      <c r="AU33" s="18">
        <v>18.399999999999999</v>
      </c>
      <c r="AV33" s="18">
        <v>5.6</v>
      </c>
      <c r="AW33" s="18">
        <v>0</v>
      </c>
      <c r="AX33" s="18">
        <v>0</v>
      </c>
      <c r="AY33" s="18">
        <v>18.3</v>
      </c>
      <c r="AZ33" s="18">
        <v>5.2</v>
      </c>
      <c r="BA33" s="18">
        <v>0</v>
      </c>
      <c r="BB33" s="18">
        <v>0</v>
      </c>
      <c r="BC33" s="18">
        <v>18.5</v>
      </c>
      <c r="BD33" s="18">
        <v>2</v>
      </c>
      <c r="BE33" s="18">
        <v>1</v>
      </c>
      <c r="BF33" s="18">
        <v>0</v>
      </c>
      <c r="BG33" s="28"/>
      <c r="BH33" s="11">
        <f t="shared" si="17"/>
        <v>10.8</v>
      </c>
      <c r="BI33" s="11">
        <f t="shared" si="18"/>
        <v>47.199999999999996</v>
      </c>
      <c r="BJ33" s="11">
        <f t="shared" si="19"/>
        <v>7.2</v>
      </c>
      <c r="BK33" s="11">
        <f t="shared" si="20"/>
        <v>43</v>
      </c>
      <c r="BL33" s="11">
        <f t="shared" si="21"/>
        <v>90.199999999999989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 t="shared" si="22"/>
        <v/>
      </c>
      <c r="CE33" s="40" t="str">
        <f t="shared" si="23"/>
        <v/>
      </c>
      <c r="CF33" s="40" t="str">
        <f t="shared" si="24"/>
        <v/>
      </c>
      <c r="CG33" s="40" t="str">
        <f t="shared" si="25"/>
        <v/>
      </c>
      <c r="CH33" s="40" t="str">
        <f t="shared" si="26"/>
        <v/>
      </c>
      <c r="CI33" s="50" t="str">
        <f t="shared" si="27"/>
        <v/>
      </c>
      <c r="CJ33" s="50" t="str">
        <f t="shared" si="28"/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 t="shared" si="29"/>
        <v/>
      </c>
      <c r="DF33" s="40" t="str">
        <f t="shared" si="30"/>
        <v/>
      </c>
      <c r="DG33" s="40" t="str">
        <f t="shared" si="31"/>
        <v/>
      </c>
      <c r="DH33" s="40" t="str">
        <f t="shared" si="32"/>
        <v/>
      </c>
      <c r="DI33" s="40" t="str">
        <f t="shared" si="33"/>
        <v/>
      </c>
      <c r="DJ33" s="40" t="str">
        <f t="shared" si="34"/>
        <v/>
      </c>
      <c r="DK33" s="40" t="str">
        <f t="shared" si="35"/>
        <v/>
      </c>
      <c r="DL33" s="40" t="str">
        <f t="shared" si="36"/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 t="shared" si="37"/>
        <v/>
      </c>
      <c r="EH33" s="11" t="str">
        <f t="shared" si="38"/>
        <v/>
      </c>
      <c r="EI33" s="11" t="str">
        <f t="shared" si="39"/>
        <v/>
      </c>
      <c r="EJ33" s="11" t="str">
        <f t="shared" si="40"/>
        <v/>
      </c>
      <c r="EK33" s="11" t="str">
        <f t="shared" si="41"/>
        <v/>
      </c>
      <c r="EL33" s="11" t="str">
        <f t="shared" si="42"/>
        <v/>
      </c>
      <c r="EM33" s="11" t="str">
        <f t="shared" si="43"/>
        <v/>
      </c>
      <c r="EN33" s="11" t="str">
        <f t="shared" si="44"/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 t="shared" si="45"/>
        <v/>
      </c>
      <c r="FJ33" s="40" t="str">
        <f t="shared" si="46"/>
        <v/>
      </c>
      <c r="FK33" s="40" t="str">
        <f t="shared" si="47"/>
        <v/>
      </c>
      <c r="FL33" s="40" t="str">
        <f t="shared" si="48"/>
        <v/>
      </c>
      <c r="FM33" s="40" t="str">
        <f t="shared" si="49"/>
        <v/>
      </c>
      <c r="FN33" s="40" t="str">
        <f t="shared" si="50"/>
        <v/>
      </c>
      <c r="FO33" s="40" t="str">
        <f t="shared" si="51"/>
        <v/>
      </c>
      <c r="FP33" s="40" t="str">
        <f t="shared" si="52"/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 t="shared" si="53"/>
        <v/>
      </c>
      <c r="GL33" s="11" t="str">
        <f t="shared" si="54"/>
        <v/>
      </c>
      <c r="GM33" s="11" t="str">
        <f t="shared" si="55"/>
        <v/>
      </c>
      <c r="GN33" s="11" t="str">
        <f t="shared" si="56"/>
        <v/>
      </c>
      <c r="GO33" s="11" t="str">
        <f t="shared" si="57"/>
        <v/>
      </c>
      <c r="GP33" s="11" t="str">
        <f t="shared" si="58"/>
        <v/>
      </c>
      <c r="GQ33" s="11" t="str">
        <f t="shared" si="59"/>
        <v/>
      </c>
      <c r="GR33" s="11" t="str">
        <f t="shared" si="60"/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 t="shared" si="61"/>
        <v/>
      </c>
      <c r="HN33" s="40" t="str">
        <f t="shared" si="62"/>
        <v/>
      </c>
      <c r="HO33" s="40" t="str">
        <f t="shared" si="63"/>
        <v/>
      </c>
      <c r="HP33" s="40" t="str">
        <f t="shared" si="64"/>
        <v/>
      </c>
      <c r="HQ33" s="40" t="str">
        <f t="shared" si="65"/>
        <v/>
      </c>
      <c r="HR33" s="40" t="str">
        <f t="shared" si="66"/>
        <v/>
      </c>
      <c r="HS33" s="40" t="str">
        <f t="shared" si="67"/>
        <v/>
      </c>
      <c r="HT33" s="40" t="str">
        <f t="shared" si="68"/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 t="shared" si="69"/>
        <v/>
      </c>
      <c r="IP33" s="11" t="str">
        <f t="shared" si="70"/>
        <v/>
      </c>
      <c r="IQ33" s="11" t="str">
        <f t="shared" si="71"/>
        <v/>
      </c>
      <c r="IR33" s="11" t="str">
        <f t="shared" si="72"/>
        <v/>
      </c>
      <c r="IS33" s="11" t="str">
        <f t="shared" si="73"/>
        <v/>
      </c>
      <c r="IT33" s="11" t="str">
        <f t="shared" si="74"/>
        <v/>
      </c>
      <c r="IU33" s="11" t="str">
        <f t="shared" si="75"/>
        <v/>
      </c>
      <c r="IV33" s="11" t="str">
        <f t="shared" si="76"/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 t="shared" si="77"/>
        <v/>
      </c>
      <c r="JR33" s="40" t="str">
        <f t="shared" si="78"/>
        <v/>
      </c>
      <c r="JS33" s="40" t="str">
        <f t="shared" si="79"/>
        <v/>
      </c>
      <c r="JT33" s="40" t="str">
        <f t="shared" si="80"/>
        <v/>
      </c>
      <c r="JU33" s="40" t="str">
        <f t="shared" si="81"/>
        <v/>
      </c>
      <c r="JV33" s="40" t="str">
        <f t="shared" si="82"/>
        <v/>
      </c>
      <c r="JW33" s="40" t="str">
        <f t="shared" si="83"/>
        <v/>
      </c>
      <c r="JX33" s="40" t="str">
        <f t="shared" si="84"/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 t="shared" si="85"/>
        <v/>
      </c>
      <c r="KT33" s="11" t="str">
        <f t="shared" si="86"/>
        <v/>
      </c>
      <c r="KU33" s="11" t="str">
        <f t="shared" si="87"/>
        <v/>
      </c>
      <c r="KV33" s="11" t="str">
        <f t="shared" si="88"/>
        <v/>
      </c>
      <c r="KW33" s="11" t="str">
        <f t="shared" si="89"/>
        <v/>
      </c>
      <c r="KX33" s="11" t="str">
        <f t="shared" si="90"/>
        <v/>
      </c>
      <c r="KY33" s="11" t="str">
        <f t="shared" si="91"/>
        <v/>
      </c>
      <c r="KZ33" s="11" t="str">
        <f t="shared" si="92"/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 t="shared" si="93"/>
        <v/>
      </c>
      <c r="LV33" s="40" t="str">
        <f t="shared" si="94"/>
        <v/>
      </c>
      <c r="LW33" s="40" t="str">
        <f t="shared" si="95"/>
        <v/>
      </c>
      <c r="LX33" s="40" t="str">
        <f t="shared" si="96"/>
        <v/>
      </c>
      <c r="LY33" s="40" t="str">
        <f t="shared" si="97"/>
        <v/>
      </c>
      <c r="LZ33" s="40" t="str">
        <f t="shared" si="98"/>
        <v/>
      </c>
      <c r="MA33" s="40" t="str">
        <f t="shared" si="99"/>
        <v/>
      </c>
      <c r="MB33" s="40" t="str">
        <f t="shared" si="100"/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 t="shared" si="101"/>
        <v/>
      </c>
      <c r="MX33" s="11" t="str">
        <f t="shared" si="102"/>
        <v/>
      </c>
      <c r="MY33" s="11" t="str">
        <f t="shared" si="103"/>
        <v/>
      </c>
      <c r="MZ33" s="11" t="str">
        <f t="shared" si="104"/>
        <v/>
      </c>
      <c r="NA33" s="11" t="str">
        <f t="shared" si="105"/>
        <v/>
      </c>
      <c r="NB33" s="11" t="str">
        <f t="shared" si="106"/>
        <v/>
      </c>
      <c r="NC33" s="11" t="str">
        <f t="shared" si="107"/>
        <v/>
      </c>
      <c r="ND33" s="11" t="str">
        <f t="shared" si="108"/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 t="shared" si="109"/>
        <v/>
      </c>
      <c r="NZ33" s="40" t="str">
        <f t="shared" si="110"/>
        <v/>
      </c>
      <c r="OA33" s="40" t="str">
        <f t="shared" si="111"/>
        <v/>
      </c>
      <c r="OB33" s="40" t="str">
        <f t="shared" si="112"/>
        <v/>
      </c>
      <c r="OC33" s="40" t="str">
        <f t="shared" si="113"/>
        <v/>
      </c>
      <c r="OD33" s="40" t="str">
        <f t="shared" si="114"/>
        <v/>
      </c>
      <c r="OE33" s="40" t="str">
        <f t="shared" si="115"/>
        <v/>
      </c>
      <c r="OF33" s="40" t="str">
        <f t="shared" si="116"/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 t="shared" si="117"/>
        <v/>
      </c>
      <c r="PB33" s="11" t="str">
        <f t="shared" si="118"/>
        <v/>
      </c>
      <c r="PC33" s="11" t="str">
        <f t="shared" si="119"/>
        <v/>
      </c>
      <c r="PD33" s="11" t="str">
        <f t="shared" si="120"/>
        <v/>
      </c>
      <c r="PE33" s="11" t="str">
        <f t="shared" si="121"/>
        <v/>
      </c>
      <c r="PF33" s="11" t="str">
        <f t="shared" si="122"/>
        <v/>
      </c>
      <c r="PG33" s="11" t="str">
        <f t="shared" si="123"/>
        <v/>
      </c>
      <c r="PH33" s="11" t="str">
        <f t="shared" si="124"/>
        <v/>
      </c>
      <c r="PI33" s="22">
        <f t="shared" si="125"/>
        <v>9.1</v>
      </c>
      <c r="PJ33" s="22">
        <f t="shared" si="126"/>
        <v>2.6</v>
      </c>
      <c r="PK33" s="22">
        <f t="shared" si="127"/>
        <v>0.1</v>
      </c>
      <c r="PL33" s="22">
        <f t="shared" si="128"/>
        <v>0</v>
      </c>
      <c r="PM33" s="22">
        <f t="shared" si="129"/>
        <v>9.1999999999999993</v>
      </c>
      <c r="PN33" s="22">
        <f t="shared" si="130"/>
        <v>2.8</v>
      </c>
      <c r="PO33" s="22">
        <f t="shared" si="131"/>
        <v>0</v>
      </c>
      <c r="PP33" s="22">
        <f t="shared" si="132"/>
        <v>0</v>
      </c>
      <c r="PQ33" s="22">
        <f t="shared" si="133"/>
        <v>9.15</v>
      </c>
      <c r="PR33" s="22">
        <f t="shared" si="134"/>
        <v>2.6</v>
      </c>
      <c r="PS33" s="22">
        <f t="shared" si="135"/>
        <v>0</v>
      </c>
      <c r="PT33" s="22">
        <f t="shared" si="136"/>
        <v>0</v>
      </c>
      <c r="PU33" s="22">
        <f t="shared" si="137"/>
        <v>9.25</v>
      </c>
      <c r="PV33" s="22">
        <f t="shared" si="138"/>
        <v>1</v>
      </c>
      <c r="PW33" s="22">
        <f t="shared" si="139"/>
        <v>0.5</v>
      </c>
      <c r="PX33" s="22">
        <f t="shared" si="140"/>
        <v>0</v>
      </c>
      <c r="PY33" s="27" t="s">
        <v>46</v>
      </c>
      <c r="PZ33" s="40">
        <f t="shared" si="141"/>
        <v>5.4</v>
      </c>
      <c r="QA33" s="40">
        <f t="shared" si="142"/>
        <v>23.599999999999998</v>
      </c>
      <c r="QB33" s="40">
        <f t="shared" si="143"/>
        <v>3.6</v>
      </c>
      <c r="QC33" s="40">
        <f t="shared" si="144"/>
        <v>21.5</v>
      </c>
      <c r="QD33" s="40">
        <f t="shared" si="145"/>
        <v>45.099999999999994</v>
      </c>
    </row>
    <row r="34" spans="1:446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93</v>
      </c>
      <c r="D34" s="4" t="s">
        <v>87</v>
      </c>
      <c r="E34" s="4">
        <v>2005</v>
      </c>
      <c r="F34" s="9">
        <f t="shared" si="0"/>
        <v>88.500008850004505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IF(COUNT(AM34,BI34,CE34)&gt;0,LARGE((AM34,BI34,CE34),1),0)</f>
        <v>45.1</v>
      </c>
      <c r="M34" s="8" t="str">
        <f t="shared" si="5"/>
        <v>2025 3rd Domestic Trial</v>
      </c>
      <c r="N34" s="8">
        <f>IF(COUNT(AM34,BI34,CE34)&gt;1,LARGE((AM34,BI34,CE34),2),0)</f>
        <v>43.4</v>
      </c>
      <c r="O34" s="8" t="str">
        <f t="shared" si="6"/>
        <v>2025 Elite Canada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>
        <v>15.4</v>
      </c>
      <c r="V34" s="19">
        <v>2.8</v>
      </c>
      <c r="W34" s="19">
        <v>0</v>
      </c>
      <c r="X34" s="19">
        <v>0</v>
      </c>
      <c r="Y34" s="19">
        <v>18.2</v>
      </c>
      <c r="Z34" s="19">
        <v>7.2</v>
      </c>
      <c r="AA34" s="19">
        <v>0.2</v>
      </c>
      <c r="AB34" s="19">
        <v>0</v>
      </c>
      <c r="AC34" s="19"/>
      <c r="AD34" s="19"/>
      <c r="AE34" s="19"/>
      <c r="AF34" s="19"/>
      <c r="AG34" s="19"/>
      <c r="AH34" s="19"/>
      <c r="AI34" s="19"/>
      <c r="AJ34" s="19"/>
      <c r="AK34" s="27"/>
      <c r="AL34" s="40">
        <f t="shared" si="12"/>
        <v>10</v>
      </c>
      <c r="AM34" s="40">
        <f t="shared" si="13"/>
        <v>43.4</v>
      </c>
      <c r="AN34" s="40" t="str">
        <f t="shared" si="14"/>
        <v/>
      </c>
      <c r="AO34" s="40" t="str">
        <f t="shared" si="15"/>
        <v/>
      </c>
      <c r="AP34" s="40">
        <f t="shared" si="16"/>
        <v>43.4</v>
      </c>
      <c r="AQ34" s="18">
        <v>16.7</v>
      </c>
      <c r="AR34" s="18">
        <v>8</v>
      </c>
      <c r="AS34" s="18">
        <v>0.2</v>
      </c>
      <c r="AT34" s="18">
        <v>0.3</v>
      </c>
      <c r="AU34" s="18">
        <v>15.2</v>
      </c>
      <c r="AV34" s="18">
        <v>3.2</v>
      </c>
      <c r="AW34" s="18">
        <v>0</v>
      </c>
      <c r="AX34" s="18">
        <v>0</v>
      </c>
      <c r="AY34" s="18"/>
      <c r="AZ34" s="18"/>
      <c r="BA34" s="18"/>
      <c r="BB34" s="18"/>
      <c r="BC34" s="18"/>
      <c r="BD34" s="18"/>
      <c r="BE34" s="18"/>
      <c r="BF34" s="18"/>
      <c r="BG34" s="28"/>
      <c r="BH34" s="11">
        <f t="shared" si="17"/>
        <v>11.2</v>
      </c>
      <c r="BI34" s="11">
        <f t="shared" si="18"/>
        <v>43.2</v>
      </c>
      <c r="BJ34" s="11" t="str">
        <f t="shared" si="19"/>
        <v/>
      </c>
      <c r="BK34" s="11" t="str">
        <f t="shared" si="20"/>
        <v/>
      </c>
      <c r="BL34" s="11">
        <f t="shared" si="21"/>
        <v>43.2</v>
      </c>
      <c r="BM34" s="19">
        <v>18.8</v>
      </c>
      <c r="BN34" s="19">
        <v>8</v>
      </c>
      <c r="BO34" s="19">
        <v>0.2</v>
      </c>
      <c r="BP34" s="19">
        <v>0</v>
      </c>
      <c r="BQ34" s="19">
        <v>15.3</v>
      </c>
      <c r="BR34" s="19">
        <v>3.2</v>
      </c>
      <c r="BS34" s="19">
        <v>0</v>
      </c>
      <c r="BT34" s="19">
        <v>0</v>
      </c>
      <c r="BU34" s="19"/>
      <c r="BV34" s="19"/>
      <c r="BW34" s="19"/>
      <c r="BX34" s="19"/>
      <c r="BY34" s="19"/>
      <c r="BZ34" s="19"/>
      <c r="CA34" s="19"/>
      <c r="CB34" s="19"/>
      <c r="CC34" s="27"/>
      <c r="CD34" s="40">
        <f t="shared" si="22"/>
        <v>11.2</v>
      </c>
      <c r="CE34" s="40">
        <f t="shared" si="23"/>
        <v>45.1</v>
      </c>
      <c r="CF34" s="40" t="str">
        <f t="shared" si="24"/>
        <v/>
      </c>
      <c r="CG34" s="40" t="str">
        <f t="shared" si="25"/>
        <v/>
      </c>
      <c r="CH34" s="40">
        <f t="shared" si="26"/>
        <v>45.1</v>
      </c>
      <c r="CI34" s="50" t="str">
        <f t="shared" si="27"/>
        <v/>
      </c>
      <c r="CJ34" s="50" t="str">
        <f t="shared" si="28"/>
        <v/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40" t="str">
        <f t="shared" si="29"/>
        <v/>
      </c>
      <c r="DF34" s="40" t="str">
        <f t="shared" si="30"/>
        <v/>
      </c>
      <c r="DG34" s="40" t="str">
        <f t="shared" si="31"/>
        <v/>
      </c>
      <c r="DH34" s="40" t="str">
        <f t="shared" si="32"/>
        <v/>
      </c>
      <c r="DI34" s="40" t="str">
        <f t="shared" si="33"/>
        <v/>
      </c>
      <c r="DJ34" s="40" t="str">
        <f t="shared" si="34"/>
        <v/>
      </c>
      <c r="DK34" s="40" t="str">
        <f t="shared" si="35"/>
        <v/>
      </c>
      <c r="DL34" s="40" t="str">
        <f t="shared" si="36"/>
        <v/>
      </c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1" t="str">
        <f t="shared" si="37"/>
        <v/>
      </c>
      <c r="EH34" s="11" t="str">
        <f t="shared" si="38"/>
        <v/>
      </c>
      <c r="EI34" s="11" t="str">
        <f t="shared" si="39"/>
        <v/>
      </c>
      <c r="EJ34" s="11" t="str">
        <f t="shared" si="40"/>
        <v/>
      </c>
      <c r="EK34" s="11" t="str">
        <f t="shared" si="41"/>
        <v/>
      </c>
      <c r="EL34" s="11" t="str">
        <f t="shared" si="42"/>
        <v/>
      </c>
      <c r="EM34" s="11" t="str">
        <f t="shared" si="43"/>
        <v/>
      </c>
      <c r="EN34" s="11" t="str">
        <f t="shared" si="44"/>
        <v/>
      </c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40" t="str">
        <f t="shared" si="45"/>
        <v/>
      </c>
      <c r="FJ34" s="40" t="str">
        <f t="shared" si="46"/>
        <v/>
      </c>
      <c r="FK34" s="40" t="str">
        <f t="shared" si="47"/>
        <v/>
      </c>
      <c r="FL34" s="40" t="str">
        <f t="shared" si="48"/>
        <v/>
      </c>
      <c r="FM34" s="40" t="str">
        <f t="shared" si="49"/>
        <v/>
      </c>
      <c r="FN34" s="40" t="str">
        <f t="shared" si="50"/>
        <v/>
      </c>
      <c r="FO34" s="40" t="str">
        <f t="shared" si="51"/>
        <v/>
      </c>
      <c r="FP34" s="40" t="str">
        <f t="shared" si="52"/>
        <v/>
      </c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1" t="str">
        <f t="shared" si="53"/>
        <v/>
      </c>
      <c r="GL34" s="11" t="str">
        <f t="shared" si="54"/>
        <v/>
      </c>
      <c r="GM34" s="11" t="str">
        <f t="shared" si="55"/>
        <v/>
      </c>
      <c r="GN34" s="11" t="str">
        <f t="shared" si="56"/>
        <v/>
      </c>
      <c r="GO34" s="11" t="str">
        <f t="shared" si="57"/>
        <v/>
      </c>
      <c r="GP34" s="11" t="str">
        <f t="shared" si="58"/>
        <v/>
      </c>
      <c r="GQ34" s="11" t="str">
        <f t="shared" si="59"/>
        <v/>
      </c>
      <c r="GR34" s="11" t="str">
        <f t="shared" si="60"/>
        <v/>
      </c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40" t="str">
        <f t="shared" si="61"/>
        <v/>
      </c>
      <c r="HN34" s="40" t="str">
        <f t="shared" si="62"/>
        <v/>
      </c>
      <c r="HO34" s="40" t="str">
        <f t="shared" si="63"/>
        <v/>
      </c>
      <c r="HP34" s="40" t="str">
        <f t="shared" si="64"/>
        <v/>
      </c>
      <c r="HQ34" s="40" t="str">
        <f t="shared" si="65"/>
        <v/>
      </c>
      <c r="HR34" s="40" t="str">
        <f t="shared" si="66"/>
        <v/>
      </c>
      <c r="HS34" s="40" t="str">
        <f t="shared" si="67"/>
        <v/>
      </c>
      <c r="HT34" s="40" t="str">
        <f t="shared" si="68"/>
        <v/>
      </c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1" t="str">
        <f t="shared" si="69"/>
        <v/>
      </c>
      <c r="IP34" s="11" t="str">
        <f t="shared" si="70"/>
        <v/>
      </c>
      <c r="IQ34" s="11" t="str">
        <f t="shared" si="71"/>
        <v/>
      </c>
      <c r="IR34" s="11" t="str">
        <f t="shared" si="72"/>
        <v/>
      </c>
      <c r="IS34" s="11" t="str">
        <f t="shared" si="73"/>
        <v/>
      </c>
      <c r="IT34" s="11" t="str">
        <f t="shared" si="74"/>
        <v/>
      </c>
      <c r="IU34" s="11" t="str">
        <f t="shared" si="75"/>
        <v/>
      </c>
      <c r="IV34" s="11" t="str">
        <f t="shared" si="76"/>
        <v/>
      </c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40" t="str">
        <f t="shared" si="77"/>
        <v/>
      </c>
      <c r="JR34" s="40" t="str">
        <f t="shared" si="78"/>
        <v/>
      </c>
      <c r="JS34" s="40" t="str">
        <f t="shared" si="79"/>
        <v/>
      </c>
      <c r="JT34" s="40" t="str">
        <f t="shared" si="80"/>
        <v/>
      </c>
      <c r="JU34" s="40" t="str">
        <f t="shared" si="81"/>
        <v/>
      </c>
      <c r="JV34" s="40" t="str">
        <f t="shared" si="82"/>
        <v/>
      </c>
      <c r="JW34" s="40" t="str">
        <f t="shared" si="83"/>
        <v/>
      </c>
      <c r="JX34" s="40" t="str">
        <f t="shared" si="84"/>
        <v/>
      </c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1" t="str">
        <f t="shared" si="85"/>
        <v/>
      </c>
      <c r="KT34" s="11" t="str">
        <f t="shared" si="86"/>
        <v/>
      </c>
      <c r="KU34" s="11" t="str">
        <f t="shared" si="87"/>
        <v/>
      </c>
      <c r="KV34" s="11" t="str">
        <f t="shared" si="88"/>
        <v/>
      </c>
      <c r="KW34" s="11" t="str">
        <f t="shared" si="89"/>
        <v/>
      </c>
      <c r="KX34" s="11" t="str">
        <f t="shared" si="90"/>
        <v/>
      </c>
      <c r="KY34" s="11" t="str">
        <f t="shared" si="91"/>
        <v/>
      </c>
      <c r="KZ34" s="11" t="str">
        <f t="shared" si="92"/>
        <v/>
      </c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40" t="str">
        <f t="shared" si="93"/>
        <v/>
      </c>
      <c r="LV34" s="40" t="str">
        <f t="shared" si="94"/>
        <v/>
      </c>
      <c r="LW34" s="40" t="str">
        <f t="shared" si="95"/>
        <v/>
      </c>
      <c r="LX34" s="40" t="str">
        <f t="shared" si="96"/>
        <v/>
      </c>
      <c r="LY34" s="40" t="str">
        <f t="shared" si="97"/>
        <v/>
      </c>
      <c r="LZ34" s="40" t="str">
        <f t="shared" si="98"/>
        <v/>
      </c>
      <c r="MA34" s="40" t="str">
        <f t="shared" si="99"/>
        <v/>
      </c>
      <c r="MB34" s="40" t="str">
        <f t="shared" si="100"/>
        <v/>
      </c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1" t="str">
        <f t="shared" si="101"/>
        <v/>
      </c>
      <c r="MX34" s="11" t="str">
        <f t="shared" si="102"/>
        <v/>
      </c>
      <c r="MY34" s="11" t="str">
        <f t="shared" si="103"/>
        <v/>
      </c>
      <c r="MZ34" s="11" t="str">
        <f t="shared" si="104"/>
        <v/>
      </c>
      <c r="NA34" s="11" t="str">
        <f t="shared" si="105"/>
        <v/>
      </c>
      <c r="NB34" s="11" t="str">
        <f t="shared" si="106"/>
        <v/>
      </c>
      <c r="NC34" s="11" t="str">
        <f t="shared" si="107"/>
        <v/>
      </c>
      <c r="ND34" s="11" t="str">
        <f t="shared" si="108"/>
        <v/>
      </c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40" t="str">
        <f t="shared" si="109"/>
        <v/>
      </c>
      <c r="NZ34" s="40" t="str">
        <f t="shared" si="110"/>
        <v/>
      </c>
      <c r="OA34" s="40" t="str">
        <f t="shared" si="111"/>
        <v/>
      </c>
      <c r="OB34" s="40" t="str">
        <f t="shared" si="112"/>
        <v/>
      </c>
      <c r="OC34" s="40" t="str">
        <f t="shared" si="113"/>
        <v/>
      </c>
      <c r="OD34" s="40" t="str">
        <f t="shared" si="114"/>
        <v/>
      </c>
      <c r="OE34" s="40" t="str">
        <f t="shared" si="115"/>
        <v/>
      </c>
      <c r="OF34" s="40" t="str">
        <f t="shared" si="116"/>
        <v/>
      </c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1" t="str">
        <f t="shared" si="117"/>
        <v/>
      </c>
      <c r="PB34" s="11" t="str">
        <f t="shared" si="118"/>
        <v/>
      </c>
      <c r="PC34" s="11" t="str">
        <f t="shared" si="119"/>
        <v/>
      </c>
      <c r="PD34" s="11" t="str">
        <f t="shared" si="120"/>
        <v/>
      </c>
      <c r="PE34" s="11" t="str">
        <f t="shared" si="121"/>
        <v/>
      </c>
      <c r="PF34" s="11" t="str">
        <f t="shared" si="122"/>
        <v/>
      </c>
      <c r="PG34" s="11" t="str">
        <f t="shared" si="123"/>
        <v/>
      </c>
      <c r="PH34" s="11" t="str">
        <f t="shared" si="124"/>
        <v/>
      </c>
      <c r="PI34" s="22">
        <f t="shared" si="125"/>
        <v>17.75</v>
      </c>
      <c r="PJ34" s="22">
        <f t="shared" si="126"/>
        <v>8</v>
      </c>
      <c r="PK34" s="22">
        <f t="shared" si="127"/>
        <v>0.2</v>
      </c>
      <c r="PL34" s="22">
        <f t="shared" si="128"/>
        <v>0.15</v>
      </c>
      <c r="PM34" s="22">
        <f t="shared" si="129"/>
        <v>15.25</v>
      </c>
      <c r="PN34" s="22">
        <f t="shared" si="130"/>
        <v>3.2</v>
      </c>
      <c r="PO34" s="22">
        <f t="shared" si="131"/>
        <v>0</v>
      </c>
      <c r="PP34" s="22">
        <f t="shared" si="132"/>
        <v>0</v>
      </c>
      <c r="PQ34" s="22">
        <f t="shared" si="133"/>
        <v>0</v>
      </c>
      <c r="PR34" s="22">
        <f t="shared" si="134"/>
        <v>0</v>
      </c>
      <c r="PS34" s="22">
        <f t="shared" si="135"/>
        <v>0</v>
      </c>
      <c r="PT34" s="22">
        <f t="shared" si="136"/>
        <v>0</v>
      </c>
      <c r="PU34" s="22">
        <f t="shared" si="137"/>
        <v>0</v>
      </c>
      <c r="PV34" s="22">
        <f t="shared" si="138"/>
        <v>0</v>
      </c>
      <c r="PW34" s="22">
        <f t="shared" si="139"/>
        <v>0</v>
      </c>
      <c r="PX34" s="22">
        <f t="shared" si="140"/>
        <v>0</v>
      </c>
      <c r="PY34" s="27" t="s">
        <v>46</v>
      </c>
      <c r="PZ34" s="40">
        <f t="shared" si="141"/>
        <v>11.2</v>
      </c>
      <c r="QA34" s="40">
        <f t="shared" si="142"/>
        <v>44.15</v>
      </c>
      <c r="QB34" s="40" t="str">
        <f t="shared" si="143"/>
        <v/>
      </c>
      <c r="QC34" s="40" t="str">
        <f t="shared" si="144"/>
        <v/>
      </c>
      <c r="QD34" s="40">
        <f t="shared" si="145"/>
        <v>44.15</v>
      </c>
    </row>
    <row r="35" spans="1:446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175</v>
      </c>
      <c r="D35" s="4" t="s">
        <v>3</v>
      </c>
      <c r="E35" s="4">
        <v>2006</v>
      </c>
      <c r="F35" s="9">
        <f t="shared" si="0"/>
        <v>87.800004530004543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IF(COUNT(AM35,BI35,CE35)&gt;0,LARGE((AM35,BI35,CE35),1),0)</f>
        <v>45.300000000000011</v>
      </c>
      <c r="M35" s="8" t="str">
        <f t="shared" si="5"/>
        <v>2025 Nationals</v>
      </c>
      <c r="N35" s="8">
        <f>IF(COUNT(AM35,BI35,CE35)&gt;1,LARGE((AM35,BI35,CE35),2),0)</f>
        <v>0</v>
      </c>
      <c r="O35" s="8" t="str">
        <f t="shared" si="6"/>
        <v/>
      </c>
      <c r="P35" s="8">
        <f t="shared" si="7"/>
        <v>42.5</v>
      </c>
      <c r="Q35" s="8" t="str">
        <f t="shared" si="8"/>
        <v>2025 Nationals</v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27"/>
      <c r="AL35" s="40" t="str">
        <f t="shared" si="12"/>
        <v/>
      </c>
      <c r="AM35" s="40" t="str">
        <f t="shared" si="13"/>
        <v/>
      </c>
      <c r="AN35" s="40" t="str">
        <f t="shared" si="14"/>
        <v/>
      </c>
      <c r="AO35" s="40" t="str">
        <f t="shared" si="15"/>
        <v/>
      </c>
      <c r="AP35" s="40" t="str">
        <f t="shared" si="16"/>
        <v/>
      </c>
      <c r="AQ35" s="18">
        <v>18.3</v>
      </c>
      <c r="AR35" s="18">
        <v>5.2</v>
      </c>
      <c r="AS35" s="18">
        <v>0.8</v>
      </c>
      <c r="AT35" s="18">
        <v>0</v>
      </c>
      <c r="AU35" s="18">
        <v>18.2</v>
      </c>
      <c r="AV35" s="18">
        <v>5.2</v>
      </c>
      <c r="AW35" s="18">
        <v>0.8</v>
      </c>
      <c r="AX35" s="18">
        <v>0</v>
      </c>
      <c r="AY35" s="18">
        <v>18.600000000000001</v>
      </c>
      <c r="AZ35" s="18">
        <v>5.2</v>
      </c>
      <c r="BA35" s="18">
        <v>0.2</v>
      </c>
      <c r="BB35" s="18">
        <v>0</v>
      </c>
      <c r="BC35" s="18">
        <v>18.3</v>
      </c>
      <c r="BD35" s="18">
        <v>2.4</v>
      </c>
      <c r="BE35" s="18">
        <v>1.8</v>
      </c>
      <c r="BF35" s="18">
        <v>0</v>
      </c>
      <c r="BG35" s="28"/>
      <c r="BH35" s="11">
        <f t="shared" si="17"/>
        <v>10.4</v>
      </c>
      <c r="BI35" s="11">
        <f t="shared" si="18"/>
        <v>45.300000000000011</v>
      </c>
      <c r="BJ35" s="11">
        <f t="shared" si="19"/>
        <v>7.6</v>
      </c>
      <c r="BK35" s="11">
        <f t="shared" si="20"/>
        <v>42.5</v>
      </c>
      <c r="BL35" s="11">
        <f t="shared" si="21"/>
        <v>87.800000000000011</v>
      </c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27"/>
      <c r="CD35" s="40" t="str">
        <f t="shared" si="22"/>
        <v/>
      </c>
      <c r="CE35" s="40" t="str">
        <f t="shared" si="23"/>
        <v/>
      </c>
      <c r="CF35" s="40" t="str">
        <f t="shared" si="24"/>
        <v/>
      </c>
      <c r="CG35" s="40" t="str">
        <f t="shared" si="25"/>
        <v/>
      </c>
      <c r="CH35" s="40" t="str">
        <f t="shared" si="26"/>
        <v/>
      </c>
      <c r="CI35" s="50" t="str">
        <f t="shared" si="27"/>
        <v/>
      </c>
      <c r="CJ35" s="50" t="str">
        <f t="shared" si="28"/>
        <v/>
      </c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40" t="str">
        <f t="shared" si="29"/>
        <v/>
      </c>
      <c r="DF35" s="40" t="str">
        <f t="shared" si="30"/>
        <v/>
      </c>
      <c r="DG35" s="40" t="str">
        <f t="shared" si="31"/>
        <v/>
      </c>
      <c r="DH35" s="40" t="str">
        <f t="shared" si="32"/>
        <v/>
      </c>
      <c r="DI35" s="40" t="str">
        <f t="shared" si="33"/>
        <v/>
      </c>
      <c r="DJ35" s="40" t="str">
        <f t="shared" si="34"/>
        <v/>
      </c>
      <c r="DK35" s="40" t="str">
        <f t="shared" si="35"/>
        <v/>
      </c>
      <c r="DL35" s="40" t="str">
        <f t="shared" si="36"/>
        <v/>
      </c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1" t="str">
        <f t="shared" si="37"/>
        <v/>
      </c>
      <c r="EH35" s="11" t="str">
        <f t="shared" si="38"/>
        <v/>
      </c>
      <c r="EI35" s="11" t="str">
        <f t="shared" si="39"/>
        <v/>
      </c>
      <c r="EJ35" s="11" t="str">
        <f t="shared" si="40"/>
        <v/>
      </c>
      <c r="EK35" s="11" t="str">
        <f t="shared" si="41"/>
        <v/>
      </c>
      <c r="EL35" s="11" t="str">
        <f t="shared" si="42"/>
        <v/>
      </c>
      <c r="EM35" s="11" t="str">
        <f t="shared" si="43"/>
        <v/>
      </c>
      <c r="EN35" s="11" t="str">
        <f t="shared" si="44"/>
        <v/>
      </c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40" t="str">
        <f t="shared" si="45"/>
        <v/>
      </c>
      <c r="FJ35" s="40" t="str">
        <f t="shared" si="46"/>
        <v/>
      </c>
      <c r="FK35" s="40" t="str">
        <f t="shared" si="47"/>
        <v/>
      </c>
      <c r="FL35" s="40" t="str">
        <f t="shared" si="48"/>
        <v/>
      </c>
      <c r="FM35" s="40" t="str">
        <f t="shared" si="49"/>
        <v/>
      </c>
      <c r="FN35" s="40" t="str">
        <f t="shared" si="50"/>
        <v/>
      </c>
      <c r="FO35" s="40" t="str">
        <f t="shared" si="51"/>
        <v/>
      </c>
      <c r="FP35" s="40" t="str">
        <f t="shared" si="52"/>
        <v/>
      </c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1" t="str">
        <f t="shared" si="53"/>
        <v/>
      </c>
      <c r="GL35" s="11" t="str">
        <f t="shared" si="54"/>
        <v/>
      </c>
      <c r="GM35" s="11" t="str">
        <f t="shared" si="55"/>
        <v/>
      </c>
      <c r="GN35" s="11" t="str">
        <f t="shared" si="56"/>
        <v/>
      </c>
      <c r="GO35" s="11" t="str">
        <f t="shared" si="57"/>
        <v/>
      </c>
      <c r="GP35" s="11" t="str">
        <f t="shared" si="58"/>
        <v/>
      </c>
      <c r="GQ35" s="11" t="str">
        <f t="shared" si="59"/>
        <v/>
      </c>
      <c r="GR35" s="11" t="str">
        <f t="shared" si="60"/>
        <v/>
      </c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40" t="str">
        <f t="shared" si="61"/>
        <v/>
      </c>
      <c r="HN35" s="40" t="str">
        <f t="shared" si="62"/>
        <v/>
      </c>
      <c r="HO35" s="40" t="str">
        <f t="shared" si="63"/>
        <v/>
      </c>
      <c r="HP35" s="40" t="str">
        <f t="shared" si="64"/>
        <v/>
      </c>
      <c r="HQ35" s="40" t="str">
        <f t="shared" si="65"/>
        <v/>
      </c>
      <c r="HR35" s="40" t="str">
        <f t="shared" si="66"/>
        <v/>
      </c>
      <c r="HS35" s="40" t="str">
        <f t="shared" si="67"/>
        <v/>
      </c>
      <c r="HT35" s="40" t="str">
        <f t="shared" si="68"/>
        <v/>
      </c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1" t="str">
        <f t="shared" si="69"/>
        <v/>
      </c>
      <c r="IP35" s="11" t="str">
        <f t="shared" si="70"/>
        <v/>
      </c>
      <c r="IQ35" s="11" t="str">
        <f t="shared" si="71"/>
        <v/>
      </c>
      <c r="IR35" s="11" t="str">
        <f t="shared" si="72"/>
        <v/>
      </c>
      <c r="IS35" s="11" t="str">
        <f t="shared" si="73"/>
        <v/>
      </c>
      <c r="IT35" s="11" t="str">
        <f t="shared" si="74"/>
        <v/>
      </c>
      <c r="IU35" s="11" t="str">
        <f t="shared" si="75"/>
        <v/>
      </c>
      <c r="IV35" s="11" t="str">
        <f t="shared" si="76"/>
        <v/>
      </c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40" t="str">
        <f t="shared" si="77"/>
        <v/>
      </c>
      <c r="JR35" s="40" t="str">
        <f t="shared" si="78"/>
        <v/>
      </c>
      <c r="JS35" s="40" t="str">
        <f t="shared" si="79"/>
        <v/>
      </c>
      <c r="JT35" s="40" t="str">
        <f t="shared" si="80"/>
        <v/>
      </c>
      <c r="JU35" s="40" t="str">
        <f t="shared" si="81"/>
        <v/>
      </c>
      <c r="JV35" s="40" t="str">
        <f t="shared" si="82"/>
        <v/>
      </c>
      <c r="JW35" s="40" t="str">
        <f t="shared" si="83"/>
        <v/>
      </c>
      <c r="JX35" s="40" t="str">
        <f t="shared" si="84"/>
        <v/>
      </c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1" t="str">
        <f t="shared" si="85"/>
        <v/>
      </c>
      <c r="KT35" s="11" t="str">
        <f t="shared" si="86"/>
        <v/>
      </c>
      <c r="KU35" s="11" t="str">
        <f t="shared" si="87"/>
        <v/>
      </c>
      <c r="KV35" s="11" t="str">
        <f t="shared" si="88"/>
        <v/>
      </c>
      <c r="KW35" s="11" t="str">
        <f t="shared" si="89"/>
        <v/>
      </c>
      <c r="KX35" s="11" t="str">
        <f t="shared" si="90"/>
        <v/>
      </c>
      <c r="KY35" s="11" t="str">
        <f t="shared" si="91"/>
        <v/>
      </c>
      <c r="KZ35" s="11" t="str">
        <f t="shared" si="92"/>
        <v/>
      </c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40" t="str">
        <f t="shared" si="93"/>
        <v/>
      </c>
      <c r="LV35" s="40" t="str">
        <f t="shared" si="94"/>
        <v/>
      </c>
      <c r="LW35" s="40" t="str">
        <f t="shared" si="95"/>
        <v/>
      </c>
      <c r="LX35" s="40" t="str">
        <f t="shared" si="96"/>
        <v/>
      </c>
      <c r="LY35" s="40" t="str">
        <f t="shared" si="97"/>
        <v/>
      </c>
      <c r="LZ35" s="40" t="str">
        <f t="shared" si="98"/>
        <v/>
      </c>
      <c r="MA35" s="40" t="str">
        <f t="shared" si="99"/>
        <v/>
      </c>
      <c r="MB35" s="40" t="str">
        <f t="shared" si="100"/>
        <v/>
      </c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1" t="str">
        <f t="shared" si="101"/>
        <v/>
      </c>
      <c r="MX35" s="11" t="str">
        <f t="shared" si="102"/>
        <v/>
      </c>
      <c r="MY35" s="11" t="str">
        <f t="shared" si="103"/>
        <v/>
      </c>
      <c r="MZ35" s="11" t="str">
        <f t="shared" si="104"/>
        <v/>
      </c>
      <c r="NA35" s="11" t="str">
        <f t="shared" si="105"/>
        <v/>
      </c>
      <c r="NB35" s="11" t="str">
        <f t="shared" si="106"/>
        <v/>
      </c>
      <c r="NC35" s="11" t="str">
        <f t="shared" si="107"/>
        <v/>
      </c>
      <c r="ND35" s="11" t="str">
        <f t="shared" si="108"/>
        <v/>
      </c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40" t="str">
        <f t="shared" si="109"/>
        <v/>
      </c>
      <c r="NZ35" s="40" t="str">
        <f t="shared" si="110"/>
        <v/>
      </c>
      <c r="OA35" s="40" t="str">
        <f t="shared" si="111"/>
        <v/>
      </c>
      <c r="OB35" s="40" t="str">
        <f t="shared" si="112"/>
        <v/>
      </c>
      <c r="OC35" s="40" t="str">
        <f t="shared" si="113"/>
        <v/>
      </c>
      <c r="OD35" s="40" t="str">
        <f t="shared" si="114"/>
        <v/>
      </c>
      <c r="OE35" s="40" t="str">
        <f t="shared" si="115"/>
        <v/>
      </c>
      <c r="OF35" s="40" t="str">
        <f t="shared" si="116"/>
        <v/>
      </c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1" t="str">
        <f t="shared" si="117"/>
        <v/>
      </c>
      <c r="PB35" s="11" t="str">
        <f t="shared" si="118"/>
        <v/>
      </c>
      <c r="PC35" s="11" t="str">
        <f t="shared" si="119"/>
        <v/>
      </c>
      <c r="PD35" s="11" t="str">
        <f t="shared" si="120"/>
        <v/>
      </c>
      <c r="PE35" s="11" t="str">
        <f t="shared" si="121"/>
        <v/>
      </c>
      <c r="PF35" s="11" t="str">
        <f t="shared" si="122"/>
        <v/>
      </c>
      <c r="PG35" s="11" t="str">
        <f t="shared" si="123"/>
        <v/>
      </c>
      <c r="PH35" s="11" t="str">
        <f t="shared" si="124"/>
        <v/>
      </c>
      <c r="PI35" s="22">
        <f t="shared" si="125"/>
        <v>9.15</v>
      </c>
      <c r="PJ35" s="22">
        <f t="shared" si="126"/>
        <v>2.6</v>
      </c>
      <c r="PK35" s="22">
        <f t="shared" si="127"/>
        <v>0.4</v>
      </c>
      <c r="PL35" s="22">
        <f t="shared" si="128"/>
        <v>0</v>
      </c>
      <c r="PM35" s="22">
        <f t="shared" si="129"/>
        <v>9.1</v>
      </c>
      <c r="PN35" s="22">
        <f t="shared" si="130"/>
        <v>2.6</v>
      </c>
      <c r="PO35" s="22">
        <f t="shared" si="131"/>
        <v>0.4</v>
      </c>
      <c r="PP35" s="22">
        <f t="shared" si="132"/>
        <v>0</v>
      </c>
      <c r="PQ35" s="22">
        <f t="shared" si="133"/>
        <v>9.3000000000000007</v>
      </c>
      <c r="PR35" s="22">
        <f t="shared" si="134"/>
        <v>2.6</v>
      </c>
      <c r="PS35" s="22">
        <f t="shared" si="135"/>
        <v>0.1</v>
      </c>
      <c r="PT35" s="22">
        <f t="shared" si="136"/>
        <v>0</v>
      </c>
      <c r="PU35" s="22">
        <f t="shared" si="137"/>
        <v>9.15</v>
      </c>
      <c r="PV35" s="22">
        <f t="shared" si="138"/>
        <v>1.2</v>
      </c>
      <c r="PW35" s="22">
        <f t="shared" si="139"/>
        <v>0.9</v>
      </c>
      <c r="PX35" s="22">
        <f t="shared" si="140"/>
        <v>0</v>
      </c>
      <c r="PY35" s="27" t="s">
        <v>46</v>
      </c>
      <c r="PZ35" s="40">
        <f t="shared" si="141"/>
        <v>5.2</v>
      </c>
      <c r="QA35" s="40">
        <f t="shared" si="142"/>
        <v>22.650000000000006</v>
      </c>
      <c r="QB35" s="40">
        <f t="shared" si="143"/>
        <v>3.8</v>
      </c>
      <c r="QC35" s="40">
        <f t="shared" si="144"/>
        <v>21.25</v>
      </c>
      <c r="QD35" s="40">
        <f t="shared" si="145"/>
        <v>43.900000000000006</v>
      </c>
    </row>
    <row r="36" spans="1:446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156</v>
      </c>
      <c r="D36" s="4" t="s">
        <v>4</v>
      </c>
      <c r="E36" s="4">
        <v>2008</v>
      </c>
      <c r="F36" s="9">
        <f t="shared" si="0"/>
        <v>83.200008320004429</v>
      </c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IF(COUNT(AM36,BI36,CE36)&gt;0,LARGE((AM36,BI36,CE36),1),0)</f>
        <v>44.300000000000004</v>
      </c>
      <c r="M36" s="8" t="str">
        <f t="shared" si="5"/>
        <v>2025 Elite Canada</v>
      </c>
      <c r="N36" s="8">
        <f>IF(COUNT(AM36,BI36,CE36)&gt;1,LARGE((AM36,BI36,CE36),2),0)</f>
        <v>38.899999999999991</v>
      </c>
      <c r="O36" s="8" t="str">
        <f t="shared" si="6"/>
        <v>2025 Nationals</v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>
        <v>18.600000000000001</v>
      </c>
      <c r="V36" s="19">
        <v>7.3</v>
      </c>
      <c r="W36" s="19">
        <v>0</v>
      </c>
      <c r="X36" s="19">
        <v>0</v>
      </c>
      <c r="Y36" s="19">
        <v>15.2</v>
      </c>
      <c r="Z36" s="19">
        <v>3.2</v>
      </c>
      <c r="AA36" s="19">
        <v>0</v>
      </c>
      <c r="AB36" s="19">
        <v>0</v>
      </c>
      <c r="AC36" s="19"/>
      <c r="AD36" s="19"/>
      <c r="AE36" s="19"/>
      <c r="AF36" s="19"/>
      <c r="AG36" s="19"/>
      <c r="AH36" s="19"/>
      <c r="AI36" s="19"/>
      <c r="AJ36" s="19"/>
      <c r="AK36" s="27"/>
      <c r="AL36" s="40">
        <f t="shared" si="12"/>
        <v>10.5</v>
      </c>
      <c r="AM36" s="40">
        <f t="shared" si="13"/>
        <v>44.300000000000004</v>
      </c>
      <c r="AN36" s="40" t="str">
        <f t="shared" si="14"/>
        <v/>
      </c>
      <c r="AO36" s="40" t="str">
        <f t="shared" si="15"/>
        <v/>
      </c>
      <c r="AP36" s="40">
        <f t="shared" si="16"/>
        <v>44.300000000000004</v>
      </c>
      <c r="AQ36" s="18">
        <v>15.2</v>
      </c>
      <c r="AR36" s="18">
        <v>3.2</v>
      </c>
      <c r="AS36" s="18">
        <v>0</v>
      </c>
      <c r="AT36" s="18">
        <v>0</v>
      </c>
      <c r="AU36" s="18">
        <v>15.4</v>
      </c>
      <c r="AV36" s="18">
        <v>4.8</v>
      </c>
      <c r="AW36" s="18">
        <v>0</v>
      </c>
      <c r="AX36" s="18">
        <v>0.3</v>
      </c>
      <c r="AY36" s="18"/>
      <c r="AZ36" s="18"/>
      <c r="BA36" s="18"/>
      <c r="BB36" s="18"/>
      <c r="BC36" s="18"/>
      <c r="BD36" s="18"/>
      <c r="BE36" s="18"/>
      <c r="BF36" s="18"/>
      <c r="BG36" s="28"/>
      <c r="BH36" s="11">
        <f t="shared" si="17"/>
        <v>8</v>
      </c>
      <c r="BI36" s="11">
        <f t="shared" si="18"/>
        <v>38.899999999999991</v>
      </c>
      <c r="BJ36" s="11" t="str">
        <f t="shared" si="19"/>
        <v/>
      </c>
      <c r="BK36" s="11" t="str">
        <f t="shared" si="20"/>
        <v/>
      </c>
      <c r="BL36" s="11">
        <f t="shared" si="21"/>
        <v>38.899999999999991</v>
      </c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27"/>
      <c r="CD36" s="40" t="str">
        <f t="shared" si="22"/>
        <v/>
      </c>
      <c r="CE36" s="40" t="str">
        <f t="shared" si="23"/>
        <v/>
      </c>
      <c r="CF36" s="40" t="str">
        <f t="shared" si="24"/>
        <v/>
      </c>
      <c r="CG36" s="40" t="str">
        <f t="shared" si="25"/>
        <v/>
      </c>
      <c r="CH36" s="40" t="str">
        <f t="shared" si="26"/>
        <v/>
      </c>
      <c r="CI36" s="50" t="str">
        <f t="shared" si="27"/>
        <v/>
      </c>
      <c r="CJ36" s="50" t="str">
        <f t="shared" si="28"/>
        <v/>
      </c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40" t="str">
        <f t="shared" si="29"/>
        <v/>
      </c>
      <c r="DF36" s="40" t="str">
        <f t="shared" si="30"/>
        <v/>
      </c>
      <c r="DG36" s="40" t="str">
        <f t="shared" si="31"/>
        <v/>
      </c>
      <c r="DH36" s="40" t="str">
        <f t="shared" si="32"/>
        <v/>
      </c>
      <c r="DI36" s="40" t="str">
        <f t="shared" si="33"/>
        <v/>
      </c>
      <c r="DJ36" s="40" t="str">
        <f t="shared" si="34"/>
        <v/>
      </c>
      <c r="DK36" s="40" t="str">
        <f t="shared" si="35"/>
        <v/>
      </c>
      <c r="DL36" s="40" t="str">
        <f t="shared" si="36"/>
        <v/>
      </c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1" t="str">
        <f t="shared" si="37"/>
        <v/>
      </c>
      <c r="EH36" s="11" t="str">
        <f t="shared" si="38"/>
        <v/>
      </c>
      <c r="EI36" s="11" t="str">
        <f t="shared" si="39"/>
        <v/>
      </c>
      <c r="EJ36" s="11" t="str">
        <f t="shared" si="40"/>
        <v/>
      </c>
      <c r="EK36" s="11" t="str">
        <f t="shared" si="41"/>
        <v/>
      </c>
      <c r="EL36" s="11" t="str">
        <f t="shared" si="42"/>
        <v/>
      </c>
      <c r="EM36" s="11" t="str">
        <f t="shared" si="43"/>
        <v/>
      </c>
      <c r="EN36" s="11" t="str">
        <f t="shared" si="44"/>
        <v/>
      </c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40" t="str">
        <f t="shared" si="45"/>
        <v/>
      </c>
      <c r="FJ36" s="40" t="str">
        <f t="shared" si="46"/>
        <v/>
      </c>
      <c r="FK36" s="40" t="str">
        <f t="shared" si="47"/>
        <v/>
      </c>
      <c r="FL36" s="40" t="str">
        <f t="shared" si="48"/>
        <v/>
      </c>
      <c r="FM36" s="40" t="str">
        <f t="shared" si="49"/>
        <v/>
      </c>
      <c r="FN36" s="40" t="str">
        <f t="shared" si="50"/>
        <v/>
      </c>
      <c r="FO36" s="40" t="str">
        <f t="shared" si="51"/>
        <v/>
      </c>
      <c r="FP36" s="40" t="str">
        <f t="shared" si="52"/>
        <v/>
      </c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1" t="str">
        <f t="shared" si="53"/>
        <v/>
      </c>
      <c r="GL36" s="11" t="str">
        <f t="shared" si="54"/>
        <v/>
      </c>
      <c r="GM36" s="11" t="str">
        <f t="shared" si="55"/>
        <v/>
      </c>
      <c r="GN36" s="11" t="str">
        <f t="shared" si="56"/>
        <v/>
      </c>
      <c r="GO36" s="11" t="str">
        <f t="shared" si="57"/>
        <v/>
      </c>
      <c r="GP36" s="11" t="str">
        <f t="shared" si="58"/>
        <v/>
      </c>
      <c r="GQ36" s="11" t="str">
        <f t="shared" si="59"/>
        <v/>
      </c>
      <c r="GR36" s="11" t="str">
        <f t="shared" si="60"/>
        <v/>
      </c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40" t="str">
        <f t="shared" si="61"/>
        <v/>
      </c>
      <c r="HN36" s="40" t="str">
        <f t="shared" si="62"/>
        <v/>
      </c>
      <c r="HO36" s="40" t="str">
        <f t="shared" si="63"/>
        <v/>
      </c>
      <c r="HP36" s="40" t="str">
        <f t="shared" si="64"/>
        <v/>
      </c>
      <c r="HQ36" s="40" t="str">
        <f t="shared" si="65"/>
        <v/>
      </c>
      <c r="HR36" s="40" t="str">
        <f t="shared" si="66"/>
        <v/>
      </c>
      <c r="HS36" s="40" t="str">
        <f t="shared" si="67"/>
        <v/>
      </c>
      <c r="HT36" s="40" t="str">
        <f t="shared" si="68"/>
        <v/>
      </c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1" t="str">
        <f t="shared" si="69"/>
        <v/>
      </c>
      <c r="IP36" s="11" t="str">
        <f t="shared" si="70"/>
        <v/>
      </c>
      <c r="IQ36" s="11" t="str">
        <f t="shared" si="71"/>
        <v/>
      </c>
      <c r="IR36" s="11" t="str">
        <f t="shared" si="72"/>
        <v/>
      </c>
      <c r="IS36" s="11" t="str">
        <f t="shared" si="73"/>
        <v/>
      </c>
      <c r="IT36" s="11" t="str">
        <f t="shared" si="74"/>
        <v/>
      </c>
      <c r="IU36" s="11" t="str">
        <f t="shared" si="75"/>
        <v/>
      </c>
      <c r="IV36" s="11" t="str">
        <f t="shared" si="76"/>
        <v/>
      </c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40" t="str">
        <f t="shared" si="77"/>
        <v/>
      </c>
      <c r="JR36" s="40" t="str">
        <f t="shared" si="78"/>
        <v/>
      </c>
      <c r="JS36" s="40" t="str">
        <f t="shared" si="79"/>
        <v/>
      </c>
      <c r="JT36" s="40" t="str">
        <f t="shared" si="80"/>
        <v/>
      </c>
      <c r="JU36" s="40" t="str">
        <f t="shared" si="81"/>
        <v/>
      </c>
      <c r="JV36" s="40" t="str">
        <f t="shared" si="82"/>
        <v/>
      </c>
      <c r="JW36" s="40" t="str">
        <f t="shared" si="83"/>
        <v/>
      </c>
      <c r="JX36" s="40" t="str">
        <f t="shared" si="84"/>
        <v/>
      </c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8"/>
      <c r="KM36" s="18"/>
      <c r="KN36" s="18"/>
      <c r="KO36" s="18"/>
      <c r="KP36" s="18"/>
      <c r="KQ36" s="18"/>
      <c r="KR36" s="18"/>
      <c r="KS36" s="11" t="str">
        <f t="shared" si="85"/>
        <v/>
      </c>
      <c r="KT36" s="11" t="str">
        <f t="shared" si="86"/>
        <v/>
      </c>
      <c r="KU36" s="11" t="str">
        <f t="shared" si="87"/>
        <v/>
      </c>
      <c r="KV36" s="11" t="str">
        <f t="shared" si="88"/>
        <v/>
      </c>
      <c r="KW36" s="11" t="str">
        <f t="shared" si="89"/>
        <v/>
      </c>
      <c r="KX36" s="11" t="str">
        <f t="shared" si="90"/>
        <v/>
      </c>
      <c r="KY36" s="11" t="str">
        <f t="shared" si="91"/>
        <v/>
      </c>
      <c r="KZ36" s="11" t="str">
        <f t="shared" si="92"/>
        <v/>
      </c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40" t="str">
        <f t="shared" si="93"/>
        <v/>
      </c>
      <c r="LV36" s="40" t="str">
        <f t="shared" si="94"/>
        <v/>
      </c>
      <c r="LW36" s="40" t="str">
        <f t="shared" si="95"/>
        <v/>
      </c>
      <c r="LX36" s="40" t="str">
        <f t="shared" si="96"/>
        <v/>
      </c>
      <c r="LY36" s="40" t="str">
        <f t="shared" si="97"/>
        <v/>
      </c>
      <c r="LZ36" s="40" t="str">
        <f t="shared" si="98"/>
        <v/>
      </c>
      <c r="MA36" s="40" t="str">
        <f t="shared" si="99"/>
        <v/>
      </c>
      <c r="MB36" s="40" t="str">
        <f t="shared" si="100"/>
        <v/>
      </c>
      <c r="MC36" s="18"/>
      <c r="MD36" s="18"/>
      <c r="ME36" s="18"/>
      <c r="MF36" s="18"/>
      <c r="MG36" s="18"/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1" t="str">
        <f t="shared" si="101"/>
        <v/>
      </c>
      <c r="MX36" s="11" t="str">
        <f t="shared" si="102"/>
        <v/>
      </c>
      <c r="MY36" s="11" t="str">
        <f t="shared" si="103"/>
        <v/>
      </c>
      <c r="MZ36" s="11" t="str">
        <f t="shared" si="104"/>
        <v/>
      </c>
      <c r="NA36" s="11" t="str">
        <f t="shared" si="105"/>
        <v/>
      </c>
      <c r="NB36" s="11" t="str">
        <f t="shared" si="106"/>
        <v/>
      </c>
      <c r="NC36" s="11" t="str">
        <f t="shared" si="107"/>
        <v/>
      </c>
      <c r="ND36" s="11" t="str">
        <f t="shared" si="108"/>
        <v/>
      </c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40" t="str">
        <f t="shared" si="109"/>
        <v/>
      </c>
      <c r="NZ36" s="40" t="str">
        <f t="shared" si="110"/>
        <v/>
      </c>
      <c r="OA36" s="40" t="str">
        <f t="shared" si="111"/>
        <v/>
      </c>
      <c r="OB36" s="40" t="str">
        <f t="shared" si="112"/>
        <v/>
      </c>
      <c r="OC36" s="40" t="str">
        <f t="shared" si="113"/>
        <v/>
      </c>
      <c r="OD36" s="40" t="str">
        <f t="shared" si="114"/>
        <v/>
      </c>
      <c r="OE36" s="40" t="str">
        <f t="shared" si="115"/>
        <v/>
      </c>
      <c r="OF36" s="40" t="str">
        <f t="shared" si="116"/>
        <v/>
      </c>
      <c r="OG36" s="18"/>
      <c r="OH36" s="18"/>
      <c r="OI36" s="18"/>
      <c r="OJ36" s="18"/>
      <c r="OK36" s="18"/>
      <c r="OL36" s="18"/>
      <c r="OM36" s="18"/>
      <c r="ON36" s="18"/>
      <c r="OO36" s="18"/>
      <c r="OP36" s="18"/>
      <c r="OQ36" s="18"/>
      <c r="OR36" s="18"/>
      <c r="OS36" s="18"/>
      <c r="OT36" s="18"/>
      <c r="OU36" s="18"/>
      <c r="OV36" s="18"/>
      <c r="OW36" s="18"/>
      <c r="OX36" s="18"/>
      <c r="OY36" s="18"/>
      <c r="OZ36" s="18"/>
      <c r="PA36" s="11" t="str">
        <f t="shared" si="117"/>
        <v/>
      </c>
      <c r="PB36" s="11" t="str">
        <f t="shared" si="118"/>
        <v/>
      </c>
      <c r="PC36" s="11" t="str">
        <f t="shared" si="119"/>
        <v/>
      </c>
      <c r="PD36" s="11" t="str">
        <f t="shared" si="120"/>
        <v/>
      </c>
      <c r="PE36" s="11" t="str">
        <f t="shared" si="121"/>
        <v/>
      </c>
      <c r="PF36" s="11" t="str">
        <f t="shared" si="122"/>
        <v/>
      </c>
      <c r="PG36" s="11" t="str">
        <f t="shared" si="123"/>
        <v/>
      </c>
      <c r="PH36" s="11" t="str">
        <f t="shared" si="124"/>
        <v/>
      </c>
      <c r="PI36" s="22">
        <f t="shared" si="125"/>
        <v>7.6</v>
      </c>
      <c r="PJ36" s="22">
        <f t="shared" si="126"/>
        <v>1.6</v>
      </c>
      <c r="PK36" s="22">
        <f t="shared" si="127"/>
        <v>0</v>
      </c>
      <c r="PL36" s="22">
        <f t="shared" si="128"/>
        <v>0</v>
      </c>
      <c r="PM36" s="22">
        <f t="shared" si="129"/>
        <v>7.7</v>
      </c>
      <c r="PN36" s="22">
        <f t="shared" si="130"/>
        <v>2.4</v>
      </c>
      <c r="PO36" s="22">
        <f t="shared" si="131"/>
        <v>0</v>
      </c>
      <c r="PP36" s="22">
        <f t="shared" si="132"/>
        <v>0.15</v>
      </c>
      <c r="PQ36" s="22">
        <f t="shared" si="133"/>
        <v>0</v>
      </c>
      <c r="PR36" s="22">
        <f t="shared" si="134"/>
        <v>0</v>
      </c>
      <c r="PS36" s="22">
        <f t="shared" si="135"/>
        <v>0</v>
      </c>
      <c r="PT36" s="22">
        <f t="shared" si="136"/>
        <v>0</v>
      </c>
      <c r="PU36" s="22">
        <f t="shared" si="137"/>
        <v>0</v>
      </c>
      <c r="PV36" s="22">
        <f t="shared" si="138"/>
        <v>0</v>
      </c>
      <c r="PW36" s="22">
        <f t="shared" si="139"/>
        <v>0</v>
      </c>
      <c r="PX36" s="22">
        <f t="shared" si="140"/>
        <v>0</v>
      </c>
      <c r="PY36" s="27" t="s">
        <v>46</v>
      </c>
      <c r="PZ36" s="40">
        <f t="shared" si="141"/>
        <v>4</v>
      </c>
      <c r="QA36" s="40">
        <f t="shared" si="142"/>
        <v>19.449999999999996</v>
      </c>
      <c r="QB36" s="40" t="str">
        <f t="shared" si="143"/>
        <v/>
      </c>
      <c r="QC36" s="40" t="str">
        <f t="shared" si="144"/>
        <v/>
      </c>
      <c r="QD36" s="40">
        <f t="shared" si="145"/>
        <v>19.449999999999996</v>
      </c>
    </row>
    <row r="37" spans="1:446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176</v>
      </c>
      <c r="D37" s="4" t="s">
        <v>5</v>
      </c>
      <c r="E37" s="4">
        <v>2008</v>
      </c>
      <c r="F37" s="9">
        <f t="shared" si="0"/>
        <v>80.200003540003522</v>
      </c>
      <c r="G37" s="64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IF(COUNT(AM37,BI37,CE37)&gt;0,LARGE((AM37,BI37,CE37),1),0)</f>
        <v>35.399999999999991</v>
      </c>
      <c r="M37" s="8" t="str">
        <f t="shared" si="5"/>
        <v>2025 Nationals</v>
      </c>
      <c r="N37" s="8">
        <f>IF(COUNT(AM37,BI37,CE37)&gt;1,LARGE((AM37,BI37,CE37),2),0)</f>
        <v>0</v>
      </c>
      <c r="O37" s="8" t="str">
        <f t="shared" si="6"/>
        <v/>
      </c>
      <c r="P37" s="8">
        <f t="shared" si="7"/>
        <v>44.8</v>
      </c>
      <c r="Q37" s="8" t="str">
        <f t="shared" si="8"/>
        <v>2025 Nationals</v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27"/>
      <c r="AL37" s="40" t="str">
        <f t="shared" si="12"/>
        <v/>
      </c>
      <c r="AM37" s="40" t="str">
        <f t="shared" si="13"/>
        <v/>
      </c>
      <c r="AN37" s="40" t="str">
        <f t="shared" si="14"/>
        <v/>
      </c>
      <c r="AO37" s="40" t="str">
        <f t="shared" si="15"/>
        <v/>
      </c>
      <c r="AP37" s="40" t="str">
        <f t="shared" si="16"/>
        <v/>
      </c>
      <c r="AQ37" s="18">
        <v>15</v>
      </c>
      <c r="AR37" s="18">
        <v>2.4</v>
      </c>
      <c r="AS37" s="18">
        <v>0</v>
      </c>
      <c r="AT37" s="18">
        <v>0</v>
      </c>
      <c r="AU37" s="18">
        <v>15.2</v>
      </c>
      <c r="AV37" s="18">
        <v>2.8</v>
      </c>
      <c r="AW37" s="18">
        <v>0</v>
      </c>
      <c r="AX37" s="18">
        <v>0</v>
      </c>
      <c r="AY37" s="18">
        <v>18.100000000000001</v>
      </c>
      <c r="AZ37" s="18">
        <v>4.4000000000000004</v>
      </c>
      <c r="BA37" s="18">
        <v>0.8</v>
      </c>
      <c r="BB37" s="18">
        <v>0</v>
      </c>
      <c r="BC37" s="18">
        <v>18.3</v>
      </c>
      <c r="BD37" s="18">
        <v>5.6</v>
      </c>
      <c r="BE37" s="18">
        <v>0.8</v>
      </c>
      <c r="BF37" s="18">
        <v>0</v>
      </c>
      <c r="BG37" s="28"/>
      <c r="BH37" s="11">
        <f t="shared" si="17"/>
        <v>5.1999999999999993</v>
      </c>
      <c r="BI37" s="11">
        <f t="shared" si="18"/>
        <v>35.399999999999991</v>
      </c>
      <c r="BJ37" s="11">
        <f t="shared" si="19"/>
        <v>10</v>
      </c>
      <c r="BK37" s="11">
        <f t="shared" si="20"/>
        <v>44.8</v>
      </c>
      <c r="BL37" s="11">
        <f t="shared" si="21"/>
        <v>80.199999999999989</v>
      </c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27"/>
      <c r="CD37" s="40" t="str">
        <f t="shared" si="22"/>
        <v/>
      </c>
      <c r="CE37" s="40" t="str">
        <f t="shared" si="23"/>
        <v/>
      </c>
      <c r="CF37" s="40" t="str">
        <f t="shared" si="24"/>
        <v/>
      </c>
      <c r="CG37" s="40" t="str">
        <f t="shared" si="25"/>
        <v/>
      </c>
      <c r="CH37" s="40" t="str">
        <f t="shared" si="26"/>
        <v/>
      </c>
      <c r="CI37" s="50" t="str">
        <f t="shared" si="27"/>
        <v/>
      </c>
      <c r="CJ37" s="50" t="str">
        <f t="shared" si="28"/>
        <v/>
      </c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40" t="str">
        <f t="shared" si="29"/>
        <v/>
      </c>
      <c r="DF37" s="40" t="str">
        <f t="shared" si="30"/>
        <v/>
      </c>
      <c r="DG37" s="40" t="str">
        <f t="shared" si="31"/>
        <v/>
      </c>
      <c r="DH37" s="40" t="str">
        <f t="shared" si="32"/>
        <v/>
      </c>
      <c r="DI37" s="40" t="str">
        <f t="shared" si="33"/>
        <v/>
      </c>
      <c r="DJ37" s="40" t="str">
        <f t="shared" si="34"/>
        <v/>
      </c>
      <c r="DK37" s="40" t="str">
        <f t="shared" si="35"/>
        <v/>
      </c>
      <c r="DL37" s="40" t="str">
        <f t="shared" si="36"/>
        <v/>
      </c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1" t="str">
        <f t="shared" si="37"/>
        <v/>
      </c>
      <c r="EH37" s="11" t="str">
        <f t="shared" si="38"/>
        <v/>
      </c>
      <c r="EI37" s="11" t="str">
        <f t="shared" si="39"/>
        <v/>
      </c>
      <c r="EJ37" s="11" t="str">
        <f t="shared" si="40"/>
        <v/>
      </c>
      <c r="EK37" s="11" t="str">
        <f t="shared" si="41"/>
        <v/>
      </c>
      <c r="EL37" s="11" t="str">
        <f t="shared" si="42"/>
        <v/>
      </c>
      <c r="EM37" s="11" t="str">
        <f t="shared" si="43"/>
        <v/>
      </c>
      <c r="EN37" s="11" t="str">
        <f t="shared" si="44"/>
        <v/>
      </c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40" t="str">
        <f t="shared" si="45"/>
        <v/>
      </c>
      <c r="FJ37" s="40" t="str">
        <f t="shared" si="46"/>
        <v/>
      </c>
      <c r="FK37" s="40" t="str">
        <f t="shared" si="47"/>
        <v/>
      </c>
      <c r="FL37" s="40" t="str">
        <f t="shared" si="48"/>
        <v/>
      </c>
      <c r="FM37" s="40" t="str">
        <f t="shared" si="49"/>
        <v/>
      </c>
      <c r="FN37" s="40" t="str">
        <f t="shared" si="50"/>
        <v/>
      </c>
      <c r="FO37" s="40" t="str">
        <f t="shared" si="51"/>
        <v/>
      </c>
      <c r="FP37" s="40" t="str">
        <f t="shared" si="52"/>
        <v/>
      </c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1" t="str">
        <f t="shared" si="53"/>
        <v/>
      </c>
      <c r="GL37" s="11" t="str">
        <f t="shared" si="54"/>
        <v/>
      </c>
      <c r="GM37" s="11" t="str">
        <f t="shared" si="55"/>
        <v/>
      </c>
      <c r="GN37" s="11" t="str">
        <f t="shared" si="56"/>
        <v/>
      </c>
      <c r="GO37" s="11" t="str">
        <f t="shared" si="57"/>
        <v/>
      </c>
      <c r="GP37" s="11" t="str">
        <f t="shared" si="58"/>
        <v/>
      </c>
      <c r="GQ37" s="11" t="str">
        <f t="shared" si="59"/>
        <v/>
      </c>
      <c r="GR37" s="11" t="str">
        <f t="shared" si="60"/>
        <v/>
      </c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40" t="str">
        <f t="shared" si="61"/>
        <v/>
      </c>
      <c r="HN37" s="40" t="str">
        <f t="shared" si="62"/>
        <v/>
      </c>
      <c r="HO37" s="40" t="str">
        <f t="shared" si="63"/>
        <v/>
      </c>
      <c r="HP37" s="40" t="str">
        <f t="shared" si="64"/>
        <v/>
      </c>
      <c r="HQ37" s="40" t="str">
        <f t="shared" si="65"/>
        <v/>
      </c>
      <c r="HR37" s="40" t="str">
        <f t="shared" si="66"/>
        <v/>
      </c>
      <c r="HS37" s="40" t="str">
        <f t="shared" si="67"/>
        <v/>
      </c>
      <c r="HT37" s="40" t="str">
        <f t="shared" si="68"/>
        <v/>
      </c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1" t="str">
        <f t="shared" si="69"/>
        <v/>
      </c>
      <c r="IP37" s="11" t="str">
        <f t="shared" si="70"/>
        <v/>
      </c>
      <c r="IQ37" s="11" t="str">
        <f t="shared" si="71"/>
        <v/>
      </c>
      <c r="IR37" s="11" t="str">
        <f t="shared" si="72"/>
        <v/>
      </c>
      <c r="IS37" s="11" t="str">
        <f t="shared" si="73"/>
        <v/>
      </c>
      <c r="IT37" s="11" t="str">
        <f t="shared" si="74"/>
        <v/>
      </c>
      <c r="IU37" s="11" t="str">
        <f t="shared" si="75"/>
        <v/>
      </c>
      <c r="IV37" s="11" t="str">
        <f t="shared" si="76"/>
        <v/>
      </c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40" t="str">
        <f t="shared" si="77"/>
        <v/>
      </c>
      <c r="JR37" s="40" t="str">
        <f t="shared" si="78"/>
        <v/>
      </c>
      <c r="JS37" s="40" t="str">
        <f t="shared" si="79"/>
        <v/>
      </c>
      <c r="JT37" s="40" t="str">
        <f t="shared" si="80"/>
        <v/>
      </c>
      <c r="JU37" s="40" t="str">
        <f t="shared" si="81"/>
        <v/>
      </c>
      <c r="JV37" s="40" t="str">
        <f t="shared" si="82"/>
        <v/>
      </c>
      <c r="JW37" s="40" t="str">
        <f t="shared" si="83"/>
        <v/>
      </c>
      <c r="JX37" s="40" t="str">
        <f t="shared" si="84"/>
        <v/>
      </c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8"/>
      <c r="KM37" s="18"/>
      <c r="KN37" s="18"/>
      <c r="KO37" s="18"/>
      <c r="KP37" s="18"/>
      <c r="KQ37" s="18"/>
      <c r="KR37" s="18"/>
      <c r="KS37" s="11" t="str">
        <f t="shared" si="85"/>
        <v/>
      </c>
      <c r="KT37" s="11" t="str">
        <f t="shared" si="86"/>
        <v/>
      </c>
      <c r="KU37" s="11" t="str">
        <f t="shared" si="87"/>
        <v/>
      </c>
      <c r="KV37" s="11" t="str">
        <f t="shared" si="88"/>
        <v/>
      </c>
      <c r="KW37" s="11" t="str">
        <f t="shared" si="89"/>
        <v/>
      </c>
      <c r="KX37" s="11" t="str">
        <f t="shared" si="90"/>
        <v/>
      </c>
      <c r="KY37" s="11" t="str">
        <f t="shared" si="91"/>
        <v/>
      </c>
      <c r="KZ37" s="11" t="str">
        <f t="shared" si="92"/>
        <v/>
      </c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40" t="str">
        <f t="shared" si="93"/>
        <v/>
      </c>
      <c r="LV37" s="40" t="str">
        <f t="shared" si="94"/>
        <v/>
      </c>
      <c r="LW37" s="40" t="str">
        <f t="shared" si="95"/>
        <v/>
      </c>
      <c r="LX37" s="40" t="str">
        <f t="shared" si="96"/>
        <v/>
      </c>
      <c r="LY37" s="40" t="str">
        <f t="shared" si="97"/>
        <v/>
      </c>
      <c r="LZ37" s="40" t="str">
        <f t="shared" si="98"/>
        <v/>
      </c>
      <c r="MA37" s="40" t="str">
        <f t="shared" si="99"/>
        <v/>
      </c>
      <c r="MB37" s="40" t="str">
        <f t="shared" si="100"/>
        <v/>
      </c>
      <c r="MC37" s="18"/>
      <c r="MD37" s="18"/>
      <c r="ME37" s="18"/>
      <c r="MF37" s="18"/>
      <c r="MG37" s="18"/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1" t="str">
        <f t="shared" si="101"/>
        <v/>
      </c>
      <c r="MX37" s="11" t="str">
        <f t="shared" si="102"/>
        <v/>
      </c>
      <c r="MY37" s="11" t="str">
        <f t="shared" si="103"/>
        <v/>
      </c>
      <c r="MZ37" s="11" t="str">
        <f t="shared" si="104"/>
        <v/>
      </c>
      <c r="NA37" s="11" t="str">
        <f t="shared" si="105"/>
        <v/>
      </c>
      <c r="NB37" s="11" t="str">
        <f t="shared" si="106"/>
        <v/>
      </c>
      <c r="NC37" s="11" t="str">
        <f t="shared" si="107"/>
        <v/>
      </c>
      <c r="ND37" s="11" t="str">
        <f t="shared" si="108"/>
        <v/>
      </c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40" t="str">
        <f t="shared" si="109"/>
        <v/>
      </c>
      <c r="NZ37" s="40" t="str">
        <f t="shared" si="110"/>
        <v/>
      </c>
      <c r="OA37" s="40" t="str">
        <f t="shared" si="111"/>
        <v/>
      </c>
      <c r="OB37" s="40" t="str">
        <f t="shared" si="112"/>
        <v/>
      </c>
      <c r="OC37" s="40" t="str">
        <f t="shared" si="113"/>
        <v/>
      </c>
      <c r="OD37" s="40" t="str">
        <f t="shared" si="114"/>
        <v/>
      </c>
      <c r="OE37" s="40" t="str">
        <f t="shared" si="115"/>
        <v/>
      </c>
      <c r="OF37" s="40" t="str">
        <f t="shared" si="116"/>
        <v/>
      </c>
      <c r="OG37" s="18"/>
      <c r="OH37" s="18"/>
      <c r="OI37" s="18"/>
      <c r="OJ37" s="18"/>
      <c r="OK37" s="18"/>
      <c r="OL37" s="18"/>
      <c r="OM37" s="18"/>
      <c r="ON37" s="18"/>
      <c r="OO37" s="18"/>
      <c r="OP37" s="18"/>
      <c r="OQ37" s="18"/>
      <c r="OR37" s="18"/>
      <c r="OS37" s="18"/>
      <c r="OT37" s="18"/>
      <c r="OU37" s="18"/>
      <c r="OV37" s="18"/>
      <c r="OW37" s="18"/>
      <c r="OX37" s="18"/>
      <c r="OY37" s="18"/>
      <c r="OZ37" s="18"/>
      <c r="PA37" s="11" t="str">
        <f t="shared" si="117"/>
        <v/>
      </c>
      <c r="PB37" s="11" t="str">
        <f t="shared" si="118"/>
        <v/>
      </c>
      <c r="PC37" s="11" t="str">
        <f t="shared" si="119"/>
        <v/>
      </c>
      <c r="PD37" s="11" t="str">
        <f t="shared" si="120"/>
        <v/>
      </c>
      <c r="PE37" s="11" t="str">
        <f t="shared" si="121"/>
        <v/>
      </c>
      <c r="PF37" s="11" t="str">
        <f t="shared" si="122"/>
        <v/>
      </c>
      <c r="PG37" s="11" t="str">
        <f t="shared" si="123"/>
        <v/>
      </c>
      <c r="PH37" s="11" t="str">
        <f t="shared" si="124"/>
        <v/>
      </c>
      <c r="PI37" s="22">
        <f t="shared" si="125"/>
        <v>7.5</v>
      </c>
      <c r="PJ37" s="22">
        <f t="shared" si="126"/>
        <v>1.2</v>
      </c>
      <c r="PK37" s="22">
        <f t="shared" si="127"/>
        <v>0</v>
      </c>
      <c r="PL37" s="22">
        <f t="shared" si="128"/>
        <v>0</v>
      </c>
      <c r="PM37" s="22">
        <f t="shared" si="129"/>
        <v>7.6</v>
      </c>
      <c r="PN37" s="22">
        <f t="shared" si="130"/>
        <v>1.4</v>
      </c>
      <c r="PO37" s="22">
        <f t="shared" si="131"/>
        <v>0</v>
      </c>
      <c r="PP37" s="22">
        <f t="shared" si="132"/>
        <v>0</v>
      </c>
      <c r="PQ37" s="22">
        <f t="shared" si="133"/>
        <v>9.0500000000000007</v>
      </c>
      <c r="PR37" s="22">
        <f t="shared" si="134"/>
        <v>2.2000000000000002</v>
      </c>
      <c r="PS37" s="22">
        <f t="shared" si="135"/>
        <v>0.4</v>
      </c>
      <c r="PT37" s="22">
        <f t="shared" si="136"/>
        <v>0</v>
      </c>
      <c r="PU37" s="22">
        <f t="shared" si="137"/>
        <v>9.15</v>
      </c>
      <c r="PV37" s="22">
        <f t="shared" si="138"/>
        <v>2.8</v>
      </c>
      <c r="PW37" s="22">
        <f t="shared" si="139"/>
        <v>0.4</v>
      </c>
      <c r="PX37" s="22">
        <f t="shared" si="140"/>
        <v>0</v>
      </c>
      <c r="PY37" s="27" t="s">
        <v>46</v>
      </c>
      <c r="PZ37" s="40">
        <f t="shared" si="141"/>
        <v>2.5999999999999996</v>
      </c>
      <c r="QA37" s="40">
        <f t="shared" si="142"/>
        <v>17.699999999999996</v>
      </c>
      <c r="QB37" s="40">
        <f t="shared" si="143"/>
        <v>5</v>
      </c>
      <c r="QC37" s="40">
        <f t="shared" si="144"/>
        <v>22.4</v>
      </c>
      <c r="QD37" s="40">
        <f t="shared" si="145"/>
        <v>40.099999999999994</v>
      </c>
    </row>
    <row r="38" spans="1:446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117</v>
      </c>
      <c r="D38" s="4" t="s">
        <v>4</v>
      </c>
      <c r="E38" s="4">
        <v>2007</v>
      </c>
      <c r="F38" s="9">
        <f t="shared" si="0"/>
        <v>46.500004650004648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IF(COUNT(AM38,BI38,CE38)&gt;0,LARGE((AM38,BI38,CE38),1),0)</f>
        <v>46.5</v>
      </c>
      <c r="M38" s="8" t="str">
        <f t="shared" si="5"/>
        <v>2025 Elite Canada</v>
      </c>
      <c r="N38" s="8">
        <f>IF(COUNT(AM38,BI38,CE38)&gt;1,LARGE((AM38,BI38,CE38),2),0)</f>
        <v>0</v>
      </c>
      <c r="O38" s="8" t="str">
        <f t="shared" si="6"/>
        <v/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>
        <v>18.899999999999999</v>
      </c>
      <c r="V38" s="19">
        <v>5.6</v>
      </c>
      <c r="W38" s="19">
        <v>1.6</v>
      </c>
      <c r="X38" s="19">
        <v>0</v>
      </c>
      <c r="Y38" s="19">
        <v>19</v>
      </c>
      <c r="Z38" s="19">
        <v>5.6</v>
      </c>
      <c r="AA38" s="19">
        <v>1</v>
      </c>
      <c r="AB38" s="19">
        <v>0</v>
      </c>
      <c r="AC38" s="19"/>
      <c r="AD38" s="19"/>
      <c r="AE38" s="19"/>
      <c r="AF38" s="19"/>
      <c r="AG38" s="19"/>
      <c r="AH38" s="19"/>
      <c r="AI38" s="19"/>
      <c r="AJ38" s="19"/>
      <c r="AK38" s="27"/>
      <c r="AL38" s="40">
        <f t="shared" si="12"/>
        <v>11.2</v>
      </c>
      <c r="AM38" s="40">
        <f t="shared" si="13"/>
        <v>46.5</v>
      </c>
      <c r="AN38" s="40" t="str">
        <f t="shared" si="14"/>
        <v/>
      </c>
      <c r="AO38" s="40" t="str">
        <f t="shared" si="15"/>
        <v/>
      </c>
      <c r="AP38" s="40">
        <f t="shared" si="16"/>
        <v>46.5</v>
      </c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28"/>
      <c r="BH38" s="11" t="str">
        <f t="shared" si="17"/>
        <v/>
      </c>
      <c r="BI38" s="11" t="str">
        <f t="shared" si="18"/>
        <v/>
      </c>
      <c r="BJ38" s="11" t="str">
        <f t="shared" si="19"/>
        <v/>
      </c>
      <c r="BK38" s="11" t="str">
        <f t="shared" si="20"/>
        <v/>
      </c>
      <c r="BL38" s="11" t="str">
        <f t="shared" si="21"/>
        <v/>
      </c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27"/>
      <c r="CD38" s="40" t="str">
        <f t="shared" si="22"/>
        <v/>
      </c>
      <c r="CE38" s="40" t="str">
        <f t="shared" si="23"/>
        <v/>
      </c>
      <c r="CF38" s="40" t="str">
        <f t="shared" si="24"/>
        <v/>
      </c>
      <c r="CG38" s="40" t="str">
        <f t="shared" si="25"/>
        <v/>
      </c>
      <c r="CH38" s="40" t="str">
        <f t="shared" si="26"/>
        <v/>
      </c>
      <c r="CI38" s="50" t="str">
        <f t="shared" si="27"/>
        <v/>
      </c>
      <c r="CJ38" s="50" t="str">
        <f t="shared" si="28"/>
        <v/>
      </c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40" t="str">
        <f t="shared" si="29"/>
        <v/>
      </c>
      <c r="DF38" s="40" t="str">
        <f t="shared" si="30"/>
        <v/>
      </c>
      <c r="DG38" s="40" t="str">
        <f t="shared" si="31"/>
        <v/>
      </c>
      <c r="DH38" s="40" t="str">
        <f t="shared" si="32"/>
        <v/>
      </c>
      <c r="DI38" s="40" t="str">
        <f t="shared" si="33"/>
        <v/>
      </c>
      <c r="DJ38" s="40" t="str">
        <f t="shared" si="34"/>
        <v/>
      </c>
      <c r="DK38" s="40" t="str">
        <f t="shared" si="35"/>
        <v/>
      </c>
      <c r="DL38" s="40" t="str">
        <f t="shared" si="36"/>
        <v/>
      </c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1" t="str">
        <f t="shared" si="37"/>
        <v/>
      </c>
      <c r="EH38" s="11" t="str">
        <f t="shared" si="38"/>
        <v/>
      </c>
      <c r="EI38" s="11" t="str">
        <f t="shared" si="39"/>
        <v/>
      </c>
      <c r="EJ38" s="11" t="str">
        <f t="shared" si="40"/>
        <v/>
      </c>
      <c r="EK38" s="11" t="str">
        <f t="shared" si="41"/>
        <v/>
      </c>
      <c r="EL38" s="11" t="str">
        <f t="shared" si="42"/>
        <v/>
      </c>
      <c r="EM38" s="11" t="str">
        <f t="shared" si="43"/>
        <v/>
      </c>
      <c r="EN38" s="11" t="str">
        <f t="shared" si="44"/>
        <v/>
      </c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40" t="str">
        <f t="shared" si="45"/>
        <v/>
      </c>
      <c r="FJ38" s="40" t="str">
        <f t="shared" si="46"/>
        <v/>
      </c>
      <c r="FK38" s="40" t="str">
        <f t="shared" si="47"/>
        <v/>
      </c>
      <c r="FL38" s="40" t="str">
        <f t="shared" si="48"/>
        <v/>
      </c>
      <c r="FM38" s="40" t="str">
        <f t="shared" si="49"/>
        <v/>
      </c>
      <c r="FN38" s="40" t="str">
        <f t="shared" si="50"/>
        <v/>
      </c>
      <c r="FO38" s="40" t="str">
        <f t="shared" si="51"/>
        <v/>
      </c>
      <c r="FP38" s="40" t="str">
        <f t="shared" si="52"/>
        <v/>
      </c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1" t="str">
        <f t="shared" si="53"/>
        <v/>
      </c>
      <c r="GL38" s="11" t="str">
        <f t="shared" si="54"/>
        <v/>
      </c>
      <c r="GM38" s="11" t="str">
        <f t="shared" si="55"/>
        <v/>
      </c>
      <c r="GN38" s="11" t="str">
        <f t="shared" si="56"/>
        <v/>
      </c>
      <c r="GO38" s="11" t="str">
        <f t="shared" si="57"/>
        <v/>
      </c>
      <c r="GP38" s="11" t="str">
        <f t="shared" si="58"/>
        <v/>
      </c>
      <c r="GQ38" s="11" t="str">
        <f t="shared" si="59"/>
        <v/>
      </c>
      <c r="GR38" s="11" t="str">
        <f t="shared" si="60"/>
        <v/>
      </c>
      <c r="GS38" s="17"/>
      <c r="GT38" s="17"/>
      <c r="GU38" s="17"/>
      <c r="GV38" s="17"/>
      <c r="GW38" s="17"/>
      <c r="GX38" s="17"/>
      <c r="GY38" s="17"/>
      <c r="GZ38" s="17"/>
      <c r="HA38" s="17"/>
      <c r="HB38" s="17"/>
      <c r="HC38" s="17"/>
      <c r="HD38" s="17"/>
      <c r="HE38" s="17"/>
      <c r="HF38" s="17"/>
      <c r="HG38" s="17"/>
      <c r="HH38" s="17"/>
      <c r="HI38" s="17"/>
      <c r="HJ38" s="17"/>
      <c r="HK38" s="17"/>
      <c r="HL38" s="17"/>
      <c r="HM38" s="40" t="str">
        <f t="shared" si="61"/>
        <v/>
      </c>
      <c r="HN38" s="40" t="str">
        <f t="shared" si="62"/>
        <v/>
      </c>
      <c r="HO38" s="40" t="str">
        <f t="shared" si="63"/>
        <v/>
      </c>
      <c r="HP38" s="40" t="str">
        <f t="shared" si="64"/>
        <v/>
      </c>
      <c r="HQ38" s="40" t="str">
        <f t="shared" si="65"/>
        <v/>
      </c>
      <c r="HR38" s="40" t="str">
        <f t="shared" si="66"/>
        <v/>
      </c>
      <c r="HS38" s="40" t="str">
        <f t="shared" si="67"/>
        <v/>
      </c>
      <c r="HT38" s="40" t="str">
        <f t="shared" si="68"/>
        <v/>
      </c>
      <c r="HU38" s="18"/>
      <c r="HV38" s="18"/>
      <c r="HW38" s="18"/>
      <c r="HX38" s="18"/>
      <c r="HY38" s="18"/>
      <c r="HZ38" s="18"/>
      <c r="IA38" s="18"/>
      <c r="IB38" s="18"/>
      <c r="IC38" s="18"/>
      <c r="ID38" s="18"/>
      <c r="IE38" s="18"/>
      <c r="IF38" s="18"/>
      <c r="IG38" s="18"/>
      <c r="IH38" s="18"/>
      <c r="II38" s="18"/>
      <c r="IJ38" s="18"/>
      <c r="IK38" s="18"/>
      <c r="IL38" s="18"/>
      <c r="IM38" s="18"/>
      <c r="IN38" s="18"/>
      <c r="IO38" s="11" t="str">
        <f t="shared" si="69"/>
        <v/>
      </c>
      <c r="IP38" s="11" t="str">
        <f t="shared" si="70"/>
        <v/>
      </c>
      <c r="IQ38" s="11" t="str">
        <f t="shared" si="71"/>
        <v/>
      </c>
      <c r="IR38" s="11" t="str">
        <f t="shared" si="72"/>
        <v/>
      </c>
      <c r="IS38" s="11" t="str">
        <f t="shared" si="73"/>
        <v/>
      </c>
      <c r="IT38" s="11" t="str">
        <f t="shared" si="74"/>
        <v/>
      </c>
      <c r="IU38" s="11" t="str">
        <f t="shared" si="75"/>
        <v/>
      </c>
      <c r="IV38" s="11" t="str">
        <f t="shared" si="76"/>
        <v/>
      </c>
      <c r="IW38" s="17"/>
      <c r="IX38" s="17"/>
      <c r="IY38" s="17"/>
      <c r="IZ38" s="17"/>
      <c r="JA38" s="17"/>
      <c r="JB38" s="17"/>
      <c r="JC38" s="17"/>
      <c r="JD38" s="17"/>
      <c r="JE38" s="17"/>
      <c r="JF38" s="17"/>
      <c r="JG38" s="17"/>
      <c r="JH38" s="17"/>
      <c r="JI38" s="17"/>
      <c r="JJ38" s="17"/>
      <c r="JK38" s="17"/>
      <c r="JL38" s="17"/>
      <c r="JM38" s="17"/>
      <c r="JN38" s="17"/>
      <c r="JO38" s="17"/>
      <c r="JP38" s="17"/>
      <c r="JQ38" s="40" t="str">
        <f t="shared" si="77"/>
        <v/>
      </c>
      <c r="JR38" s="40" t="str">
        <f t="shared" si="78"/>
        <v/>
      </c>
      <c r="JS38" s="40" t="str">
        <f t="shared" si="79"/>
        <v/>
      </c>
      <c r="JT38" s="40" t="str">
        <f t="shared" si="80"/>
        <v/>
      </c>
      <c r="JU38" s="40" t="str">
        <f t="shared" si="81"/>
        <v/>
      </c>
      <c r="JV38" s="40" t="str">
        <f t="shared" si="82"/>
        <v/>
      </c>
      <c r="JW38" s="40" t="str">
        <f t="shared" si="83"/>
        <v/>
      </c>
      <c r="JX38" s="40" t="str">
        <f t="shared" si="84"/>
        <v/>
      </c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8"/>
      <c r="KM38" s="18"/>
      <c r="KN38" s="18"/>
      <c r="KO38" s="18"/>
      <c r="KP38" s="18"/>
      <c r="KQ38" s="18"/>
      <c r="KR38" s="18"/>
      <c r="KS38" s="11" t="str">
        <f t="shared" si="85"/>
        <v/>
      </c>
      <c r="KT38" s="11" t="str">
        <f t="shared" si="86"/>
        <v/>
      </c>
      <c r="KU38" s="11" t="str">
        <f t="shared" si="87"/>
        <v/>
      </c>
      <c r="KV38" s="11" t="str">
        <f t="shared" si="88"/>
        <v/>
      </c>
      <c r="KW38" s="11" t="str">
        <f t="shared" si="89"/>
        <v/>
      </c>
      <c r="KX38" s="11" t="str">
        <f t="shared" si="90"/>
        <v/>
      </c>
      <c r="KY38" s="11" t="str">
        <f t="shared" si="91"/>
        <v/>
      </c>
      <c r="KZ38" s="11" t="str">
        <f t="shared" si="92"/>
        <v/>
      </c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17"/>
      <c r="LU38" s="40" t="str">
        <f t="shared" si="93"/>
        <v/>
      </c>
      <c r="LV38" s="40" t="str">
        <f t="shared" si="94"/>
        <v/>
      </c>
      <c r="LW38" s="40" t="str">
        <f t="shared" si="95"/>
        <v/>
      </c>
      <c r="LX38" s="40" t="str">
        <f t="shared" si="96"/>
        <v/>
      </c>
      <c r="LY38" s="40" t="str">
        <f t="shared" si="97"/>
        <v/>
      </c>
      <c r="LZ38" s="40" t="str">
        <f t="shared" si="98"/>
        <v/>
      </c>
      <c r="MA38" s="40" t="str">
        <f t="shared" si="99"/>
        <v/>
      </c>
      <c r="MB38" s="40" t="str">
        <f t="shared" si="100"/>
        <v/>
      </c>
      <c r="MC38" s="18"/>
      <c r="MD38" s="18"/>
      <c r="ME38" s="18"/>
      <c r="MF38" s="18"/>
      <c r="MG38" s="18"/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1" t="str">
        <f t="shared" si="101"/>
        <v/>
      </c>
      <c r="MX38" s="11" t="str">
        <f t="shared" si="102"/>
        <v/>
      </c>
      <c r="MY38" s="11" t="str">
        <f t="shared" si="103"/>
        <v/>
      </c>
      <c r="MZ38" s="11" t="str">
        <f t="shared" si="104"/>
        <v/>
      </c>
      <c r="NA38" s="11" t="str">
        <f t="shared" si="105"/>
        <v/>
      </c>
      <c r="NB38" s="11" t="str">
        <f t="shared" si="106"/>
        <v/>
      </c>
      <c r="NC38" s="11" t="str">
        <f t="shared" si="107"/>
        <v/>
      </c>
      <c r="ND38" s="11" t="str">
        <f t="shared" si="108"/>
        <v/>
      </c>
      <c r="NE38" s="17"/>
      <c r="NF38" s="17"/>
      <c r="NG38" s="17"/>
      <c r="NH38" s="17"/>
      <c r="NI38" s="17"/>
      <c r="NJ38" s="17"/>
      <c r="NK38" s="17"/>
      <c r="NL38" s="17"/>
      <c r="NM38" s="17"/>
      <c r="NN38" s="17"/>
      <c r="NO38" s="17"/>
      <c r="NP38" s="17"/>
      <c r="NQ38" s="17"/>
      <c r="NR38" s="17"/>
      <c r="NS38" s="17"/>
      <c r="NT38" s="17"/>
      <c r="NU38" s="17"/>
      <c r="NV38" s="17"/>
      <c r="NW38" s="17"/>
      <c r="NX38" s="17"/>
      <c r="NY38" s="40" t="str">
        <f t="shared" si="109"/>
        <v/>
      </c>
      <c r="NZ38" s="40" t="str">
        <f t="shared" si="110"/>
        <v/>
      </c>
      <c r="OA38" s="40" t="str">
        <f t="shared" si="111"/>
        <v/>
      </c>
      <c r="OB38" s="40" t="str">
        <f t="shared" si="112"/>
        <v/>
      </c>
      <c r="OC38" s="40" t="str">
        <f t="shared" si="113"/>
        <v/>
      </c>
      <c r="OD38" s="40" t="str">
        <f t="shared" si="114"/>
        <v/>
      </c>
      <c r="OE38" s="40" t="str">
        <f t="shared" si="115"/>
        <v/>
      </c>
      <c r="OF38" s="40" t="str">
        <f t="shared" si="116"/>
        <v/>
      </c>
      <c r="OG38" s="18"/>
      <c r="OH38" s="18"/>
      <c r="OI38" s="18"/>
      <c r="OJ38" s="18"/>
      <c r="OK38" s="18"/>
      <c r="OL38" s="18"/>
      <c r="OM38" s="18"/>
      <c r="ON38" s="18"/>
      <c r="OO38" s="18"/>
      <c r="OP38" s="18"/>
      <c r="OQ38" s="18"/>
      <c r="OR38" s="18"/>
      <c r="OS38" s="18"/>
      <c r="OT38" s="18"/>
      <c r="OU38" s="18"/>
      <c r="OV38" s="18"/>
      <c r="OW38" s="18"/>
      <c r="OX38" s="18"/>
      <c r="OY38" s="18"/>
      <c r="OZ38" s="18"/>
      <c r="PA38" s="11" t="str">
        <f t="shared" si="117"/>
        <v/>
      </c>
      <c r="PB38" s="11" t="str">
        <f t="shared" si="118"/>
        <v/>
      </c>
      <c r="PC38" s="11" t="str">
        <f t="shared" si="119"/>
        <v/>
      </c>
      <c r="PD38" s="11" t="str">
        <f t="shared" si="120"/>
        <v/>
      </c>
      <c r="PE38" s="11" t="str">
        <f t="shared" si="121"/>
        <v/>
      </c>
      <c r="PF38" s="11" t="str">
        <f t="shared" si="122"/>
        <v/>
      </c>
      <c r="PG38" s="11" t="str">
        <f t="shared" si="123"/>
        <v/>
      </c>
      <c r="PH38" s="11" t="str">
        <f t="shared" si="124"/>
        <v/>
      </c>
      <c r="PI38" s="22">
        <f t="shared" si="125"/>
        <v>0</v>
      </c>
      <c r="PJ38" s="22">
        <f t="shared" si="126"/>
        <v>0</v>
      </c>
      <c r="PK38" s="22">
        <f t="shared" si="127"/>
        <v>0</v>
      </c>
      <c r="PL38" s="22">
        <f t="shared" si="128"/>
        <v>0</v>
      </c>
      <c r="PM38" s="22">
        <f t="shared" si="129"/>
        <v>0</v>
      </c>
      <c r="PN38" s="22">
        <f t="shared" si="130"/>
        <v>0</v>
      </c>
      <c r="PO38" s="22">
        <f t="shared" si="131"/>
        <v>0</v>
      </c>
      <c r="PP38" s="22">
        <f t="shared" si="132"/>
        <v>0</v>
      </c>
      <c r="PQ38" s="22">
        <f t="shared" si="133"/>
        <v>0</v>
      </c>
      <c r="PR38" s="22">
        <f t="shared" si="134"/>
        <v>0</v>
      </c>
      <c r="PS38" s="22">
        <f t="shared" si="135"/>
        <v>0</v>
      </c>
      <c r="PT38" s="22">
        <f t="shared" si="136"/>
        <v>0</v>
      </c>
      <c r="PU38" s="22">
        <f t="shared" si="137"/>
        <v>0</v>
      </c>
      <c r="PV38" s="22">
        <f t="shared" si="138"/>
        <v>0</v>
      </c>
      <c r="PW38" s="22">
        <f t="shared" si="139"/>
        <v>0</v>
      </c>
      <c r="PX38" s="22">
        <f t="shared" si="140"/>
        <v>0</v>
      </c>
      <c r="PY38" s="27" t="s">
        <v>46</v>
      </c>
      <c r="PZ38" s="40" t="str">
        <f t="shared" si="141"/>
        <v/>
      </c>
      <c r="QA38" s="40" t="str">
        <f t="shared" si="142"/>
        <v/>
      </c>
      <c r="QB38" s="40" t="str">
        <f t="shared" si="143"/>
        <v/>
      </c>
      <c r="QC38" s="40" t="str">
        <f t="shared" si="144"/>
        <v/>
      </c>
      <c r="QD38" s="40" t="str">
        <f t="shared" si="145"/>
        <v/>
      </c>
    </row>
    <row r="39" spans="1:446" ht="17" x14ac:dyDescent="0.2">
      <c r="R39" s="10"/>
      <c r="S39" s="10"/>
      <c r="T39" s="10"/>
    </row>
    <row r="40" spans="1:446" ht="17" x14ac:dyDescent="0.2">
      <c r="R40" s="10"/>
      <c r="S40" s="10"/>
      <c r="T40" s="10"/>
    </row>
    <row r="41" spans="1:446" ht="17" x14ac:dyDescent="0.2">
      <c r="C41" s="23" t="s">
        <v>44</v>
      </c>
      <c r="R41" s="10"/>
      <c r="S41" s="10"/>
      <c r="T41" s="10"/>
      <c r="AL41" s="4"/>
      <c r="AP41" s="42">
        <v>14.8</v>
      </c>
      <c r="BH41" s="4"/>
      <c r="BL41" s="42">
        <v>14.8</v>
      </c>
      <c r="CD41" s="4"/>
      <c r="CH41" s="42">
        <v>14.8</v>
      </c>
      <c r="DE41" s="4"/>
      <c r="DL41" s="42">
        <v>14.8</v>
      </c>
      <c r="EG41" s="4"/>
      <c r="EN41" s="42">
        <v>14.8</v>
      </c>
      <c r="FI41" s="4"/>
      <c r="FP41" s="42">
        <v>14.8</v>
      </c>
      <c r="GK41" s="4"/>
      <c r="GR41" s="42">
        <v>14.8</v>
      </c>
      <c r="HM41" s="4"/>
      <c r="HT41" s="42">
        <v>14.8</v>
      </c>
      <c r="IO41" s="4"/>
      <c r="IV41" s="42">
        <v>14.8</v>
      </c>
      <c r="JQ41" s="4"/>
      <c r="JX41" s="42">
        <v>14.8</v>
      </c>
      <c r="KS41" s="4"/>
      <c r="KZ41" s="42">
        <v>14.8</v>
      </c>
      <c r="LU41" s="4"/>
      <c r="MB41" s="42">
        <v>14.8</v>
      </c>
      <c r="MW41" s="4"/>
      <c r="ND41" s="42">
        <v>14.8</v>
      </c>
      <c r="NY41" s="4"/>
      <c r="OF41" s="42">
        <v>14.8</v>
      </c>
      <c r="PA41" s="4"/>
      <c r="PH41" s="42">
        <v>14.8</v>
      </c>
    </row>
    <row r="42" spans="1:446" ht="17" hidden="1" x14ac:dyDescent="0.2">
      <c r="C42" s="30" t="s">
        <v>43</v>
      </c>
      <c r="R42" s="10"/>
      <c r="S42" s="10"/>
      <c r="T42" s="10"/>
      <c r="AL42" s="4"/>
      <c r="AP42" s="51">
        <v>1000</v>
      </c>
      <c r="BH42" s="4"/>
      <c r="BL42" s="51">
        <v>1000</v>
      </c>
      <c r="CD42" s="4"/>
      <c r="CH42" s="51">
        <v>1000</v>
      </c>
      <c r="DE42" s="4"/>
      <c r="DL42" s="51">
        <v>1000</v>
      </c>
      <c r="EG42" s="4"/>
      <c r="EN42" s="51">
        <v>1000</v>
      </c>
      <c r="FI42" s="4"/>
      <c r="FP42" s="51">
        <v>1000</v>
      </c>
      <c r="GK42" s="4"/>
      <c r="GR42" s="51">
        <v>1000</v>
      </c>
      <c r="HM42" s="4"/>
      <c r="HT42" s="51">
        <v>1000</v>
      </c>
      <c r="IO42" s="4"/>
      <c r="IV42" s="51">
        <v>1000</v>
      </c>
      <c r="JQ42" s="4"/>
      <c r="JX42" s="51">
        <v>1000</v>
      </c>
      <c r="KS42" s="4"/>
      <c r="KZ42" s="51">
        <v>1000</v>
      </c>
      <c r="LU42" s="4"/>
      <c r="MB42" s="51">
        <v>1000</v>
      </c>
      <c r="MW42" s="4"/>
      <c r="ND42" s="51">
        <v>1000</v>
      </c>
      <c r="NY42" s="4"/>
      <c r="OF42" s="51">
        <v>1000</v>
      </c>
      <c r="PA42" s="4"/>
      <c r="PH42" s="51">
        <v>1000</v>
      </c>
    </row>
    <row r="43" spans="1:446" ht="17" hidden="1" x14ac:dyDescent="0.2">
      <c r="A43" s="5"/>
      <c r="B43" s="5"/>
      <c r="C43" s="31" t="s">
        <v>55</v>
      </c>
      <c r="D43" s="20"/>
      <c r="R43" s="10"/>
      <c r="S43" s="10"/>
      <c r="T43" s="10"/>
      <c r="AL43" s="4"/>
      <c r="AP43" s="43">
        <v>1000</v>
      </c>
      <c r="BH43" s="4"/>
      <c r="BL43" s="43">
        <v>1000</v>
      </c>
      <c r="CD43" s="4"/>
      <c r="CH43" s="43">
        <v>1000</v>
      </c>
      <c r="DE43" s="4"/>
      <c r="DL43" s="43">
        <v>1000</v>
      </c>
      <c r="EG43" s="4"/>
      <c r="EN43" s="43">
        <v>1000</v>
      </c>
      <c r="FI43" s="4"/>
      <c r="FP43" s="43">
        <v>1000</v>
      </c>
      <c r="GK43" s="4"/>
      <c r="GR43" s="43">
        <v>1000</v>
      </c>
      <c r="HM43" s="4"/>
      <c r="HT43" s="43">
        <v>1000</v>
      </c>
      <c r="IO43" s="4"/>
      <c r="IV43" s="43">
        <v>1000</v>
      </c>
      <c r="JQ43" s="4"/>
      <c r="JX43" s="43">
        <v>1000</v>
      </c>
      <c r="KS43" s="4"/>
      <c r="KZ43" s="43">
        <v>1000</v>
      </c>
      <c r="LU43" s="4"/>
      <c r="MB43" s="43">
        <v>1000</v>
      </c>
      <c r="MW43" s="4"/>
      <c r="ND43" s="43">
        <v>1000</v>
      </c>
      <c r="NY43" s="4"/>
      <c r="OF43" s="43">
        <v>1000</v>
      </c>
      <c r="PA43" s="4"/>
      <c r="PH43" s="43">
        <v>1000</v>
      </c>
    </row>
    <row r="44" spans="1:446" ht="17" hidden="1" x14ac:dyDescent="0.2">
      <c r="A44" s="5"/>
      <c r="B44" s="5"/>
      <c r="C44" s="35" t="s">
        <v>60</v>
      </c>
      <c r="D44" s="20"/>
      <c r="R44" s="10"/>
      <c r="S44" s="10"/>
      <c r="T44" s="10"/>
      <c r="AL44" s="4"/>
      <c r="AP44" s="62">
        <v>1000</v>
      </c>
      <c r="BH44" s="4"/>
      <c r="BL44" s="62">
        <v>1000</v>
      </c>
      <c r="CD44" s="4"/>
      <c r="CH44" s="62">
        <v>1000</v>
      </c>
      <c r="DE44" s="4"/>
      <c r="DL44" s="62">
        <v>1000</v>
      </c>
      <c r="EG44" s="4"/>
      <c r="EN44" s="62">
        <v>1000</v>
      </c>
      <c r="FI44" s="4"/>
      <c r="FP44" s="62">
        <v>1000</v>
      </c>
      <c r="GK44" s="4"/>
      <c r="GR44" s="62">
        <v>1000</v>
      </c>
      <c r="HM44" s="4"/>
      <c r="HT44" s="62">
        <v>1000</v>
      </c>
      <c r="IO44" s="4"/>
      <c r="IV44" s="62">
        <v>1000</v>
      </c>
      <c r="JQ44" s="4"/>
      <c r="JX44" s="62">
        <v>1000</v>
      </c>
      <c r="KS44" s="4"/>
      <c r="KZ44" s="62">
        <v>1000</v>
      </c>
      <c r="LU44" s="4"/>
      <c r="MB44" s="62">
        <v>1000</v>
      </c>
      <c r="MW44" s="4"/>
      <c r="ND44" s="62">
        <v>1000</v>
      </c>
      <c r="NY44" s="4"/>
      <c r="OF44" s="62">
        <v>1000</v>
      </c>
      <c r="PA44" s="4"/>
      <c r="PH44" s="62">
        <v>1000</v>
      </c>
    </row>
    <row r="45" spans="1:446" ht="17" x14ac:dyDescent="0.2">
      <c r="A45" s="5"/>
      <c r="B45" s="5"/>
      <c r="C45" s="34" t="s">
        <v>41</v>
      </c>
      <c r="D45" s="20"/>
      <c r="R45" s="10"/>
      <c r="S45" s="10"/>
      <c r="T45" s="10"/>
      <c r="AL45" s="4"/>
      <c r="AP45" s="63">
        <v>51.6</v>
      </c>
      <c r="BH45" s="4"/>
      <c r="BL45" s="63">
        <v>51.6</v>
      </c>
      <c r="CD45" s="4"/>
      <c r="CH45" s="63">
        <v>51.6</v>
      </c>
      <c r="DE45" s="4"/>
      <c r="DL45" s="63">
        <v>51.6</v>
      </c>
      <c r="EG45" s="4"/>
      <c r="EN45" s="63">
        <v>51.6</v>
      </c>
      <c r="FI45" s="4"/>
      <c r="FP45" s="63">
        <v>51.6</v>
      </c>
      <c r="GK45" s="4"/>
      <c r="GR45" s="63">
        <v>51.6</v>
      </c>
      <c r="HM45" s="4"/>
      <c r="HT45" s="63">
        <v>51.6</v>
      </c>
      <c r="IO45" s="4"/>
      <c r="IV45" s="63">
        <v>51.6</v>
      </c>
      <c r="JQ45" s="4"/>
      <c r="JX45" s="63">
        <v>51.6</v>
      </c>
      <c r="KS45" s="4"/>
      <c r="KZ45" s="63">
        <v>51.6</v>
      </c>
      <c r="LU45" s="4"/>
      <c r="MB45" s="63">
        <v>51.6</v>
      </c>
      <c r="MW45" s="4"/>
      <c r="ND45" s="63">
        <v>51.6</v>
      </c>
      <c r="NY45" s="4"/>
      <c r="OF45" s="63">
        <v>51.6</v>
      </c>
      <c r="PA45" s="4"/>
      <c r="PH45" s="63">
        <v>51.6</v>
      </c>
    </row>
    <row r="46" spans="1:446" ht="17" hidden="1" x14ac:dyDescent="0.2">
      <c r="A46" s="5"/>
      <c r="B46" s="5"/>
      <c r="C46" s="24" t="s">
        <v>42</v>
      </c>
      <c r="D46" s="20"/>
      <c r="R46" s="10"/>
      <c r="S46" s="10"/>
      <c r="T46" s="10"/>
      <c r="AL46" s="4"/>
      <c r="AP46" s="46">
        <v>1000</v>
      </c>
      <c r="BH46" s="4"/>
      <c r="BL46" s="46">
        <v>1000</v>
      </c>
      <c r="CD46" s="4"/>
      <c r="CH46" s="46">
        <v>1000</v>
      </c>
      <c r="DE46" s="4"/>
      <c r="DL46" s="46">
        <v>1000</v>
      </c>
      <c r="EG46" s="4"/>
      <c r="EN46" s="46">
        <v>1000</v>
      </c>
      <c r="FI46" s="4"/>
      <c r="FP46" s="46">
        <v>1000</v>
      </c>
      <c r="GK46" s="4"/>
      <c r="GR46" s="46">
        <v>1000</v>
      </c>
      <c r="HM46" s="4"/>
      <c r="HT46" s="46">
        <v>1000</v>
      </c>
      <c r="IO46" s="4"/>
      <c r="IV46" s="46">
        <v>1000</v>
      </c>
      <c r="JQ46" s="4"/>
      <c r="JX46" s="46">
        <v>1000</v>
      </c>
      <c r="KS46" s="4"/>
      <c r="KZ46" s="46">
        <v>1000</v>
      </c>
      <c r="LU46" s="4"/>
      <c r="MB46" s="46">
        <v>1000</v>
      </c>
      <c r="MW46" s="4"/>
      <c r="ND46" s="46">
        <v>1000</v>
      </c>
      <c r="NY46" s="4"/>
      <c r="OF46" s="46">
        <v>1000</v>
      </c>
      <c r="PA46" s="4"/>
      <c r="PH46" s="46">
        <v>1000</v>
      </c>
    </row>
    <row r="47" spans="1:446" ht="17" hidden="1" x14ac:dyDescent="0.2">
      <c r="A47" s="5"/>
      <c r="B47" s="5"/>
      <c r="C47" s="33" t="s">
        <v>54</v>
      </c>
      <c r="D47" s="20"/>
      <c r="R47" s="10"/>
      <c r="S47" s="10"/>
      <c r="T47" s="10"/>
      <c r="AL47" s="4"/>
      <c r="AP47" s="47">
        <v>1000</v>
      </c>
      <c r="BH47" s="4"/>
      <c r="BL47" s="47">
        <v>1000</v>
      </c>
      <c r="CD47" s="4"/>
      <c r="CH47" s="47">
        <v>1000</v>
      </c>
      <c r="DE47" s="4"/>
      <c r="DL47" s="47">
        <v>1000</v>
      </c>
      <c r="EG47" s="4"/>
      <c r="EN47" s="47">
        <v>1000</v>
      </c>
      <c r="FI47" s="4"/>
      <c r="FP47" s="47">
        <v>1000</v>
      </c>
      <c r="GK47" s="4"/>
      <c r="GR47" s="47">
        <v>1000</v>
      </c>
      <c r="HM47" s="4"/>
      <c r="HT47" s="47">
        <v>1000</v>
      </c>
      <c r="IO47" s="4"/>
      <c r="IV47" s="47">
        <v>1000</v>
      </c>
      <c r="JQ47" s="4"/>
      <c r="JX47" s="47">
        <v>1000</v>
      </c>
      <c r="KS47" s="4"/>
      <c r="KZ47" s="47">
        <v>1000</v>
      </c>
      <c r="LU47" s="4"/>
      <c r="MB47" s="47">
        <v>1000</v>
      </c>
      <c r="MW47" s="4"/>
      <c r="ND47" s="47">
        <v>1000</v>
      </c>
      <c r="NY47" s="4"/>
      <c r="OF47" s="47">
        <v>1000</v>
      </c>
      <c r="PA47" s="4"/>
      <c r="PH47" s="47">
        <v>1000</v>
      </c>
    </row>
    <row r="48" spans="1:446" ht="17" hidden="1" x14ac:dyDescent="0.2">
      <c r="A48" s="5"/>
      <c r="B48" s="5"/>
      <c r="C48" s="25" t="s">
        <v>27</v>
      </c>
      <c r="D48" s="20"/>
      <c r="R48" s="10"/>
      <c r="S48" s="10"/>
      <c r="T48" s="10"/>
      <c r="AL48" s="4"/>
      <c r="AP48" s="48">
        <v>1000</v>
      </c>
      <c r="BH48" s="4"/>
      <c r="BL48" s="48">
        <v>1000</v>
      </c>
      <c r="CD48" s="4"/>
      <c r="CH48" s="48">
        <v>1000</v>
      </c>
      <c r="DE48" s="4"/>
      <c r="DL48" s="48">
        <v>1000</v>
      </c>
      <c r="EG48" s="4"/>
      <c r="EN48" s="48">
        <v>1000</v>
      </c>
      <c r="FI48" s="4"/>
      <c r="FP48" s="48">
        <v>1000</v>
      </c>
      <c r="GK48" s="4"/>
      <c r="GR48" s="48">
        <v>1000</v>
      </c>
      <c r="HM48" s="4"/>
      <c r="HT48" s="48">
        <v>1000</v>
      </c>
      <c r="IO48" s="4"/>
      <c r="IV48" s="48">
        <v>1000</v>
      </c>
      <c r="JQ48" s="4"/>
      <c r="JX48" s="48">
        <v>1000</v>
      </c>
      <c r="KS48" s="4"/>
      <c r="KZ48" s="48">
        <v>1000</v>
      </c>
      <c r="LU48" s="4"/>
      <c r="MB48" s="48">
        <v>1000</v>
      </c>
      <c r="MW48" s="4"/>
      <c r="ND48" s="48">
        <v>1000</v>
      </c>
      <c r="NY48" s="4"/>
      <c r="OF48" s="48">
        <v>1000</v>
      </c>
      <c r="PA48" s="4"/>
      <c r="PH48" s="48">
        <v>1000</v>
      </c>
    </row>
    <row r="49" spans="1:432" x14ac:dyDescent="0.2">
      <c r="C49" s="29" t="s">
        <v>47</v>
      </c>
      <c r="D49" s="2"/>
    </row>
    <row r="50" spans="1:432" x14ac:dyDescent="0.2">
      <c r="A50" s="5"/>
      <c r="B50" s="5"/>
      <c r="C50" s="5"/>
      <c r="D50" s="20"/>
      <c r="PJ50" s="2"/>
      <c r="PK50" s="2"/>
      <c r="PL50" s="2"/>
      <c r="PM50" s="2"/>
      <c r="PN50" s="2"/>
      <c r="PO50" s="2"/>
      <c r="PP50" s="2"/>
    </row>
    <row r="51" spans="1:432" x14ac:dyDescent="0.2">
      <c r="A51" s="5"/>
      <c r="B51" s="5"/>
      <c r="C51" s="5"/>
      <c r="D51" s="20"/>
    </row>
    <row r="52" spans="1:432" x14ac:dyDescent="0.2">
      <c r="A52" s="5"/>
      <c r="B52" s="5"/>
      <c r="C52" s="5"/>
      <c r="D52" s="20"/>
    </row>
    <row r="53" spans="1:432" x14ac:dyDescent="0.2">
      <c r="A53" s="5"/>
      <c r="B53" s="5"/>
      <c r="C53" s="5"/>
      <c r="D53" s="5"/>
    </row>
  </sheetData>
  <sheetProtection sheet="1" formatCells="0" formatColumns="0" formatRows="0"/>
  <autoFilter ref="A1:QD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6:QD38">
      <sortCondition descending="1" ref="H1:H39"/>
    </sortState>
  </autoFilter>
  <mergeCells count="113">
    <mergeCell ref="JE2:JH2"/>
    <mergeCell ref="JI2:JL2"/>
    <mergeCell ref="JM2:JP2"/>
    <mergeCell ref="JY2:KB2"/>
    <mergeCell ref="KC2:KF2"/>
    <mergeCell ref="KG2:KJ2"/>
    <mergeCell ref="LQ2:LT2"/>
    <mergeCell ref="MC2:MF2"/>
    <mergeCell ref="MG2:MJ2"/>
    <mergeCell ref="MK2:MN2"/>
    <mergeCell ref="MO2:MR2"/>
    <mergeCell ref="MS2:MV2"/>
    <mergeCell ref="KK2:KN2"/>
    <mergeCell ref="KO2:KR2"/>
    <mergeCell ref="LA2:LD2"/>
    <mergeCell ref="LE2:LH2"/>
    <mergeCell ref="LI2:LL2"/>
    <mergeCell ref="LM2:LP2"/>
    <mergeCell ref="PQ2:PT2"/>
    <mergeCell ref="PU2:PX2"/>
    <mergeCell ref="OK2:ON2"/>
    <mergeCell ref="OO2:OR2"/>
    <mergeCell ref="OS2:OV2"/>
    <mergeCell ref="OW2:OZ2"/>
    <mergeCell ref="PI2:PL2"/>
    <mergeCell ref="PM2:PP2"/>
    <mergeCell ref="NE2:NH2"/>
    <mergeCell ref="NI2:NL2"/>
    <mergeCell ref="NM2:NP2"/>
    <mergeCell ref="NQ2:NT2"/>
    <mergeCell ref="NU2:NX2"/>
    <mergeCell ref="OG2:OJ2"/>
    <mergeCell ref="FA2:FD2"/>
    <mergeCell ref="HY2:IB2"/>
    <mergeCell ref="IC2:IF2"/>
    <mergeCell ref="IG2:IJ2"/>
    <mergeCell ref="IK2:IN2"/>
    <mergeCell ref="IW2:IZ2"/>
    <mergeCell ref="GW2:GZ2"/>
    <mergeCell ref="HA2:HD2"/>
    <mergeCell ref="HE2:HH2"/>
    <mergeCell ref="HI2:HL2"/>
    <mergeCell ref="HU2:HX2"/>
    <mergeCell ref="BM2:BP2"/>
    <mergeCell ref="LA1:MB1"/>
    <mergeCell ref="MC1:ND1"/>
    <mergeCell ref="NE1:OF1"/>
    <mergeCell ref="CS2:CV2"/>
    <mergeCell ref="CW2:CZ2"/>
    <mergeCell ref="DA2:DD2"/>
    <mergeCell ref="DM2:DP2"/>
    <mergeCell ref="DQ2:DT2"/>
    <mergeCell ref="DU2:DX2"/>
    <mergeCell ref="BQ2:BT2"/>
    <mergeCell ref="BU2:BX2"/>
    <mergeCell ref="BY2:CB2"/>
    <mergeCell ref="CK2:CN2"/>
    <mergeCell ref="CO2:CR2"/>
    <mergeCell ref="FE2:FH2"/>
    <mergeCell ref="FQ2:FT2"/>
    <mergeCell ref="FU2:FX2"/>
    <mergeCell ref="FY2:GB2"/>
    <mergeCell ref="GC2:GF2"/>
    <mergeCell ref="GG2:GJ2"/>
    <mergeCell ref="EO2:ER2"/>
    <mergeCell ref="ES2:EV2"/>
    <mergeCell ref="EW2:EZ2"/>
    <mergeCell ref="DY2:EB2"/>
    <mergeCell ref="EC2:EF2"/>
    <mergeCell ref="OG1:PH1"/>
    <mergeCell ref="PI1:QD1"/>
    <mergeCell ref="U2:X2"/>
    <mergeCell ref="Y2:AB2"/>
    <mergeCell ref="AC2:AF2"/>
    <mergeCell ref="AG2:AJ2"/>
    <mergeCell ref="EO1:FP1"/>
    <mergeCell ref="FQ1:GR1"/>
    <mergeCell ref="GS1:HT1"/>
    <mergeCell ref="HU1:IV1"/>
    <mergeCell ref="IW1:JX1"/>
    <mergeCell ref="JY1:KZ1"/>
    <mergeCell ref="U1:AP1"/>
    <mergeCell ref="AQ1:BL1"/>
    <mergeCell ref="BM1:CH1"/>
    <mergeCell ref="CI1:CJ1"/>
    <mergeCell ref="CK1:DL1"/>
    <mergeCell ref="DM1:EN1"/>
    <mergeCell ref="AQ2:AT2"/>
    <mergeCell ref="AU2:AX2"/>
    <mergeCell ref="JA2:JD2"/>
    <mergeCell ref="GS2:GV2"/>
    <mergeCell ref="AY2:BB2"/>
    <mergeCell ref="BC2:BF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A4:B1048576">
    <cfRule type="expression" dxfId="63" priority="1">
      <formula>AND($I4="P",$H4="")</formula>
    </cfRule>
    <cfRule type="expression" dxfId="62" priority="22" stopIfTrue="1">
      <formula>IF(A4&gt;4,1,0)</formula>
    </cfRule>
  </conditionalFormatting>
  <conditionalFormatting sqref="J1:J1048576">
    <cfRule type="containsText" dxfId="61" priority="14" operator="containsText" text="No DD">
      <formula>NOT(ISERROR(SEARCH("No DD",J1)))</formula>
    </cfRule>
    <cfRule type="containsText" dxfId="60" priority="15" operator="containsText" text="Merit">
      <formula>NOT(ISERROR(SEARCH("Merit",J1)))</formula>
    </cfRule>
    <cfRule type="containsText" dxfId="59" priority="16" operator="containsText" text="Excellence">
      <formula>NOT(ISERROR(SEARCH("Excellence",J1)))</formula>
    </cfRule>
    <cfRule type="containsText" dxfId="58" priority="17" operator="containsText" text="Worlds Team">
      <formula>NOT(ISERROR(SEARCH("Worlds Team",J1)))</formula>
    </cfRule>
    <cfRule type="containsText" dxfId="57" priority="18" operator="containsText" text="National Team">
      <formula>NOT(ISERROR(SEARCH("National Team",J1)))</formula>
    </cfRule>
  </conditionalFormatting>
  <conditionalFormatting sqref="DI49:DI1048576 EK49:EK1048576 DI1:DI47 EK1:EK47 FM1:FM1048576 GO1:GO1048576 HQ1:HQ1048576 IS1:IS1048576 JU1:JU1048576 KW1:KW1048576 LY1:LY1048576 NA1:NA1048576 OC1:OC1048576 PE1:PE1048576">
    <cfRule type="cellIs" dxfId="56" priority="59088" operator="between">
      <formula>DL$48</formula>
      <formula>1000</formula>
    </cfRule>
    <cfRule type="cellIs" dxfId="55" priority="59089" operator="between">
      <formula>DL$47</formula>
      <formula>DL$48</formula>
    </cfRule>
    <cfRule type="cellIs" dxfId="54" priority="59090" operator="between">
      <formula>DL$46</formula>
      <formula>DL$47</formula>
    </cfRule>
  </conditionalFormatting>
  <conditionalFormatting sqref="A1:B3">
    <cfRule type="expression" dxfId="53" priority="2">
      <formula>AND(I1&lt;&gt;"",H1="")</formula>
    </cfRule>
  </conditionalFormatting>
  <conditionalFormatting sqref="BM4:CH38">
    <cfRule type="expression" dxfId="52" priority="267796" stopIfTrue="1">
      <formula>IF($CC4&lt;&gt;"",1,0)</formula>
    </cfRule>
  </conditionalFormatting>
  <conditionalFormatting sqref="AQ4:BL38">
    <cfRule type="expression" dxfId="51" priority="267802" stopIfTrue="1">
      <formula>IF($BG4&lt;&gt;"",1,0)</formula>
    </cfRule>
  </conditionalFormatting>
  <conditionalFormatting sqref="U4:AP38">
    <cfRule type="expression" dxfId="50" priority="267807" stopIfTrue="1">
      <formula>IF($AK4&lt;&gt;"",1,0)</formula>
    </cfRule>
  </conditionalFormatting>
  <conditionalFormatting sqref="M1:M1048576 Q1:Q1048576 O1:O1048576">
    <cfRule type="expression" dxfId="49" priority="267816">
      <formula>IF(M1=$BM$1,1,0)</formula>
    </cfRule>
    <cfRule type="expression" dxfId="48" priority="267817">
      <formula>IF(M1=$AQ$1,1,0)</formula>
    </cfRule>
    <cfRule type="expression" dxfId="47" priority="267818">
      <formula>IF(M1=$U$1,1,0)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46" priority="281883" operator="between">
      <formula>DL$41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45" priority="281919" operator="between">
      <formula>DL$45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44" priority="281955" operator="between">
      <formula>AP$41</formula>
      <formula>AP$42</formula>
    </cfRule>
    <cfRule type="cellIs" dxfId="43" priority="281956" operator="between">
      <formula>AP$42</formula>
      <formula>AP$43</formula>
    </cfRule>
    <cfRule type="cellIs" dxfId="42" priority="281957" operator="between">
      <formula>AP$43</formula>
      <formula>AP$44</formula>
    </cfRule>
    <cfRule type="cellIs" dxfId="41" priority="281958" operator="between">
      <formula>AP$44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40" priority="282135" operator="between">
      <formula>AP$45</formula>
      <formula>AP$46</formula>
    </cfRule>
    <cfRule type="cellIs" dxfId="39" priority="282136" operator="between">
      <formula>AP$46</formula>
      <formula>AP$47</formula>
    </cfRule>
    <cfRule type="cellIs" dxfId="38" priority="282137" operator="between">
      <formula>AP$47</formula>
      <formula>AP$48</formula>
    </cfRule>
    <cfRule type="cellIs" dxfId="37" priority="282138" operator="between">
      <formula>AP$48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36" priority="282315" operator="between">
      <formula>DL$44</formula>
      <formula>1000</formula>
    </cfRule>
    <cfRule type="cellIs" dxfId="35" priority="282316" operator="between">
      <formula>DL$43</formula>
      <formula>DL$44</formula>
    </cfRule>
    <cfRule type="cellIs" dxfId="34" priority="282317" operator="between">
      <formula>DL$42</formula>
      <formula>DL$43</formula>
    </cfRule>
  </conditionalFormatting>
  <conditionalFormatting sqref="CD1:CD1048576 BH1:BH1048576 AL1:AL1048576">
    <cfRule type="cellIs" dxfId="33" priority="282423" operator="between">
      <formula>AP$41</formula>
      <formula>1000</formula>
    </cfRule>
  </conditionalFormatting>
  <conditionalFormatting sqref="CE1:CE1048576 BI1:BI1048576 AM1:AM1048576">
    <cfRule type="cellIs" dxfId="32" priority="282432" operator="between">
      <formula>AP$45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QD5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2.8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37" width="10.83203125" hidden="1" customWidth="1"/>
    <col min="38" max="42" width="10.83203125" style="36" customWidth="1"/>
    <col min="43" max="59" width="10.83203125" hidden="1" customWidth="1"/>
    <col min="60" max="64" width="10.83203125" style="36" customWidth="1"/>
    <col min="65" max="81" width="10.83203125" hidden="1" customWidth="1"/>
    <col min="82" max="88" width="10.83203125" style="36" customWidth="1"/>
    <col min="89" max="108" width="10.83203125" hidden="1" customWidth="1"/>
    <col min="109" max="116" width="10.83203125" style="36" customWidth="1"/>
    <col min="117" max="136" width="10.83203125" hidden="1" customWidth="1"/>
    <col min="137" max="144" width="10.83203125" style="36" customWidth="1"/>
    <col min="145" max="164" width="10.83203125" hidden="1" customWidth="1"/>
    <col min="165" max="172" width="10.83203125" style="36" customWidth="1"/>
    <col min="173" max="192" width="10.83203125" hidden="1" customWidth="1"/>
    <col min="193" max="200" width="10.83203125" style="36" hidden="1" customWidth="1"/>
    <col min="201" max="220" width="10.83203125" hidden="1" customWidth="1"/>
    <col min="221" max="228" width="10.83203125" style="36" hidden="1" customWidth="1"/>
    <col min="229" max="248" width="10.83203125" hidden="1" customWidth="1"/>
    <col min="249" max="256" width="10.83203125" style="36" hidden="1" customWidth="1"/>
    <col min="257" max="276" width="10.83203125" hidden="1" customWidth="1"/>
    <col min="277" max="284" width="10.83203125" style="36" hidden="1" customWidth="1"/>
    <col min="285" max="304" width="10.83203125" hidden="1" customWidth="1"/>
    <col min="305" max="312" width="10.83203125" style="36" hidden="1" customWidth="1"/>
    <col min="313" max="332" width="10.83203125" hidden="1" customWidth="1"/>
    <col min="333" max="340" width="10.83203125" style="36" hidden="1" customWidth="1"/>
    <col min="341" max="360" width="10.83203125" hidden="1" customWidth="1"/>
    <col min="361" max="368" width="10.83203125" style="36" hidden="1" customWidth="1"/>
    <col min="369" max="388" width="10.83203125" hidden="1" customWidth="1"/>
    <col min="389" max="396" width="10.83203125" style="36" hidden="1" customWidth="1"/>
    <col min="397" max="416" width="10.83203125" hidden="1" customWidth="1"/>
    <col min="417" max="424" width="10.83203125" style="36" hidden="1" customWidth="1"/>
    <col min="425" max="441" width="10.83203125" hidden="1" customWidth="1"/>
    <col min="442" max="446" width="10.83203125" style="36" hidden="1" customWidth="1"/>
  </cols>
  <sheetData>
    <row r="1" spans="1:446" ht="16" customHeight="1" x14ac:dyDescent="0.2">
      <c r="A1" s="76" t="s">
        <v>114</v>
      </c>
      <c r="B1" s="76" t="s">
        <v>115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116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83</v>
      </c>
      <c r="M1" s="74" t="s">
        <v>25</v>
      </c>
      <c r="N1" s="73" t="s">
        <v>84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158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70" t="s">
        <v>172</v>
      </c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69" t="s">
        <v>184</v>
      </c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71" t="s">
        <v>52</v>
      </c>
      <c r="CJ1" s="71"/>
      <c r="CK1" s="69" t="s">
        <v>170</v>
      </c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70" t="s">
        <v>187</v>
      </c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69" t="s">
        <v>188</v>
      </c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69" t="s">
        <v>56</v>
      </c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</row>
    <row r="2" spans="1:446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75</v>
      </c>
      <c r="V2" s="67"/>
      <c r="W2" s="67"/>
      <c r="X2" s="67"/>
      <c r="Y2" s="67" t="s">
        <v>76</v>
      </c>
      <c r="Z2" s="67"/>
      <c r="AA2" s="67"/>
      <c r="AB2" s="67"/>
      <c r="AC2" s="67" t="s">
        <v>78</v>
      </c>
      <c r="AD2" s="67"/>
      <c r="AE2" s="67"/>
      <c r="AF2" s="67"/>
      <c r="AG2" s="77" t="s">
        <v>79</v>
      </c>
      <c r="AH2" s="77"/>
      <c r="AI2" s="77"/>
      <c r="AJ2" s="77"/>
      <c r="AK2" s="14"/>
      <c r="AL2" s="14" t="s">
        <v>85</v>
      </c>
      <c r="AM2" s="14" t="s">
        <v>21</v>
      </c>
      <c r="AN2" s="14" t="s">
        <v>57</v>
      </c>
      <c r="AO2" s="14" t="s">
        <v>82</v>
      </c>
      <c r="AP2" s="14" t="s">
        <v>15</v>
      </c>
      <c r="AQ2" s="68" t="s">
        <v>75</v>
      </c>
      <c r="AR2" s="68"/>
      <c r="AS2" s="68"/>
      <c r="AT2" s="68"/>
      <c r="AU2" s="68" t="s">
        <v>76</v>
      </c>
      <c r="AV2" s="68"/>
      <c r="AW2" s="68"/>
      <c r="AX2" s="68"/>
      <c r="AY2" s="68" t="s">
        <v>78</v>
      </c>
      <c r="AZ2" s="68"/>
      <c r="BA2" s="68"/>
      <c r="BB2" s="68"/>
      <c r="BC2" s="78" t="s">
        <v>79</v>
      </c>
      <c r="BD2" s="78"/>
      <c r="BE2" s="78"/>
      <c r="BF2" s="78"/>
      <c r="BG2" s="13"/>
      <c r="BH2" s="13" t="s">
        <v>85</v>
      </c>
      <c r="BI2" s="13" t="s">
        <v>21</v>
      </c>
      <c r="BJ2" s="13" t="s">
        <v>57</v>
      </c>
      <c r="BK2" s="13" t="s">
        <v>82</v>
      </c>
      <c r="BL2" s="13" t="s">
        <v>15</v>
      </c>
      <c r="BM2" s="67" t="s">
        <v>75</v>
      </c>
      <c r="BN2" s="67"/>
      <c r="BO2" s="67"/>
      <c r="BP2" s="67"/>
      <c r="BQ2" s="67" t="s">
        <v>76</v>
      </c>
      <c r="BR2" s="67"/>
      <c r="BS2" s="67"/>
      <c r="BT2" s="67"/>
      <c r="BU2" s="67" t="s">
        <v>78</v>
      </c>
      <c r="BV2" s="67"/>
      <c r="BW2" s="67"/>
      <c r="BX2" s="67"/>
      <c r="BY2" s="77" t="s">
        <v>79</v>
      </c>
      <c r="BZ2" s="77"/>
      <c r="CA2" s="77"/>
      <c r="CB2" s="77"/>
      <c r="CC2" s="14"/>
      <c r="CD2" s="14" t="s">
        <v>85</v>
      </c>
      <c r="CE2" s="14" t="s">
        <v>21</v>
      </c>
      <c r="CF2" s="14" t="s">
        <v>57</v>
      </c>
      <c r="CG2" s="14" t="s">
        <v>82</v>
      </c>
      <c r="CH2" s="14" t="s">
        <v>15</v>
      </c>
      <c r="CI2" s="49" t="s">
        <v>81</v>
      </c>
      <c r="CJ2" s="49" t="s">
        <v>20</v>
      </c>
      <c r="CK2" s="67" t="s">
        <v>75</v>
      </c>
      <c r="CL2" s="67"/>
      <c r="CM2" s="67"/>
      <c r="CN2" s="67"/>
      <c r="CO2" s="67" t="s">
        <v>76</v>
      </c>
      <c r="CP2" s="67"/>
      <c r="CQ2" s="67"/>
      <c r="CR2" s="67"/>
      <c r="CS2" s="67" t="s">
        <v>77</v>
      </c>
      <c r="CT2" s="67"/>
      <c r="CU2" s="67"/>
      <c r="CV2" s="67"/>
      <c r="CW2" s="67" t="s">
        <v>78</v>
      </c>
      <c r="CX2" s="67"/>
      <c r="CY2" s="67"/>
      <c r="CZ2" s="67"/>
      <c r="DA2" s="79" t="s">
        <v>79</v>
      </c>
      <c r="DB2" s="79"/>
      <c r="DC2" s="79"/>
      <c r="DD2" s="79"/>
      <c r="DE2" s="14" t="s">
        <v>80</v>
      </c>
      <c r="DF2" s="14" t="s">
        <v>81</v>
      </c>
      <c r="DG2" s="14" t="s">
        <v>77</v>
      </c>
      <c r="DH2" s="14" t="s">
        <v>85</v>
      </c>
      <c r="DI2" s="14" t="s">
        <v>21</v>
      </c>
      <c r="DJ2" s="14" t="s">
        <v>57</v>
      </c>
      <c r="DK2" s="14" t="s">
        <v>82</v>
      </c>
      <c r="DL2" s="14" t="s">
        <v>15</v>
      </c>
      <c r="DM2" s="68" t="s">
        <v>75</v>
      </c>
      <c r="DN2" s="68"/>
      <c r="DO2" s="68"/>
      <c r="DP2" s="68"/>
      <c r="DQ2" s="68" t="s">
        <v>76</v>
      </c>
      <c r="DR2" s="68"/>
      <c r="DS2" s="68"/>
      <c r="DT2" s="68"/>
      <c r="DU2" s="68" t="s">
        <v>77</v>
      </c>
      <c r="DV2" s="68"/>
      <c r="DW2" s="68"/>
      <c r="DX2" s="68"/>
      <c r="DY2" s="68" t="s">
        <v>78</v>
      </c>
      <c r="DZ2" s="68"/>
      <c r="EA2" s="68"/>
      <c r="EB2" s="68"/>
      <c r="EC2" s="78" t="s">
        <v>79</v>
      </c>
      <c r="ED2" s="78"/>
      <c r="EE2" s="78"/>
      <c r="EF2" s="78"/>
      <c r="EG2" s="13" t="s">
        <v>80</v>
      </c>
      <c r="EH2" s="13" t="s">
        <v>81</v>
      </c>
      <c r="EI2" s="13" t="s">
        <v>77</v>
      </c>
      <c r="EJ2" s="13" t="s">
        <v>85</v>
      </c>
      <c r="EK2" s="13" t="s">
        <v>21</v>
      </c>
      <c r="EL2" s="13" t="s">
        <v>57</v>
      </c>
      <c r="EM2" s="13" t="s">
        <v>82</v>
      </c>
      <c r="EN2" s="13" t="s">
        <v>15</v>
      </c>
      <c r="EO2" s="67" t="s">
        <v>75</v>
      </c>
      <c r="EP2" s="67"/>
      <c r="EQ2" s="67"/>
      <c r="ER2" s="67"/>
      <c r="ES2" s="67" t="s">
        <v>76</v>
      </c>
      <c r="ET2" s="67"/>
      <c r="EU2" s="67"/>
      <c r="EV2" s="67"/>
      <c r="EW2" s="67" t="s">
        <v>77</v>
      </c>
      <c r="EX2" s="67"/>
      <c r="EY2" s="67"/>
      <c r="EZ2" s="67"/>
      <c r="FA2" s="67" t="s">
        <v>78</v>
      </c>
      <c r="FB2" s="67"/>
      <c r="FC2" s="67"/>
      <c r="FD2" s="67"/>
      <c r="FE2" s="79" t="s">
        <v>79</v>
      </c>
      <c r="FF2" s="79"/>
      <c r="FG2" s="79"/>
      <c r="FH2" s="79"/>
      <c r="FI2" s="14" t="s">
        <v>80</v>
      </c>
      <c r="FJ2" s="14" t="s">
        <v>81</v>
      </c>
      <c r="FK2" s="14" t="s">
        <v>77</v>
      </c>
      <c r="FL2" s="14" t="s">
        <v>85</v>
      </c>
      <c r="FM2" s="14" t="s">
        <v>21</v>
      </c>
      <c r="FN2" s="14" t="s">
        <v>57</v>
      </c>
      <c r="FO2" s="14" t="s">
        <v>82</v>
      </c>
      <c r="FP2" s="14" t="s">
        <v>15</v>
      </c>
      <c r="FQ2" s="68" t="s">
        <v>75</v>
      </c>
      <c r="FR2" s="68"/>
      <c r="FS2" s="68"/>
      <c r="FT2" s="68"/>
      <c r="FU2" s="68" t="s">
        <v>76</v>
      </c>
      <c r="FV2" s="68"/>
      <c r="FW2" s="68"/>
      <c r="FX2" s="68"/>
      <c r="FY2" s="68" t="s">
        <v>77</v>
      </c>
      <c r="FZ2" s="68"/>
      <c r="GA2" s="68"/>
      <c r="GB2" s="68"/>
      <c r="GC2" s="68" t="s">
        <v>78</v>
      </c>
      <c r="GD2" s="68"/>
      <c r="GE2" s="68"/>
      <c r="GF2" s="68"/>
      <c r="GG2" s="78" t="s">
        <v>79</v>
      </c>
      <c r="GH2" s="78"/>
      <c r="GI2" s="78"/>
      <c r="GJ2" s="78"/>
      <c r="GK2" s="13" t="s">
        <v>80</v>
      </c>
      <c r="GL2" s="13" t="s">
        <v>81</v>
      </c>
      <c r="GM2" s="13" t="s">
        <v>77</v>
      </c>
      <c r="GN2" s="13" t="s">
        <v>85</v>
      </c>
      <c r="GO2" s="13" t="s">
        <v>21</v>
      </c>
      <c r="GP2" s="13" t="s">
        <v>57</v>
      </c>
      <c r="GQ2" s="13" t="s">
        <v>82</v>
      </c>
      <c r="GR2" s="13" t="s">
        <v>15</v>
      </c>
      <c r="GS2" s="67" t="s">
        <v>75</v>
      </c>
      <c r="GT2" s="67"/>
      <c r="GU2" s="67"/>
      <c r="GV2" s="67"/>
      <c r="GW2" s="67" t="s">
        <v>76</v>
      </c>
      <c r="GX2" s="67"/>
      <c r="GY2" s="67"/>
      <c r="GZ2" s="67"/>
      <c r="HA2" s="67" t="s">
        <v>77</v>
      </c>
      <c r="HB2" s="67"/>
      <c r="HC2" s="67"/>
      <c r="HD2" s="67"/>
      <c r="HE2" s="67" t="s">
        <v>78</v>
      </c>
      <c r="HF2" s="67"/>
      <c r="HG2" s="67"/>
      <c r="HH2" s="67"/>
      <c r="HI2" s="79" t="s">
        <v>79</v>
      </c>
      <c r="HJ2" s="79"/>
      <c r="HK2" s="79"/>
      <c r="HL2" s="79"/>
      <c r="HM2" s="14" t="s">
        <v>80</v>
      </c>
      <c r="HN2" s="14" t="s">
        <v>81</v>
      </c>
      <c r="HO2" s="14" t="s">
        <v>77</v>
      </c>
      <c r="HP2" s="14" t="s">
        <v>85</v>
      </c>
      <c r="HQ2" s="14" t="s">
        <v>21</v>
      </c>
      <c r="HR2" s="14" t="s">
        <v>57</v>
      </c>
      <c r="HS2" s="14" t="s">
        <v>82</v>
      </c>
      <c r="HT2" s="14" t="s">
        <v>15</v>
      </c>
      <c r="HU2" s="68" t="s">
        <v>75</v>
      </c>
      <c r="HV2" s="68"/>
      <c r="HW2" s="68"/>
      <c r="HX2" s="68"/>
      <c r="HY2" s="68" t="s">
        <v>76</v>
      </c>
      <c r="HZ2" s="68"/>
      <c r="IA2" s="68"/>
      <c r="IB2" s="68"/>
      <c r="IC2" s="68" t="s">
        <v>77</v>
      </c>
      <c r="ID2" s="68"/>
      <c r="IE2" s="68"/>
      <c r="IF2" s="68"/>
      <c r="IG2" s="68" t="s">
        <v>78</v>
      </c>
      <c r="IH2" s="68"/>
      <c r="II2" s="68"/>
      <c r="IJ2" s="68"/>
      <c r="IK2" s="78" t="s">
        <v>79</v>
      </c>
      <c r="IL2" s="78"/>
      <c r="IM2" s="78"/>
      <c r="IN2" s="78"/>
      <c r="IO2" s="13" t="s">
        <v>80</v>
      </c>
      <c r="IP2" s="13" t="s">
        <v>81</v>
      </c>
      <c r="IQ2" s="13" t="s">
        <v>77</v>
      </c>
      <c r="IR2" s="13" t="s">
        <v>85</v>
      </c>
      <c r="IS2" s="13" t="s">
        <v>21</v>
      </c>
      <c r="IT2" s="13" t="s">
        <v>57</v>
      </c>
      <c r="IU2" s="13" t="s">
        <v>82</v>
      </c>
      <c r="IV2" s="13" t="s">
        <v>15</v>
      </c>
      <c r="IW2" s="67" t="s">
        <v>75</v>
      </c>
      <c r="IX2" s="67"/>
      <c r="IY2" s="67"/>
      <c r="IZ2" s="67"/>
      <c r="JA2" s="67" t="s">
        <v>76</v>
      </c>
      <c r="JB2" s="67"/>
      <c r="JC2" s="67"/>
      <c r="JD2" s="67"/>
      <c r="JE2" s="67" t="s">
        <v>77</v>
      </c>
      <c r="JF2" s="67"/>
      <c r="JG2" s="67"/>
      <c r="JH2" s="67"/>
      <c r="JI2" s="67" t="s">
        <v>78</v>
      </c>
      <c r="JJ2" s="67"/>
      <c r="JK2" s="67"/>
      <c r="JL2" s="67"/>
      <c r="JM2" s="79" t="s">
        <v>79</v>
      </c>
      <c r="JN2" s="79"/>
      <c r="JO2" s="79"/>
      <c r="JP2" s="79"/>
      <c r="JQ2" s="14" t="s">
        <v>80</v>
      </c>
      <c r="JR2" s="14" t="s">
        <v>81</v>
      </c>
      <c r="JS2" s="14" t="s">
        <v>77</v>
      </c>
      <c r="JT2" s="14" t="s">
        <v>85</v>
      </c>
      <c r="JU2" s="14" t="s">
        <v>21</v>
      </c>
      <c r="JV2" s="14" t="s">
        <v>57</v>
      </c>
      <c r="JW2" s="14" t="s">
        <v>82</v>
      </c>
      <c r="JX2" s="14" t="s">
        <v>15</v>
      </c>
      <c r="JY2" s="68" t="s">
        <v>75</v>
      </c>
      <c r="JZ2" s="68"/>
      <c r="KA2" s="68"/>
      <c r="KB2" s="68"/>
      <c r="KC2" s="68" t="s">
        <v>76</v>
      </c>
      <c r="KD2" s="68"/>
      <c r="KE2" s="68"/>
      <c r="KF2" s="68"/>
      <c r="KG2" s="68" t="s">
        <v>77</v>
      </c>
      <c r="KH2" s="68"/>
      <c r="KI2" s="68"/>
      <c r="KJ2" s="68"/>
      <c r="KK2" s="68" t="s">
        <v>78</v>
      </c>
      <c r="KL2" s="68"/>
      <c r="KM2" s="68"/>
      <c r="KN2" s="68"/>
      <c r="KO2" s="78" t="s">
        <v>79</v>
      </c>
      <c r="KP2" s="78"/>
      <c r="KQ2" s="78"/>
      <c r="KR2" s="78"/>
      <c r="KS2" s="13" t="s">
        <v>80</v>
      </c>
      <c r="KT2" s="13" t="s">
        <v>81</v>
      </c>
      <c r="KU2" s="13" t="s">
        <v>77</v>
      </c>
      <c r="KV2" s="13" t="s">
        <v>85</v>
      </c>
      <c r="KW2" s="13" t="s">
        <v>21</v>
      </c>
      <c r="KX2" s="13" t="s">
        <v>57</v>
      </c>
      <c r="KY2" s="13" t="s">
        <v>82</v>
      </c>
      <c r="KZ2" s="13" t="s">
        <v>15</v>
      </c>
      <c r="LA2" s="67" t="s">
        <v>75</v>
      </c>
      <c r="LB2" s="67"/>
      <c r="LC2" s="67"/>
      <c r="LD2" s="67"/>
      <c r="LE2" s="67" t="s">
        <v>76</v>
      </c>
      <c r="LF2" s="67"/>
      <c r="LG2" s="67"/>
      <c r="LH2" s="67"/>
      <c r="LI2" s="67" t="s">
        <v>77</v>
      </c>
      <c r="LJ2" s="67"/>
      <c r="LK2" s="67"/>
      <c r="LL2" s="67"/>
      <c r="LM2" s="67" t="s">
        <v>78</v>
      </c>
      <c r="LN2" s="67"/>
      <c r="LO2" s="67"/>
      <c r="LP2" s="67"/>
      <c r="LQ2" s="79" t="s">
        <v>79</v>
      </c>
      <c r="LR2" s="79"/>
      <c r="LS2" s="79"/>
      <c r="LT2" s="79"/>
      <c r="LU2" s="14" t="s">
        <v>80</v>
      </c>
      <c r="LV2" s="14" t="s">
        <v>81</v>
      </c>
      <c r="LW2" s="14" t="s">
        <v>77</v>
      </c>
      <c r="LX2" s="14" t="s">
        <v>85</v>
      </c>
      <c r="LY2" s="14" t="s">
        <v>21</v>
      </c>
      <c r="LZ2" s="14" t="s">
        <v>57</v>
      </c>
      <c r="MA2" s="14" t="s">
        <v>82</v>
      </c>
      <c r="MB2" s="14" t="s">
        <v>15</v>
      </c>
      <c r="MC2" s="68" t="s">
        <v>75</v>
      </c>
      <c r="MD2" s="68"/>
      <c r="ME2" s="68"/>
      <c r="MF2" s="68"/>
      <c r="MG2" s="68" t="s">
        <v>76</v>
      </c>
      <c r="MH2" s="68"/>
      <c r="MI2" s="68"/>
      <c r="MJ2" s="68"/>
      <c r="MK2" s="68" t="s">
        <v>77</v>
      </c>
      <c r="ML2" s="68"/>
      <c r="MM2" s="68"/>
      <c r="MN2" s="68"/>
      <c r="MO2" s="68" t="s">
        <v>78</v>
      </c>
      <c r="MP2" s="68"/>
      <c r="MQ2" s="68"/>
      <c r="MR2" s="68"/>
      <c r="MS2" s="78" t="s">
        <v>79</v>
      </c>
      <c r="MT2" s="78"/>
      <c r="MU2" s="78"/>
      <c r="MV2" s="78"/>
      <c r="MW2" s="13" t="s">
        <v>80</v>
      </c>
      <c r="MX2" s="13" t="s">
        <v>81</v>
      </c>
      <c r="MY2" s="13" t="s">
        <v>77</v>
      </c>
      <c r="MZ2" s="13" t="s">
        <v>85</v>
      </c>
      <c r="NA2" s="13" t="s">
        <v>21</v>
      </c>
      <c r="NB2" s="13" t="s">
        <v>57</v>
      </c>
      <c r="NC2" s="13" t="s">
        <v>82</v>
      </c>
      <c r="ND2" s="13" t="s">
        <v>15</v>
      </c>
      <c r="NE2" s="67" t="s">
        <v>75</v>
      </c>
      <c r="NF2" s="67"/>
      <c r="NG2" s="67"/>
      <c r="NH2" s="67"/>
      <c r="NI2" s="67" t="s">
        <v>76</v>
      </c>
      <c r="NJ2" s="67"/>
      <c r="NK2" s="67"/>
      <c r="NL2" s="67"/>
      <c r="NM2" s="67" t="s">
        <v>77</v>
      </c>
      <c r="NN2" s="67"/>
      <c r="NO2" s="67"/>
      <c r="NP2" s="67"/>
      <c r="NQ2" s="67" t="s">
        <v>78</v>
      </c>
      <c r="NR2" s="67"/>
      <c r="NS2" s="67"/>
      <c r="NT2" s="67"/>
      <c r="NU2" s="79" t="s">
        <v>79</v>
      </c>
      <c r="NV2" s="79"/>
      <c r="NW2" s="79"/>
      <c r="NX2" s="79"/>
      <c r="NY2" s="14" t="s">
        <v>80</v>
      </c>
      <c r="NZ2" s="14" t="s">
        <v>81</v>
      </c>
      <c r="OA2" s="14" t="s">
        <v>77</v>
      </c>
      <c r="OB2" s="14" t="s">
        <v>85</v>
      </c>
      <c r="OC2" s="14" t="s">
        <v>21</v>
      </c>
      <c r="OD2" s="14" t="s">
        <v>57</v>
      </c>
      <c r="OE2" s="14" t="s">
        <v>82</v>
      </c>
      <c r="OF2" s="14" t="s">
        <v>15</v>
      </c>
      <c r="OG2" s="68" t="s">
        <v>75</v>
      </c>
      <c r="OH2" s="68"/>
      <c r="OI2" s="68"/>
      <c r="OJ2" s="68"/>
      <c r="OK2" s="68" t="s">
        <v>76</v>
      </c>
      <c r="OL2" s="68"/>
      <c r="OM2" s="68"/>
      <c r="ON2" s="68"/>
      <c r="OO2" s="68" t="s">
        <v>77</v>
      </c>
      <c r="OP2" s="68"/>
      <c r="OQ2" s="68"/>
      <c r="OR2" s="68"/>
      <c r="OS2" s="68" t="s">
        <v>78</v>
      </c>
      <c r="OT2" s="68"/>
      <c r="OU2" s="68"/>
      <c r="OV2" s="68"/>
      <c r="OW2" s="78" t="s">
        <v>79</v>
      </c>
      <c r="OX2" s="78"/>
      <c r="OY2" s="78"/>
      <c r="OZ2" s="78"/>
      <c r="PA2" s="13" t="s">
        <v>80</v>
      </c>
      <c r="PB2" s="13" t="s">
        <v>81</v>
      </c>
      <c r="PC2" s="13" t="s">
        <v>77</v>
      </c>
      <c r="PD2" s="13" t="s">
        <v>85</v>
      </c>
      <c r="PE2" s="13" t="s">
        <v>21</v>
      </c>
      <c r="PF2" s="13" t="s">
        <v>57</v>
      </c>
      <c r="PG2" s="13" t="s">
        <v>82</v>
      </c>
      <c r="PH2" s="13" t="s">
        <v>15</v>
      </c>
      <c r="PI2" s="67" t="s">
        <v>75</v>
      </c>
      <c r="PJ2" s="67"/>
      <c r="PK2" s="67"/>
      <c r="PL2" s="67"/>
      <c r="PM2" s="67" t="s">
        <v>76</v>
      </c>
      <c r="PN2" s="67"/>
      <c r="PO2" s="67"/>
      <c r="PP2" s="67"/>
      <c r="PQ2" s="67" t="s">
        <v>78</v>
      </c>
      <c r="PR2" s="67"/>
      <c r="PS2" s="67"/>
      <c r="PT2" s="67"/>
      <c r="PU2" s="77" t="s">
        <v>79</v>
      </c>
      <c r="PV2" s="77"/>
      <c r="PW2" s="77"/>
      <c r="PX2" s="77"/>
      <c r="PY2" s="14"/>
      <c r="PZ2" s="14" t="s">
        <v>85</v>
      </c>
      <c r="QA2" s="14" t="s">
        <v>21</v>
      </c>
      <c r="QB2" s="14" t="s">
        <v>57</v>
      </c>
      <c r="QC2" s="14" t="s">
        <v>82</v>
      </c>
      <c r="QD2" s="14" t="s">
        <v>15</v>
      </c>
    </row>
    <row r="3" spans="1:446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21" t="s">
        <v>12</v>
      </c>
      <c r="AH3" s="21" t="s">
        <v>7</v>
      </c>
      <c r="AI3" s="21" t="s">
        <v>23</v>
      </c>
      <c r="AJ3" s="21" t="s">
        <v>24</v>
      </c>
      <c r="AK3" s="14" t="s">
        <v>45</v>
      </c>
      <c r="AL3" s="14"/>
      <c r="AM3" s="14"/>
      <c r="AN3" s="14"/>
      <c r="AO3" s="14"/>
      <c r="AP3" s="14"/>
      <c r="AQ3" s="13" t="s">
        <v>12</v>
      </c>
      <c r="AR3" s="13" t="s">
        <v>7</v>
      </c>
      <c r="AS3" s="13" t="s">
        <v>23</v>
      </c>
      <c r="AT3" s="13" t="s">
        <v>24</v>
      </c>
      <c r="AU3" s="13" t="s">
        <v>12</v>
      </c>
      <c r="AV3" s="13" t="s">
        <v>7</v>
      </c>
      <c r="AW3" s="13" t="s">
        <v>23</v>
      </c>
      <c r="AX3" s="13" t="s">
        <v>24</v>
      </c>
      <c r="AY3" s="13" t="s">
        <v>12</v>
      </c>
      <c r="AZ3" s="13" t="s">
        <v>7</v>
      </c>
      <c r="BA3" s="13" t="s">
        <v>23</v>
      </c>
      <c r="BB3" s="13" t="s">
        <v>24</v>
      </c>
      <c r="BC3" s="16" t="s">
        <v>12</v>
      </c>
      <c r="BD3" s="16" t="s">
        <v>7</v>
      </c>
      <c r="BE3" s="16" t="s">
        <v>23</v>
      </c>
      <c r="BF3" s="16" t="s">
        <v>24</v>
      </c>
      <c r="BG3" s="13" t="s">
        <v>45</v>
      </c>
      <c r="BH3" s="13"/>
      <c r="BI3" s="13"/>
      <c r="BJ3" s="13"/>
      <c r="BK3" s="13"/>
      <c r="BL3" s="13"/>
      <c r="BM3" s="14" t="s">
        <v>12</v>
      </c>
      <c r="BN3" s="14" t="s">
        <v>7</v>
      </c>
      <c r="BO3" s="14" t="s">
        <v>23</v>
      </c>
      <c r="BP3" s="14" t="s">
        <v>24</v>
      </c>
      <c r="BQ3" s="14" t="s">
        <v>12</v>
      </c>
      <c r="BR3" s="14" t="s">
        <v>7</v>
      </c>
      <c r="BS3" s="14" t="s">
        <v>23</v>
      </c>
      <c r="BT3" s="14" t="s">
        <v>24</v>
      </c>
      <c r="BU3" s="14" t="s">
        <v>12</v>
      </c>
      <c r="BV3" s="14" t="s">
        <v>7</v>
      </c>
      <c r="BW3" s="14" t="s">
        <v>23</v>
      </c>
      <c r="BX3" s="14" t="s">
        <v>24</v>
      </c>
      <c r="BY3" s="21" t="s">
        <v>12</v>
      </c>
      <c r="BZ3" s="21" t="s">
        <v>7</v>
      </c>
      <c r="CA3" s="21" t="s">
        <v>23</v>
      </c>
      <c r="CB3" s="21" t="s">
        <v>24</v>
      </c>
      <c r="CC3" s="14" t="s">
        <v>45</v>
      </c>
      <c r="CD3" s="14"/>
      <c r="CE3" s="14"/>
      <c r="CF3" s="14"/>
      <c r="CG3" s="14"/>
      <c r="CH3" s="14"/>
      <c r="CI3" s="49"/>
      <c r="CJ3" s="49"/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14" t="s">
        <v>12</v>
      </c>
      <c r="CT3" s="14" t="s">
        <v>7</v>
      </c>
      <c r="CU3" s="14" t="s">
        <v>23</v>
      </c>
      <c r="CV3" s="14" t="s">
        <v>24</v>
      </c>
      <c r="CW3" s="14" t="s">
        <v>12</v>
      </c>
      <c r="CX3" s="14" t="s">
        <v>7</v>
      </c>
      <c r="CY3" s="14" t="s">
        <v>23</v>
      </c>
      <c r="CZ3" s="14" t="s">
        <v>24</v>
      </c>
      <c r="DA3" s="15" t="s">
        <v>12</v>
      </c>
      <c r="DB3" s="15" t="s">
        <v>7</v>
      </c>
      <c r="DC3" s="15" t="s">
        <v>23</v>
      </c>
      <c r="DD3" s="15" t="s">
        <v>24</v>
      </c>
      <c r="DE3" s="14"/>
      <c r="DF3" s="14"/>
      <c r="DG3" s="14"/>
      <c r="DH3" s="14"/>
      <c r="DI3" s="14"/>
      <c r="DJ3" s="14"/>
      <c r="DK3" s="14"/>
      <c r="DL3" s="14"/>
      <c r="DM3" s="13" t="s">
        <v>12</v>
      </c>
      <c r="DN3" s="13" t="s">
        <v>7</v>
      </c>
      <c r="DO3" s="13" t="s">
        <v>23</v>
      </c>
      <c r="DP3" s="13" t="s">
        <v>24</v>
      </c>
      <c r="DQ3" s="13" t="s">
        <v>12</v>
      </c>
      <c r="DR3" s="13" t="s">
        <v>7</v>
      </c>
      <c r="DS3" s="13" t="s">
        <v>23</v>
      </c>
      <c r="DT3" s="13" t="s">
        <v>24</v>
      </c>
      <c r="DU3" s="13" t="s">
        <v>12</v>
      </c>
      <c r="DV3" s="13" t="s">
        <v>7</v>
      </c>
      <c r="DW3" s="13" t="s">
        <v>23</v>
      </c>
      <c r="DX3" s="13" t="s">
        <v>24</v>
      </c>
      <c r="DY3" s="13" t="s">
        <v>12</v>
      </c>
      <c r="DZ3" s="13" t="s">
        <v>7</v>
      </c>
      <c r="EA3" s="13" t="s">
        <v>23</v>
      </c>
      <c r="EB3" s="13" t="s">
        <v>24</v>
      </c>
      <c r="EC3" s="16" t="s">
        <v>12</v>
      </c>
      <c r="ED3" s="16" t="s">
        <v>7</v>
      </c>
      <c r="EE3" s="16" t="s">
        <v>23</v>
      </c>
      <c r="EF3" s="16" t="s">
        <v>24</v>
      </c>
      <c r="EG3" s="13"/>
      <c r="EH3" s="13"/>
      <c r="EI3" s="13"/>
      <c r="EJ3" s="13"/>
      <c r="EK3" s="13"/>
      <c r="EL3" s="13"/>
      <c r="EM3" s="13"/>
      <c r="EN3" s="13"/>
      <c r="EO3" s="14" t="s">
        <v>12</v>
      </c>
      <c r="EP3" s="14" t="s">
        <v>7</v>
      </c>
      <c r="EQ3" s="14" t="s">
        <v>23</v>
      </c>
      <c r="ER3" s="14" t="s">
        <v>24</v>
      </c>
      <c r="ES3" s="14" t="s">
        <v>12</v>
      </c>
      <c r="ET3" s="14" t="s">
        <v>7</v>
      </c>
      <c r="EU3" s="14" t="s">
        <v>23</v>
      </c>
      <c r="EV3" s="14" t="s">
        <v>24</v>
      </c>
      <c r="EW3" s="14" t="s">
        <v>12</v>
      </c>
      <c r="EX3" s="14" t="s">
        <v>7</v>
      </c>
      <c r="EY3" s="14" t="s">
        <v>23</v>
      </c>
      <c r="EZ3" s="14" t="s">
        <v>24</v>
      </c>
      <c r="FA3" s="14" t="s">
        <v>12</v>
      </c>
      <c r="FB3" s="14" t="s">
        <v>7</v>
      </c>
      <c r="FC3" s="14" t="s">
        <v>23</v>
      </c>
      <c r="FD3" s="14" t="s">
        <v>24</v>
      </c>
      <c r="FE3" s="15" t="s">
        <v>12</v>
      </c>
      <c r="FF3" s="15" t="s">
        <v>7</v>
      </c>
      <c r="FG3" s="15" t="s">
        <v>23</v>
      </c>
      <c r="FH3" s="15" t="s">
        <v>24</v>
      </c>
      <c r="FI3" s="14"/>
      <c r="FJ3" s="14"/>
      <c r="FK3" s="14"/>
      <c r="FL3" s="14"/>
      <c r="FM3" s="14"/>
      <c r="FN3" s="14"/>
      <c r="FO3" s="14"/>
      <c r="FP3" s="14"/>
      <c r="FQ3" s="13" t="s">
        <v>12</v>
      </c>
      <c r="FR3" s="13" t="s">
        <v>7</v>
      </c>
      <c r="FS3" s="13" t="s">
        <v>23</v>
      </c>
      <c r="FT3" s="13" t="s">
        <v>24</v>
      </c>
      <c r="FU3" s="13" t="s">
        <v>12</v>
      </c>
      <c r="FV3" s="13" t="s">
        <v>7</v>
      </c>
      <c r="FW3" s="13" t="s">
        <v>23</v>
      </c>
      <c r="FX3" s="13" t="s">
        <v>24</v>
      </c>
      <c r="FY3" s="13" t="s">
        <v>12</v>
      </c>
      <c r="FZ3" s="13" t="s">
        <v>7</v>
      </c>
      <c r="GA3" s="13" t="s">
        <v>23</v>
      </c>
      <c r="GB3" s="13" t="s">
        <v>24</v>
      </c>
      <c r="GC3" s="13" t="s">
        <v>12</v>
      </c>
      <c r="GD3" s="13" t="s">
        <v>7</v>
      </c>
      <c r="GE3" s="13" t="s">
        <v>23</v>
      </c>
      <c r="GF3" s="13" t="s">
        <v>24</v>
      </c>
      <c r="GG3" s="16" t="s">
        <v>12</v>
      </c>
      <c r="GH3" s="16" t="s">
        <v>7</v>
      </c>
      <c r="GI3" s="16" t="s">
        <v>23</v>
      </c>
      <c r="GJ3" s="16" t="s">
        <v>24</v>
      </c>
      <c r="GK3" s="13"/>
      <c r="GL3" s="13"/>
      <c r="GM3" s="13"/>
      <c r="GN3" s="13"/>
      <c r="GO3" s="13"/>
      <c r="GP3" s="13"/>
      <c r="GQ3" s="13"/>
      <c r="GR3" s="13"/>
      <c r="GS3" s="14" t="s">
        <v>12</v>
      </c>
      <c r="GT3" s="14" t="s">
        <v>7</v>
      </c>
      <c r="GU3" s="14" t="s">
        <v>23</v>
      </c>
      <c r="GV3" s="14" t="s">
        <v>24</v>
      </c>
      <c r="GW3" s="14" t="s">
        <v>12</v>
      </c>
      <c r="GX3" s="14" t="s">
        <v>7</v>
      </c>
      <c r="GY3" s="14" t="s">
        <v>23</v>
      </c>
      <c r="GZ3" s="14" t="s">
        <v>24</v>
      </c>
      <c r="HA3" s="14" t="s">
        <v>12</v>
      </c>
      <c r="HB3" s="14" t="s">
        <v>7</v>
      </c>
      <c r="HC3" s="14" t="s">
        <v>23</v>
      </c>
      <c r="HD3" s="14" t="s">
        <v>24</v>
      </c>
      <c r="HE3" s="14" t="s">
        <v>12</v>
      </c>
      <c r="HF3" s="14" t="s">
        <v>7</v>
      </c>
      <c r="HG3" s="14" t="s">
        <v>23</v>
      </c>
      <c r="HH3" s="14" t="s">
        <v>24</v>
      </c>
      <c r="HI3" s="15" t="s">
        <v>12</v>
      </c>
      <c r="HJ3" s="15" t="s">
        <v>7</v>
      </c>
      <c r="HK3" s="15" t="s">
        <v>23</v>
      </c>
      <c r="HL3" s="15" t="s">
        <v>24</v>
      </c>
      <c r="HM3" s="14"/>
      <c r="HN3" s="14"/>
      <c r="HO3" s="14"/>
      <c r="HP3" s="14"/>
      <c r="HQ3" s="14"/>
      <c r="HR3" s="14"/>
      <c r="HS3" s="14"/>
      <c r="HT3" s="14"/>
      <c r="HU3" s="13" t="s">
        <v>12</v>
      </c>
      <c r="HV3" s="13" t="s">
        <v>7</v>
      </c>
      <c r="HW3" s="13" t="s">
        <v>23</v>
      </c>
      <c r="HX3" s="13" t="s">
        <v>24</v>
      </c>
      <c r="HY3" s="13" t="s">
        <v>12</v>
      </c>
      <c r="HZ3" s="13" t="s">
        <v>7</v>
      </c>
      <c r="IA3" s="13" t="s">
        <v>23</v>
      </c>
      <c r="IB3" s="13" t="s">
        <v>24</v>
      </c>
      <c r="IC3" s="13" t="s">
        <v>12</v>
      </c>
      <c r="ID3" s="13" t="s">
        <v>7</v>
      </c>
      <c r="IE3" s="13" t="s">
        <v>23</v>
      </c>
      <c r="IF3" s="13" t="s">
        <v>24</v>
      </c>
      <c r="IG3" s="13" t="s">
        <v>12</v>
      </c>
      <c r="IH3" s="13" t="s">
        <v>7</v>
      </c>
      <c r="II3" s="13" t="s">
        <v>23</v>
      </c>
      <c r="IJ3" s="13" t="s">
        <v>24</v>
      </c>
      <c r="IK3" s="16" t="s">
        <v>12</v>
      </c>
      <c r="IL3" s="16" t="s">
        <v>7</v>
      </c>
      <c r="IM3" s="16" t="s">
        <v>23</v>
      </c>
      <c r="IN3" s="16" t="s">
        <v>24</v>
      </c>
      <c r="IO3" s="13"/>
      <c r="IP3" s="13"/>
      <c r="IQ3" s="13"/>
      <c r="IR3" s="13"/>
      <c r="IS3" s="13"/>
      <c r="IT3" s="13"/>
      <c r="IU3" s="13"/>
      <c r="IV3" s="13"/>
      <c r="IW3" s="14" t="s">
        <v>12</v>
      </c>
      <c r="IX3" s="14" t="s">
        <v>7</v>
      </c>
      <c r="IY3" s="14" t="s">
        <v>23</v>
      </c>
      <c r="IZ3" s="14" t="s">
        <v>24</v>
      </c>
      <c r="JA3" s="14" t="s">
        <v>12</v>
      </c>
      <c r="JB3" s="14" t="s">
        <v>7</v>
      </c>
      <c r="JC3" s="14" t="s">
        <v>23</v>
      </c>
      <c r="JD3" s="14" t="s">
        <v>24</v>
      </c>
      <c r="JE3" s="14" t="s">
        <v>12</v>
      </c>
      <c r="JF3" s="14" t="s">
        <v>7</v>
      </c>
      <c r="JG3" s="14" t="s">
        <v>23</v>
      </c>
      <c r="JH3" s="14" t="s">
        <v>24</v>
      </c>
      <c r="JI3" s="14" t="s">
        <v>12</v>
      </c>
      <c r="JJ3" s="14" t="s">
        <v>7</v>
      </c>
      <c r="JK3" s="14" t="s">
        <v>23</v>
      </c>
      <c r="JL3" s="14" t="s">
        <v>24</v>
      </c>
      <c r="JM3" s="15" t="s">
        <v>12</v>
      </c>
      <c r="JN3" s="15" t="s">
        <v>7</v>
      </c>
      <c r="JO3" s="15" t="s">
        <v>23</v>
      </c>
      <c r="JP3" s="15" t="s">
        <v>24</v>
      </c>
      <c r="JQ3" s="14"/>
      <c r="JR3" s="14"/>
      <c r="JS3" s="14"/>
      <c r="JT3" s="14"/>
      <c r="JU3" s="14"/>
      <c r="JV3" s="14"/>
      <c r="JW3" s="14"/>
      <c r="JX3" s="14"/>
      <c r="JY3" s="13" t="s">
        <v>12</v>
      </c>
      <c r="JZ3" s="13" t="s">
        <v>7</v>
      </c>
      <c r="KA3" s="13" t="s">
        <v>23</v>
      </c>
      <c r="KB3" s="13" t="s">
        <v>24</v>
      </c>
      <c r="KC3" s="13" t="s">
        <v>12</v>
      </c>
      <c r="KD3" s="13" t="s">
        <v>7</v>
      </c>
      <c r="KE3" s="13" t="s">
        <v>23</v>
      </c>
      <c r="KF3" s="13" t="s">
        <v>24</v>
      </c>
      <c r="KG3" s="13" t="s">
        <v>12</v>
      </c>
      <c r="KH3" s="13" t="s">
        <v>7</v>
      </c>
      <c r="KI3" s="13" t="s">
        <v>23</v>
      </c>
      <c r="KJ3" s="13" t="s">
        <v>24</v>
      </c>
      <c r="KK3" s="13" t="s">
        <v>12</v>
      </c>
      <c r="KL3" s="13" t="s">
        <v>7</v>
      </c>
      <c r="KM3" s="13" t="s">
        <v>23</v>
      </c>
      <c r="KN3" s="13" t="s">
        <v>24</v>
      </c>
      <c r="KO3" s="16" t="s">
        <v>12</v>
      </c>
      <c r="KP3" s="16" t="s">
        <v>7</v>
      </c>
      <c r="KQ3" s="16" t="s">
        <v>23</v>
      </c>
      <c r="KR3" s="16" t="s">
        <v>24</v>
      </c>
      <c r="KS3" s="13"/>
      <c r="KT3" s="13"/>
      <c r="KU3" s="13"/>
      <c r="KV3" s="13"/>
      <c r="KW3" s="13"/>
      <c r="KX3" s="13"/>
      <c r="KY3" s="13"/>
      <c r="KZ3" s="13"/>
      <c r="LA3" s="14" t="s">
        <v>12</v>
      </c>
      <c r="LB3" s="14" t="s">
        <v>7</v>
      </c>
      <c r="LC3" s="14" t="s">
        <v>23</v>
      </c>
      <c r="LD3" s="14" t="s">
        <v>24</v>
      </c>
      <c r="LE3" s="14" t="s">
        <v>12</v>
      </c>
      <c r="LF3" s="14" t="s">
        <v>7</v>
      </c>
      <c r="LG3" s="14" t="s">
        <v>23</v>
      </c>
      <c r="LH3" s="14" t="s">
        <v>24</v>
      </c>
      <c r="LI3" s="14" t="s">
        <v>12</v>
      </c>
      <c r="LJ3" s="14" t="s">
        <v>7</v>
      </c>
      <c r="LK3" s="14" t="s">
        <v>23</v>
      </c>
      <c r="LL3" s="14" t="s">
        <v>24</v>
      </c>
      <c r="LM3" s="14" t="s">
        <v>12</v>
      </c>
      <c r="LN3" s="14" t="s">
        <v>7</v>
      </c>
      <c r="LO3" s="14" t="s">
        <v>23</v>
      </c>
      <c r="LP3" s="14" t="s">
        <v>24</v>
      </c>
      <c r="LQ3" s="15" t="s">
        <v>12</v>
      </c>
      <c r="LR3" s="15" t="s">
        <v>7</v>
      </c>
      <c r="LS3" s="15" t="s">
        <v>23</v>
      </c>
      <c r="LT3" s="15" t="s">
        <v>24</v>
      </c>
      <c r="LU3" s="14"/>
      <c r="LV3" s="14"/>
      <c r="LW3" s="14"/>
      <c r="LX3" s="14"/>
      <c r="LY3" s="14"/>
      <c r="LZ3" s="14"/>
      <c r="MA3" s="14"/>
      <c r="MB3" s="14"/>
      <c r="MC3" s="13" t="s">
        <v>12</v>
      </c>
      <c r="MD3" s="13" t="s">
        <v>7</v>
      </c>
      <c r="ME3" s="13" t="s">
        <v>23</v>
      </c>
      <c r="MF3" s="13" t="s">
        <v>24</v>
      </c>
      <c r="MG3" s="13" t="s">
        <v>12</v>
      </c>
      <c r="MH3" s="13" t="s">
        <v>7</v>
      </c>
      <c r="MI3" s="13" t="s">
        <v>23</v>
      </c>
      <c r="MJ3" s="13" t="s">
        <v>24</v>
      </c>
      <c r="MK3" s="13" t="s">
        <v>12</v>
      </c>
      <c r="ML3" s="13" t="s">
        <v>7</v>
      </c>
      <c r="MM3" s="13" t="s">
        <v>23</v>
      </c>
      <c r="MN3" s="13" t="s">
        <v>24</v>
      </c>
      <c r="MO3" s="13" t="s">
        <v>12</v>
      </c>
      <c r="MP3" s="13" t="s">
        <v>7</v>
      </c>
      <c r="MQ3" s="13" t="s">
        <v>23</v>
      </c>
      <c r="MR3" s="13" t="s">
        <v>24</v>
      </c>
      <c r="MS3" s="16" t="s">
        <v>12</v>
      </c>
      <c r="MT3" s="16" t="s">
        <v>7</v>
      </c>
      <c r="MU3" s="16" t="s">
        <v>23</v>
      </c>
      <c r="MV3" s="16" t="s">
        <v>24</v>
      </c>
      <c r="MW3" s="13"/>
      <c r="MX3" s="13"/>
      <c r="MY3" s="13"/>
      <c r="MZ3" s="13"/>
      <c r="NA3" s="13"/>
      <c r="NB3" s="13"/>
      <c r="NC3" s="13"/>
      <c r="ND3" s="13"/>
      <c r="NE3" s="14" t="s">
        <v>12</v>
      </c>
      <c r="NF3" s="14" t="s">
        <v>7</v>
      </c>
      <c r="NG3" s="14" t="s">
        <v>23</v>
      </c>
      <c r="NH3" s="14" t="s">
        <v>24</v>
      </c>
      <c r="NI3" s="14" t="s">
        <v>12</v>
      </c>
      <c r="NJ3" s="14" t="s">
        <v>7</v>
      </c>
      <c r="NK3" s="14" t="s">
        <v>23</v>
      </c>
      <c r="NL3" s="14" t="s">
        <v>24</v>
      </c>
      <c r="NM3" s="14" t="s">
        <v>12</v>
      </c>
      <c r="NN3" s="14" t="s">
        <v>7</v>
      </c>
      <c r="NO3" s="14" t="s">
        <v>23</v>
      </c>
      <c r="NP3" s="14" t="s">
        <v>24</v>
      </c>
      <c r="NQ3" s="14" t="s">
        <v>12</v>
      </c>
      <c r="NR3" s="14" t="s">
        <v>7</v>
      </c>
      <c r="NS3" s="14" t="s">
        <v>23</v>
      </c>
      <c r="NT3" s="14" t="s">
        <v>24</v>
      </c>
      <c r="NU3" s="15" t="s">
        <v>12</v>
      </c>
      <c r="NV3" s="15" t="s">
        <v>7</v>
      </c>
      <c r="NW3" s="15" t="s">
        <v>23</v>
      </c>
      <c r="NX3" s="15" t="s">
        <v>24</v>
      </c>
      <c r="NY3" s="14"/>
      <c r="NZ3" s="14"/>
      <c r="OA3" s="14"/>
      <c r="OB3" s="14"/>
      <c r="OC3" s="14"/>
      <c r="OD3" s="14"/>
      <c r="OE3" s="14"/>
      <c r="OF3" s="14"/>
      <c r="OG3" s="13" t="s">
        <v>12</v>
      </c>
      <c r="OH3" s="13" t="s">
        <v>7</v>
      </c>
      <c r="OI3" s="13" t="s">
        <v>23</v>
      </c>
      <c r="OJ3" s="13" t="s">
        <v>24</v>
      </c>
      <c r="OK3" s="13" t="s">
        <v>12</v>
      </c>
      <c r="OL3" s="13" t="s">
        <v>7</v>
      </c>
      <c r="OM3" s="13" t="s">
        <v>23</v>
      </c>
      <c r="ON3" s="13" t="s">
        <v>24</v>
      </c>
      <c r="OO3" s="13" t="s">
        <v>12</v>
      </c>
      <c r="OP3" s="13" t="s">
        <v>7</v>
      </c>
      <c r="OQ3" s="13" t="s">
        <v>23</v>
      </c>
      <c r="OR3" s="13" t="s">
        <v>24</v>
      </c>
      <c r="OS3" s="13" t="s">
        <v>12</v>
      </c>
      <c r="OT3" s="13" t="s">
        <v>7</v>
      </c>
      <c r="OU3" s="13" t="s">
        <v>23</v>
      </c>
      <c r="OV3" s="13" t="s">
        <v>24</v>
      </c>
      <c r="OW3" s="16" t="s">
        <v>12</v>
      </c>
      <c r="OX3" s="16" t="s">
        <v>7</v>
      </c>
      <c r="OY3" s="16" t="s">
        <v>23</v>
      </c>
      <c r="OZ3" s="16" t="s">
        <v>24</v>
      </c>
      <c r="PA3" s="13"/>
      <c r="PB3" s="13"/>
      <c r="PC3" s="13"/>
      <c r="PD3" s="13"/>
      <c r="PE3" s="13"/>
      <c r="PF3" s="13"/>
      <c r="PG3" s="13"/>
      <c r="PH3" s="13"/>
      <c r="PI3" s="14" t="s">
        <v>12</v>
      </c>
      <c r="PJ3" s="14" t="s">
        <v>7</v>
      </c>
      <c r="PK3" s="14" t="s">
        <v>23</v>
      </c>
      <c r="PL3" s="14" t="s">
        <v>24</v>
      </c>
      <c r="PM3" s="14" t="s">
        <v>12</v>
      </c>
      <c r="PN3" s="14" t="s">
        <v>7</v>
      </c>
      <c r="PO3" s="14" t="s">
        <v>23</v>
      </c>
      <c r="PP3" s="14" t="s">
        <v>24</v>
      </c>
      <c r="PQ3" s="14" t="s">
        <v>12</v>
      </c>
      <c r="PR3" s="14" t="s">
        <v>7</v>
      </c>
      <c r="PS3" s="14" t="s">
        <v>23</v>
      </c>
      <c r="PT3" s="14" t="s">
        <v>24</v>
      </c>
      <c r="PU3" s="21" t="s">
        <v>12</v>
      </c>
      <c r="PV3" s="21" t="s">
        <v>7</v>
      </c>
      <c r="PW3" s="21" t="s">
        <v>23</v>
      </c>
      <c r="PX3" s="21" t="s">
        <v>24</v>
      </c>
      <c r="PY3" s="14" t="s">
        <v>45</v>
      </c>
      <c r="PZ3" s="14"/>
      <c r="QA3" s="14"/>
      <c r="QB3" s="14"/>
      <c r="QC3" s="14"/>
      <c r="QD3" s="14"/>
    </row>
    <row r="4" spans="1:446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>1</v>
      </c>
      <c r="C4" s="5" t="s">
        <v>205</v>
      </c>
      <c r="D4" s="4" t="s">
        <v>5</v>
      </c>
      <c r="E4" s="4">
        <v>2009</v>
      </c>
      <c r="F4" s="9">
        <f t="shared" ref="F4:F39" si="0">SUM(L4:R4)+SUM(L4:O4)*0.0000001+SUM(L4)*0.0000000000001</f>
        <v>154.60001021000511</v>
      </c>
      <c r="G4" s="64"/>
      <c r="H4" s="3" t="str">
        <f t="shared" ref="H4:H39" si="1">IF(OR(AND(AL4&gt;=AP$42,AM4&gt;=AP$46,AL4&lt;&gt;"",AK4=""),AND(AN4&gt;=AP$42,AO4&gt;=AP$46,AN4&lt;&gt;"",AK4=""),AND(BH4&gt;=BL$42,BI4&gt;=BL$46,BH4&lt;&gt;"",BG4=""),AND(BJ4&gt;=BL$42,BK4&gt;=BL$46,BJ4&lt;&gt;"",BG4=""),AND(CD4&gt;=CH$42,CE4&gt;=CH$46,CD4&lt;&gt;"",CC4=""),AND(CF4&gt;=CH$42,CG4&gt;=CH$46,CF4&lt;&gt;""),AND(DE4&gt;=DL$42,DF4&gt;=DL$46,DE4&lt;&gt;""),AND(DJ4&gt;=DL$42,DK4&gt;=DL$46,DJ4&lt;&gt;""),AND(EG4&gt;=EN$42,EH4&gt;=EN$46,EG4&lt;&gt;""),AND(EL4&gt;=EN$42,EM4&gt;=EN$46,EL4&lt;&gt;""),AND(FI4&gt;=FP$42,FJ4&gt;=FP$46,FI4&lt;&gt;""),AND(FN4&gt;=FP$42,FO4&gt;=FP$46,FN4&lt;&gt;""),AND(GK4&gt;=GR$42,GL4&gt;=GR$46,GK4&lt;&gt;""),AND(GP4&gt;=GR$42,GQ4&gt;=GR$46,GP4&lt;&gt;""),AND(HM4&gt;=HT$42,HN4&gt;=HT$46,HM4&lt;&gt;""),AND(HR4&gt;=HT$42,HS4&gt;=HT$46,HR4&lt;&gt;""),AND(IO4&gt;=IV$42,IP4&gt;=IV$46,IO4&lt;&gt;""),AND(IT4&gt;=IV$42,IU4&gt;=IV$46,IT4&lt;&gt;""),AND(JQ4&gt;=JX$42,JR4&gt;=JX$46,JQ4&lt;&gt;""),AND(JV4&gt;=JX$42,JW4&gt;=JX$46,JV4&lt;&gt;""),AND(KS4&gt;=KZ$42,KT4&gt;=KZ$46,KS4&lt;&gt;""),AND(KX4&gt;=KZ$42,KY4&gt;=KZ$46,KX4&lt;&gt;""),AND(LU4&gt;=MB$42,LV4&gt;=MB$46,LU4&lt;&gt;""),AND(LZ4&gt;=MB$42,MA4&gt;=MB$46,LZ4&lt;&gt;""),AND(MW4&gt;=ND$42,MX4&gt;=ND$46,MW4&lt;&gt;""),AND(NB4&gt;=ND$42,NC4&gt;=ND$46,NB4&lt;&gt;""),AND(NY4&gt;=OF$42,NZ4&gt;=OF$46,NY4&lt;&gt;""),AND(OD4&gt;=OF$42,OE4&gt;=OF$46,OD4&lt;&gt;""),AND(PA4&gt;=PH$42,PB4&gt;=PH$46,PA4&lt;&gt;""),AND(PF4&gt;=PH$42,PG4&gt;=PH$46,PF4&lt;&gt;"")),"P","")</f>
        <v>P</v>
      </c>
      <c r="I4" s="3" t="str">
        <f t="shared" ref="I4:I39" si="2">IF(OR(AND(AM4&gt;=AP$46,AM4&lt;&gt;"",AK4=""),AND(AO4&gt;=AP$46,AO4&lt;&gt;"",AK4=""),AND(BI4&gt;=BL$46,BI4&lt;&gt;"",BG4=""),AND(BK4&gt;=BL$46,BK4&lt;&gt;"",BG4=""),AND(CE4&gt;=CH$46,CE4&lt;&gt;"",CC4=""),AND(CG4&gt;=CH$46,CG4&lt;&gt;"",CC4=""),AND(DF4&gt;=DL$46,DF4&lt;&gt;""),AND(DK4&gt;=DL$46,DK4&lt;&gt;""),AND(EH4&gt;=EN$46,EH4&lt;&gt;""),AND(EM4&gt;=EN$46,EM4&lt;&gt;""),AND(FJ4&gt;=FP$46,FJ4&lt;&gt;""),AND(FO4&gt;=FP$46,FO4&lt;&gt;""),AND(GL4&gt;=GR$46,GL4&lt;&gt;""),AND(GQ4&gt;=GR$46,GQ4&lt;&gt;""),AND(HN4&gt;=HT$46,HN4&lt;&gt;""),AND(HS4&gt;=HT$46,HS4&lt;&gt;""),AND(IP4&gt;=IV$46,IP4&lt;&gt;""),AND(IU4&gt;=IV$46,IU4&lt;&gt;""),AND(JR4&gt;=JX$46,JR4&lt;&gt;""),AND(JW4&gt;=JX$46,JW4&lt;&gt;""),AND(KT4&gt;=KZ$46,KT4&lt;&gt;""),AND(KY4&gt;=KZ$46,KY4&lt;&gt;""),AND(LV4&gt;=MB$46,LV4&lt;&gt;""),AND(MA4&gt;=MB$46,MA4&lt;&gt;""),AND(MX4&gt;=ND$46,MX4&lt;&gt;""),AND(NC4&gt;=ND$46,NC4&lt;&gt;""),AND(NZ4&gt;=OF$46,NZ4&lt;&gt;""),AND(OE4&gt;=OF$46,OE4&lt;&gt;""),AND(PB4&gt;=PH$46,PB4&lt;&gt;""),AND(PG4&gt;=PH$46,PG4&lt;&gt;"")),"P","")</f>
        <v>P</v>
      </c>
      <c r="J4" s="36" t="str">
        <f t="shared" ref="J4:J39" si="3">IF(AND(I4="P",H4=""),"No DD",IF(OR(AND(AL4&gt;=AP$23,AM4&gt;=AP$27,AL4&lt;&gt;"",AK4=""),AND(BH4&gt;=BL$23,BI4&gt;=BL$27,BH4&lt;&gt;"",BG4=""),AND(CD4&gt;=CH$23,CE4&gt;=CH$27,CD4&lt;&gt;"",CC4=""),AND(DH4&gt;=DL$23,DI4&gt;=DL$27,DH4&lt;&gt;""),AND(EJ4&gt;=EN$23,EK4&gt;=EN$27,EJ4&lt;&gt;""),AND(FL4&gt;=FP$23,FM4&gt;=FP$27,FL4&lt;&gt;""),AND(GN4&gt;=GR$23,GO4&gt;=GR$27,GN4&lt;&gt;""),AND(HP4&gt;=HT$23,HQ4&gt;=HT$27,HP4&lt;&gt;""),AND(IR4&gt;=IV$23,IS4&gt;=IV$27,IR4&lt;&gt;""),AND(JT4&gt;=JX$23,JU4&gt;=JX$27,JT4&lt;&gt;""),AND(KV4&gt;=KZ$23,KW4&gt;=KZ$27,KV4&lt;&gt;""),AND(LX4&gt;=MB$23,LY4&gt;=MB$27,LX4&lt;&gt;""),AND(MZ4&gt;=ND$23,NA4&gt;=ND$27,MZ4&lt;&gt;""),AND(OB4&gt;=OF$23,OC4&gt;=OF$27,OB4&lt;&gt;""),AND(PD4&gt;=PH$23,PE4&gt;=PH$27,PD4&lt;&gt;"")),"Merit",IF(OR(AND(AL4&gt;=AP$22,AM4&gt;=AP$26,AL4&lt;&gt;"",AK4=""),AND(BH4&gt;=BL$22,BI4&gt;=BL$26,BH4&lt;&gt;"",BG4=""),AND(CD4&gt;=CH$22,CE4&gt;=CH$26,CD4&lt;&gt;"",CC4=""),AND(DH4&gt;=DL$22,DI4&gt;=DL$26,DH4&lt;&gt;""),AND(EJ4&gt;=EN$22,EK4&gt;=EN$26,EJ4&lt;&gt;""),AND(FL4&gt;=FP$22,FM4&gt;=FP$26,FL4&lt;&gt;""),AND(GN4&gt;=GR$22,GO4&gt;=GR$26,GN4&lt;&gt;""),AND(HP4&gt;=HT$22,HQ4&gt;=HT$26,HP4&lt;&gt;""),AND(IR4&gt;=IV$22,IS4&gt;=IV$26,IR4&lt;&gt;""),AND(JT4&gt;=JX$22,JU4&gt;=JX$26,JT4&lt;&gt;""),AND(KV4&gt;=KZ$22,KW4&gt;=KZ$26,KV4&lt;&gt;""),AND(LX4&gt;=MB$22,LY4&gt;=MB$26,LX4&lt;&gt;""),AND(MZ4&gt;=ND$22,NA4&gt;=ND$26,MZ4&lt;&gt;""),AND(OB4&gt;=OF$22,OC4&gt;=OF$26,OB4&lt;&gt;""),AND(PD4&gt;=PH$22,PE4&gt;=PH$26,PD4&lt;&gt;"")),"Excellence",IF(K4="P","Worlds Team",IF(H4="P","National Team","")))))</f>
        <v>Worlds Team</v>
      </c>
      <c r="K4" s="3" t="str">
        <f t="shared" ref="K4:K39" si="4">IF(OR(AND(AL4&gt;=AP$42,AM4&gt;=AP$46,AL4&lt;&gt;"",AK4=""),AND(BH4&gt;=BL$42,BI4&gt;=BL$46,BH4&lt;&gt;"",BG4=""),AND(CD4&gt;=CH$42,CE4&gt;=CH$46,CD4&lt;&gt;"",CC4=""),AND(DH4&gt;=DL$42,DI4&gt;=DL$46,DH4&lt;&gt;""),AND(EJ4&gt;=EN$42,EK4&gt;=EN$46,EJ4&lt;&gt;""),AND(FL4&gt;=FP$42,FM4&gt;=FP$46,FL4&lt;&gt;""),AND(GN4&gt;=GR$42,GO4&gt;=GR$46,GN4&lt;&gt;""),AND(HP4&gt;=HT$42,HQ4&gt;=HT$46,HP4&lt;&gt;""),AND(IR4&gt;=IV$42,IS4&gt;=IV$46,IR4&lt;&gt;""),AND(JT4&gt;=JX$42,JU4&gt;=JX$46,JT4&lt;&gt;""),AND(KV4&gt;=KZ$42,KW4&gt;=KZ$46,KV4&lt;&gt;""),AND(LX4&gt;=MB$42,LY4&gt;=MB$46,LX4&lt;&gt;""),AND(MZ4&gt;=ND$42,NA4&gt;=ND$46,MZ4&lt;&gt;""),AND(OB4&gt;=OF$42,OC4&gt;=OF$46,OB4&lt;&gt;""),AND(PD4&gt;=PH$42,PE4&gt;=PH$46,PD4&lt;&gt;"")),"P","")</f>
        <v>P</v>
      </c>
      <c r="L4" s="8">
        <f>IF(COUNT(AM4,BI4,CE4)&gt;0,LARGE((AM4,BI4,CE4),1),0)</f>
        <v>51.199999999999996</v>
      </c>
      <c r="M4" s="8" t="str">
        <f t="shared" ref="M4:M39" si="5">IF(L4=0,"",IF(L4=CE4,$BM$1,IF(L4=BI4,$AQ$1,IF(L4=AM4,$U$1,""))))</f>
        <v>2025 Elite Canada</v>
      </c>
      <c r="N4" s="8">
        <f>IF(COUNT(AM4,BI4,CE4)&gt;1,LARGE((AM4,BI4,CE4),2),0)</f>
        <v>50.9</v>
      </c>
      <c r="O4" s="8" t="str">
        <f t="shared" ref="O4:O39" si="6">IF(N4=0,"",IF(AND(N4=L4,N4=AM4,N4=BI4),$U$1,IF(AND(N4=L4,N4=AM4,N4=CE4),$U$1,IF(AND(N4=L4,N4=BI4,N4=CE4),$AQ$1,IF(N4=CE4,$BM$1,IF(N4=BI4,$AQ$1,IF(N4=AM4,$U$1,"")))))))</f>
        <v>2025 Nationals</v>
      </c>
      <c r="P4" s="8">
        <f t="shared" ref="P4:P39" si="7">IF(MAX(AO4,BK4,CG4)&gt;0,MAX(AO4,BK4,CG4),0)</f>
        <v>52.1</v>
      </c>
      <c r="Q4" s="8" t="str">
        <f t="shared" ref="Q4:Q39" si="8">IF(P4=0,"",IF(P4=CG4,$BM$1,IF(P4=BK4,$AQ$1,IF(P4=AO4,$U$1,""))))</f>
        <v>2025 Nationals</v>
      </c>
      <c r="R4" s="8">
        <f t="shared" ref="R4:R39" si="9">IF(MAX(CI4:CJ4)&gt;0,MAX(CI4:CJ4),"")</f>
        <v>0.39999999999999858</v>
      </c>
      <c r="S4" s="11" t="str">
        <f t="shared" ref="S4:S39" si="10">IF(R4="","",IF(R4=CI4,"("&amp;CI$2&amp;")",IF(R4=CJ4,"("&amp;CJ$2&amp;")")))</f>
        <v>(Q1)</v>
      </c>
      <c r="T4" s="8" t="str">
        <f t="shared" ref="T4:T39" si="11">IF(R4="","",IF(R4=CI4,IF(R4+IF(N4="",0,N4)=PB4,$OG$1,IF(R4+IF(N4="",0,N4)=NZ4,$NE$1,IF(R4+IF(N4="",0,N4)=MX4,$MC$1,IF(R4+IF(N4="",0,N4)=LV4,$LA$1,IF(R4+IF(N4="",0,N4)=KT4,$JY$1,IF(R4+IF(N4="",0,N4)=JR4,$IW$1,IF(R4+IF(N4="",0,N4)=IP4,$HU$1,IF(R4+IF(N4="",0,N4)=HN4,$GS$1,IF(R4+IF(N4="",0,N4)=GL4,$FQ$1,IF(R4+IF(N4="",0,N4)=FJ4,$EO$1,IF(R4+IF(N4="",0,N4)=EH4,$DM$1,IF(R4+IF(N4="",0,N4)=DF4,$CK$1)))))))))))),IF(R4=CJ4,IF(R4+IF(P4="",0,P4)=PG4,$OG$1,IF(R4+IF(P4="",0,P4)=OE4,$NE$1,IF(R4+IF(P4="",0,P4)=NC4,$MC$1,IF(R4+IF(P4="",0,P4)=MA4,$LA$1,IF(R4+IF(P4="",0,P4)=KY4,$JY$1,IF(R4+IF(P4="",0,P4)=JW4,$IW$1,IF(R4+IF(P4="",0,P4)=IU4,$HU$1,IF(R4+IF(P4="",0,P4)=HS4,$GS$1,IF(R4+IF(P4="",0,P4)=GQ4,$FQ$1,IF(R4+IF(P4="",0,P4)=FO4,$EO$1,IF(R4+IF(P4="",0,P4)=EM4,$DM$1,IF(R4+IF(P4="",0,P4)=DK4,$CK$1)))))))))))))))</f>
        <v>2025 WAGC (Nov 16)</v>
      </c>
      <c r="U4" s="19">
        <v>19</v>
      </c>
      <c r="V4" s="19">
        <v>6.4</v>
      </c>
      <c r="W4" s="19">
        <v>0</v>
      </c>
      <c r="X4" s="19">
        <v>0</v>
      </c>
      <c r="Y4" s="19">
        <v>19</v>
      </c>
      <c r="Z4" s="19">
        <v>6.8</v>
      </c>
      <c r="AA4" s="19">
        <v>0</v>
      </c>
      <c r="AB4" s="19">
        <v>0</v>
      </c>
      <c r="AC4" s="19">
        <v>18.7</v>
      </c>
      <c r="AD4" s="19">
        <v>6.4</v>
      </c>
      <c r="AE4" s="19">
        <v>0</v>
      </c>
      <c r="AF4" s="19">
        <v>0</v>
      </c>
      <c r="AG4" s="19">
        <v>18.5</v>
      </c>
      <c r="AH4" s="19">
        <v>7.6</v>
      </c>
      <c r="AI4" s="19">
        <v>0.2</v>
      </c>
      <c r="AJ4" s="19">
        <v>0</v>
      </c>
      <c r="AK4" s="27"/>
      <c r="AL4" s="40">
        <f t="shared" ref="AL4:AL39" si="12">IF(SUM(V4,Z4)&gt;0,SUM(V4,Z4),"")</f>
        <v>13.2</v>
      </c>
      <c r="AM4" s="40">
        <f t="shared" ref="AM4:AM39" si="13">IF(SUM(U4:V4,X4:Z4,AB4)-W4-AA4&gt;0,SUM(U4:V4,X4:Z4,AB4)-W4-AA4,"")</f>
        <v>51.199999999999996</v>
      </c>
      <c r="AN4" s="40">
        <f t="shared" ref="AN4:AN39" si="14">IF(SUM(AD4,AH4)&gt;0,SUM(AD4,AH4),"")</f>
        <v>14</v>
      </c>
      <c r="AO4" s="40">
        <f t="shared" ref="AO4:AO39" si="15">IF(SUM(AC4:AD4,AF4:AH4,AJ4)-SUM(AE4,AI4)&gt;0,SUM(AC4:AD4,AF4:AH4,AJ4)-SUM(AE4,AI4),"")</f>
        <v>51</v>
      </c>
      <c r="AP4" s="40">
        <f t="shared" ref="AP4:AP39" si="16">IF(SUM(AM4,AO4)&gt;0,SUM(AM4,AO4),"")</f>
        <v>102.19999999999999</v>
      </c>
      <c r="AQ4" s="18">
        <v>19.2</v>
      </c>
      <c r="AR4" s="18">
        <v>6.4</v>
      </c>
      <c r="AS4" s="18">
        <v>0</v>
      </c>
      <c r="AT4" s="18">
        <v>0</v>
      </c>
      <c r="AU4" s="18">
        <v>19.100000000000001</v>
      </c>
      <c r="AV4" s="18">
        <v>6.8</v>
      </c>
      <c r="AW4" s="18">
        <v>0.6</v>
      </c>
      <c r="AX4" s="18">
        <v>0</v>
      </c>
      <c r="AY4" s="18">
        <v>18.7</v>
      </c>
      <c r="AZ4" s="18">
        <v>6.8</v>
      </c>
      <c r="BA4" s="18">
        <v>0</v>
      </c>
      <c r="BB4" s="18">
        <v>0</v>
      </c>
      <c r="BC4" s="18">
        <v>18.600000000000001</v>
      </c>
      <c r="BD4" s="18">
        <v>8</v>
      </c>
      <c r="BE4" s="18">
        <v>0</v>
      </c>
      <c r="BF4" s="18">
        <v>0</v>
      </c>
      <c r="BG4" s="28"/>
      <c r="BH4" s="11">
        <f t="shared" ref="BH4:BH39" si="17">IF(SUM(AR4,AV4)&gt;0,SUM(AR4,AV4),"")</f>
        <v>13.2</v>
      </c>
      <c r="BI4" s="11">
        <f t="shared" ref="BI4:BI39" si="18">IF(SUM(AQ4:AR4,AT4:AV4,AX4)-AS4-AW4&gt;0,SUM(AQ4:AR4,AT4:AV4,AX4)-AS4-AW4,"")</f>
        <v>50.9</v>
      </c>
      <c r="BJ4" s="11">
        <f t="shared" ref="BJ4:BJ39" si="19">IF(SUM(AZ4,BD4)&gt;0,SUM(AZ4,BD4),"")</f>
        <v>14.8</v>
      </c>
      <c r="BK4" s="11">
        <f t="shared" ref="BK4:BK39" si="20">IF(SUM(AY4:AZ4,BB4:BD4,BF4)-SUM(BA4,BE4)&gt;0,SUM(AY4:AZ4,BB4:BD4,BF4)-SUM(BA4,BE4),"")</f>
        <v>52.1</v>
      </c>
      <c r="BL4" s="11">
        <f t="shared" ref="BL4:BL39" si="21">IF(SUM(BI4,BK4)&gt;0,SUM(BI4,BK4),"")</f>
        <v>103</v>
      </c>
      <c r="BM4" s="19">
        <v>18.8</v>
      </c>
      <c r="BN4" s="19">
        <v>6.4</v>
      </c>
      <c r="BO4" s="19">
        <v>0</v>
      </c>
      <c r="BP4" s="19">
        <v>0</v>
      </c>
      <c r="BQ4" s="19">
        <v>15.3</v>
      </c>
      <c r="BR4" s="19">
        <v>3.2</v>
      </c>
      <c r="BS4" s="19">
        <v>0</v>
      </c>
      <c r="BT4" s="19">
        <v>0</v>
      </c>
      <c r="BU4" s="19">
        <v>18.100000000000001</v>
      </c>
      <c r="BV4" s="19">
        <v>4.8</v>
      </c>
      <c r="BW4" s="19">
        <v>0</v>
      </c>
      <c r="BX4" s="19">
        <v>0</v>
      </c>
      <c r="BY4" s="19">
        <v>18.8</v>
      </c>
      <c r="BZ4" s="19">
        <v>5.2</v>
      </c>
      <c r="CA4" s="19">
        <v>0.2</v>
      </c>
      <c r="CB4" s="19">
        <v>0</v>
      </c>
      <c r="CC4" s="27"/>
      <c r="CD4" s="40">
        <f t="shared" ref="CD4:CD39" si="22">IF(SUM(BN4,BR4)&gt;0,SUM(BN4,BR4),"")</f>
        <v>9.6000000000000014</v>
      </c>
      <c r="CE4" s="40">
        <f t="shared" ref="CE4:CE39" si="23">IF(SUM(BM4:BN4,BP4:BR4,BT4)-BO4-BS4&gt;0,SUM(BM4:BN4,BP4:BR4,BT4)-BO4-BS4,"")</f>
        <v>43.7</v>
      </c>
      <c r="CF4" s="40">
        <f t="shared" ref="CF4:CF39" si="24">IF(SUM(BV4,BZ4)&gt;0,SUM(BV4,BZ4),"")</f>
        <v>10</v>
      </c>
      <c r="CG4" s="40">
        <f t="shared" ref="CG4:CG39" si="25">IF(SUM(BU4:BV4,BX4:BZ4,CB4)-SUM(BW4,CA4)&gt;0,SUM(BU4:BV4,BX4:BZ4,CB4)-SUM(BW4,CA4),"")</f>
        <v>46.7</v>
      </c>
      <c r="CH4" s="40">
        <f t="shared" ref="CH4:CH39" si="26">IF(SUM(CE4,CG4)&gt;0,SUM(CE4,CG4),"")</f>
        <v>90.4</v>
      </c>
      <c r="CI4" s="50">
        <f t="shared" ref="CI4:CI39" si="27">IF(MAX(DF4,EH4,FJ4,GL4,HN4,IP4,JR4,KT4,LV4,MX4,NZ4,PB4)-IF(N4="",0,N4)&gt;0.001,MAX(DF4,EH4,FJ4,GL4,HN4,IP4,JR4,KT4,LV4,MX4,NZ4,PB4)-IF(N4="",0,N4),"")</f>
        <v>0.39999999999999858</v>
      </c>
      <c r="CJ4" s="50" t="str">
        <f t="shared" ref="CJ4:CJ39" si="28">IF(MAX(DK4,EM4,FO4,GQ4,HS4,IU4,JW4,KY4,MA4,NC4,OE4,PG4)-IF(P4="",0,P4)&gt;0.001,MAX(DK4,EM4,FO4,GQ4,HS4,IU4,JW4,KY4,MA4,NC4,OE4,PG4)-IF(P4="",0,P4),"")</f>
        <v/>
      </c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40" t="str">
        <f t="shared" ref="DE4:DE39" si="29">IF(SUM(CL4,CP4)&gt;0,SUM(CL4,CP4),"")</f>
        <v/>
      </c>
      <c r="DF4" s="40" t="str">
        <f t="shared" ref="DF4:DF39" si="30">IF(SUM(CK4:CL4,CN4:CP4,CR4)-CM4-CQ4&gt;0,SUM(CK4:CL4,CN4:CP4,CR4)-CM4-CQ4,"")</f>
        <v/>
      </c>
      <c r="DG4" s="40" t="str">
        <f t="shared" ref="DG4:DG39" si="31">IF(SUM(CS4:CT4,CV4)-CU4&gt;0,SUM(CS4:CT4,CV4)-CU4,"")</f>
        <v/>
      </c>
      <c r="DH4" s="40" t="str">
        <f t="shared" ref="DH4:DH39" si="32">IF(SUM(CL4,CP4,CT4)&gt;0,SUM(CL4,CP4,CT4),"")</f>
        <v/>
      </c>
      <c r="DI4" s="40" t="str">
        <f t="shared" ref="DI4:DI39" si="33">IF(SUM(DF4,DG4)&gt;0,SUM(DF4,DG4),"")</f>
        <v/>
      </c>
      <c r="DJ4" s="40" t="str">
        <f t="shared" ref="DJ4:DJ39" si="34">IF(SUM(CX4,DB4)&gt;0,SUM(CX4,DB4),"")</f>
        <v/>
      </c>
      <c r="DK4" s="40" t="str">
        <f t="shared" ref="DK4:DK39" si="35">IF(SUM(CW4:CX4,CZ4:DB4,DD4)-SUM(CY4,DC4)&gt;0,SUM(CW4:CX4,CZ4:DB4,DD4)-SUM(CY4,DC4),"")</f>
        <v/>
      </c>
      <c r="DL4" s="40" t="str">
        <f t="shared" ref="DL4:DL39" si="36">IF(SUM(DF4,DG4,DK4)&gt;0,SUM(DF4,DG4,DK4),"")</f>
        <v/>
      </c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1" t="str">
        <f t="shared" ref="EG4:EG39" si="37">IF(SUM(DN4,DR4)&gt;0,SUM(DN4,DR4),"")</f>
        <v/>
      </c>
      <c r="EH4" s="11" t="str">
        <f t="shared" ref="EH4:EH39" si="38">IF(SUM(DM4:DN4,DP4:DR4,DT4)-DO4-DS4&gt;0,SUM(DM4:DN4,DP4:DR4,DT4)-DO4-DS4,"")</f>
        <v/>
      </c>
      <c r="EI4" s="11" t="str">
        <f t="shared" ref="EI4:EI39" si="39">IF(SUM(DU4:DV4,DX4)-DW4&gt;0,SUM(DU4:DV4,DX4)-DW4,"")</f>
        <v/>
      </c>
      <c r="EJ4" s="11" t="str">
        <f t="shared" ref="EJ4:EJ39" si="40">IF(SUM(DN4,DR4,DV4)&gt;0,SUM(DN4,DR4,DV4),"")</f>
        <v/>
      </c>
      <c r="EK4" s="11" t="str">
        <f t="shared" ref="EK4:EK39" si="41">IF(SUM(EH4,EI4)&gt;0,SUM(EH4,EI4),"")</f>
        <v/>
      </c>
      <c r="EL4" s="11" t="str">
        <f t="shared" ref="EL4:EL39" si="42">IF(SUM(DZ4,ED4)&gt;0,SUM(DZ4,ED4),"")</f>
        <v/>
      </c>
      <c r="EM4" s="11" t="str">
        <f t="shared" ref="EM4:EM39" si="43">IF(SUM(DY4:DZ4,EB4:ED4,EF4)-SUM(EA4,EE4)&gt;0,SUM(DY4:DZ4,EB4:ED4,EF4)-SUM(EA4,EE4),"")</f>
        <v/>
      </c>
      <c r="EN4" s="11" t="str">
        <f t="shared" ref="EN4:EN39" si="44">IF(SUM(EH4,EI4,EM4)&gt;0,SUM(EH4,EI4,EM4),"")</f>
        <v/>
      </c>
      <c r="EO4" s="17">
        <v>18.899999999999999</v>
      </c>
      <c r="EP4" s="17">
        <v>6.4</v>
      </c>
      <c r="EQ4" s="17">
        <v>0</v>
      </c>
      <c r="ER4" s="17">
        <v>0</v>
      </c>
      <c r="ES4" s="17">
        <v>19.2</v>
      </c>
      <c r="ET4" s="17">
        <v>6.8</v>
      </c>
      <c r="EU4" s="17">
        <v>0</v>
      </c>
      <c r="EV4" s="17">
        <v>0</v>
      </c>
      <c r="EW4" s="17">
        <v>18.600000000000001</v>
      </c>
      <c r="EX4" s="17">
        <v>6.8</v>
      </c>
      <c r="EY4" s="17">
        <v>0</v>
      </c>
      <c r="EZ4" s="17">
        <v>0</v>
      </c>
      <c r="FA4" s="17">
        <v>18.8</v>
      </c>
      <c r="FB4" s="17">
        <v>6.4</v>
      </c>
      <c r="FC4" s="17">
        <v>0.6</v>
      </c>
      <c r="FD4" s="17">
        <v>0</v>
      </c>
      <c r="FE4" s="17"/>
      <c r="FF4" s="17"/>
      <c r="FG4" s="17"/>
      <c r="FH4" s="17"/>
      <c r="FI4" s="40">
        <f t="shared" ref="FI4:FI39" si="45">IF(SUM(EP4,ET4)&gt;0,SUM(EP4,ET4),"")</f>
        <v>13.2</v>
      </c>
      <c r="FJ4" s="40">
        <f t="shared" ref="FJ4:FJ39" si="46">IF(SUM(EO4:EP4,ER4:ET4,EV4)-EQ4-EU4&gt;0,SUM(EO4:EP4,ER4:ET4,EV4)-EQ4-EU4,"")</f>
        <v>51.3</v>
      </c>
      <c r="FK4" s="40">
        <f t="shared" ref="FK4:FK39" si="47">IF(SUM(EW4:EX4,EZ4)-EY4&gt;0,SUM(EW4:EX4,EZ4)-EY4,"")</f>
        <v>25.400000000000002</v>
      </c>
      <c r="FL4" s="40">
        <f t="shared" ref="FL4:FL39" si="48">IF(SUM(EP4,ET4,EX4)&gt;0,SUM(EP4,ET4,EX4),"")</f>
        <v>20</v>
      </c>
      <c r="FM4" s="40">
        <f t="shared" ref="FM4:FM39" si="49">IF(SUM(FJ4,FK4)&gt;0,SUM(FJ4,FK4),"")</f>
        <v>76.7</v>
      </c>
      <c r="FN4" s="40">
        <f t="shared" ref="FN4:FN39" si="50">IF(SUM(FB4,FF4)&gt;0,SUM(FB4,FF4),"")</f>
        <v>6.4</v>
      </c>
      <c r="FO4" s="40">
        <f t="shared" ref="FO4:FO39" si="51">IF(SUM(FA4:FB4,FD4:FF4,FH4)-SUM(FC4,FG4)&gt;0,SUM(FA4:FB4,FD4:FF4,FH4)-SUM(FC4,FG4),"")</f>
        <v>24.6</v>
      </c>
      <c r="FP4" s="40">
        <f t="shared" ref="FP4:FP39" si="52">IF(SUM(FJ4,FK4,FO4)&gt;0,SUM(FJ4,FK4,FO4),"")</f>
        <v>101.30000000000001</v>
      </c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1" t="str">
        <f t="shared" ref="GK4:GK39" si="53">IF(SUM(FR4,FV4)&gt;0,SUM(FR4,FV4),"")</f>
        <v/>
      </c>
      <c r="GL4" s="11" t="str">
        <f t="shared" ref="GL4:GL39" si="54">IF(SUM(FQ4:FR4,FT4:FV4,FX4)-FS4-FW4&gt;0,SUM(FQ4:FR4,FT4:FV4,FX4)-FS4-FW4,"")</f>
        <v/>
      </c>
      <c r="GM4" s="11" t="str">
        <f t="shared" ref="GM4:GM39" si="55">IF(SUM(FY4:FZ4,GB4)-GA4&gt;0,SUM(FY4:FZ4,GB4)-GA4,"")</f>
        <v/>
      </c>
      <c r="GN4" s="11" t="str">
        <f t="shared" ref="GN4:GN39" si="56">IF(SUM(FR4,FV4,FZ4)&gt;0,SUM(FR4,FV4,FZ4),"")</f>
        <v/>
      </c>
      <c r="GO4" s="11" t="str">
        <f t="shared" ref="GO4:GO39" si="57">IF(SUM(GL4,GM4)&gt;0,SUM(GL4,GM4),"")</f>
        <v/>
      </c>
      <c r="GP4" s="11" t="str">
        <f t="shared" ref="GP4:GP39" si="58">IF(SUM(GD4,GH4)&gt;0,SUM(GD4,GH4),"")</f>
        <v/>
      </c>
      <c r="GQ4" s="11" t="str">
        <f t="shared" ref="GQ4:GQ39" si="59">IF(SUM(GC4:GD4,GF4:GH4,GJ4)-SUM(GE4,GI4)&gt;0,SUM(GC4:GD4,GF4:GH4,GJ4)-SUM(GE4,GI4),"")</f>
        <v/>
      </c>
      <c r="GR4" s="11" t="str">
        <f t="shared" ref="GR4:GR39" si="60">IF(SUM(GL4,GM4,GQ4)&gt;0,SUM(GL4,GM4,GQ4),"")</f>
        <v/>
      </c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40" t="str">
        <f t="shared" ref="HM4:HM39" si="61">IF(SUM(GT4,GX4)&gt;0,SUM(GT4,GX4),"")</f>
        <v/>
      </c>
      <c r="HN4" s="40" t="str">
        <f t="shared" ref="HN4:HN39" si="62">IF(SUM(GS4:GT4,GV4:GX4,GZ4)-GU4-GY4&gt;0,SUM(GS4:GT4,GV4:GX4,GZ4)-GU4-GY4,"")</f>
        <v/>
      </c>
      <c r="HO4" s="40" t="str">
        <f t="shared" ref="HO4:HO39" si="63">IF(SUM(HA4:HB4,HD4)-HC4&gt;0,SUM(HA4:HB4,HD4)-HC4,"")</f>
        <v/>
      </c>
      <c r="HP4" s="40" t="str">
        <f t="shared" ref="HP4:HP39" si="64">IF(SUM(GT4,GX4,HB4)&gt;0,SUM(GT4,GX4,HB4),"")</f>
        <v/>
      </c>
      <c r="HQ4" s="40" t="str">
        <f t="shared" ref="HQ4:HQ39" si="65">IF(SUM(HN4,HO4)&gt;0,SUM(HN4,HO4),"")</f>
        <v/>
      </c>
      <c r="HR4" s="40" t="str">
        <f t="shared" ref="HR4:HR39" si="66">IF(SUM(HF4,HJ4)&gt;0,SUM(HF4,HJ4),"")</f>
        <v/>
      </c>
      <c r="HS4" s="40" t="str">
        <f t="shared" ref="HS4:HS39" si="67">IF(SUM(HE4:HF4,HH4:HJ4,HL4)-SUM(HG4,HK4)&gt;0,SUM(HE4:HF4,HH4:HJ4,HL4)-SUM(HG4,HK4),"")</f>
        <v/>
      </c>
      <c r="HT4" s="40" t="str">
        <f t="shared" ref="HT4:HT39" si="68">IF(SUM(HN4,HO4,HS4)&gt;0,SUM(HN4,HO4,HS4),"")</f>
        <v/>
      </c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1" t="str">
        <f t="shared" ref="IO4:IO39" si="69">IF(SUM(HV4,HZ4)&gt;0,SUM(HV4,HZ4),"")</f>
        <v/>
      </c>
      <c r="IP4" s="11" t="str">
        <f t="shared" ref="IP4:IP39" si="70">IF(SUM(HU4:HV4,HX4:HZ4,IB4)-HW4-IA4&gt;0,SUM(HU4:HV4,HX4:HZ4,IB4)-HW4-IA4,"")</f>
        <v/>
      </c>
      <c r="IQ4" s="11" t="str">
        <f t="shared" ref="IQ4:IQ39" si="71">IF(SUM(IC4:ID4,IF4)-IE4&gt;0,SUM(IC4:ID4,IF4)-IE4,"")</f>
        <v/>
      </c>
      <c r="IR4" s="11" t="str">
        <f t="shared" ref="IR4:IR39" si="72">IF(SUM(HV4,HZ4,ID4)&gt;0,SUM(HV4,HZ4,ID4),"")</f>
        <v/>
      </c>
      <c r="IS4" s="11" t="str">
        <f t="shared" ref="IS4:IS39" si="73">IF(SUM(IP4,IQ4)&gt;0,SUM(IP4,IQ4),"")</f>
        <v/>
      </c>
      <c r="IT4" s="11" t="str">
        <f t="shared" ref="IT4:IT39" si="74">IF(SUM(IH4,IL4)&gt;0,SUM(IH4,IL4),"")</f>
        <v/>
      </c>
      <c r="IU4" s="11" t="str">
        <f t="shared" ref="IU4:IU39" si="75">IF(SUM(IG4:IH4,IJ4:IL4,IN4)-SUM(II4,IM4)&gt;0,SUM(IG4:IH4,IJ4:IL4,IN4)-SUM(II4,IM4),"")</f>
        <v/>
      </c>
      <c r="IV4" s="11" t="str">
        <f t="shared" ref="IV4:IV39" si="76">IF(SUM(IP4,IQ4,IU4)&gt;0,SUM(IP4,IQ4,IU4),"")</f>
        <v/>
      </c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40" t="str">
        <f t="shared" ref="JQ4:JQ39" si="77">IF(SUM(IX4,JB4)&gt;0,SUM(IX4,JB4),"")</f>
        <v/>
      </c>
      <c r="JR4" s="40" t="str">
        <f t="shared" ref="JR4:JR39" si="78">IF(SUM(IW4:IX4,IZ4:JB4,JD4)-IY4-JC4&gt;0,SUM(IW4:IX4,IZ4:JB4,JD4)-IY4-JC4,"")</f>
        <v/>
      </c>
      <c r="JS4" s="40" t="str">
        <f t="shared" ref="JS4:JS39" si="79">IF(SUM(JE4:JF4,JH4)-JG4&gt;0,SUM(JE4:JF4,JH4)-JG4,"")</f>
        <v/>
      </c>
      <c r="JT4" s="40" t="str">
        <f t="shared" ref="JT4:JT39" si="80">IF(SUM(IX4,JB4,JF4)&gt;0,SUM(IX4,JB4,JF4),"")</f>
        <v/>
      </c>
      <c r="JU4" s="40" t="str">
        <f t="shared" ref="JU4:JU39" si="81">IF(SUM(JR4,JS4)&gt;0,SUM(JR4,JS4),"")</f>
        <v/>
      </c>
      <c r="JV4" s="40" t="str">
        <f t="shared" ref="JV4:JV39" si="82">IF(SUM(JJ4,JN4)&gt;0,SUM(JJ4,JN4),"")</f>
        <v/>
      </c>
      <c r="JW4" s="40" t="str">
        <f t="shared" ref="JW4:JW39" si="83">IF(SUM(JI4:JJ4,JL4:JN4,JP4)-SUM(JK4,JO4)&gt;0,SUM(JI4:JJ4,JL4:JN4,JP4)-SUM(JK4,JO4),"")</f>
        <v/>
      </c>
      <c r="JX4" s="40" t="str">
        <f t="shared" ref="JX4:JX39" si="84">IF(SUM(JR4,JS4,JW4)&gt;0,SUM(JR4,JS4,JW4),"")</f>
        <v/>
      </c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1" t="str">
        <f t="shared" ref="KS4:KS39" si="85">IF(SUM(JZ4,KD4)&gt;0,SUM(JZ4,KD4),"")</f>
        <v/>
      </c>
      <c r="KT4" s="11" t="str">
        <f t="shared" ref="KT4:KT39" si="86">IF(SUM(JY4:JZ4,KB4:KD4,KF4)-KA4-KE4&gt;0,SUM(JY4:JZ4,KB4:KD4,KF4)-KA4-KE4,"")</f>
        <v/>
      </c>
      <c r="KU4" s="11" t="str">
        <f t="shared" ref="KU4:KU39" si="87">IF(SUM(KG4:KH4,KJ4)-KI4&gt;0,SUM(KG4:KH4,KJ4)-KI4,"")</f>
        <v/>
      </c>
      <c r="KV4" s="11" t="str">
        <f t="shared" ref="KV4:KV39" si="88">IF(SUM(JZ4,KD4,KH4)&gt;0,SUM(JZ4,KD4,KH4),"")</f>
        <v/>
      </c>
      <c r="KW4" s="11" t="str">
        <f t="shared" ref="KW4:KW39" si="89">IF(SUM(KT4,KU4)&gt;0,SUM(KT4,KU4),"")</f>
        <v/>
      </c>
      <c r="KX4" s="11" t="str">
        <f t="shared" ref="KX4:KX39" si="90">IF(SUM(KL4,KP4)&gt;0,SUM(KL4,KP4),"")</f>
        <v/>
      </c>
      <c r="KY4" s="11" t="str">
        <f t="shared" ref="KY4:KY39" si="91">IF(SUM(KK4:KL4,KN4:KP4,KR4)-SUM(KM4,KQ4)&gt;0,SUM(KK4:KL4,KN4:KP4,KR4)-SUM(KM4,KQ4),"")</f>
        <v/>
      </c>
      <c r="KZ4" s="11" t="str">
        <f t="shared" ref="KZ4:KZ39" si="92">IF(SUM(KT4,KU4,KY4)&gt;0,SUM(KT4,KU4,KY4),"")</f>
        <v/>
      </c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40" t="str">
        <f t="shared" ref="LU4:LU39" si="93">IF(SUM(LB4,LF4)&gt;0,SUM(LB4,LF4),"")</f>
        <v/>
      </c>
      <c r="LV4" s="40" t="str">
        <f t="shared" ref="LV4:LV39" si="94">IF(SUM(LA4:LB4,LD4:LF4,LH4)-LC4-LG4&gt;0,SUM(LA4:LB4,LD4:LF4,LH4)-LC4-LG4,"")</f>
        <v/>
      </c>
      <c r="LW4" s="40" t="str">
        <f t="shared" ref="LW4:LW39" si="95">IF(SUM(LI4:LJ4,LL4)-LK4&gt;0,SUM(LI4:LJ4,LL4)-LK4,"")</f>
        <v/>
      </c>
      <c r="LX4" s="40" t="str">
        <f t="shared" ref="LX4:LX39" si="96">IF(SUM(LB4,LF4,LJ4)&gt;0,SUM(LB4,LF4,LJ4),"")</f>
        <v/>
      </c>
      <c r="LY4" s="40" t="str">
        <f t="shared" ref="LY4:LY39" si="97">IF(SUM(LV4,LW4)&gt;0,SUM(LV4,LW4),"")</f>
        <v/>
      </c>
      <c r="LZ4" s="40" t="str">
        <f t="shared" ref="LZ4:LZ39" si="98">IF(SUM(LN4,LR4)&gt;0,SUM(LN4,LR4),"")</f>
        <v/>
      </c>
      <c r="MA4" s="40" t="str">
        <f t="shared" ref="MA4:MA39" si="99">IF(SUM(LM4:LN4,LP4:LR4,LT4)-SUM(LO4,LS4)&gt;0,SUM(LM4:LN4,LP4:LR4,LT4)-SUM(LO4,LS4),"")</f>
        <v/>
      </c>
      <c r="MB4" s="40" t="str">
        <f t="shared" ref="MB4:MB39" si="100">IF(SUM(LV4,LW4,MA4)&gt;0,SUM(LV4,LW4,MA4),"")</f>
        <v/>
      </c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1" t="str">
        <f t="shared" ref="MW4:MW39" si="101">IF(SUM(MD4,MH4)&gt;0,SUM(MD4,MH4),"")</f>
        <v/>
      </c>
      <c r="MX4" s="11" t="str">
        <f t="shared" ref="MX4:MX39" si="102">IF(SUM(MC4:MD4,MF4:MH4,MJ4)-ME4-MI4&gt;0,SUM(MC4:MD4,MF4:MH4,MJ4)-ME4-MI4,"")</f>
        <v/>
      </c>
      <c r="MY4" s="11" t="str">
        <f t="shared" ref="MY4:MY39" si="103">IF(SUM(MK4:ML4,MN4)-MM4&gt;0,SUM(MK4:ML4,MN4)-MM4,"")</f>
        <v/>
      </c>
      <c r="MZ4" s="11" t="str">
        <f t="shared" ref="MZ4:MZ39" si="104">IF(SUM(MD4,MH4,ML4)&gt;0,SUM(MD4,MH4,ML4),"")</f>
        <v/>
      </c>
      <c r="NA4" s="11" t="str">
        <f t="shared" ref="NA4:NA39" si="105">IF(SUM(MX4,MY4)&gt;0,SUM(MX4,MY4),"")</f>
        <v/>
      </c>
      <c r="NB4" s="11" t="str">
        <f t="shared" ref="NB4:NB39" si="106">IF(SUM(MP4,MT4)&gt;0,SUM(MP4,MT4),"")</f>
        <v/>
      </c>
      <c r="NC4" s="11" t="str">
        <f t="shared" ref="NC4:NC39" si="107">IF(SUM(MO4:MP4,MR4:MT4,MV4)-SUM(MQ4,MU4)&gt;0,SUM(MO4:MP4,MR4:MT4,MV4)-SUM(MQ4,MU4),"")</f>
        <v/>
      </c>
      <c r="ND4" s="11" t="str">
        <f t="shared" ref="ND4:ND39" si="108">IF(SUM(MX4,MY4,NC4)&gt;0,SUM(MX4,MY4,NC4),"")</f>
        <v/>
      </c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40" t="str">
        <f t="shared" ref="NY4:NY39" si="109">IF(SUM(NF4,NJ4)&gt;0,SUM(NF4,NJ4),"")</f>
        <v/>
      </c>
      <c r="NZ4" s="40" t="str">
        <f t="shared" ref="NZ4:NZ39" si="110">IF(SUM(NE4:NF4,NH4:NJ4,NL4)-NG4-NK4&gt;0,SUM(NE4:NF4,NH4:NJ4,NL4)-NG4-NK4,"")</f>
        <v/>
      </c>
      <c r="OA4" s="40" t="str">
        <f t="shared" ref="OA4:OA39" si="111">IF(SUM(NM4:NN4,NP4)-NO4&gt;0,SUM(NM4:NN4,NP4)-NO4,"")</f>
        <v/>
      </c>
      <c r="OB4" s="40" t="str">
        <f t="shared" ref="OB4:OB39" si="112">IF(SUM(NF4,NJ4,NN4)&gt;0,SUM(NF4,NJ4,NN4),"")</f>
        <v/>
      </c>
      <c r="OC4" s="40" t="str">
        <f t="shared" ref="OC4:OC39" si="113">IF(SUM(NZ4,OA4)&gt;0,SUM(NZ4,OA4),"")</f>
        <v/>
      </c>
      <c r="OD4" s="40" t="str">
        <f t="shared" ref="OD4:OD39" si="114">IF(SUM(NR4,NV4)&gt;0,SUM(NR4,NV4),"")</f>
        <v/>
      </c>
      <c r="OE4" s="40" t="str">
        <f t="shared" ref="OE4:OE39" si="115">IF(SUM(NQ4:NR4,NT4:NV4,NX4)-SUM(NS4,NW4)&gt;0,SUM(NQ4:NR4,NT4:NV4,NX4)-SUM(NS4,NW4),"")</f>
        <v/>
      </c>
      <c r="OF4" s="40" t="str">
        <f t="shared" ref="OF4:OF39" si="116">IF(SUM(NZ4,OA4,OE4)&gt;0,SUM(NZ4,OA4,OE4),"")</f>
        <v/>
      </c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1" t="str">
        <f t="shared" ref="PA4:PA39" si="117">IF(SUM(OH4,OL4)&gt;0,SUM(OH4,OL4),"")</f>
        <v/>
      </c>
      <c r="PB4" s="11" t="str">
        <f t="shared" ref="PB4:PB39" si="118">IF(SUM(OG4:OH4,OJ4:OL4,ON4)-OI4-OM4&gt;0,SUM(OG4:OH4,OJ4:OL4,ON4)-OI4-OM4,"")</f>
        <v/>
      </c>
      <c r="PC4" s="11" t="str">
        <f t="shared" ref="PC4:PC39" si="119">IF(SUM(OO4:OP4,OR4)-OQ4&gt;0,SUM(OO4:OP4,OR4)-OQ4,"")</f>
        <v/>
      </c>
      <c r="PD4" s="11" t="str">
        <f t="shared" ref="PD4:PD39" si="120">IF(SUM(OH4,OL4,OP4)&gt;0,SUM(OH4,OL4,OP4),"")</f>
        <v/>
      </c>
      <c r="PE4" s="11" t="str">
        <f t="shared" ref="PE4:PE39" si="121">IF(SUM(PB4,PC4)&gt;0,SUM(PB4,PC4),"")</f>
        <v/>
      </c>
      <c r="PF4" s="11" t="str">
        <f t="shared" ref="PF4:PF39" si="122">IF(SUM(OT4,OX4)&gt;0,SUM(OT4,OX4),"")</f>
        <v/>
      </c>
      <c r="PG4" s="11" t="str">
        <f t="shared" ref="PG4:PG39" si="123">IF(SUM(OS4:OT4,OV4:OX4,OZ4)-SUM(OU4,OY4)&gt;0,SUM(OS4:OT4,OV4:OX4,OZ4)-SUM(OU4,OY4),"")</f>
        <v/>
      </c>
      <c r="PH4" s="11" t="str">
        <f t="shared" ref="PH4:PH39" si="124">IF(SUM(PB4,PC4,PG4)&gt;0,SUM(PB4,PC4,PG4),"")</f>
        <v/>
      </c>
      <c r="PI4" s="22">
        <f t="shared" ref="PI4:PI39" si="125">IF($PY4="P",BM4,(BM4+AQ4)/2)</f>
        <v>18.8</v>
      </c>
      <c r="PJ4" s="22">
        <f t="shared" ref="PJ4:PJ39" si="126">IF($PY4="P",BN4,(BN4+AR4)/2)</f>
        <v>6.4</v>
      </c>
      <c r="PK4" s="22">
        <f t="shared" ref="PK4:PK39" si="127">IF($PY4="P",BO4,(BO4+AS4)/2)</f>
        <v>0</v>
      </c>
      <c r="PL4" s="22">
        <f t="shared" ref="PL4:PL39" si="128">IF($PY4="P",BP4,(BP4+AT4)/2)</f>
        <v>0</v>
      </c>
      <c r="PM4" s="22">
        <f t="shared" ref="PM4:PM39" si="129">IF($PY4="P",BQ4,(BQ4+AU4)/2)</f>
        <v>15.3</v>
      </c>
      <c r="PN4" s="22">
        <f t="shared" ref="PN4:PN39" si="130">IF($PY4="P",BR4,(BR4+AV4)/2)</f>
        <v>3.2</v>
      </c>
      <c r="PO4" s="22">
        <f t="shared" ref="PO4:PO39" si="131">IF($PY4="P",BS4,(BS4+AW4)/2)</f>
        <v>0</v>
      </c>
      <c r="PP4" s="22">
        <f t="shared" ref="PP4:PP39" si="132">IF($PY4="P",BT4,(BT4+AX4)/2)</f>
        <v>0</v>
      </c>
      <c r="PQ4" s="22">
        <f t="shared" ref="PQ4:PQ39" si="133">IF($PY4="P",BU4,(BU4+AY4)/2)</f>
        <v>18.100000000000001</v>
      </c>
      <c r="PR4" s="22">
        <f t="shared" ref="PR4:PR39" si="134">IF($PY4="P",BV4,(BV4+AZ4)/2)</f>
        <v>4.8</v>
      </c>
      <c r="PS4" s="22">
        <f t="shared" ref="PS4:PS39" si="135">IF($PY4="P",BW4,(BW4+BA4)/2)</f>
        <v>0</v>
      </c>
      <c r="PT4" s="22">
        <f t="shared" ref="PT4:PT39" si="136">IF($PY4="P",BX4,(BX4+BB4)/2)</f>
        <v>0</v>
      </c>
      <c r="PU4" s="22">
        <f t="shared" ref="PU4:PU39" si="137">IF($PY4="P",BY4,(BY4+BC4)/2)</f>
        <v>18.8</v>
      </c>
      <c r="PV4" s="22">
        <f t="shared" ref="PV4:PV39" si="138">IF($PY4="P",BZ4,(BZ4+BD4)/2)</f>
        <v>5.2</v>
      </c>
      <c r="PW4" s="22">
        <f t="shared" ref="PW4:PW39" si="139">IF($PY4="P",CA4,(CA4+BE4)/2)</f>
        <v>0.2</v>
      </c>
      <c r="PX4" s="22">
        <f t="shared" ref="PX4:PX39" si="140">IF($PY4="P",CB4,(CB4+BF4)/2)</f>
        <v>0</v>
      </c>
      <c r="PY4" s="27" t="s">
        <v>46</v>
      </c>
      <c r="PZ4" s="40">
        <f t="shared" ref="PZ4:PZ39" si="141">IF(SUM(PJ4,PN4)&gt;0,SUM(PJ4,PN4),"")</f>
        <v>9.6000000000000014</v>
      </c>
      <c r="QA4" s="40">
        <f t="shared" ref="QA4:QA39" si="142">IF(SUM(PI4:PJ4,PL4:PN4,PP4)-PK4-PO4&gt;0,SUM(PI4:PJ4,PL4:PN4,PP4)-PK4-PO4,"")</f>
        <v>43.7</v>
      </c>
      <c r="QB4" s="40">
        <f t="shared" ref="QB4:QB39" si="143">IF(SUM(PR4,PV4)&gt;0,SUM(PR4,PV4),"")</f>
        <v>10</v>
      </c>
      <c r="QC4" s="40">
        <f t="shared" ref="QC4:QC39" si="144">IF(SUM(PQ4:PR4,PT4:PV4,PX4)-SUM(PS4,PW4)&gt;0,SUM(PQ4:PR4,PT4:PV4,PX4)-SUM(PS4,PW4),"")</f>
        <v>46.7</v>
      </c>
      <c r="QD4" s="40">
        <f t="shared" ref="QD4:QD39" si="145">IF(SUM(QA4,QC4)&gt;0,SUM(QA4,QC4),"")</f>
        <v>90.4</v>
      </c>
    </row>
    <row r="5" spans="1:446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120</v>
      </c>
      <c r="D5" s="4" t="s">
        <v>5</v>
      </c>
      <c r="E5" s="4">
        <v>2007</v>
      </c>
      <c r="F5" s="9">
        <f t="shared" si="0"/>
        <v>151.3000101200052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Worlds Team</v>
      </c>
      <c r="K5" s="3" t="str">
        <f t="shared" si="4"/>
        <v>P</v>
      </c>
      <c r="L5" s="8">
        <f>IF(COUNT(AM5,BI5,CE5)&gt;0,LARGE((AM5,BI5,CE5),1),0)</f>
        <v>51.7</v>
      </c>
      <c r="M5" s="8" t="str">
        <f t="shared" si="5"/>
        <v>2025 Nationals</v>
      </c>
      <c r="N5" s="8">
        <f>IF(COUNT(AM5,BI5,CE5)&gt;1,LARGE((AM5,BI5,CE5),2),0)</f>
        <v>49.5</v>
      </c>
      <c r="O5" s="8" t="str">
        <f t="shared" si="6"/>
        <v>2025 3rd Domestic Trial</v>
      </c>
      <c r="P5" s="8">
        <f t="shared" si="7"/>
        <v>50.099999999999994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18.760000000000002</v>
      </c>
      <c r="V5" s="19">
        <v>6.8</v>
      </c>
      <c r="W5" s="19">
        <v>0.8</v>
      </c>
      <c r="X5" s="19">
        <v>0.3</v>
      </c>
      <c r="Y5" s="19">
        <v>18.399999999999999</v>
      </c>
      <c r="Z5" s="19">
        <v>4.8</v>
      </c>
      <c r="AA5" s="19">
        <v>0</v>
      </c>
      <c r="AB5" s="19">
        <v>0</v>
      </c>
      <c r="AC5" s="19">
        <v>18.2</v>
      </c>
      <c r="AD5" s="19">
        <v>7.2</v>
      </c>
      <c r="AE5" s="19">
        <v>0.2</v>
      </c>
      <c r="AF5" s="19">
        <v>0.3</v>
      </c>
      <c r="AG5" s="19">
        <v>18.600000000000001</v>
      </c>
      <c r="AH5" s="19">
        <v>6</v>
      </c>
      <c r="AI5" s="19">
        <v>0</v>
      </c>
      <c r="AJ5" s="19">
        <v>0</v>
      </c>
      <c r="AK5" s="27"/>
      <c r="AL5" s="40">
        <f t="shared" si="12"/>
        <v>11.6</v>
      </c>
      <c r="AM5" s="40">
        <f t="shared" si="13"/>
        <v>48.260000000000005</v>
      </c>
      <c r="AN5" s="40">
        <f t="shared" si="14"/>
        <v>13.2</v>
      </c>
      <c r="AO5" s="40">
        <f t="shared" si="15"/>
        <v>50.099999999999994</v>
      </c>
      <c r="AP5" s="40">
        <f t="shared" si="16"/>
        <v>98.36</v>
      </c>
      <c r="AQ5" s="18">
        <v>19.100000000000001</v>
      </c>
      <c r="AR5" s="18">
        <v>7.2</v>
      </c>
      <c r="AS5" s="18">
        <v>0</v>
      </c>
      <c r="AT5" s="18">
        <v>0.3</v>
      </c>
      <c r="AU5" s="18">
        <v>19.100000000000001</v>
      </c>
      <c r="AV5" s="18">
        <v>6</v>
      </c>
      <c r="AW5" s="18">
        <v>0</v>
      </c>
      <c r="AX5" s="18">
        <v>0</v>
      </c>
      <c r="AY5" s="18">
        <v>19.100000000000001</v>
      </c>
      <c r="AZ5" s="18">
        <v>7.2</v>
      </c>
      <c r="BA5" s="18">
        <v>0.6</v>
      </c>
      <c r="BB5" s="18">
        <v>0.3</v>
      </c>
      <c r="BC5" s="18">
        <v>18.399999999999999</v>
      </c>
      <c r="BD5" s="18">
        <v>5.2</v>
      </c>
      <c r="BE5" s="18">
        <v>0</v>
      </c>
      <c r="BF5" s="18">
        <v>0.3</v>
      </c>
      <c r="BG5" s="28"/>
      <c r="BH5" s="11">
        <f t="shared" si="17"/>
        <v>13.2</v>
      </c>
      <c r="BI5" s="11">
        <f t="shared" si="18"/>
        <v>51.7</v>
      </c>
      <c r="BJ5" s="11">
        <f t="shared" si="19"/>
        <v>12.4</v>
      </c>
      <c r="BK5" s="11">
        <f t="shared" si="20"/>
        <v>49.9</v>
      </c>
      <c r="BL5" s="11">
        <f t="shared" si="21"/>
        <v>101.6</v>
      </c>
      <c r="BM5" s="19">
        <v>19.2</v>
      </c>
      <c r="BN5" s="19">
        <v>5.2</v>
      </c>
      <c r="BO5" s="19">
        <v>0</v>
      </c>
      <c r="BP5" s="19">
        <v>0</v>
      </c>
      <c r="BQ5" s="19">
        <v>19.100000000000001</v>
      </c>
      <c r="BR5" s="19">
        <v>6</v>
      </c>
      <c r="BS5" s="19">
        <v>0</v>
      </c>
      <c r="BT5" s="19">
        <v>0</v>
      </c>
      <c r="BU5" s="19">
        <v>16.899999999999999</v>
      </c>
      <c r="BV5" s="19">
        <v>6.4</v>
      </c>
      <c r="BW5" s="19">
        <v>1</v>
      </c>
      <c r="BX5" s="19">
        <v>0.3</v>
      </c>
      <c r="BY5" s="19">
        <v>19.3</v>
      </c>
      <c r="BZ5" s="19">
        <v>6.8</v>
      </c>
      <c r="CA5" s="19">
        <v>0</v>
      </c>
      <c r="CB5" s="19">
        <v>0.3</v>
      </c>
      <c r="CC5" s="27"/>
      <c r="CD5" s="40">
        <f t="shared" si="22"/>
        <v>11.2</v>
      </c>
      <c r="CE5" s="40">
        <f t="shared" si="23"/>
        <v>49.5</v>
      </c>
      <c r="CF5" s="40">
        <f t="shared" si="24"/>
        <v>13.2</v>
      </c>
      <c r="CG5" s="40">
        <f t="shared" si="25"/>
        <v>48.999999999999993</v>
      </c>
      <c r="CH5" s="40">
        <f t="shared" si="26"/>
        <v>98.5</v>
      </c>
      <c r="CI5" s="50" t="str">
        <f t="shared" si="27"/>
        <v/>
      </c>
      <c r="CJ5" s="50" t="str">
        <f t="shared" si="28"/>
        <v/>
      </c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40" t="str">
        <f t="shared" si="29"/>
        <v/>
      </c>
      <c r="DF5" s="40" t="str">
        <f t="shared" si="30"/>
        <v/>
      </c>
      <c r="DG5" s="40" t="str">
        <f t="shared" si="31"/>
        <v/>
      </c>
      <c r="DH5" s="40" t="str">
        <f t="shared" si="32"/>
        <v/>
      </c>
      <c r="DI5" s="40" t="str">
        <f t="shared" si="33"/>
        <v/>
      </c>
      <c r="DJ5" s="40" t="str">
        <f t="shared" si="34"/>
        <v/>
      </c>
      <c r="DK5" s="40" t="str">
        <f t="shared" si="35"/>
        <v/>
      </c>
      <c r="DL5" s="40" t="str">
        <f t="shared" si="36"/>
        <v/>
      </c>
      <c r="DM5" s="18">
        <v>18.600000000000001</v>
      </c>
      <c r="DN5" s="18">
        <v>5.6</v>
      </c>
      <c r="DO5" s="18">
        <v>0</v>
      </c>
      <c r="DP5" s="18">
        <v>0</v>
      </c>
      <c r="DQ5" s="18">
        <v>18.600000000000001</v>
      </c>
      <c r="DR5" s="18">
        <v>6.8</v>
      </c>
      <c r="DS5" s="18">
        <v>0.2</v>
      </c>
      <c r="DT5" s="18">
        <v>0</v>
      </c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1">
        <f t="shared" si="37"/>
        <v>12.399999999999999</v>
      </c>
      <c r="EH5" s="11">
        <f t="shared" si="38"/>
        <v>49.4</v>
      </c>
      <c r="EI5" s="11" t="str">
        <f t="shared" si="39"/>
        <v/>
      </c>
      <c r="EJ5" s="11">
        <f t="shared" si="40"/>
        <v>12.399999999999999</v>
      </c>
      <c r="EK5" s="11">
        <f t="shared" si="41"/>
        <v>49.4</v>
      </c>
      <c r="EL5" s="11" t="str">
        <f t="shared" si="42"/>
        <v/>
      </c>
      <c r="EM5" s="11" t="str">
        <f t="shared" si="43"/>
        <v/>
      </c>
      <c r="EN5" s="11">
        <f t="shared" si="44"/>
        <v>49.4</v>
      </c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40" t="str">
        <f t="shared" si="45"/>
        <v/>
      </c>
      <c r="FJ5" s="40" t="str">
        <f t="shared" si="46"/>
        <v/>
      </c>
      <c r="FK5" s="40" t="str">
        <f t="shared" si="47"/>
        <v/>
      </c>
      <c r="FL5" s="40" t="str">
        <f t="shared" si="48"/>
        <v/>
      </c>
      <c r="FM5" s="40" t="str">
        <f t="shared" si="49"/>
        <v/>
      </c>
      <c r="FN5" s="40" t="str">
        <f t="shared" si="50"/>
        <v/>
      </c>
      <c r="FO5" s="40" t="str">
        <f t="shared" si="51"/>
        <v/>
      </c>
      <c r="FP5" s="40" t="str">
        <f t="shared" si="52"/>
        <v/>
      </c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1" t="str">
        <f t="shared" si="53"/>
        <v/>
      </c>
      <c r="GL5" s="11" t="str">
        <f t="shared" si="54"/>
        <v/>
      </c>
      <c r="GM5" s="11" t="str">
        <f t="shared" si="55"/>
        <v/>
      </c>
      <c r="GN5" s="11" t="str">
        <f t="shared" si="56"/>
        <v/>
      </c>
      <c r="GO5" s="11" t="str">
        <f t="shared" si="57"/>
        <v/>
      </c>
      <c r="GP5" s="11" t="str">
        <f t="shared" si="58"/>
        <v/>
      </c>
      <c r="GQ5" s="11" t="str">
        <f t="shared" si="59"/>
        <v/>
      </c>
      <c r="GR5" s="11" t="str">
        <f t="shared" si="60"/>
        <v/>
      </c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40" t="str">
        <f t="shared" si="61"/>
        <v/>
      </c>
      <c r="HN5" s="40" t="str">
        <f t="shared" si="62"/>
        <v/>
      </c>
      <c r="HO5" s="40" t="str">
        <f t="shared" si="63"/>
        <v/>
      </c>
      <c r="HP5" s="40" t="str">
        <f t="shared" si="64"/>
        <v/>
      </c>
      <c r="HQ5" s="40" t="str">
        <f t="shared" si="65"/>
        <v/>
      </c>
      <c r="HR5" s="40" t="str">
        <f t="shared" si="66"/>
        <v/>
      </c>
      <c r="HS5" s="40" t="str">
        <f t="shared" si="67"/>
        <v/>
      </c>
      <c r="HT5" s="40" t="str">
        <f t="shared" si="68"/>
        <v/>
      </c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1" t="str">
        <f t="shared" si="69"/>
        <v/>
      </c>
      <c r="IP5" s="11" t="str">
        <f t="shared" si="70"/>
        <v/>
      </c>
      <c r="IQ5" s="11" t="str">
        <f t="shared" si="71"/>
        <v/>
      </c>
      <c r="IR5" s="11" t="str">
        <f t="shared" si="72"/>
        <v/>
      </c>
      <c r="IS5" s="11" t="str">
        <f t="shared" si="73"/>
        <v/>
      </c>
      <c r="IT5" s="11" t="str">
        <f t="shared" si="74"/>
        <v/>
      </c>
      <c r="IU5" s="11" t="str">
        <f t="shared" si="75"/>
        <v/>
      </c>
      <c r="IV5" s="11" t="str">
        <f t="shared" si="76"/>
        <v/>
      </c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40" t="str">
        <f t="shared" si="77"/>
        <v/>
      </c>
      <c r="JR5" s="40" t="str">
        <f t="shared" si="78"/>
        <v/>
      </c>
      <c r="JS5" s="40" t="str">
        <f t="shared" si="79"/>
        <v/>
      </c>
      <c r="JT5" s="40" t="str">
        <f t="shared" si="80"/>
        <v/>
      </c>
      <c r="JU5" s="40" t="str">
        <f t="shared" si="81"/>
        <v/>
      </c>
      <c r="JV5" s="40" t="str">
        <f t="shared" si="82"/>
        <v/>
      </c>
      <c r="JW5" s="40" t="str">
        <f t="shared" si="83"/>
        <v/>
      </c>
      <c r="JX5" s="40" t="str">
        <f t="shared" si="84"/>
        <v/>
      </c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1" t="str">
        <f t="shared" si="85"/>
        <v/>
      </c>
      <c r="KT5" s="11" t="str">
        <f t="shared" si="86"/>
        <v/>
      </c>
      <c r="KU5" s="11" t="str">
        <f t="shared" si="87"/>
        <v/>
      </c>
      <c r="KV5" s="11" t="str">
        <f t="shared" si="88"/>
        <v/>
      </c>
      <c r="KW5" s="11" t="str">
        <f t="shared" si="89"/>
        <v/>
      </c>
      <c r="KX5" s="11" t="str">
        <f t="shared" si="90"/>
        <v/>
      </c>
      <c r="KY5" s="11" t="str">
        <f t="shared" si="91"/>
        <v/>
      </c>
      <c r="KZ5" s="11" t="str">
        <f t="shared" si="92"/>
        <v/>
      </c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40" t="str">
        <f t="shared" si="93"/>
        <v/>
      </c>
      <c r="LV5" s="40" t="str">
        <f t="shared" si="94"/>
        <v/>
      </c>
      <c r="LW5" s="40" t="str">
        <f t="shared" si="95"/>
        <v/>
      </c>
      <c r="LX5" s="40" t="str">
        <f t="shared" si="96"/>
        <v/>
      </c>
      <c r="LY5" s="40" t="str">
        <f t="shared" si="97"/>
        <v/>
      </c>
      <c r="LZ5" s="40" t="str">
        <f t="shared" si="98"/>
        <v/>
      </c>
      <c r="MA5" s="40" t="str">
        <f t="shared" si="99"/>
        <v/>
      </c>
      <c r="MB5" s="40" t="str">
        <f t="shared" si="100"/>
        <v/>
      </c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1" t="str">
        <f t="shared" si="101"/>
        <v/>
      </c>
      <c r="MX5" s="11" t="str">
        <f t="shared" si="102"/>
        <v/>
      </c>
      <c r="MY5" s="11" t="str">
        <f t="shared" si="103"/>
        <v/>
      </c>
      <c r="MZ5" s="11" t="str">
        <f t="shared" si="104"/>
        <v/>
      </c>
      <c r="NA5" s="11" t="str">
        <f t="shared" si="105"/>
        <v/>
      </c>
      <c r="NB5" s="11" t="str">
        <f t="shared" si="106"/>
        <v/>
      </c>
      <c r="NC5" s="11" t="str">
        <f t="shared" si="107"/>
        <v/>
      </c>
      <c r="ND5" s="11" t="str">
        <f t="shared" si="108"/>
        <v/>
      </c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40" t="str">
        <f t="shared" si="109"/>
        <v/>
      </c>
      <c r="NZ5" s="40" t="str">
        <f t="shared" si="110"/>
        <v/>
      </c>
      <c r="OA5" s="40" t="str">
        <f t="shared" si="111"/>
        <v/>
      </c>
      <c r="OB5" s="40" t="str">
        <f t="shared" si="112"/>
        <v/>
      </c>
      <c r="OC5" s="40" t="str">
        <f t="shared" si="113"/>
        <v/>
      </c>
      <c r="OD5" s="40" t="str">
        <f t="shared" si="114"/>
        <v/>
      </c>
      <c r="OE5" s="40" t="str">
        <f t="shared" si="115"/>
        <v/>
      </c>
      <c r="OF5" s="40" t="str">
        <f t="shared" si="116"/>
        <v/>
      </c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1" t="str">
        <f t="shared" si="117"/>
        <v/>
      </c>
      <c r="PB5" s="11" t="str">
        <f t="shared" si="118"/>
        <v/>
      </c>
      <c r="PC5" s="11" t="str">
        <f t="shared" si="119"/>
        <v/>
      </c>
      <c r="PD5" s="11" t="str">
        <f t="shared" si="120"/>
        <v/>
      </c>
      <c r="PE5" s="11" t="str">
        <f t="shared" si="121"/>
        <v/>
      </c>
      <c r="PF5" s="11" t="str">
        <f t="shared" si="122"/>
        <v/>
      </c>
      <c r="PG5" s="11" t="str">
        <f t="shared" si="123"/>
        <v/>
      </c>
      <c r="PH5" s="11" t="str">
        <f t="shared" si="124"/>
        <v/>
      </c>
      <c r="PI5" s="22">
        <f t="shared" si="125"/>
        <v>19.2</v>
      </c>
      <c r="PJ5" s="22">
        <f t="shared" si="126"/>
        <v>5.2</v>
      </c>
      <c r="PK5" s="22">
        <f t="shared" si="127"/>
        <v>0</v>
      </c>
      <c r="PL5" s="22">
        <f t="shared" si="128"/>
        <v>0</v>
      </c>
      <c r="PM5" s="22">
        <f t="shared" si="129"/>
        <v>19.100000000000001</v>
      </c>
      <c r="PN5" s="22">
        <f t="shared" si="130"/>
        <v>6</v>
      </c>
      <c r="PO5" s="22">
        <f t="shared" si="131"/>
        <v>0</v>
      </c>
      <c r="PP5" s="22">
        <f t="shared" si="132"/>
        <v>0</v>
      </c>
      <c r="PQ5" s="22">
        <f t="shared" si="133"/>
        <v>16.899999999999999</v>
      </c>
      <c r="PR5" s="22">
        <f t="shared" si="134"/>
        <v>6.4</v>
      </c>
      <c r="PS5" s="22">
        <f t="shared" si="135"/>
        <v>1</v>
      </c>
      <c r="PT5" s="22">
        <f t="shared" si="136"/>
        <v>0.3</v>
      </c>
      <c r="PU5" s="22">
        <f t="shared" si="137"/>
        <v>19.3</v>
      </c>
      <c r="PV5" s="22">
        <f t="shared" si="138"/>
        <v>6.8</v>
      </c>
      <c r="PW5" s="22">
        <f t="shared" si="139"/>
        <v>0</v>
      </c>
      <c r="PX5" s="22">
        <f t="shared" si="140"/>
        <v>0.3</v>
      </c>
      <c r="PY5" s="27" t="s">
        <v>46</v>
      </c>
      <c r="PZ5" s="40">
        <f t="shared" si="141"/>
        <v>11.2</v>
      </c>
      <c r="QA5" s="40">
        <f t="shared" si="142"/>
        <v>49.5</v>
      </c>
      <c r="QB5" s="40">
        <f t="shared" si="143"/>
        <v>13.2</v>
      </c>
      <c r="QC5" s="40">
        <f t="shared" si="144"/>
        <v>48.999999999999993</v>
      </c>
      <c r="QD5" s="40">
        <f t="shared" si="145"/>
        <v>98.5</v>
      </c>
    </row>
    <row r="6" spans="1:446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148</v>
      </c>
      <c r="D6" s="4" t="s">
        <v>5</v>
      </c>
      <c r="E6" s="4">
        <v>2008</v>
      </c>
      <c r="F6" s="9">
        <f t="shared" si="0"/>
        <v>149.70000984000492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Worlds Team</v>
      </c>
      <c r="K6" s="3" t="str">
        <f t="shared" si="4"/>
        <v>P</v>
      </c>
      <c r="L6" s="8">
        <f>IF(COUNT(AM6,BI6,CE6)&gt;0,LARGE((AM6,BI6,CE6),1),0)</f>
        <v>49.499999999999993</v>
      </c>
      <c r="M6" s="8" t="str">
        <f t="shared" si="5"/>
        <v>2025 Nationals</v>
      </c>
      <c r="N6" s="8">
        <f>IF(COUNT(AM6,BI6,CE6)&gt;1,LARGE((AM6,BI6,CE6),2),0)</f>
        <v>48.900000000000006</v>
      </c>
      <c r="O6" s="8" t="str">
        <f t="shared" si="6"/>
        <v>2025 3rd Domestic Trial</v>
      </c>
      <c r="P6" s="8">
        <f t="shared" si="7"/>
        <v>51.3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18.7</v>
      </c>
      <c r="V6" s="19">
        <v>5.2</v>
      </c>
      <c r="W6" s="19">
        <v>0</v>
      </c>
      <c r="X6" s="19">
        <v>0</v>
      </c>
      <c r="Y6" s="19">
        <v>15.2</v>
      </c>
      <c r="Z6" s="19">
        <v>0</v>
      </c>
      <c r="AA6" s="19">
        <v>0</v>
      </c>
      <c r="AB6" s="19">
        <v>0</v>
      </c>
      <c r="AC6" s="19"/>
      <c r="AD6" s="19"/>
      <c r="AE6" s="19"/>
      <c r="AF6" s="19"/>
      <c r="AG6" s="19"/>
      <c r="AH6" s="19"/>
      <c r="AI6" s="19"/>
      <c r="AJ6" s="19"/>
      <c r="AK6" s="27"/>
      <c r="AL6" s="40">
        <f t="shared" si="12"/>
        <v>5.2</v>
      </c>
      <c r="AM6" s="40">
        <f t="shared" si="13"/>
        <v>39.099999999999994</v>
      </c>
      <c r="AN6" s="40" t="str">
        <f t="shared" si="14"/>
        <v/>
      </c>
      <c r="AO6" s="40" t="str">
        <f t="shared" si="15"/>
        <v/>
      </c>
      <c r="AP6" s="40">
        <f t="shared" si="16"/>
        <v>39.099999999999994</v>
      </c>
      <c r="AQ6" s="18">
        <v>18.5</v>
      </c>
      <c r="AR6" s="18">
        <v>6</v>
      </c>
      <c r="AS6" s="18">
        <v>0.2</v>
      </c>
      <c r="AT6" s="18">
        <v>0.3</v>
      </c>
      <c r="AU6" s="18">
        <v>18.7</v>
      </c>
      <c r="AV6" s="18">
        <v>6.4</v>
      </c>
      <c r="AW6" s="18">
        <v>0.2</v>
      </c>
      <c r="AX6" s="18">
        <v>0</v>
      </c>
      <c r="AY6" s="18">
        <v>18.600000000000001</v>
      </c>
      <c r="AZ6" s="18">
        <v>7.2</v>
      </c>
      <c r="BA6" s="18">
        <v>0</v>
      </c>
      <c r="BB6" s="18">
        <v>0.3</v>
      </c>
      <c r="BC6" s="18">
        <v>18.3</v>
      </c>
      <c r="BD6" s="18">
        <v>6.8</v>
      </c>
      <c r="BE6" s="18">
        <v>0.2</v>
      </c>
      <c r="BF6" s="18">
        <v>0.3</v>
      </c>
      <c r="BG6" s="28"/>
      <c r="BH6" s="11">
        <f t="shared" si="17"/>
        <v>12.4</v>
      </c>
      <c r="BI6" s="11">
        <f t="shared" si="18"/>
        <v>49.499999999999993</v>
      </c>
      <c r="BJ6" s="11">
        <f t="shared" si="19"/>
        <v>14</v>
      </c>
      <c r="BK6" s="11">
        <f t="shared" si="20"/>
        <v>51.3</v>
      </c>
      <c r="BL6" s="11">
        <f t="shared" si="21"/>
        <v>100.79999999999998</v>
      </c>
      <c r="BM6" s="19">
        <v>18.8</v>
      </c>
      <c r="BN6" s="19">
        <v>6.4</v>
      </c>
      <c r="BO6" s="19">
        <v>0</v>
      </c>
      <c r="BP6" s="19">
        <v>0.3</v>
      </c>
      <c r="BQ6" s="19">
        <v>18.399999999999999</v>
      </c>
      <c r="BR6" s="19">
        <v>6</v>
      </c>
      <c r="BS6" s="19">
        <v>1</v>
      </c>
      <c r="BT6" s="19">
        <v>0</v>
      </c>
      <c r="BU6" s="19">
        <v>18.8</v>
      </c>
      <c r="BV6" s="19">
        <v>7.2</v>
      </c>
      <c r="BW6" s="19">
        <v>0.6</v>
      </c>
      <c r="BX6" s="19">
        <v>0.3</v>
      </c>
      <c r="BY6" s="19">
        <v>18.7</v>
      </c>
      <c r="BZ6" s="19">
        <v>6.4</v>
      </c>
      <c r="CA6" s="19">
        <v>0</v>
      </c>
      <c r="CB6" s="19">
        <v>0.3</v>
      </c>
      <c r="CC6" s="27"/>
      <c r="CD6" s="40">
        <f t="shared" si="22"/>
        <v>12.4</v>
      </c>
      <c r="CE6" s="40">
        <f t="shared" si="23"/>
        <v>48.900000000000006</v>
      </c>
      <c r="CF6" s="40">
        <f t="shared" si="24"/>
        <v>13.600000000000001</v>
      </c>
      <c r="CG6" s="40">
        <f t="shared" si="25"/>
        <v>51.099999999999994</v>
      </c>
      <c r="CH6" s="40">
        <f t="shared" si="26"/>
        <v>100</v>
      </c>
      <c r="CI6" s="50" t="str">
        <f t="shared" si="27"/>
        <v/>
      </c>
      <c r="CJ6" s="50" t="str">
        <f t="shared" si="28"/>
        <v/>
      </c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40" t="str">
        <f t="shared" si="29"/>
        <v/>
      </c>
      <c r="DF6" s="40" t="str">
        <f t="shared" si="30"/>
        <v/>
      </c>
      <c r="DG6" s="40" t="str">
        <f t="shared" si="31"/>
        <v/>
      </c>
      <c r="DH6" s="40" t="str">
        <f t="shared" si="32"/>
        <v/>
      </c>
      <c r="DI6" s="40" t="str">
        <f t="shared" si="33"/>
        <v/>
      </c>
      <c r="DJ6" s="40" t="str">
        <f t="shared" si="34"/>
        <v/>
      </c>
      <c r="DK6" s="40" t="str">
        <f t="shared" si="35"/>
        <v/>
      </c>
      <c r="DL6" s="40" t="str">
        <f t="shared" si="36"/>
        <v/>
      </c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1" t="str">
        <f t="shared" si="37"/>
        <v/>
      </c>
      <c r="EH6" s="11" t="str">
        <f t="shared" si="38"/>
        <v/>
      </c>
      <c r="EI6" s="11" t="str">
        <f t="shared" si="39"/>
        <v/>
      </c>
      <c r="EJ6" s="11" t="str">
        <f t="shared" si="40"/>
        <v/>
      </c>
      <c r="EK6" s="11" t="str">
        <f t="shared" si="41"/>
        <v/>
      </c>
      <c r="EL6" s="11" t="str">
        <f t="shared" si="42"/>
        <v/>
      </c>
      <c r="EM6" s="11" t="str">
        <f t="shared" si="43"/>
        <v/>
      </c>
      <c r="EN6" s="11" t="str">
        <f t="shared" si="44"/>
        <v/>
      </c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40" t="str">
        <f t="shared" si="45"/>
        <v/>
      </c>
      <c r="FJ6" s="40" t="str">
        <f t="shared" si="46"/>
        <v/>
      </c>
      <c r="FK6" s="40" t="str">
        <f t="shared" si="47"/>
        <v/>
      </c>
      <c r="FL6" s="40" t="str">
        <f t="shared" si="48"/>
        <v/>
      </c>
      <c r="FM6" s="40" t="str">
        <f t="shared" si="49"/>
        <v/>
      </c>
      <c r="FN6" s="40" t="str">
        <f t="shared" si="50"/>
        <v/>
      </c>
      <c r="FO6" s="40" t="str">
        <f t="shared" si="51"/>
        <v/>
      </c>
      <c r="FP6" s="40" t="str">
        <f t="shared" si="52"/>
        <v/>
      </c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1" t="str">
        <f t="shared" si="53"/>
        <v/>
      </c>
      <c r="GL6" s="11" t="str">
        <f t="shared" si="54"/>
        <v/>
      </c>
      <c r="GM6" s="11" t="str">
        <f t="shared" si="55"/>
        <v/>
      </c>
      <c r="GN6" s="11" t="str">
        <f t="shared" si="56"/>
        <v/>
      </c>
      <c r="GO6" s="11" t="str">
        <f t="shared" si="57"/>
        <v/>
      </c>
      <c r="GP6" s="11" t="str">
        <f t="shared" si="58"/>
        <v/>
      </c>
      <c r="GQ6" s="11" t="str">
        <f t="shared" si="59"/>
        <v/>
      </c>
      <c r="GR6" s="11" t="str">
        <f t="shared" si="60"/>
        <v/>
      </c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40" t="str">
        <f t="shared" si="61"/>
        <v/>
      </c>
      <c r="HN6" s="40" t="str">
        <f t="shared" si="62"/>
        <v/>
      </c>
      <c r="HO6" s="40" t="str">
        <f t="shared" si="63"/>
        <v/>
      </c>
      <c r="HP6" s="40" t="str">
        <f t="shared" si="64"/>
        <v/>
      </c>
      <c r="HQ6" s="40" t="str">
        <f t="shared" si="65"/>
        <v/>
      </c>
      <c r="HR6" s="40" t="str">
        <f t="shared" si="66"/>
        <v/>
      </c>
      <c r="HS6" s="40" t="str">
        <f t="shared" si="67"/>
        <v/>
      </c>
      <c r="HT6" s="40" t="str">
        <f t="shared" si="68"/>
        <v/>
      </c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1" t="str">
        <f t="shared" si="69"/>
        <v/>
      </c>
      <c r="IP6" s="11" t="str">
        <f t="shared" si="70"/>
        <v/>
      </c>
      <c r="IQ6" s="11" t="str">
        <f t="shared" si="71"/>
        <v/>
      </c>
      <c r="IR6" s="11" t="str">
        <f t="shared" si="72"/>
        <v/>
      </c>
      <c r="IS6" s="11" t="str">
        <f t="shared" si="73"/>
        <v/>
      </c>
      <c r="IT6" s="11" t="str">
        <f t="shared" si="74"/>
        <v/>
      </c>
      <c r="IU6" s="11" t="str">
        <f t="shared" si="75"/>
        <v/>
      </c>
      <c r="IV6" s="11" t="str">
        <f t="shared" si="76"/>
        <v/>
      </c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40" t="str">
        <f t="shared" si="77"/>
        <v/>
      </c>
      <c r="JR6" s="40" t="str">
        <f t="shared" si="78"/>
        <v/>
      </c>
      <c r="JS6" s="40" t="str">
        <f t="shared" si="79"/>
        <v/>
      </c>
      <c r="JT6" s="40" t="str">
        <f t="shared" si="80"/>
        <v/>
      </c>
      <c r="JU6" s="40" t="str">
        <f t="shared" si="81"/>
        <v/>
      </c>
      <c r="JV6" s="40" t="str">
        <f t="shared" si="82"/>
        <v/>
      </c>
      <c r="JW6" s="40" t="str">
        <f t="shared" si="83"/>
        <v/>
      </c>
      <c r="JX6" s="40" t="str">
        <f t="shared" si="84"/>
        <v/>
      </c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1" t="str">
        <f t="shared" si="85"/>
        <v/>
      </c>
      <c r="KT6" s="11" t="str">
        <f t="shared" si="86"/>
        <v/>
      </c>
      <c r="KU6" s="11" t="str">
        <f t="shared" si="87"/>
        <v/>
      </c>
      <c r="KV6" s="11" t="str">
        <f t="shared" si="88"/>
        <v/>
      </c>
      <c r="KW6" s="11" t="str">
        <f t="shared" si="89"/>
        <v/>
      </c>
      <c r="KX6" s="11" t="str">
        <f t="shared" si="90"/>
        <v/>
      </c>
      <c r="KY6" s="11" t="str">
        <f t="shared" si="91"/>
        <v/>
      </c>
      <c r="KZ6" s="11" t="str">
        <f t="shared" si="92"/>
        <v/>
      </c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40" t="str">
        <f t="shared" si="93"/>
        <v/>
      </c>
      <c r="LV6" s="40" t="str">
        <f t="shared" si="94"/>
        <v/>
      </c>
      <c r="LW6" s="40" t="str">
        <f t="shared" si="95"/>
        <v/>
      </c>
      <c r="LX6" s="40" t="str">
        <f t="shared" si="96"/>
        <v/>
      </c>
      <c r="LY6" s="40" t="str">
        <f t="shared" si="97"/>
        <v/>
      </c>
      <c r="LZ6" s="40" t="str">
        <f t="shared" si="98"/>
        <v/>
      </c>
      <c r="MA6" s="40" t="str">
        <f t="shared" si="99"/>
        <v/>
      </c>
      <c r="MB6" s="40" t="str">
        <f t="shared" si="100"/>
        <v/>
      </c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1" t="str">
        <f t="shared" si="101"/>
        <v/>
      </c>
      <c r="MX6" s="11" t="str">
        <f t="shared" si="102"/>
        <v/>
      </c>
      <c r="MY6" s="11" t="str">
        <f t="shared" si="103"/>
        <v/>
      </c>
      <c r="MZ6" s="11" t="str">
        <f t="shared" si="104"/>
        <v/>
      </c>
      <c r="NA6" s="11" t="str">
        <f t="shared" si="105"/>
        <v/>
      </c>
      <c r="NB6" s="11" t="str">
        <f t="shared" si="106"/>
        <v/>
      </c>
      <c r="NC6" s="11" t="str">
        <f t="shared" si="107"/>
        <v/>
      </c>
      <c r="ND6" s="11" t="str">
        <f t="shared" si="108"/>
        <v/>
      </c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40" t="str">
        <f t="shared" si="109"/>
        <v/>
      </c>
      <c r="NZ6" s="40" t="str">
        <f t="shared" si="110"/>
        <v/>
      </c>
      <c r="OA6" s="40" t="str">
        <f t="shared" si="111"/>
        <v/>
      </c>
      <c r="OB6" s="40" t="str">
        <f t="shared" si="112"/>
        <v/>
      </c>
      <c r="OC6" s="40" t="str">
        <f t="shared" si="113"/>
        <v/>
      </c>
      <c r="OD6" s="40" t="str">
        <f t="shared" si="114"/>
        <v/>
      </c>
      <c r="OE6" s="40" t="str">
        <f t="shared" si="115"/>
        <v/>
      </c>
      <c r="OF6" s="40" t="str">
        <f t="shared" si="116"/>
        <v/>
      </c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1" t="str">
        <f t="shared" si="117"/>
        <v/>
      </c>
      <c r="PB6" s="11" t="str">
        <f t="shared" si="118"/>
        <v/>
      </c>
      <c r="PC6" s="11" t="str">
        <f t="shared" si="119"/>
        <v/>
      </c>
      <c r="PD6" s="11" t="str">
        <f t="shared" si="120"/>
        <v/>
      </c>
      <c r="PE6" s="11" t="str">
        <f t="shared" si="121"/>
        <v/>
      </c>
      <c r="PF6" s="11" t="str">
        <f t="shared" si="122"/>
        <v/>
      </c>
      <c r="PG6" s="11" t="str">
        <f t="shared" si="123"/>
        <v/>
      </c>
      <c r="PH6" s="11" t="str">
        <f t="shared" si="124"/>
        <v/>
      </c>
      <c r="PI6" s="22">
        <f t="shared" si="125"/>
        <v>18.8</v>
      </c>
      <c r="PJ6" s="22">
        <f t="shared" si="126"/>
        <v>6.4</v>
      </c>
      <c r="PK6" s="22">
        <f t="shared" si="127"/>
        <v>0</v>
      </c>
      <c r="PL6" s="22">
        <f t="shared" si="128"/>
        <v>0.3</v>
      </c>
      <c r="PM6" s="22">
        <f t="shared" si="129"/>
        <v>18.399999999999999</v>
      </c>
      <c r="PN6" s="22">
        <f t="shared" si="130"/>
        <v>6</v>
      </c>
      <c r="PO6" s="22">
        <f t="shared" si="131"/>
        <v>1</v>
      </c>
      <c r="PP6" s="22">
        <f t="shared" si="132"/>
        <v>0</v>
      </c>
      <c r="PQ6" s="22">
        <f t="shared" si="133"/>
        <v>18.8</v>
      </c>
      <c r="PR6" s="22">
        <f t="shared" si="134"/>
        <v>7.2</v>
      </c>
      <c r="PS6" s="22">
        <f t="shared" si="135"/>
        <v>0.6</v>
      </c>
      <c r="PT6" s="22">
        <f t="shared" si="136"/>
        <v>0.3</v>
      </c>
      <c r="PU6" s="22">
        <f t="shared" si="137"/>
        <v>18.7</v>
      </c>
      <c r="PV6" s="22">
        <f t="shared" si="138"/>
        <v>6.4</v>
      </c>
      <c r="PW6" s="22">
        <f t="shared" si="139"/>
        <v>0</v>
      </c>
      <c r="PX6" s="22">
        <f t="shared" si="140"/>
        <v>0.3</v>
      </c>
      <c r="PY6" s="27" t="s">
        <v>46</v>
      </c>
      <c r="PZ6" s="40">
        <f t="shared" si="141"/>
        <v>12.4</v>
      </c>
      <c r="QA6" s="40">
        <f t="shared" si="142"/>
        <v>48.900000000000006</v>
      </c>
      <c r="QB6" s="40">
        <f t="shared" si="143"/>
        <v>13.600000000000001</v>
      </c>
      <c r="QC6" s="40">
        <f t="shared" si="144"/>
        <v>51.099999999999994</v>
      </c>
      <c r="QD6" s="40">
        <f t="shared" si="145"/>
        <v>100</v>
      </c>
    </row>
    <row r="7" spans="1:446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103</v>
      </c>
      <c r="D7" s="4" t="s">
        <v>4</v>
      </c>
      <c r="E7" s="4">
        <v>2005</v>
      </c>
      <c r="F7" s="9">
        <f t="shared" si="0"/>
        <v>148.85000983500495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Worlds Team</v>
      </c>
      <c r="K7" s="3" t="str">
        <f t="shared" si="4"/>
        <v>P</v>
      </c>
      <c r="L7" s="8">
        <f>IF(COUNT(AM7,BI7,CE7)&gt;0,LARGE((AM7,BI7,CE7),1),0)</f>
        <v>49.65</v>
      </c>
      <c r="M7" s="8" t="str">
        <f t="shared" si="5"/>
        <v>2025 Nationals</v>
      </c>
      <c r="N7" s="8">
        <f>IF(COUNT(AM7,BI7,CE7)&gt;1,LARGE((AM7,BI7,CE7),2),0)</f>
        <v>48.699999999999996</v>
      </c>
      <c r="O7" s="8" t="str">
        <f t="shared" si="6"/>
        <v>2025 Elite Canada</v>
      </c>
      <c r="P7" s="8">
        <f t="shared" si="7"/>
        <v>50.5</v>
      </c>
      <c r="Q7" s="8" t="str">
        <f t="shared" si="8"/>
        <v>2025 Elite Canada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18.399999999999999</v>
      </c>
      <c r="V7" s="19">
        <v>6</v>
      </c>
      <c r="W7" s="19">
        <v>0.2</v>
      </c>
      <c r="X7" s="19">
        <v>0.3</v>
      </c>
      <c r="Y7" s="19">
        <v>18.600000000000001</v>
      </c>
      <c r="Z7" s="19">
        <v>6.4</v>
      </c>
      <c r="AA7" s="19">
        <v>0.8</v>
      </c>
      <c r="AB7" s="19">
        <v>0</v>
      </c>
      <c r="AC7" s="19">
        <v>18.600000000000001</v>
      </c>
      <c r="AD7" s="19">
        <v>6.8</v>
      </c>
      <c r="AE7" s="19">
        <v>0.2</v>
      </c>
      <c r="AF7" s="19">
        <v>0.3</v>
      </c>
      <c r="AG7" s="19">
        <v>18.600000000000001</v>
      </c>
      <c r="AH7" s="19">
        <v>6.4</v>
      </c>
      <c r="AI7" s="19">
        <v>0</v>
      </c>
      <c r="AJ7" s="19">
        <v>0</v>
      </c>
      <c r="AK7" s="27"/>
      <c r="AL7" s="40">
        <f t="shared" si="12"/>
        <v>12.4</v>
      </c>
      <c r="AM7" s="40">
        <f t="shared" si="13"/>
        <v>48.699999999999996</v>
      </c>
      <c r="AN7" s="40">
        <f t="shared" si="14"/>
        <v>13.2</v>
      </c>
      <c r="AO7" s="40">
        <f t="shared" si="15"/>
        <v>50.5</v>
      </c>
      <c r="AP7" s="40">
        <f t="shared" si="16"/>
        <v>99.199999999999989</v>
      </c>
      <c r="AQ7" s="18">
        <v>18.549999999999997</v>
      </c>
      <c r="AR7" s="18">
        <v>6.4</v>
      </c>
      <c r="AS7" s="18">
        <v>0.4</v>
      </c>
      <c r="AT7" s="18">
        <v>0.3</v>
      </c>
      <c r="AU7" s="18">
        <v>18.8</v>
      </c>
      <c r="AV7" s="18">
        <v>6.4</v>
      </c>
      <c r="AW7" s="18">
        <v>0.4</v>
      </c>
      <c r="AX7" s="18">
        <v>0</v>
      </c>
      <c r="AY7" s="18">
        <v>18.399999999999999</v>
      </c>
      <c r="AZ7" s="18">
        <v>6.8</v>
      </c>
      <c r="BA7" s="18">
        <v>0.2</v>
      </c>
      <c r="BB7" s="18">
        <v>0.3</v>
      </c>
      <c r="BC7" s="18">
        <v>18.5</v>
      </c>
      <c r="BD7" s="18">
        <v>6.4</v>
      </c>
      <c r="BE7" s="18">
        <v>0.3</v>
      </c>
      <c r="BF7" s="18">
        <v>0</v>
      </c>
      <c r="BG7" s="28" t="s">
        <v>46</v>
      </c>
      <c r="BH7" s="11">
        <f t="shared" si="17"/>
        <v>12.8</v>
      </c>
      <c r="BI7" s="11">
        <f t="shared" si="18"/>
        <v>49.65</v>
      </c>
      <c r="BJ7" s="11">
        <f t="shared" si="19"/>
        <v>13.2</v>
      </c>
      <c r="BK7" s="11">
        <f t="shared" si="20"/>
        <v>49.9</v>
      </c>
      <c r="BL7" s="11">
        <f t="shared" si="21"/>
        <v>99.55</v>
      </c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27"/>
      <c r="CD7" s="40" t="str">
        <f t="shared" si="22"/>
        <v/>
      </c>
      <c r="CE7" s="40" t="str">
        <f t="shared" si="23"/>
        <v/>
      </c>
      <c r="CF7" s="40" t="str">
        <f t="shared" si="24"/>
        <v/>
      </c>
      <c r="CG7" s="40" t="str">
        <f t="shared" si="25"/>
        <v/>
      </c>
      <c r="CH7" s="40" t="str">
        <f t="shared" si="26"/>
        <v/>
      </c>
      <c r="CI7" s="50" t="str">
        <f t="shared" si="27"/>
        <v/>
      </c>
      <c r="CJ7" s="50" t="str">
        <f t="shared" si="28"/>
        <v/>
      </c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40" t="str">
        <f t="shared" si="29"/>
        <v/>
      </c>
      <c r="DF7" s="40" t="str">
        <f t="shared" si="30"/>
        <v/>
      </c>
      <c r="DG7" s="40" t="str">
        <f t="shared" si="31"/>
        <v/>
      </c>
      <c r="DH7" s="40" t="str">
        <f t="shared" si="32"/>
        <v/>
      </c>
      <c r="DI7" s="40" t="str">
        <f t="shared" si="33"/>
        <v/>
      </c>
      <c r="DJ7" s="40" t="str">
        <f t="shared" si="34"/>
        <v/>
      </c>
      <c r="DK7" s="40" t="str">
        <f t="shared" si="35"/>
        <v/>
      </c>
      <c r="DL7" s="40" t="str">
        <f t="shared" si="36"/>
        <v/>
      </c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1" t="str">
        <f t="shared" si="37"/>
        <v/>
      </c>
      <c r="EH7" s="11" t="str">
        <f t="shared" si="38"/>
        <v/>
      </c>
      <c r="EI7" s="11" t="str">
        <f t="shared" si="39"/>
        <v/>
      </c>
      <c r="EJ7" s="11" t="str">
        <f t="shared" si="40"/>
        <v/>
      </c>
      <c r="EK7" s="11" t="str">
        <f t="shared" si="41"/>
        <v/>
      </c>
      <c r="EL7" s="11" t="str">
        <f t="shared" si="42"/>
        <v/>
      </c>
      <c r="EM7" s="11" t="str">
        <f t="shared" si="43"/>
        <v/>
      </c>
      <c r="EN7" s="11" t="str">
        <f t="shared" si="44"/>
        <v/>
      </c>
      <c r="EO7" s="17">
        <v>18</v>
      </c>
      <c r="EP7" s="17">
        <v>6.4</v>
      </c>
      <c r="EQ7" s="17">
        <v>0.2</v>
      </c>
      <c r="ER7" s="17">
        <v>0</v>
      </c>
      <c r="ES7" s="17">
        <v>18.399999999999999</v>
      </c>
      <c r="ET7" s="17">
        <v>5.2</v>
      </c>
      <c r="EU7" s="17">
        <v>1</v>
      </c>
      <c r="EV7" s="17">
        <v>0</v>
      </c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40">
        <f t="shared" si="45"/>
        <v>11.600000000000001</v>
      </c>
      <c r="FJ7" s="40">
        <f t="shared" si="46"/>
        <v>46.8</v>
      </c>
      <c r="FK7" s="40" t="str">
        <f t="shared" si="47"/>
        <v/>
      </c>
      <c r="FL7" s="40">
        <f t="shared" si="48"/>
        <v>11.600000000000001</v>
      </c>
      <c r="FM7" s="40">
        <f t="shared" si="49"/>
        <v>46.8</v>
      </c>
      <c r="FN7" s="40" t="str">
        <f t="shared" si="50"/>
        <v/>
      </c>
      <c r="FO7" s="40" t="str">
        <f t="shared" si="51"/>
        <v/>
      </c>
      <c r="FP7" s="40">
        <f t="shared" si="52"/>
        <v>46.8</v>
      </c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1" t="str">
        <f t="shared" si="53"/>
        <v/>
      </c>
      <c r="GL7" s="11" t="str">
        <f t="shared" si="54"/>
        <v/>
      </c>
      <c r="GM7" s="11" t="str">
        <f t="shared" si="55"/>
        <v/>
      </c>
      <c r="GN7" s="11" t="str">
        <f t="shared" si="56"/>
        <v/>
      </c>
      <c r="GO7" s="11" t="str">
        <f t="shared" si="57"/>
        <v/>
      </c>
      <c r="GP7" s="11" t="str">
        <f t="shared" si="58"/>
        <v/>
      </c>
      <c r="GQ7" s="11" t="str">
        <f t="shared" si="59"/>
        <v/>
      </c>
      <c r="GR7" s="11" t="str">
        <f t="shared" si="60"/>
        <v/>
      </c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40" t="str">
        <f t="shared" si="61"/>
        <v/>
      </c>
      <c r="HN7" s="40" t="str">
        <f t="shared" si="62"/>
        <v/>
      </c>
      <c r="HO7" s="40" t="str">
        <f t="shared" si="63"/>
        <v/>
      </c>
      <c r="HP7" s="40" t="str">
        <f t="shared" si="64"/>
        <v/>
      </c>
      <c r="HQ7" s="40" t="str">
        <f t="shared" si="65"/>
        <v/>
      </c>
      <c r="HR7" s="40" t="str">
        <f t="shared" si="66"/>
        <v/>
      </c>
      <c r="HS7" s="40" t="str">
        <f t="shared" si="67"/>
        <v/>
      </c>
      <c r="HT7" s="40" t="str">
        <f t="shared" si="68"/>
        <v/>
      </c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1" t="str">
        <f t="shared" si="69"/>
        <v/>
      </c>
      <c r="IP7" s="11" t="str">
        <f t="shared" si="70"/>
        <v/>
      </c>
      <c r="IQ7" s="11" t="str">
        <f t="shared" si="71"/>
        <v/>
      </c>
      <c r="IR7" s="11" t="str">
        <f t="shared" si="72"/>
        <v/>
      </c>
      <c r="IS7" s="11" t="str">
        <f t="shared" si="73"/>
        <v/>
      </c>
      <c r="IT7" s="11" t="str">
        <f t="shared" si="74"/>
        <v/>
      </c>
      <c r="IU7" s="11" t="str">
        <f t="shared" si="75"/>
        <v/>
      </c>
      <c r="IV7" s="11" t="str">
        <f t="shared" si="76"/>
        <v/>
      </c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40" t="str">
        <f t="shared" si="77"/>
        <v/>
      </c>
      <c r="JR7" s="40" t="str">
        <f t="shared" si="78"/>
        <v/>
      </c>
      <c r="JS7" s="40" t="str">
        <f t="shared" si="79"/>
        <v/>
      </c>
      <c r="JT7" s="40" t="str">
        <f t="shared" si="80"/>
        <v/>
      </c>
      <c r="JU7" s="40" t="str">
        <f t="shared" si="81"/>
        <v/>
      </c>
      <c r="JV7" s="40" t="str">
        <f t="shared" si="82"/>
        <v/>
      </c>
      <c r="JW7" s="40" t="str">
        <f t="shared" si="83"/>
        <v/>
      </c>
      <c r="JX7" s="40" t="str">
        <f t="shared" si="84"/>
        <v/>
      </c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1" t="str">
        <f t="shared" si="85"/>
        <v/>
      </c>
      <c r="KT7" s="11" t="str">
        <f t="shared" si="86"/>
        <v/>
      </c>
      <c r="KU7" s="11" t="str">
        <f t="shared" si="87"/>
        <v/>
      </c>
      <c r="KV7" s="11" t="str">
        <f t="shared" si="88"/>
        <v/>
      </c>
      <c r="KW7" s="11" t="str">
        <f t="shared" si="89"/>
        <v/>
      </c>
      <c r="KX7" s="11" t="str">
        <f t="shared" si="90"/>
        <v/>
      </c>
      <c r="KY7" s="11" t="str">
        <f t="shared" si="91"/>
        <v/>
      </c>
      <c r="KZ7" s="11" t="str">
        <f t="shared" si="92"/>
        <v/>
      </c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40" t="str">
        <f t="shared" si="93"/>
        <v/>
      </c>
      <c r="LV7" s="40" t="str">
        <f t="shared" si="94"/>
        <v/>
      </c>
      <c r="LW7" s="40" t="str">
        <f t="shared" si="95"/>
        <v/>
      </c>
      <c r="LX7" s="40" t="str">
        <f t="shared" si="96"/>
        <v/>
      </c>
      <c r="LY7" s="40" t="str">
        <f t="shared" si="97"/>
        <v/>
      </c>
      <c r="LZ7" s="40" t="str">
        <f t="shared" si="98"/>
        <v/>
      </c>
      <c r="MA7" s="40" t="str">
        <f t="shared" si="99"/>
        <v/>
      </c>
      <c r="MB7" s="40" t="str">
        <f t="shared" si="100"/>
        <v/>
      </c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1" t="str">
        <f t="shared" si="101"/>
        <v/>
      </c>
      <c r="MX7" s="11" t="str">
        <f t="shared" si="102"/>
        <v/>
      </c>
      <c r="MY7" s="11" t="str">
        <f t="shared" si="103"/>
        <v/>
      </c>
      <c r="MZ7" s="11" t="str">
        <f t="shared" si="104"/>
        <v/>
      </c>
      <c r="NA7" s="11" t="str">
        <f t="shared" si="105"/>
        <v/>
      </c>
      <c r="NB7" s="11" t="str">
        <f t="shared" si="106"/>
        <v/>
      </c>
      <c r="NC7" s="11" t="str">
        <f t="shared" si="107"/>
        <v/>
      </c>
      <c r="ND7" s="11" t="str">
        <f t="shared" si="108"/>
        <v/>
      </c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40" t="str">
        <f t="shared" si="109"/>
        <v/>
      </c>
      <c r="NZ7" s="40" t="str">
        <f t="shared" si="110"/>
        <v/>
      </c>
      <c r="OA7" s="40" t="str">
        <f t="shared" si="111"/>
        <v/>
      </c>
      <c r="OB7" s="40" t="str">
        <f t="shared" si="112"/>
        <v/>
      </c>
      <c r="OC7" s="40" t="str">
        <f t="shared" si="113"/>
        <v/>
      </c>
      <c r="OD7" s="40" t="str">
        <f t="shared" si="114"/>
        <v/>
      </c>
      <c r="OE7" s="40" t="str">
        <f t="shared" si="115"/>
        <v/>
      </c>
      <c r="OF7" s="40" t="str">
        <f t="shared" si="116"/>
        <v/>
      </c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1" t="str">
        <f t="shared" si="117"/>
        <v/>
      </c>
      <c r="PB7" s="11" t="str">
        <f t="shared" si="118"/>
        <v/>
      </c>
      <c r="PC7" s="11" t="str">
        <f t="shared" si="119"/>
        <v/>
      </c>
      <c r="PD7" s="11" t="str">
        <f t="shared" si="120"/>
        <v/>
      </c>
      <c r="PE7" s="11" t="str">
        <f t="shared" si="121"/>
        <v/>
      </c>
      <c r="PF7" s="11" t="str">
        <f t="shared" si="122"/>
        <v/>
      </c>
      <c r="PG7" s="11" t="str">
        <f t="shared" si="123"/>
        <v/>
      </c>
      <c r="PH7" s="11" t="str">
        <f t="shared" si="124"/>
        <v/>
      </c>
      <c r="PI7" s="22">
        <f t="shared" si="125"/>
        <v>0</v>
      </c>
      <c r="PJ7" s="22">
        <f t="shared" si="126"/>
        <v>0</v>
      </c>
      <c r="PK7" s="22">
        <f t="shared" si="127"/>
        <v>0</v>
      </c>
      <c r="PL7" s="22">
        <f t="shared" si="128"/>
        <v>0</v>
      </c>
      <c r="PM7" s="22">
        <f t="shared" si="129"/>
        <v>0</v>
      </c>
      <c r="PN7" s="22">
        <f t="shared" si="130"/>
        <v>0</v>
      </c>
      <c r="PO7" s="22">
        <f t="shared" si="131"/>
        <v>0</v>
      </c>
      <c r="PP7" s="22">
        <f t="shared" si="132"/>
        <v>0</v>
      </c>
      <c r="PQ7" s="22">
        <f t="shared" si="133"/>
        <v>0</v>
      </c>
      <c r="PR7" s="22">
        <f t="shared" si="134"/>
        <v>0</v>
      </c>
      <c r="PS7" s="22">
        <f t="shared" si="135"/>
        <v>0</v>
      </c>
      <c r="PT7" s="22">
        <f t="shared" si="136"/>
        <v>0</v>
      </c>
      <c r="PU7" s="22">
        <f t="shared" si="137"/>
        <v>0</v>
      </c>
      <c r="PV7" s="22">
        <f t="shared" si="138"/>
        <v>0</v>
      </c>
      <c r="PW7" s="22">
        <f t="shared" si="139"/>
        <v>0</v>
      </c>
      <c r="PX7" s="22">
        <f t="shared" si="140"/>
        <v>0</v>
      </c>
      <c r="PY7" s="27" t="s">
        <v>46</v>
      </c>
      <c r="PZ7" s="40" t="str">
        <f t="shared" si="141"/>
        <v/>
      </c>
      <c r="QA7" s="40" t="str">
        <f t="shared" si="142"/>
        <v/>
      </c>
      <c r="QB7" s="40" t="str">
        <f t="shared" si="143"/>
        <v/>
      </c>
      <c r="QC7" s="40" t="str">
        <f t="shared" si="144"/>
        <v/>
      </c>
      <c r="QD7" s="40" t="str">
        <f t="shared" si="145"/>
        <v/>
      </c>
    </row>
    <row r="8" spans="1:446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>2</v>
      </c>
      <c r="C8" s="5" t="s">
        <v>195</v>
      </c>
      <c r="D8" s="4" t="s">
        <v>5</v>
      </c>
      <c r="E8" s="4">
        <v>2009</v>
      </c>
      <c r="F8" s="9">
        <f t="shared" si="0"/>
        <v>146.80000956000484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Worlds Team</v>
      </c>
      <c r="K8" s="3" t="str">
        <f t="shared" si="4"/>
        <v>P</v>
      </c>
      <c r="L8" s="8">
        <f>IF(COUNT(AM8,BI8,CE8)&gt;0,LARGE((AM8,BI8,CE8),1),0)</f>
        <v>48.800000000000004</v>
      </c>
      <c r="M8" s="8" t="str">
        <f t="shared" si="5"/>
        <v>2025 Elite Canada</v>
      </c>
      <c r="N8" s="8">
        <f>IF(COUNT(AM8,BI8,CE8)&gt;1,LARGE((AM8,BI8,CE8),2),0)</f>
        <v>46.8</v>
      </c>
      <c r="O8" s="8" t="str">
        <f t="shared" si="6"/>
        <v>2025 Nationals</v>
      </c>
      <c r="P8" s="8">
        <f t="shared" si="7"/>
        <v>48.3</v>
      </c>
      <c r="Q8" s="8" t="str">
        <f t="shared" si="8"/>
        <v>2025 Nationals</v>
      </c>
      <c r="R8" s="8">
        <f t="shared" si="9"/>
        <v>2.8999999999999915</v>
      </c>
      <c r="S8" s="11" t="str">
        <f t="shared" si="10"/>
        <v>(Q1)</v>
      </c>
      <c r="T8" s="8" t="str">
        <f t="shared" si="11"/>
        <v>2025 WAGC (Nov 16)</v>
      </c>
      <c r="U8" s="19">
        <v>18.600000000000001</v>
      </c>
      <c r="V8" s="19">
        <v>5.6</v>
      </c>
      <c r="W8" s="19">
        <v>0</v>
      </c>
      <c r="X8" s="19">
        <v>0</v>
      </c>
      <c r="Y8" s="19">
        <v>18.600000000000001</v>
      </c>
      <c r="Z8" s="19">
        <v>6</v>
      </c>
      <c r="AA8" s="19">
        <v>0</v>
      </c>
      <c r="AB8" s="19">
        <v>0</v>
      </c>
      <c r="AC8" s="19">
        <v>18.2</v>
      </c>
      <c r="AD8" s="19">
        <v>5.6</v>
      </c>
      <c r="AE8" s="19">
        <v>0.2</v>
      </c>
      <c r="AF8" s="19">
        <v>0</v>
      </c>
      <c r="AG8" s="19">
        <v>18</v>
      </c>
      <c r="AH8" s="19">
        <v>5.2</v>
      </c>
      <c r="AI8" s="19">
        <v>0.2</v>
      </c>
      <c r="AJ8" s="19">
        <v>0</v>
      </c>
      <c r="AK8" s="27"/>
      <c r="AL8" s="40">
        <f t="shared" si="12"/>
        <v>11.6</v>
      </c>
      <c r="AM8" s="40">
        <f t="shared" si="13"/>
        <v>48.800000000000004</v>
      </c>
      <c r="AN8" s="40">
        <f t="shared" si="14"/>
        <v>10.8</v>
      </c>
      <c r="AO8" s="40">
        <f t="shared" si="15"/>
        <v>46.6</v>
      </c>
      <c r="AP8" s="40">
        <f t="shared" si="16"/>
        <v>95.4</v>
      </c>
      <c r="AQ8" s="18">
        <v>17.899999999999999</v>
      </c>
      <c r="AR8" s="18">
        <v>5.6</v>
      </c>
      <c r="AS8" s="18">
        <v>0.2</v>
      </c>
      <c r="AT8" s="18">
        <v>0</v>
      </c>
      <c r="AU8" s="18">
        <v>18.3</v>
      </c>
      <c r="AV8" s="18">
        <v>6</v>
      </c>
      <c r="AW8" s="18">
        <v>0.8</v>
      </c>
      <c r="AX8" s="18">
        <v>0</v>
      </c>
      <c r="AY8" s="18">
        <v>18.7</v>
      </c>
      <c r="AZ8" s="18">
        <v>5.6</v>
      </c>
      <c r="BA8" s="18">
        <v>0</v>
      </c>
      <c r="BB8" s="18">
        <v>0</v>
      </c>
      <c r="BC8" s="18">
        <v>18.2</v>
      </c>
      <c r="BD8" s="18">
        <v>6</v>
      </c>
      <c r="BE8" s="18">
        <v>0.2</v>
      </c>
      <c r="BF8" s="18">
        <v>0</v>
      </c>
      <c r="BG8" s="28"/>
      <c r="BH8" s="11">
        <f t="shared" si="17"/>
        <v>11.6</v>
      </c>
      <c r="BI8" s="11">
        <f t="shared" si="18"/>
        <v>46.8</v>
      </c>
      <c r="BJ8" s="11">
        <f t="shared" si="19"/>
        <v>11.6</v>
      </c>
      <c r="BK8" s="11">
        <f t="shared" si="20"/>
        <v>48.3</v>
      </c>
      <c r="BL8" s="11">
        <f t="shared" si="21"/>
        <v>95.1</v>
      </c>
      <c r="BM8" s="19">
        <v>17.7</v>
      </c>
      <c r="BN8" s="19">
        <v>4.4000000000000004</v>
      </c>
      <c r="BO8" s="19">
        <v>0</v>
      </c>
      <c r="BP8" s="19">
        <v>0</v>
      </c>
      <c r="BQ8" s="19">
        <v>18.8</v>
      </c>
      <c r="BR8" s="19">
        <v>4.3</v>
      </c>
      <c r="BS8" s="19">
        <v>0</v>
      </c>
      <c r="BT8" s="19">
        <v>0</v>
      </c>
      <c r="BU8" s="19">
        <v>17.8</v>
      </c>
      <c r="BV8" s="19">
        <v>5.2</v>
      </c>
      <c r="BW8" s="19">
        <v>0</v>
      </c>
      <c r="BX8" s="19">
        <v>0</v>
      </c>
      <c r="BY8" s="19">
        <v>19.100000000000001</v>
      </c>
      <c r="BZ8" s="19">
        <v>4.3</v>
      </c>
      <c r="CA8" s="19">
        <v>0</v>
      </c>
      <c r="CB8" s="19">
        <v>0</v>
      </c>
      <c r="CC8" s="27"/>
      <c r="CD8" s="40">
        <f t="shared" si="22"/>
        <v>8.6999999999999993</v>
      </c>
      <c r="CE8" s="40">
        <f t="shared" si="23"/>
        <v>45.2</v>
      </c>
      <c r="CF8" s="40">
        <f t="shared" si="24"/>
        <v>9.5</v>
      </c>
      <c r="CG8" s="40">
        <f t="shared" si="25"/>
        <v>46.4</v>
      </c>
      <c r="CH8" s="40">
        <f t="shared" si="26"/>
        <v>91.6</v>
      </c>
      <c r="CI8" s="50">
        <f t="shared" si="27"/>
        <v>2.8999999999999915</v>
      </c>
      <c r="CJ8" s="50">
        <f t="shared" si="28"/>
        <v>1.2999999999999972</v>
      </c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40" t="str">
        <f t="shared" si="29"/>
        <v/>
      </c>
      <c r="DF8" s="40" t="str">
        <f t="shared" si="30"/>
        <v/>
      </c>
      <c r="DG8" s="40" t="str">
        <f t="shared" si="31"/>
        <v/>
      </c>
      <c r="DH8" s="40" t="str">
        <f t="shared" si="32"/>
        <v/>
      </c>
      <c r="DI8" s="40" t="str">
        <f t="shared" si="33"/>
        <v/>
      </c>
      <c r="DJ8" s="40" t="str">
        <f t="shared" si="34"/>
        <v/>
      </c>
      <c r="DK8" s="40" t="str">
        <f t="shared" si="35"/>
        <v/>
      </c>
      <c r="DL8" s="40" t="str">
        <f t="shared" si="36"/>
        <v/>
      </c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1" t="str">
        <f t="shared" si="37"/>
        <v/>
      </c>
      <c r="EH8" s="11" t="str">
        <f t="shared" si="38"/>
        <v/>
      </c>
      <c r="EI8" s="11" t="str">
        <f t="shared" si="39"/>
        <v/>
      </c>
      <c r="EJ8" s="11" t="str">
        <f t="shared" si="40"/>
        <v/>
      </c>
      <c r="EK8" s="11" t="str">
        <f t="shared" si="41"/>
        <v/>
      </c>
      <c r="EL8" s="11" t="str">
        <f t="shared" si="42"/>
        <v/>
      </c>
      <c r="EM8" s="11" t="str">
        <f t="shared" si="43"/>
        <v/>
      </c>
      <c r="EN8" s="11" t="str">
        <f t="shared" si="44"/>
        <v/>
      </c>
      <c r="EO8" s="17">
        <v>18.5</v>
      </c>
      <c r="EP8" s="17">
        <v>6.4</v>
      </c>
      <c r="EQ8" s="17">
        <v>0</v>
      </c>
      <c r="ER8" s="17">
        <v>0</v>
      </c>
      <c r="ES8" s="17">
        <v>18.2</v>
      </c>
      <c r="ET8" s="17">
        <v>6.8</v>
      </c>
      <c r="EU8" s="17">
        <v>0.2</v>
      </c>
      <c r="EV8" s="17">
        <v>0</v>
      </c>
      <c r="EW8" s="17">
        <v>18.600000000000001</v>
      </c>
      <c r="EX8" s="17">
        <v>6.8</v>
      </c>
      <c r="EY8" s="17">
        <v>0.2</v>
      </c>
      <c r="EZ8" s="17">
        <v>0</v>
      </c>
      <c r="FA8" s="17">
        <v>18.399999999999999</v>
      </c>
      <c r="FB8" s="17">
        <v>6.8</v>
      </c>
      <c r="FC8" s="17">
        <v>0</v>
      </c>
      <c r="FD8" s="17">
        <v>0</v>
      </c>
      <c r="FE8" s="17">
        <v>18.600000000000001</v>
      </c>
      <c r="FF8" s="17">
        <v>6.4</v>
      </c>
      <c r="FG8" s="17">
        <v>0.6</v>
      </c>
      <c r="FH8" s="17">
        <v>0</v>
      </c>
      <c r="FI8" s="40">
        <f t="shared" si="45"/>
        <v>13.2</v>
      </c>
      <c r="FJ8" s="40">
        <f t="shared" si="46"/>
        <v>49.699999999999989</v>
      </c>
      <c r="FK8" s="40">
        <f t="shared" si="47"/>
        <v>25.200000000000003</v>
      </c>
      <c r="FL8" s="40">
        <f t="shared" si="48"/>
        <v>20</v>
      </c>
      <c r="FM8" s="40">
        <f t="shared" si="49"/>
        <v>74.899999999999991</v>
      </c>
      <c r="FN8" s="40">
        <f t="shared" si="50"/>
        <v>13.2</v>
      </c>
      <c r="FO8" s="40">
        <f t="shared" si="51"/>
        <v>49.599999999999994</v>
      </c>
      <c r="FP8" s="40">
        <f t="shared" si="52"/>
        <v>124.49999999999999</v>
      </c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1" t="str">
        <f t="shared" si="53"/>
        <v/>
      </c>
      <c r="GL8" s="11" t="str">
        <f t="shared" si="54"/>
        <v/>
      </c>
      <c r="GM8" s="11" t="str">
        <f t="shared" si="55"/>
        <v/>
      </c>
      <c r="GN8" s="11" t="str">
        <f t="shared" si="56"/>
        <v/>
      </c>
      <c r="GO8" s="11" t="str">
        <f t="shared" si="57"/>
        <v/>
      </c>
      <c r="GP8" s="11" t="str">
        <f t="shared" si="58"/>
        <v/>
      </c>
      <c r="GQ8" s="11" t="str">
        <f t="shared" si="59"/>
        <v/>
      </c>
      <c r="GR8" s="11" t="str">
        <f t="shared" si="60"/>
        <v/>
      </c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40" t="str">
        <f t="shared" si="61"/>
        <v/>
      </c>
      <c r="HN8" s="40" t="str">
        <f t="shared" si="62"/>
        <v/>
      </c>
      <c r="HO8" s="40" t="str">
        <f t="shared" si="63"/>
        <v/>
      </c>
      <c r="HP8" s="40" t="str">
        <f t="shared" si="64"/>
        <v/>
      </c>
      <c r="HQ8" s="40" t="str">
        <f t="shared" si="65"/>
        <v/>
      </c>
      <c r="HR8" s="40" t="str">
        <f t="shared" si="66"/>
        <v/>
      </c>
      <c r="HS8" s="40" t="str">
        <f t="shared" si="67"/>
        <v/>
      </c>
      <c r="HT8" s="40" t="str">
        <f t="shared" si="68"/>
        <v/>
      </c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1" t="str">
        <f t="shared" si="69"/>
        <v/>
      </c>
      <c r="IP8" s="11" t="str">
        <f t="shared" si="70"/>
        <v/>
      </c>
      <c r="IQ8" s="11" t="str">
        <f t="shared" si="71"/>
        <v/>
      </c>
      <c r="IR8" s="11" t="str">
        <f t="shared" si="72"/>
        <v/>
      </c>
      <c r="IS8" s="11" t="str">
        <f t="shared" si="73"/>
        <v/>
      </c>
      <c r="IT8" s="11" t="str">
        <f t="shared" si="74"/>
        <v/>
      </c>
      <c r="IU8" s="11" t="str">
        <f t="shared" si="75"/>
        <v/>
      </c>
      <c r="IV8" s="11" t="str">
        <f t="shared" si="76"/>
        <v/>
      </c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40" t="str">
        <f t="shared" si="77"/>
        <v/>
      </c>
      <c r="JR8" s="40" t="str">
        <f t="shared" si="78"/>
        <v/>
      </c>
      <c r="JS8" s="40" t="str">
        <f t="shared" si="79"/>
        <v/>
      </c>
      <c r="JT8" s="40" t="str">
        <f t="shared" si="80"/>
        <v/>
      </c>
      <c r="JU8" s="40" t="str">
        <f t="shared" si="81"/>
        <v/>
      </c>
      <c r="JV8" s="40" t="str">
        <f t="shared" si="82"/>
        <v/>
      </c>
      <c r="JW8" s="40" t="str">
        <f t="shared" si="83"/>
        <v/>
      </c>
      <c r="JX8" s="40" t="str">
        <f t="shared" si="84"/>
        <v/>
      </c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1" t="str">
        <f t="shared" si="85"/>
        <v/>
      </c>
      <c r="KT8" s="11" t="str">
        <f t="shared" si="86"/>
        <v/>
      </c>
      <c r="KU8" s="11" t="str">
        <f t="shared" si="87"/>
        <v/>
      </c>
      <c r="KV8" s="11" t="str">
        <f t="shared" si="88"/>
        <v/>
      </c>
      <c r="KW8" s="11" t="str">
        <f t="shared" si="89"/>
        <v/>
      </c>
      <c r="KX8" s="11" t="str">
        <f t="shared" si="90"/>
        <v/>
      </c>
      <c r="KY8" s="11" t="str">
        <f t="shared" si="91"/>
        <v/>
      </c>
      <c r="KZ8" s="11" t="str">
        <f t="shared" si="92"/>
        <v/>
      </c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40" t="str">
        <f t="shared" si="93"/>
        <v/>
      </c>
      <c r="LV8" s="40" t="str">
        <f t="shared" si="94"/>
        <v/>
      </c>
      <c r="LW8" s="40" t="str">
        <f t="shared" si="95"/>
        <v/>
      </c>
      <c r="LX8" s="40" t="str">
        <f t="shared" si="96"/>
        <v/>
      </c>
      <c r="LY8" s="40" t="str">
        <f t="shared" si="97"/>
        <v/>
      </c>
      <c r="LZ8" s="40" t="str">
        <f t="shared" si="98"/>
        <v/>
      </c>
      <c r="MA8" s="40" t="str">
        <f t="shared" si="99"/>
        <v/>
      </c>
      <c r="MB8" s="40" t="str">
        <f t="shared" si="100"/>
        <v/>
      </c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1" t="str">
        <f t="shared" si="101"/>
        <v/>
      </c>
      <c r="MX8" s="11" t="str">
        <f t="shared" si="102"/>
        <v/>
      </c>
      <c r="MY8" s="11" t="str">
        <f t="shared" si="103"/>
        <v/>
      </c>
      <c r="MZ8" s="11" t="str">
        <f t="shared" si="104"/>
        <v/>
      </c>
      <c r="NA8" s="11" t="str">
        <f t="shared" si="105"/>
        <v/>
      </c>
      <c r="NB8" s="11" t="str">
        <f t="shared" si="106"/>
        <v/>
      </c>
      <c r="NC8" s="11" t="str">
        <f t="shared" si="107"/>
        <v/>
      </c>
      <c r="ND8" s="11" t="str">
        <f t="shared" si="108"/>
        <v/>
      </c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40" t="str">
        <f t="shared" si="109"/>
        <v/>
      </c>
      <c r="NZ8" s="40" t="str">
        <f t="shared" si="110"/>
        <v/>
      </c>
      <c r="OA8" s="40" t="str">
        <f t="shared" si="111"/>
        <v/>
      </c>
      <c r="OB8" s="40" t="str">
        <f t="shared" si="112"/>
        <v/>
      </c>
      <c r="OC8" s="40" t="str">
        <f t="shared" si="113"/>
        <v/>
      </c>
      <c r="OD8" s="40" t="str">
        <f t="shared" si="114"/>
        <v/>
      </c>
      <c r="OE8" s="40" t="str">
        <f t="shared" si="115"/>
        <v/>
      </c>
      <c r="OF8" s="40" t="str">
        <f t="shared" si="116"/>
        <v/>
      </c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1" t="str">
        <f t="shared" si="117"/>
        <v/>
      </c>
      <c r="PB8" s="11" t="str">
        <f t="shared" si="118"/>
        <v/>
      </c>
      <c r="PC8" s="11" t="str">
        <f t="shared" si="119"/>
        <v/>
      </c>
      <c r="PD8" s="11" t="str">
        <f t="shared" si="120"/>
        <v/>
      </c>
      <c r="PE8" s="11" t="str">
        <f t="shared" si="121"/>
        <v/>
      </c>
      <c r="PF8" s="11" t="str">
        <f t="shared" si="122"/>
        <v/>
      </c>
      <c r="PG8" s="11" t="str">
        <f t="shared" si="123"/>
        <v/>
      </c>
      <c r="PH8" s="11" t="str">
        <f t="shared" si="124"/>
        <v/>
      </c>
      <c r="PI8" s="22">
        <f t="shared" si="125"/>
        <v>17.7</v>
      </c>
      <c r="PJ8" s="22">
        <f t="shared" si="126"/>
        <v>4.4000000000000004</v>
      </c>
      <c r="PK8" s="22">
        <f t="shared" si="127"/>
        <v>0</v>
      </c>
      <c r="PL8" s="22">
        <f t="shared" si="128"/>
        <v>0</v>
      </c>
      <c r="PM8" s="22">
        <f t="shared" si="129"/>
        <v>18.8</v>
      </c>
      <c r="PN8" s="22">
        <f t="shared" si="130"/>
        <v>4.3</v>
      </c>
      <c r="PO8" s="22">
        <f t="shared" si="131"/>
        <v>0</v>
      </c>
      <c r="PP8" s="22">
        <f t="shared" si="132"/>
        <v>0</v>
      </c>
      <c r="PQ8" s="22">
        <f t="shared" si="133"/>
        <v>17.8</v>
      </c>
      <c r="PR8" s="22">
        <f t="shared" si="134"/>
        <v>5.2</v>
      </c>
      <c r="PS8" s="22">
        <f t="shared" si="135"/>
        <v>0</v>
      </c>
      <c r="PT8" s="22">
        <f t="shared" si="136"/>
        <v>0</v>
      </c>
      <c r="PU8" s="22">
        <f t="shared" si="137"/>
        <v>19.100000000000001</v>
      </c>
      <c r="PV8" s="22">
        <f t="shared" si="138"/>
        <v>4.3</v>
      </c>
      <c r="PW8" s="22">
        <f t="shared" si="139"/>
        <v>0</v>
      </c>
      <c r="PX8" s="22">
        <f t="shared" si="140"/>
        <v>0</v>
      </c>
      <c r="PY8" s="27" t="s">
        <v>46</v>
      </c>
      <c r="PZ8" s="40">
        <f t="shared" si="141"/>
        <v>8.6999999999999993</v>
      </c>
      <c r="QA8" s="40">
        <f t="shared" si="142"/>
        <v>45.2</v>
      </c>
      <c r="QB8" s="40">
        <f t="shared" si="143"/>
        <v>9.5</v>
      </c>
      <c r="QC8" s="40">
        <f t="shared" si="144"/>
        <v>46.4</v>
      </c>
      <c r="QD8" s="40">
        <f t="shared" si="145"/>
        <v>91.6</v>
      </c>
    </row>
    <row r="9" spans="1:446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3</v>
      </c>
      <c r="C9" s="5" t="s">
        <v>169</v>
      </c>
      <c r="D9" s="4" t="s">
        <v>5</v>
      </c>
      <c r="E9" s="4">
        <v>2008</v>
      </c>
      <c r="F9" s="9">
        <f t="shared" si="0"/>
        <v>143.70000940000472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Worlds Team</v>
      </c>
      <c r="K9" s="3" t="str">
        <f t="shared" si="4"/>
        <v>P</v>
      </c>
      <c r="L9" s="8">
        <f>IF(COUNT(AM9,BI9,CE9)&gt;0,LARGE((AM9,BI9,CE9),1),0)</f>
        <v>47.2</v>
      </c>
      <c r="M9" s="8" t="str">
        <f t="shared" si="5"/>
        <v>2025 Elite Canada</v>
      </c>
      <c r="N9" s="8">
        <f>IF(COUNT(AM9,BI9,CE9)&gt;1,LARGE((AM9,BI9,CE9),2),0)</f>
        <v>46.8</v>
      </c>
      <c r="O9" s="8" t="str">
        <f t="shared" si="6"/>
        <v>2025 Nationals</v>
      </c>
      <c r="P9" s="8">
        <f t="shared" si="7"/>
        <v>47.6</v>
      </c>
      <c r="Q9" s="8" t="str">
        <f t="shared" si="8"/>
        <v>2025 Nationals</v>
      </c>
      <c r="R9" s="8">
        <f t="shared" si="9"/>
        <v>2.1000000000000014</v>
      </c>
      <c r="S9" s="11" t="str">
        <f t="shared" si="10"/>
        <v>(Q1)</v>
      </c>
      <c r="T9" s="8" t="str">
        <f t="shared" si="11"/>
        <v>2025 WAGC (Nov 16)</v>
      </c>
      <c r="U9" s="19">
        <v>18.600000000000001</v>
      </c>
      <c r="V9" s="19">
        <v>5.2</v>
      </c>
      <c r="W9" s="19">
        <v>0</v>
      </c>
      <c r="X9" s="19">
        <v>0</v>
      </c>
      <c r="Y9" s="19">
        <v>18.2</v>
      </c>
      <c r="Z9" s="19">
        <v>5.2</v>
      </c>
      <c r="AA9" s="19">
        <v>0</v>
      </c>
      <c r="AB9" s="19">
        <v>0</v>
      </c>
      <c r="AC9" s="19"/>
      <c r="AD9" s="19"/>
      <c r="AE9" s="19"/>
      <c r="AF9" s="19"/>
      <c r="AG9" s="19"/>
      <c r="AH9" s="19"/>
      <c r="AI9" s="19"/>
      <c r="AJ9" s="19"/>
      <c r="AK9" s="27"/>
      <c r="AL9" s="40">
        <f t="shared" si="12"/>
        <v>10.4</v>
      </c>
      <c r="AM9" s="40">
        <f t="shared" si="13"/>
        <v>47.2</v>
      </c>
      <c r="AN9" s="40" t="str">
        <f t="shared" si="14"/>
        <v/>
      </c>
      <c r="AO9" s="40" t="str">
        <f t="shared" si="15"/>
        <v/>
      </c>
      <c r="AP9" s="40">
        <f t="shared" si="16"/>
        <v>47.2</v>
      </c>
      <c r="AQ9" s="18">
        <v>18.100000000000001</v>
      </c>
      <c r="AR9" s="18">
        <v>5.2</v>
      </c>
      <c r="AS9" s="18">
        <v>0.2</v>
      </c>
      <c r="AT9" s="18">
        <v>0</v>
      </c>
      <c r="AU9" s="18">
        <v>18.3</v>
      </c>
      <c r="AV9" s="18">
        <v>5.6</v>
      </c>
      <c r="AW9" s="18">
        <v>0.2</v>
      </c>
      <c r="AX9" s="18">
        <v>0</v>
      </c>
      <c r="AY9" s="18">
        <v>18.2</v>
      </c>
      <c r="AZ9" s="18">
        <v>6</v>
      </c>
      <c r="BA9" s="18">
        <v>0.6</v>
      </c>
      <c r="BB9" s="18">
        <v>0</v>
      </c>
      <c r="BC9" s="18">
        <v>18.600000000000001</v>
      </c>
      <c r="BD9" s="18">
        <v>5.6</v>
      </c>
      <c r="BE9" s="18">
        <v>0.2</v>
      </c>
      <c r="BF9" s="18">
        <v>0</v>
      </c>
      <c r="BG9" s="28"/>
      <c r="BH9" s="11">
        <f t="shared" si="17"/>
        <v>10.8</v>
      </c>
      <c r="BI9" s="11">
        <f t="shared" si="18"/>
        <v>46.8</v>
      </c>
      <c r="BJ9" s="11">
        <f t="shared" si="19"/>
        <v>11.6</v>
      </c>
      <c r="BK9" s="11">
        <f t="shared" si="20"/>
        <v>47.6</v>
      </c>
      <c r="BL9" s="11">
        <f t="shared" si="21"/>
        <v>94.4</v>
      </c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27"/>
      <c r="CD9" s="40" t="str">
        <f t="shared" si="22"/>
        <v/>
      </c>
      <c r="CE9" s="40" t="str">
        <f t="shared" si="23"/>
        <v/>
      </c>
      <c r="CF9" s="40" t="str">
        <f t="shared" si="24"/>
        <v/>
      </c>
      <c r="CG9" s="40" t="str">
        <f t="shared" si="25"/>
        <v/>
      </c>
      <c r="CH9" s="40" t="str">
        <f t="shared" si="26"/>
        <v/>
      </c>
      <c r="CI9" s="50">
        <f t="shared" si="27"/>
        <v>2.1000000000000014</v>
      </c>
      <c r="CJ9" s="50" t="str">
        <f t="shared" si="28"/>
        <v/>
      </c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40" t="str">
        <f t="shared" si="29"/>
        <v/>
      </c>
      <c r="DF9" s="40" t="str">
        <f t="shared" si="30"/>
        <v/>
      </c>
      <c r="DG9" s="40" t="str">
        <f t="shared" si="31"/>
        <v/>
      </c>
      <c r="DH9" s="40" t="str">
        <f t="shared" si="32"/>
        <v/>
      </c>
      <c r="DI9" s="40" t="str">
        <f t="shared" si="33"/>
        <v/>
      </c>
      <c r="DJ9" s="40" t="str">
        <f t="shared" si="34"/>
        <v/>
      </c>
      <c r="DK9" s="40" t="str">
        <f t="shared" si="35"/>
        <v/>
      </c>
      <c r="DL9" s="40" t="str">
        <f t="shared" si="36"/>
        <v/>
      </c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1" t="str">
        <f t="shared" si="37"/>
        <v/>
      </c>
      <c r="EH9" s="11" t="str">
        <f t="shared" si="38"/>
        <v/>
      </c>
      <c r="EI9" s="11" t="str">
        <f t="shared" si="39"/>
        <v/>
      </c>
      <c r="EJ9" s="11" t="str">
        <f t="shared" si="40"/>
        <v/>
      </c>
      <c r="EK9" s="11" t="str">
        <f t="shared" si="41"/>
        <v/>
      </c>
      <c r="EL9" s="11" t="str">
        <f t="shared" si="42"/>
        <v/>
      </c>
      <c r="EM9" s="11" t="str">
        <f t="shared" si="43"/>
        <v/>
      </c>
      <c r="EN9" s="11" t="str">
        <f t="shared" si="44"/>
        <v/>
      </c>
      <c r="EO9" s="17">
        <v>18.8</v>
      </c>
      <c r="EP9" s="17">
        <v>5.6</v>
      </c>
      <c r="EQ9" s="17">
        <v>0</v>
      </c>
      <c r="ER9" s="17">
        <v>0</v>
      </c>
      <c r="ES9" s="17">
        <v>18.5</v>
      </c>
      <c r="ET9" s="17">
        <v>6</v>
      </c>
      <c r="EU9" s="17">
        <v>0</v>
      </c>
      <c r="EV9" s="17">
        <v>0</v>
      </c>
      <c r="EW9" s="17"/>
      <c r="EX9" s="17"/>
      <c r="EY9" s="17"/>
      <c r="EZ9" s="17"/>
      <c r="FA9" s="17">
        <v>18.3</v>
      </c>
      <c r="FB9" s="17">
        <v>6</v>
      </c>
      <c r="FC9" s="17">
        <v>0.2</v>
      </c>
      <c r="FD9" s="17">
        <v>0</v>
      </c>
      <c r="FE9" s="17"/>
      <c r="FF9" s="17"/>
      <c r="FG9" s="17"/>
      <c r="FH9" s="17"/>
      <c r="FI9" s="40">
        <f t="shared" si="45"/>
        <v>11.6</v>
      </c>
      <c r="FJ9" s="40">
        <f t="shared" si="46"/>
        <v>48.9</v>
      </c>
      <c r="FK9" s="40" t="str">
        <f t="shared" si="47"/>
        <v/>
      </c>
      <c r="FL9" s="40">
        <f t="shared" si="48"/>
        <v>11.6</v>
      </c>
      <c r="FM9" s="40">
        <f t="shared" si="49"/>
        <v>48.9</v>
      </c>
      <c r="FN9" s="40">
        <f t="shared" si="50"/>
        <v>6</v>
      </c>
      <c r="FO9" s="40">
        <f t="shared" si="51"/>
        <v>24.1</v>
      </c>
      <c r="FP9" s="40">
        <f t="shared" si="52"/>
        <v>73</v>
      </c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1" t="str">
        <f t="shared" si="53"/>
        <v/>
      </c>
      <c r="GL9" s="11" t="str">
        <f t="shared" si="54"/>
        <v/>
      </c>
      <c r="GM9" s="11" t="str">
        <f t="shared" si="55"/>
        <v/>
      </c>
      <c r="GN9" s="11" t="str">
        <f t="shared" si="56"/>
        <v/>
      </c>
      <c r="GO9" s="11" t="str">
        <f t="shared" si="57"/>
        <v/>
      </c>
      <c r="GP9" s="11" t="str">
        <f t="shared" si="58"/>
        <v/>
      </c>
      <c r="GQ9" s="11" t="str">
        <f t="shared" si="59"/>
        <v/>
      </c>
      <c r="GR9" s="11" t="str">
        <f t="shared" si="60"/>
        <v/>
      </c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40" t="str">
        <f t="shared" si="61"/>
        <v/>
      </c>
      <c r="HN9" s="40" t="str">
        <f t="shared" si="62"/>
        <v/>
      </c>
      <c r="HO9" s="40" t="str">
        <f t="shared" si="63"/>
        <v/>
      </c>
      <c r="HP9" s="40" t="str">
        <f t="shared" si="64"/>
        <v/>
      </c>
      <c r="HQ9" s="40" t="str">
        <f t="shared" si="65"/>
        <v/>
      </c>
      <c r="HR9" s="40" t="str">
        <f t="shared" si="66"/>
        <v/>
      </c>
      <c r="HS9" s="40" t="str">
        <f t="shared" si="67"/>
        <v/>
      </c>
      <c r="HT9" s="40" t="str">
        <f t="shared" si="68"/>
        <v/>
      </c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1" t="str">
        <f t="shared" si="69"/>
        <v/>
      </c>
      <c r="IP9" s="11" t="str">
        <f t="shared" si="70"/>
        <v/>
      </c>
      <c r="IQ9" s="11" t="str">
        <f t="shared" si="71"/>
        <v/>
      </c>
      <c r="IR9" s="11" t="str">
        <f t="shared" si="72"/>
        <v/>
      </c>
      <c r="IS9" s="11" t="str">
        <f t="shared" si="73"/>
        <v/>
      </c>
      <c r="IT9" s="11" t="str">
        <f t="shared" si="74"/>
        <v/>
      </c>
      <c r="IU9" s="11" t="str">
        <f t="shared" si="75"/>
        <v/>
      </c>
      <c r="IV9" s="11" t="str">
        <f t="shared" si="76"/>
        <v/>
      </c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40" t="str">
        <f t="shared" si="77"/>
        <v/>
      </c>
      <c r="JR9" s="40" t="str">
        <f t="shared" si="78"/>
        <v/>
      </c>
      <c r="JS9" s="40" t="str">
        <f t="shared" si="79"/>
        <v/>
      </c>
      <c r="JT9" s="40" t="str">
        <f t="shared" si="80"/>
        <v/>
      </c>
      <c r="JU9" s="40" t="str">
        <f t="shared" si="81"/>
        <v/>
      </c>
      <c r="JV9" s="40" t="str">
        <f t="shared" si="82"/>
        <v/>
      </c>
      <c r="JW9" s="40" t="str">
        <f t="shared" si="83"/>
        <v/>
      </c>
      <c r="JX9" s="40" t="str">
        <f t="shared" si="84"/>
        <v/>
      </c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1" t="str">
        <f t="shared" si="85"/>
        <v/>
      </c>
      <c r="KT9" s="11" t="str">
        <f t="shared" si="86"/>
        <v/>
      </c>
      <c r="KU9" s="11" t="str">
        <f t="shared" si="87"/>
        <v/>
      </c>
      <c r="KV9" s="11" t="str">
        <f t="shared" si="88"/>
        <v/>
      </c>
      <c r="KW9" s="11" t="str">
        <f t="shared" si="89"/>
        <v/>
      </c>
      <c r="KX9" s="11" t="str">
        <f t="shared" si="90"/>
        <v/>
      </c>
      <c r="KY9" s="11" t="str">
        <f t="shared" si="91"/>
        <v/>
      </c>
      <c r="KZ9" s="11" t="str">
        <f t="shared" si="92"/>
        <v/>
      </c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40" t="str">
        <f t="shared" si="93"/>
        <v/>
      </c>
      <c r="LV9" s="40" t="str">
        <f t="shared" si="94"/>
        <v/>
      </c>
      <c r="LW9" s="40" t="str">
        <f t="shared" si="95"/>
        <v/>
      </c>
      <c r="LX9" s="40" t="str">
        <f t="shared" si="96"/>
        <v/>
      </c>
      <c r="LY9" s="40" t="str">
        <f t="shared" si="97"/>
        <v/>
      </c>
      <c r="LZ9" s="40" t="str">
        <f t="shared" si="98"/>
        <v/>
      </c>
      <c r="MA9" s="40" t="str">
        <f t="shared" si="99"/>
        <v/>
      </c>
      <c r="MB9" s="40" t="str">
        <f t="shared" si="100"/>
        <v/>
      </c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1" t="str">
        <f t="shared" si="101"/>
        <v/>
      </c>
      <c r="MX9" s="11" t="str">
        <f t="shared" si="102"/>
        <v/>
      </c>
      <c r="MY9" s="11" t="str">
        <f t="shared" si="103"/>
        <v/>
      </c>
      <c r="MZ9" s="11" t="str">
        <f t="shared" si="104"/>
        <v/>
      </c>
      <c r="NA9" s="11" t="str">
        <f t="shared" si="105"/>
        <v/>
      </c>
      <c r="NB9" s="11" t="str">
        <f t="shared" si="106"/>
        <v/>
      </c>
      <c r="NC9" s="11" t="str">
        <f t="shared" si="107"/>
        <v/>
      </c>
      <c r="ND9" s="11" t="str">
        <f t="shared" si="108"/>
        <v/>
      </c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40" t="str">
        <f t="shared" si="109"/>
        <v/>
      </c>
      <c r="NZ9" s="40" t="str">
        <f t="shared" si="110"/>
        <v/>
      </c>
      <c r="OA9" s="40" t="str">
        <f t="shared" si="111"/>
        <v/>
      </c>
      <c r="OB9" s="40" t="str">
        <f t="shared" si="112"/>
        <v/>
      </c>
      <c r="OC9" s="40" t="str">
        <f t="shared" si="113"/>
        <v/>
      </c>
      <c r="OD9" s="40" t="str">
        <f t="shared" si="114"/>
        <v/>
      </c>
      <c r="OE9" s="40" t="str">
        <f t="shared" si="115"/>
        <v/>
      </c>
      <c r="OF9" s="40" t="str">
        <f t="shared" si="116"/>
        <v/>
      </c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1" t="str">
        <f t="shared" si="117"/>
        <v/>
      </c>
      <c r="PB9" s="11" t="str">
        <f t="shared" si="118"/>
        <v/>
      </c>
      <c r="PC9" s="11" t="str">
        <f t="shared" si="119"/>
        <v/>
      </c>
      <c r="PD9" s="11" t="str">
        <f t="shared" si="120"/>
        <v/>
      </c>
      <c r="PE9" s="11" t="str">
        <f t="shared" si="121"/>
        <v/>
      </c>
      <c r="PF9" s="11" t="str">
        <f t="shared" si="122"/>
        <v/>
      </c>
      <c r="PG9" s="11" t="str">
        <f t="shared" si="123"/>
        <v/>
      </c>
      <c r="PH9" s="11" t="str">
        <f t="shared" si="124"/>
        <v/>
      </c>
      <c r="PI9" s="22">
        <f t="shared" si="125"/>
        <v>0</v>
      </c>
      <c r="PJ9" s="22">
        <f t="shared" si="126"/>
        <v>0</v>
      </c>
      <c r="PK9" s="22">
        <f t="shared" si="127"/>
        <v>0</v>
      </c>
      <c r="PL9" s="22">
        <f t="shared" si="128"/>
        <v>0</v>
      </c>
      <c r="PM9" s="22">
        <f t="shared" si="129"/>
        <v>0</v>
      </c>
      <c r="PN9" s="22">
        <f t="shared" si="130"/>
        <v>0</v>
      </c>
      <c r="PO9" s="22">
        <f t="shared" si="131"/>
        <v>0</v>
      </c>
      <c r="PP9" s="22">
        <f t="shared" si="132"/>
        <v>0</v>
      </c>
      <c r="PQ9" s="22">
        <f t="shared" si="133"/>
        <v>0</v>
      </c>
      <c r="PR9" s="22">
        <f t="shared" si="134"/>
        <v>0</v>
      </c>
      <c r="PS9" s="22">
        <f t="shared" si="135"/>
        <v>0</v>
      </c>
      <c r="PT9" s="22">
        <f t="shared" si="136"/>
        <v>0</v>
      </c>
      <c r="PU9" s="22">
        <f t="shared" si="137"/>
        <v>0</v>
      </c>
      <c r="PV9" s="22">
        <f t="shared" si="138"/>
        <v>0</v>
      </c>
      <c r="PW9" s="22">
        <f t="shared" si="139"/>
        <v>0</v>
      </c>
      <c r="PX9" s="22">
        <f t="shared" si="140"/>
        <v>0</v>
      </c>
      <c r="PY9" s="27" t="s">
        <v>46</v>
      </c>
      <c r="PZ9" s="40" t="str">
        <f t="shared" si="141"/>
        <v/>
      </c>
      <c r="QA9" s="40" t="str">
        <f t="shared" si="142"/>
        <v/>
      </c>
      <c r="QB9" s="40" t="str">
        <f t="shared" si="143"/>
        <v/>
      </c>
      <c r="QC9" s="40" t="str">
        <f t="shared" si="144"/>
        <v/>
      </c>
      <c r="QD9" s="40" t="str">
        <f t="shared" si="145"/>
        <v/>
      </c>
    </row>
    <row r="10" spans="1:446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4</v>
      </c>
      <c r="C10" s="5" t="s">
        <v>95</v>
      </c>
      <c r="D10" s="4" t="s">
        <v>31</v>
      </c>
      <c r="E10" s="4">
        <v>2005</v>
      </c>
      <c r="F10" s="9">
        <f t="shared" si="0"/>
        <v>141.60000949000479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Worlds Team</v>
      </c>
      <c r="K10" s="3" t="str">
        <f t="shared" si="4"/>
        <v>P</v>
      </c>
      <c r="L10" s="8">
        <f>IF(COUNT(AM10,BI10,CE10)&gt;0,LARGE((AM10,BI10,CE10),1),0)</f>
        <v>47.8</v>
      </c>
      <c r="M10" s="8" t="str">
        <f t="shared" si="5"/>
        <v>2025 3rd Domestic Trial</v>
      </c>
      <c r="N10" s="8">
        <f>IF(COUNT(AM10,BI10,CE10)&gt;1,LARGE((AM10,BI10,CE10),2),0)</f>
        <v>47.1</v>
      </c>
      <c r="O10" s="8" t="str">
        <f t="shared" si="6"/>
        <v>2025 Elite Canada</v>
      </c>
      <c r="P10" s="8">
        <f t="shared" si="7"/>
        <v>46.7</v>
      </c>
      <c r="Q10" s="8" t="str">
        <f t="shared" si="8"/>
        <v>2025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18.3</v>
      </c>
      <c r="V10" s="19">
        <v>5.6</v>
      </c>
      <c r="W10" s="19">
        <v>0.6</v>
      </c>
      <c r="X10" s="19">
        <v>0.3</v>
      </c>
      <c r="Y10" s="19">
        <v>18.5</v>
      </c>
      <c r="Z10" s="19">
        <v>5.2</v>
      </c>
      <c r="AA10" s="19">
        <v>0.2</v>
      </c>
      <c r="AB10" s="19">
        <v>0</v>
      </c>
      <c r="AC10" s="19">
        <v>18.5</v>
      </c>
      <c r="AD10" s="19">
        <v>5.6</v>
      </c>
      <c r="AE10" s="19">
        <v>0.6</v>
      </c>
      <c r="AF10" s="19">
        <v>0.3</v>
      </c>
      <c r="AG10" s="19">
        <v>17.7</v>
      </c>
      <c r="AH10" s="19">
        <v>5.2</v>
      </c>
      <c r="AI10" s="19">
        <v>0</v>
      </c>
      <c r="AJ10" s="19">
        <v>0</v>
      </c>
      <c r="AK10" s="27"/>
      <c r="AL10" s="40">
        <f t="shared" si="12"/>
        <v>10.8</v>
      </c>
      <c r="AM10" s="40">
        <f t="shared" si="13"/>
        <v>47.1</v>
      </c>
      <c r="AN10" s="40">
        <f t="shared" si="14"/>
        <v>10.8</v>
      </c>
      <c r="AO10" s="40">
        <f t="shared" si="15"/>
        <v>46.7</v>
      </c>
      <c r="AP10" s="40">
        <f t="shared" si="16"/>
        <v>93.800000000000011</v>
      </c>
      <c r="AQ10" s="18">
        <v>16.399999999999999</v>
      </c>
      <c r="AR10" s="18">
        <v>4.8</v>
      </c>
      <c r="AS10" s="18">
        <v>0.8</v>
      </c>
      <c r="AT10" s="18">
        <v>0</v>
      </c>
      <c r="AU10" s="18">
        <v>18.399999999999999</v>
      </c>
      <c r="AV10" s="18">
        <v>5.6</v>
      </c>
      <c r="AW10" s="18">
        <v>0.2</v>
      </c>
      <c r="AX10" s="18">
        <v>0</v>
      </c>
      <c r="AY10" s="18"/>
      <c r="AZ10" s="18"/>
      <c r="BA10" s="18"/>
      <c r="BB10" s="18"/>
      <c r="BC10" s="18"/>
      <c r="BD10" s="18"/>
      <c r="BE10" s="18"/>
      <c r="BF10" s="18"/>
      <c r="BG10" s="28"/>
      <c r="BH10" s="11">
        <f t="shared" si="17"/>
        <v>10.399999999999999</v>
      </c>
      <c r="BI10" s="11">
        <f t="shared" si="18"/>
        <v>44.199999999999996</v>
      </c>
      <c r="BJ10" s="11" t="str">
        <f t="shared" si="19"/>
        <v/>
      </c>
      <c r="BK10" s="11" t="str">
        <f t="shared" si="20"/>
        <v/>
      </c>
      <c r="BL10" s="11">
        <f t="shared" si="21"/>
        <v>44.199999999999996</v>
      </c>
      <c r="BM10" s="19">
        <v>18.3</v>
      </c>
      <c r="BN10" s="19">
        <v>5.6</v>
      </c>
      <c r="BO10" s="19">
        <v>0.2</v>
      </c>
      <c r="BP10" s="19">
        <v>0</v>
      </c>
      <c r="BQ10" s="19">
        <v>18.3</v>
      </c>
      <c r="BR10" s="19">
        <v>6</v>
      </c>
      <c r="BS10" s="19">
        <v>0.2</v>
      </c>
      <c r="BT10" s="19">
        <v>0</v>
      </c>
      <c r="BU10" s="19">
        <v>17.600000000000001</v>
      </c>
      <c r="BV10" s="19">
        <v>5.6</v>
      </c>
      <c r="BW10" s="19">
        <v>0.8</v>
      </c>
      <c r="BX10" s="19">
        <v>0</v>
      </c>
      <c r="BY10" s="19">
        <v>15.1</v>
      </c>
      <c r="BZ10" s="19">
        <v>2.4</v>
      </c>
      <c r="CA10" s="19">
        <v>0</v>
      </c>
      <c r="CB10" s="19">
        <v>0</v>
      </c>
      <c r="CC10" s="27"/>
      <c r="CD10" s="40">
        <f t="shared" si="22"/>
        <v>11.6</v>
      </c>
      <c r="CE10" s="40">
        <f t="shared" si="23"/>
        <v>47.8</v>
      </c>
      <c r="CF10" s="40">
        <f t="shared" si="24"/>
        <v>8</v>
      </c>
      <c r="CG10" s="40">
        <f t="shared" si="25"/>
        <v>39.900000000000006</v>
      </c>
      <c r="CH10" s="40">
        <f t="shared" si="26"/>
        <v>87.7</v>
      </c>
      <c r="CI10" s="50" t="str">
        <f t="shared" si="27"/>
        <v/>
      </c>
      <c r="CJ10" s="50" t="str">
        <f t="shared" si="28"/>
        <v/>
      </c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40" t="str">
        <f t="shared" si="29"/>
        <v/>
      </c>
      <c r="DF10" s="40" t="str">
        <f t="shared" si="30"/>
        <v/>
      </c>
      <c r="DG10" s="40" t="str">
        <f t="shared" si="31"/>
        <v/>
      </c>
      <c r="DH10" s="40" t="str">
        <f t="shared" si="32"/>
        <v/>
      </c>
      <c r="DI10" s="40" t="str">
        <f t="shared" si="33"/>
        <v/>
      </c>
      <c r="DJ10" s="40" t="str">
        <f t="shared" si="34"/>
        <v/>
      </c>
      <c r="DK10" s="40" t="str">
        <f t="shared" si="35"/>
        <v/>
      </c>
      <c r="DL10" s="40" t="str">
        <f t="shared" si="36"/>
        <v/>
      </c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1" t="str">
        <f t="shared" si="37"/>
        <v/>
      </c>
      <c r="EH10" s="11" t="str">
        <f t="shared" si="38"/>
        <v/>
      </c>
      <c r="EI10" s="11" t="str">
        <f t="shared" si="39"/>
        <v/>
      </c>
      <c r="EJ10" s="11" t="str">
        <f t="shared" si="40"/>
        <v/>
      </c>
      <c r="EK10" s="11" t="str">
        <f t="shared" si="41"/>
        <v/>
      </c>
      <c r="EL10" s="11" t="str">
        <f t="shared" si="42"/>
        <v/>
      </c>
      <c r="EM10" s="11" t="str">
        <f t="shared" si="43"/>
        <v/>
      </c>
      <c r="EN10" s="11" t="str">
        <f t="shared" si="44"/>
        <v/>
      </c>
      <c r="EO10" s="17">
        <v>18.2</v>
      </c>
      <c r="EP10" s="17">
        <v>5.6</v>
      </c>
      <c r="EQ10" s="17">
        <v>1</v>
      </c>
      <c r="ER10" s="17">
        <v>0</v>
      </c>
      <c r="ES10" s="17">
        <v>18.399999999999999</v>
      </c>
      <c r="ET10" s="17">
        <v>6</v>
      </c>
      <c r="EU10" s="17">
        <v>0.6</v>
      </c>
      <c r="EV10" s="17">
        <v>0</v>
      </c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40">
        <f t="shared" si="45"/>
        <v>11.6</v>
      </c>
      <c r="FJ10" s="40">
        <f t="shared" si="46"/>
        <v>46.599999999999994</v>
      </c>
      <c r="FK10" s="40" t="str">
        <f t="shared" si="47"/>
        <v/>
      </c>
      <c r="FL10" s="40">
        <f t="shared" si="48"/>
        <v>11.6</v>
      </c>
      <c r="FM10" s="40">
        <f t="shared" si="49"/>
        <v>46.599999999999994</v>
      </c>
      <c r="FN10" s="40" t="str">
        <f t="shared" si="50"/>
        <v/>
      </c>
      <c r="FO10" s="40" t="str">
        <f t="shared" si="51"/>
        <v/>
      </c>
      <c r="FP10" s="40">
        <f t="shared" si="52"/>
        <v>46.599999999999994</v>
      </c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1" t="str">
        <f t="shared" si="53"/>
        <v/>
      </c>
      <c r="GL10" s="11" t="str">
        <f t="shared" si="54"/>
        <v/>
      </c>
      <c r="GM10" s="11" t="str">
        <f t="shared" si="55"/>
        <v/>
      </c>
      <c r="GN10" s="11" t="str">
        <f t="shared" si="56"/>
        <v/>
      </c>
      <c r="GO10" s="11" t="str">
        <f t="shared" si="57"/>
        <v/>
      </c>
      <c r="GP10" s="11" t="str">
        <f t="shared" si="58"/>
        <v/>
      </c>
      <c r="GQ10" s="11" t="str">
        <f t="shared" si="59"/>
        <v/>
      </c>
      <c r="GR10" s="11" t="str">
        <f t="shared" si="60"/>
        <v/>
      </c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40" t="str">
        <f t="shared" si="61"/>
        <v/>
      </c>
      <c r="HN10" s="40" t="str">
        <f t="shared" si="62"/>
        <v/>
      </c>
      <c r="HO10" s="40" t="str">
        <f t="shared" si="63"/>
        <v/>
      </c>
      <c r="HP10" s="40" t="str">
        <f t="shared" si="64"/>
        <v/>
      </c>
      <c r="HQ10" s="40" t="str">
        <f t="shared" si="65"/>
        <v/>
      </c>
      <c r="HR10" s="40" t="str">
        <f t="shared" si="66"/>
        <v/>
      </c>
      <c r="HS10" s="40" t="str">
        <f t="shared" si="67"/>
        <v/>
      </c>
      <c r="HT10" s="40" t="str">
        <f t="shared" si="68"/>
        <v/>
      </c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1" t="str">
        <f t="shared" si="69"/>
        <v/>
      </c>
      <c r="IP10" s="11" t="str">
        <f t="shared" si="70"/>
        <v/>
      </c>
      <c r="IQ10" s="11" t="str">
        <f t="shared" si="71"/>
        <v/>
      </c>
      <c r="IR10" s="11" t="str">
        <f t="shared" si="72"/>
        <v/>
      </c>
      <c r="IS10" s="11" t="str">
        <f t="shared" si="73"/>
        <v/>
      </c>
      <c r="IT10" s="11" t="str">
        <f t="shared" si="74"/>
        <v/>
      </c>
      <c r="IU10" s="11" t="str">
        <f t="shared" si="75"/>
        <v/>
      </c>
      <c r="IV10" s="11" t="str">
        <f t="shared" si="76"/>
        <v/>
      </c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40" t="str">
        <f t="shared" si="77"/>
        <v/>
      </c>
      <c r="JR10" s="40" t="str">
        <f t="shared" si="78"/>
        <v/>
      </c>
      <c r="JS10" s="40" t="str">
        <f t="shared" si="79"/>
        <v/>
      </c>
      <c r="JT10" s="40" t="str">
        <f t="shared" si="80"/>
        <v/>
      </c>
      <c r="JU10" s="40" t="str">
        <f t="shared" si="81"/>
        <v/>
      </c>
      <c r="JV10" s="40" t="str">
        <f t="shared" si="82"/>
        <v/>
      </c>
      <c r="JW10" s="40" t="str">
        <f t="shared" si="83"/>
        <v/>
      </c>
      <c r="JX10" s="40" t="str">
        <f t="shared" si="84"/>
        <v/>
      </c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1" t="str">
        <f t="shared" si="85"/>
        <v/>
      </c>
      <c r="KT10" s="11" t="str">
        <f t="shared" si="86"/>
        <v/>
      </c>
      <c r="KU10" s="11" t="str">
        <f t="shared" si="87"/>
        <v/>
      </c>
      <c r="KV10" s="11" t="str">
        <f t="shared" si="88"/>
        <v/>
      </c>
      <c r="KW10" s="11" t="str">
        <f t="shared" si="89"/>
        <v/>
      </c>
      <c r="KX10" s="11" t="str">
        <f t="shared" si="90"/>
        <v/>
      </c>
      <c r="KY10" s="11" t="str">
        <f t="shared" si="91"/>
        <v/>
      </c>
      <c r="KZ10" s="11" t="str">
        <f t="shared" si="92"/>
        <v/>
      </c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40" t="str">
        <f t="shared" si="93"/>
        <v/>
      </c>
      <c r="LV10" s="40" t="str">
        <f t="shared" si="94"/>
        <v/>
      </c>
      <c r="LW10" s="40" t="str">
        <f t="shared" si="95"/>
        <v/>
      </c>
      <c r="LX10" s="40" t="str">
        <f t="shared" si="96"/>
        <v/>
      </c>
      <c r="LY10" s="40" t="str">
        <f t="shared" si="97"/>
        <v/>
      </c>
      <c r="LZ10" s="40" t="str">
        <f t="shared" si="98"/>
        <v/>
      </c>
      <c r="MA10" s="40" t="str">
        <f t="shared" si="99"/>
        <v/>
      </c>
      <c r="MB10" s="40" t="str">
        <f t="shared" si="100"/>
        <v/>
      </c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1" t="str">
        <f t="shared" si="101"/>
        <v/>
      </c>
      <c r="MX10" s="11" t="str">
        <f t="shared" si="102"/>
        <v/>
      </c>
      <c r="MY10" s="11" t="str">
        <f t="shared" si="103"/>
        <v/>
      </c>
      <c r="MZ10" s="11" t="str">
        <f t="shared" si="104"/>
        <v/>
      </c>
      <c r="NA10" s="11" t="str">
        <f t="shared" si="105"/>
        <v/>
      </c>
      <c r="NB10" s="11" t="str">
        <f t="shared" si="106"/>
        <v/>
      </c>
      <c r="NC10" s="11" t="str">
        <f t="shared" si="107"/>
        <v/>
      </c>
      <c r="ND10" s="11" t="str">
        <f t="shared" si="108"/>
        <v/>
      </c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40" t="str">
        <f t="shared" si="109"/>
        <v/>
      </c>
      <c r="NZ10" s="40" t="str">
        <f t="shared" si="110"/>
        <v/>
      </c>
      <c r="OA10" s="40" t="str">
        <f t="shared" si="111"/>
        <v/>
      </c>
      <c r="OB10" s="40" t="str">
        <f t="shared" si="112"/>
        <v/>
      </c>
      <c r="OC10" s="40" t="str">
        <f t="shared" si="113"/>
        <v/>
      </c>
      <c r="OD10" s="40" t="str">
        <f t="shared" si="114"/>
        <v/>
      </c>
      <c r="OE10" s="40" t="str">
        <f t="shared" si="115"/>
        <v/>
      </c>
      <c r="OF10" s="40" t="str">
        <f t="shared" si="116"/>
        <v/>
      </c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1" t="str">
        <f t="shared" si="117"/>
        <v/>
      </c>
      <c r="PB10" s="11" t="str">
        <f t="shared" si="118"/>
        <v/>
      </c>
      <c r="PC10" s="11" t="str">
        <f t="shared" si="119"/>
        <v/>
      </c>
      <c r="PD10" s="11" t="str">
        <f t="shared" si="120"/>
        <v/>
      </c>
      <c r="PE10" s="11" t="str">
        <f t="shared" si="121"/>
        <v/>
      </c>
      <c r="PF10" s="11" t="str">
        <f t="shared" si="122"/>
        <v/>
      </c>
      <c r="PG10" s="11" t="str">
        <f t="shared" si="123"/>
        <v/>
      </c>
      <c r="PH10" s="11" t="str">
        <f t="shared" si="124"/>
        <v/>
      </c>
      <c r="PI10" s="22">
        <f t="shared" si="125"/>
        <v>18.3</v>
      </c>
      <c r="PJ10" s="22">
        <f t="shared" si="126"/>
        <v>5.6</v>
      </c>
      <c r="PK10" s="22">
        <f t="shared" si="127"/>
        <v>0.2</v>
      </c>
      <c r="PL10" s="22">
        <f t="shared" si="128"/>
        <v>0</v>
      </c>
      <c r="PM10" s="22">
        <f t="shared" si="129"/>
        <v>18.3</v>
      </c>
      <c r="PN10" s="22">
        <f t="shared" si="130"/>
        <v>6</v>
      </c>
      <c r="PO10" s="22">
        <f t="shared" si="131"/>
        <v>0.2</v>
      </c>
      <c r="PP10" s="22">
        <f t="shared" si="132"/>
        <v>0</v>
      </c>
      <c r="PQ10" s="22">
        <f t="shared" si="133"/>
        <v>17.600000000000001</v>
      </c>
      <c r="PR10" s="22">
        <f t="shared" si="134"/>
        <v>5.6</v>
      </c>
      <c r="PS10" s="22">
        <f t="shared" si="135"/>
        <v>0.8</v>
      </c>
      <c r="PT10" s="22">
        <f t="shared" si="136"/>
        <v>0</v>
      </c>
      <c r="PU10" s="22">
        <f t="shared" si="137"/>
        <v>15.1</v>
      </c>
      <c r="PV10" s="22">
        <f t="shared" si="138"/>
        <v>2.4</v>
      </c>
      <c r="PW10" s="22">
        <f t="shared" si="139"/>
        <v>0</v>
      </c>
      <c r="PX10" s="22">
        <f t="shared" si="140"/>
        <v>0</v>
      </c>
      <c r="PY10" s="27" t="s">
        <v>46</v>
      </c>
      <c r="PZ10" s="40">
        <f t="shared" si="141"/>
        <v>11.6</v>
      </c>
      <c r="QA10" s="40">
        <f t="shared" si="142"/>
        <v>47.8</v>
      </c>
      <c r="QB10" s="40">
        <f t="shared" si="143"/>
        <v>8</v>
      </c>
      <c r="QC10" s="40">
        <f t="shared" si="144"/>
        <v>39.900000000000006</v>
      </c>
      <c r="QD10" s="40">
        <f t="shared" si="145"/>
        <v>87.7</v>
      </c>
    </row>
    <row r="11" spans="1:446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5</v>
      </c>
      <c r="C11" s="5" t="s">
        <v>199</v>
      </c>
      <c r="D11" s="4" t="s">
        <v>6</v>
      </c>
      <c r="E11" s="4">
        <v>2009</v>
      </c>
      <c r="F11" s="9">
        <f t="shared" si="0"/>
        <v>140.10000932000469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IF(COUNT(AM11,BI11,CE11)&gt;0,LARGE((AM11,BI11,CE11),1),0)</f>
        <v>47</v>
      </c>
      <c r="M11" s="8" t="str">
        <f t="shared" si="5"/>
        <v>2025 Nationals</v>
      </c>
      <c r="N11" s="8">
        <f>IF(COUNT(AM11,BI11,CE11)&gt;1,LARGE((AM11,BI11,CE11),2),0)</f>
        <v>46.2</v>
      </c>
      <c r="O11" s="8" t="str">
        <f t="shared" si="6"/>
        <v>2025 3rd Domestic Trial</v>
      </c>
      <c r="P11" s="8">
        <f t="shared" si="7"/>
        <v>46.9</v>
      </c>
      <c r="Q11" s="8" t="str">
        <f t="shared" si="8"/>
        <v>2025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18.7</v>
      </c>
      <c r="V11" s="19">
        <v>3.9</v>
      </c>
      <c r="W11" s="19">
        <v>0.2</v>
      </c>
      <c r="X11" s="19">
        <v>0</v>
      </c>
      <c r="Y11" s="19">
        <v>18.5</v>
      </c>
      <c r="Z11" s="19">
        <v>5.2</v>
      </c>
      <c r="AA11" s="19">
        <v>0</v>
      </c>
      <c r="AB11" s="19">
        <v>0</v>
      </c>
      <c r="AC11" s="19">
        <v>18.3</v>
      </c>
      <c r="AD11" s="19">
        <v>4.8</v>
      </c>
      <c r="AE11" s="19">
        <v>0.2</v>
      </c>
      <c r="AF11" s="19">
        <v>0</v>
      </c>
      <c r="AG11" s="19">
        <v>18.3</v>
      </c>
      <c r="AH11" s="19">
        <v>5.2</v>
      </c>
      <c r="AI11" s="19">
        <v>1</v>
      </c>
      <c r="AJ11" s="19">
        <v>0</v>
      </c>
      <c r="AK11" s="27"/>
      <c r="AL11" s="40">
        <f t="shared" si="12"/>
        <v>9.1</v>
      </c>
      <c r="AM11" s="40">
        <f t="shared" si="13"/>
        <v>46.099999999999994</v>
      </c>
      <c r="AN11" s="40">
        <f t="shared" si="14"/>
        <v>10</v>
      </c>
      <c r="AO11" s="40">
        <f t="shared" si="15"/>
        <v>45.400000000000006</v>
      </c>
      <c r="AP11" s="40">
        <f t="shared" si="16"/>
        <v>91.5</v>
      </c>
      <c r="AQ11" s="18">
        <v>18.5</v>
      </c>
      <c r="AR11" s="18">
        <v>4.3</v>
      </c>
      <c r="AS11" s="18">
        <v>0</v>
      </c>
      <c r="AT11" s="18">
        <v>0</v>
      </c>
      <c r="AU11" s="18">
        <v>18.8</v>
      </c>
      <c r="AV11" s="18">
        <v>5.6</v>
      </c>
      <c r="AW11" s="18">
        <v>0.2</v>
      </c>
      <c r="AX11" s="18">
        <v>0</v>
      </c>
      <c r="AY11" s="18">
        <v>18.600000000000001</v>
      </c>
      <c r="AZ11" s="18">
        <v>5.2</v>
      </c>
      <c r="BA11" s="18">
        <v>0</v>
      </c>
      <c r="BB11" s="18">
        <v>0</v>
      </c>
      <c r="BC11" s="18">
        <v>18.899999999999999</v>
      </c>
      <c r="BD11" s="18">
        <v>4.3</v>
      </c>
      <c r="BE11" s="18">
        <v>0.6</v>
      </c>
      <c r="BF11" s="18">
        <v>0</v>
      </c>
      <c r="BG11" s="28"/>
      <c r="BH11" s="11">
        <f t="shared" si="17"/>
        <v>9.8999999999999986</v>
      </c>
      <c r="BI11" s="11">
        <f t="shared" si="18"/>
        <v>47</v>
      </c>
      <c r="BJ11" s="11">
        <f t="shared" si="19"/>
        <v>9.5</v>
      </c>
      <c r="BK11" s="11">
        <f t="shared" si="20"/>
        <v>46.4</v>
      </c>
      <c r="BL11" s="11">
        <f t="shared" si="21"/>
        <v>93.4</v>
      </c>
      <c r="BM11" s="19">
        <v>17.600000000000001</v>
      </c>
      <c r="BN11" s="19">
        <v>5.6</v>
      </c>
      <c r="BO11" s="19">
        <v>1</v>
      </c>
      <c r="BP11" s="19">
        <v>0</v>
      </c>
      <c r="BQ11" s="19">
        <v>18.399999999999999</v>
      </c>
      <c r="BR11" s="19">
        <v>6</v>
      </c>
      <c r="BS11" s="19">
        <v>0.4</v>
      </c>
      <c r="BT11" s="19">
        <v>0</v>
      </c>
      <c r="BU11" s="19">
        <v>16.5</v>
      </c>
      <c r="BV11" s="19">
        <v>6.4</v>
      </c>
      <c r="BW11" s="19">
        <v>0.4</v>
      </c>
      <c r="BX11" s="19">
        <v>0</v>
      </c>
      <c r="BY11" s="19">
        <v>18.600000000000001</v>
      </c>
      <c r="BZ11" s="19">
        <v>6</v>
      </c>
      <c r="CA11" s="19">
        <v>0.2</v>
      </c>
      <c r="CB11" s="19">
        <v>0</v>
      </c>
      <c r="CC11" s="27"/>
      <c r="CD11" s="40">
        <f t="shared" si="22"/>
        <v>11.6</v>
      </c>
      <c r="CE11" s="40">
        <f t="shared" si="23"/>
        <v>46.2</v>
      </c>
      <c r="CF11" s="40">
        <f t="shared" si="24"/>
        <v>12.4</v>
      </c>
      <c r="CG11" s="40">
        <f t="shared" si="25"/>
        <v>46.9</v>
      </c>
      <c r="CH11" s="40">
        <f t="shared" si="26"/>
        <v>93.1</v>
      </c>
      <c r="CI11" s="50" t="str">
        <f t="shared" si="27"/>
        <v/>
      </c>
      <c r="CJ11" s="50" t="str">
        <f t="shared" si="28"/>
        <v/>
      </c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40" t="str">
        <f t="shared" si="29"/>
        <v/>
      </c>
      <c r="DF11" s="40" t="str">
        <f t="shared" si="30"/>
        <v/>
      </c>
      <c r="DG11" s="40" t="str">
        <f t="shared" si="31"/>
        <v/>
      </c>
      <c r="DH11" s="40" t="str">
        <f t="shared" si="32"/>
        <v/>
      </c>
      <c r="DI11" s="40" t="str">
        <f t="shared" si="33"/>
        <v/>
      </c>
      <c r="DJ11" s="40" t="str">
        <f t="shared" si="34"/>
        <v/>
      </c>
      <c r="DK11" s="40" t="str">
        <f t="shared" si="35"/>
        <v/>
      </c>
      <c r="DL11" s="40" t="str">
        <f t="shared" si="36"/>
        <v/>
      </c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1" t="str">
        <f t="shared" si="37"/>
        <v/>
      </c>
      <c r="EH11" s="11" t="str">
        <f t="shared" si="38"/>
        <v/>
      </c>
      <c r="EI11" s="11" t="str">
        <f t="shared" si="39"/>
        <v/>
      </c>
      <c r="EJ11" s="11" t="str">
        <f t="shared" si="40"/>
        <v/>
      </c>
      <c r="EK11" s="11" t="str">
        <f t="shared" si="41"/>
        <v/>
      </c>
      <c r="EL11" s="11" t="str">
        <f t="shared" si="42"/>
        <v/>
      </c>
      <c r="EM11" s="11" t="str">
        <f t="shared" si="43"/>
        <v/>
      </c>
      <c r="EN11" s="11" t="str">
        <f t="shared" si="44"/>
        <v/>
      </c>
      <c r="EO11" s="17">
        <v>18.399999999999999</v>
      </c>
      <c r="EP11" s="17">
        <v>5.2</v>
      </c>
      <c r="EQ11" s="17">
        <v>0.2</v>
      </c>
      <c r="ER11" s="17">
        <v>0</v>
      </c>
      <c r="ES11" s="17">
        <v>18.399999999999999</v>
      </c>
      <c r="ET11" s="17">
        <v>3.6</v>
      </c>
      <c r="EU11" s="17">
        <v>0.2</v>
      </c>
      <c r="EV11" s="17">
        <v>0</v>
      </c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40">
        <f t="shared" si="45"/>
        <v>8.8000000000000007</v>
      </c>
      <c r="FJ11" s="40">
        <f t="shared" si="46"/>
        <v>45.199999999999996</v>
      </c>
      <c r="FK11" s="40" t="str">
        <f t="shared" si="47"/>
        <v/>
      </c>
      <c r="FL11" s="40">
        <f t="shared" si="48"/>
        <v>8.8000000000000007</v>
      </c>
      <c r="FM11" s="40">
        <f t="shared" si="49"/>
        <v>45.199999999999996</v>
      </c>
      <c r="FN11" s="40" t="str">
        <f t="shared" si="50"/>
        <v/>
      </c>
      <c r="FO11" s="40" t="str">
        <f t="shared" si="51"/>
        <v/>
      </c>
      <c r="FP11" s="40">
        <f t="shared" si="52"/>
        <v>45.199999999999996</v>
      </c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1" t="str">
        <f t="shared" si="53"/>
        <v/>
      </c>
      <c r="GL11" s="11" t="str">
        <f t="shared" si="54"/>
        <v/>
      </c>
      <c r="GM11" s="11" t="str">
        <f t="shared" si="55"/>
        <v/>
      </c>
      <c r="GN11" s="11" t="str">
        <f t="shared" si="56"/>
        <v/>
      </c>
      <c r="GO11" s="11" t="str">
        <f t="shared" si="57"/>
        <v/>
      </c>
      <c r="GP11" s="11" t="str">
        <f t="shared" si="58"/>
        <v/>
      </c>
      <c r="GQ11" s="11" t="str">
        <f t="shared" si="59"/>
        <v/>
      </c>
      <c r="GR11" s="11" t="str">
        <f t="shared" si="60"/>
        <v/>
      </c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40" t="str">
        <f t="shared" si="61"/>
        <v/>
      </c>
      <c r="HN11" s="40" t="str">
        <f t="shared" si="62"/>
        <v/>
      </c>
      <c r="HO11" s="40" t="str">
        <f t="shared" si="63"/>
        <v/>
      </c>
      <c r="HP11" s="40" t="str">
        <f t="shared" si="64"/>
        <v/>
      </c>
      <c r="HQ11" s="40" t="str">
        <f t="shared" si="65"/>
        <v/>
      </c>
      <c r="HR11" s="40" t="str">
        <f t="shared" si="66"/>
        <v/>
      </c>
      <c r="HS11" s="40" t="str">
        <f t="shared" si="67"/>
        <v/>
      </c>
      <c r="HT11" s="40" t="str">
        <f t="shared" si="68"/>
        <v/>
      </c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1" t="str">
        <f t="shared" si="69"/>
        <v/>
      </c>
      <c r="IP11" s="11" t="str">
        <f t="shared" si="70"/>
        <v/>
      </c>
      <c r="IQ11" s="11" t="str">
        <f t="shared" si="71"/>
        <v/>
      </c>
      <c r="IR11" s="11" t="str">
        <f t="shared" si="72"/>
        <v/>
      </c>
      <c r="IS11" s="11" t="str">
        <f t="shared" si="73"/>
        <v/>
      </c>
      <c r="IT11" s="11" t="str">
        <f t="shared" si="74"/>
        <v/>
      </c>
      <c r="IU11" s="11" t="str">
        <f t="shared" si="75"/>
        <v/>
      </c>
      <c r="IV11" s="11" t="str">
        <f t="shared" si="76"/>
        <v/>
      </c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40" t="str">
        <f t="shared" si="77"/>
        <v/>
      </c>
      <c r="JR11" s="40" t="str">
        <f t="shared" si="78"/>
        <v/>
      </c>
      <c r="JS11" s="40" t="str">
        <f t="shared" si="79"/>
        <v/>
      </c>
      <c r="JT11" s="40" t="str">
        <f t="shared" si="80"/>
        <v/>
      </c>
      <c r="JU11" s="40" t="str">
        <f t="shared" si="81"/>
        <v/>
      </c>
      <c r="JV11" s="40" t="str">
        <f t="shared" si="82"/>
        <v/>
      </c>
      <c r="JW11" s="40" t="str">
        <f t="shared" si="83"/>
        <v/>
      </c>
      <c r="JX11" s="40" t="str">
        <f t="shared" si="84"/>
        <v/>
      </c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1" t="str">
        <f t="shared" si="85"/>
        <v/>
      </c>
      <c r="KT11" s="11" t="str">
        <f t="shared" si="86"/>
        <v/>
      </c>
      <c r="KU11" s="11" t="str">
        <f t="shared" si="87"/>
        <v/>
      </c>
      <c r="KV11" s="11" t="str">
        <f t="shared" si="88"/>
        <v/>
      </c>
      <c r="KW11" s="11" t="str">
        <f t="shared" si="89"/>
        <v/>
      </c>
      <c r="KX11" s="11" t="str">
        <f t="shared" si="90"/>
        <v/>
      </c>
      <c r="KY11" s="11" t="str">
        <f t="shared" si="91"/>
        <v/>
      </c>
      <c r="KZ11" s="11" t="str">
        <f t="shared" si="92"/>
        <v/>
      </c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40" t="str">
        <f t="shared" si="93"/>
        <v/>
      </c>
      <c r="LV11" s="40" t="str">
        <f t="shared" si="94"/>
        <v/>
      </c>
      <c r="LW11" s="40" t="str">
        <f t="shared" si="95"/>
        <v/>
      </c>
      <c r="LX11" s="40" t="str">
        <f t="shared" si="96"/>
        <v/>
      </c>
      <c r="LY11" s="40" t="str">
        <f t="shared" si="97"/>
        <v/>
      </c>
      <c r="LZ11" s="40" t="str">
        <f t="shared" si="98"/>
        <v/>
      </c>
      <c r="MA11" s="40" t="str">
        <f t="shared" si="99"/>
        <v/>
      </c>
      <c r="MB11" s="40" t="str">
        <f t="shared" si="100"/>
        <v/>
      </c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1" t="str">
        <f t="shared" si="101"/>
        <v/>
      </c>
      <c r="MX11" s="11" t="str">
        <f t="shared" si="102"/>
        <v/>
      </c>
      <c r="MY11" s="11" t="str">
        <f t="shared" si="103"/>
        <v/>
      </c>
      <c r="MZ11" s="11" t="str">
        <f t="shared" si="104"/>
        <v/>
      </c>
      <c r="NA11" s="11" t="str">
        <f t="shared" si="105"/>
        <v/>
      </c>
      <c r="NB11" s="11" t="str">
        <f t="shared" si="106"/>
        <v/>
      </c>
      <c r="NC11" s="11" t="str">
        <f t="shared" si="107"/>
        <v/>
      </c>
      <c r="ND11" s="11" t="str">
        <f t="shared" si="108"/>
        <v/>
      </c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40" t="str">
        <f t="shared" si="109"/>
        <v/>
      </c>
      <c r="NZ11" s="40" t="str">
        <f t="shared" si="110"/>
        <v/>
      </c>
      <c r="OA11" s="40" t="str">
        <f t="shared" si="111"/>
        <v/>
      </c>
      <c r="OB11" s="40" t="str">
        <f t="shared" si="112"/>
        <v/>
      </c>
      <c r="OC11" s="40" t="str">
        <f t="shared" si="113"/>
        <v/>
      </c>
      <c r="OD11" s="40" t="str">
        <f t="shared" si="114"/>
        <v/>
      </c>
      <c r="OE11" s="40" t="str">
        <f t="shared" si="115"/>
        <v/>
      </c>
      <c r="OF11" s="40" t="str">
        <f t="shared" si="116"/>
        <v/>
      </c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1" t="str">
        <f t="shared" si="117"/>
        <v/>
      </c>
      <c r="PB11" s="11" t="str">
        <f t="shared" si="118"/>
        <v/>
      </c>
      <c r="PC11" s="11" t="str">
        <f t="shared" si="119"/>
        <v/>
      </c>
      <c r="PD11" s="11" t="str">
        <f t="shared" si="120"/>
        <v/>
      </c>
      <c r="PE11" s="11" t="str">
        <f t="shared" si="121"/>
        <v/>
      </c>
      <c r="PF11" s="11" t="str">
        <f t="shared" si="122"/>
        <v/>
      </c>
      <c r="PG11" s="11" t="str">
        <f t="shared" si="123"/>
        <v/>
      </c>
      <c r="PH11" s="11" t="str">
        <f t="shared" si="124"/>
        <v/>
      </c>
      <c r="PI11" s="22">
        <f t="shared" si="125"/>
        <v>17.600000000000001</v>
      </c>
      <c r="PJ11" s="22">
        <f t="shared" si="126"/>
        <v>5.6</v>
      </c>
      <c r="PK11" s="22">
        <f t="shared" si="127"/>
        <v>1</v>
      </c>
      <c r="PL11" s="22">
        <f t="shared" si="128"/>
        <v>0</v>
      </c>
      <c r="PM11" s="22">
        <f t="shared" si="129"/>
        <v>18.399999999999999</v>
      </c>
      <c r="PN11" s="22">
        <f t="shared" si="130"/>
        <v>6</v>
      </c>
      <c r="PO11" s="22">
        <f t="shared" si="131"/>
        <v>0.4</v>
      </c>
      <c r="PP11" s="22">
        <f t="shared" si="132"/>
        <v>0</v>
      </c>
      <c r="PQ11" s="22">
        <f t="shared" si="133"/>
        <v>16.5</v>
      </c>
      <c r="PR11" s="22">
        <f t="shared" si="134"/>
        <v>6.4</v>
      </c>
      <c r="PS11" s="22">
        <f t="shared" si="135"/>
        <v>0.4</v>
      </c>
      <c r="PT11" s="22">
        <f t="shared" si="136"/>
        <v>0</v>
      </c>
      <c r="PU11" s="22">
        <f t="shared" si="137"/>
        <v>18.600000000000001</v>
      </c>
      <c r="PV11" s="22">
        <f t="shared" si="138"/>
        <v>6</v>
      </c>
      <c r="PW11" s="22">
        <f t="shared" si="139"/>
        <v>0.2</v>
      </c>
      <c r="PX11" s="22">
        <f t="shared" si="140"/>
        <v>0</v>
      </c>
      <c r="PY11" s="27" t="s">
        <v>46</v>
      </c>
      <c r="PZ11" s="40">
        <f t="shared" si="141"/>
        <v>11.6</v>
      </c>
      <c r="QA11" s="40">
        <f t="shared" si="142"/>
        <v>46.2</v>
      </c>
      <c r="QB11" s="40">
        <f t="shared" si="143"/>
        <v>12.4</v>
      </c>
      <c r="QC11" s="40">
        <f t="shared" si="144"/>
        <v>46.9</v>
      </c>
      <c r="QD11" s="40">
        <f t="shared" si="145"/>
        <v>93.1</v>
      </c>
    </row>
    <row r="12" spans="1:446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6</v>
      </c>
      <c r="C12" s="5" t="s">
        <v>149</v>
      </c>
      <c r="D12" s="4" t="s">
        <v>4</v>
      </c>
      <c r="E12" s="4">
        <v>2008</v>
      </c>
      <c r="F12" s="9">
        <f t="shared" si="0"/>
        <v>133.40000950000487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Worlds Team</v>
      </c>
      <c r="K12" s="3" t="str">
        <f t="shared" si="4"/>
        <v>P</v>
      </c>
      <c r="L12" s="8">
        <f>IF(COUNT(AM12,BI12,CE12)&gt;0,LARGE((AM12,BI12,CE12),1),0)</f>
        <v>48.5</v>
      </c>
      <c r="M12" s="8" t="str">
        <f t="shared" si="5"/>
        <v>2025 Elite Canada</v>
      </c>
      <c r="N12" s="8">
        <f>IF(COUNT(AM12,BI12,CE12)&gt;1,LARGE((AM12,BI12,CE12),2),0)</f>
        <v>46.5</v>
      </c>
      <c r="O12" s="8" t="str">
        <f t="shared" si="6"/>
        <v>2025 3rd Domestic Trial</v>
      </c>
      <c r="P12" s="8">
        <f t="shared" si="7"/>
        <v>38.400000000000006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18.5</v>
      </c>
      <c r="Z12" s="19">
        <v>5.6</v>
      </c>
      <c r="AA12" s="19">
        <v>0</v>
      </c>
      <c r="AB12" s="19">
        <v>0</v>
      </c>
      <c r="AC12" s="19">
        <v>16.600000000000001</v>
      </c>
      <c r="AD12" s="19">
        <v>4.8</v>
      </c>
      <c r="AE12" s="19">
        <v>0.8</v>
      </c>
      <c r="AF12" s="19">
        <v>0</v>
      </c>
      <c r="AG12" s="19">
        <v>15.4</v>
      </c>
      <c r="AH12" s="19">
        <v>2.4</v>
      </c>
      <c r="AI12" s="19">
        <v>0</v>
      </c>
      <c r="AJ12" s="19">
        <v>0</v>
      </c>
      <c r="AK12" s="27"/>
      <c r="AL12" s="40">
        <f t="shared" si="12"/>
        <v>11.2</v>
      </c>
      <c r="AM12" s="40">
        <f t="shared" si="13"/>
        <v>48.5</v>
      </c>
      <c r="AN12" s="40">
        <f t="shared" si="14"/>
        <v>7.1999999999999993</v>
      </c>
      <c r="AO12" s="40">
        <f t="shared" si="15"/>
        <v>38.400000000000006</v>
      </c>
      <c r="AP12" s="40">
        <f t="shared" si="16"/>
        <v>86.9</v>
      </c>
      <c r="AQ12" s="18">
        <v>15.2</v>
      </c>
      <c r="AR12" s="18">
        <v>2.4</v>
      </c>
      <c r="AS12" s="18">
        <v>0</v>
      </c>
      <c r="AT12" s="18">
        <v>0</v>
      </c>
      <c r="AU12" s="18">
        <v>15.3</v>
      </c>
      <c r="AV12" s="18">
        <v>0</v>
      </c>
      <c r="AW12" s="18">
        <v>0</v>
      </c>
      <c r="AX12" s="18">
        <v>0</v>
      </c>
      <c r="AY12" s="18"/>
      <c r="AZ12" s="18"/>
      <c r="BA12" s="18"/>
      <c r="BB12" s="18"/>
      <c r="BC12" s="18"/>
      <c r="BD12" s="18"/>
      <c r="BE12" s="18"/>
      <c r="BF12" s="18"/>
      <c r="BG12" s="28"/>
      <c r="BH12" s="11">
        <f t="shared" si="17"/>
        <v>2.4</v>
      </c>
      <c r="BI12" s="11">
        <f t="shared" si="18"/>
        <v>32.9</v>
      </c>
      <c r="BJ12" s="11" t="str">
        <f t="shared" si="19"/>
        <v/>
      </c>
      <c r="BK12" s="11" t="str">
        <f t="shared" si="20"/>
        <v/>
      </c>
      <c r="BL12" s="11">
        <f t="shared" si="21"/>
        <v>32.9</v>
      </c>
      <c r="BM12" s="19">
        <v>18.600000000000001</v>
      </c>
      <c r="BN12" s="19">
        <v>5.6</v>
      </c>
      <c r="BO12" s="19">
        <v>0.2</v>
      </c>
      <c r="BP12" s="19">
        <v>0</v>
      </c>
      <c r="BQ12" s="19">
        <v>17.3</v>
      </c>
      <c r="BR12" s="19">
        <v>6</v>
      </c>
      <c r="BS12" s="19">
        <v>0.8</v>
      </c>
      <c r="BT12" s="19">
        <v>0</v>
      </c>
      <c r="BU12" s="19">
        <v>0</v>
      </c>
      <c r="BV12" s="19">
        <v>0</v>
      </c>
      <c r="BW12" s="19">
        <v>0</v>
      </c>
      <c r="BX12" s="19">
        <v>0</v>
      </c>
      <c r="BY12" s="19">
        <v>18.399999999999999</v>
      </c>
      <c r="BZ12" s="19">
        <v>5.2</v>
      </c>
      <c r="CA12" s="19">
        <v>0.2</v>
      </c>
      <c r="CB12" s="19">
        <v>0</v>
      </c>
      <c r="CC12" s="27"/>
      <c r="CD12" s="40">
        <f t="shared" si="22"/>
        <v>11.6</v>
      </c>
      <c r="CE12" s="40">
        <f t="shared" si="23"/>
        <v>46.5</v>
      </c>
      <c r="CF12" s="40">
        <f t="shared" si="24"/>
        <v>5.2</v>
      </c>
      <c r="CG12" s="40">
        <f t="shared" si="25"/>
        <v>23.4</v>
      </c>
      <c r="CH12" s="40">
        <f t="shared" si="26"/>
        <v>69.900000000000006</v>
      </c>
      <c r="CI12" s="50" t="str">
        <f t="shared" si="27"/>
        <v/>
      </c>
      <c r="CJ12" s="50" t="str">
        <f t="shared" si="28"/>
        <v/>
      </c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40" t="str">
        <f t="shared" si="29"/>
        <v/>
      </c>
      <c r="DF12" s="40" t="str">
        <f t="shared" si="30"/>
        <v/>
      </c>
      <c r="DG12" s="40" t="str">
        <f t="shared" si="31"/>
        <v/>
      </c>
      <c r="DH12" s="40" t="str">
        <f t="shared" si="32"/>
        <v/>
      </c>
      <c r="DI12" s="40" t="str">
        <f t="shared" si="33"/>
        <v/>
      </c>
      <c r="DJ12" s="40" t="str">
        <f t="shared" si="34"/>
        <v/>
      </c>
      <c r="DK12" s="40" t="str">
        <f t="shared" si="35"/>
        <v/>
      </c>
      <c r="DL12" s="40" t="str">
        <f t="shared" si="36"/>
        <v/>
      </c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1" t="str">
        <f t="shared" si="37"/>
        <v/>
      </c>
      <c r="EH12" s="11" t="str">
        <f t="shared" si="38"/>
        <v/>
      </c>
      <c r="EI12" s="11" t="str">
        <f t="shared" si="39"/>
        <v/>
      </c>
      <c r="EJ12" s="11" t="str">
        <f t="shared" si="40"/>
        <v/>
      </c>
      <c r="EK12" s="11" t="str">
        <f t="shared" si="41"/>
        <v/>
      </c>
      <c r="EL12" s="11" t="str">
        <f t="shared" si="42"/>
        <v/>
      </c>
      <c r="EM12" s="11" t="str">
        <f t="shared" si="43"/>
        <v/>
      </c>
      <c r="EN12" s="11" t="str">
        <f t="shared" si="44"/>
        <v/>
      </c>
      <c r="EO12" s="17">
        <v>18</v>
      </c>
      <c r="EP12" s="17">
        <v>4.8</v>
      </c>
      <c r="EQ12" s="17">
        <v>0.6</v>
      </c>
      <c r="ER12" s="17">
        <v>0</v>
      </c>
      <c r="ES12" s="17">
        <v>17.899999999999999</v>
      </c>
      <c r="ET12" s="17">
        <v>5.2</v>
      </c>
      <c r="EU12" s="17">
        <v>0.2</v>
      </c>
      <c r="EV12" s="17">
        <v>0</v>
      </c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40">
        <f t="shared" si="45"/>
        <v>10</v>
      </c>
      <c r="FJ12" s="40">
        <f t="shared" si="46"/>
        <v>45.1</v>
      </c>
      <c r="FK12" s="40" t="str">
        <f t="shared" si="47"/>
        <v/>
      </c>
      <c r="FL12" s="40">
        <f t="shared" si="48"/>
        <v>10</v>
      </c>
      <c r="FM12" s="40">
        <f t="shared" si="49"/>
        <v>45.1</v>
      </c>
      <c r="FN12" s="40" t="str">
        <f t="shared" si="50"/>
        <v/>
      </c>
      <c r="FO12" s="40" t="str">
        <f t="shared" si="51"/>
        <v/>
      </c>
      <c r="FP12" s="40">
        <f t="shared" si="52"/>
        <v>45.1</v>
      </c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1" t="str">
        <f t="shared" si="53"/>
        <v/>
      </c>
      <c r="GL12" s="11" t="str">
        <f t="shared" si="54"/>
        <v/>
      </c>
      <c r="GM12" s="11" t="str">
        <f t="shared" si="55"/>
        <v/>
      </c>
      <c r="GN12" s="11" t="str">
        <f t="shared" si="56"/>
        <v/>
      </c>
      <c r="GO12" s="11" t="str">
        <f t="shared" si="57"/>
        <v/>
      </c>
      <c r="GP12" s="11" t="str">
        <f t="shared" si="58"/>
        <v/>
      </c>
      <c r="GQ12" s="11" t="str">
        <f t="shared" si="59"/>
        <v/>
      </c>
      <c r="GR12" s="11" t="str">
        <f t="shared" si="60"/>
        <v/>
      </c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40" t="str">
        <f t="shared" si="61"/>
        <v/>
      </c>
      <c r="HN12" s="40" t="str">
        <f t="shared" si="62"/>
        <v/>
      </c>
      <c r="HO12" s="40" t="str">
        <f t="shared" si="63"/>
        <v/>
      </c>
      <c r="HP12" s="40" t="str">
        <f t="shared" si="64"/>
        <v/>
      </c>
      <c r="HQ12" s="40" t="str">
        <f t="shared" si="65"/>
        <v/>
      </c>
      <c r="HR12" s="40" t="str">
        <f t="shared" si="66"/>
        <v/>
      </c>
      <c r="HS12" s="40" t="str">
        <f t="shared" si="67"/>
        <v/>
      </c>
      <c r="HT12" s="40" t="str">
        <f t="shared" si="68"/>
        <v/>
      </c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1" t="str">
        <f t="shared" si="69"/>
        <v/>
      </c>
      <c r="IP12" s="11" t="str">
        <f t="shared" si="70"/>
        <v/>
      </c>
      <c r="IQ12" s="11" t="str">
        <f t="shared" si="71"/>
        <v/>
      </c>
      <c r="IR12" s="11" t="str">
        <f t="shared" si="72"/>
        <v/>
      </c>
      <c r="IS12" s="11" t="str">
        <f t="shared" si="73"/>
        <v/>
      </c>
      <c r="IT12" s="11" t="str">
        <f t="shared" si="74"/>
        <v/>
      </c>
      <c r="IU12" s="11" t="str">
        <f t="shared" si="75"/>
        <v/>
      </c>
      <c r="IV12" s="11" t="str">
        <f t="shared" si="76"/>
        <v/>
      </c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40" t="str">
        <f t="shared" si="77"/>
        <v/>
      </c>
      <c r="JR12" s="40" t="str">
        <f t="shared" si="78"/>
        <v/>
      </c>
      <c r="JS12" s="40" t="str">
        <f t="shared" si="79"/>
        <v/>
      </c>
      <c r="JT12" s="40" t="str">
        <f t="shared" si="80"/>
        <v/>
      </c>
      <c r="JU12" s="40" t="str">
        <f t="shared" si="81"/>
        <v/>
      </c>
      <c r="JV12" s="40" t="str">
        <f t="shared" si="82"/>
        <v/>
      </c>
      <c r="JW12" s="40" t="str">
        <f t="shared" si="83"/>
        <v/>
      </c>
      <c r="JX12" s="40" t="str">
        <f t="shared" si="84"/>
        <v/>
      </c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1" t="str">
        <f t="shared" si="85"/>
        <v/>
      </c>
      <c r="KT12" s="11" t="str">
        <f t="shared" si="86"/>
        <v/>
      </c>
      <c r="KU12" s="11" t="str">
        <f t="shared" si="87"/>
        <v/>
      </c>
      <c r="KV12" s="11" t="str">
        <f t="shared" si="88"/>
        <v/>
      </c>
      <c r="KW12" s="11" t="str">
        <f t="shared" si="89"/>
        <v/>
      </c>
      <c r="KX12" s="11" t="str">
        <f t="shared" si="90"/>
        <v/>
      </c>
      <c r="KY12" s="11" t="str">
        <f t="shared" si="91"/>
        <v/>
      </c>
      <c r="KZ12" s="11" t="str">
        <f t="shared" si="92"/>
        <v/>
      </c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40" t="str">
        <f t="shared" si="93"/>
        <v/>
      </c>
      <c r="LV12" s="40" t="str">
        <f t="shared" si="94"/>
        <v/>
      </c>
      <c r="LW12" s="40" t="str">
        <f t="shared" si="95"/>
        <v/>
      </c>
      <c r="LX12" s="40" t="str">
        <f t="shared" si="96"/>
        <v/>
      </c>
      <c r="LY12" s="40" t="str">
        <f t="shared" si="97"/>
        <v/>
      </c>
      <c r="LZ12" s="40" t="str">
        <f t="shared" si="98"/>
        <v/>
      </c>
      <c r="MA12" s="40" t="str">
        <f t="shared" si="99"/>
        <v/>
      </c>
      <c r="MB12" s="40" t="str">
        <f t="shared" si="100"/>
        <v/>
      </c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1" t="str">
        <f t="shared" si="101"/>
        <v/>
      </c>
      <c r="MX12" s="11" t="str">
        <f t="shared" si="102"/>
        <v/>
      </c>
      <c r="MY12" s="11" t="str">
        <f t="shared" si="103"/>
        <v/>
      </c>
      <c r="MZ12" s="11" t="str">
        <f t="shared" si="104"/>
        <v/>
      </c>
      <c r="NA12" s="11" t="str">
        <f t="shared" si="105"/>
        <v/>
      </c>
      <c r="NB12" s="11" t="str">
        <f t="shared" si="106"/>
        <v/>
      </c>
      <c r="NC12" s="11" t="str">
        <f t="shared" si="107"/>
        <v/>
      </c>
      <c r="ND12" s="11" t="str">
        <f t="shared" si="108"/>
        <v/>
      </c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40" t="str">
        <f t="shared" si="109"/>
        <v/>
      </c>
      <c r="NZ12" s="40" t="str">
        <f t="shared" si="110"/>
        <v/>
      </c>
      <c r="OA12" s="40" t="str">
        <f t="shared" si="111"/>
        <v/>
      </c>
      <c r="OB12" s="40" t="str">
        <f t="shared" si="112"/>
        <v/>
      </c>
      <c r="OC12" s="40" t="str">
        <f t="shared" si="113"/>
        <v/>
      </c>
      <c r="OD12" s="40" t="str">
        <f t="shared" si="114"/>
        <v/>
      </c>
      <c r="OE12" s="40" t="str">
        <f t="shared" si="115"/>
        <v/>
      </c>
      <c r="OF12" s="40" t="str">
        <f t="shared" si="116"/>
        <v/>
      </c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1" t="str">
        <f t="shared" si="117"/>
        <v/>
      </c>
      <c r="PB12" s="11" t="str">
        <f t="shared" si="118"/>
        <v/>
      </c>
      <c r="PC12" s="11" t="str">
        <f t="shared" si="119"/>
        <v/>
      </c>
      <c r="PD12" s="11" t="str">
        <f t="shared" si="120"/>
        <v/>
      </c>
      <c r="PE12" s="11" t="str">
        <f t="shared" si="121"/>
        <v/>
      </c>
      <c r="PF12" s="11" t="str">
        <f t="shared" si="122"/>
        <v/>
      </c>
      <c r="PG12" s="11" t="str">
        <f t="shared" si="123"/>
        <v/>
      </c>
      <c r="PH12" s="11" t="str">
        <f t="shared" si="124"/>
        <v/>
      </c>
      <c r="PI12" s="22">
        <f t="shared" si="125"/>
        <v>18.600000000000001</v>
      </c>
      <c r="PJ12" s="22">
        <f t="shared" si="126"/>
        <v>5.6</v>
      </c>
      <c r="PK12" s="22">
        <f t="shared" si="127"/>
        <v>0.2</v>
      </c>
      <c r="PL12" s="22">
        <f t="shared" si="128"/>
        <v>0</v>
      </c>
      <c r="PM12" s="22">
        <f t="shared" si="129"/>
        <v>17.3</v>
      </c>
      <c r="PN12" s="22">
        <f t="shared" si="130"/>
        <v>6</v>
      </c>
      <c r="PO12" s="22">
        <f t="shared" si="131"/>
        <v>0.8</v>
      </c>
      <c r="PP12" s="22">
        <f t="shared" si="132"/>
        <v>0</v>
      </c>
      <c r="PQ12" s="22">
        <f t="shared" si="133"/>
        <v>0</v>
      </c>
      <c r="PR12" s="22">
        <f t="shared" si="134"/>
        <v>0</v>
      </c>
      <c r="PS12" s="22">
        <f t="shared" si="135"/>
        <v>0</v>
      </c>
      <c r="PT12" s="22">
        <f t="shared" si="136"/>
        <v>0</v>
      </c>
      <c r="PU12" s="22">
        <f t="shared" si="137"/>
        <v>18.399999999999999</v>
      </c>
      <c r="PV12" s="22">
        <f t="shared" si="138"/>
        <v>5.2</v>
      </c>
      <c r="PW12" s="22">
        <f t="shared" si="139"/>
        <v>0.2</v>
      </c>
      <c r="PX12" s="22">
        <f t="shared" si="140"/>
        <v>0</v>
      </c>
      <c r="PY12" s="27" t="s">
        <v>46</v>
      </c>
      <c r="PZ12" s="40">
        <f t="shared" si="141"/>
        <v>11.6</v>
      </c>
      <c r="QA12" s="40">
        <f t="shared" si="142"/>
        <v>46.5</v>
      </c>
      <c r="QB12" s="40">
        <f t="shared" si="143"/>
        <v>5.2</v>
      </c>
      <c r="QC12" s="40">
        <f t="shared" si="144"/>
        <v>23.4</v>
      </c>
      <c r="QD12" s="40">
        <f t="shared" si="145"/>
        <v>69.900000000000006</v>
      </c>
    </row>
    <row r="13" spans="1:446" x14ac:dyDescent="0.2">
      <c r="A13" s="4" t="str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/>
      </c>
      <c r="B13" s="4" t="str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/>
      </c>
      <c r="C13" s="5" t="s">
        <v>94</v>
      </c>
      <c r="D13" s="4" t="s">
        <v>5</v>
      </c>
      <c r="E13" s="4">
        <v>2005</v>
      </c>
      <c r="F13" s="9">
        <f t="shared" si="0"/>
        <v>139.50000928000466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IF(COUNT(AM13,BI13,CE13)&gt;0,LARGE((AM13,BI13,CE13),1),0)</f>
        <v>46.6</v>
      </c>
      <c r="M13" s="8" t="str">
        <f t="shared" si="5"/>
        <v>2025 Nationals</v>
      </c>
      <c r="N13" s="8">
        <f>IF(COUNT(AM13,BI13,CE13)&gt;1,LARGE((AM13,BI13,CE13),2),0)</f>
        <v>46.199999999999996</v>
      </c>
      <c r="O13" s="8" t="str">
        <f t="shared" si="6"/>
        <v>2025 Elite Canada</v>
      </c>
      <c r="P13" s="8">
        <f t="shared" si="7"/>
        <v>46.7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18.3</v>
      </c>
      <c r="V13" s="19">
        <v>4.8</v>
      </c>
      <c r="W13" s="19">
        <v>0</v>
      </c>
      <c r="X13" s="19">
        <v>0.3</v>
      </c>
      <c r="Y13" s="19">
        <v>18.600000000000001</v>
      </c>
      <c r="Z13" s="19">
        <v>4.8</v>
      </c>
      <c r="AA13" s="19">
        <v>0.6</v>
      </c>
      <c r="AB13" s="19">
        <v>0</v>
      </c>
      <c r="AC13" s="19">
        <v>18.100000000000001</v>
      </c>
      <c r="AD13" s="19">
        <v>4.8</v>
      </c>
      <c r="AE13" s="19">
        <v>0</v>
      </c>
      <c r="AF13" s="19">
        <v>0.3</v>
      </c>
      <c r="AG13" s="19">
        <v>18.100000000000001</v>
      </c>
      <c r="AH13" s="19">
        <v>4.8</v>
      </c>
      <c r="AI13" s="19">
        <v>0</v>
      </c>
      <c r="AJ13" s="19">
        <v>0</v>
      </c>
      <c r="AK13" s="27"/>
      <c r="AL13" s="40">
        <f t="shared" si="12"/>
        <v>9.6</v>
      </c>
      <c r="AM13" s="40">
        <f t="shared" si="13"/>
        <v>46.199999999999996</v>
      </c>
      <c r="AN13" s="40">
        <f t="shared" si="14"/>
        <v>9.6</v>
      </c>
      <c r="AO13" s="40">
        <f t="shared" si="15"/>
        <v>46.1</v>
      </c>
      <c r="AP13" s="40">
        <f t="shared" si="16"/>
        <v>92.3</v>
      </c>
      <c r="AQ13" s="18">
        <v>18.3</v>
      </c>
      <c r="AR13" s="18">
        <v>5.2</v>
      </c>
      <c r="AS13" s="18">
        <v>0.6</v>
      </c>
      <c r="AT13" s="18">
        <v>0</v>
      </c>
      <c r="AU13" s="18">
        <v>18.5</v>
      </c>
      <c r="AV13" s="18">
        <v>5.2</v>
      </c>
      <c r="AW13" s="18">
        <v>0</v>
      </c>
      <c r="AX13" s="18">
        <v>0</v>
      </c>
      <c r="AY13" s="18">
        <v>18.5</v>
      </c>
      <c r="AZ13" s="18">
        <v>5.2</v>
      </c>
      <c r="BA13" s="18">
        <v>0.2</v>
      </c>
      <c r="BB13" s="18">
        <v>0</v>
      </c>
      <c r="BC13" s="18">
        <v>18.2</v>
      </c>
      <c r="BD13" s="18">
        <v>5.2</v>
      </c>
      <c r="BE13" s="18">
        <v>0.2</v>
      </c>
      <c r="BF13" s="18">
        <v>0</v>
      </c>
      <c r="BG13" s="28"/>
      <c r="BH13" s="11">
        <f t="shared" si="17"/>
        <v>10.4</v>
      </c>
      <c r="BI13" s="11">
        <f t="shared" si="18"/>
        <v>46.6</v>
      </c>
      <c r="BJ13" s="11">
        <f t="shared" si="19"/>
        <v>10.4</v>
      </c>
      <c r="BK13" s="11">
        <f t="shared" si="20"/>
        <v>46.7</v>
      </c>
      <c r="BL13" s="11">
        <f t="shared" si="21"/>
        <v>93.300000000000011</v>
      </c>
      <c r="BM13" s="19">
        <v>18.3</v>
      </c>
      <c r="BN13" s="19">
        <v>4.8</v>
      </c>
      <c r="BO13" s="19">
        <v>0</v>
      </c>
      <c r="BP13" s="19">
        <v>0</v>
      </c>
      <c r="BQ13" s="19">
        <v>18.3</v>
      </c>
      <c r="BR13" s="19">
        <v>2</v>
      </c>
      <c r="BS13" s="19">
        <v>1.2</v>
      </c>
      <c r="BT13" s="19">
        <v>0</v>
      </c>
      <c r="BU13" s="19">
        <v>18</v>
      </c>
      <c r="BV13" s="19">
        <v>3.3</v>
      </c>
      <c r="BW13" s="19">
        <v>1.6</v>
      </c>
      <c r="BX13" s="19">
        <v>0</v>
      </c>
      <c r="BY13" s="19">
        <v>18.399999999999999</v>
      </c>
      <c r="BZ13" s="19">
        <v>4.4000000000000004</v>
      </c>
      <c r="CA13" s="19">
        <v>0.4</v>
      </c>
      <c r="CB13" s="19">
        <v>0</v>
      </c>
      <c r="CC13" s="27"/>
      <c r="CD13" s="40">
        <f t="shared" si="22"/>
        <v>6.8</v>
      </c>
      <c r="CE13" s="40">
        <f t="shared" si="23"/>
        <v>42.2</v>
      </c>
      <c r="CF13" s="40">
        <f t="shared" si="24"/>
        <v>7.7</v>
      </c>
      <c r="CG13" s="40">
        <f t="shared" si="25"/>
        <v>42.1</v>
      </c>
      <c r="CH13" s="40">
        <f t="shared" si="26"/>
        <v>84.300000000000011</v>
      </c>
      <c r="CI13" s="50" t="str">
        <f t="shared" si="27"/>
        <v/>
      </c>
      <c r="CJ13" s="50" t="str">
        <f t="shared" si="28"/>
        <v/>
      </c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40" t="str">
        <f t="shared" si="29"/>
        <v/>
      </c>
      <c r="DF13" s="40" t="str">
        <f t="shared" si="30"/>
        <v/>
      </c>
      <c r="DG13" s="40" t="str">
        <f t="shared" si="31"/>
        <v/>
      </c>
      <c r="DH13" s="40" t="str">
        <f t="shared" si="32"/>
        <v/>
      </c>
      <c r="DI13" s="40" t="str">
        <f t="shared" si="33"/>
        <v/>
      </c>
      <c r="DJ13" s="40" t="str">
        <f t="shared" si="34"/>
        <v/>
      </c>
      <c r="DK13" s="40" t="str">
        <f t="shared" si="35"/>
        <v/>
      </c>
      <c r="DL13" s="40" t="str">
        <f t="shared" si="36"/>
        <v/>
      </c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1" t="str">
        <f t="shared" si="37"/>
        <v/>
      </c>
      <c r="EH13" s="11" t="str">
        <f t="shared" si="38"/>
        <v/>
      </c>
      <c r="EI13" s="11" t="str">
        <f t="shared" si="39"/>
        <v/>
      </c>
      <c r="EJ13" s="11" t="str">
        <f t="shared" si="40"/>
        <v/>
      </c>
      <c r="EK13" s="11" t="str">
        <f t="shared" si="41"/>
        <v/>
      </c>
      <c r="EL13" s="11" t="str">
        <f t="shared" si="42"/>
        <v/>
      </c>
      <c r="EM13" s="11" t="str">
        <f t="shared" si="43"/>
        <v/>
      </c>
      <c r="EN13" s="11" t="str">
        <f t="shared" si="44"/>
        <v/>
      </c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40" t="str">
        <f t="shared" si="45"/>
        <v/>
      </c>
      <c r="FJ13" s="40" t="str">
        <f t="shared" si="46"/>
        <v/>
      </c>
      <c r="FK13" s="40" t="str">
        <f t="shared" si="47"/>
        <v/>
      </c>
      <c r="FL13" s="40" t="str">
        <f t="shared" si="48"/>
        <v/>
      </c>
      <c r="FM13" s="40" t="str">
        <f t="shared" si="49"/>
        <v/>
      </c>
      <c r="FN13" s="40" t="str">
        <f t="shared" si="50"/>
        <v/>
      </c>
      <c r="FO13" s="40" t="str">
        <f t="shared" si="51"/>
        <v/>
      </c>
      <c r="FP13" s="40" t="str">
        <f t="shared" si="52"/>
        <v/>
      </c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1" t="str">
        <f t="shared" si="53"/>
        <v/>
      </c>
      <c r="GL13" s="11" t="str">
        <f t="shared" si="54"/>
        <v/>
      </c>
      <c r="GM13" s="11" t="str">
        <f t="shared" si="55"/>
        <v/>
      </c>
      <c r="GN13" s="11" t="str">
        <f t="shared" si="56"/>
        <v/>
      </c>
      <c r="GO13" s="11" t="str">
        <f t="shared" si="57"/>
        <v/>
      </c>
      <c r="GP13" s="11" t="str">
        <f t="shared" si="58"/>
        <v/>
      </c>
      <c r="GQ13" s="11" t="str">
        <f t="shared" si="59"/>
        <v/>
      </c>
      <c r="GR13" s="11" t="str">
        <f t="shared" si="60"/>
        <v/>
      </c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40" t="str">
        <f t="shared" si="61"/>
        <v/>
      </c>
      <c r="HN13" s="40" t="str">
        <f t="shared" si="62"/>
        <v/>
      </c>
      <c r="HO13" s="40" t="str">
        <f t="shared" si="63"/>
        <v/>
      </c>
      <c r="HP13" s="40" t="str">
        <f t="shared" si="64"/>
        <v/>
      </c>
      <c r="HQ13" s="40" t="str">
        <f t="shared" si="65"/>
        <v/>
      </c>
      <c r="HR13" s="40" t="str">
        <f t="shared" si="66"/>
        <v/>
      </c>
      <c r="HS13" s="40" t="str">
        <f t="shared" si="67"/>
        <v/>
      </c>
      <c r="HT13" s="40" t="str">
        <f t="shared" si="68"/>
        <v/>
      </c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1" t="str">
        <f t="shared" si="69"/>
        <v/>
      </c>
      <c r="IP13" s="11" t="str">
        <f t="shared" si="70"/>
        <v/>
      </c>
      <c r="IQ13" s="11" t="str">
        <f t="shared" si="71"/>
        <v/>
      </c>
      <c r="IR13" s="11" t="str">
        <f t="shared" si="72"/>
        <v/>
      </c>
      <c r="IS13" s="11" t="str">
        <f t="shared" si="73"/>
        <v/>
      </c>
      <c r="IT13" s="11" t="str">
        <f t="shared" si="74"/>
        <v/>
      </c>
      <c r="IU13" s="11" t="str">
        <f t="shared" si="75"/>
        <v/>
      </c>
      <c r="IV13" s="11" t="str">
        <f t="shared" si="76"/>
        <v/>
      </c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40" t="str">
        <f t="shared" si="77"/>
        <v/>
      </c>
      <c r="JR13" s="40" t="str">
        <f t="shared" si="78"/>
        <v/>
      </c>
      <c r="JS13" s="40" t="str">
        <f t="shared" si="79"/>
        <v/>
      </c>
      <c r="JT13" s="40" t="str">
        <f t="shared" si="80"/>
        <v/>
      </c>
      <c r="JU13" s="40" t="str">
        <f t="shared" si="81"/>
        <v/>
      </c>
      <c r="JV13" s="40" t="str">
        <f t="shared" si="82"/>
        <v/>
      </c>
      <c r="JW13" s="40" t="str">
        <f t="shared" si="83"/>
        <v/>
      </c>
      <c r="JX13" s="40" t="str">
        <f t="shared" si="84"/>
        <v/>
      </c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1" t="str">
        <f t="shared" si="85"/>
        <v/>
      </c>
      <c r="KT13" s="11" t="str">
        <f t="shared" si="86"/>
        <v/>
      </c>
      <c r="KU13" s="11" t="str">
        <f t="shared" si="87"/>
        <v/>
      </c>
      <c r="KV13" s="11" t="str">
        <f t="shared" si="88"/>
        <v/>
      </c>
      <c r="KW13" s="11" t="str">
        <f t="shared" si="89"/>
        <v/>
      </c>
      <c r="KX13" s="11" t="str">
        <f t="shared" si="90"/>
        <v/>
      </c>
      <c r="KY13" s="11" t="str">
        <f t="shared" si="91"/>
        <v/>
      </c>
      <c r="KZ13" s="11" t="str">
        <f t="shared" si="92"/>
        <v/>
      </c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40" t="str">
        <f t="shared" si="93"/>
        <v/>
      </c>
      <c r="LV13" s="40" t="str">
        <f t="shared" si="94"/>
        <v/>
      </c>
      <c r="LW13" s="40" t="str">
        <f t="shared" si="95"/>
        <v/>
      </c>
      <c r="LX13" s="40" t="str">
        <f t="shared" si="96"/>
        <v/>
      </c>
      <c r="LY13" s="40" t="str">
        <f t="shared" si="97"/>
        <v/>
      </c>
      <c r="LZ13" s="40" t="str">
        <f t="shared" si="98"/>
        <v/>
      </c>
      <c r="MA13" s="40" t="str">
        <f t="shared" si="99"/>
        <v/>
      </c>
      <c r="MB13" s="40" t="str">
        <f t="shared" si="100"/>
        <v/>
      </c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1" t="str">
        <f t="shared" si="101"/>
        <v/>
      </c>
      <c r="MX13" s="11" t="str">
        <f t="shared" si="102"/>
        <v/>
      </c>
      <c r="MY13" s="11" t="str">
        <f t="shared" si="103"/>
        <v/>
      </c>
      <c r="MZ13" s="11" t="str">
        <f t="shared" si="104"/>
        <v/>
      </c>
      <c r="NA13" s="11" t="str">
        <f t="shared" si="105"/>
        <v/>
      </c>
      <c r="NB13" s="11" t="str">
        <f t="shared" si="106"/>
        <v/>
      </c>
      <c r="NC13" s="11" t="str">
        <f t="shared" si="107"/>
        <v/>
      </c>
      <c r="ND13" s="11" t="str">
        <f t="shared" si="108"/>
        <v/>
      </c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40" t="str">
        <f t="shared" si="109"/>
        <v/>
      </c>
      <c r="NZ13" s="40" t="str">
        <f t="shared" si="110"/>
        <v/>
      </c>
      <c r="OA13" s="40" t="str">
        <f t="shared" si="111"/>
        <v/>
      </c>
      <c r="OB13" s="40" t="str">
        <f t="shared" si="112"/>
        <v/>
      </c>
      <c r="OC13" s="40" t="str">
        <f t="shared" si="113"/>
        <v/>
      </c>
      <c r="OD13" s="40" t="str">
        <f t="shared" si="114"/>
        <v/>
      </c>
      <c r="OE13" s="40" t="str">
        <f t="shared" si="115"/>
        <v/>
      </c>
      <c r="OF13" s="40" t="str">
        <f t="shared" si="116"/>
        <v/>
      </c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1" t="str">
        <f t="shared" si="117"/>
        <v/>
      </c>
      <c r="PB13" s="11" t="str">
        <f t="shared" si="118"/>
        <v/>
      </c>
      <c r="PC13" s="11" t="str">
        <f t="shared" si="119"/>
        <v/>
      </c>
      <c r="PD13" s="11" t="str">
        <f t="shared" si="120"/>
        <v/>
      </c>
      <c r="PE13" s="11" t="str">
        <f t="shared" si="121"/>
        <v/>
      </c>
      <c r="PF13" s="11" t="str">
        <f t="shared" si="122"/>
        <v/>
      </c>
      <c r="PG13" s="11" t="str">
        <f t="shared" si="123"/>
        <v/>
      </c>
      <c r="PH13" s="11" t="str">
        <f t="shared" si="124"/>
        <v/>
      </c>
      <c r="PI13" s="22">
        <f t="shared" si="125"/>
        <v>18.3</v>
      </c>
      <c r="PJ13" s="22">
        <f t="shared" si="126"/>
        <v>4.8</v>
      </c>
      <c r="PK13" s="22">
        <f t="shared" si="127"/>
        <v>0</v>
      </c>
      <c r="PL13" s="22">
        <f t="shared" si="128"/>
        <v>0</v>
      </c>
      <c r="PM13" s="22">
        <f t="shared" si="129"/>
        <v>18.3</v>
      </c>
      <c r="PN13" s="22">
        <f t="shared" si="130"/>
        <v>2</v>
      </c>
      <c r="PO13" s="22">
        <f t="shared" si="131"/>
        <v>1.2</v>
      </c>
      <c r="PP13" s="22">
        <f t="shared" si="132"/>
        <v>0</v>
      </c>
      <c r="PQ13" s="22">
        <f t="shared" si="133"/>
        <v>18</v>
      </c>
      <c r="PR13" s="22">
        <f t="shared" si="134"/>
        <v>3.3</v>
      </c>
      <c r="PS13" s="22">
        <f t="shared" si="135"/>
        <v>1.6</v>
      </c>
      <c r="PT13" s="22">
        <f t="shared" si="136"/>
        <v>0</v>
      </c>
      <c r="PU13" s="22">
        <f t="shared" si="137"/>
        <v>18.399999999999999</v>
      </c>
      <c r="PV13" s="22">
        <f t="shared" si="138"/>
        <v>4.4000000000000004</v>
      </c>
      <c r="PW13" s="22">
        <f t="shared" si="139"/>
        <v>0.4</v>
      </c>
      <c r="PX13" s="22">
        <f t="shared" si="140"/>
        <v>0</v>
      </c>
      <c r="PY13" s="27" t="s">
        <v>46</v>
      </c>
      <c r="PZ13" s="40">
        <f t="shared" si="141"/>
        <v>6.8</v>
      </c>
      <c r="QA13" s="40">
        <f t="shared" si="142"/>
        <v>42.2</v>
      </c>
      <c r="QB13" s="40">
        <f t="shared" si="143"/>
        <v>7.7</v>
      </c>
      <c r="QC13" s="40">
        <f t="shared" si="144"/>
        <v>42.1</v>
      </c>
      <c r="QD13" s="40">
        <f t="shared" si="145"/>
        <v>84.300000000000011</v>
      </c>
    </row>
    <row r="14" spans="1:446" x14ac:dyDescent="0.2">
      <c r="A14" s="4" t="str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/>
      </c>
      <c r="B14" s="4" t="str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/>
      </c>
      <c r="C14" s="5" t="s">
        <v>165</v>
      </c>
      <c r="D14" s="4" t="s">
        <v>31</v>
      </c>
      <c r="E14" s="4">
        <v>2007</v>
      </c>
      <c r="F14" s="9">
        <f t="shared" si="0"/>
        <v>134.90000895000452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IF(COUNT(AM14,BI14,CE14)&gt;0,LARGE((AM14,BI14,CE14),1),0)</f>
        <v>45.099999999999994</v>
      </c>
      <c r="M14" s="8" t="str">
        <f t="shared" si="5"/>
        <v>2025 Elite Canada</v>
      </c>
      <c r="N14" s="8">
        <f>IF(COUNT(AM14,BI14,CE14)&gt;1,LARGE((AM14,BI14,CE14),2),0)</f>
        <v>44.4</v>
      </c>
      <c r="O14" s="8" t="str">
        <f t="shared" si="6"/>
        <v>2025 Nationals</v>
      </c>
      <c r="P14" s="8">
        <f t="shared" si="7"/>
        <v>45.4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18.3</v>
      </c>
      <c r="V14" s="19">
        <v>4.8</v>
      </c>
      <c r="W14" s="19">
        <v>1</v>
      </c>
      <c r="X14" s="19">
        <v>0.3</v>
      </c>
      <c r="Y14" s="19">
        <v>18.100000000000001</v>
      </c>
      <c r="Z14" s="19">
        <v>4.8</v>
      </c>
      <c r="AA14" s="19">
        <v>0.2</v>
      </c>
      <c r="AB14" s="19">
        <v>0</v>
      </c>
      <c r="AC14" s="19">
        <v>18.3</v>
      </c>
      <c r="AD14" s="19">
        <v>5.2</v>
      </c>
      <c r="AE14" s="19">
        <v>0.8</v>
      </c>
      <c r="AF14" s="19">
        <v>0.3</v>
      </c>
      <c r="AG14" s="19">
        <v>18.2</v>
      </c>
      <c r="AH14" s="19">
        <v>4.4000000000000004</v>
      </c>
      <c r="AI14" s="19">
        <v>0.2</v>
      </c>
      <c r="AJ14" s="19">
        <v>0</v>
      </c>
      <c r="AK14" s="27"/>
      <c r="AL14" s="40">
        <f t="shared" si="12"/>
        <v>9.6</v>
      </c>
      <c r="AM14" s="40">
        <f t="shared" si="13"/>
        <v>45.099999999999994</v>
      </c>
      <c r="AN14" s="40">
        <f t="shared" si="14"/>
        <v>9.6000000000000014</v>
      </c>
      <c r="AO14" s="40">
        <f t="shared" si="15"/>
        <v>45.4</v>
      </c>
      <c r="AP14" s="40">
        <f t="shared" si="16"/>
        <v>90.5</v>
      </c>
      <c r="AQ14" s="18">
        <v>18</v>
      </c>
      <c r="AR14" s="18">
        <v>5.6</v>
      </c>
      <c r="AS14" s="18">
        <v>0.2</v>
      </c>
      <c r="AT14" s="18">
        <v>0</v>
      </c>
      <c r="AU14" s="18">
        <v>16.2</v>
      </c>
      <c r="AV14" s="18">
        <v>5.6</v>
      </c>
      <c r="AW14" s="18">
        <v>0.8</v>
      </c>
      <c r="AX14" s="18">
        <v>0</v>
      </c>
      <c r="AY14" s="18"/>
      <c r="AZ14" s="18"/>
      <c r="BA14" s="18"/>
      <c r="BB14" s="18"/>
      <c r="BC14" s="18"/>
      <c r="BD14" s="18"/>
      <c r="BE14" s="18"/>
      <c r="BF14" s="18"/>
      <c r="BG14" s="28"/>
      <c r="BH14" s="11">
        <f t="shared" si="17"/>
        <v>11.2</v>
      </c>
      <c r="BI14" s="11">
        <f t="shared" si="18"/>
        <v>44.4</v>
      </c>
      <c r="BJ14" s="11" t="str">
        <f t="shared" si="19"/>
        <v/>
      </c>
      <c r="BK14" s="11" t="str">
        <f t="shared" si="20"/>
        <v/>
      </c>
      <c r="BL14" s="11">
        <f t="shared" si="21"/>
        <v>44.4</v>
      </c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27"/>
      <c r="CD14" s="40" t="str">
        <f t="shared" si="22"/>
        <v/>
      </c>
      <c r="CE14" s="40" t="str">
        <f t="shared" si="23"/>
        <v/>
      </c>
      <c r="CF14" s="40" t="str">
        <f t="shared" si="24"/>
        <v/>
      </c>
      <c r="CG14" s="40" t="str">
        <f t="shared" si="25"/>
        <v/>
      </c>
      <c r="CH14" s="40" t="str">
        <f t="shared" si="26"/>
        <v/>
      </c>
      <c r="CI14" s="50" t="str">
        <f t="shared" si="27"/>
        <v/>
      </c>
      <c r="CJ14" s="50" t="str">
        <f t="shared" si="28"/>
        <v/>
      </c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40" t="str">
        <f t="shared" si="29"/>
        <v/>
      </c>
      <c r="DF14" s="40" t="str">
        <f t="shared" si="30"/>
        <v/>
      </c>
      <c r="DG14" s="40" t="str">
        <f t="shared" si="31"/>
        <v/>
      </c>
      <c r="DH14" s="40" t="str">
        <f t="shared" si="32"/>
        <v/>
      </c>
      <c r="DI14" s="40" t="str">
        <f t="shared" si="33"/>
        <v/>
      </c>
      <c r="DJ14" s="40" t="str">
        <f t="shared" si="34"/>
        <v/>
      </c>
      <c r="DK14" s="40" t="str">
        <f t="shared" si="35"/>
        <v/>
      </c>
      <c r="DL14" s="40" t="str">
        <f t="shared" si="36"/>
        <v/>
      </c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1" t="str">
        <f t="shared" si="37"/>
        <v/>
      </c>
      <c r="EH14" s="11" t="str">
        <f t="shared" si="38"/>
        <v/>
      </c>
      <c r="EI14" s="11" t="str">
        <f t="shared" si="39"/>
        <v/>
      </c>
      <c r="EJ14" s="11" t="str">
        <f t="shared" si="40"/>
        <v/>
      </c>
      <c r="EK14" s="11" t="str">
        <f t="shared" si="41"/>
        <v/>
      </c>
      <c r="EL14" s="11" t="str">
        <f t="shared" si="42"/>
        <v/>
      </c>
      <c r="EM14" s="11" t="str">
        <f t="shared" si="43"/>
        <v/>
      </c>
      <c r="EN14" s="11" t="str">
        <f t="shared" si="44"/>
        <v/>
      </c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40" t="str">
        <f t="shared" si="45"/>
        <v/>
      </c>
      <c r="FJ14" s="40" t="str">
        <f t="shared" si="46"/>
        <v/>
      </c>
      <c r="FK14" s="40" t="str">
        <f t="shared" si="47"/>
        <v/>
      </c>
      <c r="FL14" s="40" t="str">
        <f t="shared" si="48"/>
        <v/>
      </c>
      <c r="FM14" s="40" t="str">
        <f t="shared" si="49"/>
        <v/>
      </c>
      <c r="FN14" s="40" t="str">
        <f t="shared" si="50"/>
        <v/>
      </c>
      <c r="FO14" s="40" t="str">
        <f t="shared" si="51"/>
        <v/>
      </c>
      <c r="FP14" s="40" t="str">
        <f t="shared" si="52"/>
        <v/>
      </c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1" t="str">
        <f t="shared" si="53"/>
        <v/>
      </c>
      <c r="GL14" s="11" t="str">
        <f t="shared" si="54"/>
        <v/>
      </c>
      <c r="GM14" s="11" t="str">
        <f t="shared" si="55"/>
        <v/>
      </c>
      <c r="GN14" s="11" t="str">
        <f t="shared" si="56"/>
        <v/>
      </c>
      <c r="GO14" s="11" t="str">
        <f t="shared" si="57"/>
        <v/>
      </c>
      <c r="GP14" s="11" t="str">
        <f t="shared" si="58"/>
        <v/>
      </c>
      <c r="GQ14" s="11" t="str">
        <f t="shared" si="59"/>
        <v/>
      </c>
      <c r="GR14" s="11" t="str">
        <f t="shared" si="60"/>
        <v/>
      </c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40" t="str">
        <f t="shared" si="61"/>
        <v/>
      </c>
      <c r="HN14" s="40" t="str">
        <f t="shared" si="62"/>
        <v/>
      </c>
      <c r="HO14" s="40" t="str">
        <f t="shared" si="63"/>
        <v/>
      </c>
      <c r="HP14" s="40" t="str">
        <f t="shared" si="64"/>
        <v/>
      </c>
      <c r="HQ14" s="40" t="str">
        <f t="shared" si="65"/>
        <v/>
      </c>
      <c r="HR14" s="40" t="str">
        <f t="shared" si="66"/>
        <v/>
      </c>
      <c r="HS14" s="40" t="str">
        <f t="shared" si="67"/>
        <v/>
      </c>
      <c r="HT14" s="40" t="str">
        <f t="shared" si="68"/>
        <v/>
      </c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1" t="str">
        <f t="shared" si="69"/>
        <v/>
      </c>
      <c r="IP14" s="11" t="str">
        <f t="shared" si="70"/>
        <v/>
      </c>
      <c r="IQ14" s="11" t="str">
        <f t="shared" si="71"/>
        <v/>
      </c>
      <c r="IR14" s="11" t="str">
        <f t="shared" si="72"/>
        <v/>
      </c>
      <c r="IS14" s="11" t="str">
        <f t="shared" si="73"/>
        <v/>
      </c>
      <c r="IT14" s="11" t="str">
        <f t="shared" si="74"/>
        <v/>
      </c>
      <c r="IU14" s="11" t="str">
        <f t="shared" si="75"/>
        <v/>
      </c>
      <c r="IV14" s="11" t="str">
        <f t="shared" si="76"/>
        <v/>
      </c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40" t="str">
        <f t="shared" si="77"/>
        <v/>
      </c>
      <c r="JR14" s="40" t="str">
        <f t="shared" si="78"/>
        <v/>
      </c>
      <c r="JS14" s="40" t="str">
        <f t="shared" si="79"/>
        <v/>
      </c>
      <c r="JT14" s="40" t="str">
        <f t="shared" si="80"/>
        <v/>
      </c>
      <c r="JU14" s="40" t="str">
        <f t="shared" si="81"/>
        <v/>
      </c>
      <c r="JV14" s="40" t="str">
        <f t="shared" si="82"/>
        <v/>
      </c>
      <c r="JW14" s="40" t="str">
        <f t="shared" si="83"/>
        <v/>
      </c>
      <c r="JX14" s="40" t="str">
        <f t="shared" si="84"/>
        <v/>
      </c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1" t="str">
        <f t="shared" si="85"/>
        <v/>
      </c>
      <c r="KT14" s="11" t="str">
        <f t="shared" si="86"/>
        <v/>
      </c>
      <c r="KU14" s="11" t="str">
        <f t="shared" si="87"/>
        <v/>
      </c>
      <c r="KV14" s="11" t="str">
        <f t="shared" si="88"/>
        <v/>
      </c>
      <c r="KW14" s="11" t="str">
        <f t="shared" si="89"/>
        <v/>
      </c>
      <c r="KX14" s="11" t="str">
        <f t="shared" si="90"/>
        <v/>
      </c>
      <c r="KY14" s="11" t="str">
        <f t="shared" si="91"/>
        <v/>
      </c>
      <c r="KZ14" s="11" t="str">
        <f t="shared" si="92"/>
        <v/>
      </c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40" t="str">
        <f t="shared" si="93"/>
        <v/>
      </c>
      <c r="LV14" s="40" t="str">
        <f t="shared" si="94"/>
        <v/>
      </c>
      <c r="LW14" s="40" t="str">
        <f t="shared" si="95"/>
        <v/>
      </c>
      <c r="LX14" s="40" t="str">
        <f t="shared" si="96"/>
        <v/>
      </c>
      <c r="LY14" s="40" t="str">
        <f t="shared" si="97"/>
        <v/>
      </c>
      <c r="LZ14" s="40" t="str">
        <f t="shared" si="98"/>
        <v/>
      </c>
      <c r="MA14" s="40" t="str">
        <f t="shared" si="99"/>
        <v/>
      </c>
      <c r="MB14" s="40" t="str">
        <f t="shared" si="100"/>
        <v/>
      </c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1" t="str">
        <f t="shared" si="101"/>
        <v/>
      </c>
      <c r="MX14" s="11" t="str">
        <f t="shared" si="102"/>
        <v/>
      </c>
      <c r="MY14" s="11" t="str">
        <f t="shared" si="103"/>
        <v/>
      </c>
      <c r="MZ14" s="11" t="str">
        <f t="shared" si="104"/>
        <v/>
      </c>
      <c r="NA14" s="11" t="str">
        <f t="shared" si="105"/>
        <v/>
      </c>
      <c r="NB14" s="11" t="str">
        <f t="shared" si="106"/>
        <v/>
      </c>
      <c r="NC14" s="11" t="str">
        <f t="shared" si="107"/>
        <v/>
      </c>
      <c r="ND14" s="11" t="str">
        <f t="shared" si="108"/>
        <v/>
      </c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40" t="str">
        <f t="shared" si="109"/>
        <v/>
      </c>
      <c r="NZ14" s="40" t="str">
        <f t="shared" si="110"/>
        <v/>
      </c>
      <c r="OA14" s="40" t="str">
        <f t="shared" si="111"/>
        <v/>
      </c>
      <c r="OB14" s="40" t="str">
        <f t="shared" si="112"/>
        <v/>
      </c>
      <c r="OC14" s="40" t="str">
        <f t="shared" si="113"/>
        <v/>
      </c>
      <c r="OD14" s="40" t="str">
        <f t="shared" si="114"/>
        <v/>
      </c>
      <c r="OE14" s="40" t="str">
        <f t="shared" si="115"/>
        <v/>
      </c>
      <c r="OF14" s="40" t="str">
        <f t="shared" si="116"/>
        <v/>
      </c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1" t="str">
        <f t="shared" si="117"/>
        <v/>
      </c>
      <c r="PB14" s="11" t="str">
        <f t="shared" si="118"/>
        <v/>
      </c>
      <c r="PC14" s="11" t="str">
        <f t="shared" si="119"/>
        <v/>
      </c>
      <c r="PD14" s="11" t="str">
        <f t="shared" si="120"/>
        <v/>
      </c>
      <c r="PE14" s="11" t="str">
        <f t="shared" si="121"/>
        <v/>
      </c>
      <c r="PF14" s="11" t="str">
        <f t="shared" si="122"/>
        <v/>
      </c>
      <c r="PG14" s="11" t="str">
        <f t="shared" si="123"/>
        <v/>
      </c>
      <c r="PH14" s="11" t="str">
        <f t="shared" si="124"/>
        <v/>
      </c>
      <c r="PI14" s="22">
        <f t="shared" si="125"/>
        <v>0</v>
      </c>
      <c r="PJ14" s="22">
        <f t="shared" si="126"/>
        <v>0</v>
      </c>
      <c r="PK14" s="22">
        <f t="shared" si="127"/>
        <v>0</v>
      </c>
      <c r="PL14" s="22">
        <f t="shared" si="128"/>
        <v>0</v>
      </c>
      <c r="PM14" s="22">
        <f t="shared" si="129"/>
        <v>0</v>
      </c>
      <c r="PN14" s="22">
        <f t="shared" si="130"/>
        <v>0</v>
      </c>
      <c r="PO14" s="22">
        <f t="shared" si="131"/>
        <v>0</v>
      </c>
      <c r="PP14" s="22">
        <f t="shared" si="132"/>
        <v>0</v>
      </c>
      <c r="PQ14" s="22">
        <f t="shared" si="133"/>
        <v>0</v>
      </c>
      <c r="PR14" s="22">
        <f t="shared" si="134"/>
        <v>0</v>
      </c>
      <c r="PS14" s="22">
        <f t="shared" si="135"/>
        <v>0</v>
      </c>
      <c r="PT14" s="22">
        <f t="shared" si="136"/>
        <v>0</v>
      </c>
      <c r="PU14" s="22">
        <f t="shared" si="137"/>
        <v>0</v>
      </c>
      <c r="PV14" s="22">
        <f t="shared" si="138"/>
        <v>0</v>
      </c>
      <c r="PW14" s="22">
        <f t="shared" si="139"/>
        <v>0</v>
      </c>
      <c r="PX14" s="22">
        <f t="shared" si="140"/>
        <v>0</v>
      </c>
      <c r="PY14" s="27" t="s">
        <v>46</v>
      </c>
      <c r="PZ14" s="40" t="str">
        <f t="shared" si="141"/>
        <v/>
      </c>
      <c r="QA14" s="40" t="str">
        <f t="shared" si="142"/>
        <v/>
      </c>
      <c r="QB14" s="40" t="str">
        <f t="shared" si="143"/>
        <v/>
      </c>
      <c r="QC14" s="40" t="str">
        <f t="shared" si="144"/>
        <v/>
      </c>
      <c r="QD14" s="40" t="str">
        <f t="shared" si="145"/>
        <v/>
      </c>
    </row>
    <row r="15" spans="1:446" x14ac:dyDescent="0.2">
      <c r="A15" s="4" t="str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/>
      </c>
      <c r="B15" s="4" t="str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/>
      </c>
      <c r="C15" s="5" t="s">
        <v>112</v>
      </c>
      <c r="D15" s="4" t="s">
        <v>4</v>
      </c>
      <c r="E15" s="4">
        <v>2006</v>
      </c>
      <c r="F15" s="9">
        <f t="shared" si="0"/>
        <v>134.70000887000452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IF(COUNT(AM15,BI15,CE15)&gt;0,LARGE((AM15,BI15,CE15),1),0)</f>
        <v>45.399999999999991</v>
      </c>
      <c r="M15" s="8" t="str">
        <f t="shared" si="5"/>
        <v>2025 Nationals</v>
      </c>
      <c r="N15" s="8">
        <f>IF(COUNT(AM15,BI15,CE15)&gt;1,LARGE((AM15,BI15,CE15),2),0)</f>
        <v>43.3</v>
      </c>
      <c r="O15" s="8" t="str">
        <f t="shared" si="6"/>
        <v>2025 Elite Canada</v>
      </c>
      <c r="P15" s="8">
        <f t="shared" si="7"/>
        <v>46</v>
      </c>
      <c r="Q15" s="8" t="str">
        <f t="shared" si="8"/>
        <v>2025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18.399999999999999</v>
      </c>
      <c r="V15" s="19">
        <v>3.5</v>
      </c>
      <c r="W15" s="19">
        <v>0.2</v>
      </c>
      <c r="X15" s="19">
        <v>0</v>
      </c>
      <c r="Y15" s="19">
        <v>18</v>
      </c>
      <c r="Z15" s="19">
        <v>4.4000000000000004</v>
      </c>
      <c r="AA15" s="19">
        <v>0.8</v>
      </c>
      <c r="AB15" s="19">
        <v>0</v>
      </c>
      <c r="AC15" s="19">
        <v>18.3</v>
      </c>
      <c r="AD15" s="19">
        <v>3.5</v>
      </c>
      <c r="AE15" s="19">
        <v>0.2</v>
      </c>
      <c r="AF15" s="19">
        <v>0</v>
      </c>
      <c r="AG15" s="19">
        <v>17.7</v>
      </c>
      <c r="AH15" s="19">
        <v>4.4000000000000004</v>
      </c>
      <c r="AI15" s="19">
        <v>0.2</v>
      </c>
      <c r="AJ15" s="19">
        <v>0</v>
      </c>
      <c r="AK15" s="27"/>
      <c r="AL15" s="40">
        <f t="shared" si="12"/>
        <v>7.9</v>
      </c>
      <c r="AM15" s="40">
        <f t="shared" si="13"/>
        <v>43.3</v>
      </c>
      <c r="AN15" s="40">
        <f t="shared" si="14"/>
        <v>7.9</v>
      </c>
      <c r="AO15" s="40">
        <f t="shared" si="15"/>
        <v>43.5</v>
      </c>
      <c r="AP15" s="40">
        <f t="shared" si="16"/>
        <v>86.8</v>
      </c>
      <c r="AQ15" s="18">
        <v>18.100000000000001</v>
      </c>
      <c r="AR15" s="18">
        <v>4.8</v>
      </c>
      <c r="AS15" s="18">
        <v>0.6</v>
      </c>
      <c r="AT15" s="18">
        <v>0</v>
      </c>
      <c r="AU15" s="18">
        <v>18.399999999999999</v>
      </c>
      <c r="AV15" s="18">
        <v>4.4000000000000004</v>
      </c>
      <c r="AW15" s="18">
        <v>0</v>
      </c>
      <c r="AX15" s="18">
        <v>0.3</v>
      </c>
      <c r="AY15" s="18">
        <v>18.2</v>
      </c>
      <c r="AZ15" s="18">
        <v>5.2</v>
      </c>
      <c r="BA15" s="18">
        <v>0.2</v>
      </c>
      <c r="BB15" s="18">
        <v>0</v>
      </c>
      <c r="BC15" s="18">
        <v>18.3</v>
      </c>
      <c r="BD15" s="18">
        <v>4.8</v>
      </c>
      <c r="BE15" s="18">
        <v>0.6</v>
      </c>
      <c r="BF15" s="18">
        <v>0.3</v>
      </c>
      <c r="BG15" s="28"/>
      <c r="BH15" s="11">
        <f t="shared" si="17"/>
        <v>9.1999999999999993</v>
      </c>
      <c r="BI15" s="11">
        <f t="shared" si="18"/>
        <v>45.399999999999991</v>
      </c>
      <c r="BJ15" s="11">
        <f t="shared" si="19"/>
        <v>10</v>
      </c>
      <c r="BK15" s="11">
        <f t="shared" si="20"/>
        <v>46</v>
      </c>
      <c r="BL15" s="11">
        <f t="shared" si="21"/>
        <v>91.399999999999991</v>
      </c>
      <c r="BM15" s="19">
        <v>18.3</v>
      </c>
      <c r="BN15" s="19">
        <v>4.8</v>
      </c>
      <c r="BO15" s="19">
        <v>0.6</v>
      </c>
      <c r="BP15" s="19">
        <v>0</v>
      </c>
      <c r="BQ15" s="19">
        <v>15.2</v>
      </c>
      <c r="BR15" s="19">
        <v>2.8</v>
      </c>
      <c r="BS15" s="19">
        <v>0</v>
      </c>
      <c r="BT15" s="19">
        <v>0.3</v>
      </c>
      <c r="BU15" s="19">
        <v>17.600000000000001</v>
      </c>
      <c r="BV15" s="19">
        <v>5.2</v>
      </c>
      <c r="BW15" s="19">
        <v>0.8</v>
      </c>
      <c r="BX15" s="19">
        <v>0</v>
      </c>
      <c r="BY15" s="19">
        <v>18.5</v>
      </c>
      <c r="BZ15" s="19">
        <v>2</v>
      </c>
      <c r="CA15" s="19">
        <v>1</v>
      </c>
      <c r="CB15" s="19">
        <v>0</v>
      </c>
      <c r="CC15" s="27"/>
      <c r="CD15" s="40">
        <f t="shared" si="22"/>
        <v>7.6</v>
      </c>
      <c r="CE15" s="40">
        <f t="shared" si="23"/>
        <v>40.79999999999999</v>
      </c>
      <c r="CF15" s="40">
        <f t="shared" si="24"/>
        <v>7.2</v>
      </c>
      <c r="CG15" s="40">
        <f t="shared" si="25"/>
        <v>41.5</v>
      </c>
      <c r="CH15" s="40">
        <f t="shared" si="26"/>
        <v>82.299999999999983</v>
      </c>
      <c r="CI15" s="50" t="str">
        <f t="shared" si="27"/>
        <v/>
      </c>
      <c r="CJ15" s="50" t="str">
        <f t="shared" si="28"/>
        <v/>
      </c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40" t="str">
        <f t="shared" si="29"/>
        <v/>
      </c>
      <c r="DF15" s="40" t="str">
        <f t="shared" si="30"/>
        <v/>
      </c>
      <c r="DG15" s="40" t="str">
        <f t="shared" si="31"/>
        <v/>
      </c>
      <c r="DH15" s="40" t="str">
        <f t="shared" si="32"/>
        <v/>
      </c>
      <c r="DI15" s="40" t="str">
        <f t="shared" si="33"/>
        <v/>
      </c>
      <c r="DJ15" s="40" t="str">
        <f t="shared" si="34"/>
        <v/>
      </c>
      <c r="DK15" s="40" t="str">
        <f t="shared" si="35"/>
        <v/>
      </c>
      <c r="DL15" s="40" t="str">
        <f t="shared" si="36"/>
        <v/>
      </c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1" t="str">
        <f t="shared" si="37"/>
        <v/>
      </c>
      <c r="EH15" s="11" t="str">
        <f t="shared" si="38"/>
        <v/>
      </c>
      <c r="EI15" s="11" t="str">
        <f t="shared" si="39"/>
        <v/>
      </c>
      <c r="EJ15" s="11" t="str">
        <f t="shared" si="40"/>
        <v/>
      </c>
      <c r="EK15" s="11" t="str">
        <f t="shared" si="41"/>
        <v/>
      </c>
      <c r="EL15" s="11" t="str">
        <f t="shared" si="42"/>
        <v/>
      </c>
      <c r="EM15" s="11" t="str">
        <f t="shared" si="43"/>
        <v/>
      </c>
      <c r="EN15" s="11" t="str">
        <f t="shared" si="44"/>
        <v/>
      </c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40" t="str">
        <f t="shared" si="45"/>
        <v/>
      </c>
      <c r="FJ15" s="40" t="str">
        <f t="shared" si="46"/>
        <v/>
      </c>
      <c r="FK15" s="40" t="str">
        <f t="shared" si="47"/>
        <v/>
      </c>
      <c r="FL15" s="40" t="str">
        <f t="shared" si="48"/>
        <v/>
      </c>
      <c r="FM15" s="40" t="str">
        <f t="shared" si="49"/>
        <v/>
      </c>
      <c r="FN15" s="40" t="str">
        <f t="shared" si="50"/>
        <v/>
      </c>
      <c r="FO15" s="40" t="str">
        <f t="shared" si="51"/>
        <v/>
      </c>
      <c r="FP15" s="40" t="str">
        <f t="shared" si="52"/>
        <v/>
      </c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1" t="str">
        <f t="shared" si="53"/>
        <v/>
      </c>
      <c r="GL15" s="11" t="str">
        <f t="shared" si="54"/>
        <v/>
      </c>
      <c r="GM15" s="11" t="str">
        <f t="shared" si="55"/>
        <v/>
      </c>
      <c r="GN15" s="11" t="str">
        <f t="shared" si="56"/>
        <v/>
      </c>
      <c r="GO15" s="11" t="str">
        <f t="shared" si="57"/>
        <v/>
      </c>
      <c r="GP15" s="11" t="str">
        <f t="shared" si="58"/>
        <v/>
      </c>
      <c r="GQ15" s="11" t="str">
        <f t="shared" si="59"/>
        <v/>
      </c>
      <c r="GR15" s="11" t="str">
        <f t="shared" si="60"/>
        <v/>
      </c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40" t="str">
        <f t="shared" si="61"/>
        <v/>
      </c>
      <c r="HN15" s="40" t="str">
        <f t="shared" si="62"/>
        <v/>
      </c>
      <c r="HO15" s="40" t="str">
        <f t="shared" si="63"/>
        <v/>
      </c>
      <c r="HP15" s="40" t="str">
        <f t="shared" si="64"/>
        <v/>
      </c>
      <c r="HQ15" s="40" t="str">
        <f t="shared" si="65"/>
        <v/>
      </c>
      <c r="HR15" s="40" t="str">
        <f t="shared" si="66"/>
        <v/>
      </c>
      <c r="HS15" s="40" t="str">
        <f t="shared" si="67"/>
        <v/>
      </c>
      <c r="HT15" s="40" t="str">
        <f t="shared" si="68"/>
        <v/>
      </c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1" t="str">
        <f t="shared" si="69"/>
        <v/>
      </c>
      <c r="IP15" s="11" t="str">
        <f t="shared" si="70"/>
        <v/>
      </c>
      <c r="IQ15" s="11" t="str">
        <f t="shared" si="71"/>
        <v/>
      </c>
      <c r="IR15" s="11" t="str">
        <f t="shared" si="72"/>
        <v/>
      </c>
      <c r="IS15" s="11" t="str">
        <f t="shared" si="73"/>
        <v/>
      </c>
      <c r="IT15" s="11" t="str">
        <f t="shared" si="74"/>
        <v/>
      </c>
      <c r="IU15" s="11" t="str">
        <f t="shared" si="75"/>
        <v/>
      </c>
      <c r="IV15" s="11" t="str">
        <f t="shared" si="76"/>
        <v/>
      </c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40" t="str">
        <f t="shared" si="77"/>
        <v/>
      </c>
      <c r="JR15" s="40" t="str">
        <f t="shared" si="78"/>
        <v/>
      </c>
      <c r="JS15" s="40" t="str">
        <f t="shared" si="79"/>
        <v/>
      </c>
      <c r="JT15" s="40" t="str">
        <f t="shared" si="80"/>
        <v/>
      </c>
      <c r="JU15" s="40" t="str">
        <f t="shared" si="81"/>
        <v/>
      </c>
      <c r="JV15" s="40" t="str">
        <f t="shared" si="82"/>
        <v/>
      </c>
      <c r="JW15" s="40" t="str">
        <f t="shared" si="83"/>
        <v/>
      </c>
      <c r="JX15" s="40" t="str">
        <f t="shared" si="84"/>
        <v/>
      </c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1" t="str">
        <f t="shared" si="85"/>
        <v/>
      </c>
      <c r="KT15" s="11" t="str">
        <f t="shared" si="86"/>
        <v/>
      </c>
      <c r="KU15" s="11" t="str">
        <f t="shared" si="87"/>
        <v/>
      </c>
      <c r="KV15" s="11" t="str">
        <f t="shared" si="88"/>
        <v/>
      </c>
      <c r="KW15" s="11" t="str">
        <f t="shared" si="89"/>
        <v/>
      </c>
      <c r="KX15" s="11" t="str">
        <f t="shared" si="90"/>
        <v/>
      </c>
      <c r="KY15" s="11" t="str">
        <f t="shared" si="91"/>
        <v/>
      </c>
      <c r="KZ15" s="11" t="str">
        <f t="shared" si="92"/>
        <v/>
      </c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40" t="str">
        <f t="shared" si="93"/>
        <v/>
      </c>
      <c r="LV15" s="40" t="str">
        <f t="shared" si="94"/>
        <v/>
      </c>
      <c r="LW15" s="40" t="str">
        <f t="shared" si="95"/>
        <v/>
      </c>
      <c r="LX15" s="40" t="str">
        <f t="shared" si="96"/>
        <v/>
      </c>
      <c r="LY15" s="40" t="str">
        <f t="shared" si="97"/>
        <v/>
      </c>
      <c r="LZ15" s="40" t="str">
        <f t="shared" si="98"/>
        <v/>
      </c>
      <c r="MA15" s="40" t="str">
        <f t="shared" si="99"/>
        <v/>
      </c>
      <c r="MB15" s="40" t="str">
        <f t="shared" si="100"/>
        <v/>
      </c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1" t="str">
        <f t="shared" si="101"/>
        <v/>
      </c>
      <c r="MX15" s="11" t="str">
        <f t="shared" si="102"/>
        <v/>
      </c>
      <c r="MY15" s="11" t="str">
        <f t="shared" si="103"/>
        <v/>
      </c>
      <c r="MZ15" s="11" t="str">
        <f t="shared" si="104"/>
        <v/>
      </c>
      <c r="NA15" s="11" t="str">
        <f t="shared" si="105"/>
        <v/>
      </c>
      <c r="NB15" s="11" t="str">
        <f t="shared" si="106"/>
        <v/>
      </c>
      <c r="NC15" s="11" t="str">
        <f t="shared" si="107"/>
        <v/>
      </c>
      <c r="ND15" s="11" t="str">
        <f t="shared" si="108"/>
        <v/>
      </c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40" t="str">
        <f t="shared" si="109"/>
        <v/>
      </c>
      <c r="NZ15" s="40" t="str">
        <f t="shared" si="110"/>
        <v/>
      </c>
      <c r="OA15" s="40" t="str">
        <f t="shared" si="111"/>
        <v/>
      </c>
      <c r="OB15" s="40" t="str">
        <f t="shared" si="112"/>
        <v/>
      </c>
      <c r="OC15" s="40" t="str">
        <f t="shared" si="113"/>
        <v/>
      </c>
      <c r="OD15" s="40" t="str">
        <f t="shared" si="114"/>
        <v/>
      </c>
      <c r="OE15" s="40" t="str">
        <f t="shared" si="115"/>
        <v/>
      </c>
      <c r="OF15" s="40" t="str">
        <f t="shared" si="116"/>
        <v/>
      </c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1" t="str">
        <f t="shared" si="117"/>
        <v/>
      </c>
      <c r="PB15" s="11" t="str">
        <f t="shared" si="118"/>
        <v/>
      </c>
      <c r="PC15" s="11" t="str">
        <f t="shared" si="119"/>
        <v/>
      </c>
      <c r="PD15" s="11" t="str">
        <f t="shared" si="120"/>
        <v/>
      </c>
      <c r="PE15" s="11" t="str">
        <f t="shared" si="121"/>
        <v/>
      </c>
      <c r="PF15" s="11" t="str">
        <f t="shared" si="122"/>
        <v/>
      </c>
      <c r="PG15" s="11" t="str">
        <f t="shared" si="123"/>
        <v/>
      </c>
      <c r="PH15" s="11" t="str">
        <f t="shared" si="124"/>
        <v/>
      </c>
      <c r="PI15" s="22">
        <f t="shared" si="125"/>
        <v>18.3</v>
      </c>
      <c r="PJ15" s="22">
        <f t="shared" si="126"/>
        <v>4.8</v>
      </c>
      <c r="PK15" s="22">
        <f t="shared" si="127"/>
        <v>0.6</v>
      </c>
      <c r="PL15" s="22">
        <f t="shared" si="128"/>
        <v>0</v>
      </c>
      <c r="PM15" s="22">
        <f t="shared" si="129"/>
        <v>15.2</v>
      </c>
      <c r="PN15" s="22">
        <f t="shared" si="130"/>
        <v>2.8</v>
      </c>
      <c r="PO15" s="22">
        <f t="shared" si="131"/>
        <v>0</v>
      </c>
      <c r="PP15" s="22">
        <f t="shared" si="132"/>
        <v>0.3</v>
      </c>
      <c r="PQ15" s="22">
        <f t="shared" si="133"/>
        <v>17.600000000000001</v>
      </c>
      <c r="PR15" s="22">
        <f t="shared" si="134"/>
        <v>5.2</v>
      </c>
      <c r="PS15" s="22">
        <f t="shared" si="135"/>
        <v>0.8</v>
      </c>
      <c r="PT15" s="22">
        <f t="shared" si="136"/>
        <v>0</v>
      </c>
      <c r="PU15" s="22">
        <f t="shared" si="137"/>
        <v>18.5</v>
      </c>
      <c r="PV15" s="22">
        <f t="shared" si="138"/>
        <v>2</v>
      </c>
      <c r="PW15" s="22">
        <f t="shared" si="139"/>
        <v>1</v>
      </c>
      <c r="PX15" s="22">
        <f t="shared" si="140"/>
        <v>0</v>
      </c>
      <c r="PY15" s="27" t="s">
        <v>46</v>
      </c>
      <c r="PZ15" s="40">
        <f t="shared" si="141"/>
        <v>7.6</v>
      </c>
      <c r="QA15" s="40">
        <f t="shared" si="142"/>
        <v>40.79999999999999</v>
      </c>
      <c r="QB15" s="40">
        <f t="shared" si="143"/>
        <v>7.2</v>
      </c>
      <c r="QC15" s="40">
        <f t="shared" si="144"/>
        <v>41.5</v>
      </c>
      <c r="QD15" s="40">
        <f t="shared" si="145"/>
        <v>82.299999999999983</v>
      </c>
    </row>
    <row r="16" spans="1:446" x14ac:dyDescent="0.2">
      <c r="A16" s="4" t="str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/>
      </c>
      <c r="B16" s="4" t="str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/>
      </c>
      <c r="C16" s="5" t="s">
        <v>138</v>
      </c>
      <c r="D16" s="4" t="s">
        <v>31</v>
      </c>
      <c r="E16" s="4">
        <v>2005</v>
      </c>
      <c r="F16" s="9">
        <f t="shared" si="0"/>
        <v>133.30000877000458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IF(COUNT(AM16,BI16,CE16)&gt;0,LARGE((AM16,BI16,CE16),1),0)</f>
        <v>45.8</v>
      </c>
      <c r="M16" s="8" t="str">
        <f t="shared" si="5"/>
        <v>2025 Nationals</v>
      </c>
      <c r="N16" s="8">
        <f>IF(COUNT(AM16,BI16,CE16)&gt;1,LARGE((AM16,BI16,CE16),2),0)</f>
        <v>41.9</v>
      </c>
      <c r="O16" s="8" t="str">
        <f t="shared" si="6"/>
        <v>2025 3rd Domestic Trial</v>
      </c>
      <c r="P16" s="8">
        <f t="shared" si="7"/>
        <v>45.600000000000009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15.2</v>
      </c>
      <c r="V16" s="19">
        <v>2.8</v>
      </c>
      <c r="W16" s="19">
        <v>0</v>
      </c>
      <c r="X16" s="19">
        <v>0.3</v>
      </c>
      <c r="Y16" s="19">
        <v>17.899999999999999</v>
      </c>
      <c r="Z16" s="19">
        <v>5.6</v>
      </c>
      <c r="AA16" s="19">
        <v>0.2</v>
      </c>
      <c r="AB16" s="19">
        <v>0</v>
      </c>
      <c r="AC16" s="19">
        <v>18.100000000000001</v>
      </c>
      <c r="AD16" s="19">
        <v>5.2</v>
      </c>
      <c r="AE16" s="19">
        <v>0.8</v>
      </c>
      <c r="AF16" s="19">
        <v>0.3</v>
      </c>
      <c r="AG16" s="19">
        <v>17.8</v>
      </c>
      <c r="AH16" s="19">
        <v>5.6</v>
      </c>
      <c r="AI16" s="19">
        <v>0.6</v>
      </c>
      <c r="AJ16" s="19">
        <v>0</v>
      </c>
      <c r="AK16" s="27"/>
      <c r="AL16" s="40">
        <f t="shared" si="12"/>
        <v>8.3999999999999986</v>
      </c>
      <c r="AM16" s="40">
        <f t="shared" si="13"/>
        <v>41.6</v>
      </c>
      <c r="AN16" s="40">
        <f t="shared" si="14"/>
        <v>10.8</v>
      </c>
      <c r="AO16" s="40">
        <f t="shared" si="15"/>
        <v>45.600000000000009</v>
      </c>
      <c r="AP16" s="40">
        <f t="shared" si="16"/>
        <v>87.200000000000017</v>
      </c>
      <c r="AQ16" s="18">
        <v>18</v>
      </c>
      <c r="AR16" s="18">
        <v>4.8</v>
      </c>
      <c r="AS16" s="18">
        <v>0.6</v>
      </c>
      <c r="AT16" s="18">
        <v>0.3</v>
      </c>
      <c r="AU16" s="18">
        <v>17.899999999999999</v>
      </c>
      <c r="AV16" s="18">
        <v>5.6</v>
      </c>
      <c r="AW16" s="18">
        <v>0.2</v>
      </c>
      <c r="AX16" s="18">
        <v>0</v>
      </c>
      <c r="AY16" s="18">
        <v>16.100000000000001</v>
      </c>
      <c r="AZ16" s="18">
        <v>5.2</v>
      </c>
      <c r="BA16" s="18">
        <v>1</v>
      </c>
      <c r="BB16" s="18">
        <v>0</v>
      </c>
      <c r="BC16" s="18">
        <v>17.8</v>
      </c>
      <c r="BD16" s="18">
        <v>4.8</v>
      </c>
      <c r="BE16" s="18">
        <v>0.6</v>
      </c>
      <c r="BF16" s="18">
        <v>0.3</v>
      </c>
      <c r="BG16" s="28"/>
      <c r="BH16" s="11">
        <f t="shared" si="17"/>
        <v>10.399999999999999</v>
      </c>
      <c r="BI16" s="11">
        <f t="shared" si="18"/>
        <v>45.8</v>
      </c>
      <c r="BJ16" s="11">
        <f t="shared" si="19"/>
        <v>10</v>
      </c>
      <c r="BK16" s="11">
        <f t="shared" si="20"/>
        <v>42.599999999999994</v>
      </c>
      <c r="BL16" s="11">
        <f t="shared" si="21"/>
        <v>88.399999999999991</v>
      </c>
      <c r="BM16" s="19">
        <v>18.2</v>
      </c>
      <c r="BN16" s="19">
        <v>4.4000000000000004</v>
      </c>
      <c r="BO16" s="19">
        <v>0.6</v>
      </c>
      <c r="BP16" s="19">
        <v>0</v>
      </c>
      <c r="BQ16" s="19">
        <v>18.399999999999999</v>
      </c>
      <c r="BR16" s="19">
        <v>2.8</v>
      </c>
      <c r="BS16" s="19">
        <v>1.3</v>
      </c>
      <c r="BT16" s="19">
        <v>0</v>
      </c>
      <c r="BU16" s="19">
        <v>18.2</v>
      </c>
      <c r="BV16" s="19">
        <v>4.4000000000000004</v>
      </c>
      <c r="BW16" s="19">
        <v>0.6</v>
      </c>
      <c r="BX16" s="19">
        <v>0</v>
      </c>
      <c r="BY16" s="19">
        <v>18.2</v>
      </c>
      <c r="BZ16" s="19">
        <v>3.2</v>
      </c>
      <c r="CA16" s="19">
        <v>0.3</v>
      </c>
      <c r="CB16" s="19">
        <v>0</v>
      </c>
      <c r="CC16" s="27"/>
      <c r="CD16" s="40">
        <f t="shared" si="22"/>
        <v>7.2</v>
      </c>
      <c r="CE16" s="40">
        <f t="shared" si="23"/>
        <v>41.9</v>
      </c>
      <c r="CF16" s="40">
        <f t="shared" si="24"/>
        <v>7.6000000000000005</v>
      </c>
      <c r="CG16" s="40">
        <f t="shared" si="25"/>
        <v>43.1</v>
      </c>
      <c r="CH16" s="40">
        <f t="shared" si="26"/>
        <v>85</v>
      </c>
      <c r="CI16" s="50" t="str">
        <f t="shared" si="27"/>
        <v/>
      </c>
      <c r="CJ16" s="50" t="str">
        <f t="shared" si="28"/>
        <v/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40" t="str">
        <f t="shared" si="29"/>
        <v/>
      </c>
      <c r="DF16" s="40" t="str">
        <f t="shared" si="30"/>
        <v/>
      </c>
      <c r="DG16" s="40" t="str">
        <f t="shared" si="31"/>
        <v/>
      </c>
      <c r="DH16" s="40" t="str">
        <f t="shared" si="32"/>
        <v/>
      </c>
      <c r="DI16" s="40" t="str">
        <f t="shared" si="33"/>
        <v/>
      </c>
      <c r="DJ16" s="40" t="str">
        <f t="shared" si="34"/>
        <v/>
      </c>
      <c r="DK16" s="40" t="str">
        <f t="shared" si="35"/>
        <v/>
      </c>
      <c r="DL16" s="40" t="str">
        <f t="shared" si="36"/>
        <v/>
      </c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1" t="str">
        <f t="shared" si="37"/>
        <v/>
      </c>
      <c r="EH16" s="11" t="str">
        <f t="shared" si="38"/>
        <v/>
      </c>
      <c r="EI16" s="11" t="str">
        <f t="shared" si="39"/>
        <v/>
      </c>
      <c r="EJ16" s="11" t="str">
        <f t="shared" si="40"/>
        <v/>
      </c>
      <c r="EK16" s="11" t="str">
        <f t="shared" si="41"/>
        <v/>
      </c>
      <c r="EL16" s="11" t="str">
        <f t="shared" si="42"/>
        <v/>
      </c>
      <c r="EM16" s="11" t="str">
        <f t="shared" si="43"/>
        <v/>
      </c>
      <c r="EN16" s="11" t="str">
        <f t="shared" si="44"/>
        <v/>
      </c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40" t="str">
        <f t="shared" si="45"/>
        <v/>
      </c>
      <c r="FJ16" s="40" t="str">
        <f t="shared" si="46"/>
        <v/>
      </c>
      <c r="FK16" s="40" t="str">
        <f t="shared" si="47"/>
        <v/>
      </c>
      <c r="FL16" s="40" t="str">
        <f t="shared" si="48"/>
        <v/>
      </c>
      <c r="FM16" s="40" t="str">
        <f t="shared" si="49"/>
        <v/>
      </c>
      <c r="FN16" s="40" t="str">
        <f t="shared" si="50"/>
        <v/>
      </c>
      <c r="FO16" s="40" t="str">
        <f t="shared" si="51"/>
        <v/>
      </c>
      <c r="FP16" s="40" t="str">
        <f t="shared" si="52"/>
        <v/>
      </c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1" t="str">
        <f t="shared" si="53"/>
        <v/>
      </c>
      <c r="GL16" s="11" t="str">
        <f t="shared" si="54"/>
        <v/>
      </c>
      <c r="GM16" s="11" t="str">
        <f t="shared" si="55"/>
        <v/>
      </c>
      <c r="GN16" s="11" t="str">
        <f t="shared" si="56"/>
        <v/>
      </c>
      <c r="GO16" s="11" t="str">
        <f t="shared" si="57"/>
        <v/>
      </c>
      <c r="GP16" s="11" t="str">
        <f t="shared" si="58"/>
        <v/>
      </c>
      <c r="GQ16" s="11" t="str">
        <f t="shared" si="59"/>
        <v/>
      </c>
      <c r="GR16" s="11" t="str">
        <f t="shared" si="60"/>
        <v/>
      </c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40" t="str">
        <f t="shared" si="61"/>
        <v/>
      </c>
      <c r="HN16" s="40" t="str">
        <f t="shared" si="62"/>
        <v/>
      </c>
      <c r="HO16" s="40" t="str">
        <f t="shared" si="63"/>
        <v/>
      </c>
      <c r="HP16" s="40" t="str">
        <f t="shared" si="64"/>
        <v/>
      </c>
      <c r="HQ16" s="40" t="str">
        <f t="shared" si="65"/>
        <v/>
      </c>
      <c r="HR16" s="40" t="str">
        <f t="shared" si="66"/>
        <v/>
      </c>
      <c r="HS16" s="40" t="str">
        <f t="shared" si="67"/>
        <v/>
      </c>
      <c r="HT16" s="40" t="str">
        <f t="shared" si="68"/>
        <v/>
      </c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1" t="str">
        <f t="shared" si="69"/>
        <v/>
      </c>
      <c r="IP16" s="11" t="str">
        <f t="shared" si="70"/>
        <v/>
      </c>
      <c r="IQ16" s="11" t="str">
        <f t="shared" si="71"/>
        <v/>
      </c>
      <c r="IR16" s="11" t="str">
        <f t="shared" si="72"/>
        <v/>
      </c>
      <c r="IS16" s="11" t="str">
        <f t="shared" si="73"/>
        <v/>
      </c>
      <c r="IT16" s="11" t="str">
        <f t="shared" si="74"/>
        <v/>
      </c>
      <c r="IU16" s="11" t="str">
        <f t="shared" si="75"/>
        <v/>
      </c>
      <c r="IV16" s="11" t="str">
        <f t="shared" si="76"/>
        <v/>
      </c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40" t="str">
        <f t="shared" si="77"/>
        <v/>
      </c>
      <c r="JR16" s="40" t="str">
        <f t="shared" si="78"/>
        <v/>
      </c>
      <c r="JS16" s="40" t="str">
        <f t="shared" si="79"/>
        <v/>
      </c>
      <c r="JT16" s="40" t="str">
        <f t="shared" si="80"/>
        <v/>
      </c>
      <c r="JU16" s="40" t="str">
        <f t="shared" si="81"/>
        <v/>
      </c>
      <c r="JV16" s="40" t="str">
        <f t="shared" si="82"/>
        <v/>
      </c>
      <c r="JW16" s="40" t="str">
        <f t="shared" si="83"/>
        <v/>
      </c>
      <c r="JX16" s="40" t="str">
        <f t="shared" si="84"/>
        <v/>
      </c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1" t="str">
        <f t="shared" si="85"/>
        <v/>
      </c>
      <c r="KT16" s="11" t="str">
        <f t="shared" si="86"/>
        <v/>
      </c>
      <c r="KU16" s="11" t="str">
        <f t="shared" si="87"/>
        <v/>
      </c>
      <c r="KV16" s="11" t="str">
        <f t="shared" si="88"/>
        <v/>
      </c>
      <c r="KW16" s="11" t="str">
        <f t="shared" si="89"/>
        <v/>
      </c>
      <c r="KX16" s="11" t="str">
        <f t="shared" si="90"/>
        <v/>
      </c>
      <c r="KY16" s="11" t="str">
        <f t="shared" si="91"/>
        <v/>
      </c>
      <c r="KZ16" s="11" t="str">
        <f t="shared" si="92"/>
        <v/>
      </c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40" t="str">
        <f t="shared" si="93"/>
        <v/>
      </c>
      <c r="LV16" s="40" t="str">
        <f t="shared" si="94"/>
        <v/>
      </c>
      <c r="LW16" s="40" t="str">
        <f t="shared" si="95"/>
        <v/>
      </c>
      <c r="LX16" s="40" t="str">
        <f t="shared" si="96"/>
        <v/>
      </c>
      <c r="LY16" s="40" t="str">
        <f t="shared" si="97"/>
        <v/>
      </c>
      <c r="LZ16" s="40" t="str">
        <f t="shared" si="98"/>
        <v/>
      </c>
      <c r="MA16" s="40" t="str">
        <f t="shared" si="99"/>
        <v/>
      </c>
      <c r="MB16" s="40" t="str">
        <f t="shared" si="100"/>
        <v/>
      </c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1" t="str">
        <f t="shared" si="101"/>
        <v/>
      </c>
      <c r="MX16" s="11" t="str">
        <f t="shared" si="102"/>
        <v/>
      </c>
      <c r="MY16" s="11" t="str">
        <f t="shared" si="103"/>
        <v/>
      </c>
      <c r="MZ16" s="11" t="str">
        <f t="shared" si="104"/>
        <v/>
      </c>
      <c r="NA16" s="11" t="str">
        <f t="shared" si="105"/>
        <v/>
      </c>
      <c r="NB16" s="11" t="str">
        <f t="shared" si="106"/>
        <v/>
      </c>
      <c r="NC16" s="11" t="str">
        <f t="shared" si="107"/>
        <v/>
      </c>
      <c r="ND16" s="11" t="str">
        <f t="shared" si="108"/>
        <v/>
      </c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40" t="str">
        <f t="shared" si="109"/>
        <v/>
      </c>
      <c r="NZ16" s="40" t="str">
        <f t="shared" si="110"/>
        <v/>
      </c>
      <c r="OA16" s="40" t="str">
        <f t="shared" si="111"/>
        <v/>
      </c>
      <c r="OB16" s="40" t="str">
        <f t="shared" si="112"/>
        <v/>
      </c>
      <c r="OC16" s="40" t="str">
        <f t="shared" si="113"/>
        <v/>
      </c>
      <c r="OD16" s="40" t="str">
        <f t="shared" si="114"/>
        <v/>
      </c>
      <c r="OE16" s="40" t="str">
        <f t="shared" si="115"/>
        <v/>
      </c>
      <c r="OF16" s="40" t="str">
        <f t="shared" si="116"/>
        <v/>
      </c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1" t="str">
        <f t="shared" si="117"/>
        <v/>
      </c>
      <c r="PB16" s="11" t="str">
        <f t="shared" si="118"/>
        <v/>
      </c>
      <c r="PC16" s="11" t="str">
        <f t="shared" si="119"/>
        <v/>
      </c>
      <c r="PD16" s="11" t="str">
        <f t="shared" si="120"/>
        <v/>
      </c>
      <c r="PE16" s="11" t="str">
        <f t="shared" si="121"/>
        <v/>
      </c>
      <c r="PF16" s="11" t="str">
        <f t="shared" si="122"/>
        <v/>
      </c>
      <c r="PG16" s="11" t="str">
        <f t="shared" si="123"/>
        <v/>
      </c>
      <c r="PH16" s="11" t="str">
        <f t="shared" si="124"/>
        <v/>
      </c>
      <c r="PI16" s="22">
        <f t="shared" si="125"/>
        <v>18.2</v>
      </c>
      <c r="PJ16" s="22">
        <f t="shared" si="126"/>
        <v>4.4000000000000004</v>
      </c>
      <c r="PK16" s="22">
        <f t="shared" si="127"/>
        <v>0.6</v>
      </c>
      <c r="PL16" s="22">
        <f t="shared" si="128"/>
        <v>0</v>
      </c>
      <c r="PM16" s="22">
        <f t="shared" si="129"/>
        <v>18.399999999999999</v>
      </c>
      <c r="PN16" s="22">
        <f t="shared" si="130"/>
        <v>2.8</v>
      </c>
      <c r="PO16" s="22">
        <f t="shared" si="131"/>
        <v>1.3</v>
      </c>
      <c r="PP16" s="22">
        <f t="shared" si="132"/>
        <v>0</v>
      </c>
      <c r="PQ16" s="22">
        <f t="shared" si="133"/>
        <v>18.2</v>
      </c>
      <c r="PR16" s="22">
        <f t="shared" si="134"/>
        <v>4.4000000000000004</v>
      </c>
      <c r="PS16" s="22">
        <f t="shared" si="135"/>
        <v>0.6</v>
      </c>
      <c r="PT16" s="22">
        <f t="shared" si="136"/>
        <v>0</v>
      </c>
      <c r="PU16" s="22">
        <f t="shared" si="137"/>
        <v>18.2</v>
      </c>
      <c r="PV16" s="22">
        <f t="shared" si="138"/>
        <v>3.2</v>
      </c>
      <c r="PW16" s="22">
        <f t="shared" si="139"/>
        <v>0.3</v>
      </c>
      <c r="PX16" s="22">
        <f t="shared" si="140"/>
        <v>0</v>
      </c>
      <c r="PY16" s="27" t="s">
        <v>46</v>
      </c>
      <c r="PZ16" s="40">
        <f t="shared" si="141"/>
        <v>7.2</v>
      </c>
      <c r="QA16" s="40">
        <f t="shared" si="142"/>
        <v>41.9</v>
      </c>
      <c r="QB16" s="40">
        <f t="shared" si="143"/>
        <v>7.6000000000000005</v>
      </c>
      <c r="QC16" s="40">
        <f t="shared" si="144"/>
        <v>43.1</v>
      </c>
      <c r="QD16" s="40">
        <f t="shared" si="145"/>
        <v>85</v>
      </c>
    </row>
    <row r="17" spans="1:446" x14ac:dyDescent="0.2">
      <c r="A17" s="4" t="str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/>
      </c>
      <c r="B17" s="4" t="str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/>
      </c>
      <c r="C17" s="5" t="s">
        <v>201</v>
      </c>
      <c r="D17" s="4" t="s">
        <v>5</v>
      </c>
      <c r="E17" s="4">
        <v>2009</v>
      </c>
      <c r="F17" s="9">
        <f t="shared" si="0"/>
        <v>132.50000861000447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IF(COUNT(AM17,BI17,CE17)&gt;0,LARGE((AM17,BI17,CE17),1),0)</f>
        <v>44.699999999999996</v>
      </c>
      <c r="M17" s="8" t="str">
        <f t="shared" si="5"/>
        <v>2025 Nationals</v>
      </c>
      <c r="N17" s="8">
        <f>IF(COUNT(AM17,BI17,CE17)&gt;1,LARGE((AM17,BI17,CE17),2),0)</f>
        <v>41.4</v>
      </c>
      <c r="O17" s="8" t="str">
        <f t="shared" si="6"/>
        <v>2025 Elite Canada</v>
      </c>
      <c r="P17" s="8">
        <f t="shared" si="7"/>
        <v>46.4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</v>
      </c>
      <c r="V17" s="19">
        <v>6</v>
      </c>
      <c r="W17" s="19">
        <v>0.6</v>
      </c>
      <c r="X17" s="19">
        <v>0</v>
      </c>
      <c r="Y17" s="19">
        <v>15.2</v>
      </c>
      <c r="Z17" s="19">
        <v>2.8</v>
      </c>
      <c r="AA17" s="19">
        <v>0</v>
      </c>
      <c r="AB17" s="19">
        <v>0</v>
      </c>
      <c r="AC17" s="19">
        <v>18.399999999999999</v>
      </c>
      <c r="AD17" s="19">
        <v>5.2</v>
      </c>
      <c r="AE17" s="19">
        <v>0.2</v>
      </c>
      <c r="AF17" s="19">
        <v>0</v>
      </c>
      <c r="AG17" s="19">
        <v>18</v>
      </c>
      <c r="AH17" s="19">
        <v>5.2</v>
      </c>
      <c r="AI17" s="19">
        <v>0.2</v>
      </c>
      <c r="AJ17" s="19">
        <v>0</v>
      </c>
      <c r="AK17" s="27"/>
      <c r="AL17" s="40">
        <f t="shared" si="12"/>
        <v>8.8000000000000007</v>
      </c>
      <c r="AM17" s="40">
        <f t="shared" si="13"/>
        <v>41.4</v>
      </c>
      <c r="AN17" s="40">
        <f t="shared" si="14"/>
        <v>10.4</v>
      </c>
      <c r="AO17" s="40">
        <f t="shared" si="15"/>
        <v>46.4</v>
      </c>
      <c r="AP17" s="40">
        <f t="shared" si="16"/>
        <v>87.8</v>
      </c>
      <c r="AQ17" s="18">
        <v>16.7</v>
      </c>
      <c r="AR17" s="18">
        <v>5.2</v>
      </c>
      <c r="AS17" s="18">
        <v>0.2</v>
      </c>
      <c r="AT17" s="18">
        <v>0</v>
      </c>
      <c r="AU17" s="18">
        <v>18</v>
      </c>
      <c r="AV17" s="18">
        <v>5.2</v>
      </c>
      <c r="AW17" s="18">
        <v>0.2</v>
      </c>
      <c r="AX17" s="18">
        <v>0</v>
      </c>
      <c r="AY17" s="18">
        <v>15.4</v>
      </c>
      <c r="AZ17" s="18">
        <v>2.4</v>
      </c>
      <c r="BA17" s="18">
        <v>0</v>
      </c>
      <c r="BB17" s="18">
        <v>0</v>
      </c>
      <c r="BC17" s="18">
        <v>18.2</v>
      </c>
      <c r="BD17" s="18">
        <v>5.2</v>
      </c>
      <c r="BE17" s="18">
        <v>0</v>
      </c>
      <c r="BF17" s="18">
        <v>0</v>
      </c>
      <c r="BG17" s="28"/>
      <c r="BH17" s="11">
        <f t="shared" si="17"/>
        <v>10.4</v>
      </c>
      <c r="BI17" s="11">
        <f t="shared" si="18"/>
        <v>44.699999999999996</v>
      </c>
      <c r="BJ17" s="11">
        <f t="shared" si="19"/>
        <v>7.6</v>
      </c>
      <c r="BK17" s="11">
        <f t="shared" si="20"/>
        <v>41.2</v>
      </c>
      <c r="BL17" s="11">
        <f t="shared" si="21"/>
        <v>85.9</v>
      </c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27"/>
      <c r="CD17" s="40" t="str">
        <f t="shared" si="22"/>
        <v/>
      </c>
      <c r="CE17" s="40" t="str">
        <f t="shared" si="23"/>
        <v/>
      </c>
      <c r="CF17" s="40" t="str">
        <f t="shared" si="24"/>
        <v/>
      </c>
      <c r="CG17" s="40" t="str">
        <f t="shared" si="25"/>
        <v/>
      </c>
      <c r="CH17" s="40" t="str">
        <f t="shared" si="26"/>
        <v/>
      </c>
      <c r="CI17" s="50" t="str">
        <f t="shared" si="27"/>
        <v/>
      </c>
      <c r="CJ17" s="50" t="str">
        <f t="shared" si="28"/>
        <v/>
      </c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40" t="str">
        <f t="shared" si="29"/>
        <v/>
      </c>
      <c r="DF17" s="40" t="str">
        <f t="shared" si="30"/>
        <v/>
      </c>
      <c r="DG17" s="40" t="str">
        <f t="shared" si="31"/>
        <v/>
      </c>
      <c r="DH17" s="40" t="str">
        <f t="shared" si="32"/>
        <v/>
      </c>
      <c r="DI17" s="40" t="str">
        <f t="shared" si="33"/>
        <v/>
      </c>
      <c r="DJ17" s="40" t="str">
        <f t="shared" si="34"/>
        <v/>
      </c>
      <c r="DK17" s="40" t="str">
        <f t="shared" si="35"/>
        <v/>
      </c>
      <c r="DL17" s="40" t="str">
        <f t="shared" si="36"/>
        <v/>
      </c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1" t="str">
        <f t="shared" si="37"/>
        <v/>
      </c>
      <c r="EH17" s="11" t="str">
        <f t="shared" si="38"/>
        <v/>
      </c>
      <c r="EI17" s="11" t="str">
        <f t="shared" si="39"/>
        <v/>
      </c>
      <c r="EJ17" s="11" t="str">
        <f t="shared" si="40"/>
        <v/>
      </c>
      <c r="EK17" s="11" t="str">
        <f t="shared" si="41"/>
        <v/>
      </c>
      <c r="EL17" s="11" t="str">
        <f t="shared" si="42"/>
        <v/>
      </c>
      <c r="EM17" s="11" t="str">
        <f t="shared" si="43"/>
        <v/>
      </c>
      <c r="EN17" s="11" t="str">
        <f t="shared" si="44"/>
        <v/>
      </c>
      <c r="EO17" s="17">
        <v>15.2</v>
      </c>
      <c r="EP17" s="17">
        <v>2.4</v>
      </c>
      <c r="EQ17" s="17">
        <v>0</v>
      </c>
      <c r="ER17" s="17">
        <v>0</v>
      </c>
      <c r="ES17" s="17">
        <v>17.8</v>
      </c>
      <c r="ET17" s="17">
        <v>4.8</v>
      </c>
      <c r="EU17" s="17">
        <v>1</v>
      </c>
      <c r="EV17" s="17">
        <v>0</v>
      </c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40">
        <f t="shared" si="45"/>
        <v>7.1999999999999993</v>
      </c>
      <c r="FJ17" s="40">
        <f t="shared" si="46"/>
        <v>39.199999999999996</v>
      </c>
      <c r="FK17" s="40" t="str">
        <f t="shared" si="47"/>
        <v/>
      </c>
      <c r="FL17" s="40">
        <f t="shared" si="48"/>
        <v>7.1999999999999993</v>
      </c>
      <c r="FM17" s="40">
        <f t="shared" si="49"/>
        <v>39.199999999999996</v>
      </c>
      <c r="FN17" s="40" t="str">
        <f t="shared" si="50"/>
        <v/>
      </c>
      <c r="FO17" s="40" t="str">
        <f t="shared" si="51"/>
        <v/>
      </c>
      <c r="FP17" s="40">
        <f t="shared" si="52"/>
        <v>39.199999999999996</v>
      </c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1" t="str">
        <f t="shared" si="53"/>
        <v/>
      </c>
      <c r="GL17" s="11" t="str">
        <f t="shared" si="54"/>
        <v/>
      </c>
      <c r="GM17" s="11" t="str">
        <f t="shared" si="55"/>
        <v/>
      </c>
      <c r="GN17" s="11" t="str">
        <f t="shared" si="56"/>
        <v/>
      </c>
      <c r="GO17" s="11" t="str">
        <f t="shared" si="57"/>
        <v/>
      </c>
      <c r="GP17" s="11" t="str">
        <f t="shared" si="58"/>
        <v/>
      </c>
      <c r="GQ17" s="11" t="str">
        <f t="shared" si="59"/>
        <v/>
      </c>
      <c r="GR17" s="11" t="str">
        <f t="shared" si="60"/>
        <v/>
      </c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40" t="str">
        <f t="shared" si="61"/>
        <v/>
      </c>
      <c r="HN17" s="40" t="str">
        <f t="shared" si="62"/>
        <v/>
      </c>
      <c r="HO17" s="40" t="str">
        <f t="shared" si="63"/>
        <v/>
      </c>
      <c r="HP17" s="40" t="str">
        <f t="shared" si="64"/>
        <v/>
      </c>
      <c r="HQ17" s="40" t="str">
        <f t="shared" si="65"/>
        <v/>
      </c>
      <c r="HR17" s="40" t="str">
        <f t="shared" si="66"/>
        <v/>
      </c>
      <c r="HS17" s="40" t="str">
        <f t="shared" si="67"/>
        <v/>
      </c>
      <c r="HT17" s="40" t="str">
        <f t="shared" si="68"/>
        <v/>
      </c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1" t="str">
        <f t="shared" si="69"/>
        <v/>
      </c>
      <c r="IP17" s="11" t="str">
        <f t="shared" si="70"/>
        <v/>
      </c>
      <c r="IQ17" s="11" t="str">
        <f t="shared" si="71"/>
        <v/>
      </c>
      <c r="IR17" s="11" t="str">
        <f t="shared" si="72"/>
        <v/>
      </c>
      <c r="IS17" s="11" t="str">
        <f t="shared" si="73"/>
        <v/>
      </c>
      <c r="IT17" s="11" t="str">
        <f t="shared" si="74"/>
        <v/>
      </c>
      <c r="IU17" s="11" t="str">
        <f t="shared" si="75"/>
        <v/>
      </c>
      <c r="IV17" s="11" t="str">
        <f t="shared" si="76"/>
        <v/>
      </c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40" t="str">
        <f t="shared" si="77"/>
        <v/>
      </c>
      <c r="JR17" s="40" t="str">
        <f t="shared" si="78"/>
        <v/>
      </c>
      <c r="JS17" s="40" t="str">
        <f t="shared" si="79"/>
        <v/>
      </c>
      <c r="JT17" s="40" t="str">
        <f t="shared" si="80"/>
        <v/>
      </c>
      <c r="JU17" s="40" t="str">
        <f t="shared" si="81"/>
        <v/>
      </c>
      <c r="JV17" s="40" t="str">
        <f t="shared" si="82"/>
        <v/>
      </c>
      <c r="JW17" s="40" t="str">
        <f t="shared" si="83"/>
        <v/>
      </c>
      <c r="JX17" s="40" t="str">
        <f t="shared" si="84"/>
        <v/>
      </c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1" t="str">
        <f t="shared" si="85"/>
        <v/>
      </c>
      <c r="KT17" s="11" t="str">
        <f t="shared" si="86"/>
        <v/>
      </c>
      <c r="KU17" s="11" t="str">
        <f t="shared" si="87"/>
        <v/>
      </c>
      <c r="KV17" s="11" t="str">
        <f t="shared" si="88"/>
        <v/>
      </c>
      <c r="KW17" s="11" t="str">
        <f t="shared" si="89"/>
        <v/>
      </c>
      <c r="KX17" s="11" t="str">
        <f t="shared" si="90"/>
        <v/>
      </c>
      <c r="KY17" s="11" t="str">
        <f t="shared" si="91"/>
        <v/>
      </c>
      <c r="KZ17" s="11" t="str">
        <f t="shared" si="92"/>
        <v/>
      </c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40" t="str">
        <f t="shared" si="93"/>
        <v/>
      </c>
      <c r="LV17" s="40" t="str">
        <f t="shared" si="94"/>
        <v/>
      </c>
      <c r="LW17" s="40" t="str">
        <f t="shared" si="95"/>
        <v/>
      </c>
      <c r="LX17" s="40" t="str">
        <f t="shared" si="96"/>
        <v/>
      </c>
      <c r="LY17" s="40" t="str">
        <f t="shared" si="97"/>
        <v/>
      </c>
      <c r="LZ17" s="40" t="str">
        <f t="shared" si="98"/>
        <v/>
      </c>
      <c r="MA17" s="40" t="str">
        <f t="shared" si="99"/>
        <v/>
      </c>
      <c r="MB17" s="40" t="str">
        <f t="shared" si="100"/>
        <v/>
      </c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1" t="str">
        <f t="shared" si="101"/>
        <v/>
      </c>
      <c r="MX17" s="11" t="str">
        <f t="shared" si="102"/>
        <v/>
      </c>
      <c r="MY17" s="11" t="str">
        <f t="shared" si="103"/>
        <v/>
      </c>
      <c r="MZ17" s="11" t="str">
        <f t="shared" si="104"/>
        <v/>
      </c>
      <c r="NA17" s="11" t="str">
        <f t="shared" si="105"/>
        <v/>
      </c>
      <c r="NB17" s="11" t="str">
        <f t="shared" si="106"/>
        <v/>
      </c>
      <c r="NC17" s="11" t="str">
        <f t="shared" si="107"/>
        <v/>
      </c>
      <c r="ND17" s="11" t="str">
        <f t="shared" si="108"/>
        <v/>
      </c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40" t="str">
        <f t="shared" si="109"/>
        <v/>
      </c>
      <c r="NZ17" s="40" t="str">
        <f t="shared" si="110"/>
        <v/>
      </c>
      <c r="OA17" s="40" t="str">
        <f t="shared" si="111"/>
        <v/>
      </c>
      <c r="OB17" s="40" t="str">
        <f t="shared" si="112"/>
        <v/>
      </c>
      <c r="OC17" s="40" t="str">
        <f t="shared" si="113"/>
        <v/>
      </c>
      <c r="OD17" s="40" t="str">
        <f t="shared" si="114"/>
        <v/>
      </c>
      <c r="OE17" s="40" t="str">
        <f t="shared" si="115"/>
        <v/>
      </c>
      <c r="OF17" s="40" t="str">
        <f t="shared" si="116"/>
        <v/>
      </c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1" t="str">
        <f t="shared" si="117"/>
        <v/>
      </c>
      <c r="PB17" s="11" t="str">
        <f t="shared" si="118"/>
        <v/>
      </c>
      <c r="PC17" s="11" t="str">
        <f t="shared" si="119"/>
        <v/>
      </c>
      <c r="PD17" s="11" t="str">
        <f t="shared" si="120"/>
        <v/>
      </c>
      <c r="PE17" s="11" t="str">
        <f t="shared" si="121"/>
        <v/>
      </c>
      <c r="PF17" s="11" t="str">
        <f t="shared" si="122"/>
        <v/>
      </c>
      <c r="PG17" s="11" t="str">
        <f t="shared" si="123"/>
        <v/>
      </c>
      <c r="PH17" s="11" t="str">
        <f t="shared" si="124"/>
        <v/>
      </c>
      <c r="PI17" s="22">
        <f t="shared" si="125"/>
        <v>0</v>
      </c>
      <c r="PJ17" s="22">
        <f t="shared" si="126"/>
        <v>0</v>
      </c>
      <c r="PK17" s="22">
        <f t="shared" si="127"/>
        <v>0</v>
      </c>
      <c r="PL17" s="22">
        <f t="shared" si="128"/>
        <v>0</v>
      </c>
      <c r="PM17" s="22">
        <f t="shared" si="129"/>
        <v>0</v>
      </c>
      <c r="PN17" s="22">
        <f t="shared" si="130"/>
        <v>0</v>
      </c>
      <c r="PO17" s="22">
        <f t="shared" si="131"/>
        <v>0</v>
      </c>
      <c r="PP17" s="22">
        <f t="shared" si="132"/>
        <v>0</v>
      </c>
      <c r="PQ17" s="22">
        <f t="shared" si="133"/>
        <v>0</v>
      </c>
      <c r="PR17" s="22">
        <f t="shared" si="134"/>
        <v>0</v>
      </c>
      <c r="PS17" s="22">
        <f t="shared" si="135"/>
        <v>0</v>
      </c>
      <c r="PT17" s="22">
        <f t="shared" si="136"/>
        <v>0</v>
      </c>
      <c r="PU17" s="22">
        <f t="shared" si="137"/>
        <v>0</v>
      </c>
      <c r="PV17" s="22">
        <f t="shared" si="138"/>
        <v>0</v>
      </c>
      <c r="PW17" s="22">
        <f t="shared" si="139"/>
        <v>0</v>
      </c>
      <c r="PX17" s="22">
        <f t="shared" si="140"/>
        <v>0</v>
      </c>
      <c r="PY17" s="27" t="s">
        <v>46</v>
      </c>
      <c r="PZ17" s="40" t="str">
        <f t="shared" si="141"/>
        <v/>
      </c>
      <c r="QA17" s="40" t="str">
        <f t="shared" si="142"/>
        <v/>
      </c>
      <c r="QB17" s="40" t="str">
        <f t="shared" si="143"/>
        <v/>
      </c>
      <c r="QC17" s="40" t="str">
        <f t="shared" si="144"/>
        <v/>
      </c>
      <c r="QD17" s="40" t="str">
        <f t="shared" si="145"/>
        <v/>
      </c>
    </row>
    <row r="18" spans="1:446" x14ac:dyDescent="0.2">
      <c r="A18" s="4" t="str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/>
      </c>
      <c r="B18" s="4" t="str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/>
      </c>
      <c r="C18" s="5" t="s">
        <v>129</v>
      </c>
      <c r="D18" s="4" t="s">
        <v>6</v>
      </c>
      <c r="E18" s="4">
        <v>2007</v>
      </c>
      <c r="F18" s="9">
        <f t="shared" si="0"/>
        <v>131.70000876000438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IF(COUNT(AM18,BI18,CE18)&gt;0,LARGE((AM18,BI18,CE18),1),0)</f>
        <v>44</v>
      </c>
      <c r="M18" s="8" t="str">
        <f t="shared" si="5"/>
        <v>2025 Nationals</v>
      </c>
      <c r="N18" s="8">
        <f>IF(COUNT(AM18,BI18,CE18)&gt;1,LARGE((AM18,BI18,CE18),2),0)</f>
        <v>43.6</v>
      </c>
      <c r="O18" s="8" t="str">
        <f t="shared" si="6"/>
        <v>2025 Elite Canada</v>
      </c>
      <c r="P18" s="8">
        <f t="shared" si="7"/>
        <v>44.099999999999994</v>
      </c>
      <c r="Q18" s="8" t="str">
        <f t="shared" si="8"/>
        <v>2025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18.8</v>
      </c>
      <c r="V18" s="19">
        <v>3.5</v>
      </c>
      <c r="W18" s="19">
        <v>0</v>
      </c>
      <c r="X18" s="19">
        <v>0</v>
      </c>
      <c r="Y18" s="19">
        <v>18.3</v>
      </c>
      <c r="Z18" s="19">
        <v>3.6</v>
      </c>
      <c r="AA18" s="19">
        <v>0.6</v>
      </c>
      <c r="AB18" s="19">
        <v>0</v>
      </c>
      <c r="AC18" s="19">
        <v>18.399999999999999</v>
      </c>
      <c r="AD18" s="19">
        <v>3.5</v>
      </c>
      <c r="AE18" s="19">
        <v>0</v>
      </c>
      <c r="AF18" s="19">
        <v>0</v>
      </c>
      <c r="AG18" s="19">
        <v>18.5</v>
      </c>
      <c r="AH18" s="19">
        <v>3.6</v>
      </c>
      <c r="AI18" s="19">
        <v>0</v>
      </c>
      <c r="AJ18" s="19">
        <v>0</v>
      </c>
      <c r="AK18" s="27"/>
      <c r="AL18" s="40">
        <f t="shared" si="12"/>
        <v>7.1</v>
      </c>
      <c r="AM18" s="40">
        <f t="shared" si="13"/>
        <v>43.6</v>
      </c>
      <c r="AN18" s="40">
        <f t="shared" si="14"/>
        <v>7.1</v>
      </c>
      <c r="AO18" s="40">
        <f t="shared" si="15"/>
        <v>44</v>
      </c>
      <c r="AP18" s="40">
        <f t="shared" si="16"/>
        <v>87.6</v>
      </c>
      <c r="AQ18" s="18">
        <v>18.2</v>
      </c>
      <c r="AR18" s="18">
        <v>3.5</v>
      </c>
      <c r="AS18" s="18">
        <v>0.2</v>
      </c>
      <c r="AT18" s="18">
        <v>0</v>
      </c>
      <c r="AU18" s="18">
        <v>19</v>
      </c>
      <c r="AV18" s="18">
        <v>3.5</v>
      </c>
      <c r="AW18" s="18">
        <v>0</v>
      </c>
      <c r="AX18" s="18">
        <v>0</v>
      </c>
      <c r="AY18" s="18">
        <v>15.4</v>
      </c>
      <c r="AZ18" s="18">
        <v>0.7</v>
      </c>
      <c r="BA18" s="18">
        <v>0</v>
      </c>
      <c r="BB18" s="18">
        <v>0</v>
      </c>
      <c r="BC18" s="18">
        <v>18.899999999999999</v>
      </c>
      <c r="BD18" s="18">
        <v>2.7</v>
      </c>
      <c r="BE18" s="18">
        <v>1</v>
      </c>
      <c r="BF18" s="18">
        <v>0</v>
      </c>
      <c r="BG18" s="28"/>
      <c r="BH18" s="11">
        <f t="shared" si="17"/>
        <v>7</v>
      </c>
      <c r="BI18" s="11">
        <f t="shared" si="18"/>
        <v>44</v>
      </c>
      <c r="BJ18" s="11">
        <f t="shared" si="19"/>
        <v>3.4000000000000004</v>
      </c>
      <c r="BK18" s="11">
        <f t="shared" si="20"/>
        <v>36.700000000000003</v>
      </c>
      <c r="BL18" s="11">
        <f t="shared" si="21"/>
        <v>80.7</v>
      </c>
      <c r="BM18" s="19">
        <v>18.3</v>
      </c>
      <c r="BN18" s="19">
        <v>3.1</v>
      </c>
      <c r="BO18" s="19">
        <v>0.8</v>
      </c>
      <c r="BP18" s="19">
        <v>0</v>
      </c>
      <c r="BQ18" s="19">
        <v>18.7</v>
      </c>
      <c r="BR18" s="19">
        <v>3.9</v>
      </c>
      <c r="BS18" s="19">
        <v>0.8</v>
      </c>
      <c r="BT18" s="19">
        <v>0</v>
      </c>
      <c r="BU18" s="19">
        <v>18.7</v>
      </c>
      <c r="BV18" s="19">
        <v>3.5</v>
      </c>
      <c r="BW18" s="19">
        <v>0.2</v>
      </c>
      <c r="BX18" s="19">
        <v>0</v>
      </c>
      <c r="BY18" s="19">
        <v>18.600000000000001</v>
      </c>
      <c r="BZ18" s="19">
        <v>3.9</v>
      </c>
      <c r="CA18" s="19">
        <v>0.4</v>
      </c>
      <c r="CB18" s="19">
        <v>0</v>
      </c>
      <c r="CC18" s="27"/>
      <c r="CD18" s="40">
        <f t="shared" si="22"/>
        <v>7</v>
      </c>
      <c r="CE18" s="40">
        <f t="shared" si="23"/>
        <v>42.400000000000006</v>
      </c>
      <c r="CF18" s="40">
        <f t="shared" si="24"/>
        <v>7.4</v>
      </c>
      <c r="CG18" s="40">
        <f t="shared" si="25"/>
        <v>44.099999999999994</v>
      </c>
      <c r="CH18" s="40">
        <f t="shared" si="26"/>
        <v>86.5</v>
      </c>
      <c r="CI18" s="50" t="str">
        <f t="shared" si="27"/>
        <v/>
      </c>
      <c r="CJ18" s="50" t="str">
        <f t="shared" si="28"/>
        <v/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40" t="str">
        <f t="shared" si="29"/>
        <v/>
      </c>
      <c r="DF18" s="40" t="str">
        <f t="shared" si="30"/>
        <v/>
      </c>
      <c r="DG18" s="40" t="str">
        <f t="shared" si="31"/>
        <v/>
      </c>
      <c r="DH18" s="40" t="str">
        <f t="shared" si="32"/>
        <v/>
      </c>
      <c r="DI18" s="40" t="str">
        <f t="shared" si="33"/>
        <v/>
      </c>
      <c r="DJ18" s="40" t="str">
        <f t="shared" si="34"/>
        <v/>
      </c>
      <c r="DK18" s="40" t="str">
        <f t="shared" si="35"/>
        <v/>
      </c>
      <c r="DL18" s="40" t="str">
        <f t="shared" si="36"/>
        <v/>
      </c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1" t="str">
        <f t="shared" si="37"/>
        <v/>
      </c>
      <c r="EH18" s="11" t="str">
        <f t="shared" si="38"/>
        <v/>
      </c>
      <c r="EI18" s="11" t="str">
        <f t="shared" si="39"/>
        <v/>
      </c>
      <c r="EJ18" s="11" t="str">
        <f t="shared" si="40"/>
        <v/>
      </c>
      <c r="EK18" s="11" t="str">
        <f t="shared" si="41"/>
        <v/>
      </c>
      <c r="EL18" s="11" t="str">
        <f t="shared" si="42"/>
        <v/>
      </c>
      <c r="EM18" s="11" t="str">
        <f t="shared" si="43"/>
        <v/>
      </c>
      <c r="EN18" s="11" t="str">
        <f t="shared" si="44"/>
        <v/>
      </c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40" t="str">
        <f t="shared" si="45"/>
        <v/>
      </c>
      <c r="FJ18" s="40" t="str">
        <f t="shared" si="46"/>
        <v/>
      </c>
      <c r="FK18" s="40" t="str">
        <f t="shared" si="47"/>
        <v/>
      </c>
      <c r="FL18" s="40" t="str">
        <f t="shared" si="48"/>
        <v/>
      </c>
      <c r="FM18" s="40" t="str">
        <f t="shared" si="49"/>
        <v/>
      </c>
      <c r="FN18" s="40" t="str">
        <f t="shared" si="50"/>
        <v/>
      </c>
      <c r="FO18" s="40" t="str">
        <f t="shared" si="51"/>
        <v/>
      </c>
      <c r="FP18" s="40" t="str">
        <f t="shared" si="52"/>
        <v/>
      </c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1" t="str">
        <f t="shared" si="53"/>
        <v/>
      </c>
      <c r="GL18" s="11" t="str">
        <f t="shared" si="54"/>
        <v/>
      </c>
      <c r="GM18" s="11" t="str">
        <f t="shared" si="55"/>
        <v/>
      </c>
      <c r="GN18" s="11" t="str">
        <f t="shared" si="56"/>
        <v/>
      </c>
      <c r="GO18" s="11" t="str">
        <f t="shared" si="57"/>
        <v/>
      </c>
      <c r="GP18" s="11" t="str">
        <f t="shared" si="58"/>
        <v/>
      </c>
      <c r="GQ18" s="11" t="str">
        <f t="shared" si="59"/>
        <v/>
      </c>
      <c r="GR18" s="11" t="str">
        <f t="shared" si="60"/>
        <v/>
      </c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40" t="str">
        <f t="shared" si="61"/>
        <v/>
      </c>
      <c r="HN18" s="40" t="str">
        <f t="shared" si="62"/>
        <v/>
      </c>
      <c r="HO18" s="40" t="str">
        <f t="shared" si="63"/>
        <v/>
      </c>
      <c r="HP18" s="40" t="str">
        <f t="shared" si="64"/>
        <v/>
      </c>
      <c r="HQ18" s="40" t="str">
        <f t="shared" si="65"/>
        <v/>
      </c>
      <c r="HR18" s="40" t="str">
        <f t="shared" si="66"/>
        <v/>
      </c>
      <c r="HS18" s="40" t="str">
        <f t="shared" si="67"/>
        <v/>
      </c>
      <c r="HT18" s="40" t="str">
        <f t="shared" si="68"/>
        <v/>
      </c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1" t="str">
        <f t="shared" si="69"/>
        <v/>
      </c>
      <c r="IP18" s="11" t="str">
        <f t="shared" si="70"/>
        <v/>
      </c>
      <c r="IQ18" s="11" t="str">
        <f t="shared" si="71"/>
        <v/>
      </c>
      <c r="IR18" s="11" t="str">
        <f t="shared" si="72"/>
        <v/>
      </c>
      <c r="IS18" s="11" t="str">
        <f t="shared" si="73"/>
        <v/>
      </c>
      <c r="IT18" s="11" t="str">
        <f t="shared" si="74"/>
        <v/>
      </c>
      <c r="IU18" s="11" t="str">
        <f t="shared" si="75"/>
        <v/>
      </c>
      <c r="IV18" s="11" t="str">
        <f t="shared" si="76"/>
        <v/>
      </c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40" t="str">
        <f t="shared" si="77"/>
        <v/>
      </c>
      <c r="JR18" s="40" t="str">
        <f t="shared" si="78"/>
        <v/>
      </c>
      <c r="JS18" s="40" t="str">
        <f t="shared" si="79"/>
        <v/>
      </c>
      <c r="JT18" s="40" t="str">
        <f t="shared" si="80"/>
        <v/>
      </c>
      <c r="JU18" s="40" t="str">
        <f t="shared" si="81"/>
        <v/>
      </c>
      <c r="JV18" s="40" t="str">
        <f t="shared" si="82"/>
        <v/>
      </c>
      <c r="JW18" s="40" t="str">
        <f t="shared" si="83"/>
        <v/>
      </c>
      <c r="JX18" s="40" t="str">
        <f t="shared" si="84"/>
        <v/>
      </c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1" t="str">
        <f t="shared" si="85"/>
        <v/>
      </c>
      <c r="KT18" s="11" t="str">
        <f t="shared" si="86"/>
        <v/>
      </c>
      <c r="KU18" s="11" t="str">
        <f t="shared" si="87"/>
        <v/>
      </c>
      <c r="KV18" s="11" t="str">
        <f t="shared" si="88"/>
        <v/>
      </c>
      <c r="KW18" s="11" t="str">
        <f t="shared" si="89"/>
        <v/>
      </c>
      <c r="KX18" s="11" t="str">
        <f t="shared" si="90"/>
        <v/>
      </c>
      <c r="KY18" s="11" t="str">
        <f t="shared" si="91"/>
        <v/>
      </c>
      <c r="KZ18" s="11" t="str">
        <f t="shared" si="92"/>
        <v/>
      </c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40" t="str">
        <f t="shared" si="93"/>
        <v/>
      </c>
      <c r="LV18" s="40" t="str">
        <f t="shared" si="94"/>
        <v/>
      </c>
      <c r="LW18" s="40" t="str">
        <f t="shared" si="95"/>
        <v/>
      </c>
      <c r="LX18" s="40" t="str">
        <f t="shared" si="96"/>
        <v/>
      </c>
      <c r="LY18" s="40" t="str">
        <f t="shared" si="97"/>
        <v/>
      </c>
      <c r="LZ18" s="40" t="str">
        <f t="shared" si="98"/>
        <v/>
      </c>
      <c r="MA18" s="40" t="str">
        <f t="shared" si="99"/>
        <v/>
      </c>
      <c r="MB18" s="40" t="str">
        <f t="shared" si="100"/>
        <v/>
      </c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1" t="str">
        <f t="shared" si="101"/>
        <v/>
      </c>
      <c r="MX18" s="11" t="str">
        <f t="shared" si="102"/>
        <v/>
      </c>
      <c r="MY18" s="11" t="str">
        <f t="shared" si="103"/>
        <v/>
      </c>
      <c r="MZ18" s="11" t="str">
        <f t="shared" si="104"/>
        <v/>
      </c>
      <c r="NA18" s="11" t="str">
        <f t="shared" si="105"/>
        <v/>
      </c>
      <c r="NB18" s="11" t="str">
        <f t="shared" si="106"/>
        <v/>
      </c>
      <c r="NC18" s="11" t="str">
        <f t="shared" si="107"/>
        <v/>
      </c>
      <c r="ND18" s="11" t="str">
        <f t="shared" si="108"/>
        <v/>
      </c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40" t="str">
        <f t="shared" si="109"/>
        <v/>
      </c>
      <c r="NZ18" s="40" t="str">
        <f t="shared" si="110"/>
        <v/>
      </c>
      <c r="OA18" s="40" t="str">
        <f t="shared" si="111"/>
        <v/>
      </c>
      <c r="OB18" s="40" t="str">
        <f t="shared" si="112"/>
        <v/>
      </c>
      <c r="OC18" s="40" t="str">
        <f t="shared" si="113"/>
        <v/>
      </c>
      <c r="OD18" s="40" t="str">
        <f t="shared" si="114"/>
        <v/>
      </c>
      <c r="OE18" s="40" t="str">
        <f t="shared" si="115"/>
        <v/>
      </c>
      <c r="OF18" s="40" t="str">
        <f t="shared" si="116"/>
        <v/>
      </c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1" t="str">
        <f t="shared" si="117"/>
        <v/>
      </c>
      <c r="PB18" s="11" t="str">
        <f t="shared" si="118"/>
        <v/>
      </c>
      <c r="PC18" s="11" t="str">
        <f t="shared" si="119"/>
        <v/>
      </c>
      <c r="PD18" s="11" t="str">
        <f t="shared" si="120"/>
        <v/>
      </c>
      <c r="PE18" s="11" t="str">
        <f t="shared" si="121"/>
        <v/>
      </c>
      <c r="PF18" s="11" t="str">
        <f t="shared" si="122"/>
        <v/>
      </c>
      <c r="PG18" s="11" t="str">
        <f t="shared" si="123"/>
        <v/>
      </c>
      <c r="PH18" s="11" t="str">
        <f t="shared" si="124"/>
        <v/>
      </c>
      <c r="PI18" s="22">
        <f t="shared" si="125"/>
        <v>18.3</v>
      </c>
      <c r="PJ18" s="22">
        <f t="shared" si="126"/>
        <v>3.1</v>
      </c>
      <c r="PK18" s="22">
        <f t="shared" si="127"/>
        <v>0.8</v>
      </c>
      <c r="PL18" s="22">
        <f t="shared" si="128"/>
        <v>0</v>
      </c>
      <c r="PM18" s="22">
        <f t="shared" si="129"/>
        <v>18.7</v>
      </c>
      <c r="PN18" s="22">
        <f t="shared" si="130"/>
        <v>3.9</v>
      </c>
      <c r="PO18" s="22">
        <f t="shared" si="131"/>
        <v>0.8</v>
      </c>
      <c r="PP18" s="22">
        <f t="shared" si="132"/>
        <v>0</v>
      </c>
      <c r="PQ18" s="22">
        <f t="shared" si="133"/>
        <v>18.7</v>
      </c>
      <c r="PR18" s="22">
        <f t="shared" si="134"/>
        <v>3.5</v>
      </c>
      <c r="PS18" s="22">
        <f t="shared" si="135"/>
        <v>0.2</v>
      </c>
      <c r="PT18" s="22">
        <f t="shared" si="136"/>
        <v>0</v>
      </c>
      <c r="PU18" s="22">
        <f t="shared" si="137"/>
        <v>18.600000000000001</v>
      </c>
      <c r="PV18" s="22">
        <f t="shared" si="138"/>
        <v>3.9</v>
      </c>
      <c r="PW18" s="22">
        <f t="shared" si="139"/>
        <v>0.4</v>
      </c>
      <c r="PX18" s="22">
        <f t="shared" si="140"/>
        <v>0</v>
      </c>
      <c r="PY18" s="27" t="s">
        <v>46</v>
      </c>
      <c r="PZ18" s="40">
        <f t="shared" si="141"/>
        <v>7</v>
      </c>
      <c r="QA18" s="40">
        <f t="shared" si="142"/>
        <v>42.400000000000006</v>
      </c>
      <c r="QB18" s="40">
        <f t="shared" si="143"/>
        <v>7.4</v>
      </c>
      <c r="QC18" s="40">
        <f t="shared" si="144"/>
        <v>44.099999999999994</v>
      </c>
      <c r="QD18" s="40">
        <f t="shared" si="145"/>
        <v>86.5</v>
      </c>
    </row>
    <row r="19" spans="1:446" x14ac:dyDescent="0.2">
      <c r="A19" s="4" t="str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/>
      </c>
      <c r="B19" s="4" t="str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/>
      </c>
      <c r="C19" s="5" t="s">
        <v>196</v>
      </c>
      <c r="D19" s="4" t="s">
        <v>4</v>
      </c>
      <c r="E19" s="4">
        <v>2009</v>
      </c>
      <c r="F19" s="9">
        <f t="shared" si="0"/>
        <v>129.30000854000448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IF(COUNT(AM19,BI19,CE19)&gt;0,LARGE((AM19,BI19,CE19),1),0)</f>
        <v>44.699999999999996</v>
      </c>
      <c r="M19" s="8" t="str">
        <f t="shared" si="5"/>
        <v>2025 Nationals</v>
      </c>
      <c r="N19" s="8">
        <f>IF(COUNT(AM19,BI19,CE19)&gt;1,LARGE((AM19,BI19,CE19),2),0)</f>
        <v>40.700000000000003</v>
      </c>
      <c r="O19" s="8" t="str">
        <f t="shared" si="6"/>
        <v>2025 Elite Canada</v>
      </c>
      <c r="P19" s="8">
        <f t="shared" si="7"/>
        <v>43.9</v>
      </c>
      <c r="Q19" s="8" t="str">
        <f t="shared" si="8"/>
        <v>2025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18.2</v>
      </c>
      <c r="V19" s="19">
        <v>3.5</v>
      </c>
      <c r="W19" s="19">
        <v>0.6</v>
      </c>
      <c r="X19" s="19">
        <v>0</v>
      </c>
      <c r="Y19" s="19">
        <v>16</v>
      </c>
      <c r="Z19" s="19">
        <v>4.4000000000000004</v>
      </c>
      <c r="AA19" s="19">
        <v>0.8</v>
      </c>
      <c r="AB19" s="19">
        <v>0</v>
      </c>
      <c r="AC19" s="19">
        <v>15.6</v>
      </c>
      <c r="AD19" s="19">
        <v>0.7</v>
      </c>
      <c r="AE19" s="19">
        <v>0</v>
      </c>
      <c r="AF19" s="19">
        <v>0</v>
      </c>
      <c r="AG19" s="19">
        <v>17.899999999999999</v>
      </c>
      <c r="AH19" s="19">
        <v>4.4000000000000004</v>
      </c>
      <c r="AI19" s="19">
        <v>0</v>
      </c>
      <c r="AJ19" s="19">
        <v>0</v>
      </c>
      <c r="AK19" s="27"/>
      <c r="AL19" s="40">
        <f t="shared" si="12"/>
        <v>7.9</v>
      </c>
      <c r="AM19" s="40">
        <f t="shared" si="13"/>
        <v>40.700000000000003</v>
      </c>
      <c r="AN19" s="40">
        <f t="shared" si="14"/>
        <v>5.1000000000000005</v>
      </c>
      <c r="AO19" s="40">
        <f t="shared" si="15"/>
        <v>38.6</v>
      </c>
      <c r="AP19" s="40">
        <f t="shared" si="16"/>
        <v>79.300000000000011</v>
      </c>
      <c r="AQ19" s="18">
        <v>18.600000000000001</v>
      </c>
      <c r="AR19" s="18">
        <v>3.5</v>
      </c>
      <c r="AS19" s="18">
        <v>0</v>
      </c>
      <c r="AT19" s="18">
        <v>0</v>
      </c>
      <c r="AU19" s="18">
        <v>18.2</v>
      </c>
      <c r="AV19" s="18">
        <v>4.4000000000000004</v>
      </c>
      <c r="AW19" s="18">
        <v>0</v>
      </c>
      <c r="AX19" s="18">
        <v>0</v>
      </c>
      <c r="AY19" s="18">
        <v>18.600000000000001</v>
      </c>
      <c r="AZ19" s="18">
        <v>3.5</v>
      </c>
      <c r="BA19" s="18">
        <v>0</v>
      </c>
      <c r="BB19" s="18">
        <v>0</v>
      </c>
      <c r="BC19" s="18">
        <v>18</v>
      </c>
      <c r="BD19" s="18">
        <v>4.4000000000000004</v>
      </c>
      <c r="BE19" s="18">
        <v>0.6</v>
      </c>
      <c r="BF19" s="18">
        <v>0</v>
      </c>
      <c r="BG19" s="28"/>
      <c r="BH19" s="11">
        <f t="shared" si="17"/>
        <v>7.9</v>
      </c>
      <c r="BI19" s="11">
        <f t="shared" si="18"/>
        <v>44.699999999999996</v>
      </c>
      <c r="BJ19" s="11">
        <f t="shared" si="19"/>
        <v>7.9</v>
      </c>
      <c r="BK19" s="11">
        <f t="shared" si="20"/>
        <v>43.9</v>
      </c>
      <c r="BL19" s="11">
        <f t="shared" si="21"/>
        <v>88.6</v>
      </c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27"/>
      <c r="CD19" s="40" t="str">
        <f t="shared" si="22"/>
        <v/>
      </c>
      <c r="CE19" s="40" t="str">
        <f t="shared" si="23"/>
        <v/>
      </c>
      <c r="CF19" s="40" t="str">
        <f t="shared" si="24"/>
        <v/>
      </c>
      <c r="CG19" s="40" t="str">
        <f t="shared" si="25"/>
        <v/>
      </c>
      <c r="CH19" s="40" t="str">
        <f t="shared" si="26"/>
        <v/>
      </c>
      <c r="CI19" s="50" t="str">
        <f t="shared" si="27"/>
        <v/>
      </c>
      <c r="CJ19" s="50" t="str">
        <f t="shared" si="28"/>
        <v/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40" t="str">
        <f t="shared" si="29"/>
        <v/>
      </c>
      <c r="DF19" s="40" t="str">
        <f t="shared" si="30"/>
        <v/>
      </c>
      <c r="DG19" s="40" t="str">
        <f t="shared" si="31"/>
        <v/>
      </c>
      <c r="DH19" s="40" t="str">
        <f t="shared" si="32"/>
        <v/>
      </c>
      <c r="DI19" s="40" t="str">
        <f t="shared" si="33"/>
        <v/>
      </c>
      <c r="DJ19" s="40" t="str">
        <f t="shared" si="34"/>
        <v/>
      </c>
      <c r="DK19" s="40" t="str">
        <f t="shared" si="35"/>
        <v/>
      </c>
      <c r="DL19" s="40" t="str">
        <f t="shared" si="36"/>
        <v/>
      </c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1" t="str">
        <f t="shared" si="37"/>
        <v/>
      </c>
      <c r="EH19" s="11" t="str">
        <f t="shared" si="38"/>
        <v/>
      </c>
      <c r="EI19" s="11" t="str">
        <f t="shared" si="39"/>
        <v/>
      </c>
      <c r="EJ19" s="11" t="str">
        <f t="shared" si="40"/>
        <v/>
      </c>
      <c r="EK19" s="11" t="str">
        <f t="shared" si="41"/>
        <v/>
      </c>
      <c r="EL19" s="11" t="str">
        <f t="shared" si="42"/>
        <v/>
      </c>
      <c r="EM19" s="11" t="str">
        <f t="shared" si="43"/>
        <v/>
      </c>
      <c r="EN19" s="11" t="str">
        <f t="shared" si="44"/>
        <v/>
      </c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40" t="str">
        <f t="shared" si="45"/>
        <v/>
      </c>
      <c r="FJ19" s="40" t="str">
        <f t="shared" si="46"/>
        <v/>
      </c>
      <c r="FK19" s="40" t="str">
        <f t="shared" si="47"/>
        <v/>
      </c>
      <c r="FL19" s="40" t="str">
        <f t="shared" si="48"/>
        <v/>
      </c>
      <c r="FM19" s="40" t="str">
        <f t="shared" si="49"/>
        <v/>
      </c>
      <c r="FN19" s="40" t="str">
        <f t="shared" si="50"/>
        <v/>
      </c>
      <c r="FO19" s="40" t="str">
        <f t="shared" si="51"/>
        <v/>
      </c>
      <c r="FP19" s="40" t="str">
        <f t="shared" si="52"/>
        <v/>
      </c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1" t="str">
        <f t="shared" si="53"/>
        <v/>
      </c>
      <c r="GL19" s="11" t="str">
        <f t="shared" si="54"/>
        <v/>
      </c>
      <c r="GM19" s="11" t="str">
        <f t="shared" si="55"/>
        <v/>
      </c>
      <c r="GN19" s="11" t="str">
        <f t="shared" si="56"/>
        <v/>
      </c>
      <c r="GO19" s="11" t="str">
        <f t="shared" si="57"/>
        <v/>
      </c>
      <c r="GP19" s="11" t="str">
        <f t="shared" si="58"/>
        <v/>
      </c>
      <c r="GQ19" s="11" t="str">
        <f t="shared" si="59"/>
        <v/>
      </c>
      <c r="GR19" s="11" t="str">
        <f t="shared" si="60"/>
        <v/>
      </c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40" t="str">
        <f t="shared" si="61"/>
        <v/>
      </c>
      <c r="HN19" s="40" t="str">
        <f t="shared" si="62"/>
        <v/>
      </c>
      <c r="HO19" s="40" t="str">
        <f t="shared" si="63"/>
        <v/>
      </c>
      <c r="HP19" s="40" t="str">
        <f t="shared" si="64"/>
        <v/>
      </c>
      <c r="HQ19" s="40" t="str">
        <f t="shared" si="65"/>
        <v/>
      </c>
      <c r="HR19" s="40" t="str">
        <f t="shared" si="66"/>
        <v/>
      </c>
      <c r="HS19" s="40" t="str">
        <f t="shared" si="67"/>
        <v/>
      </c>
      <c r="HT19" s="40" t="str">
        <f t="shared" si="68"/>
        <v/>
      </c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1" t="str">
        <f t="shared" si="69"/>
        <v/>
      </c>
      <c r="IP19" s="11" t="str">
        <f t="shared" si="70"/>
        <v/>
      </c>
      <c r="IQ19" s="11" t="str">
        <f t="shared" si="71"/>
        <v/>
      </c>
      <c r="IR19" s="11" t="str">
        <f t="shared" si="72"/>
        <v/>
      </c>
      <c r="IS19" s="11" t="str">
        <f t="shared" si="73"/>
        <v/>
      </c>
      <c r="IT19" s="11" t="str">
        <f t="shared" si="74"/>
        <v/>
      </c>
      <c r="IU19" s="11" t="str">
        <f t="shared" si="75"/>
        <v/>
      </c>
      <c r="IV19" s="11" t="str">
        <f t="shared" si="76"/>
        <v/>
      </c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40" t="str">
        <f t="shared" si="77"/>
        <v/>
      </c>
      <c r="JR19" s="40" t="str">
        <f t="shared" si="78"/>
        <v/>
      </c>
      <c r="JS19" s="40" t="str">
        <f t="shared" si="79"/>
        <v/>
      </c>
      <c r="JT19" s="40" t="str">
        <f t="shared" si="80"/>
        <v/>
      </c>
      <c r="JU19" s="40" t="str">
        <f t="shared" si="81"/>
        <v/>
      </c>
      <c r="JV19" s="40" t="str">
        <f t="shared" si="82"/>
        <v/>
      </c>
      <c r="JW19" s="40" t="str">
        <f t="shared" si="83"/>
        <v/>
      </c>
      <c r="JX19" s="40" t="str">
        <f t="shared" si="84"/>
        <v/>
      </c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1" t="str">
        <f t="shared" si="85"/>
        <v/>
      </c>
      <c r="KT19" s="11" t="str">
        <f t="shared" si="86"/>
        <v/>
      </c>
      <c r="KU19" s="11" t="str">
        <f t="shared" si="87"/>
        <v/>
      </c>
      <c r="KV19" s="11" t="str">
        <f t="shared" si="88"/>
        <v/>
      </c>
      <c r="KW19" s="11" t="str">
        <f t="shared" si="89"/>
        <v/>
      </c>
      <c r="KX19" s="11" t="str">
        <f t="shared" si="90"/>
        <v/>
      </c>
      <c r="KY19" s="11" t="str">
        <f t="shared" si="91"/>
        <v/>
      </c>
      <c r="KZ19" s="11" t="str">
        <f t="shared" si="92"/>
        <v/>
      </c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40" t="str">
        <f t="shared" si="93"/>
        <v/>
      </c>
      <c r="LV19" s="40" t="str">
        <f t="shared" si="94"/>
        <v/>
      </c>
      <c r="LW19" s="40" t="str">
        <f t="shared" si="95"/>
        <v/>
      </c>
      <c r="LX19" s="40" t="str">
        <f t="shared" si="96"/>
        <v/>
      </c>
      <c r="LY19" s="40" t="str">
        <f t="shared" si="97"/>
        <v/>
      </c>
      <c r="LZ19" s="40" t="str">
        <f t="shared" si="98"/>
        <v/>
      </c>
      <c r="MA19" s="40" t="str">
        <f t="shared" si="99"/>
        <v/>
      </c>
      <c r="MB19" s="40" t="str">
        <f t="shared" si="100"/>
        <v/>
      </c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1" t="str">
        <f t="shared" si="101"/>
        <v/>
      </c>
      <c r="MX19" s="11" t="str">
        <f t="shared" si="102"/>
        <v/>
      </c>
      <c r="MY19" s="11" t="str">
        <f t="shared" si="103"/>
        <v/>
      </c>
      <c r="MZ19" s="11" t="str">
        <f t="shared" si="104"/>
        <v/>
      </c>
      <c r="NA19" s="11" t="str">
        <f t="shared" si="105"/>
        <v/>
      </c>
      <c r="NB19" s="11" t="str">
        <f t="shared" si="106"/>
        <v/>
      </c>
      <c r="NC19" s="11" t="str">
        <f t="shared" si="107"/>
        <v/>
      </c>
      <c r="ND19" s="11" t="str">
        <f t="shared" si="108"/>
        <v/>
      </c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40" t="str">
        <f t="shared" si="109"/>
        <v/>
      </c>
      <c r="NZ19" s="40" t="str">
        <f t="shared" si="110"/>
        <v/>
      </c>
      <c r="OA19" s="40" t="str">
        <f t="shared" si="111"/>
        <v/>
      </c>
      <c r="OB19" s="40" t="str">
        <f t="shared" si="112"/>
        <v/>
      </c>
      <c r="OC19" s="40" t="str">
        <f t="shared" si="113"/>
        <v/>
      </c>
      <c r="OD19" s="40" t="str">
        <f t="shared" si="114"/>
        <v/>
      </c>
      <c r="OE19" s="40" t="str">
        <f t="shared" si="115"/>
        <v/>
      </c>
      <c r="OF19" s="40" t="str">
        <f t="shared" si="116"/>
        <v/>
      </c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1" t="str">
        <f t="shared" si="117"/>
        <v/>
      </c>
      <c r="PB19" s="11" t="str">
        <f t="shared" si="118"/>
        <v/>
      </c>
      <c r="PC19" s="11" t="str">
        <f t="shared" si="119"/>
        <v/>
      </c>
      <c r="PD19" s="11" t="str">
        <f t="shared" si="120"/>
        <v/>
      </c>
      <c r="PE19" s="11" t="str">
        <f t="shared" si="121"/>
        <v/>
      </c>
      <c r="PF19" s="11" t="str">
        <f t="shared" si="122"/>
        <v/>
      </c>
      <c r="PG19" s="11" t="str">
        <f t="shared" si="123"/>
        <v/>
      </c>
      <c r="PH19" s="11" t="str">
        <f t="shared" si="124"/>
        <v/>
      </c>
      <c r="PI19" s="22">
        <f t="shared" si="125"/>
        <v>0</v>
      </c>
      <c r="PJ19" s="22">
        <f t="shared" si="126"/>
        <v>0</v>
      </c>
      <c r="PK19" s="22">
        <f t="shared" si="127"/>
        <v>0</v>
      </c>
      <c r="PL19" s="22">
        <f t="shared" si="128"/>
        <v>0</v>
      </c>
      <c r="PM19" s="22">
        <f t="shared" si="129"/>
        <v>0</v>
      </c>
      <c r="PN19" s="22">
        <f t="shared" si="130"/>
        <v>0</v>
      </c>
      <c r="PO19" s="22">
        <f t="shared" si="131"/>
        <v>0</v>
      </c>
      <c r="PP19" s="22">
        <f t="shared" si="132"/>
        <v>0</v>
      </c>
      <c r="PQ19" s="22">
        <f t="shared" si="133"/>
        <v>0</v>
      </c>
      <c r="PR19" s="22">
        <f t="shared" si="134"/>
        <v>0</v>
      </c>
      <c r="PS19" s="22">
        <f t="shared" si="135"/>
        <v>0</v>
      </c>
      <c r="PT19" s="22">
        <f t="shared" si="136"/>
        <v>0</v>
      </c>
      <c r="PU19" s="22">
        <f t="shared" si="137"/>
        <v>0</v>
      </c>
      <c r="PV19" s="22">
        <f t="shared" si="138"/>
        <v>0</v>
      </c>
      <c r="PW19" s="22">
        <f t="shared" si="139"/>
        <v>0</v>
      </c>
      <c r="PX19" s="22">
        <f t="shared" si="140"/>
        <v>0</v>
      </c>
      <c r="PY19" s="27" t="s">
        <v>46</v>
      </c>
      <c r="PZ19" s="40" t="str">
        <f t="shared" si="141"/>
        <v/>
      </c>
      <c r="QA19" s="40" t="str">
        <f t="shared" si="142"/>
        <v/>
      </c>
      <c r="QB19" s="40" t="str">
        <f t="shared" si="143"/>
        <v/>
      </c>
      <c r="QC19" s="40" t="str">
        <f t="shared" si="144"/>
        <v/>
      </c>
      <c r="QD19" s="40" t="str">
        <f t="shared" si="145"/>
        <v/>
      </c>
    </row>
    <row r="20" spans="1:446" x14ac:dyDescent="0.2">
      <c r="A20" s="4" t="str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/>
      </c>
      <c r="B20" s="4" t="str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/>
      </c>
      <c r="C20" s="5" t="s">
        <v>136</v>
      </c>
      <c r="D20" s="4" t="s">
        <v>5</v>
      </c>
      <c r="E20" s="4">
        <v>2006</v>
      </c>
      <c r="F20" s="9">
        <f t="shared" si="0"/>
        <v>128.50000841000443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IF(COUNT(AM20,BI20,CE20)&gt;0,LARGE((AM20,BI20,CE20),1),0)</f>
        <v>44.399999999999991</v>
      </c>
      <c r="M20" s="8" t="str">
        <f t="shared" si="5"/>
        <v>2025 Nationals</v>
      </c>
      <c r="N20" s="8">
        <f>IF(COUNT(AM20,BI20,CE20)&gt;1,LARGE((AM20,BI20,CE20),2),0)</f>
        <v>39.700000000000003</v>
      </c>
      <c r="O20" s="8" t="str">
        <f t="shared" si="6"/>
        <v>2025 Elite Canada</v>
      </c>
      <c r="P20" s="8">
        <f t="shared" si="7"/>
        <v>44.400000000000006</v>
      </c>
      <c r="Q20" s="8" t="str">
        <f t="shared" si="8"/>
        <v>2025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18.2</v>
      </c>
      <c r="V20" s="19">
        <v>5.2</v>
      </c>
      <c r="W20" s="19">
        <v>0.2</v>
      </c>
      <c r="X20" s="19">
        <v>0</v>
      </c>
      <c r="Y20" s="19">
        <v>15.8</v>
      </c>
      <c r="Z20" s="19">
        <v>0.7</v>
      </c>
      <c r="AA20" s="19">
        <v>0</v>
      </c>
      <c r="AB20" s="19">
        <v>0</v>
      </c>
      <c r="AC20" s="19"/>
      <c r="AD20" s="19"/>
      <c r="AE20" s="19"/>
      <c r="AF20" s="19"/>
      <c r="AG20" s="19"/>
      <c r="AH20" s="19"/>
      <c r="AI20" s="19"/>
      <c r="AJ20" s="19"/>
      <c r="AK20" s="27"/>
      <c r="AL20" s="40">
        <f t="shared" si="12"/>
        <v>5.9</v>
      </c>
      <c r="AM20" s="40">
        <f t="shared" si="13"/>
        <v>39.700000000000003</v>
      </c>
      <c r="AN20" s="40" t="str">
        <f t="shared" si="14"/>
        <v/>
      </c>
      <c r="AO20" s="40" t="str">
        <f t="shared" si="15"/>
        <v/>
      </c>
      <c r="AP20" s="40">
        <f t="shared" si="16"/>
        <v>39.700000000000003</v>
      </c>
      <c r="AQ20" s="18">
        <v>17.7</v>
      </c>
      <c r="AR20" s="18">
        <v>5.2</v>
      </c>
      <c r="AS20" s="18">
        <v>0</v>
      </c>
      <c r="AT20" s="18">
        <v>0</v>
      </c>
      <c r="AU20" s="18">
        <v>18.2</v>
      </c>
      <c r="AV20" s="18">
        <v>3.5</v>
      </c>
      <c r="AW20" s="18">
        <v>0.2</v>
      </c>
      <c r="AX20" s="18">
        <v>0</v>
      </c>
      <c r="AY20" s="18">
        <v>17.8</v>
      </c>
      <c r="AZ20" s="18">
        <v>5.2</v>
      </c>
      <c r="BA20" s="18">
        <v>0.8</v>
      </c>
      <c r="BB20" s="18">
        <v>0</v>
      </c>
      <c r="BC20" s="18">
        <v>18.7</v>
      </c>
      <c r="BD20" s="18">
        <v>3.5</v>
      </c>
      <c r="BE20" s="18">
        <v>0</v>
      </c>
      <c r="BF20" s="18">
        <v>0</v>
      </c>
      <c r="BG20" s="28"/>
      <c r="BH20" s="11">
        <f t="shared" si="17"/>
        <v>8.6999999999999993</v>
      </c>
      <c r="BI20" s="11">
        <f t="shared" si="18"/>
        <v>44.399999999999991</v>
      </c>
      <c r="BJ20" s="11">
        <f t="shared" si="19"/>
        <v>8.6999999999999993</v>
      </c>
      <c r="BK20" s="11">
        <f t="shared" si="20"/>
        <v>44.400000000000006</v>
      </c>
      <c r="BL20" s="11">
        <f t="shared" si="21"/>
        <v>88.8</v>
      </c>
      <c r="BM20" s="19">
        <v>15</v>
      </c>
      <c r="BN20" s="19">
        <v>2.4</v>
      </c>
      <c r="BO20" s="19">
        <v>0.2</v>
      </c>
      <c r="BP20" s="19">
        <v>0</v>
      </c>
      <c r="BQ20" s="19">
        <v>18.399999999999999</v>
      </c>
      <c r="BR20" s="19">
        <v>3.5</v>
      </c>
      <c r="BS20" s="19">
        <v>0</v>
      </c>
      <c r="BT20" s="19">
        <v>0</v>
      </c>
      <c r="BU20" s="19">
        <v>17.8</v>
      </c>
      <c r="BV20" s="19">
        <v>2.9</v>
      </c>
      <c r="BW20" s="19">
        <v>0.8</v>
      </c>
      <c r="BX20" s="19">
        <v>0</v>
      </c>
      <c r="BY20" s="19">
        <v>18.2</v>
      </c>
      <c r="BZ20" s="19">
        <v>0.7</v>
      </c>
      <c r="CA20" s="19">
        <v>3</v>
      </c>
      <c r="CB20" s="19">
        <v>0</v>
      </c>
      <c r="CC20" s="27"/>
      <c r="CD20" s="40">
        <f t="shared" si="22"/>
        <v>5.9</v>
      </c>
      <c r="CE20" s="40">
        <f t="shared" si="23"/>
        <v>39.099999999999994</v>
      </c>
      <c r="CF20" s="40">
        <f t="shared" si="24"/>
        <v>3.5999999999999996</v>
      </c>
      <c r="CG20" s="40">
        <f t="shared" si="25"/>
        <v>35.800000000000004</v>
      </c>
      <c r="CH20" s="40">
        <f t="shared" si="26"/>
        <v>74.900000000000006</v>
      </c>
      <c r="CI20" s="50" t="str">
        <f t="shared" si="27"/>
        <v/>
      </c>
      <c r="CJ20" s="50" t="str">
        <f t="shared" si="28"/>
        <v/>
      </c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40" t="str">
        <f t="shared" si="29"/>
        <v/>
      </c>
      <c r="DF20" s="40" t="str">
        <f t="shared" si="30"/>
        <v/>
      </c>
      <c r="DG20" s="40" t="str">
        <f t="shared" si="31"/>
        <v/>
      </c>
      <c r="DH20" s="40" t="str">
        <f t="shared" si="32"/>
        <v/>
      </c>
      <c r="DI20" s="40" t="str">
        <f t="shared" si="33"/>
        <v/>
      </c>
      <c r="DJ20" s="40" t="str">
        <f t="shared" si="34"/>
        <v/>
      </c>
      <c r="DK20" s="40" t="str">
        <f t="shared" si="35"/>
        <v/>
      </c>
      <c r="DL20" s="40" t="str">
        <f t="shared" si="36"/>
        <v/>
      </c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1" t="str">
        <f t="shared" si="37"/>
        <v/>
      </c>
      <c r="EH20" s="11" t="str">
        <f t="shared" si="38"/>
        <v/>
      </c>
      <c r="EI20" s="11" t="str">
        <f t="shared" si="39"/>
        <v/>
      </c>
      <c r="EJ20" s="11" t="str">
        <f t="shared" si="40"/>
        <v/>
      </c>
      <c r="EK20" s="11" t="str">
        <f t="shared" si="41"/>
        <v/>
      </c>
      <c r="EL20" s="11" t="str">
        <f t="shared" si="42"/>
        <v/>
      </c>
      <c r="EM20" s="11" t="str">
        <f t="shared" si="43"/>
        <v/>
      </c>
      <c r="EN20" s="11" t="str">
        <f t="shared" si="44"/>
        <v/>
      </c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40" t="str">
        <f t="shared" si="45"/>
        <v/>
      </c>
      <c r="FJ20" s="40" t="str">
        <f t="shared" si="46"/>
        <v/>
      </c>
      <c r="FK20" s="40" t="str">
        <f t="shared" si="47"/>
        <v/>
      </c>
      <c r="FL20" s="40" t="str">
        <f t="shared" si="48"/>
        <v/>
      </c>
      <c r="FM20" s="40" t="str">
        <f t="shared" si="49"/>
        <v/>
      </c>
      <c r="FN20" s="40" t="str">
        <f t="shared" si="50"/>
        <v/>
      </c>
      <c r="FO20" s="40" t="str">
        <f t="shared" si="51"/>
        <v/>
      </c>
      <c r="FP20" s="40" t="str">
        <f t="shared" si="52"/>
        <v/>
      </c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1" t="str">
        <f t="shared" si="53"/>
        <v/>
      </c>
      <c r="GL20" s="11" t="str">
        <f t="shared" si="54"/>
        <v/>
      </c>
      <c r="GM20" s="11" t="str">
        <f t="shared" si="55"/>
        <v/>
      </c>
      <c r="GN20" s="11" t="str">
        <f t="shared" si="56"/>
        <v/>
      </c>
      <c r="GO20" s="11" t="str">
        <f t="shared" si="57"/>
        <v/>
      </c>
      <c r="GP20" s="11" t="str">
        <f t="shared" si="58"/>
        <v/>
      </c>
      <c r="GQ20" s="11" t="str">
        <f t="shared" si="59"/>
        <v/>
      </c>
      <c r="GR20" s="11" t="str">
        <f t="shared" si="60"/>
        <v/>
      </c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40" t="str">
        <f t="shared" si="61"/>
        <v/>
      </c>
      <c r="HN20" s="40" t="str">
        <f t="shared" si="62"/>
        <v/>
      </c>
      <c r="HO20" s="40" t="str">
        <f t="shared" si="63"/>
        <v/>
      </c>
      <c r="HP20" s="40" t="str">
        <f t="shared" si="64"/>
        <v/>
      </c>
      <c r="HQ20" s="40" t="str">
        <f t="shared" si="65"/>
        <v/>
      </c>
      <c r="HR20" s="40" t="str">
        <f t="shared" si="66"/>
        <v/>
      </c>
      <c r="HS20" s="40" t="str">
        <f t="shared" si="67"/>
        <v/>
      </c>
      <c r="HT20" s="40" t="str">
        <f t="shared" si="68"/>
        <v/>
      </c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1" t="str">
        <f t="shared" si="69"/>
        <v/>
      </c>
      <c r="IP20" s="11" t="str">
        <f t="shared" si="70"/>
        <v/>
      </c>
      <c r="IQ20" s="11" t="str">
        <f t="shared" si="71"/>
        <v/>
      </c>
      <c r="IR20" s="11" t="str">
        <f t="shared" si="72"/>
        <v/>
      </c>
      <c r="IS20" s="11" t="str">
        <f t="shared" si="73"/>
        <v/>
      </c>
      <c r="IT20" s="11" t="str">
        <f t="shared" si="74"/>
        <v/>
      </c>
      <c r="IU20" s="11" t="str">
        <f t="shared" si="75"/>
        <v/>
      </c>
      <c r="IV20" s="11" t="str">
        <f t="shared" si="76"/>
        <v/>
      </c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40" t="str">
        <f t="shared" si="77"/>
        <v/>
      </c>
      <c r="JR20" s="40" t="str">
        <f t="shared" si="78"/>
        <v/>
      </c>
      <c r="JS20" s="40" t="str">
        <f t="shared" si="79"/>
        <v/>
      </c>
      <c r="JT20" s="40" t="str">
        <f t="shared" si="80"/>
        <v/>
      </c>
      <c r="JU20" s="40" t="str">
        <f t="shared" si="81"/>
        <v/>
      </c>
      <c r="JV20" s="40" t="str">
        <f t="shared" si="82"/>
        <v/>
      </c>
      <c r="JW20" s="40" t="str">
        <f t="shared" si="83"/>
        <v/>
      </c>
      <c r="JX20" s="40" t="str">
        <f t="shared" si="84"/>
        <v/>
      </c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1" t="str">
        <f t="shared" si="85"/>
        <v/>
      </c>
      <c r="KT20" s="11" t="str">
        <f t="shared" si="86"/>
        <v/>
      </c>
      <c r="KU20" s="11" t="str">
        <f t="shared" si="87"/>
        <v/>
      </c>
      <c r="KV20" s="11" t="str">
        <f t="shared" si="88"/>
        <v/>
      </c>
      <c r="KW20" s="11" t="str">
        <f t="shared" si="89"/>
        <v/>
      </c>
      <c r="KX20" s="11" t="str">
        <f t="shared" si="90"/>
        <v/>
      </c>
      <c r="KY20" s="11" t="str">
        <f t="shared" si="91"/>
        <v/>
      </c>
      <c r="KZ20" s="11" t="str">
        <f t="shared" si="92"/>
        <v/>
      </c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40" t="str">
        <f t="shared" si="93"/>
        <v/>
      </c>
      <c r="LV20" s="40" t="str">
        <f t="shared" si="94"/>
        <v/>
      </c>
      <c r="LW20" s="40" t="str">
        <f t="shared" si="95"/>
        <v/>
      </c>
      <c r="LX20" s="40" t="str">
        <f t="shared" si="96"/>
        <v/>
      </c>
      <c r="LY20" s="40" t="str">
        <f t="shared" si="97"/>
        <v/>
      </c>
      <c r="LZ20" s="40" t="str">
        <f t="shared" si="98"/>
        <v/>
      </c>
      <c r="MA20" s="40" t="str">
        <f t="shared" si="99"/>
        <v/>
      </c>
      <c r="MB20" s="40" t="str">
        <f t="shared" si="100"/>
        <v/>
      </c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1" t="str">
        <f t="shared" si="101"/>
        <v/>
      </c>
      <c r="MX20" s="11" t="str">
        <f t="shared" si="102"/>
        <v/>
      </c>
      <c r="MY20" s="11" t="str">
        <f t="shared" si="103"/>
        <v/>
      </c>
      <c r="MZ20" s="11" t="str">
        <f t="shared" si="104"/>
        <v/>
      </c>
      <c r="NA20" s="11" t="str">
        <f t="shared" si="105"/>
        <v/>
      </c>
      <c r="NB20" s="11" t="str">
        <f t="shared" si="106"/>
        <v/>
      </c>
      <c r="NC20" s="11" t="str">
        <f t="shared" si="107"/>
        <v/>
      </c>
      <c r="ND20" s="11" t="str">
        <f t="shared" si="108"/>
        <v/>
      </c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40" t="str">
        <f t="shared" si="109"/>
        <v/>
      </c>
      <c r="NZ20" s="40" t="str">
        <f t="shared" si="110"/>
        <v/>
      </c>
      <c r="OA20" s="40" t="str">
        <f t="shared" si="111"/>
        <v/>
      </c>
      <c r="OB20" s="40" t="str">
        <f t="shared" si="112"/>
        <v/>
      </c>
      <c r="OC20" s="40" t="str">
        <f t="shared" si="113"/>
        <v/>
      </c>
      <c r="OD20" s="40" t="str">
        <f t="shared" si="114"/>
        <v/>
      </c>
      <c r="OE20" s="40" t="str">
        <f t="shared" si="115"/>
        <v/>
      </c>
      <c r="OF20" s="40" t="str">
        <f t="shared" si="116"/>
        <v/>
      </c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1" t="str">
        <f t="shared" si="117"/>
        <v/>
      </c>
      <c r="PB20" s="11" t="str">
        <f t="shared" si="118"/>
        <v/>
      </c>
      <c r="PC20" s="11" t="str">
        <f t="shared" si="119"/>
        <v/>
      </c>
      <c r="PD20" s="11" t="str">
        <f t="shared" si="120"/>
        <v/>
      </c>
      <c r="PE20" s="11" t="str">
        <f t="shared" si="121"/>
        <v/>
      </c>
      <c r="PF20" s="11" t="str">
        <f t="shared" si="122"/>
        <v/>
      </c>
      <c r="PG20" s="11" t="str">
        <f t="shared" si="123"/>
        <v/>
      </c>
      <c r="PH20" s="11" t="str">
        <f t="shared" si="124"/>
        <v/>
      </c>
      <c r="PI20" s="22">
        <f t="shared" si="125"/>
        <v>15</v>
      </c>
      <c r="PJ20" s="22">
        <f t="shared" si="126"/>
        <v>2.4</v>
      </c>
      <c r="PK20" s="22">
        <f t="shared" si="127"/>
        <v>0.2</v>
      </c>
      <c r="PL20" s="22">
        <f t="shared" si="128"/>
        <v>0</v>
      </c>
      <c r="PM20" s="22">
        <f t="shared" si="129"/>
        <v>18.399999999999999</v>
      </c>
      <c r="PN20" s="22">
        <f t="shared" si="130"/>
        <v>3.5</v>
      </c>
      <c r="PO20" s="22">
        <f t="shared" si="131"/>
        <v>0</v>
      </c>
      <c r="PP20" s="22">
        <f t="shared" si="132"/>
        <v>0</v>
      </c>
      <c r="PQ20" s="22">
        <f t="shared" si="133"/>
        <v>17.8</v>
      </c>
      <c r="PR20" s="22">
        <f t="shared" si="134"/>
        <v>2.9</v>
      </c>
      <c r="PS20" s="22">
        <f t="shared" si="135"/>
        <v>0.8</v>
      </c>
      <c r="PT20" s="22">
        <f t="shared" si="136"/>
        <v>0</v>
      </c>
      <c r="PU20" s="22">
        <f t="shared" si="137"/>
        <v>18.2</v>
      </c>
      <c r="PV20" s="22">
        <f t="shared" si="138"/>
        <v>0.7</v>
      </c>
      <c r="PW20" s="22">
        <f t="shared" si="139"/>
        <v>3</v>
      </c>
      <c r="PX20" s="22">
        <f t="shared" si="140"/>
        <v>0</v>
      </c>
      <c r="PY20" s="27" t="s">
        <v>46</v>
      </c>
      <c r="PZ20" s="40">
        <f t="shared" si="141"/>
        <v>5.9</v>
      </c>
      <c r="QA20" s="40">
        <f t="shared" si="142"/>
        <v>39.099999999999994</v>
      </c>
      <c r="QB20" s="40">
        <f t="shared" si="143"/>
        <v>3.5999999999999996</v>
      </c>
      <c r="QC20" s="40">
        <f t="shared" si="144"/>
        <v>35.800000000000004</v>
      </c>
      <c r="QD20" s="40">
        <f t="shared" si="145"/>
        <v>74.900000000000006</v>
      </c>
    </row>
    <row r="21" spans="1:446" x14ac:dyDescent="0.2">
      <c r="A21" s="4" t="str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/>
      </c>
      <c r="B21" s="4" t="str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/>
      </c>
      <c r="C21" s="5" t="s">
        <v>167</v>
      </c>
      <c r="D21" s="4" t="s">
        <v>4</v>
      </c>
      <c r="E21" s="4">
        <v>2005</v>
      </c>
      <c r="F21" s="9">
        <f t="shared" si="0"/>
        <v>127.50000831000443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IF(COUNT(AM21,BI21,CE21)&gt;0,LARGE((AM21,BI21,CE21),1),0)</f>
        <v>44.2</v>
      </c>
      <c r="M21" s="8" t="str">
        <f t="shared" si="5"/>
        <v>2025 Elite Canada</v>
      </c>
      <c r="N21" s="8">
        <f>IF(COUNT(AM21,BI21,CE21)&gt;1,LARGE((AM21,BI21,CE21),2),0)</f>
        <v>38.900000000000006</v>
      </c>
      <c r="O21" s="8" t="str">
        <f t="shared" si="6"/>
        <v>2025 Nationals</v>
      </c>
      <c r="P21" s="8">
        <f t="shared" si="7"/>
        <v>44.400000000000006</v>
      </c>
      <c r="Q21" s="8" t="str">
        <f t="shared" si="8"/>
        <v>2025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18.3</v>
      </c>
      <c r="V21" s="19">
        <v>3.5</v>
      </c>
      <c r="W21" s="19">
        <v>0</v>
      </c>
      <c r="X21" s="19">
        <v>0</v>
      </c>
      <c r="Y21" s="19">
        <v>18.899999999999999</v>
      </c>
      <c r="Z21" s="19">
        <v>3.5</v>
      </c>
      <c r="AA21" s="19">
        <v>0</v>
      </c>
      <c r="AB21" s="19">
        <v>0</v>
      </c>
      <c r="AC21" s="19">
        <v>18.3</v>
      </c>
      <c r="AD21" s="19">
        <v>3.5</v>
      </c>
      <c r="AE21" s="19">
        <v>0</v>
      </c>
      <c r="AF21" s="19">
        <v>0</v>
      </c>
      <c r="AG21" s="19">
        <v>19.100000000000001</v>
      </c>
      <c r="AH21" s="19">
        <v>3.5</v>
      </c>
      <c r="AI21" s="19">
        <v>0</v>
      </c>
      <c r="AJ21" s="19">
        <v>0</v>
      </c>
      <c r="AK21" s="27"/>
      <c r="AL21" s="40">
        <f t="shared" si="12"/>
        <v>7</v>
      </c>
      <c r="AM21" s="40">
        <f t="shared" si="13"/>
        <v>44.2</v>
      </c>
      <c r="AN21" s="40">
        <f t="shared" si="14"/>
        <v>7</v>
      </c>
      <c r="AO21" s="40">
        <f t="shared" si="15"/>
        <v>44.400000000000006</v>
      </c>
      <c r="AP21" s="40">
        <f t="shared" si="16"/>
        <v>88.600000000000009</v>
      </c>
      <c r="AQ21" s="18">
        <v>15.4</v>
      </c>
      <c r="AR21" s="18">
        <v>0.7</v>
      </c>
      <c r="AS21" s="18">
        <v>0</v>
      </c>
      <c r="AT21" s="18">
        <v>0</v>
      </c>
      <c r="AU21" s="18">
        <v>19.3</v>
      </c>
      <c r="AV21" s="18">
        <v>3.5</v>
      </c>
      <c r="AW21" s="18">
        <v>0</v>
      </c>
      <c r="AX21" s="18">
        <v>0</v>
      </c>
      <c r="AY21" s="18"/>
      <c r="AZ21" s="18"/>
      <c r="BA21" s="18"/>
      <c r="BB21" s="18"/>
      <c r="BC21" s="18"/>
      <c r="BD21" s="18"/>
      <c r="BE21" s="18"/>
      <c r="BF21" s="18"/>
      <c r="BG21" s="28"/>
      <c r="BH21" s="11">
        <f t="shared" si="17"/>
        <v>4.2</v>
      </c>
      <c r="BI21" s="11">
        <f t="shared" si="18"/>
        <v>38.900000000000006</v>
      </c>
      <c r="BJ21" s="11" t="str">
        <f t="shared" si="19"/>
        <v/>
      </c>
      <c r="BK21" s="11" t="str">
        <f t="shared" si="20"/>
        <v/>
      </c>
      <c r="BL21" s="11">
        <f t="shared" si="21"/>
        <v>38.900000000000006</v>
      </c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27"/>
      <c r="CD21" s="40" t="str">
        <f t="shared" si="22"/>
        <v/>
      </c>
      <c r="CE21" s="40" t="str">
        <f t="shared" si="23"/>
        <v/>
      </c>
      <c r="CF21" s="40" t="str">
        <f t="shared" si="24"/>
        <v/>
      </c>
      <c r="CG21" s="40" t="str">
        <f t="shared" si="25"/>
        <v/>
      </c>
      <c r="CH21" s="40" t="str">
        <f t="shared" si="26"/>
        <v/>
      </c>
      <c r="CI21" s="50" t="str">
        <f t="shared" si="27"/>
        <v/>
      </c>
      <c r="CJ21" s="50" t="str">
        <f t="shared" si="28"/>
        <v/>
      </c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40" t="str">
        <f t="shared" si="29"/>
        <v/>
      </c>
      <c r="DF21" s="40" t="str">
        <f t="shared" si="30"/>
        <v/>
      </c>
      <c r="DG21" s="40" t="str">
        <f t="shared" si="31"/>
        <v/>
      </c>
      <c r="DH21" s="40" t="str">
        <f t="shared" si="32"/>
        <v/>
      </c>
      <c r="DI21" s="40" t="str">
        <f t="shared" si="33"/>
        <v/>
      </c>
      <c r="DJ21" s="40" t="str">
        <f t="shared" si="34"/>
        <v/>
      </c>
      <c r="DK21" s="40" t="str">
        <f t="shared" si="35"/>
        <v/>
      </c>
      <c r="DL21" s="40" t="str">
        <f t="shared" si="36"/>
        <v/>
      </c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1" t="str">
        <f t="shared" si="37"/>
        <v/>
      </c>
      <c r="EH21" s="11" t="str">
        <f t="shared" si="38"/>
        <v/>
      </c>
      <c r="EI21" s="11" t="str">
        <f t="shared" si="39"/>
        <v/>
      </c>
      <c r="EJ21" s="11" t="str">
        <f t="shared" si="40"/>
        <v/>
      </c>
      <c r="EK21" s="11" t="str">
        <f t="shared" si="41"/>
        <v/>
      </c>
      <c r="EL21" s="11" t="str">
        <f t="shared" si="42"/>
        <v/>
      </c>
      <c r="EM21" s="11" t="str">
        <f t="shared" si="43"/>
        <v/>
      </c>
      <c r="EN21" s="11" t="str">
        <f t="shared" si="44"/>
        <v/>
      </c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40" t="str">
        <f t="shared" si="45"/>
        <v/>
      </c>
      <c r="FJ21" s="40" t="str">
        <f t="shared" si="46"/>
        <v/>
      </c>
      <c r="FK21" s="40" t="str">
        <f t="shared" si="47"/>
        <v/>
      </c>
      <c r="FL21" s="40" t="str">
        <f t="shared" si="48"/>
        <v/>
      </c>
      <c r="FM21" s="40" t="str">
        <f t="shared" si="49"/>
        <v/>
      </c>
      <c r="FN21" s="40" t="str">
        <f t="shared" si="50"/>
        <v/>
      </c>
      <c r="FO21" s="40" t="str">
        <f t="shared" si="51"/>
        <v/>
      </c>
      <c r="FP21" s="40" t="str">
        <f t="shared" si="52"/>
        <v/>
      </c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1" t="str">
        <f t="shared" si="53"/>
        <v/>
      </c>
      <c r="GL21" s="11" t="str">
        <f t="shared" si="54"/>
        <v/>
      </c>
      <c r="GM21" s="11" t="str">
        <f t="shared" si="55"/>
        <v/>
      </c>
      <c r="GN21" s="11" t="str">
        <f t="shared" si="56"/>
        <v/>
      </c>
      <c r="GO21" s="11" t="str">
        <f t="shared" si="57"/>
        <v/>
      </c>
      <c r="GP21" s="11" t="str">
        <f t="shared" si="58"/>
        <v/>
      </c>
      <c r="GQ21" s="11" t="str">
        <f t="shared" si="59"/>
        <v/>
      </c>
      <c r="GR21" s="11" t="str">
        <f t="shared" si="60"/>
        <v/>
      </c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40" t="str">
        <f t="shared" si="61"/>
        <v/>
      </c>
      <c r="HN21" s="40" t="str">
        <f t="shared" si="62"/>
        <v/>
      </c>
      <c r="HO21" s="40" t="str">
        <f t="shared" si="63"/>
        <v/>
      </c>
      <c r="HP21" s="40" t="str">
        <f t="shared" si="64"/>
        <v/>
      </c>
      <c r="HQ21" s="40" t="str">
        <f t="shared" si="65"/>
        <v/>
      </c>
      <c r="HR21" s="40" t="str">
        <f t="shared" si="66"/>
        <v/>
      </c>
      <c r="HS21" s="40" t="str">
        <f t="shared" si="67"/>
        <v/>
      </c>
      <c r="HT21" s="40" t="str">
        <f t="shared" si="68"/>
        <v/>
      </c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1" t="str">
        <f t="shared" si="69"/>
        <v/>
      </c>
      <c r="IP21" s="11" t="str">
        <f t="shared" si="70"/>
        <v/>
      </c>
      <c r="IQ21" s="11" t="str">
        <f t="shared" si="71"/>
        <v/>
      </c>
      <c r="IR21" s="11" t="str">
        <f t="shared" si="72"/>
        <v/>
      </c>
      <c r="IS21" s="11" t="str">
        <f t="shared" si="73"/>
        <v/>
      </c>
      <c r="IT21" s="11" t="str">
        <f t="shared" si="74"/>
        <v/>
      </c>
      <c r="IU21" s="11" t="str">
        <f t="shared" si="75"/>
        <v/>
      </c>
      <c r="IV21" s="11" t="str">
        <f t="shared" si="76"/>
        <v/>
      </c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40" t="str">
        <f t="shared" si="77"/>
        <v/>
      </c>
      <c r="JR21" s="40" t="str">
        <f t="shared" si="78"/>
        <v/>
      </c>
      <c r="JS21" s="40" t="str">
        <f t="shared" si="79"/>
        <v/>
      </c>
      <c r="JT21" s="40" t="str">
        <f t="shared" si="80"/>
        <v/>
      </c>
      <c r="JU21" s="40" t="str">
        <f t="shared" si="81"/>
        <v/>
      </c>
      <c r="JV21" s="40" t="str">
        <f t="shared" si="82"/>
        <v/>
      </c>
      <c r="JW21" s="40" t="str">
        <f t="shared" si="83"/>
        <v/>
      </c>
      <c r="JX21" s="40" t="str">
        <f t="shared" si="84"/>
        <v/>
      </c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1" t="str">
        <f t="shared" si="85"/>
        <v/>
      </c>
      <c r="KT21" s="11" t="str">
        <f t="shared" si="86"/>
        <v/>
      </c>
      <c r="KU21" s="11" t="str">
        <f t="shared" si="87"/>
        <v/>
      </c>
      <c r="KV21" s="11" t="str">
        <f t="shared" si="88"/>
        <v/>
      </c>
      <c r="KW21" s="11" t="str">
        <f t="shared" si="89"/>
        <v/>
      </c>
      <c r="KX21" s="11" t="str">
        <f t="shared" si="90"/>
        <v/>
      </c>
      <c r="KY21" s="11" t="str">
        <f t="shared" si="91"/>
        <v/>
      </c>
      <c r="KZ21" s="11" t="str">
        <f t="shared" si="92"/>
        <v/>
      </c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40" t="str">
        <f t="shared" si="93"/>
        <v/>
      </c>
      <c r="LV21" s="40" t="str">
        <f t="shared" si="94"/>
        <v/>
      </c>
      <c r="LW21" s="40" t="str">
        <f t="shared" si="95"/>
        <v/>
      </c>
      <c r="LX21" s="40" t="str">
        <f t="shared" si="96"/>
        <v/>
      </c>
      <c r="LY21" s="40" t="str">
        <f t="shared" si="97"/>
        <v/>
      </c>
      <c r="LZ21" s="40" t="str">
        <f t="shared" si="98"/>
        <v/>
      </c>
      <c r="MA21" s="40" t="str">
        <f t="shared" si="99"/>
        <v/>
      </c>
      <c r="MB21" s="40" t="str">
        <f t="shared" si="100"/>
        <v/>
      </c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1" t="str">
        <f t="shared" si="101"/>
        <v/>
      </c>
      <c r="MX21" s="11" t="str">
        <f t="shared" si="102"/>
        <v/>
      </c>
      <c r="MY21" s="11" t="str">
        <f t="shared" si="103"/>
        <v/>
      </c>
      <c r="MZ21" s="11" t="str">
        <f t="shared" si="104"/>
        <v/>
      </c>
      <c r="NA21" s="11" t="str">
        <f t="shared" si="105"/>
        <v/>
      </c>
      <c r="NB21" s="11" t="str">
        <f t="shared" si="106"/>
        <v/>
      </c>
      <c r="NC21" s="11" t="str">
        <f t="shared" si="107"/>
        <v/>
      </c>
      <c r="ND21" s="11" t="str">
        <f t="shared" si="108"/>
        <v/>
      </c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40" t="str">
        <f t="shared" si="109"/>
        <v/>
      </c>
      <c r="NZ21" s="40" t="str">
        <f t="shared" si="110"/>
        <v/>
      </c>
      <c r="OA21" s="40" t="str">
        <f t="shared" si="111"/>
        <v/>
      </c>
      <c r="OB21" s="40" t="str">
        <f t="shared" si="112"/>
        <v/>
      </c>
      <c r="OC21" s="40" t="str">
        <f t="shared" si="113"/>
        <v/>
      </c>
      <c r="OD21" s="40" t="str">
        <f t="shared" si="114"/>
        <v/>
      </c>
      <c r="OE21" s="40" t="str">
        <f t="shared" si="115"/>
        <v/>
      </c>
      <c r="OF21" s="40" t="str">
        <f t="shared" si="116"/>
        <v/>
      </c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1" t="str">
        <f t="shared" si="117"/>
        <v/>
      </c>
      <c r="PB21" s="11" t="str">
        <f t="shared" si="118"/>
        <v/>
      </c>
      <c r="PC21" s="11" t="str">
        <f t="shared" si="119"/>
        <v/>
      </c>
      <c r="PD21" s="11" t="str">
        <f t="shared" si="120"/>
        <v/>
      </c>
      <c r="PE21" s="11" t="str">
        <f t="shared" si="121"/>
        <v/>
      </c>
      <c r="PF21" s="11" t="str">
        <f t="shared" si="122"/>
        <v/>
      </c>
      <c r="PG21" s="11" t="str">
        <f t="shared" si="123"/>
        <v/>
      </c>
      <c r="PH21" s="11" t="str">
        <f t="shared" si="124"/>
        <v/>
      </c>
      <c r="PI21" s="22">
        <f t="shared" si="125"/>
        <v>0</v>
      </c>
      <c r="PJ21" s="22">
        <f t="shared" si="126"/>
        <v>0</v>
      </c>
      <c r="PK21" s="22">
        <f t="shared" si="127"/>
        <v>0</v>
      </c>
      <c r="PL21" s="22">
        <f t="shared" si="128"/>
        <v>0</v>
      </c>
      <c r="PM21" s="22">
        <f t="shared" si="129"/>
        <v>0</v>
      </c>
      <c r="PN21" s="22">
        <f t="shared" si="130"/>
        <v>0</v>
      </c>
      <c r="PO21" s="22">
        <f t="shared" si="131"/>
        <v>0</v>
      </c>
      <c r="PP21" s="22">
        <f t="shared" si="132"/>
        <v>0</v>
      </c>
      <c r="PQ21" s="22">
        <f t="shared" si="133"/>
        <v>0</v>
      </c>
      <c r="PR21" s="22">
        <f t="shared" si="134"/>
        <v>0</v>
      </c>
      <c r="PS21" s="22">
        <f t="shared" si="135"/>
        <v>0</v>
      </c>
      <c r="PT21" s="22">
        <f t="shared" si="136"/>
        <v>0</v>
      </c>
      <c r="PU21" s="22">
        <f t="shared" si="137"/>
        <v>0</v>
      </c>
      <c r="PV21" s="22">
        <f t="shared" si="138"/>
        <v>0</v>
      </c>
      <c r="PW21" s="22">
        <f t="shared" si="139"/>
        <v>0</v>
      </c>
      <c r="PX21" s="22">
        <f t="shared" si="140"/>
        <v>0</v>
      </c>
      <c r="PY21" s="27" t="s">
        <v>46</v>
      </c>
      <c r="PZ21" s="40" t="str">
        <f t="shared" si="141"/>
        <v/>
      </c>
      <c r="QA21" s="40" t="str">
        <f t="shared" si="142"/>
        <v/>
      </c>
      <c r="QB21" s="40" t="str">
        <f t="shared" si="143"/>
        <v/>
      </c>
      <c r="QC21" s="40" t="str">
        <f t="shared" si="144"/>
        <v/>
      </c>
      <c r="QD21" s="40" t="str">
        <f t="shared" si="145"/>
        <v/>
      </c>
    </row>
    <row r="22" spans="1:446" x14ac:dyDescent="0.2">
      <c r="A22" s="4" t="str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/>
      </c>
      <c r="B22" s="4" t="str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/>
      </c>
      <c r="C22" s="5" t="s">
        <v>166</v>
      </c>
      <c r="D22" s="4" t="s">
        <v>4</v>
      </c>
      <c r="E22" s="4">
        <v>2008</v>
      </c>
      <c r="F22" s="9">
        <f t="shared" si="0"/>
        <v>127.1000082100044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IF(COUNT(AM22,BI22,CE22)&gt;0,LARGE((AM22,BI22,CE22),1),0)</f>
        <v>44.1</v>
      </c>
      <c r="M22" s="8" t="str">
        <f t="shared" si="5"/>
        <v>2025 Nationals</v>
      </c>
      <c r="N22" s="8">
        <f>IF(COUNT(AM22,BI22,CE22)&gt;1,LARGE((AM22,BI22,CE22),2),0)</f>
        <v>38</v>
      </c>
      <c r="O22" s="8" t="str">
        <f t="shared" si="6"/>
        <v>2025 Elite Canada</v>
      </c>
      <c r="P22" s="8">
        <f t="shared" si="7"/>
        <v>45</v>
      </c>
      <c r="Q22" s="8" t="str">
        <f t="shared" si="8"/>
        <v>2025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18.5</v>
      </c>
      <c r="V22" s="19">
        <v>3.1</v>
      </c>
      <c r="W22" s="19">
        <v>1</v>
      </c>
      <c r="X22" s="19">
        <v>0</v>
      </c>
      <c r="Y22" s="19">
        <v>15</v>
      </c>
      <c r="Z22" s="19">
        <v>2.4</v>
      </c>
      <c r="AA22" s="19">
        <v>0</v>
      </c>
      <c r="AB22" s="19">
        <v>0</v>
      </c>
      <c r="AC22" s="19">
        <v>18.7</v>
      </c>
      <c r="AD22" s="19">
        <v>3.5</v>
      </c>
      <c r="AE22" s="19">
        <v>0</v>
      </c>
      <c r="AF22" s="19">
        <v>0</v>
      </c>
      <c r="AG22" s="19">
        <v>18</v>
      </c>
      <c r="AH22" s="19">
        <v>4.8</v>
      </c>
      <c r="AI22" s="19">
        <v>0</v>
      </c>
      <c r="AJ22" s="19">
        <v>0</v>
      </c>
      <c r="AK22" s="27"/>
      <c r="AL22" s="40">
        <f t="shared" si="12"/>
        <v>5.5</v>
      </c>
      <c r="AM22" s="40">
        <f t="shared" si="13"/>
        <v>38</v>
      </c>
      <c r="AN22" s="40">
        <f t="shared" si="14"/>
        <v>8.3000000000000007</v>
      </c>
      <c r="AO22" s="40">
        <f t="shared" si="15"/>
        <v>45</v>
      </c>
      <c r="AP22" s="40">
        <f t="shared" si="16"/>
        <v>83</v>
      </c>
      <c r="AQ22" s="18">
        <v>18.5</v>
      </c>
      <c r="AR22" s="18">
        <v>3.5</v>
      </c>
      <c r="AS22" s="18">
        <v>0</v>
      </c>
      <c r="AT22" s="18">
        <v>0</v>
      </c>
      <c r="AU22" s="18">
        <v>17.7</v>
      </c>
      <c r="AV22" s="18">
        <v>4.4000000000000004</v>
      </c>
      <c r="AW22" s="18">
        <v>0</v>
      </c>
      <c r="AX22" s="18">
        <v>0</v>
      </c>
      <c r="AY22" s="18">
        <v>18.899999999999999</v>
      </c>
      <c r="AZ22" s="18">
        <v>3.5</v>
      </c>
      <c r="BA22" s="18">
        <v>0</v>
      </c>
      <c r="BB22" s="18">
        <v>0</v>
      </c>
      <c r="BC22" s="18">
        <v>18</v>
      </c>
      <c r="BD22" s="18">
        <v>4.4000000000000004</v>
      </c>
      <c r="BE22" s="18">
        <v>0.6</v>
      </c>
      <c r="BF22" s="18">
        <v>0</v>
      </c>
      <c r="BG22" s="28"/>
      <c r="BH22" s="11">
        <f t="shared" si="17"/>
        <v>7.9</v>
      </c>
      <c r="BI22" s="11">
        <f t="shared" si="18"/>
        <v>44.1</v>
      </c>
      <c r="BJ22" s="11">
        <f t="shared" si="19"/>
        <v>7.9</v>
      </c>
      <c r="BK22" s="11">
        <f t="shared" si="20"/>
        <v>44.199999999999996</v>
      </c>
      <c r="BL22" s="11">
        <f t="shared" si="21"/>
        <v>88.3</v>
      </c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27"/>
      <c r="CD22" s="40" t="str">
        <f t="shared" si="22"/>
        <v/>
      </c>
      <c r="CE22" s="40" t="str">
        <f t="shared" si="23"/>
        <v/>
      </c>
      <c r="CF22" s="40" t="str">
        <f t="shared" si="24"/>
        <v/>
      </c>
      <c r="CG22" s="40" t="str">
        <f t="shared" si="25"/>
        <v/>
      </c>
      <c r="CH22" s="40" t="str">
        <f t="shared" si="26"/>
        <v/>
      </c>
      <c r="CI22" s="50" t="str">
        <f t="shared" si="27"/>
        <v/>
      </c>
      <c r="CJ22" s="50" t="str">
        <f t="shared" si="28"/>
        <v/>
      </c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40" t="str">
        <f t="shared" si="29"/>
        <v/>
      </c>
      <c r="DF22" s="40" t="str">
        <f t="shared" si="30"/>
        <v/>
      </c>
      <c r="DG22" s="40" t="str">
        <f t="shared" si="31"/>
        <v/>
      </c>
      <c r="DH22" s="40" t="str">
        <f t="shared" si="32"/>
        <v/>
      </c>
      <c r="DI22" s="40" t="str">
        <f t="shared" si="33"/>
        <v/>
      </c>
      <c r="DJ22" s="40" t="str">
        <f t="shared" si="34"/>
        <v/>
      </c>
      <c r="DK22" s="40" t="str">
        <f t="shared" si="35"/>
        <v/>
      </c>
      <c r="DL22" s="40" t="str">
        <f t="shared" si="36"/>
        <v/>
      </c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1" t="str">
        <f t="shared" si="37"/>
        <v/>
      </c>
      <c r="EH22" s="11" t="str">
        <f t="shared" si="38"/>
        <v/>
      </c>
      <c r="EI22" s="11" t="str">
        <f t="shared" si="39"/>
        <v/>
      </c>
      <c r="EJ22" s="11" t="str">
        <f t="shared" si="40"/>
        <v/>
      </c>
      <c r="EK22" s="11" t="str">
        <f t="shared" si="41"/>
        <v/>
      </c>
      <c r="EL22" s="11" t="str">
        <f t="shared" si="42"/>
        <v/>
      </c>
      <c r="EM22" s="11" t="str">
        <f t="shared" si="43"/>
        <v/>
      </c>
      <c r="EN22" s="11" t="str">
        <f t="shared" si="44"/>
        <v/>
      </c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40" t="str">
        <f t="shared" si="45"/>
        <v/>
      </c>
      <c r="FJ22" s="40" t="str">
        <f t="shared" si="46"/>
        <v/>
      </c>
      <c r="FK22" s="40" t="str">
        <f t="shared" si="47"/>
        <v/>
      </c>
      <c r="FL22" s="40" t="str">
        <f t="shared" si="48"/>
        <v/>
      </c>
      <c r="FM22" s="40" t="str">
        <f t="shared" si="49"/>
        <v/>
      </c>
      <c r="FN22" s="40" t="str">
        <f t="shared" si="50"/>
        <v/>
      </c>
      <c r="FO22" s="40" t="str">
        <f t="shared" si="51"/>
        <v/>
      </c>
      <c r="FP22" s="40" t="str">
        <f t="shared" si="52"/>
        <v/>
      </c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1" t="str">
        <f t="shared" si="53"/>
        <v/>
      </c>
      <c r="GL22" s="11" t="str">
        <f t="shared" si="54"/>
        <v/>
      </c>
      <c r="GM22" s="11" t="str">
        <f t="shared" si="55"/>
        <v/>
      </c>
      <c r="GN22" s="11" t="str">
        <f t="shared" si="56"/>
        <v/>
      </c>
      <c r="GO22" s="11" t="str">
        <f t="shared" si="57"/>
        <v/>
      </c>
      <c r="GP22" s="11" t="str">
        <f t="shared" si="58"/>
        <v/>
      </c>
      <c r="GQ22" s="11" t="str">
        <f t="shared" si="59"/>
        <v/>
      </c>
      <c r="GR22" s="11" t="str">
        <f t="shared" si="60"/>
        <v/>
      </c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40" t="str">
        <f t="shared" si="61"/>
        <v/>
      </c>
      <c r="HN22" s="40" t="str">
        <f t="shared" si="62"/>
        <v/>
      </c>
      <c r="HO22" s="40" t="str">
        <f t="shared" si="63"/>
        <v/>
      </c>
      <c r="HP22" s="40" t="str">
        <f t="shared" si="64"/>
        <v/>
      </c>
      <c r="HQ22" s="40" t="str">
        <f t="shared" si="65"/>
        <v/>
      </c>
      <c r="HR22" s="40" t="str">
        <f t="shared" si="66"/>
        <v/>
      </c>
      <c r="HS22" s="40" t="str">
        <f t="shared" si="67"/>
        <v/>
      </c>
      <c r="HT22" s="40" t="str">
        <f t="shared" si="68"/>
        <v/>
      </c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1" t="str">
        <f t="shared" si="69"/>
        <v/>
      </c>
      <c r="IP22" s="11" t="str">
        <f t="shared" si="70"/>
        <v/>
      </c>
      <c r="IQ22" s="11" t="str">
        <f t="shared" si="71"/>
        <v/>
      </c>
      <c r="IR22" s="11" t="str">
        <f t="shared" si="72"/>
        <v/>
      </c>
      <c r="IS22" s="11" t="str">
        <f t="shared" si="73"/>
        <v/>
      </c>
      <c r="IT22" s="11" t="str">
        <f t="shared" si="74"/>
        <v/>
      </c>
      <c r="IU22" s="11" t="str">
        <f t="shared" si="75"/>
        <v/>
      </c>
      <c r="IV22" s="11" t="str">
        <f t="shared" si="76"/>
        <v/>
      </c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40" t="str">
        <f t="shared" si="77"/>
        <v/>
      </c>
      <c r="JR22" s="40" t="str">
        <f t="shared" si="78"/>
        <v/>
      </c>
      <c r="JS22" s="40" t="str">
        <f t="shared" si="79"/>
        <v/>
      </c>
      <c r="JT22" s="40" t="str">
        <f t="shared" si="80"/>
        <v/>
      </c>
      <c r="JU22" s="40" t="str">
        <f t="shared" si="81"/>
        <v/>
      </c>
      <c r="JV22" s="40" t="str">
        <f t="shared" si="82"/>
        <v/>
      </c>
      <c r="JW22" s="40" t="str">
        <f t="shared" si="83"/>
        <v/>
      </c>
      <c r="JX22" s="40" t="str">
        <f t="shared" si="84"/>
        <v/>
      </c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1" t="str">
        <f t="shared" si="85"/>
        <v/>
      </c>
      <c r="KT22" s="11" t="str">
        <f t="shared" si="86"/>
        <v/>
      </c>
      <c r="KU22" s="11" t="str">
        <f t="shared" si="87"/>
        <v/>
      </c>
      <c r="KV22" s="11" t="str">
        <f t="shared" si="88"/>
        <v/>
      </c>
      <c r="KW22" s="11" t="str">
        <f t="shared" si="89"/>
        <v/>
      </c>
      <c r="KX22" s="11" t="str">
        <f t="shared" si="90"/>
        <v/>
      </c>
      <c r="KY22" s="11" t="str">
        <f t="shared" si="91"/>
        <v/>
      </c>
      <c r="KZ22" s="11" t="str">
        <f t="shared" si="92"/>
        <v/>
      </c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40" t="str">
        <f t="shared" si="93"/>
        <v/>
      </c>
      <c r="LV22" s="40" t="str">
        <f t="shared" si="94"/>
        <v/>
      </c>
      <c r="LW22" s="40" t="str">
        <f t="shared" si="95"/>
        <v/>
      </c>
      <c r="LX22" s="40" t="str">
        <f t="shared" si="96"/>
        <v/>
      </c>
      <c r="LY22" s="40" t="str">
        <f t="shared" si="97"/>
        <v/>
      </c>
      <c r="LZ22" s="40" t="str">
        <f t="shared" si="98"/>
        <v/>
      </c>
      <c r="MA22" s="40" t="str">
        <f t="shared" si="99"/>
        <v/>
      </c>
      <c r="MB22" s="40" t="str">
        <f t="shared" si="100"/>
        <v/>
      </c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1" t="str">
        <f t="shared" si="101"/>
        <v/>
      </c>
      <c r="MX22" s="11" t="str">
        <f t="shared" si="102"/>
        <v/>
      </c>
      <c r="MY22" s="11" t="str">
        <f t="shared" si="103"/>
        <v/>
      </c>
      <c r="MZ22" s="11" t="str">
        <f t="shared" si="104"/>
        <v/>
      </c>
      <c r="NA22" s="11" t="str">
        <f t="shared" si="105"/>
        <v/>
      </c>
      <c r="NB22" s="11" t="str">
        <f t="shared" si="106"/>
        <v/>
      </c>
      <c r="NC22" s="11" t="str">
        <f t="shared" si="107"/>
        <v/>
      </c>
      <c r="ND22" s="11" t="str">
        <f t="shared" si="108"/>
        <v/>
      </c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40" t="str">
        <f t="shared" si="109"/>
        <v/>
      </c>
      <c r="NZ22" s="40" t="str">
        <f t="shared" si="110"/>
        <v/>
      </c>
      <c r="OA22" s="40" t="str">
        <f t="shared" si="111"/>
        <v/>
      </c>
      <c r="OB22" s="40" t="str">
        <f t="shared" si="112"/>
        <v/>
      </c>
      <c r="OC22" s="40" t="str">
        <f t="shared" si="113"/>
        <v/>
      </c>
      <c r="OD22" s="40" t="str">
        <f t="shared" si="114"/>
        <v/>
      </c>
      <c r="OE22" s="40" t="str">
        <f t="shared" si="115"/>
        <v/>
      </c>
      <c r="OF22" s="40" t="str">
        <f t="shared" si="116"/>
        <v/>
      </c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1" t="str">
        <f t="shared" si="117"/>
        <v/>
      </c>
      <c r="PB22" s="11" t="str">
        <f t="shared" si="118"/>
        <v/>
      </c>
      <c r="PC22" s="11" t="str">
        <f t="shared" si="119"/>
        <v/>
      </c>
      <c r="PD22" s="11" t="str">
        <f t="shared" si="120"/>
        <v/>
      </c>
      <c r="PE22" s="11" t="str">
        <f t="shared" si="121"/>
        <v/>
      </c>
      <c r="PF22" s="11" t="str">
        <f t="shared" si="122"/>
        <v/>
      </c>
      <c r="PG22" s="11" t="str">
        <f t="shared" si="123"/>
        <v/>
      </c>
      <c r="PH22" s="11" t="str">
        <f t="shared" si="124"/>
        <v/>
      </c>
      <c r="PI22" s="22">
        <f t="shared" si="125"/>
        <v>0</v>
      </c>
      <c r="PJ22" s="22">
        <f t="shared" si="126"/>
        <v>0</v>
      </c>
      <c r="PK22" s="22">
        <f t="shared" si="127"/>
        <v>0</v>
      </c>
      <c r="PL22" s="22">
        <f t="shared" si="128"/>
        <v>0</v>
      </c>
      <c r="PM22" s="22">
        <f t="shared" si="129"/>
        <v>0</v>
      </c>
      <c r="PN22" s="22">
        <f t="shared" si="130"/>
        <v>0</v>
      </c>
      <c r="PO22" s="22">
        <f t="shared" si="131"/>
        <v>0</v>
      </c>
      <c r="PP22" s="22">
        <f t="shared" si="132"/>
        <v>0</v>
      </c>
      <c r="PQ22" s="22">
        <f t="shared" si="133"/>
        <v>0</v>
      </c>
      <c r="PR22" s="22">
        <f t="shared" si="134"/>
        <v>0</v>
      </c>
      <c r="PS22" s="22">
        <f t="shared" si="135"/>
        <v>0</v>
      </c>
      <c r="PT22" s="22">
        <f t="shared" si="136"/>
        <v>0</v>
      </c>
      <c r="PU22" s="22">
        <f t="shared" si="137"/>
        <v>0</v>
      </c>
      <c r="PV22" s="22">
        <f t="shared" si="138"/>
        <v>0</v>
      </c>
      <c r="PW22" s="22">
        <f t="shared" si="139"/>
        <v>0</v>
      </c>
      <c r="PX22" s="22">
        <f t="shared" si="140"/>
        <v>0</v>
      </c>
      <c r="PY22" s="27" t="s">
        <v>46</v>
      </c>
      <c r="PZ22" s="40" t="str">
        <f t="shared" si="141"/>
        <v/>
      </c>
      <c r="QA22" s="40" t="str">
        <f t="shared" si="142"/>
        <v/>
      </c>
      <c r="QB22" s="40" t="str">
        <f t="shared" si="143"/>
        <v/>
      </c>
      <c r="QC22" s="40" t="str">
        <f t="shared" si="144"/>
        <v/>
      </c>
      <c r="QD22" s="40" t="str">
        <f t="shared" si="145"/>
        <v/>
      </c>
    </row>
    <row r="23" spans="1:446" x14ac:dyDescent="0.2">
      <c r="A23" s="4" t="str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/>
      </c>
      <c r="B23" s="4" t="str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/>
      </c>
      <c r="C23" s="5" t="s">
        <v>206</v>
      </c>
      <c r="D23" s="4" t="s">
        <v>5</v>
      </c>
      <c r="E23" s="4">
        <v>2009</v>
      </c>
      <c r="F23" s="9">
        <f t="shared" si="0"/>
        <v>125.70000815000415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IF(COUNT(AM23,BI23,CE23)&gt;0,LARGE((AM23,BI23,CE23),1),0)</f>
        <v>41.699999999999996</v>
      </c>
      <c r="M23" s="8" t="str">
        <f t="shared" si="5"/>
        <v>2025 Nationals</v>
      </c>
      <c r="N23" s="8">
        <f>IF(COUNT(AM23,BI23,CE23)&gt;1,LARGE((AM23,BI23,CE23),2),0)</f>
        <v>39.799999999999997</v>
      </c>
      <c r="O23" s="8" t="str">
        <f t="shared" si="6"/>
        <v>2025 3rd Domestic Trial</v>
      </c>
      <c r="P23" s="8">
        <f t="shared" si="7"/>
        <v>44.199999999999996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27"/>
      <c r="AL23" s="40" t="str">
        <f t="shared" si="12"/>
        <v/>
      </c>
      <c r="AM23" s="40" t="str">
        <f t="shared" si="13"/>
        <v/>
      </c>
      <c r="AN23" s="40" t="str">
        <f t="shared" si="14"/>
        <v/>
      </c>
      <c r="AO23" s="40" t="str">
        <f t="shared" si="15"/>
        <v/>
      </c>
      <c r="AP23" s="40" t="str">
        <f t="shared" si="16"/>
        <v/>
      </c>
      <c r="AQ23" s="18">
        <v>18.7</v>
      </c>
      <c r="AR23" s="18">
        <v>3.5</v>
      </c>
      <c r="AS23" s="18">
        <v>0.2</v>
      </c>
      <c r="AT23" s="18">
        <v>0</v>
      </c>
      <c r="AU23" s="18">
        <v>16.3</v>
      </c>
      <c r="AV23" s="18">
        <v>4.4000000000000004</v>
      </c>
      <c r="AW23" s="18">
        <v>1</v>
      </c>
      <c r="AX23" s="18">
        <v>0</v>
      </c>
      <c r="AY23" s="18">
        <v>18.399999999999999</v>
      </c>
      <c r="AZ23" s="18">
        <v>3.5</v>
      </c>
      <c r="BA23" s="18">
        <v>0</v>
      </c>
      <c r="BB23" s="18">
        <v>0</v>
      </c>
      <c r="BC23" s="18">
        <v>18.100000000000001</v>
      </c>
      <c r="BD23" s="18">
        <v>4.8</v>
      </c>
      <c r="BE23" s="18">
        <v>0.6</v>
      </c>
      <c r="BF23" s="18">
        <v>0</v>
      </c>
      <c r="BG23" s="28"/>
      <c r="BH23" s="11">
        <f t="shared" si="17"/>
        <v>7.9</v>
      </c>
      <c r="BI23" s="11">
        <f t="shared" si="18"/>
        <v>41.699999999999996</v>
      </c>
      <c r="BJ23" s="11">
        <f t="shared" si="19"/>
        <v>8.3000000000000007</v>
      </c>
      <c r="BK23" s="11">
        <f t="shared" si="20"/>
        <v>44.199999999999996</v>
      </c>
      <c r="BL23" s="11">
        <f t="shared" si="21"/>
        <v>85.899999999999991</v>
      </c>
      <c r="BM23" s="19">
        <v>18.2</v>
      </c>
      <c r="BN23" s="19">
        <v>2.7</v>
      </c>
      <c r="BO23" s="19">
        <v>1.4</v>
      </c>
      <c r="BP23" s="19">
        <v>0</v>
      </c>
      <c r="BQ23" s="19">
        <v>18</v>
      </c>
      <c r="BR23" s="19">
        <v>3</v>
      </c>
      <c r="BS23" s="19">
        <v>0.7</v>
      </c>
      <c r="BT23" s="19">
        <v>0</v>
      </c>
      <c r="BU23" s="19">
        <v>18.3</v>
      </c>
      <c r="BV23" s="19">
        <v>3.5</v>
      </c>
      <c r="BW23" s="19">
        <v>0</v>
      </c>
      <c r="BX23" s="19">
        <v>0</v>
      </c>
      <c r="BY23" s="19">
        <v>17.899999999999999</v>
      </c>
      <c r="BZ23" s="19">
        <v>2.9</v>
      </c>
      <c r="CA23" s="19">
        <v>1.2</v>
      </c>
      <c r="CB23" s="19">
        <v>0</v>
      </c>
      <c r="CC23" s="27"/>
      <c r="CD23" s="40">
        <f t="shared" si="22"/>
        <v>5.7</v>
      </c>
      <c r="CE23" s="40">
        <f t="shared" si="23"/>
        <v>39.799999999999997</v>
      </c>
      <c r="CF23" s="40">
        <f t="shared" si="24"/>
        <v>6.4</v>
      </c>
      <c r="CG23" s="40">
        <f t="shared" si="25"/>
        <v>41.4</v>
      </c>
      <c r="CH23" s="40">
        <f t="shared" si="26"/>
        <v>81.199999999999989</v>
      </c>
      <c r="CI23" s="50" t="str">
        <f t="shared" si="27"/>
        <v/>
      </c>
      <c r="CJ23" s="50" t="str">
        <f t="shared" si="28"/>
        <v/>
      </c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40" t="str">
        <f t="shared" si="29"/>
        <v/>
      </c>
      <c r="DF23" s="40" t="str">
        <f t="shared" si="30"/>
        <v/>
      </c>
      <c r="DG23" s="40" t="str">
        <f t="shared" si="31"/>
        <v/>
      </c>
      <c r="DH23" s="40" t="str">
        <f t="shared" si="32"/>
        <v/>
      </c>
      <c r="DI23" s="40" t="str">
        <f t="shared" si="33"/>
        <v/>
      </c>
      <c r="DJ23" s="40" t="str">
        <f t="shared" si="34"/>
        <v/>
      </c>
      <c r="DK23" s="40" t="str">
        <f t="shared" si="35"/>
        <v/>
      </c>
      <c r="DL23" s="40" t="str">
        <f t="shared" si="36"/>
        <v/>
      </c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1" t="str">
        <f t="shared" si="37"/>
        <v/>
      </c>
      <c r="EH23" s="11" t="str">
        <f t="shared" si="38"/>
        <v/>
      </c>
      <c r="EI23" s="11" t="str">
        <f t="shared" si="39"/>
        <v/>
      </c>
      <c r="EJ23" s="11" t="str">
        <f t="shared" si="40"/>
        <v/>
      </c>
      <c r="EK23" s="11" t="str">
        <f t="shared" si="41"/>
        <v/>
      </c>
      <c r="EL23" s="11" t="str">
        <f t="shared" si="42"/>
        <v/>
      </c>
      <c r="EM23" s="11" t="str">
        <f t="shared" si="43"/>
        <v/>
      </c>
      <c r="EN23" s="11" t="str">
        <f t="shared" si="44"/>
        <v/>
      </c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40" t="str">
        <f t="shared" si="45"/>
        <v/>
      </c>
      <c r="FJ23" s="40" t="str">
        <f t="shared" si="46"/>
        <v/>
      </c>
      <c r="FK23" s="40" t="str">
        <f t="shared" si="47"/>
        <v/>
      </c>
      <c r="FL23" s="40" t="str">
        <f t="shared" si="48"/>
        <v/>
      </c>
      <c r="FM23" s="40" t="str">
        <f t="shared" si="49"/>
        <v/>
      </c>
      <c r="FN23" s="40" t="str">
        <f t="shared" si="50"/>
        <v/>
      </c>
      <c r="FO23" s="40" t="str">
        <f t="shared" si="51"/>
        <v/>
      </c>
      <c r="FP23" s="40" t="str">
        <f t="shared" si="52"/>
        <v/>
      </c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1" t="str">
        <f t="shared" si="53"/>
        <v/>
      </c>
      <c r="GL23" s="11" t="str">
        <f t="shared" si="54"/>
        <v/>
      </c>
      <c r="GM23" s="11" t="str">
        <f t="shared" si="55"/>
        <v/>
      </c>
      <c r="GN23" s="11" t="str">
        <f t="shared" si="56"/>
        <v/>
      </c>
      <c r="GO23" s="11" t="str">
        <f t="shared" si="57"/>
        <v/>
      </c>
      <c r="GP23" s="11" t="str">
        <f t="shared" si="58"/>
        <v/>
      </c>
      <c r="GQ23" s="11" t="str">
        <f t="shared" si="59"/>
        <v/>
      </c>
      <c r="GR23" s="11" t="str">
        <f t="shared" si="60"/>
        <v/>
      </c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40" t="str">
        <f t="shared" si="61"/>
        <v/>
      </c>
      <c r="HN23" s="40" t="str">
        <f t="shared" si="62"/>
        <v/>
      </c>
      <c r="HO23" s="40" t="str">
        <f t="shared" si="63"/>
        <v/>
      </c>
      <c r="HP23" s="40" t="str">
        <f t="shared" si="64"/>
        <v/>
      </c>
      <c r="HQ23" s="40" t="str">
        <f t="shared" si="65"/>
        <v/>
      </c>
      <c r="HR23" s="40" t="str">
        <f t="shared" si="66"/>
        <v/>
      </c>
      <c r="HS23" s="40" t="str">
        <f t="shared" si="67"/>
        <v/>
      </c>
      <c r="HT23" s="40" t="str">
        <f t="shared" si="68"/>
        <v/>
      </c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1" t="str">
        <f t="shared" si="69"/>
        <v/>
      </c>
      <c r="IP23" s="11" t="str">
        <f t="shared" si="70"/>
        <v/>
      </c>
      <c r="IQ23" s="11" t="str">
        <f t="shared" si="71"/>
        <v/>
      </c>
      <c r="IR23" s="11" t="str">
        <f t="shared" si="72"/>
        <v/>
      </c>
      <c r="IS23" s="11" t="str">
        <f t="shared" si="73"/>
        <v/>
      </c>
      <c r="IT23" s="11" t="str">
        <f t="shared" si="74"/>
        <v/>
      </c>
      <c r="IU23" s="11" t="str">
        <f t="shared" si="75"/>
        <v/>
      </c>
      <c r="IV23" s="11" t="str">
        <f t="shared" si="76"/>
        <v/>
      </c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40" t="str">
        <f t="shared" si="77"/>
        <v/>
      </c>
      <c r="JR23" s="40" t="str">
        <f t="shared" si="78"/>
        <v/>
      </c>
      <c r="JS23" s="40" t="str">
        <f t="shared" si="79"/>
        <v/>
      </c>
      <c r="JT23" s="40" t="str">
        <f t="shared" si="80"/>
        <v/>
      </c>
      <c r="JU23" s="40" t="str">
        <f t="shared" si="81"/>
        <v/>
      </c>
      <c r="JV23" s="40" t="str">
        <f t="shared" si="82"/>
        <v/>
      </c>
      <c r="JW23" s="40" t="str">
        <f t="shared" si="83"/>
        <v/>
      </c>
      <c r="JX23" s="40" t="str">
        <f t="shared" si="84"/>
        <v/>
      </c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1" t="str">
        <f t="shared" si="85"/>
        <v/>
      </c>
      <c r="KT23" s="11" t="str">
        <f t="shared" si="86"/>
        <v/>
      </c>
      <c r="KU23" s="11" t="str">
        <f t="shared" si="87"/>
        <v/>
      </c>
      <c r="KV23" s="11" t="str">
        <f t="shared" si="88"/>
        <v/>
      </c>
      <c r="KW23" s="11" t="str">
        <f t="shared" si="89"/>
        <v/>
      </c>
      <c r="KX23" s="11" t="str">
        <f t="shared" si="90"/>
        <v/>
      </c>
      <c r="KY23" s="11" t="str">
        <f t="shared" si="91"/>
        <v/>
      </c>
      <c r="KZ23" s="11" t="str">
        <f t="shared" si="92"/>
        <v/>
      </c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40" t="str">
        <f t="shared" si="93"/>
        <v/>
      </c>
      <c r="LV23" s="40" t="str">
        <f t="shared" si="94"/>
        <v/>
      </c>
      <c r="LW23" s="40" t="str">
        <f t="shared" si="95"/>
        <v/>
      </c>
      <c r="LX23" s="40" t="str">
        <f t="shared" si="96"/>
        <v/>
      </c>
      <c r="LY23" s="40" t="str">
        <f t="shared" si="97"/>
        <v/>
      </c>
      <c r="LZ23" s="40" t="str">
        <f t="shared" si="98"/>
        <v/>
      </c>
      <c r="MA23" s="40" t="str">
        <f t="shared" si="99"/>
        <v/>
      </c>
      <c r="MB23" s="40" t="str">
        <f t="shared" si="100"/>
        <v/>
      </c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1" t="str">
        <f t="shared" si="101"/>
        <v/>
      </c>
      <c r="MX23" s="11" t="str">
        <f t="shared" si="102"/>
        <v/>
      </c>
      <c r="MY23" s="11" t="str">
        <f t="shared" si="103"/>
        <v/>
      </c>
      <c r="MZ23" s="11" t="str">
        <f t="shared" si="104"/>
        <v/>
      </c>
      <c r="NA23" s="11" t="str">
        <f t="shared" si="105"/>
        <v/>
      </c>
      <c r="NB23" s="11" t="str">
        <f t="shared" si="106"/>
        <v/>
      </c>
      <c r="NC23" s="11" t="str">
        <f t="shared" si="107"/>
        <v/>
      </c>
      <c r="ND23" s="11" t="str">
        <f t="shared" si="108"/>
        <v/>
      </c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40" t="str">
        <f t="shared" si="109"/>
        <v/>
      </c>
      <c r="NZ23" s="40" t="str">
        <f t="shared" si="110"/>
        <v/>
      </c>
      <c r="OA23" s="40" t="str">
        <f t="shared" si="111"/>
        <v/>
      </c>
      <c r="OB23" s="40" t="str">
        <f t="shared" si="112"/>
        <v/>
      </c>
      <c r="OC23" s="40" t="str">
        <f t="shared" si="113"/>
        <v/>
      </c>
      <c r="OD23" s="40" t="str">
        <f t="shared" si="114"/>
        <v/>
      </c>
      <c r="OE23" s="40" t="str">
        <f t="shared" si="115"/>
        <v/>
      </c>
      <c r="OF23" s="40" t="str">
        <f t="shared" si="116"/>
        <v/>
      </c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1" t="str">
        <f t="shared" si="117"/>
        <v/>
      </c>
      <c r="PB23" s="11" t="str">
        <f t="shared" si="118"/>
        <v/>
      </c>
      <c r="PC23" s="11" t="str">
        <f t="shared" si="119"/>
        <v/>
      </c>
      <c r="PD23" s="11" t="str">
        <f t="shared" si="120"/>
        <v/>
      </c>
      <c r="PE23" s="11" t="str">
        <f t="shared" si="121"/>
        <v/>
      </c>
      <c r="PF23" s="11" t="str">
        <f t="shared" si="122"/>
        <v/>
      </c>
      <c r="PG23" s="11" t="str">
        <f t="shared" si="123"/>
        <v/>
      </c>
      <c r="PH23" s="11" t="str">
        <f t="shared" si="124"/>
        <v/>
      </c>
      <c r="PI23" s="22">
        <f t="shared" si="125"/>
        <v>18.2</v>
      </c>
      <c r="PJ23" s="22">
        <f t="shared" si="126"/>
        <v>2.7</v>
      </c>
      <c r="PK23" s="22">
        <f t="shared" si="127"/>
        <v>1.4</v>
      </c>
      <c r="PL23" s="22">
        <f t="shared" si="128"/>
        <v>0</v>
      </c>
      <c r="PM23" s="22">
        <f t="shared" si="129"/>
        <v>18</v>
      </c>
      <c r="PN23" s="22">
        <f t="shared" si="130"/>
        <v>3</v>
      </c>
      <c r="PO23" s="22">
        <f t="shared" si="131"/>
        <v>0.7</v>
      </c>
      <c r="PP23" s="22">
        <f t="shared" si="132"/>
        <v>0</v>
      </c>
      <c r="PQ23" s="22">
        <f t="shared" si="133"/>
        <v>18.3</v>
      </c>
      <c r="PR23" s="22">
        <f t="shared" si="134"/>
        <v>3.5</v>
      </c>
      <c r="PS23" s="22">
        <f t="shared" si="135"/>
        <v>0</v>
      </c>
      <c r="PT23" s="22">
        <f t="shared" si="136"/>
        <v>0</v>
      </c>
      <c r="PU23" s="22">
        <f t="shared" si="137"/>
        <v>17.899999999999999</v>
      </c>
      <c r="PV23" s="22">
        <f t="shared" si="138"/>
        <v>2.9</v>
      </c>
      <c r="PW23" s="22">
        <f t="shared" si="139"/>
        <v>1.2</v>
      </c>
      <c r="PX23" s="22">
        <f t="shared" si="140"/>
        <v>0</v>
      </c>
      <c r="PY23" s="27" t="s">
        <v>46</v>
      </c>
      <c r="PZ23" s="40">
        <f t="shared" si="141"/>
        <v>5.7</v>
      </c>
      <c r="QA23" s="40">
        <f t="shared" si="142"/>
        <v>39.799999999999997</v>
      </c>
      <c r="QB23" s="40">
        <f t="shared" si="143"/>
        <v>6.4</v>
      </c>
      <c r="QC23" s="40">
        <f t="shared" si="144"/>
        <v>41.4</v>
      </c>
      <c r="QD23" s="40">
        <f t="shared" si="145"/>
        <v>81.199999999999989</v>
      </c>
    </row>
    <row r="24" spans="1:446" x14ac:dyDescent="0.2">
      <c r="A24" s="4" t="str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/>
      </c>
      <c r="B24" s="4" t="str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/>
      </c>
      <c r="C24" s="5" t="s">
        <v>207</v>
      </c>
      <c r="D24" s="4" t="s">
        <v>4</v>
      </c>
      <c r="E24" s="4">
        <v>2009</v>
      </c>
      <c r="F24" s="9">
        <f t="shared" si="0"/>
        <v>122.80000777000447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IF(COUNT(AM24,BI24,CE24)&gt;0,LARGE((AM24,BI24,CE24),1),0)</f>
        <v>44.6</v>
      </c>
      <c r="M24" s="8" t="str">
        <f t="shared" si="5"/>
        <v>2025 Nationals</v>
      </c>
      <c r="N24" s="8">
        <f>IF(COUNT(AM24,BI24,CE24)&gt;1,LARGE((AM24,BI24,CE24),2),0)</f>
        <v>33.1</v>
      </c>
      <c r="O24" s="8" t="str">
        <f t="shared" si="6"/>
        <v>2025 Elite Canada</v>
      </c>
      <c r="P24" s="8">
        <f t="shared" si="7"/>
        <v>45.1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15.8</v>
      </c>
      <c r="V24" s="19">
        <v>0.7</v>
      </c>
      <c r="W24" s="19">
        <v>0</v>
      </c>
      <c r="X24" s="19">
        <v>0</v>
      </c>
      <c r="Y24" s="19">
        <v>15.4</v>
      </c>
      <c r="Z24" s="19">
        <v>1.2</v>
      </c>
      <c r="AA24" s="19">
        <v>0</v>
      </c>
      <c r="AB24" s="19">
        <v>0</v>
      </c>
      <c r="AC24" s="19"/>
      <c r="AD24" s="19"/>
      <c r="AE24" s="19"/>
      <c r="AF24" s="19"/>
      <c r="AG24" s="19"/>
      <c r="AH24" s="19"/>
      <c r="AI24" s="19"/>
      <c r="AJ24" s="19"/>
      <c r="AK24" s="27"/>
      <c r="AL24" s="40">
        <f t="shared" si="12"/>
        <v>1.9</v>
      </c>
      <c r="AM24" s="40">
        <f t="shared" si="13"/>
        <v>33.1</v>
      </c>
      <c r="AN24" s="40" t="str">
        <f t="shared" si="14"/>
        <v/>
      </c>
      <c r="AO24" s="40" t="str">
        <f t="shared" si="15"/>
        <v/>
      </c>
      <c r="AP24" s="40">
        <f t="shared" si="16"/>
        <v>33.1</v>
      </c>
      <c r="AQ24" s="18">
        <v>19</v>
      </c>
      <c r="AR24" s="18">
        <v>3.6</v>
      </c>
      <c r="AS24" s="18">
        <v>0</v>
      </c>
      <c r="AT24" s="18">
        <v>0</v>
      </c>
      <c r="AU24" s="18">
        <v>19.100000000000001</v>
      </c>
      <c r="AV24" s="18">
        <v>3.5</v>
      </c>
      <c r="AW24" s="18">
        <v>0.6</v>
      </c>
      <c r="AX24" s="18">
        <v>0</v>
      </c>
      <c r="AY24" s="18">
        <v>18.8</v>
      </c>
      <c r="AZ24" s="18">
        <v>3.6</v>
      </c>
      <c r="BA24" s="18">
        <v>0</v>
      </c>
      <c r="BB24" s="18">
        <v>0</v>
      </c>
      <c r="BC24" s="18">
        <v>19.2</v>
      </c>
      <c r="BD24" s="18">
        <v>3.5</v>
      </c>
      <c r="BE24" s="18">
        <v>0</v>
      </c>
      <c r="BF24" s="18">
        <v>0</v>
      </c>
      <c r="BG24" s="28"/>
      <c r="BH24" s="11">
        <f t="shared" si="17"/>
        <v>7.1</v>
      </c>
      <c r="BI24" s="11">
        <f t="shared" si="18"/>
        <v>44.6</v>
      </c>
      <c r="BJ24" s="11">
        <f t="shared" si="19"/>
        <v>7.1</v>
      </c>
      <c r="BK24" s="11">
        <f t="shared" si="20"/>
        <v>45.1</v>
      </c>
      <c r="BL24" s="11">
        <f t="shared" si="21"/>
        <v>89.7</v>
      </c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27"/>
      <c r="CD24" s="40" t="str">
        <f t="shared" si="22"/>
        <v/>
      </c>
      <c r="CE24" s="40" t="str">
        <f t="shared" si="23"/>
        <v/>
      </c>
      <c r="CF24" s="40" t="str">
        <f t="shared" si="24"/>
        <v/>
      </c>
      <c r="CG24" s="40" t="str">
        <f t="shared" si="25"/>
        <v/>
      </c>
      <c r="CH24" s="40" t="str">
        <f t="shared" si="26"/>
        <v/>
      </c>
      <c r="CI24" s="50" t="str">
        <f t="shared" si="27"/>
        <v/>
      </c>
      <c r="CJ24" s="50" t="str">
        <f t="shared" si="28"/>
        <v/>
      </c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40" t="str">
        <f t="shared" si="29"/>
        <v/>
      </c>
      <c r="DF24" s="40" t="str">
        <f t="shared" si="30"/>
        <v/>
      </c>
      <c r="DG24" s="40" t="str">
        <f t="shared" si="31"/>
        <v/>
      </c>
      <c r="DH24" s="40" t="str">
        <f t="shared" si="32"/>
        <v/>
      </c>
      <c r="DI24" s="40" t="str">
        <f t="shared" si="33"/>
        <v/>
      </c>
      <c r="DJ24" s="40" t="str">
        <f t="shared" si="34"/>
        <v/>
      </c>
      <c r="DK24" s="40" t="str">
        <f t="shared" si="35"/>
        <v/>
      </c>
      <c r="DL24" s="40" t="str">
        <f t="shared" si="36"/>
        <v/>
      </c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1" t="str">
        <f t="shared" si="37"/>
        <v/>
      </c>
      <c r="EH24" s="11" t="str">
        <f t="shared" si="38"/>
        <v/>
      </c>
      <c r="EI24" s="11" t="str">
        <f t="shared" si="39"/>
        <v/>
      </c>
      <c r="EJ24" s="11" t="str">
        <f t="shared" si="40"/>
        <v/>
      </c>
      <c r="EK24" s="11" t="str">
        <f t="shared" si="41"/>
        <v/>
      </c>
      <c r="EL24" s="11" t="str">
        <f t="shared" si="42"/>
        <v/>
      </c>
      <c r="EM24" s="11" t="str">
        <f t="shared" si="43"/>
        <v/>
      </c>
      <c r="EN24" s="11" t="str">
        <f t="shared" si="44"/>
        <v/>
      </c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40" t="str">
        <f t="shared" si="45"/>
        <v/>
      </c>
      <c r="FJ24" s="40" t="str">
        <f t="shared" si="46"/>
        <v/>
      </c>
      <c r="FK24" s="40" t="str">
        <f t="shared" si="47"/>
        <v/>
      </c>
      <c r="FL24" s="40" t="str">
        <f t="shared" si="48"/>
        <v/>
      </c>
      <c r="FM24" s="40" t="str">
        <f t="shared" si="49"/>
        <v/>
      </c>
      <c r="FN24" s="40" t="str">
        <f t="shared" si="50"/>
        <v/>
      </c>
      <c r="FO24" s="40" t="str">
        <f t="shared" si="51"/>
        <v/>
      </c>
      <c r="FP24" s="40" t="str">
        <f t="shared" si="52"/>
        <v/>
      </c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1" t="str">
        <f t="shared" si="53"/>
        <v/>
      </c>
      <c r="GL24" s="11" t="str">
        <f t="shared" si="54"/>
        <v/>
      </c>
      <c r="GM24" s="11" t="str">
        <f t="shared" si="55"/>
        <v/>
      </c>
      <c r="GN24" s="11" t="str">
        <f t="shared" si="56"/>
        <v/>
      </c>
      <c r="GO24" s="11" t="str">
        <f t="shared" si="57"/>
        <v/>
      </c>
      <c r="GP24" s="11" t="str">
        <f t="shared" si="58"/>
        <v/>
      </c>
      <c r="GQ24" s="11" t="str">
        <f t="shared" si="59"/>
        <v/>
      </c>
      <c r="GR24" s="11" t="str">
        <f t="shared" si="60"/>
        <v/>
      </c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40" t="str">
        <f t="shared" si="61"/>
        <v/>
      </c>
      <c r="HN24" s="40" t="str">
        <f t="shared" si="62"/>
        <v/>
      </c>
      <c r="HO24" s="40" t="str">
        <f t="shared" si="63"/>
        <v/>
      </c>
      <c r="HP24" s="40" t="str">
        <f t="shared" si="64"/>
        <v/>
      </c>
      <c r="HQ24" s="40" t="str">
        <f t="shared" si="65"/>
        <v/>
      </c>
      <c r="HR24" s="40" t="str">
        <f t="shared" si="66"/>
        <v/>
      </c>
      <c r="HS24" s="40" t="str">
        <f t="shared" si="67"/>
        <v/>
      </c>
      <c r="HT24" s="40" t="str">
        <f t="shared" si="68"/>
        <v/>
      </c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1" t="str">
        <f t="shared" si="69"/>
        <v/>
      </c>
      <c r="IP24" s="11" t="str">
        <f t="shared" si="70"/>
        <v/>
      </c>
      <c r="IQ24" s="11" t="str">
        <f t="shared" si="71"/>
        <v/>
      </c>
      <c r="IR24" s="11" t="str">
        <f t="shared" si="72"/>
        <v/>
      </c>
      <c r="IS24" s="11" t="str">
        <f t="shared" si="73"/>
        <v/>
      </c>
      <c r="IT24" s="11" t="str">
        <f t="shared" si="74"/>
        <v/>
      </c>
      <c r="IU24" s="11" t="str">
        <f t="shared" si="75"/>
        <v/>
      </c>
      <c r="IV24" s="11" t="str">
        <f t="shared" si="76"/>
        <v/>
      </c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40" t="str">
        <f t="shared" si="77"/>
        <v/>
      </c>
      <c r="JR24" s="40" t="str">
        <f t="shared" si="78"/>
        <v/>
      </c>
      <c r="JS24" s="40" t="str">
        <f t="shared" si="79"/>
        <v/>
      </c>
      <c r="JT24" s="40" t="str">
        <f t="shared" si="80"/>
        <v/>
      </c>
      <c r="JU24" s="40" t="str">
        <f t="shared" si="81"/>
        <v/>
      </c>
      <c r="JV24" s="40" t="str">
        <f t="shared" si="82"/>
        <v/>
      </c>
      <c r="JW24" s="40" t="str">
        <f t="shared" si="83"/>
        <v/>
      </c>
      <c r="JX24" s="40" t="str">
        <f t="shared" si="84"/>
        <v/>
      </c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1" t="str">
        <f t="shared" si="85"/>
        <v/>
      </c>
      <c r="KT24" s="11" t="str">
        <f t="shared" si="86"/>
        <v/>
      </c>
      <c r="KU24" s="11" t="str">
        <f t="shared" si="87"/>
        <v/>
      </c>
      <c r="KV24" s="11" t="str">
        <f t="shared" si="88"/>
        <v/>
      </c>
      <c r="KW24" s="11" t="str">
        <f t="shared" si="89"/>
        <v/>
      </c>
      <c r="KX24" s="11" t="str">
        <f t="shared" si="90"/>
        <v/>
      </c>
      <c r="KY24" s="11" t="str">
        <f t="shared" si="91"/>
        <v/>
      </c>
      <c r="KZ24" s="11" t="str">
        <f t="shared" si="92"/>
        <v/>
      </c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40" t="str">
        <f t="shared" si="93"/>
        <v/>
      </c>
      <c r="LV24" s="40" t="str">
        <f t="shared" si="94"/>
        <v/>
      </c>
      <c r="LW24" s="40" t="str">
        <f t="shared" si="95"/>
        <v/>
      </c>
      <c r="LX24" s="40" t="str">
        <f t="shared" si="96"/>
        <v/>
      </c>
      <c r="LY24" s="40" t="str">
        <f t="shared" si="97"/>
        <v/>
      </c>
      <c r="LZ24" s="40" t="str">
        <f t="shared" si="98"/>
        <v/>
      </c>
      <c r="MA24" s="40" t="str">
        <f t="shared" si="99"/>
        <v/>
      </c>
      <c r="MB24" s="40" t="str">
        <f t="shared" si="100"/>
        <v/>
      </c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1" t="str">
        <f t="shared" si="101"/>
        <v/>
      </c>
      <c r="MX24" s="11" t="str">
        <f t="shared" si="102"/>
        <v/>
      </c>
      <c r="MY24" s="11" t="str">
        <f t="shared" si="103"/>
        <v/>
      </c>
      <c r="MZ24" s="11" t="str">
        <f t="shared" si="104"/>
        <v/>
      </c>
      <c r="NA24" s="11" t="str">
        <f t="shared" si="105"/>
        <v/>
      </c>
      <c r="NB24" s="11" t="str">
        <f t="shared" si="106"/>
        <v/>
      </c>
      <c r="NC24" s="11" t="str">
        <f t="shared" si="107"/>
        <v/>
      </c>
      <c r="ND24" s="11" t="str">
        <f t="shared" si="108"/>
        <v/>
      </c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40" t="str">
        <f t="shared" si="109"/>
        <v/>
      </c>
      <c r="NZ24" s="40" t="str">
        <f t="shared" si="110"/>
        <v/>
      </c>
      <c r="OA24" s="40" t="str">
        <f t="shared" si="111"/>
        <v/>
      </c>
      <c r="OB24" s="40" t="str">
        <f t="shared" si="112"/>
        <v/>
      </c>
      <c r="OC24" s="40" t="str">
        <f t="shared" si="113"/>
        <v/>
      </c>
      <c r="OD24" s="40" t="str">
        <f t="shared" si="114"/>
        <v/>
      </c>
      <c r="OE24" s="40" t="str">
        <f t="shared" si="115"/>
        <v/>
      </c>
      <c r="OF24" s="40" t="str">
        <f t="shared" si="116"/>
        <v/>
      </c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1" t="str">
        <f t="shared" si="117"/>
        <v/>
      </c>
      <c r="PB24" s="11" t="str">
        <f t="shared" si="118"/>
        <v/>
      </c>
      <c r="PC24" s="11" t="str">
        <f t="shared" si="119"/>
        <v/>
      </c>
      <c r="PD24" s="11" t="str">
        <f t="shared" si="120"/>
        <v/>
      </c>
      <c r="PE24" s="11" t="str">
        <f t="shared" si="121"/>
        <v/>
      </c>
      <c r="PF24" s="11" t="str">
        <f t="shared" si="122"/>
        <v/>
      </c>
      <c r="PG24" s="11" t="str">
        <f t="shared" si="123"/>
        <v/>
      </c>
      <c r="PH24" s="11" t="str">
        <f t="shared" si="124"/>
        <v/>
      </c>
      <c r="PI24" s="22">
        <f t="shared" si="125"/>
        <v>0</v>
      </c>
      <c r="PJ24" s="22">
        <f t="shared" si="126"/>
        <v>0</v>
      </c>
      <c r="PK24" s="22">
        <f t="shared" si="127"/>
        <v>0</v>
      </c>
      <c r="PL24" s="22">
        <f t="shared" si="128"/>
        <v>0</v>
      </c>
      <c r="PM24" s="22">
        <f t="shared" si="129"/>
        <v>0</v>
      </c>
      <c r="PN24" s="22">
        <f t="shared" si="130"/>
        <v>0</v>
      </c>
      <c r="PO24" s="22">
        <f t="shared" si="131"/>
        <v>0</v>
      </c>
      <c r="PP24" s="22">
        <f t="shared" si="132"/>
        <v>0</v>
      </c>
      <c r="PQ24" s="22">
        <f t="shared" si="133"/>
        <v>0</v>
      </c>
      <c r="PR24" s="22">
        <f t="shared" si="134"/>
        <v>0</v>
      </c>
      <c r="PS24" s="22">
        <f t="shared" si="135"/>
        <v>0</v>
      </c>
      <c r="PT24" s="22">
        <f t="shared" si="136"/>
        <v>0</v>
      </c>
      <c r="PU24" s="22">
        <f t="shared" si="137"/>
        <v>0</v>
      </c>
      <c r="PV24" s="22">
        <f t="shared" si="138"/>
        <v>0</v>
      </c>
      <c r="PW24" s="22">
        <f t="shared" si="139"/>
        <v>0</v>
      </c>
      <c r="PX24" s="22">
        <f t="shared" si="140"/>
        <v>0</v>
      </c>
      <c r="PY24" s="27" t="s">
        <v>46</v>
      </c>
      <c r="PZ24" s="40" t="str">
        <f t="shared" si="141"/>
        <v/>
      </c>
      <c r="QA24" s="40" t="str">
        <f t="shared" si="142"/>
        <v/>
      </c>
      <c r="QB24" s="40" t="str">
        <f t="shared" si="143"/>
        <v/>
      </c>
      <c r="QC24" s="40" t="str">
        <f t="shared" si="144"/>
        <v/>
      </c>
      <c r="QD24" s="40" t="str">
        <f t="shared" si="145"/>
        <v/>
      </c>
    </row>
    <row r="25" spans="1:446" x14ac:dyDescent="0.2">
      <c r="A25" s="4" t="str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/>
      </c>
      <c r="B25" s="4" t="str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/>
      </c>
      <c r="C25" s="5" t="s">
        <v>135</v>
      </c>
      <c r="D25" s="4" t="s">
        <v>4</v>
      </c>
      <c r="E25" s="4">
        <v>2007</v>
      </c>
      <c r="F25" s="9">
        <f t="shared" si="0"/>
        <v>122.40000827000449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IF(COUNT(AM25,BI25,CE25)&gt;0,LARGE((AM25,BI25,CE25),1),0)</f>
        <v>44.9</v>
      </c>
      <c r="M25" s="8" t="str">
        <f t="shared" si="5"/>
        <v>2025 Nationals</v>
      </c>
      <c r="N25" s="8">
        <f>IF(COUNT(AM25,BI25,CE25)&gt;1,LARGE((AM25,BI25,CE25),2),0)</f>
        <v>37.800000000000004</v>
      </c>
      <c r="O25" s="8" t="str">
        <f t="shared" si="6"/>
        <v>2025 Elite Canada</v>
      </c>
      <c r="P25" s="8">
        <f t="shared" si="7"/>
        <v>39.699999999999996</v>
      </c>
      <c r="Q25" s="8" t="str">
        <f t="shared" si="8"/>
        <v>2025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18.399999999999999</v>
      </c>
      <c r="V25" s="19">
        <v>3.2</v>
      </c>
      <c r="W25" s="19">
        <v>0.3</v>
      </c>
      <c r="X25" s="19">
        <v>0</v>
      </c>
      <c r="Y25" s="19">
        <v>15.8</v>
      </c>
      <c r="Z25" s="19">
        <v>0.7</v>
      </c>
      <c r="AA25" s="19">
        <v>0</v>
      </c>
      <c r="AB25" s="19">
        <v>0</v>
      </c>
      <c r="AC25" s="19"/>
      <c r="AD25" s="19"/>
      <c r="AE25" s="19"/>
      <c r="AF25" s="19"/>
      <c r="AG25" s="19"/>
      <c r="AH25" s="19"/>
      <c r="AI25" s="19"/>
      <c r="AJ25" s="19"/>
      <c r="AK25" s="27"/>
      <c r="AL25" s="40">
        <f t="shared" si="12"/>
        <v>3.9000000000000004</v>
      </c>
      <c r="AM25" s="40">
        <f t="shared" si="13"/>
        <v>37.800000000000004</v>
      </c>
      <c r="AN25" s="40" t="str">
        <f t="shared" si="14"/>
        <v/>
      </c>
      <c r="AO25" s="40" t="str">
        <f t="shared" si="15"/>
        <v/>
      </c>
      <c r="AP25" s="40">
        <f t="shared" si="16"/>
        <v>37.800000000000004</v>
      </c>
      <c r="AQ25" s="18">
        <v>18.899999999999999</v>
      </c>
      <c r="AR25" s="18">
        <v>3.5</v>
      </c>
      <c r="AS25" s="18">
        <v>0</v>
      </c>
      <c r="AT25" s="18">
        <v>0</v>
      </c>
      <c r="AU25" s="18">
        <v>18.3</v>
      </c>
      <c r="AV25" s="18">
        <v>4.4000000000000004</v>
      </c>
      <c r="AW25" s="18">
        <v>0.2</v>
      </c>
      <c r="AX25" s="18">
        <v>0</v>
      </c>
      <c r="AY25" s="18">
        <v>19.3</v>
      </c>
      <c r="AZ25" s="18">
        <v>3.5</v>
      </c>
      <c r="BA25" s="18">
        <v>0.6</v>
      </c>
      <c r="BB25" s="18">
        <v>0</v>
      </c>
      <c r="BC25" s="18">
        <v>15.1</v>
      </c>
      <c r="BD25" s="18">
        <v>2.4</v>
      </c>
      <c r="BE25" s="18">
        <v>0</v>
      </c>
      <c r="BF25" s="18">
        <v>0</v>
      </c>
      <c r="BG25" s="28"/>
      <c r="BH25" s="11">
        <f t="shared" si="17"/>
        <v>7.9</v>
      </c>
      <c r="BI25" s="11">
        <f t="shared" si="18"/>
        <v>44.9</v>
      </c>
      <c r="BJ25" s="11">
        <f t="shared" si="19"/>
        <v>5.9</v>
      </c>
      <c r="BK25" s="11">
        <f t="shared" si="20"/>
        <v>39.699999999999996</v>
      </c>
      <c r="BL25" s="11">
        <f t="shared" si="21"/>
        <v>84.6</v>
      </c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27"/>
      <c r="CD25" s="40" t="str">
        <f t="shared" si="22"/>
        <v/>
      </c>
      <c r="CE25" s="40" t="str">
        <f t="shared" si="23"/>
        <v/>
      </c>
      <c r="CF25" s="40" t="str">
        <f t="shared" si="24"/>
        <v/>
      </c>
      <c r="CG25" s="40" t="str">
        <f t="shared" si="25"/>
        <v/>
      </c>
      <c r="CH25" s="40" t="str">
        <f t="shared" si="26"/>
        <v/>
      </c>
      <c r="CI25" s="50" t="str">
        <f t="shared" si="27"/>
        <v/>
      </c>
      <c r="CJ25" s="50" t="str">
        <f t="shared" si="28"/>
        <v/>
      </c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40" t="str">
        <f t="shared" si="29"/>
        <v/>
      </c>
      <c r="DF25" s="40" t="str">
        <f t="shared" si="30"/>
        <v/>
      </c>
      <c r="DG25" s="40" t="str">
        <f t="shared" si="31"/>
        <v/>
      </c>
      <c r="DH25" s="40" t="str">
        <f t="shared" si="32"/>
        <v/>
      </c>
      <c r="DI25" s="40" t="str">
        <f t="shared" si="33"/>
        <v/>
      </c>
      <c r="DJ25" s="40" t="str">
        <f t="shared" si="34"/>
        <v/>
      </c>
      <c r="DK25" s="40" t="str">
        <f t="shared" si="35"/>
        <v/>
      </c>
      <c r="DL25" s="40" t="str">
        <f t="shared" si="36"/>
        <v/>
      </c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1" t="str">
        <f t="shared" si="37"/>
        <v/>
      </c>
      <c r="EH25" s="11" t="str">
        <f t="shared" si="38"/>
        <v/>
      </c>
      <c r="EI25" s="11" t="str">
        <f t="shared" si="39"/>
        <v/>
      </c>
      <c r="EJ25" s="11" t="str">
        <f t="shared" si="40"/>
        <v/>
      </c>
      <c r="EK25" s="11" t="str">
        <f t="shared" si="41"/>
        <v/>
      </c>
      <c r="EL25" s="11" t="str">
        <f t="shared" si="42"/>
        <v/>
      </c>
      <c r="EM25" s="11" t="str">
        <f t="shared" si="43"/>
        <v/>
      </c>
      <c r="EN25" s="11" t="str">
        <f t="shared" si="44"/>
        <v/>
      </c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40" t="str">
        <f t="shared" si="45"/>
        <v/>
      </c>
      <c r="FJ25" s="40" t="str">
        <f t="shared" si="46"/>
        <v/>
      </c>
      <c r="FK25" s="40" t="str">
        <f t="shared" si="47"/>
        <v/>
      </c>
      <c r="FL25" s="40" t="str">
        <f t="shared" si="48"/>
        <v/>
      </c>
      <c r="FM25" s="40" t="str">
        <f t="shared" si="49"/>
        <v/>
      </c>
      <c r="FN25" s="40" t="str">
        <f t="shared" si="50"/>
        <v/>
      </c>
      <c r="FO25" s="40" t="str">
        <f t="shared" si="51"/>
        <v/>
      </c>
      <c r="FP25" s="40" t="str">
        <f t="shared" si="52"/>
        <v/>
      </c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1" t="str">
        <f t="shared" si="53"/>
        <v/>
      </c>
      <c r="GL25" s="11" t="str">
        <f t="shared" si="54"/>
        <v/>
      </c>
      <c r="GM25" s="11" t="str">
        <f t="shared" si="55"/>
        <v/>
      </c>
      <c r="GN25" s="11" t="str">
        <f t="shared" si="56"/>
        <v/>
      </c>
      <c r="GO25" s="11" t="str">
        <f t="shared" si="57"/>
        <v/>
      </c>
      <c r="GP25" s="11" t="str">
        <f t="shared" si="58"/>
        <v/>
      </c>
      <c r="GQ25" s="11" t="str">
        <f t="shared" si="59"/>
        <v/>
      </c>
      <c r="GR25" s="11" t="str">
        <f t="shared" si="60"/>
        <v/>
      </c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40" t="str">
        <f t="shared" si="61"/>
        <v/>
      </c>
      <c r="HN25" s="40" t="str">
        <f t="shared" si="62"/>
        <v/>
      </c>
      <c r="HO25" s="40" t="str">
        <f t="shared" si="63"/>
        <v/>
      </c>
      <c r="HP25" s="40" t="str">
        <f t="shared" si="64"/>
        <v/>
      </c>
      <c r="HQ25" s="40" t="str">
        <f t="shared" si="65"/>
        <v/>
      </c>
      <c r="HR25" s="40" t="str">
        <f t="shared" si="66"/>
        <v/>
      </c>
      <c r="HS25" s="40" t="str">
        <f t="shared" si="67"/>
        <v/>
      </c>
      <c r="HT25" s="40" t="str">
        <f t="shared" si="68"/>
        <v/>
      </c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1" t="str">
        <f t="shared" si="69"/>
        <v/>
      </c>
      <c r="IP25" s="11" t="str">
        <f t="shared" si="70"/>
        <v/>
      </c>
      <c r="IQ25" s="11" t="str">
        <f t="shared" si="71"/>
        <v/>
      </c>
      <c r="IR25" s="11" t="str">
        <f t="shared" si="72"/>
        <v/>
      </c>
      <c r="IS25" s="11" t="str">
        <f t="shared" si="73"/>
        <v/>
      </c>
      <c r="IT25" s="11" t="str">
        <f t="shared" si="74"/>
        <v/>
      </c>
      <c r="IU25" s="11" t="str">
        <f t="shared" si="75"/>
        <v/>
      </c>
      <c r="IV25" s="11" t="str">
        <f t="shared" si="76"/>
        <v/>
      </c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40" t="str">
        <f t="shared" si="77"/>
        <v/>
      </c>
      <c r="JR25" s="40" t="str">
        <f t="shared" si="78"/>
        <v/>
      </c>
      <c r="JS25" s="40" t="str">
        <f t="shared" si="79"/>
        <v/>
      </c>
      <c r="JT25" s="40" t="str">
        <f t="shared" si="80"/>
        <v/>
      </c>
      <c r="JU25" s="40" t="str">
        <f t="shared" si="81"/>
        <v/>
      </c>
      <c r="JV25" s="40" t="str">
        <f t="shared" si="82"/>
        <v/>
      </c>
      <c r="JW25" s="40" t="str">
        <f t="shared" si="83"/>
        <v/>
      </c>
      <c r="JX25" s="40" t="str">
        <f t="shared" si="84"/>
        <v/>
      </c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1" t="str">
        <f t="shared" si="85"/>
        <v/>
      </c>
      <c r="KT25" s="11" t="str">
        <f t="shared" si="86"/>
        <v/>
      </c>
      <c r="KU25" s="11" t="str">
        <f t="shared" si="87"/>
        <v/>
      </c>
      <c r="KV25" s="11" t="str">
        <f t="shared" si="88"/>
        <v/>
      </c>
      <c r="KW25" s="11" t="str">
        <f t="shared" si="89"/>
        <v/>
      </c>
      <c r="KX25" s="11" t="str">
        <f t="shared" si="90"/>
        <v/>
      </c>
      <c r="KY25" s="11" t="str">
        <f t="shared" si="91"/>
        <v/>
      </c>
      <c r="KZ25" s="11" t="str">
        <f t="shared" si="92"/>
        <v/>
      </c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40" t="str">
        <f t="shared" si="93"/>
        <v/>
      </c>
      <c r="LV25" s="40" t="str">
        <f t="shared" si="94"/>
        <v/>
      </c>
      <c r="LW25" s="40" t="str">
        <f t="shared" si="95"/>
        <v/>
      </c>
      <c r="LX25" s="40" t="str">
        <f t="shared" si="96"/>
        <v/>
      </c>
      <c r="LY25" s="40" t="str">
        <f t="shared" si="97"/>
        <v/>
      </c>
      <c r="LZ25" s="40" t="str">
        <f t="shared" si="98"/>
        <v/>
      </c>
      <c r="MA25" s="40" t="str">
        <f t="shared" si="99"/>
        <v/>
      </c>
      <c r="MB25" s="40" t="str">
        <f t="shared" si="100"/>
        <v/>
      </c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1" t="str">
        <f t="shared" si="101"/>
        <v/>
      </c>
      <c r="MX25" s="11" t="str">
        <f t="shared" si="102"/>
        <v/>
      </c>
      <c r="MY25" s="11" t="str">
        <f t="shared" si="103"/>
        <v/>
      </c>
      <c r="MZ25" s="11" t="str">
        <f t="shared" si="104"/>
        <v/>
      </c>
      <c r="NA25" s="11" t="str">
        <f t="shared" si="105"/>
        <v/>
      </c>
      <c r="NB25" s="11" t="str">
        <f t="shared" si="106"/>
        <v/>
      </c>
      <c r="NC25" s="11" t="str">
        <f t="shared" si="107"/>
        <v/>
      </c>
      <c r="ND25" s="11" t="str">
        <f t="shared" si="108"/>
        <v/>
      </c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40" t="str">
        <f t="shared" si="109"/>
        <v/>
      </c>
      <c r="NZ25" s="40" t="str">
        <f t="shared" si="110"/>
        <v/>
      </c>
      <c r="OA25" s="40" t="str">
        <f t="shared" si="111"/>
        <v/>
      </c>
      <c r="OB25" s="40" t="str">
        <f t="shared" si="112"/>
        <v/>
      </c>
      <c r="OC25" s="40" t="str">
        <f t="shared" si="113"/>
        <v/>
      </c>
      <c r="OD25" s="40" t="str">
        <f t="shared" si="114"/>
        <v/>
      </c>
      <c r="OE25" s="40" t="str">
        <f t="shared" si="115"/>
        <v/>
      </c>
      <c r="OF25" s="40" t="str">
        <f t="shared" si="116"/>
        <v/>
      </c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1" t="str">
        <f t="shared" si="117"/>
        <v/>
      </c>
      <c r="PB25" s="11" t="str">
        <f t="shared" si="118"/>
        <v/>
      </c>
      <c r="PC25" s="11" t="str">
        <f t="shared" si="119"/>
        <v/>
      </c>
      <c r="PD25" s="11" t="str">
        <f t="shared" si="120"/>
        <v/>
      </c>
      <c r="PE25" s="11" t="str">
        <f t="shared" si="121"/>
        <v/>
      </c>
      <c r="PF25" s="11" t="str">
        <f t="shared" si="122"/>
        <v/>
      </c>
      <c r="PG25" s="11" t="str">
        <f t="shared" si="123"/>
        <v/>
      </c>
      <c r="PH25" s="11" t="str">
        <f t="shared" si="124"/>
        <v/>
      </c>
      <c r="PI25" s="22">
        <f t="shared" si="125"/>
        <v>0</v>
      </c>
      <c r="PJ25" s="22">
        <f t="shared" si="126"/>
        <v>0</v>
      </c>
      <c r="PK25" s="22">
        <f t="shared" si="127"/>
        <v>0</v>
      </c>
      <c r="PL25" s="22">
        <f t="shared" si="128"/>
        <v>0</v>
      </c>
      <c r="PM25" s="22">
        <f t="shared" si="129"/>
        <v>0</v>
      </c>
      <c r="PN25" s="22">
        <f t="shared" si="130"/>
        <v>0</v>
      </c>
      <c r="PO25" s="22">
        <f t="shared" si="131"/>
        <v>0</v>
      </c>
      <c r="PP25" s="22">
        <f t="shared" si="132"/>
        <v>0</v>
      </c>
      <c r="PQ25" s="22">
        <f t="shared" si="133"/>
        <v>0</v>
      </c>
      <c r="PR25" s="22">
        <f t="shared" si="134"/>
        <v>0</v>
      </c>
      <c r="PS25" s="22">
        <f t="shared" si="135"/>
        <v>0</v>
      </c>
      <c r="PT25" s="22">
        <f t="shared" si="136"/>
        <v>0</v>
      </c>
      <c r="PU25" s="22">
        <f t="shared" si="137"/>
        <v>0</v>
      </c>
      <c r="PV25" s="22">
        <f t="shared" si="138"/>
        <v>0</v>
      </c>
      <c r="PW25" s="22">
        <f t="shared" si="139"/>
        <v>0</v>
      </c>
      <c r="PX25" s="22">
        <f t="shared" si="140"/>
        <v>0</v>
      </c>
      <c r="PY25" s="27" t="s">
        <v>46</v>
      </c>
      <c r="PZ25" s="40" t="str">
        <f t="shared" si="141"/>
        <v/>
      </c>
      <c r="QA25" s="40" t="str">
        <f t="shared" si="142"/>
        <v/>
      </c>
      <c r="QB25" s="40" t="str">
        <f t="shared" si="143"/>
        <v/>
      </c>
      <c r="QC25" s="40" t="str">
        <f t="shared" si="144"/>
        <v/>
      </c>
      <c r="QD25" s="40" t="str">
        <f t="shared" si="145"/>
        <v/>
      </c>
    </row>
    <row r="26" spans="1:446" x14ac:dyDescent="0.2">
      <c r="A26" s="4" t="str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/>
      </c>
      <c r="B26" s="4" t="str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/>
      </c>
      <c r="C26" s="5" t="s">
        <v>168</v>
      </c>
      <c r="D26" s="4" t="s">
        <v>3</v>
      </c>
      <c r="E26" s="4">
        <v>2008</v>
      </c>
      <c r="F26" s="9">
        <f t="shared" si="0"/>
        <v>107.70000627000462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IF(COUNT(AM26,BI26,CE26)&gt;0,LARGE((AM26,BI26,CE26),1),0)</f>
        <v>46.1</v>
      </c>
      <c r="M26" s="8" t="str">
        <f t="shared" si="5"/>
        <v>2025 Nationals</v>
      </c>
      <c r="N26" s="8">
        <f>IF(COUNT(AM26,BI26,CE26)&gt;1,LARGE((AM26,BI26,CE26),2),0)</f>
        <v>16.600000000000001</v>
      </c>
      <c r="O26" s="8" t="str">
        <f t="shared" si="6"/>
        <v>2025 Elite Canada</v>
      </c>
      <c r="P26" s="8">
        <f t="shared" si="7"/>
        <v>45.000000000000007</v>
      </c>
      <c r="Q26" s="8" t="str">
        <f t="shared" si="8"/>
        <v>2025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15.4</v>
      </c>
      <c r="V26" s="19">
        <v>1.2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/>
      <c r="AD26" s="19"/>
      <c r="AE26" s="19"/>
      <c r="AF26" s="19"/>
      <c r="AG26" s="19"/>
      <c r="AH26" s="19"/>
      <c r="AI26" s="19"/>
      <c r="AJ26" s="19"/>
      <c r="AK26" s="27"/>
      <c r="AL26" s="40">
        <f t="shared" si="12"/>
        <v>1.2</v>
      </c>
      <c r="AM26" s="40">
        <f t="shared" si="13"/>
        <v>16.600000000000001</v>
      </c>
      <c r="AN26" s="40" t="str">
        <f t="shared" si="14"/>
        <v/>
      </c>
      <c r="AO26" s="40" t="str">
        <f t="shared" si="15"/>
        <v/>
      </c>
      <c r="AP26" s="40">
        <f t="shared" si="16"/>
        <v>16.600000000000001</v>
      </c>
      <c r="AQ26" s="18">
        <v>18.399999999999999</v>
      </c>
      <c r="AR26" s="18">
        <v>3.6</v>
      </c>
      <c r="AS26" s="18">
        <v>0</v>
      </c>
      <c r="AT26" s="18">
        <v>0</v>
      </c>
      <c r="AU26" s="18">
        <v>18.899999999999999</v>
      </c>
      <c r="AV26" s="18">
        <v>5.2</v>
      </c>
      <c r="AW26" s="18">
        <v>0</v>
      </c>
      <c r="AX26" s="18">
        <v>0</v>
      </c>
      <c r="AY26" s="18">
        <v>18.600000000000001</v>
      </c>
      <c r="AZ26" s="18">
        <v>3.6</v>
      </c>
      <c r="BA26" s="18">
        <v>0</v>
      </c>
      <c r="BB26" s="18">
        <v>0</v>
      </c>
      <c r="BC26" s="18">
        <v>18.399999999999999</v>
      </c>
      <c r="BD26" s="18">
        <v>5.2</v>
      </c>
      <c r="BE26" s="18">
        <v>0.8</v>
      </c>
      <c r="BF26" s="18">
        <v>0</v>
      </c>
      <c r="BG26" s="28"/>
      <c r="BH26" s="11">
        <f t="shared" si="17"/>
        <v>8.8000000000000007</v>
      </c>
      <c r="BI26" s="11">
        <f t="shared" si="18"/>
        <v>46.1</v>
      </c>
      <c r="BJ26" s="11">
        <f t="shared" si="19"/>
        <v>8.8000000000000007</v>
      </c>
      <c r="BK26" s="11">
        <f t="shared" si="20"/>
        <v>45.000000000000007</v>
      </c>
      <c r="BL26" s="11">
        <f t="shared" si="21"/>
        <v>91.100000000000009</v>
      </c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27"/>
      <c r="CD26" s="40" t="str">
        <f t="shared" si="22"/>
        <v/>
      </c>
      <c r="CE26" s="40" t="str">
        <f t="shared" si="23"/>
        <v/>
      </c>
      <c r="CF26" s="40" t="str">
        <f t="shared" si="24"/>
        <v/>
      </c>
      <c r="CG26" s="40" t="str">
        <f t="shared" si="25"/>
        <v/>
      </c>
      <c r="CH26" s="40" t="str">
        <f t="shared" si="26"/>
        <v/>
      </c>
      <c r="CI26" s="50" t="str">
        <f t="shared" si="27"/>
        <v/>
      </c>
      <c r="CJ26" s="50" t="str">
        <f t="shared" si="28"/>
        <v/>
      </c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40" t="str">
        <f t="shared" si="29"/>
        <v/>
      </c>
      <c r="DF26" s="40" t="str">
        <f t="shared" si="30"/>
        <v/>
      </c>
      <c r="DG26" s="40" t="str">
        <f t="shared" si="31"/>
        <v/>
      </c>
      <c r="DH26" s="40" t="str">
        <f t="shared" si="32"/>
        <v/>
      </c>
      <c r="DI26" s="40" t="str">
        <f t="shared" si="33"/>
        <v/>
      </c>
      <c r="DJ26" s="40" t="str">
        <f t="shared" si="34"/>
        <v/>
      </c>
      <c r="DK26" s="40" t="str">
        <f t="shared" si="35"/>
        <v/>
      </c>
      <c r="DL26" s="40" t="str">
        <f t="shared" si="36"/>
        <v/>
      </c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1" t="str">
        <f t="shared" si="37"/>
        <v/>
      </c>
      <c r="EH26" s="11" t="str">
        <f t="shared" si="38"/>
        <v/>
      </c>
      <c r="EI26" s="11" t="str">
        <f t="shared" si="39"/>
        <v/>
      </c>
      <c r="EJ26" s="11" t="str">
        <f t="shared" si="40"/>
        <v/>
      </c>
      <c r="EK26" s="11" t="str">
        <f t="shared" si="41"/>
        <v/>
      </c>
      <c r="EL26" s="11" t="str">
        <f t="shared" si="42"/>
        <v/>
      </c>
      <c r="EM26" s="11" t="str">
        <f t="shared" si="43"/>
        <v/>
      </c>
      <c r="EN26" s="11" t="str">
        <f t="shared" si="44"/>
        <v/>
      </c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40" t="str">
        <f t="shared" si="45"/>
        <v/>
      </c>
      <c r="FJ26" s="40" t="str">
        <f t="shared" si="46"/>
        <v/>
      </c>
      <c r="FK26" s="40" t="str">
        <f t="shared" si="47"/>
        <v/>
      </c>
      <c r="FL26" s="40" t="str">
        <f t="shared" si="48"/>
        <v/>
      </c>
      <c r="FM26" s="40" t="str">
        <f t="shared" si="49"/>
        <v/>
      </c>
      <c r="FN26" s="40" t="str">
        <f t="shared" si="50"/>
        <v/>
      </c>
      <c r="FO26" s="40" t="str">
        <f t="shared" si="51"/>
        <v/>
      </c>
      <c r="FP26" s="40" t="str">
        <f t="shared" si="52"/>
        <v/>
      </c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1" t="str">
        <f t="shared" si="53"/>
        <v/>
      </c>
      <c r="GL26" s="11" t="str">
        <f t="shared" si="54"/>
        <v/>
      </c>
      <c r="GM26" s="11" t="str">
        <f t="shared" si="55"/>
        <v/>
      </c>
      <c r="GN26" s="11" t="str">
        <f t="shared" si="56"/>
        <v/>
      </c>
      <c r="GO26" s="11" t="str">
        <f t="shared" si="57"/>
        <v/>
      </c>
      <c r="GP26" s="11" t="str">
        <f t="shared" si="58"/>
        <v/>
      </c>
      <c r="GQ26" s="11" t="str">
        <f t="shared" si="59"/>
        <v/>
      </c>
      <c r="GR26" s="11" t="str">
        <f t="shared" si="60"/>
        <v/>
      </c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40" t="str">
        <f t="shared" si="61"/>
        <v/>
      </c>
      <c r="HN26" s="40" t="str">
        <f t="shared" si="62"/>
        <v/>
      </c>
      <c r="HO26" s="40" t="str">
        <f t="shared" si="63"/>
        <v/>
      </c>
      <c r="HP26" s="40" t="str">
        <f t="shared" si="64"/>
        <v/>
      </c>
      <c r="HQ26" s="40" t="str">
        <f t="shared" si="65"/>
        <v/>
      </c>
      <c r="HR26" s="40" t="str">
        <f t="shared" si="66"/>
        <v/>
      </c>
      <c r="HS26" s="40" t="str">
        <f t="shared" si="67"/>
        <v/>
      </c>
      <c r="HT26" s="40" t="str">
        <f t="shared" si="68"/>
        <v/>
      </c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1" t="str">
        <f t="shared" si="69"/>
        <v/>
      </c>
      <c r="IP26" s="11" t="str">
        <f t="shared" si="70"/>
        <v/>
      </c>
      <c r="IQ26" s="11" t="str">
        <f t="shared" si="71"/>
        <v/>
      </c>
      <c r="IR26" s="11" t="str">
        <f t="shared" si="72"/>
        <v/>
      </c>
      <c r="IS26" s="11" t="str">
        <f t="shared" si="73"/>
        <v/>
      </c>
      <c r="IT26" s="11" t="str">
        <f t="shared" si="74"/>
        <v/>
      </c>
      <c r="IU26" s="11" t="str">
        <f t="shared" si="75"/>
        <v/>
      </c>
      <c r="IV26" s="11" t="str">
        <f t="shared" si="76"/>
        <v/>
      </c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40" t="str">
        <f t="shared" si="77"/>
        <v/>
      </c>
      <c r="JR26" s="40" t="str">
        <f t="shared" si="78"/>
        <v/>
      </c>
      <c r="JS26" s="40" t="str">
        <f t="shared" si="79"/>
        <v/>
      </c>
      <c r="JT26" s="40" t="str">
        <f t="shared" si="80"/>
        <v/>
      </c>
      <c r="JU26" s="40" t="str">
        <f t="shared" si="81"/>
        <v/>
      </c>
      <c r="JV26" s="40" t="str">
        <f t="shared" si="82"/>
        <v/>
      </c>
      <c r="JW26" s="40" t="str">
        <f t="shared" si="83"/>
        <v/>
      </c>
      <c r="JX26" s="40" t="str">
        <f t="shared" si="84"/>
        <v/>
      </c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1" t="str">
        <f t="shared" si="85"/>
        <v/>
      </c>
      <c r="KT26" s="11" t="str">
        <f t="shared" si="86"/>
        <v/>
      </c>
      <c r="KU26" s="11" t="str">
        <f t="shared" si="87"/>
        <v/>
      </c>
      <c r="KV26" s="11" t="str">
        <f t="shared" si="88"/>
        <v/>
      </c>
      <c r="KW26" s="11" t="str">
        <f t="shared" si="89"/>
        <v/>
      </c>
      <c r="KX26" s="11" t="str">
        <f t="shared" si="90"/>
        <v/>
      </c>
      <c r="KY26" s="11" t="str">
        <f t="shared" si="91"/>
        <v/>
      </c>
      <c r="KZ26" s="11" t="str">
        <f t="shared" si="92"/>
        <v/>
      </c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40" t="str">
        <f t="shared" si="93"/>
        <v/>
      </c>
      <c r="LV26" s="40" t="str">
        <f t="shared" si="94"/>
        <v/>
      </c>
      <c r="LW26" s="40" t="str">
        <f t="shared" si="95"/>
        <v/>
      </c>
      <c r="LX26" s="40" t="str">
        <f t="shared" si="96"/>
        <v/>
      </c>
      <c r="LY26" s="40" t="str">
        <f t="shared" si="97"/>
        <v/>
      </c>
      <c r="LZ26" s="40" t="str">
        <f t="shared" si="98"/>
        <v/>
      </c>
      <c r="MA26" s="40" t="str">
        <f t="shared" si="99"/>
        <v/>
      </c>
      <c r="MB26" s="40" t="str">
        <f t="shared" si="100"/>
        <v/>
      </c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1" t="str">
        <f t="shared" si="101"/>
        <v/>
      </c>
      <c r="MX26" s="11" t="str">
        <f t="shared" si="102"/>
        <v/>
      </c>
      <c r="MY26" s="11" t="str">
        <f t="shared" si="103"/>
        <v/>
      </c>
      <c r="MZ26" s="11" t="str">
        <f t="shared" si="104"/>
        <v/>
      </c>
      <c r="NA26" s="11" t="str">
        <f t="shared" si="105"/>
        <v/>
      </c>
      <c r="NB26" s="11" t="str">
        <f t="shared" si="106"/>
        <v/>
      </c>
      <c r="NC26" s="11" t="str">
        <f t="shared" si="107"/>
        <v/>
      </c>
      <c r="ND26" s="11" t="str">
        <f t="shared" si="108"/>
        <v/>
      </c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40" t="str">
        <f t="shared" si="109"/>
        <v/>
      </c>
      <c r="NZ26" s="40" t="str">
        <f t="shared" si="110"/>
        <v/>
      </c>
      <c r="OA26" s="40" t="str">
        <f t="shared" si="111"/>
        <v/>
      </c>
      <c r="OB26" s="40" t="str">
        <f t="shared" si="112"/>
        <v/>
      </c>
      <c r="OC26" s="40" t="str">
        <f t="shared" si="113"/>
        <v/>
      </c>
      <c r="OD26" s="40" t="str">
        <f t="shared" si="114"/>
        <v/>
      </c>
      <c r="OE26" s="40" t="str">
        <f t="shared" si="115"/>
        <v/>
      </c>
      <c r="OF26" s="40" t="str">
        <f t="shared" si="116"/>
        <v/>
      </c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1" t="str">
        <f t="shared" si="117"/>
        <v/>
      </c>
      <c r="PB26" s="11" t="str">
        <f t="shared" si="118"/>
        <v/>
      </c>
      <c r="PC26" s="11" t="str">
        <f t="shared" si="119"/>
        <v/>
      </c>
      <c r="PD26" s="11" t="str">
        <f t="shared" si="120"/>
        <v/>
      </c>
      <c r="PE26" s="11" t="str">
        <f t="shared" si="121"/>
        <v/>
      </c>
      <c r="PF26" s="11" t="str">
        <f t="shared" si="122"/>
        <v/>
      </c>
      <c r="PG26" s="11" t="str">
        <f t="shared" si="123"/>
        <v/>
      </c>
      <c r="PH26" s="11" t="str">
        <f t="shared" si="124"/>
        <v/>
      </c>
      <c r="PI26" s="22">
        <f t="shared" si="125"/>
        <v>0</v>
      </c>
      <c r="PJ26" s="22">
        <f t="shared" si="126"/>
        <v>0</v>
      </c>
      <c r="PK26" s="22">
        <f t="shared" si="127"/>
        <v>0</v>
      </c>
      <c r="PL26" s="22">
        <f t="shared" si="128"/>
        <v>0</v>
      </c>
      <c r="PM26" s="22">
        <f t="shared" si="129"/>
        <v>0</v>
      </c>
      <c r="PN26" s="22">
        <f t="shared" si="130"/>
        <v>0</v>
      </c>
      <c r="PO26" s="22">
        <f t="shared" si="131"/>
        <v>0</v>
      </c>
      <c r="PP26" s="22">
        <f t="shared" si="132"/>
        <v>0</v>
      </c>
      <c r="PQ26" s="22">
        <f t="shared" si="133"/>
        <v>0</v>
      </c>
      <c r="PR26" s="22">
        <f t="shared" si="134"/>
        <v>0</v>
      </c>
      <c r="PS26" s="22">
        <f t="shared" si="135"/>
        <v>0</v>
      </c>
      <c r="PT26" s="22">
        <f t="shared" si="136"/>
        <v>0</v>
      </c>
      <c r="PU26" s="22">
        <f t="shared" si="137"/>
        <v>0</v>
      </c>
      <c r="PV26" s="22">
        <f t="shared" si="138"/>
        <v>0</v>
      </c>
      <c r="PW26" s="22">
        <f t="shared" si="139"/>
        <v>0</v>
      </c>
      <c r="PX26" s="22">
        <f t="shared" si="140"/>
        <v>0</v>
      </c>
      <c r="PY26" s="27" t="s">
        <v>46</v>
      </c>
      <c r="PZ26" s="40" t="str">
        <f t="shared" si="141"/>
        <v/>
      </c>
      <c r="QA26" s="40" t="str">
        <f t="shared" si="142"/>
        <v/>
      </c>
      <c r="QB26" s="40" t="str">
        <f t="shared" si="143"/>
        <v/>
      </c>
      <c r="QC26" s="40" t="str">
        <f t="shared" si="144"/>
        <v/>
      </c>
      <c r="QD26" s="40" t="str">
        <f t="shared" si="145"/>
        <v/>
      </c>
    </row>
    <row r="27" spans="1:446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96</v>
      </c>
      <c r="D27" s="4" t="s">
        <v>4</v>
      </c>
      <c r="E27" s="4">
        <v>2005</v>
      </c>
      <c r="F27" s="9">
        <f t="shared" si="0"/>
        <v>94.200007710004371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IF(COUNT(AM27,BI27,CE27)&gt;0,LARGE((AM27,BI27,CE27),1),0)</f>
        <v>43.800000000000004</v>
      </c>
      <c r="M27" s="8" t="str">
        <f t="shared" si="5"/>
        <v>2025 Nationals</v>
      </c>
      <c r="N27" s="8">
        <f>IF(COUNT(AM27,BI27,CE27)&gt;1,LARGE((AM27,BI27,CE27),2),0)</f>
        <v>33.299999999999997</v>
      </c>
      <c r="O27" s="8" t="str">
        <f t="shared" si="6"/>
        <v>2025 Elite Canada</v>
      </c>
      <c r="P27" s="8">
        <f t="shared" si="7"/>
        <v>17.100000000000001</v>
      </c>
      <c r="Q27" s="8" t="str">
        <f t="shared" si="8"/>
        <v>2025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15.2</v>
      </c>
      <c r="V27" s="19">
        <v>2</v>
      </c>
      <c r="W27" s="19">
        <v>0</v>
      </c>
      <c r="X27" s="19">
        <v>0</v>
      </c>
      <c r="Y27" s="19">
        <v>15.2</v>
      </c>
      <c r="Z27" s="19">
        <v>0.9</v>
      </c>
      <c r="AA27" s="19">
        <v>0</v>
      </c>
      <c r="AB27" s="19">
        <v>0</v>
      </c>
      <c r="AC27" s="19"/>
      <c r="AD27" s="19"/>
      <c r="AE27" s="19"/>
      <c r="AF27" s="19"/>
      <c r="AG27" s="19"/>
      <c r="AH27" s="19"/>
      <c r="AI27" s="19"/>
      <c r="AJ27" s="19"/>
      <c r="AK27" s="27"/>
      <c r="AL27" s="40">
        <f t="shared" si="12"/>
        <v>2.9</v>
      </c>
      <c r="AM27" s="40">
        <f t="shared" si="13"/>
        <v>33.299999999999997</v>
      </c>
      <c r="AN27" s="40" t="str">
        <f t="shared" si="14"/>
        <v/>
      </c>
      <c r="AO27" s="40" t="str">
        <f t="shared" si="15"/>
        <v/>
      </c>
      <c r="AP27" s="40">
        <f t="shared" si="16"/>
        <v>33.299999999999997</v>
      </c>
      <c r="AQ27" s="18">
        <v>18.2</v>
      </c>
      <c r="AR27" s="18">
        <v>4.4000000000000004</v>
      </c>
      <c r="AS27" s="18">
        <v>0.2</v>
      </c>
      <c r="AT27" s="18">
        <v>0</v>
      </c>
      <c r="AU27" s="18">
        <v>18.3</v>
      </c>
      <c r="AV27" s="18">
        <v>3.7</v>
      </c>
      <c r="AW27" s="18">
        <v>0.6</v>
      </c>
      <c r="AX27" s="18">
        <v>0</v>
      </c>
      <c r="AY27" s="18">
        <v>0</v>
      </c>
      <c r="AZ27" s="18">
        <v>0</v>
      </c>
      <c r="BA27" s="18">
        <v>0</v>
      </c>
      <c r="BB27" s="18">
        <v>0</v>
      </c>
      <c r="BC27" s="18">
        <v>15.1</v>
      </c>
      <c r="BD27" s="18">
        <v>2</v>
      </c>
      <c r="BE27" s="18">
        <v>0</v>
      </c>
      <c r="BF27" s="18">
        <v>0</v>
      </c>
      <c r="BG27" s="28"/>
      <c r="BH27" s="11">
        <f t="shared" si="17"/>
        <v>8.1000000000000014</v>
      </c>
      <c r="BI27" s="11">
        <f t="shared" si="18"/>
        <v>43.800000000000004</v>
      </c>
      <c r="BJ27" s="11">
        <f t="shared" si="19"/>
        <v>2</v>
      </c>
      <c r="BK27" s="11">
        <f t="shared" si="20"/>
        <v>17.100000000000001</v>
      </c>
      <c r="BL27" s="11">
        <f t="shared" si="21"/>
        <v>60.900000000000006</v>
      </c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27"/>
      <c r="CD27" s="40" t="str">
        <f t="shared" si="22"/>
        <v/>
      </c>
      <c r="CE27" s="40" t="str">
        <f t="shared" si="23"/>
        <v/>
      </c>
      <c r="CF27" s="40" t="str">
        <f t="shared" si="24"/>
        <v/>
      </c>
      <c r="CG27" s="40" t="str">
        <f t="shared" si="25"/>
        <v/>
      </c>
      <c r="CH27" s="40" t="str">
        <f t="shared" si="26"/>
        <v/>
      </c>
      <c r="CI27" s="50" t="str">
        <f t="shared" si="27"/>
        <v/>
      </c>
      <c r="CJ27" s="50" t="str">
        <f t="shared" si="28"/>
        <v/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40" t="str">
        <f t="shared" si="29"/>
        <v/>
      </c>
      <c r="DF27" s="40" t="str">
        <f t="shared" si="30"/>
        <v/>
      </c>
      <c r="DG27" s="40" t="str">
        <f t="shared" si="31"/>
        <v/>
      </c>
      <c r="DH27" s="40" t="str">
        <f t="shared" si="32"/>
        <v/>
      </c>
      <c r="DI27" s="40" t="str">
        <f t="shared" si="33"/>
        <v/>
      </c>
      <c r="DJ27" s="40" t="str">
        <f t="shared" si="34"/>
        <v/>
      </c>
      <c r="DK27" s="40" t="str">
        <f t="shared" si="35"/>
        <v/>
      </c>
      <c r="DL27" s="40" t="str">
        <f t="shared" si="36"/>
        <v/>
      </c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1" t="str">
        <f t="shared" si="37"/>
        <v/>
      </c>
      <c r="EH27" s="11" t="str">
        <f t="shared" si="38"/>
        <v/>
      </c>
      <c r="EI27" s="11" t="str">
        <f t="shared" si="39"/>
        <v/>
      </c>
      <c r="EJ27" s="11" t="str">
        <f t="shared" si="40"/>
        <v/>
      </c>
      <c r="EK27" s="11" t="str">
        <f t="shared" si="41"/>
        <v/>
      </c>
      <c r="EL27" s="11" t="str">
        <f t="shared" si="42"/>
        <v/>
      </c>
      <c r="EM27" s="11" t="str">
        <f t="shared" si="43"/>
        <v/>
      </c>
      <c r="EN27" s="11" t="str">
        <f t="shared" si="44"/>
        <v/>
      </c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40" t="str">
        <f t="shared" si="45"/>
        <v/>
      </c>
      <c r="FJ27" s="40" t="str">
        <f t="shared" si="46"/>
        <v/>
      </c>
      <c r="FK27" s="40" t="str">
        <f t="shared" si="47"/>
        <v/>
      </c>
      <c r="FL27" s="40" t="str">
        <f t="shared" si="48"/>
        <v/>
      </c>
      <c r="FM27" s="40" t="str">
        <f t="shared" si="49"/>
        <v/>
      </c>
      <c r="FN27" s="40" t="str">
        <f t="shared" si="50"/>
        <v/>
      </c>
      <c r="FO27" s="40" t="str">
        <f t="shared" si="51"/>
        <v/>
      </c>
      <c r="FP27" s="40" t="str">
        <f t="shared" si="52"/>
        <v/>
      </c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1" t="str">
        <f t="shared" si="53"/>
        <v/>
      </c>
      <c r="GL27" s="11" t="str">
        <f t="shared" si="54"/>
        <v/>
      </c>
      <c r="GM27" s="11" t="str">
        <f t="shared" si="55"/>
        <v/>
      </c>
      <c r="GN27" s="11" t="str">
        <f t="shared" si="56"/>
        <v/>
      </c>
      <c r="GO27" s="11" t="str">
        <f t="shared" si="57"/>
        <v/>
      </c>
      <c r="GP27" s="11" t="str">
        <f t="shared" si="58"/>
        <v/>
      </c>
      <c r="GQ27" s="11" t="str">
        <f t="shared" si="59"/>
        <v/>
      </c>
      <c r="GR27" s="11" t="str">
        <f t="shared" si="60"/>
        <v/>
      </c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40" t="str">
        <f t="shared" si="61"/>
        <v/>
      </c>
      <c r="HN27" s="40" t="str">
        <f t="shared" si="62"/>
        <v/>
      </c>
      <c r="HO27" s="40" t="str">
        <f t="shared" si="63"/>
        <v/>
      </c>
      <c r="HP27" s="40" t="str">
        <f t="shared" si="64"/>
        <v/>
      </c>
      <c r="HQ27" s="40" t="str">
        <f t="shared" si="65"/>
        <v/>
      </c>
      <c r="HR27" s="40" t="str">
        <f t="shared" si="66"/>
        <v/>
      </c>
      <c r="HS27" s="40" t="str">
        <f t="shared" si="67"/>
        <v/>
      </c>
      <c r="HT27" s="40" t="str">
        <f t="shared" si="68"/>
        <v/>
      </c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1" t="str">
        <f t="shared" si="69"/>
        <v/>
      </c>
      <c r="IP27" s="11" t="str">
        <f t="shared" si="70"/>
        <v/>
      </c>
      <c r="IQ27" s="11" t="str">
        <f t="shared" si="71"/>
        <v/>
      </c>
      <c r="IR27" s="11" t="str">
        <f t="shared" si="72"/>
        <v/>
      </c>
      <c r="IS27" s="11" t="str">
        <f t="shared" si="73"/>
        <v/>
      </c>
      <c r="IT27" s="11" t="str">
        <f t="shared" si="74"/>
        <v/>
      </c>
      <c r="IU27" s="11" t="str">
        <f t="shared" si="75"/>
        <v/>
      </c>
      <c r="IV27" s="11" t="str">
        <f t="shared" si="76"/>
        <v/>
      </c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40" t="str">
        <f t="shared" si="77"/>
        <v/>
      </c>
      <c r="JR27" s="40" t="str">
        <f t="shared" si="78"/>
        <v/>
      </c>
      <c r="JS27" s="40" t="str">
        <f t="shared" si="79"/>
        <v/>
      </c>
      <c r="JT27" s="40" t="str">
        <f t="shared" si="80"/>
        <v/>
      </c>
      <c r="JU27" s="40" t="str">
        <f t="shared" si="81"/>
        <v/>
      </c>
      <c r="JV27" s="40" t="str">
        <f t="shared" si="82"/>
        <v/>
      </c>
      <c r="JW27" s="40" t="str">
        <f t="shared" si="83"/>
        <v/>
      </c>
      <c r="JX27" s="40" t="str">
        <f t="shared" si="84"/>
        <v/>
      </c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1" t="str">
        <f t="shared" si="85"/>
        <v/>
      </c>
      <c r="KT27" s="11" t="str">
        <f t="shared" si="86"/>
        <v/>
      </c>
      <c r="KU27" s="11" t="str">
        <f t="shared" si="87"/>
        <v/>
      </c>
      <c r="KV27" s="11" t="str">
        <f t="shared" si="88"/>
        <v/>
      </c>
      <c r="KW27" s="11" t="str">
        <f t="shared" si="89"/>
        <v/>
      </c>
      <c r="KX27" s="11" t="str">
        <f t="shared" si="90"/>
        <v/>
      </c>
      <c r="KY27" s="11" t="str">
        <f t="shared" si="91"/>
        <v/>
      </c>
      <c r="KZ27" s="11" t="str">
        <f t="shared" si="92"/>
        <v/>
      </c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40" t="str">
        <f t="shared" si="93"/>
        <v/>
      </c>
      <c r="LV27" s="40" t="str">
        <f t="shared" si="94"/>
        <v/>
      </c>
      <c r="LW27" s="40" t="str">
        <f t="shared" si="95"/>
        <v/>
      </c>
      <c r="LX27" s="40" t="str">
        <f t="shared" si="96"/>
        <v/>
      </c>
      <c r="LY27" s="40" t="str">
        <f t="shared" si="97"/>
        <v/>
      </c>
      <c r="LZ27" s="40" t="str">
        <f t="shared" si="98"/>
        <v/>
      </c>
      <c r="MA27" s="40" t="str">
        <f t="shared" si="99"/>
        <v/>
      </c>
      <c r="MB27" s="40" t="str">
        <f t="shared" si="100"/>
        <v/>
      </c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1" t="str">
        <f t="shared" si="101"/>
        <v/>
      </c>
      <c r="MX27" s="11" t="str">
        <f t="shared" si="102"/>
        <v/>
      </c>
      <c r="MY27" s="11" t="str">
        <f t="shared" si="103"/>
        <v/>
      </c>
      <c r="MZ27" s="11" t="str">
        <f t="shared" si="104"/>
        <v/>
      </c>
      <c r="NA27" s="11" t="str">
        <f t="shared" si="105"/>
        <v/>
      </c>
      <c r="NB27" s="11" t="str">
        <f t="shared" si="106"/>
        <v/>
      </c>
      <c r="NC27" s="11" t="str">
        <f t="shared" si="107"/>
        <v/>
      </c>
      <c r="ND27" s="11" t="str">
        <f t="shared" si="108"/>
        <v/>
      </c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40" t="str">
        <f t="shared" si="109"/>
        <v/>
      </c>
      <c r="NZ27" s="40" t="str">
        <f t="shared" si="110"/>
        <v/>
      </c>
      <c r="OA27" s="40" t="str">
        <f t="shared" si="111"/>
        <v/>
      </c>
      <c r="OB27" s="40" t="str">
        <f t="shared" si="112"/>
        <v/>
      </c>
      <c r="OC27" s="40" t="str">
        <f t="shared" si="113"/>
        <v/>
      </c>
      <c r="OD27" s="40" t="str">
        <f t="shared" si="114"/>
        <v/>
      </c>
      <c r="OE27" s="40" t="str">
        <f t="shared" si="115"/>
        <v/>
      </c>
      <c r="OF27" s="40" t="str">
        <f t="shared" si="116"/>
        <v/>
      </c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1" t="str">
        <f t="shared" si="117"/>
        <v/>
      </c>
      <c r="PB27" s="11" t="str">
        <f t="shared" si="118"/>
        <v/>
      </c>
      <c r="PC27" s="11" t="str">
        <f t="shared" si="119"/>
        <v/>
      </c>
      <c r="PD27" s="11" t="str">
        <f t="shared" si="120"/>
        <v/>
      </c>
      <c r="PE27" s="11" t="str">
        <f t="shared" si="121"/>
        <v/>
      </c>
      <c r="PF27" s="11" t="str">
        <f t="shared" si="122"/>
        <v/>
      </c>
      <c r="PG27" s="11" t="str">
        <f t="shared" si="123"/>
        <v/>
      </c>
      <c r="PH27" s="11" t="str">
        <f t="shared" si="124"/>
        <v/>
      </c>
      <c r="PI27" s="22">
        <f t="shared" si="125"/>
        <v>0</v>
      </c>
      <c r="PJ27" s="22">
        <f t="shared" si="126"/>
        <v>0</v>
      </c>
      <c r="PK27" s="22">
        <f t="shared" si="127"/>
        <v>0</v>
      </c>
      <c r="PL27" s="22">
        <f t="shared" si="128"/>
        <v>0</v>
      </c>
      <c r="PM27" s="22">
        <f t="shared" si="129"/>
        <v>0</v>
      </c>
      <c r="PN27" s="22">
        <f t="shared" si="130"/>
        <v>0</v>
      </c>
      <c r="PO27" s="22">
        <f t="shared" si="131"/>
        <v>0</v>
      </c>
      <c r="PP27" s="22">
        <f t="shared" si="132"/>
        <v>0</v>
      </c>
      <c r="PQ27" s="22">
        <f t="shared" si="133"/>
        <v>0</v>
      </c>
      <c r="PR27" s="22">
        <f t="shared" si="134"/>
        <v>0</v>
      </c>
      <c r="PS27" s="22">
        <f t="shared" si="135"/>
        <v>0</v>
      </c>
      <c r="PT27" s="22">
        <f t="shared" si="136"/>
        <v>0</v>
      </c>
      <c r="PU27" s="22">
        <f t="shared" si="137"/>
        <v>0</v>
      </c>
      <c r="PV27" s="22">
        <f t="shared" si="138"/>
        <v>0</v>
      </c>
      <c r="PW27" s="22">
        <f t="shared" si="139"/>
        <v>0</v>
      </c>
      <c r="PX27" s="22">
        <f t="shared" si="140"/>
        <v>0</v>
      </c>
      <c r="PY27" s="27" t="s">
        <v>46</v>
      </c>
      <c r="PZ27" s="40" t="str">
        <f t="shared" si="141"/>
        <v/>
      </c>
      <c r="QA27" s="40" t="str">
        <f t="shared" si="142"/>
        <v/>
      </c>
      <c r="QB27" s="40" t="str">
        <f t="shared" si="143"/>
        <v/>
      </c>
      <c r="QC27" s="40" t="str">
        <f t="shared" si="144"/>
        <v/>
      </c>
      <c r="QD27" s="40" t="str">
        <f t="shared" si="145"/>
        <v/>
      </c>
    </row>
    <row r="28" spans="1:446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177</v>
      </c>
      <c r="D28" s="4" t="s">
        <v>4</v>
      </c>
      <c r="E28" s="4">
        <v>2008</v>
      </c>
      <c r="F28" s="9">
        <f t="shared" si="0"/>
        <v>91.20000453000452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IF(COUNT(AM28,BI28,CE28)&gt;0,LARGE((AM28,BI28,CE28),1),0)</f>
        <v>45.3</v>
      </c>
      <c r="M28" s="8" t="str">
        <f t="shared" si="5"/>
        <v>2025 Nationals</v>
      </c>
      <c r="N28" s="8">
        <f>IF(COUNT(AM28,BI28,CE28)&gt;1,LARGE((AM28,BI28,CE28),2),0)</f>
        <v>0</v>
      </c>
      <c r="O28" s="8" t="str">
        <f t="shared" si="6"/>
        <v/>
      </c>
      <c r="P28" s="8">
        <f t="shared" si="7"/>
        <v>45.9</v>
      </c>
      <c r="Q28" s="8" t="str">
        <f t="shared" si="8"/>
        <v>2025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27"/>
      <c r="AL28" s="40" t="str">
        <f t="shared" si="12"/>
        <v/>
      </c>
      <c r="AM28" s="40" t="str">
        <f t="shared" si="13"/>
        <v/>
      </c>
      <c r="AN28" s="40" t="str">
        <f t="shared" si="14"/>
        <v/>
      </c>
      <c r="AO28" s="40" t="str">
        <f t="shared" si="15"/>
        <v/>
      </c>
      <c r="AP28" s="40" t="str">
        <f t="shared" si="16"/>
        <v/>
      </c>
      <c r="AQ28" s="18">
        <v>18.3</v>
      </c>
      <c r="AR28" s="18">
        <v>5.2</v>
      </c>
      <c r="AS28" s="18">
        <v>0</v>
      </c>
      <c r="AT28" s="18">
        <v>0</v>
      </c>
      <c r="AU28" s="18">
        <v>18.8</v>
      </c>
      <c r="AV28" s="18">
        <v>3.6</v>
      </c>
      <c r="AW28" s="18">
        <v>0.6</v>
      </c>
      <c r="AX28" s="18">
        <v>0</v>
      </c>
      <c r="AY28" s="18">
        <v>18.399999999999999</v>
      </c>
      <c r="AZ28" s="18">
        <v>5.2</v>
      </c>
      <c r="BA28" s="18">
        <v>0</v>
      </c>
      <c r="BB28" s="18">
        <v>0</v>
      </c>
      <c r="BC28" s="18">
        <v>18.899999999999999</v>
      </c>
      <c r="BD28" s="18">
        <v>4</v>
      </c>
      <c r="BE28" s="18">
        <v>0.6</v>
      </c>
      <c r="BF28" s="18">
        <v>0</v>
      </c>
      <c r="BG28" s="28"/>
      <c r="BH28" s="11">
        <f t="shared" si="17"/>
        <v>8.8000000000000007</v>
      </c>
      <c r="BI28" s="11">
        <f t="shared" si="18"/>
        <v>45.3</v>
      </c>
      <c r="BJ28" s="11">
        <f t="shared" si="19"/>
        <v>9.1999999999999993</v>
      </c>
      <c r="BK28" s="11">
        <f t="shared" si="20"/>
        <v>45.9</v>
      </c>
      <c r="BL28" s="11">
        <f t="shared" si="21"/>
        <v>91.199999999999989</v>
      </c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27"/>
      <c r="CD28" s="40" t="str">
        <f t="shared" si="22"/>
        <v/>
      </c>
      <c r="CE28" s="40" t="str">
        <f t="shared" si="23"/>
        <v/>
      </c>
      <c r="CF28" s="40" t="str">
        <f t="shared" si="24"/>
        <v/>
      </c>
      <c r="CG28" s="40" t="str">
        <f t="shared" si="25"/>
        <v/>
      </c>
      <c r="CH28" s="40" t="str">
        <f t="shared" si="26"/>
        <v/>
      </c>
      <c r="CI28" s="50" t="str">
        <f t="shared" si="27"/>
        <v/>
      </c>
      <c r="CJ28" s="50" t="str">
        <f t="shared" si="28"/>
        <v/>
      </c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40" t="str">
        <f t="shared" si="29"/>
        <v/>
      </c>
      <c r="DF28" s="40" t="str">
        <f t="shared" si="30"/>
        <v/>
      </c>
      <c r="DG28" s="40" t="str">
        <f t="shared" si="31"/>
        <v/>
      </c>
      <c r="DH28" s="40" t="str">
        <f t="shared" si="32"/>
        <v/>
      </c>
      <c r="DI28" s="40" t="str">
        <f t="shared" si="33"/>
        <v/>
      </c>
      <c r="DJ28" s="40" t="str">
        <f t="shared" si="34"/>
        <v/>
      </c>
      <c r="DK28" s="40" t="str">
        <f t="shared" si="35"/>
        <v/>
      </c>
      <c r="DL28" s="40" t="str">
        <f t="shared" si="36"/>
        <v/>
      </c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1" t="str">
        <f t="shared" si="37"/>
        <v/>
      </c>
      <c r="EH28" s="11" t="str">
        <f t="shared" si="38"/>
        <v/>
      </c>
      <c r="EI28" s="11" t="str">
        <f t="shared" si="39"/>
        <v/>
      </c>
      <c r="EJ28" s="11" t="str">
        <f t="shared" si="40"/>
        <v/>
      </c>
      <c r="EK28" s="11" t="str">
        <f t="shared" si="41"/>
        <v/>
      </c>
      <c r="EL28" s="11" t="str">
        <f t="shared" si="42"/>
        <v/>
      </c>
      <c r="EM28" s="11" t="str">
        <f t="shared" si="43"/>
        <v/>
      </c>
      <c r="EN28" s="11" t="str">
        <f t="shared" si="44"/>
        <v/>
      </c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40" t="str">
        <f t="shared" si="45"/>
        <v/>
      </c>
      <c r="FJ28" s="40" t="str">
        <f t="shared" si="46"/>
        <v/>
      </c>
      <c r="FK28" s="40" t="str">
        <f t="shared" si="47"/>
        <v/>
      </c>
      <c r="FL28" s="40" t="str">
        <f t="shared" si="48"/>
        <v/>
      </c>
      <c r="FM28" s="40" t="str">
        <f t="shared" si="49"/>
        <v/>
      </c>
      <c r="FN28" s="40" t="str">
        <f t="shared" si="50"/>
        <v/>
      </c>
      <c r="FO28" s="40" t="str">
        <f t="shared" si="51"/>
        <v/>
      </c>
      <c r="FP28" s="40" t="str">
        <f t="shared" si="52"/>
        <v/>
      </c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1" t="str">
        <f t="shared" si="53"/>
        <v/>
      </c>
      <c r="GL28" s="11" t="str">
        <f t="shared" si="54"/>
        <v/>
      </c>
      <c r="GM28" s="11" t="str">
        <f t="shared" si="55"/>
        <v/>
      </c>
      <c r="GN28" s="11" t="str">
        <f t="shared" si="56"/>
        <v/>
      </c>
      <c r="GO28" s="11" t="str">
        <f t="shared" si="57"/>
        <v/>
      </c>
      <c r="GP28" s="11" t="str">
        <f t="shared" si="58"/>
        <v/>
      </c>
      <c r="GQ28" s="11" t="str">
        <f t="shared" si="59"/>
        <v/>
      </c>
      <c r="GR28" s="11" t="str">
        <f t="shared" si="60"/>
        <v/>
      </c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40" t="str">
        <f t="shared" si="61"/>
        <v/>
      </c>
      <c r="HN28" s="40" t="str">
        <f t="shared" si="62"/>
        <v/>
      </c>
      <c r="HO28" s="40" t="str">
        <f t="shared" si="63"/>
        <v/>
      </c>
      <c r="HP28" s="40" t="str">
        <f t="shared" si="64"/>
        <v/>
      </c>
      <c r="HQ28" s="40" t="str">
        <f t="shared" si="65"/>
        <v/>
      </c>
      <c r="HR28" s="40" t="str">
        <f t="shared" si="66"/>
        <v/>
      </c>
      <c r="HS28" s="40" t="str">
        <f t="shared" si="67"/>
        <v/>
      </c>
      <c r="HT28" s="40" t="str">
        <f t="shared" si="68"/>
        <v/>
      </c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1" t="str">
        <f t="shared" si="69"/>
        <v/>
      </c>
      <c r="IP28" s="11" t="str">
        <f t="shared" si="70"/>
        <v/>
      </c>
      <c r="IQ28" s="11" t="str">
        <f t="shared" si="71"/>
        <v/>
      </c>
      <c r="IR28" s="11" t="str">
        <f t="shared" si="72"/>
        <v/>
      </c>
      <c r="IS28" s="11" t="str">
        <f t="shared" si="73"/>
        <v/>
      </c>
      <c r="IT28" s="11" t="str">
        <f t="shared" si="74"/>
        <v/>
      </c>
      <c r="IU28" s="11" t="str">
        <f t="shared" si="75"/>
        <v/>
      </c>
      <c r="IV28" s="11" t="str">
        <f t="shared" si="76"/>
        <v/>
      </c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40" t="str">
        <f t="shared" si="77"/>
        <v/>
      </c>
      <c r="JR28" s="40" t="str">
        <f t="shared" si="78"/>
        <v/>
      </c>
      <c r="JS28" s="40" t="str">
        <f t="shared" si="79"/>
        <v/>
      </c>
      <c r="JT28" s="40" t="str">
        <f t="shared" si="80"/>
        <v/>
      </c>
      <c r="JU28" s="40" t="str">
        <f t="shared" si="81"/>
        <v/>
      </c>
      <c r="JV28" s="40" t="str">
        <f t="shared" si="82"/>
        <v/>
      </c>
      <c r="JW28" s="40" t="str">
        <f t="shared" si="83"/>
        <v/>
      </c>
      <c r="JX28" s="40" t="str">
        <f t="shared" si="84"/>
        <v/>
      </c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1" t="str">
        <f t="shared" si="85"/>
        <v/>
      </c>
      <c r="KT28" s="11" t="str">
        <f t="shared" si="86"/>
        <v/>
      </c>
      <c r="KU28" s="11" t="str">
        <f t="shared" si="87"/>
        <v/>
      </c>
      <c r="KV28" s="11" t="str">
        <f t="shared" si="88"/>
        <v/>
      </c>
      <c r="KW28" s="11" t="str">
        <f t="shared" si="89"/>
        <v/>
      </c>
      <c r="KX28" s="11" t="str">
        <f t="shared" si="90"/>
        <v/>
      </c>
      <c r="KY28" s="11" t="str">
        <f t="shared" si="91"/>
        <v/>
      </c>
      <c r="KZ28" s="11" t="str">
        <f t="shared" si="92"/>
        <v/>
      </c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40" t="str">
        <f t="shared" si="93"/>
        <v/>
      </c>
      <c r="LV28" s="40" t="str">
        <f t="shared" si="94"/>
        <v/>
      </c>
      <c r="LW28" s="40" t="str">
        <f t="shared" si="95"/>
        <v/>
      </c>
      <c r="LX28" s="40" t="str">
        <f t="shared" si="96"/>
        <v/>
      </c>
      <c r="LY28" s="40" t="str">
        <f t="shared" si="97"/>
        <v/>
      </c>
      <c r="LZ28" s="40" t="str">
        <f t="shared" si="98"/>
        <v/>
      </c>
      <c r="MA28" s="40" t="str">
        <f t="shared" si="99"/>
        <v/>
      </c>
      <c r="MB28" s="40" t="str">
        <f t="shared" si="100"/>
        <v/>
      </c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1" t="str">
        <f t="shared" si="101"/>
        <v/>
      </c>
      <c r="MX28" s="11" t="str">
        <f t="shared" si="102"/>
        <v/>
      </c>
      <c r="MY28" s="11" t="str">
        <f t="shared" si="103"/>
        <v/>
      </c>
      <c r="MZ28" s="11" t="str">
        <f t="shared" si="104"/>
        <v/>
      </c>
      <c r="NA28" s="11" t="str">
        <f t="shared" si="105"/>
        <v/>
      </c>
      <c r="NB28" s="11" t="str">
        <f t="shared" si="106"/>
        <v/>
      </c>
      <c r="NC28" s="11" t="str">
        <f t="shared" si="107"/>
        <v/>
      </c>
      <c r="ND28" s="11" t="str">
        <f t="shared" si="108"/>
        <v/>
      </c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40" t="str">
        <f t="shared" si="109"/>
        <v/>
      </c>
      <c r="NZ28" s="40" t="str">
        <f t="shared" si="110"/>
        <v/>
      </c>
      <c r="OA28" s="40" t="str">
        <f t="shared" si="111"/>
        <v/>
      </c>
      <c r="OB28" s="40" t="str">
        <f t="shared" si="112"/>
        <v/>
      </c>
      <c r="OC28" s="40" t="str">
        <f t="shared" si="113"/>
        <v/>
      </c>
      <c r="OD28" s="40" t="str">
        <f t="shared" si="114"/>
        <v/>
      </c>
      <c r="OE28" s="40" t="str">
        <f t="shared" si="115"/>
        <v/>
      </c>
      <c r="OF28" s="40" t="str">
        <f t="shared" si="116"/>
        <v/>
      </c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1" t="str">
        <f t="shared" si="117"/>
        <v/>
      </c>
      <c r="PB28" s="11" t="str">
        <f t="shared" si="118"/>
        <v/>
      </c>
      <c r="PC28" s="11" t="str">
        <f t="shared" si="119"/>
        <v/>
      </c>
      <c r="PD28" s="11" t="str">
        <f t="shared" si="120"/>
        <v/>
      </c>
      <c r="PE28" s="11" t="str">
        <f t="shared" si="121"/>
        <v/>
      </c>
      <c r="PF28" s="11" t="str">
        <f t="shared" si="122"/>
        <v/>
      </c>
      <c r="PG28" s="11" t="str">
        <f t="shared" si="123"/>
        <v/>
      </c>
      <c r="PH28" s="11" t="str">
        <f t="shared" si="124"/>
        <v/>
      </c>
      <c r="PI28" s="22">
        <f t="shared" si="125"/>
        <v>0</v>
      </c>
      <c r="PJ28" s="22">
        <f t="shared" si="126"/>
        <v>0</v>
      </c>
      <c r="PK28" s="22">
        <f t="shared" si="127"/>
        <v>0</v>
      </c>
      <c r="PL28" s="22">
        <f t="shared" si="128"/>
        <v>0</v>
      </c>
      <c r="PM28" s="22">
        <f t="shared" si="129"/>
        <v>0</v>
      </c>
      <c r="PN28" s="22">
        <f t="shared" si="130"/>
        <v>0</v>
      </c>
      <c r="PO28" s="22">
        <f t="shared" si="131"/>
        <v>0</v>
      </c>
      <c r="PP28" s="22">
        <f t="shared" si="132"/>
        <v>0</v>
      </c>
      <c r="PQ28" s="22">
        <f t="shared" si="133"/>
        <v>0</v>
      </c>
      <c r="PR28" s="22">
        <f t="shared" si="134"/>
        <v>0</v>
      </c>
      <c r="PS28" s="22">
        <f t="shared" si="135"/>
        <v>0</v>
      </c>
      <c r="PT28" s="22">
        <f t="shared" si="136"/>
        <v>0</v>
      </c>
      <c r="PU28" s="22">
        <f t="shared" si="137"/>
        <v>0</v>
      </c>
      <c r="PV28" s="22">
        <f t="shared" si="138"/>
        <v>0</v>
      </c>
      <c r="PW28" s="22">
        <f t="shared" si="139"/>
        <v>0</v>
      </c>
      <c r="PX28" s="22">
        <f t="shared" si="140"/>
        <v>0</v>
      </c>
      <c r="PY28" s="27" t="s">
        <v>46</v>
      </c>
      <c r="PZ28" s="40" t="str">
        <f t="shared" si="141"/>
        <v/>
      </c>
      <c r="QA28" s="40" t="str">
        <f t="shared" si="142"/>
        <v/>
      </c>
      <c r="QB28" s="40" t="str">
        <f t="shared" si="143"/>
        <v/>
      </c>
      <c r="QC28" s="40" t="str">
        <f t="shared" si="144"/>
        <v/>
      </c>
      <c r="QD28" s="40" t="str">
        <f t="shared" si="145"/>
        <v/>
      </c>
    </row>
    <row r="29" spans="1:446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208</v>
      </c>
      <c r="D29" s="4" t="s">
        <v>6</v>
      </c>
      <c r="E29" s="4">
        <v>2009</v>
      </c>
      <c r="F29" s="9">
        <f t="shared" si="0"/>
        <v>89.100004510004496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IF(COUNT(AM29,BI29,CE29)&gt;0,LARGE((AM29,BI29,CE29),1),0)</f>
        <v>45.099999999999994</v>
      </c>
      <c r="M29" s="8" t="str">
        <f t="shared" si="5"/>
        <v>2025 Nationals</v>
      </c>
      <c r="N29" s="8">
        <f>IF(COUNT(AM29,BI29,CE29)&gt;1,LARGE((AM29,BI29,CE29),2),0)</f>
        <v>0</v>
      </c>
      <c r="O29" s="8" t="str">
        <f t="shared" si="6"/>
        <v/>
      </c>
      <c r="P29" s="8">
        <f t="shared" si="7"/>
        <v>44</v>
      </c>
      <c r="Q29" s="8" t="str">
        <f t="shared" si="8"/>
        <v>2025 Nationals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27"/>
      <c r="AL29" s="40" t="str">
        <f t="shared" si="12"/>
        <v/>
      </c>
      <c r="AM29" s="40" t="str">
        <f t="shared" si="13"/>
        <v/>
      </c>
      <c r="AN29" s="40" t="str">
        <f t="shared" si="14"/>
        <v/>
      </c>
      <c r="AO29" s="40" t="str">
        <f t="shared" si="15"/>
        <v/>
      </c>
      <c r="AP29" s="40" t="str">
        <f t="shared" si="16"/>
        <v/>
      </c>
      <c r="AQ29" s="18">
        <v>19</v>
      </c>
      <c r="AR29" s="18">
        <v>3.7</v>
      </c>
      <c r="AS29" s="18">
        <v>0</v>
      </c>
      <c r="AT29" s="18">
        <v>0</v>
      </c>
      <c r="AU29" s="18">
        <v>18.899999999999999</v>
      </c>
      <c r="AV29" s="18">
        <v>3.5</v>
      </c>
      <c r="AW29" s="18">
        <v>0</v>
      </c>
      <c r="AX29" s="18">
        <v>0</v>
      </c>
      <c r="AY29" s="18">
        <v>18.8</v>
      </c>
      <c r="AZ29" s="18">
        <v>3.7</v>
      </c>
      <c r="BA29" s="18">
        <v>0</v>
      </c>
      <c r="BB29" s="18">
        <v>0</v>
      </c>
      <c r="BC29" s="18">
        <v>18.600000000000001</v>
      </c>
      <c r="BD29" s="18">
        <v>3.5</v>
      </c>
      <c r="BE29" s="18">
        <v>0.6</v>
      </c>
      <c r="BF29" s="18">
        <v>0</v>
      </c>
      <c r="BG29" s="28"/>
      <c r="BH29" s="11">
        <f t="shared" si="17"/>
        <v>7.2</v>
      </c>
      <c r="BI29" s="11">
        <f t="shared" si="18"/>
        <v>45.099999999999994</v>
      </c>
      <c r="BJ29" s="11">
        <f t="shared" si="19"/>
        <v>7.2</v>
      </c>
      <c r="BK29" s="11">
        <f t="shared" si="20"/>
        <v>44</v>
      </c>
      <c r="BL29" s="11">
        <f t="shared" si="21"/>
        <v>89.1</v>
      </c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27"/>
      <c r="CD29" s="40" t="str">
        <f t="shared" si="22"/>
        <v/>
      </c>
      <c r="CE29" s="40" t="str">
        <f t="shared" si="23"/>
        <v/>
      </c>
      <c r="CF29" s="40" t="str">
        <f t="shared" si="24"/>
        <v/>
      </c>
      <c r="CG29" s="40" t="str">
        <f t="shared" si="25"/>
        <v/>
      </c>
      <c r="CH29" s="40" t="str">
        <f t="shared" si="26"/>
        <v/>
      </c>
      <c r="CI29" s="50" t="str">
        <f t="shared" si="27"/>
        <v/>
      </c>
      <c r="CJ29" s="50" t="str">
        <f t="shared" si="28"/>
        <v/>
      </c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40" t="str">
        <f t="shared" si="29"/>
        <v/>
      </c>
      <c r="DF29" s="40" t="str">
        <f t="shared" si="30"/>
        <v/>
      </c>
      <c r="DG29" s="40" t="str">
        <f t="shared" si="31"/>
        <v/>
      </c>
      <c r="DH29" s="40" t="str">
        <f t="shared" si="32"/>
        <v/>
      </c>
      <c r="DI29" s="40" t="str">
        <f t="shared" si="33"/>
        <v/>
      </c>
      <c r="DJ29" s="40" t="str">
        <f t="shared" si="34"/>
        <v/>
      </c>
      <c r="DK29" s="40" t="str">
        <f t="shared" si="35"/>
        <v/>
      </c>
      <c r="DL29" s="40" t="str">
        <f t="shared" si="36"/>
        <v/>
      </c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1" t="str">
        <f t="shared" si="37"/>
        <v/>
      </c>
      <c r="EH29" s="11" t="str">
        <f t="shared" si="38"/>
        <v/>
      </c>
      <c r="EI29" s="11" t="str">
        <f t="shared" si="39"/>
        <v/>
      </c>
      <c r="EJ29" s="11" t="str">
        <f t="shared" si="40"/>
        <v/>
      </c>
      <c r="EK29" s="11" t="str">
        <f t="shared" si="41"/>
        <v/>
      </c>
      <c r="EL29" s="11" t="str">
        <f t="shared" si="42"/>
        <v/>
      </c>
      <c r="EM29" s="11" t="str">
        <f t="shared" si="43"/>
        <v/>
      </c>
      <c r="EN29" s="11" t="str">
        <f t="shared" si="44"/>
        <v/>
      </c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40" t="str">
        <f t="shared" si="45"/>
        <v/>
      </c>
      <c r="FJ29" s="40" t="str">
        <f t="shared" si="46"/>
        <v/>
      </c>
      <c r="FK29" s="40" t="str">
        <f t="shared" si="47"/>
        <v/>
      </c>
      <c r="FL29" s="40" t="str">
        <f t="shared" si="48"/>
        <v/>
      </c>
      <c r="FM29" s="40" t="str">
        <f t="shared" si="49"/>
        <v/>
      </c>
      <c r="FN29" s="40" t="str">
        <f t="shared" si="50"/>
        <v/>
      </c>
      <c r="FO29" s="40" t="str">
        <f t="shared" si="51"/>
        <v/>
      </c>
      <c r="FP29" s="40" t="str">
        <f t="shared" si="52"/>
        <v/>
      </c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1" t="str">
        <f t="shared" si="53"/>
        <v/>
      </c>
      <c r="GL29" s="11" t="str">
        <f t="shared" si="54"/>
        <v/>
      </c>
      <c r="GM29" s="11" t="str">
        <f t="shared" si="55"/>
        <v/>
      </c>
      <c r="GN29" s="11" t="str">
        <f t="shared" si="56"/>
        <v/>
      </c>
      <c r="GO29" s="11" t="str">
        <f t="shared" si="57"/>
        <v/>
      </c>
      <c r="GP29" s="11" t="str">
        <f t="shared" si="58"/>
        <v/>
      </c>
      <c r="GQ29" s="11" t="str">
        <f t="shared" si="59"/>
        <v/>
      </c>
      <c r="GR29" s="11" t="str">
        <f t="shared" si="60"/>
        <v/>
      </c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40" t="str">
        <f t="shared" si="61"/>
        <v/>
      </c>
      <c r="HN29" s="40" t="str">
        <f t="shared" si="62"/>
        <v/>
      </c>
      <c r="HO29" s="40" t="str">
        <f t="shared" si="63"/>
        <v/>
      </c>
      <c r="HP29" s="40" t="str">
        <f t="shared" si="64"/>
        <v/>
      </c>
      <c r="HQ29" s="40" t="str">
        <f t="shared" si="65"/>
        <v/>
      </c>
      <c r="HR29" s="40" t="str">
        <f t="shared" si="66"/>
        <v/>
      </c>
      <c r="HS29" s="40" t="str">
        <f t="shared" si="67"/>
        <v/>
      </c>
      <c r="HT29" s="40" t="str">
        <f t="shared" si="68"/>
        <v/>
      </c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1" t="str">
        <f t="shared" si="69"/>
        <v/>
      </c>
      <c r="IP29" s="11" t="str">
        <f t="shared" si="70"/>
        <v/>
      </c>
      <c r="IQ29" s="11" t="str">
        <f t="shared" si="71"/>
        <v/>
      </c>
      <c r="IR29" s="11" t="str">
        <f t="shared" si="72"/>
        <v/>
      </c>
      <c r="IS29" s="11" t="str">
        <f t="shared" si="73"/>
        <v/>
      </c>
      <c r="IT29" s="11" t="str">
        <f t="shared" si="74"/>
        <v/>
      </c>
      <c r="IU29" s="11" t="str">
        <f t="shared" si="75"/>
        <v/>
      </c>
      <c r="IV29" s="11" t="str">
        <f t="shared" si="76"/>
        <v/>
      </c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40" t="str">
        <f t="shared" si="77"/>
        <v/>
      </c>
      <c r="JR29" s="40" t="str">
        <f t="shared" si="78"/>
        <v/>
      </c>
      <c r="JS29" s="40" t="str">
        <f t="shared" si="79"/>
        <v/>
      </c>
      <c r="JT29" s="40" t="str">
        <f t="shared" si="80"/>
        <v/>
      </c>
      <c r="JU29" s="40" t="str">
        <f t="shared" si="81"/>
        <v/>
      </c>
      <c r="JV29" s="40" t="str">
        <f t="shared" si="82"/>
        <v/>
      </c>
      <c r="JW29" s="40" t="str">
        <f t="shared" si="83"/>
        <v/>
      </c>
      <c r="JX29" s="40" t="str">
        <f t="shared" si="84"/>
        <v/>
      </c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1" t="str">
        <f t="shared" si="85"/>
        <v/>
      </c>
      <c r="KT29" s="11" t="str">
        <f t="shared" si="86"/>
        <v/>
      </c>
      <c r="KU29" s="11" t="str">
        <f t="shared" si="87"/>
        <v/>
      </c>
      <c r="KV29" s="11" t="str">
        <f t="shared" si="88"/>
        <v/>
      </c>
      <c r="KW29" s="11" t="str">
        <f t="shared" si="89"/>
        <v/>
      </c>
      <c r="KX29" s="11" t="str">
        <f t="shared" si="90"/>
        <v/>
      </c>
      <c r="KY29" s="11" t="str">
        <f t="shared" si="91"/>
        <v/>
      </c>
      <c r="KZ29" s="11" t="str">
        <f t="shared" si="92"/>
        <v/>
      </c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40" t="str">
        <f t="shared" si="93"/>
        <v/>
      </c>
      <c r="LV29" s="40" t="str">
        <f t="shared" si="94"/>
        <v/>
      </c>
      <c r="LW29" s="40" t="str">
        <f t="shared" si="95"/>
        <v/>
      </c>
      <c r="LX29" s="40" t="str">
        <f t="shared" si="96"/>
        <v/>
      </c>
      <c r="LY29" s="40" t="str">
        <f t="shared" si="97"/>
        <v/>
      </c>
      <c r="LZ29" s="40" t="str">
        <f t="shared" si="98"/>
        <v/>
      </c>
      <c r="MA29" s="40" t="str">
        <f t="shared" si="99"/>
        <v/>
      </c>
      <c r="MB29" s="40" t="str">
        <f t="shared" si="100"/>
        <v/>
      </c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1" t="str">
        <f t="shared" si="101"/>
        <v/>
      </c>
      <c r="MX29" s="11" t="str">
        <f t="shared" si="102"/>
        <v/>
      </c>
      <c r="MY29" s="11" t="str">
        <f t="shared" si="103"/>
        <v/>
      </c>
      <c r="MZ29" s="11" t="str">
        <f t="shared" si="104"/>
        <v/>
      </c>
      <c r="NA29" s="11" t="str">
        <f t="shared" si="105"/>
        <v/>
      </c>
      <c r="NB29" s="11" t="str">
        <f t="shared" si="106"/>
        <v/>
      </c>
      <c r="NC29" s="11" t="str">
        <f t="shared" si="107"/>
        <v/>
      </c>
      <c r="ND29" s="11" t="str">
        <f t="shared" si="108"/>
        <v/>
      </c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40" t="str">
        <f t="shared" si="109"/>
        <v/>
      </c>
      <c r="NZ29" s="40" t="str">
        <f t="shared" si="110"/>
        <v/>
      </c>
      <c r="OA29" s="40" t="str">
        <f t="shared" si="111"/>
        <v/>
      </c>
      <c r="OB29" s="40" t="str">
        <f t="shared" si="112"/>
        <v/>
      </c>
      <c r="OC29" s="40" t="str">
        <f t="shared" si="113"/>
        <v/>
      </c>
      <c r="OD29" s="40" t="str">
        <f t="shared" si="114"/>
        <v/>
      </c>
      <c r="OE29" s="40" t="str">
        <f t="shared" si="115"/>
        <v/>
      </c>
      <c r="OF29" s="40" t="str">
        <f t="shared" si="116"/>
        <v/>
      </c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1" t="str">
        <f t="shared" si="117"/>
        <v/>
      </c>
      <c r="PB29" s="11" t="str">
        <f t="shared" si="118"/>
        <v/>
      </c>
      <c r="PC29" s="11" t="str">
        <f t="shared" si="119"/>
        <v/>
      </c>
      <c r="PD29" s="11" t="str">
        <f t="shared" si="120"/>
        <v/>
      </c>
      <c r="PE29" s="11" t="str">
        <f t="shared" si="121"/>
        <v/>
      </c>
      <c r="PF29" s="11" t="str">
        <f t="shared" si="122"/>
        <v/>
      </c>
      <c r="PG29" s="11" t="str">
        <f t="shared" si="123"/>
        <v/>
      </c>
      <c r="PH29" s="11" t="str">
        <f t="shared" si="124"/>
        <v/>
      </c>
      <c r="PI29" s="22">
        <f t="shared" si="125"/>
        <v>0</v>
      </c>
      <c r="PJ29" s="22">
        <f t="shared" si="126"/>
        <v>0</v>
      </c>
      <c r="PK29" s="22">
        <f t="shared" si="127"/>
        <v>0</v>
      </c>
      <c r="PL29" s="22">
        <f t="shared" si="128"/>
        <v>0</v>
      </c>
      <c r="PM29" s="22">
        <f t="shared" si="129"/>
        <v>0</v>
      </c>
      <c r="PN29" s="22">
        <f t="shared" si="130"/>
        <v>0</v>
      </c>
      <c r="PO29" s="22">
        <f t="shared" si="131"/>
        <v>0</v>
      </c>
      <c r="PP29" s="22">
        <f t="shared" si="132"/>
        <v>0</v>
      </c>
      <c r="PQ29" s="22">
        <f t="shared" si="133"/>
        <v>0</v>
      </c>
      <c r="PR29" s="22">
        <f t="shared" si="134"/>
        <v>0</v>
      </c>
      <c r="PS29" s="22">
        <f t="shared" si="135"/>
        <v>0</v>
      </c>
      <c r="PT29" s="22">
        <f t="shared" si="136"/>
        <v>0</v>
      </c>
      <c r="PU29" s="22">
        <f t="shared" si="137"/>
        <v>0</v>
      </c>
      <c r="PV29" s="22">
        <f t="shared" si="138"/>
        <v>0</v>
      </c>
      <c r="PW29" s="22">
        <f t="shared" si="139"/>
        <v>0</v>
      </c>
      <c r="PX29" s="22">
        <f t="shared" si="140"/>
        <v>0</v>
      </c>
      <c r="PY29" s="27" t="s">
        <v>46</v>
      </c>
      <c r="PZ29" s="40" t="str">
        <f t="shared" si="141"/>
        <v/>
      </c>
      <c r="QA29" s="40" t="str">
        <f t="shared" si="142"/>
        <v/>
      </c>
      <c r="QB29" s="40" t="str">
        <f t="shared" si="143"/>
        <v/>
      </c>
      <c r="QC29" s="40" t="str">
        <f t="shared" si="144"/>
        <v/>
      </c>
      <c r="QD29" s="40" t="str">
        <f t="shared" si="145"/>
        <v/>
      </c>
    </row>
    <row r="30" spans="1:446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178</v>
      </c>
      <c r="D30" s="4" t="s">
        <v>5</v>
      </c>
      <c r="E30" s="4">
        <v>2007</v>
      </c>
      <c r="F30" s="9">
        <f t="shared" si="0"/>
        <v>84.900004450004459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IF(COUNT(AM30,BI30,CE30)&gt;0,LARGE((AM30,BI30,CE30),1),0)</f>
        <v>44.5</v>
      </c>
      <c r="M30" s="8" t="str">
        <f t="shared" si="5"/>
        <v>2025 Nationals</v>
      </c>
      <c r="N30" s="8">
        <f>IF(COUNT(AM30,BI30,CE30)&gt;1,LARGE((AM30,BI30,CE30),2),0)</f>
        <v>0</v>
      </c>
      <c r="O30" s="8" t="str">
        <f t="shared" si="6"/>
        <v/>
      </c>
      <c r="P30" s="8">
        <f t="shared" si="7"/>
        <v>40.4</v>
      </c>
      <c r="Q30" s="8" t="str">
        <f t="shared" si="8"/>
        <v>2025 Nationals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27"/>
      <c r="AL30" s="40" t="str">
        <f t="shared" si="12"/>
        <v/>
      </c>
      <c r="AM30" s="40" t="str">
        <f t="shared" si="13"/>
        <v/>
      </c>
      <c r="AN30" s="40" t="str">
        <f t="shared" si="14"/>
        <v/>
      </c>
      <c r="AO30" s="40" t="str">
        <f t="shared" si="15"/>
        <v/>
      </c>
      <c r="AP30" s="40" t="str">
        <f t="shared" si="16"/>
        <v/>
      </c>
      <c r="AQ30" s="18">
        <v>17.899999999999999</v>
      </c>
      <c r="AR30" s="18">
        <v>4.4000000000000004</v>
      </c>
      <c r="AS30" s="18">
        <v>0.8</v>
      </c>
      <c r="AT30" s="18">
        <v>0</v>
      </c>
      <c r="AU30" s="18">
        <v>19.5</v>
      </c>
      <c r="AV30" s="18">
        <v>3.5</v>
      </c>
      <c r="AW30" s="18">
        <v>0</v>
      </c>
      <c r="AX30" s="18">
        <v>0</v>
      </c>
      <c r="AY30" s="18">
        <v>15.2</v>
      </c>
      <c r="AZ30" s="18">
        <v>2.4</v>
      </c>
      <c r="BA30" s="18">
        <v>0</v>
      </c>
      <c r="BB30" s="18">
        <v>0</v>
      </c>
      <c r="BC30" s="18">
        <v>19.3</v>
      </c>
      <c r="BD30" s="18">
        <v>3.5</v>
      </c>
      <c r="BE30" s="18">
        <v>0</v>
      </c>
      <c r="BF30" s="18">
        <v>0</v>
      </c>
      <c r="BG30" s="28"/>
      <c r="BH30" s="11">
        <f t="shared" si="17"/>
        <v>7.9</v>
      </c>
      <c r="BI30" s="11">
        <f t="shared" si="18"/>
        <v>44.5</v>
      </c>
      <c r="BJ30" s="11">
        <f t="shared" si="19"/>
        <v>5.9</v>
      </c>
      <c r="BK30" s="11">
        <f t="shared" si="20"/>
        <v>40.4</v>
      </c>
      <c r="BL30" s="11">
        <f t="shared" si="21"/>
        <v>84.9</v>
      </c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27"/>
      <c r="CD30" s="40" t="str">
        <f t="shared" si="22"/>
        <v/>
      </c>
      <c r="CE30" s="40" t="str">
        <f t="shared" si="23"/>
        <v/>
      </c>
      <c r="CF30" s="40" t="str">
        <f t="shared" si="24"/>
        <v/>
      </c>
      <c r="CG30" s="40" t="str">
        <f t="shared" si="25"/>
        <v/>
      </c>
      <c r="CH30" s="40" t="str">
        <f t="shared" si="26"/>
        <v/>
      </c>
      <c r="CI30" s="50" t="str">
        <f t="shared" si="27"/>
        <v/>
      </c>
      <c r="CJ30" s="50" t="str">
        <f t="shared" si="28"/>
        <v/>
      </c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40" t="str">
        <f t="shared" si="29"/>
        <v/>
      </c>
      <c r="DF30" s="40" t="str">
        <f t="shared" si="30"/>
        <v/>
      </c>
      <c r="DG30" s="40" t="str">
        <f t="shared" si="31"/>
        <v/>
      </c>
      <c r="DH30" s="40" t="str">
        <f t="shared" si="32"/>
        <v/>
      </c>
      <c r="DI30" s="40" t="str">
        <f t="shared" si="33"/>
        <v/>
      </c>
      <c r="DJ30" s="40" t="str">
        <f t="shared" si="34"/>
        <v/>
      </c>
      <c r="DK30" s="40" t="str">
        <f t="shared" si="35"/>
        <v/>
      </c>
      <c r="DL30" s="40" t="str">
        <f t="shared" si="36"/>
        <v/>
      </c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1" t="str">
        <f t="shared" si="37"/>
        <v/>
      </c>
      <c r="EH30" s="11" t="str">
        <f t="shared" si="38"/>
        <v/>
      </c>
      <c r="EI30" s="11" t="str">
        <f t="shared" si="39"/>
        <v/>
      </c>
      <c r="EJ30" s="11" t="str">
        <f t="shared" si="40"/>
        <v/>
      </c>
      <c r="EK30" s="11" t="str">
        <f t="shared" si="41"/>
        <v/>
      </c>
      <c r="EL30" s="11" t="str">
        <f t="shared" si="42"/>
        <v/>
      </c>
      <c r="EM30" s="11" t="str">
        <f t="shared" si="43"/>
        <v/>
      </c>
      <c r="EN30" s="11" t="str">
        <f t="shared" si="44"/>
        <v/>
      </c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40" t="str">
        <f t="shared" si="45"/>
        <v/>
      </c>
      <c r="FJ30" s="40" t="str">
        <f t="shared" si="46"/>
        <v/>
      </c>
      <c r="FK30" s="40" t="str">
        <f t="shared" si="47"/>
        <v/>
      </c>
      <c r="FL30" s="40" t="str">
        <f t="shared" si="48"/>
        <v/>
      </c>
      <c r="FM30" s="40" t="str">
        <f t="shared" si="49"/>
        <v/>
      </c>
      <c r="FN30" s="40" t="str">
        <f t="shared" si="50"/>
        <v/>
      </c>
      <c r="FO30" s="40" t="str">
        <f t="shared" si="51"/>
        <v/>
      </c>
      <c r="FP30" s="40" t="str">
        <f t="shared" si="52"/>
        <v/>
      </c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1" t="str">
        <f t="shared" si="53"/>
        <v/>
      </c>
      <c r="GL30" s="11" t="str">
        <f t="shared" si="54"/>
        <v/>
      </c>
      <c r="GM30" s="11" t="str">
        <f t="shared" si="55"/>
        <v/>
      </c>
      <c r="GN30" s="11" t="str">
        <f t="shared" si="56"/>
        <v/>
      </c>
      <c r="GO30" s="11" t="str">
        <f t="shared" si="57"/>
        <v/>
      </c>
      <c r="GP30" s="11" t="str">
        <f t="shared" si="58"/>
        <v/>
      </c>
      <c r="GQ30" s="11" t="str">
        <f t="shared" si="59"/>
        <v/>
      </c>
      <c r="GR30" s="11" t="str">
        <f t="shared" si="60"/>
        <v/>
      </c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40" t="str">
        <f t="shared" si="61"/>
        <v/>
      </c>
      <c r="HN30" s="40" t="str">
        <f t="shared" si="62"/>
        <v/>
      </c>
      <c r="HO30" s="40" t="str">
        <f t="shared" si="63"/>
        <v/>
      </c>
      <c r="HP30" s="40" t="str">
        <f t="shared" si="64"/>
        <v/>
      </c>
      <c r="HQ30" s="40" t="str">
        <f t="shared" si="65"/>
        <v/>
      </c>
      <c r="HR30" s="40" t="str">
        <f t="shared" si="66"/>
        <v/>
      </c>
      <c r="HS30" s="40" t="str">
        <f t="shared" si="67"/>
        <v/>
      </c>
      <c r="HT30" s="40" t="str">
        <f t="shared" si="68"/>
        <v/>
      </c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1" t="str">
        <f t="shared" si="69"/>
        <v/>
      </c>
      <c r="IP30" s="11" t="str">
        <f t="shared" si="70"/>
        <v/>
      </c>
      <c r="IQ30" s="11" t="str">
        <f t="shared" si="71"/>
        <v/>
      </c>
      <c r="IR30" s="11" t="str">
        <f t="shared" si="72"/>
        <v/>
      </c>
      <c r="IS30" s="11" t="str">
        <f t="shared" si="73"/>
        <v/>
      </c>
      <c r="IT30" s="11" t="str">
        <f t="shared" si="74"/>
        <v/>
      </c>
      <c r="IU30" s="11" t="str">
        <f t="shared" si="75"/>
        <v/>
      </c>
      <c r="IV30" s="11" t="str">
        <f t="shared" si="76"/>
        <v/>
      </c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40" t="str">
        <f t="shared" si="77"/>
        <v/>
      </c>
      <c r="JR30" s="40" t="str">
        <f t="shared" si="78"/>
        <v/>
      </c>
      <c r="JS30" s="40" t="str">
        <f t="shared" si="79"/>
        <v/>
      </c>
      <c r="JT30" s="40" t="str">
        <f t="shared" si="80"/>
        <v/>
      </c>
      <c r="JU30" s="40" t="str">
        <f t="shared" si="81"/>
        <v/>
      </c>
      <c r="JV30" s="40" t="str">
        <f t="shared" si="82"/>
        <v/>
      </c>
      <c r="JW30" s="40" t="str">
        <f t="shared" si="83"/>
        <v/>
      </c>
      <c r="JX30" s="40" t="str">
        <f t="shared" si="84"/>
        <v/>
      </c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1" t="str">
        <f t="shared" si="85"/>
        <v/>
      </c>
      <c r="KT30" s="11" t="str">
        <f t="shared" si="86"/>
        <v/>
      </c>
      <c r="KU30" s="11" t="str">
        <f t="shared" si="87"/>
        <v/>
      </c>
      <c r="KV30" s="11" t="str">
        <f t="shared" si="88"/>
        <v/>
      </c>
      <c r="KW30" s="11" t="str">
        <f t="shared" si="89"/>
        <v/>
      </c>
      <c r="KX30" s="11" t="str">
        <f t="shared" si="90"/>
        <v/>
      </c>
      <c r="KY30" s="11" t="str">
        <f t="shared" si="91"/>
        <v/>
      </c>
      <c r="KZ30" s="11" t="str">
        <f t="shared" si="92"/>
        <v/>
      </c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40" t="str">
        <f t="shared" si="93"/>
        <v/>
      </c>
      <c r="LV30" s="40" t="str">
        <f t="shared" si="94"/>
        <v/>
      </c>
      <c r="LW30" s="40" t="str">
        <f t="shared" si="95"/>
        <v/>
      </c>
      <c r="LX30" s="40" t="str">
        <f t="shared" si="96"/>
        <v/>
      </c>
      <c r="LY30" s="40" t="str">
        <f t="shared" si="97"/>
        <v/>
      </c>
      <c r="LZ30" s="40" t="str">
        <f t="shared" si="98"/>
        <v/>
      </c>
      <c r="MA30" s="40" t="str">
        <f t="shared" si="99"/>
        <v/>
      </c>
      <c r="MB30" s="40" t="str">
        <f t="shared" si="100"/>
        <v/>
      </c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1" t="str">
        <f t="shared" si="101"/>
        <v/>
      </c>
      <c r="MX30" s="11" t="str">
        <f t="shared" si="102"/>
        <v/>
      </c>
      <c r="MY30" s="11" t="str">
        <f t="shared" si="103"/>
        <v/>
      </c>
      <c r="MZ30" s="11" t="str">
        <f t="shared" si="104"/>
        <v/>
      </c>
      <c r="NA30" s="11" t="str">
        <f t="shared" si="105"/>
        <v/>
      </c>
      <c r="NB30" s="11" t="str">
        <f t="shared" si="106"/>
        <v/>
      </c>
      <c r="NC30" s="11" t="str">
        <f t="shared" si="107"/>
        <v/>
      </c>
      <c r="ND30" s="11" t="str">
        <f t="shared" si="108"/>
        <v/>
      </c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40" t="str">
        <f t="shared" si="109"/>
        <v/>
      </c>
      <c r="NZ30" s="40" t="str">
        <f t="shared" si="110"/>
        <v/>
      </c>
      <c r="OA30" s="40" t="str">
        <f t="shared" si="111"/>
        <v/>
      </c>
      <c r="OB30" s="40" t="str">
        <f t="shared" si="112"/>
        <v/>
      </c>
      <c r="OC30" s="40" t="str">
        <f t="shared" si="113"/>
        <v/>
      </c>
      <c r="OD30" s="40" t="str">
        <f t="shared" si="114"/>
        <v/>
      </c>
      <c r="OE30" s="40" t="str">
        <f t="shared" si="115"/>
        <v/>
      </c>
      <c r="OF30" s="40" t="str">
        <f t="shared" si="116"/>
        <v/>
      </c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1" t="str">
        <f t="shared" si="117"/>
        <v/>
      </c>
      <c r="PB30" s="11" t="str">
        <f t="shared" si="118"/>
        <v/>
      </c>
      <c r="PC30" s="11" t="str">
        <f t="shared" si="119"/>
        <v/>
      </c>
      <c r="PD30" s="11" t="str">
        <f t="shared" si="120"/>
        <v/>
      </c>
      <c r="PE30" s="11" t="str">
        <f t="shared" si="121"/>
        <v/>
      </c>
      <c r="PF30" s="11" t="str">
        <f t="shared" si="122"/>
        <v/>
      </c>
      <c r="PG30" s="11" t="str">
        <f t="shared" si="123"/>
        <v/>
      </c>
      <c r="PH30" s="11" t="str">
        <f t="shared" si="124"/>
        <v/>
      </c>
      <c r="PI30" s="22">
        <f t="shared" si="125"/>
        <v>0</v>
      </c>
      <c r="PJ30" s="22">
        <f t="shared" si="126"/>
        <v>0</v>
      </c>
      <c r="PK30" s="22">
        <f t="shared" si="127"/>
        <v>0</v>
      </c>
      <c r="PL30" s="22">
        <f t="shared" si="128"/>
        <v>0</v>
      </c>
      <c r="PM30" s="22">
        <f t="shared" si="129"/>
        <v>0</v>
      </c>
      <c r="PN30" s="22">
        <f t="shared" si="130"/>
        <v>0</v>
      </c>
      <c r="PO30" s="22">
        <f t="shared" si="131"/>
        <v>0</v>
      </c>
      <c r="PP30" s="22">
        <f t="shared" si="132"/>
        <v>0</v>
      </c>
      <c r="PQ30" s="22">
        <f t="shared" si="133"/>
        <v>0</v>
      </c>
      <c r="PR30" s="22">
        <f t="shared" si="134"/>
        <v>0</v>
      </c>
      <c r="PS30" s="22">
        <f t="shared" si="135"/>
        <v>0</v>
      </c>
      <c r="PT30" s="22">
        <f t="shared" si="136"/>
        <v>0</v>
      </c>
      <c r="PU30" s="22">
        <f t="shared" si="137"/>
        <v>0</v>
      </c>
      <c r="PV30" s="22">
        <f t="shared" si="138"/>
        <v>0</v>
      </c>
      <c r="PW30" s="22">
        <f t="shared" si="139"/>
        <v>0</v>
      </c>
      <c r="PX30" s="22">
        <f t="shared" si="140"/>
        <v>0</v>
      </c>
      <c r="PY30" s="27" t="s">
        <v>46</v>
      </c>
      <c r="PZ30" s="40" t="str">
        <f t="shared" si="141"/>
        <v/>
      </c>
      <c r="QA30" s="40" t="str">
        <f t="shared" si="142"/>
        <v/>
      </c>
      <c r="QB30" s="40" t="str">
        <f t="shared" si="143"/>
        <v/>
      </c>
      <c r="QC30" s="40" t="str">
        <f t="shared" si="144"/>
        <v/>
      </c>
      <c r="QD30" s="40" t="str">
        <f t="shared" si="145"/>
        <v/>
      </c>
    </row>
    <row r="31" spans="1:446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157</v>
      </c>
      <c r="D31" s="4" t="s">
        <v>5</v>
      </c>
      <c r="E31" s="4">
        <v>2008</v>
      </c>
      <c r="F31" s="9">
        <f t="shared" si="0"/>
        <v>79.900007990004411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IF(COUNT(AM31,BI31,CE31)&gt;0,LARGE((AM31,BI31,CE31),1),0)</f>
        <v>44.1</v>
      </c>
      <c r="M31" s="8" t="str">
        <f t="shared" si="5"/>
        <v>2025 Nationals</v>
      </c>
      <c r="N31" s="8">
        <f>IF(COUNT(AM31,BI31,CE31)&gt;1,LARGE((AM31,BI31,CE31),2),0)</f>
        <v>35.799999999999997</v>
      </c>
      <c r="O31" s="8" t="str">
        <f t="shared" si="6"/>
        <v>2025 3rd Domestic Trial</v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15.2</v>
      </c>
      <c r="V31" s="19">
        <v>2.4</v>
      </c>
      <c r="W31" s="19">
        <v>0</v>
      </c>
      <c r="X31" s="19">
        <v>0</v>
      </c>
      <c r="Y31" s="19">
        <v>15.2</v>
      </c>
      <c r="Z31" s="19">
        <v>0</v>
      </c>
      <c r="AA31" s="19">
        <v>0</v>
      </c>
      <c r="AB31" s="19">
        <v>0</v>
      </c>
      <c r="AC31" s="19"/>
      <c r="AD31" s="19"/>
      <c r="AE31" s="19"/>
      <c r="AF31" s="19"/>
      <c r="AG31" s="19"/>
      <c r="AH31" s="19"/>
      <c r="AI31" s="19"/>
      <c r="AJ31" s="19"/>
      <c r="AK31" s="27"/>
      <c r="AL31" s="40">
        <f t="shared" si="12"/>
        <v>2.4</v>
      </c>
      <c r="AM31" s="40">
        <f t="shared" si="13"/>
        <v>32.799999999999997</v>
      </c>
      <c r="AN31" s="40" t="str">
        <f t="shared" si="14"/>
        <v/>
      </c>
      <c r="AO31" s="40" t="str">
        <f t="shared" si="15"/>
        <v/>
      </c>
      <c r="AP31" s="40">
        <f t="shared" si="16"/>
        <v>32.799999999999997</v>
      </c>
      <c r="AQ31" s="18">
        <v>16.600000000000001</v>
      </c>
      <c r="AR31" s="18">
        <v>6</v>
      </c>
      <c r="AS31" s="18">
        <v>0.6</v>
      </c>
      <c r="AT31" s="18">
        <v>0</v>
      </c>
      <c r="AU31" s="18">
        <v>18.3</v>
      </c>
      <c r="AV31" s="18">
        <v>4.8</v>
      </c>
      <c r="AW31" s="18">
        <v>1</v>
      </c>
      <c r="AX31" s="18">
        <v>0</v>
      </c>
      <c r="AY31" s="18"/>
      <c r="AZ31" s="18"/>
      <c r="BA31" s="18"/>
      <c r="BB31" s="18"/>
      <c r="BC31" s="18"/>
      <c r="BD31" s="18"/>
      <c r="BE31" s="18"/>
      <c r="BF31" s="18"/>
      <c r="BG31" s="28"/>
      <c r="BH31" s="11">
        <f t="shared" si="17"/>
        <v>10.8</v>
      </c>
      <c r="BI31" s="11">
        <f t="shared" si="18"/>
        <v>44.1</v>
      </c>
      <c r="BJ31" s="11" t="str">
        <f t="shared" si="19"/>
        <v/>
      </c>
      <c r="BK31" s="11" t="str">
        <f t="shared" si="20"/>
        <v/>
      </c>
      <c r="BL31" s="11">
        <f t="shared" si="21"/>
        <v>44.1</v>
      </c>
      <c r="BM31" s="19">
        <v>15.3</v>
      </c>
      <c r="BN31" s="19">
        <v>2.4</v>
      </c>
      <c r="BO31" s="19">
        <v>0</v>
      </c>
      <c r="BP31" s="19">
        <v>0</v>
      </c>
      <c r="BQ31" s="19">
        <v>15.3</v>
      </c>
      <c r="BR31" s="19">
        <v>2.8</v>
      </c>
      <c r="BS31" s="19">
        <v>0</v>
      </c>
      <c r="BT31" s="19">
        <v>0</v>
      </c>
      <c r="BU31" s="19"/>
      <c r="BV31" s="19"/>
      <c r="BW31" s="19"/>
      <c r="BX31" s="19"/>
      <c r="BY31" s="19"/>
      <c r="BZ31" s="19"/>
      <c r="CA31" s="19"/>
      <c r="CB31" s="19"/>
      <c r="CC31" s="27"/>
      <c r="CD31" s="40">
        <f t="shared" si="22"/>
        <v>5.1999999999999993</v>
      </c>
      <c r="CE31" s="40">
        <f t="shared" si="23"/>
        <v>35.799999999999997</v>
      </c>
      <c r="CF31" s="40" t="str">
        <f t="shared" si="24"/>
        <v/>
      </c>
      <c r="CG31" s="40" t="str">
        <f t="shared" si="25"/>
        <v/>
      </c>
      <c r="CH31" s="40">
        <f t="shared" si="26"/>
        <v>35.799999999999997</v>
      </c>
      <c r="CI31" s="50" t="str">
        <f t="shared" si="27"/>
        <v/>
      </c>
      <c r="CJ31" s="50" t="str">
        <f t="shared" si="28"/>
        <v/>
      </c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40" t="str">
        <f t="shared" si="29"/>
        <v/>
      </c>
      <c r="DF31" s="40" t="str">
        <f t="shared" si="30"/>
        <v/>
      </c>
      <c r="DG31" s="40" t="str">
        <f t="shared" si="31"/>
        <v/>
      </c>
      <c r="DH31" s="40" t="str">
        <f t="shared" si="32"/>
        <v/>
      </c>
      <c r="DI31" s="40" t="str">
        <f t="shared" si="33"/>
        <v/>
      </c>
      <c r="DJ31" s="40" t="str">
        <f t="shared" si="34"/>
        <v/>
      </c>
      <c r="DK31" s="40" t="str">
        <f t="shared" si="35"/>
        <v/>
      </c>
      <c r="DL31" s="40" t="str">
        <f t="shared" si="36"/>
        <v/>
      </c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1" t="str">
        <f t="shared" si="37"/>
        <v/>
      </c>
      <c r="EH31" s="11" t="str">
        <f t="shared" si="38"/>
        <v/>
      </c>
      <c r="EI31" s="11" t="str">
        <f t="shared" si="39"/>
        <v/>
      </c>
      <c r="EJ31" s="11" t="str">
        <f t="shared" si="40"/>
        <v/>
      </c>
      <c r="EK31" s="11" t="str">
        <f t="shared" si="41"/>
        <v/>
      </c>
      <c r="EL31" s="11" t="str">
        <f t="shared" si="42"/>
        <v/>
      </c>
      <c r="EM31" s="11" t="str">
        <f t="shared" si="43"/>
        <v/>
      </c>
      <c r="EN31" s="11" t="str">
        <f t="shared" si="44"/>
        <v/>
      </c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40" t="str">
        <f t="shared" si="45"/>
        <v/>
      </c>
      <c r="FJ31" s="40" t="str">
        <f t="shared" si="46"/>
        <v/>
      </c>
      <c r="FK31" s="40" t="str">
        <f t="shared" si="47"/>
        <v/>
      </c>
      <c r="FL31" s="40" t="str">
        <f t="shared" si="48"/>
        <v/>
      </c>
      <c r="FM31" s="40" t="str">
        <f t="shared" si="49"/>
        <v/>
      </c>
      <c r="FN31" s="40" t="str">
        <f t="shared" si="50"/>
        <v/>
      </c>
      <c r="FO31" s="40" t="str">
        <f t="shared" si="51"/>
        <v/>
      </c>
      <c r="FP31" s="40" t="str">
        <f t="shared" si="52"/>
        <v/>
      </c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1" t="str">
        <f t="shared" si="53"/>
        <v/>
      </c>
      <c r="GL31" s="11" t="str">
        <f t="shared" si="54"/>
        <v/>
      </c>
      <c r="GM31" s="11" t="str">
        <f t="shared" si="55"/>
        <v/>
      </c>
      <c r="GN31" s="11" t="str">
        <f t="shared" si="56"/>
        <v/>
      </c>
      <c r="GO31" s="11" t="str">
        <f t="shared" si="57"/>
        <v/>
      </c>
      <c r="GP31" s="11" t="str">
        <f t="shared" si="58"/>
        <v/>
      </c>
      <c r="GQ31" s="11" t="str">
        <f t="shared" si="59"/>
        <v/>
      </c>
      <c r="GR31" s="11" t="str">
        <f t="shared" si="60"/>
        <v/>
      </c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40" t="str">
        <f t="shared" si="61"/>
        <v/>
      </c>
      <c r="HN31" s="40" t="str">
        <f t="shared" si="62"/>
        <v/>
      </c>
      <c r="HO31" s="40" t="str">
        <f t="shared" si="63"/>
        <v/>
      </c>
      <c r="HP31" s="40" t="str">
        <f t="shared" si="64"/>
        <v/>
      </c>
      <c r="HQ31" s="40" t="str">
        <f t="shared" si="65"/>
        <v/>
      </c>
      <c r="HR31" s="40" t="str">
        <f t="shared" si="66"/>
        <v/>
      </c>
      <c r="HS31" s="40" t="str">
        <f t="shared" si="67"/>
        <v/>
      </c>
      <c r="HT31" s="40" t="str">
        <f t="shared" si="68"/>
        <v/>
      </c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1" t="str">
        <f t="shared" si="69"/>
        <v/>
      </c>
      <c r="IP31" s="11" t="str">
        <f t="shared" si="70"/>
        <v/>
      </c>
      <c r="IQ31" s="11" t="str">
        <f t="shared" si="71"/>
        <v/>
      </c>
      <c r="IR31" s="11" t="str">
        <f t="shared" si="72"/>
        <v/>
      </c>
      <c r="IS31" s="11" t="str">
        <f t="shared" si="73"/>
        <v/>
      </c>
      <c r="IT31" s="11" t="str">
        <f t="shared" si="74"/>
        <v/>
      </c>
      <c r="IU31" s="11" t="str">
        <f t="shared" si="75"/>
        <v/>
      </c>
      <c r="IV31" s="11" t="str">
        <f t="shared" si="76"/>
        <v/>
      </c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40" t="str">
        <f t="shared" si="77"/>
        <v/>
      </c>
      <c r="JR31" s="40" t="str">
        <f t="shared" si="78"/>
        <v/>
      </c>
      <c r="JS31" s="40" t="str">
        <f t="shared" si="79"/>
        <v/>
      </c>
      <c r="JT31" s="40" t="str">
        <f t="shared" si="80"/>
        <v/>
      </c>
      <c r="JU31" s="40" t="str">
        <f t="shared" si="81"/>
        <v/>
      </c>
      <c r="JV31" s="40" t="str">
        <f t="shared" si="82"/>
        <v/>
      </c>
      <c r="JW31" s="40" t="str">
        <f t="shared" si="83"/>
        <v/>
      </c>
      <c r="JX31" s="40" t="str">
        <f t="shared" si="84"/>
        <v/>
      </c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1" t="str">
        <f t="shared" si="85"/>
        <v/>
      </c>
      <c r="KT31" s="11" t="str">
        <f t="shared" si="86"/>
        <v/>
      </c>
      <c r="KU31" s="11" t="str">
        <f t="shared" si="87"/>
        <v/>
      </c>
      <c r="KV31" s="11" t="str">
        <f t="shared" si="88"/>
        <v/>
      </c>
      <c r="KW31" s="11" t="str">
        <f t="shared" si="89"/>
        <v/>
      </c>
      <c r="KX31" s="11" t="str">
        <f t="shared" si="90"/>
        <v/>
      </c>
      <c r="KY31" s="11" t="str">
        <f t="shared" si="91"/>
        <v/>
      </c>
      <c r="KZ31" s="11" t="str">
        <f t="shared" si="92"/>
        <v/>
      </c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40" t="str">
        <f t="shared" si="93"/>
        <v/>
      </c>
      <c r="LV31" s="40" t="str">
        <f t="shared" si="94"/>
        <v/>
      </c>
      <c r="LW31" s="40" t="str">
        <f t="shared" si="95"/>
        <v/>
      </c>
      <c r="LX31" s="40" t="str">
        <f t="shared" si="96"/>
        <v/>
      </c>
      <c r="LY31" s="40" t="str">
        <f t="shared" si="97"/>
        <v/>
      </c>
      <c r="LZ31" s="40" t="str">
        <f t="shared" si="98"/>
        <v/>
      </c>
      <c r="MA31" s="40" t="str">
        <f t="shared" si="99"/>
        <v/>
      </c>
      <c r="MB31" s="40" t="str">
        <f t="shared" si="100"/>
        <v/>
      </c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1" t="str">
        <f t="shared" si="101"/>
        <v/>
      </c>
      <c r="MX31" s="11" t="str">
        <f t="shared" si="102"/>
        <v/>
      </c>
      <c r="MY31" s="11" t="str">
        <f t="shared" si="103"/>
        <v/>
      </c>
      <c r="MZ31" s="11" t="str">
        <f t="shared" si="104"/>
        <v/>
      </c>
      <c r="NA31" s="11" t="str">
        <f t="shared" si="105"/>
        <v/>
      </c>
      <c r="NB31" s="11" t="str">
        <f t="shared" si="106"/>
        <v/>
      </c>
      <c r="NC31" s="11" t="str">
        <f t="shared" si="107"/>
        <v/>
      </c>
      <c r="ND31" s="11" t="str">
        <f t="shared" si="108"/>
        <v/>
      </c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40" t="str">
        <f t="shared" si="109"/>
        <v/>
      </c>
      <c r="NZ31" s="40" t="str">
        <f t="shared" si="110"/>
        <v/>
      </c>
      <c r="OA31" s="40" t="str">
        <f t="shared" si="111"/>
        <v/>
      </c>
      <c r="OB31" s="40" t="str">
        <f t="shared" si="112"/>
        <v/>
      </c>
      <c r="OC31" s="40" t="str">
        <f t="shared" si="113"/>
        <v/>
      </c>
      <c r="OD31" s="40" t="str">
        <f t="shared" si="114"/>
        <v/>
      </c>
      <c r="OE31" s="40" t="str">
        <f t="shared" si="115"/>
        <v/>
      </c>
      <c r="OF31" s="40" t="str">
        <f t="shared" si="116"/>
        <v/>
      </c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1" t="str">
        <f t="shared" si="117"/>
        <v/>
      </c>
      <c r="PB31" s="11" t="str">
        <f t="shared" si="118"/>
        <v/>
      </c>
      <c r="PC31" s="11" t="str">
        <f t="shared" si="119"/>
        <v/>
      </c>
      <c r="PD31" s="11" t="str">
        <f t="shared" si="120"/>
        <v/>
      </c>
      <c r="PE31" s="11" t="str">
        <f t="shared" si="121"/>
        <v/>
      </c>
      <c r="PF31" s="11" t="str">
        <f t="shared" si="122"/>
        <v/>
      </c>
      <c r="PG31" s="11" t="str">
        <f t="shared" si="123"/>
        <v/>
      </c>
      <c r="PH31" s="11" t="str">
        <f t="shared" si="124"/>
        <v/>
      </c>
      <c r="PI31" s="22">
        <f t="shared" si="125"/>
        <v>15.3</v>
      </c>
      <c r="PJ31" s="22">
        <f t="shared" si="126"/>
        <v>2.4</v>
      </c>
      <c r="PK31" s="22">
        <f t="shared" si="127"/>
        <v>0</v>
      </c>
      <c r="PL31" s="22">
        <f t="shared" si="128"/>
        <v>0</v>
      </c>
      <c r="PM31" s="22">
        <f t="shared" si="129"/>
        <v>15.3</v>
      </c>
      <c r="PN31" s="22">
        <f t="shared" si="130"/>
        <v>2.8</v>
      </c>
      <c r="PO31" s="22">
        <f t="shared" si="131"/>
        <v>0</v>
      </c>
      <c r="PP31" s="22">
        <f t="shared" si="132"/>
        <v>0</v>
      </c>
      <c r="PQ31" s="22">
        <f t="shared" si="133"/>
        <v>0</v>
      </c>
      <c r="PR31" s="22">
        <f t="shared" si="134"/>
        <v>0</v>
      </c>
      <c r="PS31" s="22">
        <f t="shared" si="135"/>
        <v>0</v>
      </c>
      <c r="PT31" s="22">
        <f t="shared" si="136"/>
        <v>0</v>
      </c>
      <c r="PU31" s="22">
        <f t="shared" si="137"/>
        <v>0</v>
      </c>
      <c r="PV31" s="22">
        <f t="shared" si="138"/>
        <v>0</v>
      </c>
      <c r="PW31" s="22">
        <f t="shared" si="139"/>
        <v>0</v>
      </c>
      <c r="PX31" s="22">
        <f t="shared" si="140"/>
        <v>0</v>
      </c>
      <c r="PY31" s="27" t="s">
        <v>46</v>
      </c>
      <c r="PZ31" s="40">
        <f t="shared" si="141"/>
        <v>5.1999999999999993</v>
      </c>
      <c r="QA31" s="40">
        <f t="shared" si="142"/>
        <v>35.799999999999997</v>
      </c>
      <c r="QB31" s="40" t="str">
        <f t="shared" si="143"/>
        <v/>
      </c>
      <c r="QC31" s="40" t="str">
        <f t="shared" si="144"/>
        <v/>
      </c>
      <c r="QD31" s="40">
        <f t="shared" si="145"/>
        <v>35.799999999999997</v>
      </c>
    </row>
    <row r="32" spans="1:446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209</v>
      </c>
      <c r="D32" s="4" t="s">
        <v>5</v>
      </c>
      <c r="E32" s="4">
        <v>2009</v>
      </c>
      <c r="F32" s="9">
        <f t="shared" si="0"/>
        <v>78.100004440004426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IF(COUNT(AM32,BI32,CE32)&gt;0,LARGE((AM32,BI32,CE32),1),0)</f>
        <v>44.4</v>
      </c>
      <c r="M32" s="8" t="str">
        <f t="shared" si="5"/>
        <v>2025 Nationals</v>
      </c>
      <c r="N32" s="8">
        <f>IF(COUNT(AM32,BI32,CE32)&gt;1,LARGE((AM32,BI32,CE32),2),0)</f>
        <v>0</v>
      </c>
      <c r="O32" s="8" t="str">
        <f t="shared" si="6"/>
        <v/>
      </c>
      <c r="P32" s="8">
        <f t="shared" si="7"/>
        <v>33.700000000000003</v>
      </c>
      <c r="Q32" s="8" t="str">
        <f t="shared" si="8"/>
        <v>2025 Nationals</v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27"/>
      <c r="AL32" s="40" t="str">
        <f t="shared" si="12"/>
        <v/>
      </c>
      <c r="AM32" s="40" t="str">
        <f t="shared" si="13"/>
        <v/>
      </c>
      <c r="AN32" s="40" t="str">
        <f t="shared" si="14"/>
        <v/>
      </c>
      <c r="AO32" s="40" t="str">
        <f t="shared" si="15"/>
        <v/>
      </c>
      <c r="AP32" s="40" t="str">
        <f t="shared" si="16"/>
        <v/>
      </c>
      <c r="AQ32" s="18">
        <v>18.5</v>
      </c>
      <c r="AR32" s="18">
        <v>3.5</v>
      </c>
      <c r="AS32" s="18">
        <v>0.2</v>
      </c>
      <c r="AT32" s="18">
        <v>0</v>
      </c>
      <c r="AU32" s="18">
        <v>18.2</v>
      </c>
      <c r="AV32" s="18">
        <v>4.4000000000000004</v>
      </c>
      <c r="AW32" s="18">
        <v>0</v>
      </c>
      <c r="AX32" s="18">
        <v>0</v>
      </c>
      <c r="AY32" s="18">
        <v>15.6</v>
      </c>
      <c r="AZ32" s="18">
        <v>0.7</v>
      </c>
      <c r="BA32" s="18">
        <v>0</v>
      </c>
      <c r="BB32" s="18">
        <v>0</v>
      </c>
      <c r="BC32" s="18">
        <v>15</v>
      </c>
      <c r="BD32" s="18">
        <v>2.4</v>
      </c>
      <c r="BE32" s="18">
        <v>0</v>
      </c>
      <c r="BF32" s="18">
        <v>0</v>
      </c>
      <c r="BG32" s="28"/>
      <c r="BH32" s="11">
        <f t="shared" si="17"/>
        <v>7.9</v>
      </c>
      <c r="BI32" s="11">
        <f t="shared" si="18"/>
        <v>44.4</v>
      </c>
      <c r="BJ32" s="11">
        <f t="shared" si="19"/>
        <v>3.0999999999999996</v>
      </c>
      <c r="BK32" s="11">
        <f t="shared" si="20"/>
        <v>33.700000000000003</v>
      </c>
      <c r="BL32" s="11">
        <f t="shared" si="21"/>
        <v>78.099999999999994</v>
      </c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27"/>
      <c r="CD32" s="40" t="str">
        <f t="shared" si="22"/>
        <v/>
      </c>
      <c r="CE32" s="40" t="str">
        <f t="shared" si="23"/>
        <v/>
      </c>
      <c r="CF32" s="40" t="str">
        <f t="shared" si="24"/>
        <v/>
      </c>
      <c r="CG32" s="40" t="str">
        <f t="shared" si="25"/>
        <v/>
      </c>
      <c r="CH32" s="40" t="str">
        <f t="shared" si="26"/>
        <v/>
      </c>
      <c r="CI32" s="50" t="str">
        <f t="shared" si="27"/>
        <v/>
      </c>
      <c r="CJ32" s="50" t="str">
        <f t="shared" si="28"/>
        <v/>
      </c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40" t="str">
        <f t="shared" si="29"/>
        <v/>
      </c>
      <c r="DF32" s="40" t="str">
        <f t="shared" si="30"/>
        <v/>
      </c>
      <c r="DG32" s="40" t="str">
        <f t="shared" si="31"/>
        <v/>
      </c>
      <c r="DH32" s="40" t="str">
        <f t="shared" si="32"/>
        <v/>
      </c>
      <c r="DI32" s="40" t="str">
        <f t="shared" si="33"/>
        <v/>
      </c>
      <c r="DJ32" s="40" t="str">
        <f t="shared" si="34"/>
        <v/>
      </c>
      <c r="DK32" s="40" t="str">
        <f t="shared" si="35"/>
        <v/>
      </c>
      <c r="DL32" s="40" t="str">
        <f t="shared" si="36"/>
        <v/>
      </c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1" t="str">
        <f t="shared" si="37"/>
        <v/>
      </c>
      <c r="EH32" s="11" t="str">
        <f t="shared" si="38"/>
        <v/>
      </c>
      <c r="EI32" s="11" t="str">
        <f t="shared" si="39"/>
        <v/>
      </c>
      <c r="EJ32" s="11" t="str">
        <f t="shared" si="40"/>
        <v/>
      </c>
      <c r="EK32" s="11" t="str">
        <f t="shared" si="41"/>
        <v/>
      </c>
      <c r="EL32" s="11" t="str">
        <f t="shared" si="42"/>
        <v/>
      </c>
      <c r="EM32" s="11" t="str">
        <f t="shared" si="43"/>
        <v/>
      </c>
      <c r="EN32" s="11" t="str">
        <f t="shared" si="44"/>
        <v/>
      </c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40" t="str">
        <f t="shared" si="45"/>
        <v/>
      </c>
      <c r="FJ32" s="40" t="str">
        <f t="shared" si="46"/>
        <v/>
      </c>
      <c r="FK32" s="40" t="str">
        <f t="shared" si="47"/>
        <v/>
      </c>
      <c r="FL32" s="40" t="str">
        <f t="shared" si="48"/>
        <v/>
      </c>
      <c r="FM32" s="40" t="str">
        <f t="shared" si="49"/>
        <v/>
      </c>
      <c r="FN32" s="40" t="str">
        <f t="shared" si="50"/>
        <v/>
      </c>
      <c r="FO32" s="40" t="str">
        <f t="shared" si="51"/>
        <v/>
      </c>
      <c r="FP32" s="40" t="str">
        <f t="shared" si="52"/>
        <v/>
      </c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1" t="str">
        <f t="shared" si="53"/>
        <v/>
      </c>
      <c r="GL32" s="11" t="str">
        <f t="shared" si="54"/>
        <v/>
      </c>
      <c r="GM32" s="11" t="str">
        <f t="shared" si="55"/>
        <v/>
      </c>
      <c r="GN32" s="11" t="str">
        <f t="shared" si="56"/>
        <v/>
      </c>
      <c r="GO32" s="11" t="str">
        <f t="shared" si="57"/>
        <v/>
      </c>
      <c r="GP32" s="11" t="str">
        <f t="shared" si="58"/>
        <v/>
      </c>
      <c r="GQ32" s="11" t="str">
        <f t="shared" si="59"/>
        <v/>
      </c>
      <c r="GR32" s="11" t="str">
        <f t="shared" si="60"/>
        <v/>
      </c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40" t="str">
        <f t="shared" si="61"/>
        <v/>
      </c>
      <c r="HN32" s="40" t="str">
        <f t="shared" si="62"/>
        <v/>
      </c>
      <c r="HO32" s="40" t="str">
        <f t="shared" si="63"/>
        <v/>
      </c>
      <c r="HP32" s="40" t="str">
        <f t="shared" si="64"/>
        <v/>
      </c>
      <c r="HQ32" s="40" t="str">
        <f t="shared" si="65"/>
        <v/>
      </c>
      <c r="HR32" s="40" t="str">
        <f t="shared" si="66"/>
        <v/>
      </c>
      <c r="HS32" s="40" t="str">
        <f t="shared" si="67"/>
        <v/>
      </c>
      <c r="HT32" s="40" t="str">
        <f t="shared" si="68"/>
        <v/>
      </c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1" t="str">
        <f t="shared" si="69"/>
        <v/>
      </c>
      <c r="IP32" s="11" t="str">
        <f t="shared" si="70"/>
        <v/>
      </c>
      <c r="IQ32" s="11" t="str">
        <f t="shared" si="71"/>
        <v/>
      </c>
      <c r="IR32" s="11" t="str">
        <f t="shared" si="72"/>
        <v/>
      </c>
      <c r="IS32" s="11" t="str">
        <f t="shared" si="73"/>
        <v/>
      </c>
      <c r="IT32" s="11" t="str">
        <f t="shared" si="74"/>
        <v/>
      </c>
      <c r="IU32" s="11" t="str">
        <f t="shared" si="75"/>
        <v/>
      </c>
      <c r="IV32" s="11" t="str">
        <f t="shared" si="76"/>
        <v/>
      </c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40" t="str">
        <f t="shared" si="77"/>
        <v/>
      </c>
      <c r="JR32" s="40" t="str">
        <f t="shared" si="78"/>
        <v/>
      </c>
      <c r="JS32" s="40" t="str">
        <f t="shared" si="79"/>
        <v/>
      </c>
      <c r="JT32" s="40" t="str">
        <f t="shared" si="80"/>
        <v/>
      </c>
      <c r="JU32" s="40" t="str">
        <f t="shared" si="81"/>
        <v/>
      </c>
      <c r="JV32" s="40" t="str">
        <f t="shared" si="82"/>
        <v/>
      </c>
      <c r="JW32" s="40" t="str">
        <f t="shared" si="83"/>
        <v/>
      </c>
      <c r="JX32" s="40" t="str">
        <f t="shared" si="84"/>
        <v/>
      </c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1" t="str">
        <f t="shared" si="85"/>
        <v/>
      </c>
      <c r="KT32" s="11" t="str">
        <f t="shared" si="86"/>
        <v/>
      </c>
      <c r="KU32" s="11" t="str">
        <f t="shared" si="87"/>
        <v/>
      </c>
      <c r="KV32" s="11" t="str">
        <f t="shared" si="88"/>
        <v/>
      </c>
      <c r="KW32" s="11" t="str">
        <f t="shared" si="89"/>
        <v/>
      </c>
      <c r="KX32" s="11" t="str">
        <f t="shared" si="90"/>
        <v/>
      </c>
      <c r="KY32" s="11" t="str">
        <f t="shared" si="91"/>
        <v/>
      </c>
      <c r="KZ32" s="11" t="str">
        <f t="shared" si="92"/>
        <v/>
      </c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40" t="str">
        <f t="shared" si="93"/>
        <v/>
      </c>
      <c r="LV32" s="40" t="str">
        <f t="shared" si="94"/>
        <v/>
      </c>
      <c r="LW32" s="40" t="str">
        <f t="shared" si="95"/>
        <v/>
      </c>
      <c r="LX32" s="40" t="str">
        <f t="shared" si="96"/>
        <v/>
      </c>
      <c r="LY32" s="40" t="str">
        <f t="shared" si="97"/>
        <v/>
      </c>
      <c r="LZ32" s="40" t="str">
        <f t="shared" si="98"/>
        <v/>
      </c>
      <c r="MA32" s="40" t="str">
        <f t="shared" si="99"/>
        <v/>
      </c>
      <c r="MB32" s="40" t="str">
        <f t="shared" si="100"/>
        <v/>
      </c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1" t="str">
        <f t="shared" si="101"/>
        <v/>
      </c>
      <c r="MX32" s="11" t="str">
        <f t="shared" si="102"/>
        <v/>
      </c>
      <c r="MY32" s="11" t="str">
        <f t="shared" si="103"/>
        <v/>
      </c>
      <c r="MZ32" s="11" t="str">
        <f t="shared" si="104"/>
        <v/>
      </c>
      <c r="NA32" s="11" t="str">
        <f t="shared" si="105"/>
        <v/>
      </c>
      <c r="NB32" s="11" t="str">
        <f t="shared" si="106"/>
        <v/>
      </c>
      <c r="NC32" s="11" t="str">
        <f t="shared" si="107"/>
        <v/>
      </c>
      <c r="ND32" s="11" t="str">
        <f t="shared" si="108"/>
        <v/>
      </c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40" t="str">
        <f t="shared" si="109"/>
        <v/>
      </c>
      <c r="NZ32" s="40" t="str">
        <f t="shared" si="110"/>
        <v/>
      </c>
      <c r="OA32" s="40" t="str">
        <f t="shared" si="111"/>
        <v/>
      </c>
      <c r="OB32" s="40" t="str">
        <f t="shared" si="112"/>
        <v/>
      </c>
      <c r="OC32" s="40" t="str">
        <f t="shared" si="113"/>
        <v/>
      </c>
      <c r="OD32" s="40" t="str">
        <f t="shared" si="114"/>
        <v/>
      </c>
      <c r="OE32" s="40" t="str">
        <f t="shared" si="115"/>
        <v/>
      </c>
      <c r="OF32" s="40" t="str">
        <f t="shared" si="116"/>
        <v/>
      </c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1" t="str">
        <f t="shared" si="117"/>
        <v/>
      </c>
      <c r="PB32" s="11" t="str">
        <f t="shared" si="118"/>
        <v/>
      </c>
      <c r="PC32" s="11" t="str">
        <f t="shared" si="119"/>
        <v/>
      </c>
      <c r="PD32" s="11" t="str">
        <f t="shared" si="120"/>
        <v/>
      </c>
      <c r="PE32" s="11" t="str">
        <f t="shared" si="121"/>
        <v/>
      </c>
      <c r="PF32" s="11" t="str">
        <f t="shared" si="122"/>
        <v/>
      </c>
      <c r="PG32" s="11" t="str">
        <f t="shared" si="123"/>
        <v/>
      </c>
      <c r="PH32" s="11" t="str">
        <f t="shared" si="124"/>
        <v/>
      </c>
      <c r="PI32" s="22">
        <f t="shared" si="125"/>
        <v>0</v>
      </c>
      <c r="PJ32" s="22">
        <f t="shared" si="126"/>
        <v>0</v>
      </c>
      <c r="PK32" s="22">
        <f t="shared" si="127"/>
        <v>0</v>
      </c>
      <c r="PL32" s="22">
        <f t="shared" si="128"/>
        <v>0</v>
      </c>
      <c r="PM32" s="22">
        <f t="shared" si="129"/>
        <v>0</v>
      </c>
      <c r="PN32" s="22">
        <f t="shared" si="130"/>
        <v>0</v>
      </c>
      <c r="PO32" s="22">
        <f t="shared" si="131"/>
        <v>0</v>
      </c>
      <c r="PP32" s="22">
        <f t="shared" si="132"/>
        <v>0</v>
      </c>
      <c r="PQ32" s="22">
        <f t="shared" si="133"/>
        <v>0</v>
      </c>
      <c r="PR32" s="22">
        <f t="shared" si="134"/>
        <v>0</v>
      </c>
      <c r="PS32" s="22">
        <f t="shared" si="135"/>
        <v>0</v>
      </c>
      <c r="PT32" s="22">
        <f t="shared" si="136"/>
        <v>0</v>
      </c>
      <c r="PU32" s="22">
        <f t="shared" si="137"/>
        <v>0</v>
      </c>
      <c r="PV32" s="22">
        <f t="shared" si="138"/>
        <v>0</v>
      </c>
      <c r="PW32" s="22">
        <f t="shared" si="139"/>
        <v>0</v>
      </c>
      <c r="PX32" s="22">
        <f t="shared" si="140"/>
        <v>0</v>
      </c>
      <c r="PY32" s="27" t="s">
        <v>46</v>
      </c>
      <c r="PZ32" s="40" t="str">
        <f t="shared" si="141"/>
        <v/>
      </c>
      <c r="QA32" s="40" t="str">
        <f t="shared" si="142"/>
        <v/>
      </c>
      <c r="QB32" s="40" t="str">
        <f t="shared" si="143"/>
        <v/>
      </c>
      <c r="QC32" s="40" t="str">
        <f t="shared" si="144"/>
        <v/>
      </c>
      <c r="QD32" s="40" t="str">
        <f t="shared" si="145"/>
        <v/>
      </c>
    </row>
    <row r="33" spans="1:446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100</v>
      </c>
      <c r="D33" s="4" t="s">
        <v>31</v>
      </c>
      <c r="E33" s="4">
        <v>2006</v>
      </c>
      <c r="F33" s="9">
        <f t="shared" si="0"/>
        <v>76.700007670004354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IF(COUNT(AM33,BI33,CE33)&gt;0,LARGE((AM33,BI33,CE33),1),0)</f>
        <v>43.599999999999994</v>
      </c>
      <c r="M33" s="8" t="str">
        <f t="shared" si="5"/>
        <v>2025 Nationals</v>
      </c>
      <c r="N33" s="8">
        <f>IF(COUNT(AM33,BI33,CE33)&gt;1,LARGE((AM33,BI33,CE33),2),0)</f>
        <v>33.1</v>
      </c>
      <c r="O33" s="8" t="str">
        <f t="shared" si="6"/>
        <v>2025 Elite Canada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>
        <v>15.6</v>
      </c>
      <c r="V33" s="19">
        <v>1.2</v>
      </c>
      <c r="W33" s="19">
        <v>0</v>
      </c>
      <c r="X33" s="19">
        <v>0</v>
      </c>
      <c r="Y33" s="19">
        <v>15.4</v>
      </c>
      <c r="Z33" s="19">
        <v>0.9</v>
      </c>
      <c r="AA33" s="19">
        <v>0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27"/>
      <c r="AL33" s="40">
        <f t="shared" si="12"/>
        <v>2.1</v>
      </c>
      <c r="AM33" s="40">
        <f t="shared" si="13"/>
        <v>33.1</v>
      </c>
      <c r="AN33" s="40" t="str">
        <f t="shared" si="14"/>
        <v/>
      </c>
      <c r="AO33" s="40" t="str">
        <f t="shared" si="15"/>
        <v/>
      </c>
      <c r="AP33" s="40">
        <f t="shared" si="16"/>
        <v>33.1</v>
      </c>
      <c r="AQ33" s="18">
        <v>18.600000000000001</v>
      </c>
      <c r="AR33" s="18">
        <v>3.6</v>
      </c>
      <c r="AS33" s="18">
        <v>0.2</v>
      </c>
      <c r="AT33" s="18">
        <v>0</v>
      </c>
      <c r="AU33" s="18">
        <v>18.3</v>
      </c>
      <c r="AV33" s="18">
        <v>3.9</v>
      </c>
      <c r="AW33" s="18">
        <v>0.6</v>
      </c>
      <c r="AX33" s="18">
        <v>0</v>
      </c>
      <c r="AY33" s="18"/>
      <c r="AZ33" s="18"/>
      <c r="BA33" s="18"/>
      <c r="BB33" s="18"/>
      <c r="BC33" s="18"/>
      <c r="BD33" s="18"/>
      <c r="BE33" s="18"/>
      <c r="BF33" s="18"/>
      <c r="BG33" s="28"/>
      <c r="BH33" s="11">
        <f t="shared" si="17"/>
        <v>7.5</v>
      </c>
      <c r="BI33" s="11">
        <f t="shared" si="18"/>
        <v>43.599999999999994</v>
      </c>
      <c r="BJ33" s="11" t="str">
        <f t="shared" si="19"/>
        <v/>
      </c>
      <c r="BK33" s="11" t="str">
        <f t="shared" si="20"/>
        <v/>
      </c>
      <c r="BL33" s="11">
        <f t="shared" si="21"/>
        <v>43.599999999999994</v>
      </c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27"/>
      <c r="CD33" s="40" t="str">
        <f t="shared" si="22"/>
        <v/>
      </c>
      <c r="CE33" s="40" t="str">
        <f t="shared" si="23"/>
        <v/>
      </c>
      <c r="CF33" s="40" t="str">
        <f t="shared" si="24"/>
        <v/>
      </c>
      <c r="CG33" s="40" t="str">
        <f t="shared" si="25"/>
        <v/>
      </c>
      <c r="CH33" s="40" t="str">
        <f t="shared" si="26"/>
        <v/>
      </c>
      <c r="CI33" s="50" t="str">
        <f t="shared" si="27"/>
        <v/>
      </c>
      <c r="CJ33" s="50" t="str">
        <f t="shared" si="28"/>
        <v/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40" t="str">
        <f t="shared" si="29"/>
        <v/>
      </c>
      <c r="DF33" s="40" t="str">
        <f t="shared" si="30"/>
        <v/>
      </c>
      <c r="DG33" s="40" t="str">
        <f t="shared" si="31"/>
        <v/>
      </c>
      <c r="DH33" s="40" t="str">
        <f t="shared" si="32"/>
        <v/>
      </c>
      <c r="DI33" s="40" t="str">
        <f t="shared" si="33"/>
        <v/>
      </c>
      <c r="DJ33" s="40" t="str">
        <f t="shared" si="34"/>
        <v/>
      </c>
      <c r="DK33" s="40" t="str">
        <f t="shared" si="35"/>
        <v/>
      </c>
      <c r="DL33" s="40" t="str">
        <f t="shared" si="36"/>
        <v/>
      </c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1" t="str">
        <f t="shared" si="37"/>
        <v/>
      </c>
      <c r="EH33" s="11" t="str">
        <f t="shared" si="38"/>
        <v/>
      </c>
      <c r="EI33" s="11" t="str">
        <f t="shared" si="39"/>
        <v/>
      </c>
      <c r="EJ33" s="11" t="str">
        <f t="shared" si="40"/>
        <v/>
      </c>
      <c r="EK33" s="11" t="str">
        <f t="shared" si="41"/>
        <v/>
      </c>
      <c r="EL33" s="11" t="str">
        <f t="shared" si="42"/>
        <v/>
      </c>
      <c r="EM33" s="11" t="str">
        <f t="shared" si="43"/>
        <v/>
      </c>
      <c r="EN33" s="11" t="str">
        <f t="shared" si="44"/>
        <v/>
      </c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40" t="str">
        <f t="shared" si="45"/>
        <v/>
      </c>
      <c r="FJ33" s="40" t="str">
        <f t="shared" si="46"/>
        <v/>
      </c>
      <c r="FK33" s="40" t="str">
        <f t="shared" si="47"/>
        <v/>
      </c>
      <c r="FL33" s="40" t="str">
        <f t="shared" si="48"/>
        <v/>
      </c>
      <c r="FM33" s="40" t="str">
        <f t="shared" si="49"/>
        <v/>
      </c>
      <c r="FN33" s="40" t="str">
        <f t="shared" si="50"/>
        <v/>
      </c>
      <c r="FO33" s="40" t="str">
        <f t="shared" si="51"/>
        <v/>
      </c>
      <c r="FP33" s="40" t="str">
        <f t="shared" si="52"/>
        <v/>
      </c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1" t="str">
        <f t="shared" si="53"/>
        <v/>
      </c>
      <c r="GL33" s="11" t="str">
        <f t="shared" si="54"/>
        <v/>
      </c>
      <c r="GM33" s="11" t="str">
        <f t="shared" si="55"/>
        <v/>
      </c>
      <c r="GN33" s="11" t="str">
        <f t="shared" si="56"/>
        <v/>
      </c>
      <c r="GO33" s="11" t="str">
        <f t="shared" si="57"/>
        <v/>
      </c>
      <c r="GP33" s="11" t="str">
        <f t="shared" si="58"/>
        <v/>
      </c>
      <c r="GQ33" s="11" t="str">
        <f t="shared" si="59"/>
        <v/>
      </c>
      <c r="GR33" s="11" t="str">
        <f t="shared" si="60"/>
        <v/>
      </c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40" t="str">
        <f t="shared" si="61"/>
        <v/>
      </c>
      <c r="HN33" s="40" t="str">
        <f t="shared" si="62"/>
        <v/>
      </c>
      <c r="HO33" s="40" t="str">
        <f t="shared" si="63"/>
        <v/>
      </c>
      <c r="HP33" s="40" t="str">
        <f t="shared" si="64"/>
        <v/>
      </c>
      <c r="HQ33" s="40" t="str">
        <f t="shared" si="65"/>
        <v/>
      </c>
      <c r="HR33" s="40" t="str">
        <f t="shared" si="66"/>
        <v/>
      </c>
      <c r="HS33" s="40" t="str">
        <f t="shared" si="67"/>
        <v/>
      </c>
      <c r="HT33" s="40" t="str">
        <f t="shared" si="68"/>
        <v/>
      </c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1" t="str">
        <f t="shared" si="69"/>
        <v/>
      </c>
      <c r="IP33" s="11" t="str">
        <f t="shared" si="70"/>
        <v/>
      </c>
      <c r="IQ33" s="11" t="str">
        <f t="shared" si="71"/>
        <v/>
      </c>
      <c r="IR33" s="11" t="str">
        <f t="shared" si="72"/>
        <v/>
      </c>
      <c r="IS33" s="11" t="str">
        <f t="shared" si="73"/>
        <v/>
      </c>
      <c r="IT33" s="11" t="str">
        <f t="shared" si="74"/>
        <v/>
      </c>
      <c r="IU33" s="11" t="str">
        <f t="shared" si="75"/>
        <v/>
      </c>
      <c r="IV33" s="11" t="str">
        <f t="shared" si="76"/>
        <v/>
      </c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40" t="str">
        <f t="shared" si="77"/>
        <v/>
      </c>
      <c r="JR33" s="40" t="str">
        <f t="shared" si="78"/>
        <v/>
      </c>
      <c r="JS33" s="40" t="str">
        <f t="shared" si="79"/>
        <v/>
      </c>
      <c r="JT33" s="40" t="str">
        <f t="shared" si="80"/>
        <v/>
      </c>
      <c r="JU33" s="40" t="str">
        <f t="shared" si="81"/>
        <v/>
      </c>
      <c r="JV33" s="40" t="str">
        <f t="shared" si="82"/>
        <v/>
      </c>
      <c r="JW33" s="40" t="str">
        <f t="shared" si="83"/>
        <v/>
      </c>
      <c r="JX33" s="40" t="str">
        <f t="shared" si="84"/>
        <v/>
      </c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1" t="str">
        <f t="shared" si="85"/>
        <v/>
      </c>
      <c r="KT33" s="11" t="str">
        <f t="shared" si="86"/>
        <v/>
      </c>
      <c r="KU33" s="11" t="str">
        <f t="shared" si="87"/>
        <v/>
      </c>
      <c r="KV33" s="11" t="str">
        <f t="shared" si="88"/>
        <v/>
      </c>
      <c r="KW33" s="11" t="str">
        <f t="shared" si="89"/>
        <v/>
      </c>
      <c r="KX33" s="11" t="str">
        <f t="shared" si="90"/>
        <v/>
      </c>
      <c r="KY33" s="11" t="str">
        <f t="shared" si="91"/>
        <v/>
      </c>
      <c r="KZ33" s="11" t="str">
        <f t="shared" si="92"/>
        <v/>
      </c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40" t="str">
        <f t="shared" si="93"/>
        <v/>
      </c>
      <c r="LV33" s="40" t="str">
        <f t="shared" si="94"/>
        <v/>
      </c>
      <c r="LW33" s="40" t="str">
        <f t="shared" si="95"/>
        <v/>
      </c>
      <c r="LX33" s="40" t="str">
        <f t="shared" si="96"/>
        <v/>
      </c>
      <c r="LY33" s="40" t="str">
        <f t="shared" si="97"/>
        <v/>
      </c>
      <c r="LZ33" s="40" t="str">
        <f t="shared" si="98"/>
        <v/>
      </c>
      <c r="MA33" s="40" t="str">
        <f t="shared" si="99"/>
        <v/>
      </c>
      <c r="MB33" s="40" t="str">
        <f t="shared" si="100"/>
        <v/>
      </c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1" t="str">
        <f t="shared" si="101"/>
        <v/>
      </c>
      <c r="MX33" s="11" t="str">
        <f t="shared" si="102"/>
        <v/>
      </c>
      <c r="MY33" s="11" t="str">
        <f t="shared" si="103"/>
        <v/>
      </c>
      <c r="MZ33" s="11" t="str">
        <f t="shared" si="104"/>
        <v/>
      </c>
      <c r="NA33" s="11" t="str">
        <f t="shared" si="105"/>
        <v/>
      </c>
      <c r="NB33" s="11" t="str">
        <f t="shared" si="106"/>
        <v/>
      </c>
      <c r="NC33" s="11" t="str">
        <f t="shared" si="107"/>
        <v/>
      </c>
      <c r="ND33" s="11" t="str">
        <f t="shared" si="108"/>
        <v/>
      </c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40" t="str">
        <f t="shared" si="109"/>
        <v/>
      </c>
      <c r="NZ33" s="40" t="str">
        <f t="shared" si="110"/>
        <v/>
      </c>
      <c r="OA33" s="40" t="str">
        <f t="shared" si="111"/>
        <v/>
      </c>
      <c r="OB33" s="40" t="str">
        <f t="shared" si="112"/>
        <v/>
      </c>
      <c r="OC33" s="40" t="str">
        <f t="shared" si="113"/>
        <v/>
      </c>
      <c r="OD33" s="40" t="str">
        <f t="shared" si="114"/>
        <v/>
      </c>
      <c r="OE33" s="40" t="str">
        <f t="shared" si="115"/>
        <v/>
      </c>
      <c r="OF33" s="40" t="str">
        <f t="shared" si="116"/>
        <v/>
      </c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1" t="str">
        <f t="shared" si="117"/>
        <v/>
      </c>
      <c r="PB33" s="11" t="str">
        <f t="shared" si="118"/>
        <v/>
      </c>
      <c r="PC33" s="11" t="str">
        <f t="shared" si="119"/>
        <v/>
      </c>
      <c r="PD33" s="11" t="str">
        <f t="shared" si="120"/>
        <v/>
      </c>
      <c r="PE33" s="11" t="str">
        <f t="shared" si="121"/>
        <v/>
      </c>
      <c r="PF33" s="11" t="str">
        <f t="shared" si="122"/>
        <v/>
      </c>
      <c r="PG33" s="11" t="str">
        <f t="shared" si="123"/>
        <v/>
      </c>
      <c r="PH33" s="11" t="str">
        <f t="shared" si="124"/>
        <v/>
      </c>
      <c r="PI33" s="22">
        <f t="shared" si="125"/>
        <v>0</v>
      </c>
      <c r="PJ33" s="22">
        <f t="shared" si="126"/>
        <v>0</v>
      </c>
      <c r="PK33" s="22">
        <f t="shared" si="127"/>
        <v>0</v>
      </c>
      <c r="PL33" s="22">
        <f t="shared" si="128"/>
        <v>0</v>
      </c>
      <c r="PM33" s="22">
        <f t="shared" si="129"/>
        <v>0</v>
      </c>
      <c r="PN33" s="22">
        <f t="shared" si="130"/>
        <v>0</v>
      </c>
      <c r="PO33" s="22">
        <f t="shared" si="131"/>
        <v>0</v>
      </c>
      <c r="PP33" s="22">
        <f t="shared" si="132"/>
        <v>0</v>
      </c>
      <c r="PQ33" s="22">
        <f t="shared" si="133"/>
        <v>0</v>
      </c>
      <c r="PR33" s="22">
        <f t="shared" si="134"/>
        <v>0</v>
      </c>
      <c r="PS33" s="22">
        <f t="shared" si="135"/>
        <v>0</v>
      </c>
      <c r="PT33" s="22">
        <f t="shared" si="136"/>
        <v>0</v>
      </c>
      <c r="PU33" s="22">
        <f t="shared" si="137"/>
        <v>0</v>
      </c>
      <c r="PV33" s="22">
        <f t="shared" si="138"/>
        <v>0</v>
      </c>
      <c r="PW33" s="22">
        <f t="shared" si="139"/>
        <v>0</v>
      </c>
      <c r="PX33" s="22">
        <f t="shared" si="140"/>
        <v>0</v>
      </c>
      <c r="PY33" s="27" t="s">
        <v>46</v>
      </c>
      <c r="PZ33" s="40" t="str">
        <f t="shared" si="141"/>
        <v/>
      </c>
      <c r="QA33" s="40" t="str">
        <f t="shared" si="142"/>
        <v/>
      </c>
      <c r="QB33" s="40" t="str">
        <f t="shared" si="143"/>
        <v/>
      </c>
      <c r="QC33" s="40" t="str">
        <f t="shared" si="144"/>
        <v/>
      </c>
      <c r="QD33" s="40" t="str">
        <f t="shared" si="145"/>
        <v/>
      </c>
    </row>
    <row r="34" spans="1:446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142</v>
      </c>
      <c r="D34" s="4" t="s">
        <v>31</v>
      </c>
      <c r="E34" s="4">
        <v>2005</v>
      </c>
      <c r="F34" s="9">
        <f t="shared" si="0"/>
        <v>66.900006690003423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IF(COUNT(AM34,BI34,CE34)&gt;0,LARGE((AM34,BI34,CE34),1),0)</f>
        <v>34.1</v>
      </c>
      <c r="M34" s="8" t="str">
        <f t="shared" si="5"/>
        <v>2025 Nationals</v>
      </c>
      <c r="N34" s="8">
        <f>IF(COUNT(AM34,BI34,CE34)&gt;1,LARGE((AM34,BI34,CE34),2),0)</f>
        <v>32.800000000000004</v>
      </c>
      <c r="O34" s="8" t="str">
        <f t="shared" si="6"/>
        <v>2025 Elite Canada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>
        <v>15.6</v>
      </c>
      <c r="V34" s="19">
        <v>1.2</v>
      </c>
      <c r="W34" s="19">
        <v>0</v>
      </c>
      <c r="X34" s="19">
        <v>0</v>
      </c>
      <c r="Y34" s="19">
        <v>15.3</v>
      </c>
      <c r="Z34" s="19">
        <v>0.7</v>
      </c>
      <c r="AA34" s="19">
        <v>0</v>
      </c>
      <c r="AB34" s="19">
        <v>0</v>
      </c>
      <c r="AC34" s="19"/>
      <c r="AD34" s="19"/>
      <c r="AE34" s="19"/>
      <c r="AF34" s="19"/>
      <c r="AG34" s="19"/>
      <c r="AH34" s="19"/>
      <c r="AI34" s="19"/>
      <c r="AJ34" s="19"/>
      <c r="AK34" s="27"/>
      <c r="AL34" s="40">
        <f t="shared" si="12"/>
        <v>1.9</v>
      </c>
      <c r="AM34" s="40">
        <f t="shared" si="13"/>
        <v>32.800000000000004</v>
      </c>
      <c r="AN34" s="40" t="str">
        <f t="shared" si="14"/>
        <v/>
      </c>
      <c r="AO34" s="40" t="str">
        <f t="shared" si="15"/>
        <v/>
      </c>
      <c r="AP34" s="40">
        <f t="shared" si="16"/>
        <v>32.800000000000004</v>
      </c>
      <c r="AQ34" s="18">
        <v>15.5</v>
      </c>
      <c r="AR34" s="18">
        <v>1.2</v>
      </c>
      <c r="AS34" s="18">
        <v>0</v>
      </c>
      <c r="AT34" s="18">
        <v>0</v>
      </c>
      <c r="AU34" s="18">
        <v>15</v>
      </c>
      <c r="AV34" s="18">
        <v>2.4</v>
      </c>
      <c r="AW34" s="18">
        <v>0</v>
      </c>
      <c r="AX34" s="18">
        <v>0</v>
      </c>
      <c r="AY34" s="18"/>
      <c r="AZ34" s="18"/>
      <c r="BA34" s="18"/>
      <c r="BB34" s="18"/>
      <c r="BC34" s="18"/>
      <c r="BD34" s="18"/>
      <c r="BE34" s="18"/>
      <c r="BF34" s="18"/>
      <c r="BG34" s="28"/>
      <c r="BH34" s="11">
        <f t="shared" si="17"/>
        <v>3.5999999999999996</v>
      </c>
      <c r="BI34" s="11">
        <f t="shared" si="18"/>
        <v>34.1</v>
      </c>
      <c r="BJ34" s="11" t="str">
        <f t="shared" si="19"/>
        <v/>
      </c>
      <c r="BK34" s="11" t="str">
        <f t="shared" si="20"/>
        <v/>
      </c>
      <c r="BL34" s="11">
        <f t="shared" si="21"/>
        <v>34.1</v>
      </c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27"/>
      <c r="CD34" s="40" t="str">
        <f t="shared" si="22"/>
        <v/>
      </c>
      <c r="CE34" s="40" t="str">
        <f t="shared" si="23"/>
        <v/>
      </c>
      <c r="CF34" s="40" t="str">
        <f t="shared" si="24"/>
        <v/>
      </c>
      <c r="CG34" s="40" t="str">
        <f t="shared" si="25"/>
        <v/>
      </c>
      <c r="CH34" s="40" t="str">
        <f t="shared" si="26"/>
        <v/>
      </c>
      <c r="CI34" s="50" t="str">
        <f t="shared" si="27"/>
        <v/>
      </c>
      <c r="CJ34" s="50" t="str">
        <f t="shared" si="28"/>
        <v/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40" t="str">
        <f t="shared" si="29"/>
        <v/>
      </c>
      <c r="DF34" s="40" t="str">
        <f t="shared" si="30"/>
        <v/>
      </c>
      <c r="DG34" s="40" t="str">
        <f t="shared" si="31"/>
        <v/>
      </c>
      <c r="DH34" s="40" t="str">
        <f t="shared" si="32"/>
        <v/>
      </c>
      <c r="DI34" s="40" t="str">
        <f t="shared" si="33"/>
        <v/>
      </c>
      <c r="DJ34" s="40" t="str">
        <f t="shared" si="34"/>
        <v/>
      </c>
      <c r="DK34" s="40" t="str">
        <f t="shared" si="35"/>
        <v/>
      </c>
      <c r="DL34" s="40" t="str">
        <f t="shared" si="36"/>
        <v/>
      </c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1" t="str">
        <f t="shared" si="37"/>
        <v/>
      </c>
      <c r="EH34" s="11" t="str">
        <f t="shared" si="38"/>
        <v/>
      </c>
      <c r="EI34" s="11" t="str">
        <f t="shared" si="39"/>
        <v/>
      </c>
      <c r="EJ34" s="11" t="str">
        <f t="shared" si="40"/>
        <v/>
      </c>
      <c r="EK34" s="11" t="str">
        <f t="shared" si="41"/>
        <v/>
      </c>
      <c r="EL34" s="11" t="str">
        <f t="shared" si="42"/>
        <v/>
      </c>
      <c r="EM34" s="11" t="str">
        <f t="shared" si="43"/>
        <v/>
      </c>
      <c r="EN34" s="11" t="str">
        <f t="shared" si="44"/>
        <v/>
      </c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40" t="str">
        <f t="shared" si="45"/>
        <v/>
      </c>
      <c r="FJ34" s="40" t="str">
        <f t="shared" si="46"/>
        <v/>
      </c>
      <c r="FK34" s="40" t="str">
        <f t="shared" si="47"/>
        <v/>
      </c>
      <c r="FL34" s="40" t="str">
        <f t="shared" si="48"/>
        <v/>
      </c>
      <c r="FM34" s="40" t="str">
        <f t="shared" si="49"/>
        <v/>
      </c>
      <c r="FN34" s="40" t="str">
        <f t="shared" si="50"/>
        <v/>
      </c>
      <c r="FO34" s="40" t="str">
        <f t="shared" si="51"/>
        <v/>
      </c>
      <c r="FP34" s="40" t="str">
        <f t="shared" si="52"/>
        <v/>
      </c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1" t="str">
        <f t="shared" si="53"/>
        <v/>
      </c>
      <c r="GL34" s="11" t="str">
        <f t="shared" si="54"/>
        <v/>
      </c>
      <c r="GM34" s="11" t="str">
        <f t="shared" si="55"/>
        <v/>
      </c>
      <c r="GN34" s="11" t="str">
        <f t="shared" si="56"/>
        <v/>
      </c>
      <c r="GO34" s="11" t="str">
        <f t="shared" si="57"/>
        <v/>
      </c>
      <c r="GP34" s="11" t="str">
        <f t="shared" si="58"/>
        <v/>
      </c>
      <c r="GQ34" s="11" t="str">
        <f t="shared" si="59"/>
        <v/>
      </c>
      <c r="GR34" s="11" t="str">
        <f t="shared" si="60"/>
        <v/>
      </c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40" t="str">
        <f t="shared" si="61"/>
        <v/>
      </c>
      <c r="HN34" s="40" t="str">
        <f t="shared" si="62"/>
        <v/>
      </c>
      <c r="HO34" s="40" t="str">
        <f t="shared" si="63"/>
        <v/>
      </c>
      <c r="HP34" s="40" t="str">
        <f t="shared" si="64"/>
        <v/>
      </c>
      <c r="HQ34" s="40" t="str">
        <f t="shared" si="65"/>
        <v/>
      </c>
      <c r="HR34" s="40" t="str">
        <f t="shared" si="66"/>
        <v/>
      </c>
      <c r="HS34" s="40" t="str">
        <f t="shared" si="67"/>
        <v/>
      </c>
      <c r="HT34" s="40" t="str">
        <f t="shared" si="68"/>
        <v/>
      </c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1" t="str">
        <f t="shared" si="69"/>
        <v/>
      </c>
      <c r="IP34" s="11" t="str">
        <f t="shared" si="70"/>
        <v/>
      </c>
      <c r="IQ34" s="11" t="str">
        <f t="shared" si="71"/>
        <v/>
      </c>
      <c r="IR34" s="11" t="str">
        <f t="shared" si="72"/>
        <v/>
      </c>
      <c r="IS34" s="11" t="str">
        <f t="shared" si="73"/>
        <v/>
      </c>
      <c r="IT34" s="11" t="str">
        <f t="shared" si="74"/>
        <v/>
      </c>
      <c r="IU34" s="11" t="str">
        <f t="shared" si="75"/>
        <v/>
      </c>
      <c r="IV34" s="11" t="str">
        <f t="shared" si="76"/>
        <v/>
      </c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40" t="str">
        <f t="shared" si="77"/>
        <v/>
      </c>
      <c r="JR34" s="40" t="str">
        <f t="shared" si="78"/>
        <v/>
      </c>
      <c r="JS34" s="40" t="str">
        <f t="shared" si="79"/>
        <v/>
      </c>
      <c r="JT34" s="40" t="str">
        <f t="shared" si="80"/>
        <v/>
      </c>
      <c r="JU34" s="40" t="str">
        <f t="shared" si="81"/>
        <v/>
      </c>
      <c r="JV34" s="40" t="str">
        <f t="shared" si="82"/>
        <v/>
      </c>
      <c r="JW34" s="40" t="str">
        <f t="shared" si="83"/>
        <v/>
      </c>
      <c r="JX34" s="40" t="str">
        <f t="shared" si="84"/>
        <v/>
      </c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1" t="str">
        <f t="shared" si="85"/>
        <v/>
      </c>
      <c r="KT34" s="11" t="str">
        <f t="shared" si="86"/>
        <v/>
      </c>
      <c r="KU34" s="11" t="str">
        <f t="shared" si="87"/>
        <v/>
      </c>
      <c r="KV34" s="11" t="str">
        <f t="shared" si="88"/>
        <v/>
      </c>
      <c r="KW34" s="11" t="str">
        <f t="shared" si="89"/>
        <v/>
      </c>
      <c r="KX34" s="11" t="str">
        <f t="shared" si="90"/>
        <v/>
      </c>
      <c r="KY34" s="11" t="str">
        <f t="shared" si="91"/>
        <v/>
      </c>
      <c r="KZ34" s="11" t="str">
        <f t="shared" si="92"/>
        <v/>
      </c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40" t="str">
        <f t="shared" si="93"/>
        <v/>
      </c>
      <c r="LV34" s="40" t="str">
        <f t="shared" si="94"/>
        <v/>
      </c>
      <c r="LW34" s="40" t="str">
        <f t="shared" si="95"/>
        <v/>
      </c>
      <c r="LX34" s="40" t="str">
        <f t="shared" si="96"/>
        <v/>
      </c>
      <c r="LY34" s="40" t="str">
        <f t="shared" si="97"/>
        <v/>
      </c>
      <c r="LZ34" s="40" t="str">
        <f t="shared" si="98"/>
        <v/>
      </c>
      <c r="MA34" s="40" t="str">
        <f t="shared" si="99"/>
        <v/>
      </c>
      <c r="MB34" s="40" t="str">
        <f t="shared" si="100"/>
        <v/>
      </c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1" t="str">
        <f t="shared" si="101"/>
        <v/>
      </c>
      <c r="MX34" s="11" t="str">
        <f t="shared" si="102"/>
        <v/>
      </c>
      <c r="MY34" s="11" t="str">
        <f t="shared" si="103"/>
        <v/>
      </c>
      <c r="MZ34" s="11" t="str">
        <f t="shared" si="104"/>
        <v/>
      </c>
      <c r="NA34" s="11" t="str">
        <f t="shared" si="105"/>
        <v/>
      </c>
      <c r="NB34" s="11" t="str">
        <f t="shared" si="106"/>
        <v/>
      </c>
      <c r="NC34" s="11" t="str">
        <f t="shared" si="107"/>
        <v/>
      </c>
      <c r="ND34" s="11" t="str">
        <f t="shared" si="108"/>
        <v/>
      </c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40" t="str">
        <f t="shared" si="109"/>
        <v/>
      </c>
      <c r="NZ34" s="40" t="str">
        <f t="shared" si="110"/>
        <v/>
      </c>
      <c r="OA34" s="40" t="str">
        <f t="shared" si="111"/>
        <v/>
      </c>
      <c r="OB34" s="40" t="str">
        <f t="shared" si="112"/>
        <v/>
      </c>
      <c r="OC34" s="40" t="str">
        <f t="shared" si="113"/>
        <v/>
      </c>
      <c r="OD34" s="40" t="str">
        <f t="shared" si="114"/>
        <v/>
      </c>
      <c r="OE34" s="40" t="str">
        <f t="shared" si="115"/>
        <v/>
      </c>
      <c r="OF34" s="40" t="str">
        <f t="shared" si="116"/>
        <v/>
      </c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1" t="str">
        <f t="shared" si="117"/>
        <v/>
      </c>
      <c r="PB34" s="11" t="str">
        <f t="shared" si="118"/>
        <v/>
      </c>
      <c r="PC34" s="11" t="str">
        <f t="shared" si="119"/>
        <v/>
      </c>
      <c r="PD34" s="11" t="str">
        <f t="shared" si="120"/>
        <v/>
      </c>
      <c r="PE34" s="11" t="str">
        <f t="shared" si="121"/>
        <v/>
      </c>
      <c r="PF34" s="11" t="str">
        <f t="shared" si="122"/>
        <v/>
      </c>
      <c r="PG34" s="11" t="str">
        <f t="shared" si="123"/>
        <v/>
      </c>
      <c r="PH34" s="11" t="str">
        <f t="shared" si="124"/>
        <v/>
      </c>
      <c r="PI34" s="22">
        <f t="shared" si="125"/>
        <v>0</v>
      </c>
      <c r="PJ34" s="22">
        <f t="shared" si="126"/>
        <v>0</v>
      </c>
      <c r="PK34" s="22">
        <f t="shared" si="127"/>
        <v>0</v>
      </c>
      <c r="PL34" s="22">
        <f t="shared" si="128"/>
        <v>0</v>
      </c>
      <c r="PM34" s="22">
        <f t="shared" si="129"/>
        <v>0</v>
      </c>
      <c r="PN34" s="22">
        <f t="shared" si="130"/>
        <v>0</v>
      </c>
      <c r="PO34" s="22">
        <f t="shared" si="131"/>
        <v>0</v>
      </c>
      <c r="PP34" s="22">
        <f t="shared" si="132"/>
        <v>0</v>
      </c>
      <c r="PQ34" s="22">
        <f t="shared" si="133"/>
        <v>0</v>
      </c>
      <c r="PR34" s="22">
        <f t="shared" si="134"/>
        <v>0</v>
      </c>
      <c r="PS34" s="22">
        <f t="shared" si="135"/>
        <v>0</v>
      </c>
      <c r="PT34" s="22">
        <f t="shared" si="136"/>
        <v>0</v>
      </c>
      <c r="PU34" s="22">
        <f t="shared" si="137"/>
        <v>0</v>
      </c>
      <c r="PV34" s="22">
        <f t="shared" si="138"/>
        <v>0</v>
      </c>
      <c r="PW34" s="22">
        <f t="shared" si="139"/>
        <v>0</v>
      </c>
      <c r="PX34" s="22">
        <f t="shared" si="140"/>
        <v>0</v>
      </c>
      <c r="PY34" s="27" t="s">
        <v>46</v>
      </c>
      <c r="PZ34" s="40" t="str">
        <f t="shared" si="141"/>
        <v/>
      </c>
      <c r="QA34" s="40" t="str">
        <f t="shared" si="142"/>
        <v/>
      </c>
      <c r="QB34" s="40" t="str">
        <f t="shared" si="143"/>
        <v/>
      </c>
      <c r="QC34" s="40" t="str">
        <f t="shared" si="144"/>
        <v/>
      </c>
      <c r="QD34" s="40" t="str">
        <f t="shared" si="145"/>
        <v/>
      </c>
    </row>
    <row r="35" spans="1:446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144</v>
      </c>
      <c r="D35" s="4" t="s">
        <v>4</v>
      </c>
      <c r="E35" s="4">
        <v>2006</v>
      </c>
      <c r="F35" s="9">
        <f t="shared" si="0"/>
        <v>43.500004350004346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IF(COUNT(AM35,BI35,CE35)&gt;0,LARGE((AM35,BI35,CE35),1),0)</f>
        <v>43.5</v>
      </c>
      <c r="M35" s="8" t="str">
        <f t="shared" si="5"/>
        <v>2025 Nationals</v>
      </c>
      <c r="N35" s="8">
        <f>IF(COUNT(AM35,BI35,CE35)&gt;1,LARGE((AM35,BI35,CE35),2),0)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27"/>
      <c r="AL35" s="40" t="str">
        <f t="shared" si="12"/>
        <v/>
      </c>
      <c r="AM35" s="40" t="str">
        <f t="shared" si="13"/>
        <v/>
      </c>
      <c r="AN35" s="40" t="str">
        <f t="shared" si="14"/>
        <v/>
      </c>
      <c r="AO35" s="40" t="str">
        <f t="shared" si="15"/>
        <v/>
      </c>
      <c r="AP35" s="40" t="str">
        <f t="shared" si="16"/>
        <v/>
      </c>
      <c r="AQ35" s="18">
        <v>18.5</v>
      </c>
      <c r="AR35" s="18">
        <v>4.4000000000000004</v>
      </c>
      <c r="AS35" s="18">
        <v>0.8</v>
      </c>
      <c r="AT35" s="18">
        <v>0</v>
      </c>
      <c r="AU35" s="18">
        <v>18</v>
      </c>
      <c r="AV35" s="18">
        <v>3.6</v>
      </c>
      <c r="AW35" s="18">
        <v>0.2</v>
      </c>
      <c r="AX35" s="18">
        <v>0</v>
      </c>
      <c r="AY35" s="18"/>
      <c r="AZ35" s="18"/>
      <c r="BA35" s="18"/>
      <c r="BB35" s="18"/>
      <c r="BC35" s="18"/>
      <c r="BD35" s="18"/>
      <c r="BE35" s="18"/>
      <c r="BF35" s="18"/>
      <c r="BG35" s="28"/>
      <c r="BH35" s="11">
        <f t="shared" si="17"/>
        <v>8</v>
      </c>
      <c r="BI35" s="11">
        <f t="shared" si="18"/>
        <v>43.5</v>
      </c>
      <c r="BJ35" s="11" t="str">
        <f t="shared" si="19"/>
        <v/>
      </c>
      <c r="BK35" s="11" t="str">
        <f t="shared" si="20"/>
        <v/>
      </c>
      <c r="BL35" s="11">
        <f t="shared" si="21"/>
        <v>43.5</v>
      </c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27"/>
      <c r="CD35" s="40" t="str">
        <f t="shared" si="22"/>
        <v/>
      </c>
      <c r="CE35" s="40" t="str">
        <f t="shared" si="23"/>
        <v/>
      </c>
      <c r="CF35" s="40" t="str">
        <f t="shared" si="24"/>
        <v/>
      </c>
      <c r="CG35" s="40" t="str">
        <f t="shared" si="25"/>
        <v/>
      </c>
      <c r="CH35" s="40" t="str">
        <f t="shared" si="26"/>
        <v/>
      </c>
      <c r="CI35" s="50" t="str">
        <f t="shared" si="27"/>
        <v/>
      </c>
      <c r="CJ35" s="50" t="str">
        <f t="shared" si="28"/>
        <v/>
      </c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40" t="str">
        <f t="shared" si="29"/>
        <v/>
      </c>
      <c r="DF35" s="40" t="str">
        <f t="shared" si="30"/>
        <v/>
      </c>
      <c r="DG35" s="40" t="str">
        <f t="shared" si="31"/>
        <v/>
      </c>
      <c r="DH35" s="40" t="str">
        <f t="shared" si="32"/>
        <v/>
      </c>
      <c r="DI35" s="40" t="str">
        <f t="shared" si="33"/>
        <v/>
      </c>
      <c r="DJ35" s="40" t="str">
        <f t="shared" si="34"/>
        <v/>
      </c>
      <c r="DK35" s="40" t="str">
        <f t="shared" si="35"/>
        <v/>
      </c>
      <c r="DL35" s="40" t="str">
        <f t="shared" si="36"/>
        <v/>
      </c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1" t="str">
        <f t="shared" si="37"/>
        <v/>
      </c>
      <c r="EH35" s="11" t="str">
        <f t="shared" si="38"/>
        <v/>
      </c>
      <c r="EI35" s="11" t="str">
        <f t="shared" si="39"/>
        <v/>
      </c>
      <c r="EJ35" s="11" t="str">
        <f t="shared" si="40"/>
        <v/>
      </c>
      <c r="EK35" s="11" t="str">
        <f t="shared" si="41"/>
        <v/>
      </c>
      <c r="EL35" s="11" t="str">
        <f t="shared" si="42"/>
        <v/>
      </c>
      <c r="EM35" s="11" t="str">
        <f t="shared" si="43"/>
        <v/>
      </c>
      <c r="EN35" s="11" t="str">
        <f t="shared" si="44"/>
        <v/>
      </c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40" t="str">
        <f t="shared" si="45"/>
        <v/>
      </c>
      <c r="FJ35" s="40" t="str">
        <f t="shared" si="46"/>
        <v/>
      </c>
      <c r="FK35" s="40" t="str">
        <f t="shared" si="47"/>
        <v/>
      </c>
      <c r="FL35" s="40" t="str">
        <f t="shared" si="48"/>
        <v/>
      </c>
      <c r="FM35" s="40" t="str">
        <f t="shared" si="49"/>
        <v/>
      </c>
      <c r="FN35" s="40" t="str">
        <f t="shared" si="50"/>
        <v/>
      </c>
      <c r="FO35" s="40" t="str">
        <f t="shared" si="51"/>
        <v/>
      </c>
      <c r="FP35" s="40" t="str">
        <f t="shared" si="52"/>
        <v/>
      </c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1" t="str">
        <f t="shared" si="53"/>
        <v/>
      </c>
      <c r="GL35" s="11" t="str">
        <f t="shared" si="54"/>
        <v/>
      </c>
      <c r="GM35" s="11" t="str">
        <f t="shared" si="55"/>
        <v/>
      </c>
      <c r="GN35" s="11" t="str">
        <f t="shared" si="56"/>
        <v/>
      </c>
      <c r="GO35" s="11" t="str">
        <f t="shared" si="57"/>
        <v/>
      </c>
      <c r="GP35" s="11" t="str">
        <f t="shared" si="58"/>
        <v/>
      </c>
      <c r="GQ35" s="11" t="str">
        <f t="shared" si="59"/>
        <v/>
      </c>
      <c r="GR35" s="11" t="str">
        <f t="shared" si="60"/>
        <v/>
      </c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40" t="str">
        <f t="shared" si="61"/>
        <v/>
      </c>
      <c r="HN35" s="40" t="str">
        <f t="shared" si="62"/>
        <v/>
      </c>
      <c r="HO35" s="40" t="str">
        <f t="shared" si="63"/>
        <v/>
      </c>
      <c r="HP35" s="40" t="str">
        <f t="shared" si="64"/>
        <v/>
      </c>
      <c r="HQ35" s="40" t="str">
        <f t="shared" si="65"/>
        <v/>
      </c>
      <c r="HR35" s="40" t="str">
        <f t="shared" si="66"/>
        <v/>
      </c>
      <c r="HS35" s="40" t="str">
        <f t="shared" si="67"/>
        <v/>
      </c>
      <c r="HT35" s="40" t="str">
        <f t="shared" si="68"/>
        <v/>
      </c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1" t="str">
        <f t="shared" si="69"/>
        <v/>
      </c>
      <c r="IP35" s="11" t="str">
        <f t="shared" si="70"/>
        <v/>
      </c>
      <c r="IQ35" s="11" t="str">
        <f t="shared" si="71"/>
        <v/>
      </c>
      <c r="IR35" s="11" t="str">
        <f t="shared" si="72"/>
        <v/>
      </c>
      <c r="IS35" s="11" t="str">
        <f t="shared" si="73"/>
        <v/>
      </c>
      <c r="IT35" s="11" t="str">
        <f t="shared" si="74"/>
        <v/>
      </c>
      <c r="IU35" s="11" t="str">
        <f t="shared" si="75"/>
        <v/>
      </c>
      <c r="IV35" s="11" t="str">
        <f t="shared" si="76"/>
        <v/>
      </c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40" t="str">
        <f t="shared" si="77"/>
        <v/>
      </c>
      <c r="JR35" s="40" t="str">
        <f t="shared" si="78"/>
        <v/>
      </c>
      <c r="JS35" s="40" t="str">
        <f t="shared" si="79"/>
        <v/>
      </c>
      <c r="JT35" s="40" t="str">
        <f t="shared" si="80"/>
        <v/>
      </c>
      <c r="JU35" s="40" t="str">
        <f t="shared" si="81"/>
        <v/>
      </c>
      <c r="JV35" s="40" t="str">
        <f t="shared" si="82"/>
        <v/>
      </c>
      <c r="JW35" s="40" t="str">
        <f t="shared" si="83"/>
        <v/>
      </c>
      <c r="JX35" s="40" t="str">
        <f t="shared" si="84"/>
        <v/>
      </c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1" t="str">
        <f t="shared" si="85"/>
        <v/>
      </c>
      <c r="KT35" s="11" t="str">
        <f t="shared" si="86"/>
        <v/>
      </c>
      <c r="KU35" s="11" t="str">
        <f t="shared" si="87"/>
        <v/>
      </c>
      <c r="KV35" s="11" t="str">
        <f t="shared" si="88"/>
        <v/>
      </c>
      <c r="KW35" s="11" t="str">
        <f t="shared" si="89"/>
        <v/>
      </c>
      <c r="KX35" s="11" t="str">
        <f t="shared" si="90"/>
        <v/>
      </c>
      <c r="KY35" s="11" t="str">
        <f t="shared" si="91"/>
        <v/>
      </c>
      <c r="KZ35" s="11" t="str">
        <f t="shared" si="92"/>
        <v/>
      </c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40" t="str">
        <f t="shared" si="93"/>
        <v/>
      </c>
      <c r="LV35" s="40" t="str">
        <f t="shared" si="94"/>
        <v/>
      </c>
      <c r="LW35" s="40" t="str">
        <f t="shared" si="95"/>
        <v/>
      </c>
      <c r="LX35" s="40" t="str">
        <f t="shared" si="96"/>
        <v/>
      </c>
      <c r="LY35" s="40" t="str">
        <f t="shared" si="97"/>
        <v/>
      </c>
      <c r="LZ35" s="40" t="str">
        <f t="shared" si="98"/>
        <v/>
      </c>
      <c r="MA35" s="40" t="str">
        <f t="shared" si="99"/>
        <v/>
      </c>
      <c r="MB35" s="40" t="str">
        <f t="shared" si="100"/>
        <v/>
      </c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1" t="str">
        <f t="shared" si="101"/>
        <v/>
      </c>
      <c r="MX35" s="11" t="str">
        <f t="shared" si="102"/>
        <v/>
      </c>
      <c r="MY35" s="11" t="str">
        <f t="shared" si="103"/>
        <v/>
      </c>
      <c r="MZ35" s="11" t="str">
        <f t="shared" si="104"/>
        <v/>
      </c>
      <c r="NA35" s="11" t="str">
        <f t="shared" si="105"/>
        <v/>
      </c>
      <c r="NB35" s="11" t="str">
        <f t="shared" si="106"/>
        <v/>
      </c>
      <c r="NC35" s="11" t="str">
        <f t="shared" si="107"/>
        <v/>
      </c>
      <c r="ND35" s="11" t="str">
        <f t="shared" si="108"/>
        <v/>
      </c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40" t="str">
        <f t="shared" si="109"/>
        <v/>
      </c>
      <c r="NZ35" s="40" t="str">
        <f t="shared" si="110"/>
        <v/>
      </c>
      <c r="OA35" s="40" t="str">
        <f t="shared" si="111"/>
        <v/>
      </c>
      <c r="OB35" s="40" t="str">
        <f t="shared" si="112"/>
        <v/>
      </c>
      <c r="OC35" s="40" t="str">
        <f t="shared" si="113"/>
        <v/>
      </c>
      <c r="OD35" s="40" t="str">
        <f t="shared" si="114"/>
        <v/>
      </c>
      <c r="OE35" s="40" t="str">
        <f t="shared" si="115"/>
        <v/>
      </c>
      <c r="OF35" s="40" t="str">
        <f t="shared" si="116"/>
        <v/>
      </c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1" t="str">
        <f t="shared" si="117"/>
        <v/>
      </c>
      <c r="PB35" s="11" t="str">
        <f t="shared" si="118"/>
        <v/>
      </c>
      <c r="PC35" s="11" t="str">
        <f t="shared" si="119"/>
        <v/>
      </c>
      <c r="PD35" s="11" t="str">
        <f t="shared" si="120"/>
        <v/>
      </c>
      <c r="PE35" s="11" t="str">
        <f t="shared" si="121"/>
        <v/>
      </c>
      <c r="PF35" s="11" t="str">
        <f t="shared" si="122"/>
        <v/>
      </c>
      <c r="PG35" s="11" t="str">
        <f t="shared" si="123"/>
        <v/>
      </c>
      <c r="PH35" s="11" t="str">
        <f t="shared" si="124"/>
        <v/>
      </c>
      <c r="PI35" s="22">
        <f t="shared" si="125"/>
        <v>0</v>
      </c>
      <c r="PJ35" s="22">
        <f t="shared" si="126"/>
        <v>0</v>
      </c>
      <c r="PK35" s="22">
        <f t="shared" si="127"/>
        <v>0</v>
      </c>
      <c r="PL35" s="22">
        <f t="shared" si="128"/>
        <v>0</v>
      </c>
      <c r="PM35" s="22">
        <f t="shared" si="129"/>
        <v>0</v>
      </c>
      <c r="PN35" s="22">
        <f t="shared" si="130"/>
        <v>0</v>
      </c>
      <c r="PO35" s="22">
        <f t="shared" si="131"/>
        <v>0</v>
      </c>
      <c r="PP35" s="22">
        <f t="shared" si="132"/>
        <v>0</v>
      </c>
      <c r="PQ35" s="22">
        <f t="shared" si="133"/>
        <v>0</v>
      </c>
      <c r="PR35" s="22">
        <f t="shared" si="134"/>
        <v>0</v>
      </c>
      <c r="PS35" s="22">
        <f t="shared" si="135"/>
        <v>0</v>
      </c>
      <c r="PT35" s="22">
        <f t="shared" si="136"/>
        <v>0</v>
      </c>
      <c r="PU35" s="22">
        <f t="shared" si="137"/>
        <v>0</v>
      </c>
      <c r="PV35" s="22">
        <f t="shared" si="138"/>
        <v>0</v>
      </c>
      <c r="PW35" s="22">
        <f t="shared" si="139"/>
        <v>0</v>
      </c>
      <c r="PX35" s="22">
        <f t="shared" si="140"/>
        <v>0</v>
      </c>
      <c r="PY35" s="27" t="s">
        <v>46</v>
      </c>
      <c r="PZ35" s="40" t="str">
        <f t="shared" si="141"/>
        <v/>
      </c>
      <c r="QA35" s="40" t="str">
        <f t="shared" si="142"/>
        <v/>
      </c>
      <c r="QB35" s="40" t="str">
        <f t="shared" si="143"/>
        <v/>
      </c>
      <c r="QC35" s="40" t="str">
        <f t="shared" si="144"/>
        <v/>
      </c>
      <c r="QD35" s="40" t="str">
        <f t="shared" si="145"/>
        <v/>
      </c>
    </row>
    <row r="36" spans="1:446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143</v>
      </c>
      <c r="D36" s="4" t="s">
        <v>3</v>
      </c>
      <c r="E36" s="4">
        <v>2006</v>
      </c>
      <c r="F36" s="9">
        <f t="shared" si="0"/>
        <v>43.300004330004334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IF(COUNT(AM36,BI36,CE36)&gt;0,LARGE((AM36,BI36,CE36),1),0)</f>
        <v>43.300000000000004</v>
      </c>
      <c r="M36" s="8" t="str">
        <f t="shared" si="5"/>
        <v>2025 Nationals</v>
      </c>
      <c r="N36" s="8">
        <f>IF(COUNT(AM36,BI36,CE36)&gt;1,LARGE((AM36,BI36,CE36),2),0)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27"/>
      <c r="AL36" s="40" t="str">
        <f t="shared" si="12"/>
        <v/>
      </c>
      <c r="AM36" s="40" t="str">
        <f t="shared" si="13"/>
        <v/>
      </c>
      <c r="AN36" s="40" t="str">
        <f t="shared" si="14"/>
        <v/>
      </c>
      <c r="AO36" s="40" t="str">
        <f t="shared" si="15"/>
        <v/>
      </c>
      <c r="AP36" s="40" t="str">
        <f t="shared" si="16"/>
        <v/>
      </c>
      <c r="AQ36" s="18">
        <v>19.100000000000001</v>
      </c>
      <c r="AR36" s="18">
        <v>3.1</v>
      </c>
      <c r="AS36" s="18">
        <v>0.6</v>
      </c>
      <c r="AT36" s="18">
        <v>0</v>
      </c>
      <c r="AU36" s="18">
        <v>18.8</v>
      </c>
      <c r="AV36" s="18">
        <v>3.2</v>
      </c>
      <c r="AW36" s="18">
        <v>0.3</v>
      </c>
      <c r="AX36" s="18">
        <v>0</v>
      </c>
      <c r="AY36" s="18"/>
      <c r="AZ36" s="18"/>
      <c r="BA36" s="18"/>
      <c r="BB36" s="18"/>
      <c r="BC36" s="18"/>
      <c r="BD36" s="18"/>
      <c r="BE36" s="18"/>
      <c r="BF36" s="18"/>
      <c r="BG36" s="28"/>
      <c r="BH36" s="11">
        <f t="shared" si="17"/>
        <v>6.3000000000000007</v>
      </c>
      <c r="BI36" s="11">
        <f t="shared" si="18"/>
        <v>43.300000000000004</v>
      </c>
      <c r="BJ36" s="11" t="str">
        <f t="shared" si="19"/>
        <v/>
      </c>
      <c r="BK36" s="11" t="str">
        <f t="shared" si="20"/>
        <v/>
      </c>
      <c r="BL36" s="11">
        <f t="shared" si="21"/>
        <v>43.300000000000004</v>
      </c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27"/>
      <c r="CD36" s="40" t="str">
        <f t="shared" si="22"/>
        <v/>
      </c>
      <c r="CE36" s="40" t="str">
        <f t="shared" si="23"/>
        <v/>
      </c>
      <c r="CF36" s="40" t="str">
        <f t="shared" si="24"/>
        <v/>
      </c>
      <c r="CG36" s="40" t="str">
        <f t="shared" si="25"/>
        <v/>
      </c>
      <c r="CH36" s="40" t="str">
        <f t="shared" si="26"/>
        <v/>
      </c>
      <c r="CI36" s="50" t="str">
        <f t="shared" si="27"/>
        <v/>
      </c>
      <c r="CJ36" s="50" t="str">
        <f t="shared" si="28"/>
        <v/>
      </c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40" t="str">
        <f t="shared" si="29"/>
        <v/>
      </c>
      <c r="DF36" s="40" t="str">
        <f t="shared" si="30"/>
        <v/>
      </c>
      <c r="DG36" s="40" t="str">
        <f t="shared" si="31"/>
        <v/>
      </c>
      <c r="DH36" s="40" t="str">
        <f t="shared" si="32"/>
        <v/>
      </c>
      <c r="DI36" s="40" t="str">
        <f t="shared" si="33"/>
        <v/>
      </c>
      <c r="DJ36" s="40" t="str">
        <f t="shared" si="34"/>
        <v/>
      </c>
      <c r="DK36" s="40" t="str">
        <f t="shared" si="35"/>
        <v/>
      </c>
      <c r="DL36" s="40" t="str">
        <f t="shared" si="36"/>
        <v/>
      </c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1" t="str">
        <f t="shared" si="37"/>
        <v/>
      </c>
      <c r="EH36" s="11" t="str">
        <f t="shared" si="38"/>
        <v/>
      </c>
      <c r="EI36" s="11" t="str">
        <f t="shared" si="39"/>
        <v/>
      </c>
      <c r="EJ36" s="11" t="str">
        <f t="shared" si="40"/>
        <v/>
      </c>
      <c r="EK36" s="11" t="str">
        <f t="shared" si="41"/>
        <v/>
      </c>
      <c r="EL36" s="11" t="str">
        <f t="shared" si="42"/>
        <v/>
      </c>
      <c r="EM36" s="11" t="str">
        <f t="shared" si="43"/>
        <v/>
      </c>
      <c r="EN36" s="11" t="str">
        <f t="shared" si="44"/>
        <v/>
      </c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40" t="str">
        <f t="shared" si="45"/>
        <v/>
      </c>
      <c r="FJ36" s="40" t="str">
        <f t="shared" si="46"/>
        <v/>
      </c>
      <c r="FK36" s="40" t="str">
        <f t="shared" si="47"/>
        <v/>
      </c>
      <c r="FL36" s="40" t="str">
        <f t="shared" si="48"/>
        <v/>
      </c>
      <c r="FM36" s="40" t="str">
        <f t="shared" si="49"/>
        <v/>
      </c>
      <c r="FN36" s="40" t="str">
        <f t="shared" si="50"/>
        <v/>
      </c>
      <c r="FO36" s="40" t="str">
        <f t="shared" si="51"/>
        <v/>
      </c>
      <c r="FP36" s="40" t="str">
        <f t="shared" si="52"/>
        <v/>
      </c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1" t="str">
        <f t="shared" si="53"/>
        <v/>
      </c>
      <c r="GL36" s="11" t="str">
        <f t="shared" si="54"/>
        <v/>
      </c>
      <c r="GM36" s="11" t="str">
        <f t="shared" si="55"/>
        <v/>
      </c>
      <c r="GN36" s="11" t="str">
        <f t="shared" si="56"/>
        <v/>
      </c>
      <c r="GO36" s="11" t="str">
        <f t="shared" si="57"/>
        <v/>
      </c>
      <c r="GP36" s="11" t="str">
        <f t="shared" si="58"/>
        <v/>
      </c>
      <c r="GQ36" s="11" t="str">
        <f t="shared" si="59"/>
        <v/>
      </c>
      <c r="GR36" s="11" t="str">
        <f t="shared" si="60"/>
        <v/>
      </c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40" t="str">
        <f t="shared" si="61"/>
        <v/>
      </c>
      <c r="HN36" s="40" t="str">
        <f t="shared" si="62"/>
        <v/>
      </c>
      <c r="HO36" s="40" t="str">
        <f t="shared" si="63"/>
        <v/>
      </c>
      <c r="HP36" s="40" t="str">
        <f t="shared" si="64"/>
        <v/>
      </c>
      <c r="HQ36" s="40" t="str">
        <f t="shared" si="65"/>
        <v/>
      </c>
      <c r="HR36" s="40" t="str">
        <f t="shared" si="66"/>
        <v/>
      </c>
      <c r="HS36" s="40" t="str">
        <f t="shared" si="67"/>
        <v/>
      </c>
      <c r="HT36" s="40" t="str">
        <f t="shared" si="68"/>
        <v/>
      </c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1" t="str">
        <f t="shared" si="69"/>
        <v/>
      </c>
      <c r="IP36" s="11" t="str">
        <f t="shared" si="70"/>
        <v/>
      </c>
      <c r="IQ36" s="11" t="str">
        <f t="shared" si="71"/>
        <v/>
      </c>
      <c r="IR36" s="11" t="str">
        <f t="shared" si="72"/>
        <v/>
      </c>
      <c r="IS36" s="11" t="str">
        <f t="shared" si="73"/>
        <v/>
      </c>
      <c r="IT36" s="11" t="str">
        <f t="shared" si="74"/>
        <v/>
      </c>
      <c r="IU36" s="11" t="str">
        <f t="shared" si="75"/>
        <v/>
      </c>
      <c r="IV36" s="11" t="str">
        <f t="shared" si="76"/>
        <v/>
      </c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40" t="str">
        <f t="shared" si="77"/>
        <v/>
      </c>
      <c r="JR36" s="40" t="str">
        <f t="shared" si="78"/>
        <v/>
      </c>
      <c r="JS36" s="40" t="str">
        <f t="shared" si="79"/>
        <v/>
      </c>
      <c r="JT36" s="40" t="str">
        <f t="shared" si="80"/>
        <v/>
      </c>
      <c r="JU36" s="40" t="str">
        <f t="shared" si="81"/>
        <v/>
      </c>
      <c r="JV36" s="40" t="str">
        <f t="shared" si="82"/>
        <v/>
      </c>
      <c r="JW36" s="40" t="str">
        <f t="shared" si="83"/>
        <v/>
      </c>
      <c r="JX36" s="40" t="str">
        <f t="shared" si="84"/>
        <v/>
      </c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8"/>
      <c r="KM36" s="18"/>
      <c r="KN36" s="18"/>
      <c r="KO36" s="18"/>
      <c r="KP36" s="18"/>
      <c r="KQ36" s="18"/>
      <c r="KR36" s="18"/>
      <c r="KS36" s="11" t="str">
        <f t="shared" si="85"/>
        <v/>
      </c>
      <c r="KT36" s="11" t="str">
        <f t="shared" si="86"/>
        <v/>
      </c>
      <c r="KU36" s="11" t="str">
        <f t="shared" si="87"/>
        <v/>
      </c>
      <c r="KV36" s="11" t="str">
        <f t="shared" si="88"/>
        <v/>
      </c>
      <c r="KW36" s="11" t="str">
        <f t="shared" si="89"/>
        <v/>
      </c>
      <c r="KX36" s="11" t="str">
        <f t="shared" si="90"/>
        <v/>
      </c>
      <c r="KY36" s="11" t="str">
        <f t="shared" si="91"/>
        <v/>
      </c>
      <c r="KZ36" s="11" t="str">
        <f t="shared" si="92"/>
        <v/>
      </c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40" t="str">
        <f t="shared" si="93"/>
        <v/>
      </c>
      <c r="LV36" s="40" t="str">
        <f t="shared" si="94"/>
        <v/>
      </c>
      <c r="LW36" s="40" t="str">
        <f t="shared" si="95"/>
        <v/>
      </c>
      <c r="LX36" s="40" t="str">
        <f t="shared" si="96"/>
        <v/>
      </c>
      <c r="LY36" s="40" t="str">
        <f t="shared" si="97"/>
        <v/>
      </c>
      <c r="LZ36" s="40" t="str">
        <f t="shared" si="98"/>
        <v/>
      </c>
      <c r="MA36" s="40" t="str">
        <f t="shared" si="99"/>
        <v/>
      </c>
      <c r="MB36" s="40" t="str">
        <f t="shared" si="100"/>
        <v/>
      </c>
      <c r="MC36" s="18"/>
      <c r="MD36" s="18"/>
      <c r="ME36" s="18"/>
      <c r="MF36" s="18"/>
      <c r="MG36" s="18"/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1" t="str">
        <f t="shared" si="101"/>
        <v/>
      </c>
      <c r="MX36" s="11" t="str">
        <f t="shared" si="102"/>
        <v/>
      </c>
      <c r="MY36" s="11" t="str">
        <f t="shared" si="103"/>
        <v/>
      </c>
      <c r="MZ36" s="11" t="str">
        <f t="shared" si="104"/>
        <v/>
      </c>
      <c r="NA36" s="11" t="str">
        <f t="shared" si="105"/>
        <v/>
      </c>
      <c r="NB36" s="11" t="str">
        <f t="shared" si="106"/>
        <v/>
      </c>
      <c r="NC36" s="11" t="str">
        <f t="shared" si="107"/>
        <v/>
      </c>
      <c r="ND36" s="11" t="str">
        <f t="shared" si="108"/>
        <v/>
      </c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40" t="str">
        <f t="shared" si="109"/>
        <v/>
      </c>
      <c r="NZ36" s="40" t="str">
        <f t="shared" si="110"/>
        <v/>
      </c>
      <c r="OA36" s="40" t="str">
        <f t="shared" si="111"/>
        <v/>
      </c>
      <c r="OB36" s="40" t="str">
        <f t="shared" si="112"/>
        <v/>
      </c>
      <c r="OC36" s="40" t="str">
        <f t="shared" si="113"/>
        <v/>
      </c>
      <c r="OD36" s="40" t="str">
        <f t="shared" si="114"/>
        <v/>
      </c>
      <c r="OE36" s="40" t="str">
        <f t="shared" si="115"/>
        <v/>
      </c>
      <c r="OF36" s="40" t="str">
        <f t="shared" si="116"/>
        <v/>
      </c>
      <c r="OG36" s="18"/>
      <c r="OH36" s="18"/>
      <c r="OI36" s="18"/>
      <c r="OJ36" s="18"/>
      <c r="OK36" s="18"/>
      <c r="OL36" s="18"/>
      <c r="OM36" s="18"/>
      <c r="ON36" s="18"/>
      <c r="OO36" s="18"/>
      <c r="OP36" s="18"/>
      <c r="OQ36" s="18"/>
      <c r="OR36" s="18"/>
      <c r="OS36" s="18"/>
      <c r="OT36" s="18"/>
      <c r="OU36" s="18"/>
      <c r="OV36" s="18"/>
      <c r="OW36" s="18"/>
      <c r="OX36" s="18"/>
      <c r="OY36" s="18"/>
      <c r="OZ36" s="18"/>
      <c r="PA36" s="11" t="str">
        <f t="shared" si="117"/>
        <v/>
      </c>
      <c r="PB36" s="11" t="str">
        <f t="shared" si="118"/>
        <v/>
      </c>
      <c r="PC36" s="11" t="str">
        <f t="shared" si="119"/>
        <v/>
      </c>
      <c r="PD36" s="11" t="str">
        <f t="shared" si="120"/>
        <v/>
      </c>
      <c r="PE36" s="11" t="str">
        <f t="shared" si="121"/>
        <v/>
      </c>
      <c r="PF36" s="11" t="str">
        <f t="shared" si="122"/>
        <v/>
      </c>
      <c r="PG36" s="11" t="str">
        <f t="shared" si="123"/>
        <v/>
      </c>
      <c r="PH36" s="11" t="str">
        <f t="shared" si="124"/>
        <v/>
      </c>
      <c r="PI36" s="22">
        <f t="shared" si="125"/>
        <v>0</v>
      </c>
      <c r="PJ36" s="22">
        <f t="shared" si="126"/>
        <v>0</v>
      </c>
      <c r="PK36" s="22">
        <f t="shared" si="127"/>
        <v>0</v>
      </c>
      <c r="PL36" s="22">
        <f t="shared" si="128"/>
        <v>0</v>
      </c>
      <c r="PM36" s="22">
        <f t="shared" si="129"/>
        <v>0</v>
      </c>
      <c r="PN36" s="22">
        <f t="shared" si="130"/>
        <v>0</v>
      </c>
      <c r="PO36" s="22">
        <f t="shared" si="131"/>
        <v>0</v>
      </c>
      <c r="PP36" s="22">
        <f t="shared" si="132"/>
        <v>0</v>
      </c>
      <c r="PQ36" s="22">
        <f t="shared" si="133"/>
        <v>0</v>
      </c>
      <c r="PR36" s="22">
        <f t="shared" si="134"/>
        <v>0</v>
      </c>
      <c r="PS36" s="22">
        <f t="shared" si="135"/>
        <v>0</v>
      </c>
      <c r="PT36" s="22">
        <f t="shared" si="136"/>
        <v>0</v>
      </c>
      <c r="PU36" s="22">
        <f t="shared" si="137"/>
        <v>0</v>
      </c>
      <c r="PV36" s="22">
        <f t="shared" si="138"/>
        <v>0</v>
      </c>
      <c r="PW36" s="22">
        <f t="shared" si="139"/>
        <v>0</v>
      </c>
      <c r="PX36" s="22">
        <f t="shared" si="140"/>
        <v>0</v>
      </c>
      <c r="PY36" s="27" t="s">
        <v>46</v>
      </c>
      <c r="PZ36" s="40" t="str">
        <f t="shared" si="141"/>
        <v/>
      </c>
      <c r="QA36" s="40" t="str">
        <f t="shared" si="142"/>
        <v/>
      </c>
      <c r="QB36" s="40" t="str">
        <f t="shared" si="143"/>
        <v/>
      </c>
      <c r="QC36" s="40" t="str">
        <f t="shared" si="144"/>
        <v/>
      </c>
      <c r="QD36" s="40" t="str">
        <f t="shared" si="145"/>
        <v/>
      </c>
    </row>
    <row r="37" spans="1:446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179</v>
      </c>
      <c r="D37" s="4" t="s">
        <v>4</v>
      </c>
      <c r="E37" s="4">
        <v>2006</v>
      </c>
      <c r="F37" s="9">
        <f t="shared" si="0"/>
        <v>42.700004270004271</v>
      </c>
      <c r="G37" s="64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IF(COUNT(AM37,BI37,CE37)&gt;0,LARGE((AM37,BI37,CE37),1),0)</f>
        <v>42.7</v>
      </c>
      <c r="M37" s="8" t="str">
        <f t="shared" si="5"/>
        <v>2025 Nationals</v>
      </c>
      <c r="N37" s="8">
        <f>IF(COUNT(AM37,BI37,CE37)&gt;1,LARGE((AM37,BI37,CE37),2),0)</f>
        <v>0</v>
      </c>
      <c r="O37" s="8" t="str">
        <f t="shared" si="6"/>
        <v/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27"/>
      <c r="AL37" s="40" t="str">
        <f t="shared" si="12"/>
        <v/>
      </c>
      <c r="AM37" s="40" t="str">
        <f t="shared" si="13"/>
        <v/>
      </c>
      <c r="AN37" s="40" t="str">
        <f t="shared" si="14"/>
        <v/>
      </c>
      <c r="AO37" s="40" t="str">
        <f t="shared" si="15"/>
        <v/>
      </c>
      <c r="AP37" s="40" t="str">
        <f t="shared" si="16"/>
        <v/>
      </c>
      <c r="AQ37" s="18">
        <v>17.3</v>
      </c>
      <c r="AR37" s="18">
        <v>3.5</v>
      </c>
      <c r="AS37" s="18">
        <v>0.6</v>
      </c>
      <c r="AT37" s="18">
        <v>0</v>
      </c>
      <c r="AU37" s="18">
        <v>18.899999999999999</v>
      </c>
      <c r="AV37" s="18">
        <v>3.6</v>
      </c>
      <c r="AW37" s="18">
        <v>0</v>
      </c>
      <c r="AX37" s="18">
        <v>0</v>
      </c>
      <c r="AY37" s="18" t="s">
        <v>173</v>
      </c>
      <c r="AZ37" s="18" t="s">
        <v>173</v>
      </c>
      <c r="BA37" s="18" t="s">
        <v>173</v>
      </c>
      <c r="BB37" s="18" t="s">
        <v>173</v>
      </c>
      <c r="BC37" s="18" t="s">
        <v>173</v>
      </c>
      <c r="BD37" s="18" t="s">
        <v>173</v>
      </c>
      <c r="BE37" s="18" t="s">
        <v>173</v>
      </c>
      <c r="BF37" s="18" t="s">
        <v>173</v>
      </c>
      <c r="BG37" s="28"/>
      <c r="BH37" s="11">
        <f t="shared" si="17"/>
        <v>7.1</v>
      </c>
      <c r="BI37" s="11">
        <f t="shared" si="18"/>
        <v>42.7</v>
      </c>
      <c r="BJ37" s="11" t="str">
        <f t="shared" si="19"/>
        <v/>
      </c>
      <c r="BK37" s="11" t="str">
        <f t="shared" si="20"/>
        <v/>
      </c>
      <c r="BL37" s="11">
        <f t="shared" si="21"/>
        <v>42.7</v>
      </c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27"/>
      <c r="CD37" s="40" t="str">
        <f t="shared" si="22"/>
        <v/>
      </c>
      <c r="CE37" s="40" t="str">
        <f t="shared" si="23"/>
        <v/>
      </c>
      <c r="CF37" s="40" t="str">
        <f t="shared" si="24"/>
        <v/>
      </c>
      <c r="CG37" s="40" t="str">
        <f t="shared" si="25"/>
        <v/>
      </c>
      <c r="CH37" s="40" t="str">
        <f t="shared" si="26"/>
        <v/>
      </c>
      <c r="CI37" s="50" t="str">
        <f t="shared" si="27"/>
        <v/>
      </c>
      <c r="CJ37" s="50" t="str">
        <f t="shared" si="28"/>
        <v/>
      </c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40" t="str">
        <f t="shared" si="29"/>
        <v/>
      </c>
      <c r="DF37" s="40" t="str">
        <f t="shared" si="30"/>
        <v/>
      </c>
      <c r="DG37" s="40" t="str">
        <f t="shared" si="31"/>
        <v/>
      </c>
      <c r="DH37" s="40" t="str">
        <f t="shared" si="32"/>
        <v/>
      </c>
      <c r="DI37" s="40" t="str">
        <f t="shared" si="33"/>
        <v/>
      </c>
      <c r="DJ37" s="40" t="str">
        <f t="shared" si="34"/>
        <v/>
      </c>
      <c r="DK37" s="40" t="str">
        <f t="shared" si="35"/>
        <v/>
      </c>
      <c r="DL37" s="40" t="str">
        <f t="shared" si="36"/>
        <v/>
      </c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1" t="str">
        <f t="shared" si="37"/>
        <v/>
      </c>
      <c r="EH37" s="11" t="str">
        <f t="shared" si="38"/>
        <v/>
      </c>
      <c r="EI37" s="11" t="str">
        <f t="shared" si="39"/>
        <v/>
      </c>
      <c r="EJ37" s="11" t="str">
        <f t="shared" si="40"/>
        <v/>
      </c>
      <c r="EK37" s="11" t="str">
        <f t="shared" si="41"/>
        <v/>
      </c>
      <c r="EL37" s="11" t="str">
        <f t="shared" si="42"/>
        <v/>
      </c>
      <c r="EM37" s="11" t="str">
        <f t="shared" si="43"/>
        <v/>
      </c>
      <c r="EN37" s="11" t="str">
        <f t="shared" si="44"/>
        <v/>
      </c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40" t="str">
        <f t="shared" si="45"/>
        <v/>
      </c>
      <c r="FJ37" s="40" t="str">
        <f t="shared" si="46"/>
        <v/>
      </c>
      <c r="FK37" s="40" t="str">
        <f t="shared" si="47"/>
        <v/>
      </c>
      <c r="FL37" s="40" t="str">
        <f t="shared" si="48"/>
        <v/>
      </c>
      <c r="FM37" s="40" t="str">
        <f t="shared" si="49"/>
        <v/>
      </c>
      <c r="FN37" s="40" t="str">
        <f t="shared" si="50"/>
        <v/>
      </c>
      <c r="FO37" s="40" t="str">
        <f t="shared" si="51"/>
        <v/>
      </c>
      <c r="FP37" s="40" t="str">
        <f t="shared" si="52"/>
        <v/>
      </c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1" t="str">
        <f t="shared" si="53"/>
        <v/>
      </c>
      <c r="GL37" s="11" t="str">
        <f t="shared" si="54"/>
        <v/>
      </c>
      <c r="GM37" s="11" t="str">
        <f t="shared" si="55"/>
        <v/>
      </c>
      <c r="GN37" s="11" t="str">
        <f t="shared" si="56"/>
        <v/>
      </c>
      <c r="GO37" s="11" t="str">
        <f t="shared" si="57"/>
        <v/>
      </c>
      <c r="GP37" s="11" t="str">
        <f t="shared" si="58"/>
        <v/>
      </c>
      <c r="GQ37" s="11" t="str">
        <f t="shared" si="59"/>
        <v/>
      </c>
      <c r="GR37" s="11" t="str">
        <f t="shared" si="60"/>
        <v/>
      </c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40" t="str">
        <f t="shared" si="61"/>
        <v/>
      </c>
      <c r="HN37" s="40" t="str">
        <f t="shared" si="62"/>
        <v/>
      </c>
      <c r="HO37" s="40" t="str">
        <f t="shared" si="63"/>
        <v/>
      </c>
      <c r="HP37" s="40" t="str">
        <f t="shared" si="64"/>
        <v/>
      </c>
      <c r="HQ37" s="40" t="str">
        <f t="shared" si="65"/>
        <v/>
      </c>
      <c r="HR37" s="40" t="str">
        <f t="shared" si="66"/>
        <v/>
      </c>
      <c r="HS37" s="40" t="str">
        <f t="shared" si="67"/>
        <v/>
      </c>
      <c r="HT37" s="40" t="str">
        <f t="shared" si="68"/>
        <v/>
      </c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1" t="str">
        <f t="shared" si="69"/>
        <v/>
      </c>
      <c r="IP37" s="11" t="str">
        <f t="shared" si="70"/>
        <v/>
      </c>
      <c r="IQ37" s="11" t="str">
        <f t="shared" si="71"/>
        <v/>
      </c>
      <c r="IR37" s="11" t="str">
        <f t="shared" si="72"/>
        <v/>
      </c>
      <c r="IS37" s="11" t="str">
        <f t="shared" si="73"/>
        <v/>
      </c>
      <c r="IT37" s="11" t="str">
        <f t="shared" si="74"/>
        <v/>
      </c>
      <c r="IU37" s="11" t="str">
        <f t="shared" si="75"/>
        <v/>
      </c>
      <c r="IV37" s="11" t="str">
        <f t="shared" si="76"/>
        <v/>
      </c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40" t="str">
        <f t="shared" si="77"/>
        <v/>
      </c>
      <c r="JR37" s="40" t="str">
        <f t="shared" si="78"/>
        <v/>
      </c>
      <c r="JS37" s="40" t="str">
        <f t="shared" si="79"/>
        <v/>
      </c>
      <c r="JT37" s="40" t="str">
        <f t="shared" si="80"/>
        <v/>
      </c>
      <c r="JU37" s="40" t="str">
        <f t="shared" si="81"/>
        <v/>
      </c>
      <c r="JV37" s="40" t="str">
        <f t="shared" si="82"/>
        <v/>
      </c>
      <c r="JW37" s="40" t="str">
        <f t="shared" si="83"/>
        <v/>
      </c>
      <c r="JX37" s="40" t="str">
        <f t="shared" si="84"/>
        <v/>
      </c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8"/>
      <c r="KM37" s="18"/>
      <c r="KN37" s="18"/>
      <c r="KO37" s="18"/>
      <c r="KP37" s="18"/>
      <c r="KQ37" s="18"/>
      <c r="KR37" s="18"/>
      <c r="KS37" s="11" t="str">
        <f t="shared" si="85"/>
        <v/>
      </c>
      <c r="KT37" s="11" t="str">
        <f t="shared" si="86"/>
        <v/>
      </c>
      <c r="KU37" s="11" t="str">
        <f t="shared" si="87"/>
        <v/>
      </c>
      <c r="KV37" s="11" t="str">
        <f t="shared" si="88"/>
        <v/>
      </c>
      <c r="KW37" s="11" t="str">
        <f t="shared" si="89"/>
        <v/>
      </c>
      <c r="KX37" s="11" t="str">
        <f t="shared" si="90"/>
        <v/>
      </c>
      <c r="KY37" s="11" t="str">
        <f t="shared" si="91"/>
        <v/>
      </c>
      <c r="KZ37" s="11" t="str">
        <f t="shared" si="92"/>
        <v/>
      </c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40" t="str">
        <f t="shared" si="93"/>
        <v/>
      </c>
      <c r="LV37" s="40" t="str">
        <f t="shared" si="94"/>
        <v/>
      </c>
      <c r="LW37" s="40" t="str">
        <f t="shared" si="95"/>
        <v/>
      </c>
      <c r="LX37" s="40" t="str">
        <f t="shared" si="96"/>
        <v/>
      </c>
      <c r="LY37" s="40" t="str">
        <f t="shared" si="97"/>
        <v/>
      </c>
      <c r="LZ37" s="40" t="str">
        <f t="shared" si="98"/>
        <v/>
      </c>
      <c r="MA37" s="40" t="str">
        <f t="shared" si="99"/>
        <v/>
      </c>
      <c r="MB37" s="40" t="str">
        <f t="shared" si="100"/>
        <v/>
      </c>
      <c r="MC37" s="18"/>
      <c r="MD37" s="18"/>
      <c r="ME37" s="18"/>
      <c r="MF37" s="18"/>
      <c r="MG37" s="18"/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1" t="str">
        <f t="shared" si="101"/>
        <v/>
      </c>
      <c r="MX37" s="11" t="str">
        <f t="shared" si="102"/>
        <v/>
      </c>
      <c r="MY37" s="11" t="str">
        <f t="shared" si="103"/>
        <v/>
      </c>
      <c r="MZ37" s="11" t="str">
        <f t="shared" si="104"/>
        <v/>
      </c>
      <c r="NA37" s="11" t="str">
        <f t="shared" si="105"/>
        <v/>
      </c>
      <c r="NB37" s="11" t="str">
        <f t="shared" si="106"/>
        <v/>
      </c>
      <c r="NC37" s="11" t="str">
        <f t="shared" si="107"/>
        <v/>
      </c>
      <c r="ND37" s="11" t="str">
        <f t="shared" si="108"/>
        <v/>
      </c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40" t="str">
        <f t="shared" si="109"/>
        <v/>
      </c>
      <c r="NZ37" s="40" t="str">
        <f t="shared" si="110"/>
        <v/>
      </c>
      <c r="OA37" s="40" t="str">
        <f t="shared" si="111"/>
        <v/>
      </c>
      <c r="OB37" s="40" t="str">
        <f t="shared" si="112"/>
        <v/>
      </c>
      <c r="OC37" s="40" t="str">
        <f t="shared" si="113"/>
        <v/>
      </c>
      <c r="OD37" s="40" t="str">
        <f t="shared" si="114"/>
        <v/>
      </c>
      <c r="OE37" s="40" t="str">
        <f t="shared" si="115"/>
        <v/>
      </c>
      <c r="OF37" s="40" t="str">
        <f t="shared" si="116"/>
        <v/>
      </c>
      <c r="OG37" s="18"/>
      <c r="OH37" s="18"/>
      <c r="OI37" s="18"/>
      <c r="OJ37" s="18"/>
      <c r="OK37" s="18"/>
      <c r="OL37" s="18"/>
      <c r="OM37" s="18"/>
      <c r="ON37" s="18"/>
      <c r="OO37" s="18"/>
      <c r="OP37" s="18"/>
      <c r="OQ37" s="18"/>
      <c r="OR37" s="18"/>
      <c r="OS37" s="18"/>
      <c r="OT37" s="18"/>
      <c r="OU37" s="18"/>
      <c r="OV37" s="18"/>
      <c r="OW37" s="18"/>
      <c r="OX37" s="18"/>
      <c r="OY37" s="18"/>
      <c r="OZ37" s="18"/>
      <c r="PA37" s="11" t="str">
        <f t="shared" si="117"/>
        <v/>
      </c>
      <c r="PB37" s="11" t="str">
        <f t="shared" si="118"/>
        <v/>
      </c>
      <c r="PC37" s="11" t="str">
        <f t="shared" si="119"/>
        <v/>
      </c>
      <c r="PD37" s="11" t="str">
        <f t="shared" si="120"/>
        <v/>
      </c>
      <c r="PE37" s="11" t="str">
        <f t="shared" si="121"/>
        <v/>
      </c>
      <c r="PF37" s="11" t="str">
        <f t="shared" si="122"/>
        <v/>
      </c>
      <c r="PG37" s="11" t="str">
        <f t="shared" si="123"/>
        <v/>
      </c>
      <c r="PH37" s="11" t="str">
        <f t="shared" si="124"/>
        <v/>
      </c>
      <c r="PI37" s="22">
        <f t="shared" si="125"/>
        <v>0</v>
      </c>
      <c r="PJ37" s="22">
        <f t="shared" si="126"/>
        <v>0</v>
      </c>
      <c r="PK37" s="22">
        <f t="shared" si="127"/>
        <v>0</v>
      </c>
      <c r="PL37" s="22">
        <f t="shared" si="128"/>
        <v>0</v>
      </c>
      <c r="PM37" s="22">
        <f t="shared" si="129"/>
        <v>0</v>
      </c>
      <c r="PN37" s="22">
        <f t="shared" si="130"/>
        <v>0</v>
      </c>
      <c r="PO37" s="22">
        <f t="shared" si="131"/>
        <v>0</v>
      </c>
      <c r="PP37" s="22">
        <f t="shared" si="132"/>
        <v>0</v>
      </c>
      <c r="PQ37" s="22">
        <f t="shared" si="133"/>
        <v>0</v>
      </c>
      <c r="PR37" s="22">
        <f t="shared" si="134"/>
        <v>0</v>
      </c>
      <c r="PS37" s="22">
        <f t="shared" si="135"/>
        <v>0</v>
      </c>
      <c r="PT37" s="22">
        <f t="shared" si="136"/>
        <v>0</v>
      </c>
      <c r="PU37" s="22">
        <f t="shared" si="137"/>
        <v>0</v>
      </c>
      <c r="PV37" s="22">
        <f t="shared" si="138"/>
        <v>0</v>
      </c>
      <c r="PW37" s="22">
        <f t="shared" si="139"/>
        <v>0</v>
      </c>
      <c r="PX37" s="22">
        <f t="shared" si="140"/>
        <v>0</v>
      </c>
      <c r="PY37" s="27" t="s">
        <v>46</v>
      </c>
      <c r="PZ37" s="40" t="str">
        <f t="shared" si="141"/>
        <v/>
      </c>
      <c r="QA37" s="40" t="str">
        <f t="shared" si="142"/>
        <v/>
      </c>
      <c r="QB37" s="40" t="str">
        <f t="shared" si="143"/>
        <v/>
      </c>
      <c r="QC37" s="40" t="str">
        <f t="shared" si="144"/>
        <v/>
      </c>
      <c r="QD37" s="40" t="str">
        <f t="shared" si="145"/>
        <v/>
      </c>
    </row>
    <row r="38" spans="1:446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137</v>
      </c>
      <c r="D38" s="4" t="s">
        <v>5</v>
      </c>
      <c r="E38" s="4">
        <v>2005</v>
      </c>
      <c r="F38" s="9">
        <f t="shared" si="0"/>
        <v>36.300003630003637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IF(COUNT(AM38,BI38,CE38)&gt;0,LARGE((AM38,BI38,CE38),1),0)</f>
        <v>36.300000000000004</v>
      </c>
      <c r="M38" s="8" t="str">
        <f t="shared" si="5"/>
        <v>2025 Elite Canada</v>
      </c>
      <c r="N38" s="8">
        <f>IF(COUNT(AM38,BI38,CE38)&gt;1,LARGE((AM38,BI38,CE38),2),0)</f>
        <v>0</v>
      </c>
      <c r="O38" s="8" t="str">
        <f t="shared" si="6"/>
        <v/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>
        <v>18</v>
      </c>
      <c r="V38" s="19">
        <v>2.7</v>
      </c>
      <c r="W38" s="19">
        <v>1</v>
      </c>
      <c r="X38" s="19">
        <v>0</v>
      </c>
      <c r="Y38" s="19">
        <v>15.4</v>
      </c>
      <c r="Z38" s="19">
        <v>1.2</v>
      </c>
      <c r="AA38" s="19">
        <v>0</v>
      </c>
      <c r="AB38" s="19">
        <v>0</v>
      </c>
      <c r="AC38" s="19"/>
      <c r="AD38" s="19"/>
      <c r="AE38" s="19"/>
      <c r="AF38" s="19"/>
      <c r="AG38" s="19"/>
      <c r="AH38" s="19"/>
      <c r="AI38" s="19"/>
      <c r="AJ38" s="19"/>
      <c r="AK38" s="27"/>
      <c r="AL38" s="40">
        <f t="shared" si="12"/>
        <v>3.9000000000000004</v>
      </c>
      <c r="AM38" s="40">
        <f t="shared" si="13"/>
        <v>36.300000000000004</v>
      </c>
      <c r="AN38" s="40" t="str">
        <f t="shared" si="14"/>
        <v/>
      </c>
      <c r="AO38" s="40" t="str">
        <f t="shared" si="15"/>
        <v/>
      </c>
      <c r="AP38" s="40">
        <f t="shared" si="16"/>
        <v>36.300000000000004</v>
      </c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28"/>
      <c r="BH38" s="11" t="str">
        <f t="shared" si="17"/>
        <v/>
      </c>
      <c r="BI38" s="11" t="str">
        <f t="shared" si="18"/>
        <v/>
      </c>
      <c r="BJ38" s="11" t="str">
        <f t="shared" si="19"/>
        <v/>
      </c>
      <c r="BK38" s="11" t="str">
        <f t="shared" si="20"/>
        <v/>
      </c>
      <c r="BL38" s="11" t="str">
        <f t="shared" si="21"/>
        <v/>
      </c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27"/>
      <c r="CD38" s="40" t="str">
        <f t="shared" si="22"/>
        <v/>
      </c>
      <c r="CE38" s="40" t="str">
        <f t="shared" si="23"/>
        <v/>
      </c>
      <c r="CF38" s="40" t="str">
        <f t="shared" si="24"/>
        <v/>
      </c>
      <c r="CG38" s="40" t="str">
        <f t="shared" si="25"/>
        <v/>
      </c>
      <c r="CH38" s="40" t="str">
        <f t="shared" si="26"/>
        <v/>
      </c>
      <c r="CI38" s="50" t="str">
        <f t="shared" si="27"/>
        <v/>
      </c>
      <c r="CJ38" s="50" t="str">
        <f t="shared" si="28"/>
        <v/>
      </c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40" t="str">
        <f t="shared" si="29"/>
        <v/>
      </c>
      <c r="DF38" s="40" t="str">
        <f t="shared" si="30"/>
        <v/>
      </c>
      <c r="DG38" s="40" t="str">
        <f t="shared" si="31"/>
        <v/>
      </c>
      <c r="DH38" s="40" t="str">
        <f t="shared" si="32"/>
        <v/>
      </c>
      <c r="DI38" s="40" t="str">
        <f t="shared" si="33"/>
        <v/>
      </c>
      <c r="DJ38" s="40" t="str">
        <f t="shared" si="34"/>
        <v/>
      </c>
      <c r="DK38" s="40" t="str">
        <f t="shared" si="35"/>
        <v/>
      </c>
      <c r="DL38" s="40" t="str">
        <f t="shared" si="36"/>
        <v/>
      </c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1" t="str">
        <f t="shared" si="37"/>
        <v/>
      </c>
      <c r="EH38" s="11" t="str">
        <f t="shared" si="38"/>
        <v/>
      </c>
      <c r="EI38" s="11" t="str">
        <f t="shared" si="39"/>
        <v/>
      </c>
      <c r="EJ38" s="11" t="str">
        <f t="shared" si="40"/>
        <v/>
      </c>
      <c r="EK38" s="11" t="str">
        <f t="shared" si="41"/>
        <v/>
      </c>
      <c r="EL38" s="11" t="str">
        <f t="shared" si="42"/>
        <v/>
      </c>
      <c r="EM38" s="11" t="str">
        <f t="shared" si="43"/>
        <v/>
      </c>
      <c r="EN38" s="11" t="str">
        <f t="shared" si="44"/>
        <v/>
      </c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40" t="str">
        <f t="shared" si="45"/>
        <v/>
      </c>
      <c r="FJ38" s="40" t="str">
        <f t="shared" si="46"/>
        <v/>
      </c>
      <c r="FK38" s="40" t="str">
        <f t="shared" si="47"/>
        <v/>
      </c>
      <c r="FL38" s="40" t="str">
        <f t="shared" si="48"/>
        <v/>
      </c>
      <c r="FM38" s="40" t="str">
        <f t="shared" si="49"/>
        <v/>
      </c>
      <c r="FN38" s="40" t="str">
        <f t="shared" si="50"/>
        <v/>
      </c>
      <c r="FO38" s="40" t="str">
        <f t="shared" si="51"/>
        <v/>
      </c>
      <c r="FP38" s="40" t="str">
        <f t="shared" si="52"/>
        <v/>
      </c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1" t="str">
        <f t="shared" si="53"/>
        <v/>
      </c>
      <c r="GL38" s="11" t="str">
        <f t="shared" si="54"/>
        <v/>
      </c>
      <c r="GM38" s="11" t="str">
        <f t="shared" si="55"/>
        <v/>
      </c>
      <c r="GN38" s="11" t="str">
        <f t="shared" si="56"/>
        <v/>
      </c>
      <c r="GO38" s="11" t="str">
        <f t="shared" si="57"/>
        <v/>
      </c>
      <c r="GP38" s="11" t="str">
        <f t="shared" si="58"/>
        <v/>
      </c>
      <c r="GQ38" s="11" t="str">
        <f t="shared" si="59"/>
        <v/>
      </c>
      <c r="GR38" s="11" t="str">
        <f t="shared" si="60"/>
        <v/>
      </c>
      <c r="GS38" s="17"/>
      <c r="GT38" s="17"/>
      <c r="GU38" s="17"/>
      <c r="GV38" s="17"/>
      <c r="GW38" s="17"/>
      <c r="GX38" s="17"/>
      <c r="GY38" s="17"/>
      <c r="GZ38" s="17"/>
      <c r="HA38" s="17"/>
      <c r="HB38" s="17"/>
      <c r="HC38" s="17"/>
      <c r="HD38" s="17"/>
      <c r="HE38" s="17"/>
      <c r="HF38" s="17"/>
      <c r="HG38" s="17"/>
      <c r="HH38" s="17"/>
      <c r="HI38" s="17"/>
      <c r="HJ38" s="17"/>
      <c r="HK38" s="17"/>
      <c r="HL38" s="17"/>
      <c r="HM38" s="40" t="str">
        <f t="shared" si="61"/>
        <v/>
      </c>
      <c r="HN38" s="40" t="str">
        <f t="shared" si="62"/>
        <v/>
      </c>
      <c r="HO38" s="40" t="str">
        <f t="shared" si="63"/>
        <v/>
      </c>
      <c r="HP38" s="40" t="str">
        <f t="shared" si="64"/>
        <v/>
      </c>
      <c r="HQ38" s="40" t="str">
        <f t="shared" si="65"/>
        <v/>
      </c>
      <c r="HR38" s="40" t="str">
        <f t="shared" si="66"/>
        <v/>
      </c>
      <c r="HS38" s="40" t="str">
        <f t="shared" si="67"/>
        <v/>
      </c>
      <c r="HT38" s="40" t="str">
        <f t="shared" si="68"/>
        <v/>
      </c>
      <c r="HU38" s="18"/>
      <c r="HV38" s="18"/>
      <c r="HW38" s="18"/>
      <c r="HX38" s="18"/>
      <c r="HY38" s="18"/>
      <c r="HZ38" s="18"/>
      <c r="IA38" s="18"/>
      <c r="IB38" s="18"/>
      <c r="IC38" s="18"/>
      <c r="ID38" s="18"/>
      <c r="IE38" s="18"/>
      <c r="IF38" s="18"/>
      <c r="IG38" s="18"/>
      <c r="IH38" s="18"/>
      <c r="II38" s="18"/>
      <c r="IJ38" s="18"/>
      <c r="IK38" s="18"/>
      <c r="IL38" s="18"/>
      <c r="IM38" s="18"/>
      <c r="IN38" s="18"/>
      <c r="IO38" s="11" t="str">
        <f t="shared" si="69"/>
        <v/>
      </c>
      <c r="IP38" s="11" t="str">
        <f t="shared" si="70"/>
        <v/>
      </c>
      <c r="IQ38" s="11" t="str">
        <f t="shared" si="71"/>
        <v/>
      </c>
      <c r="IR38" s="11" t="str">
        <f t="shared" si="72"/>
        <v/>
      </c>
      <c r="IS38" s="11" t="str">
        <f t="shared" si="73"/>
        <v/>
      </c>
      <c r="IT38" s="11" t="str">
        <f t="shared" si="74"/>
        <v/>
      </c>
      <c r="IU38" s="11" t="str">
        <f t="shared" si="75"/>
        <v/>
      </c>
      <c r="IV38" s="11" t="str">
        <f t="shared" si="76"/>
        <v/>
      </c>
      <c r="IW38" s="17"/>
      <c r="IX38" s="17"/>
      <c r="IY38" s="17"/>
      <c r="IZ38" s="17"/>
      <c r="JA38" s="17"/>
      <c r="JB38" s="17"/>
      <c r="JC38" s="17"/>
      <c r="JD38" s="17"/>
      <c r="JE38" s="17"/>
      <c r="JF38" s="17"/>
      <c r="JG38" s="17"/>
      <c r="JH38" s="17"/>
      <c r="JI38" s="17"/>
      <c r="JJ38" s="17"/>
      <c r="JK38" s="17"/>
      <c r="JL38" s="17"/>
      <c r="JM38" s="17"/>
      <c r="JN38" s="17"/>
      <c r="JO38" s="17"/>
      <c r="JP38" s="17"/>
      <c r="JQ38" s="40" t="str">
        <f t="shared" si="77"/>
        <v/>
      </c>
      <c r="JR38" s="40" t="str">
        <f t="shared" si="78"/>
        <v/>
      </c>
      <c r="JS38" s="40" t="str">
        <f t="shared" si="79"/>
        <v/>
      </c>
      <c r="JT38" s="40" t="str">
        <f t="shared" si="80"/>
        <v/>
      </c>
      <c r="JU38" s="40" t="str">
        <f t="shared" si="81"/>
        <v/>
      </c>
      <c r="JV38" s="40" t="str">
        <f t="shared" si="82"/>
        <v/>
      </c>
      <c r="JW38" s="40" t="str">
        <f t="shared" si="83"/>
        <v/>
      </c>
      <c r="JX38" s="40" t="str">
        <f t="shared" si="84"/>
        <v/>
      </c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8"/>
      <c r="KM38" s="18"/>
      <c r="KN38" s="18"/>
      <c r="KO38" s="18"/>
      <c r="KP38" s="18"/>
      <c r="KQ38" s="18"/>
      <c r="KR38" s="18"/>
      <c r="KS38" s="11" t="str">
        <f t="shared" si="85"/>
        <v/>
      </c>
      <c r="KT38" s="11" t="str">
        <f t="shared" si="86"/>
        <v/>
      </c>
      <c r="KU38" s="11" t="str">
        <f t="shared" si="87"/>
        <v/>
      </c>
      <c r="KV38" s="11" t="str">
        <f t="shared" si="88"/>
        <v/>
      </c>
      <c r="KW38" s="11" t="str">
        <f t="shared" si="89"/>
        <v/>
      </c>
      <c r="KX38" s="11" t="str">
        <f t="shared" si="90"/>
        <v/>
      </c>
      <c r="KY38" s="11" t="str">
        <f t="shared" si="91"/>
        <v/>
      </c>
      <c r="KZ38" s="11" t="str">
        <f t="shared" si="92"/>
        <v/>
      </c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17"/>
      <c r="LU38" s="40" t="str">
        <f t="shared" si="93"/>
        <v/>
      </c>
      <c r="LV38" s="40" t="str">
        <f t="shared" si="94"/>
        <v/>
      </c>
      <c r="LW38" s="40" t="str">
        <f t="shared" si="95"/>
        <v/>
      </c>
      <c r="LX38" s="40" t="str">
        <f t="shared" si="96"/>
        <v/>
      </c>
      <c r="LY38" s="40" t="str">
        <f t="shared" si="97"/>
        <v/>
      </c>
      <c r="LZ38" s="40" t="str">
        <f t="shared" si="98"/>
        <v/>
      </c>
      <c r="MA38" s="40" t="str">
        <f t="shared" si="99"/>
        <v/>
      </c>
      <c r="MB38" s="40" t="str">
        <f t="shared" si="100"/>
        <v/>
      </c>
      <c r="MC38" s="18"/>
      <c r="MD38" s="18"/>
      <c r="ME38" s="18"/>
      <c r="MF38" s="18"/>
      <c r="MG38" s="18"/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1" t="str">
        <f t="shared" si="101"/>
        <v/>
      </c>
      <c r="MX38" s="11" t="str">
        <f t="shared" si="102"/>
        <v/>
      </c>
      <c r="MY38" s="11" t="str">
        <f t="shared" si="103"/>
        <v/>
      </c>
      <c r="MZ38" s="11" t="str">
        <f t="shared" si="104"/>
        <v/>
      </c>
      <c r="NA38" s="11" t="str">
        <f t="shared" si="105"/>
        <v/>
      </c>
      <c r="NB38" s="11" t="str">
        <f t="shared" si="106"/>
        <v/>
      </c>
      <c r="NC38" s="11" t="str">
        <f t="shared" si="107"/>
        <v/>
      </c>
      <c r="ND38" s="11" t="str">
        <f t="shared" si="108"/>
        <v/>
      </c>
      <c r="NE38" s="17"/>
      <c r="NF38" s="17"/>
      <c r="NG38" s="17"/>
      <c r="NH38" s="17"/>
      <c r="NI38" s="17"/>
      <c r="NJ38" s="17"/>
      <c r="NK38" s="17"/>
      <c r="NL38" s="17"/>
      <c r="NM38" s="17"/>
      <c r="NN38" s="17"/>
      <c r="NO38" s="17"/>
      <c r="NP38" s="17"/>
      <c r="NQ38" s="17"/>
      <c r="NR38" s="17"/>
      <c r="NS38" s="17"/>
      <c r="NT38" s="17"/>
      <c r="NU38" s="17"/>
      <c r="NV38" s="17"/>
      <c r="NW38" s="17"/>
      <c r="NX38" s="17"/>
      <c r="NY38" s="40" t="str">
        <f t="shared" si="109"/>
        <v/>
      </c>
      <c r="NZ38" s="40" t="str">
        <f t="shared" si="110"/>
        <v/>
      </c>
      <c r="OA38" s="40" t="str">
        <f t="shared" si="111"/>
        <v/>
      </c>
      <c r="OB38" s="40" t="str">
        <f t="shared" si="112"/>
        <v/>
      </c>
      <c r="OC38" s="40" t="str">
        <f t="shared" si="113"/>
        <v/>
      </c>
      <c r="OD38" s="40" t="str">
        <f t="shared" si="114"/>
        <v/>
      </c>
      <c r="OE38" s="40" t="str">
        <f t="shared" si="115"/>
        <v/>
      </c>
      <c r="OF38" s="40" t="str">
        <f t="shared" si="116"/>
        <v/>
      </c>
      <c r="OG38" s="18"/>
      <c r="OH38" s="18"/>
      <c r="OI38" s="18"/>
      <c r="OJ38" s="18"/>
      <c r="OK38" s="18"/>
      <c r="OL38" s="18"/>
      <c r="OM38" s="18"/>
      <c r="ON38" s="18"/>
      <c r="OO38" s="18"/>
      <c r="OP38" s="18"/>
      <c r="OQ38" s="18"/>
      <c r="OR38" s="18"/>
      <c r="OS38" s="18"/>
      <c r="OT38" s="18"/>
      <c r="OU38" s="18"/>
      <c r="OV38" s="18"/>
      <c r="OW38" s="18"/>
      <c r="OX38" s="18"/>
      <c r="OY38" s="18"/>
      <c r="OZ38" s="18"/>
      <c r="PA38" s="11" t="str">
        <f t="shared" si="117"/>
        <v/>
      </c>
      <c r="PB38" s="11" t="str">
        <f t="shared" si="118"/>
        <v/>
      </c>
      <c r="PC38" s="11" t="str">
        <f t="shared" si="119"/>
        <v/>
      </c>
      <c r="PD38" s="11" t="str">
        <f t="shared" si="120"/>
        <v/>
      </c>
      <c r="PE38" s="11" t="str">
        <f t="shared" si="121"/>
        <v/>
      </c>
      <c r="PF38" s="11" t="str">
        <f t="shared" si="122"/>
        <v/>
      </c>
      <c r="PG38" s="11" t="str">
        <f t="shared" si="123"/>
        <v/>
      </c>
      <c r="PH38" s="11" t="str">
        <f t="shared" si="124"/>
        <v/>
      </c>
      <c r="PI38" s="22">
        <f t="shared" si="125"/>
        <v>0</v>
      </c>
      <c r="PJ38" s="22">
        <f t="shared" si="126"/>
        <v>0</v>
      </c>
      <c r="PK38" s="22">
        <f t="shared" si="127"/>
        <v>0</v>
      </c>
      <c r="PL38" s="22">
        <f t="shared" si="128"/>
        <v>0</v>
      </c>
      <c r="PM38" s="22">
        <f t="shared" si="129"/>
        <v>0</v>
      </c>
      <c r="PN38" s="22">
        <f t="shared" si="130"/>
        <v>0</v>
      </c>
      <c r="PO38" s="22">
        <f t="shared" si="131"/>
        <v>0</v>
      </c>
      <c r="PP38" s="22">
        <f t="shared" si="132"/>
        <v>0</v>
      </c>
      <c r="PQ38" s="22">
        <f t="shared" si="133"/>
        <v>0</v>
      </c>
      <c r="PR38" s="22">
        <f t="shared" si="134"/>
        <v>0</v>
      </c>
      <c r="PS38" s="22">
        <f t="shared" si="135"/>
        <v>0</v>
      </c>
      <c r="PT38" s="22">
        <f t="shared" si="136"/>
        <v>0</v>
      </c>
      <c r="PU38" s="22">
        <f t="shared" si="137"/>
        <v>0</v>
      </c>
      <c r="PV38" s="22">
        <f t="shared" si="138"/>
        <v>0</v>
      </c>
      <c r="PW38" s="22">
        <f t="shared" si="139"/>
        <v>0</v>
      </c>
      <c r="PX38" s="22">
        <f t="shared" si="140"/>
        <v>0</v>
      </c>
      <c r="PY38" s="27" t="s">
        <v>46</v>
      </c>
      <c r="PZ38" s="40" t="str">
        <f t="shared" si="141"/>
        <v/>
      </c>
      <c r="QA38" s="40" t="str">
        <f t="shared" si="142"/>
        <v/>
      </c>
      <c r="QB38" s="40" t="str">
        <f t="shared" si="143"/>
        <v/>
      </c>
      <c r="QC38" s="40" t="str">
        <f t="shared" si="144"/>
        <v/>
      </c>
      <c r="QD38" s="40" t="str">
        <f t="shared" si="145"/>
        <v/>
      </c>
    </row>
    <row r="39" spans="1:446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180</v>
      </c>
      <c r="D39" s="4" t="s">
        <v>4</v>
      </c>
      <c r="E39" s="4">
        <v>2007</v>
      </c>
      <c r="F39" s="9">
        <f t="shared" si="0"/>
        <v>32.700003270003265</v>
      </c>
      <c r="G39" s="64"/>
      <c r="H39" s="3" t="str">
        <f t="shared" si="1"/>
        <v/>
      </c>
      <c r="I39" s="3" t="str">
        <f t="shared" si="2"/>
        <v/>
      </c>
      <c r="J39" s="36" t="str">
        <f t="shared" si="3"/>
        <v/>
      </c>
      <c r="K39" s="3" t="str">
        <f t="shared" si="4"/>
        <v/>
      </c>
      <c r="L39" s="8">
        <f>IF(COUNT(AM39,BI39,CE39)&gt;0,LARGE((AM39,BI39,CE39),1),0)</f>
        <v>32.699999999999996</v>
      </c>
      <c r="M39" s="8" t="str">
        <f t="shared" si="5"/>
        <v>2025 Nationals</v>
      </c>
      <c r="N39" s="8">
        <f>IF(COUNT(AM39,BI39,CE39)&gt;1,LARGE((AM39,BI39,CE39),2),0)</f>
        <v>0</v>
      </c>
      <c r="O39" s="8" t="str">
        <f t="shared" si="6"/>
        <v/>
      </c>
      <c r="P39" s="8">
        <f t="shared" si="7"/>
        <v>0</v>
      </c>
      <c r="Q39" s="8" t="str">
        <f t="shared" si="8"/>
        <v/>
      </c>
      <c r="R39" s="8" t="str">
        <f t="shared" si="9"/>
        <v/>
      </c>
      <c r="S39" s="11" t="str">
        <f t="shared" si="10"/>
        <v/>
      </c>
      <c r="T39" s="8" t="str">
        <f t="shared" si="11"/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27"/>
      <c r="AL39" s="40" t="str">
        <f t="shared" si="12"/>
        <v/>
      </c>
      <c r="AM39" s="40" t="str">
        <f t="shared" si="13"/>
        <v/>
      </c>
      <c r="AN39" s="40" t="str">
        <f t="shared" si="14"/>
        <v/>
      </c>
      <c r="AO39" s="40" t="str">
        <f t="shared" si="15"/>
        <v/>
      </c>
      <c r="AP39" s="40" t="str">
        <f t="shared" si="16"/>
        <v/>
      </c>
      <c r="AQ39" s="18">
        <v>15.3</v>
      </c>
      <c r="AR39" s="18">
        <v>2.4</v>
      </c>
      <c r="AS39" s="18">
        <v>0</v>
      </c>
      <c r="AT39" s="18">
        <v>0</v>
      </c>
      <c r="AU39" s="18">
        <v>15.2</v>
      </c>
      <c r="AV39" s="18">
        <v>0</v>
      </c>
      <c r="AW39" s="18">
        <v>0.2</v>
      </c>
      <c r="AX39" s="18">
        <v>0</v>
      </c>
      <c r="AY39" s="18" t="s">
        <v>173</v>
      </c>
      <c r="AZ39" s="18" t="s">
        <v>173</v>
      </c>
      <c r="BA39" s="18" t="s">
        <v>173</v>
      </c>
      <c r="BB39" s="18" t="s">
        <v>173</v>
      </c>
      <c r="BC39" s="18" t="s">
        <v>173</v>
      </c>
      <c r="BD39" s="18" t="s">
        <v>173</v>
      </c>
      <c r="BE39" s="18" t="s">
        <v>173</v>
      </c>
      <c r="BF39" s="18" t="s">
        <v>173</v>
      </c>
      <c r="BG39" s="28"/>
      <c r="BH39" s="11">
        <f t="shared" si="17"/>
        <v>2.4</v>
      </c>
      <c r="BI39" s="11">
        <f t="shared" si="18"/>
        <v>32.699999999999996</v>
      </c>
      <c r="BJ39" s="11" t="str">
        <f t="shared" si="19"/>
        <v/>
      </c>
      <c r="BK39" s="11" t="str">
        <f t="shared" si="20"/>
        <v/>
      </c>
      <c r="BL39" s="11">
        <f t="shared" si="21"/>
        <v>32.699999999999996</v>
      </c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27"/>
      <c r="CD39" s="40" t="str">
        <f t="shared" si="22"/>
        <v/>
      </c>
      <c r="CE39" s="40" t="str">
        <f t="shared" si="23"/>
        <v/>
      </c>
      <c r="CF39" s="40" t="str">
        <f t="shared" si="24"/>
        <v/>
      </c>
      <c r="CG39" s="40" t="str">
        <f t="shared" si="25"/>
        <v/>
      </c>
      <c r="CH39" s="40" t="str">
        <f t="shared" si="26"/>
        <v/>
      </c>
      <c r="CI39" s="50" t="str">
        <f t="shared" si="27"/>
        <v/>
      </c>
      <c r="CJ39" s="50" t="str">
        <f t="shared" si="28"/>
        <v/>
      </c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40" t="str">
        <f t="shared" si="29"/>
        <v/>
      </c>
      <c r="DF39" s="40" t="str">
        <f t="shared" si="30"/>
        <v/>
      </c>
      <c r="DG39" s="40" t="str">
        <f t="shared" si="31"/>
        <v/>
      </c>
      <c r="DH39" s="40" t="str">
        <f t="shared" si="32"/>
        <v/>
      </c>
      <c r="DI39" s="40" t="str">
        <f t="shared" si="33"/>
        <v/>
      </c>
      <c r="DJ39" s="40" t="str">
        <f t="shared" si="34"/>
        <v/>
      </c>
      <c r="DK39" s="40" t="str">
        <f t="shared" si="35"/>
        <v/>
      </c>
      <c r="DL39" s="40" t="str">
        <f t="shared" si="36"/>
        <v/>
      </c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1" t="str">
        <f t="shared" si="37"/>
        <v/>
      </c>
      <c r="EH39" s="11" t="str">
        <f t="shared" si="38"/>
        <v/>
      </c>
      <c r="EI39" s="11" t="str">
        <f t="shared" si="39"/>
        <v/>
      </c>
      <c r="EJ39" s="11" t="str">
        <f t="shared" si="40"/>
        <v/>
      </c>
      <c r="EK39" s="11" t="str">
        <f t="shared" si="41"/>
        <v/>
      </c>
      <c r="EL39" s="11" t="str">
        <f t="shared" si="42"/>
        <v/>
      </c>
      <c r="EM39" s="11" t="str">
        <f t="shared" si="43"/>
        <v/>
      </c>
      <c r="EN39" s="11" t="str">
        <f t="shared" si="44"/>
        <v/>
      </c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40" t="str">
        <f t="shared" si="45"/>
        <v/>
      </c>
      <c r="FJ39" s="40" t="str">
        <f t="shared" si="46"/>
        <v/>
      </c>
      <c r="FK39" s="40" t="str">
        <f t="shared" si="47"/>
        <v/>
      </c>
      <c r="FL39" s="40" t="str">
        <f t="shared" si="48"/>
        <v/>
      </c>
      <c r="FM39" s="40" t="str">
        <f t="shared" si="49"/>
        <v/>
      </c>
      <c r="FN39" s="40" t="str">
        <f t="shared" si="50"/>
        <v/>
      </c>
      <c r="FO39" s="40" t="str">
        <f t="shared" si="51"/>
        <v/>
      </c>
      <c r="FP39" s="40" t="str">
        <f t="shared" si="52"/>
        <v/>
      </c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1" t="str">
        <f t="shared" si="53"/>
        <v/>
      </c>
      <c r="GL39" s="11" t="str">
        <f t="shared" si="54"/>
        <v/>
      </c>
      <c r="GM39" s="11" t="str">
        <f t="shared" si="55"/>
        <v/>
      </c>
      <c r="GN39" s="11" t="str">
        <f t="shared" si="56"/>
        <v/>
      </c>
      <c r="GO39" s="11" t="str">
        <f t="shared" si="57"/>
        <v/>
      </c>
      <c r="GP39" s="11" t="str">
        <f t="shared" si="58"/>
        <v/>
      </c>
      <c r="GQ39" s="11" t="str">
        <f t="shared" si="59"/>
        <v/>
      </c>
      <c r="GR39" s="11" t="str">
        <f t="shared" si="60"/>
        <v/>
      </c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40" t="str">
        <f t="shared" si="61"/>
        <v/>
      </c>
      <c r="HN39" s="40" t="str">
        <f t="shared" si="62"/>
        <v/>
      </c>
      <c r="HO39" s="40" t="str">
        <f t="shared" si="63"/>
        <v/>
      </c>
      <c r="HP39" s="40" t="str">
        <f t="shared" si="64"/>
        <v/>
      </c>
      <c r="HQ39" s="40" t="str">
        <f t="shared" si="65"/>
        <v/>
      </c>
      <c r="HR39" s="40" t="str">
        <f t="shared" si="66"/>
        <v/>
      </c>
      <c r="HS39" s="40" t="str">
        <f t="shared" si="67"/>
        <v/>
      </c>
      <c r="HT39" s="40" t="str">
        <f t="shared" si="68"/>
        <v/>
      </c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1" t="str">
        <f t="shared" si="69"/>
        <v/>
      </c>
      <c r="IP39" s="11" t="str">
        <f t="shared" si="70"/>
        <v/>
      </c>
      <c r="IQ39" s="11" t="str">
        <f t="shared" si="71"/>
        <v/>
      </c>
      <c r="IR39" s="11" t="str">
        <f t="shared" si="72"/>
        <v/>
      </c>
      <c r="IS39" s="11" t="str">
        <f t="shared" si="73"/>
        <v/>
      </c>
      <c r="IT39" s="11" t="str">
        <f t="shared" si="74"/>
        <v/>
      </c>
      <c r="IU39" s="11" t="str">
        <f t="shared" si="75"/>
        <v/>
      </c>
      <c r="IV39" s="11" t="str">
        <f t="shared" si="76"/>
        <v/>
      </c>
      <c r="IW39" s="17"/>
      <c r="IX39" s="17"/>
      <c r="IY39" s="17"/>
      <c r="IZ39" s="17"/>
      <c r="JA39" s="17"/>
      <c r="JB39" s="17"/>
      <c r="JC39" s="17"/>
      <c r="JD39" s="17"/>
      <c r="JE39" s="17"/>
      <c r="JF39" s="17"/>
      <c r="JG39" s="17"/>
      <c r="JH39" s="17"/>
      <c r="JI39" s="17"/>
      <c r="JJ39" s="17"/>
      <c r="JK39" s="17"/>
      <c r="JL39" s="17"/>
      <c r="JM39" s="17"/>
      <c r="JN39" s="17"/>
      <c r="JO39" s="17"/>
      <c r="JP39" s="17"/>
      <c r="JQ39" s="40" t="str">
        <f t="shared" si="77"/>
        <v/>
      </c>
      <c r="JR39" s="40" t="str">
        <f t="shared" si="78"/>
        <v/>
      </c>
      <c r="JS39" s="40" t="str">
        <f t="shared" si="79"/>
        <v/>
      </c>
      <c r="JT39" s="40" t="str">
        <f t="shared" si="80"/>
        <v/>
      </c>
      <c r="JU39" s="40" t="str">
        <f t="shared" si="81"/>
        <v/>
      </c>
      <c r="JV39" s="40" t="str">
        <f t="shared" si="82"/>
        <v/>
      </c>
      <c r="JW39" s="40" t="str">
        <f t="shared" si="83"/>
        <v/>
      </c>
      <c r="JX39" s="40" t="str">
        <f t="shared" si="84"/>
        <v/>
      </c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8"/>
      <c r="KM39" s="18"/>
      <c r="KN39" s="18"/>
      <c r="KO39" s="18"/>
      <c r="KP39" s="18"/>
      <c r="KQ39" s="18"/>
      <c r="KR39" s="18"/>
      <c r="KS39" s="11" t="str">
        <f t="shared" si="85"/>
        <v/>
      </c>
      <c r="KT39" s="11" t="str">
        <f t="shared" si="86"/>
        <v/>
      </c>
      <c r="KU39" s="11" t="str">
        <f t="shared" si="87"/>
        <v/>
      </c>
      <c r="KV39" s="11" t="str">
        <f t="shared" si="88"/>
        <v/>
      </c>
      <c r="KW39" s="11" t="str">
        <f t="shared" si="89"/>
        <v/>
      </c>
      <c r="KX39" s="11" t="str">
        <f t="shared" si="90"/>
        <v/>
      </c>
      <c r="KY39" s="11" t="str">
        <f t="shared" si="91"/>
        <v/>
      </c>
      <c r="KZ39" s="11" t="str">
        <f t="shared" si="92"/>
        <v/>
      </c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17"/>
      <c r="LU39" s="40" t="str">
        <f t="shared" si="93"/>
        <v/>
      </c>
      <c r="LV39" s="40" t="str">
        <f t="shared" si="94"/>
        <v/>
      </c>
      <c r="LW39" s="40" t="str">
        <f t="shared" si="95"/>
        <v/>
      </c>
      <c r="LX39" s="40" t="str">
        <f t="shared" si="96"/>
        <v/>
      </c>
      <c r="LY39" s="40" t="str">
        <f t="shared" si="97"/>
        <v/>
      </c>
      <c r="LZ39" s="40" t="str">
        <f t="shared" si="98"/>
        <v/>
      </c>
      <c r="MA39" s="40" t="str">
        <f t="shared" si="99"/>
        <v/>
      </c>
      <c r="MB39" s="40" t="str">
        <f t="shared" si="100"/>
        <v/>
      </c>
      <c r="MC39" s="18"/>
      <c r="MD39" s="18"/>
      <c r="ME39" s="18"/>
      <c r="MF39" s="18"/>
      <c r="MG39" s="18"/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1" t="str">
        <f t="shared" si="101"/>
        <v/>
      </c>
      <c r="MX39" s="11" t="str">
        <f t="shared" si="102"/>
        <v/>
      </c>
      <c r="MY39" s="11" t="str">
        <f t="shared" si="103"/>
        <v/>
      </c>
      <c r="MZ39" s="11" t="str">
        <f t="shared" si="104"/>
        <v/>
      </c>
      <c r="NA39" s="11" t="str">
        <f t="shared" si="105"/>
        <v/>
      </c>
      <c r="NB39" s="11" t="str">
        <f t="shared" si="106"/>
        <v/>
      </c>
      <c r="NC39" s="11" t="str">
        <f t="shared" si="107"/>
        <v/>
      </c>
      <c r="ND39" s="11" t="str">
        <f t="shared" si="108"/>
        <v/>
      </c>
      <c r="NE39" s="17"/>
      <c r="NF39" s="17"/>
      <c r="NG39" s="17"/>
      <c r="NH39" s="17"/>
      <c r="NI39" s="17"/>
      <c r="NJ39" s="17"/>
      <c r="NK39" s="17"/>
      <c r="NL39" s="17"/>
      <c r="NM39" s="17"/>
      <c r="NN39" s="17"/>
      <c r="NO39" s="17"/>
      <c r="NP39" s="17"/>
      <c r="NQ39" s="17"/>
      <c r="NR39" s="17"/>
      <c r="NS39" s="17"/>
      <c r="NT39" s="17"/>
      <c r="NU39" s="17"/>
      <c r="NV39" s="17"/>
      <c r="NW39" s="17"/>
      <c r="NX39" s="17"/>
      <c r="NY39" s="40" t="str">
        <f t="shared" si="109"/>
        <v/>
      </c>
      <c r="NZ39" s="40" t="str">
        <f t="shared" si="110"/>
        <v/>
      </c>
      <c r="OA39" s="40" t="str">
        <f t="shared" si="111"/>
        <v/>
      </c>
      <c r="OB39" s="40" t="str">
        <f t="shared" si="112"/>
        <v/>
      </c>
      <c r="OC39" s="40" t="str">
        <f t="shared" si="113"/>
        <v/>
      </c>
      <c r="OD39" s="40" t="str">
        <f t="shared" si="114"/>
        <v/>
      </c>
      <c r="OE39" s="40" t="str">
        <f t="shared" si="115"/>
        <v/>
      </c>
      <c r="OF39" s="40" t="str">
        <f t="shared" si="116"/>
        <v/>
      </c>
      <c r="OG39" s="18"/>
      <c r="OH39" s="18"/>
      <c r="OI39" s="18"/>
      <c r="OJ39" s="18"/>
      <c r="OK39" s="18"/>
      <c r="OL39" s="18"/>
      <c r="OM39" s="18"/>
      <c r="ON39" s="18"/>
      <c r="OO39" s="18"/>
      <c r="OP39" s="18"/>
      <c r="OQ39" s="18"/>
      <c r="OR39" s="18"/>
      <c r="OS39" s="18"/>
      <c r="OT39" s="18"/>
      <c r="OU39" s="18"/>
      <c r="OV39" s="18"/>
      <c r="OW39" s="18"/>
      <c r="OX39" s="18"/>
      <c r="OY39" s="18"/>
      <c r="OZ39" s="18"/>
      <c r="PA39" s="11" t="str">
        <f t="shared" si="117"/>
        <v/>
      </c>
      <c r="PB39" s="11" t="str">
        <f t="shared" si="118"/>
        <v/>
      </c>
      <c r="PC39" s="11" t="str">
        <f t="shared" si="119"/>
        <v/>
      </c>
      <c r="PD39" s="11" t="str">
        <f t="shared" si="120"/>
        <v/>
      </c>
      <c r="PE39" s="11" t="str">
        <f t="shared" si="121"/>
        <v/>
      </c>
      <c r="PF39" s="11" t="str">
        <f t="shared" si="122"/>
        <v/>
      </c>
      <c r="PG39" s="11" t="str">
        <f t="shared" si="123"/>
        <v/>
      </c>
      <c r="PH39" s="11" t="str">
        <f t="shared" si="124"/>
        <v/>
      </c>
      <c r="PI39" s="22">
        <f t="shared" si="125"/>
        <v>0</v>
      </c>
      <c r="PJ39" s="22">
        <f t="shared" si="126"/>
        <v>0</v>
      </c>
      <c r="PK39" s="22">
        <f t="shared" si="127"/>
        <v>0</v>
      </c>
      <c r="PL39" s="22">
        <f t="shared" si="128"/>
        <v>0</v>
      </c>
      <c r="PM39" s="22">
        <f t="shared" si="129"/>
        <v>0</v>
      </c>
      <c r="PN39" s="22">
        <f t="shared" si="130"/>
        <v>0</v>
      </c>
      <c r="PO39" s="22">
        <f t="shared" si="131"/>
        <v>0</v>
      </c>
      <c r="PP39" s="22">
        <f t="shared" si="132"/>
        <v>0</v>
      </c>
      <c r="PQ39" s="22">
        <f t="shared" si="133"/>
        <v>0</v>
      </c>
      <c r="PR39" s="22">
        <f t="shared" si="134"/>
        <v>0</v>
      </c>
      <c r="PS39" s="22">
        <f t="shared" si="135"/>
        <v>0</v>
      </c>
      <c r="PT39" s="22">
        <f t="shared" si="136"/>
        <v>0</v>
      </c>
      <c r="PU39" s="22">
        <f t="shared" si="137"/>
        <v>0</v>
      </c>
      <c r="PV39" s="22">
        <f t="shared" si="138"/>
        <v>0</v>
      </c>
      <c r="PW39" s="22">
        <f t="shared" si="139"/>
        <v>0</v>
      </c>
      <c r="PX39" s="22">
        <f t="shared" si="140"/>
        <v>0</v>
      </c>
      <c r="PY39" s="27" t="s">
        <v>46</v>
      </c>
      <c r="PZ39" s="40" t="str">
        <f t="shared" si="141"/>
        <v/>
      </c>
      <c r="QA39" s="40" t="str">
        <f t="shared" si="142"/>
        <v/>
      </c>
      <c r="QB39" s="40" t="str">
        <f t="shared" si="143"/>
        <v/>
      </c>
      <c r="QC39" s="40" t="str">
        <f t="shared" si="144"/>
        <v/>
      </c>
      <c r="QD39" s="40" t="str">
        <f t="shared" si="145"/>
        <v/>
      </c>
    </row>
    <row r="40" spans="1:446" ht="17" x14ac:dyDescent="0.2">
      <c r="G40" s="64"/>
      <c r="R40" s="10"/>
      <c r="S40" s="10"/>
      <c r="T40" s="10"/>
    </row>
    <row r="41" spans="1:446" ht="17" x14ac:dyDescent="0.2">
      <c r="G41" s="64"/>
      <c r="R41" s="10"/>
      <c r="S41" s="10"/>
      <c r="T41" s="10"/>
    </row>
    <row r="42" spans="1:446" ht="17" x14ac:dyDescent="0.2">
      <c r="C42" s="23" t="s">
        <v>44</v>
      </c>
      <c r="G42" s="64"/>
      <c r="R42" s="10"/>
      <c r="S42" s="10"/>
      <c r="T42" s="10"/>
      <c r="AL42" s="4"/>
      <c r="AP42" s="42">
        <v>10.4</v>
      </c>
      <c r="BH42" s="4"/>
      <c r="BL42" s="42">
        <v>10.4</v>
      </c>
      <c r="CD42" s="4"/>
      <c r="CH42" s="42">
        <v>10.4</v>
      </c>
      <c r="DE42" s="4"/>
      <c r="DL42" s="42">
        <v>10.4</v>
      </c>
      <c r="EG42" s="4"/>
      <c r="EN42" s="42">
        <v>10.4</v>
      </c>
      <c r="FI42" s="4"/>
      <c r="FP42" s="42">
        <v>10.4</v>
      </c>
      <c r="GK42" s="4"/>
      <c r="GR42" s="42">
        <v>10.4</v>
      </c>
      <c r="HM42" s="4"/>
      <c r="HT42" s="42">
        <v>10.4</v>
      </c>
      <c r="IO42" s="4"/>
      <c r="IV42" s="42">
        <v>10.4</v>
      </c>
      <c r="JQ42" s="4"/>
      <c r="JX42" s="42">
        <v>10.4</v>
      </c>
      <c r="KS42" s="4"/>
      <c r="KZ42" s="42">
        <v>10.4</v>
      </c>
      <c r="LU42" s="4"/>
      <c r="MB42" s="42">
        <v>10.4</v>
      </c>
      <c r="MW42" s="4"/>
      <c r="ND42" s="42">
        <v>10.4</v>
      </c>
      <c r="NY42" s="4"/>
      <c r="OF42" s="42">
        <v>10.4</v>
      </c>
      <c r="PA42" s="4"/>
      <c r="PH42" s="42">
        <v>10.4</v>
      </c>
    </row>
    <row r="43" spans="1:446" ht="17" hidden="1" x14ac:dyDescent="0.2">
      <c r="C43" s="30" t="s">
        <v>43</v>
      </c>
      <c r="G43" s="64"/>
      <c r="R43" s="10"/>
      <c r="S43" s="10"/>
      <c r="T43" s="10"/>
      <c r="AL43" s="4"/>
      <c r="AP43" s="51">
        <v>1000</v>
      </c>
      <c r="BH43" s="4"/>
      <c r="BL43" s="51">
        <v>1000</v>
      </c>
      <c r="CD43" s="4"/>
      <c r="CH43" s="51">
        <v>1000</v>
      </c>
      <c r="DE43" s="4"/>
      <c r="DL43" s="51">
        <v>1000</v>
      </c>
      <c r="EG43" s="4"/>
      <c r="EN43" s="51">
        <v>1000</v>
      </c>
      <c r="FI43" s="4"/>
      <c r="FP43" s="51">
        <v>1000</v>
      </c>
      <c r="GK43" s="4"/>
      <c r="GR43" s="51">
        <v>1000</v>
      </c>
      <c r="HM43" s="4"/>
      <c r="HT43" s="51">
        <v>1000</v>
      </c>
      <c r="IO43" s="4"/>
      <c r="IV43" s="51">
        <v>1000</v>
      </c>
      <c r="JQ43" s="4"/>
      <c r="JX43" s="51">
        <v>1000</v>
      </c>
      <c r="KS43" s="4"/>
      <c r="KZ43" s="51">
        <v>1000</v>
      </c>
      <c r="LU43" s="4"/>
      <c r="MB43" s="51">
        <v>1000</v>
      </c>
      <c r="MW43" s="4"/>
      <c r="ND43" s="51">
        <v>1000</v>
      </c>
      <c r="NY43" s="4"/>
      <c r="OF43" s="51">
        <v>1000</v>
      </c>
      <c r="PA43" s="4"/>
      <c r="PH43" s="51">
        <v>1000</v>
      </c>
    </row>
    <row r="44" spans="1:446" ht="17" hidden="1" x14ac:dyDescent="0.2">
      <c r="A44" s="5"/>
      <c r="B44" s="5"/>
      <c r="C44" s="31" t="s">
        <v>55</v>
      </c>
      <c r="D44" s="20"/>
      <c r="G44" s="64"/>
      <c r="R44" s="10"/>
      <c r="S44" s="10"/>
      <c r="T44" s="10"/>
      <c r="AL44" s="4"/>
      <c r="AP44" s="43">
        <v>1000</v>
      </c>
      <c r="BH44" s="4"/>
      <c r="BL44" s="43">
        <v>1000</v>
      </c>
      <c r="CD44" s="4"/>
      <c r="CH44" s="43">
        <v>1000</v>
      </c>
      <c r="DE44" s="4"/>
      <c r="DL44" s="43">
        <v>1000</v>
      </c>
      <c r="EG44" s="4"/>
      <c r="EN44" s="43">
        <v>1000</v>
      </c>
      <c r="FI44" s="4"/>
      <c r="FP44" s="43">
        <v>1000</v>
      </c>
      <c r="GK44" s="4"/>
      <c r="GR44" s="43">
        <v>1000</v>
      </c>
      <c r="HM44" s="4"/>
      <c r="HT44" s="43">
        <v>1000</v>
      </c>
      <c r="IO44" s="4"/>
      <c r="IV44" s="43">
        <v>1000</v>
      </c>
      <c r="JQ44" s="4"/>
      <c r="JX44" s="43">
        <v>1000</v>
      </c>
      <c r="KS44" s="4"/>
      <c r="KZ44" s="43">
        <v>1000</v>
      </c>
      <c r="LU44" s="4"/>
      <c r="MB44" s="43">
        <v>1000</v>
      </c>
      <c r="MW44" s="4"/>
      <c r="ND44" s="43">
        <v>1000</v>
      </c>
      <c r="NY44" s="4"/>
      <c r="OF44" s="43">
        <v>1000</v>
      </c>
      <c r="PA44" s="4"/>
      <c r="PH44" s="43">
        <v>1000</v>
      </c>
    </row>
    <row r="45" spans="1:446" ht="17" hidden="1" x14ac:dyDescent="0.2">
      <c r="A45" s="5"/>
      <c r="B45" s="5"/>
      <c r="C45" s="35" t="s">
        <v>60</v>
      </c>
      <c r="D45" s="20"/>
      <c r="G45" s="64"/>
      <c r="R45" s="10"/>
      <c r="S45" s="10"/>
      <c r="T45" s="10"/>
      <c r="AL45" s="4"/>
      <c r="AP45" s="62">
        <v>1000</v>
      </c>
      <c r="BH45" s="4"/>
      <c r="BL45" s="62">
        <v>1000</v>
      </c>
      <c r="CD45" s="4"/>
      <c r="CH45" s="62">
        <v>1000</v>
      </c>
      <c r="DE45" s="4"/>
      <c r="DL45" s="62">
        <v>1000</v>
      </c>
      <c r="EG45" s="4"/>
      <c r="EN45" s="62">
        <v>1000</v>
      </c>
      <c r="FI45" s="4"/>
      <c r="FP45" s="62">
        <v>1000</v>
      </c>
      <c r="GK45" s="4"/>
      <c r="GR45" s="62">
        <v>1000</v>
      </c>
      <c r="HM45" s="4"/>
      <c r="HT45" s="62">
        <v>1000</v>
      </c>
      <c r="IO45" s="4"/>
      <c r="IV45" s="62">
        <v>1000</v>
      </c>
      <c r="JQ45" s="4"/>
      <c r="JX45" s="62">
        <v>1000</v>
      </c>
      <c r="KS45" s="4"/>
      <c r="KZ45" s="62">
        <v>1000</v>
      </c>
      <c r="LU45" s="4"/>
      <c r="MB45" s="62">
        <v>1000</v>
      </c>
      <c r="MW45" s="4"/>
      <c r="ND45" s="62">
        <v>1000</v>
      </c>
      <c r="NY45" s="4"/>
      <c r="OF45" s="62">
        <v>1000</v>
      </c>
      <c r="PA45" s="4"/>
      <c r="PH45" s="62">
        <v>1000</v>
      </c>
    </row>
    <row r="46" spans="1:446" ht="17" x14ac:dyDescent="0.2">
      <c r="A46" s="5"/>
      <c r="B46" s="5"/>
      <c r="C46" s="34" t="s">
        <v>41</v>
      </c>
      <c r="D46" s="20"/>
      <c r="G46" s="64"/>
      <c r="R46" s="10"/>
      <c r="S46" s="10"/>
      <c r="T46" s="10"/>
      <c r="AL46" s="4"/>
      <c r="AP46" s="63">
        <v>46.8</v>
      </c>
      <c r="BH46" s="4"/>
      <c r="BL46" s="63">
        <v>46.8</v>
      </c>
      <c r="CD46" s="4"/>
      <c r="CH46" s="63">
        <v>46.8</v>
      </c>
      <c r="DE46" s="4"/>
      <c r="DL46" s="63">
        <v>46.8</v>
      </c>
      <c r="EG46" s="4"/>
      <c r="EN46" s="63">
        <v>46.8</v>
      </c>
      <c r="FI46" s="4"/>
      <c r="FP46" s="63">
        <v>46.8</v>
      </c>
      <c r="GK46" s="4"/>
      <c r="GR46" s="63">
        <v>46.8</v>
      </c>
      <c r="HM46" s="4"/>
      <c r="HT46" s="63">
        <v>46.8</v>
      </c>
      <c r="IO46" s="4"/>
      <c r="IV46" s="63">
        <v>46.8</v>
      </c>
      <c r="JQ46" s="4"/>
      <c r="JX46" s="63">
        <v>46.8</v>
      </c>
      <c r="KS46" s="4"/>
      <c r="KZ46" s="63">
        <v>46.8</v>
      </c>
      <c r="LU46" s="4"/>
      <c r="MB46" s="63">
        <v>46.8</v>
      </c>
      <c r="MW46" s="4"/>
      <c r="ND46" s="63">
        <v>46.8</v>
      </c>
      <c r="NY46" s="4"/>
      <c r="OF46" s="63">
        <v>46.8</v>
      </c>
      <c r="PA46" s="4"/>
      <c r="PH46" s="63">
        <v>46.8</v>
      </c>
    </row>
    <row r="47" spans="1:446" ht="17" hidden="1" x14ac:dyDescent="0.2">
      <c r="A47" s="5"/>
      <c r="B47" s="5"/>
      <c r="C47" s="24" t="s">
        <v>42</v>
      </c>
      <c r="D47" s="20"/>
      <c r="R47" s="10"/>
      <c r="S47" s="10"/>
      <c r="T47" s="10"/>
      <c r="AL47" s="4"/>
      <c r="AP47" s="46">
        <v>1000</v>
      </c>
      <c r="BH47" s="4"/>
      <c r="BL47" s="46">
        <v>1000</v>
      </c>
      <c r="CD47" s="4"/>
      <c r="CH47" s="46">
        <v>1000</v>
      </c>
      <c r="DE47" s="4"/>
      <c r="DL47" s="46">
        <v>1000</v>
      </c>
      <c r="EG47" s="4"/>
      <c r="EN47" s="46">
        <v>1000</v>
      </c>
      <c r="FI47" s="4"/>
      <c r="FP47" s="46">
        <v>1000</v>
      </c>
      <c r="GK47" s="4"/>
      <c r="GR47" s="46">
        <v>1000</v>
      </c>
      <c r="HM47" s="4"/>
      <c r="HT47" s="46">
        <v>1000</v>
      </c>
      <c r="IO47" s="4"/>
      <c r="IV47" s="46">
        <v>1000</v>
      </c>
      <c r="JQ47" s="4"/>
      <c r="JX47" s="46">
        <v>1000</v>
      </c>
      <c r="KS47" s="4"/>
      <c r="KZ47" s="46">
        <v>1000</v>
      </c>
      <c r="LU47" s="4"/>
      <c r="MB47" s="46">
        <v>1000</v>
      </c>
      <c r="MW47" s="4"/>
      <c r="ND47" s="46">
        <v>1000</v>
      </c>
      <c r="NY47" s="4"/>
      <c r="OF47" s="46">
        <v>1000</v>
      </c>
      <c r="PA47" s="4"/>
      <c r="PH47" s="46">
        <v>1000</v>
      </c>
    </row>
    <row r="48" spans="1:446" ht="17" hidden="1" x14ac:dyDescent="0.2">
      <c r="A48" s="5"/>
      <c r="B48" s="5"/>
      <c r="C48" s="33" t="s">
        <v>54</v>
      </c>
      <c r="D48" s="20"/>
      <c r="R48" s="10"/>
      <c r="S48" s="10"/>
      <c r="T48" s="10"/>
      <c r="AL48" s="4"/>
      <c r="AP48" s="47">
        <v>1000</v>
      </c>
      <c r="BH48" s="4"/>
      <c r="BL48" s="47">
        <v>1000</v>
      </c>
      <c r="CD48" s="4"/>
      <c r="CH48" s="47">
        <v>1000</v>
      </c>
      <c r="DE48" s="4"/>
      <c r="DL48" s="47">
        <v>1000</v>
      </c>
      <c r="EG48" s="4"/>
      <c r="EN48" s="47">
        <v>1000</v>
      </c>
      <c r="FI48" s="4"/>
      <c r="FP48" s="47">
        <v>1000</v>
      </c>
      <c r="GK48" s="4"/>
      <c r="GR48" s="47">
        <v>1000</v>
      </c>
      <c r="HM48" s="4"/>
      <c r="HT48" s="47">
        <v>1000</v>
      </c>
      <c r="IO48" s="4"/>
      <c r="IV48" s="47">
        <v>1000</v>
      </c>
      <c r="JQ48" s="4"/>
      <c r="JX48" s="47">
        <v>1000</v>
      </c>
      <c r="KS48" s="4"/>
      <c r="KZ48" s="47">
        <v>1000</v>
      </c>
      <c r="LU48" s="4"/>
      <c r="MB48" s="47">
        <v>1000</v>
      </c>
      <c r="MW48" s="4"/>
      <c r="ND48" s="47">
        <v>1000</v>
      </c>
      <c r="NY48" s="4"/>
      <c r="OF48" s="47">
        <v>1000</v>
      </c>
      <c r="PA48" s="4"/>
      <c r="PH48" s="47">
        <v>1000</v>
      </c>
    </row>
    <row r="49" spans="1:432" ht="17" hidden="1" x14ac:dyDescent="0.2">
      <c r="A49" s="5"/>
      <c r="B49" s="5"/>
      <c r="C49" s="25" t="s">
        <v>27</v>
      </c>
      <c r="D49" s="20"/>
      <c r="R49" s="10"/>
      <c r="S49" s="10"/>
      <c r="T49" s="10"/>
      <c r="AL49" s="4"/>
      <c r="AP49" s="48">
        <v>1000</v>
      </c>
      <c r="BH49" s="4"/>
      <c r="BL49" s="48">
        <v>1000</v>
      </c>
      <c r="CD49" s="4"/>
      <c r="CH49" s="48">
        <v>1000</v>
      </c>
      <c r="DE49" s="4"/>
      <c r="DL49" s="48">
        <v>1000</v>
      </c>
      <c r="EG49" s="4"/>
      <c r="EN49" s="48">
        <v>1000</v>
      </c>
      <c r="FI49" s="4"/>
      <c r="FP49" s="48">
        <v>1000</v>
      </c>
      <c r="GK49" s="4"/>
      <c r="GR49" s="48">
        <v>1000</v>
      </c>
      <c r="HM49" s="4"/>
      <c r="HT49" s="48">
        <v>1000</v>
      </c>
      <c r="IO49" s="4"/>
      <c r="IV49" s="48">
        <v>1000</v>
      </c>
      <c r="JQ49" s="4"/>
      <c r="JX49" s="48">
        <v>1000</v>
      </c>
      <c r="KS49" s="4"/>
      <c r="KZ49" s="48">
        <v>1000</v>
      </c>
      <c r="LU49" s="4"/>
      <c r="MB49" s="48">
        <v>1000</v>
      </c>
      <c r="MW49" s="4"/>
      <c r="ND49" s="48">
        <v>1000</v>
      </c>
      <c r="NY49" s="4"/>
      <c r="OF49" s="48">
        <v>1000</v>
      </c>
      <c r="PA49" s="4"/>
      <c r="PH49" s="48">
        <v>1000</v>
      </c>
    </row>
    <row r="50" spans="1:432" x14ac:dyDescent="0.2">
      <c r="C50" s="29" t="s">
        <v>47</v>
      </c>
      <c r="D50" s="2"/>
    </row>
    <row r="51" spans="1:432" x14ac:dyDescent="0.2">
      <c r="A51" s="5"/>
      <c r="B51" s="5"/>
      <c r="C51" s="5"/>
      <c r="D51" s="20"/>
      <c r="G51" s="64"/>
      <c r="PJ51" s="2"/>
      <c r="PK51" s="2"/>
      <c r="PL51" s="2"/>
      <c r="PM51" s="2"/>
      <c r="PN51" s="2"/>
      <c r="PO51" s="2"/>
      <c r="PP51" s="2"/>
    </row>
    <row r="52" spans="1:432" x14ac:dyDescent="0.2">
      <c r="A52" s="5"/>
      <c r="B52" s="5"/>
      <c r="C52" s="5"/>
      <c r="D52" s="20"/>
      <c r="G52" s="64"/>
    </row>
    <row r="53" spans="1:432" x14ac:dyDescent="0.2">
      <c r="A53" s="5"/>
      <c r="B53" s="5"/>
      <c r="C53" s="5"/>
      <c r="D53" s="20"/>
    </row>
    <row r="54" spans="1:432" x14ac:dyDescent="0.2">
      <c r="A54" s="5"/>
      <c r="B54" s="5"/>
      <c r="C54" s="5"/>
      <c r="D54" s="5"/>
    </row>
    <row r="56" spans="1:432" x14ac:dyDescent="0.2">
      <c r="H56" s="65"/>
    </row>
  </sheetData>
  <sheetProtection sheet="1" formatCells="0" formatColumns="0" formatRows="0"/>
  <autoFilter ref="A1:QD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sortState xmlns:xlrd2="http://schemas.microsoft.com/office/spreadsheetml/2017/richdata2" ref="A6:QD39">
      <sortCondition descending="1" ref="H1:H40"/>
    </sortState>
  </autoFilter>
  <mergeCells count="113">
    <mergeCell ref="PM2:PP2"/>
    <mergeCell ref="PQ2:PT2"/>
    <mergeCell ref="PU2:PX2"/>
    <mergeCell ref="OG2:OJ2"/>
    <mergeCell ref="OK2:ON2"/>
    <mergeCell ref="OO2:OR2"/>
    <mergeCell ref="OS2:OV2"/>
    <mergeCell ref="OW2:OZ2"/>
    <mergeCell ref="PI2:PL2"/>
    <mergeCell ref="MS2:MV2"/>
    <mergeCell ref="NE2:NH2"/>
    <mergeCell ref="NI2:NL2"/>
    <mergeCell ref="NM2:NP2"/>
    <mergeCell ref="NQ2:NT2"/>
    <mergeCell ref="NU2:NX2"/>
    <mergeCell ref="LM2:LP2"/>
    <mergeCell ref="LQ2:LT2"/>
    <mergeCell ref="MC2:MF2"/>
    <mergeCell ref="MG2:MJ2"/>
    <mergeCell ref="MK2:MN2"/>
    <mergeCell ref="MO2:MR2"/>
    <mergeCell ref="KG2:KJ2"/>
    <mergeCell ref="KK2:KN2"/>
    <mergeCell ref="KO2:KR2"/>
    <mergeCell ref="LA2:LD2"/>
    <mergeCell ref="LE2:LH2"/>
    <mergeCell ref="LI2:LL2"/>
    <mergeCell ref="JA2:JD2"/>
    <mergeCell ref="JE2:JH2"/>
    <mergeCell ref="JI2:JL2"/>
    <mergeCell ref="JM2:JP2"/>
    <mergeCell ref="JY2:KB2"/>
    <mergeCell ref="KC2:KF2"/>
    <mergeCell ref="ES2:EV2"/>
    <mergeCell ref="EW2:EZ2"/>
    <mergeCell ref="HU2:HX2"/>
    <mergeCell ref="HY2:IB2"/>
    <mergeCell ref="IC2:IF2"/>
    <mergeCell ref="IG2:IJ2"/>
    <mergeCell ref="IK2:IN2"/>
    <mergeCell ref="IW2:IZ2"/>
    <mergeCell ref="GG2:GJ2"/>
    <mergeCell ref="GS2:GV2"/>
    <mergeCell ref="GW2:GZ2"/>
    <mergeCell ref="HA2:HD2"/>
    <mergeCell ref="HE2:HH2"/>
    <mergeCell ref="HI2:HL2"/>
    <mergeCell ref="PI1:QD1"/>
    <mergeCell ref="U2:X2"/>
    <mergeCell ref="Y2:AB2"/>
    <mergeCell ref="AC2:AF2"/>
    <mergeCell ref="AG2:AJ2"/>
    <mergeCell ref="AQ2:AT2"/>
    <mergeCell ref="AU2:AX2"/>
    <mergeCell ref="GS1:HT1"/>
    <mergeCell ref="HU1:IV1"/>
    <mergeCell ref="IW1:JX1"/>
    <mergeCell ref="JY1:KZ1"/>
    <mergeCell ref="LA1:MB1"/>
    <mergeCell ref="MC1:ND1"/>
    <mergeCell ref="BM1:CH1"/>
    <mergeCell ref="CI1:CJ1"/>
    <mergeCell ref="CK1:DL1"/>
    <mergeCell ref="DM1:EN1"/>
    <mergeCell ref="EO1:FP1"/>
    <mergeCell ref="FQ1:GR1"/>
    <mergeCell ref="CO2:CR2"/>
    <mergeCell ref="CS2:CV2"/>
    <mergeCell ref="CW2:CZ2"/>
    <mergeCell ref="DA2:DD2"/>
    <mergeCell ref="DY2:EB2"/>
    <mergeCell ref="S1:S3"/>
    <mergeCell ref="T1:T3"/>
    <mergeCell ref="U1:AP1"/>
    <mergeCell ref="AQ1:BL1"/>
    <mergeCell ref="AY2:BB2"/>
    <mergeCell ref="BC2:BF2"/>
    <mergeCell ref="NE1:OF1"/>
    <mergeCell ref="OG1:PH1"/>
    <mergeCell ref="DM2:DP2"/>
    <mergeCell ref="DQ2:DT2"/>
    <mergeCell ref="BM2:BP2"/>
    <mergeCell ref="BQ2:BT2"/>
    <mergeCell ref="BU2:BX2"/>
    <mergeCell ref="BY2:CB2"/>
    <mergeCell ref="CK2:CN2"/>
    <mergeCell ref="FA2:FD2"/>
    <mergeCell ref="FE2:FH2"/>
    <mergeCell ref="FQ2:FT2"/>
    <mergeCell ref="FU2:FX2"/>
    <mergeCell ref="FY2:GB2"/>
    <mergeCell ref="GC2:GF2"/>
    <mergeCell ref="DU2:DX2"/>
    <mergeCell ref="EC2:EF2"/>
    <mergeCell ref="EO2:ER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A4:B1048576">
    <cfRule type="expression" dxfId="31" priority="1">
      <formula>AND($I4="P",$H4="")</formula>
    </cfRule>
    <cfRule type="expression" dxfId="30" priority="22">
      <formula>IF(A4&gt;4,1,0)</formula>
    </cfRule>
  </conditionalFormatting>
  <conditionalFormatting sqref="J1:J1048576">
    <cfRule type="containsText" dxfId="29" priority="14" operator="containsText" text="No DD">
      <formula>NOT(ISERROR(SEARCH("No DD",J1)))</formula>
    </cfRule>
    <cfRule type="containsText" dxfId="28" priority="15" operator="containsText" text="Merit">
      <formula>NOT(ISERROR(SEARCH("Merit",J1)))</formula>
    </cfRule>
    <cfRule type="containsText" dxfId="27" priority="16" operator="containsText" text="Excellence">
      <formula>NOT(ISERROR(SEARCH("Excellence",J1)))</formula>
    </cfRule>
    <cfRule type="containsText" dxfId="26" priority="17" operator="containsText" text="Worlds Team">
      <formula>NOT(ISERROR(SEARCH("Worlds Team",J1)))</formula>
    </cfRule>
    <cfRule type="containsText" dxfId="25" priority="18" operator="containsText" text="National Team">
      <formula>NOT(ISERROR(SEARCH("National Team",J1)))</formula>
    </cfRule>
  </conditionalFormatting>
  <conditionalFormatting sqref="DI50:DI1048576 DI1:DI48 EK1:EK1048576 FM1:FM1048576 GO1:GO1048576 HQ1:HQ1048576 IS1:IS1048576 JU1:JU1048576 KW1:KW1048576 LY1:LY1048576 NA1:NA1048576 OC1:OC1048576 PE1:PE1048576">
    <cfRule type="cellIs" dxfId="24" priority="60354" operator="between">
      <formula>DL$49</formula>
      <formula>1000</formula>
    </cfRule>
    <cfRule type="cellIs" dxfId="23" priority="60355" operator="between">
      <formula>DL$48</formula>
      <formula>DL$49</formula>
    </cfRule>
    <cfRule type="cellIs" dxfId="22" priority="60356" operator="between">
      <formula>DL$47</formula>
      <formula>DL$48</formula>
    </cfRule>
  </conditionalFormatting>
  <conditionalFormatting sqref="A1:B3">
    <cfRule type="expression" dxfId="21" priority="2">
      <formula>AND(I1&lt;&gt;"",H1="")</formula>
    </cfRule>
  </conditionalFormatting>
  <conditionalFormatting sqref="U4:AP39">
    <cfRule type="expression" dxfId="20" priority="267819" stopIfTrue="1">
      <formula>IF($AK4&lt;&gt;"",1,0)</formula>
    </cfRule>
  </conditionalFormatting>
  <conditionalFormatting sqref="AQ4:BL39">
    <cfRule type="expression" dxfId="19" priority="267831" stopIfTrue="1">
      <formula>IF($BG4&lt;&gt;"",1,0)</formula>
    </cfRule>
  </conditionalFormatting>
  <conditionalFormatting sqref="M1:M1048576 Q1:Q1048576 O1:O1048576">
    <cfRule type="expression" dxfId="18" priority="267840">
      <formula>IF(M1=$BM$1,1,0)</formula>
    </cfRule>
    <cfRule type="expression" dxfId="17" priority="267841">
      <formula>IF(M1=$AQ$1,1,0)</formula>
    </cfRule>
    <cfRule type="expression" dxfId="16" priority="267842">
      <formula>IF(M1=$U$1,1,0)</formula>
    </cfRule>
  </conditionalFormatting>
  <conditionalFormatting sqref="BM4:CH39">
    <cfRule type="expression" dxfId="15" priority="267843" stopIfTrue="1">
      <formula>IF($CC4&lt;&gt;"",1,0)</formula>
    </cfRule>
  </conditionalFormatting>
  <conditionalFormatting sqref="PA1:PA1048576 DE1:DE1048576 EG1:EG1048576 FI1:FI1048576 GK1:GK1048576 HM1:HM1048576 IO1:IO1048576 JQ1:JQ1048576 KS1:KS1048576 LU1:LU1048576 MW1:MW1048576 NY1:NY1048576">
    <cfRule type="cellIs" dxfId="14" priority="283974" operator="between">
      <formula>DL$42</formula>
      <formula>1000</formula>
    </cfRule>
  </conditionalFormatting>
  <conditionalFormatting sqref="PB1:PB1048576 DF1:DF1048576 EH1:EH1048576 FJ1:FJ1048576 GL1:GL1048576 HN1:HN1048576 IP1:IP1048576 JR1:JR1048576 KT1:KT1048576 LV1:LV1048576 MX1:MX1048576 NZ1:NZ1048576">
    <cfRule type="cellIs" dxfId="13" priority="284010" operator="between">
      <formula>DL$46</formula>
      <formula>1000</formula>
    </cfRule>
  </conditionalFormatting>
  <conditionalFormatting sqref="AN1:AN1048576 BJ1:BJ1048576 CF1:CF1048576 DJ1:DJ1048576 EL1:EL1048576 FN1:FN1048576 GP1:GP1048576 HR1:HR1048576 IT1:IT1048576 JV1:JV1048576 KX1:KX1048576 LZ1:LZ1048576 NB1:NB1048576 OD1:OD1048576 PF1:PF1048576">
    <cfRule type="cellIs" dxfId="12" priority="284046" operator="between">
      <formula>AP$42</formula>
      <formula>AP$43</formula>
    </cfRule>
    <cfRule type="cellIs" dxfId="11" priority="284047" operator="between">
      <formula>AP$43</formula>
      <formula>AP$44</formula>
    </cfRule>
    <cfRule type="cellIs" dxfId="10" priority="284048" operator="between">
      <formula>AP$44</formula>
      <formula>AP$45</formula>
    </cfRule>
    <cfRule type="cellIs" dxfId="9" priority="284049" operator="between">
      <formula>AP$45</formula>
      <formula>1000</formula>
    </cfRule>
  </conditionalFormatting>
  <conditionalFormatting sqref="AO1:AO1048576 BK1:BK1048576 CG1:CG1048576 DK1:DK1048576 EM1:EM1048576 FO1:FO1048576 GQ1:GQ1048576 HS1:HS1048576 IU1:IU1048576 JW1:JW1048576 KY1:KY1048576 MA1:MA1048576 NC1:NC1048576 OE1:OE1048576 PG1:PG1048576">
    <cfRule type="cellIs" dxfId="8" priority="284226" operator="between">
      <formula>AP$46</formula>
      <formula>AP$47</formula>
    </cfRule>
    <cfRule type="cellIs" dxfId="7" priority="284227" operator="between">
      <formula>AP$47</formula>
      <formula>AP$48</formula>
    </cfRule>
    <cfRule type="cellIs" dxfId="6" priority="284228" operator="between">
      <formula>AP$48</formula>
      <formula>AP$49</formula>
    </cfRule>
    <cfRule type="cellIs" dxfId="5" priority="284229" operator="between">
      <formula>AP$49</formula>
      <formula>1000</formula>
    </cfRule>
  </conditionalFormatting>
  <conditionalFormatting sqref="EJ1:EJ1048576 FL1:FL1048576 GN1:GN1048576 HP1:HP1048576 IR1:IR1048576 JT1:JT1048576 KV1:KV1048576 LX1:LX1048576 MZ1:MZ1048576 OB1:OB1048576 PD1:PD1048576 DH1:DH1048576">
    <cfRule type="cellIs" dxfId="4" priority="284406" operator="between">
      <formula>DL$45</formula>
      <formula>1000</formula>
    </cfRule>
    <cfRule type="cellIs" dxfId="3" priority="284407" operator="between">
      <formula>DL$44</formula>
      <formula>DL$45</formula>
    </cfRule>
    <cfRule type="cellIs" dxfId="2" priority="284408" operator="between">
      <formula>DL$43</formula>
      <formula>DL$44</formula>
    </cfRule>
  </conditionalFormatting>
  <conditionalFormatting sqref="AL1:AL1048576 BH1:BH1048576 CD1:CD1048576">
    <cfRule type="cellIs" dxfId="1" priority="284514" operator="between">
      <formula>AP$42</formula>
      <formula>1000</formula>
    </cfRule>
  </conditionalFormatting>
  <conditionalFormatting sqref="AM1:AM1048576 BI1:BI1048576 CE1:CE1048576">
    <cfRule type="cellIs" dxfId="0" priority="284523" operator="between">
      <formula>AP$46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2026-02-16T01:37:55Z</dcterms:modified>
</cp:coreProperties>
</file>